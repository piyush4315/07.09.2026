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alculation Sheet" sheetId="1" r:id="rId4"/>
    <sheet state="visible" name="Live Search" sheetId="2" r:id="rId5"/>
  </sheets>
  <definedNames>
    <definedName hidden="1" localSheetId="0" name="_xlnm._FilterDatabase">'Final Calculation Sheet'!$A$3:$AG$43</definedName>
  </definedNames>
  <calcPr/>
</workbook>
</file>

<file path=xl/sharedStrings.xml><?xml version="1.0" encoding="utf-8"?>
<sst xmlns="http://schemas.openxmlformats.org/spreadsheetml/2006/main" count="336" uniqueCount="141">
  <si>
    <t>MSTC LIMITED - COMBINED BID SHEET (Auctions 21977, 21978, 21979, 21980)</t>
  </si>
  <si>
    <t>Quantity</t>
  </si>
  <si>
    <t xml:space="preserve">1876, 1923, national e </t>
  </si>
  <si>
    <t>Rate</t>
  </si>
  <si>
    <t>Bid Sheet</t>
  </si>
  <si>
    <t>Unit</t>
  </si>
  <si>
    <t>Lot No.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</si>
  <si>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</si>
  <si>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</si>
  <si>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</si>
  <si>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</si>
  <si>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</si>
  <si>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</si>
  <si>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</si>
  <si>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</si>
  <si>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Net Service Charge
(post TDS 194H)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</si>
  <si>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</si>
  <si>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</si>
  <si>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</si>
  <si>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</si>
  <si>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</si>
  <si>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</si>
  <si>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</si>
  <si>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</si>
  <si>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</si>
  <si>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LPP Expected</t>
  </si>
  <si>
    <t>LPP Received</t>
  </si>
  <si>
    <t>Date of Recepit of LPP</t>
  </si>
  <si>
    <t>Total Received</t>
  </si>
  <si>
    <t>Outstanding</t>
  </si>
  <si>
    <t xml:space="preserve">Invoice No. </t>
  </si>
  <si>
    <t>SAP Document</t>
  </si>
  <si>
    <t>Doc./Invoice Date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</si>
  <si>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</si>
  <si>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</si>
  <si>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</si>
  <si>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</si>
  <si>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</si>
  <si>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</si>
  <si>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</si>
  <si>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</si>
  <si>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</si>
  <si>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</si>
  <si>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</si>
  <si>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</si>
  <si>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</si>
  <si>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</si>
  <si>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</si>
  <si>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</si>
  <si>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</si>
  <si>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</si>
  <si>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</si>
  <si>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</si>
  <si>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</si>
  <si>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</si>
  <si>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</si>
  <si>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</si>
  <si>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</si>
  <si>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</si>
  <si>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</si>
  <si>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</si>
  <si>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</si>
  <si>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</si>
  <si>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</si>
  <si>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</si>
  <si>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</si>
  <si>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</si>
  <si>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</si>
  <si>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</si>
  <si>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</si>
  <si>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</si>
  <si>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</si>
  <si>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</si>
  <si>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</si>
  <si>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</si>
  <si>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</si>
  <si>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</si>
  <si>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</si>
  <si>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</si>
  <si>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</si>
  <si>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</si>
  <si>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</si>
  <si>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</si>
  <si>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</si>
  <si>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</si>
  <si>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</si>
  <si>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</si>
  <si>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</si>
  <si>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</si>
  <si>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</si>
  <si>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</si>
  <si>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</si>
  <si>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</si>
  <si>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</si>
  <si>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</si>
  <si>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</si>
  <si>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</si>
  <si>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</si>
  <si>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</si>
  <si>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</si>
  <si>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</si>
  <si>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</si>
  <si>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</si>
  <si>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</si>
  <si>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</si>
  <si>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</si>
  <si>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</si>
  <si>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</si>
  <si>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</si>
  <si>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</si>
  <si>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</si>
  <si>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</si>
  <si>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</si>
  <si>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</si>
  <si>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</si>
  <si>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</si>
  <si>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</si>
  <si>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</si>
  <si>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</si>
  <si>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01.09.2026</t>
  </si>
  <si>
    <t>Bal SD O/s</t>
  </si>
  <si>
    <t>Bal FP O/s</t>
  </si>
  <si>
    <t>MSTC LIMITED  •  LIVE SEARCH   (results grouped by the value you typed, each group totalled, TOTAL MATCHED beneath them, the misses greyed in a REMAINING block, a GRAND TOTAL of both at the foot)</t>
  </si>
  <si>
    <t>HOW TO USE  ▶  click the yellow box B3 and type - a lot number (1874), part of one (187), a buyer (NATIONAL), part of a buyer name, a lot name (COPPER).   •   WILDCARD / MATCH ANY - separate values with a comma or a slash:   1874, 1923, OMKAR   or   1874 / 1923    - and every lot containing ANY of them lights up.   •   COLUMN SEARCHES - type above any column header in row 4; comma or slash means ANY value in that column, * matches any text and ? matches one character.  Filters entered in different columns are combined as ALL.   •   FACETED / FILTERED - separate them with + or &amp;:   NATIONAL + COPPER   - and a lot lights up only if it matches EVERY facet.   •   the two mix:   OMKAR, STERLING + COPPER   = (OMKAR or STERLING) and COPPER.   Up to 8 values, empty ones ignored, spaces around a separator are fine.  •   THE RESULT IS GROUPED BY THE VALUE YOU TYPED: every value gets its own block of lots with a shaded ∑ total row beneath it, then a blue TOTAL MATCHED row adds every group up at once - the grand total of the rows your search actually hit, sitting right beneath them.  Under that a greyed REMAINING block holds the lots that did not match, with its own total, and the green GRAND TOTAL of both sits at the foot.  A lot matching two values is counted under the first one only, so TOTAL MATCHED + REMAINING always equals GRAND TOTAL, and with nothing typed the matched row is the whole list.   •   clear the box and all 37 come back in one ALL LOTS block.   •   cell F3 narrows what the text is looked for in (lot no. + buyer + name by default).   •   matching is contains, not case sensitive.   •   nothing here is typed in: every figure is a live link to Final Calculation Sheet.   •   columns AK..CU are hidden helpers.</t>
  </si>
  <si>
    <t>🔍  SEARCH  ▸</t>
  </si>
  <si>
    <t>SEARCH IN  ▸</t>
  </si>
  <si>
    <t>Lot No. + Buyer + Name</t>
  </si>
  <si>
    <t>MATCHES  ▸</t>
  </si>
  <si>
    <t>the text this lot is searched in</t>
  </si>
  <si>
    <t>1 = this lot matches the search box</t>
  </si>
  <si>
    <t>the 'search in' list</t>
  </si>
  <si>
    <t>the box with &amp; -&gt; + and / -&gt; ,</t>
  </si>
  <si>
    <t>term 1 - rows 4..9: text left, delimiter pos, the term, delimiter, running facet, facet no.</t>
  </si>
  <si>
    <t>#</t>
  </si>
  <si>
    <t>Lot Name</t>
  </si>
  <si>
    <t>Service Charge to MSTC</t>
  </si>
  <si>
    <t>Net Service Charge (post TDS 194H)</t>
  </si>
  <si>
    <t>Date of Receipt (col V)</t>
  </si>
  <si>
    <t>Date of Receipt (col Y)</t>
  </si>
  <si>
    <t>Invoice No.</t>
  </si>
  <si>
    <t>Payment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</si>
</sst>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"/>
    <numFmt numFmtId="165" formatCode="_ * #,##0_ ;_ * \-#,##0_ ;_ * \-??_ ;_ @_ "/>
  </numFmts>
  <fonts count="22">
    <font>
      <sz val="11.0"/>
      <color/>
      <name val="Arial"/>
      <scheme val="minor"/>
    </font>
    <font>
      <b/>
      <sz val="13.0"/>
      <name val="Arial"/>
    </font>
    <font>
      <b/>
      <sz val="11.0"/>
      <color/>
      <name val="Calibri"/>
    </font>
    <font>
      <b/>
      <sz val="9.0"/>
      <color/>
      <name val="Calibri"/>
    </font>
    <font>
      <b/>
      <sz val="10.0"/>
      <color/>
      <name val="Arial"/>
    </font>
    <font>
      <sz val="10.0"/>
      <name val="Arial"/>
    </font>
    <font>
      <sz val="10.0"/>
      <color/>
      <name val="Arial"/>
    </font>
    <font>
      <sz val="11.0"/>
      <color/>
      <name val="Calibri"/>
    </font>
    <font>
      <b/>
      <sz val="15.0"/>
      <color rgb="FFFFFFFF"/>
      <name val="Calibri"/>
    </font>
    <font/>
    <font>
      <i/>
      <sz val="9.0"/>
      <color rgb="FF1F3864"/>
      <name val="Calibri"/>
    </font>
    <font>
      <b/>
      <sz val="11.0"/>
      <color rgb="FFFFFFFF"/>
      <name val="Calibri"/>
    </font>
    <font>
      <b/>
      <sz val="13.0"/>
      <color rgb="FF1F3864"/>
      <name val="Calibri"/>
    </font>
    <font>
      <b/>
      <sz val="10.0"/>
      <color rgb="FFFFFFFF"/>
      <name val="Calibri"/>
    </font>
    <font>
      <b/>
      <sz val="10.0"/>
      <color rgb="FF1F3864"/>
      <name val="Calibri"/>
    </font>
    <font>
      <b/>
      <sz val="12.0"/>
      <color rgb="FF1F3864"/>
      <name val="Calibri"/>
    </font>
    <font>
      <i/>
      <sz val="8.0"/>
      <color rgb="FF808080"/>
      <name val="Calibri"/>
    </font>
    <font>
      <b/>
      <sz val="9.0"/>
      <color rgb="FFFFFFFF"/>
      <name val="Calibri"/>
    </font>
    <font>
      <b/>
      <sz val="9.0"/>
      <color rgb="FF666666"/>
      <name val="Calibri"/>
    </font>
    <font>
      <b/>
      <sz val="10.0"/>
      <color rgb="FF333333"/>
      <name val="Calibri"/>
    </font>
    <font>
      <sz val="10.0"/>
      <color rgb="FF333333"/>
      <name val="Calibri"/>
    </font>
    <font>
      <b/>
      <sz val="10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03864"/>
        <bgColor rgb="FF203864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808080"/>
      </left>
      <top style="medium">
        <color rgb="FF808080"/>
      </top>
      <bottom style="medium">
        <color rgb="FF808080"/>
      </bottom>
    </border>
    <border>
      <top style="medium">
        <color rgb="FF808080"/>
      </top>
      <bottom style="medium">
        <color rgb="FF808080"/>
      </bottom>
    </border>
    <border>
      <right style="medium">
        <color rgb="FF808080"/>
      </right>
      <top style="medium">
        <color rgb="FF808080"/>
      </top>
      <bottom style="medium">
        <color rgb="FF808080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D0D0D0"/>
      </left>
      <right style="thin">
        <color rgb="FFD0D0D0"/>
      </right>
      <top style="medium">
        <color rgb="FF808080"/>
      </top>
      <bottom style="medium">
        <color rgb="FF80808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right" shrinkToFit="0" vertical="center" wrapText="1"/>
    </xf>
    <xf borderId="5" fillId="0" fontId="5" numFmtId="164" xfId="0" applyAlignment="1" applyBorder="1" applyFont="1" applyNumberFormat="1">
      <alignment horizontal="right" vertical="center"/>
    </xf>
    <xf borderId="5" fillId="0" fontId="5" numFmtId="3" xfId="0" applyAlignment="1" applyBorder="1" applyFont="1" applyNumberFormat="1">
      <alignment horizontal="right" vertical="center"/>
    </xf>
    <xf borderId="5" fillId="0" fontId="5" numFmtId="9" xfId="0" applyAlignment="1" applyBorder="1" applyFont="1" applyNumberFormat="1">
      <alignment horizontal="right" vertical="center"/>
    </xf>
    <xf borderId="6" fillId="0" fontId="6" numFmtId="165" xfId="0" applyAlignment="1" applyBorder="1" applyFont="1" applyNumberFormat="1">
      <alignment vertical="center"/>
    </xf>
    <xf borderId="6" fillId="0" fontId="5" numFmtId="164" xfId="0" applyAlignment="1" applyBorder="1" applyFont="1" applyNumberFormat="1">
      <alignment horizontal="right" vertical="center"/>
    </xf>
    <xf borderId="7" fillId="0" fontId="5" numFmtId="164" xfId="0" applyAlignment="1" applyBorder="1" applyFont="1" applyNumberFormat="1">
      <alignment horizontal="right" vertical="center"/>
    </xf>
    <xf borderId="7" fillId="0" fontId="5" numFmtId="1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right" vertical="center"/>
    </xf>
    <xf borderId="9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7" fillId="0" fontId="5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164" xfId="0" applyAlignment="1" applyBorder="1" applyFont="1" applyNumberFormat="1">
      <alignment horizontal="right" shrinkToFit="0" vertical="center" wrapText="1"/>
    </xf>
    <xf borderId="7" fillId="0" fontId="5" numFmtId="164" xfId="0" applyAlignment="1" applyBorder="1" applyFont="1" applyNumberFormat="1">
      <alignment horizontal="right" vertical="center"/>
    </xf>
    <xf borderId="7" fillId="0" fontId="5" numFmtId="3" xfId="0" applyAlignment="1" applyBorder="1" applyFont="1" applyNumberFormat="1">
      <alignment horizontal="right" vertical="center"/>
    </xf>
    <xf borderId="7" fillId="0" fontId="5" numFmtId="9" xfId="0" applyAlignment="1" applyBorder="1" applyFont="1" applyNumberFormat="1">
      <alignment horizontal="right" vertical="center"/>
    </xf>
    <xf borderId="7" fillId="0" fontId="6" numFmtId="165" xfId="0" applyAlignment="1" applyBorder="1" applyFont="1" applyNumberFormat="1">
      <alignment vertical="center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0" fontId="5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right" shrinkToFit="0" vertical="center" wrapText="1"/>
    </xf>
    <xf borderId="11" fillId="0" fontId="5" numFmtId="164" xfId="0" applyAlignment="1" applyBorder="1" applyFont="1" applyNumberFormat="1">
      <alignment horizontal="right" vertical="center"/>
    </xf>
    <xf borderId="11" fillId="0" fontId="5" numFmtId="3" xfId="0" applyAlignment="1" applyBorder="1" applyFont="1" applyNumberFormat="1">
      <alignment horizontal="right" vertical="center"/>
    </xf>
    <xf borderId="11" fillId="0" fontId="5" numFmtId="9" xfId="0" applyAlignment="1" applyBorder="1" applyFont="1" applyNumberFormat="1">
      <alignment horizontal="right" vertical="center"/>
    </xf>
    <xf borderId="12" fillId="0" fontId="6" numFmtId="165" xfId="0" applyAlignment="1" applyBorder="1" applyFont="1" applyNumberFormat="1">
      <alignment vertical="center"/>
    </xf>
    <xf borderId="13" fillId="0" fontId="7" numFmtId="0" xfId="0" applyBorder="1" applyFont="1"/>
    <xf borderId="14" fillId="0" fontId="7" numFmtId="0" xfId="0" applyBorder="1" applyFont="1"/>
    <xf borderId="14" fillId="0" fontId="5" numFmtId="164" xfId="0" applyAlignment="1" applyBorder="1" applyFont="1" applyNumberFormat="1">
      <alignment horizontal="right" shrinkToFit="0" vertical="center" wrapText="1"/>
    </xf>
    <xf borderId="14" fillId="0" fontId="5" numFmtId="164" xfId="0" applyAlignment="1" applyBorder="1" applyFont="1" applyNumberFormat="1">
      <alignment horizontal="right" vertical="center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7" fillId="0" fontId="5" numFmtId="164" xfId="0" applyAlignment="1" applyBorder="1" applyFont="1" applyNumberFormat="1">
      <alignment horizontal="right" shrinkToFit="0" vertical="center" wrapText="1"/>
    </xf>
    <xf borderId="17" fillId="0" fontId="5" numFmtId="164" xfId="0" applyAlignment="1" applyBorder="1" applyFont="1" applyNumberFormat="1">
      <alignment horizontal="right" vertical="center"/>
    </xf>
    <xf borderId="17" fillId="0" fontId="5" numFmtId="3" xfId="0" applyAlignment="1" applyBorder="1" applyFont="1" applyNumberFormat="1">
      <alignment horizontal="right" vertical="center"/>
    </xf>
    <xf borderId="17" fillId="0" fontId="6" numFmtId="164" xfId="0" applyBorder="1" applyFont="1" applyNumberFormat="1"/>
    <xf borderId="17" fillId="0" fontId="6" numFmtId="165" xfId="0" applyAlignment="1" applyBorder="1" applyFont="1" applyNumberFormat="1">
      <alignment horizontal="right" vertical="center"/>
    </xf>
    <xf borderId="17" fillId="0" fontId="7" numFmtId="164" xfId="0" applyBorder="1" applyFont="1" applyNumberFormat="1"/>
    <xf borderId="18" fillId="0" fontId="7" numFmtId="0" xfId="0" applyBorder="1" applyFont="1"/>
    <xf borderId="0" fillId="0" fontId="7" numFmtId="164" xfId="0" applyFont="1" applyNumberFormat="1"/>
    <xf borderId="0" fillId="0" fontId="7" numFmtId="0" xfId="0" applyAlignment="1" applyFont="1">
      <alignment shrinkToFit="0" wrapText="1"/>
    </xf>
    <xf borderId="19" fillId="0" fontId="7" numFmtId="0" xfId="0" applyAlignment="1" applyBorder="1" applyFont="1">
      <alignment horizontal="right" vertical="center"/>
    </xf>
    <xf borderId="19" fillId="0" fontId="7" numFmtId="0" xfId="0" applyBorder="1" applyFont="1"/>
    <xf borderId="0" fillId="0" fontId="7" numFmtId="0" xfId="0" applyAlignment="1" applyFont="1">
      <alignment horizontal="right"/>
    </xf>
    <xf borderId="19" fillId="0" fontId="7" numFmtId="164" xfId="0" applyBorder="1" applyFont="1" applyNumberFormat="1"/>
    <xf borderId="20" fillId="3" fontId="8" numFmtId="0" xfId="0" applyAlignment="1" applyBorder="1" applyFill="1" applyFont="1">
      <alignment horizontal="left" vertical="center"/>
    </xf>
    <xf borderId="21" fillId="0" fontId="9" numFmtId="0" xfId="0" applyBorder="1" applyFont="1"/>
    <xf borderId="22" fillId="0" fontId="9" numFmtId="0" xfId="0" applyBorder="1" applyFont="1"/>
    <xf borderId="20" fillId="4" fontId="10" numFmtId="0" xfId="0" applyAlignment="1" applyBorder="1" applyFill="1" applyFont="1">
      <alignment horizontal="left" shrinkToFit="0" vertical="center" wrapText="1"/>
    </xf>
    <xf borderId="19" fillId="3" fontId="11" numFmtId="0" xfId="0" applyAlignment="1" applyBorder="1" applyFill="1" applyFont="1">
      <alignment horizontal="right" vertical="center"/>
    </xf>
    <xf borderId="23" fillId="5" fontId="12" numFmtId="0" xfId="0" applyAlignment="1" applyBorder="1" applyFill="1" applyFont="1">
      <alignment horizontal="left" readingOrder="0" vertical="center"/>
    </xf>
    <xf borderId="24" fillId="0" fontId="9" numFmtId="0" xfId="0" applyBorder="1" applyFont="1"/>
    <xf borderId="25" fillId="0" fontId="9" numFmtId="0" xfId="0" applyBorder="1" applyFont="1"/>
    <xf borderId="19" fillId="6" fontId="13" numFmtId="0" xfId="0" applyAlignment="1" applyBorder="1" applyFill="1" applyFont="1">
      <alignment horizontal="right" vertical="center"/>
    </xf>
    <xf borderId="26" fillId="7" fontId="14" numFmtId="0" xfId="0" applyAlignment="1" applyBorder="1" applyFill="1" applyFont="1">
      <alignment horizontal="center" shrinkToFit="0" vertical="center" wrapText="1"/>
    </xf>
    <xf borderId="26" fillId="8" fontId="15" numFmtId="0" xfId="0" applyAlignment="1" applyBorder="1" applyFill="1" applyFont="1">
      <alignment horizontal="center" shrinkToFit="0" vertical="center" wrapText="1"/>
    </xf>
    <xf borderId="20" fillId="8" fontId="14" numFmtId="0" xfId="0" applyAlignment="1" applyBorder="1" applyFill="1" applyFont="1">
      <alignment horizontal="left" vertical="center"/>
    </xf>
    <xf borderId="0" fillId="0" fontId="16" numFmtId="0" xfId="0" applyFont="1"/>
    <xf borderId="27" fillId="9" fontId="17" numFmtId="0" xfId="0" applyAlignment="1" applyBorder="1" applyFill="1" applyFont="1">
      <alignment horizontal="center" shrinkToFit="0" vertical="center" wrapText="1"/>
    </xf>
    <xf borderId="27" fillId="10" fontId="17" numFmtId="0" xfId="0" applyAlignment="1" applyBorder="1" applyFill="1" applyFont="1">
      <alignment horizontal="center" shrinkToFit="0" vertical="center" wrapText="1"/>
    </xf>
    <xf borderId="27" fillId="11" fontId="17" numFmtId="0" xfId="0" applyAlignment="1" applyBorder="1" applyFill="1" applyFont="1">
      <alignment horizontal="center" shrinkToFit="0" vertical="center" wrapText="1"/>
    </xf>
    <xf borderId="0" fillId="0" fontId="18" numFmtId="1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0" numFmtId="164" xfId="0" applyAlignment="1" applyFont="1" applyNumberFormat="1">
      <alignment horizontal="right" vertical="center"/>
    </xf>
    <xf borderId="0" fillId="0" fontId="20" numFmtId="3" xfId="0" applyAlignment="1" applyFont="1" applyNumberFormat="1">
      <alignment horizontal="right" vertical="center"/>
    </xf>
    <xf borderId="0" fillId="0" fontId="20" numFmtId="9" xfId="0" applyAlignment="1" applyFont="1" applyNumberFormat="1">
      <alignment horizontal="right" vertical="center"/>
    </xf>
    <xf borderId="0" fillId="0" fontId="20" numFmtId="165" xfId="0" applyAlignment="1" applyFont="1" applyNumberFormat="1">
      <alignment horizontal="right" vertical="center"/>
    </xf>
    <xf borderId="0" fillId="0" fontId="20" numFmtId="1" xfId="0" applyAlignment="1" applyFont="1" applyNumberFormat="1">
      <alignment horizontal="right" vertical="center"/>
    </xf>
    <xf borderId="0" fillId="0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11">
    <dxf>
      <font>
        <color rgb="FF666666"/>
      </font>
      <fill>
        <patternFill patternType="solid">
          <fgColor rgb="FFEDEDED"/>
          <bgColor rgb="FFEDEDED"/>
        </patternFill>
      </fill>
      <border/>
    </dxf>
    <dxf>
      <font>
        <b/>
        <color rgb="FFFFFFFF"/>
      </font>
      <fill>
        <patternFill patternType="solid">
          <fgColor rgb="FF666666"/>
          <bgColor rgb="FF666666"/>
        </patternFill>
      </fill>
      <border/>
    </dxf>
    <dxf>
      <font>
        <b/>
        <color rgb="FFFFFFFF"/>
      </font>
      <fill>
        <patternFill patternType="solid">
          <fgColor rgb="FF375623"/>
          <bgColor rgb="FF375623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FFFFFF"/>
      </font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4F9FD"/>
          <bgColor rgb="FFF4F9FD"/>
        </patternFill>
      </fill>
      <border/>
    </dxf>
    <dxf>
      <font>
        <b/>
        <color rgb="FF9C0006"/>
      </font>
      <fill>
        <patternFill patternType="none"/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cap="flat" cmpd="sng" w="6350" algn="ctr">
          <a:prstDash val="solid"/>
          <a:miter lim="800000"/>
        </a:ln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3.71"/>
    <col customWidth="1" min="2" max="2" width="29.43"/>
    <col customWidth="1" min="3" max="3" width="9.14"/>
    <col customWidth="1" min="4" max="4" width="9.43"/>
    <col customWidth="1" min="5" max="5" width="10.0"/>
    <col customWidth="1" min="6" max="6" width="12.43"/>
    <col customWidth="1" min="7" max="7" width="25.0"/>
    <col customWidth="1" min="8" max="8" width="15.57"/>
    <col customWidth="1" min="9" max="9" width="9.86"/>
    <col customWidth="1" min="10" max="10" width="17.14"/>
    <col customWidth="1" min="11" max="11" width="9.57"/>
    <col customWidth="1" min="12" max="12" width="6.86"/>
    <col customWidth="1" min="13" max="13" width="8.29"/>
    <col customWidth="1" min="14" max="14" width="6.71"/>
    <col customWidth="1" min="15" max="15" width="9.14"/>
    <col customWidth="1" min="16" max="16" width="8.29"/>
    <col customWidth="1" min="17" max="18" width="8.14"/>
    <col customWidth="1" min="19" max="19" width="11.57"/>
    <col customWidth="1" min="20" max="20" width="9.86"/>
    <col customWidth="1" min="21" max="21" width="10.0"/>
    <col customWidth="1" min="22" max="22" width="10.14"/>
    <col customWidth="1" min="23" max="23" width="10.71"/>
    <col customWidth="1" min="24" max="24" width="10.57"/>
    <col customWidth="1" min="25" max="28" width="10.14"/>
    <col customWidth="1" min="29" max="29" width="14.14"/>
    <col customWidth="1" min="30" max="30" width="11.57"/>
    <col customWidth="1" min="31" max="31" width="13.71"/>
    <col customWidth="1" min="32" max="32" width="14.14"/>
    <col customWidth="1" min="33" max="33" width="10.14"/>
  </cols>
  <sheetData>
    <row r="1" ht="15.75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7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3" t="s">
        <v>11</v>
      </c>
      <c r="L3" s="4" t="s">
        <v>12</v>
      </c>
      <c r="M3" s="4" t="s">
        <v>13</v>
      </c>
      <c r="N3" s="4" t="s">
        <v>14</v>
      </c>
      <c r="O3" s="5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6" t="s">
        <v>23</v>
      </c>
      <c r="X3" s="4" t="s">
        <v>24</v>
      </c>
      <c r="Y3" s="4" t="s">
        <v>22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7" t="s">
        <v>32</v>
      </c>
    </row>
    <row r="4" ht="39.0" customHeight="1">
      <c r="A4" s="8">
        <v>669.0</v>
      </c>
      <c r="B4" s="9" t="s">
        <v>6</v>
      </c>
      <c r="C4" s="10">
        <v>1181.0</v>
      </c>
      <c r="D4" s="11">
        <v>21980.0</v>
      </c>
      <c r="E4" s="11" t="s">
        <v>33</v>
      </c>
      <c r="F4" s="11">
        <v>1763.0</v>
      </c>
      <c r="G4" s="9" t="s">
        <v>34</v>
      </c>
      <c r="H4" s="12">
        <v>790089.0</v>
      </c>
      <c r="I4" s="12" t="str">
        <f t="shared" ref="I4:I40" si="1">ROUND(H4*18%,0)</f>
        <v>142,216</v>
      </c>
      <c r="J4" s="12" t="str">
        <f t="shared" ref="J4:J40" si="2">+H4+I4</f>
        <v>932,305</v>
      </c>
      <c r="K4" s="12" t="str">
        <f t="shared" ref="K4:K40" si="3">ROUND((H4+I4)*2%,0)</f>
        <v>18,646</v>
      </c>
      <c r="L4" s="13" t="str">
        <f t="shared" ref="L4:L40" si="4">H4*0.1%</f>
        <v>790</v>
      </c>
      <c r="M4" s="13" t="str">
        <f t="shared" ref="M4:M40" si="5">H4*2.25%*118%</f>
        <v>20,977</v>
      </c>
      <c r="N4" s="14" t="str">
        <f t="shared" ref="N4:N40" si="6">H4*2.25%*2%</f>
        <v>356</v>
      </c>
      <c r="O4" s="13" t="str">
        <f t="shared" ref="O4:O40" si="7">M4-N4</f>
        <v>20,621</v>
      </c>
      <c r="P4" s="13" t="str">
        <f t="shared" ref="P4:P40" si="8">ROUND(O4+L4,0)</f>
        <v>21,411</v>
      </c>
      <c r="Q4" s="15">
        <v>0.02</v>
      </c>
      <c r="R4" s="13" t="str">
        <f t="shared" ref="R4:R40" si="9">ROUND(H4*Q4,0)</f>
        <v>15,802</v>
      </c>
      <c r="S4" s="12" t="str">
        <f t="shared" ref="S4:S40" si="10">ROUND(H4*117.65%-R4,0)</f>
        <v>913,738</v>
      </c>
      <c r="T4" s="13" t="str">
        <f t="shared" ref="T4:T40" si="11">ROUND(H4*25%,0)</f>
        <v>197,522</v>
      </c>
      <c r="U4" s="16">
        <v>197522.0</v>
      </c>
      <c r="V4" s="13" t="s">
        <v>35</v>
      </c>
      <c r="W4" s="13" t="str">
        <f t="shared" ref="W4:W40" si="12">ROUND(H4*92.65%-R4,0)</f>
        <v>716,215</v>
      </c>
      <c r="X4" s="13">
        <v>716216.0</v>
      </c>
      <c r="Y4" s="13" t="s">
        <v>36</v>
      </c>
      <c r="Z4" s="13" t="str">
        <f t="shared" ref="Z4:Z40" si="13">IF(OR(Y4="",Y4=0),H4*0.0118*CEILING((TODAY()-DATE(2026,8,22))/7,1),IF(DATE(VALUE(RIGHT(Y4,4)),VALUE(MID(Y4,4,2)),VALUE(LEFT(Y4,2)))&lt;=DATE(2026,8,24),0,H4*0.0118*CEILING((DATE(VALUE(RIGHT(Y4,4)),VALUE(MID(Y4,4,2)),VALUE(LEFT(Y4,2)))-DATE(2026,8,22))/7,1)))</f>
        <v>0</v>
      </c>
      <c r="AA4" s="13"/>
      <c r="AB4" s="13"/>
      <c r="AC4" s="13" t="str">
        <f t="shared" ref="AC4:AC40" si="14">U4+X4+AA4</f>
        <v>913,738</v>
      </c>
      <c r="AD4" s="17" t="str">
        <f t="shared" ref="AD4:AD40" si="15">S4-AC4</f>
        <v>0</v>
      </c>
      <c r="AE4" s="18" t="s">
        <v>37</v>
      </c>
      <c r="AF4" s="19">
        <v>1.800003271E9</v>
      </c>
      <c r="AG4" s="20" t="s">
        <v>35</v>
      </c>
    </row>
    <row r="5" ht="14.25" customHeight="1">
      <c r="A5" s="21">
        <v>270.0</v>
      </c>
      <c r="B5" s="22" t="s">
        <v>38</v>
      </c>
      <c r="C5" s="23">
        <v>580.0</v>
      </c>
      <c r="D5" s="24">
        <v>21977.0</v>
      </c>
      <c r="E5" s="24" t="s">
        <v>39</v>
      </c>
      <c r="F5" s="24">
        <v>1874.0</v>
      </c>
      <c r="G5" s="22" t="s">
        <v>40</v>
      </c>
      <c r="H5" s="25">
        <v>156600.0</v>
      </c>
      <c r="I5" s="25" t="str">
        <f t="shared" si="1"/>
        <v>28,188</v>
      </c>
      <c r="J5" s="25" t="str">
        <f t="shared" si="2"/>
        <v>184,788</v>
      </c>
      <c r="K5" s="25" t="str">
        <f t="shared" si="3"/>
        <v>3,696</v>
      </c>
      <c r="L5" s="26" t="str">
        <f t="shared" si="4"/>
        <v>157</v>
      </c>
      <c r="M5" s="26" t="str">
        <f t="shared" si="5"/>
        <v>4,158</v>
      </c>
      <c r="N5" s="27" t="str">
        <f t="shared" si="6"/>
        <v>70</v>
      </c>
      <c r="O5" s="26" t="str">
        <f t="shared" si="7"/>
        <v>4,087</v>
      </c>
      <c r="P5" s="26" t="str">
        <f t="shared" si="8"/>
        <v>4,244</v>
      </c>
      <c r="Q5" s="28">
        <v>0.0</v>
      </c>
      <c r="R5" s="26" t="str">
        <f t="shared" si="9"/>
        <v>0</v>
      </c>
      <c r="S5" s="25" t="str">
        <f t="shared" si="10"/>
        <v>184,240</v>
      </c>
      <c r="T5" s="26" t="str">
        <f t="shared" si="11"/>
        <v>39,150</v>
      </c>
      <c r="U5" s="29" t="str">
        <f>+T5</f>
        <v>  39,150 </v>
      </c>
      <c r="V5" s="26" t="s">
        <v>41</v>
      </c>
      <c r="W5" s="26" t="str">
        <f t="shared" si="12"/>
        <v>145,090</v>
      </c>
      <c r="X5" s="26">
        <v>145090.0</v>
      </c>
      <c r="Y5" s="26" t="s">
        <v>35</v>
      </c>
      <c r="Z5" s="26" t="str">
        <f t="shared" si="13"/>
        <v>0</v>
      </c>
      <c r="AA5" s="26"/>
      <c r="AB5" s="26"/>
      <c r="AC5" s="13" t="str">
        <f t="shared" si="14"/>
        <v>184,240</v>
      </c>
      <c r="AD5" s="17" t="str">
        <f t="shared" si="15"/>
        <v>0</v>
      </c>
      <c r="AE5" s="18" t="s">
        <v>42</v>
      </c>
      <c r="AF5" s="19">
        <v>1.800003302E9</v>
      </c>
      <c r="AG5" s="20" t="s">
        <v>43</v>
      </c>
    </row>
    <row r="6" ht="26.25" customHeight="1">
      <c r="A6" s="21">
        <v>28.0</v>
      </c>
      <c r="B6" s="22" t="s">
        <v>44</v>
      </c>
      <c r="C6" s="23">
        <v>1456.0</v>
      </c>
      <c r="D6" s="24">
        <v>21977.0</v>
      </c>
      <c r="E6" s="24" t="s">
        <v>33</v>
      </c>
      <c r="F6" s="24">
        <v>1875.0</v>
      </c>
      <c r="G6" s="22" t="s">
        <v>45</v>
      </c>
      <c r="H6" s="25">
        <v>40768.0</v>
      </c>
      <c r="I6" s="25" t="str">
        <f t="shared" si="1"/>
        <v>7,338</v>
      </c>
      <c r="J6" s="25" t="str">
        <f t="shared" si="2"/>
        <v>48,106</v>
      </c>
      <c r="K6" s="25" t="str">
        <f t="shared" si="3"/>
        <v>962</v>
      </c>
      <c r="L6" s="26" t="str">
        <f t="shared" si="4"/>
        <v>41</v>
      </c>
      <c r="M6" s="26" t="str">
        <f t="shared" si="5"/>
        <v>1,082</v>
      </c>
      <c r="N6" s="27" t="str">
        <f t="shared" si="6"/>
        <v>18</v>
      </c>
      <c r="O6" s="26" t="str">
        <f t="shared" si="7"/>
        <v>1,064</v>
      </c>
      <c r="P6" s="26" t="str">
        <f t="shared" si="8"/>
        <v>1,105</v>
      </c>
      <c r="Q6" s="28">
        <v>0.0</v>
      </c>
      <c r="R6" s="26" t="str">
        <f t="shared" si="9"/>
        <v>0</v>
      </c>
      <c r="S6" s="25" t="str">
        <f t="shared" si="10"/>
        <v>47,964</v>
      </c>
      <c r="T6" s="26" t="str">
        <f t="shared" si="11"/>
        <v>10,192</v>
      </c>
      <c r="U6" s="29">
        <v>10192.0</v>
      </c>
      <c r="V6" s="26" t="s">
        <v>46</v>
      </c>
      <c r="W6" s="26" t="str">
        <f t="shared" si="12"/>
        <v>37,772</v>
      </c>
      <c r="X6" s="26" t="str">
        <f>+W6+R6</f>
        <v>37,772</v>
      </c>
      <c r="Y6" s="26" t="s">
        <v>47</v>
      </c>
      <c r="Z6" s="26" t="str">
        <f t="shared" si="13"/>
        <v>0</v>
      </c>
      <c r="AA6" s="26"/>
      <c r="AB6" s="26"/>
      <c r="AC6" s="13" t="str">
        <f t="shared" si="14"/>
        <v>47,964</v>
      </c>
      <c r="AD6" s="17" t="str">
        <f t="shared" si="15"/>
        <v>0</v>
      </c>
      <c r="AE6" s="18" t="s">
        <v>48</v>
      </c>
      <c r="AF6" s="19">
        <v>1.800003346E9</v>
      </c>
      <c r="AG6" s="20" t="s">
        <v>43</v>
      </c>
    </row>
    <row r="7" ht="39.0" customHeight="1">
      <c r="A7" s="21">
        <v>3000.0</v>
      </c>
      <c r="B7" s="22" t="s">
        <v>49</v>
      </c>
      <c r="C7" s="23">
        <v>66.0</v>
      </c>
      <c r="D7" s="24">
        <v>21977.0</v>
      </c>
      <c r="E7" s="24" t="s">
        <v>33</v>
      </c>
      <c r="F7" s="24">
        <v>1876.0</v>
      </c>
      <c r="G7" s="22" t="s">
        <v>45</v>
      </c>
      <c r="H7" s="25">
        <v>198000.0</v>
      </c>
      <c r="I7" s="25" t="str">
        <f t="shared" si="1"/>
        <v>35,640</v>
      </c>
      <c r="J7" s="25" t="str">
        <f t="shared" si="2"/>
        <v>233,640</v>
      </c>
      <c r="K7" s="25" t="str">
        <f t="shared" si="3"/>
        <v>4,673</v>
      </c>
      <c r="L7" s="26" t="str">
        <f t="shared" si="4"/>
        <v>198</v>
      </c>
      <c r="M7" s="26" t="str">
        <f t="shared" si="5"/>
        <v>5,257</v>
      </c>
      <c r="N7" s="27" t="str">
        <f t="shared" si="6"/>
        <v>89</v>
      </c>
      <c r="O7" s="26" t="str">
        <f t="shared" si="7"/>
        <v>5,168</v>
      </c>
      <c r="P7" s="26" t="str">
        <f t="shared" si="8"/>
        <v>5,366</v>
      </c>
      <c r="Q7" s="28">
        <v>0.0</v>
      </c>
      <c r="R7" s="26" t="str">
        <f t="shared" si="9"/>
        <v>0</v>
      </c>
      <c r="S7" s="25" t="str">
        <f t="shared" si="10"/>
        <v>232,947</v>
      </c>
      <c r="T7" s="26" t="str">
        <f t="shared" si="11"/>
        <v>49,500</v>
      </c>
      <c r="U7" s="29">
        <v>49500.0</v>
      </c>
      <c r="V7" s="26" t="s">
        <v>46</v>
      </c>
      <c r="W7" s="26" t="str">
        <f t="shared" si="12"/>
        <v>183,447</v>
      </c>
      <c r="X7" s="26" t="str">
        <f>+W7+R7-1</f>
        <v>183,446</v>
      </c>
      <c r="Y7" s="26" t="s">
        <v>47</v>
      </c>
      <c r="Z7" s="26" t="str">
        <f t="shared" si="13"/>
        <v>0</v>
      </c>
      <c r="AA7" s="26"/>
      <c r="AB7" s="26"/>
      <c r="AC7" s="13" t="str">
        <f t="shared" si="14"/>
        <v>232,946</v>
      </c>
      <c r="AD7" s="17" t="str">
        <f t="shared" si="15"/>
        <v>1</v>
      </c>
      <c r="AE7" s="18" t="s">
        <v>50</v>
      </c>
      <c r="AF7" s="19">
        <v>1.800003347E9</v>
      </c>
      <c r="AG7" s="20" t="s">
        <v>43</v>
      </c>
    </row>
    <row r="8" ht="26.25" customHeight="1">
      <c r="A8" s="21">
        <v>7253.0</v>
      </c>
      <c r="B8" s="22" t="s">
        <v>51</v>
      </c>
      <c r="C8" s="23">
        <v>227.0</v>
      </c>
      <c r="D8" s="24">
        <v>21980.0</v>
      </c>
      <c r="E8" s="24" t="s">
        <v>33</v>
      </c>
      <c r="F8" s="24">
        <v>1923.0</v>
      </c>
      <c r="G8" s="22" t="s">
        <v>52</v>
      </c>
      <c r="H8" s="25">
        <v>1646431.0</v>
      </c>
      <c r="I8" s="25" t="str">
        <f t="shared" si="1"/>
        <v>296,358</v>
      </c>
      <c r="J8" s="25" t="str">
        <f t="shared" si="2"/>
        <v>1,942,789</v>
      </c>
      <c r="K8" s="25" t="str">
        <f t="shared" si="3"/>
        <v>38,856</v>
      </c>
      <c r="L8" s="26" t="str">
        <f t="shared" si="4"/>
        <v>1,646</v>
      </c>
      <c r="M8" s="26" t="str">
        <f t="shared" si="5"/>
        <v>43,713</v>
      </c>
      <c r="N8" s="27" t="str">
        <f t="shared" si="6"/>
        <v>741</v>
      </c>
      <c r="O8" s="26" t="str">
        <f t="shared" si="7"/>
        <v>42,972</v>
      </c>
      <c r="P8" s="26" t="str">
        <f t="shared" si="8"/>
        <v>44,618</v>
      </c>
      <c r="Q8" s="28">
        <v>0.02</v>
      </c>
      <c r="R8" s="26" t="str">
        <f t="shared" si="9"/>
        <v>32,929</v>
      </c>
      <c r="S8" s="25" t="str">
        <f t="shared" si="10"/>
        <v>1,904,097</v>
      </c>
      <c r="T8" s="26" t="str">
        <f t="shared" si="11"/>
        <v>411,608</v>
      </c>
      <c r="U8" s="29" t="str">
        <f t="shared" ref="U8:U12" si="16">+T8</f>
        <v>  411,608 </v>
      </c>
      <c r="V8" s="26" t="s">
        <v>53</v>
      </c>
      <c r="W8" s="26" t="str">
        <f t="shared" si="12"/>
        <v>1,492,489</v>
      </c>
      <c r="X8" s="26">
        <v>1492490.0</v>
      </c>
      <c r="Y8" s="26" t="s">
        <v>35</v>
      </c>
      <c r="Z8" s="26" t="str">
        <f t="shared" si="13"/>
        <v>0</v>
      </c>
      <c r="AA8" s="26"/>
      <c r="AB8" s="26"/>
      <c r="AC8" s="13" t="str">
        <f t="shared" si="14"/>
        <v>1,904,098</v>
      </c>
      <c r="AD8" s="17" t="str">
        <f t="shared" si="15"/>
        <v>(1)</v>
      </c>
      <c r="AE8" s="18" t="s">
        <v>54</v>
      </c>
      <c r="AF8" s="19">
        <v>1.800003315E9</v>
      </c>
      <c r="AG8" s="20" t="s">
        <v>43</v>
      </c>
    </row>
    <row r="9" ht="14.25" customHeight="1">
      <c r="A9" s="21">
        <v>1.0</v>
      </c>
      <c r="B9" s="22" t="s">
        <v>55</v>
      </c>
      <c r="C9" s="23">
        <v>2787314.0</v>
      </c>
      <c r="D9" s="24">
        <v>21977.0</v>
      </c>
      <c r="E9" s="24" t="s">
        <v>39</v>
      </c>
      <c r="F9" s="24">
        <v>1976.0</v>
      </c>
      <c r="G9" s="22" t="s">
        <v>56</v>
      </c>
      <c r="H9" s="25">
        <v>2787314.0</v>
      </c>
      <c r="I9" s="25" t="str">
        <f t="shared" si="1"/>
        <v>501,717</v>
      </c>
      <c r="J9" s="25" t="str">
        <f t="shared" si="2"/>
        <v>3,289,031</v>
      </c>
      <c r="K9" s="25" t="str">
        <f t="shared" si="3"/>
        <v>65,781</v>
      </c>
      <c r="L9" s="26" t="str">
        <f t="shared" si="4"/>
        <v>2,787</v>
      </c>
      <c r="M9" s="26" t="str">
        <f t="shared" si="5"/>
        <v>74,003</v>
      </c>
      <c r="N9" s="27" t="str">
        <f t="shared" si="6"/>
        <v>1,254</v>
      </c>
      <c r="O9" s="26" t="str">
        <f t="shared" si="7"/>
        <v>72,749</v>
      </c>
      <c r="P9" s="26" t="str">
        <f t="shared" si="8"/>
        <v>75,536</v>
      </c>
      <c r="Q9" s="28">
        <v>0.0</v>
      </c>
      <c r="R9" s="26" t="str">
        <f t="shared" si="9"/>
        <v>0</v>
      </c>
      <c r="S9" s="25" t="str">
        <f t="shared" si="10"/>
        <v>3,279,275</v>
      </c>
      <c r="T9" s="26" t="str">
        <f t="shared" si="11"/>
        <v>696,829</v>
      </c>
      <c r="U9" s="29" t="str">
        <f t="shared" si="16"/>
        <v>  696,829 </v>
      </c>
      <c r="V9" s="26" t="s">
        <v>41</v>
      </c>
      <c r="W9" s="26" t="str">
        <f t="shared" si="12"/>
        <v>2,582,446</v>
      </c>
      <c r="X9" s="26">
        <v>2582447.09429161</v>
      </c>
      <c r="Y9" s="26" t="s">
        <v>41</v>
      </c>
      <c r="Z9" s="26" t="str">
        <f t="shared" si="13"/>
        <v>0</v>
      </c>
      <c r="AA9" s="26"/>
      <c r="AB9" s="26"/>
      <c r="AC9" s="13" t="str">
        <f t="shared" si="14"/>
        <v>3,279,276</v>
      </c>
      <c r="AD9" s="17" t="str">
        <f t="shared" si="15"/>
        <v>(1)</v>
      </c>
      <c r="AE9" s="18" t="s">
        <v>57</v>
      </c>
      <c r="AF9" s="19">
        <v>1.800003194E9</v>
      </c>
      <c r="AG9" s="20" t="s">
        <v>58</v>
      </c>
    </row>
    <row r="10" ht="14.25" customHeight="1">
      <c r="A10" s="21">
        <v>4.0</v>
      </c>
      <c r="B10" s="22" t="s">
        <v>59</v>
      </c>
      <c r="C10" s="23">
        <v>51511.0</v>
      </c>
      <c r="D10" s="24">
        <v>21977.0</v>
      </c>
      <c r="E10" s="24" t="s">
        <v>39</v>
      </c>
      <c r="F10" s="24">
        <v>2002.0</v>
      </c>
      <c r="G10" s="22" t="s">
        <v>40</v>
      </c>
      <c r="H10" s="25">
        <v>206044.0</v>
      </c>
      <c r="I10" s="25" t="str">
        <f t="shared" si="1"/>
        <v>37,088</v>
      </c>
      <c r="J10" s="25" t="str">
        <f t="shared" si="2"/>
        <v>243,132</v>
      </c>
      <c r="K10" s="25" t="str">
        <f t="shared" si="3"/>
        <v>4,863</v>
      </c>
      <c r="L10" s="26" t="str">
        <f t="shared" si="4"/>
        <v>206</v>
      </c>
      <c r="M10" s="26" t="str">
        <f t="shared" si="5"/>
        <v>5,470</v>
      </c>
      <c r="N10" s="27" t="str">
        <f t="shared" si="6"/>
        <v>93</v>
      </c>
      <c r="O10" s="26" t="str">
        <f t="shared" si="7"/>
        <v>5,378</v>
      </c>
      <c r="P10" s="26" t="str">
        <f t="shared" si="8"/>
        <v>5,584</v>
      </c>
      <c r="Q10" s="28">
        <v>0.0</v>
      </c>
      <c r="R10" s="26" t="str">
        <f t="shared" si="9"/>
        <v>0</v>
      </c>
      <c r="S10" s="25" t="str">
        <f t="shared" si="10"/>
        <v>242,411</v>
      </c>
      <c r="T10" s="26" t="str">
        <f t="shared" si="11"/>
        <v>51,511</v>
      </c>
      <c r="U10" s="29" t="str">
        <f t="shared" si="16"/>
        <v>  51,511 </v>
      </c>
      <c r="V10" s="26" t="s">
        <v>41</v>
      </c>
      <c r="W10" s="26" t="str">
        <f t="shared" si="12"/>
        <v>190,900</v>
      </c>
      <c r="X10" s="26">
        <v>190900.0</v>
      </c>
      <c r="Y10" s="26" t="s">
        <v>35</v>
      </c>
      <c r="Z10" s="26" t="str">
        <f t="shared" si="13"/>
        <v>0</v>
      </c>
      <c r="AA10" s="26"/>
      <c r="AB10" s="26"/>
      <c r="AC10" s="13" t="str">
        <f t="shared" si="14"/>
        <v>242,411</v>
      </c>
      <c r="AD10" s="17" t="str">
        <f t="shared" si="15"/>
        <v>0</v>
      </c>
      <c r="AE10" s="18" t="s">
        <v>60</v>
      </c>
      <c r="AF10" s="19">
        <v>1.800003303E9</v>
      </c>
      <c r="AG10" s="20" t="s">
        <v>43</v>
      </c>
    </row>
    <row r="11" ht="14.25" customHeight="1">
      <c r="A11" s="21">
        <v>1.0</v>
      </c>
      <c r="B11" s="22" t="s">
        <v>61</v>
      </c>
      <c r="C11" s="23">
        <v>65007.0</v>
      </c>
      <c r="D11" s="24">
        <v>21977.0</v>
      </c>
      <c r="E11" s="24" t="s">
        <v>39</v>
      </c>
      <c r="F11" s="24">
        <v>2003.0</v>
      </c>
      <c r="G11" s="22" t="s">
        <v>40</v>
      </c>
      <c r="H11" s="25">
        <v>65007.0</v>
      </c>
      <c r="I11" s="25" t="str">
        <f t="shared" si="1"/>
        <v>11,701</v>
      </c>
      <c r="J11" s="25" t="str">
        <f t="shared" si="2"/>
        <v>76,708</v>
      </c>
      <c r="K11" s="25" t="str">
        <f t="shared" si="3"/>
        <v>1,534</v>
      </c>
      <c r="L11" s="26" t="str">
        <f t="shared" si="4"/>
        <v>65</v>
      </c>
      <c r="M11" s="26" t="str">
        <f t="shared" si="5"/>
        <v>1,726</v>
      </c>
      <c r="N11" s="27" t="str">
        <f t="shared" si="6"/>
        <v>29</v>
      </c>
      <c r="O11" s="26" t="str">
        <f t="shared" si="7"/>
        <v>1,697</v>
      </c>
      <c r="P11" s="26" t="str">
        <f t="shared" si="8"/>
        <v>1,762</v>
      </c>
      <c r="Q11" s="28">
        <v>0.0</v>
      </c>
      <c r="R11" s="26" t="str">
        <f t="shared" si="9"/>
        <v>0</v>
      </c>
      <c r="S11" s="25" t="str">
        <f t="shared" si="10"/>
        <v>76,481</v>
      </c>
      <c r="T11" s="26" t="str">
        <f t="shared" si="11"/>
        <v>16,252</v>
      </c>
      <c r="U11" s="29" t="str">
        <f t="shared" si="16"/>
        <v>  16,252 </v>
      </c>
      <c r="V11" s="26" t="s">
        <v>41</v>
      </c>
      <c r="W11" s="26" t="str">
        <f t="shared" si="12"/>
        <v>60,229</v>
      </c>
      <c r="X11" s="26">
        <v>60229.0</v>
      </c>
      <c r="Y11" s="26" t="s">
        <v>35</v>
      </c>
      <c r="Z11" s="26" t="str">
        <f t="shared" si="13"/>
        <v>0</v>
      </c>
      <c r="AA11" s="26"/>
      <c r="AB11" s="26"/>
      <c r="AC11" s="13" t="str">
        <f t="shared" si="14"/>
        <v>76,481</v>
      </c>
      <c r="AD11" s="17" t="str">
        <f t="shared" si="15"/>
        <v>0</v>
      </c>
      <c r="AE11" s="18" t="s">
        <v>62</v>
      </c>
      <c r="AF11" s="19">
        <v>1.800003304E9</v>
      </c>
      <c r="AG11" s="20" t="s">
        <v>43</v>
      </c>
    </row>
    <row r="12" ht="14.25" customHeight="1">
      <c r="A12" s="21">
        <v>1.0</v>
      </c>
      <c r="B12" s="22" t="s">
        <v>63</v>
      </c>
      <c r="C12" s="23">
        <v>70006.0</v>
      </c>
      <c r="D12" s="24">
        <v>21977.0</v>
      </c>
      <c r="E12" s="24" t="s">
        <v>39</v>
      </c>
      <c r="F12" s="24">
        <v>2005.0</v>
      </c>
      <c r="G12" s="22" t="s">
        <v>40</v>
      </c>
      <c r="H12" s="25">
        <v>70006.0</v>
      </c>
      <c r="I12" s="25" t="str">
        <f t="shared" si="1"/>
        <v>12,601</v>
      </c>
      <c r="J12" s="25" t="str">
        <f t="shared" si="2"/>
        <v>82,607</v>
      </c>
      <c r="K12" s="25" t="str">
        <f t="shared" si="3"/>
        <v>1,652</v>
      </c>
      <c r="L12" s="26" t="str">
        <f t="shared" si="4"/>
        <v>70</v>
      </c>
      <c r="M12" s="26" t="str">
        <f t="shared" si="5"/>
        <v>1,859</v>
      </c>
      <c r="N12" s="27" t="str">
        <f t="shared" si="6"/>
        <v>32</v>
      </c>
      <c r="O12" s="26" t="str">
        <f t="shared" si="7"/>
        <v>1,827</v>
      </c>
      <c r="P12" s="26" t="str">
        <f t="shared" si="8"/>
        <v>1,897</v>
      </c>
      <c r="Q12" s="28">
        <v>0.0</v>
      </c>
      <c r="R12" s="26" t="str">
        <f t="shared" si="9"/>
        <v>0</v>
      </c>
      <c r="S12" s="25" t="str">
        <f t="shared" si="10"/>
        <v>82,362</v>
      </c>
      <c r="T12" s="26" t="str">
        <f t="shared" si="11"/>
        <v>17,502</v>
      </c>
      <c r="U12" s="29" t="str">
        <f t="shared" si="16"/>
        <v>  17,502 </v>
      </c>
      <c r="V12" s="26" t="s">
        <v>41</v>
      </c>
      <c r="W12" s="26" t="str">
        <f t="shared" si="12"/>
        <v>64,861</v>
      </c>
      <c r="X12" s="26">
        <v>64859.0</v>
      </c>
      <c r="Y12" s="26" t="s">
        <v>35</v>
      </c>
      <c r="Z12" s="26" t="str">
        <f t="shared" si="13"/>
        <v>0</v>
      </c>
      <c r="AA12" s="26"/>
      <c r="AB12" s="26"/>
      <c r="AC12" s="13" t="str">
        <f t="shared" si="14"/>
        <v>82,361</v>
      </c>
      <c r="AD12" s="17" t="str">
        <f t="shared" si="15"/>
        <v>1</v>
      </c>
      <c r="AE12" s="18" t="s">
        <v>64</v>
      </c>
      <c r="AF12" s="19">
        <v>1.800003305E9</v>
      </c>
      <c r="AG12" s="20" t="s">
        <v>43</v>
      </c>
    </row>
    <row r="13" ht="14.25" customHeight="1">
      <c r="A13" s="21">
        <v>25.0</v>
      </c>
      <c r="B13" s="22" t="s">
        <v>65</v>
      </c>
      <c r="C13" s="23">
        <v>700.0</v>
      </c>
      <c r="D13" s="24">
        <v>21977.0</v>
      </c>
      <c r="E13" s="24" t="s">
        <v>39</v>
      </c>
      <c r="F13" s="24">
        <v>2006.0</v>
      </c>
      <c r="G13" s="22" t="s">
        <v>66</v>
      </c>
      <c r="H13" s="25">
        <v>17500.0</v>
      </c>
      <c r="I13" s="25" t="str">
        <f t="shared" si="1"/>
        <v>3,150</v>
      </c>
      <c r="J13" s="25" t="str">
        <f t="shared" si="2"/>
        <v>20,650</v>
      </c>
      <c r="K13" s="25" t="str">
        <f t="shared" si="3"/>
        <v>413</v>
      </c>
      <c r="L13" s="26" t="str">
        <f t="shared" si="4"/>
        <v>18</v>
      </c>
      <c r="M13" s="26" t="str">
        <f t="shared" si="5"/>
        <v>465</v>
      </c>
      <c r="N13" s="27" t="str">
        <f t="shared" si="6"/>
        <v>8</v>
      </c>
      <c r="O13" s="26" t="str">
        <f t="shared" si="7"/>
        <v>457</v>
      </c>
      <c r="P13" s="26" t="str">
        <f t="shared" si="8"/>
        <v>474</v>
      </c>
      <c r="Q13" s="28">
        <v>0.0</v>
      </c>
      <c r="R13" s="26" t="str">
        <f t="shared" si="9"/>
        <v>0</v>
      </c>
      <c r="S13" s="25" t="str">
        <f t="shared" si="10"/>
        <v>20,589</v>
      </c>
      <c r="T13" s="26" t="str">
        <f t="shared" si="11"/>
        <v>4,375</v>
      </c>
      <c r="U13" s="29">
        <v>4375.0</v>
      </c>
      <c r="V13" s="26" t="s">
        <v>46</v>
      </c>
      <c r="W13" s="26" t="str">
        <f t="shared" si="12"/>
        <v>16,214</v>
      </c>
      <c r="X13" s="26">
        <v>16214.0</v>
      </c>
      <c r="Y13" s="26" t="s">
        <v>46</v>
      </c>
      <c r="Z13" s="26" t="str">
        <f t="shared" si="13"/>
        <v>0</v>
      </c>
      <c r="AA13" s="26"/>
      <c r="AB13" s="26"/>
      <c r="AC13" s="13" t="str">
        <f t="shared" si="14"/>
        <v>20,589</v>
      </c>
      <c r="AD13" s="17" t="str">
        <f t="shared" si="15"/>
        <v>0</v>
      </c>
      <c r="AE13" s="18" t="s">
        <v>67</v>
      </c>
      <c r="AF13" s="19">
        <v>1.800003156E9</v>
      </c>
      <c r="AG13" s="20" t="s">
        <v>53</v>
      </c>
    </row>
    <row r="14" ht="14.25" customHeight="1">
      <c r="A14" s="21">
        <v>1.0</v>
      </c>
      <c r="B14" s="22" t="s">
        <v>68</v>
      </c>
      <c r="C14" s="23">
        <v>3857116.0</v>
      </c>
      <c r="D14" s="24">
        <v>21977.0</v>
      </c>
      <c r="E14" s="24" t="s">
        <v>39</v>
      </c>
      <c r="F14" s="24">
        <v>2007.0</v>
      </c>
      <c r="G14" s="22" t="s">
        <v>56</v>
      </c>
      <c r="H14" s="25">
        <v>3857116.0</v>
      </c>
      <c r="I14" s="25" t="str">
        <f t="shared" si="1"/>
        <v>694,281</v>
      </c>
      <c r="J14" s="25" t="str">
        <f t="shared" si="2"/>
        <v>4,551,397</v>
      </c>
      <c r="K14" s="25" t="str">
        <f t="shared" si="3"/>
        <v>91,028</v>
      </c>
      <c r="L14" s="26" t="str">
        <f t="shared" si="4"/>
        <v>3,857</v>
      </c>
      <c r="M14" s="26" t="str">
        <f t="shared" si="5"/>
        <v>102,406</v>
      </c>
      <c r="N14" s="27" t="str">
        <f t="shared" si="6"/>
        <v>1,736</v>
      </c>
      <c r="O14" s="26" t="str">
        <f t="shared" si="7"/>
        <v>100,671</v>
      </c>
      <c r="P14" s="26" t="str">
        <f t="shared" si="8"/>
        <v>104,528</v>
      </c>
      <c r="Q14" s="28">
        <v>0.0</v>
      </c>
      <c r="R14" s="26" t="str">
        <f t="shared" si="9"/>
        <v>0</v>
      </c>
      <c r="S14" s="25" t="str">
        <f t="shared" si="10"/>
        <v>4,537,897</v>
      </c>
      <c r="T14" s="26" t="str">
        <f t="shared" si="11"/>
        <v>964,279</v>
      </c>
      <c r="U14" s="29" t="str">
        <f>+T14</f>
        <v>  964,279 </v>
      </c>
      <c r="V14" s="26" t="s">
        <v>41</v>
      </c>
      <c r="W14" s="26" t="str">
        <f t="shared" si="12"/>
        <v>3,573,618</v>
      </c>
      <c r="X14" s="26">
        <v>3573618.90570839</v>
      </c>
      <c r="Y14" s="26" t="s">
        <v>41</v>
      </c>
      <c r="Z14" s="26" t="str">
        <f t="shared" si="13"/>
        <v>0</v>
      </c>
      <c r="AA14" s="26"/>
      <c r="AB14" s="26"/>
      <c r="AC14" s="13" t="str">
        <f t="shared" si="14"/>
        <v>4,537,898</v>
      </c>
      <c r="AD14" s="17" t="str">
        <f t="shared" si="15"/>
        <v>(1)</v>
      </c>
      <c r="AE14" s="18" t="s">
        <v>69</v>
      </c>
      <c r="AF14" s="19">
        <v>1.800003196E9</v>
      </c>
      <c r="AG14" s="20" t="s">
        <v>58</v>
      </c>
    </row>
    <row r="15" ht="14.25" customHeight="1">
      <c r="A15" s="21">
        <v>250.0</v>
      </c>
      <c r="B15" s="22" t="s">
        <v>70</v>
      </c>
      <c r="C15" s="23">
        <v>543.0</v>
      </c>
      <c r="D15" s="24">
        <v>21977.0</v>
      </c>
      <c r="E15" s="24" t="s">
        <v>39</v>
      </c>
      <c r="F15" s="24">
        <v>2008.0</v>
      </c>
      <c r="G15" s="22" t="s">
        <v>71</v>
      </c>
      <c r="H15" s="25">
        <v>135750.0</v>
      </c>
      <c r="I15" s="25" t="str">
        <f t="shared" si="1"/>
        <v>24,435</v>
      </c>
      <c r="J15" s="25" t="str">
        <f t="shared" si="2"/>
        <v>160,185</v>
      </c>
      <c r="K15" s="25" t="str">
        <f t="shared" si="3"/>
        <v>3,204</v>
      </c>
      <c r="L15" s="26" t="str">
        <f t="shared" si="4"/>
        <v>136</v>
      </c>
      <c r="M15" s="26" t="str">
        <f t="shared" si="5"/>
        <v>3,604</v>
      </c>
      <c r="N15" s="27" t="str">
        <f t="shared" si="6"/>
        <v>61</v>
      </c>
      <c r="O15" s="26" t="str">
        <f t="shared" si="7"/>
        <v>3,543</v>
      </c>
      <c r="P15" s="26" t="str">
        <f t="shared" si="8"/>
        <v>3,679</v>
      </c>
      <c r="Q15" s="28">
        <v>0.0</v>
      </c>
      <c r="R15" s="26" t="str">
        <f t="shared" si="9"/>
        <v>0</v>
      </c>
      <c r="S15" s="25" t="str">
        <f t="shared" si="10"/>
        <v>159,710</v>
      </c>
      <c r="T15" s="26" t="str">
        <f t="shared" si="11"/>
        <v>33,938</v>
      </c>
      <c r="U15" s="29">
        <v>33938.0</v>
      </c>
      <c r="V15" s="26" t="s">
        <v>53</v>
      </c>
      <c r="W15" s="26" t="str">
        <f t="shared" si="12"/>
        <v>125,772</v>
      </c>
      <c r="X15" s="26">
        <v>125772.0</v>
      </c>
      <c r="Y15" s="26" t="s">
        <v>36</v>
      </c>
      <c r="Z15" s="26" t="str">
        <f t="shared" si="13"/>
        <v>0</v>
      </c>
      <c r="AA15" s="26"/>
      <c r="AB15" s="26"/>
      <c r="AC15" s="13" t="str">
        <f t="shared" si="14"/>
        <v>159,710</v>
      </c>
      <c r="AD15" s="17" t="str">
        <f t="shared" si="15"/>
        <v>0</v>
      </c>
      <c r="AE15" s="18" t="s">
        <v>72</v>
      </c>
      <c r="AF15" s="19">
        <v>1.800003247E9</v>
      </c>
      <c r="AG15" s="20" t="s">
        <v>47</v>
      </c>
    </row>
    <row r="16" ht="14.25" customHeight="1">
      <c r="A16" s="21">
        <v>22.0</v>
      </c>
      <c r="B16" s="22" t="s">
        <v>73</v>
      </c>
      <c r="C16" s="23">
        <v>700.0</v>
      </c>
      <c r="D16" s="24">
        <v>21977.0</v>
      </c>
      <c r="E16" s="24" t="s">
        <v>39</v>
      </c>
      <c r="F16" s="24">
        <v>2011.0</v>
      </c>
      <c r="G16" s="22" t="s">
        <v>66</v>
      </c>
      <c r="H16" s="25">
        <v>15400.0</v>
      </c>
      <c r="I16" s="25" t="str">
        <f t="shared" si="1"/>
        <v>2,772</v>
      </c>
      <c r="J16" s="25" t="str">
        <f t="shared" si="2"/>
        <v>18,172</v>
      </c>
      <c r="K16" s="25" t="str">
        <f t="shared" si="3"/>
        <v>363</v>
      </c>
      <c r="L16" s="26" t="str">
        <f t="shared" si="4"/>
        <v>15</v>
      </c>
      <c r="M16" s="26" t="str">
        <f t="shared" si="5"/>
        <v>409</v>
      </c>
      <c r="N16" s="27" t="str">
        <f t="shared" si="6"/>
        <v>7</v>
      </c>
      <c r="O16" s="26" t="str">
        <f t="shared" si="7"/>
        <v>402</v>
      </c>
      <c r="P16" s="26" t="str">
        <f t="shared" si="8"/>
        <v>417</v>
      </c>
      <c r="Q16" s="28">
        <v>0.0</v>
      </c>
      <c r="R16" s="26" t="str">
        <f t="shared" si="9"/>
        <v>0</v>
      </c>
      <c r="S16" s="25" t="str">
        <f t="shared" si="10"/>
        <v>18,118</v>
      </c>
      <c r="T16" s="26" t="str">
        <f t="shared" si="11"/>
        <v>3,850</v>
      </c>
      <c r="U16" s="29">
        <v>3850.0</v>
      </c>
      <c r="V16" s="26" t="s">
        <v>46</v>
      </c>
      <c r="W16" s="26" t="str">
        <f t="shared" si="12"/>
        <v>14,268</v>
      </c>
      <c r="X16" s="26">
        <v>14267.0</v>
      </c>
      <c r="Y16" s="26" t="s">
        <v>46</v>
      </c>
      <c r="Z16" s="26" t="str">
        <f t="shared" si="13"/>
        <v>0</v>
      </c>
      <c r="AA16" s="26"/>
      <c r="AB16" s="26"/>
      <c r="AC16" s="13" t="str">
        <f t="shared" si="14"/>
        <v>18,117</v>
      </c>
      <c r="AD16" s="17" t="str">
        <f t="shared" si="15"/>
        <v>1</v>
      </c>
      <c r="AE16" s="18" t="s">
        <v>74</v>
      </c>
      <c r="AF16" s="19">
        <v>1.800003157E9</v>
      </c>
      <c r="AG16" s="20" t="s">
        <v>53</v>
      </c>
    </row>
    <row r="17" ht="14.25" customHeight="1">
      <c r="A17" s="21">
        <v>100.0</v>
      </c>
      <c r="B17" s="22" t="s">
        <v>75</v>
      </c>
      <c r="C17" s="23">
        <v>710.0</v>
      </c>
      <c r="D17" s="24">
        <v>21978.0</v>
      </c>
      <c r="E17" s="24" t="s">
        <v>39</v>
      </c>
      <c r="F17" s="24">
        <v>2015.0</v>
      </c>
      <c r="G17" s="22" t="s">
        <v>66</v>
      </c>
      <c r="H17" s="25">
        <v>71000.0</v>
      </c>
      <c r="I17" s="25" t="str">
        <f t="shared" si="1"/>
        <v>12,780</v>
      </c>
      <c r="J17" s="25" t="str">
        <f t="shared" si="2"/>
        <v>83,780</v>
      </c>
      <c r="K17" s="25" t="str">
        <f t="shared" si="3"/>
        <v>1,676</v>
      </c>
      <c r="L17" s="26" t="str">
        <f t="shared" si="4"/>
        <v>71</v>
      </c>
      <c r="M17" s="26" t="str">
        <f t="shared" si="5"/>
        <v>1,885</v>
      </c>
      <c r="N17" s="27" t="str">
        <f t="shared" si="6"/>
        <v>32</v>
      </c>
      <c r="O17" s="26" t="str">
        <f t="shared" si="7"/>
        <v>1,853</v>
      </c>
      <c r="P17" s="26" t="str">
        <f t="shared" si="8"/>
        <v>1,924</v>
      </c>
      <c r="Q17" s="28">
        <v>0.0</v>
      </c>
      <c r="R17" s="26" t="str">
        <f t="shared" si="9"/>
        <v>0</v>
      </c>
      <c r="S17" s="25" t="str">
        <f t="shared" si="10"/>
        <v>83,532</v>
      </c>
      <c r="T17" s="26" t="str">
        <f t="shared" si="11"/>
        <v>17,750</v>
      </c>
      <c r="U17" s="29">
        <v>17750.0</v>
      </c>
      <c r="V17" s="26" t="s">
        <v>46</v>
      </c>
      <c r="W17" s="26" t="str">
        <f t="shared" si="12"/>
        <v>65,782</v>
      </c>
      <c r="X17" s="26" t="str">
        <f>+W17</f>
        <v>65,782</v>
      </c>
      <c r="Y17" s="26" t="s">
        <v>46</v>
      </c>
      <c r="Z17" s="26" t="str">
        <f t="shared" si="13"/>
        <v>0</v>
      </c>
      <c r="AA17" s="26"/>
      <c r="AB17" s="26"/>
      <c r="AC17" s="13" t="str">
        <f t="shared" si="14"/>
        <v>83,532</v>
      </c>
      <c r="AD17" s="17" t="str">
        <f t="shared" si="15"/>
        <v>0</v>
      </c>
      <c r="AE17" s="18" t="s">
        <v>76</v>
      </c>
      <c r="AF17" s="19">
        <v>1.800003158E9</v>
      </c>
      <c r="AG17" s="20" t="s">
        <v>53</v>
      </c>
    </row>
    <row r="18" ht="14.25" customHeight="1">
      <c r="A18" s="21">
        <v>1.0</v>
      </c>
      <c r="B18" s="22" t="s">
        <v>77</v>
      </c>
      <c r="C18" s="23">
        <v>220001.0</v>
      </c>
      <c r="D18" s="24">
        <v>21978.0</v>
      </c>
      <c r="E18" s="24" t="s">
        <v>39</v>
      </c>
      <c r="F18" s="24">
        <v>2018.0</v>
      </c>
      <c r="G18" s="22" t="s">
        <v>40</v>
      </c>
      <c r="H18" s="25">
        <v>220001.0</v>
      </c>
      <c r="I18" s="25" t="str">
        <f t="shared" si="1"/>
        <v>39,600</v>
      </c>
      <c r="J18" s="25" t="str">
        <f t="shared" si="2"/>
        <v>259,601</v>
      </c>
      <c r="K18" s="25" t="str">
        <f t="shared" si="3"/>
        <v>5,192</v>
      </c>
      <c r="L18" s="26" t="str">
        <f t="shared" si="4"/>
        <v>220</v>
      </c>
      <c r="M18" s="26" t="str">
        <f t="shared" si="5"/>
        <v>5,841</v>
      </c>
      <c r="N18" s="27" t="str">
        <f t="shared" si="6"/>
        <v>99</v>
      </c>
      <c r="O18" s="26" t="str">
        <f t="shared" si="7"/>
        <v>5,742</v>
      </c>
      <c r="P18" s="26" t="str">
        <f t="shared" si="8"/>
        <v>5,962</v>
      </c>
      <c r="Q18" s="28">
        <v>0.0</v>
      </c>
      <c r="R18" s="26" t="str">
        <f t="shared" si="9"/>
        <v>0</v>
      </c>
      <c r="S18" s="25" t="str">
        <f t="shared" si="10"/>
        <v>258,831</v>
      </c>
      <c r="T18" s="26" t="str">
        <f t="shared" si="11"/>
        <v>55,000</v>
      </c>
      <c r="U18" s="29" t="str">
        <f t="shared" ref="U18:U19" si="17">+T18</f>
        <v>  55,000 </v>
      </c>
      <c r="V18" s="26" t="s">
        <v>41</v>
      </c>
      <c r="W18" s="26" t="str">
        <f t="shared" si="12"/>
        <v>203,831</v>
      </c>
      <c r="X18" s="26">
        <v>203831.0</v>
      </c>
      <c r="Y18" s="26" t="s">
        <v>35</v>
      </c>
      <c r="Z18" s="26" t="str">
        <f t="shared" si="13"/>
        <v>0</v>
      </c>
      <c r="AA18" s="26"/>
      <c r="AB18" s="26"/>
      <c r="AC18" s="13" t="str">
        <f t="shared" si="14"/>
        <v>258,831</v>
      </c>
      <c r="AD18" s="17" t="str">
        <f t="shared" si="15"/>
        <v>0</v>
      </c>
      <c r="AE18" s="18" t="s">
        <v>78</v>
      </c>
      <c r="AF18" s="19">
        <v>1.800003306E9</v>
      </c>
      <c r="AG18" s="20" t="s">
        <v>43</v>
      </c>
    </row>
    <row r="19" ht="14.25" customHeight="1">
      <c r="A19" s="21">
        <v>1.0</v>
      </c>
      <c r="B19" s="22" t="s">
        <v>77</v>
      </c>
      <c r="C19" s="23">
        <v>210001.0</v>
      </c>
      <c r="D19" s="24">
        <v>21978.0</v>
      </c>
      <c r="E19" s="24" t="s">
        <v>39</v>
      </c>
      <c r="F19" s="24">
        <v>2019.0</v>
      </c>
      <c r="G19" s="22" t="s">
        <v>40</v>
      </c>
      <c r="H19" s="25">
        <v>210001.0</v>
      </c>
      <c r="I19" s="25" t="str">
        <f t="shared" si="1"/>
        <v>37,800</v>
      </c>
      <c r="J19" s="25" t="str">
        <f t="shared" si="2"/>
        <v>247,801</v>
      </c>
      <c r="K19" s="25" t="str">
        <f t="shared" si="3"/>
        <v>4,956</v>
      </c>
      <c r="L19" s="26" t="str">
        <f t="shared" si="4"/>
        <v>210</v>
      </c>
      <c r="M19" s="26" t="str">
        <f t="shared" si="5"/>
        <v>5,576</v>
      </c>
      <c r="N19" s="27" t="str">
        <f t="shared" si="6"/>
        <v>95</v>
      </c>
      <c r="O19" s="26" t="str">
        <f t="shared" si="7"/>
        <v>5,481</v>
      </c>
      <c r="P19" s="26" t="str">
        <f t="shared" si="8"/>
        <v>5,691</v>
      </c>
      <c r="Q19" s="28">
        <v>0.0</v>
      </c>
      <c r="R19" s="26" t="str">
        <f t="shared" si="9"/>
        <v>0</v>
      </c>
      <c r="S19" s="25" t="str">
        <f t="shared" si="10"/>
        <v>247,066</v>
      </c>
      <c r="T19" s="26" t="str">
        <f t="shared" si="11"/>
        <v>52,500</v>
      </c>
      <c r="U19" s="29" t="str">
        <f t="shared" si="17"/>
        <v>  52,500 </v>
      </c>
      <c r="V19" s="26" t="s">
        <v>41</v>
      </c>
      <c r="W19" s="26" t="str">
        <f t="shared" si="12"/>
        <v>194,566</v>
      </c>
      <c r="X19" s="26">
        <v>194566.0</v>
      </c>
      <c r="Y19" s="26" t="s">
        <v>35</v>
      </c>
      <c r="Z19" s="26" t="str">
        <f t="shared" si="13"/>
        <v>0</v>
      </c>
      <c r="AA19" s="26"/>
      <c r="AB19" s="26"/>
      <c r="AC19" s="13" t="str">
        <f t="shared" si="14"/>
        <v>247,066</v>
      </c>
      <c r="AD19" s="17" t="str">
        <f t="shared" si="15"/>
        <v>0</v>
      </c>
      <c r="AE19" s="18" t="s">
        <v>79</v>
      </c>
      <c r="AF19" s="19">
        <v>1.800003307E9</v>
      </c>
      <c r="AG19" s="20" t="s">
        <v>43</v>
      </c>
    </row>
    <row r="20" ht="26.25" customHeight="1">
      <c r="A20" s="21">
        <v>3500.0</v>
      </c>
      <c r="B20" s="22" t="s">
        <v>80</v>
      </c>
      <c r="C20" s="23">
        <v>333.0</v>
      </c>
      <c r="D20" s="24">
        <v>21978.0</v>
      </c>
      <c r="E20" s="24" t="s">
        <v>33</v>
      </c>
      <c r="F20" s="24">
        <v>2020.0</v>
      </c>
      <c r="G20" s="22" t="s">
        <v>52</v>
      </c>
      <c r="H20" s="25">
        <v>1165500.0</v>
      </c>
      <c r="I20" s="25" t="str">
        <f t="shared" si="1"/>
        <v>209,790</v>
      </c>
      <c r="J20" s="25" t="str">
        <f t="shared" si="2"/>
        <v>1,375,290</v>
      </c>
      <c r="K20" s="25" t="str">
        <f t="shared" si="3"/>
        <v>27,506</v>
      </c>
      <c r="L20" s="26" t="str">
        <f t="shared" si="4"/>
        <v>1,166</v>
      </c>
      <c r="M20" s="26" t="str">
        <f t="shared" si="5"/>
        <v>30,944</v>
      </c>
      <c r="N20" s="27" t="str">
        <f t="shared" si="6"/>
        <v>524</v>
      </c>
      <c r="O20" s="26" t="str">
        <f t="shared" si="7"/>
        <v>30,420</v>
      </c>
      <c r="P20" s="26" t="str">
        <f t="shared" si="8"/>
        <v>31,585</v>
      </c>
      <c r="Q20" s="28">
        <v>0.02</v>
      </c>
      <c r="R20" s="26" t="str">
        <f t="shared" si="9"/>
        <v>23,310</v>
      </c>
      <c r="S20" s="25" t="str">
        <f t="shared" si="10"/>
        <v>1,347,901</v>
      </c>
      <c r="T20" s="26" t="str">
        <f t="shared" si="11"/>
        <v>291,375</v>
      </c>
      <c r="U20" s="29">
        <v>291375.0</v>
      </c>
      <c r="V20" s="26" t="s">
        <v>81</v>
      </c>
      <c r="W20" s="26" t="str">
        <f t="shared" si="12"/>
        <v>1,056,526</v>
      </c>
      <c r="X20" s="26">
        <v>1056525.0</v>
      </c>
      <c r="Y20" s="26" t="s">
        <v>81</v>
      </c>
      <c r="Z20" s="26" t="str">
        <f t="shared" si="13"/>
        <v>0</v>
      </c>
      <c r="AA20" s="26"/>
      <c r="AB20" s="26"/>
      <c r="AC20" s="13" t="str">
        <f t="shared" si="14"/>
        <v>1,347,900</v>
      </c>
      <c r="AD20" s="17" t="str">
        <f t="shared" si="15"/>
        <v>1</v>
      </c>
      <c r="AE20" s="18" t="s">
        <v>82</v>
      </c>
      <c r="AF20" s="19">
        <v>1.800003065E9</v>
      </c>
      <c r="AG20" s="20" t="s">
        <v>83</v>
      </c>
    </row>
    <row r="21" ht="39.0" customHeight="1">
      <c r="A21" s="21">
        <v>3.0</v>
      </c>
      <c r="B21" s="22" t="s">
        <v>59</v>
      </c>
      <c r="C21" s="23">
        <v>110200.0</v>
      </c>
      <c r="D21" s="24">
        <v>21978.0</v>
      </c>
      <c r="E21" s="24" t="s">
        <v>39</v>
      </c>
      <c r="F21" s="24">
        <v>2022.0</v>
      </c>
      <c r="G21" s="22" t="s">
        <v>84</v>
      </c>
      <c r="H21" s="25">
        <v>330600.0</v>
      </c>
      <c r="I21" s="25" t="str">
        <f t="shared" si="1"/>
        <v>59,508</v>
      </c>
      <c r="J21" s="25" t="str">
        <f t="shared" si="2"/>
        <v>390,108</v>
      </c>
      <c r="K21" s="25" t="str">
        <f t="shared" si="3"/>
        <v>7,802</v>
      </c>
      <c r="L21" s="26" t="str">
        <f t="shared" si="4"/>
        <v>331</v>
      </c>
      <c r="M21" s="26" t="str">
        <f t="shared" si="5"/>
        <v>8,777</v>
      </c>
      <c r="N21" s="27" t="str">
        <f t="shared" si="6"/>
        <v>149</v>
      </c>
      <c r="O21" s="26" t="str">
        <f t="shared" si="7"/>
        <v>8,629</v>
      </c>
      <c r="P21" s="26" t="str">
        <f t="shared" si="8"/>
        <v>8,959</v>
      </c>
      <c r="Q21" s="28">
        <v>0.0</v>
      </c>
      <c r="R21" s="26" t="str">
        <f t="shared" si="9"/>
        <v>0</v>
      </c>
      <c r="S21" s="25" t="str">
        <f t="shared" si="10"/>
        <v>388,951</v>
      </c>
      <c r="T21" s="26" t="str">
        <f t="shared" si="11"/>
        <v>82,650</v>
      </c>
      <c r="U21" s="29" t="str">
        <f t="shared" ref="U21:U22" si="18">+T21</f>
        <v>  82,650 </v>
      </c>
      <c r="V21" s="26" t="s">
        <v>53</v>
      </c>
      <c r="W21" s="26" t="str">
        <f t="shared" si="12"/>
        <v>306,301</v>
      </c>
      <c r="X21" s="26">
        <v>306301.0</v>
      </c>
      <c r="Y21" s="26" t="s">
        <v>85</v>
      </c>
      <c r="Z21" s="26" t="str">
        <f t="shared" si="13"/>
        <v>0</v>
      </c>
      <c r="AA21" s="26"/>
      <c r="AB21" s="26"/>
      <c r="AC21" s="13" t="str">
        <f t="shared" si="14"/>
        <v>388,951</v>
      </c>
      <c r="AD21" s="17" t="str">
        <f t="shared" si="15"/>
        <v>0</v>
      </c>
      <c r="AE21" s="18" t="s">
        <v>86</v>
      </c>
      <c r="AF21" s="19">
        <v>1.800003269E9</v>
      </c>
      <c r="AG21" s="20" t="s">
        <v>35</v>
      </c>
    </row>
    <row r="22" ht="14.25" customHeight="1">
      <c r="A22" s="21">
        <v>3.0</v>
      </c>
      <c r="B22" s="22" t="s">
        <v>59</v>
      </c>
      <c r="C22" s="23">
        <v>83743.0</v>
      </c>
      <c r="D22" s="24">
        <v>21978.0</v>
      </c>
      <c r="E22" s="24" t="s">
        <v>39</v>
      </c>
      <c r="F22" s="24">
        <v>2023.0</v>
      </c>
      <c r="G22" s="22" t="s">
        <v>40</v>
      </c>
      <c r="H22" s="25">
        <v>251229.0</v>
      </c>
      <c r="I22" s="25" t="str">
        <f t="shared" si="1"/>
        <v>45,221</v>
      </c>
      <c r="J22" s="25" t="str">
        <f t="shared" si="2"/>
        <v>296,450</v>
      </c>
      <c r="K22" s="25" t="str">
        <f t="shared" si="3"/>
        <v>5,929</v>
      </c>
      <c r="L22" s="26" t="str">
        <f t="shared" si="4"/>
        <v>251</v>
      </c>
      <c r="M22" s="26" t="str">
        <f t="shared" si="5"/>
        <v>6,670</v>
      </c>
      <c r="N22" s="27" t="str">
        <f t="shared" si="6"/>
        <v>113</v>
      </c>
      <c r="O22" s="26" t="str">
        <f t="shared" si="7"/>
        <v>6,557</v>
      </c>
      <c r="P22" s="26" t="str">
        <f t="shared" si="8"/>
        <v>6,808</v>
      </c>
      <c r="Q22" s="28">
        <v>0.0</v>
      </c>
      <c r="R22" s="26" t="str">
        <f t="shared" si="9"/>
        <v>0</v>
      </c>
      <c r="S22" s="25" t="str">
        <f t="shared" si="10"/>
        <v>295,571</v>
      </c>
      <c r="T22" s="26" t="str">
        <f t="shared" si="11"/>
        <v>62,807</v>
      </c>
      <c r="U22" s="29" t="str">
        <f t="shared" si="18"/>
        <v>  62,807 </v>
      </c>
      <c r="V22" s="26" t="s">
        <v>41</v>
      </c>
      <c r="W22" s="26" t="str">
        <f t="shared" si="12"/>
        <v>232,764</v>
      </c>
      <c r="X22" s="26">
        <v>232764.0</v>
      </c>
      <c r="Y22" s="26" t="s">
        <v>35</v>
      </c>
      <c r="Z22" s="26" t="str">
        <f t="shared" si="13"/>
        <v>0</v>
      </c>
      <c r="AA22" s="26"/>
      <c r="AB22" s="26"/>
      <c r="AC22" s="13" t="str">
        <f t="shared" si="14"/>
        <v>295,571</v>
      </c>
      <c r="AD22" s="17" t="str">
        <f t="shared" si="15"/>
        <v>0</v>
      </c>
      <c r="AE22" s="18" t="s">
        <v>87</v>
      </c>
      <c r="AF22" s="19">
        <v>1.800003308E9</v>
      </c>
      <c r="AG22" s="20" t="s">
        <v>43</v>
      </c>
    </row>
    <row r="23" ht="14.25" customHeight="1">
      <c r="A23" s="21">
        <v>90.0</v>
      </c>
      <c r="B23" s="22" t="s">
        <v>75</v>
      </c>
      <c r="C23" s="23">
        <v>700.0</v>
      </c>
      <c r="D23" s="24">
        <v>21978.0</v>
      </c>
      <c r="E23" s="24" t="s">
        <v>39</v>
      </c>
      <c r="F23" s="24">
        <v>2025.0</v>
      </c>
      <c r="G23" s="22" t="s">
        <v>66</v>
      </c>
      <c r="H23" s="25">
        <v>63000.0</v>
      </c>
      <c r="I23" s="25" t="str">
        <f t="shared" si="1"/>
        <v>11,340</v>
      </c>
      <c r="J23" s="25" t="str">
        <f t="shared" si="2"/>
        <v>74,340</v>
      </c>
      <c r="K23" s="25" t="str">
        <f t="shared" si="3"/>
        <v>1,487</v>
      </c>
      <c r="L23" s="26" t="str">
        <f t="shared" si="4"/>
        <v>63</v>
      </c>
      <c r="M23" s="26" t="str">
        <f t="shared" si="5"/>
        <v>1,673</v>
      </c>
      <c r="N23" s="27" t="str">
        <f t="shared" si="6"/>
        <v>28</v>
      </c>
      <c r="O23" s="26" t="str">
        <f t="shared" si="7"/>
        <v>1,644</v>
      </c>
      <c r="P23" s="26" t="str">
        <f t="shared" si="8"/>
        <v>1,707</v>
      </c>
      <c r="Q23" s="28">
        <v>0.0</v>
      </c>
      <c r="R23" s="26" t="str">
        <f t="shared" si="9"/>
        <v>0</v>
      </c>
      <c r="S23" s="25" t="str">
        <f t="shared" si="10"/>
        <v>74,120</v>
      </c>
      <c r="T23" s="26" t="str">
        <f t="shared" si="11"/>
        <v>15,750</v>
      </c>
      <c r="U23" s="29">
        <v>15750.0</v>
      </c>
      <c r="V23" s="26" t="s">
        <v>46</v>
      </c>
      <c r="W23" s="26" t="str">
        <f t="shared" si="12"/>
        <v>58,370</v>
      </c>
      <c r="X23" s="26">
        <v>58418.0</v>
      </c>
      <c r="Y23" s="26" t="s">
        <v>46</v>
      </c>
      <c r="Z23" s="26" t="str">
        <f t="shared" si="13"/>
        <v>0</v>
      </c>
      <c r="AA23" s="26"/>
      <c r="AB23" s="26"/>
      <c r="AC23" s="13" t="str">
        <f t="shared" si="14"/>
        <v>74,168</v>
      </c>
      <c r="AD23" s="17" t="str">
        <f t="shared" si="15"/>
        <v>(48)</v>
      </c>
      <c r="AE23" s="18" t="s">
        <v>88</v>
      </c>
      <c r="AF23" s="19">
        <v>1.80000316E9</v>
      </c>
      <c r="AG23" s="20" t="s">
        <v>53</v>
      </c>
    </row>
    <row r="24" ht="14.25" customHeight="1">
      <c r="A24" s="21">
        <v>1.0</v>
      </c>
      <c r="B24" s="22" t="s">
        <v>59</v>
      </c>
      <c r="C24" s="23">
        <v>50003.0</v>
      </c>
      <c r="D24" s="24">
        <v>21978.0</v>
      </c>
      <c r="E24" s="24" t="s">
        <v>39</v>
      </c>
      <c r="F24" s="24">
        <v>2027.0</v>
      </c>
      <c r="G24" s="22" t="s">
        <v>40</v>
      </c>
      <c r="H24" s="25">
        <v>50003.0</v>
      </c>
      <c r="I24" s="25" t="str">
        <f t="shared" si="1"/>
        <v>9,001</v>
      </c>
      <c r="J24" s="25" t="str">
        <f t="shared" si="2"/>
        <v>59,004</v>
      </c>
      <c r="K24" s="25" t="str">
        <f t="shared" si="3"/>
        <v>1,180</v>
      </c>
      <c r="L24" s="26" t="str">
        <f t="shared" si="4"/>
        <v>50</v>
      </c>
      <c r="M24" s="26" t="str">
        <f t="shared" si="5"/>
        <v>1,328</v>
      </c>
      <c r="N24" s="27" t="str">
        <f t="shared" si="6"/>
        <v>23</v>
      </c>
      <c r="O24" s="26" t="str">
        <f t="shared" si="7"/>
        <v>1,305</v>
      </c>
      <c r="P24" s="26" t="str">
        <f t="shared" si="8"/>
        <v>1,355</v>
      </c>
      <c r="Q24" s="28">
        <v>0.0</v>
      </c>
      <c r="R24" s="26" t="str">
        <f t="shared" si="9"/>
        <v>0</v>
      </c>
      <c r="S24" s="25" t="str">
        <f t="shared" si="10"/>
        <v>58,829</v>
      </c>
      <c r="T24" s="26" t="str">
        <f t="shared" si="11"/>
        <v>12,501</v>
      </c>
      <c r="U24" s="29" t="str">
        <f>+T24</f>
        <v>  12,501 </v>
      </c>
      <c r="V24" s="26" t="s">
        <v>41</v>
      </c>
      <c r="W24" s="26" t="str">
        <f t="shared" si="12"/>
        <v>46,328</v>
      </c>
      <c r="X24" s="26">
        <v>46328.0</v>
      </c>
      <c r="Y24" s="26" t="s">
        <v>35</v>
      </c>
      <c r="Z24" s="26" t="str">
        <f t="shared" si="13"/>
        <v>0</v>
      </c>
      <c r="AA24" s="26"/>
      <c r="AB24" s="26"/>
      <c r="AC24" s="13" t="str">
        <f t="shared" si="14"/>
        <v>58,829</v>
      </c>
      <c r="AD24" s="17" t="str">
        <f t="shared" si="15"/>
        <v>0</v>
      </c>
      <c r="AE24" s="18" t="s">
        <v>89</v>
      </c>
      <c r="AF24" s="19">
        <v>1.800003309E9</v>
      </c>
      <c r="AG24" s="20" t="s">
        <v>43</v>
      </c>
    </row>
    <row r="25" ht="14.25" customHeight="1">
      <c r="A25" s="21">
        <v>1000.0</v>
      </c>
      <c r="B25" s="22" t="s">
        <v>90</v>
      </c>
      <c r="C25" s="23">
        <v>517.0</v>
      </c>
      <c r="D25" s="24">
        <v>21978.0</v>
      </c>
      <c r="E25" s="24" t="s">
        <v>39</v>
      </c>
      <c r="F25" s="24">
        <v>2033.0</v>
      </c>
      <c r="G25" s="22" t="s">
        <v>91</v>
      </c>
      <c r="H25" s="25">
        <v>517000.0</v>
      </c>
      <c r="I25" s="25" t="str">
        <f t="shared" si="1"/>
        <v>93,060</v>
      </c>
      <c r="J25" s="25" t="str">
        <f t="shared" si="2"/>
        <v>610,060</v>
      </c>
      <c r="K25" s="25" t="str">
        <f t="shared" si="3"/>
        <v>12,201</v>
      </c>
      <c r="L25" s="26" t="str">
        <f t="shared" si="4"/>
        <v>517</v>
      </c>
      <c r="M25" s="26" t="str">
        <f t="shared" si="5"/>
        <v>13,726</v>
      </c>
      <c r="N25" s="27" t="str">
        <f t="shared" si="6"/>
        <v>233</v>
      </c>
      <c r="O25" s="26" t="str">
        <f t="shared" si="7"/>
        <v>13,494</v>
      </c>
      <c r="P25" s="26" t="str">
        <f t="shared" si="8"/>
        <v>14,011</v>
      </c>
      <c r="Q25" s="28">
        <v>0.0</v>
      </c>
      <c r="R25" s="26" t="str">
        <f t="shared" si="9"/>
        <v>0</v>
      </c>
      <c r="S25" s="25" t="str">
        <f t="shared" si="10"/>
        <v>608,251</v>
      </c>
      <c r="T25" s="26" t="str">
        <f t="shared" si="11"/>
        <v>129,250</v>
      </c>
      <c r="U25" s="29">
        <v>129250.0</v>
      </c>
      <c r="V25" s="26" t="s">
        <v>53</v>
      </c>
      <c r="W25" s="26" t="str">
        <f t="shared" si="12"/>
        <v>479,001</v>
      </c>
      <c r="X25" s="26">
        <v>479001.0</v>
      </c>
      <c r="Y25" s="26" t="s">
        <v>85</v>
      </c>
      <c r="Z25" s="26" t="str">
        <f t="shared" si="13"/>
        <v>0</v>
      </c>
      <c r="AA25" s="26"/>
      <c r="AB25" s="26"/>
      <c r="AC25" s="13" t="str">
        <f t="shared" si="14"/>
        <v>608,251</v>
      </c>
      <c r="AD25" s="17" t="str">
        <f t="shared" si="15"/>
        <v>0</v>
      </c>
      <c r="AE25" s="18" t="s">
        <v>92</v>
      </c>
      <c r="AF25" s="19">
        <v>1.800003317E9</v>
      </c>
      <c r="AG25" s="20" t="s">
        <v>43</v>
      </c>
    </row>
    <row r="26" ht="14.25" customHeight="1">
      <c r="A26" s="21">
        <v>2.0</v>
      </c>
      <c r="B26" s="22" t="s">
        <v>93</v>
      </c>
      <c r="C26" s="23">
        <v>14001.0</v>
      </c>
      <c r="D26" s="24">
        <v>21978.0</v>
      </c>
      <c r="E26" s="24" t="s">
        <v>39</v>
      </c>
      <c r="F26" s="24">
        <v>2035.0</v>
      </c>
      <c r="G26" s="22" t="s">
        <v>40</v>
      </c>
      <c r="H26" s="25">
        <v>28002.0</v>
      </c>
      <c r="I26" s="25" t="str">
        <f t="shared" si="1"/>
        <v>5,040</v>
      </c>
      <c r="J26" s="25" t="str">
        <f t="shared" si="2"/>
        <v>33,042</v>
      </c>
      <c r="K26" s="25" t="str">
        <f t="shared" si="3"/>
        <v>661</v>
      </c>
      <c r="L26" s="26" t="str">
        <f t="shared" si="4"/>
        <v>28</v>
      </c>
      <c r="M26" s="26" t="str">
        <f t="shared" si="5"/>
        <v>743</v>
      </c>
      <c r="N26" s="27" t="str">
        <f t="shared" si="6"/>
        <v>13</v>
      </c>
      <c r="O26" s="26" t="str">
        <f t="shared" si="7"/>
        <v>731</v>
      </c>
      <c r="P26" s="26" t="str">
        <f t="shared" si="8"/>
        <v>759</v>
      </c>
      <c r="Q26" s="28">
        <v>0.0</v>
      </c>
      <c r="R26" s="26" t="str">
        <f t="shared" si="9"/>
        <v>0</v>
      </c>
      <c r="S26" s="25" t="str">
        <f t="shared" si="10"/>
        <v>32,944</v>
      </c>
      <c r="T26" s="26" t="str">
        <f t="shared" si="11"/>
        <v>7,001</v>
      </c>
      <c r="U26" s="29" t="str">
        <f>+T26</f>
        <v>  7,001 </v>
      </c>
      <c r="V26" s="26" t="s">
        <v>41</v>
      </c>
      <c r="W26" s="26" t="str">
        <f t="shared" si="12"/>
        <v>25,944</v>
      </c>
      <c r="X26" s="26">
        <v>25943.0</v>
      </c>
      <c r="Y26" s="26" t="s">
        <v>35</v>
      </c>
      <c r="Z26" s="26" t="str">
        <f t="shared" si="13"/>
        <v>0</v>
      </c>
      <c r="AA26" s="26"/>
      <c r="AB26" s="26"/>
      <c r="AC26" s="13" t="str">
        <f t="shared" si="14"/>
        <v>32,944</v>
      </c>
      <c r="AD26" s="17" t="str">
        <f t="shared" si="15"/>
        <v>0</v>
      </c>
      <c r="AE26" s="18" t="s">
        <v>94</v>
      </c>
      <c r="AF26" s="19">
        <v>1.80000331E9</v>
      </c>
      <c r="AG26" s="20" t="s">
        <v>43</v>
      </c>
    </row>
    <row r="27" ht="26.25" customHeight="1">
      <c r="A27" s="21">
        <v>8.2</v>
      </c>
      <c r="B27" s="22" t="s">
        <v>95</v>
      </c>
      <c r="C27" s="23">
        <v>67000.0</v>
      </c>
      <c r="D27" s="24">
        <v>21978.0</v>
      </c>
      <c r="E27" s="24" t="s">
        <v>96</v>
      </c>
      <c r="F27" s="24">
        <v>2036.0</v>
      </c>
      <c r="G27" s="22" t="s">
        <v>97</v>
      </c>
      <c r="H27" s="25">
        <v>549400.0</v>
      </c>
      <c r="I27" s="25" t="str">
        <f t="shared" si="1"/>
        <v>98,892</v>
      </c>
      <c r="J27" s="25" t="str">
        <f t="shared" si="2"/>
        <v>648,292</v>
      </c>
      <c r="K27" s="25" t="str">
        <f t="shared" si="3"/>
        <v>12,966</v>
      </c>
      <c r="L27" s="26" t="str">
        <f t="shared" si="4"/>
        <v>549</v>
      </c>
      <c r="M27" s="26" t="str">
        <f t="shared" si="5"/>
        <v>14,587</v>
      </c>
      <c r="N27" s="27" t="str">
        <f t="shared" si="6"/>
        <v>247</v>
      </c>
      <c r="O27" s="26" t="str">
        <f t="shared" si="7"/>
        <v>14,339</v>
      </c>
      <c r="P27" s="26" t="str">
        <f t="shared" si="8"/>
        <v>14,889</v>
      </c>
      <c r="Q27" s="28">
        <v>0.02</v>
      </c>
      <c r="R27" s="26" t="str">
        <f t="shared" si="9"/>
        <v>10,988</v>
      </c>
      <c r="S27" s="25" t="str">
        <f t="shared" si="10"/>
        <v>635,381</v>
      </c>
      <c r="T27" s="26" t="str">
        <f t="shared" si="11"/>
        <v>137,350</v>
      </c>
      <c r="U27" s="29">
        <v>137350.0</v>
      </c>
      <c r="V27" s="26" t="s">
        <v>53</v>
      </c>
      <c r="W27" s="26" t="str">
        <f t="shared" si="12"/>
        <v>498,031</v>
      </c>
      <c r="X27" s="26"/>
      <c r="Y27" s="26">
        <v>0.0</v>
      </c>
      <c r="Z27" s="26" t="str">
        <f t="shared" si="13"/>
        <v>19,449</v>
      </c>
      <c r="AA27" s="26"/>
      <c r="AB27" s="26"/>
      <c r="AC27" s="13" t="str">
        <f t="shared" si="14"/>
        <v>137,350</v>
      </c>
      <c r="AD27" s="17" t="str">
        <f t="shared" si="15"/>
        <v>498,031</v>
      </c>
      <c r="AE27" s="18"/>
      <c r="AF27" s="19"/>
      <c r="AG27" s="20"/>
    </row>
    <row r="28" ht="14.25" customHeight="1">
      <c r="A28" s="21">
        <v>50.0</v>
      </c>
      <c r="B28" s="22" t="s">
        <v>75</v>
      </c>
      <c r="C28" s="23">
        <v>531.0</v>
      </c>
      <c r="D28" s="24">
        <v>21978.0</v>
      </c>
      <c r="E28" s="24" t="s">
        <v>39</v>
      </c>
      <c r="F28" s="24">
        <v>2037.0</v>
      </c>
      <c r="G28" s="22" t="s">
        <v>91</v>
      </c>
      <c r="H28" s="25">
        <v>26550.0</v>
      </c>
      <c r="I28" s="25" t="str">
        <f t="shared" si="1"/>
        <v>4,779</v>
      </c>
      <c r="J28" s="25" t="str">
        <f t="shared" si="2"/>
        <v>31,329</v>
      </c>
      <c r="K28" s="25" t="str">
        <f t="shared" si="3"/>
        <v>627</v>
      </c>
      <c r="L28" s="26" t="str">
        <f t="shared" si="4"/>
        <v>27</v>
      </c>
      <c r="M28" s="26" t="str">
        <f t="shared" si="5"/>
        <v>705</v>
      </c>
      <c r="N28" s="27" t="str">
        <f t="shared" si="6"/>
        <v>12</v>
      </c>
      <c r="O28" s="26" t="str">
        <f t="shared" si="7"/>
        <v>693</v>
      </c>
      <c r="P28" s="26" t="str">
        <f t="shared" si="8"/>
        <v>720</v>
      </c>
      <c r="Q28" s="28">
        <v>0.0</v>
      </c>
      <c r="R28" s="26" t="str">
        <f t="shared" si="9"/>
        <v>0</v>
      </c>
      <c r="S28" s="25" t="str">
        <f t="shared" si="10"/>
        <v>31,236</v>
      </c>
      <c r="T28" s="26" t="str">
        <f t="shared" si="11"/>
        <v>6,638</v>
      </c>
      <c r="U28" s="29">
        <v>6638.0</v>
      </c>
      <c r="V28" s="26" t="s">
        <v>53</v>
      </c>
      <c r="W28" s="26" t="str">
        <f t="shared" si="12"/>
        <v>24,599</v>
      </c>
      <c r="X28" s="26">
        <v>24598.0</v>
      </c>
      <c r="Y28" s="26" t="s">
        <v>85</v>
      </c>
      <c r="Z28" s="26" t="str">
        <f t="shared" si="13"/>
        <v>0</v>
      </c>
      <c r="AA28" s="26"/>
      <c r="AB28" s="26"/>
      <c r="AC28" s="13" t="str">
        <f t="shared" si="14"/>
        <v>31,236</v>
      </c>
      <c r="AD28" s="17" t="str">
        <f t="shared" si="15"/>
        <v>0</v>
      </c>
      <c r="AE28" s="18" t="s">
        <v>98</v>
      </c>
      <c r="AF28" s="19">
        <v>1.800003318E9</v>
      </c>
      <c r="AG28" s="20" t="s">
        <v>43</v>
      </c>
    </row>
    <row r="29" ht="14.25" customHeight="1">
      <c r="A29" s="21">
        <v>3.0</v>
      </c>
      <c r="B29" s="22" t="s">
        <v>99</v>
      </c>
      <c r="C29" s="23">
        <v>90002.0</v>
      </c>
      <c r="D29" s="24">
        <v>21978.0</v>
      </c>
      <c r="E29" s="24" t="s">
        <v>39</v>
      </c>
      <c r="F29" s="24">
        <v>2040.0</v>
      </c>
      <c r="G29" s="22" t="s">
        <v>66</v>
      </c>
      <c r="H29" s="25">
        <v>270006.0</v>
      </c>
      <c r="I29" s="25" t="str">
        <f t="shared" si="1"/>
        <v>48,601</v>
      </c>
      <c r="J29" s="25" t="str">
        <f t="shared" si="2"/>
        <v>318,607</v>
      </c>
      <c r="K29" s="25" t="str">
        <f t="shared" si="3"/>
        <v>6,372</v>
      </c>
      <c r="L29" s="26" t="str">
        <f t="shared" si="4"/>
        <v>270</v>
      </c>
      <c r="M29" s="26" t="str">
        <f t="shared" si="5"/>
        <v>7,169</v>
      </c>
      <c r="N29" s="27" t="str">
        <f t="shared" si="6"/>
        <v>122</v>
      </c>
      <c r="O29" s="26" t="str">
        <f t="shared" si="7"/>
        <v>7,047</v>
      </c>
      <c r="P29" s="26" t="str">
        <f t="shared" si="8"/>
        <v>7,317</v>
      </c>
      <c r="Q29" s="28">
        <v>0.0</v>
      </c>
      <c r="R29" s="26" t="str">
        <f t="shared" si="9"/>
        <v>0</v>
      </c>
      <c r="S29" s="25" t="str">
        <f t="shared" si="10"/>
        <v>317,662</v>
      </c>
      <c r="T29" s="26" t="str">
        <f t="shared" si="11"/>
        <v>67,502</v>
      </c>
      <c r="U29" s="29">
        <v>67502.0</v>
      </c>
      <c r="V29" s="26" t="s">
        <v>46</v>
      </c>
      <c r="W29" s="26" t="str">
        <f t="shared" si="12"/>
        <v>250,161</v>
      </c>
      <c r="X29" s="26"/>
      <c r="Y29" s="26">
        <v>0.0</v>
      </c>
      <c r="Z29" s="26" t="str">
        <f t="shared" si="13"/>
        <v>9,558</v>
      </c>
      <c r="AA29" s="26"/>
      <c r="AB29" s="26"/>
      <c r="AC29" s="13" t="str">
        <f t="shared" si="14"/>
        <v>67,502</v>
      </c>
      <c r="AD29" s="17" t="str">
        <f t="shared" si="15"/>
        <v>250,160</v>
      </c>
      <c r="AE29" s="18"/>
      <c r="AF29" s="19"/>
      <c r="AG29" s="20"/>
    </row>
    <row r="30" ht="14.25" customHeight="1">
      <c r="A30" s="21">
        <v>5.0</v>
      </c>
      <c r="B30" s="22" t="s">
        <v>59</v>
      </c>
      <c r="C30" s="23">
        <v>80000.0</v>
      </c>
      <c r="D30" s="24">
        <v>21979.0</v>
      </c>
      <c r="E30" s="24" t="s">
        <v>39</v>
      </c>
      <c r="F30" s="24">
        <v>2043.0</v>
      </c>
      <c r="G30" s="22" t="s">
        <v>40</v>
      </c>
      <c r="H30" s="25">
        <v>400000.0</v>
      </c>
      <c r="I30" s="25" t="str">
        <f t="shared" si="1"/>
        <v>72,000</v>
      </c>
      <c r="J30" s="25" t="str">
        <f t="shared" si="2"/>
        <v>472,000</v>
      </c>
      <c r="K30" s="25" t="str">
        <f t="shared" si="3"/>
        <v>9,440</v>
      </c>
      <c r="L30" s="26" t="str">
        <f t="shared" si="4"/>
        <v>400</v>
      </c>
      <c r="M30" s="26" t="str">
        <f t="shared" si="5"/>
        <v>10,620</v>
      </c>
      <c r="N30" s="27" t="str">
        <f t="shared" si="6"/>
        <v>180</v>
      </c>
      <c r="O30" s="26" t="str">
        <f t="shared" si="7"/>
        <v>10,440</v>
      </c>
      <c r="P30" s="26" t="str">
        <f t="shared" si="8"/>
        <v>10,840</v>
      </c>
      <c r="Q30" s="28">
        <v>0.0</v>
      </c>
      <c r="R30" s="26" t="str">
        <f t="shared" si="9"/>
        <v>0</v>
      </c>
      <c r="S30" s="25" t="str">
        <f t="shared" si="10"/>
        <v>470,600</v>
      </c>
      <c r="T30" s="26" t="str">
        <f t="shared" si="11"/>
        <v>100,000</v>
      </c>
      <c r="U30" s="29" t="str">
        <f>+T30</f>
        <v>  100,000 </v>
      </c>
      <c r="V30" s="26" t="s">
        <v>41</v>
      </c>
      <c r="W30" s="26" t="str">
        <f t="shared" si="12"/>
        <v>370,600</v>
      </c>
      <c r="X30" s="26">
        <v>370600.0</v>
      </c>
      <c r="Y30" s="26" t="s">
        <v>35</v>
      </c>
      <c r="Z30" s="26" t="str">
        <f t="shared" si="13"/>
        <v>0</v>
      </c>
      <c r="AA30" s="26"/>
      <c r="AB30" s="26"/>
      <c r="AC30" s="13" t="str">
        <f t="shared" si="14"/>
        <v>470,600</v>
      </c>
      <c r="AD30" s="17" t="str">
        <f t="shared" si="15"/>
        <v>0</v>
      </c>
      <c r="AE30" s="18" t="s">
        <v>100</v>
      </c>
      <c r="AF30" s="19">
        <v>1.800003311E9</v>
      </c>
      <c r="AG30" s="20" t="s">
        <v>43</v>
      </c>
    </row>
    <row r="31" ht="14.25" customHeight="1">
      <c r="A31" s="21">
        <v>670.0</v>
      </c>
      <c r="B31" s="22" t="s">
        <v>101</v>
      </c>
      <c r="C31" s="23">
        <v>309.0</v>
      </c>
      <c r="D31" s="24">
        <v>21979.0</v>
      </c>
      <c r="E31" s="24" t="s">
        <v>33</v>
      </c>
      <c r="F31" s="24">
        <v>2046.0</v>
      </c>
      <c r="G31" s="22" t="s">
        <v>102</v>
      </c>
      <c r="H31" s="25">
        <v>207030.0</v>
      </c>
      <c r="I31" s="25" t="str">
        <f t="shared" si="1"/>
        <v>37,265</v>
      </c>
      <c r="J31" s="25" t="str">
        <f t="shared" si="2"/>
        <v>244,295</v>
      </c>
      <c r="K31" s="25" t="str">
        <f t="shared" si="3"/>
        <v>4,886</v>
      </c>
      <c r="L31" s="26" t="str">
        <f t="shared" si="4"/>
        <v>207</v>
      </c>
      <c r="M31" s="26" t="str">
        <f t="shared" si="5"/>
        <v>5,497</v>
      </c>
      <c r="N31" s="27" t="str">
        <f t="shared" si="6"/>
        <v>93</v>
      </c>
      <c r="O31" s="26" t="str">
        <f t="shared" si="7"/>
        <v>5,403</v>
      </c>
      <c r="P31" s="26" t="str">
        <f t="shared" si="8"/>
        <v>5,611</v>
      </c>
      <c r="Q31" s="28">
        <v>0.0</v>
      </c>
      <c r="R31" s="26" t="str">
        <f t="shared" si="9"/>
        <v>0</v>
      </c>
      <c r="S31" s="25" t="str">
        <f t="shared" si="10"/>
        <v>243,571</v>
      </c>
      <c r="T31" s="26" t="str">
        <f t="shared" si="11"/>
        <v>51,758</v>
      </c>
      <c r="U31" s="29">
        <v>51758.0</v>
      </c>
      <c r="V31" s="26" t="s">
        <v>46</v>
      </c>
      <c r="W31" s="26" t="str">
        <f t="shared" si="12"/>
        <v>191,813</v>
      </c>
      <c r="X31" s="26">
        <v>191812.0</v>
      </c>
      <c r="Y31" s="26" t="s">
        <v>85</v>
      </c>
      <c r="Z31" s="26" t="str">
        <f t="shared" si="13"/>
        <v>0</v>
      </c>
      <c r="AA31" s="26"/>
      <c r="AB31" s="26"/>
      <c r="AC31" s="13" t="str">
        <f t="shared" si="14"/>
        <v>243,570</v>
      </c>
      <c r="AD31" s="17" t="str">
        <f t="shared" si="15"/>
        <v>1</v>
      </c>
      <c r="AE31" s="18" t="s">
        <v>103</v>
      </c>
      <c r="AF31" s="19">
        <v>1.800003316E9</v>
      </c>
      <c r="AG31" s="20" t="s">
        <v>43</v>
      </c>
    </row>
    <row r="32" ht="14.25" customHeight="1">
      <c r="A32" s="21">
        <v>2.0</v>
      </c>
      <c r="B32" s="22" t="s">
        <v>104</v>
      </c>
      <c r="C32" s="23">
        <v>80006.0</v>
      </c>
      <c r="D32" s="24">
        <v>21979.0</v>
      </c>
      <c r="E32" s="24" t="s">
        <v>39</v>
      </c>
      <c r="F32" s="24">
        <v>2055.0</v>
      </c>
      <c r="G32" s="22" t="s">
        <v>40</v>
      </c>
      <c r="H32" s="25">
        <v>160012.0</v>
      </c>
      <c r="I32" s="25" t="str">
        <f t="shared" si="1"/>
        <v>28,802</v>
      </c>
      <c r="J32" s="25" t="str">
        <f t="shared" si="2"/>
        <v>188,814</v>
      </c>
      <c r="K32" s="25" t="str">
        <f t="shared" si="3"/>
        <v>3,776</v>
      </c>
      <c r="L32" s="26" t="str">
        <f t="shared" si="4"/>
        <v>160</v>
      </c>
      <c r="M32" s="26" t="str">
        <f t="shared" si="5"/>
        <v>4,248</v>
      </c>
      <c r="N32" s="27" t="str">
        <f t="shared" si="6"/>
        <v>72</v>
      </c>
      <c r="O32" s="26" t="str">
        <f t="shared" si="7"/>
        <v>4,176</v>
      </c>
      <c r="P32" s="26" t="str">
        <f t="shared" si="8"/>
        <v>4,336</v>
      </c>
      <c r="Q32" s="28">
        <v>0.0</v>
      </c>
      <c r="R32" s="26" t="str">
        <f t="shared" si="9"/>
        <v>0</v>
      </c>
      <c r="S32" s="25" t="str">
        <f t="shared" si="10"/>
        <v>188,254</v>
      </c>
      <c r="T32" s="26" t="str">
        <f t="shared" si="11"/>
        <v>40,003</v>
      </c>
      <c r="U32" s="29" t="str">
        <f t="shared" ref="U32:U33" si="19">+T32</f>
        <v>  40,003 </v>
      </c>
      <c r="V32" s="26" t="s">
        <v>41</v>
      </c>
      <c r="W32" s="26" t="str">
        <f t="shared" si="12"/>
        <v>148,251</v>
      </c>
      <c r="X32" s="26">
        <v>148251.0</v>
      </c>
      <c r="Y32" s="26" t="s">
        <v>35</v>
      </c>
      <c r="Z32" s="26" t="str">
        <f t="shared" si="13"/>
        <v>0</v>
      </c>
      <c r="AA32" s="26"/>
      <c r="AB32" s="26"/>
      <c r="AC32" s="13" t="str">
        <f t="shared" si="14"/>
        <v>188,254</v>
      </c>
      <c r="AD32" s="17" t="str">
        <f t="shared" si="15"/>
        <v>0</v>
      </c>
      <c r="AE32" s="18" t="s">
        <v>105</v>
      </c>
      <c r="AF32" s="19">
        <v>1.800003312E9</v>
      </c>
      <c r="AG32" s="20" t="s">
        <v>43</v>
      </c>
    </row>
    <row r="33" ht="14.25" customHeight="1">
      <c r="A33" s="21">
        <v>1.0</v>
      </c>
      <c r="B33" s="22" t="s">
        <v>106</v>
      </c>
      <c r="C33" s="23">
        <v>29502.0</v>
      </c>
      <c r="D33" s="24">
        <v>21979.0</v>
      </c>
      <c r="E33" s="24" t="s">
        <v>39</v>
      </c>
      <c r="F33" s="24">
        <v>2059.0</v>
      </c>
      <c r="G33" s="22" t="s">
        <v>40</v>
      </c>
      <c r="H33" s="25">
        <v>29502.0</v>
      </c>
      <c r="I33" s="25" t="str">
        <f t="shared" si="1"/>
        <v>5,310</v>
      </c>
      <c r="J33" s="25" t="str">
        <f t="shared" si="2"/>
        <v>34,812</v>
      </c>
      <c r="K33" s="25" t="str">
        <f t="shared" si="3"/>
        <v>696</v>
      </c>
      <c r="L33" s="26" t="str">
        <f t="shared" si="4"/>
        <v>30</v>
      </c>
      <c r="M33" s="26" t="str">
        <f t="shared" si="5"/>
        <v>783</v>
      </c>
      <c r="N33" s="27" t="str">
        <f t="shared" si="6"/>
        <v>13</v>
      </c>
      <c r="O33" s="26" t="str">
        <f t="shared" si="7"/>
        <v>770</v>
      </c>
      <c r="P33" s="26" t="str">
        <f t="shared" si="8"/>
        <v>800</v>
      </c>
      <c r="Q33" s="28">
        <v>0.0</v>
      </c>
      <c r="R33" s="26" t="str">
        <f t="shared" si="9"/>
        <v>0</v>
      </c>
      <c r="S33" s="25" t="str">
        <f t="shared" si="10"/>
        <v>34,709</v>
      </c>
      <c r="T33" s="26" t="str">
        <f t="shared" si="11"/>
        <v>7,376</v>
      </c>
      <c r="U33" s="29" t="str">
        <f t="shared" si="19"/>
        <v>  7,376 </v>
      </c>
      <c r="V33" s="26" t="s">
        <v>41</v>
      </c>
      <c r="W33" s="26" t="str">
        <f t="shared" si="12"/>
        <v>27,334</v>
      </c>
      <c r="X33" s="26">
        <v>27332.0</v>
      </c>
      <c r="Y33" s="26" t="s">
        <v>35</v>
      </c>
      <c r="Z33" s="26" t="str">
        <f t="shared" si="13"/>
        <v>0</v>
      </c>
      <c r="AA33" s="26"/>
      <c r="AB33" s="26"/>
      <c r="AC33" s="13" t="str">
        <f t="shared" si="14"/>
        <v>34,708</v>
      </c>
      <c r="AD33" s="17" t="str">
        <f t="shared" si="15"/>
        <v>1</v>
      </c>
      <c r="AE33" s="18" t="s">
        <v>107</v>
      </c>
      <c r="AF33" s="19">
        <v>1.800003313E9</v>
      </c>
      <c r="AG33" s="20" t="s">
        <v>43</v>
      </c>
    </row>
    <row r="34" ht="14.25" customHeight="1">
      <c r="A34" s="21">
        <v>30.0</v>
      </c>
      <c r="B34" s="22" t="s">
        <v>108</v>
      </c>
      <c r="C34" s="23">
        <v>702.0</v>
      </c>
      <c r="D34" s="24">
        <v>21979.0</v>
      </c>
      <c r="E34" s="24" t="s">
        <v>39</v>
      </c>
      <c r="F34" s="24">
        <v>2062.0</v>
      </c>
      <c r="G34" s="22" t="s">
        <v>66</v>
      </c>
      <c r="H34" s="25">
        <v>21060.0</v>
      </c>
      <c r="I34" s="25" t="str">
        <f t="shared" si="1"/>
        <v>3,791</v>
      </c>
      <c r="J34" s="25" t="str">
        <f t="shared" si="2"/>
        <v>24,851</v>
      </c>
      <c r="K34" s="25" t="str">
        <f t="shared" si="3"/>
        <v>497</v>
      </c>
      <c r="L34" s="26" t="str">
        <f t="shared" si="4"/>
        <v>21</v>
      </c>
      <c r="M34" s="26" t="str">
        <f t="shared" si="5"/>
        <v>559</v>
      </c>
      <c r="N34" s="27" t="str">
        <f t="shared" si="6"/>
        <v>9</v>
      </c>
      <c r="O34" s="26" t="str">
        <f t="shared" si="7"/>
        <v>550</v>
      </c>
      <c r="P34" s="26" t="str">
        <f t="shared" si="8"/>
        <v>571</v>
      </c>
      <c r="Q34" s="28">
        <v>0.0</v>
      </c>
      <c r="R34" s="26" t="str">
        <f t="shared" si="9"/>
        <v>0</v>
      </c>
      <c r="S34" s="25" t="str">
        <f t="shared" si="10"/>
        <v>24,777</v>
      </c>
      <c r="T34" s="26" t="str">
        <f t="shared" si="11"/>
        <v>5,265</v>
      </c>
      <c r="U34" s="29">
        <v>5265.0</v>
      </c>
      <c r="V34" s="26" t="s">
        <v>46</v>
      </c>
      <c r="W34" s="26" t="str">
        <f t="shared" si="12"/>
        <v>19,512</v>
      </c>
      <c r="X34" s="26">
        <v>19512.0</v>
      </c>
      <c r="Y34" s="26" t="s">
        <v>46</v>
      </c>
      <c r="Z34" s="26" t="str">
        <f t="shared" si="13"/>
        <v>0</v>
      </c>
      <c r="AA34" s="26"/>
      <c r="AB34" s="26"/>
      <c r="AC34" s="13" t="str">
        <f t="shared" si="14"/>
        <v>24,777</v>
      </c>
      <c r="AD34" s="17" t="str">
        <f t="shared" si="15"/>
        <v>0</v>
      </c>
      <c r="AE34" s="18" t="s">
        <v>109</v>
      </c>
      <c r="AF34" s="19">
        <v>1.800003161E9</v>
      </c>
      <c r="AG34" s="20" t="s">
        <v>53</v>
      </c>
    </row>
    <row r="35" ht="14.25" customHeight="1">
      <c r="A35" s="21">
        <v>150.0</v>
      </c>
      <c r="B35" s="22" t="s">
        <v>65</v>
      </c>
      <c r="C35" s="23">
        <v>571.0</v>
      </c>
      <c r="D35" s="24">
        <v>21980.0</v>
      </c>
      <c r="E35" s="24" t="s">
        <v>39</v>
      </c>
      <c r="F35" s="24">
        <v>2067.0</v>
      </c>
      <c r="G35" s="22" t="s">
        <v>91</v>
      </c>
      <c r="H35" s="25">
        <v>85650.0</v>
      </c>
      <c r="I35" s="25" t="str">
        <f t="shared" si="1"/>
        <v>15,417</v>
      </c>
      <c r="J35" s="25" t="str">
        <f t="shared" si="2"/>
        <v>101,067</v>
      </c>
      <c r="K35" s="25" t="str">
        <f t="shared" si="3"/>
        <v>2,021</v>
      </c>
      <c r="L35" s="26" t="str">
        <f t="shared" si="4"/>
        <v>86</v>
      </c>
      <c r="M35" s="26" t="str">
        <f t="shared" si="5"/>
        <v>2,274</v>
      </c>
      <c r="N35" s="27" t="str">
        <f t="shared" si="6"/>
        <v>39</v>
      </c>
      <c r="O35" s="26" t="str">
        <f t="shared" si="7"/>
        <v>2,235</v>
      </c>
      <c r="P35" s="26" t="str">
        <f t="shared" si="8"/>
        <v>2,321</v>
      </c>
      <c r="Q35" s="28">
        <v>0.0</v>
      </c>
      <c r="R35" s="26" t="str">
        <f t="shared" si="9"/>
        <v>0</v>
      </c>
      <c r="S35" s="25" t="str">
        <f t="shared" si="10"/>
        <v>100,767</v>
      </c>
      <c r="T35" s="26" t="str">
        <f t="shared" si="11"/>
        <v>21,413</v>
      </c>
      <c r="U35" s="29">
        <v>21413.0</v>
      </c>
      <c r="V35" s="26" t="s">
        <v>53</v>
      </c>
      <c r="W35" s="26" t="str">
        <f t="shared" si="12"/>
        <v>79,355</v>
      </c>
      <c r="X35" s="26">
        <v>79354.0</v>
      </c>
      <c r="Y35" s="26" t="s">
        <v>47</v>
      </c>
      <c r="Z35" s="26" t="str">
        <f t="shared" si="13"/>
        <v>0</v>
      </c>
      <c r="AA35" s="26"/>
      <c r="AB35" s="26"/>
      <c r="AC35" s="13" t="str">
        <f t="shared" si="14"/>
        <v>100,767</v>
      </c>
      <c r="AD35" s="17" t="str">
        <f t="shared" si="15"/>
        <v>0</v>
      </c>
      <c r="AE35" s="18" t="s">
        <v>110</v>
      </c>
      <c r="AF35" s="19">
        <v>1.800003248E9</v>
      </c>
      <c r="AG35" s="20" t="s">
        <v>47</v>
      </c>
    </row>
    <row r="36" ht="14.25" customHeight="1">
      <c r="A36" s="21">
        <v>1.0</v>
      </c>
      <c r="B36" s="22" t="s">
        <v>111</v>
      </c>
      <c r="C36" s="23">
        <v>54000.0</v>
      </c>
      <c r="D36" s="24">
        <v>21980.0</v>
      </c>
      <c r="E36" s="24" t="s">
        <v>39</v>
      </c>
      <c r="F36" s="24">
        <v>2069.0</v>
      </c>
      <c r="G36" s="22" t="s">
        <v>66</v>
      </c>
      <c r="H36" s="25">
        <v>54000.0</v>
      </c>
      <c r="I36" s="25" t="str">
        <f t="shared" si="1"/>
        <v>9,720</v>
      </c>
      <c r="J36" s="25" t="str">
        <f t="shared" si="2"/>
        <v>63,720</v>
      </c>
      <c r="K36" s="25" t="str">
        <f t="shared" si="3"/>
        <v>1,274</v>
      </c>
      <c r="L36" s="26" t="str">
        <f t="shared" si="4"/>
        <v>54</v>
      </c>
      <c r="M36" s="26" t="str">
        <f t="shared" si="5"/>
        <v>1,434</v>
      </c>
      <c r="N36" s="27" t="str">
        <f t="shared" si="6"/>
        <v>24</v>
      </c>
      <c r="O36" s="26" t="str">
        <f t="shared" si="7"/>
        <v>1,409</v>
      </c>
      <c r="P36" s="26" t="str">
        <f t="shared" si="8"/>
        <v>1,463</v>
      </c>
      <c r="Q36" s="28">
        <v>0.0</v>
      </c>
      <c r="R36" s="26" t="str">
        <f t="shared" si="9"/>
        <v>0</v>
      </c>
      <c r="S36" s="25" t="str">
        <f t="shared" si="10"/>
        <v>63,531</v>
      </c>
      <c r="T36" s="26" t="str">
        <f t="shared" si="11"/>
        <v>13,500</v>
      </c>
      <c r="U36" s="29">
        <v>13500.0</v>
      </c>
      <c r="V36" s="26" t="s">
        <v>46</v>
      </c>
      <c r="W36" s="26" t="str">
        <f t="shared" si="12"/>
        <v>50,031</v>
      </c>
      <c r="X36" s="26"/>
      <c r="Y36" s="26">
        <v>0.0</v>
      </c>
      <c r="Z36" s="26" t="str">
        <f t="shared" si="13"/>
        <v>1,912</v>
      </c>
      <c r="AA36" s="26"/>
      <c r="AB36" s="26"/>
      <c r="AC36" s="13" t="str">
        <f t="shared" si="14"/>
        <v>13,500</v>
      </c>
      <c r="AD36" s="17" t="str">
        <f t="shared" si="15"/>
        <v>50,031</v>
      </c>
      <c r="AE36" s="18"/>
      <c r="AF36" s="19"/>
      <c r="AG36" s="20"/>
    </row>
    <row r="37" ht="14.25" customHeight="1">
      <c r="A37" s="21">
        <v>3.0</v>
      </c>
      <c r="B37" s="22" t="s">
        <v>112</v>
      </c>
      <c r="C37" s="23">
        <v>25001.0</v>
      </c>
      <c r="D37" s="24">
        <v>21980.0</v>
      </c>
      <c r="E37" s="24" t="s">
        <v>39</v>
      </c>
      <c r="F37" s="24">
        <v>2071.0</v>
      </c>
      <c r="G37" s="22" t="s">
        <v>40</v>
      </c>
      <c r="H37" s="25">
        <v>75003.0</v>
      </c>
      <c r="I37" s="25" t="str">
        <f t="shared" si="1"/>
        <v>13,501</v>
      </c>
      <c r="J37" s="25" t="str">
        <f t="shared" si="2"/>
        <v>88,504</v>
      </c>
      <c r="K37" s="25" t="str">
        <f t="shared" si="3"/>
        <v>1,770</v>
      </c>
      <c r="L37" s="26" t="str">
        <f t="shared" si="4"/>
        <v>75</v>
      </c>
      <c r="M37" s="26" t="str">
        <f t="shared" si="5"/>
        <v>1,991</v>
      </c>
      <c r="N37" s="27" t="str">
        <f t="shared" si="6"/>
        <v>34</v>
      </c>
      <c r="O37" s="26" t="str">
        <f t="shared" si="7"/>
        <v>1,958</v>
      </c>
      <c r="P37" s="26" t="str">
        <f t="shared" si="8"/>
        <v>2,033</v>
      </c>
      <c r="Q37" s="28">
        <v>0.0</v>
      </c>
      <c r="R37" s="26" t="str">
        <f t="shared" si="9"/>
        <v>0</v>
      </c>
      <c r="S37" s="25" t="str">
        <f t="shared" si="10"/>
        <v>88,241</v>
      </c>
      <c r="T37" s="26" t="str">
        <f t="shared" si="11"/>
        <v>18,751</v>
      </c>
      <c r="U37" s="29" t="str">
        <f>+T37</f>
        <v>  18,751 </v>
      </c>
      <c r="V37" s="26" t="s">
        <v>41</v>
      </c>
      <c r="W37" s="26" t="str">
        <f t="shared" si="12"/>
        <v>69,490</v>
      </c>
      <c r="X37" s="26">
        <v>69491.0</v>
      </c>
      <c r="Y37" s="26" t="s">
        <v>35</v>
      </c>
      <c r="Z37" s="26" t="str">
        <f t="shared" si="13"/>
        <v>0</v>
      </c>
      <c r="AA37" s="26"/>
      <c r="AB37" s="26"/>
      <c r="AC37" s="13" t="str">
        <f t="shared" si="14"/>
        <v>88,242</v>
      </c>
      <c r="AD37" s="17" t="str">
        <f t="shared" si="15"/>
        <v>(1)</v>
      </c>
      <c r="AE37" s="18" t="s">
        <v>113</v>
      </c>
      <c r="AF37" s="19">
        <v>1.800003314E9</v>
      </c>
      <c r="AG37" s="20" t="s">
        <v>43</v>
      </c>
    </row>
    <row r="38" ht="14.25" customHeight="1">
      <c r="A38" s="21">
        <v>3.0</v>
      </c>
      <c r="B38" s="22" t="s">
        <v>59</v>
      </c>
      <c r="C38" s="23">
        <v>70001.0</v>
      </c>
      <c r="D38" s="24">
        <v>21980.0</v>
      </c>
      <c r="E38" s="24" t="s">
        <v>39</v>
      </c>
      <c r="F38" s="24">
        <v>2086.0</v>
      </c>
      <c r="G38" s="22" t="s">
        <v>114</v>
      </c>
      <c r="H38" s="25">
        <v>210003.0</v>
      </c>
      <c r="I38" s="25" t="str">
        <f t="shared" si="1"/>
        <v>37,801</v>
      </c>
      <c r="J38" s="25" t="str">
        <f t="shared" si="2"/>
        <v>247,804</v>
      </c>
      <c r="K38" s="25" t="str">
        <f t="shared" si="3"/>
        <v>4,956</v>
      </c>
      <c r="L38" s="26" t="str">
        <f t="shared" si="4"/>
        <v>210</v>
      </c>
      <c r="M38" s="26" t="str">
        <f t="shared" si="5"/>
        <v>5,576</v>
      </c>
      <c r="N38" s="27" t="str">
        <f t="shared" si="6"/>
        <v>95</v>
      </c>
      <c r="O38" s="26" t="str">
        <f t="shared" si="7"/>
        <v>5,481</v>
      </c>
      <c r="P38" s="26" t="str">
        <f t="shared" si="8"/>
        <v>5,691</v>
      </c>
      <c r="Q38" s="28">
        <v>0.0</v>
      </c>
      <c r="R38" s="26" t="str">
        <f t="shared" si="9"/>
        <v>0</v>
      </c>
      <c r="S38" s="25" t="str">
        <f t="shared" si="10"/>
        <v>247,069</v>
      </c>
      <c r="T38" s="26" t="str">
        <f t="shared" si="11"/>
        <v>52,501</v>
      </c>
      <c r="U38" s="29">
        <v>52501.0</v>
      </c>
      <c r="V38" s="26" t="s">
        <v>58</v>
      </c>
      <c r="W38" s="26" t="str">
        <f t="shared" si="12"/>
        <v>194,568</v>
      </c>
      <c r="X38" s="26">
        <v>194568.0</v>
      </c>
      <c r="Y38" s="26" t="s">
        <v>58</v>
      </c>
      <c r="Z38" s="26" t="str">
        <f t="shared" si="13"/>
        <v>0</v>
      </c>
      <c r="AA38" s="26"/>
      <c r="AB38" s="26"/>
      <c r="AC38" s="13" t="str">
        <f t="shared" si="14"/>
        <v>247,069</v>
      </c>
      <c r="AD38" s="17" t="str">
        <f t="shared" si="15"/>
        <v>0</v>
      </c>
      <c r="AE38" s="18" t="s">
        <v>115</v>
      </c>
      <c r="AF38" s="19">
        <v>1.800003226E9</v>
      </c>
      <c r="AG38" s="20" t="s">
        <v>116</v>
      </c>
    </row>
    <row r="39" ht="14.25" customHeight="1">
      <c r="A39" s="21">
        <v>2.0</v>
      </c>
      <c r="B39" s="22" t="s">
        <v>117</v>
      </c>
      <c r="C39" s="23">
        <v>15006.0</v>
      </c>
      <c r="D39" s="24">
        <v>21980.0</v>
      </c>
      <c r="E39" s="24" t="s">
        <v>39</v>
      </c>
      <c r="F39" s="24">
        <v>2089.0</v>
      </c>
      <c r="G39" s="22" t="s">
        <v>118</v>
      </c>
      <c r="H39" s="25">
        <v>30012.0</v>
      </c>
      <c r="I39" s="25" t="str">
        <f t="shared" si="1"/>
        <v>5,402</v>
      </c>
      <c r="J39" s="25" t="str">
        <f t="shared" si="2"/>
        <v>35,414</v>
      </c>
      <c r="K39" s="25" t="str">
        <f t="shared" si="3"/>
        <v>708</v>
      </c>
      <c r="L39" s="26" t="str">
        <f t="shared" si="4"/>
        <v>30</v>
      </c>
      <c r="M39" s="26" t="str">
        <f t="shared" si="5"/>
        <v>797</v>
      </c>
      <c r="N39" s="27" t="str">
        <f t="shared" si="6"/>
        <v>14</v>
      </c>
      <c r="O39" s="26" t="str">
        <f t="shared" si="7"/>
        <v>783</v>
      </c>
      <c r="P39" s="26" t="str">
        <f t="shared" si="8"/>
        <v>813</v>
      </c>
      <c r="Q39" s="28">
        <v>0.0</v>
      </c>
      <c r="R39" s="26" t="str">
        <f t="shared" si="9"/>
        <v>0</v>
      </c>
      <c r="S39" s="25" t="str">
        <f t="shared" si="10"/>
        <v>35,309</v>
      </c>
      <c r="T39" s="26" t="str">
        <f t="shared" si="11"/>
        <v>7,503</v>
      </c>
      <c r="U39" s="29">
        <v>7503.0</v>
      </c>
      <c r="V39" s="26" t="s">
        <v>53</v>
      </c>
      <c r="W39" s="26" t="str">
        <f t="shared" si="12"/>
        <v>27,806</v>
      </c>
      <c r="X39" s="26">
        <v>27806.0</v>
      </c>
      <c r="Y39" s="26" t="s">
        <v>119</v>
      </c>
      <c r="Z39" s="26" t="str">
        <f t="shared" si="13"/>
        <v>708</v>
      </c>
      <c r="AA39" s="26">
        <v>708.0</v>
      </c>
      <c r="AB39" s="26" t="s">
        <v>119</v>
      </c>
      <c r="AC39" s="13" t="str">
        <f t="shared" si="14"/>
        <v>36,017</v>
      </c>
      <c r="AD39" s="17" t="str">
        <f t="shared" si="15"/>
        <v>(708)</v>
      </c>
      <c r="AE39" s="18"/>
      <c r="AF39" s="19"/>
      <c r="AG39" s="20"/>
    </row>
    <row r="40" ht="15.0" customHeight="1">
      <c r="A40" s="30">
        <v>3.0</v>
      </c>
      <c r="B40" s="31" t="s">
        <v>59</v>
      </c>
      <c r="C40" s="32">
        <v>40003.0</v>
      </c>
      <c r="D40" s="33">
        <v>21980.0</v>
      </c>
      <c r="E40" s="33" t="s">
        <v>39</v>
      </c>
      <c r="F40" s="33">
        <v>2091.0</v>
      </c>
      <c r="G40" s="31" t="s">
        <v>118</v>
      </c>
      <c r="H40" s="34">
        <v>120009.0</v>
      </c>
      <c r="I40" s="34" t="str">
        <f t="shared" si="1"/>
        <v>21,602</v>
      </c>
      <c r="J40" s="34" t="str">
        <f t="shared" si="2"/>
        <v>141,611</v>
      </c>
      <c r="K40" s="34" t="str">
        <f t="shared" si="3"/>
        <v>2,832</v>
      </c>
      <c r="L40" s="35" t="str">
        <f t="shared" si="4"/>
        <v>120</v>
      </c>
      <c r="M40" s="35" t="str">
        <f t="shared" si="5"/>
        <v>3,186</v>
      </c>
      <c r="N40" s="36" t="str">
        <f t="shared" si="6"/>
        <v>54</v>
      </c>
      <c r="O40" s="35" t="str">
        <f t="shared" si="7"/>
        <v>3,132</v>
      </c>
      <c r="P40" s="35" t="str">
        <f t="shared" si="8"/>
        <v>3,252</v>
      </c>
      <c r="Q40" s="37">
        <v>0.0</v>
      </c>
      <c r="R40" s="35" t="str">
        <f t="shared" si="9"/>
        <v>0</v>
      </c>
      <c r="S40" s="34" t="str">
        <f t="shared" si="10"/>
        <v>141,191</v>
      </c>
      <c r="T40" s="35" t="str">
        <f t="shared" si="11"/>
        <v>30,002</v>
      </c>
      <c r="U40" s="38">
        <v>30002.0</v>
      </c>
      <c r="V40" s="35" t="s">
        <v>53</v>
      </c>
      <c r="W40" s="35" t="str">
        <f t="shared" si="12"/>
        <v>111,188</v>
      </c>
      <c r="X40" s="35">
        <v>111189.0</v>
      </c>
      <c r="Y40" s="35" t="s">
        <v>119</v>
      </c>
      <c r="Z40" s="35" t="str">
        <f t="shared" si="13"/>
        <v>2,832</v>
      </c>
      <c r="AA40" s="35">
        <v>2832.0</v>
      </c>
      <c r="AB40" s="35" t="s">
        <v>119</v>
      </c>
      <c r="AC40" s="13" t="str">
        <f t="shared" si="14"/>
        <v>144,023</v>
      </c>
      <c r="AD40" s="17" t="str">
        <f t="shared" si="15"/>
        <v>(2,832)</v>
      </c>
      <c r="AE40" s="18"/>
      <c r="AF40" s="19"/>
      <c r="AG40" s="20"/>
    </row>
    <row r="41" ht="14.25" customHeight="1">
      <c r="A41" s="39"/>
      <c r="B41" s="40"/>
      <c r="C41" s="40"/>
      <c r="D41" s="40"/>
      <c r="E41" s="40"/>
      <c r="F41" s="40"/>
      <c r="G41" s="40"/>
      <c r="H41" s="41" t="str">
        <f t="shared" ref="H41:P41" si="20">SUM(H4:H40)</f>
        <v>15,130,598</v>
      </c>
      <c r="I41" s="41" t="str">
        <f t="shared" si="20"/>
        <v>2,723,508</v>
      </c>
      <c r="J41" s="41" t="str">
        <f t="shared" si="20"/>
        <v>17,854,106</v>
      </c>
      <c r="K41" s="41" t="str">
        <f t="shared" si="20"/>
        <v>357,082</v>
      </c>
      <c r="L41" s="41" t="str">
        <f t="shared" si="20"/>
        <v>15,131</v>
      </c>
      <c r="M41" s="41" t="str">
        <f t="shared" si="20"/>
        <v>401,717</v>
      </c>
      <c r="N41" s="41" t="str">
        <f t="shared" si="20"/>
        <v>6,809</v>
      </c>
      <c r="O41" s="41" t="str">
        <f t="shared" si="20"/>
        <v>394,909</v>
      </c>
      <c r="P41" s="41" t="str">
        <f t="shared" si="20"/>
        <v>410,039</v>
      </c>
      <c r="Q41" s="42"/>
      <c r="R41" s="42" t="str">
        <f t="shared" ref="R41:U41" si="21">SUM(R4:R40)</f>
        <v>83,029</v>
      </c>
      <c r="S41" s="41" t="str">
        <f t="shared" si="21"/>
        <v>17,718,123</v>
      </c>
      <c r="T41" s="41" t="str">
        <f t="shared" si="21"/>
        <v>3,782,654</v>
      </c>
      <c r="U41" s="41" t="str">
        <f t="shared" si="21"/>
        <v>3,782,654</v>
      </c>
      <c r="V41" s="42"/>
      <c r="W41" s="41" t="str">
        <f t="shared" ref="W41:X41" si="22">SUM(W4:W40)</f>
        <v>13,935,473</v>
      </c>
      <c r="X41" s="41" t="str">
        <f t="shared" si="22"/>
        <v>13,137,293</v>
      </c>
      <c r="Y41" s="42"/>
      <c r="Z41" s="42" t="str">
        <f t="shared" ref="Z41:AA41" si="23">SUM(Z4:Z40)</f>
        <v>34,459</v>
      </c>
      <c r="AA41" s="42" t="str">
        <f t="shared" si="23"/>
        <v>3,540</v>
      </c>
      <c r="AB41" s="42"/>
      <c r="AC41" s="42" t="str">
        <f t="shared" ref="AC41:AD41" si="24">SUM(AC4:AC40)</f>
        <v>16,923,487</v>
      </c>
      <c r="AD41" s="41" t="str">
        <f t="shared" si="24"/>
        <v>794,636</v>
      </c>
      <c r="AE41" s="40"/>
      <c r="AF41" s="40"/>
      <c r="AG41" s="43"/>
    </row>
    <row r="42" ht="15.0" customHeight="1">
      <c r="A42" s="44"/>
      <c r="B42" s="45"/>
      <c r="C42" s="45"/>
      <c r="D42" s="45"/>
      <c r="E42" s="45"/>
      <c r="F42" s="45"/>
      <c r="G42" s="45"/>
      <c r="H42" s="46" t="str">
        <f>+H41</f>
        <v>15,130,598</v>
      </c>
      <c r="I42" s="46" t="str">
        <f>ROUND(H42*18%,0)</f>
        <v>2,723,508</v>
      </c>
      <c r="J42" s="46" t="str">
        <f>+H42+I42</f>
        <v>17,854,106</v>
      </c>
      <c r="K42" s="46" t="str">
        <f>ROUND((H42+I42)*2%,0)</f>
        <v>357,082</v>
      </c>
      <c r="L42" s="47" t="str">
        <f>ROUND(H42*0.1%,0)</f>
        <v>15,131</v>
      </c>
      <c r="M42" s="47" t="str">
        <f>ROUND(H42*2.25%*118%,0)</f>
        <v>401,717</v>
      </c>
      <c r="N42" s="48" t="str">
        <f>ROUND(H42*2.25%*2%,0)</f>
        <v>6,809</v>
      </c>
      <c r="O42" s="47" t="str">
        <f>ROUND(M42-N42,0)</f>
        <v>394,908</v>
      </c>
      <c r="P42" s="47" t="str">
        <f>ROUND(O42+L42,0)</f>
        <v>410,039</v>
      </c>
      <c r="Q42" s="47"/>
      <c r="R42" s="47" t="str">
        <f>+R41</f>
        <v>83,029</v>
      </c>
      <c r="S42" s="46" t="str">
        <f>H42*117.65%-R42</f>
        <v>17,718,120</v>
      </c>
      <c r="T42" s="49"/>
      <c r="U42" s="49" t="str">
        <f>+T41-U41</f>
        <v>0</v>
      </c>
      <c r="V42" s="50"/>
      <c r="W42" s="51"/>
      <c r="X42" s="51" t="str">
        <f>+W41-X41</f>
        <v>798,180</v>
      </c>
      <c r="Y42" s="50"/>
      <c r="Z42" s="50"/>
      <c r="AA42" s="50"/>
      <c r="AB42" s="50"/>
      <c r="AC42" s="50"/>
      <c r="AD42" s="50"/>
      <c r="AE42" s="45"/>
      <c r="AF42" s="45"/>
      <c r="AG42" s="52"/>
    </row>
    <row r="43" ht="14.25" customHeight="1">
      <c r="I43" s="53"/>
      <c r="J43" s="53"/>
      <c r="P43" s="54"/>
      <c r="Q43" s="54"/>
      <c r="U43" s="55" t="s">
        <v>120</v>
      </c>
      <c r="V43" s="56"/>
      <c r="X43" s="57" t="s">
        <v>121</v>
      </c>
    </row>
    <row r="44" ht="14.25" customHeight="1">
      <c r="P44" s="54"/>
      <c r="Q44" s="54"/>
      <c r="U44" s="58"/>
      <c r="V44" s="56"/>
    </row>
    <row r="45" ht="15.75" customHeight="1">
      <c r="P45" s="54"/>
      <c r="Q45" s="54"/>
      <c r="U45" s="56"/>
      <c r="V45" s="56"/>
    </row>
    <row r="46" ht="14.25" customHeight="1">
      <c r="K46" s="53"/>
      <c r="P46" s="54"/>
      <c r="Q46" s="54"/>
      <c r="U46" s="56"/>
      <c r="V46" s="56"/>
    </row>
    <row r="47" ht="15.75" customHeight="1">
      <c r="P47" s="54"/>
      <c r="Q47" s="54"/>
      <c r="U47" s="56"/>
      <c r="V47" s="56"/>
    </row>
    <row r="48" ht="15.75" customHeight="1">
      <c r="P48" s="54"/>
      <c r="Q48" s="54"/>
      <c r="U48" s="56"/>
      <c r="V48" s="56"/>
    </row>
    <row r="49" ht="15.75" customHeight="1">
      <c r="P49" s="54"/>
      <c r="Q49" s="54"/>
      <c r="U49" s="56"/>
      <c r="V49" s="56"/>
    </row>
    <row r="50" ht="15.75" customHeight="1">
      <c r="P50" s="54"/>
      <c r="Q50" s="54"/>
      <c r="U50" s="56"/>
      <c r="V50" s="56"/>
    </row>
    <row r="51" ht="15.75" customHeight="1">
      <c r="P51" s="54"/>
      <c r="Q51" s="54"/>
      <c r="U51" s="56"/>
      <c r="V51" s="56"/>
    </row>
    <row r="52" ht="15.75" customHeight="1">
      <c r="P52" s="54"/>
      <c r="Q52" s="54"/>
      <c r="U52" s="56"/>
      <c r="V52" s="56"/>
    </row>
    <row r="53" ht="15.75" customHeight="1">
      <c r="P53" s="54"/>
      <c r="Q53" s="54"/>
      <c r="U53" s="56"/>
      <c r="V53" s="56"/>
    </row>
    <row r="54" ht="15.75" customHeight="1">
      <c r="P54" s="54"/>
      <c r="Q54" s="54"/>
      <c r="U54" s="56"/>
      <c r="V54" s="56"/>
    </row>
    <row r="55" ht="15.75" customHeight="1">
      <c r="P55" s="54"/>
      <c r="Q55" s="54"/>
      <c r="U55" s="56"/>
      <c r="V55" s="56"/>
    </row>
    <row r="56" ht="15.75" customHeight="1">
      <c r="P56" s="54"/>
      <c r="Q56" s="54"/>
      <c r="U56" s="56"/>
      <c r="V56" s="56"/>
    </row>
    <row r="57" ht="15.75" customHeight="1">
      <c r="P57" s="54"/>
      <c r="Q57" s="54"/>
      <c r="U57" s="56"/>
      <c r="V57" s="56"/>
    </row>
    <row r="58" ht="15.75" customHeight="1">
      <c r="P58" s="54"/>
      <c r="Q58" s="54"/>
      <c r="U58" s="56"/>
      <c r="V58" s="56"/>
    </row>
    <row r="59" ht="15.75" customHeight="1">
      <c r="P59" s="54"/>
      <c r="Q59" s="54"/>
      <c r="U59" s="56"/>
      <c r="V59" s="56"/>
    </row>
    <row r="60" ht="15.75" customHeight="1">
      <c r="P60" s="54"/>
      <c r="Q60" s="54"/>
      <c r="U60" s="56"/>
      <c r="V60" s="56"/>
    </row>
    <row r="61" ht="15.75" customHeight="1">
      <c r="P61" s="54"/>
      <c r="Q61" s="54"/>
      <c r="U61" s="56"/>
      <c r="V61" s="56"/>
    </row>
    <row r="62" ht="15.75" customHeight="1">
      <c r="P62" s="54"/>
      <c r="Q62" s="54"/>
      <c r="U62" s="56"/>
      <c r="V62" s="56"/>
    </row>
    <row r="63" ht="15.75" customHeight="1">
      <c r="P63" s="54"/>
      <c r="Q63" s="54"/>
      <c r="U63" s="56"/>
      <c r="V63" s="56"/>
    </row>
    <row r="64" ht="15.75" customHeight="1">
      <c r="P64" s="54"/>
      <c r="Q64" s="54"/>
      <c r="U64" s="56"/>
      <c r="V64" s="56"/>
    </row>
    <row r="65" ht="15.75" customHeight="1">
      <c r="P65" s="54"/>
      <c r="Q65" s="54"/>
      <c r="U65" s="56"/>
      <c r="V65" s="56"/>
    </row>
    <row r="66" ht="15.75" customHeight="1">
      <c r="P66" s="54"/>
      <c r="Q66" s="54"/>
      <c r="U66" s="56"/>
      <c r="V66" s="56"/>
    </row>
    <row r="67" ht="15.75" customHeight="1">
      <c r="P67" s="54"/>
      <c r="Q67" s="54"/>
      <c r="U67" s="56"/>
      <c r="V67" s="56"/>
    </row>
    <row r="68" ht="15.75" customHeight="1">
      <c r="P68" s="54"/>
      <c r="Q68" s="54"/>
      <c r="U68" s="56"/>
      <c r="V68" s="56"/>
    </row>
    <row r="69" ht="15.75" customHeight="1">
      <c r="P69" s="54"/>
      <c r="Q69" s="54"/>
      <c r="U69" s="56"/>
      <c r="V69" s="56"/>
    </row>
    <row r="70" ht="15.75" customHeight="1">
      <c r="P70" s="54"/>
      <c r="Q70" s="54"/>
      <c r="U70" s="56"/>
      <c r="V70" s="56"/>
    </row>
    <row r="71" ht="15.75" customHeight="1">
      <c r="P71" s="54"/>
      <c r="Q71" s="54"/>
      <c r="U71" s="56"/>
      <c r="V71" s="56"/>
    </row>
    <row r="72" ht="15.75" customHeight="1">
      <c r="P72" s="54"/>
      <c r="Q72" s="54"/>
      <c r="U72" s="56"/>
      <c r="V72" s="56"/>
    </row>
    <row r="73" ht="15.75" customHeight="1">
      <c r="P73" s="54"/>
      <c r="Q73" s="54"/>
      <c r="U73" s="56"/>
      <c r="V73" s="56"/>
    </row>
    <row r="74" ht="15.75" customHeight="1">
      <c r="P74" s="54"/>
      <c r="Q74" s="54"/>
      <c r="U74" s="56"/>
      <c r="V74" s="56"/>
    </row>
    <row r="75" ht="15.75" customHeight="1">
      <c r="P75" s="54"/>
      <c r="Q75" s="54"/>
      <c r="U75" s="56"/>
      <c r="V75" s="56"/>
    </row>
    <row r="76" ht="15.75" customHeight="1">
      <c r="P76" s="54"/>
      <c r="Q76" s="54"/>
      <c r="U76" s="56"/>
      <c r="V76" s="56"/>
    </row>
    <row r="77" ht="15.75" customHeight="1">
      <c r="P77" s="54"/>
      <c r="Q77" s="54"/>
      <c r="U77" s="56"/>
      <c r="V77" s="56"/>
    </row>
    <row r="78" ht="15.75" customHeight="1">
      <c r="P78" s="54"/>
      <c r="Q78" s="54"/>
      <c r="U78" s="56"/>
      <c r="V78" s="56"/>
    </row>
    <row r="79" ht="15.75" customHeight="1">
      <c r="P79" s="54"/>
      <c r="Q79" s="54"/>
      <c r="U79" s="56"/>
      <c r="V79" s="56"/>
    </row>
    <row r="80" ht="15.75" customHeight="1">
      <c r="P80" s="54"/>
      <c r="Q80" s="54"/>
      <c r="U80" s="56"/>
      <c r="V80" s="56"/>
    </row>
    <row r="81" ht="15.75" customHeight="1">
      <c r="P81" s="54"/>
      <c r="Q81" s="54"/>
      <c r="U81" s="56"/>
      <c r="V81" s="56"/>
    </row>
    <row r="82" ht="15.75" customHeight="1">
      <c r="P82" s="54"/>
      <c r="Q82" s="54"/>
      <c r="U82" s="56"/>
      <c r="V82" s="56"/>
    </row>
    <row r="83" ht="15.75" customHeight="1">
      <c r="P83" s="54"/>
      <c r="Q83" s="54"/>
      <c r="U83" s="56"/>
      <c r="V83" s="56"/>
    </row>
    <row r="84" ht="15.75" customHeight="1">
      <c r="P84" s="54"/>
      <c r="Q84" s="54"/>
      <c r="U84" s="56"/>
      <c r="V84" s="56"/>
    </row>
    <row r="85" ht="15.75" customHeight="1">
      <c r="P85" s="54"/>
      <c r="Q85" s="54"/>
      <c r="U85" s="56"/>
      <c r="V85" s="56"/>
    </row>
    <row r="86" ht="15.75" customHeight="1">
      <c r="P86" s="54"/>
      <c r="Q86" s="54"/>
      <c r="U86" s="56"/>
      <c r="V86" s="56"/>
    </row>
    <row r="87" ht="15.75" customHeight="1">
      <c r="P87" s="54"/>
      <c r="Q87" s="54"/>
      <c r="U87" s="56"/>
      <c r="V87" s="56"/>
    </row>
    <row r="88" ht="15.75" customHeight="1">
      <c r="P88" s="54"/>
      <c r="Q88" s="54"/>
      <c r="U88" s="56"/>
      <c r="V88" s="56"/>
    </row>
    <row r="89" ht="15.75" customHeight="1">
      <c r="P89" s="54"/>
      <c r="Q89" s="54"/>
      <c r="U89" s="56"/>
      <c r="V89" s="56"/>
    </row>
    <row r="90" ht="15.75" customHeight="1">
      <c r="P90" s="54"/>
      <c r="Q90" s="54"/>
      <c r="U90" s="56"/>
      <c r="V90" s="56"/>
    </row>
    <row r="91" ht="15.75" customHeight="1">
      <c r="P91" s="54"/>
      <c r="Q91" s="54"/>
      <c r="U91" s="56"/>
      <c r="V91" s="56"/>
    </row>
    <row r="92" ht="15.75" customHeight="1">
      <c r="P92" s="54"/>
      <c r="Q92" s="54"/>
      <c r="U92" s="56"/>
      <c r="V92" s="56"/>
    </row>
    <row r="93" ht="15.75" customHeight="1">
      <c r="P93" s="54"/>
      <c r="Q93" s="54"/>
      <c r="U93" s="56"/>
      <c r="V93" s="56"/>
    </row>
    <row r="94" ht="15.75" customHeight="1">
      <c r="P94" s="54"/>
      <c r="Q94" s="54"/>
      <c r="U94" s="56"/>
      <c r="V94" s="56"/>
    </row>
    <row r="95" ht="15.75" customHeight="1">
      <c r="P95" s="54"/>
      <c r="Q95" s="54"/>
      <c r="U95" s="56"/>
      <c r="V95" s="56"/>
    </row>
    <row r="96" ht="15.75" customHeight="1">
      <c r="P96" s="54"/>
      <c r="Q96" s="54"/>
      <c r="U96" s="56"/>
      <c r="V96" s="56"/>
    </row>
    <row r="97" ht="15.75" customHeight="1">
      <c r="P97" s="54"/>
      <c r="Q97" s="54"/>
      <c r="U97" s="56"/>
      <c r="V97" s="56"/>
    </row>
    <row r="98" ht="15.75" customHeight="1">
      <c r="P98" s="54"/>
      <c r="Q98" s="54"/>
      <c r="U98" s="56"/>
      <c r="V98" s="56"/>
    </row>
    <row r="99" ht="15.75" customHeight="1">
      <c r="P99" s="54"/>
      <c r="Q99" s="54"/>
      <c r="U99" s="56"/>
      <c r="V99" s="56"/>
    </row>
    <row r="100" ht="15.75" customHeight="1">
      <c r="P100" s="54"/>
      <c r="Q100" s="54"/>
      <c r="U100" s="56"/>
      <c r="V100" s="56"/>
    </row>
  </sheetData>
  <autoFilter ref="$A$3:$AG$43">
    <sortState ref="A3:AG43">
      <sortCondition ref="A3:A43"/>
    </sortState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4.86"/>
    <col customWidth="1" min="2" max="2" width="10.0"/>
    <col customWidth="1" min="3" max="3" width="30.0"/>
    <col customWidth="1" min="4" max="4" width="42.0"/>
    <col customWidth="1" min="5" max="5" width="11.71"/>
    <col customWidth="1" min="6" max="6" width="12.0"/>
    <col customWidth="1" min="7" max="7" width="11.0"/>
    <col customWidth="1" min="8" max="8" width="8.86"/>
    <col customWidth="1" min="9" max="9" width="10.29"/>
    <col customWidth="1" min="10" max="10" width="8.86"/>
    <col customWidth="1" min="11" max="34" width="13.43"/>
    <col customWidth="1" min="35" max="35" width="13.0"/>
    <col customWidth="1" min="36" max="36" width="8.71"/>
    <col customWidth="1" hidden="1" min="37" max="99" width="12.0"/>
  </cols>
  <sheetData>
    <row r="1" ht="30.0" customHeight="1">
      <c r="A1" s="59" t="s">
        <v>122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1"/>
    </row>
    <row r="2" ht="43.5" customHeight="1">
      <c r="A2" s="62" t="s">
        <v>123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1"/>
    </row>
    <row r="3" ht="30.0" customHeight="1">
      <c r="A3" s="63" t="s">
        <v>124</v>
      </c>
      <c r="B3" s="64">
        <v>2015.0</v>
      </c>
      <c r="C3" s="65"/>
      <c r="D3" s="66"/>
      <c r="E3" s="67" t="s">
        <v>125</v>
      </c>
      <c r="F3" s="68" t="s">
        <v>126</v>
      </c>
      <c r="G3" s="67" t="s">
        <v>127</v>
      </c>
      <c r="H3" s="69" t="str">
        <f>SUM($AM$5:$AM$41)&amp;" of 37"</f>
        <v>1 of 37</v>
      </c>
      <c r="I3" s="70" t="str">
        <f>IF(AND($B$3="",COUNTIF($A$4:$AI$4,"&lt;&gt;")=0),"◀ type in the yellow box B3 or a yellow cell above any header - a lot no., a buyer, a lot name... several values: comma or / = ANY of them, + or &amp; = ALL of them","matching "&amp;SUM($AM$5:$AM$41)&amp;" of 37 lots   •   search: "&amp;IF($B$3="","(column fields)",$B$3)&amp;"   •   in: "&amp;$F$3&amp;"   •   column fields are AND filters; grouped by the value typed, the misses greyed in REMAINING, TOTAL MATCHED totals the hits")</f>
        <v>matching 1 of 37 lots   •   search: 2015   •   in: Lot No. + Buyer + Name   •   column fields are AND filters; grouped by the value typed, the misses greyed in REMAINING, TOTAL MATCHED totals the hits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1"/>
      <c r="AK3" s="71" t="s">
        <v>128</v>
      </c>
      <c r="AM3" s="71" t="s">
        <v>129</v>
      </c>
      <c r="AO3" s="71" t="s">
        <v>130</v>
      </c>
      <c r="AQ3" s="71" t="s">
        <v>131</v>
      </c>
      <c r="AR3" t="s">
        <v>132</v>
      </c>
    </row>
    <row r="4" ht="30.0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O4" t="s">
        <v>126</v>
      </c>
      <c r="AQ4" t="str">
        <f>SUBSTITUTE(SUBSTITUTE($B$3,"&amp;","+"),"/",",")</f>
        <v>2015</v>
      </c>
      <c r="AR4" t="str">
        <f>$AQ$4</f>
        <v>2015</v>
      </c>
      <c r="AS4" t="str">
        <f>IF(OR($AR$4="",$AR$5=99999),"",MID($AR$4,$AR$5+1,99999))</f>
        <v/>
      </c>
      <c r="AT4" t="str">
        <f>IF(OR($AS$4="",$AS$5=99999),"",MID($AS$4,$AS$5+1,99999))</f>
        <v/>
      </c>
      <c r="AU4" t="str">
        <f>IF(OR($AT$4="",$AT$5=99999),"",MID($AT$4,$AT$5+1,99999))</f>
        <v/>
      </c>
      <c r="AV4" t="str">
        <f>IF(OR($AU$4="",$AU$5=99999),"",MID($AU$4,$AU$5+1,99999))</f>
        <v/>
      </c>
      <c r="AW4" t="str">
        <f>IF(OR($AV$4="",$AV$5=99999),"",MID($AV$4,$AV$5+1,99999))</f>
        <v/>
      </c>
      <c r="AX4" t="str">
        <f>IF(OR($AW$4="",$AW$5=99999),"",MID($AW$4,$AW$5+1,99999))</f>
        <v/>
      </c>
      <c r="AY4" t="str">
        <f>IF(OR($AX$4="",$AX$5=99999),"",MID($AX$4,$AX$5+1,99999))</f>
        <v/>
      </c>
      <c r="BD4" t="str">
        <f>COUNTIF($AZ$5:$AZ$41,1)</f>
        <v>1</v>
      </c>
      <c r="BE4">
        <v>5.0</v>
      </c>
      <c r="BF4" t="str">
        <f t="shared" ref="BF4:BF13" si="1">IF($BD4=0,0,$BE4+$BD4)</f>
        <v>6</v>
      </c>
      <c r="BG4" t="str">
        <f t="shared" ref="BG4:BG5" si="2">IF($BD12=0,$BE12,$BF12+1)</f>
        <v>7</v>
      </c>
    </row>
    <row r="5" ht="43.5" customHeight="1">
      <c r="A5" s="72" t="s">
        <v>133</v>
      </c>
      <c r="B5" s="73" t="s">
        <v>6</v>
      </c>
      <c r="C5" s="73" t="s">
        <v>7</v>
      </c>
      <c r="D5" s="73" t="s">
        <v>134</v>
      </c>
      <c r="E5" s="73" t="s">
        <v>4</v>
      </c>
      <c r="F5" s="73" t="s">
        <v>1</v>
      </c>
      <c r="G5" s="73" t="s">
        <v>5</v>
      </c>
      <c r="H5" s="73" t="s">
        <v>3</v>
      </c>
      <c r="I5" s="73" t="s">
        <v>8</v>
      </c>
      <c r="J5" s="73" t="s">
        <v>9</v>
      </c>
      <c r="K5" s="73" t="s">
        <v>10</v>
      </c>
      <c r="L5" s="73" t="s">
        <v>11</v>
      </c>
      <c r="M5" s="73" t="s">
        <v>12</v>
      </c>
      <c r="N5" s="73" t="s">
        <v>135</v>
      </c>
      <c r="O5" s="73" t="s">
        <v>14</v>
      </c>
      <c r="P5" s="73" t="s">
        <v>136</v>
      </c>
      <c r="Q5" s="73" t="s">
        <v>16</v>
      </c>
      <c r="R5" s="73" t="s">
        <v>17</v>
      </c>
      <c r="S5" s="73" t="s">
        <v>18</v>
      </c>
      <c r="T5" s="73" t="s">
        <v>19</v>
      </c>
      <c r="U5" s="73" t="s">
        <v>20</v>
      </c>
      <c r="V5" s="73" t="s">
        <v>21</v>
      </c>
      <c r="W5" s="73" t="s">
        <v>137</v>
      </c>
      <c r="X5" s="73" t="s">
        <v>23</v>
      </c>
      <c r="Y5" s="73" t="s">
        <v>24</v>
      </c>
      <c r="Z5" s="73" t="s">
        <v>138</v>
      </c>
      <c r="AA5" s="73" t="s">
        <v>25</v>
      </c>
      <c r="AB5" s="73" t="s">
        <v>26</v>
      </c>
      <c r="AC5" s="73" t="s">
        <v>27</v>
      </c>
      <c r="AD5" s="73" t="s">
        <v>28</v>
      </c>
      <c r="AE5" s="73" t="s">
        <v>29</v>
      </c>
      <c r="AF5" s="73" t="s">
        <v>139</v>
      </c>
      <c r="AG5" s="73" t="s">
        <v>31</v>
      </c>
      <c r="AH5" s="73" t="s">
        <v>32</v>
      </c>
      <c r="AI5" s="74" t="s">
        <v>140</v>
      </c>
      <c r="AK5" t="str">
        <f>IF($F$3="Lot No.",'Final Calculation Sheet'!$F$4,IF($F$3="Buyer",'Final Calculation Sheet'!$G$4,IF($F$3="Lot Name",'Final Calculation Sheet'!$B$4,IF($F$3="Bid Sheet",'Final Calculation Sheet'!$D$4,IF($F$3="Unit",'Final Calculation Sheet'!$E$4,'Final Calculation Sheet'!$F$4&amp;" "&amp;'Final Calculation Sheet'!$G$4&amp;" "&amp;'Final Calculation Sheet'!$B$4)))))</f>
        <v>1763 AL HAMD TRADE CORPORATION Lot No.</v>
      </c>
      <c r="AM5" t="str">
        <f t="shared" ref="AM5:AM41" si="3">IF(COUNTIF($BM5:$CU5,0)&gt;0,0,IF($B$3="",1,IF(AND(IF(COUNTIF($AR$9:$AY$9,1)=0,TRUE,SUMPRODUCT(($AR$9:$AY$9=1)*($AR$6:$AY$6&lt;&gt;"")*ISNUMBER(SEARCH($AR$6:$AY$6,$AK5)))&gt;0),IF(COUNTIF($AR$9:$AY$9,2)=0,TRUE,SUMPRODUCT(($AR$9:$AY$9=2)*($AR$6:$AY$6&lt;&gt;"")*ISNUMBER(SEARCH($AR$6:$AY$6,$AK5)))&gt;0),IF(COUNTIF($AR$9:$AY$9,3)=0,TRUE,SUMPRODUCT(($AR$9:$AY$9=3)*($AR$6:$AY$6&lt;&gt;"")*ISNUMBER(SEARCH($AR$6:$AY$6,$AK5)))&gt;0),IF(COUNTIF($AR$9:$AY$9,4)=0,TRUE,SUMPRODUCT(($AR$9:$AY$9=4)*($AR$6:$AY$6&lt;&gt;"")*ISNUMBER(SEARCH($AR$6:$AY$6,$AK5)))&gt;0),IF(COUNTIF($AR$9:$AY$9,5)=0,TRUE,SUMPRODUCT(($AR$9:$AY$9=5)*($AR$6:$AY$6&lt;&gt;"")*ISNUMBER(SEARCH($AR$6:$AY$6,$AK5)))&gt;0),IF(COUNTIF($AR$9:$AY$9,6)=0,TRUE,SUMPRODUCT(($AR$9:$AY$9=6)*($AR$6:$AY$6&lt;&gt;"")*ISNUMBER(SEARCH($AR$6:$AY$6,$AK5)))&gt;0),IF(COUNTIF($AR$9:$AY$9,7)=0,TRUE,SUMPRODUCT(($AR$9:$AY$9=7)*($AR$6:$AY$6&lt;&gt;"")*ISNUMBER(SEARCH($AR$6:$AY$6,$AK5)))&gt;0),IF(COUNTIF($AR$9:$AY$9,8)=0,TRUE,SUMPRODUCT(($AR$9:$AY$9=8)*($AR$6:$AY$6&lt;&gt;"")*ISNUMBER(SEARCH($AR$6:$AY$6,$AK5)))&gt;0)),1,0)))</f>
        <v>0</v>
      </c>
      <c r="AO5" t="s">
        <v>6</v>
      </c>
      <c r="AR5" t="str">
        <f>IF($AR$4="",99999,MIN(IFERROR(FIND(",",$AR$4),99999),IFERROR(FIND("+",$AR$4),99999)))</f>
        <v>99999</v>
      </c>
      <c r="AS5" t="str">
        <f>IF($AS$4="",99999,MIN(IFERROR(FIND(",",$AS$4),99999),IFERROR(FIND("+",$AS$4),99999)))</f>
        <v>99999</v>
      </c>
      <c r="AT5" t="str">
        <f>IF($AT$4="",99999,MIN(IFERROR(FIND(",",$AT$4),99999),IFERROR(FIND("+",$AT$4),99999)))</f>
        <v>99999</v>
      </c>
      <c r="AU5" t="str">
        <f>IF($AU$4="",99999,MIN(IFERROR(FIND(",",$AU$4),99999),IFERROR(FIND("+",$AU$4),99999)))</f>
        <v>99999</v>
      </c>
      <c r="AV5" t="str">
        <f>IF($AV$4="",99999,MIN(IFERROR(FIND(",",$AV$4),99999),IFERROR(FIND("+",$AV$4),99999)))</f>
        <v>99999</v>
      </c>
      <c r="AW5" t="str">
        <f>IF($AW$4="",99999,MIN(IFERROR(FIND(",",$AW$4),99999),IFERROR(FIND("+",$AW$4),99999)))</f>
        <v>99999</v>
      </c>
      <c r="AX5" t="str">
        <f>IF($AX$4="",99999,MIN(IFERROR(FIND(",",$AX$4),99999),IFERROR(FIND("+",$AX$4),99999)))</f>
        <v>99999</v>
      </c>
      <c r="AY5" t="str">
        <f>IF($AY$4="",99999,MIN(IFERROR(FIND(",",$AY$4),99999),IFERROR(FIND("+",$AY$4),99999)))</f>
        <v>99999</v>
      </c>
      <c r="AZ5" t="str">
        <f t="shared" ref="AZ5:AZ41" si="4">IF($B$3="",IF(COUNTIF($A$4:$AI$4,"&lt;&gt;")=0,9,IF($AM5=1,9,10)),IF($AM5=0,10,IF(AND($AR$6&lt;&gt;"",ISNUMBER(SEARCH($AR$6,$AK5))),1,IF(AND($AS$6&lt;&gt;"",ISNUMBER(SEARCH($AS$6,$AK5))),2,IF(AND($AT$6&lt;&gt;"",ISNUMBER(SEARCH($AT$6,$AK5))),3,IF(AND($AU$6&lt;&gt;"",ISNUMBER(SEARCH($AU$6,$AK5))),4,IF(AND($AV$6&lt;&gt;"",ISNUMBER(SEARCH($AV$6,$AK5))),5,IF(AND($AW$6&lt;&gt;"",ISNUMBER(SEARCH($AW$6,$AK5))),6,IF(AND($AX$6&lt;&gt;"",ISNUMBER(SEARCH($AX$6,$AK5))),7,IF(AND($AY$6&lt;&gt;"",ISNUMBER(SEARCH($AY$6,$AK5))),8,0))))))))))</f>
        <v>10</v>
      </c>
      <c r="BA5" t="str">
        <f t="shared" ref="BA5:BA41" si="5">SUMPRODUCT(($AZ$5:$AZ$41=$AZ5)*($BC$5:$BC$41&lt;$BC5))+1</f>
        <v>1</v>
      </c>
      <c r="BB5" t="str">
        <f t="shared" ref="BB5:BB41" si="6">IF(INDEX($BF$4:$BF$13,$AZ5)=0,0,INDEX($BE$4:$BE$13,$AZ5)+$BA5-1)</f>
        <v>8</v>
      </c>
      <c r="BC5">
        <v>4.0</v>
      </c>
      <c r="BD5" t="str">
        <f>COUNTIF($AZ$5:$AZ$41,2)</f>
        <v>0</v>
      </c>
      <c r="BE5" t="str">
        <f t="shared" ref="BE5:BE12" si="7">IF($BD4=0,$BE4,$BF4+1)</f>
        <v>7</v>
      </c>
      <c r="BF5" t="str">
        <f t="shared" si="1"/>
        <v>0</v>
      </c>
      <c r="BG5" t="str">
        <f t="shared" si="2"/>
        <v>45</v>
      </c>
      <c r="BH5" t="str">
        <f>IFERROR(MATCH(5,$BF$4:$BF$13,0),0)</f>
        <v>0</v>
      </c>
      <c r="BI5" t="str">
        <f>IF(5=$BG$5,1,0)</f>
        <v>0</v>
      </c>
      <c r="BJ5" t="str">
        <f t="array" ref="BJ5">IF(OR($BH5&gt;0,$BI5=1,$BL5=1),0,IFERROR(INDEX($BC$5:$BC$41,MATCH(5,$BB$5:$BB$41,0)),0))</f>
        <v>17</v>
      </c>
      <c r="BK5" t="str">
        <f t="array" ref="BK5">IF($BJ5&gt;0,IF(INDEX($AZ$5:$AZ$41,MATCH(5,$BB$5:$BB$41,0))=10,1,0),IF($BH5=10,1,0))</f>
        <v>0</v>
      </c>
      <c r="BL5" t="str">
        <f>IF(5=$BG$4,1,0)</f>
        <v>0</v>
      </c>
      <c r="BM5" t="str">
        <f t="shared" ref="BM5:BM41" si="8"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5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Sheet'!$F$4)&amp;"",""))))&gt;0))</f>
        <v>1</v>
      </c>
      <c r="BO5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Sheet'!$G$4)&amp;"",""))))&gt;0))</f>
        <v>1</v>
      </c>
      <c r="BP5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Sheet'!$B$4)&amp;"",""))))&gt;0))</f>
        <v>1</v>
      </c>
      <c r="BQ5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Sheet'!$D$4)&amp;"",""))))&gt;0))</f>
        <v>1</v>
      </c>
      <c r="BR5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Sheet'!$A$4)&amp;"",""))))&gt;0))</f>
        <v>1</v>
      </c>
      <c r="BS5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Sheet'!$E$4)&amp;"",""))))&gt;0))</f>
        <v>1</v>
      </c>
      <c r="BT5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Sheet'!$C$4)&amp;"",""))))&gt;0))</f>
        <v>1</v>
      </c>
      <c r="BU5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Sheet'!$H$4)&amp;"",""))))&gt;0))</f>
        <v>1</v>
      </c>
      <c r="BV5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Sheet'!$I$4)&amp;"",""))))&gt;0))</f>
        <v>1</v>
      </c>
      <c r="BW5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Sheet'!$J$4)&amp;"",""))))&gt;0))</f>
        <v>1</v>
      </c>
      <c r="BX5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Sheet'!$K$4)&amp;"",""))))&gt;0))</f>
        <v>1</v>
      </c>
      <c r="BY5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Sheet'!$L$4)&amp;"",""))))&gt;0))</f>
        <v>1</v>
      </c>
      <c r="BZ5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Sheet'!$M$4)&amp;"",""))))&gt;0))</f>
        <v>1</v>
      </c>
      <c r="CA5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Sheet'!$N$4)&amp;"",""))))&gt;0))</f>
        <v>1</v>
      </c>
      <c r="CB5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Sheet'!$O$4)&amp;"",""))))&gt;0))</f>
        <v>1</v>
      </c>
      <c r="CC5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Sheet'!$P$4)&amp;"",""))))&gt;0))</f>
        <v>1</v>
      </c>
      <c r="CD5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Sheet'!$Q$4)&amp;"",""))))&gt;0))</f>
        <v>1</v>
      </c>
      <c r="CE5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Sheet'!$R$4)&amp;"",""))))&gt;0))</f>
        <v>1</v>
      </c>
      <c r="CF5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Sheet'!$S$4)&amp;"",""))))&gt;0))</f>
        <v>1</v>
      </c>
      <c r="CG5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Sheet'!$T$4)&amp;"",""))))&gt;0))</f>
        <v>1</v>
      </c>
      <c r="CH5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Sheet'!$U$4)&amp;"",""))))&gt;0))</f>
        <v>1</v>
      </c>
      <c r="CI5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Sheet'!$V$4)&amp;"",""))))&gt;0))</f>
        <v>1</v>
      </c>
      <c r="CJ5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Sheet'!$W$4)&amp;"",""))))&gt;0))</f>
        <v>1</v>
      </c>
      <c r="CK5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Sheet'!$X$4)&amp;"",""))))&gt;0))</f>
        <v>1</v>
      </c>
      <c r="CL5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Sheet'!$Y$4)&amp;"",""))))&gt;0))</f>
        <v>1</v>
      </c>
      <c r="CM5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Sheet'!$Z$4)&amp;"",""))))&gt;0))</f>
        <v>1</v>
      </c>
      <c r="CN5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Sheet'!$AA$4)&amp;"",""))))&gt;0))</f>
        <v>1</v>
      </c>
      <c r="CO5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Sheet'!$AB$4)&amp;"",""))))&gt;0))</f>
        <v>1</v>
      </c>
      <c r="CP5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Sheet'!$AC$4)&amp;"",""))))&gt;0))</f>
        <v>1</v>
      </c>
      <c r="CQ5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Sheet'!$AD$4)&amp;"",""))))&gt;0))</f>
        <v>1</v>
      </c>
      <c r="CR5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Sheet'!$AE$4)&amp;"",""))))&gt;0))</f>
        <v>1</v>
      </c>
      <c r="CS5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Sheet'!$AF$4)&amp;"",""))))&gt;0))</f>
        <v>1</v>
      </c>
      <c r="CT5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Sheet'!$AG$4)&amp;"",""))))&gt;0))</f>
        <v>1</v>
      </c>
      <c r="CU5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Sheet'!$AD$4&lt;=0,"SETTLED","OUTSTANDING"))&amp;"",""))))&gt;0))</f>
        <v>1</v>
      </c>
    </row>
    <row r="6" ht="15.0" customHeight="1">
      <c r="A6" s="75" t="str">
        <f t="array" ref="A6">IF($BJ5&gt;0,INDEX($BA$5:$BA$41,MATCH(5,$BB$5:$BB$41,0)),IF(OR($BI5=1,$BL5=1,$BH5&gt;0),"∑",""))</f>
        <v>1</v>
      </c>
      <c r="B6" s="76" t="str">
        <f t="array" ref="B6">IF($BJ5&gt;0,IF(INDEX('Final Calculation Sheet'!$F$4:$F$40,$BJ5-3)="","",INDEX('Final Calculation Sheet'!$F$4:$F$40,$BJ5-3)),"")</f>
        <v>2015</v>
      </c>
      <c r="C6" s="76" t="str">
        <f t="array" ref="C6">IF($BJ5&gt;0,IF(INDEX('Final Calculation Sheet'!$G$4:$G$40,$BJ5-3)="","",INDEX('Final Calculation Sheet'!$G$4:$G$40,$BJ5-3)),IF(OR($BI5=1,$BL5=1,$BH5&gt;0),IF($BI5=1,37,IF($BL5=1,37-INDEX($BD$4:$BD$13,10),INDEX($BD$4:$BD$13,$BH5)))&amp;" lot(s)",""))</f>
        <v>STERLING ENTERPRISES</v>
      </c>
      <c r="D6" s="77" t="str">
        <f t="array" ref="D6">IF($BJ5&gt;0,IF(INDEX('Final Calculation Sheet'!$B$4:$B$40,$BJ5-3)="","",INDEX('Final Calculation Sheet'!$B$4:$B$40,$BJ5-3)),IF(OR($BI5=1,$BL5=1,$BH5&gt;0),IF($BI5=1,"GRAND TOTAL  —  matching + remaining",IF($BL5=1,"TOTAL MATCHED  —  every group together",IF($BH5=10,"REMAINING  —  did not match the search",IF($BH5=9,IF(COUNTIF($A$4:$AI$4,"&lt;&gt;")&gt;0,"FILTERED LOTS  —  column fields","ALL LOTS  —  nothing typed in the box"),"GROUP "&amp;$BH5&amp;" TOTAL  —  lots matching  "&amp;INDEX($AR$6:$AY$6,$BH5))))),""))</f>
        <v>Scrap of empty oil Barrels</v>
      </c>
      <c r="E6" s="77" t="str">
        <f t="array" ref="E6">IF($BJ5&gt;0,IF(INDEX('Final Calculation Sheet'!$D$4:$D$40,$BJ5-3)="","",INDEX('Final Calculation Sheet'!$D$4:$D$40,$BJ5-3)),IF(OR($BI5=1,$BL5=1,$BH5&gt;0),"–",""))</f>
        <v>21978</v>
      </c>
      <c r="F6" s="77" t="str">
        <f t="array" ref="F6">IF($BJ5&gt;0,IF(INDEX('Final Calculation Sheet'!$A$4:$A$40,$BJ5-3)="","",INDEX('Final Calculation Sheet'!$A$4:$A$40,$BJ5-3)),IF(OR($BI5=1,$BL5=1,$BH5&gt;0),IF($BI5=1,SUM('Final Calculation Sheet'!$A$4:$A$40),IF($BL5=1,SUM('Final Calculation Sheet'!$A$4:$A$40)-SUMIFS('Final Calculation Sheet'!$A$4:$A$40,$AZ$5:$AZ$41,10),SUMIFS('Final Calculation Sheet'!$A$4:$A$40,$AZ$5:$AZ$41,$BH5))),""))</f>
        <v>100</v>
      </c>
      <c r="G6" s="77" t="str">
        <f t="array" ref="G6">IF($BJ5&gt;0,IF(INDEX('Final Calculation Sheet'!$E$4:$E$40,$BJ5-3)="","",INDEX('Final Calculation Sheet'!$E$4:$E$40,$BJ5-3)),IF(OR($BI5=1,$BL5=1,$BH5&gt;0),"–",""))</f>
        <v>NO</v>
      </c>
      <c r="H6" s="78" t="str">
        <f t="array" ref="H6">IF($BJ5&gt;0,IF(INDEX('Final Calculation Sheet'!$C$4:$C$40,$BJ5-3)="","",INDEX('Final Calculation Sheet'!$C$4:$C$40,$BJ5-3)),IF(OR($BI5=1,$BL5=1,$BH5&gt;0),"–",""))</f>
        <v>710</v>
      </c>
      <c r="I6" s="78" t="str">
        <f t="array" ref="I6">IF($BJ5&gt;0,IF(INDEX('Final Calculation Sheet'!$H$4:$H$40,$BJ5-3)="","",INDEX('Final Calculation Sheet'!$H$4:$H$40,$BJ5-3)),IF(OR($BI5=1,$BL5=1,$BH5&gt;0),IF($BI5=1,SUM('Final Calculation Sheet'!$H$4:$H$40),IF($BL5=1,SUM('Final Calculation Sheet'!$H$4:$H$40)-SUMIFS('Final Calculation Sheet'!$H$4:$H$40,$AZ$5:$AZ$41,10),SUMIFS('Final Calculation Sheet'!$H$4:$H$40,$AZ$5:$AZ$41,$BH5))),""))</f>
        <v>71,000</v>
      </c>
      <c r="J6" s="78" t="str">
        <f t="array" ref="J6">IF($BJ5&gt;0,IF(INDEX('Final Calculation Sheet'!$I$4:$I$40,$BJ5-3)="","",INDEX('Final Calculation Sheet'!$I$4:$I$40,$BJ5-3)),IF(OR($BI5=1,$BL5=1,$BH5&gt;0),IF($BI5=1,SUM('Final Calculation Sheet'!$I$4:$I$40),IF($BL5=1,SUM('Final Calculation Sheet'!$I$4:$I$40)-SUMIFS('Final Calculation Sheet'!$I$4:$I$40,$AZ$5:$AZ$41,10),SUMIFS('Final Calculation Sheet'!$I$4:$I$40,$AZ$5:$AZ$41,$BH5))),""))</f>
        <v>12,780</v>
      </c>
      <c r="K6" s="78" t="str">
        <f t="array" ref="K6">IF($BJ5&gt;0,IF(INDEX('Final Calculation Sheet'!$J$4:$J$40,$BJ5-3)="","",INDEX('Final Calculation Sheet'!$J$4:$J$40,$BJ5-3)),IF(OR($BI5=1,$BL5=1,$BH5&gt;0),IF($BI5=1,SUM('Final Calculation Sheet'!$J$4:$J$40),IF($BL5=1,SUM('Final Calculation Sheet'!$J$4:$J$40)-SUMIFS('Final Calculation Sheet'!$J$4:$J$40,$AZ$5:$AZ$41,10),SUMIFS('Final Calculation Sheet'!$J$4:$J$40,$AZ$5:$AZ$41,$BH5))),""))</f>
        <v>83,780</v>
      </c>
      <c r="L6" s="78" t="str">
        <f t="array" ref="L6">IF($BJ5&gt;0,IF(INDEX('Final Calculation Sheet'!$K$4:$K$40,$BJ5-3)="","",INDEX('Final Calculation Sheet'!$K$4:$K$40,$BJ5-3)),IF(OR($BI5=1,$BL5=1,$BH5&gt;0),IF($BI5=1,SUM('Final Calculation Sheet'!$K$4:$K$40),IF($BL5=1,SUM('Final Calculation Sheet'!$K$4:$K$40)-SUMIFS('Final Calculation Sheet'!$K$4:$K$40,$AZ$5:$AZ$41,10),SUMIFS('Final Calculation Sheet'!$K$4:$K$40,$AZ$5:$AZ$41,$BH5))),""))</f>
        <v>1,676</v>
      </c>
      <c r="M6" s="78" t="str">
        <f t="array" ref="M6">IF($BJ5&gt;0,IF(INDEX('Final Calculation Sheet'!$L$4:$L$40,$BJ5-3)="","",INDEX('Final Calculation Sheet'!$L$4:$L$40,$BJ5-3)),IF(OR($BI5=1,$BL5=1,$BH5&gt;0),IF($BI5=1,SUM('Final Calculation Sheet'!$L$4:$L$40),IF($BL5=1,SUM('Final Calculation Sheet'!$L$4:$L$40)-SUMIFS('Final Calculation Sheet'!$L$4:$L$40,$AZ$5:$AZ$41,10),SUMIFS('Final Calculation Sheet'!$L$4:$L$40,$AZ$5:$AZ$41,$BH5))),""))</f>
        <v>71</v>
      </c>
      <c r="N6" s="78" t="str">
        <f t="array" ref="N6">IF($BJ5&gt;0,IF(INDEX('Final Calculation Sheet'!$M$4:$M$40,$BJ5-3)="","",INDEX('Final Calculation Sheet'!$M$4:$M$40,$BJ5-3)),IF(OR($BI5=1,$BL5=1,$BH5&gt;0),IF($BI5=1,SUM('Final Calculation Sheet'!$M$4:$M$40),IF($BL5=1,SUM('Final Calculation Sheet'!$M$4:$M$40)-SUMIFS('Final Calculation Sheet'!$M$4:$M$40,$AZ$5:$AZ$41,10),SUMIFS('Final Calculation Sheet'!$M$4:$M$40,$AZ$5:$AZ$41,$BH5))),""))</f>
        <v>1,885</v>
      </c>
      <c r="O6" s="79" t="str">
        <f t="array" ref="O6">IF($BJ5&gt;0,IF(INDEX('Final Calculation Sheet'!$N$4:$N$40,$BJ5-3)="","",INDEX('Final Calculation Sheet'!$N$4:$N$40,$BJ5-3)),IF(OR($BI5=1,$BL5=1,$BH5&gt;0),IF($BI5=1,SUM('Final Calculation Sheet'!$N$4:$N$40),IF($BL5=1,SUM('Final Calculation Sheet'!$N$4:$N$40)-SUMIFS('Final Calculation Sheet'!$N$4:$N$40,$AZ$5:$AZ$41,10),SUMIFS('Final Calculation Sheet'!$N$4:$N$40,$AZ$5:$AZ$41,$BH5))),""))</f>
        <v>32</v>
      </c>
      <c r="P6" s="78" t="str">
        <f t="array" ref="P6">IF($BJ5&gt;0,IF(INDEX('Final Calculation Sheet'!$O$4:$O$40,$BJ5-3)="","",INDEX('Final Calculation Sheet'!$O$4:$O$40,$BJ5-3)),IF(OR($BI5=1,$BL5=1,$BH5&gt;0),IF($BI5=1,SUM('Final Calculation Sheet'!$O$4:$O$40),IF($BL5=1,SUM('Final Calculation Sheet'!$O$4:$O$40)-SUMIFS('Final Calculation Sheet'!$O$4:$O$40,$AZ$5:$AZ$41,10),SUMIFS('Final Calculation Sheet'!$O$4:$O$40,$AZ$5:$AZ$41,$BH5))),""))</f>
        <v>1,853</v>
      </c>
      <c r="Q6" s="78" t="str">
        <f t="array" ref="Q6">IF($BJ5&gt;0,IF(INDEX('Final Calculation Sheet'!$P$4:$P$40,$BJ5-3)="","",INDEX('Final Calculation Sheet'!$P$4:$P$40,$BJ5-3)),IF(OR($BI5=1,$BL5=1,$BH5&gt;0),IF($BI5=1,SUM('Final Calculation Sheet'!$P$4:$P$40),IF($BL5=1,SUM('Final Calculation Sheet'!$P$4:$P$40)-SUMIFS('Final Calculation Sheet'!$P$4:$P$40,$AZ$5:$AZ$41,10),SUMIFS('Final Calculation Sheet'!$P$4:$P$40,$AZ$5:$AZ$41,$BH5))),""))</f>
        <v>1,924</v>
      </c>
      <c r="R6" s="80" t="str">
        <f t="array" ref="R6">IF($BJ5&gt;0,IF(INDEX('Final Calculation Sheet'!$Q$4:$Q$40,$BJ5-3)="","",INDEX('Final Calculation Sheet'!$Q$4:$Q$40,$BJ5-3)),IF(OR($BI5=1,$BL5=1,$BH5&gt;0),"–",""))</f>
        <v>0%</v>
      </c>
      <c r="S6" s="78" t="str">
        <f t="array" ref="S6">IF($BJ5&gt;0,IF(INDEX('Final Calculation Sheet'!$R$4:$R$40,$BJ5-3)="","",INDEX('Final Calculation Sheet'!$R$4:$R$40,$BJ5-3)),IF(OR($BI5=1,$BL5=1,$BH5&gt;0),IF($BI5=1,SUM('Final Calculation Sheet'!$R$4:$R$40),IF($BL5=1,SUM('Final Calculation Sheet'!$R$4:$R$40)-SUMIFS('Final Calculation Sheet'!$R$4:$R$40,$AZ$5:$AZ$41,10),SUMIFS('Final Calculation Sheet'!$R$4:$R$40,$AZ$5:$AZ$41,$BH5))),""))</f>
        <v>0</v>
      </c>
      <c r="T6" s="78" t="str">
        <f t="array" ref="T6">IF($BJ5&gt;0,IF(INDEX('Final Calculation Sheet'!$S$4:$S$40,$BJ5-3)="","",INDEX('Final Calculation Sheet'!$S$4:$S$40,$BJ5-3)),IF(OR($BI5=1,$BL5=1,$BH5&gt;0),IF($BI5=1,SUM('Final Calculation Sheet'!$S$4:$S$40),IF($BL5=1,SUM('Final Calculation Sheet'!$S$4:$S$40)-SUMIFS('Final Calculation Sheet'!$S$4:$S$40,$AZ$5:$AZ$41,10),SUMIFS('Final Calculation Sheet'!$S$4:$S$40,$AZ$5:$AZ$41,$BH5))),""))</f>
        <v>83,532</v>
      </c>
      <c r="U6" s="78" t="str">
        <f t="array" ref="U6">IF($BJ5&gt;0,IF(INDEX('Final Calculation Sheet'!$T$4:$T$40,$BJ5-3)="","",INDEX('Final Calculation Sheet'!$T$4:$T$40,$BJ5-3)),IF(OR($BI5=1,$BL5=1,$BH5&gt;0),IF($BI5=1,SUM('Final Calculation Sheet'!$T$4:$T$40),IF($BL5=1,SUM('Final Calculation Sheet'!$T$4:$T$40)-SUMIFS('Final Calculation Sheet'!$T$4:$T$40,$AZ$5:$AZ$41,10),SUMIFS('Final Calculation Sheet'!$T$4:$T$40,$AZ$5:$AZ$41,$BH5))),""))</f>
        <v>17,750</v>
      </c>
      <c r="V6" s="81" t="str">
        <f t="array" ref="V6">IF($BJ5&gt;0,IF(INDEX('Final Calculation Sheet'!$U$4:$U$40,$BJ5-3)="","",INDEX('Final Calculation Sheet'!$U$4:$U$40,$BJ5-3)),IF(OR($BI5=1,$BL5=1,$BH5&gt;0),IF($BI5=1,SUM('Final Calculation Sheet'!$U$4:$U$40),IF($BL5=1,SUM('Final Calculation Sheet'!$U$4:$U$40)-SUMIFS('Final Calculation Sheet'!$U$4:$U$40,$AZ$5:$AZ$41,10),SUMIFS('Final Calculation Sheet'!$U$4:$U$40,$AZ$5:$AZ$41,$BH5))),""))</f>
        <v>  17,750 </v>
      </c>
      <c r="W6" s="78" t="str">
        <f t="array" ref="W6">IF($BJ5&gt;0,IF(INDEX('Final Calculation Sheet'!$V$4:$V$40,$BJ5-3)="","",INDEX('Final Calculation Sheet'!$V$4:$V$40,$BJ5-3)),IF(OR($BI5=1,$BL5=1,$BH5&gt;0),"–",""))</f>
        <v>11.08.2026</v>
      </c>
      <c r="X6" s="78" t="str">
        <f t="array" ref="X6">IF($BJ5&gt;0,IF(INDEX('Final Calculation Sheet'!$W$4:$W$40,$BJ5-3)="","",INDEX('Final Calculation Sheet'!$W$4:$W$40,$BJ5-3)),IF(OR($BI5=1,$BL5=1,$BH5&gt;0),IF($BI5=1,SUM('Final Calculation Sheet'!$W$4:$W$40),IF($BL5=1,SUM('Final Calculation Sheet'!$W$4:$W$40)-SUMIFS('Final Calculation Sheet'!$W$4:$W$40,$AZ$5:$AZ$41,10),SUMIFS('Final Calculation Sheet'!$W$4:$W$40,$AZ$5:$AZ$41,$BH5))),""))</f>
        <v>65,782</v>
      </c>
      <c r="Y6" s="78" t="str">
        <f t="array" ref="Y6">IF($BJ5&gt;0,IF(INDEX('Final Calculation Sheet'!$X$4:$X$40,$BJ5-3)="","",INDEX('Final Calculation Sheet'!$X$4:$X$40,$BJ5-3)),IF(OR($BI5=1,$BL5=1,$BH5&gt;0),IF($BI5=1,SUM('Final Calculation Sheet'!$X$4:$X$40),IF($BL5=1,SUM('Final Calculation Sheet'!$X$4:$X$40)-SUMIFS('Final Calculation Sheet'!$X$4:$X$40,$AZ$5:$AZ$41,10),SUMIFS('Final Calculation Sheet'!$X$4:$X$40,$AZ$5:$AZ$41,$BH5))),""))</f>
        <v>65,782</v>
      </c>
      <c r="Z6" s="78" t="str">
        <f t="array" ref="Z6">IF($BJ5&gt;0,IF(INDEX('Final Calculation Sheet'!$Y$4:$Y$40,$BJ5-3)="","",INDEX('Final Calculation Sheet'!$Y$4:$Y$40,$BJ5-3)),IF(OR($BI5=1,$BL5=1,$BH5&gt;0),"–",""))</f>
        <v>11.08.2026</v>
      </c>
      <c r="AA6" s="78" t="str">
        <f t="array" ref="AA6">IF($BJ5&gt;0,IF(INDEX('Final Calculation Sheet'!$Z$4:$Z$40,$BJ5-3)="","",INDEX('Final Calculation Sheet'!$Z$4:$Z$40,$BJ5-3)),IF(OR($BI5=1,$BL5=1,$BH5&gt;0),IF($BI5=1,SUM('Final Calculation Sheet'!$Z$4:$Z$40),IF($BL5=1,SUM('Final Calculation Sheet'!$Z$4:$Z$40)-SUMIFS('Final Calculation Sheet'!$Z$4:$Z$40,$AZ$5:$AZ$41,10),SUMIFS('Final Calculation Sheet'!$Z$4:$Z$40,$AZ$5:$AZ$41,$BH5))),""))</f>
        <v>0</v>
      </c>
      <c r="AB6" s="78" t="str">
        <f t="array" ref="AB6">IF($BJ5&gt;0,IF(INDEX('Final Calculation Sheet'!$AA$4:$AA$40,$BJ5-3)="","",INDEX('Final Calculation Sheet'!$AA$4:$AA$40,$BJ5-3)),IF(OR($BI5=1,$BL5=1,$BH5&gt;0),IF($BI5=1,SUM('Final Calculation Sheet'!$AA$4:$AA$40),IF($BL5=1,SUM('Final Calculation Sheet'!$AA$4:$AA$40)-SUMIFS('Final Calculation Sheet'!$AA$4:$AA$40,$AZ$5:$AZ$41,10),SUMIFS('Final Calculation Sheet'!$AA$4:$AA$40,$AZ$5:$AZ$41,$BH5))),""))</f>
        <v/>
      </c>
      <c r="AC6" s="78" t="str">
        <f t="array" ref="AC6">IF($BJ5&gt;0,IF(INDEX('Final Calculation Sheet'!$AB$4:$AB$40,$BJ5-3)="","",INDEX('Final Calculation Sheet'!$AB$4:$AB$40,$BJ5-3)),IF(OR($BI5=1,$BL5=1,$BH5&gt;0),"–",""))</f>
        <v/>
      </c>
      <c r="AD6" s="78" t="str">
        <f t="array" ref="AD6">IF($BJ5&gt;0,IF(INDEX('Final Calculation Sheet'!$AC$4:$AC$40,$BJ5-3)="","",INDEX('Final Calculation Sheet'!$AC$4:$AC$40,$BJ5-3)),IF(OR($BI5=1,$BL5=1,$BH5&gt;0),IF($BI5=1,SUM('Final Calculation Sheet'!$AC$4:$AC$40),IF($BL5=1,SUM('Final Calculation Sheet'!$AC$4:$AC$40)-SUMIFS('Final Calculation Sheet'!$AC$4:$AC$40,$AZ$5:$AZ$41,10),SUMIFS('Final Calculation Sheet'!$AC$4:$AC$40,$AZ$5:$AZ$41,$BH5))),""))</f>
        <v>83,532</v>
      </c>
      <c r="AE6" s="78" t="str">
        <f t="array" ref="AE6">IF($BJ5&gt;0,IF(INDEX('Final Calculation Sheet'!$AD$4:$AD$40,$BJ5-3)="","",INDEX('Final Calculation Sheet'!$AD$4:$AD$40,$BJ5-3)),IF(OR($BI5=1,$BL5=1,$BH5&gt;0),IF($BI5=1,SUM('Final Calculation Sheet'!$AD$4:$AD$40),IF($BL5=1,SUM('Final Calculation Sheet'!$AD$4:$AD$40)-SUMIFS('Final Calculation Sheet'!$AD$4:$AD$40,$AZ$5:$AZ$41,10),SUMIFS('Final Calculation Sheet'!$AD$4:$AD$40,$AZ$5:$AZ$41,$BH5))),""))</f>
        <v>0</v>
      </c>
      <c r="AF6" s="78" t="str">
        <f t="array" ref="AF6">IF($BJ5&gt;0,IF(INDEX('Final Calculation Sheet'!$AE$4:$AE$40,$BJ5-3)="","",INDEX('Final Calculation Sheet'!$AE$4:$AE$40,$BJ5-3)),IF(OR($BI5=1,$BL5=1,$BH5&gt;0),"–",""))</f>
        <v>DR2640100020</v>
      </c>
      <c r="AG6" s="82" t="str">
        <f t="array" ref="AG6">IF($BJ5&gt;0,IF(INDEX('Final Calculation Sheet'!$AF$4:$AF$40,$BJ5-3)="","",INDEX('Final Calculation Sheet'!$AF$4:$AF$40,$BJ5-3)),IF(OR($BI5=1,$BL5=1,$BH5&gt;0),"–",""))</f>
        <v>1800003158</v>
      </c>
      <c r="AH6" s="78" t="str">
        <f t="array" ref="AH6">IF($BJ5&gt;0,IF(INDEX('Final Calculation Sheet'!$AG$4:$AG$40,$BJ5-3)="","",INDEX('Final Calculation Sheet'!$AG$4:$AG$40,$BJ5-3)),IF(OR($BI5=1,$BL5=1,$BH5&gt;0),"–",""))</f>
        <v>14.08.2026</v>
      </c>
      <c r="AI6" s="83" t="str">
        <f t="array" ref="AI6">IF($BJ5&gt;0,IF(INDEX('Final Calculation Sheet'!$AD$4:$AD$40,$BJ5-3)="","",IF(INDEX('Final Calculation Sheet'!$AD$4:$AD$40,$BJ5-3)&lt;=0,"SETTLED","OUTSTANDING")),IF(OR($BI5=1,$BL5=1,$BH5&gt;0),IF(IF($BI5=1,SUM('Final Calculation Sheet'!$AD$4:$AD$40),IF($BL5=1,SUM('Final Calculation Sheet'!$AD$4:$AD$40)-SUMIFS('Final Calculation Sheet'!$AD$4:$AD$40,$AZ$5:$AZ$41,10),SUMIFS('Final Calculation Sheet'!$AD$4:$AD$40,$AZ$5:$AZ$41,$BH5)))&lt;=0,"ALL SETTLED","OUTSTANDING"),""))</f>
        <v>SETTLED</v>
      </c>
      <c r="AK6" t="str">
        <f>IF($F$3="Lot No.",'Final Calculation Sheet'!$F$5,IF($F$3="Buyer",'Final Calculation Sheet'!$G$5,IF($F$3="Lot Name",'Final Calculation Sheet'!$B$5,IF($F$3="Bid Sheet",'Final Calculation Sheet'!$D$5,IF($F$3="Unit",'Final Calculation Sheet'!$E$5,'Final Calculation Sheet'!$F$5&amp;" "&amp;'Final Calculation Sheet'!$G$5&amp;" "&amp;'Final Calculation Sheet'!$B$5)))))</f>
        <v>1874 NATIONAL ENTERPRISES Scrap of Empty oil drum</v>
      </c>
      <c r="AM6" t="str">
        <f t="shared" si="3"/>
        <v>0</v>
      </c>
      <c r="AO6" t="s">
        <v>7</v>
      </c>
      <c r="AR6" t="str">
        <f>IF($AR$4="","",IF($AR$5=99999,TRIM($AR$4),TRIM(LEFT($AR$4,$AR$5-1))))</f>
        <v>2015</v>
      </c>
      <c r="AS6" t="str">
        <f>IF($AS$4="","",IF($AS$5=99999,TRIM($AS$4),TRIM(LEFT($AS$4,$AS$5-1))))</f>
        <v/>
      </c>
      <c r="AT6" t="str">
        <f>IF($AT$4="","",IF($AT$5=99999,TRIM($AT$4),TRIM(LEFT($AT$4,$AT$5-1))))</f>
        <v/>
      </c>
      <c r="AU6" t="str">
        <f>IF($AU$4="","",IF($AU$5=99999,TRIM($AU$4),TRIM(LEFT($AU$4,$AU$5-1))))</f>
        <v/>
      </c>
      <c r="AV6" t="str">
        <f>IF($AV$4="","",IF($AV$5=99999,TRIM($AV$4),TRIM(LEFT($AV$4,$AV$5-1))))</f>
        <v/>
      </c>
      <c r="AW6" t="str">
        <f>IF($AW$4="","",IF($AW$5=99999,TRIM($AW$4),TRIM(LEFT($AW$4,$AW$5-1))))</f>
        <v/>
      </c>
      <c r="AX6" t="str">
        <f>IF($AX$4="","",IF($AX$5=99999,TRIM($AX$4),TRIM(LEFT($AX$4,$AX$5-1))))</f>
        <v/>
      </c>
      <c r="AY6" t="str">
        <f>IF($AY$4="","",IF($AY$5=99999,TRIM($AY$4),TRIM(LEFT($AY$4,$AY$5-1))))</f>
        <v/>
      </c>
      <c r="AZ6" t="str">
        <f t="shared" si="4"/>
        <v>10</v>
      </c>
      <c r="BA6" t="str">
        <f t="shared" si="5"/>
        <v>2</v>
      </c>
      <c r="BB6" t="str">
        <f t="shared" si="6"/>
        <v>9</v>
      </c>
      <c r="BC6">
        <v>5.0</v>
      </c>
      <c r="BD6" t="str">
        <f>COUNTIF($AZ$5:$AZ$41,3)</f>
        <v>0</v>
      </c>
      <c r="BE6" t="str">
        <f t="shared" si="7"/>
        <v>7</v>
      </c>
      <c r="BF6" t="str">
        <f t="shared" si="1"/>
        <v>0</v>
      </c>
      <c r="BH6" t="str">
        <f>IFERROR(MATCH(6,$BF$4:$BF$13,0),0)</f>
        <v>1</v>
      </c>
      <c r="BI6" t="str">
        <f>IF(6=$BG$5,1,0)</f>
        <v>0</v>
      </c>
      <c r="BJ6" t="str">
        <f t="array" ref="BJ6">IF(OR($BH6&gt;0,$BI6=1,$BL6=1),0,IFERROR(INDEX($BC$5:$BC$41,MATCH(6,$BB$5:$BB$41,0)),0))</f>
        <v>0</v>
      </c>
      <c r="BK6" t="str">
        <f t="array" ref="BK6">IF($BJ6&gt;0,IF(INDEX($AZ$5:$AZ$41,MATCH(6,$BB$5:$BB$41,0))=10,1,0),IF($BH6=10,1,0))</f>
        <v>0</v>
      </c>
      <c r="BL6" t="str">
        <f>IF(6=$BG$4,1,0)</f>
        <v>0</v>
      </c>
      <c r="BM6" t="str">
        <f t="shared" si="8"/>
        <v>1</v>
      </c>
      <c r="BN6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Sheet'!$F$5)&amp;"",""))))&gt;0))</f>
        <v>1</v>
      </c>
      <c r="BO6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Sheet'!$G$5)&amp;"",""))))&gt;0))</f>
        <v>1</v>
      </c>
      <c r="BP6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Sheet'!$B$5)&amp;"",""))))&gt;0))</f>
        <v>1</v>
      </c>
      <c r="BQ6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Sheet'!$D$5)&amp;"",""))))&gt;0))</f>
        <v>1</v>
      </c>
      <c r="BR6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Sheet'!$A$5)&amp;"",""))))&gt;0))</f>
        <v>1</v>
      </c>
      <c r="BS6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Sheet'!$E$5)&amp;"",""))))&gt;0))</f>
        <v>1</v>
      </c>
      <c r="BT6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Sheet'!$C$5)&amp;"",""))))&gt;0))</f>
        <v>1</v>
      </c>
      <c r="BU6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Sheet'!$H$5)&amp;"",""))))&gt;0))</f>
        <v>1</v>
      </c>
      <c r="BV6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Sheet'!$I$5)&amp;"",""))))&gt;0))</f>
        <v>1</v>
      </c>
      <c r="BW6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Sheet'!$J$5)&amp;"",""))))&gt;0))</f>
        <v>1</v>
      </c>
      <c r="BX6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Sheet'!$K$5)&amp;"",""))))&gt;0))</f>
        <v>1</v>
      </c>
      <c r="BY6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Sheet'!$L$5)&amp;"",""))))&gt;0))</f>
        <v>1</v>
      </c>
      <c r="BZ6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Sheet'!$M$5)&amp;"",""))))&gt;0))</f>
        <v>1</v>
      </c>
      <c r="CA6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Sheet'!$N$5)&amp;"",""))))&gt;0))</f>
        <v>1</v>
      </c>
      <c r="CB6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Sheet'!$O$5)&amp;"",""))))&gt;0))</f>
        <v>1</v>
      </c>
      <c r="CC6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Sheet'!$P$5)&amp;"",""))))&gt;0))</f>
        <v>1</v>
      </c>
      <c r="CD6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Sheet'!$Q$5)&amp;"",""))))&gt;0))</f>
        <v>1</v>
      </c>
      <c r="CE6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Sheet'!$R$5)&amp;"",""))))&gt;0))</f>
        <v>1</v>
      </c>
      <c r="CF6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Sheet'!$S$5)&amp;"",""))))&gt;0))</f>
        <v>1</v>
      </c>
      <c r="CG6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Sheet'!$T$5)&amp;"",""))))&gt;0))</f>
        <v>1</v>
      </c>
      <c r="CH6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Sheet'!$U$5)&amp;"",""))))&gt;0))</f>
        <v>1</v>
      </c>
      <c r="CI6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Sheet'!$V$5)&amp;"",""))))&gt;0))</f>
        <v>1</v>
      </c>
      <c r="CJ6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Sheet'!$W$5)&amp;"",""))))&gt;0))</f>
        <v>1</v>
      </c>
      <c r="CK6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Sheet'!$X$5)&amp;"",""))))&gt;0))</f>
        <v>1</v>
      </c>
      <c r="CL6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Sheet'!$Y$5)&amp;"",""))))&gt;0))</f>
        <v>1</v>
      </c>
      <c r="CM6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Sheet'!$Z$5)&amp;"",""))))&gt;0))</f>
        <v>1</v>
      </c>
      <c r="CN6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Sheet'!$AA$5)&amp;"",""))))&gt;0))</f>
        <v>1</v>
      </c>
      <c r="CO6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Sheet'!$AB$5)&amp;"",""))))&gt;0))</f>
        <v>1</v>
      </c>
      <c r="CP6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Sheet'!$AC$5)&amp;"",""))))&gt;0))</f>
        <v>1</v>
      </c>
      <c r="CQ6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Sheet'!$AD$5)&amp;"",""))))&gt;0))</f>
        <v>1</v>
      </c>
      <c r="CR6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Sheet'!$AE$5)&amp;"",""))))&gt;0))</f>
        <v>1</v>
      </c>
      <c r="CS6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Sheet'!$AF$5)&amp;"",""))))&gt;0))</f>
        <v>1</v>
      </c>
      <c r="CT6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Sheet'!$AG$5)&amp;"",""))))&gt;0))</f>
        <v>1</v>
      </c>
      <c r="CU6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Sheet'!$AD$5&lt;=0,"SETTLED","OUTSTANDING"))&amp;"",""))))&gt;0))</f>
        <v>1</v>
      </c>
    </row>
    <row r="7" ht="15.0" customHeight="1">
      <c r="A7" s="75" t="str">
        <f t="array" ref="A7">IF($BJ6&gt;0,INDEX($BA$5:$BA$41,MATCH(6,$BB$5:$BB$41,0)),IF(OR($BI6=1,$BL6=1,$BH6&gt;0),"∑",""))</f>
        <v>∑</v>
      </c>
      <c r="B7" s="76" t="str">
        <f t="array" ref="B7">IF($BJ6&gt;0,IF(INDEX('Final Calculation Sheet'!$F$4:$F$40,$BJ6-3)="","",INDEX('Final Calculation Sheet'!$F$4:$F$40,$BJ6-3)),"")</f>
        <v/>
      </c>
      <c r="C7" s="76" t="str">
        <f t="array" ref="C7">IF($BJ6&gt;0,IF(INDEX('Final Calculation Sheet'!$G$4:$G$40,$BJ6-3)="","",INDEX('Final Calculation Sheet'!$G$4:$G$40,$BJ6-3)),IF(OR($BI6=1,$BL6=1,$BH6&gt;0),IF($BI6=1,37,IF($BL6=1,37-INDEX($BD$4:$BD$13,10),INDEX($BD$4:$BD$13,$BH6)))&amp;" lot(s)",""))</f>
        <v>1 lot(s)</v>
      </c>
      <c r="D7" s="77" t="str">
        <f t="array" ref="D7">IF($BJ6&gt;0,IF(INDEX('Final Calculation Sheet'!$B$4:$B$40,$BJ6-3)="","",INDEX('Final Calculation Sheet'!$B$4:$B$40,$BJ6-3)),IF(OR($BI6=1,$BL6=1,$BH6&gt;0),IF($BI6=1,"GRAND TOTAL  —  matching + remaining",IF($BL6=1,"TOTAL MATCHED  —  every group together",IF($BH6=10,"REMAINING  —  did not match the search",IF($BH6=9,IF(COUNTIF($A$4:$AI$4,"&lt;&gt;")&gt;0,"FILTERED LOTS  —  column fields","ALL LOTS  —  nothing typed in the box"),"GROUP "&amp;$BH6&amp;" TOTAL  —  lots matching  "&amp;INDEX($AR$6:$AY$6,$BH6))))),""))</f>
        <v>GROUP 1 TOTAL  —  lots matching  2015</v>
      </c>
      <c r="E7" s="77" t="str">
        <f t="array" ref="E7">IF($BJ6&gt;0,IF(INDEX('Final Calculation Sheet'!$D$4:$D$40,$BJ6-3)="","",INDEX('Final Calculation Sheet'!$D$4:$D$40,$BJ6-3)),IF(OR($BI6=1,$BL6=1,$BH6&gt;0),"–",""))</f>
        <v>–</v>
      </c>
      <c r="F7" s="77" t="str">
        <f t="array" ref="F7">IF($BJ6&gt;0,IF(INDEX('Final Calculation Sheet'!$A$4:$A$40,$BJ6-3)="","",INDEX('Final Calculation Sheet'!$A$4:$A$40,$BJ6-3)),IF(OR($BI6=1,$BL6=1,$BH6&gt;0),IF($BI6=1,SUM('Final Calculation Sheet'!$A$4:$A$40),IF($BL6=1,SUM('Final Calculation Sheet'!$A$4:$A$40)-SUMIFS('Final Calculation Sheet'!$A$4:$A$40,$AZ$5:$AZ$41,10),SUMIFS('Final Calculation Sheet'!$A$4:$A$40,$AZ$5:$AZ$41,$BH6))),""))</f>
        <v>100</v>
      </c>
      <c r="G7" s="77" t="str">
        <f t="array" ref="G7">IF($BJ6&gt;0,IF(INDEX('Final Calculation Sheet'!$E$4:$E$40,$BJ6-3)="","",INDEX('Final Calculation Sheet'!$E$4:$E$40,$BJ6-3)),IF(OR($BI6=1,$BL6=1,$BH6&gt;0),"–",""))</f>
        <v>–</v>
      </c>
      <c r="H7" s="78" t="str">
        <f t="array" ref="H7">IF($BJ6&gt;0,IF(INDEX('Final Calculation Sheet'!$C$4:$C$40,$BJ6-3)="","",INDEX('Final Calculation Sheet'!$C$4:$C$40,$BJ6-3)),IF(OR($BI6=1,$BL6=1,$BH6&gt;0),"–",""))</f>
        <v>–</v>
      </c>
      <c r="I7" s="78" t="str">
        <f t="array" ref="I7">IF($BJ6&gt;0,IF(INDEX('Final Calculation Sheet'!$H$4:$H$40,$BJ6-3)="","",INDEX('Final Calculation Sheet'!$H$4:$H$40,$BJ6-3)),IF(OR($BI6=1,$BL6=1,$BH6&gt;0),IF($BI6=1,SUM('Final Calculation Sheet'!$H$4:$H$40),IF($BL6=1,SUM('Final Calculation Sheet'!$H$4:$H$40)-SUMIFS('Final Calculation Sheet'!$H$4:$H$40,$AZ$5:$AZ$41,10),SUMIFS('Final Calculation Sheet'!$H$4:$H$40,$AZ$5:$AZ$41,$BH6))),""))</f>
        <v>71,000</v>
      </c>
      <c r="J7" s="78" t="str">
        <f t="array" ref="J7">IF($BJ6&gt;0,IF(INDEX('Final Calculation Sheet'!$I$4:$I$40,$BJ6-3)="","",INDEX('Final Calculation Sheet'!$I$4:$I$40,$BJ6-3)),IF(OR($BI6=1,$BL6=1,$BH6&gt;0),IF($BI6=1,SUM('Final Calculation Sheet'!$I$4:$I$40),IF($BL6=1,SUM('Final Calculation Sheet'!$I$4:$I$40)-SUMIFS('Final Calculation Sheet'!$I$4:$I$40,$AZ$5:$AZ$41,10),SUMIFS('Final Calculation Sheet'!$I$4:$I$40,$AZ$5:$AZ$41,$BH6))),""))</f>
        <v>12,780</v>
      </c>
      <c r="K7" s="78" t="str">
        <f t="array" ref="K7">IF($BJ6&gt;0,IF(INDEX('Final Calculation Sheet'!$J$4:$J$40,$BJ6-3)="","",INDEX('Final Calculation Sheet'!$J$4:$J$40,$BJ6-3)),IF(OR($BI6=1,$BL6=1,$BH6&gt;0),IF($BI6=1,SUM('Final Calculation Sheet'!$J$4:$J$40),IF($BL6=1,SUM('Final Calculation Sheet'!$J$4:$J$40)-SUMIFS('Final Calculation Sheet'!$J$4:$J$40,$AZ$5:$AZ$41,10),SUMIFS('Final Calculation Sheet'!$J$4:$J$40,$AZ$5:$AZ$41,$BH6))),""))</f>
        <v>83,780</v>
      </c>
      <c r="L7" s="78" t="str">
        <f t="array" ref="L7">IF($BJ6&gt;0,IF(INDEX('Final Calculation Sheet'!$K$4:$K$40,$BJ6-3)="","",INDEX('Final Calculation Sheet'!$K$4:$K$40,$BJ6-3)),IF(OR($BI6=1,$BL6=1,$BH6&gt;0),IF($BI6=1,SUM('Final Calculation Sheet'!$K$4:$K$40),IF($BL6=1,SUM('Final Calculation Sheet'!$K$4:$K$40)-SUMIFS('Final Calculation Sheet'!$K$4:$K$40,$AZ$5:$AZ$41,10),SUMIFS('Final Calculation Sheet'!$K$4:$K$40,$AZ$5:$AZ$41,$BH6))),""))</f>
        <v>1,676</v>
      </c>
      <c r="M7" s="78" t="str">
        <f t="array" ref="M7">IF($BJ6&gt;0,IF(INDEX('Final Calculation Sheet'!$L$4:$L$40,$BJ6-3)="","",INDEX('Final Calculation Sheet'!$L$4:$L$40,$BJ6-3)),IF(OR($BI6=1,$BL6=1,$BH6&gt;0),IF($BI6=1,SUM('Final Calculation Sheet'!$L$4:$L$40),IF($BL6=1,SUM('Final Calculation Sheet'!$L$4:$L$40)-SUMIFS('Final Calculation Sheet'!$L$4:$L$40,$AZ$5:$AZ$41,10),SUMIFS('Final Calculation Sheet'!$L$4:$L$40,$AZ$5:$AZ$41,$BH6))),""))</f>
        <v>71</v>
      </c>
      <c r="N7" s="78" t="str">
        <f t="array" ref="N7">IF($BJ6&gt;0,IF(INDEX('Final Calculation Sheet'!$M$4:$M$40,$BJ6-3)="","",INDEX('Final Calculation Sheet'!$M$4:$M$40,$BJ6-3)),IF(OR($BI6=1,$BL6=1,$BH6&gt;0),IF($BI6=1,SUM('Final Calculation Sheet'!$M$4:$M$40),IF($BL6=1,SUM('Final Calculation Sheet'!$M$4:$M$40)-SUMIFS('Final Calculation Sheet'!$M$4:$M$40,$AZ$5:$AZ$41,10),SUMIFS('Final Calculation Sheet'!$M$4:$M$40,$AZ$5:$AZ$41,$BH6))),""))</f>
        <v>1,885</v>
      </c>
      <c r="O7" s="79" t="str">
        <f t="array" ref="O7">IF($BJ6&gt;0,IF(INDEX('Final Calculation Sheet'!$N$4:$N$40,$BJ6-3)="","",INDEX('Final Calculation Sheet'!$N$4:$N$40,$BJ6-3)),IF(OR($BI6=1,$BL6=1,$BH6&gt;0),IF($BI6=1,SUM('Final Calculation Sheet'!$N$4:$N$40),IF($BL6=1,SUM('Final Calculation Sheet'!$N$4:$N$40)-SUMIFS('Final Calculation Sheet'!$N$4:$N$40,$AZ$5:$AZ$41,10),SUMIFS('Final Calculation Sheet'!$N$4:$N$40,$AZ$5:$AZ$41,$BH6))),""))</f>
        <v>32</v>
      </c>
      <c r="P7" s="78" t="str">
        <f t="array" ref="P7">IF($BJ6&gt;0,IF(INDEX('Final Calculation Sheet'!$O$4:$O$40,$BJ6-3)="","",INDEX('Final Calculation Sheet'!$O$4:$O$40,$BJ6-3)),IF(OR($BI6=1,$BL6=1,$BH6&gt;0),IF($BI6=1,SUM('Final Calculation Sheet'!$O$4:$O$40),IF($BL6=1,SUM('Final Calculation Sheet'!$O$4:$O$40)-SUMIFS('Final Calculation Sheet'!$O$4:$O$40,$AZ$5:$AZ$41,10),SUMIFS('Final Calculation Sheet'!$O$4:$O$40,$AZ$5:$AZ$41,$BH6))),""))</f>
        <v>1,853</v>
      </c>
      <c r="Q7" s="78" t="str">
        <f t="array" ref="Q7">IF($BJ6&gt;0,IF(INDEX('Final Calculation Sheet'!$P$4:$P$40,$BJ6-3)="","",INDEX('Final Calculation Sheet'!$P$4:$P$40,$BJ6-3)),IF(OR($BI6=1,$BL6=1,$BH6&gt;0),IF($BI6=1,SUM('Final Calculation Sheet'!$P$4:$P$40),IF($BL6=1,SUM('Final Calculation Sheet'!$P$4:$P$40)-SUMIFS('Final Calculation Sheet'!$P$4:$P$40,$AZ$5:$AZ$41,10),SUMIFS('Final Calculation Sheet'!$P$4:$P$40,$AZ$5:$AZ$41,$BH6))),""))</f>
        <v>1,924</v>
      </c>
      <c r="R7" s="80" t="str">
        <f t="array" ref="R7">IF($BJ6&gt;0,IF(INDEX('Final Calculation Sheet'!$Q$4:$Q$40,$BJ6-3)="","",INDEX('Final Calculation Sheet'!$Q$4:$Q$40,$BJ6-3)),IF(OR($BI6=1,$BL6=1,$BH6&gt;0),"–",""))</f>
        <v>–</v>
      </c>
      <c r="S7" s="78" t="str">
        <f t="array" ref="S7">IF($BJ6&gt;0,IF(INDEX('Final Calculation Sheet'!$R$4:$R$40,$BJ6-3)="","",INDEX('Final Calculation Sheet'!$R$4:$R$40,$BJ6-3)),IF(OR($BI6=1,$BL6=1,$BH6&gt;0),IF($BI6=1,SUM('Final Calculation Sheet'!$R$4:$R$40),IF($BL6=1,SUM('Final Calculation Sheet'!$R$4:$R$40)-SUMIFS('Final Calculation Sheet'!$R$4:$R$40,$AZ$5:$AZ$41,10),SUMIFS('Final Calculation Sheet'!$R$4:$R$40,$AZ$5:$AZ$41,$BH6))),""))</f>
        <v>0</v>
      </c>
      <c r="T7" s="78" t="str">
        <f t="array" ref="T7">IF($BJ6&gt;0,IF(INDEX('Final Calculation Sheet'!$S$4:$S$40,$BJ6-3)="","",INDEX('Final Calculation Sheet'!$S$4:$S$40,$BJ6-3)),IF(OR($BI6=1,$BL6=1,$BH6&gt;0),IF($BI6=1,SUM('Final Calculation Sheet'!$S$4:$S$40),IF($BL6=1,SUM('Final Calculation Sheet'!$S$4:$S$40)-SUMIFS('Final Calculation Sheet'!$S$4:$S$40,$AZ$5:$AZ$41,10),SUMIFS('Final Calculation Sheet'!$S$4:$S$40,$AZ$5:$AZ$41,$BH6))),""))</f>
        <v>83,532</v>
      </c>
      <c r="U7" s="78" t="str">
        <f t="array" ref="U7">IF($BJ6&gt;0,IF(INDEX('Final Calculation Sheet'!$T$4:$T$40,$BJ6-3)="","",INDEX('Final Calculation Sheet'!$T$4:$T$40,$BJ6-3)),IF(OR($BI6=1,$BL6=1,$BH6&gt;0),IF($BI6=1,SUM('Final Calculation Sheet'!$T$4:$T$40),IF($BL6=1,SUM('Final Calculation Sheet'!$T$4:$T$40)-SUMIFS('Final Calculation Sheet'!$T$4:$T$40,$AZ$5:$AZ$41,10),SUMIFS('Final Calculation Sheet'!$T$4:$T$40,$AZ$5:$AZ$41,$BH6))),""))</f>
        <v>17,750</v>
      </c>
      <c r="V7" s="81" t="str">
        <f t="array" ref="V7">IF($BJ6&gt;0,IF(INDEX('Final Calculation Sheet'!$U$4:$U$40,$BJ6-3)="","",INDEX('Final Calculation Sheet'!$U$4:$U$40,$BJ6-3)),IF(OR($BI6=1,$BL6=1,$BH6&gt;0),IF($BI6=1,SUM('Final Calculation Sheet'!$U$4:$U$40),IF($BL6=1,SUM('Final Calculation Sheet'!$U$4:$U$40)-SUMIFS('Final Calculation Sheet'!$U$4:$U$40,$AZ$5:$AZ$41,10),SUMIFS('Final Calculation Sheet'!$U$4:$U$40,$AZ$5:$AZ$41,$BH6))),""))</f>
        <v>  17,750 </v>
      </c>
      <c r="W7" s="78" t="str">
        <f t="array" ref="W7">IF($BJ6&gt;0,IF(INDEX('Final Calculation Sheet'!$V$4:$V$40,$BJ6-3)="","",INDEX('Final Calculation Sheet'!$V$4:$V$40,$BJ6-3)),IF(OR($BI6=1,$BL6=1,$BH6&gt;0),"–",""))</f>
        <v>–</v>
      </c>
      <c r="X7" s="78" t="str">
        <f t="array" ref="X7">IF($BJ6&gt;0,IF(INDEX('Final Calculation Sheet'!$W$4:$W$40,$BJ6-3)="","",INDEX('Final Calculation Sheet'!$W$4:$W$40,$BJ6-3)),IF(OR($BI6=1,$BL6=1,$BH6&gt;0),IF($BI6=1,SUM('Final Calculation Sheet'!$W$4:$W$40),IF($BL6=1,SUM('Final Calculation Sheet'!$W$4:$W$40)-SUMIFS('Final Calculation Sheet'!$W$4:$W$40,$AZ$5:$AZ$41,10),SUMIFS('Final Calculation Sheet'!$W$4:$W$40,$AZ$5:$AZ$41,$BH6))),""))</f>
        <v>65,782</v>
      </c>
      <c r="Y7" s="78" t="str">
        <f t="array" ref="Y7">IF($BJ6&gt;0,IF(INDEX('Final Calculation Sheet'!$X$4:$X$40,$BJ6-3)="","",INDEX('Final Calculation Sheet'!$X$4:$X$40,$BJ6-3)),IF(OR($BI6=1,$BL6=1,$BH6&gt;0),IF($BI6=1,SUM('Final Calculation Sheet'!$X$4:$X$40),IF($BL6=1,SUM('Final Calculation Sheet'!$X$4:$X$40)-SUMIFS('Final Calculation Sheet'!$X$4:$X$40,$AZ$5:$AZ$41,10),SUMIFS('Final Calculation Sheet'!$X$4:$X$40,$AZ$5:$AZ$41,$BH6))),""))</f>
        <v>65,782</v>
      </c>
      <c r="Z7" s="78" t="str">
        <f t="array" ref="Z7">IF($BJ6&gt;0,IF(INDEX('Final Calculation Sheet'!$Y$4:$Y$40,$BJ6-3)="","",INDEX('Final Calculation Sheet'!$Y$4:$Y$40,$BJ6-3)),IF(OR($BI6=1,$BL6=1,$BH6&gt;0),"–",""))</f>
        <v>–</v>
      </c>
      <c r="AA7" s="78" t="str">
        <f t="array" ref="AA7">IF($BJ6&gt;0,IF(INDEX('Final Calculation Sheet'!$Z$4:$Z$40,$BJ6-3)="","",INDEX('Final Calculation Sheet'!$Z$4:$Z$40,$BJ6-3)),IF(OR($BI6=1,$BL6=1,$BH6&gt;0),IF($BI6=1,SUM('Final Calculation Sheet'!$Z$4:$Z$40),IF($BL6=1,SUM('Final Calculation Sheet'!$Z$4:$Z$40)-SUMIFS('Final Calculation Sheet'!$Z$4:$Z$40,$AZ$5:$AZ$41,10),SUMIFS('Final Calculation Sheet'!$Z$4:$Z$40,$AZ$5:$AZ$41,$BH6))),""))</f>
        <v>0</v>
      </c>
      <c r="AB7" s="78" t="str">
        <f t="array" ref="AB7">IF($BJ6&gt;0,IF(INDEX('Final Calculation Sheet'!$AA$4:$AA$40,$BJ6-3)="","",INDEX('Final Calculation Sheet'!$AA$4:$AA$40,$BJ6-3)),IF(OR($BI6=1,$BL6=1,$BH6&gt;0),IF($BI6=1,SUM('Final Calculation Sheet'!$AA$4:$AA$40),IF($BL6=1,SUM('Final Calculation Sheet'!$AA$4:$AA$40)-SUMIFS('Final Calculation Sheet'!$AA$4:$AA$40,$AZ$5:$AZ$41,10),SUMIFS('Final Calculation Sheet'!$AA$4:$AA$40,$AZ$5:$AZ$41,$BH6))),""))</f>
        <v>0</v>
      </c>
      <c r="AC7" s="78" t="str">
        <f t="array" ref="AC7">IF($BJ6&gt;0,IF(INDEX('Final Calculation Sheet'!$AB$4:$AB$40,$BJ6-3)="","",INDEX('Final Calculation Sheet'!$AB$4:$AB$40,$BJ6-3)),IF(OR($BI6=1,$BL6=1,$BH6&gt;0),"–",""))</f>
        <v>–</v>
      </c>
      <c r="AD7" s="78" t="str">
        <f t="array" ref="AD7">IF($BJ6&gt;0,IF(INDEX('Final Calculation Sheet'!$AC$4:$AC$40,$BJ6-3)="","",INDEX('Final Calculation Sheet'!$AC$4:$AC$40,$BJ6-3)),IF(OR($BI6=1,$BL6=1,$BH6&gt;0),IF($BI6=1,SUM('Final Calculation Sheet'!$AC$4:$AC$40),IF($BL6=1,SUM('Final Calculation Sheet'!$AC$4:$AC$40)-SUMIFS('Final Calculation Sheet'!$AC$4:$AC$40,$AZ$5:$AZ$41,10),SUMIFS('Final Calculation Sheet'!$AC$4:$AC$40,$AZ$5:$AZ$41,$BH6))),""))</f>
        <v>83,532</v>
      </c>
      <c r="AE7" s="78" t="str">
        <f t="array" ref="AE7">IF($BJ6&gt;0,IF(INDEX('Final Calculation Sheet'!$AD$4:$AD$40,$BJ6-3)="","",INDEX('Final Calculation Sheet'!$AD$4:$AD$40,$BJ6-3)),IF(OR($BI6=1,$BL6=1,$BH6&gt;0),IF($BI6=1,SUM('Final Calculation Sheet'!$AD$4:$AD$40),IF($BL6=1,SUM('Final Calculation Sheet'!$AD$4:$AD$40)-SUMIFS('Final Calculation Sheet'!$AD$4:$AD$40,$AZ$5:$AZ$41,10),SUMIFS('Final Calculation Sheet'!$AD$4:$AD$40,$AZ$5:$AZ$41,$BH6))),""))</f>
        <v>0</v>
      </c>
      <c r="AF7" s="78" t="str">
        <f t="array" ref="AF7">IF($BJ6&gt;0,IF(INDEX('Final Calculation Sheet'!$AE$4:$AE$40,$BJ6-3)="","",INDEX('Final Calculation Sheet'!$AE$4:$AE$40,$BJ6-3)),IF(OR($BI6=1,$BL6=1,$BH6&gt;0),"–",""))</f>
        <v>–</v>
      </c>
      <c r="AG7" s="82" t="str">
        <f t="array" ref="AG7">IF($BJ6&gt;0,IF(INDEX('Final Calculation Sheet'!$AF$4:$AF$40,$BJ6-3)="","",INDEX('Final Calculation Sheet'!$AF$4:$AF$40,$BJ6-3)),IF(OR($BI6=1,$BL6=1,$BH6&gt;0),"–",""))</f>
        <v>–</v>
      </c>
      <c r="AH7" s="78" t="str">
        <f t="array" ref="AH7">IF($BJ6&gt;0,IF(INDEX('Final Calculation Sheet'!$AG$4:$AG$40,$BJ6-3)="","",INDEX('Final Calculation Sheet'!$AG$4:$AG$40,$BJ6-3)),IF(OR($BI6=1,$BL6=1,$BH6&gt;0),"–",""))</f>
        <v>–</v>
      </c>
      <c r="AI7" s="83" t="str">
        <f t="array" ref="AI7">IF($BJ6&gt;0,IF(INDEX('Final Calculation Sheet'!$AD$4:$AD$40,$BJ6-3)="","",IF(INDEX('Final Calculation Sheet'!$AD$4:$AD$40,$BJ6-3)&lt;=0,"SETTLED","OUTSTANDING")),IF(OR($BI6=1,$BL6=1,$BH6&gt;0),IF(IF($BI6=1,SUM('Final Calculation Sheet'!$AD$4:$AD$40),IF($BL6=1,SUM('Final Calculation Sheet'!$AD$4:$AD$40)-SUMIFS('Final Calculation Sheet'!$AD$4:$AD$40,$AZ$5:$AZ$41,10),SUMIFS('Final Calculation Sheet'!$AD$4:$AD$40,$AZ$5:$AZ$41,$BH6)))&lt;=0,"ALL SETTLED","OUTSTANDING"),""))</f>
        <v>ALL SETTLED</v>
      </c>
      <c r="AK7" t="str">
        <f>IF($F$3="Lot No.",'Final Calculation Sheet'!$F$6,IF($F$3="Buyer",'Final Calculation Sheet'!$G$6,IF($F$3="Lot Name",'Final Calculation Sheet'!$B$6,IF($F$3="Bid Sheet",'Final Calculation Sheet'!$D$6,IF($F$3="Unit",'Final Calculation Sheet'!$E$6,'Final Calculation Sheet'!$F$6&amp;" "&amp;'Final Calculation Sheet'!$G$6&amp;" "&amp;'Final Calculation Sheet'!$B$6)))))</f>
        <v>1875 F R KHANS ENTERPRISES Scrap of Copper of faulty AC compressor</v>
      </c>
      <c r="AM7" t="str">
        <f t="shared" si="3"/>
        <v>0</v>
      </c>
      <c r="AO7" t="s">
        <v>134</v>
      </c>
      <c r="AR7" t="str">
        <f>IF($AR$4="","",IF($AR$5=99999,"",MID($AR$4,$AR$5,1)))</f>
        <v/>
      </c>
      <c r="AS7" t="str">
        <f>IF($AS$4="","",IF($AS$5=99999,"",MID($AS$4,$AS$5,1)))</f>
        <v/>
      </c>
      <c r="AT7" t="str">
        <f>IF($AT$4="","",IF($AT$5=99999,"",MID($AT$4,$AT$5,1)))</f>
        <v/>
      </c>
      <c r="AU7" t="str">
        <f>IF($AU$4="","",IF($AU$5=99999,"",MID($AU$4,$AU$5,1)))</f>
        <v/>
      </c>
      <c r="AV7" t="str">
        <f>IF($AV$4="","",IF($AV$5=99999,"",MID($AV$4,$AV$5,1)))</f>
        <v/>
      </c>
      <c r="AW7" t="str">
        <f>IF($AW$4="","",IF($AW$5=99999,"",MID($AW$4,$AW$5,1)))</f>
        <v/>
      </c>
      <c r="AX7" t="str">
        <f>IF($AX$4="","",IF($AX$5=99999,"",MID($AX$4,$AX$5,1)))</f>
        <v/>
      </c>
      <c r="AY7" t="str">
        <f>IF($AY$4="","",IF($AY$5=99999,"",MID($AY$4,$AY$5,1)))</f>
        <v/>
      </c>
      <c r="AZ7" t="str">
        <f t="shared" si="4"/>
        <v>10</v>
      </c>
      <c r="BA7" t="str">
        <f t="shared" si="5"/>
        <v>3</v>
      </c>
      <c r="BB7" t="str">
        <f t="shared" si="6"/>
        <v>10</v>
      </c>
      <c r="BC7">
        <v>6.0</v>
      </c>
      <c r="BD7" t="str">
        <f>COUNTIF($AZ$5:$AZ$41,4)</f>
        <v>0</v>
      </c>
      <c r="BE7" t="str">
        <f t="shared" si="7"/>
        <v>7</v>
      </c>
      <c r="BF7" t="str">
        <f t="shared" si="1"/>
        <v>0</v>
      </c>
      <c r="BH7" t="str">
        <f>IFERROR(MATCH(7,$BF$4:$BF$13,0),0)</f>
        <v>0</v>
      </c>
      <c r="BI7" t="str">
        <f>IF(7=$BG$5,1,0)</f>
        <v>0</v>
      </c>
      <c r="BJ7" t="str">
        <f t="array" ref="BJ7">IF(OR($BH7&gt;0,$BI7=1,$BL7=1),0,IFERROR(INDEX($BC$5:$BC$41,MATCH(7,$BB$5:$BB$41,0)),0))</f>
        <v>0</v>
      </c>
      <c r="BK7" t="str">
        <f t="array" ref="BK7">IF($BJ7&gt;0,IF(INDEX($AZ$5:$AZ$41,MATCH(7,$BB$5:$BB$41,0))=10,1,0),IF($BH7=10,1,0))</f>
        <v>0</v>
      </c>
      <c r="BL7" t="str">
        <f>IF(7=$BG$4,1,0)</f>
        <v>1</v>
      </c>
      <c r="BM7" t="str">
        <f t="shared" si="8"/>
        <v>1</v>
      </c>
      <c r="BN7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Sheet'!$F$6)&amp;"",""))))&gt;0))</f>
        <v>1</v>
      </c>
      <c r="BO7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Sheet'!$G$6)&amp;"",""))))&gt;0))</f>
        <v>1</v>
      </c>
      <c r="BP7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Sheet'!$B$6)&amp;"",""))))&gt;0))</f>
        <v>1</v>
      </c>
      <c r="BQ7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Sheet'!$D$6)&amp;"",""))))&gt;0))</f>
        <v>1</v>
      </c>
      <c r="BR7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Sheet'!$A$6)&amp;"",""))))&gt;0))</f>
        <v>1</v>
      </c>
      <c r="BS7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Sheet'!$E$6)&amp;"",""))))&gt;0))</f>
        <v>1</v>
      </c>
      <c r="BT7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Sheet'!$C$6)&amp;"",""))))&gt;0))</f>
        <v>1</v>
      </c>
      <c r="BU7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Sheet'!$H$6)&amp;"",""))))&gt;0))</f>
        <v>1</v>
      </c>
      <c r="BV7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Sheet'!$I$6)&amp;"",""))))&gt;0))</f>
        <v>1</v>
      </c>
      <c r="BW7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Sheet'!$J$6)&amp;"",""))))&gt;0))</f>
        <v>1</v>
      </c>
      <c r="BX7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Sheet'!$K$6)&amp;"",""))))&gt;0))</f>
        <v>1</v>
      </c>
      <c r="BY7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Sheet'!$L$6)&amp;"",""))))&gt;0))</f>
        <v>1</v>
      </c>
      <c r="BZ7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Sheet'!$M$6)&amp;"",""))))&gt;0))</f>
        <v>1</v>
      </c>
      <c r="CA7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Sheet'!$N$6)&amp;"",""))))&gt;0))</f>
        <v>1</v>
      </c>
      <c r="CB7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Sheet'!$O$6)&amp;"",""))))&gt;0))</f>
        <v>1</v>
      </c>
      <c r="CC7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Sheet'!$P$6)&amp;"",""))))&gt;0))</f>
        <v>1</v>
      </c>
      <c r="CD7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Sheet'!$Q$6)&amp;"",""))))&gt;0))</f>
        <v>1</v>
      </c>
      <c r="CE7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Sheet'!$R$6)&amp;"",""))))&gt;0))</f>
        <v>1</v>
      </c>
      <c r="CF7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Sheet'!$S$6)&amp;"",""))))&gt;0))</f>
        <v>1</v>
      </c>
      <c r="CG7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Sheet'!$T$6)&amp;"",""))))&gt;0))</f>
        <v>1</v>
      </c>
      <c r="CH7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Sheet'!$U$6)&amp;"",""))))&gt;0))</f>
        <v>1</v>
      </c>
      <c r="CI7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Sheet'!$V$6)&amp;"",""))))&gt;0))</f>
        <v>1</v>
      </c>
      <c r="CJ7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Sheet'!$W$6)&amp;"",""))))&gt;0))</f>
        <v>1</v>
      </c>
      <c r="CK7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Sheet'!$X$6)&amp;"",""))))&gt;0))</f>
        <v>1</v>
      </c>
      <c r="CL7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Sheet'!$Y$6)&amp;"",""))))&gt;0))</f>
        <v>1</v>
      </c>
      <c r="CM7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Sheet'!$Z$6)&amp;"",""))))&gt;0))</f>
        <v>1</v>
      </c>
      <c r="CN7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Sheet'!$AA$6)&amp;"",""))))&gt;0))</f>
        <v>1</v>
      </c>
      <c r="CO7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Sheet'!$AB$6)&amp;"",""))))&gt;0))</f>
        <v>1</v>
      </c>
      <c r="CP7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Sheet'!$AC$6)&amp;"",""))))&gt;0))</f>
        <v>1</v>
      </c>
      <c r="CQ7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Sheet'!$AD$6)&amp;"",""))))&gt;0))</f>
        <v>1</v>
      </c>
      <c r="CR7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Sheet'!$AE$6)&amp;"",""))))&gt;0))</f>
        <v>1</v>
      </c>
      <c r="CS7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Sheet'!$AF$6)&amp;"",""))))&gt;0))</f>
        <v>1</v>
      </c>
      <c r="CT7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Sheet'!$AG$6)&amp;"",""))))&gt;0))</f>
        <v>1</v>
      </c>
      <c r="CU7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Sheet'!$AD$6&lt;=0,"SETTLED","OUTSTANDING"))&amp;"",""))))&gt;0))</f>
        <v>1</v>
      </c>
    </row>
    <row r="8" ht="15.0" customHeight="1">
      <c r="A8" s="75" t="str">
        <f t="array" ref="A8">IF($BJ7&gt;0,INDEX($BA$5:$BA$41,MATCH(7,$BB$5:$BB$41,0)),IF(OR($BI7=1,$BL7=1,$BH7&gt;0),"∑",""))</f>
        <v>∑</v>
      </c>
      <c r="B8" s="76" t="str">
        <f t="array" ref="B8">IF($BJ7&gt;0,IF(INDEX('Final Calculation Sheet'!$F$4:$F$40,$BJ7-3)="","",INDEX('Final Calculation Sheet'!$F$4:$F$40,$BJ7-3)),"")</f>
        <v/>
      </c>
      <c r="C8" s="76" t="str">
        <f t="array" ref="C8">IF($BJ7&gt;0,IF(INDEX('Final Calculation Sheet'!$G$4:$G$40,$BJ7-3)="","",INDEX('Final Calculation Sheet'!$G$4:$G$40,$BJ7-3)),IF(OR($BI7=1,$BL7=1,$BH7&gt;0),IF($BI7=1,37,IF($BL7=1,37-INDEX($BD$4:$BD$13,10),INDEX($BD$4:$BD$13,$BH7)))&amp;" lot(s)",""))</f>
        <v>1 lot(s)</v>
      </c>
      <c r="D8" s="77" t="str">
        <f t="array" ref="D8">IF($BJ7&gt;0,IF(INDEX('Final Calculation Sheet'!$B$4:$B$40,$BJ7-3)="","",INDEX('Final Calculation Sheet'!$B$4:$B$40,$BJ7-3)),IF(OR($BI7=1,$BL7=1,$BH7&gt;0),IF($BI7=1,"GRAND TOTAL  —  matching + remaining",IF($BL7=1,"TOTAL MATCHED  —  every group together",IF($BH7=10,"REMAINING  —  did not match the search",IF($BH7=9,IF(COUNTIF($A$4:$AI$4,"&lt;&gt;")&gt;0,"FILTERED LOTS  —  column fields","ALL LOTS  —  nothing typed in the box"),"GROUP "&amp;$BH7&amp;" TOTAL  —  lots matching  "&amp;INDEX($AR$6:$AY$6,$BH7))))),""))</f>
        <v>TOTAL MATCHED  —  every group together</v>
      </c>
      <c r="E8" s="77" t="str">
        <f t="array" ref="E8">IF($BJ7&gt;0,IF(INDEX('Final Calculation Sheet'!$D$4:$D$40,$BJ7-3)="","",INDEX('Final Calculation Sheet'!$D$4:$D$40,$BJ7-3)),IF(OR($BI7=1,$BL7=1,$BH7&gt;0),"–",""))</f>
        <v>–</v>
      </c>
      <c r="F8" s="77" t="str">
        <f t="array" ref="F8">IF($BJ7&gt;0,IF(INDEX('Final Calculation Sheet'!$A$4:$A$40,$BJ7-3)="","",INDEX('Final Calculation Sheet'!$A$4:$A$40,$BJ7-3)),IF(OR($BI7=1,$BL7=1,$BH7&gt;0),IF($BI7=1,SUM('Final Calculation Sheet'!$A$4:$A$40),IF($BL7=1,SUM('Final Calculation Sheet'!$A$4:$A$40)-SUMIFS('Final Calculation Sheet'!$A$4:$A$40,$AZ$5:$AZ$41,10),SUMIFS('Final Calculation Sheet'!$A$4:$A$40,$AZ$5:$AZ$41,$BH7))),""))</f>
        <v>100</v>
      </c>
      <c r="G8" s="77" t="str">
        <f t="array" ref="G8">IF($BJ7&gt;0,IF(INDEX('Final Calculation Sheet'!$E$4:$E$40,$BJ7-3)="","",INDEX('Final Calculation Sheet'!$E$4:$E$40,$BJ7-3)),IF(OR($BI7=1,$BL7=1,$BH7&gt;0),"–",""))</f>
        <v>–</v>
      </c>
      <c r="H8" s="78" t="str">
        <f t="array" ref="H8">IF($BJ7&gt;0,IF(INDEX('Final Calculation Sheet'!$C$4:$C$40,$BJ7-3)="","",INDEX('Final Calculation Sheet'!$C$4:$C$40,$BJ7-3)),IF(OR($BI7=1,$BL7=1,$BH7&gt;0),"–",""))</f>
        <v>–</v>
      </c>
      <c r="I8" s="78" t="str">
        <f t="array" ref="I8">IF($BJ7&gt;0,IF(INDEX('Final Calculation Sheet'!$H$4:$H$40,$BJ7-3)="","",INDEX('Final Calculation Sheet'!$H$4:$H$40,$BJ7-3)),IF(OR($BI7=1,$BL7=1,$BH7&gt;0),IF($BI7=1,SUM('Final Calculation Sheet'!$H$4:$H$40),IF($BL7=1,SUM('Final Calculation Sheet'!$H$4:$H$40)-SUMIFS('Final Calculation Sheet'!$H$4:$H$40,$AZ$5:$AZ$41,10),SUMIFS('Final Calculation Sheet'!$H$4:$H$40,$AZ$5:$AZ$41,$BH7))),""))</f>
        <v>71,000</v>
      </c>
      <c r="J8" s="78" t="str">
        <f t="array" ref="J8">IF($BJ7&gt;0,IF(INDEX('Final Calculation Sheet'!$I$4:$I$40,$BJ7-3)="","",INDEX('Final Calculation Sheet'!$I$4:$I$40,$BJ7-3)),IF(OR($BI7=1,$BL7=1,$BH7&gt;0),IF($BI7=1,SUM('Final Calculation Sheet'!$I$4:$I$40),IF($BL7=1,SUM('Final Calculation Sheet'!$I$4:$I$40)-SUMIFS('Final Calculation Sheet'!$I$4:$I$40,$AZ$5:$AZ$41,10),SUMIFS('Final Calculation Sheet'!$I$4:$I$40,$AZ$5:$AZ$41,$BH7))),""))</f>
        <v>12,780</v>
      </c>
      <c r="K8" s="78" t="str">
        <f t="array" ref="K8">IF($BJ7&gt;0,IF(INDEX('Final Calculation Sheet'!$J$4:$J$40,$BJ7-3)="","",INDEX('Final Calculation Sheet'!$J$4:$J$40,$BJ7-3)),IF(OR($BI7=1,$BL7=1,$BH7&gt;0),IF($BI7=1,SUM('Final Calculation Sheet'!$J$4:$J$40),IF($BL7=1,SUM('Final Calculation Sheet'!$J$4:$J$40)-SUMIFS('Final Calculation Sheet'!$J$4:$J$40,$AZ$5:$AZ$41,10),SUMIFS('Final Calculation Sheet'!$J$4:$J$40,$AZ$5:$AZ$41,$BH7))),""))</f>
        <v>83,780</v>
      </c>
      <c r="L8" s="78" t="str">
        <f t="array" ref="L8">IF($BJ7&gt;0,IF(INDEX('Final Calculation Sheet'!$K$4:$K$40,$BJ7-3)="","",INDEX('Final Calculation Sheet'!$K$4:$K$40,$BJ7-3)),IF(OR($BI7=1,$BL7=1,$BH7&gt;0),IF($BI7=1,SUM('Final Calculation Sheet'!$K$4:$K$40),IF($BL7=1,SUM('Final Calculation Sheet'!$K$4:$K$40)-SUMIFS('Final Calculation Sheet'!$K$4:$K$40,$AZ$5:$AZ$41,10),SUMIFS('Final Calculation Sheet'!$K$4:$K$40,$AZ$5:$AZ$41,$BH7))),""))</f>
        <v>1,676</v>
      </c>
      <c r="M8" s="78" t="str">
        <f t="array" ref="M8">IF($BJ7&gt;0,IF(INDEX('Final Calculation Sheet'!$L$4:$L$40,$BJ7-3)="","",INDEX('Final Calculation Sheet'!$L$4:$L$40,$BJ7-3)),IF(OR($BI7=1,$BL7=1,$BH7&gt;0),IF($BI7=1,SUM('Final Calculation Sheet'!$L$4:$L$40),IF($BL7=1,SUM('Final Calculation Sheet'!$L$4:$L$40)-SUMIFS('Final Calculation Sheet'!$L$4:$L$40,$AZ$5:$AZ$41,10),SUMIFS('Final Calculation Sheet'!$L$4:$L$40,$AZ$5:$AZ$41,$BH7))),""))</f>
        <v>71</v>
      </c>
      <c r="N8" s="78" t="str">
        <f t="array" ref="N8">IF($BJ7&gt;0,IF(INDEX('Final Calculation Sheet'!$M$4:$M$40,$BJ7-3)="","",INDEX('Final Calculation Sheet'!$M$4:$M$40,$BJ7-3)),IF(OR($BI7=1,$BL7=1,$BH7&gt;0),IF($BI7=1,SUM('Final Calculation Sheet'!$M$4:$M$40),IF($BL7=1,SUM('Final Calculation Sheet'!$M$4:$M$40)-SUMIFS('Final Calculation Sheet'!$M$4:$M$40,$AZ$5:$AZ$41,10),SUMIFS('Final Calculation Sheet'!$M$4:$M$40,$AZ$5:$AZ$41,$BH7))),""))</f>
        <v>1,885</v>
      </c>
      <c r="O8" s="79" t="str">
        <f t="array" ref="O8">IF($BJ7&gt;0,IF(INDEX('Final Calculation Sheet'!$N$4:$N$40,$BJ7-3)="","",INDEX('Final Calculation Sheet'!$N$4:$N$40,$BJ7-3)),IF(OR($BI7=1,$BL7=1,$BH7&gt;0),IF($BI7=1,SUM('Final Calculation Sheet'!$N$4:$N$40),IF($BL7=1,SUM('Final Calculation Sheet'!$N$4:$N$40)-SUMIFS('Final Calculation Sheet'!$N$4:$N$40,$AZ$5:$AZ$41,10),SUMIFS('Final Calculation Sheet'!$N$4:$N$40,$AZ$5:$AZ$41,$BH7))),""))</f>
        <v>32</v>
      </c>
      <c r="P8" s="78" t="str">
        <f t="array" ref="P8">IF($BJ7&gt;0,IF(INDEX('Final Calculation Sheet'!$O$4:$O$40,$BJ7-3)="","",INDEX('Final Calculation Sheet'!$O$4:$O$40,$BJ7-3)),IF(OR($BI7=1,$BL7=1,$BH7&gt;0),IF($BI7=1,SUM('Final Calculation Sheet'!$O$4:$O$40),IF($BL7=1,SUM('Final Calculation Sheet'!$O$4:$O$40)-SUMIFS('Final Calculation Sheet'!$O$4:$O$40,$AZ$5:$AZ$41,10),SUMIFS('Final Calculation Sheet'!$O$4:$O$40,$AZ$5:$AZ$41,$BH7))),""))</f>
        <v>1,853</v>
      </c>
      <c r="Q8" s="78" t="str">
        <f t="array" ref="Q8">IF($BJ7&gt;0,IF(INDEX('Final Calculation Sheet'!$P$4:$P$40,$BJ7-3)="","",INDEX('Final Calculation Sheet'!$P$4:$P$40,$BJ7-3)),IF(OR($BI7=1,$BL7=1,$BH7&gt;0),IF($BI7=1,SUM('Final Calculation Sheet'!$P$4:$P$40),IF($BL7=1,SUM('Final Calculation Sheet'!$P$4:$P$40)-SUMIFS('Final Calculation Sheet'!$P$4:$P$40,$AZ$5:$AZ$41,10),SUMIFS('Final Calculation Sheet'!$P$4:$P$40,$AZ$5:$AZ$41,$BH7))),""))</f>
        <v>1,924</v>
      </c>
      <c r="R8" s="80" t="str">
        <f t="array" ref="R8">IF($BJ7&gt;0,IF(INDEX('Final Calculation Sheet'!$Q$4:$Q$40,$BJ7-3)="","",INDEX('Final Calculation Sheet'!$Q$4:$Q$40,$BJ7-3)),IF(OR($BI7=1,$BL7=1,$BH7&gt;0),"–",""))</f>
        <v>–</v>
      </c>
      <c r="S8" s="78" t="str">
        <f t="array" ref="S8">IF($BJ7&gt;0,IF(INDEX('Final Calculation Sheet'!$R$4:$R$40,$BJ7-3)="","",INDEX('Final Calculation Sheet'!$R$4:$R$40,$BJ7-3)),IF(OR($BI7=1,$BL7=1,$BH7&gt;0),IF($BI7=1,SUM('Final Calculation Sheet'!$R$4:$R$40),IF($BL7=1,SUM('Final Calculation Sheet'!$R$4:$R$40)-SUMIFS('Final Calculation Sheet'!$R$4:$R$40,$AZ$5:$AZ$41,10),SUMIFS('Final Calculation Sheet'!$R$4:$R$40,$AZ$5:$AZ$41,$BH7))),""))</f>
        <v>0</v>
      </c>
      <c r="T8" s="78" t="str">
        <f t="array" ref="T8">IF($BJ7&gt;0,IF(INDEX('Final Calculation Sheet'!$S$4:$S$40,$BJ7-3)="","",INDEX('Final Calculation Sheet'!$S$4:$S$40,$BJ7-3)),IF(OR($BI7=1,$BL7=1,$BH7&gt;0),IF($BI7=1,SUM('Final Calculation Sheet'!$S$4:$S$40),IF($BL7=1,SUM('Final Calculation Sheet'!$S$4:$S$40)-SUMIFS('Final Calculation Sheet'!$S$4:$S$40,$AZ$5:$AZ$41,10),SUMIFS('Final Calculation Sheet'!$S$4:$S$40,$AZ$5:$AZ$41,$BH7))),""))</f>
        <v>83,532</v>
      </c>
      <c r="U8" s="78" t="str">
        <f t="array" ref="U8">IF($BJ7&gt;0,IF(INDEX('Final Calculation Sheet'!$T$4:$T$40,$BJ7-3)="","",INDEX('Final Calculation Sheet'!$T$4:$T$40,$BJ7-3)),IF(OR($BI7=1,$BL7=1,$BH7&gt;0),IF($BI7=1,SUM('Final Calculation Sheet'!$T$4:$T$40),IF($BL7=1,SUM('Final Calculation Sheet'!$T$4:$T$40)-SUMIFS('Final Calculation Sheet'!$T$4:$T$40,$AZ$5:$AZ$41,10),SUMIFS('Final Calculation Sheet'!$T$4:$T$40,$AZ$5:$AZ$41,$BH7))),""))</f>
        <v>17,750</v>
      </c>
      <c r="V8" s="81" t="str">
        <f t="array" ref="V8">IF($BJ7&gt;0,IF(INDEX('Final Calculation Sheet'!$U$4:$U$40,$BJ7-3)="","",INDEX('Final Calculation Sheet'!$U$4:$U$40,$BJ7-3)),IF(OR($BI7=1,$BL7=1,$BH7&gt;0),IF($BI7=1,SUM('Final Calculation Sheet'!$U$4:$U$40),IF($BL7=1,SUM('Final Calculation Sheet'!$U$4:$U$40)-SUMIFS('Final Calculation Sheet'!$U$4:$U$40,$AZ$5:$AZ$41,10),SUMIFS('Final Calculation Sheet'!$U$4:$U$40,$AZ$5:$AZ$41,$BH7))),""))</f>
        <v>  17,750 </v>
      </c>
      <c r="W8" s="78" t="str">
        <f t="array" ref="W8">IF($BJ7&gt;0,IF(INDEX('Final Calculation Sheet'!$V$4:$V$40,$BJ7-3)="","",INDEX('Final Calculation Sheet'!$V$4:$V$40,$BJ7-3)),IF(OR($BI7=1,$BL7=1,$BH7&gt;0),"–",""))</f>
        <v>–</v>
      </c>
      <c r="X8" s="78" t="str">
        <f t="array" ref="X8">IF($BJ7&gt;0,IF(INDEX('Final Calculation Sheet'!$W$4:$W$40,$BJ7-3)="","",INDEX('Final Calculation Sheet'!$W$4:$W$40,$BJ7-3)),IF(OR($BI7=1,$BL7=1,$BH7&gt;0),IF($BI7=1,SUM('Final Calculation Sheet'!$W$4:$W$40),IF($BL7=1,SUM('Final Calculation Sheet'!$W$4:$W$40)-SUMIFS('Final Calculation Sheet'!$W$4:$W$40,$AZ$5:$AZ$41,10),SUMIFS('Final Calculation Sheet'!$W$4:$W$40,$AZ$5:$AZ$41,$BH7))),""))</f>
        <v>65,782</v>
      </c>
      <c r="Y8" s="78" t="str">
        <f t="array" ref="Y8">IF($BJ7&gt;0,IF(INDEX('Final Calculation Sheet'!$X$4:$X$40,$BJ7-3)="","",INDEX('Final Calculation Sheet'!$X$4:$X$40,$BJ7-3)),IF(OR($BI7=1,$BL7=1,$BH7&gt;0),IF($BI7=1,SUM('Final Calculation Sheet'!$X$4:$X$40),IF($BL7=1,SUM('Final Calculation Sheet'!$X$4:$X$40)-SUMIFS('Final Calculation Sheet'!$X$4:$X$40,$AZ$5:$AZ$41,10),SUMIFS('Final Calculation Sheet'!$X$4:$X$40,$AZ$5:$AZ$41,$BH7))),""))</f>
        <v>65,782</v>
      </c>
      <c r="Z8" s="78" t="str">
        <f t="array" ref="Z8">IF($BJ7&gt;0,IF(INDEX('Final Calculation Sheet'!$Y$4:$Y$40,$BJ7-3)="","",INDEX('Final Calculation Sheet'!$Y$4:$Y$40,$BJ7-3)),IF(OR($BI7=1,$BL7=1,$BH7&gt;0),"–",""))</f>
        <v>–</v>
      </c>
      <c r="AA8" s="78" t="str">
        <f t="array" ref="AA8">IF($BJ7&gt;0,IF(INDEX('Final Calculation Sheet'!$Z$4:$Z$40,$BJ7-3)="","",INDEX('Final Calculation Sheet'!$Z$4:$Z$40,$BJ7-3)),IF(OR($BI7=1,$BL7=1,$BH7&gt;0),IF($BI7=1,SUM('Final Calculation Sheet'!$Z$4:$Z$40),IF($BL7=1,SUM('Final Calculation Sheet'!$Z$4:$Z$40)-SUMIFS('Final Calculation Sheet'!$Z$4:$Z$40,$AZ$5:$AZ$41,10),SUMIFS('Final Calculation Sheet'!$Z$4:$Z$40,$AZ$5:$AZ$41,$BH7))),""))</f>
        <v>0</v>
      </c>
      <c r="AB8" s="78" t="str">
        <f t="array" ref="AB8">IF($BJ7&gt;0,IF(INDEX('Final Calculation Sheet'!$AA$4:$AA$40,$BJ7-3)="","",INDEX('Final Calculation Sheet'!$AA$4:$AA$40,$BJ7-3)),IF(OR($BI7=1,$BL7=1,$BH7&gt;0),IF($BI7=1,SUM('Final Calculation Sheet'!$AA$4:$AA$40),IF($BL7=1,SUM('Final Calculation Sheet'!$AA$4:$AA$40)-SUMIFS('Final Calculation Sheet'!$AA$4:$AA$40,$AZ$5:$AZ$41,10),SUMIFS('Final Calculation Sheet'!$AA$4:$AA$40,$AZ$5:$AZ$41,$BH7))),""))</f>
        <v>0</v>
      </c>
      <c r="AC8" s="78" t="str">
        <f t="array" ref="AC8">IF($BJ7&gt;0,IF(INDEX('Final Calculation Sheet'!$AB$4:$AB$40,$BJ7-3)="","",INDEX('Final Calculation Sheet'!$AB$4:$AB$40,$BJ7-3)),IF(OR($BI7=1,$BL7=1,$BH7&gt;0),"–",""))</f>
        <v>–</v>
      </c>
      <c r="AD8" s="78" t="str">
        <f t="array" ref="AD8">IF($BJ7&gt;0,IF(INDEX('Final Calculation Sheet'!$AC$4:$AC$40,$BJ7-3)="","",INDEX('Final Calculation Sheet'!$AC$4:$AC$40,$BJ7-3)),IF(OR($BI7=1,$BL7=1,$BH7&gt;0),IF($BI7=1,SUM('Final Calculation Sheet'!$AC$4:$AC$40),IF($BL7=1,SUM('Final Calculation Sheet'!$AC$4:$AC$40)-SUMIFS('Final Calculation Sheet'!$AC$4:$AC$40,$AZ$5:$AZ$41,10),SUMIFS('Final Calculation Sheet'!$AC$4:$AC$40,$AZ$5:$AZ$41,$BH7))),""))</f>
        <v>83,532</v>
      </c>
      <c r="AE8" s="78" t="str">
        <f t="array" ref="AE8">IF($BJ7&gt;0,IF(INDEX('Final Calculation Sheet'!$AD$4:$AD$40,$BJ7-3)="","",INDEX('Final Calculation Sheet'!$AD$4:$AD$40,$BJ7-3)),IF(OR($BI7=1,$BL7=1,$BH7&gt;0),IF($BI7=1,SUM('Final Calculation Sheet'!$AD$4:$AD$40),IF($BL7=1,SUM('Final Calculation Sheet'!$AD$4:$AD$40)-SUMIFS('Final Calculation Sheet'!$AD$4:$AD$40,$AZ$5:$AZ$41,10),SUMIFS('Final Calculation Sheet'!$AD$4:$AD$40,$AZ$5:$AZ$41,$BH7))),""))</f>
        <v>0</v>
      </c>
      <c r="AF8" s="78" t="str">
        <f t="array" ref="AF8">IF($BJ7&gt;0,IF(INDEX('Final Calculation Sheet'!$AE$4:$AE$40,$BJ7-3)="","",INDEX('Final Calculation Sheet'!$AE$4:$AE$40,$BJ7-3)),IF(OR($BI7=1,$BL7=1,$BH7&gt;0),"–",""))</f>
        <v>–</v>
      </c>
      <c r="AG8" s="82" t="str">
        <f t="array" ref="AG8">IF($BJ7&gt;0,IF(INDEX('Final Calculation Sheet'!$AF$4:$AF$40,$BJ7-3)="","",INDEX('Final Calculation Sheet'!$AF$4:$AF$40,$BJ7-3)),IF(OR($BI7=1,$BL7=1,$BH7&gt;0),"–",""))</f>
        <v>–</v>
      </c>
      <c r="AH8" s="78" t="str">
        <f t="array" ref="AH8">IF($BJ7&gt;0,IF(INDEX('Final Calculation Sheet'!$AG$4:$AG$40,$BJ7-3)="","",INDEX('Final Calculation Sheet'!$AG$4:$AG$40,$BJ7-3)),IF(OR($BI7=1,$BL7=1,$BH7&gt;0),"–",""))</f>
        <v>–</v>
      </c>
      <c r="AI8" s="83" t="str">
        <f t="array" ref="AI8">IF($BJ7&gt;0,IF(INDEX('Final Calculation Sheet'!$AD$4:$AD$40,$BJ7-3)="","",IF(INDEX('Final Calculation Sheet'!$AD$4:$AD$40,$BJ7-3)&lt;=0,"SETTLED","OUTSTANDING")),IF(OR($BI7=1,$BL7=1,$BH7&gt;0),IF(IF($BI7=1,SUM('Final Calculation Sheet'!$AD$4:$AD$40),IF($BL7=1,SUM('Final Calculation Sheet'!$AD$4:$AD$40)-SUMIFS('Final Calculation Sheet'!$AD$4:$AD$40,$AZ$5:$AZ$41,10),SUMIFS('Final Calculation Sheet'!$AD$4:$AD$40,$AZ$5:$AZ$41,$BH7)))&lt;=0,"ALL SETTLED","OUTSTANDING"),""))</f>
        <v>ALL SETTLED</v>
      </c>
      <c r="AK8" t="str">
        <f>IF($F$3="Lot No.",'Final Calculation Sheet'!$F$7,IF($F$3="Buyer",'Final Calculation Sheet'!$G$7,IF($F$3="Lot Name",'Final Calculation Sheet'!$B$7,IF($F$3="Bid Sheet",'Final Calculation Sheet'!$D$7,IF($F$3="Unit",'Final Calculation Sheet'!$E$7,'Final Calculation Sheet'!$F$7&amp;" "&amp;'Final Calculation Sheet'!$G$7&amp;" "&amp;'Final Calculation Sheet'!$B$7)))))</f>
        <v>1876 F R KHANS ENTERPRISES Scrap of MS (extracted from equip cage and empty Sf6 gas cylinder)</v>
      </c>
      <c r="AM8" t="str">
        <f t="shared" si="3"/>
        <v>0</v>
      </c>
      <c r="AO8" t="s">
        <v>4</v>
      </c>
      <c r="AR8">
        <v>1.0</v>
      </c>
      <c r="AS8" t="str">
        <f>IF($AR$7="+",$AR$8+1,$AR$8)</f>
        <v>1</v>
      </c>
      <c r="AT8" t="str">
        <f>IF($AS$7="+",$AS$8+1,$AS$8)</f>
        <v>1</v>
      </c>
      <c r="AU8" t="str">
        <f>IF($AT$7="+",$AT$8+1,$AT$8)</f>
        <v>1</v>
      </c>
      <c r="AV8" t="str">
        <f>IF($AU$7="+",$AU$8+1,$AU$8)</f>
        <v>1</v>
      </c>
      <c r="AW8" t="str">
        <f>IF($AV$7="+",$AV$8+1,$AV$8)</f>
        <v>1</v>
      </c>
      <c r="AX8" t="str">
        <f>IF($AW$7="+",$AW$8+1,$AW$8)</f>
        <v>1</v>
      </c>
      <c r="AY8" t="str">
        <f>IF($AX$7="+",$AX$8+1,$AX$8)</f>
        <v>1</v>
      </c>
      <c r="AZ8" t="str">
        <f t="shared" si="4"/>
        <v>10</v>
      </c>
      <c r="BA8" t="str">
        <f t="shared" si="5"/>
        <v>4</v>
      </c>
      <c r="BB8" t="str">
        <f t="shared" si="6"/>
        <v>11</v>
      </c>
      <c r="BC8">
        <v>7.0</v>
      </c>
      <c r="BD8" t="str">
        <f>COUNTIF($AZ$5:$AZ$41,5)</f>
        <v>0</v>
      </c>
      <c r="BE8" t="str">
        <f t="shared" si="7"/>
        <v>7</v>
      </c>
      <c r="BF8" t="str">
        <f t="shared" si="1"/>
        <v>0</v>
      </c>
      <c r="BH8" t="str">
        <f>IFERROR(MATCH(8,$BF$4:$BF$13,0),0)</f>
        <v>0</v>
      </c>
      <c r="BI8" t="str">
        <f>IF(8=$BG$5,1,0)</f>
        <v>0</v>
      </c>
      <c r="BJ8" t="str">
        <f t="array" ref="BJ8">IF(OR($BH8&gt;0,$BI8=1,$BL8=1),0,IFERROR(INDEX($BC$5:$BC$41,MATCH(8,$BB$5:$BB$41,0)),0))</f>
        <v>4</v>
      </c>
      <c r="BK8" t="str">
        <f t="array" ref="BK8">IF($BJ8&gt;0,IF(INDEX($AZ$5:$AZ$41,MATCH(8,$BB$5:$BB$41,0))=10,1,0),IF($BH8=10,1,0))</f>
        <v>1</v>
      </c>
      <c r="BL8" t="str">
        <f>IF(8=$BG$4,1,0)</f>
        <v>0</v>
      </c>
      <c r="BM8" t="str">
        <f t="shared" si="8"/>
        <v>1</v>
      </c>
      <c r="BN8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Sheet'!$F$7)&amp;"",""))))&gt;0))</f>
        <v>1</v>
      </c>
      <c r="BO8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Sheet'!$G$7)&amp;"",""))))&gt;0))</f>
        <v>1</v>
      </c>
      <c r="BP8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Sheet'!$B$7)&amp;"",""))))&gt;0))</f>
        <v>1</v>
      </c>
      <c r="BQ8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Sheet'!$D$7)&amp;"",""))))&gt;0))</f>
        <v>1</v>
      </c>
      <c r="BR8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Sheet'!$A$7)&amp;"",""))))&gt;0))</f>
        <v>1</v>
      </c>
      <c r="BS8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Sheet'!$E$7)&amp;"",""))))&gt;0))</f>
        <v>1</v>
      </c>
      <c r="BT8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Sheet'!$C$7)&amp;"",""))))&gt;0))</f>
        <v>1</v>
      </c>
      <c r="BU8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Sheet'!$H$7)&amp;"",""))))&gt;0))</f>
        <v>1</v>
      </c>
      <c r="BV8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Sheet'!$I$7)&amp;"",""))))&gt;0))</f>
        <v>1</v>
      </c>
      <c r="BW8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Sheet'!$J$7)&amp;"",""))))&gt;0))</f>
        <v>1</v>
      </c>
      <c r="BX8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Sheet'!$K$7)&amp;"",""))))&gt;0))</f>
        <v>1</v>
      </c>
      <c r="BY8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Sheet'!$L$7)&amp;"",""))))&gt;0))</f>
        <v>1</v>
      </c>
      <c r="BZ8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Sheet'!$M$7)&amp;"",""))))&gt;0))</f>
        <v>1</v>
      </c>
      <c r="CA8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Sheet'!$N$7)&amp;"",""))))&gt;0))</f>
        <v>1</v>
      </c>
      <c r="CB8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Sheet'!$O$7)&amp;"",""))))&gt;0))</f>
        <v>1</v>
      </c>
      <c r="CC8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Sheet'!$P$7)&amp;"",""))))&gt;0))</f>
        <v>1</v>
      </c>
      <c r="CD8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Sheet'!$Q$7)&amp;"",""))))&gt;0))</f>
        <v>1</v>
      </c>
      <c r="CE8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Sheet'!$R$7)&amp;"",""))))&gt;0))</f>
        <v>1</v>
      </c>
      <c r="CF8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Sheet'!$S$7)&amp;"",""))))&gt;0))</f>
        <v>1</v>
      </c>
      <c r="CG8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Sheet'!$T$7)&amp;"",""))))&gt;0))</f>
        <v>1</v>
      </c>
      <c r="CH8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Sheet'!$U$7)&amp;"",""))))&gt;0))</f>
        <v>1</v>
      </c>
      <c r="CI8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Sheet'!$V$7)&amp;"",""))))&gt;0))</f>
        <v>1</v>
      </c>
      <c r="CJ8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Sheet'!$W$7)&amp;"",""))))&gt;0))</f>
        <v>1</v>
      </c>
      <c r="CK8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Sheet'!$X$7)&amp;"",""))))&gt;0))</f>
        <v>1</v>
      </c>
      <c r="CL8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Sheet'!$Y$7)&amp;"",""))))&gt;0))</f>
        <v>1</v>
      </c>
      <c r="CM8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Sheet'!$Z$7)&amp;"",""))))&gt;0))</f>
        <v>1</v>
      </c>
      <c r="CN8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Sheet'!$AA$7)&amp;"",""))))&gt;0))</f>
        <v>1</v>
      </c>
      <c r="CO8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Sheet'!$AB$7)&amp;"",""))))&gt;0))</f>
        <v>1</v>
      </c>
      <c r="CP8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Sheet'!$AC$7)&amp;"",""))))&gt;0))</f>
        <v>1</v>
      </c>
      <c r="CQ8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Sheet'!$AD$7)&amp;"",""))))&gt;0))</f>
        <v>1</v>
      </c>
      <c r="CR8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Sheet'!$AE$7)&amp;"",""))))&gt;0))</f>
        <v>1</v>
      </c>
      <c r="CS8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Sheet'!$AF$7)&amp;"",""))))&gt;0))</f>
        <v>1</v>
      </c>
      <c r="CT8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Sheet'!$AG$7)&amp;"",""))))&gt;0))</f>
        <v>1</v>
      </c>
      <c r="CU8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Sheet'!$AD$7&lt;=0,"SETTLED","OUTSTANDING"))&amp;"",""))))&gt;0))</f>
        <v>1</v>
      </c>
    </row>
    <row r="9" ht="15.0" customHeight="1">
      <c r="A9" s="75" t="str">
        <f t="array" ref="A9">IF($BJ8&gt;0,INDEX($BA$5:$BA$41,MATCH(8,$BB$5:$BB$41,0)),IF(OR($BI8=1,$BL8=1,$BH8&gt;0),"∑",""))</f>
        <v>1</v>
      </c>
      <c r="B9" s="76" t="str">
        <f t="array" ref="B9">IF($BJ8&gt;0,IF(INDEX('Final Calculation Sheet'!$F$4:$F$40,$BJ8-3)="","",INDEX('Final Calculation Sheet'!$F$4:$F$40,$BJ8-3)),"")</f>
        <v>1763</v>
      </c>
      <c r="C9" s="76" t="str">
        <f t="array" ref="C9">IF($BJ8&gt;0,IF(INDEX('Final Calculation Sheet'!$G$4:$G$40,$BJ8-3)="","",INDEX('Final Calculation Sheet'!$G$4:$G$40,$BJ8-3)),IF(OR($BI8=1,$BL8=1,$BH8&gt;0),IF($BI8=1,37,IF($BL8=1,37-INDEX($BD$4:$BD$13,10),INDEX($BD$4:$BD$13,$BH8)))&amp;" lot(s)",""))</f>
        <v>AL HAMD TRADE CORPORATION</v>
      </c>
      <c r="D9" s="77" t="str">
        <f t="array" ref="D9">IF($BJ8&gt;0,IF(INDEX('Final Calculation Sheet'!$B$4:$B$40,$BJ8-3)="","",INDEX('Final Calculation Sheet'!$B$4:$B$40,$BJ8-3)),IF(OR($BI8=1,$BL8=1,$BH8&gt;0),IF($BI8=1,"GRAND TOTAL  —  matching + remaining",IF($BL8=1,"TOTAL MATCHED  —  every group together",IF($BH8=10,"REMAINING  —  did not match the search",IF($BH8=9,IF(COUNTIF($A$4:$AI$4,"&lt;&gt;")&gt;0,"FILTERED LOTS  —  column fields","ALL LOTS  —  nothing typed in the box"),"GROUP "&amp;$BH8&amp;" TOTAL  —  lots matching  "&amp;INDEX($AR$6:$AY$6,$BH8))))),""))</f>
        <v>Lot No.</v>
      </c>
      <c r="E9" s="77" t="str">
        <f t="array" ref="E9">IF($BJ8&gt;0,IF(INDEX('Final Calculation Sheet'!$D$4:$D$40,$BJ8-3)="","",INDEX('Final Calculation Sheet'!$D$4:$D$40,$BJ8-3)),IF(OR($BI8=1,$BL8=1,$BH8&gt;0),"–",""))</f>
        <v>21980</v>
      </c>
      <c r="F9" s="77" t="str">
        <f t="array" ref="F9">IF($BJ8&gt;0,IF(INDEX('Final Calculation Sheet'!$A$4:$A$40,$BJ8-3)="","",INDEX('Final Calculation Sheet'!$A$4:$A$40,$BJ8-3)),IF(OR($BI8=1,$BL8=1,$BH8&gt;0),IF($BI8=1,SUM('Final Calculation Sheet'!$A$4:$A$40),IF($BL8=1,SUM('Final Calculation Sheet'!$A$4:$A$40)-SUMIFS('Final Calculation Sheet'!$A$4:$A$40,$AZ$5:$AZ$41,10),SUMIFS('Final Calculation Sheet'!$A$4:$A$40,$AZ$5:$AZ$41,$BH8))),""))</f>
        <v>669</v>
      </c>
      <c r="G9" s="77" t="str">
        <f t="array" ref="G9">IF($BJ8&gt;0,IF(INDEX('Final Calculation Sheet'!$E$4:$E$40,$BJ8-3)="","",INDEX('Final Calculation Sheet'!$E$4:$E$40,$BJ8-3)),IF(OR($BI8=1,$BL8=1,$BH8&gt;0),"–",""))</f>
        <v>KG</v>
      </c>
      <c r="H9" s="78" t="str">
        <f t="array" ref="H9">IF($BJ8&gt;0,IF(INDEX('Final Calculation Sheet'!$C$4:$C$40,$BJ8-3)="","",INDEX('Final Calculation Sheet'!$C$4:$C$40,$BJ8-3)),IF(OR($BI8=1,$BL8=1,$BH8&gt;0),"–",""))</f>
        <v>1,181</v>
      </c>
      <c r="I9" s="78" t="str">
        <f t="array" ref="I9">IF($BJ8&gt;0,IF(INDEX('Final Calculation Sheet'!$H$4:$H$40,$BJ8-3)="","",INDEX('Final Calculation Sheet'!$H$4:$H$40,$BJ8-3)),IF(OR($BI8=1,$BL8=1,$BH8&gt;0),IF($BI8=1,SUM('Final Calculation Sheet'!$H$4:$H$40),IF($BL8=1,SUM('Final Calculation Sheet'!$H$4:$H$40)-SUMIFS('Final Calculation Sheet'!$H$4:$H$40,$AZ$5:$AZ$41,10),SUMIFS('Final Calculation Sheet'!$H$4:$H$40,$AZ$5:$AZ$41,$BH8))),""))</f>
        <v>790,089</v>
      </c>
      <c r="J9" s="78" t="str">
        <f t="array" ref="J9">IF($BJ8&gt;0,IF(INDEX('Final Calculation Sheet'!$I$4:$I$40,$BJ8-3)="","",INDEX('Final Calculation Sheet'!$I$4:$I$40,$BJ8-3)),IF(OR($BI8=1,$BL8=1,$BH8&gt;0),IF($BI8=1,SUM('Final Calculation Sheet'!$I$4:$I$40),IF($BL8=1,SUM('Final Calculation Sheet'!$I$4:$I$40)-SUMIFS('Final Calculation Sheet'!$I$4:$I$40,$AZ$5:$AZ$41,10),SUMIFS('Final Calculation Sheet'!$I$4:$I$40,$AZ$5:$AZ$41,$BH8))),""))</f>
        <v>142,216</v>
      </c>
      <c r="K9" s="78" t="str">
        <f t="array" ref="K9">IF($BJ8&gt;0,IF(INDEX('Final Calculation Sheet'!$J$4:$J$40,$BJ8-3)="","",INDEX('Final Calculation Sheet'!$J$4:$J$40,$BJ8-3)),IF(OR($BI8=1,$BL8=1,$BH8&gt;0),IF($BI8=1,SUM('Final Calculation Sheet'!$J$4:$J$40),IF($BL8=1,SUM('Final Calculation Sheet'!$J$4:$J$40)-SUMIFS('Final Calculation Sheet'!$J$4:$J$40,$AZ$5:$AZ$41,10),SUMIFS('Final Calculation Sheet'!$J$4:$J$40,$AZ$5:$AZ$41,$BH8))),""))</f>
        <v>932,305</v>
      </c>
      <c r="L9" s="78" t="str">
        <f t="array" ref="L9">IF($BJ8&gt;0,IF(INDEX('Final Calculation Sheet'!$K$4:$K$40,$BJ8-3)="","",INDEX('Final Calculation Sheet'!$K$4:$K$40,$BJ8-3)),IF(OR($BI8=1,$BL8=1,$BH8&gt;0),IF($BI8=1,SUM('Final Calculation Sheet'!$K$4:$K$40),IF($BL8=1,SUM('Final Calculation Sheet'!$K$4:$K$40)-SUMIFS('Final Calculation Sheet'!$K$4:$K$40,$AZ$5:$AZ$41,10),SUMIFS('Final Calculation Sheet'!$K$4:$K$40,$AZ$5:$AZ$41,$BH8))),""))</f>
        <v>18,646</v>
      </c>
      <c r="M9" s="78" t="str">
        <f t="array" ref="M9">IF($BJ8&gt;0,IF(INDEX('Final Calculation Sheet'!$L$4:$L$40,$BJ8-3)="","",INDEX('Final Calculation Sheet'!$L$4:$L$40,$BJ8-3)),IF(OR($BI8=1,$BL8=1,$BH8&gt;0),IF($BI8=1,SUM('Final Calculation Sheet'!$L$4:$L$40),IF($BL8=1,SUM('Final Calculation Sheet'!$L$4:$L$40)-SUMIFS('Final Calculation Sheet'!$L$4:$L$40,$AZ$5:$AZ$41,10),SUMIFS('Final Calculation Sheet'!$L$4:$L$40,$AZ$5:$AZ$41,$BH8))),""))</f>
        <v>790</v>
      </c>
      <c r="N9" s="78" t="str">
        <f t="array" ref="N9">IF($BJ8&gt;0,IF(INDEX('Final Calculation Sheet'!$M$4:$M$40,$BJ8-3)="","",INDEX('Final Calculation Sheet'!$M$4:$M$40,$BJ8-3)),IF(OR($BI8=1,$BL8=1,$BH8&gt;0),IF($BI8=1,SUM('Final Calculation Sheet'!$M$4:$M$40),IF($BL8=1,SUM('Final Calculation Sheet'!$M$4:$M$40)-SUMIFS('Final Calculation Sheet'!$M$4:$M$40,$AZ$5:$AZ$41,10),SUMIFS('Final Calculation Sheet'!$M$4:$M$40,$AZ$5:$AZ$41,$BH8))),""))</f>
        <v>20,977</v>
      </c>
      <c r="O9" s="79" t="str">
        <f t="array" ref="O9">IF($BJ8&gt;0,IF(INDEX('Final Calculation Sheet'!$N$4:$N$40,$BJ8-3)="","",INDEX('Final Calculation Sheet'!$N$4:$N$40,$BJ8-3)),IF(OR($BI8=1,$BL8=1,$BH8&gt;0),IF($BI8=1,SUM('Final Calculation Sheet'!$N$4:$N$40),IF($BL8=1,SUM('Final Calculation Sheet'!$N$4:$N$40)-SUMIFS('Final Calculation Sheet'!$N$4:$N$40,$AZ$5:$AZ$41,10),SUMIFS('Final Calculation Sheet'!$N$4:$N$40,$AZ$5:$AZ$41,$BH8))),""))</f>
        <v>356</v>
      </c>
      <c r="P9" s="78" t="str">
        <f t="array" ref="P9">IF($BJ8&gt;0,IF(INDEX('Final Calculation Sheet'!$O$4:$O$40,$BJ8-3)="","",INDEX('Final Calculation Sheet'!$O$4:$O$40,$BJ8-3)),IF(OR($BI8=1,$BL8=1,$BH8&gt;0),IF($BI8=1,SUM('Final Calculation Sheet'!$O$4:$O$40),IF($BL8=1,SUM('Final Calculation Sheet'!$O$4:$O$40)-SUMIFS('Final Calculation Sheet'!$O$4:$O$40,$AZ$5:$AZ$41,10),SUMIFS('Final Calculation Sheet'!$O$4:$O$40,$AZ$5:$AZ$41,$BH8))),""))</f>
        <v>20,621</v>
      </c>
      <c r="Q9" s="78" t="str">
        <f t="array" ref="Q9">IF($BJ8&gt;0,IF(INDEX('Final Calculation Sheet'!$P$4:$P$40,$BJ8-3)="","",INDEX('Final Calculation Sheet'!$P$4:$P$40,$BJ8-3)),IF(OR($BI8=1,$BL8=1,$BH8&gt;0),IF($BI8=1,SUM('Final Calculation Sheet'!$P$4:$P$40),IF($BL8=1,SUM('Final Calculation Sheet'!$P$4:$P$40)-SUMIFS('Final Calculation Sheet'!$P$4:$P$40,$AZ$5:$AZ$41,10),SUMIFS('Final Calculation Sheet'!$P$4:$P$40,$AZ$5:$AZ$41,$BH8))),""))</f>
        <v>21,411</v>
      </c>
      <c r="R9" s="80" t="str">
        <f t="array" ref="R9">IF($BJ8&gt;0,IF(INDEX('Final Calculation Sheet'!$Q$4:$Q$40,$BJ8-3)="","",INDEX('Final Calculation Sheet'!$Q$4:$Q$40,$BJ8-3)),IF(OR($BI8=1,$BL8=1,$BH8&gt;0),"–",""))</f>
        <v>2%</v>
      </c>
      <c r="S9" s="78" t="str">
        <f t="array" ref="S9">IF($BJ8&gt;0,IF(INDEX('Final Calculation Sheet'!$R$4:$R$40,$BJ8-3)="","",INDEX('Final Calculation Sheet'!$R$4:$R$40,$BJ8-3)),IF(OR($BI8=1,$BL8=1,$BH8&gt;0),IF($BI8=1,SUM('Final Calculation Sheet'!$R$4:$R$40),IF($BL8=1,SUM('Final Calculation Sheet'!$R$4:$R$40)-SUMIFS('Final Calculation Sheet'!$R$4:$R$40,$AZ$5:$AZ$41,10),SUMIFS('Final Calculation Sheet'!$R$4:$R$40,$AZ$5:$AZ$41,$BH8))),""))</f>
        <v>15,802</v>
      </c>
      <c r="T9" s="78" t="str">
        <f t="array" ref="T9">IF($BJ8&gt;0,IF(INDEX('Final Calculation Sheet'!$S$4:$S$40,$BJ8-3)="","",INDEX('Final Calculation Sheet'!$S$4:$S$40,$BJ8-3)),IF(OR($BI8=1,$BL8=1,$BH8&gt;0),IF($BI8=1,SUM('Final Calculation Sheet'!$S$4:$S$40),IF($BL8=1,SUM('Final Calculation Sheet'!$S$4:$S$40)-SUMIFS('Final Calculation Sheet'!$S$4:$S$40,$AZ$5:$AZ$41,10),SUMIFS('Final Calculation Sheet'!$S$4:$S$40,$AZ$5:$AZ$41,$BH8))),""))</f>
        <v>913,738</v>
      </c>
      <c r="U9" s="78" t="str">
        <f t="array" ref="U9">IF($BJ8&gt;0,IF(INDEX('Final Calculation Sheet'!$T$4:$T$40,$BJ8-3)="","",INDEX('Final Calculation Sheet'!$T$4:$T$40,$BJ8-3)),IF(OR($BI8=1,$BL8=1,$BH8&gt;0),IF($BI8=1,SUM('Final Calculation Sheet'!$T$4:$T$40),IF($BL8=1,SUM('Final Calculation Sheet'!$T$4:$T$40)-SUMIFS('Final Calculation Sheet'!$T$4:$T$40,$AZ$5:$AZ$41,10),SUMIFS('Final Calculation Sheet'!$T$4:$T$40,$AZ$5:$AZ$41,$BH8))),""))</f>
        <v>197,522</v>
      </c>
      <c r="V9" s="81" t="str">
        <f t="array" ref="V9">IF($BJ8&gt;0,IF(INDEX('Final Calculation Sheet'!$U$4:$U$40,$BJ8-3)="","",INDEX('Final Calculation Sheet'!$U$4:$U$40,$BJ8-3)),IF(OR($BI8=1,$BL8=1,$BH8&gt;0),IF($BI8=1,SUM('Final Calculation Sheet'!$U$4:$U$40),IF($BL8=1,SUM('Final Calculation Sheet'!$U$4:$U$40)-SUMIFS('Final Calculation Sheet'!$U$4:$U$40,$AZ$5:$AZ$41,10),SUMIFS('Final Calculation Sheet'!$U$4:$U$40,$AZ$5:$AZ$41,$BH8))),""))</f>
        <v>  197,522 </v>
      </c>
      <c r="W9" s="78" t="str">
        <f t="array" ref="W9">IF($BJ8&gt;0,IF(INDEX('Final Calculation Sheet'!$V$4:$V$40,$BJ8-3)="","",INDEX('Final Calculation Sheet'!$V$4:$V$40,$BJ8-3)),IF(OR($BI8=1,$BL8=1,$BH8&gt;0),"–",""))</f>
        <v>24.08.2026</v>
      </c>
      <c r="X9" s="78" t="str">
        <f t="array" ref="X9">IF($BJ8&gt;0,IF(INDEX('Final Calculation Sheet'!$W$4:$W$40,$BJ8-3)="","",INDEX('Final Calculation Sheet'!$W$4:$W$40,$BJ8-3)),IF(OR($BI8=1,$BL8=1,$BH8&gt;0),IF($BI8=1,SUM('Final Calculation Sheet'!$W$4:$W$40),IF($BL8=1,SUM('Final Calculation Sheet'!$W$4:$W$40)-SUMIFS('Final Calculation Sheet'!$W$4:$W$40,$AZ$5:$AZ$41,10),SUMIFS('Final Calculation Sheet'!$W$4:$W$40,$AZ$5:$AZ$41,$BH8))),""))</f>
        <v>716,215</v>
      </c>
      <c r="Y9" s="78" t="str">
        <f t="array" ref="Y9">IF($BJ8&gt;0,IF(INDEX('Final Calculation Sheet'!$X$4:$X$40,$BJ8-3)="","",INDEX('Final Calculation Sheet'!$X$4:$X$40,$BJ8-3)),IF(OR($BI8=1,$BL8=1,$BH8&gt;0),IF($BI8=1,SUM('Final Calculation Sheet'!$X$4:$X$40),IF($BL8=1,SUM('Final Calculation Sheet'!$X$4:$X$40)-SUMIFS('Final Calculation Sheet'!$X$4:$X$40,$AZ$5:$AZ$41,10),SUMIFS('Final Calculation Sheet'!$X$4:$X$40,$AZ$5:$AZ$41,$BH8))),""))</f>
        <v>716,216</v>
      </c>
      <c r="Z9" s="78" t="str">
        <f t="array" ref="Z9">IF($BJ8&gt;0,IF(INDEX('Final Calculation Sheet'!$Y$4:$Y$40,$BJ8-3)="","",INDEX('Final Calculation Sheet'!$Y$4:$Y$40,$BJ8-3)),IF(OR($BI8=1,$BL8=1,$BH8&gt;0),"–",""))</f>
        <v>18.08.2026</v>
      </c>
      <c r="AA9" s="78" t="str">
        <f t="array" ref="AA9">IF($BJ8&gt;0,IF(INDEX('Final Calculation Sheet'!$Z$4:$Z$40,$BJ8-3)="","",INDEX('Final Calculation Sheet'!$Z$4:$Z$40,$BJ8-3)),IF(OR($BI8=1,$BL8=1,$BH8&gt;0),IF($BI8=1,SUM('Final Calculation Sheet'!$Z$4:$Z$40),IF($BL8=1,SUM('Final Calculation Sheet'!$Z$4:$Z$40)-SUMIFS('Final Calculation Sheet'!$Z$4:$Z$40,$AZ$5:$AZ$41,10),SUMIFS('Final Calculation Sheet'!$Z$4:$Z$40,$AZ$5:$AZ$41,$BH8))),""))</f>
        <v>0</v>
      </c>
      <c r="AB9" s="78" t="str">
        <f t="array" ref="AB9">IF($BJ8&gt;0,IF(INDEX('Final Calculation Sheet'!$AA$4:$AA$40,$BJ8-3)="","",INDEX('Final Calculation Sheet'!$AA$4:$AA$40,$BJ8-3)),IF(OR($BI8=1,$BL8=1,$BH8&gt;0),IF($BI8=1,SUM('Final Calculation Sheet'!$AA$4:$AA$40),IF($BL8=1,SUM('Final Calculation Sheet'!$AA$4:$AA$40)-SUMIFS('Final Calculation Sheet'!$AA$4:$AA$40,$AZ$5:$AZ$41,10),SUMIFS('Final Calculation Sheet'!$AA$4:$AA$40,$AZ$5:$AZ$41,$BH8))),""))</f>
        <v/>
      </c>
      <c r="AC9" s="78" t="str">
        <f t="array" ref="AC9">IF($BJ8&gt;0,IF(INDEX('Final Calculation Sheet'!$AB$4:$AB$40,$BJ8-3)="","",INDEX('Final Calculation Sheet'!$AB$4:$AB$40,$BJ8-3)),IF(OR($BI8=1,$BL8=1,$BH8&gt;0),"–",""))</f>
        <v/>
      </c>
      <c r="AD9" s="78" t="str">
        <f t="array" ref="AD9">IF($BJ8&gt;0,IF(INDEX('Final Calculation Sheet'!$AC$4:$AC$40,$BJ8-3)="","",INDEX('Final Calculation Sheet'!$AC$4:$AC$40,$BJ8-3)),IF(OR($BI8=1,$BL8=1,$BH8&gt;0),IF($BI8=1,SUM('Final Calculation Sheet'!$AC$4:$AC$40),IF($BL8=1,SUM('Final Calculation Sheet'!$AC$4:$AC$40)-SUMIFS('Final Calculation Sheet'!$AC$4:$AC$40,$AZ$5:$AZ$41,10),SUMIFS('Final Calculation Sheet'!$AC$4:$AC$40,$AZ$5:$AZ$41,$BH8))),""))</f>
        <v>913,738</v>
      </c>
      <c r="AE9" s="78" t="str">
        <f t="array" ref="AE9">IF($BJ8&gt;0,IF(INDEX('Final Calculation Sheet'!$AD$4:$AD$40,$BJ8-3)="","",INDEX('Final Calculation Sheet'!$AD$4:$AD$40,$BJ8-3)),IF(OR($BI8=1,$BL8=1,$BH8&gt;0),IF($BI8=1,SUM('Final Calculation Sheet'!$AD$4:$AD$40),IF($BL8=1,SUM('Final Calculation Sheet'!$AD$4:$AD$40)-SUMIFS('Final Calculation Sheet'!$AD$4:$AD$40,$AZ$5:$AZ$41,10),SUMIFS('Final Calculation Sheet'!$AD$4:$AD$40,$AZ$5:$AZ$41,$BH8))),""))</f>
        <v>0</v>
      </c>
      <c r="AF9" s="78" t="str">
        <f t="array" ref="AF9">IF($BJ8&gt;0,IF(INDEX('Final Calculation Sheet'!$AE$4:$AE$40,$BJ8-3)="","",INDEX('Final Calculation Sheet'!$AE$4:$AE$40,$BJ8-3)),IF(OR($BI8=1,$BL8=1,$BH8&gt;0),"–",""))</f>
        <v>DR2640100029</v>
      </c>
      <c r="AG9" s="82" t="str">
        <f t="array" ref="AG9">IF($BJ8&gt;0,IF(INDEX('Final Calculation Sheet'!$AF$4:$AF$40,$BJ8-3)="","",INDEX('Final Calculation Sheet'!$AF$4:$AF$40,$BJ8-3)),IF(OR($BI8=1,$BL8=1,$BH8&gt;0),"–",""))</f>
        <v>1800003271</v>
      </c>
      <c r="AH9" s="78" t="str">
        <f t="array" ref="AH9">IF($BJ8&gt;0,IF(INDEX('Final Calculation Sheet'!$AG$4:$AG$40,$BJ8-3)="","",INDEX('Final Calculation Sheet'!$AG$4:$AG$40,$BJ8-3)),IF(OR($BI8=1,$BL8=1,$BH8&gt;0),"–",""))</f>
        <v>24.08.2026</v>
      </c>
      <c r="AI9" s="83" t="str">
        <f t="array" ref="AI9">IF($BJ8&gt;0,IF(INDEX('Final Calculation Sheet'!$AD$4:$AD$40,$BJ8-3)="","",IF(INDEX('Final Calculation Sheet'!$AD$4:$AD$40,$BJ8-3)&lt;=0,"SETTLED","OUTSTANDING")),IF(OR($BI8=1,$BL8=1,$BH8&gt;0),IF(IF($BI8=1,SUM('Final Calculation Sheet'!$AD$4:$AD$40),IF($BL8=1,SUM('Final Calculation Sheet'!$AD$4:$AD$40)-SUMIFS('Final Calculation Sheet'!$AD$4:$AD$40,$AZ$5:$AZ$41,10),SUMIFS('Final Calculation Sheet'!$AD$4:$AD$40,$AZ$5:$AZ$41,$BH8)))&lt;=0,"ALL SETTLED","OUTSTANDING"),""))</f>
        <v>SETTLED</v>
      </c>
      <c r="AK9" t="str">
        <f>IF($F$3="Lot No.",'Final Calculation Sheet'!$F$8,IF($F$3="Buyer",'Final Calculation Sheet'!$G$8,IF($F$3="Lot Name",'Final Calculation Sheet'!$B$8,IF($F$3="Bid Sheet",'Final Calculation Sheet'!$D$8,IF($F$3="Unit",'Final Calculation Sheet'!$E$8,'Final Calculation Sheet'!$F$8&amp;" "&amp;'Final Calculation Sheet'!$G$8&amp;" "&amp;'Final Calculation Sheet'!$B$8)))))</f>
        <v>1923 OMKAR STEELS SCRAP ACSR CONDUCTORS (Conductor Pieces)</v>
      </c>
      <c r="AM9" t="str">
        <f t="shared" si="3"/>
        <v>0</v>
      </c>
      <c r="AO9" t="s">
        <v>5</v>
      </c>
      <c r="AR9" t="str">
        <f>IF($AR$6="",0,$AR$8)</f>
        <v>1</v>
      </c>
      <c r="AS9" t="str">
        <f>IF($AS$6="",0,$AS$8)</f>
        <v>0</v>
      </c>
      <c r="AT9" t="str">
        <f>IF($AT$6="",0,$AT$8)</f>
        <v>0</v>
      </c>
      <c r="AU9" t="str">
        <f>IF($AU$6="",0,$AU$8)</f>
        <v>0</v>
      </c>
      <c r="AV9" t="str">
        <f>IF($AV$6="",0,$AV$8)</f>
        <v>0</v>
      </c>
      <c r="AW9" t="str">
        <f>IF($AW$6="",0,$AW$8)</f>
        <v>0</v>
      </c>
      <c r="AX9" t="str">
        <f>IF($AX$6="",0,$AX$8)</f>
        <v>0</v>
      </c>
      <c r="AY9" t="str">
        <f>IF($AY$6="",0,$AY$8)</f>
        <v>0</v>
      </c>
      <c r="AZ9" t="str">
        <f t="shared" si="4"/>
        <v>10</v>
      </c>
      <c r="BA9" t="str">
        <f t="shared" si="5"/>
        <v>5</v>
      </c>
      <c r="BB9" t="str">
        <f t="shared" si="6"/>
        <v>12</v>
      </c>
      <c r="BC9">
        <v>8.0</v>
      </c>
      <c r="BD9" t="str">
        <f>COUNTIF($AZ$5:$AZ$41,6)</f>
        <v>0</v>
      </c>
      <c r="BE9" t="str">
        <f t="shared" si="7"/>
        <v>7</v>
      </c>
      <c r="BF9" t="str">
        <f t="shared" si="1"/>
        <v>0</v>
      </c>
      <c r="BH9" t="str">
        <f>IFERROR(MATCH(9,$BF$4:$BF$13,0),0)</f>
        <v>0</v>
      </c>
      <c r="BI9" t="str">
        <f>IF(9=$BG$5,1,0)</f>
        <v>0</v>
      </c>
      <c r="BJ9" t="str">
        <f t="array" ref="BJ9">IF(OR($BH9&gt;0,$BI9=1,$BL9=1),0,IFERROR(INDEX($BC$5:$BC$41,MATCH(9,$BB$5:$BB$41,0)),0))</f>
        <v>5</v>
      </c>
      <c r="BK9" t="str">
        <f t="array" ref="BK9">IF($BJ9&gt;0,IF(INDEX($AZ$5:$AZ$41,MATCH(9,$BB$5:$BB$41,0))=10,1,0),IF($BH9=10,1,0))</f>
        <v>1</v>
      </c>
      <c r="BL9" t="str">
        <f>IF(9=$BG$4,1,0)</f>
        <v>0</v>
      </c>
      <c r="BM9" t="str">
        <f t="shared" si="8"/>
        <v>1</v>
      </c>
      <c r="BN9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Sheet'!$F$8)&amp;"",""))))&gt;0))</f>
        <v>1</v>
      </c>
      <c r="BO9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Sheet'!$G$8)&amp;"",""))))&gt;0))</f>
        <v>1</v>
      </c>
      <c r="BP9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Sheet'!$B$8)&amp;"",""))))&gt;0))</f>
        <v>1</v>
      </c>
      <c r="BQ9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Sheet'!$D$8)&amp;"",""))))&gt;0))</f>
        <v>1</v>
      </c>
      <c r="BR9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Sheet'!$A$8)&amp;"",""))))&gt;0))</f>
        <v>1</v>
      </c>
      <c r="BS9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Sheet'!$E$8)&amp;"",""))))&gt;0))</f>
        <v>1</v>
      </c>
      <c r="BT9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Sheet'!$C$8)&amp;"",""))))&gt;0))</f>
        <v>1</v>
      </c>
      <c r="BU9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Sheet'!$H$8)&amp;"",""))))&gt;0))</f>
        <v>1</v>
      </c>
      <c r="BV9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Sheet'!$I$8)&amp;"",""))))&gt;0))</f>
        <v>1</v>
      </c>
      <c r="BW9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Sheet'!$J$8)&amp;"",""))))&gt;0))</f>
        <v>1</v>
      </c>
      <c r="BX9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Sheet'!$K$8)&amp;"",""))))&gt;0))</f>
        <v>1</v>
      </c>
      <c r="BY9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Sheet'!$L$8)&amp;"",""))))&gt;0))</f>
        <v>1</v>
      </c>
      <c r="BZ9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Sheet'!$M$8)&amp;"",""))))&gt;0))</f>
        <v>1</v>
      </c>
      <c r="CA9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Sheet'!$N$8)&amp;"",""))))&gt;0))</f>
        <v>1</v>
      </c>
      <c r="CB9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Sheet'!$O$8)&amp;"",""))))&gt;0))</f>
        <v>1</v>
      </c>
      <c r="CC9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Sheet'!$P$8)&amp;"",""))))&gt;0))</f>
        <v>1</v>
      </c>
      <c r="CD9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Sheet'!$Q$8)&amp;"",""))))&gt;0))</f>
        <v>1</v>
      </c>
      <c r="CE9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Sheet'!$R$8)&amp;"",""))))&gt;0))</f>
        <v>1</v>
      </c>
      <c r="CF9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Sheet'!$S$8)&amp;"",""))))&gt;0))</f>
        <v>1</v>
      </c>
      <c r="CG9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Sheet'!$T$8)&amp;"",""))))&gt;0))</f>
        <v>1</v>
      </c>
      <c r="CH9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Sheet'!$U$8)&amp;"",""))))&gt;0))</f>
        <v>1</v>
      </c>
      <c r="CI9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Sheet'!$V$8)&amp;"",""))))&gt;0))</f>
        <v>1</v>
      </c>
      <c r="CJ9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Sheet'!$W$8)&amp;"",""))))&gt;0))</f>
        <v>1</v>
      </c>
      <c r="CK9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Sheet'!$X$8)&amp;"",""))))&gt;0))</f>
        <v>1</v>
      </c>
      <c r="CL9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Sheet'!$Y$8)&amp;"",""))))&gt;0))</f>
        <v>1</v>
      </c>
      <c r="CM9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Sheet'!$Z$8)&amp;"",""))))&gt;0))</f>
        <v>1</v>
      </c>
      <c r="CN9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Sheet'!$AA$8)&amp;"",""))))&gt;0))</f>
        <v>1</v>
      </c>
      <c r="CO9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Sheet'!$AB$8)&amp;"",""))))&gt;0))</f>
        <v>1</v>
      </c>
      <c r="CP9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Sheet'!$AC$8)&amp;"",""))))&gt;0))</f>
        <v>1</v>
      </c>
      <c r="CQ9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Sheet'!$AD$8)&amp;"",""))))&gt;0))</f>
        <v>1</v>
      </c>
      <c r="CR9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Sheet'!$AE$8)&amp;"",""))))&gt;0))</f>
        <v>1</v>
      </c>
      <c r="CS9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Sheet'!$AF$8)&amp;"",""))))&gt;0))</f>
        <v>1</v>
      </c>
      <c r="CT9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Sheet'!$AG$8)&amp;"",""))))&gt;0))</f>
        <v>1</v>
      </c>
      <c r="CU9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Sheet'!$AD$8&lt;=0,"SETTLED","OUTSTANDING"))&amp;"",""))))&gt;0))</f>
        <v>1</v>
      </c>
    </row>
    <row r="10" ht="15.0" customHeight="1">
      <c r="A10" s="75" t="str">
        <f t="array" ref="A10">IF($BJ9&gt;0,INDEX($BA$5:$BA$41,MATCH(9,$BB$5:$BB$41,0)),IF(OR($BI9=1,$BL9=1,$BH9&gt;0),"∑",""))</f>
        <v>2</v>
      </c>
      <c r="B10" s="76" t="str">
        <f t="array" ref="B10">IF($BJ9&gt;0,IF(INDEX('Final Calculation Sheet'!$F$4:$F$40,$BJ9-3)="","",INDEX('Final Calculation Sheet'!$F$4:$F$40,$BJ9-3)),"")</f>
        <v>1874</v>
      </c>
      <c r="C10" s="76" t="str">
        <f t="array" ref="C10">IF($BJ9&gt;0,IF(INDEX('Final Calculation Sheet'!$G$4:$G$40,$BJ9-3)="","",INDEX('Final Calculation Sheet'!$G$4:$G$40,$BJ9-3)),IF(OR($BI9=1,$BL9=1,$BH9&gt;0),IF($BI9=1,37,IF($BL9=1,37-INDEX($BD$4:$BD$13,10),INDEX($BD$4:$BD$13,$BH9)))&amp;" lot(s)",""))</f>
        <v>NATIONAL ENTERPRISES</v>
      </c>
      <c r="D10" s="77" t="str">
        <f t="array" ref="D10">IF($BJ9&gt;0,IF(INDEX('Final Calculation Sheet'!$B$4:$B$40,$BJ9-3)="","",INDEX('Final Calculation Sheet'!$B$4:$B$40,$BJ9-3)),IF(OR($BI9=1,$BL9=1,$BH9&gt;0),IF($BI9=1,"GRAND TOTAL  —  matching + remaining",IF($BL9=1,"TOTAL MATCHED  —  every group together",IF($BH9=10,"REMAINING  —  did not match the search",IF($BH9=9,IF(COUNTIF($A$4:$AI$4,"&lt;&gt;")&gt;0,"FILTERED LOTS  —  column fields","ALL LOTS  —  nothing typed in the box"),"GROUP "&amp;$BH9&amp;" TOTAL  —  lots matching  "&amp;INDEX($AR$6:$AY$6,$BH9))))),""))</f>
        <v>Scrap of Empty oil drum</v>
      </c>
      <c r="E10" s="77" t="str">
        <f t="array" ref="E10">IF($BJ9&gt;0,IF(INDEX('Final Calculation Sheet'!$D$4:$D$40,$BJ9-3)="","",INDEX('Final Calculation Sheet'!$D$4:$D$40,$BJ9-3)),IF(OR($BI9=1,$BL9=1,$BH9&gt;0),"–",""))</f>
        <v>21977</v>
      </c>
      <c r="F10" s="77" t="str">
        <f t="array" ref="F10">IF($BJ9&gt;0,IF(INDEX('Final Calculation Sheet'!$A$4:$A$40,$BJ9-3)="","",INDEX('Final Calculation Sheet'!$A$4:$A$40,$BJ9-3)),IF(OR($BI9=1,$BL9=1,$BH9&gt;0),IF($BI9=1,SUM('Final Calculation Sheet'!$A$4:$A$40),IF($BL9=1,SUM('Final Calculation Sheet'!$A$4:$A$40)-SUMIFS('Final Calculation Sheet'!$A$4:$A$40,$AZ$5:$AZ$41,10),SUMIFS('Final Calculation Sheet'!$A$4:$A$40,$AZ$5:$AZ$41,$BH9))),""))</f>
        <v>270</v>
      </c>
      <c r="G10" s="77" t="str">
        <f t="array" ref="G10">IF($BJ9&gt;0,IF(INDEX('Final Calculation Sheet'!$E$4:$E$40,$BJ9-3)="","",INDEX('Final Calculation Sheet'!$E$4:$E$40,$BJ9-3)),IF(OR($BI9=1,$BL9=1,$BH9&gt;0),"–",""))</f>
        <v>NO</v>
      </c>
      <c r="H10" s="78" t="str">
        <f t="array" ref="H10">IF($BJ9&gt;0,IF(INDEX('Final Calculation Sheet'!$C$4:$C$40,$BJ9-3)="","",INDEX('Final Calculation Sheet'!$C$4:$C$40,$BJ9-3)),IF(OR($BI9=1,$BL9=1,$BH9&gt;0),"–",""))</f>
        <v>580</v>
      </c>
      <c r="I10" s="78" t="str">
        <f t="array" ref="I10">IF($BJ9&gt;0,IF(INDEX('Final Calculation Sheet'!$H$4:$H$40,$BJ9-3)="","",INDEX('Final Calculation Sheet'!$H$4:$H$40,$BJ9-3)),IF(OR($BI9=1,$BL9=1,$BH9&gt;0),IF($BI9=1,SUM('Final Calculation Sheet'!$H$4:$H$40),IF($BL9=1,SUM('Final Calculation Sheet'!$H$4:$H$40)-SUMIFS('Final Calculation Sheet'!$H$4:$H$40,$AZ$5:$AZ$41,10),SUMIFS('Final Calculation Sheet'!$H$4:$H$40,$AZ$5:$AZ$41,$BH9))),""))</f>
        <v>156,600</v>
      </c>
      <c r="J10" s="78" t="str">
        <f t="array" ref="J10">IF($BJ9&gt;0,IF(INDEX('Final Calculation Sheet'!$I$4:$I$40,$BJ9-3)="","",INDEX('Final Calculation Sheet'!$I$4:$I$40,$BJ9-3)),IF(OR($BI9=1,$BL9=1,$BH9&gt;0),IF($BI9=1,SUM('Final Calculation Sheet'!$I$4:$I$40),IF($BL9=1,SUM('Final Calculation Sheet'!$I$4:$I$40)-SUMIFS('Final Calculation Sheet'!$I$4:$I$40,$AZ$5:$AZ$41,10),SUMIFS('Final Calculation Sheet'!$I$4:$I$40,$AZ$5:$AZ$41,$BH9))),""))</f>
        <v>28,188</v>
      </c>
      <c r="K10" s="78" t="str">
        <f t="array" ref="K10">IF($BJ9&gt;0,IF(INDEX('Final Calculation Sheet'!$J$4:$J$40,$BJ9-3)="","",INDEX('Final Calculation Sheet'!$J$4:$J$40,$BJ9-3)),IF(OR($BI9=1,$BL9=1,$BH9&gt;0),IF($BI9=1,SUM('Final Calculation Sheet'!$J$4:$J$40),IF($BL9=1,SUM('Final Calculation Sheet'!$J$4:$J$40)-SUMIFS('Final Calculation Sheet'!$J$4:$J$40,$AZ$5:$AZ$41,10),SUMIFS('Final Calculation Sheet'!$J$4:$J$40,$AZ$5:$AZ$41,$BH9))),""))</f>
        <v>184,788</v>
      </c>
      <c r="L10" s="78" t="str">
        <f t="array" ref="L10">IF($BJ9&gt;0,IF(INDEX('Final Calculation Sheet'!$K$4:$K$40,$BJ9-3)="","",INDEX('Final Calculation Sheet'!$K$4:$K$40,$BJ9-3)),IF(OR($BI9=1,$BL9=1,$BH9&gt;0),IF($BI9=1,SUM('Final Calculation Sheet'!$K$4:$K$40),IF($BL9=1,SUM('Final Calculation Sheet'!$K$4:$K$40)-SUMIFS('Final Calculation Sheet'!$K$4:$K$40,$AZ$5:$AZ$41,10),SUMIFS('Final Calculation Sheet'!$K$4:$K$40,$AZ$5:$AZ$41,$BH9))),""))</f>
        <v>3,696</v>
      </c>
      <c r="M10" s="78" t="str">
        <f t="array" ref="M10">IF($BJ9&gt;0,IF(INDEX('Final Calculation Sheet'!$L$4:$L$40,$BJ9-3)="","",INDEX('Final Calculation Sheet'!$L$4:$L$40,$BJ9-3)),IF(OR($BI9=1,$BL9=1,$BH9&gt;0),IF($BI9=1,SUM('Final Calculation Sheet'!$L$4:$L$40),IF($BL9=1,SUM('Final Calculation Sheet'!$L$4:$L$40)-SUMIFS('Final Calculation Sheet'!$L$4:$L$40,$AZ$5:$AZ$41,10),SUMIFS('Final Calculation Sheet'!$L$4:$L$40,$AZ$5:$AZ$41,$BH9))),""))</f>
        <v>157</v>
      </c>
      <c r="N10" s="78" t="str">
        <f t="array" ref="N10">IF($BJ9&gt;0,IF(INDEX('Final Calculation Sheet'!$M$4:$M$40,$BJ9-3)="","",INDEX('Final Calculation Sheet'!$M$4:$M$40,$BJ9-3)),IF(OR($BI9=1,$BL9=1,$BH9&gt;0),IF($BI9=1,SUM('Final Calculation Sheet'!$M$4:$M$40),IF($BL9=1,SUM('Final Calculation Sheet'!$M$4:$M$40)-SUMIFS('Final Calculation Sheet'!$M$4:$M$40,$AZ$5:$AZ$41,10),SUMIFS('Final Calculation Sheet'!$M$4:$M$40,$AZ$5:$AZ$41,$BH9))),""))</f>
        <v>4,158</v>
      </c>
      <c r="O10" s="79" t="str">
        <f t="array" ref="O10">IF($BJ9&gt;0,IF(INDEX('Final Calculation Sheet'!$N$4:$N$40,$BJ9-3)="","",INDEX('Final Calculation Sheet'!$N$4:$N$40,$BJ9-3)),IF(OR($BI9=1,$BL9=1,$BH9&gt;0),IF($BI9=1,SUM('Final Calculation Sheet'!$N$4:$N$40),IF($BL9=1,SUM('Final Calculation Sheet'!$N$4:$N$40)-SUMIFS('Final Calculation Sheet'!$N$4:$N$40,$AZ$5:$AZ$41,10),SUMIFS('Final Calculation Sheet'!$N$4:$N$40,$AZ$5:$AZ$41,$BH9))),""))</f>
        <v>70</v>
      </c>
      <c r="P10" s="78" t="str">
        <f t="array" ref="P10">IF($BJ9&gt;0,IF(INDEX('Final Calculation Sheet'!$O$4:$O$40,$BJ9-3)="","",INDEX('Final Calculation Sheet'!$O$4:$O$40,$BJ9-3)),IF(OR($BI9=1,$BL9=1,$BH9&gt;0),IF($BI9=1,SUM('Final Calculation Sheet'!$O$4:$O$40),IF($BL9=1,SUM('Final Calculation Sheet'!$O$4:$O$40)-SUMIFS('Final Calculation Sheet'!$O$4:$O$40,$AZ$5:$AZ$41,10),SUMIFS('Final Calculation Sheet'!$O$4:$O$40,$AZ$5:$AZ$41,$BH9))),""))</f>
        <v>4,087</v>
      </c>
      <c r="Q10" s="78" t="str">
        <f t="array" ref="Q10">IF($BJ9&gt;0,IF(INDEX('Final Calculation Sheet'!$P$4:$P$40,$BJ9-3)="","",INDEX('Final Calculation Sheet'!$P$4:$P$40,$BJ9-3)),IF(OR($BI9=1,$BL9=1,$BH9&gt;0),IF($BI9=1,SUM('Final Calculation Sheet'!$P$4:$P$40),IF($BL9=1,SUM('Final Calculation Sheet'!$P$4:$P$40)-SUMIFS('Final Calculation Sheet'!$P$4:$P$40,$AZ$5:$AZ$41,10),SUMIFS('Final Calculation Sheet'!$P$4:$P$40,$AZ$5:$AZ$41,$BH9))),""))</f>
        <v>4,244</v>
      </c>
      <c r="R10" s="80" t="str">
        <f t="array" ref="R10">IF($BJ9&gt;0,IF(INDEX('Final Calculation Sheet'!$Q$4:$Q$40,$BJ9-3)="","",INDEX('Final Calculation Sheet'!$Q$4:$Q$40,$BJ9-3)),IF(OR($BI9=1,$BL9=1,$BH9&gt;0),"–",""))</f>
        <v>0%</v>
      </c>
      <c r="S10" s="78" t="str">
        <f t="array" ref="S10">IF($BJ9&gt;0,IF(INDEX('Final Calculation Sheet'!$R$4:$R$40,$BJ9-3)="","",INDEX('Final Calculation Sheet'!$R$4:$R$40,$BJ9-3)),IF(OR($BI9=1,$BL9=1,$BH9&gt;0),IF($BI9=1,SUM('Final Calculation Sheet'!$R$4:$R$40),IF($BL9=1,SUM('Final Calculation Sheet'!$R$4:$R$40)-SUMIFS('Final Calculation Sheet'!$R$4:$R$40,$AZ$5:$AZ$41,10),SUMIFS('Final Calculation Sheet'!$R$4:$R$40,$AZ$5:$AZ$41,$BH9))),""))</f>
        <v>0</v>
      </c>
      <c r="T10" s="78" t="str">
        <f t="array" ref="T10">IF($BJ9&gt;0,IF(INDEX('Final Calculation Sheet'!$S$4:$S$40,$BJ9-3)="","",INDEX('Final Calculation Sheet'!$S$4:$S$40,$BJ9-3)),IF(OR($BI9=1,$BL9=1,$BH9&gt;0),IF($BI9=1,SUM('Final Calculation Sheet'!$S$4:$S$40),IF($BL9=1,SUM('Final Calculation Sheet'!$S$4:$S$40)-SUMIFS('Final Calculation Sheet'!$S$4:$S$40,$AZ$5:$AZ$41,10),SUMIFS('Final Calculation Sheet'!$S$4:$S$40,$AZ$5:$AZ$41,$BH9))),""))</f>
        <v>184,240</v>
      </c>
      <c r="U10" s="78" t="str">
        <f t="array" ref="U10">IF($BJ9&gt;0,IF(INDEX('Final Calculation Sheet'!$T$4:$T$40,$BJ9-3)="","",INDEX('Final Calculation Sheet'!$T$4:$T$40,$BJ9-3)),IF(OR($BI9=1,$BL9=1,$BH9&gt;0),IF($BI9=1,SUM('Final Calculation Sheet'!$T$4:$T$40),IF($BL9=1,SUM('Final Calculation Sheet'!$T$4:$T$40)-SUMIFS('Final Calculation Sheet'!$T$4:$T$40,$AZ$5:$AZ$41,10),SUMIFS('Final Calculation Sheet'!$T$4:$T$40,$AZ$5:$AZ$41,$BH9))),""))</f>
        <v>39,150</v>
      </c>
      <c r="V10" s="81" t="str">
        <f t="array" ref="V10">IF($BJ9&gt;0,IF(INDEX('Final Calculation Sheet'!$U$4:$U$40,$BJ9-3)="","",INDEX('Final Calculation Sheet'!$U$4:$U$40,$BJ9-3)),IF(OR($BI9=1,$BL9=1,$BH9&gt;0),IF($BI9=1,SUM('Final Calculation Sheet'!$U$4:$U$40),IF($BL9=1,SUM('Final Calculation Sheet'!$U$4:$U$40)-SUMIFS('Final Calculation Sheet'!$U$4:$U$40,$AZ$5:$AZ$41,10),SUMIFS('Final Calculation Sheet'!$U$4:$U$40,$AZ$5:$AZ$41,$BH9))),""))</f>
        <v>  39,150 </v>
      </c>
      <c r="W10" s="78" t="str">
        <f t="array" ref="W10">IF($BJ9&gt;0,IF(INDEX('Final Calculation Sheet'!$V$4:$V$40,$BJ9-3)="","",INDEX('Final Calculation Sheet'!$V$4:$V$40,$BJ9-3)),IF(OR($BI9=1,$BL9=1,$BH9&gt;0),"–",""))</f>
        <v>13.08.2026</v>
      </c>
      <c r="X10" s="78" t="str">
        <f t="array" ref="X10">IF($BJ9&gt;0,IF(INDEX('Final Calculation Sheet'!$W$4:$W$40,$BJ9-3)="","",INDEX('Final Calculation Sheet'!$W$4:$W$40,$BJ9-3)),IF(OR($BI9=1,$BL9=1,$BH9&gt;0),IF($BI9=1,SUM('Final Calculation Sheet'!$W$4:$W$40),IF($BL9=1,SUM('Final Calculation Sheet'!$W$4:$W$40)-SUMIFS('Final Calculation Sheet'!$W$4:$W$40,$AZ$5:$AZ$41,10),SUMIFS('Final Calculation Sheet'!$W$4:$W$40,$AZ$5:$AZ$41,$BH9))),""))</f>
        <v>145,090</v>
      </c>
      <c r="Y10" s="78" t="str">
        <f t="array" ref="Y10">IF($BJ9&gt;0,IF(INDEX('Final Calculation Sheet'!$X$4:$X$40,$BJ9-3)="","",INDEX('Final Calculation Sheet'!$X$4:$X$40,$BJ9-3)),IF(OR($BI9=1,$BL9=1,$BH9&gt;0),IF($BI9=1,SUM('Final Calculation Sheet'!$X$4:$X$40),IF($BL9=1,SUM('Final Calculation Sheet'!$X$4:$X$40)-SUMIFS('Final Calculation Sheet'!$X$4:$X$40,$AZ$5:$AZ$41,10),SUMIFS('Final Calculation Sheet'!$X$4:$X$40,$AZ$5:$AZ$41,$BH9))),""))</f>
        <v>145,090</v>
      </c>
      <c r="Z10" s="78" t="str">
        <f t="array" ref="Z10">IF($BJ9&gt;0,IF(INDEX('Final Calculation Sheet'!$Y$4:$Y$40,$BJ9-3)="","",INDEX('Final Calculation Sheet'!$Y$4:$Y$40,$BJ9-3)),IF(OR($BI9=1,$BL9=1,$BH9&gt;0),"–",""))</f>
        <v>24.08.2026</v>
      </c>
      <c r="AA10" s="78" t="str">
        <f t="array" ref="AA10">IF($BJ9&gt;0,IF(INDEX('Final Calculation Sheet'!$Z$4:$Z$40,$BJ9-3)="","",INDEX('Final Calculation Sheet'!$Z$4:$Z$40,$BJ9-3)),IF(OR($BI9=1,$BL9=1,$BH9&gt;0),IF($BI9=1,SUM('Final Calculation Sheet'!$Z$4:$Z$40),IF($BL9=1,SUM('Final Calculation Sheet'!$Z$4:$Z$40)-SUMIFS('Final Calculation Sheet'!$Z$4:$Z$40,$AZ$5:$AZ$41,10),SUMIFS('Final Calculation Sheet'!$Z$4:$Z$40,$AZ$5:$AZ$41,$BH9))),""))</f>
        <v>0</v>
      </c>
      <c r="AB10" s="78" t="str">
        <f t="array" ref="AB10">IF($BJ9&gt;0,IF(INDEX('Final Calculation Sheet'!$AA$4:$AA$40,$BJ9-3)="","",INDEX('Final Calculation Sheet'!$AA$4:$AA$40,$BJ9-3)),IF(OR($BI9=1,$BL9=1,$BH9&gt;0),IF($BI9=1,SUM('Final Calculation Sheet'!$AA$4:$AA$40),IF($BL9=1,SUM('Final Calculation Sheet'!$AA$4:$AA$40)-SUMIFS('Final Calculation Sheet'!$AA$4:$AA$40,$AZ$5:$AZ$41,10),SUMIFS('Final Calculation Sheet'!$AA$4:$AA$40,$AZ$5:$AZ$41,$BH9))),""))</f>
        <v/>
      </c>
      <c r="AC10" s="78" t="str">
        <f t="array" ref="AC10">IF($BJ9&gt;0,IF(INDEX('Final Calculation Sheet'!$AB$4:$AB$40,$BJ9-3)="","",INDEX('Final Calculation Sheet'!$AB$4:$AB$40,$BJ9-3)),IF(OR($BI9=1,$BL9=1,$BH9&gt;0),"–",""))</f>
        <v/>
      </c>
      <c r="AD10" s="78" t="str">
        <f t="array" ref="AD10">IF($BJ9&gt;0,IF(INDEX('Final Calculation Sheet'!$AC$4:$AC$40,$BJ9-3)="","",INDEX('Final Calculation Sheet'!$AC$4:$AC$40,$BJ9-3)),IF(OR($BI9=1,$BL9=1,$BH9&gt;0),IF($BI9=1,SUM('Final Calculation Sheet'!$AC$4:$AC$40),IF($BL9=1,SUM('Final Calculation Sheet'!$AC$4:$AC$40)-SUMIFS('Final Calculation Sheet'!$AC$4:$AC$40,$AZ$5:$AZ$41,10),SUMIFS('Final Calculation Sheet'!$AC$4:$AC$40,$AZ$5:$AZ$41,$BH9))),""))</f>
        <v>184,240</v>
      </c>
      <c r="AE10" s="78" t="str">
        <f t="array" ref="AE10">IF($BJ9&gt;0,IF(INDEX('Final Calculation Sheet'!$AD$4:$AD$40,$BJ9-3)="","",INDEX('Final Calculation Sheet'!$AD$4:$AD$40,$BJ9-3)),IF(OR($BI9=1,$BL9=1,$BH9&gt;0),IF($BI9=1,SUM('Final Calculation Sheet'!$AD$4:$AD$40),IF($BL9=1,SUM('Final Calculation Sheet'!$AD$4:$AD$40)-SUMIFS('Final Calculation Sheet'!$AD$4:$AD$40,$AZ$5:$AZ$41,10),SUMIFS('Final Calculation Sheet'!$AD$4:$AD$40,$AZ$5:$AZ$41,$BH9))),""))</f>
        <v>0</v>
      </c>
      <c r="AF10" s="78" t="str">
        <f t="array" ref="AF10">IF($BJ9&gt;0,IF(INDEX('Final Calculation Sheet'!$AE$4:$AE$40,$BJ9-3)="","",INDEX('Final Calculation Sheet'!$AE$4:$AE$40,$BJ9-3)),IF(OR($BI9=1,$BL9=1,$BH9&gt;0),"–",""))</f>
        <v>DR2640100030</v>
      </c>
      <c r="AG10" s="82" t="str">
        <f t="array" ref="AG10">IF($BJ9&gt;0,IF(INDEX('Final Calculation Sheet'!$AF$4:$AF$40,$BJ9-3)="","",INDEX('Final Calculation Sheet'!$AF$4:$AF$40,$BJ9-3)),IF(OR($BI9=1,$BL9=1,$BH9&gt;0),"–",""))</f>
        <v>1800003302</v>
      </c>
      <c r="AH10" s="78" t="str">
        <f t="array" ref="AH10">IF($BJ9&gt;0,IF(INDEX('Final Calculation Sheet'!$AG$4:$AG$40,$BJ9-3)="","",INDEX('Final Calculation Sheet'!$AG$4:$AG$40,$BJ9-3)),IF(OR($BI9=1,$BL9=1,$BH9&gt;0),"–",""))</f>
        <v>27.08.2026</v>
      </c>
      <c r="AI10" s="83" t="str">
        <f t="array" ref="AI10">IF($BJ9&gt;0,IF(INDEX('Final Calculation Sheet'!$AD$4:$AD$40,$BJ9-3)="","",IF(INDEX('Final Calculation Sheet'!$AD$4:$AD$40,$BJ9-3)&lt;=0,"SETTLED","OUTSTANDING")),IF(OR($BI9=1,$BL9=1,$BH9&gt;0),IF(IF($BI9=1,SUM('Final Calculation Sheet'!$AD$4:$AD$40),IF($BL9=1,SUM('Final Calculation Sheet'!$AD$4:$AD$40)-SUMIFS('Final Calculation Sheet'!$AD$4:$AD$40,$AZ$5:$AZ$41,10),SUMIFS('Final Calculation Sheet'!$AD$4:$AD$40,$AZ$5:$AZ$41,$BH9)))&lt;=0,"ALL SETTLED","OUTSTANDING"),""))</f>
        <v>SETTLED</v>
      </c>
      <c r="AK10" t="str">
        <f>IF($F$3="Lot No.",'Final Calculation Sheet'!$F$9,IF($F$3="Buyer",'Final Calculation Sheet'!$G$9,IF($F$3="Lot Name",'Final Calculation Sheet'!$B$9,IF($F$3="Bid Sheet",'Final Calculation Sheet'!$D$9,IF($F$3="Unit",'Final Calculation Sheet'!$E$9,'Final Calculation Sheet'!$F$9&amp;" "&amp;'Final Calculation Sheet'!$G$9&amp;" "&amp;'Final Calculation Sheet'!$B$9)))))</f>
        <v>1976 SHAR JAHAN TRADERS Scrap Power Transformer</v>
      </c>
      <c r="AM10" t="str">
        <f t="shared" si="3"/>
        <v>0</v>
      </c>
      <c r="AZ10" t="str">
        <f t="shared" si="4"/>
        <v>10</v>
      </c>
      <c r="BA10" t="str">
        <f t="shared" si="5"/>
        <v>6</v>
      </c>
      <c r="BB10" t="str">
        <f t="shared" si="6"/>
        <v>13</v>
      </c>
      <c r="BC10">
        <v>9.0</v>
      </c>
      <c r="BD10" t="str">
        <f>COUNTIF($AZ$5:$AZ$41,7)</f>
        <v>0</v>
      </c>
      <c r="BE10" t="str">
        <f t="shared" si="7"/>
        <v>7</v>
      </c>
      <c r="BF10" t="str">
        <f t="shared" si="1"/>
        <v>0</v>
      </c>
      <c r="BH10" t="str">
        <f>IFERROR(MATCH(10,$BF$4:$BF$13,0),0)</f>
        <v>0</v>
      </c>
      <c r="BI10" t="str">
        <f>IF(10=$BG$5,1,0)</f>
        <v>0</v>
      </c>
      <c r="BJ10" t="str">
        <f t="array" ref="BJ10">IF(OR($BH10&gt;0,$BI10=1,$BL10=1),0,IFERROR(INDEX($BC$5:$BC$41,MATCH(10,$BB$5:$BB$41,0)),0))</f>
        <v>6</v>
      </c>
      <c r="BK10" t="str">
        <f t="array" ref="BK10">IF($BJ10&gt;0,IF(INDEX($AZ$5:$AZ$41,MATCH(10,$BB$5:$BB$41,0))=10,1,0),IF($BH10=10,1,0))</f>
        <v>1</v>
      </c>
      <c r="BL10" t="str">
        <f>IF(10=$BG$4,1,0)</f>
        <v>0</v>
      </c>
      <c r="BM10" t="str">
        <f t="shared" si="8"/>
        <v>1</v>
      </c>
      <c r="BN10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Sheet'!$F$9)&amp;"",""))))&gt;0))</f>
        <v>1</v>
      </c>
      <c r="BO10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Sheet'!$G$9)&amp;"",""))))&gt;0))</f>
        <v>1</v>
      </c>
      <c r="BP10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Sheet'!$B$9)&amp;"",""))))&gt;0))</f>
        <v>1</v>
      </c>
      <c r="BQ10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Sheet'!$D$9)&amp;"",""))))&gt;0))</f>
        <v>1</v>
      </c>
      <c r="BR10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Sheet'!$A$9)&amp;"",""))))&gt;0))</f>
        <v>1</v>
      </c>
      <c r="BS10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Sheet'!$E$9)&amp;"",""))))&gt;0))</f>
        <v>1</v>
      </c>
      <c r="BT10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Sheet'!$C$9)&amp;"",""))))&gt;0))</f>
        <v>1</v>
      </c>
      <c r="BU10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Sheet'!$H$9)&amp;"",""))))&gt;0))</f>
        <v>1</v>
      </c>
      <c r="BV10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Sheet'!$I$9)&amp;"",""))))&gt;0))</f>
        <v>1</v>
      </c>
      <c r="BW10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Sheet'!$J$9)&amp;"",""))))&gt;0))</f>
        <v>1</v>
      </c>
      <c r="BX10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Sheet'!$K$9)&amp;"",""))))&gt;0))</f>
        <v>1</v>
      </c>
      <c r="BY10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Sheet'!$L$9)&amp;"",""))))&gt;0))</f>
        <v>1</v>
      </c>
      <c r="BZ10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Sheet'!$M$9)&amp;"",""))))&gt;0))</f>
        <v>1</v>
      </c>
      <c r="CA10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Sheet'!$N$9)&amp;"",""))))&gt;0))</f>
        <v>1</v>
      </c>
      <c r="CB10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Sheet'!$O$9)&amp;"",""))))&gt;0))</f>
        <v>1</v>
      </c>
      <c r="CC10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Sheet'!$P$9)&amp;"",""))))&gt;0))</f>
        <v>1</v>
      </c>
      <c r="CD10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Sheet'!$Q$9)&amp;"",""))))&gt;0))</f>
        <v>1</v>
      </c>
      <c r="CE10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Sheet'!$R$9)&amp;"",""))))&gt;0))</f>
        <v>1</v>
      </c>
      <c r="CF10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Sheet'!$S$9)&amp;"",""))))&gt;0))</f>
        <v>1</v>
      </c>
      <c r="CG10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Sheet'!$T$9)&amp;"",""))))&gt;0))</f>
        <v>1</v>
      </c>
      <c r="CH10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Sheet'!$U$9)&amp;"",""))))&gt;0))</f>
        <v>1</v>
      </c>
      <c r="CI10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Sheet'!$V$9)&amp;"",""))))&gt;0))</f>
        <v>1</v>
      </c>
      <c r="CJ10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Sheet'!$W$9)&amp;"",""))))&gt;0))</f>
        <v>1</v>
      </c>
      <c r="CK10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Sheet'!$X$9)&amp;"",""))))&gt;0))</f>
        <v>1</v>
      </c>
      <c r="CL10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Sheet'!$Y$9)&amp;"",""))))&gt;0))</f>
        <v>1</v>
      </c>
      <c r="CM10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Sheet'!$Z$9)&amp;"",""))))&gt;0))</f>
        <v>1</v>
      </c>
      <c r="CN10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Sheet'!$AA$9)&amp;"",""))))&gt;0))</f>
        <v>1</v>
      </c>
      <c r="CO10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Sheet'!$AB$9)&amp;"",""))))&gt;0))</f>
        <v>1</v>
      </c>
      <c r="CP10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Sheet'!$AC$9)&amp;"",""))))&gt;0))</f>
        <v>1</v>
      </c>
      <c r="CQ10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Sheet'!$AD$9)&amp;"",""))))&gt;0))</f>
        <v>1</v>
      </c>
      <c r="CR10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Sheet'!$AE$9)&amp;"",""))))&gt;0))</f>
        <v>1</v>
      </c>
      <c r="CS10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Sheet'!$AF$9)&amp;"",""))))&gt;0))</f>
        <v>1</v>
      </c>
      <c r="CT10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Sheet'!$AG$9)&amp;"",""))))&gt;0))</f>
        <v>1</v>
      </c>
      <c r="CU10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Sheet'!$AD$9&lt;=0,"SETTLED","OUTSTANDING"))&amp;"",""))))&gt;0))</f>
        <v>1</v>
      </c>
    </row>
    <row r="11" ht="15.0" customHeight="1">
      <c r="A11" s="75" t="str">
        <f t="array" ref="A11">IF($BJ10&gt;0,INDEX($BA$5:$BA$41,MATCH(10,$BB$5:$BB$41,0)),IF(OR($BI10=1,$BL10=1,$BH10&gt;0),"∑",""))</f>
        <v>3</v>
      </c>
      <c r="B11" s="76" t="str">
        <f t="array" ref="B11">IF($BJ10&gt;0,IF(INDEX('Final Calculation Sheet'!$F$4:$F$40,$BJ10-3)="","",INDEX('Final Calculation Sheet'!$F$4:$F$40,$BJ10-3)),"")</f>
        <v>1875</v>
      </c>
      <c r="C11" s="76" t="str">
        <f t="array" ref="C11">IF($BJ10&gt;0,IF(INDEX('Final Calculation Sheet'!$G$4:$G$40,$BJ10-3)="","",INDEX('Final Calculation Sheet'!$G$4:$G$40,$BJ10-3)),IF(OR($BI10=1,$BL10=1,$BH10&gt;0),IF($BI10=1,37,IF($BL10=1,37-INDEX($BD$4:$BD$13,10),INDEX($BD$4:$BD$13,$BH10)))&amp;" lot(s)",""))</f>
        <v>F R KHANS ENTERPRISES</v>
      </c>
      <c r="D11" s="77" t="str">
        <f t="array" ref="D11">IF($BJ10&gt;0,IF(INDEX('Final Calculation Sheet'!$B$4:$B$40,$BJ10-3)="","",INDEX('Final Calculation Sheet'!$B$4:$B$40,$BJ10-3)),IF(OR($BI10=1,$BL10=1,$BH10&gt;0),IF($BI10=1,"GRAND TOTAL  —  matching + remaining",IF($BL10=1,"TOTAL MATCHED  —  every group together",IF($BH10=10,"REMAINING  —  did not match the search",IF($BH10=9,IF(COUNTIF($A$4:$AI$4,"&lt;&gt;")&gt;0,"FILTERED LOTS  —  column fields","ALL LOTS  —  nothing typed in the box"),"GROUP "&amp;$BH10&amp;" TOTAL  —  lots matching  "&amp;INDEX($AR$6:$AY$6,$BH10))))),""))</f>
        <v>Scrap of Copper of faulty AC compressor</v>
      </c>
      <c r="E11" s="77" t="str">
        <f t="array" ref="E11">IF($BJ10&gt;0,IF(INDEX('Final Calculation Sheet'!$D$4:$D$40,$BJ10-3)="","",INDEX('Final Calculation Sheet'!$D$4:$D$40,$BJ10-3)),IF(OR($BI10=1,$BL10=1,$BH10&gt;0),"–",""))</f>
        <v>21977</v>
      </c>
      <c r="F11" s="77" t="str">
        <f t="array" ref="F11">IF($BJ10&gt;0,IF(INDEX('Final Calculation Sheet'!$A$4:$A$40,$BJ10-3)="","",INDEX('Final Calculation Sheet'!$A$4:$A$40,$BJ10-3)),IF(OR($BI10=1,$BL10=1,$BH10&gt;0),IF($BI10=1,SUM('Final Calculation Sheet'!$A$4:$A$40),IF($BL10=1,SUM('Final Calculation Sheet'!$A$4:$A$40)-SUMIFS('Final Calculation Sheet'!$A$4:$A$40,$AZ$5:$AZ$41,10),SUMIFS('Final Calculation Sheet'!$A$4:$A$40,$AZ$5:$AZ$41,$BH10))),""))</f>
        <v>28</v>
      </c>
      <c r="G11" s="77" t="str">
        <f t="array" ref="G11">IF($BJ10&gt;0,IF(INDEX('Final Calculation Sheet'!$E$4:$E$40,$BJ10-3)="","",INDEX('Final Calculation Sheet'!$E$4:$E$40,$BJ10-3)),IF(OR($BI10=1,$BL10=1,$BH10&gt;0),"–",""))</f>
        <v>KG</v>
      </c>
      <c r="H11" s="78" t="str">
        <f t="array" ref="H11">IF($BJ10&gt;0,IF(INDEX('Final Calculation Sheet'!$C$4:$C$40,$BJ10-3)="","",INDEX('Final Calculation Sheet'!$C$4:$C$40,$BJ10-3)),IF(OR($BI10=1,$BL10=1,$BH10&gt;0),"–",""))</f>
        <v>1,456</v>
      </c>
      <c r="I11" s="78" t="str">
        <f t="array" ref="I11">IF($BJ10&gt;0,IF(INDEX('Final Calculation Sheet'!$H$4:$H$40,$BJ10-3)="","",INDEX('Final Calculation Sheet'!$H$4:$H$40,$BJ10-3)),IF(OR($BI10=1,$BL10=1,$BH10&gt;0),IF($BI10=1,SUM('Final Calculation Sheet'!$H$4:$H$40),IF($BL10=1,SUM('Final Calculation Sheet'!$H$4:$H$40)-SUMIFS('Final Calculation Sheet'!$H$4:$H$40,$AZ$5:$AZ$41,10),SUMIFS('Final Calculation Sheet'!$H$4:$H$40,$AZ$5:$AZ$41,$BH10))),""))</f>
        <v>40,768</v>
      </c>
      <c r="J11" s="78" t="str">
        <f t="array" ref="J11">IF($BJ10&gt;0,IF(INDEX('Final Calculation Sheet'!$I$4:$I$40,$BJ10-3)="","",INDEX('Final Calculation Sheet'!$I$4:$I$40,$BJ10-3)),IF(OR($BI10=1,$BL10=1,$BH10&gt;0),IF($BI10=1,SUM('Final Calculation Sheet'!$I$4:$I$40),IF($BL10=1,SUM('Final Calculation Sheet'!$I$4:$I$40)-SUMIFS('Final Calculation Sheet'!$I$4:$I$40,$AZ$5:$AZ$41,10),SUMIFS('Final Calculation Sheet'!$I$4:$I$40,$AZ$5:$AZ$41,$BH10))),""))</f>
        <v>7,338</v>
      </c>
      <c r="K11" s="78" t="str">
        <f t="array" ref="K11">IF($BJ10&gt;0,IF(INDEX('Final Calculation Sheet'!$J$4:$J$40,$BJ10-3)="","",INDEX('Final Calculation Sheet'!$J$4:$J$40,$BJ10-3)),IF(OR($BI10=1,$BL10=1,$BH10&gt;0),IF($BI10=1,SUM('Final Calculation Sheet'!$J$4:$J$40),IF($BL10=1,SUM('Final Calculation Sheet'!$J$4:$J$40)-SUMIFS('Final Calculation Sheet'!$J$4:$J$40,$AZ$5:$AZ$41,10),SUMIFS('Final Calculation Sheet'!$J$4:$J$40,$AZ$5:$AZ$41,$BH10))),""))</f>
        <v>48,106</v>
      </c>
      <c r="L11" s="78" t="str">
        <f t="array" ref="L11">IF($BJ10&gt;0,IF(INDEX('Final Calculation Sheet'!$K$4:$K$40,$BJ10-3)="","",INDEX('Final Calculation Sheet'!$K$4:$K$40,$BJ10-3)),IF(OR($BI10=1,$BL10=1,$BH10&gt;0),IF($BI10=1,SUM('Final Calculation Sheet'!$K$4:$K$40),IF($BL10=1,SUM('Final Calculation Sheet'!$K$4:$K$40)-SUMIFS('Final Calculation Sheet'!$K$4:$K$40,$AZ$5:$AZ$41,10),SUMIFS('Final Calculation Sheet'!$K$4:$K$40,$AZ$5:$AZ$41,$BH10))),""))</f>
        <v>962</v>
      </c>
      <c r="M11" s="78" t="str">
        <f t="array" ref="M11">IF($BJ10&gt;0,IF(INDEX('Final Calculation Sheet'!$L$4:$L$40,$BJ10-3)="","",INDEX('Final Calculation Sheet'!$L$4:$L$40,$BJ10-3)),IF(OR($BI10=1,$BL10=1,$BH10&gt;0),IF($BI10=1,SUM('Final Calculation Sheet'!$L$4:$L$40),IF($BL10=1,SUM('Final Calculation Sheet'!$L$4:$L$40)-SUMIFS('Final Calculation Sheet'!$L$4:$L$40,$AZ$5:$AZ$41,10),SUMIFS('Final Calculation Sheet'!$L$4:$L$40,$AZ$5:$AZ$41,$BH10))),""))</f>
        <v>41</v>
      </c>
      <c r="N11" s="78" t="str">
        <f t="array" ref="N11">IF($BJ10&gt;0,IF(INDEX('Final Calculation Sheet'!$M$4:$M$40,$BJ10-3)="","",INDEX('Final Calculation Sheet'!$M$4:$M$40,$BJ10-3)),IF(OR($BI10=1,$BL10=1,$BH10&gt;0),IF($BI10=1,SUM('Final Calculation Sheet'!$M$4:$M$40),IF($BL10=1,SUM('Final Calculation Sheet'!$M$4:$M$40)-SUMIFS('Final Calculation Sheet'!$M$4:$M$40,$AZ$5:$AZ$41,10),SUMIFS('Final Calculation Sheet'!$M$4:$M$40,$AZ$5:$AZ$41,$BH10))),""))</f>
        <v>1,082</v>
      </c>
      <c r="O11" s="79" t="str">
        <f t="array" ref="O11">IF($BJ10&gt;0,IF(INDEX('Final Calculation Sheet'!$N$4:$N$40,$BJ10-3)="","",INDEX('Final Calculation Sheet'!$N$4:$N$40,$BJ10-3)),IF(OR($BI10=1,$BL10=1,$BH10&gt;0),IF($BI10=1,SUM('Final Calculation Sheet'!$N$4:$N$40),IF($BL10=1,SUM('Final Calculation Sheet'!$N$4:$N$40)-SUMIFS('Final Calculation Sheet'!$N$4:$N$40,$AZ$5:$AZ$41,10),SUMIFS('Final Calculation Sheet'!$N$4:$N$40,$AZ$5:$AZ$41,$BH10))),""))</f>
        <v>18</v>
      </c>
      <c r="P11" s="78" t="str">
        <f t="array" ref="P11">IF($BJ10&gt;0,IF(INDEX('Final Calculation Sheet'!$O$4:$O$40,$BJ10-3)="","",INDEX('Final Calculation Sheet'!$O$4:$O$40,$BJ10-3)),IF(OR($BI10=1,$BL10=1,$BH10&gt;0),IF($BI10=1,SUM('Final Calculation Sheet'!$O$4:$O$40),IF($BL10=1,SUM('Final Calculation Sheet'!$O$4:$O$40)-SUMIFS('Final Calculation Sheet'!$O$4:$O$40,$AZ$5:$AZ$41,10),SUMIFS('Final Calculation Sheet'!$O$4:$O$40,$AZ$5:$AZ$41,$BH10))),""))</f>
        <v>1,064</v>
      </c>
      <c r="Q11" s="78" t="str">
        <f t="array" ref="Q11">IF($BJ10&gt;0,IF(INDEX('Final Calculation Sheet'!$P$4:$P$40,$BJ10-3)="","",INDEX('Final Calculation Sheet'!$P$4:$P$40,$BJ10-3)),IF(OR($BI10=1,$BL10=1,$BH10&gt;0),IF($BI10=1,SUM('Final Calculation Sheet'!$P$4:$P$40),IF($BL10=1,SUM('Final Calculation Sheet'!$P$4:$P$40)-SUMIFS('Final Calculation Sheet'!$P$4:$P$40,$AZ$5:$AZ$41,10),SUMIFS('Final Calculation Sheet'!$P$4:$P$40,$AZ$5:$AZ$41,$BH10))),""))</f>
        <v>1,105</v>
      </c>
      <c r="R11" s="80" t="str">
        <f t="array" ref="R11">IF($BJ10&gt;0,IF(INDEX('Final Calculation Sheet'!$Q$4:$Q$40,$BJ10-3)="","",INDEX('Final Calculation Sheet'!$Q$4:$Q$40,$BJ10-3)),IF(OR($BI10=1,$BL10=1,$BH10&gt;0),"–",""))</f>
        <v>0%</v>
      </c>
      <c r="S11" s="78" t="str">
        <f t="array" ref="S11">IF($BJ10&gt;0,IF(INDEX('Final Calculation Sheet'!$R$4:$R$40,$BJ10-3)="","",INDEX('Final Calculation Sheet'!$R$4:$R$40,$BJ10-3)),IF(OR($BI10=1,$BL10=1,$BH10&gt;0),IF($BI10=1,SUM('Final Calculation Sheet'!$R$4:$R$40),IF($BL10=1,SUM('Final Calculation Sheet'!$R$4:$R$40)-SUMIFS('Final Calculation Sheet'!$R$4:$R$40,$AZ$5:$AZ$41,10),SUMIFS('Final Calculation Sheet'!$R$4:$R$40,$AZ$5:$AZ$41,$BH10))),""))</f>
        <v>0</v>
      </c>
      <c r="T11" s="78" t="str">
        <f t="array" ref="T11">IF($BJ10&gt;0,IF(INDEX('Final Calculation Sheet'!$S$4:$S$40,$BJ10-3)="","",INDEX('Final Calculation Sheet'!$S$4:$S$40,$BJ10-3)),IF(OR($BI10=1,$BL10=1,$BH10&gt;0),IF($BI10=1,SUM('Final Calculation Sheet'!$S$4:$S$40),IF($BL10=1,SUM('Final Calculation Sheet'!$S$4:$S$40)-SUMIFS('Final Calculation Sheet'!$S$4:$S$40,$AZ$5:$AZ$41,10),SUMIFS('Final Calculation Sheet'!$S$4:$S$40,$AZ$5:$AZ$41,$BH10))),""))</f>
        <v>47,964</v>
      </c>
      <c r="U11" s="78" t="str">
        <f t="array" ref="U11">IF($BJ10&gt;0,IF(INDEX('Final Calculation Sheet'!$T$4:$T$40,$BJ10-3)="","",INDEX('Final Calculation Sheet'!$T$4:$T$40,$BJ10-3)),IF(OR($BI10=1,$BL10=1,$BH10&gt;0),IF($BI10=1,SUM('Final Calculation Sheet'!$T$4:$T$40),IF($BL10=1,SUM('Final Calculation Sheet'!$T$4:$T$40)-SUMIFS('Final Calculation Sheet'!$T$4:$T$40,$AZ$5:$AZ$41,10),SUMIFS('Final Calculation Sheet'!$T$4:$T$40,$AZ$5:$AZ$41,$BH10))),""))</f>
        <v>10,192</v>
      </c>
      <c r="V11" s="81" t="str">
        <f t="array" ref="V11">IF($BJ10&gt;0,IF(INDEX('Final Calculation Sheet'!$U$4:$U$40,$BJ10-3)="","",INDEX('Final Calculation Sheet'!$U$4:$U$40,$BJ10-3)),IF(OR($BI10=1,$BL10=1,$BH10&gt;0),IF($BI10=1,SUM('Final Calculation Sheet'!$U$4:$U$40),IF($BL10=1,SUM('Final Calculation Sheet'!$U$4:$U$40)-SUMIFS('Final Calculation Sheet'!$U$4:$U$40,$AZ$5:$AZ$41,10),SUMIFS('Final Calculation Sheet'!$U$4:$U$40,$AZ$5:$AZ$41,$BH10))),""))</f>
        <v>  10,192 </v>
      </c>
      <c r="W11" s="78" t="str">
        <f t="array" ref="W11">IF($BJ10&gt;0,IF(INDEX('Final Calculation Sheet'!$V$4:$V$40,$BJ10-3)="","",INDEX('Final Calculation Sheet'!$V$4:$V$40,$BJ10-3)),IF(OR($BI10=1,$BL10=1,$BH10&gt;0),"–",""))</f>
        <v>11.08.2026</v>
      </c>
      <c r="X11" s="78" t="str">
        <f t="array" ref="X11">IF($BJ10&gt;0,IF(INDEX('Final Calculation Sheet'!$W$4:$W$40,$BJ10-3)="","",INDEX('Final Calculation Sheet'!$W$4:$W$40,$BJ10-3)),IF(OR($BI10=1,$BL10=1,$BH10&gt;0),IF($BI10=1,SUM('Final Calculation Sheet'!$W$4:$W$40),IF($BL10=1,SUM('Final Calculation Sheet'!$W$4:$W$40)-SUMIFS('Final Calculation Sheet'!$W$4:$W$40,$AZ$5:$AZ$41,10),SUMIFS('Final Calculation Sheet'!$W$4:$W$40,$AZ$5:$AZ$41,$BH10))),""))</f>
        <v>37,772</v>
      </c>
      <c r="Y11" s="78" t="str">
        <f t="array" ref="Y11">IF($BJ10&gt;0,IF(INDEX('Final Calculation Sheet'!$X$4:$X$40,$BJ10-3)="","",INDEX('Final Calculation Sheet'!$X$4:$X$40,$BJ10-3)),IF(OR($BI10=1,$BL10=1,$BH10&gt;0),IF($BI10=1,SUM('Final Calculation Sheet'!$X$4:$X$40),IF($BL10=1,SUM('Final Calculation Sheet'!$X$4:$X$40)-SUMIFS('Final Calculation Sheet'!$X$4:$X$40,$AZ$5:$AZ$41,10),SUMIFS('Final Calculation Sheet'!$X$4:$X$40,$AZ$5:$AZ$41,$BH10))),""))</f>
        <v>37,772</v>
      </c>
      <c r="Z11" s="78" t="str">
        <f t="array" ref="Z11">IF($BJ10&gt;0,IF(INDEX('Final Calculation Sheet'!$Y$4:$Y$40,$BJ10-3)="","",INDEX('Final Calculation Sheet'!$Y$4:$Y$40,$BJ10-3)),IF(OR($BI10=1,$BL10=1,$BH10&gt;0),"–",""))</f>
        <v>20.08.2026</v>
      </c>
      <c r="AA11" s="78" t="str">
        <f t="array" ref="AA11">IF($BJ10&gt;0,IF(INDEX('Final Calculation Sheet'!$Z$4:$Z$40,$BJ10-3)="","",INDEX('Final Calculation Sheet'!$Z$4:$Z$40,$BJ10-3)),IF(OR($BI10=1,$BL10=1,$BH10&gt;0),IF($BI10=1,SUM('Final Calculation Sheet'!$Z$4:$Z$40),IF($BL10=1,SUM('Final Calculation Sheet'!$Z$4:$Z$40)-SUMIFS('Final Calculation Sheet'!$Z$4:$Z$40,$AZ$5:$AZ$41,10),SUMIFS('Final Calculation Sheet'!$Z$4:$Z$40,$AZ$5:$AZ$41,$BH10))),""))</f>
        <v>0</v>
      </c>
      <c r="AB11" s="78" t="str">
        <f t="array" ref="AB11">IF($BJ10&gt;0,IF(INDEX('Final Calculation Sheet'!$AA$4:$AA$40,$BJ10-3)="","",INDEX('Final Calculation Sheet'!$AA$4:$AA$40,$BJ10-3)),IF(OR($BI10=1,$BL10=1,$BH10&gt;0),IF($BI10=1,SUM('Final Calculation Sheet'!$AA$4:$AA$40),IF($BL10=1,SUM('Final Calculation Sheet'!$AA$4:$AA$40)-SUMIFS('Final Calculation Sheet'!$AA$4:$AA$40,$AZ$5:$AZ$41,10),SUMIFS('Final Calculation Sheet'!$AA$4:$AA$40,$AZ$5:$AZ$41,$BH10))),""))</f>
        <v/>
      </c>
      <c r="AC11" s="78" t="str">
        <f t="array" ref="AC11">IF($BJ10&gt;0,IF(INDEX('Final Calculation Sheet'!$AB$4:$AB$40,$BJ10-3)="","",INDEX('Final Calculation Sheet'!$AB$4:$AB$40,$BJ10-3)),IF(OR($BI10=1,$BL10=1,$BH10&gt;0),"–",""))</f>
        <v/>
      </c>
      <c r="AD11" s="78" t="str">
        <f t="array" ref="AD11">IF($BJ10&gt;0,IF(INDEX('Final Calculation Sheet'!$AC$4:$AC$40,$BJ10-3)="","",INDEX('Final Calculation Sheet'!$AC$4:$AC$40,$BJ10-3)),IF(OR($BI10=1,$BL10=1,$BH10&gt;0),IF($BI10=1,SUM('Final Calculation Sheet'!$AC$4:$AC$40),IF($BL10=1,SUM('Final Calculation Sheet'!$AC$4:$AC$40)-SUMIFS('Final Calculation Sheet'!$AC$4:$AC$40,$AZ$5:$AZ$41,10),SUMIFS('Final Calculation Sheet'!$AC$4:$AC$40,$AZ$5:$AZ$41,$BH10))),""))</f>
        <v>47,964</v>
      </c>
      <c r="AE11" s="78" t="str">
        <f t="array" ref="AE11">IF($BJ10&gt;0,IF(INDEX('Final Calculation Sheet'!$AD$4:$AD$40,$BJ10-3)="","",INDEX('Final Calculation Sheet'!$AD$4:$AD$40,$BJ10-3)),IF(OR($BI10=1,$BL10=1,$BH10&gt;0),IF($BI10=1,SUM('Final Calculation Sheet'!$AD$4:$AD$40),IF($BL10=1,SUM('Final Calculation Sheet'!$AD$4:$AD$40)-SUMIFS('Final Calculation Sheet'!$AD$4:$AD$40,$AZ$5:$AZ$41,10),SUMIFS('Final Calculation Sheet'!$AD$4:$AD$40,$AZ$5:$AZ$41,$BH10))),""))</f>
        <v>0</v>
      </c>
      <c r="AF11" s="78" t="str">
        <f t="array" ref="AF11">IF($BJ10&gt;0,IF(INDEX('Final Calculation Sheet'!$AE$4:$AE$40,$BJ10-3)="","",INDEX('Final Calculation Sheet'!$AE$4:$AE$40,$BJ10-3)),IF(OR($BI10=1,$BL10=1,$BH10&gt;0),"–",""))</f>
        <v>DR2640100047</v>
      </c>
      <c r="AG11" s="82" t="str">
        <f t="array" ref="AG11">IF($BJ10&gt;0,IF(INDEX('Final Calculation Sheet'!$AF$4:$AF$40,$BJ10-3)="","",INDEX('Final Calculation Sheet'!$AF$4:$AF$40,$BJ10-3)),IF(OR($BI10=1,$BL10=1,$BH10&gt;0),"–",""))</f>
        <v>1800003346</v>
      </c>
      <c r="AH11" s="78" t="str">
        <f t="array" ref="AH11">IF($BJ10&gt;0,IF(INDEX('Final Calculation Sheet'!$AG$4:$AG$40,$BJ10-3)="","",INDEX('Final Calculation Sheet'!$AG$4:$AG$40,$BJ10-3)),IF(OR($BI10=1,$BL10=1,$BH10&gt;0),"–",""))</f>
        <v>27.08.2026</v>
      </c>
      <c r="AI11" s="83" t="str">
        <f t="array" ref="AI11">IF($BJ10&gt;0,IF(INDEX('Final Calculation Sheet'!$AD$4:$AD$40,$BJ10-3)="","",IF(INDEX('Final Calculation Sheet'!$AD$4:$AD$40,$BJ10-3)&lt;=0,"SETTLED","OUTSTANDING")),IF(OR($BI10=1,$BL10=1,$BH10&gt;0),IF(IF($BI10=1,SUM('Final Calculation Sheet'!$AD$4:$AD$40),IF($BL10=1,SUM('Final Calculation Sheet'!$AD$4:$AD$40)-SUMIFS('Final Calculation Sheet'!$AD$4:$AD$40,$AZ$5:$AZ$41,10),SUMIFS('Final Calculation Sheet'!$AD$4:$AD$40,$AZ$5:$AZ$41,$BH10)))&lt;=0,"ALL SETTLED","OUTSTANDING"),""))</f>
        <v>SETTLED</v>
      </c>
      <c r="AK11" t="str">
        <f>IF($F$3="Lot No.",'Final Calculation Sheet'!$F$10,IF($F$3="Buyer",'Final Calculation Sheet'!$G$10,IF($F$3="Lot Name",'Final Calculation Sheet'!$B$10,IF($F$3="Bid Sheet",'Final Calculation Sheet'!$D$10,IF($F$3="Unit",'Final Calculation Sheet'!$E$10,'Final Calculation Sheet'!$F$10&amp;" "&amp;'Final Calculation Sheet'!$G$10&amp;" "&amp;'Final Calculation Sheet'!$B$10)))))</f>
        <v>2002 NATIONAL ENTERPRISES Scrap of 132 KV CT</v>
      </c>
      <c r="AM11" t="str">
        <f t="shared" si="3"/>
        <v>0</v>
      </c>
      <c r="AZ11" t="str">
        <f t="shared" si="4"/>
        <v>10</v>
      </c>
      <c r="BA11" t="str">
        <f t="shared" si="5"/>
        <v>7</v>
      </c>
      <c r="BB11" t="str">
        <f t="shared" si="6"/>
        <v>14</v>
      </c>
      <c r="BC11">
        <v>10.0</v>
      </c>
      <c r="BD11" t="str">
        <f>COUNTIF($AZ$5:$AZ$41,8)</f>
        <v>0</v>
      </c>
      <c r="BE11" t="str">
        <f t="shared" si="7"/>
        <v>7</v>
      </c>
      <c r="BF11" t="str">
        <f t="shared" si="1"/>
        <v>0</v>
      </c>
      <c r="BH11" t="str">
        <f>IFERROR(MATCH(11,$BF$4:$BF$13,0),0)</f>
        <v>0</v>
      </c>
      <c r="BI11" t="str">
        <f>IF(11=$BG$5,1,0)</f>
        <v>0</v>
      </c>
      <c r="BJ11" t="str">
        <f t="array" ref="BJ11">IF(OR($BH11&gt;0,$BI11=1,$BL11=1),0,IFERROR(INDEX($BC$5:$BC$41,MATCH(11,$BB$5:$BB$41,0)),0))</f>
        <v>7</v>
      </c>
      <c r="BK11" t="str">
        <f t="array" ref="BK11">IF($BJ11&gt;0,IF(INDEX($AZ$5:$AZ$41,MATCH(11,$BB$5:$BB$41,0))=10,1,0),IF($BH11=10,1,0))</f>
        <v>1</v>
      </c>
      <c r="BL11" t="str">
        <f>IF(11=$BG$4,1,0)</f>
        <v>0</v>
      </c>
      <c r="BM11" t="str">
        <f t="shared" si="8"/>
        <v>1</v>
      </c>
      <c r="BN11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Sheet'!$F$10)&amp;"",""))))&gt;0))</f>
        <v>1</v>
      </c>
      <c r="BO11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Sheet'!$G$10)&amp;"",""))))&gt;0))</f>
        <v>1</v>
      </c>
      <c r="BP11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Sheet'!$B$10)&amp;"",""))))&gt;0))</f>
        <v>1</v>
      </c>
      <c r="BQ11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Sheet'!$D$10)&amp;"",""))))&gt;0))</f>
        <v>1</v>
      </c>
      <c r="BR11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Sheet'!$A$10)&amp;"",""))))&gt;0))</f>
        <v>1</v>
      </c>
      <c r="BS11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Sheet'!$E$10)&amp;"",""))))&gt;0))</f>
        <v>1</v>
      </c>
      <c r="BT11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Sheet'!$C$10)&amp;"",""))))&gt;0))</f>
        <v>1</v>
      </c>
      <c r="BU11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Sheet'!$H$10)&amp;"",""))))&gt;0))</f>
        <v>1</v>
      </c>
      <c r="BV11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Sheet'!$I$10)&amp;"",""))))&gt;0))</f>
        <v>1</v>
      </c>
      <c r="BW11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Sheet'!$J$10)&amp;"",""))))&gt;0))</f>
        <v>1</v>
      </c>
      <c r="BX11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Sheet'!$K$10)&amp;"",""))))&gt;0))</f>
        <v>1</v>
      </c>
      <c r="BY11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Sheet'!$L$10)&amp;"",""))))&gt;0))</f>
        <v>1</v>
      </c>
      <c r="BZ11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Sheet'!$M$10)&amp;"",""))))&gt;0))</f>
        <v>1</v>
      </c>
      <c r="CA11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Sheet'!$N$10)&amp;"",""))))&gt;0))</f>
        <v>1</v>
      </c>
      <c r="CB11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Sheet'!$O$10)&amp;"",""))))&gt;0))</f>
        <v>1</v>
      </c>
      <c r="CC11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Sheet'!$P$10)&amp;"",""))))&gt;0))</f>
        <v>1</v>
      </c>
      <c r="CD11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Sheet'!$Q$10)&amp;"",""))))&gt;0))</f>
        <v>1</v>
      </c>
      <c r="CE11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Sheet'!$R$10)&amp;"",""))))&gt;0))</f>
        <v>1</v>
      </c>
      <c r="CF11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Sheet'!$S$10)&amp;"",""))))&gt;0))</f>
        <v>1</v>
      </c>
      <c r="CG11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Sheet'!$T$10)&amp;"",""))))&gt;0))</f>
        <v>1</v>
      </c>
      <c r="CH11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Sheet'!$U$10)&amp;"",""))))&gt;0))</f>
        <v>1</v>
      </c>
      <c r="CI11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Sheet'!$V$10)&amp;"",""))))&gt;0))</f>
        <v>1</v>
      </c>
      <c r="CJ11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Sheet'!$W$10)&amp;"",""))))&gt;0))</f>
        <v>1</v>
      </c>
      <c r="CK11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Sheet'!$X$10)&amp;"",""))))&gt;0))</f>
        <v>1</v>
      </c>
      <c r="CL11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Sheet'!$Y$10)&amp;"",""))))&gt;0))</f>
        <v>1</v>
      </c>
      <c r="CM11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Sheet'!$Z$10)&amp;"",""))))&gt;0))</f>
        <v>1</v>
      </c>
      <c r="CN11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Sheet'!$AA$10)&amp;"",""))))&gt;0))</f>
        <v>1</v>
      </c>
      <c r="CO11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Sheet'!$AB$10)&amp;"",""))))&gt;0))</f>
        <v>1</v>
      </c>
      <c r="CP11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Sheet'!$AC$10)&amp;"",""))))&gt;0))</f>
        <v>1</v>
      </c>
      <c r="CQ11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Sheet'!$AD$10)&amp;"",""))))&gt;0))</f>
        <v>1</v>
      </c>
      <c r="CR11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Sheet'!$AE$10)&amp;"",""))))&gt;0))</f>
        <v>1</v>
      </c>
      <c r="CS11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Sheet'!$AF$10)&amp;"",""))))&gt;0))</f>
        <v>1</v>
      </c>
      <c r="CT11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Sheet'!$AG$10)&amp;"",""))))&gt;0))</f>
        <v>1</v>
      </c>
      <c r="CU11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Sheet'!$AD$10&lt;=0,"SETTLED","OUTSTANDING"))&amp;"",""))))&gt;0))</f>
        <v>1</v>
      </c>
    </row>
    <row r="12" ht="15.0" customHeight="1">
      <c r="A12" s="75" t="str">
        <f t="array" ref="A12">IF($BJ11&gt;0,INDEX($BA$5:$BA$41,MATCH(11,$BB$5:$BB$41,0)),IF(OR($BI11=1,$BL11=1,$BH11&gt;0),"∑",""))</f>
        <v>4</v>
      </c>
      <c r="B12" s="76" t="str">
        <f t="array" ref="B12">IF($BJ11&gt;0,IF(INDEX('Final Calculation Sheet'!$F$4:$F$40,$BJ11-3)="","",INDEX('Final Calculation Sheet'!$F$4:$F$40,$BJ11-3)),"")</f>
        <v>1876</v>
      </c>
      <c r="C12" s="76" t="str">
        <f t="array" ref="C12">IF($BJ11&gt;0,IF(INDEX('Final Calculation Sheet'!$G$4:$G$40,$BJ11-3)="","",INDEX('Final Calculation Sheet'!$G$4:$G$40,$BJ11-3)),IF(OR($BI11=1,$BL11=1,$BH11&gt;0),IF($BI11=1,37,IF($BL11=1,37-INDEX($BD$4:$BD$13,10),INDEX($BD$4:$BD$13,$BH11)))&amp;" lot(s)",""))</f>
        <v>F R KHANS ENTERPRISES</v>
      </c>
      <c r="D12" s="77" t="str">
        <f t="array" ref="D12">IF($BJ11&gt;0,IF(INDEX('Final Calculation Sheet'!$B$4:$B$40,$BJ11-3)="","",INDEX('Final Calculation Sheet'!$B$4:$B$40,$BJ11-3)),IF(OR($BI11=1,$BL11=1,$BH11&gt;0),IF($BI11=1,"GRAND TOTAL  —  matching + remaining",IF($BL11=1,"TOTAL MATCHED  —  every group together",IF($BH11=10,"REMAINING  —  did not match the search",IF($BH11=9,IF(COUNTIF($A$4:$AI$4,"&lt;&gt;")&gt;0,"FILTERED LOTS  —  column fields","ALL LOTS  —  nothing typed in the box"),"GROUP "&amp;$BH11&amp;" TOTAL  —  lots matching  "&amp;INDEX($AR$6:$AY$6,$BH11))))),""))</f>
        <v>Scrap of MS (extracted from equip cage and empty Sf6 gas cylinder)</v>
      </c>
      <c r="E12" s="77" t="str">
        <f t="array" ref="E12">IF($BJ11&gt;0,IF(INDEX('Final Calculation Sheet'!$D$4:$D$40,$BJ11-3)="","",INDEX('Final Calculation Sheet'!$D$4:$D$40,$BJ11-3)),IF(OR($BI11=1,$BL11=1,$BH11&gt;0),"–",""))</f>
        <v>21977</v>
      </c>
      <c r="F12" s="77" t="str">
        <f t="array" ref="F12">IF($BJ11&gt;0,IF(INDEX('Final Calculation Sheet'!$A$4:$A$40,$BJ11-3)="","",INDEX('Final Calculation Sheet'!$A$4:$A$40,$BJ11-3)),IF(OR($BI11=1,$BL11=1,$BH11&gt;0),IF($BI11=1,SUM('Final Calculation Sheet'!$A$4:$A$40),IF($BL11=1,SUM('Final Calculation Sheet'!$A$4:$A$40)-SUMIFS('Final Calculation Sheet'!$A$4:$A$40,$AZ$5:$AZ$41,10),SUMIFS('Final Calculation Sheet'!$A$4:$A$40,$AZ$5:$AZ$41,$BH11))),""))</f>
        <v>3000</v>
      </c>
      <c r="G12" s="77" t="str">
        <f t="array" ref="G12">IF($BJ11&gt;0,IF(INDEX('Final Calculation Sheet'!$E$4:$E$40,$BJ11-3)="","",INDEX('Final Calculation Sheet'!$E$4:$E$40,$BJ11-3)),IF(OR($BI11=1,$BL11=1,$BH11&gt;0),"–",""))</f>
        <v>KG</v>
      </c>
      <c r="H12" s="78" t="str">
        <f t="array" ref="H12">IF($BJ11&gt;0,IF(INDEX('Final Calculation Sheet'!$C$4:$C$40,$BJ11-3)="","",INDEX('Final Calculation Sheet'!$C$4:$C$40,$BJ11-3)),IF(OR($BI11=1,$BL11=1,$BH11&gt;0),"–",""))</f>
        <v>66</v>
      </c>
      <c r="I12" s="78" t="str">
        <f t="array" ref="I12">IF($BJ11&gt;0,IF(INDEX('Final Calculation Sheet'!$H$4:$H$40,$BJ11-3)="","",INDEX('Final Calculation Sheet'!$H$4:$H$40,$BJ11-3)),IF(OR($BI11=1,$BL11=1,$BH11&gt;0),IF($BI11=1,SUM('Final Calculation Sheet'!$H$4:$H$40),IF($BL11=1,SUM('Final Calculation Sheet'!$H$4:$H$40)-SUMIFS('Final Calculation Sheet'!$H$4:$H$40,$AZ$5:$AZ$41,10),SUMIFS('Final Calculation Sheet'!$H$4:$H$40,$AZ$5:$AZ$41,$BH11))),""))</f>
        <v>198,000</v>
      </c>
      <c r="J12" s="78" t="str">
        <f t="array" ref="J12">IF($BJ11&gt;0,IF(INDEX('Final Calculation Sheet'!$I$4:$I$40,$BJ11-3)="","",INDEX('Final Calculation Sheet'!$I$4:$I$40,$BJ11-3)),IF(OR($BI11=1,$BL11=1,$BH11&gt;0),IF($BI11=1,SUM('Final Calculation Sheet'!$I$4:$I$40),IF($BL11=1,SUM('Final Calculation Sheet'!$I$4:$I$40)-SUMIFS('Final Calculation Sheet'!$I$4:$I$40,$AZ$5:$AZ$41,10),SUMIFS('Final Calculation Sheet'!$I$4:$I$40,$AZ$5:$AZ$41,$BH11))),""))</f>
        <v>35,640</v>
      </c>
      <c r="K12" s="78" t="str">
        <f t="array" ref="K12">IF($BJ11&gt;0,IF(INDEX('Final Calculation Sheet'!$J$4:$J$40,$BJ11-3)="","",INDEX('Final Calculation Sheet'!$J$4:$J$40,$BJ11-3)),IF(OR($BI11=1,$BL11=1,$BH11&gt;0),IF($BI11=1,SUM('Final Calculation Sheet'!$J$4:$J$40),IF($BL11=1,SUM('Final Calculation Sheet'!$J$4:$J$40)-SUMIFS('Final Calculation Sheet'!$J$4:$J$40,$AZ$5:$AZ$41,10),SUMIFS('Final Calculation Sheet'!$J$4:$J$40,$AZ$5:$AZ$41,$BH11))),""))</f>
        <v>233,640</v>
      </c>
      <c r="L12" s="78" t="str">
        <f t="array" ref="L12">IF($BJ11&gt;0,IF(INDEX('Final Calculation Sheet'!$K$4:$K$40,$BJ11-3)="","",INDEX('Final Calculation Sheet'!$K$4:$K$40,$BJ11-3)),IF(OR($BI11=1,$BL11=1,$BH11&gt;0),IF($BI11=1,SUM('Final Calculation Sheet'!$K$4:$K$40),IF($BL11=1,SUM('Final Calculation Sheet'!$K$4:$K$40)-SUMIFS('Final Calculation Sheet'!$K$4:$K$40,$AZ$5:$AZ$41,10),SUMIFS('Final Calculation Sheet'!$K$4:$K$40,$AZ$5:$AZ$41,$BH11))),""))</f>
        <v>4,673</v>
      </c>
      <c r="M12" s="78" t="str">
        <f t="array" ref="M12">IF($BJ11&gt;0,IF(INDEX('Final Calculation Sheet'!$L$4:$L$40,$BJ11-3)="","",INDEX('Final Calculation Sheet'!$L$4:$L$40,$BJ11-3)),IF(OR($BI11=1,$BL11=1,$BH11&gt;0),IF($BI11=1,SUM('Final Calculation Sheet'!$L$4:$L$40),IF($BL11=1,SUM('Final Calculation Sheet'!$L$4:$L$40)-SUMIFS('Final Calculation Sheet'!$L$4:$L$40,$AZ$5:$AZ$41,10),SUMIFS('Final Calculation Sheet'!$L$4:$L$40,$AZ$5:$AZ$41,$BH11))),""))</f>
        <v>198</v>
      </c>
      <c r="N12" s="78" t="str">
        <f t="array" ref="N12">IF($BJ11&gt;0,IF(INDEX('Final Calculation Sheet'!$M$4:$M$40,$BJ11-3)="","",INDEX('Final Calculation Sheet'!$M$4:$M$40,$BJ11-3)),IF(OR($BI11=1,$BL11=1,$BH11&gt;0),IF($BI11=1,SUM('Final Calculation Sheet'!$M$4:$M$40),IF($BL11=1,SUM('Final Calculation Sheet'!$M$4:$M$40)-SUMIFS('Final Calculation Sheet'!$M$4:$M$40,$AZ$5:$AZ$41,10),SUMIFS('Final Calculation Sheet'!$M$4:$M$40,$AZ$5:$AZ$41,$BH11))),""))</f>
        <v>5,257</v>
      </c>
      <c r="O12" s="79" t="str">
        <f t="array" ref="O12">IF($BJ11&gt;0,IF(INDEX('Final Calculation Sheet'!$N$4:$N$40,$BJ11-3)="","",INDEX('Final Calculation Sheet'!$N$4:$N$40,$BJ11-3)),IF(OR($BI11=1,$BL11=1,$BH11&gt;0),IF($BI11=1,SUM('Final Calculation Sheet'!$N$4:$N$40),IF($BL11=1,SUM('Final Calculation Sheet'!$N$4:$N$40)-SUMIFS('Final Calculation Sheet'!$N$4:$N$40,$AZ$5:$AZ$41,10),SUMIFS('Final Calculation Sheet'!$N$4:$N$40,$AZ$5:$AZ$41,$BH11))),""))</f>
        <v>89</v>
      </c>
      <c r="P12" s="78" t="str">
        <f t="array" ref="P12">IF($BJ11&gt;0,IF(INDEX('Final Calculation Sheet'!$O$4:$O$40,$BJ11-3)="","",INDEX('Final Calculation Sheet'!$O$4:$O$40,$BJ11-3)),IF(OR($BI11=1,$BL11=1,$BH11&gt;0),IF($BI11=1,SUM('Final Calculation Sheet'!$O$4:$O$40),IF($BL11=1,SUM('Final Calculation Sheet'!$O$4:$O$40)-SUMIFS('Final Calculation Sheet'!$O$4:$O$40,$AZ$5:$AZ$41,10),SUMIFS('Final Calculation Sheet'!$O$4:$O$40,$AZ$5:$AZ$41,$BH11))),""))</f>
        <v>5,168</v>
      </c>
      <c r="Q12" s="78" t="str">
        <f t="array" ref="Q12">IF($BJ11&gt;0,IF(INDEX('Final Calculation Sheet'!$P$4:$P$40,$BJ11-3)="","",INDEX('Final Calculation Sheet'!$P$4:$P$40,$BJ11-3)),IF(OR($BI11=1,$BL11=1,$BH11&gt;0),IF($BI11=1,SUM('Final Calculation Sheet'!$P$4:$P$40),IF($BL11=1,SUM('Final Calculation Sheet'!$P$4:$P$40)-SUMIFS('Final Calculation Sheet'!$P$4:$P$40,$AZ$5:$AZ$41,10),SUMIFS('Final Calculation Sheet'!$P$4:$P$40,$AZ$5:$AZ$41,$BH11))),""))</f>
        <v>5,366</v>
      </c>
      <c r="R12" s="80" t="str">
        <f t="array" ref="R12">IF($BJ11&gt;0,IF(INDEX('Final Calculation Sheet'!$Q$4:$Q$40,$BJ11-3)="","",INDEX('Final Calculation Sheet'!$Q$4:$Q$40,$BJ11-3)),IF(OR($BI11=1,$BL11=1,$BH11&gt;0),"–",""))</f>
        <v>0%</v>
      </c>
      <c r="S12" s="78" t="str">
        <f t="array" ref="S12">IF($BJ11&gt;0,IF(INDEX('Final Calculation Sheet'!$R$4:$R$40,$BJ11-3)="","",INDEX('Final Calculation Sheet'!$R$4:$R$40,$BJ11-3)),IF(OR($BI11=1,$BL11=1,$BH11&gt;0),IF($BI11=1,SUM('Final Calculation Sheet'!$R$4:$R$40),IF($BL11=1,SUM('Final Calculation Sheet'!$R$4:$R$40)-SUMIFS('Final Calculation Sheet'!$R$4:$R$40,$AZ$5:$AZ$41,10),SUMIFS('Final Calculation Sheet'!$R$4:$R$40,$AZ$5:$AZ$41,$BH11))),""))</f>
        <v>0</v>
      </c>
      <c r="T12" s="78" t="str">
        <f t="array" ref="T12">IF($BJ11&gt;0,IF(INDEX('Final Calculation Sheet'!$S$4:$S$40,$BJ11-3)="","",INDEX('Final Calculation Sheet'!$S$4:$S$40,$BJ11-3)),IF(OR($BI11=1,$BL11=1,$BH11&gt;0),IF($BI11=1,SUM('Final Calculation Sheet'!$S$4:$S$40),IF($BL11=1,SUM('Final Calculation Sheet'!$S$4:$S$40)-SUMIFS('Final Calculation Sheet'!$S$4:$S$40,$AZ$5:$AZ$41,10),SUMIFS('Final Calculation Sheet'!$S$4:$S$40,$AZ$5:$AZ$41,$BH11))),""))</f>
        <v>232,947</v>
      </c>
      <c r="U12" s="78" t="str">
        <f t="array" ref="U12">IF($BJ11&gt;0,IF(INDEX('Final Calculation Sheet'!$T$4:$T$40,$BJ11-3)="","",INDEX('Final Calculation Sheet'!$T$4:$T$40,$BJ11-3)),IF(OR($BI11=1,$BL11=1,$BH11&gt;0),IF($BI11=1,SUM('Final Calculation Sheet'!$T$4:$T$40),IF($BL11=1,SUM('Final Calculation Sheet'!$T$4:$T$40)-SUMIFS('Final Calculation Sheet'!$T$4:$T$40,$AZ$5:$AZ$41,10),SUMIFS('Final Calculation Sheet'!$T$4:$T$40,$AZ$5:$AZ$41,$BH11))),""))</f>
        <v>49,500</v>
      </c>
      <c r="V12" s="81" t="str">
        <f t="array" ref="V12">IF($BJ11&gt;0,IF(INDEX('Final Calculation Sheet'!$U$4:$U$40,$BJ11-3)="","",INDEX('Final Calculation Sheet'!$U$4:$U$40,$BJ11-3)),IF(OR($BI11=1,$BL11=1,$BH11&gt;0),IF($BI11=1,SUM('Final Calculation Sheet'!$U$4:$U$40),IF($BL11=1,SUM('Final Calculation Sheet'!$U$4:$U$40)-SUMIFS('Final Calculation Sheet'!$U$4:$U$40,$AZ$5:$AZ$41,10),SUMIFS('Final Calculation Sheet'!$U$4:$U$40,$AZ$5:$AZ$41,$BH11))),""))</f>
        <v>  49,500 </v>
      </c>
      <c r="W12" s="78" t="str">
        <f t="array" ref="W12">IF($BJ11&gt;0,IF(INDEX('Final Calculation Sheet'!$V$4:$V$40,$BJ11-3)="","",INDEX('Final Calculation Sheet'!$V$4:$V$40,$BJ11-3)),IF(OR($BI11=1,$BL11=1,$BH11&gt;0),"–",""))</f>
        <v>11.08.2026</v>
      </c>
      <c r="X12" s="78" t="str">
        <f t="array" ref="X12">IF($BJ11&gt;0,IF(INDEX('Final Calculation Sheet'!$W$4:$W$40,$BJ11-3)="","",INDEX('Final Calculation Sheet'!$W$4:$W$40,$BJ11-3)),IF(OR($BI11=1,$BL11=1,$BH11&gt;0),IF($BI11=1,SUM('Final Calculation Sheet'!$W$4:$W$40),IF($BL11=1,SUM('Final Calculation Sheet'!$W$4:$W$40)-SUMIFS('Final Calculation Sheet'!$W$4:$W$40,$AZ$5:$AZ$41,10),SUMIFS('Final Calculation Sheet'!$W$4:$W$40,$AZ$5:$AZ$41,$BH11))),""))</f>
        <v>183,447</v>
      </c>
      <c r="Y12" s="78" t="str">
        <f t="array" ref="Y12">IF($BJ11&gt;0,IF(INDEX('Final Calculation Sheet'!$X$4:$X$40,$BJ11-3)="","",INDEX('Final Calculation Sheet'!$X$4:$X$40,$BJ11-3)),IF(OR($BI11=1,$BL11=1,$BH11&gt;0),IF($BI11=1,SUM('Final Calculation Sheet'!$X$4:$X$40),IF($BL11=1,SUM('Final Calculation Sheet'!$X$4:$X$40)-SUMIFS('Final Calculation Sheet'!$X$4:$X$40,$AZ$5:$AZ$41,10),SUMIFS('Final Calculation Sheet'!$X$4:$X$40,$AZ$5:$AZ$41,$BH11))),""))</f>
        <v>183,446</v>
      </c>
      <c r="Z12" s="78" t="str">
        <f t="array" ref="Z12">IF($BJ11&gt;0,IF(INDEX('Final Calculation Sheet'!$Y$4:$Y$40,$BJ11-3)="","",INDEX('Final Calculation Sheet'!$Y$4:$Y$40,$BJ11-3)),IF(OR($BI11=1,$BL11=1,$BH11&gt;0),"–",""))</f>
        <v>20.08.2026</v>
      </c>
      <c r="AA12" s="78" t="str">
        <f t="array" ref="AA12">IF($BJ11&gt;0,IF(INDEX('Final Calculation Sheet'!$Z$4:$Z$40,$BJ11-3)="","",INDEX('Final Calculation Sheet'!$Z$4:$Z$40,$BJ11-3)),IF(OR($BI11=1,$BL11=1,$BH11&gt;0),IF($BI11=1,SUM('Final Calculation Sheet'!$Z$4:$Z$40),IF($BL11=1,SUM('Final Calculation Sheet'!$Z$4:$Z$40)-SUMIFS('Final Calculation Sheet'!$Z$4:$Z$40,$AZ$5:$AZ$41,10),SUMIFS('Final Calculation Sheet'!$Z$4:$Z$40,$AZ$5:$AZ$41,$BH11))),""))</f>
        <v>0</v>
      </c>
      <c r="AB12" s="78" t="str">
        <f t="array" ref="AB12">IF($BJ11&gt;0,IF(INDEX('Final Calculation Sheet'!$AA$4:$AA$40,$BJ11-3)="","",INDEX('Final Calculation Sheet'!$AA$4:$AA$40,$BJ11-3)),IF(OR($BI11=1,$BL11=1,$BH11&gt;0),IF($BI11=1,SUM('Final Calculation Sheet'!$AA$4:$AA$40),IF($BL11=1,SUM('Final Calculation Sheet'!$AA$4:$AA$40)-SUMIFS('Final Calculation Sheet'!$AA$4:$AA$40,$AZ$5:$AZ$41,10),SUMIFS('Final Calculation Sheet'!$AA$4:$AA$40,$AZ$5:$AZ$41,$BH11))),""))</f>
        <v/>
      </c>
      <c r="AC12" s="78" t="str">
        <f t="array" ref="AC12">IF($BJ11&gt;0,IF(INDEX('Final Calculation Sheet'!$AB$4:$AB$40,$BJ11-3)="","",INDEX('Final Calculation Sheet'!$AB$4:$AB$40,$BJ11-3)),IF(OR($BI11=1,$BL11=1,$BH11&gt;0),"–",""))</f>
        <v/>
      </c>
      <c r="AD12" s="78" t="str">
        <f t="array" ref="AD12">IF($BJ11&gt;0,IF(INDEX('Final Calculation Sheet'!$AC$4:$AC$40,$BJ11-3)="","",INDEX('Final Calculation Sheet'!$AC$4:$AC$40,$BJ11-3)),IF(OR($BI11=1,$BL11=1,$BH11&gt;0),IF($BI11=1,SUM('Final Calculation Sheet'!$AC$4:$AC$40),IF($BL11=1,SUM('Final Calculation Sheet'!$AC$4:$AC$40)-SUMIFS('Final Calculation Sheet'!$AC$4:$AC$40,$AZ$5:$AZ$41,10),SUMIFS('Final Calculation Sheet'!$AC$4:$AC$40,$AZ$5:$AZ$41,$BH11))),""))</f>
        <v>232,946</v>
      </c>
      <c r="AE12" s="78" t="str">
        <f t="array" ref="AE12">IF($BJ11&gt;0,IF(INDEX('Final Calculation Sheet'!$AD$4:$AD$40,$BJ11-3)="","",INDEX('Final Calculation Sheet'!$AD$4:$AD$40,$BJ11-3)),IF(OR($BI11=1,$BL11=1,$BH11&gt;0),IF($BI11=1,SUM('Final Calculation Sheet'!$AD$4:$AD$40),IF($BL11=1,SUM('Final Calculation Sheet'!$AD$4:$AD$40)-SUMIFS('Final Calculation Sheet'!$AD$4:$AD$40,$AZ$5:$AZ$41,10),SUMIFS('Final Calculation Sheet'!$AD$4:$AD$40,$AZ$5:$AZ$41,$BH11))),""))</f>
        <v>1</v>
      </c>
      <c r="AF12" s="78" t="str">
        <f t="array" ref="AF12">IF($BJ11&gt;0,IF(INDEX('Final Calculation Sheet'!$AE$4:$AE$40,$BJ11-3)="","",INDEX('Final Calculation Sheet'!$AE$4:$AE$40,$BJ11-3)),IF(OR($BI11=1,$BL11=1,$BH11&gt;0),"–",""))</f>
        <v>DR2640100048</v>
      </c>
      <c r="AG12" s="82" t="str">
        <f t="array" ref="AG12">IF($BJ11&gt;0,IF(INDEX('Final Calculation Sheet'!$AF$4:$AF$40,$BJ11-3)="","",INDEX('Final Calculation Sheet'!$AF$4:$AF$40,$BJ11-3)),IF(OR($BI11=1,$BL11=1,$BH11&gt;0),"–",""))</f>
        <v>1800003347</v>
      </c>
      <c r="AH12" s="78" t="str">
        <f t="array" ref="AH12">IF($BJ11&gt;0,IF(INDEX('Final Calculation Sheet'!$AG$4:$AG$40,$BJ11-3)="","",INDEX('Final Calculation Sheet'!$AG$4:$AG$40,$BJ11-3)),IF(OR($BI11=1,$BL11=1,$BH11&gt;0),"–",""))</f>
        <v>27.08.2026</v>
      </c>
      <c r="AI12" s="83" t="str">
        <f t="array" ref="AI12">IF($BJ11&gt;0,IF(INDEX('Final Calculation Sheet'!$AD$4:$AD$40,$BJ11-3)="","",IF(INDEX('Final Calculation Sheet'!$AD$4:$AD$40,$BJ11-3)&lt;=0,"SETTLED","OUTSTANDING")),IF(OR($BI11=1,$BL11=1,$BH11&gt;0),IF(IF($BI11=1,SUM('Final Calculation Sheet'!$AD$4:$AD$40),IF($BL11=1,SUM('Final Calculation Sheet'!$AD$4:$AD$40)-SUMIFS('Final Calculation Sheet'!$AD$4:$AD$40,$AZ$5:$AZ$41,10),SUMIFS('Final Calculation Sheet'!$AD$4:$AD$40,$AZ$5:$AZ$41,$BH11)))&lt;=0,"ALL SETTLED","OUTSTANDING"),""))</f>
        <v>OUTSTANDING</v>
      </c>
      <c r="AK12" t="str">
        <f>IF($F$3="Lot No.",'Final Calculation Sheet'!$F$11,IF($F$3="Buyer",'Final Calculation Sheet'!$G$11,IF($F$3="Lot Name",'Final Calculation Sheet'!$B$11,IF($F$3="Bid Sheet",'Final Calculation Sheet'!$D$11,IF($F$3="Unit",'Final Calculation Sheet'!$E$11,'Final Calculation Sheet'!$F$11&amp;" "&amp;'Final Calculation Sheet'!$G$11&amp;" "&amp;'Final Calculation Sheet'!$B$11)))))</f>
        <v>2003 NATIONAL ENTERPRISES Scrap of 145 KV CB</v>
      </c>
      <c r="AM12" t="str">
        <f t="shared" si="3"/>
        <v>0</v>
      </c>
      <c r="AZ12" t="str">
        <f t="shared" si="4"/>
        <v>10</v>
      </c>
      <c r="BA12" t="str">
        <f t="shared" si="5"/>
        <v>8</v>
      </c>
      <c r="BB12" t="str">
        <f t="shared" si="6"/>
        <v>15</v>
      </c>
      <c r="BC12">
        <v>11.0</v>
      </c>
      <c r="BD12" t="str">
        <f>COUNTIF($AZ$5:$AZ$41,9)</f>
        <v>0</v>
      </c>
      <c r="BE12" t="str">
        <f t="shared" si="7"/>
        <v>7</v>
      </c>
      <c r="BF12" t="str">
        <f t="shared" si="1"/>
        <v>0</v>
      </c>
      <c r="BH12" t="str">
        <f>IFERROR(MATCH(12,$BF$4:$BF$13,0),0)</f>
        <v>0</v>
      </c>
      <c r="BI12" t="str">
        <f>IF(12=$BG$5,1,0)</f>
        <v>0</v>
      </c>
      <c r="BJ12" t="str">
        <f t="array" ref="BJ12">IF(OR($BH12&gt;0,$BI12=1,$BL12=1),0,IFERROR(INDEX($BC$5:$BC$41,MATCH(12,$BB$5:$BB$41,0)),0))</f>
        <v>8</v>
      </c>
      <c r="BK12" t="str">
        <f t="array" ref="BK12">IF($BJ12&gt;0,IF(INDEX($AZ$5:$AZ$41,MATCH(12,$BB$5:$BB$41,0))=10,1,0),IF($BH12=10,1,0))</f>
        <v>1</v>
      </c>
      <c r="BL12" t="str">
        <f>IF(12=$BG$4,1,0)</f>
        <v>0</v>
      </c>
      <c r="BM12" t="str">
        <f t="shared" si="8"/>
        <v>1</v>
      </c>
      <c r="BN12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Sheet'!$F$11)&amp;"",""))))&gt;0))</f>
        <v>1</v>
      </c>
      <c r="BO12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Sheet'!$G$11)&amp;"",""))))&gt;0))</f>
        <v>1</v>
      </c>
      <c r="BP12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Sheet'!$B$11)&amp;"",""))))&gt;0))</f>
        <v>1</v>
      </c>
      <c r="BQ12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Sheet'!$D$11)&amp;"",""))))&gt;0))</f>
        <v>1</v>
      </c>
      <c r="BR12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Sheet'!$A$11)&amp;"",""))))&gt;0))</f>
        <v>1</v>
      </c>
      <c r="BS12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Sheet'!$E$11)&amp;"",""))))&gt;0))</f>
        <v>1</v>
      </c>
      <c r="BT12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Sheet'!$C$11)&amp;"",""))))&gt;0))</f>
        <v>1</v>
      </c>
      <c r="BU12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Sheet'!$H$11)&amp;"",""))))&gt;0))</f>
        <v>1</v>
      </c>
      <c r="BV12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Sheet'!$I$11)&amp;"",""))))&gt;0))</f>
        <v>1</v>
      </c>
      <c r="BW12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Sheet'!$J$11)&amp;"",""))))&gt;0))</f>
        <v>1</v>
      </c>
      <c r="BX12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Sheet'!$K$11)&amp;"",""))))&gt;0))</f>
        <v>1</v>
      </c>
      <c r="BY12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Sheet'!$L$11)&amp;"",""))))&gt;0))</f>
        <v>1</v>
      </c>
      <c r="BZ12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Sheet'!$M$11)&amp;"",""))))&gt;0))</f>
        <v>1</v>
      </c>
      <c r="CA12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Sheet'!$N$11)&amp;"",""))))&gt;0))</f>
        <v>1</v>
      </c>
      <c r="CB12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Sheet'!$O$11)&amp;"",""))))&gt;0))</f>
        <v>1</v>
      </c>
      <c r="CC12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Sheet'!$P$11)&amp;"",""))))&gt;0))</f>
        <v>1</v>
      </c>
      <c r="CD12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Sheet'!$Q$11)&amp;"",""))))&gt;0))</f>
        <v>1</v>
      </c>
      <c r="CE12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Sheet'!$R$11)&amp;"",""))))&gt;0))</f>
        <v>1</v>
      </c>
      <c r="CF12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Sheet'!$S$11)&amp;"",""))))&gt;0))</f>
        <v>1</v>
      </c>
      <c r="CG12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Sheet'!$T$11)&amp;"",""))))&gt;0))</f>
        <v>1</v>
      </c>
      <c r="CH12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Sheet'!$U$11)&amp;"",""))))&gt;0))</f>
        <v>1</v>
      </c>
      <c r="CI12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Sheet'!$V$11)&amp;"",""))))&gt;0))</f>
        <v>1</v>
      </c>
      <c r="CJ12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Sheet'!$W$11)&amp;"",""))))&gt;0))</f>
        <v>1</v>
      </c>
      <c r="CK12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Sheet'!$X$11)&amp;"",""))))&gt;0))</f>
        <v>1</v>
      </c>
      <c r="CL12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Sheet'!$Y$11)&amp;"",""))))&gt;0))</f>
        <v>1</v>
      </c>
      <c r="CM12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Sheet'!$Z$11)&amp;"",""))))&gt;0))</f>
        <v>1</v>
      </c>
      <c r="CN12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Sheet'!$AA$11)&amp;"",""))))&gt;0))</f>
        <v>1</v>
      </c>
      <c r="CO12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Sheet'!$AB$11)&amp;"",""))))&gt;0))</f>
        <v>1</v>
      </c>
      <c r="CP12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Sheet'!$AC$11)&amp;"",""))))&gt;0))</f>
        <v>1</v>
      </c>
      <c r="CQ12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Sheet'!$AD$11)&amp;"",""))))&gt;0))</f>
        <v>1</v>
      </c>
      <c r="CR12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Sheet'!$AE$11)&amp;"",""))))&gt;0))</f>
        <v>1</v>
      </c>
      <c r="CS12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Sheet'!$AF$11)&amp;"",""))))&gt;0))</f>
        <v>1</v>
      </c>
      <c r="CT12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Sheet'!$AG$11)&amp;"",""))))&gt;0))</f>
        <v>1</v>
      </c>
      <c r="CU12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Sheet'!$AD$11&lt;=0,"SETTLED","OUTSTANDING"))&amp;"",""))))&gt;0))</f>
        <v>1</v>
      </c>
    </row>
    <row r="13" ht="15.0" customHeight="1">
      <c r="A13" s="75" t="str">
        <f t="array" ref="A13">IF($BJ12&gt;0,INDEX($BA$5:$BA$41,MATCH(12,$BB$5:$BB$41,0)),IF(OR($BI12=1,$BL12=1,$BH12&gt;0),"∑",""))</f>
        <v>5</v>
      </c>
      <c r="B13" s="76" t="str">
        <f t="array" ref="B13">IF($BJ12&gt;0,IF(INDEX('Final Calculation Sheet'!$F$4:$F$40,$BJ12-3)="","",INDEX('Final Calculation Sheet'!$F$4:$F$40,$BJ12-3)),"")</f>
        <v>1923</v>
      </c>
      <c r="C13" s="76" t="str">
        <f t="array" ref="C13">IF($BJ12&gt;0,IF(INDEX('Final Calculation Sheet'!$G$4:$G$40,$BJ12-3)="","",INDEX('Final Calculation Sheet'!$G$4:$G$40,$BJ12-3)),IF(OR($BI12=1,$BL12=1,$BH12&gt;0),IF($BI12=1,37,IF($BL12=1,37-INDEX($BD$4:$BD$13,10),INDEX($BD$4:$BD$13,$BH12)))&amp;" lot(s)",""))</f>
        <v>OMKAR STEELS</v>
      </c>
      <c r="D13" s="77" t="str">
        <f t="array" ref="D13">IF($BJ12&gt;0,IF(INDEX('Final Calculation Sheet'!$B$4:$B$40,$BJ12-3)="","",INDEX('Final Calculation Sheet'!$B$4:$B$40,$BJ12-3)),IF(OR($BI12=1,$BL12=1,$BH12&gt;0),IF($BI12=1,"GRAND TOTAL  —  matching + remaining",IF($BL12=1,"TOTAL MATCHED  —  every group together",IF($BH12=10,"REMAINING  —  did not match the search",IF($BH12=9,IF(COUNTIF($A$4:$AI$4,"&lt;&gt;")&gt;0,"FILTERED LOTS  —  column fields","ALL LOTS  —  nothing typed in the box"),"GROUP "&amp;$BH12&amp;" TOTAL  —  lots matching  "&amp;INDEX($AR$6:$AY$6,$BH12))))),""))</f>
        <v>SCRAP ACSR CONDUCTORS (Conductor Pieces)</v>
      </c>
      <c r="E13" s="77" t="str">
        <f t="array" ref="E13">IF($BJ12&gt;0,IF(INDEX('Final Calculation Sheet'!$D$4:$D$40,$BJ12-3)="","",INDEX('Final Calculation Sheet'!$D$4:$D$40,$BJ12-3)),IF(OR($BI12=1,$BL12=1,$BH12&gt;0),"–",""))</f>
        <v>21980</v>
      </c>
      <c r="F13" s="77" t="str">
        <f t="array" ref="F13">IF($BJ12&gt;0,IF(INDEX('Final Calculation Sheet'!$A$4:$A$40,$BJ12-3)="","",INDEX('Final Calculation Sheet'!$A$4:$A$40,$BJ12-3)),IF(OR($BI12=1,$BL12=1,$BH12&gt;0),IF($BI12=1,SUM('Final Calculation Sheet'!$A$4:$A$40),IF($BL12=1,SUM('Final Calculation Sheet'!$A$4:$A$40)-SUMIFS('Final Calculation Sheet'!$A$4:$A$40,$AZ$5:$AZ$41,10),SUMIFS('Final Calculation Sheet'!$A$4:$A$40,$AZ$5:$AZ$41,$BH12))),""))</f>
        <v>7253</v>
      </c>
      <c r="G13" s="77" t="str">
        <f t="array" ref="G13">IF($BJ12&gt;0,IF(INDEX('Final Calculation Sheet'!$E$4:$E$40,$BJ12-3)="","",INDEX('Final Calculation Sheet'!$E$4:$E$40,$BJ12-3)),IF(OR($BI12=1,$BL12=1,$BH12&gt;0),"–",""))</f>
        <v>KG</v>
      </c>
      <c r="H13" s="78" t="str">
        <f t="array" ref="H13">IF($BJ12&gt;0,IF(INDEX('Final Calculation Sheet'!$C$4:$C$40,$BJ12-3)="","",INDEX('Final Calculation Sheet'!$C$4:$C$40,$BJ12-3)),IF(OR($BI12=1,$BL12=1,$BH12&gt;0),"–",""))</f>
        <v>227</v>
      </c>
      <c r="I13" s="78" t="str">
        <f t="array" ref="I13">IF($BJ12&gt;0,IF(INDEX('Final Calculation Sheet'!$H$4:$H$40,$BJ12-3)="","",INDEX('Final Calculation Sheet'!$H$4:$H$40,$BJ12-3)),IF(OR($BI12=1,$BL12=1,$BH12&gt;0),IF($BI12=1,SUM('Final Calculation Sheet'!$H$4:$H$40),IF($BL12=1,SUM('Final Calculation Sheet'!$H$4:$H$40)-SUMIFS('Final Calculation Sheet'!$H$4:$H$40,$AZ$5:$AZ$41,10),SUMIFS('Final Calculation Sheet'!$H$4:$H$40,$AZ$5:$AZ$41,$BH12))),""))</f>
        <v>1,646,431</v>
      </c>
      <c r="J13" s="78" t="str">
        <f t="array" ref="J13">IF($BJ12&gt;0,IF(INDEX('Final Calculation Sheet'!$I$4:$I$40,$BJ12-3)="","",INDEX('Final Calculation Sheet'!$I$4:$I$40,$BJ12-3)),IF(OR($BI12=1,$BL12=1,$BH12&gt;0),IF($BI12=1,SUM('Final Calculation Sheet'!$I$4:$I$40),IF($BL12=1,SUM('Final Calculation Sheet'!$I$4:$I$40)-SUMIFS('Final Calculation Sheet'!$I$4:$I$40,$AZ$5:$AZ$41,10),SUMIFS('Final Calculation Sheet'!$I$4:$I$40,$AZ$5:$AZ$41,$BH12))),""))</f>
        <v>296,358</v>
      </c>
      <c r="K13" s="78" t="str">
        <f t="array" ref="K13">IF($BJ12&gt;0,IF(INDEX('Final Calculation Sheet'!$J$4:$J$40,$BJ12-3)="","",INDEX('Final Calculation Sheet'!$J$4:$J$40,$BJ12-3)),IF(OR($BI12=1,$BL12=1,$BH12&gt;0),IF($BI12=1,SUM('Final Calculation Sheet'!$J$4:$J$40),IF($BL12=1,SUM('Final Calculation Sheet'!$J$4:$J$40)-SUMIFS('Final Calculation Sheet'!$J$4:$J$40,$AZ$5:$AZ$41,10),SUMIFS('Final Calculation Sheet'!$J$4:$J$40,$AZ$5:$AZ$41,$BH12))),""))</f>
        <v>1,942,789</v>
      </c>
      <c r="L13" s="78" t="str">
        <f t="array" ref="L13">IF($BJ12&gt;0,IF(INDEX('Final Calculation Sheet'!$K$4:$K$40,$BJ12-3)="","",INDEX('Final Calculation Sheet'!$K$4:$K$40,$BJ12-3)),IF(OR($BI12=1,$BL12=1,$BH12&gt;0),IF($BI12=1,SUM('Final Calculation Sheet'!$K$4:$K$40),IF($BL12=1,SUM('Final Calculation Sheet'!$K$4:$K$40)-SUMIFS('Final Calculation Sheet'!$K$4:$K$40,$AZ$5:$AZ$41,10),SUMIFS('Final Calculation Sheet'!$K$4:$K$40,$AZ$5:$AZ$41,$BH12))),""))</f>
        <v>38,856</v>
      </c>
      <c r="M13" s="78" t="str">
        <f t="array" ref="M13">IF($BJ12&gt;0,IF(INDEX('Final Calculation Sheet'!$L$4:$L$40,$BJ12-3)="","",INDEX('Final Calculation Sheet'!$L$4:$L$40,$BJ12-3)),IF(OR($BI12=1,$BL12=1,$BH12&gt;0),IF($BI12=1,SUM('Final Calculation Sheet'!$L$4:$L$40),IF($BL12=1,SUM('Final Calculation Sheet'!$L$4:$L$40)-SUMIFS('Final Calculation Sheet'!$L$4:$L$40,$AZ$5:$AZ$41,10),SUMIFS('Final Calculation Sheet'!$L$4:$L$40,$AZ$5:$AZ$41,$BH12))),""))</f>
        <v>1,646</v>
      </c>
      <c r="N13" s="78" t="str">
        <f t="array" ref="N13">IF($BJ12&gt;0,IF(INDEX('Final Calculation Sheet'!$M$4:$M$40,$BJ12-3)="","",INDEX('Final Calculation Sheet'!$M$4:$M$40,$BJ12-3)),IF(OR($BI12=1,$BL12=1,$BH12&gt;0),IF($BI12=1,SUM('Final Calculation Sheet'!$M$4:$M$40),IF($BL12=1,SUM('Final Calculation Sheet'!$M$4:$M$40)-SUMIFS('Final Calculation Sheet'!$M$4:$M$40,$AZ$5:$AZ$41,10),SUMIFS('Final Calculation Sheet'!$M$4:$M$40,$AZ$5:$AZ$41,$BH12))),""))</f>
        <v>43,713</v>
      </c>
      <c r="O13" s="79" t="str">
        <f t="array" ref="O13">IF($BJ12&gt;0,IF(INDEX('Final Calculation Sheet'!$N$4:$N$40,$BJ12-3)="","",INDEX('Final Calculation Sheet'!$N$4:$N$40,$BJ12-3)),IF(OR($BI12=1,$BL12=1,$BH12&gt;0),IF($BI12=1,SUM('Final Calculation Sheet'!$N$4:$N$40),IF($BL12=1,SUM('Final Calculation Sheet'!$N$4:$N$40)-SUMIFS('Final Calculation Sheet'!$N$4:$N$40,$AZ$5:$AZ$41,10),SUMIFS('Final Calculation Sheet'!$N$4:$N$40,$AZ$5:$AZ$41,$BH12))),""))</f>
        <v>741</v>
      </c>
      <c r="P13" s="78" t="str">
        <f t="array" ref="P13">IF($BJ12&gt;0,IF(INDEX('Final Calculation Sheet'!$O$4:$O$40,$BJ12-3)="","",INDEX('Final Calculation Sheet'!$O$4:$O$40,$BJ12-3)),IF(OR($BI12=1,$BL12=1,$BH12&gt;0),IF($BI12=1,SUM('Final Calculation Sheet'!$O$4:$O$40),IF($BL12=1,SUM('Final Calculation Sheet'!$O$4:$O$40)-SUMIFS('Final Calculation Sheet'!$O$4:$O$40,$AZ$5:$AZ$41,10),SUMIFS('Final Calculation Sheet'!$O$4:$O$40,$AZ$5:$AZ$41,$BH12))),""))</f>
        <v>42,972</v>
      </c>
      <c r="Q13" s="78" t="str">
        <f t="array" ref="Q13">IF($BJ12&gt;0,IF(INDEX('Final Calculation Sheet'!$P$4:$P$40,$BJ12-3)="","",INDEX('Final Calculation Sheet'!$P$4:$P$40,$BJ12-3)),IF(OR($BI12=1,$BL12=1,$BH12&gt;0),IF($BI12=1,SUM('Final Calculation Sheet'!$P$4:$P$40),IF($BL12=1,SUM('Final Calculation Sheet'!$P$4:$P$40)-SUMIFS('Final Calculation Sheet'!$P$4:$P$40,$AZ$5:$AZ$41,10),SUMIFS('Final Calculation Sheet'!$P$4:$P$40,$AZ$5:$AZ$41,$BH12))),""))</f>
        <v>44,618</v>
      </c>
      <c r="R13" s="80" t="str">
        <f t="array" ref="R13">IF($BJ12&gt;0,IF(INDEX('Final Calculation Sheet'!$Q$4:$Q$40,$BJ12-3)="","",INDEX('Final Calculation Sheet'!$Q$4:$Q$40,$BJ12-3)),IF(OR($BI12=1,$BL12=1,$BH12&gt;0),"–",""))</f>
        <v>2%</v>
      </c>
      <c r="S13" s="78" t="str">
        <f t="array" ref="S13">IF($BJ12&gt;0,IF(INDEX('Final Calculation Sheet'!$R$4:$R$40,$BJ12-3)="","",INDEX('Final Calculation Sheet'!$R$4:$R$40,$BJ12-3)),IF(OR($BI12=1,$BL12=1,$BH12&gt;0),IF($BI12=1,SUM('Final Calculation Sheet'!$R$4:$R$40),IF($BL12=1,SUM('Final Calculation Sheet'!$R$4:$R$40)-SUMIFS('Final Calculation Sheet'!$R$4:$R$40,$AZ$5:$AZ$41,10),SUMIFS('Final Calculation Sheet'!$R$4:$R$40,$AZ$5:$AZ$41,$BH12))),""))</f>
        <v>32,929</v>
      </c>
      <c r="T13" s="78" t="str">
        <f t="array" ref="T13">IF($BJ12&gt;0,IF(INDEX('Final Calculation Sheet'!$S$4:$S$40,$BJ12-3)="","",INDEX('Final Calculation Sheet'!$S$4:$S$40,$BJ12-3)),IF(OR($BI12=1,$BL12=1,$BH12&gt;0),IF($BI12=1,SUM('Final Calculation Sheet'!$S$4:$S$40),IF($BL12=1,SUM('Final Calculation Sheet'!$S$4:$S$40)-SUMIFS('Final Calculation Sheet'!$S$4:$S$40,$AZ$5:$AZ$41,10),SUMIFS('Final Calculation Sheet'!$S$4:$S$40,$AZ$5:$AZ$41,$BH12))),""))</f>
        <v>1,904,097</v>
      </c>
      <c r="U13" s="78" t="str">
        <f t="array" ref="U13">IF($BJ12&gt;0,IF(INDEX('Final Calculation Sheet'!$T$4:$T$40,$BJ12-3)="","",INDEX('Final Calculation Sheet'!$T$4:$T$40,$BJ12-3)),IF(OR($BI12=1,$BL12=1,$BH12&gt;0),IF($BI12=1,SUM('Final Calculation Sheet'!$T$4:$T$40),IF($BL12=1,SUM('Final Calculation Sheet'!$T$4:$T$40)-SUMIFS('Final Calculation Sheet'!$T$4:$T$40,$AZ$5:$AZ$41,10),SUMIFS('Final Calculation Sheet'!$T$4:$T$40,$AZ$5:$AZ$41,$BH12))),""))</f>
        <v>411,608</v>
      </c>
      <c r="V13" s="81" t="str">
        <f t="array" ref="V13">IF($BJ12&gt;0,IF(INDEX('Final Calculation Sheet'!$U$4:$U$40,$BJ12-3)="","",INDEX('Final Calculation Sheet'!$U$4:$U$40,$BJ12-3)),IF(OR($BI12=1,$BL12=1,$BH12&gt;0),IF($BI12=1,SUM('Final Calculation Sheet'!$U$4:$U$40),IF($BL12=1,SUM('Final Calculation Sheet'!$U$4:$U$40)-SUMIFS('Final Calculation Sheet'!$U$4:$U$40,$AZ$5:$AZ$41,10),SUMIFS('Final Calculation Sheet'!$U$4:$U$40,$AZ$5:$AZ$41,$BH12))),""))</f>
        <v>  411,608 </v>
      </c>
      <c r="W13" s="78" t="str">
        <f t="array" ref="W13">IF($BJ12&gt;0,IF(INDEX('Final Calculation Sheet'!$V$4:$V$40,$BJ12-3)="","",INDEX('Final Calculation Sheet'!$V$4:$V$40,$BJ12-3)),IF(OR($BI12=1,$BL12=1,$BH12&gt;0),"–",""))</f>
        <v>14.08.2026</v>
      </c>
      <c r="X13" s="78" t="str">
        <f t="array" ref="X13">IF($BJ12&gt;0,IF(INDEX('Final Calculation Sheet'!$W$4:$W$40,$BJ12-3)="","",INDEX('Final Calculation Sheet'!$W$4:$W$40,$BJ12-3)),IF(OR($BI12=1,$BL12=1,$BH12&gt;0),IF($BI12=1,SUM('Final Calculation Sheet'!$W$4:$W$40),IF($BL12=1,SUM('Final Calculation Sheet'!$W$4:$W$40)-SUMIFS('Final Calculation Sheet'!$W$4:$W$40,$AZ$5:$AZ$41,10),SUMIFS('Final Calculation Sheet'!$W$4:$W$40,$AZ$5:$AZ$41,$BH12))),""))</f>
        <v>1,492,489</v>
      </c>
      <c r="Y13" s="78" t="str">
        <f t="array" ref="Y13">IF($BJ12&gt;0,IF(INDEX('Final Calculation Sheet'!$X$4:$X$40,$BJ12-3)="","",INDEX('Final Calculation Sheet'!$X$4:$X$40,$BJ12-3)),IF(OR($BI12=1,$BL12=1,$BH12&gt;0),IF($BI12=1,SUM('Final Calculation Sheet'!$X$4:$X$40),IF($BL12=1,SUM('Final Calculation Sheet'!$X$4:$X$40)-SUMIFS('Final Calculation Sheet'!$X$4:$X$40,$AZ$5:$AZ$41,10),SUMIFS('Final Calculation Sheet'!$X$4:$X$40,$AZ$5:$AZ$41,$BH12))),""))</f>
        <v>1,492,490</v>
      </c>
      <c r="Z13" s="78" t="str">
        <f t="array" ref="Z13">IF($BJ12&gt;0,IF(INDEX('Final Calculation Sheet'!$Y$4:$Y$40,$BJ12-3)="","",INDEX('Final Calculation Sheet'!$Y$4:$Y$40,$BJ12-3)),IF(OR($BI12=1,$BL12=1,$BH12&gt;0),"–",""))</f>
        <v>24.08.2026</v>
      </c>
      <c r="AA13" s="78" t="str">
        <f t="array" ref="AA13">IF($BJ12&gt;0,IF(INDEX('Final Calculation Sheet'!$Z$4:$Z$40,$BJ12-3)="","",INDEX('Final Calculation Sheet'!$Z$4:$Z$40,$BJ12-3)),IF(OR($BI12=1,$BL12=1,$BH12&gt;0),IF($BI12=1,SUM('Final Calculation Sheet'!$Z$4:$Z$40),IF($BL12=1,SUM('Final Calculation Sheet'!$Z$4:$Z$40)-SUMIFS('Final Calculation Sheet'!$Z$4:$Z$40,$AZ$5:$AZ$41,10),SUMIFS('Final Calculation Sheet'!$Z$4:$Z$40,$AZ$5:$AZ$41,$BH12))),""))</f>
        <v>0</v>
      </c>
      <c r="AB13" s="78" t="str">
        <f t="array" ref="AB13">IF($BJ12&gt;0,IF(INDEX('Final Calculation Sheet'!$AA$4:$AA$40,$BJ12-3)="","",INDEX('Final Calculation Sheet'!$AA$4:$AA$40,$BJ12-3)),IF(OR($BI12=1,$BL12=1,$BH12&gt;0),IF($BI12=1,SUM('Final Calculation Sheet'!$AA$4:$AA$40),IF($BL12=1,SUM('Final Calculation Sheet'!$AA$4:$AA$40)-SUMIFS('Final Calculation Sheet'!$AA$4:$AA$40,$AZ$5:$AZ$41,10),SUMIFS('Final Calculation Sheet'!$AA$4:$AA$40,$AZ$5:$AZ$41,$BH12))),""))</f>
        <v/>
      </c>
      <c r="AC13" s="78" t="str">
        <f t="array" ref="AC13">IF($BJ12&gt;0,IF(INDEX('Final Calculation Sheet'!$AB$4:$AB$40,$BJ12-3)="","",INDEX('Final Calculation Sheet'!$AB$4:$AB$40,$BJ12-3)),IF(OR($BI12=1,$BL12=1,$BH12&gt;0),"–",""))</f>
        <v/>
      </c>
      <c r="AD13" s="78" t="str">
        <f t="array" ref="AD13">IF($BJ12&gt;0,IF(INDEX('Final Calculation Sheet'!$AC$4:$AC$40,$BJ12-3)="","",INDEX('Final Calculation Sheet'!$AC$4:$AC$40,$BJ12-3)),IF(OR($BI12=1,$BL12=1,$BH12&gt;0),IF($BI12=1,SUM('Final Calculation Sheet'!$AC$4:$AC$40),IF($BL12=1,SUM('Final Calculation Sheet'!$AC$4:$AC$40)-SUMIFS('Final Calculation Sheet'!$AC$4:$AC$40,$AZ$5:$AZ$41,10),SUMIFS('Final Calculation Sheet'!$AC$4:$AC$40,$AZ$5:$AZ$41,$BH12))),""))</f>
        <v>1,904,098</v>
      </c>
      <c r="AE13" s="78" t="str">
        <f t="array" ref="AE13">IF($BJ12&gt;0,IF(INDEX('Final Calculation Sheet'!$AD$4:$AD$40,$BJ12-3)="","",INDEX('Final Calculation Sheet'!$AD$4:$AD$40,$BJ12-3)),IF(OR($BI12=1,$BL12=1,$BH12&gt;0),IF($BI12=1,SUM('Final Calculation Sheet'!$AD$4:$AD$40),IF($BL12=1,SUM('Final Calculation Sheet'!$AD$4:$AD$40)-SUMIFS('Final Calculation Sheet'!$AD$4:$AD$40,$AZ$5:$AZ$41,10),SUMIFS('Final Calculation Sheet'!$AD$4:$AD$40,$AZ$5:$AZ$41,$BH12))),""))</f>
        <v>(1)</v>
      </c>
      <c r="AF13" s="78" t="str">
        <f t="array" ref="AF13">IF($BJ12&gt;0,IF(INDEX('Final Calculation Sheet'!$AE$4:$AE$40,$BJ12-3)="","",INDEX('Final Calculation Sheet'!$AE$4:$AE$40,$BJ12-3)),IF(OR($BI12=1,$BL12=1,$BH12&gt;0),"–",""))</f>
        <v>DR2640100045</v>
      </c>
      <c r="AG13" s="82" t="str">
        <f t="array" ref="AG13">IF($BJ12&gt;0,IF(INDEX('Final Calculation Sheet'!$AF$4:$AF$40,$BJ12-3)="","",INDEX('Final Calculation Sheet'!$AF$4:$AF$40,$BJ12-3)),IF(OR($BI12=1,$BL12=1,$BH12&gt;0),"–",""))</f>
        <v>1800003315</v>
      </c>
      <c r="AH13" s="78" t="str">
        <f t="array" ref="AH13">IF($BJ12&gt;0,IF(INDEX('Final Calculation Sheet'!$AG$4:$AG$40,$BJ12-3)="","",INDEX('Final Calculation Sheet'!$AG$4:$AG$40,$BJ12-3)),IF(OR($BI12=1,$BL12=1,$BH12&gt;0),"–",""))</f>
        <v>27.08.2026</v>
      </c>
      <c r="AI13" s="83" t="str">
        <f t="array" ref="AI13">IF($BJ12&gt;0,IF(INDEX('Final Calculation Sheet'!$AD$4:$AD$40,$BJ12-3)="","",IF(INDEX('Final Calculation Sheet'!$AD$4:$AD$40,$BJ12-3)&lt;=0,"SETTLED","OUTSTANDING")),IF(OR($BI12=1,$BL12=1,$BH12&gt;0),IF(IF($BI12=1,SUM('Final Calculation Sheet'!$AD$4:$AD$40),IF($BL12=1,SUM('Final Calculation Sheet'!$AD$4:$AD$40)-SUMIFS('Final Calculation Sheet'!$AD$4:$AD$40,$AZ$5:$AZ$41,10),SUMIFS('Final Calculation Sheet'!$AD$4:$AD$40,$AZ$5:$AZ$41,$BH12)))&lt;=0,"ALL SETTLED","OUTSTANDING"),""))</f>
        <v>SETTLED</v>
      </c>
      <c r="AK13" t="str">
        <f>IF($F$3="Lot No.",'Final Calculation Sheet'!$F$12,IF($F$3="Buyer",'Final Calculation Sheet'!$G$12,IF($F$3="Lot Name",'Final Calculation Sheet'!$B$12,IF($F$3="Bid Sheet",'Final Calculation Sheet'!$D$12,IF($F$3="Unit",'Final Calculation Sheet'!$E$12,'Final Calculation Sheet'!$F$12&amp;" "&amp;'Final Calculation Sheet'!$G$12&amp;" "&amp;'Final Calculation Sheet'!$B$12)))))</f>
        <v>2005 NATIONAL ENTERPRISES Scrap of 220KV CT</v>
      </c>
      <c r="AM13" t="str">
        <f t="shared" si="3"/>
        <v>0</v>
      </c>
      <c r="AZ13" t="str">
        <f t="shared" si="4"/>
        <v>10</v>
      </c>
      <c r="BA13" t="str">
        <f t="shared" si="5"/>
        <v>9</v>
      </c>
      <c r="BB13" t="str">
        <f t="shared" si="6"/>
        <v>16</v>
      </c>
      <c r="BC13">
        <v>12.0</v>
      </c>
      <c r="BD13" t="str">
        <f>COUNTIF($AZ$5:$AZ$41,10)</f>
        <v>36</v>
      </c>
      <c r="BE13" t="str">
        <f>$BG$4+1</f>
        <v>8</v>
      </c>
      <c r="BF13" t="str">
        <f t="shared" si="1"/>
        <v>44</v>
      </c>
      <c r="BH13" t="str">
        <f>IFERROR(MATCH(13,$BF$4:$BF$13,0),0)</f>
        <v>0</v>
      </c>
      <c r="BI13" t="str">
        <f>IF(13=$BG$5,1,0)</f>
        <v>0</v>
      </c>
      <c r="BJ13" t="str">
        <f t="array" ref="BJ13">IF(OR($BH13&gt;0,$BI13=1,$BL13=1),0,IFERROR(INDEX($BC$5:$BC$41,MATCH(13,$BB$5:$BB$41,0)),0))</f>
        <v>9</v>
      </c>
      <c r="BK13" t="str">
        <f t="array" ref="BK13">IF($BJ13&gt;0,IF(INDEX($AZ$5:$AZ$41,MATCH(13,$BB$5:$BB$41,0))=10,1,0),IF($BH13=10,1,0))</f>
        <v>1</v>
      </c>
      <c r="BL13" t="str">
        <f>IF(13=$BG$4,1,0)</f>
        <v>0</v>
      </c>
      <c r="BM13" t="str">
        <f t="shared" si="8"/>
        <v>1</v>
      </c>
      <c r="BN13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Sheet'!$F$12)&amp;"",""))))&gt;0))</f>
        <v>1</v>
      </c>
      <c r="BO13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Sheet'!$G$12)&amp;"",""))))&gt;0))</f>
        <v>1</v>
      </c>
      <c r="BP13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Sheet'!$B$12)&amp;"",""))))&gt;0))</f>
        <v>1</v>
      </c>
      <c r="BQ13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Sheet'!$D$12)&amp;"",""))))&gt;0))</f>
        <v>1</v>
      </c>
      <c r="BR13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Sheet'!$A$12)&amp;"",""))))&gt;0))</f>
        <v>1</v>
      </c>
      <c r="BS13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Sheet'!$E$12)&amp;"",""))))&gt;0))</f>
        <v>1</v>
      </c>
      <c r="BT13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Sheet'!$C$12)&amp;"",""))))&gt;0))</f>
        <v>1</v>
      </c>
      <c r="BU13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Sheet'!$H$12)&amp;"",""))))&gt;0))</f>
        <v>1</v>
      </c>
      <c r="BV13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Sheet'!$I$12)&amp;"",""))))&gt;0))</f>
        <v>1</v>
      </c>
      <c r="BW13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Sheet'!$J$12)&amp;"",""))))&gt;0))</f>
        <v>1</v>
      </c>
      <c r="BX13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Sheet'!$K$12)&amp;"",""))))&gt;0))</f>
        <v>1</v>
      </c>
      <c r="BY13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Sheet'!$L$12)&amp;"",""))))&gt;0))</f>
        <v>1</v>
      </c>
      <c r="BZ13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Sheet'!$M$12)&amp;"",""))))&gt;0))</f>
        <v>1</v>
      </c>
      <c r="CA13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Sheet'!$N$12)&amp;"",""))))&gt;0))</f>
        <v>1</v>
      </c>
      <c r="CB13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Sheet'!$O$12)&amp;"",""))))&gt;0))</f>
        <v>1</v>
      </c>
      <c r="CC13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Sheet'!$P$12)&amp;"",""))))&gt;0))</f>
        <v>1</v>
      </c>
      <c r="CD13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Sheet'!$Q$12)&amp;"",""))))&gt;0))</f>
        <v>1</v>
      </c>
      <c r="CE13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Sheet'!$R$12)&amp;"",""))))&gt;0))</f>
        <v>1</v>
      </c>
      <c r="CF13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Sheet'!$S$12)&amp;"",""))))&gt;0))</f>
        <v>1</v>
      </c>
      <c r="CG13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Sheet'!$T$12)&amp;"",""))))&gt;0))</f>
        <v>1</v>
      </c>
      <c r="CH13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Sheet'!$U$12)&amp;"",""))))&gt;0))</f>
        <v>1</v>
      </c>
      <c r="CI13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Sheet'!$V$12)&amp;"",""))))&gt;0))</f>
        <v>1</v>
      </c>
      <c r="CJ13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Sheet'!$W$12)&amp;"",""))))&gt;0))</f>
        <v>1</v>
      </c>
      <c r="CK13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Sheet'!$X$12)&amp;"",""))))&gt;0))</f>
        <v>1</v>
      </c>
      <c r="CL13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Sheet'!$Y$12)&amp;"",""))))&gt;0))</f>
        <v>1</v>
      </c>
      <c r="CM13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Sheet'!$Z$12)&amp;"",""))))&gt;0))</f>
        <v>1</v>
      </c>
      <c r="CN13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Sheet'!$AA$12)&amp;"",""))))&gt;0))</f>
        <v>1</v>
      </c>
      <c r="CO13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Sheet'!$AB$12)&amp;"",""))))&gt;0))</f>
        <v>1</v>
      </c>
      <c r="CP13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Sheet'!$AC$12)&amp;"",""))))&gt;0))</f>
        <v>1</v>
      </c>
      <c r="CQ13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Sheet'!$AD$12)&amp;"",""))))&gt;0))</f>
        <v>1</v>
      </c>
      <c r="CR13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Sheet'!$AE$12)&amp;"",""))))&gt;0))</f>
        <v>1</v>
      </c>
      <c r="CS13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Sheet'!$AF$12)&amp;"",""))))&gt;0))</f>
        <v>1</v>
      </c>
      <c r="CT13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Sheet'!$AG$12)&amp;"",""))))&gt;0))</f>
        <v>1</v>
      </c>
      <c r="CU13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Sheet'!$AD$12&lt;=0,"SETTLED","OUTSTANDING"))&amp;"",""))))&gt;0))</f>
        <v>1</v>
      </c>
    </row>
    <row r="14" ht="15.0" customHeight="1">
      <c r="A14" s="75" t="str">
        <f t="array" ref="A14">IF($BJ13&gt;0,INDEX($BA$5:$BA$41,MATCH(13,$BB$5:$BB$41,0)),IF(OR($BI13=1,$BL13=1,$BH13&gt;0),"∑",""))</f>
        <v>6</v>
      </c>
      <c r="B14" s="76" t="str">
        <f t="array" ref="B14">IF($BJ13&gt;0,IF(INDEX('Final Calculation Sheet'!$F$4:$F$40,$BJ13-3)="","",INDEX('Final Calculation Sheet'!$F$4:$F$40,$BJ13-3)),"")</f>
        <v>1976</v>
      </c>
      <c r="C14" s="76" t="str">
        <f t="array" ref="C14">IF($BJ13&gt;0,IF(INDEX('Final Calculation Sheet'!$G$4:$G$40,$BJ13-3)="","",INDEX('Final Calculation Sheet'!$G$4:$G$40,$BJ13-3)),IF(OR($BI13=1,$BL13=1,$BH13&gt;0),IF($BI13=1,37,IF($BL13=1,37-INDEX($BD$4:$BD$13,10),INDEX($BD$4:$BD$13,$BH13)))&amp;" lot(s)",""))</f>
        <v>SHAR JAHAN TRADERS</v>
      </c>
      <c r="D14" s="77" t="str">
        <f t="array" ref="D14">IF($BJ13&gt;0,IF(INDEX('Final Calculation Sheet'!$B$4:$B$40,$BJ13-3)="","",INDEX('Final Calculation Sheet'!$B$4:$B$40,$BJ13-3)),IF(OR($BI13=1,$BL13=1,$BH13&gt;0),IF($BI13=1,"GRAND TOTAL  —  matching + remaining",IF($BL13=1,"TOTAL MATCHED  —  every group together",IF($BH13=10,"REMAINING  —  did not match the search",IF($BH13=9,IF(COUNTIF($A$4:$AI$4,"&lt;&gt;")&gt;0,"FILTERED LOTS  —  column fields","ALL LOTS  —  nothing typed in the box"),"GROUP "&amp;$BH13&amp;" TOTAL  —  lots matching  "&amp;INDEX($AR$6:$AY$6,$BH13))))),""))</f>
        <v>Scrap Power Transformer</v>
      </c>
      <c r="E14" s="77" t="str">
        <f t="array" ref="E14">IF($BJ13&gt;0,IF(INDEX('Final Calculation Sheet'!$D$4:$D$40,$BJ13-3)="","",INDEX('Final Calculation Sheet'!$D$4:$D$40,$BJ13-3)),IF(OR($BI13=1,$BL13=1,$BH13&gt;0),"–",""))</f>
        <v>21977</v>
      </c>
      <c r="F14" s="77" t="str">
        <f t="array" ref="F14">IF($BJ13&gt;0,IF(INDEX('Final Calculation Sheet'!$A$4:$A$40,$BJ13-3)="","",INDEX('Final Calculation Sheet'!$A$4:$A$40,$BJ13-3)),IF(OR($BI13=1,$BL13=1,$BH13&gt;0),IF($BI13=1,SUM('Final Calculation Sheet'!$A$4:$A$40),IF($BL13=1,SUM('Final Calculation Sheet'!$A$4:$A$40)-SUMIFS('Final Calculation Sheet'!$A$4:$A$40,$AZ$5:$AZ$41,10),SUMIFS('Final Calculation Sheet'!$A$4:$A$40,$AZ$5:$AZ$41,$BH13))),""))</f>
        <v>1</v>
      </c>
      <c r="G14" s="77" t="str">
        <f t="array" ref="G14">IF($BJ13&gt;0,IF(INDEX('Final Calculation Sheet'!$E$4:$E$40,$BJ13-3)="","",INDEX('Final Calculation Sheet'!$E$4:$E$40,$BJ13-3)),IF(OR($BI13=1,$BL13=1,$BH13&gt;0),"–",""))</f>
        <v>NO</v>
      </c>
      <c r="H14" s="78" t="str">
        <f t="array" ref="H14">IF($BJ13&gt;0,IF(INDEX('Final Calculation Sheet'!$C$4:$C$40,$BJ13-3)="","",INDEX('Final Calculation Sheet'!$C$4:$C$40,$BJ13-3)),IF(OR($BI13=1,$BL13=1,$BH13&gt;0),"–",""))</f>
        <v>2,787,314</v>
      </c>
      <c r="I14" s="78" t="str">
        <f t="array" ref="I14">IF($BJ13&gt;0,IF(INDEX('Final Calculation Sheet'!$H$4:$H$40,$BJ13-3)="","",INDEX('Final Calculation Sheet'!$H$4:$H$40,$BJ13-3)),IF(OR($BI13=1,$BL13=1,$BH13&gt;0),IF($BI13=1,SUM('Final Calculation Sheet'!$H$4:$H$40),IF($BL13=1,SUM('Final Calculation Sheet'!$H$4:$H$40)-SUMIFS('Final Calculation Sheet'!$H$4:$H$40,$AZ$5:$AZ$41,10),SUMIFS('Final Calculation Sheet'!$H$4:$H$40,$AZ$5:$AZ$41,$BH13))),""))</f>
        <v>2,787,314</v>
      </c>
      <c r="J14" s="78" t="str">
        <f t="array" ref="J14">IF($BJ13&gt;0,IF(INDEX('Final Calculation Sheet'!$I$4:$I$40,$BJ13-3)="","",INDEX('Final Calculation Sheet'!$I$4:$I$40,$BJ13-3)),IF(OR($BI13=1,$BL13=1,$BH13&gt;0),IF($BI13=1,SUM('Final Calculation Sheet'!$I$4:$I$40),IF($BL13=1,SUM('Final Calculation Sheet'!$I$4:$I$40)-SUMIFS('Final Calculation Sheet'!$I$4:$I$40,$AZ$5:$AZ$41,10),SUMIFS('Final Calculation Sheet'!$I$4:$I$40,$AZ$5:$AZ$41,$BH13))),""))</f>
        <v>501,717</v>
      </c>
      <c r="K14" s="78" t="str">
        <f t="array" ref="K14">IF($BJ13&gt;0,IF(INDEX('Final Calculation Sheet'!$J$4:$J$40,$BJ13-3)="","",INDEX('Final Calculation Sheet'!$J$4:$J$40,$BJ13-3)),IF(OR($BI13=1,$BL13=1,$BH13&gt;0),IF($BI13=1,SUM('Final Calculation Sheet'!$J$4:$J$40),IF($BL13=1,SUM('Final Calculation Sheet'!$J$4:$J$40)-SUMIFS('Final Calculation Sheet'!$J$4:$J$40,$AZ$5:$AZ$41,10),SUMIFS('Final Calculation Sheet'!$J$4:$J$40,$AZ$5:$AZ$41,$BH13))),""))</f>
        <v>3,289,031</v>
      </c>
      <c r="L14" s="78" t="str">
        <f t="array" ref="L14">IF($BJ13&gt;0,IF(INDEX('Final Calculation Sheet'!$K$4:$K$40,$BJ13-3)="","",INDEX('Final Calculation Sheet'!$K$4:$K$40,$BJ13-3)),IF(OR($BI13=1,$BL13=1,$BH13&gt;0),IF($BI13=1,SUM('Final Calculation Sheet'!$K$4:$K$40),IF($BL13=1,SUM('Final Calculation Sheet'!$K$4:$K$40)-SUMIFS('Final Calculation Sheet'!$K$4:$K$40,$AZ$5:$AZ$41,10),SUMIFS('Final Calculation Sheet'!$K$4:$K$40,$AZ$5:$AZ$41,$BH13))),""))</f>
        <v>65,781</v>
      </c>
      <c r="M14" s="78" t="str">
        <f t="array" ref="M14">IF($BJ13&gt;0,IF(INDEX('Final Calculation Sheet'!$L$4:$L$40,$BJ13-3)="","",INDEX('Final Calculation Sheet'!$L$4:$L$40,$BJ13-3)),IF(OR($BI13=1,$BL13=1,$BH13&gt;0),IF($BI13=1,SUM('Final Calculation Sheet'!$L$4:$L$40),IF($BL13=1,SUM('Final Calculation Sheet'!$L$4:$L$40)-SUMIFS('Final Calculation Sheet'!$L$4:$L$40,$AZ$5:$AZ$41,10),SUMIFS('Final Calculation Sheet'!$L$4:$L$40,$AZ$5:$AZ$41,$BH13))),""))</f>
        <v>2,787</v>
      </c>
      <c r="N14" s="78" t="str">
        <f t="array" ref="N14">IF($BJ13&gt;0,IF(INDEX('Final Calculation Sheet'!$M$4:$M$40,$BJ13-3)="","",INDEX('Final Calculation Sheet'!$M$4:$M$40,$BJ13-3)),IF(OR($BI13=1,$BL13=1,$BH13&gt;0),IF($BI13=1,SUM('Final Calculation Sheet'!$M$4:$M$40),IF($BL13=1,SUM('Final Calculation Sheet'!$M$4:$M$40)-SUMIFS('Final Calculation Sheet'!$M$4:$M$40,$AZ$5:$AZ$41,10),SUMIFS('Final Calculation Sheet'!$M$4:$M$40,$AZ$5:$AZ$41,$BH13))),""))</f>
        <v>74,003</v>
      </c>
      <c r="O14" s="79" t="str">
        <f t="array" ref="O14">IF($BJ13&gt;0,IF(INDEX('Final Calculation Sheet'!$N$4:$N$40,$BJ13-3)="","",INDEX('Final Calculation Sheet'!$N$4:$N$40,$BJ13-3)),IF(OR($BI13=1,$BL13=1,$BH13&gt;0),IF($BI13=1,SUM('Final Calculation Sheet'!$N$4:$N$40),IF($BL13=1,SUM('Final Calculation Sheet'!$N$4:$N$40)-SUMIFS('Final Calculation Sheet'!$N$4:$N$40,$AZ$5:$AZ$41,10),SUMIFS('Final Calculation Sheet'!$N$4:$N$40,$AZ$5:$AZ$41,$BH13))),""))</f>
        <v>1,254</v>
      </c>
      <c r="P14" s="78" t="str">
        <f t="array" ref="P14">IF($BJ13&gt;0,IF(INDEX('Final Calculation Sheet'!$O$4:$O$40,$BJ13-3)="","",INDEX('Final Calculation Sheet'!$O$4:$O$40,$BJ13-3)),IF(OR($BI13=1,$BL13=1,$BH13&gt;0),IF($BI13=1,SUM('Final Calculation Sheet'!$O$4:$O$40),IF($BL13=1,SUM('Final Calculation Sheet'!$O$4:$O$40)-SUMIFS('Final Calculation Sheet'!$O$4:$O$40,$AZ$5:$AZ$41,10),SUMIFS('Final Calculation Sheet'!$O$4:$O$40,$AZ$5:$AZ$41,$BH13))),""))</f>
        <v>72,749</v>
      </c>
      <c r="Q14" s="78" t="str">
        <f t="array" ref="Q14">IF($BJ13&gt;0,IF(INDEX('Final Calculation Sheet'!$P$4:$P$40,$BJ13-3)="","",INDEX('Final Calculation Sheet'!$P$4:$P$40,$BJ13-3)),IF(OR($BI13=1,$BL13=1,$BH13&gt;0),IF($BI13=1,SUM('Final Calculation Sheet'!$P$4:$P$40),IF($BL13=1,SUM('Final Calculation Sheet'!$P$4:$P$40)-SUMIFS('Final Calculation Sheet'!$P$4:$P$40,$AZ$5:$AZ$41,10),SUMIFS('Final Calculation Sheet'!$P$4:$P$40,$AZ$5:$AZ$41,$BH13))),""))</f>
        <v>75,536</v>
      </c>
      <c r="R14" s="80" t="str">
        <f t="array" ref="R14">IF($BJ13&gt;0,IF(INDEX('Final Calculation Sheet'!$Q$4:$Q$40,$BJ13-3)="","",INDEX('Final Calculation Sheet'!$Q$4:$Q$40,$BJ13-3)),IF(OR($BI13=1,$BL13=1,$BH13&gt;0),"–",""))</f>
        <v>0%</v>
      </c>
      <c r="S14" s="78" t="str">
        <f t="array" ref="S14">IF($BJ13&gt;0,IF(INDEX('Final Calculation Sheet'!$R$4:$R$40,$BJ13-3)="","",INDEX('Final Calculation Sheet'!$R$4:$R$40,$BJ13-3)),IF(OR($BI13=1,$BL13=1,$BH13&gt;0),IF($BI13=1,SUM('Final Calculation Sheet'!$R$4:$R$40),IF($BL13=1,SUM('Final Calculation Sheet'!$R$4:$R$40)-SUMIFS('Final Calculation Sheet'!$R$4:$R$40,$AZ$5:$AZ$41,10),SUMIFS('Final Calculation Sheet'!$R$4:$R$40,$AZ$5:$AZ$41,$BH13))),""))</f>
        <v>0</v>
      </c>
      <c r="T14" s="78" t="str">
        <f t="array" ref="T14">IF($BJ13&gt;0,IF(INDEX('Final Calculation Sheet'!$S$4:$S$40,$BJ13-3)="","",INDEX('Final Calculation Sheet'!$S$4:$S$40,$BJ13-3)),IF(OR($BI13=1,$BL13=1,$BH13&gt;0),IF($BI13=1,SUM('Final Calculation Sheet'!$S$4:$S$40),IF($BL13=1,SUM('Final Calculation Sheet'!$S$4:$S$40)-SUMIFS('Final Calculation Sheet'!$S$4:$S$40,$AZ$5:$AZ$41,10),SUMIFS('Final Calculation Sheet'!$S$4:$S$40,$AZ$5:$AZ$41,$BH13))),""))</f>
        <v>3,279,275</v>
      </c>
      <c r="U14" s="78" t="str">
        <f t="array" ref="U14">IF($BJ13&gt;0,IF(INDEX('Final Calculation Sheet'!$T$4:$T$40,$BJ13-3)="","",INDEX('Final Calculation Sheet'!$T$4:$T$40,$BJ13-3)),IF(OR($BI13=1,$BL13=1,$BH13&gt;0),IF($BI13=1,SUM('Final Calculation Sheet'!$T$4:$T$40),IF($BL13=1,SUM('Final Calculation Sheet'!$T$4:$T$40)-SUMIFS('Final Calculation Sheet'!$T$4:$T$40,$AZ$5:$AZ$41,10),SUMIFS('Final Calculation Sheet'!$T$4:$T$40,$AZ$5:$AZ$41,$BH13))),""))</f>
        <v>696,829</v>
      </c>
      <c r="V14" s="81" t="str">
        <f t="array" ref="V14">IF($BJ13&gt;0,IF(INDEX('Final Calculation Sheet'!$U$4:$U$40,$BJ13-3)="","",INDEX('Final Calculation Sheet'!$U$4:$U$40,$BJ13-3)),IF(OR($BI13=1,$BL13=1,$BH13&gt;0),IF($BI13=1,SUM('Final Calculation Sheet'!$U$4:$U$40),IF($BL13=1,SUM('Final Calculation Sheet'!$U$4:$U$40)-SUMIFS('Final Calculation Sheet'!$U$4:$U$40,$AZ$5:$AZ$41,10),SUMIFS('Final Calculation Sheet'!$U$4:$U$40,$AZ$5:$AZ$41,$BH13))),""))</f>
        <v>  696,829 </v>
      </c>
      <c r="W14" s="78" t="str">
        <f t="array" ref="W14">IF($BJ13&gt;0,IF(INDEX('Final Calculation Sheet'!$V$4:$V$40,$BJ13-3)="","",INDEX('Final Calculation Sheet'!$V$4:$V$40,$BJ13-3)),IF(OR($BI13=1,$BL13=1,$BH13&gt;0),"–",""))</f>
        <v>13.08.2026</v>
      </c>
      <c r="X14" s="78" t="str">
        <f t="array" ref="X14">IF($BJ13&gt;0,IF(INDEX('Final Calculation Sheet'!$W$4:$W$40,$BJ13-3)="","",INDEX('Final Calculation Sheet'!$W$4:$W$40,$BJ13-3)),IF(OR($BI13=1,$BL13=1,$BH13&gt;0),IF($BI13=1,SUM('Final Calculation Sheet'!$W$4:$W$40),IF($BL13=1,SUM('Final Calculation Sheet'!$W$4:$W$40)-SUMIFS('Final Calculation Sheet'!$W$4:$W$40,$AZ$5:$AZ$41,10),SUMIFS('Final Calculation Sheet'!$W$4:$W$40,$AZ$5:$AZ$41,$BH13))),""))</f>
        <v>2,582,446</v>
      </c>
      <c r="Y14" s="78" t="str">
        <f t="array" ref="Y14">IF($BJ13&gt;0,IF(INDEX('Final Calculation Sheet'!$X$4:$X$40,$BJ13-3)="","",INDEX('Final Calculation Sheet'!$X$4:$X$40,$BJ13-3)),IF(OR($BI13=1,$BL13=1,$BH13&gt;0),IF($BI13=1,SUM('Final Calculation Sheet'!$X$4:$X$40),IF($BL13=1,SUM('Final Calculation Sheet'!$X$4:$X$40)-SUMIFS('Final Calculation Sheet'!$X$4:$X$40,$AZ$5:$AZ$41,10),SUMIFS('Final Calculation Sheet'!$X$4:$X$40,$AZ$5:$AZ$41,$BH13))),""))</f>
        <v>2,582,447</v>
      </c>
      <c r="Z14" s="78" t="str">
        <f t="array" ref="Z14">IF($BJ13&gt;0,IF(INDEX('Final Calculation Sheet'!$Y$4:$Y$40,$BJ13-3)="","",INDEX('Final Calculation Sheet'!$Y$4:$Y$40,$BJ13-3)),IF(OR($BI13=1,$BL13=1,$BH13&gt;0),"–",""))</f>
        <v>13.08.2026</v>
      </c>
      <c r="AA14" s="78" t="str">
        <f t="array" ref="AA14">IF($BJ13&gt;0,IF(INDEX('Final Calculation Sheet'!$Z$4:$Z$40,$BJ13-3)="","",INDEX('Final Calculation Sheet'!$Z$4:$Z$40,$BJ13-3)),IF(OR($BI13=1,$BL13=1,$BH13&gt;0),IF($BI13=1,SUM('Final Calculation Sheet'!$Z$4:$Z$40),IF($BL13=1,SUM('Final Calculation Sheet'!$Z$4:$Z$40)-SUMIFS('Final Calculation Sheet'!$Z$4:$Z$40,$AZ$5:$AZ$41,10),SUMIFS('Final Calculation Sheet'!$Z$4:$Z$40,$AZ$5:$AZ$41,$BH13))),""))</f>
        <v>0</v>
      </c>
      <c r="AB14" s="78" t="str">
        <f t="array" ref="AB14">IF($BJ13&gt;0,IF(INDEX('Final Calculation Sheet'!$AA$4:$AA$40,$BJ13-3)="","",INDEX('Final Calculation Sheet'!$AA$4:$AA$40,$BJ13-3)),IF(OR($BI13=1,$BL13=1,$BH13&gt;0),IF($BI13=1,SUM('Final Calculation Sheet'!$AA$4:$AA$40),IF($BL13=1,SUM('Final Calculation Sheet'!$AA$4:$AA$40)-SUMIFS('Final Calculation Sheet'!$AA$4:$AA$40,$AZ$5:$AZ$41,10),SUMIFS('Final Calculation Sheet'!$AA$4:$AA$40,$AZ$5:$AZ$41,$BH13))),""))</f>
        <v/>
      </c>
      <c r="AC14" s="78" t="str">
        <f t="array" ref="AC14">IF($BJ13&gt;0,IF(INDEX('Final Calculation Sheet'!$AB$4:$AB$40,$BJ13-3)="","",INDEX('Final Calculation Sheet'!$AB$4:$AB$40,$BJ13-3)),IF(OR($BI13=1,$BL13=1,$BH13&gt;0),"–",""))</f>
        <v/>
      </c>
      <c r="AD14" s="78" t="str">
        <f t="array" ref="AD14">IF($BJ13&gt;0,IF(INDEX('Final Calculation Sheet'!$AC$4:$AC$40,$BJ13-3)="","",INDEX('Final Calculation Sheet'!$AC$4:$AC$40,$BJ13-3)),IF(OR($BI13=1,$BL13=1,$BH13&gt;0),IF($BI13=1,SUM('Final Calculation Sheet'!$AC$4:$AC$40),IF($BL13=1,SUM('Final Calculation Sheet'!$AC$4:$AC$40)-SUMIFS('Final Calculation Sheet'!$AC$4:$AC$40,$AZ$5:$AZ$41,10),SUMIFS('Final Calculation Sheet'!$AC$4:$AC$40,$AZ$5:$AZ$41,$BH13))),""))</f>
        <v>3,279,276</v>
      </c>
      <c r="AE14" s="78" t="str">
        <f t="array" ref="AE14">IF($BJ13&gt;0,IF(INDEX('Final Calculation Sheet'!$AD$4:$AD$40,$BJ13-3)="","",INDEX('Final Calculation Sheet'!$AD$4:$AD$40,$BJ13-3)),IF(OR($BI13=1,$BL13=1,$BH13&gt;0),IF($BI13=1,SUM('Final Calculation Sheet'!$AD$4:$AD$40),IF($BL13=1,SUM('Final Calculation Sheet'!$AD$4:$AD$40)-SUMIFS('Final Calculation Sheet'!$AD$4:$AD$40,$AZ$5:$AZ$41,10),SUMIFS('Final Calculation Sheet'!$AD$4:$AD$40,$AZ$5:$AZ$41,$BH13))),""))</f>
        <v>(1)</v>
      </c>
      <c r="AF14" s="78" t="str">
        <f t="array" ref="AF14">IF($BJ13&gt;0,IF(INDEX('Final Calculation Sheet'!$AE$4:$AE$40,$BJ13-3)="","",INDEX('Final Calculation Sheet'!$AE$4:$AE$40,$BJ13-3)),IF(OR($BI13=1,$BL13=1,$BH13&gt;0),"–",""))</f>
        <v>DR2640100023</v>
      </c>
      <c r="AG14" s="82" t="str">
        <f t="array" ref="AG14">IF($BJ13&gt;0,IF(INDEX('Final Calculation Sheet'!$AF$4:$AF$40,$BJ13-3)="","",INDEX('Final Calculation Sheet'!$AF$4:$AF$40,$BJ13-3)),IF(OR($BI13=1,$BL13=1,$BH13&gt;0),"–",""))</f>
        <v>1800003194</v>
      </c>
      <c r="AH14" s="78" t="str">
        <f t="array" ref="AH14">IF($BJ13&gt;0,IF(INDEX('Final Calculation Sheet'!$AG$4:$AG$40,$BJ13-3)="","",INDEX('Final Calculation Sheet'!$AG$4:$AG$40,$BJ13-3)),IF(OR($BI13=1,$BL13=1,$BH13&gt;0),"–",""))</f>
        <v>17.08.2026</v>
      </c>
      <c r="AI14" s="83" t="str">
        <f t="array" ref="AI14">IF($BJ13&gt;0,IF(INDEX('Final Calculation Sheet'!$AD$4:$AD$40,$BJ13-3)="","",IF(INDEX('Final Calculation Sheet'!$AD$4:$AD$40,$BJ13-3)&lt;=0,"SETTLED","OUTSTANDING")),IF(OR($BI13=1,$BL13=1,$BH13&gt;0),IF(IF($BI13=1,SUM('Final Calculation Sheet'!$AD$4:$AD$40),IF($BL13=1,SUM('Final Calculation Sheet'!$AD$4:$AD$40)-SUMIFS('Final Calculation Sheet'!$AD$4:$AD$40,$AZ$5:$AZ$41,10),SUMIFS('Final Calculation Sheet'!$AD$4:$AD$40,$AZ$5:$AZ$41,$BH13)))&lt;=0,"ALL SETTLED","OUTSTANDING"),""))</f>
        <v>SETTLED</v>
      </c>
      <c r="AK14" t="str">
        <f>IF($F$3="Lot No.",'Final Calculation Sheet'!$F$13,IF($F$3="Buyer",'Final Calculation Sheet'!$G$13,IF($F$3="Lot Name",'Final Calculation Sheet'!$B$13,IF($F$3="Bid Sheet",'Final Calculation Sheet'!$D$13,IF($F$3="Unit",'Final Calculation Sheet'!$E$13,'Final Calculation Sheet'!$F$13&amp;" "&amp;'Final Calculation Sheet'!$G$13&amp;" "&amp;'Final Calculation Sheet'!$B$13)))))</f>
        <v>2006 STERLING ENTERPRISES Scrap of empty oil drums</v>
      </c>
      <c r="AM14" t="str">
        <f t="shared" si="3"/>
        <v>0</v>
      </c>
      <c r="AZ14" t="str">
        <f t="shared" si="4"/>
        <v>10</v>
      </c>
      <c r="BA14" t="str">
        <f t="shared" si="5"/>
        <v>10</v>
      </c>
      <c r="BB14" t="str">
        <f t="shared" si="6"/>
        <v>17</v>
      </c>
      <c r="BC14">
        <v>13.0</v>
      </c>
      <c r="BH14" t="str">
        <f>IFERROR(MATCH(14,$BF$4:$BF$13,0),0)</f>
        <v>0</v>
      </c>
      <c r="BI14" t="str">
        <f>IF(14=$BG$5,1,0)</f>
        <v>0</v>
      </c>
      <c r="BJ14" t="str">
        <f t="array" ref="BJ14">IF(OR($BH14&gt;0,$BI14=1,$BL14=1),0,IFERROR(INDEX($BC$5:$BC$41,MATCH(14,$BB$5:$BB$41,0)),0))</f>
        <v>10</v>
      </c>
      <c r="BK14" t="str">
        <f t="array" ref="BK14">IF($BJ14&gt;0,IF(INDEX($AZ$5:$AZ$41,MATCH(14,$BB$5:$BB$41,0))=10,1,0),IF($BH14=10,1,0))</f>
        <v>1</v>
      </c>
      <c r="BL14" t="str">
        <f>IF(14=$BG$4,1,0)</f>
        <v>0</v>
      </c>
      <c r="BM14" t="str">
        <f t="shared" si="8"/>
        <v>1</v>
      </c>
      <c r="BN14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Sheet'!$F$13)&amp;"",""))))&gt;0))</f>
        <v>1</v>
      </c>
      <c r="BO14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Sheet'!$G$13)&amp;"",""))))&gt;0))</f>
        <v>1</v>
      </c>
      <c r="BP14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Sheet'!$B$13)&amp;"",""))))&gt;0))</f>
        <v>1</v>
      </c>
      <c r="BQ14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Sheet'!$D$13)&amp;"",""))))&gt;0))</f>
        <v>1</v>
      </c>
      <c r="BR14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Sheet'!$A$13)&amp;"",""))))&gt;0))</f>
        <v>1</v>
      </c>
      <c r="BS14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Sheet'!$E$13)&amp;"",""))))&gt;0))</f>
        <v>1</v>
      </c>
      <c r="BT14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Sheet'!$C$13)&amp;"",""))))&gt;0))</f>
        <v>1</v>
      </c>
      <c r="BU14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Sheet'!$H$13)&amp;"",""))))&gt;0))</f>
        <v>1</v>
      </c>
      <c r="BV14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Sheet'!$I$13)&amp;"",""))))&gt;0))</f>
        <v>1</v>
      </c>
      <c r="BW14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Sheet'!$J$13)&amp;"",""))))&gt;0))</f>
        <v>1</v>
      </c>
      <c r="BX14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Sheet'!$K$13)&amp;"",""))))&gt;0))</f>
        <v>1</v>
      </c>
      <c r="BY14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Sheet'!$L$13)&amp;"",""))))&gt;0))</f>
        <v>1</v>
      </c>
      <c r="BZ14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Sheet'!$M$13)&amp;"",""))))&gt;0))</f>
        <v>1</v>
      </c>
      <c r="CA14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Sheet'!$N$13)&amp;"",""))))&gt;0))</f>
        <v>1</v>
      </c>
      <c r="CB14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Sheet'!$O$13)&amp;"",""))))&gt;0))</f>
        <v>1</v>
      </c>
      <c r="CC14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Sheet'!$P$13)&amp;"",""))))&gt;0))</f>
        <v>1</v>
      </c>
      <c r="CD14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Sheet'!$Q$13)&amp;"",""))))&gt;0))</f>
        <v>1</v>
      </c>
      <c r="CE14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Sheet'!$R$13)&amp;"",""))))&gt;0))</f>
        <v>1</v>
      </c>
      <c r="CF14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Sheet'!$S$13)&amp;"",""))))&gt;0))</f>
        <v>1</v>
      </c>
      <c r="CG14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Sheet'!$T$13)&amp;"",""))))&gt;0))</f>
        <v>1</v>
      </c>
      <c r="CH14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Sheet'!$U$13)&amp;"",""))))&gt;0))</f>
        <v>1</v>
      </c>
      <c r="CI14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Sheet'!$V$13)&amp;"",""))))&gt;0))</f>
        <v>1</v>
      </c>
      <c r="CJ14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Sheet'!$W$13)&amp;"",""))))&gt;0))</f>
        <v>1</v>
      </c>
      <c r="CK14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Sheet'!$X$13)&amp;"",""))))&gt;0))</f>
        <v>1</v>
      </c>
      <c r="CL14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Sheet'!$Y$13)&amp;"",""))))&gt;0))</f>
        <v>1</v>
      </c>
      <c r="CM14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Sheet'!$Z$13)&amp;"",""))))&gt;0))</f>
        <v>1</v>
      </c>
      <c r="CN14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Sheet'!$AA$13)&amp;"",""))))&gt;0))</f>
        <v>1</v>
      </c>
      <c r="CO14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Sheet'!$AB$13)&amp;"",""))))&gt;0))</f>
        <v>1</v>
      </c>
      <c r="CP14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Sheet'!$AC$13)&amp;"",""))))&gt;0))</f>
        <v>1</v>
      </c>
      <c r="CQ14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Sheet'!$AD$13)&amp;"",""))))&gt;0))</f>
        <v>1</v>
      </c>
      <c r="CR14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Sheet'!$AE$13)&amp;"",""))))&gt;0))</f>
        <v>1</v>
      </c>
      <c r="CS14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Sheet'!$AF$13)&amp;"",""))))&gt;0))</f>
        <v>1</v>
      </c>
      <c r="CT14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Sheet'!$AG$13)&amp;"",""))))&gt;0))</f>
        <v>1</v>
      </c>
      <c r="CU14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Sheet'!$AD$13&lt;=0,"SETTLED","OUTSTANDING"))&amp;"",""))))&gt;0))</f>
        <v>1</v>
      </c>
    </row>
    <row r="15" ht="15.0" customHeight="1">
      <c r="A15" s="75" t="str">
        <f t="array" ref="A15">IF($BJ14&gt;0,INDEX($BA$5:$BA$41,MATCH(14,$BB$5:$BB$41,0)),IF(OR($BI14=1,$BL14=1,$BH14&gt;0),"∑",""))</f>
        <v>7</v>
      </c>
      <c r="B15" s="76" t="str">
        <f t="array" ref="B15">IF($BJ14&gt;0,IF(INDEX('Final Calculation Sheet'!$F$4:$F$40,$BJ14-3)="","",INDEX('Final Calculation Sheet'!$F$4:$F$40,$BJ14-3)),"")</f>
        <v>2002</v>
      </c>
      <c r="C15" s="76" t="str">
        <f t="array" ref="C15">IF($BJ14&gt;0,IF(INDEX('Final Calculation Sheet'!$G$4:$G$40,$BJ14-3)="","",INDEX('Final Calculation Sheet'!$G$4:$G$40,$BJ14-3)),IF(OR($BI14=1,$BL14=1,$BH14&gt;0),IF($BI14=1,37,IF($BL14=1,37-INDEX($BD$4:$BD$13,10),INDEX($BD$4:$BD$13,$BH14)))&amp;" lot(s)",""))</f>
        <v>NATIONAL ENTERPRISES</v>
      </c>
      <c r="D15" s="77" t="str">
        <f t="array" ref="D15">IF($BJ14&gt;0,IF(INDEX('Final Calculation Sheet'!$B$4:$B$40,$BJ14-3)="","",INDEX('Final Calculation Sheet'!$B$4:$B$40,$BJ14-3)),IF(OR($BI14=1,$BL14=1,$BH14&gt;0),IF($BI14=1,"GRAND TOTAL  —  matching + remaining",IF($BL14=1,"TOTAL MATCHED  —  every group together",IF($BH14=10,"REMAINING  —  did not match the search",IF($BH14=9,IF(COUNTIF($A$4:$AI$4,"&lt;&gt;")&gt;0,"FILTERED LOTS  —  column fields","ALL LOTS  —  nothing typed in the box"),"GROUP "&amp;$BH14&amp;" TOTAL  —  lots matching  "&amp;INDEX($AR$6:$AY$6,$BH14))))),""))</f>
        <v>Scrap of 132 KV CT</v>
      </c>
      <c r="E15" s="77" t="str">
        <f t="array" ref="E15">IF($BJ14&gt;0,IF(INDEX('Final Calculation Sheet'!$D$4:$D$40,$BJ14-3)="","",INDEX('Final Calculation Sheet'!$D$4:$D$40,$BJ14-3)),IF(OR($BI14=1,$BL14=1,$BH14&gt;0),"–",""))</f>
        <v>21977</v>
      </c>
      <c r="F15" s="77" t="str">
        <f t="array" ref="F15">IF($BJ14&gt;0,IF(INDEX('Final Calculation Sheet'!$A$4:$A$40,$BJ14-3)="","",INDEX('Final Calculation Sheet'!$A$4:$A$40,$BJ14-3)),IF(OR($BI14=1,$BL14=1,$BH14&gt;0),IF($BI14=1,SUM('Final Calculation Sheet'!$A$4:$A$40),IF($BL14=1,SUM('Final Calculation Sheet'!$A$4:$A$40)-SUMIFS('Final Calculation Sheet'!$A$4:$A$40,$AZ$5:$AZ$41,10),SUMIFS('Final Calculation Sheet'!$A$4:$A$40,$AZ$5:$AZ$41,$BH14))),""))</f>
        <v>4</v>
      </c>
      <c r="G15" s="77" t="str">
        <f t="array" ref="G15">IF($BJ14&gt;0,IF(INDEX('Final Calculation Sheet'!$E$4:$E$40,$BJ14-3)="","",INDEX('Final Calculation Sheet'!$E$4:$E$40,$BJ14-3)),IF(OR($BI14=1,$BL14=1,$BH14&gt;0),"–",""))</f>
        <v>NO</v>
      </c>
      <c r="H15" s="78" t="str">
        <f t="array" ref="H15">IF($BJ14&gt;0,IF(INDEX('Final Calculation Sheet'!$C$4:$C$40,$BJ14-3)="","",INDEX('Final Calculation Sheet'!$C$4:$C$40,$BJ14-3)),IF(OR($BI14=1,$BL14=1,$BH14&gt;0),"–",""))</f>
        <v>51,511</v>
      </c>
      <c r="I15" s="78" t="str">
        <f t="array" ref="I15">IF($BJ14&gt;0,IF(INDEX('Final Calculation Sheet'!$H$4:$H$40,$BJ14-3)="","",INDEX('Final Calculation Sheet'!$H$4:$H$40,$BJ14-3)),IF(OR($BI14=1,$BL14=1,$BH14&gt;0),IF($BI14=1,SUM('Final Calculation Sheet'!$H$4:$H$40),IF($BL14=1,SUM('Final Calculation Sheet'!$H$4:$H$40)-SUMIFS('Final Calculation Sheet'!$H$4:$H$40,$AZ$5:$AZ$41,10),SUMIFS('Final Calculation Sheet'!$H$4:$H$40,$AZ$5:$AZ$41,$BH14))),""))</f>
        <v>206,044</v>
      </c>
      <c r="J15" s="78" t="str">
        <f t="array" ref="J15">IF($BJ14&gt;0,IF(INDEX('Final Calculation Sheet'!$I$4:$I$40,$BJ14-3)="","",INDEX('Final Calculation Sheet'!$I$4:$I$40,$BJ14-3)),IF(OR($BI14=1,$BL14=1,$BH14&gt;0),IF($BI14=1,SUM('Final Calculation Sheet'!$I$4:$I$40),IF($BL14=1,SUM('Final Calculation Sheet'!$I$4:$I$40)-SUMIFS('Final Calculation Sheet'!$I$4:$I$40,$AZ$5:$AZ$41,10),SUMIFS('Final Calculation Sheet'!$I$4:$I$40,$AZ$5:$AZ$41,$BH14))),""))</f>
        <v>37,088</v>
      </c>
      <c r="K15" s="78" t="str">
        <f t="array" ref="K15">IF($BJ14&gt;0,IF(INDEX('Final Calculation Sheet'!$J$4:$J$40,$BJ14-3)="","",INDEX('Final Calculation Sheet'!$J$4:$J$40,$BJ14-3)),IF(OR($BI14=1,$BL14=1,$BH14&gt;0),IF($BI14=1,SUM('Final Calculation Sheet'!$J$4:$J$40),IF($BL14=1,SUM('Final Calculation Sheet'!$J$4:$J$40)-SUMIFS('Final Calculation Sheet'!$J$4:$J$40,$AZ$5:$AZ$41,10),SUMIFS('Final Calculation Sheet'!$J$4:$J$40,$AZ$5:$AZ$41,$BH14))),""))</f>
        <v>243,132</v>
      </c>
      <c r="L15" s="78" t="str">
        <f t="array" ref="L15">IF($BJ14&gt;0,IF(INDEX('Final Calculation Sheet'!$K$4:$K$40,$BJ14-3)="","",INDEX('Final Calculation Sheet'!$K$4:$K$40,$BJ14-3)),IF(OR($BI14=1,$BL14=1,$BH14&gt;0),IF($BI14=1,SUM('Final Calculation Sheet'!$K$4:$K$40),IF($BL14=1,SUM('Final Calculation Sheet'!$K$4:$K$40)-SUMIFS('Final Calculation Sheet'!$K$4:$K$40,$AZ$5:$AZ$41,10),SUMIFS('Final Calculation Sheet'!$K$4:$K$40,$AZ$5:$AZ$41,$BH14))),""))</f>
        <v>4,863</v>
      </c>
      <c r="M15" s="78" t="str">
        <f t="array" ref="M15">IF($BJ14&gt;0,IF(INDEX('Final Calculation Sheet'!$L$4:$L$40,$BJ14-3)="","",INDEX('Final Calculation Sheet'!$L$4:$L$40,$BJ14-3)),IF(OR($BI14=1,$BL14=1,$BH14&gt;0),IF($BI14=1,SUM('Final Calculation Sheet'!$L$4:$L$40),IF($BL14=1,SUM('Final Calculation Sheet'!$L$4:$L$40)-SUMIFS('Final Calculation Sheet'!$L$4:$L$40,$AZ$5:$AZ$41,10),SUMIFS('Final Calculation Sheet'!$L$4:$L$40,$AZ$5:$AZ$41,$BH14))),""))</f>
        <v>206</v>
      </c>
      <c r="N15" s="78" t="str">
        <f t="array" ref="N15">IF($BJ14&gt;0,IF(INDEX('Final Calculation Sheet'!$M$4:$M$40,$BJ14-3)="","",INDEX('Final Calculation Sheet'!$M$4:$M$40,$BJ14-3)),IF(OR($BI14=1,$BL14=1,$BH14&gt;0),IF($BI14=1,SUM('Final Calculation Sheet'!$M$4:$M$40),IF($BL14=1,SUM('Final Calculation Sheet'!$M$4:$M$40)-SUMIFS('Final Calculation Sheet'!$M$4:$M$40,$AZ$5:$AZ$41,10),SUMIFS('Final Calculation Sheet'!$M$4:$M$40,$AZ$5:$AZ$41,$BH14))),""))</f>
        <v>5,470</v>
      </c>
      <c r="O15" s="79" t="str">
        <f t="array" ref="O15">IF($BJ14&gt;0,IF(INDEX('Final Calculation Sheet'!$N$4:$N$40,$BJ14-3)="","",INDEX('Final Calculation Sheet'!$N$4:$N$40,$BJ14-3)),IF(OR($BI14=1,$BL14=1,$BH14&gt;0),IF($BI14=1,SUM('Final Calculation Sheet'!$N$4:$N$40),IF($BL14=1,SUM('Final Calculation Sheet'!$N$4:$N$40)-SUMIFS('Final Calculation Sheet'!$N$4:$N$40,$AZ$5:$AZ$41,10),SUMIFS('Final Calculation Sheet'!$N$4:$N$40,$AZ$5:$AZ$41,$BH14))),""))</f>
        <v>93</v>
      </c>
      <c r="P15" s="78" t="str">
        <f t="array" ref="P15">IF($BJ14&gt;0,IF(INDEX('Final Calculation Sheet'!$O$4:$O$40,$BJ14-3)="","",INDEX('Final Calculation Sheet'!$O$4:$O$40,$BJ14-3)),IF(OR($BI14=1,$BL14=1,$BH14&gt;0),IF($BI14=1,SUM('Final Calculation Sheet'!$O$4:$O$40),IF($BL14=1,SUM('Final Calculation Sheet'!$O$4:$O$40)-SUMIFS('Final Calculation Sheet'!$O$4:$O$40,$AZ$5:$AZ$41,10),SUMIFS('Final Calculation Sheet'!$O$4:$O$40,$AZ$5:$AZ$41,$BH14))),""))</f>
        <v>5,378</v>
      </c>
      <c r="Q15" s="78" t="str">
        <f t="array" ref="Q15">IF($BJ14&gt;0,IF(INDEX('Final Calculation Sheet'!$P$4:$P$40,$BJ14-3)="","",INDEX('Final Calculation Sheet'!$P$4:$P$40,$BJ14-3)),IF(OR($BI14=1,$BL14=1,$BH14&gt;0),IF($BI14=1,SUM('Final Calculation Sheet'!$P$4:$P$40),IF($BL14=1,SUM('Final Calculation Sheet'!$P$4:$P$40)-SUMIFS('Final Calculation Sheet'!$P$4:$P$40,$AZ$5:$AZ$41,10),SUMIFS('Final Calculation Sheet'!$P$4:$P$40,$AZ$5:$AZ$41,$BH14))),""))</f>
        <v>5,584</v>
      </c>
      <c r="R15" s="80" t="str">
        <f t="array" ref="R15">IF($BJ14&gt;0,IF(INDEX('Final Calculation Sheet'!$Q$4:$Q$40,$BJ14-3)="","",INDEX('Final Calculation Sheet'!$Q$4:$Q$40,$BJ14-3)),IF(OR($BI14=1,$BL14=1,$BH14&gt;0),"–",""))</f>
        <v>0%</v>
      </c>
      <c r="S15" s="78" t="str">
        <f t="array" ref="S15">IF($BJ14&gt;0,IF(INDEX('Final Calculation Sheet'!$R$4:$R$40,$BJ14-3)="","",INDEX('Final Calculation Sheet'!$R$4:$R$40,$BJ14-3)),IF(OR($BI14=1,$BL14=1,$BH14&gt;0),IF($BI14=1,SUM('Final Calculation Sheet'!$R$4:$R$40),IF($BL14=1,SUM('Final Calculation Sheet'!$R$4:$R$40)-SUMIFS('Final Calculation Sheet'!$R$4:$R$40,$AZ$5:$AZ$41,10),SUMIFS('Final Calculation Sheet'!$R$4:$R$40,$AZ$5:$AZ$41,$BH14))),""))</f>
        <v>0</v>
      </c>
      <c r="T15" s="78" t="str">
        <f t="array" ref="T15">IF($BJ14&gt;0,IF(INDEX('Final Calculation Sheet'!$S$4:$S$40,$BJ14-3)="","",INDEX('Final Calculation Sheet'!$S$4:$S$40,$BJ14-3)),IF(OR($BI14=1,$BL14=1,$BH14&gt;0),IF($BI14=1,SUM('Final Calculation Sheet'!$S$4:$S$40),IF($BL14=1,SUM('Final Calculation Sheet'!$S$4:$S$40)-SUMIFS('Final Calculation Sheet'!$S$4:$S$40,$AZ$5:$AZ$41,10),SUMIFS('Final Calculation Sheet'!$S$4:$S$40,$AZ$5:$AZ$41,$BH14))),""))</f>
        <v>242,411</v>
      </c>
      <c r="U15" s="78" t="str">
        <f t="array" ref="U15">IF($BJ14&gt;0,IF(INDEX('Final Calculation Sheet'!$T$4:$T$40,$BJ14-3)="","",INDEX('Final Calculation Sheet'!$T$4:$T$40,$BJ14-3)),IF(OR($BI14=1,$BL14=1,$BH14&gt;0),IF($BI14=1,SUM('Final Calculation Sheet'!$T$4:$T$40),IF($BL14=1,SUM('Final Calculation Sheet'!$T$4:$T$40)-SUMIFS('Final Calculation Sheet'!$T$4:$T$40,$AZ$5:$AZ$41,10),SUMIFS('Final Calculation Sheet'!$T$4:$T$40,$AZ$5:$AZ$41,$BH14))),""))</f>
        <v>51,511</v>
      </c>
      <c r="V15" s="81" t="str">
        <f t="array" ref="V15">IF($BJ14&gt;0,IF(INDEX('Final Calculation Sheet'!$U$4:$U$40,$BJ14-3)="","",INDEX('Final Calculation Sheet'!$U$4:$U$40,$BJ14-3)),IF(OR($BI14=1,$BL14=1,$BH14&gt;0),IF($BI14=1,SUM('Final Calculation Sheet'!$U$4:$U$40),IF($BL14=1,SUM('Final Calculation Sheet'!$U$4:$U$40)-SUMIFS('Final Calculation Sheet'!$U$4:$U$40,$AZ$5:$AZ$41,10),SUMIFS('Final Calculation Sheet'!$U$4:$U$40,$AZ$5:$AZ$41,$BH14))),""))</f>
        <v>  51,511 </v>
      </c>
      <c r="W15" s="78" t="str">
        <f t="array" ref="W15">IF($BJ14&gt;0,IF(INDEX('Final Calculation Sheet'!$V$4:$V$40,$BJ14-3)="","",INDEX('Final Calculation Sheet'!$V$4:$V$40,$BJ14-3)),IF(OR($BI14=1,$BL14=1,$BH14&gt;0),"–",""))</f>
        <v>13.08.2026</v>
      </c>
      <c r="X15" s="78" t="str">
        <f t="array" ref="X15">IF($BJ14&gt;0,IF(INDEX('Final Calculation Sheet'!$W$4:$W$40,$BJ14-3)="","",INDEX('Final Calculation Sheet'!$W$4:$W$40,$BJ14-3)),IF(OR($BI14=1,$BL14=1,$BH14&gt;0),IF($BI14=1,SUM('Final Calculation Sheet'!$W$4:$W$40),IF($BL14=1,SUM('Final Calculation Sheet'!$W$4:$W$40)-SUMIFS('Final Calculation Sheet'!$W$4:$W$40,$AZ$5:$AZ$41,10),SUMIFS('Final Calculation Sheet'!$W$4:$W$40,$AZ$5:$AZ$41,$BH14))),""))</f>
        <v>190,900</v>
      </c>
      <c r="Y15" s="78" t="str">
        <f t="array" ref="Y15">IF($BJ14&gt;0,IF(INDEX('Final Calculation Sheet'!$X$4:$X$40,$BJ14-3)="","",INDEX('Final Calculation Sheet'!$X$4:$X$40,$BJ14-3)),IF(OR($BI14=1,$BL14=1,$BH14&gt;0),IF($BI14=1,SUM('Final Calculation Sheet'!$X$4:$X$40),IF($BL14=1,SUM('Final Calculation Sheet'!$X$4:$X$40)-SUMIFS('Final Calculation Sheet'!$X$4:$X$40,$AZ$5:$AZ$41,10),SUMIFS('Final Calculation Sheet'!$X$4:$X$40,$AZ$5:$AZ$41,$BH14))),""))</f>
        <v>190,900</v>
      </c>
      <c r="Z15" s="78" t="str">
        <f t="array" ref="Z15">IF($BJ14&gt;0,IF(INDEX('Final Calculation Sheet'!$Y$4:$Y$40,$BJ14-3)="","",INDEX('Final Calculation Sheet'!$Y$4:$Y$40,$BJ14-3)),IF(OR($BI14=1,$BL14=1,$BH14&gt;0),"–",""))</f>
        <v>24.08.2026</v>
      </c>
      <c r="AA15" s="78" t="str">
        <f t="array" ref="AA15">IF($BJ14&gt;0,IF(INDEX('Final Calculation Sheet'!$Z$4:$Z$40,$BJ14-3)="","",INDEX('Final Calculation Sheet'!$Z$4:$Z$40,$BJ14-3)),IF(OR($BI14=1,$BL14=1,$BH14&gt;0),IF($BI14=1,SUM('Final Calculation Sheet'!$Z$4:$Z$40),IF($BL14=1,SUM('Final Calculation Sheet'!$Z$4:$Z$40)-SUMIFS('Final Calculation Sheet'!$Z$4:$Z$40,$AZ$5:$AZ$41,10),SUMIFS('Final Calculation Sheet'!$Z$4:$Z$40,$AZ$5:$AZ$41,$BH14))),""))</f>
        <v>0</v>
      </c>
      <c r="AB15" s="78" t="str">
        <f t="array" ref="AB15">IF($BJ14&gt;0,IF(INDEX('Final Calculation Sheet'!$AA$4:$AA$40,$BJ14-3)="","",INDEX('Final Calculation Sheet'!$AA$4:$AA$40,$BJ14-3)),IF(OR($BI14=1,$BL14=1,$BH14&gt;0),IF($BI14=1,SUM('Final Calculation Sheet'!$AA$4:$AA$40),IF($BL14=1,SUM('Final Calculation Sheet'!$AA$4:$AA$40)-SUMIFS('Final Calculation Sheet'!$AA$4:$AA$40,$AZ$5:$AZ$41,10),SUMIFS('Final Calculation Sheet'!$AA$4:$AA$40,$AZ$5:$AZ$41,$BH14))),""))</f>
        <v/>
      </c>
      <c r="AC15" s="78" t="str">
        <f t="array" ref="AC15">IF($BJ14&gt;0,IF(INDEX('Final Calculation Sheet'!$AB$4:$AB$40,$BJ14-3)="","",INDEX('Final Calculation Sheet'!$AB$4:$AB$40,$BJ14-3)),IF(OR($BI14=1,$BL14=1,$BH14&gt;0),"–",""))</f>
        <v/>
      </c>
      <c r="AD15" s="78" t="str">
        <f t="array" ref="AD15">IF($BJ14&gt;0,IF(INDEX('Final Calculation Sheet'!$AC$4:$AC$40,$BJ14-3)="","",INDEX('Final Calculation Sheet'!$AC$4:$AC$40,$BJ14-3)),IF(OR($BI14=1,$BL14=1,$BH14&gt;0),IF($BI14=1,SUM('Final Calculation Sheet'!$AC$4:$AC$40),IF($BL14=1,SUM('Final Calculation Sheet'!$AC$4:$AC$40)-SUMIFS('Final Calculation Sheet'!$AC$4:$AC$40,$AZ$5:$AZ$41,10),SUMIFS('Final Calculation Sheet'!$AC$4:$AC$40,$AZ$5:$AZ$41,$BH14))),""))</f>
        <v>242,411</v>
      </c>
      <c r="AE15" s="78" t="str">
        <f t="array" ref="AE15">IF($BJ14&gt;0,IF(INDEX('Final Calculation Sheet'!$AD$4:$AD$40,$BJ14-3)="","",INDEX('Final Calculation Sheet'!$AD$4:$AD$40,$BJ14-3)),IF(OR($BI14=1,$BL14=1,$BH14&gt;0),IF($BI14=1,SUM('Final Calculation Sheet'!$AD$4:$AD$40),IF($BL14=1,SUM('Final Calculation Sheet'!$AD$4:$AD$40)-SUMIFS('Final Calculation Sheet'!$AD$4:$AD$40,$AZ$5:$AZ$41,10),SUMIFS('Final Calculation Sheet'!$AD$4:$AD$40,$AZ$5:$AZ$41,$BH14))),""))</f>
        <v>0</v>
      </c>
      <c r="AF15" s="78" t="str">
        <f t="array" ref="AF15">IF($BJ14&gt;0,IF(INDEX('Final Calculation Sheet'!$AE$4:$AE$40,$BJ14-3)="","",INDEX('Final Calculation Sheet'!$AE$4:$AE$40,$BJ14-3)),IF(OR($BI14=1,$BL14=1,$BH14&gt;0),"–",""))</f>
        <v>DR2640100031</v>
      </c>
      <c r="AG15" s="82" t="str">
        <f t="array" ref="AG15">IF($BJ14&gt;0,IF(INDEX('Final Calculation Sheet'!$AF$4:$AF$40,$BJ14-3)="","",INDEX('Final Calculation Sheet'!$AF$4:$AF$40,$BJ14-3)),IF(OR($BI14=1,$BL14=1,$BH14&gt;0),"–",""))</f>
        <v>1800003303</v>
      </c>
      <c r="AH15" s="78" t="str">
        <f t="array" ref="AH15">IF($BJ14&gt;0,IF(INDEX('Final Calculation Sheet'!$AG$4:$AG$40,$BJ14-3)="","",INDEX('Final Calculation Sheet'!$AG$4:$AG$40,$BJ14-3)),IF(OR($BI14=1,$BL14=1,$BH14&gt;0),"–",""))</f>
        <v>27.08.2026</v>
      </c>
      <c r="AI15" s="83" t="str">
        <f t="array" ref="AI15">IF($BJ14&gt;0,IF(INDEX('Final Calculation Sheet'!$AD$4:$AD$40,$BJ14-3)="","",IF(INDEX('Final Calculation Sheet'!$AD$4:$AD$40,$BJ14-3)&lt;=0,"SETTLED","OUTSTANDING")),IF(OR($BI14=1,$BL14=1,$BH14&gt;0),IF(IF($BI14=1,SUM('Final Calculation Sheet'!$AD$4:$AD$40),IF($BL14=1,SUM('Final Calculation Sheet'!$AD$4:$AD$40)-SUMIFS('Final Calculation Sheet'!$AD$4:$AD$40,$AZ$5:$AZ$41,10),SUMIFS('Final Calculation Sheet'!$AD$4:$AD$40,$AZ$5:$AZ$41,$BH14)))&lt;=0,"ALL SETTLED","OUTSTANDING"),""))</f>
        <v>SETTLED</v>
      </c>
      <c r="AK15" t="str">
        <f>IF($F$3="Lot No.",'Final Calculation Sheet'!$F$14,IF($F$3="Buyer",'Final Calculation Sheet'!$G$14,IF($F$3="Lot Name",'Final Calculation Sheet'!$B$14,IF($F$3="Bid Sheet",'Final Calculation Sheet'!$D$14,IF($F$3="Unit",'Final Calculation Sheet'!$E$14,'Final Calculation Sheet'!$F$14&amp;" "&amp;'Final Calculation Sheet'!$G$14&amp;" "&amp;'Final Calculation Sheet'!$B$14)))))</f>
        <v>2007 SHAR JAHAN TRADERS SCRAP POWER TRANSFORMER</v>
      </c>
      <c r="AM15" t="str">
        <f t="shared" si="3"/>
        <v>0</v>
      </c>
      <c r="AZ15" t="str">
        <f t="shared" si="4"/>
        <v>10</v>
      </c>
      <c r="BA15" t="str">
        <f t="shared" si="5"/>
        <v>11</v>
      </c>
      <c r="BB15" t="str">
        <f t="shared" si="6"/>
        <v>18</v>
      </c>
      <c r="BC15">
        <v>14.0</v>
      </c>
      <c r="BH15" t="str">
        <f>IFERROR(MATCH(15,$BF$4:$BF$13,0),0)</f>
        <v>0</v>
      </c>
      <c r="BI15" t="str">
        <f>IF(15=$BG$5,1,0)</f>
        <v>0</v>
      </c>
      <c r="BJ15" t="str">
        <f t="array" ref="BJ15">IF(OR($BH15&gt;0,$BI15=1,$BL15=1),0,IFERROR(INDEX($BC$5:$BC$41,MATCH(15,$BB$5:$BB$41,0)),0))</f>
        <v>11</v>
      </c>
      <c r="BK15" t="str">
        <f t="array" ref="BK15">IF($BJ15&gt;0,IF(INDEX($AZ$5:$AZ$41,MATCH(15,$BB$5:$BB$41,0))=10,1,0),IF($BH15=10,1,0))</f>
        <v>1</v>
      </c>
      <c r="BL15" t="str">
        <f>IF(15=$BG$4,1,0)</f>
        <v>0</v>
      </c>
      <c r="BM15" t="str">
        <f t="shared" si="8"/>
        <v>1</v>
      </c>
      <c r="BN15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Sheet'!$F$14)&amp;"",""))))&gt;0))</f>
        <v>1</v>
      </c>
      <c r="BO15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Sheet'!$G$14)&amp;"",""))))&gt;0))</f>
        <v>1</v>
      </c>
      <c r="BP15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Sheet'!$B$14)&amp;"",""))))&gt;0))</f>
        <v>1</v>
      </c>
      <c r="BQ15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Sheet'!$D$14)&amp;"",""))))&gt;0))</f>
        <v>1</v>
      </c>
      <c r="BR15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Sheet'!$A$14)&amp;"",""))))&gt;0))</f>
        <v>1</v>
      </c>
      <c r="BS15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Sheet'!$E$14)&amp;"",""))))&gt;0))</f>
        <v>1</v>
      </c>
      <c r="BT15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Sheet'!$C$14)&amp;"",""))))&gt;0))</f>
        <v>1</v>
      </c>
      <c r="BU15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Sheet'!$H$14)&amp;"",""))))&gt;0))</f>
        <v>1</v>
      </c>
      <c r="BV15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Sheet'!$I$14)&amp;"",""))))&gt;0))</f>
        <v>1</v>
      </c>
      <c r="BW15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Sheet'!$J$14)&amp;"",""))))&gt;0))</f>
        <v>1</v>
      </c>
      <c r="BX15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Sheet'!$K$14)&amp;"",""))))&gt;0))</f>
        <v>1</v>
      </c>
      <c r="BY15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Sheet'!$L$14)&amp;"",""))))&gt;0))</f>
        <v>1</v>
      </c>
      <c r="BZ15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Sheet'!$M$14)&amp;"",""))))&gt;0))</f>
        <v>1</v>
      </c>
      <c r="CA15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Sheet'!$N$14)&amp;"",""))))&gt;0))</f>
        <v>1</v>
      </c>
      <c r="CB15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Sheet'!$O$14)&amp;"",""))))&gt;0))</f>
        <v>1</v>
      </c>
      <c r="CC15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Sheet'!$P$14)&amp;"",""))))&gt;0))</f>
        <v>1</v>
      </c>
      <c r="CD15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Sheet'!$Q$14)&amp;"",""))))&gt;0))</f>
        <v>1</v>
      </c>
      <c r="CE15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Sheet'!$R$14)&amp;"",""))))&gt;0))</f>
        <v>1</v>
      </c>
      <c r="CF15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Sheet'!$S$14)&amp;"",""))))&gt;0))</f>
        <v>1</v>
      </c>
      <c r="CG15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Sheet'!$T$14)&amp;"",""))))&gt;0))</f>
        <v>1</v>
      </c>
      <c r="CH15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Sheet'!$U$14)&amp;"",""))))&gt;0))</f>
        <v>1</v>
      </c>
      <c r="CI15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Sheet'!$V$14)&amp;"",""))))&gt;0))</f>
        <v>1</v>
      </c>
      <c r="CJ15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Sheet'!$W$14)&amp;"",""))))&gt;0))</f>
        <v>1</v>
      </c>
      <c r="CK15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Sheet'!$X$14)&amp;"",""))))&gt;0))</f>
        <v>1</v>
      </c>
      <c r="CL15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Sheet'!$Y$14)&amp;"",""))))&gt;0))</f>
        <v>1</v>
      </c>
      <c r="CM15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Sheet'!$Z$14)&amp;"",""))))&gt;0))</f>
        <v>1</v>
      </c>
      <c r="CN15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Sheet'!$AA$14)&amp;"",""))))&gt;0))</f>
        <v>1</v>
      </c>
      <c r="CO15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Sheet'!$AB$14)&amp;"",""))))&gt;0))</f>
        <v>1</v>
      </c>
      <c r="CP15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Sheet'!$AC$14)&amp;"",""))))&gt;0))</f>
        <v>1</v>
      </c>
      <c r="CQ15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Sheet'!$AD$14)&amp;"",""))))&gt;0))</f>
        <v>1</v>
      </c>
      <c r="CR15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Sheet'!$AE$14)&amp;"",""))))&gt;0))</f>
        <v>1</v>
      </c>
      <c r="CS15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Sheet'!$AF$14)&amp;"",""))))&gt;0))</f>
        <v>1</v>
      </c>
      <c r="CT15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Sheet'!$AG$14)&amp;"",""))))&gt;0))</f>
        <v>1</v>
      </c>
      <c r="CU15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Sheet'!$AD$14&lt;=0,"SETTLED","OUTSTANDING"))&amp;"",""))))&gt;0))</f>
        <v>1</v>
      </c>
    </row>
    <row r="16" ht="15.0" customHeight="1">
      <c r="A16" s="75" t="str">
        <f t="array" ref="A16">IF($BJ15&gt;0,INDEX($BA$5:$BA$41,MATCH(15,$BB$5:$BB$41,0)),IF(OR($BI15=1,$BL15=1,$BH15&gt;0),"∑",""))</f>
        <v>8</v>
      </c>
      <c r="B16" s="76" t="str">
        <f t="array" ref="B16">IF($BJ15&gt;0,IF(INDEX('Final Calculation Sheet'!$F$4:$F$40,$BJ15-3)="","",INDEX('Final Calculation Sheet'!$F$4:$F$40,$BJ15-3)),"")</f>
        <v>2003</v>
      </c>
      <c r="C16" s="76" t="str">
        <f t="array" ref="C16">IF($BJ15&gt;0,IF(INDEX('Final Calculation Sheet'!$G$4:$G$40,$BJ15-3)="","",INDEX('Final Calculation Sheet'!$G$4:$G$40,$BJ15-3)),IF(OR($BI15=1,$BL15=1,$BH15&gt;0),IF($BI15=1,37,IF($BL15=1,37-INDEX($BD$4:$BD$13,10),INDEX($BD$4:$BD$13,$BH15)))&amp;" lot(s)",""))</f>
        <v>NATIONAL ENTERPRISES</v>
      </c>
      <c r="D16" s="77" t="str">
        <f t="array" ref="D16">IF($BJ15&gt;0,IF(INDEX('Final Calculation Sheet'!$B$4:$B$40,$BJ15-3)="","",INDEX('Final Calculation Sheet'!$B$4:$B$40,$BJ15-3)),IF(OR($BI15=1,$BL15=1,$BH15&gt;0),IF($BI15=1,"GRAND TOTAL  —  matching + remaining",IF($BL15=1,"TOTAL MATCHED  —  every group together",IF($BH15=10,"REMAINING  —  did not match the search",IF($BH15=9,IF(COUNTIF($A$4:$AI$4,"&lt;&gt;")&gt;0,"FILTERED LOTS  —  column fields","ALL LOTS  —  nothing typed in the box"),"GROUP "&amp;$BH15&amp;" TOTAL  —  lots matching  "&amp;INDEX($AR$6:$AY$6,$BH15))))),""))</f>
        <v>Scrap of 145 KV CB</v>
      </c>
      <c r="E16" s="77" t="str">
        <f t="array" ref="E16">IF($BJ15&gt;0,IF(INDEX('Final Calculation Sheet'!$D$4:$D$40,$BJ15-3)="","",INDEX('Final Calculation Sheet'!$D$4:$D$40,$BJ15-3)),IF(OR($BI15=1,$BL15=1,$BH15&gt;0),"–",""))</f>
        <v>21977</v>
      </c>
      <c r="F16" s="77" t="str">
        <f t="array" ref="F16">IF($BJ15&gt;0,IF(INDEX('Final Calculation Sheet'!$A$4:$A$40,$BJ15-3)="","",INDEX('Final Calculation Sheet'!$A$4:$A$40,$BJ15-3)),IF(OR($BI15=1,$BL15=1,$BH15&gt;0),IF($BI15=1,SUM('Final Calculation Sheet'!$A$4:$A$40),IF($BL15=1,SUM('Final Calculation Sheet'!$A$4:$A$40)-SUMIFS('Final Calculation Sheet'!$A$4:$A$40,$AZ$5:$AZ$41,10),SUMIFS('Final Calculation Sheet'!$A$4:$A$40,$AZ$5:$AZ$41,$BH15))),""))</f>
        <v>1</v>
      </c>
      <c r="G16" s="77" t="str">
        <f t="array" ref="G16">IF($BJ15&gt;0,IF(INDEX('Final Calculation Sheet'!$E$4:$E$40,$BJ15-3)="","",INDEX('Final Calculation Sheet'!$E$4:$E$40,$BJ15-3)),IF(OR($BI15=1,$BL15=1,$BH15&gt;0),"–",""))</f>
        <v>NO</v>
      </c>
      <c r="H16" s="78" t="str">
        <f t="array" ref="H16">IF($BJ15&gt;0,IF(INDEX('Final Calculation Sheet'!$C$4:$C$40,$BJ15-3)="","",INDEX('Final Calculation Sheet'!$C$4:$C$40,$BJ15-3)),IF(OR($BI15=1,$BL15=1,$BH15&gt;0),"–",""))</f>
        <v>65,007</v>
      </c>
      <c r="I16" s="78" t="str">
        <f t="array" ref="I16">IF($BJ15&gt;0,IF(INDEX('Final Calculation Sheet'!$H$4:$H$40,$BJ15-3)="","",INDEX('Final Calculation Sheet'!$H$4:$H$40,$BJ15-3)),IF(OR($BI15=1,$BL15=1,$BH15&gt;0),IF($BI15=1,SUM('Final Calculation Sheet'!$H$4:$H$40),IF($BL15=1,SUM('Final Calculation Sheet'!$H$4:$H$40)-SUMIFS('Final Calculation Sheet'!$H$4:$H$40,$AZ$5:$AZ$41,10),SUMIFS('Final Calculation Sheet'!$H$4:$H$40,$AZ$5:$AZ$41,$BH15))),""))</f>
        <v>65,007</v>
      </c>
      <c r="J16" s="78" t="str">
        <f t="array" ref="J16">IF($BJ15&gt;0,IF(INDEX('Final Calculation Sheet'!$I$4:$I$40,$BJ15-3)="","",INDEX('Final Calculation Sheet'!$I$4:$I$40,$BJ15-3)),IF(OR($BI15=1,$BL15=1,$BH15&gt;0),IF($BI15=1,SUM('Final Calculation Sheet'!$I$4:$I$40),IF($BL15=1,SUM('Final Calculation Sheet'!$I$4:$I$40)-SUMIFS('Final Calculation Sheet'!$I$4:$I$40,$AZ$5:$AZ$41,10),SUMIFS('Final Calculation Sheet'!$I$4:$I$40,$AZ$5:$AZ$41,$BH15))),""))</f>
        <v>11,701</v>
      </c>
      <c r="K16" s="78" t="str">
        <f t="array" ref="K16">IF($BJ15&gt;0,IF(INDEX('Final Calculation Sheet'!$J$4:$J$40,$BJ15-3)="","",INDEX('Final Calculation Sheet'!$J$4:$J$40,$BJ15-3)),IF(OR($BI15=1,$BL15=1,$BH15&gt;0),IF($BI15=1,SUM('Final Calculation Sheet'!$J$4:$J$40),IF($BL15=1,SUM('Final Calculation Sheet'!$J$4:$J$40)-SUMIFS('Final Calculation Sheet'!$J$4:$J$40,$AZ$5:$AZ$41,10),SUMIFS('Final Calculation Sheet'!$J$4:$J$40,$AZ$5:$AZ$41,$BH15))),""))</f>
        <v>76,708</v>
      </c>
      <c r="L16" s="78" t="str">
        <f t="array" ref="L16">IF($BJ15&gt;0,IF(INDEX('Final Calculation Sheet'!$K$4:$K$40,$BJ15-3)="","",INDEX('Final Calculation Sheet'!$K$4:$K$40,$BJ15-3)),IF(OR($BI15=1,$BL15=1,$BH15&gt;0),IF($BI15=1,SUM('Final Calculation Sheet'!$K$4:$K$40),IF($BL15=1,SUM('Final Calculation Sheet'!$K$4:$K$40)-SUMIFS('Final Calculation Sheet'!$K$4:$K$40,$AZ$5:$AZ$41,10),SUMIFS('Final Calculation Sheet'!$K$4:$K$40,$AZ$5:$AZ$41,$BH15))),""))</f>
        <v>1,534</v>
      </c>
      <c r="M16" s="78" t="str">
        <f t="array" ref="M16">IF($BJ15&gt;0,IF(INDEX('Final Calculation Sheet'!$L$4:$L$40,$BJ15-3)="","",INDEX('Final Calculation Sheet'!$L$4:$L$40,$BJ15-3)),IF(OR($BI15=1,$BL15=1,$BH15&gt;0),IF($BI15=1,SUM('Final Calculation Sheet'!$L$4:$L$40),IF($BL15=1,SUM('Final Calculation Sheet'!$L$4:$L$40)-SUMIFS('Final Calculation Sheet'!$L$4:$L$40,$AZ$5:$AZ$41,10),SUMIFS('Final Calculation Sheet'!$L$4:$L$40,$AZ$5:$AZ$41,$BH15))),""))</f>
        <v>65</v>
      </c>
      <c r="N16" s="78" t="str">
        <f t="array" ref="N16">IF($BJ15&gt;0,IF(INDEX('Final Calculation Sheet'!$M$4:$M$40,$BJ15-3)="","",INDEX('Final Calculation Sheet'!$M$4:$M$40,$BJ15-3)),IF(OR($BI15=1,$BL15=1,$BH15&gt;0),IF($BI15=1,SUM('Final Calculation Sheet'!$M$4:$M$40),IF($BL15=1,SUM('Final Calculation Sheet'!$M$4:$M$40)-SUMIFS('Final Calculation Sheet'!$M$4:$M$40,$AZ$5:$AZ$41,10),SUMIFS('Final Calculation Sheet'!$M$4:$M$40,$AZ$5:$AZ$41,$BH15))),""))</f>
        <v>1,726</v>
      </c>
      <c r="O16" s="79" t="str">
        <f t="array" ref="O16">IF($BJ15&gt;0,IF(INDEX('Final Calculation Sheet'!$N$4:$N$40,$BJ15-3)="","",INDEX('Final Calculation Sheet'!$N$4:$N$40,$BJ15-3)),IF(OR($BI15=1,$BL15=1,$BH15&gt;0),IF($BI15=1,SUM('Final Calculation Sheet'!$N$4:$N$40),IF($BL15=1,SUM('Final Calculation Sheet'!$N$4:$N$40)-SUMIFS('Final Calculation Sheet'!$N$4:$N$40,$AZ$5:$AZ$41,10),SUMIFS('Final Calculation Sheet'!$N$4:$N$40,$AZ$5:$AZ$41,$BH15))),""))</f>
        <v>29</v>
      </c>
      <c r="P16" s="78" t="str">
        <f t="array" ref="P16">IF($BJ15&gt;0,IF(INDEX('Final Calculation Sheet'!$O$4:$O$40,$BJ15-3)="","",INDEX('Final Calculation Sheet'!$O$4:$O$40,$BJ15-3)),IF(OR($BI15=1,$BL15=1,$BH15&gt;0),IF($BI15=1,SUM('Final Calculation Sheet'!$O$4:$O$40),IF($BL15=1,SUM('Final Calculation Sheet'!$O$4:$O$40)-SUMIFS('Final Calculation Sheet'!$O$4:$O$40,$AZ$5:$AZ$41,10),SUMIFS('Final Calculation Sheet'!$O$4:$O$40,$AZ$5:$AZ$41,$BH15))),""))</f>
        <v>1,697</v>
      </c>
      <c r="Q16" s="78" t="str">
        <f t="array" ref="Q16">IF($BJ15&gt;0,IF(INDEX('Final Calculation Sheet'!$P$4:$P$40,$BJ15-3)="","",INDEX('Final Calculation Sheet'!$P$4:$P$40,$BJ15-3)),IF(OR($BI15=1,$BL15=1,$BH15&gt;0),IF($BI15=1,SUM('Final Calculation Sheet'!$P$4:$P$40),IF($BL15=1,SUM('Final Calculation Sheet'!$P$4:$P$40)-SUMIFS('Final Calculation Sheet'!$P$4:$P$40,$AZ$5:$AZ$41,10),SUMIFS('Final Calculation Sheet'!$P$4:$P$40,$AZ$5:$AZ$41,$BH15))),""))</f>
        <v>1,762</v>
      </c>
      <c r="R16" s="80" t="str">
        <f t="array" ref="R16">IF($BJ15&gt;0,IF(INDEX('Final Calculation Sheet'!$Q$4:$Q$40,$BJ15-3)="","",INDEX('Final Calculation Sheet'!$Q$4:$Q$40,$BJ15-3)),IF(OR($BI15=1,$BL15=1,$BH15&gt;0),"–",""))</f>
        <v>0%</v>
      </c>
      <c r="S16" s="78" t="str">
        <f t="array" ref="S16">IF($BJ15&gt;0,IF(INDEX('Final Calculation Sheet'!$R$4:$R$40,$BJ15-3)="","",INDEX('Final Calculation Sheet'!$R$4:$R$40,$BJ15-3)),IF(OR($BI15=1,$BL15=1,$BH15&gt;0),IF($BI15=1,SUM('Final Calculation Sheet'!$R$4:$R$40),IF($BL15=1,SUM('Final Calculation Sheet'!$R$4:$R$40)-SUMIFS('Final Calculation Sheet'!$R$4:$R$40,$AZ$5:$AZ$41,10),SUMIFS('Final Calculation Sheet'!$R$4:$R$40,$AZ$5:$AZ$41,$BH15))),""))</f>
        <v>0</v>
      </c>
      <c r="T16" s="78" t="str">
        <f t="array" ref="T16">IF($BJ15&gt;0,IF(INDEX('Final Calculation Sheet'!$S$4:$S$40,$BJ15-3)="","",INDEX('Final Calculation Sheet'!$S$4:$S$40,$BJ15-3)),IF(OR($BI15=1,$BL15=1,$BH15&gt;0),IF($BI15=1,SUM('Final Calculation Sheet'!$S$4:$S$40),IF($BL15=1,SUM('Final Calculation Sheet'!$S$4:$S$40)-SUMIFS('Final Calculation Sheet'!$S$4:$S$40,$AZ$5:$AZ$41,10),SUMIFS('Final Calculation Sheet'!$S$4:$S$40,$AZ$5:$AZ$41,$BH15))),""))</f>
        <v>76,481</v>
      </c>
      <c r="U16" s="78" t="str">
        <f t="array" ref="U16">IF($BJ15&gt;0,IF(INDEX('Final Calculation Sheet'!$T$4:$T$40,$BJ15-3)="","",INDEX('Final Calculation Sheet'!$T$4:$T$40,$BJ15-3)),IF(OR($BI15=1,$BL15=1,$BH15&gt;0),IF($BI15=1,SUM('Final Calculation Sheet'!$T$4:$T$40),IF($BL15=1,SUM('Final Calculation Sheet'!$T$4:$T$40)-SUMIFS('Final Calculation Sheet'!$T$4:$T$40,$AZ$5:$AZ$41,10),SUMIFS('Final Calculation Sheet'!$T$4:$T$40,$AZ$5:$AZ$41,$BH15))),""))</f>
        <v>16,252</v>
      </c>
      <c r="V16" s="81" t="str">
        <f t="array" ref="V16">IF($BJ15&gt;0,IF(INDEX('Final Calculation Sheet'!$U$4:$U$40,$BJ15-3)="","",INDEX('Final Calculation Sheet'!$U$4:$U$40,$BJ15-3)),IF(OR($BI15=1,$BL15=1,$BH15&gt;0),IF($BI15=1,SUM('Final Calculation Sheet'!$U$4:$U$40),IF($BL15=1,SUM('Final Calculation Sheet'!$U$4:$U$40)-SUMIFS('Final Calculation Sheet'!$U$4:$U$40,$AZ$5:$AZ$41,10),SUMIFS('Final Calculation Sheet'!$U$4:$U$40,$AZ$5:$AZ$41,$BH15))),""))</f>
        <v>  16,252 </v>
      </c>
      <c r="W16" s="78" t="str">
        <f t="array" ref="W16">IF($BJ15&gt;0,IF(INDEX('Final Calculation Sheet'!$V$4:$V$40,$BJ15-3)="","",INDEX('Final Calculation Sheet'!$V$4:$V$40,$BJ15-3)),IF(OR($BI15=1,$BL15=1,$BH15&gt;0),"–",""))</f>
        <v>13.08.2026</v>
      </c>
      <c r="X16" s="78" t="str">
        <f t="array" ref="X16">IF($BJ15&gt;0,IF(INDEX('Final Calculation Sheet'!$W$4:$W$40,$BJ15-3)="","",INDEX('Final Calculation Sheet'!$W$4:$W$40,$BJ15-3)),IF(OR($BI15=1,$BL15=1,$BH15&gt;0),IF($BI15=1,SUM('Final Calculation Sheet'!$W$4:$W$40),IF($BL15=1,SUM('Final Calculation Sheet'!$W$4:$W$40)-SUMIFS('Final Calculation Sheet'!$W$4:$W$40,$AZ$5:$AZ$41,10),SUMIFS('Final Calculation Sheet'!$W$4:$W$40,$AZ$5:$AZ$41,$BH15))),""))</f>
        <v>60,229</v>
      </c>
      <c r="Y16" s="78" t="str">
        <f t="array" ref="Y16">IF($BJ15&gt;0,IF(INDEX('Final Calculation Sheet'!$X$4:$X$40,$BJ15-3)="","",INDEX('Final Calculation Sheet'!$X$4:$X$40,$BJ15-3)),IF(OR($BI15=1,$BL15=1,$BH15&gt;0),IF($BI15=1,SUM('Final Calculation Sheet'!$X$4:$X$40),IF($BL15=1,SUM('Final Calculation Sheet'!$X$4:$X$40)-SUMIFS('Final Calculation Sheet'!$X$4:$X$40,$AZ$5:$AZ$41,10),SUMIFS('Final Calculation Sheet'!$X$4:$X$40,$AZ$5:$AZ$41,$BH15))),""))</f>
        <v>60,229</v>
      </c>
      <c r="Z16" s="78" t="str">
        <f t="array" ref="Z16">IF($BJ15&gt;0,IF(INDEX('Final Calculation Sheet'!$Y$4:$Y$40,$BJ15-3)="","",INDEX('Final Calculation Sheet'!$Y$4:$Y$40,$BJ15-3)),IF(OR($BI15=1,$BL15=1,$BH15&gt;0),"–",""))</f>
        <v>24.08.2026</v>
      </c>
      <c r="AA16" s="78" t="str">
        <f t="array" ref="AA16">IF($BJ15&gt;0,IF(INDEX('Final Calculation Sheet'!$Z$4:$Z$40,$BJ15-3)="","",INDEX('Final Calculation Sheet'!$Z$4:$Z$40,$BJ15-3)),IF(OR($BI15=1,$BL15=1,$BH15&gt;0),IF($BI15=1,SUM('Final Calculation Sheet'!$Z$4:$Z$40),IF($BL15=1,SUM('Final Calculation Sheet'!$Z$4:$Z$40)-SUMIFS('Final Calculation Sheet'!$Z$4:$Z$40,$AZ$5:$AZ$41,10),SUMIFS('Final Calculation Sheet'!$Z$4:$Z$40,$AZ$5:$AZ$41,$BH15))),""))</f>
        <v>0</v>
      </c>
      <c r="AB16" s="78" t="str">
        <f t="array" ref="AB16">IF($BJ15&gt;0,IF(INDEX('Final Calculation Sheet'!$AA$4:$AA$40,$BJ15-3)="","",INDEX('Final Calculation Sheet'!$AA$4:$AA$40,$BJ15-3)),IF(OR($BI15=1,$BL15=1,$BH15&gt;0),IF($BI15=1,SUM('Final Calculation Sheet'!$AA$4:$AA$40),IF($BL15=1,SUM('Final Calculation Sheet'!$AA$4:$AA$40)-SUMIFS('Final Calculation Sheet'!$AA$4:$AA$40,$AZ$5:$AZ$41,10),SUMIFS('Final Calculation Sheet'!$AA$4:$AA$40,$AZ$5:$AZ$41,$BH15))),""))</f>
        <v/>
      </c>
      <c r="AC16" s="78" t="str">
        <f t="array" ref="AC16">IF($BJ15&gt;0,IF(INDEX('Final Calculation Sheet'!$AB$4:$AB$40,$BJ15-3)="","",INDEX('Final Calculation Sheet'!$AB$4:$AB$40,$BJ15-3)),IF(OR($BI15=1,$BL15=1,$BH15&gt;0),"–",""))</f>
        <v/>
      </c>
      <c r="AD16" s="78" t="str">
        <f t="array" ref="AD16">IF($BJ15&gt;0,IF(INDEX('Final Calculation Sheet'!$AC$4:$AC$40,$BJ15-3)="","",INDEX('Final Calculation Sheet'!$AC$4:$AC$40,$BJ15-3)),IF(OR($BI15=1,$BL15=1,$BH15&gt;0),IF($BI15=1,SUM('Final Calculation Sheet'!$AC$4:$AC$40),IF($BL15=1,SUM('Final Calculation Sheet'!$AC$4:$AC$40)-SUMIFS('Final Calculation Sheet'!$AC$4:$AC$40,$AZ$5:$AZ$41,10),SUMIFS('Final Calculation Sheet'!$AC$4:$AC$40,$AZ$5:$AZ$41,$BH15))),""))</f>
        <v>76,481</v>
      </c>
      <c r="AE16" s="78" t="str">
        <f t="array" ref="AE16">IF($BJ15&gt;0,IF(INDEX('Final Calculation Sheet'!$AD$4:$AD$40,$BJ15-3)="","",INDEX('Final Calculation Sheet'!$AD$4:$AD$40,$BJ15-3)),IF(OR($BI15=1,$BL15=1,$BH15&gt;0),IF($BI15=1,SUM('Final Calculation Sheet'!$AD$4:$AD$40),IF($BL15=1,SUM('Final Calculation Sheet'!$AD$4:$AD$40)-SUMIFS('Final Calculation Sheet'!$AD$4:$AD$40,$AZ$5:$AZ$41,10),SUMIFS('Final Calculation Sheet'!$AD$4:$AD$40,$AZ$5:$AZ$41,$BH15))),""))</f>
        <v>0</v>
      </c>
      <c r="AF16" s="78" t="str">
        <f t="array" ref="AF16">IF($BJ15&gt;0,IF(INDEX('Final Calculation Sheet'!$AE$4:$AE$40,$BJ15-3)="","",INDEX('Final Calculation Sheet'!$AE$4:$AE$40,$BJ15-3)),IF(OR($BI15=1,$BL15=1,$BH15&gt;0),"–",""))</f>
        <v>DR2640100032</v>
      </c>
      <c r="AG16" s="82" t="str">
        <f t="array" ref="AG16">IF($BJ15&gt;0,IF(INDEX('Final Calculation Sheet'!$AF$4:$AF$40,$BJ15-3)="","",INDEX('Final Calculation Sheet'!$AF$4:$AF$40,$BJ15-3)),IF(OR($BI15=1,$BL15=1,$BH15&gt;0),"–",""))</f>
        <v>1800003304</v>
      </c>
      <c r="AH16" s="78" t="str">
        <f t="array" ref="AH16">IF($BJ15&gt;0,IF(INDEX('Final Calculation Sheet'!$AG$4:$AG$40,$BJ15-3)="","",INDEX('Final Calculation Sheet'!$AG$4:$AG$40,$BJ15-3)),IF(OR($BI15=1,$BL15=1,$BH15&gt;0),"–",""))</f>
        <v>27.08.2026</v>
      </c>
      <c r="AI16" s="83" t="str">
        <f t="array" ref="AI16">IF($BJ15&gt;0,IF(INDEX('Final Calculation Sheet'!$AD$4:$AD$40,$BJ15-3)="","",IF(INDEX('Final Calculation Sheet'!$AD$4:$AD$40,$BJ15-3)&lt;=0,"SETTLED","OUTSTANDING")),IF(OR($BI15=1,$BL15=1,$BH15&gt;0),IF(IF($BI15=1,SUM('Final Calculation Sheet'!$AD$4:$AD$40),IF($BL15=1,SUM('Final Calculation Sheet'!$AD$4:$AD$40)-SUMIFS('Final Calculation Sheet'!$AD$4:$AD$40,$AZ$5:$AZ$41,10),SUMIFS('Final Calculation Sheet'!$AD$4:$AD$40,$AZ$5:$AZ$41,$BH15)))&lt;=0,"ALL SETTLED","OUTSTANDING"),""))</f>
        <v>SETTLED</v>
      </c>
      <c r="AK16" t="str">
        <f>IF($F$3="Lot No.",'Final Calculation Sheet'!$F$15,IF($F$3="Buyer",'Final Calculation Sheet'!$G$15,IF($F$3="Lot Name",'Final Calculation Sheet'!$B$15,IF($F$3="Bid Sheet",'Final Calculation Sheet'!$D$15,IF($F$3="Unit",'Final Calculation Sheet'!$E$15,'Final Calculation Sheet'!$F$15&amp;" "&amp;'Final Calculation Sheet'!$G$15&amp;" "&amp;'Final Calculation Sheet'!$B$15)))))</f>
        <v>2008 HIND TRADERS Scrap of empty oil Druam</v>
      </c>
      <c r="AM16" t="str">
        <f t="shared" si="3"/>
        <v>0</v>
      </c>
      <c r="AZ16" t="str">
        <f t="shared" si="4"/>
        <v>10</v>
      </c>
      <c r="BA16" t="str">
        <f t="shared" si="5"/>
        <v>12</v>
      </c>
      <c r="BB16" t="str">
        <f t="shared" si="6"/>
        <v>19</v>
      </c>
      <c r="BC16">
        <v>15.0</v>
      </c>
      <c r="BH16" t="str">
        <f>IFERROR(MATCH(16,$BF$4:$BF$13,0),0)</f>
        <v>0</v>
      </c>
      <c r="BI16" t="str">
        <f>IF(16=$BG$5,1,0)</f>
        <v>0</v>
      </c>
      <c r="BJ16" t="str">
        <f t="array" ref="BJ16">IF(OR($BH16&gt;0,$BI16=1,$BL16=1),0,IFERROR(INDEX($BC$5:$BC$41,MATCH(16,$BB$5:$BB$41,0)),0))</f>
        <v>12</v>
      </c>
      <c r="BK16" t="str">
        <f t="array" ref="BK16">IF($BJ16&gt;0,IF(INDEX($AZ$5:$AZ$41,MATCH(16,$BB$5:$BB$41,0))=10,1,0),IF($BH16=10,1,0))</f>
        <v>1</v>
      </c>
      <c r="BL16" t="str">
        <f>IF(16=$BG$4,1,0)</f>
        <v>0</v>
      </c>
      <c r="BM16" t="str">
        <f t="shared" si="8"/>
        <v>1</v>
      </c>
      <c r="BN16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Sheet'!$F$15)&amp;"",""))))&gt;0))</f>
        <v>1</v>
      </c>
      <c r="BO16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Sheet'!$G$15)&amp;"",""))))&gt;0))</f>
        <v>1</v>
      </c>
      <c r="BP16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Sheet'!$B$15)&amp;"",""))))&gt;0))</f>
        <v>1</v>
      </c>
      <c r="BQ16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Sheet'!$D$15)&amp;"",""))))&gt;0))</f>
        <v>1</v>
      </c>
      <c r="BR16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Sheet'!$A$15)&amp;"",""))))&gt;0))</f>
        <v>1</v>
      </c>
      <c r="BS16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Sheet'!$E$15)&amp;"",""))))&gt;0))</f>
        <v>1</v>
      </c>
      <c r="BT16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Sheet'!$C$15)&amp;"",""))))&gt;0))</f>
        <v>1</v>
      </c>
      <c r="BU16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Sheet'!$H$15)&amp;"",""))))&gt;0))</f>
        <v>1</v>
      </c>
      <c r="BV16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Sheet'!$I$15)&amp;"",""))))&gt;0))</f>
        <v>1</v>
      </c>
      <c r="BW16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Sheet'!$J$15)&amp;"",""))))&gt;0))</f>
        <v>1</v>
      </c>
      <c r="BX16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Sheet'!$K$15)&amp;"",""))))&gt;0))</f>
        <v>1</v>
      </c>
      <c r="BY16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Sheet'!$L$15)&amp;"",""))))&gt;0))</f>
        <v>1</v>
      </c>
      <c r="BZ16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Sheet'!$M$15)&amp;"",""))))&gt;0))</f>
        <v>1</v>
      </c>
      <c r="CA16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Sheet'!$N$15)&amp;"",""))))&gt;0))</f>
        <v>1</v>
      </c>
      <c r="CB16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Sheet'!$O$15)&amp;"",""))))&gt;0))</f>
        <v>1</v>
      </c>
      <c r="CC16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Sheet'!$P$15)&amp;"",""))))&gt;0))</f>
        <v>1</v>
      </c>
      <c r="CD16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Sheet'!$Q$15)&amp;"",""))))&gt;0))</f>
        <v>1</v>
      </c>
      <c r="CE16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Sheet'!$R$15)&amp;"",""))))&gt;0))</f>
        <v>1</v>
      </c>
      <c r="CF16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Sheet'!$S$15)&amp;"",""))))&gt;0))</f>
        <v>1</v>
      </c>
      <c r="CG16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Sheet'!$T$15)&amp;"",""))))&gt;0))</f>
        <v>1</v>
      </c>
      <c r="CH16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Sheet'!$U$15)&amp;"",""))))&gt;0))</f>
        <v>1</v>
      </c>
      <c r="CI16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Sheet'!$V$15)&amp;"",""))))&gt;0))</f>
        <v>1</v>
      </c>
      <c r="CJ16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Sheet'!$W$15)&amp;"",""))))&gt;0))</f>
        <v>1</v>
      </c>
      <c r="CK16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Sheet'!$X$15)&amp;"",""))))&gt;0))</f>
        <v>1</v>
      </c>
      <c r="CL16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Sheet'!$Y$15)&amp;"",""))))&gt;0))</f>
        <v>1</v>
      </c>
      <c r="CM16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Sheet'!$Z$15)&amp;"",""))))&gt;0))</f>
        <v>1</v>
      </c>
      <c r="CN16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Sheet'!$AA$15)&amp;"",""))))&gt;0))</f>
        <v>1</v>
      </c>
      <c r="CO16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Sheet'!$AB$15)&amp;"",""))))&gt;0))</f>
        <v>1</v>
      </c>
      <c r="CP16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Sheet'!$AC$15)&amp;"",""))))&gt;0))</f>
        <v>1</v>
      </c>
      <c r="CQ16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Sheet'!$AD$15)&amp;"",""))))&gt;0))</f>
        <v>1</v>
      </c>
      <c r="CR16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Sheet'!$AE$15)&amp;"",""))))&gt;0))</f>
        <v>1</v>
      </c>
      <c r="CS16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Sheet'!$AF$15)&amp;"",""))))&gt;0))</f>
        <v>1</v>
      </c>
      <c r="CT16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Sheet'!$AG$15)&amp;"",""))))&gt;0))</f>
        <v>1</v>
      </c>
      <c r="CU16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Sheet'!$AD$15&lt;=0,"SETTLED","OUTSTANDING"))&amp;"",""))))&gt;0))</f>
        <v>1</v>
      </c>
    </row>
    <row r="17" ht="15.0" customHeight="1">
      <c r="A17" s="75" t="str">
        <f t="array" ref="A17">IF($BJ16&gt;0,INDEX($BA$5:$BA$41,MATCH(16,$BB$5:$BB$41,0)),IF(OR($BI16=1,$BL16=1,$BH16&gt;0),"∑",""))</f>
        <v>9</v>
      </c>
      <c r="B17" s="76" t="str">
        <f t="array" ref="B17">IF($BJ16&gt;0,IF(INDEX('Final Calculation Sheet'!$F$4:$F$40,$BJ16-3)="","",INDEX('Final Calculation Sheet'!$F$4:$F$40,$BJ16-3)),"")</f>
        <v>2005</v>
      </c>
      <c r="C17" s="76" t="str">
        <f t="array" ref="C17">IF($BJ16&gt;0,IF(INDEX('Final Calculation Sheet'!$G$4:$G$40,$BJ16-3)="","",INDEX('Final Calculation Sheet'!$G$4:$G$40,$BJ16-3)),IF(OR($BI16=1,$BL16=1,$BH16&gt;0),IF($BI16=1,37,IF($BL16=1,37-INDEX($BD$4:$BD$13,10),INDEX($BD$4:$BD$13,$BH16)))&amp;" lot(s)",""))</f>
        <v>NATIONAL ENTERPRISES</v>
      </c>
      <c r="D17" s="77" t="str">
        <f t="array" ref="D17">IF($BJ16&gt;0,IF(INDEX('Final Calculation Sheet'!$B$4:$B$40,$BJ16-3)="","",INDEX('Final Calculation Sheet'!$B$4:$B$40,$BJ16-3)),IF(OR($BI16=1,$BL16=1,$BH16&gt;0),IF($BI16=1,"GRAND TOTAL  —  matching + remaining",IF($BL16=1,"TOTAL MATCHED  —  every group together",IF($BH16=10,"REMAINING  —  did not match the search",IF($BH16=9,IF(COUNTIF($A$4:$AI$4,"&lt;&gt;")&gt;0,"FILTERED LOTS  —  column fields","ALL LOTS  —  nothing typed in the box"),"GROUP "&amp;$BH16&amp;" TOTAL  —  lots matching  "&amp;INDEX($AR$6:$AY$6,$BH16))))),""))</f>
        <v>Scrap of 220KV CT</v>
      </c>
      <c r="E17" s="77" t="str">
        <f t="array" ref="E17">IF($BJ16&gt;0,IF(INDEX('Final Calculation Sheet'!$D$4:$D$40,$BJ16-3)="","",INDEX('Final Calculation Sheet'!$D$4:$D$40,$BJ16-3)),IF(OR($BI16=1,$BL16=1,$BH16&gt;0),"–",""))</f>
        <v>21977</v>
      </c>
      <c r="F17" s="77" t="str">
        <f t="array" ref="F17">IF($BJ16&gt;0,IF(INDEX('Final Calculation Sheet'!$A$4:$A$40,$BJ16-3)="","",INDEX('Final Calculation Sheet'!$A$4:$A$40,$BJ16-3)),IF(OR($BI16=1,$BL16=1,$BH16&gt;0),IF($BI16=1,SUM('Final Calculation Sheet'!$A$4:$A$40),IF($BL16=1,SUM('Final Calculation Sheet'!$A$4:$A$40)-SUMIFS('Final Calculation Sheet'!$A$4:$A$40,$AZ$5:$AZ$41,10),SUMIFS('Final Calculation Sheet'!$A$4:$A$40,$AZ$5:$AZ$41,$BH16))),""))</f>
        <v>1</v>
      </c>
      <c r="G17" s="77" t="str">
        <f t="array" ref="G17">IF($BJ16&gt;0,IF(INDEX('Final Calculation Sheet'!$E$4:$E$40,$BJ16-3)="","",INDEX('Final Calculation Sheet'!$E$4:$E$40,$BJ16-3)),IF(OR($BI16=1,$BL16=1,$BH16&gt;0),"–",""))</f>
        <v>NO</v>
      </c>
      <c r="H17" s="78" t="str">
        <f t="array" ref="H17">IF($BJ16&gt;0,IF(INDEX('Final Calculation Sheet'!$C$4:$C$40,$BJ16-3)="","",INDEX('Final Calculation Sheet'!$C$4:$C$40,$BJ16-3)),IF(OR($BI16=1,$BL16=1,$BH16&gt;0),"–",""))</f>
        <v>70,006</v>
      </c>
      <c r="I17" s="78" t="str">
        <f t="array" ref="I17">IF($BJ16&gt;0,IF(INDEX('Final Calculation Sheet'!$H$4:$H$40,$BJ16-3)="","",INDEX('Final Calculation Sheet'!$H$4:$H$40,$BJ16-3)),IF(OR($BI16=1,$BL16=1,$BH16&gt;0),IF($BI16=1,SUM('Final Calculation Sheet'!$H$4:$H$40),IF($BL16=1,SUM('Final Calculation Sheet'!$H$4:$H$40)-SUMIFS('Final Calculation Sheet'!$H$4:$H$40,$AZ$5:$AZ$41,10),SUMIFS('Final Calculation Sheet'!$H$4:$H$40,$AZ$5:$AZ$41,$BH16))),""))</f>
        <v>70,006</v>
      </c>
      <c r="J17" s="78" t="str">
        <f t="array" ref="J17">IF($BJ16&gt;0,IF(INDEX('Final Calculation Sheet'!$I$4:$I$40,$BJ16-3)="","",INDEX('Final Calculation Sheet'!$I$4:$I$40,$BJ16-3)),IF(OR($BI16=1,$BL16=1,$BH16&gt;0),IF($BI16=1,SUM('Final Calculation Sheet'!$I$4:$I$40),IF($BL16=1,SUM('Final Calculation Sheet'!$I$4:$I$40)-SUMIFS('Final Calculation Sheet'!$I$4:$I$40,$AZ$5:$AZ$41,10),SUMIFS('Final Calculation Sheet'!$I$4:$I$40,$AZ$5:$AZ$41,$BH16))),""))</f>
        <v>12,601</v>
      </c>
      <c r="K17" s="78" t="str">
        <f t="array" ref="K17">IF($BJ16&gt;0,IF(INDEX('Final Calculation Sheet'!$J$4:$J$40,$BJ16-3)="","",INDEX('Final Calculation Sheet'!$J$4:$J$40,$BJ16-3)),IF(OR($BI16=1,$BL16=1,$BH16&gt;0),IF($BI16=1,SUM('Final Calculation Sheet'!$J$4:$J$40),IF($BL16=1,SUM('Final Calculation Sheet'!$J$4:$J$40)-SUMIFS('Final Calculation Sheet'!$J$4:$J$40,$AZ$5:$AZ$41,10),SUMIFS('Final Calculation Sheet'!$J$4:$J$40,$AZ$5:$AZ$41,$BH16))),""))</f>
        <v>82,607</v>
      </c>
      <c r="L17" s="78" t="str">
        <f t="array" ref="L17">IF($BJ16&gt;0,IF(INDEX('Final Calculation Sheet'!$K$4:$K$40,$BJ16-3)="","",INDEX('Final Calculation Sheet'!$K$4:$K$40,$BJ16-3)),IF(OR($BI16=1,$BL16=1,$BH16&gt;0),IF($BI16=1,SUM('Final Calculation Sheet'!$K$4:$K$40),IF($BL16=1,SUM('Final Calculation Sheet'!$K$4:$K$40)-SUMIFS('Final Calculation Sheet'!$K$4:$K$40,$AZ$5:$AZ$41,10),SUMIFS('Final Calculation Sheet'!$K$4:$K$40,$AZ$5:$AZ$41,$BH16))),""))</f>
        <v>1,652</v>
      </c>
      <c r="M17" s="78" t="str">
        <f t="array" ref="M17">IF($BJ16&gt;0,IF(INDEX('Final Calculation Sheet'!$L$4:$L$40,$BJ16-3)="","",INDEX('Final Calculation Sheet'!$L$4:$L$40,$BJ16-3)),IF(OR($BI16=1,$BL16=1,$BH16&gt;0),IF($BI16=1,SUM('Final Calculation Sheet'!$L$4:$L$40),IF($BL16=1,SUM('Final Calculation Sheet'!$L$4:$L$40)-SUMIFS('Final Calculation Sheet'!$L$4:$L$40,$AZ$5:$AZ$41,10),SUMIFS('Final Calculation Sheet'!$L$4:$L$40,$AZ$5:$AZ$41,$BH16))),""))</f>
        <v>70</v>
      </c>
      <c r="N17" s="78" t="str">
        <f t="array" ref="N17">IF($BJ16&gt;0,IF(INDEX('Final Calculation Sheet'!$M$4:$M$40,$BJ16-3)="","",INDEX('Final Calculation Sheet'!$M$4:$M$40,$BJ16-3)),IF(OR($BI16=1,$BL16=1,$BH16&gt;0),IF($BI16=1,SUM('Final Calculation Sheet'!$M$4:$M$40),IF($BL16=1,SUM('Final Calculation Sheet'!$M$4:$M$40)-SUMIFS('Final Calculation Sheet'!$M$4:$M$40,$AZ$5:$AZ$41,10),SUMIFS('Final Calculation Sheet'!$M$4:$M$40,$AZ$5:$AZ$41,$BH16))),""))</f>
        <v>1,859</v>
      </c>
      <c r="O17" s="79" t="str">
        <f t="array" ref="O17">IF($BJ16&gt;0,IF(INDEX('Final Calculation Sheet'!$N$4:$N$40,$BJ16-3)="","",INDEX('Final Calculation Sheet'!$N$4:$N$40,$BJ16-3)),IF(OR($BI16=1,$BL16=1,$BH16&gt;0),IF($BI16=1,SUM('Final Calculation Sheet'!$N$4:$N$40),IF($BL16=1,SUM('Final Calculation Sheet'!$N$4:$N$40)-SUMIFS('Final Calculation Sheet'!$N$4:$N$40,$AZ$5:$AZ$41,10),SUMIFS('Final Calculation Sheet'!$N$4:$N$40,$AZ$5:$AZ$41,$BH16))),""))</f>
        <v>32</v>
      </c>
      <c r="P17" s="78" t="str">
        <f t="array" ref="P17">IF($BJ16&gt;0,IF(INDEX('Final Calculation Sheet'!$O$4:$O$40,$BJ16-3)="","",INDEX('Final Calculation Sheet'!$O$4:$O$40,$BJ16-3)),IF(OR($BI16=1,$BL16=1,$BH16&gt;0),IF($BI16=1,SUM('Final Calculation Sheet'!$O$4:$O$40),IF($BL16=1,SUM('Final Calculation Sheet'!$O$4:$O$40)-SUMIFS('Final Calculation Sheet'!$O$4:$O$40,$AZ$5:$AZ$41,10),SUMIFS('Final Calculation Sheet'!$O$4:$O$40,$AZ$5:$AZ$41,$BH16))),""))</f>
        <v>1,827</v>
      </c>
      <c r="Q17" s="78" t="str">
        <f t="array" ref="Q17">IF($BJ16&gt;0,IF(INDEX('Final Calculation Sheet'!$P$4:$P$40,$BJ16-3)="","",INDEX('Final Calculation Sheet'!$P$4:$P$40,$BJ16-3)),IF(OR($BI16=1,$BL16=1,$BH16&gt;0),IF($BI16=1,SUM('Final Calculation Sheet'!$P$4:$P$40),IF($BL16=1,SUM('Final Calculation Sheet'!$P$4:$P$40)-SUMIFS('Final Calculation Sheet'!$P$4:$P$40,$AZ$5:$AZ$41,10),SUMIFS('Final Calculation Sheet'!$P$4:$P$40,$AZ$5:$AZ$41,$BH16))),""))</f>
        <v>1,897</v>
      </c>
      <c r="R17" s="80" t="str">
        <f t="array" ref="R17">IF($BJ16&gt;0,IF(INDEX('Final Calculation Sheet'!$Q$4:$Q$40,$BJ16-3)="","",INDEX('Final Calculation Sheet'!$Q$4:$Q$40,$BJ16-3)),IF(OR($BI16=1,$BL16=1,$BH16&gt;0),"–",""))</f>
        <v>0%</v>
      </c>
      <c r="S17" s="78" t="str">
        <f t="array" ref="S17">IF($BJ16&gt;0,IF(INDEX('Final Calculation Sheet'!$R$4:$R$40,$BJ16-3)="","",INDEX('Final Calculation Sheet'!$R$4:$R$40,$BJ16-3)),IF(OR($BI16=1,$BL16=1,$BH16&gt;0),IF($BI16=1,SUM('Final Calculation Sheet'!$R$4:$R$40),IF($BL16=1,SUM('Final Calculation Sheet'!$R$4:$R$40)-SUMIFS('Final Calculation Sheet'!$R$4:$R$40,$AZ$5:$AZ$41,10),SUMIFS('Final Calculation Sheet'!$R$4:$R$40,$AZ$5:$AZ$41,$BH16))),""))</f>
        <v>0</v>
      </c>
      <c r="T17" s="78" t="str">
        <f t="array" ref="T17">IF($BJ16&gt;0,IF(INDEX('Final Calculation Sheet'!$S$4:$S$40,$BJ16-3)="","",INDEX('Final Calculation Sheet'!$S$4:$S$40,$BJ16-3)),IF(OR($BI16=1,$BL16=1,$BH16&gt;0),IF($BI16=1,SUM('Final Calculation Sheet'!$S$4:$S$40),IF($BL16=1,SUM('Final Calculation Sheet'!$S$4:$S$40)-SUMIFS('Final Calculation Sheet'!$S$4:$S$40,$AZ$5:$AZ$41,10),SUMIFS('Final Calculation Sheet'!$S$4:$S$40,$AZ$5:$AZ$41,$BH16))),""))</f>
        <v>82,362</v>
      </c>
      <c r="U17" s="78" t="str">
        <f t="array" ref="U17">IF($BJ16&gt;0,IF(INDEX('Final Calculation Sheet'!$T$4:$T$40,$BJ16-3)="","",INDEX('Final Calculation Sheet'!$T$4:$T$40,$BJ16-3)),IF(OR($BI16=1,$BL16=1,$BH16&gt;0),IF($BI16=1,SUM('Final Calculation Sheet'!$T$4:$T$40),IF($BL16=1,SUM('Final Calculation Sheet'!$T$4:$T$40)-SUMIFS('Final Calculation Sheet'!$T$4:$T$40,$AZ$5:$AZ$41,10),SUMIFS('Final Calculation Sheet'!$T$4:$T$40,$AZ$5:$AZ$41,$BH16))),""))</f>
        <v>17,502</v>
      </c>
      <c r="V17" s="81" t="str">
        <f t="array" ref="V17">IF($BJ16&gt;0,IF(INDEX('Final Calculation Sheet'!$U$4:$U$40,$BJ16-3)="","",INDEX('Final Calculation Sheet'!$U$4:$U$40,$BJ16-3)),IF(OR($BI16=1,$BL16=1,$BH16&gt;0),IF($BI16=1,SUM('Final Calculation Sheet'!$U$4:$U$40),IF($BL16=1,SUM('Final Calculation Sheet'!$U$4:$U$40)-SUMIFS('Final Calculation Sheet'!$U$4:$U$40,$AZ$5:$AZ$41,10),SUMIFS('Final Calculation Sheet'!$U$4:$U$40,$AZ$5:$AZ$41,$BH16))),""))</f>
        <v>  17,502 </v>
      </c>
      <c r="W17" s="78" t="str">
        <f t="array" ref="W17">IF($BJ16&gt;0,IF(INDEX('Final Calculation Sheet'!$V$4:$V$40,$BJ16-3)="","",INDEX('Final Calculation Sheet'!$V$4:$V$40,$BJ16-3)),IF(OR($BI16=1,$BL16=1,$BH16&gt;0),"–",""))</f>
        <v>13.08.2026</v>
      </c>
      <c r="X17" s="78" t="str">
        <f t="array" ref="X17">IF($BJ16&gt;0,IF(INDEX('Final Calculation Sheet'!$W$4:$W$40,$BJ16-3)="","",INDEX('Final Calculation Sheet'!$W$4:$W$40,$BJ16-3)),IF(OR($BI16=1,$BL16=1,$BH16&gt;0),IF($BI16=1,SUM('Final Calculation Sheet'!$W$4:$W$40),IF($BL16=1,SUM('Final Calculation Sheet'!$W$4:$W$40)-SUMIFS('Final Calculation Sheet'!$W$4:$W$40,$AZ$5:$AZ$41,10),SUMIFS('Final Calculation Sheet'!$W$4:$W$40,$AZ$5:$AZ$41,$BH16))),""))</f>
        <v>64,861</v>
      </c>
      <c r="Y17" s="78" t="str">
        <f t="array" ref="Y17">IF($BJ16&gt;0,IF(INDEX('Final Calculation Sheet'!$X$4:$X$40,$BJ16-3)="","",INDEX('Final Calculation Sheet'!$X$4:$X$40,$BJ16-3)),IF(OR($BI16=1,$BL16=1,$BH16&gt;0),IF($BI16=1,SUM('Final Calculation Sheet'!$X$4:$X$40),IF($BL16=1,SUM('Final Calculation Sheet'!$X$4:$X$40)-SUMIFS('Final Calculation Sheet'!$X$4:$X$40,$AZ$5:$AZ$41,10),SUMIFS('Final Calculation Sheet'!$X$4:$X$40,$AZ$5:$AZ$41,$BH16))),""))</f>
        <v>64,859</v>
      </c>
      <c r="Z17" s="78" t="str">
        <f t="array" ref="Z17">IF($BJ16&gt;0,IF(INDEX('Final Calculation Sheet'!$Y$4:$Y$40,$BJ16-3)="","",INDEX('Final Calculation Sheet'!$Y$4:$Y$40,$BJ16-3)),IF(OR($BI16=1,$BL16=1,$BH16&gt;0),"–",""))</f>
        <v>24.08.2026</v>
      </c>
      <c r="AA17" s="78" t="str">
        <f t="array" ref="AA17">IF($BJ16&gt;0,IF(INDEX('Final Calculation Sheet'!$Z$4:$Z$40,$BJ16-3)="","",INDEX('Final Calculation Sheet'!$Z$4:$Z$40,$BJ16-3)),IF(OR($BI16=1,$BL16=1,$BH16&gt;0),IF($BI16=1,SUM('Final Calculation Sheet'!$Z$4:$Z$40),IF($BL16=1,SUM('Final Calculation Sheet'!$Z$4:$Z$40)-SUMIFS('Final Calculation Sheet'!$Z$4:$Z$40,$AZ$5:$AZ$41,10),SUMIFS('Final Calculation Sheet'!$Z$4:$Z$40,$AZ$5:$AZ$41,$BH16))),""))</f>
        <v>0</v>
      </c>
      <c r="AB17" s="78" t="str">
        <f t="array" ref="AB17">IF($BJ16&gt;0,IF(INDEX('Final Calculation Sheet'!$AA$4:$AA$40,$BJ16-3)="","",INDEX('Final Calculation Sheet'!$AA$4:$AA$40,$BJ16-3)),IF(OR($BI16=1,$BL16=1,$BH16&gt;0),IF($BI16=1,SUM('Final Calculation Sheet'!$AA$4:$AA$40),IF($BL16=1,SUM('Final Calculation Sheet'!$AA$4:$AA$40)-SUMIFS('Final Calculation Sheet'!$AA$4:$AA$40,$AZ$5:$AZ$41,10),SUMIFS('Final Calculation Sheet'!$AA$4:$AA$40,$AZ$5:$AZ$41,$BH16))),""))</f>
        <v/>
      </c>
      <c r="AC17" s="78" t="str">
        <f t="array" ref="AC17">IF($BJ16&gt;0,IF(INDEX('Final Calculation Sheet'!$AB$4:$AB$40,$BJ16-3)="","",INDEX('Final Calculation Sheet'!$AB$4:$AB$40,$BJ16-3)),IF(OR($BI16=1,$BL16=1,$BH16&gt;0),"–",""))</f>
        <v/>
      </c>
      <c r="AD17" s="78" t="str">
        <f t="array" ref="AD17">IF($BJ16&gt;0,IF(INDEX('Final Calculation Sheet'!$AC$4:$AC$40,$BJ16-3)="","",INDEX('Final Calculation Sheet'!$AC$4:$AC$40,$BJ16-3)),IF(OR($BI16=1,$BL16=1,$BH16&gt;0),IF($BI16=1,SUM('Final Calculation Sheet'!$AC$4:$AC$40),IF($BL16=1,SUM('Final Calculation Sheet'!$AC$4:$AC$40)-SUMIFS('Final Calculation Sheet'!$AC$4:$AC$40,$AZ$5:$AZ$41,10),SUMIFS('Final Calculation Sheet'!$AC$4:$AC$40,$AZ$5:$AZ$41,$BH16))),""))</f>
        <v>82,361</v>
      </c>
      <c r="AE17" s="78" t="str">
        <f t="array" ref="AE17">IF($BJ16&gt;0,IF(INDEX('Final Calculation Sheet'!$AD$4:$AD$40,$BJ16-3)="","",INDEX('Final Calculation Sheet'!$AD$4:$AD$40,$BJ16-3)),IF(OR($BI16=1,$BL16=1,$BH16&gt;0),IF($BI16=1,SUM('Final Calculation Sheet'!$AD$4:$AD$40),IF($BL16=1,SUM('Final Calculation Sheet'!$AD$4:$AD$40)-SUMIFS('Final Calculation Sheet'!$AD$4:$AD$40,$AZ$5:$AZ$41,10),SUMIFS('Final Calculation Sheet'!$AD$4:$AD$40,$AZ$5:$AZ$41,$BH16))),""))</f>
        <v>1</v>
      </c>
      <c r="AF17" s="78" t="str">
        <f t="array" ref="AF17">IF($BJ16&gt;0,IF(INDEX('Final Calculation Sheet'!$AE$4:$AE$40,$BJ16-3)="","",INDEX('Final Calculation Sheet'!$AE$4:$AE$40,$BJ16-3)),IF(OR($BI16=1,$BL16=1,$BH16&gt;0),"–",""))</f>
        <v>DR2640100033</v>
      </c>
      <c r="AG17" s="82" t="str">
        <f t="array" ref="AG17">IF($BJ16&gt;0,IF(INDEX('Final Calculation Sheet'!$AF$4:$AF$40,$BJ16-3)="","",INDEX('Final Calculation Sheet'!$AF$4:$AF$40,$BJ16-3)),IF(OR($BI16=1,$BL16=1,$BH16&gt;0),"–",""))</f>
        <v>1800003305</v>
      </c>
      <c r="AH17" s="78" t="str">
        <f t="array" ref="AH17">IF($BJ16&gt;0,IF(INDEX('Final Calculation Sheet'!$AG$4:$AG$40,$BJ16-3)="","",INDEX('Final Calculation Sheet'!$AG$4:$AG$40,$BJ16-3)),IF(OR($BI16=1,$BL16=1,$BH16&gt;0),"–",""))</f>
        <v>27.08.2026</v>
      </c>
      <c r="AI17" s="83" t="str">
        <f t="array" ref="AI17">IF($BJ16&gt;0,IF(INDEX('Final Calculation Sheet'!$AD$4:$AD$40,$BJ16-3)="","",IF(INDEX('Final Calculation Sheet'!$AD$4:$AD$40,$BJ16-3)&lt;=0,"SETTLED","OUTSTANDING")),IF(OR($BI16=1,$BL16=1,$BH16&gt;0),IF(IF($BI16=1,SUM('Final Calculation Sheet'!$AD$4:$AD$40),IF($BL16=1,SUM('Final Calculation Sheet'!$AD$4:$AD$40)-SUMIFS('Final Calculation Sheet'!$AD$4:$AD$40,$AZ$5:$AZ$41,10),SUMIFS('Final Calculation Sheet'!$AD$4:$AD$40,$AZ$5:$AZ$41,$BH16)))&lt;=0,"ALL SETTLED","OUTSTANDING"),""))</f>
        <v>OUTSTANDING</v>
      </c>
      <c r="AK17" t="str">
        <f>IF($F$3="Lot No.",'Final Calculation Sheet'!$F$16,IF($F$3="Buyer",'Final Calculation Sheet'!$G$16,IF($F$3="Lot Name",'Final Calculation Sheet'!$B$16,IF($F$3="Bid Sheet",'Final Calculation Sheet'!$D$16,IF($F$3="Unit",'Final Calculation Sheet'!$E$16,'Final Calculation Sheet'!$F$16&amp;" "&amp;'Final Calculation Sheet'!$G$16&amp;" "&amp;'Final Calculation Sheet'!$B$16)))))</f>
        <v>2011 STERLING ENTERPRISES Scrap of empty oil Barrel</v>
      </c>
      <c r="AM17" t="str">
        <f t="shared" si="3"/>
        <v>0</v>
      </c>
      <c r="AZ17" t="str">
        <f t="shared" si="4"/>
        <v>10</v>
      </c>
      <c r="BA17" t="str">
        <f t="shared" si="5"/>
        <v>13</v>
      </c>
      <c r="BB17" t="str">
        <f t="shared" si="6"/>
        <v>20</v>
      </c>
      <c r="BC17">
        <v>16.0</v>
      </c>
      <c r="BH17" t="str">
        <f>IFERROR(MATCH(17,$BF$4:$BF$13,0),0)</f>
        <v>0</v>
      </c>
      <c r="BI17" t="str">
        <f>IF(17=$BG$5,1,0)</f>
        <v>0</v>
      </c>
      <c r="BJ17" t="str">
        <f t="array" ref="BJ17">IF(OR($BH17&gt;0,$BI17=1,$BL17=1),0,IFERROR(INDEX($BC$5:$BC$41,MATCH(17,$BB$5:$BB$41,0)),0))</f>
        <v>13</v>
      </c>
      <c r="BK17" t="str">
        <f t="array" ref="BK17">IF($BJ17&gt;0,IF(INDEX($AZ$5:$AZ$41,MATCH(17,$BB$5:$BB$41,0))=10,1,0),IF($BH17=10,1,0))</f>
        <v>1</v>
      </c>
      <c r="BL17" t="str">
        <f>IF(17=$BG$4,1,0)</f>
        <v>0</v>
      </c>
      <c r="BM17" t="str">
        <f t="shared" si="8"/>
        <v>1</v>
      </c>
      <c r="BN17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Sheet'!$F$16)&amp;"",""))))&gt;0))</f>
        <v>1</v>
      </c>
      <c r="BO17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Sheet'!$G$16)&amp;"",""))))&gt;0))</f>
        <v>1</v>
      </c>
      <c r="BP17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Sheet'!$B$16)&amp;"",""))))&gt;0))</f>
        <v>1</v>
      </c>
      <c r="BQ17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Sheet'!$D$16)&amp;"",""))))&gt;0))</f>
        <v>1</v>
      </c>
      <c r="BR17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Sheet'!$A$16)&amp;"",""))))&gt;0))</f>
        <v>1</v>
      </c>
      <c r="BS17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Sheet'!$E$16)&amp;"",""))))&gt;0))</f>
        <v>1</v>
      </c>
      <c r="BT17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Sheet'!$C$16)&amp;"",""))))&gt;0))</f>
        <v>1</v>
      </c>
      <c r="BU17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Sheet'!$H$16)&amp;"",""))))&gt;0))</f>
        <v>1</v>
      </c>
      <c r="BV17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Sheet'!$I$16)&amp;"",""))))&gt;0))</f>
        <v>1</v>
      </c>
      <c r="BW17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Sheet'!$J$16)&amp;"",""))))&gt;0))</f>
        <v>1</v>
      </c>
      <c r="BX17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Sheet'!$K$16)&amp;"",""))))&gt;0))</f>
        <v>1</v>
      </c>
      <c r="BY17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Sheet'!$L$16)&amp;"",""))))&gt;0))</f>
        <v>1</v>
      </c>
      <c r="BZ17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Sheet'!$M$16)&amp;"",""))))&gt;0))</f>
        <v>1</v>
      </c>
      <c r="CA17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Sheet'!$N$16)&amp;"",""))))&gt;0))</f>
        <v>1</v>
      </c>
      <c r="CB17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Sheet'!$O$16)&amp;"",""))))&gt;0))</f>
        <v>1</v>
      </c>
      <c r="CC17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Sheet'!$P$16)&amp;"",""))))&gt;0))</f>
        <v>1</v>
      </c>
      <c r="CD17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Sheet'!$Q$16)&amp;"",""))))&gt;0))</f>
        <v>1</v>
      </c>
      <c r="CE17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Sheet'!$R$16)&amp;"",""))))&gt;0))</f>
        <v>1</v>
      </c>
      <c r="CF17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Sheet'!$S$16)&amp;"",""))))&gt;0))</f>
        <v>1</v>
      </c>
      <c r="CG17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Sheet'!$T$16)&amp;"",""))))&gt;0))</f>
        <v>1</v>
      </c>
      <c r="CH17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Sheet'!$U$16)&amp;"",""))))&gt;0))</f>
        <v>1</v>
      </c>
      <c r="CI17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Sheet'!$V$16)&amp;"",""))))&gt;0))</f>
        <v>1</v>
      </c>
      <c r="CJ17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Sheet'!$W$16)&amp;"",""))))&gt;0))</f>
        <v>1</v>
      </c>
      <c r="CK17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Sheet'!$X$16)&amp;"",""))))&gt;0))</f>
        <v>1</v>
      </c>
      <c r="CL17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Sheet'!$Y$16)&amp;"",""))))&gt;0))</f>
        <v>1</v>
      </c>
      <c r="CM17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Sheet'!$Z$16)&amp;"",""))))&gt;0))</f>
        <v>1</v>
      </c>
      <c r="CN17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Sheet'!$AA$16)&amp;"",""))))&gt;0))</f>
        <v>1</v>
      </c>
      <c r="CO17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Sheet'!$AB$16)&amp;"",""))))&gt;0))</f>
        <v>1</v>
      </c>
      <c r="CP17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Sheet'!$AC$16)&amp;"",""))))&gt;0))</f>
        <v>1</v>
      </c>
      <c r="CQ17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Sheet'!$AD$16)&amp;"",""))))&gt;0))</f>
        <v>1</v>
      </c>
      <c r="CR17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Sheet'!$AE$16)&amp;"",""))))&gt;0))</f>
        <v>1</v>
      </c>
      <c r="CS17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Sheet'!$AF$16)&amp;"",""))))&gt;0))</f>
        <v>1</v>
      </c>
      <c r="CT17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Sheet'!$AG$16)&amp;"",""))))&gt;0))</f>
        <v>1</v>
      </c>
      <c r="CU17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Sheet'!$AD$16&lt;=0,"SETTLED","OUTSTANDING"))&amp;"",""))))&gt;0))</f>
        <v>1</v>
      </c>
    </row>
    <row r="18" ht="15.0" customHeight="1">
      <c r="A18" s="75" t="str">
        <f t="array" ref="A18">IF($BJ17&gt;0,INDEX($BA$5:$BA$41,MATCH(17,$BB$5:$BB$41,0)),IF(OR($BI17=1,$BL17=1,$BH17&gt;0),"∑",""))</f>
        <v>10</v>
      </c>
      <c r="B18" s="76" t="str">
        <f t="array" ref="B18">IF($BJ17&gt;0,IF(INDEX('Final Calculation Sheet'!$F$4:$F$40,$BJ17-3)="","",INDEX('Final Calculation Sheet'!$F$4:$F$40,$BJ17-3)),"")</f>
        <v>2006</v>
      </c>
      <c r="C18" s="76" t="str">
        <f t="array" ref="C18">IF($BJ17&gt;0,IF(INDEX('Final Calculation Sheet'!$G$4:$G$40,$BJ17-3)="","",INDEX('Final Calculation Sheet'!$G$4:$G$40,$BJ17-3)),IF(OR($BI17=1,$BL17=1,$BH17&gt;0),IF($BI17=1,37,IF($BL17=1,37-INDEX($BD$4:$BD$13,10),INDEX($BD$4:$BD$13,$BH17)))&amp;" lot(s)",""))</f>
        <v>STERLING ENTERPRISES</v>
      </c>
      <c r="D18" s="77" t="str">
        <f t="array" ref="D18">IF($BJ17&gt;0,IF(INDEX('Final Calculation Sheet'!$B$4:$B$40,$BJ17-3)="","",INDEX('Final Calculation Sheet'!$B$4:$B$40,$BJ17-3)),IF(OR($BI17=1,$BL17=1,$BH17&gt;0),IF($BI17=1,"GRAND TOTAL  —  matching + remaining",IF($BL17=1,"TOTAL MATCHED  —  every group together",IF($BH17=10,"REMAINING  —  did not match the search",IF($BH17=9,IF(COUNTIF($A$4:$AI$4,"&lt;&gt;")&gt;0,"FILTERED LOTS  —  column fields","ALL LOTS  —  nothing typed in the box"),"GROUP "&amp;$BH17&amp;" TOTAL  —  lots matching  "&amp;INDEX($AR$6:$AY$6,$BH17))))),""))</f>
        <v>Scrap of empty oil drums</v>
      </c>
      <c r="E18" s="77" t="str">
        <f t="array" ref="E18">IF($BJ17&gt;0,IF(INDEX('Final Calculation Sheet'!$D$4:$D$40,$BJ17-3)="","",INDEX('Final Calculation Sheet'!$D$4:$D$40,$BJ17-3)),IF(OR($BI17=1,$BL17=1,$BH17&gt;0),"–",""))</f>
        <v>21977</v>
      </c>
      <c r="F18" s="77" t="str">
        <f t="array" ref="F18">IF($BJ17&gt;0,IF(INDEX('Final Calculation Sheet'!$A$4:$A$40,$BJ17-3)="","",INDEX('Final Calculation Sheet'!$A$4:$A$40,$BJ17-3)),IF(OR($BI17=1,$BL17=1,$BH17&gt;0),IF($BI17=1,SUM('Final Calculation Sheet'!$A$4:$A$40),IF($BL17=1,SUM('Final Calculation Sheet'!$A$4:$A$40)-SUMIFS('Final Calculation Sheet'!$A$4:$A$40,$AZ$5:$AZ$41,10),SUMIFS('Final Calculation Sheet'!$A$4:$A$40,$AZ$5:$AZ$41,$BH17))),""))</f>
        <v>25</v>
      </c>
      <c r="G18" s="77" t="str">
        <f t="array" ref="G18">IF($BJ17&gt;0,IF(INDEX('Final Calculation Sheet'!$E$4:$E$40,$BJ17-3)="","",INDEX('Final Calculation Sheet'!$E$4:$E$40,$BJ17-3)),IF(OR($BI17=1,$BL17=1,$BH17&gt;0),"–",""))</f>
        <v>NO</v>
      </c>
      <c r="H18" s="78" t="str">
        <f t="array" ref="H18">IF($BJ17&gt;0,IF(INDEX('Final Calculation Sheet'!$C$4:$C$40,$BJ17-3)="","",INDEX('Final Calculation Sheet'!$C$4:$C$40,$BJ17-3)),IF(OR($BI17=1,$BL17=1,$BH17&gt;0),"–",""))</f>
        <v>700</v>
      </c>
      <c r="I18" s="78" t="str">
        <f t="array" ref="I18">IF($BJ17&gt;0,IF(INDEX('Final Calculation Sheet'!$H$4:$H$40,$BJ17-3)="","",INDEX('Final Calculation Sheet'!$H$4:$H$40,$BJ17-3)),IF(OR($BI17=1,$BL17=1,$BH17&gt;0),IF($BI17=1,SUM('Final Calculation Sheet'!$H$4:$H$40),IF($BL17=1,SUM('Final Calculation Sheet'!$H$4:$H$40)-SUMIFS('Final Calculation Sheet'!$H$4:$H$40,$AZ$5:$AZ$41,10),SUMIFS('Final Calculation Sheet'!$H$4:$H$40,$AZ$5:$AZ$41,$BH17))),""))</f>
        <v>17,500</v>
      </c>
      <c r="J18" s="78" t="str">
        <f t="array" ref="J18">IF($BJ17&gt;0,IF(INDEX('Final Calculation Sheet'!$I$4:$I$40,$BJ17-3)="","",INDEX('Final Calculation Sheet'!$I$4:$I$40,$BJ17-3)),IF(OR($BI17=1,$BL17=1,$BH17&gt;0),IF($BI17=1,SUM('Final Calculation Sheet'!$I$4:$I$40),IF($BL17=1,SUM('Final Calculation Sheet'!$I$4:$I$40)-SUMIFS('Final Calculation Sheet'!$I$4:$I$40,$AZ$5:$AZ$41,10),SUMIFS('Final Calculation Sheet'!$I$4:$I$40,$AZ$5:$AZ$41,$BH17))),""))</f>
        <v>3,150</v>
      </c>
      <c r="K18" s="78" t="str">
        <f t="array" ref="K18">IF($BJ17&gt;0,IF(INDEX('Final Calculation Sheet'!$J$4:$J$40,$BJ17-3)="","",INDEX('Final Calculation Sheet'!$J$4:$J$40,$BJ17-3)),IF(OR($BI17=1,$BL17=1,$BH17&gt;0),IF($BI17=1,SUM('Final Calculation Sheet'!$J$4:$J$40),IF($BL17=1,SUM('Final Calculation Sheet'!$J$4:$J$40)-SUMIFS('Final Calculation Sheet'!$J$4:$J$40,$AZ$5:$AZ$41,10),SUMIFS('Final Calculation Sheet'!$J$4:$J$40,$AZ$5:$AZ$41,$BH17))),""))</f>
        <v>20,650</v>
      </c>
      <c r="L18" s="78" t="str">
        <f t="array" ref="L18">IF($BJ17&gt;0,IF(INDEX('Final Calculation Sheet'!$K$4:$K$40,$BJ17-3)="","",INDEX('Final Calculation Sheet'!$K$4:$K$40,$BJ17-3)),IF(OR($BI17=1,$BL17=1,$BH17&gt;0),IF($BI17=1,SUM('Final Calculation Sheet'!$K$4:$K$40),IF($BL17=1,SUM('Final Calculation Sheet'!$K$4:$K$40)-SUMIFS('Final Calculation Sheet'!$K$4:$K$40,$AZ$5:$AZ$41,10),SUMIFS('Final Calculation Sheet'!$K$4:$K$40,$AZ$5:$AZ$41,$BH17))),""))</f>
        <v>413</v>
      </c>
      <c r="M18" s="78" t="str">
        <f t="array" ref="M18">IF($BJ17&gt;0,IF(INDEX('Final Calculation Sheet'!$L$4:$L$40,$BJ17-3)="","",INDEX('Final Calculation Sheet'!$L$4:$L$40,$BJ17-3)),IF(OR($BI17=1,$BL17=1,$BH17&gt;0),IF($BI17=1,SUM('Final Calculation Sheet'!$L$4:$L$40),IF($BL17=1,SUM('Final Calculation Sheet'!$L$4:$L$40)-SUMIFS('Final Calculation Sheet'!$L$4:$L$40,$AZ$5:$AZ$41,10),SUMIFS('Final Calculation Sheet'!$L$4:$L$40,$AZ$5:$AZ$41,$BH17))),""))</f>
        <v>18</v>
      </c>
      <c r="N18" s="78" t="str">
        <f t="array" ref="N18">IF($BJ17&gt;0,IF(INDEX('Final Calculation Sheet'!$M$4:$M$40,$BJ17-3)="","",INDEX('Final Calculation Sheet'!$M$4:$M$40,$BJ17-3)),IF(OR($BI17=1,$BL17=1,$BH17&gt;0),IF($BI17=1,SUM('Final Calculation Sheet'!$M$4:$M$40),IF($BL17=1,SUM('Final Calculation Sheet'!$M$4:$M$40)-SUMIFS('Final Calculation Sheet'!$M$4:$M$40,$AZ$5:$AZ$41,10),SUMIFS('Final Calculation Sheet'!$M$4:$M$40,$AZ$5:$AZ$41,$BH17))),""))</f>
        <v>465</v>
      </c>
      <c r="O18" s="79" t="str">
        <f t="array" ref="O18">IF($BJ17&gt;0,IF(INDEX('Final Calculation Sheet'!$N$4:$N$40,$BJ17-3)="","",INDEX('Final Calculation Sheet'!$N$4:$N$40,$BJ17-3)),IF(OR($BI17=1,$BL17=1,$BH17&gt;0),IF($BI17=1,SUM('Final Calculation Sheet'!$N$4:$N$40),IF($BL17=1,SUM('Final Calculation Sheet'!$N$4:$N$40)-SUMIFS('Final Calculation Sheet'!$N$4:$N$40,$AZ$5:$AZ$41,10),SUMIFS('Final Calculation Sheet'!$N$4:$N$40,$AZ$5:$AZ$41,$BH17))),""))</f>
        <v>8</v>
      </c>
      <c r="P18" s="78" t="str">
        <f t="array" ref="P18">IF($BJ17&gt;0,IF(INDEX('Final Calculation Sheet'!$O$4:$O$40,$BJ17-3)="","",INDEX('Final Calculation Sheet'!$O$4:$O$40,$BJ17-3)),IF(OR($BI17=1,$BL17=1,$BH17&gt;0),IF($BI17=1,SUM('Final Calculation Sheet'!$O$4:$O$40),IF($BL17=1,SUM('Final Calculation Sheet'!$O$4:$O$40)-SUMIFS('Final Calculation Sheet'!$O$4:$O$40,$AZ$5:$AZ$41,10),SUMIFS('Final Calculation Sheet'!$O$4:$O$40,$AZ$5:$AZ$41,$BH17))),""))</f>
        <v>457</v>
      </c>
      <c r="Q18" s="78" t="str">
        <f t="array" ref="Q18">IF($BJ17&gt;0,IF(INDEX('Final Calculation Sheet'!$P$4:$P$40,$BJ17-3)="","",INDEX('Final Calculation Sheet'!$P$4:$P$40,$BJ17-3)),IF(OR($BI17=1,$BL17=1,$BH17&gt;0),IF($BI17=1,SUM('Final Calculation Sheet'!$P$4:$P$40),IF($BL17=1,SUM('Final Calculation Sheet'!$P$4:$P$40)-SUMIFS('Final Calculation Sheet'!$P$4:$P$40,$AZ$5:$AZ$41,10),SUMIFS('Final Calculation Sheet'!$P$4:$P$40,$AZ$5:$AZ$41,$BH17))),""))</f>
        <v>474</v>
      </c>
      <c r="R18" s="80" t="str">
        <f t="array" ref="R18">IF($BJ17&gt;0,IF(INDEX('Final Calculation Sheet'!$Q$4:$Q$40,$BJ17-3)="","",INDEX('Final Calculation Sheet'!$Q$4:$Q$40,$BJ17-3)),IF(OR($BI17=1,$BL17=1,$BH17&gt;0),"–",""))</f>
        <v>0%</v>
      </c>
      <c r="S18" s="78" t="str">
        <f t="array" ref="S18">IF($BJ17&gt;0,IF(INDEX('Final Calculation Sheet'!$R$4:$R$40,$BJ17-3)="","",INDEX('Final Calculation Sheet'!$R$4:$R$40,$BJ17-3)),IF(OR($BI17=1,$BL17=1,$BH17&gt;0),IF($BI17=1,SUM('Final Calculation Sheet'!$R$4:$R$40),IF($BL17=1,SUM('Final Calculation Sheet'!$R$4:$R$40)-SUMIFS('Final Calculation Sheet'!$R$4:$R$40,$AZ$5:$AZ$41,10),SUMIFS('Final Calculation Sheet'!$R$4:$R$40,$AZ$5:$AZ$41,$BH17))),""))</f>
        <v>0</v>
      </c>
      <c r="T18" s="78" t="str">
        <f t="array" ref="T18">IF($BJ17&gt;0,IF(INDEX('Final Calculation Sheet'!$S$4:$S$40,$BJ17-3)="","",INDEX('Final Calculation Sheet'!$S$4:$S$40,$BJ17-3)),IF(OR($BI17=1,$BL17=1,$BH17&gt;0),IF($BI17=1,SUM('Final Calculation Sheet'!$S$4:$S$40),IF($BL17=1,SUM('Final Calculation Sheet'!$S$4:$S$40)-SUMIFS('Final Calculation Sheet'!$S$4:$S$40,$AZ$5:$AZ$41,10),SUMIFS('Final Calculation Sheet'!$S$4:$S$40,$AZ$5:$AZ$41,$BH17))),""))</f>
        <v>20,589</v>
      </c>
      <c r="U18" s="78" t="str">
        <f t="array" ref="U18">IF($BJ17&gt;0,IF(INDEX('Final Calculation Sheet'!$T$4:$T$40,$BJ17-3)="","",INDEX('Final Calculation Sheet'!$T$4:$T$40,$BJ17-3)),IF(OR($BI17=1,$BL17=1,$BH17&gt;0),IF($BI17=1,SUM('Final Calculation Sheet'!$T$4:$T$40),IF($BL17=1,SUM('Final Calculation Sheet'!$T$4:$T$40)-SUMIFS('Final Calculation Sheet'!$T$4:$T$40,$AZ$5:$AZ$41,10),SUMIFS('Final Calculation Sheet'!$T$4:$T$40,$AZ$5:$AZ$41,$BH17))),""))</f>
        <v>4,375</v>
      </c>
      <c r="V18" s="81" t="str">
        <f t="array" ref="V18">IF($BJ17&gt;0,IF(INDEX('Final Calculation Sheet'!$U$4:$U$40,$BJ17-3)="","",INDEX('Final Calculation Sheet'!$U$4:$U$40,$BJ17-3)),IF(OR($BI17=1,$BL17=1,$BH17&gt;0),IF($BI17=1,SUM('Final Calculation Sheet'!$U$4:$U$40),IF($BL17=1,SUM('Final Calculation Sheet'!$U$4:$U$40)-SUMIFS('Final Calculation Sheet'!$U$4:$U$40,$AZ$5:$AZ$41,10),SUMIFS('Final Calculation Sheet'!$U$4:$U$40,$AZ$5:$AZ$41,$BH17))),""))</f>
        <v>  4,375 </v>
      </c>
      <c r="W18" s="78" t="str">
        <f t="array" ref="W18">IF($BJ17&gt;0,IF(INDEX('Final Calculation Sheet'!$V$4:$V$40,$BJ17-3)="","",INDEX('Final Calculation Sheet'!$V$4:$V$40,$BJ17-3)),IF(OR($BI17=1,$BL17=1,$BH17&gt;0),"–",""))</f>
        <v>11.08.2026</v>
      </c>
      <c r="X18" s="78" t="str">
        <f t="array" ref="X18">IF($BJ17&gt;0,IF(INDEX('Final Calculation Sheet'!$W$4:$W$40,$BJ17-3)="","",INDEX('Final Calculation Sheet'!$W$4:$W$40,$BJ17-3)),IF(OR($BI17=1,$BL17=1,$BH17&gt;0),IF($BI17=1,SUM('Final Calculation Sheet'!$W$4:$W$40),IF($BL17=1,SUM('Final Calculation Sheet'!$W$4:$W$40)-SUMIFS('Final Calculation Sheet'!$W$4:$W$40,$AZ$5:$AZ$41,10),SUMIFS('Final Calculation Sheet'!$W$4:$W$40,$AZ$5:$AZ$41,$BH17))),""))</f>
        <v>16,214</v>
      </c>
      <c r="Y18" s="78" t="str">
        <f t="array" ref="Y18">IF($BJ17&gt;0,IF(INDEX('Final Calculation Sheet'!$X$4:$X$40,$BJ17-3)="","",INDEX('Final Calculation Sheet'!$X$4:$X$40,$BJ17-3)),IF(OR($BI17=1,$BL17=1,$BH17&gt;0),IF($BI17=1,SUM('Final Calculation Sheet'!$X$4:$X$40),IF($BL17=1,SUM('Final Calculation Sheet'!$X$4:$X$40)-SUMIFS('Final Calculation Sheet'!$X$4:$X$40,$AZ$5:$AZ$41,10),SUMIFS('Final Calculation Sheet'!$X$4:$X$40,$AZ$5:$AZ$41,$BH17))),""))</f>
        <v>16,214</v>
      </c>
      <c r="Z18" s="78" t="str">
        <f t="array" ref="Z18">IF($BJ17&gt;0,IF(INDEX('Final Calculation Sheet'!$Y$4:$Y$40,$BJ17-3)="","",INDEX('Final Calculation Sheet'!$Y$4:$Y$40,$BJ17-3)),IF(OR($BI17=1,$BL17=1,$BH17&gt;0),"–",""))</f>
        <v>11.08.2026</v>
      </c>
      <c r="AA18" s="78" t="str">
        <f t="array" ref="AA18">IF($BJ17&gt;0,IF(INDEX('Final Calculation Sheet'!$Z$4:$Z$40,$BJ17-3)="","",INDEX('Final Calculation Sheet'!$Z$4:$Z$40,$BJ17-3)),IF(OR($BI17=1,$BL17=1,$BH17&gt;0),IF($BI17=1,SUM('Final Calculation Sheet'!$Z$4:$Z$40),IF($BL17=1,SUM('Final Calculation Sheet'!$Z$4:$Z$40)-SUMIFS('Final Calculation Sheet'!$Z$4:$Z$40,$AZ$5:$AZ$41,10),SUMIFS('Final Calculation Sheet'!$Z$4:$Z$40,$AZ$5:$AZ$41,$BH17))),""))</f>
        <v>0</v>
      </c>
      <c r="AB18" s="78" t="str">
        <f t="array" ref="AB18">IF($BJ17&gt;0,IF(INDEX('Final Calculation Sheet'!$AA$4:$AA$40,$BJ17-3)="","",INDEX('Final Calculation Sheet'!$AA$4:$AA$40,$BJ17-3)),IF(OR($BI17=1,$BL17=1,$BH17&gt;0),IF($BI17=1,SUM('Final Calculation Sheet'!$AA$4:$AA$40),IF($BL17=1,SUM('Final Calculation Sheet'!$AA$4:$AA$40)-SUMIFS('Final Calculation Sheet'!$AA$4:$AA$40,$AZ$5:$AZ$41,10),SUMIFS('Final Calculation Sheet'!$AA$4:$AA$40,$AZ$5:$AZ$41,$BH17))),""))</f>
        <v/>
      </c>
      <c r="AC18" s="78" t="str">
        <f t="array" ref="AC18">IF($BJ17&gt;0,IF(INDEX('Final Calculation Sheet'!$AB$4:$AB$40,$BJ17-3)="","",INDEX('Final Calculation Sheet'!$AB$4:$AB$40,$BJ17-3)),IF(OR($BI17=1,$BL17=1,$BH17&gt;0),"–",""))</f>
        <v/>
      </c>
      <c r="AD18" s="78" t="str">
        <f t="array" ref="AD18">IF($BJ17&gt;0,IF(INDEX('Final Calculation Sheet'!$AC$4:$AC$40,$BJ17-3)="","",INDEX('Final Calculation Sheet'!$AC$4:$AC$40,$BJ17-3)),IF(OR($BI17=1,$BL17=1,$BH17&gt;0),IF($BI17=1,SUM('Final Calculation Sheet'!$AC$4:$AC$40),IF($BL17=1,SUM('Final Calculation Sheet'!$AC$4:$AC$40)-SUMIFS('Final Calculation Sheet'!$AC$4:$AC$40,$AZ$5:$AZ$41,10),SUMIFS('Final Calculation Sheet'!$AC$4:$AC$40,$AZ$5:$AZ$41,$BH17))),""))</f>
        <v>20,589</v>
      </c>
      <c r="AE18" s="78" t="str">
        <f t="array" ref="AE18">IF($BJ17&gt;0,IF(INDEX('Final Calculation Sheet'!$AD$4:$AD$40,$BJ17-3)="","",INDEX('Final Calculation Sheet'!$AD$4:$AD$40,$BJ17-3)),IF(OR($BI17=1,$BL17=1,$BH17&gt;0),IF($BI17=1,SUM('Final Calculation Sheet'!$AD$4:$AD$40),IF($BL17=1,SUM('Final Calculation Sheet'!$AD$4:$AD$40)-SUMIFS('Final Calculation Sheet'!$AD$4:$AD$40,$AZ$5:$AZ$41,10),SUMIFS('Final Calculation Sheet'!$AD$4:$AD$40,$AZ$5:$AZ$41,$BH17))),""))</f>
        <v>0</v>
      </c>
      <c r="AF18" s="78" t="str">
        <f t="array" ref="AF18">IF($BJ17&gt;0,IF(INDEX('Final Calculation Sheet'!$AE$4:$AE$40,$BJ17-3)="","",INDEX('Final Calculation Sheet'!$AE$4:$AE$40,$BJ17-3)),IF(OR($BI17=1,$BL17=1,$BH17&gt;0),"–",""))</f>
        <v>DR2640100018</v>
      </c>
      <c r="AG18" s="82" t="str">
        <f t="array" ref="AG18">IF($BJ17&gt;0,IF(INDEX('Final Calculation Sheet'!$AF$4:$AF$40,$BJ17-3)="","",INDEX('Final Calculation Sheet'!$AF$4:$AF$40,$BJ17-3)),IF(OR($BI17=1,$BL17=1,$BH17&gt;0),"–",""))</f>
        <v>1800003156</v>
      </c>
      <c r="AH18" s="78" t="str">
        <f t="array" ref="AH18">IF($BJ17&gt;0,IF(INDEX('Final Calculation Sheet'!$AG$4:$AG$40,$BJ17-3)="","",INDEX('Final Calculation Sheet'!$AG$4:$AG$40,$BJ17-3)),IF(OR($BI17=1,$BL17=1,$BH17&gt;0),"–",""))</f>
        <v>14.08.2026</v>
      </c>
      <c r="AI18" s="83" t="str">
        <f t="array" ref="AI18">IF($BJ17&gt;0,IF(INDEX('Final Calculation Sheet'!$AD$4:$AD$40,$BJ17-3)="","",IF(INDEX('Final Calculation Sheet'!$AD$4:$AD$40,$BJ17-3)&lt;=0,"SETTLED","OUTSTANDING")),IF(OR($BI17=1,$BL17=1,$BH17&gt;0),IF(IF($BI17=1,SUM('Final Calculation Sheet'!$AD$4:$AD$40),IF($BL17=1,SUM('Final Calculation Sheet'!$AD$4:$AD$40)-SUMIFS('Final Calculation Sheet'!$AD$4:$AD$40,$AZ$5:$AZ$41,10),SUMIFS('Final Calculation Sheet'!$AD$4:$AD$40,$AZ$5:$AZ$41,$BH17)))&lt;=0,"ALL SETTLED","OUTSTANDING"),""))</f>
        <v>SETTLED</v>
      </c>
      <c r="AK18" t="str">
        <f>IF($F$3="Lot No.",'Final Calculation Sheet'!$F$17,IF($F$3="Buyer",'Final Calculation Sheet'!$G$17,IF($F$3="Lot Name",'Final Calculation Sheet'!$B$17,IF($F$3="Bid Sheet",'Final Calculation Sheet'!$D$17,IF($F$3="Unit",'Final Calculation Sheet'!$E$17,'Final Calculation Sheet'!$F$17&amp;" "&amp;'Final Calculation Sheet'!$G$17&amp;" "&amp;'Final Calculation Sheet'!$B$17)))))</f>
        <v>2015 STERLING ENTERPRISES Scrap of empty oil Barrels</v>
      </c>
      <c r="AM18" t="str">
        <f t="shared" si="3"/>
        <v>1</v>
      </c>
      <c r="AZ18" t="str">
        <f t="shared" si="4"/>
        <v>1</v>
      </c>
      <c r="BA18" t="str">
        <f t="shared" si="5"/>
        <v>1</v>
      </c>
      <c r="BB18" t="str">
        <f t="shared" si="6"/>
        <v>5</v>
      </c>
      <c r="BC18">
        <v>17.0</v>
      </c>
      <c r="BH18" t="str">
        <f>IFERROR(MATCH(18,$BF$4:$BF$13,0),0)</f>
        <v>0</v>
      </c>
      <c r="BI18" t="str">
        <f>IF(18=$BG$5,1,0)</f>
        <v>0</v>
      </c>
      <c r="BJ18" t="str">
        <f t="array" ref="BJ18">IF(OR($BH18&gt;0,$BI18=1,$BL18=1),0,IFERROR(INDEX($BC$5:$BC$41,MATCH(18,$BB$5:$BB$41,0)),0))</f>
        <v>14</v>
      </c>
      <c r="BK18" t="str">
        <f t="array" ref="BK18">IF($BJ18&gt;0,IF(INDEX($AZ$5:$AZ$41,MATCH(18,$BB$5:$BB$41,0))=10,1,0),IF($BH18=10,1,0))</f>
        <v>1</v>
      </c>
      <c r="BL18" t="str">
        <f>IF(18=$BG$4,1,0)</f>
        <v>0</v>
      </c>
      <c r="BM18" t="str">
        <f t="shared" si="8"/>
        <v>1</v>
      </c>
      <c r="BN18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Sheet'!$F$17)&amp;"",""))))&gt;0))</f>
        <v>1</v>
      </c>
      <c r="BO18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Sheet'!$G$17)&amp;"",""))))&gt;0))</f>
        <v>1</v>
      </c>
      <c r="BP18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Sheet'!$B$17)&amp;"",""))))&gt;0))</f>
        <v>1</v>
      </c>
      <c r="BQ18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Sheet'!$D$17)&amp;"",""))))&gt;0))</f>
        <v>1</v>
      </c>
      <c r="BR18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Sheet'!$A$17)&amp;"",""))))&gt;0))</f>
        <v>1</v>
      </c>
      <c r="BS18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Sheet'!$E$17)&amp;"",""))))&gt;0))</f>
        <v>1</v>
      </c>
      <c r="BT18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Sheet'!$C$17)&amp;"",""))))&gt;0))</f>
        <v>1</v>
      </c>
      <c r="BU18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Sheet'!$H$17)&amp;"",""))))&gt;0))</f>
        <v>1</v>
      </c>
      <c r="BV18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Sheet'!$I$17)&amp;"",""))))&gt;0))</f>
        <v>1</v>
      </c>
      <c r="BW18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Sheet'!$J$17)&amp;"",""))))&gt;0))</f>
        <v>1</v>
      </c>
      <c r="BX18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Sheet'!$K$17)&amp;"",""))))&gt;0))</f>
        <v>1</v>
      </c>
      <c r="BY18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Sheet'!$L$17)&amp;"",""))))&gt;0))</f>
        <v>1</v>
      </c>
      <c r="BZ18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Sheet'!$M$17)&amp;"",""))))&gt;0))</f>
        <v>1</v>
      </c>
      <c r="CA18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Sheet'!$N$17)&amp;"",""))))&gt;0))</f>
        <v>1</v>
      </c>
      <c r="CB18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Sheet'!$O$17)&amp;"",""))))&gt;0))</f>
        <v>1</v>
      </c>
      <c r="CC18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Sheet'!$P$17)&amp;"",""))))&gt;0))</f>
        <v>1</v>
      </c>
      <c r="CD18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Sheet'!$Q$17)&amp;"",""))))&gt;0))</f>
        <v>1</v>
      </c>
      <c r="CE18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Sheet'!$R$17)&amp;"",""))))&gt;0))</f>
        <v>1</v>
      </c>
      <c r="CF18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Sheet'!$S$17)&amp;"",""))))&gt;0))</f>
        <v>1</v>
      </c>
      <c r="CG18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Sheet'!$T$17)&amp;"",""))))&gt;0))</f>
        <v>1</v>
      </c>
      <c r="CH18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Sheet'!$U$17)&amp;"",""))))&gt;0))</f>
        <v>1</v>
      </c>
      <c r="CI18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Sheet'!$V$17)&amp;"",""))))&gt;0))</f>
        <v>1</v>
      </c>
      <c r="CJ18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Sheet'!$W$17)&amp;"",""))))&gt;0))</f>
        <v>1</v>
      </c>
      <c r="CK18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Sheet'!$X$17)&amp;"",""))))&gt;0))</f>
        <v>1</v>
      </c>
      <c r="CL18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Sheet'!$Y$17)&amp;"",""))))&gt;0))</f>
        <v>1</v>
      </c>
      <c r="CM18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Sheet'!$Z$17)&amp;"",""))))&gt;0))</f>
        <v>1</v>
      </c>
      <c r="CN18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Sheet'!$AA$17)&amp;"",""))))&gt;0))</f>
        <v>1</v>
      </c>
      <c r="CO18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Sheet'!$AB$17)&amp;"",""))))&gt;0))</f>
        <v>1</v>
      </c>
      <c r="CP18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Sheet'!$AC$17)&amp;"",""))))&gt;0))</f>
        <v>1</v>
      </c>
      <c r="CQ18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Sheet'!$AD$17)&amp;"",""))))&gt;0))</f>
        <v>1</v>
      </c>
      <c r="CR18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Sheet'!$AE$17)&amp;"",""))))&gt;0))</f>
        <v>1</v>
      </c>
      <c r="CS18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Sheet'!$AF$17)&amp;"",""))))&gt;0))</f>
        <v>1</v>
      </c>
      <c r="CT18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Sheet'!$AG$17)&amp;"",""))))&gt;0))</f>
        <v>1</v>
      </c>
      <c r="CU18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Sheet'!$AD$17&lt;=0,"SETTLED","OUTSTANDING"))&amp;"",""))))&gt;0))</f>
        <v>1</v>
      </c>
    </row>
    <row r="19" ht="15.0" customHeight="1">
      <c r="A19" s="75" t="str">
        <f t="array" ref="A19">IF($BJ18&gt;0,INDEX($BA$5:$BA$41,MATCH(18,$BB$5:$BB$41,0)),IF(OR($BI18=1,$BL18=1,$BH18&gt;0),"∑",""))</f>
        <v>11</v>
      </c>
      <c r="B19" s="76" t="str">
        <f t="array" ref="B19">IF($BJ18&gt;0,IF(INDEX('Final Calculation Sheet'!$F$4:$F$40,$BJ18-3)="","",INDEX('Final Calculation Sheet'!$F$4:$F$40,$BJ18-3)),"")</f>
        <v>2007</v>
      </c>
      <c r="C19" s="76" t="str">
        <f t="array" ref="C19">IF($BJ18&gt;0,IF(INDEX('Final Calculation Sheet'!$G$4:$G$40,$BJ18-3)="","",INDEX('Final Calculation Sheet'!$G$4:$G$40,$BJ18-3)),IF(OR($BI18=1,$BL18=1,$BH18&gt;0),IF($BI18=1,37,IF($BL18=1,37-INDEX($BD$4:$BD$13,10),INDEX($BD$4:$BD$13,$BH18)))&amp;" lot(s)",""))</f>
        <v>SHAR JAHAN TRADERS</v>
      </c>
      <c r="D19" s="77" t="str">
        <f t="array" ref="D19">IF($BJ18&gt;0,IF(INDEX('Final Calculation Sheet'!$B$4:$B$40,$BJ18-3)="","",INDEX('Final Calculation Sheet'!$B$4:$B$40,$BJ18-3)),IF(OR($BI18=1,$BL18=1,$BH18&gt;0),IF($BI18=1,"GRAND TOTAL  —  matching + remaining",IF($BL18=1,"TOTAL MATCHED  —  every group together",IF($BH18=10,"REMAINING  —  did not match the search",IF($BH18=9,IF(COUNTIF($A$4:$AI$4,"&lt;&gt;")&gt;0,"FILTERED LOTS  —  column fields","ALL LOTS  —  nothing typed in the box"),"GROUP "&amp;$BH18&amp;" TOTAL  —  lots matching  "&amp;INDEX($AR$6:$AY$6,$BH18))))),""))</f>
        <v>SCRAP POWER TRANSFORMER</v>
      </c>
      <c r="E19" s="77" t="str">
        <f t="array" ref="E19">IF($BJ18&gt;0,IF(INDEX('Final Calculation Sheet'!$D$4:$D$40,$BJ18-3)="","",INDEX('Final Calculation Sheet'!$D$4:$D$40,$BJ18-3)),IF(OR($BI18=1,$BL18=1,$BH18&gt;0),"–",""))</f>
        <v>21977</v>
      </c>
      <c r="F19" s="77" t="str">
        <f t="array" ref="F19">IF($BJ18&gt;0,IF(INDEX('Final Calculation Sheet'!$A$4:$A$40,$BJ18-3)="","",INDEX('Final Calculation Sheet'!$A$4:$A$40,$BJ18-3)),IF(OR($BI18=1,$BL18=1,$BH18&gt;0),IF($BI18=1,SUM('Final Calculation Sheet'!$A$4:$A$40),IF($BL18=1,SUM('Final Calculation Sheet'!$A$4:$A$40)-SUMIFS('Final Calculation Sheet'!$A$4:$A$40,$AZ$5:$AZ$41,10),SUMIFS('Final Calculation Sheet'!$A$4:$A$40,$AZ$5:$AZ$41,$BH18))),""))</f>
        <v>1</v>
      </c>
      <c r="G19" s="77" t="str">
        <f t="array" ref="G19">IF($BJ18&gt;0,IF(INDEX('Final Calculation Sheet'!$E$4:$E$40,$BJ18-3)="","",INDEX('Final Calculation Sheet'!$E$4:$E$40,$BJ18-3)),IF(OR($BI18=1,$BL18=1,$BH18&gt;0),"–",""))</f>
        <v>NO</v>
      </c>
      <c r="H19" s="78" t="str">
        <f t="array" ref="H19">IF($BJ18&gt;0,IF(INDEX('Final Calculation Sheet'!$C$4:$C$40,$BJ18-3)="","",INDEX('Final Calculation Sheet'!$C$4:$C$40,$BJ18-3)),IF(OR($BI18=1,$BL18=1,$BH18&gt;0),"–",""))</f>
        <v>3,857,116</v>
      </c>
      <c r="I19" s="78" t="str">
        <f t="array" ref="I19">IF($BJ18&gt;0,IF(INDEX('Final Calculation Sheet'!$H$4:$H$40,$BJ18-3)="","",INDEX('Final Calculation Sheet'!$H$4:$H$40,$BJ18-3)),IF(OR($BI18=1,$BL18=1,$BH18&gt;0),IF($BI18=1,SUM('Final Calculation Sheet'!$H$4:$H$40),IF($BL18=1,SUM('Final Calculation Sheet'!$H$4:$H$40)-SUMIFS('Final Calculation Sheet'!$H$4:$H$40,$AZ$5:$AZ$41,10),SUMIFS('Final Calculation Sheet'!$H$4:$H$40,$AZ$5:$AZ$41,$BH18))),""))</f>
        <v>3,857,116</v>
      </c>
      <c r="J19" s="78" t="str">
        <f t="array" ref="J19">IF($BJ18&gt;0,IF(INDEX('Final Calculation Sheet'!$I$4:$I$40,$BJ18-3)="","",INDEX('Final Calculation Sheet'!$I$4:$I$40,$BJ18-3)),IF(OR($BI18=1,$BL18=1,$BH18&gt;0),IF($BI18=1,SUM('Final Calculation Sheet'!$I$4:$I$40),IF($BL18=1,SUM('Final Calculation Sheet'!$I$4:$I$40)-SUMIFS('Final Calculation Sheet'!$I$4:$I$40,$AZ$5:$AZ$41,10),SUMIFS('Final Calculation Sheet'!$I$4:$I$40,$AZ$5:$AZ$41,$BH18))),""))</f>
        <v>694,281</v>
      </c>
      <c r="K19" s="78" t="str">
        <f t="array" ref="K19">IF($BJ18&gt;0,IF(INDEX('Final Calculation Sheet'!$J$4:$J$40,$BJ18-3)="","",INDEX('Final Calculation Sheet'!$J$4:$J$40,$BJ18-3)),IF(OR($BI18=1,$BL18=1,$BH18&gt;0),IF($BI18=1,SUM('Final Calculation Sheet'!$J$4:$J$40),IF($BL18=1,SUM('Final Calculation Sheet'!$J$4:$J$40)-SUMIFS('Final Calculation Sheet'!$J$4:$J$40,$AZ$5:$AZ$41,10),SUMIFS('Final Calculation Sheet'!$J$4:$J$40,$AZ$5:$AZ$41,$BH18))),""))</f>
        <v>4,551,397</v>
      </c>
      <c r="L19" s="78" t="str">
        <f t="array" ref="L19">IF($BJ18&gt;0,IF(INDEX('Final Calculation Sheet'!$K$4:$K$40,$BJ18-3)="","",INDEX('Final Calculation Sheet'!$K$4:$K$40,$BJ18-3)),IF(OR($BI18=1,$BL18=1,$BH18&gt;0),IF($BI18=1,SUM('Final Calculation Sheet'!$K$4:$K$40),IF($BL18=1,SUM('Final Calculation Sheet'!$K$4:$K$40)-SUMIFS('Final Calculation Sheet'!$K$4:$K$40,$AZ$5:$AZ$41,10),SUMIFS('Final Calculation Sheet'!$K$4:$K$40,$AZ$5:$AZ$41,$BH18))),""))</f>
        <v>91,028</v>
      </c>
      <c r="M19" s="78" t="str">
        <f t="array" ref="M19">IF($BJ18&gt;0,IF(INDEX('Final Calculation Sheet'!$L$4:$L$40,$BJ18-3)="","",INDEX('Final Calculation Sheet'!$L$4:$L$40,$BJ18-3)),IF(OR($BI18=1,$BL18=1,$BH18&gt;0),IF($BI18=1,SUM('Final Calculation Sheet'!$L$4:$L$40),IF($BL18=1,SUM('Final Calculation Sheet'!$L$4:$L$40)-SUMIFS('Final Calculation Sheet'!$L$4:$L$40,$AZ$5:$AZ$41,10),SUMIFS('Final Calculation Sheet'!$L$4:$L$40,$AZ$5:$AZ$41,$BH18))),""))</f>
        <v>3,857</v>
      </c>
      <c r="N19" s="78" t="str">
        <f t="array" ref="N19">IF($BJ18&gt;0,IF(INDEX('Final Calculation Sheet'!$M$4:$M$40,$BJ18-3)="","",INDEX('Final Calculation Sheet'!$M$4:$M$40,$BJ18-3)),IF(OR($BI18=1,$BL18=1,$BH18&gt;0),IF($BI18=1,SUM('Final Calculation Sheet'!$M$4:$M$40),IF($BL18=1,SUM('Final Calculation Sheet'!$M$4:$M$40)-SUMIFS('Final Calculation Sheet'!$M$4:$M$40,$AZ$5:$AZ$41,10),SUMIFS('Final Calculation Sheet'!$M$4:$M$40,$AZ$5:$AZ$41,$BH18))),""))</f>
        <v>102,406</v>
      </c>
      <c r="O19" s="79" t="str">
        <f t="array" ref="O19">IF($BJ18&gt;0,IF(INDEX('Final Calculation Sheet'!$N$4:$N$40,$BJ18-3)="","",INDEX('Final Calculation Sheet'!$N$4:$N$40,$BJ18-3)),IF(OR($BI18=1,$BL18=1,$BH18&gt;0),IF($BI18=1,SUM('Final Calculation Sheet'!$N$4:$N$40),IF($BL18=1,SUM('Final Calculation Sheet'!$N$4:$N$40)-SUMIFS('Final Calculation Sheet'!$N$4:$N$40,$AZ$5:$AZ$41,10),SUMIFS('Final Calculation Sheet'!$N$4:$N$40,$AZ$5:$AZ$41,$BH18))),""))</f>
        <v>1,736</v>
      </c>
      <c r="P19" s="78" t="str">
        <f t="array" ref="P19">IF($BJ18&gt;0,IF(INDEX('Final Calculation Sheet'!$O$4:$O$40,$BJ18-3)="","",INDEX('Final Calculation Sheet'!$O$4:$O$40,$BJ18-3)),IF(OR($BI18=1,$BL18=1,$BH18&gt;0),IF($BI18=1,SUM('Final Calculation Sheet'!$O$4:$O$40),IF($BL18=1,SUM('Final Calculation Sheet'!$O$4:$O$40)-SUMIFS('Final Calculation Sheet'!$O$4:$O$40,$AZ$5:$AZ$41,10),SUMIFS('Final Calculation Sheet'!$O$4:$O$40,$AZ$5:$AZ$41,$BH18))),""))</f>
        <v>100,671</v>
      </c>
      <c r="Q19" s="78" t="str">
        <f t="array" ref="Q19">IF($BJ18&gt;0,IF(INDEX('Final Calculation Sheet'!$P$4:$P$40,$BJ18-3)="","",INDEX('Final Calculation Sheet'!$P$4:$P$40,$BJ18-3)),IF(OR($BI18=1,$BL18=1,$BH18&gt;0),IF($BI18=1,SUM('Final Calculation Sheet'!$P$4:$P$40),IF($BL18=1,SUM('Final Calculation Sheet'!$P$4:$P$40)-SUMIFS('Final Calculation Sheet'!$P$4:$P$40,$AZ$5:$AZ$41,10),SUMIFS('Final Calculation Sheet'!$P$4:$P$40,$AZ$5:$AZ$41,$BH18))),""))</f>
        <v>104,528</v>
      </c>
      <c r="R19" s="80" t="str">
        <f t="array" ref="R19">IF($BJ18&gt;0,IF(INDEX('Final Calculation Sheet'!$Q$4:$Q$40,$BJ18-3)="","",INDEX('Final Calculation Sheet'!$Q$4:$Q$40,$BJ18-3)),IF(OR($BI18=1,$BL18=1,$BH18&gt;0),"–",""))</f>
        <v>0%</v>
      </c>
      <c r="S19" s="78" t="str">
        <f t="array" ref="S19">IF($BJ18&gt;0,IF(INDEX('Final Calculation Sheet'!$R$4:$R$40,$BJ18-3)="","",INDEX('Final Calculation Sheet'!$R$4:$R$40,$BJ18-3)),IF(OR($BI18=1,$BL18=1,$BH18&gt;0),IF($BI18=1,SUM('Final Calculation Sheet'!$R$4:$R$40),IF($BL18=1,SUM('Final Calculation Sheet'!$R$4:$R$40)-SUMIFS('Final Calculation Sheet'!$R$4:$R$40,$AZ$5:$AZ$41,10),SUMIFS('Final Calculation Sheet'!$R$4:$R$40,$AZ$5:$AZ$41,$BH18))),""))</f>
        <v>0</v>
      </c>
      <c r="T19" s="78" t="str">
        <f t="array" ref="T19">IF($BJ18&gt;0,IF(INDEX('Final Calculation Sheet'!$S$4:$S$40,$BJ18-3)="","",INDEX('Final Calculation Sheet'!$S$4:$S$40,$BJ18-3)),IF(OR($BI18=1,$BL18=1,$BH18&gt;0),IF($BI18=1,SUM('Final Calculation Sheet'!$S$4:$S$40),IF($BL18=1,SUM('Final Calculation Sheet'!$S$4:$S$40)-SUMIFS('Final Calculation Sheet'!$S$4:$S$40,$AZ$5:$AZ$41,10),SUMIFS('Final Calculation Sheet'!$S$4:$S$40,$AZ$5:$AZ$41,$BH18))),""))</f>
        <v>4,537,897</v>
      </c>
      <c r="U19" s="78" t="str">
        <f t="array" ref="U19">IF($BJ18&gt;0,IF(INDEX('Final Calculation Sheet'!$T$4:$T$40,$BJ18-3)="","",INDEX('Final Calculation Sheet'!$T$4:$T$40,$BJ18-3)),IF(OR($BI18=1,$BL18=1,$BH18&gt;0),IF($BI18=1,SUM('Final Calculation Sheet'!$T$4:$T$40),IF($BL18=1,SUM('Final Calculation Sheet'!$T$4:$T$40)-SUMIFS('Final Calculation Sheet'!$T$4:$T$40,$AZ$5:$AZ$41,10),SUMIFS('Final Calculation Sheet'!$T$4:$T$40,$AZ$5:$AZ$41,$BH18))),""))</f>
        <v>964,279</v>
      </c>
      <c r="V19" s="81" t="str">
        <f t="array" ref="V19">IF($BJ18&gt;0,IF(INDEX('Final Calculation Sheet'!$U$4:$U$40,$BJ18-3)="","",INDEX('Final Calculation Sheet'!$U$4:$U$40,$BJ18-3)),IF(OR($BI18=1,$BL18=1,$BH18&gt;0),IF($BI18=1,SUM('Final Calculation Sheet'!$U$4:$U$40),IF($BL18=1,SUM('Final Calculation Sheet'!$U$4:$U$40)-SUMIFS('Final Calculation Sheet'!$U$4:$U$40,$AZ$5:$AZ$41,10),SUMIFS('Final Calculation Sheet'!$U$4:$U$40,$AZ$5:$AZ$41,$BH18))),""))</f>
        <v>  964,279 </v>
      </c>
      <c r="W19" s="78" t="str">
        <f t="array" ref="W19">IF($BJ18&gt;0,IF(INDEX('Final Calculation Sheet'!$V$4:$V$40,$BJ18-3)="","",INDEX('Final Calculation Sheet'!$V$4:$V$40,$BJ18-3)),IF(OR($BI18=1,$BL18=1,$BH18&gt;0),"–",""))</f>
        <v>13.08.2026</v>
      </c>
      <c r="X19" s="78" t="str">
        <f t="array" ref="X19">IF($BJ18&gt;0,IF(INDEX('Final Calculation Sheet'!$W$4:$W$40,$BJ18-3)="","",INDEX('Final Calculation Sheet'!$W$4:$W$40,$BJ18-3)),IF(OR($BI18=1,$BL18=1,$BH18&gt;0),IF($BI18=1,SUM('Final Calculation Sheet'!$W$4:$W$40),IF($BL18=1,SUM('Final Calculation Sheet'!$W$4:$W$40)-SUMIFS('Final Calculation Sheet'!$W$4:$W$40,$AZ$5:$AZ$41,10),SUMIFS('Final Calculation Sheet'!$W$4:$W$40,$AZ$5:$AZ$41,$BH18))),""))</f>
        <v>3,573,618</v>
      </c>
      <c r="Y19" s="78" t="str">
        <f t="array" ref="Y19">IF($BJ18&gt;0,IF(INDEX('Final Calculation Sheet'!$X$4:$X$40,$BJ18-3)="","",INDEX('Final Calculation Sheet'!$X$4:$X$40,$BJ18-3)),IF(OR($BI18=1,$BL18=1,$BH18&gt;0),IF($BI18=1,SUM('Final Calculation Sheet'!$X$4:$X$40),IF($BL18=1,SUM('Final Calculation Sheet'!$X$4:$X$40)-SUMIFS('Final Calculation Sheet'!$X$4:$X$40,$AZ$5:$AZ$41,10),SUMIFS('Final Calculation Sheet'!$X$4:$X$40,$AZ$5:$AZ$41,$BH18))),""))</f>
        <v>3,573,619</v>
      </c>
      <c r="Z19" s="78" t="str">
        <f t="array" ref="Z19">IF($BJ18&gt;0,IF(INDEX('Final Calculation Sheet'!$Y$4:$Y$40,$BJ18-3)="","",INDEX('Final Calculation Sheet'!$Y$4:$Y$40,$BJ18-3)),IF(OR($BI18=1,$BL18=1,$BH18&gt;0),"–",""))</f>
        <v>13.08.2026</v>
      </c>
      <c r="AA19" s="78" t="str">
        <f t="array" ref="AA19">IF($BJ18&gt;0,IF(INDEX('Final Calculation Sheet'!$Z$4:$Z$40,$BJ18-3)="","",INDEX('Final Calculation Sheet'!$Z$4:$Z$40,$BJ18-3)),IF(OR($BI18=1,$BL18=1,$BH18&gt;0),IF($BI18=1,SUM('Final Calculation Sheet'!$Z$4:$Z$40),IF($BL18=1,SUM('Final Calculation Sheet'!$Z$4:$Z$40)-SUMIFS('Final Calculation Sheet'!$Z$4:$Z$40,$AZ$5:$AZ$41,10),SUMIFS('Final Calculation Sheet'!$Z$4:$Z$40,$AZ$5:$AZ$41,$BH18))),""))</f>
        <v>0</v>
      </c>
      <c r="AB19" s="78" t="str">
        <f t="array" ref="AB19">IF($BJ18&gt;0,IF(INDEX('Final Calculation Sheet'!$AA$4:$AA$40,$BJ18-3)="","",INDEX('Final Calculation Sheet'!$AA$4:$AA$40,$BJ18-3)),IF(OR($BI18=1,$BL18=1,$BH18&gt;0),IF($BI18=1,SUM('Final Calculation Sheet'!$AA$4:$AA$40),IF($BL18=1,SUM('Final Calculation Sheet'!$AA$4:$AA$40)-SUMIFS('Final Calculation Sheet'!$AA$4:$AA$40,$AZ$5:$AZ$41,10),SUMIFS('Final Calculation Sheet'!$AA$4:$AA$40,$AZ$5:$AZ$41,$BH18))),""))</f>
        <v/>
      </c>
      <c r="AC19" s="78" t="str">
        <f t="array" ref="AC19">IF($BJ18&gt;0,IF(INDEX('Final Calculation Sheet'!$AB$4:$AB$40,$BJ18-3)="","",INDEX('Final Calculation Sheet'!$AB$4:$AB$40,$BJ18-3)),IF(OR($BI18=1,$BL18=1,$BH18&gt;0),"–",""))</f>
        <v/>
      </c>
      <c r="AD19" s="78" t="str">
        <f t="array" ref="AD19">IF($BJ18&gt;0,IF(INDEX('Final Calculation Sheet'!$AC$4:$AC$40,$BJ18-3)="","",INDEX('Final Calculation Sheet'!$AC$4:$AC$40,$BJ18-3)),IF(OR($BI18=1,$BL18=1,$BH18&gt;0),IF($BI18=1,SUM('Final Calculation Sheet'!$AC$4:$AC$40),IF($BL18=1,SUM('Final Calculation Sheet'!$AC$4:$AC$40)-SUMIFS('Final Calculation Sheet'!$AC$4:$AC$40,$AZ$5:$AZ$41,10),SUMIFS('Final Calculation Sheet'!$AC$4:$AC$40,$AZ$5:$AZ$41,$BH18))),""))</f>
        <v>4,537,898</v>
      </c>
      <c r="AE19" s="78" t="str">
        <f t="array" ref="AE19">IF($BJ18&gt;0,IF(INDEX('Final Calculation Sheet'!$AD$4:$AD$40,$BJ18-3)="","",INDEX('Final Calculation Sheet'!$AD$4:$AD$40,$BJ18-3)),IF(OR($BI18=1,$BL18=1,$BH18&gt;0),IF($BI18=1,SUM('Final Calculation Sheet'!$AD$4:$AD$40),IF($BL18=1,SUM('Final Calculation Sheet'!$AD$4:$AD$40)-SUMIFS('Final Calculation Sheet'!$AD$4:$AD$40,$AZ$5:$AZ$41,10),SUMIFS('Final Calculation Sheet'!$AD$4:$AD$40,$AZ$5:$AZ$41,$BH18))),""))</f>
        <v>(1)</v>
      </c>
      <c r="AF19" s="78" t="str">
        <f t="array" ref="AF19">IF($BJ18&gt;0,IF(INDEX('Final Calculation Sheet'!$AE$4:$AE$40,$BJ18-3)="","",INDEX('Final Calculation Sheet'!$AE$4:$AE$40,$BJ18-3)),IF(OR($BI18=1,$BL18=1,$BH18&gt;0),"–",""))</f>
        <v>DR2640100024</v>
      </c>
      <c r="AG19" s="82" t="str">
        <f t="array" ref="AG19">IF($BJ18&gt;0,IF(INDEX('Final Calculation Sheet'!$AF$4:$AF$40,$BJ18-3)="","",INDEX('Final Calculation Sheet'!$AF$4:$AF$40,$BJ18-3)),IF(OR($BI18=1,$BL18=1,$BH18&gt;0),"–",""))</f>
        <v>1800003196</v>
      </c>
      <c r="AH19" s="78" t="str">
        <f t="array" ref="AH19">IF($BJ18&gt;0,IF(INDEX('Final Calculation Sheet'!$AG$4:$AG$40,$BJ18-3)="","",INDEX('Final Calculation Sheet'!$AG$4:$AG$40,$BJ18-3)),IF(OR($BI18=1,$BL18=1,$BH18&gt;0),"–",""))</f>
        <v>17.08.2026</v>
      </c>
      <c r="AI19" s="83" t="str">
        <f t="array" ref="AI19">IF($BJ18&gt;0,IF(INDEX('Final Calculation Sheet'!$AD$4:$AD$40,$BJ18-3)="","",IF(INDEX('Final Calculation Sheet'!$AD$4:$AD$40,$BJ18-3)&lt;=0,"SETTLED","OUTSTANDING")),IF(OR($BI18=1,$BL18=1,$BH18&gt;0),IF(IF($BI18=1,SUM('Final Calculation Sheet'!$AD$4:$AD$40),IF($BL18=1,SUM('Final Calculation Sheet'!$AD$4:$AD$40)-SUMIFS('Final Calculation Sheet'!$AD$4:$AD$40,$AZ$5:$AZ$41,10),SUMIFS('Final Calculation Sheet'!$AD$4:$AD$40,$AZ$5:$AZ$41,$BH18)))&lt;=0,"ALL SETTLED","OUTSTANDING"),""))</f>
        <v>SETTLED</v>
      </c>
      <c r="AK19" t="str">
        <f>IF($F$3="Lot No.",'Final Calculation Sheet'!$F$18,IF($F$3="Buyer",'Final Calculation Sheet'!$G$18,IF($F$3="Lot Name",'Final Calculation Sheet'!$B$18,IF($F$3="Bid Sheet",'Final Calculation Sheet'!$D$18,IF($F$3="Unit",'Final Calculation Sheet'!$E$18,'Final Calculation Sheet'!$F$18&amp;" "&amp;'Final Calculation Sheet'!$G$18&amp;" "&amp;'Final Calculation Sheet'!$B$18)))))</f>
        <v>2018 NATIONAL ENTERPRISES Scrap of 220 KV Circuit Breaker</v>
      </c>
      <c r="AM19" t="str">
        <f t="shared" si="3"/>
        <v>0</v>
      </c>
      <c r="AZ19" t="str">
        <f t="shared" si="4"/>
        <v>10</v>
      </c>
      <c r="BA19" t="str">
        <f t="shared" si="5"/>
        <v>14</v>
      </c>
      <c r="BB19" t="str">
        <f t="shared" si="6"/>
        <v>21</v>
      </c>
      <c r="BC19">
        <v>18.0</v>
      </c>
      <c r="BH19" t="str">
        <f>IFERROR(MATCH(19,$BF$4:$BF$13,0),0)</f>
        <v>0</v>
      </c>
      <c r="BI19" t="str">
        <f>IF(19=$BG$5,1,0)</f>
        <v>0</v>
      </c>
      <c r="BJ19" t="str">
        <f t="array" ref="BJ19">IF(OR($BH19&gt;0,$BI19=1,$BL19=1),0,IFERROR(INDEX($BC$5:$BC$41,MATCH(19,$BB$5:$BB$41,0)),0))</f>
        <v>15</v>
      </c>
      <c r="BK19" t="str">
        <f t="array" ref="BK19">IF($BJ19&gt;0,IF(INDEX($AZ$5:$AZ$41,MATCH(19,$BB$5:$BB$41,0))=10,1,0),IF($BH19=10,1,0))</f>
        <v>1</v>
      </c>
      <c r="BL19" t="str">
        <f>IF(19=$BG$4,1,0)</f>
        <v>0</v>
      </c>
      <c r="BM19" t="str">
        <f t="shared" si="8"/>
        <v>1</v>
      </c>
      <c r="BN19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Sheet'!$F$18)&amp;"",""))))&gt;0))</f>
        <v>1</v>
      </c>
      <c r="BO19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Sheet'!$G$18)&amp;"",""))))&gt;0))</f>
        <v>1</v>
      </c>
      <c r="BP19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Sheet'!$B$18)&amp;"",""))))&gt;0))</f>
        <v>1</v>
      </c>
      <c r="BQ19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Sheet'!$D$18)&amp;"",""))))&gt;0))</f>
        <v>1</v>
      </c>
      <c r="BR19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Sheet'!$A$18)&amp;"",""))))&gt;0))</f>
        <v>1</v>
      </c>
      <c r="BS19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Sheet'!$E$18)&amp;"",""))))&gt;0))</f>
        <v>1</v>
      </c>
      <c r="BT19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Sheet'!$C$18)&amp;"",""))))&gt;0))</f>
        <v>1</v>
      </c>
      <c r="BU19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Sheet'!$H$18)&amp;"",""))))&gt;0))</f>
        <v>1</v>
      </c>
      <c r="BV19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Sheet'!$I$18)&amp;"",""))))&gt;0))</f>
        <v>1</v>
      </c>
      <c r="BW19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Sheet'!$J$18)&amp;"",""))))&gt;0))</f>
        <v>1</v>
      </c>
      <c r="BX19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Sheet'!$K$18)&amp;"",""))))&gt;0))</f>
        <v>1</v>
      </c>
      <c r="BY19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Sheet'!$L$18)&amp;"",""))))&gt;0))</f>
        <v>1</v>
      </c>
      <c r="BZ19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Sheet'!$M$18)&amp;"",""))))&gt;0))</f>
        <v>1</v>
      </c>
      <c r="CA19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Sheet'!$N$18)&amp;"",""))))&gt;0))</f>
        <v>1</v>
      </c>
      <c r="CB19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Sheet'!$O$18)&amp;"",""))))&gt;0))</f>
        <v>1</v>
      </c>
      <c r="CC19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Sheet'!$P$18)&amp;"",""))))&gt;0))</f>
        <v>1</v>
      </c>
      <c r="CD19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Sheet'!$Q$18)&amp;"",""))))&gt;0))</f>
        <v>1</v>
      </c>
      <c r="CE19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Sheet'!$R$18)&amp;"",""))))&gt;0))</f>
        <v>1</v>
      </c>
      <c r="CF19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Sheet'!$S$18)&amp;"",""))))&gt;0))</f>
        <v>1</v>
      </c>
      <c r="CG19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Sheet'!$T$18)&amp;"",""))))&gt;0))</f>
        <v>1</v>
      </c>
      <c r="CH19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Sheet'!$U$18)&amp;"",""))))&gt;0))</f>
        <v>1</v>
      </c>
      <c r="CI19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Sheet'!$V$18)&amp;"",""))))&gt;0))</f>
        <v>1</v>
      </c>
      <c r="CJ19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Sheet'!$W$18)&amp;"",""))))&gt;0))</f>
        <v>1</v>
      </c>
      <c r="CK19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Sheet'!$X$18)&amp;"",""))))&gt;0))</f>
        <v>1</v>
      </c>
      <c r="CL19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Sheet'!$Y$18)&amp;"",""))))&gt;0))</f>
        <v>1</v>
      </c>
      <c r="CM19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Sheet'!$Z$18)&amp;"",""))))&gt;0))</f>
        <v>1</v>
      </c>
      <c r="CN19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Sheet'!$AA$18)&amp;"",""))))&gt;0))</f>
        <v>1</v>
      </c>
      <c r="CO19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Sheet'!$AB$18)&amp;"",""))))&gt;0))</f>
        <v>1</v>
      </c>
      <c r="CP19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Sheet'!$AC$18)&amp;"",""))))&gt;0))</f>
        <v>1</v>
      </c>
      <c r="CQ19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Sheet'!$AD$18)&amp;"",""))))&gt;0))</f>
        <v>1</v>
      </c>
      <c r="CR19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Sheet'!$AE$18)&amp;"",""))))&gt;0))</f>
        <v>1</v>
      </c>
      <c r="CS19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Sheet'!$AF$18)&amp;"",""))))&gt;0))</f>
        <v>1</v>
      </c>
      <c r="CT19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Sheet'!$AG$18)&amp;"",""))))&gt;0))</f>
        <v>1</v>
      </c>
      <c r="CU19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Sheet'!$AD$18&lt;=0,"SETTLED","OUTSTANDING"))&amp;"",""))))&gt;0))</f>
        <v>1</v>
      </c>
    </row>
    <row r="20" ht="15.0" customHeight="1">
      <c r="A20" s="75" t="str">
        <f t="array" ref="A20">IF($BJ19&gt;0,INDEX($BA$5:$BA$41,MATCH(19,$BB$5:$BB$41,0)),IF(OR($BI19=1,$BL19=1,$BH19&gt;0),"∑",""))</f>
        <v>12</v>
      </c>
      <c r="B20" s="76" t="str">
        <f t="array" ref="B20">IF($BJ19&gt;0,IF(INDEX('Final Calculation Sheet'!$F$4:$F$40,$BJ19-3)="","",INDEX('Final Calculation Sheet'!$F$4:$F$40,$BJ19-3)),"")</f>
        <v>2008</v>
      </c>
      <c r="C20" s="76" t="str">
        <f t="array" ref="C20">IF($BJ19&gt;0,IF(INDEX('Final Calculation Sheet'!$G$4:$G$40,$BJ19-3)="","",INDEX('Final Calculation Sheet'!$G$4:$G$40,$BJ19-3)),IF(OR($BI19=1,$BL19=1,$BH19&gt;0),IF($BI19=1,37,IF($BL19=1,37-INDEX($BD$4:$BD$13,10),INDEX($BD$4:$BD$13,$BH19)))&amp;" lot(s)",""))</f>
        <v>HIND TRADERS</v>
      </c>
      <c r="D20" s="77" t="str">
        <f t="array" ref="D20">IF($BJ19&gt;0,IF(INDEX('Final Calculation Sheet'!$B$4:$B$40,$BJ19-3)="","",INDEX('Final Calculation Sheet'!$B$4:$B$40,$BJ19-3)),IF(OR($BI19=1,$BL19=1,$BH19&gt;0),IF($BI19=1,"GRAND TOTAL  —  matching + remaining",IF($BL19=1,"TOTAL MATCHED  —  every group together",IF($BH19=10,"REMAINING  —  did not match the search",IF($BH19=9,IF(COUNTIF($A$4:$AI$4,"&lt;&gt;")&gt;0,"FILTERED LOTS  —  column fields","ALL LOTS  —  nothing typed in the box"),"GROUP "&amp;$BH19&amp;" TOTAL  —  lots matching  "&amp;INDEX($AR$6:$AY$6,$BH19))))),""))</f>
        <v>Scrap of empty oil Druam</v>
      </c>
      <c r="E20" s="77" t="str">
        <f t="array" ref="E20">IF($BJ19&gt;0,IF(INDEX('Final Calculation Sheet'!$D$4:$D$40,$BJ19-3)="","",INDEX('Final Calculation Sheet'!$D$4:$D$40,$BJ19-3)),IF(OR($BI19=1,$BL19=1,$BH19&gt;0),"–",""))</f>
        <v>21977</v>
      </c>
      <c r="F20" s="77" t="str">
        <f t="array" ref="F20">IF($BJ19&gt;0,IF(INDEX('Final Calculation Sheet'!$A$4:$A$40,$BJ19-3)="","",INDEX('Final Calculation Sheet'!$A$4:$A$40,$BJ19-3)),IF(OR($BI19=1,$BL19=1,$BH19&gt;0),IF($BI19=1,SUM('Final Calculation Sheet'!$A$4:$A$40),IF($BL19=1,SUM('Final Calculation Sheet'!$A$4:$A$40)-SUMIFS('Final Calculation Sheet'!$A$4:$A$40,$AZ$5:$AZ$41,10),SUMIFS('Final Calculation Sheet'!$A$4:$A$40,$AZ$5:$AZ$41,$BH19))),""))</f>
        <v>250</v>
      </c>
      <c r="G20" s="77" t="str">
        <f t="array" ref="G20">IF($BJ19&gt;0,IF(INDEX('Final Calculation Sheet'!$E$4:$E$40,$BJ19-3)="","",INDEX('Final Calculation Sheet'!$E$4:$E$40,$BJ19-3)),IF(OR($BI19=1,$BL19=1,$BH19&gt;0),"–",""))</f>
        <v>NO</v>
      </c>
      <c r="H20" s="78" t="str">
        <f t="array" ref="H20">IF($BJ19&gt;0,IF(INDEX('Final Calculation Sheet'!$C$4:$C$40,$BJ19-3)="","",INDEX('Final Calculation Sheet'!$C$4:$C$40,$BJ19-3)),IF(OR($BI19=1,$BL19=1,$BH19&gt;0),"–",""))</f>
        <v>543</v>
      </c>
      <c r="I20" s="78" t="str">
        <f t="array" ref="I20">IF($BJ19&gt;0,IF(INDEX('Final Calculation Sheet'!$H$4:$H$40,$BJ19-3)="","",INDEX('Final Calculation Sheet'!$H$4:$H$40,$BJ19-3)),IF(OR($BI19=1,$BL19=1,$BH19&gt;0),IF($BI19=1,SUM('Final Calculation Sheet'!$H$4:$H$40),IF($BL19=1,SUM('Final Calculation Sheet'!$H$4:$H$40)-SUMIFS('Final Calculation Sheet'!$H$4:$H$40,$AZ$5:$AZ$41,10),SUMIFS('Final Calculation Sheet'!$H$4:$H$40,$AZ$5:$AZ$41,$BH19))),""))</f>
        <v>135,750</v>
      </c>
      <c r="J20" s="78" t="str">
        <f t="array" ref="J20">IF($BJ19&gt;0,IF(INDEX('Final Calculation Sheet'!$I$4:$I$40,$BJ19-3)="","",INDEX('Final Calculation Sheet'!$I$4:$I$40,$BJ19-3)),IF(OR($BI19=1,$BL19=1,$BH19&gt;0),IF($BI19=1,SUM('Final Calculation Sheet'!$I$4:$I$40),IF($BL19=1,SUM('Final Calculation Sheet'!$I$4:$I$40)-SUMIFS('Final Calculation Sheet'!$I$4:$I$40,$AZ$5:$AZ$41,10),SUMIFS('Final Calculation Sheet'!$I$4:$I$40,$AZ$5:$AZ$41,$BH19))),""))</f>
        <v>24,435</v>
      </c>
      <c r="K20" s="78" t="str">
        <f t="array" ref="K20">IF($BJ19&gt;0,IF(INDEX('Final Calculation Sheet'!$J$4:$J$40,$BJ19-3)="","",INDEX('Final Calculation Sheet'!$J$4:$J$40,$BJ19-3)),IF(OR($BI19=1,$BL19=1,$BH19&gt;0),IF($BI19=1,SUM('Final Calculation Sheet'!$J$4:$J$40),IF($BL19=1,SUM('Final Calculation Sheet'!$J$4:$J$40)-SUMIFS('Final Calculation Sheet'!$J$4:$J$40,$AZ$5:$AZ$41,10),SUMIFS('Final Calculation Sheet'!$J$4:$J$40,$AZ$5:$AZ$41,$BH19))),""))</f>
        <v>160,185</v>
      </c>
      <c r="L20" s="78" t="str">
        <f t="array" ref="L20">IF($BJ19&gt;0,IF(INDEX('Final Calculation Sheet'!$K$4:$K$40,$BJ19-3)="","",INDEX('Final Calculation Sheet'!$K$4:$K$40,$BJ19-3)),IF(OR($BI19=1,$BL19=1,$BH19&gt;0),IF($BI19=1,SUM('Final Calculation Sheet'!$K$4:$K$40),IF($BL19=1,SUM('Final Calculation Sheet'!$K$4:$K$40)-SUMIFS('Final Calculation Sheet'!$K$4:$K$40,$AZ$5:$AZ$41,10),SUMIFS('Final Calculation Sheet'!$K$4:$K$40,$AZ$5:$AZ$41,$BH19))),""))</f>
        <v>3,204</v>
      </c>
      <c r="M20" s="78" t="str">
        <f t="array" ref="M20">IF($BJ19&gt;0,IF(INDEX('Final Calculation Sheet'!$L$4:$L$40,$BJ19-3)="","",INDEX('Final Calculation Sheet'!$L$4:$L$40,$BJ19-3)),IF(OR($BI19=1,$BL19=1,$BH19&gt;0),IF($BI19=1,SUM('Final Calculation Sheet'!$L$4:$L$40),IF($BL19=1,SUM('Final Calculation Sheet'!$L$4:$L$40)-SUMIFS('Final Calculation Sheet'!$L$4:$L$40,$AZ$5:$AZ$41,10),SUMIFS('Final Calculation Sheet'!$L$4:$L$40,$AZ$5:$AZ$41,$BH19))),""))</f>
        <v>136</v>
      </c>
      <c r="N20" s="78" t="str">
        <f t="array" ref="N20">IF($BJ19&gt;0,IF(INDEX('Final Calculation Sheet'!$M$4:$M$40,$BJ19-3)="","",INDEX('Final Calculation Sheet'!$M$4:$M$40,$BJ19-3)),IF(OR($BI19=1,$BL19=1,$BH19&gt;0),IF($BI19=1,SUM('Final Calculation Sheet'!$M$4:$M$40),IF($BL19=1,SUM('Final Calculation Sheet'!$M$4:$M$40)-SUMIFS('Final Calculation Sheet'!$M$4:$M$40,$AZ$5:$AZ$41,10),SUMIFS('Final Calculation Sheet'!$M$4:$M$40,$AZ$5:$AZ$41,$BH19))),""))</f>
        <v>3,604</v>
      </c>
      <c r="O20" s="79" t="str">
        <f t="array" ref="O20">IF($BJ19&gt;0,IF(INDEX('Final Calculation Sheet'!$N$4:$N$40,$BJ19-3)="","",INDEX('Final Calculation Sheet'!$N$4:$N$40,$BJ19-3)),IF(OR($BI19=1,$BL19=1,$BH19&gt;0),IF($BI19=1,SUM('Final Calculation Sheet'!$N$4:$N$40),IF($BL19=1,SUM('Final Calculation Sheet'!$N$4:$N$40)-SUMIFS('Final Calculation Sheet'!$N$4:$N$40,$AZ$5:$AZ$41,10),SUMIFS('Final Calculation Sheet'!$N$4:$N$40,$AZ$5:$AZ$41,$BH19))),""))</f>
        <v>61</v>
      </c>
      <c r="P20" s="78" t="str">
        <f t="array" ref="P20">IF($BJ19&gt;0,IF(INDEX('Final Calculation Sheet'!$O$4:$O$40,$BJ19-3)="","",INDEX('Final Calculation Sheet'!$O$4:$O$40,$BJ19-3)),IF(OR($BI19=1,$BL19=1,$BH19&gt;0),IF($BI19=1,SUM('Final Calculation Sheet'!$O$4:$O$40),IF($BL19=1,SUM('Final Calculation Sheet'!$O$4:$O$40)-SUMIFS('Final Calculation Sheet'!$O$4:$O$40,$AZ$5:$AZ$41,10),SUMIFS('Final Calculation Sheet'!$O$4:$O$40,$AZ$5:$AZ$41,$BH19))),""))</f>
        <v>3,543</v>
      </c>
      <c r="Q20" s="78" t="str">
        <f t="array" ref="Q20">IF($BJ19&gt;0,IF(INDEX('Final Calculation Sheet'!$P$4:$P$40,$BJ19-3)="","",INDEX('Final Calculation Sheet'!$P$4:$P$40,$BJ19-3)),IF(OR($BI19=1,$BL19=1,$BH19&gt;0),IF($BI19=1,SUM('Final Calculation Sheet'!$P$4:$P$40),IF($BL19=1,SUM('Final Calculation Sheet'!$P$4:$P$40)-SUMIFS('Final Calculation Sheet'!$P$4:$P$40,$AZ$5:$AZ$41,10),SUMIFS('Final Calculation Sheet'!$P$4:$P$40,$AZ$5:$AZ$41,$BH19))),""))</f>
        <v>3,679</v>
      </c>
      <c r="R20" s="80" t="str">
        <f t="array" ref="R20">IF($BJ19&gt;0,IF(INDEX('Final Calculation Sheet'!$Q$4:$Q$40,$BJ19-3)="","",INDEX('Final Calculation Sheet'!$Q$4:$Q$40,$BJ19-3)),IF(OR($BI19=1,$BL19=1,$BH19&gt;0),"–",""))</f>
        <v>0%</v>
      </c>
      <c r="S20" s="78" t="str">
        <f t="array" ref="S20">IF($BJ19&gt;0,IF(INDEX('Final Calculation Sheet'!$R$4:$R$40,$BJ19-3)="","",INDEX('Final Calculation Sheet'!$R$4:$R$40,$BJ19-3)),IF(OR($BI19=1,$BL19=1,$BH19&gt;0),IF($BI19=1,SUM('Final Calculation Sheet'!$R$4:$R$40),IF($BL19=1,SUM('Final Calculation Sheet'!$R$4:$R$40)-SUMIFS('Final Calculation Sheet'!$R$4:$R$40,$AZ$5:$AZ$41,10),SUMIFS('Final Calculation Sheet'!$R$4:$R$40,$AZ$5:$AZ$41,$BH19))),""))</f>
        <v>0</v>
      </c>
      <c r="T20" s="78" t="str">
        <f t="array" ref="T20">IF($BJ19&gt;0,IF(INDEX('Final Calculation Sheet'!$S$4:$S$40,$BJ19-3)="","",INDEX('Final Calculation Sheet'!$S$4:$S$40,$BJ19-3)),IF(OR($BI19=1,$BL19=1,$BH19&gt;0),IF($BI19=1,SUM('Final Calculation Sheet'!$S$4:$S$40),IF($BL19=1,SUM('Final Calculation Sheet'!$S$4:$S$40)-SUMIFS('Final Calculation Sheet'!$S$4:$S$40,$AZ$5:$AZ$41,10),SUMIFS('Final Calculation Sheet'!$S$4:$S$40,$AZ$5:$AZ$41,$BH19))),""))</f>
        <v>159,710</v>
      </c>
      <c r="U20" s="78" t="str">
        <f t="array" ref="U20">IF($BJ19&gt;0,IF(INDEX('Final Calculation Sheet'!$T$4:$T$40,$BJ19-3)="","",INDEX('Final Calculation Sheet'!$T$4:$T$40,$BJ19-3)),IF(OR($BI19=1,$BL19=1,$BH19&gt;0),IF($BI19=1,SUM('Final Calculation Sheet'!$T$4:$T$40),IF($BL19=1,SUM('Final Calculation Sheet'!$T$4:$T$40)-SUMIFS('Final Calculation Sheet'!$T$4:$T$40,$AZ$5:$AZ$41,10),SUMIFS('Final Calculation Sheet'!$T$4:$T$40,$AZ$5:$AZ$41,$BH19))),""))</f>
        <v>33,938</v>
      </c>
      <c r="V20" s="81" t="str">
        <f t="array" ref="V20">IF($BJ19&gt;0,IF(INDEX('Final Calculation Sheet'!$U$4:$U$40,$BJ19-3)="","",INDEX('Final Calculation Sheet'!$U$4:$U$40,$BJ19-3)),IF(OR($BI19=1,$BL19=1,$BH19&gt;0),IF($BI19=1,SUM('Final Calculation Sheet'!$U$4:$U$40),IF($BL19=1,SUM('Final Calculation Sheet'!$U$4:$U$40)-SUMIFS('Final Calculation Sheet'!$U$4:$U$40,$AZ$5:$AZ$41,10),SUMIFS('Final Calculation Sheet'!$U$4:$U$40,$AZ$5:$AZ$41,$BH19))),""))</f>
        <v>  33,938 </v>
      </c>
      <c r="W20" s="78" t="str">
        <f t="array" ref="W20">IF($BJ19&gt;0,IF(INDEX('Final Calculation Sheet'!$V$4:$V$40,$BJ19-3)="","",INDEX('Final Calculation Sheet'!$V$4:$V$40,$BJ19-3)),IF(OR($BI19=1,$BL19=1,$BH19&gt;0),"–",""))</f>
        <v>14.08.2026</v>
      </c>
      <c r="X20" s="78" t="str">
        <f t="array" ref="X20">IF($BJ19&gt;0,IF(INDEX('Final Calculation Sheet'!$W$4:$W$40,$BJ19-3)="","",INDEX('Final Calculation Sheet'!$W$4:$W$40,$BJ19-3)),IF(OR($BI19=1,$BL19=1,$BH19&gt;0),IF($BI19=1,SUM('Final Calculation Sheet'!$W$4:$W$40),IF($BL19=1,SUM('Final Calculation Sheet'!$W$4:$W$40)-SUMIFS('Final Calculation Sheet'!$W$4:$W$40,$AZ$5:$AZ$41,10),SUMIFS('Final Calculation Sheet'!$W$4:$W$40,$AZ$5:$AZ$41,$BH19))),""))</f>
        <v>125,772</v>
      </c>
      <c r="Y20" s="78" t="str">
        <f t="array" ref="Y20">IF($BJ19&gt;0,IF(INDEX('Final Calculation Sheet'!$X$4:$X$40,$BJ19-3)="","",INDEX('Final Calculation Sheet'!$X$4:$X$40,$BJ19-3)),IF(OR($BI19=1,$BL19=1,$BH19&gt;0),IF($BI19=1,SUM('Final Calculation Sheet'!$X$4:$X$40),IF($BL19=1,SUM('Final Calculation Sheet'!$X$4:$X$40)-SUMIFS('Final Calculation Sheet'!$X$4:$X$40,$AZ$5:$AZ$41,10),SUMIFS('Final Calculation Sheet'!$X$4:$X$40,$AZ$5:$AZ$41,$BH19))),""))</f>
        <v>125,772</v>
      </c>
      <c r="Z20" s="78" t="str">
        <f t="array" ref="Z20">IF($BJ19&gt;0,IF(INDEX('Final Calculation Sheet'!$Y$4:$Y$40,$BJ19-3)="","",INDEX('Final Calculation Sheet'!$Y$4:$Y$40,$BJ19-3)),IF(OR($BI19=1,$BL19=1,$BH19&gt;0),"–",""))</f>
        <v>18.08.2026</v>
      </c>
      <c r="AA20" s="78" t="str">
        <f t="array" ref="AA20">IF($BJ19&gt;0,IF(INDEX('Final Calculation Sheet'!$Z$4:$Z$40,$BJ19-3)="","",INDEX('Final Calculation Sheet'!$Z$4:$Z$40,$BJ19-3)),IF(OR($BI19=1,$BL19=1,$BH19&gt;0),IF($BI19=1,SUM('Final Calculation Sheet'!$Z$4:$Z$40),IF($BL19=1,SUM('Final Calculation Sheet'!$Z$4:$Z$40)-SUMIFS('Final Calculation Sheet'!$Z$4:$Z$40,$AZ$5:$AZ$41,10),SUMIFS('Final Calculation Sheet'!$Z$4:$Z$40,$AZ$5:$AZ$41,$BH19))),""))</f>
        <v>0</v>
      </c>
      <c r="AB20" s="78" t="str">
        <f t="array" ref="AB20">IF($BJ19&gt;0,IF(INDEX('Final Calculation Sheet'!$AA$4:$AA$40,$BJ19-3)="","",INDEX('Final Calculation Sheet'!$AA$4:$AA$40,$BJ19-3)),IF(OR($BI19=1,$BL19=1,$BH19&gt;0),IF($BI19=1,SUM('Final Calculation Sheet'!$AA$4:$AA$40),IF($BL19=1,SUM('Final Calculation Sheet'!$AA$4:$AA$40)-SUMIFS('Final Calculation Sheet'!$AA$4:$AA$40,$AZ$5:$AZ$41,10),SUMIFS('Final Calculation Sheet'!$AA$4:$AA$40,$AZ$5:$AZ$41,$BH19))),""))</f>
        <v/>
      </c>
      <c r="AC20" s="78" t="str">
        <f t="array" ref="AC20">IF($BJ19&gt;0,IF(INDEX('Final Calculation Sheet'!$AB$4:$AB$40,$BJ19-3)="","",INDEX('Final Calculation Sheet'!$AB$4:$AB$40,$BJ19-3)),IF(OR($BI19=1,$BL19=1,$BH19&gt;0),"–",""))</f>
        <v/>
      </c>
      <c r="AD20" s="78" t="str">
        <f t="array" ref="AD20">IF($BJ19&gt;0,IF(INDEX('Final Calculation Sheet'!$AC$4:$AC$40,$BJ19-3)="","",INDEX('Final Calculation Sheet'!$AC$4:$AC$40,$BJ19-3)),IF(OR($BI19=1,$BL19=1,$BH19&gt;0),IF($BI19=1,SUM('Final Calculation Sheet'!$AC$4:$AC$40),IF($BL19=1,SUM('Final Calculation Sheet'!$AC$4:$AC$40)-SUMIFS('Final Calculation Sheet'!$AC$4:$AC$40,$AZ$5:$AZ$41,10),SUMIFS('Final Calculation Sheet'!$AC$4:$AC$40,$AZ$5:$AZ$41,$BH19))),""))</f>
        <v>159,710</v>
      </c>
      <c r="AE20" s="78" t="str">
        <f t="array" ref="AE20">IF($BJ19&gt;0,IF(INDEX('Final Calculation Sheet'!$AD$4:$AD$40,$BJ19-3)="","",INDEX('Final Calculation Sheet'!$AD$4:$AD$40,$BJ19-3)),IF(OR($BI19=1,$BL19=1,$BH19&gt;0),IF($BI19=1,SUM('Final Calculation Sheet'!$AD$4:$AD$40),IF($BL19=1,SUM('Final Calculation Sheet'!$AD$4:$AD$40)-SUMIFS('Final Calculation Sheet'!$AD$4:$AD$40,$AZ$5:$AZ$41,10),SUMIFS('Final Calculation Sheet'!$AD$4:$AD$40,$AZ$5:$AZ$41,$BH19))),""))</f>
        <v>0</v>
      </c>
      <c r="AF20" s="78" t="str">
        <f t="array" ref="AF20">IF($BJ19&gt;0,IF(INDEX('Final Calculation Sheet'!$AE$4:$AE$40,$BJ19-3)="","",INDEX('Final Calculation Sheet'!$AE$4:$AE$40,$BJ19-3)),IF(OR($BI19=1,$BL19=1,$BH19&gt;0),"–",""))</f>
        <v>DR2640100026</v>
      </c>
      <c r="AG20" s="82" t="str">
        <f t="array" ref="AG20">IF($BJ19&gt;0,IF(INDEX('Final Calculation Sheet'!$AF$4:$AF$40,$BJ19-3)="","",INDEX('Final Calculation Sheet'!$AF$4:$AF$40,$BJ19-3)),IF(OR($BI19=1,$BL19=1,$BH19&gt;0),"–",""))</f>
        <v>1800003247</v>
      </c>
      <c r="AH20" s="78" t="str">
        <f t="array" ref="AH20">IF($BJ19&gt;0,IF(INDEX('Final Calculation Sheet'!$AG$4:$AG$40,$BJ19-3)="","",INDEX('Final Calculation Sheet'!$AG$4:$AG$40,$BJ19-3)),IF(OR($BI19=1,$BL19=1,$BH19&gt;0),"–",""))</f>
        <v>20.08.2026</v>
      </c>
      <c r="AI20" s="83" t="str">
        <f t="array" ref="AI20">IF($BJ19&gt;0,IF(INDEX('Final Calculation Sheet'!$AD$4:$AD$40,$BJ19-3)="","",IF(INDEX('Final Calculation Sheet'!$AD$4:$AD$40,$BJ19-3)&lt;=0,"SETTLED","OUTSTANDING")),IF(OR($BI19=1,$BL19=1,$BH19&gt;0),IF(IF($BI19=1,SUM('Final Calculation Sheet'!$AD$4:$AD$40),IF($BL19=1,SUM('Final Calculation Sheet'!$AD$4:$AD$40)-SUMIFS('Final Calculation Sheet'!$AD$4:$AD$40,$AZ$5:$AZ$41,10),SUMIFS('Final Calculation Sheet'!$AD$4:$AD$40,$AZ$5:$AZ$41,$BH19)))&lt;=0,"ALL SETTLED","OUTSTANDING"),""))</f>
        <v>SETTLED</v>
      </c>
      <c r="AK20" t="str">
        <f>IF($F$3="Lot No.",'Final Calculation Sheet'!$F$19,IF($F$3="Buyer",'Final Calculation Sheet'!$G$19,IF($F$3="Lot Name",'Final Calculation Sheet'!$B$19,IF($F$3="Bid Sheet",'Final Calculation Sheet'!$D$19,IF($F$3="Unit",'Final Calculation Sheet'!$E$19,'Final Calculation Sheet'!$F$19&amp;" "&amp;'Final Calculation Sheet'!$G$19&amp;" "&amp;'Final Calculation Sheet'!$B$19)))))</f>
        <v>2019 NATIONAL ENTERPRISES Scrap of 220 KV Circuit Breaker</v>
      </c>
      <c r="AM20" t="str">
        <f t="shared" si="3"/>
        <v>0</v>
      </c>
      <c r="AZ20" t="str">
        <f t="shared" si="4"/>
        <v>10</v>
      </c>
      <c r="BA20" t="str">
        <f t="shared" si="5"/>
        <v>15</v>
      </c>
      <c r="BB20" t="str">
        <f t="shared" si="6"/>
        <v>22</v>
      </c>
      <c r="BC20">
        <v>19.0</v>
      </c>
      <c r="BH20" t="str">
        <f>IFERROR(MATCH(20,$BF$4:$BF$13,0),0)</f>
        <v>0</v>
      </c>
      <c r="BI20" t="str">
        <f>IF(20=$BG$5,1,0)</f>
        <v>0</v>
      </c>
      <c r="BJ20" t="str">
        <f t="array" ref="BJ20">IF(OR($BH20&gt;0,$BI20=1,$BL20=1),0,IFERROR(INDEX($BC$5:$BC$41,MATCH(20,$BB$5:$BB$41,0)),0))</f>
        <v>16</v>
      </c>
      <c r="BK20" t="str">
        <f t="array" ref="BK20">IF($BJ20&gt;0,IF(INDEX($AZ$5:$AZ$41,MATCH(20,$BB$5:$BB$41,0))=10,1,0),IF($BH20=10,1,0))</f>
        <v>1</v>
      </c>
      <c r="BL20" t="str">
        <f>IF(20=$BG$4,1,0)</f>
        <v>0</v>
      </c>
      <c r="BM20" t="str">
        <f t="shared" si="8"/>
        <v>1</v>
      </c>
      <c r="BN20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Sheet'!$F$19)&amp;"",""))))&gt;0))</f>
        <v>1</v>
      </c>
      <c r="BO20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Sheet'!$G$19)&amp;"",""))))&gt;0))</f>
        <v>1</v>
      </c>
      <c r="BP20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Sheet'!$B$19)&amp;"",""))))&gt;0))</f>
        <v>1</v>
      </c>
      <c r="BQ20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Sheet'!$D$19)&amp;"",""))))&gt;0))</f>
        <v>1</v>
      </c>
      <c r="BR20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Sheet'!$A$19)&amp;"",""))))&gt;0))</f>
        <v>1</v>
      </c>
      <c r="BS20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Sheet'!$E$19)&amp;"",""))))&gt;0))</f>
        <v>1</v>
      </c>
      <c r="BT20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Sheet'!$C$19)&amp;"",""))))&gt;0))</f>
        <v>1</v>
      </c>
      <c r="BU20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Sheet'!$H$19)&amp;"",""))))&gt;0))</f>
        <v>1</v>
      </c>
      <c r="BV20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Sheet'!$I$19)&amp;"",""))))&gt;0))</f>
        <v>1</v>
      </c>
      <c r="BW20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Sheet'!$J$19)&amp;"",""))))&gt;0))</f>
        <v>1</v>
      </c>
      <c r="BX20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Sheet'!$K$19)&amp;"",""))))&gt;0))</f>
        <v>1</v>
      </c>
      <c r="BY20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Sheet'!$L$19)&amp;"",""))))&gt;0))</f>
        <v>1</v>
      </c>
      <c r="BZ20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Sheet'!$M$19)&amp;"",""))))&gt;0))</f>
        <v>1</v>
      </c>
      <c r="CA20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Sheet'!$N$19)&amp;"",""))))&gt;0))</f>
        <v>1</v>
      </c>
      <c r="CB20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Sheet'!$O$19)&amp;"",""))))&gt;0))</f>
        <v>1</v>
      </c>
      <c r="CC20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Sheet'!$P$19)&amp;"",""))))&gt;0))</f>
        <v>1</v>
      </c>
      <c r="CD20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Sheet'!$Q$19)&amp;"",""))))&gt;0))</f>
        <v>1</v>
      </c>
      <c r="CE20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Sheet'!$R$19)&amp;"",""))))&gt;0))</f>
        <v>1</v>
      </c>
      <c r="CF20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Sheet'!$S$19)&amp;"",""))))&gt;0))</f>
        <v>1</v>
      </c>
      <c r="CG20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Sheet'!$T$19)&amp;"",""))))&gt;0))</f>
        <v>1</v>
      </c>
      <c r="CH20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Sheet'!$U$19)&amp;"",""))))&gt;0))</f>
        <v>1</v>
      </c>
      <c r="CI20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Sheet'!$V$19)&amp;"",""))))&gt;0))</f>
        <v>1</v>
      </c>
      <c r="CJ20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Sheet'!$W$19)&amp;"",""))))&gt;0))</f>
        <v>1</v>
      </c>
      <c r="CK20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Sheet'!$X$19)&amp;"",""))))&gt;0))</f>
        <v>1</v>
      </c>
      <c r="CL20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Sheet'!$Y$19)&amp;"",""))))&gt;0))</f>
        <v>1</v>
      </c>
      <c r="CM20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Sheet'!$Z$19)&amp;"",""))))&gt;0))</f>
        <v>1</v>
      </c>
      <c r="CN20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Sheet'!$AA$19)&amp;"",""))))&gt;0))</f>
        <v>1</v>
      </c>
      <c r="CO20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Sheet'!$AB$19)&amp;"",""))))&gt;0))</f>
        <v>1</v>
      </c>
      <c r="CP20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Sheet'!$AC$19)&amp;"",""))))&gt;0))</f>
        <v>1</v>
      </c>
      <c r="CQ20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Sheet'!$AD$19)&amp;"",""))))&gt;0))</f>
        <v>1</v>
      </c>
      <c r="CR20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Sheet'!$AE$19)&amp;"",""))))&gt;0))</f>
        <v>1</v>
      </c>
      <c r="CS20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Sheet'!$AF$19)&amp;"",""))))&gt;0))</f>
        <v>1</v>
      </c>
      <c r="CT20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Sheet'!$AG$19)&amp;"",""))))&gt;0))</f>
        <v>1</v>
      </c>
      <c r="CU20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Sheet'!$AD$19&lt;=0,"SETTLED","OUTSTANDING"))&amp;"",""))))&gt;0))</f>
        <v>1</v>
      </c>
    </row>
    <row r="21" ht="15.0" customHeight="1">
      <c r="A21" s="75" t="str">
        <f t="array" ref="A21">IF($BJ20&gt;0,INDEX($BA$5:$BA$41,MATCH(20,$BB$5:$BB$41,0)),IF(OR($BI20=1,$BL20=1,$BH20&gt;0),"∑",""))</f>
        <v>13</v>
      </c>
      <c r="B21" s="76" t="str">
        <f t="array" ref="B21">IF($BJ20&gt;0,IF(INDEX('Final Calculation Sheet'!$F$4:$F$40,$BJ20-3)="","",INDEX('Final Calculation Sheet'!$F$4:$F$40,$BJ20-3)),"")</f>
        <v>2011</v>
      </c>
      <c r="C21" s="76" t="str">
        <f t="array" ref="C21">IF($BJ20&gt;0,IF(INDEX('Final Calculation Sheet'!$G$4:$G$40,$BJ20-3)="","",INDEX('Final Calculation Sheet'!$G$4:$G$40,$BJ20-3)),IF(OR($BI20=1,$BL20=1,$BH20&gt;0),IF($BI20=1,37,IF($BL20=1,37-INDEX($BD$4:$BD$13,10),INDEX($BD$4:$BD$13,$BH20)))&amp;" lot(s)",""))</f>
        <v>STERLING ENTERPRISES</v>
      </c>
      <c r="D21" s="77" t="str">
        <f t="array" ref="D21">IF($BJ20&gt;0,IF(INDEX('Final Calculation Sheet'!$B$4:$B$40,$BJ20-3)="","",INDEX('Final Calculation Sheet'!$B$4:$B$40,$BJ20-3)),IF(OR($BI20=1,$BL20=1,$BH20&gt;0),IF($BI20=1,"GRAND TOTAL  —  matching + remaining",IF($BL20=1,"TOTAL MATCHED  —  every group together",IF($BH20=10,"REMAINING  —  did not match the search",IF($BH20=9,IF(COUNTIF($A$4:$AI$4,"&lt;&gt;")&gt;0,"FILTERED LOTS  —  column fields","ALL LOTS  —  nothing typed in the box"),"GROUP "&amp;$BH20&amp;" TOTAL  —  lots matching  "&amp;INDEX($AR$6:$AY$6,$BH20))))),""))</f>
        <v>Scrap of empty oil Barrel</v>
      </c>
      <c r="E21" s="77" t="str">
        <f t="array" ref="E21">IF($BJ20&gt;0,IF(INDEX('Final Calculation Sheet'!$D$4:$D$40,$BJ20-3)="","",INDEX('Final Calculation Sheet'!$D$4:$D$40,$BJ20-3)),IF(OR($BI20=1,$BL20=1,$BH20&gt;0),"–",""))</f>
        <v>21977</v>
      </c>
      <c r="F21" s="77" t="str">
        <f t="array" ref="F21">IF($BJ20&gt;0,IF(INDEX('Final Calculation Sheet'!$A$4:$A$40,$BJ20-3)="","",INDEX('Final Calculation Sheet'!$A$4:$A$40,$BJ20-3)),IF(OR($BI20=1,$BL20=1,$BH20&gt;0),IF($BI20=1,SUM('Final Calculation Sheet'!$A$4:$A$40),IF($BL20=1,SUM('Final Calculation Sheet'!$A$4:$A$40)-SUMIFS('Final Calculation Sheet'!$A$4:$A$40,$AZ$5:$AZ$41,10),SUMIFS('Final Calculation Sheet'!$A$4:$A$40,$AZ$5:$AZ$41,$BH20))),""))</f>
        <v>22</v>
      </c>
      <c r="G21" s="77" t="str">
        <f t="array" ref="G21">IF($BJ20&gt;0,IF(INDEX('Final Calculation Sheet'!$E$4:$E$40,$BJ20-3)="","",INDEX('Final Calculation Sheet'!$E$4:$E$40,$BJ20-3)),IF(OR($BI20=1,$BL20=1,$BH20&gt;0),"–",""))</f>
        <v>NO</v>
      </c>
      <c r="H21" s="78" t="str">
        <f t="array" ref="H21">IF($BJ20&gt;0,IF(INDEX('Final Calculation Sheet'!$C$4:$C$40,$BJ20-3)="","",INDEX('Final Calculation Sheet'!$C$4:$C$40,$BJ20-3)),IF(OR($BI20=1,$BL20=1,$BH20&gt;0),"–",""))</f>
        <v>700</v>
      </c>
      <c r="I21" s="78" t="str">
        <f t="array" ref="I21">IF($BJ20&gt;0,IF(INDEX('Final Calculation Sheet'!$H$4:$H$40,$BJ20-3)="","",INDEX('Final Calculation Sheet'!$H$4:$H$40,$BJ20-3)),IF(OR($BI20=1,$BL20=1,$BH20&gt;0),IF($BI20=1,SUM('Final Calculation Sheet'!$H$4:$H$40),IF($BL20=1,SUM('Final Calculation Sheet'!$H$4:$H$40)-SUMIFS('Final Calculation Sheet'!$H$4:$H$40,$AZ$5:$AZ$41,10),SUMIFS('Final Calculation Sheet'!$H$4:$H$40,$AZ$5:$AZ$41,$BH20))),""))</f>
        <v>15,400</v>
      </c>
      <c r="J21" s="78" t="str">
        <f t="array" ref="J21">IF($BJ20&gt;0,IF(INDEX('Final Calculation Sheet'!$I$4:$I$40,$BJ20-3)="","",INDEX('Final Calculation Sheet'!$I$4:$I$40,$BJ20-3)),IF(OR($BI20=1,$BL20=1,$BH20&gt;0),IF($BI20=1,SUM('Final Calculation Sheet'!$I$4:$I$40),IF($BL20=1,SUM('Final Calculation Sheet'!$I$4:$I$40)-SUMIFS('Final Calculation Sheet'!$I$4:$I$40,$AZ$5:$AZ$41,10),SUMIFS('Final Calculation Sheet'!$I$4:$I$40,$AZ$5:$AZ$41,$BH20))),""))</f>
        <v>2,772</v>
      </c>
      <c r="K21" s="78" t="str">
        <f t="array" ref="K21">IF($BJ20&gt;0,IF(INDEX('Final Calculation Sheet'!$J$4:$J$40,$BJ20-3)="","",INDEX('Final Calculation Sheet'!$J$4:$J$40,$BJ20-3)),IF(OR($BI20=1,$BL20=1,$BH20&gt;0),IF($BI20=1,SUM('Final Calculation Sheet'!$J$4:$J$40),IF($BL20=1,SUM('Final Calculation Sheet'!$J$4:$J$40)-SUMIFS('Final Calculation Sheet'!$J$4:$J$40,$AZ$5:$AZ$41,10),SUMIFS('Final Calculation Sheet'!$J$4:$J$40,$AZ$5:$AZ$41,$BH20))),""))</f>
        <v>18,172</v>
      </c>
      <c r="L21" s="78" t="str">
        <f t="array" ref="L21">IF($BJ20&gt;0,IF(INDEX('Final Calculation Sheet'!$K$4:$K$40,$BJ20-3)="","",INDEX('Final Calculation Sheet'!$K$4:$K$40,$BJ20-3)),IF(OR($BI20=1,$BL20=1,$BH20&gt;0),IF($BI20=1,SUM('Final Calculation Sheet'!$K$4:$K$40),IF($BL20=1,SUM('Final Calculation Sheet'!$K$4:$K$40)-SUMIFS('Final Calculation Sheet'!$K$4:$K$40,$AZ$5:$AZ$41,10),SUMIFS('Final Calculation Sheet'!$K$4:$K$40,$AZ$5:$AZ$41,$BH20))),""))</f>
        <v>363</v>
      </c>
      <c r="M21" s="78" t="str">
        <f t="array" ref="M21">IF($BJ20&gt;0,IF(INDEX('Final Calculation Sheet'!$L$4:$L$40,$BJ20-3)="","",INDEX('Final Calculation Sheet'!$L$4:$L$40,$BJ20-3)),IF(OR($BI20=1,$BL20=1,$BH20&gt;0),IF($BI20=1,SUM('Final Calculation Sheet'!$L$4:$L$40),IF($BL20=1,SUM('Final Calculation Sheet'!$L$4:$L$40)-SUMIFS('Final Calculation Sheet'!$L$4:$L$40,$AZ$5:$AZ$41,10),SUMIFS('Final Calculation Sheet'!$L$4:$L$40,$AZ$5:$AZ$41,$BH20))),""))</f>
        <v>15</v>
      </c>
      <c r="N21" s="78" t="str">
        <f t="array" ref="N21">IF($BJ20&gt;0,IF(INDEX('Final Calculation Sheet'!$M$4:$M$40,$BJ20-3)="","",INDEX('Final Calculation Sheet'!$M$4:$M$40,$BJ20-3)),IF(OR($BI20=1,$BL20=1,$BH20&gt;0),IF($BI20=1,SUM('Final Calculation Sheet'!$M$4:$M$40),IF($BL20=1,SUM('Final Calculation Sheet'!$M$4:$M$40)-SUMIFS('Final Calculation Sheet'!$M$4:$M$40,$AZ$5:$AZ$41,10),SUMIFS('Final Calculation Sheet'!$M$4:$M$40,$AZ$5:$AZ$41,$BH20))),""))</f>
        <v>409</v>
      </c>
      <c r="O21" s="79" t="str">
        <f t="array" ref="O21">IF($BJ20&gt;0,IF(INDEX('Final Calculation Sheet'!$N$4:$N$40,$BJ20-3)="","",INDEX('Final Calculation Sheet'!$N$4:$N$40,$BJ20-3)),IF(OR($BI20=1,$BL20=1,$BH20&gt;0),IF($BI20=1,SUM('Final Calculation Sheet'!$N$4:$N$40),IF($BL20=1,SUM('Final Calculation Sheet'!$N$4:$N$40)-SUMIFS('Final Calculation Sheet'!$N$4:$N$40,$AZ$5:$AZ$41,10),SUMIFS('Final Calculation Sheet'!$N$4:$N$40,$AZ$5:$AZ$41,$BH20))),""))</f>
        <v>7</v>
      </c>
      <c r="P21" s="78" t="str">
        <f t="array" ref="P21">IF($BJ20&gt;0,IF(INDEX('Final Calculation Sheet'!$O$4:$O$40,$BJ20-3)="","",INDEX('Final Calculation Sheet'!$O$4:$O$40,$BJ20-3)),IF(OR($BI20=1,$BL20=1,$BH20&gt;0),IF($BI20=1,SUM('Final Calculation Sheet'!$O$4:$O$40),IF($BL20=1,SUM('Final Calculation Sheet'!$O$4:$O$40)-SUMIFS('Final Calculation Sheet'!$O$4:$O$40,$AZ$5:$AZ$41,10),SUMIFS('Final Calculation Sheet'!$O$4:$O$40,$AZ$5:$AZ$41,$BH20))),""))</f>
        <v>402</v>
      </c>
      <c r="Q21" s="78" t="str">
        <f t="array" ref="Q21">IF($BJ20&gt;0,IF(INDEX('Final Calculation Sheet'!$P$4:$P$40,$BJ20-3)="","",INDEX('Final Calculation Sheet'!$P$4:$P$40,$BJ20-3)),IF(OR($BI20=1,$BL20=1,$BH20&gt;0),IF($BI20=1,SUM('Final Calculation Sheet'!$P$4:$P$40),IF($BL20=1,SUM('Final Calculation Sheet'!$P$4:$P$40)-SUMIFS('Final Calculation Sheet'!$P$4:$P$40,$AZ$5:$AZ$41,10),SUMIFS('Final Calculation Sheet'!$P$4:$P$40,$AZ$5:$AZ$41,$BH20))),""))</f>
        <v>417</v>
      </c>
      <c r="R21" s="80" t="str">
        <f t="array" ref="R21">IF($BJ20&gt;0,IF(INDEX('Final Calculation Sheet'!$Q$4:$Q$40,$BJ20-3)="","",INDEX('Final Calculation Sheet'!$Q$4:$Q$40,$BJ20-3)),IF(OR($BI20=1,$BL20=1,$BH20&gt;0),"–",""))</f>
        <v>0%</v>
      </c>
      <c r="S21" s="78" t="str">
        <f t="array" ref="S21">IF($BJ20&gt;0,IF(INDEX('Final Calculation Sheet'!$R$4:$R$40,$BJ20-3)="","",INDEX('Final Calculation Sheet'!$R$4:$R$40,$BJ20-3)),IF(OR($BI20=1,$BL20=1,$BH20&gt;0),IF($BI20=1,SUM('Final Calculation Sheet'!$R$4:$R$40),IF($BL20=1,SUM('Final Calculation Sheet'!$R$4:$R$40)-SUMIFS('Final Calculation Sheet'!$R$4:$R$40,$AZ$5:$AZ$41,10),SUMIFS('Final Calculation Sheet'!$R$4:$R$40,$AZ$5:$AZ$41,$BH20))),""))</f>
        <v>0</v>
      </c>
      <c r="T21" s="78" t="str">
        <f t="array" ref="T21">IF($BJ20&gt;0,IF(INDEX('Final Calculation Sheet'!$S$4:$S$40,$BJ20-3)="","",INDEX('Final Calculation Sheet'!$S$4:$S$40,$BJ20-3)),IF(OR($BI20=1,$BL20=1,$BH20&gt;0),IF($BI20=1,SUM('Final Calculation Sheet'!$S$4:$S$40),IF($BL20=1,SUM('Final Calculation Sheet'!$S$4:$S$40)-SUMIFS('Final Calculation Sheet'!$S$4:$S$40,$AZ$5:$AZ$41,10),SUMIFS('Final Calculation Sheet'!$S$4:$S$40,$AZ$5:$AZ$41,$BH20))),""))</f>
        <v>18,118</v>
      </c>
      <c r="U21" s="78" t="str">
        <f t="array" ref="U21">IF($BJ20&gt;0,IF(INDEX('Final Calculation Sheet'!$T$4:$T$40,$BJ20-3)="","",INDEX('Final Calculation Sheet'!$T$4:$T$40,$BJ20-3)),IF(OR($BI20=1,$BL20=1,$BH20&gt;0),IF($BI20=1,SUM('Final Calculation Sheet'!$T$4:$T$40),IF($BL20=1,SUM('Final Calculation Sheet'!$T$4:$T$40)-SUMIFS('Final Calculation Sheet'!$T$4:$T$40,$AZ$5:$AZ$41,10),SUMIFS('Final Calculation Sheet'!$T$4:$T$40,$AZ$5:$AZ$41,$BH20))),""))</f>
        <v>3,850</v>
      </c>
      <c r="V21" s="81" t="str">
        <f t="array" ref="V21">IF($BJ20&gt;0,IF(INDEX('Final Calculation Sheet'!$U$4:$U$40,$BJ20-3)="","",INDEX('Final Calculation Sheet'!$U$4:$U$40,$BJ20-3)),IF(OR($BI20=1,$BL20=1,$BH20&gt;0),IF($BI20=1,SUM('Final Calculation Sheet'!$U$4:$U$40),IF($BL20=1,SUM('Final Calculation Sheet'!$U$4:$U$40)-SUMIFS('Final Calculation Sheet'!$U$4:$U$40,$AZ$5:$AZ$41,10),SUMIFS('Final Calculation Sheet'!$U$4:$U$40,$AZ$5:$AZ$41,$BH20))),""))</f>
        <v>  3,850 </v>
      </c>
      <c r="W21" s="78" t="str">
        <f t="array" ref="W21">IF($BJ20&gt;0,IF(INDEX('Final Calculation Sheet'!$V$4:$V$40,$BJ20-3)="","",INDEX('Final Calculation Sheet'!$V$4:$V$40,$BJ20-3)),IF(OR($BI20=1,$BL20=1,$BH20&gt;0),"–",""))</f>
        <v>11.08.2026</v>
      </c>
      <c r="X21" s="78" t="str">
        <f t="array" ref="X21">IF($BJ20&gt;0,IF(INDEX('Final Calculation Sheet'!$W$4:$W$40,$BJ20-3)="","",INDEX('Final Calculation Sheet'!$W$4:$W$40,$BJ20-3)),IF(OR($BI20=1,$BL20=1,$BH20&gt;0),IF($BI20=1,SUM('Final Calculation Sheet'!$W$4:$W$40),IF($BL20=1,SUM('Final Calculation Sheet'!$W$4:$W$40)-SUMIFS('Final Calculation Sheet'!$W$4:$W$40,$AZ$5:$AZ$41,10),SUMIFS('Final Calculation Sheet'!$W$4:$W$40,$AZ$5:$AZ$41,$BH20))),""))</f>
        <v>14,268</v>
      </c>
      <c r="Y21" s="78" t="str">
        <f t="array" ref="Y21">IF($BJ20&gt;0,IF(INDEX('Final Calculation Sheet'!$X$4:$X$40,$BJ20-3)="","",INDEX('Final Calculation Sheet'!$X$4:$X$40,$BJ20-3)),IF(OR($BI20=1,$BL20=1,$BH20&gt;0),IF($BI20=1,SUM('Final Calculation Sheet'!$X$4:$X$40),IF($BL20=1,SUM('Final Calculation Sheet'!$X$4:$X$40)-SUMIFS('Final Calculation Sheet'!$X$4:$X$40,$AZ$5:$AZ$41,10),SUMIFS('Final Calculation Sheet'!$X$4:$X$40,$AZ$5:$AZ$41,$BH20))),""))</f>
        <v>14,267</v>
      </c>
      <c r="Z21" s="78" t="str">
        <f t="array" ref="Z21">IF($BJ20&gt;0,IF(INDEX('Final Calculation Sheet'!$Y$4:$Y$40,$BJ20-3)="","",INDEX('Final Calculation Sheet'!$Y$4:$Y$40,$BJ20-3)),IF(OR($BI20=1,$BL20=1,$BH20&gt;0),"–",""))</f>
        <v>11.08.2026</v>
      </c>
      <c r="AA21" s="78" t="str">
        <f t="array" ref="AA21">IF($BJ20&gt;0,IF(INDEX('Final Calculation Sheet'!$Z$4:$Z$40,$BJ20-3)="","",INDEX('Final Calculation Sheet'!$Z$4:$Z$40,$BJ20-3)),IF(OR($BI20=1,$BL20=1,$BH20&gt;0),IF($BI20=1,SUM('Final Calculation Sheet'!$Z$4:$Z$40),IF($BL20=1,SUM('Final Calculation Sheet'!$Z$4:$Z$40)-SUMIFS('Final Calculation Sheet'!$Z$4:$Z$40,$AZ$5:$AZ$41,10),SUMIFS('Final Calculation Sheet'!$Z$4:$Z$40,$AZ$5:$AZ$41,$BH20))),""))</f>
        <v>0</v>
      </c>
      <c r="AB21" s="78" t="str">
        <f t="array" ref="AB21">IF($BJ20&gt;0,IF(INDEX('Final Calculation Sheet'!$AA$4:$AA$40,$BJ20-3)="","",INDEX('Final Calculation Sheet'!$AA$4:$AA$40,$BJ20-3)),IF(OR($BI20=1,$BL20=1,$BH20&gt;0),IF($BI20=1,SUM('Final Calculation Sheet'!$AA$4:$AA$40),IF($BL20=1,SUM('Final Calculation Sheet'!$AA$4:$AA$40)-SUMIFS('Final Calculation Sheet'!$AA$4:$AA$40,$AZ$5:$AZ$41,10),SUMIFS('Final Calculation Sheet'!$AA$4:$AA$40,$AZ$5:$AZ$41,$BH20))),""))</f>
        <v/>
      </c>
      <c r="AC21" s="78" t="str">
        <f t="array" ref="AC21">IF($BJ20&gt;0,IF(INDEX('Final Calculation Sheet'!$AB$4:$AB$40,$BJ20-3)="","",INDEX('Final Calculation Sheet'!$AB$4:$AB$40,$BJ20-3)),IF(OR($BI20=1,$BL20=1,$BH20&gt;0),"–",""))</f>
        <v/>
      </c>
      <c r="AD21" s="78" t="str">
        <f t="array" ref="AD21">IF($BJ20&gt;0,IF(INDEX('Final Calculation Sheet'!$AC$4:$AC$40,$BJ20-3)="","",INDEX('Final Calculation Sheet'!$AC$4:$AC$40,$BJ20-3)),IF(OR($BI20=1,$BL20=1,$BH20&gt;0),IF($BI20=1,SUM('Final Calculation Sheet'!$AC$4:$AC$40),IF($BL20=1,SUM('Final Calculation Sheet'!$AC$4:$AC$40)-SUMIFS('Final Calculation Sheet'!$AC$4:$AC$40,$AZ$5:$AZ$41,10),SUMIFS('Final Calculation Sheet'!$AC$4:$AC$40,$AZ$5:$AZ$41,$BH20))),""))</f>
        <v>18,117</v>
      </c>
      <c r="AE21" s="78" t="str">
        <f t="array" ref="AE21">IF($BJ20&gt;0,IF(INDEX('Final Calculation Sheet'!$AD$4:$AD$40,$BJ20-3)="","",INDEX('Final Calculation Sheet'!$AD$4:$AD$40,$BJ20-3)),IF(OR($BI20=1,$BL20=1,$BH20&gt;0),IF($BI20=1,SUM('Final Calculation Sheet'!$AD$4:$AD$40),IF($BL20=1,SUM('Final Calculation Sheet'!$AD$4:$AD$40)-SUMIFS('Final Calculation Sheet'!$AD$4:$AD$40,$AZ$5:$AZ$41,10),SUMIFS('Final Calculation Sheet'!$AD$4:$AD$40,$AZ$5:$AZ$41,$BH20))),""))</f>
        <v>1</v>
      </c>
      <c r="AF21" s="78" t="str">
        <f t="array" ref="AF21">IF($BJ20&gt;0,IF(INDEX('Final Calculation Sheet'!$AE$4:$AE$40,$BJ20-3)="","",INDEX('Final Calculation Sheet'!$AE$4:$AE$40,$BJ20-3)),IF(OR($BI20=1,$BL20=1,$BH20&gt;0),"–",""))</f>
        <v>DR2640100019</v>
      </c>
      <c r="AG21" s="82" t="str">
        <f t="array" ref="AG21">IF($BJ20&gt;0,IF(INDEX('Final Calculation Sheet'!$AF$4:$AF$40,$BJ20-3)="","",INDEX('Final Calculation Sheet'!$AF$4:$AF$40,$BJ20-3)),IF(OR($BI20=1,$BL20=1,$BH20&gt;0),"–",""))</f>
        <v>1800003157</v>
      </c>
      <c r="AH21" s="78" t="str">
        <f t="array" ref="AH21">IF($BJ20&gt;0,IF(INDEX('Final Calculation Sheet'!$AG$4:$AG$40,$BJ20-3)="","",INDEX('Final Calculation Sheet'!$AG$4:$AG$40,$BJ20-3)),IF(OR($BI20=1,$BL20=1,$BH20&gt;0),"–",""))</f>
        <v>14.08.2026</v>
      </c>
      <c r="AI21" s="83" t="str">
        <f t="array" ref="AI21">IF($BJ20&gt;0,IF(INDEX('Final Calculation Sheet'!$AD$4:$AD$40,$BJ20-3)="","",IF(INDEX('Final Calculation Sheet'!$AD$4:$AD$40,$BJ20-3)&lt;=0,"SETTLED","OUTSTANDING")),IF(OR($BI20=1,$BL20=1,$BH20&gt;0),IF(IF($BI20=1,SUM('Final Calculation Sheet'!$AD$4:$AD$40),IF($BL20=1,SUM('Final Calculation Sheet'!$AD$4:$AD$40)-SUMIFS('Final Calculation Sheet'!$AD$4:$AD$40,$AZ$5:$AZ$41,10),SUMIFS('Final Calculation Sheet'!$AD$4:$AD$40,$AZ$5:$AZ$41,$BH20)))&lt;=0,"ALL SETTLED","OUTSTANDING"),""))</f>
        <v>OUTSTANDING</v>
      </c>
      <c r="AK21" t="str">
        <f>IF($F$3="Lot No.",'Final Calculation Sheet'!$F$20,IF($F$3="Buyer",'Final Calculation Sheet'!$G$20,IF($F$3="Lot Name",'Final Calculation Sheet'!$B$20,IF($F$3="Bid Sheet",'Final Calculation Sheet'!$D$20,IF($F$3="Unit",'Final Calculation Sheet'!$E$20,'Final Calculation Sheet'!$F$20&amp;" "&amp;'Final Calculation Sheet'!$G$20&amp;" "&amp;'Final Calculation Sheet'!$B$20)))))</f>
        <v>2020 OMKAR STEELS SCRAP 80MM² AAAC EARTHWIRE</v>
      </c>
      <c r="AM21" t="str">
        <f t="shared" si="3"/>
        <v>0</v>
      </c>
      <c r="AZ21" t="str">
        <f t="shared" si="4"/>
        <v>10</v>
      </c>
      <c r="BA21" t="str">
        <f t="shared" si="5"/>
        <v>16</v>
      </c>
      <c r="BB21" t="str">
        <f t="shared" si="6"/>
        <v>23</v>
      </c>
      <c r="BC21">
        <v>20.0</v>
      </c>
      <c r="BH21" t="str">
        <f>IFERROR(MATCH(21,$BF$4:$BF$13,0),0)</f>
        <v>0</v>
      </c>
      <c r="BI21" t="str">
        <f>IF(21=$BG$5,1,0)</f>
        <v>0</v>
      </c>
      <c r="BJ21" t="str">
        <f t="array" ref="BJ21">IF(OR($BH21&gt;0,$BI21=1,$BL21=1),0,IFERROR(INDEX($BC$5:$BC$41,MATCH(21,$BB$5:$BB$41,0)),0))</f>
        <v>18</v>
      </c>
      <c r="BK21" t="str">
        <f t="array" ref="BK21">IF($BJ21&gt;0,IF(INDEX($AZ$5:$AZ$41,MATCH(21,$BB$5:$BB$41,0))=10,1,0),IF($BH21=10,1,0))</f>
        <v>1</v>
      </c>
      <c r="BL21" t="str">
        <f>IF(21=$BG$4,1,0)</f>
        <v>0</v>
      </c>
      <c r="BM21" t="str">
        <f t="shared" si="8"/>
        <v>1</v>
      </c>
      <c r="BN21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Sheet'!$F$20)&amp;"",""))))&gt;0))</f>
        <v>1</v>
      </c>
      <c r="BO21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Sheet'!$G$20)&amp;"",""))))&gt;0))</f>
        <v>1</v>
      </c>
      <c r="BP21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Sheet'!$B$20)&amp;"",""))))&gt;0))</f>
        <v>1</v>
      </c>
      <c r="BQ21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Sheet'!$D$20)&amp;"",""))))&gt;0))</f>
        <v>1</v>
      </c>
      <c r="BR21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Sheet'!$A$20)&amp;"",""))))&gt;0))</f>
        <v>1</v>
      </c>
      <c r="BS21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Sheet'!$E$20)&amp;"",""))))&gt;0))</f>
        <v>1</v>
      </c>
      <c r="BT21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Sheet'!$C$20)&amp;"",""))))&gt;0))</f>
        <v>1</v>
      </c>
      <c r="BU21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Sheet'!$H$20)&amp;"",""))))&gt;0))</f>
        <v>1</v>
      </c>
      <c r="BV21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Sheet'!$I$20)&amp;"",""))))&gt;0))</f>
        <v>1</v>
      </c>
      <c r="BW21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Sheet'!$J$20)&amp;"",""))))&gt;0))</f>
        <v>1</v>
      </c>
      <c r="BX21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Sheet'!$K$20)&amp;"",""))))&gt;0))</f>
        <v>1</v>
      </c>
      <c r="BY21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Sheet'!$L$20)&amp;"",""))))&gt;0))</f>
        <v>1</v>
      </c>
      <c r="BZ21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Sheet'!$M$20)&amp;"",""))))&gt;0))</f>
        <v>1</v>
      </c>
      <c r="CA21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Sheet'!$N$20)&amp;"",""))))&gt;0))</f>
        <v>1</v>
      </c>
      <c r="CB21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Sheet'!$O$20)&amp;"",""))))&gt;0))</f>
        <v>1</v>
      </c>
      <c r="CC21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Sheet'!$P$20)&amp;"",""))))&gt;0))</f>
        <v>1</v>
      </c>
      <c r="CD21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Sheet'!$Q$20)&amp;"",""))))&gt;0))</f>
        <v>1</v>
      </c>
      <c r="CE21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Sheet'!$R$20)&amp;"",""))))&gt;0))</f>
        <v>1</v>
      </c>
      <c r="CF21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Sheet'!$S$20)&amp;"",""))))&gt;0))</f>
        <v>1</v>
      </c>
      <c r="CG21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Sheet'!$T$20)&amp;"",""))))&gt;0))</f>
        <v>1</v>
      </c>
      <c r="CH21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Sheet'!$U$20)&amp;"",""))))&gt;0))</f>
        <v>1</v>
      </c>
      <c r="CI21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Sheet'!$V$20)&amp;"",""))))&gt;0))</f>
        <v>1</v>
      </c>
      <c r="CJ21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Sheet'!$W$20)&amp;"",""))))&gt;0))</f>
        <v>1</v>
      </c>
      <c r="CK21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Sheet'!$X$20)&amp;"",""))))&gt;0))</f>
        <v>1</v>
      </c>
      <c r="CL21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Sheet'!$Y$20)&amp;"",""))))&gt;0))</f>
        <v>1</v>
      </c>
      <c r="CM21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Sheet'!$Z$20)&amp;"",""))))&gt;0))</f>
        <v>1</v>
      </c>
      <c r="CN21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Sheet'!$AA$20)&amp;"",""))))&gt;0))</f>
        <v>1</v>
      </c>
      <c r="CO21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Sheet'!$AB$20)&amp;"",""))))&gt;0))</f>
        <v>1</v>
      </c>
      <c r="CP21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Sheet'!$AC$20)&amp;"",""))))&gt;0))</f>
        <v>1</v>
      </c>
      <c r="CQ21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Sheet'!$AD$20)&amp;"",""))))&gt;0))</f>
        <v>1</v>
      </c>
      <c r="CR21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Sheet'!$AE$20)&amp;"",""))))&gt;0))</f>
        <v>1</v>
      </c>
      <c r="CS21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Sheet'!$AF$20)&amp;"",""))))&gt;0))</f>
        <v>1</v>
      </c>
      <c r="CT21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Sheet'!$AG$20)&amp;"",""))))&gt;0))</f>
        <v>1</v>
      </c>
      <c r="CU21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Sheet'!$AD$20&lt;=0,"SETTLED","OUTSTANDING"))&amp;"",""))))&gt;0))</f>
        <v>1</v>
      </c>
    </row>
    <row r="22" ht="15.0" customHeight="1">
      <c r="A22" s="75" t="str">
        <f t="array" ref="A22">IF($BJ21&gt;0,INDEX($BA$5:$BA$41,MATCH(21,$BB$5:$BB$41,0)),IF(OR($BI21=1,$BL21=1,$BH21&gt;0),"∑",""))</f>
        <v>14</v>
      </c>
      <c r="B22" s="76" t="str">
        <f t="array" ref="B22">IF($BJ21&gt;0,IF(INDEX('Final Calculation Sheet'!$F$4:$F$40,$BJ21-3)="","",INDEX('Final Calculation Sheet'!$F$4:$F$40,$BJ21-3)),"")</f>
        <v>2018</v>
      </c>
      <c r="C22" s="76" t="str">
        <f t="array" ref="C22">IF($BJ21&gt;0,IF(INDEX('Final Calculation Sheet'!$G$4:$G$40,$BJ21-3)="","",INDEX('Final Calculation Sheet'!$G$4:$G$40,$BJ21-3)),IF(OR($BI21=1,$BL21=1,$BH21&gt;0),IF($BI21=1,37,IF($BL21=1,37-INDEX($BD$4:$BD$13,10),INDEX($BD$4:$BD$13,$BH21)))&amp;" lot(s)",""))</f>
        <v>NATIONAL ENTERPRISES</v>
      </c>
      <c r="D22" s="77" t="str">
        <f t="array" ref="D22">IF($BJ21&gt;0,IF(INDEX('Final Calculation Sheet'!$B$4:$B$40,$BJ21-3)="","",INDEX('Final Calculation Sheet'!$B$4:$B$40,$BJ21-3)),IF(OR($BI21=1,$BL21=1,$BH21&gt;0),IF($BI21=1,"GRAND TOTAL  —  matching + remaining",IF($BL21=1,"TOTAL MATCHED  —  every group together",IF($BH21=10,"REMAINING  —  did not match the search",IF($BH21=9,IF(COUNTIF($A$4:$AI$4,"&lt;&gt;")&gt;0,"FILTERED LOTS  —  column fields","ALL LOTS  —  nothing typed in the box"),"GROUP "&amp;$BH21&amp;" TOTAL  —  lots matching  "&amp;INDEX($AR$6:$AY$6,$BH21))))),""))</f>
        <v>Scrap of 220 KV Circuit Breaker</v>
      </c>
      <c r="E22" s="77" t="str">
        <f t="array" ref="E22">IF($BJ21&gt;0,IF(INDEX('Final Calculation Sheet'!$D$4:$D$40,$BJ21-3)="","",INDEX('Final Calculation Sheet'!$D$4:$D$40,$BJ21-3)),IF(OR($BI21=1,$BL21=1,$BH21&gt;0),"–",""))</f>
        <v>21978</v>
      </c>
      <c r="F22" s="77" t="str">
        <f t="array" ref="F22">IF($BJ21&gt;0,IF(INDEX('Final Calculation Sheet'!$A$4:$A$40,$BJ21-3)="","",INDEX('Final Calculation Sheet'!$A$4:$A$40,$BJ21-3)),IF(OR($BI21=1,$BL21=1,$BH21&gt;0),IF($BI21=1,SUM('Final Calculation Sheet'!$A$4:$A$40),IF($BL21=1,SUM('Final Calculation Sheet'!$A$4:$A$40)-SUMIFS('Final Calculation Sheet'!$A$4:$A$40,$AZ$5:$AZ$41,10),SUMIFS('Final Calculation Sheet'!$A$4:$A$40,$AZ$5:$AZ$41,$BH21))),""))</f>
        <v>1</v>
      </c>
      <c r="G22" s="77" t="str">
        <f t="array" ref="G22">IF($BJ21&gt;0,IF(INDEX('Final Calculation Sheet'!$E$4:$E$40,$BJ21-3)="","",INDEX('Final Calculation Sheet'!$E$4:$E$40,$BJ21-3)),IF(OR($BI21=1,$BL21=1,$BH21&gt;0),"–",""))</f>
        <v>NO</v>
      </c>
      <c r="H22" s="78" t="str">
        <f t="array" ref="H22">IF($BJ21&gt;0,IF(INDEX('Final Calculation Sheet'!$C$4:$C$40,$BJ21-3)="","",INDEX('Final Calculation Sheet'!$C$4:$C$40,$BJ21-3)),IF(OR($BI21=1,$BL21=1,$BH21&gt;0),"–",""))</f>
        <v>220,001</v>
      </c>
      <c r="I22" s="78" t="str">
        <f t="array" ref="I22">IF($BJ21&gt;0,IF(INDEX('Final Calculation Sheet'!$H$4:$H$40,$BJ21-3)="","",INDEX('Final Calculation Sheet'!$H$4:$H$40,$BJ21-3)),IF(OR($BI21=1,$BL21=1,$BH21&gt;0),IF($BI21=1,SUM('Final Calculation Sheet'!$H$4:$H$40),IF($BL21=1,SUM('Final Calculation Sheet'!$H$4:$H$40)-SUMIFS('Final Calculation Sheet'!$H$4:$H$40,$AZ$5:$AZ$41,10),SUMIFS('Final Calculation Sheet'!$H$4:$H$40,$AZ$5:$AZ$41,$BH21))),""))</f>
        <v>220,001</v>
      </c>
      <c r="J22" s="78" t="str">
        <f t="array" ref="J22">IF($BJ21&gt;0,IF(INDEX('Final Calculation Sheet'!$I$4:$I$40,$BJ21-3)="","",INDEX('Final Calculation Sheet'!$I$4:$I$40,$BJ21-3)),IF(OR($BI21=1,$BL21=1,$BH21&gt;0),IF($BI21=1,SUM('Final Calculation Sheet'!$I$4:$I$40),IF($BL21=1,SUM('Final Calculation Sheet'!$I$4:$I$40)-SUMIFS('Final Calculation Sheet'!$I$4:$I$40,$AZ$5:$AZ$41,10),SUMIFS('Final Calculation Sheet'!$I$4:$I$40,$AZ$5:$AZ$41,$BH21))),""))</f>
        <v>39,600</v>
      </c>
      <c r="K22" s="78" t="str">
        <f t="array" ref="K22">IF($BJ21&gt;0,IF(INDEX('Final Calculation Sheet'!$J$4:$J$40,$BJ21-3)="","",INDEX('Final Calculation Sheet'!$J$4:$J$40,$BJ21-3)),IF(OR($BI21=1,$BL21=1,$BH21&gt;0),IF($BI21=1,SUM('Final Calculation Sheet'!$J$4:$J$40),IF($BL21=1,SUM('Final Calculation Sheet'!$J$4:$J$40)-SUMIFS('Final Calculation Sheet'!$J$4:$J$40,$AZ$5:$AZ$41,10),SUMIFS('Final Calculation Sheet'!$J$4:$J$40,$AZ$5:$AZ$41,$BH21))),""))</f>
        <v>259,601</v>
      </c>
      <c r="L22" s="78" t="str">
        <f t="array" ref="L22">IF($BJ21&gt;0,IF(INDEX('Final Calculation Sheet'!$K$4:$K$40,$BJ21-3)="","",INDEX('Final Calculation Sheet'!$K$4:$K$40,$BJ21-3)),IF(OR($BI21=1,$BL21=1,$BH21&gt;0),IF($BI21=1,SUM('Final Calculation Sheet'!$K$4:$K$40),IF($BL21=1,SUM('Final Calculation Sheet'!$K$4:$K$40)-SUMIFS('Final Calculation Sheet'!$K$4:$K$40,$AZ$5:$AZ$41,10),SUMIFS('Final Calculation Sheet'!$K$4:$K$40,$AZ$5:$AZ$41,$BH21))),""))</f>
        <v>5,192</v>
      </c>
      <c r="M22" s="78" t="str">
        <f t="array" ref="M22">IF($BJ21&gt;0,IF(INDEX('Final Calculation Sheet'!$L$4:$L$40,$BJ21-3)="","",INDEX('Final Calculation Sheet'!$L$4:$L$40,$BJ21-3)),IF(OR($BI21=1,$BL21=1,$BH21&gt;0),IF($BI21=1,SUM('Final Calculation Sheet'!$L$4:$L$40),IF($BL21=1,SUM('Final Calculation Sheet'!$L$4:$L$40)-SUMIFS('Final Calculation Sheet'!$L$4:$L$40,$AZ$5:$AZ$41,10),SUMIFS('Final Calculation Sheet'!$L$4:$L$40,$AZ$5:$AZ$41,$BH21))),""))</f>
        <v>220</v>
      </c>
      <c r="N22" s="78" t="str">
        <f t="array" ref="N22">IF($BJ21&gt;0,IF(INDEX('Final Calculation Sheet'!$M$4:$M$40,$BJ21-3)="","",INDEX('Final Calculation Sheet'!$M$4:$M$40,$BJ21-3)),IF(OR($BI21=1,$BL21=1,$BH21&gt;0),IF($BI21=1,SUM('Final Calculation Sheet'!$M$4:$M$40),IF($BL21=1,SUM('Final Calculation Sheet'!$M$4:$M$40)-SUMIFS('Final Calculation Sheet'!$M$4:$M$40,$AZ$5:$AZ$41,10),SUMIFS('Final Calculation Sheet'!$M$4:$M$40,$AZ$5:$AZ$41,$BH21))),""))</f>
        <v>5,841</v>
      </c>
      <c r="O22" s="79" t="str">
        <f t="array" ref="O22">IF($BJ21&gt;0,IF(INDEX('Final Calculation Sheet'!$N$4:$N$40,$BJ21-3)="","",INDEX('Final Calculation Sheet'!$N$4:$N$40,$BJ21-3)),IF(OR($BI21=1,$BL21=1,$BH21&gt;0),IF($BI21=1,SUM('Final Calculation Sheet'!$N$4:$N$40),IF($BL21=1,SUM('Final Calculation Sheet'!$N$4:$N$40)-SUMIFS('Final Calculation Sheet'!$N$4:$N$40,$AZ$5:$AZ$41,10),SUMIFS('Final Calculation Sheet'!$N$4:$N$40,$AZ$5:$AZ$41,$BH21))),""))</f>
        <v>99</v>
      </c>
      <c r="P22" s="78" t="str">
        <f t="array" ref="P22">IF($BJ21&gt;0,IF(INDEX('Final Calculation Sheet'!$O$4:$O$40,$BJ21-3)="","",INDEX('Final Calculation Sheet'!$O$4:$O$40,$BJ21-3)),IF(OR($BI21=1,$BL21=1,$BH21&gt;0),IF($BI21=1,SUM('Final Calculation Sheet'!$O$4:$O$40),IF($BL21=1,SUM('Final Calculation Sheet'!$O$4:$O$40)-SUMIFS('Final Calculation Sheet'!$O$4:$O$40,$AZ$5:$AZ$41,10),SUMIFS('Final Calculation Sheet'!$O$4:$O$40,$AZ$5:$AZ$41,$BH21))),""))</f>
        <v>5,742</v>
      </c>
      <c r="Q22" s="78" t="str">
        <f t="array" ref="Q22">IF($BJ21&gt;0,IF(INDEX('Final Calculation Sheet'!$P$4:$P$40,$BJ21-3)="","",INDEX('Final Calculation Sheet'!$P$4:$P$40,$BJ21-3)),IF(OR($BI21=1,$BL21=1,$BH21&gt;0),IF($BI21=1,SUM('Final Calculation Sheet'!$P$4:$P$40),IF($BL21=1,SUM('Final Calculation Sheet'!$P$4:$P$40)-SUMIFS('Final Calculation Sheet'!$P$4:$P$40,$AZ$5:$AZ$41,10),SUMIFS('Final Calculation Sheet'!$P$4:$P$40,$AZ$5:$AZ$41,$BH21))),""))</f>
        <v>5,962</v>
      </c>
      <c r="R22" s="80" t="str">
        <f t="array" ref="R22">IF($BJ21&gt;0,IF(INDEX('Final Calculation Sheet'!$Q$4:$Q$40,$BJ21-3)="","",INDEX('Final Calculation Sheet'!$Q$4:$Q$40,$BJ21-3)),IF(OR($BI21=1,$BL21=1,$BH21&gt;0),"–",""))</f>
        <v>0%</v>
      </c>
      <c r="S22" s="78" t="str">
        <f t="array" ref="S22">IF($BJ21&gt;0,IF(INDEX('Final Calculation Sheet'!$R$4:$R$40,$BJ21-3)="","",INDEX('Final Calculation Sheet'!$R$4:$R$40,$BJ21-3)),IF(OR($BI21=1,$BL21=1,$BH21&gt;0),IF($BI21=1,SUM('Final Calculation Sheet'!$R$4:$R$40),IF($BL21=1,SUM('Final Calculation Sheet'!$R$4:$R$40)-SUMIFS('Final Calculation Sheet'!$R$4:$R$40,$AZ$5:$AZ$41,10),SUMIFS('Final Calculation Sheet'!$R$4:$R$40,$AZ$5:$AZ$41,$BH21))),""))</f>
        <v>0</v>
      </c>
      <c r="T22" s="78" t="str">
        <f t="array" ref="T22">IF($BJ21&gt;0,IF(INDEX('Final Calculation Sheet'!$S$4:$S$40,$BJ21-3)="","",INDEX('Final Calculation Sheet'!$S$4:$S$40,$BJ21-3)),IF(OR($BI21=1,$BL21=1,$BH21&gt;0),IF($BI21=1,SUM('Final Calculation Sheet'!$S$4:$S$40),IF($BL21=1,SUM('Final Calculation Sheet'!$S$4:$S$40)-SUMIFS('Final Calculation Sheet'!$S$4:$S$40,$AZ$5:$AZ$41,10),SUMIFS('Final Calculation Sheet'!$S$4:$S$40,$AZ$5:$AZ$41,$BH21))),""))</f>
        <v>258,831</v>
      </c>
      <c r="U22" s="78" t="str">
        <f t="array" ref="U22">IF($BJ21&gt;0,IF(INDEX('Final Calculation Sheet'!$T$4:$T$40,$BJ21-3)="","",INDEX('Final Calculation Sheet'!$T$4:$T$40,$BJ21-3)),IF(OR($BI21=1,$BL21=1,$BH21&gt;0),IF($BI21=1,SUM('Final Calculation Sheet'!$T$4:$T$40),IF($BL21=1,SUM('Final Calculation Sheet'!$T$4:$T$40)-SUMIFS('Final Calculation Sheet'!$T$4:$T$40,$AZ$5:$AZ$41,10),SUMIFS('Final Calculation Sheet'!$T$4:$T$40,$AZ$5:$AZ$41,$BH21))),""))</f>
        <v>55,000</v>
      </c>
      <c r="V22" s="81" t="str">
        <f t="array" ref="V22">IF($BJ21&gt;0,IF(INDEX('Final Calculation Sheet'!$U$4:$U$40,$BJ21-3)="","",INDEX('Final Calculation Sheet'!$U$4:$U$40,$BJ21-3)),IF(OR($BI21=1,$BL21=1,$BH21&gt;0),IF($BI21=1,SUM('Final Calculation Sheet'!$U$4:$U$40),IF($BL21=1,SUM('Final Calculation Sheet'!$U$4:$U$40)-SUMIFS('Final Calculation Sheet'!$U$4:$U$40,$AZ$5:$AZ$41,10),SUMIFS('Final Calculation Sheet'!$U$4:$U$40,$AZ$5:$AZ$41,$BH21))),""))</f>
        <v>  55,000 </v>
      </c>
      <c r="W22" s="78" t="str">
        <f t="array" ref="W22">IF($BJ21&gt;0,IF(INDEX('Final Calculation Sheet'!$V$4:$V$40,$BJ21-3)="","",INDEX('Final Calculation Sheet'!$V$4:$V$40,$BJ21-3)),IF(OR($BI21=1,$BL21=1,$BH21&gt;0),"–",""))</f>
        <v>13.08.2026</v>
      </c>
      <c r="X22" s="78" t="str">
        <f t="array" ref="X22">IF($BJ21&gt;0,IF(INDEX('Final Calculation Sheet'!$W$4:$W$40,$BJ21-3)="","",INDEX('Final Calculation Sheet'!$W$4:$W$40,$BJ21-3)),IF(OR($BI21=1,$BL21=1,$BH21&gt;0),IF($BI21=1,SUM('Final Calculation Sheet'!$W$4:$W$40),IF($BL21=1,SUM('Final Calculation Sheet'!$W$4:$W$40)-SUMIFS('Final Calculation Sheet'!$W$4:$W$40,$AZ$5:$AZ$41,10),SUMIFS('Final Calculation Sheet'!$W$4:$W$40,$AZ$5:$AZ$41,$BH21))),""))</f>
        <v>203,831</v>
      </c>
      <c r="Y22" s="78" t="str">
        <f t="array" ref="Y22">IF($BJ21&gt;0,IF(INDEX('Final Calculation Sheet'!$X$4:$X$40,$BJ21-3)="","",INDEX('Final Calculation Sheet'!$X$4:$X$40,$BJ21-3)),IF(OR($BI21=1,$BL21=1,$BH21&gt;0),IF($BI21=1,SUM('Final Calculation Sheet'!$X$4:$X$40),IF($BL21=1,SUM('Final Calculation Sheet'!$X$4:$X$40)-SUMIFS('Final Calculation Sheet'!$X$4:$X$40,$AZ$5:$AZ$41,10),SUMIFS('Final Calculation Sheet'!$X$4:$X$40,$AZ$5:$AZ$41,$BH21))),""))</f>
        <v>203,831</v>
      </c>
      <c r="Z22" s="78" t="str">
        <f t="array" ref="Z22">IF($BJ21&gt;0,IF(INDEX('Final Calculation Sheet'!$Y$4:$Y$40,$BJ21-3)="","",INDEX('Final Calculation Sheet'!$Y$4:$Y$40,$BJ21-3)),IF(OR($BI21=1,$BL21=1,$BH21&gt;0),"–",""))</f>
        <v>24.08.2026</v>
      </c>
      <c r="AA22" s="78" t="str">
        <f t="array" ref="AA22">IF($BJ21&gt;0,IF(INDEX('Final Calculation Sheet'!$Z$4:$Z$40,$BJ21-3)="","",INDEX('Final Calculation Sheet'!$Z$4:$Z$40,$BJ21-3)),IF(OR($BI21=1,$BL21=1,$BH21&gt;0),IF($BI21=1,SUM('Final Calculation Sheet'!$Z$4:$Z$40),IF($BL21=1,SUM('Final Calculation Sheet'!$Z$4:$Z$40)-SUMIFS('Final Calculation Sheet'!$Z$4:$Z$40,$AZ$5:$AZ$41,10),SUMIFS('Final Calculation Sheet'!$Z$4:$Z$40,$AZ$5:$AZ$41,$BH21))),""))</f>
        <v>0</v>
      </c>
      <c r="AB22" s="78" t="str">
        <f t="array" ref="AB22">IF($BJ21&gt;0,IF(INDEX('Final Calculation Sheet'!$AA$4:$AA$40,$BJ21-3)="","",INDEX('Final Calculation Sheet'!$AA$4:$AA$40,$BJ21-3)),IF(OR($BI21=1,$BL21=1,$BH21&gt;0),IF($BI21=1,SUM('Final Calculation Sheet'!$AA$4:$AA$40),IF($BL21=1,SUM('Final Calculation Sheet'!$AA$4:$AA$40)-SUMIFS('Final Calculation Sheet'!$AA$4:$AA$40,$AZ$5:$AZ$41,10),SUMIFS('Final Calculation Sheet'!$AA$4:$AA$40,$AZ$5:$AZ$41,$BH21))),""))</f>
        <v/>
      </c>
      <c r="AC22" s="78" t="str">
        <f t="array" ref="AC22">IF($BJ21&gt;0,IF(INDEX('Final Calculation Sheet'!$AB$4:$AB$40,$BJ21-3)="","",INDEX('Final Calculation Sheet'!$AB$4:$AB$40,$BJ21-3)),IF(OR($BI21=1,$BL21=1,$BH21&gt;0),"–",""))</f>
        <v/>
      </c>
      <c r="AD22" s="78" t="str">
        <f t="array" ref="AD22">IF($BJ21&gt;0,IF(INDEX('Final Calculation Sheet'!$AC$4:$AC$40,$BJ21-3)="","",INDEX('Final Calculation Sheet'!$AC$4:$AC$40,$BJ21-3)),IF(OR($BI21=1,$BL21=1,$BH21&gt;0),IF($BI21=1,SUM('Final Calculation Sheet'!$AC$4:$AC$40),IF($BL21=1,SUM('Final Calculation Sheet'!$AC$4:$AC$40)-SUMIFS('Final Calculation Sheet'!$AC$4:$AC$40,$AZ$5:$AZ$41,10),SUMIFS('Final Calculation Sheet'!$AC$4:$AC$40,$AZ$5:$AZ$41,$BH21))),""))</f>
        <v>258,831</v>
      </c>
      <c r="AE22" s="78" t="str">
        <f t="array" ref="AE22">IF($BJ21&gt;0,IF(INDEX('Final Calculation Sheet'!$AD$4:$AD$40,$BJ21-3)="","",INDEX('Final Calculation Sheet'!$AD$4:$AD$40,$BJ21-3)),IF(OR($BI21=1,$BL21=1,$BH21&gt;0),IF($BI21=1,SUM('Final Calculation Sheet'!$AD$4:$AD$40),IF($BL21=1,SUM('Final Calculation Sheet'!$AD$4:$AD$40)-SUMIFS('Final Calculation Sheet'!$AD$4:$AD$40,$AZ$5:$AZ$41,10),SUMIFS('Final Calculation Sheet'!$AD$4:$AD$40,$AZ$5:$AZ$41,$BH21))),""))</f>
        <v>0</v>
      </c>
      <c r="AF22" s="78" t="str">
        <f t="array" ref="AF22">IF($BJ21&gt;0,IF(INDEX('Final Calculation Sheet'!$AE$4:$AE$40,$BJ21-3)="","",INDEX('Final Calculation Sheet'!$AE$4:$AE$40,$BJ21-3)),IF(OR($BI21=1,$BL21=1,$BH21&gt;0),"–",""))</f>
        <v>DR2640100034</v>
      </c>
      <c r="AG22" s="82" t="str">
        <f t="array" ref="AG22">IF($BJ21&gt;0,IF(INDEX('Final Calculation Sheet'!$AF$4:$AF$40,$BJ21-3)="","",INDEX('Final Calculation Sheet'!$AF$4:$AF$40,$BJ21-3)),IF(OR($BI21=1,$BL21=1,$BH21&gt;0),"–",""))</f>
        <v>1800003306</v>
      </c>
      <c r="AH22" s="78" t="str">
        <f t="array" ref="AH22">IF($BJ21&gt;0,IF(INDEX('Final Calculation Sheet'!$AG$4:$AG$40,$BJ21-3)="","",INDEX('Final Calculation Sheet'!$AG$4:$AG$40,$BJ21-3)),IF(OR($BI21=1,$BL21=1,$BH21&gt;0),"–",""))</f>
        <v>27.08.2026</v>
      </c>
      <c r="AI22" s="83" t="str">
        <f t="array" ref="AI22">IF($BJ21&gt;0,IF(INDEX('Final Calculation Sheet'!$AD$4:$AD$40,$BJ21-3)="","",IF(INDEX('Final Calculation Sheet'!$AD$4:$AD$40,$BJ21-3)&lt;=0,"SETTLED","OUTSTANDING")),IF(OR($BI21=1,$BL21=1,$BH21&gt;0),IF(IF($BI21=1,SUM('Final Calculation Sheet'!$AD$4:$AD$40),IF($BL21=1,SUM('Final Calculation Sheet'!$AD$4:$AD$40)-SUMIFS('Final Calculation Sheet'!$AD$4:$AD$40,$AZ$5:$AZ$41,10),SUMIFS('Final Calculation Sheet'!$AD$4:$AD$40,$AZ$5:$AZ$41,$BH21)))&lt;=0,"ALL SETTLED","OUTSTANDING"),""))</f>
        <v>SETTLED</v>
      </c>
      <c r="AK22" t="str">
        <f>IF($F$3="Lot No.",'Final Calculation Sheet'!$F$21,IF($F$3="Buyer",'Final Calculation Sheet'!$G$21,IF($F$3="Lot Name",'Final Calculation Sheet'!$B$21,IF($F$3="Bid Sheet",'Final Calculation Sheet'!$D$21,IF($F$3="Unit",'Final Calculation Sheet'!$E$21,'Final Calculation Sheet'!$F$21&amp;" "&amp;'Final Calculation Sheet'!$G$21&amp;" "&amp;'Final Calculation Sheet'!$B$21)))))</f>
        <v>2022 NATIONAL SCRAP AND BUILDING MATERIAL SUPPLIER Scrap of 132 KV CT</v>
      </c>
      <c r="AM22" t="str">
        <f t="shared" si="3"/>
        <v>0</v>
      </c>
      <c r="AZ22" t="str">
        <f t="shared" si="4"/>
        <v>10</v>
      </c>
      <c r="BA22" t="str">
        <f t="shared" si="5"/>
        <v>17</v>
      </c>
      <c r="BB22" t="str">
        <f t="shared" si="6"/>
        <v>24</v>
      </c>
      <c r="BC22">
        <v>21.0</v>
      </c>
      <c r="BH22" t="str">
        <f>IFERROR(MATCH(22,$BF$4:$BF$13,0),0)</f>
        <v>0</v>
      </c>
      <c r="BI22" t="str">
        <f>IF(22=$BG$5,1,0)</f>
        <v>0</v>
      </c>
      <c r="BJ22" t="str">
        <f t="array" ref="BJ22">IF(OR($BH22&gt;0,$BI22=1,$BL22=1),0,IFERROR(INDEX($BC$5:$BC$41,MATCH(22,$BB$5:$BB$41,0)),0))</f>
        <v>19</v>
      </c>
      <c r="BK22" t="str">
        <f t="array" ref="BK22">IF($BJ22&gt;0,IF(INDEX($AZ$5:$AZ$41,MATCH(22,$BB$5:$BB$41,0))=10,1,0),IF($BH22=10,1,0))</f>
        <v>1</v>
      </c>
      <c r="BL22" t="str">
        <f>IF(22=$BG$4,1,0)</f>
        <v>0</v>
      </c>
      <c r="BM22" t="str">
        <f t="shared" si="8"/>
        <v>1</v>
      </c>
      <c r="BN22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Sheet'!$F$21)&amp;"",""))))&gt;0))</f>
        <v>1</v>
      </c>
      <c r="BO22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Sheet'!$G$21)&amp;"",""))))&gt;0))</f>
        <v>1</v>
      </c>
      <c r="BP22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Sheet'!$B$21)&amp;"",""))))&gt;0))</f>
        <v>1</v>
      </c>
      <c r="BQ22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Sheet'!$D$21)&amp;"",""))))&gt;0))</f>
        <v>1</v>
      </c>
      <c r="BR22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Sheet'!$A$21)&amp;"",""))))&gt;0))</f>
        <v>1</v>
      </c>
      <c r="BS22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Sheet'!$E$21)&amp;"",""))))&gt;0))</f>
        <v>1</v>
      </c>
      <c r="BT22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Sheet'!$C$21)&amp;"",""))))&gt;0))</f>
        <v>1</v>
      </c>
      <c r="BU22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Sheet'!$H$21)&amp;"",""))))&gt;0))</f>
        <v>1</v>
      </c>
      <c r="BV22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Sheet'!$I$21)&amp;"",""))))&gt;0))</f>
        <v>1</v>
      </c>
      <c r="BW22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Sheet'!$J$21)&amp;"",""))))&gt;0))</f>
        <v>1</v>
      </c>
      <c r="BX22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Sheet'!$K$21)&amp;"",""))))&gt;0))</f>
        <v>1</v>
      </c>
      <c r="BY22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Sheet'!$L$21)&amp;"",""))))&gt;0))</f>
        <v>1</v>
      </c>
      <c r="BZ22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Sheet'!$M$21)&amp;"",""))))&gt;0))</f>
        <v>1</v>
      </c>
      <c r="CA22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Sheet'!$N$21)&amp;"",""))))&gt;0))</f>
        <v>1</v>
      </c>
      <c r="CB22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Sheet'!$O$21)&amp;"",""))))&gt;0))</f>
        <v>1</v>
      </c>
      <c r="CC22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Sheet'!$P$21)&amp;"",""))))&gt;0))</f>
        <v>1</v>
      </c>
      <c r="CD22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Sheet'!$Q$21)&amp;"",""))))&gt;0))</f>
        <v>1</v>
      </c>
      <c r="CE22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Sheet'!$R$21)&amp;"",""))))&gt;0))</f>
        <v>1</v>
      </c>
      <c r="CF22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Sheet'!$S$21)&amp;"",""))))&gt;0))</f>
        <v>1</v>
      </c>
      <c r="CG22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Sheet'!$T$21)&amp;"",""))))&gt;0))</f>
        <v>1</v>
      </c>
      <c r="CH22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Sheet'!$U$21)&amp;"",""))))&gt;0))</f>
        <v>1</v>
      </c>
      <c r="CI22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Sheet'!$V$21)&amp;"",""))))&gt;0))</f>
        <v>1</v>
      </c>
      <c r="CJ22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Sheet'!$W$21)&amp;"",""))))&gt;0))</f>
        <v>1</v>
      </c>
      <c r="CK22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Sheet'!$X$21)&amp;"",""))))&gt;0))</f>
        <v>1</v>
      </c>
      <c r="CL22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Sheet'!$Y$21)&amp;"",""))))&gt;0))</f>
        <v>1</v>
      </c>
      <c r="CM22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Sheet'!$Z$21)&amp;"",""))))&gt;0))</f>
        <v>1</v>
      </c>
      <c r="CN22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Sheet'!$AA$21)&amp;"",""))))&gt;0))</f>
        <v>1</v>
      </c>
      <c r="CO22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Sheet'!$AB$21)&amp;"",""))))&gt;0))</f>
        <v>1</v>
      </c>
      <c r="CP22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Sheet'!$AC$21)&amp;"",""))))&gt;0))</f>
        <v>1</v>
      </c>
      <c r="CQ22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Sheet'!$AD$21)&amp;"",""))))&gt;0))</f>
        <v>1</v>
      </c>
      <c r="CR22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Sheet'!$AE$21)&amp;"",""))))&gt;0))</f>
        <v>1</v>
      </c>
      <c r="CS22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Sheet'!$AF$21)&amp;"",""))))&gt;0))</f>
        <v>1</v>
      </c>
      <c r="CT22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Sheet'!$AG$21)&amp;"",""))))&gt;0))</f>
        <v>1</v>
      </c>
      <c r="CU22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Sheet'!$AD$21&lt;=0,"SETTLED","OUTSTANDING"))&amp;"",""))))&gt;0))</f>
        <v>1</v>
      </c>
    </row>
    <row r="23" ht="15.0" customHeight="1">
      <c r="A23" s="75" t="str">
        <f t="array" ref="A23">IF($BJ22&gt;0,INDEX($BA$5:$BA$41,MATCH(22,$BB$5:$BB$41,0)),IF(OR($BI22=1,$BL22=1,$BH22&gt;0),"∑",""))</f>
        <v>15</v>
      </c>
      <c r="B23" s="76" t="str">
        <f t="array" ref="B23">IF($BJ22&gt;0,IF(INDEX('Final Calculation Sheet'!$F$4:$F$40,$BJ22-3)="","",INDEX('Final Calculation Sheet'!$F$4:$F$40,$BJ22-3)),"")</f>
        <v>2019</v>
      </c>
      <c r="C23" s="76" t="str">
        <f t="array" ref="C23">IF($BJ22&gt;0,IF(INDEX('Final Calculation Sheet'!$G$4:$G$40,$BJ22-3)="","",INDEX('Final Calculation Sheet'!$G$4:$G$40,$BJ22-3)),IF(OR($BI22=1,$BL22=1,$BH22&gt;0),IF($BI22=1,37,IF($BL22=1,37-INDEX($BD$4:$BD$13,10),INDEX($BD$4:$BD$13,$BH22)))&amp;" lot(s)",""))</f>
        <v>NATIONAL ENTERPRISES</v>
      </c>
      <c r="D23" s="77" t="str">
        <f t="array" ref="D23">IF($BJ22&gt;0,IF(INDEX('Final Calculation Sheet'!$B$4:$B$40,$BJ22-3)="","",INDEX('Final Calculation Sheet'!$B$4:$B$40,$BJ22-3)),IF(OR($BI22=1,$BL22=1,$BH22&gt;0),IF($BI22=1,"GRAND TOTAL  —  matching + remaining",IF($BL22=1,"TOTAL MATCHED  —  every group together",IF($BH22=10,"REMAINING  —  did not match the search",IF($BH22=9,IF(COUNTIF($A$4:$AI$4,"&lt;&gt;")&gt;0,"FILTERED LOTS  —  column fields","ALL LOTS  —  nothing typed in the box"),"GROUP "&amp;$BH22&amp;" TOTAL  —  lots matching  "&amp;INDEX($AR$6:$AY$6,$BH22))))),""))</f>
        <v>Scrap of 220 KV Circuit Breaker</v>
      </c>
      <c r="E23" s="77" t="str">
        <f t="array" ref="E23">IF($BJ22&gt;0,IF(INDEX('Final Calculation Sheet'!$D$4:$D$40,$BJ22-3)="","",INDEX('Final Calculation Sheet'!$D$4:$D$40,$BJ22-3)),IF(OR($BI22=1,$BL22=1,$BH22&gt;0),"–",""))</f>
        <v>21978</v>
      </c>
      <c r="F23" s="77" t="str">
        <f t="array" ref="F23">IF($BJ22&gt;0,IF(INDEX('Final Calculation Sheet'!$A$4:$A$40,$BJ22-3)="","",INDEX('Final Calculation Sheet'!$A$4:$A$40,$BJ22-3)),IF(OR($BI22=1,$BL22=1,$BH22&gt;0),IF($BI22=1,SUM('Final Calculation Sheet'!$A$4:$A$40),IF($BL22=1,SUM('Final Calculation Sheet'!$A$4:$A$40)-SUMIFS('Final Calculation Sheet'!$A$4:$A$40,$AZ$5:$AZ$41,10),SUMIFS('Final Calculation Sheet'!$A$4:$A$40,$AZ$5:$AZ$41,$BH22))),""))</f>
        <v>1</v>
      </c>
      <c r="G23" s="77" t="str">
        <f t="array" ref="G23">IF($BJ22&gt;0,IF(INDEX('Final Calculation Sheet'!$E$4:$E$40,$BJ22-3)="","",INDEX('Final Calculation Sheet'!$E$4:$E$40,$BJ22-3)),IF(OR($BI22=1,$BL22=1,$BH22&gt;0),"–",""))</f>
        <v>NO</v>
      </c>
      <c r="H23" s="78" t="str">
        <f t="array" ref="H23">IF($BJ22&gt;0,IF(INDEX('Final Calculation Sheet'!$C$4:$C$40,$BJ22-3)="","",INDEX('Final Calculation Sheet'!$C$4:$C$40,$BJ22-3)),IF(OR($BI22=1,$BL22=1,$BH22&gt;0),"–",""))</f>
        <v>210,001</v>
      </c>
      <c r="I23" s="78" t="str">
        <f t="array" ref="I23">IF($BJ22&gt;0,IF(INDEX('Final Calculation Sheet'!$H$4:$H$40,$BJ22-3)="","",INDEX('Final Calculation Sheet'!$H$4:$H$40,$BJ22-3)),IF(OR($BI22=1,$BL22=1,$BH22&gt;0),IF($BI22=1,SUM('Final Calculation Sheet'!$H$4:$H$40),IF($BL22=1,SUM('Final Calculation Sheet'!$H$4:$H$40)-SUMIFS('Final Calculation Sheet'!$H$4:$H$40,$AZ$5:$AZ$41,10),SUMIFS('Final Calculation Sheet'!$H$4:$H$40,$AZ$5:$AZ$41,$BH22))),""))</f>
        <v>210,001</v>
      </c>
      <c r="J23" s="78" t="str">
        <f t="array" ref="J23">IF($BJ22&gt;0,IF(INDEX('Final Calculation Sheet'!$I$4:$I$40,$BJ22-3)="","",INDEX('Final Calculation Sheet'!$I$4:$I$40,$BJ22-3)),IF(OR($BI22=1,$BL22=1,$BH22&gt;0),IF($BI22=1,SUM('Final Calculation Sheet'!$I$4:$I$40),IF($BL22=1,SUM('Final Calculation Sheet'!$I$4:$I$40)-SUMIFS('Final Calculation Sheet'!$I$4:$I$40,$AZ$5:$AZ$41,10),SUMIFS('Final Calculation Sheet'!$I$4:$I$40,$AZ$5:$AZ$41,$BH22))),""))</f>
        <v>37,800</v>
      </c>
      <c r="K23" s="78" t="str">
        <f t="array" ref="K23">IF($BJ22&gt;0,IF(INDEX('Final Calculation Sheet'!$J$4:$J$40,$BJ22-3)="","",INDEX('Final Calculation Sheet'!$J$4:$J$40,$BJ22-3)),IF(OR($BI22=1,$BL22=1,$BH22&gt;0),IF($BI22=1,SUM('Final Calculation Sheet'!$J$4:$J$40),IF($BL22=1,SUM('Final Calculation Sheet'!$J$4:$J$40)-SUMIFS('Final Calculation Sheet'!$J$4:$J$40,$AZ$5:$AZ$41,10),SUMIFS('Final Calculation Sheet'!$J$4:$J$40,$AZ$5:$AZ$41,$BH22))),""))</f>
        <v>247,801</v>
      </c>
      <c r="L23" s="78" t="str">
        <f t="array" ref="L23">IF($BJ22&gt;0,IF(INDEX('Final Calculation Sheet'!$K$4:$K$40,$BJ22-3)="","",INDEX('Final Calculation Sheet'!$K$4:$K$40,$BJ22-3)),IF(OR($BI22=1,$BL22=1,$BH22&gt;0),IF($BI22=1,SUM('Final Calculation Sheet'!$K$4:$K$40),IF($BL22=1,SUM('Final Calculation Sheet'!$K$4:$K$40)-SUMIFS('Final Calculation Sheet'!$K$4:$K$40,$AZ$5:$AZ$41,10),SUMIFS('Final Calculation Sheet'!$K$4:$K$40,$AZ$5:$AZ$41,$BH22))),""))</f>
        <v>4,956</v>
      </c>
      <c r="M23" s="78" t="str">
        <f t="array" ref="M23">IF($BJ22&gt;0,IF(INDEX('Final Calculation Sheet'!$L$4:$L$40,$BJ22-3)="","",INDEX('Final Calculation Sheet'!$L$4:$L$40,$BJ22-3)),IF(OR($BI22=1,$BL22=1,$BH22&gt;0),IF($BI22=1,SUM('Final Calculation Sheet'!$L$4:$L$40),IF($BL22=1,SUM('Final Calculation Sheet'!$L$4:$L$40)-SUMIFS('Final Calculation Sheet'!$L$4:$L$40,$AZ$5:$AZ$41,10),SUMIFS('Final Calculation Sheet'!$L$4:$L$40,$AZ$5:$AZ$41,$BH22))),""))</f>
        <v>210</v>
      </c>
      <c r="N23" s="78" t="str">
        <f t="array" ref="N23">IF($BJ22&gt;0,IF(INDEX('Final Calculation Sheet'!$M$4:$M$40,$BJ22-3)="","",INDEX('Final Calculation Sheet'!$M$4:$M$40,$BJ22-3)),IF(OR($BI22=1,$BL22=1,$BH22&gt;0),IF($BI22=1,SUM('Final Calculation Sheet'!$M$4:$M$40),IF($BL22=1,SUM('Final Calculation Sheet'!$M$4:$M$40)-SUMIFS('Final Calculation Sheet'!$M$4:$M$40,$AZ$5:$AZ$41,10),SUMIFS('Final Calculation Sheet'!$M$4:$M$40,$AZ$5:$AZ$41,$BH22))),""))</f>
        <v>5,576</v>
      </c>
      <c r="O23" s="79" t="str">
        <f t="array" ref="O23">IF($BJ22&gt;0,IF(INDEX('Final Calculation Sheet'!$N$4:$N$40,$BJ22-3)="","",INDEX('Final Calculation Sheet'!$N$4:$N$40,$BJ22-3)),IF(OR($BI22=1,$BL22=1,$BH22&gt;0),IF($BI22=1,SUM('Final Calculation Sheet'!$N$4:$N$40),IF($BL22=1,SUM('Final Calculation Sheet'!$N$4:$N$40)-SUMIFS('Final Calculation Sheet'!$N$4:$N$40,$AZ$5:$AZ$41,10),SUMIFS('Final Calculation Sheet'!$N$4:$N$40,$AZ$5:$AZ$41,$BH22))),""))</f>
        <v>95</v>
      </c>
      <c r="P23" s="78" t="str">
        <f t="array" ref="P23">IF($BJ22&gt;0,IF(INDEX('Final Calculation Sheet'!$O$4:$O$40,$BJ22-3)="","",INDEX('Final Calculation Sheet'!$O$4:$O$40,$BJ22-3)),IF(OR($BI22=1,$BL22=1,$BH22&gt;0),IF($BI22=1,SUM('Final Calculation Sheet'!$O$4:$O$40),IF($BL22=1,SUM('Final Calculation Sheet'!$O$4:$O$40)-SUMIFS('Final Calculation Sheet'!$O$4:$O$40,$AZ$5:$AZ$41,10),SUMIFS('Final Calculation Sheet'!$O$4:$O$40,$AZ$5:$AZ$41,$BH22))),""))</f>
        <v>5,481</v>
      </c>
      <c r="Q23" s="78" t="str">
        <f t="array" ref="Q23">IF($BJ22&gt;0,IF(INDEX('Final Calculation Sheet'!$P$4:$P$40,$BJ22-3)="","",INDEX('Final Calculation Sheet'!$P$4:$P$40,$BJ22-3)),IF(OR($BI22=1,$BL22=1,$BH22&gt;0),IF($BI22=1,SUM('Final Calculation Sheet'!$P$4:$P$40),IF($BL22=1,SUM('Final Calculation Sheet'!$P$4:$P$40)-SUMIFS('Final Calculation Sheet'!$P$4:$P$40,$AZ$5:$AZ$41,10),SUMIFS('Final Calculation Sheet'!$P$4:$P$40,$AZ$5:$AZ$41,$BH22))),""))</f>
        <v>5,691</v>
      </c>
      <c r="R23" s="80" t="str">
        <f t="array" ref="R23">IF($BJ22&gt;0,IF(INDEX('Final Calculation Sheet'!$Q$4:$Q$40,$BJ22-3)="","",INDEX('Final Calculation Sheet'!$Q$4:$Q$40,$BJ22-3)),IF(OR($BI22=1,$BL22=1,$BH22&gt;0),"–",""))</f>
        <v>0%</v>
      </c>
      <c r="S23" s="78" t="str">
        <f t="array" ref="S23">IF($BJ22&gt;0,IF(INDEX('Final Calculation Sheet'!$R$4:$R$40,$BJ22-3)="","",INDEX('Final Calculation Sheet'!$R$4:$R$40,$BJ22-3)),IF(OR($BI22=1,$BL22=1,$BH22&gt;0),IF($BI22=1,SUM('Final Calculation Sheet'!$R$4:$R$40),IF($BL22=1,SUM('Final Calculation Sheet'!$R$4:$R$40)-SUMIFS('Final Calculation Sheet'!$R$4:$R$40,$AZ$5:$AZ$41,10),SUMIFS('Final Calculation Sheet'!$R$4:$R$40,$AZ$5:$AZ$41,$BH22))),""))</f>
        <v>0</v>
      </c>
      <c r="T23" s="78" t="str">
        <f t="array" ref="T23">IF($BJ22&gt;0,IF(INDEX('Final Calculation Sheet'!$S$4:$S$40,$BJ22-3)="","",INDEX('Final Calculation Sheet'!$S$4:$S$40,$BJ22-3)),IF(OR($BI22=1,$BL22=1,$BH22&gt;0),IF($BI22=1,SUM('Final Calculation Sheet'!$S$4:$S$40),IF($BL22=1,SUM('Final Calculation Sheet'!$S$4:$S$40)-SUMIFS('Final Calculation Sheet'!$S$4:$S$40,$AZ$5:$AZ$41,10),SUMIFS('Final Calculation Sheet'!$S$4:$S$40,$AZ$5:$AZ$41,$BH22))),""))</f>
        <v>247,066</v>
      </c>
      <c r="U23" s="78" t="str">
        <f t="array" ref="U23">IF($BJ22&gt;0,IF(INDEX('Final Calculation Sheet'!$T$4:$T$40,$BJ22-3)="","",INDEX('Final Calculation Sheet'!$T$4:$T$40,$BJ22-3)),IF(OR($BI22=1,$BL22=1,$BH22&gt;0),IF($BI22=1,SUM('Final Calculation Sheet'!$T$4:$T$40),IF($BL22=1,SUM('Final Calculation Sheet'!$T$4:$T$40)-SUMIFS('Final Calculation Sheet'!$T$4:$T$40,$AZ$5:$AZ$41,10),SUMIFS('Final Calculation Sheet'!$T$4:$T$40,$AZ$5:$AZ$41,$BH22))),""))</f>
        <v>52,500</v>
      </c>
      <c r="V23" s="81" t="str">
        <f t="array" ref="V23">IF($BJ22&gt;0,IF(INDEX('Final Calculation Sheet'!$U$4:$U$40,$BJ22-3)="","",INDEX('Final Calculation Sheet'!$U$4:$U$40,$BJ22-3)),IF(OR($BI22=1,$BL22=1,$BH22&gt;0),IF($BI22=1,SUM('Final Calculation Sheet'!$U$4:$U$40),IF($BL22=1,SUM('Final Calculation Sheet'!$U$4:$U$40)-SUMIFS('Final Calculation Sheet'!$U$4:$U$40,$AZ$5:$AZ$41,10),SUMIFS('Final Calculation Sheet'!$U$4:$U$40,$AZ$5:$AZ$41,$BH22))),""))</f>
        <v>  52,500 </v>
      </c>
      <c r="W23" s="78" t="str">
        <f t="array" ref="W23">IF($BJ22&gt;0,IF(INDEX('Final Calculation Sheet'!$V$4:$V$40,$BJ22-3)="","",INDEX('Final Calculation Sheet'!$V$4:$V$40,$BJ22-3)),IF(OR($BI22=1,$BL22=1,$BH22&gt;0),"–",""))</f>
        <v>13.08.2026</v>
      </c>
      <c r="X23" s="78" t="str">
        <f t="array" ref="X23">IF($BJ22&gt;0,IF(INDEX('Final Calculation Sheet'!$W$4:$W$40,$BJ22-3)="","",INDEX('Final Calculation Sheet'!$W$4:$W$40,$BJ22-3)),IF(OR($BI22=1,$BL22=1,$BH22&gt;0),IF($BI22=1,SUM('Final Calculation Sheet'!$W$4:$W$40),IF($BL22=1,SUM('Final Calculation Sheet'!$W$4:$W$40)-SUMIFS('Final Calculation Sheet'!$W$4:$W$40,$AZ$5:$AZ$41,10),SUMIFS('Final Calculation Sheet'!$W$4:$W$40,$AZ$5:$AZ$41,$BH22))),""))</f>
        <v>194,566</v>
      </c>
      <c r="Y23" s="78" t="str">
        <f t="array" ref="Y23">IF($BJ22&gt;0,IF(INDEX('Final Calculation Sheet'!$X$4:$X$40,$BJ22-3)="","",INDEX('Final Calculation Sheet'!$X$4:$X$40,$BJ22-3)),IF(OR($BI22=1,$BL22=1,$BH22&gt;0),IF($BI22=1,SUM('Final Calculation Sheet'!$X$4:$X$40),IF($BL22=1,SUM('Final Calculation Sheet'!$X$4:$X$40)-SUMIFS('Final Calculation Sheet'!$X$4:$X$40,$AZ$5:$AZ$41,10),SUMIFS('Final Calculation Sheet'!$X$4:$X$40,$AZ$5:$AZ$41,$BH22))),""))</f>
        <v>194,566</v>
      </c>
      <c r="Z23" s="78" t="str">
        <f t="array" ref="Z23">IF($BJ22&gt;0,IF(INDEX('Final Calculation Sheet'!$Y$4:$Y$40,$BJ22-3)="","",INDEX('Final Calculation Sheet'!$Y$4:$Y$40,$BJ22-3)),IF(OR($BI22=1,$BL22=1,$BH22&gt;0),"–",""))</f>
        <v>24.08.2026</v>
      </c>
      <c r="AA23" s="78" t="str">
        <f t="array" ref="AA23">IF($BJ22&gt;0,IF(INDEX('Final Calculation Sheet'!$Z$4:$Z$40,$BJ22-3)="","",INDEX('Final Calculation Sheet'!$Z$4:$Z$40,$BJ22-3)),IF(OR($BI22=1,$BL22=1,$BH22&gt;0),IF($BI22=1,SUM('Final Calculation Sheet'!$Z$4:$Z$40),IF($BL22=1,SUM('Final Calculation Sheet'!$Z$4:$Z$40)-SUMIFS('Final Calculation Sheet'!$Z$4:$Z$40,$AZ$5:$AZ$41,10),SUMIFS('Final Calculation Sheet'!$Z$4:$Z$40,$AZ$5:$AZ$41,$BH22))),""))</f>
        <v>0</v>
      </c>
      <c r="AB23" s="78" t="str">
        <f t="array" ref="AB23">IF($BJ22&gt;0,IF(INDEX('Final Calculation Sheet'!$AA$4:$AA$40,$BJ22-3)="","",INDEX('Final Calculation Sheet'!$AA$4:$AA$40,$BJ22-3)),IF(OR($BI22=1,$BL22=1,$BH22&gt;0),IF($BI22=1,SUM('Final Calculation Sheet'!$AA$4:$AA$40),IF($BL22=1,SUM('Final Calculation Sheet'!$AA$4:$AA$40)-SUMIFS('Final Calculation Sheet'!$AA$4:$AA$40,$AZ$5:$AZ$41,10),SUMIFS('Final Calculation Sheet'!$AA$4:$AA$40,$AZ$5:$AZ$41,$BH22))),""))</f>
        <v/>
      </c>
      <c r="AC23" s="78" t="str">
        <f t="array" ref="AC23">IF($BJ22&gt;0,IF(INDEX('Final Calculation Sheet'!$AB$4:$AB$40,$BJ22-3)="","",INDEX('Final Calculation Sheet'!$AB$4:$AB$40,$BJ22-3)),IF(OR($BI22=1,$BL22=1,$BH22&gt;0),"–",""))</f>
        <v/>
      </c>
      <c r="AD23" s="78" t="str">
        <f t="array" ref="AD23">IF($BJ22&gt;0,IF(INDEX('Final Calculation Sheet'!$AC$4:$AC$40,$BJ22-3)="","",INDEX('Final Calculation Sheet'!$AC$4:$AC$40,$BJ22-3)),IF(OR($BI22=1,$BL22=1,$BH22&gt;0),IF($BI22=1,SUM('Final Calculation Sheet'!$AC$4:$AC$40),IF($BL22=1,SUM('Final Calculation Sheet'!$AC$4:$AC$40)-SUMIFS('Final Calculation Sheet'!$AC$4:$AC$40,$AZ$5:$AZ$41,10),SUMIFS('Final Calculation Sheet'!$AC$4:$AC$40,$AZ$5:$AZ$41,$BH22))),""))</f>
        <v>247,066</v>
      </c>
      <c r="AE23" s="78" t="str">
        <f t="array" ref="AE23">IF($BJ22&gt;0,IF(INDEX('Final Calculation Sheet'!$AD$4:$AD$40,$BJ22-3)="","",INDEX('Final Calculation Sheet'!$AD$4:$AD$40,$BJ22-3)),IF(OR($BI22=1,$BL22=1,$BH22&gt;0),IF($BI22=1,SUM('Final Calculation Sheet'!$AD$4:$AD$40),IF($BL22=1,SUM('Final Calculation Sheet'!$AD$4:$AD$40)-SUMIFS('Final Calculation Sheet'!$AD$4:$AD$40,$AZ$5:$AZ$41,10),SUMIFS('Final Calculation Sheet'!$AD$4:$AD$40,$AZ$5:$AZ$41,$BH22))),""))</f>
        <v>0</v>
      </c>
      <c r="AF23" s="78" t="str">
        <f t="array" ref="AF23">IF($BJ22&gt;0,IF(INDEX('Final Calculation Sheet'!$AE$4:$AE$40,$BJ22-3)="","",INDEX('Final Calculation Sheet'!$AE$4:$AE$40,$BJ22-3)),IF(OR($BI22=1,$BL22=1,$BH22&gt;0),"–",""))</f>
        <v>DR2640100035</v>
      </c>
      <c r="AG23" s="82" t="str">
        <f t="array" ref="AG23">IF($BJ22&gt;0,IF(INDEX('Final Calculation Sheet'!$AF$4:$AF$40,$BJ22-3)="","",INDEX('Final Calculation Sheet'!$AF$4:$AF$40,$BJ22-3)),IF(OR($BI22=1,$BL22=1,$BH22&gt;0),"–",""))</f>
        <v>1800003307</v>
      </c>
      <c r="AH23" s="78" t="str">
        <f t="array" ref="AH23">IF($BJ22&gt;0,IF(INDEX('Final Calculation Sheet'!$AG$4:$AG$40,$BJ22-3)="","",INDEX('Final Calculation Sheet'!$AG$4:$AG$40,$BJ22-3)),IF(OR($BI22=1,$BL22=1,$BH22&gt;0),"–",""))</f>
        <v>27.08.2026</v>
      </c>
      <c r="AI23" s="83" t="str">
        <f t="array" ref="AI23">IF($BJ22&gt;0,IF(INDEX('Final Calculation Sheet'!$AD$4:$AD$40,$BJ22-3)="","",IF(INDEX('Final Calculation Sheet'!$AD$4:$AD$40,$BJ22-3)&lt;=0,"SETTLED","OUTSTANDING")),IF(OR($BI22=1,$BL22=1,$BH22&gt;0),IF(IF($BI22=1,SUM('Final Calculation Sheet'!$AD$4:$AD$40),IF($BL22=1,SUM('Final Calculation Sheet'!$AD$4:$AD$40)-SUMIFS('Final Calculation Sheet'!$AD$4:$AD$40,$AZ$5:$AZ$41,10),SUMIFS('Final Calculation Sheet'!$AD$4:$AD$40,$AZ$5:$AZ$41,$BH22)))&lt;=0,"ALL SETTLED","OUTSTANDING"),""))</f>
        <v>SETTLED</v>
      </c>
      <c r="AK23" t="str">
        <f>IF($F$3="Lot No.",'Final Calculation Sheet'!$F$22,IF($F$3="Buyer",'Final Calculation Sheet'!$G$22,IF($F$3="Lot Name",'Final Calculation Sheet'!$B$22,IF($F$3="Bid Sheet",'Final Calculation Sheet'!$D$22,IF($F$3="Unit",'Final Calculation Sheet'!$E$22,'Final Calculation Sheet'!$F$22&amp;" "&amp;'Final Calculation Sheet'!$G$22&amp;" "&amp;'Final Calculation Sheet'!$B$22)))))</f>
        <v>2023 NATIONAL ENTERPRISES Scrap of 132 KV CT</v>
      </c>
      <c r="AM23" t="str">
        <f t="shared" si="3"/>
        <v>0</v>
      </c>
      <c r="AZ23" t="str">
        <f t="shared" si="4"/>
        <v>10</v>
      </c>
      <c r="BA23" t="str">
        <f t="shared" si="5"/>
        <v>18</v>
      </c>
      <c r="BB23" t="str">
        <f t="shared" si="6"/>
        <v>25</v>
      </c>
      <c r="BC23">
        <v>22.0</v>
      </c>
      <c r="BH23" t="str">
        <f>IFERROR(MATCH(23,$BF$4:$BF$13,0),0)</f>
        <v>0</v>
      </c>
      <c r="BI23" t="str">
        <f>IF(23=$BG$5,1,0)</f>
        <v>0</v>
      </c>
      <c r="BJ23" t="str">
        <f t="array" ref="BJ23">IF(OR($BH23&gt;0,$BI23=1,$BL23=1),0,IFERROR(INDEX($BC$5:$BC$41,MATCH(23,$BB$5:$BB$41,0)),0))</f>
        <v>20</v>
      </c>
      <c r="BK23" t="str">
        <f t="array" ref="BK23">IF($BJ23&gt;0,IF(INDEX($AZ$5:$AZ$41,MATCH(23,$BB$5:$BB$41,0))=10,1,0),IF($BH23=10,1,0))</f>
        <v>1</v>
      </c>
      <c r="BL23" t="str">
        <f>IF(23=$BG$4,1,0)</f>
        <v>0</v>
      </c>
      <c r="BM23" t="str">
        <f t="shared" si="8"/>
        <v>1</v>
      </c>
      <c r="BN23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Sheet'!$F$22)&amp;"",""))))&gt;0))</f>
        <v>1</v>
      </c>
      <c r="BO23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Sheet'!$G$22)&amp;"",""))))&gt;0))</f>
        <v>1</v>
      </c>
      <c r="BP23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Sheet'!$B$22)&amp;"",""))))&gt;0))</f>
        <v>1</v>
      </c>
      <c r="BQ23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Sheet'!$D$22)&amp;"",""))))&gt;0))</f>
        <v>1</v>
      </c>
      <c r="BR23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Sheet'!$A$22)&amp;"",""))))&gt;0))</f>
        <v>1</v>
      </c>
      <c r="BS23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Sheet'!$E$22)&amp;"",""))))&gt;0))</f>
        <v>1</v>
      </c>
      <c r="BT23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Sheet'!$C$22)&amp;"",""))))&gt;0))</f>
        <v>1</v>
      </c>
      <c r="BU23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Sheet'!$H$22)&amp;"",""))))&gt;0))</f>
        <v>1</v>
      </c>
      <c r="BV23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Sheet'!$I$22)&amp;"",""))))&gt;0))</f>
        <v>1</v>
      </c>
      <c r="BW23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Sheet'!$J$22)&amp;"",""))))&gt;0))</f>
        <v>1</v>
      </c>
      <c r="BX23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Sheet'!$K$22)&amp;"",""))))&gt;0))</f>
        <v>1</v>
      </c>
      <c r="BY23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Sheet'!$L$22)&amp;"",""))))&gt;0))</f>
        <v>1</v>
      </c>
      <c r="BZ23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Sheet'!$M$22)&amp;"",""))))&gt;0))</f>
        <v>1</v>
      </c>
      <c r="CA23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Sheet'!$N$22)&amp;"",""))))&gt;0))</f>
        <v>1</v>
      </c>
      <c r="CB23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Sheet'!$O$22)&amp;"",""))))&gt;0))</f>
        <v>1</v>
      </c>
      <c r="CC23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Sheet'!$P$22)&amp;"",""))))&gt;0))</f>
        <v>1</v>
      </c>
      <c r="CD23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Sheet'!$Q$22)&amp;"",""))))&gt;0))</f>
        <v>1</v>
      </c>
      <c r="CE23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Sheet'!$R$22)&amp;"",""))))&gt;0))</f>
        <v>1</v>
      </c>
      <c r="CF23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Sheet'!$S$22)&amp;"",""))))&gt;0))</f>
        <v>1</v>
      </c>
      <c r="CG23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Sheet'!$T$22)&amp;"",""))))&gt;0))</f>
        <v>1</v>
      </c>
      <c r="CH23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Sheet'!$U$22)&amp;"",""))))&gt;0))</f>
        <v>1</v>
      </c>
      <c r="CI23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Sheet'!$V$22)&amp;"",""))))&gt;0))</f>
        <v>1</v>
      </c>
      <c r="CJ23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Sheet'!$W$22)&amp;"",""))))&gt;0))</f>
        <v>1</v>
      </c>
      <c r="CK23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Sheet'!$X$22)&amp;"",""))))&gt;0))</f>
        <v>1</v>
      </c>
      <c r="CL23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Sheet'!$Y$22)&amp;"",""))))&gt;0))</f>
        <v>1</v>
      </c>
      <c r="CM23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Sheet'!$Z$22)&amp;"",""))))&gt;0))</f>
        <v>1</v>
      </c>
      <c r="CN23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Sheet'!$AA$22)&amp;"",""))))&gt;0))</f>
        <v>1</v>
      </c>
      <c r="CO23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Sheet'!$AB$22)&amp;"",""))))&gt;0))</f>
        <v>1</v>
      </c>
      <c r="CP23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Sheet'!$AC$22)&amp;"",""))))&gt;0))</f>
        <v>1</v>
      </c>
      <c r="CQ23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Sheet'!$AD$22)&amp;"",""))))&gt;0))</f>
        <v>1</v>
      </c>
      <c r="CR23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Sheet'!$AE$22)&amp;"",""))))&gt;0))</f>
        <v>1</v>
      </c>
      <c r="CS23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Sheet'!$AF$22)&amp;"",""))))&gt;0))</f>
        <v>1</v>
      </c>
      <c r="CT23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Sheet'!$AG$22)&amp;"",""))))&gt;0))</f>
        <v>1</v>
      </c>
      <c r="CU23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Sheet'!$AD$22&lt;=0,"SETTLED","OUTSTANDING"))&amp;"",""))))&gt;0))</f>
        <v>1</v>
      </c>
    </row>
    <row r="24" ht="15.0" customHeight="1">
      <c r="A24" s="75" t="str">
        <f t="array" ref="A24">IF($BJ23&gt;0,INDEX($BA$5:$BA$41,MATCH(23,$BB$5:$BB$41,0)),IF(OR($BI23=1,$BL23=1,$BH23&gt;0),"∑",""))</f>
        <v>16</v>
      </c>
      <c r="B24" s="76" t="str">
        <f t="array" ref="B24">IF($BJ23&gt;0,IF(INDEX('Final Calculation Sheet'!$F$4:$F$40,$BJ23-3)="","",INDEX('Final Calculation Sheet'!$F$4:$F$40,$BJ23-3)),"")</f>
        <v>2020</v>
      </c>
      <c r="C24" s="76" t="str">
        <f t="array" ref="C24">IF($BJ23&gt;0,IF(INDEX('Final Calculation Sheet'!$G$4:$G$40,$BJ23-3)="","",INDEX('Final Calculation Sheet'!$G$4:$G$40,$BJ23-3)),IF(OR($BI23=1,$BL23=1,$BH23&gt;0),IF($BI23=1,37,IF($BL23=1,37-INDEX($BD$4:$BD$13,10),INDEX($BD$4:$BD$13,$BH23)))&amp;" lot(s)",""))</f>
        <v>OMKAR STEELS</v>
      </c>
      <c r="D24" s="77" t="str">
        <f t="array" ref="D24">IF($BJ23&gt;0,IF(INDEX('Final Calculation Sheet'!$B$4:$B$40,$BJ23-3)="","",INDEX('Final Calculation Sheet'!$B$4:$B$40,$BJ23-3)),IF(OR($BI23=1,$BL23=1,$BH23&gt;0),IF($BI23=1,"GRAND TOTAL  —  matching + remaining",IF($BL23=1,"TOTAL MATCHED  —  every group together",IF($BH23=10,"REMAINING  —  did not match the search",IF($BH23=9,IF(COUNTIF($A$4:$AI$4,"&lt;&gt;")&gt;0,"FILTERED LOTS  —  column fields","ALL LOTS  —  nothing typed in the box"),"GROUP "&amp;$BH23&amp;" TOTAL  —  lots matching  "&amp;INDEX($AR$6:$AY$6,$BH23))))),""))</f>
        <v>SCRAP 80MM² AAAC EARTHWIRE</v>
      </c>
      <c r="E24" s="77" t="str">
        <f t="array" ref="E24">IF($BJ23&gt;0,IF(INDEX('Final Calculation Sheet'!$D$4:$D$40,$BJ23-3)="","",INDEX('Final Calculation Sheet'!$D$4:$D$40,$BJ23-3)),IF(OR($BI23=1,$BL23=1,$BH23&gt;0),"–",""))</f>
        <v>21978</v>
      </c>
      <c r="F24" s="77" t="str">
        <f t="array" ref="F24">IF($BJ23&gt;0,IF(INDEX('Final Calculation Sheet'!$A$4:$A$40,$BJ23-3)="","",INDEX('Final Calculation Sheet'!$A$4:$A$40,$BJ23-3)),IF(OR($BI23=1,$BL23=1,$BH23&gt;0),IF($BI23=1,SUM('Final Calculation Sheet'!$A$4:$A$40),IF($BL23=1,SUM('Final Calculation Sheet'!$A$4:$A$40)-SUMIFS('Final Calculation Sheet'!$A$4:$A$40,$AZ$5:$AZ$41,10),SUMIFS('Final Calculation Sheet'!$A$4:$A$40,$AZ$5:$AZ$41,$BH23))),""))</f>
        <v>3500</v>
      </c>
      <c r="G24" s="77" t="str">
        <f t="array" ref="G24">IF($BJ23&gt;0,IF(INDEX('Final Calculation Sheet'!$E$4:$E$40,$BJ23-3)="","",INDEX('Final Calculation Sheet'!$E$4:$E$40,$BJ23-3)),IF(OR($BI23=1,$BL23=1,$BH23&gt;0),"–",""))</f>
        <v>KG</v>
      </c>
      <c r="H24" s="78" t="str">
        <f t="array" ref="H24">IF($BJ23&gt;0,IF(INDEX('Final Calculation Sheet'!$C$4:$C$40,$BJ23-3)="","",INDEX('Final Calculation Sheet'!$C$4:$C$40,$BJ23-3)),IF(OR($BI23=1,$BL23=1,$BH23&gt;0),"–",""))</f>
        <v>333</v>
      </c>
      <c r="I24" s="78" t="str">
        <f t="array" ref="I24">IF($BJ23&gt;0,IF(INDEX('Final Calculation Sheet'!$H$4:$H$40,$BJ23-3)="","",INDEX('Final Calculation Sheet'!$H$4:$H$40,$BJ23-3)),IF(OR($BI23=1,$BL23=1,$BH23&gt;0),IF($BI23=1,SUM('Final Calculation Sheet'!$H$4:$H$40),IF($BL23=1,SUM('Final Calculation Sheet'!$H$4:$H$40)-SUMIFS('Final Calculation Sheet'!$H$4:$H$40,$AZ$5:$AZ$41,10),SUMIFS('Final Calculation Sheet'!$H$4:$H$40,$AZ$5:$AZ$41,$BH23))),""))</f>
        <v>1,165,500</v>
      </c>
      <c r="J24" s="78" t="str">
        <f t="array" ref="J24">IF($BJ23&gt;0,IF(INDEX('Final Calculation Sheet'!$I$4:$I$40,$BJ23-3)="","",INDEX('Final Calculation Sheet'!$I$4:$I$40,$BJ23-3)),IF(OR($BI23=1,$BL23=1,$BH23&gt;0),IF($BI23=1,SUM('Final Calculation Sheet'!$I$4:$I$40),IF($BL23=1,SUM('Final Calculation Sheet'!$I$4:$I$40)-SUMIFS('Final Calculation Sheet'!$I$4:$I$40,$AZ$5:$AZ$41,10),SUMIFS('Final Calculation Sheet'!$I$4:$I$40,$AZ$5:$AZ$41,$BH23))),""))</f>
        <v>209,790</v>
      </c>
      <c r="K24" s="78" t="str">
        <f t="array" ref="K24">IF($BJ23&gt;0,IF(INDEX('Final Calculation Sheet'!$J$4:$J$40,$BJ23-3)="","",INDEX('Final Calculation Sheet'!$J$4:$J$40,$BJ23-3)),IF(OR($BI23=1,$BL23=1,$BH23&gt;0),IF($BI23=1,SUM('Final Calculation Sheet'!$J$4:$J$40),IF($BL23=1,SUM('Final Calculation Sheet'!$J$4:$J$40)-SUMIFS('Final Calculation Sheet'!$J$4:$J$40,$AZ$5:$AZ$41,10),SUMIFS('Final Calculation Sheet'!$J$4:$J$40,$AZ$5:$AZ$41,$BH23))),""))</f>
        <v>1,375,290</v>
      </c>
      <c r="L24" s="78" t="str">
        <f t="array" ref="L24">IF($BJ23&gt;0,IF(INDEX('Final Calculation Sheet'!$K$4:$K$40,$BJ23-3)="","",INDEX('Final Calculation Sheet'!$K$4:$K$40,$BJ23-3)),IF(OR($BI23=1,$BL23=1,$BH23&gt;0),IF($BI23=1,SUM('Final Calculation Sheet'!$K$4:$K$40),IF($BL23=1,SUM('Final Calculation Sheet'!$K$4:$K$40)-SUMIFS('Final Calculation Sheet'!$K$4:$K$40,$AZ$5:$AZ$41,10),SUMIFS('Final Calculation Sheet'!$K$4:$K$40,$AZ$5:$AZ$41,$BH23))),""))</f>
        <v>27,506</v>
      </c>
      <c r="M24" s="78" t="str">
        <f t="array" ref="M24">IF($BJ23&gt;0,IF(INDEX('Final Calculation Sheet'!$L$4:$L$40,$BJ23-3)="","",INDEX('Final Calculation Sheet'!$L$4:$L$40,$BJ23-3)),IF(OR($BI23=1,$BL23=1,$BH23&gt;0),IF($BI23=1,SUM('Final Calculation Sheet'!$L$4:$L$40),IF($BL23=1,SUM('Final Calculation Sheet'!$L$4:$L$40)-SUMIFS('Final Calculation Sheet'!$L$4:$L$40,$AZ$5:$AZ$41,10),SUMIFS('Final Calculation Sheet'!$L$4:$L$40,$AZ$5:$AZ$41,$BH23))),""))</f>
        <v>1,166</v>
      </c>
      <c r="N24" s="78" t="str">
        <f t="array" ref="N24">IF($BJ23&gt;0,IF(INDEX('Final Calculation Sheet'!$M$4:$M$40,$BJ23-3)="","",INDEX('Final Calculation Sheet'!$M$4:$M$40,$BJ23-3)),IF(OR($BI23=1,$BL23=1,$BH23&gt;0),IF($BI23=1,SUM('Final Calculation Sheet'!$M$4:$M$40),IF($BL23=1,SUM('Final Calculation Sheet'!$M$4:$M$40)-SUMIFS('Final Calculation Sheet'!$M$4:$M$40,$AZ$5:$AZ$41,10),SUMIFS('Final Calculation Sheet'!$M$4:$M$40,$AZ$5:$AZ$41,$BH23))),""))</f>
        <v>30,944</v>
      </c>
      <c r="O24" s="79" t="str">
        <f t="array" ref="O24">IF($BJ23&gt;0,IF(INDEX('Final Calculation Sheet'!$N$4:$N$40,$BJ23-3)="","",INDEX('Final Calculation Sheet'!$N$4:$N$40,$BJ23-3)),IF(OR($BI23=1,$BL23=1,$BH23&gt;0),IF($BI23=1,SUM('Final Calculation Sheet'!$N$4:$N$40),IF($BL23=1,SUM('Final Calculation Sheet'!$N$4:$N$40)-SUMIFS('Final Calculation Sheet'!$N$4:$N$40,$AZ$5:$AZ$41,10),SUMIFS('Final Calculation Sheet'!$N$4:$N$40,$AZ$5:$AZ$41,$BH23))),""))</f>
        <v>524</v>
      </c>
      <c r="P24" s="78" t="str">
        <f t="array" ref="P24">IF($BJ23&gt;0,IF(INDEX('Final Calculation Sheet'!$O$4:$O$40,$BJ23-3)="","",INDEX('Final Calculation Sheet'!$O$4:$O$40,$BJ23-3)),IF(OR($BI23=1,$BL23=1,$BH23&gt;0),IF($BI23=1,SUM('Final Calculation Sheet'!$O$4:$O$40),IF($BL23=1,SUM('Final Calculation Sheet'!$O$4:$O$40)-SUMIFS('Final Calculation Sheet'!$O$4:$O$40,$AZ$5:$AZ$41,10),SUMIFS('Final Calculation Sheet'!$O$4:$O$40,$AZ$5:$AZ$41,$BH23))),""))</f>
        <v>30,420</v>
      </c>
      <c r="Q24" s="78" t="str">
        <f t="array" ref="Q24">IF($BJ23&gt;0,IF(INDEX('Final Calculation Sheet'!$P$4:$P$40,$BJ23-3)="","",INDEX('Final Calculation Sheet'!$P$4:$P$40,$BJ23-3)),IF(OR($BI23=1,$BL23=1,$BH23&gt;0),IF($BI23=1,SUM('Final Calculation Sheet'!$P$4:$P$40),IF($BL23=1,SUM('Final Calculation Sheet'!$P$4:$P$40)-SUMIFS('Final Calculation Sheet'!$P$4:$P$40,$AZ$5:$AZ$41,10),SUMIFS('Final Calculation Sheet'!$P$4:$P$40,$AZ$5:$AZ$41,$BH23))),""))</f>
        <v>31,585</v>
      </c>
      <c r="R24" s="80" t="str">
        <f t="array" ref="R24">IF($BJ23&gt;0,IF(INDEX('Final Calculation Sheet'!$Q$4:$Q$40,$BJ23-3)="","",INDEX('Final Calculation Sheet'!$Q$4:$Q$40,$BJ23-3)),IF(OR($BI23=1,$BL23=1,$BH23&gt;0),"–",""))</f>
        <v>2%</v>
      </c>
      <c r="S24" s="78" t="str">
        <f t="array" ref="S24">IF($BJ23&gt;0,IF(INDEX('Final Calculation Sheet'!$R$4:$R$40,$BJ23-3)="","",INDEX('Final Calculation Sheet'!$R$4:$R$40,$BJ23-3)),IF(OR($BI23=1,$BL23=1,$BH23&gt;0),IF($BI23=1,SUM('Final Calculation Sheet'!$R$4:$R$40),IF($BL23=1,SUM('Final Calculation Sheet'!$R$4:$R$40)-SUMIFS('Final Calculation Sheet'!$R$4:$R$40,$AZ$5:$AZ$41,10),SUMIFS('Final Calculation Sheet'!$R$4:$R$40,$AZ$5:$AZ$41,$BH23))),""))</f>
        <v>23,310</v>
      </c>
      <c r="T24" s="78" t="str">
        <f t="array" ref="T24">IF($BJ23&gt;0,IF(INDEX('Final Calculation Sheet'!$S$4:$S$40,$BJ23-3)="","",INDEX('Final Calculation Sheet'!$S$4:$S$40,$BJ23-3)),IF(OR($BI23=1,$BL23=1,$BH23&gt;0),IF($BI23=1,SUM('Final Calculation Sheet'!$S$4:$S$40),IF($BL23=1,SUM('Final Calculation Sheet'!$S$4:$S$40)-SUMIFS('Final Calculation Sheet'!$S$4:$S$40,$AZ$5:$AZ$41,10),SUMIFS('Final Calculation Sheet'!$S$4:$S$40,$AZ$5:$AZ$41,$BH23))),""))</f>
        <v>1,347,901</v>
      </c>
      <c r="U24" s="78" t="str">
        <f t="array" ref="U24">IF($BJ23&gt;0,IF(INDEX('Final Calculation Sheet'!$T$4:$T$40,$BJ23-3)="","",INDEX('Final Calculation Sheet'!$T$4:$T$40,$BJ23-3)),IF(OR($BI23=1,$BL23=1,$BH23&gt;0),IF($BI23=1,SUM('Final Calculation Sheet'!$T$4:$T$40),IF($BL23=1,SUM('Final Calculation Sheet'!$T$4:$T$40)-SUMIFS('Final Calculation Sheet'!$T$4:$T$40,$AZ$5:$AZ$41,10),SUMIFS('Final Calculation Sheet'!$T$4:$T$40,$AZ$5:$AZ$41,$BH23))),""))</f>
        <v>291,375</v>
      </c>
      <c r="V24" s="81" t="str">
        <f t="array" ref="V24">IF($BJ23&gt;0,IF(INDEX('Final Calculation Sheet'!$U$4:$U$40,$BJ23-3)="","",INDEX('Final Calculation Sheet'!$U$4:$U$40,$BJ23-3)),IF(OR($BI23=1,$BL23=1,$BH23&gt;0),IF($BI23=1,SUM('Final Calculation Sheet'!$U$4:$U$40),IF($BL23=1,SUM('Final Calculation Sheet'!$U$4:$U$40)-SUMIFS('Final Calculation Sheet'!$U$4:$U$40,$AZ$5:$AZ$41,10),SUMIFS('Final Calculation Sheet'!$U$4:$U$40,$AZ$5:$AZ$41,$BH23))),""))</f>
        <v>  291,375 </v>
      </c>
      <c r="W24" s="78" t="str">
        <f t="array" ref="W24">IF($BJ23&gt;0,IF(INDEX('Final Calculation Sheet'!$V$4:$V$40,$BJ23-3)="","",INDEX('Final Calculation Sheet'!$V$4:$V$40,$BJ23-3)),IF(OR($BI23=1,$BL23=1,$BH23&gt;0),"–",""))</f>
        <v>10.08.2026</v>
      </c>
      <c r="X24" s="78" t="str">
        <f t="array" ref="X24">IF($BJ23&gt;0,IF(INDEX('Final Calculation Sheet'!$W$4:$W$40,$BJ23-3)="","",INDEX('Final Calculation Sheet'!$W$4:$W$40,$BJ23-3)),IF(OR($BI23=1,$BL23=1,$BH23&gt;0),IF($BI23=1,SUM('Final Calculation Sheet'!$W$4:$W$40),IF($BL23=1,SUM('Final Calculation Sheet'!$W$4:$W$40)-SUMIFS('Final Calculation Sheet'!$W$4:$W$40,$AZ$5:$AZ$41,10),SUMIFS('Final Calculation Sheet'!$W$4:$W$40,$AZ$5:$AZ$41,$BH23))),""))</f>
        <v>1,056,526</v>
      </c>
      <c r="Y24" s="78" t="str">
        <f t="array" ref="Y24">IF($BJ23&gt;0,IF(INDEX('Final Calculation Sheet'!$X$4:$X$40,$BJ23-3)="","",INDEX('Final Calculation Sheet'!$X$4:$X$40,$BJ23-3)),IF(OR($BI23=1,$BL23=1,$BH23&gt;0),IF($BI23=1,SUM('Final Calculation Sheet'!$X$4:$X$40),IF($BL23=1,SUM('Final Calculation Sheet'!$X$4:$X$40)-SUMIFS('Final Calculation Sheet'!$X$4:$X$40,$AZ$5:$AZ$41,10),SUMIFS('Final Calculation Sheet'!$X$4:$X$40,$AZ$5:$AZ$41,$BH23))),""))</f>
        <v>1,056,525</v>
      </c>
      <c r="Z24" s="78" t="str">
        <f t="array" ref="Z24">IF($BJ23&gt;0,IF(INDEX('Final Calculation Sheet'!$Y$4:$Y$40,$BJ23-3)="","",INDEX('Final Calculation Sheet'!$Y$4:$Y$40,$BJ23-3)),IF(OR($BI23=1,$BL23=1,$BH23&gt;0),"–",""))</f>
        <v>10.08.2026</v>
      </c>
      <c r="AA24" s="78" t="str">
        <f t="array" ref="AA24">IF($BJ23&gt;0,IF(INDEX('Final Calculation Sheet'!$Z$4:$Z$40,$BJ23-3)="","",INDEX('Final Calculation Sheet'!$Z$4:$Z$40,$BJ23-3)),IF(OR($BI23=1,$BL23=1,$BH23&gt;0),IF($BI23=1,SUM('Final Calculation Sheet'!$Z$4:$Z$40),IF($BL23=1,SUM('Final Calculation Sheet'!$Z$4:$Z$40)-SUMIFS('Final Calculation Sheet'!$Z$4:$Z$40,$AZ$5:$AZ$41,10),SUMIFS('Final Calculation Sheet'!$Z$4:$Z$40,$AZ$5:$AZ$41,$BH23))),""))</f>
        <v>0</v>
      </c>
      <c r="AB24" s="78" t="str">
        <f t="array" ref="AB24">IF($BJ23&gt;0,IF(INDEX('Final Calculation Sheet'!$AA$4:$AA$40,$BJ23-3)="","",INDEX('Final Calculation Sheet'!$AA$4:$AA$40,$BJ23-3)),IF(OR($BI23=1,$BL23=1,$BH23&gt;0),IF($BI23=1,SUM('Final Calculation Sheet'!$AA$4:$AA$40),IF($BL23=1,SUM('Final Calculation Sheet'!$AA$4:$AA$40)-SUMIFS('Final Calculation Sheet'!$AA$4:$AA$40,$AZ$5:$AZ$41,10),SUMIFS('Final Calculation Sheet'!$AA$4:$AA$40,$AZ$5:$AZ$41,$BH23))),""))</f>
        <v/>
      </c>
      <c r="AC24" s="78" t="str">
        <f t="array" ref="AC24">IF($BJ23&gt;0,IF(INDEX('Final Calculation Sheet'!$AB$4:$AB$40,$BJ23-3)="","",INDEX('Final Calculation Sheet'!$AB$4:$AB$40,$BJ23-3)),IF(OR($BI23=1,$BL23=1,$BH23&gt;0),"–",""))</f>
        <v/>
      </c>
      <c r="AD24" s="78" t="str">
        <f t="array" ref="AD24">IF($BJ23&gt;0,IF(INDEX('Final Calculation Sheet'!$AC$4:$AC$40,$BJ23-3)="","",INDEX('Final Calculation Sheet'!$AC$4:$AC$40,$BJ23-3)),IF(OR($BI23=1,$BL23=1,$BH23&gt;0),IF($BI23=1,SUM('Final Calculation Sheet'!$AC$4:$AC$40),IF($BL23=1,SUM('Final Calculation Sheet'!$AC$4:$AC$40)-SUMIFS('Final Calculation Sheet'!$AC$4:$AC$40,$AZ$5:$AZ$41,10),SUMIFS('Final Calculation Sheet'!$AC$4:$AC$40,$AZ$5:$AZ$41,$BH23))),""))</f>
        <v>1,347,900</v>
      </c>
      <c r="AE24" s="78" t="str">
        <f t="array" ref="AE24">IF($BJ23&gt;0,IF(INDEX('Final Calculation Sheet'!$AD$4:$AD$40,$BJ23-3)="","",INDEX('Final Calculation Sheet'!$AD$4:$AD$40,$BJ23-3)),IF(OR($BI23=1,$BL23=1,$BH23&gt;0),IF($BI23=1,SUM('Final Calculation Sheet'!$AD$4:$AD$40),IF($BL23=1,SUM('Final Calculation Sheet'!$AD$4:$AD$40)-SUMIFS('Final Calculation Sheet'!$AD$4:$AD$40,$AZ$5:$AZ$41,10),SUMIFS('Final Calculation Sheet'!$AD$4:$AD$40,$AZ$5:$AZ$41,$BH23))),""))</f>
        <v>1</v>
      </c>
      <c r="AF24" s="78" t="str">
        <f t="array" ref="AF24">IF($BJ23&gt;0,IF(INDEX('Final Calculation Sheet'!$AE$4:$AE$40,$BJ23-3)="","",INDEX('Final Calculation Sheet'!$AE$4:$AE$40,$BJ23-3)),IF(OR($BI23=1,$BL23=1,$BH23&gt;0),"–",""))</f>
        <v>DR2640100017</v>
      </c>
      <c r="AG24" s="82" t="str">
        <f t="array" ref="AG24">IF($BJ23&gt;0,IF(INDEX('Final Calculation Sheet'!$AF$4:$AF$40,$BJ23-3)="","",INDEX('Final Calculation Sheet'!$AF$4:$AF$40,$BJ23-3)),IF(OR($BI23=1,$BL23=1,$BH23&gt;0),"–",""))</f>
        <v>1800003065</v>
      </c>
      <c r="AH24" s="78" t="str">
        <f t="array" ref="AH24">IF($BJ23&gt;0,IF(INDEX('Final Calculation Sheet'!$AG$4:$AG$40,$BJ23-3)="","",INDEX('Final Calculation Sheet'!$AG$4:$AG$40,$BJ23-3)),IF(OR($BI23=1,$BL23=1,$BH23&gt;0),"–",""))</f>
        <v>12.08.2026</v>
      </c>
      <c r="AI24" s="83" t="str">
        <f t="array" ref="AI24">IF($BJ23&gt;0,IF(INDEX('Final Calculation Sheet'!$AD$4:$AD$40,$BJ23-3)="","",IF(INDEX('Final Calculation Sheet'!$AD$4:$AD$40,$BJ23-3)&lt;=0,"SETTLED","OUTSTANDING")),IF(OR($BI23=1,$BL23=1,$BH23&gt;0),IF(IF($BI23=1,SUM('Final Calculation Sheet'!$AD$4:$AD$40),IF($BL23=1,SUM('Final Calculation Sheet'!$AD$4:$AD$40)-SUMIFS('Final Calculation Sheet'!$AD$4:$AD$40,$AZ$5:$AZ$41,10),SUMIFS('Final Calculation Sheet'!$AD$4:$AD$40,$AZ$5:$AZ$41,$BH23)))&lt;=0,"ALL SETTLED","OUTSTANDING"),""))</f>
        <v>OUTSTANDING</v>
      </c>
      <c r="AK24" t="str">
        <f>IF($F$3="Lot No.",'Final Calculation Sheet'!$F$23,IF($F$3="Buyer",'Final Calculation Sheet'!$G$23,IF($F$3="Lot Name",'Final Calculation Sheet'!$B$23,IF($F$3="Bid Sheet",'Final Calculation Sheet'!$D$23,IF($F$3="Unit",'Final Calculation Sheet'!$E$23,'Final Calculation Sheet'!$F$23&amp;" "&amp;'Final Calculation Sheet'!$G$23&amp;" "&amp;'Final Calculation Sheet'!$B$23)))))</f>
        <v>2025 STERLING ENTERPRISES Scrap of empty oil Barrels</v>
      </c>
      <c r="AM24" t="str">
        <f t="shared" si="3"/>
        <v>0</v>
      </c>
      <c r="AZ24" t="str">
        <f t="shared" si="4"/>
        <v>10</v>
      </c>
      <c r="BA24" t="str">
        <f t="shared" si="5"/>
        <v>19</v>
      </c>
      <c r="BB24" t="str">
        <f t="shared" si="6"/>
        <v>26</v>
      </c>
      <c r="BC24">
        <v>23.0</v>
      </c>
      <c r="BH24" t="str">
        <f>IFERROR(MATCH(24,$BF$4:$BF$13,0),0)</f>
        <v>0</v>
      </c>
      <c r="BI24" t="str">
        <f>IF(24=$BG$5,1,0)</f>
        <v>0</v>
      </c>
      <c r="BJ24" t="str">
        <f t="array" ref="BJ24">IF(OR($BH24&gt;0,$BI24=1,$BL24=1),0,IFERROR(INDEX($BC$5:$BC$41,MATCH(24,$BB$5:$BB$41,0)),0))</f>
        <v>21</v>
      </c>
      <c r="BK24" t="str">
        <f t="array" ref="BK24">IF($BJ24&gt;0,IF(INDEX($AZ$5:$AZ$41,MATCH(24,$BB$5:$BB$41,0))=10,1,0),IF($BH24=10,1,0))</f>
        <v>1</v>
      </c>
      <c r="BL24" t="str">
        <f>IF(24=$BG$4,1,0)</f>
        <v>0</v>
      </c>
      <c r="BM24" t="str">
        <f t="shared" si="8"/>
        <v>1</v>
      </c>
      <c r="BN24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Sheet'!$F$23)&amp;"",""))))&gt;0))</f>
        <v>1</v>
      </c>
      <c r="BO24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Sheet'!$G$23)&amp;"",""))))&gt;0))</f>
        <v>1</v>
      </c>
      <c r="BP24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Sheet'!$B$23)&amp;"",""))))&gt;0))</f>
        <v>1</v>
      </c>
      <c r="BQ24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Sheet'!$D$23)&amp;"",""))))&gt;0))</f>
        <v>1</v>
      </c>
      <c r="BR24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Sheet'!$A$23)&amp;"",""))))&gt;0))</f>
        <v>1</v>
      </c>
      <c r="BS24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Sheet'!$E$23)&amp;"",""))))&gt;0))</f>
        <v>1</v>
      </c>
      <c r="BT24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Sheet'!$C$23)&amp;"",""))))&gt;0))</f>
        <v>1</v>
      </c>
      <c r="BU24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Sheet'!$H$23)&amp;"",""))))&gt;0))</f>
        <v>1</v>
      </c>
      <c r="BV24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Sheet'!$I$23)&amp;"",""))))&gt;0))</f>
        <v>1</v>
      </c>
      <c r="BW24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Sheet'!$J$23)&amp;"",""))))&gt;0))</f>
        <v>1</v>
      </c>
      <c r="BX24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Sheet'!$K$23)&amp;"",""))))&gt;0))</f>
        <v>1</v>
      </c>
      <c r="BY24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Sheet'!$L$23)&amp;"",""))))&gt;0))</f>
        <v>1</v>
      </c>
      <c r="BZ24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Sheet'!$M$23)&amp;"",""))))&gt;0))</f>
        <v>1</v>
      </c>
      <c r="CA24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Sheet'!$N$23)&amp;"",""))))&gt;0))</f>
        <v>1</v>
      </c>
      <c r="CB24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Sheet'!$O$23)&amp;"",""))))&gt;0))</f>
        <v>1</v>
      </c>
      <c r="CC24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Sheet'!$P$23)&amp;"",""))))&gt;0))</f>
        <v>1</v>
      </c>
      <c r="CD24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Sheet'!$Q$23)&amp;"",""))))&gt;0))</f>
        <v>1</v>
      </c>
      <c r="CE24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Sheet'!$R$23)&amp;"",""))))&gt;0))</f>
        <v>1</v>
      </c>
      <c r="CF24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Sheet'!$S$23)&amp;"",""))))&gt;0))</f>
        <v>1</v>
      </c>
      <c r="CG24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Sheet'!$T$23)&amp;"",""))))&gt;0))</f>
        <v>1</v>
      </c>
      <c r="CH24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Sheet'!$U$23)&amp;"",""))))&gt;0))</f>
        <v>1</v>
      </c>
      <c r="CI24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Sheet'!$V$23)&amp;"",""))))&gt;0))</f>
        <v>1</v>
      </c>
      <c r="CJ24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Sheet'!$W$23)&amp;"",""))))&gt;0))</f>
        <v>1</v>
      </c>
      <c r="CK24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Sheet'!$X$23)&amp;"",""))))&gt;0))</f>
        <v>1</v>
      </c>
      <c r="CL24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Sheet'!$Y$23)&amp;"",""))))&gt;0))</f>
        <v>1</v>
      </c>
      <c r="CM24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Sheet'!$Z$23)&amp;"",""))))&gt;0))</f>
        <v>1</v>
      </c>
      <c r="CN24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Sheet'!$AA$23)&amp;"",""))))&gt;0))</f>
        <v>1</v>
      </c>
      <c r="CO24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Sheet'!$AB$23)&amp;"",""))))&gt;0))</f>
        <v>1</v>
      </c>
      <c r="CP24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Sheet'!$AC$23)&amp;"",""))))&gt;0))</f>
        <v>1</v>
      </c>
      <c r="CQ24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Sheet'!$AD$23)&amp;"",""))))&gt;0))</f>
        <v>1</v>
      </c>
      <c r="CR24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Sheet'!$AE$23)&amp;"",""))))&gt;0))</f>
        <v>1</v>
      </c>
      <c r="CS24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Sheet'!$AF$23)&amp;"",""))))&gt;0))</f>
        <v>1</v>
      </c>
      <c r="CT24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Sheet'!$AG$23)&amp;"",""))))&gt;0))</f>
        <v>1</v>
      </c>
      <c r="CU24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Sheet'!$AD$23&lt;=0,"SETTLED","OUTSTANDING"))&amp;"",""))))&gt;0))</f>
        <v>1</v>
      </c>
    </row>
    <row r="25" ht="15.0" customHeight="1">
      <c r="A25" s="75" t="str">
        <f t="array" ref="A25">IF($BJ24&gt;0,INDEX($BA$5:$BA$41,MATCH(24,$BB$5:$BB$41,0)),IF(OR($BI24=1,$BL24=1,$BH24&gt;0),"∑",""))</f>
        <v>17</v>
      </c>
      <c r="B25" s="76" t="str">
        <f t="array" ref="B25">IF($BJ24&gt;0,IF(INDEX('Final Calculation Sheet'!$F$4:$F$40,$BJ24-3)="","",INDEX('Final Calculation Sheet'!$F$4:$F$40,$BJ24-3)),"")</f>
        <v>2022</v>
      </c>
      <c r="C25" s="76" t="str">
        <f t="array" ref="C25">IF($BJ24&gt;0,IF(INDEX('Final Calculation Sheet'!$G$4:$G$40,$BJ24-3)="","",INDEX('Final Calculation Sheet'!$G$4:$G$40,$BJ24-3)),IF(OR($BI24=1,$BL24=1,$BH24&gt;0),IF($BI24=1,37,IF($BL24=1,37-INDEX($BD$4:$BD$13,10),INDEX($BD$4:$BD$13,$BH24)))&amp;" lot(s)",""))</f>
        <v>NATIONAL SCRAP AND BUILDING MATERIAL SUPPLIER</v>
      </c>
      <c r="D25" s="77" t="str">
        <f t="array" ref="D25">IF($BJ24&gt;0,IF(INDEX('Final Calculation Sheet'!$B$4:$B$40,$BJ24-3)="","",INDEX('Final Calculation Sheet'!$B$4:$B$40,$BJ24-3)),IF(OR($BI24=1,$BL24=1,$BH24&gt;0),IF($BI24=1,"GRAND TOTAL  —  matching + remaining",IF($BL24=1,"TOTAL MATCHED  —  every group together",IF($BH24=10,"REMAINING  —  did not match the search",IF($BH24=9,IF(COUNTIF($A$4:$AI$4,"&lt;&gt;")&gt;0,"FILTERED LOTS  —  column fields","ALL LOTS  —  nothing typed in the box"),"GROUP "&amp;$BH24&amp;" TOTAL  —  lots matching  "&amp;INDEX($AR$6:$AY$6,$BH24))))),""))</f>
        <v>Scrap of 132 KV CT</v>
      </c>
      <c r="E25" s="77" t="str">
        <f t="array" ref="E25">IF($BJ24&gt;0,IF(INDEX('Final Calculation Sheet'!$D$4:$D$40,$BJ24-3)="","",INDEX('Final Calculation Sheet'!$D$4:$D$40,$BJ24-3)),IF(OR($BI24=1,$BL24=1,$BH24&gt;0),"–",""))</f>
        <v>21978</v>
      </c>
      <c r="F25" s="77" t="str">
        <f t="array" ref="F25">IF($BJ24&gt;0,IF(INDEX('Final Calculation Sheet'!$A$4:$A$40,$BJ24-3)="","",INDEX('Final Calculation Sheet'!$A$4:$A$40,$BJ24-3)),IF(OR($BI24=1,$BL24=1,$BH24&gt;0),IF($BI24=1,SUM('Final Calculation Sheet'!$A$4:$A$40),IF($BL24=1,SUM('Final Calculation Sheet'!$A$4:$A$40)-SUMIFS('Final Calculation Sheet'!$A$4:$A$40,$AZ$5:$AZ$41,10),SUMIFS('Final Calculation Sheet'!$A$4:$A$40,$AZ$5:$AZ$41,$BH24))),""))</f>
        <v>3</v>
      </c>
      <c r="G25" s="77" t="str">
        <f t="array" ref="G25">IF($BJ24&gt;0,IF(INDEX('Final Calculation Sheet'!$E$4:$E$40,$BJ24-3)="","",INDEX('Final Calculation Sheet'!$E$4:$E$40,$BJ24-3)),IF(OR($BI24=1,$BL24=1,$BH24&gt;0),"–",""))</f>
        <v>NO</v>
      </c>
      <c r="H25" s="78" t="str">
        <f t="array" ref="H25">IF($BJ24&gt;0,IF(INDEX('Final Calculation Sheet'!$C$4:$C$40,$BJ24-3)="","",INDEX('Final Calculation Sheet'!$C$4:$C$40,$BJ24-3)),IF(OR($BI24=1,$BL24=1,$BH24&gt;0),"–",""))</f>
        <v>110,200</v>
      </c>
      <c r="I25" s="78" t="str">
        <f t="array" ref="I25">IF($BJ24&gt;0,IF(INDEX('Final Calculation Sheet'!$H$4:$H$40,$BJ24-3)="","",INDEX('Final Calculation Sheet'!$H$4:$H$40,$BJ24-3)),IF(OR($BI24=1,$BL24=1,$BH24&gt;0),IF($BI24=1,SUM('Final Calculation Sheet'!$H$4:$H$40),IF($BL24=1,SUM('Final Calculation Sheet'!$H$4:$H$40)-SUMIFS('Final Calculation Sheet'!$H$4:$H$40,$AZ$5:$AZ$41,10),SUMIFS('Final Calculation Sheet'!$H$4:$H$40,$AZ$5:$AZ$41,$BH24))),""))</f>
        <v>330,600</v>
      </c>
      <c r="J25" s="78" t="str">
        <f t="array" ref="J25">IF($BJ24&gt;0,IF(INDEX('Final Calculation Sheet'!$I$4:$I$40,$BJ24-3)="","",INDEX('Final Calculation Sheet'!$I$4:$I$40,$BJ24-3)),IF(OR($BI24=1,$BL24=1,$BH24&gt;0),IF($BI24=1,SUM('Final Calculation Sheet'!$I$4:$I$40),IF($BL24=1,SUM('Final Calculation Sheet'!$I$4:$I$40)-SUMIFS('Final Calculation Sheet'!$I$4:$I$40,$AZ$5:$AZ$41,10),SUMIFS('Final Calculation Sheet'!$I$4:$I$40,$AZ$5:$AZ$41,$BH24))),""))</f>
        <v>59,508</v>
      </c>
      <c r="K25" s="78" t="str">
        <f t="array" ref="K25">IF($BJ24&gt;0,IF(INDEX('Final Calculation Sheet'!$J$4:$J$40,$BJ24-3)="","",INDEX('Final Calculation Sheet'!$J$4:$J$40,$BJ24-3)),IF(OR($BI24=1,$BL24=1,$BH24&gt;0),IF($BI24=1,SUM('Final Calculation Sheet'!$J$4:$J$40),IF($BL24=1,SUM('Final Calculation Sheet'!$J$4:$J$40)-SUMIFS('Final Calculation Sheet'!$J$4:$J$40,$AZ$5:$AZ$41,10),SUMIFS('Final Calculation Sheet'!$J$4:$J$40,$AZ$5:$AZ$41,$BH24))),""))</f>
        <v>390,108</v>
      </c>
      <c r="L25" s="78" t="str">
        <f t="array" ref="L25">IF($BJ24&gt;0,IF(INDEX('Final Calculation Sheet'!$K$4:$K$40,$BJ24-3)="","",INDEX('Final Calculation Sheet'!$K$4:$K$40,$BJ24-3)),IF(OR($BI24=1,$BL24=1,$BH24&gt;0),IF($BI24=1,SUM('Final Calculation Sheet'!$K$4:$K$40),IF($BL24=1,SUM('Final Calculation Sheet'!$K$4:$K$40)-SUMIFS('Final Calculation Sheet'!$K$4:$K$40,$AZ$5:$AZ$41,10),SUMIFS('Final Calculation Sheet'!$K$4:$K$40,$AZ$5:$AZ$41,$BH24))),""))</f>
        <v>7,802</v>
      </c>
      <c r="M25" s="78" t="str">
        <f t="array" ref="M25">IF($BJ24&gt;0,IF(INDEX('Final Calculation Sheet'!$L$4:$L$40,$BJ24-3)="","",INDEX('Final Calculation Sheet'!$L$4:$L$40,$BJ24-3)),IF(OR($BI24=1,$BL24=1,$BH24&gt;0),IF($BI24=1,SUM('Final Calculation Sheet'!$L$4:$L$40),IF($BL24=1,SUM('Final Calculation Sheet'!$L$4:$L$40)-SUMIFS('Final Calculation Sheet'!$L$4:$L$40,$AZ$5:$AZ$41,10),SUMIFS('Final Calculation Sheet'!$L$4:$L$40,$AZ$5:$AZ$41,$BH24))),""))</f>
        <v>331</v>
      </c>
      <c r="N25" s="78" t="str">
        <f t="array" ref="N25">IF($BJ24&gt;0,IF(INDEX('Final Calculation Sheet'!$M$4:$M$40,$BJ24-3)="","",INDEX('Final Calculation Sheet'!$M$4:$M$40,$BJ24-3)),IF(OR($BI24=1,$BL24=1,$BH24&gt;0),IF($BI24=1,SUM('Final Calculation Sheet'!$M$4:$M$40),IF($BL24=1,SUM('Final Calculation Sheet'!$M$4:$M$40)-SUMIFS('Final Calculation Sheet'!$M$4:$M$40,$AZ$5:$AZ$41,10),SUMIFS('Final Calculation Sheet'!$M$4:$M$40,$AZ$5:$AZ$41,$BH24))),""))</f>
        <v>8,777</v>
      </c>
      <c r="O25" s="79" t="str">
        <f t="array" ref="O25">IF($BJ24&gt;0,IF(INDEX('Final Calculation Sheet'!$N$4:$N$40,$BJ24-3)="","",INDEX('Final Calculation Sheet'!$N$4:$N$40,$BJ24-3)),IF(OR($BI24=1,$BL24=1,$BH24&gt;0),IF($BI24=1,SUM('Final Calculation Sheet'!$N$4:$N$40),IF($BL24=1,SUM('Final Calculation Sheet'!$N$4:$N$40)-SUMIFS('Final Calculation Sheet'!$N$4:$N$40,$AZ$5:$AZ$41,10),SUMIFS('Final Calculation Sheet'!$N$4:$N$40,$AZ$5:$AZ$41,$BH24))),""))</f>
        <v>149</v>
      </c>
      <c r="P25" s="78" t="str">
        <f t="array" ref="P25">IF($BJ24&gt;0,IF(INDEX('Final Calculation Sheet'!$O$4:$O$40,$BJ24-3)="","",INDEX('Final Calculation Sheet'!$O$4:$O$40,$BJ24-3)),IF(OR($BI24=1,$BL24=1,$BH24&gt;0),IF($BI24=1,SUM('Final Calculation Sheet'!$O$4:$O$40),IF($BL24=1,SUM('Final Calculation Sheet'!$O$4:$O$40)-SUMIFS('Final Calculation Sheet'!$O$4:$O$40,$AZ$5:$AZ$41,10),SUMIFS('Final Calculation Sheet'!$O$4:$O$40,$AZ$5:$AZ$41,$BH24))),""))</f>
        <v>8,629</v>
      </c>
      <c r="Q25" s="78" t="str">
        <f t="array" ref="Q25">IF($BJ24&gt;0,IF(INDEX('Final Calculation Sheet'!$P$4:$P$40,$BJ24-3)="","",INDEX('Final Calculation Sheet'!$P$4:$P$40,$BJ24-3)),IF(OR($BI24=1,$BL24=1,$BH24&gt;0),IF($BI24=1,SUM('Final Calculation Sheet'!$P$4:$P$40),IF($BL24=1,SUM('Final Calculation Sheet'!$P$4:$P$40)-SUMIFS('Final Calculation Sheet'!$P$4:$P$40,$AZ$5:$AZ$41,10),SUMIFS('Final Calculation Sheet'!$P$4:$P$40,$AZ$5:$AZ$41,$BH24))),""))</f>
        <v>8,959</v>
      </c>
      <c r="R25" s="80" t="str">
        <f t="array" ref="R25">IF($BJ24&gt;0,IF(INDEX('Final Calculation Sheet'!$Q$4:$Q$40,$BJ24-3)="","",INDEX('Final Calculation Sheet'!$Q$4:$Q$40,$BJ24-3)),IF(OR($BI24=1,$BL24=1,$BH24&gt;0),"–",""))</f>
        <v>0%</v>
      </c>
      <c r="S25" s="78" t="str">
        <f t="array" ref="S25">IF($BJ24&gt;0,IF(INDEX('Final Calculation Sheet'!$R$4:$R$40,$BJ24-3)="","",INDEX('Final Calculation Sheet'!$R$4:$R$40,$BJ24-3)),IF(OR($BI24=1,$BL24=1,$BH24&gt;0),IF($BI24=1,SUM('Final Calculation Sheet'!$R$4:$R$40),IF($BL24=1,SUM('Final Calculation Sheet'!$R$4:$R$40)-SUMIFS('Final Calculation Sheet'!$R$4:$R$40,$AZ$5:$AZ$41,10),SUMIFS('Final Calculation Sheet'!$R$4:$R$40,$AZ$5:$AZ$41,$BH24))),""))</f>
        <v>0</v>
      </c>
      <c r="T25" s="78" t="str">
        <f t="array" ref="T25">IF($BJ24&gt;0,IF(INDEX('Final Calculation Sheet'!$S$4:$S$40,$BJ24-3)="","",INDEX('Final Calculation Sheet'!$S$4:$S$40,$BJ24-3)),IF(OR($BI24=1,$BL24=1,$BH24&gt;0),IF($BI24=1,SUM('Final Calculation Sheet'!$S$4:$S$40),IF($BL24=1,SUM('Final Calculation Sheet'!$S$4:$S$40)-SUMIFS('Final Calculation Sheet'!$S$4:$S$40,$AZ$5:$AZ$41,10),SUMIFS('Final Calculation Sheet'!$S$4:$S$40,$AZ$5:$AZ$41,$BH24))),""))</f>
        <v>388,951</v>
      </c>
      <c r="U25" s="78" t="str">
        <f t="array" ref="U25">IF($BJ24&gt;0,IF(INDEX('Final Calculation Sheet'!$T$4:$T$40,$BJ24-3)="","",INDEX('Final Calculation Sheet'!$T$4:$T$40,$BJ24-3)),IF(OR($BI24=1,$BL24=1,$BH24&gt;0),IF($BI24=1,SUM('Final Calculation Sheet'!$T$4:$T$40),IF($BL24=1,SUM('Final Calculation Sheet'!$T$4:$T$40)-SUMIFS('Final Calculation Sheet'!$T$4:$T$40,$AZ$5:$AZ$41,10),SUMIFS('Final Calculation Sheet'!$T$4:$T$40,$AZ$5:$AZ$41,$BH24))),""))</f>
        <v>82,650</v>
      </c>
      <c r="V25" s="81" t="str">
        <f t="array" ref="V25">IF($BJ24&gt;0,IF(INDEX('Final Calculation Sheet'!$U$4:$U$40,$BJ24-3)="","",INDEX('Final Calculation Sheet'!$U$4:$U$40,$BJ24-3)),IF(OR($BI24=1,$BL24=1,$BH24&gt;0),IF($BI24=1,SUM('Final Calculation Sheet'!$U$4:$U$40),IF($BL24=1,SUM('Final Calculation Sheet'!$U$4:$U$40)-SUMIFS('Final Calculation Sheet'!$U$4:$U$40,$AZ$5:$AZ$41,10),SUMIFS('Final Calculation Sheet'!$U$4:$U$40,$AZ$5:$AZ$41,$BH24))),""))</f>
        <v>  82,650 </v>
      </c>
      <c r="W25" s="78" t="str">
        <f t="array" ref="W25">IF($BJ24&gt;0,IF(INDEX('Final Calculation Sheet'!$V$4:$V$40,$BJ24-3)="","",INDEX('Final Calculation Sheet'!$V$4:$V$40,$BJ24-3)),IF(OR($BI24=1,$BL24=1,$BH24&gt;0),"–",""))</f>
        <v>14.08.2026</v>
      </c>
      <c r="X25" s="78" t="str">
        <f t="array" ref="X25">IF($BJ24&gt;0,IF(INDEX('Final Calculation Sheet'!$W$4:$W$40,$BJ24-3)="","",INDEX('Final Calculation Sheet'!$W$4:$W$40,$BJ24-3)),IF(OR($BI24=1,$BL24=1,$BH24&gt;0),IF($BI24=1,SUM('Final Calculation Sheet'!$W$4:$W$40),IF($BL24=1,SUM('Final Calculation Sheet'!$W$4:$W$40)-SUMIFS('Final Calculation Sheet'!$W$4:$W$40,$AZ$5:$AZ$41,10),SUMIFS('Final Calculation Sheet'!$W$4:$W$40,$AZ$5:$AZ$41,$BH24))),""))</f>
        <v>306,301</v>
      </c>
      <c r="Y25" s="78" t="str">
        <f t="array" ref="Y25">IF($BJ24&gt;0,IF(INDEX('Final Calculation Sheet'!$X$4:$X$40,$BJ24-3)="","",INDEX('Final Calculation Sheet'!$X$4:$X$40,$BJ24-3)),IF(OR($BI24=1,$BL24=1,$BH24&gt;0),IF($BI24=1,SUM('Final Calculation Sheet'!$X$4:$X$40),IF($BL24=1,SUM('Final Calculation Sheet'!$X$4:$X$40)-SUMIFS('Final Calculation Sheet'!$X$4:$X$40,$AZ$5:$AZ$41,10),SUMIFS('Final Calculation Sheet'!$X$4:$X$40,$AZ$5:$AZ$41,$BH24))),""))</f>
        <v>306,301</v>
      </c>
      <c r="Z25" s="78" t="str">
        <f t="array" ref="Z25">IF($BJ24&gt;0,IF(INDEX('Final Calculation Sheet'!$Y$4:$Y$40,$BJ24-3)="","",INDEX('Final Calculation Sheet'!$Y$4:$Y$40,$BJ24-3)),IF(OR($BI24=1,$BL24=1,$BH24&gt;0),"–",""))</f>
        <v>21.08.2026</v>
      </c>
      <c r="AA25" s="78" t="str">
        <f t="array" ref="AA25">IF($BJ24&gt;0,IF(INDEX('Final Calculation Sheet'!$Z$4:$Z$40,$BJ24-3)="","",INDEX('Final Calculation Sheet'!$Z$4:$Z$40,$BJ24-3)),IF(OR($BI24=1,$BL24=1,$BH24&gt;0),IF($BI24=1,SUM('Final Calculation Sheet'!$Z$4:$Z$40),IF($BL24=1,SUM('Final Calculation Sheet'!$Z$4:$Z$40)-SUMIFS('Final Calculation Sheet'!$Z$4:$Z$40,$AZ$5:$AZ$41,10),SUMIFS('Final Calculation Sheet'!$Z$4:$Z$40,$AZ$5:$AZ$41,$BH24))),""))</f>
        <v>0</v>
      </c>
      <c r="AB25" s="78" t="str">
        <f t="array" ref="AB25">IF($BJ24&gt;0,IF(INDEX('Final Calculation Sheet'!$AA$4:$AA$40,$BJ24-3)="","",INDEX('Final Calculation Sheet'!$AA$4:$AA$40,$BJ24-3)),IF(OR($BI24=1,$BL24=1,$BH24&gt;0),IF($BI24=1,SUM('Final Calculation Sheet'!$AA$4:$AA$40),IF($BL24=1,SUM('Final Calculation Sheet'!$AA$4:$AA$40)-SUMIFS('Final Calculation Sheet'!$AA$4:$AA$40,$AZ$5:$AZ$41,10),SUMIFS('Final Calculation Sheet'!$AA$4:$AA$40,$AZ$5:$AZ$41,$BH24))),""))</f>
        <v/>
      </c>
      <c r="AC25" s="78" t="str">
        <f t="array" ref="AC25">IF($BJ24&gt;0,IF(INDEX('Final Calculation Sheet'!$AB$4:$AB$40,$BJ24-3)="","",INDEX('Final Calculation Sheet'!$AB$4:$AB$40,$BJ24-3)),IF(OR($BI24=1,$BL24=1,$BH24&gt;0),"–",""))</f>
        <v/>
      </c>
      <c r="AD25" s="78" t="str">
        <f t="array" ref="AD25">IF($BJ24&gt;0,IF(INDEX('Final Calculation Sheet'!$AC$4:$AC$40,$BJ24-3)="","",INDEX('Final Calculation Sheet'!$AC$4:$AC$40,$BJ24-3)),IF(OR($BI24=1,$BL24=1,$BH24&gt;0),IF($BI24=1,SUM('Final Calculation Sheet'!$AC$4:$AC$40),IF($BL24=1,SUM('Final Calculation Sheet'!$AC$4:$AC$40)-SUMIFS('Final Calculation Sheet'!$AC$4:$AC$40,$AZ$5:$AZ$41,10),SUMIFS('Final Calculation Sheet'!$AC$4:$AC$40,$AZ$5:$AZ$41,$BH24))),""))</f>
        <v>388,951</v>
      </c>
      <c r="AE25" s="78" t="str">
        <f t="array" ref="AE25">IF($BJ24&gt;0,IF(INDEX('Final Calculation Sheet'!$AD$4:$AD$40,$BJ24-3)="","",INDEX('Final Calculation Sheet'!$AD$4:$AD$40,$BJ24-3)),IF(OR($BI24=1,$BL24=1,$BH24&gt;0),IF($BI24=1,SUM('Final Calculation Sheet'!$AD$4:$AD$40),IF($BL24=1,SUM('Final Calculation Sheet'!$AD$4:$AD$40)-SUMIFS('Final Calculation Sheet'!$AD$4:$AD$40,$AZ$5:$AZ$41,10),SUMIFS('Final Calculation Sheet'!$AD$4:$AD$40,$AZ$5:$AZ$41,$BH24))),""))</f>
        <v>0</v>
      </c>
      <c r="AF25" s="78" t="str">
        <f t="array" ref="AF25">IF($BJ24&gt;0,IF(INDEX('Final Calculation Sheet'!$AE$4:$AE$40,$BJ24-3)="","",INDEX('Final Calculation Sheet'!$AE$4:$AE$40,$BJ24-3)),IF(OR($BI24=1,$BL24=1,$BH24&gt;0),"–",""))</f>
        <v>DR2640100028</v>
      </c>
      <c r="AG25" s="82" t="str">
        <f t="array" ref="AG25">IF($BJ24&gt;0,IF(INDEX('Final Calculation Sheet'!$AF$4:$AF$40,$BJ24-3)="","",INDEX('Final Calculation Sheet'!$AF$4:$AF$40,$BJ24-3)),IF(OR($BI24=1,$BL24=1,$BH24&gt;0),"–",""))</f>
        <v>1800003269</v>
      </c>
      <c r="AH25" s="78" t="str">
        <f t="array" ref="AH25">IF($BJ24&gt;0,IF(INDEX('Final Calculation Sheet'!$AG$4:$AG$40,$BJ24-3)="","",INDEX('Final Calculation Sheet'!$AG$4:$AG$40,$BJ24-3)),IF(OR($BI24=1,$BL24=1,$BH24&gt;0),"–",""))</f>
        <v>24.08.2026</v>
      </c>
      <c r="AI25" s="83" t="str">
        <f t="array" ref="AI25">IF($BJ24&gt;0,IF(INDEX('Final Calculation Sheet'!$AD$4:$AD$40,$BJ24-3)="","",IF(INDEX('Final Calculation Sheet'!$AD$4:$AD$40,$BJ24-3)&lt;=0,"SETTLED","OUTSTANDING")),IF(OR($BI24=1,$BL24=1,$BH24&gt;0),IF(IF($BI24=1,SUM('Final Calculation Sheet'!$AD$4:$AD$40),IF($BL24=1,SUM('Final Calculation Sheet'!$AD$4:$AD$40)-SUMIFS('Final Calculation Sheet'!$AD$4:$AD$40,$AZ$5:$AZ$41,10),SUMIFS('Final Calculation Sheet'!$AD$4:$AD$40,$AZ$5:$AZ$41,$BH24)))&lt;=0,"ALL SETTLED","OUTSTANDING"),""))</f>
        <v>SETTLED</v>
      </c>
      <c r="AK25" t="str">
        <f>IF($F$3="Lot No.",'Final Calculation Sheet'!$F$24,IF($F$3="Buyer",'Final Calculation Sheet'!$G$24,IF($F$3="Lot Name",'Final Calculation Sheet'!$B$24,IF($F$3="Bid Sheet",'Final Calculation Sheet'!$D$24,IF($F$3="Unit",'Final Calculation Sheet'!$E$24,'Final Calculation Sheet'!$F$24&amp;" "&amp;'Final Calculation Sheet'!$G$24&amp;" "&amp;'Final Calculation Sheet'!$B$24)))))</f>
        <v>2027 NATIONAL ENTERPRISES Scrap of 132 KV CT</v>
      </c>
      <c r="AM25" t="str">
        <f t="shared" si="3"/>
        <v>0</v>
      </c>
      <c r="AZ25" t="str">
        <f t="shared" si="4"/>
        <v>10</v>
      </c>
      <c r="BA25" t="str">
        <f t="shared" si="5"/>
        <v>20</v>
      </c>
      <c r="BB25" t="str">
        <f t="shared" si="6"/>
        <v>27</v>
      </c>
      <c r="BC25">
        <v>24.0</v>
      </c>
      <c r="BH25" t="str">
        <f>IFERROR(MATCH(25,$BF$4:$BF$13,0),0)</f>
        <v>0</v>
      </c>
      <c r="BI25" t="str">
        <f>IF(25=$BG$5,1,0)</f>
        <v>0</v>
      </c>
      <c r="BJ25" t="str">
        <f t="array" ref="BJ25">IF(OR($BH25&gt;0,$BI25=1,$BL25=1),0,IFERROR(INDEX($BC$5:$BC$41,MATCH(25,$BB$5:$BB$41,0)),0))</f>
        <v>22</v>
      </c>
      <c r="BK25" t="str">
        <f t="array" ref="BK25">IF($BJ25&gt;0,IF(INDEX($AZ$5:$AZ$41,MATCH(25,$BB$5:$BB$41,0))=10,1,0),IF($BH25=10,1,0))</f>
        <v>1</v>
      </c>
      <c r="BL25" t="str">
        <f>IF(25=$BG$4,1,0)</f>
        <v>0</v>
      </c>
      <c r="BM25" t="str">
        <f t="shared" si="8"/>
        <v>1</v>
      </c>
      <c r="BN25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Sheet'!$F$24)&amp;"",""))))&gt;0))</f>
        <v>1</v>
      </c>
      <c r="BO25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Sheet'!$G$24)&amp;"",""))))&gt;0))</f>
        <v>1</v>
      </c>
      <c r="BP25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Sheet'!$B$24)&amp;"",""))))&gt;0))</f>
        <v>1</v>
      </c>
      <c r="BQ25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Sheet'!$D$24)&amp;"",""))))&gt;0))</f>
        <v>1</v>
      </c>
      <c r="BR25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Sheet'!$A$24)&amp;"",""))))&gt;0))</f>
        <v>1</v>
      </c>
      <c r="BS25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Sheet'!$E$24)&amp;"",""))))&gt;0))</f>
        <v>1</v>
      </c>
      <c r="BT25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Sheet'!$C$24)&amp;"",""))))&gt;0))</f>
        <v>1</v>
      </c>
      <c r="BU25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Sheet'!$H$24)&amp;"",""))))&gt;0))</f>
        <v>1</v>
      </c>
      <c r="BV25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Sheet'!$I$24)&amp;"",""))))&gt;0))</f>
        <v>1</v>
      </c>
      <c r="BW25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Sheet'!$J$24)&amp;"",""))))&gt;0))</f>
        <v>1</v>
      </c>
      <c r="BX25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Sheet'!$K$24)&amp;"",""))))&gt;0))</f>
        <v>1</v>
      </c>
      <c r="BY25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Sheet'!$L$24)&amp;"",""))))&gt;0))</f>
        <v>1</v>
      </c>
      <c r="BZ25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Sheet'!$M$24)&amp;"",""))))&gt;0))</f>
        <v>1</v>
      </c>
      <c r="CA25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Sheet'!$N$24)&amp;"",""))))&gt;0))</f>
        <v>1</v>
      </c>
      <c r="CB25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Sheet'!$O$24)&amp;"",""))))&gt;0))</f>
        <v>1</v>
      </c>
      <c r="CC25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Sheet'!$P$24)&amp;"",""))))&gt;0))</f>
        <v>1</v>
      </c>
      <c r="CD25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Sheet'!$Q$24)&amp;"",""))))&gt;0))</f>
        <v>1</v>
      </c>
      <c r="CE25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Sheet'!$R$24)&amp;"",""))))&gt;0))</f>
        <v>1</v>
      </c>
      <c r="CF25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Sheet'!$S$24)&amp;"",""))))&gt;0))</f>
        <v>1</v>
      </c>
      <c r="CG25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Sheet'!$T$24)&amp;"",""))))&gt;0))</f>
        <v>1</v>
      </c>
      <c r="CH25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Sheet'!$U$24)&amp;"",""))))&gt;0))</f>
        <v>1</v>
      </c>
      <c r="CI25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Sheet'!$V$24)&amp;"",""))))&gt;0))</f>
        <v>1</v>
      </c>
      <c r="CJ25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Sheet'!$W$24)&amp;"",""))))&gt;0))</f>
        <v>1</v>
      </c>
      <c r="CK25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Sheet'!$X$24)&amp;"",""))))&gt;0))</f>
        <v>1</v>
      </c>
      <c r="CL25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Sheet'!$Y$24)&amp;"",""))))&gt;0))</f>
        <v>1</v>
      </c>
      <c r="CM25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Sheet'!$Z$24)&amp;"",""))))&gt;0))</f>
        <v>1</v>
      </c>
      <c r="CN25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Sheet'!$AA$24)&amp;"",""))))&gt;0))</f>
        <v>1</v>
      </c>
      <c r="CO25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Sheet'!$AB$24)&amp;"",""))))&gt;0))</f>
        <v>1</v>
      </c>
      <c r="CP25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Sheet'!$AC$24)&amp;"",""))))&gt;0))</f>
        <v>1</v>
      </c>
      <c r="CQ25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Sheet'!$AD$24)&amp;"",""))))&gt;0))</f>
        <v>1</v>
      </c>
      <c r="CR25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Sheet'!$AE$24)&amp;"",""))))&gt;0))</f>
        <v>1</v>
      </c>
      <c r="CS25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Sheet'!$AF$24)&amp;"",""))))&gt;0))</f>
        <v>1</v>
      </c>
      <c r="CT25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Sheet'!$AG$24)&amp;"",""))))&gt;0))</f>
        <v>1</v>
      </c>
      <c r="CU25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Sheet'!$AD$24&lt;=0,"SETTLED","OUTSTANDING"))&amp;"",""))))&gt;0))</f>
        <v>1</v>
      </c>
    </row>
    <row r="26" ht="15.0" customHeight="1">
      <c r="A26" s="75" t="str">
        <f t="array" ref="A26">IF($BJ25&gt;0,INDEX($BA$5:$BA$41,MATCH(25,$BB$5:$BB$41,0)),IF(OR($BI25=1,$BL25=1,$BH25&gt;0),"∑",""))</f>
        <v>18</v>
      </c>
      <c r="B26" s="76" t="str">
        <f t="array" ref="B26">IF($BJ25&gt;0,IF(INDEX('Final Calculation Sheet'!$F$4:$F$40,$BJ25-3)="","",INDEX('Final Calculation Sheet'!$F$4:$F$40,$BJ25-3)),"")</f>
        <v>2023</v>
      </c>
      <c r="C26" s="76" t="str">
        <f t="array" ref="C26">IF($BJ25&gt;0,IF(INDEX('Final Calculation Sheet'!$G$4:$G$40,$BJ25-3)="","",INDEX('Final Calculation Sheet'!$G$4:$G$40,$BJ25-3)),IF(OR($BI25=1,$BL25=1,$BH25&gt;0),IF($BI25=1,37,IF($BL25=1,37-INDEX($BD$4:$BD$13,10),INDEX($BD$4:$BD$13,$BH25)))&amp;" lot(s)",""))</f>
        <v>NATIONAL ENTERPRISES</v>
      </c>
      <c r="D26" s="77" t="str">
        <f t="array" ref="D26">IF($BJ25&gt;0,IF(INDEX('Final Calculation Sheet'!$B$4:$B$40,$BJ25-3)="","",INDEX('Final Calculation Sheet'!$B$4:$B$40,$BJ25-3)),IF(OR($BI25=1,$BL25=1,$BH25&gt;0),IF($BI25=1,"GRAND TOTAL  —  matching + remaining",IF($BL25=1,"TOTAL MATCHED  —  every group together",IF($BH25=10,"REMAINING  —  did not match the search",IF($BH25=9,IF(COUNTIF($A$4:$AI$4,"&lt;&gt;")&gt;0,"FILTERED LOTS  —  column fields","ALL LOTS  —  nothing typed in the box"),"GROUP "&amp;$BH25&amp;" TOTAL  —  lots matching  "&amp;INDEX($AR$6:$AY$6,$BH25))))),""))</f>
        <v>Scrap of 132 KV CT</v>
      </c>
      <c r="E26" s="77" t="str">
        <f t="array" ref="E26">IF($BJ25&gt;0,IF(INDEX('Final Calculation Sheet'!$D$4:$D$40,$BJ25-3)="","",INDEX('Final Calculation Sheet'!$D$4:$D$40,$BJ25-3)),IF(OR($BI25=1,$BL25=1,$BH25&gt;0),"–",""))</f>
        <v>21978</v>
      </c>
      <c r="F26" s="77" t="str">
        <f t="array" ref="F26">IF($BJ25&gt;0,IF(INDEX('Final Calculation Sheet'!$A$4:$A$40,$BJ25-3)="","",INDEX('Final Calculation Sheet'!$A$4:$A$40,$BJ25-3)),IF(OR($BI25=1,$BL25=1,$BH25&gt;0),IF($BI25=1,SUM('Final Calculation Sheet'!$A$4:$A$40),IF($BL25=1,SUM('Final Calculation Sheet'!$A$4:$A$40)-SUMIFS('Final Calculation Sheet'!$A$4:$A$40,$AZ$5:$AZ$41,10),SUMIFS('Final Calculation Sheet'!$A$4:$A$40,$AZ$5:$AZ$41,$BH25))),""))</f>
        <v>3</v>
      </c>
      <c r="G26" s="77" t="str">
        <f t="array" ref="G26">IF($BJ25&gt;0,IF(INDEX('Final Calculation Sheet'!$E$4:$E$40,$BJ25-3)="","",INDEX('Final Calculation Sheet'!$E$4:$E$40,$BJ25-3)),IF(OR($BI25=1,$BL25=1,$BH25&gt;0),"–",""))</f>
        <v>NO</v>
      </c>
      <c r="H26" s="78" t="str">
        <f t="array" ref="H26">IF($BJ25&gt;0,IF(INDEX('Final Calculation Sheet'!$C$4:$C$40,$BJ25-3)="","",INDEX('Final Calculation Sheet'!$C$4:$C$40,$BJ25-3)),IF(OR($BI25=1,$BL25=1,$BH25&gt;0),"–",""))</f>
        <v>83,743</v>
      </c>
      <c r="I26" s="78" t="str">
        <f t="array" ref="I26">IF($BJ25&gt;0,IF(INDEX('Final Calculation Sheet'!$H$4:$H$40,$BJ25-3)="","",INDEX('Final Calculation Sheet'!$H$4:$H$40,$BJ25-3)),IF(OR($BI25=1,$BL25=1,$BH25&gt;0),IF($BI25=1,SUM('Final Calculation Sheet'!$H$4:$H$40),IF($BL25=1,SUM('Final Calculation Sheet'!$H$4:$H$40)-SUMIFS('Final Calculation Sheet'!$H$4:$H$40,$AZ$5:$AZ$41,10),SUMIFS('Final Calculation Sheet'!$H$4:$H$40,$AZ$5:$AZ$41,$BH25))),""))</f>
        <v>251,229</v>
      </c>
      <c r="J26" s="78" t="str">
        <f t="array" ref="J26">IF($BJ25&gt;0,IF(INDEX('Final Calculation Sheet'!$I$4:$I$40,$BJ25-3)="","",INDEX('Final Calculation Sheet'!$I$4:$I$40,$BJ25-3)),IF(OR($BI25=1,$BL25=1,$BH25&gt;0),IF($BI25=1,SUM('Final Calculation Sheet'!$I$4:$I$40),IF($BL25=1,SUM('Final Calculation Sheet'!$I$4:$I$40)-SUMIFS('Final Calculation Sheet'!$I$4:$I$40,$AZ$5:$AZ$41,10),SUMIFS('Final Calculation Sheet'!$I$4:$I$40,$AZ$5:$AZ$41,$BH25))),""))</f>
        <v>45,221</v>
      </c>
      <c r="K26" s="78" t="str">
        <f t="array" ref="K26">IF($BJ25&gt;0,IF(INDEX('Final Calculation Sheet'!$J$4:$J$40,$BJ25-3)="","",INDEX('Final Calculation Sheet'!$J$4:$J$40,$BJ25-3)),IF(OR($BI25=1,$BL25=1,$BH25&gt;0),IF($BI25=1,SUM('Final Calculation Sheet'!$J$4:$J$40),IF($BL25=1,SUM('Final Calculation Sheet'!$J$4:$J$40)-SUMIFS('Final Calculation Sheet'!$J$4:$J$40,$AZ$5:$AZ$41,10),SUMIFS('Final Calculation Sheet'!$J$4:$J$40,$AZ$5:$AZ$41,$BH25))),""))</f>
        <v>296,450</v>
      </c>
      <c r="L26" s="78" t="str">
        <f t="array" ref="L26">IF($BJ25&gt;0,IF(INDEX('Final Calculation Sheet'!$K$4:$K$40,$BJ25-3)="","",INDEX('Final Calculation Sheet'!$K$4:$K$40,$BJ25-3)),IF(OR($BI25=1,$BL25=1,$BH25&gt;0),IF($BI25=1,SUM('Final Calculation Sheet'!$K$4:$K$40),IF($BL25=1,SUM('Final Calculation Sheet'!$K$4:$K$40)-SUMIFS('Final Calculation Sheet'!$K$4:$K$40,$AZ$5:$AZ$41,10),SUMIFS('Final Calculation Sheet'!$K$4:$K$40,$AZ$5:$AZ$41,$BH25))),""))</f>
        <v>5,929</v>
      </c>
      <c r="M26" s="78" t="str">
        <f t="array" ref="M26">IF($BJ25&gt;0,IF(INDEX('Final Calculation Sheet'!$L$4:$L$40,$BJ25-3)="","",INDEX('Final Calculation Sheet'!$L$4:$L$40,$BJ25-3)),IF(OR($BI25=1,$BL25=1,$BH25&gt;0),IF($BI25=1,SUM('Final Calculation Sheet'!$L$4:$L$40),IF($BL25=1,SUM('Final Calculation Sheet'!$L$4:$L$40)-SUMIFS('Final Calculation Sheet'!$L$4:$L$40,$AZ$5:$AZ$41,10),SUMIFS('Final Calculation Sheet'!$L$4:$L$40,$AZ$5:$AZ$41,$BH25))),""))</f>
        <v>251</v>
      </c>
      <c r="N26" s="78" t="str">
        <f t="array" ref="N26">IF($BJ25&gt;0,IF(INDEX('Final Calculation Sheet'!$M$4:$M$40,$BJ25-3)="","",INDEX('Final Calculation Sheet'!$M$4:$M$40,$BJ25-3)),IF(OR($BI25=1,$BL25=1,$BH25&gt;0),IF($BI25=1,SUM('Final Calculation Sheet'!$M$4:$M$40),IF($BL25=1,SUM('Final Calculation Sheet'!$M$4:$M$40)-SUMIFS('Final Calculation Sheet'!$M$4:$M$40,$AZ$5:$AZ$41,10),SUMIFS('Final Calculation Sheet'!$M$4:$M$40,$AZ$5:$AZ$41,$BH25))),""))</f>
        <v>6,670</v>
      </c>
      <c r="O26" s="79" t="str">
        <f t="array" ref="O26">IF($BJ25&gt;0,IF(INDEX('Final Calculation Sheet'!$N$4:$N$40,$BJ25-3)="","",INDEX('Final Calculation Sheet'!$N$4:$N$40,$BJ25-3)),IF(OR($BI25=1,$BL25=1,$BH25&gt;0),IF($BI25=1,SUM('Final Calculation Sheet'!$N$4:$N$40),IF($BL25=1,SUM('Final Calculation Sheet'!$N$4:$N$40)-SUMIFS('Final Calculation Sheet'!$N$4:$N$40,$AZ$5:$AZ$41,10),SUMIFS('Final Calculation Sheet'!$N$4:$N$40,$AZ$5:$AZ$41,$BH25))),""))</f>
        <v>113</v>
      </c>
      <c r="P26" s="78" t="str">
        <f t="array" ref="P26">IF($BJ25&gt;0,IF(INDEX('Final Calculation Sheet'!$O$4:$O$40,$BJ25-3)="","",INDEX('Final Calculation Sheet'!$O$4:$O$40,$BJ25-3)),IF(OR($BI25=1,$BL25=1,$BH25&gt;0),IF($BI25=1,SUM('Final Calculation Sheet'!$O$4:$O$40),IF($BL25=1,SUM('Final Calculation Sheet'!$O$4:$O$40)-SUMIFS('Final Calculation Sheet'!$O$4:$O$40,$AZ$5:$AZ$41,10),SUMIFS('Final Calculation Sheet'!$O$4:$O$40,$AZ$5:$AZ$41,$BH25))),""))</f>
        <v>6,557</v>
      </c>
      <c r="Q26" s="78" t="str">
        <f t="array" ref="Q26">IF($BJ25&gt;0,IF(INDEX('Final Calculation Sheet'!$P$4:$P$40,$BJ25-3)="","",INDEX('Final Calculation Sheet'!$P$4:$P$40,$BJ25-3)),IF(OR($BI25=1,$BL25=1,$BH25&gt;0),IF($BI25=1,SUM('Final Calculation Sheet'!$P$4:$P$40),IF($BL25=1,SUM('Final Calculation Sheet'!$P$4:$P$40)-SUMIFS('Final Calculation Sheet'!$P$4:$P$40,$AZ$5:$AZ$41,10),SUMIFS('Final Calculation Sheet'!$P$4:$P$40,$AZ$5:$AZ$41,$BH25))),""))</f>
        <v>6,808</v>
      </c>
      <c r="R26" s="80" t="str">
        <f t="array" ref="R26">IF($BJ25&gt;0,IF(INDEX('Final Calculation Sheet'!$Q$4:$Q$40,$BJ25-3)="","",INDEX('Final Calculation Sheet'!$Q$4:$Q$40,$BJ25-3)),IF(OR($BI25=1,$BL25=1,$BH25&gt;0),"–",""))</f>
        <v>0%</v>
      </c>
      <c r="S26" s="78" t="str">
        <f t="array" ref="S26">IF($BJ25&gt;0,IF(INDEX('Final Calculation Sheet'!$R$4:$R$40,$BJ25-3)="","",INDEX('Final Calculation Sheet'!$R$4:$R$40,$BJ25-3)),IF(OR($BI25=1,$BL25=1,$BH25&gt;0),IF($BI25=1,SUM('Final Calculation Sheet'!$R$4:$R$40),IF($BL25=1,SUM('Final Calculation Sheet'!$R$4:$R$40)-SUMIFS('Final Calculation Sheet'!$R$4:$R$40,$AZ$5:$AZ$41,10),SUMIFS('Final Calculation Sheet'!$R$4:$R$40,$AZ$5:$AZ$41,$BH25))),""))</f>
        <v>0</v>
      </c>
      <c r="T26" s="78" t="str">
        <f t="array" ref="T26">IF($BJ25&gt;0,IF(INDEX('Final Calculation Sheet'!$S$4:$S$40,$BJ25-3)="","",INDEX('Final Calculation Sheet'!$S$4:$S$40,$BJ25-3)),IF(OR($BI25=1,$BL25=1,$BH25&gt;0),IF($BI25=1,SUM('Final Calculation Sheet'!$S$4:$S$40),IF($BL25=1,SUM('Final Calculation Sheet'!$S$4:$S$40)-SUMIFS('Final Calculation Sheet'!$S$4:$S$40,$AZ$5:$AZ$41,10),SUMIFS('Final Calculation Sheet'!$S$4:$S$40,$AZ$5:$AZ$41,$BH25))),""))</f>
        <v>295,571</v>
      </c>
      <c r="U26" s="78" t="str">
        <f t="array" ref="U26">IF($BJ25&gt;0,IF(INDEX('Final Calculation Sheet'!$T$4:$T$40,$BJ25-3)="","",INDEX('Final Calculation Sheet'!$T$4:$T$40,$BJ25-3)),IF(OR($BI25=1,$BL25=1,$BH25&gt;0),IF($BI25=1,SUM('Final Calculation Sheet'!$T$4:$T$40),IF($BL25=1,SUM('Final Calculation Sheet'!$T$4:$T$40)-SUMIFS('Final Calculation Sheet'!$T$4:$T$40,$AZ$5:$AZ$41,10),SUMIFS('Final Calculation Sheet'!$T$4:$T$40,$AZ$5:$AZ$41,$BH25))),""))</f>
        <v>62,807</v>
      </c>
      <c r="V26" s="81" t="str">
        <f t="array" ref="V26">IF($BJ25&gt;0,IF(INDEX('Final Calculation Sheet'!$U$4:$U$40,$BJ25-3)="","",INDEX('Final Calculation Sheet'!$U$4:$U$40,$BJ25-3)),IF(OR($BI25=1,$BL25=1,$BH25&gt;0),IF($BI25=1,SUM('Final Calculation Sheet'!$U$4:$U$40),IF($BL25=1,SUM('Final Calculation Sheet'!$U$4:$U$40)-SUMIFS('Final Calculation Sheet'!$U$4:$U$40,$AZ$5:$AZ$41,10),SUMIFS('Final Calculation Sheet'!$U$4:$U$40,$AZ$5:$AZ$41,$BH25))),""))</f>
        <v>  62,807 </v>
      </c>
      <c r="W26" s="78" t="str">
        <f t="array" ref="W26">IF($BJ25&gt;0,IF(INDEX('Final Calculation Sheet'!$V$4:$V$40,$BJ25-3)="","",INDEX('Final Calculation Sheet'!$V$4:$V$40,$BJ25-3)),IF(OR($BI25=1,$BL25=1,$BH25&gt;0),"–",""))</f>
        <v>13.08.2026</v>
      </c>
      <c r="X26" s="78" t="str">
        <f t="array" ref="X26">IF($BJ25&gt;0,IF(INDEX('Final Calculation Sheet'!$W$4:$W$40,$BJ25-3)="","",INDEX('Final Calculation Sheet'!$W$4:$W$40,$BJ25-3)),IF(OR($BI25=1,$BL25=1,$BH25&gt;0),IF($BI25=1,SUM('Final Calculation Sheet'!$W$4:$W$40),IF($BL25=1,SUM('Final Calculation Sheet'!$W$4:$W$40)-SUMIFS('Final Calculation Sheet'!$W$4:$W$40,$AZ$5:$AZ$41,10),SUMIFS('Final Calculation Sheet'!$W$4:$W$40,$AZ$5:$AZ$41,$BH25))),""))</f>
        <v>232,764</v>
      </c>
      <c r="Y26" s="78" t="str">
        <f t="array" ref="Y26">IF($BJ25&gt;0,IF(INDEX('Final Calculation Sheet'!$X$4:$X$40,$BJ25-3)="","",INDEX('Final Calculation Sheet'!$X$4:$X$40,$BJ25-3)),IF(OR($BI25=1,$BL25=1,$BH25&gt;0),IF($BI25=1,SUM('Final Calculation Sheet'!$X$4:$X$40),IF($BL25=1,SUM('Final Calculation Sheet'!$X$4:$X$40)-SUMIFS('Final Calculation Sheet'!$X$4:$X$40,$AZ$5:$AZ$41,10),SUMIFS('Final Calculation Sheet'!$X$4:$X$40,$AZ$5:$AZ$41,$BH25))),""))</f>
        <v>232,764</v>
      </c>
      <c r="Z26" s="78" t="str">
        <f t="array" ref="Z26">IF($BJ25&gt;0,IF(INDEX('Final Calculation Sheet'!$Y$4:$Y$40,$BJ25-3)="","",INDEX('Final Calculation Sheet'!$Y$4:$Y$40,$BJ25-3)),IF(OR($BI25=1,$BL25=1,$BH25&gt;0),"–",""))</f>
        <v>24.08.2026</v>
      </c>
      <c r="AA26" s="78" t="str">
        <f t="array" ref="AA26">IF($BJ25&gt;0,IF(INDEX('Final Calculation Sheet'!$Z$4:$Z$40,$BJ25-3)="","",INDEX('Final Calculation Sheet'!$Z$4:$Z$40,$BJ25-3)),IF(OR($BI25=1,$BL25=1,$BH25&gt;0),IF($BI25=1,SUM('Final Calculation Sheet'!$Z$4:$Z$40),IF($BL25=1,SUM('Final Calculation Sheet'!$Z$4:$Z$40)-SUMIFS('Final Calculation Sheet'!$Z$4:$Z$40,$AZ$5:$AZ$41,10),SUMIFS('Final Calculation Sheet'!$Z$4:$Z$40,$AZ$5:$AZ$41,$BH25))),""))</f>
        <v>0</v>
      </c>
      <c r="AB26" s="78" t="str">
        <f t="array" ref="AB26">IF($BJ25&gt;0,IF(INDEX('Final Calculation Sheet'!$AA$4:$AA$40,$BJ25-3)="","",INDEX('Final Calculation Sheet'!$AA$4:$AA$40,$BJ25-3)),IF(OR($BI25=1,$BL25=1,$BH25&gt;0),IF($BI25=1,SUM('Final Calculation Sheet'!$AA$4:$AA$40),IF($BL25=1,SUM('Final Calculation Sheet'!$AA$4:$AA$40)-SUMIFS('Final Calculation Sheet'!$AA$4:$AA$40,$AZ$5:$AZ$41,10),SUMIFS('Final Calculation Sheet'!$AA$4:$AA$40,$AZ$5:$AZ$41,$BH25))),""))</f>
        <v/>
      </c>
      <c r="AC26" s="78" t="str">
        <f t="array" ref="AC26">IF($BJ25&gt;0,IF(INDEX('Final Calculation Sheet'!$AB$4:$AB$40,$BJ25-3)="","",INDEX('Final Calculation Sheet'!$AB$4:$AB$40,$BJ25-3)),IF(OR($BI25=1,$BL25=1,$BH25&gt;0),"–",""))</f>
        <v/>
      </c>
      <c r="AD26" s="78" t="str">
        <f t="array" ref="AD26">IF($BJ25&gt;0,IF(INDEX('Final Calculation Sheet'!$AC$4:$AC$40,$BJ25-3)="","",INDEX('Final Calculation Sheet'!$AC$4:$AC$40,$BJ25-3)),IF(OR($BI25=1,$BL25=1,$BH25&gt;0),IF($BI25=1,SUM('Final Calculation Sheet'!$AC$4:$AC$40),IF($BL25=1,SUM('Final Calculation Sheet'!$AC$4:$AC$40)-SUMIFS('Final Calculation Sheet'!$AC$4:$AC$40,$AZ$5:$AZ$41,10),SUMIFS('Final Calculation Sheet'!$AC$4:$AC$40,$AZ$5:$AZ$41,$BH25))),""))</f>
        <v>295,571</v>
      </c>
      <c r="AE26" s="78" t="str">
        <f t="array" ref="AE26">IF($BJ25&gt;0,IF(INDEX('Final Calculation Sheet'!$AD$4:$AD$40,$BJ25-3)="","",INDEX('Final Calculation Sheet'!$AD$4:$AD$40,$BJ25-3)),IF(OR($BI25=1,$BL25=1,$BH25&gt;0),IF($BI25=1,SUM('Final Calculation Sheet'!$AD$4:$AD$40),IF($BL25=1,SUM('Final Calculation Sheet'!$AD$4:$AD$40)-SUMIFS('Final Calculation Sheet'!$AD$4:$AD$40,$AZ$5:$AZ$41,10),SUMIFS('Final Calculation Sheet'!$AD$4:$AD$40,$AZ$5:$AZ$41,$BH25))),""))</f>
        <v>0</v>
      </c>
      <c r="AF26" s="78" t="str">
        <f t="array" ref="AF26">IF($BJ25&gt;0,IF(INDEX('Final Calculation Sheet'!$AE$4:$AE$40,$BJ25-3)="","",INDEX('Final Calculation Sheet'!$AE$4:$AE$40,$BJ25-3)),IF(OR($BI25=1,$BL25=1,$BH25&gt;0),"–",""))</f>
        <v>DR2640100044</v>
      </c>
      <c r="AG26" s="82" t="str">
        <f t="array" ref="AG26">IF($BJ25&gt;0,IF(INDEX('Final Calculation Sheet'!$AF$4:$AF$40,$BJ25-3)="","",INDEX('Final Calculation Sheet'!$AF$4:$AF$40,$BJ25-3)),IF(OR($BI25=1,$BL25=1,$BH25&gt;0),"–",""))</f>
        <v>1800003308</v>
      </c>
      <c r="AH26" s="78" t="str">
        <f t="array" ref="AH26">IF($BJ25&gt;0,IF(INDEX('Final Calculation Sheet'!$AG$4:$AG$40,$BJ25-3)="","",INDEX('Final Calculation Sheet'!$AG$4:$AG$40,$BJ25-3)),IF(OR($BI25=1,$BL25=1,$BH25&gt;0),"–",""))</f>
        <v>27.08.2026</v>
      </c>
      <c r="AI26" s="83" t="str">
        <f t="array" ref="AI26">IF($BJ25&gt;0,IF(INDEX('Final Calculation Sheet'!$AD$4:$AD$40,$BJ25-3)="","",IF(INDEX('Final Calculation Sheet'!$AD$4:$AD$40,$BJ25-3)&lt;=0,"SETTLED","OUTSTANDING")),IF(OR($BI25=1,$BL25=1,$BH25&gt;0),IF(IF($BI25=1,SUM('Final Calculation Sheet'!$AD$4:$AD$40),IF($BL25=1,SUM('Final Calculation Sheet'!$AD$4:$AD$40)-SUMIFS('Final Calculation Sheet'!$AD$4:$AD$40,$AZ$5:$AZ$41,10),SUMIFS('Final Calculation Sheet'!$AD$4:$AD$40,$AZ$5:$AZ$41,$BH25)))&lt;=0,"ALL SETTLED","OUTSTANDING"),""))</f>
        <v>SETTLED</v>
      </c>
      <c r="AK26" t="str">
        <f>IF($F$3="Lot No.",'Final Calculation Sheet'!$F$25,IF($F$3="Buyer",'Final Calculation Sheet'!$G$25,IF($F$3="Lot Name",'Final Calculation Sheet'!$B$25,IF($F$3="Bid Sheet",'Final Calculation Sheet'!$D$25,IF($F$3="Unit",'Final Calculation Sheet'!$E$25,'Final Calculation Sheet'!$F$25&amp;" "&amp;'Final Calculation Sheet'!$G$25&amp;" "&amp;'Final Calculation Sheet'!$B$25)))))</f>
        <v>2033 WATAN SCRAP TRADERS Scrap Empty Oil Drum/ Barrel</v>
      </c>
      <c r="AM26" t="str">
        <f t="shared" si="3"/>
        <v>0</v>
      </c>
      <c r="AZ26" t="str">
        <f t="shared" si="4"/>
        <v>10</v>
      </c>
      <c r="BA26" t="str">
        <f t="shared" si="5"/>
        <v>21</v>
      </c>
      <c r="BB26" t="str">
        <f t="shared" si="6"/>
        <v>28</v>
      </c>
      <c r="BC26">
        <v>25.0</v>
      </c>
      <c r="BH26" t="str">
        <f>IFERROR(MATCH(26,$BF$4:$BF$13,0),0)</f>
        <v>0</v>
      </c>
      <c r="BI26" t="str">
        <f>IF(26=$BG$5,1,0)</f>
        <v>0</v>
      </c>
      <c r="BJ26" t="str">
        <f t="array" ref="BJ26">IF(OR($BH26&gt;0,$BI26=1,$BL26=1),0,IFERROR(INDEX($BC$5:$BC$41,MATCH(26,$BB$5:$BB$41,0)),0))</f>
        <v>23</v>
      </c>
      <c r="BK26" t="str">
        <f t="array" ref="BK26">IF($BJ26&gt;0,IF(INDEX($AZ$5:$AZ$41,MATCH(26,$BB$5:$BB$41,0))=10,1,0),IF($BH26=10,1,0))</f>
        <v>1</v>
      </c>
      <c r="BL26" t="str">
        <f>IF(26=$BG$4,1,0)</f>
        <v>0</v>
      </c>
      <c r="BM26" t="str">
        <f t="shared" si="8"/>
        <v>1</v>
      </c>
      <c r="BN26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Sheet'!$F$25)&amp;"",""))))&gt;0))</f>
        <v>1</v>
      </c>
      <c r="BO26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Sheet'!$G$25)&amp;"",""))))&gt;0))</f>
        <v>1</v>
      </c>
      <c r="BP26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Sheet'!$B$25)&amp;"",""))))&gt;0))</f>
        <v>1</v>
      </c>
      <c r="BQ26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Sheet'!$D$25)&amp;"",""))))&gt;0))</f>
        <v>1</v>
      </c>
      <c r="BR26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Sheet'!$A$25)&amp;"",""))))&gt;0))</f>
        <v>1</v>
      </c>
      <c r="BS26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Sheet'!$E$25)&amp;"",""))))&gt;0))</f>
        <v>1</v>
      </c>
      <c r="BT26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Sheet'!$C$25)&amp;"",""))))&gt;0))</f>
        <v>1</v>
      </c>
      <c r="BU26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Sheet'!$H$25)&amp;"",""))))&gt;0))</f>
        <v>1</v>
      </c>
      <c r="BV26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Sheet'!$I$25)&amp;"",""))))&gt;0))</f>
        <v>1</v>
      </c>
      <c r="BW26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Sheet'!$J$25)&amp;"",""))))&gt;0))</f>
        <v>1</v>
      </c>
      <c r="BX26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Sheet'!$K$25)&amp;"",""))))&gt;0))</f>
        <v>1</v>
      </c>
      <c r="BY26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Sheet'!$L$25)&amp;"",""))))&gt;0))</f>
        <v>1</v>
      </c>
      <c r="BZ26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Sheet'!$M$25)&amp;"",""))))&gt;0))</f>
        <v>1</v>
      </c>
      <c r="CA26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Sheet'!$N$25)&amp;"",""))))&gt;0))</f>
        <v>1</v>
      </c>
      <c r="CB26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Sheet'!$O$25)&amp;"",""))))&gt;0))</f>
        <v>1</v>
      </c>
      <c r="CC26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Sheet'!$P$25)&amp;"",""))))&gt;0))</f>
        <v>1</v>
      </c>
      <c r="CD26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Sheet'!$Q$25)&amp;"",""))))&gt;0))</f>
        <v>1</v>
      </c>
      <c r="CE26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Sheet'!$R$25)&amp;"",""))))&gt;0))</f>
        <v>1</v>
      </c>
      <c r="CF26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Sheet'!$S$25)&amp;"",""))))&gt;0))</f>
        <v>1</v>
      </c>
      <c r="CG26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Sheet'!$T$25)&amp;"",""))))&gt;0))</f>
        <v>1</v>
      </c>
      <c r="CH26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Sheet'!$U$25)&amp;"",""))))&gt;0))</f>
        <v>1</v>
      </c>
      <c r="CI26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Sheet'!$V$25)&amp;"",""))))&gt;0))</f>
        <v>1</v>
      </c>
      <c r="CJ26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Sheet'!$W$25)&amp;"",""))))&gt;0))</f>
        <v>1</v>
      </c>
      <c r="CK26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Sheet'!$X$25)&amp;"",""))))&gt;0))</f>
        <v>1</v>
      </c>
      <c r="CL26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Sheet'!$Y$25)&amp;"",""))))&gt;0))</f>
        <v>1</v>
      </c>
      <c r="CM26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Sheet'!$Z$25)&amp;"",""))))&gt;0))</f>
        <v>1</v>
      </c>
      <c r="CN26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Sheet'!$AA$25)&amp;"",""))))&gt;0))</f>
        <v>1</v>
      </c>
      <c r="CO26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Sheet'!$AB$25)&amp;"",""))))&gt;0))</f>
        <v>1</v>
      </c>
      <c r="CP26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Sheet'!$AC$25)&amp;"",""))))&gt;0))</f>
        <v>1</v>
      </c>
      <c r="CQ26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Sheet'!$AD$25)&amp;"",""))))&gt;0))</f>
        <v>1</v>
      </c>
      <c r="CR26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Sheet'!$AE$25)&amp;"",""))))&gt;0))</f>
        <v>1</v>
      </c>
      <c r="CS26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Sheet'!$AF$25)&amp;"",""))))&gt;0))</f>
        <v>1</v>
      </c>
      <c r="CT26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Sheet'!$AG$25)&amp;"",""))))&gt;0))</f>
        <v>1</v>
      </c>
      <c r="CU26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Sheet'!$AD$25&lt;=0,"SETTLED","OUTSTANDING"))&amp;"",""))))&gt;0))</f>
        <v>1</v>
      </c>
    </row>
    <row r="27" ht="15.0" customHeight="1">
      <c r="A27" s="75" t="str">
        <f t="array" ref="A27">IF($BJ26&gt;0,INDEX($BA$5:$BA$41,MATCH(26,$BB$5:$BB$41,0)),IF(OR($BI26=1,$BL26=1,$BH26&gt;0),"∑",""))</f>
        <v>19</v>
      </c>
      <c r="B27" s="76" t="str">
        <f t="array" ref="B27">IF($BJ26&gt;0,IF(INDEX('Final Calculation Sheet'!$F$4:$F$40,$BJ26-3)="","",INDEX('Final Calculation Sheet'!$F$4:$F$40,$BJ26-3)),"")</f>
        <v>2025</v>
      </c>
      <c r="C27" s="76" t="str">
        <f t="array" ref="C27">IF($BJ26&gt;0,IF(INDEX('Final Calculation Sheet'!$G$4:$G$40,$BJ26-3)="","",INDEX('Final Calculation Sheet'!$G$4:$G$40,$BJ26-3)),IF(OR($BI26=1,$BL26=1,$BH26&gt;0),IF($BI26=1,37,IF($BL26=1,37-INDEX($BD$4:$BD$13,10),INDEX($BD$4:$BD$13,$BH26)))&amp;" lot(s)",""))</f>
        <v>STERLING ENTERPRISES</v>
      </c>
      <c r="D27" s="77" t="str">
        <f t="array" ref="D27">IF($BJ26&gt;0,IF(INDEX('Final Calculation Sheet'!$B$4:$B$40,$BJ26-3)="","",INDEX('Final Calculation Sheet'!$B$4:$B$40,$BJ26-3)),IF(OR($BI26=1,$BL26=1,$BH26&gt;0),IF($BI26=1,"GRAND TOTAL  —  matching + remaining",IF($BL26=1,"TOTAL MATCHED  —  every group together",IF($BH26=10,"REMAINING  —  did not match the search",IF($BH26=9,IF(COUNTIF($A$4:$AI$4,"&lt;&gt;")&gt;0,"FILTERED LOTS  —  column fields","ALL LOTS  —  nothing typed in the box"),"GROUP "&amp;$BH26&amp;" TOTAL  —  lots matching  "&amp;INDEX($AR$6:$AY$6,$BH26))))),""))</f>
        <v>Scrap of empty oil Barrels</v>
      </c>
      <c r="E27" s="77" t="str">
        <f t="array" ref="E27">IF($BJ26&gt;0,IF(INDEX('Final Calculation Sheet'!$D$4:$D$40,$BJ26-3)="","",INDEX('Final Calculation Sheet'!$D$4:$D$40,$BJ26-3)),IF(OR($BI26=1,$BL26=1,$BH26&gt;0),"–",""))</f>
        <v>21978</v>
      </c>
      <c r="F27" s="77" t="str">
        <f t="array" ref="F27">IF($BJ26&gt;0,IF(INDEX('Final Calculation Sheet'!$A$4:$A$40,$BJ26-3)="","",INDEX('Final Calculation Sheet'!$A$4:$A$40,$BJ26-3)),IF(OR($BI26=1,$BL26=1,$BH26&gt;0),IF($BI26=1,SUM('Final Calculation Sheet'!$A$4:$A$40),IF($BL26=1,SUM('Final Calculation Sheet'!$A$4:$A$40)-SUMIFS('Final Calculation Sheet'!$A$4:$A$40,$AZ$5:$AZ$41,10),SUMIFS('Final Calculation Sheet'!$A$4:$A$40,$AZ$5:$AZ$41,$BH26))),""))</f>
        <v>90</v>
      </c>
      <c r="G27" s="77" t="str">
        <f t="array" ref="G27">IF($BJ26&gt;0,IF(INDEX('Final Calculation Sheet'!$E$4:$E$40,$BJ26-3)="","",INDEX('Final Calculation Sheet'!$E$4:$E$40,$BJ26-3)),IF(OR($BI26=1,$BL26=1,$BH26&gt;0),"–",""))</f>
        <v>NO</v>
      </c>
      <c r="H27" s="78" t="str">
        <f t="array" ref="H27">IF($BJ26&gt;0,IF(INDEX('Final Calculation Sheet'!$C$4:$C$40,$BJ26-3)="","",INDEX('Final Calculation Sheet'!$C$4:$C$40,$BJ26-3)),IF(OR($BI26=1,$BL26=1,$BH26&gt;0),"–",""))</f>
        <v>700</v>
      </c>
      <c r="I27" s="78" t="str">
        <f t="array" ref="I27">IF($BJ26&gt;0,IF(INDEX('Final Calculation Sheet'!$H$4:$H$40,$BJ26-3)="","",INDEX('Final Calculation Sheet'!$H$4:$H$40,$BJ26-3)),IF(OR($BI26=1,$BL26=1,$BH26&gt;0),IF($BI26=1,SUM('Final Calculation Sheet'!$H$4:$H$40),IF($BL26=1,SUM('Final Calculation Sheet'!$H$4:$H$40)-SUMIFS('Final Calculation Sheet'!$H$4:$H$40,$AZ$5:$AZ$41,10),SUMIFS('Final Calculation Sheet'!$H$4:$H$40,$AZ$5:$AZ$41,$BH26))),""))</f>
        <v>63,000</v>
      </c>
      <c r="J27" s="78" t="str">
        <f t="array" ref="J27">IF($BJ26&gt;0,IF(INDEX('Final Calculation Sheet'!$I$4:$I$40,$BJ26-3)="","",INDEX('Final Calculation Sheet'!$I$4:$I$40,$BJ26-3)),IF(OR($BI26=1,$BL26=1,$BH26&gt;0),IF($BI26=1,SUM('Final Calculation Sheet'!$I$4:$I$40),IF($BL26=1,SUM('Final Calculation Sheet'!$I$4:$I$40)-SUMIFS('Final Calculation Sheet'!$I$4:$I$40,$AZ$5:$AZ$41,10),SUMIFS('Final Calculation Sheet'!$I$4:$I$40,$AZ$5:$AZ$41,$BH26))),""))</f>
        <v>11,340</v>
      </c>
      <c r="K27" s="78" t="str">
        <f t="array" ref="K27">IF($BJ26&gt;0,IF(INDEX('Final Calculation Sheet'!$J$4:$J$40,$BJ26-3)="","",INDEX('Final Calculation Sheet'!$J$4:$J$40,$BJ26-3)),IF(OR($BI26=1,$BL26=1,$BH26&gt;0),IF($BI26=1,SUM('Final Calculation Sheet'!$J$4:$J$40),IF($BL26=1,SUM('Final Calculation Sheet'!$J$4:$J$40)-SUMIFS('Final Calculation Sheet'!$J$4:$J$40,$AZ$5:$AZ$41,10),SUMIFS('Final Calculation Sheet'!$J$4:$J$40,$AZ$5:$AZ$41,$BH26))),""))</f>
        <v>74,340</v>
      </c>
      <c r="L27" s="78" t="str">
        <f t="array" ref="L27">IF($BJ26&gt;0,IF(INDEX('Final Calculation Sheet'!$K$4:$K$40,$BJ26-3)="","",INDEX('Final Calculation Sheet'!$K$4:$K$40,$BJ26-3)),IF(OR($BI26=1,$BL26=1,$BH26&gt;0),IF($BI26=1,SUM('Final Calculation Sheet'!$K$4:$K$40),IF($BL26=1,SUM('Final Calculation Sheet'!$K$4:$K$40)-SUMIFS('Final Calculation Sheet'!$K$4:$K$40,$AZ$5:$AZ$41,10),SUMIFS('Final Calculation Sheet'!$K$4:$K$40,$AZ$5:$AZ$41,$BH26))),""))</f>
        <v>1,487</v>
      </c>
      <c r="M27" s="78" t="str">
        <f t="array" ref="M27">IF($BJ26&gt;0,IF(INDEX('Final Calculation Sheet'!$L$4:$L$40,$BJ26-3)="","",INDEX('Final Calculation Sheet'!$L$4:$L$40,$BJ26-3)),IF(OR($BI26=1,$BL26=1,$BH26&gt;0),IF($BI26=1,SUM('Final Calculation Sheet'!$L$4:$L$40),IF($BL26=1,SUM('Final Calculation Sheet'!$L$4:$L$40)-SUMIFS('Final Calculation Sheet'!$L$4:$L$40,$AZ$5:$AZ$41,10),SUMIFS('Final Calculation Sheet'!$L$4:$L$40,$AZ$5:$AZ$41,$BH26))),""))</f>
        <v>63</v>
      </c>
      <c r="N27" s="78" t="str">
        <f t="array" ref="N27">IF($BJ26&gt;0,IF(INDEX('Final Calculation Sheet'!$M$4:$M$40,$BJ26-3)="","",INDEX('Final Calculation Sheet'!$M$4:$M$40,$BJ26-3)),IF(OR($BI26=1,$BL26=1,$BH26&gt;0),IF($BI26=1,SUM('Final Calculation Sheet'!$M$4:$M$40),IF($BL26=1,SUM('Final Calculation Sheet'!$M$4:$M$40)-SUMIFS('Final Calculation Sheet'!$M$4:$M$40,$AZ$5:$AZ$41,10),SUMIFS('Final Calculation Sheet'!$M$4:$M$40,$AZ$5:$AZ$41,$BH26))),""))</f>
        <v>1,673</v>
      </c>
      <c r="O27" s="79" t="str">
        <f t="array" ref="O27">IF($BJ26&gt;0,IF(INDEX('Final Calculation Sheet'!$N$4:$N$40,$BJ26-3)="","",INDEX('Final Calculation Sheet'!$N$4:$N$40,$BJ26-3)),IF(OR($BI26=1,$BL26=1,$BH26&gt;0),IF($BI26=1,SUM('Final Calculation Sheet'!$N$4:$N$40),IF($BL26=1,SUM('Final Calculation Sheet'!$N$4:$N$40)-SUMIFS('Final Calculation Sheet'!$N$4:$N$40,$AZ$5:$AZ$41,10),SUMIFS('Final Calculation Sheet'!$N$4:$N$40,$AZ$5:$AZ$41,$BH26))),""))</f>
        <v>28</v>
      </c>
      <c r="P27" s="78" t="str">
        <f t="array" ref="P27">IF($BJ26&gt;0,IF(INDEX('Final Calculation Sheet'!$O$4:$O$40,$BJ26-3)="","",INDEX('Final Calculation Sheet'!$O$4:$O$40,$BJ26-3)),IF(OR($BI26=1,$BL26=1,$BH26&gt;0),IF($BI26=1,SUM('Final Calculation Sheet'!$O$4:$O$40),IF($BL26=1,SUM('Final Calculation Sheet'!$O$4:$O$40)-SUMIFS('Final Calculation Sheet'!$O$4:$O$40,$AZ$5:$AZ$41,10),SUMIFS('Final Calculation Sheet'!$O$4:$O$40,$AZ$5:$AZ$41,$BH26))),""))</f>
        <v>1,644</v>
      </c>
      <c r="Q27" s="78" t="str">
        <f t="array" ref="Q27">IF($BJ26&gt;0,IF(INDEX('Final Calculation Sheet'!$P$4:$P$40,$BJ26-3)="","",INDEX('Final Calculation Sheet'!$P$4:$P$40,$BJ26-3)),IF(OR($BI26=1,$BL26=1,$BH26&gt;0),IF($BI26=1,SUM('Final Calculation Sheet'!$P$4:$P$40),IF($BL26=1,SUM('Final Calculation Sheet'!$P$4:$P$40)-SUMIFS('Final Calculation Sheet'!$P$4:$P$40,$AZ$5:$AZ$41,10),SUMIFS('Final Calculation Sheet'!$P$4:$P$40,$AZ$5:$AZ$41,$BH26))),""))</f>
        <v>1,707</v>
      </c>
      <c r="R27" s="80" t="str">
        <f t="array" ref="R27">IF($BJ26&gt;0,IF(INDEX('Final Calculation Sheet'!$Q$4:$Q$40,$BJ26-3)="","",INDEX('Final Calculation Sheet'!$Q$4:$Q$40,$BJ26-3)),IF(OR($BI26=1,$BL26=1,$BH26&gt;0),"–",""))</f>
        <v>0%</v>
      </c>
      <c r="S27" s="78" t="str">
        <f t="array" ref="S27">IF($BJ26&gt;0,IF(INDEX('Final Calculation Sheet'!$R$4:$R$40,$BJ26-3)="","",INDEX('Final Calculation Sheet'!$R$4:$R$40,$BJ26-3)),IF(OR($BI26=1,$BL26=1,$BH26&gt;0),IF($BI26=1,SUM('Final Calculation Sheet'!$R$4:$R$40),IF($BL26=1,SUM('Final Calculation Sheet'!$R$4:$R$40)-SUMIFS('Final Calculation Sheet'!$R$4:$R$40,$AZ$5:$AZ$41,10),SUMIFS('Final Calculation Sheet'!$R$4:$R$40,$AZ$5:$AZ$41,$BH26))),""))</f>
        <v>0</v>
      </c>
      <c r="T27" s="78" t="str">
        <f t="array" ref="T27">IF($BJ26&gt;0,IF(INDEX('Final Calculation Sheet'!$S$4:$S$40,$BJ26-3)="","",INDEX('Final Calculation Sheet'!$S$4:$S$40,$BJ26-3)),IF(OR($BI26=1,$BL26=1,$BH26&gt;0),IF($BI26=1,SUM('Final Calculation Sheet'!$S$4:$S$40),IF($BL26=1,SUM('Final Calculation Sheet'!$S$4:$S$40)-SUMIFS('Final Calculation Sheet'!$S$4:$S$40,$AZ$5:$AZ$41,10),SUMIFS('Final Calculation Sheet'!$S$4:$S$40,$AZ$5:$AZ$41,$BH26))),""))</f>
        <v>74,120</v>
      </c>
      <c r="U27" s="78" t="str">
        <f t="array" ref="U27">IF($BJ26&gt;0,IF(INDEX('Final Calculation Sheet'!$T$4:$T$40,$BJ26-3)="","",INDEX('Final Calculation Sheet'!$T$4:$T$40,$BJ26-3)),IF(OR($BI26=1,$BL26=1,$BH26&gt;0),IF($BI26=1,SUM('Final Calculation Sheet'!$T$4:$T$40),IF($BL26=1,SUM('Final Calculation Sheet'!$T$4:$T$40)-SUMIFS('Final Calculation Sheet'!$T$4:$T$40,$AZ$5:$AZ$41,10),SUMIFS('Final Calculation Sheet'!$T$4:$T$40,$AZ$5:$AZ$41,$BH26))),""))</f>
        <v>15,750</v>
      </c>
      <c r="V27" s="81" t="str">
        <f t="array" ref="V27">IF($BJ26&gt;0,IF(INDEX('Final Calculation Sheet'!$U$4:$U$40,$BJ26-3)="","",INDEX('Final Calculation Sheet'!$U$4:$U$40,$BJ26-3)),IF(OR($BI26=1,$BL26=1,$BH26&gt;0),IF($BI26=1,SUM('Final Calculation Sheet'!$U$4:$U$40),IF($BL26=1,SUM('Final Calculation Sheet'!$U$4:$U$40)-SUMIFS('Final Calculation Sheet'!$U$4:$U$40,$AZ$5:$AZ$41,10),SUMIFS('Final Calculation Sheet'!$U$4:$U$40,$AZ$5:$AZ$41,$BH26))),""))</f>
        <v>  15,750 </v>
      </c>
      <c r="W27" s="78" t="str">
        <f t="array" ref="W27">IF($BJ26&gt;0,IF(INDEX('Final Calculation Sheet'!$V$4:$V$40,$BJ26-3)="","",INDEX('Final Calculation Sheet'!$V$4:$V$40,$BJ26-3)),IF(OR($BI26=1,$BL26=1,$BH26&gt;0),"–",""))</f>
        <v>11.08.2026</v>
      </c>
      <c r="X27" s="78" t="str">
        <f t="array" ref="X27">IF($BJ26&gt;0,IF(INDEX('Final Calculation Sheet'!$W$4:$W$40,$BJ26-3)="","",INDEX('Final Calculation Sheet'!$W$4:$W$40,$BJ26-3)),IF(OR($BI26=1,$BL26=1,$BH26&gt;0),IF($BI26=1,SUM('Final Calculation Sheet'!$W$4:$W$40),IF($BL26=1,SUM('Final Calculation Sheet'!$W$4:$W$40)-SUMIFS('Final Calculation Sheet'!$W$4:$W$40,$AZ$5:$AZ$41,10),SUMIFS('Final Calculation Sheet'!$W$4:$W$40,$AZ$5:$AZ$41,$BH26))),""))</f>
        <v>58,370</v>
      </c>
      <c r="Y27" s="78" t="str">
        <f t="array" ref="Y27">IF($BJ26&gt;0,IF(INDEX('Final Calculation Sheet'!$X$4:$X$40,$BJ26-3)="","",INDEX('Final Calculation Sheet'!$X$4:$X$40,$BJ26-3)),IF(OR($BI26=1,$BL26=1,$BH26&gt;0),IF($BI26=1,SUM('Final Calculation Sheet'!$X$4:$X$40),IF($BL26=1,SUM('Final Calculation Sheet'!$X$4:$X$40)-SUMIFS('Final Calculation Sheet'!$X$4:$X$40,$AZ$5:$AZ$41,10),SUMIFS('Final Calculation Sheet'!$X$4:$X$40,$AZ$5:$AZ$41,$BH26))),""))</f>
        <v>58,418</v>
      </c>
      <c r="Z27" s="78" t="str">
        <f t="array" ref="Z27">IF($BJ26&gt;0,IF(INDEX('Final Calculation Sheet'!$Y$4:$Y$40,$BJ26-3)="","",INDEX('Final Calculation Sheet'!$Y$4:$Y$40,$BJ26-3)),IF(OR($BI26=1,$BL26=1,$BH26&gt;0),"–",""))</f>
        <v>11.08.2026</v>
      </c>
      <c r="AA27" s="78" t="str">
        <f t="array" ref="AA27">IF($BJ26&gt;0,IF(INDEX('Final Calculation Sheet'!$Z$4:$Z$40,$BJ26-3)="","",INDEX('Final Calculation Sheet'!$Z$4:$Z$40,$BJ26-3)),IF(OR($BI26=1,$BL26=1,$BH26&gt;0),IF($BI26=1,SUM('Final Calculation Sheet'!$Z$4:$Z$40),IF($BL26=1,SUM('Final Calculation Sheet'!$Z$4:$Z$40)-SUMIFS('Final Calculation Sheet'!$Z$4:$Z$40,$AZ$5:$AZ$41,10),SUMIFS('Final Calculation Sheet'!$Z$4:$Z$40,$AZ$5:$AZ$41,$BH26))),""))</f>
        <v>0</v>
      </c>
      <c r="AB27" s="78" t="str">
        <f t="array" ref="AB27">IF($BJ26&gt;0,IF(INDEX('Final Calculation Sheet'!$AA$4:$AA$40,$BJ26-3)="","",INDEX('Final Calculation Sheet'!$AA$4:$AA$40,$BJ26-3)),IF(OR($BI26=1,$BL26=1,$BH26&gt;0),IF($BI26=1,SUM('Final Calculation Sheet'!$AA$4:$AA$40),IF($BL26=1,SUM('Final Calculation Sheet'!$AA$4:$AA$40)-SUMIFS('Final Calculation Sheet'!$AA$4:$AA$40,$AZ$5:$AZ$41,10),SUMIFS('Final Calculation Sheet'!$AA$4:$AA$40,$AZ$5:$AZ$41,$BH26))),""))</f>
        <v/>
      </c>
      <c r="AC27" s="78" t="str">
        <f t="array" ref="AC27">IF($BJ26&gt;0,IF(INDEX('Final Calculation Sheet'!$AB$4:$AB$40,$BJ26-3)="","",INDEX('Final Calculation Sheet'!$AB$4:$AB$40,$BJ26-3)),IF(OR($BI26=1,$BL26=1,$BH26&gt;0),"–",""))</f>
        <v/>
      </c>
      <c r="AD27" s="78" t="str">
        <f t="array" ref="AD27">IF($BJ26&gt;0,IF(INDEX('Final Calculation Sheet'!$AC$4:$AC$40,$BJ26-3)="","",INDEX('Final Calculation Sheet'!$AC$4:$AC$40,$BJ26-3)),IF(OR($BI26=1,$BL26=1,$BH26&gt;0),IF($BI26=1,SUM('Final Calculation Sheet'!$AC$4:$AC$40),IF($BL26=1,SUM('Final Calculation Sheet'!$AC$4:$AC$40)-SUMIFS('Final Calculation Sheet'!$AC$4:$AC$40,$AZ$5:$AZ$41,10),SUMIFS('Final Calculation Sheet'!$AC$4:$AC$40,$AZ$5:$AZ$41,$BH26))),""))</f>
        <v>74,168</v>
      </c>
      <c r="AE27" s="78" t="str">
        <f t="array" ref="AE27">IF($BJ26&gt;0,IF(INDEX('Final Calculation Sheet'!$AD$4:$AD$40,$BJ26-3)="","",INDEX('Final Calculation Sheet'!$AD$4:$AD$40,$BJ26-3)),IF(OR($BI26=1,$BL26=1,$BH26&gt;0),IF($BI26=1,SUM('Final Calculation Sheet'!$AD$4:$AD$40),IF($BL26=1,SUM('Final Calculation Sheet'!$AD$4:$AD$40)-SUMIFS('Final Calculation Sheet'!$AD$4:$AD$40,$AZ$5:$AZ$41,10),SUMIFS('Final Calculation Sheet'!$AD$4:$AD$40,$AZ$5:$AZ$41,$BH26))),""))</f>
        <v>(48)</v>
      </c>
      <c r="AF27" s="78" t="str">
        <f t="array" ref="AF27">IF($BJ26&gt;0,IF(INDEX('Final Calculation Sheet'!$AE$4:$AE$40,$BJ26-3)="","",INDEX('Final Calculation Sheet'!$AE$4:$AE$40,$BJ26-3)),IF(OR($BI26=1,$BL26=1,$BH26&gt;0),"–",""))</f>
        <v>DR2640100021</v>
      </c>
      <c r="AG27" s="82" t="str">
        <f t="array" ref="AG27">IF($BJ26&gt;0,IF(INDEX('Final Calculation Sheet'!$AF$4:$AF$40,$BJ26-3)="","",INDEX('Final Calculation Sheet'!$AF$4:$AF$40,$BJ26-3)),IF(OR($BI26=1,$BL26=1,$BH26&gt;0),"–",""))</f>
        <v>1800003160</v>
      </c>
      <c r="AH27" s="78" t="str">
        <f t="array" ref="AH27">IF($BJ26&gt;0,IF(INDEX('Final Calculation Sheet'!$AG$4:$AG$40,$BJ26-3)="","",INDEX('Final Calculation Sheet'!$AG$4:$AG$40,$BJ26-3)),IF(OR($BI26=1,$BL26=1,$BH26&gt;0),"–",""))</f>
        <v>14.08.2026</v>
      </c>
      <c r="AI27" s="83" t="str">
        <f t="array" ref="AI27">IF($BJ26&gt;0,IF(INDEX('Final Calculation Sheet'!$AD$4:$AD$40,$BJ26-3)="","",IF(INDEX('Final Calculation Sheet'!$AD$4:$AD$40,$BJ26-3)&lt;=0,"SETTLED","OUTSTANDING")),IF(OR($BI26=1,$BL26=1,$BH26&gt;0),IF(IF($BI26=1,SUM('Final Calculation Sheet'!$AD$4:$AD$40),IF($BL26=1,SUM('Final Calculation Sheet'!$AD$4:$AD$40)-SUMIFS('Final Calculation Sheet'!$AD$4:$AD$40,$AZ$5:$AZ$41,10),SUMIFS('Final Calculation Sheet'!$AD$4:$AD$40,$AZ$5:$AZ$41,$BH26)))&lt;=0,"ALL SETTLED","OUTSTANDING"),""))</f>
        <v>SETTLED</v>
      </c>
      <c r="AK27" t="str">
        <f>IF($F$3="Lot No.",'Final Calculation Sheet'!$F$26,IF($F$3="Buyer",'Final Calculation Sheet'!$G$26,IF($F$3="Lot Name",'Final Calculation Sheet'!$B$26,IF($F$3="Bid Sheet",'Final Calculation Sheet'!$D$26,IF($F$3="Unit",'Final Calculation Sheet'!$E$26,'Final Calculation Sheet'!$F$26&amp;" "&amp;'Final Calculation Sheet'!$G$26&amp;" "&amp;'Final Calculation Sheet'!$B$26)))))</f>
        <v>2035 NATIONAL ENTERPRISES Scrap of 132 KV Wave Trap</v>
      </c>
      <c r="AM27" t="str">
        <f t="shared" si="3"/>
        <v>0</v>
      </c>
      <c r="AZ27" t="str">
        <f t="shared" si="4"/>
        <v>10</v>
      </c>
      <c r="BA27" t="str">
        <f t="shared" si="5"/>
        <v>22</v>
      </c>
      <c r="BB27" t="str">
        <f t="shared" si="6"/>
        <v>29</v>
      </c>
      <c r="BC27">
        <v>26.0</v>
      </c>
      <c r="BH27" t="str">
        <f>IFERROR(MATCH(27,$BF$4:$BF$13,0),0)</f>
        <v>0</v>
      </c>
      <c r="BI27" t="str">
        <f>IF(27=$BG$5,1,0)</f>
        <v>0</v>
      </c>
      <c r="BJ27" t="str">
        <f t="array" ref="BJ27">IF(OR($BH27&gt;0,$BI27=1,$BL27=1),0,IFERROR(INDEX($BC$5:$BC$41,MATCH(27,$BB$5:$BB$41,0)),0))</f>
        <v>24</v>
      </c>
      <c r="BK27" t="str">
        <f t="array" ref="BK27">IF($BJ27&gt;0,IF(INDEX($AZ$5:$AZ$41,MATCH(27,$BB$5:$BB$41,0))=10,1,0),IF($BH27=10,1,0))</f>
        <v>1</v>
      </c>
      <c r="BL27" t="str">
        <f>IF(27=$BG$4,1,0)</f>
        <v>0</v>
      </c>
      <c r="BM27" t="str">
        <f t="shared" si="8"/>
        <v>1</v>
      </c>
      <c r="BN27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Sheet'!$F$26)&amp;"",""))))&gt;0))</f>
        <v>1</v>
      </c>
      <c r="BO27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Sheet'!$G$26)&amp;"",""))))&gt;0))</f>
        <v>1</v>
      </c>
      <c r="BP27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Sheet'!$B$26)&amp;"",""))))&gt;0))</f>
        <v>1</v>
      </c>
      <c r="BQ27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Sheet'!$D$26)&amp;"",""))))&gt;0))</f>
        <v>1</v>
      </c>
      <c r="BR27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Sheet'!$A$26)&amp;"",""))))&gt;0))</f>
        <v>1</v>
      </c>
      <c r="BS27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Sheet'!$E$26)&amp;"",""))))&gt;0))</f>
        <v>1</v>
      </c>
      <c r="BT27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Sheet'!$C$26)&amp;"",""))))&gt;0))</f>
        <v>1</v>
      </c>
      <c r="BU27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Sheet'!$H$26)&amp;"",""))))&gt;0))</f>
        <v>1</v>
      </c>
      <c r="BV27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Sheet'!$I$26)&amp;"",""))))&gt;0))</f>
        <v>1</v>
      </c>
      <c r="BW27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Sheet'!$J$26)&amp;"",""))))&gt;0))</f>
        <v>1</v>
      </c>
      <c r="BX27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Sheet'!$K$26)&amp;"",""))))&gt;0))</f>
        <v>1</v>
      </c>
      <c r="BY27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Sheet'!$L$26)&amp;"",""))))&gt;0))</f>
        <v>1</v>
      </c>
      <c r="BZ27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Sheet'!$M$26)&amp;"",""))))&gt;0))</f>
        <v>1</v>
      </c>
      <c r="CA27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Sheet'!$N$26)&amp;"",""))))&gt;0))</f>
        <v>1</v>
      </c>
      <c r="CB27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Sheet'!$O$26)&amp;"",""))))&gt;0))</f>
        <v>1</v>
      </c>
      <c r="CC27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Sheet'!$P$26)&amp;"",""))))&gt;0))</f>
        <v>1</v>
      </c>
      <c r="CD27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Sheet'!$Q$26)&amp;"",""))))&gt;0))</f>
        <v>1</v>
      </c>
      <c r="CE27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Sheet'!$R$26)&amp;"",""))))&gt;0))</f>
        <v>1</v>
      </c>
      <c r="CF27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Sheet'!$S$26)&amp;"",""))))&gt;0))</f>
        <v>1</v>
      </c>
      <c r="CG27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Sheet'!$T$26)&amp;"",""))))&gt;0))</f>
        <v>1</v>
      </c>
      <c r="CH27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Sheet'!$U$26)&amp;"",""))))&gt;0))</f>
        <v>1</v>
      </c>
      <c r="CI27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Sheet'!$V$26)&amp;"",""))))&gt;0))</f>
        <v>1</v>
      </c>
      <c r="CJ27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Sheet'!$W$26)&amp;"",""))))&gt;0))</f>
        <v>1</v>
      </c>
      <c r="CK27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Sheet'!$X$26)&amp;"",""))))&gt;0))</f>
        <v>1</v>
      </c>
      <c r="CL27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Sheet'!$Y$26)&amp;"",""))))&gt;0))</f>
        <v>1</v>
      </c>
      <c r="CM27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Sheet'!$Z$26)&amp;"",""))))&gt;0))</f>
        <v>1</v>
      </c>
      <c r="CN27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Sheet'!$AA$26)&amp;"",""))))&gt;0))</f>
        <v>1</v>
      </c>
      <c r="CO27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Sheet'!$AB$26)&amp;"",""))))&gt;0))</f>
        <v>1</v>
      </c>
      <c r="CP27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Sheet'!$AC$26)&amp;"",""))))&gt;0))</f>
        <v>1</v>
      </c>
      <c r="CQ27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Sheet'!$AD$26)&amp;"",""))))&gt;0))</f>
        <v>1</v>
      </c>
      <c r="CR27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Sheet'!$AE$26)&amp;"",""))))&gt;0))</f>
        <v>1</v>
      </c>
      <c r="CS27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Sheet'!$AF$26)&amp;"",""))))&gt;0))</f>
        <v>1</v>
      </c>
      <c r="CT27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Sheet'!$AG$26)&amp;"",""))))&gt;0))</f>
        <v>1</v>
      </c>
      <c r="CU27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Sheet'!$AD$26&lt;=0,"SETTLED","OUTSTANDING"))&amp;"",""))))&gt;0))</f>
        <v>1</v>
      </c>
    </row>
    <row r="28" ht="15.0" customHeight="1">
      <c r="A28" s="75" t="str">
        <f t="array" ref="A28">IF($BJ27&gt;0,INDEX($BA$5:$BA$41,MATCH(27,$BB$5:$BB$41,0)),IF(OR($BI27=1,$BL27=1,$BH27&gt;0),"∑",""))</f>
        <v>20</v>
      </c>
      <c r="B28" s="76" t="str">
        <f t="array" ref="B28">IF($BJ27&gt;0,IF(INDEX('Final Calculation Sheet'!$F$4:$F$40,$BJ27-3)="","",INDEX('Final Calculation Sheet'!$F$4:$F$40,$BJ27-3)),"")</f>
        <v>2027</v>
      </c>
      <c r="C28" s="76" t="str">
        <f t="array" ref="C28">IF($BJ27&gt;0,IF(INDEX('Final Calculation Sheet'!$G$4:$G$40,$BJ27-3)="","",INDEX('Final Calculation Sheet'!$G$4:$G$40,$BJ27-3)),IF(OR($BI27=1,$BL27=1,$BH27&gt;0),IF($BI27=1,37,IF($BL27=1,37-INDEX($BD$4:$BD$13,10),INDEX($BD$4:$BD$13,$BH27)))&amp;" lot(s)",""))</f>
        <v>NATIONAL ENTERPRISES</v>
      </c>
      <c r="D28" s="77" t="str">
        <f t="array" ref="D28">IF($BJ27&gt;0,IF(INDEX('Final Calculation Sheet'!$B$4:$B$40,$BJ27-3)="","",INDEX('Final Calculation Sheet'!$B$4:$B$40,$BJ27-3)),IF(OR($BI27=1,$BL27=1,$BH27&gt;0),IF($BI27=1,"GRAND TOTAL  —  matching + remaining",IF($BL27=1,"TOTAL MATCHED  —  every group together",IF($BH27=10,"REMAINING  —  did not match the search",IF($BH27=9,IF(COUNTIF($A$4:$AI$4,"&lt;&gt;")&gt;0,"FILTERED LOTS  —  column fields","ALL LOTS  —  nothing typed in the box"),"GROUP "&amp;$BH27&amp;" TOTAL  —  lots matching  "&amp;INDEX($AR$6:$AY$6,$BH27))))),""))</f>
        <v>Scrap of 132 KV CT</v>
      </c>
      <c r="E28" s="77" t="str">
        <f t="array" ref="E28">IF($BJ27&gt;0,IF(INDEX('Final Calculation Sheet'!$D$4:$D$40,$BJ27-3)="","",INDEX('Final Calculation Sheet'!$D$4:$D$40,$BJ27-3)),IF(OR($BI27=1,$BL27=1,$BH27&gt;0),"–",""))</f>
        <v>21978</v>
      </c>
      <c r="F28" s="77" t="str">
        <f t="array" ref="F28">IF($BJ27&gt;0,IF(INDEX('Final Calculation Sheet'!$A$4:$A$40,$BJ27-3)="","",INDEX('Final Calculation Sheet'!$A$4:$A$40,$BJ27-3)),IF(OR($BI27=1,$BL27=1,$BH27&gt;0),IF($BI27=1,SUM('Final Calculation Sheet'!$A$4:$A$40),IF($BL27=1,SUM('Final Calculation Sheet'!$A$4:$A$40)-SUMIFS('Final Calculation Sheet'!$A$4:$A$40,$AZ$5:$AZ$41,10),SUMIFS('Final Calculation Sheet'!$A$4:$A$40,$AZ$5:$AZ$41,$BH27))),""))</f>
        <v>1</v>
      </c>
      <c r="G28" s="77" t="str">
        <f t="array" ref="G28">IF($BJ27&gt;0,IF(INDEX('Final Calculation Sheet'!$E$4:$E$40,$BJ27-3)="","",INDEX('Final Calculation Sheet'!$E$4:$E$40,$BJ27-3)),IF(OR($BI27=1,$BL27=1,$BH27&gt;0),"–",""))</f>
        <v>NO</v>
      </c>
      <c r="H28" s="78" t="str">
        <f t="array" ref="H28">IF($BJ27&gt;0,IF(INDEX('Final Calculation Sheet'!$C$4:$C$40,$BJ27-3)="","",INDEX('Final Calculation Sheet'!$C$4:$C$40,$BJ27-3)),IF(OR($BI27=1,$BL27=1,$BH27&gt;0),"–",""))</f>
        <v>50,003</v>
      </c>
      <c r="I28" s="78" t="str">
        <f t="array" ref="I28">IF($BJ27&gt;0,IF(INDEX('Final Calculation Sheet'!$H$4:$H$40,$BJ27-3)="","",INDEX('Final Calculation Sheet'!$H$4:$H$40,$BJ27-3)),IF(OR($BI27=1,$BL27=1,$BH27&gt;0),IF($BI27=1,SUM('Final Calculation Sheet'!$H$4:$H$40),IF($BL27=1,SUM('Final Calculation Sheet'!$H$4:$H$40)-SUMIFS('Final Calculation Sheet'!$H$4:$H$40,$AZ$5:$AZ$41,10),SUMIFS('Final Calculation Sheet'!$H$4:$H$40,$AZ$5:$AZ$41,$BH27))),""))</f>
        <v>50,003</v>
      </c>
      <c r="J28" s="78" t="str">
        <f t="array" ref="J28">IF($BJ27&gt;0,IF(INDEX('Final Calculation Sheet'!$I$4:$I$40,$BJ27-3)="","",INDEX('Final Calculation Sheet'!$I$4:$I$40,$BJ27-3)),IF(OR($BI27=1,$BL27=1,$BH27&gt;0),IF($BI27=1,SUM('Final Calculation Sheet'!$I$4:$I$40),IF($BL27=1,SUM('Final Calculation Sheet'!$I$4:$I$40)-SUMIFS('Final Calculation Sheet'!$I$4:$I$40,$AZ$5:$AZ$41,10),SUMIFS('Final Calculation Sheet'!$I$4:$I$40,$AZ$5:$AZ$41,$BH27))),""))</f>
        <v>9,001</v>
      </c>
      <c r="K28" s="78" t="str">
        <f t="array" ref="K28">IF($BJ27&gt;0,IF(INDEX('Final Calculation Sheet'!$J$4:$J$40,$BJ27-3)="","",INDEX('Final Calculation Sheet'!$J$4:$J$40,$BJ27-3)),IF(OR($BI27=1,$BL27=1,$BH27&gt;0),IF($BI27=1,SUM('Final Calculation Sheet'!$J$4:$J$40),IF($BL27=1,SUM('Final Calculation Sheet'!$J$4:$J$40)-SUMIFS('Final Calculation Sheet'!$J$4:$J$40,$AZ$5:$AZ$41,10),SUMIFS('Final Calculation Sheet'!$J$4:$J$40,$AZ$5:$AZ$41,$BH27))),""))</f>
        <v>59,004</v>
      </c>
      <c r="L28" s="78" t="str">
        <f t="array" ref="L28">IF($BJ27&gt;0,IF(INDEX('Final Calculation Sheet'!$K$4:$K$40,$BJ27-3)="","",INDEX('Final Calculation Sheet'!$K$4:$K$40,$BJ27-3)),IF(OR($BI27=1,$BL27=1,$BH27&gt;0),IF($BI27=1,SUM('Final Calculation Sheet'!$K$4:$K$40),IF($BL27=1,SUM('Final Calculation Sheet'!$K$4:$K$40)-SUMIFS('Final Calculation Sheet'!$K$4:$K$40,$AZ$5:$AZ$41,10),SUMIFS('Final Calculation Sheet'!$K$4:$K$40,$AZ$5:$AZ$41,$BH27))),""))</f>
        <v>1,180</v>
      </c>
      <c r="M28" s="78" t="str">
        <f t="array" ref="M28">IF($BJ27&gt;0,IF(INDEX('Final Calculation Sheet'!$L$4:$L$40,$BJ27-3)="","",INDEX('Final Calculation Sheet'!$L$4:$L$40,$BJ27-3)),IF(OR($BI27=1,$BL27=1,$BH27&gt;0),IF($BI27=1,SUM('Final Calculation Sheet'!$L$4:$L$40),IF($BL27=1,SUM('Final Calculation Sheet'!$L$4:$L$40)-SUMIFS('Final Calculation Sheet'!$L$4:$L$40,$AZ$5:$AZ$41,10),SUMIFS('Final Calculation Sheet'!$L$4:$L$40,$AZ$5:$AZ$41,$BH27))),""))</f>
        <v>50</v>
      </c>
      <c r="N28" s="78" t="str">
        <f t="array" ref="N28">IF($BJ27&gt;0,IF(INDEX('Final Calculation Sheet'!$M$4:$M$40,$BJ27-3)="","",INDEX('Final Calculation Sheet'!$M$4:$M$40,$BJ27-3)),IF(OR($BI27=1,$BL27=1,$BH27&gt;0),IF($BI27=1,SUM('Final Calculation Sheet'!$M$4:$M$40),IF($BL27=1,SUM('Final Calculation Sheet'!$M$4:$M$40)-SUMIFS('Final Calculation Sheet'!$M$4:$M$40,$AZ$5:$AZ$41,10),SUMIFS('Final Calculation Sheet'!$M$4:$M$40,$AZ$5:$AZ$41,$BH27))),""))</f>
        <v>1,328</v>
      </c>
      <c r="O28" s="79" t="str">
        <f t="array" ref="O28">IF($BJ27&gt;0,IF(INDEX('Final Calculation Sheet'!$N$4:$N$40,$BJ27-3)="","",INDEX('Final Calculation Sheet'!$N$4:$N$40,$BJ27-3)),IF(OR($BI27=1,$BL27=1,$BH27&gt;0),IF($BI27=1,SUM('Final Calculation Sheet'!$N$4:$N$40),IF($BL27=1,SUM('Final Calculation Sheet'!$N$4:$N$40)-SUMIFS('Final Calculation Sheet'!$N$4:$N$40,$AZ$5:$AZ$41,10),SUMIFS('Final Calculation Sheet'!$N$4:$N$40,$AZ$5:$AZ$41,$BH27))),""))</f>
        <v>23</v>
      </c>
      <c r="P28" s="78" t="str">
        <f t="array" ref="P28">IF($BJ27&gt;0,IF(INDEX('Final Calculation Sheet'!$O$4:$O$40,$BJ27-3)="","",INDEX('Final Calculation Sheet'!$O$4:$O$40,$BJ27-3)),IF(OR($BI27=1,$BL27=1,$BH27&gt;0),IF($BI27=1,SUM('Final Calculation Sheet'!$O$4:$O$40),IF($BL27=1,SUM('Final Calculation Sheet'!$O$4:$O$40)-SUMIFS('Final Calculation Sheet'!$O$4:$O$40,$AZ$5:$AZ$41,10),SUMIFS('Final Calculation Sheet'!$O$4:$O$40,$AZ$5:$AZ$41,$BH27))),""))</f>
        <v>1,305</v>
      </c>
      <c r="Q28" s="78" t="str">
        <f t="array" ref="Q28">IF($BJ27&gt;0,IF(INDEX('Final Calculation Sheet'!$P$4:$P$40,$BJ27-3)="","",INDEX('Final Calculation Sheet'!$P$4:$P$40,$BJ27-3)),IF(OR($BI27=1,$BL27=1,$BH27&gt;0),IF($BI27=1,SUM('Final Calculation Sheet'!$P$4:$P$40),IF($BL27=1,SUM('Final Calculation Sheet'!$P$4:$P$40)-SUMIFS('Final Calculation Sheet'!$P$4:$P$40,$AZ$5:$AZ$41,10),SUMIFS('Final Calculation Sheet'!$P$4:$P$40,$AZ$5:$AZ$41,$BH27))),""))</f>
        <v>1,355</v>
      </c>
      <c r="R28" s="80" t="str">
        <f t="array" ref="R28">IF($BJ27&gt;0,IF(INDEX('Final Calculation Sheet'!$Q$4:$Q$40,$BJ27-3)="","",INDEX('Final Calculation Sheet'!$Q$4:$Q$40,$BJ27-3)),IF(OR($BI27=1,$BL27=1,$BH27&gt;0),"–",""))</f>
        <v>0%</v>
      </c>
      <c r="S28" s="78" t="str">
        <f t="array" ref="S28">IF($BJ27&gt;0,IF(INDEX('Final Calculation Sheet'!$R$4:$R$40,$BJ27-3)="","",INDEX('Final Calculation Sheet'!$R$4:$R$40,$BJ27-3)),IF(OR($BI27=1,$BL27=1,$BH27&gt;0),IF($BI27=1,SUM('Final Calculation Sheet'!$R$4:$R$40),IF($BL27=1,SUM('Final Calculation Sheet'!$R$4:$R$40)-SUMIFS('Final Calculation Sheet'!$R$4:$R$40,$AZ$5:$AZ$41,10),SUMIFS('Final Calculation Sheet'!$R$4:$R$40,$AZ$5:$AZ$41,$BH27))),""))</f>
        <v>0</v>
      </c>
      <c r="T28" s="78" t="str">
        <f t="array" ref="T28">IF($BJ27&gt;0,IF(INDEX('Final Calculation Sheet'!$S$4:$S$40,$BJ27-3)="","",INDEX('Final Calculation Sheet'!$S$4:$S$40,$BJ27-3)),IF(OR($BI27=1,$BL27=1,$BH27&gt;0),IF($BI27=1,SUM('Final Calculation Sheet'!$S$4:$S$40),IF($BL27=1,SUM('Final Calculation Sheet'!$S$4:$S$40)-SUMIFS('Final Calculation Sheet'!$S$4:$S$40,$AZ$5:$AZ$41,10),SUMIFS('Final Calculation Sheet'!$S$4:$S$40,$AZ$5:$AZ$41,$BH27))),""))</f>
        <v>58,829</v>
      </c>
      <c r="U28" s="78" t="str">
        <f t="array" ref="U28">IF($BJ27&gt;0,IF(INDEX('Final Calculation Sheet'!$T$4:$T$40,$BJ27-3)="","",INDEX('Final Calculation Sheet'!$T$4:$T$40,$BJ27-3)),IF(OR($BI27=1,$BL27=1,$BH27&gt;0),IF($BI27=1,SUM('Final Calculation Sheet'!$T$4:$T$40),IF($BL27=1,SUM('Final Calculation Sheet'!$T$4:$T$40)-SUMIFS('Final Calculation Sheet'!$T$4:$T$40,$AZ$5:$AZ$41,10),SUMIFS('Final Calculation Sheet'!$T$4:$T$40,$AZ$5:$AZ$41,$BH27))),""))</f>
        <v>12,501</v>
      </c>
      <c r="V28" s="81" t="str">
        <f t="array" ref="V28">IF($BJ27&gt;0,IF(INDEX('Final Calculation Sheet'!$U$4:$U$40,$BJ27-3)="","",INDEX('Final Calculation Sheet'!$U$4:$U$40,$BJ27-3)),IF(OR($BI27=1,$BL27=1,$BH27&gt;0),IF($BI27=1,SUM('Final Calculation Sheet'!$U$4:$U$40),IF($BL27=1,SUM('Final Calculation Sheet'!$U$4:$U$40)-SUMIFS('Final Calculation Sheet'!$U$4:$U$40,$AZ$5:$AZ$41,10),SUMIFS('Final Calculation Sheet'!$U$4:$U$40,$AZ$5:$AZ$41,$BH27))),""))</f>
        <v>  12,501 </v>
      </c>
      <c r="W28" s="78" t="str">
        <f t="array" ref="W28">IF($BJ27&gt;0,IF(INDEX('Final Calculation Sheet'!$V$4:$V$40,$BJ27-3)="","",INDEX('Final Calculation Sheet'!$V$4:$V$40,$BJ27-3)),IF(OR($BI27=1,$BL27=1,$BH27&gt;0),"–",""))</f>
        <v>13.08.2026</v>
      </c>
      <c r="X28" s="78" t="str">
        <f t="array" ref="X28">IF($BJ27&gt;0,IF(INDEX('Final Calculation Sheet'!$W$4:$W$40,$BJ27-3)="","",INDEX('Final Calculation Sheet'!$W$4:$W$40,$BJ27-3)),IF(OR($BI27=1,$BL27=1,$BH27&gt;0),IF($BI27=1,SUM('Final Calculation Sheet'!$W$4:$W$40),IF($BL27=1,SUM('Final Calculation Sheet'!$W$4:$W$40)-SUMIFS('Final Calculation Sheet'!$W$4:$W$40,$AZ$5:$AZ$41,10),SUMIFS('Final Calculation Sheet'!$W$4:$W$40,$AZ$5:$AZ$41,$BH27))),""))</f>
        <v>46,328</v>
      </c>
      <c r="Y28" s="78" t="str">
        <f t="array" ref="Y28">IF($BJ27&gt;0,IF(INDEX('Final Calculation Sheet'!$X$4:$X$40,$BJ27-3)="","",INDEX('Final Calculation Sheet'!$X$4:$X$40,$BJ27-3)),IF(OR($BI27=1,$BL27=1,$BH27&gt;0),IF($BI27=1,SUM('Final Calculation Sheet'!$X$4:$X$40),IF($BL27=1,SUM('Final Calculation Sheet'!$X$4:$X$40)-SUMIFS('Final Calculation Sheet'!$X$4:$X$40,$AZ$5:$AZ$41,10),SUMIFS('Final Calculation Sheet'!$X$4:$X$40,$AZ$5:$AZ$41,$BH27))),""))</f>
        <v>46,328</v>
      </c>
      <c r="Z28" s="78" t="str">
        <f t="array" ref="Z28">IF($BJ27&gt;0,IF(INDEX('Final Calculation Sheet'!$Y$4:$Y$40,$BJ27-3)="","",INDEX('Final Calculation Sheet'!$Y$4:$Y$40,$BJ27-3)),IF(OR($BI27=1,$BL27=1,$BH27&gt;0),"–",""))</f>
        <v>24.08.2026</v>
      </c>
      <c r="AA28" s="78" t="str">
        <f t="array" ref="AA28">IF($BJ27&gt;0,IF(INDEX('Final Calculation Sheet'!$Z$4:$Z$40,$BJ27-3)="","",INDEX('Final Calculation Sheet'!$Z$4:$Z$40,$BJ27-3)),IF(OR($BI27=1,$BL27=1,$BH27&gt;0),IF($BI27=1,SUM('Final Calculation Sheet'!$Z$4:$Z$40),IF($BL27=1,SUM('Final Calculation Sheet'!$Z$4:$Z$40)-SUMIFS('Final Calculation Sheet'!$Z$4:$Z$40,$AZ$5:$AZ$41,10),SUMIFS('Final Calculation Sheet'!$Z$4:$Z$40,$AZ$5:$AZ$41,$BH27))),""))</f>
        <v>0</v>
      </c>
      <c r="AB28" s="78" t="str">
        <f t="array" ref="AB28">IF($BJ27&gt;0,IF(INDEX('Final Calculation Sheet'!$AA$4:$AA$40,$BJ27-3)="","",INDEX('Final Calculation Sheet'!$AA$4:$AA$40,$BJ27-3)),IF(OR($BI27=1,$BL27=1,$BH27&gt;0),IF($BI27=1,SUM('Final Calculation Sheet'!$AA$4:$AA$40),IF($BL27=1,SUM('Final Calculation Sheet'!$AA$4:$AA$40)-SUMIFS('Final Calculation Sheet'!$AA$4:$AA$40,$AZ$5:$AZ$41,10),SUMIFS('Final Calculation Sheet'!$AA$4:$AA$40,$AZ$5:$AZ$41,$BH27))),""))</f>
        <v/>
      </c>
      <c r="AC28" s="78" t="str">
        <f t="array" ref="AC28">IF($BJ27&gt;0,IF(INDEX('Final Calculation Sheet'!$AB$4:$AB$40,$BJ27-3)="","",INDEX('Final Calculation Sheet'!$AB$4:$AB$40,$BJ27-3)),IF(OR($BI27=1,$BL27=1,$BH27&gt;0),"–",""))</f>
        <v/>
      </c>
      <c r="AD28" s="78" t="str">
        <f t="array" ref="AD28">IF($BJ27&gt;0,IF(INDEX('Final Calculation Sheet'!$AC$4:$AC$40,$BJ27-3)="","",INDEX('Final Calculation Sheet'!$AC$4:$AC$40,$BJ27-3)),IF(OR($BI27=1,$BL27=1,$BH27&gt;0),IF($BI27=1,SUM('Final Calculation Sheet'!$AC$4:$AC$40),IF($BL27=1,SUM('Final Calculation Sheet'!$AC$4:$AC$40)-SUMIFS('Final Calculation Sheet'!$AC$4:$AC$40,$AZ$5:$AZ$41,10),SUMIFS('Final Calculation Sheet'!$AC$4:$AC$40,$AZ$5:$AZ$41,$BH27))),""))</f>
        <v>58,829</v>
      </c>
      <c r="AE28" s="78" t="str">
        <f t="array" ref="AE28">IF($BJ27&gt;0,IF(INDEX('Final Calculation Sheet'!$AD$4:$AD$40,$BJ27-3)="","",INDEX('Final Calculation Sheet'!$AD$4:$AD$40,$BJ27-3)),IF(OR($BI27=1,$BL27=1,$BH27&gt;0),IF($BI27=1,SUM('Final Calculation Sheet'!$AD$4:$AD$40),IF($BL27=1,SUM('Final Calculation Sheet'!$AD$4:$AD$40)-SUMIFS('Final Calculation Sheet'!$AD$4:$AD$40,$AZ$5:$AZ$41,10),SUMIFS('Final Calculation Sheet'!$AD$4:$AD$40,$AZ$5:$AZ$41,$BH27))),""))</f>
        <v>0</v>
      </c>
      <c r="AF28" s="78" t="str">
        <f t="array" ref="AF28">IF($BJ27&gt;0,IF(INDEX('Final Calculation Sheet'!$AE$4:$AE$40,$BJ27-3)="","",INDEX('Final Calculation Sheet'!$AE$4:$AE$40,$BJ27-3)),IF(OR($BI27=1,$BL27=1,$BH27&gt;0),"–",""))</f>
        <v>DR2640100036</v>
      </c>
      <c r="AG28" s="82" t="str">
        <f t="array" ref="AG28">IF($BJ27&gt;0,IF(INDEX('Final Calculation Sheet'!$AF$4:$AF$40,$BJ27-3)="","",INDEX('Final Calculation Sheet'!$AF$4:$AF$40,$BJ27-3)),IF(OR($BI27=1,$BL27=1,$BH27&gt;0),"–",""))</f>
        <v>1800003309</v>
      </c>
      <c r="AH28" s="78" t="str">
        <f t="array" ref="AH28">IF($BJ27&gt;0,IF(INDEX('Final Calculation Sheet'!$AG$4:$AG$40,$BJ27-3)="","",INDEX('Final Calculation Sheet'!$AG$4:$AG$40,$BJ27-3)),IF(OR($BI27=1,$BL27=1,$BH27&gt;0),"–",""))</f>
        <v>27.08.2026</v>
      </c>
      <c r="AI28" s="83" t="str">
        <f t="array" ref="AI28">IF($BJ27&gt;0,IF(INDEX('Final Calculation Sheet'!$AD$4:$AD$40,$BJ27-3)="","",IF(INDEX('Final Calculation Sheet'!$AD$4:$AD$40,$BJ27-3)&lt;=0,"SETTLED","OUTSTANDING")),IF(OR($BI27=1,$BL27=1,$BH27&gt;0),IF(IF($BI27=1,SUM('Final Calculation Sheet'!$AD$4:$AD$40),IF($BL27=1,SUM('Final Calculation Sheet'!$AD$4:$AD$40)-SUMIFS('Final Calculation Sheet'!$AD$4:$AD$40,$AZ$5:$AZ$41,10),SUMIFS('Final Calculation Sheet'!$AD$4:$AD$40,$AZ$5:$AZ$41,$BH27)))&lt;=0,"ALL SETTLED","OUTSTANDING"),""))</f>
        <v>SETTLED</v>
      </c>
      <c r="AK28" t="str">
        <f>IF($F$3="Lot No.",'Final Calculation Sheet'!$F$27,IF($F$3="Buyer",'Final Calculation Sheet'!$G$27,IF($F$3="Lot Name",'Final Calculation Sheet'!$B$27,IF($F$3="Bid Sheet",'Final Calculation Sheet'!$D$27,IF($F$3="Unit",'Final Calculation Sheet'!$E$27,'Final Calculation Sheet'!$F$27&amp;" "&amp;'Final Calculation Sheet'!$G$27&amp;" "&amp;'Final Calculation Sheet'!$B$27)))))</f>
        <v>2036 M I SCRAP TRADERS Mix Scrap (Tower angles &amp; 0.2 ACSR Condutor pieces)</v>
      </c>
      <c r="AM28" t="str">
        <f t="shared" si="3"/>
        <v>0</v>
      </c>
      <c r="AZ28" t="str">
        <f t="shared" si="4"/>
        <v>10</v>
      </c>
      <c r="BA28" t="str">
        <f t="shared" si="5"/>
        <v>23</v>
      </c>
      <c r="BB28" t="str">
        <f t="shared" si="6"/>
        <v>30</v>
      </c>
      <c r="BC28">
        <v>27.0</v>
      </c>
      <c r="BH28" t="str">
        <f>IFERROR(MATCH(28,$BF$4:$BF$13,0),0)</f>
        <v>0</v>
      </c>
      <c r="BI28" t="str">
        <f>IF(28=$BG$5,1,0)</f>
        <v>0</v>
      </c>
      <c r="BJ28" t="str">
        <f t="array" ref="BJ28">IF(OR($BH28&gt;0,$BI28=1,$BL28=1),0,IFERROR(INDEX($BC$5:$BC$41,MATCH(28,$BB$5:$BB$41,0)),0))</f>
        <v>25</v>
      </c>
      <c r="BK28" t="str">
        <f t="array" ref="BK28">IF($BJ28&gt;0,IF(INDEX($AZ$5:$AZ$41,MATCH(28,$BB$5:$BB$41,0))=10,1,0),IF($BH28=10,1,0))</f>
        <v>1</v>
      </c>
      <c r="BL28" t="str">
        <f>IF(28=$BG$4,1,0)</f>
        <v>0</v>
      </c>
      <c r="BM28" t="str">
        <f t="shared" si="8"/>
        <v>1</v>
      </c>
      <c r="BN28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Sheet'!$F$27)&amp;"",""))))&gt;0))</f>
        <v>1</v>
      </c>
      <c r="BO28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Sheet'!$G$27)&amp;"",""))))&gt;0))</f>
        <v>1</v>
      </c>
      <c r="BP28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Sheet'!$B$27)&amp;"",""))))&gt;0))</f>
        <v>1</v>
      </c>
      <c r="BQ28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Sheet'!$D$27)&amp;"",""))))&gt;0))</f>
        <v>1</v>
      </c>
      <c r="BR28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Sheet'!$A$27)&amp;"",""))))&gt;0))</f>
        <v>1</v>
      </c>
      <c r="BS28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Sheet'!$E$27)&amp;"",""))))&gt;0))</f>
        <v>1</v>
      </c>
      <c r="BT28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Sheet'!$C$27)&amp;"",""))))&gt;0))</f>
        <v>1</v>
      </c>
      <c r="BU28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Sheet'!$H$27)&amp;"",""))))&gt;0))</f>
        <v>1</v>
      </c>
      <c r="BV28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Sheet'!$I$27)&amp;"",""))))&gt;0))</f>
        <v>1</v>
      </c>
      <c r="BW28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Sheet'!$J$27)&amp;"",""))))&gt;0))</f>
        <v>1</v>
      </c>
      <c r="BX28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Sheet'!$K$27)&amp;"",""))))&gt;0))</f>
        <v>1</v>
      </c>
      <c r="BY28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Sheet'!$L$27)&amp;"",""))))&gt;0))</f>
        <v>1</v>
      </c>
      <c r="BZ28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Sheet'!$M$27)&amp;"",""))))&gt;0))</f>
        <v>1</v>
      </c>
      <c r="CA28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Sheet'!$N$27)&amp;"",""))))&gt;0))</f>
        <v>1</v>
      </c>
      <c r="CB28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Sheet'!$O$27)&amp;"",""))))&gt;0))</f>
        <v>1</v>
      </c>
      <c r="CC28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Sheet'!$P$27)&amp;"",""))))&gt;0))</f>
        <v>1</v>
      </c>
      <c r="CD28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Sheet'!$Q$27)&amp;"",""))))&gt;0))</f>
        <v>1</v>
      </c>
      <c r="CE28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Sheet'!$R$27)&amp;"",""))))&gt;0))</f>
        <v>1</v>
      </c>
      <c r="CF28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Sheet'!$S$27)&amp;"",""))))&gt;0))</f>
        <v>1</v>
      </c>
      <c r="CG28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Sheet'!$T$27)&amp;"",""))))&gt;0))</f>
        <v>1</v>
      </c>
      <c r="CH28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Sheet'!$U$27)&amp;"",""))))&gt;0))</f>
        <v>1</v>
      </c>
      <c r="CI28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Sheet'!$V$27)&amp;"",""))))&gt;0))</f>
        <v>1</v>
      </c>
      <c r="CJ28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Sheet'!$W$27)&amp;"",""))))&gt;0))</f>
        <v>1</v>
      </c>
      <c r="CK28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Sheet'!$X$27)&amp;"",""))))&gt;0))</f>
        <v>1</v>
      </c>
      <c r="CL28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Sheet'!$Y$27)&amp;"",""))))&gt;0))</f>
        <v>1</v>
      </c>
      <c r="CM28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Sheet'!$Z$27)&amp;"",""))))&gt;0))</f>
        <v>1</v>
      </c>
      <c r="CN28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Sheet'!$AA$27)&amp;"",""))))&gt;0))</f>
        <v>1</v>
      </c>
      <c r="CO28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Sheet'!$AB$27)&amp;"",""))))&gt;0))</f>
        <v>1</v>
      </c>
      <c r="CP28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Sheet'!$AC$27)&amp;"",""))))&gt;0))</f>
        <v>1</v>
      </c>
      <c r="CQ28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Sheet'!$AD$27)&amp;"",""))))&gt;0))</f>
        <v>1</v>
      </c>
      <c r="CR28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Sheet'!$AE$27)&amp;"",""))))&gt;0))</f>
        <v>1</v>
      </c>
      <c r="CS28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Sheet'!$AF$27)&amp;"",""))))&gt;0))</f>
        <v>1</v>
      </c>
      <c r="CT28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Sheet'!$AG$27)&amp;"",""))))&gt;0))</f>
        <v>1</v>
      </c>
      <c r="CU28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Sheet'!$AD$27&lt;=0,"SETTLED","OUTSTANDING"))&amp;"",""))))&gt;0))</f>
        <v>1</v>
      </c>
    </row>
    <row r="29" ht="15.0" customHeight="1">
      <c r="A29" s="75" t="str">
        <f t="array" ref="A29">IF($BJ28&gt;0,INDEX($BA$5:$BA$41,MATCH(28,$BB$5:$BB$41,0)),IF(OR($BI28=1,$BL28=1,$BH28&gt;0),"∑",""))</f>
        <v>21</v>
      </c>
      <c r="B29" s="76" t="str">
        <f t="array" ref="B29">IF($BJ28&gt;0,IF(INDEX('Final Calculation Sheet'!$F$4:$F$40,$BJ28-3)="","",INDEX('Final Calculation Sheet'!$F$4:$F$40,$BJ28-3)),"")</f>
        <v>2033</v>
      </c>
      <c r="C29" s="76" t="str">
        <f t="array" ref="C29">IF($BJ28&gt;0,IF(INDEX('Final Calculation Sheet'!$G$4:$G$40,$BJ28-3)="","",INDEX('Final Calculation Sheet'!$G$4:$G$40,$BJ28-3)),IF(OR($BI28=1,$BL28=1,$BH28&gt;0),IF($BI28=1,37,IF($BL28=1,37-INDEX($BD$4:$BD$13,10),INDEX($BD$4:$BD$13,$BH28)))&amp;" lot(s)",""))</f>
        <v>WATAN SCRAP TRADERS</v>
      </c>
      <c r="D29" s="77" t="str">
        <f t="array" ref="D29">IF($BJ28&gt;0,IF(INDEX('Final Calculation Sheet'!$B$4:$B$40,$BJ28-3)="","",INDEX('Final Calculation Sheet'!$B$4:$B$40,$BJ28-3)),IF(OR($BI28=1,$BL28=1,$BH28&gt;0),IF($BI28=1,"GRAND TOTAL  —  matching + remaining",IF($BL28=1,"TOTAL MATCHED  —  every group together",IF($BH28=10,"REMAINING  —  did not match the search",IF($BH28=9,IF(COUNTIF($A$4:$AI$4,"&lt;&gt;")&gt;0,"FILTERED LOTS  —  column fields","ALL LOTS  —  nothing typed in the box"),"GROUP "&amp;$BH28&amp;" TOTAL  —  lots matching  "&amp;INDEX($AR$6:$AY$6,$BH28))))),""))</f>
        <v>Scrap Empty Oil Drum/ Barrel</v>
      </c>
      <c r="E29" s="77" t="str">
        <f t="array" ref="E29">IF($BJ28&gt;0,IF(INDEX('Final Calculation Sheet'!$D$4:$D$40,$BJ28-3)="","",INDEX('Final Calculation Sheet'!$D$4:$D$40,$BJ28-3)),IF(OR($BI28=1,$BL28=1,$BH28&gt;0),"–",""))</f>
        <v>21978</v>
      </c>
      <c r="F29" s="77" t="str">
        <f t="array" ref="F29">IF($BJ28&gt;0,IF(INDEX('Final Calculation Sheet'!$A$4:$A$40,$BJ28-3)="","",INDEX('Final Calculation Sheet'!$A$4:$A$40,$BJ28-3)),IF(OR($BI28=1,$BL28=1,$BH28&gt;0),IF($BI28=1,SUM('Final Calculation Sheet'!$A$4:$A$40),IF($BL28=1,SUM('Final Calculation Sheet'!$A$4:$A$40)-SUMIFS('Final Calculation Sheet'!$A$4:$A$40,$AZ$5:$AZ$41,10),SUMIFS('Final Calculation Sheet'!$A$4:$A$40,$AZ$5:$AZ$41,$BH28))),""))</f>
        <v>1000</v>
      </c>
      <c r="G29" s="77" t="str">
        <f t="array" ref="G29">IF($BJ28&gt;0,IF(INDEX('Final Calculation Sheet'!$E$4:$E$40,$BJ28-3)="","",INDEX('Final Calculation Sheet'!$E$4:$E$40,$BJ28-3)),IF(OR($BI28=1,$BL28=1,$BH28&gt;0),"–",""))</f>
        <v>NO</v>
      </c>
      <c r="H29" s="78" t="str">
        <f t="array" ref="H29">IF($BJ28&gt;0,IF(INDEX('Final Calculation Sheet'!$C$4:$C$40,$BJ28-3)="","",INDEX('Final Calculation Sheet'!$C$4:$C$40,$BJ28-3)),IF(OR($BI28=1,$BL28=1,$BH28&gt;0),"–",""))</f>
        <v>517</v>
      </c>
      <c r="I29" s="78" t="str">
        <f t="array" ref="I29">IF($BJ28&gt;0,IF(INDEX('Final Calculation Sheet'!$H$4:$H$40,$BJ28-3)="","",INDEX('Final Calculation Sheet'!$H$4:$H$40,$BJ28-3)),IF(OR($BI28=1,$BL28=1,$BH28&gt;0),IF($BI28=1,SUM('Final Calculation Sheet'!$H$4:$H$40),IF($BL28=1,SUM('Final Calculation Sheet'!$H$4:$H$40)-SUMIFS('Final Calculation Sheet'!$H$4:$H$40,$AZ$5:$AZ$41,10),SUMIFS('Final Calculation Sheet'!$H$4:$H$40,$AZ$5:$AZ$41,$BH28))),""))</f>
        <v>517,000</v>
      </c>
      <c r="J29" s="78" t="str">
        <f t="array" ref="J29">IF($BJ28&gt;0,IF(INDEX('Final Calculation Sheet'!$I$4:$I$40,$BJ28-3)="","",INDEX('Final Calculation Sheet'!$I$4:$I$40,$BJ28-3)),IF(OR($BI28=1,$BL28=1,$BH28&gt;0),IF($BI28=1,SUM('Final Calculation Sheet'!$I$4:$I$40),IF($BL28=1,SUM('Final Calculation Sheet'!$I$4:$I$40)-SUMIFS('Final Calculation Sheet'!$I$4:$I$40,$AZ$5:$AZ$41,10),SUMIFS('Final Calculation Sheet'!$I$4:$I$40,$AZ$5:$AZ$41,$BH28))),""))</f>
        <v>93,060</v>
      </c>
      <c r="K29" s="78" t="str">
        <f t="array" ref="K29">IF($BJ28&gt;0,IF(INDEX('Final Calculation Sheet'!$J$4:$J$40,$BJ28-3)="","",INDEX('Final Calculation Sheet'!$J$4:$J$40,$BJ28-3)),IF(OR($BI28=1,$BL28=1,$BH28&gt;0),IF($BI28=1,SUM('Final Calculation Sheet'!$J$4:$J$40),IF($BL28=1,SUM('Final Calculation Sheet'!$J$4:$J$40)-SUMIFS('Final Calculation Sheet'!$J$4:$J$40,$AZ$5:$AZ$41,10),SUMIFS('Final Calculation Sheet'!$J$4:$J$40,$AZ$5:$AZ$41,$BH28))),""))</f>
        <v>610,060</v>
      </c>
      <c r="L29" s="78" t="str">
        <f t="array" ref="L29">IF($BJ28&gt;0,IF(INDEX('Final Calculation Sheet'!$K$4:$K$40,$BJ28-3)="","",INDEX('Final Calculation Sheet'!$K$4:$K$40,$BJ28-3)),IF(OR($BI28=1,$BL28=1,$BH28&gt;0),IF($BI28=1,SUM('Final Calculation Sheet'!$K$4:$K$40),IF($BL28=1,SUM('Final Calculation Sheet'!$K$4:$K$40)-SUMIFS('Final Calculation Sheet'!$K$4:$K$40,$AZ$5:$AZ$41,10),SUMIFS('Final Calculation Sheet'!$K$4:$K$40,$AZ$5:$AZ$41,$BH28))),""))</f>
        <v>12,201</v>
      </c>
      <c r="M29" s="78" t="str">
        <f t="array" ref="M29">IF($BJ28&gt;0,IF(INDEX('Final Calculation Sheet'!$L$4:$L$40,$BJ28-3)="","",INDEX('Final Calculation Sheet'!$L$4:$L$40,$BJ28-3)),IF(OR($BI28=1,$BL28=1,$BH28&gt;0),IF($BI28=1,SUM('Final Calculation Sheet'!$L$4:$L$40),IF($BL28=1,SUM('Final Calculation Sheet'!$L$4:$L$40)-SUMIFS('Final Calculation Sheet'!$L$4:$L$40,$AZ$5:$AZ$41,10),SUMIFS('Final Calculation Sheet'!$L$4:$L$40,$AZ$5:$AZ$41,$BH28))),""))</f>
        <v>517</v>
      </c>
      <c r="N29" s="78" t="str">
        <f t="array" ref="N29">IF($BJ28&gt;0,IF(INDEX('Final Calculation Sheet'!$M$4:$M$40,$BJ28-3)="","",INDEX('Final Calculation Sheet'!$M$4:$M$40,$BJ28-3)),IF(OR($BI28=1,$BL28=1,$BH28&gt;0),IF($BI28=1,SUM('Final Calculation Sheet'!$M$4:$M$40),IF($BL28=1,SUM('Final Calculation Sheet'!$M$4:$M$40)-SUMIFS('Final Calculation Sheet'!$M$4:$M$40,$AZ$5:$AZ$41,10),SUMIFS('Final Calculation Sheet'!$M$4:$M$40,$AZ$5:$AZ$41,$BH28))),""))</f>
        <v>13,726</v>
      </c>
      <c r="O29" s="79" t="str">
        <f t="array" ref="O29">IF($BJ28&gt;0,IF(INDEX('Final Calculation Sheet'!$N$4:$N$40,$BJ28-3)="","",INDEX('Final Calculation Sheet'!$N$4:$N$40,$BJ28-3)),IF(OR($BI28=1,$BL28=1,$BH28&gt;0),IF($BI28=1,SUM('Final Calculation Sheet'!$N$4:$N$40),IF($BL28=1,SUM('Final Calculation Sheet'!$N$4:$N$40)-SUMIFS('Final Calculation Sheet'!$N$4:$N$40,$AZ$5:$AZ$41,10),SUMIFS('Final Calculation Sheet'!$N$4:$N$40,$AZ$5:$AZ$41,$BH28))),""))</f>
        <v>233</v>
      </c>
      <c r="P29" s="78" t="str">
        <f t="array" ref="P29">IF($BJ28&gt;0,IF(INDEX('Final Calculation Sheet'!$O$4:$O$40,$BJ28-3)="","",INDEX('Final Calculation Sheet'!$O$4:$O$40,$BJ28-3)),IF(OR($BI28=1,$BL28=1,$BH28&gt;0),IF($BI28=1,SUM('Final Calculation Sheet'!$O$4:$O$40),IF($BL28=1,SUM('Final Calculation Sheet'!$O$4:$O$40)-SUMIFS('Final Calculation Sheet'!$O$4:$O$40,$AZ$5:$AZ$41,10),SUMIFS('Final Calculation Sheet'!$O$4:$O$40,$AZ$5:$AZ$41,$BH28))),""))</f>
        <v>13,494</v>
      </c>
      <c r="Q29" s="78" t="str">
        <f t="array" ref="Q29">IF($BJ28&gt;0,IF(INDEX('Final Calculation Sheet'!$P$4:$P$40,$BJ28-3)="","",INDEX('Final Calculation Sheet'!$P$4:$P$40,$BJ28-3)),IF(OR($BI28=1,$BL28=1,$BH28&gt;0),IF($BI28=1,SUM('Final Calculation Sheet'!$P$4:$P$40),IF($BL28=1,SUM('Final Calculation Sheet'!$P$4:$P$40)-SUMIFS('Final Calculation Sheet'!$P$4:$P$40,$AZ$5:$AZ$41,10),SUMIFS('Final Calculation Sheet'!$P$4:$P$40,$AZ$5:$AZ$41,$BH28))),""))</f>
        <v>14,011</v>
      </c>
      <c r="R29" s="80" t="str">
        <f t="array" ref="R29">IF($BJ28&gt;0,IF(INDEX('Final Calculation Sheet'!$Q$4:$Q$40,$BJ28-3)="","",INDEX('Final Calculation Sheet'!$Q$4:$Q$40,$BJ28-3)),IF(OR($BI28=1,$BL28=1,$BH28&gt;0),"–",""))</f>
        <v>0%</v>
      </c>
      <c r="S29" s="78" t="str">
        <f t="array" ref="S29">IF($BJ28&gt;0,IF(INDEX('Final Calculation Sheet'!$R$4:$R$40,$BJ28-3)="","",INDEX('Final Calculation Sheet'!$R$4:$R$40,$BJ28-3)),IF(OR($BI28=1,$BL28=1,$BH28&gt;0),IF($BI28=1,SUM('Final Calculation Sheet'!$R$4:$R$40),IF($BL28=1,SUM('Final Calculation Sheet'!$R$4:$R$40)-SUMIFS('Final Calculation Sheet'!$R$4:$R$40,$AZ$5:$AZ$41,10),SUMIFS('Final Calculation Sheet'!$R$4:$R$40,$AZ$5:$AZ$41,$BH28))),""))</f>
        <v>0</v>
      </c>
      <c r="T29" s="78" t="str">
        <f t="array" ref="T29">IF($BJ28&gt;0,IF(INDEX('Final Calculation Sheet'!$S$4:$S$40,$BJ28-3)="","",INDEX('Final Calculation Sheet'!$S$4:$S$40,$BJ28-3)),IF(OR($BI28=1,$BL28=1,$BH28&gt;0),IF($BI28=1,SUM('Final Calculation Sheet'!$S$4:$S$40),IF($BL28=1,SUM('Final Calculation Sheet'!$S$4:$S$40)-SUMIFS('Final Calculation Sheet'!$S$4:$S$40,$AZ$5:$AZ$41,10),SUMIFS('Final Calculation Sheet'!$S$4:$S$40,$AZ$5:$AZ$41,$BH28))),""))</f>
        <v>608,251</v>
      </c>
      <c r="U29" s="78" t="str">
        <f t="array" ref="U29">IF($BJ28&gt;0,IF(INDEX('Final Calculation Sheet'!$T$4:$T$40,$BJ28-3)="","",INDEX('Final Calculation Sheet'!$T$4:$T$40,$BJ28-3)),IF(OR($BI28=1,$BL28=1,$BH28&gt;0),IF($BI28=1,SUM('Final Calculation Sheet'!$T$4:$T$40),IF($BL28=1,SUM('Final Calculation Sheet'!$T$4:$T$40)-SUMIFS('Final Calculation Sheet'!$T$4:$T$40,$AZ$5:$AZ$41,10),SUMIFS('Final Calculation Sheet'!$T$4:$T$40,$AZ$5:$AZ$41,$BH28))),""))</f>
        <v>129,250</v>
      </c>
      <c r="V29" s="81" t="str">
        <f t="array" ref="V29">IF($BJ28&gt;0,IF(INDEX('Final Calculation Sheet'!$U$4:$U$40,$BJ28-3)="","",INDEX('Final Calculation Sheet'!$U$4:$U$40,$BJ28-3)),IF(OR($BI28=1,$BL28=1,$BH28&gt;0),IF($BI28=1,SUM('Final Calculation Sheet'!$U$4:$U$40),IF($BL28=1,SUM('Final Calculation Sheet'!$U$4:$U$40)-SUMIFS('Final Calculation Sheet'!$U$4:$U$40,$AZ$5:$AZ$41,10),SUMIFS('Final Calculation Sheet'!$U$4:$U$40,$AZ$5:$AZ$41,$BH28))),""))</f>
        <v>  129,250 </v>
      </c>
      <c r="W29" s="78" t="str">
        <f t="array" ref="W29">IF($BJ28&gt;0,IF(INDEX('Final Calculation Sheet'!$V$4:$V$40,$BJ28-3)="","",INDEX('Final Calculation Sheet'!$V$4:$V$40,$BJ28-3)),IF(OR($BI28=1,$BL28=1,$BH28&gt;0),"–",""))</f>
        <v>14.08.2026</v>
      </c>
      <c r="X29" s="78" t="str">
        <f t="array" ref="X29">IF($BJ28&gt;0,IF(INDEX('Final Calculation Sheet'!$W$4:$W$40,$BJ28-3)="","",INDEX('Final Calculation Sheet'!$W$4:$W$40,$BJ28-3)),IF(OR($BI28=1,$BL28=1,$BH28&gt;0),IF($BI28=1,SUM('Final Calculation Sheet'!$W$4:$W$40),IF($BL28=1,SUM('Final Calculation Sheet'!$W$4:$W$40)-SUMIFS('Final Calculation Sheet'!$W$4:$W$40,$AZ$5:$AZ$41,10),SUMIFS('Final Calculation Sheet'!$W$4:$W$40,$AZ$5:$AZ$41,$BH28))),""))</f>
        <v>479,001</v>
      </c>
      <c r="Y29" s="78" t="str">
        <f t="array" ref="Y29">IF($BJ28&gt;0,IF(INDEX('Final Calculation Sheet'!$X$4:$X$40,$BJ28-3)="","",INDEX('Final Calculation Sheet'!$X$4:$X$40,$BJ28-3)),IF(OR($BI28=1,$BL28=1,$BH28&gt;0),IF($BI28=1,SUM('Final Calculation Sheet'!$X$4:$X$40),IF($BL28=1,SUM('Final Calculation Sheet'!$X$4:$X$40)-SUMIFS('Final Calculation Sheet'!$X$4:$X$40,$AZ$5:$AZ$41,10),SUMIFS('Final Calculation Sheet'!$X$4:$X$40,$AZ$5:$AZ$41,$BH28))),""))</f>
        <v>479,001</v>
      </c>
      <c r="Z29" s="78" t="str">
        <f t="array" ref="Z29">IF($BJ28&gt;0,IF(INDEX('Final Calculation Sheet'!$Y$4:$Y$40,$BJ28-3)="","",INDEX('Final Calculation Sheet'!$Y$4:$Y$40,$BJ28-3)),IF(OR($BI28=1,$BL28=1,$BH28&gt;0),"–",""))</f>
        <v>21.08.2026</v>
      </c>
      <c r="AA29" s="78" t="str">
        <f t="array" ref="AA29">IF($BJ28&gt;0,IF(INDEX('Final Calculation Sheet'!$Z$4:$Z$40,$BJ28-3)="","",INDEX('Final Calculation Sheet'!$Z$4:$Z$40,$BJ28-3)),IF(OR($BI28=1,$BL28=1,$BH28&gt;0),IF($BI28=1,SUM('Final Calculation Sheet'!$Z$4:$Z$40),IF($BL28=1,SUM('Final Calculation Sheet'!$Z$4:$Z$40)-SUMIFS('Final Calculation Sheet'!$Z$4:$Z$40,$AZ$5:$AZ$41,10),SUMIFS('Final Calculation Sheet'!$Z$4:$Z$40,$AZ$5:$AZ$41,$BH28))),""))</f>
        <v>0</v>
      </c>
      <c r="AB29" s="78" t="str">
        <f t="array" ref="AB29">IF($BJ28&gt;0,IF(INDEX('Final Calculation Sheet'!$AA$4:$AA$40,$BJ28-3)="","",INDEX('Final Calculation Sheet'!$AA$4:$AA$40,$BJ28-3)),IF(OR($BI28=1,$BL28=1,$BH28&gt;0),IF($BI28=1,SUM('Final Calculation Sheet'!$AA$4:$AA$40),IF($BL28=1,SUM('Final Calculation Sheet'!$AA$4:$AA$40)-SUMIFS('Final Calculation Sheet'!$AA$4:$AA$40,$AZ$5:$AZ$41,10),SUMIFS('Final Calculation Sheet'!$AA$4:$AA$40,$AZ$5:$AZ$41,$BH28))),""))</f>
        <v/>
      </c>
      <c r="AC29" s="78" t="str">
        <f t="array" ref="AC29">IF($BJ28&gt;0,IF(INDEX('Final Calculation Sheet'!$AB$4:$AB$40,$BJ28-3)="","",INDEX('Final Calculation Sheet'!$AB$4:$AB$40,$BJ28-3)),IF(OR($BI28=1,$BL28=1,$BH28&gt;0),"–",""))</f>
        <v/>
      </c>
      <c r="AD29" s="78" t="str">
        <f t="array" ref="AD29">IF($BJ28&gt;0,IF(INDEX('Final Calculation Sheet'!$AC$4:$AC$40,$BJ28-3)="","",INDEX('Final Calculation Sheet'!$AC$4:$AC$40,$BJ28-3)),IF(OR($BI28=1,$BL28=1,$BH28&gt;0),IF($BI28=1,SUM('Final Calculation Sheet'!$AC$4:$AC$40),IF($BL28=1,SUM('Final Calculation Sheet'!$AC$4:$AC$40)-SUMIFS('Final Calculation Sheet'!$AC$4:$AC$40,$AZ$5:$AZ$41,10),SUMIFS('Final Calculation Sheet'!$AC$4:$AC$40,$AZ$5:$AZ$41,$BH28))),""))</f>
        <v>608,251</v>
      </c>
      <c r="AE29" s="78" t="str">
        <f t="array" ref="AE29">IF($BJ28&gt;0,IF(INDEX('Final Calculation Sheet'!$AD$4:$AD$40,$BJ28-3)="","",INDEX('Final Calculation Sheet'!$AD$4:$AD$40,$BJ28-3)),IF(OR($BI28=1,$BL28=1,$BH28&gt;0),IF($BI28=1,SUM('Final Calculation Sheet'!$AD$4:$AD$40),IF($BL28=1,SUM('Final Calculation Sheet'!$AD$4:$AD$40)-SUMIFS('Final Calculation Sheet'!$AD$4:$AD$40,$AZ$5:$AZ$41,10),SUMIFS('Final Calculation Sheet'!$AD$4:$AD$40,$AZ$5:$AZ$41,$BH28))),""))</f>
        <v>0</v>
      </c>
      <c r="AF29" s="78" t="str">
        <f t="array" ref="AF29">IF($BJ28&gt;0,IF(INDEX('Final Calculation Sheet'!$AE$4:$AE$40,$BJ28-3)="","",INDEX('Final Calculation Sheet'!$AE$4:$AE$40,$BJ28-3)),IF(OR($BI28=1,$BL28=1,$BH28&gt;0),"–",""))</f>
        <v>DR2640100042</v>
      </c>
      <c r="AG29" s="82" t="str">
        <f t="array" ref="AG29">IF($BJ28&gt;0,IF(INDEX('Final Calculation Sheet'!$AF$4:$AF$40,$BJ28-3)="","",INDEX('Final Calculation Sheet'!$AF$4:$AF$40,$BJ28-3)),IF(OR($BI28=1,$BL28=1,$BH28&gt;0),"–",""))</f>
        <v>1800003317</v>
      </c>
      <c r="AH29" s="78" t="str">
        <f t="array" ref="AH29">IF($BJ28&gt;0,IF(INDEX('Final Calculation Sheet'!$AG$4:$AG$40,$BJ28-3)="","",INDEX('Final Calculation Sheet'!$AG$4:$AG$40,$BJ28-3)),IF(OR($BI28=1,$BL28=1,$BH28&gt;0),"–",""))</f>
        <v>27.08.2026</v>
      </c>
      <c r="AI29" s="83" t="str">
        <f t="array" ref="AI29">IF($BJ28&gt;0,IF(INDEX('Final Calculation Sheet'!$AD$4:$AD$40,$BJ28-3)="","",IF(INDEX('Final Calculation Sheet'!$AD$4:$AD$40,$BJ28-3)&lt;=0,"SETTLED","OUTSTANDING")),IF(OR($BI28=1,$BL28=1,$BH28&gt;0),IF(IF($BI28=1,SUM('Final Calculation Sheet'!$AD$4:$AD$40),IF($BL28=1,SUM('Final Calculation Sheet'!$AD$4:$AD$40)-SUMIFS('Final Calculation Sheet'!$AD$4:$AD$40,$AZ$5:$AZ$41,10),SUMIFS('Final Calculation Sheet'!$AD$4:$AD$40,$AZ$5:$AZ$41,$BH28)))&lt;=0,"ALL SETTLED","OUTSTANDING"),""))</f>
        <v>SETTLED</v>
      </c>
      <c r="AK29" t="str">
        <f>IF($F$3="Lot No.",'Final Calculation Sheet'!$F$28,IF($F$3="Buyer",'Final Calculation Sheet'!$G$28,IF($F$3="Lot Name",'Final Calculation Sheet'!$B$28,IF($F$3="Bid Sheet",'Final Calculation Sheet'!$D$28,IF($F$3="Unit",'Final Calculation Sheet'!$E$28,'Final Calculation Sheet'!$F$28&amp;" "&amp;'Final Calculation Sheet'!$G$28&amp;" "&amp;'Final Calculation Sheet'!$B$28)))))</f>
        <v>2037 WATAN SCRAP TRADERS Scrap of empty oil Barrels</v>
      </c>
      <c r="AM29" t="str">
        <f t="shared" si="3"/>
        <v>0</v>
      </c>
      <c r="AZ29" t="str">
        <f t="shared" si="4"/>
        <v>10</v>
      </c>
      <c r="BA29" t="str">
        <f t="shared" si="5"/>
        <v>24</v>
      </c>
      <c r="BB29" t="str">
        <f t="shared" si="6"/>
        <v>31</v>
      </c>
      <c r="BC29">
        <v>28.0</v>
      </c>
      <c r="BH29" t="str">
        <f>IFERROR(MATCH(29,$BF$4:$BF$13,0),0)</f>
        <v>0</v>
      </c>
      <c r="BI29" t="str">
        <f>IF(29=$BG$5,1,0)</f>
        <v>0</v>
      </c>
      <c r="BJ29" t="str">
        <f t="array" ref="BJ29">IF(OR($BH29&gt;0,$BI29=1,$BL29=1),0,IFERROR(INDEX($BC$5:$BC$41,MATCH(29,$BB$5:$BB$41,0)),0))</f>
        <v>26</v>
      </c>
      <c r="BK29" t="str">
        <f t="array" ref="BK29">IF($BJ29&gt;0,IF(INDEX($AZ$5:$AZ$41,MATCH(29,$BB$5:$BB$41,0))=10,1,0),IF($BH29=10,1,0))</f>
        <v>1</v>
      </c>
      <c r="BL29" t="str">
        <f>IF(29=$BG$4,1,0)</f>
        <v>0</v>
      </c>
      <c r="BM29" t="str">
        <f t="shared" si="8"/>
        <v>1</v>
      </c>
      <c r="BN29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Sheet'!$F$28)&amp;"",""))))&gt;0))</f>
        <v>1</v>
      </c>
      <c r="BO29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Sheet'!$G$28)&amp;"",""))))&gt;0))</f>
        <v>1</v>
      </c>
      <c r="BP29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Sheet'!$B$28)&amp;"",""))))&gt;0))</f>
        <v>1</v>
      </c>
      <c r="BQ29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Sheet'!$D$28)&amp;"",""))))&gt;0))</f>
        <v>1</v>
      </c>
      <c r="BR29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Sheet'!$A$28)&amp;"",""))))&gt;0))</f>
        <v>1</v>
      </c>
      <c r="BS29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Sheet'!$E$28)&amp;"",""))))&gt;0))</f>
        <v>1</v>
      </c>
      <c r="BT29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Sheet'!$C$28)&amp;"",""))))&gt;0))</f>
        <v>1</v>
      </c>
      <c r="BU29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Sheet'!$H$28)&amp;"",""))))&gt;0))</f>
        <v>1</v>
      </c>
      <c r="BV29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Sheet'!$I$28)&amp;"",""))))&gt;0))</f>
        <v>1</v>
      </c>
      <c r="BW29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Sheet'!$J$28)&amp;"",""))))&gt;0))</f>
        <v>1</v>
      </c>
      <c r="BX29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Sheet'!$K$28)&amp;"",""))))&gt;0))</f>
        <v>1</v>
      </c>
      <c r="BY29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Sheet'!$L$28)&amp;"",""))))&gt;0))</f>
        <v>1</v>
      </c>
      <c r="BZ29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Sheet'!$M$28)&amp;"",""))))&gt;0))</f>
        <v>1</v>
      </c>
      <c r="CA29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Sheet'!$N$28)&amp;"",""))))&gt;0))</f>
        <v>1</v>
      </c>
      <c r="CB29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Sheet'!$O$28)&amp;"",""))))&gt;0))</f>
        <v>1</v>
      </c>
      <c r="CC29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Sheet'!$P$28)&amp;"",""))))&gt;0))</f>
        <v>1</v>
      </c>
      <c r="CD29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Sheet'!$Q$28)&amp;"",""))))&gt;0))</f>
        <v>1</v>
      </c>
      <c r="CE29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Sheet'!$R$28)&amp;"",""))))&gt;0))</f>
        <v>1</v>
      </c>
      <c r="CF29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Sheet'!$S$28)&amp;"",""))))&gt;0))</f>
        <v>1</v>
      </c>
      <c r="CG29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Sheet'!$T$28)&amp;"",""))))&gt;0))</f>
        <v>1</v>
      </c>
      <c r="CH29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Sheet'!$U$28)&amp;"",""))))&gt;0))</f>
        <v>1</v>
      </c>
      <c r="CI29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Sheet'!$V$28)&amp;"",""))))&gt;0))</f>
        <v>1</v>
      </c>
      <c r="CJ29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Sheet'!$W$28)&amp;"",""))))&gt;0))</f>
        <v>1</v>
      </c>
      <c r="CK29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Sheet'!$X$28)&amp;"",""))))&gt;0))</f>
        <v>1</v>
      </c>
      <c r="CL29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Sheet'!$Y$28)&amp;"",""))))&gt;0))</f>
        <v>1</v>
      </c>
      <c r="CM29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Sheet'!$Z$28)&amp;"",""))))&gt;0))</f>
        <v>1</v>
      </c>
      <c r="CN29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Sheet'!$AA$28)&amp;"",""))))&gt;0))</f>
        <v>1</v>
      </c>
      <c r="CO29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Sheet'!$AB$28)&amp;"",""))))&gt;0))</f>
        <v>1</v>
      </c>
      <c r="CP29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Sheet'!$AC$28)&amp;"",""))))&gt;0))</f>
        <v>1</v>
      </c>
      <c r="CQ29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Sheet'!$AD$28)&amp;"",""))))&gt;0))</f>
        <v>1</v>
      </c>
      <c r="CR29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Sheet'!$AE$28)&amp;"",""))))&gt;0))</f>
        <v>1</v>
      </c>
      <c r="CS29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Sheet'!$AF$28)&amp;"",""))))&gt;0))</f>
        <v>1</v>
      </c>
      <c r="CT29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Sheet'!$AG$28)&amp;"",""))))&gt;0))</f>
        <v>1</v>
      </c>
      <c r="CU29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Sheet'!$AD$28&lt;=0,"SETTLED","OUTSTANDING"))&amp;"",""))))&gt;0))</f>
        <v>1</v>
      </c>
    </row>
    <row r="30" ht="15.0" customHeight="1">
      <c r="A30" s="75" t="str">
        <f t="array" ref="A30">IF($BJ29&gt;0,INDEX($BA$5:$BA$41,MATCH(29,$BB$5:$BB$41,0)),IF(OR($BI29=1,$BL29=1,$BH29&gt;0),"∑",""))</f>
        <v>22</v>
      </c>
      <c r="B30" s="76" t="str">
        <f t="array" ref="B30">IF($BJ29&gt;0,IF(INDEX('Final Calculation Sheet'!$F$4:$F$40,$BJ29-3)="","",INDEX('Final Calculation Sheet'!$F$4:$F$40,$BJ29-3)),"")</f>
        <v>2035</v>
      </c>
      <c r="C30" s="76" t="str">
        <f t="array" ref="C30">IF($BJ29&gt;0,IF(INDEX('Final Calculation Sheet'!$G$4:$G$40,$BJ29-3)="","",INDEX('Final Calculation Sheet'!$G$4:$G$40,$BJ29-3)),IF(OR($BI29=1,$BL29=1,$BH29&gt;0),IF($BI29=1,37,IF($BL29=1,37-INDEX($BD$4:$BD$13,10),INDEX($BD$4:$BD$13,$BH29)))&amp;" lot(s)",""))</f>
        <v>NATIONAL ENTERPRISES</v>
      </c>
      <c r="D30" s="77" t="str">
        <f t="array" ref="D30">IF($BJ29&gt;0,IF(INDEX('Final Calculation Sheet'!$B$4:$B$40,$BJ29-3)="","",INDEX('Final Calculation Sheet'!$B$4:$B$40,$BJ29-3)),IF(OR($BI29=1,$BL29=1,$BH29&gt;0),IF($BI29=1,"GRAND TOTAL  —  matching + remaining",IF($BL29=1,"TOTAL MATCHED  —  every group together",IF($BH29=10,"REMAINING  —  did not match the search",IF($BH29=9,IF(COUNTIF($A$4:$AI$4,"&lt;&gt;")&gt;0,"FILTERED LOTS  —  column fields","ALL LOTS  —  nothing typed in the box"),"GROUP "&amp;$BH29&amp;" TOTAL  —  lots matching  "&amp;INDEX($AR$6:$AY$6,$BH29))))),""))</f>
        <v>Scrap of 132 KV Wave Trap</v>
      </c>
      <c r="E30" s="77" t="str">
        <f t="array" ref="E30">IF($BJ29&gt;0,IF(INDEX('Final Calculation Sheet'!$D$4:$D$40,$BJ29-3)="","",INDEX('Final Calculation Sheet'!$D$4:$D$40,$BJ29-3)),IF(OR($BI29=1,$BL29=1,$BH29&gt;0),"–",""))</f>
        <v>21978</v>
      </c>
      <c r="F30" s="77" t="str">
        <f t="array" ref="F30">IF($BJ29&gt;0,IF(INDEX('Final Calculation Sheet'!$A$4:$A$40,$BJ29-3)="","",INDEX('Final Calculation Sheet'!$A$4:$A$40,$BJ29-3)),IF(OR($BI29=1,$BL29=1,$BH29&gt;0),IF($BI29=1,SUM('Final Calculation Sheet'!$A$4:$A$40),IF($BL29=1,SUM('Final Calculation Sheet'!$A$4:$A$40)-SUMIFS('Final Calculation Sheet'!$A$4:$A$40,$AZ$5:$AZ$41,10),SUMIFS('Final Calculation Sheet'!$A$4:$A$40,$AZ$5:$AZ$41,$BH29))),""))</f>
        <v>2</v>
      </c>
      <c r="G30" s="77" t="str">
        <f t="array" ref="G30">IF($BJ29&gt;0,IF(INDEX('Final Calculation Sheet'!$E$4:$E$40,$BJ29-3)="","",INDEX('Final Calculation Sheet'!$E$4:$E$40,$BJ29-3)),IF(OR($BI29=1,$BL29=1,$BH29&gt;0),"–",""))</f>
        <v>NO</v>
      </c>
      <c r="H30" s="78" t="str">
        <f t="array" ref="H30">IF($BJ29&gt;0,IF(INDEX('Final Calculation Sheet'!$C$4:$C$40,$BJ29-3)="","",INDEX('Final Calculation Sheet'!$C$4:$C$40,$BJ29-3)),IF(OR($BI29=1,$BL29=1,$BH29&gt;0),"–",""))</f>
        <v>14,001</v>
      </c>
      <c r="I30" s="78" t="str">
        <f t="array" ref="I30">IF($BJ29&gt;0,IF(INDEX('Final Calculation Sheet'!$H$4:$H$40,$BJ29-3)="","",INDEX('Final Calculation Sheet'!$H$4:$H$40,$BJ29-3)),IF(OR($BI29=1,$BL29=1,$BH29&gt;0),IF($BI29=1,SUM('Final Calculation Sheet'!$H$4:$H$40),IF($BL29=1,SUM('Final Calculation Sheet'!$H$4:$H$40)-SUMIFS('Final Calculation Sheet'!$H$4:$H$40,$AZ$5:$AZ$41,10),SUMIFS('Final Calculation Sheet'!$H$4:$H$40,$AZ$5:$AZ$41,$BH29))),""))</f>
        <v>28,002</v>
      </c>
      <c r="J30" s="78" t="str">
        <f t="array" ref="J30">IF($BJ29&gt;0,IF(INDEX('Final Calculation Sheet'!$I$4:$I$40,$BJ29-3)="","",INDEX('Final Calculation Sheet'!$I$4:$I$40,$BJ29-3)),IF(OR($BI29=1,$BL29=1,$BH29&gt;0),IF($BI29=1,SUM('Final Calculation Sheet'!$I$4:$I$40),IF($BL29=1,SUM('Final Calculation Sheet'!$I$4:$I$40)-SUMIFS('Final Calculation Sheet'!$I$4:$I$40,$AZ$5:$AZ$41,10),SUMIFS('Final Calculation Sheet'!$I$4:$I$40,$AZ$5:$AZ$41,$BH29))),""))</f>
        <v>5,040</v>
      </c>
      <c r="K30" s="78" t="str">
        <f t="array" ref="K30">IF($BJ29&gt;0,IF(INDEX('Final Calculation Sheet'!$J$4:$J$40,$BJ29-3)="","",INDEX('Final Calculation Sheet'!$J$4:$J$40,$BJ29-3)),IF(OR($BI29=1,$BL29=1,$BH29&gt;0),IF($BI29=1,SUM('Final Calculation Sheet'!$J$4:$J$40),IF($BL29=1,SUM('Final Calculation Sheet'!$J$4:$J$40)-SUMIFS('Final Calculation Sheet'!$J$4:$J$40,$AZ$5:$AZ$41,10),SUMIFS('Final Calculation Sheet'!$J$4:$J$40,$AZ$5:$AZ$41,$BH29))),""))</f>
        <v>33,042</v>
      </c>
      <c r="L30" s="78" t="str">
        <f t="array" ref="L30">IF($BJ29&gt;0,IF(INDEX('Final Calculation Sheet'!$K$4:$K$40,$BJ29-3)="","",INDEX('Final Calculation Sheet'!$K$4:$K$40,$BJ29-3)),IF(OR($BI29=1,$BL29=1,$BH29&gt;0),IF($BI29=1,SUM('Final Calculation Sheet'!$K$4:$K$40),IF($BL29=1,SUM('Final Calculation Sheet'!$K$4:$K$40)-SUMIFS('Final Calculation Sheet'!$K$4:$K$40,$AZ$5:$AZ$41,10),SUMIFS('Final Calculation Sheet'!$K$4:$K$40,$AZ$5:$AZ$41,$BH29))),""))</f>
        <v>661</v>
      </c>
      <c r="M30" s="78" t="str">
        <f t="array" ref="M30">IF($BJ29&gt;0,IF(INDEX('Final Calculation Sheet'!$L$4:$L$40,$BJ29-3)="","",INDEX('Final Calculation Sheet'!$L$4:$L$40,$BJ29-3)),IF(OR($BI29=1,$BL29=1,$BH29&gt;0),IF($BI29=1,SUM('Final Calculation Sheet'!$L$4:$L$40),IF($BL29=1,SUM('Final Calculation Sheet'!$L$4:$L$40)-SUMIFS('Final Calculation Sheet'!$L$4:$L$40,$AZ$5:$AZ$41,10),SUMIFS('Final Calculation Sheet'!$L$4:$L$40,$AZ$5:$AZ$41,$BH29))),""))</f>
        <v>28</v>
      </c>
      <c r="N30" s="78" t="str">
        <f t="array" ref="N30">IF($BJ29&gt;0,IF(INDEX('Final Calculation Sheet'!$M$4:$M$40,$BJ29-3)="","",INDEX('Final Calculation Sheet'!$M$4:$M$40,$BJ29-3)),IF(OR($BI29=1,$BL29=1,$BH29&gt;0),IF($BI29=1,SUM('Final Calculation Sheet'!$M$4:$M$40),IF($BL29=1,SUM('Final Calculation Sheet'!$M$4:$M$40)-SUMIFS('Final Calculation Sheet'!$M$4:$M$40,$AZ$5:$AZ$41,10),SUMIFS('Final Calculation Sheet'!$M$4:$M$40,$AZ$5:$AZ$41,$BH29))),""))</f>
        <v>743</v>
      </c>
      <c r="O30" s="79" t="str">
        <f t="array" ref="O30">IF($BJ29&gt;0,IF(INDEX('Final Calculation Sheet'!$N$4:$N$40,$BJ29-3)="","",INDEX('Final Calculation Sheet'!$N$4:$N$40,$BJ29-3)),IF(OR($BI29=1,$BL29=1,$BH29&gt;0),IF($BI29=1,SUM('Final Calculation Sheet'!$N$4:$N$40),IF($BL29=1,SUM('Final Calculation Sheet'!$N$4:$N$40)-SUMIFS('Final Calculation Sheet'!$N$4:$N$40,$AZ$5:$AZ$41,10),SUMIFS('Final Calculation Sheet'!$N$4:$N$40,$AZ$5:$AZ$41,$BH29))),""))</f>
        <v>13</v>
      </c>
      <c r="P30" s="78" t="str">
        <f t="array" ref="P30">IF($BJ29&gt;0,IF(INDEX('Final Calculation Sheet'!$O$4:$O$40,$BJ29-3)="","",INDEX('Final Calculation Sheet'!$O$4:$O$40,$BJ29-3)),IF(OR($BI29=1,$BL29=1,$BH29&gt;0),IF($BI29=1,SUM('Final Calculation Sheet'!$O$4:$O$40),IF($BL29=1,SUM('Final Calculation Sheet'!$O$4:$O$40)-SUMIFS('Final Calculation Sheet'!$O$4:$O$40,$AZ$5:$AZ$41,10),SUMIFS('Final Calculation Sheet'!$O$4:$O$40,$AZ$5:$AZ$41,$BH29))),""))</f>
        <v>731</v>
      </c>
      <c r="Q30" s="78" t="str">
        <f t="array" ref="Q30">IF($BJ29&gt;0,IF(INDEX('Final Calculation Sheet'!$P$4:$P$40,$BJ29-3)="","",INDEX('Final Calculation Sheet'!$P$4:$P$40,$BJ29-3)),IF(OR($BI29=1,$BL29=1,$BH29&gt;0),IF($BI29=1,SUM('Final Calculation Sheet'!$P$4:$P$40),IF($BL29=1,SUM('Final Calculation Sheet'!$P$4:$P$40)-SUMIFS('Final Calculation Sheet'!$P$4:$P$40,$AZ$5:$AZ$41,10),SUMIFS('Final Calculation Sheet'!$P$4:$P$40,$AZ$5:$AZ$41,$BH29))),""))</f>
        <v>759</v>
      </c>
      <c r="R30" s="80" t="str">
        <f t="array" ref="R30">IF($BJ29&gt;0,IF(INDEX('Final Calculation Sheet'!$Q$4:$Q$40,$BJ29-3)="","",INDEX('Final Calculation Sheet'!$Q$4:$Q$40,$BJ29-3)),IF(OR($BI29=1,$BL29=1,$BH29&gt;0),"–",""))</f>
        <v>0%</v>
      </c>
      <c r="S30" s="78" t="str">
        <f t="array" ref="S30">IF($BJ29&gt;0,IF(INDEX('Final Calculation Sheet'!$R$4:$R$40,$BJ29-3)="","",INDEX('Final Calculation Sheet'!$R$4:$R$40,$BJ29-3)),IF(OR($BI29=1,$BL29=1,$BH29&gt;0),IF($BI29=1,SUM('Final Calculation Sheet'!$R$4:$R$40),IF($BL29=1,SUM('Final Calculation Sheet'!$R$4:$R$40)-SUMIFS('Final Calculation Sheet'!$R$4:$R$40,$AZ$5:$AZ$41,10),SUMIFS('Final Calculation Sheet'!$R$4:$R$40,$AZ$5:$AZ$41,$BH29))),""))</f>
        <v>0</v>
      </c>
      <c r="T30" s="78" t="str">
        <f t="array" ref="T30">IF($BJ29&gt;0,IF(INDEX('Final Calculation Sheet'!$S$4:$S$40,$BJ29-3)="","",INDEX('Final Calculation Sheet'!$S$4:$S$40,$BJ29-3)),IF(OR($BI29=1,$BL29=1,$BH29&gt;0),IF($BI29=1,SUM('Final Calculation Sheet'!$S$4:$S$40),IF($BL29=1,SUM('Final Calculation Sheet'!$S$4:$S$40)-SUMIFS('Final Calculation Sheet'!$S$4:$S$40,$AZ$5:$AZ$41,10),SUMIFS('Final Calculation Sheet'!$S$4:$S$40,$AZ$5:$AZ$41,$BH29))),""))</f>
        <v>32,944</v>
      </c>
      <c r="U30" s="78" t="str">
        <f t="array" ref="U30">IF($BJ29&gt;0,IF(INDEX('Final Calculation Sheet'!$T$4:$T$40,$BJ29-3)="","",INDEX('Final Calculation Sheet'!$T$4:$T$40,$BJ29-3)),IF(OR($BI29=1,$BL29=1,$BH29&gt;0),IF($BI29=1,SUM('Final Calculation Sheet'!$T$4:$T$40),IF($BL29=1,SUM('Final Calculation Sheet'!$T$4:$T$40)-SUMIFS('Final Calculation Sheet'!$T$4:$T$40,$AZ$5:$AZ$41,10),SUMIFS('Final Calculation Sheet'!$T$4:$T$40,$AZ$5:$AZ$41,$BH29))),""))</f>
        <v>7,001</v>
      </c>
      <c r="V30" s="81" t="str">
        <f t="array" ref="V30">IF($BJ29&gt;0,IF(INDEX('Final Calculation Sheet'!$U$4:$U$40,$BJ29-3)="","",INDEX('Final Calculation Sheet'!$U$4:$U$40,$BJ29-3)),IF(OR($BI29=1,$BL29=1,$BH29&gt;0),IF($BI29=1,SUM('Final Calculation Sheet'!$U$4:$U$40),IF($BL29=1,SUM('Final Calculation Sheet'!$U$4:$U$40)-SUMIFS('Final Calculation Sheet'!$U$4:$U$40,$AZ$5:$AZ$41,10),SUMIFS('Final Calculation Sheet'!$U$4:$U$40,$AZ$5:$AZ$41,$BH29))),""))</f>
        <v>  7,001 </v>
      </c>
      <c r="W30" s="78" t="str">
        <f t="array" ref="W30">IF($BJ29&gt;0,IF(INDEX('Final Calculation Sheet'!$V$4:$V$40,$BJ29-3)="","",INDEX('Final Calculation Sheet'!$V$4:$V$40,$BJ29-3)),IF(OR($BI29=1,$BL29=1,$BH29&gt;0),"–",""))</f>
        <v>13.08.2026</v>
      </c>
      <c r="X30" s="78" t="str">
        <f t="array" ref="X30">IF($BJ29&gt;0,IF(INDEX('Final Calculation Sheet'!$W$4:$W$40,$BJ29-3)="","",INDEX('Final Calculation Sheet'!$W$4:$W$40,$BJ29-3)),IF(OR($BI29=1,$BL29=1,$BH29&gt;0),IF($BI29=1,SUM('Final Calculation Sheet'!$W$4:$W$40),IF($BL29=1,SUM('Final Calculation Sheet'!$W$4:$W$40)-SUMIFS('Final Calculation Sheet'!$W$4:$W$40,$AZ$5:$AZ$41,10),SUMIFS('Final Calculation Sheet'!$W$4:$W$40,$AZ$5:$AZ$41,$BH29))),""))</f>
        <v>25,944</v>
      </c>
      <c r="Y30" s="78" t="str">
        <f t="array" ref="Y30">IF($BJ29&gt;0,IF(INDEX('Final Calculation Sheet'!$X$4:$X$40,$BJ29-3)="","",INDEX('Final Calculation Sheet'!$X$4:$X$40,$BJ29-3)),IF(OR($BI29=1,$BL29=1,$BH29&gt;0),IF($BI29=1,SUM('Final Calculation Sheet'!$X$4:$X$40),IF($BL29=1,SUM('Final Calculation Sheet'!$X$4:$X$40)-SUMIFS('Final Calculation Sheet'!$X$4:$X$40,$AZ$5:$AZ$41,10),SUMIFS('Final Calculation Sheet'!$X$4:$X$40,$AZ$5:$AZ$41,$BH29))),""))</f>
        <v>25,943</v>
      </c>
      <c r="Z30" s="78" t="str">
        <f t="array" ref="Z30">IF($BJ29&gt;0,IF(INDEX('Final Calculation Sheet'!$Y$4:$Y$40,$BJ29-3)="","",INDEX('Final Calculation Sheet'!$Y$4:$Y$40,$BJ29-3)),IF(OR($BI29=1,$BL29=1,$BH29&gt;0),"–",""))</f>
        <v>24.08.2026</v>
      </c>
      <c r="AA30" s="78" t="str">
        <f t="array" ref="AA30">IF($BJ29&gt;0,IF(INDEX('Final Calculation Sheet'!$Z$4:$Z$40,$BJ29-3)="","",INDEX('Final Calculation Sheet'!$Z$4:$Z$40,$BJ29-3)),IF(OR($BI29=1,$BL29=1,$BH29&gt;0),IF($BI29=1,SUM('Final Calculation Sheet'!$Z$4:$Z$40),IF($BL29=1,SUM('Final Calculation Sheet'!$Z$4:$Z$40)-SUMIFS('Final Calculation Sheet'!$Z$4:$Z$40,$AZ$5:$AZ$41,10),SUMIFS('Final Calculation Sheet'!$Z$4:$Z$40,$AZ$5:$AZ$41,$BH29))),""))</f>
        <v>0</v>
      </c>
      <c r="AB30" s="78" t="str">
        <f t="array" ref="AB30">IF($BJ29&gt;0,IF(INDEX('Final Calculation Sheet'!$AA$4:$AA$40,$BJ29-3)="","",INDEX('Final Calculation Sheet'!$AA$4:$AA$40,$BJ29-3)),IF(OR($BI29=1,$BL29=1,$BH29&gt;0),IF($BI29=1,SUM('Final Calculation Sheet'!$AA$4:$AA$40),IF($BL29=1,SUM('Final Calculation Sheet'!$AA$4:$AA$40)-SUMIFS('Final Calculation Sheet'!$AA$4:$AA$40,$AZ$5:$AZ$41,10),SUMIFS('Final Calculation Sheet'!$AA$4:$AA$40,$AZ$5:$AZ$41,$BH29))),""))</f>
        <v/>
      </c>
      <c r="AC30" s="78" t="str">
        <f t="array" ref="AC30">IF($BJ29&gt;0,IF(INDEX('Final Calculation Sheet'!$AB$4:$AB$40,$BJ29-3)="","",INDEX('Final Calculation Sheet'!$AB$4:$AB$40,$BJ29-3)),IF(OR($BI29=1,$BL29=1,$BH29&gt;0),"–",""))</f>
        <v/>
      </c>
      <c r="AD30" s="78" t="str">
        <f t="array" ref="AD30">IF($BJ29&gt;0,IF(INDEX('Final Calculation Sheet'!$AC$4:$AC$40,$BJ29-3)="","",INDEX('Final Calculation Sheet'!$AC$4:$AC$40,$BJ29-3)),IF(OR($BI29=1,$BL29=1,$BH29&gt;0),IF($BI29=1,SUM('Final Calculation Sheet'!$AC$4:$AC$40),IF($BL29=1,SUM('Final Calculation Sheet'!$AC$4:$AC$40)-SUMIFS('Final Calculation Sheet'!$AC$4:$AC$40,$AZ$5:$AZ$41,10),SUMIFS('Final Calculation Sheet'!$AC$4:$AC$40,$AZ$5:$AZ$41,$BH29))),""))</f>
        <v>32,944</v>
      </c>
      <c r="AE30" s="78" t="str">
        <f t="array" ref="AE30">IF($BJ29&gt;0,IF(INDEX('Final Calculation Sheet'!$AD$4:$AD$40,$BJ29-3)="","",INDEX('Final Calculation Sheet'!$AD$4:$AD$40,$BJ29-3)),IF(OR($BI29=1,$BL29=1,$BH29&gt;0),IF($BI29=1,SUM('Final Calculation Sheet'!$AD$4:$AD$40),IF($BL29=1,SUM('Final Calculation Sheet'!$AD$4:$AD$40)-SUMIFS('Final Calculation Sheet'!$AD$4:$AD$40,$AZ$5:$AZ$41,10),SUMIFS('Final Calculation Sheet'!$AD$4:$AD$40,$AZ$5:$AZ$41,$BH29))),""))</f>
        <v>0</v>
      </c>
      <c r="AF30" s="78" t="str">
        <f t="array" ref="AF30">IF($BJ29&gt;0,IF(INDEX('Final Calculation Sheet'!$AE$4:$AE$40,$BJ29-3)="","",INDEX('Final Calculation Sheet'!$AE$4:$AE$40,$BJ29-3)),IF(OR($BI29=1,$BL29=1,$BH29&gt;0),"–",""))</f>
        <v>DR2640100037</v>
      </c>
      <c r="AG30" s="82" t="str">
        <f t="array" ref="AG30">IF($BJ29&gt;0,IF(INDEX('Final Calculation Sheet'!$AF$4:$AF$40,$BJ29-3)="","",INDEX('Final Calculation Sheet'!$AF$4:$AF$40,$BJ29-3)),IF(OR($BI29=1,$BL29=1,$BH29&gt;0),"–",""))</f>
        <v>1800003310</v>
      </c>
      <c r="AH30" s="78" t="str">
        <f t="array" ref="AH30">IF($BJ29&gt;0,IF(INDEX('Final Calculation Sheet'!$AG$4:$AG$40,$BJ29-3)="","",INDEX('Final Calculation Sheet'!$AG$4:$AG$40,$BJ29-3)),IF(OR($BI29=1,$BL29=1,$BH29&gt;0),"–",""))</f>
        <v>27.08.2026</v>
      </c>
      <c r="AI30" s="83" t="str">
        <f t="array" ref="AI30">IF($BJ29&gt;0,IF(INDEX('Final Calculation Sheet'!$AD$4:$AD$40,$BJ29-3)="","",IF(INDEX('Final Calculation Sheet'!$AD$4:$AD$40,$BJ29-3)&lt;=0,"SETTLED","OUTSTANDING")),IF(OR($BI29=1,$BL29=1,$BH29&gt;0),IF(IF($BI29=1,SUM('Final Calculation Sheet'!$AD$4:$AD$40),IF($BL29=1,SUM('Final Calculation Sheet'!$AD$4:$AD$40)-SUMIFS('Final Calculation Sheet'!$AD$4:$AD$40,$AZ$5:$AZ$41,10),SUMIFS('Final Calculation Sheet'!$AD$4:$AD$40,$AZ$5:$AZ$41,$BH29)))&lt;=0,"ALL SETTLED","OUTSTANDING"),""))</f>
        <v>SETTLED</v>
      </c>
      <c r="AK30" t="str">
        <f>IF($F$3="Lot No.",'Final Calculation Sheet'!$F$29,IF($F$3="Buyer",'Final Calculation Sheet'!$G$29,IF($F$3="Lot Name",'Final Calculation Sheet'!$B$29,IF($F$3="Bid Sheet",'Final Calculation Sheet'!$D$29,IF($F$3="Unit",'Final Calculation Sheet'!$E$29,'Final Calculation Sheet'!$F$29&amp;" "&amp;'Final Calculation Sheet'!$G$29&amp;" "&amp;'Final Calculation Sheet'!$B$29)))))</f>
        <v>2040 STERLING ENTERPRISES Scrap of 33 KV CT</v>
      </c>
      <c r="AM30" t="str">
        <f t="shared" si="3"/>
        <v>0</v>
      </c>
      <c r="AZ30" t="str">
        <f t="shared" si="4"/>
        <v>10</v>
      </c>
      <c r="BA30" t="str">
        <f t="shared" si="5"/>
        <v>25</v>
      </c>
      <c r="BB30" t="str">
        <f t="shared" si="6"/>
        <v>32</v>
      </c>
      <c r="BC30">
        <v>29.0</v>
      </c>
      <c r="BH30" t="str">
        <f>IFERROR(MATCH(30,$BF$4:$BF$13,0),0)</f>
        <v>0</v>
      </c>
      <c r="BI30" t="str">
        <f>IF(30=$BG$5,1,0)</f>
        <v>0</v>
      </c>
      <c r="BJ30" t="str">
        <f t="array" ref="BJ30">IF(OR($BH30&gt;0,$BI30=1,$BL30=1),0,IFERROR(INDEX($BC$5:$BC$41,MATCH(30,$BB$5:$BB$41,0)),0))</f>
        <v>27</v>
      </c>
      <c r="BK30" t="str">
        <f t="array" ref="BK30">IF($BJ30&gt;0,IF(INDEX($AZ$5:$AZ$41,MATCH(30,$BB$5:$BB$41,0))=10,1,0),IF($BH30=10,1,0))</f>
        <v>1</v>
      </c>
      <c r="BL30" t="str">
        <f>IF(30=$BG$4,1,0)</f>
        <v>0</v>
      </c>
      <c r="BM30" t="str">
        <f t="shared" si="8"/>
        <v>1</v>
      </c>
      <c r="BN30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Sheet'!$F$29)&amp;"",""))))&gt;0))</f>
        <v>1</v>
      </c>
      <c r="BO30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Sheet'!$G$29)&amp;"",""))))&gt;0))</f>
        <v>1</v>
      </c>
      <c r="BP30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Sheet'!$B$29)&amp;"",""))))&gt;0))</f>
        <v>1</v>
      </c>
      <c r="BQ30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Sheet'!$D$29)&amp;"",""))))&gt;0))</f>
        <v>1</v>
      </c>
      <c r="BR30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Sheet'!$A$29)&amp;"",""))))&gt;0))</f>
        <v>1</v>
      </c>
      <c r="BS30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Sheet'!$E$29)&amp;"",""))))&gt;0))</f>
        <v>1</v>
      </c>
      <c r="BT30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Sheet'!$C$29)&amp;"",""))))&gt;0))</f>
        <v>1</v>
      </c>
      <c r="BU30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Sheet'!$H$29)&amp;"",""))))&gt;0))</f>
        <v>1</v>
      </c>
      <c r="BV30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Sheet'!$I$29)&amp;"",""))))&gt;0))</f>
        <v>1</v>
      </c>
      <c r="BW30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Sheet'!$J$29)&amp;"",""))))&gt;0))</f>
        <v>1</v>
      </c>
      <c r="BX30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Sheet'!$K$29)&amp;"",""))))&gt;0))</f>
        <v>1</v>
      </c>
      <c r="BY30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Sheet'!$L$29)&amp;"",""))))&gt;0))</f>
        <v>1</v>
      </c>
      <c r="BZ30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Sheet'!$M$29)&amp;"",""))))&gt;0))</f>
        <v>1</v>
      </c>
      <c r="CA30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Sheet'!$N$29)&amp;"",""))))&gt;0))</f>
        <v>1</v>
      </c>
      <c r="CB30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Sheet'!$O$29)&amp;"",""))))&gt;0))</f>
        <v>1</v>
      </c>
      <c r="CC30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Sheet'!$P$29)&amp;"",""))))&gt;0))</f>
        <v>1</v>
      </c>
      <c r="CD30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Sheet'!$Q$29)&amp;"",""))))&gt;0))</f>
        <v>1</v>
      </c>
      <c r="CE30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Sheet'!$R$29)&amp;"",""))))&gt;0))</f>
        <v>1</v>
      </c>
      <c r="CF30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Sheet'!$S$29)&amp;"",""))))&gt;0))</f>
        <v>1</v>
      </c>
      <c r="CG30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Sheet'!$T$29)&amp;"",""))))&gt;0))</f>
        <v>1</v>
      </c>
      <c r="CH30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Sheet'!$U$29)&amp;"",""))))&gt;0))</f>
        <v>1</v>
      </c>
      <c r="CI30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Sheet'!$V$29)&amp;"",""))))&gt;0))</f>
        <v>1</v>
      </c>
      <c r="CJ30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Sheet'!$W$29)&amp;"",""))))&gt;0))</f>
        <v>1</v>
      </c>
      <c r="CK30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Sheet'!$X$29)&amp;"",""))))&gt;0))</f>
        <v>1</v>
      </c>
      <c r="CL30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Sheet'!$Y$29)&amp;"",""))))&gt;0))</f>
        <v>1</v>
      </c>
      <c r="CM30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Sheet'!$Z$29)&amp;"",""))))&gt;0))</f>
        <v>1</v>
      </c>
      <c r="CN30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Sheet'!$AA$29)&amp;"",""))))&gt;0))</f>
        <v>1</v>
      </c>
      <c r="CO30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Sheet'!$AB$29)&amp;"",""))))&gt;0))</f>
        <v>1</v>
      </c>
      <c r="CP30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Sheet'!$AC$29)&amp;"",""))))&gt;0))</f>
        <v>1</v>
      </c>
      <c r="CQ30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Sheet'!$AD$29)&amp;"",""))))&gt;0))</f>
        <v>1</v>
      </c>
      <c r="CR30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Sheet'!$AE$29)&amp;"",""))))&gt;0))</f>
        <v>1</v>
      </c>
      <c r="CS30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Sheet'!$AF$29)&amp;"",""))))&gt;0))</f>
        <v>1</v>
      </c>
      <c r="CT30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Sheet'!$AG$29)&amp;"",""))))&gt;0))</f>
        <v>1</v>
      </c>
      <c r="CU30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Sheet'!$AD$29&lt;=0,"SETTLED","OUTSTANDING"))&amp;"",""))))&gt;0))</f>
        <v>1</v>
      </c>
    </row>
    <row r="31" ht="15.0" customHeight="1">
      <c r="A31" s="75" t="str">
        <f t="array" ref="A31">IF($BJ30&gt;0,INDEX($BA$5:$BA$41,MATCH(30,$BB$5:$BB$41,0)),IF(OR($BI30=1,$BL30=1,$BH30&gt;0),"∑",""))</f>
        <v>23</v>
      </c>
      <c r="B31" s="76" t="str">
        <f t="array" ref="B31">IF($BJ30&gt;0,IF(INDEX('Final Calculation Sheet'!$F$4:$F$40,$BJ30-3)="","",INDEX('Final Calculation Sheet'!$F$4:$F$40,$BJ30-3)),"")</f>
        <v>2036</v>
      </c>
      <c r="C31" s="76" t="str">
        <f t="array" ref="C31">IF($BJ30&gt;0,IF(INDEX('Final Calculation Sheet'!$G$4:$G$40,$BJ30-3)="","",INDEX('Final Calculation Sheet'!$G$4:$G$40,$BJ30-3)),IF(OR($BI30=1,$BL30=1,$BH30&gt;0),IF($BI30=1,37,IF($BL30=1,37-INDEX($BD$4:$BD$13,10),INDEX($BD$4:$BD$13,$BH30)))&amp;" lot(s)",""))</f>
        <v>M I SCRAP TRADERS</v>
      </c>
      <c r="D31" s="77" t="str">
        <f t="array" ref="D31">IF($BJ30&gt;0,IF(INDEX('Final Calculation Sheet'!$B$4:$B$40,$BJ30-3)="","",INDEX('Final Calculation Sheet'!$B$4:$B$40,$BJ30-3)),IF(OR($BI30=1,$BL30=1,$BH30&gt;0),IF($BI30=1,"GRAND TOTAL  —  matching + remaining",IF($BL30=1,"TOTAL MATCHED  —  every group together",IF($BH30=10,"REMAINING  —  did not match the search",IF($BH30=9,IF(COUNTIF($A$4:$AI$4,"&lt;&gt;")&gt;0,"FILTERED LOTS  —  column fields","ALL LOTS  —  nothing typed in the box"),"GROUP "&amp;$BH30&amp;" TOTAL  —  lots matching  "&amp;INDEX($AR$6:$AY$6,$BH30))))),""))</f>
        <v>Mix Scrap (Tower angles &amp; 0.2 ACSR Condutor pieces)</v>
      </c>
      <c r="E31" s="77" t="str">
        <f t="array" ref="E31">IF($BJ30&gt;0,IF(INDEX('Final Calculation Sheet'!$D$4:$D$40,$BJ30-3)="","",INDEX('Final Calculation Sheet'!$D$4:$D$40,$BJ30-3)),IF(OR($BI30=1,$BL30=1,$BH30&gt;0),"–",""))</f>
        <v>21978</v>
      </c>
      <c r="F31" s="77" t="str">
        <f t="array" ref="F31">IF($BJ30&gt;0,IF(INDEX('Final Calculation Sheet'!$A$4:$A$40,$BJ30-3)="","",INDEX('Final Calculation Sheet'!$A$4:$A$40,$BJ30-3)),IF(OR($BI30=1,$BL30=1,$BH30&gt;0),IF($BI30=1,SUM('Final Calculation Sheet'!$A$4:$A$40),IF($BL30=1,SUM('Final Calculation Sheet'!$A$4:$A$40)-SUMIFS('Final Calculation Sheet'!$A$4:$A$40,$AZ$5:$AZ$41,10),SUMIFS('Final Calculation Sheet'!$A$4:$A$40,$AZ$5:$AZ$41,$BH30))),""))</f>
        <v>8.2</v>
      </c>
      <c r="G31" s="77" t="str">
        <f t="array" ref="G31">IF($BJ30&gt;0,IF(INDEX('Final Calculation Sheet'!$E$4:$E$40,$BJ30-3)="","",INDEX('Final Calculation Sheet'!$E$4:$E$40,$BJ30-3)),IF(OR($BI30=1,$BL30=1,$BH30&gt;0),"–",""))</f>
        <v>MT</v>
      </c>
      <c r="H31" s="78" t="str">
        <f t="array" ref="H31">IF($BJ30&gt;0,IF(INDEX('Final Calculation Sheet'!$C$4:$C$40,$BJ30-3)="","",INDEX('Final Calculation Sheet'!$C$4:$C$40,$BJ30-3)),IF(OR($BI30=1,$BL30=1,$BH30&gt;0),"–",""))</f>
        <v>67,000</v>
      </c>
      <c r="I31" s="78" t="str">
        <f t="array" ref="I31">IF($BJ30&gt;0,IF(INDEX('Final Calculation Sheet'!$H$4:$H$40,$BJ30-3)="","",INDEX('Final Calculation Sheet'!$H$4:$H$40,$BJ30-3)),IF(OR($BI30=1,$BL30=1,$BH30&gt;0),IF($BI30=1,SUM('Final Calculation Sheet'!$H$4:$H$40),IF($BL30=1,SUM('Final Calculation Sheet'!$H$4:$H$40)-SUMIFS('Final Calculation Sheet'!$H$4:$H$40,$AZ$5:$AZ$41,10),SUMIFS('Final Calculation Sheet'!$H$4:$H$40,$AZ$5:$AZ$41,$BH30))),""))</f>
        <v>549,400</v>
      </c>
      <c r="J31" s="78" t="str">
        <f t="array" ref="J31">IF($BJ30&gt;0,IF(INDEX('Final Calculation Sheet'!$I$4:$I$40,$BJ30-3)="","",INDEX('Final Calculation Sheet'!$I$4:$I$40,$BJ30-3)),IF(OR($BI30=1,$BL30=1,$BH30&gt;0),IF($BI30=1,SUM('Final Calculation Sheet'!$I$4:$I$40),IF($BL30=1,SUM('Final Calculation Sheet'!$I$4:$I$40)-SUMIFS('Final Calculation Sheet'!$I$4:$I$40,$AZ$5:$AZ$41,10),SUMIFS('Final Calculation Sheet'!$I$4:$I$40,$AZ$5:$AZ$41,$BH30))),""))</f>
        <v>98,892</v>
      </c>
      <c r="K31" s="78" t="str">
        <f t="array" ref="K31">IF($BJ30&gt;0,IF(INDEX('Final Calculation Sheet'!$J$4:$J$40,$BJ30-3)="","",INDEX('Final Calculation Sheet'!$J$4:$J$40,$BJ30-3)),IF(OR($BI30=1,$BL30=1,$BH30&gt;0),IF($BI30=1,SUM('Final Calculation Sheet'!$J$4:$J$40),IF($BL30=1,SUM('Final Calculation Sheet'!$J$4:$J$40)-SUMIFS('Final Calculation Sheet'!$J$4:$J$40,$AZ$5:$AZ$41,10),SUMIFS('Final Calculation Sheet'!$J$4:$J$40,$AZ$5:$AZ$41,$BH30))),""))</f>
        <v>648,292</v>
      </c>
      <c r="L31" s="78" t="str">
        <f t="array" ref="L31">IF($BJ30&gt;0,IF(INDEX('Final Calculation Sheet'!$K$4:$K$40,$BJ30-3)="","",INDEX('Final Calculation Sheet'!$K$4:$K$40,$BJ30-3)),IF(OR($BI30=1,$BL30=1,$BH30&gt;0),IF($BI30=1,SUM('Final Calculation Sheet'!$K$4:$K$40),IF($BL30=1,SUM('Final Calculation Sheet'!$K$4:$K$40)-SUMIFS('Final Calculation Sheet'!$K$4:$K$40,$AZ$5:$AZ$41,10),SUMIFS('Final Calculation Sheet'!$K$4:$K$40,$AZ$5:$AZ$41,$BH30))),""))</f>
        <v>12,966</v>
      </c>
      <c r="M31" s="78" t="str">
        <f t="array" ref="M31">IF($BJ30&gt;0,IF(INDEX('Final Calculation Sheet'!$L$4:$L$40,$BJ30-3)="","",INDEX('Final Calculation Sheet'!$L$4:$L$40,$BJ30-3)),IF(OR($BI30=1,$BL30=1,$BH30&gt;0),IF($BI30=1,SUM('Final Calculation Sheet'!$L$4:$L$40),IF($BL30=1,SUM('Final Calculation Sheet'!$L$4:$L$40)-SUMIFS('Final Calculation Sheet'!$L$4:$L$40,$AZ$5:$AZ$41,10),SUMIFS('Final Calculation Sheet'!$L$4:$L$40,$AZ$5:$AZ$41,$BH30))),""))</f>
        <v>549</v>
      </c>
      <c r="N31" s="78" t="str">
        <f t="array" ref="N31">IF($BJ30&gt;0,IF(INDEX('Final Calculation Sheet'!$M$4:$M$40,$BJ30-3)="","",INDEX('Final Calculation Sheet'!$M$4:$M$40,$BJ30-3)),IF(OR($BI30=1,$BL30=1,$BH30&gt;0),IF($BI30=1,SUM('Final Calculation Sheet'!$M$4:$M$40),IF($BL30=1,SUM('Final Calculation Sheet'!$M$4:$M$40)-SUMIFS('Final Calculation Sheet'!$M$4:$M$40,$AZ$5:$AZ$41,10),SUMIFS('Final Calculation Sheet'!$M$4:$M$40,$AZ$5:$AZ$41,$BH30))),""))</f>
        <v>14,587</v>
      </c>
      <c r="O31" s="79" t="str">
        <f t="array" ref="O31">IF($BJ30&gt;0,IF(INDEX('Final Calculation Sheet'!$N$4:$N$40,$BJ30-3)="","",INDEX('Final Calculation Sheet'!$N$4:$N$40,$BJ30-3)),IF(OR($BI30=1,$BL30=1,$BH30&gt;0),IF($BI30=1,SUM('Final Calculation Sheet'!$N$4:$N$40),IF($BL30=1,SUM('Final Calculation Sheet'!$N$4:$N$40)-SUMIFS('Final Calculation Sheet'!$N$4:$N$40,$AZ$5:$AZ$41,10),SUMIFS('Final Calculation Sheet'!$N$4:$N$40,$AZ$5:$AZ$41,$BH30))),""))</f>
        <v>247</v>
      </c>
      <c r="P31" s="78" t="str">
        <f t="array" ref="P31">IF($BJ30&gt;0,IF(INDEX('Final Calculation Sheet'!$O$4:$O$40,$BJ30-3)="","",INDEX('Final Calculation Sheet'!$O$4:$O$40,$BJ30-3)),IF(OR($BI30=1,$BL30=1,$BH30&gt;0),IF($BI30=1,SUM('Final Calculation Sheet'!$O$4:$O$40),IF($BL30=1,SUM('Final Calculation Sheet'!$O$4:$O$40)-SUMIFS('Final Calculation Sheet'!$O$4:$O$40,$AZ$5:$AZ$41,10),SUMIFS('Final Calculation Sheet'!$O$4:$O$40,$AZ$5:$AZ$41,$BH30))),""))</f>
        <v>14,339</v>
      </c>
      <c r="Q31" s="78" t="str">
        <f t="array" ref="Q31">IF($BJ30&gt;0,IF(INDEX('Final Calculation Sheet'!$P$4:$P$40,$BJ30-3)="","",INDEX('Final Calculation Sheet'!$P$4:$P$40,$BJ30-3)),IF(OR($BI30=1,$BL30=1,$BH30&gt;0),IF($BI30=1,SUM('Final Calculation Sheet'!$P$4:$P$40),IF($BL30=1,SUM('Final Calculation Sheet'!$P$4:$P$40)-SUMIFS('Final Calculation Sheet'!$P$4:$P$40,$AZ$5:$AZ$41,10),SUMIFS('Final Calculation Sheet'!$P$4:$P$40,$AZ$5:$AZ$41,$BH30))),""))</f>
        <v>14,889</v>
      </c>
      <c r="R31" s="80" t="str">
        <f t="array" ref="R31">IF($BJ30&gt;0,IF(INDEX('Final Calculation Sheet'!$Q$4:$Q$40,$BJ30-3)="","",INDEX('Final Calculation Sheet'!$Q$4:$Q$40,$BJ30-3)),IF(OR($BI30=1,$BL30=1,$BH30&gt;0),"–",""))</f>
        <v>2%</v>
      </c>
      <c r="S31" s="78" t="str">
        <f t="array" ref="S31">IF($BJ30&gt;0,IF(INDEX('Final Calculation Sheet'!$R$4:$R$40,$BJ30-3)="","",INDEX('Final Calculation Sheet'!$R$4:$R$40,$BJ30-3)),IF(OR($BI30=1,$BL30=1,$BH30&gt;0),IF($BI30=1,SUM('Final Calculation Sheet'!$R$4:$R$40),IF($BL30=1,SUM('Final Calculation Sheet'!$R$4:$R$40)-SUMIFS('Final Calculation Sheet'!$R$4:$R$40,$AZ$5:$AZ$41,10),SUMIFS('Final Calculation Sheet'!$R$4:$R$40,$AZ$5:$AZ$41,$BH30))),""))</f>
        <v>10,988</v>
      </c>
      <c r="T31" s="78" t="str">
        <f t="array" ref="T31">IF($BJ30&gt;0,IF(INDEX('Final Calculation Sheet'!$S$4:$S$40,$BJ30-3)="","",INDEX('Final Calculation Sheet'!$S$4:$S$40,$BJ30-3)),IF(OR($BI30=1,$BL30=1,$BH30&gt;0),IF($BI30=1,SUM('Final Calculation Sheet'!$S$4:$S$40),IF($BL30=1,SUM('Final Calculation Sheet'!$S$4:$S$40)-SUMIFS('Final Calculation Sheet'!$S$4:$S$40,$AZ$5:$AZ$41,10),SUMIFS('Final Calculation Sheet'!$S$4:$S$40,$AZ$5:$AZ$41,$BH30))),""))</f>
        <v>635,381</v>
      </c>
      <c r="U31" s="78" t="str">
        <f t="array" ref="U31">IF($BJ30&gt;0,IF(INDEX('Final Calculation Sheet'!$T$4:$T$40,$BJ30-3)="","",INDEX('Final Calculation Sheet'!$T$4:$T$40,$BJ30-3)),IF(OR($BI30=1,$BL30=1,$BH30&gt;0),IF($BI30=1,SUM('Final Calculation Sheet'!$T$4:$T$40),IF($BL30=1,SUM('Final Calculation Sheet'!$T$4:$T$40)-SUMIFS('Final Calculation Sheet'!$T$4:$T$40,$AZ$5:$AZ$41,10),SUMIFS('Final Calculation Sheet'!$T$4:$T$40,$AZ$5:$AZ$41,$BH30))),""))</f>
        <v>137,350</v>
      </c>
      <c r="V31" s="81" t="str">
        <f t="array" ref="V31">IF($BJ30&gt;0,IF(INDEX('Final Calculation Sheet'!$U$4:$U$40,$BJ30-3)="","",INDEX('Final Calculation Sheet'!$U$4:$U$40,$BJ30-3)),IF(OR($BI30=1,$BL30=1,$BH30&gt;0),IF($BI30=1,SUM('Final Calculation Sheet'!$U$4:$U$40),IF($BL30=1,SUM('Final Calculation Sheet'!$U$4:$U$40)-SUMIFS('Final Calculation Sheet'!$U$4:$U$40,$AZ$5:$AZ$41,10),SUMIFS('Final Calculation Sheet'!$U$4:$U$40,$AZ$5:$AZ$41,$BH30))),""))</f>
        <v>  137,350 </v>
      </c>
      <c r="W31" s="78" t="str">
        <f t="array" ref="W31">IF($BJ30&gt;0,IF(INDEX('Final Calculation Sheet'!$V$4:$V$40,$BJ30-3)="","",INDEX('Final Calculation Sheet'!$V$4:$V$40,$BJ30-3)),IF(OR($BI30=1,$BL30=1,$BH30&gt;0),"–",""))</f>
        <v>14.08.2026</v>
      </c>
      <c r="X31" s="78" t="str">
        <f t="array" ref="X31">IF($BJ30&gt;0,IF(INDEX('Final Calculation Sheet'!$W$4:$W$40,$BJ30-3)="","",INDEX('Final Calculation Sheet'!$W$4:$W$40,$BJ30-3)),IF(OR($BI30=1,$BL30=1,$BH30&gt;0),IF($BI30=1,SUM('Final Calculation Sheet'!$W$4:$W$40),IF($BL30=1,SUM('Final Calculation Sheet'!$W$4:$W$40)-SUMIFS('Final Calculation Sheet'!$W$4:$W$40,$AZ$5:$AZ$41,10),SUMIFS('Final Calculation Sheet'!$W$4:$W$40,$AZ$5:$AZ$41,$BH30))),""))</f>
        <v>498,031</v>
      </c>
      <c r="Y31" s="78" t="str">
        <f t="array" ref="Y31">IF($BJ30&gt;0,IF(INDEX('Final Calculation Sheet'!$X$4:$X$40,$BJ30-3)="","",INDEX('Final Calculation Sheet'!$X$4:$X$40,$BJ30-3)),IF(OR($BI30=1,$BL30=1,$BH30&gt;0),IF($BI30=1,SUM('Final Calculation Sheet'!$X$4:$X$40),IF($BL30=1,SUM('Final Calculation Sheet'!$X$4:$X$40)-SUMIFS('Final Calculation Sheet'!$X$4:$X$40,$AZ$5:$AZ$41,10),SUMIFS('Final Calculation Sheet'!$X$4:$X$40,$AZ$5:$AZ$41,$BH30))),""))</f>
        <v/>
      </c>
      <c r="Z31" s="78" t="str">
        <f t="array" ref="Z31">IF($BJ30&gt;0,IF(INDEX('Final Calculation Sheet'!$Y$4:$Y$40,$BJ30-3)="","",INDEX('Final Calculation Sheet'!$Y$4:$Y$40,$BJ30-3)),IF(OR($BI30=1,$BL30=1,$BH30&gt;0),"–",""))</f>
        <v>0</v>
      </c>
      <c r="AA31" s="78" t="str">
        <f t="array" ref="AA31">IF($BJ30&gt;0,IF(INDEX('Final Calculation Sheet'!$Z$4:$Z$40,$BJ30-3)="","",INDEX('Final Calculation Sheet'!$Z$4:$Z$40,$BJ30-3)),IF(OR($BI30=1,$BL30=1,$BH30&gt;0),IF($BI30=1,SUM('Final Calculation Sheet'!$Z$4:$Z$40),IF($BL30=1,SUM('Final Calculation Sheet'!$Z$4:$Z$40)-SUMIFS('Final Calculation Sheet'!$Z$4:$Z$40,$AZ$5:$AZ$41,10),SUMIFS('Final Calculation Sheet'!$Z$4:$Z$40,$AZ$5:$AZ$41,$BH30))),""))</f>
        <v>19,449</v>
      </c>
      <c r="AB31" s="78" t="str">
        <f t="array" ref="AB31">IF($BJ30&gt;0,IF(INDEX('Final Calculation Sheet'!$AA$4:$AA$40,$BJ30-3)="","",INDEX('Final Calculation Sheet'!$AA$4:$AA$40,$BJ30-3)),IF(OR($BI30=1,$BL30=1,$BH30&gt;0),IF($BI30=1,SUM('Final Calculation Sheet'!$AA$4:$AA$40),IF($BL30=1,SUM('Final Calculation Sheet'!$AA$4:$AA$40)-SUMIFS('Final Calculation Sheet'!$AA$4:$AA$40,$AZ$5:$AZ$41,10),SUMIFS('Final Calculation Sheet'!$AA$4:$AA$40,$AZ$5:$AZ$41,$BH30))),""))</f>
        <v/>
      </c>
      <c r="AC31" s="78" t="str">
        <f t="array" ref="AC31">IF($BJ30&gt;0,IF(INDEX('Final Calculation Sheet'!$AB$4:$AB$40,$BJ30-3)="","",INDEX('Final Calculation Sheet'!$AB$4:$AB$40,$BJ30-3)),IF(OR($BI30=1,$BL30=1,$BH30&gt;0),"–",""))</f>
        <v/>
      </c>
      <c r="AD31" s="78" t="str">
        <f t="array" ref="AD31">IF($BJ30&gt;0,IF(INDEX('Final Calculation Sheet'!$AC$4:$AC$40,$BJ30-3)="","",INDEX('Final Calculation Sheet'!$AC$4:$AC$40,$BJ30-3)),IF(OR($BI30=1,$BL30=1,$BH30&gt;0),IF($BI30=1,SUM('Final Calculation Sheet'!$AC$4:$AC$40),IF($BL30=1,SUM('Final Calculation Sheet'!$AC$4:$AC$40)-SUMIFS('Final Calculation Sheet'!$AC$4:$AC$40,$AZ$5:$AZ$41,10),SUMIFS('Final Calculation Sheet'!$AC$4:$AC$40,$AZ$5:$AZ$41,$BH30))),""))</f>
        <v>137,350</v>
      </c>
      <c r="AE31" s="78" t="str">
        <f t="array" ref="AE31">IF($BJ30&gt;0,IF(INDEX('Final Calculation Sheet'!$AD$4:$AD$40,$BJ30-3)="","",INDEX('Final Calculation Sheet'!$AD$4:$AD$40,$BJ30-3)),IF(OR($BI30=1,$BL30=1,$BH30&gt;0),IF($BI30=1,SUM('Final Calculation Sheet'!$AD$4:$AD$40),IF($BL30=1,SUM('Final Calculation Sheet'!$AD$4:$AD$40)-SUMIFS('Final Calculation Sheet'!$AD$4:$AD$40,$AZ$5:$AZ$41,10),SUMIFS('Final Calculation Sheet'!$AD$4:$AD$40,$AZ$5:$AZ$41,$BH30))),""))</f>
        <v>498,031</v>
      </c>
      <c r="AF31" s="78" t="str">
        <f t="array" ref="AF31">IF($BJ30&gt;0,IF(INDEX('Final Calculation Sheet'!$AE$4:$AE$40,$BJ30-3)="","",INDEX('Final Calculation Sheet'!$AE$4:$AE$40,$BJ30-3)),IF(OR($BI30=1,$BL30=1,$BH30&gt;0),"–",""))</f>
        <v/>
      </c>
      <c r="AG31" s="82" t="str">
        <f t="array" ref="AG31">IF($BJ30&gt;0,IF(INDEX('Final Calculation Sheet'!$AF$4:$AF$40,$BJ30-3)="","",INDEX('Final Calculation Sheet'!$AF$4:$AF$40,$BJ30-3)),IF(OR($BI30=1,$BL30=1,$BH30&gt;0),"–",""))</f>
        <v/>
      </c>
      <c r="AH31" s="78" t="str">
        <f t="array" ref="AH31">IF($BJ30&gt;0,IF(INDEX('Final Calculation Sheet'!$AG$4:$AG$40,$BJ30-3)="","",INDEX('Final Calculation Sheet'!$AG$4:$AG$40,$BJ30-3)),IF(OR($BI30=1,$BL30=1,$BH30&gt;0),"–",""))</f>
        <v/>
      </c>
      <c r="AI31" s="83" t="str">
        <f t="array" ref="AI31">IF($BJ30&gt;0,IF(INDEX('Final Calculation Sheet'!$AD$4:$AD$40,$BJ30-3)="","",IF(INDEX('Final Calculation Sheet'!$AD$4:$AD$40,$BJ30-3)&lt;=0,"SETTLED","OUTSTANDING")),IF(OR($BI30=1,$BL30=1,$BH30&gt;0),IF(IF($BI30=1,SUM('Final Calculation Sheet'!$AD$4:$AD$40),IF($BL30=1,SUM('Final Calculation Sheet'!$AD$4:$AD$40)-SUMIFS('Final Calculation Sheet'!$AD$4:$AD$40,$AZ$5:$AZ$41,10),SUMIFS('Final Calculation Sheet'!$AD$4:$AD$40,$AZ$5:$AZ$41,$BH30)))&lt;=0,"ALL SETTLED","OUTSTANDING"),""))</f>
        <v>OUTSTANDING</v>
      </c>
      <c r="AK31" t="str">
        <f>IF($F$3="Lot No.",'Final Calculation Sheet'!$F$30,IF($F$3="Buyer",'Final Calculation Sheet'!$G$30,IF($F$3="Lot Name",'Final Calculation Sheet'!$B$30,IF($F$3="Bid Sheet",'Final Calculation Sheet'!$D$30,IF($F$3="Unit",'Final Calculation Sheet'!$E$30,'Final Calculation Sheet'!$F$30&amp;" "&amp;'Final Calculation Sheet'!$G$30&amp;" "&amp;'Final Calculation Sheet'!$B$30)))))</f>
        <v>2043 NATIONAL ENTERPRISES Scrap of 132 KV CT</v>
      </c>
      <c r="AM31" t="str">
        <f t="shared" si="3"/>
        <v>0</v>
      </c>
      <c r="AZ31" t="str">
        <f t="shared" si="4"/>
        <v>10</v>
      </c>
      <c r="BA31" t="str">
        <f t="shared" si="5"/>
        <v>26</v>
      </c>
      <c r="BB31" t="str">
        <f t="shared" si="6"/>
        <v>33</v>
      </c>
      <c r="BC31">
        <v>30.0</v>
      </c>
      <c r="BH31" t="str">
        <f>IFERROR(MATCH(31,$BF$4:$BF$13,0),0)</f>
        <v>0</v>
      </c>
      <c r="BI31" t="str">
        <f>IF(31=$BG$5,1,0)</f>
        <v>0</v>
      </c>
      <c r="BJ31" t="str">
        <f t="array" ref="BJ31">IF(OR($BH31&gt;0,$BI31=1,$BL31=1),0,IFERROR(INDEX($BC$5:$BC$41,MATCH(31,$BB$5:$BB$41,0)),0))</f>
        <v>28</v>
      </c>
      <c r="BK31" t="str">
        <f t="array" ref="BK31">IF($BJ31&gt;0,IF(INDEX($AZ$5:$AZ$41,MATCH(31,$BB$5:$BB$41,0))=10,1,0),IF($BH31=10,1,0))</f>
        <v>1</v>
      </c>
      <c r="BL31" t="str">
        <f>IF(31=$BG$4,1,0)</f>
        <v>0</v>
      </c>
      <c r="BM31" t="str">
        <f t="shared" si="8"/>
        <v>1</v>
      </c>
      <c r="BN31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Sheet'!$F$30)&amp;"",""))))&gt;0))</f>
        <v>1</v>
      </c>
      <c r="BO31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Sheet'!$G$30)&amp;"",""))))&gt;0))</f>
        <v>1</v>
      </c>
      <c r="BP31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Sheet'!$B$30)&amp;"",""))))&gt;0))</f>
        <v>1</v>
      </c>
      <c r="BQ31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Sheet'!$D$30)&amp;"",""))))&gt;0))</f>
        <v>1</v>
      </c>
      <c r="BR31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Sheet'!$A$30)&amp;"",""))))&gt;0))</f>
        <v>1</v>
      </c>
      <c r="BS31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Sheet'!$E$30)&amp;"",""))))&gt;0))</f>
        <v>1</v>
      </c>
      <c r="BT31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Sheet'!$C$30)&amp;"",""))))&gt;0))</f>
        <v>1</v>
      </c>
      <c r="BU31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Sheet'!$H$30)&amp;"",""))))&gt;0))</f>
        <v>1</v>
      </c>
      <c r="BV31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Sheet'!$I$30)&amp;"",""))))&gt;0))</f>
        <v>1</v>
      </c>
      <c r="BW31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Sheet'!$J$30)&amp;"",""))))&gt;0))</f>
        <v>1</v>
      </c>
      <c r="BX31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Sheet'!$K$30)&amp;"",""))))&gt;0))</f>
        <v>1</v>
      </c>
      <c r="BY31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Sheet'!$L$30)&amp;"",""))))&gt;0))</f>
        <v>1</v>
      </c>
      <c r="BZ31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Sheet'!$M$30)&amp;"",""))))&gt;0))</f>
        <v>1</v>
      </c>
      <c r="CA31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Sheet'!$N$30)&amp;"",""))))&gt;0))</f>
        <v>1</v>
      </c>
      <c r="CB31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Sheet'!$O$30)&amp;"",""))))&gt;0))</f>
        <v>1</v>
      </c>
      <c r="CC31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Sheet'!$P$30)&amp;"",""))))&gt;0))</f>
        <v>1</v>
      </c>
      <c r="CD31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Sheet'!$Q$30)&amp;"",""))))&gt;0))</f>
        <v>1</v>
      </c>
      <c r="CE31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Sheet'!$R$30)&amp;"",""))))&gt;0))</f>
        <v>1</v>
      </c>
      <c r="CF31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Sheet'!$S$30)&amp;"",""))))&gt;0))</f>
        <v>1</v>
      </c>
      <c r="CG31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Sheet'!$T$30)&amp;"",""))))&gt;0))</f>
        <v>1</v>
      </c>
      <c r="CH31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Sheet'!$U$30)&amp;"",""))))&gt;0))</f>
        <v>1</v>
      </c>
      <c r="CI31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Sheet'!$V$30)&amp;"",""))))&gt;0))</f>
        <v>1</v>
      </c>
      <c r="CJ31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Sheet'!$W$30)&amp;"",""))))&gt;0))</f>
        <v>1</v>
      </c>
      <c r="CK31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Sheet'!$X$30)&amp;"",""))))&gt;0))</f>
        <v>1</v>
      </c>
      <c r="CL31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Sheet'!$Y$30)&amp;"",""))))&gt;0))</f>
        <v>1</v>
      </c>
      <c r="CM31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Sheet'!$Z$30)&amp;"",""))))&gt;0))</f>
        <v>1</v>
      </c>
      <c r="CN31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Sheet'!$AA$30)&amp;"",""))))&gt;0))</f>
        <v>1</v>
      </c>
      <c r="CO31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Sheet'!$AB$30)&amp;"",""))))&gt;0))</f>
        <v>1</v>
      </c>
      <c r="CP31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Sheet'!$AC$30)&amp;"",""))))&gt;0))</f>
        <v>1</v>
      </c>
      <c r="CQ31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Sheet'!$AD$30)&amp;"",""))))&gt;0))</f>
        <v>1</v>
      </c>
      <c r="CR31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Sheet'!$AE$30)&amp;"",""))))&gt;0))</f>
        <v>1</v>
      </c>
      <c r="CS31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Sheet'!$AF$30)&amp;"",""))))&gt;0))</f>
        <v>1</v>
      </c>
      <c r="CT31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Sheet'!$AG$30)&amp;"",""))))&gt;0))</f>
        <v>1</v>
      </c>
      <c r="CU31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Sheet'!$AD$30&lt;=0,"SETTLED","OUTSTANDING"))&amp;"",""))))&gt;0))</f>
        <v>1</v>
      </c>
    </row>
    <row r="32" ht="15.0" customHeight="1">
      <c r="A32" s="75" t="str">
        <f t="array" ref="A32">IF($BJ31&gt;0,INDEX($BA$5:$BA$41,MATCH(31,$BB$5:$BB$41,0)),IF(OR($BI31=1,$BL31=1,$BH31&gt;0),"∑",""))</f>
        <v>24</v>
      </c>
      <c r="B32" s="76" t="str">
        <f t="array" ref="B32">IF($BJ31&gt;0,IF(INDEX('Final Calculation Sheet'!$F$4:$F$40,$BJ31-3)="","",INDEX('Final Calculation Sheet'!$F$4:$F$40,$BJ31-3)),"")</f>
        <v>2037</v>
      </c>
      <c r="C32" s="76" t="str">
        <f t="array" ref="C32">IF($BJ31&gt;0,IF(INDEX('Final Calculation Sheet'!$G$4:$G$40,$BJ31-3)="","",INDEX('Final Calculation Sheet'!$G$4:$G$40,$BJ31-3)),IF(OR($BI31=1,$BL31=1,$BH31&gt;0),IF($BI31=1,37,IF($BL31=1,37-INDEX($BD$4:$BD$13,10),INDEX($BD$4:$BD$13,$BH31)))&amp;" lot(s)",""))</f>
        <v>WATAN SCRAP TRADERS</v>
      </c>
      <c r="D32" s="77" t="str">
        <f t="array" ref="D32">IF($BJ31&gt;0,IF(INDEX('Final Calculation Sheet'!$B$4:$B$40,$BJ31-3)="","",INDEX('Final Calculation Sheet'!$B$4:$B$40,$BJ31-3)),IF(OR($BI31=1,$BL31=1,$BH31&gt;0),IF($BI31=1,"GRAND TOTAL  —  matching + remaining",IF($BL31=1,"TOTAL MATCHED  —  every group together",IF($BH31=10,"REMAINING  —  did not match the search",IF($BH31=9,IF(COUNTIF($A$4:$AI$4,"&lt;&gt;")&gt;0,"FILTERED LOTS  —  column fields","ALL LOTS  —  nothing typed in the box"),"GROUP "&amp;$BH31&amp;" TOTAL  —  lots matching  "&amp;INDEX($AR$6:$AY$6,$BH31))))),""))</f>
        <v>Scrap of empty oil Barrels</v>
      </c>
      <c r="E32" s="77" t="str">
        <f t="array" ref="E32">IF($BJ31&gt;0,IF(INDEX('Final Calculation Sheet'!$D$4:$D$40,$BJ31-3)="","",INDEX('Final Calculation Sheet'!$D$4:$D$40,$BJ31-3)),IF(OR($BI31=1,$BL31=1,$BH31&gt;0),"–",""))</f>
        <v>21978</v>
      </c>
      <c r="F32" s="77" t="str">
        <f t="array" ref="F32">IF($BJ31&gt;0,IF(INDEX('Final Calculation Sheet'!$A$4:$A$40,$BJ31-3)="","",INDEX('Final Calculation Sheet'!$A$4:$A$40,$BJ31-3)),IF(OR($BI31=1,$BL31=1,$BH31&gt;0),IF($BI31=1,SUM('Final Calculation Sheet'!$A$4:$A$40),IF($BL31=1,SUM('Final Calculation Sheet'!$A$4:$A$40)-SUMIFS('Final Calculation Sheet'!$A$4:$A$40,$AZ$5:$AZ$41,10),SUMIFS('Final Calculation Sheet'!$A$4:$A$40,$AZ$5:$AZ$41,$BH31))),""))</f>
        <v>50</v>
      </c>
      <c r="G32" s="77" t="str">
        <f t="array" ref="G32">IF($BJ31&gt;0,IF(INDEX('Final Calculation Sheet'!$E$4:$E$40,$BJ31-3)="","",INDEX('Final Calculation Sheet'!$E$4:$E$40,$BJ31-3)),IF(OR($BI31=1,$BL31=1,$BH31&gt;0),"–",""))</f>
        <v>NO</v>
      </c>
      <c r="H32" s="78" t="str">
        <f t="array" ref="H32">IF($BJ31&gt;0,IF(INDEX('Final Calculation Sheet'!$C$4:$C$40,$BJ31-3)="","",INDEX('Final Calculation Sheet'!$C$4:$C$40,$BJ31-3)),IF(OR($BI31=1,$BL31=1,$BH31&gt;0),"–",""))</f>
        <v>531</v>
      </c>
      <c r="I32" s="78" t="str">
        <f t="array" ref="I32">IF($BJ31&gt;0,IF(INDEX('Final Calculation Sheet'!$H$4:$H$40,$BJ31-3)="","",INDEX('Final Calculation Sheet'!$H$4:$H$40,$BJ31-3)),IF(OR($BI31=1,$BL31=1,$BH31&gt;0),IF($BI31=1,SUM('Final Calculation Sheet'!$H$4:$H$40),IF($BL31=1,SUM('Final Calculation Sheet'!$H$4:$H$40)-SUMIFS('Final Calculation Sheet'!$H$4:$H$40,$AZ$5:$AZ$41,10),SUMIFS('Final Calculation Sheet'!$H$4:$H$40,$AZ$5:$AZ$41,$BH31))),""))</f>
        <v>26,550</v>
      </c>
      <c r="J32" s="78" t="str">
        <f t="array" ref="J32">IF($BJ31&gt;0,IF(INDEX('Final Calculation Sheet'!$I$4:$I$40,$BJ31-3)="","",INDEX('Final Calculation Sheet'!$I$4:$I$40,$BJ31-3)),IF(OR($BI31=1,$BL31=1,$BH31&gt;0),IF($BI31=1,SUM('Final Calculation Sheet'!$I$4:$I$40),IF($BL31=1,SUM('Final Calculation Sheet'!$I$4:$I$40)-SUMIFS('Final Calculation Sheet'!$I$4:$I$40,$AZ$5:$AZ$41,10),SUMIFS('Final Calculation Sheet'!$I$4:$I$40,$AZ$5:$AZ$41,$BH31))),""))</f>
        <v>4,779</v>
      </c>
      <c r="K32" s="78" t="str">
        <f t="array" ref="K32">IF($BJ31&gt;0,IF(INDEX('Final Calculation Sheet'!$J$4:$J$40,$BJ31-3)="","",INDEX('Final Calculation Sheet'!$J$4:$J$40,$BJ31-3)),IF(OR($BI31=1,$BL31=1,$BH31&gt;0),IF($BI31=1,SUM('Final Calculation Sheet'!$J$4:$J$40),IF($BL31=1,SUM('Final Calculation Sheet'!$J$4:$J$40)-SUMIFS('Final Calculation Sheet'!$J$4:$J$40,$AZ$5:$AZ$41,10),SUMIFS('Final Calculation Sheet'!$J$4:$J$40,$AZ$5:$AZ$41,$BH31))),""))</f>
        <v>31,329</v>
      </c>
      <c r="L32" s="78" t="str">
        <f t="array" ref="L32">IF($BJ31&gt;0,IF(INDEX('Final Calculation Sheet'!$K$4:$K$40,$BJ31-3)="","",INDEX('Final Calculation Sheet'!$K$4:$K$40,$BJ31-3)),IF(OR($BI31=1,$BL31=1,$BH31&gt;0),IF($BI31=1,SUM('Final Calculation Sheet'!$K$4:$K$40),IF($BL31=1,SUM('Final Calculation Sheet'!$K$4:$K$40)-SUMIFS('Final Calculation Sheet'!$K$4:$K$40,$AZ$5:$AZ$41,10),SUMIFS('Final Calculation Sheet'!$K$4:$K$40,$AZ$5:$AZ$41,$BH31))),""))</f>
        <v>627</v>
      </c>
      <c r="M32" s="78" t="str">
        <f t="array" ref="M32">IF($BJ31&gt;0,IF(INDEX('Final Calculation Sheet'!$L$4:$L$40,$BJ31-3)="","",INDEX('Final Calculation Sheet'!$L$4:$L$40,$BJ31-3)),IF(OR($BI31=1,$BL31=1,$BH31&gt;0),IF($BI31=1,SUM('Final Calculation Sheet'!$L$4:$L$40),IF($BL31=1,SUM('Final Calculation Sheet'!$L$4:$L$40)-SUMIFS('Final Calculation Sheet'!$L$4:$L$40,$AZ$5:$AZ$41,10),SUMIFS('Final Calculation Sheet'!$L$4:$L$40,$AZ$5:$AZ$41,$BH31))),""))</f>
        <v>27</v>
      </c>
      <c r="N32" s="78" t="str">
        <f t="array" ref="N32">IF($BJ31&gt;0,IF(INDEX('Final Calculation Sheet'!$M$4:$M$40,$BJ31-3)="","",INDEX('Final Calculation Sheet'!$M$4:$M$40,$BJ31-3)),IF(OR($BI31=1,$BL31=1,$BH31&gt;0),IF($BI31=1,SUM('Final Calculation Sheet'!$M$4:$M$40),IF($BL31=1,SUM('Final Calculation Sheet'!$M$4:$M$40)-SUMIFS('Final Calculation Sheet'!$M$4:$M$40,$AZ$5:$AZ$41,10),SUMIFS('Final Calculation Sheet'!$M$4:$M$40,$AZ$5:$AZ$41,$BH31))),""))</f>
        <v>705</v>
      </c>
      <c r="O32" s="79" t="str">
        <f t="array" ref="O32">IF($BJ31&gt;0,IF(INDEX('Final Calculation Sheet'!$N$4:$N$40,$BJ31-3)="","",INDEX('Final Calculation Sheet'!$N$4:$N$40,$BJ31-3)),IF(OR($BI31=1,$BL31=1,$BH31&gt;0),IF($BI31=1,SUM('Final Calculation Sheet'!$N$4:$N$40),IF($BL31=1,SUM('Final Calculation Sheet'!$N$4:$N$40)-SUMIFS('Final Calculation Sheet'!$N$4:$N$40,$AZ$5:$AZ$41,10),SUMIFS('Final Calculation Sheet'!$N$4:$N$40,$AZ$5:$AZ$41,$BH31))),""))</f>
        <v>12</v>
      </c>
      <c r="P32" s="78" t="str">
        <f t="array" ref="P32">IF($BJ31&gt;0,IF(INDEX('Final Calculation Sheet'!$O$4:$O$40,$BJ31-3)="","",INDEX('Final Calculation Sheet'!$O$4:$O$40,$BJ31-3)),IF(OR($BI31=1,$BL31=1,$BH31&gt;0),IF($BI31=1,SUM('Final Calculation Sheet'!$O$4:$O$40),IF($BL31=1,SUM('Final Calculation Sheet'!$O$4:$O$40)-SUMIFS('Final Calculation Sheet'!$O$4:$O$40,$AZ$5:$AZ$41,10),SUMIFS('Final Calculation Sheet'!$O$4:$O$40,$AZ$5:$AZ$41,$BH31))),""))</f>
        <v>693</v>
      </c>
      <c r="Q32" s="78" t="str">
        <f t="array" ref="Q32">IF($BJ31&gt;0,IF(INDEX('Final Calculation Sheet'!$P$4:$P$40,$BJ31-3)="","",INDEX('Final Calculation Sheet'!$P$4:$P$40,$BJ31-3)),IF(OR($BI31=1,$BL31=1,$BH31&gt;0),IF($BI31=1,SUM('Final Calculation Sheet'!$P$4:$P$40),IF($BL31=1,SUM('Final Calculation Sheet'!$P$4:$P$40)-SUMIFS('Final Calculation Sheet'!$P$4:$P$40,$AZ$5:$AZ$41,10),SUMIFS('Final Calculation Sheet'!$P$4:$P$40,$AZ$5:$AZ$41,$BH31))),""))</f>
        <v>720</v>
      </c>
      <c r="R32" s="80" t="str">
        <f t="array" ref="R32">IF($BJ31&gt;0,IF(INDEX('Final Calculation Sheet'!$Q$4:$Q$40,$BJ31-3)="","",INDEX('Final Calculation Sheet'!$Q$4:$Q$40,$BJ31-3)),IF(OR($BI31=1,$BL31=1,$BH31&gt;0),"–",""))</f>
        <v>0%</v>
      </c>
      <c r="S32" s="78" t="str">
        <f t="array" ref="S32">IF($BJ31&gt;0,IF(INDEX('Final Calculation Sheet'!$R$4:$R$40,$BJ31-3)="","",INDEX('Final Calculation Sheet'!$R$4:$R$40,$BJ31-3)),IF(OR($BI31=1,$BL31=1,$BH31&gt;0),IF($BI31=1,SUM('Final Calculation Sheet'!$R$4:$R$40),IF($BL31=1,SUM('Final Calculation Sheet'!$R$4:$R$40)-SUMIFS('Final Calculation Sheet'!$R$4:$R$40,$AZ$5:$AZ$41,10),SUMIFS('Final Calculation Sheet'!$R$4:$R$40,$AZ$5:$AZ$41,$BH31))),""))</f>
        <v>0</v>
      </c>
      <c r="T32" s="78" t="str">
        <f t="array" ref="T32">IF($BJ31&gt;0,IF(INDEX('Final Calculation Sheet'!$S$4:$S$40,$BJ31-3)="","",INDEX('Final Calculation Sheet'!$S$4:$S$40,$BJ31-3)),IF(OR($BI31=1,$BL31=1,$BH31&gt;0),IF($BI31=1,SUM('Final Calculation Sheet'!$S$4:$S$40),IF($BL31=1,SUM('Final Calculation Sheet'!$S$4:$S$40)-SUMIFS('Final Calculation Sheet'!$S$4:$S$40,$AZ$5:$AZ$41,10),SUMIFS('Final Calculation Sheet'!$S$4:$S$40,$AZ$5:$AZ$41,$BH31))),""))</f>
        <v>31,236</v>
      </c>
      <c r="U32" s="78" t="str">
        <f t="array" ref="U32">IF($BJ31&gt;0,IF(INDEX('Final Calculation Sheet'!$T$4:$T$40,$BJ31-3)="","",INDEX('Final Calculation Sheet'!$T$4:$T$40,$BJ31-3)),IF(OR($BI31=1,$BL31=1,$BH31&gt;0),IF($BI31=1,SUM('Final Calculation Sheet'!$T$4:$T$40),IF($BL31=1,SUM('Final Calculation Sheet'!$T$4:$T$40)-SUMIFS('Final Calculation Sheet'!$T$4:$T$40,$AZ$5:$AZ$41,10),SUMIFS('Final Calculation Sheet'!$T$4:$T$40,$AZ$5:$AZ$41,$BH31))),""))</f>
        <v>6,638</v>
      </c>
      <c r="V32" s="81" t="str">
        <f t="array" ref="V32">IF($BJ31&gt;0,IF(INDEX('Final Calculation Sheet'!$U$4:$U$40,$BJ31-3)="","",INDEX('Final Calculation Sheet'!$U$4:$U$40,$BJ31-3)),IF(OR($BI31=1,$BL31=1,$BH31&gt;0),IF($BI31=1,SUM('Final Calculation Sheet'!$U$4:$U$40),IF($BL31=1,SUM('Final Calculation Sheet'!$U$4:$U$40)-SUMIFS('Final Calculation Sheet'!$U$4:$U$40,$AZ$5:$AZ$41,10),SUMIFS('Final Calculation Sheet'!$U$4:$U$40,$AZ$5:$AZ$41,$BH31))),""))</f>
        <v>  6,638 </v>
      </c>
      <c r="W32" s="78" t="str">
        <f t="array" ref="W32">IF($BJ31&gt;0,IF(INDEX('Final Calculation Sheet'!$V$4:$V$40,$BJ31-3)="","",INDEX('Final Calculation Sheet'!$V$4:$V$40,$BJ31-3)),IF(OR($BI31=1,$BL31=1,$BH31&gt;0),"–",""))</f>
        <v>14.08.2026</v>
      </c>
      <c r="X32" s="78" t="str">
        <f t="array" ref="X32">IF($BJ31&gt;0,IF(INDEX('Final Calculation Sheet'!$W$4:$W$40,$BJ31-3)="","",INDEX('Final Calculation Sheet'!$W$4:$W$40,$BJ31-3)),IF(OR($BI31=1,$BL31=1,$BH31&gt;0),IF($BI31=1,SUM('Final Calculation Sheet'!$W$4:$W$40),IF($BL31=1,SUM('Final Calculation Sheet'!$W$4:$W$40)-SUMIFS('Final Calculation Sheet'!$W$4:$W$40,$AZ$5:$AZ$41,10),SUMIFS('Final Calculation Sheet'!$W$4:$W$40,$AZ$5:$AZ$41,$BH31))),""))</f>
        <v>24,599</v>
      </c>
      <c r="Y32" s="78" t="str">
        <f t="array" ref="Y32">IF($BJ31&gt;0,IF(INDEX('Final Calculation Sheet'!$X$4:$X$40,$BJ31-3)="","",INDEX('Final Calculation Sheet'!$X$4:$X$40,$BJ31-3)),IF(OR($BI31=1,$BL31=1,$BH31&gt;0),IF($BI31=1,SUM('Final Calculation Sheet'!$X$4:$X$40),IF($BL31=1,SUM('Final Calculation Sheet'!$X$4:$X$40)-SUMIFS('Final Calculation Sheet'!$X$4:$X$40,$AZ$5:$AZ$41,10),SUMIFS('Final Calculation Sheet'!$X$4:$X$40,$AZ$5:$AZ$41,$BH31))),""))</f>
        <v>24,598</v>
      </c>
      <c r="Z32" s="78" t="str">
        <f t="array" ref="Z32">IF($BJ31&gt;0,IF(INDEX('Final Calculation Sheet'!$Y$4:$Y$40,$BJ31-3)="","",INDEX('Final Calculation Sheet'!$Y$4:$Y$40,$BJ31-3)),IF(OR($BI31=1,$BL31=1,$BH31&gt;0),"–",""))</f>
        <v>21.08.2026</v>
      </c>
      <c r="AA32" s="78" t="str">
        <f t="array" ref="AA32">IF($BJ31&gt;0,IF(INDEX('Final Calculation Sheet'!$Z$4:$Z$40,$BJ31-3)="","",INDEX('Final Calculation Sheet'!$Z$4:$Z$40,$BJ31-3)),IF(OR($BI31=1,$BL31=1,$BH31&gt;0),IF($BI31=1,SUM('Final Calculation Sheet'!$Z$4:$Z$40),IF($BL31=1,SUM('Final Calculation Sheet'!$Z$4:$Z$40)-SUMIFS('Final Calculation Sheet'!$Z$4:$Z$40,$AZ$5:$AZ$41,10),SUMIFS('Final Calculation Sheet'!$Z$4:$Z$40,$AZ$5:$AZ$41,$BH31))),""))</f>
        <v>0</v>
      </c>
      <c r="AB32" s="78" t="str">
        <f t="array" ref="AB32">IF($BJ31&gt;0,IF(INDEX('Final Calculation Sheet'!$AA$4:$AA$40,$BJ31-3)="","",INDEX('Final Calculation Sheet'!$AA$4:$AA$40,$BJ31-3)),IF(OR($BI31=1,$BL31=1,$BH31&gt;0),IF($BI31=1,SUM('Final Calculation Sheet'!$AA$4:$AA$40),IF($BL31=1,SUM('Final Calculation Sheet'!$AA$4:$AA$40)-SUMIFS('Final Calculation Sheet'!$AA$4:$AA$40,$AZ$5:$AZ$41,10),SUMIFS('Final Calculation Sheet'!$AA$4:$AA$40,$AZ$5:$AZ$41,$BH31))),""))</f>
        <v/>
      </c>
      <c r="AC32" s="78" t="str">
        <f t="array" ref="AC32">IF($BJ31&gt;0,IF(INDEX('Final Calculation Sheet'!$AB$4:$AB$40,$BJ31-3)="","",INDEX('Final Calculation Sheet'!$AB$4:$AB$40,$BJ31-3)),IF(OR($BI31=1,$BL31=1,$BH31&gt;0),"–",""))</f>
        <v/>
      </c>
      <c r="AD32" s="78" t="str">
        <f t="array" ref="AD32">IF($BJ31&gt;0,IF(INDEX('Final Calculation Sheet'!$AC$4:$AC$40,$BJ31-3)="","",INDEX('Final Calculation Sheet'!$AC$4:$AC$40,$BJ31-3)),IF(OR($BI31=1,$BL31=1,$BH31&gt;0),IF($BI31=1,SUM('Final Calculation Sheet'!$AC$4:$AC$40),IF($BL31=1,SUM('Final Calculation Sheet'!$AC$4:$AC$40)-SUMIFS('Final Calculation Sheet'!$AC$4:$AC$40,$AZ$5:$AZ$41,10),SUMIFS('Final Calculation Sheet'!$AC$4:$AC$40,$AZ$5:$AZ$41,$BH31))),""))</f>
        <v>31,236</v>
      </c>
      <c r="AE32" s="78" t="str">
        <f t="array" ref="AE32">IF($BJ31&gt;0,IF(INDEX('Final Calculation Sheet'!$AD$4:$AD$40,$BJ31-3)="","",INDEX('Final Calculation Sheet'!$AD$4:$AD$40,$BJ31-3)),IF(OR($BI31=1,$BL31=1,$BH31&gt;0),IF($BI31=1,SUM('Final Calculation Sheet'!$AD$4:$AD$40),IF($BL31=1,SUM('Final Calculation Sheet'!$AD$4:$AD$40)-SUMIFS('Final Calculation Sheet'!$AD$4:$AD$40,$AZ$5:$AZ$41,10),SUMIFS('Final Calculation Sheet'!$AD$4:$AD$40,$AZ$5:$AZ$41,$BH31))),""))</f>
        <v>0</v>
      </c>
      <c r="AF32" s="78" t="str">
        <f t="array" ref="AF32">IF($BJ31&gt;0,IF(INDEX('Final Calculation Sheet'!$AE$4:$AE$40,$BJ31-3)="","",INDEX('Final Calculation Sheet'!$AE$4:$AE$40,$BJ31-3)),IF(OR($BI31=1,$BL31=1,$BH31&gt;0),"–",""))</f>
        <v>DR2640100043</v>
      </c>
      <c r="AG32" s="82" t="str">
        <f t="array" ref="AG32">IF($BJ31&gt;0,IF(INDEX('Final Calculation Sheet'!$AF$4:$AF$40,$BJ31-3)="","",INDEX('Final Calculation Sheet'!$AF$4:$AF$40,$BJ31-3)),IF(OR($BI31=1,$BL31=1,$BH31&gt;0),"–",""))</f>
        <v>1800003318</v>
      </c>
      <c r="AH32" s="78" t="str">
        <f t="array" ref="AH32">IF($BJ31&gt;0,IF(INDEX('Final Calculation Sheet'!$AG$4:$AG$40,$BJ31-3)="","",INDEX('Final Calculation Sheet'!$AG$4:$AG$40,$BJ31-3)),IF(OR($BI31=1,$BL31=1,$BH31&gt;0),"–",""))</f>
        <v>27.08.2026</v>
      </c>
      <c r="AI32" s="83" t="str">
        <f t="array" ref="AI32">IF($BJ31&gt;0,IF(INDEX('Final Calculation Sheet'!$AD$4:$AD$40,$BJ31-3)="","",IF(INDEX('Final Calculation Sheet'!$AD$4:$AD$40,$BJ31-3)&lt;=0,"SETTLED","OUTSTANDING")),IF(OR($BI31=1,$BL31=1,$BH31&gt;0),IF(IF($BI31=1,SUM('Final Calculation Sheet'!$AD$4:$AD$40),IF($BL31=1,SUM('Final Calculation Sheet'!$AD$4:$AD$40)-SUMIFS('Final Calculation Sheet'!$AD$4:$AD$40,$AZ$5:$AZ$41,10),SUMIFS('Final Calculation Sheet'!$AD$4:$AD$40,$AZ$5:$AZ$41,$BH31)))&lt;=0,"ALL SETTLED","OUTSTANDING"),""))</f>
        <v>SETTLED</v>
      </c>
      <c r="AK32" t="str">
        <f>IF($F$3="Lot No.",'Final Calculation Sheet'!$F$31,IF($F$3="Buyer",'Final Calculation Sheet'!$G$31,IF($F$3="Lot Name",'Final Calculation Sheet'!$B$31,IF($F$3="Bid Sheet",'Final Calculation Sheet'!$D$31,IF($F$3="Unit",'Final Calculation Sheet'!$E$31,'Final Calculation Sheet'!$F$31&amp;" "&amp;'Final Calculation Sheet'!$G$31&amp;" "&amp;'Final Calculation Sheet'!$B$31)))))</f>
        <v>2046 SAHARA ENTERPRISES Scrap of AAAC Earth wire</v>
      </c>
      <c r="AM32" t="str">
        <f t="shared" si="3"/>
        <v>0</v>
      </c>
      <c r="AZ32" t="str">
        <f t="shared" si="4"/>
        <v>10</v>
      </c>
      <c r="BA32" t="str">
        <f t="shared" si="5"/>
        <v>27</v>
      </c>
      <c r="BB32" t="str">
        <f t="shared" si="6"/>
        <v>34</v>
      </c>
      <c r="BC32">
        <v>31.0</v>
      </c>
      <c r="BH32" t="str">
        <f>IFERROR(MATCH(32,$BF$4:$BF$13,0),0)</f>
        <v>0</v>
      </c>
      <c r="BI32" t="str">
        <f>IF(32=$BG$5,1,0)</f>
        <v>0</v>
      </c>
      <c r="BJ32" t="str">
        <f t="array" ref="BJ32">IF(OR($BH32&gt;0,$BI32=1,$BL32=1),0,IFERROR(INDEX($BC$5:$BC$41,MATCH(32,$BB$5:$BB$41,0)),0))</f>
        <v>29</v>
      </c>
      <c r="BK32" t="str">
        <f t="array" ref="BK32">IF($BJ32&gt;0,IF(INDEX($AZ$5:$AZ$41,MATCH(32,$BB$5:$BB$41,0))=10,1,0),IF($BH32=10,1,0))</f>
        <v>1</v>
      </c>
      <c r="BL32" t="str">
        <f>IF(32=$BG$4,1,0)</f>
        <v>0</v>
      </c>
      <c r="BM32" t="str">
        <f t="shared" si="8"/>
        <v>1</v>
      </c>
      <c r="BN32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Sheet'!$F$31)&amp;"",""))))&gt;0))</f>
        <v>1</v>
      </c>
      <c r="BO32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Sheet'!$G$31)&amp;"",""))))&gt;0))</f>
        <v>1</v>
      </c>
      <c r="BP32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Sheet'!$B$31)&amp;"",""))))&gt;0))</f>
        <v>1</v>
      </c>
      <c r="BQ32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Sheet'!$D$31)&amp;"",""))))&gt;0))</f>
        <v>1</v>
      </c>
      <c r="BR32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Sheet'!$A$31)&amp;"",""))))&gt;0))</f>
        <v>1</v>
      </c>
      <c r="BS32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Sheet'!$E$31)&amp;"",""))))&gt;0))</f>
        <v>1</v>
      </c>
      <c r="BT32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Sheet'!$C$31)&amp;"",""))))&gt;0))</f>
        <v>1</v>
      </c>
      <c r="BU32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Sheet'!$H$31)&amp;"",""))))&gt;0))</f>
        <v>1</v>
      </c>
      <c r="BV32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Sheet'!$I$31)&amp;"",""))))&gt;0))</f>
        <v>1</v>
      </c>
      <c r="BW32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Sheet'!$J$31)&amp;"",""))))&gt;0))</f>
        <v>1</v>
      </c>
      <c r="BX32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Sheet'!$K$31)&amp;"",""))))&gt;0))</f>
        <v>1</v>
      </c>
      <c r="BY32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Sheet'!$L$31)&amp;"",""))))&gt;0))</f>
        <v>1</v>
      </c>
      <c r="BZ32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Sheet'!$M$31)&amp;"",""))))&gt;0))</f>
        <v>1</v>
      </c>
      <c r="CA32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Sheet'!$N$31)&amp;"",""))))&gt;0))</f>
        <v>1</v>
      </c>
      <c r="CB32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Sheet'!$O$31)&amp;"",""))))&gt;0))</f>
        <v>1</v>
      </c>
      <c r="CC32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Sheet'!$P$31)&amp;"",""))))&gt;0))</f>
        <v>1</v>
      </c>
      <c r="CD32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Sheet'!$Q$31)&amp;"",""))))&gt;0))</f>
        <v>1</v>
      </c>
      <c r="CE32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Sheet'!$R$31)&amp;"",""))))&gt;0))</f>
        <v>1</v>
      </c>
      <c r="CF32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Sheet'!$S$31)&amp;"",""))))&gt;0))</f>
        <v>1</v>
      </c>
      <c r="CG32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Sheet'!$T$31)&amp;"",""))))&gt;0))</f>
        <v>1</v>
      </c>
      <c r="CH32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Sheet'!$U$31)&amp;"",""))))&gt;0))</f>
        <v>1</v>
      </c>
      <c r="CI32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Sheet'!$V$31)&amp;"",""))))&gt;0))</f>
        <v>1</v>
      </c>
      <c r="CJ32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Sheet'!$W$31)&amp;"",""))))&gt;0))</f>
        <v>1</v>
      </c>
      <c r="CK32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Sheet'!$X$31)&amp;"",""))))&gt;0))</f>
        <v>1</v>
      </c>
      <c r="CL32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Sheet'!$Y$31)&amp;"",""))))&gt;0))</f>
        <v>1</v>
      </c>
      <c r="CM32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Sheet'!$Z$31)&amp;"",""))))&gt;0))</f>
        <v>1</v>
      </c>
      <c r="CN32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Sheet'!$AA$31)&amp;"",""))))&gt;0))</f>
        <v>1</v>
      </c>
      <c r="CO32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Sheet'!$AB$31)&amp;"",""))))&gt;0))</f>
        <v>1</v>
      </c>
      <c r="CP32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Sheet'!$AC$31)&amp;"",""))))&gt;0))</f>
        <v>1</v>
      </c>
      <c r="CQ32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Sheet'!$AD$31)&amp;"",""))))&gt;0))</f>
        <v>1</v>
      </c>
      <c r="CR32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Sheet'!$AE$31)&amp;"",""))))&gt;0))</f>
        <v>1</v>
      </c>
      <c r="CS32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Sheet'!$AF$31)&amp;"",""))))&gt;0))</f>
        <v>1</v>
      </c>
      <c r="CT32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Sheet'!$AG$31)&amp;"",""))))&gt;0))</f>
        <v>1</v>
      </c>
      <c r="CU32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Sheet'!$AD$31&lt;=0,"SETTLED","OUTSTANDING"))&amp;"",""))))&gt;0))</f>
        <v>1</v>
      </c>
    </row>
    <row r="33" ht="15.0" customHeight="1">
      <c r="A33" s="75" t="str">
        <f t="array" ref="A33">IF($BJ32&gt;0,INDEX($BA$5:$BA$41,MATCH(32,$BB$5:$BB$41,0)),IF(OR($BI32=1,$BL32=1,$BH32&gt;0),"∑",""))</f>
        <v>25</v>
      </c>
      <c r="B33" s="76" t="str">
        <f t="array" ref="B33">IF($BJ32&gt;0,IF(INDEX('Final Calculation Sheet'!$F$4:$F$40,$BJ32-3)="","",INDEX('Final Calculation Sheet'!$F$4:$F$40,$BJ32-3)),"")</f>
        <v>2040</v>
      </c>
      <c r="C33" s="76" t="str">
        <f t="array" ref="C33">IF($BJ32&gt;0,IF(INDEX('Final Calculation Sheet'!$G$4:$G$40,$BJ32-3)="","",INDEX('Final Calculation Sheet'!$G$4:$G$40,$BJ32-3)),IF(OR($BI32=1,$BL32=1,$BH32&gt;0),IF($BI32=1,37,IF($BL32=1,37-INDEX($BD$4:$BD$13,10),INDEX($BD$4:$BD$13,$BH32)))&amp;" lot(s)",""))</f>
        <v>STERLING ENTERPRISES</v>
      </c>
      <c r="D33" s="77" t="str">
        <f t="array" ref="D33">IF($BJ32&gt;0,IF(INDEX('Final Calculation Sheet'!$B$4:$B$40,$BJ32-3)="","",INDEX('Final Calculation Sheet'!$B$4:$B$40,$BJ32-3)),IF(OR($BI32=1,$BL32=1,$BH32&gt;0),IF($BI32=1,"GRAND TOTAL  —  matching + remaining",IF($BL32=1,"TOTAL MATCHED  —  every group together",IF($BH32=10,"REMAINING  —  did not match the search",IF($BH32=9,IF(COUNTIF($A$4:$AI$4,"&lt;&gt;")&gt;0,"FILTERED LOTS  —  column fields","ALL LOTS  —  nothing typed in the box"),"GROUP "&amp;$BH32&amp;" TOTAL  —  lots matching  "&amp;INDEX($AR$6:$AY$6,$BH32))))),""))</f>
        <v>Scrap of 33 KV CT</v>
      </c>
      <c r="E33" s="77" t="str">
        <f t="array" ref="E33">IF($BJ32&gt;0,IF(INDEX('Final Calculation Sheet'!$D$4:$D$40,$BJ32-3)="","",INDEX('Final Calculation Sheet'!$D$4:$D$40,$BJ32-3)),IF(OR($BI32=1,$BL32=1,$BH32&gt;0),"–",""))</f>
        <v>21978</v>
      </c>
      <c r="F33" s="77" t="str">
        <f t="array" ref="F33">IF($BJ32&gt;0,IF(INDEX('Final Calculation Sheet'!$A$4:$A$40,$BJ32-3)="","",INDEX('Final Calculation Sheet'!$A$4:$A$40,$BJ32-3)),IF(OR($BI32=1,$BL32=1,$BH32&gt;0),IF($BI32=1,SUM('Final Calculation Sheet'!$A$4:$A$40),IF($BL32=1,SUM('Final Calculation Sheet'!$A$4:$A$40)-SUMIFS('Final Calculation Sheet'!$A$4:$A$40,$AZ$5:$AZ$41,10),SUMIFS('Final Calculation Sheet'!$A$4:$A$40,$AZ$5:$AZ$41,$BH32))),""))</f>
        <v>3</v>
      </c>
      <c r="G33" s="77" t="str">
        <f t="array" ref="G33">IF($BJ32&gt;0,IF(INDEX('Final Calculation Sheet'!$E$4:$E$40,$BJ32-3)="","",INDEX('Final Calculation Sheet'!$E$4:$E$40,$BJ32-3)),IF(OR($BI32=1,$BL32=1,$BH32&gt;0),"–",""))</f>
        <v>NO</v>
      </c>
      <c r="H33" s="78" t="str">
        <f t="array" ref="H33">IF($BJ32&gt;0,IF(INDEX('Final Calculation Sheet'!$C$4:$C$40,$BJ32-3)="","",INDEX('Final Calculation Sheet'!$C$4:$C$40,$BJ32-3)),IF(OR($BI32=1,$BL32=1,$BH32&gt;0),"–",""))</f>
        <v>90,002</v>
      </c>
      <c r="I33" s="78" t="str">
        <f t="array" ref="I33">IF($BJ32&gt;0,IF(INDEX('Final Calculation Sheet'!$H$4:$H$40,$BJ32-3)="","",INDEX('Final Calculation Sheet'!$H$4:$H$40,$BJ32-3)),IF(OR($BI32=1,$BL32=1,$BH32&gt;0),IF($BI32=1,SUM('Final Calculation Sheet'!$H$4:$H$40),IF($BL32=1,SUM('Final Calculation Sheet'!$H$4:$H$40)-SUMIFS('Final Calculation Sheet'!$H$4:$H$40,$AZ$5:$AZ$41,10),SUMIFS('Final Calculation Sheet'!$H$4:$H$40,$AZ$5:$AZ$41,$BH32))),""))</f>
        <v>270,006</v>
      </c>
      <c r="J33" s="78" t="str">
        <f t="array" ref="J33">IF($BJ32&gt;0,IF(INDEX('Final Calculation Sheet'!$I$4:$I$40,$BJ32-3)="","",INDEX('Final Calculation Sheet'!$I$4:$I$40,$BJ32-3)),IF(OR($BI32=1,$BL32=1,$BH32&gt;0),IF($BI32=1,SUM('Final Calculation Sheet'!$I$4:$I$40),IF($BL32=1,SUM('Final Calculation Sheet'!$I$4:$I$40)-SUMIFS('Final Calculation Sheet'!$I$4:$I$40,$AZ$5:$AZ$41,10),SUMIFS('Final Calculation Sheet'!$I$4:$I$40,$AZ$5:$AZ$41,$BH32))),""))</f>
        <v>48,601</v>
      </c>
      <c r="K33" s="78" t="str">
        <f t="array" ref="K33">IF($BJ32&gt;0,IF(INDEX('Final Calculation Sheet'!$J$4:$J$40,$BJ32-3)="","",INDEX('Final Calculation Sheet'!$J$4:$J$40,$BJ32-3)),IF(OR($BI32=1,$BL32=1,$BH32&gt;0),IF($BI32=1,SUM('Final Calculation Sheet'!$J$4:$J$40),IF($BL32=1,SUM('Final Calculation Sheet'!$J$4:$J$40)-SUMIFS('Final Calculation Sheet'!$J$4:$J$40,$AZ$5:$AZ$41,10),SUMIFS('Final Calculation Sheet'!$J$4:$J$40,$AZ$5:$AZ$41,$BH32))),""))</f>
        <v>318,607</v>
      </c>
      <c r="L33" s="78" t="str">
        <f t="array" ref="L33">IF($BJ32&gt;0,IF(INDEX('Final Calculation Sheet'!$K$4:$K$40,$BJ32-3)="","",INDEX('Final Calculation Sheet'!$K$4:$K$40,$BJ32-3)),IF(OR($BI32=1,$BL32=1,$BH32&gt;0),IF($BI32=1,SUM('Final Calculation Sheet'!$K$4:$K$40),IF($BL32=1,SUM('Final Calculation Sheet'!$K$4:$K$40)-SUMIFS('Final Calculation Sheet'!$K$4:$K$40,$AZ$5:$AZ$41,10),SUMIFS('Final Calculation Sheet'!$K$4:$K$40,$AZ$5:$AZ$41,$BH32))),""))</f>
        <v>6,372</v>
      </c>
      <c r="M33" s="78" t="str">
        <f t="array" ref="M33">IF($BJ32&gt;0,IF(INDEX('Final Calculation Sheet'!$L$4:$L$40,$BJ32-3)="","",INDEX('Final Calculation Sheet'!$L$4:$L$40,$BJ32-3)),IF(OR($BI32=1,$BL32=1,$BH32&gt;0),IF($BI32=1,SUM('Final Calculation Sheet'!$L$4:$L$40),IF($BL32=1,SUM('Final Calculation Sheet'!$L$4:$L$40)-SUMIFS('Final Calculation Sheet'!$L$4:$L$40,$AZ$5:$AZ$41,10),SUMIFS('Final Calculation Sheet'!$L$4:$L$40,$AZ$5:$AZ$41,$BH32))),""))</f>
        <v>270</v>
      </c>
      <c r="N33" s="78" t="str">
        <f t="array" ref="N33">IF($BJ32&gt;0,IF(INDEX('Final Calculation Sheet'!$M$4:$M$40,$BJ32-3)="","",INDEX('Final Calculation Sheet'!$M$4:$M$40,$BJ32-3)),IF(OR($BI32=1,$BL32=1,$BH32&gt;0),IF($BI32=1,SUM('Final Calculation Sheet'!$M$4:$M$40),IF($BL32=1,SUM('Final Calculation Sheet'!$M$4:$M$40)-SUMIFS('Final Calculation Sheet'!$M$4:$M$40,$AZ$5:$AZ$41,10),SUMIFS('Final Calculation Sheet'!$M$4:$M$40,$AZ$5:$AZ$41,$BH32))),""))</f>
        <v>7,169</v>
      </c>
      <c r="O33" s="79" t="str">
        <f t="array" ref="O33">IF($BJ32&gt;0,IF(INDEX('Final Calculation Sheet'!$N$4:$N$40,$BJ32-3)="","",INDEX('Final Calculation Sheet'!$N$4:$N$40,$BJ32-3)),IF(OR($BI32=1,$BL32=1,$BH32&gt;0),IF($BI32=1,SUM('Final Calculation Sheet'!$N$4:$N$40),IF($BL32=1,SUM('Final Calculation Sheet'!$N$4:$N$40)-SUMIFS('Final Calculation Sheet'!$N$4:$N$40,$AZ$5:$AZ$41,10),SUMIFS('Final Calculation Sheet'!$N$4:$N$40,$AZ$5:$AZ$41,$BH32))),""))</f>
        <v>122</v>
      </c>
      <c r="P33" s="78" t="str">
        <f t="array" ref="P33">IF($BJ32&gt;0,IF(INDEX('Final Calculation Sheet'!$O$4:$O$40,$BJ32-3)="","",INDEX('Final Calculation Sheet'!$O$4:$O$40,$BJ32-3)),IF(OR($BI32=1,$BL32=1,$BH32&gt;0),IF($BI32=1,SUM('Final Calculation Sheet'!$O$4:$O$40),IF($BL32=1,SUM('Final Calculation Sheet'!$O$4:$O$40)-SUMIFS('Final Calculation Sheet'!$O$4:$O$40,$AZ$5:$AZ$41,10),SUMIFS('Final Calculation Sheet'!$O$4:$O$40,$AZ$5:$AZ$41,$BH32))),""))</f>
        <v>7,047</v>
      </c>
      <c r="Q33" s="78" t="str">
        <f t="array" ref="Q33">IF($BJ32&gt;0,IF(INDEX('Final Calculation Sheet'!$P$4:$P$40,$BJ32-3)="","",INDEX('Final Calculation Sheet'!$P$4:$P$40,$BJ32-3)),IF(OR($BI32=1,$BL32=1,$BH32&gt;0),IF($BI32=1,SUM('Final Calculation Sheet'!$P$4:$P$40),IF($BL32=1,SUM('Final Calculation Sheet'!$P$4:$P$40)-SUMIFS('Final Calculation Sheet'!$P$4:$P$40,$AZ$5:$AZ$41,10),SUMIFS('Final Calculation Sheet'!$P$4:$P$40,$AZ$5:$AZ$41,$BH32))),""))</f>
        <v>7,317</v>
      </c>
      <c r="R33" s="80" t="str">
        <f t="array" ref="R33">IF($BJ32&gt;0,IF(INDEX('Final Calculation Sheet'!$Q$4:$Q$40,$BJ32-3)="","",INDEX('Final Calculation Sheet'!$Q$4:$Q$40,$BJ32-3)),IF(OR($BI32=1,$BL32=1,$BH32&gt;0),"–",""))</f>
        <v>0%</v>
      </c>
      <c r="S33" s="78" t="str">
        <f t="array" ref="S33">IF($BJ32&gt;0,IF(INDEX('Final Calculation Sheet'!$R$4:$R$40,$BJ32-3)="","",INDEX('Final Calculation Sheet'!$R$4:$R$40,$BJ32-3)),IF(OR($BI32=1,$BL32=1,$BH32&gt;0),IF($BI32=1,SUM('Final Calculation Sheet'!$R$4:$R$40),IF($BL32=1,SUM('Final Calculation Sheet'!$R$4:$R$40)-SUMIFS('Final Calculation Sheet'!$R$4:$R$40,$AZ$5:$AZ$41,10),SUMIFS('Final Calculation Sheet'!$R$4:$R$40,$AZ$5:$AZ$41,$BH32))),""))</f>
        <v>0</v>
      </c>
      <c r="T33" s="78" t="str">
        <f t="array" ref="T33">IF($BJ32&gt;0,IF(INDEX('Final Calculation Sheet'!$S$4:$S$40,$BJ32-3)="","",INDEX('Final Calculation Sheet'!$S$4:$S$40,$BJ32-3)),IF(OR($BI32=1,$BL32=1,$BH32&gt;0),IF($BI32=1,SUM('Final Calculation Sheet'!$S$4:$S$40),IF($BL32=1,SUM('Final Calculation Sheet'!$S$4:$S$40)-SUMIFS('Final Calculation Sheet'!$S$4:$S$40,$AZ$5:$AZ$41,10),SUMIFS('Final Calculation Sheet'!$S$4:$S$40,$AZ$5:$AZ$41,$BH32))),""))</f>
        <v>317,662</v>
      </c>
      <c r="U33" s="78" t="str">
        <f t="array" ref="U33">IF($BJ32&gt;0,IF(INDEX('Final Calculation Sheet'!$T$4:$T$40,$BJ32-3)="","",INDEX('Final Calculation Sheet'!$T$4:$T$40,$BJ32-3)),IF(OR($BI32=1,$BL32=1,$BH32&gt;0),IF($BI32=1,SUM('Final Calculation Sheet'!$T$4:$T$40),IF($BL32=1,SUM('Final Calculation Sheet'!$T$4:$T$40)-SUMIFS('Final Calculation Sheet'!$T$4:$T$40,$AZ$5:$AZ$41,10),SUMIFS('Final Calculation Sheet'!$T$4:$T$40,$AZ$5:$AZ$41,$BH32))),""))</f>
        <v>67,502</v>
      </c>
      <c r="V33" s="81" t="str">
        <f t="array" ref="V33">IF($BJ32&gt;0,IF(INDEX('Final Calculation Sheet'!$U$4:$U$40,$BJ32-3)="","",INDEX('Final Calculation Sheet'!$U$4:$U$40,$BJ32-3)),IF(OR($BI32=1,$BL32=1,$BH32&gt;0),IF($BI32=1,SUM('Final Calculation Sheet'!$U$4:$U$40),IF($BL32=1,SUM('Final Calculation Sheet'!$U$4:$U$40)-SUMIFS('Final Calculation Sheet'!$U$4:$U$40,$AZ$5:$AZ$41,10),SUMIFS('Final Calculation Sheet'!$U$4:$U$40,$AZ$5:$AZ$41,$BH32))),""))</f>
        <v>  67,502 </v>
      </c>
      <c r="W33" s="78" t="str">
        <f t="array" ref="W33">IF($BJ32&gt;0,IF(INDEX('Final Calculation Sheet'!$V$4:$V$40,$BJ32-3)="","",INDEX('Final Calculation Sheet'!$V$4:$V$40,$BJ32-3)),IF(OR($BI32=1,$BL32=1,$BH32&gt;0),"–",""))</f>
        <v>11.08.2026</v>
      </c>
      <c r="X33" s="78" t="str">
        <f t="array" ref="X33">IF($BJ32&gt;0,IF(INDEX('Final Calculation Sheet'!$W$4:$W$40,$BJ32-3)="","",INDEX('Final Calculation Sheet'!$W$4:$W$40,$BJ32-3)),IF(OR($BI32=1,$BL32=1,$BH32&gt;0),IF($BI32=1,SUM('Final Calculation Sheet'!$W$4:$W$40),IF($BL32=1,SUM('Final Calculation Sheet'!$W$4:$W$40)-SUMIFS('Final Calculation Sheet'!$W$4:$W$40,$AZ$5:$AZ$41,10),SUMIFS('Final Calculation Sheet'!$W$4:$W$40,$AZ$5:$AZ$41,$BH32))),""))</f>
        <v>250,161</v>
      </c>
      <c r="Y33" s="78" t="str">
        <f t="array" ref="Y33">IF($BJ32&gt;0,IF(INDEX('Final Calculation Sheet'!$X$4:$X$40,$BJ32-3)="","",INDEX('Final Calculation Sheet'!$X$4:$X$40,$BJ32-3)),IF(OR($BI32=1,$BL32=1,$BH32&gt;0),IF($BI32=1,SUM('Final Calculation Sheet'!$X$4:$X$40),IF($BL32=1,SUM('Final Calculation Sheet'!$X$4:$X$40)-SUMIFS('Final Calculation Sheet'!$X$4:$X$40,$AZ$5:$AZ$41,10),SUMIFS('Final Calculation Sheet'!$X$4:$X$40,$AZ$5:$AZ$41,$BH32))),""))</f>
        <v/>
      </c>
      <c r="Z33" s="78" t="str">
        <f t="array" ref="Z33">IF($BJ32&gt;0,IF(INDEX('Final Calculation Sheet'!$Y$4:$Y$40,$BJ32-3)="","",INDEX('Final Calculation Sheet'!$Y$4:$Y$40,$BJ32-3)),IF(OR($BI32=1,$BL32=1,$BH32&gt;0),"–",""))</f>
        <v>0</v>
      </c>
      <c r="AA33" s="78" t="str">
        <f t="array" ref="AA33">IF($BJ32&gt;0,IF(INDEX('Final Calculation Sheet'!$Z$4:$Z$40,$BJ32-3)="","",INDEX('Final Calculation Sheet'!$Z$4:$Z$40,$BJ32-3)),IF(OR($BI32=1,$BL32=1,$BH32&gt;0),IF($BI32=1,SUM('Final Calculation Sheet'!$Z$4:$Z$40),IF($BL32=1,SUM('Final Calculation Sheet'!$Z$4:$Z$40)-SUMIFS('Final Calculation Sheet'!$Z$4:$Z$40,$AZ$5:$AZ$41,10),SUMIFS('Final Calculation Sheet'!$Z$4:$Z$40,$AZ$5:$AZ$41,$BH32))),""))</f>
        <v>9,558</v>
      </c>
      <c r="AB33" s="78" t="str">
        <f t="array" ref="AB33">IF($BJ32&gt;0,IF(INDEX('Final Calculation Sheet'!$AA$4:$AA$40,$BJ32-3)="","",INDEX('Final Calculation Sheet'!$AA$4:$AA$40,$BJ32-3)),IF(OR($BI32=1,$BL32=1,$BH32&gt;0),IF($BI32=1,SUM('Final Calculation Sheet'!$AA$4:$AA$40),IF($BL32=1,SUM('Final Calculation Sheet'!$AA$4:$AA$40)-SUMIFS('Final Calculation Sheet'!$AA$4:$AA$40,$AZ$5:$AZ$41,10),SUMIFS('Final Calculation Sheet'!$AA$4:$AA$40,$AZ$5:$AZ$41,$BH32))),""))</f>
        <v/>
      </c>
      <c r="AC33" s="78" t="str">
        <f t="array" ref="AC33">IF($BJ32&gt;0,IF(INDEX('Final Calculation Sheet'!$AB$4:$AB$40,$BJ32-3)="","",INDEX('Final Calculation Sheet'!$AB$4:$AB$40,$BJ32-3)),IF(OR($BI32=1,$BL32=1,$BH32&gt;0),"–",""))</f>
        <v/>
      </c>
      <c r="AD33" s="78" t="str">
        <f t="array" ref="AD33">IF($BJ32&gt;0,IF(INDEX('Final Calculation Sheet'!$AC$4:$AC$40,$BJ32-3)="","",INDEX('Final Calculation Sheet'!$AC$4:$AC$40,$BJ32-3)),IF(OR($BI32=1,$BL32=1,$BH32&gt;0),IF($BI32=1,SUM('Final Calculation Sheet'!$AC$4:$AC$40),IF($BL32=1,SUM('Final Calculation Sheet'!$AC$4:$AC$40)-SUMIFS('Final Calculation Sheet'!$AC$4:$AC$40,$AZ$5:$AZ$41,10),SUMIFS('Final Calculation Sheet'!$AC$4:$AC$40,$AZ$5:$AZ$41,$BH32))),""))</f>
        <v>67,502</v>
      </c>
      <c r="AE33" s="78" t="str">
        <f t="array" ref="AE33">IF($BJ32&gt;0,IF(INDEX('Final Calculation Sheet'!$AD$4:$AD$40,$BJ32-3)="","",INDEX('Final Calculation Sheet'!$AD$4:$AD$40,$BJ32-3)),IF(OR($BI32=1,$BL32=1,$BH32&gt;0),IF($BI32=1,SUM('Final Calculation Sheet'!$AD$4:$AD$40),IF($BL32=1,SUM('Final Calculation Sheet'!$AD$4:$AD$40)-SUMIFS('Final Calculation Sheet'!$AD$4:$AD$40,$AZ$5:$AZ$41,10),SUMIFS('Final Calculation Sheet'!$AD$4:$AD$40,$AZ$5:$AZ$41,$BH32))),""))</f>
        <v>250,160</v>
      </c>
      <c r="AF33" s="78" t="str">
        <f t="array" ref="AF33">IF($BJ32&gt;0,IF(INDEX('Final Calculation Sheet'!$AE$4:$AE$40,$BJ32-3)="","",INDEX('Final Calculation Sheet'!$AE$4:$AE$40,$BJ32-3)),IF(OR($BI32=1,$BL32=1,$BH32&gt;0),"–",""))</f>
        <v/>
      </c>
      <c r="AG33" s="82" t="str">
        <f t="array" ref="AG33">IF($BJ32&gt;0,IF(INDEX('Final Calculation Sheet'!$AF$4:$AF$40,$BJ32-3)="","",INDEX('Final Calculation Sheet'!$AF$4:$AF$40,$BJ32-3)),IF(OR($BI32=1,$BL32=1,$BH32&gt;0),"–",""))</f>
        <v/>
      </c>
      <c r="AH33" s="78" t="str">
        <f t="array" ref="AH33">IF($BJ32&gt;0,IF(INDEX('Final Calculation Sheet'!$AG$4:$AG$40,$BJ32-3)="","",INDEX('Final Calculation Sheet'!$AG$4:$AG$40,$BJ32-3)),IF(OR($BI32=1,$BL32=1,$BH32&gt;0),"–",""))</f>
        <v/>
      </c>
      <c r="AI33" s="83" t="str">
        <f t="array" ref="AI33">IF($BJ32&gt;0,IF(INDEX('Final Calculation Sheet'!$AD$4:$AD$40,$BJ32-3)="","",IF(INDEX('Final Calculation Sheet'!$AD$4:$AD$40,$BJ32-3)&lt;=0,"SETTLED","OUTSTANDING")),IF(OR($BI32=1,$BL32=1,$BH32&gt;0),IF(IF($BI32=1,SUM('Final Calculation Sheet'!$AD$4:$AD$40),IF($BL32=1,SUM('Final Calculation Sheet'!$AD$4:$AD$40)-SUMIFS('Final Calculation Sheet'!$AD$4:$AD$40,$AZ$5:$AZ$41,10),SUMIFS('Final Calculation Sheet'!$AD$4:$AD$40,$AZ$5:$AZ$41,$BH32)))&lt;=0,"ALL SETTLED","OUTSTANDING"),""))</f>
        <v>OUTSTANDING</v>
      </c>
      <c r="AK33" t="str">
        <f>IF($F$3="Lot No.",'Final Calculation Sheet'!$F$32,IF($F$3="Buyer",'Final Calculation Sheet'!$G$32,IF($F$3="Lot Name",'Final Calculation Sheet'!$B$32,IF($F$3="Bid Sheet",'Final Calculation Sheet'!$D$32,IF($F$3="Unit",'Final Calculation Sheet'!$E$32,'Final Calculation Sheet'!$F$32&amp;" "&amp;'Final Calculation Sheet'!$G$32&amp;" "&amp;'Final Calculation Sheet'!$B$32)))))</f>
        <v>2055 NATIONAL ENTERPRISES Scrap of 220 KV CT</v>
      </c>
      <c r="AM33" t="str">
        <f t="shared" si="3"/>
        <v>0</v>
      </c>
      <c r="AZ33" t="str">
        <f t="shared" si="4"/>
        <v>10</v>
      </c>
      <c r="BA33" t="str">
        <f t="shared" si="5"/>
        <v>28</v>
      </c>
      <c r="BB33" t="str">
        <f t="shared" si="6"/>
        <v>35</v>
      </c>
      <c r="BC33">
        <v>32.0</v>
      </c>
      <c r="BH33" t="str">
        <f>IFERROR(MATCH(33,$BF$4:$BF$13,0),0)</f>
        <v>0</v>
      </c>
      <c r="BI33" t="str">
        <f>IF(33=$BG$5,1,0)</f>
        <v>0</v>
      </c>
      <c r="BJ33" t="str">
        <f t="array" ref="BJ33">IF(OR($BH33&gt;0,$BI33=1,$BL33=1),0,IFERROR(INDEX($BC$5:$BC$41,MATCH(33,$BB$5:$BB$41,0)),0))</f>
        <v>30</v>
      </c>
      <c r="BK33" t="str">
        <f t="array" ref="BK33">IF($BJ33&gt;0,IF(INDEX($AZ$5:$AZ$41,MATCH(33,$BB$5:$BB$41,0))=10,1,0),IF($BH33=10,1,0))</f>
        <v>1</v>
      </c>
      <c r="BL33" t="str">
        <f>IF(33=$BG$4,1,0)</f>
        <v>0</v>
      </c>
      <c r="BM33" t="str">
        <f t="shared" si="8"/>
        <v>1</v>
      </c>
      <c r="BN33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Sheet'!$F$32)&amp;"",""))))&gt;0))</f>
        <v>1</v>
      </c>
      <c r="BO33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Sheet'!$G$32)&amp;"",""))))&gt;0))</f>
        <v>1</v>
      </c>
      <c r="BP33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Sheet'!$B$32)&amp;"",""))))&gt;0))</f>
        <v>1</v>
      </c>
      <c r="BQ33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Sheet'!$D$32)&amp;"",""))))&gt;0))</f>
        <v>1</v>
      </c>
      <c r="BR33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Sheet'!$A$32)&amp;"",""))))&gt;0))</f>
        <v>1</v>
      </c>
      <c r="BS33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Sheet'!$E$32)&amp;"",""))))&gt;0))</f>
        <v>1</v>
      </c>
      <c r="BT33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Sheet'!$C$32)&amp;"",""))))&gt;0))</f>
        <v>1</v>
      </c>
      <c r="BU33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Sheet'!$H$32)&amp;"",""))))&gt;0))</f>
        <v>1</v>
      </c>
      <c r="BV33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Sheet'!$I$32)&amp;"",""))))&gt;0))</f>
        <v>1</v>
      </c>
      <c r="BW33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Sheet'!$J$32)&amp;"",""))))&gt;0))</f>
        <v>1</v>
      </c>
      <c r="BX33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Sheet'!$K$32)&amp;"",""))))&gt;0))</f>
        <v>1</v>
      </c>
      <c r="BY33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Sheet'!$L$32)&amp;"",""))))&gt;0))</f>
        <v>1</v>
      </c>
      <c r="BZ33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Sheet'!$M$32)&amp;"",""))))&gt;0))</f>
        <v>1</v>
      </c>
      <c r="CA33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Sheet'!$N$32)&amp;"",""))))&gt;0))</f>
        <v>1</v>
      </c>
      <c r="CB33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Sheet'!$O$32)&amp;"",""))))&gt;0))</f>
        <v>1</v>
      </c>
      <c r="CC33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Sheet'!$P$32)&amp;"",""))))&gt;0))</f>
        <v>1</v>
      </c>
      <c r="CD33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Sheet'!$Q$32)&amp;"",""))))&gt;0))</f>
        <v>1</v>
      </c>
      <c r="CE33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Sheet'!$R$32)&amp;"",""))))&gt;0))</f>
        <v>1</v>
      </c>
      <c r="CF33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Sheet'!$S$32)&amp;"",""))))&gt;0))</f>
        <v>1</v>
      </c>
      <c r="CG33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Sheet'!$T$32)&amp;"",""))))&gt;0))</f>
        <v>1</v>
      </c>
      <c r="CH33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Sheet'!$U$32)&amp;"",""))))&gt;0))</f>
        <v>1</v>
      </c>
      <c r="CI33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Sheet'!$V$32)&amp;"",""))))&gt;0))</f>
        <v>1</v>
      </c>
      <c r="CJ33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Sheet'!$W$32)&amp;"",""))))&gt;0))</f>
        <v>1</v>
      </c>
      <c r="CK33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Sheet'!$X$32)&amp;"",""))))&gt;0))</f>
        <v>1</v>
      </c>
      <c r="CL33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Sheet'!$Y$32)&amp;"",""))))&gt;0))</f>
        <v>1</v>
      </c>
      <c r="CM33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Sheet'!$Z$32)&amp;"",""))))&gt;0))</f>
        <v>1</v>
      </c>
      <c r="CN33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Sheet'!$AA$32)&amp;"",""))))&gt;0))</f>
        <v>1</v>
      </c>
      <c r="CO33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Sheet'!$AB$32)&amp;"",""))))&gt;0))</f>
        <v>1</v>
      </c>
      <c r="CP33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Sheet'!$AC$32)&amp;"",""))))&gt;0))</f>
        <v>1</v>
      </c>
      <c r="CQ33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Sheet'!$AD$32)&amp;"",""))))&gt;0))</f>
        <v>1</v>
      </c>
      <c r="CR33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Sheet'!$AE$32)&amp;"",""))))&gt;0))</f>
        <v>1</v>
      </c>
      <c r="CS33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Sheet'!$AF$32)&amp;"",""))))&gt;0))</f>
        <v>1</v>
      </c>
      <c r="CT33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Sheet'!$AG$32)&amp;"",""))))&gt;0))</f>
        <v>1</v>
      </c>
      <c r="CU33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Sheet'!$AD$32&lt;=0,"SETTLED","OUTSTANDING"))&amp;"",""))))&gt;0))</f>
        <v>1</v>
      </c>
    </row>
    <row r="34" ht="15.0" customHeight="1">
      <c r="A34" s="75" t="str">
        <f t="array" ref="A34">IF($BJ33&gt;0,INDEX($BA$5:$BA$41,MATCH(33,$BB$5:$BB$41,0)),IF(OR($BI33=1,$BL33=1,$BH33&gt;0),"∑",""))</f>
        <v>26</v>
      </c>
      <c r="B34" s="76" t="str">
        <f t="array" ref="B34">IF($BJ33&gt;0,IF(INDEX('Final Calculation Sheet'!$F$4:$F$40,$BJ33-3)="","",INDEX('Final Calculation Sheet'!$F$4:$F$40,$BJ33-3)),"")</f>
        <v>2043</v>
      </c>
      <c r="C34" s="76" t="str">
        <f t="array" ref="C34">IF($BJ33&gt;0,IF(INDEX('Final Calculation Sheet'!$G$4:$G$40,$BJ33-3)="","",INDEX('Final Calculation Sheet'!$G$4:$G$40,$BJ33-3)),IF(OR($BI33=1,$BL33=1,$BH33&gt;0),IF($BI33=1,37,IF($BL33=1,37-INDEX($BD$4:$BD$13,10),INDEX($BD$4:$BD$13,$BH33)))&amp;" lot(s)",""))</f>
        <v>NATIONAL ENTERPRISES</v>
      </c>
      <c r="D34" s="77" t="str">
        <f t="array" ref="D34">IF($BJ33&gt;0,IF(INDEX('Final Calculation Sheet'!$B$4:$B$40,$BJ33-3)="","",INDEX('Final Calculation Sheet'!$B$4:$B$40,$BJ33-3)),IF(OR($BI33=1,$BL33=1,$BH33&gt;0),IF($BI33=1,"GRAND TOTAL  —  matching + remaining",IF($BL33=1,"TOTAL MATCHED  —  every group together",IF($BH33=10,"REMAINING  —  did not match the search",IF($BH33=9,IF(COUNTIF($A$4:$AI$4,"&lt;&gt;")&gt;0,"FILTERED LOTS  —  column fields","ALL LOTS  —  nothing typed in the box"),"GROUP "&amp;$BH33&amp;" TOTAL  —  lots matching  "&amp;INDEX($AR$6:$AY$6,$BH33))))),""))</f>
        <v>Scrap of 132 KV CT</v>
      </c>
      <c r="E34" s="77" t="str">
        <f t="array" ref="E34">IF($BJ33&gt;0,IF(INDEX('Final Calculation Sheet'!$D$4:$D$40,$BJ33-3)="","",INDEX('Final Calculation Sheet'!$D$4:$D$40,$BJ33-3)),IF(OR($BI33=1,$BL33=1,$BH33&gt;0),"–",""))</f>
        <v>21979</v>
      </c>
      <c r="F34" s="77" t="str">
        <f t="array" ref="F34">IF($BJ33&gt;0,IF(INDEX('Final Calculation Sheet'!$A$4:$A$40,$BJ33-3)="","",INDEX('Final Calculation Sheet'!$A$4:$A$40,$BJ33-3)),IF(OR($BI33=1,$BL33=1,$BH33&gt;0),IF($BI33=1,SUM('Final Calculation Sheet'!$A$4:$A$40),IF($BL33=1,SUM('Final Calculation Sheet'!$A$4:$A$40)-SUMIFS('Final Calculation Sheet'!$A$4:$A$40,$AZ$5:$AZ$41,10),SUMIFS('Final Calculation Sheet'!$A$4:$A$40,$AZ$5:$AZ$41,$BH33))),""))</f>
        <v>5</v>
      </c>
      <c r="G34" s="77" t="str">
        <f t="array" ref="G34">IF($BJ33&gt;0,IF(INDEX('Final Calculation Sheet'!$E$4:$E$40,$BJ33-3)="","",INDEX('Final Calculation Sheet'!$E$4:$E$40,$BJ33-3)),IF(OR($BI33=1,$BL33=1,$BH33&gt;0),"–",""))</f>
        <v>NO</v>
      </c>
      <c r="H34" s="78" t="str">
        <f t="array" ref="H34">IF($BJ33&gt;0,IF(INDEX('Final Calculation Sheet'!$C$4:$C$40,$BJ33-3)="","",INDEX('Final Calculation Sheet'!$C$4:$C$40,$BJ33-3)),IF(OR($BI33=1,$BL33=1,$BH33&gt;0),"–",""))</f>
        <v>80,000</v>
      </c>
      <c r="I34" s="78" t="str">
        <f t="array" ref="I34">IF($BJ33&gt;0,IF(INDEX('Final Calculation Sheet'!$H$4:$H$40,$BJ33-3)="","",INDEX('Final Calculation Sheet'!$H$4:$H$40,$BJ33-3)),IF(OR($BI33=1,$BL33=1,$BH33&gt;0),IF($BI33=1,SUM('Final Calculation Sheet'!$H$4:$H$40),IF($BL33=1,SUM('Final Calculation Sheet'!$H$4:$H$40)-SUMIFS('Final Calculation Sheet'!$H$4:$H$40,$AZ$5:$AZ$41,10),SUMIFS('Final Calculation Sheet'!$H$4:$H$40,$AZ$5:$AZ$41,$BH33))),""))</f>
        <v>400,000</v>
      </c>
      <c r="J34" s="78" t="str">
        <f t="array" ref="J34">IF($BJ33&gt;0,IF(INDEX('Final Calculation Sheet'!$I$4:$I$40,$BJ33-3)="","",INDEX('Final Calculation Sheet'!$I$4:$I$40,$BJ33-3)),IF(OR($BI33=1,$BL33=1,$BH33&gt;0),IF($BI33=1,SUM('Final Calculation Sheet'!$I$4:$I$40),IF($BL33=1,SUM('Final Calculation Sheet'!$I$4:$I$40)-SUMIFS('Final Calculation Sheet'!$I$4:$I$40,$AZ$5:$AZ$41,10),SUMIFS('Final Calculation Sheet'!$I$4:$I$40,$AZ$5:$AZ$41,$BH33))),""))</f>
        <v>72,000</v>
      </c>
      <c r="K34" s="78" t="str">
        <f t="array" ref="K34">IF($BJ33&gt;0,IF(INDEX('Final Calculation Sheet'!$J$4:$J$40,$BJ33-3)="","",INDEX('Final Calculation Sheet'!$J$4:$J$40,$BJ33-3)),IF(OR($BI33=1,$BL33=1,$BH33&gt;0),IF($BI33=1,SUM('Final Calculation Sheet'!$J$4:$J$40),IF($BL33=1,SUM('Final Calculation Sheet'!$J$4:$J$40)-SUMIFS('Final Calculation Sheet'!$J$4:$J$40,$AZ$5:$AZ$41,10),SUMIFS('Final Calculation Sheet'!$J$4:$J$40,$AZ$5:$AZ$41,$BH33))),""))</f>
        <v>472,000</v>
      </c>
      <c r="L34" s="78" t="str">
        <f t="array" ref="L34">IF($BJ33&gt;0,IF(INDEX('Final Calculation Sheet'!$K$4:$K$40,$BJ33-3)="","",INDEX('Final Calculation Sheet'!$K$4:$K$40,$BJ33-3)),IF(OR($BI33=1,$BL33=1,$BH33&gt;0),IF($BI33=1,SUM('Final Calculation Sheet'!$K$4:$K$40),IF($BL33=1,SUM('Final Calculation Sheet'!$K$4:$K$40)-SUMIFS('Final Calculation Sheet'!$K$4:$K$40,$AZ$5:$AZ$41,10),SUMIFS('Final Calculation Sheet'!$K$4:$K$40,$AZ$5:$AZ$41,$BH33))),""))</f>
        <v>9,440</v>
      </c>
      <c r="M34" s="78" t="str">
        <f t="array" ref="M34">IF($BJ33&gt;0,IF(INDEX('Final Calculation Sheet'!$L$4:$L$40,$BJ33-3)="","",INDEX('Final Calculation Sheet'!$L$4:$L$40,$BJ33-3)),IF(OR($BI33=1,$BL33=1,$BH33&gt;0),IF($BI33=1,SUM('Final Calculation Sheet'!$L$4:$L$40),IF($BL33=1,SUM('Final Calculation Sheet'!$L$4:$L$40)-SUMIFS('Final Calculation Sheet'!$L$4:$L$40,$AZ$5:$AZ$41,10),SUMIFS('Final Calculation Sheet'!$L$4:$L$40,$AZ$5:$AZ$41,$BH33))),""))</f>
        <v>400</v>
      </c>
      <c r="N34" s="78" t="str">
        <f t="array" ref="N34">IF($BJ33&gt;0,IF(INDEX('Final Calculation Sheet'!$M$4:$M$40,$BJ33-3)="","",INDEX('Final Calculation Sheet'!$M$4:$M$40,$BJ33-3)),IF(OR($BI33=1,$BL33=1,$BH33&gt;0),IF($BI33=1,SUM('Final Calculation Sheet'!$M$4:$M$40),IF($BL33=1,SUM('Final Calculation Sheet'!$M$4:$M$40)-SUMIFS('Final Calculation Sheet'!$M$4:$M$40,$AZ$5:$AZ$41,10),SUMIFS('Final Calculation Sheet'!$M$4:$M$40,$AZ$5:$AZ$41,$BH33))),""))</f>
        <v>10,620</v>
      </c>
      <c r="O34" s="79" t="str">
        <f t="array" ref="O34">IF($BJ33&gt;0,IF(INDEX('Final Calculation Sheet'!$N$4:$N$40,$BJ33-3)="","",INDEX('Final Calculation Sheet'!$N$4:$N$40,$BJ33-3)),IF(OR($BI33=1,$BL33=1,$BH33&gt;0),IF($BI33=1,SUM('Final Calculation Sheet'!$N$4:$N$40),IF($BL33=1,SUM('Final Calculation Sheet'!$N$4:$N$40)-SUMIFS('Final Calculation Sheet'!$N$4:$N$40,$AZ$5:$AZ$41,10),SUMIFS('Final Calculation Sheet'!$N$4:$N$40,$AZ$5:$AZ$41,$BH33))),""))</f>
        <v>180</v>
      </c>
      <c r="P34" s="78" t="str">
        <f t="array" ref="P34">IF($BJ33&gt;0,IF(INDEX('Final Calculation Sheet'!$O$4:$O$40,$BJ33-3)="","",INDEX('Final Calculation Sheet'!$O$4:$O$40,$BJ33-3)),IF(OR($BI33=1,$BL33=1,$BH33&gt;0),IF($BI33=1,SUM('Final Calculation Sheet'!$O$4:$O$40),IF($BL33=1,SUM('Final Calculation Sheet'!$O$4:$O$40)-SUMIFS('Final Calculation Sheet'!$O$4:$O$40,$AZ$5:$AZ$41,10),SUMIFS('Final Calculation Sheet'!$O$4:$O$40,$AZ$5:$AZ$41,$BH33))),""))</f>
        <v>10,440</v>
      </c>
      <c r="Q34" s="78" t="str">
        <f t="array" ref="Q34">IF($BJ33&gt;0,IF(INDEX('Final Calculation Sheet'!$P$4:$P$40,$BJ33-3)="","",INDEX('Final Calculation Sheet'!$P$4:$P$40,$BJ33-3)),IF(OR($BI33=1,$BL33=1,$BH33&gt;0),IF($BI33=1,SUM('Final Calculation Sheet'!$P$4:$P$40),IF($BL33=1,SUM('Final Calculation Sheet'!$P$4:$P$40)-SUMIFS('Final Calculation Sheet'!$P$4:$P$40,$AZ$5:$AZ$41,10),SUMIFS('Final Calculation Sheet'!$P$4:$P$40,$AZ$5:$AZ$41,$BH33))),""))</f>
        <v>10,840</v>
      </c>
      <c r="R34" s="80" t="str">
        <f t="array" ref="R34">IF($BJ33&gt;0,IF(INDEX('Final Calculation Sheet'!$Q$4:$Q$40,$BJ33-3)="","",INDEX('Final Calculation Sheet'!$Q$4:$Q$40,$BJ33-3)),IF(OR($BI33=1,$BL33=1,$BH33&gt;0),"–",""))</f>
        <v>0%</v>
      </c>
      <c r="S34" s="78" t="str">
        <f t="array" ref="S34">IF($BJ33&gt;0,IF(INDEX('Final Calculation Sheet'!$R$4:$R$40,$BJ33-3)="","",INDEX('Final Calculation Sheet'!$R$4:$R$40,$BJ33-3)),IF(OR($BI33=1,$BL33=1,$BH33&gt;0),IF($BI33=1,SUM('Final Calculation Sheet'!$R$4:$R$40),IF($BL33=1,SUM('Final Calculation Sheet'!$R$4:$R$40)-SUMIFS('Final Calculation Sheet'!$R$4:$R$40,$AZ$5:$AZ$41,10),SUMIFS('Final Calculation Sheet'!$R$4:$R$40,$AZ$5:$AZ$41,$BH33))),""))</f>
        <v>0</v>
      </c>
      <c r="T34" s="78" t="str">
        <f t="array" ref="T34">IF($BJ33&gt;0,IF(INDEX('Final Calculation Sheet'!$S$4:$S$40,$BJ33-3)="","",INDEX('Final Calculation Sheet'!$S$4:$S$40,$BJ33-3)),IF(OR($BI33=1,$BL33=1,$BH33&gt;0),IF($BI33=1,SUM('Final Calculation Sheet'!$S$4:$S$40),IF($BL33=1,SUM('Final Calculation Sheet'!$S$4:$S$40)-SUMIFS('Final Calculation Sheet'!$S$4:$S$40,$AZ$5:$AZ$41,10),SUMIFS('Final Calculation Sheet'!$S$4:$S$40,$AZ$5:$AZ$41,$BH33))),""))</f>
        <v>470,600</v>
      </c>
      <c r="U34" s="78" t="str">
        <f t="array" ref="U34">IF($BJ33&gt;0,IF(INDEX('Final Calculation Sheet'!$T$4:$T$40,$BJ33-3)="","",INDEX('Final Calculation Sheet'!$T$4:$T$40,$BJ33-3)),IF(OR($BI33=1,$BL33=1,$BH33&gt;0),IF($BI33=1,SUM('Final Calculation Sheet'!$T$4:$T$40),IF($BL33=1,SUM('Final Calculation Sheet'!$T$4:$T$40)-SUMIFS('Final Calculation Sheet'!$T$4:$T$40,$AZ$5:$AZ$41,10),SUMIFS('Final Calculation Sheet'!$T$4:$T$40,$AZ$5:$AZ$41,$BH33))),""))</f>
        <v>100,000</v>
      </c>
      <c r="V34" s="81" t="str">
        <f t="array" ref="V34">IF($BJ33&gt;0,IF(INDEX('Final Calculation Sheet'!$U$4:$U$40,$BJ33-3)="","",INDEX('Final Calculation Sheet'!$U$4:$U$40,$BJ33-3)),IF(OR($BI33=1,$BL33=1,$BH33&gt;0),IF($BI33=1,SUM('Final Calculation Sheet'!$U$4:$U$40),IF($BL33=1,SUM('Final Calculation Sheet'!$U$4:$U$40)-SUMIFS('Final Calculation Sheet'!$U$4:$U$40,$AZ$5:$AZ$41,10),SUMIFS('Final Calculation Sheet'!$U$4:$U$40,$AZ$5:$AZ$41,$BH33))),""))</f>
        <v>  100,000 </v>
      </c>
      <c r="W34" s="78" t="str">
        <f t="array" ref="W34">IF($BJ33&gt;0,IF(INDEX('Final Calculation Sheet'!$V$4:$V$40,$BJ33-3)="","",INDEX('Final Calculation Sheet'!$V$4:$V$40,$BJ33-3)),IF(OR($BI33=1,$BL33=1,$BH33&gt;0),"–",""))</f>
        <v>13.08.2026</v>
      </c>
      <c r="X34" s="78" t="str">
        <f t="array" ref="X34">IF($BJ33&gt;0,IF(INDEX('Final Calculation Sheet'!$W$4:$W$40,$BJ33-3)="","",INDEX('Final Calculation Sheet'!$W$4:$W$40,$BJ33-3)),IF(OR($BI33=1,$BL33=1,$BH33&gt;0),IF($BI33=1,SUM('Final Calculation Sheet'!$W$4:$W$40),IF($BL33=1,SUM('Final Calculation Sheet'!$W$4:$W$40)-SUMIFS('Final Calculation Sheet'!$W$4:$W$40,$AZ$5:$AZ$41,10),SUMIFS('Final Calculation Sheet'!$W$4:$W$40,$AZ$5:$AZ$41,$BH33))),""))</f>
        <v>370,600</v>
      </c>
      <c r="Y34" s="78" t="str">
        <f t="array" ref="Y34">IF($BJ33&gt;0,IF(INDEX('Final Calculation Sheet'!$X$4:$X$40,$BJ33-3)="","",INDEX('Final Calculation Sheet'!$X$4:$X$40,$BJ33-3)),IF(OR($BI33=1,$BL33=1,$BH33&gt;0),IF($BI33=1,SUM('Final Calculation Sheet'!$X$4:$X$40),IF($BL33=1,SUM('Final Calculation Sheet'!$X$4:$X$40)-SUMIFS('Final Calculation Sheet'!$X$4:$X$40,$AZ$5:$AZ$41,10),SUMIFS('Final Calculation Sheet'!$X$4:$X$40,$AZ$5:$AZ$41,$BH33))),""))</f>
        <v>370,600</v>
      </c>
      <c r="Z34" s="78" t="str">
        <f t="array" ref="Z34">IF($BJ33&gt;0,IF(INDEX('Final Calculation Sheet'!$Y$4:$Y$40,$BJ33-3)="","",INDEX('Final Calculation Sheet'!$Y$4:$Y$40,$BJ33-3)),IF(OR($BI33=1,$BL33=1,$BH33&gt;0),"–",""))</f>
        <v>24.08.2026</v>
      </c>
      <c r="AA34" s="78" t="str">
        <f t="array" ref="AA34">IF($BJ33&gt;0,IF(INDEX('Final Calculation Sheet'!$Z$4:$Z$40,$BJ33-3)="","",INDEX('Final Calculation Sheet'!$Z$4:$Z$40,$BJ33-3)),IF(OR($BI33=1,$BL33=1,$BH33&gt;0),IF($BI33=1,SUM('Final Calculation Sheet'!$Z$4:$Z$40),IF($BL33=1,SUM('Final Calculation Sheet'!$Z$4:$Z$40)-SUMIFS('Final Calculation Sheet'!$Z$4:$Z$40,$AZ$5:$AZ$41,10),SUMIFS('Final Calculation Sheet'!$Z$4:$Z$40,$AZ$5:$AZ$41,$BH33))),""))</f>
        <v>0</v>
      </c>
      <c r="AB34" s="78" t="str">
        <f t="array" ref="AB34">IF($BJ33&gt;0,IF(INDEX('Final Calculation Sheet'!$AA$4:$AA$40,$BJ33-3)="","",INDEX('Final Calculation Sheet'!$AA$4:$AA$40,$BJ33-3)),IF(OR($BI33=1,$BL33=1,$BH33&gt;0),IF($BI33=1,SUM('Final Calculation Sheet'!$AA$4:$AA$40),IF($BL33=1,SUM('Final Calculation Sheet'!$AA$4:$AA$40)-SUMIFS('Final Calculation Sheet'!$AA$4:$AA$40,$AZ$5:$AZ$41,10),SUMIFS('Final Calculation Sheet'!$AA$4:$AA$40,$AZ$5:$AZ$41,$BH33))),""))</f>
        <v/>
      </c>
      <c r="AC34" s="78" t="str">
        <f t="array" ref="AC34">IF($BJ33&gt;0,IF(INDEX('Final Calculation Sheet'!$AB$4:$AB$40,$BJ33-3)="","",INDEX('Final Calculation Sheet'!$AB$4:$AB$40,$BJ33-3)),IF(OR($BI33=1,$BL33=1,$BH33&gt;0),"–",""))</f>
        <v/>
      </c>
      <c r="AD34" s="78" t="str">
        <f t="array" ref="AD34">IF($BJ33&gt;0,IF(INDEX('Final Calculation Sheet'!$AC$4:$AC$40,$BJ33-3)="","",INDEX('Final Calculation Sheet'!$AC$4:$AC$40,$BJ33-3)),IF(OR($BI33=1,$BL33=1,$BH33&gt;0),IF($BI33=1,SUM('Final Calculation Sheet'!$AC$4:$AC$40),IF($BL33=1,SUM('Final Calculation Sheet'!$AC$4:$AC$40)-SUMIFS('Final Calculation Sheet'!$AC$4:$AC$40,$AZ$5:$AZ$41,10),SUMIFS('Final Calculation Sheet'!$AC$4:$AC$40,$AZ$5:$AZ$41,$BH33))),""))</f>
        <v>470,600</v>
      </c>
      <c r="AE34" s="78" t="str">
        <f t="array" ref="AE34">IF($BJ33&gt;0,IF(INDEX('Final Calculation Sheet'!$AD$4:$AD$40,$BJ33-3)="","",INDEX('Final Calculation Sheet'!$AD$4:$AD$40,$BJ33-3)),IF(OR($BI33=1,$BL33=1,$BH33&gt;0),IF($BI33=1,SUM('Final Calculation Sheet'!$AD$4:$AD$40),IF($BL33=1,SUM('Final Calculation Sheet'!$AD$4:$AD$40)-SUMIFS('Final Calculation Sheet'!$AD$4:$AD$40,$AZ$5:$AZ$41,10),SUMIFS('Final Calculation Sheet'!$AD$4:$AD$40,$AZ$5:$AZ$41,$BH33))),""))</f>
        <v>0</v>
      </c>
      <c r="AF34" s="78" t="str">
        <f t="array" ref="AF34">IF($BJ33&gt;0,IF(INDEX('Final Calculation Sheet'!$AE$4:$AE$40,$BJ33-3)="","",INDEX('Final Calculation Sheet'!$AE$4:$AE$40,$BJ33-3)),IF(OR($BI33=1,$BL33=1,$BH33&gt;0),"–",""))</f>
        <v>DR2640100038</v>
      </c>
      <c r="AG34" s="82" t="str">
        <f t="array" ref="AG34">IF($BJ33&gt;0,IF(INDEX('Final Calculation Sheet'!$AF$4:$AF$40,$BJ33-3)="","",INDEX('Final Calculation Sheet'!$AF$4:$AF$40,$BJ33-3)),IF(OR($BI33=1,$BL33=1,$BH33&gt;0),"–",""))</f>
        <v>1800003311</v>
      </c>
      <c r="AH34" s="78" t="str">
        <f t="array" ref="AH34">IF($BJ33&gt;0,IF(INDEX('Final Calculation Sheet'!$AG$4:$AG$40,$BJ33-3)="","",INDEX('Final Calculation Sheet'!$AG$4:$AG$40,$BJ33-3)),IF(OR($BI33=1,$BL33=1,$BH33&gt;0),"–",""))</f>
        <v>27.08.2026</v>
      </c>
      <c r="AI34" s="83" t="str">
        <f t="array" ref="AI34">IF($BJ33&gt;0,IF(INDEX('Final Calculation Sheet'!$AD$4:$AD$40,$BJ33-3)="","",IF(INDEX('Final Calculation Sheet'!$AD$4:$AD$40,$BJ33-3)&lt;=0,"SETTLED","OUTSTANDING")),IF(OR($BI33=1,$BL33=1,$BH33&gt;0),IF(IF($BI33=1,SUM('Final Calculation Sheet'!$AD$4:$AD$40),IF($BL33=1,SUM('Final Calculation Sheet'!$AD$4:$AD$40)-SUMIFS('Final Calculation Sheet'!$AD$4:$AD$40,$AZ$5:$AZ$41,10),SUMIFS('Final Calculation Sheet'!$AD$4:$AD$40,$AZ$5:$AZ$41,$BH33)))&lt;=0,"ALL SETTLED","OUTSTANDING"),""))</f>
        <v>SETTLED</v>
      </c>
      <c r="AK34" t="str">
        <f>IF($F$3="Lot No.",'Final Calculation Sheet'!$F$33,IF($F$3="Buyer",'Final Calculation Sheet'!$G$33,IF($F$3="Lot Name",'Final Calculation Sheet'!$B$33,IF($F$3="Bid Sheet",'Final Calculation Sheet'!$D$33,IF($F$3="Unit",'Final Calculation Sheet'!$E$33,'Final Calculation Sheet'!$F$33&amp;" "&amp;'Final Calculation Sheet'!$G$33&amp;" "&amp;'Final Calculation Sheet'!$B$33)))))</f>
        <v>2059 NATIONAL ENTERPRISES Scrap of 33 KV GCB</v>
      </c>
      <c r="AM34" t="str">
        <f t="shared" si="3"/>
        <v>0</v>
      </c>
      <c r="AZ34" t="str">
        <f t="shared" si="4"/>
        <v>10</v>
      </c>
      <c r="BA34" t="str">
        <f t="shared" si="5"/>
        <v>29</v>
      </c>
      <c r="BB34" t="str">
        <f t="shared" si="6"/>
        <v>36</v>
      </c>
      <c r="BC34">
        <v>33.0</v>
      </c>
      <c r="BH34" t="str">
        <f>IFERROR(MATCH(34,$BF$4:$BF$13,0),0)</f>
        <v>0</v>
      </c>
      <c r="BI34" t="str">
        <f>IF(34=$BG$5,1,0)</f>
        <v>0</v>
      </c>
      <c r="BJ34" t="str">
        <f t="array" ref="BJ34">IF(OR($BH34&gt;0,$BI34=1,$BL34=1),0,IFERROR(INDEX($BC$5:$BC$41,MATCH(34,$BB$5:$BB$41,0)),0))</f>
        <v>31</v>
      </c>
      <c r="BK34" t="str">
        <f t="array" ref="BK34">IF($BJ34&gt;0,IF(INDEX($AZ$5:$AZ$41,MATCH(34,$BB$5:$BB$41,0))=10,1,0),IF($BH34=10,1,0))</f>
        <v>1</v>
      </c>
      <c r="BL34" t="str">
        <f>IF(34=$BG$4,1,0)</f>
        <v>0</v>
      </c>
      <c r="BM34" t="str">
        <f t="shared" si="8"/>
        <v>1</v>
      </c>
      <c r="BN34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Sheet'!$F$33)&amp;"",""))))&gt;0))</f>
        <v>1</v>
      </c>
      <c r="BO34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Sheet'!$G$33)&amp;"",""))))&gt;0))</f>
        <v>1</v>
      </c>
      <c r="BP34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Sheet'!$B$33)&amp;"",""))))&gt;0))</f>
        <v>1</v>
      </c>
      <c r="BQ34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Sheet'!$D$33)&amp;"",""))))&gt;0))</f>
        <v>1</v>
      </c>
      <c r="BR34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Sheet'!$A$33)&amp;"",""))))&gt;0))</f>
        <v>1</v>
      </c>
      <c r="BS34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Sheet'!$E$33)&amp;"",""))))&gt;0))</f>
        <v>1</v>
      </c>
      <c r="BT34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Sheet'!$C$33)&amp;"",""))))&gt;0))</f>
        <v>1</v>
      </c>
      <c r="BU34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Sheet'!$H$33)&amp;"",""))))&gt;0))</f>
        <v>1</v>
      </c>
      <c r="BV34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Sheet'!$I$33)&amp;"",""))))&gt;0))</f>
        <v>1</v>
      </c>
      <c r="BW34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Sheet'!$J$33)&amp;"",""))))&gt;0))</f>
        <v>1</v>
      </c>
      <c r="BX34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Sheet'!$K$33)&amp;"",""))))&gt;0))</f>
        <v>1</v>
      </c>
      <c r="BY34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Sheet'!$L$33)&amp;"",""))))&gt;0))</f>
        <v>1</v>
      </c>
      <c r="BZ34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Sheet'!$M$33)&amp;"",""))))&gt;0))</f>
        <v>1</v>
      </c>
      <c r="CA34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Sheet'!$N$33)&amp;"",""))))&gt;0))</f>
        <v>1</v>
      </c>
      <c r="CB34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Sheet'!$O$33)&amp;"",""))))&gt;0))</f>
        <v>1</v>
      </c>
      <c r="CC34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Sheet'!$P$33)&amp;"",""))))&gt;0))</f>
        <v>1</v>
      </c>
      <c r="CD34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Sheet'!$Q$33)&amp;"",""))))&gt;0))</f>
        <v>1</v>
      </c>
      <c r="CE34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Sheet'!$R$33)&amp;"",""))))&gt;0))</f>
        <v>1</v>
      </c>
      <c r="CF34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Sheet'!$S$33)&amp;"",""))))&gt;0))</f>
        <v>1</v>
      </c>
      <c r="CG34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Sheet'!$T$33)&amp;"",""))))&gt;0))</f>
        <v>1</v>
      </c>
      <c r="CH34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Sheet'!$U$33)&amp;"",""))))&gt;0))</f>
        <v>1</v>
      </c>
      <c r="CI34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Sheet'!$V$33)&amp;"",""))))&gt;0))</f>
        <v>1</v>
      </c>
      <c r="CJ34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Sheet'!$W$33)&amp;"",""))))&gt;0))</f>
        <v>1</v>
      </c>
      <c r="CK34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Sheet'!$X$33)&amp;"",""))))&gt;0))</f>
        <v>1</v>
      </c>
      <c r="CL34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Sheet'!$Y$33)&amp;"",""))))&gt;0))</f>
        <v>1</v>
      </c>
      <c r="CM34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Sheet'!$Z$33)&amp;"",""))))&gt;0))</f>
        <v>1</v>
      </c>
      <c r="CN34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Sheet'!$AA$33)&amp;"",""))))&gt;0))</f>
        <v>1</v>
      </c>
      <c r="CO34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Sheet'!$AB$33)&amp;"",""))))&gt;0))</f>
        <v>1</v>
      </c>
      <c r="CP34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Sheet'!$AC$33)&amp;"",""))))&gt;0))</f>
        <v>1</v>
      </c>
      <c r="CQ34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Sheet'!$AD$33)&amp;"",""))))&gt;0))</f>
        <v>1</v>
      </c>
      <c r="CR34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Sheet'!$AE$33)&amp;"",""))))&gt;0))</f>
        <v>1</v>
      </c>
      <c r="CS34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Sheet'!$AF$33)&amp;"",""))))&gt;0))</f>
        <v>1</v>
      </c>
      <c r="CT34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Sheet'!$AG$33)&amp;"",""))))&gt;0))</f>
        <v>1</v>
      </c>
      <c r="CU34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Sheet'!$AD$33&lt;=0,"SETTLED","OUTSTANDING"))&amp;"",""))))&gt;0))</f>
        <v>1</v>
      </c>
    </row>
    <row r="35" ht="15.0" customHeight="1">
      <c r="A35" s="75" t="str">
        <f t="array" ref="A35">IF($BJ34&gt;0,INDEX($BA$5:$BA$41,MATCH(34,$BB$5:$BB$41,0)),IF(OR($BI34=1,$BL34=1,$BH34&gt;0),"∑",""))</f>
        <v>27</v>
      </c>
      <c r="B35" s="76" t="str">
        <f t="array" ref="B35">IF($BJ34&gt;0,IF(INDEX('Final Calculation Sheet'!$F$4:$F$40,$BJ34-3)="","",INDEX('Final Calculation Sheet'!$F$4:$F$40,$BJ34-3)),"")</f>
        <v>2046</v>
      </c>
      <c r="C35" s="76" t="str">
        <f t="array" ref="C35">IF($BJ34&gt;0,IF(INDEX('Final Calculation Sheet'!$G$4:$G$40,$BJ34-3)="","",INDEX('Final Calculation Sheet'!$G$4:$G$40,$BJ34-3)),IF(OR($BI34=1,$BL34=1,$BH34&gt;0),IF($BI34=1,37,IF($BL34=1,37-INDEX($BD$4:$BD$13,10),INDEX($BD$4:$BD$13,$BH34)))&amp;" lot(s)",""))</f>
        <v>SAHARA ENTERPRISES</v>
      </c>
      <c r="D35" s="77" t="str">
        <f t="array" ref="D35">IF($BJ34&gt;0,IF(INDEX('Final Calculation Sheet'!$B$4:$B$40,$BJ34-3)="","",INDEX('Final Calculation Sheet'!$B$4:$B$40,$BJ34-3)),IF(OR($BI34=1,$BL34=1,$BH34&gt;0),IF($BI34=1,"GRAND TOTAL  —  matching + remaining",IF($BL34=1,"TOTAL MATCHED  —  every group together",IF($BH34=10,"REMAINING  —  did not match the search",IF($BH34=9,IF(COUNTIF($A$4:$AI$4,"&lt;&gt;")&gt;0,"FILTERED LOTS  —  column fields","ALL LOTS  —  nothing typed in the box"),"GROUP "&amp;$BH34&amp;" TOTAL  —  lots matching  "&amp;INDEX($AR$6:$AY$6,$BH34))))),""))</f>
        <v>Scrap of AAAC Earth wire</v>
      </c>
      <c r="E35" s="77" t="str">
        <f t="array" ref="E35">IF($BJ34&gt;0,IF(INDEX('Final Calculation Sheet'!$D$4:$D$40,$BJ34-3)="","",INDEX('Final Calculation Sheet'!$D$4:$D$40,$BJ34-3)),IF(OR($BI34=1,$BL34=1,$BH34&gt;0),"–",""))</f>
        <v>21979</v>
      </c>
      <c r="F35" s="77" t="str">
        <f t="array" ref="F35">IF($BJ34&gt;0,IF(INDEX('Final Calculation Sheet'!$A$4:$A$40,$BJ34-3)="","",INDEX('Final Calculation Sheet'!$A$4:$A$40,$BJ34-3)),IF(OR($BI34=1,$BL34=1,$BH34&gt;0),IF($BI34=1,SUM('Final Calculation Sheet'!$A$4:$A$40),IF($BL34=1,SUM('Final Calculation Sheet'!$A$4:$A$40)-SUMIFS('Final Calculation Sheet'!$A$4:$A$40,$AZ$5:$AZ$41,10),SUMIFS('Final Calculation Sheet'!$A$4:$A$40,$AZ$5:$AZ$41,$BH34))),""))</f>
        <v>670</v>
      </c>
      <c r="G35" s="77" t="str">
        <f t="array" ref="G35">IF($BJ34&gt;0,IF(INDEX('Final Calculation Sheet'!$E$4:$E$40,$BJ34-3)="","",INDEX('Final Calculation Sheet'!$E$4:$E$40,$BJ34-3)),IF(OR($BI34=1,$BL34=1,$BH34&gt;0),"–",""))</f>
        <v>KG</v>
      </c>
      <c r="H35" s="78" t="str">
        <f t="array" ref="H35">IF($BJ34&gt;0,IF(INDEX('Final Calculation Sheet'!$C$4:$C$40,$BJ34-3)="","",INDEX('Final Calculation Sheet'!$C$4:$C$40,$BJ34-3)),IF(OR($BI34=1,$BL34=1,$BH34&gt;0),"–",""))</f>
        <v>309</v>
      </c>
      <c r="I35" s="78" t="str">
        <f t="array" ref="I35">IF($BJ34&gt;0,IF(INDEX('Final Calculation Sheet'!$H$4:$H$40,$BJ34-3)="","",INDEX('Final Calculation Sheet'!$H$4:$H$40,$BJ34-3)),IF(OR($BI34=1,$BL34=1,$BH34&gt;0),IF($BI34=1,SUM('Final Calculation Sheet'!$H$4:$H$40),IF($BL34=1,SUM('Final Calculation Sheet'!$H$4:$H$40)-SUMIFS('Final Calculation Sheet'!$H$4:$H$40,$AZ$5:$AZ$41,10),SUMIFS('Final Calculation Sheet'!$H$4:$H$40,$AZ$5:$AZ$41,$BH34))),""))</f>
        <v>207,030</v>
      </c>
      <c r="J35" s="78" t="str">
        <f t="array" ref="J35">IF($BJ34&gt;0,IF(INDEX('Final Calculation Sheet'!$I$4:$I$40,$BJ34-3)="","",INDEX('Final Calculation Sheet'!$I$4:$I$40,$BJ34-3)),IF(OR($BI34=1,$BL34=1,$BH34&gt;0),IF($BI34=1,SUM('Final Calculation Sheet'!$I$4:$I$40),IF($BL34=1,SUM('Final Calculation Sheet'!$I$4:$I$40)-SUMIFS('Final Calculation Sheet'!$I$4:$I$40,$AZ$5:$AZ$41,10),SUMIFS('Final Calculation Sheet'!$I$4:$I$40,$AZ$5:$AZ$41,$BH34))),""))</f>
        <v>37,265</v>
      </c>
      <c r="K35" s="78" t="str">
        <f t="array" ref="K35">IF($BJ34&gt;0,IF(INDEX('Final Calculation Sheet'!$J$4:$J$40,$BJ34-3)="","",INDEX('Final Calculation Sheet'!$J$4:$J$40,$BJ34-3)),IF(OR($BI34=1,$BL34=1,$BH34&gt;0),IF($BI34=1,SUM('Final Calculation Sheet'!$J$4:$J$40),IF($BL34=1,SUM('Final Calculation Sheet'!$J$4:$J$40)-SUMIFS('Final Calculation Sheet'!$J$4:$J$40,$AZ$5:$AZ$41,10),SUMIFS('Final Calculation Sheet'!$J$4:$J$40,$AZ$5:$AZ$41,$BH34))),""))</f>
        <v>244,295</v>
      </c>
      <c r="L35" s="78" t="str">
        <f t="array" ref="L35">IF($BJ34&gt;0,IF(INDEX('Final Calculation Sheet'!$K$4:$K$40,$BJ34-3)="","",INDEX('Final Calculation Sheet'!$K$4:$K$40,$BJ34-3)),IF(OR($BI34=1,$BL34=1,$BH34&gt;0),IF($BI34=1,SUM('Final Calculation Sheet'!$K$4:$K$40),IF($BL34=1,SUM('Final Calculation Sheet'!$K$4:$K$40)-SUMIFS('Final Calculation Sheet'!$K$4:$K$40,$AZ$5:$AZ$41,10),SUMIFS('Final Calculation Sheet'!$K$4:$K$40,$AZ$5:$AZ$41,$BH34))),""))</f>
        <v>4,886</v>
      </c>
      <c r="M35" s="78" t="str">
        <f t="array" ref="M35">IF($BJ34&gt;0,IF(INDEX('Final Calculation Sheet'!$L$4:$L$40,$BJ34-3)="","",INDEX('Final Calculation Sheet'!$L$4:$L$40,$BJ34-3)),IF(OR($BI34=1,$BL34=1,$BH34&gt;0),IF($BI34=1,SUM('Final Calculation Sheet'!$L$4:$L$40),IF($BL34=1,SUM('Final Calculation Sheet'!$L$4:$L$40)-SUMIFS('Final Calculation Sheet'!$L$4:$L$40,$AZ$5:$AZ$41,10),SUMIFS('Final Calculation Sheet'!$L$4:$L$40,$AZ$5:$AZ$41,$BH34))),""))</f>
        <v>207</v>
      </c>
      <c r="N35" s="78" t="str">
        <f t="array" ref="N35">IF($BJ34&gt;0,IF(INDEX('Final Calculation Sheet'!$M$4:$M$40,$BJ34-3)="","",INDEX('Final Calculation Sheet'!$M$4:$M$40,$BJ34-3)),IF(OR($BI34=1,$BL34=1,$BH34&gt;0),IF($BI34=1,SUM('Final Calculation Sheet'!$M$4:$M$40),IF($BL34=1,SUM('Final Calculation Sheet'!$M$4:$M$40)-SUMIFS('Final Calculation Sheet'!$M$4:$M$40,$AZ$5:$AZ$41,10),SUMIFS('Final Calculation Sheet'!$M$4:$M$40,$AZ$5:$AZ$41,$BH34))),""))</f>
        <v>5,497</v>
      </c>
      <c r="O35" s="79" t="str">
        <f t="array" ref="O35">IF($BJ34&gt;0,IF(INDEX('Final Calculation Sheet'!$N$4:$N$40,$BJ34-3)="","",INDEX('Final Calculation Sheet'!$N$4:$N$40,$BJ34-3)),IF(OR($BI34=1,$BL34=1,$BH34&gt;0),IF($BI34=1,SUM('Final Calculation Sheet'!$N$4:$N$40),IF($BL34=1,SUM('Final Calculation Sheet'!$N$4:$N$40)-SUMIFS('Final Calculation Sheet'!$N$4:$N$40,$AZ$5:$AZ$41,10),SUMIFS('Final Calculation Sheet'!$N$4:$N$40,$AZ$5:$AZ$41,$BH34))),""))</f>
        <v>93</v>
      </c>
      <c r="P35" s="78" t="str">
        <f t="array" ref="P35">IF($BJ34&gt;0,IF(INDEX('Final Calculation Sheet'!$O$4:$O$40,$BJ34-3)="","",INDEX('Final Calculation Sheet'!$O$4:$O$40,$BJ34-3)),IF(OR($BI34=1,$BL34=1,$BH34&gt;0),IF($BI34=1,SUM('Final Calculation Sheet'!$O$4:$O$40),IF($BL34=1,SUM('Final Calculation Sheet'!$O$4:$O$40)-SUMIFS('Final Calculation Sheet'!$O$4:$O$40,$AZ$5:$AZ$41,10),SUMIFS('Final Calculation Sheet'!$O$4:$O$40,$AZ$5:$AZ$41,$BH34))),""))</f>
        <v>5,403</v>
      </c>
      <c r="Q35" s="78" t="str">
        <f t="array" ref="Q35">IF($BJ34&gt;0,IF(INDEX('Final Calculation Sheet'!$P$4:$P$40,$BJ34-3)="","",INDEX('Final Calculation Sheet'!$P$4:$P$40,$BJ34-3)),IF(OR($BI34=1,$BL34=1,$BH34&gt;0),IF($BI34=1,SUM('Final Calculation Sheet'!$P$4:$P$40),IF($BL34=1,SUM('Final Calculation Sheet'!$P$4:$P$40)-SUMIFS('Final Calculation Sheet'!$P$4:$P$40,$AZ$5:$AZ$41,10),SUMIFS('Final Calculation Sheet'!$P$4:$P$40,$AZ$5:$AZ$41,$BH34))),""))</f>
        <v>5,611</v>
      </c>
      <c r="R35" s="80" t="str">
        <f t="array" ref="R35">IF($BJ34&gt;0,IF(INDEX('Final Calculation Sheet'!$Q$4:$Q$40,$BJ34-3)="","",INDEX('Final Calculation Sheet'!$Q$4:$Q$40,$BJ34-3)),IF(OR($BI34=1,$BL34=1,$BH34&gt;0),"–",""))</f>
        <v>0%</v>
      </c>
      <c r="S35" s="78" t="str">
        <f t="array" ref="S35">IF($BJ34&gt;0,IF(INDEX('Final Calculation Sheet'!$R$4:$R$40,$BJ34-3)="","",INDEX('Final Calculation Sheet'!$R$4:$R$40,$BJ34-3)),IF(OR($BI34=1,$BL34=1,$BH34&gt;0),IF($BI34=1,SUM('Final Calculation Sheet'!$R$4:$R$40),IF($BL34=1,SUM('Final Calculation Sheet'!$R$4:$R$40)-SUMIFS('Final Calculation Sheet'!$R$4:$R$40,$AZ$5:$AZ$41,10),SUMIFS('Final Calculation Sheet'!$R$4:$R$40,$AZ$5:$AZ$41,$BH34))),""))</f>
        <v>0</v>
      </c>
      <c r="T35" s="78" t="str">
        <f t="array" ref="T35">IF($BJ34&gt;0,IF(INDEX('Final Calculation Sheet'!$S$4:$S$40,$BJ34-3)="","",INDEX('Final Calculation Sheet'!$S$4:$S$40,$BJ34-3)),IF(OR($BI34=1,$BL34=1,$BH34&gt;0),IF($BI34=1,SUM('Final Calculation Sheet'!$S$4:$S$40),IF($BL34=1,SUM('Final Calculation Sheet'!$S$4:$S$40)-SUMIFS('Final Calculation Sheet'!$S$4:$S$40,$AZ$5:$AZ$41,10),SUMIFS('Final Calculation Sheet'!$S$4:$S$40,$AZ$5:$AZ$41,$BH34))),""))</f>
        <v>243,571</v>
      </c>
      <c r="U35" s="78" t="str">
        <f t="array" ref="U35">IF($BJ34&gt;0,IF(INDEX('Final Calculation Sheet'!$T$4:$T$40,$BJ34-3)="","",INDEX('Final Calculation Sheet'!$T$4:$T$40,$BJ34-3)),IF(OR($BI34=1,$BL34=1,$BH34&gt;0),IF($BI34=1,SUM('Final Calculation Sheet'!$T$4:$T$40),IF($BL34=1,SUM('Final Calculation Sheet'!$T$4:$T$40)-SUMIFS('Final Calculation Sheet'!$T$4:$T$40,$AZ$5:$AZ$41,10),SUMIFS('Final Calculation Sheet'!$T$4:$T$40,$AZ$5:$AZ$41,$BH34))),""))</f>
        <v>51,758</v>
      </c>
      <c r="V35" s="81" t="str">
        <f t="array" ref="V35">IF($BJ34&gt;0,IF(INDEX('Final Calculation Sheet'!$U$4:$U$40,$BJ34-3)="","",INDEX('Final Calculation Sheet'!$U$4:$U$40,$BJ34-3)),IF(OR($BI34=1,$BL34=1,$BH34&gt;0),IF($BI34=1,SUM('Final Calculation Sheet'!$U$4:$U$40),IF($BL34=1,SUM('Final Calculation Sheet'!$U$4:$U$40)-SUMIFS('Final Calculation Sheet'!$U$4:$U$40,$AZ$5:$AZ$41,10),SUMIFS('Final Calculation Sheet'!$U$4:$U$40,$AZ$5:$AZ$41,$BH34))),""))</f>
        <v>  51,758 </v>
      </c>
      <c r="W35" s="78" t="str">
        <f t="array" ref="W35">IF($BJ34&gt;0,IF(INDEX('Final Calculation Sheet'!$V$4:$V$40,$BJ34-3)="","",INDEX('Final Calculation Sheet'!$V$4:$V$40,$BJ34-3)),IF(OR($BI34=1,$BL34=1,$BH34&gt;0),"–",""))</f>
        <v>11.08.2026</v>
      </c>
      <c r="X35" s="78" t="str">
        <f t="array" ref="X35">IF($BJ34&gt;0,IF(INDEX('Final Calculation Sheet'!$W$4:$W$40,$BJ34-3)="","",INDEX('Final Calculation Sheet'!$W$4:$W$40,$BJ34-3)),IF(OR($BI34=1,$BL34=1,$BH34&gt;0),IF($BI34=1,SUM('Final Calculation Sheet'!$W$4:$W$40),IF($BL34=1,SUM('Final Calculation Sheet'!$W$4:$W$40)-SUMIFS('Final Calculation Sheet'!$W$4:$W$40,$AZ$5:$AZ$41,10),SUMIFS('Final Calculation Sheet'!$W$4:$W$40,$AZ$5:$AZ$41,$BH34))),""))</f>
        <v>191,813</v>
      </c>
      <c r="Y35" s="78" t="str">
        <f t="array" ref="Y35">IF($BJ34&gt;0,IF(INDEX('Final Calculation Sheet'!$X$4:$X$40,$BJ34-3)="","",INDEX('Final Calculation Sheet'!$X$4:$X$40,$BJ34-3)),IF(OR($BI34=1,$BL34=1,$BH34&gt;0),IF($BI34=1,SUM('Final Calculation Sheet'!$X$4:$X$40),IF($BL34=1,SUM('Final Calculation Sheet'!$X$4:$X$40)-SUMIFS('Final Calculation Sheet'!$X$4:$X$40,$AZ$5:$AZ$41,10),SUMIFS('Final Calculation Sheet'!$X$4:$X$40,$AZ$5:$AZ$41,$BH34))),""))</f>
        <v>191,812</v>
      </c>
      <c r="Z35" s="78" t="str">
        <f t="array" ref="Z35">IF($BJ34&gt;0,IF(INDEX('Final Calculation Sheet'!$Y$4:$Y$40,$BJ34-3)="","",INDEX('Final Calculation Sheet'!$Y$4:$Y$40,$BJ34-3)),IF(OR($BI34=1,$BL34=1,$BH34&gt;0),"–",""))</f>
        <v>21.08.2026</v>
      </c>
      <c r="AA35" s="78" t="str">
        <f t="array" ref="AA35">IF($BJ34&gt;0,IF(INDEX('Final Calculation Sheet'!$Z$4:$Z$40,$BJ34-3)="","",INDEX('Final Calculation Sheet'!$Z$4:$Z$40,$BJ34-3)),IF(OR($BI34=1,$BL34=1,$BH34&gt;0),IF($BI34=1,SUM('Final Calculation Sheet'!$Z$4:$Z$40),IF($BL34=1,SUM('Final Calculation Sheet'!$Z$4:$Z$40)-SUMIFS('Final Calculation Sheet'!$Z$4:$Z$40,$AZ$5:$AZ$41,10),SUMIFS('Final Calculation Sheet'!$Z$4:$Z$40,$AZ$5:$AZ$41,$BH34))),""))</f>
        <v>0</v>
      </c>
      <c r="AB35" s="78" t="str">
        <f t="array" ref="AB35">IF($BJ34&gt;0,IF(INDEX('Final Calculation Sheet'!$AA$4:$AA$40,$BJ34-3)="","",INDEX('Final Calculation Sheet'!$AA$4:$AA$40,$BJ34-3)),IF(OR($BI34=1,$BL34=1,$BH34&gt;0),IF($BI34=1,SUM('Final Calculation Sheet'!$AA$4:$AA$40),IF($BL34=1,SUM('Final Calculation Sheet'!$AA$4:$AA$40)-SUMIFS('Final Calculation Sheet'!$AA$4:$AA$40,$AZ$5:$AZ$41,10),SUMIFS('Final Calculation Sheet'!$AA$4:$AA$40,$AZ$5:$AZ$41,$BH34))),""))</f>
        <v/>
      </c>
      <c r="AC35" s="78" t="str">
        <f t="array" ref="AC35">IF($BJ34&gt;0,IF(INDEX('Final Calculation Sheet'!$AB$4:$AB$40,$BJ34-3)="","",INDEX('Final Calculation Sheet'!$AB$4:$AB$40,$BJ34-3)),IF(OR($BI34=1,$BL34=1,$BH34&gt;0),"–",""))</f>
        <v/>
      </c>
      <c r="AD35" s="78" t="str">
        <f t="array" ref="AD35">IF($BJ34&gt;0,IF(INDEX('Final Calculation Sheet'!$AC$4:$AC$40,$BJ34-3)="","",INDEX('Final Calculation Sheet'!$AC$4:$AC$40,$BJ34-3)),IF(OR($BI34=1,$BL34=1,$BH34&gt;0),IF($BI34=1,SUM('Final Calculation Sheet'!$AC$4:$AC$40),IF($BL34=1,SUM('Final Calculation Sheet'!$AC$4:$AC$40)-SUMIFS('Final Calculation Sheet'!$AC$4:$AC$40,$AZ$5:$AZ$41,10),SUMIFS('Final Calculation Sheet'!$AC$4:$AC$40,$AZ$5:$AZ$41,$BH34))),""))</f>
        <v>243,570</v>
      </c>
      <c r="AE35" s="78" t="str">
        <f t="array" ref="AE35">IF($BJ34&gt;0,IF(INDEX('Final Calculation Sheet'!$AD$4:$AD$40,$BJ34-3)="","",INDEX('Final Calculation Sheet'!$AD$4:$AD$40,$BJ34-3)),IF(OR($BI34=1,$BL34=1,$BH34&gt;0),IF($BI34=1,SUM('Final Calculation Sheet'!$AD$4:$AD$40),IF($BL34=1,SUM('Final Calculation Sheet'!$AD$4:$AD$40)-SUMIFS('Final Calculation Sheet'!$AD$4:$AD$40,$AZ$5:$AZ$41,10),SUMIFS('Final Calculation Sheet'!$AD$4:$AD$40,$AZ$5:$AZ$41,$BH34))),""))</f>
        <v>1</v>
      </c>
      <c r="AF35" s="78" t="str">
        <f t="array" ref="AF35">IF($BJ34&gt;0,IF(INDEX('Final Calculation Sheet'!$AE$4:$AE$40,$BJ34-3)="","",INDEX('Final Calculation Sheet'!$AE$4:$AE$40,$BJ34-3)),IF(OR($BI34=1,$BL34=1,$BH34&gt;0),"–",""))</f>
        <v>DR2640100041</v>
      </c>
      <c r="AG35" s="82" t="str">
        <f t="array" ref="AG35">IF($BJ34&gt;0,IF(INDEX('Final Calculation Sheet'!$AF$4:$AF$40,$BJ34-3)="","",INDEX('Final Calculation Sheet'!$AF$4:$AF$40,$BJ34-3)),IF(OR($BI34=1,$BL34=1,$BH34&gt;0),"–",""))</f>
        <v>1800003316</v>
      </c>
      <c r="AH35" s="78" t="str">
        <f t="array" ref="AH35">IF($BJ34&gt;0,IF(INDEX('Final Calculation Sheet'!$AG$4:$AG$40,$BJ34-3)="","",INDEX('Final Calculation Sheet'!$AG$4:$AG$40,$BJ34-3)),IF(OR($BI34=1,$BL34=1,$BH34&gt;0),"–",""))</f>
        <v>27.08.2026</v>
      </c>
      <c r="AI35" s="83" t="str">
        <f t="array" ref="AI35">IF($BJ34&gt;0,IF(INDEX('Final Calculation Sheet'!$AD$4:$AD$40,$BJ34-3)="","",IF(INDEX('Final Calculation Sheet'!$AD$4:$AD$40,$BJ34-3)&lt;=0,"SETTLED","OUTSTANDING")),IF(OR($BI34=1,$BL34=1,$BH34&gt;0),IF(IF($BI34=1,SUM('Final Calculation Sheet'!$AD$4:$AD$40),IF($BL34=1,SUM('Final Calculation Sheet'!$AD$4:$AD$40)-SUMIFS('Final Calculation Sheet'!$AD$4:$AD$40,$AZ$5:$AZ$41,10),SUMIFS('Final Calculation Sheet'!$AD$4:$AD$40,$AZ$5:$AZ$41,$BH34)))&lt;=0,"ALL SETTLED","OUTSTANDING"),""))</f>
        <v>OUTSTANDING</v>
      </c>
      <c r="AK35" t="str">
        <f>IF($F$3="Lot No.",'Final Calculation Sheet'!$F$34,IF($F$3="Buyer",'Final Calculation Sheet'!$G$34,IF($F$3="Lot Name",'Final Calculation Sheet'!$B$34,IF($F$3="Bid Sheet",'Final Calculation Sheet'!$D$34,IF($F$3="Unit",'Final Calculation Sheet'!$E$34,'Final Calculation Sheet'!$F$34&amp;" "&amp;'Final Calculation Sheet'!$G$34&amp;" "&amp;'Final Calculation Sheet'!$B$34)))))</f>
        <v>2062 STERLING ENTERPRISES Scrap of Empty oil Barrels</v>
      </c>
      <c r="AM35" t="str">
        <f t="shared" si="3"/>
        <v>0</v>
      </c>
      <c r="AZ35" t="str">
        <f t="shared" si="4"/>
        <v>10</v>
      </c>
      <c r="BA35" t="str">
        <f t="shared" si="5"/>
        <v>30</v>
      </c>
      <c r="BB35" t="str">
        <f t="shared" si="6"/>
        <v>37</v>
      </c>
      <c r="BC35">
        <v>34.0</v>
      </c>
      <c r="BH35" t="str">
        <f>IFERROR(MATCH(35,$BF$4:$BF$13,0),0)</f>
        <v>0</v>
      </c>
      <c r="BI35" t="str">
        <f>IF(35=$BG$5,1,0)</f>
        <v>0</v>
      </c>
      <c r="BJ35" t="str">
        <f t="array" ref="BJ35">IF(OR($BH35&gt;0,$BI35=1,$BL35=1),0,IFERROR(INDEX($BC$5:$BC$41,MATCH(35,$BB$5:$BB$41,0)),0))</f>
        <v>32</v>
      </c>
      <c r="BK35" t="str">
        <f t="array" ref="BK35">IF($BJ35&gt;0,IF(INDEX($AZ$5:$AZ$41,MATCH(35,$BB$5:$BB$41,0))=10,1,0),IF($BH35=10,1,0))</f>
        <v>1</v>
      </c>
      <c r="BL35" t="str">
        <f>IF(35=$BG$4,1,0)</f>
        <v>0</v>
      </c>
      <c r="BM35" t="str">
        <f t="shared" si="8"/>
        <v>1</v>
      </c>
      <c r="BN35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Sheet'!$F$34)&amp;"",""))))&gt;0))</f>
        <v>1</v>
      </c>
      <c r="BO35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Sheet'!$G$34)&amp;"",""))))&gt;0))</f>
        <v>1</v>
      </c>
      <c r="BP35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Sheet'!$B$34)&amp;"",""))))&gt;0))</f>
        <v>1</v>
      </c>
      <c r="BQ35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Sheet'!$D$34)&amp;"",""))))&gt;0))</f>
        <v>1</v>
      </c>
      <c r="BR35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Sheet'!$A$34)&amp;"",""))))&gt;0))</f>
        <v>1</v>
      </c>
      <c r="BS35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Sheet'!$E$34)&amp;"",""))))&gt;0))</f>
        <v>1</v>
      </c>
      <c r="BT35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Sheet'!$C$34)&amp;"",""))))&gt;0))</f>
        <v>1</v>
      </c>
      <c r="BU35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Sheet'!$H$34)&amp;"",""))))&gt;0))</f>
        <v>1</v>
      </c>
      <c r="BV35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Sheet'!$I$34)&amp;"",""))))&gt;0))</f>
        <v>1</v>
      </c>
      <c r="BW35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Sheet'!$J$34)&amp;"",""))))&gt;0))</f>
        <v>1</v>
      </c>
      <c r="BX35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Sheet'!$K$34)&amp;"",""))))&gt;0))</f>
        <v>1</v>
      </c>
      <c r="BY35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Sheet'!$L$34)&amp;"",""))))&gt;0))</f>
        <v>1</v>
      </c>
      <c r="BZ35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Sheet'!$M$34)&amp;"",""))))&gt;0))</f>
        <v>1</v>
      </c>
      <c r="CA35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Sheet'!$N$34)&amp;"",""))))&gt;0))</f>
        <v>1</v>
      </c>
      <c r="CB35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Sheet'!$O$34)&amp;"",""))))&gt;0))</f>
        <v>1</v>
      </c>
      <c r="CC35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Sheet'!$P$34)&amp;"",""))))&gt;0))</f>
        <v>1</v>
      </c>
      <c r="CD35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Sheet'!$Q$34)&amp;"",""))))&gt;0))</f>
        <v>1</v>
      </c>
      <c r="CE35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Sheet'!$R$34)&amp;"",""))))&gt;0))</f>
        <v>1</v>
      </c>
      <c r="CF35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Sheet'!$S$34)&amp;"",""))))&gt;0))</f>
        <v>1</v>
      </c>
      <c r="CG35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Sheet'!$T$34)&amp;"",""))))&gt;0))</f>
        <v>1</v>
      </c>
      <c r="CH35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Sheet'!$U$34)&amp;"",""))))&gt;0))</f>
        <v>1</v>
      </c>
      <c r="CI35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Sheet'!$V$34)&amp;"",""))))&gt;0))</f>
        <v>1</v>
      </c>
      <c r="CJ35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Sheet'!$W$34)&amp;"",""))))&gt;0))</f>
        <v>1</v>
      </c>
      <c r="CK35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Sheet'!$X$34)&amp;"",""))))&gt;0))</f>
        <v>1</v>
      </c>
      <c r="CL35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Sheet'!$Y$34)&amp;"",""))))&gt;0))</f>
        <v>1</v>
      </c>
      <c r="CM35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Sheet'!$Z$34)&amp;"",""))))&gt;0))</f>
        <v>1</v>
      </c>
      <c r="CN35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Sheet'!$AA$34)&amp;"",""))))&gt;0))</f>
        <v>1</v>
      </c>
      <c r="CO35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Sheet'!$AB$34)&amp;"",""))))&gt;0))</f>
        <v>1</v>
      </c>
      <c r="CP35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Sheet'!$AC$34)&amp;"",""))))&gt;0))</f>
        <v>1</v>
      </c>
      <c r="CQ35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Sheet'!$AD$34)&amp;"",""))))&gt;0))</f>
        <v>1</v>
      </c>
      <c r="CR35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Sheet'!$AE$34)&amp;"",""))))&gt;0))</f>
        <v>1</v>
      </c>
      <c r="CS35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Sheet'!$AF$34)&amp;"",""))))&gt;0))</f>
        <v>1</v>
      </c>
      <c r="CT35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Sheet'!$AG$34)&amp;"",""))))&gt;0))</f>
        <v>1</v>
      </c>
      <c r="CU35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Sheet'!$AD$34&lt;=0,"SETTLED","OUTSTANDING"))&amp;"",""))))&gt;0))</f>
        <v>1</v>
      </c>
    </row>
    <row r="36" ht="15.0" customHeight="1">
      <c r="A36" s="75" t="str">
        <f t="array" ref="A36">IF($BJ35&gt;0,INDEX($BA$5:$BA$41,MATCH(35,$BB$5:$BB$41,0)),IF(OR($BI35=1,$BL35=1,$BH35&gt;0),"∑",""))</f>
        <v>28</v>
      </c>
      <c r="B36" s="76" t="str">
        <f t="array" ref="B36">IF($BJ35&gt;0,IF(INDEX('Final Calculation Sheet'!$F$4:$F$40,$BJ35-3)="","",INDEX('Final Calculation Sheet'!$F$4:$F$40,$BJ35-3)),"")</f>
        <v>2055</v>
      </c>
      <c r="C36" s="76" t="str">
        <f t="array" ref="C36">IF($BJ35&gt;0,IF(INDEX('Final Calculation Sheet'!$G$4:$G$40,$BJ35-3)="","",INDEX('Final Calculation Sheet'!$G$4:$G$40,$BJ35-3)),IF(OR($BI35=1,$BL35=1,$BH35&gt;0),IF($BI35=1,37,IF($BL35=1,37-INDEX($BD$4:$BD$13,10),INDEX($BD$4:$BD$13,$BH35)))&amp;" lot(s)",""))</f>
        <v>NATIONAL ENTERPRISES</v>
      </c>
      <c r="D36" s="77" t="str">
        <f t="array" ref="D36">IF($BJ35&gt;0,IF(INDEX('Final Calculation Sheet'!$B$4:$B$40,$BJ35-3)="","",INDEX('Final Calculation Sheet'!$B$4:$B$40,$BJ35-3)),IF(OR($BI35=1,$BL35=1,$BH35&gt;0),IF($BI35=1,"GRAND TOTAL  —  matching + remaining",IF($BL35=1,"TOTAL MATCHED  —  every group together",IF($BH35=10,"REMAINING  —  did not match the search",IF($BH35=9,IF(COUNTIF($A$4:$AI$4,"&lt;&gt;")&gt;0,"FILTERED LOTS  —  column fields","ALL LOTS  —  nothing typed in the box"),"GROUP "&amp;$BH35&amp;" TOTAL  —  lots matching  "&amp;INDEX($AR$6:$AY$6,$BH35))))),""))</f>
        <v>Scrap of 220 KV CT</v>
      </c>
      <c r="E36" s="77" t="str">
        <f t="array" ref="E36">IF($BJ35&gt;0,IF(INDEX('Final Calculation Sheet'!$D$4:$D$40,$BJ35-3)="","",INDEX('Final Calculation Sheet'!$D$4:$D$40,$BJ35-3)),IF(OR($BI35=1,$BL35=1,$BH35&gt;0),"–",""))</f>
        <v>21979</v>
      </c>
      <c r="F36" s="77" t="str">
        <f t="array" ref="F36">IF($BJ35&gt;0,IF(INDEX('Final Calculation Sheet'!$A$4:$A$40,$BJ35-3)="","",INDEX('Final Calculation Sheet'!$A$4:$A$40,$BJ35-3)),IF(OR($BI35=1,$BL35=1,$BH35&gt;0),IF($BI35=1,SUM('Final Calculation Sheet'!$A$4:$A$40),IF($BL35=1,SUM('Final Calculation Sheet'!$A$4:$A$40)-SUMIFS('Final Calculation Sheet'!$A$4:$A$40,$AZ$5:$AZ$41,10),SUMIFS('Final Calculation Sheet'!$A$4:$A$40,$AZ$5:$AZ$41,$BH35))),""))</f>
        <v>2</v>
      </c>
      <c r="G36" s="77" t="str">
        <f t="array" ref="G36">IF($BJ35&gt;0,IF(INDEX('Final Calculation Sheet'!$E$4:$E$40,$BJ35-3)="","",INDEX('Final Calculation Sheet'!$E$4:$E$40,$BJ35-3)),IF(OR($BI35=1,$BL35=1,$BH35&gt;0),"–",""))</f>
        <v>NO</v>
      </c>
      <c r="H36" s="78" t="str">
        <f t="array" ref="H36">IF($BJ35&gt;0,IF(INDEX('Final Calculation Sheet'!$C$4:$C$40,$BJ35-3)="","",INDEX('Final Calculation Sheet'!$C$4:$C$40,$BJ35-3)),IF(OR($BI35=1,$BL35=1,$BH35&gt;0),"–",""))</f>
        <v>80,006</v>
      </c>
      <c r="I36" s="78" t="str">
        <f t="array" ref="I36">IF($BJ35&gt;0,IF(INDEX('Final Calculation Sheet'!$H$4:$H$40,$BJ35-3)="","",INDEX('Final Calculation Sheet'!$H$4:$H$40,$BJ35-3)),IF(OR($BI35=1,$BL35=1,$BH35&gt;0),IF($BI35=1,SUM('Final Calculation Sheet'!$H$4:$H$40),IF($BL35=1,SUM('Final Calculation Sheet'!$H$4:$H$40)-SUMIFS('Final Calculation Sheet'!$H$4:$H$40,$AZ$5:$AZ$41,10),SUMIFS('Final Calculation Sheet'!$H$4:$H$40,$AZ$5:$AZ$41,$BH35))),""))</f>
        <v>160,012</v>
      </c>
      <c r="J36" s="78" t="str">
        <f t="array" ref="J36">IF($BJ35&gt;0,IF(INDEX('Final Calculation Sheet'!$I$4:$I$40,$BJ35-3)="","",INDEX('Final Calculation Sheet'!$I$4:$I$40,$BJ35-3)),IF(OR($BI35=1,$BL35=1,$BH35&gt;0),IF($BI35=1,SUM('Final Calculation Sheet'!$I$4:$I$40),IF($BL35=1,SUM('Final Calculation Sheet'!$I$4:$I$40)-SUMIFS('Final Calculation Sheet'!$I$4:$I$40,$AZ$5:$AZ$41,10),SUMIFS('Final Calculation Sheet'!$I$4:$I$40,$AZ$5:$AZ$41,$BH35))),""))</f>
        <v>28,802</v>
      </c>
      <c r="K36" s="78" t="str">
        <f t="array" ref="K36">IF($BJ35&gt;0,IF(INDEX('Final Calculation Sheet'!$J$4:$J$40,$BJ35-3)="","",INDEX('Final Calculation Sheet'!$J$4:$J$40,$BJ35-3)),IF(OR($BI35=1,$BL35=1,$BH35&gt;0),IF($BI35=1,SUM('Final Calculation Sheet'!$J$4:$J$40),IF($BL35=1,SUM('Final Calculation Sheet'!$J$4:$J$40)-SUMIFS('Final Calculation Sheet'!$J$4:$J$40,$AZ$5:$AZ$41,10),SUMIFS('Final Calculation Sheet'!$J$4:$J$40,$AZ$5:$AZ$41,$BH35))),""))</f>
        <v>188,814</v>
      </c>
      <c r="L36" s="78" t="str">
        <f t="array" ref="L36">IF($BJ35&gt;0,IF(INDEX('Final Calculation Sheet'!$K$4:$K$40,$BJ35-3)="","",INDEX('Final Calculation Sheet'!$K$4:$K$40,$BJ35-3)),IF(OR($BI35=1,$BL35=1,$BH35&gt;0),IF($BI35=1,SUM('Final Calculation Sheet'!$K$4:$K$40),IF($BL35=1,SUM('Final Calculation Sheet'!$K$4:$K$40)-SUMIFS('Final Calculation Sheet'!$K$4:$K$40,$AZ$5:$AZ$41,10),SUMIFS('Final Calculation Sheet'!$K$4:$K$40,$AZ$5:$AZ$41,$BH35))),""))</f>
        <v>3,776</v>
      </c>
      <c r="M36" s="78" t="str">
        <f t="array" ref="M36">IF($BJ35&gt;0,IF(INDEX('Final Calculation Sheet'!$L$4:$L$40,$BJ35-3)="","",INDEX('Final Calculation Sheet'!$L$4:$L$40,$BJ35-3)),IF(OR($BI35=1,$BL35=1,$BH35&gt;0),IF($BI35=1,SUM('Final Calculation Sheet'!$L$4:$L$40),IF($BL35=1,SUM('Final Calculation Sheet'!$L$4:$L$40)-SUMIFS('Final Calculation Sheet'!$L$4:$L$40,$AZ$5:$AZ$41,10),SUMIFS('Final Calculation Sheet'!$L$4:$L$40,$AZ$5:$AZ$41,$BH35))),""))</f>
        <v>160</v>
      </c>
      <c r="N36" s="78" t="str">
        <f t="array" ref="N36">IF($BJ35&gt;0,IF(INDEX('Final Calculation Sheet'!$M$4:$M$40,$BJ35-3)="","",INDEX('Final Calculation Sheet'!$M$4:$M$40,$BJ35-3)),IF(OR($BI35=1,$BL35=1,$BH35&gt;0),IF($BI35=1,SUM('Final Calculation Sheet'!$M$4:$M$40),IF($BL35=1,SUM('Final Calculation Sheet'!$M$4:$M$40)-SUMIFS('Final Calculation Sheet'!$M$4:$M$40,$AZ$5:$AZ$41,10),SUMIFS('Final Calculation Sheet'!$M$4:$M$40,$AZ$5:$AZ$41,$BH35))),""))</f>
        <v>4,248</v>
      </c>
      <c r="O36" s="79" t="str">
        <f t="array" ref="O36">IF($BJ35&gt;0,IF(INDEX('Final Calculation Sheet'!$N$4:$N$40,$BJ35-3)="","",INDEX('Final Calculation Sheet'!$N$4:$N$40,$BJ35-3)),IF(OR($BI35=1,$BL35=1,$BH35&gt;0),IF($BI35=1,SUM('Final Calculation Sheet'!$N$4:$N$40),IF($BL35=1,SUM('Final Calculation Sheet'!$N$4:$N$40)-SUMIFS('Final Calculation Sheet'!$N$4:$N$40,$AZ$5:$AZ$41,10),SUMIFS('Final Calculation Sheet'!$N$4:$N$40,$AZ$5:$AZ$41,$BH35))),""))</f>
        <v>72</v>
      </c>
      <c r="P36" s="78" t="str">
        <f t="array" ref="P36">IF($BJ35&gt;0,IF(INDEX('Final Calculation Sheet'!$O$4:$O$40,$BJ35-3)="","",INDEX('Final Calculation Sheet'!$O$4:$O$40,$BJ35-3)),IF(OR($BI35=1,$BL35=1,$BH35&gt;0),IF($BI35=1,SUM('Final Calculation Sheet'!$O$4:$O$40),IF($BL35=1,SUM('Final Calculation Sheet'!$O$4:$O$40)-SUMIFS('Final Calculation Sheet'!$O$4:$O$40,$AZ$5:$AZ$41,10),SUMIFS('Final Calculation Sheet'!$O$4:$O$40,$AZ$5:$AZ$41,$BH35))),""))</f>
        <v>4,176</v>
      </c>
      <c r="Q36" s="78" t="str">
        <f t="array" ref="Q36">IF($BJ35&gt;0,IF(INDEX('Final Calculation Sheet'!$P$4:$P$40,$BJ35-3)="","",INDEX('Final Calculation Sheet'!$P$4:$P$40,$BJ35-3)),IF(OR($BI35=1,$BL35=1,$BH35&gt;0),IF($BI35=1,SUM('Final Calculation Sheet'!$P$4:$P$40),IF($BL35=1,SUM('Final Calculation Sheet'!$P$4:$P$40)-SUMIFS('Final Calculation Sheet'!$P$4:$P$40,$AZ$5:$AZ$41,10),SUMIFS('Final Calculation Sheet'!$P$4:$P$40,$AZ$5:$AZ$41,$BH35))),""))</f>
        <v>4,336</v>
      </c>
      <c r="R36" s="80" t="str">
        <f t="array" ref="R36">IF($BJ35&gt;0,IF(INDEX('Final Calculation Sheet'!$Q$4:$Q$40,$BJ35-3)="","",INDEX('Final Calculation Sheet'!$Q$4:$Q$40,$BJ35-3)),IF(OR($BI35=1,$BL35=1,$BH35&gt;0),"–",""))</f>
        <v>0%</v>
      </c>
      <c r="S36" s="78" t="str">
        <f t="array" ref="S36">IF($BJ35&gt;0,IF(INDEX('Final Calculation Sheet'!$R$4:$R$40,$BJ35-3)="","",INDEX('Final Calculation Sheet'!$R$4:$R$40,$BJ35-3)),IF(OR($BI35=1,$BL35=1,$BH35&gt;0),IF($BI35=1,SUM('Final Calculation Sheet'!$R$4:$R$40),IF($BL35=1,SUM('Final Calculation Sheet'!$R$4:$R$40)-SUMIFS('Final Calculation Sheet'!$R$4:$R$40,$AZ$5:$AZ$41,10),SUMIFS('Final Calculation Sheet'!$R$4:$R$40,$AZ$5:$AZ$41,$BH35))),""))</f>
        <v>0</v>
      </c>
      <c r="T36" s="78" t="str">
        <f t="array" ref="T36">IF($BJ35&gt;0,IF(INDEX('Final Calculation Sheet'!$S$4:$S$40,$BJ35-3)="","",INDEX('Final Calculation Sheet'!$S$4:$S$40,$BJ35-3)),IF(OR($BI35=1,$BL35=1,$BH35&gt;0),IF($BI35=1,SUM('Final Calculation Sheet'!$S$4:$S$40),IF($BL35=1,SUM('Final Calculation Sheet'!$S$4:$S$40)-SUMIFS('Final Calculation Sheet'!$S$4:$S$40,$AZ$5:$AZ$41,10),SUMIFS('Final Calculation Sheet'!$S$4:$S$40,$AZ$5:$AZ$41,$BH35))),""))</f>
        <v>188,254</v>
      </c>
      <c r="U36" s="78" t="str">
        <f t="array" ref="U36">IF($BJ35&gt;0,IF(INDEX('Final Calculation Sheet'!$T$4:$T$40,$BJ35-3)="","",INDEX('Final Calculation Sheet'!$T$4:$T$40,$BJ35-3)),IF(OR($BI35=1,$BL35=1,$BH35&gt;0),IF($BI35=1,SUM('Final Calculation Sheet'!$T$4:$T$40),IF($BL35=1,SUM('Final Calculation Sheet'!$T$4:$T$40)-SUMIFS('Final Calculation Sheet'!$T$4:$T$40,$AZ$5:$AZ$41,10),SUMIFS('Final Calculation Sheet'!$T$4:$T$40,$AZ$5:$AZ$41,$BH35))),""))</f>
        <v>40,003</v>
      </c>
      <c r="V36" s="81" t="str">
        <f t="array" ref="V36">IF($BJ35&gt;0,IF(INDEX('Final Calculation Sheet'!$U$4:$U$40,$BJ35-3)="","",INDEX('Final Calculation Sheet'!$U$4:$U$40,$BJ35-3)),IF(OR($BI35=1,$BL35=1,$BH35&gt;0),IF($BI35=1,SUM('Final Calculation Sheet'!$U$4:$U$40),IF($BL35=1,SUM('Final Calculation Sheet'!$U$4:$U$40)-SUMIFS('Final Calculation Sheet'!$U$4:$U$40,$AZ$5:$AZ$41,10),SUMIFS('Final Calculation Sheet'!$U$4:$U$40,$AZ$5:$AZ$41,$BH35))),""))</f>
        <v>  40,003 </v>
      </c>
      <c r="W36" s="78" t="str">
        <f t="array" ref="W36">IF($BJ35&gt;0,IF(INDEX('Final Calculation Sheet'!$V$4:$V$40,$BJ35-3)="","",INDEX('Final Calculation Sheet'!$V$4:$V$40,$BJ35-3)),IF(OR($BI35=1,$BL35=1,$BH35&gt;0),"–",""))</f>
        <v>13.08.2026</v>
      </c>
      <c r="X36" s="78" t="str">
        <f t="array" ref="X36">IF($BJ35&gt;0,IF(INDEX('Final Calculation Sheet'!$W$4:$W$40,$BJ35-3)="","",INDEX('Final Calculation Sheet'!$W$4:$W$40,$BJ35-3)),IF(OR($BI35=1,$BL35=1,$BH35&gt;0),IF($BI35=1,SUM('Final Calculation Sheet'!$W$4:$W$40),IF($BL35=1,SUM('Final Calculation Sheet'!$W$4:$W$40)-SUMIFS('Final Calculation Sheet'!$W$4:$W$40,$AZ$5:$AZ$41,10),SUMIFS('Final Calculation Sheet'!$W$4:$W$40,$AZ$5:$AZ$41,$BH35))),""))</f>
        <v>148,251</v>
      </c>
      <c r="Y36" s="78" t="str">
        <f t="array" ref="Y36">IF($BJ35&gt;0,IF(INDEX('Final Calculation Sheet'!$X$4:$X$40,$BJ35-3)="","",INDEX('Final Calculation Sheet'!$X$4:$X$40,$BJ35-3)),IF(OR($BI35=1,$BL35=1,$BH35&gt;0),IF($BI35=1,SUM('Final Calculation Sheet'!$X$4:$X$40),IF($BL35=1,SUM('Final Calculation Sheet'!$X$4:$X$40)-SUMIFS('Final Calculation Sheet'!$X$4:$X$40,$AZ$5:$AZ$41,10),SUMIFS('Final Calculation Sheet'!$X$4:$X$40,$AZ$5:$AZ$41,$BH35))),""))</f>
        <v>148,251</v>
      </c>
      <c r="Z36" s="78" t="str">
        <f t="array" ref="Z36">IF($BJ35&gt;0,IF(INDEX('Final Calculation Sheet'!$Y$4:$Y$40,$BJ35-3)="","",INDEX('Final Calculation Sheet'!$Y$4:$Y$40,$BJ35-3)),IF(OR($BI35=1,$BL35=1,$BH35&gt;0),"–",""))</f>
        <v>24.08.2026</v>
      </c>
      <c r="AA36" s="78" t="str">
        <f t="array" ref="AA36">IF($BJ35&gt;0,IF(INDEX('Final Calculation Sheet'!$Z$4:$Z$40,$BJ35-3)="","",INDEX('Final Calculation Sheet'!$Z$4:$Z$40,$BJ35-3)),IF(OR($BI35=1,$BL35=1,$BH35&gt;0),IF($BI35=1,SUM('Final Calculation Sheet'!$Z$4:$Z$40),IF($BL35=1,SUM('Final Calculation Sheet'!$Z$4:$Z$40)-SUMIFS('Final Calculation Sheet'!$Z$4:$Z$40,$AZ$5:$AZ$41,10),SUMIFS('Final Calculation Sheet'!$Z$4:$Z$40,$AZ$5:$AZ$41,$BH35))),""))</f>
        <v>0</v>
      </c>
      <c r="AB36" s="78" t="str">
        <f t="array" ref="AB36">IF($BJ35&gt;0,IF(INDEX('Final Calculation Sheet'!$AA$4:$AA$40,$BJ35-3)="","",INDEX('Final Calculation Sheet'!$AA$4:$AA$40,$BJ35-3)),IF(OR($BI35=1,$BL35=1,$BH35&gt;0),IF($BI35=1,SUM('Final Calculation Sheet'!$AA$4:$AA$40),IF($BL35=1,SUM('Final Calculation Sheet'!$AA$4:$AA$40)-SUMIFS('Final Calculation Sheet'!$AA$4:$AA$40,$AZ$5:$AZ$41,10),SUMIFS('Final Calculation Sheet'!$AA$4:$AA$40,$AZ$5:$AZ$41,$BH35))),""))</f>
        <v/>
      </c>
      <c r="AC36" s="78" t="str">
        <f t="array" ref="AC36">IF($BJ35&gt;0,IF(INDEX('Final Calculation Sheet'!$AB$4:$AB$40,$BJ35-3)="","",INDEX('Final Calculation Sheet'!$AB$4:$AB$40,$BJ35-3)),IF(OR($BI35=1,$BL35=1,$BH35&gt;0),"–",""))</f>
        <v/>
      </c>
      <c r="AD36" s="78" t="str">
        <f t="array" ref="AD36">IF($BJ35&gt;0,IF(INDEX('Final Calculation Sheet'!$AC$4:$AC$40,$BJ35-3)="","",INDEX('Final Calculation Sheet'!$AC$4:$AC$40,$BJ35-3)),IF(OR($BI35=1,$BL35=1,$BH35&gt;0),IF($BI35=1,SUM('Final Calculation Sheet'!$AC$4:$AC$40),IF($BL35=1,SUM('Final Calculation Sheet'!$AC$4:$AC$40)-SUMIFS('Final Calculation Sheet'!$AC$4:$AC$40,$AZ$5:$AZ$41,10),SUMIFS('Final Calculation Sheet'!$AC$4:$AC$40,$AZ$5:$AZ$41,$BH35))),""))</f>
        <v>188,254</v>
      </c>
      <c r="AE36" s="78" t="str">
        <f t="array" ref="AE36">IF($BJ35&gt;0,IF(INDEX('Final Calculation Sheet'!$AD$4:$AD$40,$BJ35-3)="","",INDEX('Final Calculation Sheet'!$AD$4:$AD$40,$BJ35-3)),IF(OR($BI35=1,$BL35=1,$BH35&gt;0),IF($BI35=1,SUM('Final Calculation Sheet'!$AD$4:$AD$40),IF($BL35=1,SUM('Final Calculation Sheet'!$AD$4:$AD$40)-SUMIFS('Final Calculation Sheet'!$AD$4:$AD$40,$AZ$5:$AZ$41,10),SUMIFS('Final Calculation Sheet'!$AD$4:$AD$40,$AZ$5:$AZ$41,$BH35))),""))</f>
        <v>0</v>
      </c>
      <c r="AF36" s="78" t="str">
        <f t="array" ref="AF36">IF($BJ35&gt;0,IF(INDEX('Final Calculation Sheet'!$AE$4:$AE$40,$BJ35-3)="","",INDEX('Final Calculation Sheet'!$AE$4:$AE$40,$BJ35-3)),IF(OR($BI35=1,$BL35=1,$BH35&gt;0),"–",""))</f>
        <v>DR2640100039</v>
      </c>
      <c r="AG36" s="82" t="str">
        <f t="array" ref="AG36">IF($BJ35&gt;0,IF(INDEX('Final Calculation Sheet'!$AF$4:$AF$40,$BJ35-3)="","",INDEX('Final Calculation Sheet'!$AF$4:$AF$40,$BJ35-3)),IF(OR($BI35=1,$BL35=1,$BH35&gt;0),"–",""))</f>
        <v>1800003312</v>
      </c>
      <c r="AH36" s="78" t="str">
        <f t="array" ref="AH36">IF($BJ35&gt;0,IF(INDEX('Final Calculation Sheet'!$AG$4:$AG$40,$BJ35-3)="","",INDEX('Final Calculation Sheet'!$AG$4:$AG$40,$BJ35-3)),IF(OR($BI35=1,$BL35=1,$BH35&gt;0),"–",""))</f>
        <v>27.08.2026</v>
      </c>
      <c r="AI36" s="83" t="str">
        <f t="array" ref="AI36">IF($BJ35&gt;0,IF(INDEX('Final Calculation Sheet'!$AD$4:$AD$40,$BJ35-3)="","",IF(INDEX('Final Calculation Sheet'!$AD$4:$AD$40,$BJ35-3)&lt;=0,"SETTLED","OUTSTANDING")),IF(OR($BI35=1,$BL35=1,$BH35&gt;0),IF(IF($BI35=1,SUM('Final Calculation Sheet'!$AD$4:$AD$40),IF($BL35=1,SUM('Final Calculation Sheet'!$AD$4:$AD$40)-SUMIFS('Final Calculation Sheet'!$AD$4:$AD$40,$AZ$5:$AZ$41,10),SUMIFS('Final Calculation Sheet'!$AD$4:$AD$40,$AZ$5:$AZ$41,$BH35)))&lt;=0,"ALL SETTLED","OUTSTANDING"),""))</f>
        <v>SETTLED</v>
      </c>
      <c r="AK36" t="str">
        <f>IF($F$3="Lot No.",'Final Calculation Sheet'!$F$35,IF($F$3="Buyer",'Final Calculation Sheet'!$G$35,IF($F$3="Lot Name",'Final Calculation Sheet'!$B$35,IF($F$3="Bid Sheet",'Final Calculation Sheet'!$D$35,IF($F$3="Unit",'Final Calculation Sheet'!$E$35,'Final Calculation Sheet'!$F$35&amp;" "&amp;'Final Calculation Sheet'!$G$35&amp;" "&amp;'Final Calculation Sheet'!$B$35)))))</f>
        <v>2067 WATAN SCRAP TRADERS Scrap of empty oil drums</v>
      </c>
      <c r="AM36" t="str">
        <f t="shared" si="3"/>
        <v>0</v>
      </c>
      <c r="AZ36" t="str">
        <f t="shared" si="4"/>
        <v>10</v>
      </c>
      <c r="BA36" t="str">
        <f t="shared" si="5"/>
        <v>31</v>
      </c>
      <c r="BB36" t="str">
        <f t="shared" si="6"/>
        <v>38</v>
      </c>
      <c r="BC36">
        <v>35.0</v>
      </c>
      <c r="BH36" t="str">
        <f>IFERROR(MATCH(36,$BF$4:$BF$13,0),0)</f>
        <v>0</v>
      </c>
      <c r="BI36" t="str">
        <f>IF(36=$BG$5,1,0)</f>
        <v>0</v>
      </c>
      <c r="BJ36" t="str">
        <f t="array" ref="BJ36">IF(OR($BH36&gt;0,$BI36=1,$BL36=1),0,IFERROR(INDEX($BC$5:$BC$41,MATCH(36,$BB$5:$BB$41,0)),0))</f>
        <v>33</v>
      </c>
      <c r="BK36" t="str">
        <f t="array" ref="BK36">IF($BJ36&gt;0,IF(INDEX($AZ$5:$AZ$41,MATCH(36,$BB$5:$BB$41,0))=10,1,0),IF($BH36=10,1,0))</f>
        <v>1</v>
      </c>
      <c r="BL36" t="str">
        <f>IF(36=$BG$4,1,0)</f>
        <v>0</v>
      </c>
      <c r="BM36" t="str">
        <f t="shared" si="8"/>
        <v>1</v>
      </c>
      <c r="BN36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Sheet'!$F$35)&amp;"",""))))&gt;0))</f>
        <v>1</v>
      </c>
      <c r="BO36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Sheet'!$G$35)&amp;"",""))))&gt;0))</f>
        <v>1</v>
      </c>
      <c r="BP36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Sheet'!$B$35)&amp;"",""))))&gt;0))</f>
        <v>1</v>
      </c>
      <c r="BQ36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Sheet'!$D$35)&amp;"",""))))&gt;0))</f>
        <v>1</v>
      </c>
      <c r="BR36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Sheet'!$A$35)&amp;"",""))))&gt;0))</f>
        <v>1</v>
      </c>
      <c r="BS36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Sheet'!$E$35)&amp;"",""))))&gt;0))</f>
        <v>1</v>
      </c>
      <c r="BT36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Sheet'!$C$35)&amp;"",""))))&gt;0))</f>
        <v>1</v>
      </c>
      <c r="BU36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Sheet'!$H$35)&amp;"",""))))&gt;0))</f>
        <v>1</v>
      </c>
      <c r="BV36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Sheet'!$I$35)&amp;"",""))))&gt;0))</f>
        <v>1</v>
      </c>
      <c r="BW36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Sheet'!$J$35)&amp;"",""))))&gt;0))</f>
        <v>1</v>
      </c>
      <c r="BX36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Sheet'!$K$35)&amp;"",""))))&gt;0))</f>
        <v>1</v>
      </c>
      <c r="BY36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Sheet'!$L$35)&amp;"",""))))&gt;0))</f>
        <v>1</v>
      </c>
      <c r="BZ36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Sheet'!$M$35)&amp;"",""))))&gt;0))</f>
        <v>1</v>
      </c>
      <c r="CA36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Sheet'!$N$35)&amp;"",""))))&gt;0))</f>
        <v>1</v>
      </c>
      <c r="CB36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Sheet'!$O$35)&amp;"",""))))&gt;0))</f>
        <v>1</v>
      </c>
      <c r="CC36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Sheet'!$P$35)&amp;"",""))))&gt;0))</f>
        <v>1</v>
      </c>
      <c r="CD36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Sheet'!$Q$35)&amp;"",""))))&gt;0))</f>
        <v>1</v>
      </c>
      <c r="CE36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Sheet'!$R$35)&amp;"",""))))&gt;0))</f>
        <v>1</v>
      </c>
      <c r="CF36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Sheet'!$S$35)&amp;"",""))))&gt;0))</f>
        <v>1</v>
      </c>
      <c r="CG36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Sheet'!$T$35)&amp;"",""))))&gt;0))</f>
        <v>1</v>
      </c>
      <c r="CH36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Sheet'!$U$35)&amp;"",""))))&gt;0))</f>
        <v>1</v>
      </c>
      <c r="CI36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Sheet'!$V$35)&amp;"",""))))&gt;0))</f>
        <v>1</v>
      </c>
      <c r="CJ36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Sheet'!$W$35)&amp;"",""))))&gt;0))</f>
        <v>1</v>
      </c>
      <c r="CK36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Sheet'!$X$35)&amp;"",""))))&gt;0))</f>
        <v>1</v>
      </c>
      <c r="CL36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Sheet'!$Y$35)&amp;"",""))))&gt;0))</f>
        <v>1</v>
      </c>
      <c r="CM36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Sheet'!$Z$35)&amp;"",""))))&gt;0))</f>
        <v>1</v>
      </c>
      <c r="CN36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Sheet'!$AA$35)&amp;"",""))))&gt;0))</f>
        <v>1</v>
      </c>
      <c r="CO36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Sheet'!$AB$35)&amp;"",""))))&gt;0))</f>
        <v>1</v>
      </c>
      <c r="CP36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Sheet'!$AC$35)&amp;"",""))))&gt;0))</f>
        <v>1</v>
      </c>
      <c r="CQ36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Sheet'!$AD$35)&amp;"",""))))&gt;0))</f>
        <v>1</v>
      </c>
      <c r="CR36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Sheet'!$AE$35)&amp;"",""))))&gt;0))</f>
        <v>1</v>
      </c>
      <c r="CS36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Sheet'!$AF$35)&amp;"",""))))&gt;0))</f>
        <v>1</v>
      </c>
      <c r="CT36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Sheet'!$AG$35)&amp;"",""))))&gt;0))</f>
        <v>1</v>
      </c>
      <c r="CU36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Sheet'!$AD$35&lt;=0,"SETTLED","OUTSTANDING"))&amp;"",""))))&gt;0))</f>
        <v>1</v>
      </c>
    </row>
    <row r="37" ht="15.0" customHeight="1">
      <c r="A37" s="75" t="str">
        <f t="array" ref="A37">IF($BJ36&gt;0,INDEX($BA$5:$BA$41,MATCH(36,$BB$5:$BB$41,0)),IF(OR($BI36=1,$BL36=1,$BH36&gt;0),"∑",""))</f>
        <v>29</v>
      </c>
      <c r="B37" s="76" t="str">
        <f t="array" ref="B37">IF($BJ36&gt;0,IF(INDEX('Final Calculation Sheet'!$F$4:$F$40,$BJ36-3)="","",INDEX('Final Calculation Sheet'!$F$4:$F$40,$BJ36-3)),"")</f>
        <v>2059</v>
      </c>
      <c r="C37" s="76" t="str">
        <f t="array" ref="C37">IF($BJ36&gt;0,IF(INDEX('Final Calculation Sheet'!$G$4:$G$40,$BJ36-3)="","",INDEX('Final Calculation Sheet'!$G$4:$G$40,$BJ36-3)),IF(OR($BI36=1,$BL36=1,$BH36&gt;0),IF($BI36=1,37,IF($BL36=1,37-INDEX($BD$4:$BD$13,10),INDEX($BD$4:$BD$13,$BH36)))&amp;" lot(s)",""))</f>
        <v>NATIONAL ENTERPRISES</v>
      </c>
      <c r="D37" s="77" t="str">
        <f t="array" ref="D37">IF($BJ36&gt;0,IF(INDEX('Final Calculation Sheet'!$B$4:$B$40,$BJ36-3)="","",INDEX('Final Calculation Sheet'!$B$4:$B$40,$BJ36-3)),IF(OR($BI36=1,$BL36=1,$BH36&gt;0),IF($BI36=1,"GRAND TOTAL  —  matching + remaining",IF($BL36=1,"TOTAL MATCHED  —  every group together",IF($BH36=10,"REMAINING  —  did not match the search",IF($BH36=9,IF(COUNTIF($A$4:$AI$4,"&lt;&gt;")&gt;0,"FILTERED LOTS  —  column fields","ALL LOTS  —  nothing typed in the box"),"GROUP "&amp;$BH36&amp;" TOTAL  —  lots matching  "&amp;INDEX($AR$6:$AY$6,$BH36))))),""))</f>
        <v>Scrap of 33 KV GCB</v>
      </c>
      <c r="E37" s="77" t="str">
        <f t="array" ref="E37">IF($BJ36&gt;0,IF(INDEX('Final Calculation Sheet'!$D$4:$D$40,$BJ36-3)="","",INDEX('Final Calculation Sheet'!$D$4:$D$40,$BJ36-3)),IF(OR($BI36=1,$BL36=1,$BH36&gt;0),"–",""))</f>
        <v>21979</v>
      </c>
      <c r="F37" s="77" t="str">
        <f t="array" ref="F37">IF($BJ36&gt;0,IF(INDEX('Final Calculation Sheet'!$A$4:$A$40,$BJ36-3)="","",INDEX('Final Calculation Sheet'!$A$4:$A$40,$BJ36-3)),IF(OR($BI36=1,$BL36=1,$BH36&gt;0),IF($BI36=1,SUM('Final Calculation Sheet'!$A$4:$A$40),IF($BL36=1,SUM('Final Calculation Sheet'!$A$4:$A$40)-SUMIFS('Final Calculation Sheet'!$A$4:$A$40,$AZ$5:$AZ$41,10),SUMIFS('Final Calculation Sheet'!$A$4:$A$40,$AZ$5:$AZ$41,$BH36))),""))</f>
        <v>1</v>
      </c>
      <c r="G37" s="77" t="str">
        <f t="array" ref="G37">IF($BJ36&gt;0,IF(INDEX('Final Calculation Sheet'!$E$4:$E$40,$BJ36-3)="","",INDEX('Final Calculation Sheet'!$E$4:$E$40,$BJ36-3)),IF(OR($BI36=1,$BL36=1,$BH36&gt;0),"–",""))</f>
        <v>NO</v>
      </c>
      <c r="H37" s="78" t="str">
        <f t="array" ref="H37">IF($BJ36&gt;0,IF(INDEX('Final Calculation Sheet'!$C$4:$C$40,$BJ36-3)="","",INDEX('Final Calculation Sheet'!$C$4:$C$40,$BJ36-3)),IF(OR($BI36=1,$BL36=1,$BH36&gt;0),"–",""))</f>
        <v>29,502</v>
      </c>
      <c r="I37" s="78" t="str">
        <f t="array" ref="I37">IF($BJ36&gt;0,IF(INDEX('Final Calculation Sheet'!$H$4:$H$40,$BJ36-3)="","",INDEX('Final Calculation Sheet'!$H$4:$H$40,$BJ36-3)),IF(OR($BI36=1,$BL36=1,$BH36&gt;0),IF($BI36=1,SUM('Final Calculation Sheet'!$H$4:$H$40),IF($BL36=1,SUM('Final Calculation Sheet'!$H$4:$H$40)-SUMIFS('Final Calculation Sheet'!$H$4:$H$40,$AZ$5:$AZ$41,10),SUMIFS('Final Calculation Sheet'!$H$4:$H$40,$AZ$5:$AZ$41,$BH36))),""))</f>
        <v>29,502</v>
      </c>
      <c r="J37" s="78" t="str">
        <f t="array" ref="J37">IF($BJ36&gt;0,IF(INDEX('Final Calculation Sheet'!$I$4:$I$40,$BJ36-3)="","",INDEX('Final Calculation Sheet'!$I$4:$I$40,$BJ36-3)),IF(OR($BI36=1,$BL36=1,$BH36&gt;0),IF($BI36=1,SUM('Final Calculation Sheet'!$I$4:$I$40),IF($BL36=1,SUM('Final Calculation Sheet'!$I$4:$I$40)-SUMIFS('Final Calculation Sheet'!$I$4:$I$40,$AZ$5:$AZ$41,10),SUMIFS('Final Calculation Sheet'!$I$4:$I$40,$AZ$5:$AZ$41,$BH36))),""))</f>
        <v>5,310</v>
      </c>
      <c r="K37" s="78" t="str">
        <f t="array" ref="K37">IF($BJ36&gt;0,IF(INDEX('Final Calculation Sheet'!$J$4:$J$40,$BJ36-3)="","",INDEX('Final Calculation Sheet'!$J$4:$J$40,$BJ36-3)),IF(OR($BI36=1,$BL36=1,$BH36&gt;0),IF($BI36=1,SUM('Final Calculation Sheet'!$J$4:$J$40),IF($BL36=1,SUM('Final Calculation Sheet'!$J$4:$J$40)-SUMIFS('Final Calculation Sheet'!$J$4:$J$40,$AZ$5:$AZ$41,10),SUMIFS('Final Calculation Sheet'!$J$4:$J$40,$AZ$5:$AZ$41,$BH36))),""))</f>
        <v>34,812</v>
      </c>
      <c r="L37" s="78" t="str">
        <f t="array" ref="L37">IF($BJ36&gt;0,IF(INDEX('Final Calculation Sheet'!$K$4:$K$40,$BJ36-3)="","",INDEX('Final Calculation Sheet'!$K$4:$K$40,$BJ36-3)),IF(OR($BI36=1,$BL36=1,$BH36&gt;0),IF($BI36=1,SUM('Final Calculation Sheet'!$K$4:$K$40),IF($BL36=1,SUM('Final Calculation Sheet'!$K$4:$K$40)-SUMIFS('Final Calculation Sheet'!$K$4:$K$40,$AZ$5:$AZ$41,10),SUMIFS('Final Calculation Sheet'!$K$4:$K$40,$AZ$5:$AZ$41,$BH36))),""))</f>
        <v>696</v>
      </c>
      <c r="M37" s="78" t="str">
        <f t="array" ref="M37">IF($BJ36&gt;0,IF(INDEX('Final Calculation Sheet'!$L$4:$L$40,$BJ36-3)="","",INDEX('Final Calculation Sheet'!$L$4:$L$40,$BJ36-3)),IF(OR($BI36=1,$BL36=1,$BH36&gt;0),IF($BI36=1,SUM('Final Calculation Sheet'!$L$4:$L$40),IF($BL36=1,SUM('Final Calculation Sheet'!$L$4:$L$40)-SUMIFS('Final Calculation Sheet'!$L$4:$L$40,$AZ$5:$AZ$41,10),SUMIFS('Final Calculation Sheet'!$L$4:$L$40,$AZ$5:$AZ$41,$BH36))),""))</f>
        <v>30</v>
      </c>
      <c r="N37" s="78" t="str">
        <f t="array" ref="N37">IF($BJ36&gt;0,IF(INDEX('Final Calculation Sheet'!$M$4:$M$40,$BJ36-3)="","",INDEX('Final Calculation Sheet'!$M$4:$M$40,$BJ36-3)),IF(OR($BI36=1,$BL36=1,$BH36&gt;0),IF($BI36=1,SUM('Final Calculation Sheet'!$M$4:$M$40),IF($BL36=1,SUM('Final Calculation Sheet'!$M$4:$M$40)-SUMIFS('Final Calculation Sheet'!$M$4:$M$40,$AZ$5:$AZ$41,10),SUMIFS('Final Calculation Sheet'!$M$4:$M$40,$AZ$5:$AZ$41,$BH36))),""))</f>
        <v>783</v>
      </c>
      <c r="O37" s="79" t="str">
        <f t="array" ref="O37">IF($BJ36&gt;0,IF(INDEX('Final Calculation Sheet'!$N$4:$N$40,$BJ36-3)="","",INDEX('Final Calculation Sheet'!$N$4:$N$40,$BJ36-3)),IF(OR($BI36=1,$BL36=1,$BH36&gt;0),IF($BI36=1,SUM('Final Calculation Sheet'!$N$4:$N$40),IF($BL36=1,SUM('Final Calculation Sheet'!$N$4:$N$40)-SUMIFS('Final Calculation Sheet'!$N$4:$N$40,$AZ$5:$AZ$41,10),SUMIFS('Final Calculation Sheet'!$N$4:$N$40,$AZ$5:$AZ$41,$BH36))),""))</f>
        <v>13</v>
      </c>
      <c r="P37" s="78" t="str">
        <f t="array" ref="P37">IF($BJ36&gt;0,IF(INDEX('Final Calculation Sheet'!$O$4:$O$40,$BJ36-3)="","",INDEX('Final Calculation Sheet'!$O$4:$O$40,$BJ36-3)),IF(OR($BI36=1,$BL36=1,$BH36&gt;0),IF($BI36=1,SUM('Final Calculation Sheet'!$O$4:$O$40),IF($BL36=1,SUM('Final Calculation Sheet'!$O$4:$O$40)-SUMIFS('Final Calculation Sheet'!$O$4:$O$40,$AZ$5:$AZ$41,10),SUMIFS('Final Calculation Sheet'!$O$4:$O$40,$AZ$5:$AZ$41,$BH36))),""))</f>
        <v>770</v>
      </c>
      <c r="Q37" s="78" t="str">
        <f t="array" ref="Q37">IF($BJ36&gt;0,IF(INDEX('Final Calculation Sheet'!$P$4:$P$40,$BJ36-3)="","",INDEX('Final Calculation Sheet'!$P$4:$P$40,$BJ36-3)),IF(OR($BI36=1,$BL36=1,$BH36&gt;0),IF($BI36=1,SUM('Final Calculation Sheet'!$P$4:$P$40),IF($BL36=1,SUM('Final Calculation Sheet'!$P$4:$P$40)-SUMIFS('Final Calculation Sheet'!$P$4:$P$40,$AZ$5:$AZ$41,10),SUMIFS('Final Calculation Sheet'!$P$4:$P$40,$AZ$5:$AZ$41,$BH36))),""))</f>
        <v>800</v>
      </c>
      <c r="R37" s="80" t="str">
        <f t="array" ref="R37">IF($BJ36&gt;0,IF(INDEX('Final Calculation Sheet'!$Q$4:$Q$40,$BJ36-3)="","",INDEX('Final Calculation Sheet'!$Q$4:$Q$40,$BJ36-3)),IF(OR($BI36=1,$BL36=1,$BH36&gt;0),"–",""))</f>
        <v>0%</v>
      </c>
      <c r="S37" s="78" t="str">
        <f t="array" ref="S37">IF($BJ36&gt;0,IF(INDEX('Final Calculation Sheet'!$R$4:$R$40,$BJ36-3)="","",INDEX('Final Calculation Sheet'!$R$4:$R$40,$BJ36-3)),IF(OR($BI36=1,$BL36=1,$BH36&gt;0),IF($BI36=1,SUM('Final Calculation Sheet'!$R$4:$R$40),IF($BL36=1,SUM('Final Calculation Sheet'!$R$4:$R$40)-SUMIFS('Final Calculation Sheet'!$R$4:$R$40,$AZ$5:$AZ$41,10),SUMIFS('Final Calculation Sheet'!$R$4:$R$40,$AZ$5:$AZ$41,$BH36))),""))</f>
        <v>0</v>
      </c>
      <c r="T37" s="78" t="str">
        <f t="array" ref="T37">IF($BJ36&gt;0,IF(INDEX('Final Calculation Sheet'!$S$4:$S$40,$BJ36-3)="","",INDEX('Final Calculation Sheet'!$S$4:$S$40,$BJ36-3)),IF(OR($BI36=1,$BL36=1,$BH36&gt;0),IF($BI36=1,SUM('Final Calculation Sheet'!$S$4:$S$40),IF($BL36=1,SUM('Final Calculation Sheet'!$S$4:$S$40)-SUMIFS('Final Calculation Sheet'!$S$4:$S$40,$AZ$5:$AZ$41,10),SUMIFS('Final Calculation Sheet'!$S$4:$S$40,$AZ$5:$AZ$41,$BH36))),""))</f>
        <v>34,709</v>
      </c>
      <c r="U37" s="78" t="str">
        <f t="array" ref="U37">IF($BJ36&gt;0,IF(INDEX('Final Calculation Sheet'!$T$4:$T$40,$BJ36-3)="","",INDEX('Final Calculation Sheet'!$T$4:$T$40,$BJ36-3)),IF(OR($BI36=1,$BL36=1,$BH36&gt;0),IF($BI36=1,SUM('Final Calculation Sheet'!$T$4:$T$40),IF($BL36=1,SUM('Final Calculation Sheet'!$T$4:$T$40)-SUMIFS('Final Calculation Sheet'!$T$4:$T$40,$AZ$5:$AZ$41,10),SUMIFS('Final Calculation Sheet'!$T$4:$T$40,$AZ$5:$AZ$41,$BH36))),""))</f>
        <v>7,376</v>
      </c>
      <c r="V37" s="81" t="str">
        <f t="array" ref="V37">IF($BJ36&gt;0,IF(INDEX('Final Calculation Sheet'!$U$4:$U$40,$BJ36-3)="","",INDEX('Final Calculation Sheet'!$U$4:$U$40,$BJ36-3)),IF(OR($BI36=1,$BL36=1,$BH36&gt;0),IF($BI36=1,SUM('Final Calculation Sheet'!$U$4:$U$40),IF($BL36=1,SUM('Final Calculation Sheet'!$U$4:$U$40)-SUMIFS('Final Calculation Sheet'!$U$4:$U$40,$AZ$5:$AZ$41,10),SUMIFS('Final Calculation Sheet'!$U$4:$U$40,$AZ$5:$AZ$41,$BH36))),""))</f>
        <v>  7,376 </v>
      </c>
      <c r="W37" s="78" t="str">
        <f t="array" ref="W37">IF($BJ36&gt;0,IF(INDEX('Final Calculation Sheet'!$V$4:$V$40,$BJ36-3)="","",INDEX('Final Calculation Sheet'!$V$4:$V$40,$BJ36-3)),IF(OR($BI36=1,$BL36=1,$BH36&gt;0),"–",""))</f>
        <v>13.08.2026</v>
      </c>
      <c r="X37" s="78" t="str">
        <f t="array" ref="X37">IF($BJ36&gt;0,IF(INDEX('Final Calculation Sheet'!$W$4:$W$40,$BJ36-3)="","",INDEX('Final Calculation Sheet'!$W$4:$W$40,$BJ36-3)),IF(OR($BI36=1,$BL36=1,$BH36&gt;0),IF($BI36=1,SUM('Final Calculation Sheet'!$W$4:$W$40),IF($BL36=1,SUM('Final Calculation Sheet'!$W$4:$W$40)-SUMIFS('Final Calculation Sheet'!$W$4:$W$40,$AZ$5:$AZ$41,10),SUMIFS('Final Calculation Sheet'!$W$4:$W$40,$AZ$5:$AZ$41,$BH36))),""))</f>
        <v>27,334</v>
      </c>
      <c r="Y37" s="78" t="str">
        <f t="array" ref="Y37">IF($BJ36&gt;0,IF(INDEX('Final Calculation Sheet'!$X$4:$X$40,$BJ36-3)="","",INDEX('Final Calculation Sheet'!$X$4:$X$40,$BJ36-3)),IF(OR($BI36=1,$BL36=1,$BH36&gt;0),IF($BI36=1,SUM('Final Calculation Sheet'!$X$4:$X$40),IF($BL36=1,SUM('Final Calculation Sheet'!$X$4:$X$40)-SUMIFS('Final Calculation Sheet'!$X$4:$X$40,$AZ$5:$AZ$41,10),SUMIFS('Final Calculation Sheet'!$X$4:$X$40,$AZ$5:$AZ$41,$BH36))),""))</f>
        <v>27,332</v>
      </c>
      <c r="Z37" s="78" t="str">
        <f t="array" ref="Z37">IF($BJ36&gt;0,IF(INDEX('Final Calculation Sheet'!$Y$4:$Y$40,$BJ36-3)="","",INDEX('Final Calculation Sheet'!$Y$4:$Y$40,$BJ36-3)),IF(OR($BI36=1,$BL36=1,$BH36&gt;0),"–",""))</f>
        <v>24.08.2026</v>
      </c>
      <c r="AA37" s="78" t="str">
        <f t="array" ref="AA37">IF($BJ36&gt;0,IF(INDEX('Final Calculation Sheet'!$Z$4:$Z$40,$BJ36-3)="","",INDEX('Final Calculation Sheet'!$Z$4:$Z$40,$BJ36-3)),IF(OR($BI36=1,$BL36=1,$BH36&gt;0),IF($BI36=1,SUM('Final Calculation Sheet'!$Z$4:$Z$40),IF($BL36=1,SUM('Final Calculation Sheet'!$Z$4:$Z$40)-SUMIFS('Final Calculation Sheet'!$Z$4:$Z$40,$AZ$5:$AZ$41,10),SUMIFS('Final Calculation Sheet'!$Z$4:$Z$40,$AZ$5:$AZ$41,$BH36))),""))</f>
        <v>0</v>
      </c>
      <c r="AB37" s="78" t="str">
        <f t="array" ref="AB37">IF($BJ36&gt;0,IF(INDEX('Final Calculation Sheet'!$AA$4:$AA$40,$BJ36-3)="","",INDEX('Final Calculation Sheet'!$AA$4:$AA$40,$BJ36-3)),IF(OR($BI36=1,$BL36=1,$BH36&gt;0),IF($BI36=1,SUM('Final Calculation Sheet'!$AA$4:$AA$40),IF($BL36=1,SUM('Final Calculation Sheet'!$AA$4:$AA$40)-SUMIFS('Final Calculation Sheet'!$AA$4:$AA$40,$AZ$5:$AZ$41,10),SUMIFS('Final Calculation Sheet'!$AA$4:$AA$40,$AZ$5:$AZ$41,$BH36))),""))</f>
        <v/>
      </c>
      <c r="AC37" s="78" t="str">
        <f t="array" ref="AC37">IF($BJ36&gt;0,IF(INDEX('Final Calculation Sheet'!$AB$4:$AB$40,$BJ36-3)="","",INDEX('Final Calculation Sheet'!$AB$4:$AB$40,$BJ36-3)),IF(OR($BI36=1,$BL36=1,$BH36&gt;0),"–",""))</f>
        <v/>
      </c>
      <c r="AD37" s="78" t="str">
        <f t="array" ref="AD37">IF($BJ36&gt;0,IF(INDEX('Final Calculation Sheet'!$AC$4:$AC$40,$BJ36-3)="","",INDEX('Final Calculation Sheet'!$AC$4:$AC$40,$BJ36-3)),IF(OR($BI36=1,$BL36=1,$BH36&gt;0),IF($BI36=1,SUM('Final Calculation Sheet'!$AC$4:$AC$40),IF($BL36=1,SUM('Final Calculation Sheet'!$AC$4:$AC$40)-SUMIFS('Final Calculation Sheet'!$AC$4:$AC$40,$AZ$5:$AZ$41,10),SUMIFS('Final Calculation Sheet'!$AC$4:$AC$40,$AZ$5:$AZ$41,$BH36))),""))</f>
        <v>34,708</v>
      </c>
      <c r="AE37" s="78" t="str">
        <f t="array" ref="AE37">IF($BJ36&gt;0,IF(INDEX('Final Calculation Sheet'!$AD$4:$AD$40,$BJ36-3)="","",INDEX('Final Calculation Sheet'!$AD$4:$AD$40,$BJ36-3)),IF(OR($BI36=1,$BL36=1,$BH36&gt;0),IF($BI36=1,SUM('Final Calculation Sheet'!$AD$4:$AD$40),IF($BL36=1,SUM('Final Calculation Sheet'!$AD$4:$AD$40)-SUMIFS('Final Calculation Sheet'!$AD$4:$AD$40,$AZ$5:$AZ$41,10),SUMIFS('Final Calculation Sheet'!$AD$4:$AD$40,$AZ$5:$AZ$41,$BH36))),""))</f>
        <v>1</v>
      </c>
      <c r="AF37" s="78" t="str">
        <f t="array" ref="AF37">IF($BJ36&gt;0,IF(INDEX('Final Calculation Sheet'!$AE$4:$AE$40,$BJ36-3)="","",INDEX('Final Calculation Sheet'!$AE$4:$AE$40,$BJ36-3)),IF(OR($BI36=1,$BL36=1,$BH36&gt;0),"–",""))</f>
        <v>DR2640100046</v>
      </c>
      <c r="AG37" s="82" t="str">
        <f t="array" ref="AG37">IF($BJ36&gt;0,IF(INDEX('Final Calculation Sheet'!$AF$4:$AF$40,$BJ36-3)="","",INDEX('Final Calculation Sheet'!$AF$4:$AF$40,$BJ36-3)),IF(OR($BI36=1,$BL36=1,$BH36&gt;0),"–",""))</f>
        <v>1800003313</v>
      </c>
      <c r="AH37" s="78" t="str">
        <f t="array" ref="AH37">IF($BJ36&gt;0,IF(INDEX('Final Calculation Sheet'!$AG$4:$AG$40,$BJ36-3)="","",INDEX('Final Calculation Sheet'!$AG$4:$AG$40,$BJ36-3)),IF(OR($BI36=1,$BL36=1,$BH36&gt;0),"–",""))</f>
        <v>27.08.2026</v>
      </c>
      <c r="AI37" s="83" t="str">
        <f t="array" ref="AI37">IF($BJ36&gt;0,IF(INDEX('Final Calculation Sheet'!$AD$4:$AD$40,$BJ36-3)="","",IF(INDEX('Final Calculation Sheet'!$AD$4:$AD$40,$BJ36-3)&lt;=0,"SETTLED","OUTSTANDING")),IF(OR($BI36=1,$BL36=1,$BH36&gt;0),IF(IF($BI36=1,SUM('Final Calculation Sheet'!$AD$4:$AD$40),IF($BL36=1,SUM('Final Calculation Sheet'!$AD$4:$AD$40)-SUMIFS('Final Calculation Sheet'!$AD$4:$AD$40,$AZ$5:$AZ$41,10),SUMIFS('Final Calculation Sheet'!$AD$4:$AD$40,$AZ$5:$AZ$41,$BH36)))&lt;=0,"ALL SETTLED","OUTSTANDING"),""))</f>
        <v>OUTSTANDING</v>
      </c>
      <c r="AK37" t="str">
        <f>IF($F$3="Lot No.",'Final Calculation Sheet'!$F$36,IF($F$3="Buyer",'Final Calculation Sheet'!$G$36,IF($F$3="Lot Name",'Final Calculation Sheet'!$B$36,IF($F$3="Bid Sheet",'Final Calculation Sheet'!$D$36,IF($F$3="Unit",'Final Calculation Sheet'!$E$36,'Final Calculation Sheet'!$F$36&amp;" "&amp;'Final Calculation Sheet'!$G$36&amp;" "&amp;'Final Calculation Sheet'!$B$36)))))</f>
        <v>2069 STERLING ENTERPRISES Scrap of 33 KV CB</v>
      </c>
      <c r="AM37" t="str">
        <f t="shared" si="3"/>
        <v>0</v>
      </c>
      <c r="AZ37" t="str">
        <f t="shared" si="4"/>
        <v>10</v>
      </c>
      <c r="BA37" t="str">
        <f t="shared" si="5"/>
        <v>32</v>
      </c>
      <c r="BB37" t="str">
        <f t="shared" si="6"/>
        <v>39</v>
      </c>
      <c r="BC37">
        <v>36.0</v>
      </c>
      <c r="BH37" t="str">
        <f>IFERROR(MATCH(37,$BF$4:$BF$13,0),0)</f>
        <v>0</v>
      </c>
      <c r="BI37" t="str">
        <f>IF(37=$BG$5,1,0)</f>
        <v>0</v>
      </c>
      <c r="BJ37" t="str">
        <f t="array" ref="BJ37">IF(OR($BH37&gt;0,$BI37=1,$BL37=1),0,IFERROR(INDEX($BC$5:$BC$41,MATCH(37,$BB$5:$BB$41,0)),0))</f>
        <v>34</v>
      </c>
      <c r="BK37" t="str">
        <f t="array" ref="BK37">IF($BJ37&gt;0,IF(INDEX($AZ$5:$AZ$41,MATCH(37,$BB$5:$BB$41,0))=10,1,0),IF($BH37=10,1,0))</f>
        <v>1</v>
      </c>
      <c r="BL37" t="str">
        <f>IF(37=$BG$4,1,0)</f>
        <v>0</v>
      </c>
      <c r="BM37" t="str">
        <f t="shared" si="8"/>
        <v>1</v>
      </c>
      <c r="BN37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Sheet'!$F$36)&amp;"",""))))&gt;0))</f>
        <v>1</v>
      </c>
      <c r="BO37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Sheet'!$G$36)&amp;"",""))))&gt;0))</f>
        <v>1</v>
      </c>
      <c r="BP37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Sheet'!$B$36)&amp;"",""))))&gt;0))</f>
        <v>1</v>
      </c>
      <c r="BQ37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Sheet'!$D$36)&amp;"",""))))&gt;0))</f>
        <v>1</v>
      </c>
      <c r="BR37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Sheet'!$A$36)&amp;"",""))))&gt;0))</f>
        <v>1</v>
      </c>
      <c r="BS37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Sheet'!$E$36)&amp;"",""))))&gt;0))</f>
        <v>1</v>
      </c>
      <c r="BT37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Sheet'!$C$36)&amp;"",""))))&gt;0))</f>
        <v>1</v>
      </c>
      <c r="BU37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Sheet'!$H$36)&amp;"",""))))&gt;0))</f>
        <v>1</v>
      </c>
      <c r="BV37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Sheet'!$I$36)&amp;"",""))))&gt;0))</f>
        <v>1</v>
      </c>
      <c r="BW37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Sheet'!$J$36)&amp;"",""))))&gt;0))</f>
        <v>1</v>
      </c>
      <c r="BX37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Sheet'!$K$36)&amp;"",""))))&gt;0))</f>
        <v>1</v>
      </c>
      <c r="BY37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Sheet'!$L$36)&amp;"",""))))&gt;0))</f>
        <v>1</v>
      </c>
      <c r="BZ37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Sheet'!$M$36)&amp;"",""))))&gt;0))</f>
        <v>1</v>
      </c>
      <c r="CA37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Sheet'!$N$36)&amp;"",""))))&gt;0))</f>
        <v>1</v>
      </c>
      <c r="CB37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Sheet'!$O$36)&amp;"",""))))&gt;0))</f>
        <v>1</v>
      </c>
      <c r="CC37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Sheet'!$P$36)&amp;"",""))))&gt;0))</f>
        <v>1</v>
      </c>
      <c r="CD37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Sheet'!$Q$36)&amp;"",""))))&gt;0))</f>
        <v>1</v>
      </c>
      <c r="CE37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Sheet'!$R$36)&amp;"",""))))&gt;0))</f>
        <v>1</v>
      </c>
      <c r="CF37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Sheet'!$S$36)&amp;"",""))))&gt;0))</f>
        <v>1</v>
      </c>
      <c r="CG37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Sheet'!$T$36)&amp;"",""))))&gt;0))</f>
        <v>1</v>
      </c>
      <c r="CH37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Sheet'!$U$36)&amp;"",""))))&gt;0))</f>
        <v>1</v>
      </c>
      <c r="CI37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Sheet'!$V$36)&amp;"",""))))&gt;0))</f>
        <v>1</v>
      </c>
      <c r="CJ37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Sheet'!$W$36)&amp;"",""))))&gt;0))</f>
        <v>1</v>
      </c>
      <c r="CK37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Sheet'!$X$36)&amp;"",""))))&gt;0))</f>
        <v>1</v>
      </c>
      <c r="CL37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Sheet'!$Y$36)&amp;"",""))))&gt;0))</f>
        <v>1</v>
      </c>
      <c r="CM37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Sheet'!$Z$36)&amp;"",""))))&gt;0))</f>
        <v>1</v>
      </c>
      <c r="CN37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Sheet'!$AA$36)&amp;"",""))))&gt;0))</f>
        <v>1</v>
      </c>
      <c r="CO37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Sheet'!$AB$36)&amp;"",""))))&gt;0))</f>
        <v>1</v>
      </c>
      <c r="CP37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Sheet'!$AC$36)&amp;"",""))))&gt;0))</f>
        <v>1</v>
      </c>
      <c r="CQ37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Sheet'!$AD$36)&amp;"",""))))&gt;0))</f>
        <v>1</v>
      </c>
      <c r="CR37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Sheet'!$AE$36)&amp;"",""))))&gt;0))</f>
        <v>1</v>
      </c>
      <c r="CS37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Sheet'!$AF$36)&amp;"",""))))&gt;0))</f>
        <v>1</v>
      </c>
      <c r="CT37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Sheet'!$AG$36)&amp;"",""))))&gt;0))</f>
        <v>1</v>
      </c>
      <c r="CU37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Sheet'!$AD$36&lt;=0,"SETTLED","OUTSTANDING"))&amp;"",""))))&gt;0))</f>
        <v>1</v>
      </c>
    </row>
    <row r="38" ht="15.0" customHeight="1">
      <c r="A38" s="75" t="str">
        <f t="array" ref="A38">IF($BJ37&gt;0,INDEX($BA$5:$BA$41,MATCH(37,$BB$5:$BB$41,0)),IF(OR($BI37=1,$BL37=1,$BH37&gt;0),"∑",""))</f>
        <v>30</v>
      </c>
      <c r="B38" s="76" t="str">
        <f t="array" ref="B38">IF($BJ37&gt;0,IF(INDEX('Final Calculation Sheet'!$F$4:$F$40,$BJ37-3)="","",INDEX('Final Calculation Sheet'!$F$4:$F$40,$BJ37-3)),"")</f>
        <v>2062</v>
      </c>
      <c r="C38" s="76" t="str">
        <f t="array" ref="C38">IF($BJ37&gt;0,IF(INDEX('Final Calculation Sheet'!$G$4:$G$40,$BJ37-3)="","",INDEX('Final Calculation Sheet'!$G$4:$G$40,$BJ37-3)),IF(OR($BI37=1,$BL37=1,$BH37&gt;0),IF($BI37=1,37,IF($BL37=1,37-INDEX($BD$4:$BD$13,10),INDEX($BD$4:$BD$13,$BH37)))&amp;" lot(s)",""))</f>
        <v>STERLING ENTERPRISES</v>
      </c>
      <c r="D38" s="77" t="str">
        <f t="array" ref="D38">IF($BJ37&gt;0,IF(INDEX('Final Calculation Sheet'!$B$4:$B$40,$BJ37-3)="","",INDEX('Final Calculation Sheet'!$B$4:$B$40,$BJ37-3)),IF(OR($BI37=1,$BL37=1,$BH37&gt;0),IF($BI37=1,"GRAND TOTAL  —  matching + remaining",IF($BL37=1,"TOTAL MATCHED  —  every group together",IF($BH37=10,"REMAINING  —  did not match the search",IF($BH37=9,IF(COUNTIF($A$4:$AI$4,"&lt;&gt;")&gt;0,"FILTERED LOTS  —  column fields","ALL LOTS  —  nothing typed in the box"),"GROUP "&amp;$BH37&amp;" TOTAL  —  lots matching  "&amp;INDEX($AR$6:$AY$6,$BH37))))),""))</f>
        <v>Scrap of Empty oil Barrels</v>
      </c>
      <c r="E38" s="77" t="str">
        <f t="array" ref="E38">IF($BJ37&gt;0,IF(INDEX('Final Calculation Sheet'!$D$4:$D$40,$BJ37-3)="","",INDEX('Final Calculation Sheet'!$D$4:$D$40,$BJ37-3)),IF(OR($BI37=1,$BL37=1,$BH37&gt;0),"–",""))</f>
        <v>21979</v>
      </c>
      <c r="F38" s="77" t="str">
        <f t="array" ref="F38">IF($BJ37&gt;0,IF(INDEX('Final Calculation Sheet'!$A$4:$A$40,$BJ37-3)="","",INDEX('Final Calculation Sheet'!$A$4:$A$40,$BJ37-3)),IF(OR($BI37=1,$BL37=1,$BH37&gt;0),IF($BI37=1,SUM('Final Calculation Sheet'!$A$4:$A$40),IF($BL37=1,SUM('Final Calculation Sheet'!$A$4:$A$40)-SUMIFS('Final Calculation Sheet'!$A$4:$A$40,$AZ$5:$AZ$41,10),SUMIFS('Final Calculation Sheet'!$A$4:$A$40,$AZ$5:$AZ$41,$BH37))),""))</f>
        <v>30</v>
      </c>
      <c r="G38" s="77" t="str">
        <f t="array" ref="G38">IF($BJ37&gt;0,IF(INDEX('Final Calculation Sheet'!$E$4:$E$40,$BJ37-3)="","",INDEX('Final Calculation Sheet'!$E$4:$E$40,$BJ37-3)),IF(OR($BI37=1,$BL37=1,$BH37&gt;0),"–",""))</f>
        <v>NO</v>
      </c>
      <c r="H38" s="78" t="str">
        <f t="array" ref="H38">IF($BJ37&gt;0,IF(INDEX('Final Calculation Sheet'!$C$4:$C$40,$BJ37-3)="","",INDEX('Final Calculation Sheet'!$C$4:$C$40,$BJ37-3)),IF(OR($BI37=1,$BL37=1,$BH37&gt;0),"–",""))</f>
        <v>702</v>
      </c>
      <c r="I38" s="78" t="str">
        <f t="array" ref="I38">IF($BJ37&gt;0,IF(INDEX('Final Calculation Sheet'!$H$4:$H$40,$BJ37-3)="","",INDEX('Final Calculation Sheet'!$H$4:$H$40,$BJ37-3)),IF(OR($BI37=1,$BL37=1,$BH37&gt;0),IF($BI37=1,SUM('Final Calculation Sheet'!$H$4:$H$40),IF($BL37=1,SUM('Final Calculation Sheet'!$H$4:$H$40)-SUMIFS('Final Calculation Sheet'!$H$4:$H$40,$AZ$5:$AZ$41,10),SUMIFS('Final Calculation Sheet'!$H$4:$H$40,$AZ$5:$AZ$41,$BH37))),""))</f>
        <v>21,060</v>
      </c>
      <c r="J38" s="78" t="str">
        <f t="array" ref="J38">IF($BJ37&gt;0,IF(INDEX('Final Calculation Sheet'!$I$4:$I$40,$BJ37-3)="","",INDEX('Final Calculation Sheet'!$I$4:$I$40,$BJ37-3)),IF(OR($BI37=1,$BL37=1,$BH37&gt;0),IF($BI37=1,SUM('Final Calculation Sheet'!$I$4:$I$40),IF($BL37=1,SUM('Final Calculation Sheet'!$I$4:$I$40)-SUMIFS('Final Calculation Sheet'!$I$4:$I$40,$AZ$5:$AZ$41,10),SUMIFS('Final Calculation Sheet'!$I$4:$I$40,$AZ$5:$AZ$41,$BH37))),""))</f>
        <v>3,791</v>
      </c>
      <c r="K38" s="78" t="str">
        <f t="array" ref="K38">IF($BJ37&gt;0,IF(INDEX('Final Calculation Sheet'!$J$4:$J$40,$BJ37-3)="","",INDEX('Final Calculation Sheet'!$J$4:$J$40,$BJ37-3)),IF(OR($BI37=1,$BL37=1,$BH37&gt;0),IF($BI37=1,SUM('Final Calculation Sheet'!$J$4:$J$40),IF($BL37=1,SUM('Final Calculation Sheet'!$J$4:$J$40)-SUMIFS('Final Calculation Sheet'!$J$4:$J$40,$AZ$5:$AZ$41,10),SUMIFS('Final Calculation Sheet'!$J$4:$J$40,$AZ$5:$AZ$41,$BH37))),""))</f>
        <v>24,851</v>
      </c>
      <c r="L38" s="78" t="str">
        <f t="array" ref="L38">IF($BJ37&gt;0,IF(INDEX('Final Calculation Sheet'!$K$4:$K$40,$BJ37-3)="","",INDEX('Final Calculation Sheet'!$K$4:$K$40,$BJ37-3)),IF(OR($BI37=1,$BL37=1,$BH37&gt;0),IF($BI37=1,SUM('Final Calculation Sheet'!$K$4:$K$40),IF($BL37=1,SUM('Final Calculation Sheet'!$K$4:$K$40)-SUMIFS('Final Calculation Sheet'!$K$4:$K$40,$AZ$5:$AZ$41,10),SUMIFS('Final Calculation Sheet'!$K$4:$K$40,$AZ$5:$AZ$41,$BH37))),""))</f>
        <v>497</v>
      </c>
      <c r="M38" s="78" t="str">
        <f t="array" ref="M38">IF($BJ37&gt;0,IF(INDEX('Final Calculation Sheet'!$L$4:$L$40,$BJ37-3)="","",INDEX('Final Calculation Sheet'!$L$4:$L$40,$BJ37-3)),IF(OR($BI37=1,$BL37=1,$BH37&gt;0),IF($BI37=1,SUM('Final Calculation Sheet'!$L$4:$L$40),IF($BL37=1,SUM('Final Calculation Sheet'!$L$4:$L$40)-SUMIFS('Final Calculation Sheet'!$L$4:$L$40,$AZ$5:$AZ$41,10),SUMIFS('Final Calculation Sheet'!$L$4:$L$40,$AZ$5:$AZ$41,$BH37))),""))</f>
        <v>21</v>
      </c>
      <c r="N38" s="78" t="str">
        <f t="array" ref="N38">IF($BJ37&gt;0,IF(INDEX('Final Calculation Sheet'!$M$4:$M$40,$BJ37-3)="","",INDEX('Final Calculation Sheet'!$M$4:$M$40,$BJ37-3)),IF(OR($BI37=1,$BL37=1,$BH37&gt;0),IF($BI37=1,SUM('Final Calculation Sheet'!$M$4:$M$40),IF($BL37=1,SUM('Final Calculation Sheet'!$M$4:$M$40)-SUMIFS('Final Calculation Sheet'!$M$4:$M$40,$AZ$5:$AZ$41,10),SUMIFS('Final Calculation Sheet'!$M$4:$M$40,$AZ$5:$AZ$41,$BH37))),""))</f>
        <v>559</v>
      </c>
      <c r="O38" s="79" t="str">
        <f t="array" ref="O38">IF($BJ37&gt;0,IF(INDEX('Final Calculation Sheet'!$N$4:$N$40,$BJ37-3)="","",INDEX('Final Calculation Sheet'!$N$4:$N$40,$BJ37-3)),IF(OR($BI37=1,$BL37=1,$BH37&gt;0),IF($BI37=1,SUM('Final Calculation Sheet'!$N$4:$N$40),IF($BL37=1,SUM('Final Calculation Sheet'!$N$4:$N$40)-SUMIFS('Final Calculation Sheet'!$N$4:$N$40,$AZ$5:$AZ$41,10),SUMIFS('Final Calculation Sheet'!$N$4:$N$40,$AZ$5:$AZ$41,$BH37))),""))</f>
        <v>9</v>
      </c>
      <c r="P38" s="78" t="str">
        <f t="array" ref="P38">IF($BJ37&gt;0,IF(INDEX('Final Calculation Sheet'!$O$4:$O$40,$BJ37-3)="","",INDEX('Final Calculation Sheet'!$O$4:$O$40,$BJ37-3)),IF(OR($BI37=1,$BL37=1,$BH37&gt;0),IF($BI37=1,SUM('Final Calculation Sheet'!$O$4:$O$40),IF($BL37=1,SUM('Final Calculation Sheet'!$O$4:$O$40)-SUMIFS('Final Calculation Sheet'!$O$4:$O$40,$AZ$5:$AZ$41,10),SUMIFS('Final Calculation Sheet'!$O$4:$O$40,$AZ$5:$AZ$41,$BH37))),""))</f>
        <v>550</v>
      </c>
      <c r="Q38" s="78" t="str">
        <f t="array" ref="Q38">IF($BJ37&gt;0,IF(INDEX('Final Calculation Sheet'!$P$4:$P$40,$BJ37-3)="","",INDEX('Final Calculation Sheet'!$P$4:$P$40,$BJ37-3)),IF(OR($BI37=1,$BL37=1,$BH37&gt;0),IF($BI37=1,SUM('Final Calculation Sheet'!$P$4:$P$40),IF($BL37=1,SUM('Final Calculation Sheet'!$P$4:$P$40)-SUMIFS('Final Calculation Sheet'!$P$4:$P$40,$AZ$5:$AZ$41,10),SUMIFS('Final Calculation Sheet'!$P$4:$P$40,$AZ$5:$AZ$41,$BH37))),""))</f>
        <v>571</v>
      </c>
      <c r="R38" s="80" t="str">
        <f t="array" ref="R38">IF($BJ37&gt;0,IF(INDEX('Final Calculation Sheet'!$Q$4:$Q$40,$BJ37-3)="","",INDEX('Final Calculation Sheet'!$Q$4:$Q$40,$BJ37-3)),IF(OR($BI37=1,$BL37=1,$BH37&gt;0),"–",""))</f>
        <v>0%</v>
      </c>
      <c r="S38" s="78" t="str">
        <f t="array" ref="S38">IF($BJ37&gt;0,IF(INDEX('Final Calculation Sheet'!$R$4:$R$40,$BJ37-3)="","",INDEX('Final Calculation Sheet'!$R$4:$R$40,$BJ37-3)),IF(OR($BI37=1,$BL37=1,$BH37&gt;0),IF($BI37=1,SUM('Final Calculation Sheet'!$R$4:$R$40),IF($BL37=1,SUM('Final Calculation Sheet'!$R$4:$R$40)-SUMIFS('Final Calculation Sheet'!$R$4:$R$40,$AZ$5:$AZ$41,10),SUMIFS('Final Calculation Sheet'!$R$4:$R$40,$AZ$5:$AZ$41,$BH37))),""))</f>
        <v>0</v>
      </c>
      <c r="T38" s="78" t="str">
        <f t="array" ref="T38">IF($BJ37&gt;0,IF(INDEX('Final Calculation Sheet'!$S$4:$S$40,$BJ37-3)="","",INDEX('Final Calculation Sheet'!$S$4:$S$40,$BJ37-3)),IF(OR($BI37=1,$BL37=1,$BH37&gt;0),IF($BI37=1,SUM('Final Calculation Sheet'!$S$4:$S$40),IF($BL37=1,SUM('Final Calculation Sheet'!$S$4:$S$40)-SUMIFS('Final Calculation Sheet'!$S$4:$S$40,$AZ$5:$AZ$41,10),SUMIFS('Final Calculation Sheet'!$S$4:$S$40,$AZ$5:$AZ$41,$BH37))),""))</f>
        <v>24,777</v>
      </c>
      <c r="U38" s="78" t="str">
        <f t="array" ref="U38">IF($BJ37&gt;0,IF(INDEX('Final Calculation Sheet'!$T$4:$T$40,$BJ37-3)="","",INDEX('Final Calculation Sheet'!$T$4:$T$40,$BJ37-3)),IF(OR($BI37=1,$BL37=1,$BH37&gt;0),IF($BI37=1,SUM('Final Calculation Sheet'!$T$4:$T$40),IF($BL37=1,SUM('Final Calculation Sheet'!$T$4:$T$40)-SUMIFS('Final Calculation Sheet'!$T$4:$T$40,$AZ$5:$AZ$41,10),SUMIFS('Final Calculation Sheet'!$T$4:$T$40,$AZ$5:$AZ$41,$BH37))),""))</f>
        <v>5,265</v>
      </c>
      <c r="V38" s="81" t="str">
        <f t="array" ref="V38">IF($BJ37&gt;0,IF(INDEX('Final Calculation Sheet'!$U$4:$U$40,$BJ37-3)="","",INDEX('Final Calculation Sheet'!$U$4:$U$40,$BJ37-3)),IF(OR($BI37=1,$BL37=1,$BH37&gt;0),IF($BI37=1,SUM('Final Calculation Sheet'!$U$4:$U$40),IF($BL37=1,SUM('Final Calculation Sheet'!$U$4:$U$40)-SUMIFS('Final Calculation Sheet'!$U$4:$U$40,$AZ$5:$AZ$41,10),SUMIFS('Final Calculation Sheet'!$U$4:$U$40,$AZ$5:$AZ$41,$BH37))),""))</f>
        <v>  5,265 </v>
      </c>
      <c r="W38" s="78" t="str">
        <f t="array" ref="W38">IF($BJ37&gt;0,IF(INDEX('Final Calculation Sheet'!$V$4:$V$40,$BJ37-3)="","",INDEX('Final Calculation Sheet'!$V$4:$V$40,$BJ37-3)),IF(OR($BI37=1,$BL37=1,$BH37&gt;0),"–",""))</f>
        <v>11.08.2026</v>
      </c>
      <c r="X38" s="78" t="str">
        <f t="array" ref="X38">IF($BJ37&gt;0,IF(INDEX('Final Calculation Sheet'!$W$4:$W$40,$BJ37-3)="","",INDEX('Final Calculation Sheet'!$W$4:$W$40,$BJ37-3)),IF(OR($BI37=1,$BL37=1,$BH37&gt;0),IF($BI37=1,SUM('Final Calculation Sheet'!$W$4:$W$40),IF($BL37=1,SUM('Final Calculation Sheet'!$W$4:$W$40)-SUMIFS('Final Calculation Sheet'!$W$4:$W$40,$AZ$5:$AZ$41,10),SUMIFS('Final Calculation Sheet'!$W$4:$W$40,$AZ$5:$AZ$41,$BH37))),""))</f>
        <v>19,512</v>
      </c>
      <c r="Y38" s="78" t="str">
        <f t="array" ref="Y38">IF($BJ37&gt;0,IF(INDEX('Final Calculation Sheet'!$X$4:$X$40,$BJ37-3)="","",INDEX('Final Calculation Sheet'!$X$4:$X$40,$BJ37-3)),IF(OR($BI37=1,$BL37=1,$BH37&gt;0),IF($BI37=1,SUM('Final Calculation Sheet'!$X$4:$X$40),IF($BL37=1,SUM('Final Calculation Sheet'!$X$4:$X$40)-SUMIFS('Final Calculation Sheet'!$X$4:$X$40,$AZ$5:$AZ$41,10),SUMIFS('Final Calculation Sheet'!$X$4:$X$40,$AZ$5:$AZ$41,$BH37))),""))</f>
        <v>19,512</v>
      </c>
      <c r="Z38" s="78" t="str">
        <f t="array" ref="Z38">IF($BJ37&gt;0,IF(INDEX('Final Calculation Sheet'!$Y$4:$Y$40,$BJ37-3)="","",INDEX('Final Calculation Sheet'!$Y$4:$Y$40,$BJ37-3)),IF(OR($BI37=1,$BL37=1,$BH37&gt;0),"–",""))</f>
        <v>11.08.2026</v>
      </c>
      <c r="AA38" s="78" t="str">
        <f t="array" ref="AA38">IF($BJ37&gt;0,IF(INDEX('Final Calculation Sheet'!$Z$4:$Z$40,$BJ37-3)="","",INDEX('Final Calculation Sheet'!$Z$4:$Z$40,$BJ37-3)),IF(OR($BI37=1,$BL37=1,$BH37&gt;0),IF($BI37=1,SUM('Final Calculation Sheet'!$Z$4:$Z$40),IF($BL37=1,SUM('Final Calculation Sheet'!$Z$4:$Z$40)-SUMIFS('Final Calculation Sheet'!$Z$4:$Z$40,$AZ$5:$AZ$41,10),SUMIFS('Final Calculation Sheet'!$Z$4:$Z$40,$AZ$5:$AZ$41,$BH37))),""))</f>
        <v>0</v>
      </c>
      <c r="AB38" s="78" t="str">
        <f t="array" ref="AB38">IF($BJ37&gt;0,IF(INDEX('Final Calculation Sheet'!$AA$4:$AA$40,$BJ37-3)="","",INDEX('Final Calculation Sheet'!$AA$4:$AA$40,$BJ37-3)),IF(OR($BI37=1,$BL37=1,$BH37&gt;0),IF($BI37=1,SUM('Final Calculation Sheet'!$AA$4:$AA$40),IF($BL37=1,SUM('Final Calculation Sheet'!$AA$4:$AA$40)-SUMIFS('Final Calculation Sheet'!$AA$4:$AA$40,$AZ$5:$AZ$41,10),SUMIFS('Final Calculation Sheet'!$AA$4:$AA$40,$AZ$5:$AZ$41,$BH37))),""))</f>
        <v/>
      </c>
      <c r="AC38" s="78" t="str">
        <f t="array" ref="AC38">IF($BJ37&gt;0,IF(INDEX('Final Calculation Sheet'!$AB$4:$AB$40,$BJ37-3)="","",INDEX('Final Calculation Sheet'!$AB$4:$AB$40,$BJ37-3)),IF(OR($BI37=1,$BL37=1,$BH37&gt;0),"–",""))</f>
        <v/>
      </c>
      <c r="AD38" s="78" t="str">
        <f t="array" ref="AD38">IF($BJ37&gt;0,IF(INDEX('Final Calculation Sheet'!$AC$4:$AC$40,$BJ37-3)="","",INDEX('Final Calculation Sheet'!$AC$4:$AC$40,$BJ37-3)),IF(OR($BI37=1,$BL37=1,$BH37&gt;0),IF($BI37=1,SUM('Final Calculation Sheet'!$AC$4:$AC$40),IF($BL37=1,SUM('Final Calculation Sheet'!$AC$4:$AC$40)-SUMIFS('Final Calculation Sheet'!$AC$4:$AC$40,$AZ$5:$AZ$41,10),SUMIFS('Final Calculation Sheet'!$AC$4:$AC$40,$AZ$5:$AZ$41,$BH37))),""))</f>
        <v>24,777</v>
      </c>
      <c r="AE38" s="78" t="str">
        <f t="array" ref="AE38">IF($BJ37&gt;0,IF(INDEX('Final Calculation Sheet'!$AD$4:$AD$40,$BJ37-3)="","",INDEX('Final Calculation Sheet'!$AD$4:$AD$40,$BJ37-3)),IF(OR($BI37=1,$BL37=1,$BH37&gt;0),IF($BI37=1,SUM('Final Calculation Sheet'!$AD$4:$AD$40),IF($BL37=1,SUM('Final Calculation Sheet'!$AD$4:$AD$40)-SUMIFS('Final Calculation Sheet'!$AD$4:$AD$40,$AZ$5:$AZ$41,10),SUMIFS('Final Calculation Sheet'!$AD$4:$AD$40,$AZ$5:$AZ$41,$BH37))),""))</f>
        <v>0</v>
      </c>
      <c r="AF38" s="78" t="str">
        <f t="array" ref="AF38">IF($BJ37&gt;0,IF(INDEX('Final Calculation Sheet'!$AE$4:$AE$40,$BJ37-3)="","",INDEX('Final Calculation Sheet'!$AE$4:$AE$40,$BJ37-3)),IF(OR($BI37=1,$BL37=1,$BH37&gt;0),"–",""))</f>
        <v>DR2640100022</v>
      </c>
      <c r="AG38" s="82" t="str">
        <f t="array" ref="AG38">IF($BJ37&gt;0,IF(INDEX('Final Calculation Sheet'!$AF$4:$AF$40,$BJ37-3)="","",INDEX('Final Calculation Sheet'!$AF$4:$AF$40,$BJ37-3)),IF(OR($BI37=1,$BL37=1,$BH37&gt;0),"–",""))</f>
        <v>1800003161</v>
      </c>
      <c r="AH38" s="78" t="str">
        <f t="array" ref="AH38">IF($BJ37&gt;0,IF(INDEX('Final Calculation Sheet'!$AG$4:$AG$40,$BJ37-3)="","",INDEX('Final Calculation Sheet'!$AG$4:$AG$40,$BJ37-3)),IF(OR($BI37=1,$BL37=1,$BH37&gt;0),"–",""))</f>
        <v>14.08.2026</v>
      </c>
      <c r="AI38" s="83" t="str">
        <f t="array" ref="AI38">IF($BJ37&gt;0,IF(INDEX('Final Calculation Sheet'!$AD$4:$AD$40,$BJ37-3)="","",IF(INDEX('Final Calculation Sheet'!$AD$4:$AD$40,$BJ37-3)&lt;=0,"SETTLED","OUTSTANDING")),IF(OR($BI37=1,$BL37=1,$BH37&gt;0),IF(IF($BI37=1,SUM('Final Calculation Sheet'!$AD$4:$AD$40),IF($BL37=1,SUM('Final Calculation Sheet'!$AD$4:$AD$40)-SUMIFS('Final Calculation Sheet'!$AD$4:$AD$40,$AZ$5:$AZ$41,10),SUMIFS('Final Calculation Sheet'!$AD$4:$AD$40,$AZ$5:$AZ$41,$BH37)))&lt;=0,"ALL SETTLED","OUTSTANDING"),""))</f>
        <v>SETTLED</v>
      </c>
      <c r="AK38" t="str">
        <f>IF($F$3="Lot No.",'Final Calculation Sheet'!$F$37,IF($F$3="Buyer",'Final Calculation Sheet'!$G$37,IF($F$3="Lot Name",'Final Calculation Sheet'!$B$37,IF($F$3="Bid Sheet",'Final Calculation Sheet'!$D$37,IF($F$3="Unit",'Final Calculation Sheet'!$E$37,'Final Calculation Sheet'!$F$37&amp;" "&amp;'Final Calculation Sheet'!$G$37&amp;" "&amp;'Final Calculation Sheet'!$B$37)))))</f>
        <v>2071 NATIONAL ENTERPRISES Scrap of 66 KV Isolater</v>
      </c>
      <c r="AM38" t="str">
        <f t="shared" si="3"/>
        <v>0</v>
      </c>
      <c r="AZ38" t="str">
        <f t="shared" si="4"/>
        <v>10</v>
      </c>
      <c r="BA38" t="str">
        <f t="shared" si="5"/>
        <v>33</v>
      </c>
      <c r="BB38" t="str">
        <f t="shared" si="6"/>
        <v>40</v>
      </c>
      <c r="BC38">
        <v>37.0</v>
      </c>
      <c r="BH38" t="str">
        <f>IFERROR(MATCH(38,$BF$4:$BF$13,0),0)</f>
        <v>0</v>
      </c>
      <c r="BI38" t="str">
        <f>IF(38=$BG$5,1,0)</f>
        <v>0</v>
      </c>
      <c r="BJ38" t="str">
        <f t="array" ref="BJ38">IF(OR($BH38&gt;0,$BI38=1,$BL38=1),0,IFERROR(INDEX($BC$5:$BC$41,MATCH(38,$BB$5:$BB$41,0)),0))</f>
        <v>35</v>
      </c>
      <c r="BK38" t="str">
        <f t="array" ref="BK38">IF($BJ38&gt;0,IF(INDEX($AZ$5:$AZ$41,MATCH(38,$BB$5:$BB$41,0))=10,1,0),IF($BH38=10,1,0))</f>
        <v>1</v>
      </c>
      <c r="BL38" t="str">
        <f>IF(38=$BG$4,1,0)</f>
        <v>0</v>
      </c>
      <c r="BM38" t="str">
        <f t="shared" si="8"/>
        <v>1</v>
      </c>
      <c r="BN38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Sheet'!$F$37)&amp;"",""))))&gt;0))</f>
        <v>1</v>
      </c>
      <c r="BO38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Sheet'!$G$37)&amp;"",""))))&gt;0))</f>
        <v>1</v>
      </c>
      <c r="BP38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Sheet'!$B$37)&amp;"",""))))&gt;0))</f>
        <v>1</v>
      </c>
      <c r="BQ38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Sheet'!$D$37)&amp;"",""))))&gt;0))</f>
        <v>1</v>
      </c>
      <c r="BR38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Sheet'!$A$37)&amp;"",""))))&gt;0))</f>
        <v>1</v>
      </c>
      <c r="BS38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Sheet'!$E$37)&amp;"",""))))&gt;0))</f>
        <v>1</v>
      </c>
      <c r="BT38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Sheet'!$C$37)&amp;"",""))))&gt;0))</f>
        <v>1</v>
      </c>
      <c r="BU38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Sheet'!$H$37)&amp;"",""))))&gt;0))</f>
        <v>1</v>
      </c>
      <c r="BV38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Sheet'!$I$37)&amp;"",""))))&gt;0))</f>
        <v>1</v>
      </c>
      <c r="BW38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Sheet'!$J$37)&amp;"",""))))&gt;0))</f>
        <v>1</v>
      </c>
      <c r="BX38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Sheet'!$K$37)&amp;"",""))))&gt;0))</f>
        <v>1</v>
      </c>
      <c r="BY38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Sheet'!$L$37)&amp;"",""))))&gt;0))</f>
        <v>1</v>
      </c>
      <c r="BZ38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Sheet'!$M$37)&amp;"",""))))&gt;0))</f>
        <v>1</v>
      </c>
      <c r="CA38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Sheet'!$N$37)&amp;"",""))))&gt;0))</f>
        <v>1</v>
      </c>
      <c r="CB38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Sheet'!$O$37)&amp;"",""))))&gt;0))</f>
        <v>1</v>
      </c>
      <c r="CC38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Sheet'!$P$37)&amp;"",""))))&gt;0))</f>
        <v>1</v>
      </c>
      <c r="CD38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Sheet'!$Q$37)&amp;"",""))))&gt;0))</f>
        <v>1</v>
      </c>
      <c r="CE38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Sheet'!$R$37)&amp;"",""))))&gt;0))</f>
        <v>1</v>
      </c>
      <c r="CF38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Sheet'!$S$37)&amp;"",""))))&gt;0))</f>
        <v>1</v>
      </c>
      <c r="CG38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Sheet'!$T$37)&amp;"",""))))&gt;0))</f>
        <v>1</v>
      </c>
      <c r="CH38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Sheet'!$U$37)&amp;"",""))))&gt;0))</f>
        <v>1</v>
      </c>
      <c r="CI38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Sheet'!$V$37)&amp;"",""))))&gt;0))</f>
        <v>1</v>
      </c>
      <c r="CJ38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Sheet'!$W$37)&amp;"",""))))&gt;0))</f>
        <v>1</v>
      </c>
      <c r="CK38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Sheet'!$X$37)&amp;"",""))))&gt;0))</f>
        <v>1</v>
      </c>
      <c r="CL38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Sheet'!$Y$37)&amp;"",""))))&gt;0))</f>
        <v>1</v>
      </c>
      <c r="CM38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Sheet'!$Z$37)&amp;"",""))))&gt;0))</f>
        <v>1</v>
      </c>
      <c r="CN38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Sheet'!$AA$37)&amp;"",""))))&gt;0))</f>
        <v>1</v>
      </c>
      <c r="CO38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Sheet'!$AB$37)&amp;"",""))))&gt;0))</f>
        <v>1</v>
      </c>
      <c r="CP38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Sheet'!$AC$37)&amp;"",""))))&gt;0))</f>
        <v>1</v>
      </c>
      <c r="CQ38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Sheet'!$AD$37)&amp;"",""))))&gt;0))</f>
        <v>1</v>
      </c>
      <c r="CR38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Sheet'!$AE$37)&amp;"",""))))&gt;0))</f>
        <v>1</v>
      </c>
      <c r="CS38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Sheet'!$AF$37)&amp;"",""))))&gt;0))</f>
        <v>1</v>
      </c>
      <c r="CT38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Sheet'!$AG$37)&amp;"",""))))&gt;0))</f>
        <v>1</v>
      </c>
      <c r="CU38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Sheet'!$AD$37&lt;=0,"SETTLED","OUTSTANDING"))&amp;"",""))))&gt;0))</f>
        <v>1</v>
      </c>
    </row>
    <row r="39" ht="15.0" customHeight="1">
      <c r="A39" s="75" t="str">
        <f t="array" ref="A39">IF($BJ38&gt;0,INDEX($BA$5:$BA$41,MATCH(38,$BB$5:$BB$41,0)),IF(OR($BI38=1,$BL38=1,$BH38&gt;0),"∑",""))</f>
        <v>31</v>
      </c>
      <c r="B39" s="76" t="str">
        <f t="array" ref="B39">IF($BJ38&gt;0,IF(INDEX('Final Calculation Sheet'!$F$4:$F$40,$BJ38-3)="","",INDEX('Final Calculation Sheet'!$F$4:$F$40,$BJ38-3)),"")</f>
        <v>2067</v>
      </c>
      <c r="C39" s="76" t="str">
        <f t="array" ref="C39">IF($BJ38&gt;0,IF(INDEX('Final Calculation Sheet'!$G$4:$G$40,$BJ38-3)="","",INDEX('Final Calculation Sheet'!$G$4:$G$40,$BJ38-3)),IF(OR($BI38=1,$BL38=1,$BH38&gt;0),IF($BI38=1,37,IF($BL38=1,37-INDEX($BD$4:$BD$13,10),INDEX($BD$4:$BD$13,$BH38)))&amp;" lot(s)",""))</f>
        <v>WATAN SCRAP TRADERS</v>
      </c>
      <c r="D39" s="77" t="str">
        <f t="array" ref="D39">IF($BJ38&gt;0,IF(INDEX('Final Calculation Sheet'!$B$4:$B$40,$BJ38-3)="","",INDEX('Final Calculation Sheet'!$B$4:$B$40,$BJ38-3)),IF(OR($BI38=1,$BL38=1,$BH38&gt;0),IF($BI38=1,"GRAND TOTAL  —  matching + remaining",IF($BL38=1,"TOTAL MATCHED  —  every group together",IF($BH38=10,"REMAINING  —  did not match the search",IF($BH38=9,IF(COUNTIF($A$4:$AI$4,"&lt;&gt;")&gt;0,"FILTERED LOTS  —  column fields","ALL LOTS  —  nothing typed in the box"),"GROUP "&amp;$BH38&amp;" TOTAL  —  lots matching  "&amp;INDEX($AR$6:$AY$6,$BH38))))),""))</f>
        <v>Scrap of empty oil drums</v>
      </c>
      <c r="E39" s="77" t="str">
        <f t="array" ref="E39">IF($BJ38&gt;0,IF(INDEX('Final Calculation Sheet'!$D$4:$D$40,$BJ38-3)="","",INDEX('Final Calculation Sheet'!$D$4:$D$40,$BJ38-3)),IF(OR($BI38=1,$BL38=1,$BH38&gt;0),"–",""))</f>
        <v>21980</v>
      </c>
      <c r="F39" s="77" t="str">
        <f t="array" ref="F39">IF($BJ38&gt;0,IF(INDEX('Final Calculation Sheet'!$A$4:$A$40,$BJ38-3)="","",INDEX('Final Calculation Sheet'!$A$4:$A$40,$BJ38-3)),IF(OR($BI38=1,$BL38=1,$BH38&gt;0),IF($BI38=1,SUM('Final Calculation Sheet'!$A$4:$A$40),IF($BL38=1,SUM('Final Calculation Sheet'!$A$4:$A$40)-SUMIFS('Final Calculation Sheet'!$A$4:$A$40,$AZ$5:$AZ$41,10),SUMIFS('Final Calculation Sheet'!$A$4:$A$40,$AZ$5:$AZ$41,$BH38))),""))</f>
        <v>150</v>
      </c>
      <c r="G39" s="77" t="str">
        <f t="array" ref="G39">IF($BJ38&gt;0,IF(INDEX('Final Calculation Sheet'!$E$4:$E$40,$BJ38-3)="","",INDEX('Final Calculation Sheet'!$E$4:$E$40,$BJ38-3)),IF(OR($BI38=1,$BL38=1,$BH38&gt;0),"–",""))</f>
        <v>NO</v>
      </c>
      <c r="H39" s="78" t="str">
        <f t="array" ref="H39">IF($BJ38&gt;0,IF(INDEX('Final Calculation Sheet'!$C$4:$C$40,$BJ38-3)="","",INDEX('Final Calculation Sheet'!$C$4:$C$40,$BJ38-3)),IF(OR($BI38=1,$BL38=1,$BH38&gt;0),"–",""))</f>
        <v>571</v>
      </c>
      <c r="I39" s="78" t="str">
        <f t="array" ref="I39">IF($BJ38&gt;0,IF(INDEX('Final Calculation Sheet'!$H$4:$H$40,$BJ38-3)="","",INDEX('Final Calculation Sheet'!$H$4:$H$40,$BJ38-3)),IF(OR($BI38=1,$BL38=1,$BH38&gt;0),IF($BI38=1,SUM('Final Calculation Sheet'!$H$4:$H$40),IF($BL38=1,SUM('Final Calculation Sheet'!$H$4:$H$40)-SUMIFS('Final Calculation Sheet'!$H$4:$H$40,$AZ$5:$AZ$41,10),SUMIFS('Final Calculation Sheet'!$H$4:$H$40,$AZ$5:$AZ$41,$BH38))),""))</f>
        <v>85,650</v>
      </c>
      <c r="J39" s="78" t="str">
        <f t="array" ref="J39">IF($BJ38&gt;0,IF(INDEX('Final Calculation Sheet'!$I$4:$I$40,$BJ38-3)="","",INDEX('Final Calculation Sheet'!$I$4:$I$40,$BJ38-3)),IF(OR($BI38=1,$BL38=1,$BH38&gt;0),IF($BI38=1,SUM('Final Calculation Sheet'!$I$4:$I$40),IF($BL38=1,SUM('Final Calculation Sheet'!$I$4:$I$40)-SUMIFS('Final Calculation Sheet'!$I$4:$I$40,$AZ$5:$AZ$41,10),SUMIFS('Final Calculation Sheet'!$I$4:$I$40,$AZ$5:$AZ$41,$BH38))),""))</f>
        <v>15,417</v>
      </c>
      <c r="K39" s="78" t="str">
        <f t="array" ref="K39">IF($BJ38&gt;0,IF(INDEX('Final Calculation Sheet'!$J$4:$J$40,$BJ38-3)="","",INDEX('Final Calculation Sheet'!$J$4:$J$40,$BJ38-3)),IF(OR($BI38=1,$BL38=1,$BH38&gt;0),IF($BI38=1,SUM('Final Calculation Sheet'!$J$4:$J$40),IF($BL38=1,SUM('Final Calculation Sheet'!$J$4:$J$40)-SUMIFS('Final Calculation Sheet'!$J$4:$J$40,$AZ$5:$AZ$41,10),SUMIFS('Final Calculation Sheet'!$J$4:$J$40,$AZ$5:$AZ$41,$BH38))),""))</f>
        <v>101,067</v>
      </c>
      <c r="L39" s="78" t="str">
        <f t="array" ref="L39">IF($BJ38&gt;0,IF(INDEX('Final Calculation Sheet'!$K$4:$K$40,$BJ38-3)="","",INDEX('Final Calculation Sheet'!$K$4:$K$40,$BJ38-3)),IF(OR($BI38=1,$BL38=1,$BH38&gt;0),IF($BI38=1,SUM('Final Calculation Sheet'!$K$4:$K$40),IF($BL38=1,SUM('Final Calculation Sheet'!$K$4:$K$40)-SUMIFS('Final Calculation Sheet'!$K$4:$K$40,$AZ$5:$AZ$41,10),SUMIFS('Final Calculation Sheet'!$K$4:$K$40,$AZ$5:$AZ$41,$BH38))),""))</f>
        <v>2,021</v>
      </c>
      <c r="M39" s="78" t="str">
        <f t="array" ref="M39">IF($BJ38&gt;0,IF(INDEX('Final Calculation Sheet'!$L$4:$L$40,$BJ38-3)="","",INDEX('Final Calculation Sheet'!$L$4:$L$40,$BJ38-3)),IF(OR($BI38=1,$BL38=1,$BH38&gt;0),IF($BI38=1,SUM('Final Calculation Sheet'!$L$4:$L$40),IF($BL38=1,SUM('Final Calculation Sheet'!$L$4:$L$40)-SUMIFS('Final Calculation Sheet'!$L$4:$L$40,$AZ$5:$AZ$41,10),SUMIFS('Final Calculation Sheet'!$L$4:$L$40,$AZ$5:$AZ$41,$BH38))),""))</f>
        <v>86</v>
      </c>
      <c r="N39" s="78" t="str">
        <f t="array" ref="N39">IF($BJ38&gt;0,IF(INDEX('Final Calculation Sheet'!$M$4:$M$40,$BJ38-3)="","",INDEX('Final Calculation Sheet'!$M$4:$M$40,$BJ38-3)),IF(OR($BI38=1,$BL38=1,$BH38&gt;0),IF($BI38=1,SUM('Final Calculation Sheet'!$M$4:$M$40),IF($BL38=1,SUM('Final Calculation Sheet'!$M$4:$M$40)-SUMIFS('Final Calculation Sheet'!$M$4:$M$40,$AZ$5:$AZ$41,10),SUMIFS('Final Calculation Sheet'!$M$4:$M$40,$AZ$5:$AZ$41,$BH38))),""))</f>
        <v>2,274</v>
      </c>
      <c r="O39" s="79" t="str">
        <f t="array" ref="O39">IF($BJ38&gt;0,IF(INDEX('Final Calculation Sheet'!$N$4:$N$40,$BJ38-3)="","",INDEX('Final Calculation Sheet'!$N$4:$N$40,$BJ38-3)),IF(OR($BI38=1,$BL38=1,$BH38&gt;0),IF($BI38=1,SUM('Final Calculation Sheet'!$N$4:$N$40),IF($BL38=1,SUM('Final Calculation Sheet'!$N$4:$N$40)-SUMIFS('Final Calculation Sheet'!$N$4:$N$40,$AZ$5:$AZ$41,10),SUMIFS('Final Calculation Sheet'!$N$4:$N$40,$AZ$5:$AZ$41,$BH38))),""))</f>
        <v>39</v>
      </c>
      <c r="P39" s="78" t="str">
        <f t="array" ref="P39">IF($BJ38&gt;0,IF(INDEX('Final Calculation Sheet'!$O$4:$O$40,$BJ38-3)="","",INDEX('Final Calculation Sheet'!$O$4:$O$40,$BJ38-3)),IF(OR($BI38=1,$BL38=1,$BH38&gt;0),IF($BI38=1,SUM('Final Calculation Sheet'!$O$4:$O$40),IF($BL38=1,SUM('Final Calculation Sheet'!$O$4:$O$40)-SUMIFS('Final Calculation Sheet'!$O$4:$O$40,$AZ$5:$AZ$41,10),SUMIFS('Final Calculation Sheet'!$O$4:$O$40,$AZ$5:$AZ$41,$BH38))),""))</f>
        <v>2,235</v>
      </c>
      <c r="Q39" s="78" t="str">
        <f t="array" ref="Q39">IF($BJ38&gt;0,IF(INDEX('Final Calculation Sheet'!$P$4:$P$40,$BJ38-3)="","",INDEX('Final Calculation Sheet'!$P$4:$P$40,$BJ38-3)),IF(OR($BI38=1,$BL38=1,$BH38&gt;0),IF($BI38=1,SUM('Final Calculation Sheet'!$P$4:$P$40),IF($BL38=1,SUM('Final Calculation Sheet'!$P$4:$P$40)-SUMIFS('Final Calculation Sheet'!$P$4:$P$40,$AZ$5:$AZ$41,10),SUMIFS('Final Calculation Sheet'!$P$4:$P$40,$AZ$5:$AZ$41,$BH38))),""))</f>
        <v>2,321</v>
      </c>
      <c r="R39" s="80" t="str">
        <f t="array" ref="R39">IF($BJ38&gt;0,IF(INDEX('Final Calculation Sheet'!$Q$4:$Q$40,$BJ38-3)="","",INDEX('Final Calculation Sheet'!$Q$4:$Q$40,$BJ38-3)),IF(OR($BI38=1,$BL38=1,$BH38&gt;0),"–",""))</f>
        <v>0%</v>
      </c>
      <c r="S39" s="78" t="str">
        <f t="array" ref="S39">IF($BJ38&gt;0,IF(INDEX('Final Calculation Sheet'!$R$4:$R$40,$BJ38-3)="","",INDEX('Final Calculation Sheet'!$R$4:$R$40,$BJ38-3)),IF(OR($BI38=1,$BL38=1,$BH38&gt;0),IF($BI38=1,SUM('Final Calculation Sheet'!$R$4:$R$40),IF($BL38=1,SUM('Final Calculation Sheet'!$R$4:$R$40)-SUMIFS('Final Calculation Sheet'!$R$4:$R$40,$AZ$5:$AZ$41,10),SUMIFS('Final Calculation Sheet'!$R$4:$R$40,$AZ$5:$AZ$41,$BH38))),""))</f>
        <v>0</v>
      </c>
      <c r="T39" s="78" t="str">
        <f t="array" ref="T39">IF($BJ38&gt;0,IF(INDEX('Final Calculation Sheet'!$S$4:$S$40,$BJ38-3)="","",INDEX('Final Calculation Sheet'!$S$4:$S$40,$BJ38-3)),IF(OR($BI38=1,$BL38=1,$BH38&gt;0),IF($BI38=1,SUM('Final Calculation Sheet'!$S$4:$S$40),IF($BL38=1,SUM('Final Calculation Sheet'!$S$4:$S$40)-SUMIFS('Final Calculation Sheet'!$S$4:$S$40,$AZ$5:$AZ$41,10),SUMIFS('Final Calculation Sheet'!$S$4:$S$40,$AZ$5:$AZ$41,$BH38))),""))</f>
        <v>100,767</v>
      </c>
      <c r="U39" s="78" t="str">
        <f t="array" ref="U39">IF($BJ38&gt;0,IF(INDEX('Final Calculation Sheet'!$T$4:$T$40,$BJ38-3)="","",INDEX('Final Calculation Sheet'!$T$4:$T$40,$BJ38-3)),IF(OR($BI38=1,$BL38=1,$BH38&gt;0),IF($BI38=1,SUM('Final Calculation Sheet'!$T$4:$T$40),IF($BL38=1,SUM('Final Calculation Sheet'!$T$4:$T$40)-SUMIFS('Final Calculation Sheet'!$T$4:$T$40,$AZ$5:$AZ$41,10),SUMIFS('Final Calculation Sheet'!$T$4:$T$40,$AZ$5:$AZ$41,$BH38))),""))</f>
        <v>21,413</v>
      </c>
      <c r="V39" s="81" t="str">
        <f t="array" ref="V39">IF($BJ38&gt;0,IF(INDEX('Final Calculation Sheet'!$U$4:$U$40,$BJ38-3)="","",INDEX('Final Calculation Sheet'!$U$4:$U$40,$BJ38-3)),IF(OR($BI38=1,$BL38=1,$BH38&gt;0),IF($BI38=1,SUM('Final Calculation Sheet'!$U$4:$U$40),IF($BL38=1,SUM('Final Calculation Sheet'!$U$4:$U$40)-SUMIFS('Final Calculation Sheet'!$U$4:$U$40,$AZ$5:$AZ$41,10),SUMIFS('Final Calculation Sheet'!$U$4:$U$40,$AZ$5:$AZ$41,$BH38))),""))</f>
        <v>  21,413 </v>
      </c>
      <c r="W39" s="78" t="str">
        <f t="array" ref="W39">IF($BJ38&gt;0,IF(INDEX('Final Calculation Sheet'!$V$4:$V$40,$BJ38-3)="","",INDEX('Final Calculation Sheet'!$V$4:$V$40,$BJ38-3)),IF(OR($BI38=1,$BL38=1,$BH38&gt;0),"–",""))</f>
        <v>14.08.2026</v>
      </c>
      <c r="X39" s="78" t="str">
        <f t="array" ref="X39">IF($BJ38&gt;0,IF(INDEX('Final Calculation Sheet'!$W$4:$W$40,$BJ38-3)="","",INDEX('Final Calculation Sheet'!$W$4:$W$40,$BJ38-3)),IF(OR($BI38=1,$BL38=1,$BH38&gt;0),IF($BI38=1,SUM('Final Calculation Sheet'!$W$4:$W$40),IF($BL38=1,SUM('Final Calculation Sheet'!$W$4:$W$40)-SUMIFS('Final Calculation Sheet'!$W$4:$W$40,$AZ$5:$AZ$41,10),SUMIFS('Final Calculation Sheet'!$W$4:$W$40,$AZ$5:$AZ$41,$BH38))),""))</f>
        <v>79,355</v>
      </c>
      <c r="Y39" s="78" t="str">
        <f t="array" ref="Y39">IF($BJ38&gt;0,IF(INDEX('Final Calculation Sheet'!$X$4:$X$40,$BJ38-3)="","",INDEX('Final Calculation Sheet'!$X$4:$X$40,$BJ38-3)),IF(OR($BI38=1,$BL38=1,$BH38&gt;0),IF($BI38=1,SUM('Final Calculation Sheet'!$X$4:$X$40),IF($BL38=1,SUM('Final Calculation Sheet'!$X$4:$X$40)-SUMIFS('Final Calculation Sheet'!$X$4:$X$40,$AZ$5:$AZ$41,10),SUMIFS('Final Calculation Sheet'!$X$4:$X$40,$AZ$5:$AZ$41,$BH38))),""))</f>
        <v>79,354</v>
      </c>
      <c r="Z39" s="78" t="str">
        <f t="array" ref="Z39">IF($BJ38&gt;0,IF(INDEX('Final Calculation Sheet'!$Y$4:$Y$40,$BJ38-3)="","",INDEX('Final Calculation Sheet'!$Y$4:$Y$40,$BJ38-3)),IF(OR($BI38=1,$BL38=1,$BH38&gt;0),"–",""))</f>
        <v>20.08.2026</v>
      </c>
      <c r="AA39" s="78" t="str">
        <f t="array" ref="AA39">IF($BJ38&gt;0,IF(INDEX('Final Calculation Sheet'!$Z$4:$Z$40,$BJ38-3)="","",INDEX('Final Calculation Sheet'!$Z$4:$Z$40,$BJ38-3)),IF(OR($BI38=1,$BL38=1,$BH38&gt;0),IF($BI38=1,SUM('Final Calculation Sheet'!$Z$4:$Z$40),IF($BL38=1,SUM('Final Calculation Sheet'!$Z$4:$Z$40)-SUMIFS('Final Calculation Sheet'!$Z$4:$Z$40,$AZ$5:$AZ$41,10),SUMIFS('Final Calculation Sheet'!$Z$4:$Z$40,$AZ$5:$AZ$41,$BH38))),""))</f>
        <v>0</v>
      </c>
      <c r="AB39" s="78" t="str">
        <f t="array" ref="AB39">IF($BJ38&gt;0,IF(INDEX('Final Calculation Sheet'!$AA$4:$AA$40,$BJ38-3)="","",INDEX('Final Calculation Sheet'!$AA$4:$AA$40,$BJ38-3)),IF(OR($BI38=1,$BL38=1,$BH38&gt;0),IF($BI38=1,SUM('Final Calculation Sheet'!$AA$4:$AA$40),IF($BL38=1,SUM('Final Calculation Sheet'!$AA$4:$AA$40)-SUMIFS('Final Calculation Sheet'!$AA$4:$AA$40,$AZ$5:$AZ$41,10),SUMIFS('Final Calculation Sheet'!$AA$4:$AA$40,$AZ$5:$AZ$41,$BH38))),""))</f>
        <v/>
      </c>
      <c r="AC39" s="78" t="str">
        <f t="array" ref="AC39">IF($BJ38&gt;0,IF(INDEX('Final Calculation Sheet'!$AB$4:$AB$40,$BJ38-3)="","",INDEX('Final Calculation Sheet'!$AB$4:$AB$40,$BJ38-3)),IF(OR($BI38=1,$BL38=1,$BH38&gt;0),"–",""))</f>
        <v/>
      </c>
      <c r="AD39" s="78" t="str">
        <f t="array" ref="AD39">IF($BJ38&gt;0,IF(INDEX('Final Calculation Sheet'!$AC$4:$AC$40,$BJ38-3)="","",INDEX('Final Calculation Sheet'!$AC$4:$AC$40,$BJ38-3)),IF(OR($BI38=1,$BL38=1,$BH38&gt;0),IF($BI38=1,SUM('Final Calculation Sheet'!$AC$4:$AC$40),IF($BL38=1,SUM('Final Calculation Sheet'!$AC$4:$AC$40)-SUMIFS('Final Calculation Sheet'!$AC$4:$AC$40,$AZ$5:$AZ$41,10),SUMIFS('Final Calculation Sheet'!$AC$4:$AC$40,$AZ$5:$AZ$41,$BH38))),""))</f>
        <v>100,767</v>
      </c>
      <c r="AE39" s="78" t="str">
        <f t="array" ref="AE39">IF($BJ38&gt;0,IF(INDEX('Final Calculation Sheet'!$AD$4:$AD$40,$BJ38-3)="","",INDEX('Final Calculation Sheet'!$AD$4:$AD$40,$BJ38-3)),IF(OR($BI38=1,$BL38=1,$BH38&gt;0),IF($BI38=1,SUM('Final Calculation Sheet'!$AD$4:$AD$40),IF($BL38=1,SUM('Final Calculation Sheet'!$AD$4:$AD$40)-SUMIFS('Final Calculation Sheet'!$AD$4:$AD$40,$AZ$5:$AZ$41,10),SUMIFS('Final Calculation Sheet'!$AD$4:$AD$40,$AZ$5:$AZ$41,$BH38))),""))</f>
        <v>0</v>
      </c>
      <c r="AF39" s="78" t="str">
        <f t="array" ref="AF39">IF($BJ38&gt;0,IF(INDEX('Final Calculation Sheet'!$AE$4:$AE$40,$BJ38-3)="","",INDEX('Final Calculation Sheet'!$AE$4:$AE$40,$BJ38-3)),IF(OR($BI38=1,$BL38=1,$BH38&gt;0),"–",""))</f>
        <v>DR2640100027</v>
      </c>
      <c r="AG39" s="82" t="str">
        <f t="array" ref="AG39">IF($BJ38&gt;0,IF(INDEX('Final Calculation Sheet'!$AF$4:$AF$40,$BJ38-3)="","",INDEX('Final Calculation Sheet'!$AF$4:$AF$40,$BJ38-3)),IF(OR($BI38=1,$BL38=1,$BH38&gt;0),"–",""))</f>
        <v>1800003248</v>
      </c>
      <c r="AH39" s="78" t="str">
        <f t="array" ref="AH39">IF($BJ38&gt;0,IF(INDEX('Final Calculation Sheet'!$AG$4:$AG$40,$BJ38-3)="","",INDEX('Final Calculation Sheet'!$AG$4:$AG$40,$BJ38-3)),IF(OR($BI38=1,$BL38=1,$BH38&gt;0),"–",""))</f>
        <v>20.08.2026</v>
      </c>
      <c r="AI39" s="83" t="str">
        <f t="array" ref="AI39">IF($BJ38&gt;0,IF(INDEX('Final Calculation Sheet'!$AD$4:$AD$40,$BJ38-3)="","",IF(INDEX('Final Calculation Sheet'!$AD$4:$AD$40,$BJ38-3)&lt;=0,"SETTLED","OUTSTANDING")),IF(OR($BI38=1,$BL38=1,$BH38&gt;0),IF(IF($BI38=1,SUM('Final Calculation Sheet'!$AD$4:$AD$40),IF($BL38=1,SUM('Final Calculation Sheet'!$AD$4:$AD$40)-SUMIFS('Final Calculation Sheet'!$AD$4:$AD$40,$AZ$5:$AZ$41,10),SUMIFS('Final Calculation Sheet'!$AD$4:$AD$40,$AZ$5:$AZ$41,$BH38)))&lt;=0,"ALL SETTLED","OUTSTANDING"),""))</f>
        <v>SETTLED</v>
      </c>
      <c r="AK39" t="str">
        <f>IF($F$3="Lot No.",'Final Calculation Sheet'!$F$38,IF($F$3="Buyer",'Final Calculation Sheet'!$G$38,IF($F$3="Lot Name",'Final Calculation Sheet'!$B$38,IF($F$3="Bid Sheet",'Final Calculation Sheet'!$D$38,IF($F$3="Unit",'Final Calculation Sheet'!$E$38,'Final Calculation Sheet'!$F$38&amp;" "&amp;'Final Calculation Sheet'!$G$38&amp;" "&amp;'Final Calculation Sheet'!$B$38)))))</f>
        <v>2086 KASHYAP TRADING CO Scrap of 132 KV CT</v>
      </c>
      <c r="AM39" t="str">
        <f t="shared" si="3"/>
        <v>0</v>
      </c>
      <c r="AZ39" t="str">
        <f t="shared" si="4"/>
        <v>10</v>
      </c>
      <c r="BA39" t="str">
        <f t="shared" si="5"/>
        <v>34</v>
      </c>
      <c r="BB39" t="str">
        <f t="shared" si="6"/>
        <v>41</v>
      </c>
      <c r="BC39">
        <v>38.0</v>
      </c>
      <c r="BH39" t="str">
        <f>IFERROR(MATCH(39,$BF$4:$BF$13,0),0)</f>
        <v>0</v>
      </c>
      <c r="BI39" t="str">
        <f>IF(39=$BG$5,1,0)</f>
        <v>0</v>
      </c>
      <c r="BJ39" t="str">
        <f t="array" ref="BJ39">IF(OR($BH39&gt;0,$BI39=1,$BL39=1),0,IFERROR(INDEX($BC$5:$BC$41,MATCH(39,$BB$5:$BB$41,0)),0))</f>
        <v>36</v>
      </c>
      <c r="BK39" t="str">
        <f t="array" ref="BK39">IF($BJ39&gt;0,IF(INDEX($AZ$5:$AZ$41,MATCH(39,$BB$5:$BB$41,0))=10,1,0),IF($BH39=10,1,0))</f>
        <v>1</v>
      </c>
      <c r="BL39" t="str">
        <f>IF(39=$BG$4,1,0)</f>
        <v>0</v>
      </c>
      <c r="BM39" t="str">
        <f t="shared" si="8"/>
        <v>1</v>
      </c>
      <c r="BN39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Sheet'!$F$38)&amp;"",""))))&gt;0))</f>
        <v>1</v>
      </c>
      <c r="BO39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Sheet'!$G$38)&amp;"",""))))&gt;0))</f>
        <v>1</v>
      </c>
      <c r="BP39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Sheet'!$B$38)&amp;"",""))))&gt;0))</f>
        <v>1</v>
      </c>
      <c r="BQ39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Sheet'!$D$38)&amp;"",""))))&gt;0))</f>
        <v>1</v>
      </c>
      <c r="BR39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Sheet'!$A$38)&amp;"",""))))&gt;0))</f>
        <v>1</v>
      </c>
      <c r="BS39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Sheet'!$E$38)&amp;"",""))))&gt;0))</f>
        <v>1</v>
      </c>
      <c r="BT39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Sheet'!$C$38)&amp;"",""))))&gt;0))</f>
        <v>1</v>
      </c>
      <c r="BU39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Sheet'!$H$38)&amp;"",""))))&gt;0))</f>
        <v>1</v>
      </c>
      <c r="BV39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Sheet'!$I$38)&amp;"",""))))&gt;0))</f>
        <v>1</v>
      </c>
      <c r="BW39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Sheet'!$J$38)&amp;"",""))))&gt;0))</f>
        <v>1</v>
      </c>
      <c r="BX39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Sheet'!$K$38)&amp;"",""))))&gt;0))</f>
        <v>1</v>
      </c>
      <c r="BY39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Sheet'!$L$38)&amp;"",""))))&gt;0))</f>
        <v>1</v>
      </c>
      <c r="BZ39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Sheet'!$M$38)&amp;"",""))))&gt;0))</f>
        <v>1</v>
      </c>
      <c r="CA39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Sheet'!$N$38)&amp;"",""))))&gt;0))</f>
        <v>1</v>
      </c>
      <c r="CB39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Sheet'!$O$38)&amp;"",""))))&gt;0))</f>
        <v>1</v>
      </c>
      <c r="CC39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Sheet'!$P$38)&amp;"",""))))&gt;0))</f>
        <v>1</v>
      </c>
      <c r="CD39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Sheet'!$Q$38)&amp;"",""))))&gt;0))</f>
        <v>1</v>
      </c>
      <c r="CE39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Sheet'!$R$38)&amp;"",""))))&gt;0))</f>
        <v>1</v>
      </c>
      <c r="CF39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Sheet'!$S$38)&amp;"",""))))&gt;0))</f>
        <v>1</v>
      </c>
      <c r="CG39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Sheet'!$T$38)&amp;"",""))))&gt;0))</f>
        <v>1</v>
      </c>
      <c r="CH39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Sheet'!$U$38)&amp;"",""))))&gt;0))</f>
        <v>1</v>
      </c>
      <c r="CI39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Sheet'!$V$38)&amp;"",""))))&gt;0))</f>
        <v>1</v>
      </c>
      <c r="CJ39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Sheet'!$W$38)&amp;"",""))))&gt;0))</f>
        <v>1</v>
      </c>
      <c r="CK39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Sheet'!$X$38)&amp;"",""))))&gt;0))</f>
        <v>1</v>
      </c>
      <c r="CL39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Sheet'!$Y$38)&amp;"",""))))&gt;0))</f>
        <v>1</v>
      </c>
      <c r="CM39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Sheet'!$Z$38)&amp;"",""))))&gt;0))</f>
        <v>1</v>
      </c>
      <c r="CN39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Sheet'!$AA$38)&amp;"",""))))&gt;0))</f>
        <v>1</v>
      </c>
      <c r="CO39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Sheet'!$AB$38)&amp;"",""))))&gt;0))</f>
        <v>1</v>
      </c>
      <c r="CP39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Sheet'!$AC$38)&amp;"",""))))&gt;0))</f>
        <v>1</v>
      </c>
      <c r="CQ39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Sheet'!$AD$38)&amp;"",""))))&gt;0))</f>
        <v>1</v>
      </c>
      <c r="CR39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Sheet'!$AE$38)&amp;"",""))))&gt;0))</f>
        <v>1</v>
      </c>
      <c r="CS39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Sheet'!$AF$38)&amp;"",""))))&gt;0))</f>
        <v>1</v>
      </c>
      <c r="CT39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Sheet'!$AG$38)&amp;"",""))))&gt;0))</f>
        <v>1</v>
      </c>
      <c r="CU39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Sheet'!$AD$38&lt;=0,"SETTLED","OUTSTANDING"))&amp;"",""))))&gt;0))</f>
        <v>1</v>
      </c>
    </row>
    <row r="40" ht="15.0" customHeight="1">
      <c r="A40" s="75" t="str">
        <f t="array" ref="A40">IF($BJ39&gt;0,INDEX($BA$5:$BA$41,MATCH(39,$BB$5:$BB$41,0)),IF(OR($BI39=1,$BL39=1,$BH39&gt;0),"∑",""))</f>
        <v>32</v>
      </c>
      <c r="B40" s="76" t="str">
        <f t="array" ref="B40">IF($BJ39&gt;0,IF(INDEX('Final Calculation Sheet'!$F$4:$F$40,$BJ39-3)="","",INDEX('Final Calculation Sheet'!$F$4:$F$40,$BJ39-3)),"")</f>
        <v>2069</v>
      </c>
      <c r="C40" s="76" t="str">
        <f t="array" ref="C40">IF($BJ39&gt;0,IF(INDEX('Final Calculation Sheet'!$G$4:$G$40,$BJ39-3)="","",INDEX('Final Calculation Sheet'!$G$4:$G$40,$BJ39-3)),IF(OR($BI39=1,$BL39=1,$BH39&gt;0),IF($BI39=1,37,IF($BL39=1,37-INDEX($BD$4:$BD$13,10),INDEX($BD$4:$BD$13,$BH39)))&amp;" lot(s)",""))</f>
        <v>STERLING ENTERPRISES</v>
      </c>
      <c r="D40" s="77" t="str">
        <f t="array" ref="D40">IF($BJ39&gt;0,IF(INDEX('Final Calculation Sheet'!$B$4:$B$40,$BJ39-3)="","",INDEX('Final Calculation Sheet'!$B$4:$B$40,$BJ39-3)),IF(OR($BI39=1,$BL39=1,$BH39&gt;0),IF($BI39=1,"GRAND TOTAL  —  matching + remaining",IF($BL39=1,"TOTAL MATCHED  —  every group together",IF($BH39=10,"REMAINING  —  did not match the search",IF($BH39=9,IF(COUNTIF($A$4:$AI$4,"&lt;&gt;")&gt;0,"FILTERED LOTS  —  column fields","ALL LOTS  —  nothing typed in the box"),"GROUP "&amp;$BH39&amp;" TOTAL  —  lots matching  "&amp;INDEX($AR$6:$AY$6,$BH39))))),""))</f>
        <v>Scrap of 33 KV CB</v>
      </c>
      <c r="E40" s="77" t="str">
        <f t="array" ref="E40">IF($BJ39&gt;0,IF(INDEX('Final Calculation Sheet'!$D$4:$D$40,$BJ39-3)="","",INDEX('Final Calculation Sheet'!$D$4:$D$40,$BJ39-3)),IF(OR($BI39=1,$BL39=1,$BH39&gt;0),"–",""))</f>
        <v>21980</v>
      </c>
      <c r="F40" s="77" t="str">
        <f t="array" ref="F40">IF($BJ39&gt;0,IF(INDEX('Final Calculation Sheet'!$A$4:$A$40,$BJ39-3)="","",INDEX('Final Calculation Sheet'!$A$4:$A$40,$BJ39-3)),IF(OR($BI39=1,$BL39=1,$BH39&gt;0),IF($BI39=1,SUM('Final Calculation Sheet'!$A$4:$A$40),IF($BL39=1,SUM('Final Calculation Sheet'!$A$4:$A$40)-SUMIFS('Final Calculation Sheet'!$A$4:$A$40,$AZ$5:$AZ$41,10),SUMIFS('Final Calculation Sheet'!$A$4:$A$40,$AZ$5:$AZ$41,$BH39))),""))</f>
        <v>1</v>
      </c>
      <c r="G40" s="77" t="str">
        <f t="array" ref="G40">IF($BJ39&gt;0,IF(INDEX('Final Calculation Sheet'!$E$4:$E$40,$BJ39-3)="","",INDEX('Final Calculation Sheet'!$E$4:$E$40,$BJ39-3)),IF(OR($BI39=1,$BL39=1,$BH39&gt;0),"–",""))</f>
        <v>NO</v>
      </c>
      <c r="H40" s="78" t="str">
        <f t="array" ref="H40">IF($BJ39&gt;0,IF(INDEX('Final Calculation Sheet'!$C$4:$C$40,$BJ39-3)="","",INDEX('Final Calculation Sheet'!$C$4:$C$40,$BJ39-3)),IF(OR($BI39=1,$BL39=1,$BH39&gt;0),"–",""))</f>
        <v>54,000</v>
      </c>
      <c r="I40" s="78" t="str">
        <f t="array" ref="I40">IF($BJ39&gt;0,IF(INDEX('Final Calculation Sheet'!$H$4:$H$40,$BJ39-3)="","",INDEX('Final Calculation Sheet'!$H$4:$H$40,$BJ39-3)),IF(OR($BI39=1,$BL39=1,$BH39&gt;0),IF($BI39=1,SUM('Final Calculation Sheet'!$H$4:$H$40),IF($BL39=1,SUM('Final Calculation Sheet'!$H$4:$H$40)-SUMIFS('Final Calculation Sheet'!$H$4:$H$40,$AZ$5:$AZ$41,10),SUMIFS('Final Calculation Sheet'!$H$4:$H$40,$AZ$5:$AZ$41,$BH39))),""))</f>
        <v>54,000</v>
      </c>
      <c r="J40" s="78" t="str">
        <f t="array" ref="J40">IF($BJ39&gt;0,IF(INDEX('Final Calculation Sheet'!$I$4:$I$40,$BJ39-3)="","",INDEX('Final Calculation Sheet'!$I$4:$I$40,$BJ39-3)),IF(OR($BI39=1,$BL39=1,$BH39&gt;0),IF($BI39=1,SUM('Final Calculation Sheet'!$I$4:$I$40),IF($BL39=1,SUM('Final Calculation Sheet'!$I$4:$I$40)-SUMIFS('Final Calculation Sheet'!$I$4:$I$40,$AZ$5:$AZ$41,10),SUMIFS('Final Calculation Sheet'!$I$4:$I$40,$AZ$5:$AZ$41,$BH39))),""))</f>
        <v>9,720</v>
      </c>
      <c r="K40" s="78" t="str">
        <f t="array" ref="K40">IF($BJ39&gt;0,IF(INDEX('Final Calculation Sheet'!$J$4:$J$40,$BJ39-3)="","",INDEX('Final Calculation Sheet'!$J$4:$J$40,$BJ39-3)),IF(OR($BI39=1,$BL39=1,$BH39&gt;0),IF($BI39=1,SUM('Final Calculation Sheet'!$J$4:$J$40),IF($BL39=1,SUM('Final Calculation Sheet'!$J$4:$J$40)-SUMIFS('Final Calculation Sheet'!$J$4:$J$40,$AZ$5:$AZ$41,10),SUMIFS('Final Calculation Sheet'!$J$4:$J$40,$AZ$5:$AZ$41,$BH39))),""))</f>
        <v>63,720</v>
      </c>
      <c r="L40" s="78" t="str">
        <f t="array" ref="L40">IF($BJ39&gt;0,IF(INDEX('Final Calculation Sheet'!$K$4:$K$40,$BJ39-3)="","",INDEX('Final Calculation Sheet'!$K$4:$K$40,$BJ39-3)),IF(OR($BI39=1,$BL39=1,$BH39&gt;0),IF($BI39=1,SUM('Final Calculation Sheet'!$K$4:$K$40),IF($BL39=1,SUM('Final Calculation Sheet'!$K$4:$K$40)-SUMIFS('Final Calculation Sheet'!$K$4:$K$40,$AZ$5:$AZ$41,10),SUMIFS('Final Calculation Sheet'!$K$4:$K$40,$AZ$5:$AZ$41,$BH39))),""))</f>
        <v>1,274</v>
      </c>
      <c r="M40" s="78" t="str">
        <f t="array" ref="M40">IF($BJ39&gt;0,IF(INDEX('Final Calculation Sheet'!$L$4:$L$40,$BJ39-3)="","",INDEX('Final Calculation Sheet'!$L$4:$L$40,$BJ39-3)),IF(OR($BI39=1,$BL39=1,$BH39&gt;0),IF($BI39=1,SUM('Final Calculation Sheet'!$L$4:$L$40),IF($BL39=1,SUM('Final Calculation Sheet'!$L$4:$L$40)-SUMIFS('Final Calculation Sheet'!$L$4:$L$40,$AZ$5:$AZ$41,10),SUMIFS('Final Calculation Sheet'!$L$4:$L$40,$AZ$5:$AZ$41,$BH39))),""))</f>
        <v>54</v>
      </c>
      <c r="N40" s="78" t="str">
        <f t="array" ref="N40">IF($BJ39&gt;0,IF(INDEX('Final Calculation Sheet'!$M$4:$M$40,$BJ39-3)="","",INDEX('Final Calculation Sheet'!$M$4:$M$40,$BJ39-3)),IF(OR($BI39=1,$BL39=1,$BH39&gt;0),IF($BI39=1,SUM('Final Calculation Sheet'!$M$4:$M$40),IF($BL39=1,SUM('Final Calculation Sheet'!$M$4:$M$40)-SUMIFS('Final Calculation Sheet'!$M$4:$M$40,$AZ$5:$AZ$41,10),SUMIFS('Final Calculation Sheet'!$M$4:$M$40,$AZ$5:$AZ$41,$BH39))),""))</f>
        <v>1,434</v>
      </c>
      <c r="O40" s="79" t="str">
        <f t="array" ref="O40">IF($BJ39&gt;0,IF(INDEX('Final Calculation Sheet'!$N$4:$N$40,$BJ39-3)="","",INDEX('Final Calculation Sheet'!$N$4:$N$40,$BJ39-3)),IF(OR($BI39=1,$BL39=1,$BH39&gt;0),IF($BI39=1,SUM('Final Calculation Sheet'!$N$4:$N$40),IF($BL39=1,SUM('Final Calculation Sheet'!$N$4:$N$40)-SUMIFS('Final Calculation Sheet'!$N$4:$N$40,$AZ$5:$AZ$41,10),SUMIFS('Final Calculation Sheet'!$N$4:$N$40,$AZ$5:$AZ$41,$BH39))),""))</f>
        <v>24</v>
      </c>
      <c r="P40" s="78" t="str">
        <f t="array" ref="P40">IF($BJ39&gt;0,IF(INDEX('Final Calculation Sheet'!$O$4:$O$40,$BJ39-3)="","",INDEX('Final Calculation Sheet'!$O$4:$O$40,$BJ39-3)),IF(OR($BI39=1,$BL39=1,$BH39&gt;0),IF($BI39=1,SUM('Final Calculation Sheet'!$O$4:$O$40),IF($BL39=1,SUM('Final Calculation Sheet'!$O$4:$O$40)-SUMIFS('Final Calculation Sheet'!$O$4:$O$40,$AZ$5:$AZ$41,10),SUMIFS('Final Calculation Sheet'!$O$4:$O$40,$AZ$5:$AZ$41,$BH39))),""))</f>
        <v>1,409</v>
      </c>
      <c r="Q40" s="78" t="str">
        <f t="array" ref="Q40">IF($BJ39&gt;0,IF(INDEX('Final Calculation Sheet'!$P$4:$P$40,$BJ39-3)="","",INDEX('Final Calculation Sheet'!$P$4:$P$40,$BJ39-3)),IF(OR($BI39=1,$BL39=1,$BH39&gt;0),IF($BI39=1,SUM('Final Calculation Sheet'!$P$4:$P$40),IF($BL39=1,SUM('Final Calculation Sheet'!$P$4:$P$40)-SUMIFS('Final Calculation Sheet'!$P$4:$P$40,$AZ$5:$AZ$41,10),SUMIFS('Final Calculation Sheet'!$P$4:$P$40,$AZ$5:$AZ$41,$BH39))),""))</f>
        <v>1,463</v>
      </c>
      <c r="R40" s="80" t="str">
        <f t="array" ref="R40">IF($BJ39&gt;0,IF(INDEX('Final Calculation Sheet'!$Q$4:$Q$40,$BJ39-3)="","",INDEX('Final Calculation Sheet'!$Q$4:$Q$40,$BJ39-3)),IF(OR($BI39=1,$BL39=1,$BH39&gt;0),"–",""))</f>
        <v>0%</v>
      </c>
      <c r="S40" s="78" t="str">
        <f t="array" ref="S40">IF($BJ39&gt;0,IF(INDEX('Final Calculation Sheet'!$R$4:$R$40,$BJ39-3)="","",INDEX('Final Calculation Sheet'!$R$4:$R$40,$BJ39-3)),IF(OR($BI39=1,$BL39=1,$BH39&gt;0),IF($BI39=1,SUM('Final Calculation Sheet'!$R$4:$R$40),IF($BL39=1,SUM('Final Calculation Sheet'!$R$4:$R$40)-SUMIFS('Final Calculation Sheet'!$R$4:$R$40,$AZ$5:$AZ$41,10),SUMIFS('Final Calculation Sheet'!$R$4:$R$40,$AZ$5:$AZ$41,$BH39))),""))</f>
        <v>0</v>
      </c>
      <c r="T40" s="78" t="str">
        <f t="array" ref="T40">IF($BJ39&gt;0,IF(INDEX('Final Calculation Sheet'!$S$4:$S$40,$BJ39-3)="","",INDEX('Final Calculation Sheet'!$S$4:$S$40,$BJ39-3)),IF(OR($BI39=1,$BL39=1,$BH39&gt;0),IF($BI39=1,SUM('Final Calculation Sheet'!$S$4:$S$40),IF($BL39=1,SUM('Final Calculation Sheet'!$S$4:$S$40)-SUMIFS('Final Calculation Sheet'!$S$4:$S$40,$AZ$5:$AZ$41,10),SUMIFS('Final Calculation Sheet'!$S$4:$S$40,$AZ$5:$AZ$41,$BH39))),""))</f>
        <v>63,531</v>
      </c>
      <c r="U40" s="78" t="str">
        <f t="array" ref="U40">IF($BJ39&gt;0,IF(INDEX('Final Calculation Sheet'!$T$4:$T$40,$BJ39-3)="","",INDEX('Final Calculation Sheet'!$T$4:$T$40,$BJ39-3)),IF(OR($BI39=1,$BL39=1,$BH39&gt;0),IF($BI39=1,SUM('Final Calculation Sheet'!$T$4:$T$40),IF($BL39=1,SUM('Final Calculation Sheet'!$T$4:$T$40)-SUMIFS('Final Calculation Sheet'!$T$4:$T$40,$AZ$5:$AZ$41,10),SUMIFS('Final Calculation Sheet'!$T$4:$T$40,$AZ$5:$AZ$41,$BH39))),""))</f>
        <v>13,500</v>
      </c>
      <c r="V40" s="81" t="str">
        <f t="array" ref="V40">IF($BJ39&gt;0,IF(INDEX('Final Calculation Sheet'!$U$4:$U$40,$BJ39-3)="","",INDEX('Final Calculation Sheet'!$U$4:$U$40,$BJ39-3)),IF(OR($BI39=1,$BL39=1,$BH39&gt;0),IF($BI39=1,SUM('Final Calculation Sheet'!$U$4:$U$40),IF($BL39=1,SUM('Final Calculation Sheet'!$U$4:$U$40)-SUMIFS('Final Calculation Sheet'!$U$4:$U$40,$AZ$5:$AZ$41,10),SUMIFS('Final Calculation Sheet'!$U$4:$U$40,$AZ$5:$AZ$41,$BH39))),""))</f>
        <v>  13,500 </v>
      </c>
      <c r="W40" s="78" t="str">
        <f t="array" ref="W40">IF($BJ39&gt;0,IF(INDEX('Final Calculation Sheet'!$V$4:$V$40,$BJ39-3)="","",INDEX('Final Calculation Sheet'!$V$4:$V$40,$BJ39-3)),IF(OR($BI39=1,$BL39=1,$BH39&gt;0),"–",""))</f>
        <v>11.08.2026</v>
      </c>
      <c r="X40" s="78" t="str">
        <f t="array" ref="X40">IF($BJ39&gt;0,IF(INDEX('Final Calculation Sheet'!$W$4:$W$40,$BJ39-3)="","",INDEX('Final Calculation Sheet'!$W$4:$W$40,$BJ39-3)),IF(OR($BI39=1,$BL39=1,$BH39&gt;0),IF($BI39=1,SUM('Final Calculation Sheet'!$W$4:$W$40),IF($BL39=1,SUM('Final Calculation Sheet'!$W$4:$W$40)-SUMIFS('Final Calculation Sheet'!$W$4:$W$40,$AZ$5:$AZ$41,10),SUMIFS('Final Calculation Sheet'!$W$4:$W$40,$AZ$5:$AZ$41,$BH39))),""))</f>
        <v>50,031</v>
      </c>
      <c r="Y40" s="78" t="str">
        <f t="array" ref="Y40">IF($BJ39&gt;0,IF(INDEX('Final Calculation Sheet'!$X$4:$X$40,$BJ39-3)="","",INDEX('Final Calculation Sheet'!$X$4:$X$40,$BJ39-3)),IF(OR($BI39=1,$BL39=1,$BH39&gt;0),IF($BI39=1,SUM('Final Calculation Sheet'!$X$4:$X$40),IF($BL39=1,SUM('Final Calculation Sheet'!$X$4:$X$40)-SUMIFS('Final Calculation Sheet'!$X$4:$X$40,$AZ$5:$AZ$41,10),SUMIFS('Final Calculation Sheet'!$X$4:$X$40,$AZ$5:$AZ$41,$BH39))),""))</f>
        <v/>
      </c>
      <c r="Z40" s="78" t="str">
        <f t="array" ref="Z40">IF($BJ39&gt;0,IF(INDEX('Final Calculation Sheet'!$Y$4:$Y$40,$BJ39-3)="","",INDEX('Final Calculation Sheet'!$Y$4:$Y$40,$BJ39-3)),IF(OR($BI39=1,$BL39=1,$BH39&gt;0),"–",""))</f>
        <v>0</v>
      </c>
      <c r="AA40" s="78" t="str">
        <f t="array" ref="AA40">IF($BJ39&gt;0,IF(INDEX('Final Calculation Sheet'!$Z$4:$Z$40,$BJ39-3)="","",INDEX('Final Calculation Sheet'!$Z$4:$Z$40,$BJ39-3)),IF(OR($BI39=1,$BL39=1,$BH39&gt;0),IF($BI39=1,SUM('Final Calculation Sheet'!$Z$4:$Z$40),IF($BL39=1,SUM('Final Calculation Sheet'!$Z$4:$Z$40)-SUMIFS('Final Calculation Sheet'!$Z$4:$Z$40,$AZ$5:$AZ$41,10),SUMIFS('Final Calculation Sheet'!$Z$4:$Z$40,$AZ$5:$AZ$41,$BH39))),""))</f>
        <v>1,912</v>
      </c>
      <c r="AB40" s="78" t="str">
        <f t="array" ref="AB40">IF($BJ39&gt;0,IF(INDEX('Final Calculation Sheet'!$AA$4:$AA$40,$BJ39-3)="","",INDEX('Final Calculation Sheet'!$AA$4:$AA$40,$BJ39-3)),IF(OR($BI39=1,$BL39=1,$BH39&gt;0),IF($BI39=1,SUM('Final Calculation Sheet'!$AA$4:$AA$40),IF($BL39=1,SUM('Final Calculation Sheet'!$AA$4:$AA$40)-SUMIFS('Final Calculation Sheet'!$AA$4:$AA$40,$AZ$5:$AZ$41,10),SUMIFS('Final Calculation Sheet'!$AA$4:$AA$40,$AZ$5:$AZ$41,$BH39))),""))</f>
        <v/>
      </c>
      <c r="AC40" s="78" t="str">
        <f t="array" ref="AC40">IF($BJ39&gt;0,IF(INDEX('Final Calculation Sheet'!$AB$4:$AB$40,$BJ39-3)="","",INDEX('Final Calculation Sheet'!$AB$4:$AB$40,$BJ39-3)),IF(OR($BI39=1,$BL39=1,$BH39&gt;0),"–",""))</f>
        <v/>
      </c>
      <c r="AD40" s="78" t="str">
        <f t="array" ref="AD40">IF($BJ39&gt;0,IF(INDEX('Final Calculation Sheet'!$AC$4:$AC$40,$BJ39-3)="","",INDEX('Final Calculation Sheet'!$AC$4:$AC$40,$BJ39-3)),IF(OR($BI39=1,$BL39=1,$BH39&gt;0),IF($BI39=1,SUM('Final Calculation Sheet'!$AC$4:$AC$40),IF($BL39=1,SUM('Final Calculation Sheet'!$AC$4:$AC$40)-SUMIFS('Final Calculation Sheet'!$AC$4:$AC$40,$AZ$5:$AZ$41,10),SUMIFS('Final Calculation Sheet'!$AC$4:$AC$40,$AZ$5:$AZ$41,$BH39))),""))</f>
        <v>13,500</v>
      </c>
      <c r="AE40" s="78" t="str">
        <f t="array" ref="AE40">IF($BJ39&gt;0,IF(INDEX('Final Calculation Sheet'!$AD$4:$AD$40,$BJ39-3)="","",INDEX('Final Calculation Sheet'!$AD$4:$AD$40,$BJ39-3)),IF(OR($BI39=1,$BL39=1,$BH39&gt;0),IF($BI39=1,SUM('Final Calculation Sheet'!$AD$4:$AD$40),IF($BL39=1,SUM('Final Calculation Sheet'!$AD$4:$AD$40)-SUMIFS('Final Calculation Sheet'!$AD$4:$AD$40,$AZ$5:$AZ$41,10),SUMIFS('Final Calculation Sheet'!$AD$4:$AD$40,$AZ$5:$AZ$41,$BH39))),""))</f>
        <v>50,031</v>
      </c>
      <c r="AF40" s="78" t="str">
        <f t="array" ref="AF40">IF($BJ39&gt;0,IF(INDEX('Final Calculation Sheet'!$AE$4:$AE$40,$BJ39-3)="","",INDEX('Final Calculation Sheet'!$AE$4:$AE$40,$BJ39-3)),IF(OR($BI39=1,$BL39=1,$BH39&gt;0),"–",""))</f>
        <v/>
      </c>
      <c r="AG40" s="82" t="str">
        <f t="array" ref="AG40">IF($BJ39&gt;0,IF(INDEX('Final Calculation Sheet'!$AF$4:$AF$40,$BJ39-3)="","",INDEX('Final Calculation Sheet'!$AF$4:$AF$40,$BJ39-3)),IF(OR($BI39=1,$BL39=1,$BH39&gt;0),"–",""))</f>
        <v/>
      </c>
      <c r="AH40" s="78" t="str">
        <f t="array" ref="AH40">IF($BJ39&gt;0,IF(INDEX('Final Calculation Sheet'!$AG$4:$AG$40,$BJ39-3)="","",INDEX('Final Calculation Sheet'!$AG$4:$AG$40,$BJ39-3)),IF(OR($BI39=1,$BL39=1,$BH39&gt;0),"–",""))</f>
        <v/>
      </c>
      <c r="AI40" s="83" t="str">
        <f t="array" ref="AI40">IF($BJ39&gt;0,IF(INDEX('Final Calculation Sheet'!$AD$4:$AD$40,$BJ39-3)="","",IF(INDEX('Final Calculation Sheet'!$AD$4:$AD$40,$BJ39-3)&lt;=0,"SETTLED","OUTSTANDING")),IF(OR($BI39=1,$BL39=1,$BH39&gt;0),IF(IF($BI39=1,SUM('Final Calculation Sheet'!$AD$4:$AD$40),IF($BL39=1,SUM('Final Calculation Sheet'!$AD$4:$AD$40)-SUMIFS('Final Calculation Sheet'!$AD$4:$AD$40,$AZ$5:$AZ$41,10),SUMIFS('Final Calculation Sheet'!$AD$4:$AD$40,$AZ$5:$AZ$41,$BH39)))&lt;=0,"ALL SETTLED","OUTSTANDING"),""))</f>
        <v>OUTSTANDING</v>
      </c>
      <c r="AK40" t="str">
        <f>IF($F$3="Lot No.",'Final Calculation Sheet'!$F$39,IF($F$3="Buyer",'Final Calculation Sheet'!$G$39,IF($F$3="Lot Name",'Final Calculation Sheet'!$B$39,IF($F$3="Bid Sheet",'Final Calculation Sheet'!$D$39,IF($F$3="Unit",'Final Calculation Sheet'!$E$39,'Final Calculation Sheet'!$F$39&amp;" "&amp;'Final Calculation Sheet'!$G$39&amp;" "&amp;'Final Calculation Sheet'!$B$39)))))</f>
        <v>2089 S M ENTERPRISES Scrap of 66 kv TBC C &amp; R Panel</v>
      </c>
      <c r="AM40" t="str">
        <f t="shared" si="3"/>
        <v>0</v>
      </c>
      <c r="AZ40" t="str">
        <f t="shared" si="4"/>
        <v>10</v>
      </c>
      <c r="BA40" t="str">
        <f t="shared" si="5"/>
        <v>35</v>
      </c>
      <c r="BB40" t="str">
        <f t="shared" si="6"/>
        <v>42</v>
      </c>
      <c r="BC40">
        <v>39.0</v>
      </c>
      <c r="BH40" t="str">
        <f>IFERROR(MATCH(40,$BF$4:$BF$13,0),0)</f>
        <v>0</v>
      </c>
      <c r="BI40" t="str">
        <f>IF(40=$BG$5,1,0)</f>
        <v>0</v>
      </c>
      <c r="BJ40" t="str">
        <f t="array" ref="BJ40">IF(OR($BH40&gt;0,$BI40=1,$BL40=1),0,IFERROR(INDEX($BC$5:$BC$41,MATCH(40,$BB$5:$BB$41,0)),0))</f>
        <v>37</v>
      </c>
      <c r="BK40" t="str">
        <f t="array" ref="BK40">IF($BJ40&gt;0,IF(INDEX($AZ$5:$AZ$41,MATCH(40,$BB$5:$BB$41,0))=10,1,0),IF($BH40=10,1,0))</f>
        <v>1</v>
      </c>
      <c r="BL40" t="str">
        <f>IF(40=$BG$4,1,0)</f>
        <v>0</v>
      </c>
      <c r="BM40" t="str">
        <f t="shared" si="8"/>
        <v>1</v>
      </c>
      <c r="BN40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Sheet'!$F$39)&amp;"",""))))&gt;0))</f>
        <v>1</v>
      </c>
      <c r="BO40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Sheet'!$G$39)&amp;"",""))))&gt;0))</f>
        <v>1</v>
      </c>
      <c r="BP40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Sheet'!$B$39)&amp;"",""))))&gt;0))</f>
        <v>1</v>
      </c>
      <c r="BQ40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Sheet'!$D$39)&amp;"",""))))&gt;0))</f>
        <v>1</v>
      </c>
      <c r="BR40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Sheet'!$A$39)&amp;"",""))))&gt;0))</f>
        <v>1</v>
      </c>
      <c r="BS40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Sheet'!$E$39)&amp;"",""))))&gt;0))</f>
        <v>1</v>
      </c>
      <c r="BT40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Sheet'!$C$39)&amp;"",""))))&gt;0))</f>
        <v>1</v>
      </c>
      <c r="BU40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Sheet'!$H$39)&amp;"",""))))&gt;0))</f>
        <v>1</v>
      </c>
      <c r="BV40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Sheet'!$I$39)&amp;"",""))))&gt;0))</f>
        <v>1</v>
      </c>
      <c r="BW40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Sheet'!$J$39)&amp;"",""))))&gt;0))</f>
        <v>1</v>
      </c>
      <c r="BX40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Sheet'!$K$39)&amp;"",""))))&gt;0))</f>
        <v>1</v>
      </c>
      <c r="BY40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Sheet'!$L$39)&amp;"",""))))&gt;0))</f>
        <v>1</v>
      </c>
      <c r="BZ40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Sheet'!$M$39)&amp;"",""))))&gt;0))</f>
        <v>1</v>
      </c>
      <c r="CA40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Sheet'!$N$39)&amp;"",""))))&gt;0))</f>
        <v>1</v>
      </c>
      <c r="CB40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Sheet'!$O$39)&amp;"",""))))&gt;0))</f>
        <v>1</v>
      </c>
      <c r="CC40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Sheet'!$P$39)&amp;"",""))))&gt;0))</f>
        <v>1</v>
      </c>
      <c r="CD40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Sheet'!$Q$39)&amp;"",""))))&gt;0))</f>
        <v>1</v>
      </c>
      <c r="CE40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Sheet'!$R$39)&amp;"",""))))&gt;0))</f>
        <v>1</v>
      </c>
      <c r="CF40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Sheet'!$S$39)&amp;"",""))))&gt;0))</f>
        <v>1</v>
      </c>
      <c r="CG40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Sheet'!$T$39)&amp;"",""))))&gt;0))</f>
        <v>1</v>
      </c>
      <c r="CH40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Sheet'!$U$39)&amp;"",""))))&gt;0))</f>
        <v>1</v>
      </c>
      <c r="CI40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Sheet'!$V$39)&amp;"",""))))&gt;0))</f>
        <v>1</v>
      </c>
      <c r="CJ40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Sheet'!$W$39)&amp;"",""))))&gt;0))</f>
        <v>1</v>
      </c>
      <c r="CK40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Sheet'!$X$39)&amp;"",""))))&gt;0))</f>
        <v>1</v>
      </c>
      <c r="CL40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Sheet'!$Y$39)&amp;"",""))))&gt;0))</f>
        <v>1</v>
      </c>
      <c r="CM40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Sheet'!$Z$39)&amp;"",""))))&gt;0))</f>
        <v>1</v>
      </c>
      <c r="CN40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Sheet'!$AA$39)&amp;"",""))))&gt;0))</f>
        <v>1</v>
      </c>
      <c r="CO40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Sheet'!$AB$39)&amp;"",""))))&gt;0))</f>
        <v>1</v>
      </c>
      <c r="CP40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Sheet'!$AC$39)&amp;"",""))))&gt;0))</f>
        <v>1</v>
      </c>
      <c r="CQ40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Sheet'!$AD$39)&amp;"",""))))&gt;0))</f>
        <v>1</v>
      </c>
      <c r="CR40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Sheet'!$AE$39)&amp;"",""))))&gt;0))</f>
        <v>1</v>
      </c>
      <c r="CS40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Sheet'!$AF$39)&amp;"",""))))&gt;0))</f>
        <v>1</v>
      </c>
      <c r="CT40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Sheet'!$AG$39)&amp;"",""))))&gt;0))</f>
        <v>1</v>
      </c>
      <c r="CU40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Sheet'!$AD$39&lt;=0,"SETTLED","OUTSTANDING"))&amp;"",""))))&gt;0))</f>
        <v>1</v>
      </c>
    </row>
    <row r="41" ht="15.0" customHeight="1">
      <c r="A41" s="75" t="str">
        <f t="array" ref="A41">IF($BJ40&gt;0,INDEX($BA$5:$BA$41,MATCH(40,$BB$5:$BB$41,0)),IF(OR($BI40=1,$BL40=1,$BH40&gt;0),"∑",""))</f>
        <v>33</v>
      </c>
      <c r="B41" s="76" t="str">
        <f t="array" ref="B41">IF($BJ40&gt;0,IF(INDEX('Final Calculation Sheet'!$F$4:$F$40,$BJ40-3)="","",INDEX('Final Calculation Sheet'!$F$4:$F$40,$BJ40-3)),"")</f>
        <v>2071</v>
      </c>
      <c r="C41" s="76" t="str">
        <f t="array" ref="C41">IF($BJ40&gt;0,IF(INDEX('Final Calculation Sheet'!$G$4:$G$40,$BJ40-3)="","",INDEX('Final Calculation Sheet'!$G$4:$G$40,$BJ40-3)),IF(OR($BI40=1,$BL40=1,$BH40&gt;0),IF($BI40=1,37,IF($BL40=1,37-INDEX($BD$4:$BD$13,10),INDEX($BD$4:$BD$13,$BH40)))&amp;" lot(s)",""))</f>
        <v>NATIONAL ENTERPRISES</v>
      </c>
      <c r="D41" s="77" t="str">
        <f t="array" ref="D41">IF($BJ40&gt;0,IF(INDEX('Final Calculation Sheet'!$B$4:$B$40,$BJ40-3)="","",INDEX('Final Calculation Sheet'!$B$4:$B$40,$BJ40-3)),IF(OR($BI40=1,$BL40=1,$BH40&gt;0),IF($BI40=1,"GRAND TOTAL  —  matching + remaining",IF($BL40=1,"TOTAL MATCHED  —  every group together",IF($BH40=10,"REMAINING  —  did not match the search",IF($BH40=9,IF(COUNTIF($A$4:$AI$4,"&lt;&gt;")&gt;0,"FILTERED LOTS  —  column fields","ALL LOTS  —  nothing typed in the box"),"GROUP "&amp;$BH40&amp;" TOTAL  —  lots matching  "&amp;INDEX($AR$6:$AY$6,$BH40))))),""))</f>
        <v>Scrap of 66 KV Isolater</v>
      </c>
      <c r="E41" s="77" t="str">
        <f t="array" ref="E41">IF($BJ40&gt;0,IF(INDEX('Final Calculation Sheet'!$D$4:$D$40,$BJ40-3)="","",INDEX('Final Calculation Sheet'!$D$4:$D$40,$BJ40-3)),IF(OR($BI40=1,$BL40=1,$BH40&gt;0),"–",""))</f>
        <v>21980</v>
      </c>
      <c r="F41" s="77" t="str">
        <f t="array" ref="F41">IF($BJ40&gt;0,IF(INDEX('Final Calculation Sheet'!$A$4:$A$40,$BJ40-3)="","",INDEX('Final Calculation Sheet'!$A$4:$A$40,$BJ40-3)),IF(OR($BI40=1,$BL40=1,$BH40&gt;0),IF($BI40=1,SUM('Final Calculation Sheet'!$A$4:$A$40),IF($BL40=1,SUM('Final Calculation Sheet'!$A$4:$A$40)-SUMIFS('Final Calculation Sheet'!$A$4:$A$40,$AZ$5:$AZ$41,10),SUMIFS('Final Calculation Sheet'!$A$4:$A$40,$AZ$5:$AZ$41,$BH40))),""))</f>
        <v>3</v>
      </c>
      <c r="G41" s="77" t="str">
        <f t="array" ref="G41">IF($BJ40&gt;0,IF(INDEX('Final Calculation Sheet'!$E$4:$E$40,$BJ40-3)="","",INDEX('Final Calculation Sheet'!$E$4:$E$40,$BJ40-3)),IF(OR($BI40=1,$BL40=1,$BH40&gt;0),"–",""))</f>
        <v>NO</v>
      </c>
      <c r="H41" s="78" t="str">
        <f t="array" ref="H41">IF($BJ40&gt;0,IF(INDEX('Final Calculation Sheet'!$C$4:$C$40,$BJ40-3)="","",INDEX('Final Calculation Sheet'!$C$4:$C$40,$BJ40-3)),IF(OR($BI40=1,$BL40=1,$BH40&gt;0),"–",""))</f>
        <v>25,001</v>
      </c>
      <c r="I41" s="78" t="str">
        <f t="array" ref="I41">IF($BJ40&gt;0,IF(INDEX('Final Calculation Sheet'!$H$4:$H$40,$BJ40-3)="","",INDEX('Final Calculation Sheet'!$H$4:$H$40,$BJ40-3)),IF(OR($BI40=1,$BL40=1,$BH40&gt;0),IF($BI40=1,SUM('Final Calculation Sheet'!$H$4:$H$40),IF($BL40=1,SUM('Final Calculation Sheet'!$H$4:$H$40)-SUMIFS('Final Calculation Sheet'!$H$4:$H$40,$AZ$5:$AZ$41,10),SUMIFS('Final Calculation Sheet'!$H$4:$H$40,$AZ$5:$AZ$41,$BH40))),""))</f>
        <v>75,003</v>
      </c>
      <c r="J41" s="78" t="str">
        <f t="array" ref="J41">IF($BJ40&gt;0,IF(INDEX('Final Calculation Sheet'!$I$4:$I$40,$BJ40-3)="","",INDEX('Final Calculation Sheet'!$I$4:$I$40,$BJ40-3)),IF(OR($BI40=1,$BL40=1,$BH40&gt;0),IF($BI40=1,SUM('Final Calculation Sheet'!$I$4:$I$40),IF($BL40=1,SUM('Final Calculation Sheet'!$I$4:$I$40)-SUMIFS('Final Calculation Sheet'!$I$4:$I$40,$AZ$5:$AZ$41,10),SUMIFS('Final Calculation Sheet'!$I$4:$I$40,$AZ$5:$AZ$41,$BH40))),""))</f>
        <v>13,501</v>
      </c>
      <c r="K41" s="78" t="str">
        <f t="array" ref="K41">IF($BJ40&gt;0,IF(INDEX('Final Calculation Sheet'!$J$4:$J$40,$BJ40-3)="","",INDEX('Final Calculation Sheet'!$J$4:$J$40,$BJ40-3)),IF(OR($BI40=1,$BL40=1,$BH40&gt;0),IF($BI40=1,SUM('Final Calculation Sheet'!$J$4:$J$40),IF($BL40=1,SUM('Final Calculation Sheet'!$J$4:$J$40)-SUMIFS('Final Calculation Sheet'!$J$4:$J$40,$AZ$5:$AZ$41,10),SUMIFS('Final Calculation Sheet'!$J$4:$J$40,$AZ$5:$AZ$41,$BH40))),""))</f>
        <v>88,504</v>
      </c>
      <c r="L41" s="78" t="str">
        <f t="array" ref="L41">IF($BJ40&gt;0,IF(INDEX('Final Calculation Sheet'!$K$4:$K$40,$BJ40-3)="","",INDEX('Final Calculation Sheet'!$K$4:$K$40,$BJ40-3)),IF(OR($BI40=1,$BL40=1,$BH40&gt;0),IF($BI40=1,SUM('Final Calculation Sheet'!$K$4:$K$40),IF($BL40=1,SUM('Final Calculation Sheet'!$K$4:$K$40)-SUMIFS('Final Calculation Sheet'!$K$4:$K$40,$AZ$5:$AZ$41,10),SUMIFS('Final Calculation Sheet'!$K$4:$K$40,$AZ$5:$AZ$41,$BH40))),""))</f>
        <v>1,770</v>
      </c>
      <c r="M41" s="78" t="str">
        <f t="array" ref="M41">IF($BJ40&gt;0,IF(INDEX('Final Calculation Sheet'!$L$4:$L$40,$BJ40-3)="","",INDEX('Final Calculation Sheet'!$L$4:$L$40,$BJ40-3)),IF(OR($BI40=1,$BL40=1,$BH40&gt;0),IF($BI40=1,SUM('Final Calculation Sheet'!$L$4:$L$40),IF($BL40=1,SUM('Final Calculation Sheet'!$L$4:$L$40)-SUMIFS('Final Calculation Sheet'!$L$4:$L$40,$AZ$5:$AZ$41,10),SUMIFS('Final Calculation Sheet'!$L$4:$L$40,$AZ$5:$AZ$41,$BH40))),""))</f>
        <v>75</v>
      </c>
      <c r="N41" s="78" t="str">
        <f t="array" ref="N41">IF($BJ40&gt;0,IF(INDEX('Final Calculation Sheet'!$M$4:$M$40,$BJ40-3)="","",INDEX('Final Calculation Sheet'!$M$4:$M$40,$BJ40-3)),IF(OR($BI40=1,$BL40=1,$BH40&gt;0),IF($BI40=1,SUM('Final Calculation Sheet'!$M$4:$M$40),IF($BL40=1,SUM('Final Calculation Sheet'!$M$4:$M$40)-SUMIFS('Final Calculation Sheet'!$M$4:$M$40,$AZ$5:$AZ$41,10),SUMIFS('Final Calculation Sheet'!$M$4:$M$40,$AZ$5:$AZ$41,$BH40))),""))</f>
        <v>1,991</v>
      </c>
      <c r="O41" s="79" t="str">
        <f t="array" ref="O41">IF($BJ40&gt;0,IF(INDEX('Final Calculation Sheet'!$N$4:$N$40,$BJ40-3)="","",INDEX('Final Calculation Sheet'!$N$4:$N$40,$BJ40-3)),IF(OR($BI40=1,$BL40=1,$BH40&gt;0),IF($BI40=1,SUM('Final Calculation Sheet'!$N$4:$N$40),IF($BL40=1,SUM('Final Calculation Sheet'!$N$4:$N$40)-SUMIFS('Final Calculation Sheet'!$N$4:$N$40,$AZ$5:$AZ$41,10),SUMIFS('Final Calculation Sheet'!$N$4:$N$40,$AZ$5:$AZ$41,$BH40))),""))</f>
        <v>34</v>
      </c>
      <c r="P41" s="78" t="str">
        <f t="array" ref="P41">IF($BJ40&gt;0,IF(INDEX('Final Calculation Sheet'!$O$4:$O$40,$BJ40-3)="","",INDEX('Final Calculation Sheet'!$O$4:$O$40,$BJ40-3)),IF(OR($BI40=1,$BL40=1,$BH40&gt;0),IF($BI40=1,SUM('Final Calculation Sheet'!$O$4:$O$40),IF($BL40=1,SUM('Final Calculation Sheet'!$O$4:$O$40)-SUMIFS('Final Calculation Sheet'!$O$4:$O$40,$AZ$5:$AZ$41,10),SUMIFS('Final Calculation Sheet'!$O$4:$O$40,$AZ$5:$AZ$41,$BH40))),""))</f>
        <v>1,958</v>
      </c>
      <c r="Q41" s="78" t="str">
        <f t="array" ref="Q41">IF($BJ40&gt;0,IF(INDEX('Final Calculation Sheet'!$P$4:$P$40,$BJ40-3)="","",INDEX('Final Calculation Sheet'!$P$4:$P$40,$BJ40-3)),IF(OR($BI40=1,$BL40=1,$BH40&gt;0),IF($BI40=1,SUM('Final Calculation Sheet'!$P$4:$P$40),IF($BL40=1,SUM('Final Calculation Sheet'!$P$4:$P$40)-SUMIFS('Final Calculation Sheet'!$P$4:$P$40,$AZ$5:$AZ$41,10),SUMIFS('Final Calculation Sheet'!$P$4:$P$40,$AZ$5:$AZ$41,$BH40))),""))</f>
        <v>2,033</v>
      </c>
      <c r="R41" s="80" t="str">
        <f t="array" ref="R41">IF($BJ40&gt;0,IF(INDEX('Final Calculation Sheet'!$Q$4:$Q$40,$BJ40-3)="","",INDEX('Final Calculation Sheet'!$Q$4:$Q$40,$BJ40-3)),IF(OR($BI40=1,$BL40=1,$BH40&gt;0),"–",""))</f>
        <v>0%</v>
      </c>
      <c r="S41" s="78" t="str">
        <f t="array" ref="S41">IF($BJ40&gt;0,IF(INDEX('Final Calculation Sheet'!$R$4:$R$40,$BJ40-3)="","",INDEX('Final Calculation Sheet'!$R$4:$R$40,$BJ40-3)),IF(OR($BI40=1,$BL40=1,$BH40&gt;0),IF($BI40=1,SUM('Final Calculation Sheet'!$R$4:$R$40),IF($BL40=1,SUM('Final Calculation Sheet'!$R$4:$R$40)-SUMIFS('Final Calculation Sheet'!$R$4:$R$40,$AZ$5:$AZ$41,10),SUMIFS('Final Calculation Sheet'!$R$4:$R$40,$AZ$5:$AZ$41,$BH40))),""))</f>
        <v>0</v>
      </c>
      <c r="T41" s="78" t="str">
        <f t="array" ref="T41">IF($BJ40&gt;0,IF(INDEX('Final Calculation Sheet'!$S$4:$S$40,$BJ40-3)="","",INDEX('Final Calculation Sheet'!$S$4:$S$40,$BJ40-3)),IF(OR($BI40=1,$BL40=1,$BH40&gt;0),IF($BI40=1,SUM('Final Calculation Sheet'!$S$4:$S$40),IF($BL40=1,SUM('Final Calculation Sheet'!$S$4:$S$40)-SUMIFS('Final Calculation Sheet'!$S$4:$S$40,$AZ$5:$AZ$41,10),SUMIFS('Final Calculation Sheet'!$S$4:$S$40,$AZ$5:$AZ$41,$BH40))),""))</f>
        <v>88,241</v>
      </c>
      <c r="U41" s="78" t="str">
        <f t="array" ref="U41">IF($BJ40&gt;0,IF(INDEX('Final Calculation Sheet'!$T$4:$T$40,$BJ40-3)="","",INDEX('Final Calculation Sheet'!$T$4:$T$40,$BJ40-3)),IF(OR($BI40=1,$BL40=1,$BH40&gt;0),IF($BI40=1,SUM('Final Calculation Sheet'!$T$4:$T$40),IF($BL40=1,SUM('Final Calculation Sheet'!$T$4:$T$40)-SUMIFS('Final Calculation Sheet'!$T$4:$T$40,$AZ$5:$AZ$41,10),SUMIFS('Final Calculation Sheet'!$T$4:$T$40,$AZ$5:$AZ$41,$BH40))),""))</f>
        <v>18,751</v>
      </c>
      <c r="V41" s="81" t="str">
        <f t="array" ref="V41">IF($BJ40&gt;0,IF(INDEX('Final Calculation Sheet'!$U$4:$U$40,$BJ40-3)="","",INDEX('Final Calculation Sheet'!$U$4:$U$40,$BJ40-3)),IF(OR($BI40=1,$BL40=1,$BH40&gt;0),IF($BI40=1,SUM('Final Calculation Sheet'!$U$4:$U$40),IF($BL40=1,SUM('Final Calculation Sheet'!$U$4:$U$40)-SUMIFS('Final Calculation Sheet'!$U$4:$U$40,$AZ$5:$AZ$41,10),SUMIFS('Final Calculation Sheet'!$U$4:$U$40,$AZ$5:$AZ$41,$BH40))),""))</f>
        <v>  18,751 </v>
      </c>
      <c r="W41" s="78" t="str">
        <f t="array" ref="W41">IF($BJ40&gt;0,IF(INDEX('Final Calculation Sheet'!$V$4:$V$40,$BJ40-3)="","",INDEX('Final Calculation Sheet'!$V$4:$V$40,$BJ40-3)),IF(OR($BI40=1,$BL40=1,$BH40&gt;0),"–",""))</f>
        <v>13.08.2026</v>
      </c>
      <c r="X41" s="78" t="str">
        <f t="array" ref="X41">IF($BJ40&gt;0,IF(INDEX('Final Calculation Sheet'!$W$4:$W$40,$BJ40-3)="","",INDEX('Final Calculation Sheet'!$W$4:$W$40,$BJ40-3)),IF(OR($BI40=1,$BL40=1,$BH40&gt;0),IF($BI40=1,SUM('Final Calculation Sheet'!$W$4:$W$40),IF($BL40=1,SUM('Final Calculation Sheet'!$W$4:$W$40)-SUMIFS('Final Calculation Sheet'!$W$4:$W$40,$AZ$5:$AZ$41,10),SUMIFS('Final Calculation Sheet'!$W$4:$W$40,$AZ$5:$AZ$41,$BH40))),""))</f>
        <v>69,490</v>
      </c>
      <c r="Y41" s="78" t="str">
        <f t="array" ref="Y41">IF($BJ40&gt;0,IF(INDEX('Final Calculation Sheet'!$X$4:$X$40,$BJ40-3)="","",INDEX('Final Calculation Sheet'!$X$4:$X$40,$BJ40-3)),IF(OR($BI40=1,$BL40=1,$BH40&gt;0),IF($BI40=1,SUM('Final Calculation Sheet'!$X$4:$X$40),IF($BL40=1,SUM('Final Calculation Sheet'!$X$4:$X$40)-SUMIFS('Final Calculation Sheet'!$X$4:$X$40,$AZ$5:$AZ$41,10),SUMIFS('Final Calculation Sheet'!$X$4:$X$40,$AZ$5:$AZ$41,$BH40))),""))</f>
        <v>69,491</v>
      </c>
      <c r="Z41" s="78" t="str">
        <f t="array" ref="Z41">IF($BJ40&gt;0,IF(INDEX('Final Calculation Sheet'!$Y$4:$Y$40,$BJ40-3)="","",INDEX('Final Calculation Sheet'!$Y$4:$Y$40,$BJ40-3)),IF(OR($BI40=1,$BL40=1,$BH40&gt;0),"–",""))</f>
        <v>24.08.2026</v>
      </c>
      <c r="AA41" s="78" t="str">
        <f t="array" ref="AA41">IF($BJ40&gt;0,IF(INDEX('Final Calculation Sheet'!$Z$4:$Z$40,$BJ40-3)="","",INDEX('Final Calculation Sheet'!$Z$4:$Z$40,$BJ40-3)),IF(OR($BI40=1,$BL40=1,$BH40&gt;0),IF($BI40=1,SUM('Final Calculation Sheet'!$Z$4:$Z$40),IF($BL40=1,SUM('Final Calculation Sheet'!$Z$4:$Z$40)-SUMIFS('Final Calculation Sheet'!$Z$4:$Z$40,$AZ$5:$AZ$41,10),SUMIFS('Final Calculation Sheet'!$Z$4:$Z$40,$AZ$5:$AZ$41,$BH40))),""))</f>
        <v>0</v>
      </c>
      <c r="AB41" s="78" t="str">
        <f t="array" ref="AB41">IF($BJ40&gt;0,IF(INDEX('Final Calculation Sheet'!$AA$4:$AA$40,$BJ40-3)="","",INDEX('Final Calculation Sheet'!$AA$4:$AA$40,$BJ40-3)),IF(OR($BI40=1,$BL40=1,$BH40&gt;0),IF($BI40=1,SUM('Final Calculation Sheet'!$AA$4:$AA$40),IF($BL40=1,SUM('Final Calculation Sheet'!$AA$4:$AA$40)-SUMIFS('Final Calculation Sheet'!$AA$4:$AA$40,$AZ$5:$AZ$41,10),SUMIFS('Final Calculation Sheet'!$AA$4:$AA$40,$AZ$5:$AZ$41,$BH40))),""))</f>
        <v/>
      </c>
      <c r="AC41" s="78" t="str">
        <f t="array" ref="AC41">IF($BJ40&gt;0,IF(INDEX('Final Calculation Sheet'!$AB$4:$AB$40,$BJ40-3)="","",INDEX('Final Calculation Sheet'!$AB$4:$AB$40,$BJ40-3)),IF(OR($BI40=1,$BL40=1,$BH40&gt;0),"–",""))</f>
        <v/>
      </c>
      <c r="AD41" s="78" t="str">
        <f t="array" ref="AD41">IF($BJ40&gt;0,IF(INDEX('Final Calculation Sheet'!$AC$4:$AC$40,$BJ40-3)="","",INDEX('Final Calculation Sheet'!$AC$4:$AC$40,$BJ40-3)),IF(OR($BI40=1,$BL40=1,$BH40&gt;0),IF($BI40=1,SUM('Final Calculation Sheet'!$AC$4:$AC$40),IF($BL40=1,SUM('Final Calculation Sheet'!$AC$4:$AC$40)-SUMIFS('Final Calculation Sheet'!$AC$4:$AC$40,$AZ$5:$AZ$41,10),SUMIFS('Final Calculation Sheet'!$AC$4:$AC$40,$AZ$5:$AZ$41,$BH40))),""))</f>
        <v>88,242</v>
      </c>
      <c r="AE41" s="78" t="str">
        <f t="array" ref="AE41">IF($BJ40&gt;0,IF(INDEX('Final Calculation Sheet'!$AD$4:$AD$40,$BJ40-3)="","",INDEX('Final Calculation Sheet'!$AD$4:$AD$40,$BJ40-3)),IF(OR($BI40=1,$BL40=1,$BH40&gt;0),IF($BI40=1,SUM('Final Calculation Sheet'!$AD$4:$AD$40),IF($BL40=1,SUM('Final Calculation Sheet'!$AD$4:$AD$40)-SUMIFS('Final Calculation Sheet'!$AD$4:$AD$40,$AZ$5:$AZ$41,10),SUMIFS('Final Calculation Sheet'!$AD$4:$AD$40,$AZ$5:$AZ$41,$BH40))),""))</f>
        <v>(1)</v>
      </c>
      <c r="AF41" s="78" t="str">
        <f t="array" ref="AF41">IF($BJ40&gt;0,IF(INDEX('Final Calculation Sheet'!$AE$4:$AE$40,$BJ40-3)="","",INDEX('Final Calculation Sheet'!$AE$4:$AE$40,$BJ40-3)),IF(OR($BI40=1,$BL40=1,$BH40&gt;0),"–",""))</f>
        <v>DR2640100040</v>
      </c>
      <c r="AG41" s="82" t="str">
        <f t="array" ref="AG41">IF($BJ40&gt;0,IF(INDEX('Final Calculation Sheet'!$AF$4:$AF$40,$BJ40-3)="","",INDEX('Final Calculation Sheet'!$AF$4:$AF$40,$BJ40-3)),IF(OR($BI40=1,$BL40=1,$BH40&gt;0),"–",""))</f>
        <v>1800003314</v>
      </c>
      <c r="AH41" s="78" t="str">
        <f t="array" ref="AH41">IF($BJ40&gt;0,IF(INDEX('Final Calculation Sheet'!$AG$4:$AG$40,$BJ40-3)="","",INDEX('Final Calculation Sheet'!$AG$4:$AG$40,$BJ40-3)),IF(OR($BI40=1,$BL40=1,$BH40&gt;0),"–",""))</f>
        <v>27.08.2026</v>
      </c>
      <c r="AI41" s="83" t="str">
        <f t="array" ref="AI41">IF($BJ40&gt;0,IF(INDEX('Final Calculation Sheet'!$AD$4:$AD$40,$BJ40-3)="","",IF(INDEX('Final Calculation Sheet'!$AD$4:$AD$40,$BJ40-3)&lt;=0,"SETTLED","OUTSTANDING")),IF(OR($BI40=1,$BL40=1,$BH40&gt;0),IF(IF($BI40=1,SUM('Final Calculation Sheet'!$AD$4:$AD$40),IF($BL40=1,SUM('Final Calculation Sheet'!$AD$4:$AD$40)-SUMIFS('Final Calculation Sheet'!$AD$4:$AD$40,$AZ$5:$AZ$41,10),SUMIFS('Final Calculation Sheet'!$AD$4:$AD$40,$AZ$5:$AZ$41,$BH40)))&lt;=0,"ALL SETTLED","OUTSTANDING"),""))</f>
        <v>SETTLED</v>
      </c>
      <c r="AK41" t="str">
        <f>IF($F$3="Lot No.",'Final Calculation Sheet'!$F$40,IF($F$3="Buyer",'Final Calculation Sheet'!$G$40,IF($F$3="Lot Name",'Final Calculation Sheet'!$B$40,IF($F$3="Bid Sheet",'Final Calculation Sheet'!$D$40,IF($F$3="Unit",'Final Calculation Sheet'!$E$40,'Final Calculation Sheet'!$F$40&amp;" "&amp;'Final Calculation Sheet'!$G$40&amp;" "&amp;'Final Calculation Sheet'!$B$40)))))</f>
        <v>2091 S M ENTERPRISES Scrap of 132 KV CT</v>
      </c>
      <c r="AM41" t="str">
        <f t="shared" si="3"/>
        <v>0</v>
      </c>
      <c r="AZ41" t="str">
        <f t="shared" si="4"/>
        <v>10</v>
      </c>
      <c r="BA41" t="str">
        <f t="shared" si="5"/>
        <v>36</v>
      </c>
      <c r="BB41" t="str">
        <f t="shared" si="6"/>
        <v>43</v>
      </c>
      <c r="BC41">
        <v>40.0</v>
      </c>
      <c r="BH41" t="str">
        <f>IFERROR(MATCH(41,$BF$4:$BF$13,0),0)</f>
        <v>0</v>
      </c>
      <c r="BI41" t="str">
        <f>IF(41=$BG$5,1,0)</f>
        <v>0</v>
      </c>
      <c r="BJ41" t="str">
        <f t="array" ref="BJ41">IF(OR($BH41&gt;0,$BI41=1,$BL41=1),0,IFERROR(INDEX($BC$5:$BC$41,MATCH(41,$BB$5:$BB$41,0)),0))</f>
        <v>38</v>
      </c>
      <c r="BK41" t="str">
        <f t="array" ref="BK41">IF($BJ41&gt;0,IF(INDEX($AZ$5:$AZ$41,MATCH(41,$BB$5:$BB$41,0))=10,1,0),IF($BH41=10,1,0))</f>
        <v>1</v>
      </c>
      <c r="BL41" t="str">
        <f>IF(41=$BG$4,1,0)</f>
        <v>0</v>
      </c>
      <c r="BM41" t="str">
        <f t="shared" si="8"/>
        <v>1</v>
      </c>
      <c r="BN41" t="str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Sheet'!$F$40)&amp;"",""))))&gt;0))</f>
        <v>1</v>
      </c>
      <c r="BO41" t="str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Sheet'!$G$40)&amp;"",""))))&gt;0))</f>
        <v>1</v>
      </c>
      <c r="BP41" t="str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Sheet'!$B$40)&amp;"",""))))&gt;0))</f>
        <v>1</v>
      </c>
      <c r="BQ41" t="str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Sheet'!$D$40)&amp;"",""))))&gt;0))</f>
        <v>1</v>
      </c>
      <c r="BR41" t="str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Sheet'!$A$40)&amp;"",""))))&gt;0))</f>
        <v>1</v>
      </c>
      <c r="BS41" t="str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Sheet'!$E$40)&amp;"",""))))&gt;0))</f>
        <v>1</v>
      </c>
      <c r="BT41" t="str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Sheet'!$C$40)&amp;"",""))))&gt;0))</f>
        <v>1</v>
      </c>
      <c r="BU41" t="str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Sheet'!$H$40)&amp;"",""))))&gt;0))</f>
        <v>1</v>
      </c>
      <c r="BV41" t="str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Sheet'!$I$40)&amp;"",""))))&gt;0))</f>
        <v>1</v>
      </c>
      <c r="BW41" t="str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Sheet'!$J$40)&amp;"",""))))&gt;0))</f>
        <v>1</v>
      </c>
      <c r="BX41" t="str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Sheet'!$K$40)&amp;"",""))))&gt;0))</f>
        <v>1</v>
      </c>
      <c r="BY41" t="str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Sheet'!$L$40)&amp;"",""))))&gt;0))</f>
        <v>1</v>
      </c>
      <c r="BZ41" t="str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Sheet'!$M$40)&amp;"",""))))&gt;0))</f>
        <v>1</v>
      </c>
      <c r="CA41" t="str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Sheet'!$N$40)&amp;"",""))))&gt;0))</f>
        <v>1</v>
      </c>
      <c r="CB41" t="str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Sheet'!$O$40)&amp;"",""))))&gt;0))</f>
        <v>1</v>
      </c>
      <c r="CC41" t="str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Sheet'!$P$40)&amp;"",""))))&gt;0))</f>
        <v>1</v>
      </c>
      <c r="CD41" t="str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Sheet'!$Q$40)&amp;"",""))))&gt;0))</f>
        <v>1</v>
      </c>
      <c r="CE41" t="str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Sheet'!$R$40)&amp;"",""))))&gt;0))</f>
        <v>1</v>
      </c>
      <c r="CF41" t="str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Sheet'!$S$40)&amp;"",""))))&gt;0))</f>
        <v>1</v>
      </c>
      <c r="CG41" t="str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Sheet'!$T$40)&amp;"",""))))&gt;0))</f>
        <v>1</v>
      </c>
      <c r="CH41" t="str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Sheet'!$U$40)&amp;"",""))))&gt;0))</f>
        <v>1</v>
      </c>
      <c r="CI41" t="str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Sheet'!$V$40)&amp;"",""))))&gt;0))</f>
        <v>1</v>
      </c>
      <c r="CJ41" t="str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Sheet'!$W$40)&amp;"",""))))&gt;0))</f>
        <v>1</v>
      </c>
      <c r="CK41" t="str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Sheet'!$X$40)&amp;"",""))))&gt;0))</f>
        <v>1</v>
      </c>
      <c r="CL41" t="str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Sheet'!$Y$40)&amp;"",""))))&gt;0))</f>
        <v>1</v>
      </c>
      <c r="CM41" t="str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Sheet'!$Z$40)&amp;"",""))))&gt;0))</f>
        <v>1</v>
      </c>
      <c r="CN41" t="str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Sheet'!$AA$40)&amp;"",""))))&gt;0))</f>
        <v>1</v>
      </c>
      <c r="CO41" t="str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Sheet'!$AB$40)&amp;"",""))))&gt;0))</f>
        <v>1</v>
      </c>
      <c r="CP41" t="str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Sheet'!$AC$40)&amp;"",""))))&gt;0))</f>
        <v>1</v>
      </c>
      <c r="CQ41" t="str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Sheet'!$AD$40)&amp;"",""))))&gt;0))</f>
        <v>1</v>
      </c>
      <c r="CR41" t="str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Sheet'!$AE$40)&amp;"",""))))&gt;0))</f>
        <v>1</v>
      </c>
      <c r="CS41" t="str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Sheet'!$AF$40)&amp;"",""))))&gt;0))</f>
        <v>1</v>
      </c>
      <c r="CT41" t="str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Sheet'!$AG$40)&amp;"",""))))&gt;0))</f>
        <v>1</v>
      </c>
      <c r="CU41" t="str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Sheet'!$AD$40&lt;=0,"SETTLED","OUTSTANDING"))&amp;"",""))))&gt;0))</f>
        <v>1</v>
      </c>
    </row>
    <row r="42" ht="15.0" customHeight="1">
      <c r="A42" s="75" t="str">
        <f t="array" ref="A42">IF($BJ41&gt;0,INDEX($BA$5:$BA$41,MATCH(41,$BB$5:$BB$41,0)),IF(OR($BI41=1,$BL41=1,$BH41&gt;0),"∑",""))</f>
        <v>34</v>
      </c>
      <c r="B42" s="76" t="str">
        <f t="array" ref="B42">IF($BJ41&gt;0,IF(INDEX('Final Calculation Sheet'!$F$4:$F$40,$BJ41-3)="","",INDEX('Final Calculation Sheet'!$F$4:$F$40,$BJ41-3)),"")</f>
        <v>2086</v>
      </c>
      <c r="C42" s="76" t="str">
        <f t="array" ref="C42">IF($BJ41&gt;0,IF(INDEX('Final Calculation Sheet'!$G$4:$G$40,$BJ41-3)="","",INDEX('Final Calculation Sheet'!$G$4:$G$40,$BJ41-3)),IF(OR($BI41=1,$BL41=1,$BH41&gt;0),IF($BI41=1,37,IF($BL41=1,37-INDEX($BD$4:$BD$13,10),INDEX($BD$4:$BD$13,$BH41)))&amp;" lot(s)",""))</f>
        <v>KASHYAP TRADING CO</v>
      </c>
      <c r="D42" s="77" t="str">
        <f t="array" ref="D42">IF($BJ41&gt;0,IF(INDEX('Final Calculation Sheet'!$B$4:$B$40,$BJ41-3)="","",INDEX('Final Calculation Sheet'!$B$4:$B$40,$BJ41-3)),IF(OR($BI41=1,$BL41=1,$BH41&gt;0),IF($BI41=1,"GRAND TOTAL  —  matching + remaining",IF($BL41=1,"TOTAL MATCHED  —  every group together",IF($BH41=10,"REMAINING  —  did not match the search",IF($BH41=9,IF(COUNTIF($A$4:$AI$4,"&lt;&gt;")&gt;0,"FILTERED LOTS  —  column fields","ALL LOTS  —  nothing typed in the box"),"GROUP "&amp;$BH41&amp;" TOTAL  —  lots matching  "&amp;INDEX($AR$6:$AY$6,$BH41))))),""))</f>
        <v>Scrap of 132 KV CT</v>
      </c>
      <c r="E42" s="77" t="str">
        <f t="array" ref="E42">IF($BJ41&gt;0,IF(INDEX('Final Calculation Sheet'!$D$4:$D$40,$BJ41-3)="","",INDEX('Final Calculation Sheet'!$D$4:$D$40,$BJ41-3)),IF(OR($BI41=1,$BL41=1,$BH41&gt;0),"–",""))</f>
        <v>21980</v>
      </c>
      <c r="F42" s="77" t="str">
        <f t="array" ref="F42">IF($BJ41&gt;0,IF(INDEX('Final Calculation Sheet'!$A$4:$A$40,$BJ41-3)="","",INDEX('Final Calculation Sheet'!$A$4:$A$40,$BJ41-3)),IF(OR($BI41=1,$BL41=1,$BH41&gt;0),IF($BI41=1,SUM('Final Calculation Sheet'!$A$4:$A$40),IF($BL41=1,SUM('Final Calculation Sheet'!$A$4:$A$40)-SUMIFS('Final Calculation Sheet'!$A$4:$A$40,$AZ$5:$AZ$41,10),SUMIFS('Final Calculation Sheet'!$A$4:$A$40,$AZ$5:$AZ$41,$BH41))),""))</f>
        <v>3</v>
      </c>
      <c r="G42" s="77" t="str">
        <f t="array" ref="G42">IF($BJ41&gt;0,IF(INDEX('Final Calculation Sheet'!$E$4:$E$40,$BJ41-3)="","",INDEX('Final Calculation Sheet'!$E$4:$E$40,$BJ41-3)),IF(OR($BI41=1,$BL41=1,$BH41&gt;0),"–",""))</f>
        <v>NO</v>
      </c>
      <c r="H42" s="78" t="str">
        <f t="array" ref="H42">IF($BJ41&gt;0,IF(INDEX('Final Calculation Sheet'!$C$4:$C$40,$BJ41-3)="","",INDEX('Final Calculation Sheet'!$C$4:$C$40,$BJ41-3)),IF(OR($BI41=1,$BL41=1,$BH41&gt;0),"–",""))</f>
        <v>70,001</v>
      </c>
      <c r="I42" s="78" t="str">
        <f t="array" ref="I42">IF($BJ41&gt;0,IF(INDEX('Final Calculation Sheet'!$H$4:$H$40,$BJ41-3)="","",INDEX('Final Calculation Sheet'!$H$4:$H$40,$BJ41-3)),IF(OR($BI41=1,$BL41=1,$BH41&gt;0),IF($BI41=1,SUM('Final Calculation Sheet'!$H$4:$H$40),IF($BL41=1,SUM('Final Calculation Sheet'!$H$4:$H$40)-SUMIFS('Final Calculation Sheet'!$H$4:$H$40,$AZ$5:$AZ$41,10),SUMIFS('Final Calculation Sheet'!$H$4:$H$40,$AZ$5:$AZ$41,$BH41))),""))</f>
        <v>210,003</v>
      </c>
      <c r="J42" s="78" t="str">
        <f t="array" ref="J42">IF($BJ41&gt;0,IF(INDEX('Final Calculation Sheet'!$I$4:$I$40,$BJ41-3)="","",INDEX('Final Calculation Sheet'!$I$4:$I$40,$BJ41-3)),IF(OR($BI41=1,$BL41=1,$BH41&gt;0),IF($BI41=1,SUM('Final Calculation Sheet'!$I$4:$I$40),IF($BL41=1,SUM('Final Calculation Sheet'!$I$4:$I$40)-SUMIFS('Final Calculation Sheet'!$I$4:$I$40,$AZ$5:$AZ$41,10),SUMIFS('Final Calculation Sheet'!$I$4:$I$40,$AZ$5:$AZ$41,$BH41))),""))</f>
        <v>37,801</v>
      </c>
      <c r="K42" s="78" t="str">
        <f t="array" ref="K42">IF($BJ41&gt;0,IF(INDEX('Final Calculation Sheet'!$J$4:$J$40,$BJ41-3)="","",INDEX('Final Calculation Sheet'!$J$4:$J$40,$BJ41-3)),IF(OR($BI41=1,$BL41=1,$BH41&gt;0),IF($BI41=1,SUM('Final Calculation Sheet'!$J$4:$J$40),IF($BL41=1,SUM('Final Calculation Sheet'!$J$4:$J$40)-SUMIFS('Final Calculation Sheet'!$J$4:$J$40,$AZ$5:$AZ$41,10),SUMIFS('Final Calculation Sheet'!$J$4:$J$40,$AZ$5:$AZ$41,$BH41))),""))</f>
        <v>247,804</v>
      </c>
      <c r="L42" s="78" t="str">
        <f t="array" ref="L42">IF($BJ41&gt;0,IF(INDEX('Final Calculation Sheet'!$K$4:$K$40,$BJ41-3)="","",INDEX('Final Calculation Sheet'!$K$4:$K$40,$BJ41-3)),IF(OR($BI41=1,$BL41=1,$BH41&gt;0),IF($BI41=1,SUM('Final Calculation Sheet'!$K$4:$K$40),IF($BL41=1,SUM('Final Calculation Sheet'!$K$4:$K$40)-SUMIFS('Final Calculation Sheet'!$K$4:$K$40,$AZ$5:$AZ$41,10),SUMIFS('Final Calculation Sheet'!$K$4:$K$40,$AZ$5:$AZ$41,$BH41))),""))</f>
        <v>4,956</v>
      </c>
      <c r="M42" s="78" t="str">
        <f t="array" ref="M42">IF($BJ41&gt;0,IF(INDEX('Final Calculation Sheet'!$L$4:$L$40,$BJ41-3)="","",INDEX('Final Calculation Sheet'!$L$4:$L$40,$BJ41-3)),IF(OR($BI41=1,$BL41=1,$BH41&gt;0),IF($BI41=1,SUM('Final Calculation Sheet'!$L$4:$L$40),IF($BL41=1,SUM('Final Calculation Sheet'!$L$4:$L$40)-SUMIFS('Final Calculation Sheet'!$L$4:$L$40,$AZ$5:$AZ$41,10),SUMIFS('Final Calculation Sheet'!$L$4:$L$40,$AZ$5:$AZ$41,$BH41))),""))</f>
        <v>210</v>
      </c>
      <c r="N42" s="78" t="str">
        <f t="array" ref="N42">IF($BJ41&gt;0,IF(INDEX('Final Calculation Sheet'!$M$4:$M$40,$BJ41-3)="","",INDEX('Final Calculation Sheet'!$M$4:$M$40,$BJ41-3)),IF(OR($BI41=1,$BL41=1,$BH41&gt;0),IF($BI41=1,SUM('Final Calculation Sheet'!$M$4:$M$40),IF($BL41=1,SUM('Final Calculation Sheet'!$M$4:$M$40)-SUMIFS('Final Calculation Sheet'!$M$4:$M$40,$AZ$5:$AZ$41,10),SUMIFS('Final Calculation Sheet'!$M$4:$M$40,$AZ$5:$AZ$41,$BH41))),""))</f>
        <v>5,576</v>
      </c>
      <c r="O42" s="79" t="str">
        <f t="array" ref="O42">IF($BJ41&gt;0,IF(INDEX('Final Calculation Sheet'!$N$4:$N$40,$BJ41-3)="","",INDEX('Final Calculation Sheet'!$N$4:$N$40,$BJ41-3)),IF(OR($BI41=1,$BL41=1,$BH41&gt;0),IF($BI41=1,SUM('Final Calculation Sheet'!$N$4:$N$40),IF($BL41=1,SUM('Final Calculation Sheet'!$N$4:$N$40)-SUMIFS('Final Calculation Sheet'!$N$4:$N$40,$AZ$5:$AZ$41,10),SUMIFS('Final Calculation Sheet'!$N$4:$N$40,$AZ$5:$AZ$41,$BH41))),""))</f>
        <v>95</v>
      </c>
      <c r="P42" s="78" t="str">
        <f t="array" ref="P42">IF($BJ41&gt;0,IF(INDEX('Final Calculation Sheet'!$O$4:$O$40,$BJ41-3)="","",INDEX('Final Calculation Sheet'!$O$4:$O$40,$BJ41-3)),IF(OR($BI41=1,$BL41=1,$BH41&gt;0),IF($BI41=1,SUM('Final Calculation Sheet'!$O$4:$O$40),IF($BL41=1,SUM('Final Calculation Sheet'!$O$4:$O$40)-SUMIFS('Final Calculation Sheet'!$O$4:$O$40,$AZ$5:$AZ$41,10),SUMIFS('Final Calculation Sheet'!$O$4:$O$40,$AZ$5:$AZ$41,$BH41))),""))</f>
        <v>5,481</v>
      </c>
      <c r="Q42" s="78" t="str">
        <f t="array" ref="Q42">IF($BJ41&gt;0,IF(INDEX('Final Calculation Sheet'!$P$4:$P$40,$BJ41-3)="","",INDEX('Final Calculation Sheet'!$P$4:$P$40,$BJ41-3)),IF(OR($BI41=1,$BL41=1,$BH41&gt;0),IF($BI41=1,SUM('Final Calculation Sheet'!$P$4:$P$40),IF($BL41=1,SUM('Final Calculation Sheet'!$P$4:$P$40)-SUMIFS('Final Calculation Sheet'!$P$4:$P$40,$AZ$5:$AZ$41,10),SUMIFS('Final Calculation Sheet'!$P$4:$P$40,$AZ$5:$AZ$41,$BH41))),""))</f>
        <v>5,691</v>
      </c>
      <c r="R42" s="80" t="str">
        <f t="array" ref="R42">IF($BJ41&gt;0,IF(INDEX('Final Calculation Sheet'!$Q$4:$Q$40,$BJ41-3)="","",INDEX('Final Calculation Sheet'!$Q$4:$Q$40,$BJ41-3)),IF(OR($BI41=1,$BL41=1,$BH41&gt;0),"–",""))</f>
        <v>0%</v>
      </c>
      <c r="S42" s="78" t="str">
        <f t="array" ref="S42">IF($BJ41&gt;0,IF(INDEX('Final Calculation Sheet'!$R$4:$R$40,$BJ41-3)="","",INDEX('Final Calculation Sheet'!$R$4:$R$40,$BJ41-3)),IF(OR($BI41=1,$BL41=1,$BH41&gt;0),IF($BI41=1,SUM('Final Calculation Sheet'!$R$4:$R$40),IF($BL41=1,SUM('Final Calculation Sheet'!$R$4:$R$40)-SUMIFS('Final Calculation Sheet'!$R$4:$R$40,$AZ$5:$AZ$41,10),SUMIFS('Final Calculation Sheet'!$R$4:$R$40,$AZ$5:$AZ$41,$BH41))),""))</f>
        <v>0</v>
      </c>
      <c r="T42" s="78" t="str">
        <f t="array" ref="T42">IF($BJ41&gt;0,IF(INDEX('Final Calculation Sheet'!$S$4:$S$40,$BJ41-3)="","",INDEX('Final Calculation Sheet'!$S$4:$S$40,$BJ41-3)),IF(OR($BI41=1,$BL41=1,$BH41&gt;0),IF($BI41=1,SUM('Final Calculation Sheet'!$S$4:$S$40),IF($BL41=1,SUM('Final Calculation Sheet'!$S$4:$S$40)-SUMIFS('Final Calculation Sheet'!$S$4:$S$40,$AZ$5:$AZ$41,10),SUMIFS('Final Calculation Sheet'!$S$4:$S$40,$AZ$5:$AZ$41,$BH41))),""))</f>
        <v>247,069</v>
      </c>
      <c r="U42" s="78" t="str">
        <f t="array" ref="U42">IF($BJ41&gt;0,IF(INDEX('Final Calculation Sheet'!$T$4:$T$40,$BJ41-3)="","",INDEX('Final Calculation Sheet'!$T$4:$T$40,$BJ41-3)),IF(OR($BI41=1,$BL41=1,$BH41&gt;0),IF($BI41=1,SUM('Final Calculation Sheet'!$T$4:$T$40),IF($BL41=1,SUM('Final Calculation Sheet'!$T$4:$T$40)-SUMIFS('Final Calculation Sheet'!$T$4:$T$40,$AZ$5:$AZ$41,10),SUMIFS('Final Calculation Sheet'!$T$4:$T$40,$AZ$5:$AZ$41,$BH41))),""))</f>
        <v>52,501</v>
      </c>
      <c r="V42" s="81" t="str">
        <f t="array" ref="V42">IF($BJ41&gt;0,IF(INDEX('Final Calculation Sheet'!$U$4:$U$40,$BJ41-3)="","",INDEX('Final Calculation Sheet'!$U$4:$U$40,$BJ41-3)),IF(OR($BI41=1,$BL41=1,$BH41&gt;0),IF($BI41=1,SUM('Final Calculation Sheet'!$U$4:$U$40),IF($BL41=1,SUM('Final Calculation Sheet'!$U$4:$U$40)-SUMIFS('Final Calculation Sheet'!$U$4:$U$40,$AZ$5:$AZ$41,10),SUMIFS('Final Calculation Sheet'!$U$4:$U$40,$AZ$5:$AZ$41,$BH41))),""))</f>
        <v>  52,501 </v>
      </c>
      <c r="W42" s="78" t="str">
        <f t="array" ref="W42">IF($BJ41&gt;0,IF(INDEX('Final Calculation Sheet'!$V$4:$V$40,$BJ41-3)="","",INDEX('Final Calculation Sheet'!$V$4:$V$40,$BJ41-3)),IF(OR($BI41=1,$BL41=1,$BH41&gt;0),"–",""))</f>
        <v>17.08.2026</v>
      </c>
      <c r="X42" s="78" t="str">
        <f t="array" ref="X42">IF($BJ41&gt;0,IF(INDEX('Final Calculation Sheet'!$W$4:$W$40,$BJ41-3)="","",INDEX('Final Calculation Sheet'!$W$4:$W$40,$BJ41-3)),IF(OR($BI41=1,$BL41=1,$BH41&gt;0),IF($BI41=1,SUM('Final Calculation Sheet'!$W$4:$W$40),IF($BL41=1,SUM('Final Calculation Sheet'!$W$4:$W$40)-SUMIFS('Final Calculation Sheet'!$W$4:$W$40,$AZ$5:$AZ$41,10),SUMIFS('Final Calculation Sheet'!$W$4:$W$40,$AZ$5:$AZ$41,$BH41))),""))</f>
        <v>194,568</v>
      </c>
      <c r="Y42" s="78" t="str">
        <f t="array" ref="Y42">IF($BJ41&gt;0,IF(INDEX('Final Calculation Sheet'!$X$4:$X$40,$BJ41-3)="","",INDEX('Final Calculation Sheet'!$X$4:$X$40,$BJ41-3)),IF(OR($BI41=1,$BL41=1,$BH41&gt;0),IF($BI41=1,SUM('Final Calculation Sheet'!$X$4:$X$40),IF($BL41=1,SUM('Final Calculation Sheet'!$X$4:$X$40)-SUMIFS('Final Calculation Sheet'!$X$4:$X$40,$AZ$5:$AZ$41,10),SUMIFS('Final Calculation Sheet'!$X$4:$X$40,$AZ$5:$AZ$41,$BH41))),""))</f>
        <v>194,568</v>
      </c>
      <c r="Z42" s="78" t="str">
        <f t="array" ref="Z42">IF($BJ41&gt;0,IF(INDEX('Final Calculation Sheet'!$Y$4:$Y$40,$BJ41-3)="","",INDEX('Final Calculation Sheet'!$Y$4:$Y$40,$BJ41-3)),IF(OR($BI41=1,$BL41=1,$BH41&gt;0),"–",""))</f>
        <v>17.08.2026</v>
      </c>
      <c r="AA42" s="78" t="str">
        <f t="array" ref="AA42">IF($BJ41&gt;0,IF(INDEX('Final Calculation Sheet'!$Z$4:$Z$40,$BJ41-3)="","",INDEX('Final Calculation Sheet'!$Z$4:$Z$40,$BJ41-3)),IF(OR($BI41=1,$BL41=1,$BH41&gt;0),IF($BI41=1,SUM('Final Calculation Sheet'!$Z$4:$Z$40),IF($BL41=1,SUM('Final Calculation Sheet'!$Z$4:$Z$40)-SUMIFS('Final Calculation Sheet'!$Z$4:$Z$40,$AZ$5:$AZ$41,10),SUMIFS('Final Calculation Sheet'!$Z$4:$Z$40,$AZ$5:$AZ$41,$BH41))),""))</f>
        <v>0</v>
      </c>
      <c r="AB42" s="78" t="str">
        <f t="array" ref="AB42">IF($BJ41&gt;0,IF(INDEX('Final Calculation Sheet'!$AA$4:$AA$40,$BJ41-3)="","",INDEX('Final Calculation Sheet'!$AA$4:$AA$40,$BJ41-3)),IF(OR($BI41=1,$BL41=1,$BH41&gt;0),IF($BI41=1,SUM('Final Calculation Sheet'!$AA$4:$AA$40),IF($BL41=1,SUM('Final Calculation Sheet'!$AA$4:$AA$40)-SUMIFS('Final Calculation Sheet'!$AA$4:$AA$40,$AZ$5:$AZ$41,10),SUMIFS('Final Calculation Sheet'!$AA$4:$AA$40,$AZ$5:$AZ$41,$BH41))),""))</f>
        <v/>
      </c>
      <c r="AC42" s="78" t="str">
        <f t="array" ref="AC42">IF($BJ41&gt;0,IF(INDEX('Final Calculation Sheet'!$AB$4:$AB$40,$BJ41-3)="","",INDEX('Final Calculation Sheet'!$AB$4:$AB$40,$BJ41-3)),IF(OR($BI41=1,$BL41=1,$BH41&gt;0),"–",""))</f>
        <v/>
      </c>
      <c r="AD42" s="78" t="str">
        <f t="array" ref="AD42">IF($BJ41&gt;0,IF(INDEX('Final Calculation Sheet'!$AC$4:$AC$40,$BJ41-3)="","",INDEX('Final Calculation Sheet'!$AC$4:$AC$40,$BJ41-3)),IF(OR($BI41=1,$BL41=1,$BH41&gt;0),IF($BI41=1,SUM('Final Calculation Sheet'!$AC$4:$AC$40),IF($BL41=1,SUM('Final Calculation Sheet'!$AC$4:$AC$40)-SUMIFS('Final Calculation Sheet'!$AC$4:$AC$40,$AZ$5:$AZ$41,10),SUMIFS('Final Calculation Sheet'!$AC$4:$AC$40,$AZ$5:$AZ$41,$BH41))),""))</f>
        <v>247,069</v>
      </c>
      <c r="AE42" s="78" t="str">
        <f t="array" ref="AE42">IF($BJ41&gt;0,IF(INDEX('Final Calculation Sheet'!$AD$4:$AD$40,$BJ41-3)="","",INDEX('Final Calculation Sheet'!$AD$4:$AD$40,$BJ41-3)),IF(OR($BI41=1,$BL41=1,$BH41&gt;0),IF($BI41=1,SUM('Final Calculation Sheet'!$AD$4:$AD$40),IF($BL41=1,SUM('Final Calculation Sheet'!$AD$4:$AD$40)-SUMIFS('Final Calculation Sheet'!$AD$4:$AD$40,$AZ$5:$AZ$41,10),SUMIFS('Final Calculation Sheet'!$AD$4:$AD$40,$AZ$5:$AZ$41,$BH41))),""))</f>
        <v>0</v>
      </c>
      <c r="AF42" s="78" t="str">
        <f t="array" ref="AF42">IF($BJ41&gt;0,IF(INDEX('Final Calculation Sheet'!$AE$4:$AE$40,$BJ41-3)="","",INDEX('Final Calculation Sheet'!$AE$4:$AE$40,$BJ41-3)),IF(OR($BI41=1,$BL41=1,$BH41&gt;0),"–",""))</f>
        <v>DR2640100025</v>
      </c>
      <c r="AG42" s="82" t="str">
        <f t="array" ref="AG42">IF($BJ41&gt;0,IF(INDEX('Final Calculation Sheet'!$AF$4:$AF$40,$BJ41-3)="","",INDEX('Final Calculation Sheet'!$AF$4:$AF$40,$BJ41-3)),IF(OR($BI41=1,$BL41=1,$BH41&gt;0),"–",""))</f>
        <v>1800003226</v>
      </c>
      <c r="AH42" s="78" t="str">
        <f t="array" ref="AH42">IF($BJ41&gt;0,IF(INDEX('Final Calculation Sheet'!$AG$4:$AG$40,$BJ41-3)="","",INDEX('Final Calculation Sheet'!$AG$4:$AG$40,$BJ41-3)),IF(OR($BI41=1,$BL41=1,$BH41&gt;0),"–",""))</f>
        <v>19.08.2026</v>
      </c>
      <c r="AI42" s="83" t="str">
        <f t="array" ref="AI42">IF($BJ41&gt;0,IF(INDEX('Final Calculation Sheet'!$AD$4:$AD$40,$BJ41-3)="","",IF(INDEX('Final Calculation Sheet'!$AD$4:$AD$40,$BJ41-3)&lt;=0,"SETTLED","OUTSTANDING")),IF(OR($BI41=1,$BL41=1,$BH41&gt;0),IF(IF($BI41=1,SUM('Final Calculation Sheet'!$AD$4:$AD$40),IF($BL41=1,SUM('Final Calculation Sheet'!$AD$4:$AD$40)-SUMIFS('Final Calculation Sheet'!$AD$4:$AD$40,$AZ$5:$AZ$41,10),SUMIFS('Final Calculation Sheet'!$AD$4:$AD$40,$AZ$5:$AZ$41,$BH41)))&lt;=0,"ALL SETTLED","OUTSTANDING"),""))</f>
        <v>SETTLED</v>
      </c>
      <c r="BH42" t="str">
        <f>IFERROR(MATCH(42,$BF$4:$BF$13,0),0)</f>
        <v>0</v>
      </c>
      <c r="BI42" t="str">
        <f>IF(42=$BG$5,1,0)</f>
        <v>0</v>
      </c>
      <c r="BJ42" t="str">
        <f t="array" ref="BJ42">IF(OR($BH42&gt;0,$BI42=1,$BL42=1),0,IFERROR(INDEX($BC$5:$BC$41,MATCH(42,$BB$5:$BB$41,0)),0))</f>
        <v>39</v>
      </c>
      <c r="BK42" t="str">
        <f t="array" ref="BK42">IF($BJ42&gt;0,IF(INDEX($AZ$5:$AZ$41,MATCH(42,$BB$5:$BB$41,0))=10,1,0),IF($BH42=10,1,0))</f>
        <v>1</v>
      </c>
      <c r="BL42" t="str">
        <f>IF(42=$BG$4,1,0)</f>
        <v>0</v>
      </c>
    </row>
    <row r="43" ht="15.0" customHeight="1">
      <c r="A43" s="75" t="str">
        <f t="array" ref="A43">IF($BJ42&gt;0,INDEX($BA$5:$BA$41,MATCH(42,$BB$5:$BB$41,0)),IF(OR($BI42=1,$BL42=1,$BH42&gt;0),"∑",""))</f>
        <v>35</v>
      </c>
      <c r="B43" s="76" t="str">
        <f t="array" ref="B43">IF($BJ42&gt;0,IF(INDEX('Final Calculation Sheet'!$F$4:$F$40,$BJ42-3)="","",INDEX('Final Calculation Sheet'!$F$4:$F$40,$BJ42-3)),"")</f>
        <v>2089</v>
      </c>
      <c r="C43" s="76" t="str">
        <f t="array" ref="C43">IF($BJ42&gt;0,IF(INDEX('Final Calculation Sheet'!$G$4:$G$40,$BJ42-3)="","",INDEX('Final Calculation Sheet'!$G$4:$G$40,$BJ42-3)),IF(OR($BI42=1,$BL42=1,$BH42&gt;0),IF($BI42=1,37,IF($BL42=1,37-INDEX($BD$4:$BD$13,10),INDEX($BD$4:$BD$13,$BH42)))&amp;" lot(s)",""))</f>
        <v>S M ENTERPRISES</v>
      </c>
      <c r="D43" s="77" t="str">
        <f t="array" ref="D43">IF($BJ42&gt;0,IF(INDEX('Final Calculation Sheet'!$B$4:$B$40,$BJ42-3)="","",INDEX('Final Calculation Sheet'!$B$4:$B$40,$BJ42-3)),IF(OR($BI42=1,$BL42=1,$BH42&gt;0),IF($BI42=1,"GRAND TOTAL  —  matching + remaining",IF($BL42=1,"TOTAL MATCHED  —  every group together",IF($BH42=10,"REMAINING  —  did not match the search",IF($BH42=9,IF(COUNTIF($A$4:$AI$4,"&lt;&gt;")&gt;0,"FILTERED LOTS  —  column fields","ALL LOTS  —  nothing typed in the box"),"GROUP "&amp;$BH42&amp;" TOTAL  —  lots matching  "&amp;INDEX($AR$6:$AY$6,$BH42))))),""))</f>
        <v>Scrap of 66 kv TBC C &amp; R Panel</v>
      </c>
      <c r="E43" s="77" t="str">
        <f t="array" ref="E43">IF($BJ42&gt;0,IF(INDEX('Final Calculation Sheet'!$D$4:$D$40,$BJ42-3)="","",INDEX('Final Calculation Sheet'!$D$4:$D$40,$BJ42-3)),IF(OR($BI42=1,$BL42=1,$BH42&gt;0),"–",""))</f>
        <v>21980</v>
      </c>
      <c r="F43" s="77" t="str">
        <f t="array" ref="F43">IF($BJ42&gt;0,IF(INDEX('Final Calculation Sheet'!$A$4:$A$40,$BJ42-3)="","",INDEX('Final Calculation Sheet'!$A$4:$A$40,$BJ42-3)),IF(OR($BI42=1,$BL42=1,$BH42&gt;0),IF($BI42=1,SUM('Final Calculation Sheet'!$A$4:$A$40),IF($BL42=1,SUM('Final Calculation Sheet'!$A$4:$A$40)-SUMIFS('Final Calculation Sheet'!$A$4:$A$40,$AZ$5:$AZ$41,10),SUMIFS('Final Calculation Sheet'!$A$4:$A$40,$AZ$5:$AZ$41,$BH42))),""))</f>
        <v>2</v>
      </c>
      <c r="G43" s="77" t="str">
        <f t="array" ref="G43">IF($BJ42&gt;0,IF(INDEX('Final Calculation Sheet'!$E$4:$E$40,$BJ42-3)="","",INDEX('Final Calculation Sheet'!$E$4:$E$40,$BJ42-3)),IF(OR($BI42=1,$BL42=1,$BH42&gt;0),"–",""))</f>
        <v>NO</v>
      </c>
      <c r="H43" s="78" t="str">
        <f t="array" ref="H43">IF($BJ42&gt;0,IF(INDEX('Final Calculation Sheet'!$C$4:$C$40,$BJ42-3)="","",INDEX('Final Calculation Sheet'!$C$4:$C$40,$BJ42-3)),IF(OR($BI42=1,$BL42=1,$BH42&gt;0),"–",""))</f>
        <v>15,006</v>
      </c>
      <c r="I43" s="78" t="str">
        <f t="array" ref="I43">IF($BJ42&gt;0,IF(INDEX('Final Calculation Sheet'!$H$4:$H$40,$BJ42-3)="","",INDEX('Final Calculation Sheet'!$H$4:$H$40,$BJ42-3)),IF(OR($BI42=1,$BL42=1,$BH42&gt;0),IF($BI42=1,SUM('Final Calculation Sheet'!$H$4:$H$40),IF($BL42=1,SUM('Final Calculation Sheet'!$H$4:$H$40)-SUMIFS('Final Calculation Sheet'!$H$4:$H$40,$AZ$5:$AZ$41,10),SUMIFS('Final Calculation Sheet'!$H$4:$H$40,$AZ$5:$AZ$41,$BH42))),""))</f>
        <v>30,012</v>
      </c>
      <c r="J43" s="78" t="str">
        <f t="array" ref="J43">IF($BJ42&gt;0,IF(INDEX('Final Calculation Sheet'!$I$4:$I$40,$BJ42-3)="","",INDEX('Final Calculation Sheet'!$I$4:$I$40,$BJ42-3)),IF(OR($BI42=1,$BL42=1,$BH42&gt;0),IF($BI42=1,SUM('Final Calculation Sheet'!$I$4:$I$40),IF($BL42=1,SUM('Final Calculation Sheet'!$I$4:$I$40)-SUMIFS('Final Calculation Sheet'!$I$4:$I$40,$AZ$5:$AZ$41,10),SUMIFS('Final Calculation Sheet'!$I$4:$I$40,$AZ$5:$AZ$41,$BH42))),""))</f>
        <v>5,402</v>
      </c>
      <c r="K43" s="78" t="str">
        <f t="array" ref="K43">IF($BJ42&gt;0,IF(INDEX('Final Calculation Sheet'!$J$4:$J$40,$BJ42-3)="","",INDEX('Final Calculation Sheet'!$J$4:$J$40,$BJ42-3)),IF(OR($BI42=1,$BL42=1,$BH42&gt;0),IF($BI42=1,SUM('Final Calculation Sheet'!$J$4:$J$40),IF($BL42=1,SUM('Final Calculation Sheet'!$J$4:$J$40)-SUMIFS('Final Calculation Sheet'!$J$4:$J$40,$AZ$5:$AZ$41,10),SUMIFS('Final Calculation Sheet'!$J$4:$J$40,$AZ$5:$AZ$41,$BH42))),""))</f>
        <v>35,414</v>
      </c>
      <c r="L43" s="78" t="str">
        <f t="array" ref="L43">IF($BJ42&gt;0,IF(INDEX('Final Calculation Sheet'!$K$4:$K$40,$BJ42-3)="","",INDEX('Final Calculation Sheet'!$K$4:$K$40,$BJ42-3)),IF(OR($BI42=1,$BL42=1,$BH42&gt;0),IF($BI42=1,SUM('Final Calculation Sheet'!$K$4:$K$40),IF($BL42=1,SUM('Final Calculation Sheet'!$K$4:$K$40)-SUMIFS('Final Calculation Sheet'!$K$4:$K$40,$AZ$5:$AZ$41,10),SUMIFS('Final Calculation Sheet'!$K$4:$K$40,$AZ$5:$AZ$41,$BH42))),""))</f>
        <v>708</v>
      </c>
      <c r="M43" s="78" t="str">
        <f t="array" ref="M43">IF($BJ42&gt;0,IF(INDEX('Final Calculation Sheet'!$L$4:$L$40,$BJ42-3)="","",INDEX('Final Calculation Sheet'!$L$4:$L$40,$BJ42-3)),IF(OR($BI42=1,$BL42=1,$BH42&gt;0),IF($BI42=1,SUM('Final Calculation Sheet'!$L$4:$L$40),IF($BL42=1,SUM('Final Calculation Sheet'!$L$4:$L$40)-SUMIFS('Final Calculation Sheet'!$L$4:$L$40,$AZ$5:$AZ$41,10),SUMIFS('Final Calculation Sheet'!$L$4:$L$40,$AZ$5:$AZ$41,$BH42))),""))</f>
        <v>30</v>
      </c>
      <c r="N43" s="78" t="str">
        <f t="array" ref="N43">IF($BJ42&gt;0,IF(INDEX('Final Calculation Sheet'!$M$4:$M$40,$BJ42-3)="","",INDEX('Final Calculation Sheet'!$M$4:$M$40,$BJ42-3)),IF(OR($BI42=1,$BL42=1,$BH42&gt;0),IF($BI42=1,SUM('Final Calculation Sheet'!$M$4:$M$40),IF($BL42=1,SUM('Final Calculation Sheet'!$M$4:$M$40)-SUMIFS('Final Calculation Sheet'!$M$4:$M$40,$AZ$5:$AZ$41,10),SUMIFS('Final Calculation Sheet'!$M$4:$M$40,$AZ$5:$AZ$41,$BH42))),""))</f>
        <v>797</v>
      </c>
      <c r="O43" s="79" t="str">
        <f t="array" ref="O43">IF($BJ42&gt;0,IF(INDEX('Final Calculation Sheet'!$N$4:$N$40,$BJ42-3)="","",INDEX('Final Calculation Sheet'!$N$4:$N$40,$BJ42-3)),IF(OR($BI42=1,$BL42=1,$BH42&gt;0),IF($BI42=1,SUM('Final Calculation Sheet'!$N$4:$N$40),IF($BL42=1,SUM('Final Calculation Sheet'!$N$4:$N$40)-SUMIFS('Final Calculation Sheet'!$N$4:$N$40,$AZ$5:$AZ$41,10),SUMIFS('Final Calculation Sheet'!$N$4:$N$40,$AZ$5:$AZ$41,$BH42))),""))</f>
        <v>14</v>
      </c>
      <c r="P43" s="78" t="str">
        <f t="array" ref="P43">IF($BJ42&gt;0,IF(INDEX('Final Calculation Sheet'!$O$4:$O$40,$BJ42-3)="","",INDEX('Final Calculation Sheet'!$O$4:$O$40,$BJ42-3)),IF(OR($BI42=1,$BL42=1,$BH42&gt;0),IF($BI42=1,SUM('Final Calculation Sheet'!$O$4:$O$40),IF($BL42=1,SUM('Final Calculation Sheet'!$O$4:$O$40)-SUMIFS('Final Calculation Sheet'!$O$4:$O$40,$AZ$5:$AZ$41,10),SUMIFS('Final Calculation Sheet'!$O$4:$O$40,$AZ$5:$AZ$41,$BH42))),""))</f>
        <v>783</v>
      </c>
      <c r="Q43" s="78" t="str">
        <f t="array" ref="Q43">IF($BJ42&gt;0,IF(INDEX('Final Calculation Sheet'!$P$4:$P$40,$BJ42-3)="","",INDEX('Final Calculation Sheet'!$P$4:$P$40,$BJ42-3)),IF(OR($BI42=1,$BL42=1,$BH42&gt;0),IF($BI42=1,SUM('Final Calculation Sheet'!$P$4:$P$40),IF($BL42=1,SUM('Final Calculation Sheet'!$P$4:$P$40)-SUMIFS('Final Calculation Sheet'!$P$4:$P$40,$AZ$5:$AZ$41,10),SUMIFS('Final Calculation Sheet'!$P$4:$P$40,$AZ$5:$AZ$41,$BH42))),""))</f>
        <v>813</v>
      </c>
      <c r="R43" s="80" t="str">
        <f t="array" ref="R43">IF($BJ42&gt;0,IF(INDEX('Final Calculation Sheet'!$Q$4:$Q$40,$BJ42-3)="","",INDEX('Final Calculation Sheet'!$Q$4:$Q$40,$BJ42-3)),IF(OR($BI42=1,$BL42=1,$BH42&gt;0),"–",""))</f>
        <v>0%</v>
      </c>
      <c r="S43" s="78" t="str">
        <f t="array" ref="S43">IF($BJ42&gt;0,IF(INDEX('Final Calculation Sheet'!$R$4:$R$40,$BJ42-3)="","",INDEX('Final Calculation Sheet'!$R$4:$R$40,$BJ42-3)),IF(OR($BI42=1,$BL42=1,$BH42&gt;0),IF($BI42=1,SUM('Final Calculation Sheet'!$R$4:$R$40),IF($BL42=1,SUM('Final Calculation Sheet'!$R$4:$R$40)-SUMIFS('Final Calculation Sheet'!$R$4:$R$40,$AZ$5:$AZ$41,10),SUMIFS('Final Calculation Sheet'!$R$4:$R$40,$AZ$5:$AZ$41,$BH42))),""))</f>
        <v>0</v>
      </c>
      <c r="T43" s="78" t="str">
        <f t="array" ref="T43">IF($BJ42&gt;0,IF(INDEX('Final Calculation Sheet'!$S$4:$S$40,$BJ42-3)="","",INDEX('Final Calculation Sheet'!$S$4:$S$40,$BJ42-3)),IF(OR($BI42=1,$BL42=1,$BH42&gt;0),IF($BI42=1,SUM('Final Calculation Sheet'!$S$4:$S$40),IF($BL42=1,SUM('Final Calculation Sheet'!$S$4:$S$40)-SUMIFS('Final Calculation Sheet'!$S$4:$S$40,$AZ$5:$AZ$41,10),SUMIFS('Final Calculation Sheet'!$S$4:$S$40,$AZ$5:$AZ$41,$BH42))),""))</f>
        <v>35,309</v>
      </c>
      <c r="U43" s="78" t="str">
        <f t="array" ref="U43">IF($BJ42&gt;0,IF(INDEX('Final Calculation Sheet'!$T$4:$T$40,$BJ42-3)="","",INDEX('Final Calculation Sheet'!$T$4:$T$40,$BJ42-3)),IF(OR($BI42=1,$BL42=1,$BH42&gt;0),IF($BI42=1,SUM('Final Calculation Sheet'!$T$4:$T$40),IF($BL42=1,SUM('Final Calculation Sheet'!$T$4:$T$40)-SUMIFS('Final Calculation Sheet'!$T$4:$T$40,$AZ$5:$AZ$41,10),SUMIFS('Final Calculation Sheet'!$T$4:$T$40,$AZ$5:$AZ$41,$BH42))),""))</f>
        <v>7,503</v>
      </c>
      <c r="V43" s="81" t="str">
        <f t="array" ref="V43">IF($BJ42&gt;0,IF(INDEX('Final Calculation Sheet'!$U$4:$U$40,$BJ42-3)="","",INDEX('Final Calculation Sheet'!$U$4:$U$40,$BJ42-3)),IF(OR($BI42=1,$BL42=1,$BH42&gt;0),IF($BI42=1,SUM('Final Calculation Sheet'!$U$4:$U$40),IF($BL42=1,SUM('Final Calculation Sheet'!$U$4:$U$40)-SUMIFS('Final Calculation Sheet'!$U$4:$U$40,$AZ$5:$AZ$41,10),SUMIFS('Final Calculation Sheet'!$U$4:$U$40,$AZ$5:$AZ$41,$BH42))),""))</f>
        <v>  7,503 </v>
      </c>
      <c r="W43" s="78" t="str">
        <f t="array" ref="W43">IF($BJ42&gt;0,IF(INDEX('Final Calculation Sheet'!$V$4:$V$40,$BJ42-3)="","",INDEX('Final Calculation Sheet'!$V$4:$V$40,$BJ42-3)),IF(OR($BI42=1,$BL42=1,$BH42&gt;0),"–",""))</f>
        <v>14.08.2026</v>
      </c>
      <c r="X43" s="78" t="str">
        <f t="array" ref="X43">IF($BJ42&gt;0,IF(INDEX('Final Calculation Sheet'!$W$4:$W$40,$BJ42-3)="","",INDEX('Final Calculation Sheet'!$W$4:$W$40,$BJ42-3)),IF(OR($BI42=1,$BL42=1,$BH42&gt;0),IF($BI42=1,SUM('Final Calculation Sheet'!$W$4:$W$40),IF($BL42=1,SUM('Final Calculation Sheet'!$W$4:$W$40)-SUMIFS('Final Calculation Sheet'!$W$4:$W$40,$AZ$5:$AZ$41,10),SUMIFS('Final Calculation Sheet'!$W$4:$W$40,$AZ$5:$AZ$41,$BH42))),""))</f>
        <v>27,806</v>
      </c>
      <c r="Y43" s="78" t="str">
        <f t="array" ref="Y43">IF($BJ42&gt;0,IF(INDEX('Final Calculation Sheet'!$X$4:$X$40,$BJ42-3)="","",INDEX('Final Calculation Sheet'!$X$4:$X$40,$BJ42-3)),IF(OR($BI42=1,$BL42=1,$BH42&gt;0),IF($BI42=1,SUM('Final Calculation Sheet'!$X$4:$X$40),IF($BL42=1,SUM('Final Calculation Sheet'!$X$4:$X$40)-SUMIFS('Final Calculation Sheet'!$X$4:$X$40,$AZ$5:$AZ$41,10),SUMIFS('Final Calculation Sheet'!$X$4:$X$40,$AZ$5:$AZ$41,$BH42))),""))</f>
        <v>27,806</v>
      </c>
      <c r="Z43" s="78" t="str">
        <f t="array" ref="Z43">IF($BJ42&gt;0,IF(INDEX('Final Calculation Sheet'!$Y$4:$Y$40,$BJ42-3)="","",INDEX('Final Calculation Sheet'!$Y$4:$Y$40,$BJ42-3)),IF(OR($BI42=1,$BL42=1,$BH42&gt;0),"–",""))</f>
        <v>01.09.2026</v>
      </c>
      <c r="AA43" s="78" t="str">
        <f t="array" ref="AA43">IF($BJ42&gt;0,IF(INDEX('Final Calculation Sheet'!$Z$4:$Z$40,$BJ42-3)="","",INDEX('Final Calculation Sheet'!$Z$4:$Z$40,$BJ42-3)),IF(OR($BI42=1,$BL42=1,$BH42&gt;0),IF($BI42=1,SUM('Final Calculation Sheet'!$Z$4:$Z$40),IF($BL42=1,SUM('Final Calculation Sheet'!$Z$4:$Z$40)-SUMIFS('Final Calculation Sheet'!$Z$4:$Z$40,$AZ$5:$AZ$41,10),SUMIFS('Final Calculation Sheet'!$Z$4:$Z$40,$AZ$5:$AZ$41,$BH42))),""))</f>
        <v>708</v>
      </c>
      <c r="AB43" s="78" t="str">
        <f t="array" ref="AB43">IF($BJ42&gt;0,IF(INDEX('Final Calculation Sheet'!$AA$4:$AA$40,$BJ42-3)="","",INDEX('Final Calculation Sheet'!$AA$4:$AA$40,$BJ42-3)),IF(OR($BI42=1,$BL42=1,$BH42&gt;0),IF($BI42=1,SUM('Final Calculation Sheet'!$AA$4:$AA$40),IF($BL42=1,SUM('Final Calculation Sheet'!$AA$4:$AA$40)-SUMIFS('Final Calculation Sheet'!$AA$4:$AA$40,$AZ$5:$AZ$41,10),SUMIFS('Final Calculation Sheet'!$AA$4:$AA$40,$AZ$5:$AZ$41,$BH42))),""))</f>
        <v>708</v>
      </c>
      <c r="AC43" s="78" t="str">
        <f t="array" ref="AC43">IF($BJ42&gt;0,IF(INDEX('Final Calculation Sheet'!$AB$4:$AB$40,$BJ42-3)="","",INDEX('Final Calculation Sheet'!$AB$4:$AB$40,$BJ42-3)),IF(OR($BI42=1,$BL42=1,$BH42&gt;0),"–",""))</f>
        <v>01.09.2026</v>
      </c>
      <c r="AD43" s="78" t="str">
        <f t="array" ref="AD43">IF($BJ42&gt;0,IF(INDEX('Final Calculation Sheet'!$AC$4:$AC$40,$BJ42-3)="","",INDEX('Final Calculation Sheet'!$AC$4:$AC$40,$BJ42-3)),IF(OR($BI42=1,$BL42=1,$BH42&gt;0),IF($BI42=1,SUM('Final Calculation Sheet'!$AC$4:$AC$40),IF($BL42=1,SUM('Final Calculation Sheet'!$AC$4:$AC$40)-SUMIFS('Final Calculation Sheet'!$AC$4:$AC$40,$AZ$5:$AZ$41,10),SUMIFS('Final Calculation Sheet'!$AC$4:$AC$40,$AZ$5:$AZ$41,$BH42))),""))</f>
        <v>36,017</v>
      </c>
      <c r="AE43" s="78" t="str">
        <f t="array" ref="AE43">IF($BJ42&gt;0,IF(INDEX('Final Calculation Sheet'!$AD$4:$AD$40,$BJ42-3)="","",INDEX('Final Calculation Sheet'!$AD$4:$AD$40,$BJ42-3)),IF(OR($BI42=1,$BL42=1,$BH42&gt;0),IF($BI42=1,SUM('Final Calculation Sheet'!$AD$4:$AD$40),IF($BL42=1,SUM('Final Calculation Sheet'!$AD$4:$AD$40)-SUMIFS('Final Calculation Sheet'!$AD$4:$AD$40,$AZ$5:$AZ$41,10),SUMIFS('Final Calculation Sheet'!$AD$4:$AD$40,$AZ$5:$AZ$41,$BH42))),""))</f>
        <v>(708)</v>
      </c>
      <c r="AF43" s="78" t="str">
        <f t="array" ref="AF43">IF($BJ42&gt;0,IF(INDEX('Final Calculation Sheet'!$AE$4:$AE$40,$BJ42-3)="","",INDEX('Final Calculation Sheet'!$AE$4:$AE$40,$BJ42-3)),IF(OR($BI42=1,$BL42=1,$BH42&gt;0),"–",""))</f>
        <v/>
      </c>
      <c r="AG43" s="82" t="str">
        <f t="array" ref="AG43">IF($BJ42&gt;0,IF(INDEX('Final Calculation Sheet'!$AF$4:$AF$40,$BJ42-3)="","",INDEX('Final Calculation Sheet'!$AF$4:$AF$40,$BJ42-3)),IF(OR($BI42=1,$BL42=1,$BH42&gt;0),"–",""))</f>
        <v/>
      </c>
      <c r="AH43" s="78" t="str">
        <f t="array" ref="AH43">IF($BJ42&gt;0,IF(INDEX('Final Calculation Sheet'!$AG$4:$AG$40,$BJ42-3)="","",INDEX('Final Calculation Sheet'!$AG$4:$AG$40,$BJ42-3)),IF(OR($BI42=1,$BL42=1,$BH42&gt;0),"–",""))</f>
        <v/>
      </c>
      <c r="AI43" s="83" t="str">
        <f t="array" ref="AI43">IF($BJ42&gt;0,IF(INDEX('Final Calculation Sheet'!$AD$4:$AD$40,$BJ42-3)="","",IF(INDEX('Final Calculation Sheet'!$AD$4:$AD$40,$BJ42-3)&lt;=0,"SETTLED","OUTSTANDING")),IF(OR($BI42=1,$BL42=1,$BH42&gt;0),IF(IF($BI42=1,SUM('Final Calculation Sheet'!$AD$4:$AD$40),IF($BL42=1,SUM('Final Calculation Sheet'!$AD$4:$AD$40)-SUMIFS('Final Calculation Sheet'!$AD$4:$AD$40,$AZ$5:$AZ$41,10),SUMIFS('Final Calculation Sheet'!$AD$4:$AD$40,$AZ$5:$AZ$41,$BH42)))&lt;=0,"ALL SETTLED","OUTSTANDING"),""))</f>
        <v>SETTLED</v>
      </c>
      <c r="BH43" t="str">
        <f>IFERROR(MATCH(43,$BF$4:$BF$13,0),0)</f>
        <v>0</v>
      </c>
      <c r="BI43" t="str">
        <f>IF(43=$BG$5,1,0)</f>
        <v>0</v>
      </c>
      <c r="BJ43" t="str">
        <f t="array" ref="BJ43">IF(OR($BH43&gt;0,$BI43=1,$BL43=1),0,IFERROR(INDEX($BC$5:$BC$41,MATCH(43,$BB$5:$BB$41,0)),0))</f>
        <v>40</v>
      </c>
      <c r="BK43" t="str">
        <f t="array" ref="BK43">IF($BJ43&gt;0,IF(INDEX($AZ$5:$AZ$41,MATCH(43,$BB$5:$BB$41,0))=10,1,0),IF($BH43=10,1,0))</f>
        <v>1</v>
      </c>
      <c r="BL43" t="str">
        <f>IF(43=$BG$4,1,0)</f>
        <v>0</v>
      </c>
    </row>
    <row r="44" ht="15.0" customHeight="1">
      <c r="A44" s="75" t="str">
        <f t="array" ref="A44">IF($BJ43&gt;0,INDEX($BA$5:$BA$41,MATCH(43,$BB$5:$BB$41,0)),IF(OR($BI43=1,$BL43=1,$BH43&gt;0),"∑",""))</f>
        <v>36</v>
      </c>
      <c r="B44" s="76" t="str">
        <f t="array" ref="B44">IF($BJ43&gt;0,IF(INDEX('Final Calculation Sheet'!$F$4:$F$40,$BJ43-3)="","",INDEX('Final Calculation Sheet'!$F$4:$F$40,$BJ43-3)),"")</f>
        <v>2091</v>
      </c>
      <c r="C44" s="76" t="str">
        <f t="array" ref="C44">IF($BJ43&gt;0,IF(INDEX('Final Calculation Sheet'!$G$4:$G$40,$BJ43-3)="","",INDEX('Final Calculation Sheet'!$G$4:$G$40,$BJ43-3)),IF(OR($BI43=1,$BL43=1,$BH43&gt;0),IF($BI43=1,37,IF($BL43=1,37-INDEX($BD$4:$BD$13,10),INDEX($BD$4:$BD$13,$BH43)))&amp;" lot(s)",""))</f>
        <v>S M ENTERPRISES</v>
      </c>
      <c r="D44" s="77" t="str">
        <f t="array" ref="D44">IF($BJ43&gt;0,IF(INDEX('Final Calculation Sheet'!$B$4:$B$40,$BJ43-3)="","",INDEX('Final Calculation Sheet'!$B$4:$B$40,$BJ43-3)),IF(OR($BI43=1,$BL43=1,$BH43&gt;0),IF($BI43=1,"GRAND TOTAL  —  matching + remaining",IF($BL43=1,"TOTAL MATCHED  —  every group together",IF($BH43=10,"REMAINING  —  did not match the search",IF($BH43=9,IF(COUNTIF($A$4:$AI$4,"&lt;&gt;")&gt;0,"FILTERED LOTS  —  column fields","ALL LOTS  —  nothing typed in the box"),"GROUP "&amp;$BH43&amp;" TOTAL  —  lots matching  "&amp;INDEX($AR$6:$AY$6,$BH43))))),""))</f>
        <v>Scrap of 132 KV CT</v>
      </c>
      <c r="E44" s="77" t="str">
        <f t="array" ref="E44">IF($BJ43&gt;0,IF(INDEX('Final Calculation Sheet'!$D$4:$D$40,$BJ43-3)="","",INDEX('Final Calculation Sheet'!$D$4:$D$40,$BJ43-3)),IF(OR($BI43=1,$BL43=1,$BH43&gt;0),"–",""))</f>
        <v>21980</v>
      </c>
      <c r="F44" s="77" t="str">
        <f t="array" ref="F44">IF($BJ43&gt;0,IF(INDEX('Final Calculation Sheet'!$A$4:$A$40,$BJ43-3)="","",INDEX('Final Calculation Sheet'!$A$4:$A$40,$BJ43-3)),IF(OR($BI43=1,$BL43=1,$BH43&gt;0),IF($BI43=1,SUM('Final Calculation Sheet'!$A$4:$A$40),IF($BL43=1,SUM('Final Calculation Sheet'!$A$4:$A$40)-SUMIFS('Final Calculation Sheet'!$A$4:$A$40,$AZ$5:$AZ$41,10),SUMIFS('Final Calculation Sheet'!$A$4:$A$40,$AZ$5:$AZ$41,$BH43))),""))</f>
        <v>3</v>
      </c>
      <c r="G44" s="77" t="str">
        <f t="array" ref="G44">IF($BJ43&gt;0,IF(INDEX('Final Calculation Sheet'!$E$4:$E$40,$BJ43-3)="","",INDEX('Final Calculation Sheet'!$E$4:$E$40,$BJ43-3)),IF(OR($BI43=1,$BL43=1,$BH43&gt;0),"–",""))</f>
        <v>NO</v>
      </c>
      <c r="H44" s="78" t="str">
        <f t="array" ref="H44">IF($BJ43&gt;0,IF(INDEX('Final Calculation Sheet'!$C$4:$C$40,$BJ43-3)="","",INDEX('Final Calculation Sheet'!$C$4:$C$40,$BJ43-3)),IF(OR($BI43=1,$BL43=1,$BH43&gt;0),"–",""))</f>
        <v>40,003</v>
      </c>
      <c r="I44" s="78" t="str">
        <f t="array" ref="I44">IF($BJ43&gt;0,IF(INDEX('Final Calculation Sheet'!$H$4:$H$40,$BJ43-3)="","",INDEX('Final Calculation Sheet'!$H$4:$H$40,$BJ43-3)),IF(OR($BI43=1,$BL43=1,$BH43&gt;0),IF($BI43=1,SUM('Final Calculation Sheet'!$H$4:$H$40),IF($BL43=1,SUM('Final Calculation Sheet'!$H$4:$H$40)-SUMIFS('Final Calculation Sheet'!$H$4:$H$40,$AZ$5:$AZ$41,10),SUMIFS('Final Calculation Sheet'!$H$4:$H$40,$AZ$5:$AZ$41,$BH43))),""))</f>
        <v>120,009</v>
      </c>
      <c r="J44" s="78" t="str">
        <f t="array" ref="J44">IF($BJ43&gt;0,IF(INDEX('Final Calculation Sheet'!$I$4:$I$40,$BJ43-3)="","",INDEX('Final Calculation Sheet'!$I$4:$I$40,$BJ43-3)),IF(OR($BI43=1,$BL43=1,$BH43&gt;0),IF($BI43=1,SUM('Final Calculation Sheet'!$I$4:$I$40),IF($BL43=1,SUM('Final Calculation Sheet'!$I$4:$I$40)-SUMIFS('Final Calculation Sheet'!$I$4:$I$40,$AZ$5:$AZ$41,10),SUMIFS('Final Calculation Sheet'!$I$4:$I$40,$AZ$5:$AZ$41,$BH43))),""))</f>
        <v>21,602</v>
      </c>
      <c r="K44" s="78" t="str">
        <f t="array" ref="K44">IF($BJ43&gt;0,IF(INDEX('Final Calculation Sheet'!$J$4:$J$40,$BJ43-3)="","",INDEX('Final Calculation Sheet'!$J$4:$J$40,$BJ43-3)),IF(OR($BI43=1,$BL43=1,$BH43&gt;0),IF($BI43=1,SUM('Final Calculation Sheet'!$J$4:$J$40),IF($BL43=1,SUM('Final Calculation Sheet'!$J$4:$J$40)-SUMIFS('Final Calculation Sheet'!$J$4:$J$40,$AZ$5:$AZ$41,10),SUMIFS('Final Calculation Sheet'!$J$4:$J$40,$AZ$5:$AZ$41,$BH43))),""))</f>
        <v>141,611</v>
      </c>
      <c r="L44" s="78" t="str">
        <f t="array" ref="L44">IF($BJ43&gt;0,IF(INDEX('Final Calculation Sheet'!$K$4:$K$40,$BJ43-3)="","",INDEX('Final Calculation Sheet'!$K$4:$K$40,$BJ43-3)),IF(OR($BI43=1,$BL43=1,$BH43&gt;0),IF($BI43=1,SUM('Final Calculation Sheet'!$K$4:$K$40),IF($BL43=1,SUM('Final Calculation Sheet'!$K$4:$K$40)-SUMIFS('Final Calculation Sheet'!$K$4:$K$40,$AZ$5:$AZ$41,10),SUMIFS('Final Calculation Sheet'!$K$4:$K$40,$AZ$5:$AZ$41,$BH43))),""))</f>
        <v>2,832</v>
      </c>
      <c r="M44" s="78" t="str">
        <f t="array" ref="M44">IF($BJ43&gt;0,IF(INDEX('Final Calculation Sheet'!$L$4:$L$40,$BJ43-3)="","",INDEX('Final Calculation Sheet'!$L$4:$L$40,$BJ43-3)),IF(OR($BI43=1,$BL43=1,$BH43&gt;0),IF($BI43=1,SUM('Final Calculation Sheet'!$L$4:$L$40),IF($BL43=1,SUM('Final Calculation Sheet'!$L$4:$L$40)-SUMIFS('Final Calculation Sheet'!$L$4:$L$40,$AZ$5:$AZ$41,10),SUMIFS('Final Calculation Sheet'!$L$4:$L$40,$AZ$5:$AZ$41,$BH43))),""))</f>
        <v>120</v>
      </c>
      <c r="N44" s="78" t="str">
        <f t="array" ref="N44">IF($BJ43&gt;0,IF(INDEX('Final Calculation Sheet'!$M$4:$M$40,$BJ43-3)="","",INDEX('Final Calculation Sheet'!$M$4:$M$40,$BJ43-3)),IF(OR($BI43=1,$BL43=1,$BH43&gt;0),IF($BI43=1,SUM('Final Calculation Sheet'!$M$4:$M$40),IF($BL43=1,SUM('Final Calculation Sheet'!$M$4:$M$40)-SUMIFS('Final Calculation Sheet'!$M$4:$M$40,$AZ$5:$AZ$41,10),SUMIFS('Final Calculation Sheet'!$M$4:$M$40,$AZ$5:$AZ$41,$BH43))),""))</f>
        <v>3,186</v>
      </c>
      <c r="O44" s="79" t="str">
        <f t="array" ref="O44">IF($BJ43&gt;0,IF(INDEX('Final Calculation Sheet'!$N$4:$N$40,$BJ43-3)="","",INDEX('Final Calculation Sheet'!$N$4:$N$40,$BJ43-3)),IF(OR($BI43=1,$BL43=1,$BH43&gt;0),IF($BI43=1,SUM('Final Calculation Sheet'!$N$4:$N$40),IF($BL43=1,SUM('Final Calculation Sheet'!$N$4:$N$40)-SUMIFS('Final Calculation Sheet'!$N$4:$N$40,$AZ$5:$AZ$41,10),SUMIFS('Final Calculation Sheet'!$N$4:$N$40,$AZ$5:$AZ$41,$BH43))),""))</f>
        <v>54</v>
      </c>
      <c r="P44" s="78" t="str">
        <f t="array" ref="P44">IF($BJ43&gt;0,IF(INDEX('Final Calculation Sheet'!$O$4:$O$40,$BJ43-3)="","",INDEX('Final Calculation Sheet'!$O$4:$O$40,$BJ43-3)),IF(OR($BI43=1,$BL43=1,$BH43&gt;0),IF($BI43=1,SUM('Final Calculation Sheet'!$O$4:$O$40),IF($BL43=1,SUM('Final Calculation Sheet'!$O$4:$O$40)-SUMIFS('Final Calculation Sheet'!$O$4:$O$40,$AZ$5:$AZ$41,10),SUMIFS('Final Calculation Sheet'!$O$4:$O$40,$AZ$5:$AZ$41,$BH43))),""))</f>
        <v>3,132</v>
      </c>
      <c r="Q44" s="78" t="str">
        <f t="array" ref="Q44">IF($BJ43&gt;0,IF(INDEX('Final Calculation Sheet'!$P$4:$P$40,$BJ43-3)="","",INDEX('Final Calculation Sheet'!$P$4:$P$40,$BJ43-3)),IF(OR($BI43=1,$BL43=1,$BH43&gt;0),IF($BI43=1,SUM('Final Calculation Sheet'!$P$4:$P$40),IF($BL43=1,SUM('Final Calculation Sheet'!$P$4:$P$40)-SUMIFS('Final Calculation Sheet'!$P$4:$P$40,$AZ$5:$AZ$41,10),SUMIFS('Final Calculation Sheet'!$P$4:$P$40,$AZ$5:$AZ$41,$BH43))),""))</f>
        <v>3,252</v>
      </c>
      <c r="R44" s="80" t="str">
        <f t="array" ref="R44">IF($BJ43&gt;0,IF(INDEX('Final Calculation Sheet'!$Q$4:$Q$40,$BJ43-3)="","",INDEX('Final Calculation Sheet'!$Q$4:$Q$40,$BJ43-3)),IF(OR($BI43=1,$BL43=1,$BH43&gt;0),"–",""))</f>
        <v>0%</v>
      </c>
      <c r="S44" s="78" t="str">
        <f t="array" ref="S44">IF($BJ43&gt;0,IF(INDEX('Final Calculation Sheet'!$R$4:$R$40,$BJ43-3)="","",INDEX('Final Calculation Sheet'!$R$4:$R$40,$BJ43-3)),IF(OR($BI43=1,$BL43=1,$BH43&gt;0),IF($BI43=1,SUM('Final Calculation Sheet'!$R$4:$R$40),IF($BL43=1,SUM('Final Calculation Sheet'!$R$4:$R$40)-SUMIFS('Final Calculation Sheet'!$R$4:$R$40,$AZ$5:$AZ$41,10),SUMIFS('Final Calculation Sheet'!$R$4:$R$40,$AZ$5:$AZ$41,$BH43))),""))</f>
        <v>0</v>
      </c>
      <c r="T44" s="78" t="str">
        <f t="array" ref="T44">IF($BJ43&gt;0,IF(INDEX('Final Calculation Sheet'!$S$4:$S$40,$BJ43-3)="","",INDEX('Final Calculation Sheet'!$S$4:$S$40,$BJ43-3)),IF(OR($BI43=1,$BL43=1,$BH43&gt;0),IF($BI43=1,SUM('Final Calculation Sheet'!$S$4:$S$40),IF($BL43=1,SUM('Final Calculation Sheet'!$S$4:$S$40)-SUMIFS('Final Calculation Sheet'!$S$4:$S$40,$AZ$5:$AZ$41,10),SUMIFS('Final Calculation Sheet'!$S$4:$S$40,$AZ$5:$AZ$41,$BH43))),""))</f>
        <v>141,191</v>
      </c>
      <c r="U44" s="78" t="str">
        <f t="array" ref="U44">IF($BJ43&gt;0,IF(INDEX('Final Calculation Sheet'!$T$4:$T$40,$BJ43-3)="","",INDEX('Final Calculation Sheet'!$T$4:$T$40,$BJ43-3)),IF(OR($BI43=1,$BL43=1,$BH43&gt;0),IF($BI43=1,SUM('Final Calculation Sheet'!$T$4:$T$40),IF($BL43=1,SUM('Final Calculation Sheet'!$T$4:$T$40)-SUMIFS('Final Calculation Sheet'!$T$4:$T$40,$AZ$5:$AZ$41,10),SUMIFS('Final Calculation Sheet'!$T$4:$T$40,$AZ$5:$AZ$41,$BH43))),""))</f>
        <v>30,002</v>
      </c>
      <c r="V44" s="81" t="str">
        <f t="array" ref="V44">IF($BJ43&gt;0,IF(INDEX('Final Calculation Sheet'!$U$4:$U$40,$BJ43-3)="","",INDEX('Final Calculation Sheet'!$U$4:$U$40,$BJ43-3)),IF(OR($BI43=1,$BL43=1,$BH43&gt;0),IF($BI43=1,SUM('Final Calculation Sheet'!$U$4:$U$40),IF($BL43=1,SUM('Final Calculation Sheet'!$U$4:$U$40)-SUMIFS('Final Calculation Sheet'!$U$4:$U$40,$AZ$5:$AZ$41,10),SUMIFS('Final Calculation Sheet'!$U$4:$U$40,$AZ$5:$AZ$41,$BH43))),""))</f>
        <v>  30,002 </v>
      </c>
      <c r="W44" s="78" t="str">
        <f t="array" ref="W44">IF($BJ43&gt;0,IF(INDEX('Final Calculation Sheet'!$V$4:$V$40,$BJ43-3)="","",INDEX('Final Calculation Sheet'!$V$4:$V$40,$BJ43-3)),IF(OR($BI43=1,$BL43=1,$BH43&gt;0),"–",""))</f>
        <v>14.08.2026</v>
      </c>
      <c r="X44" s="78" t="str">
        <f t="array" ref="X44">IF($BJ43&gt;0,IF(INDEX('Final Calculation Sheet'!$W$4:$W$40,$BJ43-3)="","",INDEX('Final Calculation Sheet'!$W$4:$W$40,$BJ43-3)),IF(OR($BI43=1,$BL43=1,$BH43&gt;0),IF($BI43=1,SUM('Final Calculation Sheet'!$W$4:$W$40),IF($BL43=1,SUM('Final Calculation Sheet'!$W$4:$W$40)-SUMIFS('Final Calculation Sheet'!$W$4:$W$40,$AZ$5:$AZ$41,10),SUMIFS('Final Calculation Sheet'!$W$4:$W$40,$AZ$5:$AZ$41,$BH43))),""))</f>
        <v>111,188</v>
      </c>
      <c r="Y44" s="78" t="str">
        <f t="array" ref="Y44">IF($BJ43&gt;0,IF(INDEX('Final Calculation Sheet'!$X$4:$X$40,$BJ43-3)="","",INDEX('Final Calculation Sheet'!$X$4:$X$40,$BJ43-3)),IF(OR($BI43=1,$BL43=1,$BH43&gt;0),IF($BI43=1,SUM('Final Calculation Sheet'!$X$4:$X$40),IF($BL43=1,SUM('Final Calculation Sheet'!$X$4:$X$40)-SUMIFS('Final Calculation Sheet'!$X$4:$X$40,$AZ$5:$AZ$41,10),SUMIFS('Final Calculation Sheet'!$X$4:$X$40,$AZ$5:$AZ$41,$BH43))),""))</f>
        <v>111,189</v>
      </c>
      <c r="Z44" s="78" t="str">
        <f t="array" ref="Z44">IF($BJ43&gt;0,IF(INDEX('Final Calculation Sheet'!$Y$4:$Y$40,$BJ43-3)="","",INDEX('Final Calculation Sheet'!$Y$4:$Y$40,$BJ43-3)),IF(OR($BI43=1,$BL43=1,$BH43&gt;0),"–",""))</f>
        <v>01.09.2026</v>
      </c>
      <c r="AA44" s="78" t="str">
        <f t="array" ref="AA44">IF($BJ43&gt;0,IF(INDEX('Final Calculation Sheet'!$Z$4:$Z$40,$BJ43-3)="","",INDEX('Final Calculation Sheet'!$Z$4:$Z$40,$BJ43-3)),IF(OR($BI43=1,$BL43=1,$BH43&gt;0),IF($BI43=1,SUM('Final Calculation Sheet'!$Z$4:$Z$40),IF($BL43=1,SUM('Final Calculation Sheet'!$Z$4:$Z$40)-SUMIFS('Final Calculation Sheet'!$Z$4:$Z$40,$AZ$5:$AZ$41,10),SUMIFS('Final Calculation Sheet'!$Z$4:$Z$40,$AZ$5:$AZ$41,$BH43))),""))</f>
        <v>2,832</v>
      </c>
      <c r="AB44" s="78" t="str">
        <f t="array" ref="AB44">IF($BJ43&gt;0,IF(INDEX('Final Calculation Sheet'!$AA$4:$AA$40,$BJ43-3)="","",INDEX('Final Calculation Sheet'!$AA$4:$AA$40,$BJ43-3)),IF(OR($BI43=1,$BL43=1,$BH43&gt;0),IF($BI43=1,SUM('Final Calculation Sheet'!$AA$4:$AA$40),IF($BL43=1,SUM('Final Calculation Sheet'!$AA$4:$AA$40)-SUMIFS('Final Calculation Sheet'!$AA$4:$AA$40,$AZ$5:$AZ$41,10),SUMIFS('Final Calculation Sheet'!$AA$4:$AA$40,$AZ$5:$AZ$41,$BH43))),""))</f>
        <v>2,832</v>
      </c>
      <c r="AC44" s="78" t="str">
        <f t="array" ref="AC44">IF($BJ43&gt;0,IF(INDEX('Final Calculation Sheet'!$AB$4:$AB$40,$BJ43-3)="","",INDEX('Final Calculation Sheet'!$AB$4:$AB$40,$BJ43-3)),IF(OR($BI43=1,$BL43=1,$BH43&gt;0),"–",""))</f>
        <v>01.09.2026</v>
      </c>
      <c r="AD44" s="78" t="str">
        <f t="array" ref="AD44">IF($BJ43&gt;0,IF(INDEX('Final Calculation Sheet'!$AC$4:$AC$40,$BJ43-3)="","",INDEX('Final Calculation Sheet'!$AC$4:$AC$40,$BJ43-3)),IF(OR($BI43=1,$BL43=1,$BH43&gt;0),IF($BI43=1,SUM('Final Calculation Sheet'!$AC$4:$AC$40),IF($BL43=1,SUM('Final Calculation Sheet'!$AC$4:$AC$40)-SUMIFS('Final Calculation Sheet'!$AC$4:$AC$40,$AZ$5:$AZ$41,10),SUMIFS('Final Calculation Sheet'!$AC$4:$AC$40,$AZ$5:$AZ$41,$BH43))),""))</f>
        <v>144,023</v>
      </c>
      <c r="AE44" s="78" t="str">
        <f t="array" ref="AE44">IF($BJ43&gt;0,IF(INDEX('Final Calculation Sheet'!$AD$4:$AD$40,$BJ43-3)="","",INDEX('Final Calculation Sheet'!$AD$4:$AD$40,$BJ43-3)),IF(OR($BI43=1,$BL43=1,$BH43&gt;0),IF($BI43=1,SUM('Final Calculation Sheet'!$AD$4:$AD$40),IF($BL43=1,SUM('Final Calculation Sheet'!$AD$4:$AD$40)-SUMIFS('Final Calculation Sheet'!$AD$4:$AD$40,$AZ$5:$AZ$41,10),SUMIFS('Final Calculation Sheet'!$AD$4:$AD$40,$AZ$5:$AZ$41,$BH43))),""))</f>
        <v>(2,832)</v>
      </c>
      <c r="AF44" s="78" t="str">
        <f t="array" ref="AF44">IF($BJ43&gt;0,IF(INDEX('Final Calculation Sheet'!$AE$4:$AE$40,$BJ43-3)="","",INDEX('Final Calculation Sheet'!$AE$4:$AE$40,$BJ43-3)),IF(OR($BI43=1,$BL43=1,$BH43&gt;0),"–",""))</f>
        <v/>
      </c>
      <c r="AG44" s="82" t="str">
        <f t="array" ref="AG44">IF($BJ43&gt;0,IF(INDEX('Final Calculation Sheet'!$AF$4:$AF$40,$BJ43-3)="","",INDEX('Final Calculation Sheet'!$AF$4:$AF$40,$BJ43-3)),IF(OR($BI43=1,$BL43=1,$BH43&gt;0),"–",""))</f>
        <v/>
      </c>
      <c r="AH44" s="78" t="str">
        <f t="array" ref="AH44">IF($BJ43&gt;0,IF(INDEX('Final Calculation Sheet'!$AG$4:$AG$40,$BJ43-3)="","",INDEX('Final Calculation Sheet'!$AG$4:$AG$40,$BJ43-3)),IF(OR($BI43=1,$BL43=1,$BH43&gt;0),"–",""))</f>
        <v/>
      </c>
      <c r="AI44" s="83" t="str">
        <f t="array" ref="AI44">IF($BJ43&gt;0,IF(INDEX('Final Calculation Sheet'!$AD$4:$AD$40,$BJ43-3)="","",IF(INDEX('Final Calculation Sheet'!$AD$4:$AD$40,$BJ43-3)&lt;=0,"SETTLED","OUTSTANDING")),IF(OR($BI43=1,$BL43=1,$BH43&gt;0),IF(IF($BI43=1,SUM('Final Calculation Sheet'!$AD$4:$AD$40),IF($BL43=1,SUM('Final Calculation Sheet'!$AD$4:$AD$40)-SUMIFS('Final Calculation Sheet'!$AD$4:$AD$40,$AZ$5:$AZ$41,10),SUMIFS('Final Calculation Sheet'!$AD$4:$AD$40,$AZ$5:$AZ$41,$BH43)))&lt;=0,"ALL SETTLED","OUTSTANDING"),""))</f>
        <v>SETTLED</v>
      </c>
      <c r="BH44" t="str">
        <f>IFERROR(MATCH(44,$BF$4:$BF$13,0),0)</f>
        <v>10</v>
      </c>
      <c r="BI44" t="str">
        <f>IF(44=$BG$5,1,0)</f>
        <v>0</v>
      </c>
      <c r="BJ44" t="str">
        <f t="array" ref="BJ44">IF(OR($BH44&gt;0,$BI44=1,$BL44=1),0,IFERROR(INDEX($BC$5:$BC$41,MATCH(44,$BB$5:$BB$41,0)),0))</f>
        <v>0</v>
      </c>
      <c r="BK44" t="str">
        <f t="array" ref="BK44">IF($BJ44&gt;0,IF(INDEX($AZ$5:$AZ$41,MATCH(44,$BB$5:$BB$41,0))=10,1,0),IF($BH44=10,1,0))</f>
        <v>1</v>
      </c>
      <c r="BL44" t="str">
        <f>IF(44=$BG$4,1,0)</f>
        <v>0</v>
      </c>
    </row>
    <row r="45" ht="15.0" customHeight="1">
      <c r="A45" s="75" t="str">
        <f t="array" ref="A45">IF($BJ44&gt;0,INDEX($BA$5:$BA$41,MATCH(44,$BB$5:$BB$41,0)),IF(OR($BI44=1,$BL44=1,$BH44&gt;0),"∑",""))</f>
        <v>∑</v>
      </c>
      <c r="B45" s="76" t="str">
        <f t="array" ref="B45">IF($BJ44&gt;0,IF(INDEX('Final Calculation Sheet'!$F$4:$F$40,$BJ44-3)="","",INDEX('Final Calculation Sheet'!$F$4:$F$40,$BJ44-3)),"")</f>
        <v/>
      </c>
      <c r="C45" s="76" t="str">
        <f t="array" ref="C45">IF($BJ44&gt;0,IF(INDEX('Final Calculation Sheet'!$G$4:$G$40,$BJ44-3)="","",INDEX('Final Calculation Sheet'!$G$4:$G$40,$BJ44-3)),IF(OR($BI44=1,$BL44=1,$BH44&gt;0),IF($BI44=1,37,IF($BL44=1,37-INDEX($BD$4:$BD$13,10),INDEX($BD$4:$BD$13,$BH44)))&amp;" lot(s)",""))</f>
        <v>36 lot(s)</v>
      </c>
      <c r="D45" s="77" t="str">
        <f t="array" ref="D45">IF($BJ44&gt;0,IF(INDEX('Final Calculation Sheet'!$B$4:$B$40,$BJ44-3)="","",INDEX('Final Calculation Sheet'!$B$4:$B$40,$BJ44-3)),IF(OR($BI44=1,$BL44=1,$BH44&gt;0),IF($BI44=1,"GRAND TOTAL  —  matching + remaining",IF($BL44=1,"TOTAL MATCHED  —  every group together",IF($BH44=10,"REMAINING  —  did not match the search",IF($BH44=9,IF(COUNTIF($A$4:$AI$4,"&lt;&gt;")&gt;0,"FILTERED LOTS  —  column fields","ALL LOTS  —  nothing typed in the box"),"GROUP "&amp;$BH44&amp;" TOTAL  —  lots matching  "&amp;INDEX($AR$6:$AY$6,$BH44))))),""))</f>
        <v>REMAINING  —  did not match the search</v>
      </c>
      <c r="E45" s="77" t="str">
        <f t="array" ref="E45">IF($BJ44&gt;0,IF(INDEX('Final Calculation Sheet'!$D$4:$D$40,$BJ44-3)="","",INDEX('Final Calculation Sheet'!$D$4:$D$40,$BJ44-3)),IF(OR($BI44=1,$BL44=1,$BH44&gt;0),"–",""))</f>
        <v>–</v>
      </c>
      <c r="F45" s="77" t="str">
        <f t="array" ref="F45">IF($BJ44&gt;0,IF(INDEX('Final Calculation Sheet'!$A$4:$A$40,$BJ44-3)="","",INDEX('Final Calculation Sheet'!$A$4:$A$40,$BJ44-3)),IF(OR($BI44=1,$BL44=1,$BH44&gt;0),IF($BI44=1,SUM('Final Calculation Sheet'!$A$4:$A$40),IF($BL44=1,SUM('Final Calculation Sheet'!$A$4:$A$40)-SUMIFS('Final Calculation Sheet'!$A$4:$A$40,$AZ$5:$AZ$41,10),SUMIFS('Final Calculation Sheet'!$A$4:$A$40,$AZ$5:$AZ$41,$BH44))),""))</f>
        <v>17057.2</v>
      </c>
      <c r="G45" s="77" t="str">
        <f t="array" ref="G45">IF($BJ44&gt;0,IF(INDEX('Final Calculation Sheet'!$E$4:$E$40,$BJ44-3)="","",INDEX('Final Calculation Sheet'!$E$4:$E$40,$BJ44-3)),IF(OR($BI44=1,$BL44=1,$BH44&gt;0),"–",""))</f>
        <v>–</v>
      </c>
      <c r="H45" s="78" t="str">
        <f t="array" ref="H45">IF($BJ44&gt;0,IF(INDEX('Final Calculation Sheet'!$C$4:$C$40,$BJ44-3)="","",INDEX('Final Calculation Sheet'!$C$4:$C$40,$BJ44-3)),IF(OR($BI44=1,$BL44=1,$BH44&gt;0),"–",""))</f>
        <v>–</v>
      </c>
      <c r="I45" s="78" t="str">
        <f t="array" ref="I45">IF($BJ44&gt;0,IF(INDEX('Final Calculation Sheet'!$H$4:$H$40,$BJ44-3)="","",INDEX('Final Calculation Sheet'!$H$4:$H$40,$BJ44-3)),IF(OR($BI44=1,$BL44=1,$BH44&gt;0),IF($BI44=1,SUM('Final Calculation Sheet'!$H$4:$H$40),IF($BL44=1,SUM('Final Calculation Sheet'!$H$4:$H$40)-SUMIFS('Final Calculation Sheet'!$H$4:$H$40,$AZ$5:$AZ$41,10),SUMIFS('Final Calculation Sheet'!$H$4:$H$40,$AZ$5:$AZ$41,$BH44))),""))</f>
        <v>15,059,598</v>
      </c>
      <c r="J45" s="78" t="str">
        <f t="array" ref="J45">IF($BJ44&gt;0,IF(INDEX('Final Calculation Sheet'!$I$4:$I$40,$BJ44-3)="","",INDEX('Final Calculation Sheet'!$I$4:$I$40,$BJ44-3)),IF(OR($BI44=1,$BL44=1,$BH44&gt;0),IF($BI44=1,SUM('Final Calculation Sheet'!$I$4:$I$40),IF($BL44=1,SUM('Final Calculation Sheet'!$I$4:$I$40)-SUMIFS('Final Calculation Sheet'!$I$4:$I$40,$AZ$5:$AZ$41,10),SUMIFS('Final Calculation Sheet'!$I$4:$I$40,$AZ$5:$AZ$41,$BH44))),""))</f>
        <v>2,710,728</v>
      </c>
      <c r="K45" s="78" t="str">
        <f t="array" ref="K45">IF($BJ44&gt;0,IF(INDEX('Final Calculation Sheet'!$J$4:$J$40,$BJ44-3)="","",INDEX('Final Calculation Sheet'!$J$4:$J$40,$BJ44-3)),IF(OR($BI44=1,$BL44=1,$BH44&gt;0),IF($BI44=1,SUM('Final Calculation Sheet'!$J$4:$J$40),IF($BL44=1,SUM('Final Calculation Sheet'!$J$4:$J$40)-SUMIFS('Final Calculation Sheet'!$J$4:$J$40,$AZ$5:$AZ$41,10),SUMIFS('Final Calculation Sheet'!$J$4:$J$40,$AZ$5:$AZ$41,$BH44))),""))</f>
        <v>17,770,326</v>
      </c>
      <c r="L45" s="78" t="str">
        <f t="array" ref="L45">IF($BJ44&gt;0,IF(INDEX('Final Calculation Sheet'!$K$4:$K$40,$BJ44-3)="","",INDEX('Final Calculation Sheet'!$K$4:$K$40,$BJ44-3)),IF(OR($BI44=1,$BL44=1,$BH44&gt;0),IF($BI44=1,SUM('Final Calculation Sheet'!$K$4:$K$40),IF($BL44=1,SUM('Final Calculation Sheet'!$K$4:$K$40)-SUMIFS('Final Calculation Sheet'!$K$4:$K$40,$AZ$5:$AZ$41,10),SUMIFS('Final Calculation Sheet'!$K$4:$K$40,$AZ$5:$AZ$41,$BH44))),""))</f>
        <v>355,406</v>
      </c>
      <c r="M45" s="78" t="str">
        <f t="array" ref="M45">IF($BJ44&gt;0,IF(INDEX('Final Calculation Sheet'!$L$4:$L$40,$BJ44-3)="","",INDEX('Final Calculation Sheet'!$L$4:$L$40,$BJ44-3)),IF(OR($BI44=1,$BL44=1,$BH44&gt;0),IF($BI44=1,SUM('Final Calculation Sheet'!$L$4:$L$40),IF($BL44=1,SUM('Final Calculation Sheet'!$L$4:$L$40)-SUMIFS('Final Calculation Sheet'!$L$4:$L$40,$AZ$5:$AZ$41,10),SUMIFS('Final Calculation Sheet'!$L$4:$L$40,$AZ$5:$AZ$41,$BH44))),""))</f>
        <v>15,060</v>
      </c>
      <c r="N45" s="78" t="str">
        <f t="array" ref="N45">IF($BJ44&gt;0,IF(INDEX('Final Calculation Sheet'!$M$4:$M$40,$BJ44-3)="","",INDEX('Final Calculation Sheet'!$M$4:$M$40,$BJ44-3)),IF(OR($BI44=1,$BL44=1,$BH44&gt;0),IF($BI44=1,SUM('Final Calculation Sheet'!$M$4:$M$40),IF($BL44=1,SUM('Final Calculation Sheet'!$M$4:$M$40)-SUMIFS('Final Calculation Sheet'!$M$4:$M$40,$AZ$5:$AZ$41,10),SUMIFS('Final Calculation Sheet'!$M$4:$M$40,$AZ$5:$AZ$41,$BH44))),""))</f>
        <v>399,832</v>
      </c>
      <c r="O45" s="79" t="str">
        <f t="array" ref="O45">IF($BJ44&gt;0,IF(INDEX('Final Calculation Sheet'!$N$4:$N$40,$BJ44-3)="","",INDEX('Final Calculation Sheet'!$N$4:$N$40,$BJ44-3)),IF(OR($BI44=1,$BL44=1,$BH44&gt;0),IF($BI44=1,SUM('Final Calculation Sheet'!$N$4:$N$40),IF($BL44=1,SUM('Final Calculation Sheet'!$N$4:$N$40)-SUMIFS('Final Calculation Sheet'!$N$4:$N$40,$AZ$5:$AZ$41,10),SUMIFS('Final Calculation Sheet'!$N$4:$N$40,$AZ$5:$AZ$41,$BH44))),""))</f>
        <v>6,777</v>
      </c>
      <c r="P45" s="78" t="str">
        <f t="array" ref="P45">IF($BJ44&gt;0,IF(INDEX('Final Calculation Sheet'!$O$4:$O$40,$BJ44-3)="","",INDEX('Final Calculation Sheet'!$O$4:$O$40,$BJ44-3)),IF(OR($BI44=1,$BL44=1,$BH44&gt;0),IF($BI44=1,SUM('Final Calculation Sheet'!$O$4:$O$40),IF($BL44=1,SUM('Final Calculation Sheet'!$O$4:$O$40)-SUMIFS('Final Calculation Sheet'!$O$4:$O$40,$AZ$5:$AZ$41,10),SUMIFS('Final Calculation Sheet'!$O$4:$O$40,$AZ$5:$AZ$41,$BH44))),""))</f>
        <v>393,056</v>
      </c>
      <c r="Q45" s="78" t="str">
        <f t="array" ref="Q45">IF($BJ44&gt;0,IF(INDEX('Final Calculation Sheet'!$P$4:$P$40,$BJ44-3)="","",INDEX('Final Calculation Sheet'!$P$4:$P$40,$BJ44-3)),IF(OR($BI44=1,$BL44=1,$BH44&gt;0),IF($BI44=1,SUM('Final Calculation Sheet'!$P$4:$P$40),IF($BL44=1,SUM('Final Calculation Sheet'!$P$4:$P$40)-SUMIFS('Final Calculation Sheet'!$P$4:$P$40,$AZ$5:$AZ$41,10),SUMIFS('Final Calculation Sheet'!$P$4:$P$40,$AZ$5:$AZ$41,$BH44))),""))</f>
        <v>408,115</v>
      </c>
      <c r="R45" s="80" t="str">
        <f t="array" ref="R45">IF($BJ44&gt;0,IF(INDEX('Final Calculation Sheet'!$Q$4:$Q$40,$BJ44-3)="","",INDEX('Final Calculation Sheet'!$Q$4:$Q$40,$BJ44-3)),IF(OR($BI44=1,$BL44=1,$BH44&gt;0),"–",""))</f>
        <v>–</v>
      </c>
      <c r="S45" s="78" t="str">
        <f t="array" ref="S45">IF($BJ44&gt;0,IF(INDEX('Final Calculation Sheet'!$R$4:$R$40,$BJ44-3)="","",INDEX('Final Calculation Sheet'!$R$4:$R$40,$BJ44-3)),IF(OR($BI44=1,$BL44=1,$BH44&gt;0),IF($BI44=1,SUM('Final Calculation Sheet'!$R$4:$R$40),IF($BL44=1,SUM('Final Calculation Sheet'!$R$4:$R$40)-SUMIFS('Final Calculation Sheet'!$R$4:$R$40,$AZ$5:$AZ$41,10),SUMIFS('Final Calculation Sheet'!$R$4:$R$40,$AZ$5:$AZ$41,$BH44))),""))</f>
        <v>83,029</v>
      </c>
      <c r="T45" s="78" t="str">
        <f t="array" ref="T45">IF($BJ44&gt;0,IF(INDEX('Final Calculation Sheet'!$S$4:$S$40,$BJ44-3)="","",INDEX('Final Calculation Sheet'!$S$4:$S$40,$BJ44-3)),IF(OR($BI44=1,$BL44=1,$BH44&gt;0),IF($BI44=1,SUM('Final Calculation Sheet'!$S$4:$S$40),IF($BL44=1,SUM('Final Calculation Sheet'!$S$4:$S$40)-SUMIFS('Final Calculation Sheet'!$S$4:$S$40,$AZ$5:$AZ$41,10),SUMIFS('Final Calculation Sheet'!$S$4:$S$40,$AZ$5:$AZ$41,$BH44))),""))</f>
        <v>17,634,591</v>
      </c>
      <c r="U45" s="78" t="str">
        <f t="array" ref="U45">IF($BJ44&gt;0,IF(INDEX('Final Calculation Sheet'!$T$4:$T$40,$BJ44-3)="","",INDEX('Final Calculation Sheet'!$T$4:$T$40,$BJ44-3)),IF(OR($BI44=1,$BL44=1,$BH44&gt;0),IF($BI44=1,SUM('Final Calculation Sheet'!$T$4:$T$40),IF($BL44=1,SUM('Final Calculation Sheet'!$T$4:$T$40)-SUMIFS('Final Calculation Sheet'!$T$4:$T$40,$AZ$5:$AZ$41,10),SUMIFS('Final Calculation Sheet'!$T$4:$T$40,$AZ$5:$AZ$41,$BH44))),""))</f>
        <v>3,764,904</v>
      </c>
      <c r="V45" s="81" t="str">
        <f t="array" ref="V45">IF($BJ44&gt;0,IF(INDEX('Final Calculation Sheet'!$U$4:$U$40,$BJ44-3)="","",INDEX('Final Calculation Sheet'!$U$4:$U$40,$BJ44-3)),IF(OR($BI44=1,$BL44=1,$BH44&gt;0),IF($BI44=1,SUM('Final Calculation Sheet'!$U$4:$U$40),IF($BL44=1,SUM('Final Calculation Sheet'!$U$4:$U$40)-SUMIFS('Final Calculation Sheet'!$U$4:$U$40,$AZ$5:$AZ$41,10),SUMIFS('Final Calculation Sheet'!$U$4:$U$40,$AZ$5:$AZ$41,$BH44))),""))</f>
        <v>  3,764,904 </v>
      </c>
      <c r="W45" s="78" t="str">
        <f t="array" ref="W45">IF($BJ44&gt;0,IF(INDEX('Final Calculation Sheet'!$V$4:$V$40,$BJ44-3)="","",INDEX('Final Calculation Sheet'!$V$4:$V$40,$BJ44-3)),IF(OR($BI44=1,$BL44=1,$BH44&gt;0),"–",""))</f>
        <v>–</v>
      </c>
      <c r="X45" s="78" t="str">
        <f t="array" ref="X45">IF($BJ44&gt;0,IF(INDEX('Final Calculation Sheet'!$W$4:$W$40,$BJ44-3)="","",INDEX('Final Calculation Sheet'!$W$4:$W$40,$BJ44-3)),IF(OR($BI44=1,$BL44=1,$BH44&gt;0),IF($BI44=1,SUM('Final Calculation Sheet'!$W$4:$W$40),IF($BL44=1,SUM('Final Calculation Sheet'!$W$4:$W$40)-SUMIFS('Final Calculation Sheet'!$W$4:$W$40,$AZ$5:$AZ$41,10),SUMIFS('Final Calculation Sheet'!$W$4:$W$40,$AZ$5:$AZ$41,$BH44))),""))</f>
        <v>13,869,691</v>
      </c>
      <c r="Y45" s="78" t="str">
        <f t="array" ref="Y45">IF($BJ44&gt;0,IF(INDEX('Final Calculation Sheet'!$X$4:$X$40,$BJ44-3)="","",INDEX('Final Calculation Sheet'!$X$4:$X$40,$BJ44-3)),IF(OR($BI44=1,$BL44=1,$BH44&gt;0),IF($BI44=1,SUM('Final Calculation Sheet'!$X$4:$X$40),IF($BL44=1,SUM('Final Calculation Sheet'!$X$4:$X$40)-SUMIFS('Final Calculation Sheet'!$X$4:$X$40,$AZ$5:$AZ$41,10),SUMIFS('Final Calculation Sheet'!$X$4:$X$40,$AZ$5:$AZ$41,$BH44))),""))</f>
        <v>13,071,511</v>
      </c>
      <c r="Z45" s="78" t="str">
        <f t="array" ref="Z45">IF($BJ44&gt;0,IF(INDEX('Final Calculation Sheet'!$Y$4:$Y$40,$BJ44-3)="","",INDEX('Final Calculation Sheet'!$Y$4:$Y$40,$BJ44-3)),IF(OR($BI44=1,$BL44=1,$BH44&gt;0),"–",""))</f>
        <v>–</v>
      </c>
      <c r="AA45" s="78" t="str">
        <f t="array" ref="AA45">IF($BJ44&gt;0,IF(INDEX('Final Calculation Sheet'!$Z$4:$Z$40,$BJ44-3)="","",INDEX('Final Calculation Sheet'!$Z$4:$Z$40,$BJ44-3)),IF(OR($BI44=1,$BL44=1,$BH44&gt;0),IF($BI44=1,SUM('Final Calculation Sheet'!$Z$4:$Z$40),IF($BL44=1,SUM('Final Calculation Sheet'!$Z$4:$Z$40)-SUMIFS('Final Calculation Sheet'!$Z$4:$Z$40,$AZ$5:$AZ$41,10),SUMIFS('Final Calculation Sheet'!$Z$4:$Z$40,$AZ$5:$AZ$41,$BH44))),""))</f>
        <v>34,459</v>
      </c>
      <c r="AB45" s="78" t="str">
        <f t="array" ref="AB45">IF($BJ44&gt;0,IF(INDEX('Final Calculation Sheet'!$AA$4:$AA$40,$BJ44-3)="","",INDEX('Final Calculation Sheet'!$AA$4:$AA$40,$BJ44-3)),IF(OR($BI44=1,$BL44=1,$BH44&gt;0),IF($BI44=1,SUM('Final Calculation Sheet'!$AA$4:$AA$40),IF($BL44=1,SUM('Final Calculation Sheet'!$AA$4:$AA$40)-SUMIFS('Final Calculation Sheet'!$AA$4:$AA$40,$AZ$5:$AZ$41,10),SUMIFS('Final Calculation Sheet'!$AA$4:$AA$40,$AZ$5:$AZ$41,$BH44))),""))</f>
        <v>3,540</v>
      </c>
      <c r="AC45" s="78" t="str">
        <f t="array" ref="AC45">IF($BJ44&gt;0,IF(INDEX('Final Calculation Sheet'!$AB$4:$AB$40,$BJ44-3)="","",INDEX('Final Calculation Sheet'!$AB$4:$AB$40,$BJ44-3)),IF(OR($BI44=1,$BL44=1,$BH44&gt;0),"–",""))</f>
        <v>–</v>
      </c>
      <c r="AD45" s="78" t="str">
        <f t="array" ref="AD45">IF($BJ44&gt;0,IF(INDEX('Final Calculation Sheet'!$AC$4:$AC$40,$BJ44-3)="","",INDEX('Final Calculation Sheet'!$AC$4:$AC$40,$BJ44-3)),IF(OR($BI44=1,$BL44=1,$BH44&gt;0),IF($BI44=1,SUM('Final Calculation Sheet'!$AC$4:$AC$40),IF($BL44=1,SUM('Final Calculation Sheet'!$AC$4:$AC$40)-SUMIFS('Final Calculation Sheet'!$AC$4:$AC$40,$AZ$5:$AZ$41,10),SUMIFS('Final Calculation Sheet'!$AC$4:$AC$40,$AZ$5:$AZ$41,$BH44))),""))</f>
        <v>16,839,955</v>
      </c>
      <c r="AE45" s="78" t="str">
        <f t="array" ref="AE45">IF($BJ44&gt;0,IF(INDEX('Final Calculation Sheet'!$AD$4:$AD$40,$BJ44-3)="","",INDEX('Final Calculation Sheet'!$AD$4:$AD$40,$BJ44-3)),IF(OR($BI44=1,$BL44=1,$BH44&gt;0),IF($BI44=1,SUM('Final Calculation Sheet'!$AD$4:$AD$40),IF($BL44=1,SUM('Final Calculation Sheet'!$AD$4:$AD$40)-SUMIFS('Final Calculation Sheet'!$AD$4:$AD$40,$AZ$5:$AZ$41,10),SUMIFS('Final Calculation Sheet'!$AD$4:$AD$40,$AZ$5:$AZ$41,$BH44))),""))</f>
        <v>794,636</v>
      </c>
      <c r="AF45" s="78" t="str">
        <f t="array" ref="AF45">IF($BJ44&gt;0,IF(INDEX('Final Calculation Sheet'!$AE$4:$AE$40,$BJ44-3)="","",INDEX('Final Calculation Sheet'!$AE$4:$AE$40,$BJ44-3)),IF(OR($BI44=1,$BL44=1,$BH44&gt;0),"–",""))</f>
        <v>–</v>
      </c>
      <c r="AG45" s="82" t="str">
        <f t="array" ref="AG45">IF($BJ44&gt;0,IF(INDEX('Final Calculation Sheet'!$AF$4:$AF$40,$BJ44-3)="","",INDEX('Final Calculation Sheet'!$AF$4:$AF$40,$BJ44-3)),IF(OR($BI44=1,$BL44=1,$BH44&gt;0),"–",""))</f>
        <v>–</v>
      </c>
      <c r="AH45" s="78" t="str">
        <f t="array" ref="AH45">IF($BJ44&gt;0,IF(INDEX('Final Calculation Sheet'!$AG$4:$AG$40,$BJ44-3)="","",INDEX('Final Calculation Sheet'!$AG$4:$AG$40,$BJ44-3)),IF(OR($BI44=1,$BL44=1,$BH44&gt;0),"–",""))</f>
        <v>–</v>
      </c>
      <c r="AI45" s="83" t="str">
        <f t="array" ref="AI45">IF($BJ44&gt;0,IF(INDEX('Final Calculation Sheet'!$AD$4:$AD$40,$BJ44-3)="","",IF(INDEX('Final Calculation Sheet'!$AD$4:$AD$40,$BJ44-3)&lt;=0,"SETTLED","OUTSTANDING")),IF(OR($BI44=1,$BL44=1,$BH44&gt;0),IF(IF($BI44=1,SUM('Final Calculation Sheet'!$AD$4:$AD$40),IF($BL44=1,SUM('Final Calculation Sheet'!$AD$4:$AD$40)-SUMIFS('Final Calculation Sheet'!$AD$4:$AD$40,$AZ$5:$AZ$41,10),SUMIFS('Final Calculation Sheet'!$AD$4:$AD$40,$AZ$5:$AZ$41,$BH44)))&lt;=0,"ALL SETTLED","OUTSTANDING"),""))</f>
        <v>OUTSTANDING</v>
      </c>
      <c r="BH45" t="str">
        <f>IFERROR(MATCH(45,$BF$4:$BF$13,0),0)</f>
        <v>0</v>
      </c>
      <c r="BI45" t="str">
        <f>IF(45=$BG$5,1,0)</f>
        <v>1</v>
      </c>
      <c r="BJ45" t="str">
        <f t="array" ref="BJ45">IF(OR($BH45&gt;0,$BI45=1,$BL45=1),0,IFERROR(INDEX($BC$5:$BC$41,MATCH(45,$BB$5:$BB$41,0)),0))</f>
        <v>0</v>
      </c>
      <c r="BK45" t="str">
        <f t="array" ref="BK45">IF($BJ45&gt;0,IF(INDEX($AZ$5:$AZ$41,MATCH(45,$BB$5:$BB$41,0))=10,1,0),IF($BH45=10,1,0))</f>
        <v>0</v>
      </c>
      <c r="BL45" t="str">
        <f>IF(45=$BG$4,1,0)</f>
        <v>0</v>
      </c>
    </row>
    <row r="46" ht="15.0" customHeight="1">
      <c r="A46" s="75" t="str">
        <f t="array" ref="A46">IF($BJ45&gt;0,INDEX($BA$5:$BA$41,MATCH(45,$BB$5:$BB$41,0)),IF(OR($BI45=1,$BL45=1,$BH45&gt;0),"∑",""))</f>
        <v>∑</v>
      </c>
      <c r="B46" s="76" t="str">
        <f t="array" ref="B46">IF($BJ45&gt;0,IF(INDEX('Final Calculation Sheet'!$F$4:$F$40,$BJ45-3)="","",INDEX('Final Calculation Sheet'!$F$4:$F$40,$BJ45-3)),"")</f>
        <v/>
      </c>
      <c r="C46" s="76" t="str">
        <f t="array" ref="C46">IF($BJ45&gt;0,IF(INDEX('Final Calculation Sheet'!$G$4:$G$40,$BJ45-3)="","",INDEX('Final Calculation Sheet'!$G$4:$G$40,$BJ45-3)),IF(OR($BI45=1,$BL45=1,$BH45&gt;0),IF($BI45=1,37,IF($BL45=1,37-INDEX($BD$4:$BD$13,10),INDEX($BD$4:$BD$13,$BH45)))&amp;" lot(s)",""))</f>
        <v>37 lot(s)</v>
      </c>
      <c r="D46" s="77" t="str">
        <f t="array" ref="D46">IF($BJ45&gt;0,IF(INDEX('Final Calculation Sheet'!$B$4:$B$40,$BJ45-3)="","",INDEX('Final Calculation Sheet'!$B$4:$B$40,$BJ45-3)),IF(OR($BI45=1,$BL45=1,$BH45&gt;0),IF($BI45=1,"GRAND TOTAL  —  matching + remaining",IF($BL45=1,"TOTAL MATCHED  —  every group together",IF($BH45=10,"REMAINING  —  did not match the search",IF($BH45=9,IF(COUNTIF($A$4:$AI$4,"&lt;&gt;")&gt;0,"FILTERED LOTS  —  column fields","ALL LOTS  —  nothing typed in the box"),"GROUP "&amp;$BH45&amp;" TOTAL  —  lots matching  "&amp;INDEX($AR$6:$AY$6,$BH45))))),""))</f>
        <v>GRAND TOTAL  —  matching + remaining</v>
      </c>
      <c r="E46" s="77" t="str">
        <f t="array" ref="E46">IF($BJ45&gt;0,IF(INDEX('Final Calculation Sheet'!$D$4:$D$40,$BJ45-3)="","",INDEX('Final Calculation Sheet'!$D$4:$D$40,$BJ45-3)),IF(OR($BI45=1,$BL45=1,$BH45&gt;0),"–",""))</f>
        <v>–</v>
      </c>
      <c r="F46" s="77" t="str">
        <f t="array" ref="F46">IF($BJ45&gt;0,IF(INDEX('Final Calculation Sheet'!$A$4:$A$40,$BJ45-3)="","",INDEX('Final Calculation Sheet'!$A$4:$A$40,$BJ45-3)),IF(OR($BI45=1,$BL45=1,$BH45&gt;0),IF($BI45=1,SUM('Final Calculation Sheet'!$A$4:$A$40),IF($BL45=1,SUM('Final Calculation Sheet'!$A$4:$A$40)-SUMIFS('Final Calculation Sheet'!$A$4:$A$40,$AZ$5:$AZ$41,10),SUMIFS('Final Calculation Sheet'!$A$4:$A$40,$AZ$5:$AZ$41,$BH45))),""))</f>
        <v>17157.2</v>
      </c>
      <c r="G46" s="77" t="str">
        <f t="array" ref="G46">IF($BJ45&gt;0,IF(INDEX('Final Calculation Sheet'!$E$4:$E$40,$BJ45-3)="","",INDEX('Final Calculation Sheet'!$E$4:$E$40,$BJ45-3)),IF(OR($BI45=1,$BL45=1,$BH45&gt;0),"–",""))</f>
        <v>–</v>
      </c>
      <c r="H46" s="78" t="str">
        <f t="array" ref="H46">IF($BJ45&gt;0,IF(INDEX('Final Calculation Sheet'!$C$4:$C$40,$BJ45-3)="","",INDEX('Final Calculation Sheet'!$C$4:$C$40,$BJ45-3)),IF(OR($BI45=1,$BL45=1,$BH45&gt;0),"–",""))</f>
        <v>–</v>
      </c>
      <c r="I46" s="78" t="str">
        <f t="array" ref="I46">IF($BJ45&gt;0,IF(INDEX('Final Calculation Sheet'!$H$4:$H$40,$BJ45-3)="","",INDEX('Final Calculation Sheet'!$H$4:$H$40,$BJ45-3)),IF(OR($BI45=1,$BL45=1,$BH45&gt;0),IF($BI45=1,SUM('Final Calculation Sheet'!$H$4:$H$40),IF($BL45=1,SUM('Final Calculation Sheet'!$H$4:$H$40)-SUMIFS('Final Calculation Sheet'!$H$4:$H$40,$AZ$5:$AZ$41,10),SUMIFS('Final Calculation Sheet'!$H$4:$H$40,$AZ$5:$AZ$41,$BH45))),""))</f>
        <v>15,130,598</v>
      </c>
      <c r="J46" s="78" t="str">
        <f t="array" ref="J46">IF($BJ45&gt;0,IF(INDEX('Final Calculation Sheet'!$I$4:$I$40,$BJ45-3)="","",INDEX('Final Calculation Sheet'!$I$4:$I$40,$BJ45-3)),IF(OR($BI45=1,$BL45=1,$BH45&gt;0),IF($BI45=1,SUM('Final Calculation Sheet'!$I$4:$I$40),IF($BL45=1,SUM('Final Calculation Sheet'!$I$4:$I$40)-SUMIFS('Final Calculation Sheet'!$I$4:$I$40,$AZ$5:$AZ$41,10),SUMIFS('Final Calculation Sheet'!$I$4:$I$40,$AZ$5:$AZ$41,$BH45))),""))</f>
        <v>2,723,508</v>
      </c>
      <c r="K46" s="78" t="str">
        <f t="array" ref="K46">IF($BJ45&gt;0,IF(INDEX('Final Calculation Sheet'!$J$4:$J$40,$BJ45-3)="","",INDEX('Final Calculation Sheet'!$J$4:$J$40,$BJ45-3)),IF(OR($BI45=1,$BL45=1,$BH45&gt;0),IF($BI45=1,SUM('Final Calculation Sheet'!$J$4:$J$40),IF($BL45=1,SUM('Final Calculation Sheet'!$J$4:$J$40)-SUMIFS('Final Calculation Sheet'!$J$4:$J$40,$AZ$5:$AZ$41,10),SUMIFS('Final Calculation Sheet'!$J$4:$J$40,$AZ$5:$AZ$41,$BH45))),""))</f>
        <v>17,854,106</v>
      </c>
      <c r="L46" s="78" t="str">
        <f t="array" ref="L46">IF($BJ45&gt;0,IF(INDEX('Final Calculation Sheet'!$K$4:$K$40,$BJ45-3)="","",INDEX('Final Calculation Sheet'!$K$4:$K$40,$BJ45-3)),IF(OR($BI45=1,$BL45=1,$BH45&gt;0),IF($BI45=1,SUM('Final Calculation Sheet'!$K$4:$K$40),IF($BL45=1,SUM('Final Calculation Sheet'!$K$4:$K$40)-SUMIFS('Final Calculation Sheet'!$K$4:$K$40,$AZ$5:$AZ$41,10),SUMIFS('Final Calculation Sheet'!$K$4:$K$40,$AZ$5:$AZ$41,$BH45))),""))</f>
        <v>357,082</v>
      </c>
      <c r="M46" s="78" t="str">
        <f t="array" ref="M46">IF($BJ45&gt;0,IF(INDEX('Final Calculation Sheet'!$L$4:$L$40,$BJ45-3)="","",INDEX('Final Calculation Sheet'!$L$4:$L$40,$BJ45-3)),IF(OR($BI45=1,$BL45=1,$BH45&gt;0),IF($BI45=1,SUM('Final Calculation Sheet'!$L$4:$L$40),IF($BL45=1,SUM('Final Calculation Sheet'!$L$4:$L$40)-SUMIFS('Final Calculation Sheet'!$L$4:$L$40,$AZ$5:$AZ$41,10),SUMIFS('Final Calculation Sheet'!$L$4:$L$40,$AZ$5:$AZ$41,$BH45))),""))</f>
        <v>15,131</v>
      </c>
      <c r="N46" s="78" t="str">
        <f t="array" ref="N46">IF($BJ45&gt;0,IF(INDEX('Final Calculation Sheet'!$M$4:$M$40,$BJ45-3)="","",INDEX('Final Calculation Sheet'!$M$4:$M$40,$BJ45-3)),IF(OR($BI45=1,$BL45=1,$BH45&gt;0),IF($BI45=1,SUM('Final Calculation Sheet'!$M$4:$M$40),IF($BL45=1,SUM('Final Calculation Sheet'!$M$4:$M$40)-SUMIFS('Final Calculation Sheet'!$M$4:$M$40,$AZ$5:$AZ$41,10),SUMIFS('Final Calculation Sheet'!$M$4:$M$40,$AZ$5:$AZ$41,$BH45))),""))</f>
        <v>401,717</v>
      </c>
      <c r="O46" s="79" t="str">
        <f t="array" ref="O46">IF($BJ45&gt;0,IF(INDEX('Final Calculation Sheet'!$N$4:$N$40,$BJ45-3)="","",INDEX('Final Calculation Sheet'!$N$4:$N$40,$BJ45-3)),IF(OR($BI45=1,$BL45=1,$BH45&gt;0),IF($BI45=1,SUM('Final Calculation Sheet'!$N$4:$N$40),IF($BL45=1,SUM('Final Calculation Sheet'!$N$4:$N$40)-SUMIFS('Final Calculation Sheet'!$N$4:$N$40,$AZ$5:$AZ$41,10),SUMIFS('Final Calculation Sheet'!$N$4:$N$40,$AZ$5:$AZ$41,$BH45))),""))</f>
        <v>6,809</v>
      </c>
      <c r="P46" s="78" t="str">
        <f t="array" ref="P46">IF($BJ45&gt;0,IF(INDEX('Final Calculation Sheet'!$O$4:$O$40,$BJ45-3)="","",INDEX('Final Calculation Sheet'!$O$4:$O$40,$BJ45-3)),IF(OR($BI45=1,$BL45=1,$BH45&gt;0),IF($BI45=1,SUM('Final Calculation Sheet'!$O$4:$O$40),IF($BL45=1,SUM('Final Calculation Sheet'!$O$4:$O$40)-SUMIFS('Final Calculation Sheet'!$O$4:$O$40,$AZ$5:$AZ$41,10),SUMIFS('Final Calculation Sheet'!$O$4:$O$40,$AZ$5:$AZ$41,$BH45))),""))</f>
        <v>394,909</v>
      </c>
      <c r="Q46" s="78" t="str">
        <f t="array" ref="Q46">IF($BJ45&gt;0,IF(INDEX('Final Calculation Sheet'!$P$4:$P$40,$BJ45-3)="","",INDEX('Final Calculation Sheet'!$P$4:$P$40,$BJ45-3)),IF(OR($BI45=1,$BL45=1,$BH45&gt;0),IF($BI45=1,SUM('Final Calculation Sheet'!$P$4:$P$40),IF($BL45=1,SUM('Final Calculation Sheet'!$P$4:$P$40)-SUMIFS('Final Calculation Sheet'!$P$4:$P$40,$AZ$5:$AZ$41,10),SUMIFS('Final Calculation Sheet'!$P$4:$P$40,$AZ$5:$AZ$41,$BH45))),""))</f>
        <v>410,039</v>
      </c>
      <c r="R46" s="80" t="str">
        <f t="array" ref="R46">IF($BJ45&gt;0,IF(INDEX('Final Calculation Sheet'!$Q$4:$Q$40,$BJ45-3)="","",INDEX('Final Calculation Sheet'!$Q$4:$Q$40,$BJ45-3)),IF(OR($BI45=1,$BL45=1,$BH45&gt;0),"–",""))</f>
        <v>–</v>
      </c>
      <c r="S46" s="78" t="str">
        <f t="array" ref="S46">IF($BJ45&gt;0,IF(INDEX('Final Calculation Sheet'!$R$4:$R$40,$BJ45-3)="","",INDEX('Final Calculation Sheet'!$R$4:$R$40,$BJ45-3)),IF(OR($BI45=1,$BL45=1,$BH45&gt;0),IF($BI45=1,SUM('Final Calculation Sheet'!$R$4:$R$40),IF($BL45=1,SUM('Final Calculation Sheet'!$R$4:$R$40)-SUMIFS('Final Calculation Sheet'!$R$4:$R$40,$AZ$5:$AZ$41,10),SUMIFS('Final Calculation Sheet'!$R$4:$R$40,$AZ$5:$AZ$41,$BH45))),""))</f>
        <v>83,029</v>
      </c>
      <c r="T46" s="78" t="str">
        <f t="array" ref="T46">IF($BJ45&gt;0,IF(INDEX('Final Calculation Sheet'!$S$4:$S$40,$BJ45-3)="","",INDEX('Final Calculation Sheet'!$S$4:$S$40,$BJ45-3)),IF(OR($BI45=1,$BL45=1,$BH45&gt;0),IF($BI45=1,SUM('Final Calculation Sheet'!$S$4:$S$40),IF($BL45=1,SUM('Final Calculation Sheet'!$S$4:$S$40)-SUMIFS('Final Calculation Sheet'!$S$4:$S$40,$AZ$5:$AZ$41,10),SUMIFS('Final Calculation Sheet'!$S$4:$S$40,$AZ$5:$AZ$41,$BH45))),""))</f>
        <v>17,718,123</v>
      </c>
      <c r="U46" s="78" t="str">
        <f t="array" ref="U46">IF($BJ45&gt;0,IF(INDEX('Final Calculation Sheet'!$T$4:$T$40,$BJ45-3)="","",INDEX('Final Calculation Sheet'!$T$4:$T$40,$BJ45-3)),IF(OR($BI45=1,$BL45=1,$BH45&gt;0),IF($BI45=1,SUM('Final Calculation Sheet'!$T$4:$T$40),IF($BL45=1,SUM('Final Calculation Sheet'!$T$4:$T$40)-SUMIFS('Final Calculation Sheet'!$T$4:$T$40,$AZ$5:$AZ$41,10),SUMIFS('Final Calculation Sheet'!$T$4:$T$40,$AZ$5:$AZ$41,$BH45))),""))</f>
        <v>3,782,654</v>
      </c>
      <c r="V46" s="81" t="str">
        <f t="array" ref="V46">IF($BJ45&gt;0,IF(INDEX('Final Calculation Sheet'!$U$4:$U$40,$BJ45-3)="","",INDEX('Final Calculation Sheet'!$U$4:$U$40,$BJ45-3)),IF(OR($BI45=1,$BL45=1,$BH45&gt;0),IF($BI45=1,SUM('Final Calculation Sheet'!$U$4:$U$40),IF($BL45=1,SUM('Final Calculation Sheet'!$U$4:$U$40)-SUMIFS('Final Calculation Sheet'!$U$4:$U$40,$AZ$5:$AZ$41,10),SUMIFS('Final Calculation Sheet'!$U$4:$U$40,$AZ$5:$AZ$41,$BH45))),""))</f>
        <v>  3,782,654 </v>
      </c>
      <c r="W46" s="78" t="str">
        <f t="array" ref="W46">IF($BJ45&gt;0,IF(INDEX('Final Calculation Sheet'!$V$4:$V$40,$BJ45-3)="","",INDEX('Final Calculation Sheet'!$V$4:$V$40,$BJ45-3)),IF(OR($BI45=1,$BL45=1,$BH45&gt;0),"–",""))</f>
        <v>–</v>
      </c>
      <c r="X46" s="78" t="str">
        <f t="array" ref="X46">IF($BJ45&gt;0,IF(INDEX('Final Calculation Sheet'!$W$4:$W$40,$BJ45-3)="","",INDEX('Final Calculation Sheet'!$W$4:$W$40,$BJ45-3)),IF(OR($BI45=1,$BL45=1,$BH45&gt;0),IF($BI45=1,SUM('Final Calculation Sheet'!$W$4:$W$40),IF($BL45=1,SUM('Final Calculation Sheet'!$W$4:$W$40)-SUMIFS('Final Calculation Sheet'!$W$4:$W$40,$AZ$5:$AZ$41,10),SUMIFS('Final Calculation Sheet'!$W$4:$W$40,$AZ$5:$AZ$41,$BH45))),""))</f>
        <v>13,935,473</v>
      </c>
      <c r="Y46" s="78" t="str">
        <f t="array" ref="Y46">IF($BJ45&gt;0,IF(INDEX('Final Calculation Sheet'!$X$4:$X$40,$BJ45-3)="","",INDEX('Final Calculation Sheet'!$X$4:$X$40,$BJ45-3)),IF(OR($BI45=1,$BL45=1,$BH45&gt;0),IF($BI45=1,SUM('Final Calculation Sheet'!$X$4:$X$40),IF($BL45=1,SUM('Final Calculation Sheet'!$X$4:$X$40)-SUMIFS('Final Calculation Sheet'!$X$4:$X$40,$AZ$5:$AZ$41,10),SUMIFS('Final Calculation Sheet'!$X$4:$X$40,$AZ$5:$AZ$41,$BH45))),""))</f>
        <v>13,137,293</v>
      </c>
      <c r="Z46" s="78" t="str">
        <f t="array" ref="Z46">IF($BJ45&gt;0,IF(INDEX('Final Calculation Sheet'!$Y$4:$Y$40,$BJ45-3)="","",INDEX('Final Calculation Sheet'!$Y$4:$Y$40,$BJ45-3)),IF(OR($BI45=1,$BL45=1,$BH45&gt;0),"–",""))</f>
        <v>–</v>
      </c>
      <c r="AA46" s="78" t="str">
        <f t="array" ref="AA46">IF($BJ45&gt;0,IF(INDEX('Final Calculation Sheet'!$Z$4:$Z$40,$BJ45-3)="","",INDEX('Final Calculation Sheet'!$Z$4:$Z$40,$BJ45-3)),IF(OR($BI45=1,$BL45=1,$BH45&gt;0),IF($BI45=1,SUM('Final Calculation Sheet'!$Z$4:$Z$40),IF($BL45=1,SUM('Final Calculation Sheet'!$Z$4:$Z$40)-SUMIFS('Final Calculation Sheet'!$Z$4:$Z$40,$AZ$5:$AZ$41,10),SUMIFS('Final Calculation Sheet'!$Z$4:$Z$40,$AZ$5:$AZ$41,$BH45))),""))</f>
        <v>34,459</v>
      </c>
      <c r="AB46" s="78" t="str">
        <f t="array" ref="AB46">IF($BJ45&gt;0,IF(INDEX('Final Calculation Sheet'!$AA$4:$AA$40,$BJ45-3)="","",INDEX('Final Calculation Sheet'!$AA$4:$AA$40,$BJ45-3)),IF(OR($BI45=1,$BL45=1,$BH45&gt;0),IF($BI45=1,SUM('Final Calculation Sheet'!$AA$4:$AA$40),IF($BL45=1,SUM('Final Calculation Sheet'!$AA$4:$AA$40)-SUMIFS('Final Calculation Sheet'!$AA$4:$AA$40,$AZ$5:$AZ$41,10),SUMIFS('Final Calculation Sheet'!$AA$4:$AA$40,$AZ$5:$AZ$41,$BH45))),""))</f>
        <v>3,540</v>
      </c>
      <c r="AC46" s="78" t="str">
        <f t="array" ref="AC46">IF($BJ45&gt;0,IF(INDEX('Final Calculation Sheet'!$AB$4:$AB$40,$BJ45-3)="","",INDEX('Final Calculation Sheet'!$AB$4:$AB$40,$BJ45-3)),IF(OR($BI45=1,$BL45=1,$BH45&gt;0),"–",""))</f>
        <v>–</v>
      </c>
      <c r="AD46" s="78" t="str">
        <f t="array" ref="AD46">IF($BJ45&gt;0,IF(INDEX('Final Calculation Sheet'!$AC$4:$AC$40,$BJ45-3)="","",INDEX('Final Calculation Sheet'!$AC$4:$AC$40,$BJ45-3)),IF(OR($BI45=1,$BL45=1,$BH45&gt;0),IF($BI45=1,SUM('Final Calculation Sheet'!$AC$4:$AC$40),IF($BL45=1,SUM('Final Calculation Sheet'!$AC$4:$AC$40)-SUMIFS('Final Calculation Sheet'!$AC$4:$AC$40,$AZ$5:$AZ$41,10),SUMIFS('Final Calculation Sheet'!$AC$4:$AC$40,$AZ$5:$AZ$41,$BH45))),""))</f>
        <v>16,923,487</v>
      </c>
      <c r="AE46" s="78" t="str">
        <f t="array" ref="AE46">IF($BJ45&gt;0,IF(INDEX('Final Calculation Sheet'!$AD$4:$AD$40,$BJ45-3)="","",INDEX('Final Calculation Sheet'!$AD$4:$AD$40,$BJ45-3)),IF(OR($BI45=1,$BL45=1,$BH45&gt;0),IF($BI45=1,SUM('Final Calculation Sheet'!$AD$4:$AD$40),IF($BL45=1,SUM('Final Calculation Sheet'!$AD$4:$AD$40)-SUMIFS('Final Calculation Sheet'!$AD$4:$AD$40,$AZ$5:$AZ$41,10),SUMIFS('Final Calculation Sheet'!$AD$4:$AD$40,$AZ$5:$AZ$41,$BH45))),""))</f>
        <v>794,636</v>
      </c>
      <c r="AF46" s="78" t="str">
        <f t="array" ref="AF46">IF($BJ45&gt;0,IF(INDEX('Final Calculation Sheet'!$AE$4:$AE$40,$BJ45-3)="","",INDEX('Final Calculation Sheet'!$AE$4:$AE$40,$BJ45-3)),IF(OR($BI45=1,$BL45=1,$BH45&gt;0),"–",""))</f>
        <v>–</v>
      </c>
      <c r="AG46" s="82" t="str">
        <f t="array" ref="AG46">IF($BJ45&gt;0,IF(INDEX('Final Calculation Sheet'!$AF$4:$AF$40,$BJ45-3)="","",INDEX('Final Calculation Sheet'!$AF$4:$AF$40,$BJ45-3)),IF(OR($BI45=1,$BL45=1,$BH45&gt;0),"–",""))</f>
        <v>–</v>
      </c>
      <c r="AH46" s="78" t="str">
        <f t="array" ref="AH46">IF($BJ45&gt;0,IF(INDEX('Final Calculation Sheet'!$AG$4:$AG$40,$BJ45-3)="","",INDEX('Final Calculation Sheet'!$AG$4:$AG$40,$BJ45-3)),IF(OR($BI45=1,$BL45=1,$BH45&gt;0),"–",""))</f>
        <v>–</v>
      </c>
      <c r="AI46" s="83" t="str">
        <f t="array" ref="AI46">IF($BJ45&gt;0,IF(INDEX('Final Calculation Sheet'!$AD$4:$AD$40,$BJ45-3)="","",IF(INDEX('Final Calculation Sheet'!$AD$4:$AD$40,$BJ45-3)&lt;=0,"SETTLED","OUTSTANDING")),IF(OR($BI45=1,$BL45=1,$BH45&gt;0),IF(IF($BI45=1,SUM('Final Calculation Sheet'!$AD$4:$AD$40),IF($BL45=1,SUM('Final Calculation Sheet'!$AD$4:$AD$40)-SUMIFS('Final Calculation Sheet'!$AD$4:$AD$40,$AZ$5:$AZ$41,10),SUMIFS('Final Calculation Sheet'!$AD$4:$AD$40,$AZ$5:$AZ$41,$BH45)))&lt;=0,"ALL SETTLED","OUTSTANDING"),""))</f>
        <v>OUTSTANDING</v>
      </c>
      <c r="BH46" t="str">
        <f>IFERROR(MATCH(46,$BF$4:$BF$13,0),0)</f>
        <v>0</v>
      </c>
      <c r="BI46" t="str">
        <f>IF(46=$BG$5,1,0)</f>
        <v>0</v>
      </c>
      <c r="BJ46" t="str">
        <f t="array" ref="BJ46">IF(OR($BH46&gt;0,$BI46=1,$BL46=1),0,IFERROR(INDEX($BC$5:$BC$41,MATCH(46,$BB$5:$BB$41,0)),0))</f>
        <v>0</v>
      </c>
      <c r="BK46" t="str">
        <f t="array" ref="BK46">IF($BJ46&gt;0,IF(INDEX($AZ$5:$AZ$41,MATCH(46,$BB$5:$BB$41,0))=10,1,0),IF($BH46=10,1,0))</f>
        <v>0</v>
      </c>
      <c r="BL46" t="str">
        <f>IF(46=$BG$4,1,0)</f>
        <v>0</v>
      </c>
    </row>
    <row r="47" ht="15.0" customHeight="1">
      <c r="A47" s="75" t="str">
        <f t="array" ref="A47">IF($BJ46&gt;0,INDEX($BA$5:$BA$41,MATCH(46,$BB$5:$BB$41,0)),IF(OR($BI46=1,$BL46=1,$BH46&gt;0),"∑",""))</f>
        <v/>
      </c>
      <c r="B47" s="76" t="str">
        <f t="array" ref="B47">IF($BJ46&gt;0,IF(INDEX('Final Calculation Sheet'!$F$4:$F$40,$BJ46-3)="","",INDEX('Final Calculation Sheet'!$F$4:$F$40,$BJ46-3)),"")</f>
        <v/>
      </c>
      <c r="C47" s="76" t="str">
        <f t="array" ref="C47">IF($BJ46&gt;0,IF(INDEX('Final Calculation Sheet'!$G$4:$G$40,$BJ46-3)="","",INDEX('Final Calculation Sheet'!$G$4:$G$40,$BJ46-3)),IF(OR($BI46=1,$BL46=1,$BH46&gt;0),IF($BI46=1,37,IF($BL46=1,37-INDEX($BD$4:$BD$13,10),INDEX($BD$4:$BD$13,$BH46)))&amp;" lot(s)",""))</f>
        <v/>
      </c>
      <c r="D47" s="77" t="str">
        <f t="array" ref="D47">IF($BJ46&gt;0,IF(INDEX('Final Calculation Sheet'!$B$4:$B$40,$BJ46-3)="","",INDEX('Final Calculation Sheet'!$B$4:$B$40,$BJ46-3)),IF(OR($BI46=1,$BL46=1,$BH46&gt;0),IF($BI46=1,"GRAND TOTAL  —  matching + remaining",IF($BL46=1,"TOTAL MATCHED  —  every group together",IF($BH46=10,"REMAINING  —  did not match the search",IF($BH46=9,IF(COUNTIF($A$4:$AI$4,"&lt;&gt;")&gt;0,"FILTERED LOTS  —  column fields","ALL LOTS  —  nothing typed in the box"),"GROUP "&amp;$BH46&amp;" TOTAL  —  lots matching  "&amp;INDEX($AR$6:$AY$6,$BH46))))),""))</f>
        <v/>
      </c>
      <c r="E47" s="77" t="str">
        <f t="array" ref="E47">IF($BJ46&gt;0,IF(INDEX('Final Calculation Sheet'!$D$4:$D$40,$BJ46-3)="","",INDEX('Final Calculation Sheet'!$D$4:$D$40,$BJ46-3)),IF(OR($BI46=1,$BL46=1,$BH46&gt;0),"–",""))</f>
        <v/>
      </c>
      <c r="F47" s="77" t="str">
        <f t="array" ref="F47">IF($BJ46&gt;0,IF(INDEX('Final Calculation Sheet'!$A$4:$A$40,$BJ46-3)="","",INDEX('Final Calculation Sheet'!$A$4:$A$40,$BJ46-3)),IF(OR($BI46=1,$BL46=1,$BH46&gt;0),IF($BI46=1,SUM('Final Calculation Sheet'!$A$4:$A$40),IF($BL46=1,SUM('Final Calculation Sheet'!$A$4:$A$40)-SUMIFS('Final Calculation Sheet'!$A$4:$A$40,$AZ$5:$AZ$41,10),SUMIFS('Final Calculation Sheet'!$A$4:$A$40,$AZ$5:$AZ$41,$BH46))),""))</f>
        <v/>
      </c>
      <c r="G47" s="77" t="str">
        <f t="array" ref="G47">IF($BJ46&gt;0,IF(INDEX('Final Calculation Sheet'!$E$4:$E$40,$BJ46-3)="","",INDEX('Final Calculation Sheet'!$E$4:$E$40,$BJ46-3)),IF(OR($BI46=1,$BL46=1,$BH46&gt;0),"–",""))</f>
        <v/>
      </c>
      <c r="H47" s="78" t="str">
        <f t="array" ref="H47">IF($BJ46&gt;0,IF(INDEX('Final Calculation Sheet'!$C$4:$C$40,$BJ46-3)="","",INDEX('Final Calculation Sheet'!$C$4:$C$40,$BJ46-3)),IF(OR($BI46=1,$BL46=1,$BH46&gt;0),"–",""))</f>
        <v/>
      </c>
      <c r="I47" s="78" t="str">
        <f t="array" ref="I47">IF($BJ46&gt;0,IF(INDEX('Final Calculation Sheet'!$H$4:$H$40,$BJ46-3)="","",INDEX('Final Calculation Sheet'!$H$4:$H$40,$BJ46-3)),IF(OR($BI46=1,$BL46=1,$BH46&gt;0),IF($BI46=1,SUM('Final Calculation Sheet'!$H$4:$H$40),IF($BL46=1,SUM('Final Calculation Sheet'!$H$4:$H$40)-SUMIFS('Final Calculation Sheet'!$H$4:$H$40,$AZ$5:$AZ$41,10),SUMIFS('Final Calculation Sheet'!$H$4:$H$40,$AZ$5:$AZ$41,$BH46))),""))</f>
        <v/>
      </c>
      <c r="J47" s="78" t="str">
        <f t="array" ref="J47">IF($BJ46&gt;0,IF(INDEX('Final Calculation Sheet'!$I$4:$I$40,$BJ46-3)="","",INDEX('Final Calculation Sheet'!$I$4:$I$40,$BJ46-3)),IF(OR($BI46=1,$BL46=1,$BH46&gt;0),IF($BI46=1,SUM('Final Calculation Sheet'!$I$4:$I$40),IF($BL46=1,SUM('Final Calculation Sheet'!$I$4:$I$40)-SUMIFS('Final Calculation Sheet'!$I$4:$I$40,$AZ$5:$AZ$41,10),SUMIFS('Final Calculation Sheet'!$I$4:$I$40,$AZ$5:$AZ$41,$BH46))),""))</f>
        <v/>
      </c>
      <c r="K47" s="78" t="str">
        <f t="array" ref="K47">IF($BJ46&gt;0,IF(INDEX('Final Calculation Sheet'!$J$4:$J$40,$BJ46-3)="","",INDEX('Final Calculation Sheet'!$J$4:$J$40,$BJ46-3)),IF(OR($BI46=1,$BL46=1,$BH46&gt;0),IF($BI46=1,SUM('Final Calculation Sheet'!$J$4:$J$40),IF($BL46=1,SUM('Final Calculation Sheet'!$J$4:$J$40)-SUMIFS('Final Calculation Sheet'!$J$4:$J$40,$AZ$5:$AZ$41,10),SUMIFS('Final Calculation Sheet'!$J$4:$J$40,$AZ$5:$AZ$41,$BH46))),""))</f>
        <v/>
      </c>
      <c r="L47" s="78" t="str">
        <f t="array" ref="L47">IF($BJ46&gt;0,IF(INDEX('Final Calculation Sheet'!$K$4:$K$40,$BJ46-3)="","",INDEX('Final Calculation Sheet'!$K$4:$K$40,$BJ46-3)),IF(OR($BI46=1,$BL46=1,$BH46&gt;0),IF($BI46=1,SUM('Final Calculation Sheet'!$K$4:$K$40),IF($BL46=1,SUM('Final Calculation Sheet'!$K$4:$K$40)-SUMIFS('Final Calculation Sheet'!$K$4:$K$40,$AZ$5:$AZ$41,10),SUMIFS('Final Calculation Sheet'!$K$4:$K$40,$AZ$5:$AZ$41,$BH46))),""))</f>
        <v/>
      </c>
      <c r="M47" s="78" t="str">
        <f t="array" ref="M47">IF($BJ46&gt;0,IF(INDEX('Final Calculation Sheet'!$L$4:$L$40,$BJ46-3)="","",INDEX('Final Calculation Sheet'!$L$4:$L$40,$BJ46-3)),IF(OR($BI46=1,$BL46=1,$BH46&gt;0),IF($BI46=1,SUM('Final Calculation Sheet'!$L$4:$L$40),IF($BL46=1,SUM('Final Calculation Sheet'!$L$4:$L$40)-SUMIFS('Final Calculation Sheet'!$L$4:$L$40,$AZ$5:$AZ$41,10),SUMIFS('Final Calculation Sheet'!$L$4:$L$40,$AZ$5:$AZ$41,$BH46))),""))</f>
        <v/>
      </c>
      <c r="N47" s="78" t="str">
        <f t="array" ref="N47">IF($BJ46&gt;0,IF(INDEX('Final Calculation Sheet'!$M$4:$M$40,$BJ46-3)="","",INDEX('Final Calculation Sheet'!$M$4:$M$40,$BJ46-3)),IF(OR($BI46=1,$BL46=1,$BH46&gt;0),IF($BI46=1,SUM('Final Calculation Sheet'!$M$4:$M$40),IF($BL46=1,SUM('Final Calculation Sheet'!$M$4:$M$40)-SUMIFS('Final Calculation Sheet'!$M$4:$M$40,$AZ$5:$AZ$41,10),SUMIFS('Final Calculation Sheet'!$M$4:$M$40,$AZ$5:$AZ$41,$BH46))),""))</f>
        <v/>
      </c>
      <c r="O47" s="79" t="str">
        <f t="array" ref="O47">IF($BJ46&gt;0,IF(INDEX('Final Calculation Sheet'!$N$4:$N$40,$BJ46-3)="","",INDEX('Final Calculation Sheet'!$N$4:$N$40,$BJ46-3)),IF(OR($BI46=1,$BL46=1,$BH46&gt;0),IF($BI46=1,SUM('Final Calculation Sheet'!$N$4:$N$40),IF($BL46=1,SUM('Final Calculation Sheet'!$N$4:$N$40)-SUMIFS('Final Calculation Sheet'!$N$4:$N$40,$AZ$5:$AZ$41,10),SUMIFS('Final Calculation Sheet'!$N$4:$N$40,$AZ$5:$AZ$41,$BH46))),""))</f>
        <v/>
      </c>
      <c r="P47" s="78" t="str">
        <f t="array" ref="P47">IF($BJ46&gt;0,IF(INDEX('Final Calculation Sheet'!$O$4:$O$40,$BJ46-3)="","",INDEX('Final Calculation Sheet'!$O$4:$O$40,$BJ46-3)),IF(OR($BI46=1,$BL46=1,$BH46&gt;0),IF($BI46=1,SUM('Final Calculation Sheet'!$O$4:$O$40),IF($BL46=1,SUM('Final Calculation Sheet'!$O$4:$O$40)-SUMIFS('Final Calculation Sheet'!$O$4:$O$40,$AZ$5:$AZ$41,10),SUMIFS('Final Calculation Sheet'!$O$4:$O$40,$AZ$5:$AZ$41,$BH46))),""))</f>
        <v/>
      </c>
      <c r="Q47" s="78" t="str">
        <f t="array" ref="Q47">IF($BJ46&gt;0,IF(INDEX('Final Calculation Sheet'!$P$4:$P$40,$BJ46-3)="","",INDEX('Final Calculation Sheet'!$P$4:$P$40,$BJ46-3)),IF(OR($BI46=1,$BL46=1,$BH46&gt;0),IF($BI46=1,SUM('Final Calculation Sheet'!$P$4:$P$40),IF($BL46=1,SUM('Final Calculation Sheet'!$P$4:$P$40)-SUMIFS('Final Calculation Sheet'!$P$4:$P$40,$AZ$5:$AZ$41,10),SUMIFS('Final Calculation Sheet'!$P$4:$P$40,$AZ$5:$AZ$41,$BH46))),""))</f>
        <v/>
      </c>
      <c r="R47" s="80" t="str">
        <f t="array" ref="R47">IF($BJ46&gt;0,IF(INDEX('Final Calculation Sheet'!$Q$4:$Q$40,$BJ46-3)="","",INDEX('Final Calculation Sheet'!$Q$4:$Q$40,$BJ46-3)),IF(OR($BI46=1,$BL46=1,$BH46&gt;0),"–",""))</f>
        <v/>
      </c>
      <c r="S47" s="78" t="str">
        <f t="array" ref="S47">IF($BJ46&gt;0,IF(INDEX('Final Calculation Sheet'!$R$4:$R$40,$BJ46-3)="","",INDEX('Final Calculation Sheet'!$R$4:$R$40,$BJ46-3)),IF(OR($BI46=1,$BL46=1,$BH46&gt;0),IF($BI46=1,SUM('Final Calculation Sheet'!$R$4:$R$40),IF($BL46=1,SUM('Final Calculation Sheet'!$R$4:$R$40)-SUMIFS('Final Calculation Sheet'!$R$4:$R$40,$AZ$5:$AZ$41,10),SUMIFS('Final Calculation Sheet'!$R$4:$R$40,$AZ$5:$AZ$41,$BH46))),""))</f>
        <v/>
      </c>
      <c r="T47" s="78" t="str">
        <f t="array" ref="T47">IF($BJ46&gt;0,IF(INDEX('Final Calculation Sheet'!$S$4:$S$40,$BJ46-3)="","",INDEX('Final Calculation Sheet'!$S$4:$S$40,$BJ46-3)),IF(OR($BI46=1,$BL46=1,$BH46&gt;0),IF($BI46=1,SUM('Final Calculation Sheet'!$S$4:$S$40),IF($BL46=1,SUM('Final Calculation Sheet'!$S$4:$S$40)-SUMIFS('Final Calculation Sheet'!$S$4:$S$40,$AZ$5:$AZ$41,10),SUMIFS('Final Calculation Sheet'!$S$4:$S$40,$AZ$5:$AZ$41,$BH46))),""))</f>
        <v/>
      </c>
      <c r="U47" s="78" t="str">
        <f t="array" ref="U47">IF($BJ46&gt;0,IF(INDEX('Final Calculation Sheet'!$T$4:$T$40,$BJ46-3)="","",INDEX('Final Calculation Sheet'!$T$4:$T$40,$BJ46-3)),IF(OR($BI46=1,$BL46=1,$BH46&gt;0),IF($BI46=1,SUM('Final Calculation Sheet'!$T$4:$T$40),IF($BL46=1,SUM('Final Calculation Sheet'!$T$4:$T$40)-SUMIFS('Final Calculation Sheet'!$T$4:$T$40,$AZ$5:$AZ$41,10),SUMIFS('Final Calculation Sheet'!$T$4:$T$40,$AZ$5:$AZ$41,$BH46))),""))</f>
        <v/>
      </c>
      <c r="V47" s="81" t="str">
        <f t="array" ref="V47">IF($BJ46&gt;0,IF(INDEX('Final Calculation Sheet'!$U$4:$U$40,$BJ46-3)="","",INDEX('Final Calculation Sheet'!$U$4:$U$40,$BJ46-3)),IF(OR($BI46=1,$BL46=1,$BH46&gt;0),IF($BI46=1,SUM('Final Calculation Sheet'!$U$4:$U$40),IF($BL46=1,SUM('Final Calculation Sheet'!$U$4:$U$40)-SUMIFS('Final Calculation Sheet'!$U$4:$U$40,$AZ$5:$AZ$41,10),SUMIFS('Final Calculation Sheet'!$U$4:$U$40,$AZ$5:$AZ$41,$BH46))),""))</f>
        <v>  </v>
      </c>
      <c r="W47" s="78" t="str">
        <f t="array" ref="W47">IF($BJ46&gt;0,IF(INDEX('Final Calculation Sheet'!$V$4:$V$40,$BJ46-3)="","",INDEX('Final Calculation Sheet'!$V$4:$V$40,$BJ46-3)),IF(OR($BI46=1,$BL46=1,$BH46&gt;0),"–",""))</f>
        <v/>
      </c>
      <c r="X47" s="78" t="str">
        <f t="array" ref="X47">IF($BJ46&gt;0,IF(INDEX('Final Calculation Sheet'!$W$4:$W$40,$BJ46-3)="","",INDEX('Final Calculation Sheet'!$W$4:$W$40,$BJ46-3)),IF(OR($BI46=1,$BL46=1,$BH46&gt;0),IF($BI46=1,SUM('Final Calculation Sheet'!$W$4:$W$40),IF($BL46=1,SUM('Final Calculation Sheet'!$W$4:$W$40)-SUMIFS('Final Calculation Sheet'!$W$4:$W$40,$AZ$5:$AZ$41,10),SUMIFS('Final Calculation Sheet'!$W$4:$W$40,$AZ$5:$AZ$41,$BH46))),""))</f>
        <v/>
      </c>
      <c r="Y47" s="78" t="str">
        <f t="array" ref="Y47">IF($BJ46&gt;0,IF(INDEX('Final Calculation Sheet'!$X$4:$X$40,$BJ46-3)="","",INDEX('Final Calculation Sheet'!$X$4:$X$40,$BJ46-3)),IF(OR($BI46=1,$BL46=1,$BH46&gt;0),IF($BI46=1,SUM('Final Calculation Sheet'!$X$4:$X$40),IF($BL46=1,SUM('Final Calculation Sheet'!$X$4:$X$40)-SUMIFS('Final Calculation Sheet'!$X$4:$X$40,$AZ$5:$AZ$41,10),SUMIFS('Final Calculation Sheet'!$X$4:$X$40,$AZ$5:$AZ$41,$BH46))),""))</f>
        <v/>
      </c>
      <c r="Z47" s="78" t="str">
        <f t="array" ref="Z47">IF($BJ46&gt;0,IF(INDEX('Final Calculation Sheet'!$Y$4:$Y$40,$BJ46-3)="","",INDEX('Final Calculation Sheet'!$Y$4:$Y$40,$BJ46-3)),IF(OR($BI46=1,$BL46=1,$BH46&gt;0),"–",""))</f>
        <v/>
      </c>
      <c r="AA47" s="78" t="str">
        <f t="array" ref="AA47">IF($BJ46&gt;0,IF(INDEX('Final Calculation Sheet'!$Z$4:$Z$40,$BJ46-3)="","",INDEX('Final Calculation Sheet'!$Z$4:$Z$40,$BJ46-3)),IF(OR($BI46=1,$BL46=1,$BH46&gt;0),IF($BI46=1,SUM('Final Calculation Sheet'!$Z$4:$Z$40),IF($BL46=1,SUM('Final Calculation Sheet'!$Z$4:$Z$40)-SUMIFS('Final Calculation Sheet'!$Z$4:$Z$40,$AZ$5:$AZ$41,10),SUMIFS('Final Calculation Sheet'!$Z$4:$Z$40,$AZ$5:$AZ$41,$BH46))),""))</f>
        <v/>
      </c>
      <c r="AB47" s="78" t="str">
        <f t="array" ref="AB47">IF($BJ46&gt;0,IF(INDEX('Final Calculation Sheet'!$AA$4:$AA$40,$BJ46-3)="","",INDEX('Final Calculation Sheet'!$AA$4:$AA$40,$BJ46-3)),IF(OR($BI46=1,$BL46=1,$BH46&gt;0),IF($BI46=1,SUM('Final Calculation Sheet'!$AA$4:$AA$40),IF($BL46=1,SUM('Final Calculation Sheet'!$AA$4:$AA$40)-SUMIFS('Final Calculation Sheet'!$AA$4:$AA$40,$AZ$5:$AZ$41,10),SUMIFS('Final Calculation Sheet'!$AA$4:$AA$40,$AZ$5:$AZ$41,$BH46))),""))</f>
        <v/>
      </c>
      <c r="AC47" s="78" t="str">
        <f t="array" ref="AC47">IF($BJ46&gt;0,IF(INDEX('Final Calculation Sheet'!$AB$4:$AB$40,$BJ46-3)="","",INDEX('Final Calculation Sheet'!$AB$4:$AB$40,$BJ46-3)),IF(OR($BI46=1,$BL46=1,$BH46&gt;0),"–",""))</f>
        <v/>
      </c>
      <c r="AD47" s="78" t="str">
        <f t="array" ref="AD47">IF($BJ46&gt;0,IF(INDEX('Final Calculation Sheet'!$AC$4:$AC$40,$BJ46-3)="","",INDEX('Final Calculation Sheet'!$AC$4:$AC$40,$BJ46-3)),IF(OR($BI46=1,$BL46=1,$BH46&gt;0),IF($BI46=1,SUM('Final Calculation Sheet'!$AC$4:$AC$40),IF($BL46=1,SUM('Final Calculation Sheet'!$AC$4:$AC$40)-SUMIFS('Final Calculation Sheet'!$AC$4:$AC$40,$AZ$5:$AZ$41,10),SUMIFS('Final Calculation Sheet'!$AC$4:$AC$40,$AZ$5:$AZ$41,$BH46))),""))</f>
        <v/>
      </c>
      <c r="AE47" s="78" t="str">
        <f t="array" ref="AE47">IF($BJ46&gt;0,IF(INDEX('Final Calculation Sheet'!$AD$4:$AD$40,$BJ46-3)="","",INDEX('Final Calculation Sheet'!$AD$4:$AD$40,$BJ46-3)),IF(OR($BI46=1,$BL46=1,$BH46&gt;0),IF($BI46=1,SUM('Final Calculation Sheet'!$AD$4:$AD$40),IF($BL46=1,SUM('Final Calculation Sheet'!$AD$4:$AD$40)-SUMIFS('Final Calculation Sheet'!$AD$4:$AD$40,$AZ$5:$AZ$41,10),SUMIFS('Final Calculation Sheet'!$AD$4:$AD$40,$AZ$5:$AZ$41,$BH46))),""))</f>
        <v/>
      </c>
      <c r="AF47" s="78" t="str">
        <f t="array" ref="AF47">IF($BJ46&gt;0,IF(INDEX('Final Calculation Sheet'!$AE$4:$AE$40,$BJ46-3)="","",INDEX('Final Calculation Sheet'!$AE$4:$AE$40,$BJ46-3)),IF(OR($BI46=1,$BL46=1,$BH46&gt;0),"–",""))</f>
        <v/>
      </c>
      <c r="AG47" s="82" t="str">
        <f t="array" ref="AG47">IF($BJ46&gt;0,IF(INDEX('Final Calculation Sheet'!$AF$4:$AF$40,$BJ46-3)="","",INDEX('Final Calculation Sheet'!$AF$4:$AF$40,$BJ46-3)),IF(OR($BI46=1,$BL46=1,$BH46&gt;0),"–",""))</f>
        <v/>
      </c>
      <c r="AH47" s="78" t="str">
        <f t="array" ref="AH47">IF($BJ46&gt;0,IF(INDEX('Final Calculation Sheet'!$AG$4:$AG$40,$BJ46-3)="","",INDEX('Final Calculation Sheet'!$AG$4:$AG$40,$BJ46-3)),IF(OR($BI46=1,$BL46=1,$BH46&gt;0),"–",""))</f>
        <v/>
      </c>
      <c r="AI47" s="83" t="str">
        <f t="array" ref="AI47">IF($BJ46&gt;0,IF(INDEX('Final Calculation Sheet'!$AD$4:$AD$40,$BJ46-3)="","",IF(INDEX('Final Calculation Sheet'!$AD$4:$AD$40,$BJ46-3)&lt;=0,"SETTLED","OUTSTANDING")),IF(OR($BI46=1,$BL46=1,$BH46&gt;0),IF(IF($BI46=1,SUM('Final Calculation Sheet'!$AD$4:$AD$40),IF($BL46=1,SUM('Final Calculation Sheet'!$AD$4:$AD$40)-SUMIFS('Final Calculation Sheet'!$AD$4:$AD$40,$AZ$5:$AZ$41,10),SUMIFS('Final Calculation Sheet'!$AD$4:$AD$40,$AZ$5:$AZ$41,$BH46)))&lt;=0,"ALL SETTLED","OUTSTANDING"),""))</f>
        <v/>
      </c>
      <c r="BH47" t="str">
        <f>IFERROR(MATCH(47,$BF$4:$BF$13,0),0)</f>
        <v>0</v>
      </c>
      <c r="BI47" t="str">
        <f>IF(47=$BG$5,1,0)</f>
        <v>0</v>
      </c>
      <c r="BJ47" t="str">
        <f t="array" ref="BJ47">IF(OR($BH47&gt;0,$BI47=1,$BL47=1),0,IFERROR(INDEX($BC$5:$BC$41,MATCH(47,$BB$5:$BB$41,0)),0))</f>
        <v>0</v>
      </c>
      <c r="BK47" t="str">
        <f t="array" ref="BK47">IF($BJ47&gt;0,IF(INDEX($AZ$5:$AZ$41,MATCH(47,$BB$5:$BB$41,0))=10,1,0),IF($BH47=10,1,0))</f>
        <v>0</v>
      </c>
      <c r="BL47" t="str">
        <f>IF(47=$BG$4,1,0)</f>
        <v>0</v>
      </c>
    </row>
    <row r="48" ht="15.0" customHeight="1">
      <c r="A48" s="75" t="str">
        <f t="array" ref="A48">IF($BJ47&gt;0,INDEX($BA$5:$BA$41,MATCH(47,$BB$5:$BB$41,0)),IF(OR($BI47=1,$BL47=1,$BH47&gt;0),"∑",""))</f>
        <v/>
      </c>
      <c r="B48" s="76" t="str">
        <f t="array" ref="B48">IF($BJ47&gt;0,IF(INDEX('Final Calculation Sheet'!$F$4:$F$40,$BJ47-3)="","",INDEX('Final Calculation Sheet'!$F$4:$F$40,$BJ47-3)),"")</f>
        <v/>
      </c>
      <c r="C48" s="76" t="str">
        <f t="array" ref="C48">IF($BJ47&gt;0,IF(INDEX('Final Calculation Sheet'!$G$4:$G$40,$BJ47-3)="","",INDEX('Final Calculation Sheet'!$G$4:$G$40,$BJ47-3)),IF(OR($BI47=1,$BL47=1,$BH47&gt;0),IF($BI47=1,37,IF($BL47=1,37-INDEX($BD$4:$BD$13,10),INDEX($BD$4:$BD$13,$BH47)))&amp;" lot(s)",""))</f>
        <v/>
      </c>
      <c r="D48" s="77" t="str">
        <f t="array" ref="D48">IF($BJ47&gt;0,IF(INDEX('Final Calculation Sheet'!$B$4:$B$40,$BJ47-3)="","",INDEX('Final Calculation Sheet'!$B$4:$B$40,$BJ47-3)),IF(OR($BI47=1,$BL47=1,$BH47&gt;0),IF($BI47=1,"GRAND TOTAL  —  matching + remaining",IF($BL47=1,"TOTAL MATCHED  —  every group together",IF($BH47=10,"REMAINING  —  did not match the search",IF($BH47=9,IF(COUNTIF($A$4:$AI$4,"&lt;&gt;")&gt;0,"FILTERED LOTS  —  column fields","ALL LOTS  —  nothing typed in the box"),"GROUP "&amp;$BH47&amp;" TOTAL  —  lots matching  "&amp;INDEX($AR$6:$AY$6,$BH47))))),""))</f>
        <v/>
      </c>
      <c r="E48" s="77" t="str">
        <f t="array" ref="E48">IF($BJ47&gt;0,IF(INDEX('Final Calculation Sheet'!$D$4:$D$40,$BJ47-3)="","",INDEX('Final Calculation Sheet'!$D$4:$D$40,$BJ47-3)),IF(OR($BI47=1,$BL47=1,$BH47&gt;0),"–",""))</f>
        <v/>
      </c>
      <c r="F48" s="77" t="str">
        <f t="array" ref="F48">IF($BJ47&gt;0,IF(INDEX('Final Calculation Sheet'!$A$4:$A$40,$BJ47-3)="","",INDEX('Final Calculation Sheet'!$A$4:$A$40,$BJ47-3)),IF(OR($BI47=1,$BL47=1,$BH47&gt;0),IF($BI47=1,SUM('Final Calculation Sheet'!$A$4:$A$40),IF($BL47=1,SUM('Final Calculation Sheet'!$A$4:$A$40)-SUMIFS('Final Calculation Sheet'!$A$4:$A$40,$AZ$5:$AZ$41,10),SUMIFS('Final Calculation Sheet'!$A$4:$A$40,$AZ$5:$AZ$41,$BH47))),""))</f>
        <v/>
      </c>
      <c r="G48" s="77" t="str">
        <f t="array" ref="G48">IF($BJ47&gt;0,IF(INDEX('Final Calculation Sheet'!$E$4:$E$40,$BJ47-3)="","",INDEX('Final Calculation Sheet'!$E$4:$E$40,$BJ47-3)),IF(OR($BI47=1,$BL47=1,$BH47&gt;0),"–",""))</f>
        <v/>
      </c>
      <c r="H48" s="78" t="str">
        <f t="array" ref="H48">IF($BJ47&gt;0,IF(INDEX('Final Calculation Sheet'!$C$4:$C$40,$BJ47-3)="","",INDEX('Final Calculation Sheet'!$C$4:$C$40,$BJ47-3)),IF(OR($BI47=1,$BL47=1,$BH47&gt;0),"–",""))</f>
        <v/>
      </c>
      <c r="I48" s="78" t="str">
        <f t="array" ref="I48">IF($BJ47&gt;0,IF(INDEX('Final Calculation Sheet'!$H$4:$H$40,$BJ47-3)="","",INDEX('Final Calculation Sheet'!$H$4:$H$40,$BJ47-3)),IF(OR($BI47=1,$BL47=1,$BH47&gt;0),IF($BI47=1,SUM('Final Calculation Sheet'!$H$4:$H$40),IF($BL47=1,SUM('Final Calculation Sheet'!$H$4:$H$40)-SUMIFS('Final Calculation Sheet'!$H$4:$H$40,$AZ$5:$AZ$41,10),SUMIFS('Final Calculation Sheet'!$H$4:$H$40,$AZ$5:$AZ$41,$BH47))),""))</f>
        <v/>
      </c>
      <c r="J48" s="78" t="str">
        <f t="array" ref="J48">IF($BJ47&gt;0,IF(INDEX('Final Calculation Sheet'!$I$4:$I$40,$BJ47-3)="","",INDEX('Final Calculation Sheet'!$I$4:$I$40,$BJ47-3)),IF(OR($BI47=1,$BL47=1,$BH47&gt;0),IF($BI47=1,SUM('Final Calculation Sheet'!$I$4:$I$40),IF($BL47=1,SUM('Final Calculation Sheet'!$I$4:$I$40)-SUMIFS('Final Calculation Sheet'!$I$4:$I$40,$AZ$5:$AZ$41,10),SUMIFS('Final Calculation Sheet'!$I$4:$I$40,$AZ$5:$AZ$41,$BH47))),""))</f>
        <v/>
      </c>
      <c r="K48" s="78" t="str">
        <f t="array" ref="K48">IF($BJ47&gt;0,IF(INDEX('Final Calculation Sheet'!$J$4:$J$40,$BJ47-3)="","",INDEX('Final Calculation Sheet'!$J$4:$J$40,$BJ47-3)),IF(OR($BI47=1,$BL47=1,$BH47&gt;0),IF($BI47=1,SUM('Final Calculation Sheet'!$J$4:$J$40),IF($BL47=1,SUM('Final Calculation Sheet'!$J$4:$J$40)-SUMIFS('Final Calculation Sheet'!$J$4:$J$40,$AZ$5:$AZ$41,10),SUMIFS('Final Calculation Sheet'!$J$4:$J$40,$AZ$5:$AZ$41,$BH47))),""))</f>
        <v/>
      </c>
      <c r="L48" s="78" t="str">
        <f t="array" ref="L48">IF($BJ47&gt;0,IF(INDEX('Final Calculation Sheet'!$K$4:$K$40,$BJ47-3)="","",INDEX('Final Calculation Sheet'!$K$4:$K$40,$BJ47-3)),IF(OR($BI47=1,$BL47=1,$BH47&gt;0),IF($BI47=1,SUM('Final Calculation Sheet'!$K$4:$K$40),IF($BL47=1,SUM('Final Calculation Sheet'!$K$4:$K$40)-SUMIFS('Final Calculation Sheet'!$K$4:$K$40,$AZ$5:$AZ$41,10),SUMIFS('Final Calculation Sheet'!$K$4:$K$40,$AZ$5:$AZ$41,$BH47))),""))</f>
        <v/>
      </c>
      <c r="M48" s="78" t="str">
        <f t="array" ref="M48">IF($BJ47&gt;0,IF(INDEX('Final Calculation Sheet'!$L$4:$L$40,$BJ47-3)="","",INDEX('Final Calculation Sheet'!$L$4:$L$40,$BJ47-3)),IF(OR($BI47=1,$BL47=1,$BH47&gt;0),IF($BI47=1,SUM('Final Calculation Sheet'!$L$4:$L$40),IF($BL47=1,SUM('Final Calculation Sheet'!$L$4:$L$40)-SUMIFS('Final Calculation Sheet'!$L$4:$L$40,$AZ$5:$AZ$41,10),SUMIFS('Final Calculation Sheet'!$L$4:$L$40,$AZ$5:$AZ$41,$BH47))),""))</f>
        <v/>
      </c>
      <c r="N48" s="78" t="str">
        <f t="array" ref="N48">IF($BJ47&gt;0,IF(INDEX('Final Calculation Sheet'!$M$4:$M$40,$BJ47-3)="","",INDEX('Final Calculation Sheet'!$M$4:$M$40,$BJ47-3)),IF(OR($BI47=1,$BL47=1,$BH47&gt;0),IF($BI47=1,SUM('Final Calculation Sheet'!$M$4:$M$40),IF($BL47=1,SUM('Final Calculation Sheet'!$M$4:$M$40)-SUMIFS('Final Calculation Sheet'!$M$4:$M$40,$AZ$5:$AZ$41,10),SUMIFS('Final Calculation Sheet'!$M$4:$M$40,$AZ$5:$AZ$41,$BH47))),""))</f>
        <v/>
      </c>
      <c r="O48" s="79" t="str">
        <f t="array" ref="O48">IF($BJ47&gt;0,IF(INDEX('Final Calculation Sheet'!$N$4:$N$40,$BJ47-3)="","",INDEX('Final Calculation Sheet'!$N$4:$N$40,$BJ47-3)),IF(OR($BI47=1,$BL47=1,$BH47&gt;0),IF($BI47=1,SUM('Final Calculation Sheet'!$N$4:$N$40),IF($BL47=1,SUM('Final Calculation Sheet'!$N$4:$N$40)-SUMIFS('Final Calculation Sheet'!$N$4:$N$40,$AZ$5:$AZ$41,10),SUMIFS('Final Calculation Sheet'!$N$4:$N$40,$AZ$5:$AZ$41,$BH47))),""))</f>
        <v/>
      </c>
      <c r="P48" s="78" t="str">
        <f t="array" ref="P48">IF($BJ47&gt;0,IF(INDEX('Final Calculation Sheet'!$O$4:$O$40,$BJ47-3)="","",INDEX('Final Calculation Sheet'!$O$4:$O$40,$BJ47-3)),IF(OR($BI47=1,$BL47=1,$BH47&gt;0),IF($BI47=1,SUM('Final Calculation Sheet'!$O$4:$O$40),IF($BL47=1,SUM('Final Calculation Sheet'!$O$4:$O$40)-SUMIFS('Final Calculation Sheet'!$O$4:$O$40,$AZ$5:$AZ$41,10),SUMIFS('Final Calculation Sheet'!$O$4:$O$40,$AZ$5:$AZ$41,$BH47))),""))</f>
        <v/>
      </c>
      <c r="Q48" s="78" t="str">
        <f t="array" ref="Q48">IF($BJ47&gt;0,IF(INDEX('Final Calculation Sheet'!$P$4:$P$40,$BJ47-3)="","",INDEX('Final Calculation Sheet'!$P$4:$P$40,$BJ47-3)),IF(OR($BI47=1,$BL47=1,$BH47&gt;0),IF($BI47=1,SUM('Final Calculation Sheet'!$P$4:$P$40),IF($BL47=1,SUM('Final Calculation Sheet'!$P$4:$P$40)-SUMIFS('Final Calculation Sheet'!$P$4:$P$40,$AZ$5:$AZ$41,10),SUMIFS('Final Calculation Sheet'!$P$4:$P$40,$AZ$5:$AZ$41,$BH47))),""))</f>
        <v/>
      </c>
      <c r="R48" s="80" t="str">
        <f t="array" ref="R48">IF($BJ47&gt;0,IF(INDEX('Final Calculation Sheet'!$Q$4:$Q$40,$BJ47-3)="","",INDEX('Final Calculation Sheet'!$Q$4:$Q$40,$BJ47-3)),IF(OR($BI47=1,$BL47=1,$BH47&gt;0),"–",""))</f>
        <v/>
      </c>
      <c r="S48" s="78" t="str">
        <f t="array" ref="S48">IF($BJ47&gt;0,IF(INDEX('Final Calculation Sheet'!$R$4:$R$40,$BJ47-3)="","",INDEX('Final Calculation Sheet'!$R$4:$R$40,$BJ47-3)),IF(OR($BI47=1,$BL47=1,$BH47&gt;0),IF($BI47=1,SUM('Final Calculation Sheet'!$R$4:$R$40),IF($BL47=1,SUM('Final Calculation Sheet'!$R$4:$R$40)-SUMIFS('Final Calculation Sheet'!$R$4:$R$40,$AZ$5:$AZ$41,10),SUMIFS('Final Calculation Sheet'!$R$4:$R$40,$AZ$5:$AZ$41,$BH47))),""))</f>
        <v/>
      </c>
      <c r="T48" s="78" t="str">
        <f t="array" ref="T48">IF($BJ47&gt;0,IF(INDEX('Final Calculation Sheet'!$S$4:$S$40,$BJ47-3)="","",INDEX('Final Calculation Sheet'!$S$4:$S$40,$BJ47-3)),IF(OR($BI47=1,$BL47=1,$BH47&gt;0),IF($BI47=1,SUM('Final Calculation Sheet'!$S$4:$S$40),IF($BL47=1,SUM('Final Calculation Sheet'!$S$4:$S$40)-SUMIFS('Final Calculation Sheet'!$S$4:$S$40,$AZ$5:$AZ$41,10),SUMIFS('Final Calculation Sheet'!$S$4:$S$40,$AZ$5:$AZ$41,$BH47))),""))</f>
        <v/>
      </c>
      <c r="U48" s="78" t="str">
        <f t="array" ref="U48">IF($BJ47&gt;0,IF(INDEX('Final Calculation Sheet'!$T$4:$T$40,$BJ47-3)="","",INDEX('Final Calculation Sheet'!$T$4:$T$40,$BJ47-3)),IF(OR($BI47=1,$BL47=1,$BH47&gt;0),IF($BI47=1,SUM('Final Calculation Sheet'!$T$4:$T$40),IF($BL47=1,SUM('Final Calculation Sheet'!$T$4:$T$40)-SUMIFS('Final Calculation Sheet'!$T$4:$T$40,$AZ$5:$AZ$41,10),SUMIFS('Final Calculation Sheet'!$T$4:$T$40,$AZ$5:$AZ$41,$BH47))),""))</f>
        <v/>
      </c>
      <c r="V48" s="81" t="str">
        <f t="array" ref="V48">IF($BJ47&gt;0,IF(INDEX('Final Calculation Sheet'!$U$4:$U$40,$BJ47-3)="","",INDEX('Final Calculation Sheet'!$U$4:$U$40,$BJ47-3)),IF(OR($BI47=1,$BL47=1,$BH47&gt;0),IF($BI47=1,SUM('Final Calculation Sheet'!$U$4:$U$40),IF($BL47=1,SUM('Final Calculation Sheet'!$U$4:$U$40)-SUMIFS('Final Calculation Sheet'!$U$4:$U$40,$AZ$5:$AZ$41,10),SUMIFS('Final Calculation Sheet'!$U$4:$U$40,$AZ$5:$AZ$41,$BH47))),""))</f>
        <v>  </v>
      </c>
      <c r="W48" s="78" t="str">
        <f t="array" ref="W48">IF($BJ47&gt;0,IF(INDEX('Final Calculation Sheet'!$V$4:$V$40,$BJ47-3)="","",INDEX('Final Calculation Sheet'!$V$4:$V$40,$BJ47-3)),IF(OR($BI47=1,$BL47=1,$BH47&gt;0),"–",""))</f>
        <v/>
      </c>
      <c r="X48" s="78" t="str">
        <f t="array" ref="X48">IF($BJ47&gt;0,IF(INDEX('Final Calculation Sheet'!$W$4:$W$40,$BJ47-3)="","",INDEX('Final Calculation Sheet'!$W$4:$W$40,$BJ47-3)),IF(OR($BI47=1,$BL47=1,$BH47&gt;0),IF($BI47=1,SUM('Final Calculation Sheet'!$W$4:$W$40),IF($BL47=1,SUM('Final Calculation Sheet'!$W$4:$W$40)-SUMIFS('Final Calculation Sheet'!$W$4:$W$40,$AZ$5:$AZ$41,10),SUMIFS('Final Calculation Sheet'!$W$4:$W$40,$AZ$5:$AZ$41,$BH47))),""))</f>
        <v/>
      </c>
      <c r="Y48" s="78" t="str">
        <f t="array" ref="Y48">IF($BJ47&gt;0,IF(INDEX('Final Calculation Sheet'!$X$4:$X$40,$BJ47-3)="","",INDEX('Final Calculation Sheet'!$X$4:$X$40,$BJ47-3)),IF(OR($BI47=1,$BL47=1,$BH47&gt;0),IF($BI47=1,SUM('Final Calculation Sheet'!$X$4:$X$40),IF($BL47=1,SUM('Final Calculation Sheet'!$X$4:$X$40)-SUMIFS('Final Calculation Sheet'!$X$4:$X$40,$AZ$5:$AZ$41,10),SUMIFS('Final Calculation Sheet'!$X$4:$X$40,$AZ$5:$AZ$41,$BH47))),""))</f>
        <v/>
      </c>
      <c r="Z48" s="78" t="str">
        <f t="array" ref="Z48">IF($BJ47&gt;0,IF(INDEX('Final Calculation Sheet'!$Y$4:$Y$40,$BJ47-3)="","",INDEX('Final Calculation Sheet'!$Y$4:$Y$40,$BJ47-3)),IF(OR($BI47=1,$BL47=1,$BH47&gt;0),"–",""))</f>
        <v/>
      </c>
      <c r="AA48" s="78" t="str">
        <f t="array" ref="AA48">IF($BJ47&gt;0,IF(INDEX('Final Calculation Sheet'!$Z$4:$Z$40,$BJ47-3)="","",INDEX('Final Calculation Sheet'!$Z$4:$Z$40,$BJ47-3)),IF(OR($BI47=1,$BL47=1,$BH47&gt;0),IF($BI47=1,SUM('Final Calculation Sheet'!$Z$4:$Z$40),IF($BL47=1,SUM('Final Calculation Sheet'!$Z$4:$Z$40)-SUMIFS('Final Calculation Sheet'!$Z$4:$Z$40,$AZ$5:$AZ$41,10),SUMIFS('Final Calculation Sheet'!$Z$4:$Z$40,$AZ$5:$AZ$41,$BH47))),""))</f>
        <v/>
      </c>
      <c r="AB48" s="78" t="str">
        <f t="array" ref="AB48">IF($BJ47&gt;0,IF(INDEX('Final Calculation Sheet'!$AA$4:$AA$40,$BJ47-3)="","",INDEX('Final Calculation Sheet'!$AA$4:$AA$40,$BJ47-3)),IF(OR($BI47=1,$BL47=1,$BH47&gt;0),IF($BI47=1,SUM('Final Calculation Sheet'!$AA$4:$AA$40),IF($BL47=1,SUM('Final Calculation Sheet'!$AA$4:$AA$40)-SUMIFS('Final Calculation Sheet'!$AA$4:$AA$40,$AZ$5:$AZ$41,10),SUMIFS('Final Calculation Sheet'!$AA$4:$AA$40,$AZ$5:$AZ$41,$BH47))),""))</f>
        <v/>
      </c>
      <c r="AC48" s="78" t="str">
        <f t="array" ref="AC48">IF($BJ47&gt;0,IF(INDEX('Final Calculation Sheet'!$AB$4:$AB$40,$BJ47-3)="","",INDEX('Final Calculation Sheet'!$AB$4:$AB$40,$BJ47-3)),IF(OR($BI47=1,$BL47=1,$BH47&gt;0),"–",""))</f>
        <v/>
      </c>
      <c r="AD48" s="78" t="str">
        <f t="array" ref="AD48">IF($BJ47&gt;0,IF(INDEX('Final Calculation Sheet'!$AC$4:$AC$40,$BJ47-3)="","",INDEX('Final Calculation Sheet'!$AC$4:$AC$40,$BJ47-3)),IF(OR($BI47=1,$BL47=1,$BH47&gt;0),IF($BI47=1,SUM('Final Calculation Sheet'!$AC$4:$AC$40),IF($BL47=1,SUM('Final Calculation Sheet'!$AC$4:$AC$40)-SUMIFS('Final Calculation Sheet'!$AC$4:$AC$40,$AZ$5:$AZ$41,10),SUMIFS('Final Calculation Sheet'!$AC$4:$AC$40,$AZ$5:$AZ$41,$BH47))),""))</f>
        <v/>
      </c>
      <c r="AE48" s="78" t="str">
        <f t="array" ref="AE48">IF($BJ47&gt;0,IF(INDEX('Final Calculation Sheet'!$AD$4:$AD$40,$BJ47-3)="","",INDEX('Final Calculation Sheet'!$AD$4:$AD$40,$BJ47-3)),IF(OR($BI47=1,$BL47=1,$BH47&gt;0),IF($BI47=1,SUM('Final Calculation Sheet'!$AD$4:$AD$40),IF($BL47=1,SUM('Final Calculation Sheet'!$AD$4:$AD$40)-SUMIFS('Final Calculation Sheet'!$AD$4:$AD$40,$AZ$5:$AZ$41,10),SUMIFS('Final Calculation Sheet'!$AD$4:$AD$40,$AZ$5:$AZ$41,$BH47))),""))</f>
        <v/>
      </c>
      <c r="AF48" s="78" t="str">
        <f t="array" ref="AF48">IF($BJ47&gt;0,IF(INDEX('Final Calculation Sheet'!$AE$4:$AE$40,$BJ47-3)="","",INDEX('Final Calculation Sheet'!$AE$4:$AE$40,$BJ47-3)),IF(OR($BI47=1,$BL47=1,$BH47&gt;0),"–",""))</f>
        <v/>
      </c>
      <c r="AG48" s="82" t="str">
        <f t="array" ref="AG48">IF($BJ47&gt;0,IF(INDEX('Final Calculation Sheet'!$AF$4:$AF$40,$BJ47-3)="","",INDEX('Final Calculation Sheet'!$AF$4:$AF$40,$BJ47-3)),IF(OR($BI47=1,$BL47=1,$BH47&gt;0),"–",""))</f>
        <v/>
      </c>
      <c r="AH48" s="78" t="str">
        <f t="array" ref="AH48">IF($BJ47&gt;0,IF(INDEX('Final Calculation Sheet'!$AG$4:$AG$40,$BJ47-3)="","",INDEX('Final Calculation Sheet'!$AG$4:$AG$40,$BJ47-3)),IF(OR($BI47=1,$BL47=1,$BH47&gt;0),"–",""))</f>
        <v/>
      </c>
      <c r="AI48" s="83" t="str">
        <f t="array" ref="AI48">IF($BJ47&gt;0,IF(INDEX('Final Calculation Sheet'!$AD$4:$AD$40,$BJ47-3)="","",IF(INDEX('Final Calculation Sheet'!$AD$4:$AD$40,$BJ47-3)&lt;=0,"SETTLED","OUTSTANDING")),IF(OR($BI47=1,$BL47=1,$BH47&gt;0),IF(IF($BI47=1,SUM('Final Calculation Sheet'!$AD$4:$AD$40),IF($BL47=1,SUM('Final Calculation Sheet'!$AD$4:$AD$40)-SUMIFS('Final Calculation Sheet'!$AD$4:$AD$40,$AZ$5:$AZ$41,10),SUMIFS('Final Calculation Sheet'!$AD$4:$AD$40,$AZ$5:$AZ$41,$BH47)))&lt;=0,"ALL SETTLED","OUTSTANDING"),""))</f>
        <v/>
      </c>
      <c r="BH48" t="str">
        <f>IFERROR(MATCH(48,$BF$4:$BF$13,0),0)</f>
        <v>0</v>
      </c>
      <c r="BI48" t="str">
        <f>IF(48=$BG$5,1,0)</f>
        <v>0</v>
      </c>
      <c r="BJ48" t="str">
        <f t="array" ref="BJ48">IF(OR($BH48&gt;0,$BI48=1,$BL48=1),0,IFERROR(INDEX($BC$5:$BC$41,MATCH(48,$BB$5:$BB$41,0)),0))</f>
        <v>0</v>
      </c>
      <c r="BK48" t="str">
        <f t="array" ref="BK48">IF($BJ48&gt;0,IF(INDEX($AZ$5:$AZ$41,MATCH(48,$BB$5:$BB$41,0))=10,1,0),IF($BH48=10,1,0))</f>
        <v>0</v>
      </c>
      <c r="BL48" t="str">
        <f>IF(48=$BG$4,1,0)</f>
        <v>0</v>
      </c>
    </row>
    <row r="49" ht="15.0" customHeight="1">
      <c r="A49" s="75" t="str">
        <f t="array" ref="A49">IF($BJ48&gt;0,INDEX($BA$5:$BA$41,MATCH(48,$BB$5:$BB$41,0)),IF(OR($BI48=1,$BL48=1,$BH48&gt;0),"∑",""))</f>
        <v/>
      </c>
      <c r="B49" s="76" t="str">
        <f t="array" ref="B49">IF($BJ48&gt;0,IF(INDEX('Final Calculation Sheet'!$F$4:$F$40,$BJ48-3)="","",INDEX('Final Calculation Sheet'!$F$4:$F$40,$BJ48-3)),"")</f>
        <v/>
      </c>
      <c r="C49" s="76" t="str">
        <f t="array" ref="C49">IF($BJ48&gt;0,IF(INDEX('Final Calculation Sheet'!$G$4:$G$40,$BJ48-3)="","",INDEX('Final Calculation Sheet'!$G$4:$G$40,$BJ48-3)),IF(OR($BI48=1,$BL48=1,$BH48&gt;0),IF($BI48=1,37,IF($BL48=1,37-INDEX($BD$4:$BD$13,10),INDEX($BD$4:$BD$13,$BH48)))&amp;" lot(s)",""))</f>
        <v/>
      </c>
      <c r="D49" s="77" t="str">
        <f t="array" ref="D49">IF($BJ48&gt;0,IF(INDEX('Final Calculation Sheet'!$B$4:$B$40,$BJ48-3)="","",INDEX('Final Calculation Sheet'!$B$4:$B$40,$BJ48-3)),IF(OR($BI48=1,$BL48=1,$BH48&gt;0),IF($BI48=1,"GRAND TOTAL  —  matching + remaining",IF($BL48=1,"TOTAL MATCHED  —  every group together",IF($BH48=10,"REMAINING  —  did not match the search",IF($BH48=9,IF(COUNTIF($A$4:$AI$4,"&lt;&gt;")&gt;0,"FILTERED LOTS  —  column fields","ALL LOTS  —  nothing typed in the box"),"GROUP "&amp;$BH48&amp;" TOTAL  —  lots matching  "&amp;INDEX($AR$6:$AY$6,$BH48))))),""))</f>
        <v/>
      </c>
      <c r="E49" s="77" t="str">
        <f t="array" ref="E49">IF($BJ48&gt;0,IF(INDEX('Final Calculation Sheet'!$D$4:$D$40,$BJ48-3)="","",INDEX('Final Calculation Sheet'!$D$4:$D$40,$BJ48-3)),IF(OR($BI48=1,$BL48=1,$BH48&gt;0),"–",""))</f>
        <v/>
      </c>
      <c r="F49" s="77" t="str">
        <f t="array" ref="F49">IF($BJ48&gt;0,IF(INDEX('Final Calculation Sheet'!$A$4:$A$40,$BJ48-3)="","",INDEX('Final Calculation Sheet'!$A$4:$A$40,$BJ48-3)),IF(OR($BI48=1,$BL48=1,$BH48&gt;0),IF($BI48=1,SUM('Final Calculation Sheet'!$A$4:$A$40),IF($BL48=1,SUM('Final Calculation Sheet'!$A$4:$A$40)-SUMIFS('Final Calculation Sheet'!$A$4:$A$40,$AZ$5:$AZ$41,10),SUMIFS('Final Calculation Sheet'!$A$4:$A$40,$AZ$5:$AZ$41,$BH48))),""))</f>
        <v/>
      </c>
      <c r="G49" s="77" t="str">
        <f t="array" ref="G49">IF($BJ48&gt;0,IF(INDEX('Final Calculation Sheet'!$E$4:$E$40,$BJ48-3)="","",INDEX('Final Calculation Sheet'!$E$4:$E$40,$BJ48-3)),IF(OR($BI48=1,$BL48=1,$BH48&gt;0),"–",""))</f>
        <v/>
      </c>
      <c r="H49" s="78" t="str">
        <f t="array" ref="H49">IF($BJ48&gt;0,IF(INDEX('Final Calculation Sheet'!$C$4:$C$40,$BJ48-3)="","",INDEX('Final Calculation Sheet'!$C$4:$C$40,$BJ48-3)),IF(OR($BI48=1,$BL48=1,$BH48&gt;0),"–",""))</f>
        <v/>
      </c>
      <c r="I49" s="78" t="str">
        <f t="array" ref="I49">IF($BJ48&gt;0,IF(INDEX('Final Calculation Sheet'!$H$4:$H$40,$BJ48-3)="","",INDEX('Final Calculation Sheet'!$H$4:$H$40,$BJ48-3)),IF(OR($BI48=1,$BL48=1,$BH48&gt;0),IF($BI48=1,SUM('Final Calculation Sheet'!$H$4:$H$40),IF($BL48=1,SUM('Final Calculation Sheet'!$H$4:$H$40)-SUMIFS('Final Calculation Sheet'!$H$4:$H$40,$AZ$5:$AZ$41,10),SUMIFS('Final Calculation Sheet'!$H$4:$H$40,$AZ$5:$AZ$41,$BH48))),""))</f>
        <v/>
      </c>
      <c r="J49" s="78" t="str">
        <f t="array" ref="J49">IF($BJ48&gt;0,IF(INDEX('Final Calculation Sheet'!$I$4:$I$40,$BJ48-3)="","",INDEX('Final Calculation Sheet'!$I$4:$I$40,$BJ48-3)),IF(OR($BI48=1,$BL48=1,$BH48&gt;0),IF($BI48=1,SUM('Final Calculation Sheet'!$I$4:$I$40),IF($BL48=1,SUM('Final Calculation Sheet'!$I$4:$I$40)-SUMIFS('Final Calculation Sheet'!$I$4:$I$40,$AZ$5:$AZ$41,10),SUMIFS('Final Calculation Sheet'!$I$4:$I$40,$AZ$5:$AZ$41,$BH48))),""))</f>
        <v/>
      </c>
      <c r="K49" s="78" t="str">
        <f t="array" ref="K49">IF($BJ48&gt;0,IF(INDEX('Final Calculation Sheet'!$J$4:$J$40,$BJ48-3)="","",INDEX('Final Calculation Sheet'!$J$4:$J$40,$BJ48-3)),IF(OR($BI48=1,$BL48=1,$BH48&gt;0),IF($BI48=1,SUM('Final Calculation Sheet'!$J$4:$J$40),IF($BL48=1,SUM('Final Calculation Sheet'!$J$4:$J$40)-SUMIFS('Final Calculation Sheet'!$J$4:$J$40,$AZ$5:$AZ$41,10),SUMIFS('Final Calculation Sheet'!$J$4:$J$40,$AZ$5:$AZ$41,$BH48))),""))</f>
        <v/>
      </c>
      <c r="L49" s="78" t="str">
        <f t="array" ref="L49">IF($BJ48&gt;0,IF(INDEX('Final Calculation Sheet'!$K$4:$K$40,$BJ48-3)="","",INDEX('Final Calculation Sheet'!$K$4:$K$40,$BJ48-3)),IF(OR($BI48=1,$BL48=1,$BH48&gt;0),IF($BI48=1,SUM('Final Calculation Sheet'!$K$4:$K$40),IF($BL48=1,SUM('Final Calculation Sheet'!$K$4:$K$40)-SUMIFS('Final Calculation Sheet'!$K$4:$K$40,$AZ$5:$AZ$41,10),SUMIFS('Final Calculation Sheet'!$K$4:$K$40,$AZ$5:$AZ$41,$BH48))),""))</f>
        <v/>
      </c>
      <c r="M49" s="78" t="str">
        <f t="array" ref="M49">IF($BJ48&gt;0,IF(INDEX('Final Calculation Sheet'!$L$4:$L$40,$BJ48-3)="","",INDEX('Final Calculation Sheet'!$L$4:$L$40,$BJ48-3)),IF(OR($BI48=1,$BL48=1,$BH48&gt;0),IF($BI48=1,SUM('Final Calculation Sheet'!$L$4:$L$40),IF($BL48=1,SUM('Final Calculation Sheet'!$L$4:$L$40)-SUMIFS('Final Calculation Sheet'!$L$4:$L$40,$AZ$5:$AZ$41,10),SUMIFS('Final Calculation Sheet'!$L$4:$L$40,$AZ$5:$AZ$41,$BH48))),""))</f>
        <v/>
      </c>
      <c r="N49" s="78" t="str">
        <f t="array" ref="N49">IF($BJ48&gt;0,IF(INDEX('Final Calculation Sheet'!$M$4:$M$40,$BJ48-3)="","",INDEX('Final Calculation Sheet'!$M$4:$M$40,$BJ48-3)),IF(OR($BI48=1,$BL48=1,$BH48&gt;0),IF($BI48=1,SUM('Final Calculation Sheet'!$M$4:$M$40),IF($BL48=1,SUM('Final Calculation Sheet'!$M$4:$M$40)-SUMIFS('Final Calculation Sheet'!$M$4:$M$40,$AZ$5:$AZ$41,10),SUMIFS('Final Calculation Sheet'!$M$4:$M$40,$AZ$5:$AZ$41,$BH48))),""))</f>
        <v/>
      </c>
      <c r="O49" s="79" t="str">
        <f t="array" ref="O49">IF($BJ48&gt;0,IF(INDEX('Final Calculation Sheet'!$N$4:$N$40,$BJ48-3)="","",INDEX('Final Calculation Sheet'!$N$4:$N$40,$BJ48-3)),IF(OR($BI48=1,$BL48=1,$BH48&gt;0),IF($BI48=1,SUM('Final Calculation Sheet'!$N$4:$N$40),IF($BL48=1,SUM('Final Calculation Sheet'!$N$4:$N$40)-SUMIFS('Final Calculation Sheet'!$N$4:$N$40,$AZ$5:$AZ$41,10),SUMIFS('Final Calculation Sheet'!$N$4:$N$40,$AZ$5:$AZ$41,$BH48))),""))</f>
        <v/>
      </c>
      <c r="P49" s="78" t="str">
        <f t="array" ref="P49">IF($BJ48&gt;0,IF(INDEX('Final Calculation Sheet'!$O$4:$O$40,$BJ48-3)="","",INDEX('Final Calculation Sheet'!$O$4:$O$40,$BJ48-3)),IF(OR($BI48=1,$BL48=1,$BH48&gt;0),IF($BI48=1,SUM('Final Calculation Sheet'!$O$4:$O$40),IF($BL48=1,SUM('Final Calculation Sheet'!$O$4:$O$40)-SUMIFS('Final Calculation Sheet'!$O$4:$O$40,$AZ$5:$AZ$41,10),SUMIFS('Final Calculation Sheet'!$O$4:$O$40,$AZ$5:$AZ$41,$BH48))),""))</f>
        <v/>
      </c>
      <c r="Q49" s="78" t="str">
        <f t="array" ref="Q49">IF($BJ48&gt;0,IF(INDEX('Final Calculation Sheet'!$P$4:$P$40,$BJ48-3)="","",INDEX('Final Calculation Sheet'!$P$4:$P$40,$BJ48-3)),IF(OR($BI48=1,$BL48=1,$BH48&gt;0),IF($BI48=1,SUM('Final Calculation Sheet'!$P$4:$P$40),IF($BL48=1,SUM('Final Calculation Sheet'!$P$4:$P$40)-SUMIFS('Final Calculation Sheet'!$P$4:$P$40,$AZ$5:$AZ$41,10),SUMIFS('Final Calculation Sheet'!$P$4:$P$40,$AZ$5:$AZ$41,$BH48))),""))</f>
        <v/>
      </c>
      <c r="R49" s="80" t="str">
        <f t="array" ref="R49">IF($BJ48&gt;0,IF(INDEX('Final Calculation Sheet'!$Q$4:$Q$40,$BJ48-3)="","",INDEX('Final Calculation Sheet'!$Q$4:$Q$40,$BJ48-3)),IF(OR($BI48=1,$BL48=1,$BH48&gt;0),"–",""))</f>
        <v/>
      </c>
      <c r="S49" s="78" t="str">
        <f t="array" ref="S49">IF($BJ48&gt;0,IF(INDEX('Final Calculation Sheet'!$R$4:$R$40,$BJ48-3)="","",INDEX('Final Calculation Sheet'!$R$4:$R$40,$BJ48-3)),IF(OR($BI48=1,$BL48=1,$BH48&gt;0),IF($BI48=1,SUM('Final Calculation Sheet'!$R$4:$R$40),IF($BL48=1,SUM('Final Calculation Sheet'!$R$4:$R$40)-SUMIFS('Final Calculation Sheet'!$R$4:$R$40,$AZ$5:$AZ$41,10),SUMIFS('Final Calculation Sheet'!$R$4:$R$40,$AZ$5:$AZ$41,$BH48))),""))</f>
        <v/>
      </c>
      <c r="T49" s="78" t="str">
        <f t="array" ref="T49">IF($BJ48&gt;0,IF(INDEX('Final Calculation Sheet'!$S$4:$S$40,$BJ48-3)="","",INDEX('Final Calculation Sheet'!$S$4:$S$40,$BJ48-3)),IF(OR($BI48=1,$BL48=1,$BH48&gt;0),IF($BI48=1,SUM('Final Calculation Sheet'!$S$4:$S$40),IF($BL48=1,SUM('Final Calculation Sheet'!$S$4:$S$40)-SUMIFS('Final Calculation Sheet'!$S$4:$S$40,$AZ$5:$AZ$41,10),SUMIFS('Final Calculation Sheet'!$S$4:$S$40,$AZ$5:$AZ$41,$BH48))),""))</f>
        <v/>
      </c>
      <c r="U49" s="78" t="str">
        <f t="array" ref="U49">IF($BJ48&gt;0,IF(INDEX('Final Calculation Sheet'!$T$4:$T$40,$BJ48-3)="","",INDEX('Final Calculation Sheet'!$T$4:$T$40,$BJ48-3)),IF(OR($BI48=1,$BL48=1,$BH48&gt;0),IF($BI48=1,SUM('Final Calculation Sheet'!$T$4:$T$40),IF($BL48=1,SUM('Final Calculation Sheet'!$T$4:$T$40)-SUMIFS('Final Calculation Sheet'!$T$4:$T$40,$AZ$5:$AZ$41,10),SUMIFS('Final Calculation Sheet'!$T$4:$T$40,$AZ$5:$AZ$41,$BH48))),""))</f>
        <v/>
      </c>
      <c r="V49" s="81" t="str">
        <f t="array" ref="V49">IF($BJ48&gt;0,IF(INDEX('Final Calculation Sheet'!$U$4:$U$40,$BJ48-3)="","",INDEX('Final Calculation Sheet'!$U$4:$U$40,$BJ48-3)),IF(OR($BI48=1,$BL48=1,$BH48&gt;0),IF($BI48=1,SUM('Final Calculation Sheet'!$U$4:$U$40),IF($BL48=1,SUM('Final Calculation Sheet'!$U$4:$U$40)-SUMIFS('Final Calculation Sheet'!$U$4:$U$40,$AZ$5:$AZ$41,10),SUMIFS('Final Calculation Sheet'!$U$4:$U$40,$AZ$5:$AZ$41,$BH48))),""))</f>
        <v>  </v>
      </c>
      <c r="W49" s="78" t="str">
        <f t="array" ref="W49">IF($BJ48&gt;0,IF(INDEX('Final Calculation Sheet'!$V$4:$V$40,$BJ48-3)="","",INDEX('Final Calculation Sheet'!$V$4:$V$40,$BJ48-3)),IF(OR($BI48=1,$BL48=1,$BH48&gt;0),"–",""))</f>
        <v/>
      </c>
      <c r="X49" s="78" t="str">
        <f t="array" ref="X49">IF($BJ48&gt;0,IF(INDEX('Final Calculation Sheet'!$W$4:$W$40,$BJ48-3)="","",INDEX('Final Calculation Sheet'!$W$4:$W$40,$BJ48-3)),IF(OR($BI48=1,$BL48=1,$BH48&gt;0),IF($BI48=1,SUM('Final Calculation Sheet'!$W$4:$W$40),IF($BL48=1,SUM('Final Calculation Sheet'!$W$4:$W$40)-SUMIFS('Final Calculation Sheet'!$W$4:$W$40,$AZ$5:$AZ$41,10),SUMIFS('Final Calculation Sheet'!$W$4:$W$40,$AZ$5:$AZ$41,$BH48))),""))</f>
        <v/>
      </c>
      <c r="Y49" s="78" t="str">
        <f t="array" ref="Y49">IF($BJ48&gt;0,IF(INDEX('Final Calculation Sheet'!$X$4:$X$40,$BJ48-3)="","",INDEX('Final Calculation Sheet'!$X$4:$X$40,$BJ48-3)),IF(OR($BI48=1,$BL48=1,$BH48&gt;0),IF($BI48=1,SUM('Final Calculation Sheet'!$X$4:$X$40),IF($BL48=1,SUM('Final Calculation Sheet'!$X$4:$X$40)-SUMIFS('Final Calculation Sheet'!$X$4:$X$40,$AZ$5:$AZ$41,10),SUMIFS('Final Calculation Sheet'!$X$4:$X$40,$AZ$5:$AZ$41,$BH48))),""))</f>
        <v/>
      </c>
      <c r="Z49" s="78" t="str">
        <f t="array" ref="Z49">IF($BJ48&gt;0,IF(INDEX('Final Calculation Sheet'!$Y$4:$Y$40,$BJ48-3)="","",INDEX('Final Calculation Sheet'!$Y$4:$Y$40,$BJ48-3)),IF(OR($BI48=1,$BL48=1,$BH48&gt;0),"–",""))</f>
        <v/>
      </c>
      <c r="AA49" s="78" t="str">
        <f t="array" ref="AA49">IF($BJ48&gt;0,IF(INDEX('Final Calculation Sheet'!$Z$4:$Z$40,$BJ48-3)="","",INDEX('Final Calculation Sheet'!$Z$4:$Z$40,$BJ48-3)),IF(OR($BI48=1,$BL48=1,$BH48&gt;0),IF($BI48=1,SUM('Final Calculation Sheet'!$Z$4:$Z$40),IF($BL48=1,SUM('Final Calculation Sheet'!$Z$4:$Z$40)-SUMIFS('Final Calculation Sheet'!$Z$4:$Z$40,$AZ$5:$AZ$41,10),SUMIFS('Final Calculation Sheet'!$Z$4:$Z$40,$AZ$5:$AZ$41,$BH48))),""))</f>
        <v/>
      </c>
      <c r="AB49" s="78" t="str">
        <f t="array" ref="AB49">IF($BJ48&gt;0,IF(INDEX('Final Calculation Sheet'!$AA$4:$AA$40,$BJ48-3)="","",INDEX('Final Calculation Sheet'!$AA$4:$AA$40,$BJ48-3)),IF(OR($BI48=1,$BL48=1,$BH48&gt;0),IF($BI48=1,SUM('Final Calculation Sheet'!$AA$4:$AA$40),IF($BL48=1,SUM('Final Calculation Sheet'!$AA$4:$AA$40)-SUMIFS('Final Calculation Sheet'!$AA$4:$AA$40,$AZ$5:$AZ$41,10),SUMIFS('Final Calculation Sheet'!$AA$4:$AA$40,$AZ$5:$AZ$41,$BH48))),""))</f>
        <v/>
      </c>
      <c r="AC49" s="78" t="str">
        <f t="array" ref="AC49">IF($BJ48&gt;0,IF(INDEX('Final Calculation Sheet'!$AB$4:$AB$40,$BJ48-3)="","",INDEX('Final Calculation Sheet'!$AB$4:$AB$40,$BJ48-3)),IF(OR($BI48=1,$BL48=1,$BH48&gt;0),"–",""))</f>
        <v/>
      </c>
      <c r="AD49" s="78" t="str">
        <f t="array" ref="AD49">IF($BJ48&gt;0,IF(INDEX('Final Calculation Sheet'!$AC$4:$AC$40,$BJ48-3)="","",INDEX('Final Calculation Sheet'!$AC$4:$AC$40,$BJ48-3)),IF(OR($BI48=1,$BL48=1,$BH48&gt;0),IF($BI48=1,SUM('Final Calculation Sheet'!$AC$4:$AC$40),IF($BL48=1,SUM('Final Calculation Sheet'!$AC$4:$AC$40)-SUMIFS('Final Calculation Sheet'!$AC$4:$AC$40,$AZ$5:$AZ$41,10),SUMIFS('Final Calculation Sheet'!$AC$4:$AC$40,$AZ$5:$AZ$41,$BH48))),""))</f>
        <v/>
      </c>
      <c r="AE49" s="78" t="str">
        <f t="array" ref="AE49">IF($BJ48&gt;0,IF(INDEX('Final Calculation Sheet'!$AD$4:$AD$40,$BJ48-3)="","",INDEX('Final Calculation Sheet'!$AD$4:$AD$40,$BJ48-3)),IF(OR($BI48=1,$BL48=1,$BH48&gt;0),IF($BI48=1,SUM('Final Calculation Sheet'!$AD$4:$AD$40),IF($BL48=1,SUM('Final Calculation Sheet'!$AD$4:$AD$40)-SUMIFS('Final Calculation Sheet'!$AD$4:$AD$40,$AZ$5:$AZ$41,10),SUMIFS('Final Calculation Sheet'!$AD$4:$AD$40,$AZ$5:$AZ$41,$BH48))),""))</f>
        <v/>
      </c>
      <c r="AF49" s="78" t="str">
        <f t="array" ref="AF49">IF($BJ48&gt;0,IF(INDEX('Final Calculation Sheet'!$AE$4:$AE$40,$BJ48-3)="","",INDEX('Final Calculation Sheet'!$AE$4:$AE$40,$BJ48-3)),IF(OR($BI48=1,$BL48=1,$BH48&gt;0),"–",""))</f>
        <v/>
      </c>
      <c r="AG49" s="82" t="str">
        <f t="array" ref="AG49">IF($BJ48&gt;0,IF(INDEX('Final Calculation Sheet'!$AF$4:$AF$40,$BJ48-3)="","",INDEX('Final Calculation Sheet'!$AF$4:$AF$40,$BJ48-3)),IF(OR($BI48=1,$BL48=1,$BH48&gt;0),"–",""))</f>
        <v/>
      </c>
      <c r="AH49" s="78" t="str">
        <f t="array" ref="AH49">IF($BJ48&gt;0,IF(INDEX('Final Calculation Sheet'!$AG$4:$AG$40,$BJ48-3)="","",INDEX('Final Calculation Sheet'!$AG$4:$AG$40,$BJ48-3)),IF(OR($BI48=1,$BL48=1,$BH48&gt;0),"–",""))</f>
        <v/>
      </c>
      <c r="AI49" s="83" t="str">
        <f t="array" ref="AI49">IF($BJ48&gt;0,IF(INDEX('Final Calculation Sheet'!$AD$4:$AD$40,$BJ48-3)="","",IF(INDEX('Final Calculation Sheet'!$AD$4:$AD$40,$BJ48-3)&lt;=0,"SETTLED","OUTSTANDING")),IF(OR($BI48=1,$BL48=1,$BH48&gt;0),IF(IF($BI48=1,SUM('Final Calculation Sheet'!$AD$4:$AD$40),IF($BL48=1,SUM('Final Calculation Sheet'!$AD$4:$AD$40)-SUMIFS('Final Calculation Sheet'!$AD$4:$AD$40,$AZ$5:$AZ$41,10),SUMIFS('Final Calculation Sheet'!$AD$4:$AD$40,$AZ$5:$AZ$41,$BH48)))&lt;=0,"ALL SETTLED","OUTSTANDING"),""))</f>
        <v/>
      </c>
      <c r="BH49" t="str">
        <f>IFERROR(MATCH(49,$BF$4:$BF$13,0),0)</f>
        <v>0</v>
      </c>
      <c r="BI49" t="str">
        <f>IF(49=$BG$5,1,0)</f>
        <v>0</v>
      </c>
      <c r="BJ49" t="str">
        <f t="array" ref="BJ49">IF(OR($BH49&gt;0,$BI49=1,$BL49=1),0,IFERROR(INDEX($BC$5:$BC$41,MATCH(49,$BB$5:$BB$41,0)),0))</f>
        <v>0</v>
      </c>
      <c r="BK49" t="str">
        <f t="array" ref="BK49">IF($BJ49&gt;0,IF(INDEX($AZ$5:$AZ$41,MATCH(49,$BB$5:$BB$41,0))=10,1,0),IF($BH49=10,1,0))</f>
        <v>0</v>
      </c>
      <c r="BL49" t="str">
        <f>IF(49=$BG$4,1,0)</f>
        <v>0</v>
      </c>
    </row>
    <row r="50" ht="15.0" customHeight="1">
      <c r="A50" s="75" t="str">
        <f t="array" ref="A50">IF($BJ49&gt;0,INDEX($BA$5:$BA$41,MATCH(49,$BB$5:$BB$41,0)),IF(OR($BI49=1,$BL49=1,$BH49&gt;0),"∑",""))</f>
        <v/>
      </c>
      <c r="B50" s="76" t="str">
        <f t="array" ref="B50">IF($BJ49&gt;0,IF(INDEX('Final Calculation Sheet'!$F$4:$F$40,$BJ49-3)="","",INDEX('Final Calculation Sheet'!$F$4:$F$40,$BJ49-3)),"")</f>
        <v/>
      </c>
      <c r="C50" s="76" t="str">
        <f t="array" ref="C50">IF($BJ49&gt;0,IF(INDEX('Final Calculation Sheet'!$G$4:$G$40,$BJ49-3)="","",INDEX('Final Calculation Sheet'!$G$4:$G$40,$BJ49-3)),IF(OR($BI49=1,$BL49=1,$BH49&gt;0),IF($BI49=1,37,IF($BL49=1,37-INDEX($BD$4:$BD$13,10),INDEX($BD$4:$BD$13,$BH49)))&amp;" lot(s)",""))</f>
        <v/>
      </c>
      <c r="D50" s="77" t="str">
        <f t="array" ref="D50">IF($BJ49&gt;0,IF(INDEX('Final Calculation Sheet'!$B$4:$B$40,$BJ49-3)="","",INDEX('Final Calculation Sheet'!$B$4:$B$40,$BJ49-3)),IF(OR($BI49=1,$BL49=1,$BH49&gt;0),IF($BI49=1,"GRAND TOTAL  —  matching + remaining",IF($BL49=1,"TOTAL MATCHED  —  every group together",IF($BH49=10,"REMAINING  —  did not match the search",IF($BH49=9,IF(COUNTIF($A$4:$AI$4,"&lt;&gt;")&gt;0,"FILTERED LOTS  —  column fields","ALL LOTS  —  nothing typed in the box"),"GROUP "&amp;$BH49&amp;" TOTAL  —  lots matching  "&amp;INDEX($AR$6:$AY$6,$BH49))))),""))</f>
        <v/>
      </c>
      <c r="E50" s="77" t="str">
        <f t="array" ref="E50">IF($BJ49&gt;0,IF(INDEX('Final Calculation Sheet'!$D$4:$D$40,$BJ49-3)="","",INDEX('Final Calculation Sheet'!$D$4:$D$40,$BJ49-3)),IF(OR($BI49=1,$BL49=1,$BH49&gt;0),"–",""))</f>
        <v/>
      </c>
      <c r="F50" s="77" t="str">
        <f t="array" ref="F50">IF($BJ49&gt;0,IF(INDEX('Final Calculation Sheet'!$A$4:$A$40,$BJ49-3)="","",INDEX('Final Calculation Sheet'!$A$4:$A$40,$BJ49-3)),IF(OR($BI49=1,$BL49=1,$BH49&gt;0),IF($BI49=1,SUM('Final Calculation Sheet'!$A$4:$A$40),IF($BL49=1,SUM('Final Calculation Sheet'!$A$4:$A$40)-SUMIFS('Final Calculation Sheet'!$A$4:$A$40,$AZ$5:$AZ$41,10),SUMIFS('Final Calculation Sheet'!$A$4:$A$40,$AZ$5:$AZ$41,$BH49))),""))</f>
        <v/>
      </c>
      <c r="G50" s="77" t="str">
        <f t="array" ref="G50">IF($BJ49&gt;0,IF(INDEX('Final Calculation Sheet'!$E$4:$E$40,$BJ49-3)="","",INDEX('Final Calculation Sheet'!$E$4:$E$40,$BJ49-3)),IF(OR($BI49=1,$BL49=1,$BH49&gt;0),"–",""))</f>
        <v/>
      </c>
      <c r="H50" s="78" t="str">
        <f t="array" ref="H50">IF($BJ49&gt;0,IF(INDEX('Final Calculation Sheet'!$C$4:$C$40,$BJ49-3)="","",INDEX('Final Calculation Sheet'!$C$4:$C$40,$BJ49-3)),IF(OR($BI49=1,$BL49=1,$BH49&gt;0),"–",""))</f>
        <v/>
      </c>
      <c r="I50" s="78" t="str">
        <f t="array" ref="I50">IF($BJ49&gt;0,IF(INDEX('Final Calculation Sheet'!$H$4:$H$40,$BJ49-3)="","",INDEX('Final Calculation Sheet'!$H$4:$H$40,$BJ49-3)),IF(OR($BI49=1,$BL49=1,$BH49&gt;0),IF($BI49=1,SUM('Final Calculation Sheet'!$H$4:$H$40),IF($BL49=1,SUM('Final Calculation Sheet'!$H$4:$H$40)-SUMIFS('Final Calculation Sheet'!$H$4:$H$40,$AZ$5:$AZ$41,10),SUMIFS('Final Calculation Sheet'!$H$4:$H$40,$AZ$5:$AZ$41,$BH49))),""))</f>
        <v/>
      </c>
      <c r="J50" s="78" t="str">
        <f t="array" ref="J50">IF($BJ49&gt;0,IF(INDEX('Final Calculation Sheet'!$I$4:$I$40,$BJ49-3)="","",INDEX('Final Calculation Sheet'!$I$4:$I$40,$BJ49-3)),IF(OR($BI49=1,$BL49=1,$BH49&gt;0),IF($BI49=1,SUM('Final Calculation Sheet'!$I$4:$I$40),IF($BL49=1,SUM('Final Calculation Sheet'!$I$4:$I$40)-SUMIFS('Final Calculation Sheet'!$I$4:$I$40,$AZ$5:$AZ$41,10),SUMIFS('Final Calculation Sheet'!$I$4:$I$40,$AZ$5:$AZ$41,$BH49))),""))</f>
        <v/>
      </c>
      <c r="K50" s="78" t="str">
        <f t="array" ref="K50">IF($BJ49&gt;0,IF(INDEX('Final Calculation Sheet'!$J$4:$J$40,$BJ49-3)="","",INDEX('Final Calculation Sheet'!$J$4:$J$40,$BJ49-3)),IF(OR($BI49=1,$BL49=1,$BH49&gt;0),IF($BI49=1,SUM('Final Calculation Sheet'!$J$4:$J$40),IF($BL49=1,SUM('Final Calculation Sheet'!$J$4:$J$40)-SUMIFS('Final Calculation Sheet'!$J$4:$J$40,$AZ$5:$AZ$41,10),SUMIFS('Final Calculation Sheet'!$J$4:$J$40,$AZ$5:$AZ$41,$BH49))),""))</f>
        <v/>
      </c>
      <c r="L50" s="78" t="str">
        <f t="array" ref="L50">IF($BJ49&gt;0,IF(INDEX('Final Calculation Sheet'!$K$4:$K$40,$BJ49-3)="","",INDEX('Final Calculation Sheet'!$K$4:$K$40,$BJ49-3)),IF(OR($BI49=1,$BL49=1,$BH49&gt;0),IF($BI49=1,SUM('Final Calculation Sheet'!$K$4:$K$40),IF($BL49=1,SUM('Final Calculation Sheet'!$K$4:$K$40)-SUMIFS('Final Calculation Sheet'!$K$4:$K$40,$AZ$5:$AZ$41,10),SUMIFS('Final Calculation Sheet'!$K$4:$K$40,$AZ$5:$AZ$41,$BH49))),""))</f>
        <v/>
      </c>
      <c r="M50" s="78" t="str">
        <f t="array" ref="M50">IF($BJ49&gt;0,IF(INDEX('Final Calculation Sheet'!$L$4:$L$40,$BJ49-3)="","",INDEX('Final Calculation Sheet'!$L$4:$L$40,$BJ49-3)),IF(OR($BI49=1,$BL49=1,$BH49&gt;0),IF($BI49=1,SUM('Final Calculation Sheet'!$L$4:$L$40),IF($BL49=1,SUM('Final Calculation Sheet'!$L$4:$L$40)-SUMIFS('Final Calculation Sheet'!$L$4:$L$40,$AZ$5:$AZ$41,10),SUMIFS('Final Calculation Sheet'!$L$4:$L$40,$AZ$5:$AZ$41,$BH49))),""))</f>
        <v/>
      </c>
      <c r="N50" s="78" t="str">
        <f t="array" ref="N50">IF($BJ49&gt;0,IF(INDEX('Final Calculation Sheet'!$M$4:$M$40,$BJ49-3)="","",INDEX('Final Calculation Sheet'!$M$4:$M$40,$BJ49-3)),IF(OR($BI49=1,$BL49=1,$BH49&gt;0),IF($BI49=1,SUM('Final Calculation Sheet'!$M$4:$M$40),IF($BL49=1,SUM('Final Calculation Sheet'!$M$4:$M$40)-SUMIFS('Final Calculation Sheet'!$M$4:$M$40,$AZ$5:$AZ$41,10),SUMIFS('Final Calculation Sheet'!$M$4:$M$40,$AZ$5:$AZ$41,$BH49))),""))</f>
        <v/>
      </c>
      <c r="O50" s="79" t="str">
        <f t="array" ref="O50">IF($BJ49&gt;0,IF(INDEX('Final Calculation Sheet'!$N$4:$N$40,$BJ49-3)="","",INDEX('Final Calculation Sheet'!$N$4:$N$40,$BJ49-3)),IF(OR($BI49=1,$BL49=1,$BH49&gt;0),IF($BI49=1,SUM('Final Calculation Sheet'!$N$4:$N$40),IF($BL49=1,SUM('Final Calculation Sheet'!$N$4:$N$40)-SUMIFS('Final Calculation Sheet'!$N$4:$N$40,$AZ$5:$AZ$41,10),SUMIFS('Final Calculation Sheet'!$N$4:$N$40,$AZ$5:$AZ$41,$BH49))),""))</f>
        <v/>
      </c>
      <c r="P50" s="78" t="str">
        <f t="array" ref="P50">IF($BJ49&gt;0,IF(INDEX('Final Calculation Sheet'!$O$4:$O$40,$BJ49-3)="","",INDEX('Final Calculation Sheet'!$O$4:$O$40,$BJ49-3)),IF(OR($BI49=1,$BL49=1,$BH49&gt;0),IF($BI49=1,SUM('Final Calculation Sheet'!$O$4:$O$40),IF($BL49=1,SUM('Final Calculation Sheet'!$O$4:$O$40)-SUMIFS('Final Calculation Sheet'!$O$4:$O$40,$AZ$5:$AZ$41,10),SUMIFS('Final Calculation Sheet'!$O$4:$O$40,$AZ$5:$AZ$41,$BH49))),""))</f>
        <v/>
      </c>
      <c r="Q50" s="78" t="str">
        <f t="array" ref="Q50">IF($BJ49&gt;0,IF(INDEX('Final Calculation Sheet'!$P$4:$P$40,$BJ49-3)="","",INDEX('Final Calculation Sheet'!$P$4:$P$40,$BJ49-3)),IF(OR($BI49=1,$BL49=1,$BH49&gt;0),IF($BI49=1,SUM('Final Calculation Sheet'!$P$4:$P$40),IF($BL49=1,SUM('Final Calculation Sheet'!$P$4:$P$40)-SUMIFS('Final Calculation Sheet'!$P$4:$P$40,$AZ$5:$AZ$41,10),SUMIFS('Final Calculation Sheet'!$P$4:$P$40,$AZ$5:$AZ$41,$BH49))),""))</f>
        <v/>
      </c>
      <c r="R50" s="80" t="str">
        <f t="array" ref="R50">IF($BJ49&gt;0,IF(INDEX('Final Calculation Sheet'!$Q$4:$Q$40,$BJ49-3)="","",INDEX('Final Calculation Sheet'!$Q$4:$Q$40,$BJ49-3)),IF(OR($BI49=1,$BL49=1,$BH49&gt;0),"–",""))</f>
        <v/>
      </c>
      <c r="S50" s="78" t="str">
        <f t="array" ref="S50">IF($BJ49&gt;0,IF(INDEX('Final Calculation Sheet'!$R$4:$R$40,$BJ49-3)="","",INDEX('Final Calculation Sheet'!$R$4:$R$40,$BJ49-3)),IF(OR($BI49=1,$BL49=1,$BH49&gt;0),IF($BI49=1,SUM('Final Calculation Sheet'!$R$4:$R$40),IF($BL49=1,SUM('Final Calculation Sheet'!$R$4:$R$40)-SUMIFS('Final Calculation Sheet'!$R$4:$R$40,$AZ$5:$AZ$41,10),SUMIFS('Final Calculation Sheet'!$R$4:$R$40,$AZ$5:$AZ$41,$BH49))),""))</f>
        <v/>
      </c>
      <c r="T50" s="78" t="str">
        <f t="array" ref="T50">IF($BJ49&gt;0,IF(INDEX('Final Calculation Sheet'!$S$4:$S$40,$BJ49-3)="","",INDEX('Final Calculation Sheet'!$S$4:$S$40,$BJ49-3)),IF(OR($BI49=1,$BL49=1,$BH49&gt;0),IF($BI49=1,SUM('Final Calculation Sheet'!$S$4:$S$40),IF($BL49=1,SUM('Final Calculation Sheet'!$S$4:$S$40)-SUMIFS('Final Calculation Sheet'!$S$4:$S$40,$AZ$5:$AZ$41,10),SUMIFS('Final Calculation Sheet'!$S$4:$S$40,$AZ$5:$AZ$41,$BH49))),""))</f>
        <v/>
      </c>
      <c r="U50" s="78" t="str">
        <f t="array" ref="U50">IF($BJ49&gt;0,IF(INDEX('Final Calculation Sheet'!$T$4:$T$40,$BJ49-3)="","",INDEX('Final Calculation Sheet'!$T$4:$T$40,$BJ49-3)),IF(OR($BI49=1,$BL49=1,$BH49&gt;0),IF($BI49=1,SUM('Final Calculation Sheet'!$T$4:$T$40),IF($BL49=1,SUM('Final Calculation Sheet'!$T$4:$T$40)-SUMIFS('Final Calculation Sheet'!$T$4:$T$40,$AZ$5:$AZ$41,10),SUMIFS('Final Calculation Sheet'!$T$4:$T$40,$AZ$5:$AZ$41,$BH49))),""))</f>
        <v/>
      </c>
      <c r="V50" s="81" t="str">
        <f t="array" ref="V50">IF($BJ49&gt;0,IF(INDEX('Final Calculation Sheet'!$U$4:$U$40,$BJ49-3)="","",INDEX('Final Calculation Sheet'!$U$4:$U$40,$BJ49-3)),IF(OR($BI49=1,$BL49=1,$BH49&gt;0),IF($BI49=1,SUM('Final Calculation Sheet'!$U$4:$U$40),IF($BL49=1,SUM('Final Calculation Sheet'!$U$4:$U$40)-SUMIFS('Final Calculation Sheet'!$U$4:$U$40,$AZ$5:$AZ$41,10),SUMIFS('Final Calculation Sheet'!$U$4:$U$40,$AZ$5:$AZ$41,$BH49))),""))</f>
        <v>  </v>
      </c>
      <c r="W50" s="78" t="str">
        <f t="array" ref="W50">IF($BJ49&gt;0,IF(INDEX('Final Calculation Sheet'!$V$4:$V$40,$BJ49-3)="","",INDEX('Final Calculation Sheet'!$V$4:$V$40,$BJ49-3)),IF(OR($BI49=1,$BL49=1,$BH49&gt;0),"–",""))</f>
        <v/>
      </c>
      <c r="X50" s="78" t="str">
        <f t="array" ref="X50">IF($BJ49&gt;0,IF(INDEX('Final Calculation Sheet'!$W$4:$W$40,$BJ49-3)="","",INDEX('Final Calculation Sheet'!$W$4:$W$40,$BJ49-3)),IF(OR($BI49=1,$BL49=1,$BH49&gt;0),IF($BI49=1,SUM('Final Calculation Sheet'!$W$4:$W$40),IF($BL49=1,SUM('Final Calculation Sheet'!$W$4:$W$40)-SUMIFS('Final Calculation Sheet'!$W$4:$W$40,$AZ$5:$AZ$41,10),SUMIFS('Final Calculation Sheet'!$W$4:$W$40,$AZ$5:$AZ$41,$BH49))),""))</f>
        <v/>
      </c>
      <c r="Y50" s="78" t="str">
        <f t="array" ref="Y50">IF($BJ49&gt;0,IF(INDEX('Final Calculation Sheet'!$X$4:$X$40,$BJ49-3)="","",INDEX('Final Calculation Sheet'!$X$4:$X$40,$BJ49-3)),IF(OR($BI49=1,$BL49=1,$BH49&gt;0),IF($BI49=1,SUM('Final Calculation Sheet'!$X$4:$X$40),IF($BL49=1,SUM('Final Calculation Sheet'!$X$4:$X$40)-SUMIFS('Final Calculation Sheet'!$X$4:$X$40,$AZ$5:$AZ$41,10),SUMIFS('Final Calculation Sheet'!$X$4:$X$40,$AZ$5:$AZ$41,$BH49))),""))</f>
        <v/>
      </c>
      <c r="Z50" s="78" t="str">
        <f t="array" ref="Z50">IF($BJ49&gt;0,IF(INDEX('Final Calculation Sheet'!$Y$4:$Y$40,$BJ49-3)="","",INDEX('Final Calculation Sheet'!$Y$4:$Y$40,$BJ49-3)),IF(OR($BI49=1,$BL49=1,$BH49&gt;0),"–",""))</f>
        <v/>
      </c>
      <c r="AA50" s="78" t="str">
        <f t="array" ref="AA50">IF($BJ49&gt;0,IF(INDEX('Final Calculation Sheet'!$Z$4:$Z$40,$BJ49-3)="","",INDEX('Final Calculation Sheet'!$Z$4:$Z$40,$BJ49-3)),IF(OR($BI49=1,$BL49=1,$BH49&gt;0),IF($BI49=1,SUM('Final Calculation Sheet'!$Z$4:$Z$40),IF($BL49=1,SUM('Final Calculation Sheet'!$Z$4:$Z$40)-SUMIFS('Final Calculation Sheet'!$Z$4:$Z$40,$AZ$5:$AZ$41,10),SUMIFS('Final Calculation Sheet'!$Z$4:$Z$40,$AZ$5:$AZ$41,$BH49))),""))</f>
        <v/>
      </c>
      <c r="AB50" s="78" t="str">
        <f t="array" ref="AB50">IF($BJ49&gt;0,IF(INDEX('Final Calculation Sheet'!$AA$4:$AA$40,$BJ49-3)="","",INDEX('Final Calculation Sheet'!$AA$4:$AA$40,$BJ49-3)),IF(OR($BI49=1,$BL49=1,$BH49&gt;0),IF($BI49=1,SUM('Final Calculation Sheet'!$AA$4:$AA$40),IF($BL49=1,SUM('Final Calculation Sheet'!$AA$4:$AA$40)-SUMIFS('Final Calculation Sheet'!$AA$4:$AA$40,$AZ$5:$AZ$41,10),SUMIFS('Final Calculation Sheet'!$AA$4:$AA$40,$AZ$5:$AZ$41,$BH49))),""))</f>
        <v/>
      </c>
      <c r="AC50" s="78" t="str">
        <f t="array" ref="AC50">IF($BJ49&gt;0,IF(INDEX('Final Calculation Sheet'!$AB$4:$AB$40,$BJ49-3)="","",INDEX('Final Calculation Sheet'!$AB$4:$AB$40,$BJ49-3)),IF(OR($BI49=1,$BL49=1,$BH49&gt;0),"–",""))</f>
        <v/>
      </c>
      <c r="AD50" s="78" t="str">
        <f t="array" ref="AD50">IF($BJ49&gt;0,IF(INDEX('Final Calculation Sheet'!$AC$4:$AC$40,$BJ49-3)="","",INDEX('Final Calculation Sheet'!$AC$4:$AC$40,$BJ49-3)),IF(OR($BI49=1,$BL49=1,$BH49&gt;0),IF($BI49=1,SUM('Final Calculation Sheet'!$AC$4:$AC$40),IF($BL49=1,SUM('Final Calculation Sheet'!$AC$4:$AC$40)-SUMIFS('Final Calculation Sheet'!$AC$4:$AC$40,$AZ$5:$AZ$41,10),SUMIFS('Final Calculation Sheet'!$AC$4:$AC$40,$AZ$5:$AZ$41,$BH49))),""))</f>
        <v/>
      </c>
      <c r="AE50" s="78" t="str">
        <f t="array" ref="AE50">IF($BJ49&gt;0,IF(INDEX('Final Calculation Sheet'!$AD$4:$AD$40,$BJ49-3)="","",INDEX('Final Calculation Sheet'!$AD$4:$AD$40,$BJ49-3)),IF(OR($BI49=1,$BL49=1,$BH49&gt;0),IF($BI49=1,SUM('Final Calculation Sheet'!$AD$4:$AD$40),IF($BL49=1,SUM('Final Calculation Sheet'!$AD$4:$AD$40)-SUMIFS('Final Calculation Sheet'!$AD$4:$AD$40,$AZ$5:$AZ$41,10),SUMIFS('Final Calculation Sheet'!$AD$4:$AD$40,$AZ$5:$AZ$41,$BH49))),""))</f>
        <v/>
      </c>
      <c r="AF50" s="78" t="str">
        <f t="array" ref="AF50">IF($BJ49&gt;0,IF(INDEX('Final Calculation Sheet'!$AE$4:$AE$40,$BJ49-3)="","",INDEX('Final Calculation Sheet'!$AE$4:$AE$40,$BJ49-3)),IF(OR($BI49=1,$BL49=1,$BH49&gt;0),"–",""))</f>
        <v/>
      </c>
      <c r="AG50" s="82" t="str">
        <f t="array" ref="AG50">IF($BJ49&gt;0,IF(INDEX('Final Calculation Sheet'!$AF$4:$AF$40,$BJ49-3)="","",INDEX('Final Calculation Sheet'!$AF$4:$AF$40,$BJ49-3)),IF(OR($BI49=1,$BL49=1,$BH49&gt;0),"–",""))</f>
        <v/>
      </c>
      <c r="AH50" s="78" t="str">
        <f t="array" ref="AH50">IF($BJ49&gt;0,IF(INDEX('Final Calculation Sheet'!$AG$4:$AG$40,$BJ49-3)="","",INDEX('Final Calculation Sheet'!$AG$4:$AG$40,$BJ49-3)),IF(OR($BI49=1,$BL49=1,$BH49&gt;0),"–",""))</f>
        <v/>
      </c>
      <c r="AI50" s="83" t="str">
        <f t="array" ref="AI50">IF($BJ49&gt;0,IF(INDEX('Final Calculation Sheet'!$AD$4:$AD$40,$BJ49-3)="","",IF(INDEX('Final Calculation Sheet'!$AD$4:$AD$40,$BJ49-3)&lt;=0,"SETTLED","OUTSTANDING")),IF(OR($BI49=1,$BL49=1,$BH49&gt;0),IF(IF($BI49=1,SUM('Final Calculation Sheet'!$AD$4:$AD$40),IF($BL49=1,SUM('Final Calculation Sheet'!$AD$4:$AD$40)-SUMIFS('Final Calculation Sheet'!$AD$4:$AD$40,$AZ$5:$AZ$41,10),SUMIFS('Final Calculation Sheet'!$AD$4:$AD$40,$AZ$5:$AZ$41,$BH49)))&lt;=0,"ALL SETTLED","OUTSTANDING"),""))</f>
        <v/>
      </c>
      <c r="BH50" t="str">
        <f>IFERROR(MATCH(50,$BF$4:$BF$13,0),0)</f>
        <v>0</v>
      </c>
      <c r="BI50" t="str">
        <f>IF(50=$BG$5,1,0)</f>
        <v>0</v>
      </c>
      <c r="BJ50" t="str">
        <f t="array" ref="BJ50">IF(OR($BH50&gt;0,$BI50=1,$BL50=1),0,IFERROR(INDEX($BC$5:$BC$41,MATCH(50,$BB$5:$BB$41,0)),0))</f>
        <v>0</v>
      </c>
      <c r="BK50" t="str">
        <f t="array" ref="BK50">IF($BJ50&gt;0,IF(INDEX($AZ$5:$AZ$41,MATCH(50,$BB$5:$BB$41,0))=10,1,0),IF($BH50=10,1,0))</f>
        <v>0</v>
      </c>
      <c r="BL50" t="str">
        <f>IF(50=$BG$4,1,0)</f>
        <v>0</v>
      </c>
    </row>
    <row r="51" ht="15.0" customHeight="1">
      <c r="A51" s="75" t="str">
        <f t="array" ref="A51">IF($BJ50&gt;0,INDEX($BA$5:$BA$41,MATCH(50,$BB$5:$BB$41,0)),IF(OR($BI50=1,$BL50=1,$BH50&gt;0),"∑",""))</f>
        <v/>
      </c>
      <c r="B51" s="76" t="str">
        <f t="array" ref="B51">IF($BJ50&gt;0,IF(INDEX('Final Calculation Sheet'!$F$4:$F$40,$BJ50-3)="","",INDEX('Final Calculation Sheet'!$F$4:$F$40,$BJ50-3)),"")</f>
        <v/>
      </c>
      <c r="C51" s="76" t="str">
        <f t="array" ref="C51">IF($BJ50&gt;0,IF(INDEX('Final Calculation Sheet'!$G$4:$G$40,$BJ50-3)="","",INDEX('Final Calculation Sheet'!$G$4:$G$40,$BJ50-3)),IF(OR($BI50=1,$BL50=1,$BH50&gt;0),IF($BI50=1,37,IF($BL50=1,37-INDEX($BD$4:$BD$13,10),INDEX($BD$4:$BD$13,$BH50)))&amp;" lot(s)",""))</f>
        <v/>
      </c>
      <c r="D51" s="77" t="str">
        <f t="array" ref="D51">IF($BJ50&gt;0,IF(INDEX('Final Calculation Sheet'!$B$4:$B$40,$BJ50-3)="","",INDEX('Final Calculation Sheet'!$B$4:$B$40,$BJ50-3)),IF(OR($BI50=1,$BL50=1,$BH50&gt;0),IF($BI50=1,"GRAND TOTAL  —  matching + remaining",IF($BL50=1,"TOTAL MATCHED  —  every group together",IF($BH50=10,"REMAINING  —  did not match the search",IF($BH50=9,IF(COUNTIF($A$4:$AI$4,"&lt;&gt;")&gt;0,"FILTERED LOTS  —  column fields","ALL LOTS  —  nothing typed in the box"),"GROUP "&amp;$BH50&amp;" TOTAL  —  lots matching  "&amp;INDEX($AR$6:$AY$6,$BH50))))),""))</f>
        <v/>
      </c>
      <c r="E51" s="77" t="str">
        <f t="array" ref="E51">IF($BJ50&gt;0,IF(INDEX('Final Calculation Sheet'!$D$4:$D$40,$BJ50-3)="","",INDEX('Final Calculation Sheet'!$D$4:$D$40,$BJ50-3)),IF(OR($BI50=1,$BL50=1,$BH50&gt;0),"–",""))</f>
        <v/>
      </c>
      <c r="F51" s="77" t="str">
        <f t="array" ref="F51">IF($BJ50&gt;0,IF(INDEX('Final Calculation Sheet'!$A$4:$A$40,$BJ50-3)="","",INDEX('Final Calculation Sheet'!$A$4:$A$40,$BJ50-3)),IF(OR($BI50=1,$BL50=1,$BH50&gt;0),IF($BI50=1,SUM('Final Calculation Sheet'!$A$4:$A$40),IF($BL50=1,SUM('Final Calculation Sheet'!$A$4:$A$40)-SUMIFS('Final Calculation Sheet'!$A$4:$A$40,$AZ$5:$AZ$41,10),SUMIFS('Final Calculation Sheet'!$A$4:$A$40,$AZ$5:$AZ$41,$BH50))),""))</f>
        <v/>
      </c>
      <c r="G51" s="77" t="str">
        <f t="array" ref="G51">IF($BJ50&gt;0,IF(INDEX('Final Calculation Sheet'!$E$4:$E$40,$BJ50-3)="","",INDEX('Final Calculation Sheet'!$E$4:$E$40,$BJ50-3)),IF(OR($BI50=1,$BL50=1,$BH50&gt;0),"–",""))</f>
        <v/>
      </c>
      <c r="H51" s="78" t="str">
        <f t="array" ref="H51">IF($BJ50&gt;0,IF(INDEX('Final Calculation Sheet'!$C$4:$C$40,$BJ50-3)="","",INDEX('Final Calculation Sheet'!$C$4:$C$40,$BJ50-3)),IF(OR($BI50=1,$BL50=1,$BH50&gt;0),"–",""))</f>
        <v/>
      </c>
      <c r="I51" s="78" t="str">
        <f t="array" ref="I51">IF($BJ50&gt;0,IF(INDEX('Final Calculation Sheet'!$H$4:$H$40,$BJ50-3)="","",INDEX('Final Calculation Sheet'!$H$4:$H$40,$BJ50-3)),IF(OR($BI50=1,$BL50=1,$BH50&gt;0),IF($BI50=1,SUM('Final Calculation Sheet'!$H$4:$H$40),IF($BL50=1,SUM('Final Calculation Sheet'!$H$4:$H$40)-SUMIFS('Final Calculation Sheet'!$H$4:$H$40,$AZ$5:$AZ$41,10),SUMIFS('Final Calculation Sheet'!$H$4:$H$40,$AZ$5:$AZ$41,$BH50))),""))</f>
        <v/>
      </c>
      <c r="J51" s="78" t="str">
        <f t="array" ref="J51">IF($BJ50&gt;0,IF(INDEX('Final Calculation Sheet'!$I$4:$I$40,$BJ50-3)="","",INDEX('Final Calculation Sheet'!$I$4:$I$40,$BJ50-3)),IF(OR($BI50=1,$BL50=1,$BH50&gt;0),IF($BI50=1,SUM('Final Calculation Sheet'!$I$4:$I$40),IF($BL50=1,SUM('Final Calculation Sheet'!$I$4:$I$40)-SUMIFS('Final Calculation Sheet'!$I$4:$I$40,$AZ$5:$AZ$41,10),SUMIFS('Final Calculation Sheet'!$I$4:$I$40,$AZ$5:$AZ$41,$BH50))),""))</f>
        <v/>
      </c>
      <c r="K51" s="78" t="str">
        <f t="array" ref="K51">IF($BJ50&gt;0,IF(INDEX('Final Calculation Sheet'!$J$4:$J$40,$BJ50-3)="","",INDEX('Final Calculation Sheet'!$J$4:$J$40,$BJ50-3)),IF(OR($BI50=1,$BL50=1,$BH50&gt;0),IF($BI50=1,SUM('Final Calculation Sheet'!$J$4:$J$40),IF($BL50=1,SUM('Final Calculation Sheet'!$J$4:$J$40)-SUMIFS('Final Calculation Sheet'!$J$4:$J$40,$AZ$5:$AZ$41,10),SUMIFS('Final Calculation Sheet'!$J$4:$J$40,$AZ$5:$AZ$41,$BH50))),""))</f>
        <v/>
      </c>
      <c r="L51" s="78" t="str">
        <f t="array" ref="L51">IF($BJ50&gt;0,IF(INDEX('Final Calculation Sheet'!$K$4:$K$40,$BJ50-3)="","",INDEX('Final Calculation Sheet'!$K$4:$K$40,$BJ50-3)),IF(OR($BI50=1,$BL50=1,$BH50&gt;0),IF($BI50=1,SUM('Final Calculation Sheet'!$K$4:$K$40),IF($BL50=1,SUM('Final Calculation Sheet'!$K$4:$K$40)-SUMIFS('Final Calculation Sheet'!$K$4:$K$40,$AZ$5:$AZ$41,10),SUMIFS('Final Calculation Sheet'!$K$4:$K$40,$AZ$5:$AZ$41,$BH50))),""))</f>
        <v/>
      </c>
      <c r="M51" s="78" t="str">
        <f t="array" ref="M51">IF($BJ50&gt;0,IF(INDEX('Final Calculation Sheet'!$L$4:$L$40,$BJ50-3)="","",INDEX('Final Calculation Sheet'!$L$4:$L$40,$BJ50-3)),IF(OR($BI50=1,$BL50=1,$BH50&gt;0),IF($BI50=1,SUM('Final Calculation Sheet'!$L$4:$L$40),IF($BL50=1,SUM('Final Calculation Sheet'!$L$4:$L$40)-SUMIFS('Final Calculation Sheet'!$L$4:$L$40,$AZ$5:$AZ$41,10),SUMIFS('Final Calculation Sheet'!$L$4:$L$40,$AZ$5:$AZ$41,$BH50))),""))</f>
        <v/>
      </c>
      <c r="N51" s="78" t="str">
        <f t="array" ref="N51">IF($BJ50&gt;0,IF(INDEX('Final Calculation Sheet'!$M$4:$M$40,$BJ50-3)="","",INDEX('Final Calculation Sheet'!$M$4:$M$40,$BJ50-3)),IF(OR($BI50=1,$BL50=1,$BH50&gt;0),IF($BI50=1,SUM('Final Calculation Sheet'!$M$4:$M$40),IF($BL50=1,SUM('Final Calculation Sheet'!$M$4:$M$40)-SUMIFS('Final Calculation Sheet'!$M$4:$M$40,$AZ$5:$AZ$41,10),SUMIFS('Final Calculation Sheet'!$M$4:$M$40,$AZ$5:$AZ$41,$BH50))),""))</f>
        <v/>
      </c>
      <c r="O51" s="79" t="str">
        <f t="array" ref="O51">IF($BJ50&gt;0,IF(INDEX('Final Calculation Sheet'!$N$4:$N$40,$BJ50-3)="","",INDEX('Final Calculation Sheet'!$N$4:$N$40,$BJ50-3)),IF(OR($BI50=1,$BL50=1,$BH50&gt;0),IF($BI50=1,SUM('Final Calculation Sheet'!$N$4:$N$40),IF($BL50=1,SUM('Final Calculation Sheet'!$N$4:$N$40)-SUMIFS('Final Calculation Sheet'!$N$4:$N$40,$AZ$5:$AZ$41,10),SUMIFS('Final Calculation Sheet'!$N$4:$N$40,$AZ$5:$AZ$41,$BH50))),""))</f>
        <v/>
      </c>
      <c r="P51" s="78" t="str">
        <f t="array" ref="P51">IF($BJ50&gt;0,IF(INDEX('Final Calculation Sheet'!$O$4:$O$40,$BJ50-3)="","",INDEX('Final Calculation Sheet'!$O$4:$O$40,$BJ50-3)),IF(OR($BI50=1,$BL50=1,$BH50&gt;0),IF($BI50=1,SUM('Final Calculation Sheet'!$O$4:$O$40),IF($BL50=1,SUM('Final Calculation Sheet'!$O$4:$O$40)-SUMIFS('Final Calculation Sheet'!$O$4:$O$40,$AZ$5:$AZ$41,10),SUMIFS('Final Calculation Sheet'!$O$4:$O$40,$AZ$5:$AZ$41,$BH50))),""))</f>
        <v/>
      </c>
      <c r="Q51" s="78" t="str">
        <f t="array" ref="Q51">IF($BJ50&gt;0,IF(INDEX('Final Calculation Sheet'!$P$4:$P$40,$BJ50-3)="","",INDEX('Final Calculation Sheet'!$P$4:$P$40,$BJ50-3)),IF(OR($BI50=1,$BL50=1,$BH50&gt;0),IF($BI50=1,SUM('Final Calculation Sheet'!$P$4:$P$40),IF($BL50=1,SUM('Final Calculation Sheet'!$P$4:$P$40)-SUMIFS('Final Calculation Sheet'!$P$4:$P$40,$AZ$5:$AZ$41,10),SUMIFS('Final Calculation Sheet'!$P$4:$P$40,$AZ$5:$AZ$41,$BH50))),""))</f>
        <v/>
      </c>
      <c r="R51" s="80" t="str">
        <f t="array" ref="R51">IF($BJ50&gt;0,IF(INDEX('Final Calculation Sheet'!$Q$4:$Q$40,$BJ50-3)="","",INDEX('Final Calculation Sheet'!$Q$4:$Q$40,$BJ50-3)),IF(OR($BI50=1,$BL50=1,$BH50&gt;0),"–",""))</f>
        <v/>
      </c>
      <c r="S51" s="78" t="str">
        <f t="array" ref="S51">IF($BJ50&gt;0,IF(INDEX('Final Calculation Sheet'!$R$4:$R$40,$BJ50-3)="","",INDEX('Final Calculation Sheet'!$R$4:$R$40,$BJ50-3)),IF(OR($BI50=1,$BL50=1,$BH50&gt;0),IF($BI50=1,SUM('Final Calculation Sheet'!$R$4:$R$40),IF($BL50=1,SUM('Final Calculation Sheet'!$R$4:$R$40)-SUMIFS('Final Calculation Sheet'!$R$4:$R$40,$AZ$5:$AZ$41,10),SUMIFS('Final Calculation Sheet'!$R$4:$R$40,$AZ$5:$AZ$41,$BH50))),""))</f>
        <v/>
      </c>
      <c r="T51" s="78" t="str">
        <f t="array" ref="T51">IF($BJ50&gt;0,IF(INDEX('Final Calculation Sheet'!$S$4:$S$40,$BJ50-3)="","",INDEX('Final Calculation Sheet'!$S$4:$S$40,$BJ50-3)),IF(OR($BI50=1,$BL50=1,$BH50&gt;0),IF($BI50=1,SUM('Final Calculation Sheet'!$S$4:$S$40),IF($BL50=1,SUM('Final Calculation Sheet'!$S$4:$S$40)-SUMIFS('Final Calculation Sheet'!$S$4:$S$40,$AZ$5:$AZ$41,10),SUMIFS('Final Calculation Sheet'!$S$4:$S$40,$AZ$5:$AZ$41,$BH50))),""))</f>
        <v/>
      </c>
      <c r="U51" s="78" t="str">
        <f t="array" ref="U51">IF($BJ50&gt;0,IF(INDEX('Final Calculation Sheet'!$T$4:$T$40,$BJ50-3)="","",INDEX('Final Calculation Sheet'!$T$4:$T$40,$BJ50-3)),IF(OR($BI50=1,$BL50=1,$BH50&gt;0),IF($BI50=1,SUM('Final Calculation Sheet'!$T$4:$T$40),IF($BL50=1,SUM('Final Calculation Sheet'!$T$4:$T$40)-SUMIFS('Final Calculation Sheet'!$T$4:$T$40,$AZ$5:$AZ$41,10),SUMIFS('Final Calculation Sheet'!$T$4:$T$40,$AZ$5:$AZ$41,$BH50))),""))</f>
        <v/>
      </c>
      <c r="V51" s="81" t="str">
        <f t="array" ref="V51">IF($BJ50&gt;0,IF(INDEX('Final Calculation Sheet'!$U$4:$U$40,$BJ50-3)="","",INDEX('Final Calculation Sheet'!$U$4:$U$40,$BJ50-3)),IF(OR($BI50=1,$BL50=1,$BH50&gt;0),IF($BI50=1,SUM('Final Calculation Sheet'!$U$4:$U$40),IF($BL50=1,SUM('Final Calculation Sheet'!$U$4:$U$40)-SUMIFS('Final Calculation Sheet'!$U$4:$U$40,$AZ$5:$AZ$41,10),SUMIFS('Final Calculation Sheet'!$U$4:$U$40,$AZ$5:$AZ$41,$BH50))),""))</f>
        <v>  </v>
      </c>
      <c r="W51" s="78" t="str">
        <f t="array" ref="W51">IF($BJ50&gt;0,IF(INDEX('Final Calculation Sheet'!$V$4:$V$40,$BJ50-3)="","",INDEX('Final Calculation Sheet'!$V$4:$V$40,$BJ50-3)),IF(OR($BI50=1,$BL50=1,$BH50&gt;0),"–",""))</f>
        <v/>
      </c>
      <c r="X51" s="78" t="str">
        <f t="array" ref="X51">IF($BJ50&gt;0,IF(INDEX('Final Calculation Sheet'!$W$4:$W$40,$BJ50-3)="","",INDEX('Final Calculation Sheet'!$W$4:$W$40,$BJ50-3)),IF(OR($BI50=1,$BL50=1,$BH50&gt;0),IF($BI50=1,SUM('Final Calculation Sheet'!$W$4:$W$40),IF($BL50=1,SUM('Final Calculation Sheet'!$W$4:$W$40)-SUMIFS('Final Calculation Sheet'!$W$4:$W$40,$AZ$5:$AZ$41,10),SUMIFS('Final Calculation Sheet'!$W$4:$W$40,$AZ$5:$AZ$41,$BH50))),""))</f>
        <v/>
      </c>
      <c r="Y51" s="78" t="str">
        <f t="array" ref="Y51">IF($BJ50&gt;0,IF(INDEX('Final Calculation Sheet'!$X$4:$X$40,$BJ50-3)="","",INDEX('Final Calculation Sheet'!$X$4:$X$40,$BJ50-3)),IF(OR($BI50=1,$BL50=1,$BH50&gt;0),IF($BI50=1,SUM('Final Calculation Sheet'!$X$4:$X$40),IF($BL50=1,SUM('Final Calculation Sheet'!$X$4:$X$40)-SUMIFS('Final Calculation Sheet'!$X$4:$X$40,$AZ$5:$AZ$41,10),SUMIFS('Final Calculation Sheet'!$X$4:$X$40,$AZ$5:$AZ$41,$BH50))),""))</f>
        <v/>
      </c>
      <c r="Z51" s="78" t="str">
        <f t="array" ref="Z51">IF($BJ50&gt;0,IF(INDEX('Final Calculation Sheet'!$Y$4:$Y$40,$BJ50-3)="","",INDEX('Final Calculation Sheet'!$Y$4:$Y$40,$BJ50-3)),IF(OR($BI50=1,$BL50=1,$BH50&gt;0),"–",""))</f>
        <v/>
      </c>
      <c r="AA51" s="78" t="str">
        <f t="array" ref="AA51">IF($BJ50&gt;0,IF(INDEX('Final Calculation Sheet'!$Z$4:$Z$40,$BJ50-3)="","",INDEX('Final Calculation Sheet'!$Z$4:$Z$40,$BJ50-3)),IF(OR($BI50=1,$BL50=1,$BH50&gt;0),IF($BI50=1,SUM('Final Calculation Sheet'!$Z$4:$Z$40),IF($BL50=1,SUM('Final Calculation Sheet'!$Z$4:$Z$40)-SUMIFS('Final Calculation Sheet'!$Z$4:$Z$40,$AZ$5:$AZ$41,10),SUMIFS('Final Calculation Sheet'!$Z$4:$Z$40,$AZ$5:$AZ$41,$BH50))),""))</f>
        <v/>
      </c>
      <c r="AB51" s="78" t="str">
        <f t="array" ref="AB51">IF($BJ50&gt;0,IF(INDEX('Final Calculation Sheet'!$AA$4:$AA$40,$BJ50-3)="","",INDEX('Final Calculation Sheet'!$AA$4:$AA$40,$BJ50-3)),IF(OR($BI50=1,$BL50=1,$BH50&gt;0),IF($BI50=1,SUM('Final Calculation Sheet'!$AA$4:$AA$40),IF($BL50=1,SUM('Final Calculation Sheet'!$AA$4:$AA$40)-SUMIFS('Final Calculation Sheet'!$AA$4:$AA$40,$AZ$5:$AZ$41,10),SUMIFS('Final Calculation Sheet'!$AA$4:$AA$40,$AZ$5:$AZ$41,$BH50))),""))</f>
        <v/>
      </c>
      <c r="AC51" s="78" t="str">
        <f t="array" ref="AC51">IF($BJ50&gt;0,IF(INDEX('Final Calculation Sheet'!$AB$4:$AB$40,$BJ50-3)="","",INDEX('Final Calculation Sheet'!$AB$4:$AB$40,$BJ50-3)),IF(OR($BI50=1,$BL50=1,$BH50&gt;0),"–",""))</f>
        <v/>
      </c>
      <c r="AD51" s="78" t="str">
        <f t="array" ref="AD51">IF($BJ50&gt;0,IF(INDEX('Final Calculation Sheet'!$AC$4:$AC$40,$BJ50-3)="","",INDEX('Final Calculation Sheet'!$AC$4:$AC$40,$BJ50-3)),IF(OR($BI50=1,$BL50=1,$BH50&gt;0),IF($BI50=1,SUM('Final Calculation Sheet'!$AC$4:$AC$40),IF($BL50=1,SUM('Final Calculation Sheet'!$AC$4:$AC$40)-SUMIFS('Final Calculation Sheet'!$AC$4:$AC$40,$AZ$5:$AZ$41,10),SUMIFS('Final Calculation Sheet'!$AC$4:$AC$40,$AZ$5:$AZ$41,$BH50))),""))</f>
        <v/>
      </c>
      <c r="AE51" s="78" t="str">
        <f t="array" ref="AE51">IF($BJ50&gt;0,IF(INDEX('Final Calculation Sheet'!$AD$4:$AD$40,$BJ50-3)="","",INDEX('Final Calculation Sheet'!$AD$4:$AD$40,$BJ50-3)),IF(OR($BI50=1,$BL50=1,$BH50&gt;0),IF($BI50=1,SUM('Final Calculation Sheet'!$AD$4:$AD$40),IF($BL50=1,SUM('Final Calculation Sheet'!$AD$4:$AD$40)-SUMIFS('Final Calculation Sheet'!$AD$4:$AD$40,$AZ$5:$AZ$41,10),SUMIFS('Final Calculation Sheet'!$AD$4:$AD$40,$AZ$5:$AZ$41,$BH50))),""))</f>
        <v/>
      </c>
      <c r="AF51" s="78" t="str">
        <f t="array" ref="AF51">IF($BJ50&gt;0,IF(INDEX('Final Calculation Sheet'!$AE$4:$AE$40,$BJ50-3)="","",INDEX('Final Calculation Sheet'!$AE$4:$AE$40,$BJ50-3)),IF(OR($BI50=1,$BL50=1,$BH50&gt;0),"–",""))</f>
        <v/>
      </c>
      <c r="AG51" s="82" t="str">
        <f t="array" ref="AG51">IF($BJ50&gt;0,IF(INDEX('Final Calculation Sheet'!$AF$4:$AF$40,$BJ50-3)="","",INDEX('Final Calculation Sheet'!$AF$4:$AF$40,$BJ50-3)),IF(OR($BI50=1,$BL50=1,$BH50&gt;0),"–",""))</f>
        <v/>
      </c>
      <c r="AH51" s="78" t="str">
        <f t="array" ref="AH51">IF($BJ50&gt;0,IF(INDEX('Final Calculation Sheet'!$AG$4:$AG$40,$BJ50-3)="","",INDEX('Final Calculation Sheet'!$AG$4:$AG$40,$BJ50-3)),IF(OR($BI50=1,$BL50=1,$BH50&gt;0),"–",""))</f>
        <v/>
      </c>
      <c r="AI51" s="83" t="str">
        <f t="array" ref="AI51">IF($BJ50&gt;0,IF(INDEX('Final Calculation Sheet'!$AD$4:$AD$40,$BJ50-3)="","",IF(INDEX('Final Calculation Sheet'!$AD$4:$AD$40,$BJ50-3)&lt;=0,"SETTLED","OUTSTANDING")),IF(OR($BI50=1,$BL50=1,$BH50&gt;0),IF(IF($BI50=1,SUM('Final Calculation Sheet'!$AD$4:$AD$40),IF($BL50=1,SUM('Final Calculation Sheet'!$AD$4:$AD$40)-SUMIFS('Final Calculation Sheet'!$AD$4:$AD$40,$AZ$5:$AZ$41,10),SUMIFS('Final Calculation Sheet'!$AD$4:$AD$40,$AZ$5:$AZ$41,$BH50)))&lt;=0,"ALL SETTLED","OUTSTANDING"),""))</f>
        <v/>
      </c>
      <c r="BH51" t="str">
        <f>IFERROR(MATCH(51,$BF$4:$BF$13,0),0)</f>
        <v>0</v>
      </c>
      <c r="BI51" t="str">
        <f>IF(51=$BG$5,1,0)</f>
        <v>0</v>
      </c>
      <c r="BJ51" t="str">
        <f t="array" ref="BJ51">IF(OR($BH51&gt;0,$BI51=1,$BL51=1),0,IFERROR(INDEX($BC$5:$BC$41,MATCH(51,$BB$5:$BB$41,0)),0))</f>
        <v>0</v>
      </c>
      <c r="BK51" t="str">
        <f t="array" ref="BK51">IF($BJ51&gt;0,IF(INDEX($AZ$5:$AZ$41,MATCH(51,$BB$5:$BB$41,0))=10,1,0),IF($BH51=10,1,0))</f>
        <v>0</v>
      </c>
      <c r="BL51" t="str">
        <f>IF(51=$BG$4,1,0)</f>
        <v>0</v>
      </c>
    </row>
    <row r="52" ht="15.0" customHeight="1">
      <c r="A52" s="75" t="str">
        <f t="array" ref="A52">IF($BJ51&gt;0,INDEX($BA$5:$BA$41,MATCH(51,$BB$5:$BB$41,0)),IF(OR($BI51=1,$BL51=1,$BH51&gt;0),"∑",""))</f>
        <v/>
      </c>
      <c r="B52" s="76" t="str">
        <f t="array" ref="B52">IF($BJ51&gt;0,IF(INDEX('Final Calculation Sheet'!$F$4:$F$40,$BJ51-3)="","",INDEX('Final Calculation Sheet'!$F$4:$F$40,$BJ51-3)),"")</f>
        <v/>
      </c>
      <c r="C52" s="76" t="str">
        <f t="array" ref="C52">IF($BJ51&gt;0,IF(INDEX('Final Calculation Sheet'!$G$4:$G$40,$BJ51-3)="","",INDEX('Final Calculation Sheet'!$G$4:$G$40,$BJ51-3)),IF(OR($BI51=1,$BL51=1,$BH51&gt;0),IF($BI51=1,37,IF($BL51=1,37-INDEX($BD$4:$BD$13,10),INDEX($BD$4:$BD$13,$BH51)))&amp;" lot(s)",""))</f>
        <v/>
      </c>
      <c r="D52" s="77" t="str">
        <f t="array" ref="D52">IF($BJ51&gt;0,IF(INDEX('Final Calculation Sheet'!$B$4:$B$40,$BJ51-3)="","",INDEX('Final Calculation Sheet'!$B$4:$B$40,$BJ51-3)),IF(OR($BI51=1,$BL51=1,$BH51&gt;0),IF($BI51=1,"GRAND TOTAL  —  matching + remaining",IF($BL51=1,"TOTAL MATCHED  —  every group together",IF($BH51=10,"REMAINING  —  did not match the search",IF($BH51=9,IF(COUNTIF($A$4:$AI$4,"&lt;&gt;")&gt;0,"FILTERED LOTS  —  column fields","ALL LOTS  —  nothing typed in the box"),"GROUP "&amp;$BH51&amp;" TOTAL  —  lots matching  "&amp;INDEX($AR$6:$AY$6,$BH51))))),""))</f>
        <v/>
      </c>
      <c r="E52" s="77" t="str">
        <f t="array" ref="E52">IF($BJ51&gt;0,IF(INDEX('Final Calculation Sheet'!$D$4:$D$40,$BJ51-3)="","",INDEX('Final Calculation Sheet'!$D$4:$D$40,$BJ51-3)),IF(OR($BI51=1,$BL51=1,$BH51&gt;0),"–",""))</f>
        <v/>
      </c>
      <c r="F52" s="77" t="str">
        <f t="array" ref="F52">IF($BJ51&gt;0,IF(INDEX('Final Calculation Sheet'!$A$4:$A$40,$BJ51-3)="","",INDEX('Final Calculation Sheet'!$A$4:$A$40,$BJ51-3)),IF(OR($BI51=1,$BL51=1,$BH51&gt;0),IF($BI51=1,SUM('Final Calculation Sheet'!$A$4:$A$40),IF($BL51=1,SUM('Final Calculation Sheet'!$A$4:$A$40)-SUMIFS('Final Calculation Sheet'!$A$4:$A$40,$AZ$5:$AZ$41,10),SUMIFS('Final Calculation Sheet'!$A$4:$A$40,$AZ$5:$AZ$41,$BH51))),""))</f>
        <v/>
      </c>
      <c r="G52" s="77" t="str">
        <f t="array" ref="G52">IF($BJ51&gt;0,IF(INDEX('Final Calculation Sheet'!$E$4:$E$40,$BJ51-3)="","",INDEX('Final Calculation Sheet'!$E$4:$E$40,$BJ51-3)),IF(OR($BI51=1,$BL51=1,$BH51&gt;0),"–",""))</f>
        <v/>
      </c>
      <c r="H52" s="78" t="str">
        <f t="array" ref="H52">IF($BJ51&gt;0,IF(INDEX('Final Calculation Sheet'!$C$4:$C$40,$BJ51-3)="","",INDEX('Final Calculation Sheet'!$C$4:$C$40,$BJ51-3)),IF(OR($BI51=1,$BL51=1,$BH51&gt;0),"–",""))</f>
        <v/>
      </c>
      <c r="I52" s="78" t="str">
        <f t="array" ref="I52">IF($BJ51&gt;0,IF(INDEX('Final Calculation Sheet'!$H$4:$H$40,$BJ51-3)="","",INDEX('Final Calculation Sheet'!$H$4:$H$40,$BJ51-3)),IF(OR($BI51=1,$BL51=1,$BH51&gt;0),IF($BI51=1,SUM('Final Calculation Sheet'!$H$4:$H$40),IF($BL51=1,SUM('Final Calculation Sheet'!$H$4:$H$40)-SUMIFS('Final Calculation Sheet'!$H$4:$H$40,$AZ$5:$AZ$41,10),SUMIFS('Final Calculation Sheet'!$H$4:$H$40,$AZ$5:$AZ$41,$BH51))),""))</f>
        <v/>
      </c>
      <c r="J52" s="78" t="str">
        <f t="array" ref="J52">IF($BJ51&gt;0,IF(INDEX('Final Calculation Sheet'!$I$4:$I$40,$BJ51-3)="","",INDEX('Final Calculation Sheet'!$I$4:$I$40,$BJ51-3)),IF(OR($BI51=1,$BL51=1,$BH51&gt;0),IF($BI51=1,SUM('Final Calculation Sheet'!$I$4:$I$40),IF($BL51=1,SUM('Final Calculation Sheet'!$I$4:$I$40)-SUMIFS('Final Calculation Sheet'!$I$4:$I$40,$AZ$5:$AZ$41,10),SUMIFS('Final Calculation Sheet'!$I$4:$I$40,$AZ$5:$AZ$41,$BH51))),""))</f>
        <v/>
      </c>
      <c r="K52" s="78" t="str">
        <f t="array" ref="K52">IF($BJ51&gt;0,IF(INDEX('Final Calculation Sheet'!$J$4:$J$40,$BJ51-3)="","",INDEX('Final Calculation Sheet'!$J$4:$J$40,$BJ51-3)),IF(OR($BI51=1,$BL51=1,$BH51&gt;0),IF($BI51=1,SUM('Final Calculation Sheet'!$J$4:$J$40),IF($BL51=1,SUM('Final Calculation Sheet'!$J$4:$J$40)-SUMIFS('Final Calculation Sheet'!$J$4:$J$40,$AZ$5:$AZ$41,10),SUMIFS('Final Calculation Sheet'!$J$4:$J$40,$AZ$5:$AZ$41,$BH51))),""))</f>
        <v/>
      </c>
      <c r="L52" s="78" t="str">
        <f t="array" ref="L52">IF($BJ51&gt;0,IF(INDEX('Final Calculation Sheet'!$K$4:$K$40,$BJ51-3)="","",INDEX('Final Calculation Sheet'!$K$4:$K$40,$BJ51-3)),IF(OR($BI51=1,$BL51=1,$BH51&gt;0),IF($BI51=1,SUM('Final Calculation Sheet'!$K$4:$K$40),IF($BL51=1,SUM('Final Calculation Sheet'!$K$4:$K$40)-SUMIFS('Final Calculation Sheet'!$K$4:$K$40,$AZ$5:$AZ$41,10),SUMIFS('Final Calculation Sheet'!$K$4:$K$40,$AZ$5:$AZ$41,$BH51))),""))</f>
        <v/>
      </c>
      <c r="M52" s="78" t="str">
        <f t="array" ref="M52">IF($BJ51&gt;0,IF(INDEX('Final Calculation Sheet'!$L$4:$L$40,$BJ51-3)="","",INDEX('Final Calculation Sheet'!$L$4:$L$40,$BJ51-3)),IF(OR($BI51=1,$BL51=1,$BH51&gt;0),IF($BI51=1,SUM('Final Calculation Sheet'!$L$4:$L$40),IF($BL51=1,SUM('Final Calculation Sheet'!$L$4:$L$40)-SUMIFS('Final Calculation Sheet'!$L$4:$L$40,$AZ$5:$AZ$41,10),SUMIFS('Final Calculation Sheet'!$L$4:$L$40,$AZ$5:$AZ$41,$BH51))),""))</f>
        <v/>
      </c>
      <c r="N52" s="78" t="str">
        <f t="array" ref="N52">IF($BJ51&gt;0,IF(INDEX('Final Calculation Sheet'!$M$4:$M$40,$BJ51-3)="","",INDEX('Final Calculation Sheet'!$M$4:$M$40,$BJ51-3)),IF(OR($BI51=1,$BL51=1,$BH51&gt;0),IF($BI51=1,SUM('Final Calculation Sheet'!$M$4:$M$40),IF($BL51=1,SUM('Final Calculation Sheet'!$M$4:$M$40)-SUMIFS('Final Calculation Sheet'!$M$4:$M$40,$AZ$5:$AZ$41,10),SUMIFS('Final Calculation Sheet'!$M$4:$M$40,$AZ$5:$AZ$41,$BH51))),""))</f>
        <v/>
      </c>
      <c r="O52" s="79" t="str">
        <f t="array" ref="O52">IF($BJ51&gt;0,IF(INDEX('Final Calculation Sheet'!$N$4:$N$40,$BJ51-3)="","",INDEX('Final Calculation Sheet'!$N$4:$N$40,$BJ51-3)),IF(OR($BI51=1,$BL51=1,$BH51&gt;0),IF($BI51=1,SUM('Final Calculation Sheet'!$N$4:$N$40),IF($BL51=1,SUM('Final Calculation Sheet'!$N$4:$N$40)-SUMIFS('Final Calculation Sheet'!$N$4:$N$40,$AZ$5:$AZ$41,10),SUMIFS('Final Calculation Sheet'!$N$4:$N$40,$AZ$5:$AZ$41,$BH51))),""))</f>
        <v/>
      </c>
      <c r="P52" s="78" t="str">
        <f t="array" ref="P52">IF($BJ51&gt;0,IF(INDEX('Final Calculation Sheet'!$O$4:$O$40,$BJ51-3)="","",INDEX('Final Calculation Sheet'!$O$4:$O$40,$BJ51-3)),IF(OR($BI51=1,$BL51=1,$BH51&gt;0),IF($BI51=1,SUM('Final Calculation Sheet'!$O$4:$O$40),IF($BL51=1,SUM('Final Calculation Sheet'!$O$4:$O$40)-SUMIFS('Final Calculation Sheet'!$O$4:$O$40,$AZ$5:$AZ$41,10),SUMIFS('Final Calculation Sheet'!$O$4:$O$40,$AZ$5:$AZ$41,$BH51))),""))</f>
        <v/>
      </c>
      <c r="Q52" s="78" t="str">
        <f t="array" ref="Q52">IF($BJ51&gt;0,IF(INDEX('Final Calculation Sheet'!$P$4:$P$40,$BJ51-3)="","",INDEX('Final Calculation Sheet'!$P$4:$P$40,$BJ51-3)),IF(OR($BI51=1,$BL51=1,$BH51&gt;0),IF($BI51=1,SUM('Final Calculation Sheet'!$P$4:$P$40),IF($BL51=1,SUM('Final Calculation Sheet'!$P$4:$P$40)-SUMIFS('Final Calculation Sheet'!$P$4:$P$40,$AZ$5:$AZ$41,10),SUMIFS('Final Calculation Sheet'!$P$4:$P$40,$AZ$5:$AZ$41,$BH51))),""))</f>
        <v/>
      </c>
      <c r="R52" s="80" t="str">
        <f t="array" ref="R52">IF($BJ51&gt;0,IF(INDEX('Final Calculation Sheet'!$Q$4:$Q$40,$BJ51-3)="","",INDEX('Final Calculation Sheet'!$Q$4:$Q$40,$BJ51-3)),IF(OR($BI51=1,$BL51=1,$BH51&gt;0),"–",""))</f>
        <v/>
      </c>
      <c r="S52" s="78" t="str">
        <f t="array" ref="S52">IF($BJ51&gt;0,IF(INDEX('Final Calculation Sheet'!$R$4:$R$40,$BJ51-3)="","",INDEX('Final Calculation Sheet'!$R$4:$R$40,$BJ51-3)),IF(OR($BI51=1,$BL51=1,$BH51&gt;0),IF($BI51=1,SUM('Final Calculation Sheet'!$R$4:$R$40),IF($BL51=1,SUM('Final Calculation Sheet'!$R$4:$R$40)-SUMIFS('Final Calculation Sheet'!$R$4:$R$40,$AZ$5:$AZ$41,10),SUMIFS('Final Calculation Sheet'!$R$4:$R$40,$AZ$5:$AZ$41,$BH51))),""))</f>
        <v/>
      </c>
      <c r="T52" s="78" t="str">
        <f t="array" ref="T52">IF($BJ51&gt;0,IF(INDEX('Final Calculation Sheet'!$S$4:$S$40,$BJ51-3)="","",INDEX('Final Calculation Sheet'!$S$4:$S$40,$BJ51-3)),IF(OR($BI51=1,$BL51=1,$BH51&gt;0),IF($BI51=1,SUM('Final Calculation Sheet'!$S$4:$S$40),IF($BL51=1,SUM('Final Calculation Sheet'!$S$4:$S$40)-SUMIFS('Final Calculation Sheet'!$S$4:$S$40,$AZ$5:$AZ$41,10),SUMIFS('Final Calculation Sheet'!$S$4:$S$40,$AZ$5:$AZ$41,$BH51))),""))</f>
        <v/>
      </c>
      <c r="U52" s="78" t="str">
        <f t="array" ref="U52">IF($BJ51&gt;0,IF(INDEX('Final Calculation Sheet'!$T$4:$T$40,$BJ51-3)="","",INDEX('Final Calculation Sheet'!$T$4:$T$40,$BJ51-3)),IF(OR($BI51=1,$BL51=1,$BH51&gt;0),IF($BI51=1,SUM('Final Calculation Sheet'!$T$4:$T$40),IF($BL51=1,SUM('Final Calculation Sheet'!$T$4:$T$40)-SUMIFS('Final Calculation Sheet'!$T$4:$T$40,$AZ$5:$AZ$41,10),SUMIFS('Final Calculation Sheet'!$T$4:$T$40,$AZ$5:$AZ$41,$BH51))),""))</f>
        <v/>
      </c>
      <c r="V52" s="81" t="str">
        <f t="array" ref="V52">IF($BJ51&gt;0,IF(INDEX('Final Calculation Sheet'!$U$4:$U$40,$BJ51-3)="","",INDEX('Final Calculation Sheet'!$U$4:$U$40,$BJ51-3)),IF(OR($BI51=1,$BL51=1,$BH51&gt;0),IF($BI51=1,SUM('Final Calculation Sheet'!$U$4:$U$40),IF($BL51=1,SUM('Final Calculation Sheet'!$U$4:$U$40)-SUMIFS('Final Calculation Sheet'!$U$4:$U$40,$AZ$5:$AZ$41,10),SUMIFS('Final Calculation Sheet'!$U$4:$U$40,$AZ$5:$AZ$41,$BH51))),""))</f>
        <v>  </v>
      </c>
      <c r="W52" s="78" t="str">
        <f t="array" ref="W52">IF($BJ51&gt;0,IF(INDEX('Final Calculation Sheet'!$V$4:$V$40,$BJ51-3)="","",INDEX('Final Calculation Sheet'!$V$4:$V$40,$BJ51-3)),IF(OR($BI51=1,$BL51=1,$BH51&gt;0),"–",""))</f>
        <v/>
      </c>
      <c r="X52" s="78" t="str">
        <f t="array" ref="X52">IF($BJ51&gt;0,IF(INDEX('Final Calculation Sheet'!$W$4:$W$40,$BJ51-3)="","",INDEX('Final Calculation Sheet'!$W$4:$W$40,$BJ51-3)),IF(OR($BI51=1,$BL51=1,$BH51&gt;0),IF($BI51=1,SUM('Final Calculation Sheet'!$W$4:$W$40),IF($BL51=1,SUM('Final Calculation Sheet'!$W$4:$W$40)-SUMIFS('Final Calculation Sheet'!$W$4:$W$40,$AZ$5:$AZ$41,10),SUMIFS('Final Calculation Sheet'!$W$4:$W$40,$AZ$5:$AZ$41,$BH51))),""))</f>
        <v/>
      </c>
      <c r="Y52" s="78" t="str">
        <f t="array" ref="Y52">IF($BJ51&gt;0,IF(INDEX('Final Calculation Sheet'!$X$4:$X$40,$BJ51-3)="","",INDEX('Final Calculation Sheet'!$X$4:$X$40,$BJ51-3)),IF(OR($BI51=1,$BL51=1,$BH51&gt;0),IF($BI51=1,SUM('Final Calculation Sheet'!$X$4:$X$40),IF($BL51=1,SUM('Final Calculation Sheet'!$X$4:$X$40)-SUMIFS('Final Calculation Sheet'!$X$4:$X$40,$AZ$5:$AZ$41,10),SUMIFS('Final Calculation Sheet'!$X$4:$X$40,$AZ$5:$AZ$41,$BH51))),""))</f>
        <v/>
      </c>
      <c r="Z52" s="78" t="str">
        <f t="array" ref="Z52">IF($BJ51&gt;0,IF(INDEX('Final Calculation Sheet'!$Y$4:$Y$40,$BJ51-3)="","",INDEX('Final Calculation Sheet'!$Y$4:$Y$40,$BJ51-3)),IF(OR($BI51=1,$BL51=1,$BH51&gt;0),"–",""))</f>
        <v/>
      </c>
      <c r="AA52" s="78" t="str">
        <f t="array" ref="AA52">IF($BJ51&gt;0,IF(INDEX('Final Calculation Sheet'!$Z$4:$Z$40,$BJ51-3)="","",INDEX('Final Calculation Sheet'!$Z$4:$Z$40,$BJ51-3)),IF(OR($BI51=1,$BL51=1,$BH51&gt;0),IF($BI51=1,SUM('Final Calculation Sheet'!$Z$4:$Z$40),IF($BL51=1,SUM('Final Calculation Sheet'!$Z$4:$Z$40)-SUMIFS('Final Calculation Sheet'!$Z$4:$Z$40,$AZ$5:$AZ$41,10),SUMIFS('Final Calculation Sheet'!$Z$4:$Z$40,$AZ$5:$AZ$41,$BH51))),""))</f>
        <v/>
      </c>
      <c r="AB52" s="78" t="str">
        <f t="array" ref="AB52">IF($BJ51&gt;0,IF(INDEX('Final Calculation Sheet'!$AA$4:$AA$40,$BJ51-3)="","",INDEX('Final Calculation Sheet'!$AA$4:$AA$40,$BJ51-3)),IF(OR($BI51=1,$BL51=1,$BH51&gt;0),IF($BI51=1,SUM('Final Calculation Sheet'!$AA$4:$AA$40),IF($BL51=1,SUM('Final Calculation Sheet'!$AA$4:$AA$40)-SUMIFS('Final Calculation Sheet'!$AA$4:$AA$40,$AZ$5:$AZ$41,10),SUMIFS('Final Calculation Sheet'!$AA$4:$AA$40,$AZ$5:$AZ$41,$BH51))),""))</f>
        <v/>
      </c>
      <c r="AC52" s="78" t="str">
        <f t="array" ref="AC52">IF($BJ51&gt;0,IF(INDEX('Final Calculation Sheet'!$AB$4:$AB$40,$BJ51-3)="","",INDEX('Final Calculation Sheet'!$AB$4:$AB$40,$BJ51-3)),IF(OR($BI51=1,$BL51=1,$BH51&gt;0),"–",""))</f>
        <v/>
      </c>
      <c r="AD52" s="78" t="str">
        <f t="array" ref="AD52">IF($BJ51&gt;0,IF(INDEX('Final Calculation Sheet'!$AC$4:$AC$40,$BJ51-3)="","",INDEX('Final Calculation Sheet'!$AC$4:$AC$40,$BJ51-3)),IF(OR($BI51=1,$BL51=1,$BH51&gt;0),IF($BI51=1,SUM('Final Calculation Sheet'!$AC$4:$AC$40),IF($BL51=1,SUM('Final Calculation Sheet'!$AC$4:$AC$40)-SUMIFS('Final Calculation Sheet'!$AC$4:$AC$40,$AZ$5:$AZ$41,10),SUMIFS('Final Calculation Sheet'!$AC$4:$AC$40,$AZ$5:$AZ$41,$BH51))),""))</f>
        <v/>
      </c>
      <c r="AE52" s="78" t="str">
        <f t="array" ref="AE52">IF($BJ51&gt;0,IF(INDEX('Final Calculation Sheet'!$AD$4:$AD$40,$BJ51-3)="","",INDEX('Final Calculation Sheet'!$AD$4:$AD$40,$BJ51-3)),IF(OR($BI51=1,$BL51=1,$BH51&gt;0),IF($BI51=1,SUM('Final Calculation Sheet'!$AD$4:$AD$40),IF($BL51=1,SUM('Final Calculation Sheet'!$AD$4:$AD$40)-SUMIFS('Final Calculation Sheet'!$AD$4:$AD$40,$AZ$5:$AZ$41,10),SUMIFS('Final Calculation Sheet'!$AD$4:$AD$40,$AZ$5:$AZ$41,$BH51))),""))</f>
        <v/>
      </c>
      <c r="AF52" s="78" t="str">
        <f t="array" ref="AF52">IF($BJ51&gt;0,IF(INDEX('Final Calculation Sheet'!$AE$4:$AE$40,$BJ51-3)="","",INDEX('Final Calculation Sheet'!$AE$4:$AE$40,$BJ51-3)),IF(OR($BI51=1,$BL51=1,$BH51&gt;0),"–",""))</f>
        <v/>
      </c>
      <c r="AG52" s="82" t="str">
        <f t="array" ref="AG52">IF($BJ51&gt;0,IF(INDEX('Final Calculation Sheet'!$AF$4:$AF$40,$BJ51-3)="","",INDEX('Final Calculation Sheet'!$AF$4:$AF$40,$BJ51-3)),IF(OR($BI51=1,$BL51=1,$BH51&gt;0),"–",""))</f>
        <v/>
      </c>
      <c r="AH52" s="78" t="str">
        <f t="array" ref="AH52">IF($BJ51&gt;0,IF(INDEX('Final Calculation Sheet'!$AG$4:$AG$40,$BJ51-3)="","",INDEX('Final Calculation Sheet'!$AG$4:$AG$40,$BJ51-3)),IF(OR($BI51=1,$BL51=1,$BH51&gt;0),"–",""))</f>
        <v/>
      </c>
      <c r="AI52" s="83" t="str">
        <f t="array" ref="AI52">IF($BJ51&gt;0,IF(INDEX('Final Calculation Sheet'!$AD$4:$AD$40,$BJ51-3)="","",IF(INDEX('Final Calculation Sheet'!$AD$4:$AD$40,$BJ51-3)&lt;=0,"SETTLED","OUTSTANDING")),IF(OR($BI51=1,$BL51=1,$BH51&gt;0),IF(IF($BI51=1,SUM('Final Calculation Sheet'!$AD$4:$AD$40),IF($BL51=1,SUM('Final Calculation Sheet'!$AD$4:$AD$40)-SUMIFS('Final Calculation Sheet'!$AD$4:$AD$40,$AZ$5:$AZ$41,10),SUMIFS('Final Calculation Sheet'!$AD$4:$AD$40,$AZ$5:$AZ$41,$BH51)))&lt;=0,"ALL SETTLED","OUTSTANDING"),""))</f>
        <v/>
      </c>
      <c r="BH52" t="str">
        <f>IFERROR(MATCH(52,$BF$4:$BF$13,0),0)</f>
        <v>0</v>
      </c>
      <c r="BI52" t="str">
        <f>IF(52=$BG$5,1,0)</f>
        <v>0</v>
      </c>
      <c r="BJ52" t="str">
        <f t="array" ref="BJ52">IF(OR($BH52&gt;0,$BI52=1,$BL52=1),0,IFERROR(INDEX($BC$5:$BC$41,MATCH(52,$BB$5:$BB$41,0)),0))</f>
        <v>0</v>
      </c>
      <c r="BK52" t="str">
        <f t="array" ref="BK52">IF($BJ52&gt;0,IF(INDEX($AZ$5:$AZ$41,MATCH(52,$BB$5:$BB$41,0))=10,1,0),IF($BH52=10,1,0))</f>
        <v>0</v>
      </c>
      <c r="BL52" t="str">
        <f>IF(52=$BG$4,1,0)</f>
        <v>0</v>
      </c>
    </row>
    <row r="53" ht="15.0" customHeight="1">
      <c r="A53" s="75" t="str">
        <f t="array" ref="A53">IF($BJ52&gt;0,INDEX($BA$5:$BA$41,MATCH(52,$BB$5:$BB$41,0)),IF(OR($BI52=1,$BL52=1,$BH52&gt;0),"∑",""))</f>
        <v/>
      </c>
      <c r="B53" s="76" t="str">
        <f t="array" ref="B53">IF($BJ52&gt;0,IF(INDEX('Final Calculation Sheet'!$F$4:$F$40,$BJ52-3)="","",INDEX('Final Calculation Sheet'!$F$4:$F$40,$BJ52-3)),"")</f>
        <v/>
      </c>
      <c r="C53" s="76" t="str">
        <f t="array" ref="C53">IF($BJ52&gt;0,IF(INDEX('Final Calculation Sheet'!$G$4:$G$40,$BJ52-3)="","",INDEX('Final Calculation Sheet'!$G$4:$G$40,$BJ52-3)),IF(OR($BI52=1,$BL52=1,$BH52&gt;0),IF($BI52=1,37,IF($BL52=1,37-INDEX($BD$4:$BD$13,10),INDEX($BD$4:$BD$13,$BH52)))&amp;" lot(s)",""))</f>
        <v/>
      </c>
      <c r="D53" s="77" t="str">
        <f t="array" ref="D53">IF($BJ52&gt;0,IF(INDEX('Final Calculation Sheet'!$B$4:$B$40,$BJ52-3)="","",INDEX('Final Calculation Sheet'!$B$4:$B$40,$BJ52-3)),IF(OR($BI52=1,$BL52=1,$BH52&gt;0),IF($BI52=1,"GRAND TOTAL  —  matching + remaining",IF($BL52=1,"TOTAL MATCHED  —  every group together",IF($BH52=10,"REMAINING  —  did not match the search",IF($BH52=9,IF(COUNTIF($A$4:$AI$4,"&lt;&gt;")&gt;0,"FILTERED LOTS  —  column fields","ALL LOTS  —  nothing typed in the box"),"GROUP "&amp;$BH52&amp;" TOTAL  —  lots matching  "&amp;INDEX($AR$6:$AY$6,$BH52))))),""))</f>
        <v/>
      </c>
      <c r="E53" s="77" t="str">
        <f t="array" ref="E53">IF($BJ52&gt;0,IF(INDEX('Final Calculation Sheet'!$D$4:$D$40,$BJ52-3)="","",INDEX('Final Calculation Sheet'!$D$4:$D$40,$BJ52-3)),IF(OR($BI52=1,$BL52=1,$BH52&gt;0),"–",""))</f>
        <v/>
      </c>
      <c r="F53" s="77" t="str">
        <f t="array" ref="F53">IF($BJ52&gt;0,IF(INDEX('Final Calculation Sheet'!$A$4:$A$40,$BJ52-3)="","",INDEX('Final Calculation Sheet'!$A$4:$A$40,$BJ52-3)),IF(OR($BI52=1,$BL52=1,$BH52&gt;0),IF($BI52=1,SUM('Final Calculation Sheet'!$A$4:$A$40),IF($BL52=1,SUM('Final Calculation Sheet'!$A$4:$A$40)-SUMIFS('Final Calculation Sheet'!$A$4:$A$40,$AZ$5:$AZ$41,10),SUMIFS('Final Calculation Sheet'!$A$4:$A$40,$AZ$5:$AZ$41,$BH52))),""))</f>
        <v/>
      </c>
      <c r="G53" s="77" t="str">
        <f t="array" ref="G53">IF($BJ52&gt;0,IF(INDEX('Final Calculation Sheet'!$E$4:$E$40,$BJ52-3)="","",INDEX('Final Calculation Sheet'!$E$4:$E$40,$BJ52-3)),IF(OR($BI52=1,$BL52=1,$BH52&gt;0),"–",""))</f>
        <v/>
      </c>
      <c r="H53" s="78" t="str">
        <f t="array" ref="H53">IF($BJ52&gt;0,IF(INDEX('Final Calculation Sheet'!$C$4:$C$40,$BJ52-3)="","",INDEX('Final Calculation Sheet'!$C$4:$C$40,$BJ52-3)),IF(OR($BI52=1,$BL52=1,$BH52&gt;0),"–",""))</f>
        <v/>
      </c>
      <c r="I53" s="78" t="str">
        <f t="array" ref="I53">IF($BJ52&gt;0,IF(INDEX('Final Calculation Sheet'!$H$4:$H$40,$BJ52-3)="","",INDEX('Final Calculation Sheet'!$H$4:$H$40,$BJ52-3)),IF(OR($BI52=1,$BL52=1,$BH52&gt;0),IF($BI52=1,SUM('Final Calculation Sheet'!$H$4:$H$40),IF($BL52=1,SUM('Final Calculation Sheet'!$H$4:$H$40)-SUMIFS('Final Calculation Sheet'!$H$4:$H$40,$AZ$5:$AZ$41,10),SUMIFS('Final Calculation Sheet'!$H$4:$H$40,$AZ$5:$AZ$41,$BH52))),""))</f>
        <v/>
      </c>
      <c r="J53" s="78" t="str">
        <f t="array" ref="J53">IF($BJ52&gt;0,IF(INDEX('Final Calculation Sheet'!$I$4:$I$40,$BJ52-3)="","",INDEX('Final Calculation Sheet'!$I$4:$I$40,$BJ52-3)),IF(OR($BI52=1,$BL52=1,$BH52&gt;0),IF($BI52=1,SUM('Final Calculation Sheet'!$I$4:$I$40),IF($BL52=1,SUM('Final Calculation Sheet'!$I$4:$I$40)-SUMIFS('Final Calculation Sheet'!$I$4:$I$40,$AZ$5:$AZ$41,10),SUMIFS('Final Calculation Sheet'!$I$4:$I$40,$AZ$5:$AZ$41,$BH52))),""))</f>
        <v/>
      </c>
      <c r="K53" s="78" t="str">
        <f t="array" ref="K53">IF($BJ52&gt;0,IF(INDEX('Final Calculation Sheet'!$J$4:$J$40,$BJ52-3)="","",INDEX('Final Calculation Sheet'!$J$4:$J$40,$BJ52-3)),IF(OR($BI52=1,$BL52=1,$BH52&gt;0),IF($BI52=1,SUM('Final Calculation Sheet'!$J$4:$J$40),IF($BL52=1,SUM('Final Calculation Sheet'!$J$4:$J$40)-SUMIFS('Final Calculation Sheet'!$J$4:$J$40,$AZ$5:$AZ$41,10),SUMIFS('Final Calculation Sheet'!$J$4:$J$40,$AZ$5:$AZ$41,$BH52))),""))</f>
        <v/>
      </c>
      <c r="L53" s="78" t="str">
        <f t="array" ref="L53">IF($BJ52&gt;0,IF(INDEX('Final Calculation Sheet'!$K$4:$K$40,$BJ52-3)="","",INDEX('Final Calculation Sheet'!$K$4:$K$40,$BJ52-3)),IF(OR($BI52=1,$BL52=1,$BH52&gt;0),IF($BI52=1,SUM('Final Calculation Sheet'!$K$4:$K$40),IF($BL52=1,SUM('Final Calculation Sheet'!$K$4:$K$40)-SUMIFS('Final Calculation Sheet'!$K$4:$K$40,$AZ$5:$AZ$41,10),SUMIFS('Final Calculation Sheet'!$K$4:$K$40,$AZ$5:$AZ$41,$BH52))),""))</f>
        <v/>
      </c>
      <c r="M53" s="78" t="str">
        <f t="array" ref="M53">IF($BJ52&gt;0,IF(INDEX('Final Calculation Sheet'!$L$4:$L$40,$BJ52-3)="","",INDEX('Final Calculation Sheet'!$L$4:$L$40,$BJ52-3)),IF(OR($BI52=1,$BL52=1,$BH52&gt;0),IF($BI52=1,SUM('Final Calculation Sheet'!$L$4:$L$40),IF($BL52=1,SUM('Final Calculation Sheet'!$L$4:$L$40)-SUMIFS('Final Calculation Sheet'!$L$4:$L$40,$AZ$5:$AZ$41,10),SUMIFS('Final Calculation Sheet'!$L$4:$L$40,$AZ$5:$AZ$41,$BH52))),""))</f>
        <v/>
      </c>
      <c r="N53" s="78" t="str">
        <f t="array" ref="N53">IF($BJ52&gt;0,IF(INDEX('Final Calculation Sheet'!$M$4:$M$40,$BJ52-3)="","",INDEX('Final Calculation Sheet'!$M$4:$M$40,$BJ52-3)),IF(OR($BI52=1,$BL52=1,$BH52&gt;0),IF($BI52=1,SUM('Final Calculation Sheet'!$M$4:$M$40),IF($BL52=1,SUM('Final Calculation Sheet'!$M$4:$M$40)-SUMIFS('Final Calculation Sheet'!$M$4:$M$40,$AZ$5:$AZ$41,10),SUMIFS('Final Calculation Sheet'!$M$4:$M$40,$AZ$5:$AZ$41,$BH52))),""))</f>
        <v/>
      </c>
      <c r="O53" s="79" t="str">
        <f t="array" ref="O53">IF($BJ52&gt;0,IF(INDEX('Final Calculation Sheet'!$N$4:$N$40,$BJ52-3)="","",INDEX('Final Calculation Sheet'!$N$4:$N$40,$BJ52-3)),IF(OR($BI52=1,$BL52=1,$BH52&gt;0),IF($BI52=1,SUM('Final Calculation Sheet'!$N$4:$N$40),IF($BL52=1,SUM('Final Calculation Sheet'!$N$4:$N$40)-SUMIFS('Final Calculation Sheet'!$N$4:$N$40,$AZ$5:$AZ$41,10),SUMIFS('Final Calculation Sheet'!$N$4:$N$40,$AZ$5:$AZ$41,$BH52))),""))</f>
        <v/>
      </c>
      <c r="P53" s="78" t="str">
        <f t="array" ref="P53">IF($BJ52&gt;0,IF(INDEX('Final Calculation Sheet'!$O$4:$O$40,$BJ52-3)="","",INDEX('Final Calculation Sheet'!$O$4:$O$40,$BJ52-3)),IF(OR($BI52=1,$BL52=1,$BH52&gt;0),IF($BI52=1,SUM('Final Calculation Sheet'!$O$4:$O$40),IF($BL52=1,SUM('Final Calculation Sheet'!$O$4:$O$40)-SUMIFS('Final Calculation Sheet'!$O$4:$O$40,$AZ$5:$AZ$41,10),SUMIFS('Final Calculation Sheet'!$O$4:$O$40,$AZ$5:$AZ$41,$BH52))),""))</f>
        <v/>
      </c>
      <c r="Q53" s="78" t="str">
        <f t="array" ref="Q53">IF($BJ52&gt;0,IF(INDEX('Final Calculation Sheet'!$P$4:$P$40,$BJ52-3)="","",INDEX('Final Calculation Sheet'!$P$4:$P$40,$BJ52-3)),IF(OR($BI52=1,$BL52=1,$BH52&gt;0),IF($BI52=1,SUM('Final Calculation Sheet'!$P$4:$P$40),IF($BL52=1,SUM('Final Calculation Sheet'!$P$4:$P$40)-SUMIFS('Final Calculation Sheet'!$P$4:$P$40,$AZ$5:$AZ$41,10),SUMIFS('Final Calculation Sheet'!$P$4:$P$40,$AZ$5:$AZ$41,$BH52))),""))</f>
        <v/>
      </c>
      <c r="R53" s="80" t="str">
        <f t="array" ref="R53">IF($BJ52&gt;0,IF(INDEX('Final Calculation Sheet'!$Q$4:$Q$40,$BJ52-3)="","",INDEX('Final Calculation Sheet'!$Q$4:$Q$40,$BJ52-3)),IF(OR($BI52=1,$BL52=1,$BH52&gt;0),"–",""))</f>
        <v/>
      </c>
      <c r="S53" s="78" t="str">
        <f t="array" ref="S53">IF($BJ52&gt;0,IF(INDEX('Final Calculation Sheet'!$R$4:$R$40,$BJ52-3)="","",INDEX('Final Calculation Sheet'!$R$4:$R$40,$BJ52-3)),IF(OR($BI52=1,$BL52=1,$BH52&gt;0),IF($BI52=1,SUM('Final Calculation Sheet'!$R$4:$R$40),IF($BL52=1,SUM('Final Calculation Sheet'!$R$4:$R$40)-SUMIFS('Final Calculation Sheet'!$R$4:$R$40,$AZ$5:$AZ$41,10),SUMIFS('Final Calculation Sheet'!$R$4:$R$40,$AZ$5:$AZ$41,$BH52))),""))</f>
        <v/>
      </c>
      <c r="T53" s="78" t="str">
        <f t="array" ref="T53">IF($BJ52&gt;0,IF(INDEX('Final Calculation Sheet'!$S$4:$S$40,$BJ52-3)="","",INDEX('Final Calculation Sheet'!$S$4:$S$40,$BJ52-3)),IF(OR($BI52=1,$BL52=1,$BH52&gt;0),IF($BI52=1,SUM('Final Calculation Sheet'!$S$4:$S$40),IF($BL52=1,SUM('Final Calculation Sheet'!$S$4:$S$40)-SUMIFS('Final Calculation Sheet'!$S$4:$S$40,$AZ$5:$AZ$41,10),SUMIFS('Final Calculation Sheet'!$S$4:$S$40,$AZ$5:$AZ$41,$BH52))),""))</f>
        <v/>
      </c>
      <c r="U53" s="78" t="str">
        <f t="array" ref="U53">IF($BJ52&gt;0,IF(INDEX('Final Calculation Sheet'!$T$4:$T$40,$BJ52-3)="","",INDEX('Final Calculation Sheet'!$T$4:$T$40,$BJ52-3)),IF(OR($BI52=1,$BL52=1,$BH52&gt;0),IF($BI52=1,SUM('Final Calculation Sheet'!$T$4:$T$40),IF($BL52=1,SUM('Final Calculation Sheet'!$T$4:$T$40)-SUMIFS('Final Calculation Sheet'!$T$4:$T$40,$AZ$5:$AZ$41,10),SUMIFS('Final Calculation Sheet'!$T$4:$T$40,$AZ$5:$AZ$41,$BH52))),""))</f>
        <v/>
      </c>
      <c r="V53" s="81" t="str">
        <f t="array" ref="V53">IF($BJ52&gt;0,IF(INDEX('Final Calculation Sheet'!$U$4:$U$40,$BJ52-3)="","",INDEX('Final Calculation Sheet'!$U$4:$U$40,$BJ52-3)),IF(OR($BI52=1,$BL52=1,$BH52&gt;0),IF($BI52=1,SUM('Final Calculation Sheet'!$U$4:$U$40),IF($BL52=1,SUM('Final Calculation Sheet'!$U$4:$U$40)-SUMIFS('Final Calculation Sheet'!$U$4:$U$40,$AZ$5:$AZ$41,10),SUMIFS('Final Calculation Sheet'!$U$4:$U$40,$AZ$5:$AZ$41,$BH52))),""))</f>
        <v>  </v>
      </c>
      <c r="W53" s="78" t="str">
        <f t="array" ref="W53">IF($BJ52&gt;0,IF(INDEX('Final Calculation Sheet'!$V$4:$V$40,$BJ52-3)="","",INDEX('Final Calculation Sheet'!$V$4:$V$40,$BJ52-3)),IF(OR($BI52=1,$BL52=1,$BH52&gt;0),"–",""))</f>
        <v/>
      </c>
      <c r="X53" s="78" t="str">
        <f t="array" ref="X53">IF($BJ52&gt;0,IF(INDEX('Final Calculation Sheet'!$W$4:$W$40,$BJ52-3)="","",INDEX('Final Calculation Sheet'!$W$4:$W$40,$BJ52-3)),IF(OR($BI52=1,$BL52=1,$BH52&gt;0),IF($BI52=1,SUM('Final Calculation Sheet'!$W$4:$W$40),IF($BL52=1,SUM('Final Calculation Sheet'!$W$4:$W$40)-SUMIFS('Final Calculation Sheet'!$W$4:$W$40,$AZ$5:$AZ$41,10),SUMIFS('Final Calculation Sheet'!$W$4:$W$40,$AZ$5:$AZ$41,$BH52))),""))</f>
        <v/>
      </c>
      <c r="Y53" s="78" t="str">
        <f t="array" ref="Y53">IF($BJ52&gt;0,IF(INDEX('Final Calculation Sheet'!$X$4:$X$40,$BJ52-3)="","",INDEX('Final Calculation Sheet'!$X$4:$X$40,$BJ52-3)),IF(OR($BI52=1,$BL52=1,$BH52&gt;0),IF($BI52=1,SUM('Final Calculation Sheet'!$X$4:$X$40),IF($BL52=1,SUM('Final Calculation Sheet'!$X$4:$X$40)-SUMIFS('Final Calculation Sheet'!$X$4:$X$40,$AZ$5:$AZ$41,10),SUMIFS('Final Calculation Sheet'!$X$4:$X$40,$AZ$5:$AZ$41,$BH52))),""))</f>
        <v/>
      </c>
      <c r="Z53" s="78" t="str">
        <f t="array" ref="Z53">IF($BJ52&gt;0,IF(INDEX('Final Calculation Sheet'!$Y$4:$Y$40,$BJ52-3)="","",INDEX('Final Calculation Sheet'!$Y$4:$Y$40,$BJ52-3)),IF(OR($BI52=1,$BL52=1,$BH52&gt;0),"–",""))</f>
        <v/>
      </c>
      <c r="AA53" s="78" t="str">
        <f t="array" ref="AA53">IF($BJ52&gt;0,IF(INDEX('Final Calculation Sheet'!$Z$4:$Z$40,$BJ52-3)="","",INDEX('Final Calculation Sheet'!$Z$4:$Z$40,$BJ52-3)),IF(OR($BI52=1,$BL52=1,$BH52&gt;0),IF($BI52=1,SUM('Final Calculation Sheet'!$Z$4:$Z$40),IF($BL52=1,SUM('Final Calculation Sheet'!$Z$4:$Z$40)-SUMIFS('Final Calculation Sheet'!$Z$4:$Z$40,$AZ$5:$AZ$41,10),SUMIFS('Final Calculation Sheet'!$Z$4:$Z$40,$AZ$5:$AZ$41,$BH52))),""))</f>
        <v/>
      </c>
      <c r="AB53" s="78" t="str">
        <f t="array" ref="AB53">IF($BJ52&gt;0,IF(INDEX('Final Calculation Sheet'!$AA$4:$AA$40,$BJ52-3)="","",INDEX('Final Calculation Sheet'!$AA$4:$AA$40,$BJ52-3)),IF(OR($BI52=1,$BL52=1,$BH52&gt;0),IF($BI52=1,SUM('Final Calculation Sheet'!$AA$4:$AA$40),IF($BL52=1,SUM('Final Calculation Sheet'!$AA$4:$AA$40)-SUMIFS('Final Calculation Sheet'!$AA$4:$AA$40,$AZ$5:$AZ$41,10),SUMIFS('Final Calculation Sheet'!$AA$4:$AA$40,$AZ$5:$AZ$41,$BH52))),""))</f>
        <v/>
      </c>
      <c r="AC53" s="78" t="str">
        <f t="array" ref="AC53">IF($BJ52&gt;0,IF(INDEX('Final Calculation Sheet'!$AB$4:$AB$40,$BJ52-3)="","",INDEX('Final Calculation Sheet'!$AB$4:$AB$40,$BJ52-3)),IF(OR($BI52=1,$BL52=1,$BH52&gt;0),"–",""))</f>
        <v/>
      </c>
      <c r="AD53" s="78" t="str">
        <f t="array" ref="AD53">IF($BJ52&gt;0,IF(INDEX('Final Calculation Sheet'!$AC$4:$AC$40,$BJ52-3)="","",INDEX('Final Calculation Sheet'!$AC$4:$AC$40,$BJ52-3)),IF(OR($BI52=1,$BL52=1,$BH52&gt;0),IF($BI52=1,SUM('Final Calculation Sheet'!$AC$4:$AC$40),IF($BL52=1,SUM('Final Calculation Sheet'!$AC$4:$AC$40)-SUMIFS('Final Calculation Sheet'!$AC$4:$AC$40,$AZ$5:$AZ$41,10),SUMIFS('Final Calculation Sheet'!$AC$4:$AC$40,$AZ$5:$AZ$41,$BH52))),""))</f>
        <v/>
      </c>
      <c r="AE53" s="78" t="str">
        <f t="array" ref="AE53">IF($BJ52&gt;0,IF(INDEX('Final Calculation Sheet'!$AD$4:$AD$40,$BJ52-3)="","",INDEX('Final Calculation Sheet'!$AD$4:$AD$40,$BJ52-3)),IF(OR($BI52=1,$BL52=1,$BH52&gt;0),IF($BI52=1,SUM('Final Calculation Sheet'!$AD$4:$AD$40),IF($BL52=1,SUM('Final Calculation Sheet'!$AD$4:$AD$40)-SUMIFS('Final Calculation Sheet'!$AD$4:$AD$40,$AZ$5:$AZ$41,10),SUMIFS('Final Calculation Sheet'!$AD$4:$AD$40,$AZ$5:$AZ$41,$BH52))),""))</f>
        <v/>
      </c>
      <c r="AF53" s="78" t="str">
        <f t="array" ref="AF53">IF($BJ52&gt;0,IF(INDEX('Final Calculation Sheet'!$AE$4:$AE$40,$BJ52-3)="","",INDEX('Final Calculation Sheet'!$AE$4:$AE$40,$BJ52-3)),IF(OR($BI52=1,$BL52=1,$BH52&gt;0),"–",""))</f>
        <v/>
      </c>
      <c r="AG53" s="82" t="str">
        <f t="array" ref="AG53">IF($BJ52&gt;0,IF(INDEX('Final Calculation Sheet'!$AF$4:$AF$40,$BJ52-3)="","",INDEX('Final Calculation Sheet'!$AF$4:$AF$40,$BJ52-3)),IF(OR($BI52=1,$BL52=1,$BH52&gt;0),"–",""))</f>
        <v/>
      </c>
      <c r="AH53" s="78" t="str">
        <f t="array" ref="AH53">IF($BJ52&gt;0,IF(INDEX('Final Calculation Sheet'!$AG$4:$AG$40,$BJ52-3)="","",INDEX('Final Calculation Sheet'!$AG$4:$AG$40,$BJ52-3)),IF(OR($BI52=1,$BL52=1,$BH52&gt;0),"–",""))</f>
        <v/>
      </c>
      <c r="AI53" s="83" t="str">
        <f t="array" ref="AI53">IF($BJ52&gt;0,IF(INDEX('Final Calculation Sheet'!$AD$4:$AD$40,$BJ52-3)="","",IF(INDEX('Final Calculation Sheet'!$AD$4:$AD$40,$BJ52-3)&lt;=0,"SETTLED","OUTSTANDING")),IF(OR($BI52=1,$BL52=1,$BH52&gt;0),IF(IF($BI52=1,SUM('Final Calculation Sheet'!$AD$4:$AD$40),IF($BL52=1,SUM('Final Calculation Sheet'!$AD$4:$AD$40)-SUMIFS('Final Calculation Sheet'!$AD$4:$AD$40,$AZ$5:$AZ$41,10),SUMIFS('Final Calculation Sheet'!$AD$4:$AD$40,$AZ$5:$AZ$41,$BH52)))&lt;=0,"ALL SETTLED","OUTSTANDING"),""))</f>
        <v/>
      </c>
      <c r="BH53" t="str">
        <f>IFERROR(MATCH(53,$BF$4:$BF$13,0),0)</f>
        <v>0</v>
      </c>
      <c r="BI53" t="str">
        <f>IF(53=$BG$5,1,0)</f>
        <v>0</v>
      </c>
      <c r="BJ53" t="str">
        <f t="array" ref="BJ53">IF(OR($BH53&gt;0,$BI53=1,$BL53=1),0,IFERROR(INDEX($BC$5:$BC$41,MATCH(53,$BB$5:$BB$41,0)),0))</f>
        <v>0</v>
      </c>
      <c r="BK53" t="str">
        <f t="array" ref="BK53">IF($BJ53&gt;0,IF(INDEX($AZ$5:$AZ$41,MATCH(53,$BB$5:$BB$41,0))=10,1,0),IF($BH53=10,1,0))</f>
        <v>0</v>
      </c>
      <c r="BL53" t="str">
        <f>IF(53=$BG$4,1,0)</f>
        <v>0</v>
      </c>
    </row>
    <row r="54" ht="15.0" customHeight="1">
      <c r="A54" s="75" t="str">
        <f t="array" ref="A54">IF($BJ53&gt;0,INDEX($BA$5:$BA$41,MATCH(53,$BB$5:$BB$41,0)),IF(OR($BI53=1,$BL53=1,$BH53&gt;0),"∑",""))</f>
        <v/>
      </c>
      <c r="B54" s="76" t="str">
        <f t="array" ref="B54">IF($BJ53&gt;0,IF(INDEX('Final Calculation Sheet'!$F$4:$F$40,$BJ53-3)="","",INDEX('Final Calculation Sheet'!$F$4:$F$40,$BJ53-3)),"")</f>
        <v/>
      </c>
      <c r="C54" s="76" t="str">
        <f t="array" ref="C54">IF($BJ53&gt;0,IF(INDEX('Final Calculation Sheet'!$G$4:$G$40,$BJ53-3)="","",INDEX('Final Calculation Sheet'!$G$4:$G$40,$BJ53-3)),IF(OR($BI53=1,$BL53=1,$BH53&gt;0),IF($BI53=1,37,IF($BL53=1,37-INDEX($BD$4:$BD$13,10),INDEX($BD$4:$BD$13,$BH53)))&amp;" lot(s)",""))</f>
        <v/>
      </c>
      <c r="D54" s="77" t="str">
        <f t="array" ref="D54">IF($BJ53&gt;0,IF(INDEX('Final Calculation Sheet'!$B$4:$B$40,$BJ53-3)="","",INDEX('Final Calculation Sheet'!$B$4:$B$40,$BJ53-3)),IF(OR($BI53=1,$BL53=1,$BH53&gt;0),IF($BI53=1,"GRAND TOTAL  —  matching + remaining",IF($BL53=1,"TOTAL MATCHED  —  every group together",IF($BH53=10,"REMAINING  —  did not match the search",IF($BH53=9,IF(COUNTIF($A$4:$AI$4,"&lt;&gt;")&gt;0,"FILTERED LOTS  —  column fields","ALL LOTS  —  nothing typed in the box"),"GROUP "&amp;$BH53&amp;" TOTAL  —  lots matching  "&amp;INDEX($AR$6:$AY$6,$BH53))))),""))</f>
        <v/>
      </c>
      <c r="E54" s="77" t="str">
        <f t="array" ref="E54">IF($BJ53&gt;0,IF(INDEX('Final Calculation Sheet'!$D$4:$D$40,$BJ53-3)="","",INDEX('Final Calculation Sheet'!$D$4:$D$40,$BJ53-3)),IF(OR($BI53=1,$BL53=1,$BH53&gt;0),"–",""))</f>
        <v/>
      </c>
      <c r="F54" s="77" t="str">
        <f t="array" ref="F54">IF($BJ53&gt;0,IF(INDEX('Final Calculation Sheet'!$A$4:$A$40,$BJ53-3)="","",INDEX('Final Calculation Sheet'!$A$4:$A$40,$BJ53-3)),IF(OR($BI53=1,$BL53=1,$BH53&gt;0),IF($BI53=1,SUM('Final Calculation Sheet'!$A$4:$A$40),IF($BL53=1,SUM('Final Calculation Sheet'!$A$4:$A$40)-SUMIFS('Final Calculation Sheet'!$A$4:$A$40,$AZ$5:$AZ$41,10),SUMIFS('Final Calculation Sheet'!$A$4:$A$40,$AZ$5:$AZ$41,$BH53))),""))</f>
        <v/>
      </c>
      <c r="G54" s="77" t="str">
        <f t="array" ref="G54">IF($BJ53&gt;0,IF(INDEX('Final Calculation Sheet'!$E$4:$E$40,$BJ53-3)="","",INDEX('Final Calculation Sheet'!$E$4:$E$40,$BJ53-3)),IF(OR($BI53=1,$BL53=1,$BH53&gt;0),"–",""))</f>
        <v/>
      </c>
      <c r="H54" s="78" t="str">
        <f t="array" ref="H54">IF($BJ53&gt;0,IF(INDEX('Final Calculation Sheet'!$C$4:$C$40,$BJ53-3)="","",INDEX('Final Calculation Sheet'!$C$4:$C$40,$BJ53-3)),IF(OR($BI53=1,$BL53=1,$BH53&gt;0),"–",""))</f>
        <v/>
      </c>
      <c r="I54" s="78" t="str">
        <f t="array" ref="I54">IF($BJ53&gt;0,IF(INDEX('Final Calculation Sheet'!$H$4:$H$40,$BJ53-3)="","",INDEX('Final Calculation Sheet'!$H$4:$H$40,$BJ53-3)),IF(OR($BI53=1,$BL53=1,$BH53&gt;0),IF($BI53=1,SUM('Final Calculation Sheet'!$H$4:$H$40),IF($BL53=1,SUM('Final Calculation Sheet'!$H$4:$H$40)-SUMIFS('Final Calculation Sheet'!$H$4:$H$40,$AZ$5:$AZ$41,10),SUMIFS('Final Calculation Sheet'!$H$4:$H$40,$AZ$5:$AZ$41,$BH53))),""))</f>
        <v/>
      </c>
      <c r="J54" s="78" t="str">
        <f t="array" ref="J54">IF($BJ53&gt;0,IF(INDEX('Final Calculation Sheet'!$I$4:$I$40,$BJ53-3)="","",INDEX('Final Calculation Sheet'!$I$4:$I$40,$BJ53-3)),IF(OR($BI53=1,$BL53=1,$BH53&gt;0),IF($BI53=1,SUM('Final Calculation Sheet'!$I$4:$I$40),IF($BL53=1,SUM('Final Calculation Sheet'!$I$4:$I$40)-SUMIFS('Final Calculation Sheet'!$I$4:$I$40,$AZ$5:$AZ$41,10),SUMIFS('Final Calculation Sheet'!$I$4:$I$40,$AZ$5:$AZ$41,$BH53))),""))</f>
        <v/>
      </c>
      <c r="K54" s="78" t="str">
        <f t="array" ref="K54">IF($BJ53&gt;0,IF(INDEX('Final Calculation Sheet'!$J$4:$J$40,$BJ53-3)="","",INDEX('Final Calculation Sheet'!$J$4:$J$40,$BJ53-3)),IF(OR($BI53=1,$BL53=1,$BH53&gt;0),IF($BI53=1,SUM('Final Calculation Sheet'!$J$4:$J$40),IF($BL53=1,SUM('Final Calculation Sheet'!$J$4:$J$40)-SUMIFS('Final Calculation Sheet'!$J$4:$J$40,$AZ$5:$AZ$41,10),SUMIFS('Final Calculation Sheet'!$J$4:$J$40,$AZ$5:$AZ$41,$BH53))),""))</f>
        <v/>
      </c>
      <c r="L54" s="78" t="str">
        <f t="array" ref="L54">IF($BJ53&gt;0,IF(INDEX('Final Calculation Sheet'!$K$4:$K$40,$BJ53-3)="","",INDEX('Final Calculation Sheet'!$K$4:$K$40,$BJ53-3)),IF(OR($BI53=1,$BL53=1,$BH53&gt;0),IF($BI53=1,SUM('Final Calculation Sheet'!$K$4:$K$40),IF($BL53=1,SUM('Final Calculation Sheet'!$K$4:$K$40)-SUMIFS('Final Calculation Sheet'!$K$4:$K$40,$AZ$5:$AZ$41,10),SUMIFS('Final Calculation Sheet'!$K$4:$K$40,$AZ$5:$AZ$41,$BH53))),""))</f>
        <v/>
      </c>
      <c r="M54" s="78" t="str">
        <f t="array" ref="M54">IF($BJ53&gt;0,IF(INDEX('Final Calculation Sheet'!$L$4:$L$40,$BJ53-3)="","",INDEX('Final Calculation Sheet'!$L$4:$L$40,$BJ53-3)),IF(OR($BI53=1,$BL53=1,$BH53&gt;0),IF($BI53=1,SUM('Final Calculation Sheet'!$L$4:$L$40),IF($BL53=1,SUM('Final Calculation Sheet'!$L$4:$L$40)-SUMIFS('Final Calculation Sheet'!$L$4:$L$40,$AZ$5:$AZ$41,10),SUMIFS('Final Calculation Sheet'!$L$4:$L$40,$AZ$5:$AZ$41,$BH53))),""))</f>
        <v/>
      </c>
      <c r="N54" s="78" t="str">
        <f t="array" ref="N54">IF($BJ53&gt;0,IF(INDEX('Final Calculation Sheet'!$M$4:$M$40,$BJ53-3)="","",INDEX('Final Calculation Sheet'!$M$4:$M$40,$BJ53-3)),IF(OR($BI53=1,$BL53=1,$BH53&gt;0),IF($BI53=1,SUM('Final Calculation Sheet'!$M$4:$M$40),IF($BL53=1,SUM('Final Calculation Sheet'!$M$4:$M$40)-SUMIFS('Final Calculation Sheet'!$M$4:$M$40,$AZ$5:$AZ$41,10),SUMIFS('Final Calculation Sheet'!$M$4:$M$40,$AZ$5:$AZ$41,$BH53))),""))</f>
        <v/>
      </c>
      <c r="O54" s="79" t="str">
        <f t="array" ref="O54">IF($BJ53&gt;0,IF(INDEX('Final Calculation Sheet'!$N$4:$N$40,$BJ53-3)="","",INDEX('Final Calculation Sheet'!$N$4:$N$40,$BJ53-3)),IF(OR($BI53=1,$BL53=1,$BH53&gt;0),IF($BI53=1,SUM('Final Calculation Sheet'!$N$4:$N$40),IF($BL53=1,SUM('Final Calculation Sheet'!$N$4:$N$40)-SUMIFS('Final Calculation Sheet'!$N$4:$N$40,$AZ$5:$AZ$41,10),SUMIFS('Final Calculation Sheet'!$N$4:$N$40,$AZ$5:$AZ$41,$BH53))),""))</f>
        <v/>
      </c>
      <c r="P54" s="78" t="str">
        <f t="array" ref="P54">IF($BJ53&gt;0,IF(INDEX('Final Calculation Sheet'!$O$4:$O$40,$BJ53-3)="","",INDEX('Final Calculation Sheet'!$O$4:$O$40,$BJ53-3)),IF(OR($BI53=1,$BL53=1,$BH53&gt;0),IF($BI53=1,SUM('Final Calculation Sheet'!$O$4:$O$40),IF($BL53=1,SUM('Final Calculation Sheet'!$O$4:$O$40)-SUMIFS('Final Calculation Sheet'!$O$4:$O$40,$AZ$5:$AZ$41,10),SUMIFS('Final Calculation Sheet'!$O$4:$O$40,$AZ$5:$AZ$41,$BH53))),""))</f>
        <v/>
      </c>
      <c r="Q54" s="78" t="str">
        <f t="array" ref="Q54">IF($BJ53&gt;0,IF(INDEX('Final Calculation Sheet'!$P$4:$P$40,$BJ53-3)="","",INDEX('Final Calculation Sheet'!$P$4:$P$40,$BJ53-3)),IF(OR($BI53=1,$BL53=1,$BH53&gt;0),IF($BI53=1,SUM('Final Calculation Sheet'!$P$4:$P$40),IF($BL53=1,SUM('Final Calculation Sheet'!$P$4:$P$40)-SUMIFS('Final Calculation Sheet'!$P$4:$P$40,$AZ$5:$AZ$41,10),SUMIFS('Final Calculation Sheet'!$P$4:$P$40,$AZ$5:$AZ$41,$BH53))),""))</f>
        <v/>
      </c>
      <c r="R54" s="80" t="str">
        <f t="array" ref="R54">IF($BJ53&gt;0,IF(INDEX('Final Calculation Sheet'!$Q$4:$Q$40,$BJ53-3)="","",INDEX('Final Calculation Sheet'!$Q$4:$Q$40,$BJ53-3)),IF(OR($BI53=1,$BL53=1,$BH53&gt;0),"–",""))</f>
        <v/>
      </c>
      <c r="S54" s="78" t="str">
        <f t="array" ref="S54">IF($BJ53&gt;0,IF(INDEX('Final Calculation Sheet'!$R$4:$R$40,$BJ53-3)="","",INDEX('Final Calculation Sheet'!$R$4:$R$40,$BJ53-3)),IF(OR($BI53=1,$BL53=1,$BH53&gt;0),IF($BI53=1,SUM('Final Calculation Sheet'!$R$4:$R$40),IF($BL53=1,SUM('Final Calculation Sheet'!$R$4:$R$40)-SUMIFS('Final Calculation Sheet'!$R$4:$R$40,$AZ$5:$AZ$41,10),SUMIFS('Final Calculation Sheet'!$R$4:$R$40,$AZ$5:$AZ$41,$BH53))),""))</f>
        <v/>
      </c>
      <c r="T54" s="78" t="str">
        <f t="array" ref="T54">IF($BJ53&gt;0,IF(INDEX('Final Calculation Sheet'!$S$4:$S$40,$BJ53-3)="","",INDEX('Final Calculation Sheet'!$S$4:$S$40,$BJ53-3)),IF(OR($BI53=1,$BL53=1,$BH53&gt;0),IF($BI53=1,SUM('Final Calculation Sheet'!$S$4:$S$40),IF($BL53=1,SUM('Final Calculation Sheet'!$S$4:$S$40)-SUMIFS('Final Calculation Sheet'!$S$4:$S$40,$AZ$5:$AZ$41,10),SUMIFS('Final Calculation Sheet'!$S$4:$S$40,$AZ$5:$AZ$41,$BH53))),""))</f>
        <v/>
      </c>
      <c r="U54" s="78" t="str">
        <f t="array" ref="U54">IF($BJ53&gt;0,IF(INDEX('Final Calculation Sheet'!$T$4:$T$40,$BJ53-3)="","",INDEX('Final Calculation Sheet'!$T$4:$T$40,$BJ53-3)),IF(OR($BI53=1,$BL53=1,$BH53&gt;0),IF($BI53=1,SUM('Final Calculation Sheet'!$T$4:$T$40),IF($BL53=1,SUM('Final Calculation Sheet'!$T$4:$T$40)-SUMIFS('Final Calculation Sheet'!$T$4:$T$40,$AZ$5:$AZ$41,10),SUMIFS('Final Calculation Sheet'!$T$4:$T$40,$AZ$5:$AZ$41,$BH53))),""))</f>
        <v/>
      </c>
      <c r="V54" s="81" t="str">
        <f t="array" ref="V54">IF($BJ53&gt;0,IF(INDEX('Final Calculation Sheet'!$U$4:$U$40,$BJ53-3)="","",INDEX('Final Calculation Sheet'!$U$4:$U$40,$BJ53-3)),IF(OR($BI53=1,$BL53=1,$BH53&gt;0),IF($BI53=1,SUM('Final Calculation Sheet'!$U$4:$U$40),IF($BL53=1,SUM('Final Calculation Sheet'!$U$4:$U$40)-SUMIFS('Final Calculation Sheet'!$U$4:$U$40,$AZ$5:$AZ$41,10),SUMIFS('Final Calculation Sheet'!$U$4:$U$40,$AZ$5:$AZ$41,$BH53))),""))</f>
        <v>  </v>
      </c>
      <c r="W54" s="78" t="str">
        <f t="array" ref="W54">IF($BJ53&gt;0,IF(INDEX('Final Calculation Sheet'!$V$4:$V$40,$BJ53-3)="","",INDEX('Final Calculation Sheet'!$V$4:$V$40,$BJ53-3)),IF(OR($BI53=1,$BL53=1,$BH53&gt;0),"–",""))</f>
        <v/>
      </c>
      <c r="X54" s="78" t="str">
        <f t="array" ref="X54">IF($BJ53&gt;0,IF(INDEX('Final Calculation Sheet'!$W$4:$W$40,$BJ53-3)="","",INDEX('Final Calculation Sheet'!$W$4:$W$40,$BJ53-3)),IF(OR($BI53=1,$BL53=1,$BH53&gt;0),IF($BI53=1,SUM('Final Calculation Sheet'!$W$4:$W$40),IF($BL53=1,SUM('Final Calculation Sheet'!$W$4:$W$40)-SUMIFS('Final Calculation Sheet'!$W$4:$W$40,$AZ$5:$AZ$41,10),SUMIFS('Final Calculation Sheet'!$W$4:$W$40,$AZ$5:$AZ$41,$BH53))),""))</f>
        <v/>
      </c>
      <c r="Y54" s="78" t="str">
        <f t="array" ref="Y54">IF($BJ53&gt;0,IF(INDEX('Final Calculation Sheet'!$X$4:$X$40,$BJ53-3)="","",INDEX('Final Calculation Sheet'!$X$4:$X$40,$BJ53-3)),IF(OR($BI53=1,$BL53=1,$BH53&gt;0),IF($BI53=1,SUM('Final Calculation Sheet'!$X$4:$X$40),IF($BL53=1,SUM('Final Calculation Sheet'!$X$4:$X$40)-SUMIFS('Final Calculation Sheet'!$X$4:$X$40,$AZ$5:$AZ$41,10),SUMIFS('Final Calculation Sheet'!$X$4:$X$40,$AZ$5:$AZ$41,$BH53))),""))</f>
        <v/>
      </c>
      <c r="Z54" s="78" t="str">
        <f t="array" ref="Z54">IF($BJ53&gt;0,IF(INDEX('Final Calculation Sheet'!$Y$4:$Y$40,$BJ53-3)="","",INDEX('Final Calculation Sheet'!$Y$4:$Y$40,$BJ53-3)),IF(OR($BI53=1,$BL53=1,$BH53&gt;0),"–",""))</f>
        <v/>
      </c>
      <c r="AA54" s="78" t="str">
        <f t="array" ref="AA54">IF($BJ53&gt;0,IF(INDEX('Final Calculation Sheet'!$Z$4:$Z$40,$BJ53-3)="","",INDEX('Final Calculation Sheet'!$Z$4:$Z$40,$BJ53-3)),IF(OR($BI53=1,$BL53=1,$BH53&gt;0),IF($BI53=1,SUM('Final Calculation Sheet'!$Z$4:$Z$40),IF($BL53=1,SUM('Final Calculation Sheet'!$Z$4:$Z$40)-SUMIFS('Final Calculation Sheet'!$Z$4:$Z$40,$AZ$5:$AZ$41,10),SUMIFS('Final Calculation Sheet'!$Z$4:$Z$40,$AZ$5:$AZ$41,$BH53))),""))</f>
        <v/>
      </c>
      <c r="AB54" s="78" t="str">
        <f t="array" ref="AB54">IF($BJ53&gt;0,IF(INDEX('Final Calculation Sheet'!$AA$4:$AA$40,$BJ53-3)="","",INDEX('Final Calculation Sheet'!$AA$4:$AA$40,$BJ53-3)),IF(OR($BI53=1,$BL53=1,$BH53&gt;0),IF($BI53=1,SUM('Final Calculation Sheet'!$AA$4:$AA$40),IF($BL53=1,SUM('Final Calculation Sheet'!$AA$4:$AA$40)-SUMIFS('Final Calculation Sheet'!$AA$4:$AA$40,$AZ$5:$AZ$41,10),SUMIFS('Final Calculation Sheet'!$AA$4:$AA$40,$AZ$5:$AZ$41,$BH53))),""))</f>
        <v/>
      </c>
      <c r="AC54" s="78" t="str">
        <f t="array" ref="AC54">IF($BJ53&gt;0,IF(INDEX('Final Calculation Sheet'!$AB$4:$AB$40,$BJ53-3)="","",INDEX('Final Calculation Sheet'!$AB$4:$AB$40,$BJ53-3)),IF(OR($BI53=1,$BL53=1,$BH53&gt;0),"–",""))</f>
        <v/>
      </c>
      <c r="AD54" s="78" t="str">
        <f t="array" ref="AD54">IF($BJ53&gt;0,IF(INDEX('Final Calculation Sheet'!$AC$4:$AC$40,$BJ53-3)="","",INDEX('Final Calculation Sheet'!$AC$4:$AC$40,$BJ53-3)),IF(OR($BI53=1,$BL53=1,$BH53&gt;0),IF($BI53=1,SUM('Final Calculation Sheet'!$AC$4:$AC$40),IF($BL53=1,SUM('Final Calculation Sheet'!$AC$4:$AC$40)-SUMIFS('Final Calculation Sheet'!$AC$4:$AC$40,$AZ$5:$AZ$41,10),SUMIFS('Final Calculation Sheet'!$AC$4:$AC$40,$AZ$5:$AZ$41,$BH53))),""))</f>
        <v/>
      </c>
      <c r="AE54" s="78" t="str">
        <f t="array" ref="AE54">IF($BJ53&gt;0,IF(INDEX('Final Calculation Sheet'!$AD$4:$AD$40,$BJ53-3)="","",INDEX('Final Calculation Sheet'!$AD$4:$AD$40,$BJ53-3)),IF(OR($BI53=1,$BL53=1,$BH53&gt;0),IF($BI53=1,SUM('Final Calculation Sheet'!$AD$4:$AD$40),IF($BL53=1,SUM('Final Calculation Sheet'!$AD$4:$AD$40)-SUMIFS('Final Calculation Sheet'!$AD$4:$AD$40,$AZ$5:$AZ$41,10),SUMIFS('Final Calculation Sheet'!$AD$4:$AD$40,$AZ$5:$AZ$41,$BH53))),""))</f>
        <v/>
      </c>
      <c r="AF54" s="78" t="str">
        <f t="array" ref="AF54">IF($BJ53&gt;0,IF(INDEX('Final Calculation Sheet'!$AE$4:$AE$40,$BJ53-3)="","",INDEX('Final Calculation Sheet'!$AE$4:$AE$40,$BJ53-3)),IF(OR($BI53=1,$BL53=1,$BH53&gt;0),"–",""))</f>
        <v/>
      </c>
      <c r="AG54" s="82" t="str">
        <f t="array" ref="AG54">IF($BJ53&gt;0,IF(INDEX('Final Calculation Sheet'!$AF$4:$AF$40,$BJ53-3)="","",INDEX('Final Calculation Sheet'!$AF$4:$AF$40,$BJ53-3)),IF(OR($BI53=1,$BL53=1,$BH53&gt;0),"–",""))</f>
        <v/>
      </c>
      <c r="AH54" s="78" t="str">
        <f t="array" ref="AH54">IF($BJ53&gt;0,IF(INDEX('Final Calculation Sheet'!$AG$4:$AG$40,$BJ53-3)="","",INDEX('Final Calculation Sheet'!$AG$4:$AG$40,$BJ53-3)),IF(OR($BI53=1,$BL53=1,$BH53&gt;0),"–",""))</f>
        <v/>
      </c>
      <c r="AI54" s="83" t="str">
        <f t="array" ref="AI54">IF($BJ53&gt;0,IF(INDEX('Final Calculation Sheet'!$AD$4:$AD$40,$BJ53-3)="","",IF(INDEX('Final Calculation Sheet'!$AD$4:$AD$40,$BJ53-3)&lt;=0,"SETTLED","OUTSTANDING")),IF(OR($BI53=1,$BL53=1,$BH53&gt;0),IF(IF($BI53=1,SUM('Final Calculation Sheet'!$AD$4:$AD$40),IF($BL53=1,SUM('Final Calculation Sheet'!$AD$4:$AD$40)-SUMIFS('Final Calculation Sheet'!$AD$4:$AD$40,$AZ$5:$AZ$41,10),SUMIFS('Final Calculation Sheet'!$AD$4:$AD$40,$AZ$5:$AZ$41,$BH53)))&lt;=0,"ALL SETTLED","OUTSTANDING"),""))</f>
        <v/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2:AI2"/>
    <mergeCell ref="B3:D3"/>
    <mergeCell ref="I3:AI3"/>
    <mergeCell ref="A1:AI1"/>
  </mergeCells>
  <conditionalFormatting sqref="A6:AH54">
    <cfRule type="expression" dxfId="0" priority="1">
      <formula>AND($B$3&lt;&gt;"",$BK5=1,$BH5=0,$BI5=0)</formula>
    </cfRule>
  </conditionalFormatting>
  <conditionalFormatting sqref="A6:AH54">
    <cfRule type="expression" dxfId="1" priority="2">
      <formula>$BH5=10</formula>
    </cfRule>
  </conditionalFormatting>
  <conditionalFormatting sqref="A6:AH54">
    <cfRule type="expression" dxfId="2" priority="3">
      <formula>$BI5=1</formula>
    </cfRule>
  </conditionalFormatting>
  <conditionalFormatting sqref="A6:AH54">
    <cfRule type="expression" dxfId="3" priority="4">
      <formula>$BL5=1</formula>
    </cfRule>
  </conditionalFormatting>
  <conditionalFormatting sqref="A6:AH54">
    <cfRule type="expression" dxfId="4" priority="5">
      <formula>$BH5&gt;0</formula>
    </cfRule>
  </conditionalFormatting>
  <conditionalFormatting sqref="A6:AH54">
    <cfRule type="expression" dxfId="5" priority="6">
      <formula>AND($B$3&lt;&gt;"",$BJ5&gt;0,$BK5=0)</formula>
    </cfRule>
  </conditionalFormatting>
  <conditionalFormatting sqref="A6:AH54">
    <cfRule type="expression" dxfId="6" priority="7">
      <formula>AND($BJ5&gt;0,MOD($BJ5,2)=0)</formula>
    </cfRule>
  </conditionalFormatting>
  <conditionalFormatting sqref="AE6:AE54">
    <cfRule type="cellIs" dxfId="7" priority="8" operator="greaterThan">
      <formula>0</formula>
    </cfRule>
  </conditionalFormatting>
  <conditionalFormatting sqref="AI6:AI54">
    <cfRule type="cellIs" dxfId="8" priority="9" operator="equal">
      <formula>"SETTLED"</formula>
    </cfRule>
  </conditionalFormatting>
  <conditionalFormatting sqref="AI6:AI54">
    <cfRule type="cellIs" dxfId="9" priority="10" operator="equal">
      <formula>"OUTSTANDING"</formula>
    </cfRule>
  </conditionalFormatting>
  <conditionalFormatting sqref="A6:AI54">
    <cfRule type="expression" dxfId="10" priority="11">
      <formula>OR($BJ5&gt;0,$BH5&gt;0,$BI5=1,$BL5=1)</formula>
    </cfRule>
  </conditionalFormatting>
  <dataValidations>
    <dataValidation type="list" allowBlank="1" sqref="F3">
      <formula1>$AO$4:$AO$9</formula1>
    </dataValidation>
    <dataValidation type="custom" allowBlank="1" showInputMessage="1" prompt="Column wildcard search - Type text; comma or / means ANY. Use * for any text or ? for one character." sqref="A4:AI4">
      <formula1>1=1</formula1>
    </dataValidation>
  </dataValidations>
  <printOptions/>
  <pageMargins bottom="1.0" footer="0.0" header="0.0" left="0.75" right="0.7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Final Calculation Sheet</vt:lpstr>
      <vt:lpstr>Live Search</vt:lpstr>
      <vt:lpstr>'Live Search'!Print_Titles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2026-09-02T06:08:07Z</dcterms:created>
  <dc:creator>S.M.C</dc:creator>
  <dc:language>en-US</dc:language>
  <cp:lastModifiedBy>S.M.C</cp:lastModifiedBy>
  <dcterms:modified xsi:type="dcterms:W3CDTF">2026-09-08T11:34:55Z</dcterms:modified>
  <cp:revision>0</cp:revision>
</cp:coreProperties>
</file>