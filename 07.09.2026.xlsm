
<file path=[Content_Types].xml><?xml version="1.0" encoding="utf-8"?>
<ns0:Types xmlns:ns0="http://schemas.openxmlformats.org/package/2006/content-types">
  <ns0:Default Extension="bin" ContentType="application/vnd.ms-office.vbaProject"/>
  <ns0:Default Extension="rels" ContentType="application/vnd.openxmlformats-package.relationships+xml"/>
  <ns0:Default Extension="xml" ContentType="application/xml"/>
  <ns0:Override PartName="/xl/workbook.xml" ContentType="application/vnd.ms-excel.sheet.macroEnabled.main+xml"/>
  <ns0:Override PartName="/xl/worksheets/sheet1.xml" ContentType="application/vnd.openxmlformats-officedocument.spreadsheetml.worksheet+xml"/>
  <ns0:Override PartName="/xl/worksheets/sheet2.xml" ContentType="application/vnd.openxmlformats-officedocument.spreadsheetml.worksheet+xml"/>
  <ns0:Override PartName="/xl/theme/theme1.xml" ContentType="application/vnd.openxmlformats-officedocument.theme+xml"/>
  <ns0:Override PartName="/xl/styles.xml" ContentType="application/vnd.openxmlformats-officedocument.spreadsheetml.styles+xml"/>
  <ns0:Override PartName="/xl/sharedStrings.xml" ContentType="application/vnd.openxmlformats-officedocument.spreadsheetml.sharedStrings+xml"/>
  <ns0:Override PartName="/docProps/core.xml" ContentType="application/vnd.openxmlformats-package.core-properties+xml"/>
  <ns0:Override PartName="/docProps/app.xml" ContentType="application/vnd.openxmlformats-officedocument.extended-properties+xml"/>
</ns0: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mc="http://schemas.openxmlformats.org/markup-compatibility/2006" xmlns:x15="http://schemas.microsoft.com/office/spreadsheetml/2010/11/main" xmlns:x15ac="http://schemas.microsoft.com/office/spreadsheetml/2010/11/ac" xmlns:xr6="http://schemas.microsoft.com/office/spreadsheetml/2016/revision6" xmlns:xr10="http://schemas.microsoft.com/office/spreadsheetml/2016/revision10" xmlns:r="http://schemas.openxmlformats.org/officeDocument/2006/relationships" xmlns:xr="http://schemas.microsoft.com/office/spreadsheetml/2014/revision" xmlns:xr2="http://schemas.microsoft.com/office/spreadsheetml/2015/revision2" mc:Ignorable="x15 xr xr6 xr10 xr2">
  <fileVersion appName="xl" lastEdited="7" lowestEdited="7" rupBuild="20361"/>
  <workbookPr/>
  <mc:AlternateContent>
    <mc:Choice Requires="x15">
      <x15ac:absPath url="C:\Users\S.M.C\Downloads\"/>
    </mc:Choice>
  </mc:AlternateContent>
  <xr:revisionPtr revIDLastSave="0" documentId="13_ncr:1_{02D8CAA5-FA05-4AFF-A696-DFAD20822EA2}" xr6:coauthVersionLast="36" xr6:coauthVersionMax="36" xr10:uidLastSave="{00000000-0000-0000-0000-000000000000}"/>
  <bookViews>
    <workbookView xWindow="0" yWindow="0" windowWidth="28800" windowHeight="11385" tabRatio="500" activeTab="1" xr2:uid="{00000000-000D-0000-FFFF-FFFF00000000}"/>
  </bookViews>
  <sheets>
    <sheet name="Final Calculation Sheet" sheetId="1" r:id="rId1"/>
    <sheet name="Live Search" sheetId="2" r:id="rId2"/>
  </sheets>
  <definedNames>
    <definedName name="_xlnm._FilterDatabase" localSheetId="0" hidden="1">'Final Calculation Sheet'!$A$3:$AG$43</definedName>
    <definedName name="_xlnm.Print_Titles" localSheetId="1">'Live Search'!$5:$5</definedName>
  </definedNames>
  <calcPr calcId="191029" iterateDelta="1E-4" calcMode="auto" fullCalcOnLoad="1" forceFullCalc="1"/>
</workbook>
</file>

<file path=xl/sharedStrings.xml><?xml version="1.0" encoding="utf-8"?>
<sst xmlns="http://schemas.openxmlformats.org/spreadsheetml/2006/main" count="337" uniqueCount="142">
  <si>
    <t>MSTC LIMITED - COMBINED BID SHEET (Auctions 21977, 21978, 21979, 21980)</t>
  </si>
  <si>
    <t>Quantity</t>
  </si>
  <si>
    <t>Lot Name</t>
  </si>
  <si>
    <t>Rate</t>
  </si>
  <si>
    <t>Bid Sheet</t>
  </si>
  <si>
    <t>Unit</t>
  </si>
  <si>
    <t>Lot No.</t>
  </si>
  <si>
    <t>Buyer</t>
  </si>
  <si>
    <t>Mat. Value</t>
  </si>
  <si>
    <t>GST</t>
  </si>
  <si>
    <t>Mat. Value + GST</t>
  </si>
  <si>
    <t>TCS</t>
  </si>
  <si>
    <t>TDS u/s 194(O)</t>
  </si>
  <si>
    <t>Service Charge
to MSTC</t>
  </si>
  <si>
    <t>TDS u/s 194(H)</t>
  </si>
  <si>
    <t>Net Service Charge
(post TDS 194H)</t>
  </si>
  <si>
    <t>Service charge to MSTC</t>
  </si>
  <si>
    <t>GST TDS Rate</t>
  </si>
  <si>
    <t>GST TDS</t>
  </si>
  <si>
    <t>Total Receivables in Cash</t>
  </si>
  <si>
    <t>Security Deposit (Expected)</t>
  </si>
  <si>
    <t>Security Deposit (Received)</t>
  </si>
  <si>
    <t>Date of Receipt</t>
  </si>
  <si>
    <t>Final Payment (Expected)</t>
  </si>
  <si>
    <t>Final Payment (Received)</t>
  </si>
  <si>
    <t>LPP Expected</t>
  </si>
  <si>
    <t>LPP Received</t>
  </si>
  <si>
    <t>Date of Recepit of LPP</t>
  </si>
  <si>
    <t>Total Received</t>
  </si>
  <si>
    <t>Outstanding</t>
  </si>
  <si>
    <t xml:space="preserve">Invoice No. </t>
  </si>
  <si>
    <t>SAP Document</t>
  </si>
  <si>
    <t>Doc./Invoice Date</t>
  </si>
  <si>
    <t>KG</t>
  </si>
  <si>
    <t>AL HAMD TRADE CORPORATION</t>
  </si>
  <si>
    <t>24.08.2026</t>
  </si>
  <si>
    <t>18.08.2026</t>
  </si>
  <si>
    <t>DR2640100029</t>
  </si>
  <si>
    <t>Scrap of Empty oil drum</t>
  </si>
  <si>
    <t>NO</t>
  </si>
  <si>
    <t>NATIONAL ENTERPRISES</t>
  </si>
  <si>
    <t>13.08.2026</t>
  </si>
  <si>
    <t>DR2640100030</t>
  </si>
  <si>
    <t>27.08.2026</t>
  </si>
  <si>
    <t>Scrap of Copper of faulty AC compressor</t>
  </si>
  <si>
    <t>F R KHANS ENTERPRISES</t>
  </si>
  <si>
    <t>11.08.2026</t>
  </si>
  <si>
    <t>20.08.2026</t>
  </si>
  <si>
    <t>DR2640100047</t>
  </si>
  <si>
    <t>Scrap of MS (extracted from equip cage and empty Sf6 gas cylinder)</t>
  </si>
  <si>
    <t>DR2640100048</t>
  </si>
  <si>
    <t>SCRAP ACSR CONDUCTORS (Conductor Pieces)</t>
  </si>
  <si>
    <t>OMKAR STEELS</t>
  </si>
  <si>
    <t>14.08.2026</t>
  </si>
  <si>
    <t>DR2640100045</t>
  </si>
  <si>
    <t>Scrap Power Transformer</t>
  </si>
  <si>
    <t>SHAR JAHAN TRADERS</t>
  </si>
  <si>
    <t>DR2640100023</t>
  </si>
  <si>
    <t>17.08.2026</t>
  </si>
  <si>
    <t>Scrap of 132 KV CT</t>
  </si>
  <si>
    <t>DR2640100031</t>
  </si>
  <si>
    <t>Scrap of 145 KV CB</t>
  </si>
  <si>
    <t>DR2640100032</t>
  </si>
  <si>
    <t>Scrap of 220KV CT</t>
  </si>
  <si>
    <t>DR2640100033</t>
  </si>
  <si>
    <t>Scrap of empty oil drums</t>
  </si>
  <si>
    <t>STERLING ENTERPRISES</t>
  </si>
  <si>
    <t>DR2640100018</t>
  </si>
  <si>
    <t>SCRAP POWER TRANSFORMER</t>
  </si>
  <si>
    <t>DR2640100024</t>
  </si>
  <si>
    <t>Scrap of empty oil Druam</t>
  </si>
  <si>
    <t>HIND TRADERS</t>
  </si>
  <si>
    <t>DR2640100026</t>
  </si>
  <si>
    <t>Scrap of empty oil Barrel</t>
  </si>
  <si>
    <t>DR2640100019</t>
  </si>
  <si>
    <t>Scrap of empty oil Barrels</t>
  </si>
  <si>
    <t>DR2640100020</t>
  </si>
  <si>
    <t>Scrap of 220 KV Circuit Breaker</t>
  </si>
  <si>
    <t>DR2640100034</t>
  </si>
  <si>
    <t>DR2640100035</t>
  </si>
  <si>
    <t>SCRAP 80MM² AAAC EARTHWIRE</t>
  </si>
  <si>
    <t>10.08.2026</t>
  </si>
  <si>
    <t>DR2640100017</t>
  </si>
  <si>
    <t>12.08.2026</t>
  </si>
  <si>
    <t>NATIONAL SCRAP AND BUILDING MATERIAL SUPPLIER</t>
  </si>
  <si>
    <t>21.08.2026</t>
  </si>
  <si>
    <t>DR2640100028</t>
  </si>
  <si>
    <t>DR2640100044</t>
  </si>
  <si>
    <t>DR2640100021</t>
  </si>
  <si>
    <t>DR2640100036</t>
  </si>
  <si>
    <t>Scrap Empty Oil Drum/ Barrel</t>
  </si>
  <si>
    <t>WATAN SCRAP TRADERS</t>
  </si>
  <si>
    <t>DR2640100042</t>
  </si>
  <si>
    <t>Scrap of 132 KV Wave Trap</t>
  </si>
  <si>
    <t>DR2640100037</t>
  </si>
  <si>
    <t>Mix Scrap (Tower angles &amp; 0.2 ACSR Condutor pieces)</t>
  </si>
  <si>
    <t>MT</t>
  </si>
  <si>
    <t>M I SCRAP TRADERS</t>
  </si>
  <si>
    <t>DR2640100043</t>
  </si>
  <si>
    <t>Scrap of 33 KV CT</t>
  </si>
  <si>
    <t>DR2640100038</t>
  </si>
  <si>
    <t>Scrap of AAAC Earth wire</t>
  </si>
  <si>
    <t>SAHARA ENTERPRISES</t>
  </si>
  <si>
    <t>DR2640100041</t>
  </si>
  <si>
    <t>Scrap of 220 KV CT</t>
  </si>
  <si>
    <t>DR2640100039</t>
  </si>
  <si>
    <t>Scrap of 33 KV GCB</t>
  </si>
  <si>
    <t>DR2640100046</t>
  </si>
  <si>
    <t>Scrap of Empty oil Barrels</t>
  </si>
  <si>
    <t>DR2640100022</t>
  </si>
  <si>
    <t>DR2640100027</t>
  </si>
  <si>
    <t>Scrap of 33 KV CB</t>
  </si>
  <si>
    <t>Scrap of 66 KV Isolater</t>
  </si>
  <si>
    <t>DR2640100040</t>
  </si>
  <si>
    <t>KASHYAP TRADING CO</t>
  </si>
  <si>
    <t>DR2640100025</t>
  </si>
  <si>
    <t>19.08.2026</t>
  </si>
  <si>
    <t>Scrap of 66 kv TBC C &amp; R Panel</t>
  </si>
  <si>
    <t>S M ENTERPRISES</t>
  </si>
  <si>
    <t>01.09.2026</t>
  </si>
  <si>
    <t>Bal SD O/s</t>
  </si>
  <si>
    <t>Bal FP O/s</t>
  </si>
  <si>
    <t>MSTC LIMITED  •  LIVE SEARCH   (results grouped by the value you typed, each group totalled, TOTAL MATCHED beneath them, the misses greyed in a REMAINING block, a GRAND TOTAL of both at the foot)</t>
  </si>
  <si>
    <t>HOW TO USE  ▶  click the yellow box B3 and type - a lot number (1874), part of one (187), a buyer (NATIONAL), part of a buyer name, a lot name (COPPER).   •   WILDCARD / MATCH ANY - separate values with a comma or a slash:   1874, 1923, OMKAR   or   1874 / 1923    - and every lot containing ANY of them lights up.   •   COLUMN SEARCHES - type above any column header in row 4; comma or slash means ANY value in that column, * matches any text and ? matches one character.  Filters entered in different columns are combined as ALL.   •   FACETED / FILTERED - separate them with + or &amp;:   NATIONAL + COPPER   - and a lot lights up only if it matches EVERY facet.   •   the two mix:   OMKAR, STERLING + COPPER   = (OMKAR or STERLING) and COPPER.   Up to 8 values, empty ones ignored, spaces around a separator are fine.  •   THE RESULT IS GROUPED BY THE VALUE YOU TYPED: every value gets its own block of lots with a shaded ∑ total row beneath it, then a blue TOTAL MATCHED row adds every group up at once - the grand total of the rows your search actually hit, sitting right beneath them.  Under that a greyed REMAINING block holds the lots that did not match, with its own total, and the green GRAND TOTAL of both sits at the foot.  A lot matching two values is counted under the first one only, so TOTAL MATCHED + REMAINING always equals GRAND TOTAL, and with nothing typed the matched row is the whole list.   •   clear the box and all 37 come back in one ALL LOTS block.   •   cell F3 narrows what the text is looked for in (lot no. + buyer + name by default).   •   matching is contains, not case sensitive.   •   nothing here is typed in: every figure is a live link to Final Calculation Sheet.   •   columns AK..CU are hidden helpers.   •   use the +/- outline control above columns D:H to expand/collapse Lot Name through Rate under Buyer.   •   type BLANK or (blank) in a search field to match empty cells.   •   column fields also accept + or &amp; for ALL facets; comma or / remains ANY.</t>
  </si>
  <si>
    <t>🔍  SEARCH  ▸</t>
  </si>
  <si>
    <t>SEARCH IN  ▸</t>
  </si>
  <si>
    <t>Lot No. + Buyer + Name</t>
  </si>
  <si>
    <t>MATCHES  ▸</t>
  </si>
  <si>
    <t>the text this lot is searched in</t>
  </si>
  <si>
    <t>1 = this lot matches the search box</t>
  </si>
  <si>
    <t>the 'search in' list</t>
  </si>
  <si>
    <t>the box with &amp; -&gt; + and / -&gt; ,</t>
  </si>
  <si>
    <t>term 1 - rows 4..9: text left, delimiter pos, the term, delimiter, running facet, facet no.</t>
  </si>
  <si>
    <t>#</t>
  </si>
  <si>
    <t>Service Charge to MSTC</t>
  </si>
  <si>
    <t>Net Service Charge (post TDS 194H)</t>
  </si>
  <si>
    <t>Date of Receipt (col V)</t>
  </si>
  <si>
    <t>Date of Receipt (col Y)</t>
  </si>
  <si>
    <t>Invoice No.</t>
  </si>
  <si>
    <t>Payment Status</t>
  </si>
  <si>
    <t xml:space="preserve">1876, 1923, national e </t>
  </si>
  <si>
    <t>drum, barrel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</si>
</sst>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;\(#,##0\)"/>
    <numFmt numFmtId="165" formatCode="_ * #,##0_ ;_ * \-#,##0_ ;_ * \-??_ ;_ @_ "/>
  </numFmts>
  <fonts count="20" x14ac:knownFonts="1">
    <font>
      <sz val="11"/>
      <color theme="1"/>
      <name val="Calibri"/>
      <family val="2"/>
      <charset val="1"/>
    </font>
    <font>
      <b/>
      <sz val="13"/>
      <name val="Arial"/>
      <family val="2"/>
      <charset val="1"/>
    </font>
    <font>
      <b/>
      <sz val="11"/>
      <color theme="1"/>
      <name val="Calibri"/>
      <family val="2"/>
      <charset val="1"/>
    </font>
    <font>
      <b/>
      <sz val="9"/>
      <color theme="1"/>
      <name val="Calibri"/>
      <family val="2"/>
      <charset val="1"/>
    </font>
    <font>
      <b/>
      <sz val="10"/>
      <color theme="1"/>
      <name val="Arial"/>
      <family val="2"/>
      <charset val="1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b/>
      <sz val="15"/>
      <color rgb="FFFFFFFF"/>
      <name val="Calibri"/>
    </font>
    <font>
      <i/>
      <sz val="9"/>
      <color rgb="FF1F3864"/>
      <name val="Calibri"/>
    </font>
    <font>
      <b/>
      <sz val="11"/>
      <color rgb="FFFFFFFF"/>
      <name val="Calibri"/>
    </font>
    <font>
      <b/>
      <sz val="13"/>
      <color rgb="FF1F3864"/>
      <name val="Calibri"/>
    </font>
    <font>
      <b/>
      <sz val="10"/>
      <color rgb="FFFFFFFF"/>
      <name val="Calibri"/>
    </font>
    <font>
      <b/>
      <sz val="10"/>
      <color rgb="FF1F3864"/>
      <name val="Calibri"/>
    </font>
    <font>
      <b/>
      <sz val="12"/>
      <color rgb="FF1F3864"/>
      <name val="Calibri"/>
    </font>
    <font>
      <b/>
      <sz val="9"/>
      <color rgb="FFFFFFFF"/>
      <name val="Calibri"/>
    </font>
    <font>
      <b/>
      <sz val="9"/>
      <color rgb="FF666666"/>
      <name val="Calibri"/>
    </font>
    <font>
      <b/>
      <sz val="10"/>
      <color rgb="FF333333"/>
      <name val="Calibri"/>
    </font>
    <font>
      <sz val="10"/>
      <color rgb="FF333333"/>
      <name val="Calibri"/>
    </font>
    <font>
      <b/>
      <sz val="10"/>
      <name val="Calibri"/>
    </font>
    <font>
      <i/>
      <sz val="8"/>
      <color rgb="FF808080"/>
      <name val="Calibri"/>
    </font>
  </fonts>
  <fills count="13">
    <fill>
      <patternFill patternType="none"/>
    </fill>
    <fill>
      <patternFill patternType="gray125"/>
    </fill>
    <fill>
      <patternFill patternType="solid">
        <fgColor theme="0"/>
        <bgColor rgb="FFFFFFCC"/>
      </patternFill>
    </fill>
    <fill>
      <patternFill patternType="solid">
        <fgColor theme="2" tint="-9.9978637043366805E-2"/>
        <bgColor rgb="FFCCCCFF"/>
      </patternFill>
    </fill>
    <fill>
      <patternFill patternType="solid">
        <fgColor rgb="FF1F3864"/>
        <bgColor rgb="FF1F3864"/>
      </patternFill>
    </fill>
    <fill>
      <patternFill patternType="solid">
        <fgColor rgb="FFFFF2CC"/>
        <bgColor rgb="FFFFF2CC"/>
      </patternFill>
    </fill>
    <fill>
      <patternFill patternType="solid">
        <fgColor rgb="FFFFFF00"/>
        <bgColor rgb="FFFFFF00"/>
      </patternFill>
    </fill>
    <fill>
      <patternFill patternType="solid">
        <fgColor rgb="FF404040"/>
        <bgColor rgb="FF404040"/>
      </patternFill>
    </fill>
    <fill>
      <patternFill patternType="solid">
        <fgColor rgb="FFFFE699"/>
        <bgColor rgb="FFFFE699"/>
      </patternFill>
    </fill>
    <fill>
      <patternFill patternType="solid">
        <fgColor rgb="FFDDEBF7"/>
        <bgColor rgb="FFDDEBF7"/>
      </patternFill>
    </fill>
    <fill>
      <patternFill patternType="solid">
        <fgColor rgb="FF1F4E79"/>
        <bgColor rgb="FF1F4E79"/>
      </patternFill>
    </fill>
    <fill>
      <patternFill patternType="solid">
        <fgColor rgb="FF2E75B6"/>
        <bgColor rgb="FF2E75B6"/>
      </patternFill>
    </fill>
    <fill>
      <patternFill patternType="solid">
        <fgColor rgb="FF203864"/>
        <bgColor rgb="FF203864"/>
      </patternFill>
    </fill>
  </fills>
  <borders count="19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rgb="FF808080"/>
      </left>
      <right style="medium">
        <color rgb="FF808080"/>
      </right>
      <top style="medium">
        <color rgb="FF808080"/>
      </top>
      <bottom style="medium">
        <color rgb="FF808080"/>
      </bottom>
      <diagonal/>
    </border>
    <border>
      <left style="thin">
        <color rgb="FFD0D0D0"/>
      </left>
      <right style="thin">
        <color rgb="FFD0D0D0"/>
      </right>
      <top style="medium">
        <color rgb="FF808080"/>
      </top>
      <bottom style="medium">
        <color rgb="FF808080"/>
      </bottom>
      <diagonal/>
    </border>
  </borders>
  <cellStyleXfs count="1">
    <xf numFmtId="0" fontId="0" fillId="0" borderId="0"/>
  </cellStyleXfs>
  <cellXfs count="82">
    <xf numFmtId="0" fontId="0" fillId="0" borderId="0" xfId="0"/>
    <xf numFmtId="0" fontId="0" fillId="0" borderId="0" xfId="0" applyAlignment="1">
      <alignment wrapText="1"/>
    </xf>
    <xf numFmtId="0" fontId="0" fillId="2" borderId="0" xfId="0" applyFill="1"/>
    <xf numFmtId="0" fontId="1" fillId="0" borderId="0" xfId="0" applyFont="1" applyAlignment="1">
      <alignment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left" vertical="center" wrapText="1"/>
    </xf>
    <xf numFmtId="164" fontId="5" fillId="0" borderId="5" xfId="0" applyNumberFormat="1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164" fontId="5" fillId="0" borderId="5" xfId="0" applyNumberFormat="1" applyFont="1" applyBorder="1" applyAlignment="1">
      <alignment horizontal="right" vertical="center" wrapText="1"/>
    </xf>
    <xf numFmtId="164" fontId="5" fillId="0" borderId="5" xfId="0" applyNumberFormat="1" applyFont="1" applyBorder="1" applyAlignment="1">
      <alignment horizontal="right" vertical="center"/>
    </xf>
    <xf numFmtId="3" fontId="5" fillId="0" borderId="5" xfId="0" applyNumberFormat="1" applyFont="1" applyBorder="1" applyAlignment="1">
      <alignment horizontal="right" vertical="center"/>
    </xf>
    <xf numFmtId="9" fontId="5" fillId="0" borderId="5" xfId="0" applyNumberFormat="1" applyFont="1" applyBorder="1" applyAlignment="1">
      <alignment horizontal="right" vertical="center"/>
    </xf>
    <xf numFmtId="165" fontId="6" fillId="2" borderId="5" xfId="0" applyNumberFormat="1" applyFont="1" applyFill="1" applyBorder="1" applyAlignment="1">
      <alignment vertical="center"/>
    </xf>
    <xf numFmtId="164" fontId="5" fillId="2" borderId="5" xfId="0" applyNumberFormat="1" applyFont="1" applyFill="1" applyBorder="1" applyAlignment="1">
      <alignment horizontal="right" vertical="center"/>
    </xf>
    <xf numFmtId="164" fontId="5" fillId="2" borderId="6" xfId="0" applyNumberFormat="1" applyFont="1" applyFill="1" applyBorder="1" applyAlignment="1">
      <alignment horizontal="right" vertical="center"/>
    </xf>
    <xf numFmtId="1" fontId="5" fillId="2" borderId="6" xfId="0" applyNumberFormat="1" applyFont="1" applyFill="1" applyBorder="1" applyAlignment="1">
      <alignment horizontal="center" vertical="center"/>
    </xf>
    <xf numFmtId="164" fontId="5" fillId="2" borderId="7" xfId="0" applyNumberFormat="1" applyFont="1" applyFill="1" applyBorder="1" applyAlignment="1">
      <alignment horizontal="right" vertical="center"/>
    </xf>
    <xf numFmtId="0" fontId="5" fillId="0" borderId="8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left" vertical="center" wrapText="1"/>
    </xf>
    <xf numFmtId="164" fontId="5" fillId="0" borderId="6" xfId="0" applyNumberFormat="1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164" fontId="5" fillId="0" borderId="6" xfId="0" applyNumberFormat="1" applyFont="1" applyBorder="1" applyAlignment="1">
      <alignment horizontal="right" vertical="center" wrapText="1"/>
    </xf>
    <xf numFmtId="164" fontId="5" fillId="0" borderId="6" xfId="0" applyNumberFormat="1" applyFont="1" applyBorder="1" applyAlignment="1">
      <alignment horizontal="right" vertical="center"/>
    </xf>
    <xf numFmtId="3" fontId="5" fillId="0" borderId="6" xfId="0" applyNumberFormat="1" applyFont="1" applyBorder="1" applyAlignment="1">
      <alignment horizontal="right" vertical="center"/>
    </xf>
    <xf numFmtId="9" fontId="5" fillId="0" borderId="6" xfId="0" applyNumberFormat="1" applyFont="1" applyBorder="1" applyAlignment="1">
      <alignment horizontal="right" vertical="center"/>
    </xf>
    <xf numFmtId="165" fontId="6" fillId="2" borderId="6" xfId="0" applyNumberFormat="1" applyFont="1" applyFill="1" applyBorder="1" applyAlignment="1">
      <alignment vertical="center"/>
    </xf>
    <xf numFmtId="0" fontId="5" fillId="0" borderId="9" xfId="0" applyFont="1" applyBorder="1" applyAlignment="1">
      <alignment horizontal="center" vertical="center" wrapText="1"/>
    </xf>
    <xf numFmtId="0" fontId="5" fillId="0" borderId="10" xfId="0" applyFont="1" applyBorder="1" applyAlignment="1">
      <alignment horizontal="left" vertical="center" wrapText="1"/>
    </xf>
    <xf numFmtId="164" fontId="5" fillId="0" borderId="10" xfId="0" applyNumberFormat="1" applyFont="1" applyBorder="1" applyAlignment="1">
      <alignment horizontal="center" vertical="center" wrapText="1"/>
    </xf>
    <xf numFmtId="0" fontId="5" fillId="0" borderId="10" xfId="0" applyFont="1" applyBorder="1" applyAlignment="1">
      <alignment horizontal="center" vertical="center" wrapText="1"/>
    </xf>
    <xf numFmtId="164" fontId="5" fillId="0" borderId="10" xfId="0" applyNumberFormat="1" applyFont="1" applyBorder="1" applyAlignment="1">
      <alignment horizontal="right" vertical="center" wrapText="1"/>
    </xf>
    <xf numFmtId="164" fontId="5" fillId="0" borderId="10" xfId="0" applyNumberFormat="1" applyFont="1" applyBorder="1" applyAlignment="1">
      <alignment horizontal="right" vertical="center"/>
    </xf>
    <xf numFmtId="3" fontId="5" fillId="0" borderId="10" xfId="0" applyNumberFormat="1" applyFont="1" applyBorder="1" applyAlignment="1">
      <alignment horizontal="right" vertical="center"/>
    </xf>
    <xf numFmtId="9" fontId="5" fillId="0" borderId="10" xfId="0" applyNumberFormat="1" applyFont="1" applyBorder="1" applyAlignment="1">
      <alignment horizontal="right" vertical="center"/>
    </xf>
    <xf numFmtId="165" fontId="6" fillId="2" borderId="10" xfId="0" applyNumberFormat="1" applyFont="1" applyFill="1" applyBorder="1" applyAlignment="1">
      <alignment vertical="center"/>
    </xf>
    <xf numFmtId="0" fontId="0" fillId="0" borderId="11" xfId="0" applyBorder="1"/>
    <xf numFmtId="0" fontId="0" fillId="0" borderId="12" xfId="0" applyBorder="1"/>
    <xf numFmtId="164" fontId="5" fillId="0" borderId="12" xfId="0" applyNumberFormat="1" applyFont="1" applyBorder="1" applyAlignment="1">
      <alignment horizontal="right" vertical="center" wrapText="1"/>
    </xf>
    <xf numFmtId="164" fontId="5" fillId="0" borderId="12" xfId="0" applyNumberFormat="1" applyFont="1" applyBorder="1" applyAlignment="1">
      <alignment horizontal="right" vertical="center"/>
    </xf>
    <xf numFmtId="0" fontId="0" fillId="0" borderId="13" xfId="0" applyBorder="1"/>
    <xf numFmtId="0" fontId="0" fillId="0" borderId="14" xfId="0" applyBorder="1"/>
    <xf numFmtId="0" fontId="0" fillId="0" borderId="15" xfId="0" applyBorder="1"/>
    <xf numFmtId="164" fontId="5" fillId="0" borderId="15" xfId="0" applyNumberFormat="1" applyFont="1" applyBorder="1" applyAlignment="1">
      <alignment horizontal="right" vertical="center" wrapText="1"/>
    </xf>
    <xf numFmtId="164" fontId="5" fillId="0" borderId="15" xfId="0" applyNumberFormat="1" applyFont="1" applyBorder="1" applyAlignment="1">
      <alignment horizontal="right" vertical="center"/>
    </xf>
    <xf numFmtId="3" fontId="5" fillId="0" borderId="15" xfId="0" applyNumberFormat="1" applyFont="1" applyBorder="1" applyAlignment="1">
      <alignment horizontal="right" vertical="center"/>
    </xf>
    <xf numFmtId="164" fontId="6" fillId="0" borderId="15" xfId="0" applyNumberFormat="1" applyFont="1" applyBorder="1"/>
    <xf numFmtId="165" fontId="6" fillId="2" borderId="15" xfId="0" applyNumberFormat="1" applyFont="1" applyFill="1" applyBorder="1" applyAlignment="1">
      <alignment horizontal="right" vertical="center"/>
    </xf>
    <xf numFmtId="164" fontId="0" fillId="0" borderId="15" xfId="0" applyNumberFormat="1" applyBorder="1"/>
    <xf numFmtId="0" fontId="0" fillId="0" borderId="16" xfId="0" applyBorder="1"/>
    <xf numFmtId="164" fontId="0" fillId="0" borderId="0" xfId="0" applyNumberFormat="1"/>
    <xf numFmtId="0" fontId="0" fillId="2" borderId="0" xfId="0" applyFill="1" applyAlignment="1">
      <alignment horizontal="right" vertical="center"/>
    </xf>
    <xf numFmtId="0" fontId="0" fillId="0" borderId="0" xfId="0" applyAlignment="1">
      <alignment horizontal="right"/>
    </xf>
    <xf numFmtId="164" fontId="0" fillId="2" borderId="0" xfId="0" applyNumberFormat="1" applyFill="1"/>
    <xf numFmtId="0" fontId="9" fillId="4" borderId="0" xfId="0" applyFont="1" applyFill="1" applyAlignment="1">
      <alignment horizontal="right" vertical="center"/>
    </xf>
    <xf numFmtId="0" fontId="11" fillId="7" borderId="0" xfId="0" applyFont="1" applyFill="1" applyAlignment="1">
      <alignment horizontal="right" vertical="center"/>
    </xf>
    <xf numFmtId="0" fontId="12" fillId="8" borderId="17" xfId="0" applyFont="1" applyFill="1" applyBorder="1" applyAlignment="1">
      <alignment horizontal="center" vertical="center" wrapText="1"/>
    </xf>
    <xf numFmtId="0" fontId="13" fillId="9" borderId="17" xfId="0" applyFont="1" applyFill="1" applyBorder="1" applyAlignment="1">
      <alignment horizontal="center" vertical="center" wrapText="1"/>
    </xf>
    <xf numFmtId="0" fontId="19" fillId="0" borderId="0" xfId="0" applyFont="1"/>
    <xf numFmtId="0" fontId="14" fillId="10" borderId="18" xfId="0" applyFont="1" applyFill="1" applyBorder="1" applyAlignment="1">
      <alignment horizontal="center" vertical="center" wrapText="1"/>
    </xf>
    <xf numFmtId="0" fontId="14" fillId="11" borderId="18" xfId="0" applyFont="1" applyFill="1" applyBorder="1" applyAlignment="1">
      <alignment horizontal="center" vertical="center" wrapText="1"/>
    </xf>
    <xf numFmtId="0" fontId="14" fillId="12" borderId="18" xfId="0" applyFont="1" applyFill="1" applyBorder="1" applyAlignment="1">
      <alignment horizontal="center" vertical="center" wrapText="1"/>
    </xf>
    <xf numFmtId="1" fontId="15" fillId="0" borderId="0" xfId="0" applyNumberFormat="1" applyFont="1" applyAlignment="1">
      <alignment horizontal="center" vertical="center" wrapText="1"/>
    </xf>
    <xf numFmtId="0" fontId="16" fillId="0" borderId="0" xfId="0" applyFont="1" applyAlignment="1">
      <alignment horizontal="left" vertical="center"/>
    </xf>
    <xf numFmtId="0" fontId="17" fillId="0" borderId="0" xfId="0" applyFont="1" applyAlignment="1">
      <alignment horizontal="left" vertical="center"/>
    </xf>
    <xf numFmtId="164" fontId="17" fillId="0" borderId="0" xfId="0" applyNumberFormat="1" applyFont="1" applyAlignment="1">
      <alignment horizontal="right" vertical="center"/>
    </xf>
    <xf numFmtId="3" fontId="17" fillId="0" borderId="0" xfId="0" applyNumberFormat="1" applyFont="1" applyAlignment="1">
      <alignment horizontal="right" vertical="center"/>
    </xf>
    <xf numFmtId="9" fontId="17" fillId="0" borderId="0" xfId="0" applyNumberFormat="1" applyFont="1" applyAlignment="1">
      <alignment horizontal="right" vertical="center"/>
    </xf>
    <xf numFmtId="165" fontId="17" fillId="0" borderId="0" xfId="0" applyNumberFormat="1" applyFont="1" applyAlignment="1">
      <alignment horizontal="right" vertical="center"/>
    </xf>
    <xf numFmtId="1" fontId="17" fillId="0" borderId="0" xfId="0" applyNumberFormat="1" applyFont="1" applyAlignment="1">
      <alignment horizontal="right" vertical="center"/>
    </xf>
    <xf numFmtId="0" fontId="18" fillId="0" borderId="0" xfId="0" applyFont="1" applyAlignment="1">
      <alignment horizontal="center" vertical="center" wrapText="1"/>
    </xf>
    <xf numFmtId="0" fontId="8" fillId="5" borderId="0" xfId="0" applyFont="1" applyFill="1" applyAlignment="1">
      <alignment horizontal="left" vertical="center" wrapText="1"/>
    </xf>
    <xf numFmtId="0" fontId="0" fillId="0" borderId="0" xfId="0"/>
    <xf numFmtId="0" fontId="10" fillId="6" borderId="17" xfId="0" applyFont="1" applyFill="1" applyBorder="1" applyAlignment="1">
      <alignment horizontal="left" vertical="center" indent="1"/>
    </xf>
    <xf numFmtId="0" fontId="0" fillId="0" borderId="17" xfId="0" applyBorder="1"/>
    <xf numFmtId="0" fontId="12" fillId="9" borderId="0" xfId="0" applyFont="1" applyFill="1" applyAlignment="1">
      <alignment horizontal="left" vertical="center" indent="1"/>
    </xf>
    <xf numFmtId="0" fontId="7" fillId="4" borderId="0" xfId="0" applyFont="1" applyFill="1" applyAlignment="1">
      <alignment horizontal="left" vertical="center" indent="1"/>
    </xf>
  </cellXfs>
  <cellStyles count="1">
    <cellStyle name="Normal" xfId="0" builtinId="0"/>
  </cellStyles>
  <dxfs count="11">
    <dxf>
      <border>
        <left style="thin">
          <color rgb="FFD0D0D0"/>
        </left>
        <right style="thin">
          <color rgb="FFD0D0D0"/>
        </right>
        <top style="thin">
          <color rgb="FFD0D0D0"/>
        </top>
        <bottom style="thin">
          <color rgb="FFD0D0D0"/>
        </bottom>
      </border>
    </dxf>
    <dxf>
      <font>
        <b/>
        <color rgb="FF9C0006"/>
      </font>
      <fill>
        <patternFill patternType="solid">
          <fgColor rgb="FFFFC7CE"/>
          <bgColor rgb="FFFFC7CE"/>
        </patternFill>
      </fill>
    </dxf>
    <dxf>
      <font>
        <b/>
        <color rgb="FF006100"/>
      </font>
      <fill>
        <patternFill patternType="solid">
          <fgColor rgb="FFC6EFCE"/>
          <bgColor rgb="FFC6EFCE"/>
        </patternFill>
      </fill>
    </dxf>
    <dxf>
      <font>
        <b/>
        <color rgb="FF9C0006"/>
      </font>
    </dxf>
    <dxf>
      <fill>
        <patternFill patternType="solid">
          <fgColor rgb="FFF4F9FD"/>
          <bgColor rgb="FFF4F9FD"/>
        </patternFill>
      </fill>
    </dxf>
    <dxf>
      <fill>
        <patternFill patternType="solid">
          <fgColor rgb="FFE2EFDA"/>
          <bgColor rgb="FFE2EFDA"/>
        </patternFill>
      </fill>
    </dxf>
    <dxf>
      <font>
        <b/>
        <color rgb="FFFFFFFF"/>
      </font>
      <fill>
        <patternFill patternType="solid">
          <fgColor rgb="FF1F3864"/>
          <bgColor rgb="FF1F3864"/>
        </patternFill>
      </fill>
    </dxf>
    <dxf>
      <font>
        <b/>
        <color rgb="FFFFFFFF"/>
      </font>
      <fill>
        <patternFill patternType="solid">
          <fgColor rgb="FF2E75B6"/>
          <bgColor rgb="FF2E75B6"/>
        </patternFill>
      </fill>
    </dxf>
    <dxf>
      <font>
        <b/>
        <color rgb="FFFFFFFF"/>
      </font>
      <fill>
        <patternFill patternType="solid">
          <fgColor rgb="FF375623"/>
          <bgColor rgb="FF375623"/>
        </patternFill>
      </fill>
    </dxf>
    <dxf>
      <font>
        <b/>
        <color rgb="FFFFFFFF"/>
      </font>
      <fill>
        <patternFill patternType="solid">
          <fgColor rgb="FF666666"/>
          <bgColor rgb="FF666666"/>
        </patternFill>
      </fill>
    </dxf>
    <dxf>
      <font>
        <color rgb="FF666666"/>
      </font>
      <fill>
        <patternFill patternType="solid">
          <fgColor rgb="FFEDEDED"/>
          <bgColor rgb="FFEDEDED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0CECE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'1.0' encoding='utf-8'?>
<ns0:Relationships xmlns:ns0="http://schemas.openxmlformats.org/package/2006/relationships"><ns0:Relationship Id="rId3" Type="http://schemas.openxmlformats.org/officeDocument/2006/relationships/theme" Target="theme/theme1.xml" /><ns0:Relationship Id="rId2" Type="http://schemas.openxmlformats.org/officeDocument/2006/relationships/worksheet" Target="worksheets/sheet2.xml" /><ns0:Relationship Id="rId1" Type="http://schemas.openxmlformats.org/officeDocument/2006/relationships/worksheet" Target="worksheets/sheet1.xml" /><ns0:Relationship Id="rId5" Type="http://schemas.openxmlformats.org/officeDocument/2006/relationships/sharedStrings" Target="sharedStrings.xml" /><ns0:Relationship Id="rId4" Type="http://schemas.openxmlformats.org/officeDocument/2006/relationships/styles" Target="styles.xml" /><ns0:Relationship Id="rId6" Type="http://schemas.microsoft.com/office/2006/relationships/vbaProject" Target="vbaProject.bin" /></ns0:Relationships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</a:majorFont>
      <a:minorFont>
        <a:latin typeface="Calibri" panose="020F0502020204030204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G46"/>
  <sheetViews>
    <sheetView showGridLines="0" zoomScale="85" zoomScaleNormal="85" workbookViewId="0">
      <pane xSplit="7" ySplit="3" topLeftCell="U19" activePane="bottomRight" state="frozen"/>
      <selection pane="topRight"/>
      <selection pane="bottomLeft"/>
      <selection pane="bottomRight"/>
    </sheetView>
  </sheetViews>
  <sheetFormatPr defaultColWidth="8.7109375" defaultRowHeight="15" x14ac:dyDescent="0.25"/>
  <cols>
    <col min="1" max="1" width="13.7109375" bestFit="1" customWidth="1"/>
    <col min="2" max="2" width="29.42578125" customWidth="1"/>
    <col min="3" max="3" width="9.140625" customWidth="1"/>
    <col min="4" max="4" width="9.42578125" customWidth="1"/>
    <col min="5" max="5" width="10" bestFit="1" customWidth="1"/>
    <col min="6" max="6" width="12.42578125" bestFit="1" customWidth="1"/>
    <col min="7" max="7" width="25" customWidth="1"/>
    <col min="8" max="8" width="15.5703125" bestFit="1" customWidth="1"/>
    <col min="9" max="9" width="9.85546875" bestFit="1" customWidth="1"/>
    <col min="10" max="10" width="17.140625" bestFit="1" customWidth="1"/>
    <col min="11" max="11" width="9.5703125" bestFit="1" customWidth="1"/>
    <col min="12" max="12" width="6.85546875" customWidth="1"/>
    <col min="13" max="13" width="8.28515625" customWidth="1"/>
    <col min="14" max="14" width="6.7109375" customWidth="1"/>
    <col min="15" max="15" width="9.140625" customWidth="1"/>
    <col min="16" max="16" width="8.28515625" style="1" customWidth="1"/>
    <col min="17" max="17" width="8.140625" style="1" customWidth="1"/>
    <col min="18" max="18" width="8.140625" customWidth="1"/>
    <col min="19" max="19" width="11.5703125" customWidth="1"/>
    <col min="20" max="20" width="9.85546875" customWidth="1"/>
    <col min="21" max="21" width="10" style="2" customWidth="1"/>
    <col min="22" max="22" width="10.140625" style="2" customWidth="1"/>
    <col min="23" max="23" width="10.7109375" customWidth="1"/>
    <col min="24" max="24" width="10.5703125" customWidth="1"/>
    <col min="25" max="28" width="10.140625" customWidth="1"/>
    <col min="29" max="29" width="14.140625" bestFit="1" customWidth="1"/>
    <col min="30" max="30" width="11.5703125" customWidth="1"/>
    <col min="31" max="31" width="13.7109375" customWidth="1"/>
    <col min="32" max="32" width="14.140625" customWidth="1"/>
    <col min="33" max="33" width="10.140625" customWidth="1"/>
  </cols>
  <sheetData>
    <row r="1" spans="1:33" ht="15.75" customHeight="1" x14ac:dyDescent="0.25">
      <c r="A1" s="3"/>
      <c r="B1" s="3" t="s">
        <v>0</v>
      </c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</row>
    <row r="2" spans="1:33" ht="14.25" customHeight="1" x14ac:dyDescent="0.25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</row>
    <row r="3" spans="1:33" ht="57.75" customHeight="1" x14ac:dyDescent="0.25">
      <c r="A3" s="4" t="s">
        <v>1</v>
      </c>
      <c r="B3" s="5" t="s">
        <v>140</v>
      </c>
      <c r="C3" s="5" t="s">
        <v>3</v>
      </c>
      <c r="D3" s="5" t="s">
        <v>4</v>
      </c>
      <c r="E3" s="5" t="s">
        <v>5</v>
      </c>
      <c r="F3" s="5" t="s">
        <v>6</v>
      </c>
      <c r="G3" s="5" t="s">
        <v>7</v>
      </c>
      <c r="H3" s="5" t="s">
        <v>8</v>
      </c>
      <c r="I3" s="5" t="s">
        <v>9</v>
      </c>
      <c r="J3" s="6" t="s">
        <v>10</v>
      </c>
      <c r="K3" s="5" t="s">
        <v>11</v>
      </c>
      <c r="L3" s="6" t="s">
        <v>12</v>
      </c>
      <c r="M3" s="6" t="s">
        <v>13</v>
      </c>
      <c r="N3" s="6" t="s">
        <v>14</v>
      </c>
      <c r="O3" s="7" t="s">
        <v>15</v>
      </c>
      <c r="P3" s="6" t="s">
        <v>16</v>
      </c>
      <c r="Q3" s="6" t="s">
        <v>17</v>
      </c>
      <c r="R3" s="6" t="s">
        <v>18</v>
      </c>
      <c r="S3" s="6" t="s">
        <v>19</v>
      </c>
      <c r="T3" s="6" t="s">
        <v>20</v>
      </c>
      <c r="U3" s="6" t="s">
        <v>21</v>
      </c>
      <c r="V3" s="6" t="s">
        <v>22</v>
      </c>
      <c r="W3" s="8" t="s">
        <v>23</v>
      </c>
      <c r="X3" s="6" t="s">
        <v>24</v>
      </c>
      <c r="Y3" s="6" t="s">
        <v>22</v>
      </c>
      <c r="Z3" s="6" t="s">
        <v>25</v>
      </c>
      <c r="AA3" s="6" t="s">
        <v>26</v>
      </c>
      <c r="AB3" s="6" t="s">
        <v>27</v>
      </c>
      <c r="AC3" s="6" t="s">
        <v>28</v>
      </c>
      <c r="AD3" s="6" t="s">
        <v>29</v>
      </c>
      <c r="AE3" s="6" t="s">
        <v>30</v>
      </c>
      <c r="AF3" s="6" t="s">
        <v>31</v>
      </c>
      <c r="AG3" s="9" t="s">
        <v>32</v>
      </c>
    </row>
    <row r="4" spans="1:33" ht="39" customHeight="1" x14ac:dyDescent="0.25">
      <c r="A4" s="10">
        <v>669</v>
      </c>
      <c r="B4" s="11" t="s">
        <v>6</v>
      </c>
      <c r="C4" s="12">
        <v>1181</v>
      </c>
      <c r="D4" s="13">
        <v>21980</v>
      </c>
      <c r="E4" s="13" t="s">
        <v>33</v>
      </c>
      <c r="F4" s="13">
        <v>1763</v>
      </c>
      <c r="G4" s="11" t="s">
        <v>34</v>
      </c>
      <c r="H4" s="14">
        <v>790089</v>
      </c>
      <c r="I4" s="14">
        <f t="shared" ref="I4:I40" si="0">ROUND(H4*18%,0)</f>
        <v>142216</v>
      </c>
      <c r="J4" s="14">
        <f t="shared" ref="J4:J40" si="1">+H4+I4</f>
        <v>932305</v>
      </c>
      <c r="K4" s="14">
        <f t="shared" ref="K4:K40" si="2">ROUND((H4+I4)*2%,0)</f>
        <v>18646</v>
      </c>
      <c r="L4" s="15">
        <f t="shared" ref="L4:L40" si="3">H4*0.1%</f>
        <v>790.08900000000006</v>
      </c>
      <c r="M4" s="15">
        <f t="shared" ref="M4:M40" si="4">H4*2.25%*118%</f>
        <v>20976.862949999999</v>
      </c>
      <c r="N4" s="16">
        <f t="shared" ref="N4:N40" si="5">H4*2.25%*2%</f>
        <v>355.54005000000001</v>
      </c>
      <c r="O4" s="15">
        <f t="shared" ref="O4:O40" si="6">M4-N4</f>
        <v>20621.322899999999</v>
      </c>
      <c r="P4" s="15">
        <f t="shared" ref="P4:P40" si="7">ROUND(O4+L4,0)</f>
        <v>21411</v>
      </c>
      <c r="Q4" s="17">
        <v>0.02</v>
      </c>
      <c r="R4" s="15">
        <f t="shared" ref="R4:R40" si="8">ROUND(H4*Q4,0)</f>
        <v>15802</v>
      </c>
      <c r="S4" s="14">
        <f t="shared" ref="S4:S40" si="9">ROUND(H4*117.65%-R4,0)</f>
        <v>913738</v>
      </c>
      <c r="T4" s="15">
        <f t="shared" ref="T4:T40" si="10">ROUND(H4*25%,0)</f>
        <v>197522</v>
      </c>
      <c r="U4" s="18">
        <v>197522</v>
      </c>
      <c r="V4" s="15" t="s">
        <v>35</v>
      </c>
      <c r="W4" s="15">
        <f t="shared" ref="W4:W40" si="11">ROUND(H4*92.65%-R4,0)</f>
        <v>716215</v>
      </c>
      <c r="X4" s="15">
        <v>716216</v>
      </c>
      <c r="Y4" s="15" t="s">
        <v>36</v>
      </c>
      <c r="Z4" s="15">
        <f t="shared" ref="Z4:Z40" ca="1" si="12">IF(OR(Y4="",Y4=0),H4*0.0118*CEILING((TODAY()-DATE(2026,8,22))/7,1),IF(DATE(VALUE(RIGHT(Y4,4)),VALUE(MID(Y4,4,2)),VALUE(LEFT(Y4,2)))&lt;=DATE(2026,8,24),0,H4*0.0118*CEILING((DATE(VALUE(RIGHT(Y4,4)),VALUE(MID(Y4,4,2)),VALUE(LEFT(Y4,2)))-DATE(2026,8,22))/7,1)))</f>
        <v>0</v>
      </c>
      <c r="AA4" s="15"/>
      <c r="AB4" s="15"/>
      <c r="AC4" s="15">
        <f t="shared" ref="AC4:AC40" si="13">U4+X4+AA4</f>
        <v>913738</v>
      </c>
      <c r="AD4" s="19">
        <f t="shared" ref="AD4:AD40" si="14">S4-AC4</f>
        <v>0</v>
      </c>
      <c r="AE4" s="20" t="s">
        <v>37</v>
      </c>
      <c r="AF4" s="21">
        <v>1800003271</v>
      </c>
      <c r="AG4" s="22" t="s">
        <v>35</v>
      </c>
    </row>
    <row r="5" spans="1:33" ht="14.25" customHeight="1" x14ac:dyDescent="0.25">
      <c r="A5" s="23">
        <v>270</v>
      </c>
      <c r="B5" s="24" t="s">
        <v>38</v>
      </c>
      <c r="C5" s="25">
        <v>580</v>
      </c>
      <c r="D5" s="26">
        <v>21977</v>
      </c>
      <c r="E5" s="26" t="s">
        <v>39</v>
      </c>
      <c r="F5" s="26">
        <v>1874</v>
      </c>
      <c r="G5" s="24" t="s">
        <v>40</v>
      </c>
      <c r="H5" s="27">
        <v>156600</v>
      </c>
      <c r="I5" s="27">
        <f t="shared" si="0"/>
        <v>28188</v>
      </c>
      <c r="J5" s="27">
        <f t="shared" si="1"/>
        <v>184788</v>
      </c>
      <c r="K5" s="27">
        <f t="shared" si="2"/>
        <v>3696</v>
      </c>
      <c r="L5" s="28">
        <f t="shared" si="3"/>
        <v>156.6</v>
      </c>
      <c r="M5" s="28">
        <f t="shared" si="4"/>
        <v>4157.7299999999996</v>
      </c>
      <c r="N5" s="29">
        <f t="shared" si="5"/>
        <v>70.47</v>
      </c>
      <c r="O5" s="28">
        <f t="shared" si="6"/>
        <v>4087.2599999999998</v>
      </c>
      <c r="P5" s="28">
        <f t="shared" si="7"/>
        <v>4244</v>
      </c>
      <c r="Q5" s="30">
        <v>0</v>
      </c>
      <c r="R5" s="28">
        <f t="shared" si="8"/>
        <v>0</v>
      </c>
      <c r="S5" s="27">
        <f t="shared" si="9"/>
        <v>184240</v>
      </c>
      <c r="T5" s="28">
        <f t="shared" si="10"/>
        <v>39150</v>
      </c>
      <c r="U5" s="31">
        <f>+T5</f>
        <v>39150</v>
      </c>
      <c r="V5" s="28" t="s">
        <v>41</v>
      </c>
      <c r="W5" s="28">
        <f t="shared" si="11"/>
        <v>145090</v>
      </c>
      <c r="X5" s="28">
        <v>145090</v>
      </c>
      <c r="Y5" s="28" t="s">
        <v>35</v>
      </c>
      <c r="Z5" s="28">
        <f t="shared" ca="1" si="12"/>
        <v>0</v>
      </c>
      <c r="AA5" s="28"/>
      <c r="AB5" s="28"/>
      <c r="AC5" s="15">
        <f t="shared" si="13"/>
        <v>184240</v>
      </c>
      <c r="AD5" s="19">
        <f t="shared" si="14"/>
        <v>0</v>
      </c>
      <c r="AE5" s="20" t="s">
        <v>42</v>
      </c>
      <c r="AF5" s="21">
        <v>1800003302</v>
      </c>
      <c r="AG5" s="22" t="s">
        <v>43</v>
      </c>
    </row>
    <row r="6" spans="1:33" ht="26.25" customHeight="1" x14ac:dyDescent="0.25">
      <c r="A6" s="23">
        <v>28</v>
      </c>
      <c r="B6" s="24" t="s">
        <v>44</v>
      </c>
      <c r="C6" s="25">
        <v>1456</v>
      </c>
      <c r="D6" s="26">
        <v>21977</v>
      </c>
      <c r="E6" s="26" t="s">
        <v>33</v>
      </c>
      <c r="F6" s="26">
        <v>1875</v>
      </c>
      <c r="G6" s="24" t="s">
        <v>45</v>
      </c>
      <c r="H6" s="27">
        <v>40768</v>
      </c>
      <c r="I6" s="27">
        <f t="shared" si="0"/>
        <v>7338</v>
      </c>
      <c r="J6" s="27">
        <f t="shared" si="1"/>
        <v>48106</v>
      </c>
      <c r="K6" s="27">
        <f t="shared" si="2"/>
        <v>962</v>
      </c>
      <c r="L6" s="28">
        <f t="shared" si="3"/>
        <v>40.768000000000001</v>
      </c>
      <c r="M6" s="28">
        <f t="shared" si="4"/>
        <v>1082.3904</v>
      </c>
      <c r="N6" s="29">
        <f t="shared" si="5"/>
        <v>18.345600000000001</v>
      </c>
      <c r="O6" s="28">
        <f t="shared" si="6"/>
        <v>1064.0447999999999</v>
      </c>
      <c r="P6" s="28">
        <f t="shared" si="7"/>
        <v>1105</v>
      </c>
      <c r="Q6" s="30">
        <v>0</v>
      </c>
      <c r="R6" s="28">
        <f t="shared" si="8"/>
        <v>0</v>
      </c>
      <c r="S6" s="27">
        <f t="shared" si="9"/>
        <v>47964</v>
      </c>
      <c r="T6" s="28">
        <f t="shared" si="10"/>
        <v>10192</v>
      </c>
      <c r="U6" s="31">
        <v>10192</v>
      </c>
      <c r="V6" s="28" t="s">
        <v>46</v>
      </c>
      <c r="W6" s="28">
        <f t="shared" si="11"/>
        <v>37772</v>
      </c>
      <c r="X6" s="28">
        <f>+W6+R6</f>
        <v>37772</v>
      </c>
      <c r="Y6" s="28" t="s">
        <v>47</v>
      </c>
      <c r="Z6" s="28">
        <f t="shared" ca="1" si="12"/>
        <v>0</v>
      </c>
      <c r="AA6" s="28"/>
      <c r="AB6" s="28"/>
      <c r="AC6" s="15">
        <f t="shared" si="13"/>
        <v>47964</v>
      </c>
      <c r="AD6" s="19">
        <f t="shared" si="14"/>
        <v>0</v>
      </c>
      <c r="AE6" s="20" t="s">
        <v>48</v>
      </c>
      <c r="AF6" s="21">
        <v>1800003346</v>
      </c>
      <c r="AG6" s="22" t="s">
        <v>43</v>
      </c>
    </row>
    <row r="7" spans="1:33" ht="39" customHeight="1" x14ac:dyDescent="0.25">
      <c r="A7" s="23">
        <v>3000</v>
      </c>
      <c r="B7" s="24" t="s">
        <v>49</v>
      </c>
      <c r="C7" s="25">
        <v>66</v>
      </c>
      <c r="D7" s="26">
        <v>21977</v>
      </c>
      <c r="E7" s="26" t="s">
        <v>33</v>
      </c>
      <c r="F7" s="26">
        <v>1876</v>
      </c>
      <c r="G7" s="24" t="s">
        <v>45</v>
      </c>
      <c r="H7" s="27">
        <v>198000</v>
      </c>
      <c r="I7" s="27">
        <f t="shared" si="0"/>
        <v>35640</v>
      </c>
      <c r="J7" s="27">
        <f t="shared" si="1"/>
        <v>233640</v>
      </c>
      <c r="K7" s="27">
        <f t="shared" si="2"/>
        <v>4673</v>
      </c>
      <c r="L7" s="28">
        <f t="shared" si="3"/>
        <v>198</v>
      </c>
      <c r="M7" s="28">
        <f t="shared" si="4"/>
        <v>5256.9</v>
      </c>
      <c r="N7" s="29">
        <f t="shared" si="5"/>
        <v>89.100000000000009</v>
      </c>
      <c r="O7" s="28">
        <f t="shared" si="6"/>
        <v>5167.7999999999993</v>
      </c>
      <c r="P7" s="28">
        <f t="shared" si="7"/>
        <v>5366</v>
      </c>
      <c r="Q7" s="30">
        <v>0</v>
      </c>
      <c r="R7" s="28">
        <f t="shared" si="8"/>
        <v>0</v>
      </c>
      <c r="S7" s="27">
        <f t="shared" si="9"/>
        <v>232947</v>
      </c>
      <c r="T7" s="28">
        <f t="shared" si="10"/>
        <v>49500</v>
      </c>
      <c r="U7" s="31">
        <v>49500</v>
      </c>
      <c r="V7" s="28" t="s">
        <v>46</v>
      </c>
      <c r="W7" s="28">
        <f t="shared" si="11"/>
        <v>183447</v>
      </c>
      <c r="X7" s="28">
        <f>+W7+R7-1</f>
        <v>183446</v>
      </c>
      <c r="Y7" s="28" t="s">
        <v>47</v>
      </c>
      <c r="Z7" s="28">
        <f t="shared" ca="1" si="12"/>
        <v>0</v>
      </c>
      <c r="AA7" s="28"/>
      <c r="AB7" s="28"/>
      <c r="AC7" s="15">
        <f t="shared" si="13"/>
        <v>232946</v>
      </c>
      <c r="AD7" s="19">
        <f t="shared" si="14"/>
        <v>1</v>
      </c>
      <c r="AE7" s="20" t="s">
        <v>50</v>
      </c>
      <c r="AF7" s="21">
        <v>1800003347</v>
      </c>
      <c r="AG7" s="22" t="s">
        <v>43</v>
      </c>
    </row>
    <row r="8" spans="1:33" ht="26.25" customHeight="1" x14ac:dyDescent="0.25">
      <c r="A8" s="23">
        <v>7253</v>
      </c>
      <c r="B8" s="24" t="s">
        <v>51</v>
      </c>
      <c r="C8" s="25">
        <v>227</v>
      </c>
      <c r="D8" s="26">
        <v>21980</v>
      </c>
      <c r="E8" s="26" t="s">
        <v>33</v>
      </c>
      <c r="F8" s="26">
        <v>1923</v>
      </c>
      <c r="G8" s="24" t="s">
        <v>52</v>
      </c>
      <c r="H8" s="27">
        <v>1646431</v>
      </c>
      <c r="I8" s="27">
        <f t="shared" si="0"/>
        <v>296358</v>
      </c>
      <c r="J8" s="27">
        <f t="shared" si="1"/>
        <v>1942789</v>
      </c>
      <c r="K8" s="27">
        <f t="shared" si="2"/>
        <v>38856</v>
      </c>
      <c r="L8" s="28">
        <f t="shared" si="3"/>
        <v>1646.431</v>
      </c>
      <c r="M8" s="28">
        <f t="shared" si="4"/>
        <v>43712.743049999997</v>
      </c>
      <c r="N8" s="29">
        <f t="shared" si="5"/>
        <v>740.89395000000002</v>
      </c>
      <c r="O8" s="28">
        <f t="shared" si="6"/>
        <v>42971.849099999999</v>
      </c>
      <c r="P8" s="28">
        <f t="shared" si="7"/>
        <v>44618</v>
      </c>
      <c r="Q8" s="30">
        <v>0.02</v>
      </c>
      <c r="R8" s="28">
        <f t="shared" si="8"/>
        <v>32929</v>
      </c>
      <c r="S8" s="27">
        <f t="shared" si="9"/>
        <v>1904097</v>
      </c>
      <c r="T8" s="28">
        <f t="shared" si="10"/>
        <v>411608</v>
      </c>
      <c r="U8" s="31">
        <f>+T8</f>
        <v>411608</v>
      </c>
      <c r="V8" s="28" t="s">
        <v>53</v>
      </c>
      <c r="W8" s="28">
        <f t="shared" si="11"/>
        <v>1492489</v>
      </c>
      <c r="X8" s="28">
        <v>1492490</v>
      </c>
      <c r="Y8" s="28" t="s">
        <v>35</v>
      </c>
      <c r="Z8" s="28">
        <f t="shared" ca="1" si="12"/>
        <v>0</v>
      </c>
      <c r="AA8" s="28"/>
      <c r="AB8" s="28"/>
      <c r="AC8" s="15">
        <f t="shared" si="13"/>
        <v>1904098</v>
      </c>
      <c r="AD8" s="19">
        <f t="shared" si="14"/>
        <v>-1</v>
      </c>
      <c r="AE8" s="20" t="s">
        <v>54</v>
      </c>
      <c r="AF8" s="21">
        <v>1800003315</v>
      </c>
      <c r="AG8" s="22" t="s">
        <v>43</v>
      </c>
    </row>
    <row r="9" spans="1:33" ht="14.25" customHeight="1" x14ac:dyDescent="0.25">
      <c r="A9" s="23">
        <v>1</v>
      </c>
      <c r="B9" s="24" t="s">
        <v>55</v>
      </c>
      <c r="C9" s="25">
        <v>2787314</v>
      </c>
      <c r="D9" s="26">
        <v>21977</v>
      </c>
      <c r="E9" s="26" t="s">
        <v>39</v>
      </c>
      <c r="F9" s="26">
        <v>1976</v>
      </c>
      <c r="G9" s="24" t="s">
        <v>56</v>
      </c>
      <c r="H9" s="27">
        <v>2787314</v>
      </c>
      <c r="I9" s="27">
        <f t="shared" si="0"/>
        <v>501717</v>
      </c>
      <c r="J9" s="27">
        <f t="shared" si="1"/>
        <v>3289031</v>
      </c>
      <c r="K9" s="27">
        <f t="shared" si="2"/>
        <v>65781</v>
      </c>
      <c r="L9" s="28">
        <f t="shared" si="3"/>
        <v>2787.3139999999999</v>
      </c>
      <c r="M9" s="28">
        <f t="shared" si="4"/>
        <v>74003.186699999991</v>
      </c>
      <c r="N9" s="29">
        <f t="shared" si="5"/>
        <v>1254.2912999999999</v>
      </c>
      <c r="O9" s="28">
        <f t="shared" si="6"/>
        <v>72748.895399999994</v>
      </c>
      <c r="P9" s="28">
        <f t="shared" si="7"/>
        <v>75536</v>
      </c>
      <c r="Q9" s="30">
        <v>0</v>
      </c>
      <c r="R9" s="28">
        <f t="shared" si="8"/>
        <v>0</v>
      </c>
      <c r="S9" s="27">
        <f t="shared" si="9"/>
        <v>3279275</v>
      </c>
      <c r="T9" s="28">
        <f t="shared" si="10"/>
        <v>696829</v>
      </c>
      <c r="U9" s="31">
        <f>+T9</f>
        <v>696829</v>
      </c>
      <c r="V9" s="28" t="s">
        <v>41</v>
      </c>
      <c r="W9" s="28">
        <f t="shared" si="11"/>
        <v>2582446</v>
      </c>
      <c r="X9" s="28">
        <v>2582447.0942916102</v>
      </c>
      <c r="Y9" s="28" t="s">
        <v>41</v>
      </c>
      <c r="Z9" s="28">
        <f t="shared" ca="1" si="12"/>
        <v>0</v>
      </c>
      <c r="AA9" s="28"/>
      <c r="AB9" s="28"/>
      <c r="AC9" s="15">
        <f t="shared" si="13"/>
        <v>3279276.0942916102</v>
      </c>
      <c r="AD9" s="19">
        <f t="shared" si="14"/>
        <v>-1.0942916101776063</v>
      </c>
      <c r="AE9" s="20" t="s">
        <v>57</v>
      </c>
      <c r="AF9" s="21">
        <v>1800003194</v>
      </c>
      <c r="AG9" s="22" t="s">
        <v>58</v>
      </c>
    </row>
    <row r="10" spans="1:33" ht="14.25" customHeight="1" x14ac:dyDescent="0.25">
      <c r="A10" s="23">
        <v>4</v>
      </c>
      <c r="B10" s="24" t="s">
        <v>59</v>
      </c>
      <c r="C10" s="25">
        <v>51511</v>
      </c>
      <c r="D10" s="26">
        <v>21977</v>
      </c>
      <c r="E10" s="26" t="s">
        <v>39</v>
      </c>
      <c r="F10" s="26">
        <v>2002</v>
      </c>
      <c r="G10" s="24" t="s">
        <v>40</v>
      </c>
      <c r="H10" s="27">
        <v>206044</v>
      </c>
      <c r="I10" s="27">
        <f t="shared" si="0"/>
        <v>37088</v>
      </c>
      <c r="J10" s="27">
        <f t="shared" si="1"/>
        <v>243132</v>
      </c>
      <c r="K10" s="27">
        <f t="shared" si="2"/>
        <v>4863</v>
      </c>
      <c r="L10" s="28">
        <f t="shared" si="3"/>
        <v>206.04400000000001</v>
      </c>
      <c r="M10" s="28">
        <f t="shared" si="4"/>
        <v>5470.4681999999993</v>
      </c>
      <c r="N10" s="29">
        <f t="shared" si="5"/>
        <v>92.719799999999992</v>
      </c>
      <c r="O10" s="28">
        <f t="shared" si="6"/>
        <v>5377.7483999999995</v>
      </c>
      <c r="P10" s="28">
        <f t="shared" si="7"/>
        <v>5584</v>
      </c>
      <c r="Q10" s="30">
        <v>0</v>
      </c>
      <c r="R10" s="28">
        <f t="shared" si="8"/>
        <v>0</v>
      </c>
      <c r="S10" s="27">
        <f t="shared" si="9"/>
        <v>242411</v>
      </c>
      <c r="T10" s="28">
        <f t="shared" si="10"/>
        <v>51511</v>
      </c>
      <c r="U10" s="31">
        <f>+T10</f>
        <v>51511</v>
      </c>
      <c r="V10" s="28" t="s">
        <v>41</v>
      </c>
      <c r="W10" s="28">
        <f t="shared" si="11"/>
        <v>190900</v>
      </c>
      <c r="X10" s="28">
        <v>190900</v>
      </c>
      <c r="Y10" s="28" t="s">
        <v>35</v>
      </c>
      <c r="Z10" s="28">
        <f t="shared" ca="1" si="12"/>
        <v>0</v>
      </c>
      <c r="AA10" s="28"/>
      <c r="AB10" s="28"/>
      <c r="AC10" s="15">
        <f t="shared" si="13"/>
        <v>242411</v>
      </c>
      <c r="AD10" s="19">
        <f t="shared" si="14"/>
        <v>0</v>
      </c>
      <c r="AE10" s="20" t="s">
        <v>60</v>
      </c>
      <c r="AF10" s="21">
        <v>1800003303</v>
      </c>
      <c r="AG10" s="22" t="s">
        <v>43</v>
      </c>
    </row>
    <row r="11" spans="1:33" ht="14.25" customHeight="1" x14ac:dyDescent="0.25">
      <c r="A11" s="23">
        <v>1</v>
      </c>
      <c r="B11" s="24" t="s">
        <v>61</v>
      </c>
      <c r="C11" s="25">
        <v>65007</v>
      </c>
      <c r="D11" s="26">
        <v>21977</v>
      </c>
      <c r="E11" s="26" t="s">
        <v>39</v>
      </c>
      <c r="F11" s="26">
        <v>2003</v>
      </c>
      <c r="G11" s="24" t="s">
        <v>40</v>
      </c>
      <c r="H11" s="27">
        <v>65007</v>
      </c>
      <c r="I11" s="27">
        <f t="shared" si="0"/>
        <v>11701</v>
      </c>
      <c r="J11" s="27">
        <f t="shared" si="1"/>
        <v>76708</v>
      </c>
      <c r="K11" s="27">
        <f t="shared" si="2"/>
        <v>1534</v>
      </c>
      <c r="L11" s="28">
        <f t="shared" si="3"/>
        <v>65.007000000000005</v>
      </c>
      <c r="M11" s="28">
        <f t="shared" si="4"/>
        <v>1725.9358499999998</v>
      </c>
      <c r="N11" s="29">
        <f t="shared" si="5"/>
        <v>29.253150000000002</v>
      </c>
      <c r="O11" s="28">
        <f t="shared" si="6"/>
        <v>1696.6826999999998</v>
      </c>
      <c r="P11" s="28">
        <f t="shared" si="7"/>
        <v>1762</v>
      </c>
      <c r="Q11" s="30">
        <v>0</v>
      </c>
      <c r="R11" s="28">
        <f t="shared" si="8"/>
        <v>0</v>
      </c>
      <c r="S11" s="27">
        <f t="shared" si="9"/>
        <v>76481</v>
      </c>
      <c r="T11" s="28">
        <f t="shared" si="10"/>
        <v>16252</v>
      </c>
      <c r="U11" s="31">
        <f>+T11</f>
        <v>16252</v>
      </c>
      <c r="V11" s="28" t="s">
        <v>41</v>
      </c>
      <c r="W11" s="28">
        <f t="shared" si="11"/>
        <v>60229</v>
      </c>
      <c r="X11" s="28">
        <v>60229</v>
      </c>
      <c r="Y11" s="28" t="s">
        <v>35</v>
      </c>
      <c r="Z11" s="28">
        <f t="shared" ca="1" si="12"/>
        <v>0</v>
      </c>
      <c r="AA11" s="28"/>
      <c r="AB11" s="28"/>
      <c r="AC11" s="15">
        <f t="shared" si="13"/>
        <v>76481</v>
      </c>
      <c r="AD11" s="19">
        <f t="shared" si="14"/>
        <v>0</v>
      </c>
      <c r="AE11" s="20" t="s">
        <v>62</v>
      </c>
      <c r="AF11" s="21">
        <v>1800003304</v>
      </c>
      <c r="AG11" s="22" t="s">
        <v>43</v>
      </c>
    </row>
    <row r="12" spans="1:33" ht="14.25" customHeight="1" x14ac:dyDescent="0.25">
      <c r="A12" s="23">
        <v>1</v>
      </c>
      <c r="B12" s="24" t="s">
        <v>63</v>
      </c>
      <c r="C12" s="25">
        <v>70006</v>
      </c>
      <c r="D12" s="26">
        <v>21977</v>
      </c>
      <c r="E12" s="26" t="s">
        <v>39</v>
      </c>
      <c r="F12" s="26">
        <v>2005</v>
      </c>
      <c r="G12" s="24" t="s">
        <v>40</v>
      </c>
      <c r="H12" s="27">
        <v>70006</v>
      </c>
      <c r="I12" s="27">
        <f t="shared" si="0"/>
        <v>12601</v>
      </c>
      <c r="J12" s="27">
        <f t="shared" si="1"/>
        <v>82607</v>
      </c>
      <c r="K12" s="27">
        <f t="shared" si="2"/>
        <v>1652</v>
      </c>
      <c r="L12" s="28">
        <f t="shared" si="3"/>
        <v>70.006</v>
      </c>
      <c r="M12" s="28">
        <f t="shared" si="4"/>
        <v>1858.6592999999998</v>
      </c>
      <c r="N12" s="29">
        <f t="shared" si="5"/>
        <v>31.502700000000001</v>
      </c>
      <c r="O12" s="28">
        <f t="shared" si="6"/>
        <v>1827.1565999999998</v>
      </c>
      <c r="P12" s="28">
        <f t="shared" si="7"/>
        <v>1897</v>
      </c>
      <c r="Q12" s="30">
        <v>0</v>
      </c>
      <c r="R12" s="28">
        <f t="shared" si="8"/>
        <v>0</v>
      </c>
      <c r="S12" s="27">
        <f t="shared" si="9"/>
        <v>82362</v>
      </c>
      <c r="T12" s="28">
        <f t="shared" si="10"/>
        <v>17502</v>
      </c>
      <c r="U12" s="31">
        <f>+T12</f>
        <v>17502</v>
      </c>
      <c r="V12" s="28" t="s">
        <v>41</v>
      </c>
      <c r="W12" s="28">
        <f t="shared" si="11"/>
        <v>64861</v>
      </c>
      <c r="X12" s="28">
        <v>64859</v>
      </c>
      <c r="Y12" s="28" t="s">
        <v>35</v>
      </c>
      <c r="Z12" s="28">
        <f t="shared" ca="1" si="12"/>
        <v>0</v>
      </c>
      <c r="AA12" s="28"/>
      <c r="AB12" s="28"/>
      <c r="AC12" s="15">
        <f t="shared" si="13"/>
        <v>82361</v>
      </c>
      <c r="AD12" s="19">
        <f t="shared" si="14"/>
        <v>1</v>
      </c>
      <c r="AE12" s="20" t="s">
        <v>64</v>
      </c>
      <c r="AF12" s="21">
        <v>1800003305</v>
      </c>
      <c r="AG12" s="22" t="s">
        <v>43</v>
      </c>
    </row>
    <row r="13" spans="1:33" ht="14.25" customHeight="1" x14ac:dyDescent="0.25">
      <c r="A13" s="23">
        <v>25</v>
      </c>
      <c r="B13" s="24" t="s">
        <v>65</v>
      </c>
      <c r="C13" s="25">
        <v>700</v>
      </c>
      <c r="D13" s="26">
        <v>21977</v>
      </c>
      <c r="E13" s="26" t="s">
        <v>39</v>
      </c>
      <c r="F13" s="26">
        <v>2006</v>
      </c>
      <c r="G13" s="24" t="s">
        <v>66</v>
      </c>
      <c r="H13" s="27">
        <v>17500</v>
      </c>
      <c r="I13" s="27">
        <f t="shared" si="0"/>
        <v>3150</v>
      </c>
      <c r="J13" s="27">
        <f t="shared" si="1"/>
        <v>20650</v>
      </c>
      <c r="K13" s="27">
        <f t="shared" si="2"/>
        <v>413</v>
      </c>
      <c r="L13" s="28">
        <f t="shared" si="3"/>
        <v>17.5</v>
      </c>
      <c r="M13" s="28">
        <f t="shared" si="4"/>
        <v>464.625</v>
      </c>
      <c r="N13" s="29">
        <f t="shared" si="5"/>
        <v>7.875</v>
      </c>
      <c r="O13" s="28">
        <f t="shared" si="6"/>
        <v>456.75</v>
      </c>
      <c r="P13" s="28">
        <f t="shared" si="7"/>
        <v>474</v>
      </c>
      <c r="Q13" s="30">
        <v>0</v>
      </c>
      <c r="R13" s="28">
        <f t="shared" si="8"/>
        <v>0</v>
      </c>
      <c r="S13" s="27">
        <f t="shared" si="9"/>
        <v>20589</v>
      </c>
      <c r="T13" s="28">
        <f t="shared" si="10"/>
        <v>4375</v>
      </c>
      <c r="U13" s="31">
        <v>4375</v>
      </c>
      <c r="V13" s="28" t="s">
        <v>46</v>
      </c>
      <c r="W13" s="28">
        <f t="shared" si="11"/>
        <v>16214</v>
      </c>
      <c r="X13" s="28">
        <v>16214</v>
      </c>
      <c r="Y13" s="28" t="s">
        <v>46</v>
      </c>
      <c r="Z13" s="28">
        <f t="shared" ca="1" si="12"/>
        <v>0</v>
      </c>
      <c r="AA13" s="28"/>
      <c r="AB13" s="28"/>
      <c r="AC13" s="15">
        <f t="shared" si="13"/>
        <v>20589</v>
      </c>
      <c r="AD13" s="19">
        <f t="shared" si="14"/>
        <v>0</v>
      </c>
      <c r="AE13" s="20" t="s">
        <v>67</v>
      </c>
      <c r="AF13" s="21">
        <v>1800003156</v>
      </c>
      <c r="AG13" s="22" t="s">
        <v>53</v>
      </c>
    </row>
    <row r="14" spans="1:33" ht="14.25" customHeight="1" x14ac:dyDescent="0.25">
      <c r="A14" s="23">
        <v>1</v>
      </c>
      <c r="B14" s="24" t="s">
        <v>68</v>
      </c>
      <c r="C14" s="25">
        <v>3857116</v>
      </c>
      <c r="D14" s="26">
        <v>21977</v>
      </c>
      <c r="E14" s="26" t="s">
        <v>39</v>
      </c>
      <c r="F14" s="26">
        <v>2007</v>
      </c>
      <c r="G14" s="24" t="s">
        <v>56</v>
      </c>
      <c r="H14" s="27">
        <v>3857116</v>
      </c>
      <c r="I14" s="27">
        <f t="shared" si="0"/>
        <v>694281</v>
      </c>
      <c r="J14" s="27">
        <f t="shared" si="1"/>
        <v>4551397</v>
      </c>
      <c r="K14" s="27">
        <f t="shared" si="2"/>
        <v>91028</v>
      </c>
      <c r="L14" s="28">
        <f t="shared" si="3"/>
        <v>3857.116</v>
      </c>
      <c r="M14" s="28">
        <f t="shared" si="4"/>
        <v>102406.4298</v>
      </c>
      <c r="N14" s="29">
        <f t="shared" si="5"/>
        <v>1735.7021999999999</v>
      </c>
      <c r="O14" s="28">
        <f t="shared" si="6"/>
        <v>100670.7276</v>
      </c>
      <c r="P14" s="28">
        <f t="shared" si="7"/>
        <v>104528</v>
      </c>
      <c r="Q14" s="30">
        <v>0</v>
      </c>
      <c r="R14" s="28">
        <f t="shared" si="8"/>
        <v>0</v>
      </c>
      <c r="S14" s="27">
        <f t="shared" si="9"/>
        <v>4537897</v>
      </c>
      <c r="T14" s="28">
        <f t="shared" si="10"/>
        <v>964279</v>
      </c>
      <c r="U14" s="31">
        <f>+T14</f>
        <v>964279</v>
      </c>
      <c r="V14" s="28" t="s">
        <v>41</v>
      </c>
      <c r="W14" s="28">
        <f t="shared" si="11"/>
        <v>3573618</v>
      </c>
      <c r="X14" s="28">
        <v>3573618.9057083898</v>
      </c>
      <c r="Y14" s="28" t="s">
        <v>41</v>
      </c>
      <c r="Z14" s="28">
        <f t="shared" ca="1" si="12"/>
        <v>0</v>
      </c>
      <c r="AA14" s="28"/>
      <c r="AB14" s="28"/>
      <c r="AC14" s="15">
        <f t="shared" si="13"/>
        <v>4537897.9057083894</v>
      </c>
      <c r="AD14" s="19">
        <f t="shared" si="14"/>
        <v>-0.90570838935673237</v>
      </c>
      <c r="AE14" s="20" t="s">
        <v>69</v>
      </c>
      <c r="AF14" s="21">
        <v>1800003196</v>
      </c>
      <c r="AG14" s="22" t="s">
        <v>58</v>
      </c>
    </row>
    <row r="15" spans="1:33" ht="14.25" customHeight="1" x14ac:dyDescent="0.25">
      <c r="A15" s="23">
        <v>250</v>
      </c>
      <c r="B15" s="24" t="s">
        <v>70</v>
      </c>
      <c r="C15" s="25">
        <v>543</v>
      </c>
      <c r="D15" s="26">
        <v>21977</v>
      </c>
      <c r="E15" s="26" t="s">
        <v>39</v>
      </c>
      <c r="F15" s="26">
        <v>2008</v>
      </c>
      <c r="G15" s="24" t="s">
        <v>71</v>
      </c>
      <c r="H15" s="27">
        <v>135750</v>
      </c>
      <c r="I15" s="27">
        <f t="shared" si="0"/>
        <v>24435</v>
      </c>
      <c r="J15" s="27">
        <f t="shared" si="1"/>
        <v>160185</v>
      </c>
      <c r="K15" s="27">
        <f t="shared" si="2"/>
        <v>3204</v>
      </c>
      <c r="L15" s="28">
        <f t="shared" si="3"/>
        <v>135.75</v>
      </c>
      <c r="M15" s="28">
        <f t="shared" si="4"/>
        <v>3604.1624999999999</v>
      </c>
      <c r="N15" s="29">
        <f t="shared" si="5"/>
        <v>61.087499999999999</v>
      </c>
      <c r="O15" s="28">
        <f t="shared" si="6"/>
        <v>3543.0749999999998</v>
      </c>
      <c r="P15" s="28">
        <f t="shared" si="7"/>
        <v>3679</v>
      </c>
      <c r="Q15" s="30">
        <v>0</v>
      </c>
      <c r="R15" s="28">
        <f t="shared" si="8"/>
        <v>0</v>
      </c>
      <c r="S15" s="27">
        <f t="shared" si="9"/>
        <v>159710</v>
      </c>
      <c r="T15" s="28">
        <f t="shared" si="10"/>
        <v>33938</v>
      </c>
      <c r="U15" s="31">
        <v>33938</v>
      </c>
      <c r="V15" s="28" t="s">
        <v>53</v>
      </c>
      <c r="W15" s="28">
        <f t="shared" si="11"/>
        <v>125772</v>
      </c>
      <c r="X15" s="28">
        <v>125772</v>
      </c>
      <c r="Y15" s="28" t="s">
        <v>36</v>
      </c>
      <c r="Z15" s="28">
        <f t="shared" ca="1" si="12"/>
        <v>0</v>
      </c>
      <c r="AA15" s="28"/>
      <c r="AB15" s="28"/>
      <c r="AC15" s="15">
        <f t="shared" si="13"/>
        <v>159710</v>
      </c>
      <c r="AD15" s="19">
        <f t="shared" si="14"/>
        <v>0</v>
      </c>
      <c r="AE15" s="20" t="s">
        <v>72</v>
      </c>
      <c r="AF15" s="21">
        <v>1800003247</v>
      </c>
      <c r="AG15" s="22" t="s">
        <v>47</v>
      </c>
    </row>
    <row r="16" spans="1:33" ht="14.25" customHeight="1" x14ac:dyDescent="0.25">
      <c r="A16" s="23">
        <v>22</v>
      </c>
      <c r="B16" s="24" t="s">
        <v>73</v>
      </c>
      <c r="C16" s="25">
        <v>700</v>
      </c>
      <c r="D16" s="26">
        <v>21977</v>
      </c>
      <c r="E16" s="26" t="s">
        <v>39</v>
      </c>
      <c r="F16" s="26">
        <v>2011</v>
      </c>
      <c r="G16" s="24" t="s">
        <v>66</v>
      </c>
      <c r="H16" s="27">
        <v>15400</v>
      </c>
      <c r="I16" s="27">
        <f t="shared" si="0"/>
        <v>2772</v>
      </c>
      <c r="J16" s="27">
        <f t="shared" si="1"/>
        <v>18172</v>
      </c>
      <c r="K16" s="27">
        <f t="shared" si="2"/>
        <v>363</v>
      </c>
      <c r="L16" s="28">
        <f t="shared" si="3"/>
        <v>15.4</v>
      </c>
      <c r="M16" s="28">
        <f t="shared" si="4"/>
        <v>408.87</v>
      </c>
      <c r="N16" s="29">
        <f t="shared" si="5"/>
        <v>6.93</v>
      </c>
      <c r="O16" s="28">
        <f t="shared" si="6"/>
        <v>401.94</v>
      </c>
      <c r="P16" s="28">
        <f t="shared" si="7"/>
        <v>417</v>
      </c>
      <c r="Q16" s="30">
        <v>0</v>
      </c>
      <c r="R16" s="28">
        <f t="shared" si="8"/>
        <v>0</v>
      </c>
      <c r="S16" s="27">
        <f t="shared" si="9"/>
        <v>18118</v>
      </c>
      <c r="T16" s="28">
        <f t="shared" si="10"/>
        <v>3850</v>
      </c>
      <c r="U16" s="31">
        <v>3850</v>
      </c>
      <c r="V16" s="28" t="s">
        <v>46</v>
      </c>
      <c r="W16" s="28">
        <f t="shared" si="11"/>
        <v>14268</v>
      </c>
      <c r="X16" s="28">
        <v>14267</v>
      </c>
      <c r="Y16" s="28" t="s">
        <v>46</v>
      </c>
      <c r="Z16" s="28">
        <f t="shared" ca="1" si="12"/>
        <v>0</v>
      </c>
      <c r="AA16" s="28"/>
      <c r="AB16" s="28"/>
      <c r="AC16" s="15">
        <f t="shared" si="13"/>
        <v>18117</v>
      </c>
      <c r="AD16" s="19">
        <f t="shared" si="14"/>
        <v>1</v>
      </c>
      <c r="AE16" s="20" t="s">
        <v>74</v>
      </c>
      <c r="AF16" s="21">
        <v>1800003157</v>
      </c>
      <c r="AG16" s="22" t="s">
        <v>53</v>
      </c>
    </row>
    <row r="17" spans="1:33" ht="14.25" customHeight="1" x14ac:dyDescent="0.25">
      <c r="A17" s="23">
        <v>100</v>
      </c>
      <c r="B17" s="24" t="s">
        <v>75</v>
      </c>
      <c r="C17" s="25">
        <v>710</v>
      </c>
      <c r="D17" s="26">
        <v>21978</v>
      </c>
      <c r="E17" s="26" t="s">
        <v>39</v>
      </c>
      <c r="F17" s="26">
        <v>2015</v>
      </c>
      <c r="G17" s="24" t="s">
        <v>66</v>
      </c>
      <c r="H17" s="27">
        <v>71000</v>
      </c>
      <c r="I17" s="27">
        <f t="shared" si="0"/>
        <v>12780</v>
      </c>
      <c r="J17" s="27">
        <f t="shared" si="1"/>
        <v>83780</v>
      </c>
      <c r="K17" s="27">
        <f t="shared" si="2"/>
        <v>1676</v>
      </c>
      <c r="L17" s="28">
        <f t="shared" si="3"/>
        <v>71</v>
      </c>
      <c r="M17" s="28">
        <f t="shared" si="4"/>
        <v>1885.05</v>
      </c>
      <c r="N17" s="29">
        <f t="shared" si="5"/>
        <v>31.95</v>
      </c>
      <c r="O17" s="28">
        <f t="shared" si="6"/>
        <v>1853.1</v>
      </c>
      <c r="P17" s="28">
        <f t="shared" si="7"/>
        <v>1924</v>
      </c>
      <c r="Q17" s="30">
        <v>0</v>
      </c>
      <c r="R17" s="28">
        <f t="shared" si="8"/>
        <v>0</v>
      </c>
      <c r="S17" s="27">
        <f t="shared" si="9"/>
        <v>83532</v>
      </c>
      <c r="T17" s="28">
        <f t="shared" si="10"/>
        <v>17750</v>
      </c>
      <c r="U17" s="31">
        <v>17750</v>
      </c>
      <c r="V17" s="28" t="s">
        <v>46</v>
      </c>
      <c r="W17" s="28">
        <f t="shared" si="11"/>
        <v>65782</v>
      </c>
      <c r="X17" s="28">
        <f>+W17</f>
        <v>65782</v>
      </c>
      <c r="Y17" s="28" t="s">
        <v>46</v>
      </c>
      <c r="Z17" s="28">
        <f t="shared" ca="1" si="12"/>
        <v>0</v>
      </c>
      <c r="AA17" s="28"/>
      <c r="AB17" s="28"/>
      <c r="AC17" s="15">
        <f t="shared" si="13"/>
        <v>83532</v>
      </c>
      <c r="AD17" s="19">
        <f t="shared" si="14"/>
        <v>0</v>
      </c>
      <c r="AE17" s="20" t="s">
        <v>76</v>
      </c>
      <c r="AF17" s="21">
        <v>1800003158</v>
      </c>
      <c r="AG17" s="22" t="s">
        <v>53</v>
      </c>
    </row>
    <row r="18" spans="1:33" ht="14.25" customHeight="1" x14ac:dyDescent="0.25">
      <c r="A18" s="23">
        <v>1</v>
      </c>
      <c r="B18" s="24" t="s">
        <v>77</v>
      </c>
      <c r="C18" s="25">
        <v>220001</v>
      </c>
      <c r="D18" s="26">
        <v>21978</v>
      </c>
      <c r="E18" s="26" t="s">
        <v>39</v>
      </c>
      <c r="F18" s="26">
        <v>2018</v>
      </c>
      <c r="G18" s="24" t="s">
        <v>40</v>
      </c>
      <c r="H18" s="27">
        <v>220001</v>
      </c>
      <c r="I18" s="27">
        <f t="shared" si="0"/>
        <v>39600</v>
      </c>
      <c r="J18" s="27">
        <f t="shared" si="1"/>
        <v>259601</v>
      </c>
      <c r="K18" s="27">
        <f t="shared" si="2"/>
        <v>5192</v>
      </c>
      <c r="L18" s="28">
        <f t="shared" si="3"/>
        <v>220.001</v>
      </c>
      <c r="M18" s="28">
        <f t="shared" si="4"/>
        <v>5841.0265499999996</v>
      </c>
      <c r="N18" s="29">
        <f t="shared" si="5"/>
        <v>99.000450000000001</v>
      </c>
      <c r="O18" s="28">
        <f t="shared" si="6"/>
        <v>5742.0260999999991</v>
      </c>
      <c r="P18" s="28">
        <f t="shared" si="7"/>
        <v>5962</v>
      </c>
      <c r="Q18" s="30">
        <v>0</v>
      </c>
      <c r="R18" s="28">
        <f t="shared" si="8"/>
        <v>0</v>
      </c>
      <c r="S18" s="27">
        <f t="shared" si="9"/>
        <v>258831</v>
      </c>
      <c r="T18" s="28">
        <f t="shared" si="10"/>
        <v>55000</v>
      </c>
      <c r="U18" s="31">
        <f>+T18</f>
        <v>55000</v>
      </c>
      <c r="V18" s="28" t="s">
        <v>41</v>
      </c>
      <c r="W18" s="28">
        <f t="shared" si="11"/>
        <v>203831</v>
      </c>
      <c r="X18" s="28">
        <v>203831</v>
      </c>
      <c r="Y18" s="28" t="s">
        <v>35</v>
      </c>
      <c r="Z18" s="28">
        <f t="shared" ca="1" si="12"/>
        <v>0</v>
      </c>
      <c r="AA18" s="28"/>
      <c r="AB18" s="28"/>
      <c r="AC18" s="15">
        <f t="shared" si="13"/>
        <v>258831</v>
      </c>
      <c r="AD18" s="19">
        <f t="shared" si="14"/>
        <v>0</v>
      </c>
      <c r="AE18" s="20" t="s">
        <v>78</v>
      </c>
      <c r="AF18" s="21">
        <v>1800003306</v>
      </c>
      <c r="AG18" s="22" t="s">
        <v>43</v>
      </c>
    </row>
    <row r="19" spans="1:33" ht="14.25" customHeight="1" x14ac:dyDescent="0.25">
      <c r="A19" s="23">
        <v>1</v>
      </c>
      <c r="B19" s="24" t="s">
        <v>77</v>
      </c>
      <c r="C19" s="25">
        <v>210001</v>
      </c>
      <c r="D19" s="26">
        <v>21978</v>
      </c>
      <c r="E19" s="26" t="s">
        <v>39</v>
      </c>
      <c r="F19" s="26">
        <v>2019</v>
      </c>
      <c r="G19" s="24" t="s">
        <v>40</v>
      </c>
      <c r="H19" s="27">
        <v>210001</v>
      </c>
      <c r="I19" s="27">
        <f t="shared" si="0"/>
        <v>37800</v>
      </c>
      <c r="J19" s="27">
        <f t="shared" si="1"/>
        <v>247801</v>
      </c>
      <c r="K19" s="27">
        <f t="shared" si="2"/>
        <v>4956</v>
      </c>
      <c r="L19" s="28">
        <f t="shared" si="3"/>
        <v>210.001</v>
      </c>
      <c r="M19" s="28">
        <f t="shared" si="4"/>
        <v>5575.5265499999996</v>
      </c>
      <c r="N19" s="29">
        <f t="shared" si="5"/>
        <v>94.500450000000001</v>
      </c>
      <c r="O19" s="28">
        <f t="shared" si="6"/>
        <v>5481.0260999999991</v>
      </c>
      <c r="P19" s="28">
        <f t="shared" si="7"/>
        <v>5691</v>
      </c>
      <c r="Q19" s="30">
        <v>0</v>
      </c>
      <c r="R19" s="28">
        <f t="shared" si="8"/>
        <v>0</v>
      </c>
      <c r="S19" s="27">
        <f t="shared" si="9"/>
        <v>247066</v>
      </c>
      <c r="T19" s="28">
        <f t="shared" si="10"/>
        <v>52500</v>
      </c>
      <c r="U19" s="31">
        <f>+T19</f>
        <v>52500</v>
      </c>
      <c r="V19" s="28" t="s">
        <v>41</v>
      </c>
      <c r="W19" s="28">
        <f t="shared" si="11"/>
        <v>194566</v>
      </c>
      <c r="X19" s="28">
        <v>194566</v>
      </c>
      <c r="Y19" s="28" t="s">
        <v>35</v>
      </c>
      <c r="Z19" s="28">
        <f t="shared" ca="1" si="12"/>
        <v>0</v>
      </c>
      <c r="AA19" s="28"/>
      <c r="AB19" s="28"/>
      <c r="AC19" s="15">
        <f t="shared" si="13"/>
        <v>247066</v>
      </c>
      <c r="AD19" s="19">
        <f t="shared" si="14"/>
        <v>0</v>
      </c>
      <c r="AE19" s="20" t="s">
        <v>79</v>
      </c>
      <c r="AF19" s="21">
        <v>1800003307</v>
      </c>
      <c r="AG19" s="22" t="s">
        <v>43</v>
      </c>
    </row>
    <row r="20" spans="1:33" ht="26.25" customHeight="1" x14ac:dyDescent="0.25">
      <c r="A20" s="23">
        <v>3500</v>
      </c>
      <c r="B20" s="24" t="s">
        <v>80</v>
      </c>
      <c r="C20" s="25">
        <v>333</v>
      </c>
      <c r="D20" s="26">
        <v>21978</v>
      </c>
      <c r="E20" s="26" t="s">
        <v>33</v>
      </c>
      <c r="F20" s="26">
        <v>2020</v>
      </c>
      <c r="G20" s="24" t="s">
        <v>52</v>
      </c>
      <c r="H20" s="27">
        <v>1165500</v>
      </c>
      <c r="I20" s="27">
        <f t="shared" si="0"/>
        <v>209790</v>
      </c>
      <c r="J20" s="27">
        <f t="shared" si="1"/>
        <v>1375290</v>
      </c>
      <c r="K20" s="27">
        <f t="shared" si="2"/>
        <v>27506</v>
      </c>
      <c r="L20" s="28">
        <f t="shared" si="3"/>
        <v>1165.5</v>
      </c>
      <c r="M20" s="28">
        <f t="shared" si="4"/>
        <v>30944.024999999998</v>
      </c>
      <c r="N20" s="29">
        <f t="shared" si="5"/>
        <v>524.47500000000002</v>
      </c>
      <c r="O20" s="28">
        <f t="shared" si="6"/>
        <v>30419.55</v>
      </c>
      <c r="P20" s="28">
        <f t="shared" si="7"/>
        <v>31585</v>
      </c>
      <c r="Q20" s="30">
        <v>0.02</v>
      </c>
      <c r="R20" s="28">
        <f t="shared" si="8"/>
        <v>23310</v>
      </c>
      <c r="S20" s="27">
        <f t="shared" si="9"/>
        <v>1347901</v>
      </c>
      <c r="T20" s="28">
        <f t="shared" si="10"/>
        <v>291375</v>
      </c>
      <c r="U20" s="31">
        <v>291375</v>
      </c>
      <c r="V20" s="28" t="s">
        <v>81</v>
      </c>
      <c r="W20" s="28">
        <f t="shared" si="11"/>
        <v>1056526</v>
      </c>
      <c r="X20" s="28">
        <v>1056525</v>
      </c>
      <c r="Y20" s="28" t="s">
        <v>81</v>
      </c>
      <c r="Z20" s="28">
        <f t="shared" ca="1" si="12"/>
        <v>0</v>
      </c>
      <c r="AA20" s="28"/>
      <c r="AB20" s="28"/>
      <c r="AC20" s="15">
        <f t="shared" si="13"/>
        <v>1347900</v>
      </c>
      <c r="AD20" s="19">
        <f t="shared" si="14"/>
        <v>1</v>
      </c>
      <c r="AE20" s="20" t="s">
        <v>82</v>
      </c>
      <c r="AF20" s="21">
        <v>1800003065</v>
      </c>
      <c r="AG20" s="22" t="s">
        <v>83</v>
      </c>
    </row>
    <row r="21" spans="1:33" ht="39" customHeight="1" x14ac:dyDescent="0.25">
      <c r="A21" s="23">
        <v>3</v>
      </c>
      <c r="B21" s="24" t="s">
        <v>59</v>
      </c>
      <c r="C21" s="25">
        <v>110200</v>
      </c>
      <c r="D21" s="26">
        <v>21978</v>
      </c>
      <c r="E21" s="26" t="s">
        <v>39</v>
      </c>
      <c r="F21" s="26">
        <v>2022</v>
      </c>
      <c r="G21" s="24" t="s">
        <v>84</v>
      </c>
      <c r="H21" s="27">
        <v>330600</v>
      </c>
      <c r="I21" s="27">
        <f t="shared" si="0"/>
        <v>59508</v>
      </c>
      <c r="J21" s="27">
        <f t="shared" si="1"/>
        <v>390108</v>
      </c>
      <c r="K21" s="27">
        <f t="shared" si="2"/>
        <v>7802</v>
      </c>
      <c r="L21" s="28">
        <f t="shared" si="3"/>
        <v>330.6</v>
      </c>
      <c r="M21" s="28">
        <f t="shared" si="4"/>
        <v>8777.43</v>
      </c>
      <c r="N21" s="29">
        <f t="shared" si="5"/>
        <v>148.77000000000001</v>
      </c>
      <c r="O21" s="28">
        <f t="shared" si="6"/>
        <v>8628.66</v>
      </c>
      <c r="P21" s="28">
        <f t="shared" si="7"/>
        <v>8959</v>
      </c>
      <c r="Q21" s="30">
        <v>0</v>
      </c>
      <c r="R21" s="28">
        <f t="shared" si="8"/>
        <v>0</v>
      </c>
      <c r="S21" s="27">
        <f t="shared" si="9"/>
        <v>388951</v>
      </c>
      <c r="T21" s="28">
        <f t="shared" si="10"/>
        <v>82650</v>
      </c>
      <c r="U21" s="31">
        <f>+T21</f>
        <v>82650</v>
      </c>
      <c r="V21" s="28" t="s">
        <v>53</v>
      </c>
      <c r="W21" s="28">
        <f t="shared" si="11"/>
        <v>306301</v>
      </c>
      <c r="X21" s="28">
        <v>306301</v>
      </c>
      <c r="Y21" s="28" t="s">
        <v>85</v>
      </c>
      <c r="Z21" s="28">
        <f t="shared" ca="1" si="12"/>
        <v>0</v>
      </c>
      <c r="AA21" s="28"/>
      <c r="AB21" s="28"/>
      <c r="AC21" s="15">
        <f t="shared" si="13"/>
        <v>388951</v>
      </c>
      <c r="AD21" s="19">
        <f t="shared" si="14"/>
        <v>0</v>
      </c>
      <c r="AE21" s="20" t="s">
        <v>86</v>
      </c>
      <c r="AF21" s="21">
        <v>1800003269</v>
      </c>
      <c r="AG21" s="22" t="s">
        <v>35</v>
      </c>
    </row>
    <row r="22" spans="1:33" ht="14.25" customHeight="1" x14ac:dyDescent="0.25">
      <c r="A22" s="23">
        <v>3</v>
      </c>
      <c r="B22" s="24" t="s">
        <v>59</v>
      </c>
      <c r="C22" s="25">
        <v>83743</v>
      </c>
      <c r="D22" s="26">
        <v>21978</v>
      </c>
      <c r="E22" s="26" t="s">
        <v>39</v>
      </c>
      <c r="F22" s="26">
        <v>2023</v>
      </c>
      <c r="G22" s="24" t="s">
        <v>40</v>
      </c>
      <c r="H22" s="27">
        <v>251229</v>
      </c>
      <c r="I22" s="27">
        <f t="shared" si="0"/>
        <v>45221</v>
      </c>
      <c r="J22" s="27">
        <f t="shared" si="1"/>
        <v>296450</v>
      </c>
      <c r="K22" s="27">
        <f t="shared" si="2"/>
        <v>5929</v>
      </c>
      <c r="L22" s="28">
        <f t="shared" si="3"/>
        <v>251.22900000000001</v>
      </c>
      <c r="M22" s="28">
        <f t="shared" si="4"/>
        <v>6670.1299499999996</v>
      </c>
      <c r="N22" s="29">
        <f t="shared" si="5"/>
        <v>113.05305</v>
      </c>
      <c r="O22" s="28">
        <f t="shared" si="6"/>
        <v>6557.0768999999991</v>
      </c>
      <c r="P22" s="28">
        <f t="shared" si="7"/>
        <v>6808</v>
      </c>
      <c r="Q22" s="30">
        <v>0</v>
      </c>
      <c r="R22" s="28">
        <f t="shared" si="8"/>
        <v>0</v>
      </c>
      <c r="S22" s="27">
        <f t="shared" si="9"/>
        <v>295571</v>
      </c>
      <c r="T22" s="28">
        <f t="shared" si="10"/>
        <v>62807</v>
      </c>
      <c r="U22" s="31">
        <f>+T22</f>
        <v>62807</v>
      </c>
      <c r="V22" s="28" t="s">
        <v>41</v>
      </c>
      <c r="W22" s="28">
        <f t="shared" si="11"/>
        <v>232764</v>
      </c>
      <c r="X22" s="28">
        <v>232764</v>
      </c>
      <c r="Y22" s="28" t="s">
        <v>35</v>
      </c>
      <c r="Z22" s="28">
        <f t="shared" ca="1" si="12"/>
        <v>0</v>
      </c>
      <c r="AA22" s="28"/>
      <c r="AB22" s="28"/>
      <c r="AC22" s="15">
        <f t="shared" si="13"/>
        <v>295571</v>
      </c>
      <c r="AD22" s="19">
        <f t="shared" si="14"/>
        <v>0</v>
      </c>
      <c r="AE22" s="20" t="s">
        <v>87</v>
      </c>
      <c r="AF22" s="21">
        <v>1800003308</v>
      </c>
      <c r="AG22" s="22" t="s">
        <v>43</v>
      </c>
    </row>
    <row r="23" spans="1:33" ht="14.25" customHeight="1" x14ac:dyDescent="0.25">
      <c r="A23" s="23">
        <v>90</v>
      </c>
      <c r="B23" s="24" t="s">
        <v>75</v>
      </c>
      <c r="C23" s="25">
        <v>700</v>
      </c>
      <c r="D23" s="26">
        <v>21978</v>
      </c>
      <c r="E23" s="26" t="s">
        <v>39</v>
      </c>
      <c r="F23" s="26">
        <v>2025</v>
      </c>
      <c r="G23" s="24" t="s">
        <v>66</v>
      </c>
      <c r="H23" s="27">
        <v>63000</v>
      </c>
      <c r="I23" s="27">
        <f t="shared" si="0"/>
        <v>11340</v>
      </c>
      <c r="J23" s="27">
        <f t="shared" si="1"/>
        <v>74340</v>
      </c>
      <c r="K23" s="27">
        <f t="shared" si="2"/>
        <v>1487</v>
      </c>
      <c r="L23" s="28">
        <f t="shared" si="3"/>
        <v>63</v>
      </c>
      <c r="M23" s="28">
        <f t="shared" si="4"/>
        <v>1672.6499999999999</v>
      </c>
      <c r="N23" s="29">
        <f t="shared" si="5"/>
        <v>28.35</v>
      </c>
      <c r="O23" s="28">
        <f t="shared" si="6"/>
        <v>1644.3</v>
      </c>
      <c r="P23" s="28">
        <f t="shared" si="7"/>
        <v>1707</v>
      </c>
      <c r="Q23" s="30">
        <v>0</v>
      </c>
      <c r="R23" s="28">
        <f t="shared" si="8"/>
        <v>0</v>
      </c>
      <c r="S23" s="27">
        <f t="shared" si="9"/>
        <v>74120</v>
      </c>
      <c r="T23" s="28">
        <f t="shared" si="10"/>
        <v>15750</v>
      </c>
      <c r="U23" s="31">
        <v>15750</v>
      </c>
      <c r="V23" s="28" t="s">
        <v>46</v>
      </c>
      <c r="W23" s="28">
        <f t="shared" si="11"/>
        <v>58370</v>
      </c>
      <c r="X23" s="28">
        <v>58418</v>
      </c>
      <c r="Y23" s="28" t="s">
        <v>46</v>
      </c>
      <c r="Z23" s="28">
        <f t="shared" ca="1" si="12"/>
        <v>0</v>
      </c>
      <c r="AA23" s="28"/>
      <c r="AB23" s="28"/>
      <c r="AC23" s="15">
        <f t="shared" si="13"/>
        <v>74168</v>
      </c>
      <c r="AD23" s="19">
        <f t="shared" si="14"/>
        <v>-48</v>
      </c>
      <c r="AE23" s="20" t="s">
        <v>88</v>
      </c>
      <c r="AF23" s="21">
        <v>1800003160</v>
      </c>
      <c r="AG23" s="22" t="s">
        <v>53</v>
      </c>
    </row>
    <row r="24" spans="1:33" ht="14.25" customHeight="1" x14ac:dyDescent="0.25">
      <c r="A24" s="23">
        <v>1</v>
      </c>
      <c r="B24" s="24" t="s">
        <v>59</v>
      </c>
      <c r="C24" s="25">
        <v>50003</v>
      </c>
      <c r="D24" s="26">
        <v>21978</v>
      </c>
      <c r="E24" s="26" t="s">
        <v>39</v>
      </c>
      <c r="F24" s="26">
        <v>2027</v>
      </c>
      <c r="G24" s="24" t="s">
        <v>40</v>
      </c>
      <c r="H24" s="27">
        <v>50003</v>
      </c>
      <c r="I24" s="27">
        <f t="shared" si="0"/>
        <v>9001</v>
      </c>
      <c r="J24" s="27">
        <f t="shared" si="1"/>
        <v>59004</v>
      </c>
      <c r="K24" s="27">
        <f t="shared" si="2"/>
        <v>1180</v>
      </c>
      <c r="L24" s="28">
        <f t="shared" si="3"/>
        <v>50.003</v>
      </c>
      <c r="M24" s="28">
        <f t="shared" si="4"/>
        <v>1327.5796499999999</v>
      </c>
      <c r="N24" s="29">
        <f t="shared" si="5"/>
        <v>22.501349999999999</v>
      </c>
      <c r="O24" s="28">
        <f t="shared" si="6"/>
        <v>1305.0782999999999</v>
      </c>
      <c r="P24" s="28">
        <f t="shared" si="7"/>
        <v>1355</v>
      </c>
      <c r="Q24" s="30">
        <v>0</v>
      </c>
      <c r="R24" s="28">
        <f t="shared" si="8"/>
        <v>0</v>
      </c>
      <c r="S24" s="27">
        <f t="shared" si="9"/>
        <v>58829</v>
      </c>
      <c r="T24" s="28">
        <f t="shared" si="10"/>
        <v>12501</v>
      </c>
      <c r="U24" s="31">
        <f>+T24</f>
        <v>12501</v>
      </c>
      <c r="V24" s="28" t="s">
        <v>41</v>
      </c>
      <c r="W24" s="28">
        <f t="shared" si="11"/>
        <v>46328</v>
      </c>
      <c r="X24" s="28">
        <v>46328</v>
      </c>
      <c r="Y24" s="28" t="s">
        <v>35</v>
      </c>
      <c r="Z24" s="28">
        <f t="shared" ca="1" si="12"/>
        <v>0</v>
      </c>
      <c r="AA24" s="28"/>
      <c r="AB24" s="28"/>
      <c r="AC24" s="15">
        <f t="shared" si="13"/>
        <v>58829</v>
      </c>
      <c r="AD24" s="19">
        <f t="shared" si="14"/>
        <v>0</v>
      </c>
      <c r="AE24" s="20" t="s">
        <v>89</v>
      </c>
      <c r="AF24" s="21">
        <v>1800003309</v>
      </c>
      <c r="AG24" s="22" t="s">
        <v>43</v>
      </c>
    </row>
    <row r="25" spans="1:33" ht="14.25" customHeight="1" x14ac:dyDescent="0.25">
      <c r="A25" s="23">
        <v>1000</v>
      </c>
      <c r="B25" s="24" t="s">
        <v>90</v>
      </c>
      <c r="C25" s="25">
        <v>517</v>
      </c>
      <c r="D25" s="26">
        <v>21978</v>
      </c>
      <c r="E25" s="26" t="s">
        <v>39</v>
      </c>
      <c r="F25" s="26">
        <v>2033</v>
      </c>
      <c r="G25" s="24" t="s">
        <v>91</v>
      </c>
      <c r="H25" s="27">
        <v>517000</v>
      </c>
      <c r="I25" s="27">
        <f t="shared" si="0"/>
        <v>93060</v>
      </c>
      <c r="J25" s="27">
        <f t="shared" si="1"/>
        <v>610060</v>
      </c>
      <c r="K25" s="27">
        <f t="shared" si="2"/>
        <v>12201</v>
      </c>
      <c r="L25" s="28">
        <f t="shared" si="3"/>
        <v>517</v>
      </c>
      <c r="M25" s="28">
        <f t="shared" si="4"/>
        <v>13726.349999999999</v>
      </c>
      <c r="N25" s="29">
        <f t="shared" si="5"/>
        <v>232.65</v>
      </c>
      <c r="O25" s="28">
        <f t="shared" si="6"/>
        <v>13493.699999999999</v>
      </c>
      <c r="P25" s="28">
        <f t="shared" si="7"/>
        <v>14011</v>
      </c>
      <c r="Q25" s="30">
        <v>0</v>
      </c>
      <c r="R25" s="28">
        <f t="shared" si="8"/>
        <v>0</v>
      </c>
      <c r="S25" s="27">
        <f t="shared" si="9"/>
        <v>608251</v>
      </c>
      <c r="T25" s="28">
        <f t="shared" si="10"/>
        <v>129250</v>
      </c>
      <c r="U25" s="31">
        <v>129250</v>
      </c>
      <c r="V25" s="28" t="s">
        <v>53</v>
      </c>
      <c r="W25" s="28">
        <f t="shared" si="11"/>
        <v>479001</v>
      </c>
      <c r="X25" s="28">
        <v>479001</v>
      </c>
      <c r="Y25" s="28" t="s">
        <v>85</v>
      </c>
      <c r="Z25" s="28">
        <f t="shared" ca="1" si="12"/>
        <v>0</v>
      </c>
      <c r="AA25" s="28"/>
      <c r="AB25" s="28"/>
      <c r="AC25" s="15">
        <f t="shared" si="13"/>
        <v>608251</v>
      </c>
      <c r="AD25" s="19">
        <f t="shared" si="14"/>
        <v>0</v>
      </c>
      <c r="AE25" s="20" t="s">
        <v>92</v>
      </c>
      <c r="AF25" s="21">
        <v>1800003317</v>
      </c>
      <c r="AG25" s="22" t="s">
        <v>43</v>
      </c>
    </row>
    <row r="26" spans="1:33" ht="14.25" customHeight="1" x14ac:dyDescent="0.25">
      <c r="A26" s="23">
        <v>2</v>
      </c>
      <c r="B26" s="24" t="s">
        <v>93</v>
      </c>
      <c r="C26" s="25">
        <v>14001</v>
      </c>
      <c r="D26" s="26">
        <v>21978</v>
      </c>
      <c r="E26" s="26" t="s">
        <v>39</v>
      </c>
      <c r="F26" s="26">
        <v>2035</v>
      </c>
      <c r="G26" s="24" t="s">
        <v>40</v>
      </c>
      <c r="H26" s="27">
        <v>28002</v>
      </c>
      <c r="I26" s="27">
        <f t="shared" si="0"/>
        <v>5040</v>
      </c>
      <c r="J26" s="27">
        <f t="shared" si="1"/>
        <v>33042</v>
      </c>
      <c r="K26" s="27">
        <f t="shared" si="2"/>
        <v>661</v>
      </c>
      <c r="L26" s="28">
        <f t="shared" si="3"/>
        <v>28.001999999999999</v>
      </c>
      <c r="M26" s="28">
        <f t="shared" si="4"/>
        <v>743.45309999999995</v>
      </c>
      <c r="N26" s="29">
        <f t="shared" si="5"/>
        <v>12.600899999999999</v>
      </c>
      <c r="O26" s="28">
        <f t="shared" si="6"/>
        <v>730.85219999999993</v>
      </c>
      <c r="P26" s="28">
        <f t="shared" si="7"/>
        <v>759</v>
      </c>
      <c r="Q26" s="30">
        <v>0</v>
      </c>
      <c r="R26" s="28">
        <f t="shared" si="8"/>
        <v>0</v>
      </c>
      <c r="S26" s="27">
        <f t="shared" si="9"/>
        <v>32944</v>
      </c>
      <c r="T26" s="28">
        <f t="shared" si="10"/>
        <v>7001</v>
      </c>
      <c r="U26" s="31">
        <f>+T26</f>
        <v>7001</v>
      </c>
      <c r="V26" s="28" t="s">
        <v>41</v>
      </c>
      <c r="W26" s="28">
        <f t="shared" si="11"/>
        <v>25944</v>
      </c>
      <c r="X26" s="28">
        <v>25943</v>
      </c>
      <c r="Y26" s="28" t="s">
        <v>35</v>
      </c>
      <c r="Z26" s="28">
        <f t="shared" ca="1" si="12"/>
        <v>0</v>
      </c>
      <c r="AA26" s="28"/>
      <c r="AB26" s="28"/>
      <c r="AC26" s="15">
        <f t="shared" si="13"/>
        <v>32944</v>
      </c>
      <c r="AD26" s="19">
        <f t="shared" si="14"/>
        <v>0</v>
      </c>
      <c r="AE26" s="20" t="s">
        <v>94</v>
      </c>
      <c r="AF26" s="21">
        <v>1800003310</v>
      </c>
      <c r="AG26" s="22" t="s">
        <v>43</v>
      </c>
    </row>
    <row r="27" spans="1:33" ht="26.25" customHeight="1" x14ac:dyDescent="0.25">
      <c r="A27" s="23">
        <v>8.1999999999999993</v>
      </c>
      <c r="B27" s="24" t="s">
        <v>95</v>
      </c>
      <c r="C27" s="25">
        <v>67000</v>
      </c>
      <c r="D27" s="26">
        <v>21978</v>
      </c>
      <c r="E27" s="26" t="s">
        <v>96</v>
      </c>
      <c r="F27" s="26">
        <v>2036</v>
      </c>
      <c r="G27" s="24" t="s">
        <v>97</v>
      </c>
      <c r="H27" s="27">
        <v>549400</v>
      </c>
      <c r="I27" s="27">
        <f t="shared" si="0"/>
        <v>98892</v>
      </c>
      <c r="J27" s="27">
        <f t="shared" si="1"/>
        <v>648292</v>
      </c>
      <c r="K27" s="27">
        <f t="shared" si="2"/>
        <v>12966</v>
      </c>
      <c r="L27" s="28">
        <f t="shared" si="3"/>
        <v>549.4</v>
      </c>
      <c r="M27" s="28">
        <f t="shared" si="4"/>
        <v>14586.57</v>
      </c>
      <c r="N27" s="29">
        <f t="shared" si="5"/>
        <v>247.23000000000002</v>
      </c>
      <c r="O27" s="28">
        <f t="shared" si="6"/>
        <v>14339.34</v>
      </c>
      <c r="P27" s="28">
        <f t="shared" si="7"/>
        <v>14889</v>
      </c>
      <c r="Q27" s="30">
        <v>0.02</v>
      </c>
      <c r="R27" s="28">
        <f t="shared" si="8"/>
        <v>10988</v>
      </c>
      <c r="S27" s="27">
        <f t="shared" si="9"/>
        <v>635381</v>
      </c>
      <c r="T27" s="28">
        <f t="shared" si="10"/>
        <v>137350</v>
      </c>
      <c r="U27" s="31">
        <v>137350</v>
      </c>
      <c r="V27" s="28" t="s">
        <v>53</v>
      </c>
      <c r="W27" s="28">
        <f t="shared" si="11"/>
        <v>498031</v>
      </c>
      <c r="X27" s="28"/>
      <c r="Y27" s="28">
        <v>0</v>
      </c>
      <c r="Z27" s="28">
        <f t="shared" ca="1" si="12"/>
        <v>19448.760000000002</v>
      </c>
      <c r="AA27" s="28"/>
      <c r="AB27" s="28"/>
      <c r="AC27" s="15">
        <f t="shared" si="13"/>
        <v>137350</v>
      </c>
      <c r="AD27" s="19">
        <f t="shared" si="14"/>
        <v>498031</v>
      </c>
      <c r="AE27" s="20"/>
      <c r="AF27" s="21"/>
      <c r="AG27" s="22"/>
    </row>
    <row r="28" spans="1:33" ht="14.25" customHeight="1" x14ac:dyDescent="0.25">
      <c r="A28" s="23">
        <v>50</v>
      </c>
      <c r="B28" s="24" t="s">
        <v>75</v>
      </c>
      <c r="C28" s="25">
        <v>531</v>
      </c>
      <c r="D28" s="26">
        <v>21978</v>
      </c>
      <c r="E28" s="26" t="s">
        <v>39</v>
      </c>
      <c r="F28" s="26">
        <v>2037</v>
      </c>
      <c r="G28" s="24" t="s">
        <v>91</v>
      </c>
      <c r="H28" s="27">
        <v>26550</v>
      </c>
      <c r="I28" s="27">
        <f t="shared" si="0"/>
        <v>4779</v>
      </c>
      <c r="J28" s="27">
        <f t="shared" si="1"/>
        <v>31329</v>
      </c>
      <c r="K28" s="27">
        <f t="shared" si="2"/>
        <v>627</v>
      </c>
      <c r="L28" s="28">
        <f t="shared" si="3"/>
        <v>26.55</v>
      </c>
      <c r="M28" s="28">
        <f t="shared" si="4"/>
        <v>704.90249999999992</v>
      </c>
      <c r="N28" s="29">
        <f t="shared" si="5"/>
        <v>11.9475</v>
      </c>
      <c r="O28" s="28">
        <f t="shared" si="6"/>
        <v>692.95499999999993</v>
      </c>
      <c r="P28" s="28">
        <f t="shared" si="7"/>
        <v>720</v>
      </c>
      <c r="Q28" s="30">
        <v>0</v>
      </c>
      <c r="R28" s="28">
        <f t="shared" si="8"/>
        <v>0</v>
      </c>
      <c r="S28" s="27">
        <f t="shared" si="9"/>
        <v>31236</v>
      </c>
      <c r="T28" s="28">
        <f t="shared" si="10"/>
        <v>6638</v>
      </c>
      <c r="U28" s="31">
        <v>6638</v>
      </c>
      <c r="V28" s="28" t="s">
        <v>53</v>
      </c>
      <c r="W28" s="28">
        <f t="shared" si="11"/>
        <v>24599</v>
      </c>
      <c r="X28" s="28">
        <v>24598</v>
      </c>
      <c r="Y28" s="28" t="s">
        <v>85</v>
      </c>
      <c r="Z28" s="28">
        <f t="shared" ca="1" si="12"/>
        <v>0</v>
      </c>
      <c r="AA28" s="28"/>
      <c r="AB28" s="28"/>
      <c r="AC28" s="15">
        <f t="shared" si="13"/>
        <v>31236</v>
      </c>
      <c r="AD28" s="19">
        <f t="shared" si="14"/>
        <v>0</v>
      </c>
      <c r="AE28" s="20" t="s">
        <v>98</v>
      </c>
      <c r="AF28" s="21">
        <v>1800003318</v>
      </c>
      <c r="AG28" s="22" t="s">
        <v>43</v>
      </c>
    </row>
    <row r="29" spans="1:33" ht="14.25" customHeight="1" x14ac:dyDescent="0.25">
      <c r="A29" s="23">
        <v>3</v>
      </c>
      <c r="B29" s="24" t="s">
        <v>99</v>
      </c>
      <c r="C29" s="25">
        <v>90002</v>
      </c>
      <c r="D29" s="26">
        <v>21978</v>
      </c>
      <c r="E29" s="26" t="s">
        <v>39</v>
      </c>
      <c r="F29" s="26">
        <v>2040</v>
      </c>
      <c r="G29" s="24" t="s">
        <v>66</v>
      </c>
      <c r="H29" s="27">
        <v>270006</v>
      </c>
      <c r="I29" s="27">
        <f t="shared" si="0"/>
        <v>48601</v>
      </c>
      <c r="J29" s="27">
        <f t="shared" si="1"/>
        <v>318607</v>
      </c>
      <c r="K29" s="27">
        <f t="shared" si="2"/>
        <v>6372</v>
      </c>
      <c r="L29" s="28">
        <f t="shared" si="3"/>
        <v>270.00600000000003</v>
      </c>
      <c r="M29" s="28">
        <f t="shared" si="4"/>
        <v>7168.6593000000003</v>
      </c>
      <c r="N29" s="29">
        <f t="shared" si="5"/>
        <v>121.5027</v>
      </c>
      <c r="O29" s="28">
        <f t="shared" si="6"/>
        <v>7047.1566000000003</v>
      </c>
      <c r="P29" s="28">
        <f t="shared" si="7"/>
        <v>7317</v>
      </c>
      <c r="Q29" s="30">
        <v>0</v>
      </c>
      <c r="R29" s="28">
        <f t="shared" si="8"/>
        <v>0</v>
      </c>
      <c r="S29" s="27">
        <f t="shared" si="9"/>
        <v>317662</v>
      </c>
      <c r="T29" s="28">
        <f t="shared" si="10"/>
        <v>67502</v>
      </c>
      <c r="U29" s="31">
        <v>67502</v>
      </c>
      <c r="V29" s="28" t="s">
        <v>46</v>
      </c>
      <c r="W29" s="28">
        <f t="shared" si="11"/>
        <v>250161</v>
      </c>
      <c r="X29" s="28"/>
      <c r="Y29" s="28">
        <v>0</v>
      </c>
      <c r="Z29" s="28">
        <f t="shared" ca="1" si="12"/>
        <v>9558.2124000000003</v>
      </c>
      <c r="AA29" s="28"/>
      <c r="AB29" s="28"/>
      <c r="AC29" s="15">
        <f t="shared" si="13"/>
        <v>67502</v>
      </c>
      <c r="AD29" s="19">
        <f t="shared" si="14"/>
        <v>250160</v>
      </c>
      <c r="AE29" s="20"/>
      <c r="AF29" s="21"/>
      <c r="AG29" s="22"/>
    </row>
    <row r="30" spans="1:33" ht="14.25" customHeight="1" x14ac:dyDescent="0.25">
      <c r="A30" s="23">
        <v>5</v>
      </c>
      <c r="B30" s="24" t="s">
        <v>59</v>
      </c>
      <c r="C30" s="25">
        <v>80000</v>
      </c>
      <c r="D30" s="26">
        <v>21979</v>
      </c>
      <c r="E30" s="26" t="s">
        <v>39</v>
      </c>
      <c r="F30" s="26">
        <v>2043</v>
      </c>
      <c r="G30" s="24" t="s">
        <v>40</v>
      </c>
      <c r="H30" s="27">
        <v>400000</v>
      </c>
      <c r="I30" s="27">
        <f t="shared" si="0"/>
        <v>72000</v>
      </c>
      <c r="J30" s="27">
        <f t="shared" si="1"/>
        <v>472000</v>
      </c>
      <c r="K30" s="27">
        <f t="shared" si="2"/>
        <v>9440</v>
      </c>
      <c r="L30" s="28">
        <f t="shared" si="3"/>
        <v>400</v>
      </c>
      <c r="M30" s="28">
        <f t="shared" si="4"/>
        <v>10620</v>
      </c>
      <c r="N30" s="29">
        <f t="shared" si="5"/>
        <v>180</v>
      </c>
      <c r="O30" s="28">
        <f t="shared" si="6"/>
        <v>10440</v>
      </c>
      <c r="P30" s="28">
        <f t="shared" si="7"/>
        <v>10840</v>
      </c>
      <c r="Q30" s="30">
        <v>0</v>
      </c>
      <c r="R30" s="28">
        <f t="shared" si="8"/>
        <v>0</v>
      </c>
      <c r="S30" s="27">
        <f t="shared" si="9"/>
        <v>470600</v>
      </c>
      <c r="T30" s="28">
        <f t="shared" si="10"/>
        <v>100000</v>
      </c>
      <c r="U30" s="31">
        <f>+T30</f>
        <v>100000</v>
      </c>
      <c r="V30" s="28" t="s">
        <v>41</v>
      </c>
      <c r="W30" s="28">
        <f t="shared" si="11"/>
        <v>370600</v>
      </c>
      <c r="X30" s="28">
        <v>370600</v>
      </c>
      <c r="Y30" s="28" t="s">
        <v>35</v>
      </c>
      <c r="Z30" s="28">
        <f t="shared" ca="1" si="12"/>
        <v>0</v>
      </c>
      <c r="AA30" s="28"/>
      <c r="AB30" s="28"/>
      <c r="AC30" s="15">
        <f t="shared" si="13"/>
        <v>470600</v>
      </c>
      <c r="AD30" s="19">
        <f t="shared" si="14"/>
        <v>0</v>
      </c>
      <c r="AE30" s="20" t="s">
        <v>100</v>
      </c>
      <c r="AF30" s="21">
        <v>1800003311</v>
      </c>
      <c r="AG30" s="22" t="s">
        <v>43</v>
      </c>
    </row>
    <row r="31" spans="1:33" ht="14.25" customHeight="1" x14ac:dyDescent="0.25">
      <c r="A31" s="23">
        <v>670</v>
      </c>
      <c r="B31" s="24" t="s">
        <v>101</v>
      </c>
      <c r="C31" s="25">
        <v>309</v>
      </c>
      <c r="D31" s="26">
        <v>21979</v>
      </c>
      <c r="E31" s="26" t="s">
        <v>33</v>
      </c>
      <c r="F31" s="26">
        <v>2046</v>
      </c>
      <c r="G31" s="24" t="s">
        <v>102</v>
      </c>
      <c r="H31" s="27">
        <v>207030</v>
      </c>
      <c r="I31" s="27">
        <f t="shared" si="0"/>
        <v>37265</v>
      </c>
      <c r="J31" s="27">
        <f t="shared" si="1"/>
        <v>244295</v>
      </c>
      <c r="K31" s="27">
        <f t="shared" si="2"/>
        <v>4886</v>
      </c>
      <c r="L31" s="28">
        <f t="shared" si="3"/>
        <v>207.03</v>
      </c>
      <c r="M31" s="28">
        <f t="shared" si="4"/>
        <v>5496.6464999999998</v>
      </c>
      <c r="N31" s="29">
        <f t="shared" si="5"/>
        <v>93.163499999999999</v>
      </c>
      <c r="O31" s="28">
        <f t="shared" si="6"/>
        <v>5403.4830000000002</v>
      </c>
      <c r="P31" s="28">
        <f t="shared" si="7"/>
        <v>5611</v>
      </c>
      <c r="Q31" s="30">
        <v>0</v>
      </c>
      <c r="R31" s="28">
        <f t="shared" si="8"/>
        <v>0</v>
      </c>
      <c r="S31" s="27">
        <f t="shared" si="9"/>
        <v>243571</v>
      </c>
      <c r="T31" s="28">
        <f t="shared" si="10"/>
        <v>51758</v>
      </c>
      <c r="U31" s="31">
        <v>51758</v>
      </c>
      <c r="V31" s="28" t="s">
        <v>46</v>
      </c>
      <c r="W31" s="28">
        <f t="shared" si="11"/>
        <v>191813</v>
      </c>
      <c r="X31" s="28">
        <v>191812</v>
      </c>
      <c r="Y31" s="28" t="s">
        <v>85</v>
      </c>
      <c r="Z31" s="28">
        <f t="shared" ca="1" si="12"/>
        <v>0</v>
      </c>
      <c r="AA31" s="28"/>
      <c r="AB31" s="28"/>
      <c r="AC31" s="15">
        <f t="shared" si="13"/>
        <v>243570</v>
      </c>
      <c r="AD31" s="19">
        <f t="shared" si="14"/>
        <v>1</v>
      </c>
      <c r="AE31" s="20" t="s">
        <v>103</v>
      </c>
      <c r="AF31" s="21">
        <v>1800003316</v>
      </c>
      <c r="AG31" s="22" t="s">
        <v>43</v>
      </c>
    </row>
    <row r="32" spans="1:33" ht="14.25" customHeight="1" x14ac:dyDescent="0.25">
      <c r="A32" s="23">
        <v>2</v>
      </c>
      <c r="B32" s="24" t="s">
        <v>104</v>
      </c>
      <c r="C32" s="25">
        <v>80006</v>
      </c>
      <c r="D32" s="26">
        <v>21979</v>
      </c>
      <c r="E32" s="26" t="s">
        <v>39</v>
      </c>
      <c r="F32" s="26">
        <v>2055</v>
      </c>
      <c r="G32" s="24" t="s">
        <v>40</v>
      </c>
      <c r="H32" s="27">
        <v>160012</v>
      </c>
      <c r="I32" s="27">
        <f t="shared" si="0"/>
        <v>28802</v>
      </c>
      <c r="J32" s="27">
        <f t="shared" si="1"/>
        <v>188814</v>
      </c>
      <c r="K32" s="27">
        <f t="shared" si="2"/>
        <v>3776</v>
      </c>
      <c r="L32" s="28">
        <f t="shared" si="3"/>
        <v>160.012</v>
      </c>
      <c r="M32" s="28">
        <f t="shared" si="4"/>
        <v>4248.3185999999996</v>
      </c>
      <c r="N32" s="29">
        <f t="shared" si="5"/>
        <v>72.005399999999995</v>
      </c>
      <c r="O32" s="28">
        <f t="shared" si="6"/>
        <v>4176.3131999999996</v>
      </c>
      <c r="P32" s="28">
        <f t="shared" si="7"/>
        <v>4336</v>
      </c>
      <c r="Q32" s="30">
        <v>0</v>
      </c>
      <c r="R32" s="28">
        <f t="shared" si="8"/>
        <v>0</v>
      </c>
      <c r="S32" s="27">
        <f t="shared" si="9"/>
        <v>188254</v>
      </c>
      <c r="T32" s="28">
        <f t="shared" si="10"/>
        <v>40003</v>
      </c>
      <c r="U32" s="31">
        <f>+T32</f>
        <v>40003</v>
      </c>
      <c r="V32" s="28" t="s">
        <v>41</v>
      </c>
      <c r="W32" s="28">
        <f t="shared" si="11"/>
        <v>148251</v>
      </c>
      <c r="X32" s="28">
        <v>148251</v>
      </c>
      <c r="Y32" s="28" t="s">
        <v>35</v>
      </c>
      <c r="Z32" s="28">
        <f t="shared" ca="1" si="12"/>
        <v>0</v>
      </c>
      <c r="AA32" s="28"/>
      <c r="AB32" s="28"/>
      <c r="AC32" s="15">
        <f t="shared" si="13"/>
        <v>188254</v>
      </c>
      <c r="AD32" s="19">
        <f t="shared" si="14"/>
        <v>0</v>
      </c>
      <c r="AE32" s="20" t="s">
        <v>105</v>
      </c>
      <c r="AF32" s="21">
        <v>1800003312</v>
      </c>
      <c r="AG32" s="22" t="s">
        <v>43</v>
      </c>
    </row>
    <row r="33" spans="1:33" ht="14.25" customHeight="1" x14ac:dyDescent="0.25">
      <c r="A33" s="23">
        <v>1</v>
      </c>
      <c r="B33" s="24" t="s">
        <v>106</v>
      </c>
      <c r="C33" s="25">
        <v>29502</v>
      </c>
      <c r="D33" s="26">
        <v>21979</v>
      </c>
      <c r="E33" s="26" t="s">
        <v>39</v>
      </c>
      <c r="F33" s="26">
        <v>2059</v>
      </c>
      <c r="G33" s="24" t="s">
        <v>40</v>
      </c>
      <c r="H33" s="27">
        <v>29502</v>
      </c>
      <c r="I33" s="27">
        <f t="shared" si="0"/>
        <v>5310</v>
      </c>
      <c r="J33" s="27">
        <f t="shared" si="1"/>
        <v>34812</v>
      </c>
      <c r="K33" s="27">
        <f t="shared" si="2"/>
        <v>696</v>
      </c>
      <c r="L33" s="28">
        <f t="shared" si="3"/>
        <v>29.501999999999999</v>
      </c>
      <c r="M33" s="28">
        <f t="shared" si="4"/>
        <v>783.27809999999988</v>
      </c>
      <c r="N33" s="29">
        <f t="shared" si="5"/>
        <v>13.2759</v>
      </c>
      <c r="O33" s="28">
        <f t="shared" si="6"/>
        <v>770.0021999999999</v>
      </c>
      <c r="P33" s="28">
        <f t="shared" si="7"/>
        <v>800</v>
      </c>
      <c r="Q33" s="30">
        <v>0</v>
      </c>
      <c r="R33" s="28">
        <f t="shared" si="8"/>
        <v>0</v>
      </c>
      <c r="S33" s="27">
        <f t="shared" si="9"/>
        <v>34709</v>
      </c>
      <c r="T33" s="28">
        <f t="shared" si="10"/>
        <v>7376</v>
      </c>
      <c r="U33" s="31">
        <f>+T33</f>
        <v>7376</v>
      </c>
      <c r="V33" s="28" t="s">
        <v>41</v>
      </c>
      <c r="W33" s="28">
        <f t="shared" si="11"/>
        <v>27334</v>
      </c>
      <c r="X33" s="28">
        <v>27332</v>
      </c>
      <c r="Y33" s="28" t="s">
        <v>35</v>
      </c>
      <c r="Z33" s="28">
        <f t="shared" ca="1" si="12"/>
        <v>0</v>
      </c>
      <c r="AA33" s="28"/>
      <c r="AB33" s="28"/>
      <c r="AC33" s="15">
        <f t="shared" si="13"/>
        <v>34708</v>
      </c>
      <c r="AD33" s="19">
        <f t="shared" si="14"/>
        <v>1</v>
      </c>
      <c r="AE33" s="20" t="s">
        <v>107</v>
      </c>
      <c r="AF33" s="21">
        <v>1800003313</v>
      </c>
      <c r="AG33" s="22" t="s">
        <v>43</v>
      </c>
    </row>
    <row r="34" spans="1:33" ht="14.25" customHeight="1" x14ac:dyDescent="0.25">
      <c r="A34" s="23">
        <v>30</v>
      </c>
      <c r="B34" s="24" t="s">
        <v>108</v>
      </c>
      <c r="C34" s="25">
        <v>702</v>
      </c>
      <c r="D34" s="26">
        <v>21979</v>
      </c>
      <c r="E34" s="26" t="s">
        <v>39</v>
      </c>
      <c r="F34" s="26">
        <v>2062</v>
      </c>
      <c r="G34" s="24" t="s">
        <v>66</v>
      </c>
      <c r="H34" s="27">
        <v>21060</v>
      </c>
      <c r="I34" s="27">
        <f t="shared" si="0"/>
        <v>3791</v>
      </c>
      <c r="J34" s="27">
        <f t="shared" si="1"/>
        <v>24851</v>
      </c>
      <c r="K34" s="27">
        <f t="shared" si="2"/>
        <v>497</v>
      </c>
      <c r="L34" s="28">
        <f t="shared" si="3"/>
        <v>21.06</v>
      </c>
      <c r="M34" s="28">
        <f t="shared" si="4"/>
        <v>559.14299999999992</v>
      </c>
      <c r="N34" s="29">
        <f t="shared" si="5"/>
        <v>9.4770000000000003</v>
      </c>
      <c r="O34" s="28">
        <f t="shared" si="6"/>
        <v>549.66599999999994</v>
      </c>
      <c r="P34" s="28">
        <f t="shared" si="7"/>
        <v>571</v>
      </c>
      <c r="Q34" s="30">
        <v>0</v>
      </c>
      <c r="R34" s="28">
        <f t="shared" si="8"/>
        <v>0</v>
      </c>
      <c r="S34" s="27">
        <f t="shared" si="9"/>
        <v>24777</v>
      </c>
      <c r="T34" s="28">
        <f t="shared" si="10"/>
        <v>5265</v>
      </c>
      <c r="U34" s="31">
        <v>5265</v>
      </c>
      <c r="V34" s="28" t="s">
        <v>46</v>
      </c>
      <c r="W34" s="28">
        <f t="shared" si="11"/>
        <v>19512</v>
      </c>
      <c r="X34" s="28">
        <v>19512</v>
      </c>
      <c r="Y34" s="28" t="s">
        <v>46</v>
      </c>
      <c r="Z34" s="28">
        <f t="shared" ca="1" si="12"/>
        <v>0</v>
      </c>
      <c r="AA34" s="28"/>
      <c r="AB34" s="28"/>
      <c r="AC34" s="15">
        <f t="shared" si="13"/>
        <v>24777</v>
      </c>
      <c r="AD34" s="19">
        <f t="shared" si="14"/>
        <v>0</v>
      </c>
      <c r="AE34" s="20" t="s">
        <v>109</v>
      </c>
      <c r="AF34" s="21">
        <v>1800003161</v>
      </c>
      <c r="AG34" s="22" t="s">
        <v>53</v>
      </c>
    </row>
    <row r="35" spans="1:33" ht="14.25" customHeight="1" x14ac:dyDescent="0.25">
      <c r="A35" s="23">
        <v>150</v>
      </c>
      <c r="B35" s="24" t="s">
        <v>65</v>
      </c>
      <c r="C35" s="25">
        <v>571</v>
      </c>
      <c r="D35" s="26">
        <v>21980</v>
      </c>
      <c r="E35" s="26" t="s">
        <v>39</v>
      </c>
      <c r="F35" s="26">
        <v>2067</v>
      </c>
      <c r="G35" s="24" t="s">
        <v>91</v>
      </c>
      <c r="H35" s="27">
        <v>85650</v>
      </c>
      <c r="I35" s="27">
        <f t="shared" si="0"/>
        <v>15417</v>
      </c>
      <c r="J35" s="27">
        <f t="shared" si="1"/>
        <v>101067</v>
      </c>
      <c r="K35" s="27">
        <f t="shared" si="2"/>
        <v>2021</v>
      </c>
      <c r="L35" s="28">
        <f t="shared" si="3"/>
        <v>85.65</v>
      </c>
      <c r="M35" s="28">
        <f t="shared" si="4"/>
        <v>2274.0074999999997</v>
      </c>
      <c r="N35" s="29">
        <f t="shared" si="5"/>
        <v>38.542500000000004</v>
      </c>
      <c r="O35" s="28">
        <f t="shared" si="6"/>
        <v>2235.4649999999997</v>
      </c>
      <c r="P35" s="28">
        <f t="shared" si="7"/>
        <v>2321</v>
      </c>
      <c r="Q35" s="30">
        <v>0</v>
      </c>
      <c r="R35" s="28">
        <f t="shared" si="8"/>
        <v>0</v>
      </c>
      <c r="S35" s="27">
        <f t="shared" si="9"/>
        <v>100767</v>
      </c>
      <c r="T35" s="28">
        <f t="shared" si="10"/>
        <v>21413</v>
      </c>
      <c r="U35" s="31">
        <v>21413</v>
      </c>
      <c r="V35" s="28" t="s">
        <v>53</v>
      </c>
      <c r="W35" s="28">
        <f t="shared" si="11"/>
        <v>79355</v>
      </c>
      <c r="X35" s="28">
        <v>79354</v>
      </c>
      <c r="Y35" s="28" t="s">
        <v>47</v>
      </c>
      <c r="Z35" s="28">
        <f t="shared" ca="1" si="12"/>
        <v>0</v>
      </c>
      <c r="AA35" s="28"/>
      <c r="AB35" s="28"/>
      <c r="AC35" s="15">
        <f t="shared" si="13"/>
        <v>100767</v>
      </c>
      <c r="AD35" s="19">
        <f t="shared" si="14"/>
        <v>0</v>
      </c>
      <c r="AE35" s="20" t="s">
        <v>110</v>
      </c>
      <c r="AF35" s="21">
        <v>1800003248</v>
      </c>
      <c r="AG35" s="22" t="s">
        <v>47</v>
      </c>
    </row>
    <row r="36" spans="1:33" ht="14.25" customHeight="1" x14ac:dyDescent="0.25">
      <c r="A36" s="23">
        <v>1</v>
      </c>
      <c r="B36" s="24" t="s">
        <v>111</v>
      </c>
      <c r="C36" s="25">
        <v>54000</v>
      </c>
      <c r="D36" s="26">
        <v>21980</v>
      </c>
      <c r="E36" s="26" t="s">
        <v>39</v>
      </c>
      <c r="F36" s="26">
        <v>2069</v>
      </c>
      <c r="G36" s="24" t="s">
        <v>66</v>
      </c>
      <c r="H36" s="27">
        <v>54000</v>
      </c>
      <c r="I36" s="27">
        <f t="shared" si="0"/>
        <v>9720</v>
      </c>
      <c r="J36" s="27">
        <f t="shared" si="1"/>
        <v>63720</v>
      </c>
      <c r="K36" s="27">
        <f t="shared" si="2"/>
        <v>1274</v>
      </c>
      <c r="L36" s="28">
        <f t="shared" si="3"/>
        <v>54</v>
      </c>
      <c r="M36" s="28">
        <f t="shared" si="4"/>
        <v>1433.6999999999998</v>
      </c>
      <c r="N36" s="29">
        <f t="shared" si="5"/>
        <v>24.3</v>
      </c>
      <c r="O36" s="28">
        <f t="shared" si="6"/>
        <v>1409.3999999999999</v>
      </c>
      <c r="P36" s="28">
        <f t="shared" si="7"/>
        <v>1463</v>
      </c>
      <c r="Q36" s="30">
        <v>0</v>
      </c>
      <c r="R36" s="28">
        <f t="shared" si="8"/>
        <v>0</v>
      </c>
      <c r="S36" s="27">
        <f t="shared" si="9"/>
        <v>63531</v>
      </c>
      <c r="T36" s="28">
        <f t="shared" si="10"/>
        <v>13500</v>
      </c>
      <c r="U36" s="31">
        <v>13500</v>
      </c>
      <c r="V36" s="28" t="s">
        <v>46</v>
      </c>
      <c r="W36" s="28">
        <f t="shared" si="11"/>
        <v>50031</v>
      </c>
      <c r="X36" s="28"/>
      <c r="Y36" s="28">
        <v>0</v>
      </c>
      <c r="Z36" s="28">
        <f t="shared" ca="1" si="12"/>
        <v>1911.6</v>
      </c>
      <c r="AA36" s="28"/>
      <c r="AB36" s="28"/>
      <c r="AC36" s="15">
        <f t="shared" si="13"/>
        <v>13500</v>
      </c>
      <c r="AD36" s="19">
        <f t="shared" si="14"/>
        <v>50031</v>
      </c>
      <c r="AE36" s="20"/>
      <c r="AF36" s="21"/>
      <c r="AG36" s="22"/>
    </row>
    <row r="37" spans="1:33" ht="14.25" customHeight="1" x14ac:dyDescent="0.25">
      <c r="A37" s="23">
        <v>3</v>
      </c>
      <c r="B37" s="24" t="s">
        <v>112</v>
      </c>
      <c r="C37" s="25">
        <v>25001</v>
      </c>
      <c r="D37" s="26">
        <v>21980</v>
      </c>
      <c r="E37" s="26" t="s">
        <v>39</v>
      </c>
      <c r="F37" s="26">
        <v>2071</v>
      </c>
      <c r="G37" s="24" t="s">
        <v>40</v>
      </c>
      <c r="H37" s="27">
        <v>75003</v>
      </c>
      <c r="I37" s="27">
        <f t="shared" si="0"/>
        <v>13501</v>
      </c>
      <c r="J37" s="27">
        <f t="shared" si="1"/>
        <v>88504</v>
      </c>
      <c r="K37" s="27">
        <f t="shared" si="2"/>
        <v>1770</v>
      </c>
      <c r="L37" s="28">
        <f t="shared" si="3"/>
        <v>75.003</v>
      </c>
      <c r="M37" s="28">
        <f t="shared" si="4"/>
        <v>1991.3296499999997</v>
      </c>
      <c r="N37" s="29">
        <f t="shared" si="5"/>
        <v>33.751349999999995</v>
      </c>
      <c r="O37" s="28">
        <f t="shared" si="6"/>
        <v>1957.5782999999997</v>
      </c>
      <c r="P37" s="28">
        <f t="shared" si="7"/>
        <v>2033</v>
      </c>
      <c r="Q37" s="30">
        <v>0</v>
      </c>
      <c r="R37" s="28">
        <f t="shared" si="8"/>
        <v>0</v>
      </c>
      <c r="S37" s="27">
        <f t="shared" si="9"/>
        <v>88241</v>
      </c>
      <c r="T37" s="28">
        <f t="shared" si="10"/>
        <v>18751</v>
      </c>
      <c r="U37" s="31">
        <f>+T37</f>
        <v>18751</v>
      </c>
      <c r="V37" s="28" t="s">
        <v>41</v>
      </c>
      <c r="W37" s="28">
        <f t="shared" si="11"/>
        <v>69490</v>
      </c>
      <c r="X37" s="28">
        <v>69491</v>
      </c>
      <c r="Y37" s="28" t="s">
        <v>35</v>
      </c>
      <c r="Z37" s="28">
        <f t="shared" ca="1" si="12"/>
        <v>0</v>
      </c>
      <c r="AA37" s="28"/>
      <c r="AB37" s="28"/>
      <c r="AC37" s="15">
        <f t="shared" si="13"/>
        <v>88242</v>
      </c>
      <c r="AD37" s="19">
        <f t="shared" si="14"/>
        <v>-1</v>
      </c>
      <c r="AE37" s="20" t="s">
        <v>113</v>
      </c>
      <c r="AF37" s="21">
        <v>1800003314</v>
      </c>
      <c r="AG37" s="22" t="s">
        <v>43</v>
      </c>
    </row>
    <row r="38" spans="1:33" ht="14.25" customHeight="1" x14ac:dyDescent="0.25">
      <c r="A38" s="23">
        <v>3</v>
      </c>
      <c r="B38" s="24" t="s">
        <v>59</v>
      </c>
      <c r="C38" s="25">
        <v>70001</v>
      </c>
      <c r="D38" s="26">
        <v>21980</v>
      </c>
      <c r="E38" s="26" t="s">
        <v>39</v>
      </c>
      <c r="F38" s="26">
        <v>2086</v>
      </c>
      <c r="G38" s="24" t="s">
        <v>114</v>
      </c>
      <c r="H38" s="27">
        <v>210003</v>
      </c>
      <c r="I38" s="27">
        <f t="shared" si="0"/>
        <v>37801</v>
      </c>
      <c r="J38" s="27">
        <f t="shared" si="1"/>
        <v>247804</v>
      </c>
      <c r="K38" s="27">
        <f t="shared" si="2"/>
        <v>4956</v>
      </c>
      <c r="L38" s="28">
        <f t="shared" si="3"/>
        <v>210.00300000000001</v>
      </c>
      <c r="M38" s="28">
        <f t="shared" si="4"/>
        <v>5575.5796499999997</v>
      </c>
      <c r="N38" s="29">
        <f t="shared" si="5"/>
        <v>94.501350000000002</v>
      </c>
      <c r="O38" s="28">
        <f t="shared" si="6"/>
        <v>5481.0782999999992</v>
      </c>
      <c r="P38" s="28">
        <f t="shared" si="7"/>
        <v>5691</v>
      </c>
      <c r="Q38" s="30">
        <v>0</v>
      </c>
      <c r="R38" s="28">
        <f t="shared" si="8"/>
        <v>0</v>
      </c>
      <c r="S38" s="27">
        <f t="shared" si="9"/>
        <v>247069</v>
      </c>
      <c r="T38" s="28">
        <f t="shared" si="10"/>
        <v>52501</v>
      </c>
      <c r="U38" s="31">
        <v>52501</v>
      </c>
      <c r="V38" s="28" t="s">
        <v>58</v>
      </c>
      <c r="W38" s="28">
        <f t="shared" si="11"/>
        <v>194568</v>
      </c>
      <c r="X38" s="28">
        <v>194568</v>
      </c>
      <c r="Y38" s="28" t="s">
        <v>58</v>
      </c>
      <c r="Z38" s="28">
        <f t="shared" ca="1" si="12"/>
        <v>0</v>
      </c>
      <c r="AA38" s="28"/>
      <c r="AB38" s="28"/>
      <c r="AC38" s="15">
        <f t="shared" si="13"/>
        <v>247069</v>
      </c>
      <c r="AD38" s="19">
        <f t="shared" si="14"/>
        <v>0</v>
      </c>
      <c r="AE38" s="20" t="s">
        <v>115</v>
      </c>
      <c r="AF38" s="21">
        <v>1800003226</v>
      </c>
      <c r="AG38" s="22" t="s">
        <v>116</v>
      </c>
    </row>
    <row r="39" spans="1:33" ht="14.25" customHeight="1" x14ac:dyDescent="0.25">
      <c r="A39" s="23">
        <v>2</v>
      </c>
      <c r="B39" s="24" t="s">
        <v>117</v>
      </c>
      <c r="C39" s="25">
        <v>15006</v>
      </c>
      <c r="D39" s="26">
        <v>21980</v>
      </c>
      <c r="E39" s="26" t="s">
        <v>39</v>
      </c>
      <c r="F39" s="26">
        <v>2089</v>
      </c>
      <c r="G39" s="24" t="s">
        <v>118</v>
      </c>
      <c r="H39" s="27">
        <v>30012</v>
      </c>
      <c r="I39" s="27">
        <f t="shared" si="0"/>
        <v>5402</v>
      </c>
      <c r="J39" s="27">
        <f t="shared" si="1"/>
        <v>35414</v>
      </c>
      <c r="K39" s="27">
        <f t="shared" si="2"/>
        <v>708</v>
      </c>
      <c r="L39" s="28">
        <f t="shared" si="3"/>
        <v>30.012</v>
      </c>
      <c r="M39" s="28">
        <f t="shared" si="4"/>
        <v>796.81859999999995</v>
      </c>
      <c r="N39" s="29">
        <f t="shared" si="5"/>
        <v>13.5054</v>
      </c>
      <c r="O39" s="28">
        <f t="shared" si="6"/>
        <v>783.31319999999994</v>
      </c>
      <c r="P39" s="28">
        <f t="shared" si="7"/>
        <v>813</v>
      </c>
      <c r="Q39" s="30">
        <v>0</v>
      </c>
      <c r="R39" s="28">
        <f t="shared" si="8"/>
        <v>0</v>
      </c>
      <c r="S39" s="27">
        <f t="shared" si="9"/>
        <v>35309</v>
      </c>
      <c r="T39" s="28">
        <f t="shared" si="10"/>
        <v>7503</v>
      </c>
      <c r="U39" s="31">
        <v>7503</v>
      </c>
      <c r="V39" s="28" t="s">
        <v>53</v>
      </c>
      <c r="W39" s="28">
        <f t="shared" si="11"/>
        <v>27806</v>
      </c>
      <c r="X39" s="28">
        <v>27806</v>
      </c>
      <c r="Y39" s="28" t="s">
        <v>119</v>
      </c>
      <c r="Z39" s="28">
        <f t="shared" ca="1" si="12"/>
        <v>708.28319999999997</v>
      </c>
      <c r="AA39" s="28">
        <v>708</v>
      </c>
      <c r="AB39" s="28" t="s">
        <v>119</v>
      </c>
      <c r="AC39" s="15">
        <f t="shared" si="13"/>
        <v>36017</v>
      </c>
      <c r="AD39" s="19">
        <f t="shared" si="14"/>
        <v>-708</v>
      </c>
      <c r="AE39" s="20"/>
      <c r="AF39" s="21"/>
      <c r="AG39" s="22"/>
    </row>
    <row r="40" spans="1:33" ht="15" customHeight="1" x14ac:dyDescent="0.25">
      <c r="A40" s="32">
        <v>3</v>
      </c>
      <c r="B40" s="33" t="s">
        <v>59</v>
      </c>
      <c r="C40" s="34">
        <v>40003</v>
      </c>
      <c r="D40" s="35">
        <v>21980</v>
      </c>
      <c r="E40" s="35" t="s">
        <v>39</v>
      </c>
      <c r="F40" s="35">
        <v>2091</v>
      </c>
      <c r="G40" s="33" t="s">
        <v>118</v>
      </c>
      <c r="H40" s="36">
        <v>120009</v>
      </c>
      <c r="I40" s="36">
        <f t="shared" si="0"/>
        <v>21602</v>
      </c>
      <c r="J40" s="36">
        <f t="shared" si="1"/>
        <v>141611</v>
      </c>
      <c r="K40" s="36">
        <f t="shared" si="2"/>
        <v>2832</v>
      </c>
      <c r="L40" s="37">
        <f t="shared" si="3"/>
        <v>120.009</v>
      </c>
      <c r="M40" s="37">
        <f t="shared" si="4"/>
        <v>3186.2389499999995</v>
      </c>
      <c r="N40" s="38">
        <f t="shared" si="5"/>
        <v>54.004049999999999</v>
      </c>
      <c r="O40" s="37">
        <f t="shared" si="6"/>
        <v>3132.2348999999995</v>
      </c>
      <c r="P40" s="37">
        <f t="shared" si="7"/>
        <v>3252</v>
      </c>
      <c r="Q40" s="39">
        <v>0</v>
      </c>
      <c r="R40" s="37">
        <f t="shared" si="8"/>
        <v>0</v>
      </c>
      <c r="S40" s="36">
        <f t="shared" si="9"/>
        <v>141191</v>
      </c>
      <c r="T40" s="37">
        <f t="shared" si="10"/>
        <v>30002</v>
      </c>
      <c r="U40" s="40">
        <v>30002</v>
      </c>
      <c r="V40" s="37" t="s">
        <v>53</v>
      </c>
      <c r="W40" s="37">
        <f t="shared" si="11"/>
        <v>111188</v>
      </c>
      <c r="X40" s="37">
        <v>111189</v>
      </c>
      <c r="Y40" s="37" t="s">
        <v>119</v>
      </c>
      <c r="Z40" s="37">
        <f t="shared" ca="1" si="12"/>
        <v>2832.2123999999999</v>
      </c>
      <c r="AA40" s="37">
        <v>2832</v>
      </c>
      <c r="AB40" s="37" t="s">
        <v>119</v>
      </c>
      <c r="AC40" s="15">
        <f t="shared" si="13"/>
        <v>144023</v>
      </c>
      <c r="AD40" s="19">
        <f t="shared" si="14"/>
        <v>-2832</v>
      </c>
      <c r="AE40" s="20"/>
      <c r="AF40" s="21"/>
      <c r="AG40" s="22"/>
    </row>
    <row r="41" spans="1:33" ht="14.25" customHeight="1" x14ac:dyDescent="0.25">
      <c r="A41" s="41"/>
      <c r="B41" s="42"/>
      <c r="C41" s="42"/>
      <c r="D41" s="42"/>
      <c r="E41" s="42"/>
      <c r="F41" s="42"/>
      <c r="G41" s="42"/>
      <c r="H41" s="43">
        <f t="shared" ref="H41:P41" si="15">SUM(H4:H40)</f>
        <v>15130598</v>
      </c>
      <c r="I41" s="43">
        <f t="shared" si="15"/>
        <v>2723508</v>
      </c>
      <c r="J41" s="43">
        <f t="shared" si="15"/>
        <v>17854106</v>
      </c>
      <c r="K41" s="43">
        <f t="shared" si="15"/>
        <v>357082</v>
      </c>
      <c r="L41" s="43">
        <f t="shared" si="15"/>
        <v>15130.598000000002</v>
      </c>
      <c r="M41" s="43">
        <f t="shared" si="15"/>
        <v>401717.37689999992</v>
      </c>
      <c r="N41" s="43">
        <f t="shared" si="15"/>
        <v>6808.7690999999977</v>
      </c>
      <c r="O41" s="43">
        <f t="shared" si="15"/>
        <v>394908.6078</v>
      </c>
      <c r="P41" s="43">
        <f t="shared" si="15"/>
        <v>410039</v>
      </c>
      <c r="Q41" s="44"/>
      <c r="R41" s="44">
        <f>SUM(R4:R40)</f>
        <v>83029</v>
      </c>
      <c r="S41" s="43">
        <f>SUM(S4:S40)</f>
        <v>17718123</v>
      </c>
      <c r="T41" s="43">
        <f>SUM(T4:T40)</f>
        <v>3782654</v>
      </c>
      <c r="U41" s="43">
        <f>SUM(U4:U40)</f>
        <v>3782654</v>
      </c>
      <c r="V41" s="44"/>
      <c r="W41" s="43">
        <f>SUM(W4:W40)</f>
        <v>13935473</v>
      </c>
      <c r="X41" s="43">
        <f>SUM(X4:X40)</f>
        <v>13137293</v>
      </c>
      <c r="Y41" s="44"/>
      <c r="Z41" s="44">
        <f ca="1">SUM(Z4:Z40)</f>
        <v>34459.067999999999</v>
      </c>
      <c r="AA41" s="44">
        <f>SUM(AA4:AA40)</f>
        <v>3540</v>
      </c>
      <c r="AB41" s="44"/>
      <c r="AC41" s="44">
        <f>SUM(AC4:AC40)</f>
        <v>16923487</v>
      </c>
      <c r="AD41" s="43">
        <f>SUM(AD4:AD40)</f>
        <v>794636.00000000047</v>
      </c>
      <c r="AE41" s="42"/>
      <c r="AF41" s="42"/>
      <c r="AG41" s="45"/>
    </row>
    <row r="42" spans="1:33" ht="15" customHeight="1" x14ac:dyDescent="0.25">
      <c r="A42" s="46"/>
      <c r="B42" s="47"/>
      <c r="C42" s="47"/>
      <c r="D42" s="47"/>
      <c r="E42" s="47"/>
      <c r="F42" s="47"/>
      <c r="G42" s="47"/>
      <c r="H42" s="48">
        <f>+H41</f>
        <v>15130598</v>
      </c>
      <c r="I42" s="48">
        <f>ROUND(H42*18%,0)</f>
        <v>2723508</v>
      </c>
      <c r="J42" s="48">
        <f>+H42+I42</f>
        <v>17854106</v>
      </c>
      <c r="K42" s="48">
        <f>ROUND((H42+I42)*2%,0)</f>
        <v>357082</v>
      </c>
      <c r="L42" s="49">
        <f>ROUND(H42*0.1%,0)</f>
        <v>15131</v>
      </c>
      <c r="M42" s="49">
        <f>ROUND(H42*2.25%*118%,0)</f>
        <v>401717</v>
      </c>
      <c r="N42" s="50">
        <f>ROUND(H42*2.25%*2%,0)</f>
        <v>6809</v>
      </c>
      <c r="O42" s="49">
        <f>ROUND(M42-N42,0)</f>
        <v>394908</v>
      </c>
      <c r="P42" s="49">
        <f>ROUND(O42+L42,0)</f>
        <v>410039</v>
      </c>
      <c r="Q42" s="49"/>
      <c r="R42" s="49">
        <f>+R41</f>
        <v>83029</v>
      </c>
      <c r="S42" s="48">
        <f>H42*117.65%-R42</f>
        <v>17718119.547000002</v>
      </c>
      <c r="T42" s="51"/>
      <c r="U42" s="51">
        <f>+T41-U41</f>
        <v>0</v>
      </c>
      <c r="V42" s="52"/>
      <c r="W42" s="53"/>
      <c r="X42" s="53">
        <f>+W41-X41</f>
        <v>798180</v>
      </c>
      <c r="Y42" s="52"/>
      <c r="Z42" s="52"/>
      <c r="AA42" s="52"/>
      <c r="AB42" s="52"/>
      <c r="AC42" s="52"/>
      <c r="AD42" s="52"/>
      <c r="AE42" s="47"/>
      <c r="AF42" s="47"/>
      <c r="AG42" s="54"/>
    </row>
    <row r="43" spans="1:33" ht="14.25" customHeight="1" x14ac:dyDescent="0.25">
      <c r="I43" s="55"/>
      <c r="J43" s="55"/>
      <c r="U43" s="56" t="s">
        <v>120</v>
      </c>
      <c r="X43" s="57" t="s">
        <v>121</v>
      </c>
    </row>
    <row r="44" spans="1:33" ht="14.25" customHeight="1" x14ac:dyDescent="0.25">
      <c r="U44" s="58"/>
    </row>
    <row r="46" spans="1:33" ht="14.25" customHeight="1" x14ac:dyDescent="0.25">
      <c r="K46" s="55"/>
    </row>
  </sheetData>
  <autoFilter ref="A3:AG43" xr:uid="{00000000-0009-0000-0000-000000000000}">
    <sortState ref="A4:AG43">
      <sortCondition ref="A4:A43"/>
    </sortState>
  </autoFilter>
  <pageMargins left="0.75" right="0.75" top="1" bottom="1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00B0F0"/>
    <outlinePr summaryRight="1" summaryBelow="1"/>
    <pageSetUpPr fitToPage="1"/>
  </sheetPr>
  <dimension ref="A1:CU94"/>
  <sheetViews>
    <sheetView showGridLines="0" tabSelected="1" workbookViewId="0">
      <pane xSplit="2" ySplit="5" topLeftCell="C6" activePane="bottomRight" state="frozen"/>
      <selection pane="topRight"/>
      <selection pane="bottomLeft"/>
      <selection pane="bottomRight" activeCell="F22" sqref="F22"/>
    </sheetView>
  </sheetViews>
  <sheetFormatPr defaultRowHeight="15" x14ac:dyDescent="0.25"/>
  <cols>
    <col min="1" max="1" width="14.85546875" bestFit="1" customWidth="1"/>
    <col min="2" max="2" width="10" customWidth="1"/>
    <col min="3" max="3" width="30" customWidth="1"/>
    <col min="4" max="4" width="42" customWidth="1" outlineLevel="1"/>
    <col min="5" max="5" width="11.7109375" bestFit="1" customWidth="1" outlineLevel="1"/>
    <col min="6" max="6" width="12" bestFit="1" customWidth="1" outlineLevel="1"/>
    <col min="7" max="7" width="11" bestFit="1" customWidth="1" outlineLevel="1"/>
    <col min="8" max="8" width="8.85546875" bestFit="1" customWidth="1" outlineLevel="1"/>
    <col min="9" max="9" width="10.28515625" bestFit="1" customWidth="1"/>
    <col min="10" max="10" width="8.85546875" bestFit="1" customWidth="1" outlineLevel="1"/>
    <col min="11" max="11" width="13.42578125" customWidth="1" outlineLevel="1"/>
    <col min="12" max="12" width="13.42578125" customWidth="1" outlineLevel="1"/>
    <col min="13" max="16" width="13.42578125" customWidth="1" outlineLevel="1"/>
    <col min="17" max="17" width="13.42578125" customWidth="1"/>
    <col min="18" max="18" width="13.42578125" customWidth="1" outlineLevel="1"/>
    <col min="19" max="20" width="13.42578125" customWidth="1"/>
    <col min="21" max="21" width="13.42578125" customWidth="1" outlineLevel="1"/>
    <col min="22" max="23" width="13.42578125" customWidth="1"/>
    <col min="24" max="24" width="13.42578125" customWidth="1" outlineLevel="1"/>
    <col min="25" max="26" width="13.42578125" customWidth="1"/>
    <col min="27" max="27" width="13.42578125" customWidth="1" outlineLevel="1"/>
    <col min="28" max="34" width="13.42578125" customWidth="1"/>
    <col min="35" max="35" width="13" customWidth="1"/>
    <col min="37" max="99" width="12" hidden="1" customWidth="1"/>
  </cols>
  <sheetData>
    <row r="1" spans="1:99" ht="30" customHeight="1" x14ac:dyDescent="0.25">
      <c r="A1" s="81" t="s">
        <v>122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</row>
    <row r="2" spans="1:99" ht="44.1" customHeight="1" x14ac:dyDescent="0.25">
      <c r="A2" s="76" t="s">
        <v>123</v>
      </c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7"/>
      <c r="V2" s="77"/>
      <c r="W2" s="77"/>
      <c r="X2" s="77"/>
      <c r="Y2" s="77"/>
      <c r="Z2" s="77"/>
      <c r="AA2" s="77"/>
      <c r="AB2" s="77"/>
      <c r="AC2" s="77"/>
      <c r="AD2" s="77"/>
      <c r="AE2" s="77"/>
      <c r="AF2" s="77"/>
      <c r="AG2" s="77"/>
      <c r="AH2" s="77"/>
      <c r="AI2" s="77"/>
    </row>
    <row r="3" spans="1:99" ht="30" customHeight="1" x14ac:dyDescent="0.25">
      <c r="A3" s="59" t="s">
        <v>124</v>
      </c>
      <c r="B3" s="78" t="s">
        <v>141</v>
      </c>
      <c r="C3" s="79"/>
      <c r="D3" s="79"/>
      <c r="E3" s="60" t="s">
        <v>125</v>
      </c>
      <c r="F3" s="61" t="s">
        <v>126</v>
      </c>
      <c r="G3" s="60" t="s">
        <v>127</v>
      </c>
      <c r="H3" s="62" t="str">
        <f>SUM($AM$5:$AM$41)&amp;" of 37"</f>
        <v>9 of 37</v>
      </c>
      <c r="I3" s="80" t="str">
        <f>IF(AND($B$3="",COUNTIF($A$4:$AI$4,"&lt;&gt;")=0),"◀ type in the yellow box B3 or a yellow cell above any header - a lot no., a buyer, a lot name... several values: comma or / = ANY of them, + or &amp; = ALL of them","matching "&amp;SUM($AM$5:$AM$41)&amp;" of 37 lots   •   search: "&amp;IF($B$3="","(column fields)",$B$3)&amp;"   •   in: "&amp;$F$3&amp;"   •   column fields are AND filters; grouped by the value typed, the misses greyed in REMAINING, TOTAL MATCHED totals the hits")</f>
        <v>matching 9 of 37 lots   •   search: drum, barrel   •   in: Lot No. + Buyer + Name   •   column fields are AND filters; grouped by the value typed, the misses greyed in REMAINING, TOTAL MATCHED totals the hits</v>
      </c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7"/>
      <c r="V3" s="77"/>
      <c r="W3" s="77"/>
      <c r="X3" s="77"/>
      <c r="Y3" s="77"/>
      <c r="Z3" s="77"/>
      <c r="AA3" s="77"/>
      <c r="AB3" s="77"/>
      <c r="AC3" s="77"/>
      <c r="AD3" s="77"/>
      <c r="AE3" s="77"/>
      <c r="AF3" s="77"/>
      <c r="AG3" s="77"/>
      <c r="AH3" s="77"/>
      <c r="AI3" s="77"/>
      <c r="AK3" s="63" t="s">
        <v>128</v>
      </c>
      <c r="AM3" s="63" t="s">
        <v>129</v>
      </c>
      <c r="AO3" s="63" t="s">
        <v>130</v>
      </c>
      <c r="AQ3" s="63" t="s">
        <v>131</v>
      </c>
      <c r="AR3" t="s">
        <v>132</v>
      </c>
    </row>
    <row r="4" spans="1:99" ht="30" customHeight="1" x14ac:dyDescent="0.25">
      <c r="A4" s="61"/>
      <c r="B4" s="61"/>
      <c r="C4" s="61"/>
      <c r="D4" s="61"/>
      <c r="E4" s="61"/>
      <c r="F4" s="61"/>
      <c r="G4" s="61"/>
      <c r="H4" s="61"/>
      <c r="I4" s="61"/>
      <c r="J4" s="61"/>
      <c r="K4" s="61"/>
      <c r="L4" s="61"/>
      <c r="M4" s="61"/>
      <c r="N4" s="61"/>
      <c r="O4" s="61"/>
      <c r="P4" s="61"/>
      <c r="Q4" s="61"/>
      <c r="R4" s="61"/>
      <c r="S4" s="61"/>
      <c r="T4" s="61"/>
      <c r="U4" s="61"/>
      <c r="V4" s="61"/>
      <c r="W4" s="61"/>
      <c r="X4" s="61"/>
      <c r="Y4" s="61"/>
      <c r="Z4" s="61"/>
      <c r="AA4" s="61"/>
      <c r="AB4" s="61"/>
      <c r="AC4" s="61"/>
      <c r="AD4" s="61"/>
      <c r="AE4" s="61"/>
      <c r="AF4" s="61"/>
      <c r="AG4" s="61"/>
      <c r="AH4" s="61"/>
      <c r="AI4" s="61"/>
      <c r="AO4" t="s">
        <v>126</v>
      </c>
      <c r="AQ4" t="str">
        <f>SUBSTITUTE(SUBSTITUTE($B$3,"&amp;","+"),"/",",")</f>
        <v>drum, barrel</v>
      </c>
      <c r="AR4" t="str">
        <f>$AQ$4</f>
        <v>drum, barrel</v>
      </c>
      <c r="AS4" t="str">
        <f>IF(OR($AR$4="",$AR$5=99999),"",MID($AR$4,$AR$5+1,99999))</f>
        <v xml:space="preserve"> barrel</v>
      </c>
      <c r="AT4" t="str">
        <f>IF(OR($AS$4="",$AS$5=99999),"",MID($AS$4,$AS$5+1,99999))</f>
        <v/>
      </c>
      <c r="AU4" t="str">
        <f>IF(OR($AT$4="",$AT$5=99999),"",MID($AT$4,$AT$5+1,99999))</f>
        <v/>
      </c>
      <c r="AV4" t="str">
        <f>IF(OR($AU$4="",$AU$5=99999),"",MID($AU$4,$AU$5+1,99999))</f>
        <v/>
      </c>
      <c r="AW4" t="str">
        <f>IF(OR($AV$4="",$AV$5=99999),"",MID($AV$4,$AV$5+1,99999))</f>
        <v/>
      </c>
      <c r="AX4" t="str">
        <f>IF(OR($AW$4="",$AW$5=99999),"",MID($AW$4,$AW$5+1,99999))</f>
        <v/>
      </c>
      <c r="AY4" t="str">
        <f>IF(OR($AX$4="",$AX$5=99999),"",MID($AX$4,$AX$5+1,99999))</f>
        <v/>
      </c>
      <c r="BD4">
        <f>COUNTIF($AZ$5:$AZ$41,1)</f>
        <v>4</v>
      </c>
      <c r="BE4">
        <v>5</v>
      </c>
      <c r="BF4">
        <f t="shared" ref="BF4:BF13" si="0">IF($BD4=0,0,$BE4+$BD4)</f>
        <v>9</v>
      </c>
      <c r="BG4">
        <f>IF($BD12=0,$BE12,$BF12+1)</f>
        <v>16</v>
      </c>
    </row>
    <row r="5" spans="1:99" ht="44.1" customHeight="1" x14ac:dyDescent="0.25">
      <c r="A5" s="64" t="s">
        <v>133</v>
      </c>
      <c r="B5" s="65" t="s">
        <v>6</v>
      </c>
      <c r="C5" s="65" t="s">
        <v>7</v>
      </c>
      <c r="D5" s="65" t="s">
        <v>2</v>
      </c>
      <c r="E5" s="65" t="s">
        <v>4</v>
      </c>
      <c r="F5" s="65" t="s">
        <v>1</v>
      </c>
      <c r="G5" s="65" t="s">
        <v>5</v>
      </c>
      <c r="H5" s="65" t="s">
        <v>3</v>
      </c>
      <c r="I5" s="65" t="s">
        <v>8</v>
      </c>
      <c r="J5" s="65" t="s">
        <v>9</v>
      </c>
      <c r="K5" s="65" t="s">
        <v>10</v>
      </c>
      <c r="L5" s="65" t="s">
        <v>11</v>
      </c>
      <c r="M5" s="65" t="s">
        <v>12</v>
      </c>
      <c r="N5" s="65" t="s">
        <v>134</v>
      </c>
      <c r="O5" s="65" t="s">
        <v>14</v>
      </c>
      <c r="P5" s="65" t="s">
        <v>135</v>
      </c>
      <c r="Q5" s="65" t="s">
        <v>16</v>
      </c>
      <c r="R5" s="65" t="s">
        <v>17</v>
      </c>
      <c r="S5" s="65" t="s">
        <v>18</v>
      </c>
      <c r="T5" s="65" t="s">
        <v>19</v>
      </c>
      <c r="U5" s="65" t="s">
        <v>20</v>
      </c>
      <c r="V5" s="65" t="s">
        <v>21</v>
      </c>
      <c r="W5" s="65" t="s">
        <v>136</v>
      </c>
      <c r="X5" s="65" t="s">
        <v>23</v>
      </c>
      <c r="Y5" s="65" t="s">
        <v>24</v>
      </c>
      <c r="Z5" s="65" t="s">
        <v>137</v>
      </c>
      <c r="AA5" s="65" t="s">
        <v>25</v>
      </c>
      <c r="AB5" s="65" t="s">
        <v>26</v>
      </c>
      <c r="AC5" s="65" t="s">
        <v>27</v>
      </c>
      <c r="AD5" s="65" t="s">
        <v>28</v>
      </c>
      <c r="AE5" s="65" t="s">
        <v>29</v>
      </c>
      <c r="AF5" s="65" t="s">
        <v>138</v>
      </c>
      <c r="AG5" s="65" t="s">
        <v>31</v>
      </c>
      <c r="AH5" s="65" t="s">
        <v>32</v>
      </c>
      <c r="AI5" s="66" t="s">
        <v>139</v>
      </c>
      <c r="AK5" t="str">
        <f>IF($F$3="Lot No.",'Final Calculation Sheet'!$F$4,IF($F$3="Buyer",'Final Calculation Sheet'!$G$4,IF($F$3="Lot Name",'Final Calculation Sheet'!$B$4,IF($F$3="Bid Sheet",'Final Calculation Sheet'!$D$4,IF($F$3="Unit",'Final Calculation Sheet'!$E$4,'Final Calculation Sheet'!$F$4&amp;" "&amp;'Final Calculation Sheet'!$G$4&amp;" "&amp;'Final Calculation Sheet'!$B$4)))))</f>
        <v>1763 AL HAMD TRADE CORPORATION Lot No.</v>
      </c>
      <c r="AM5">
        <f t="shared" ref="AM5:AM41" si="1">IF(COUNTIF($BM5:$CU5,0)&gt;0,0,IF($B$3="",1,IF(AND(IF(COUNTIF($AR$9:$AY$9,1)=0,TRUE,SUMPRODUCT(($AR$9:$AY$9=1)*($AR$6:$AY$6&lt;&gt;"")*IF(((UPPER($AR$6:$AY$6)="BLANK")+(UPPER($AR$6:$AY$6)="(BLANK)")+(UPPER($AR$6:$AY$6)="EMPTY")+(UPPER($AR$6:$AY$6)="(EMPTY)"))&gt;0,$AK5="",ISNUMBER(SEARCH($AR$6:$AY$6,$AK5))))&gt;0),IF(COUNTIF($AR$9:$AY$9,2)=0,TRUE,SUMPRODUCT(($AR$9:$AY$9=2)*($AR$6:$AY$6&lt;&gt;"")*IF(((UPPER($AR$6:$AY$6)="BLANK")+(UPPER($AR$6:$AY$6)="(BLANK)")+(UPPER($AR$6:$AY$6)="EMPTY")+(UPPER($AR$6:$AY$6)="(EMPTY)"))&gt;0,$AK5="",ISNUMBER(SEARCH($AR$6:$AY$6,$AK5))))&gt;0),IF(COUNTIF($AR$9:$AY$9,3)=0,TRUE,SUMPRODUCT(($AR$9:$AY$9=3)*($AR$6:$AY$6&lt;&gt;"")*IF(((UPPER($AR$6:$AY$6)="BLANK")+(UPPER($AR$6:$AY$6)="(BLANK)")+(UPPER($AR$6:$AY$6)="EMPTY")+(UPPER($AR$6:$AY$6)="(EMPTY)"))&gt;0,$AK5="",ISNUMBER(SEARCH($AR$6:$AY$6,$AK5))))&gt;0),IF(COUNTIF($AR$9:$AY$9,4)=0,TRUE,SUMPRODUCT(($AR$9:$AY$9=4)*($AR$6:$AY$6&lt;&gt;"")*IF(((UPPER($AR$6:$AY$6)="BLANK")+(UPPER($AR$6:$AY$6)="(BLANK)")+(UPPER($AR$6:$AY$6)="EMPTY")+(UPPER($AR$6:$AY$6)="(EMPTY)"))&gt;0,$AK5="",ISNUMBER(SEARCH($AR$6:$AY$6,$AK5))))&gt;0),IF(COUNTIF($AR$9:$AY$9,5)=0,TRUE,SUMPRODUCT(($AR$9:$AY$9=5)*($AR$6:$AY$6&lt;&gt;"")*IF(((UPPER($AR$6:$AY$6)="BLANK")+(UPPER($AR$6:$AY$6)="(BLANK)")+(UPPER($AR$6:$AY$6)="EMPTY")+(UPPER($AR$6:$AY$6)="(EMPTY)"))&gt;0,$AK5="",ISNUMBER(SEARCH($AR$6:$AY$6,$AK5))))&gt;0),IF(COUNTIF($AR$9:$AY$9,6)=0,TRUE,SUMPRODUCT(($AR$9:$AY$9=6)*($AR$6:$AY$6&lt;&gt;"")*IF(((UPPER($AR$6:$AY$6)="BLANK")+(UPPER($AR$6:$AY$6)="(BLANK)")+(UPPER($AR$6:$AY$6)="EMPTY")+(UPPER($AR$6:$AY$6)="(EMPTY)"))&gt;0,$AK5="",ISNUMBER(SEARCH($AR$6:$AY$6,$AK5))))&gt;0),IF(COUNTIF($AR$9:$AY$9,7)=0,TRUE,SUMPRODUCT(($AR$9:$AY$9=7)*($AR$6:$AY$6&lt;&gt;"")*IF(((UPPER($AR$6:$AY$6)="BLANK")+(UPPER($AR$6:$AY$6)="(BLANK)")+(UPPER($AR$6:$AY$6)="EMPTY")+(UPPER($AR$6:$AY$6)="(EMPTY)"))&gt;0,$AK5="",ISNUMBER(SEARCH($AR$6:$AY$6,$AK5))))&gt;0),IF(COUNTIF($AR$9:$AY$9,8)=0,TRUE,SUMPRODUCT(($AR$9:$AY$9=8)*($AR$6:$AY$6&lt;&gt;"")*IF(((UPPER($AR$6:$AY$6)="BLANK")+(UPPER($AR$6:$AY$6)="(BLANK)")+(UPPER($AR$6:$AY$6)="EMPTY")+(UPPER($AR$6:$AY$6)="(EMPTY)"))&gt;0,$AK5="",ISNUMBER(SEARCH($AR$6:$AY$6,$AK5))))&gt;0)),1,0)))</f>
        <v>0</v>
      </c>
      <c r="AO5" t="s">
        <v>6</v>
      </c>
      <c r="AR5">
        <f>IF($AR$4="",99999,MIN(IFERROR(FIND(",",$AR$4),99999),IFERROR(FIND("+",$AR$4),99999)))</f>
        <v>5</v>
      </c>
      <c r="AS5">
        <f>IF($AS$4="",99999,MIN(IFERROR(FIND(",",$AS$4),99999),IFERROR(FIND("+",$AS$4),99999)))</f>
        <v>99999</v>
      </c>
      <c r="AT5">
        <f>IF($AT$4="",99999,MIN(IFERROR(FIND(",",$AT$4),99999),IFERROR(FIND("+",$AT$4),99999)))</f>
        <v>99999</v>
      </c>
      <c r="AU5">
        <f>IF($AU$4="",99999,MIN(IFERROR(FIND(",",$AU$4),99999),IFERROR(FIND("+",$AU$4),99999)))</f>
        <v>99999</v>
      </c>
      <c r="AV5">
        <f>IF($AV$4="",99999,MIN(IFERROR(FIND(",",$AV$4),99999),IFERROR(FIND("+",$AV$4),99999)))</f>
        <v>99999</v>
      </c>
      <c r="AW5">
        <f>IF($AW$4="",99999,MIN(IFERROR(FIND(",",$AW$4),99999),IFERROR(FIND("+",$AW$4),99999)))</f>
        <v>99999</v>
      </c>
      <c r="AX5">
        <f>IF($AX$4="",99999,MIN(IFERROR(FIND(",",$AX$4),99999),IFERROR(FIND("+",$AX$4),99999)))</f>
        <v>99999</v>
      </c>
      <c r="AY5">
        <f>IF($AY$4="",99999,MIN(IFERROR(FIND(",",$AY$4),99999),IFERROR(FIND("+",$AY$4),99999)))</f>
        <v>99999</v>
      </c>
      <c r="AZ5">
        <f t="shared" ref="AZ5:AZ41" si="2">IF($B$3="",IF(COUNTIF($A$4:$AI$4,"&lt;&gt;")=0,9,IF($AM5=1,9,10)),IF($AM5=0,10,IF(AND($AR$6&lt;&gt;"",ISNUMBER(SEARCH($AR$6,$AK5))),1,IF(AND($AS$6&lt;&gt;"",ISNUMBER(SEARCH($AS$6,$AK5))),2,IF(AND($AT$6&lt;&gt;"",ISNUMBER(SEARCH($AT$6,$AK5))),3,IF(AND($AU$6&lt;&gt;"",ISNUMBER(SEARCH($AU$6,$AK5))),4,IF(AND($AV$6&lt;&gt;"",ISNUMBER(SEARCH($AV$6,$AK5))),5,IF(AND($AW$6&lt;&gt;"",ISNUMBER(SEARCH($AW$6,$AK5))),6,IF(AND($AX$6&lt;&gt;"",ISNUMBER(SEARCH($AX$6,$AK5))),7,IF(AND($AY$6&lt;&gt;"",ISNUMBER(SEARCH($AY$6,$AK5))),8,0))))))))))</f>
        <v>10</v>
      </c>
      <c r="BA5">
        <f t="shared" ref="BA5:BA41" si="3">SUMPRODUCT(($AZ$5:$AZ$41=$AZ5)*($BC$5:$BC$41&lt;$BC5))+1</f>
        <v>1</v>
      </c>
      <c r="BB5">
        <f t="shared" ref="BB5:BB41" si="4">IF(INDEX($BF$4:$BF$13,$AZ5)=0,0,INDEX($BE$4:$BE$13,$AZ5)+$BA5-1)</f>
        <v>17</v>
      </c>
      <c r="BC5">
        <v>4</v>
      </c>
      <c r="BD5">
        <f>COUNTIF($AZ$5:$AZ$41,2)</f>
        <v>5</v>
      </c>
      <c r="BE5">
        <f t="shared" ref="BE5:BE12" si="5">IF($BD4=0,$BE4,$BF4+1)</f>
        <v>10</v>
      </c>
      <c r="BF5">
        <f t="shared" si="0"/>
        <v>15</v>
      </c>
      <c r="BG5">
        <f>IF($BD13=0,$BE13,$BF13+1)</f>
        <v>46</v>
      </c>
      <c r="BH5">
        <f>IFERROR(MATCH(5,$BF$4:$BF$13,0),0)</f>
        <v>0</v>
      </c>
      <c r="BI5">
        <f>IF(5=$BG$5,1,0)</f>
        <v>0</v>
      </c>
      <c r="BJ5">
        <f>IF(OR($BH5&gt;0,$BI5=1,$BL5=1),0,IFERROR(INDEX($BC$5:$BC$41,MATCH(5,$BB$5:$BB$41,0)),0))</f>
        <v>5</v>
      </c>
      <c r="BK5">
        <f>IF($BJ5&gt;0,IF(INDEX($AZ$5:$AZ$41,MATCH(5,$BB$5:$BB$41,0))=10,1,0),IF($BH5=10,1,0))</f>
        <v>0</v>
      </c>
      <c r="BL5">
        <f>IF(5=$BG$4,1,0)</f>
        <v>0</v>
      </c>
      <c r="BM5">
        <f>IF($A$4="",1,--(AND(SUMPRODUCT(--($AS$60:$AZ$60&lt;&gt;""))&gt;0,IF(COUNTIF($BI$60:$BP$60,1)=0,TRUE,SUMPRODUCT(($BI$60:$BP$60=1)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$60,2)=0,TRUE,SUMPRODUCT(($BI$60:$BP$60=2)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$60,3)=0,TRUE,SUMPRODUCT(($BI$60:$BP$60=3)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$60,4)=0,TRUE,SUMPRODUCT(($BI$60:$BP$60=4)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$60,5)=0,TRUE,SUMPRODUCT(($BI$60:$BP$60=5)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$60,6)=0,TRUE,SUMPRODUCT(($BI$60:$BP$60=6)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$60,7)=0,TRUE,SUMPRODUCT(($BI$60:$BP$60=7)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$60,8)=0,TRUE,SUMPRODUCT(($BI$60:$BP$60=8)*($AS$60:$AZ$60&lt;&gt;"")*IF(((UPPER($AS$60:$AZ$60)="BLANK")+(UPPER($AS$60:$AZ$60)="(BLANK)")+(UPPER($AS$60:$AZ$60)="EMPTY")+(UPPER($AS$60:$AZ$60)="(EMPTY)"))&gt;0,IFERROR((ROW()-4)&amp;"","")="",ISNUMBER(SEARCH($AS$60:$AZ$60,IFERROR((ROW()-4)&amp;"","")))))&gt;0))))</f>
        <v>1</v>
      </c>
      <c r="BN5">
        <f>IF($B$4="",1,--(AND(SUMPRODUCT(--($AS$61:$AZ$61&lt;&gt;""))&gt;0,IF(COUNTIF($BI$61:$BP$61,1)=0,TRUE,SUMPRODUCT(($BI$61:$BP$61=1)*($AS$61:$AZ$61&lt;&gt;"")*IF(((UPPER($AS$61:$AZ$61)="BLANK")+(UPPER($AS$61:$AZ$61)="(BLANK)")+(UPPER($AS$61:$AZ$61)="EMPTY")+(UPPER($AS$61:$AZ$61)="(EMPTY)"))&gt;0,IFERROR(('Final Calculation Sheet'!$F$4)&amp;"","")="",ISNUMBER(SEARCH($AS$61:$AZ$61,IFERROR(('Final Calculation Sheet'!$F$4)&amp;"","")))))&gt;0),IF(COUNTIF($BI$61:$BP$61,2)=0,TRUE,SUMPRODUCT(($BI$61:$BP$61=2)*($AS$61:$AZ$61&lt;&gt;"")*IF(((UPPER($AS$61:$AZ$61)="BLANK")+(UPPER($AS$61:$AZ$61)="(BLANK)")+(UPPER($AS$61:$AZ$61)="EMPTY")+(UPPER($AS$61:$AZ$61)="(EMPTY)"))&gt;0,IFERROR(('Final Calculation Sheet'!$F$4)&amp;"","")="",ISNUMBER(SEARCH($AS$61:$AZ$61,IFERROR(('Final Calculation Sheet'!$F$4)&amp;"","")))))&gt;0),IF(COUNTIF($BI$61:$BP$61,3)=0,TRUE,SUMPRODUCT(($BI$61:$BP$61=3)*($AS$61:$AZ$61&lt;&gt;"")*IF(((UPPER($AS$61:$AZ$61)="BLANK")+(UPPER($AS$61:$AZ$61)="(BLANK)")+(UPPER($AS$61:$AZ$61)="EMPTY")+(UPPER($AS$61:$AZ$61)="(EMPTY)"))&gt;0,IFERROR(('Final Calculation Sheet'!$F$4)&amp;"","")="",ISNUMBER(SEARCH($AS$61:$AZ$61,IFERROR(('Final Calculation Sheet'!$F$4)&amp;"","")))))&gt;0),IF(COUNTIF($BI$61:$BP$61,4)=0,TRUE,SUMPRODUCT(($BI$61:$BP$61=4)*($AS$61:$AZ$61&lt;&gt;"")*IF(((UPPER($AS$61:$AZ$61)="BLANK")+(UPPER($AS$61:$AZ$61)="(BLANK)")+(UPPER($AS$61:$AZ$61)="EMPTY")+(UPPER($AS$61:$AZ$61)="(EMPTY)"))&gt;0,IFERROR(('Final Calculation Sheet'!$F$4)&amp;"","")="",ISNUMBER(SEARCH($AS$61:$AZ$61,IFERROR(('Final Calculation Sheet'!$F$4)&amp;"","")))))&gt;0),IF(COUNTIF($BI$61:$BP$61,5)=0,TRUE,SUMPRODUCT(($BI$61:$BP$61=5)*($AS$61:$AZ$61&lt;&gt;"")*IF(((UPPER($AS$61:$AZ$61)="BLANK")+(UPPER($AS$61:$AZ$61)="(BLANK)")+(UPPER($AS$61:$AZ$61)="EMPTY")+(UPPER($AS$61:$AZ$61)="(EMPTY)"))&gt;0,IFERROR(('Final Calculation Sheet'!$F$4)&amp;"","")="",ISNUMBER(SEARCH($AS$61:$AZ$61,IFERROR(('Final Calculation Sheet'!$F$4)&amp;"","")))))&gt;0),IF(COUNTIF($BI$61:$BP$61,6)=0,TRUE,SUMPRODUCT(($BI$61:$BP$61=6)*($AS$61:$AZ$61&lt;&gt;"")*IF(((UPPER($AS$61:$AZ$61)="BLANK")+(UPPER($AS$61:$AZ$61)="(BLANK)")+(UPPER($AS$61:$AZ$61)="EMPTY")+(UPPER($AS$61:$AZ$61)="(EMPTY)"))&gt;0,IFERROR(('Final Calculation Sheet'!$F$4)&amp;"","")="",ISNUMBER(SEARCH($AS$61:$AZ$61,IFERROR(('Final Calculation Sheet'!$F$4)&amp;"","")))))&gt;0),IF(COUNTIF($BI$61:$BP$61,7)=0,TRUE,SUMPRODUCT(($BI$61:$BP$61=7)*($AS$61:$AZ$61&lt;&gt;"")*IF(((UPPER($AS$61:$AZ$61)="BLANK")+(UPPER($AS$61:$AZ$61)="(BLANK)")+(UPPER($AS$61:$AZ$61)="EMPTY")+(UPPER($AS$61:$AZ$61)="(EMPTY)"))&gt;0,IFERROR(('Final Calculation Sheet'!$F$4)&amp;"","")="",ISNUMBER(SEARCH($AS$61:$AZ$61,IFERROR(('Final Calculation Sheet'!$F$4)&amp;"","")))))&gt;0),IF(COUNTIF($BI$61:$BP$61,8)=0,TRUE,SUMPRODUCT(($BI$61:$BP$61=8)*($AS$61:$AZ$61&lt;&gt;"")*IF(((UPPER($AS$61:$AZ$61)="BLANK")+(UPPER($AS$61:$AZ$61)="(BLANK)")+(UPPER($AS$61:$AZ$61)="EMPTY")+(UPPER($AS$61:$AZ$61)="(EMPTY)"))&gt;0,IFERROR(('Final Calculation Sheet'!$F$4)&amp;"","")="",ISNUMBER(SEARCH($AS$61:$AZ$61,IFERROR(('Final Calculation Sheet'!$F$4)&amp;"","")))))&gt;0))))</f>
        <v>1</v>
      </c>
      <c r="BO5">
        <f>IF($C$4="",1,--(AND(SUMPRODUCT(--($AS$62:$AZ$62&lt;&gt;""))&gt;0,IF(COUNTIF($BI$62:$BP$62,1)=0,TRUE,SUMPRODUCT(($BI$62:$BP$62=1)*($AS$62:$AZ$62&lt;&gt;"")*IF(((UPPER($AS$62:$AZ$62)="BLANK")+(UPPER($AS$62:$AZ$62)="(BLANK)")+(UPPER($AS$62:$AZ$62)="EMPTY")+(UPPER($AS$62:$AZ$62)="(EMPTY)"))&gt;0,IFERROR(('Final Calculation Sheet'!$G$4)&amp;"","")="",ISNUMBER(SEARCH($AS$62:$AZ$62,IFERROR(('Final Calculation Sheet'!$G$4)&amp;"","")))))&gt;0),IF(COUNTIF($BI$62:$BP$62,2)=0,TRUE,SUMPRODUCT(($BI$62:$BP$62=2)*($AS$62:$AZ$62&lt;&gt;"")*IF(((UPPER($AS$62:$AZ$62)="BLANK")+(UPPER($AS$62:$AZ$62)="(BLANK)")+(UPPER($AS$62:$AZ$62)="EMPTY")+(UPPER($AS$62:$AZ$62)="(EMPTY)"))&gt;0,IFERROR(('Final Calculation Sheet'!$G$4)&amp;"","")="",ISNUMBER(SEARCH($AS$62:$AZ$62,IFERROR(('Final Calculation Sheet'!$G$4)&amp;"","")))))&gt;0),IF(COUNTIF($BI$62:$BP$62,3)=0,TRUE,SUMPRODUCT(($BI$62:$BP$62=3)*($AS$62:$AZ$62&lt;&gt;"")*IF(((UPPER($AS$62:$AZ$62)="BLANK")+(UPPER($AS$62:$AZ$62)="(BLANK)")+(UPPER($AS$62:$AZ$62)="EMPTY")+(UPPER($AS$62:$AZ$62)="(EMPTY)"))&gt;0,IFERROR(('Final Calculation Sheet'!$G$4)&amp;"","")="",ISNUMBER(SEARCH($AS$62:$AZ$62,IFERROR(('Final Calculation Sheet'!$G$4)&amp;"","")))))&gt;0),IF(COUNTIF($BI$62:$BP$62,4)=0,TRUE,SUMPRODUCT(($BI$62:$BP$62=4)*($AS$62:$AZ$62&lt;&gt;"")*IF(((UPPER($AS$62:$AZ$62)="BLANK")+(UPPER($AS$62:$AZ$62)="(BLANK)")+(UPPER($AS$62:$AZ$62)="EMPTY")+(UPPER($AS$62:$AZ$62)="(EMPTY)"))&gt;0,IFERROR(('Final Calculation Sheet'!$G$4)&amp;"","")="",ISNUMBER(SEARCH($AS$62:$AZ$62,IFERROR(('Final Calculation Sheet'!$G$4)&amp;"","")))))&gt;0),IF(COUNTIF($BI$62:$BP$62,5)=0,TRUE,SUMPRODUCT(($BI$62:$BP$62=5)*($AS$62:$AZ$62&lt;&gt;"")*IF(((UPPER($AS$62:$AZ$62)="BLANK")+(UPPER($AS$62:$AZ$62)="(BLANK)")+(UPPER($AS$62:$AZ$62)="EMPTY")+(UPPER($AS$62:$AZ$62)="(EMPTY)"))&gt;0,IFERROR(('Final Calculation Sheet'!$G$4)&amp;"","")="",ISNUMBER(SEARCH($AS$62:$AZ$62,IFERROR(('Final Calculation Sheet'!$G$4)&amp;"","")))))&gt;0),IF(COUNTIF($BI$62:$BP$62,6)=0,TRUE,SUMPRODUCT(($BI$62:$BP$62=6)*($AS$62:$AZ$62&lt;&gt;"")*IF(((UPPER($AS$62:$AZ$62)="BLANK")+(UPPER($AS$62:$AZ$62)="(BLANK)")+(UPPER($AS$62:$AZ$62)="EMPTY")+(UPPER($AS$62:$AZ$62)="(EMPTY)"))&gt;0,IFERROR(('Final Calculation Sheet'!$G$4)&amp;"","")="",ISNUMBER(SEARCH($AS$62:$AZ$62,IFERROR(('Final Calculation Sheet'!$G$4)&amp;"","")))))&gt;0),IF(COUNTIF($BI$62:$BP$62,7)=0,TRUE,SUMPRODUCT(($BI$62:$BP$62=7)*($AS$62:$AZ$62&lt;&gt;"")*IF(((UPPER($AS$62:$AZ$62)="BLANK")+(UPPER($AS$62:$AZ$62)="(BLANK)")+(UPPER($AS$62:$AZ$62)="EMPTY")+(UPPER($AS$62:$AZ$62)="(EMPTY)"))&gt;0,IFERROR(('Final Calculation Sheet'!$G$4)&amp;"","")="",ISNUMBER(SEARCH($AS$62:$AZ$62,IFERROR(('Final Calculation Sheet'!$G$4)&amp;"","")))))&gt;0),IF(COUNTIF($BI$62:$BP$62,8)=0,TRUE,SUMPRODUCT(($BI$62:$BP$62=8)*($AS$62:$AZ$62&lt;&gt;"")*IF(((UPPER($AS$62:$AZ$62)="BLANK")+(UPPER($AS$62:$AZ$62)="(BLANK)")+(UPPER($AS$62:$AZ$62)="EMPTY")+(UPPER($AS$62:$AZ$62)="(EMPTY)"))&gt;0,IFERROR(('Final Calculation Sheet'!$G$4)&amp;"","")="",ISNUMBER(SEARCH($AS$62:$AZ$62,IFERROR(('Final Calculation Sheet'!$G$4)&amp;"","")))))&gt;0))))</f>
        <v>1</v>
      </c>
      <c r="BP5">
        <f>IF($D$4="",1,--(AND(SUMPRODUCT(--($AS$63:$AZ$63&lt;&gt;""))&gt;0,IF(COUNTIF($BI$63:$BP$63,1)=0,TRUE,SUMPRODUCT(($BI$63:$BP$63=1)*($AS$63:$AZ$63&lt;&gt;"")*IF(((UPPER($AS$63:$AZ$63)="BLANK")+(UPPER($AS$63:$AZ$63)="(BLANK)")+(UPPER($AS$63:$AZ$63)="EMPTY")+(UPPER($AS$63:$AZ$63)="(EMPTY)"))&gt;0,IFERROR(('Final Calculation Sheet'!$B$4)&amp;"","")="",ISNUMBER(SEARCH($AS$63:$AZ$63,IFERROR(('Final Calculation Sheet'!$B$4)&amp;"","")))))&gt;0),IF(COUNTIF($BI$63:$BP$63,2)=0,TRUE,SUMPRODUCT(($BI$63:$BP$63=2)*($AS$63:$AZ$63&lt;&gt;"")*IF(((UPPER($AS$63:$AZ$63)="BLANK")+(UPPER($AS$63:$AZ$63)="(BLANK)")+(UPPER($AS$63:$AZ$63)="EMPTY")+(UPPER($AS$63:$AZ$63)="(EMPTY)"))&gt;0,IFERROR(('Final Calculation Sheet'!$B$4)&amp;"","")="",ISNUMBER(SEARCH($AS$63:$AZ$63,IFERROR(('Final Calculation Sheet'!$B$4)&amp;"","")))))&gt;0),IF(COUNTIF($BI$63:$BP$63,3)=0,TRUE,SUMPRODUCT(($BI$63:$BP$63=3)*($AS$63:$AZ$63&lt;&gt;"")*IF(((UPPER($AS$63:$AZ$63)="BLANK")+(UPPER($AS$63:$AZ$63)="(BLANK)")+(UPPER($AS$63:$AZ$63)="EMPTY")+(UPPER($AS$63:$AZ$63)="(EMPTY)"))&gt;0,IFERROR(('Final Calculation Sheet'!$B$4)&amp;"","")="",ISNUMBER(SEARCH($AS$63:$AZ$63,IFERROR(('Final Calculation Sheet'!$B$4)&amp;"","")))))&gt;0),IF(COUNTIF($BI$63:$BP$63,4)=0,TRUE,SUMPRODUCT(($BI$63:$BP$63=4)*($AS$63:$AZ$63&lt;&gt;"")*IF(((UPPER($AS$63:$AZ$63)="BLANK")+(UPPER($AS$63:$AZ$63)="(BLANK)")+(UPPER($AS$63:$AZ$63)="EMPTY")+(UPPER($AS$63:$AZ$63)="(EMPTY)"))&gt;0,IFERROR(('Final Calculation Sheet'!$B$4)&amp;"","")="",ISNUMBER(SEARCH($AS$63:$AZ$63,IFERROR(('Final Calculation Sheet'!$B$4)&amp;"","")))))&gt;0),IF(COUNTIF($BI$63:$BP$63,5)=0,TRUE,SUMPRODUCT(($BI$63:$BP$63=5)*($AS$63:$AZ$63&lt;&gt;"")*IF(((UPPER($AS$63:$AZ$63)="BLANK")+(UPPER($AS$63:$AZ$63)="(BLANK)")+(UPPER($AS$63:$AZ$63)="EMPTY")+(UPPER($AS$63:$AZ$63)="(EMPTY)"))&gt;0,IFERROR(('Final Calculation Sheet'!$B$4)&amp;"","")="",ISNUMBER(SEARCH($AS$63:$AZ$63,IFERROR(('Final Calculation Sheet'!$B$4)&amp;"","")))))&gt;0),IF(COUNTIF($BI$63:$BP$63,6)=0,TRUE,SUMPRODUCT(($BI$63:$BP$63=6)*($AS$63:$AZ$63&lt;&gt;"")*IF(((UPPER($AS$63:$AZ$63)="BLANK")+(UPPER($AS$63:$AZ$63)="(BLANK)")+(UPPER($AS$63:$AZ$63)="EMPTY")+(UPPER($AS$63:$AZ$63)="(EMPTY)"))&gt;0,IFERROR(('Final Calculation Sheet'!$B$4)&amp;"","")="",ISNUMBER(SEARCH($AS$63:$AZ$63,IFERROR(('Final Calculation Sheet'!$B$4)&amp;"","")))))&gt;0),IF(COUNTIF($BI$63:$BP$63,7)=0,TRUE,SUMPRODUCT(($BI$63:$BP$63=7)*($AS$63:$AZ$63&lt;&gt;"")*IF(((UPPER($AS$63:$AZ$63)="BLANK")+(UPPER($AS$63:$AZ$63)="(BLANK)")+(UPPER($AS$63:$AZ$63)="EMPTY")+(UPPER($AS$63:$AZ$63)="(EMPTY)"))&gt;0,IFERROR(('Final Calculation Sheet'!$B$4)&amp;"","")="",ISNUMBER(SEARCH($AS$63:$AZ$63,IFERROR(('Final Calculation Sheet'!$B$4)&amp;"","")))))&gt;0),IF(COUNTIF($BI$63:$BP$63,8)=0,TRUE,SUMPRODUCT(($BI$63:$BP$63=8)*($AS$63:$AZ$63&lt;&gt;"")*IF(((UPPER($AS$63:$AZ$63)="BLANK")+(UPPER($AS$63:$AZ$63)="(BLANK)")+(UPPER($AS$63:$AZ$63)="EMPTY")+(UPPER($AS$63:$AZ$63)="(EMPTY)"))&gt;0,IFERROR(('Final Calculation Sheet'!$B$4)&amp;"","")="",ISNUMBER(SEARCH($AS$63:$AZ$63,IFERROR(('Final Calculation Sheet'!$B$4)&amp;"","")))))&gt;0))))</f>
        <v>1</v>
      </c>
      <c r="BQ5">
        <f>IF($E$4="",1,--(AND(SUMPRODUCT(--($AS$64:$AZ$64&lt;&gt;""))&gt;0,IF(COUNTIF($BI$64:$BP$64,1)=0,TRUE,SUMPRODUCT(($BI$64:$BP$64=1)*($AS$64:$AZ$64&lt;&gt;"")*IF(((UPPER($AS$64:$AZ$64)="BLANK")+(UPPER($AS$64:$AZ$64)="(BLANK)")+(UPPER($AS$64:$AZ$64)="EMPTY")+(UPPER($AS$64:$AZ$64)="(EMPTY)"))&gt;0,IFERROR(('Final Calculation Sheet'!$D$4)&amp;"","")="",ISNUMBER(SEARCH($AS$64:$AZ$64,IFERROR(('Final Calculation Sheet'!$D$4)&amp;"","")))))&gt;0),IF(COUNTIF($BI$64:$BP$64,2)=0,TRUE,SUMPRODUCT(($BI$64:$BP$64=2)*($AS$64:$AZ$64&lt;&gt;"")*IF(((UPPER($AS$64:$AZ$64)="BLANK")+(UPPER($AS$64:$AZ$64)="(BLANK)")+(UPPER($AS$64:$AZ$64)="EMPTY")+(UPPER($AS$64:$AZ$64)="(EMPTY)"))&gt;0,IFERROR(('Final Calculation Sheet'!$D$4)&amp;"","")="",ISNUMBER(SEARCH($AS$64:$AZ$64,IFERROR(('Final Calculation Sheet'!$D$4)&amp;"","")))))&gt;0),IF(COUNTIF($BI$64:$BP$64,3)=0,TRUE,SUMPRODUCT(($BI$64:$BP$64=3)*($AS$64:$AZ$64&lt;&gt;"")*IF(((UPPER($AS$64:$AZ$64)="BLANK")+(UPPER($AS$64:$AZ$64)="(BLANK)")+(UPPER($AS$64:$AZ$64)="EMPTY")+(UPPER($AS$64:$AZ$64)="(EMPTY)"))&gt;0,IFERROR(('Final Calculation Sheet'!$D$4)&amp;"","")="",ISNUMBER(SEARCH($AS$64:$AZ$64,IFERROR(('Final Calculation Sheet'!$D$4)&amp;"","")))))&gt;0),IF(COUNTIF($BI$64:$BP$64,4)=0,TRUE,SUMPRODUCT(($BI$64:$BP$64=4)*($AS$64:$AZ$64&lt;&gt;"")*IF(((UPPER($AS$64:$AZ$64)="BLANK")+(UPPER($AS$64:$AZ$64)="(BLANK)")+(UPPER($AS$64:$AZ$64)="EMPTY")+(UPPER($AS$64:$AZ$64)="(EMPTY)"))&gt;0,IFERROR(('Final Calculation Sheet'!$D$4)&amp;"","")="",ISNUMBER(SEARCH($AS$64:$AZ$64,IFERROR(('Final Calculation Sheet'!$D$4)&amp;"","")))))&gt;0),IF(COUNTIF($BI$64:$BP$64,5)=0,TRUE,SUMPRODUCT(($BI$64:$BP$64=5)*($AS$64:$AZ$64&lt;&gt;"")*IF(((UPPER($AS$64:$AZ$64)="BLANK")+(UPPER($AS$64:$AZ$64)="(BLANK)")+(UPPER($AS$64:$AZ$64)="EMPTY")+(UPPER($AS$64:$AZ$64)="(EMPTY)"))&gt;0,IFERROR(('Final Calculation Sheet'!$D$4)&amp;"","")="",ISNUMBER(SEARCH($AS$64:$AZ$64,IFERROR(('Final Calculation Sheet'!$D$4)&amp;"","")))))&gt;0),IF(COUNTIF($BI$64:$BP$64,6)=0,TRUE,SUMPRODUCT(($BI$64:$BP$64=6)*($AS$64:$AZ$64&lt;&gt;"")*IF(((UPPER($AS$64:$AZ$64)="BLANK")+(UPPER($AS$64:$AZ$64)="(BLANK)")+(UPPER($AS$64:$AZ$64)="EMPTY")+(UPPER($AS$64:$AZ$64)="(EMPTY)"))&gt;0,IFERROR(('Final Calculation Sheet'!$D$4)&amp;"","")="",ISNUMBER(SEARCH($AS$64:$AZ$64,IFERROR(('Final Calculation Sheet'!$D$4)&amp;"","")))))&gt;0),IF(COUNTIF($BI$64:$BP$64,7)=0,TRUE,SUMPRODUCT(($BI$64:$BP$64=7)*($AS$64:$AZ$64&lt;&gt;"")*IF(((UPPER($AS$64:$AZ$64)="BLANK")+(UPPER($AS$64:$AZ$64)="(BLANK)")+(UPPER($AS$64:$AZ$64)="EMPTY")+(UPPER($AS$64:$AZ$64)="(EMPTY)"))&gt;0,IFERROR(('Final Calculation Sheet'!$D$4)&amp;"","")="",ISNUMBER(SEARCH($AS$64:$AZ$64,IFERROR(('Final Calculation Sheet'!$D$4)&amp;"","")))))&gt;0),IF(COUNTIF($BI$64:$BP$64,8)=0,TRUE,SUMPRODUCT(($BI$64:$BP$64=8)*($AS$64:$AZ$64&lt;&gt;"")*IF(((UPPER($AS$64:$AZ$64)="BLANK")+(UPPER($AS$64:$AZ$64)="(BLANK)")+(UPPER($AS$64:$AZ$64)="EMPTY")+(UPPER($AS$64:$AZ$64)="(EMPTY)"))&gt;0,IFERROR(('Final Calculation Sheet'!$D$4)&amp;"","")="",ISNUMBER(SEARCH($AS$64:$AZ$64,IFERROR(('Final Calculation Sheet'!$D$4)&amp;"","")))))&gt;0))))</f>
        <v>1</v>
      </c>
      <c r="BR5">
        <f>IF($F$4="",1,--(AND(SUMPRODUCT(--($AS$65:$AZ$65&lt;&gt;""))&gt;0,IF(COUNTIF($BI$65:$BP$65,1)=0,TRUE,SUMPRODUCT(($BI$65:$BP$65=1)*($AS$65:$AZ$65&lt;&gt;"")*IF(((UPPER($AS$65:$AZ$65)="BLANK")+(UPPER($AS$65:$AZ$65)="(BLANK)")+(UPPER($AS$65:$AZ$65)="EMPTY")+(UPPER($AS$65:$AZ$65)="(EMPTY)"))&gt;0,IFERROR(('Final Calculation Sheet'!$A$4)&amp;"","")="",ISNUMBER(SEARCH($AS$65:$AZ$65,IFERROR(('Final Calculation Sheet'!$A$4)&amp;"","")))))&gt;0),IF(COUNTIF($BI$65:$BP$65,2)=0,TRUE,SUMPRODUCT(($BI$65:$BP$65=2)*($AS$65:$AZ$65&lt;&gt;"")*IF(((UPPER($AS$65:$AZ$65)="BLANK")+(UPPER($AS$65:$AZ$65)="(BLANK)")+(UPPER($AS$65:$AZ$65)="EMPTY")+(UPPER($AS$65:$AZ$65)="(EMPTY)"))&gt;0,IFERROR(('Final Calculation Sheet'!$A$4)&amp;"","")="",ISNUMBER(SEARCH($AS$65:$AZ$65,IFERROR(('Final Calculation Sheet'!$A$4)&amp;"","")))))&gt;0),IF(COUNTIF($BI$65:$BP$65,3)=0,TRUE,SUMPRODUCT(($BI$65:$BP$65=3)*($AS$65:$AZ$65&lt;&gt;"")*IF(((UPPER($AS$65:$AZ$65)="BLANK")+(UPPER($AS$65:$AZ$65)="(BLANK)")+(UPPER($AS$65:$AZ$65)="EMPTY")+(UPPER($AS$65:$AZ$65)="(EMPTY)"))&gt;0,IFERROR(('Final Calculation Sheet'!$A$4)&amp;"","")="",ISNUMBER(SEARCH($AS$65:$AZ$65,IFERROR(('Final Calculation Sheet'!$A$4)&amp;"","")))))&gt;0),IF(COUNTIF($BI$65:$BP$65,4)=0,TRUE,SUMPRODUCT(($BI$65:$BP$65=4)*($AS$65:$AZ$65&lt;&gt;"")*IF(((UPPER($AS$65:$AZ$65)="BLANK")+(UPPER($AS$65:$AZ$65)="(BLANK)")+(UPPER($AS$65:$AZ$65)="EMPTY")+(UPPER($AS$65:$AZ$65)="(EMPTY)"))&gt;0,IFERROR(('Final Calculation Sheet'!$A$4)&amp;"","")="",ISNUMBER(SEARCH($AS$65:$AZ$65,IFERROR(('Final Calculation Sheet'!$A$4)&amp;"","")))))&gt;0),IF(COUNTIF($BI$65:$BP$65,5)=0,TRUE,SUMPRODUCT(($BI$65:$BP$65=5)*($AS$65:$AZ$65&lt;&gt;"")*IF(((UPPER($AS$65:$AZ$65)="BLANK")+(UPPER($AS$65:$AZ$65)="(BLANK)")+(UPPER($AS$65:$AZ$65)="EMPTY")+(UPPER($AS$65:$AZ$65)="(EMPTY)"))&gt;0,IFERROR(('Final Calculation Sheet'!$A$4)&amp;"","")="",ISNUMBER(SEARCH($AS$65:$AZ$65,IFERROR(('Final Calculation Sheet'!$A$4)&amp;"","")))))&gt;0),IF(COUNTIF($BI$65:$BP$65,6)=0,TRUE,SUMPRODUCT(($BI$65:$BP$65=6)*($AS$65:$AZ$65&lt;&gt;"")*IF(((UPPER($AS$65:$AZ$65)="BLANK")+(UPPER($AS$65:$AZ$65)="(BLANK)")+(UPPER($AS$65:$AZ$65)="EMPTY")+(UPPER($AS$65:$AZ$65)="(EMPTY)"))&gt;0,IFERROR(('Final Calculation Sheet'!$A$4)&amp;"","")="",ISNUMBER(SEARCH($AS$65:$AZ$65,IFERROR(('Final Calculation Sheet'!$A$4)&amp;"","")))))&gt;0),IF(COUNTIF($BI$65:$BP$65,7)=0,TRUE,SUMPRODUCT(($BI$65:$BP$65=7)*($AS$65:$AZ$65&lt;&gt;"")*IF(((UPPER($AS$65:$AZ$65)="BLANK")+(UPPER($AS$65:$AZ$65)="(BLANK)")+(UPPER($AS$65:$AZ$65)="EMPTY")+(UPPER($AS$65:$AZ$65)="(EMPTY)"))&gt;0,IFERROR(('Final Calculation Sheet'!$A$4)&amp;"","")="",ISNUMBER(SEARCH($AS$65:$AZ$65,IFERROR(('Final Calculation Sheet'!$A$4)&amp;"","")))))&gt;0),IF(COUNTIF($BI$65:$BP$65,8)=0,TRUE,SUMPRODUCT(($BI$65:$BP$65=8)*($AS$65:$AZ$65&lt;&gt;"")*IF(((UPPER($AS$65:$AZ$65)="BLANK")+(UPPER($AS$65:$AZ$65)="(BLANK)")+(UPPER($AS$65:$AZ$65)="EMPTY")+(UPPER($AS$65:$AZ$65)="(EMPTY)"))&gt;0,IFERROR(('Final Calculation Sheet'!$A$4)&amp;"","")="",ISNUMBER(SEARCH($AS$65:$AZ$65,IFERROR(('Final Calculation Sheet'!$A$4)&amp;"","")))))&gt;0))))</f>
        <v>1</v>
      </c>
      <c r="BS5">
        <f>IF($G$4="",1,--(AND(SUMPRODUCT(--($AS$66:$AZ$66&lt;&gt;""))&gt;0,IF(COUNTIF($BI$66:$BP$66,1)=0,TRUE,SUMPRODUCT(($BI$66:$BP$66=1)*($AS$66:$AZ$66&lt;&gt;"")*IF(((UPPER($AS$66:$AZ$66)="BLANK")+(UPPER($AS$66:$AZ$66)="(BLANK)")+(UPPER($AS$66:$AZ$66)="EMPTY")+(UPPER($AS$66:$AZ$66)="(EMPTY)"))&gt;0,IFERROR(('Final Calculation Sheet'!$E$4)&amp;"","")="",ISNUMBER(SEARCH($AS$66:$AZ$66,IFERROR(('Final Calculation Sheet'!$E$4)&amp;"","")))))&gt;0),IF(COUNTIF($BI$66:$BP$66,2)=0,TRUE,SUMPRODUCT(($BI$66:$BP$66=2)*($AS$66:$AZ$66&lt;&gt;"")*IF(((UPPER($AS$66:$AZ$66)="BLANK")+(UPPER($AS$66:$AZ$66)="(BLANK)")+(UPPER($AS$66:$AZ$66)="EMPTY")+(UPPER($AS$66:$AZ$66)="(EMPTY)"))&gt;0,IFERROR(('Final Calculation Sheet'!$E$4)&amp;"","")="",ISNUMBER(SEARCH($AS$66:$AZ$66,IFERROR(('Final Calculation Sheet'!$E$4)&amp;"","")))))&gt;0),IF(COUNTIF($BI$66:$BP$66,3)=0,TRUE,SUMPRODUCT(($BI$66:$BP$66=3)*($AS$66:$AZ$66&lt;&gt;"")*IF(((UPPER($AS$66:$AZ$66)="BLANK")+(UPPER($AS$66:$AZ$66)="(BLANK)")+(UPPER($AS$66:$AZ$66)="EMPTY")+(UPPER($AS$66:$AZ$66)="(EMPTY)"))&gt;0,IFERROR(('Final Calculation Sheet'!$E$4)&amp;"","")="",ISNUMBER(SEARCH($AS$66:$AZ$66,IFERROR(('Final Calculation Sheet'!$E$4)&amp;"","")))))&gt;0),IF(COUNTIF($BI$66:$BP$66,4)=0,TRUE,SUMPRODUCT(($BI$66:$BP$66=4)*($AS$66:$AZ$66&lt;&gt;"")*IF(((UPPER($AS$66:$AZ$66)="BLANK")+(UPPER($AS$66:$AZ$66)="(BLANK)")+(UPPER($AS$66:$AZ$66)="EMPTY")+(UPPER($AS$66:$AZ$66)="(EMPTY)"))&gt;0,IFERROR(('Final Calculation Sheet'!$E$4)&amp;"","")="",ISNUMBER(SEARCH($AS$66:$AZ$66,IFERROR(('Final Calculation Sheet'!$E$4)&amp;"","")))))&gt;0),IF(COUNTIF($BI$66:$BP$66,5)=0,TRUE,SUMPRODUCT(($BI$66:$BP$66=5)*($AS$66:$AZ$66&lt;&gt;"")*IF(((UPPER($AS$66:$AZ$66)="BLANK")+(UPPER($AS$66:$AZ$66)="(BLANK)")+(UPPER($AS$66:$AZ$66)="EMPTY")+(UPPER($AS$66:$AZ$66)="(EMPTY)"))&gt;0,IFERROR(('Final Calculation Sheet'!$E$4)&amp;"","")="",ISNUMBER(SEARCH($AS$66:$AZ$66,IFERROR(('Final Calculation Sheet'!$E$4)&amp;"","")))))&gt;0),IF(COUNTIF($BI$66:$BP$66,6)=0,TRUE,SUMPRODUCT(($BI$66:$BP$66=6)*($AS$66:$AZ$66&lt;&gt;"")*IF(((UPPER($AS$66:$AZ$66)="BLANK")+(UPPER($AS$66:$AZ$66)="(BLANK)")+(UPPER($AS$66:$AZ$66)="EMPTY")+(UPPER($AS$66:$AZ$66)="(EMPTY)"))&gt;0,IFERROR(('Final Calculation Sheet'!$E$4)&amp;"","")="",ISNUMBER(SEARCH($AS$66:$AZ$66,IFERROR(('Final Calculation Sheet'!$E$4)&amp;"","")))))&gt;0),IF(COUNTIF($BI$66:$BP$66,7)=0,TRUE,SUMPRODUCT(($BI$66:$BP$66=7)*($AS$66:$AZ$66&lt;&gt;"")*IF(((UPPER($AS$66:$AZ$66)="BLANK")+(UPPER($AS$66:$AZ$66)="(BLANK)")+(UPPER($AS$66:$AZ$66)="EMPTY")+(UPPER($AS$66:$AZ$66)="(EMPTY)"))&gt;0,IFERROR(('Final Calculation Sheet'!$E$4)&amp;"","")="",ISNUMBER(SEARCH($AS$66:$AZ$66,IFERROR(('Final Calculation Sheet'!$E$4)&amp;"","")))))&gt;0),IF(COUNTIF($BI$66:$BP$66,8)=0,TRUE,SUMPRODUCT(($BI$66:$BP$66=8)*($AS$66:$AZ$66&lt;&gt;"")*IF(((UPPER($AS$66:$AZ$66)="BLANK")+(UPPER($AS$66:$AZ$66)="(BLANK)")+(UPPER($AS$66:$AZ$66)="EMPTY")+(UPPER($AS$66:$AZ$66)="(EMPTY)"))&gt;0,IFERROR(('Final Calculation Sheet'!$E$4)&amp;"","")="",ISNUMBER(SEARCH($AS$66:$AZ$66,IFERROR(('Final Calculation Sheet'!$E$4)&amp;"","")))))&gt;0))))</f>
        <v>1</v>
      </c>
      <c r="BT5">
        <f>IF($H$4="",1,--(AND(SUMPRODUCT(--($AS$67:$AZ$67&lt;&gt;""))&gt;0,IF(COUNTIF($BI$67:$BP$67,1)=0,TRUE,SUMPRODUCT(($BI$67:$BP$67=1)*($AS$67:$AZ$67&lt;&gt;"")*IF(((UPPER($AS$67:$AZ$67)="BLANK")+(UPPER($AS$67:$AZ$67)="(BLANK)")+(UPPER($AS$67:$AZ$67)="EMPTY")+(UPPER($AS$67:$AZ$67)="(EMPTY)"))&gt;0,IFERROR(('Final Calculation Sheet'!$C$4)&amp;"","")="",ISNUMBER(SEARCH($AS$67:$AZ$67,IFERROR(('Final Calculation Sheet'!$C$4)&amp;"","")))))&gt;0),IF(COUNTIF($BI$67:$BP$67,2)=0,TRUE,SUMPRODUCT(($BI$67:$BP$67=2)*($AS$67:$AZ$67&lt;&gt;"")*IF(((UPPER($AS$67:$AZ$67)="BLANK")+(UPPER($AS$67:$AZ$67)="(BLANK)")+(UPPER($AS$67:$AZ$67)="EMPTY")+(UPPER($AS$67:$AZ$67)="(EMPTY)"))&gt;0,IFERROR(('Final Calculation Sheet'!$C$4)&amp;"","")="",ISNUMBER(SEARCH($AS$67:$AZ$67,IFERROR(('Final Calculation Sheet'!$C$4)&amp;"","")))))&gt;0),IF(COUNTIF($BI$67:$BP$67,3)=0,TRUE,SUMPRODUCT(($BI$67:$BP$67=3)*($AS$67:$AZ$67&lt;&gt;"")*IF(((UPPER($AS$67:$AZ$67)="BLANK")+(UPPER($AS$67:$AZ$67)="(BLANK)")+(UPPER($AS$67:$AZ$67)="EMPTY")+(UPPER($AS$67:$AZ$67)="(EMPTY)"))&gt;0,IFERROR(('Final Calculation Sheet'!$C$4)&amp;"","")="",ISNUMBER(SEARCH($AS$67:$AZ$67,IFERROR(('Final Calculation Sheet'!$C$4)&amp;"","")))))&gt;0),IF(COUNTIF($BI$67:$BP$67,4)=0,TRUE,SUMPRODUCT(($BI$67:$BP$67=4)*($AS$67:$AZ$67&lt;&gt;"")*IF(((UPPER($AS$67:$AZ$67)="BLANK")+(UPPER($AS$67:$AZ$67)="(BLANK)")+(UPPER($AS$67:$AZ$67)="EMPTY")+(UPPER($AS$67:$AZ$67)="(EMPTY)"))&gt;0,IFERROR(('Final Calculation Sheet'!$C$4)&amp;"","")="",ISNUMBER(SEARCH($AS$67:$AZ$67,IFERROR(('Final Calculation Sheet'!$C$4)&amp;"","")))))&gt;0),IF(COUNTIF($BI$67:$BP$67,5)=0,TRUE,SUMPRODUCT(($BI$67:$BP$67=5)*($AS$67:$AZ$67&lt;&gt;"")*IF(((UPPER($AS$67:$AZ$67)="BLANK")+(UPPER($AS$67:$AZ$67)="(BLANK)")+(UPPER($AS$67:$AZ$67)="EMPTY")+(UPPER($AS$67:$AZ$67)="(EMPTY)"))&gt;0,IFERROR(('Final Calculation Sheet'!$C$4)&amp;"","")="",ISNUMBER(SEARCH($AS$67:$AZ$67,IFERROR(('Final Calculation Sheet'!$C$4)&amp;"","")))))&gt;0),IF(COUNTIF($BI$67:$BP$67,6)=0,TRUE,SUMPRODUCT(($BI$67:$BP$67=6)*($AS$67:$AZ$67&lt;&gt;"")*IF(((UPPER($AS$67:$AZ$67)="BLANK")+(UPPER($AS$67:$AZ$67)="(BLANK)")+(UPPER($AS$67:$AZ$67)="EMPTY")+(UPPER($AS$67:$AZ$67)="(EMPTY)"))&gt;0,IFERROR(('Final Calculation Sheet'!$C$4)&amp;"","")="",ISNUMBER(SEARCH($AS$67:$AZ$67,IFERROR(('Final Calculation Sheet'!$C$4)&amp;"","")))))&gt;0),IF(COUNTIF($BI$67:$BP$67,7)=0,TRUE,SUMPRODUCT(($BI$67:$BP$67=7)*($AS$67:$AZ$67&lt;&gt;"")*IF(((UPPER($AS$67:$AZ$67)="BLANK")+(UPPER($AS$67:$AZ$67)="(BLANK)")+(UPPER($AS$67:$AZ$67)="EMPTY")+(UPPER($AS$67:$AZ$67)="(EMPTY)"))&gt;0,IFERROR(('Final Calculation Sheet'!$C$4)&amp;"","")="",ISNUMBER(SEARCH($AS$67:$AZ$67,IFERROR(('Final Calculation Sheet'!$C$4)&amp;"","")))))&gt;0),IF(COUNTIF($BI$67:$BP$67,8)=0,TRUE,SUMPRODUCT(($BI$67:$BP$67=8)*($AS$67:$AZ$67&lt;&gt;"")*IF(((UPPER($AS$67:$AZ$67)="BLANK")+(UPPER($AS$67:$AZ$67)="(BLANK)")+(UPPER($AS$67:$AZ$67)="EMPTY")+(UPPER($AS$67:$AZ$67)="(EMPTY)"))&gt;0,IFERROR(('Final Calculation Sheet'!$C$4)&amp;"","")="",ISNUMBER(SEARCH($AS$67:$AZ$67,IFERROR(('Final Calculation Sheet'!$C$4)&amp;"","")))))&gt;0))))</f>
        <v>1</v>
      </c>
      <c r="BU5">
        <f>IF($I$4="",1,--(AND(SUMPRODUCT(--($AS$68:$AZ$68&lt;&gt;""))&gt;0,IF(COUNTIF($BI$68:$BP$68,1)=0,TRUE,SUMPRODUCT(($BI$68:$BP$68=1)*($AS$68:$AZ$68&lt;&gt;"")*IF(((UPPER($AS$68:$AZ$68)="BLANK")+(UPPER($AS$68:$AZ$68)="(BLANK)")+(UPPER($AS$68:$AZ$68)="EMPTY")+(UPPER($AS$68:$AZ$68)="(EMPTY)"))&gt;0,IFERROR(('Final Calculation Sheet'!$H$4)&amp;"","")="",ISNUMBER(SEARCH($AS$68:$AZ$68,IFERROR(('Final Calculation Sheet'!$H$4)&amp;"","")))))&gt;0),IF(COUNTIF($BI$68:$BP$68,2)=0,TRUE,SUMPRODUCT(($BI$68:$BP$68=2)*($AS$68:$AZ$68&lt;&gt;"")*IF(((UPPER($AS$68:$AZ$68)="BLANK")+(UPPER($AS$68:$AZ$68)="(BLANK)")+(UPPER($AS$68:$AZ$68)="EMPTY")+(UPPER($AS$68:$AZ$68)="(EMPTY)"))&gt;0,IFERROR(('Final Calculation Sheet'!$H$4)&amp;"","")="",ISNUMBER(SEARCH($AS$68:$AZ$68,IFERROR(('Final Calculation Sheet'!$H$4)&amp;"","")))))&gt;0),IF(COUNTIF($BI$68:$BP$68,3)=0,TRUE,SUMPRODUCT(($BI$68:$BP$68=3)*($AS$68:$AZ$68&lt;&gt;"")*IF(((UPPER($AS$68:$AZ$68)="BLANK")+(UPPER($AS$68:$AZ$68)="(BLANK)")+(UPPER($AS$68:$AZ$68)="EMPTY")+(UPPER($AS$68:$AZ$68)="(EMPTY)"))&gt;0,IFERROR(('Final Calculation Sheet'!$H$4)&amp;"","")="",ISNUMBER(SEARCH($AS$68:$AZ$68,IFERROR(('Final Calculation Sheet'!$H$4)&amp;"","")))))&gt;0),IF(COUNTIF($BI$68:$BP$68,4)=0,TRUE,SUMPRODUCT(($BI$68:$BP$68=4)*($AS$68:$AZ$68&lt;&gt;"")*IF(((UPPER($AS$68:$AZ$68)="BLANK")+(UPPER($AS$68:$AZ$68)="(BLANK)")+(UPPER($AS$68:$AZ$68)="EMPTY")+(UPPER($AS$68:$AZ$68)="(EMPTY)"))&gt;0,IFERROR(('Final Calculation Sheet'!$H$4)&amp;"","")="",ISNUMBER(SEARCH($AS$68:$AZ$68,IFERROR(('Final Calculation Sheet'!$H$4)&amp;"","")))))&gt;0),IF(COUNTIF($BI$68:$BP$68,5)=0,TRUE,SUMPRODUCT(($BI$68:$BP$68=5)*($AS$68:$AZ$68&lt;&gt;"")*IF(((UPPER($AS$68:$AZ$68)="BLANK")+(UPPER($AS$68:$AZ$68)="(BLANK)")+(UPPER($AS$68:$AZ$68)="EMPTY")+(UPPER($AS$68:$AZ$68)="(EMPTY)"))&gt;0,IFERROR(('Final Calculation Sheet'!$H$4)&amp;"","")="",ISNUMBER(SEARCH($AS$68:$AZ$68,IFERROR(('Final Calculation Sheet'!$H$4)&amp;"","")))))&gt;0),IF(COUNTIF($BI$68:$BP$68,6)=0,TRUE,SUMPRODUCT(($BI$68:$BP$68=6)*($AS$68:$AZ$68&lt;&gt;"")*IF(((UPPER($AS$68:$AZ$68)="BLANK")+(UPPER($AS$68:$AZ$68)="(BLANK)")+(UPPER($AS$68:$AZ$68)="EMPTY")+(UPPER($AS$68:$AZ$68)="(EMPTY)"))&gt;0,IFERROR(('Final Calculation Sheet'!$H$4)&amp;"","")="",ISNUMBER(SEARCH($AS$68:$AZ$68,IFERROR(('Final Calculation Sheet'!$H$4)&amp;"","")))))&gt;0),IF(COUNTIF($BI$68:$BP$68,7)=0,TRUE,SUMPRODUCT(($BI$68:$BP$68=7)*($AS$68:$AZ$68&lt;&gt;"")*IF(((UPPER($AS$68:$AZ$68)="BLANK")+(UPPER($AS$68:$AZ$68)="(BLANK)")+(UPPER($AS$68:$AZ$68)="EMPTY")+(UPPER($AS$68:$AZ$68)="(EMPTY)"))&gt;0,IFERROR(('Final Calculation Sheet'!$H$4)&amp;"","")="",ISNUMBER(SEARCH($AS$68:$AZ$68,IFERROR(('Final Calculation Sheet'!$H$4)&amp;"","")))))&gt;0),IF(COUNTIF($BI$68:$BP$68,8)=0,TRUE,SUMPRODUCT(($BI$68:$BP$68=8)*($AS$68:$AZ$68&lt;&gt;"")*IF(((UPPER($AS$68:$AZ$68)="BLANK")+(UPPER($AS$68:$AZ$68)="(BLANK)")+(UPPER($AS$68:$AZ$68)="EMPTY")+(UPPER($AS$68:$AZ$68)="(EMPTY)"))&gt;0,IFERROR(('Final Calculation Sheet'!$H$4)&amp;"","")="",ISNUMBER(SEARCH($AS$68:$AZ$68,IFERROR(('Final Calculation Sheet'!$H$4)&amp;"","")))))&gt;0))))</f>
        <v>1</v>
      </c>
      <c r="BV5">
        <f>IF($J$4="",1,--(AND(SUMPRODUCT(--($AS$69:$AZ$69&lt;&gt;""))&gt;0,IF(COUNTIF($BI$69:$BP$69,1)=0,TRUE,SUMPRODUCT(($BI$69:$BP$69=1)*($AS$69:$AZ$69&lt;&gt;"")*IF(((UPPER($AS$69:$AZ$69)="BLANK")+(UPPER($AS$69:$AZ$69)="(BLANK)")+(UPPER($AS$69:$AZ$69)="EMPTY")+(UPPER($AS$69:$AZ$69)="(EMPTY)"))&gt;0,IFERROR(('Final Calculation Sheet'!$I$4)&amp;"","")="",ISNUMBER(SEARCH($AS$69:$AZ$69,IFERROR(('Final Calculation Sheet'!$I$4)&amp;"","")))))&gt;0),IF(COUNTIF($BI$69:$BP$69,2)=0,TRUE,SUMPRODUCT(($BI$69:$BP$69=2)*($AS$69:$AZ$69&lt;&gt;"")*IF(((UPPER($AS$69:$AZ$69)="BLANK")+(UPPER($AS$69:$AZ$69)="(BLANK)")+(UPPER($AS$69:$AZ$69)="EMPTY")+(UPPER($AS$69:$AZ$69)="(EMPTY)"))&gt;0,IFERROR(('Final Calculation Sheet'!$I$4)&amp;"","")="",ISNUMBER(SEARCH($AS$69:$AZ$69,IFERROR(('Final Calculation Sheet'!$I$4)&amp;"","")))))&gt;0),IF(COUNTIF($BI$69:$BP$69,3)=0,TRUE,SUMPRODUCT(($BI$69:$BP$69=3)*($AS$69:$AZ$69&lt;&gt;"")*IF(((UPPER($AS$69:$AZ$69)="BLANK")+(UPPER($AS$69:$AZ$69)="(BLANK)")+(UPPER($AS$69:$AZ$69)="EMPTY")+(UPPER($AS$69:$AZ$69)="(EMPTY)"))&gt;0,IFERROR(('Final Calculation Sheet'!$I$4)&amp;"","")="",ISNUMBER(SEARCH($AS$69:$AZ$69,IFERROR(('Final Calculation Sheet'!$I$4)&amp;"","")))))&gt;0),IF(COUNTIF($BI$69:$BP$69,4)=0,TRUE,SUMPRODUCT(($BI$69:$BP$69=4)*($AS$69:$AZ$69&lt;&gt;"")*IF(((UPPER($AS$69:$AZ$69)="BLANK")+(UPPER($AS$69:$AZ$69)="(BLANK)")+(UPPER($AS$69:$AZ$69)="EMPTY")+(UPPER($AS$69:$AZ$69)="(EMPTY)"))&gt;0,IFERROR(('Final Calculation Sheet'!$I$4)&amp;"","")="",ISNUMBER(SEARCH($AS$69:$AZ$69,IFERROR(('Final Calculation Sheet'!$I$4)&amp;"","")))))&gt;0),IF(COUNTIF($BI$69:$BP$69,5)=0,TRUE,SUMPRODUCT(($BI$69:$BP$69=5)*($AS$69:$AZ$69&lt;&gt;"")*IF(((UPPER($AS$69:$AZ$69)="BLANK")+(UPPER($AS$69:$AZ$69)="(BLANK)")+(UPPER($AS$69:$AZ$69)="EMPTY")+(UPPER($AS$69:$AZ$69)="(EMPTY)"))&gt;0,IFERROR(('Final Calculation Sheet'!$I$4)&amp;"","")="",ISNUMBER(SEARCH($AS$69:$AZ$69,IFERROR(('Final Calculation Sheet'!$I$4)&amp;"","")))))&gt;0),IF(COUNTIF($BI$69:$BP$69,6)=0,TRUE,SUMPRODUCT(($BI$69:$BP$69=6)*($AS$69:$AZ$69&lt;&gt;"")*IF(((UPPER($AS$69:$AZ$69)="BLANK")+(UPPER($AS$69:$AZ$69)="(BLANK)")+(UPPER($AS$69:$AZ$69)="EMPTY")+(UPPER($AS$69:$AZ$69)="(EMPTY)"))&gt;0,IFERROR(('Final Calculation Sheet'!$I$4)&amp;"","")="",ISNUMBER(SEARCH($AS$69:$AZ$69,IFERROR(('Final Calculation Sheet'!$I$4)&amp;"","")))))&gt;0),IF(COUNTIF($BI$69:$BP$69,7)=0,TRUE,SUMPRODUCT(($BI$69:$BP$69=7)*($AS$69:$AZ$69&lt;&gt;"")*IF(((UPPER($AS$69:$AZ$69)="BLANK")+(UPPER($AS$69:$AZ$69)="(BLANK)")+(UPPER($AS$69:$AZ$69)="EMPTY")+(UPPER($AS$69:$AZ$69)="(EMPTY)"))&gt;0,IFERROR(('Final Calculation Sheet'!$I$4)&amp;"","")="",ISNUMBER(SEARCH($AS$69:$AZ$69,IFERROR(('Final Calculation Sheet'!$I$4)&amp;"","")))))&gt;0),IF(COUNTIF($BI$69:$BP$69,8)=0,TRUE,SUMPRODUCT(($BI$69:$BP$69=8)*($AS$69:$AZ$69&lt;&gt;"")*IF(((UPPER($AS$69:$AZ$69)="BLANK")+(UPPER($AS$69:$AZ$69)="(BLANK)")+(UPPER($AS$69:$AZ$69)="EMPTY")+(UPPER($AS$69:$AZ$69)="(EMPTY)"))&gt;0,IFERROR(('Final Calculation Sheet'!$I$4)&amp;"","")="",ISNUMBER(SEARCH($AS$69:$AZ$69,IFERROR(('Final Calculation Sheet'!$I$4)&amp;"","")))))&gt;0))))</f>
        <v>1</v>
      </c>
      <c r="BW5">
        <f>IF($K$4="",1,--(AND(SUMPRODUCT(--($AS$70:$AZ$70&lt;&gt;""))&gt;0,IF(COUNTIF($BI$70:$BP$70,1)=0,TRUE,SUMPRODUCT(($BI$70:$BP$70=1)*($AS$70:$AZ$70&lt;&gt;"")*IF(((UPPER($AS$70:$AZ$70)="BLANK")+(UPPER($AS$70:$AZ$70)="(BLANK)")+(UPPER($AS$70:$AZ$70)="EMPTY")+(UPPER($AS$70:$AZ$70)="(EMPTY)"))&gt;0,IFERROR(('Final Calculation Sheet'!$J$4)&amp;"","")="",ISNUMBER(SEARCH($AS$70:$AZ$70,IFERROR(('Final Calculation Sheet'!$J$4)&amp;"","")))))&gt;0),IF(COUNTIF($BI$70:$BP$70,2)=0,TRUE,SUMPRODUCT(($BI$70:$BP$70=2)*($AS$70:$AZ$70&lt;&gt;"")*IF(((UPPER($AS$70:$AZ$70)="BLANK")+(UPPER($AS$70:$AZ$70)="(BLANK)")+(UPPER($AS$70:$AZ$70)="EMPTY")+(UPPER($AS$70:$AZ$70)="(EMPTY)"))&gt;0,IFERROR(('Final Calculation Sheet'!$J$4)&amp;"","")="",ISNUMBER(SEARCH($AS$70:$AZ$70,IFERROR(('Final Calculation Sheet'!$J$4)&amp;"","")))))&gt;0),IF(COUNTIF($BI$70:$BP$70,3)=0,TRUE,SUMPRODUCT(($BI$70:$BP$70=3)*($AS$70:$AZ$70&lt;&gt;"")*IF(((UPPER($AS$70:$AZ$70)="BLANK")+(UPPER($AS$70:$AZ$70)="(BLANK)")+(UPPER($AS$70:$AZ$70)="EMPTY")+(UPPER($AS$70:$AZ$70)="(EMPTY)"))&gt;0,IFERROR(('Final Calculation Sheet'!$J$4)&amp;"","")="",ISNUMBER(SEARCH($AS$70:$AZ$70,IFERROR(('Final Calculation Sheet'!$J$4)&amp;"","")))))&gt;0),IF(COUNTIF($BI$70:$BP$70,4)=0,TRUE,SUMPRODUCT(($BI$70:$BP$70=4)*($AS$70:$AZ$70&lt;&gt;"")*IF(((UPPER($AS$70:$AZ$70)="BLANK")+(UPPER($AS$70:$AZ$70)="(BLANK)")+(UPPER($AS$70:$AZ$70)="EMPTY")+(UPPER($AS$70:$AZ$70)="(EMPTY)"))&gt;0,IFERROR(('Final Calculation Sheet'!$J$4)&amp;"","")="",ISNUMBER(SEARCH($AS$70:$AZ$70,IFERROR(('Final Calculation Sheet'!$J$4)&amp;"","")))))&gt;0),IF(COUNTIF($BI$70:$BP$70,5)=0,TRUE,SUMPRODUCT(($BI$70:$BP$70=5)*($AS$70:$AZ$70&lt;&gt;"")*IF(((UPPER($AS$70:$AZ$70)="BLANK")+(UPPER($AS$70:$AZ$70)="(BLANK)")+(UPPER($AS$70:$AZ$70)="EMPTY")+(UPPER($AS$70:$AZ$70)="(EMPTY)"))&gt;0,IFERROR(('Final Calculation Sheet'!$J$4)&amp;"","")="",ISNUMBER(SEARCH($AS$70:$AZ$70,IFERROR(('Final Calculation Sheet'!$J$4)&amp;"","")))))&gt;0),IF(COUNTIF($BI$70:$BP$70,6)=0,TRUE,SUMPRODUCT(($BI$70:$BP$70=6)*($AS$70:$AZ$70&lt;&gt;"")*IF(((UPPER($AS$70:$AZ$70)="BLANK")+(UPPER($AS$70:$AZ$70)="(BLANK)")+(UPPER($AS$70:$AZ$70)="EMPTY")+(UPPER($AS$70:$AZ$70)="(EMPTY)"))&gt;0,IFERROR(('Final Calculation Sheet'!$J$4)&amp;"","")="",ISNUMBER(SEARCH($AS$70:$AZ$70,IFERROR(('Final Calculation Sheet'!$J$4)&amp;"","")))))&gt;0),IF(COUNTIF($BI$70:$BP$70,7)=0,TRUE,SUMPRODUCT(($BI$70:$BP$70=7)*($AS$70:$AZ$70&lt;&gt;"")*IF(((UPPER($AS$70:$AZ$70)="BLANK")+(UPPER($AS$70:$AZ$70)="(BLANK)")+(UPPER($AS$70:$AZ$70)="EMPTY")+(UPPER($AS$70:$AZ$70)="(EMPTY)"))&gt;0,IFERROR(('Final Calculation Sheet'!$J$4)&amp;"","")="",ISNUMBER(SEARCH($AS$70:$AZ$70,IFERROR(('Final Calculation Sheet'!$J$4)&amp;"","")))))&gt;0),IF(COUNTIF($BI$70:$BP$70,8)=0,TRUE,SUMPRODUCT(($BI$70:$BP$70=8)*($AS$70:$AZ$70&lt;&gt;"")*IF(((UPPER($AS$70:$AZ$70)="BLANK")+(UPPER($AS$70:$AZ$70)="(BLANK)")+(UPPER($AS$70:$AZ$70)="EMPTY")+(UPPER($AS$70:$AZ$70)="(EMPTY)"))&gt;0,IFERROR(('Final Calculation Sheet'!$J$4)&amp;"","")="",ISNUMBER(SEARCH($AS$70:$AZ$70,IFERROR(('Final Calculation Sheet'!$J$4)&amp;"","")))))&gt;0))))</f>
        <v>1</v>
      </c>
      <c r="BX5">
        <f>IF($L$4="",1,--(AND(SUMPRODUCT(--($AS$71:$AZ$71&lt;&gt;""))&gt;0,IF(COUNTIF($BI$71:$BP$71,1)=0,TRUE,SUMPRODUCT(($BI$71:$BP$71=1)*($AS$71:$AZ$71&lt;&gt;"")*IF(((UPPER($AS$71:$AZ$71)="BLANK")+(UPPER($AS$71:$AZ$71)="(BLANK)")+(UPPER($AS$71:$AZ$71)="EMPTY")+(UPPER($AS$71:$AZ$71)="(EMPTY)"))&gt;0,IFERROR(('Final Calculation Sheet'!$K$4)&amp;"","")="",ISNUMBER(SEARCH($AS$71:$AZ$71,IFERROR(('Final Calculation Sheet'!$K$4)&amp;"","")))))&gt;0),IF(COUNTIF($BI$71:$BP$71,2)=0,TRUE,SUMPRODUCT(($BI$71:$BP$71=2)*($AS$71:$AZ$71&lt;&gt;"")*IF(((UPPER($AS$71:$AZ$71)="BLANK")+(UPPER($AS$71:$AZ$71)="(BLANK)")+(UPPER($AS$71:$AZ$71)="EMPTY")+(UPPER($AS$71:$AZ$71)="(EMPTY)"))&gt;0,IFERROR(('Final Calculation Sheet'!$K$4)&amp;"","")="",ISNUMBER(SEARCH($AS$71:$AZ$71,IFERROR(('Final Calculation Sheet'!$K$4)&amp;"","")))))&gt;0),IF(COUNTIF($BI$71:$BP$71,3)=0,TRUE,SUMPRODUCT(($BI$71:$BP$71=3)*($AS$71:$AZ$71&lt;&gt;"")*IF(((UPPER($AS$71:$AZ$71)="BLANK")+(UPPER($AS$71:$AZ$71)="(BLANK)")+(UPPER($AS$71:$AZ$71)="EMPTY")+(UPPER($AS$71:$AZ$71)="(EMPTY)"))&gt;0,IFERROR(('Final Calculation Sheet'!$K$4)&amp;"","")="",ISNUMBER(SEARCH($AS$71:$AZ$71,IFERROR(('Final Calculation Sheet'!$K$4)&amp;"","")))))&gt;0),IF(COUNTIF($BI$71:$BP$71,4)=0,TRUE,SUMPRODUCT(($BI$71:$BP$71=4)*($AS$71:$AZ$71&lt;&gt;"")*IF(((UPPER($AS$71:$AZ$71)="BLANK")+(UPPER($AS$71:$AZ$71)="(BLANK)")+(UPPER($AS$71:$AZ$71)="EMPTY")+(UPPER($AS$71:$AZ$71)="(EMPTY)"))&gt;0,IFERROR(('Final Calculation Sheet'!$K$4)&amp;"","")="",ISNUMBER(SEARCH($AS$71:$AZ$71,IFERROR(('Final Calculation Sheet'!$K$4)&amp;"","")))))&gt;0),IF(COUNTIF($BI$71:$BP$71,5)=0,TRUE,SUMPRODUCT(($BI$71:$BP$71=5)*($AS$71:$AZ$71&lt;&gt;"")*IF(((UPPER($AS$71:$AZ$71)="BLANK")+(UPPER($AS$71:$AZ$71)="(BLANK)")+(UPPER($AS$71:$AZ$71)="EMPTY")+(UPPER($AS$71:$AZ$71)="(EMPTY)"))&gt;0,IFERROR(('Final Calculation Sheet'!$K$4)&amp;"","")="",ISNUMBER(SEARCH($AS$71:$AZ$71,IFERROR(('Final Calculation Sheet'!$K$4)&amp;"","")))))&gt;0),IF(COUNTIF($BI$71:$BP$71,6)=0,TRUE,SUMPRODUCT(($BI$71:$BP$71=6)*($AS$71:$AZ$71&lt;&gt;"")*IF(((UPPER($AS$71:$AZ$71)="BLANK")+(UPPER($AS$71:$AZ$71)="(BLANK)")+(UPPER($AS$71:$AZ$71)="EMPTY")+(UPPER($AS$71:$AZ$71)="(EMPTY)"))&gt;0,IFERROR(('Final Calculation Sheet'!$K$4)&amp;"","")="",ISNUMBER(SEARCH($AS$71:$AZ$71,IFERROR(('Final Calculation Sheet'!$K$4)&amp;"","")))))&gt;0),IF(COUNTIF($BI$71:$BP$71,7)=0,TRUE,SUMPRODUCT(($BI$71:$BP$71=7)*($AS$71:$AZ$71&lt;&gt;"")*IF(((UPPER($AS$71:$AZ$71)="BLANK")+(UPPER($AS$71:$AZ$71)="(BLANK)")+(UPPER($AS$71:$AZ$71)="EMPTY")+(UPPER($AS$71:$AZ$71)="(EMPTY)"))&gt;0,IFERROR(('Final Calculation Sheet'!$K$4)&amp;"","")="",ISNUMBER(SEARCH($AS$71:$AZ$71,IFERROR(('Final Calculation Sheet'!$K$4)&amp;"","")))))&gt;0),IF(COUNTIF($BI$71:$BP$71,8)=0,TRUE,SUMPRODUCT(($BI$71:$BP$71=8)*($AS$71:$AZ$71&lt;&gt;"")*IF(((UPPER($AS$71:$AZ$71)="BLANK")+(UPPER($AS$71:$AZ$71)="(BLANK)")+(UPPER($AS$71:$AZ$71)="EMPTY")+(UPPER($AS$71:$AZ$71)="(EMPTY)"))&gt;0,IFERROR(('Final Calculation Sheet'!$K$4)&amp;"","")="",ISNUMBER(SEARCH($AS$71:$AZ$71,IFERROR(('Final Calculation Sheet'!$K$4)&amp;"","")))))&gt;0))))</f>
        <v>1</v>
      </c>
      <c r="BY5">
        <f>IF($M$4="",1,--(AND(SUMPRODUCT(--($AS$72:$AZ$72&lt;&gt;""))&gt;0,IF(COUNTIF($BI$72:$BP$72,1)=0,TRUE,SUMPRODUCT(($BI$72:$BP$72=1)*($AS$72:$AZ$72&lt;&gt;"")*IF(((UPPER($AS$72:$AZ$72)="BLANK")+(UPPER($AS$72:$AZ$72)="(BLANK)")+(UPPER($AS$72:$AZ$72)="EMPTY")+(UPPER($AS$72:$AZ$72)="(EMPTY)"))&gt;0,IFERROR(('Final Calculation Sheet'!$L$4)&amp;"","")="",ISNUMBER(SEARCH($AS$72:$AZ$72,IFERROR(('Final Calculation Sheet'!$L$4)&amp;"","")))))&gt;0),IF(COUNTIF($BI$72:$BP$72,2)=0,TRUE,SUMPRODUCT(($BI$72:$BP$72=2)*($AS$72:$AZ$72&lt;&gt;"")*IF(((UPPER($AS$72:$AZ$72)="BLANK")+(UPPER($AS$72:$AZ$72)="(BLANK)")+(UPPER($AS$72:$AZ$72)="EMPTY")+(UPPER($AS$72:$AZ$72)="(EMPTY)"))&gt;0,IFERROR(('Final Calculation Sheet'!$L$4)&amp;"","")="",ISNUMBER(SEARCH($AS$72:$AZ$72,IFERROR(('Final Calculation Sheet'!$L$4)&amp;"","")))))&gt;0),IF(COUNTIF($BI$72:$BP$72,3)=0,TRUE,SUMPRODUCT(($BI$72:$BP$72=3)*($AS$72:$AZ$72&lt;&gt;"")*IF(((UPPER($AS$72:$AZ$72)="BLANK")+(UPPER($AS$72:$AZ$72)="(BLANK)")+(UPPER($AS$72:$AZ$72)="EMPTY")+(UPPER($AS$72:$AZ$72)="(EMPTY)"))&gt;0,IFERROR(('Final Calculation Sheet'!$L$4)&amp;"","")="",ISNUMBER(SEARCH($AS$72:$AZ$72,IFERROR(('Final Calculation Sheet'!$L$4)&amp;"","")))))&gt;0),IF(COUNTIF($BI$72:$BP$72,4)=0,TRUE,SUMPRODUCT(($BI$72:$BP$72=4)*($AS$72:$AZ$72&lt;&gt;"")*IF(((UPPER($AS$72:$AZ$72)="BLANK")+(UPPER($AS$72:$AZ$72)="(BLANK)")+(UPPER($AS$72:$AZ$72)="EMPTY")+(UPPER($AS$72:$AZ$72)="(EMPTY)"))&gt;0,IFERROR(('Final Calculation Sheet'!$L$4)&amp;"","")="",ISNUMBER(SEARCH($AS$72:$AZ$72,IFERROR(('Final Calculation Sheet'!$L$4)&amp;"","")))))&gt;0),IF(COUNTIF($BI$72:$BP$72,5)=0,TRUE,SUMPRODUCT(($BI$72:$BP$72=5)*($AS$72:$AZ$72&lt;&gt;"")*IF(((UPPER($AS$72:$AZ$72)="BLANK")+(UPPER($AS$72:$AZ$72)="(BLANK)")+(UPPER($AS$72:$AZ$72)="EMPTY")+(UPPER($AS$72:$AZ$72)="(EMPTY)"))&gt;0,IFERROR(('Final Calculation Sheet'!$L$4)&amp;"","")="",ISNUMBER(SEARCH($AS$72:$AZ$72,IFERROR(('Final Calculation Sheet'!$L$4)&amp;"","")))))&gt;0),IF(COUNTIF($BI$72:$BP$72,6)=0,TRUE,SUMPRODUCT(($BI$72:$BP$72=6)*($AS$72:$AZ$72&lt;&gt;"")*IF(((UPPER($AS$72:$AZ$72)="BLANK")+(UPPER($AS$72:$AZ$72)="(BLANK)")+(UPPER($AS$72:$AZ$72)="EMPTY")+(UPPER($AS$72:$AZ$72)="(EMPTY)"))&gt;0,IFERROR(('Final Calculation Sheet'!$L$4)&amp;"","")="",ISNUMBER(SEARCH($AS$72:$AZ$72,IFERROR(('Final Calculation Sheet'!$L$4)&amp;"","")))))&gt;0),IF(COUNTIF($BI$72:$BP$72,7)=0,TRUE,SUMPRODUCT(($BI$72:$BP$72=7)*($AS$72:$AZ$72&lt;&gt;"")*IF(((UPPER($AS$72:$AZ$72)="BLANK")+(UPPER($AS$72:$AZ$72)="(BLANK)")+(UPPER($AS$72:$AZ$72)="EMPTY")+(UPPER($AS$72:$AZ$72)="(EMPTY)"))&gt;0,IFERROR(('Final Calculation Sheet'!$L$4)&amp;"","")="",ISNUMBER(SEARCH($AS$72:$AZ$72,IFERROR(('Final Calculation Sheet'!$L$4)&amp;"","")))))&gt;0),IF(COUNTIF($BI$72:$BP$72,8)=0,TRUE,SUMPRODUCT(($BI$72:$BP$72=8)*($AS$72:$AZ$72&lt;&gt;"")*IF(((UPPER($AS$72:$AZ$72)="BLANK")+(UPPER($AS$72:$AZ$72)="(BLANK)")+(UPPER($AS$72:$AZ$72)="EMPTY")+(UPPER($AS$72:$AZ$72)="(EMPTY)"))&gt;0,IFERROR(('Final Calculation Sheet'!$L$4)&amp;"","")="",ISNUMBER(SEARCH($AS$72:$AZ$72,IFERROR(('Final Calculation Sheet'!$L$4)&amp;"","")))))&gt;0))))</f>
        <v>1</v>
      </c>
      <c r="BZ5">
        <f>IF($N$4="",1,--(AND(SUMPRODUCT(--($AS$73:$AZ$73&lt;&gt;""))&gt;0,IF(COUNTIF($BI$73:$BP$73,1)=0,TRUE,SUMPRODUCT(($BI$73:$BP$73=1)*($AS$73:$AZ$73&lt;&gt;"")*IF(((UPPER($AS$73:$AZ$73)="BLANK")+(UPPER($AS$73:$AZ$73)="(BLANK)")+(UPPER($AS$73:$AZ$73)="EMPTY")+(UPPER($AS$73:$AZ$73)="(EMPTY)"))&gt;0,IFERROR(('Final Calculation Sheet'!$M$4)&amp;"","")="",ISNUMBER(SEARCH($AS$73:$AZ$73,IFERROR(('Final Calculation Sheet'!$M$4)&amp;"","")))))&gt;0),IF(COUNTIF($BI$73:$BP$73,2)=0,TRUE,SUMPRODUCT(($BI$73:$BP$73=2)*($AS$73:$AZ$73&lt;&gt;"")*IF(((UPPER($AS$73:$AZ$73)="BLANK")+(UPPER($AS$73:$AZ$73)="(BLANK)")+(UPPER($AS$73:$AZ$73)="EMPTY")+(UPPER($AS$73:$AZ$73)="(EMPTY)"))&gt;0,IFERROR(('Final Calculation Sheet'!$M$4)&amp;"","")="",ISNUMBER(SEARCH($AS$73:$AZ$73,IFERROR(('Final Calculation Sheet'!$M$4)&amp;"","")))))&gt;0),IF(COUNTIF($BI$73:$BP$73,3)=0,TRUE,SUMPRODUCT(($BI$73:$BP$73=3)*($AS$73:$AZ$73&lt;&gt;"")*IF(((UPPER($AS$73:$AZ$73)="BLANK")+(UPPER($AS$73:$AZ$73)="(BLANK)")+(UPPER($AS$73:$AZ$73)="EMPTY")+(UPPER($AS$73:$AZ$73)="(EMPTY)"))&gt;0,IFERROR(('Final Calculation Sheet'!$M$4)&amp;"","")="",ISNUMBER(SEARCH($AS$73:$AZ$73,IFERROR(('Final Calculation Sheet'!$M$4)&amp;"","")))))&gt;0),IF(COUNTIF($BI$73:$BP$73,4)=0,TRUE,SUMPRODUCT(($BI$73:$BP$73=4)*($AS$73:$AZ$73&lt;&gt;"")*IF(((UPPER($AS$73:$AZ$73)="BLANK")+(UPPER($AS$73:$AZ$73)="(BLANK)")+(UPPER($AS$73:$AZ$73)="EMPTY")+(UPPER($AS$73:$AZ$73)="(EMPTY)"))&gt;0,IFERROR(('Final Calculation Sheet'!$M$4)&amp;"","")="",ISNUMBER(SEARCH($AS$73:$AZ$73,IFERROR(('Final Calculation Sheet'!$M$4)&amp;"","")))))&gt;0),IF(COUNTIF($BI$73:$BP$73,5)=0,TRUE,SUMPRODUCT(($BI$73:$BP$73=5)*($AS$73:$AZ$73&lt;&gt;"")*IF(((UPPER($AS$73:$AZ$73)="BLANK")+(UPPER($AS$73:$AZ$73)="(BLANK)")+(UPPER($AS$73:$AZ$73)="EMPTY")+(UPPER($AS$73:$AZ$73)="(EMPTY)"))&gt;0,IFERROR(('Final Calculation Sheet'!$M$4)&amp;"","")="",ISNUMBER(SEARCH($AS$73:$AZ$73,IFERROR(('Final Calculation Sheet'!$M$4)&amp;"","")))))&gt;0),IF(COUNTIF($BI$73:$BP$73,6)=0,TRUE,SUMPRODUCT(($BI$73:$BP$73=6)*($AS$73:$AZ$73&lt;&gt;"")*IF(((UPPER($AS$73:$AZ$73)="BLANK")+(UPPER($AS$73:$AZ$73)="(BLANK)")+(UPPER($AS$73:$AZ$73)="EMPTY")+(UPPER($AS$73:$AZ$73)="(EMPTY)"))&gt;0,IFERROR(('Final Calculation Sheet'!$M$4)&amp;"","")="",ISNUMBER(SEARCH($AS$73:$AZ$73,IFERROR(('Final Calculation Sheet'!$M$4)&amp;"","")))))&gt;0),IF(COUNTIF($BI$73:$BP$73,7)=0,TRUE,SUMPRODUCT(($BI$73:$BP$73=7)*($AS$73:$AZ$73&lt;&gt;"")*IF(((UPPER($AS$73:$AZ$73)="BLANK")+(UPPER($AS$73:$AZ$73)="(BLANK)")+(UPPER($AS$73:$AZ$73)="EMPTY")+(UPPER($AS$73:$AZ$73)="(EMPTY)"))&gt;0,IFERROR(('Final Calculation Sheet'!$M$4)&amp;"","")="",ISNUMBER(SEARCH($AS$73:$AZ$73,IFERROR(('Final Calculation Sheet'!$M$4)&amp;"","")))))&gt;0),IF(COUNTIF($BI$73:$BP$73,8)=0,TRUE,SUMPRODUCT(($BI$73:$BP$73=8)*($AS$73:$AZ$73&lt;&gt;"")*IF(((UPPER($AS$73:$AZ$73)="BLANK")+(UPPER($AS$73:$AZ$73)="(BLANK)")+(UPPER($AS$73:$AZ$73)="EMPTY")+(UPPER($AS$73:$AZ$73)="(EMPTY)"))&gt;0,IFERROR(('Final Calculation Sheet'!$M$4)&amp;"","")="",ISNUMBER(SEARCH($AS$73:$AZ$73,IFERROR(('Final Calculation Sheet'!$M$4)&amp;"","")))))&gt;0))))</f>
        <v>1</v>
      </c>
      <c r="CA5">
        <f>IF($O$4="",1,--(AND(SUMPRODUCT(--($AS$74:$AZ$74&lt;&gt;""))&gt;0,IF(COUNTIF($BI$74:$BP$74,1)=0,TRUE,SUMPRODUCT(($BI$74:$BP$74=1)*($AS$74:$AZ$74&lt;&gt;"")*IF(((UPPER($AS$74:$AZ$74)="BLANK")+(UPPER($AS$74:$AZ$74)="(BLANK)")+(UPPER($AS$74:$AZ$74)="EMPTY")+(UPPER($AS$74:$AZ$74)="(EMPTY)"))&gt;0,IFERROR(('Final Calculation Sheet'!$N$4)&amp;"","")="",ISNUMBER(SEARCH($AS$74:$AZ$74,IFERROR(('Final Calculation Sheet'!$N$4)&amp;"","")))))&gt;0),IF(COUNTIF($BI$74:$BP$74,2)=0,TRUE,SUMPRODUCT(($BI$74:$BP$74=2)*($AS$74:$AZ$74&lt;&gt;"")*IF(((UPPER($AS$74:$AZ$74)="BLANK")+(UPPER($AS$74:$AZ$74)="(BLANK)")+(UPPER($AS$74:$AZ$74)="EMPTY")+(UPPER($AS$74:$AZ$74)="(EMPTY)"))&gt;0,IFERROR(('Final Calculation Sheet'!$N$4)&amp;"","")="",ISNUMBER(SEARCH($AS$74:$AZ$74,IFERROR(('Final Calculation Sheet'!$N$4)&amp;"","")))))&gt;0),IF(COUNTIF($BI$74:$BP$74,3)=0,TRUE,SUMPRODUCT(($BI$74:$BP$74=3)*($AS$74:$AZ$74&lt;&gt;"")*IF(((UPPER($AS$74:$AZ$74)="BLANK")+(UPPER($AS$74:$AZ$74)="(BLANK)")+(UPPER($AS$74:$AZ$74)="EMPTY")+(UPPER($AS$74:$AZ$74)="(EMPTY)"))&gt;0,IFERROR(('Final Calculation Sheet'!$N$4)&amp;"","")="",ISNUMBER(SEARCH($AS$74:$AZ$74,IFERROR(('Final Calculation Sheet'!$N$4)&amp;"","")))))&gt;0),IF(COUNTIF($BI$74:$BP$74,4)=0,TRUE,SUMPRODUCT(($BI$74:$BP$74=4)*($AS$74:$AZ$74&lt;&gt;"")*IF(((UPPER($AS$74:$AZ$74)="BLANK")+(UPPER($AS$74:$AZ$74)="(BLANK)")+(UPPER($AS$74:$AZ$74)="EMPTY")+(UPPER($AS$74:$AZ$74)="(EMPTY)"))&gt;0,IFERROR(('Final Calculation Sheet'!$N$4)&amp;"","")="",ISNUMBER(SEARCH($AS$74:$AZ$74,IFERROR(('Final Calculation Sheet'!$N$4)&amp;"","")))))&gt;0),IF(COUNTIF($BI$74:$BP$74,5)=0,TRUE,SUMPRODUCT(($BI$74:$BP$74=5)*($AS$74:$AZ$74&lt;&gt;"")*IF(((UPPER($AS$74:$AZ$74)="BLANK")+(UPPER($AS$74:$AZ$74)="(BLANK)")+(UPPER($AS$74:$AZ$74)="EMPTY")+(UPPER($AS$74:$AZ$74)="(EMPTY)"))&gt;0,IFERROR(('Final Calculation Sheet'!$N$4)&amp;"","")="",ISNUMBER(SEARCH($AS$74:$AZ$74,IFERROR(('Final Calculation Sheet'!$N$4)&amp;"","")))))&gt;0),IF(COUNTIF($BI$74:$BP$74,6)=0,TRUE,SUMPRODUCT(($BI$74:$BP$74=6)*($AS$74:$AZ$74&lt;&gt;"")*IF(((UPPER($AS$74:$AZ$74)="BLANK")+(UPPER($AS$74:$AZ$74)="(BLANK)")+(UPPER($AS$74:$AZ$74)="EMPTY")+(UPPER($AS$74:$AZ$74)="(EMPTY)"))&gt;0,IFERROR(('Final Calculation Sheet'!$N$4)&amp;"","")="",ISNUMBER(SEARCH($AS$74:$AZ$74,IFERROR(('Final Calculation Sheet'!$N$4)&amp;"","")))))&gt;0),IF(COUNTIF($BI$74:$BP$74,7)=0,TRUE,SUMPRODUCT(($BI$74:$BP$74=7)*($AS$74:$AZ$74&lt;&gt;"")*IF(((UPPER($AS$74:$AZ$74)="BLANK")+(UPPER($AS$74:$AZ$74)="(BLANK)")+(UPPER($AS$74:$AZ$74)="EMPTY")+(UPPER($AS$74:$AZ$74)="(EMPTY)"))&gt;0,IFERROR(('Final Calculation Sheet'!$N$4)&amp;"","")="",ISNUMBER(SEARCH($AS$74:$AZ$74,IFERROR(('Final Calculation Sheet'!$N$4)&amp;"","")))))&gt;0),IF(COUNTIF($BI$74:$BP$74,8)=0,TRUE,SUMPRODUCT(($BI$74:$BP$74=8)*($AS$74:$AZ$74&lt;&gt;"")*IF(((UPPER($AS$74:$AZ$74)="BLANK")+(UPPER($AS$74:$AZ$74)="(BLANK)")+(UPPER($AS$74:$AZ$74)="EMPTY")+(UPPER($AS$74:$AZ$74)="(EMPTY)"))&gt;0,IFERROR(('Final Calculation Sheet'!$N$4)&amp;"","")="",ISNUMBER(SEARCH($AS$74:$AZ$74,IFERROR(('Final Calculation Sheet'!$N$4)&amp;"","")))))&gt;0))))</f>
        <v>1</v>
      </c>
      <c r="CB5">
        <f>IF($P$4="",1,--(AND(SUMPRODUCT(--($AS$75:$AZ$75&lt;&gt;""))&gt;0,IF(COUNTIF($BI$75:$BP$75,1)=0,TRUE,SUMPRODUCT(($BI$75:$BP$75=1)*($AS$75:$AZ$75&lt;&gt;"")*IF(((UPPER($AS$75:$AZ$75)="BLANK")+(UPPER($AS$75:$AZ$75)="(BLANK)")+(UPPER($AS$75:$AZ$75)="EMPTY")+(UPPER($AS$75:$AZ$75)="(EMPTY)"))&gt;0,IFERROR(('Final Calculation Sheet'!$O$4)&amp;"","")="",ISNUMBER(SEARCH($AS$75:$AZ$75,IFERROR(('Final Calculation Sheet'!$O$4)&amp;"","")))))&gt;0),IF(COUNTIF($BI$75:$BP$75,2)=0,TRUE,SUMPRODUCT(($BI$75:$BP$75=2)*($AS$75:$AZ$75&lt;&gt;"")*IF(((UPPER($AS$75:$AZ$75)="BLANK")+(UPPER($AS$75:$AZ$75)="(BLANK)")+(UPPER($AS$75:$AZ$75)="EMPTY")+(UPPER($AS$75:$AZ$75)="(EMPTY)"))&gt;0,IFERROR(('Final Calculation Sheet'!$O$4)&amp;"","")="",ISNUMBER(SEARCH($AS$75:$AZ$75,IFERROR(('Final Calculation Sheet'!$O$4)&amp;"","")))))&gt;0),IF(COUNTIF($BI$75:$BP$75,3)=0,TRUE,SUMPRODUCT(($BI$75:$BP$75=3)*($AS$75:$AZ$75&lt;&gt;"")*IF(((UPPER($AS$75:$AZ$75)="BLANK")+(UPPER($AS$75:$AZ$75)="(BLANK)")+(UPPER($AS$75:$AZ$75)="EMPTY")+(UPPER($AS$75:$AZ$75)="(EMPTY)"))&gt;0,IFERROR(('Final Calculation Sheet'!$O$4)&amp;"","")="",ISNUMBER(SEARCH($AS$75:$AZ$75,IFERROR(('Final Calculation Sheet'!$O$4)&amp;"","")))))&gt;0),IF(COUNTIF($BI$75:$BP$75,4)=0,TRUE,SUMPRODUCT(($BI$75:$BP$75=4)*($AS$75:$AZ$75&lt;&gt;"")*IF(((UPPER($AS$75:$AZ$75)="BLANK")+(UPPER($AS$75:$AZ$75)="(BLANK)")+(UPPER($AS$75:$AZ$75)="EMPTY")+(UPPER($AS$75:$AZ$75)="(EMPTY)"))&gt;0,IFERROR(('Final Calculation Sheet'!$O$4)&amp;"","")="",ISNUMBER(SEARCH($AS$75:$AZ$75,IFERROR(('Final Calculation Sheet'!$O$4)&amp;"","")))))&gt;0),IF(COUNTIF($BI$75:$BP$75,5)=0,TRUE,SUMPRODUCT(($BI$75:$BP$75=5)*($AS$75:$AZ$75&lt;&gt;"")*IF(((UPPER($AS$75:$AZ$75)="BLANK")+(UPPER($AS$75:$AZ$75)="(BLANK)")+(UPPER($AS$75:$AZ$75)="EMPTY")+(UPPER($AS$75:$AZ$75)="(EMPTY)"))&gt;0,IFERROR(('Final Calculation Sheet'!$O$4)&amp;"","")="",ISNUMBER(SEARCH($AS$75:$AZ$75,IFERROR(('Final Calculation Sheet'!$O$4)&amp;"","")))))&gt;0),IF(COUNTIF($BI$75:$BP$75,6)=0,TRUE,SUMPRODUCT(($BI$75:$BP$75=6)*($AS$75:$AZ$75&lt;&gt;"")*IF(((UPPER($AS$75:$AZ$75)="BLANK")+(UPPER($AS$75:$AZ$75)="(BLANK)")+(UPPER($AS$75:$AZ$75)="EMPTY")+(UPPER($AS$75:$AZ$75)="(EMPTY)"))&gt;0,IFERROR(('Final Calculation Sheet'!$O$4)&amp;"","")="",ISNUMBER(SEARCH($AS$75:$AZ$75,IFERROR(('Final Calculation Sheet'!$O$4)&amp;"","")))))&gt;0),IF(COUNTIF($BI$75:$BP$75,7)=0,TRUE,SUMPRODUCT(($BI$75:$BP$75=7)*($AS$75:$AZ$75&lt;&gt;"")*IF(((UPPER($AS$75:$AZ$75)="BLANK")+(UPPER($AS$75:$AZ$75)="(BLANK)")+(UPPER($AS$75:$AZ$75)="EMPTY")+(UPPER($AS$75:$AZ$75)="(EMPTY)"))&gt;0,IFERROR(('Final Calculation Sheet'!$O$4)&amp;"","")="",ISNUMBER(SEARCH($AS$75:$AZ$75,IFERROR(('Final Calculation Sheet'!$O$4)&amp;"","")))))&gt;0),IF(COUNTIF($BI$75:$BP$75,8)=0,TRUE,SUMPRODUCT(($BI$75:$BP$75=8)*($AS$75:$AZ$75&lt;&gt;"")*IF(((UPPER($AS$75:$AZ$75)="BLANK")+(UPPER($AS$75:$AZ$75)="(BLANK)")+(UPPER($AS$75:$AZ$75)="EMPTY")+(UPPER($AS$75:$AZ$75)="(EMPTY)"))&gt;0,IFERROR(('Final Calculation Sheet'!$O$4)&amp;"","")="",ISNUMBER(SEARCH($AS$75:$AZ$75,IFERROR(('Final Calculation Sheet'!$O$4)&amp;"","")))))&gt;0))))</f>
        <v>1</v>
      </c>
      <c r="CC5">
        <f>IF($Q$4="",1,--(AND(SUMPRODUCT(--($AS$76:$AZ$76&lt;&gt;""))&gt;0,IF(COUNTIF($BI$76:$BP$76,1)=0,TRUE,SUMPRODUCT(($BI$76:$BP$76=1)*($AS$76:$AZ$76&lt;&gt;"")*IF(((UPPER($AS$76:$AZ$76)="BLANK")+(UPPER($AS$76:$AZ$76)="(BLANK)")+(UPPER($AS$76:$AZ$76)="EMPTY")+(UPPER($AS$76:$AZ$76)="(EMPTY)"))&gt;0,IFERROR(('Final Calculation Sheet'!$P$4)&amp;"","")="",ISNUMBER(SEARCH($AS$76:$AZ$76,IFERROR(('Final Calculation Sheet'!$P$4)&amp;"","")))))&gt;0),IF(COUNTIF($BI$76:$BP$76,2)=0,TRUE,SUMPRODUCT(($BI$76:$BP$76=2)*($AS$76:$AZ$76&lt;&gt;"")*IF(((UPPER($AS$76:$AZ$76)="BLANK")+(UPPER($AS$76:$AZ$76)="(BLANK)")+(UPPER($AS$76:$AZ$76)="EMPTY")+(UPPER($AS$76:$AZ$76)="(EMPTY)"))&gt;0,IFERROR(('Final Calculation Sheet'!$P$4)&amp;"","")="",ISNUMBER(SEARCH($AS$76:$AZ$76,IFERROR(('Final Calculation Sheet'!$P$4)&amp;"","")))))&gt;0),IF(COUNTIF($BI$76:$BP$76,3)=0,TRUE,SUMPRODUCT(($BI$76:$BP$76=3)*($AS$76:$AZ$76&lt;&gt;"")*IF(((UPPER($AS$76:$AZ$76)="BLANK")+(UPPER($AS$76:$AZ$76)="(BLANK)")+(UPPER($AS$76:$AZ$76)="EMPTY")+(UPPER($AS$76:$AZ$76)="(EMPTY)"))&gt;0,IFERROR(('Final Calculation Sheet'!$P$4)&amp;"","")="",ISNUMBER(SEARCH($AS$76:$AZ$76,IFERROR(('Final Calculation Sheet'!$P$4)&amp;"","")))))&gt;0),IF(COUNTIF($BI$76:$BP$76,4)=0,TRUE,SUMPRODUCT(($BI$76:$BP$76=4)*($AS$76:$AZ$76&lt;&gt;"")*IF(((UPPER($AS$76:$AZ$76)="BLANK")+(UPPER($AS$76:$AZ$76)="(BLANK)")+(UPPER($AS$76:$AZ$76)="EMPTY")+(UPPER($AS$76:$AZ$76)="(EMPTY)"))&gt;0,IFERROR(('Final Calculation Sheet'!$P$4)&amp;"","")="",ISNUMBER(SEARCH($AS$76:$AZ$76,IFERROR(('Final Calculation Sheet'!$P$4)&amp;"","")))))&gt;0),IF(COUNTIF($BI$76:$BP$76,5)=0,TRUE,SUMPRODUCT(($BI$76:$BP$76=5)*($AS$76:$AZ$76&lt;&gt;"")*IF(((UPPER($AS$76:$AZ$76)="BLANK")+(UPPER($AS$76:$AZ$76)="(BLANK)")+(UPPER($AS$76:$AZ$76)="EMPTY")+(UPPER($AS$76:$AZ$76)="(EMPTY)"))&gt;0,IFERROR(('Final Calculation Sheet'!$P$4)&amp;"","")="",ISNUMBER(SEARCH($AS$76:$AZ$76,IFERROR(('Final Calculation Sheet'!$P$4)&amp;"","")))))&gt;0),IF(COUNTIF($BI$76:$BP$76,6)=0,TRUE,SUMPRODUCT(($BI$76:$BP$76=6)*($AS$76:$AZ$76&lt;&gt;"")*IF(((UPPER($AS$76:$AZ$76)="BLANK")+(UPPER($AS$76:$AZ$76)="(BLANK)")+(UPPER($AS$76:$AZ$76)="EMPTY")+(UPPER($AS$76:$AZ$76)="(EMPTY)"))&gt;0,IFERROR(('Final Calculation Sheet'!$P$4)&amp;"","")="",ISNUMBER(SEARCH($AS$76:$AZ$76,IFERROR(('Final Calculation Sheet'!$P$4)&amp;"","")))))&gt;0),IF(COUNTIF($BI$76:$BP$76,7)=0,TRUE,SUMPRODUCT(($BI$76:$BP$76=7)*($AS$76:$AZ$76&lt;&gt;"")*IF(((UPPER($AS$76:$AZ$76)="BLANK")+(UPPER($AS$76:$AZ$76)="(BLANK)")+(UPPER($AS$76:$AZ$76)="EMPTY")+(UPPER($AS$76:$AZ$76)="(EMPTY)"))&gt;0,IFERROR(('Final Calculation Sheet'!$P$4)&amp;"","")="",ISNUMBER(SEARCH($AS$76:$AZ$76,IFERROR(('Final Calculation Sheet'!$P$4)&amp;"","")))))&gt;0),IF(COUNTIF($BI$76:$BP$76,8)=0,TRUE,SUMPRODUCT(($BI$76:$BP$76=8)*($AS$76:$AZ$76&lt;&gt;"")*IF(((UPPER($AS$76:$AZ$76)="BLANK")+(UPPER($AS$76:$AZ$76)="(BLANK)")+(UPPER($AS$76:$AZ$76)="EMPTY")+(UPPER($AS$76:$AZ$76)="(EMPTY)"))&gt;0,IFERROR(('Final Calculation Sheet'!$P$4)&amp;"","")="",ISNUMBER(SEARCH($AS$76:$AZ$76,IFERROR(('Final Calculation Sheet'!$P$4)&amp;"","")))))&gt;0))))</f>
        <v>1</v>
      </c>
      <c r="CD5">
        <f>IF($R$4="",1,--(AND(SUMPRODUCT(--($AS$77:$AZ$77&lt;&gt;""))&gt;0,IF(COUNTIF($BI$77:$BP$77,1)=0,TRUE,SUMPRODUCT(($BI$77:$BP$77=1)*($AS$77:$AZ$77&lt;&gt;"")*IF(((UPPER($AS$77:$AZ$77)="BLANK")+(UPPER($AS$77:$AZ$77)="(BLANK)")+(UPPER($AS$77:$AZ$77)="EMPTY")+(UPPER($AS$77:$AZ$77)="(EMPTY)"))&gt;0,IFERROR(('Final Calculation Sheet'!$Q$4)&amp;"","")="",ISNUMBER(SEARCH($AS$77:$AZ$77,IFERROR(('Final Calculation Sheet'!$Q$4)&amp;"","")))))&gt;0),IF(COUNTIF($BI$77:$BP$77,2)=0,TRUE,SUMPRODUCT(($BI$77:$BP$77=2)*($AS$77:$AZ$77&lt;&gt;"")*IF(((UPPER($AS$77:$AZ$77)="BLANK")+(UPPER($AS$77:$AZ$77)="(BLANK)")+(UPPER($AS$77:$AZ$77)="EMPTY")+(UPPER($AS$77:$AZ$77)="(EMPTY)"))&gt;0,IFERROR(('Final Calculation Sheet'!$Q$4)&amp;"","")="",ISNUMBER(SEARCH($AS$77:$AZ$77,IFERROR(('Final Calculation Sheet'!$Q$4)&amp;"","")))))&gt;0),IF(COUNTIF($BI$77:$BP$77,3)=0,TRUE,SUMPRODUCT(($BI$77:$BP$77=3)*($AS$77:$AZ$77&lt;&gt;"")*IF(((UPPER($AS$77:$AZ$77)="BLANK")+(UPPER($AS$77:$AZ$77)="(BLANK)")+(UPPER($AS$77:$AZ$77)="EMPTY")+(UPPER($AS$77:$AZ$77)="(EMPTY)"))&gt;0,IFERROR(('Final Calculation Sheet'!$Q$4)&amp;"","")="",ISNUMBER(SEARCH($AS$77:$AZ$77,IFERROR(('Final Calculation Sheet'!$Q$4)&amp;"","")))))&gt;0),IF(COUNTIF($BI$77:$BP$77,4)=0,TRUE,SUMPRODUCT(($BI$77:$BP$77=4)*($AS$77:$AZ$77&lt;&gt;"")*IF(((UPPER($AS$77:$AZ$77)="BLANK")+(UPPER($AS$77:$AZ$77)="(BLANK)")+(UPPER($AS$77:$AZ$77)="EMPTY")+(UPPER($AS$77:$AZ$77)="(EMPTY)"))&gt;0,IFERROR(('Final Calculation Sheet'!$Q$4)&amp;"","")="",ISNUMBER(SEARCH($AS$77:$AZ$77,IFERROR(('Final Calculation Sheet'!$Q$4)&amp;"","")))))&gt;0),IF(COUNTIF($BI$77:$BP$77,5)=0,TRUE,SUMPRODUCT(($BI$77:$BP$77=5)*($AS$77:$AZ$77&lt;&gt;"")*IF(((UPPER($AS$77:$AZ$77)="BLANK")+(UPPER($AS$77:$AZ$77)="(BLANK)")+(UPPER($AS$77:$AZ$77)="EMPTY")+(UPPER($AS$77:$AZ$77)="(EMPTY)"))&gt;0,IFERROR(('Final Calculation Sheet'!$Q$4)&amp;"","")="",ISNUMBER(SEARCH($AS$77:$AZ$77,IFERROR(('Final Calculation Sheet'!$Q$4)&amp;"","")))))&gt;0),IF(COUNTIF($BI$77:$BP$77,6)=0,TRUE,SUMPRODUCT(($BI$77:$BP$77=6)*($AS$77:$AZ$77&lt;&gt;"")*IF(((UPPER($AS$77:$AZ$77)="BLANK")+(UPPER($AS$77:$AZ$77)="(BLANK)")+(UPPER($AS$77:$AZ$77)="EMPTY")+(UPPER($AS$77:$AZ$77)="(EMPTY)"))&gt;0,IFERROR(('Final Calculation Sheet'!$Q$4)&amp;"","")="",ISNUMBER(SEARCH($AS$77:$AZ$77,IFERROR(('Final Calculation Sheet'!$Q$4)&amp;"","")))))&gt;0),IF(COUNTIF($BI$77:$BP$77,7)=0,TRUE,SUMPRODUCT(($BI$77:$BP$77=7)*($AS$77:$AZ$77&lt;&gt;"")*IF(((UPPER($AS$77:$AZ$77)="BLANK")+(UPPER($AS$77:$AZ$77)="(BLANK)")+(UPPER($AS$77:$AZ$77)="EMPTY")+(UPPER($AS$77:$AZ$77)="(EMPTY)"))&gt;0,IFERROR(('Final Calculation Sheet'!$Q$4)&amp;"","")="",ISNUMBER(SEARCH($AS$77:$AZ$77,IFERROR(('Final Calculation Sheet'!$Q$4)&amp;"","")))))&gt;0),IF(COUNTIF($BI$77:$BP$77,8)=0,TRUE,SUMPRODUCT(($BI$77:$BP$77=8)*($AS$77:$AZ$77&lt;&gt;"")*IF(((UPPER($AS$77:$AZ$77)="BLANK")+(UPPER($AS$77:$AZ$77)="(BLANK)")+(UPPER($AS$77:$AZ$77)="EMPTY")+(UPPER($AS$77:$AZ$77)="(EMPTY)"))&gt;0,IFERROR(('Final Calculation Sheet'!$Q$4)&amp;"","")="",ISNUMBER(SEARCH($AS$77:$AZ$77,IFERROR(('Final Calculation Sheet'!$Q$4)&amp;"","")))))&gt;0))))</f>
        <v>1</v>
      </c>
      <c r="CE5">
        <f>IF($S$4="",1,--(AND(SUMPRODUCT(--($AS$78:$AZ$78&lt;&gt;""))&gt;0,IF(COUNTIF($BI$78:$BP$78,1)=0,TRUE,SUMPRODUCT(($BI$78:$BP$78=1)*($AS$78:$AZ$78&lt;&gt;"")*IF(((UPPER($AS$78:$AZ$78)="BLANK")+(UPPER($AS$78:$AZ$78)="(BLANK)")+(UPPER($AS$78:$AZ$78)="EMPTY")+(UPPER($AS$78:$AZ$78)="(EMPTY)"))&gt;0,IFERROR(('Final Calculation Sheet'!$R$4)&amp;"","")="",ISNUMBER(SEARCH($AS$78:$AZ$78,IFERROR(('Final Calculation Sheet'!$R$4)&amp;"","")))))&gt;0),IF(COUNTIF($BI$78:$BP$78,2)=0,TRUE,SUMPRODUCT(($BI$78:$BP$78=2)*($AS$78:$AZ$78&lt;&gt;"")*IF(((UPPER($AS$78:$AZ$78)="BLANK")+(UPPER($AS$78:$AZ$78)="(BLANK)")+(UPPER($AS$78:$AZ$78)="EMPTY")+(UPPER($AS$78:$AZ$78)="(EMPTY)"))&gt;0,IFERROR(('Final Calculation Sheet'!$R$4)&amp;"","")="",ISNUMBER(SEARCH($AS$78:$AZ$78,IFERROR(('Final Calculation Sheet'!$R$4)&amp;"","")))))&gt;0),IF(COUNTIF($BI$78:$BP$78,3)=0,TRUE,SUMPRODUCT(($BI$78:$BP$78=3)*($AS$78:$AZ$78&lt;&gt;"")*IF(((UPPER($AS$78:$AZ$78)="BLANK")+(UPPER($AS$78:$AZ$78)="(BLANK)")+(UPPER($AS$78:$AZ$78)="EMPTY")+(UPPER($AS$78:$AZ$78)="(EMPTY)"))&gt;0,IFERROR(('Final Calculation Sheet'!$R$4)&amp;"","")="",ISNUMBER(SEARCH($AS$78:$AZ$78,IFERROR(('Final Calculation Sheet'!$R$4)&amp;"","")))))&gt;0),IF(COUNTIF($BI$78:$BP$78,4)=0,TRUE,SUMPRODUCT(($BI$78:$BP$78=4)*($AS$78:$AZ$78&lt;&gt;"")*IF(((UPPER($AS$78:$AZ$78)="BLANK")+(UPPER($AS$78:$AZ$78)="(BLANK)")+(UPPER($AS$78:$AZ$78)="EMPTY")+(UPPER($AS$78:$AZ$78)="(EMPTY)"))&gt;0,IFERROR(('Final Calculation Sheet'!$R$4)&amp;"","")="",ISNUMBER(SEARCH($AS$78:$AZ$78,IFERROR(('Final Calculation Sheet'!$R$4)&amp;"","")))))&gt;0),IF(COUNTIF($BI$78:$BP$78,5)=0,TRUE,SUMPRODUCT(($BI$78:$BP$78=5)*($AS$78:$AZ$78&lt;&gt;"")*IF(((UPPER($AS$78:$AZ$78)="BLANK")+(UPPER($AS$78:$AZ$78)="(BLANK)")+(UPPER($AS$78:$AZ$78)="EMPTY")+(UPPER($AS$78:$AZ$78)="(EMPTY)"))&gt;0,IFERROR(('Final Calculation Sheet'!$R$4)&amp;"","")="",ISNUMBER(SEARCH($AS$78:$AZ$78,IFERROR(('Final Calculation Sheet'!$R$4)&amp;"","")))))&gt;0),IF(COUNTIF($BI$78:$BP$78,6)=0,TRUE,SUMPRODUCT(($BI$78:$BP$78=6)*($AS$78:$AZ$78&lt;&gt;"")*IF(((UPPER($AS$78:$AZ$78)="BLANK")+(UPPER($AS$78:$AZ$78)="(BLANK)")+(UPPER($AS$78:$AZ$78)="EMPTY")+(UPPER($AS$78:$AZ$78)="(EMPTY)"))&gt;0,IFERROR(('Final Calculation Sheet'!$R$4)&amp;"","")="",ISNUMBER(SEARCH($AS$78:$AZ$78,IFERROR(('Final Calculation Sheet'!$R$4)&amp;"","")))))&gt;0),IF(COUNTIF($BI$78:$BP$78,7)=0,TRUE,SUMPRODUCT(($BI$78:$BP$78=7)*($AS$78:$AZ$78&lt;&gt;"")*IF(((UPPER($AS$78:$AZ$78)="BLANK")+(UPPER($AS$78:$AZ$78)="(BLANK)")+(UPPER($AS$78:$AZ$78)="EMPTY")+(UPPER($AS$78:$AZ$78)="(EMPTY)"))&gt;0,IFERROR(('Final Calculation Sheet'!$R$4)&amp;"","")="",ISNUMBER(SEARCH($AS$78:$AZ$78,IFERROR(('Final Calculation Sheet'!$R$4)&amp;"","")))))&gt;0),IF(COUNTIF($BI$78:$BP$78,8)=0,TRUE,SUMPRODUCT(($BI$78:$BP$78=8)*($AS$78:$AZ$78&lt;&gt;"")*IF(((UPPER($AS$78:$AZ$78)="BLANK")+(UPPER($AS$78:$AZ$78)="(BLANK)")+(UPPER($AS$78:$AZ$78)="EMPTY")+(UPPER($AS$78:$AZ$78)="(EMPTY)"))&gt;0,IFERROR(('Final Calculation Sheet'!$R$4)&amp;"","")="",ISNUMBER(SEARCH($AS$78:$AZ$78,IFERROR(('Final Calculation Sheet'!$R$4)&amp;"","")))))&gt;0))))</f>
        <v>1</v>
      </c>
      <c r="CF5">
        <f>IF($T$4="",1,--(AND(SUMPRODUCT(--($AS$79:$AZ$79&lt;&gt;""))&gt;0,IF(COUNTIF($BI$79:$BP$79,1)=0,TRUE,SUMPRODUCT(($BI$79:$BP$79=1)*($AS$79:$AZ$79&lt;&gt;"")*IF(((UPPER($AS$79:$AZ$79)="BLANK")+(UPPER($AS$79:$AZ$79)="(BLANK)")+(UPPER($AS$79:$AZ$79)="EMPTY")+(UPPER($AS$79:$AZ$79)="(EMPTY)"))&gt;0,IFERROR(('Final Calculation Sheet'!$S$4)&amp;"","")="",ISNUMBER(SEARCH($AS$79:$AZ$79,IFERROR(('Final Calculation Sheet'!$S$4)&amp;"","")))))&gt;0),IF(COUNTIF($BI$79:$BP$79,2)=0,TRUE,SUMPRODUCT(($BI$79:$BP$79=2)*($AS$79:$AZ$79&lt;&gt;"")*IF(((UPPER($AS$79:$AZ$79)="BLANK")+(UPPER($AS$79:$AZ$79)="(BLANK)")+(UPPER($AS$79:$AZ$79)="EMPTY")+(UPPER($AS$79:$AZ$79)="(EMPTY)"))&gt;0,IFERROR(('Final Calculation Sheet'!$S$4)&amp;"","")="",ISNUMBER(SEARCH($AS$79:$AZ$79,IFERROR(('Final Calculation Sheet'!$S$4)&amp;"","")))))&gt;0),IF(COUNTIF($BI$79:$BP$79,3)=0,TRUE,SUMPRODUCT(($BI$79:$BP$79=3)*($AS$79:$AZ$79&lt;&gt;"")*IF(((UPPER($AS$79:$AZ$79)="BLANK")+(UPPER($AS$79:$AZ$79)="(BLANK)")+(UPPER($AS$79:$AZ$79)="EMPTY")+(UPPER($AS$79:$AZ$79)="(EMPTY)"))&gt;0,IFERROR(('Final Calculation Sheet'!$S$4)&amp;"","")="",ISNUMBER(SEARCH($AS$79:$AZ$79,IFERROR(('Final Calculation Sheet'!$S$4)&amp;"","")))))&gt;0),IF(COUNTIF($BI$79:$BP$79,4)=0,TRUE,SUMPRODUCT(($BI$79:$BP$79=4)*($AS$79:$AZ$79&lt;&gt;"")*IF(((UPPER($AS$79:$AZ$79)="BLANK")+(UPPER($AS$79:$AZ$79)="(BLANK)")+(UPPER($AS$79:$AZ$79)="EMPTY")+(UPPER($AS$79:$AZ$79)="(EMPTY)"))&gt;0,IFERROR(('Final Calculation Sheet'!$S$4)&amp;"","")="",ISNUMBER(SEARCH($AS$79:$AZ$79,IFERROR(('Final Calculation Sheet'!$S$4)&amp;"","")))))&gt;0),IF(COUNTIF($BI$79:$BP$79,5)=0,TRUE,SUMPRODUCT(($BI$79:$BP$79=5)*($AS$79:$AZ$79&lt;&gt;"")*IF(((UPPER($AS$79:$AZ$79)="BLANK")+(UPPER($AS$79:$AZ$79)="(BLANK)")+(UPPER($AS$79:$AZ$79)="EMPTY")+(UPPER($AS$79:$AZ$79)="(EMPTY)"))&gt;0,IFERROR(('Final Calculation Sheet'!$S$4)&amp;"","")="",ISNUMBER(SEARCH($AS$79:$AZ$79,IFERROR(('Final Calculation Sheet'!$S$4)&amp;"","")))))&gt;0),IF(COUNTIF($BI$79:$BP$79,6)=0,TRUE,SUMPRODUCT(($BI$79:$BP$79=6)*($AS$79:$AZ$79&lt;&gt;"")*IF(((UPPER($AS$79:$AZ$79)="BLANK")+(UPPER($AS$79:$AZ$79)="(BLANK)")+(UPPER($AS$79:$AZ$79)="EMPTY")+(UPPER($AS$79:$AZ$79)="(EMPTY)"))&gt;0,IFERROR(('Final Calculation Sheet'!$S$4)&amp;"","")="",ISNUMBER(SEARCH($AS$79:$AZ$79,IFERROR(('Final Calculation Sheet'!$S$4)&amp;"","")))))&gt;0),IF(COUNTIF($BI$79:$BP$79,7)=0,TRUE,SUMPRODUCT(($BI$79:$BP$79=7)*($AS$79:$AZ$79&lt;&gt;"")*IF(((UPPER($AS$79:$AZ$79)="BLANK")+(UPPER($AS$79:$AZ$79)="(BLANK)")+(UPPER($AS$79:$AZ$79)="EMPTY")+(UPPER($AS$79:$AZ$79)="(EMPTY)"))&gt;0,IFERROR(('Final Calculation Sheet'!$S$4)&amp;"","")="",ISNUMBER(SEARCH($AS$79:$AZ$79,IFERROR(('Final Calculation Sheet'!$S$4)&amp;"","")))))&gt;0),IF(COUNTIF($BI$79:$BP$79,8)=0,TRUE,SUMPRODUCT(($BI$79:$BP$79=8)*($AS$79:$AZ$79&lt;&gt;"")*IF(((UPPER($AS$79:$AZ$79)="BLANK")+(UPPER($AS$79:$AZ$79)="(BLANK)")+(UPPER($AS$79:$AZ$79)="EMPTY")+(UPPER($AS$79:$AZ$79)="(EMPTY)"))&gt;0,IFERROR(('Final Calculation Sheet'!$S$4)&amp;"","")="",ISNUMBER(SEARCH($AS$79:$AZ$79,IFERROR(('Final Calculation Sheet'!$S$4)&amp;"","")))))&gt;0))))</f>
        <v>1</v>
      </c>
      <c r="CG5">
        <f>IF($U$4="",1,--(AND(SUMPRODUCT(--($AS$80:$AZ$80&lt;&gt;""))&gt;0,IF(COUNTIF($BI$80:$BP$80,1)=0,TRUE,SUMPRODUCT(($BI$80:$BP$80=1)*($AS$80:$AZ$80&lt;&gt;"")*IF(((UPPER($AS$80:$AZ$80)="BLANK")+(UPPER($AS$80:$AZ$80)="(BLANK)")+(UPPER($AS$80:$AZ$80)="EMPTY")+(UPPER($AS$80:$AZ$80)="(EMPTY)"))&gt;0,IFERROR(('Final Calculation Sheet'!$T$4)&amp;"","")="",ISNUMBER(SEARCH($AS$80:$AZ$80,IFERROR(('Final Calculation Sheet'!$T$4)&amp;"","")))))&gt;0),IF(COUNTIF($BI$80:$BP$80,2)=0,TRUE,SUMPRODUCT(($BI$80:$BP$80=2)*($AS$80:$AZ$80&lt;&gt;"")*IF(((UPPER($AS$80:$AZ$80)="BLANK")+(UPPER($AS$80:$AZ$80)="(BLANK)")+(UPPER($AS$80:$AZ$80)="EMPTY")+(UPPER($AS$80:$AZ$80)="(EMPTY)"))&gt;0,IFERROR(('Final Calculation Sheet'!$T$4)&amp;"","")="",ISNUMBER(SEARCH($AS$80:$AZ$80,IFERROR(('Final Calculation Sheet'!$T$4)&amp;"","")))))&gt;0),IF(COUNTIF($BI$80:$BP$80,3)=0,TRUE,SUMPRODUCT(($BI$80:$BP$80=3)*($AS$80:$AZ$80&lt;&gt;"")*IF(((UPPER($AS$80:$AZ$80)="BLANK")+(UPPER($AS$80:$AZ$80)="(BLANK)")+(UPPER($AS$80:$AZ$80)="EMPTY")+(UPPER($AS$80:$AZ$80)="(EMPTY)"))&gt;0,IFERROR(('Final Calculation Sheet'!$T$4)&amp;"","")="",ISNUMBER(SEARCH($AS$80:$AZ$80,IFERROR(('Final Calculation Sheet'!$T$4)&amp;"","")))))&gt;0),IF(COUNTIF($BI$80:$BP$80,4)=0,TRUE,SUMPRODUCT(($BI$80:$BP$80=4)*($AS$80:$AZ$80&lt;&gt;"")*IF(((UPPER($AS$80:$AZ$80)="BLANK")+(UPPER($AS$80:$AZ$80)="(BLANK)")+(UPPER($AS$80:$AZ$80)="EMPTY")+(UPPER($AS$80:$AZ$80)="(EMPTY)"))&gt;0,IFERROR(('Final Calculation Sheet'!$T$4)&amp;"","")="",ISNUMBER(SEARCH($AS$80:$AZ$80,IFERROR(('Final Calculation Sheet'!$T$4)&amp;"","")))))&gt;0),IF(COUNTIF($BI$80:$BP$80,5)=0,TRUE,SUMPRODUCT(($BI$80:$BP$80=5)*($AS$80:$AZ$80&lt;&gt;"")*IF(((UPPER($AS$80:$AZ$80)="BLANK")+(UPPER($AS$80:$AZ$80)="(BLANK)")+(UPPER($AS$80:$AZ$80)="EMPTY")+(UPPER($AS$80:$AZ$80)="(EMPTY)"))&gt;0,IFERROR(('Final Calculation Sheet'!$T$4)&amp;"","")="",ISNUMBER(SEARCH($AS$80:$AZ$80,IFERROR(('Final Calculation Sheet'!$T$4)&amp;"","")))))&gt;0),IF(COUNTIF($BI$80:$BP$80,6)=0,TRUE,SUMPRODUCT(($BI$80:$BP$80=6)*($AS$80:$AZ$80&lt;&gt;"")*IF(((UPPER($AS$80:$AZ$80)="BLANK")+(UPPER($AS$80:$AZ$80)="(BLANK)")+(UPPER($AS$80:$AZ$80)="EMPTY")+(UPPER($AS$80:$AZ$80)="(EMPTY)"))&gt;0,IFERROR(('Final Calculation Sheet'!$T$4)&amp;"","")="",ISNUMBER(SEARCH($AS$80:$AZ$80,IFERROR(('Final Calculation Sheet'!$T$4)&amp;"","")))))&gt;0),IF(COUNTIF($BI$80:$BP$80,7)=0,TRUE,SUMPRODUCT(($BI$80:$BP$80=7)*($AS$80:$AZ$80&lt;&gt;"")*IF(((UPPER($AS$80:$AZ$80)="BLANK")+(UPPER($AS$80:$AZ$80)="(BLANK)")+(UPPER($AS$80:$AZ$80)="EMPTY")+(UPPER($AS$80:$AZ$80)="(EMPTY)"))&gt;0,IFERROR(('Final Calculation Sheet'!$T$4)&amp;"","")="",ISNUMBER(SEARCH($AS$80:$AZ$80,IFERROR(('Final Calculation Sheet'!$T$4)&amp;"","")))))&gt;0),IF(COUNTIF($BI$80:$BP$80,8)=0,TRUE,SUMPRODUCT(($BI$80:$BP$80=8)*($AS$80:$AZ$80&lt;&gt;"")*IF(((UPPER($AS$80:$AZ$80)="BLANK")+(UPPER($AS$80:$AZ$80)="(BLANK)")+(UPPER($AS$80:$AZ$80)="EMPTY")+(UPPER($AS$80:$AZ$80)="(EMPTY)"))&gt;0,IFERROR(('Final Calculation Sheet'!$T$4)&amp;"","")="",ISNUMBER(SEARCH($AS$80:$AZ$80,IFERROR(('Final Calculation Sheet'!$T$4)&amp;"","")))))&gt;0))))</f>
        <v>1</v>
      </c>
      <c r="CH5">
        <f>IF($V$4="",1,--(AND(SUMPRODUCT(--($AS$81:$AZ$81&lt;&gt;""))&gt;0,IF(COUNTIF($BI$81:$BP$81,1)=0,TRUE,SUMPRODUCT(($BI$81:$BP$81=1)*($AS$81:$AZ$81&lt;&gt;"")*IF(((UPPER($AS$81:$AZ$81)="BLANK")+(UPPER($AS$81:$AZ$81)="(BLANK)")+(UPPER($AS$81:$AZ$81)="EMPTY")+(UPPER($AS$81:$AZ$81)="(EMPTY)"))&gt;0,IFERROR(('Final Calculation Sheet'!$U$4)&amp;"","")="",ISNUMBER(SEARCH($AS$81:$AZ$81,IFERROR(('Final Calculation Sheet'!$U$4)&amp;"","")))))&gt;0),IF(COUNTIF($BI$81:$BP$81,2)=0,TRUE,SUMPRODUCT(($BI$81:$BP$81=2)*($AS$81:$AZ$81&lt;&gt;"")*IF(((UPPER($AS$81:$AZ$81)="BLANK")+(UPPER($AS$81:$AZ$81)="(BLANK)")+(UPPER($AS$81:$AZ$81)="EMPTY")+(UPPER($AS$81:$AZ$81)="(EMPTY)"))&gt;0,IFERROR(('Final Calculation Sheet'!$U$4)&amp;"","")="",ISNUMBER(SEARCH($AS$81:$AZ$81,IFERROR(('Final Calculation Sheet'!$U$4)&amp;"","")))))&gt;0),IF(COUNTIF($BI$81:$BP$81,3)=0,TRUE,SUMPRODUCT(($BI$81:$BP$81=3)*($AS$81:$AZ$81&lt;&gt;"")*IF(((UPPER($AS$81:$AZ$81)="BLANK")+(UPPER($AS$81:$AZ$81)="(BLANK)")+(UPPER($AS$81:$AZ$81)="EMPTY")+(UPPER($AS$81:$AZ$81)="(EMPTY)"))&gt;0,IFERROR(('Final Calculation Sheet'!$U$4)&amp;"","")="",ISNUMBER(SEARCH($AS$81:$AZ$81,IFERROR(('Final Calculation Sheet'!$U$4)&amp;"","")))))&gt;0),IF(COUNTIF($BI$81:$BP$81,4)=0,TRUE,SUMPRODUCT(($BI$81:$BP$81=4)*($AS$81:$AZ$81&lt;&gt;"")*IF(((UPPER($AS$81:$AZ$81)="BLANK")+(UPPER($AS$81:$AZ$81)="(BLANK)")+(UPPER($AS$81:$AZ$81)="EMPTY")+(UPPER($AS$81:$AZ$81)="(EMPTY)"))&gt;0,IFERROR(('Final Calculation Sheet'!$U$4)&amp;"","")="",ISNUMBER(SEARCH($AS$81:$AZ$81,IFERROR(('Final Calculation Sheet'!$U$4)&amp;"","")))))&gt;0),IF(COUNTIF($BI$81:$BP$81,5)=0,TRUE,SUMPRODUCT(($BI$81:$BP$81=5)*($AS$81:$AZ$81&lt;&gt;"")*IF(((UPPER($AS$81:$AZ$81)="BLANK")+(UPPER($AS$81:$AZ$81)="(BLANK)")+(UPPER($AS$81:$AZ$81)="EMPTY")+(UPPER($AS$81:$AZ$81)="(EMPTY)"))&gt;0,IFERROR(('Final Calculation Sheet'!$U$4)&amp;"","")="",ISNUMBER(SEARCH($AS$81:$AZ$81,IFERROR(('Final Calculation Sheet'!$U$4)&amp;"","")))))&gt;0),IF(COUNTIF($BI$81:$BP$81,6)=0,TRUE,SUMPRODUCT(($BI$81:$BP$81=6)*($AS$81:$AZ$81&lt;&gt;"")*IF(((UPPER($AS$81:$AZ$81)="BLANK")+(UPPER($AS$81:$AZ$81)="(BLANK)")+(UPPER($AS$81:$AZ$81)="EMPTY")+(UPPER($AS$81:$AZ$81)="(EMPTY)"))&gt;0,IFERROR(('Final Calculation Sheet'!$U$4)&amp;"","")="",ISNUMBER(SEARCH($AS$81:$AZ$81,IFERROR(('Final Calculation Sheet'!$U$4)&amp;"","")))))&gt;0),IF(COUNTIF($BI$81:$BP$81,7)=0,TRUE,SUMPRODUCT(($BI$81:$BP$81=7)*($AS$81:$AZ$81&lt;&gt;"")*IF(((UPPER($AS$81:$AZ$81)="BLANK")+(UPPER($AS$81:$AZ$81)="(BLANK)")+(UPPER($AS$81:$AZ$81)="EMPTY")+(UPPER($AS$81:$AZ$81)="(EMPTY)"))&gt;0,IFERROR(('Final Calculation Sheet'!$U$4)&amp;"","")="",ISNUMBER(SEARCH($AS$81:$AZ$81,IFERROR(('Final Calculation Sheet'!$U$4)&amp;"","")))))&gt;0),IF(COUNTIF($BI$81:$BP$81,8)=0,TRUE,SUMPRODUCT(($BI$81:$BP$81=8)*($AS$81:$AZ$81&lt;&gt;"")*IF(((UPPER($AS$81:$AZ$81)="BLANK")+(UPPER($AS$81:$AZ$81)="(BLANK)")+(UPPER($AS$81:$AZ$81)="EMPTY")+(UPPER($AS$81:$AZ$81)="(EMPTY)"))&gt;0,IFERROR(('Final Calculation Sheet'!$U$4)&amp;"","")="",ISNUMBER(SEARCH($AS$81:$AZ$81,IFERROR(('Final Calculation Sheet'!$U$4)&amp;"","")))))&gt;0))))</f>
        <v>1</v>
      </c>
      <c r="CI5">
        <f>IF($W$4="",1,--(AND(SUMPRODUCT(--($AS$82:$AZ$82&lt;&gt;""))&gt;0,IF(COUNTIF($BI$82:$BP$82,1)=0,TRUE,SUMPRODUCT(($BI$82:$BP$82=1)*($AS$82:$AZ$82&lt;&gt;"")*IF(((UPPER($AS$82:$AZ$82)="BLANK")+(UPPER($AS$82:$AZ$82)="(BLANK)")+(UPPER($AS$82:$AZ$82)="EMPTY")+(UPPER($AS$82:$AZ$82)="(EMPTY)"))&gt;0,IFERROR(('Final Calculation Sheet'!$V$4)&amp;"","")="",ISNUMBER(SEARCH($AS$82:$AZ$82,IFERROR(('Final Calculation Sheet'!$V$4)&amp;"","")))))&gt;0),IF(COUNTIF($BI$82:$BP$82,2)=0,TRUE,SUMPRODUCT(($BI$82:$BP$82=2)*($AS$82:$AZ$82&lt;&gt;"")*IF(((UPPER($AS$82:$AZ$82)="BLANK")+(UPPER($AS$82:$AZ$82)="(BLANK)")+(UPPER($AS$82:$AZ$82)="EMPTY")+(UPPER($AS$82:$AZ$82)="(EMPTY)"))&gt;0,IFERROR(('Final Calculation Sheet'!$V$4)&amp;"","")="",ISNUMBER(SEARCH($AS$82:$AZ$82,IFERROR(('Final Calculation Sheet'!$V$4)&amp;"","")))))&gt;0),IF(COUNTIF($BI$82:$BP$82,3)=0,TRUE,SUMPRODUCT(($BI$82:$BP$82=3)*($AS$82:$AZ$82&lt;&gt;"")*IF(((UPPER($AS$82:$AZ$82)="BLANK")+(UPPER($AS$82:$AZ$82)="(BLANK)")+(UPPER($AS$82:$AZ$82)="EMPTY")+(UPPER($AS$82:$AZ$82)="(EMPTY)"))&gt;0,IFERROR(('Final Calculation Sheet'!$V$4)&amp;"","")="",ISNUMBER(SEARCH($AS$82:$AZ$82,IFERROR(('Final Calculation Sheet'!$V$4)&amp;"","")))))&gt;0),IF(COUNTIF($BI$82:$BP$82,4)=0,TRUE,SUMPRODUCT(($BI$82:$BP$82=4)*($AS$82:$AZ$82&lt;&gt;"")*IF(((UPPER($AS$82:$AZ$82)="BLANK")+(UPPER($AS$82:$AZ$82)="(BLANK)")+(UPPER($AS$82:$AZ$82)="EMPTY")+(UPPER($AS$82:$AZ$82)="(EMPTY)"))&gt;0,IFERROR(('Final Calculation Sheet'!$V$4)&amp;"","")="",ISNUMBER(SEARCH($AS$82:$AZ$82,IFERROR(('Final Calculation Sheet'!$V$4)&amp;"","")))))&gt;0),IF(COUNTIF($BI$82:$BP$82,5)=0,TRUE,SUMPRODUCT(($BI$82:$BP$82=5)*($AS$82:$AZ$82&lt;&gt;"")*IF(((UPPER($AS$82:$AZ$82)="BLANK")+(UPPER($AS$82:$AZ$82)="(BLANK)")+(UPPER($AS$82:$AZ$82)="EMPTY")+(UPPER($AS$82:$AZ$82)="(EMPTY)"))&gt;0,IFERROR(('Final Calculation Sheet'!$V$4)&amp;"","")="",ISNUMBER(SEARCH($AS$82:$AZ$82,IFERROR(('Final Calculation Sheet'!$V$4)&amp;"","")))))&gt;0),IF(COUNTIF($BI$82:$BP$82,6)=0,TRUE,SUMPRODUCT(($BI$82:$BP$82=6)*($AS$82:$AZ$82&lt;&gt;"")*IF(((UPPER($AS$82:$AZ$82)="BLANK")+(UPPER($AS$82:$AZ$82)="(BLANK)")+(UPPER($AS$82:$AZ$82)="EMPTY")+(UPPER($AS$82:$AZ$82)="(EMPTY)"))&gt;0,IFERROR(('Final Calculation Sheet'!$V$4)&amp;"","")="",ISNUMBER(SEARCH($AS$82:$AZ$82,IFERROR(('Final Calculation Sheet'!$V$4)&amp;"","")))))&gt;0),IF(COUNTIF($BI$82:$BP$82,7)=0,TRUE,SUMPRODUCT(($BI$82:$BP$82=7)*($AS$82:$AZ$82&lt;&gt;"")*IF(((UPPER($AS$82:$AZ$82)="BLANK")+(UPPER($AS$82:$AZ$82)="(BLANK)")+(UPPER($AS$82:$AZ$82)="EMPTY")+(UPPER($AS$82:$AZ$82)="(EMPTY)"))&gt;0,IFERROR(('Final Calculation Sheet'!$V$4)&amp;"","")="",ISNUMBER(SEARCH($AS$82:$AZ$82,IFERROR(('Final Calculation Sheet'!$V$4)&amp;"","")))))&gt;0),IF(COUNTIF($BI$82:$BP$82,8)=0,TRUE,SUMPRODUCT(($BI$82:$BP$82=8)*($AS$82:$AZ$82&lt;&gt;"")*IF(((UPPER($AS$82:$AZ$82)="BLANK")+(UPPER($AS$82:$AZ$82)="(BLANK)")+(UPPER($AS$82:$AZ$82)="EMPTY")+(UPPER($AS$82:$AZ$82)="(EMPTY)"))&gt;0,IFERROR(('Final Calculation Sheet'!$V$4)&amp;"","")="",ISNUMBER(SEARCH($AS$82:$AZ$82,IFERROR(('Final Calculation Sheet'!$V$4)&amp;"","")))))&gt;0))))</f>
        <v>1</v>
      </c>
      <c r="CJ5">
        <f>IF($X$4="",1,--(AND(SUMPRODUCT(--($AS$83:$AZ$83&lt;&gt;""))&gt;0,IF(COUNTIF($BI$83:$BP$83,1)=0,TRUE,SUMPRODUCT(($BI$83:$BP$83=1)*($AS$83:$AZ$83&lt;&gt;"")*IF(((UPPER($AS$83:$AZ$83)="BLANK")+(UPPER($AS$83:$AZ$83)="(BLANK)")+(UPPER($AS$83:$AZ$83)="EMPTY")+(UPPER($AS$83:$AZ$83)="(EMPTY)"))&gt;0,IFERROR(('Final Calculation Sheet'!$W$4)&amp;"","")="",ISNUMBER(SEARCH($AS$83:$AZ$83,IFERROR(('Final Calculation Sheet'!$W$4)&amp;"","")))))&gt;0),IF(COUNTIF($BI$83:$BP$83,2)=0,TRUE,SUMPRODUCT(($BI$83:$BP$83=2)*($AS$83:$AZ$83&lt;&gt;"")*IF(((UPPER($AS$83:$AZ$83)="BLANK")+(UPPER($AS$83:$AZ$83)="(BLANK)")+(UPPER($AS$83:$AZ$83)="EMPTY")+(UPPER($AS$83:$AZ$83)="(EMPTY)"))&gt;0,IFERROR(('Final Calculation Sheet'!$W$4)&amp;"","")="",ISNUMBER(SEARCH($AS$83:$AZ$83,IFERROR(('Final Calculation Sheet'!$W$4)&amp;"","")))))&gt;0),IF(COUNTIF($BI$83:$BP$83,3)=0,TRUE,SUMPRODUCT(($BI$83:$BP$83=3)*($AS$83:$AZ$83&lt;&gt;"")*IF(((UPPER($AS$83:$AZ$83)="BLANK")+(UPPER($AS$83:$AZ$83)="(BLANK)")+(UPPER($AS$83:$AZ$83)="EMPTY")+(UPPER($AS$83:$AZ$83)="(EMPTY)"))&gt;0,IFERROR(('Final Calculation Sheet'!$W$4)&amp;"","")="",ISNUMBER(SEARCH($AS$83:$AZ$83,IFERROR(('Final Calculation Sheet'!$W$4)&amp;"","")))))&gt;0),IF(COUNTIF($BI$83:$BP$83,4)=0,TRUE,SUMPRODUCT(($BI$83:$BP$83=4)*($AS$83:$AZ$83&lt;&gt;"")*IF(((UPPER($AS$83:$AZ$83)="BLANK")+(UPPER($AS$83:$AZ$83)="(BLANK)")+(UPPER($AS$83:$AZ$83)="EMPTY")+(UPPER($AS$83:$AZ$83)="(EMPTY)"))&gt;0,IFERROR(('Final Calculation Sheet'!$W$4)&amp;"","")="",ISNUMBER(SEARCH($AS$83:$AZ$83,IFERROR(('Final Calculation Sheet'!$W$4)&amp;"","")))))&gt;0),IF(COUNTIF($BI$83:$BP$83,5)=0,TRUE,SUMPRODUCT(($BI$83:$BP$83=5)*($AS$83:$AZ$83&lt;&gt;"")*IF(((UPPER($AS$83:$AZ$83)="BLANK")+(UPPER($AS$83:$AZ$83)="(BLANK)")+(UPPER($AS$83:$AZ$83)="EMPTY")+(UPPER($AS$83:$AZ$83)="(EMPTY)"))&gt;0,IFERROR(('Final Calculation Sheet'!$W$4)&amp;"","")="",ISNUMBER(SEARCH($AS$83:$AZ$83,IFERROR(('Final Calculation Sheet'!$W$4)&amp;"","")))))&gt;0),IF(COUNTIF($BI$83:$BP$83,6)=0,TRUE,SUMPRODUCT(($BI$83:$BP$83=6)*($AS$83:$AZ$83&lt;&gt;"")*IF(((UPPER($AS$83:$AZ$83)="BLANK")+(UPPER($AS$83:$AZ$83)="(BLANK)")+(UPPER($AS$83:$AZ$83)="EMPTY")+(UPPER($AS$83:$AZ$83)="(EMPTY)"))&gt;0,IFERROR(('Final Calculation Sheet'!$W$4)&amp;"","")="",ISNUMBER(SEARCH($AS$83:$AZ$83,IFERROR(('Final Calculation Sheet'!$W$4)&amp;"","")))))&gt;0),IF(COUNTIF($BI$83:$BP$83,7)=0,TRUE,SUMPRODUCT(($BI$83:$BP$83=7)*($AS$83:$AZ$83&lt;&gt;"")*IF(((UPPER($AS$83:$AZ$83)="BLANK")+(UPPER($AS$83:$AZ$83)="(BLANK)")+(UPPER($AS$83:$AZ$83)="EMPTY")+(UPPER($AS$83:$AZ$83)="(EMPTY)"))&gt;0,IFERROR(('Final Calculation Sheet'!$W$4)&amp;"","")="",ISNUMBER(SEARCH($AS$83:$AZ$83,IFERROR(('Final Calculation Sheet'!$W$4)&amp;"","")))))&gt;0),IF(COUNTIF($BI$83:$BP$83,8)=0,TRUE,SUMPRODUCT(($BI$83:$BP$83=8)*($AS$83:$AZ$83&lt;&gt;"")*IF(((UPPER($AS$83:$AZ$83)="BLANK")+(UPPER($AS$83:$AZ$83)="(BLANK)")+(UPPER($AS$83:$AZ$83)="EMPTY")+(UPPER($AS$83:$AZ$83)="(EMPTY)"))&gt;0,IFERROR(('Final Calculation Sheet'!$W$4)&amp;"","")="",ISNUMBER(SEARCH($AS$83:$AZ$83,IFERROR(('Final Calculation Sheet'!$W$4)&amp;"","")))))&gt;0))))</f>
        <v>1</v>
      </c>
      <c r="CK5">
        <f>IF($Y$4="",1,--(AND(SUMPRODUCT(--($AS$84:$AZ$84&lt;&gt;""))&gt;0,IF(COUNTIF($BI$84:$BP$84,1)=0,TRUE,SUMPRODUCT(($BI$84:$BP$84=1)*($AS$84:$AZ$84&lt;&gt;"")*IF(((UPPER($AS$84:$AZ$84)="BLANK")+(UPPER($AS$84:$AZ$84)="(BLANK)")+(UPPER($AS$84:$AZ$84)="EMPTY")+(UPPER($AS$84:$AZ$84)="(EMPTY)"))&gt;0,IFERROR(('Final Calculation Sheet'!$X$4)&amp;"","")="",ISNUMBER(SEARCH($AS$84:$AZ$84,IFERROR(('Final Calculation Sheet'!$X$4)&amp;"","")))))&gt;0),IF(COUNTIF($BI$84:$BP$84,2)=0,TRUE,SUMPRODUCT(($BI$84:$BP$84=2)*($AS$84:$AZ$84&lt;&gt;"")*IF(((UPPER($AS$84:$AZ$84)="BLANK")+(UPPER($AS$84:$AZ$84)="(BLANK)")+(UPPER($AS$84:$AZ$84)="EMPTY")+(UPPER($AS$84:$AZ$84)="(EMPTY)"))&gt;0,IFERROR(('Final Calculation Sheet'!$X$4)&amp;"","")="",ISNUMBER(SEARCH($AS$84:$AZ$84,IFERROR(('Final Calculation Sheet'!$X$4)&amp;"","")))))&gt;0),IF(COUNTIF($BI$84:$BP$84,3)=0,TRUE,SUMPRODUCT(($BI$84:$BP$84=3)*($AS$84:$AZ$84&lt;&gt;"")*IF(((UPPER($AS$84:$AZ$84)="BLANK")+(UPPER($AS$84:$AZ$84)="(BLANK)")+(UPPER($AS$84:$AZ$84)="EMPTY")+(UPPER($AS$84:$AZ$84)="(EMPTY)"))&gt;0,IFERROR(('Final Calculation Sheet'!$X$4)&amp;"","")="",ISNUMBER(SEARCH($AS$84:$AZ$84,IFERROR(('Final Calculation Sheet'!$X$4)&amp;"","")))))&gt;0),IF(COUNTIF($BI$84:$BP$84,4)=0,TRUE,SUMPRODUCT(($BI$84:$BP$84=4)*($AS$84:$AZ$84&lt;&gt;"")*IF(((UPPER($AS$84:$AZ$84)="BLANK")+(UPPER($AS$84:$AZ$84)="(BLANK)")+(UPPER($AS$84:$AZ$84)="EMPTY")+(UPPER($AS$84:$AZ$84)="(EMPTY)"))&gt;0,IFERROR(('Final Calculation Sheet'!$X$4)&amp;"","")="",ISNUMBER(SEARCH($AS$84:$AZ$84,IFERROR(('Final Calculation Sheet'!$X$4)&amp;"","")))))&gt;0),IF(COUNTIF($BI$84:$BP$84,5)=0,TRUE,SUMPRODUCT(($BI$84:$BP$84=5)*($AS$84:$AZ$84&lt;&gt;"")*IF(((UPPER($AS$84:$AZ$84)="BLANK")+(UPPER($AS$84:$AZ$84)="(BLANK)")+(UPPER($AS$84:$AZ$84)="EMPTY")+(UPPER($AS$84:$AZ$84)="(EMPTY)"))&gt;0,IFERROR(('Final Calculation Sheet'!$X$4)&amp;"","")="",ISNUMBER(SEARCH($AS$84:$AZ$84,IFERROR(('Final Calculation Sheet'!$X$4)&amp;"","")))))&gt;0),IF(COUNTIF($BI$84:$BP$84,6)=0,TRUE,SUMPRODUCT(($BI$84:$BP$84=6)*($AS$84:$AZ$84&lt;&gt;"")*IF(((UPPER($AS$84:$AZ$84)="BLANK")+(UPPER($AS$84:$AZ$84)="(BLANK)")+(UPPER($AS$84:$AZ$84)="EMPTY")+(UPPER($AS$84:$AZ$84)="(EMPTY)"))&gt;0,IFERROR(('Final Calculation Sheet'!$X$4)&amp;"","")="",ISNUMBER(SEARCH($AS$84:$AZ$84,IFERROR(('Final Calculation Sheet'!$X$4)&amp;"","")))))&gt;0),IF(COUNTIF($BI$84:$BP$84,7)=0,TRUE,SUMPRODUCT(($BI$84:$BP$84=7)*($AS$84:$AZ$84&lt;&gt;"")*IF(((UPPER($AS$84:$AZ$84)="BLANK")+(UPPER($AS$84:$AZ$84)="(BLANK)")+(UPPER($AS$84:$AZ$84)="EMPTY")+(UPPER($AS$84:$AZ$84)="(EMPTY)"))&gt;0,IFERROR(('Final Calculation Sheet'!$X$4)&amp;"","")="",ISNUMBER(SEARCH($AS$84:$AZ$84,IFERROR(('Final Calculation Sheet'!$X$4)&amp;"","")))))&gt;0),IF(COUNTIF($BI$84:$BP$84,8)=0,TRUE,SUMPRODUCT(($BI$84:$BP$84=8)*($AS$84:$AZ$84&lt;&gt;"")*IF(((UPPER($AS$84:$AZ$84)="BLANK")+(UPPER($AS$84:$AZ$84)="(BLANK)")+(UPPER($AS$84:$AZ$84)="EMPTY")+(UPPER($AS$84:$AZ$84)="(EMPTY)"))&gt;0,IFERROR(('Final Calculation Sheet'!$X$4)&amp;"","")="",ISNUMBER(SEARCH($AS$84:$AZ$84,IFERROR(('Final Calculation Sheet'!$X$4)&amp;"","")))))&gt;0))))</f>
        <v>1</v>
      </c>
      <c r="CL5">
        <f>IF($Z$4="",1,--(AND(SUMPRODUCT(--($AS$85:$AZ$85&lt;&gt;""))&gt;0,IF(COUNTIF($BI$85:$BP$85,1)=0,TRUE,SUMPRODUCT(($BI$85:$BP$85=1)*($AS$85:$AZ$85&lt;&gt;"")*IF(((UPPER($AS$85:$AZ$85)="BLANK")+(UPPER($AS$85:$AZ$85)="(BLANK)")+(UPPER($AS$85:$AZ$85)="EMPTY")+(UPPER($AS$85:$AZ$85)="(EMPTY)"))&gt;0,IFERROR(('Final Calculation Sheet'!$Y$4)&amp;"","")="",ISNUMBER(SEARCH($AS$85:$AZ$85,IFERROR(('Final Calculation Sheet'!$Y$4)&amp;"","")))))&gt;0),IF(COUNTIF($BI$85:$BP$85,2)=0,TRUE,SUMPRODUCT(($BI$85:$BP$85=2)*($AS$85:$AZ$85&lt;&gt;"")*IF(((UPPER($AS$85:$AZ$85)="BLANK")+(UPPER($AS$85:$AZ$85)="(BLANK)")+(UPPER($AS$85:$AZ$85)="EMPTY")+(UPPER($AS$85:$AZ$85)="(EMPTY)"))&gt;0,IFERROR(('Final Calculation Sheet'!$Y$4)&amp;"","")="",ISNUMBER(SEARCH($AS$85:$AZ$85,IFERROR(('Final Calculation Sheet'!$Y$4)&amp;"","")))))&gt;0),IF(COUNTIF($BI$85:$BP$85,3)=0,TRUE,SUMPRODUCT(($BI$85:$BP$85=3)*($AS$85:$AZ$85&lt;&gt;"")*IF(((UPPER($AS$85:$AZ$85)="BLANK")+(UPPER($AS$85:$AZ$85)="(BLANK)")+(UPPER($AS$85:$AZ$85)="EMPTY")+(UPPER($AS$85:$AZ$85)="(EMPTY)"))&gt;0,IFERROR(('Final Calculation Sheet'!$Y$4)&amp;"","")="",ISNUMBER(SEARCH($AS$85:$AZ$85,IFERROR(('Final Calculation Sheet'!$Y$4)&amp;"","")))))&gt;0),IF(COUNTIF($BI$85:$BP$85,4)=0,TRUE,SUMPRODUCT(($BI$85:$BP$85=4)*($AS$85:$AZ$85&lt;&gt;"")*IF(((UPPER($AS$85:$AZ$85)="BLANK")+(UPPER($AS$85:$AZ$85)="(BLANK)")+(UPPER($AS$85:$AZ$85)="EMPTY")+(UPPER($AS$85:$AZ$85)="(EMPTY)"))&gt;0,IFERROR(('Final Calculation Sheet'!$Y$4)&amp;"","")="",ISNUMBER(SEARCH($AS$85:$AZ$85,IFERROR(('Final Calculation Sheet'!$Y$4)&amp;"","")))))&gt;0),IF(COUNTIF($BI$85:$BP$85,5)=0,TRUE,SUMPRODUCT(($BI$85:$BP$85=5)*($AS$85:$AZ$85&lt;&gt;"")*IF(((UPPER($AS$85:$AZ$85)="BLANK")+(UPPER($AS$85:$AZ$85)="(BLANK)")+(UPPER($AS$85:$AZ$85)="EMPTY")+(UPPER($AS$85:$AZ$85)="(EMPTY)"))&gt;0,IFERROR(('Final Calculation Sheet'!$Y$4)&amp;"","")="",ISNUMBER(SEARCH($AS$85:$AZ$85,IFERROR(('Final Calculation Sheet'!$Y$4)&amp;"","")))))&gt;0),IF(COUNTIF($BI$85:$BP$85,6)=0,TRUE,SUMPRODUCT(($BI$85:$BP$85=6)*($AS$85:$AZ$85&lt;&gt;"")*IF(((UPPER($AS$85:$AZ$85)="BLANK")+(UPPER($AS$85:$AZ$85)="(BLANK)")+(UPPER($AS$85:$AZ$85)="EMPTY")+(UPPER($AS$85:$AZ$85)="(EMPTY)"))&gt;0,IFERROR(('Final Calculation Sheet'!$Y$4)&amp;"","")="",ISNUMBER(SEARCH($AS$85:$AZ$85,IFERROR(('Final Calculation Sheet'!$Y$4)&amp;"","")))))&gt;0),IF(COUNTIF($BI$85:$BP$85,7)=0,TRUE,SUMPRODUCT(($BI$85:$BP$85=7)*($AS$85:$AZ$85&lt;&gt;"")*IF(((UPPER($AS$85:$AZ$85)="BLANK")+(UPPER($AS$85:$AZ$85)="(BLANK)")+(UPPER($AS$85:$AZ$85)="EMPTY")+(UPPER($AS$85:$AZ$85)="(EMPTY)"))&gt;0,IFERROR(('Final Calculation Sheet'!$Y$4)&amp;"","")="",ISNUMBER(SEARCH($AS$85:$AZ$85,IFERROR(('Final Calculation Sheet'!$Y$4)&amp;"","")))))&gt;0),IF(COUNTIF($BI$85:$BP$85,8)=0,TRUE,SUMPRODUCT(($BI$85:$BP$85=8)*($AS$85:$AZ$85&lt;&gt;"")*IF(((UPPER($AS$85:$AZ$85)="BLANK")+(UPPER($AS$85:$AZ$85)="(BLANK)")+(UPPER($AS$85:$AZ$85)="EMPTY")+(UPPER($AS$85:$AZ$85)="(EMPTY)"))&gt;0,IFERROR(('Final Calculation Sheet'!$Y$4)&amp;"","")="",ISNUMBER(SEARCH($AS$85:$AZ$85,IFERROR(('Final Calculation Sheet'!$Y$4)&amp;"","")))))&gt;0))))</f>
        <v>1</v>
      </c>
      <c r="CM5">
        <f>IF($AA$4="",1,--(AND(SUMPRODUCT(--($AS$86:$AZ$86&lt;&gt;""))&gt;0,IF(COUNTIF($BI$86:$BP$86,1)=0,TRUE,SUMPRODUCT(($BI$86:$BP$86=1)*($AS$86:$AZ$86&lt;&gt;"")*IF(((UPPER($AS$86:$AZ$86)="BLANK")+(UPPER($AS$86:$AZ$86)="(BLANK)")+(UPPER($AS$86:$AZ$86)="EMPTY")+(UPPER($AS$86:$AZ$86)="(EMPTY)"))&gt;0,IFERROR(('Final Calculation Sheet'!$Z$4)&amp;"","")="",ISNUMBER(SEARCH($AS$86:$AZ$86,IFERROR(('Final Calculation Sheet'!$Z$4)&amp;"","")))))&gt;0),IF(COUNTIF($BI$86:$BP$86,2)=0,TRUE,SUMPRODUCT(($BI$86:$BP$86=2)*($AS$86:$AZ$86&lt;&gt;"")*IF(((UPPER($AS$86:$AZ$86)="BLANK")+(UPPER($AS$86:$AZ$86)="(BLANK)")+(UPPER($AS$86:$AZ$86)="EMPTY")+(UPPER($AS$86:$AZ$86)="(EMPTY)"))&gt;0,IFERROR(('Final Calculation Sheet'!$Z$4)&amp;"","")="",ISNUMBER(SEARCH($AS$86:$AZ$86,IFERROR(('Final Calculation Sheet'!$Z$4)&amp;"","")))))&gt;0),IF(COUNTIF($BI$86:$BP$86,3)=0,TRUE,SUMPRODUCT(($BI$86:$BP$86=3)*($AS$86:$AZ$86&lt;&gt;"")*IF(((UPPER($AS$86:$AZ$86)="BLANK")+(UPPER($AS$86:$AZ$86)="(BLANK)")+(UPPER($AS$86:$AZ$86)="EMPTY")+(UPPER($AS$86:$AZ$86)="(EMPTY)"))&gt;0,IFERROR(('Final Calculation Sheet'!$Z$4)&amp;"","")="",ISNUMBER(SEARCH($AS$86:$AZ$86,IFERROR(('Final Calculation Sheet'!$Z$4)&amp;"","")))))&gt;0),IF(COUNTIF($BI$86:$BP$86,4)=0,TRUE,SUMPRODUCT(($BI$86:$BP$86=4)*($AS$86:$AZ$86&lt;&gt;"")*IF(((UPPER($AS$86:$AZ$86)="BLANK")+(UPPER($AS$86:$AZ$86)="(BLANK)")+(UPPER($AS$86:$AZ$86)="EMPTY")+(UPPER($AS$86:$AZ$86)="(EMPTY)"))&gt;0,IFERROR(('Final Calculation Sheet'!$Z$4)&amp;"","")="",ISNUMBER(SEARCH($AS$86:$AZ$86,IFERROR(('Final Calculation Sheet'!$Z$4)&amp;"","")))))&gt;0),IF(COUNTIF($BI$86:$BP$86,5)=0,TRUE,SUMPRODUCT(($BI$86:$BP$86=5)*($AS$86:$AZ$86&lt;&gt;"")*IF(((UPPER($AS$86:$AZ$86)="BLANK")+(UPPER($AS$86:$AZ$86)="(BLANK)")+(UPPER($AS$86:$AZ$86)="EMPTY")+(UPPER($AS$86:$AZ$86)="(EMPTY)"))&gt;0,IFERROR(('Final Calculation Sheet'!$Z$4)&amp;"","")="",ISNUMBER(SEARCH($AS$86:$AZ$86,IFERROR(('Final Calculation Sheet'!$Z$4)&amp;"","")))))&gt;0),IF(COUNTIF($BI$86:$BP$86,6)=0,TRUE,SUMPRODUCT(($BI$86:$BP$86=6)*($AS$86:$AZ$86&lt;&gt;"")*IF(((UPPER($AS$86:$AZ$86)="BLANK")+(UPPER($AS$86:$AZ$86)="(BLANK)")+(UPPER($AS$86:$AZ$86)="EMPTY")+(UPPER($AS$86:$AZ$86)="(EMPTY)"))&gt;0,IFERROR(('Final Calculation Sheet'!$Z$4)&amp;"","")="",ISNUMBER(SEARCH($AS$86:$AZ$86,IFERROR(('Final Calculation Sheet'!$Z$4)&amp;"","")))))&gt;0),IF(COUNTIF($BI$86:$BP$86,7)=0,TRUE,SUMPRODUCT(($BI$86:$BP$86=7)*($AS$86:$AZ$86&lt;&gt;"")*IF(((UPPER($AS$86:$AZ$86)="BLANK")+(UPPER($AS$86:$AZ$86)="(BLANK)")+(UPPER($AS$86:$AZ$86)="EMPTY")+(UPPER($AS$86:$AZ$86)="(EMPTY)"))&gt;0,IFERROR(('Final Calculation Sheet'!$Z$4)&amp;"","")="",ISNUMBER(SEARCH($AS$86:$AZ$86,IFERROR(('Final Calculation Sheet'!$Z$4)&amp;"","")))))&gt;0),IF(COUNTIF($BI$86:$BP$86,8)=0,TRUE,SUMPRODUCT(($BI$86:$BP$86=8)*($AS$86:$AZ$86&lt;&gt;"")*IF(((UPPER($AS$86:$AZ$86)="BLANK")+(UPPER($AS$86:$AZ$86)="(BLANK)")+(UPPER($AS$86:$AZ$86)="EMPTY")+(UPPER($AS$86:$AZ$86)="(EMPTY)"))&gt;0,IFERROR(('Final Calculation Sheet'!$Z$4)&amp;"","")="",ISNUMBER(SEARCH($AS$86:$AZ$86,IFERROR(('Final Calculation Sheet'!$Z$4)&amp;"","")))))&gt;0))))</f>
        <v>1</v>
      </c>
      <c r="CN5">
        <f>IF($AB$4="",1,--(AND(SUMPRODUCT(--($AS$87:$AZ$87&lt;&gt;""))&gt;0,IF(COUNTIF($BI$87:$BP$87,1)=0,TRUE,SUMPRODUCT(($BI$87:$BP$87=1)*($AS$87:$AZ$87&lt;&gt;"")*IF(((UPPER($AS$87:$AZ$87)="BLANK")+(UPPER($AS$87:$AZ$87)="(BLANK)")+(UPPER($AS$87:$AZ$87)="EMPTY")+(UPPER($AS$87:$AZ$87)="(EMPTY)"))&gt;0,IFERROR(('Final Calculation Sheet'!$AA$4)&amp;"","")="",ISNUMBER(SEARCH($AS$87:$AZ$87,IFERROR(('Final Calculation Sheet'!$AA$4)&amp;"","")))))&gt;0),IF(COUNTIF($BI$87:$BP$87,2)=0,TRUE,SUMPRODUCT(($BI$87:$BP$87=2)*($AS$87:$AZ$87&lt;&gt;"")*IF(((UPPER($AS$87:$AZ$87)="BLANK")+(UPPER($AS$87:$AZ$87)="(BLANK)")+(UPPER($AS$87:$AZ$87)="EMPTY")+(UPPER($AS$87:$AZ$87)="(EMPTY)"))&gt;0,IFERROR(('Final Calculation Sheet'!$AA$4)&amp;"","")="",ISNUMBER(SEARCH($AS$87:$AZ$87,IFERROR(('Final Calculation Sheet'!$AA$4)&amp;"","")))))&gt;0),IF(COUNTIF($BI$87:$BP$87,3)=0,TRUE,SUMPRODUCT(($BI$87:$BP$87=3)*($AS$87:$AZ$87&lt;&gt;"")*IF(((UPPER($AS$87:$AZ$87)="BLANK")+(UPPER($AS$87:$AZ$87)="(BLANK)")+(UPPER($AS$87:$AZ$87)="EMPTY")+(UPPER($AS$87:$AZ$87)="(EMPTY)"))&gt;0,IFERROR(('Final Calculation Sheet'!$AA$4)&amp;"","")="",ISNUMBER(SEARCH($AS$87:$AZ$87,IFERROR(('Final Calculation Sheet'!$AA$4)&amp;"","")))))&gt;0),IF(COUNTIF($BI$87:$BP$87,4)=0,TRUE,SUMPRODUCT(($BI$87:$BP$87=4)*($AS$87:$AZ$87&lt;&gt;"")*IF(((UPPER($AS$87:$AZ$87)="BLANK")+(UPPER($AS$87:$AZ$87)="(BLANK)")+(UPPER($AS$87:$AZ$87)="EMPTY")+(UPPER($AS$87:$AZ$87)="(EMPTY)"))&gt;0,IFERROR(('Final Calculation Sheet'!$AA$4)&amp;"","")="",ISNUMBER(SEARCH($AS$87:$AZ$87,IFERROR(('Final Calculation Sheet'!$AA$4)&amp;"","")))))&gt;0),IF(COUNTIF($BI$87:$BP$87,5)=0,TRUE,SUMPRODUCT(($BI$87:$BP$87=5)*($AS$87:$AZ$87&lt;&gt;"")*IF(((UPPER($AS$87:$AZ$87)="BLANK")+(UPPER($AS$87:$AZ$87)="(BLANK)")+(UPPER($AS$87:$AZ$87)="EMPTY")+(UPPER($AS$87:$AZ$87)="(EMPTY)"))&gt;0,IFERROR(('Final Calculation Sheet'!$AA$4)&amp;"","")="",ISNUMBER(SEARCH($AS$87:$AZ$87,IFERROR(('Final Calculation Sheet'!$AA$4)&amp;"","")))))&gt;0),IF(COUNTIF($BI$87:$BP$87,6)=0,TRUE,SUMPRODUCT(($BI$87:$BP$87=6)*($AS$87:$AZ$87&lt;&gt;"")*IF(((UPPER($AS$87:$AZ$87)="BLANK")+(UPPER($AS$87:$AZ$87)="(BLANK)")+(UPPER($AS$87:$AZ$87)="EMPTY")+(UPPER($AS$87:$AZ$87)="(EMPTY)"))&gt;0,IFERROR(('Final Calculation Sheet'!$AA$4)&amp;"","")="",ISNUMBER(SEARCH($AS$87:$AZ$87,IFERROR(('Final Calculation Sheet'!$AA$4)&amp;"","")))))&gt;0),IF(COUNTIF($BI$87:$BP$87,7)=0,TRUE,SUMPRODUCT(($BI$87:$BP$87=7)*($AS$87:$AZ$87&lt;&gt;"")*IF(((UPPER($AS$87:$AZ$87)="BLANK")+(UPPER($AS$87:$AZ$87)="(BLANK)")+(UPPER($AS$87:$AZ$87)="EMPTY")+(UPPER($AS$87:$AZ$87)="(EMPTY)"))&gt;0,IFERROR(('Final Calculation Sheet'!$AA$4)&amp;"","")="",ISNUMBER(SEARCH($AS$87:$AZ$87,IFERROR(('Final Calculation Sheet'!$AA$4)&amp;"","")))))&gt;0),IF(COUNTIF($BI$87:$BP$87,8)=0,TRUE,SUMPRODUCT(($BI$87:$BP$87=8)*($AS$87:$AZ$87&lt;&gt;"")*IF(((UPPER($AS$87:$AZ$87)="BLANK")+(UPPER($AS$87:$AZ$87)="(BLANK)")+(UPPER($AS$87:$AZ$87)="EMPTY")+(UPPER($AS$87:$AZ$87)="(EMPTY)"))&gt;0,IFERROR(('Final Calculation Sheet'!$AA$4)&amp;"","")="",ISNUMBER(SEARCH($AS$87:$AZ$87,IFERROR(('Final Calculation Sheet'!$AA$4)&amp;"","")))))&gt;0))))</f>
        <v>1</v>
      </c>
      <c r="CO5">
        <f>IF($AC$4="",1,--(AND(SUMPRODUCT(--($AS$88:$AZ$88&lt;&gt;""))&gt;0,IF(COUNTIF($BI$88:$BP$88,1)=0,TRUE,SUMPRODUCT(($BI$88:$BP$88=1)*($AS$88:$AZ$88&lt;&gt;"")*IF(((UPPER($AS$88:$AZ$88)="BLANK")+(UPPER($AS$88:$AZ$88)="(BLANK)")+(UPPER($AS$88:$AZ$88)="EMPTY")+(UPPER($AS$88:$AZ$88)="(EMPTY)"))&gt;0,IFERROR(('Final Calculation Sheet'!$AB$4)&amp;"","")="",ISNUMBER(SEARCH($AS$88:$AZ$88,IFERROR(('Final Calculation Sheet'!$AB$4)&amp;"","")))))&gt;0),IF(COUNTIF($BI$88:$BP$88,2)=0,TRUE,SUMPRODUCT(($BI$88:$BP$88=2)*($AS$88:$AZ$88&lt;&gt;"")*IF(((UPPER($AS$88:$AZ$88)="BLANK")+(UPPER($AS$88:$AZ$88)="(BLANK)")+(UPPER($AS$88:$AZ$88)="EMPTY")+(UPPER($AS$88:$AZ$88)="(EMPTY)"))&gt;0,IFERROR(('Final Calculation Sheet'!$AB$4)&amp;"","")="",ISNUMBER(SEARCH($AS$88:$AZ$88,IFERROR(('Final Calculation Sheet'!$AB$4)&amp;"","")))))&gt;0),IF(COUNTIF($BI$88:$BP$88,3)=0,TRUE,SUMPRODUCT(($BI$88:$BP$88=3)*($AS$88:$AZ$88&lt;&gt;"")*IF(((UPPER($AS$88:$AZ$88)="BLANK")+(UPPER($AS$88:$AZ$88)="(BLANK)")+(UPPER($AS$88:$AZ$88)="EMPTY")+(UPPER($AS$88:$AZ$88)="(EMPTY)"))&gt;0,IFERROR(('Final Calculation Sheet'!$AB$4)&amp;"","")="",ISNUMBER(SEARCH($AS$88:$AZ$88,IFERROR(('Final Calculation Sheet'!$AB$4)&amp;"","")))))&gt;0),IF(COUNTIF($BI$88:$BP$88,4)=0,TRUE,SUMPRODUCT(($BI$88:$BP$88=4)*($AS$88:$AZ$88&lt;&gt;"")*IF(((UPPER($AS$88:$AZ$88)="BLANK")+(UPPER($AS$88:$AZ$88)="(BLANK)")+(UPPER($AS$88:$AZ$88)="EMPTY")+(UPPER($AS$88:$AZ$88)="(EMPTY)"))&gt;0,IFERROR(('Final Calculation Sheet'!$AB$4)&amp;"","")="",ISNUMBER(SEARCH($AS$88:$AZ$88,IFERROR(('Final Calculation Sheet'!$AB$4)&amp;"","")))))&gt;0),IF(COUNTIF($BI$88:$BP$88,5)=0,TRUE,SUMPRODUCT(($BI$88:$BP$88=5)*($AS$88:$AZ$88&lt;&gt;"")*IF(((UPPER($AS$88:$AZ$88)="BLANK")+(UPPER($AS$88:$AZ$88)="(BLANK)")+(UPPER($AS$88:$AZ$88)="EMPTY")+(UPPER($AS$88:$AZ$88)="(EMPTY)"))&gt;0,IFERROR(('Final Calculation Sheet'!$AB$4)&amp;"","")="",ISNUMBER(SEARCH($AS$88:$AZ$88,IFERROR(('Final Calculation Sheet'!$AB$4)&amp;"","")))))&gt;0),IF(COUNTIF($BI$88:$BP$88,6)=0,TRUE,SUMPRODUCT(($BI$88:$BP$88=6)*($AS$88:$AZ$88&lt;&gt;"")*IF(((UPPER($AS$88:$AZ$88)="BLANK")+(UPPER($AS$88:$AZ$88)="(BLANK)")+(UPPER($AS$88:$AZ$88)="EMPTY")+(UPPER($AS$88:$AZ$88)="(EMPTY)"))&gt;0,IFERROR(('Final Calculation Sheet'!$AB$4)&amp;"","")="",ISNUMBER(SEARCH($AS$88:$AZ$88,IFERROR(('Final Calculation Sheet'!$AB$4)&amp;"","")))))&gt;0),IF(COUNTIF($BI$88:$BP$88,7)=0,TRUE,SUMPRODUCT(($BI$88:$BP$88=7)*($AS$88:$AZ$88&lt;&gt;"")*IF(((UPPER($AS$88:$AZ$88)="BLANK")+(UPPER($AS$88:$AZ$88)="(BLANK)")+(UPPER($AS$88:$AZ$88)="EMPTY")+(UPPER($AS$88:$AZ$88)="(EMPTY)"))&gt;0,IFERROR(('Final Calculation Sheet'!$AB$4)&amp;"","")="",ISNUMBER(SEARCH($AS$88:$AZ$88,IFERROR(('Final Calculation Sheet'!$AB$4)&amp;"","")))))&gt;0),IF(COUNTIF($BI$88:$BP$88,8)=0,TRUE,SUMPRODUCT(($BI$88:$BP$88=8)*($AS$88:$AZ$88&lt;&gt;"")*IF(((UPPER($AS$88:$AZ$88)="BLANK")+(UPPER($AS$88:$AZ$88)="(BLANK)")+(UPPER($AS$88:$AZ$88)="EMPTY")+(UPPER($AS$88:$AZ$88)="(EMPTY)"))&gt;0,IFERROR(('Final Calculation Sheet'!$AB$4)&amp;"","")="",ISNUMBER(SEARCH($AS$88:$AZ$88,IFERROR(('Final Calculation Sheet'!$AB$4)&amp;"","")))))&gt;0))))</f>
        <v>1</v>
      </c>
      <c r="CP5">
        <f>IF($AD$4="",1,--(AND(SUMPRODUCT(--($AS$89:$AZ$89&lt;&gt;""))&gt;0,IF(COUNTIF($BI$89:$BP$89,1)=0,TRUE,SUMPRODUCT(($BI$89:$BP$89=1)*($AS$89:$AZ$89&lt;&gt;"")*IF(((UPPER($AS$89:$AZ$89)="BLANK")+(UPPER($AS$89:$AZ$89)="(BLANK)")+(UPPER($AS$89:$AZ$89)="EMPTY")+(UPPER($AS$89:$AZ$89)="(EMPTY)"))&gt;0,IFERROR(('Final Calculation Sheet'!$AC$4)&amp;"","")="",ISNUMBER(SEARCH($AS$89:$AZ$89,IFERROR(('Final Calculation Sheet'!$AC$4)&amp;"","")))))&gt;0),IF(COUNTIF($BI$89:$BP$89,2)=0,TRUE,SUMPRODUCT(($BI$89:$BP$89=2)*($AS$89:$AZ$89&lt;&gt;"")*IF(((UPPER($AS$89:$AZ$89)="BLANK")+(UPPER($AS$89:$AZ$89)="(BLANK)")+(UPPER($AS$89:$AZ$89)="EMPTY")+(UPPER($AS$89:$AZ$89)="(EMPTY)"))&gt;0,IFERROR(('Final Calculation Sheet'!$AC$4)&amp;"","")="",ISNUMBER(SEARCH($AS$89:$AZ$89,IFERROR(('Final Calculation Sheet'!$AC$4)&amp;"","")))))&gt;0),IF(COUNTIF($BI$89:$BP$89,3)=0,TRUE,SUMPRODUCT(($BI$89:$BP$89=3)*($AS$89:$AZ$89&lt;&gt;"")*IF(((UPPER($AS$89:$AZ$89)="BLANK")+(UPPER($AS$89:$AZ$89)="(BLANK)")+(UPPER($AS$89:$AZ$89)="EMPTY")+(UPPER($AS$89:$AZ$89)="(EMPTY)"))&gt;0,IFERROR(('Final Calculation Sheet'!$AC$4)&amp;"","")="",ISNUMBER(SEARCH($AS$89:$AZ$89,IFERROR(('Final Calculation Sheet'!$AC$4)&amp;"","")))))&gt;0),IF(COUNTIF($BI$89:$BP$89,4)=0,TRUE,SUMPRODUCT(($BI$89:$BP$89=4)*($AS$89:$AZ$89&lt;&gt;"")*IF(((UPPER($AS$89:$AZ$89)="BLANK")+(UPPER($AS$89:$AZ$89)="(BLANK)")+(UPPER($AS$89:$AZ$89)="EMPTY")+(UPPER($AS$89:$AZ$89)="(EMPTY)"))&gt;0,IFERROR(('Final Calculation Sheet'!$AC$4)&amp;"","")="",ISNUMBER(SEARCH($AS$89:$AZ$89,IFERROR(('Final Calculation Sheet'!$AC$4)&amp;"","")))))&gt;0),IF(COUNTIF($BI$89:$BP$89,5)=0,TRUE,SUMPRODUCT(($BI$89:$BP$89=5)*($AS$89:$AZ$89&lt;&gt;"")*IF(((UPPER($AS$89:$AZ$89)="BLANK")+(UPPER($AS$89:$AZ$89)="(BLANK)")+(UPPER($AS$89:$AZ$89)="EMPTY")+(UPPER($AS$89:$AZ$89)="(EMPTY)"))&gt;0,IFERROR(('Final Calculation Sheet'!$AC$4)&amp;"","")="",ISNUMBER(SEARCH($AS$89:$AZ$89,IFERROR(('Final Calculation Sheet'!$AC$4)&amp;"","")))))&gt;0),IF(COUNTIF($BI$89:$BP$89,6)=0,TRUE,SUMPRODUCT(($BI$89:$BP$89=6)*($AS$89:$AZ$89&lt;&gt;"")*IF(((UPPER($AS$89:$AZ$89)="BLANK")+(UPPER($AS$89:$AZ$89)="(BLANK)")+(UPPER($AS$89:$AZ$89)="EMPTY")+(UPPER($AS$89:$AZ$89)="(EMPTY)"))&gt;0,IFERROR(('Final Calculation Sheet'!$AC$4)&amp;"","")="",ISNUMBER(SEARCH($AS$89:$AZ$89,IFERROR(('Final Calculation Sheet'!$AC$4)&amp;"","")))))&gt;0),IF(COUNTIF($BI$89:$BP$89,7)=0,TRUE,SUMPRODUCT(($BI$89:$BP$89=7)*($AS$89:$AZ$89&lt;&gt;"")*IF(((UPPER($AS$89:$AZ$89)="BLANK")+(UPPER($AS$89:$AZ$89)="(BLANK)")+(UPPER($AS$89:$AZ$89)="EMPTY")+(UPPER($AS$89:$AZ$89)="(EMPTY)"))&gt;0,IFERROR(('Final Calculation Sheet'!$AC$4)&amp;"","")="",ISNUMBER(SEARCH($AS$89:$AZ$89,IFERROR(('Final Calculation Sheet'!$AC$4)&amp;"","")))))&gt;0),IF(COUNTIF($BI$89:$BP$89,8)=0,TRUE,SUMPRODUCT(($BI$89:$BP$89=8)*($AS$89:$AZ$89&lt;&gt;"")*IF(((UPPER($AS$89:$AZ$89)="BLANK")+(UPPER($AS$89:$AZ$89)="(BLANK)")+(UPPER($AS$89:$AZ$89)="EMPTY")+(UPPER($AS$89:$AZ$89)="(EMPTY)"))&gt;0,IFERROR(('Final Calculation Sheet'!$AC$4)&amp;"","")="",ISNUMBER(SEARCH($AS$89:$AZ$89,IFERROR(('Final Calculation Sheet'!$AC$4)&amp;"","")))))&gt;0))))</f>
        <v>1</v>
      </c>
      <c r="CQ5">
        <f>IF($AE$4="",1,--(AND(SUMPRODUCT(--($AS$90:$AZ$90&lt;&gt;""))&gt;0,IF(COUNTIF($BI$90:$BP$90,1)=0,TRUE,SUMPRODUCT(($BI$90:$BP$90=1)*($AS$90:$AZ$90&lt;&gt;"")*IF(((UPPER($AS$90:$AZ$90)="BLANK")+(UPPER($AS$90:$AZ$90)="(BLANK)")+(UPPER($AS$90:$AZ$90)="EMPTY")+(UPPER($AS$90:$AZ$90)="(EMPTY)"))&gt;0,IFERROR(('Final Calculation Sheet'!$AD$4)&amp;"","")="",ISNUMBER(SEARCH($AS$90:$AZ$90,IFERROR(('Final Calculation Sheet'!$AD$4)&amp;"","")))))&gt;0),IF(COUNTIF($BI$90:$BP$90,2)=0,TRUE,SUMPRODUCT(($BI$90:$BP$90=2)*($AS$90:$AZ$90&lt;&gt;"")*IF(((UPPER($AS$90:$AZ$90)="BLANK")+(UPPER($AS$90:$AZ$90)="(BLANK)")+(UPPER($AS$90:$AZ$90)="EMPTY")+(UPPER($AS$90:$AZ$90)="(EMPTY)"))&gt;0,IFERROR(('Final Calculation Sheet'!$AD$4)&amp;"","")="",ISNUMBER(SEARCH($AS$90:$AZ$90,IFERROR(('Final Calculation Sheet'!$AD$4)&amp;"","")))))&gt;0),IF(COUNTIF($BI$90:$BP$90,3)=0,TRUE,SUMPRODUCT(($BI$90:$BP$90=3)*($AS$90:$AZ$90&lt;&gt;"")*IF(((UPPER($AS$90:$AZ$90)="BLANK")+(UPPER($AS$90:$AZ$90)="(BLANK)")+(UPPER($AS$90:$AZ$90)="EMPTY")+(UPPER($AS$90:$AZ$90)="(EMPTY)"))&gt;0,IFERROR(('Final Calculation Sheet'!$AD$4)&amp;"","")="",ISNUMBER(SEARCH($AS$90:$AZ$90,IFERROR(('Final Calculation Sheet'!$AD$4)&amp;"","")))))&gt;0),IF(COUNTIF($BI$90:$BP$90,4)=0,TRUE,SUMPRODUCT(($BI$90:$BP$90=4)*($AS$90:$AZ$90&lt;&gt;"")*IF(((UPPER($AS$90:$AZ$90)="BLANK")+(UPPER($AS$90:$AZ$90)="(BLANK)")+(UPPER($AS$90:$AZ$90)="EMPTY")+(UPPER($AS$90:$AZ$90)="(EMPTY)"))&gt;0,IFERROR(('Final Calculation Sheet'!$AD$4)&amp;"","")="",ISNUMBER(SEARCH($AS$90:$AZ$90,IFERROR(('Final Calculation Sheet'!$AD$4)&amp;"","")))))&gt;0),IF(COUNTIF($BI$90:$BP$90,5)=0,TRUE,SUMPRODUCT(($BI$90:$BP$90=5)*($AS$90:$AZ$90&lt;&gt;"")*IF(((UPPER($AS$90:$AZ$90)="BLANK")+(UPPER($AS$90:$AZ$90)="(BLANK)")+(UPPER($AS$90:$AZ$90)="EMPTY")+(UPPER($AS$90:$AZ$90)="(EMPTY)"))&gt;0,IFERROR(('Final Calculation Sheet'!$AD$4)&amp;"","")="",ISNUMBER(SEARCH($AS$90:$AZ$90,IFERROR(('Final Calculation Sheet'!$AD$4)&amp;"","")))))&gt;0),IF(COUNTIF($BI$90:$BP$90,6)=0,TRUE,SUMPRODUCT(($BI$90:$BP$90=6)*($AS$90:$AZ$90&lt;&gt;"")*IF(((UPPER($AS$90:$AZ$90)="BLANK")+(UPPER($AS$90:$AZ$90)="(BLANK)")+(UPPER($AS$90:$AZ$90)="EMPTY")+(UPPER($AS$90:$AZ$90)="(EMPTY)"))&gt;0,IFERROR(('Final Calculation Sheet'!$AD$4)&amp;"","")="",ISNUMBER(SEARCH($AS$90:$AZ$90,IFERROR(('Final Calculation Sheet'!$AD$4)&amp;"","")))))&gt;0),IF(COUNTIF($BI$90:$BP$90,7)=0,TRUE,SUMPRODUCT(($BI$90:$BP$90=7)*($AS$90:$AZ$90&lt;&gt;"")*IF(((UPPER($AS$90:$AZ$90)="BLANK")+(UPPER($AS$90:$AZ$90)="(BLANK)")+(UPPER($AS$90:$AZ$90)="EMPTY")+(UPPER($AS$90:$AZ$90)="(EMPTY)"))&gt;0,IFERROR(('Final Calculation Sheet'!$AD$4)&amp;"","")="",ISNUMBER(SEARCH($AS$90:$AZ$90,IFERROR(('Final Calculation Sheet'!$AD$4)&amp;"","")))))&gt;0),IF(COUNTIF($BI$90:$BP$90,8)=0,TRUE,SUMPRODUCT(($BI$90:$BP$90=8)*($AS$90:$AZ$90&lt;&gt;"")*IF(((UPPER($AS$90:$AZ$90)="BLANK")+(UPPER($AS$90:$AZ$90)="(BLANK)")+(UPPER($AS$90:$AZ$90)="EMPTY")+(UPPER($AS$90:$AZ$90)="(EMPTY)"))&gt;0,IFERROR(('Final Calculation Sheet'!$AD$4)&amp;"","")="",ISNUMBER(SEARCH($AS$90:$AZ$90,IFERROR(('Final Calculation Sheet'!$AD$4)&amp;"","")))))&gt;0))))</f>
        <v>1</v>
      </c>
      <c r="CR5">
        <f>IF($AF$4="",1,--(AND(SUMPRODUCT(--($AS$91:$AZ$91&lt;&gt;""))&gt;0,IF(COUNTIF($BI$91:$BP$91,1)=0,TRUE,SUMPRODUCT(($BI$91:$BP$91=1)*($AS$91:$AZ$91&lt;&gt;"")*IF(((UPPER($AS$91:$AZ$91)="BLANK")+(UPPER($AS$91:$AZ$91)="(BLANK)")+(UPPER($AS$91:$AZ$91)="EMPTY")+(UPPER($AS$91:$AZ$91)="(EMPTY)"))&gt;0,IFERROR(('Final Calculation Sheet'!$AE$4)&amp;"","")="",ISNUMBER(SEARCH($AS$91:$AZ$91,IFERROR(('Final Calculation Sheet'!$AE$4)&amp;"","")))))&gt;0),IF(COUNTIF($BI$91:$BP$91,2)=0,TRUE,SUMPRODUCT(($BI$91:$BP$91=2)*($AS$91:$AZ$91&lt;&gt;"")*IF(((UPPER($AS$91:$AZ$91)="BLANK")+(UPPER($AS$91:$AZ$91)="(BLANK)")+(UPPER($AS$91:$AZ$91)="EMPTY")+(UPPER($AS$91:$AZ$91)="(EMPTY)"))&gt;0,IFERROR(('Final Calculation Sheet'!$AE$4)&amp;"","")="",ISNUMBER(SEARCH($AS$91:$AZ$91,IFERROR(('Final Calculation Sheet'!$AE$4)&amp;"","")))))&gt;0),IF(COUNTIF($BI$91:$BP$91,3)=0,TRUE,SUMPRODUCT(($BI$91:$BP$91=3)*($AS$91:$AZ$91&lt;&gt;"")*IF(((UPPER($AS$91:$AZ$91)="BLANK")+(UPPER($AS$91:$AZ$91)="(BLANK)")+(UPPER($AS$91:$AZ$91)="EMPTY")+(UPPER($AS$91:$AZ$91)="(EMPTY)"))&gt;0,IFERROR(('Final Calculation Sheet'!$AE$4)&amp;"","")="",ISNUMBER(SEARCH($AS$91:$AZ$91,IFERROR(('Final Calculation Sheet'!$AE$4)&amp;"","")))))&gt;0),IF(COUNTIF($BI$91:$BP$91,4)=0,TRUE,SUMPRODUCT(($BI$91:$BP$91=4)*($AS$91:$AZ$91&lt;&gt;"")*IF(((UPPER($AS$91:$AZ$91)="BLANK")+(UPPER($AS$91:$AZ$91)="(BLANK)")+(UPPER($AS$91:$AZ$91)="EMPTY")+(UPPER($AS$91:$AZ$91)="(EMPTY)"))&gt;0,IFERROR(('Final Calculation Sheet'!$AE$4)&amp;"","")="",ISNUMBER(SEARCH($AS$91:$AZ$91,IFERROR(('Final Calculation Sheet'!$AE$4)&amp;"","")))))&gt;0),IF(COUNTIF($BI$91:$BP$91,5)=0,TRUE,SUMPRODUCT(($BI$91:$BP$91=5)*($AS$91:$AZ$91&lt;&gt;"")*IF(((UPPER($AS$91:$AZ$91)="BLANK")+(UPPER($AS$91:$AZ$91)="(BLANK)")+(UPPER($AS$91:$AZ$91)="EMPTY")+(UPPER($AS$91:$AZ$91)="(EMPTY)"))&gt;0,IFERROR(('Final Calculation Sheet'!$AE$4)&amp;"","")="",ISNUMBER(SEARCH($AS$91:$AZ$91,IFERROR(('Final Calculation Sheet'!$AE$4)&amp;"","")))))&gt;0),IF(COUNTIF($BI$91:$BP$91,6)=0,TRUE,SUMPRODUCT(($BI$91:$BP$91=6)*($AS$91:$AZ$91&lt;&gt;"")*IF(((UPPER($AS$91:$AZ$91)="BLANK")+(UPPER($AS$91:$AZ$91)="(BLANK)")+(UPPER($AS$91:$AZ$91)="EMPTY")+(UPPER($AS$91:$AZ$91)="(EMPTY)"))&gt;0,IFERROR(('Final Calculation Sheet'!$AE$4)&amp;"","")="",ISNUMBER(SEARCH($AS$91:$AZ$91,IFERROR(('Final Calculation Sheet'!$AE$4)&amp;"","")))))&gt;0),IF(COUNTIF($BI$91:$BP$91,7)=0,TRUE,SUMPRODUCT(($BI$91:$BP$91=7)*($AS$91:$AZ$91&lt;&gt;"")*IF(((UPPER($AS$91:$AZ$91)="BLANK")+(UPPER($AS$91:$AZ$91)="(BLANK)")+(UPPER($AS$91:$AZ$91)="EMPTY")+(UPPER($AS$91:$AZ$91)="(EMPTY)"))&gt;0,IFERROR(('Final Calculation Sheet'!$AE$4)&amp;"","")="",ISNUMBER(SEARCH($AS$91:$AZ$91,IFERROR(('Final Calculation Sheet'!$AE$4)&amp;"","")))))&gt;0),IF(COUNTIF($BI$91:$BP$91,8)=0,TRUE,SUMPRODUCT(($BI$91:$BP$91=8)*($AS$91:$AZ$91&lt;&gt;"")*IF(((UPPER($AS$91:$AZ$91)="BLANK")+(UPPER($AS$91:$AZ$91)="(BLANK)")+(UPPER($AS$91:$AZ$91)="EMPTY")+(UPPER($AS$91:$AZ$91)="(EMPTY)"))&gt;0,IFERROR(('Final Calculation Sheet'!$AE$4)&amp;"","")="",ISNUMBER(SEARCH($AS$91:$AZ$91,IFERROR(('Final Calculation Sheet'!$AE$4)&amp;"","")))))&gt;0))))</f>
        <v>1</v>
      </c>
      <c r="CS5">
        <f>IF($AG$4="",1,--(AND(SUMPRODUCT(--($AS$92:$AZ$92&lt;&gt;""))&gt;0,IF(COUNTIF($BI$92:$BP$92,1)=0,TRUE,SUMPRODUCT(($BI$92:$BP$92=1)*($AS$92:$AZ$92&lt;&gt;"")*IF(((UPPER($AS$92:$AZ$92)="BLANK")+(UPPER($AS$92:$AZ$92)="(BLANK)")+(UPPER($AS$92:$AZ$92)="EMPTY")+(UPPER($AS$92:$AZ$92)="(EMPTY)"))&gt;0,IFERROR(('Final Calculation Sheet'!$AF$4)&amp;"","")="",ISNUMBER(SEARCH($AS$92:$AZ$92,IFERROR(('Final Calculation Sheet'!$AF$4)&amp;"","")))))&gt;0),IF(COUNTIF($BI$92:$BP$92,2)=0,TRUE,SUMPRODUCT(($BI$92:$BP$92=2)*($AS$92:$AZ$92&lt;&gt;"")*IF(((UPPER($AS$92:$AZ$92)="BLANK")+(UPPER($AS$92:$AZ$92)="(BLANK)")+(UPPER($AS$92:$AZ$92)="EMPTY")+(UPPER($AS$92:$AZ$92)="(EMPTY)"))&gt;0,IFERROR(('Final Calculation Sheet'!$AF$4)&amp;"","")="",ISNUMBER(SEARCH($AS$92:$AZ$92,IFERROR(('Final Calculation Sheet'!$AF$4)&amp;"","")))))&gt;0),IF(COUNTIF($BI$92:$BP$92,3)=0,TRUE,SUMPRODUCT(($BI$92:$BP$92=3)*($AS$92:$AZ$92&lt;&gt;"")*IF(((UPPER($AS$92:$AZ$92)="BLANK")+(UPPER($AS$92:$AZ$92)="(BLANK)")+(UPPER($AS$92:$AZ$92)="EMPTY")+(UPPER($AS$92:$AZ$92)="(EMPTY)"))&gt;0,IFERROR(('Final Calculation Sheet'!$AF$4)&amp;"","")="",ISNUMBER(SEARCH($AS$92:$AZ$92,IFERROR(('Final Calculation Sheet'!$AF$4)&amp;"","")))))&gt;0),IF(COUNTIF($BI$92:$BP$92,4)=0,TRUE,SUMPRODUCT(($BI$92:$BP$92=4)*($AS$92:$AZ$92&lt;&gt;"")*IF(((UPPER($AS$92:$AZ$92)="BLANK")+(UPPER($AS$92:$AZ$92)="(BLANK)")+(UPPER($AS$92:$AZ$92)="EMPTY")+(UPPER($AS$92:$AZ$92)="(EMPTY)"))&gt;0,IFERROR(('Final Calculation Sheet'!$AF$4)&amp;"","")="",ISNUMBER(SEARCH($AS$92:$AZ$92,IFERROR(('Final Calculation Sheet'!$AF$4)&amp;"","")))))&gt;0),IF(COUNTIF($BI$92:$BP$92,5)=0,TRUE,SUMPRODUCT(($BI$92:$BP$92=5)*($AS$92:$AZ$92&lt;&gt;"")*IF(((UPPER($AS$92:$AZ$92)="BLANK")+(UPPER($AS$92:$AZ$92)="(BLANK)")+(UPPER($AS$92:$AZ$92)="EMPTY")+(UPPER($AS$92:$AZ$92)="(EMPTY)"))&gt;0,IFERROR(('Final Calculation Sheet'!$AF$4)&amp;"","")="",ISNUMBER(SEARCH($AS$92:$AZ$92,IFERROR(('Final Calculation Sheet'!$AF$4)&amp;"","")))))&gt;0),IF(COUNTIF($BI$92:$BP$92,6)=0,TRUE,SUMPRODUCT(($BI$92:$BP$92=6)*($AS$92:$AZ$92&lt;&gt;"")*IF(((UPPER($AS$92:$AZ$92)="BLANK")+(UPPER($AS$92:$AZ$92)="(BLANK)")+(UPPER($AS$92:$AZ$92)="EMPTY")+(UPPER($AS$92:$AZ$92)="(EMPTY)"))&gt;0,IFERROR(('Final Calculation Sheet'!$AF$4)&amp;"","")="",ISNUMBER(SEARCH($AS$92:$AZ$92,IFERROR(('Final Calculation Sheet'!$AF$4)&amp;"","")))))&gt;0),IF(COUNTIF($BI$92:$BP$92,7)=0,TRUE,SUMPRODUCT(($BI$92:$BP$92=7)*($AS$92:$AZ$92&lt;&gt;"")*IF(((UPPER($AS$92:$AZ$92)="BLANK")+(UPPER($AS$92:$AZ$92)="(BLANK)")+(UPPER($AS$92:$AZ$92)="EMPTY")+(UPPER($AS$92:$AZ$92)="(EMPTY)"))&gt;0,IFERROR(('Final Calculation Sheet'!$AF$4)&amp;"","")="",ISNUMBER(SEARCH($AS$92:$AZ$92,IFERROR(('Final Calculation Sheet'!$AF$4)&amp;"","")))))&gt;0),IF(COUNTIF($BI$92:$BP$92,8)=0,TRUE,SUMPRODUCT(($BI$92:$BP$92=8)*($AS$92:$AZ$92&lt;&gt;"")*IF(((UPPER($AS$92:$AZ$92)="BLANK")+(UPPER($AS$92:$AZ$92)="(BLANK)")+(UPPER($AS$92:$AZ$92)="EMPTY")+(UPPER($AS$92:$AZ$92)="(EMPTY)"))&gt;0,IFERROR(('Final Calculation Sheet'!$AF$4)&amp;"","")="",ISNUMBER(SEARCH($AS$92:$AZ$92,IFERROR(('Final Calculation Sheet'!$AF$4)&amp;"","")))))&gt;0))))</f>
        <v>1</v>
      </c>
      <c r="CT5">
        <f>IF($AH$4="",1,--(AND(SUMPRODUCT(--($AS$93:$AZ$93&lt;&gt;""))&gt;0,IF(COUNTIF($BI$93:$BP$93,1)=0,TRUE,SUMPRODUCT(($BI$93:$BP$93=1)*($AS$93:$AZ$93&lt;&gt;"")*IF(((UPPER($AS$93:$AZ$93)="BLANK")+(UPPER($AS$93:$AZ$93)="(BLANK)")+(UPPER($AS$93:$AZ$93)="EMPTY")+(UPPER($AS$93:$AZ$93)="(EMPTY)"))&gt;0,IFERROR(('Final Calculation Sheet'!$AG$4)&amp;"","")="",ISNUMBER(SEARCH($AS$93:$AZ$93,IFERROR(('Final Calculation Sheet'!$AG$4)&amp;"","")))))&gt;0),IF(COUNTIF($BI$93:$BP$93,2)=0,TRUE,SUMPRODUCT(($BI$93:$BP$93=2)*($AS$93:$AZ$93&lt;&gt;"")*IF(((UPPER($AS$93:$AZ$93)="BLANK")+(UPPER($AS$93:$AZ$93)="(BLANK)")+(UPPER($AS$93:$AZ$93)="EMPTY")+(UPPER($AS$93:$AZ$93)="(EMPTY)"))&gt;0,IFERROR(('Final Calculation Sheet'!$AG$4)&amp;"","")="",ISNUMBER(SEARCH($AS$93:$AZ$93,IFERROR(('Final Calculation Sheet'!$AG$4)&amp;"","")))))&gt;0),IF(COUNTIF($BI$93:$BP$93,3)=0,TRUE,SUMPRODUCT(($BI$93:$BP$93=3)*($AS$93:$AZ$93&lt;&gt;"")*IF(((UPPER($AS$93:$AZ$93)="BLANK")+(UPPER($AS$93:$AZ$93)="(BLANK)")+(UPPER($AS$93:$AZ$93)="EMPTY")+(UPPER($AS$93:$AZ$93)="(EMPTY)"))&gt;0,IFERROR(('Final Calculation Sheet'!$AG$4)&amp;"","")="",ISNUMBER(SEARCH($AS$93:$AZ$93,IFERROR(('Final Calculation Sheet'!$AG$4)&amp;"","")))))&gt;0),IF(COUNTIF($BI$93:$BP$93,4)=0,TRUE,SUMPRODUCT(($BI$93:$BP$93=4)*($AS$93:$AZ$93&lt;&gt;"")*IF(((UPPER($AS$93:$AZ$93)="BLANK")+(UPPER($AS$93:$AZ$93)="(BLANK)")+(UPPER($AS$93:$AZ$93)="EMPTY")+(UPPER($AS$93:$AZ$93)="(EMPTY)"))&gt;0,IFERROR(('Final Calculation Sheet'!$AG$4)&amp;"","")="",ISNUMBER(SEARCH($AS$93:$AZ$93,IFERROR(('Final Calculation Sheet'!$AG$4)&amp;"","")))))&gt;0),IF(COUNTIF($BI$93:$BP$93,5)=0,TRUE,SUMPRODUCT(($BI$93:$BP$93=5)*($AS$93:$AZ$93&lt;&gt;"")*IF(((UPPER($AS$93:$AZ$93)="BLANK")+(UPPER($AS$93:$AZ$93)="(BLANK)")+(UPPER($AS$93:$AZ$93)="EMPTY")+(UPPER($AS$93:$AZ$93)="(EMPTY)"))&gt;0,IFERROR(('Final Calculation Sheet'!$AG$4)&amp;"","")="",ISNUMBER(SEARCH($AS$93:$AZ$93,IFERROR(('Final Calculation Sheet'!$AG$4)&amp;"","")))))&gt;0),IF(COUNTIF($BI$93:$BP$93,6)=0,TRUE,SUMPRODUCT(($BI$93:$BP$93=6)*($AS$93:$AZ$93&lt;&gt;"")*IF(((UPPER($AS$93:$AZ$93)="BLANK")+(UPPER($AS$93:$AZ$93)="(BLANK)")+(UPPER($AS$93:$AZ$93)="EMPTY")+(UPPER($AS$93:$AZ$93)="(EMPTY)"))&gt;0,IFERROR(('Final Calculation Sheet'!$AG$4)&amp;"","")="",ISNUMBER(SEARCH($AS$93:$AZ$93,IFERROR(('Final Calculation Sheet'!$AG$4)&amp;"","")))))&gt;0),IF(COUNTIF($BI$93:$BP$93,7)=0,TRUE,SUMPRODUCT(($BI$93:$BP$93=7)*($AS$93:$AZ$93&lt;&gt;"")*IF(((UPPER($AS$93:$AZ$93)="BLANK")+(UPPER($AS$93:$AZ$93)="(BLANK)")+(UPPER($AS$93:$AZ$93)="EMPTY")+(UPPER($AS$93:$AZ$93)="(EMPTY)"))&gt;0,IFERROR(('Final Calculation Sheet'!$AG$4)&amp;"","")="",ISNUMBER(SEARCH($AS$93:$AZ$93,IFERROR(('Final Calculation Sheet'!$AG$4)&amp;"","")))))&gt;0),IF(COUNTIF($BI$93:$BP$93,8)=0,TRUE,SUMPRODUCT(($BI$93:$BP$93=8)*($AS$93:$AZ$93&lt;&gt;"")*IF(((UPPER($AS$93:$AZ$93)="BLANK")+(UPPER($AS$93:$AZ$93)="(BLANK)")+(UPPER($AS$93:$AZ$93)="EMPTY")+(UPPER($AS$93:$AZ$93)="(EMPTY)"))&gt;0,IFERROR(('Final Calculation Sheet'!$AG$4)&amp;"","")="",ISNUMBER(SEARCH($AS$93:$AZ$93,IFERROR(('Final Calculation Sheet'!$AG$4)&amp;"","")))))&gt;0))))</f>
        <v>1</v>
      </c>
      <c r="CU5">
        <f>IF($AI$4="",1,--(AND(SUMPRODUCT(--($AS$94:$AZ$94&lt;&gt;""))&gt;0,IF(COUNTIF($BI$94:$BP$94,1)=0,TRUE,SUMPRODUCT(($BI$94:$BP$94=1)*($AS$94:$AZ$94&lt;&gt;"")*IF(((UPPER($AS$94:$AZ$94)="BLANK")+(UPPER($AS$94:$AZ$94)="(BLANK)")+(UPPER($AS$94:$AZ$94)="EMPTY")+(UPPER($AS$94:$AZ$94)="(EMPTY)"))&gt;0,IFERROR((IF('Final Calculation Sheet'!$AD$4&lt;=0,"SETTLED","OUTSTANDING"))&amp;"","")="",ISNUMBER(SEARCH($AS$94:$AZ$94,IFERROR((IF('Final Calculation Sheet'!$AD$4&lt;=0,"SETTLED","OUTSTANDING"))&amp;"","")))))&gt;0),IF(COUNTIF($BI$94:$BP$94,2)=0,TRUE,SUMPRODUCT(($BI$94:$BP$94=2)*($AS$94:$AZ$94&lt;&gt;"")*IF(((UPPER($AS$94:$AZ$94)="BLANK")+(UPPER($AS$94:$AZ$94)="(BLANK)")+(UPPER($AS$94:$AZ$94)="EMPTY")+(UPPER($AS$94:$AZ$94)="(EMPTY)"))&gt;0,IFERROR((IF('Final Calculation Sheet'!$AD$4&lt;=0,"SETTLED","OUTSTANDING"))&amp;"","")="",ISNUMBER(SEARCH($AS$94:$AZ$94,IFERROR((IF('Final Calculation Sheet'!$AD$4&lt;=0,"SETTLED","OUTSTANDING"))&amp;"","")))))&gt;0),IF(COUNTIF($BI$94:$BP$94,3)=0,TRUE,SUMPRODUCT(($BI$94:$BP$94=3)*($AS$94:$AZ$94&lt;&gt;"")*IF(((UPPER($AS$94:$AZ$94)="BLANK")+(UPPER($AS$94:$AZ$94)="(BLANK)")+(UPPER($AS$94:$AZ$94)="EMPTY")+(UPPER($AS$94:$AZ$94)="(EMPTY)"))&gt;0,IFERROR((IF('Final Calculation Sheet'!$AD$4&lt;=0,"SETTLED","OUTSTANDING"))&amp;"","")="",ISNUMBER(SEARCH($AS$94:$AZ$94,IFERROR((IF('Final Calculation Sheet'!$AD$4&lt;=0,"SETTLED","OUTSTANDING"))&amp;"","")))))&gt;0),IF(COUNTIF($BI$94:$BP$94,4)=0,TRUE,SUMPRODUCT(($BI$94:$BP$94=4)*($AS$94:$AZ$94&lt;&gt;"")*IF(((UPPER($AS$94:$AZ$94)="BLANK")+(UPPER($AS$94:$AZ$94)="(BLANK)")+(UPPER($AS$94:$AZ$94)="EMPTY")+(UPPER($AS$94:$AZ$94)="(EMPTY)"))&gt;0,IFERROR((IF('Final Calculation Sheet'!$AD$4&lt;=0,"SETTLED","OUTSTANDING"))&amp;"","")="",ISNUMBER(SEARCH($AS$94:$AZ$94,IFERROR((IF('Final Calculation Sheet'!$AD$4&lt;=0,"SETTLED","OUTSTANDING"))&amp;"","")))))&gt;0),IF(COUNTIF($BI$94:$BP$94,5)=0,TRUE,SUMPRODUCT(($BI$94:$BP$94=5)*($AS$94:$AZ$94&lt;&gt;"")*IF(((UPPER($AS$94:$AZ$94)="BLANK")+(UPPER($AS$94:$AZ$94)="(BLANK)")+(UPPER($AS$94:$AZ$94)="EMPTY")+(UPPER($AS$94:$AZ$94)="(EMPTY)"))&gt;0,IFERROR((IF('Final Calculation Sheet'!$AD$4&lt;=0,"SETTLED","OUTSTANDING"))&amp;"","")="",ISNUMBER(SEARCH($AS$94:$AZ$94,IFERROR((IF('Final Calculation Sheet'!$AD$4&lt;=0,"SETTLED","OUTSTANDING"))&amp;"","")))))&gt;0),IF(COUNTIF($BI$94:$BP$94,6)=0,TRUE,SUMPRODUCT(($BI$94:$BP$94=6)*($AS$94:$AZ$94&lt;&gt;"")*IF(((UPPER($AS$94:$AZ$94)="BLANK")+(UPPER($AS$94:$AZ$94)="(BLANK)")+(UPPER($AS$94:$AZ$94)="EMPTY")+(UPPER($AS$94:$AZ$94)="(EMPTY)"))&gt;0,IFERROR((IF('Final Calculation Sheet'!$AD$4&lt;=0,"SETTLED","OUTSTANDING"))&amp;"","")="",ISNUMBER(SEARCH($AS$94:$AZ$94,IFERROR((IF('Final Calculation Sheet'!$AD$4&lt;=0,"SETTLED","OUTSTANDING"))&amp;"","")))))&gt;0),IF(COUNTIF($BI$94:$BP$94,7)=0,TRUE,SUMPRODUCT(($BI$94:$BP$94=7)*($AS$94:$AZ$94&lt;&gt;"")*IF(((UPPER($AS$94:$AZ$94)="BLANK")+(UPPER($AS$94:$AZ$94)="(BLANK)")+(UPPER($AS$94:$AZ$94)="EMPTY")+(UPPER($AS$94:$AZ$94)="(EMPTY)"))&gt;0,IFERROR((IF('Final Calculation Sheet'!$AD$4&lt;=0,"SETTLED","OUTSTANDING"))&amp;"","")="",ISNUMBER(SEARCH($AS$94:$AZ$94,IFERROR((IF('Final Calculation Sheet'!$AD$4&lt;=0,"SETTLED","OUTSTANDING"))&amp;"","")))))&gt;0),IF(COUNTIF($BI$94:$BP$94,8)=0,TRUE,SUMPRODUCT(($BI$94:$BP$94=8)*($AS$94:$AZ$94&lt;&gt;"")*IF(((UPPER($AS$94:$AZ$94)="BLANK")+(UPPER($AS$94:$AZ$94)="(BLANK)")+(UPPER($AS$94:$AZ$94)="EMPTY")+(UPPER($AS$94:$AZ$94)="(EMPTY)"))&gt;0,IFERROR((IF('Final Calculation Sheet'!$AD$4&lt;=0,"SETTLED","OUTSTANDING"))&amp;"","")="",ISNUMBER(SEARCH($AS$94:$AZ$94,IFERROR((IF('Final Calculation Sheet'!$AD$4&lt;=0,"SETTLED","OUTSTANDING"))&amp;"","")))))&gt;0))))</f>
        <v>1</v>
      </c>
    </row>
    <row r="6" spans="1:99" ht="15" customHeight="1" x14ac:dyDescent="0.25">
      <c r="A6" s="67">
        <f>IF($BJ5&gt;0,INDEX($BA$5:$BA$41,MATCH(5,$BB$5:$BB$41,0)),IF(OR($BI5=1,$BL5=1,$BH5&gt;0),"∑",""))</f>
        <v>1</v>
      </c>
      <c r="B6" s="68">
        <f>IF($BJ5&gt;0,IF(INDEX('Final Calculation Sheet'!$F$4:$F$40,$BJ5-3)="","",INDEX('Final Calculation Sheet'!$F$4:$F$40,$BJ5-3)),"")</f>
        <v>1874</v>
      </c>
      <c r="C6" s="68" t="str">
        <f>IF($BJ5&gt;0,IF(INDEX('Final Calculation Sheet'!$G$4:$G$40,$BJ5-3)="","",INDEX('Final Calculation Sheet'!$G$4:$G$40,$BJ5-3)),IF(OR($BI5=1,$BL5=1,$BH5&gt;0),IF($BI5=1,37,IF($BL5=1,37-INDEX($BD$4:$BD$13,10),INDEX($BD$4:$BD$13,$BH5)))&amp;" lot(s)",""))</f>
        <v>NATIONAL ENTERPRISES</v>
      </c>
      <c r="D6" s="69" t="str">
        <f>IF($BJ5&gt;0,IF(INDEX('Final Calculation Sheet'!$B$4:$B$40,$BJ5-3)="","",INDEX('Final Calculation Sheet'!$B$4:$B$40,$BJ5-3)),IF(OR($BI5=1,$BL5=1,$BH5&gt;0),IF($BI5=1,"GRAND TOTAL  —  matching + remaining",IF($BL5=1,"TOTAL MATCHED  —  every group together",IF($BH5=10,"REMAINING  —  did not match the search",IF($BH5=9,IF(COUNTIF($A$4:$AI$4,"&lt;&gt;")&gt;0,"FILTERED LOTS  —  column fields","ALL LOTS  —  nothing typed in the box"),"GROUP "&amp;$BH5&amp;" TOTAL  —  lots matching  "&amp;INDEX($AR$6:$AY$6,$BH5))))),""))</f>
        <v>Scrap of Empty oil drum</v>
      </c>
      <c r="E6" s="69">
        <f>IF($BJ5&gt;0,IF(INDEX('Final Calculation Sheet'!$D$4:$D$40,$BJ5-3)="","",INDEX('Final Calculation Sheet'!$D$4:$D$40,$BJ5-3)),IF(OR($BI5=1,$BL5=1,$BH5&gt;0),"–",""))</f>
        <v>21977</v>
      </c>
      <c r="F6" s="69">
        <f>IF($BJ5&gt;0,IF(INDEX('Final Calculation Sheet'!$A$4:$A$40,$BJ5-3)="","",INDEX('Final Calculation Sheet'!$A$4:$A$40,$BJ5-3)),IF(OR($BI5=1,$BL5=1,$BH5&gt;0),IF($BI5=1,SUM('Final Calculation Sheet'!$A$4:$A$40),IF($BL5=1,SUM('Final Calculation Sheet'!$A$4:$A$40)-SUMIFS('Final Calculation Sheet'!$A$4:$A$40,$AZ$5:$AZ$41,10),SUMIFS('Final Calculation Sheet'!$A$4:$A$40,$AZ$5:$AZ$41,$BH5))),""))</f>
        <v>270</v>
      </c>
      <c r="G6" s="69" t="str">
        <f>IF($BJ5&gt;0,IF(INDEX('Final Calculation Sheet'!$E$4:$E$40,$BJ5-3)="","",INDEX('Final Calculation Sheet'!$E$4:$E$40,$BJ5-3)),IF(OR($BI5=1,$BL5=1,$BH5&gt;0),"–",""))</f>
        <v>NO</v>
      </c>
      <c r="H6" s="70">
        <f>IF($BJ5&gt;0,IF(INDEX('Final Calculation Sheet'!$C$4:$C$40,$BJ5-3)="","",INDEX('Final Calculation Sheet'!$C$4:$C$40,$BJ5-3)),IF(OR($BI5=1,$BL5=1,$BH5&gt;0),"–",""))</f>
        <v>580</v>
      </c>
      <c r="I6" s="70">
        <f>IF($BJ5&gt;0,IF(INDEX('Final Calculation Sheet'!$H$4:$H$40,$BJ5-3)="","",INDEX('Final Calculation Sheet'!$H$4:$H$40,$BJ5-3)),IF(OR($BI5=1,$BL5=1,$BH5&gt;0),IF($BI5=1,SUM('Final Calculation Sheet'!$H$4:$H$40),IF($BL5=1,SUM('Final Calculation Sheet'!$H$4:$H$40)-SUMIFS('Final Calculation Sheet'!$H$4:$H$40,$AZ$5:$AZ$41,10),SUMIFS('Final Calculation Sheet'!$H$4:$H$40,$AZ$5:$AZ$41,$BH5))),""))</f>
        <v>156600</v>
      </c>
      <c r="J6" s="70">
        <f>IF($BJ5&gt;0,IF(INDEX('Final Calculation Sheet'!$I$4:$I$40,$BJ5-3)="","",INDEX('Final Calculation Sheet'!$I$4:$I$40,$BJ5-3)),IF(OR($BI5=1,$BL5=1,$BH5&gt;0),IF($BI5=1,SUM('Final Calculation Sheet'!$I$4:$I$40),IF($BL5=1,SUM('Final Calculation Sheet'!$I$4:$I$40)-SUMIFS('Final Calculation Sheet'!$I$4:$I$40,$AZ$5:$AZ$41,10),SUMIFS('Final Calculation Sheet'!$I$4:$I$40,$AZ$5:$AZ$41,$BH5))),""))</f>
        <v>28188</v>
      </c>
      <c r="K6" s="70">
        <f>IF($BJ5&gt;0,IF(INDEX('Final Calculation Sheet'!$J$4:$J$40,$BJ5-3)="","",INDEX('Final Calculation Sheet'!$J$4:$J$40,$BJ5-3)),IF(OR($BI5=1,$BL5=1,$BH5&gt;0),IF($BI5=1,SUM('Final Calculation Sheet'!$J$4:$J$40),IF($BL5=1,SUM('Final Calculation Sheet'!$J$4:$J$40)-SUMIFS('Final Calculation Sheet'!$J$4:$J$40,$AZ$5:$AZ$41,10),SUMIFS('Final Calculation Sheet'!$J$4:$J$40,$AZ$5:$AZ$41,$BH5))),""))</f>
        <v>184788</v>
      </c>
      <c r="L6" s="70">
        <f>IF($BJ5&gt;0,IF(INDEX('Final Calculation Sheet'!$K$4:$K$40,$BJ5-3)="","",INDEX('Final Calculation Sheet'!$K$4:$K$40,$BJ5-3)),IF(OR($BI5=1,$BL5=1,$BH5&gt;0),IF($BI5=1,SUM('Final Calculation Sheet'!$K$4:$K$40),IF($BL5=1,SUM('Final Calculation Sheet'!$K$4:$K$40)-SUMIFS('Final Calculation Sheet'!$K$4:$K$40,$AZ$5:$AZ$41,10),SUMIFS('Final Calculation Sheet'!$K$4:$K$40,$AZ$5:$AZ$41,$BH5))),""))</f>
        <v>3696</v>
      </c>
      <c r="M6" s="70">
        <f>IF($BJ5&gt;0,IF(INDEX('Final Calculation Sheet'!$L$4:$L$40,$BJ5-3)="","",INDEX('Final Calculation Sheet'!$L$4:$L$40,$BJ5-3)),IF(OR($BI5=1,$BL5=1,$BH5&gt;0),IF($BI5=1,SUM('Final Calculation Sheet'!$L$4:$L$40),IF($BL5=1,SUM('Final Calculation Sheet'!$L$4:$L$40)-SUMIFS('Final Calculation Sheet'!$L$4:$L$40,$AZ$5:$AZ$41,10),SUMIFS('Final Calculation Sheet'!$L$4:$L$40,$AZ$5:$AZ$41,$BH5))),""))</f>
        <v>156.6</v>
      </c>
      <c r="N6" s="70">
        <f>IF($BJ5&gt;0,IF(INDEX('Final Calculation Sheet'!$M$4:$M$40,$BJ5-3)="","",INDEX('Final Calculation Sheet'!$M$4:$M$40,$BJ5-3)),IF(OR($BI5=1,$BL5=1,$BH5&gt;0),IF($BI5=1,SUM('Final Calculation Sheet'!$M$4:$M$40),IF($BL5=1,SUM('Final Calculation Sheet'!$M$4:$M$40)-SUMIFS('Final Calculation Sheet'!$M$4:$M$40,$AZ$5:$AZ$41,10),SUMIFS('Final Calculation Sheet'!$M$4:$M$40,$AZ$5:$AZ$41,$BH5))),""))</f>
        <v>4157.7299999999996</v>
      </c>
      <c r="O6" s="71">
        <f>IF($BJ5&gt;0,IF(INDEX('Final Calculation Sheet'!$N$4:$N$40,$BJ5-3)="","",INDEX('Final Calculation Sheet'!$N$4:$N$40,$BJ5-3)),IF(OR($BI5=1,$BL5=1,$BH5&gt;0),IF($BI5=1,SUM('Final Calculation Sheet'!$N$4:$N$40),IF($BL5=1,SUM('Final Calculation Sheet'!$N$4:$N$40)-SUMIFS('Final Calculation Sheet'!$N$4:$N$40,$AZ$5:$AZ$41,10),SUMIFS('Final Calculation Sheet'!$N$4:$N$40,$AZ$5:$AZ$41,$BH5))),""))</f>
        <v>70.47</v>
      </c>
      <c r="P6" s="70">
        <f>IF($BJ5&gt;0,IF(INDEX('Final Calculation Sheet'!$O$4:$O$40,$BJ5-3)="","",INDEX('Final Calculation Sheet'!$O$4:$O$40,$BJ5-3)),IF(OR($BI5=1,$BL5=1,$BH5&gt;0),IF($BI5=1,SUM('Final Calculation Sheet'!$O$4:$O$40),IF($BL5=1,SUM('Final Calculation Sheet'!$O$4:$O$40)-SUMIFS('Final Calculation Sheet'!$O$4:$O$40,$AZ$5:$AZ$41,10),SUMIFS('Final Calculation Sheet'!$O$4:$O$40,$AZ$5:$AZ$41,$BH5))),""))</f>
        <v>4087.2599999999998</v>
      </c>
      <c r="Q6" s="70">
        <f>IF($BJ5&gt;0,IF(INDEX('Final Calculation Sheet'!$P$4:$P$40,$BJ5-3)="","",INDEX('Final Calculation Sheet'!$P$4:$P$40,$BJ5-3)),IF(OR($BI5=1,$BL5=1,$BH5&gt;0),IF($BI5=1,SUM('Final Calculation Sheet'!$P$4:$P$40),IF($BL5=1,SUM('Final Calculation Sheet'!$P$4:$P$40)-SUMIFS('Final Calculation Sheet'!$P$4:$P$40,$AZ$5:$AZ$41,10),SUMIFS('Final Calculation Sheet'!$P$4:$P$40,$AZ$5:$AZ$41,$BH5))),""))</f>
        <v>4244</v>
      </c>
      <c r="R6" s="72">
        <f>IF($BJ5&gt;0,IF(INDEX('Final Calculation Sheet'!$Q$4:$Q$40,$BJ5-3)="","",INDEX('Final Calculation Sheet'!$Q$4:$Q$40,$BJ5-3)),IF(OR($BI5=1,$BL5=1,$BH5&gt;0),"–",""))</f>
        <v>0</v>
      </c>
      <c r="S6" s="70">
        <f>IF($BJ5&gt;0,IF(INDEX('Final Calculation Sheet'!$R$4:$R$40,$BJ5-3)="","",INDEX('Final Calculation Sheet'!$R$4:$R$40,$BJ5-3)),IF(OR($BI5=1,$BL5=1,$BH5&gt;0),IF($BI5=1,SUM('Final Calculation Sheet'!$R$4:$R$40),IF($BL5=1,SUM('Final Calculation Sheet'!$R$4:$R$40)-SUMIFS('Final Calculation Sheet'!$R$4:$R$40,$AZ$5:$AZ$41,10),SUMIFS('Final Calculation Sheet'!$R$4:$R$40,$AZ$5:$AZ$41,$BH5))),""))</f>
        <v>0</v>
      </c>
      <c r="T6" s="70">
        <f>IF($BJ5&gt;0,IF(INDEX('Final Calculation Sheet'!$S$4:$S$40,$BJ5-3)="","",INDEX('Final Calculation Sheet'!$S$4:$S$40,$BJ5-3)),IF(OR($BI5=1,$BL5=1,$BH5&gt;0),IF($BI5=1,SUM('Final Calculation Sheet'!$S$4:$S$40),IF($BL5=1,SUM('Final Calculation Sheet'!$S$4:$S$40)-SUMIFS('Final Calculation Sheet'!$S$4:$S$40,$AZ$5:$AZ$41,10),SUMIFS('Final Calculation Sheet'!$S$4:$S$40,$AZ$5:$AZ$41,$BH5))),""))</f>
        <v>184240</v>
      </c>
      <c r="U6" s="70">
        <f>IF($BJ5&gt;0,IF(INDEX('Final Calculation Sheet'!$T$4:$T$40,$BJ5-3)="","",INDEX('Final Calculation Sheet'!$T$4:$T$40,$BJ5-3)),IF(OR($BI5=1,$BL5=1,$BH5&gt;0),IF($BI5=1,SUM('Final Calculation Sheet'!$T$4:$T$40),IF($BL5=1,SUM('Final Calculation Sheet'!$T$4:$T$40)-SUMIFS('Final Calculation Sheet'!$T$4:$T$40,$AZ$5:$AZ$41,10),SUMIFS('Final Calculation Sheet'!$T$4:$T$40,$AZ$5:$AZ$41,$BH5))),""))</f>
        <v>39150</v>
      </c>
      <c r="V6" s="73">
        <f>IF($BJ5&gt;0,IF(INDEX('Final Calculation Sheet'!$U$4:$U$40,$BJ5-3)="","",INDEX('Final Calculation Sheet'!$U$4:$U$40,$BJ5-3)),IF(OR($BI5=1,$BL5=1,$BH5&gt;0),IF($BI5=1,SUM('Final Calculation Sheet'!$U$4:$U$40),IF($BL5=1,SUM('Final Calculation Sheet'!$U$4:$U$40)-SUMIFS('Final Calculation Sheet'!$U$4:$U$40,$AZ$5:$AZ$41,10),SUMIFS('Final Calculation Sheet'!$U$4:$U$40,$AZ$5:$AZ$41,$BH5))),""))</f>
        <v>39150</v>
      </c>
      <c r="W6" s="70" t="str">
        <f>IF($BJ5&gt;0,IF(INDEX('Final Calculation Sheet'!$V$4:$V$40,$BJ5-3)="","",INDEX('Final Calculation Sheet'!$V$4:$V$40,$BJ5-3)),IF(OR($BI5=1,$BL5=1,$BH5&gt;0),"–",""))</f>
        <v>13.08.2026</v>
      </c>
      <c r="X6" s="70">
        <f>IF($BJ5&gt;0,IF(INDEX('Final Calculation Sheet'!$W$4:$W$40,$BJ5-3)="","",INDEX('Final Calculation Sheet'!$W$4:$W$40,$BJ5-3)),IF(OR($BI5=1,$BL5=1,$BH5&gt;0),IF($BI5=1,SUM('Final Calculation Sheet'!$W$4:$W$40),IF($BL5=1,SUM('Final Calculation Sheet'!$W$4:$W$40)-SUMIFS('Final Calculation Sheet'!$W$4:$W$40,$AZ$5:$AZ$41,10),SUMIFS('Final Calculation Sheet'!$W$4:$W$40,$AZ$5:$AZ$41,$BH5))),""))</f>
        <v>145090</v>
      </c>
      <c r="Y6" s="70">
        <f>IF($BJ5&gt;0,IF(INDEX('Final Calculation Sheet'!$X$4:$X$40,$BJ5-3)="","",INDEX('Final Calculation Sheet'!$X$4:$X$40,$BJ5-3)),IF(OR($BI5=1,$BL5=1,$BH5&gt;0),IF($BI5=1,SUM('Final Calculation Sheet'!$X$4:$X$40),IF($BL5=1,SUM('Final Calculation Sheet'!$X$4:$X$40)-SUMIFS('Final Calculation Sheet'!$X$4:$X$40,$AZ$5:$AZ$41,10),SUMIFS('Final Calculation Sheet'!$X$4:$X$40,$AZ$5:$AZ$41,$BH5))),""))</f>
        <v>145090</v>
      </c>
      <c r="Z6" s="70" t="str">
        <f>IF($BJ5&gt;0,IF(INDEX('Final Calculation Sheet'!$Y$4:$Y$40,$BJ5-3)="","",INDEX('Final Calculation Sheet'!$Y$4:$Y$40,$BJ5-3)),IF(OR($BI5=1,$BL5=1,$BH5&gt;0),"–",""))</f>
        <v>24.08.2026</v>
      </c>
      <c r="AA6" s="70">
        <f ca="1">IF($BJ5&gt;0,IF(INDEX('Final Calculation Sheet'!$Z$4:$Z$40,$BJ5-3)="","",INDEX('Final Calculation Sheet'!$Z$4:$Z$40,$BJ5-3)),IF(OR($BI5=1,$BL5=1,$BH5&gt;0),IF($BI5=1,SUM('Final Calculation Sheet'!$Z$4:$Z$40),IF($BL5=1,SUM('Final Calculation Sheet'!$Z$4:$Z$40)-SUMIFS('Final Calculation Sheet'!$Z$4:$Z$40,$AZ$5:$AZ$41,10),SUMIFS('Final Calculation Sheet'!$Z$4:$Z$40,$AZ$5:$AZ$41,$BH5))),""))</f>
        <v>0</v>
      </c>
      <c r="AB6" s="70" t="str">
        <f>IF($BJ5&gt;0,IF(INDEX('Final Calculation Sheet'!$AA$4:$AA$40,$BJ5-3)="","",INDEX('Final Calculation Sheet'!$AA$4:$AA$40,$BJ5-3)),IF(OR($BI5=1,$BL5=1,$BH5&gt;0),IF($BI5=1,SUM('Final Calculation Sheet'!$AA$4:$AA$40),IF($BL5=1,SUM('Final Calculation Sheet'!$AA$4:$AA$40)-SUMIFS('Final Calculation Sheet'!$AA$4:$AA$40,$AZ$5:$AZ$41,10),SUMIFS('Final Calculation Sheet'!$AA$4:$AA$40,$AZ$5:$AZ$41,$BH5))),""))</f>
        <v/>
      </c>
      <c r="AC6" s="70" t="str">
        <f>IF($BJ5&gt;0,IF(INDEX('Final Calculation Sheet'!$AB$4:$AB$40,$BJ5-3)="","",INDEX('Final Calculation Sheet'!$AB$4:$AB$40,$BJ5-3)),IF(OR($BI5=1,$BL5=1,$BH5&gt;0),"–",""))</f>
        <v/>
      </c>
      <c r="AD6" s="70">
        <f>IF($BJ5&gt;0,IF(INDEX('Final Calculation Sheet'!$AC$4:$AC$40,$BJ5-3)="","",INDEX('Final Calculation Sheet'!$AC$4:$AC$40,$BJ5-3)),IF(OR($BI5=1,$BL5=1,$BH5&gt;0),IF($BI5=1,SUM('Final Calculation Sheet'!$AC$4:$AC$40),IF($BL5=1,SUM('Final Calculation Sheet'!$AC$4:$AC$40)-SUMIFS('Final Calculation Sheet'!$AC$4:$AC$40,$AZ$5:$AZ$41,10),SUMIFS('Final Calculation Sheet'!$AC$4:$AC$40,$AZ$5:$AZ$41,$BH5))),""))</f>
        <v>184240</v>
      </c>
      <c r="AE6" s="70">
        <f>IF($BJ5&gt;0,IF(INDEX('Final Calculation Sheet'!$AD$4:$AD$40,$BJ5-3)="","",INDEX('Final Calculation Sheet'!$AD$4:$AD$40,$BJ5-3)),IF(OR($BI5=1,$BL5=1,$BH5&gt;0),IF($BI5=1,SUM('Final Calculation Sheet'!$AD$4:$AD$40),IF($BL5=1,SUM('Final Calculation Sheet'!$AD$4:$AD$40)-SUMIFS('Final Calculation Sheet'!$AD$4:$AD$40,$AZ$5:$AZ$41,10),SUMIFS('Final Calculation Sheet'!$AD$4:$AD$40,$AZ$5:$AZ$41,$BH5))),""))</f>
        <v>0</v>
      </c>
      <c r="AF6" s="70" t="str">
        <f>IF($BJ5&gt;0,IF(INDEX('Final Calculation Sheet'!$AE$4:$AE$40,$BJ5-3)="","",INDEX('Final Calculation Sheet'!$AE$4:$AE$40,$BJ5-3)),IF(OR($BI5=1,$BL5=1,$BH5&gt;0),"–",""))</f>
        <v>DR2640100030</v>
      </c>
      <c r="AG6" s="74">
        <f>IF($BJ5&gt;0,IF(INDEX('Final Calculation Sheet'!$AF$4:$AF$40,$BJ5-3)="","",INDEX('Final Calculation Sheet'!$AF$4:$AF$40,$BJ5-3)),IF(OR($BI5=1,$BL5=1,$BH5&gt;0),"–",""))</f>
        <v>1800003302</v>
      </c>
      <c r="AH6" s="70" t="str">
        <f>IF($BJ5&gt;0,IF(INDEX('Final Calculation Sheet'!$AG$4:$AG$40,$BJ5-3)="","",INDEX('Final Calculation Sheet'!$AG$4:$AG$40,$BJ5-3)),IF(OR($BI5=1,$BL5=1,$BH5&gt;0),"–",""))</f>
        <v>27.08.2026</v>
      </c>
      <c r="AI6" s="75" t="str">
        <f>IF($BJ5&gt;0,IF(INDEX('Final Calculation Sheet'!$AD$4:$AD$40,$BJ5-3)="","",IF(INDEX('Final Calculation Sheet'!$AD$4:$AD$40,$BJ5-3)&lt;=0,"SETTLED","OUTSTANDING")),IF(OR($BI5=1,$BL5=1,$BH5&gt;0),IF(IF($BI5=1,SUM('Final Calculation Sheet'!$AD$4:$AD$40),IF($BL5=1,SUM('Final Calculation Sheet'!$AD$4:$AD$40)-SUMIFS('Final Calculation Sheet'!$AD$4:$AD$40,$AZ$5:$AZ$41,10),SUMIFS('Final Calculation Sheet'!$AD$4:$AD$40,$AZ$5:$AZ$41,$BH5)))&lt;=0,"ALL SETTLED","OUTSTANDING"),""))</f>
        <v>SETTLED</v>
      </c>
      <c r="AK6" t="str">
        <f>IF($F$3="Lot No.",'Final Calculation Sheet'!$F$5,IF($F$3="Buyer",'Final Calculation Sheet'!$G$5,IF($F$3="Lot Name",'Final Calculation Sheet'!$B$5,IF($F$3="Bid Sheet",'Final Calculation Sheet'!$D$5,IF($F$3="Unit",'Final Calculation Sheet'!$E$5,'Final Calculation Sheet'!$F$5&amp;" "&amp;'Final Calculation Sheet'!$G$5&amp;" "&amp;'Final Calculation Sheet'!$B$5)))))</f>
        <v>1874 NATIONAL ENTERPRISES Scrap of Empty oil drum</v>
      </c>
      <c r="AM6">
        <f t="shared" si="1"/>
        <v>1</v>
      </c>
      <c r="AO6" t="s">
        <v>7</v>
      </c>
      <c r="AR6" t="str">
        <f>IF($AR$4="","",IF($AR$5=99999,TRIM($AR$4),TRIM(LEFT($AR$4,$AR$5-1))))</f>
        <v>drum</v>
      </c>
      <c r="AS6" t="str">
        <f>IF($AS$4="","",IF($AS$5=99999,TRIM($AS$4),TRIM(LEFT($AS$4,$AS$5-1))))</f>
        <v>barrel</v>
      </c>
      <c r="AT6" t="str">
        <f>IF($AT$4="","",IF($AT$5=99999,TRIM($AT$4),TRIM(LEFT($AT$4,$AT$5-1))))</f>
        <v/>
      </c>
      <c r="AU6" t="str">
        <f>IF($AU$4="","",IF($AU$5=99999,TRIM($AU$4),TRIM(LEFT($AU$4,$AU$5-1))))</f>
        <v/>
      </c>
      <c r="AV6" t="str">
        <f>IF($AV$4="","",IF($AV$5=99999,TRIM($AV$4),TRIM(LEFT($AV$4,$AV$5-1))))</f>
        <v/>
      </c>
      <c r="AW6" t="str">
        <f>IF($AW$4="","",IF($AW$5=99999,TRIM($AW$4),TRIM(LEFT($AW$4,$AW$5-1))))</f>
        <v/>
      </c>
      <c r="AX6" t="str">
        <f>IF($AX$4="","",IF($AX$5=99999,TRIM($AX$4),TRIM(LEFT($AX$4,$AX$5-1))))</f>
        <v/>
      </c>
      <c r="AY6" t="str">
        <f>IF($AY$4="","",IF($AY$5=99999,TRIM($AY$4),TRIM(LEFT($AY$4,$AY$5-1))))</f>
        <v/>
      </c>
      <c r="AZ6">
        <f t="shared" si="2"/>
        <v>1</v>
      </c>
      <c r="BA6">
        <f t="shared" si="3"/>
        <v>1</v>
      </c>
      <c r="BB6">
        <f t="shared" si="4"/>
        <v>5</v>
      </c>
      <c r="BC6">
        <v>5</v>
      </c>
      <c r="BD6">
        <f>COUNTIF($AZ$5:$AZ$41,3)</f>
        <v>0</v>
      </c>
      <c r="BE6">
        <f t="shared" si="5"/>
        <v>16</v>
      </c>
      <c r="BF6">
        <f t="shared" si="0"/>
        <v>0</v>
      </c>
      <c r="BH6">
        <f>IFERROR(MATCH(6,$BF$4:$BF$13,0),0)</f>
        <v>0</v>
      </c>
      <c r="BI6">
        <f>IF(6=$BG$5,1,0)</f>
        <v>0</v>
      </c>
      <c r="BJ6">
        <f>IF(OR($BH6&gt;0,$BI6=1,$BL6=1),0,IFERROR(INDEX($BC$5:$BC$41,MATCH(6,$BB$5:$BB$41,0)),0))</f>
        <v>13</v>
      </c>
      <c r="BK6">
        <f>IF($BJ6&gt;0,IF(INDEX($AZ$5:$AZ$41,MATCH(6,$BB$5:$BB$41,0))=10,1,0),IF($BH6=10,1,0))</f>
        <v>0</v>
      </c>
      <c r="BL6">
        <f>IF(6=$BG$4,1,0)</f>
        <v>0</v>
      </c>
      <c r="BM6">
        <f>IF($A$4="",1,--(AND(SUMPRODUCT(--($AS$60:$AZ$60&lt;&gt;""))&gt;0,IF(COUNTIF($BI$60:$BP$60,1)=0,TRUE,SUMPRODUCT(($BI$60:$BP$60=1)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$60,2)=0,TRUE,SUMPRODUCT(($BI$60:$BP$60=2)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$60,3)=0,TRUE,SUMPRODUCT(($BI$60:$BP$60=3)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$60,4)=0,TRUE,SUMPRODUCT(($BI$60:$BP$60=4)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$60,5)=0,TRUE,SUMPRODUCT(($BI$60:$BP$60=5)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$60,6)=0,TRUE,SUMPRODUCT(($BI$60:$BP$60=6)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$60,7)=0,TRUE,SUMPRODUCT(($BI$60:$BP$60=7)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$60,8)=0,TRUE,SUMPRODUCT(($BI$60:$BP$60=8)*($AS$60:$AZ$60&lt;&gt;"")*IF(((UPPER($AS$60:$AZ$60)="BLANK")+(UPPER($AS$60:$AZ$60)="(BLANK)")+(UPPER($AS$60:$AZ$60)="EMPTY")+(UPPER($AS$60:$AZ$60)="(EMPTY)"))&gt;0,IFERROR((ROW()-4)&amp;"","")="",ISNUMBER(SEARCH($AS$60:$AZ$60,IFERROR((ROW()-4)&amp;"","")))))&gt;0))))</f>
        <v>1</v>
      </c>
      <c r="BN6">
        <f>IF($B$4="",1,--(AND(SUMPRODUCT(--($AS$61:$AZ$61&lt;&gt;""))&gt;0,IF(COUNTIF($BI$61:$BP$61,1)=0,TRUE,SUMPRODUCT(($BI$61:$BP$61=1)*($AS$61:$AZ$61&lt;&gt;"")*IF(((UPPER($AS$61:$AZ$61)="BLANK")+(UPPER($AS$61:$AZ$61)="(BLANK)")+(UPPER($AS$61:$AZ$61)="EMPTY")+(UPPER($AS$61:$AZ$61)="(EMPTY)"))&gt;0,IFERROR(('Final Calculation Sheet'!$F$5)&amp;"","")="",ISNUMBER(SEARCH($AS$61:$AZ$61,IFERROR(('Final Calculation Sheet'!$F$5)&amp;"","")))))&gt;0),IF(COUNTIF($BI$61:$BP$61,2)=0,TRUE,SUMPRODUCT(($BI$61:$BP$61=2)*($AS$61:$AZ$61&lt;&gt;"")*IF(((UPPER($AS$61:$AZ$61)="BLANK")+(UPPER($AS$61:$AZ$61)="(BLANK)")+(UPPER($AS$61:$AZ$61)="EMPTY")+(UPPER($AS$61:$AZ$61)="(EMPTY)"))&gt;0,IFERROR(('Final Calculation Sheet'!$F$5)&amp;"","")="",ISNUMBER(SEARCH($AS$61:$AZ$61,IFERROR(('Final Calculation Sheet'!$F$5)&amp;"","")))))&gt;0),IF(COUNTIF($BI$61:$BP$61,3)=0,TRUE,SUMPRODUCT(($BI$61:$BP$61=3)*($AS$61:$AZ$61&lt;&gt;"")*IF(((UPPER($AS$61:$AZ$61)="BLANK")+(UPPER($AS$61:$AZ$61)="(BLANK)")+(UPPER($AS$61:$AZ$61)="EMPTY")+(UPPER($AS$61:$AZ$61)="(EMPTY)"))&gt;0,IFERROR(('Final Calculation Sheet'!$F$5)&amp;"","")="",ISNUMBER(SEARCH($AS$61:$AZ$61,IFERROR(('Final Calculation Sheet'!$F$5)&amp;"","")))))&gt;0),IF(COUNTIF($BI$61:$BP$61,4)=0,TRUE,SUMPRODUCT(($BI$61:$BP$61=4)*($AS$61:$AZ$61&lt;&gt;"")*IF(((UPPER($AS$61:$AZ$61)="BLANK")+(UPPER($AS$61:$AZ$61)="(BLANK)")+(UPPER($AS$61:$AZ$61)="EMPTY")+(UPPER($AS$61:$AZ$61)="(EMPTY)"))&gt;0,IFERROR(('Final Calculation Sheet'!$F$5)&amp;"","")="",ISNUMBER(SEARCH($AS$61:$AZ$61,IFERROR(('Final Calculation Sheet'!$F$5)&amp;"","")))))&gt;0),IF(COUNTIF($BI$61:$BP$61,5)=0,TRUE,SUMPRODUCT(($BI$61:$BP$61=5)*($AS$61:$AZ$61&lt;&gt;"")*IF(((UPPER($AS$61:$AZ$61)="BLANK")+(UPPER($AS$61:$AZ$61)="(BLANK)")+(UPPER($AS$61:$AZ$61)="EMPTY")+(UPPER($AS$61:$AZ$61)="(EMPTY)"))&gt;0,IFERROR(('Final Calculation Sheet'!$F$5)&amp;"","")="",ISNUMBER(SEARCH($AS$61:$AZ$61,IFERROR(('Final Calculation Sheet'!$F$5)&amp;"","")))))&gt;0),IF(COUNTIF($BI$61:$BP$61,6)=0,TRUE,SUMPRODUCT(($BI$61:$BP$61=6)*($AS$61:$AZ$61&lt;&gt;"")*IF(((UPPER($AS$61:$AZ$61)="BLANK")+(UPPER($AS$61:$AZ$61)="(BLANK)")+(UPPER($AS$61:$AZ$61)="EMPTY")+(UPPER($AS$61:$AZ$61)="(EMPTY)"))&gt;0,IFERROR(('Final Calculation Sheet'!$F$5)&amp;"","")="",ISNUMBER(SEARCH($AS$61:$AZ$61,IFERROR(('Final Calculation Sheet'!$F$5)&amp;"","")))))&gt;0),IF(COUNTIF($BI$61:$BP$61,7)=0,TRUE,SUMPRODUCT(($BI$61:$BP$61=7)*($AS$61:$AZ$61&lt;&gt;"")*IF(((UPPER($AS$61:$AZ$61)="BLANK")+(UPPER($AS$61:$AZ$61)="(BLANK)")+(UPPER($AS$61:$AZ$61)="EMPTY")+(UPPER($AS$61:$AZ$61)="(EMPTY)"))&gt;0,IFERROR(('Final Calculation Sheet'!$F$5)&amp;"","")="",ISNUMBER(SEARCH($AS$61:$AZ$61,IFERROR(('Final Calculation Sheet'!$F$5)&amp;"","")))))&gt;0),IF(COUNTIF($BI$61:$BP$61,8)=0,TRUE,SUMPRODUCT(($BI$61:$BP$61=8)*($AS$61:$AZ$61&lt;&gt;"")*IF(((UPPER($AS$61:$AZ$61)="BLANK")+(UPPER($AS$61:$AZ$61)="(BLANK)")+(UPPER($AS$61:$AZ$61)="EMPTY")+(UPPER($AS$61:$AZ$61)="(EMPTY)"))&gt;0,IFERROR(('Final Calculation Sheet'!$F$5)&amp;"","")="",ISNUMBER(SEARCH($AS$61:$AZ$61,IFERROR(('Final Calculation Sheet'!$F$5)&amp;"","")))))&gt;0))))</f>
        <v>1</v>
      </c>
      <c r="BO6">
        <f>IF($C$4="",1,--(AND(SUMPRODUCT(--($AS$62:$AZ$62&lt;&gt;""))&gt;0,IF(COUNTIF($BI$62:$BP$62,1)=0,TRUE,SUMPRODUCT(($BI$62:$BP$62=1)*($AS$62:$AZ$62&lt;&gt;"")*IF(((UPPER($AS$62:$AZ$62)="BLANK")+(UPPER($AS$62:$AZ$62)="(BLANK)")+(UPPER($AS$62:$AZ$62)="EMPTY")+(UPPER($AS$62:$AZ$62)="(EMPTY)"))&gt;0,IFERROR(('Final Calculation Sheet'!$G$5)&amp;"","")="",ISNUMBER(SEARCH($AS$62:$AZ$62,IFERROR(('Final Calculation Sheet'!$G$5)&amp;"","")))))&gt;0),IF(COUNTIF($BI$62:$BP$62,2)=0,TRUE,SUMPRODUCT(($BI$62:$BP$62=2)*($AS$62:$AZ$62&lt;&gt;"")*IF(((UPPER($AS$62:$AZ$62)="BLANK")+(UPPER($AS$62:$AZ$62)="(BLANK)")+(UPPER($AS$62:$AZ$62)="EMPTY")+(UPPER($AS$62:$AZ$62)="(EMPTY)"))&gt;0,IFERROR(('Final Calculation Sheet'!$G$5)&amp;"","")="",ISNUMBER(SEARCH($AS$62:$AZ$62,IFERROR(('Final Calculation Sheet'!$G$5)&amp;"","")))))&gt;0),IF(COUNTIF($BI$62:$BP$62,3)=0,TRUE,SUMPRODUCT(($BI$62:$BP$62=3)*($AS$62:$AZ$62&lt;&gt;"")*IF(((UPPER($AS$62:$AZ$62)="BLANK")+(UPPER($AS$62:$AZ$62)="(BLANK)")+(UPPER($AS$62:$AZ$62)="EMPTY")+(UPPER($AS$62:$AZ$62)="(EMPTY)"))&gt;0,IFERROR(('Final Calculation Sheet'!$G$5)&amp;"","")="",ISNUMBER(SEARCH($AS$62:$AZ$62,IFERROR(('Final Calculation Sheet'!$G$5)&amp;"","")))))&gt;0),IF(COUNTIF($BI$62:$BP$62,4)=0,TRUE,SUMPRODUCT(($BI$62:$BP$62=4)*($AS$62:$AZ$62&lt;&gt;"")*IF(((UPPER($AS$62:$AZ$62)="BLANK")+(UPPER($AS$62:$AZ$62)="(BLANK)")+(UPPER($AS$62:$AZ$62)="EMPTY")+(UPPER($AS$62:$AZ$62)="(EMPTY)"))&gt;0,IFERROR(('Final Calculation Sheet'!$G$5)&amp;"","")="",ISNUMBER(SEARCH($AS$62:$AZ$62,IFERROR(('Final Calculation Sheet'!$G$5)&amp;"","")))))&gt;0),IF(COUNTIF($BI$62:$BP$62,5)=0,TRUE,SUMPRODUCT(($BI$62:$BP$62=5)*($AS$62:$AZ$62&lt;&gt;"")*IF(((UPPER($AS$62:$AZ$62)="BLANK")+(UPPER($AS$62:$AZ$62)="(BLANK)")+(UPPER($AS$62:$AZ$62)="EMPTY")+(UPPER($AS$62:$AZ$62)="(EMPTY)"))&gt;0,IFERROR(('Final Calculation Sheet'!$G$5)&amp;"","")="",ISNUMBER(SEARCH($AS$62:$AZ$62,IFERROR(('Final Calculation Sheet'!$G$5)&amp;"","")))))&gt;0),IF(COUNTIF($BI$62:$BP$62,6)=0,TRUE,SUMPRODUCT(($BI$62:$BP$62=6)*($AS$62:$AZ$62&lt;&gt;"")*IF(((UPPER($AS$62:$AZ$62)="BLANK")+(UPPER($AS$62:$AZ$62)="(BLANK)")+(UPPER($AS$62:$AZ$62)="EMPTY")+(UPPER($AS$62:$AZ$62)="(EMPTY)"))&gt;0,IFERROR(('Final Calculation Sheet'!$G$5)&amp;"","")="",ISNUMBER(SEARCH($AS$62:$AZ$62,IFERROR(('Final Calculation Sheet'!$G$5)&amp;"","")))))&gt;0),IF(COUNTIF($BI$62:$BP$62,7)=0,TRUE,SUMPRODUCT(($BI$62:$BP$62=7)*($AS$62:$AZ$62&lt;&gt;"")*IF(((UPPER($AS$62:$AZ$62)="BLANK")+(UPPER($AS$62:$AZ$62)="(BLANK)")+(UPPER($AS$62:$AZ$62)="EMPTY")+(UPPER($AS$62:$AZ$62)="(EMPTY)"))&gt;0,IFERROR(('Final Calculation Sheet'!$G$5)&amp;"","")="",ISNUMBER(SEARCH($AS$62:$AZ$62,IFERROR(('Final Calculation Sheet'!$G$5)&amp;"","")))))&gt;0),IF(COUNTIF($BI$62:$BP$62,8)=0,TRUE,SUMPRODUCT(($BI$62:$BP$62=8)*($AS$62:$AZ$62&lt;&gt;"")*IF(((UPPER($AS$62:$AZ$62)="BLANK")+(UPPER($AS$62:$AZ$62)="(BLANK)")+(UPPER($AS$62:$AZ$62)="EMPTY")+(UPPER($AS$62:$AZ$62)="(EMPTY)"))&gt;0,IFERROR(('Final Calculation Sheet'!$G$5)&amp;"","")="",ISNUMBER(SEARCH($AS$62:$AZ$62,IFERROR(('Final Calculation Sheet'!$G$5)&amp;"","")))))&gt;0))))</f>
        <v>1</v>
      </c>
      <c r="BP6">
        <f>IF($D$4="",1,--(AND(SUMPRODUCT(--($AS$63:$AZ$63&lt;&gt;""))&gt;0,IF(COUNTIF($BI$63:$BP$63,1)=0,TRUE,SUMPRODUCT(($BI$63:$BP$63=1)*($AS$63:$AZ$63&lt;&gt;"")*IF(((UPPER($AS$63:$AZ$63)="BLANK")+(UPPER($AS$63:$AZ$63)="(BLANK)")+(UPPER($AS$63:$AZ$63)="EMPTY")+(UPPER($AS$63:$AZ$63)="(EMPTY)"))&gt;0,IFERROR(('Final Calculation Sheet'!$B$5)&amp;"","")="",ISNUMBER(SEARCH($AS$63:$AZ$63,IFERROR(('Final Calculation Sheet'!$B$5)&amp;"","")))))&gt;0),IF(COUNTIF($BI$63:$BP$63,2)=0,TRUE,SUMPRODUCT(($BI$63:$BP$63=2)*($AS$63:$AZ$63&lt;&gt;"")*IF(((UPPER($AS$63:$AZ$63)="BLANK")+(UPPER($AS$63:$AZ$63)="(BLANK)")+(UPPER($AS$63:$AZ$63)="EMPTY")+(UPPER($AS$63:$AZ$63)="(EMPTY)"))&gt;0,IFERROR(('Final Calculation Sheet'!$B$5)&amp;"","")="",ISNUMBER(SEARCH($AS$63:$AZ$63,IFERROR(('Final Calculation Sheet'!$B$5)&amp;"","")))))&gt;0),IF(COUNTIF($BI$63:$BP$63,3)=0,TRUE,SUMPRODUCT(($BI$63:$BP$63=3)*($AS$63:$AZ$63&lt;&gt;"")*IF(((UPPER($AS$63:$AZ$63)="BLANK")+(UPPER($AS$63:$AZ$63)="(BLANK)")+(UPPER($AS$63:$AZ$63)="EMPTY")+(UPPER($AS$63:$AZ$63)="(EMPTY)"))&gt;0,IFERROR(('Final Calculation Sheet'!$B$5)&amp;"","")="",ISNUMBER(SEARCH($AS$63:$AZ$63,IFERROR(('Final Calculation Sheet'!$B$5)&amp;"","")))))&gt;0),IF(COUNTIF($BI$63:$BP$63,4)=0,TRUE,SUMPRODUCT(($BI$63:$BP$63=4)*($AS$63:$AZ$63&lt;&gt;"")*IF(((UPPER($AS$63:$AZ$63)="BLANK")+(UPPER($AS$63:$AZ$63)="(BLANK)")+(UPPER($AS$63:$AZ$63)="EMPTY")+(UPPER($AS$63:$AZ$63)="(EMPTY)"))&gt;0,IFERROR(('Final Calculation Sheet'!$B$5)&amp;"","")="",ISNUMBER(SEARCH($AS$63:$AZ$63,IFERROR(('Final Calculation Sheet'!$B$5)&amp;"","")))))&gt;0),IF(COUNTIF($BI$63:$BP$63,5)=0,TRUE,SUMPRODUCT(($BI$63:$BP$63=5)*($AS$63:$AZ$63&lt;&gt;"")*IF(((UPPER($AS$63:$AZ$63)="BLANK")+(UPPER($AS$63:$AZ$63)="(BLANK)")+(UPPER($AS$63:$AZ$63)="EMPTY")+(UPPER($AS$63:$AZ$63)="(EMPTY)"))&gt;0,IFERROR(('Final Calculation Sheet'!$B$5)&amp;"","")="",ISNUMBER(SEARCH($AS$63:$AZ$63,IFERROR(('Final Calculation Sheet'!$B$5)&amp;"","")))))&gt;0),IF(COUNTIF($BI$63:$BP$63,6)=0,TRUE,SUMPRODUCT(($BI$63:$BP$63=6)*($AS$63:$AZ$63&lt;&gt;"")*IF(((UPPER($AS$63:$AZ$63)="BLANK")+(UPPER($AS$63:$AZ$63)="(BLANK)")+(UPPER($AS$63:$AZ$63)="EMPTY")+(UPPER($AS$63:$AZ$63)="(EMPTY)"))&gt;0,IFERROR(('Final Calculation Sheet'!$B$5)&amp;"","")="",ISNUMBER(SEARCH($AS$63:$AZ$63,IFERROR(('Final Calculation Sheet'!$B$5)&amp;"","")))))&gt;0),IF(COUNTIF($BI$63:$BP$63,7)=0,TRUE,SUMPRODUCT(($BI$63:$BP$63=7)*($AS$63:$AZ$63&lt;&gt;"")*IF(((UPPER($AS$63:$AZ$63)="BLANK")+(UPPER($AS$63:$AZ$63)="(BLANK)")+(UPPER($AS$63:$AZ$63)="EMPTY")+(UPPER($AS$63:$AZ$63)="(EMPTY)"))&gt;0,IFERROR(('Final Calculation Sheet'!$B$5)&amp;"","")="",ISNUMBER(SEARCH($AS$63:$AZ$63,IFERROR(('Final Calculation Sheet'!$B$5)&amp;"","")))))&gt;0),IF(COUNTIF($BI$63:$BP$63,8)=0,TRUE,SUMPRODUCT(($BI$63:$BP$63=8)*($AS$63:$AZ$63&lt;&gt;"")*IF(((UPPER($AS$63:$AZ$63)="BLANK")+(UPPER($AS$63:$AZ$63)="(BLANK)")+(UPPER($AS$63:$AZ$63)="EMPTY")+(UPPER($AS$63:$AZ$63)="(EMPTY)"))&gt;0,IFERROR(('Final Calculation Sheet'!$B$5)&amp;"","")="",ISNUMBER(SEARCH($AS$63:$AZ$63,IFERROR(('Final Calculation Sheet'!$B$5)&amp;"","")))))&gt;0))))</f>
        <v>1</v>
      </c>
      <c r="BQ6">
        <f>IF($E$4="",1,--(AND(SUMPRODUCT(--($AS$64:$AZ$64&lt;&gt;""))&gt;0,IF(COUNTIF($BI$64:$BP$64,1)=0,TRUE,SUMPRODUCT(($BI$64:$BP$64=1)*($AS$64:$AZ$64&lt;&gt;"")*IF(((UPPER($AS$64:$AZ$64)="BLANK")+(UPPER($AS$64:$AZ$64)="(BLANK)")+(UPPER($AS$64:$AZ$64)="EMPTY")+(UPPER($AS$64:$AZ$64)="(EMPTY)"))&gt;0,IFERROR(('Final Calculation Sheet'!$D$5)&amp;"","")="",ISNUMBER(SEARCH($AS$64:$AZ$64,IFERROR(('Final Calculation Sheet'!$D$5)&amp;"","")))))&gt;0),IF(COUNTIF($BI$64:$BP$64,2)=0,TRUE,SUMPRODUCT(($BI$64:$BP$64=2)*($AS$64:$AZ$64&lt;&gt;"")*IF(((UPPER($AS$64:$AZ$64)="BLANK")+(UPPER($AS$64:$AZ$64)="(BLANK)")+(UPPER($AS$64:$AZ$64)="EMPTY")+(UPPER($AS$64:$AZ$64)="(EMPTY)"))&gt;0,IFERROR(('Final Calculation Sheet'!$D$5)&amp;"","")="",ISNUMBER(SEARCH($AS$64:$AZ$64,IFERROR(('Final Calculation Sheet'!$D$5)&amp;"","")))))&gt;0),IF(COUNTIF($BI$64:$BP$64,3)=0,TRUE,SUMPRODUCT(($BI$64:$BP$64=3)*($AS$64:$AZ$64&lt;&gt;"")*IF(((UPPER($AS$64:$AZ$64)="BLANK")+(UPPER($AS$64:$AZ$64)="(BLANK)")+(UPPER($AS$64:$AZ$64)="EMPTY")+(UPPER($AS$64:$AZ$64)="(EMPTY)"))&gt;0,IFERROR(('Final Calculation Sheet'!$D$5)&amp;"","")="",ISNUMBER(SEARCH($AS$64:$AZ$64,IFERROR(('Final Calculation Sheet'!$D$5)&amp;"","")))))&gt;0),IF(COUNTIF($BI$64:$BP$64,4)=0,TRUE,SUMPRODUCT(($BI$64:$BP$64=4)*($AS$64:$AZ$64&lt;&gt;"")*IF(((UPPER($AS$64:$AZ$64)="BLANK")+(UPPER($AS$64:$AZ$64)="(BLANK)")+(UPPER($AS$64:$AZ$64)="EMPTY")+(UPPER($AS$64:$AZ$64)="(EMPTY)"))&gt;0,IFERROR(('Final Calculation Sheet'!$D$5)&amp;"","")="",ISNUMBER(SEARCH($AS$64:$AZ$64,IFERROR(('Final Calculation Sheet'!$D$5)&amp;"","")))))&gt;0),IF(COUNTIF($BI$64:$BP$64,5)=0,TRUE,SUMPRODUCT(($BI$64:$BP$64=5)*($AS$64:$AZ$64&lt;&gt;"")*IF(((UPPER($AS$64:$AZ$64)="BLANK")+(UPPER($AS$64:$AZ$64)="(BLANK)")+(UPPER($AS$64:$AZ$64)="EMPTY")+(UPPER($AS$64:$AZ$64)="(EMPTY)"))&gt;0,IFERROR(('Final Calculation Sheet'!$D$5)&amp;"","")="",ISNUMBER(SEARCH($AS$64:$AZ$64,IFERROR(('Final Calculation Sheet'!$D$5)&amp;"","")))))&gt;0),IF(COUNTIF($BI$64:$BP$64,6)=0,TRUE,SUMPRODUCT(($BI$64:$BP$64=6)*($AS$64:$AZ$64&lt;&gt;"")*IF(((UPPER($AS$64:$AZ$64)="BLANK")+(UPPER($AS$64:$AZ$64)="(BLANK)")+(UPPER($AS$64:$AZ$64)="EMPTY")+(UPPER($AS$64:$AZ$64)="(EMPTY)"))&gt;0,IFERROR(('Final Calculation Sheet'!$D$5)&amp;"","")="",ISNUMBER(SEARCH($AS$64:$AZ$64,IFERROR(('Final Calculation Sheet'!$D$5)&amp;"","")))))&gt;0),IF(COUNTIF($BI$64:$BP$64,7)=0,TRUE,SUMPRODUCT(($BI$64:$BP$64=7)*($AS$64:$AZ$64&lt;&gt;"")*IF(((UPPER($AS$64:$AZ$64)="BLANK")+(UPPER($AS$64:$AZ$64)="(BLANK)")+(UPPER($AS$64:$AZ$64)="EMPTY")+(UPPER($AS$64:$AZ$64)="(EMPTY)"))&gt;0,IFERROR(('Final Calculation Sheet'!$D$5)&amp;"","")="",ISNUMBER(SEARCH($AS$64:$AZ$64,IFERROR(('Final Calculation Sheet'!$D$5)&amp;"","")))))&gt;0),IF(COUNTIF($BI$64:$BP$64,8)=0,TRUE,SUMPRODUCT(($BI$64:$BP$64=8)*($AS$64:$AZ$64&lt;&gt;"")*IF(((UPPER($AS$64:$AZ$64)="BLANK")+(UPPER($AS$64:$AZ$64)="(BLANK)")+(UPPER($AS$64:$AZ$64)="EMPTY")+(UPPER($AS$64:$AZ$64)="(EMPTY)"))&gt;0,IFERROR(('Final Calculation Sheet'!$D$5)&amp;"","")="",ISNUMBER(SEARCH($AS$64:$AZ$64,IFERROR(('Final Calculation Sheet'!$D$5)&amp;"","")))))&gt;0))))</f>
        <v>1</v>
      </c>
      <c r="BR6">
        <f>IF($F$4="",1,--(AND(SUMPRODUCT(--($AS$65:$AZ$65&lt;&gt;""))&gt;0,IF(COUNTIF($BI$65:$BP$65,1)=0,TRUE,SUMPRODUCT(($BI$65:$BP$65=1)*($AS$65:$AZ$65&lt;&gt;"")*IF(((UPPER($AS$65:$AZ$65)="BLANK")+(UPPER($AS$65:$AZ$65)="(BLANK)")+(UPPER($AS$65:$AZ$65)="EMPTY")+(UPPER($AS$65:$AZ$65)="(EMPTY)"))&gt;0,IFERROR(('Final Calculation Sheet'!$A$5)&amp;"","")="",ISNUMBER(SEARCH($AS$65:$AZ$65,IFERROR(('Final Calculation Sheet'!$A$5)&amp;"","")))))&gt;0),IF(COUNTIF($BI$65:$BP$65,2)=0,TRUE,SUMPRODUCT(($BI$65:$BP$65=2)*($AS$65:$AZ$65&lt;&gt;"")*IF(((UPPER($AS$65:$AZ$65)="BLANK")+(UPPER($AS$65:$AZ$65)="(BLANK)")+(UPPER($AS$65:$AZ$65)="EMPTY")+(UPPER($AS$65:$AZ$65)="(EMPTY)"))&gt;0,IFERROR(('Final Calculation Sheet'!$A$5)&amp;"","")="",ISNUMBER(SEARCH($AS$65:$AZ$65,IFERROR(('Final Calculation Sheet'!$A$5)&amp;"","")))))&gt;0),IF(COUNTIF($BI$65:$BP$65,3)=0,TRUE,SUMPRODUCT(($BI$65:$BP$65=3)*($AS$65:$AZ$65&lt;&gt;"")*IF(((UPPER($AS$65:$AZ$65)="BLANK")+(UPPER($AS$65:$AZ$65)="(BLANK)")+(UPPER($AS$65:$AZ$65)="EMPTY")+(UPPER($AS$65:$AZ$65)="(EMPTY)"))&gt;0,IFERROR(('Final Calculation Sheet'!$A$5)&amp;"","")="",ISNUMBER(SEARCH($AS$65:$AZ$65,IFERROR(('Final Calculation Sheet'!$A$5)&amp;"","")))))&gt;0),IF(COUNTIF($BI$65:$BP$65,4)=0,TRUE,SUMPRODUCT(($BI$65:$BP$65=4)*($AS$65:$AZ$65&lt;&gt;"")*IF(((UPPER($AS$65:$AZ$65)="BLANK")+(UPPER($AS$65:$AZ$65)="(BLANK)")+(UPPER($AS$65:$AZ$65)="EMPTY")+(UPPER($AS$65:$AZ$65)="(EMPTY)"))&gt;0,IFERROR(('Final Calculation Sheet'!$A$5)&amp;"","")="",ISNUMBER(SEARCH($AS$65:$AZ$65,IFERROR(('Final Calculation Sheet'!$A$5)&amp;"","")))))&gt;0),IF(COUNTIF($BI$65:$BP$65,5)=0,TRUE,SUMPRODUCT(($BI$65:$BP$65=5)*($AS$65:$AZ$65&lt;&gt;"")*IF(((UPPER($AS$65:$AZ$65)="BLANK")+(UPPER($AS$65:$AZ$65)="(BLANK)")+(UPPER($AS$65:$AZ$65)="EMPTY")+(UPPER($AS$65:$AZ$65)="(EMPTY)"))&gt;0,IFERROR(('Final Calculation Sheet'!$A$5)&amp;"","")="",ISNUMBER(SEARCH($AS$65:$AZ$65,IFERROR(('Final Calculation Sheet'!$A$5)&amp;"","")))))&gt;0),IF(COUNTIF($BI$65:$BP$65,6)=0,TRUE,SUMPRODUCT(($BI$65:$BP$65=6)*($AS$65:$AZ$65&lt;&gt;"")*IF(((UPPER($AS$65:$AZ$65)="BLANK")+(UPPER($AS$65:$AZ$65)="(BLANK)")+(UPPER($AS$65:$AZ$65)="EMPTY")+(UPPER($AS$65:$AZ$65)="(EMPTY)"))&gt;0,IFERROR(('Final Calculation Sheet'!$A$5)&amp;"","")="",ISNUMBER(SEARCH($AS$65:$AZ$65,IFERROR(('Final Calculation Sheet'!$A$5)&amp;"","")))))&gt;0),IF(COUNTIF($BI$65:$BP$65,7)=0,TRUE,SUMPRODUCT(($BI$65:$BP$65=7)*($AS$65:$AZ$65&lt;&gt;"")*IF(((UPPER($AS$65:$AZ$65)="BLANK")+(UPPER($AS$65:$AZ$65)="(BLANK)")+(UPPER($AS$65:$AZ$65)="EMPTY")+(UPPER($AS$65:$AZ$65)="(EMPTY)"))&gt;0,IFERROR(('Final Calculation Sheet'!$A$5)&amp;"","")="",ISNUMBER(SEARCH($AS$65:$AZ$65,IFERROR(('Final Calculation Sheet'!$A$5)&amp;"","")))))&gt;0),IF(COUNTIF($BI$65:$BP$65,8)=0,TRUE,SUMPRODUCT(($BI$65:$BP$65=8)*($AS$65:$AZ$65&lt;&gt;"")*IF(((UPPER($AS$65:$AZ$65)="BLANK")+(UPPER($AS$65:$AZ$65)="(BLANK)")+(UPPER($AS$65:$AZ$65)="EMPTY")+(UPPER($AS$65:$AZ$65)="(EMPTY)"))&gt;0,IFERROR(('Final Calculation Sheet'!$A$5)&amp;"","")="",ISNUMBER(SEARCH($AS$65:$AZ$65,IFERROR(('Final Calculation Sheet'!$A$5)&amp;"","")))))&gt;0))))</f>
        <v>1</v>
      </c>
      <c r="BS6">
        <f>IF($G$4="",1,--(AND(SUMPRODUCT(--($AS$66:$AZ$66&lt;&gt;""))&gt;0,IF(COUNTIF($BI$66:$BP$66,1)=0,TRUE,SUMPRODUCT(($BI$66:$BP$66=1)*($AS$66:$AZ$66&lt;&gt;"")*IF(((UPPER($AS$66:$AZ$66)="BLANK")+(UPPER($AS$66:$AZ$66)="(BLANK)")+(UPPER($AS$66:$AZ$66)="EMPTY")+(UPPER($AS$66:$AZ$66)="(EMPTY)"))&gt;0,IFERROR(('Final Calculation Sheet'!$E$5)&amp;"","")="",ISNUMBER(SEARCH($AS$66:$AZ$66,IFERROR(('Final Calculation Sheet'!$E$5)&amp;"","")))))&gt;0),IF(COUNTIF($BI$66:$BP$66,2)=0,TRUE,SUMPRODUCT(($BI$66:$BP$66=2)*($AS$66:$AZ$66&lt;&gt;"")*IF(((UPPER($AS$66:$AZ$66)="BLANK")+(UPPER($AS$66:$AZ$66)="(BLANK)")+(UPPER($AS$66:$AZ$66)="EMPTY")+(UPPER($AS$66:$AZ$66)="(EMPTY)"))&gt;0,IFERROR(('Final Calculation Sheet'!$E$5)&amp;"","")="",ISNUMBER(SEARCH($AS$66:$AZ$66,IFERROR(('Final Calculation Sheet'!$E$5)&amp;"","")))))&gt;0),IF(COUNTIF($BI$66:$BP$66,3)=0,TRUE,SUMPRODUCT(($BI$66:$BP$66=3)*($AS$66:$AZ$66&lt;&gt;"")*IF(((UPPER($AS$66:$AZ$66)="BLANK")+(UPPER($AS$66:$AZ$66)="(BLANK)")+(UPPER($AS$66:$AZ$66)="EMPTY")+(UPPER($AS$66:$AZ$66)="(EMPTY)"))&gt;0,IFERROR(('Final Calculation Sheet'!$E$5)&amp;"","")="",ISNUMBER(SEARCH($AS$66:$AZ$66,IFERROR(('Final Calculation Sheet'!$E$5)&amp;"","")))))&gt;0),IF(COUNTIF($BI$66:$BP$66,4)=0,TRUE,SUMPRODUCT(($BI$66:$BP$66=4)*($AS$66:$AZ$66&lt;&gt;"")*IF(((UPPER($AS$66:$AZ$66)="BLANK")+(UPPER($AS$66:$AZ$66)="(BLANK)")+(UPPER($AS$66:$AZ$66)="EMPTY")+(UPPER($AS$66:$AZ$66)="(EMPTY)"))&gt;0,IFERROR(('Final Calculation Sheet'!$E$5)&amp;"","")="",ISNUMBER(SEARCH($AS$66:$AZ$66,IFERROR(('Final Calculation Sheet'!$E$5)&amp;"","")))))&gt;0),IF(COUNTIF($BI$66:$BP$66,5)=0,TRUE,SUMPRODUCT(($BI$66:$BP$66=5)*($AS$66:$AZ$66&lt;&gt;"")*IF(((UPPER($AS$66:$AZ$66)="BLANK")+(UPPER($AS$66:$AZ$66)="(BLANK)")+(UPPER($AS$66:$AZ$66)="EMPTY")+(UPPER($AS$66:$AZ$66)="(EMPTY)"))&gt;0,IFERROR(('Final Calculation Sheet'!$E$5)&amp;"","")="",ISNUMBER(SEARCH($AS$66:$AZ$66,IFERROR(('Final Calculation Sheet'!$E$5)&amp;"","")))))&gt;0),IF(COUNTIF($BI$66:$BP$66,6)=0,TRUE,SUMPRODUCT(($BI$66:$BP$66=6)*($AS$66:$AZ$66&lt;&gt;"")*IF(((UPPER($AS$66:$AZ$66)="BLANK")+(UPPER($AS$66:$AZ$66)="(BLANK)")+(UPPER($AS$66:$AZ$66)="EMPTY")+(UPPER($AS$66:$AZ$66)="(EMPTY)"))&gt;0,IFERROR(('Final Calculation Sheet'!$E$5)&amp;"","")="",ISNUMBER(SEARCH($AS$66:$AZ$66,IFERROR(('Final Calculation Sheet'!$E$5)&amp;"","")))))&gt;0),IF(COUNTIF($BI$66:$BP$66,7)=0,TRUE,SUMPRODUCT(($BI$66:$BP$66=7)*($AS$66:$AZ$66&lt;&gt;"")*IF(((UPPER($AS$66:$AZ$66)="BLANK")+(UPPER($AS$66:$AZ$66)="(BLANK)")+(UPPER($AS$66:$AZ$66)="EMPTY")+(UPPER($AS$66:$AZ$66)="(EMPTY)"))&gt;0,IFERROR(('Final Calculation Sheet'!$E$5)&amp;"","")="",ISNUMBER(SEARCH($AS$66:$AZ$66,IFERROR(('Final Calculation Sheet'!$E$5)&amp;"","")))))&gt;0),IF(COUNTIF($BI$66:$BP$66,8)=0,TRUE,SUMPRODUCT(($BI$66:$BP$66=8)*($AS$66:$AZ$66&lt;&gt;"")*IF(((UPPER($AS$66:$AZ$66)="BLANK")+(UPPER($AS$66:$AZ$66)="(BLANK)")+(UPPER($AS$66:$AZ$66)="EMPTY")+(UPPER($AS$66:$AZ$66)="(EMPTY)"))&gt;0,IFERROR(('Final Calculation Sheet'!$E$5)&amp;"","")="",ISNUMBER(SEARCH($AS$66:$AZ$66,IFERROR(('Final Calculation Sheet'!$E$5)&amp;"","")))))&gt;0))))</f>
        <v>1</v>
      </c>
      <c r="BT6">
        <f>IF($H$4="",1,--(AND(SUMPRODUCT(--($AS$67:$AZ$67&lt;&gt;""))&gt;0,IF(COUNTIF($BI$67:$BP$67,1)=0,TRUE,SUMPRODUCT(($BI$67:$BP$67=1)*($AS$67:$AZ$67&lt;&gt;"")*IF(((UPPER($AS$67:$AZ$67)="BLANK")+(UPPER($AS$67:$AZ$67)="(BLANK)")+(UPPER($AS$67:$AZ$67)="EMPTY")+(UPPER($AS$67:$AZ$67)="(EMPTY)"))&gt;0,IFERROR(('Final Calculation Sheet'!$C$5)&amp;"","")="",ISNUMBER(SEARCH($AS$67:$AZ$67,IFERROR(('Final Calculation Sheet'!$C$5)&amp;"","")))))&gt;0),IF(COUNTIF($BI$67:$BP$67,2)=0,TRUE,SUMPRODUCT(($BI$67:$BP$67=2)*($AS$67:$AZ$67&lt;&gt;"")*IF(((UPPER($AS$67:$AZ$67)="BLANK")+(UPPER($AS$67:$AZ$67)="(BLANK)")+(UPPER($AS$67:$AZ$67)="EMPTY")+(UPPER($AS$67:$AZ$67)="(EMPTY)"))&gt;0,IFERROR(('Final Calculation Sheet'!$C$5)&amp;"","")="",ISNUMBER(SEARCH($AS$67:$AZ$67,IFERROR(('Final Calculation Sheet'!$C$5)&amp;"","")))))&gt;0),IF(COUNTIF($BI$67:$BP$67,3)=0,TRUE,SUMPRODUCT(($BI$67:$BP$67=3)*($AS$67:$AZ$67&lt;&gt;"")*IF(((UPPER($AS$67:$AZ$67)="BLANK")+(UPPER($AS$67:$AZ$67)="(BLANK)")+(UPPER($AS$67:$AZ$67)="EMPTY")+(UPPER($AS$67:$AZ$67)="(EMPTY)"))&gt;0,IFERROR(('Final Calculation Sheet'!$C$5)&amp;"","")="",ISNUMBER(SEARCH($AS$67:$AZ$67,IFERROR(('Final Calculation Sheet'!$C$5)&amp;"","")))))&gt;0),IF(COUNTIF($BI$67:$BP$67,4)=0,TRUE,SUMPRODUCT(($BI$67:$BP$67=4)*($AS$67:$AZ$67&lt;&gt;"")*IF(((UPPER($AS$67:$AZ$67)="BLANK")+(UPPER($AS$67:$AZ$67)="(BLANK)")+(UPPER($AS$67:$AZ$67)="EMPTY")+(UPPER($AS$67:$AZ$67)="(EMPTY)"))&gt;0,IFERROR(('Final Calculation Sheet'!$C$5)&amp;"","")="",ISNUMBER(SEARCH($AS$67:$AZ$67,IFERROR(('Final Calculation Sheet'!$C$5)&amp;"","")))))&gt;0),IF(COUNTIF($BI$67:$BP$67,5)=0,TRUE,SUMPRODUCT(($BI$67:$BP$67=5)*($AS$67:$AZ$67&lt;&gt;"")*IF(((UPPER($AS$67:$AZ$67)="BLANK")+(UPPER($AS$67:$AZ$67)="(BLANK)")+(UPPER($AS$67:$AZ$67)="EMPTY")+(UPPER($AS$67:$AZ$67)="(EMPTY)"))&gt;0,IFERROR(('Final Calculation Sheet'!$C$5)&amp;"","")="",ISNUMBER(SEARCH($AS$67:$AZ$67,IFERROR(('Final Calculation Sheet'!$C$5)&amp;"","")))))&gt;0),IF(COUNTIF($BI$67:$BP$67,6)=0,TRUE,SUMPRODUCT(($BI$67:$BP$67=6)*($AS$67:$AZ$67&lt;&gt;"")*IF(((UPPER($AS$67:$AZ$67)="BLANK")+(UPPER($AS$67:$AZ$67)="(BLANK)")+(UPPER($AS$67:$AZ$67)="EMPTY")+(UPPER($AS$67:$AZ$67)="(EMPTY)"))&gt;0,IFERROR(('Final Calculation Sheet'!$C$5)&amp;"","")="",ISNUMBER(SEARCH($AS$67:$AZ$67,IFERROR(('Final Calculation Sheet'!$C$5)&amp;"","")))))&gt;0),IF(COUNTIF($BI$67:$BP$67,7)=0,TRUE,SUMPRODUCT(($BI$67:$BP$67=7)*($AS$67:$AZ$67&lt;&gt;"")*IF(((UPPER($AS$67:$AZ$67)="BLANK")+(UPPER($AS$67:$AZ$67)="(BLANK)")+(UPPER($AS$67:$AZ$67)="EMPTY")+(UPPER($AS$67:$AZ$67)="(EMPTY)"))&gt;0,IFERROR(('Final Calculation Sheet'!$C$5)&amp;"","")="",ISNUMBER(SEARCH($AS$67:$AZ$67,IFERROR(('Final Calculation Sheet'!$C$5)&amp;"","")))))&gt;0),IF(COUNTIF($BI$67:$BP$67,8)=0,TRUE,SUMPRODUCT(($BI$67:$BP$67=8)*($AS$67:$AZ$67&lt;&gt;"")*IF(((UPPER($AS$67:$AZ$67)="BLANK")+(UPPER($AS$67:$AZ$67)="(BLANK)")+(UPPER($AS$67:$AZ$67)="EMPTY")+(UPPER($AS$67:$AZ$67)="(EMPTY)"))&gt;0,IFERROR(('Final Calculation Sheet'!$C$5)&amp;"","")="",ISNUMBER(SEARCH($AS$67:$AZ$67,IFERROR(('Final Calculation Sheet'!$C$5)&amp;"","")))))&gt;0))))</f>
        <v>1</v>
      </c>
      <c r="BU6">
        <f>IF($I$4="",1,--(AND(SUMPRODUCT(--($AS$68:$AZ$68&lt;&gt;""))&gt;0,IF(COUNTIF($BI$68:$BP$68,1)=0,TRUE,SUMPRODUCT(($BI$68:$BP$68=1)*($AS$68:$AZ$68&lt;&gt;"")*IF(((UPPER($AS$68:$AZ$68)="BLANK")+(UPPER($AS$68:$AZ$68)="(BLANK)")+(UPPER($AS$68:$AZ$68)="EMPTY")+(UPPER($AS$68:$AZ$68)="(EMPTY)"))&gt;0,IFERROR(('Final Calculation Sheet'!$H$5)&amp;"","")="",ISNUMBER(SEARCH($AS$68:$AZ$68,IFERROR(('Final Calculation Sheet'!$H$5)&amp;"","")))))&gt;0),IF(COUNTIF($BI$68:$BP$68,2)=0,TRUE,SUMPRODUCT(($BI$68:$BP$68=2)*($AS$68:$AZ$68&lt;&gt;"")*IF(((UPPER($AS$68:$AZ$68)="BLANK")+(UPPER($AS$68:$AZ$68)="(BLANK)")+(UPPER($AS$68:$AZ$68)="EMPTY")+(UPPER($AS$68:$AZ$68)="(EMPTY)"))&gt;0,IFERROR(('Final Calculation Sheet'!$H$5)&amp;"","")="",ISNUMBER(SEARCH($AS$68:$AZ$68,IFERROR(('Final Calculation Sheet'!$H$5)&amp;"","")))))&gt;0),IF(COUNTIF($BI$68:$BP$68,3)=0,TRUE,SUMPRODUCT(($BI$68:$BP$68=3)*($AS$68:$AZ$68&lt;&gt;"")*IF(((UPPER($AS$68:$AZ$68)="BLANK")+(UPPER($AS$68:$AZ$68)="(BLANK)")+(UPPER($AS$68:$AZ$68)="EMPTY")+(UPPER($AS$68:$AZ$68)="(EMPTY)"))&gt;0,IFERROR(('Final Calculation Sheet'!$H$5)&amp;"","")="",ISNUMBER(SEARCH($AS$68:$AZ$68,IFERROR(('Final Calculation Sheet'!$H$5)&amp;"","")))))&gt;0),IF(COUNTIF($BI$68:$BP$68,4)=0,TRUE,SUMPRODUCT(($BI$68:$BP$68=4)*($AS$68:$AZ$68&lt;&gt;"")*IF(((UPPER($AS$68:$AZ$68)="BLANK")+(UPPER($AS$68:$AZ$68)="(BLANK)")+(UPPER($AS$68:$AZ$68)="EMPTY")+(UPPER($AS$68:$AZ$68)="(EMPTY)"))&gt;0,IFERROR(('Final Calculation Sheet'!$H$5)&amp;"","")="",ISNUMBER(SEARCH($AS$68:$AZ$68,IFERROR(('Final Calculation Sheet'!$H$5)&amp;"","")))))&gt;0),IF(COUNTIF($BI$68:$BP$68,5)=0,TRUE,SUMPRODUCT(($BI$68:$BP$68=5)*($AS$68:$AZ$68&lt;&gt;"")*IF(((UPPER($AS$68:$AZ$68)="BLANK")+(UPPER($AS$68:$AZ$68)="(BLANK)")+(UPPER($AS$68:$AZ$68)="EMPTY")+(UPPER($AS$68:$AZ$68)="(EMPTY)"))&gt;0,IFERROR(('Final Calculation Sheet'!$H$5)&amp;"","")="",ISNUMBER(SEARCH($AS$68:$AZ$68,IFERROR(('Final Calculation Sheet'!$H$5)&amp;"","")))))&gt;0),IF(COUNTIF($BI$68:$BP$68,6)=0,TRUE,SUMPRODUCT(($BI$68:$BP$68=6)*($AS$68:$AZ$68&lt;&gt;"")*IF(((UPPER($AS$68:$AZ$68)="BLANK")+(UPPER($AS$68:$AZ$68)="(BLANK)")+(UPPER($AS$68:$AZ$68)="EMPTY")+(UPPER($AS$68:$AZ$68)="(EMPTY)"))&gt;0,IFERROR(('Final Calculation Sheet'!$H$5)&amp;"","")="",ISNUMBER(SEARCH($AS$68:$AZ$68,IFERROR(('Final Calculation Sheet'!$H$5)&amp;"","")))))&gt;0),IF(COUNTIF($BI$68:$BP$68,7)=0,TRUE,SUMPRODUCT(($BI$68:$BP$68=7)*($AS$68:$AZ$68&lt;&gt;"")*IF(((UPPER($AS$68:$AZ$68)="BLANK")+(UPPER($AS$68:$AZ$68)="(BLANK)")+(UPPER($AS$68:$AZ$68)="EMPTY")+(UPPER($AS$68:$AZ$68)="(EMPTY)"))&gt;0,IFERROR(('Final Calculation Sheet'!$H$5)&amp;"","")="",ISNUMBER(SEARCH($AS$68:$AZ$68,IFERROR(('Final Calculation Sheet'!$H$5)&amp;"","")))))&gt;0),IF(COUNTIF($BI$68:$BP$68,8)=0,TRUE,SUMPRODUCT(($BI$68:$BP$68=8)*($AS$68:$AZ$68&lt;&gt;"")*IF(((UPPER($AS$68:$AZ$68)="BLANK")+(UPPER($AS$68:$AZ$68)="(BLANK)")+(UPPER($AS$68:$AZ$68)="EMPTY")+(UPPER($AS$68:$AZ$68)="(EMPTY)"))&gt;0,IFERROR(('Final Calculation Sheet'!$H$5)&amp;"","")="",ISNUMBER(SEARCH($AS$68:$AZ$68,IFERROR(('Final Calculation Sheet'!$H$5)&amp;"","")))))&gt;0))))</f>
        <v>1</v>
      </c>
      <c r="BV6">
        <f>IF($J$4="",1,--(AND(SUMPRODUCT(--($AS$69:$AZ$69&lt;&gt;""))&gt;0,IF(COUNTIF($BI$69:$BP$69,1)=0,TRUE,SUMPRODUCT(($BI$69:$BP$69=1)*($AS$69:$AZ$69&lt;&gt;"")*IF(((UPPER($AS$69:$AZ$69)="BLANK")+(UPPER($AS$69:$AZ$69)="(BLANK)")+(UPPER($AS$69:$AZ$69)="EMPTY")+(UPPER($AS$69:$AZ$69)="(EMPTY)"))&gt;0,IFERROR(('Final Calculation Sheet'!$I$5)&amp;"","")="",ISNUMBER(SEARCH($AS$69:$AZ$69,IFERROR(('Final Calculation Sheet'!$I$5)&amp;"","")))))&gt;0),IF(COUNTIF($BI$69:$BP$69,2)=0,TRUE,SUMPRODUCT(($BI$69:$BP$69=2)*($AS$69:$AZ$69&lt;&gt;"")*IF(((UPPER($AS$69:$AZ$69)="BLANK")+(UPPER($AS$69:$AZ$69)="(BLANK)")+(UPPER($AS$69:$AZ$69)="EMPTY")+(UPPER($AS$69:$AZ$69)="(EMPTY)"))&gt;0,IFERROR(('Final Calculation Sheet'!$I$5)&amp;"","")="",ISNUMBER(SEARCH($AS$69:$AZ$69,IFERROR(('Final Calculation Sheet'!$I$5)&amp;"","")))))&gt;0),IF(COUNTIF($BI$69:$BP$69,3)=0,TRUE,SUMPRODUCT(($BI$69:$BP$69=3)*($AS$69:$AZ$69&lt;&gt;"")*IF(((UPPER($AS$69:$AZ$69)="BLANK")+(UPPER($AS$69:$AZ$69)="(BLANK)")+(UPPER($AS$69:$AZ$69)="EMPTY")+(UPPER($AS$69:$AZ$69)="(EMPTY)"))&gt;0,IFERROR(('Final Calculation Sheet'!$I$5)&amp;"","")="",ISNUMBER(SEARCH($AS$69:$AZ$69,IFERROR(('Final Calculation Sheet'!$I$5)&amp;"","")))))&gt;0),IF(COUNTIF($BI$69:$BP$69,4)=0,TRUE,SUMPRODUCT(($BI$69:$BP$69=4)*($AS$69:$AZ$69&lt;&gt;"")*IF(((UPPER($AS$69:$AZ$69)="BLANK")+(UPPER($AS$69:$AZ$69)="(BLANK)")+(UPPER($AS$69:$AZ$69)="EMPTY")+(UPPER($AS$69:$AZ$69)="(EMPTY)"))&gt;0,IFERROR(('Final Calculation Sheet'!$I$5)&amp;"","")="",ISNUMBER(SEARCH($AS$69:$AZ$69,IFERROR(('Final Calculation Sheet'!$I$5)&amp;"","")))))&gt;0),IF(COUNTIF($BI$69:$BP$69,5)=0,TRUE,SUMPRODUCT(($BI$69:$BP$69=5)*($AS$69:$AZ$69&lt;&gt;"")*IF(((UPPER($AS$69:$AZ$69)="BLANK")+(UPPER($AS$69:$AZ$69)="(BLANK)")+(UPPER($AS$69:$AZ$69)="EMPTY")+(UPPER($AS$69:$AZ$69)="(EMPTY)"))&gt;0,IFERROR(('Final Calculation Sheet'!$I$5)&amp;"","")="",ISNUMBER(SEARCH($AS$69:$AZ$69,IFERROR(('Final Calculation Sheet'!$I$5)&amp;"","")))))&gt;0),IF(COUNTIF($BI$69:$BP$69,6)=0,TRUE,SUMPRODUCT(($BI$69:$BP$69=6)*($AS$69:$AZ$69&lt;&gt;"")*IF(((UPPER($AS$69:$AZ$69)="BLANK")+(UPPER($AS$69:$AZ$69)="(BLANK)")+(UPPER($AS$69:$AZ$69)="EMPTY")+(UPPER($AS$69:$AZ$69)="(EMPTY)"))&gt;0,IFERROR(('Final Calculation Sheet'!$I$5)&amp;"","")="",ISNUMBER(SEARCH($AS$69:$AZ$69,IFERROR(('Final Calculation Sheet'!$I$5)&amp;"","")))))&gt;0),IF(COUNTIF($BI$69:$BP$69,7)=0,TRUE,SUMPRODUCT(($BI$69:$BP$69=7)*($AS$69:$AZ$69&lt;&gt;"")*IF(((UPPER($AS$69:$AZ$69)="BLANK")+(UPPER($AS$69:$AZ$69)="(BLANK)")+(UPPER($AS$69:$AZ$69)="EMPTY")+(UPPER($AS$69:$AZ$69)="(EMPTY)"))&gt;0,IFERROR(('Final Calculation Sheet'!$I$5)&amp;"","")="",ISNUMBER(SEARCH($AS$69:$AZ$69,IFERROR(('Final Calculation Sheet'!$I$5)&amp;"","")))))&gt;0),IF(COUNTIF($BI$69:$BP$69,8)=0,TRUE,SUMPRODUCT(($BI$69:$BP$69=8)*($AS$69:$AZ$69&lt;&gt;"")*IF(((UPPER($AS$69:$AZ$69)="BLANK")+(UPPER($AS$69:$AZ$69)="(BLANK)")+(UPPER($AS$69:$AZ$69)="EMPTY")+(UPPER($AS$69:$AZ$69)="(EMPTY)"))&gt;0,IFERROR(('Final Calculation Sheet'!$I$5)&amp;"","")="",ISNUMBER(SEARCH($AS$69:$AZ$69,IFERROR(('Final Calculation Sheet'!$I$5)&amp;"","")))))&gt;0))))</f>
        <v>1</v>
      </c>
      <c r="BW6">
        <f>IF($K$4="",1,--(AND(SUMPRODUCT(--($AS$70:$AZ$70&lt;&gt;""))&gt;0,IF(COUNTIF($BI$70:$BP$70,1)=0,TRUE,SUMPRODUCT(($BI$70:$BP$70=1)*($AS$70:$AZ$70&lt;&gt;"")*IF(((UPPER($AS$70:$AZ$70)="BLANK")+(UPPER($AS$70:$AZ$70)="(BLANK)")+(UPPER($AS$70:$AZ$70)="EMPTY")+(UPPER($AS$70:$AZ$70)="(EMPTY)"))&gt;0,IFERROR(('Final Calculation Sheet'!$J$5)&amp;"","")="",ISNUMBER(SEARCH($AS$70:$AZ$70,IFERROR(('Final Calculation Sheet'!$J$5)&amp;"","")))))&gt;0),IF(COUNTIF($BI$70:$BP$70,2)=0,TRUE,SUMPRODUCT(($BI$70:$BP$70=2)*($AS$70:$AZ$70&lt;&gt;"")*IF(((UPPER($AS$70:$AZ$70)="BLANK")+(UPPER($AS$70:$AZ$70)="(BLANK)")+(UPPER($AS$70:$AZ$70)="EMPTY")+(UPPER($AS$70:$AZ$70)="(EMPTY)"))&gt;0,IFERROR(('Final Calculation Sheet'!$J$5)&amp;"","")="",ISNUMBER(SEARCH($AS$70:$AZ$70,IFERROR(('Final Calculation Sheet'!$J$5)&amp;"","")))))&gt;0),IF(COUNTIF($BI$70:$BP$70,3)=0,TRUE,SUMPRODUCT(($BI$70:$BP$70=3)*($AS$70:$AZ$70&lt;&gt;"")*IF(((UPPER($AS$70:$AZ$70)="BLANK")+(UPPER($AS$70:$AZ$70)="(BLANK)")+(UPPER($AS$70:$AZ$70)="EMPTY")+(UPPER($AS$70:$AZ$70)="(EMPTY)"))&gt;0,IFERROR(('Final Calculation Sheet'!$J$5)&amp;"","")="",ISNUMBER(SEARCH($AS$70:$AZ$70,IFERROR(('Final Calculation Sheet'!$J$5)&amp;"","")))))&gt;0),IF(COUNTIF($BI$70:$BP$70,4)=0,TRUE,SUMPRODUCT(($BI$70:$BP$70=4)*($AS$70:$AZ$70&lt;&gt;"")*IF(((UPPER($AS$70:$AZ$70)="BLANK")+(UPPER($AS$70:$AZ$70)="(BLANK)")+(UPPER($AS$70:$AZ$70)="EMPTY")+(UPPER($AS$70:$AZ$70)="(EMPTY)"))&gt;0,IFERROR(('Final Calculation Sheet'!$J$5)&amp;"","")="",ISNUMBER(SEARCH($AS$70:$AZ$70,IFERROR(('Final Calculation Sheet'!$J$5)&amp;"","")))))&gt;0),IF(COUNTIF($BI$70:$BP$70,5)=0,TRUE,SUMPRODUCT(($BI$70:$BP$70=5)*($AS$70:$AZ$70&lt;&gt;"")*IF(((UPPER($AS$70:$AZ$70)="BLANK")+(UPPER($AS$70:$AZ$70)="(BLANK)")+(UPPER($AS$70:$AZ$70)="EMPTY")+(UPPER($AS$70:$AZ$70)="(EMPTY)"))&gt;0,IFERROR(('Final Calculation Sheet'!$J$5)&amp;"","")="",ISNUMBER(SEARCH($AS$70:$AZ$70,IFERROR(('Final Calculation Sheet'!$J$5)&amp;"","")))))&gt;0),IF(COUNTIF($BI$70:$BP$70,6)=0,TRUE,SUMPRODUCT(($BI$70:$BP$70=6)*($AS$70:$AZ$70&lt;&gt;"")*IF(((UPPER($AS$70:$AZ$70)="BLANK")+(UPPER($AS$70:$AZ$70)="(BLANK)")+(UPPER($AS$70:$AZ$70)="EMPTY")+(UPPER($AS$70:$AZ$70)="(EMPTY)"))&gt;0,IFERROR(('Final Calculation Sheet'!$J$5)&amp;"","")="",ISNUMBER(SEARCH($AS$70:$AZ$70,IFERROR(('Final Calculation Sheet'!$J$5)&amp;"","")))))&gt;0),IF(COUNTIF($BI$70:$BP$70,7)=0,TRUE,SUMPRODUCT(($BI$70:$BP$70=7)*($AS$70:$AZ$70&lt;&gt;"")*IF(((UPPER($AS$70:$AZ$70)="BLANK")+(UPPER($AS$70:$AZ$70)="(BLANK)")+(UPPER($AS$70:$AZ$70)="EMPTY")+(UPPER($AS$70:$AZ$70)="(EMPTY)"))&gt;0,IFERROR(('Final Calculation Sheet'!$J$5)&amp;"","")="",ISNUMBER(SEARCH($AS$70:$AZ$70,IFERROR(('Final Calculation Sheet'!$J$5)&amp;"","")))))&gt;0),IF(COUNTIF($BI$70:$BP$70,8)=0,TRUE,SUMPRODUCT(($BI$70:$BP$70=8)*($AS$70:$AZ$70&lt;&gt;"")*IF(((UPPER($AS$70:$AZ$70)="BLANK")+(UPPER($AS$70:$AZ$70)="(BLANK)")+(UPPER($AS$70:$AZ$70)="EMPTY")+(UPPER($AS$70:$AZ$70)="(EMPTY)"))&gt;0,IFERROR(('Final Calculation Sheet'!$J$5)&amp;"","")="",ISNUMBER(SEARCH($AS$70:$AZ$70,IFERROR(('Final Calculation Sheet'!$J$5)&amp;"","")))))&gt;0))))</f>
        <v>1</v>
      </c>
      <c r="BX6">
        <f>IF($L$4="",1,--(AND(SUMPRODUCT(--($AS$71:$AZ$71&lt;&gt;""))&gt;0,IF(COUNTIF($BI$71:$BP$71,1)=0,TRUE,SUMPRODUCT(($BI$71:$BP$71=1)*($AS$71:$AZ$71&lt;&gt;"")*IF(((UPPER($AS$71:$AZ$71)="BLANK")+(UPPER($AS$71:$AZ$71)="(BLANK)")+(UPPER($AS$71:$AZ$71)="EMPTY")+(UPPER($AS$71:$AZ$71)="(EMPTY)"))&gt;0,IFERROR(('Final Calculation Sheet'!$K$5)&amp;"","")="",ISNUMBER(SEARCH($AS$71:$AZ$71,IFERROR(('Final Calculation Sheet'!$K$5)&amp;"","")))))&gt;0),IF(COUNTIF($BI$71:$BP$71,2)=0,TRUE,SUMPRODUCT(($BI$71:$BP$71=2)*($AS$71:$AZ$71&lt;&gt;"")*IF(((UPPER($AS$71:$AZ$71)="BLANK")+(UPPER($AS$71:$AZ$71)="(BLANK)")+(UPPER($AS$71:$AZ$71)="EMPTY")+(UPPER($AS$71:$AZ$71)="(EMPTY)"))&gt;0,IFERROR(('Final Calculation Sheet'!$K$5)&amp;"","")="",ISNUMBER(SEARCH($AS$71:$AZ$71,IFERROR(('Final Calculation Sheet'!$K$5)&amp;"","")))))&gt;0),IF(COUNTIF($BI$71:$BP$71,3)=0,TRUE,SUMPRODUCT(($BI$71:$BP$71=3)*($AS$71:$AZ$71&lt;&gt;"")*IF(((UPPER($AS$71:$AZ$71)="BLANK")+(UPPER($AS$71:$AZ$71)="(BLANK)")+(UPPER($AS$71:$AZ$71)="EMPTY")+(UPPER($AS$71:$AZ$71)="(EMPTY)"))&gt;0,IFERROR(('Final Calculation Sheet'!$K$5)&amp;"","")="",ISNUMBER(SEARCH($AS$71:$AZ$71,IFERROR(('Final Calculation Sheet'!$K$5)&amp;"","")))))&gt;0),IF(COUNTIF($BI$71:$BP$71,4)=0,TRUE,SUMPRODUCT(($BI$71:$BP$71=4)*($AS$71:$AZ$71&lt;&gt;"")*IF(((UPPER($AS$71:$AZ$71)="BLANK")+(UPPER($AS$71:$AZ$71)="(BLANK)")+(UPPER($AS$71:$AZ$71)="EMPTY")+(UPPER($AS$71:$AZ$71)="(EMPTY)"))&gt;0,IFERROR(('Final Calculation Sheet'!$K$5)&amp;"","")="",ISNUMBER(SEARCH($AS$71:$AZ$71,IFERROR(('Final Calculation Sheet'!$K$5)&amp;"","")))))&gt;0),IF(COUNTIF($BI$71:$BP$71,5)=0,TRUE,SUMPRODUCT(($BI$71:$BP$71=5)*($AS$71:$AZ$71&lt;&gt;"")*IF(((UPPER($AS$71:$AZ$71)="BLANK")+(UPPER($AS$71:$AZ$71)="(BLANK)")+(UPPER($AS$71:$AZ$71)="EMPTY")+(UPPER($AS$71:$AZ$71)="(EMPTY)"))&gt;0,IFERROR(('Final Calculation Sheet'!$K$5)&amp;"","")="",ISNUMBER(SEARCH($AS$71:$AZ$71,IFERROR(('Final Calculation Sheet'!$K$5)&amp;"","")))))&gt;0),IF(COUNTIF($BI$71:$BP$71,6)=0,TRUE,SUMPRODUCT(($BI$71:$BP$71=6)*($AS$71:$AZ$71&lt;&gt;"")*IF(((UPPER($AS$71:$AZ$71)="BLANK")+(UPPER($AS$71:$AZ$71)="(BLANK)")+(UPPER($AS$71:$AZ$71)="EMPTY")+(UPPER($AS$71:$AZ$71)="(EMPTY)"))&gt;0,IFERROR(('Final Calculation Sheet'!$K$5)&amp;"","")="",ISNUMBER(SEARCH($AS$71:$AZ$71,IFERROR(('Final Calculation Sheet'!$K$5)&amp;"","")))))&gt;0),IF(COUNTIF($BI$71:$BP$71,7)=0,TRUE,SUMPRODUCT(($BI$71:$BP$71=7)*($AS$71:$AZ$71&lt;&gt;"")*IF(((UPPER($AS$71:$AZ$71)="BLANK")+(UPPER($AS$71:$AZ$71)="(BLANK)")+(UPPER($AS$71:$AZ$71)="EMPTY")+(UPPER($AS$71:$AZ$71)="(EMPTY)"))&gt;0,IFERROR(('Final Calculation Sheet'!$K$5)&amp;"","")="",ISNUMBER(SEARCH($AS$71:$AZ$71,IFERROR(('Final Calculation Sheet'!$K$5)&amp;"","")))))&gt;0),IF(COUNTIF($BI$71:$BP$71,8)=0,TRUE,SUMPRODUCT(($BI$71:$BP$71=8)*($AS$71:$AZ$71&lt;&gt;"")*IF(((UPPER($AS$71:$AZ$71)="BLANK")+(UPPER($AS$71:$AZ$71)="(BLANK)")+(UPPER($AS$71:$AZ$71)="EMPTY")+(UPPER($AS$71:$AZ$71)="(EMPTY)"))&gt;0,IFERROR(('Final Calculation Sheet'!$K$5)&amp;"","")="",ISNUMBER(SEARCH($AS$71:$AZ$71,IFERROR(('Final Calculation Sheet'!$K$5)&amp;"","")))))&gt;0))))</f>
        <v>1</v>
      </c>
      <c r="BY6">
        <f>IF($M$4="",1,--(AND(SUMPRODUCT(--($AS$72:$AZ$72&lt;&gt;""))&gt;0,IF(COUNTIF($BI$72:$BP$72,1)=0,TRUE,SUMPRODUCT(($BI$72:$BP$72=1)*($AS$72:$AZ$72&lt;&gt;"")*IF(((UPPER($AS$72:$AZ$72)="BLANK")+(UPPER($AS$72:$AZ$72)="(BLANK)")+(UPPER($AS$72:$AZ$72)="EMPTY")+(UPPER($AS$72:$AZ$72)="(EMPTY)"))&gt;0,IFERROR(('Final Calculation Sheet'!$L$5)&amp;"","")="",ISNUMBER(SEARCH($AS$72:$AZ$72,IFERROR(('Final Calculation Sheet'!$L$5)&amp;"","")))))&gt;0),IF(COUNTIF($BI$72:$BP$72,2)=0,TRUE,SUMPRODUCT(($BI$72:$BP$72=2)*($AS$72:$AZ$72&lt;&gt;"")*IF(((UPPER($AS$72:$AZ$72)="BLANK")+(UPPER($AS$72:$AZ$72)="(BLANK)")+(UPPER($AS$72:$AZ$72)="EMPTY")+(UPPER($AS$72:$AZ$72)="(EMPTY)"))&gt;0,IFERROR(('Final Calculation Sheet'!$L$5)&amp;"","")="",ISNUMBER(SEARCH($AS$72:$AZ$72,IFERROR(('Final Calculation Sheet'!$L$5)&amp;"","")))))&gt;0),IF(COUNTIF($BI$72:$BP$72,3)=0,TRUE,SUMPRODUCT(($BI$72:$BP$72=3)*($AS$72:$AZ$72&lt;&gt;"")*IF(((UPPER($AS$72:$AZ$72)="BLANK")+(UPPER($AS$72:$AZ$72)="(BLANK)")+(UPPER($AS$72:$AZ$72)="EMPTY")+(UPPER($AS$72:$AZ$72)="(EMPTY)"))&gt;0,IFERROR(('Final Calculation Sheet'!$L$5)&amp;"","")="",ISNUMBER(SEARCH($AS$72:$AZ$72,IFERROR(('Final Calculation Sheet'!$L$5)&amp;"","")))))&gt;0),IF(COUNTIF($BI$72:$BP$72,4)=0,TRUE,SUMPRODUCT(($BI$72:$BP$72=4)*($AS$72:$AZ$72&lt;&gt;"")*IF(((UPPER($AS$72:$AZ$72)="BLANK")+(UPPER($AS$72:$AZ$72)="(BLANK)")+(UPPER($AS$72:$AZ$72)="EMPTY")+(UPPER($AS$72:$AZ$72)="(EMPTY)"))&gt;0,IFERROR(('Final Calculation Sheet'!$L$5)&amp;"","")="",ISNUMBER(SEARCH($AS$72:$AZ$72,IFERROR(('Final Calculation Sheet'!$L$5)&amp;"","")))))&gt;0),IF(COUNTIF($BI$72:$BP$72,5)=0,TRUE,SUMPRODUCT(($BI$72:$BP$72=5)*($AS$72:$AZ$72&lt;&gt;"")*IF(((UPPER($AS$72:$AZ$72)="BLANK")+(UPPER($AS$72:$AZ$72)="(BLANK)")+(UPPER($AS$72:$AZ$72)="EMPTY")+(UPPER($AS$72:$AZ$72)="(EMPTY)"))&gt;0,IFERROR(('Final Calculation Sheet'!$L$5)&amp;"","")="",ISNUMBER(SEARCH($AS$72:$AZ$72,IFERROR(('Final Calculation Sheet'!$L$5)&amp;"","")))))&gt;0),IF(COUNTIF($BI$72:$BP$72,6)=0,TRUE,SUMPRODUCT(($BI$72:$BP$72=6)*($AS$72:$AZ$72&lt;&gt;"")*IF(((UPPER($AS$72:$AZ$72)="BLANK")+(UPPER($AS$72:$AZ$72)="(BLANK)")+(UPPER($AS$72:$AZ$72)="EMPTY")+(UPPER($AS$72:$AZ$72)="(EMPTY)"))&gt;0,IFERROR(('Final Calculation Sheet'!$L$5)&amp;"","")="",ISNUMBER(SEARCH($AS$72:$AZ$72,IFERROR(('Final Calculation Sheet'!$L$5)&amp;"","")))))&gt;0),IF(COUNTIF($BI$72:$BP$72,7)=0,TRUE,SUMPRODUCT(($BI$72:$BP$72=7)*($AS$72:$AZ$72&lt;&gt;"")*IF(((UPPER($AS$72:$AZ$72)="BLANK")+(UPPER($AS$72:$AZ$72)="(BLANK)")+(UPPER($AS$72:$AZ$72)="EMPTY")+(UPPER($AS$72:$AZ$72)="(EMPTY)"))&gt;0,IFERROR(('Final Calculation Sheet'!$L$5)&amp;"","")="",ISNUMBER(SEARCH($AS$72:$AZ$72,IFERROR(('Final Calculation Sheet'!$L$5)&amp;"","")))))&gt;0),IF(COUNTIF($BI$72:$BP$72,8)=0,TRUE,SUMPRODUCT(($BI$72:$BP$72=8)*($AS$72:$AZ$72&lt;&gt;"")*IF(((UPPER($AS$72:$AZ$72)="BLANK")+(UPPER($AS$72:$AZ$72)="(BLANK)")+(UPPER($AS$72:$AZ$72)="EMPTY")+(UPPER($AS$72:$AZ$72)="(EMPTY)"))&gt;0,IFERROR(('Final Calculation Sheet'!$L$5)&amp;"","")="",ISNUMBER(SEARCH($AS$72:$AZ$72,IFERROR(('Final Calculation Sheet'!$L$5)&amp;"","")))))&gt;0))))</f>
        <v>1</v>
      </c>
      <c r="BZ6">
        <f>IF($N$4="",1,--(AND(SUMPRODUCT(--($AS$73:$AZ$73&lt;&gt;""))&gt;0,IF(COUNTIF($BI$73:$BP$73,1)=0,TRUE,SUMPRODUCT(($BI$73:$BP$73=1)*($AS$73:$AZ$73&lt;&gt;"")*IF(((UPPER($AS$73:$AZ$73)="BLANK")+(UPPER($AS$73:$AZ$73)="(BLANK)")+(UPPER($AS$73:$AZ$73)="EMPTY")+(UPPER($AS$73:$AZ$73)="(EMPTY)"))&gt;0,IFERROR(('Final Calculation Sheet'!$M$5)&amp;"","")="",ISNUMBER(SEARCH($AS$73:$AZ$73,IFERROR(('Final Calculation Sheet'!$M$5)&amp;"","")))))&gt;0),IF(COUNTIF($BI$73:$BP$73,2)=0,TRUE,SUMPRODUCT(($BI$73:$BP$73=2)*($AS$73:$AZ$73&lt;&gt;"")*IF(((UPPER($AS$73:$AZ$73)="BLANK")+(UPPER($AS$73:$AZ$73)="(BLANK)")+(UPPER($AS$73:$AZ$73)="EMPTY")+(UPPER($AS$73:$AZ$73)="(EMPTY)"))&gt;0,IFERROR(('Final Calculation Sheet'!$M$5)&amp;"","")="",ISNUMBER(SEARCH($AS$73:$AZ$73,IFERROR(('Final Calculation Sheet'!$M$5)&amp;"","")))))&gt;0),IF(COUNTIF($BI$73:$BP$73,3)=0,TRUE,SUMPRODUCT(($BI$73:$BP$73=3)*($AS$73:$AZ$73&lt;&gt;"")*IF(((UPPER($AS$73:$AZ$73)="BLANK")+(UPPER($AS$73:$AZ$73)="(BLANK)")+(UPPER($AS$73:$AZ$73)="EMPTY")+(UPPER($AS$73:$AZ$73)="(EMPTY)"))&gt;0,IFERROR(('Final Calculation Sheet'!$M$5)&amp;"","")="",ISNUMBER(SEARCH($AS$73:$AZ$73,IFERROR(('Final Calculation Sheet'!$M$5)&amp;"","")))))&gt;0),IF(COUNTIF($BI$73:$BP$73,4)=0,TRUE,SUMPRODUCT(($BI$73:$BP$73=4)*($AS$73:$AZ$73&lt;&gt;"")*IF(((UPPER($AS$73:$AZ$73)="BLANK")+(UPPER($AS$73:$AZ$73)="(BLANK)")+(UPPER($AS$73:$AZ$73)="EMPTY")+(UPPER($AS$73:$AZ$73)="(EMPTY)"))&gt;0,IFERROR(('Final Calculation Sheet'!$M$5)&amp;"","")="",ISNUMBER(SEARCH($AS$73:$AZ$73,IFERROR(('Final Calculation Sheet'!$M$5)&amp;"","")))))&gt;0),IF(COUNTIF($BI$73:$BP$73,5)=0,TRUE,SUMPRODUCT(($BI$73:$BP$73=5)*($AS$73:$AZ$73&lt;&gt;"")*IF(((UPPER($AS$73:$AZ$73)="BLANK")+(UPPER($AS$73:$AZ$73)="(BLANK)")+(UPPER($AS$73:$AZ$73)="EMPTY")+(UPPER($AS$73:$AZ$73)="(EMPTY)"))&gt;0,IFERROR(('Final Calculation Sheet'!$M$5)&amp;"","")="",ISNUMBER(SEARCH($AS$73:$AZ$73,IFERROR(('Final Calculation Sheet'!$M$5)&amp;"","")))))&gt;0),IF(COUNTIF($BI$73:$BP$73,6)=0,TRUE,SUMPRODUCT(($BI$73:$BP$73=6)*($AS$73:$AZ$73&lt;&gt;"")*IF(((UPPER($AS$73:$AZ$73)="BLANK")+(UPPER($AS$73:$AZ$73)="(BLANK)")+(UPPER($AS$73:$AZ$73)="EMPTY")+(UPPER($AS$73:$AZ$73)="(EMPTY)"))&gt;0,IFERROR(('Final Calculation Sheet'!$M$5)&amp;"","")="",ISNUMBER(SEARCH($AS$73:$AZ$73,IFERROR(('Final Calculation Sheet'!$M$5)&amp;"","")))))&gt;0),IF(COUNTIF($BI$73:$BP$73,7)=0,TRUE,SUMPRODUCT(($BI$73:$BP$73=7)*($AS$73:$AZ$73&lt;&gt;"")*IF(((UPPER($AS$73:$AZ$73)="BLANK")+(UPPER($AS$73:$AZ$73)="(BLANK)")+(UPPER($AS$73:$AZ$73)="EMPTY")+(UPPER($AS$73:$AZ$73)="(EMPTY)"))&gt;0,IFERROR(('Final Calculation Sheet'!$M$5)&amp;"","")="",ISNUMBER(SEARCH($AS$73:$AZ$73,IFERROR(('Final Calculation Sheet'!$M$5)&amp;"","")))))&gt;0),IF(COUNTIF($BI$73:$BP$73,8)=0,TRUE,SUMPRODUCT(($BI$73:$BP$73=8)*($AS$73:$AZ$73&lt;&gt;"")*IF(((UPPER($AS$73:$AZ$73)="BLANK")+(UPPER($AS$73:$AZ$73)="(BLANK)")+(UPPER($AS$73:$AZ$73)="EMPTY")+(UPPER($AS$73:$AZ$73)="(EMPTY)"))&gt;0,IFERROR(('Final Calculation Sheet'!$M$5)&amp;"","")="",ISNUMBER(SEARCH($AS$73:$AZ$73,IFERROR(('Final Calculation Sheet'!$M$5)&amp;"","")))))&gt;0))))</f>
        <v>1</v>
      </c>
      <c r="CA6">
        <f>IF($O$4="",1,--(AND(SUMPRODUCT(--($AS$74:$AZ$74&lt;&gt;""))&gt;0,IF(COUNTIF($BI$74:$BP$74,1)=0,TRUE,SUMPRODUCT(($BI$74:$BP$74=1)*($AS$74:$AZ$74&lt;&gt;"")*IF(((UPPER($AS$74:$AZ$74)="BLANK")+(UPPER($AS$74:$AZ$74)="(BLANK)")+(UPPER($AS$74:$AZ$74)="EMPTY")+(UPPER($AS$74:$AZ$74)="(EMPTY)"))&gt;0,IFERROR(('Final Calculation Sheet'!$N$5)&amp;"","")="",ISNUMBER(SEARCH($AS$74:$AZ$74,IFERROR(('Final Calculation Sheet'!$N$5)&amp;"","")))))&gt;0),IF(COUNTIF($BI$74:$BP$74,2)=0,TRUE,SUMPRODUCT(($BI$74:$BP$74=2)*($AS$74:$AZ$74&lt;&gt;"")*IF(((UPPER($AS$74:$AZ$74)="BLANK")+(UPPER($AS$74:$AZ$74)="(BLANK)")+(UPPER($AS$74:$AZ$74)="EMPTY")+(UPPER($AS$74:$AZ$74)="(EMPTY)"))&gt;0,IFERROR(('Final Calculation Sheet'!$N$5)&amp;"","")="",ISNUMBER(SEARCH($AS$74:$AZ$74,IFERROR(('Final Calculation Sheet'!$N$5)&amp;"","")))))&gt;0),IF(COUNTIF($BI$74:$BP$74,3)=0,TRUE,SUMPRODUCT(($BI$74:$BP$74=3)*($AS$74:$AZ$74&lt;&gt;"")*IF(((UPPER($AS$74:$AZ$74)="BLANK")+(UPPER($AS$74:$AZ$74)="(BLANK)")+(UPPER($AS$74:$AZ$74)="EMPTY")+(UPPER($AS$74:$AZ$74)="(EMPTY)"))&gt;0,IFERROR(('Final Calculation Sheet'!$N$5)&amp;"","")="",ISNUMBER(SEARCH($AS$74:$AZ$74,IFERROR(('Final Calculation Sheet'!$N$5)&amp;"","")))))&gt;0),IF(COUNTIF($BI$74:$BP$74,4)=0,TRUE,SUMPRODUCT(($BI$74:$BP$74=4)*($AS$74:$AZ$74&lt;&gt;"")*IF(((UPPER($AS$74:$AZ$74)="BLANK")+(UPPER($AS$74:$AZ$74)="(BLANK)")+(UPPER($AS$74:$AZ$74)="EMPTY")+(UPPER($AS$74:$AZ$74)="(EMPTY)"))&gt;0,IFERROR(('Final Calculation Sheet'!$N$5)&amp;"","")="",ISNUMBER(SEARCH($AS$74:$AZ$74,IFERROR(('Final Calculation Sheet'!$N$5)&amp;"","")))))&gt;0),IF(COUNTIF($BI$74:$BP$74,5)=0,TRUE,SUMPRODUCT(($BI$74:$BP$74=5)*($AS$74:$AZ$74&lt;&gt;"")*IF(((UPPER($AS$74:$AZ$74)="BLANK")+(UPPER($AS$74:$AZ$74)="(BLANK)")+(UPPER($AS$74:$AZ$74)="EMPTY")+(UPPER($AS$74:$AZ$74)="(EMPTY)"))&gt;0,IFERROR(('Final Calculation Sheet'!$N$5)&amp;"","")="",ISNUMBER(SEARCH($AS$74:$AZ$74,IFERROR(('Final Calculation Sheet'!$N$5)&amp;"","")))))&gt;0),IF(COUNTIF($BI$74:$BP$74,6)=0,TRUE,SUMPRODUCT(($BI$74:$BP$74=6)*($AS$74:$AZ$74&lt;&gt;"")*IF(((UPPER($AS$74:$AZ$74)="BLANK")+(UPPER($AS$74:$AZ$74)="(BLANK)")+(UPPER($AS$74:$AZ$74)="EMPTY")+(UPPER($AS$74:$AZ$74)="(EMPTY)"))&gt;0,IFERROR(('Final Calculation Sheet'!$N$5)&amp;"","")="",ISNUMBER(SEARCH($AS$74:$AZ$74,IFERROR(('Final Calculation Sheet'!$N$5)&amp;"","")))))&gt;0),IF(COUNTIF($BI$74:$BP$74,7)=0,TRUE,SUMPRODUCT(($BI$74:$BP$74=7)*($AS$74:$AZ$74&lt;&gt;"")*IF(((UPPER($AS$74:$AZ$74)="BLANK")+(UPPER($AS$74:$AZ$74)="(BLANK)")+(UPPER($AS$74:$AZ$74)="EMPTY")+(UPPER($AS$74:$AZ$74)="(EMPTY)"))&gt;0,IFERROR(('Final Calculation Sheet'!$N$5)&amp;"","")="",ISNUMBER(SEARCH($AS$74:$AZ$74,IFERROR(('Final Calculation Sheet'!$N$5)&amp;"","")))))&gt;0),IF(COUNTIF($BI$74:$BP$74,8)=0,TRUE,SUMPRODUCT(($BI$74:$BP$74=8)*($AS$74:$AZ$74&lt;&gt;"")*IF(((UPPER($AS$74:$AZ$74)="BLANK")+(UPPER($AS$74:$AZ$74)="(BLANK)")+(UPPER($AS$74:$AZ$74)="EMPTY")+(UPPER($AS$74:$AZ$74)="(EMPTY)"))&gt;0,IFERROR(('Final Calculation Sheet'!$N$5)&amp;"","")="",ISNUMBER(SEARCH($AS$74:$AZ$74,IFERROR(('Final Calculation Sheet'!$N$5)&amp;"","")))))&gt;0))))</f>
        <v>1</v>
      </c>
      <c r="CB6">
        <f>IF($P$4="",1,--(AND(SUMPRODUCT(--($AS$75:$AZ$75&lt;&gt;""))&gt;0,IF(COUNTIF($BI$75:$BP$75,1)=0,TRUE,SUMPRODUCT(($BI$75:$BP$75=1)*($AS$75:$AZ$75&lt;&gt;"")*IF(((UPPER($AS$75:$AZ$75)="BLANK")+(UPPER($AS$75:$AZ$75)="(BLANK)")+(UPPER($AS$75:$AZ$75)="EMPTY")+(UPPER($AS$75:$AZ$75)="(EMPTY)"))&gt;0,IFERROR(('Final Calculation Sheet'!$O$5)&amp;"","")="",ISNUMBER(SEARCH($AS$75:$AZ$75,IFERROR(('Final Calculation Sheet'!$O$5)&amp;"","")))))&gt;0),IF(COUNTIF($BI$75:$BP$75,2)=0,TRUE,SUMPRODUCT(($BI$75:$BP$75=2)*($AS$75:$AZ$75&lt;&gt;"")*IF(((UPPER($AS$75:$AZ$75)="BLANK")+(UPPER($AS$75:$AZ$75)="(BLANK)")+(UPPER($AS$75:$AZ$75)="EMPTY")+(UPPER($AS$75:$AZ$75)="(EMPTY)"))&gt;0,IFERROR(('Final Calculation Sheet'!$O$5)&amp;"","")="",ISNUMBER(SEARCH($AS$75:$AZ$75,IFERROR(('Final Calculation Sheet'!$O$5)&amp;"","")))))&gt;0),IF(COUNTIF($BI$75:$BP$75,3)=0,TRUE,SUMPRODUCT(($BI$75:$BP$75=3)*($AS$75:$AZ$75&lt;&gt;"")*IF(((UPPER($AS$75:$AZ$75)="BLANK")+(UPPER($AS$75:$AZ$75)="(BLANK)")+(UPPER($AS$75:$AZ$75)="EMPTY")+(UPPER($AS$75:$AZ$75)="(EMPTY)"))&gt;0,IFERROR(('Final Calculation Sheet'!$O$5)&amp;"","")="",ISNUMBER(SEARCH($AS$75:$AZ$75,IFERROR(('Final Calculation Sheet'!$O$5)&amp;"","")))))&gt;0),IF(COUNTIF($BI$75:$BP$75,4)=0,TRUE,SUMPRODUCT(($BI$75:$BP$75=4)*($AS$75:$AZ$75&lt;&gt;"")*IF(((UPPER($AS$75:$AZ$75)="BLANK")+(UPPER($AS$75:$AZ$75)="(BLANK)")+(UPPER($AS$75:$AZ$75)="EMPTY")+(UPPER($AS$75:$AZ$75)="(EMPTY)"))&gt;0,IFERROR(('Final Calculation Sheet'!$O$5)&amp;"","")="",ISNUMBER(SEARCH($AS$75:$AZ$75,IFERROR(('Final Calculation Sheet'!$O$5)&amp;"","")))))&gt;0),IF(COUNTIF($BI$75:$BP$75,5)=0,TRUE,SUMPRODUCT(($BI$75:$BP$75=5)*($AS$75:$AZ$75&lt;&gt;"")*IF(((UPPER($AS$75:$AZ$75)="BLANK")+(UPPER($AS$75:$AZ$75)="(BLANK)")+(UPPER($AS$75:$AZ$75)="EMPTY")+(UPPER($AS$75:$AZ$75)="(EMPTY)"))&gt;0,IFERROR(('Final Calculation Sheet'!$O$5)&amp;"","")="",ISNUMBER(SEARCH($AS$75:$AZ$75,IFERROR(('Final Calculation Sheet'!$O$5)&amp;"","")))))&gt;0),IF(COUNTIF($BI$75:$BP$75,6)=0,TRUE,SUMPRODUCT(($BI$75:$BP$75=6)*($AS$75:$AZ$75&lt;&gt;"")*IF(((UPPER($AS$75:$AZ$75)="BLANK")+(UPPER($AS$75:$AZ$75)="(BLANK)")+(UPPER($AS$75:$AZ$75)="EMPTY")+(UPPER($AS$75:$AZ$75)="(EMPTY)"))&gt;0,IFERROR(('Final Calculation Sheet'!$O$5)&amp;"","")="",ISNUMBER(SEARCH($AS$75:$AZ$75,IFERROR(('Final Calculation Sheet'!$O$5)&amp;"","")))))&gt;0),IF(COUNTIF($BI$75:$BP$75,7)=0,TRUE,SUMPRODUCT(($BI$75:$BP$75=7)*($AS$75:$AZ$75&lt;&gt;"")*IF(((UPPER($AS$75:$AZ$75)="BLANK")+(UPPER($AS$75:$AZ$75)="(BLANK)")+(UPPER($AS$75:$AZ$75)="EMPTY")+(UPPER($AS$75:$AZ$75)="(EMPTY)"))&gt;0,IFERROR(('Final Calculation Sheet'!$O$5)&amp;"","")="",ISNUMBER(SEARCH($AS$75:$AZ$75,IFERROR(('Final Calculation Sheet'!$O$5)&amp;"","")))))&gt;0),IF(COUNTIF($BI$75:$BP$75,8)=0,TRUE,SUMPRODUCT(($BI$75:$BP$75=8)*($AS$75:$AZ$75&lt;&gt;"")*IF(((UPPER($AS$75:$AZ$75)="BLANK")+(UPPER($AS$75:$AZ$75)="(BLANK)")+(UPPER($AS$75:$AZ$75)="EMPTY")+(UPPER($AS$75:$AZ$75)="(EMPTY)"))&gt;0,IFERROR(('Final Calculation Sheet'!$O$5)&amp;"","")="",ISNUMBER(SEARCH($AS$75:$AZ$75,IFERROR(('Final Calculation Sheet'!$O$5)&amp;"","")))))&gt;0))))</f>
        <v>1</v>
      </c>
      <c r="CC6">
        <f>IF($Q$4="",1,--(AND(SUMPRODUCT(--($AS$76:$AZ$76&lt;&gt;""))&gt;0,IF(COUNTIF($BI$76:$BP$76,1)=0,TRUE,SUMPRODUCT(($BI$76:$BP$76=1)*($AS$76:$AZ$76&lt;&gt;"")*IF(((UPPER($AS$76:$AZ$76)="BLANK")+(UPPER($AS$76:$AZ$76)="(BLANK)")+(UPPER($AS$76:$AZ$76)="EMPTY")+(UPPER($AS$76:$AZ$76)="(EMPTY)"))&gt;0,IFERROR(('Final Calculation Sheet'!$P$5)&amp;"","")="",ISNUMBER(SEARCH($AS$76:$AZ$76,IFERROR(('Final Calculation Sheet'!$P$5)&amp;"","")))))&gt;0),IF(COUNTIF($BI$76:$BP$76,2)=0,TRUE,SUMPRODUCT(($BI$76:$BP$76=2)*($AS$76:$AZ$76&lt;&gt;"")*IF(((UPPER($AS$76:$AZ$76)="BLANK")+(UPPER($AS$76:$AZ$76)="(BLANK)")+(UPPER($AS$76:$AZ$76)="EMPTY")+(UPPER($AS$76:$AZ$76)="(EMPTY)"))&gt;0,IFERROR(('Final Calculation Sheet'!$P$5)&amp;"","")="",ISNUMBER(SEARCH($AS$76:$AZ$76,IFERROR(('Final Calculation Sheet'!$P$5)&amp;"","")))))&gt;0),IF(COUNTIF($BI$76:$BP$76,3)=0,TRUE,SUMPRODUCT(($BI$76:$BP$76=3)*($AS$76:$AZ$76&lt;&gt;"")*IF(((UPPER($AS$76:$AZ$76)="BLANK")+(UPPER($AS$76:$AZ$76)="(BLANK)")+(UPPER($AS$76:$AZ$76)="EMPTY")+(UPPER($AS$76:$AZ$76)="(EMPTY)"))&gt;0,IFERROR(('Final Calculation Sheet'!$P$5)&amp;"","")="",ISNUMBER(SEARCH($AS$76:$AZ$76,IFERROR(('Final Calculation Sheet'!$P$5)&amp;"","")))))&gt;0),IF(COUNTIF($BI$76:$BP$76,4)=0,TRUE,SUMPRODUCT(($BI$76:$BP$76=4)*($AS$76:$AZ$76&lt;&gt;"")*IF(((UPPER($AS$76:$AZ$76)="BLANK")+(UPPER($AS$76:$AZ$76)="(BLANK)")+(UPPER($AS$76:$AZ$76)="EMPTY")+(UPPER($AS$76:$AZ$76)="(EMPTY)"))&gt;0,IFERROR(('Final Calculation Sheet'!$P$5)&amp;"","")="",ISNUMBER(SEARCH($AS$76:$AZ$76,IFERROR(('Final Calculation Sheet'!$P$5)&amp;"","")))))&gt;0),IF(COUNTIF($BI$76:$BP$76,5)=0,TRUE,SUMPRODUCT(($BI$76:$BP$76=5)*($AS$76:$AZ$76&lt;&gt;"")*IF(((UPPER($AS$76:$AZ$76)="BLANK")+(UPPER($AS$76:$AZ$76)="(BLANK)")+(UPPER($AS$76:$AZ$76)="EMPTY")+(UPPER($AS$76:$AZ$76)="(EMPTY)"))&gt;0,IFERROR(('Final Calculation Sheet'!$P$5)&amp;"","")="",ISNUMBER(SEARCH($AS$76:$AZ$76,IFERROR(('Final Calculation Sheet'!$P$5)&amp;"","")))))&gt;0),IF(COUNTIF($BI$76:$BP$76,6)=0,TRUE,SUMPRODUCT(($BI$76:$BP$76=6)*($AS$76:$AZ$76&lt;&gt;"")*IF(((UPPER($AS$76:$AZ$76)="BLANK")+(UPPER($AS$76:$AZ$76)="(BLANK)")+(UPPER($AS$76:$AZ$76)="EMPTY")+(UPPER($AS$76:$AZ$76)="(EMPTY)"))&gt;0,IFERROR(('Final Calculation Sheet'!$P$5)&amp;"","")="",ISNUMBER(SEARCH($AS$76:$AZ$76,IFERROR(('Final Calculation Sheet'!$P$5)&amp;"","")))))&gt;0),IF(COUNTIF($BI$76:$BP$76,7)=0,TRUE,SUMPRODUCT(($BI$76:$BP$76=7)*($AS$76:$AZ$76&lt;&gt;"")*IF(((UPPER($AS$76:$AZ$76)="BLANK")+(UPPER($AS$76:$AZ$76)="(BLANK)")+(UPPER($AS$76:$AZ$76)="EMPTY")+(UPPER($AS$76:$AZ$76)="(EMPTY)"))&gt;0,IFERROR(('Final Calculation Sheet'!$P$5)&amp;"","")="",ISNUMBER(SEARCH($AS$76:$AZ$76,IFERROR(('Final Calculation Sheet'!$P$5)&amp;"","")))))&gt;0),IF(COUNTIF($BI$76:$BP$76,8)=0,TRUE,SUMPRODUCT(($BI$76:$BP$76=8)*($AS$76:$AZ$76&lt;&gt;"")*IF(((UPPER($AS$76:$AZ$76)="BLANK")+(UPPER($AS$76:$AZ$76)="(BLANK)")+(UPPER($AS$76:$AZ$76)="EMPTY")+(UPPER($AS$76:$AZ$76)="(EMPTY)"))&gt;0,IFERROR(('Final Calculation Sheet'!$P$5)&amp;"","")="",ISNUMBER(SEARCH($AS$76:$AZ$76,IFERROR(('Final Calculation Sheet'!$P$5)&amp;"","")))))&gt;0))))</f>
        <v>1</v>
      </c>
      <c r="CD6">
        <f>IF($R$4="",1,--(AND(SUMPRODUCT(--($AS$77:$AZ$77&lt;&gt;""))&gt;0,IF(COUNTIF($BI$77:$BP$77,1)=0,TRUE,SUMPRODUCT(($BI$77:$BP$77=1)*($AS$77:$AZ$77&lt;&gt;"")*IF(((UPPER($AS$77:$AZ$77)="BLANK")+(UPPER($AS$77:$AZ$77)="(BLANK)")+(UPPER($AS$77:$AZ$77)="EMPTY")+(UPPER($AS$77:$AZ$77)="(EMPTY)"))&gt;0,IFERROR(('Final Calculation Sheet'!$Q$5)&amp;"","")="",ISNUMBER(SEARCH($AS$77:$AZ$77,IFERROR(('Final Calculation Sheet'!$Q$5)&amp;"","")))))&gt;0),IF(COUNTIF($BI$77:$BP$77,2)=0,TRUE,SUMPRODUCT(($BI$77:$BP$77=2)*($AS$77:$AZ$77&lt;&gt;"")*IF(((UPPER($AS$77:$AZ$77)="BLANK")+(UPPER($AS$77:$AZ$77)="(BLANK)")+(UPPER($AS$77:$AZ$77)="EMPTY")+(UPPER($AS$77:$AZ$77)="(EMPTY)"))&gt;0,IFERROR(('Final Calculation Sheet'!$Q$5)&amp;"","")="",ISNUMBER(SEARCH($AS$77:$AZ$77,IFERROR(('Final Calculation Sheet'!$Q$5)&amp;"","")))))&gt;0),IF(COUNTIF($BI$77:$BP$77,3)=0,TRUE,SUMPRODUCT(($BI$77:$BP$77=3)*($AS$77:$AZ$77&lt;&gt;"")*IF(((UPPER($AS$77:$AZ$77)="BLANK")+(UPPER($AS$77:$AZ$77)="(BLANK)")+(UPPER($AS$77:$AZ$77)="EMPTY")+(UPPER($AS$77:$AZ$77)="(EMPTY)"))&gt;0,IFERROR(('Final Calculation Sheet'!$Q$5)&amp;"","")="",ISNUMBER(SEARCH($AS$77:$AZ$77,IFERROR(('Final Calculation Sheet'!$Q$5)&amp;"","")))))&gt;0),IF(COUNTIF($BI$77:$BP$77,4)=0,TRUE,SUMPRODUCT(($BI$77:$BP$77=4)*($AS$77:$AZ$77&lt;&gt;"")*IF(((UPPER($AS$77:$AZ$77)="BLANK")+(UPPER($AS$77:$AZ$77)="(BLANK)")+(UPPER($AS$77:$AZ$77)="EMPTY")+(UPPER($AS$77:$AZ$77)="(EMPTY)"))&gt;0,IFERROR(('Final Calculation Sheet'!$Q$5)&amp;"","")="",ISNUMBER(SEARCH($AS$77:$AZ$77,IFERROR(('Final Calculation Sheet'!$Q$5)&amp;"","")))))&gt;0),IF(COUNTIF($BI$77:$BP$77,5)=0,TRUE,SUMPRODUCT(($BI$77:$BP$77=5)*($AS$77:$AZ$77&lt;&gt;"")*IF(((UPPER($AS$77:$AZ$77)="BLANK")+(UPPER($AS$77:$AZ$77)="(BLANK)")+(UPPER($AS$77:$AZ$77)="EMPTY")+(UPPER($AS$77:$AZ$77)="(EMPTY)"))&gt;0,IFERROR(('Final Calculation Sheet'!$Q$5)&amp;"","")="",ISNUMBER(SEARCH($AS$77:$AZ$77,IFERROR(('Final Calculation Sheet'!$Q$5)&amp;"","")))))&gt;0),IF(COUNTIF($BI$77:$BP$77,6)=0,TRUE,SUMPRODUCT(($BI$77:$BP$77=6)*($AS$77:$AZ$77&lt;&gt;"")*IF(((UPPER($AS$77:$AZ$77)="BLANK")+(UPPER($AS$77:$AZ$77)="(BLANK)")+(UPPER($AS$77:$AZ$77)="EMPTY")+(UPPER($AS$77:$AZ$77)="(EMPTY)"))&gt;0,IFERROR(('Final Calculation Sheet'!$Q$5)&amp;"","")="",ISNUMBER(SEARCH($AS$77:$AZ$77,IFERROR(('Final Calculation Sheet'!$Q$5)&amp;"","")))))&gt;0),IF(COUNTIF($BI$77:$BP$77,7)=0,TRUE,SUMPRODUCT(($BI$77:$BP$77=7)*($AS$77:$AZ$77&lt;&gt;"")*IF(((UPPER($AS$77:$AZ$77)="BLANK")+(UPPER($AS$77:$AZ$77)="(BLANK)")+(UPPER($AS$77:$AZ$77)="EMPTY")+(UPPER($AS$77:$AZ$77)="(EMPTY)"))&gt;0,IFERROR(('Final Calculation Sheet'!$Q$5)&amp;"","")="",ISNUMBER(SEARCH($AS$77:$AZ$77,IFERROR(('Final Calculation Sheet'!$Q$5)&amp;"","")))))&gt;0),IF(COUNTIF($BI$77:$BP$77,8)=0,TRUE,SUMPRODUCT(($BI$77:$BP$77=8)*($AS$77:$AZ$77&lt;&gt;"")*IF(((UPPER($AS$77:$AZ$77)="BLANK")+(UPPER($AS$77:$AZ$77)="(BLANK)")+(UPPER($AS$77:$AZ$77)="EMPTY")+(UPPER($AS$77:$AZ$77)="(EMPTY)"))&gt;0,IFERROR(('Final Calculation Sheet'!$Q$5)&amp;"","")="",ISNUMBER(SEARCH($AS$77:$AZ$77,IFERROR(('Final Calculation Sheet'!$Q$5)&amp;"","")))))&gt;0))))</f>
        <v>1</v>
      </c>
      <c r="CE6">
        <f>IF($S$4="",1,--(AND(SUMPRODUCT(--($AS$78:$AZ$78&lt;&gt;""))&gt;0,IF(COUNTIF($BI$78:$BP$78,1)=0,TRUE,SUMPRODUCT(($BI$78:$BP$78=1)*($AS$78:$AZ$78&lt;&gt;"")*IF(((UPPER($AS$78:$AZ$78)="BLANK")+(UPPER($AS$78:$AZ$78)="(BLANK)")+(UPPER($AS$78:$AZ$78)="EMPTY")+(UPPER($AS$78:$AZ$78)="(EMPTY)"))&gt;0,IFERROR(('Final Calculation Sheet'!$R$5)&amp;"","")="",ISNUMBER(SEARCH($AS$78:$AZ$78,IFERROR(('Final Calculation Sheet'!$R$5)&amp;"","")))))&gt;0),IF(COUNTIF($BI$78:$BP$78,2)=0,TRUE,SUMPRODUCT(($BI$78:$BP$78=2)*($AS$78:$AZ$78&lt;&gt;"")*IF(((UPPER($AS$78:$AZ$78)="BLANK")+(UPPER($AS$78:$AZ$78)="(BLANK)")+(UPPER($AS$78:$AZ$78)="EMPTY")+(UPPER($AS$78:$AZ$78)="(EMPTY)"))&gt;0,IFERROR(('Final Calculation Sheet'!$R$5)&amp;"","")="",ISNUMBER(SEARCH($AS$78:$AZ$78,IFERROR(('Final Calculation Sheet'!$R$5)&amp;"","")))))&gt;0),IF(COUNTIF($BI$78:$BP$78,3)=0,TRUE,SUMPRODUCT(($BI$78:$BP$78=3)*($AS$78:$AZ$78&lt;&gt;"")*IF(((UPPER($AS$78:$AZ$78)="BLANK")+(UPPER($AS$78:$AZ$78)="(BLANK)")+(UPPER($AS$78:$AZ$78)="EMPTY")+(UPPER($AS$78:$AZ$78)="(EMPTY)"))&gt;0,IFERROR(('Final Calculation Sheet'!$R$5)&amp;"","")="",ISNUMBER(SEARCH($AS$78:$AZ$78,IFERROR(('Final Calculation Sheet'!$R$5)&amp;"","")))))&gt;0),IF(COUNTIF($BI$78:$BP$78,4)=0,TRUE,SUMPRODUCT(($BI$78:$BP$78=4)*($AS$78:$AZ$78&lt;&gt;"")*IF(((UPPER($AS$78:$AZ$78)="BLANK")+(UPPER($AS$78:$AZ$78)="(BLANK)")+(UPPER($AS$78:$AZ$78)="EMPTY")+(UPPER($AS$78:$AZ$78)="(EMPTY)"))&gt;0,IFERROR(('Final Calculation Sheet'!$R$5)&amp;"","")="",ISNUMBER(SEARCH($AS$78:$AZ$78,IFERROR(('Final Calculation Sheet'!$R$5)&amp;"","")))))&gt;0),IF(COUNTIF($BI$78:$BP$78,5)=0,TRUE,SUMPRODUCT(($BI$78:$BP$78=5)*($AS$78:$AZ$78&lt;&gt;"")*IF(((UPPER($AS$78:$AZ$78)="BLANK")+(UPPER($AS$78:$AZ$78)="(BLANK)")+(UPPER($AS$78:$AZ$78)="EMPTY")+(UPPER($AS$78:$AZ$78)="(EMPTY)"))&gt;0,IFERROR(('Final Calculation Sheet'!$R$5)&amp;"","")="",ISNUMBER(SEARCH($AS$78:$AZ$78,IFERROR(('Final Calculation Sheet'!$R$5)&amp;"","")))))&gt;0),IF(COUNTIF($BI$78:$BP$78,6)=0,TRUE,SUMPRODUCT(($BI$78:$BP$78=6)*($AS$78:$AZ$78&lt;&gt;"")*IF(((UPPER($AS$78:$AZ$78)="BLANK")+(UPPER($AS$78:$AZ$78)="(BLANK)")+(UPPER($AS$78:$AZ$78)="EMPTY")+(UPPER($AS$78:$AZ$78)="(EMPTY)"))&gt;0,IFERROR(('Final Calculation Sheet'!$R$5)&amp;"","")="",ISNUMBER(SEARCH($AS$78:$AZ$78,IFERROR(('Final Calculation Sheet'!$R$5)&amp;"","")))))&gt;0),IF(COUNTIF($BI$78:$BP$78,7)=0,TRUE,SUMPRODUCT(($BI$78:$BP$78=7)*($AS$78:$AZ$78&lt;&gt;"")*IF(((UPPER($AS$78:$AZ$78)="BLANK")+(UPPER($AS$78:$AZ$78)="(BLANK)")+(UPPER($AS$78:$AZ$78)="EMPTY")+(UPPER($AS$78:$AZ$78)="(EMPTY)"))&gt;0,IFERROR(('Final Calculation Sheet'!$R$5)&amp;"","")="",ISNUMBER(SEARCH($AS$78:$AZ$78,IFERROR(('Final Calculation Sheet'!$R$5)&amp;"","")))))&gt;0),IF(COUNTIF($BI$78:$BP$78,8)=0,TRUE,SUMPRODUCT(($BI$78:$BP$78=8)*($AS$78:$AZ$78&lt;&gt;"")*IF(((UPPER($AS$78:$AZ$78)="BLANK")+(UPPER($AS$78:$AZ$78)="(BLANK)")+(UPPER($AS$78:$AZ$78)="EMPTY")+(UPPER($AS$78:$AZ$78)="(EMPTY)"))&gt;0,IFERROR(('Final Calculation Sheet'!$R$5)&amp;"","")="",ISNUMBER(SEARCH($AS$78:$AZ$78,IFERROR(('Final Calculation Sheet'!$R$5)&amp;"","")))))&gt;0))))</f>
        <v>1</v>
      </c>
      <c r="CF6">
        <f>IF($T$4="",1,--(AND(SUMPRODUCT(--($AS$79:$AZ$79&lt;&gt;""))&gt;0,IF(COUNTIF($BI$79:$BP$79,1)=0,TRUE,SUMPRODUCT(($BI$79:$BP$79=1)*($AS$79:$AZ$79&lt;&gt;"")*IF(((UPPER($AS$79:$AZ$79)="BLANK")+(UPPER($AS$79:$AZ$79)="(BLANK)")+(UPPER($AS$79:$AZ$79)="EMPTY")+(UPPER($AS$79:$AZ$79)="(EMPTY)"))&gt;0,IFERROR(('Final Calculation Sheet'!$S$5)&amp;"","")="",ISNUMBER(SEARCH($AS$79:$AZ$79,IFERROR(('Final Calculation Sheet'!$S$5)&amp;"","")))))&gt;0),IF(COUNTIF($BI$79:$BP$79,2)=0,TRUE,SUMPRODUCT(($BI$79:$BP$79=2)*($AS$79:$AZ$79&lt;&gt;"")*IF(((UPPER($AS$79:$AZ$79)="BLANK")+(UPPER($AS$79:$AZ$79)="(BLANK)")+(UPPER($AS$79:$AZ$79)="EMPTY")+(UPPER($AS$79:$AZ$79)="(EMPTY)"))&gt;0,IFERROR(('Final Calculation Sheet'!$S$5)&amp;"","")="",ISNUMBER(SEARCH($AS$79:$AZ$79,IFERROR(('Final Calculation Sheet'!$S$5)&amp;"","")))))&gt;0),IF(COUNTIF($BI$79:$BP$79,3)=0,TRUE,SUMPRODUCT(($BI$79:$BP$79=3)*($AS$79:$AZ$79&lt;&gt;"")*IF(((UPPER($AS$79:$AZ$79)="BLANK")+(UPPER($AS$79:$AZ$79)="(BLANK)")+(UPPER($AS$79:$AZ$79)="EMPTY")+(UPPER($AS$79:$AZ$79)="(EMPTY)"))&gt;0,IFERROR(('Final Calculation Sheet'!$S$5)&amp;"","")="",ISNUMBER(SEARCH($AS$79:$AZ$79,IFERROR(('Final Calculation Sheet'!$S$5)&amp;"","")))))&gt;0),IF(COUNTIF($BI$79:$BP$79,4)=0,TRUE,SUMPRODUCT(($BI$79:$BP$79=4)*($AS$79:$AZ$79&lt;&gt;"")*IF(((UPPER($AS$79:$AZ$79)="BLANK")+(UPPER($AS$79:$AZ$79)="(BLANK)")+(UPPER($AS$79:$AZ$79)="EMPTY")+(UPPER($AS$79:$AZ$79)="(EMPTY)"))&gt;0,IFERROR(('Final Calculation Sheet'!$S$5)&amp;"","")="",ISNUMBER(SEARCH($AS$79:$AZ$79,IFERROR(('Final Calculation Sheet'!$S$5)&amp;"","")))))&gt;0),IF(COUNTIF($BI$79:$BP$79,5)=0,TRUE,SUMPRODUCT(($BI$79:$BP$79=5)*($AS$79:$AZ$79&lt;&gt;"")*IF(((UPPER($AS$79:$AZ$79)="BLANK")+(UPPER($AS$79:$AZ$79)="(BLANK)")+(UPPER($AS$79:$AZ$79)="EMPTY")+(UPPER($AS$79:$AZ$79)="(EMPTY)"))&gt;0,IFERROR(('Final Calculation Sheet'!$S$5)&amp;"","")="",ISNUMBER(SEARCH($AS$79:$AZ$79,IFERROR(('Final Calculation Sheet'!$S$5)&amp;"","")))))&gt;0),IF(COUNTIF($BI$79:$BP$79,6)=0,TRUE,SUMPRODUCT(($BI$79:$BP$79=6)*($AS$79:$AZ$79&lt;&gt;"")*IF(((UPPER($AS$79:$AZ$79)="BLANK")+(UPPER($AS$79:$AZ$79)="(BLANK)")+(UPPER($AS$79:$AZ$79)="EMPTY")+(UPPER($AS$79:$AZ$79)="(EMPTY)"))&gt;0,IFERROR(('Final Calculation Sheet'!$S$5)&amp;"","")="",ISNUMBER(SEARCH($AS$79:$AZ$79,IFERROR(('Final Calculation Sheet'!$S$5)&amp;"","")))))&gt;0),IF(COUNTIF($BI$79:$BP$79,7)=0,TRUE,SUMPRODUCT(($BI$79:$BP$79=7)*($AS$79:$AZ$79&lt;&gt;"")*IF(((UPPER($AS$79:$AZ$79)="BLANK")+(UPPER($AS$79:$AZ$79)="(BLANK)")+(UPPER($AS$79:$AZ$79)="EMPTY")+(UPPER($AS$79:$AZ$79)="(EMPTY)"))&gt;0,IFERROR(('Final Calculation Sheet'!$S$5)&amp;"","")="",ISNUMBER(SEARCH($AS$79:$AZ$79,IFERROR(('Final Calculation Sheet'!$S$5)&amp;"","")))))&gt;0),IF(COUNTIF($BI$79:$BP$79,8)=0,TRUE,SUMPRODUCT(($BI$79:$BP$79=8)*($AS$79:$AZ$79&lt;&gt;"")*IF(((UPPER($AS$79:$AZ$79)="BLANK")+(UPPER($AS$79:$AZ$79)="(BLANK)")+(UPPER($AS$79:$AZ$79)="EMPTY")+(UPPER($AS$79:$AZ$79)="(EMPTY)"))&gt;0,IFERROR(('Final Calculation Sheet'!$S$5)&amp;"","")="",ISNUMBER(SEARCH($AS$79:$AZ$79,IFERROR(('Final Calculation Sheet'!$S$5)&amp;"","")))))&gt;0))))</f>
        <v>1</v>
      </c>
      <c r="CG6">
        <f>IF($U$4="",1,--(AND(SUMPRODUCT(--($AS$80:$AZ$80&lt;&gt;""))&gt;0,IF(COUNTIF($BI$80:$BP$80,1)=0,TRUE,SUMPRODUCT(($BI$80:$BP$80=1)*($AS$80:$AZ$80&lt;&gt;"")*IF(((UPPER($AS$80:$AZ$80)="BLANK")+(UPPER($AS$80:$AZ$80)="(BLANK)")+(UPPER($AS$80:$AZ$80)="EMPTY")+(UPPER($AS$80:$AZ$80)="(EMPTY)"))&gt;0,IFERROR(('Final Calculation Sheet'!$T$5)&amp;"","")="",ISNUMBER(SEARCH($AS$80:$AZ$80,IFERROR(('Final Calculation Sheet'!$T$5)&amp;"","")))))&gt;0),IF(COUNTIF($BI$80:$BP$80,2)=0,TRUE,SUMPRODUCT(($BI$80:$BP$80=2)*($AS$80:$AZ$80&lt;&gt;"")*IF(((UPPER($AS$80:$AZ$80)="BLANK")+(UPPER($AS$80:$AZ$80)="(BLANK)")+(UPPER($AS$80:$AZ$80)="EMPTY")+(UPPER($AS$80:$AZ$80)="(EMPTY)"))&gt;0,IFERROR(('Final Calculation Sheet'!$T$5)&amp;"","")="",ISNUMBER(SEARCH($AS$80:$AZ$80,IFERROR(('Final Calculation Sheet'!$T$5)&amp;"","")))))&gt;0),IF(COUNTIF($BI$80:$BP$80,3)=0,TRUE,SUMPRODUCT(($BI$80:$BP$80=3)*($AS$80:$AZ$80&lt;&gt;"")*IF(((UPPER($AS$80:$AZ$80)="BLANK")+(UPPER($AS$80:$AZ$80)="(BLANK)")+(UPPER($AS$80:$AZ$80)="EMPTY")+(UPPER($AS$80:$AZ$80)="(EMPTY)"))&gt;0,IFERROR(('Final Calculation Sheet'!$T$5)&amp;"","")="",ISNUMBER(SEARCH($AS$80:$AZ$80,IFERROR(('Final Calculation Sheet'!$T$5)&amp;"","")))))&gt;0),IF(COUNTIF($BI$80:$BP$80,4)=0,TRUE,SUMPRODUCT(($BI$80:$BP$80=4)*($AS$80:$AZ$80&lt;&gt;"")*IF(((UPPER($AS$80:$AZ$80)="BLANK")+(UPPER($AS$80:$AZ$80)="(BLANK)")+(UPPER($AS$80:$AZ$80)="EMPTY")+(UPPER($AS$80:$AZ$80)="(EMPTY)"))&gt;0,IFERROR(('Final Calculation Sheet'!$T$5)&amp;"","")="",ISNUMBER(SEARCH($AS$80:$AZ$80,IFERROR(('Final Calculation Sheet'!$T$5)&amp;"","")))))&gt;0),IF(COUNTIF($BI$80:$BP$80,5)=0,TRUE,SUMPRODUCT(($BI$80:$BP$80=5)*($AS$80:$AZ$80&lt;&gt;"")*IF(((UPPER($AS$80:$AZ$80)="BLANK")+(UPPER($AS$80:$AZ$80)="(BLANK)")+(UPPER($AS$80:$AZ$80)="EMPTY")+(UPPER($AS$80:$AZ$80)="(EMPTY)"))&gt;0,IFERROR(('Final Calculation Sheet'!$T$5)&amp;"","")="",ISNUMBER(SEARCH($AS$80:$AZ$80,IFERROR(('Final Calculation Sheet'!$T$5)&amp;"","")))))&gt;0),IF(COUNTIF($BI$80:$BP$80,6)=0,TRUE,SUMPRODUCT(($BI$80:$BP$80=6)*($AS$80:$AZ$80&lt;&gt;"")*IF(((UPPER($AS$80:$AZ$80)="BLANK")+(UPPER($AS$80:$AZ$80)="(BLANK)")+(UPPER($AS$80:$AZ$80)="EMPTY")+(UPPER($AS$80:$AZ$80)="(EMPTY)"))&gt;0,IFERROR(('Final Calculation Sheet'!$T$5)&amp;"","")="",ISNUMBER(SEARCH($AS$80:$AZ$80,IFERROR(('Final Calculation Sheet'!$T$5)&amp;"","")))))&gt;0),IF(COUNTIF($BI$80:$BP$80,7)=0,TRUE,SUMPRODUCT(($BI$80:$BP$80=7)*($AS$80:$AZ$80&lt;&gt;"")*IF(((UPPER($AS$80:$AZ$80)="BLANK")+(UPPER($AS$80:$AZ$80)="(BLANK)")+(UPPER($AS$80:$AZ$80)="EMPTY")+(UPPER($AS$80:$AZ$80)="(EMPTY)"))&gt;0,IFERROR(('Final Calculation Sheet'!$T$5)&amp;"","")="",ISNUMBER(SEARCH($AS$80:$AZ$80,IFERROR(('Final Calculation Sheet'!$T$5)&amp;"","")))))&gt;0),IF(COUNTIF($BI$80:$BP$80,8)=0,TRUE,SUMPRODUCT(($BI$80:$BP$80=8)*($AS$80:$AZ$80&lt;&gt;"")*IF(((UPPER($AS$80:$AZ$80)="BLANK")+(UPPER($AS$80:$AZ$80)="(BLANK)")+(UPPER($AS$80:$AZ$80)="EMPTY")+(UPPER($AS$80:$AZ$80)="(EMPTY)"))&gt;0,IFERROR(('Final Calculation Sheet'!$T$5)&amp;"","")="",ISNUMBER(SEARCH($AS$80:$AZ$80,IFERROR(('Final Calculation Sheet'!$T$5)&amp;"","")))))&gt;0))))</f>
        <v>1</v>
      </c>
      <c r="CH6">
        <f>IF($V$4="",1,--(AND(SUMPRODUCT(--($AS$81:$AZ$81&lt;&gt;""))&gt;0,IF(COUNTIF($BI$81:$BP$81,1)=0,TRUE,SUMPRODUCT(($BI$81:$BP$81=1)*($AS$81:$AZ$81&lt;&gt;"")*IF(((UPPER($AS$81:$AZ$81)="BLANK")+(UPPER($AS$81:$AZ$81)="(BLANK)")+(UPPER($AS$81:$AZ$81)="EMPTY")+(UPPER($AS$81:$AZ$81)="(EMPTY)"))&gt;0,IFERROR(('Final Calculation Sheet'!$U$5)&amp;"","")="",ISNUMBER(SEARCH($AS$81:$AZ$81,IFERROR(('Final Calculation Sheet'!$U$5)&amp;"","")))))&gt;0),IF(COUNTIF($BI$81:$BP$81,2)=0,TRUE,SUMPRODUCT(($BI$81:$BP$81=2)*($AS$81:$AZ$81&lt;&gt;"")*IF(((UPPER($AS$81:$AZ$81)="BLANK")+(UPPER($AS$81:$AZ$81)="(BLANK)")+(UPPER($AS$81:$AZ$81)="EMPTY")+(UPPER($AS$81:$AZ$81)="(EMPTY)"))&gt;0,IFERROR(('Final Calculation Sheet'!$U$5)&amp;"","")="",ISNUMBER(SEARCH($AS$81:$AZ$81,IFERROR(('Final Calculation Sheet'!$U$5)&amp;"","")))))&gt;0),IF(COUNTIF($BI$81:$BP$81,3)=0,TRUE,SUMPRODUCT(($BI$81:$BP$81=3)*($AS$81:$AZ$81&lt;&gt;"")*IF(((UPPER($AS$81:$AZ$81)="BLANK")+(UPPER($AS$81:$AZ$81)="(BLANK)")+(UPPER($AS$81:$AZ$81)="EMPTY")+(UPPER($AS$81:$AZ$81)="(EMPTY)"))&gt;0,IFERROR(('Final Calculation Sheet'!$U$5)&amp;"","")="",ISNUMBER(SEARCH($AS$81:$AZ$81,IFERROR(('Final Calculation Sheet'!$U$5)&amp;"","")))))&gt;0),IF(COUNTIF($BI$81:$BP$81,4)=0,TRUE,SUMPRODUCT(($BI$81:$BP$81=4)*($AS$81:$AZ$81&lt;&gt;"")*IF(((UPPER($AS$81:$AZ$81)="BLANK")+(UPPER($AS$81:$AZ$81)="(BLANK)")+(UPPER($AS$81:$AZ$81)="EMPTY")+(UPPER($AS$81:$AZ$81)="(EMPTY)"))&gt;0,IFERROR(('Final Calculation Sheet'!$U$5)&amp;"","")="",ISNUMBER(SEARCH($AS$81:$AZ$81,IFERROR(('Final Calculation Sheet'!$U$5)&amp;"","")))))&gt;0),IF(COUNTIF($BI$81:$BP$81,5)=0,TRUE,SUMPRODUCT(($BI$81:$BP$81=5)*($AS$81:$AZ$81&lt;&gt;"")*IF(((UPPER($AS$81:$AZ$81)="BLANK")+(UPPER($AS$81:$AZ$81)="(BLANK)")+(UPPER($AS$81:$AZ$81)="EMPTY")+(UPPER($AS$81:$AZ$81)="(EMPTY)"))&gt;0,IFERROR(('Final Calculation Sheet'!$U$5)&amp;"","")="",ISNUMBER(SEARCH($AS$81:$AZ$81,IFERROR(('Final Calculation Sheet'!$U$5)&amp;"","")))))&gt;0),IF(COUNTIF($BI$81:$BP$81,6)=0,TRUE,SUMPRODUCT(($BI$81:$BP$81=6)*($AS$81:$AZ$81&lt;&gt;"")*IF(((UPPER($AS$81:$AZ$81)="BLANK")+(UPPER($AS$81:$AZ$81)="(BLANK)")+(UPPER($AS$81:$AZ$81)="EMPTY")+(UPPER($AS$81:$AZ$81)="(EMPTY)"))&gt;0,IFERROR(('Final Calculation Sheet'!$U$5)&amp;"","")="",ISNUMBER(SEARCH($AS$81:$AZ$81,IFERROR(('Final Calculation Sheet'!$U$5)&amp;"","")))))&gt;0),IF(COUNTIF($BI$81:$BP$81,7)=0,TRUE,SUMPRODUCT(($BI$81:$BP$81=7)*($AS$81:$AZ$81&lt;&gt;"")*IF(((UPPER($AS$81:$AZ$81)="BLANK")+(UPPER($AS$81:$AZ$81)="(BLANK)")+(UPPER($AS$81:$AZ$81)="EMPTY")+(UPPER($AS$81:$AZ$81)="(EMPTY)"))&gt;0,IFERROR(('Final Calculation Sheet'!$U$5)&amp;"","")="",ISNUMBER(SEARCH($AS$81:$AZ$81,IFERROR(('Final Calculation Sheet'!$U$5)&amp;"","")))))&gt;0),IF(COUNTIF($BI$81:$BP$81,8)=0,TRUE,SUMPRODUCT(($BI$81:$BP$81=8)*($AS$81:$AZ$81&lt;&gt;"")*IF(((UPPER($AS$81:$AZ$81)="BLANK")+(UPPER($AS$81:$AZ$81)="(BLANK)")+(UPPER($AS$81:$AZ$81)="EMPTY")+(UPPER($AS$81:$AZ$81)="(EMPTY)"))&gt;0,IFERROR(('Final Calculation Sheet'!$U$5)&amp;"","")="",ISNUMBER(SEARCH($AS$81:$AZ$81,IFERROR(('Final Calculation Sheet'!$U$5)&amp;"","")))))&gt;0))))</f>
        <v>1</v>
      </c>
      <c r="CI6">
        <f>IF($W$4="",1,--(AND(SUMPRODUCT(--($AS$82:$AZ$82&lt;&gt;""))&gt;0,IF(COUNTIF($BI$82:$BP$82,1)=0,TRUE,SUMPRODUCT(($BI$82:$BP$82=1)*($AS$82:$AZ$82&lt;&gt;"")*IF(((UPPER($AS$82:$AZ$82)="BLANK")+(UPPER($AS$82:$AZ$82)="(BLANK)")+(UPPER($AS$82:$AZ$82)="EMPTY")+(UPPER($AS$82:$AZ$82)="(EMPTY)"))&gt;0,IFERROR(('Final Calculation Sheet'!$V$5)&amp;"","")="",ISNUMBER(SEARCH($AS$82:$AZ$82,IFERROR(('Final Calculation Sheet'!$V$5)&amp;"","")))))&gt;0),IF(COUNTIF($BI$82:$BP$82,2)=0,TRUE,SUMPRODUCT(($BI$82:$BP$82=2)*($AS$82:$AZ$82&lt;&gt;"")*IF(((UPPER($AS$82:$AZ$82)="BLANK")+(UPPER($AS$82:$AZ$82)="(BLANK)")+(UPPER($AS$82:$AZ$82)="EMPTY")+(UPPER($AS$82:$AZ$82)="(EMPTY)"))&gt;0,IFERROR(('Final Calculation Sheet'!$V$5)&amp;"","")="",ISNUMBER(SEARCH($AS$82:$AZ$82,IFERROR(('Final Calculation Sheet'!$V$5)&amp;"","")))))&gt;0),IF(COUNTIF($BI$82:$BP$82,3)=0,TRUE,SUMPRODUCT(($BI$82:$BP$82=3)*($AS$82:$AZ$82&lt;&gt;"")*IF(((UPPER($AS$82:$AZ$82)="BLANK")+(UPPER($AS$82:$AZ$82)="(BLANK)")+(UPPER($AS$82:$AZ$82)="EMPTY")+(UPPER($AS$82:$AZ$82)="(EMPTY)"))&gt;0,IFERROR(('Final Calculation Sheet'!$V$5)&amp;"","")="",ISNUMBER(SEARCH($AS$82:$AZ$82,IFERROR(('Final Calculation Sheet'!$V$5)&amp;"","")))))&gt;0),IF(COUNTIF($BI$82:$BP$82,4)=0,TRUE,SUMPRODUCT(($BI$82:$BP$82=4)*($AS$82:$AZ$82&lt;&gt;"")*IF(((UPPER($AS$82:$AZ$82)="BLANK")+(UPPER($AS$82:$AZ$82)="(BLANK)")+(UPPER($AS$82:$AZ$82)="EMPTY")+(UPPER($AS$82:$AZ$82)="(EMPTY)"))&gt;0,IFERROR(('Final Calculation Sheet'!$V$5)&amp;"","")="",ISNUMBER(SEARCH($AS$82:$AZ$82,IFERROR(('Final Calculation Sheet'!$V$5)&amp;"","")))))&gt;0),IF(COUNTIF($BI$82:$BP$82,5)=0,TRUE,SUMPRODUCT(($BI$82:$BP$82=5)*($AS$82:$AZ$82&lt;&gt;"")*IF(((UPPER($AS$82:$AZ$82)="BLANK")+(UPPER($AS$82:$AZ$82)="(BLANK)")+(UPPER($AS$82:$AZ$82)="EMPTY")+(UPPER($AS$82:$AZ$82)="(EMPTY)"))&gt;0,IFERROR(('Final Calculation Sheet'!$V$5)&amp;"","")="",ISNUMBER(SEARCH($AS$82:$AZ$82,IFERROR(('Final Calculation Sheet'!$V$5)&amp;"","")))))&gt;0),IF(COUNTIF($BI$82:$BP$82,6)=0,TRUE,SUMPRODUCT(($BI$82:$BP$82=6)*($AS$82:$AZ$82&lt;&gt;"")*IF(((UPPER($AS$82:$AZ$82)="BLANK")+(UPPER($AS$82:$AZ$82)="(BLANK)")+(UPPER($AS$82:$AZ$82)="EMPTY")+(UPPER($AS$82:$AZ$82)="(EMPTY)"))&gt;0,IFERROR(('Final Calculation Sheet'!$V$5)&amp;"","")="",ISNUMBER(SEARCH($AS$82:$AZ$82,IFERROR(('Final Calculation Sheet'!$V$5)&amp;"","")))))&gt;0),IF(COUNTIF($BI$82:$BP$82,7)=0,TRUE,SUMPRODUCT(($BI$82:$BP$82=7)*($AS$82:$AZ$82&lt;&gt;"")*IF(((UPPER($AS$82:$AZ$82)="BLANK")+(UPPER($AS$82:$AZ$82)="(BLANK)")+(UPPER($AS$82:$AZ$82)="EMPTY")+(UPPER($AS$82:$AZ$82)="(EMPTY)"))&gt;0,IFERROR(('Final Calculation Sheet'!$V$5)&amp;"","")="",ISNUMBER(SEARCH($AS$82:$AZ$82,IFERROR(('Final Calculation Sheet'!$V$5)&amp;"","")))))&gt;0),IF(COUNTIF($BI$82:$BP$82,8)=0,TRUE,SUMPRODUCT(($BI$82:$BP$82=8)*($AS$82:$AZ$82&lt;&gt;"")*IF(((UPPER($AS$82:$AZ$82)="BLANK")+(UPPER($AS$82:$AZ$82)="(BLANK)")+(UPPER($AS$82:$AZ$82)="EMPTY")+(UPPER($AS$82:$AZ$82)="(EMPTY)"))&gt;0,IFERROR(('Final Calculation Sheet'!$V$5)&amp;"","")="",ISNUMBER(SEARCH($AS$82:$AZ$82,IFERROR(('Final Calculation Sheet'!$V$5)&amp;"","")))))&gt;0))))</f>
        <v>1</v>
      </c>
      <c r="CJ6">
        <f>IF($X$4="",1,--(AND(SUMPRODUCT(--($AS$83:$AZ$83&lt;&gt;""))&gt;0,IF(COUNTIF($BI$83:$BP$83,1)=0,TRUE,SUMPRODUCT(($BI$83:$BP$83=1)*($AS$83:$AZ$83&lt;&gt;"")*IF(((UPPER($AS$83:$AZ$83)="BLANK")+(UPPER($AS$83:$AZ$83)="(BLANK)")+(UPPER($AS$83:$AZ$83)="EMPTY")+(UPPER($AS$83:$AZ$83)="(EMPTY)"))&gt;0,IFERROR(('Final Calculation Sheet'!$W$5)&amp;"","")="",ISNUMBER(SEARCH($AS$83:$AZ$83,IFERROR(('Final Calculation Sheet'!$W$5)&amp;"","")))))&gt;0),IF(COUNTIF($BI$83:$BP$83,2)=0,TRUE,SUMPRODUCT(($BI$83:$BP$83=2)*($AS$83:$AZ$83&lt;&gt;"")*IF(((UPPER($AS$83:$AZ$83)="BLANK")+(UPPER($AS$83:$AZ$83)="(BLANK)")+(UPPER($AS$83:$AZ$83)="EMPTY")+(UPPER($AS$83:$AZ$83)="(EMPTY)"))&gt;0,IFERROR(('Final Calculation Sheet'!$W$5)&amp;"","")="",ISNUMBER(SEARCH($AS$83:$AZ$83,IFERROR(('Final Calculation Sheet'!$W$5)&amp;"","")))))&gt;0),IF(COUNTIF($BI$83:$BP$83,3)=0,TRUE,SUMPRODUCT(($BI$83:$BP$83=3)*($AS$83:$AZ$83&lt;&gt;"")*IF(((UPPER($AS$83:$AZ$83)="BLANK")+(UPPER($AS$83:$AZ$83)="(BLANK)")+(UPPER($AS$83:$AZ$83)="EMPTY")+(UPPER($AS$83:$AZ$83)="(EMPTY)"))&gt;0,IFERROR(('Final Calculation Sheet'!$W$5)&amp;"","")="",ISNUMBER(SEARCH($AS$83:$AZ$83,IFERROR(('Final Calculation Sheet'!$W$5)&amp;"","")))))&gt;0),IF(COUNTIF($BI$83:$BP$83,4)=0,TRUE,SUMPRODUCT(($BI$83:$BP$83=4)*($AS$83:$AZ$83&lt;&gt;"")*IF(((UPPER($AS$83:$AZ$83)="BLANK")+(UPPER($AS$83:$AZ$83)="(BLANK)")+(UPPER($AS$83:$AZ$83)="EMPTY")+(UPPER($AS$83:$AZ$83)="(EMPTY)"))&gt;0,IFERROR(('Final Calculation Sheet'!$W$5)&amp;"","")="",ISNUMBER(SEARCH($AS$83:$AZ$83,IFERROR(('Final Calculation Sheet'!$W$5)&amp;"","")))))&gt;0),IF(COUNTIF($BI$83:$BP$83,5)=0,TRUE,SUMPRODUCT(($BI$83:$BP$83=5)*($AS$83:$AZ$83&lt;&gt;"")*IF(((UPPER($AS$83:$AZ$83)="BLANK")+(UPPER($AS$83:$AZ$83)="(BLANK)")+(UPPER($AS$83:$AZ$83)="EMPTY")+(UPPER($AS$83:$AZ$83)="(EMPTY)"))&gt;0,IFERROR(('Final Calculation Sheet'!$W$5)&amp;"","")="",ISNUMBER(SEARCH($AS$83:$AZ$83,IFERROR(('Final Calculation Sheet'!$W$5)&amp;"","")))))&gt;0),IF(COUNTIF($BI$83:$BP$83,6)=0,TRUE,SUMPRODUCT(($BI$83:$BP$83=6)*($AS$83:$AZ$83&lt;&gt;"")*IF(((UPPER($AS$83:$AZ$83)="BLANK")+(UPPER($AS$83:$AZ$83)="(BLANK)")+(UPPER($AS$83:$AZ$83)="EMPTY")+(UPPER($AS$83:$AZ$83)="(EMPTY)"))&gt;0,IFERROR(('Final Calculation Sheet'!$W$5)&amp;"","")="",ISNUMBER(SEARCH($AS$83:$AZ$83,IFERROR(('Final Calculation Sheet'!$W$5)&amp;"","")))))&gt;0),IF(COUNTIF($BI$83:$BP$83,7)=0,TRUE,SUMPRODUCT(($BI$83:$BP$83=7)*($AS$83:$AZ$83&lt;&gt;"")*IF(((UPPER($AS$83:$AZ$83)="BLANK")+(UPPER($AS$83:$AZ$83)="(BLANK)")+(UPPER($AS$83:$AZ$83)="EMPTY")+(UPPER($AS$83:$AZ$83)="(EMPTY)"))&gt;0,IFERROR(('Final Calculation Sheet'!$W$5)&amp;"","")="",ISNUMBER(SEARCH($AS$83:$AZ$83,IFERROR(('Final Calculation Sheet'!$W$5)&amp;"","")))))&gt;0),IF(COUNTIF($BI$83:$BP$83,8)=0,TRUE,SUMPRODUCT(($BI$83:$BP$83=8)*($AS$83:$AZ$83&lt;&gt;"")*IF(((UPPER($AS$83:$AZ$83)="BLANK")+(UPPER($AS$83:$AZ$83)="(BLANK)")+(UPPER($AS$83:$AZ$83)="EMPTY")+(UPPER($AS$83:$AZ$83)="(EMPTY)"))&gt;0,IFERROR(('Final Calculation Sheet'!$W$5)&amp;"","")="",ISNUMBER(SEARCH($AS$83:$AZ$83,IFERROR(('Final Calculation Sheet'!$W$5)&amp;"","")))))&gt;0))))</f>
        <v>1</v>
      </c>
      <c r="CK6">
        <f>IF($Y$4="",1,--(AND(SUMPRODUCT(--($AS$84:$AZ$84&lt;&gt;""))&gt;0,IF(COUNTIF($BI$84:$BP$84,1)=0,TRUE,SUMPRODUCT(($BI$84:$BP$84=1)*($AS$84:$AZ$84&lt;&gt;"")*IF(((UPPER($AS$84:$AZ$84)="BLANK")+(UPPER($AS$84:$AZ$84)="(BLANK)")+(UPPER($AS$84:$AZ$84)="EMPTY")+(UPPER($AS$84:$AZ$84)="(EMPTY)"))&gt;0,IFERROR(('Final Calculation Sheet'!$X$5)&amp;"","")="",ISNUMBER(SEARCH($AS$84:$AZ$84,IFERROR(('Final Calculation Sheet'!$X$5)&amp;"","")))))&gt;0),IF(COUNTIF($BI$84:$BP$84,2)=0,TRUE,SUMPRODUCT(($BI$84:$BP$84=2)*($AS$84:$AZ$84&lt;&gt;"")*IF(((UPPER($AS$84:$AZ$84)="BLANK")+(UPPER($AS$84:$AZ$84)="(BLANK)")+(UPPER($AS$84:$AZ$84)="EMPTY")+(UPPER($AS$84:$AZ$84)="(EMPTY)"))&gt;0,IFERROR(('Final Calculation Sheet'!$X$5)&amp;"","")="",ISNUMBER(SEARCH($AS$84:$AZ$84,IFERROR(('Final Calculation Sheet'!$X$5)&amp;"","")))))&gt;0),IF(COUNTIF($BI$84:$BP$84,3)=0,TRUE,SUMPRODUCT(($BI$84:$BP$84=3)*($AS$84:$AZ$84&lt;&gt;"")*IF(((UPPER($AS$84:$AZ$84)="BLANK")+(UPPER($AS$84:$AZ$84)="(BLANK)")+(UPPER($AS$84:$AZ$84)="EMPTY")+(UPPER($AS$84:$AZ$84)="(EMPTY)"))&gt;0,IFERROR(('Final Calculation Sheet'!$X$5)&amp;"","")="",ISNUMBER(SEARCH($AS$84:$AZ$84,IFERROR(('Final Calculation Sheet'!$X$5)&amp;"","")))))&gt;0),IF(COUNTIF($BI$84:$BP$84,4)=0,TRUE,SUMPRODUCT(($BI$84:$BP$84=4)*($AS$84:$AZ$84&lt;&gt;"")*IF(((UPPER($AS$84:$AZ$84)="BLANK")+(UPPER($AS$84:$AZ$84)="(BLANK)")+(UPPER($AS$84:$AZ$84)="EMPTY")+(UPPER($AS$84:$AZ$84)="(EMPTY)"))&gt;0,IFERROR(('Final Calculation Sheet'!$X$5)&amp;"","")="",ISNUMBER(SEARCH($AS$84:$AZ$84,IFERROR(('Final Calculation Sheet'!$X$5)&amp;"","")))))&gt;0),IF(COUNTIF($BI$84:$BP$84,5)=0,TRUE,SUMPRODUCT(($BI$84:$BP$84=5)*($AS$84:$AZ$84&lt;&gt;"")*IF(((UPPER($AS$84:$AZ$84)="BLANK")+(UPPER($AS$84:$AZ$84)="(BLANK)")+(UPPER($AS$84:$AZ$84)="EMPTY")+(UPPER($AS$84:$AZ$84)="(EMPTY)"))&gt;0,IFERROR(('Final Calculation Sheet'!$X$5)&amp;"","")="",ISNUMBER(SEARCH($AS$84:$AZ$84,IFERROR(('Final Calculation Sheet'!$X$5)&amp;"","")))))&gt;0),IF(COUNTIF($BI$84:$BP$84,6)=0,TRUE,SUMPRODUCT(($BI$84:$BP$84=6)*($AS$84:$AZ$84&lt;&gt;"")*IF(((UPPER($AS$84:$AZ$84)="BLANK")+(UPPER($AS$84:$AZ$84)="(BLANK)")+(UPPER($AS$84:$AZ$84)="EMPTY")+(UPPER($AS$84:$AZ$84)="(EMPTY)"))&gt;0,IFERROR(('Final Calculation Sheet'!$X$5)&amp;"","")="",ISNUMBER(SEARCH($AS$84:$AZ$84,IFERROR(('Final Calculation Sheet'!$X$5)&amp;"","")))))&gt;0),IF(COUNTIF($BI$84:$BP$84,7)=0,TRUE,SUMPRODUCT(($BI$84:$BP$84=7)*($AS$84:$AZ$84&lt;&gt;"")*IF(((UPPER($AS$84:$AZ$84)="BLANK")+(UPPER($AS$84:$AZ$84)="(BLANK)")+(UPPER($AS$84:$AZ$84)="EMPTY")+(UPPER($AS$84:$AZ$84)="(EMPTY)"))&gt;0,IFERROR(('Final Calculation Sheet'!$X$5)&amp;"","")="",ISNUMBER(SEARCH($AS$84:$AZ$84,IFERROR(('Final Calculation Sheet'!$X$5)&amp;"","")))))&gt;0),IF(COUNTIF($BI$84:$BP$84,8)=0,TRUE,SUMPRODUCT(($BI$84:$BP$84=8)*($AS$84:$AZ$84&lt;&gt;"")*IF(((UPPER($AS$84:$AZ$84)="BLANK")+(UPPER($AS$84:$AZ$84)="(BLANK)")+(UPPER($AS$84:$AZ$84)="EMPTY")+(UPPER($AS$84:$AZ$84)="(EMPTY)"))&gt;0,IFERROR(('Final Calculation Sheet'!$X$5)&amp;"","")="",ISNUMBER(SEARCH($AS$84:$AZ$84,IFERROR(('Final Calculation Sheet'!$X$5)&amp;"","")))))&gt;0))))</f>
        <v>1</v>
      </c>
      <c r="CL6">
        <f>IF($Z$4="",1,--(AND(SUMPRODUCT(--($AS$85:$AZ$85&lt;&gt;""))&gt;0,IF(COUNTIF($BI$85:$BP$85,1)=0,TRUE,SUMPRODUCT(($BI$85:$BP$85=1)*($AS$85:$AZ$85&lt;&gt;"")*IF(((UPPER($AS$85:$AZ$85)="BLANK")+(UPPER($AS$85:$AZ$85)="(BLANK)")+(UPPER($AS$85:$AZ$85)="EMPTY")+(UPPER($AS$85:$AZ$85)="(EMPTY)"))&gt;0,IFERROR(('Final Calculation Sheet'!$Y$5)&amp;"","")="",ISNUMBER(SEARCH($AS$85:$AZ$85,IFERROR(('Final Calculation Sheet'!$Y$5)&amp;"","")))))&gt;0),IF(COUNTIF($BI$85:$BP$85,2)=0,TRUE,SUMPRODUCT(($BI$85:$BP$85=2)*($AS$85:$AZ$85&lt;&gt;"")*IF(((UPPER($AS$85:$AZ$85)="BLANK")+(UPPER($AS$85:$AZ$85)="(BLANK)")+(UPPER($AS$85:$AZ$85)="EMPTY")+(UPPER($AS$85:$AZ$85)="(EMPTY)"))&gt;0,IFERROR(('Final Calculation Sheet'!$Y$5)&amp;"","")="",ISNUMBER(SEARCH($AS$85:$AZ$85,IFERROR(('Final Calculation Sheet'!$Y$5)&amp;"","")))))&gt;0),IF(COUNTIF($BI$85:$BP$85,3)=0,TRUE,SUMPRODUCT(($BI$85:$BP$85=3)*($AS$85:$AZ$85&lt;&gt;"")*IF(((UPPER($AS$85:$AZ$85)="BLANK")+(UPPER($AS$85:$AZ$85)="(BLANK)")+(UPPER($AS$85:$AZ$85)="EMPTY")+(UPPER($AS$85:$AZ$85)="(EMPTY)"))&gt;0,IFERROR(('Final Calculation Sheet'!$Y$5)&amp;"","")="",ISNUMBER(SEARCH($AS$85:$AZ$85,IFERROR(('Final Calculation Sheet'!$Y$5)&amp;"","")))))&gt;0),IF(COUNTIF($BI$85:$BP$85,4)=0,TRUE,SUMPRODUCT(($BI$85:$BP$85=4)*($AS$85:$AZ$85&lt;&gt;"")*IF(((UPPER($AS$85:$AZ$85)="BLANK")+(UPPER($AS$85:$AZ$85)="(BLANK)")+(UPPER($AS$85:$AZ$85)="EMPTY")+(UPPER($AS$85:$AZ$85)="(EMPTY)"))&gt;0,IFERROR(('Final Calculation Sheet'!$Y$5)&amp;"","")="",ISNUMBER(SEARCH($AS$85:$AZ$85,IFERROR(('Final Calculation Sheet'!$Y$5)&amp;"","")))))&gt;0),IF(COUNTIF($BI$85:$BP$85,5)=0,TRUE,SUMPRODUCT(($BI$85:$BP$85=5)*($AS$85:$AZ$85&lt;&gt;"")*IF(((UPPER($AS$85:$AZ$85)="BLANK")+(UPPER($AS$85:$AZ$85)="(BLANK)")+(UPPER($AS$85:$AZ$85)="EMPTY")+(UPPER($AS$85:$AZ$85)="(EMPTY)"))&gt;0,IFERROR(('Final Calculation Sheet'!$Y$5)&amp;"","")="",ISNUMBER(SEARCH($AS$85:$AZ$85,IFERROR(('Final Calculation Sheet'!$Y$5)&amp;"","")))))&gt;0),IF(COUNTIF($BI$85:$BP$85,6)=0,TRUE,SUMPRODUCT(($BI$85:$BP$85=6)*($AS$85:$AZ$85&lt;&gt;"")*IF(((UPPER($AS$85:$AZ$85)="BLANK")+(UPPER($AS$85:$AZ$85)="(BLANK)")+(UPPER($AS$85:$AZ$85)="EMPTY")+(UPPER($AS$85:$AZ$85)="(EMPTY)"))&gt;0,IFERROR(('Final Calculation Sheet'!$Y$5)&amp;"","")="",ISNUMBER(SEARCH($AS$85:$AZ$85,IFERROR(('Final Calculation Sheet'!$Y$5)&amp;"","")))))&gt;0),IF(COUNTIF($BI$85:$BP$85,7)=0,TRUE,SUMPRODUCT(($BI$85:$BP$85=7)*($AS$85:$AZ$85&lt;&gt;"")*IF(((UPPER($AS$85:$AZ$85)="BLANK")+(UPPER($AS$85:$AZ$85)="(BLANK)")+(UPPER($AS$85:$AZ$85)="EMPTY")+(UPPER($AS$85:$AZ$85)="(EMPTY)"))&gt;0,IFERROR(('Final Calculation Sheet'!$Y$5)&amp;"","")="",ISNUMBER(SEARCH($AS$85:$AZ$85,IFERROR(('Final Calculation Sheet'!$Y$5)&amp;"","")))))&gt;0),IF(COUNTIF($BI$85:$BP$85,8)=0,TRUE,SUMPRODUCT(($BI$85:$BP$85=8)*($AS$85:$AZ$85&lt;&gt;"")*IF(((UPPER($AS$85:$AZ$85)="BLANK")+(UPPER($AS$85:$AZ$85)="(BLANK)")+(UPPER($AS$85:$AZ$85)="EMPTY")+(UPPER($AS$85:$AZ$85)="(EMPTY)"))&gt;0,IFERROR(('Final Calculation Sheet'!$Y$5)&amp;"","")="",ISNUMBER(SEARCH($AS$85:$AZ$85,IFERROR(('Final Calculation Sheet'!$Y$5)&amp;"","")))))&gt;0))))</f>
        <v>1</v>
      </c>
      <c r="CM6">
        <f>IF($AA$4="",1,--(AND(SUMPRODUCT(--($AS$86:$AZ$86&lt;&gt;""))&gt;0,IF(COUNTIF($BI$86:$BP$86,1)=0,TRUE,SUMPRODUCT(($BI$86:$BP$86=1)*($AS$86:$AZ$86&lt;&gt;"")*IF(((UPPER($AS$86:$AZ$86)="BLANK")+(UPPER($AS$86:$AZ$86)="(BLANK)")+(UPPER($AS$86:$AZ$86)="EMPTY")+(UPPER($AS$86:$AZ$86)="(EMPTY)"))&gt;0,IFERROR(('Final Calculation Sheet'!$Z$5)&amp;"","")="",ISNUMBER(SEARCH($AS$86:$AZ$86,IFERROR(('Final Calculation Sheet'!$Z$5)&amp;"","")))))&gt;0),IF(COUNTIF($BI$86:$BP$86,2)=0,TRUE,SUMPRODUCT(($BI$86:$BP$86=2)*($AS$86:$AZ$86&lt;&gt;"")*IF(((UPPER($AS$86:$AZ$86)="BLANK")+(UPPER($AS$86:$AZ$86)="(BLANK)")+(UPPER($AS$86:$AZ$86)="EMPTY")+(UPPER($AS$86:$AZ$86)="(EMPTY)"))&gt;0,IFERROR(('Final Calculation Sheet'!$Z$5)&amp;"","")="",ISNUMBER(SEARCH($AS$86:$AZ$86,IFERROR(('Final Calculation Sheet'!$Z$5)&amp;"","")))))&gt;0),IF(COUNTIF($BI$86:$BP$86,3)=0,TRUE,SUMPRODUCT(($BI$86:$BP$86=3)*($AS$86:$AZ$86&lt;&gt;"")*IF(((UPPER($AS$86:$AZ$86)="BLANK")+(UPPER($AS$86:$AZ$86)="(BLANK)")+(UPPER($AS$86:$AZ$86)="EMPTY")+(UPPER($AS$86:$AZ$86)="(EMPTY)"))&gt;0,IFERROR(('Final Calculation Sheet'!$Z$5)&amp;"","")="",ISNUMBER(SEARCH($AS$86:$AZ$86,IFERROR(('Final Calculation Sheet'!$Z$5)&amp;"","")))))&gt;0),IF(COUNTIF($BI$86:$BP$86,4)=0,TRUE,SUMPRODUCT(($BI$86:$BP$86=4)*($AS$86:$AZ$86&lt;&gt;"")*IF(((UPPER($AS$86:$AZ$86)="BLANK")+(UPPER($AS$86:$AZ$86)="(BLANK)")+(UPPER($AS$86:$AZ$86)="EMPTY")+(UPPER($AS$86:$AZ$86)="(EMPTY)"))&gt;0,IFERROR(('Final Calculation Sheet'!$Z$5)&amp;"","")="",ISNUMBER(SEARCH($AS$86:$AZ$86,IFERROR(('Final Calculation Sheet'!$Z$5)&amp;"","")))))&gt;0),IF(COUNTIF($BI$86:$BP$86,5)=0,TRUE,SUMPRODUCT(($BI$86:$BP$86=5)*($AS$86:$AZ$86&lt;&gt;"")*IF(((UPPER($AS$86:$AZ$86)="BLANK")+(UPPER($AS$86:$AZ$86)="(BLANK)")+(UPPER($AS$86:$AZ$86)="EMPTY")+(UPPER($AS$86:$AZ$86)="(EMPTY)"))&gt;0,IFERROR(('Final Calculation Sheet'!$Z$5)&amp;"","")="",ISNUMBER(SEARCH($AS$86:$AZ$86,IFERROR(('Final Calculation Sheet'!$Z$5)&amp;"","")))))&gt;0),IF(COUNTIF($BI$86:$BP$86,6)=0,TRUE,SUMPRODUCT(($BI$86:$BP$86=6)*($AS$86:$AZ$86&lt;&gt;"")*IF(((UPPER($AS$86:$AZ$86)="BLANK")+(UPPER($AS$86:$AZ$86)="(BLANK)")+(UPPER($AS$86:$AZ$86)="EMPTY")+(UPPER($AS$86:$AZ$86)="(EMPTY)"))&gt;0,IFERROR(('Final Calculation Sheet'!$Z$5)&amp;"","")="",ISNUMBER(SEARCH($AS$86:$AZ$86,IFERROR(('Final Calculation Sheet'!$Z$5)&amp;"","")))))&gt;0),IF(COUNTIF($BI$86:$BP$86,7)=0,TRUE,SUMPRODUCT(($BI$86:$BP$86=7)*($AS$86:$AZ$86&lt;&gt;"")*IF(((UPPER($AS$86:$AZ$86)="BLANK")+(UPPER($AS$86:$AZ$86)="(BLANK)")+(UPPER($AS$86:$AZ$86)="EMPTY")+(UPPER($AS$86:$AZ$86)="(EMPTY)"))&gt;0,IFERROR(('Final Calculation Sheet'!$Z$5)&amp;"","")="",ISNUMBER(SEARCH($AS$86:$AZ$86,IFERROR(('Final Calculation Sheet'!$Z$5)&amp;"","")))))&gt;0),IF(COUNTIF($BI$86:$BP$86,8)=0,TRUE,SUMPRODUCT(($BI$86:$BP$86=8)*($AS$86:$AZ$86&lt;&gt;"")*IF(((UPPER($AS$86:$AZ$86)="BLANK")+(UPPER($AS$86:$AZ$86)="(BLANK)")+(UPPER($AS$86:$AZ$86)="EMPTY")+(UPPER($AS$86:$AZ$86)="(EMPTY)"))&gt;0,IFERROR(('Final Calculation Sheet'!$Z$5)&amp;"","")="",ISNUMBER(SEARCH($AS$86:$AZ$86,IFERROR(('Final Calculation Sheet'!$Z$5)&amp;"","")))))&gt;0))))</f>
        <v>1</v>
      </c>
      <c r="CN6">
        <f>IF($AB$4="",1,--(AND(SUMPRODUCT(--($AS$87:$AZ$87&lt;&gt;""))&gt;0,IF(COUNTIF($BI$87:$BP$87,1)=0,TRUE,SUMPRODUCT(($BI$87:$BP$87=1)*($AS$87:$AZ$87&lt;&gt;"")*IF(((UPPER($AS$87:$AZ$87)="BLANK")+(UPPER($AS$87:$AZ$87)="(BLANK)")+(UPPER($AS$87:$AZ$87)="EMPTY")+(UPPER($AS$87:$AZ$87)="(EMPTY)"))&gt;0,IFERROR(('Final Calculation Sheet'!$AA$5)&amp;"","")="",ISNUMBER(SEARCH($AS$87:$AZ$87,IFERROR(('Final Calculation Sheet'!$AA$5)&amp;"","")))))&gt;0),IF(COUNTIF($BI$87:$BP$87,2)=0,TRUE,SUMPRODUCT(($BI$87:$BP$87=2)*($AS$87:$AZ$87&lt;&gt;"")*IF(((UPPER($AS$87:$AZ$87)="BLANK")+(UPPER($AS$87:$AZ$87)="(BLANK)")+(UPPER($AS$87:$AZ$87)="EMPTY")+(UPPER($AS$87:$AZ$87)="(EMPTY)"))&gt;0,IFERROR(('Final Calculation Sheet'!$AA$5)&amp;"","")="",ISNUMBER(SEARCH($AS$87:$AZ$87,IFERROR(('Final Calculation Sheet'!$AA$5)&amp;"","")))))&gt;0),IF(COUNTIF($BI$87:$BP$87,3)=0,TRUE,SUMPRODUCT(($BI$87:$BP$87=3)*($AS$87:$AZ$87&lt;&gt;"")*IF(((UPPER($AS$87:$AZ$87)="BLANK")+(UPPER($AS$87:$AZ$87)="(BLANK)")+(UPPER($AS$87:$AZ$87)="EMPTY")+(UPPER($AS$87:$AZ$87)="(EMPTY)"))&gt;0,IFERROR(('Final Calculation Sheet'!$AA$5)&amp;"","")="",ISNUMBER(SEARCH($AS$87:$AZ$87,IFERROR(('Final Calculation Sheet'!$AA$5)&amp;"","")))))&gt;0),IF(COUNTIF($BI$87:$BP$87,4)=0,TRUE,SUMPRODUCT(($BI$87:$BP$87=4)*($AS$87:$AZ$87&lt;&gt;"")*IF(((UPPER($AS$87:$AZ$87)="BLANK")+(UPPER($AS$87:$AZ$87)="(BLANK)")+(UPPER($AS$87:$AZ$87)="EMPTY")+(UPPER($AS$87:$AZ$87)="(EMPTY)"))&gt;0,IFERROR(('Final Calculation Sheet'!$AA$5)&amp;"","")="",ISNUMBER(SEARCH($AS$87:$AZ$87,IFERROR(('Final Calculation Sheet'!$AA$5)&amp;"","")))))&gt;0),IF(COUNTIF($BI$87:$BP$87,5)=0,TRUE,SUMPRODUCT(($BI$87:$BP$87=5)*($AS$87:$AZ$87&lt;&gt;"")*IF(((UPPER($AS$87:$AZ$87)="BLANK")+(UPPER($AS$87:$AZ$87)="(BLANK)")+(UPPER($AS$87:$AZ$87)="EMPTY")+(UPPER($AS$87:$AZ$87)="(EMPTY)"))&gt;0,IFERROR(('Final Calculation Sheet'!$AA$5)&amp;"","")="",ISNUMBER(SEARCH($AS$87:$AZ$87,IFERROR(('Final Calculation Sheet'!$AA$5)&amp;"","")))))&gt;0),IF(COUNTIF($BI$87:$BP$87,6)=0,TRUE,SUMPRODUCT(($BI$87:$BP$87=6)*($AS$87:$AZ$87&lt;&gt;"")*IF(((UPPER($AS$87:$AZ$87)="BLANK")+(UPPER($AS$87:$AZ$87)="(BLANK)")+(UPPER($AS$87:$AZ$87)="EMPTY")+(UPPER($AS$87:$AZ$87)="(EMPTY)"))&gt;0,IFERROR(('Final Calculation Sheet'!$AA$5)&amp;"","")="",ISNUMBER(SEARCH($AS$87:$AZ$87,IFERROR(('Final Calculation Sheet'!$AA$5)&amp;"","")))))&gt;0),IF(COUNTIF($BI$87:$BP$87,7)=0,TRUE,SUMPRODUCT(($BI$87:$BP$87=7)*($AS$87:$AZ$87&lt;&gt;"")*IF(((UPPER($AS$87:$AZ$87)="BLANK")+(UPPER($AS$87:$AZ$87)="(BLANK)")+(UPPER($AS$87:$AZ$87)="EMPTY")+(UPPER($AS$87:$AZ$87)="(EMPTY)"))&gt;0,IFERROR(('Final Calculation Sheet'!$AA$5)&amp;"","")="",ISNUMBER(SEARCH($AS$87:$AZ$87,IFERROR(('Final Calculation Sheet'!$AA$5)&amp;"","")))))&gt;0),IF(COUNTIF($BI$87:$BP$87,8)=0,TRUE,SUMPRODUCT(($BI$87:$BP$87=8)*($AS$87:$AZ$87&lt;&gt;"")*IF(((UPPER($AS$87:$AZ$87)="BLANK")+(UPPER($AS$87:$AZ$87)="(BLANK)")+(UPPER($AS$87:$AZ$87)="EMPTY")+(UPPER($AS$87:$AZ$87)="(EMPTY)"))&gt;0,IFERROR(('Final Calculation Sheet'!$AA$5)&amp;"","")="",ISNUMBER(SEARCH($AS$87:$AZ$87,IFERROR(('Final Calculation Sheet'!$AA$5)&amp;"","")))))&gt;0))))</f>
        <v>1</v>
      </c>
      <c r="CO6">
        <f>IF($AC$4="",1,--(AND(SUMPRODUCT(--($AS$88:$AZ$88&lt;&gt;""))&gt;0,IF(COUNTIF($BI$88:$BP$88,1)=0,TRUE,SUMPRODUCT(($BI$88:$BP$88=1)*($AS$88:$AZ$88&lt;&gt;"")*IF(((UPPER($AS$88:$AZ$88)="BLANK")+(UPPER($AS$88:$AZ$88)="(BLANK)")+(UPPER($AS$88:$AZ$88)="EMPTY")+(UPPER($AS$88:$AZ$88)="(EMPTY)"))&gt;0,IFERROR(('Final Calculation Sheet'!$AB$5)&amp;"","")="",ISNUMBER(SEARCH($AS$88:$AZ$88,IFERROR(('Final Calculation Sheet'!$AB$5)&amp;"","")))))&gt;0),IF(COUNTIF($BI$88:$BP$88,2)=0,TRUE,SUMPRODUCT(($BI$88:$BP$88=2)*($AS$88:$AZ$88&lt;&gt;"")*IF(((UPPER($AS$88:$AZ$88)="BLANK")+(UPPER($AS$88:$AZ$88)="(BLANK)")+(UPPER($AS$88:$AZ$88)="EMPTY")+(UPPER($AS$88:$AZ$88)="(EMPTY)"))&gt;0,IFERROR(('Final Calculation Sheet'!$AB$5)&amp;"","")="",ISNUMBER(SEARCH($AS$88:$AZ$88,IFERROR(('Final Calculation Sheet'!$AB$5)&amp;"","")))))&gt;0),IF(COUNTIF($BI$88:$BP$88,3)=0,TRUE,SUMPRODUCT(($BI$88:$BP$88=3)*($AS$88:$AZ$88&lt;&gt;"")*IF(((UPPER($AS$88:$AZ$88)="BLANK")+(UPPER($AS$88:$AZ$88)="(BLANK)")+(UPPER($AS$88:$AZ$88)="EMPTY")+(UPPER($AS$88:$AZ$88)="(EMPTY)"))&gt;0,IFERROR(('Final Calculation Sheet'!$AB$5)&amp;"","")="",ISNUMBER(SEARCH($AS$88:$AZ$88,IFERROR(('Final Calculation Sheet'!$AB$5)&amp;"","")))))&gt;0),IF(COUNTIF($BI$88:$BP$88,4)=0,TRUE,SUMPRODUCT(($BI$88:$BP$88=4)*($AS$88:$AZ$88&lt;&gt;"")*IF(((UPPER($AS$88:$AZ$88)="BLANK")+(UPPER($AS$88:$AZ$88)="(BLANK)")+(UPPER($AS$88:$AZ$88)="EMPTY")+(UPPER($AS$88:$AZ$88)="(EMPTY)"))&gt;0,IFERROR(('Final Calculation Sheet'!$AB$5)&amp;"","")="",ISNUMBER(SEARCH($AS$88:$AZ$88,IFERROR(('Final Calculation Sheet'!$AB$5)&amp;"","")))))&gt;0),IF(COUNTIF($BI$88:$BP$88,5)=0,TRUE,SUMPRODUCT(($BI$88:$BP$88=5)*($AS$88:$AZ$88&lt;&gt;"")*IF(((UPPER($AS$88:$AZ$88)="BLANK")+(UPPER($AS$88:$AZ$88)="(BLANK)")+(UPPER($AS$88:$AZ$88)="EMPTY")+(UPPER($AS$88:$AZ$88)="(EMPTY)"))&gt;0,IFERROR(('Final Calculation Sheet'!$AB$5)&amp;"","")="",ISNUMBER(SEARCH($AS$88:$AZ$88,IFERROR(('Final Calculation Sheet'!$AB$5)&amp;"","")))))&gt;0),IF(COUNTIF($BI$88:$BP$88,6)=0,TRUE,SUMPRODUCT(($BI$88:$BP$88=6)*($AS$88:$AZ$88&lt;&gt;"")*IF(((UPPER($AS$88:$AZ$88)="BLANK")+(UPPER($AS$88:$AZ$88)="(BLANK)")+(UPPER($AS$88:$AZ$88)="EMPTY")+(UPPER($AS$88:$AZ$88)="(EMPTY)"))&gt;0,IFERROR(('Final Calculation Sheet'!$AB$5)&amp;"","")="",ISNUMBER(SEARCH($AS$88:$AZ$88,IFERROR(('Final Calculation Sheet'!$AB$5)&amp;"","")))))&gt;0),IF(COUNTIF($BI$88:$BP$88,7)=0,TRUE,SUMPRODUCT(($BI$88:$BP$88=7)*($AS$88:$AZ$88&lt;&gt;"")*IF(((UPPER($AS$88:$AZ$88)="BLANK")+(UPPER($AS$88:$AZ$88)="(BLANK)")+(UPPER($AS$88:$AZ$88)="EMPTY")+(UPPER($AS$88:$AZ$88)="(EMPTY)"))&gt;0,IFERROR(('Final Calculation Sheet'!$AB$5)&amp;"","")="",ISNUMBER(SEARCH($AS$88:$AZ$88,IFERROR(('Final Calculation Sheet'!$AB$5)&amp;"","")))))&gt;0),IF(COUNTIF($BI$88:$BP$88,8)=0,TRUE,SUMPRODUCT(($BI$88:$BP$88=8)*($AS$88:$AZ$88&lt;&gt;"")*IF(((UPPER($AS$88:$AZ$88)="BLANK")+(UPPER($AS$88:$AZ$88)="(BLANK)")+(UPPER($AS$88:$AZ$88)="EMPTY")+(UPPER($AS$88:$AZ$88)="(EMPTY)"))&gt;0,IFERROR(('Final Calculation Sheet'!$AB$5)&amp;"","")="",ISNUMBER(SEARCH($AS$88:$AZ$88,IFERROR(('Final Calculation Sheet'!$AB$5)&amp;"","")))))&gt;0))))</f>
        <v>1</v>
      </c>
      <c r="CP6">
        <f>IF($AD$4="",1,--(AND(SUMPRODUCT(--($AS$89:$AZ$89&lt;&gt;""))&gt;0,IF(COUNTIF($BI$89:$BP$89,1)=0,TRUE,SUMPRODUCT(($BI$89:$BP$89=1)*($AS$89:$AZ$89&lt;&gt;"")*IF(((UPPER($AS$89:$AZ$89)="BLANK")+(UPPER($AS$89:$AZ$89)="(BLANK)")+(UPPER($AS$89:$AZ$89)="EMPTY")+(UPPER($AS$89:$AZ$89)="(EMPTY)"))&gt;0,IFERROR(('Final Calculation Sheet'!$AC$5)&amp;"","")="",ISNUMBER(SEARCH($AS$89:$AZ$89,IFERROR(('Final Calculation Sheet'!$AC$5)&amp;"","")))))&gt;0),IF(COUNTIF($BI$89:$BP$89,2)=0,TRUE,SUMPRODUCT(($BI$89:$BP$89=2)*($AS$89:$AZ$89&lt;&gt;"")*IF(((UPPER($AS$89:$AZ$89)="BLANK")+(UPPER($AS$89:$AZ$89)="(BLANK)")+(UPPER($AS$89:$AZ$89)="EMPTY")+(UPPER($AS$89:$AZ$89)="(EMPTY)"))&gt;0,IFERROR(('Final Calculation Sheet'!$AC$5)&amp;"","")="",ISNUMBER(SEARCH($AS$89:$AZ$89,IFERROR(('Final Calculation Sheet'!$AC$5)&amp;"","")))))&gt;0),IF(COUNTIF($BI$89:$BP$89,3)=0,TRUE,SUMPRODUCT(($BI$89:$BP$89=3)*($AS$89:$AZ$89&lt;&gt;"")*IF(((UPPER($AS$89:$AZ$89)="BLANK")+(UPPER($AS$89:$AZ$89)="(BLANK)")+(UPPER($AS$89:$AZ$89)="EMPTY")+(UPPER($AS$89:$AZ$89)="(EMPTY)"))&gt;0,IFERROR(('Final Calculation Sheet'!$AC$5)&amp;"","")="",ISNUMBER(SEARCH($AS$89:$AZ$89,IFERROR(('Final Calculation Sheet'!$AC$5)&amp;"","")))))&gt;0),IF(COUNTIF($BI$89:$BP$89,4)=0,TRUE,SUMPRODUCT(($BI$89:$BP$89=4)*($AS$89:$AZ$89&lt;&gt;"")*IF(((UPPER($AS$89:$AZ$89)="BLANK")+(UPPER($AS$89:$AZ$89)="(BLANK)")+(UPPER($AS$89:$AZ$89)="EMPTY")+(UPPER($AS$89:$AZ$89)="(EMPTY)"))&gt;0,IFERROR(('Final Calculation Sheet'!$AC$5)&amp;"","")="",ISNUMBER(SEARCH($AS$89:$AZ$89,IFERROR(('Final Calculation Sheet'!$AC$5)&amp;"","")))))&gt;0),IF(COUNTIF($BI$89:$BP$89,5)=0,TRUE,SUMPRODUCT(($BI$89:$BP$89=5)*($AS$89:$AZ$89&lt;&gt;"")*IF(((UPPER($AS$89:$AZ$89)="BLANK")+(UPPER($AS$89:$AZ$89)="(BLANK)")+(UPPER($AS$89:$AZ$89)="EMPTY")+(UPPER($AS$89:$AZ$89)="(EMPTY)"))&gt;0,IFERROR(('Final Calculation Sheet'!$AC$5)&amp;"","")="",ISNUMBER(SEARCH($AS$89:$AZ$89,IFERROR(('Final Calculation Sheet'!$AC$5)&amp;"","")))))&gt;0),IF(COUNTIF($BI$89:$BP$89,6)=0,TRUE,SUMPRODUCT(($BI$89:$BP$89=6)*($AS$89:$AZ$89&lt;&gt;"")*IF(((UPPER($AS$89:$AZ$89)="BLANK")+(UPPER($AS$89:$AZ$89)="(BLANK)")+(UPPER($AS$89:$AZ$89)="EMPTY")+(UPPER($AS$89:$AZ$89)="(EMPTY)"))&gt;0,IFERROR(('Final Calculation Sheet'!$AC$5)&amp;"","")="",ISNUMBER(SEARCH($AS$89:$AZ$89,IFERROR(('Final Calculation Sheet'!$AC$5)&amp;"","")))))&gt;0),IF(COUNTIF($BI$89:$BP$89,7)=0,TRUE,SUMPRODUCT(($BI$89:$BP$89=7)*($AS$89:$AZ$89&lt;&gt;"")*IF(((UPPER($AS$89:$AZ$89)="BLANK")+(UPPER($AS$89:$AZ$89)="(BLANK)")+(UPPER($AS$89:$AZ$89)="EMPTY")+(UPPER($AS$89:$AZ$89)="(EMPTY)"))&gt;0,IFERROR(('Final Calculation Sheet'!$AC$5)&amp;"","")="",ISNUMBER(SEARCH($AS$89:$AZ$89,IFERROR(('Final Calculation Sheet'!$AC$5)&amp;"","")))))&gt;0),IF(COUNTIF($BI$89:$BP$89,8)=0,TRUE,SUMPRODUCT(($BI$89:$BP$89=8)*($AS$89:$AZ$89&lt;&gt;"")*IF(((UPPER($AS$89:$AZ$89)="BLANK")+(UPPER($AS$89:$AZ$89)="(BLANK)")+(UPPER($AS$89:$AZ$89)="EMPTY")+(UPPER($AS$89:$AZ$89)="(EMPTY)"))&gt;0,IFERROR(('Final Calculation Sheet'!$AC$5)&amp;"","")="",ISNUMBER(SEARCH($AS$89:$AZ$89,IFERROR(('Final Calculation Sheet'!$AC$5)&amp;"","")))))&gt;0))))</f>
        <v>1</v>
      </c>
      <c r="CQ6">
        <f>IF($AE$4="",1,--(AND(SUMPRODUCT(--($AS$90:$AZ$90&lt;&gt;""))&gt;0,IF(COUNTIF($BI$90:$BP$90,1)=0,TRUE,SUMPRODUCT(($BI$90:$BP$90=1)*($AS$90:$AZ$90&lt;&gt;"")*IF(((UPPER($AS$90:$AZ$90)="BLANK")+(UPPER($AS$90:$AZ$90)="(BLANK)")+(UPPER($AS$90:$AZ$90)="EMPTY")+(UPPER($AS$90:$AZ$90)="(EMPTY)"))&gt;0,IFERROR(('Final Calculation Sheet'!$AD$5)&amp;"","")="",ISNUMBER(SEARCH($AS$90:$AZ$90,IFERROR(('Final Calculation Sheet'!$AD$5)&amp;"","")))))&gt;0),IF(COUNTIF($BI$90:$BP$90,2)=0,TRUE,SUMPRODUCT(($BI$90:$BP$90=2)*($AS$90:$AZ$90&lt;&gt;"")*IF(((UPPER($AS$90:$AZ$90)="BLANK")+(UPPER($AS$90:$AZ$90)="(BLANK)")+(UPPER($AS$90:$AZ$90)="EMPTY")+(UPPER($AS$90:$AZ$90)="(EMPTY)"))&gt;0,IFERROR(('Final Calculation Sheet'!$AD$5)&amp;"","")="",ISNUMBER(SEARCH($AS$90:$AZ$90,IFERROR(('Final Calculation Sheet'!$AD$5)&amp;"","")))))&gt;0),IF(COUNTIF($BI$90:$BP$90,3)=0,TRUE,SUMPRODUCT(($BI$90:$BP$90=3)*($AS$90:$AZ$90&lt;&gt;"")*IF(((UPPER($AS$90:$AZ$90)="BLANK")+(UPPER($AS$90:$AZ$90)="(BLANK)")+(UPPER($AS$90:$AZ$90)="EMPTY")+(UPPER($AS$90:$AZ$90)="(EMPTY)"))&gt;0,IFERROR(('Final Calculation Sheet'!$AD$5)&amp;"","")="",ISNUMBER(SEARCH($AS$90:$AZ$90,IFERROR(('Final Calculation Sheet'!$AD$5)&amp;"","")))))&gt;0),IF(COUNTIF($BI$90:$BP$90,4)=0,TRUE,SUMPRODUCT(($BI$90:$BP$90=4)*($AS$90:$AZ$90&lt;&gt;"")*IF(((UPPER($AS$90:$AZ$90)="BLANK")+(UPPER($AS$90:$AZ$90)="(BLANK)")+(UPPER($AS$90:$AZ$90)="EMPTY")+(UPPER($AS$90:$AZ$90)="(EMPTY)"))&gt;0,IFERROR(('Final Calculation Sheet'!$AD$5)&amp;"","")="",ISNUMBER(SEARCH($AS$90:$AZ$90,IFERROR(('Final Calculation Sheet'!$AD$5)&amp;"","")))))&gt;0),IF(COUNTIF($BI$90:$BP$90,5)=0,TRUE,SUMPRODUCT(($BI$90:$BP$90=5)*($AS$90:$AZ$90&lt;&gt;"")*IF(((UPPER($AS$90:$AZ$90)="BLANK")+(UPPER($AS$90:$AZ$90)="(BLANK)")+(UPPER($AS$90:$AZ$90)="EMPTY")+(UPPER($AS$90:$AZ$90)="(EMPTY)"))&gt;0,IFERROR(('Final Calculation Sheet'!$AD$5)&amp;"","")="",ISNUMBER(SEARCH($AS$90:$AZ$90,IFERROR(('Final Calculation Sheet'!$AD$5)&amp;"","")))))&gt;0),IF(COUNTIF($BI$90:$BP$90,6)=0,TRUE,SUMPRODUCT(($BI$90:$BP$90=6)*($AS$90:$AZ$90&lt;&gt;"")*IF(((UPPER($AS$90:$AZ$90)="BLANK")+(UPPER($AS$90:$AZ$90)="(BLANK)")+(UPPER($AS$90:$AZ$90)="EMPTY")+(UPPER($AS$90:$AZ$90)="(EMPTY)"))&gt;0,IFERROR(('Final Calculation Sheet'!$AD$5)&amp;"","")="",ISNUMBER(SEARCH($AS$90:$AZ$90,IFERROR(('Final Calculation Sheet'!$AD$5)&amp;"","")))))&gt;0),IF(COUNTIF($BI$90:$BP$90,7)=0,TRUE,SUMPRODUCT(($BI$90:$BP$90=7)*($AS$90:$AZ$90&lt;&gt;"")*IF(((UPPER($AS$90:$AZ$90)="BLANK")+(UPPER($AS$90:$AZ$90)="(BLANK)")+(UPPER($AS$90:$AZ$90)="EMPTY")+(UPPER($AS$90:$AZ$90)="(EMPTY)"))&gt;0,IFERROR(('Final Calculation Sheet'!$AD$5)&amp;"","")="",ISNUMBER(SEARCH($AS$90:$AZ$90,IFERROR(('Final Calculation Sheet'!$AD$5)&amp;"","")))))&gt;0),IF(COUNTIF($BI$90:$BP$90,8)=0,TRUE,SUMPRODUCT(($BI$90:$BP$90=8)*($AS$90:$AZ$90&lt;&gt;"")*IF(((UPPER($AS$90:$AZ$90)="BLANK")+(UPPER($AS$90:$AZ$90)="(BLANK)")+(UPPER($AS$90:$AZ$90)="EMPTY")+(UPPER($AS$90:$AZ$90)="(EMPTY)"))&gt;0,IFERROR(('Final Calculation Sheet'!$AD$5)&amp;"","")="",ISNUMBER(SEARCH($AS$90:$AZ$90,IFERROR(('Final Calculation Sheet'!$AD$5)&amp;"","")))))&gt;0))))</f>
        <v>1</v>
      </c>
      <c r="CR6">
        <f>IF($AF$4="",1,--(AND(SUMPRODUCT(--($AS$91:$AZ$91&lt;&gt;""))&gt;0,IF(COUNTIF($BI$91:$BP$91,1)=0,TRUE,SUMPRODUCT(($BI$91:$BP$91=1)*($AS$91:$AZ$91&lt;&gt;"")*IF(((UPPER($AS$91:$AZ$91)="BLANK")+(UPPER($AS$91:$AZ$91)="(BLANK)")+(UPPER($AS$91:$AZ$91)="EMPTY")+(UPPER($AS$91:$AZ$91)="(EMPTY)"))&gt;0,IFERROR(('Final Calculation Sheet'!$AE$5)&amp;"","")="",ISNUMBER(SEARCH($AS$91:$AZ$91,IFERROR(('Final Calculation Sheet'!$AE$5)&amp;"","")))))&gt;0),IF(COUNTIF($BI$91:$BP$91,2)=0,TRUE,SUMPRODUCT(($BI$91:$BP$91=2)*($AS$91:$AZ$91&lt;&gt;"")*IF(((UPPER($AS$91:$AZ$91)="BLANK")+(UPPER($AS$91:$AZ$91)="(BLANK)")+(UPPER($AS$91:$AZ$91)="EMPTY")+(UPPER($AS$91:$AZ$91)="(EMPTY)"))&gt;0,IFERROR(('Final Calculation Sheet'!$AE$5)&amp;"","")="",ISNUMBER(SEARCH($AS$91:$AZ$91,IFERROR(('Final Calculation Sheet'!$AE$5)&amp;"","")))))&gt;0),IF(COUNTIF($BI$91:$BP$91,3)=0,TRUE,SUMPRODUCT(($BI$91:$BP$91=3)*($AS$91:$AZ$91&lt;&gt;"")*IF(((UPPER($AS$91:$AZ$91)="BLANK")+(UPPER($AS$91:$AZ$91)="(BLANK)")+(UPPER($AS$91:$AZ$91)="EMPTY")+(UPPER($AS$91:$AZ$91)="(EMPTY)"))&gt;0,IFERROR(('Final Calculation Sheet'!$AE$5)&amp;"","")="",ISNUMBER(SEARCH($AS$91:$AZ$91,IFERROR(('Final Calculation Sheet'!$AE$5)&amp;"","")))))&gt;0),IF(COUNTIF($BI$91:$BP$91,4)=0,TRUE,SUMPRODUCT(($BI$91:$BP$91=4)*($AS$91:$AZ$91&lt;&gt;"")*IF(((UPPER($AS$91:$AZ$91)="BLANK")+(UPPER($AS$91:$AZ$91)="(BLANK)")+(UPPER($AS$91:$AZ$91)="EMPTY")+(UPPER($AS$91:$AZ$91)="(EMPTY)"))&gt;0,IFERROR(('Final Calculation Sheet'!$AE$5)&amp;"","")="",ISNUMBER(SEARCH($AS$91:$AZ$91,IFERROR(('Final Calculation Sheet'!$AE$5)&amp;"","")))))&gt;0),IF(COUNTIF($BI$91:$BP$91,5)=0,TRUE,SUMPRODUCT(($BI$91:$BP$91=5)*($AS$91:$AZ$91&lt;&gt;"")*IF(((UPPER($AS$91:$AZ$91)="BLANK")+(UPPER($AS$91:$AZ$91)="(BLANK)")+(UPPER($AS$91:$AZ$91)="EMPTY")+(UPPER($AS$91:$AZ$91)="(EMPTY)"))&gt;0,IFERROR(('Final Calculation Sheet'!$AE$5)&amp;"","")="",ISNUMBER(SEARCH($AS$91:$AZ$91,IFERROR(('Final Calculation Sheet'!$AE$5)&amp;"","")))))&gt;0),IF(COUNTIF($BI$91:$BP$91,6)=0,TRUE,SUMPRODUCT(($BI$91:$BP$91=6)*($AS$91:$AZ$91&lt;&gt;"")*IF(((UPPER($AS$91:$AZ$91)="BLANK")+(UPPER($AS$91:$AZ$91)="(BLANK)")+(UPPER($AS$91:$AZ$91)="EMPTY")+(UPPER($AS$91:$AZ$91)="(EMPTY)"))&gt;0,IFERROR(('Final Calculation Sheet'!$AE$5)&amp;"","")="",ISNUMBER(SEARCH($AS$91:$AZ$91,IFERROR(('Final Calculation Sheet'!$AE$5)&amp;"","")))))&gt;0),IF(COUNTIF($BI$91:$BP$91,7)=0,TRUE,SUMPRODUCT(($BI$91:$BP$91=7)*($AS$91:$AZ$91&lt;&gt;"")*IF(((UPPER($AS$91:$AZ$91)="BLANK")+(UPPER($AS$91:$AZ$91)="(BLANK)")+(UPPER($AS$91:$AZ$91)="EMPTY")+(UPPER($AS$91:$AZ$91)="(EMPTY)"))&gt;0,IFERROR(('Final Calculation Sheet'!$AE$5)&amp;"","")="",ISNUMBER(SEARCH($AS$91:$AZ$91,IFERROR(('Final Calculation Sheet'!$AE$5)&amp;"","")))))&gt;0),IF(COUNTIF($BI$91:$BP$91,8)=0,TRUE,SUMPRODUCT(($BI$91:$BP$91=8)*($AS$91:$AZ$91&lt;&gt;"")*IF(((UPPER($AS$91:$AZ$91)="BLANK")+(UPPER($AS$91:$AZ$91)="(BLANK)")+(UPPER($AS$91:$AZ$91)="EMPTY")+(UPPER($AS$91:$AZ$91)="(EMPTY)"))&gt;0,IFERROR(('Final Calculation Sheet'!$AE$5)&amp;"","")="",ISNUMBER(SEARCH($AS$91:$AZ$91,IFERROR(('Final Calculation Sheet'!$AE$5)&amp;"","")))))&gt;0))))</f>
        <v>1</v>
      </c>
      <c r="CS6">
        <f>IF($AG$4="",1,--(AND(SUMPRODUCT(--($AS$92:$AZ$92&lt;&gt;""))&gt;0,IF(COUNTIF($BI$92:$BP$92,1)=0,TRUE,SUMPRODUCT(($BI$92:$BP$92=1)*($AS$92:$AZ$92&lt;&gt;"")*IF(((UPPER($AS$92:$AZ$92)="BLANK")+(UPPER($AS$92:$AZ$92)="(BLANK)")+(UPPER($AS$92:$AZ$92)="EMPTY")+(UPPER($AS$92:$AZ$92)="(EMPTY)"))&gt;0,IFERROR(('Final Calculation Sheet'!$AF$5)&amp;"","")="",ISNUMBER(SEARCH($AS$92:$AZ$92,IFERROR(('Final Calculation Sheet'!$AF$5)&amp;"","")))))&gt;0),IF(COUNTIF($BI$92:$BP$92,2)=0,TRUE,SUMPRODUCT(($BI$92:$BP$92=2)*($AS$92:$AZ$92&lt;&gt;"")*IF(((UPPER($AS$92:$AZ$92)="BLANK")+(UPPER($AS$92:$AZ$92)="(BLANK)")+(UPPER($AS$92:$AZ$92)="EMPTY")+(UPPER($AS$92:$AZ$92)="(EMPTY)"))&gt;0,IFERROR(('Final Calculation Sheet'!$AF$5)&amp;"","")="",ISNUMBER(SEARCH($AS$92:$AZ$92,IFERROR(('Final Calculation Sheet'!$AF$5)&amp;"","")))))&gt;0),IF(COUNTIF($BI$92:$BP$92,3)=0,TRUE,SUMPRODUCT(($BI$92:$BP$92=3)*($AS$92:$AZ$92&lt;&gt;"")*IF(((UPPER($AS$92:$AZ$92)="BLANK")+(UPPER($AS$92:$AZ$92)="(BLANK)")+(UPPER($AS$92:$AZ$92)="EMPTY")+(UPPER($AS$92:$AZ$92)="(EMPTY)"))&gt;0,IFERROR(('Final Calculation Sheet'!$AF$5)&amp;"","")="",ISNUMBER(SEARCH($AS$92:$AZ$92,IFERROR(('Final Calculation Sheet'!$AF$5)&amp;"","")))))&gt;0),IF(COUNTIF($BI$92:$BP$92,4)=0,TRUE,SUMPRODUCT(($BI$92:$BP$92=4)*($AS$92:$AZ$92&lt;&gt;"")*IF(((UPPER($AS$92:$AZ$92)="BLANK")+(UPPER($AS$92:$AZ$92)="(BLANK)")+(UPPER($AS$92:$AZ$92)="EMPTY")+(UPPER($AS$92:$AZ$92)="(EMPTY)"))&gt;0,IFERROR(('Final Calculation Sheet'!$AF$5)&amp;"","")="",ISNUMBER(SEARCH($AS$92:$AZ$92,IFERROR(('Final Calculation Sheet'!$AF$5)&amp;"","")))))&gt;0),IF(COUNTIF($BI$92:$BP$92,5)=0,TRUE,SUMPRODUCT(($BI$92:$BP$92=5)*($AS$92:$AZ$92&lt;&gt;"")*IF(((UPPER($AS$92:$AZ$92)="BLANK")+(UPPER($AS$92:$AZ$92)="(BLANK)")+(UPPER($AS$92:$AZ$92)="EMPTY")+(UPPER($AS$92:$AZ$92)="(EMPTY)"))&gt;0,IFERROR(('Final Calculation Sheet'!$AF$5)&amp;"","")="",ISNUMBER(SEARCH($AS$92:$AZ$92,IFERROR(('Final Calculation Sheet'!$AF$5)&amp;"","")))))&gt;0),IF(COUNTIF($BI$92:$BP$92,6)=0,TRUE,SUMPRODUCT(($BI$92:$BP$92=6)*($AS$92:$AZ$92&lt;&gt;"")*IF(((UPPER($AS$92:$AZ$92)="BLANK")+(UPPER($AS$92:$AZ$92)="(BLANK)")+(UPPER($AS$92:$AZ$92)="EMPTY")+(UPPER($AS$92:$AZ$92)="(EMPTY)"))&gt;0,IFERROR(('Final Calculation Sheet'!$AF$5)&amp;"","")="",ISNUMBER(SEARCH($AS$92:$AZ$92,IFERROR(('Final Calculation Sheet'!$AF$5)&amp;"","")))))&gt;0),IF(COUNTIF($BI$92:$BP$92,7)=0,TRUE,SUMPRODUCT(($BI$92:$BP$92=7)*($AS$92:$AZ$92&lt;&gt;"")*IF(((UPPER($AS$92:$AZ$92)="BLANK")+(UPPER($AS$92:$AZ$92)="(BLANK)")+(UPPER($AS$92:$AZ$92)="EMPTY")+(UPPER($AS$92:$AZ$92)="(EMPTY)"))&gt;0,IFERROR(('Final Calculation Sheet'!$AF$5)&amp;"","")="",ISNUMBER(SEARCH($AS$92:$AZ$92,IFERROR(('Final Calculation Sheet'!$AF$5)&amp;"","")))))&gt;0),IF(COUNTIF($BI$92:$BP$92,8)=0,TRUE,SUMPRODUCT(($BI$92:$BP$92=8)*($AS$92:$AZ$92&lt;&gt;"")*IF(((UPPER($AS$92:$AZ$92)="BLANK")+(UPPER($AS$92:$AZ$92)="(BLANK)")+(UPPER($AS$92:$AZ$92)="EMPTY")+(UPPER($AS$92:$AZ$92)="(EMPTY)"))&gt;0,IFERROR(('Final Calculation Sheet'!$AF$5)&amp;"","")="",ISNUMBER(SEARCH($AS$92:$AZ$92,IFERROR(('Final Calculation Sheet'!$AF$5)&amp;"","")))))&gt;0))))</f>
        <v>1</v>
      </c>
      <c r="CT6">
        <f>IF($AH$4="",1,--(AND(SUMPRODUCT(--($AS$93:$AZ$93&lt;&gt;""))&gt;0,IF(COUNTIF($BI$93:$BP$93,1)=0,TRUE,SUMPRODUCT(($BI$93:$BP$93=1)*($AS$93:$AZ$93&lt;&gt;"")*IF(((UPPER($AS$93:$AZ$93)="BLANK")+(UPPER($AS$93:$AZ$93)="(BLANK)")+(UPPER($AS$93:$AZ$93)="EMPTY")+(UPPER($AS$93:$AZ$93)="(EMPTY)"))&gt;0,IFERROR(('Final Calculation Sheet'!$AG$5)&amp;"","")="",ISNUMBER(SEARCH($AS$93:$AZ$93,IFERROR(('Final Calculation Sheet'!$AG$5)&amp;"","")))))&gt;0),IF(COUNTIF($BI$93:$BP$93,2)=0,TRUE,SUMPRODUCT(($BI$93:$BP$93=2)*($AS$93:$AZ$93&lt;&gt;"")*IF(((UPPER($AS$93:$AZ$93)="BLANK")+(UPPER($AS$93:$AZ$93)="(BLANK)")+(UPPER($AS$93:$AZ$93)="EMPTY")+(UPPER($AS$93:$AZ$93)="(EMPTY)"))&gt;0,IFERROR(('Final Calculation Sheet'!$AG$5)&amp;"","")="",ISNUMBER(SEARCH($AS$93:$AZ$93,IFERROR(('Final Calculation Sheet'!$AG$5)&amp;"","")))))&gt;0),IF(COUNTIF($BI$93:$BP$93,3)=0,TRUE,SUMPRODUCT(($BI$93:$BP$93=3)*($AS$93:$AZ$93&lt;&gt;"")*IF(((UPPER($AS$93:$AZ$93)="BLANK")+(UPPER($AS$93:$AZ$93)="(BLANK)")+(UPPER($AS$93:$AZ$93)="EMPTY")+(UPPER($AS$93:$AZ$93)="(EMPTY)"))&gt;0,IFERROR(('Final Calculation Sheet'!$AG$5)&amp;"","")="",ISNUMBER(SEARCH($AS$93:$AZ$93,IFERROR(('Final Calculation Sheet'!$AG$5)&amp;"","")))))&gt;0),IF(COUNTIF($BI$93:$BP$93,4)=0,TRUE,SUMPRODUCT(($BI$93:$BP$93=4)*($AS$93:$AZ$93&lt;&gt;"")*IF(((UPPER($AS$93:$AZ$93)="BLANK")+(UPPER($AS$93:$AZ$93)="(BLANK)")+(UPPER($AS$93:$AZ$93)="EMPTY")+(UPPER($AS$93:$AZ$93)="(EMPTY)"))&gt;0,IFERROR(('Final Calculation Sheet'!$AG$5)&amp;"","")="",ISNUMBER(SEARCH($AS$93:$AZ$93,IFERROR(('Final Calculation Sheet'!$AG$5)&amp;"","")))))&gt;0),IF(COUNTIF($BI$93:$BP$93,5)=0,TRUE,SUMPRODUCT(($BI$93:$BP$93=5)*($AS$93:$AZ$93&lt;&gt;"")*IF(((UPPER($AS$93:$AZ$93)="BLANK")+(UPPER($AS$93:$AZ$93)="(BLANK)")+(UPPER($AS$93:$AZ$93)="EMPTY")+(UPPER($AS$93:$AZ$93)="(EMPTY)"))&gt;0,IFERROR(('Final Calculation Sheet'!$AG$5)&amp;"","")="",ISNUMBER(SEARCH($AS$93:$AZ$93,IFERROR(('Final Calculation Sheet'!$AG$5)&amp;"","")))))&gt;0),IF(COUNTIF($BI$93:$BP$93,6)=0,TRUE,SUMPRODUCT(($BI$93:$BP$93=6)*($AS$93:$AZ$93&lt;&gt;"")*IF(((UPPER($AS$93:$AZ$93)="BLANK")+(UPPER($AS$93:$AZ$93)="(BLANK)")+(UPPER($AS$93:$AZ$93)="EMPTY")+(UPPER($AS$93:$AZ$93)="(EMPTY)"))&gt;0,IFERROR(('Final Calculation Sheet'!$AG$5)&amp;"","")="",ISNUMBER(SEARCH($AS$93:$AZ$93,IFERROR(('Final Calculation Sheet'!$AG$5)&amp;"","")))))&gt;0),IF(COUNTIF($BI$93:$BP$93,7)=0,TRUE,SUMPRODUCT(($BI$93:$BP$93=7)*($AS$93:$AZ$93&lt;&gt;"")*IF(((UPPER($AS$93:$AZ$93)="BLANK")+(UPPER($AS$93:$AZ$93)="(BLANK)")+(UPPER($AS$93:$AZ$93)="EMPTY")+(UPPER($AS$93:$AZ$93)="(EMPTY)"))&gt;0,IFERROR(('Final Calculation Sheet'!$AG$5)&amp;"","")="",ISNUMBER(SEARCH($AS$93:$AZ$93,IFERROR(('Final Calculation Sheet'!$AG$5)&amp;"","")))))&gt;0),IF(COUNTIF($BI$93:$BP$93,8)=0,TRUE,SUMPRODUCT(($BI$93:$BP$93=8)*($AS$93:$AZ$93&lt;&gt;"")*IF(((UPPER($AS$93:$AZ$93)="BLANK")+(UPPER($AS$93:$AZ$93)="(BLANK)")+(UPPER($AS$93:$AZ$93)="EMPTY")+(UPPER($AS$93:$AZ$93)="(EMPTY)"))&gt;0,IFERROR(('Final Calculation Sheet'!$AG$5)&amp;"","")="",ISNUMBER(SEARCH($AS$93:$AZ$93,IFERROR(('Final Calculation Sheet'!$AG$5)&amp;"","")))))&gt;0))))</f>
        <v>1</v>
      </c>
      <c r="CU6">
        <f>IF($AI$4="",1,--(AND(SUMPRODUCT(--($AS$94:$AZ$94&lt;&gt;""))&gt;0,IF(COUNTIF($BI$94:$BP$94,1)=0,TRUE,SUMPRODUCT(($BI$94:$BP$94=1)*($AS$94:$AZ$94&lt;&gt;"")*IF(((UPPER($AS$94:$AZ$94)="BLANK")+(UPPER($AS$94:$AZ$94)="(BLANK)")+(UPPER($AS$94:$AZ$94)="EMPTY")+(UPPER($AS$94:$AZ$94)="(EMPTY)"))&gt;0,IFERROR((IF('Final Calculation Sheet'!$AD$5&lt;=0,"SETTLED","OUTSTANDING"))&amp;"","")="",ISNUMBER(SEARCH($AS$94:$AZ$94,IFERROR((IF('Final Calculation Sheet'!$AD$5&lt;=0,"SETTLED","OUTSTANDING"))&amp;"","")))))&gt;0),IF(COUNTIF($BI$94:$BP$94,2)=0,TRUE,SUMPRODUCT(($BI$94:$BP$94=2)*($AS$94:$AZ$94&lt;&gt;"")*IF(((UPPER($AS$94:$AZ$94)="BLANK")+(UPPER($AS$94:$AZ$94)="(BLANK)")+(UPPER($AS$94:$AZ$94)="EMPTY")+(UPPER($AS$94:$AZ$94)="(EMPTY)"))&gt;0,IFERROR((IF('Final Calculation Sheet'!$AD$5&lt;=0,"SETTLED","OUTSTANDING"))&amp;"","")="",ISNUMBER(SEARCH($AS$94:$AZ$94,IFERROR((IF('Final Calculation Sheet'!$AD$5&lt;=0,"SETTLED","OUTSTANDING"))&amp;"","")))))&gt;0),IF(COUNTIF($BI$94:$BP$94,3)=0,TRUE,SUMPRODUCT(($BI$94:$BP$94=3)*($AS$94:$AZ$94&lt;&gt;"")*IF(((UPPER($AS$94:$AZ$94)="BLANK")+(UPPER($AS$94:$AZ$94)="(BLANK)")+(UPPER($AS$94:$AZ$94)="EMPTY")+(UPPER($AS$94:$AZ$94)="(EMPTY)"))&gt;0,IFERROR((IF('Final Calculation Sheet'!$AD$5&lt;=0,"SETTLED","OUTSTANDING"))&amp;"","")="",ISNUMBER(SEARCH($AS$94:$AZ$94,IFERROR((IF('Final Calculation Sheet'!$AD$5&lt;=0,"SETTLED","OUTSTANDING"))&amp;"","")))))&gt;0),IF(COUNTIF($BI$94:$BP$94,4)=0,TRUE,SUMPRODUCT(($BI$94:$BP$94=4)*($AS$94:$AZ$94&lt;&gt;"")*IF(((UPPER($AS$94:$AZ$94)="BLANK")+(UPPER($AS$94:$AZ$94)="(BLANK)")+(UPPER($AS$94:$AZ$94)="EMPTY")+(UPPER($AS$94:$AZ$94)="(EMPTY)"))&gt;0,IFERROR((IF('Final Calculation Sheet'!$AD$5&lt;=0,"SETTLED","OUTSTANDING"))&amp;"","")="",ISNUMBER(SEARCH($AS$94:$AZ$94,IFERROR((IF('Final Calculation Sheet'!$AD$5&lt;=0,"SETTLED","OUTSTANDING"))&amp;"","")))))&gt;0),IF(COUNTIF($BI$94:$BP$94,5)=0,TRUE,SUMPRODUCT(($BI$94:$BP$94=5)*($AS$94:$AZ$94&lt;&gt;"")*IF(((UPPER($AS$94:$AZ$94)="BLANK")+(UPPER($AS$94:$AZ$94)="(BLANK)")+(UPPER($AS$94:$AZ$94)="EMPTY")+(UPPER($AS$94:$AZ$94)="(EMPTY)"))&gt;0,IFERROR((IF('Final Calculation Sheet'!$AD$5&lt;=0,"SETTLED","OUTSTANDING"))&amp;"","")="",ISNUMBER(SEARCH($AS$94:$AZ$94,IFERROR((IF('Final Calculation Sheet'!$AD$5&lt;=0,"SETTLED","OUTSTANDING"))&amp;"","")))))&gt;0),IF(COUNTIF($BI$94:$BP$94,6)=0,TRUE,SUMPRODUCT(($BI$94:$BP$94=6)*($AS$94:$AZ$94&lt;&gt;"")*IF(((UPPER($AS$94:$AZ$94)="BLANK")+(UPPER($AS$94:$AZ$94)="(BLANK)")+(UPPER($AS$94:$AZ$94)="EMPTY")+(UPPER($AS$94:$AZ$94)="(EMPTY)"))&gt;0,IFERROR((IF('Final Calculation Sheet'!$AD$5&lt;=0,"SETTLED","OUTSTANDING"))&amp;"","")="",ISNUMBER(SEARCH($AS$94:$AZ$94,IFERROR((IF('Final Calculation Sheet'!$AD$5&lt;=0,"SETTLED","OUTSTANDING"))&amp;"","")))))&gt;0),IF(COUNTIF($BI$94:$BP$94,7)=0,TRUE,SUMPRODUCT(($BI$94:$BP$94=7)*($AS$94:$AZ$94&lt;&gt;"")*IF(((UPPER($AS$94:$AZ$94)="BLANK")+(UPPER($AS$94:$AZ$94)="(BLANK)")+(UPPER($AS$94:$AZ$94)="EMPTY")+(UPPER($AS$94:$AZ$94)="(EMPTY)"))&gt;0,IFERROR((IF('Final Calculation Sheet'!$AD$5&lt;=0,"SETTLED","OUTSTANDING"))&amp;"","")="",ISNUMBER(SEARCH($AS$94:$AZ$94,IFERROR((IF('Final Calculation Sheet'!$AD$5&lt;=0,"SETTLED","OUTSTANDING"))&amp;"","")))))&gt;0),IF(COUNTIF($BI$94:$BP$94,8)=0,TRUE,SUMPRODUCT(($BI$94:$BP$94=8)*($AS$94:$AZ$94&lt;&gt;"")*IF(((UPPER($AS$94:$AZ$94)="BLANK")+(UPPER($AS$94:$AZ$94)="(BLANK)")+(UPPER($AS$94:$AZ$94)="EMPTY")+(UPPER($AS$94:$AZ$94)="(EMPTY)"))&gt;0,IFERROR((IF('Final Calculation Sheet'!$AD$5&lt;=0,"SETTLED","OUTSTANDING"))&amp;"","")="",ISNUMBER(SEARCH($AS$94:$AZ$94,IFERROR((IF('Final Calculation Sheet'!$AD$5&lt;=0,"SETTLED","OUTSTANDING"))&amp;"","")))))&gt;0))))</f>
        <v>1</v>
      </c>
    </row>
    <row r="7" spans="1:99" ht="15" customHeight="1" x14ac:dyDescent="0.25">
      <c r="A7" s="67">
        <f>IF($BJ6&gt;0,INDEX($BA$5:$BA$41,MATCH(6,$BB$5:$BB$41,0)),IF(OR($BI6=1,$BL6=1,$BH6&gt;0),"∑",""))</f>
        <v>2</v>
      </c>
      <c r="B7" s="68">
        <f>IF($BJ6&gt;0,IF(INDEX('Final Calculation Sheet'!$F$4:$F$40,$BJ6-3)="","",INDEX('Final Calculation Sheet'!$F$4:$F$40,$BJ6-3)),"")</f>
        <v>2006</v>
      </c>
      <c r="C7" s="68" t="str">
        <f>IF($BJ6&gt;0,IF(INDEX('Final Calculation Sheet'!$G$4:$G$40,$BJ6-3)="","",INDEX('Final Calculation Sheet'!$G$4:$G$40,$BJ6-3)),IF(OR($BI6=1,$BL6=1,$BH6&gt;0),IF($BI6=1,37,IF($BL6=1,37-INDEX($BD$4:$BD$13,10),INDEX($BD$4:$BD$13,$BH6)))&amp;" lot(s)",""))</f>
        <v>STERLING ENTERPRISES</v>
      </c>
      <c r="D7" s="69" t="str">
        <f>IF($BJ6&gt;0,IF(INDEX('Final Calculation Sheet'!$B$4:$B$40,$BJ6-3)="","",INDEX('Final Calculation Sheet'!$B$4:$B$40,$BJ6-3)),IF(OR($BI6=1,$BL6=1,$BH6&gt;0),IF($BI6=1,"GRAND TOTAL  —  matching + remaining",IF($BL6=1,"TOTAL MATCHED  —  every group together",IF($BH6=10,"REMAINING  —  did not match the search",IF($BH6=9,IF(COUNTIF($A$4:$AI$4,"&lt;&gt;")&gt;0,"FILTERED LOTS  —  column fields","ALL LOTS  —  nothing typed in the box"),"GROUP "&amp;$BH6&amp;" TOTAL  —  lots matching  "&amp;INDEX($AR$6:$AY$6,$BH6))))),""))</f>
        <v>Scrap of empty oil drums</v>
      </c>
      <c r="E7" s="69">
        <f>IF($BJ6&gt;0,IF(INDEX('Final Calculation Sheet'!$D$4:$D$40,$BJ6-3)="","",INDEX('Final Calculation Sheet'!$D$4:$D$40,$BJ6-3)),IF(OR($BI6=1,$BL6=1,$BH6&gt;0),"–",""))</f>
        <v>21977</v>
      </c>
      <c r="F7" s="69">
        <f>IF($BJ6&gt;0,IF(INDEX('Final Calculation Sheet'!$A$4:$A$40,$BJ6-3)="","",INDEX('Final Calculation Sheet'!$A$4:$A$40,$BJ6-3)),IF(OR($BI6=1,$BL6=1,$BH6&gt;0),IF($BI6=1,SUM('Final Calculation Sheet'!$A$4:$A$40),IF($BL6=1,SUM('Final Calculation Sheet'!$A$4:$A$40)-SUMIFS('Final Calculation Sheet'!$A$4:$A$40,$AZ$5:$AZ$41,10),SUMIFS('Final Calculation Sheet'!$A$4:$A$40,$AZ$5:$AZ$41,$BH6))),""))</f>
        <v>25</v>
      </c>
      <c r="G7" s="69" t="str">
        <f>IF($BJ6&gt;0,IF(INDEX('Final Calculation Sheet'!$E$4:$E$40,$BJ6-3)="","",INDEX('Final Calculation Sheet'!$E$4:$E$40,$BJ6-3)),IF(OR($BI6=1,$BL6=1,$BH6&gt;0),"–",""))</f>
        <v>NO</v>
      </c>
      <c r="H7" s="70">
        <f>IF($BJ6&gt;0,IF(INDEX('Final Calculation Sheet'!$C$4:$C$40,$BJ6-3)="","",INDEX('Final Calculation Sheet'!$C$4:$C$40,$BJ6-3)),IF(OR($BI6=1,$BL6=1,$BH6&gt;0),"–",""))</f>
        <v>700</v>
      </c>
      <c r="I7" s="70">
        <f>IF($BJ6&gt;0,IF(INDEX('Final Calculation Sheet'!$H$4:$H$40,$BJ6-3)="","",INDEX('Final Calculation Sheet'!$H$4:$H$40,$BJ6-3)),IF(OR($BI6=1,$BL6=1,$BH6&gt;0),IF($BI6=1,SUM('Final Calculation Sheet'!$H$4:$H$40),IF($BL6=1,SUM('Final Calculation Sheet'!$H$4:$H$40)-SUMIFS('Final Calculation Sheet'!$H$4:$H$40,$AZ$5:$AZ$41,10),SUMIFS('Final Calculation Sheet'!$H$4:$H$40,$AZ$5:$AZ$41,$BH6))),""))</f>
        <v>17500</v>
      </c>
      <c r="J7" s="70">
        <f>IF($BJ6&gt;0,IF(INDEX('Final Calculation Sheet'!$I$4:$I$40,$BJ6-3)="","",INDEX('Final Calculation Sheet'!$I$4:$I$40,$BJ6-3)),IF(OR($BI6=1,$BL6=1,$BH6&gt;0),IF($BI6=1,SUM('Final Calculation Sheet'!$I$4:$I$40),IF($BL6=1,SUM('Final Calculation Sheet'!$I$4:$I$40)-SUMIFS('Final Calculation Sheet'!$I$4:$I$40,$AZ$5:$AZ$41,10),SUMIFS('Final Calculation Sheet'!$I$4:$I$40,$AZ$5:$AZ$41,$BH6))),""))</f>
        <v>3150</v>
      </c>
      <c r="K7" s="70">
        <f>IF($BJ6&gt;0,IF(INDEX('Final Calculation Sheet'!$J$4:$J$40,$BJ6-3)="","",INDEX('Final Calculation Sheet'!$J$4:$J$40,$BJ6-3)),IF(OR($BI6=1,$BL6=1,$BH6&gt;0),IF($BI6=1,SUM('Final Calculation Sheet'!$J$4:$J$40),IF($BL6=1,SUM('Final Calculation Sheet'!$J$4:$J$40)-SUMIFS('Final Calculation Sheet'!$J$4:$J$40,$AZ$5:$AZ$41,10),SUMIFS('Final Calculation Sheet'!$J$4:$J$40,$AZ$5:$AZ$41,$BH6))),""))</f>
        <v>20650</v>
      </c>
      <c r="L7" s="70">
        <f>IF($BJ6&gt;0,IF(INDEX('Final Calculation Sheet'!$K$4:$K$40,$BJ6-3)="","",INDEX('Final Calculation Sheet'!$K$4:$K$40,$BJ6-3)),IF(OR($BI6=1,$BL6=1,$BH6&gt;0),IF($BI6=1,SUM('Final Calculation Sheet'!$K$4:$K$40),IF($BL6=1,SUM('Final Calculation Sheet'!$K$4:$K$40)-SUMIFS('Final Calculation Sheet'!$K$4:$K$40,$AZ$5:$AZ$41,10),SUMIFS('Final Calculation Sheet'!$K$4:$K$40,$AZ$5:$AZ$41,$BH6))),""))</f>
        <v>413</v>
      </c>
      <c r="M7" s="70">
        <f>IF($BJ6&gt;0,IF(INDEX('Final Calculation Sheet'!$L$4:$L$40,$BJ6-3)="","",INDEX('Final Calculation Sheet'!$L$4:$L$40,$BJ6-3)),IF(OR($BI6=1,$BL6=1,$BH6&gt;0),IF($BI6=1,SUM('Final Calculation Sheet'!$L$4:$L$40),IF($BL6=1,SUM('Final Calculation Sheet'!$L$4:$L$40)-SUMIFS('Final Calculation Sheet'!$L$4:$L$40,$AZ$5:$AZ$41,10),SUMIFS('Final Calculation Sheet'!$L$4:$L$40,$AZ$5:$AZ$41,$BH6))),""))</f>
        <v>17.5</v>
      </c>
      <c r="N7" s="70">
        <f>IF($BJ6&gt;0,IF(INDEX('Final Calculation Sheet'!$M$4:$M$40,$BJ6-3)="","",INDEX('Final Calculation Sheet'!$M$4:$M$40,$BJ6-3)),IF(OR($BI6=1,$BL6=1,$BH6&gt;0),IF($BI6=1,SUM('Final Calculation Sheet'!$M$4:$M$40),IF($BL6=1,SUM('Final Calculation Sheet'!$M$4:$M$40)-SUMIFS('Final Calculation Sheet'!$M$4:$M$40,$AZ$5:$AZ$41,10),SUMIFS('Final Calculation Sheet'!$M$4:$M$40,$AZ$5:$AZ$41,$BH6))),""))</f>
        <v>464.625</v>
      </c>
      <c r="O7" s="71">
        <f>IF($BJ6&gt;0,IF(INDEX('Final Calculation Sheet'!$N$4:$N$40,$BJ6-3)="","",INDEX('Final Calculation Sheet'!$N$4:$N$40,$BJ6-3)),IF(OR($BI6=1,$BL6=1,$BH6&gt;0),IF($BI6=1,SUM('Final Calculation Sheet'!$N$4:$N$40),IF($BL6=1,SUM('Final Calculation Sheet'!$N$4:$N$40)-SUMIFS('Final Calculation Sheet'!$N$4:$N$40,$AZ$5:$AZ$41,10),SUMIFS('Final Calculation Sheet'!$N$4:$N$40,$AZ$5:$AZ$41,$BH6))),""))</f>
        <v>7.875</v>
      </c>
      <c r="P7" s="70">
        <f>IF($BJ6&gt;0,IF(INDEX('Final Calculation Sheet'!$O$4:$O$40,$BJ6-3)="","",INDEX('Final Calculation Sheet'!$O$4:$O$40,$BJ6-3)),IF(OR($BI6=1,$BL6=1,$BH6&gt;0),IF($BI6=1,SUM('Final Calculation Sheet'!$O$4:$O$40),IF($BL6=1,SUM('Final Calculation Sheet'!$O$4:$O$40)-SUMIFS('Final Calculation Sheet'!$O$4:$O$40,$AZ$5:$AZ$41,10),SUMIFS('Final Calculation Sheet'!$O$4:$O$40,$AZ$5:$AZ$41,$BH6))),""))</f>
        <v>456.75</v>
      </c>
      <c r="Q7" s="70">
        <f>IF($BJ6&gt;0,IF(INDEX('Final Calculation Sheet'!$P$4:$P$40,$BJ6-3)="","",INDEX('Final Calculation Sheet'!$P$4:$P$40,$BJ6-3)),IF(OR($BI6=1,$BL6=1,$BH6&gt;0),IF($BI6=1,SUM('Final Calculation Sheet'!$P$4:$P$40),IF($BL6=1,SUM('Final Calculation Sheet'!$P$4:$P$40)-SUMIFS('Final Calculation Sheet'!$P$4:$P$40,$AZ$5:$AZ$41,10),SUMIFS('Final Calculation Sheet'!$P$4:$P$40,$AZ$5:$AZ$41,$BH6))),""))</f>
        <v>474</v>
      </c>
      <c r="R7" s="72">
        <f>IF($BJ6&gt;0,IF(INDEX('Final Calculation Sheet'!$Q$4:$Q$40,$BJ6-3)="","",INDEX('Final Calculation Sheet'!$Q$4:$Q$40,$BJ6-3)),IF(OR($BI6=1,$BL6=1,$BH6&gt;0),"–",""))</f>
        <v>0</v>
      </c>
      <c r="S7" s="70">
        <f>IF($BJ6&gt;0,IF(INDEX('Final Calculation Sheet'!$R$4:$R$40,$BJ6-3)="","",INDEX('Final Calculation Sheet'!$R$4:$R$40,$BJ6-3)),IF(OR($BI6=1,$BL6=1,$BH6&gt;0),IF($BI6=1,SUM('Final Calculation Sheet'!$R$4:$R$40),IF($BL6=1,SUM('Final Calculation Sheet'!$R$4:$R$40)-SUMIFS('Final Calculation Sheet'!$R$4:$R$40,$AZ$5:$AZ$41,10),SUMIFS('Final Calculation Sheet'!$R$4:$R$40,$AZ$5:$AZ$41,$BH6))),""))</f>
        <v>0</v>
      </c>
      <c r="T7" s="70">
        <f>IF($BJ6&gt;0,IF(INDEX('Final Calculation Sheet'!$S$4:$S$40,$BJ6-3)="","",INDEX('Final Calculation Sheet'!$S$4:$S$40,$BJ6-3)),IF(OR($BI6=1,$BL6=1,$BH6&gt;0),IF($BI6=1,SUM('Final Calculation Sheet'!$S$4:$S$40),IF($BL6=1,SUM('Final Calculation Sheet'!$S$4:$S$40)-SUMIFS('Final Calculation Sheet'!$S$4:$S$40,$AZ$5:$AZ$41,10),SUMIFS('Final Calculation Sheet'!$S$4:$S$40,$AZ$5:$AZ$41,$BH6))),""))</f>
        <v>20589</v>
      </c>
      <c r="U7" s="70">
        <f>IF($BJ6&gt;0,IF(INDEX('Final Calculation Sheet'!$T$4:$T$40,$BJ6-3)="","",INDEX('Final Calculation Sheet'!$T$4:$T$40,$BJ6-3)),IF(OR($BI6=1,$BL6=1,$BH6&gt;0),IF($BI6=1,SUM('Final Calculation Sheet'!$T$4:$T$40),IF($BL6=1,SUM('Final Calculation Sheet'!$T$4:$T$40)-SUMIFS('Final Calculation Sheet'!$T$4:$T$40,$AZ$5:$AZ$41,10),SUMIFS('Final Calculation Sheet'!$T$4:$T$40,$AZ$5:$AZ$41,$BH6))),""))</f>
        <v>4375</v>
      </c>
      <c r="V7" s="73">
        <f>IF($BJ6&gt;0,IF(INDEX('Final Calculation Sheet'!$U$4:$U$40,$BJ6-3)="","",INDEX('Final Calculation Sheet'!$U$4:$U$40,$BJ6-3)),IF(OR($BI6=1,$BL6=1,$BH6&gt;0),IF($BI6=1,SUM('Final Calculation Sheet'!$U$4:$U$40),IF($BL6=1,SUM('Final Calculation Sheet'!$U$4:$U$40)-SUMIFS('Final Calculation Sheet'!$U$4:$U$40,$AZ$5:$AZ$41,10),SUMIFS('Final Calculation Sheet'!$U$4:$U$40,$AZ$5:$AZ$41,$BH6))),""))</f>
        <v>4375</v>
      </c>
      <c r="W7" s="70" t="str">
        <f>IF($BJ6&gt;0,IF(INDEX('Final Calculation Sheet'!$V$4:$V$40,$BJ6-3)="","",INDEX('Final Calculation Sheet'!$V$4:$V$40,$BJ6-3)),IF(OR($BI6=1,$BL6=1,$BH6&gt;0),"–",""))</f>
        <v>11.08.2026</v>
      </c>
      <c r="X7" s="70">
        <f>IF($BJ6&gt;0,IF(INDEX('Final Calculation Sheet'!$W$4:$W$40,$BJ6-3)="","",INDEX('Final Calculation Sheet'!$W$4:$W$40,$BJ6-3)),IF(OR($BI6=1,$BL6=1,$BH6&gt;0),IF($BI6=1,SUM('Final Calculation Sheet'!$W$4:$W$40),IF($BL6=1,SUM('Final Calculation Sheet'!$W$4:$W$40)-SUMIFS('Final Calculation Sheet'!$W$4:$W$40,$AZ$5:$AZ$41,10),SUMIFS('Final Calculation Sheet'!$W$4:$W$40,$AZ$5:$AZ$41,$BH6))),""))</f>
        <v>16214</v>
      </c>
      <c r="Y7" s="70">
        <f>IF($BJ6&gt;0,IF(INDEX('Final Calculation Sheet'!$X$4:$X$40,$BJ6-3)="","",INDEX('Final Calculation Sheet'!$X$4:$X$40,$BJ6-3)),IF(OR($BI6=1,$BL6=1,$BH6&gt;0),IF($BI6=1,SUM('Final Calculation Sheet'!$X$4:$X$40),IF($BL6=1,SUM('Final Calculation Sheet'!$X$4:$X$40)-SUMIFS('Final Calculation Sheet'!$X$4:$X$40,$AZ$5:$AZ$41,10),SUMIFS('Final Calculation Sheet'!$X$4:$X$40,$AZ$5:$AZ$41,$BH6))),""))</f>
        <v>16214</v>
      </c>
      <c r="Z7" s="70" t="str">
        <f>IF($BJ6&gt;0,IF(INDEX('Final Calculation Sheet'!$Y$4:$Y$40,$BJ6-3)="","",INDEX('Final Calculation Sheet'!$Y$4:$Y$40,$BJ6-3)),IF(OR($BI6=1,$BL6=1,$BH6&gt;0),"–",""))</f>
        <v>11.08.2026</v>
      </c>
      <c r="AA7" s="70">
        <f ca="1">IF($BJ6&gt;0,IF(INDEX('Final Calculation Sheet'!$Z$4:$Z$40,$BJ6-3)="","",INDEX('Final Calculation Sheet'!$Z$4:$Z$40,$BJ6-3)),IF(OR($BI6=1,$BL6=1,$BH6&gt;0),IF($BI6=1,SUM('Final Calculation Sheet'!$Z$4:$Z$40),IF($BL6=1,SUM('Final Calculation Sheet'!$Z$4:$Z$40)-SUMIFS('Final Calculation Sheet'!$Z$4:$Z$40,$AZ$5:$AZ$41,10),SUMIFS('Final Calculation Sheet'!$Z$4:$Z$40,$AZ$5:$AZ$41,$BH6))),""))</f>
        <v>0</v>
      </c>
      <c r="AB7" s="70" t="str">
        <f>IF($BJ6&gt;0,IF(INDEX('Final Calculation Sheet'!$AA$4:$AA$40,$BJ6-3)="","",INDEX('Final Calculation Sheet'!$AA$4:$AA$40,$BJ6-3)),IF(OR($BI6=1,$BL6=1,$BH6&gt;0),IF($BI6=1,SUM('Final Calculation Sheet'!$AA$4:$AA$40),IF($BL6=1,SUM('Final Calculation Sheet'!$AA$4:$AA$40)-SUMIFS('Final Calculation Sheet'!$AA$4:$AA$40,$AZ$5:$AZ$41,10),SUMIFS('Final Calculation Sheet'!$AA$4:$AA$40,$AZ$5:$AZ$41,$BH6))),""))</f>
        <v/>
      </c>
      <c r="AC7" s="70" t="str">
        <f>IF($BJ6&gt;0,IF(INDEX('Final Calculation Sheet'!$AB$4:$AB$40,$BJ6-3)="","",INDEX('Final Calculation Sheet'!$AB$4:$AB$40,$BJ6-3)),IF(OR($BI6=1,$BL6=1,$BH6&gt;0),"–",""))</f>
        <v/>
      </c>
      <c r="AD7" s="70">
        <f>IF($BJ6&gt;0,IF(INDEX('Final Calculation Sheet'!$AC$4:$AC$40,$BJ6-3)="","",INDEX('Final Calculation Sheet'!$AC$4:$AC$40,$BJ6-3)),IF(OR($BI6=1,$BL6=1,$BH6&gt;0),IF($BI6=1,SUM('Final Calculation Sheet'!$AC$4:$AC$40),IF($BL6=1,SUM('Final Calculation Sheet'!$AC$4:$AC$40)-SUMIFS('Final Calculation Sheet'!$AC$4:$AC$40,$AZ$5:$AZ$41,10),SUMIFS('Final Calculation Sheet'!$AC$4:$AC$40,$AZ$5:$AZ$41,$BH6))),""))</f>
        <v>20589</v>
      </c>
      <c r="AE7" s="70">
        <f>IF($BJ6&gt;0,IF(INDEX('Final Calculation Sheet'!$AD$4:$AD$40,$BJ6-3)="","",INDEX('Final Calculation Sheet'!$AD$4:$AD$40,$BJ6-3)),IF(OR($BI6=1,$BL6=1,$BH6&gt;0),IF($BI6=1,SUM('Final Calculation Sheet'!$AD$4:$AD$40),IF($BL6=1,SUM('Final Calculation Sheet'!$AD$4:$AD$40)-SUMIFS('Final Calculation Sheet'!$AD$4:$AD$40,$AZ$5:$AZ$41,10),SUMIFS('Final Calculation Sheet'!$AD$4:$AD$40,$AZ$5:$AZ$41,$BH6))),""))</f>
        <v>0</v>
      </c>
      <c r="AF7" s="70" t="str">
        <f>IF($BJ6&gt;0,IF(INDEX('Final Calculation Sheet'!$AE$4:$AE$40,$BJ6-3)="","",INDEX('Final Calculation Sheet'!$AE$4:$AE$40,$BJ6-3)),IF(OR($BI6=1,$BL6=1,$BH6&gt;0),"–",""))</f>
        <v>DR2640100018</v>
      </c>
      <c r="AG7" s="74">
        <f>IF($BJ6&gt;0,IF(INDEX('Final Calculation Sheet'!$AF$4:$AF$40,$BJ6-3)="","",INDEX('Final Calculation Sheet'!$AF$4:$AF$40,$BJ6-3)),IF(OR($BI6=1,$BL6=1,$BH6&gt;0),"–",""))</f>
        <v>1800003156</v>
      </c>
      <c r="AH7" s="70" t="str">
        <f>IF($BJ6&gt;0,IF(INDEX('Final Calculation Sheet'!$AG$4:$AG$40,$BJ6-3)="","",INDEX('Final Calculation Sheet'!$AG$4:$AG$40,$BJ6-3)),IF(OR($BI6=1,$BL6=1,$BH6&gt;0),"–",""))</f>
        <v>14.08.2026</v>
      </c>
      <c r="AI7" s="75" t="str">
        <f>IF($BJ6&gt;0,IF(INDEX('Final Calculation Sheet'!$AD$4:$AD$40,$BJ6-3)="","",IF(INDEX('Final Calculation Sheet'!$AD$4:$AD$40,$BJ6-3)&lt;=0,"SETTLED","OUTSTANDING")),IF(OR($BI6=1,$BL6=1,$BH6&gt;0),IF(IF($BI6=1,SUM('Final Calculation Sheet'!$AD$4:$AD$40),IF($BL6=1,SUM('Final Calculation Sheet'!$AD$4:$AD$40)-SUMIFS('Final Calculation Sheet'!$AD$4:$AD$40,$AZ$5:$AZ$41,10),SUMIFS('Final Calculation Sheet'!$AD$4:$AD$40,$AZ$5:$AZ$41,$BH6)))&lt;=0,"ALL SETTLED","OUTSTANDING"),""))</f>
        <v>SETTLED</v>
      </c>
      <c r="AK7" t="str">
        <f>IF($F$3="Lot No.",'Final Calculation Sheet'!$F$6,IF($F$3="Buyer",'Final Calculation Sheet'!$G$6,IF($F$3="Lot Name",'Final Calculation Sheet'!$B$6,IF($F$3="Bid Sheet",'Final Calculation Sheet'!$D$6,IF($F$3="Unit",'Final Calculation Sheet'!$E$6,'Final Calculation Sheet'!$F$6&amp;" "&amp;'Final Calculation Sheet'!$G$6&amp;" "&amp;'Final Calculation Sheet'!$B$6)))))</f>
        <v>1875 F R KHANS ENTERPRISES Scrap of Copper of faulty AC compressor</v>
      </c>
      <c r="AM7">
        <f t="shared" si="1"/>
        <v>0</v>
      </c>
      <c r="AO7" t="s">
        <v>2</v>
      </c>
      <c r="AR7" t="str">
        <f>IF($AR$4="","",IF($AR$5=99999,"",MID($AR$4,$AR$5,1)))</f>
        <v>,</v>
      </c>
      <c r="AS7" t="str">
        <f>IF($AS$4="","",IF($AS$5=99999,"",MID($AS$4,$AS$5,1)))</f>
        <v/>
      </c>
      <c r="AT7" t="str">
        <f>IF($AT$4="","",IF($AT$5=99999,"",MID($AT$4,$AT$5,1)))</f>
        <v/>
      </c>
      <c r="AU7" t="str">
        <f>IF($AU$4="","",IF($AU$5=99999,"",MID($AU$4,$AU$5,1)))</f>
        <v/>
      </c>
      <c r="AV7" t="str">
        <f>IF($AV$4="","",IF($AV$5=99999,"",MID($AV$4,$AV$5,1)))</f>
        <v/>
      </c>
      <c r="AW7" t="str">
        <f>IF($AW$4="","",IF($AW$5=99999,"",MID($AW$4,$AW$5,1)))</f>
        <v/>
      </c>
      <c r="AX7" t="str">
        <f>IF($AX$4="","",IF($AX$5=99999,"",MID($AX$4,$AX$5,1)))</f>
        <v/>
      </c>
      <c r="AY7" t="str">
        <f>IF($AY$4="","",IF($AY$5=99999,"",MID($AY$4,$AY$5,1)))</f>
        <v/>
      </c>
      <c r="AZ7">
        <f t="shared" si="2"/>
        <v>10</v>
      </c>
      <c r="BA7">
        <f t="shared" si="3"/>
        <v>2</v>
      </c>
      <c r="BB7">
        <f t="shared" si="4"/>
        <v>18</v>
      </c>
      <c r="BC7">
        <v>6</v>
      </c>
      <c r="BD7">
        <f>COUNTIF($AZ$5:$AZ$41,4)</f>
        <v>0</v>
      </c>
      <c r="BE7">
        <f t="shared" si="5"/>
        <v>16</v>
      </c>
      <c r="BF7">
        <f t="shared" si="0"/>
        <v>0</v>
      </c>
      <c r="BH7">
        <f>IFERROR(MATCH(7,$BF$4:$BF$13,0),0)</f>
        <v>0</v>
      </c>
      <c r="BI7">
        <f>IF(7=$BG$5,1,0)</f>
        <v>0</v>
      </c>
      <c r="BJ7">
        <f>IF(OR($BH7&gt;0,$BI7=1,$BL7=1),0,IFERROR(INDEX($BC$5:$BC$41,MATCH(7,$BB$5:$BB$41,0)),0))</f>
        <v>25</v>
      </c>
      <c r="BK7">
        <f>IF($BJ7&gt;0,IF(INDEX($AZ$5:$AZ$41,MATCH(7,$BB$5:$BB$41,0))=10,1,0),IF($BH7=10,1,0))</f>
        <v>0</v>
      </c>
      <c r="BL7">
        <f>IF(7=$BG$4,1,0)</f>
        <v>0</v>
      </c>
      <c r="BM7">
        <f>IF($A$4="",1,--(AND(SUMPRODUCT(--($AS$60:$AZ$60&lt;&gt;""))&gt;0,IF(COUNTIF($BI$60:$BP$60,1)=0,TRUE,SUMPRODUCT(($BI$60:$BP$60=1)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$60,2)=0,TRUE,SUMPRODUCT(($BI$60:$BP$60=2)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$60,3)=0,TRUE,SUMPRODUCT(($BI$60:$BP$60=3)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$60,4)=0,TRUE,SUMPRODUCT(($BI$60:$BP$60=4)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$60,5)=0,TRUE,SUMPRODUCT(($BI$60:$BP$60=5)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$60,6)=0,TRUE,SUMPRODUCT(($BI$60:$BP$60=6)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$60,7)=0,TRUE,SUMPRODUCT(($BI$60:$BP$60=7)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$60,8)=0,TRUE,SUMPRODUCT(($BI$60:$BP$60=8)*($AS$60:$AZ$60&lt;&gt;"")*IF(((UPPER($AS$60:$AZ$60)="BLANK")+(UPPER($AS$60:$AZ$60)="(BLANK)")+(UPPER($AS$60:$AZ$60)="EMPTY")+(UPPER($AS$60:$AZ$60)="(EMPTY)"))&gt;0,IFERROR((ROW()-4)&amp;"","")="",ISNUMBER(SEARCH($AS$60:$AZ$60,IFERROR((ROW()-4)&amp;"","")))))&gt;0))))</f>
        <v>1</v>
      </c>
      <c r="BN7">
        <f>IF($B$4="",1,--(AND(SUMPRODUCT(--($AS$61:$AZ$61&lt;&gt;""))&gt;0,IF(COUNTIF($BI$61:$BP$61,1)=0,TRUE,SUMPRODUCT(($BI$61:$BP$61=1)*($AS$61:$AZ$61&lt;&gt;"")*IF(((UPPER($AS$61:$AZ$61)="BLANK")+(UPPER($AS$61:$AZ$61)="(BLANK)")+(UPPER($AS$61:$AZ$61)="EMPTY")+(UPPER($AS$61:$AZ$61)="(EMPTY)"))&gt;0,IFERROR(('Final Calculation Sheet'!$F$6)&amp;"","")="",ISNUMBER(SEARCH($AS$61:$AZ$61,IFERROR(('Final Calculation Sheet'!$F$6)&amp;"","")))))&gt;0),IF(COUNTIF($BI$61:$BP$61,2)=0,TRUE,SUMPRODUCT(($BI$61:$BP$61=2)*($AS$61:$AZ$61&lt;&gt;"")*IF(((UPPER($AS$61:$AZ$61)="BLANK")+(UPPER($AS$61:$AZ$61)="(BLANK)")+(UPPER($AS$61:$AZ$61)="EMPTY")+(UPPER($AS$61:$AZ$61)="(EMPTY)"))&gt;0,IFERROR(('Final Calculation Sheet'!$F$6)&amp;"","")="",ISNUMBER(SEARCH($AS$61:$AZ$61,IFERROR(('Final Calculation Sheet'!$F$6)&amp;"","")))))&gt;0),IF(COUNTIF($BI$61:$BP$61,3)=0,TRUE,SUMPRODUCT(($BI$61:$BP$61=3)*($AS$61:$AZ$61&lt;&gt;"")*IF(((UPPER($AS$61:$AZ$61)="BLANK")+(UPPER($AS$61:$AZ$61)="(BLANK)")+(UPPER($AS$61:$AZ$61)="EMPTY")+(UPPER($AS$61:$AZ$61)="(EMPTY)"))&gt;0,IFERROR(('Final Calculation Sheet'!$F$6)&amp;"","")="",ISNUMBER(SEARCH($AS$61:$AZ$61,IFERROR(('Final Calculation Sheet'!$F$6)&amp;"","")))))&gt;0),IF(COUNTIF($BI$61:$BP$61,4)=0,TRUE,SUMPRODUCT(($BI$61:$BP$61=4)*($AS$61:$AZ$61&lt;&gt;"")*IF(((UPPER($AS$61:$AZ$61)="BLANK")+(UPPER($AS$61:$AZ$61)="(BLANK)")+(UPPER($AS$61:$AZ$61)="EMPTY")+(UPPER($AS$61:$AZ$61)="(EMPTY)"))&gt;0,IFERROR(('Final Calculation Sheet'!$F$6)&amp;"","")="",ISNUMBER(SEARCH($AS$61:$AZ$61,IFERROR(('Final Calculation Sheet'!$F$6)&amp;"","")))))&gt;0),IF(COUNTIF($BI$61:$BP$61,5)=0,TRUE,SUMPRODUCT(($BI$61:$BP$61=5)*($AS$61:$AZ$61&lt;&gt;"")*IF(((UPPER($AS$61:$AZ$61)="BLANK")+(UPPER($AS$61:$AZ$61)="(BLANK)")+(UPPER($AS$61:$AZ$61)="EMPTY")+(UPPER($AS$61:$AZ$61)="(EMPTY)"))&gt;0,IFERROR(('Final Calculation Sheet'!$F$6)&amp;"","")="",ISNUMBER(SEARCH($AS$61:$AZ$61,IFERROR(('Final Calculation Sheet'!$F$6)&amp;"","")))))&gt;0),IF(COUNTIF($BI$61:$BP$61,6)=0,TRUE,SUMPRODUCT(($BI$61:$BP$61=6)*($AS$61:$AZ$61&lt;&gt;"")*IF(((UPPER($AS$61:$AZ$61)="BLANK")+(UPPER($AS$61:$AZ$61)="(BLANK)")+(UPPER($AS$61:$AZ$61)="EMPTY")+(UPPER($AS$61:$AZ$61)="(EMPTY)"))&gt;0,IFERROR(('Final Calculation Sheet'!$F$6)&amp;"","")="",ISNUMBER(SEARCH($AS$61:$AZ$61,IFERROR(('Final Calculation Sheet'!$F$6)&amp;"","")))))&gt;0),IF(COUNTIF($BI$61:$BP$61,7)=0,TRUE,SUMPRODUCT(($BI$61:$BP$61=7)*($AS$61:$AZ$61&lt;&gt;"")*IF(((UPPER($AS$61:$AZ$61)="BLANK")+(UPPER($AS$61:$AZ$61)="(BLANK)")+(UPPER($AS$61:$AZ$61)="EMPTY")+(UPPER($AS$61:$AZ$61)="(EMPTY)"))&gt;0,IFERROR(('Final Calculation Sheet'!$F$6)&amp;"","")="",ISNUMBER(SEARCH($AS$61:$AZ$61,IFERROR(('Final Calculation Sheet'!$F$6)&amp;"","")))))&gt;0),IF(COUNTIF($BI$61:$BP$61,8)=0,TRUE,SUMPRODUCT(($BI$61:$BP$61=8)*($AS$61:$AZ$61&lt;&gt;"")*IF(((UPPER($AS$61:$AZ$61)="BLANK")+(UPPER($AS$61:$AZ$61)="(BLANK)")+(UPPER($AS$61:$AZ$61)="EMPTY")+(UPPER($AS$61:$AZ$61)="(EMPTY)"))&gt;0,IFERROR(('Final Calculation Sheet'!$F$6)&amp;"","")="",ISNUMBER(SEARCH($AS$61:$AZ$61,IFERROR(('Final Calculation Sheet'!$F$6)&amp;"","")))))&gt;0))))</f>
        <v>1</v>
      </c>
      <c r="BO7">
        <f>IF($C$4="",1,--(AND(SUMPRODUCT(--($AS$62:$AZ$62&lt;&gt;""))&gt;0,IF(COUNTIF($BI$62:$BP$62,1)=0,TRUE,SUMPRODUCT(($BI$62:$BP$62=1)*($AS$62:$AZ$62&lt;&gt;"")*IF(((UPPER($AS$62:$AZ$62)="BLANK")+(UPPER($AS$62:$AZ$62)="(BLANK)")+(UPPER($AS$62:$AZ$62)="EMPTY")+(UPPER($AS$62:$AZ$62)="(EMPTY)"))&gt;0,IFERROR(('Final Calculation Sheet'!$G$6)&amp;"","")="",ISNUMBER(SEARCH($AS$62:$AZ$62,IFERROR(('Final Calculation Sheet'!$G$6)&amp;"","")))))&gt;0),IF(COUNTIF($BI$62:$BP$62,2)=0,TRUE,SUMPRODUCT(($BI$62:$BP$62=2)*($AS$62:$AZ$62&lt;&gt;"")*IF(((UPPER($AS$62:$AZ$62)="BLANK")+(UPPER($AS$62:$AZ$62)="(BLANK)")+(UPPER($AS$62:$AZ$62)="EMPTY")+(UPPER($AS$62:$AZ$62)="(EMPTY)"))&gt;0,IFERROR(('Final Calculation Sheet'!$G$6)&amp;"","")="",ISNUMBER(SEARCH($AS$62:$AZ$62,IFERROR(('Final Calculation Sheet'!$G$6)&amp;"","")))))&gt;0),IF(COUNTIF($BI$62:$BP$62,3)=0,TRUE,SUMPRODUCT(($BI$62:$BP$62=3)*($AS$62:$AZ$62&lt;&gt;"")*IF(((UPPER($AS$62:$AZ$62)="BLANK")+(UPPER($AS$62:$AZ$62)="(BLANK)")+(UPPER($AS$62:$AZ$62)="EMPTY")+(UPPER($AS$62:$AZ$62)="(EMPTY)"))&gt;0,IFERROR(('Final Calculation Sheet'!$G$6)&amp;"","")="",ISNUMBER(SEARCH($AS$62:$AZ$62,IFERROR(('Final Calculation Sheet'!$G$6)&amp;"","")))))&gt;0),IF(COUNTIF($BI$62:$BP$62,4)=0,TRUE,SUMPRODUCT(($BI$62:$BP$62=4)*($AS$62:$AZ$62&lt;&gt;"")*IF(((UPPER($AS$62:$AZ$62)="BLANK")+(UPPER($AS$62:$AZ$62)="(BLANK)")+(UPPER($AS$62:$AZ$62)="EMPTY")+(UPPER($AS$62:$AZ$62)="(EMPTY)"))&gt;0,IFERROR(('Final Calculation Sheet'!$G$6)&amp;"","")="",ISNUMBER(SEARCH($AS$62:$AZ$62,IFERROR(('Final Calculation Sheet'!$G$6)&amp;"","")))))&gt;0),IF(COUNTIF($BI$62:$BP$62,5)=0,TRUE,SUMPRODUCT(($BI$62:$BP$62=5)*($AS$62:$AZ$62&lt;&gt;"")*IF(((UPPER($AS$62:$AZ$62)="BLANK")+(UPPER($AS$62:$AZ$62)="(BLANK)")+(UPPER($AS$62:$AZ$62)="EMPTY")+(UPPER($AS$62:$AZ$62)="(EMPTY)"))&gt;0,IFERROR(('Final Calculation Sheet'!$G$6)&amp;"","")="",ISNUMBER(SEARCH($AS$62:$AZ$62,IFERROR(('Final Calculation Sheet'!$G$6)&amp;"","")))))&gt;0),IF(COUNTIF($BI$62:$BP$62,6)=0,TRUE,SUMPRODUCT(($BI$62:$BP$62=6)*($AS$62:$AZ$62&lt;&gt;"")*IF(((UPPER($AS$62:$AZ$62)="BLANK")+(UPPER($AS$62:$AZ$62)="(BLANK)")+(UPPER($AS$62:$AZ$62)="EMPTY")+(UPPER($AS$62:$AZ$62)="(EMPTY)"))&gt;0,IFERROR(('Final Calculation Sheet'!$G$6)&amp;"","")="",ISNUMBER(SEARCH($AS$62:$AZ$62,IFERROR(('Final Calculation Sheet'!$G$6)&amp;"","")))))&gt;0),IF(COUNTIF($BI$62:$BP$62,7)=0,TRUE,SUMPRODUCT(($BI$62:$BP$62=7)*($AS$62:$AZ$62&lt;&gt;"")*IF(((UPPER($AS$62:$AZ$62)="BLANK")+(UPPER($AS$62:$AZ$62)="(BLANK)")+(UPPER($AS$62:$AZ$62)="EMPTY")+(UPPER($AS$62:$AZ$62)="(EMPTY)"))&gt;0,IFERROR(('Final Calculation Sheet'!$G$6)&amp;"","")="",ISNUMBER(SEARCH($AS$62:$AZ$62,IFERROR(('Final Calculation Sheet'!$G$6)&amp;"","")))))&gt;0),IF(COUNTIF($BI$62:$BP$62,8)=0,TRUE,SUMPRODUCT(($BI$62:$BP$62=8)*($AS$62:$AZ$62&lt;&gt;"")*IF(((UPPER($AS$62:$AZ$62)="BLANK")+(UPPER($AS$62:$AZ$62)="(BLANK)")+(UPPER($AS$62:$AZ$62)="EMPTY")+(UPPER($AS$62:$AZ$62)="(EMPTY)"))&gt;0,IFERROR(('Final Calculation Sheet'!$G$6)&amp;"","")="",ISNUMBER(SEARCH($AS$62:$AZ$62,IFERROR(('Final Calculation Sheet'!$G$6)&amp;"","")))))&gt;0))))</f>
        <v>1</v>
      </c>
      <c r="BP7">
        <f>IF($D$4="",1,--(AND(SUMPRODUCT(--($AS$63:$AZ$63&lt;&gt;""))&gt;0,IF(COUNTIF($BI$63:$BP$63,1)=0,TRUE,SUMPRODUCT(($BI$63:$BP$63=1)*($AS$63:$AZ$63&lt;&gt;"")*IF(((UPPER($AS$63:$AZ$63)="BLANK")+(UPPER($AS$63:$AZ$63)="(BLANK)")+(UPPER($AS$63:$AZ$63)="EMPTY")+(UPPER($AS$63:$AZ$63)="(EMPTY)"))&gt;0,IFERROR(('Final Calculation Sheet'!$B$6)&amp;"","")="",ISNUMBER(SEARCH($AS$63:$AZ$63,IFERROR(('Final Calculation Sheet'!$B$6)&amp;"","")))))&gt;0),IF(COUNTIF($BI$63:$BP$63,2)=0,TRUE,SUMPRODUCT(($BI$63:$BP$63=2)*($AS$63:$AZ$63&lt;&gt;"")*IF(((UPPER($AS$63:$AZ$63)="BLANK")+(UPPER($AS$63:$AZ$63)="(BLANK)")+(UPPER($AS$63:$AZ$63)="EMPTY")+(UPPER($AS$63:$AZ$63)="(EMPTY)"))&gt;0,IFERROR(('Final Calculation Sheet'!$B$6)&amp;"","")="",ISNUMBER(SEARCH($AS$63:$AZ$63,IFERROR(('Final Calculation Sheet'!$B$6)&amp;"","")))))&gt;0),IF(COUNTIF($BI$63:$BP$63,3)=0,TRUE,SUMPRODUCT(($BI$63:$BP$63=3)*($AS$63:$AZ$63&lt;&gt;"")*IF(((UPPER($AS$63:$AZ$63)="BLANK")+(UPPER($AS$63:$AZ$63)="(BLANK)")+(UPPER($AS$63:$AZ$63)="EMPTY")+(UPPER($AS$63:$AZ$63)="(EMPTY)"))&gt;0,IFERROR(('Final Calculation Sheet'!$B$6)&amp;"","")="",ISNUMBER(SEARCH($AS$63:$AZ$63,IFERROR(('Final Calculation Sheet'!$B$6)&amp;"","")))))&gt;0),IF(COUNTIF($BI$63:$BP$63,4)=0,TRUE,SUMPRODUCT(($BI$63:$BP$63=4)*($AS$63:$AZ$63&lt;&gt;"")*IF(((UPPER($AS$63:$AZ$63)="BLANK")+(UPPER($AS$63:$AZ$63)="(BLANK)")+(UPPER($AS$63:$AZ$63)="EMPTY")+(UPPER($AS$63:$AZ$63)="(EMPTY)"))&gt;0,IFERROR(('Final Calculation Sheet'!$B$6)&amp;"","")="",ISNUMBER(SEARCH($AS$63:$AZ$63,IFERROR(('Final Calculation Sheet'!$B$6)&amp;"","")))))&gt;0),IF(COUNTIF($BI$63:$BP$63,5)=0,TRUE,SUMPRODUCT(($BI$63:$BP$63=5)*($AS$63:$AZ$63&lt;&gt;"")*IF(((UPPER($AS$63:$AZ$63)="BLANK")+(UPPER($AS$63:$AZ$63)="(BLANK)")+(UPPER($AS$63:$AZ$63)="EMPTY")+(UPPER($AS$63:$AZ$63)="(EMPTY)"))&gt;0,IFERROR(('Final Calculation Sheet'!$B$6)&amp;"","")="",ISNUMBER(SEARCH($AS$63:$AZ$63,IFERROR(('Final Calculation Sheet'!$B$6)&amp;"","")))))&gt;0),IF(COUNTIF($BI$63:$BP$63,6)=0,TRUE,SUMPRODUCT(($BI$63:$BP$63=6)*($AS$63:$AZ$63&lt;&gt;"")*IF(((UPPER($AS$63:$AZ$63)="BLANK")+(UPPER($AS$63:$AZ$63)="(BLANK)")+(UPPER($AS$63:$AZ$63)="EMPTY")+(UPPER($AS$63:$AZ$63)="(EMPTY)"))&gt;0,IFERROR(('Final Calculation Sheet'!$B$6)&amp;"","")="",ISNUMBER(SEARCH($AS$63:$AZ$63,IFERROR(('Final Calculation Sheet'!$B$6)&amp;"","")))))&gt;0),IF(COUNTIF($BI$63:$BP$63,7)=0,TRUE,SUMPRODUCT(($BI$63:$BP$63=7)*($AS$63:$AZ$63&lt;&gt;"")*IF(((UPPER($AS$63:$AZ$63)="BLANK")+(UPPER($AS$63:$AZ$63)="(BLANK)")+(UPPER($AS$63:$AZ$63)="EMPTY")+(UPPER($AS$63:$AZ$63)="(EMPTY)"))&gt;0,IFERROR(('Final Calculation Sheet'!$B$6)&amp;"","")="",ISNUMBER(SEARCH($AS$63:$AZ$63,IFERROR(('Final Calculation Sheet'!$B$6)&amp;"","")))))&gt;0),IF(COUNTIF($BI$63:$BP$63,8)=0,TRUE,SUMPRODUCT(($BI$63:$BP$63=8)*($AS$63:$AZ$63&lt;&gt;"")*IF(((UPPER($AS$63:$AZ$63)="BLANK")+(UPPER($AS$63:$AZ$63)="(BLANK)")+(UPPER($AS$63:$AZ$63)="EMPTY")+(UPPER($AS$63:$AZ$63)="(EMPTY)"))&gt;0,IFERROR(('Final Calculation Sheet'!$B$6)&amp;"","")="",ISNUMBER(SEARCH($AS$63:$AZ$63,IFERROR(('Final Calculation Sheet'!$B$6)&amp;"","")))))&gt;0))))</f>
        <v>1</v>
      </c>
      <c r="BQ7">
        <f>IF($E$4="",1,--(AND(SUMPRODUCT(--($AS$64:$AZ$64&lt;&gt;""))&gt;0,IF(COUNTIF($BI$64:$BP$64,1)=0,TRUE,SUMPRODUCT(($BI$64:$BP$64=1)*($AS$64:$AZ$64&lt;&gt;"")*IF(((UPPER($AS$64:$AZ$64)="BLANK")+(UPPER($AS$64:$AZ$64)="(BLANK)")+(UPPER($AS$64:$AZ$64)="EMPTY")+(UPPER($AS$64:$AZ$64)="(EMPTY)"))&gt;0,IFERROR(('Final Calculation Sheet'!$D$6)&amp;"","")="",ISNUMBER(SEARCH($AS$64:$AZ$64,IFERROR(('Final Calculation Sheet'!$D$6)&amp;"","")))))&gt;0),IF(COUNTIF($BI$64:$BP$64,2)=0,TRUE,SUMPRODUCT(($BI$64:$BP$64=2)*($AS$64:$AZ$64&lt;&gt;"")*IF(((UPPER($AS$64:$AZ$64)="BLANK")+(UPPER($AS$64:$AZ$64)="(BLANK)")+(UPPER($AS$64:$AZ$64)="EMPTY")+(UPPER($AS$64:$AZ$64)="(EMPTY)"))&gt;0,IFERROR(('Final Calculation Sheet'!$D$6)&amp;"","")="",ISNUMBER(SEARCH($AS$64:$AZ$64,IFERROR(('Final Calculation Sheet'!$D$6)&amp;"","")))))&gt;0),IF(COUNTIF($BI$64:$BP$64,3)=0,TRUE,SUMPRODUCT(($BI$64:$BP$64=3)*($AS$64:$AZ$64&lt;&gt;"")*IF(((UPPER($AS$64:$AZ$64)="BLANK")+(UPPER($AS$64:$AZ$64)="(BLANK)")+(UPPER($AS$64:$AZ$64)="EMPTY")+(UPPER($AS$64:$AZ$64)="(EMPTY)"))&gt;0,IFERROR(('Final Calculation Sheet'!$D$6)&amp;"","")="",ISNUMBER(SEARCH($AS$64:$AZ$64,IFERROR(('Final Calculation Sheet'!$D$6)&amp;"","")))))&gt;0),IF(COUNTIF($BI$64:$BP$64,4)=0,TRUE,SUMPRODUCT(($BI$64:$BP$64=4)*($AS$64:$AZ$64&lt;&gt;"")*IF(((UPPER($AS$64:$AZ$64)="BLANK")+(UPPER($AS$64:$AZ$64)="(BLANK)")+(UPPER($AS$64:$AZ$64)="EMPTY")+(UPPER($AS$64:$AZ$64)="(EMPTY)"))&gt;0,IFERROR(('Final Calculation Sheet'!$D$6)&amp;"","")="",ISNUMBER(SEARCH($AS$64:$AZ$64,IFERROR(('Final Calculation Sheet'!$D$6)&amp;"","")))))&gt;0),IF(COUNTIF($BI$64:$BP$64,5)=0,TRUE,SUMPRODUCT(($BI$64:$BP$64=5)*($AS$64:$AZ$64&lt;&gt;"")*IF(((UPPER($AS$64:$AZ$64)="BLANK")+(UPPER($AS$64:$AZ$64)="(BLANK)")+(UPPER($AS$64:$AZ$64)="EMPTY")+(UPPER($AS$64:$AZ$64)="(EMPTY)"))&gt;0,IFERROR(('Final Calculation Sheet'!$D$6)&amp;"","")="",ISNUMBER(SEARCH($AS$64:$AZ$64,IFERROR(('Final Calculation Sheet'!$D$6)&amp;"","")))))&gt;0),IF(COUNTIF($BI$64:$BP$64,6)=0,TRUE,SUMPRODUCT(($BI$64:$BP$64=6)*($AS$64:$AZ$64&lt;&gt;"")*IF(((UPPER($AS$64:$AZ$64)="BLANK")+(UPPER($AS$64:$AZ$64)="(BLANK)")+(UPPER($AS$64:$AZ$64)="EMPTY")+(UPPER($AS$64:$AZ$64)="(EMPTY)"))&gt;0,IFERROR(('Final Calculation Sheet'!$D$6)&amp;"","")="",ISNUMBER(SEARCH($AS$64:$AZ$64,IFERROR(('Final Calculation Sheet'!$D$6)&amp;"","")))))&gt;0),IF(COUNTIF($BI$64:$BP$64,7)=0,TRUE,SUMPRODUCT(($BI$64:$BP$64=7)*($AS$64:$AZ$64&lt;&gt;"")*IF(((UPPER($AS$64:$AZ$64)="BLANK")+(UPPER($AS$64:$AZ$64)="(BLANK)")+(UPPER($AS$64:$AZ$64)="EMPTY")+(UPPER($AS$64:$AZ$64)="(EMPTY)"))&gt;0,IFERROR(('Final Calculation Sheet'!$D$6)&amp;"","")="",ISNUMBER(SEARCH($AS$64:$AZ$64,IFERROR(('Final Calculation Sheet'!$D$6)&amp;"","")))))&gt;0),IF(COUNTIF($BI$64:$BP$64,8)=0,TRUE,SUMPRODUCT(($BI$64:$BP$64=8)*($AS$64:$AZ$64&lt;&gt;"")*IF(((UPPER($AS$64:$AZ$64)="BLANK")+(UPPER($AS$64:$AZ$64)="(BLANK)")+(UPPER($AS$64:$AZ$64)="EMPTY")+(UPPER($AS$64:$AZ$64)="(EMPTY)"))&gt;0,IFERROR(('Final Calculation Sheet'!$D$6)&amp;"","")="",ISNUMBER(SEARCH($AS$64:$AZ$64,IFERROR(('Final Calculation Sheet'!$D$6)&amp;"","")))))&gt;0))))</f>
        <v>1</v>
      </c>
      <c r="BR7">
        <f>IF($F$4="",1,--(AND(SUMPRODUCT(--($AS$65:$AZ$65&lt;&gt;""))&gt;0,IF(COUNTIF($BI$65:$BP$65,1)=0,TRUE,SUMPRODUCT(($BI$65:$BP$65=1)*($AS$65:$AZ$65&lt;&gt;"")*IF(((UPPER($AS$65:$AZ$65)="BLANK")+(UPPER($AS$65:$AZ$65)="(BLANK)")+(UPPER($AS$65:$AZ$65)="EMPTY")+(UPPER($AS$65:$AZ$65)="(EMPTY)"))&gt;0,IFERROR(('Final Calculation Sheet'!$A$6)&amp;"","")="",ISNUMBER(SEARCH($AS$65:$AZ$65,IFERROR(('Final Calculation Sheet'!$A$6)&amp;"","")))))&gt;0),IF(COUNTIF($BI$65:$BP$65,2)=0,TRUE,SUMPRODUCT(($BI$65:$BP$65=2)*($AS$65:$AZ$65&lt;&gt;"")*IF(((UPPER($AS$65:$AZ$65)="BLANK")+(UPPER($AS$65:$AZ$65)="(BLANK)")+(UPPER($AS$65:$AZ$65)="EMPTY")+(UPPER($AS$65:$AZ$65)="(EMPTY)"))&gt;0,IFERROR(('Final Calculation Sheet'!$A$6)&amp;"","")="",ISNUMBER(SEARCH($AS$65:$AZ$65,IFERROR(('Final Calculation Sheet'!$A$6)&amp;"","")))))&gt;0),IF(COUNTIF($BI$65:$BP$65,3)=0,TRUE,SUMPRODUCT(($BI$65:$BP$65=3)*($AS$65:$AZ$65&lt;&gt;"")*IF(((UPPER($AS$65:$AZ$65)="BLANK")+(UPPER($AS$65:$AZ$65)="(BLANK)")+(UPPER($AS$65:$AZ$65)="EMPTY")+(UPPER($AS$65:$AZ$65)="(EMPTY)"))&gt;0,IFERROR(('Final Calculation Sheet'!$A$6)&amp;"","")="",ISNUMBER(SEARCH($AS$65:$AZ$65,IFERROR(('Final Calculation Sheet'!$A$6)&amp;"","")))))&gt;0),IF(COUNTIF($BI$65:$BP$65,4)=0,TRUE,SUMPRODUCT(($BI$65:$BP$65=4)*($AS$65:$AZ$65&lt;&gt;"")*IF(((UPPER($AS$65:$AZ$65)="BLANK")+(UPPER($AS$65:$AZ$65)="(BLANK)")+(UPPER($AS$65:$AZ$65)="EMPTY")+(UPPER($AS$65:$AZ$65)="(EMPTY)"))&gt;0,IFERROR(('Final Calculation Sheet'!$A$6)&amp;"","")="",ISNUMBER(SEARCH($AS$65:$AZ$65,IFERROR(('Final Calculation Sheet'!$A$6)&amp;"","")))))&gt;0),IF(COUNTIF($BI$65:$BP$65,5)=0,TRUE,SUMPRODUCT(($BI$65:$BP$65=5)*($AS$65:$AZ$65&lt;&gt;"")*IF(((UPPER($AS$65:$AZ$65)="BLANK")+(UPPER($AS$65:$AZ$65)="(BLANK)")+(UPPER($AS$65:$AZ$65)="EMPTY")+(UPPER($AS$65:$AZ$65)="(EMPTY)"))&gt;0,IFERROR(('Final Calculation Sheet'!$A$6)&amp;"","")="",ISNUMBER(SEARCH($AS$65:$AZ$65,IFERROR(('Final Calculation Sheet'!$A$6)&amp;"","")))))&gt;0),IF(COUNTIF($BI$65:$BP$65,6)=0,TRUE,SUMPRODUCT(($BI$65:$BP$65=6)*($AS$65:$AZ$65&lt;&gt;"")*IF(((UPPER($AS$65:$AZ$65)="BLANK")+(UPPER($AS$65:$AZ$65)="(BLANK)")+(UPPER($AS$65:$AZ$65)="EMPTY")+(UPPER($AS$65:$AZ$65)="(EMPTY)"))&gt;0,IFERROR(('Final Calculation Sheet'!$A$6)&amp;"","")="",ISNUMBER(SEARCH($AS$65:$AZ$65,IFERROR(('Final Calculation Sheet'!$A$6)&amp;"","")))))&gt;0),IF(COUNTIF($BI$65:$BP$65,7)=0,TRUE,SUMPRODUCT(($BI$65:$BP$65=7)*($AS$65:$AZ$65&lt;&gt;"")*IF(((UPPER($AS$65:$AZ$65)="BLANK")+(UPPER($AS$65:$AZ$65)="(BLANK)")+(UPPER($AS$65:$AZ$65)="EMPTY")+(UPPER($AS$65:$AZ$65)="(EMPTY)"))&gt;0,IFERROR(('Final Calculation Sheet'!$A$6)&amp;"","")="",ISNUMBER(SEARCH($AS$65:$AZ$65,IFERROR(('Final Calculation Sheet'!$A$6)&amp;"","")))))&gt;0),IF(COUNTIF($BI$65:$BP$65,8)=0,TRUE,SUMPRODUCT(($BI$65:$BP$65=8)*($AS$65:$AZ$65&lt;&gt;"")*IF(((UPPER($AS$65:$AZ$65)="BLANK")+(UPPER($AS$65:$AZ$65)="(BLANK)")+(UPPER($AS$65:$AZ$65)="EMPTY")+(UPPER($AS$65:$AZ$65)="(EMPTY)"))&gt;0,IFERROR(('Final Calculation Sheet'!$A$6)&amp;"","")="",ISNUMBER(SEARCH($AS$65:$AZ$65,IFERROR(('Final Calculation Sheet'!$A$6)&amp;"","")))))&gt;0))))</f>
        <v>1</v>
      </c>
      <c r="BS7">
        <f>IF($G$4="",1,--(AND(SUMPRODUCT(--($AS$66:$AZ$66&lt;&gt;""))&gt;0,IF(COUNTIF($BI$66:$BP$66,1)=0,TRUE,SUMPRODUCT(($BI$66:$BP$66=1)*($AS$66:$AZ$66&lt;&gt;"")*IF(((UPPER($AS$66:$AZ$66)="BLANK")+(UPPER($AS$66:$AZ$66)="(BLANK)")+(UPPER($AS$66:$AZ$66)="EMPTY")+(UPPER($AS$66:$AZ$66)="(EMPTY)"))&gt;0,IFERROR(('Final Calculation Sheet'!$E$6)&amp;"","")="",ISNUMBER(SEARCH($AS$66:$AZ$66,IFERROR(('Final Calculation Sheet'!$E$6)&amp;"","")))))&gt;0),IF(COUNTIF($BI$66:$BP$66,2)=0,TRUE,SUMPRODUCT(($BI$66:$BP$66=2)*($AS$66:$AZ$66&lt;&gt;"")*IF(((UPPER($AS$66:$AZ$66)="BLANK")+(UPPER($AS$66:$AZ$66)="(BLANK)")+(UPPER($AS$66:$AZ$66)="EMPTY")+(UPPER($AS$66:$AZ$66)="(EMPTY)"))&gt;0,IFERROR(('Final Calculation Sheet'!$E$6)&amp;"","")="",ISNUMBER(SEARCH($AS$66:$AZ$66,IFERROR(('Final Calculation Sheet'!$E$6)&amp;"","")))))&gt;0),IF(COUNTIF($BI$66:$BP$66,3)=0,TRUE,SUMPRODUCT(($BI$66:$BP$66=3)*($AS$66:$AZ$66&lt;&gt;"")*IF(((UPPER($AS$66:$AZ$66)="BLANK")+(UPPER($AS$66:$AZ$66)="(BLANK)")+(UPPER($AS$66:$AZ$66)="EMPTY")+(UPPER($AS$66:$AZ$66)="(EMPTY)"))&gt;0,IFERROR(('Final Calculation Sheet'!$E$6)&amp;"","")="",ISNUMBER(SEARCH($AS$66:$AZ$66,IFERROR(('Final Calculation Sheet'!$E$6)&amp;"","")))))&gt;0),IF(COUNTIF($BI$66:$BP$66,4)=0,TRUE,SUMPRODUCT(($BI$66:$BP$66=4)*($AS$66:$AZ$66&lt;&gt;"")*IF(((UPPER($AS$66:$AZ$66)="BLANK")+(UPPER($AS$66:$AZ$66)="(BLANK)")+(UPPER($AS$66:$AZ$66)="EMPTY")+(UPPER($AS$66:$AZ$66)="(EMPTY)"))&gt;0,IFERROR(('Final Calculation Sheet'!$E$6)&amp;"","")="",ISNUMBER(SEARCH($AS$66:$AZ$66,IFERROR(('Final Calculation Sheet'!$E$6)&amp;"","")))))&gt;0),IF(COUNTIF($BI$66:$BP$66,5)=0,TRUE,SUMPRODUCT(($BI$66:$BP$66=5)*($AS$66:$AZ$66&lt;&gt;"")*IF(((UPPER($AS$66:$AZ$66)="BLANK")+(UPPER($AS$66:$AZ$66)="(BLANK)")+(UPPER($AS$66:$AZ$66)="EMPTY")+(UPPER($AS$66:$AZ$66)="(EMPTY)"))&gt;0,IFERROR(('Final Calculation Sheet'!$E$6)&amp;"","")="",ISNUMBER(SEARCH($AS$66:$AZ$66,IFERROR(('Final Calculation Sheet'!$E$6)&amp;"","")))))&gt;0),IF(COUNTIF($BI$66:$BP$66,6)=0,TRUE,SUMPRODUCT(($BI$66:$BP$66=6)*($AS$66:$AZ$66&lt;&gt;"")*IF(((UPPER($AS$66:$AZ$66)="BLANK")+(UPPER($AS$66:$AZ$66)="(BLANK)")+(UPPER($AS$66:$AZ$66)="EMPTY")+(UPPER($AS$66:$AZ$66)="(EMPTY)"))&gt;0,IFERROR(('Final Calculation Sheet'!$E$6)&amp;"","")="",ISNUMBER(SEARCH($AS$66:$AZ$66,IFERROR(('Final Calculation Sheet'!$E$6)&amp;"","")))))&gt;0),IF(COUNTIF($BI$66:$BP$66,7)=0,TRUE,SUMPRODUCT(($BI$66:$BP$66=7)*($AS$66:$AZ$66&lt;&gt;"")*IF(((UPPER($AS$66:$AZ$66)="BLANK")+(UPPER($AS$66:$AZ$66)="(BLANK)")+(UPPER($AS$66:$AZ$66)="EMPTY")+(UPPER($AS$66:$AZ$66)="(EMPTY)"))&gt;0,IFERROR(('Final Calculation Sheet'!$E$6)&amp;"","")="",ISNUMBER(SEARCH($AS$66:$AZ$66,IFERROR(('Final Calculation Sheet'!$E$6)&amp;"","")))))&gt;0),IF(COUNTIF($BI$66:$BP$66,8)=0,TRUE,SUMPRODUCT(($BI$66:$BP$66=8)*($AS$66:$AZ$66&lt;&gt;"")*IF(((UPPER($AS$66:$AZ$66)="BLANK")+(UPPER($AS$66:$AZ$66)="(BLANK)")+(UPPER($AS$66:$AZ$66)="EMPTY")+(UPPER($AS$66:$AZ$66)="(EMPTY)"))&gt;0,IFERROR(('Final Calculation Sheet'!$E$6)&amp;"","")="",ISNUMBER(SEARCH($AS$66:$AZ$66,IFERROR(('Final Calculation Sheet'!$E$6)&amp;"","")))))&gt;0))))</f>
        <v>1</v>
      </c>
      <c r="BT7">
        <f>IF($H$4="",1,--(AND(SUMPRODUCT(--($AS$67:$AZ$67&lt;&gt;""))&gt;0,IF(COUNTIF($BI$67:$BP$67,1)=0,TRUE,SUMPRODUCT(($BI$67:$BP$67=1)*($AS$67:$AZ$67&lt;&gt;"")*IF(((UPPER($AS$67:$AZ$67)="BLANK")+(UPPER($AS$67:$AZ$67)="(BLANK)")+(UPPER($AS$67:$AZ$67)="EMPTY")+(UPPER($AS$67:$AZ$67)="(EMPTY)"))&gt;0,IFERROR(('Final Calculation Sheet'!$C$6)&amp;"","")="",ISNUMBER(SEARCH($AS$67:$AZ$67,IFERROR(('Final Calculation Sheet'!$C$6)&amp;"","")))))&gt;0),IF(COUNTIF($BI$67:$BP$67,2)=0,TRUE,SUMPRODUCT(($BI$67:$BP$67=2)*($AS$67:$AZ$67&lt;&gt;"")*IF(((UPPER($AS$67:$AZ$67)="BLANK")+(UPPER($AS$67:$AZ$67)="(BLANK)")+(UPPER($AS$67:$AZ$67)="EMPTY")+(UPPER($AS$67:$AZ$67)="(EMPTY)"))&gt;0,IFERROR(('Final Calculation Sheet'!$C$6)&amp;"","")="",ISNUMBER(SEARCH($AS$67:$AZ$67,IFERROR(('Final Calculation Sheet'!$C$6)&amp;"","")))))&gt;0),IF(COUNTIF($BI$67:$BP$67,3)=0,TRUE,SUMPRODUCT(($BI$67:$BP$67=3)*($AS$67:$AZ$67&lt;&gt;"")*IF(((UPPER($AS$67:$AZ$67)="BLANK")+(UPPER($AS$67:$AZ$67)="(BLANK)")+(UPPER($AS$67:$AZ$67)="EMPTY")+(UPPER($AS$67:$AZ$67)="(EMPTY)"))&gt;0,IFERROR(('Final Calculation Sheet'!$C$6)&amp;"","")="",ISNUMBER(SEARCH($AS$67:$AZ$67,IFERROR(('Final Calculation Sheet'!$C$6)&amp;"","")))))&gt;0),IF(COUNTIF($BI$67:$BP$67,4)=0,TRUE,SUMPRODUCT(($BI$67:$BP$67=4)*($AS$67:$AZ$67&lt;&gt;"")*IF(((UPPER($AS$67:$AZ$67)="BLANK")+(UPPER($AS$67:$AZ$67)="(BLANK)")+(UPPER($AS$67:$AZ$67)="EMPTY")+(UPPER($AS$67:$AZ$67)="(EMPTY)"))&gt;0,IFERROR(('Final Calculation Sheet'!$C$6)&amp;"","")="",ISNUMBER(SEARCH($AS$67:$AZ$67,IFERROR(('Final Calculation Sheet'!$C$6)&amp;"","")))))&gt;0),IF(COUNTIF($BI$67:$BP$67,5)=0,TRUE,SUMPRODUCT(($BI$67:$BP$67=5)*($AS$67:$AZ$67&lt;&gt;"")*IF(((UPPER($AS$67:$AZ$67)="BLANK")+(UPPER($AS$67:$AZ$67)="(BLANK)")+(UPPER($AS$67:$AZ$67)="EMPTY")+(UPPER($AS$67:$AZ$67)="(EMPTY)"))&gt;0,IFERROR(('Final Calculation Sheet'!$C$6)&amp;"","")="",ISNUMBER(SEARCH($AS$67:$AZ$67,IFERROR(('Final Calculation Sheet'!$C$6)&amp;"","")))))&gt;0),IF(COUNTIF($BI$67:$BP$67,6)=0,TRUE,SUMPRODUCT(($BI$67:$BP$67=6)*($AS$67:$AZ$67&lt;&gt;"")*IF(((UPPER($AS$67:$AZ$67)="BLANK")+(UPPER($AS$67:$AZ$67)="(BLANK)")+(UPPER($AS$67:$AZ$67)="EMPTY")+(UPPER($AS$67:$AZ$67)="(EMPTY)"))&gt;0,IFERROR(('Final Calculation Sheet'!$C$6)&amp;"","")="",ISNUMBER(SEARCH($AS$67:$AZ$67,IFERROR(('Final Calculation Sheet'!$C$6)&amp;"","")))))&gt;0),IF(COUNTIF($BI$67:$BP$67,7)=0,TRUE,SUMPRODUCT(($BI$67:$BP$67=7)*($AS$67:$AZ$67&lt;&gt;"")*IF(((UPPER($AS$67:$AZ$67)="BLANK")+(UPPER($AS$67:$AZ$67)="(BLANK)")+(UPPER($AS$67:$AZ$67)="EMPTY")+(UPPER($AS$67:$AZ$67)="(EMPTY)"))&gt;0,IFERROR(('Final Calculation Sheet'!$C$6)&amp;"","")="",ISNUMBER(SEARCH($AS$67:$AZ$67,IFERROR(('Final Calculation Sheet'!$C$6)&amp;"","")))))&gt;0),IF(COUNTIF($BI$67:$BP$67,8)=0,TRUE,SUMPRODUCT(($BI$67:$BP$67=8)*($AS$67:$AZ$67&lt;&gt;"")*IF(((UPPER($AS$67:$AZ$67)="BLANK")+(UPPER($AS$67:$AZ$67)="(BLANK)")+(UPPER($AS$67:$AZ$67)="EMPTY")+(UPPER($AS$67:$AZ$67)="(EMPTY)"))&gt;0,IFERROR(('Final Calculation Sheet'!$C$6)&amp;"","")="",ISNUMBER(SEARCH($AS$67:$AZ$67,IFERROR(('Final Calculation Sheet'!$C$6)&amp;"","")))))&gt;0))))</f>
        <v>1</v>
      </c>
      <c r="BU7">
        <f>IF($I$4="",1,--(AND(SUMPRODUCT(--($AS$68:$AZ$68&lt;&gt;""))&gt;0,IF(COUNTIF($BI$68:$BP$68,1)=0,TRUE,SUMPRODUCT(($BI$68:$BP$68=1)*($AS$68:$AZ$68&lt;&gt;"")*IF(((UPPER($AS$68:$AZ$68)="BLANK")+(UPPER($AS$68:$AZ$68)="(BLANK)")+(UPPER($AS$68:$AZ$68)="EMPTY")+(UPPER($AS$68:$AZ$68)="(EMPTY)"))&gt;0,IFERROR(('Final Calculation Sheet'!$H$6)&amp;"","")="",ISNUMBER(SEARCH($AS$68:$AZ$68,IFERROR(('Final Calculation Sheet'!$H$6)&amp;"","")))))&gt;0),IF(COUNTIF($BI$68:$BP$68,2)=0,TRUE,SUMPRODUCT(($BI$68:$BP$68=2)*($AS$68:$AZ$68&lt;&gt;"")*IF(((UPPER($AS$68:$AZ$68)="BLANK")+(UPPER($AS$68:$AZ$68)="(BLANK)")+(UPPER($AS$68:$AZ$68)="EMPTY")+(UPPER($AS$68:$AZ$68)="(EMPTY)"))&gt;0,IFERROR(('Final Calculation Sheet'!$H$6)&amp;"","")="",ISNUMBER(SEARCH($AS$68:$AZ$68,IFERROR(('Final Calculation Sheet'!$H$6)&amp;"","")))))&gt;0),IF(COUNTIF($BI$68:$BP$68,3)=0,TRUE,SUMPRODUCT(($BI$68:$BP$68=3)*($AS$68:$AZ$68&lt;&gt;"")*IF(((UPPER($AS$68:$AZ$68)="BLANK")+(UPPER($AS$68:$AZ$68)="(BLANK)")+(UPPER($AS$68:$AZ$68)="EMPTY")+(UPPER($AS$68:$AZ$68)="(EMPTY)"))&gt;0,IFERROR(('Final Calculation Sheet'!$H$6)&amp;"","")="",ISNUMBER(SEARCH($AS$68:$AZ$68,IFERROR(('Final Calculation Sheet'!$H$6)&amp;"","")))))&gt;0),IF(COUNTIF($BI$68:$BP$68,4)=0,TRUE,SUMPRODUCT(($BI$68:$BP$68=4)*($AS$68:$AZ$68&lt;&gt;"")*IF(((UPPER($AS$68:$AZ$68)="BLANK")+(UPPER($AS$68:$AZ$68)="(BLANK)")+(UPPER($AS$68:$AZ$68)="EMPTY")+(UPPER($AS$68:$AZ$68)="(EMPTY)"))&gt;0,IFERROR(('Final Calculation Sheet'!$H$6)&amp;"","")="",ISNUMBER(SEARCH($AS$68:$AZ$68,IFERROR(('Final Calculation Sheet'!$H$6)&amp;"","")))))&gt;0),IF(COUNTIF($BI$68:$BP$68,5)=0,TRUE,SUMPRODUCT(($BI$68:$BP$68=5)*($AS$68:$AZ$68&lt;&gt;"")*IF(((UPPER($AS$68:$AZ$68)="BLANK")+(UPPER($AS$68:$AZ$68)="(BLANK)")+(UPPER($AS$68:$AZ$68)="EMPTY")+(UPPER($AS$68:$AZ$68)="(EMPTY)"))&gt;0,IFERROR(('Final Calculation Sheet'!$H$6)&amp;"","")="",ISNUMBER(SEARCH($AS$68:$AZ$68,IFERROR(('Final Calculation Sheet'!$H$6)&amp;"","")))))&gt;0),IF(COUNTIF($BI$68:$BP$68,6)=0,TRUE,SUMPRODUCT(($BI$68:$BP$68=6)*($AS$68:$AZ$68&lt;&gt;"")*IF(((UPPER($AS$68:$AZ$68)="BLANK")+(UPPER($AS$68:$AZ$68)="(BLANK)")+(UPPER($AS$68:$AZ$68)="EMPTY")+(UPPER($AS$68:$AZ$68)="(EMPTY)"))&gt;0,IFERROR(('Final Calculation Sheet'!$H$6)&amp;"","")="",ISNUMBER(SEARCH($AS$68:$AZ$68,IFERROR(('Final Calculation Sheet'!$H$6)&amp;"","")))))&gt;0),IF(COUNTIF($BI$68:$BP$68,7)=0,TRUE,SUMPRODUCT(($BI$68:$BP$68=7)*($AS$68:$AZ$68&lt;&gt;"")*IF(((UPPER($AS$68:$AZ$68)="BLANK")+(UPPER($AS$68:$AZ$68)="(BLANK)")+(UPPER($AS$68:$AZ$68)="EMPTY")+(UPPER($AS$68:$AZ$68)="(EMPTY)"))&gt;0,IFERROR(('Final Calculation Sheet'!$H$6)&amp;"","")="",ISNUMBER(SEARCH($AS$68:$AZ$68,IFERROR(('Final Calculation Sheet'!$H$6)&amp;"","")))))&gt;0),IF(COUNTIF($BI$68:$BP$68,8)=0,TRUE,SUMPRODUCT(($BI$68:$BP$68=8)*($AS$68:$AZ$68&lt;&gt;"")*IF(((UPPER($AS$68:$AZ$68)="BLANK")+(UPPER($AS$68:$AZ$68)="(BLANK)")+(UPPER($AS$68:$AZ$68)="EMPTY")+(UPPER($AS$68:$AZ$68)="(EMPTY)"))&gt;0,IFERROR(('Final Calculation Sheet'!$H$6)&amp;"","")="",ISNUMBER(SEARCH($AS$68:$AZ$68,IFERROR(('Final Calculation Sheet'!$H$6)&amp;"","")))))&gt;0))))</f>
        <v>1</v>
      </c>
      <c r="BV7">
        <f>IF($J$4="",1,--(AND(SUMPRODUCT(--($AS$69:$AZ$69&lt;&gt;""))&gt;0,IF(COUNTIF($BI$69:$BP$69,1)=0,TRUE,SUMPRODUCT(($BI$69:$BP$69=1)*($AS$69:$AZ$69&lt;&gt;"")*IF(((UPPER($AS$69:$AZ$69)="BLANK")+(UPPER($AS$69:$AZ$69)="(BLANK)")+(UPPER($AS$69:$AZ$69)="EMPTY")+(UPPER($AS$69:$AZ$69)="(EMPTY)"))&gt;0,IFERROR(('Final Calculation Sheet'!$I$6)&amp;"","")="",ISNUMBER(SEARCH($AS$69:$AZ$69,IFERROR(('Final Calculation Sheet'!$I$6)&amp;"","")))))&gt;0),IF(COUNTIF($BI$69:$BP$69,2)=0,TRUE,SUMPRODUCT(($BI$69:$BP$69=2)*($AS$69:$AZ$69&lt;&gt;"")*IF(((UPPER($AS$69:$AZ$69)="BLANK")+(UPPER($AS$69:$AZ$69)="(BLANK)")+(UPPER($AS$69:$AZ$69)="EMPTY")+(UPPER($AS$69:$AZ$69)="(EMPTY)"))&gt;0,IFERROR(('Final Calculation Sheet'!$I$6)&amp;"","")="",ISNUMBER(SEARCH($AS$69:$AZ$69,IFERROR(('Final Calculation Sheet'!$I$6)&amp;"","")))))&gt;0),IF(COUNTIF($BI$69:$BP$69,3)=0,TRUE,SUMPRODUCT(($BI$69:$BP$69=3)*($AS$69:$AZ$69&lt;&gt;"")*IF(((UPPER($AS$69:$AZ$69)="BLANK")+(UPPER($AS$69:$AZ$69)="(BLANK)")+(UPPER($AS$69:$AZ$69)="EMPTY")+(UPPER($AS$69:$AZ$69)="(EMPTY)"))&gt;0,IFERROR(('Final Calculation Sheet'!$I$6)&amp;"","")="",ISNUMBER(SEARCH($AS$69:$AZ$69,IFERROR(('Final Calculation Sheet'!$I$6)&amp;"","")))))&gt;0),IF(COUNTIF($BI$69:$BP$69,4)=0,TRUE,SUMPRODUCT(($BI$69:$BP$69=4)*($AS$69:$AZ$69&lt;&gt;"")*IF(((UPPER($AS$69:$AZ$69)="BLANK")+(UPPER($AS$69:$AZ$69)="(BLANK)")+(UPPER($AS$69:$AZ$69)="EMPTY")+(UPPER($AS$69:$AZ$69)="(EMPTY)"))&gt;0,IFERROR(('Final Calculation Sheet'!$I$6)&amp;"","")="",ISNUMBER(SEARCH($AS$69:$AZ$69,IFERROR(('Final Calculation Sheet'!$I$6)&amp;"","")))))&gt;0),IF(COUNTIF($BI$69:$BP$69,5)=0,TRUE,SUMPRODUCT(($BI$69:$BP$69=5)*($AS$69:$AZ$69&lt;&gt;"")*IF(((UPPER($AS$69:$AZ$69)="BLANK")+(UPPER($AS$69:$AZ$69)="(BLANK)")+(UPPER($AS$69:$AZ$69)="EMPTY")+(UPPER($AS$69:$AZ$69)="(EMPTY)"))&gt;0,IFERROR(('Final Calculation Sheet'!$I$6)&amp;"","")="",ISNUMBER(SEARCH($AS$69:$AZ$69,IFERROR(('Final Calculation Sheet'!$I$6)&amp;"","")))))&gt;0),IF(COUNTIF($BI$69:$BP$69,6)=0,TRUE,SUMPRODUCT(($BI$69:$BP$69=6)*($AS$69:$AZ$69&lt;&gt;"")*IF(((UPPER($AS$69:$AZ$69)="BLANK")+(UPPER($AS$69:$AZ$69)="(BLANK)")+(UPPER($AS$69:$AZ$69)="EMPTY")+(UPPER($AS$69:$AZ$69)="(EMPTY)"))&gt;0,IFERROR(('Final Calculation Sheet'!$I$6)&amp;"","")="",ISNUMBER(SEARCH($AS$69:$AZ$69,IFERROR(('Final Calculation Sheet'!$I$6)&amp;"","")))))&gt;0),IF(COUNTIF($BI$69:$BP$69,7)=0,TRUE,SUMPRODUCT(($BI$69:$BP$69=7)*($AS$69:$AZ$69&lt;&gt;"")*IF(((UPPER($AS$69:$AZ$69)="BLANK")+(UPPER($AS$69:$AZ$69)="(BLANK)")+(UPPER($AS$69:$AZ$69)="EMPTY")+(UPPER($AS$69:$AZ$69)="(EMPTY)"))&gt;0,IFERROR(('Final Calculation Sheet'!$I$6)&amp;"","")="",ISNUMBER(SEARCH($AS$69:$AZ$69,IFERROR(('Final Calculation Sheet'!$I$6)&amp;"","")))))&gt;0),IF(COUNTIF($BI$69:$BP$69,8)=0,TRUE,SUMPRODUCT(($BI$69:$BP$69=8)*($AS$69:$AZ$69&lt;&gt;"")*IF(((UPPER($AS$69:$AZ$69)="BLANK")+(UPPER($AS$69:$AZ$69)="(BLANK)")+(UPPER($AS$69:$AZ$69)="EMPTY")+(UPPER($AS$69:$AZ$69)="(EMPTY)"))&gt;0,IFERROR(('Final Calculation Sheet'!$I$6)&amp;"","")="",ISNUMBER(SEARCH($AS$69:$AZ$69,IFERROR(('Final Calculation Sheet'!$I$6)&amp;"","")))))&gt;0))))</f>
        <v>1</v>
      </c>
      <c r="BW7">
        <f>IF($K$4="",1,--(AND(SUMPRODUCT(--($AS$70:$AZ$70&lt;&gt;""))&gt;0,IF(COUNTIF($BI$70:$BP$70,1)=0,TRUE,SUMPRODUCT(($BI$70:$BP$70=1)*($AS$70:$AZ$70&lt;&gt;"")*IF(((UPPER($AS$70:$AZ$70)="BLANK")+(UPPER($AS$70:$AZ$70)="(BLANK)")+(UPPER($AS$70:$AZ$70)="EMPTY")+(UPPER($AS$70:$AZ$70)="(EMPTY)"))&gt;0,IFERROR(('Final Calculation Sheet'!$J$6)&amp;"","")="",ISNUMBER(SEARCH($AS$70:$AZ$70,IFERROR(('Final Calculation Sheet'!$J$6)&amp;"","")))))&gt;0),IF(COUNTIF($BI$70:$BP$70,2)=0,TRUE,SUMPRODUCT(($BI$70:$BP$70=2)*($AS$70:$AZ$70&lt;&gt;"")*IF(((UPPER($AS$70:$AZ$70)="BLANK")+(UPPER($AS$70:$AZ$70)="(BLANK)")+(UPPER($AS$70:$AZ$70)="EMPTY")+(UPPER($AS$70:$AZ$70)="(EMPTY)"))&gt;0,IFERROR(('Final Calculation Sheet'!$J$6)&amp;"","")="",ISNUMBER(SEARCH($AS$70:$AZ$70,IFERROR(('Final Calculation Sheet'!$J$6)&amp;"","")))))&gt;0),IF(COUNTIF($BI$70:$BP$70,3)=0,TRUE,SUMPRODUCT(($BI$70:$BP$70=3)*($AS$70:$AZ$70&lt;&gt;"")*IF(((UPPER($AS$70:$AZ$70)="BLANK")+(UPPER($AS$70:$AZ$70)="(BLANK)")+(UPPER($AS$70:$AZ$70)="EMPTY")+(UPPER($AS$70:$AZ$70)="(EMPTY)"))&gt;0,IFERROR(('Final Calculation Sheet'!$J$6)&amp;"","")="",ISNUMBER(SEARCH($AS$70:$AZ$70,IFERROR(('Final Calculation Sheet'!$J$6)&amp;"","")))))&gt;0),IF(COUNTIF($BI$70:$BP$70,4)=0,TRUE,SUMPRODUCT(($BI$70:$BP$70=4)*($AS$70:$AZ$70&lt;&gt;"")*IF(((UPPER($AS$70:$AZ$70)="BLANK")+(UPPER($AS$70:$AZ$70)="(BLANK)")+(UPPER($AS$70:$AZ$70)="EMPTY")+(UPPER($AS$70:$AZ$70)="(EMPTY)"))&gt;0,IFERROR(('Final Calculation Sheet'!$J$6)&amp;"","")="",ISNUMBER(SEARCH($AS$70:$AZ$70,IFERROR(('Final Calculation Sheet'!$J$6)&amp;"","")))))&gt;0),IF(COUNTIF($BI$70:$BP$70,5)=0,TRUE,SUMPRODUCT(($BI$70:$BP$70=5)*($AS$70:$AZ$70&lt;&gt;"")*IF(((UPPER($AS$70:$AZ$70)="BLANK")+(UPPER($AS$70:$AZ$70)="(BLANK)")+(UPPER($AS$70:$AZ$70)="EMPTY")+(UPPER($AS$70:$AZ$70)="(EMPTY)"))&gt;0,IFERROR(('Final Calculation Sheet'!$J$6)&amp;"","")="",ISNUMBER(SEARCH($AS$70:$AZ$70,IFERROR(('Final Calculation Sheet'!$J$6)&amp;"","")))))&gt;0),IF(COUNTIF($BI$70:$BP$70,6)=0,TRUE,SUMPRODUCT(($BI$70:$BP$70=6)*($AS$70:$AZ$70&lt;&gt;"")*IF(((UPPER($AS$70:$AZ$70)="BLANK")+(UPPER($AS$70:$AZ$70)="(BLANK)")+(UPPER($AS$70:$AZ$70)="EMPTY")+(UPPER($AS$70:$AZ$70)="(EMPTY)"))&gt;0,IFERROR(('Final Calculation Sheet'!$J$6)&amp;"","")="",ISNUMBER(SEARCH($AS$70:$AZ$70,IFERROR(('Final Calculation Sheet'!$J$6)&amp;"","")))))&gt;0),IF(COUNTIF($BI$70:$BP$70,7)=0,TRUE,SUMPRODUCT(($BI$70:$BP$70=7)*($AS$70:$AZ$70&lt;&gt;"")*IF(((UPPER($AS$70:$AZ$70)="BLANK")+(UPPER($AS$70:$AZ$70)="(BLANK)")+(UPPER($AS$70:$AZ$70)="EMPTY")+(UPPER($AS$70:$AZ$70)="(EMPTY)"))&gt;0,IFERROR(('Final Calculation Sheet'!$J$6)&amp;"","")="",ISNUMBER(SEARCH($AS$70:$AZ$70,IFERROR(('Final Calculation Sheet'!$J$6)&amp;"","")))))&gt;0),IF(COUNTIF($BI$70:$BP$70,8)=0,TRUE,SUMPRODUCT(($BI$70:$BP$70=8)*($AS$70:$AZ$70&lt;&gt;"")*IF(((UPPER($AS$70:$AZ$70)="BLANK")+(UPPER($AS$70:$AZ$70)="(BLANK)")+(UPPER($AS$70:$AZ$70)="EMPTY")+(UPPER($AS$70:$AZ$70)="(EMPTY)"))&gt;0,IFERROR(('Final Calculation Sheet'!$J$6)&amp;"","")="",ISNUMBER(SEARCH($AS$70:$AZ$70,IFERROR(('Final Calculation Sheet'!$J$6)&amp;"","")))))&gt;0))))</f>
        <v>1</v>
      </c>
      <c r="BX7">
        <f>IF($L$4="",1,--(AND(SUMPRODUCT(--($AS$71:$AZ$71&lt;&gt;""))&gt;0,IF(COUNTIF($BI$71:$BP$71,1)=0,TRUE,SUMPRODUCT(($BI$71:$BP$71=1)*($AS$71:$AZ$71&lt;&gt;"")*IF(((UPPER($AS$71:$AZ$71)="BLANK")+(UPPER($AS$71:$AZ$71)="(BLANK)")+(UPPER($AS$71:$AZ$71)="EMPTY")+(UPPER($AS$71:$AZ$71)="(EMPTY)"))&gt;0,IFERROR(('Final Calculation Sheet'!$K$6)&amp;"","")="",ISNUMBER(SEARCH($AS$71:$AZ$71,IFERROR(('Final Calculation Sheet'!$K$6)&amp;"","")))))&gt;0),IF(COUNTIF($BI$71:$BP$71,2)=0,TRUE,SUMPRODUCT(($BI$71:$BP$71=2)*($AS$71:$AZ$71&lt;&gt;"")*IF(((UPPER($AS$71:$AZ$71)="BLANK")+(UPPER($AS$71:$AZ$71)="(BLANK)")+(UPPER($AS$71:$AZ$71)="EMPTY")+(UPPER($AS$71:$AZ$71)="(EMPTY)"))&gt;0,IFERROR(('Final Calculation Sheet'!$K$6)&amp;"","")="",ISNUMBER(SEARCH($AS$71:$AZ$71,IFERROR(('Final Calculation Sheet'!$K$6)&amp;"","")))))&gt;0),IF(COUNTIF($BI$71:$BP$71,3)=0,TRUE,SUMPRODUCT(($BI$71:$BP$71=3)*($AS$71:$AZ$71&lt;&gt;"")*IF(((UPPER($AS$71:$AZ$71)="BLANK")+(UPPER($AS$71:$AZ$71)="(BLANK)")+(UPPER($AS$71:$AZ$71)="EMPTY")+(UPPER($AS$71:$AZ$71)="(EMPTY)"))&gt;0,IFERROR(('Final Calculation Sheet'!$K$6)&amp;"","")="",ISNUMBER(SEARCH($AS$71:$AZ$71,IFERROR(('Final Calculation Sheet'!$K$6)&amp;"","")))))&gt;0),IF(COUNTIF($BI$71:$BP$71,4)=0,TRUE,SUMPRODUCT(($BI$71:$BP$71=4)*($AS$71:$AZ$71&lt;&gt;"")*IF(((UPPER($AS$71:$AZ$71)="BLANK")+(UPPER($AS$71:$AZ$71)="(BLANK)")+(UPPER($AS$71:$AZ$71)="EMPTY")+(UPPER($AS$71:$AZ$71)="(EMPTY)"))&gt;0,IFERROR(('Final Calculation Sheet'!$K$6)&amp;"","")="",ISNUMBER(SEARCH($AS$71:$AZ$71,IFERROR(('Final Calculation Sheet'!$K$6)&amp;"","")))))&gt;0),IF(COUNTIF($BI$71:$BP$71,5)=0,TRUE,SUMPRODUCT(($BI$71:$BP$71=5)*($AS$71:$AZ$71&lt;&gt;"")*IF(((UPPER($AS$71:$AZ$71)="BLANK")+(UPPER($AS$71:$AZ$71)="(BLANK)")+(UPPER($AS$71:$AZ$71)="EMPTY")+(UPPER($AS$71:$AZ$71)="(EMPTY)"))&gt;0,IFERROR(('Final Calculation Sheet'!$K$6)&amp;"","")="",ISNUMBER(SEARCH($AS$71:$AZ$71,IFERROR(('Final Calculation Sheet'!$K$6)&amp;"","")))))&gt;0),IF(COUNTIF($BI$71:$BP$71,6)=0,TRUE,SUMPRODUCT(($BI$71:$BP$71=6)*($AS$71:$AZ$71&lt;&gt;"")*IF(((UPPER($AS$71:$AZ$71)="BLANK")+(UPPER($AS$71:$AZ$71)="(BLANK)")+(UPPER($AS$71:$AZ$71)="EMPTY")+(UPPER($AS$71:$AZ$71)="(EMPTY)"))&gt;0,IFERROR(('Final Calculation Sheet'!$K$6)&amp;"","")="",ISNUMBER(SEARCH($AS$71:$AZ$71,IFERROR(('Final Calculation Sheet'!$K$6)&amp;"","")))))&gt;0),IF(COUNTIF($BI$71:$BP$71,7)=0,TRUE,SUMPRODUCT(($BI$71:$BP$71=7)*($AS$71:$AZ$71&lt;&gt;"")*IF(((UPPER($AS$71:$AZ$71)="BLANK")+(UPPER($AS$71:$AZ$71)="(BLANK)")+(UPPER($AS$71:$AZ$71)="EMPTY")+(UPPER($AS$71:$AZ$71)="(EMPTY)"))&gt;0,IFERROR(('Final Calculation Sheet'!$K$6)&amp;"","")="",ISNUMBER(SEARCH($AS$71:$AZ$71,IFERROR(('Final Calculation Sheet'!$K$6)&amp;"","")))))&gt;0),IF(COUNTIF($BI$71:$BP$71,8)=0,TRUE,SUMPRODUCT(($BI$71:$BP$71=8)*($AS$71:$AZ$71&lt;&gt;"")*IF(((UPPER($AS$71:$AZ$71)="BLANK")+(UPPER($AS$71:$AZ$71)="(BLANK)")+(UPPER($AS$71:$AZ$71)="EMPTY")+(UPPER($AS$71:$AZ$71)="(EMPTY)"))&gt;0,IFERROR(('Final Calculation Sheet'!$K$6)&amp;"","")="",ISNUMBER(SEARCH($AS$71:$AZ$71,IFERROR(('Final Calculation Sheet'!$K$6)&amp;"","")))))&gt;0))))</f>
        <v>1</v>
      </c>
      <c r="BY7">
        <f>IF($M$4="",1,--(AND(SUMPRODUCT(--($AS$72:$AZ$72&lt;&gt;""))&gt;0,IF(COUNTIF($BI$72:$BP$72,1)=0,TRUE,SUMPRODUCT(($BI$72:$BP$72=1)*($AS$72:$AZ$72&lt;&gt;"")*IF(((UPPER($AS$72:$AZ$72)="BLANK")+(UPPER($AS$72:$AZ$72)="(BLANK)")+(UPPER($AS$72:$AZ$72)="EMPTY")+(UPPER($AS$72:$AZ$72)="(EMPTY)"))&gt;0,IFERROR(('Final Calculation Sheet'!$L$6)&amp;"","")="",ISNUMBER(SEARCH($AS$72:$AZ$72,IFERROR(('Final Calculation Sheet'!$L$6)&amp;"","")))))&gt;0),IF(COUNTIF($BI$72:$BP$72,2)=0,TRUE,SUMPRODUCT(($BI$72:$BP$72=2)*($AS$72:$AZ$72&lt;&gt;"")*IF(((UPPER($AS$72:$AZ$72)="BLANK")+(UPPER($AS$72:$AZ$72)="(BLANK)")+(UPPER($AS$72:$AZ$72)="EMPTY")+(UPPER($AS$72:$AZ$72)="(EMPTY)"))&gt;0,IFERROR(('Final Calculation Sheet'!$L$6)&amp;"","")="",ISNUMBER(SEARCH($AS$72:$AZ$72,IFERROR(('Final Calculation Sheet'!$L$6)&amp;"","")))))&gt;0),IF(COUNTIF($BI$72:$BP$72,3)=0,TRUE,SUMPRODUCT(($BI$72:$BP$72=3)*($AS$72:$AZ$72&lt;&gt;"")*IF(((UPPER($AS$72:$AZ$72)="BLANK")+(UPPER($AS$72:$AZ$72)="(BLANK)")+(UPPER($AS$72:$AZ$72)="EMPTY")+(UPPER($AS$72:$AZ$72)="(EMPTY)"))&gt;0,IFERROR(('Final Calculation Sheet'!$L$6)&amp;"","")="",ISNUMBER(SEARCH($AS$72:$AZ$72,IFERROR(('Final Calculation Sheet'!$L$6)&amp;"","")))))&gt;0),IF(COUNTIF($BI$72:$BP$72,4)=0,TRUE,SUMPRODUCT(($BI$72:$BP$72=4)*($AS$72:$AZ$72&lt;&gt;"")*IF(((UPPER($AS$72:$AZ$72)="BLANK")+(UPPER($AS$72:$AZ$72)="(BLANK)")+(UPPER($AS$72:$AZ$72)="EMPTY")+(UPPER($AS$72:$AZ$72)="(EMPTY)"))&gt;0,IFERROR(('Final Calculation Sheet'!$L$6)&amp;"","")="",ISNUMBER(SEARCH($AS$72:$AZ$72,IFERROR(('Final Calculation Sheet'!$L$6)&amp;"","")))))&gt;0),IF(COUNTIF($BI$72:$BP$72,5)=0,TRUE,SUMPRODUCT(($BI$72:$BP$72=5)*($AS$72:$AZ$72&lt;&gt;"")*IF(((UPPER($AS$72:$AZ$72)="BLANK")+(UPPER($AS$72:$AZ$72)="(BLANK)")+(UPPER($AS$72:$AZ$72)="EMPTY")+(UPPER($AS$72:$AZ$72)="(EMPTY)"))&gt;0,IFERROR(('Final Calculation Sheet'!$L$6)&amp;"","")="",ISNUMBER(SEARCH($AS$72:$AZ$72,IFERROR(('Final Calculation Sheet'!$L$6)&amp;"","")))))&gt;0),IF(COUNTIF($BI$72:$BP$72,6)=0,TRUE,SUMPRODUCT(($BI$72:$BP$72=6)*($AS$72:$AZ$72&lt;&gt;"")*IF(((UPPER($AS$72:$AZ$72)="BLANK")+(UPPER($AS$72:$AZ$72)="(BLANK)")+(UPPER($AS$72:$AZ$72)="EMPTY")+(UPPER($AS$72:$AZ$72)="(EMPTY)"))&gt;0,IFERROR(('Final Calculation Sheet'!$L$6)&amp;"","")="",ISNUMBER(SEARCH($AS$72:$AZ$72,IFERROR(('Final Calculation Sheet'!$L$6)&amp;"","")))))&gt;0),IF(COUNTIF($BI$72:$BP$72,7)=0,TRUE,SUMPRODUCT(($BI$72:$BP$72=7)*($AS$72:$AZ$72&lt;&gt;"")*IF(((UPPER($AS$72:$AZ$72)="BLANK")+(UPPER($AS$72:$AZ$72)="(BLANK)")+(UPPER($AS$72:$AZ$72)="EMPTY")+(UPPER($AS$72:$AZ$72)="(EMPTY)"))&gt;0,IFERROR(('Final Calculation Sheet'!$L$6)&amp;"","")="",ISNUMBER(SEARCH($AS$72:$AZ$72,IFERROR(('Final Calculation Sheet'!$L$6)&amp;"","")))))&gt;0),IF(COUNTIF($BI$72:$BP$72,8)=0,TRUE,SUMPRODUCT(($BI$72:$BP$72=8)*($AS$72:$AZ$72&lt;&gt;"")*IF(((UPPER($AS$72:$AZ$72)="BLANK")+(UPPER($AS$72:$AZ$72)="(BLANK)")+(UPPER($AS$72:$AZ$72)="EMPTY")+(UPPER($AS$72:$AZ$72)="(EMPTY)"))&gt;0,IFERROR(('Final Calculation Sheet'!$L$6)&amp;"","")="",ISNUMBER(SEARCH($AS$72:$AZ$72,IFERROR(('Final Calculation Sheet'!$L$6)&amp;"","")))))&gt;0))))</f>
        <v>1</v>
      </c>
      <c r="BZ7">
        <f>IF($N$4="",1,--(AND(SUMPRODUCT(--($AS$73:$AZ$73&lt;&gt;""))&gt;0,IF(COUNTIF($BI$73:$BP$73,1)=0,TRUE,SUMPRODUCT(($BI$73:$BP$73=1)*($AS$73:$AZ$73&lt;&gt;"")*IF(((UPPER($AS$73:$AZ$73)="BLANK")+(UPPER($AS$73:$AZ$73)="(BLANK)")+(UPPER($AS$73:$AZ$73)="EMPTY")+(UPPER($AS$73:$AZ$73)="(EMPTY)"))&gt;0,IFERROR(('Final Calculation Sheet'!$M$6)&amp;"","")="",ISNUMBER(SEARCH($AS$73:$AZ$73,IFERROR(('Final Calculation Sheet'!$M$6)&amp;"","")))))&gt;0),IF(COUNTIF($BI$73:$BP$73,2)=0,TRUE,SUMPRODUCT(($BI$73:$BP$73=2)*($AS$73:$AZ$73&lt;&gt;"")*IF(((UPPER($AS$73:$AZ$73)="BLANK")+(UPPER($AS$73:$AZ$73)="(BLANK)")+(UPPER($AS$73:$AZ$73)="EMPTY")+(UPPER($AS$73:$AZ$73)="(EMPTY)"))&gt;0,IFERROR(('Final Calculation Sheet'!$M$6)&amp;"","")="",ISNUMBER(SEARCH($AS$73:$AZ$73,IFERROR(('Final Calculation Sheet'!$M$6)&amp;"","")))))&gt;0),IF(COUNTIF($BI$73:$BP$73,3)=0,TRUE,SUMPRODUCT(($BI$73:$BP$73=3)*($AS$73:$AZ$73&lt;&gt;"")*IF(((UPPER($AS$73:$AZ$73)="BLANK")+(UPPER($AS$73:$AZ$73)="(BLANK)")+(UPPER($AS$73:$AZ$73)="EMPTY")+(UPPER($AS$73:$AZ$73)="(EMPTY)"))&gt;0,IFERROR(('Final Calculation Sheet'!$M$6)&amp;"","")="",ISNUMBER(SEARCH($AS$73:$AZ$73,IFERROR(('Final Calculation Sheet'!$M$6)&amp;"","")))))&gt;0),IF(COUNTIF($BI$73:$BP$73,4)=0,TRUE,SUMPRODUCT(($BI$73:$BP$73=4)*($AS$73:$AZ$73&lt;&gt;"")*IF(((UPPER($AS$73:$AZ$73)="BLANK")+(UPPER($AS$73:$AZ$73)="(BLANK)")+(UPPER($AS$73:$AZ$73)="EMPTY")+(UPPER($AS$73:$AZ$73)="(EMPTY)"))&gt;0,IFERROR(('Final Calculation Sheet'!$M$6)&amp;"","")="",ISNUMBER(SEARCH($AS$73:$AZ$73,IFERROR(('Final Calculation Sheet'!$M$6)&amp;"","")))))&gt;0),IF(COUNTIF($BI$73:$BP$73,5)=0,TRUE,SUMPRODUCT(($BI$73:$BP$73=5)*($AS$73:$AZ$73&lt;&gt;"")*IF(((UPPER($AS$73:$AZ$73)="BLANK")+(UPPER($AS$73:$AZ$73)="(BLANK)")+(UPPER($AS$73:$AZ$73)="EMPTY")+(UPPER($AS$73:$AZ$73)="(EMPTY)"))&gt;0,IFERROR(('Final Calculation Sheet'!$M$6)&amp;"","")="",ISNUMBER(SEARCH($AS$73:$AZ$73,IFERROR(('Final Calculation Sheet'!$M$6)&amp;"","")))))&gt;0),IF(COUNTIF($BI$73:$BP$73,6)=0,TRUE,SUMPRODUCT(($BI$73:$BP$73=6)*($AS$73:$AZ$73&lt;&gt;"")*IF(((UPPER($AS$73:$AZ$73)="BLANK")+(UPPER($AS$73:$AZ$73)="(BLANK)")+(UPPER($AS$73:$AZ$73)="EMPTY")+(UPPER($AS$73:$AZ$73)="(EMPTY)"))&gt;0,IFERROR(('Final Calculation Sheet'!$M$6)&amp;"","")="",ISNUMBER(SEARCH($AS$73:$AZ$73,IFERROR(('Final Calculation Sheet'!$M$6)&amp;"","")))))&gt;0),IF(COUNTIF($BI$73:$BP$73,7)=0,TRUE,SUMPRODUCT(($BI$73:$BP$73=7)*($AS$73:$AZ$73&lt;&gt;"")*IF(((UPPER($AS$73:$AZ$73)="BLANK")+(UPPER($AS$73:$AZ$73)="(BLANK)")+(UPPER($AS$73:$AZ$73)="EMPTY")+(UPPER($AS$73:$AZ$73)="(EMPTY)"))&gt;0,IFERROR(('Final Calculation Sheet'!$M$6)&amp;"","")="",ISNUMBER(SEARCH($AS$73:$AZ$73,IFERROR(('Final Calculation Sheet'!$M$6)&amp;"","")))))&gt;0),IF(COUNTIF($BI$73:$BP$73,8)=0,TRUE,SUMPRODUCT(($BI$73:$BP$73=8)*($AS$73:$AZ$73&lt;&gt;"")*IF(((UPPER($AS$73:$AZ$73)="BLANK")+(UPPER($AS$73:$AZ$73)="(BLANK)")+(UPPER($AS$73:$AZ$73)="EMPTY")+(UPPER($AS$73:$AZ$73)="(EMPTY)"))&gt;0,IFERROR(('Final Calculation Sheet'!$M$6)&amp;"","")="",ISNUMBER(SEARCH($AS$73:$AZ$73,IFERROR(('Final Calculation Sheet'!$M$6)&amp;"","")))))&gt;0))))</f>
        <v>1</v>
      </c>
      <c r="CA7">
        <f>IF($O$4="",1,--(AND(SUMPRODUCT(--($AS$74:$AZ$74&lt;&gt;""))&gt;0,IF(COUNTIF($BI$74:$BP$74,1)=0,TRUE,SUMPRODUCT(($BI$74:$BP$74=1)*($AS$74:$AZ$74&lt;&gt;"")*IF(((UPPER($AS$74:$AZ$74)="BLANK")+(UPPER($AS$74:$AZ$74)="(BLANK)")+(UPPER($AS$74:$AZ$74)="EMPTY")+(UPPER($AS$74:$AZ$74)="(EMPTY)"))&gt;0,IFERROR(('Final Calculation Sheet'!$N$6)&amp;"","")="",ISNUMBER(SEARCH($AS$74:$AZ$74,IFERROR(('Final Calculation Sheet'!$N$6)&amp;"","")))))&gt;0),IF(COUNTIF($BI$74:$BP$74,2)=0,TRUE,SUMPRODUCT(($BI$74:$BP$74=2)*($AS$74:$AZ$74&lt;&gt;"")*IF(((UPPER($AS$74:$AZ$74)="BLANK")+(UPPER($AS$74:$AZ$74)="(BLANK)")+(UPPER($AS$74:$AZ$74)="EMPTY")+(UPPER($AS$74:$AZ$74)="(EMPTY)"))&gt;0,IFERROR(('Final Calculation Sheet'!$N$6)&amp;"","")="",ISNUMBER(SEARCH($AS$74:$AZ$74,IFERROR(('Final Calculation Sheet'!$N$6)&amp;"","")))))&gt;0),IF(COUNTIF($BI$74:$BP$74,3)=0,TRUE,SUMPRODUCT(($BI$74:$BP$74=3)*($AS$74:$AZ$74&lt;&gt;"")*IF(((UPPER($AS$74:$AZ$74)="BLANK")+(UPPER($AS$74:$AZ$74)="(BLANK)")+(UPPER($AS$74:$AZ$74)="EMPTY")+(UPPER($AS$74:$AZ$74)="(EMPTY)"))&gt;0,IFERROR(('Final Calculation Sheet'!$N$6)&amp;"","")="",ISNUMBER(SEARCH($AS$74:$AZ$74,IFERROR(('Final Calculation Sheet'!$N$6)&amp;"","")))))&gt;0),IF(COUNTIF($BI$74:$BP$74,4)=0,TRUE,SUMPRODUCT(($BI$74:$BP$74=4)*($AS$74:$AZ$74&lt;&gt;"")*IF(((UPPER($AS$74:$AZ$74)="BLANK")+(UPPER($AS$74:$AZ$74)="(BLANK)")+(UPPER($AS$74:$AZ$74)="EMPTY")+(UPPER($AS$74:$AZ$74)="(EMPTY)"))&gt;0,IFERROR(('Final Calculation Sheet'!$N$6)&amp;"","")="",ISNUMBER(SEARCH($AS$74:$AZ$74,IFERROR(('Final Calculation Sheet'!$N$6)&amp;"","")))))&gt;0),IF(COUNTIF($BI$74:$BP$74,5)=0,TRUE,SUMPRODUCT(($BI$74:$BP$74=5)*($AS$74:$AZ$74&lt;&gt;"")*IF(((UPPER($AS$74:$AZ$74)="BLANK")+(UPPER($AS$74:$AZ$74)="(BLANK)")+(UPPER($AS$74:$AZ$74)="EMPTY")+(UPPER($AS$74:$AZ$74)="(EMPTY)"))&gt;0,IFERROR(('Final Calculation Sheet'!$N$6)&amp;"","")="",ISNUMBER(SEARCH($AS$74:$AZ$74,IFERROR(('Final Calculation Sheet'!$N$6)&amp;"","")))))&gt;0),IF(COUNTIF($BI$74:$BP$74,6)=0,TRUE,SUMPRODUCT(($BI$74:$BP$74=6)*($AS$74:$AZ$74&lt;&gt;"")*IF(((UPPER($AS$74:$AZ$74)="BLANK")+(UPPER($AS$74:$AZ$74)="(BLANK)")+(UPPER($AS$74:$AZ$74)="EMPTY")+(UPPER($AS$74:$AZ$74)="(EMPTY)"))&gt;0,IFERROR(('Final Calculation Sheet'!$N$6)&amp;"","")="",ISNUMBER(SEARCH($AS$74:$AZ$74,IFERROR(('Final Calculation Sheet'!$N$6)&amp;"","")))))&gt;0),IF(COUNTIF($BI$74:$BP$74,7)=0,TRUE,SUMPRODUCT(($BI$74:$BP$74=7)*($AS$74:$AZ$74&lt;&gt;"")*IF(((UPPER($AS$74:$AZ$74)="BLANK")+(UPPER($AS$74:$AZ$74)="(BLANK)")+(UPPER($AS$74:$AZ$74)="EMPTY")+(UPPER($AS$74:$AZ$74)="(EMPTY)"))&gt;0,IFERROR(('Final Calculation Sheet'!$N$6)&amp;"","")="",ISNUMBER(SEARCH($AS$74:$AZ$74,IFERROR(('Final Calculation Sheet'!$N$6)&amp;"","")))))&gt;0),IF(COUNTIF($BI$74:$BP$74,8)=0,TRUE,SUMPRODUCT(($BI$74:$BP$74=8)*($AS$74:$AZ$74&lt;&gt;"")*IF(((UPPER($AS$74:$AZ$74)="BLANK")+(UPPER($AS$74:$AZ$74)="(BLANK)")+(UPPER($AS$74:$AZ$74)="EMPTY")+(UPPER($AS$74:$AZ$74)="(EMPTY)"))&gt;0,IFERROR(('Final Calculation Sheet'!$N$6)&amp;"","")="",ISNUMBER(SEARCH($AS$74:$AZ$74,IFERROR(('Final Calculation Sheet'!$N$6)&amp;"","")))))&gt;0))))</f>
        <v>1</v>
      </c>
      <c r="CB7">
        <f>IF($P$4="",1,--(AND(SUMPRODUCT(--($AS$75:$AZ$75&lt;&gt;""))&gt;0,IF(COUNTIF($BI$75:$BP$75,1)=0,TRUE,SUMPRODUCT(($BI$75:$BP$75=1)*($AS$75:$AZ$75&lt;&gt;"")*IF(((UPPER($AS$75:$AZ$75)="BLANK")+(UPPER($AS$75:$AZ$75)="(BLANK)")+(UPPER($AS$75:$AZ$75)="EMPTY")+(UPPER($AS$75:$AZ$75)="(EMPTY)"))&gt;0,IFERROR(('Final Calculation Sheet'!$O$6)&amp;"","")="",ISNUMBER(SEARCH($AS$75:$AZ$75,IFERROR(('Final Calculation Sheet'!$O$6)&amp;"","")))))&gt;0),IF(COUNTIF($BI$75:$BP$75,2)=0,TRUE,SUMPRODUCT(($BI$75:$BP$75=2)*($AS$75:$AZ$75&lt;&gt;"")*IF(((UPPER($AS$75:$AZ$75)="BLANK")+(UPPER($AS$75:$AZ$75)="(BLANK)")+(UPPER($AS$75:$AZ$75)="EMPTY")+(UPPER($AS$75:$AZ$75)="(EMPTY)"))&gt;0,IFERROR(('Final Calculation Sheet'!$O$6)&amp;"","")="",ISNUMBER(SEARCH($AS$75:$AZ$75,IFERROR(('Final Calculation Sheet'!$O$6)&amp;"","")))))&gt;0),IF(COUNTIF($BI$75:$BP$75,3)=0,TRUE,SUMPRODUCT(($BI$75:$BP$75=3)*($AS$75:$AZ$75&lt;&gt;"")*IF(((UPPER($AS$75:$AZ$75)="BLANK")+(UPPER($AS$75:$AZ$75)="(BLANK)")+(UPPER($AS$75:$AZ$75)="EMPTY")+(UPPER($AS$75:$AZ$75)="(EMPTY)"))&gt;0,IFERROR(('Final Calculation Sheet'!$O$6)&amp;"","")="",ISNUMBER(SEARCH($AS$75:$AZ$75,IFERROR(('Final Calculation Sheet'!$O$6)&amp;"","")))))&gt;0),IF(COUNTIF($BI$75:$BP$75,4)=0,TRUE,SUMPRODUCT(($BI$75:$BP$75=4)*($AS$75:$AZ$75&lt;&gt;"")*IF(((UPPER($AS$75:$AZ$75)="BLANK")+(UPPER($AS$75:$AZ$75)="(BLANK)")+(UPPER($AS$75:$AZ$75)="EMPTY")+(UPPER($AS$75:$AZ$75)="(EMPTY)"))&gt;0,IFERROR(('Final Calculation Sheet'!$O$6)&amp;"","")="",ISNUMBER(SEARCH($AS$75:$AZ$75,IFERROR(('Final Calculation Sheet'!$O$6)&amp;"","")))))&gt;0),IF(COUNTIF($BI$75:$BP$75,5)=0,TRUE,SUMPRODUCT(($BI$75:$BP$75=5)*($AS$75:$AZ$75&lt;&gt;"")*IF(((UPPER($AS$75:$AZ$75)="BLANK")+(UPPER($AS$75:$AZ$75)="(BLANK)")+(UPPER($AS$75:$AZ$75)="EMPTY")+(UPPER($AS$75:$AZ$75)="(EMPTY)"))&gt;0,IFERROR(('Final Calculation Sheet'!$O$6)&amp;"","")="",ISNUMBER(SEARCH($AS$75:$AZ$75,IFERROR(('Final Calculation Sheet'!$O$6)&amp;"","")))))&gt;0),IF(COUNTIF($BI$75:$BP$75,6)=0,TRUE,SUMPRODUCT(($BI$75:$BP$75=6)*($AS$75:$AZ$75&lt;&gt;"")*IF(((UPPER($AS$75:$AZ$75)="BLANK")+(UPPER($AS$75:$AZ$75)="(BLANK)")+(UPPER($AS$75:$AZ$75)="EMPTY")+(UPPER($AS$75:$AZ$75)="(EMPTY)"))&gt;0,IFERROR(('Final Calculation Sheet'!$O$6)&amp;"","")="",ISNUMBER(SEARCH($AS$75:$AZ$75,IFERROR(('Final Calculation Sheet'!$O$6)&amp;"","")))))&gt;0),IF(COUNTIF($BI$75:$BP$75,7)=0,TRUE,SUMPRODUCT(($BI$75:$BP$75=7)*($AS$75:$AZ$75&lt;&gt;"")*IF(((UPPER($AS$75:$AZ$75)="BLANK")+(UPPER($AS$75:$AZ$75)="(BLANK)")+(UPPER($AS$75:$AZ$75)="EMPTY")+(UPPER($AS$75:$AZ$75)="(EMPTY)"))&gt;0,IFERROR(('Final Calculation Sheet'!$O$6)&amp;"","")="",ISNUMBER(SEARCH($AS$75:$AZ$75,IFERROR(('Final Calculation Sheet'!$O$6)&amp;"","")))))&gt;0),IF(COUNTIF($BI$75:$BP$75,8)=0,TRUE,SUMPRODUCT(($BI$75:$BP$75=8)*($AS$75:$AZ$75&lt;&gt;"")*IF(((UPPER($AS$75:$AZ$75)="BLANK")+(UPPER($AS$75:$AZ$75)="(BLANK)")+(UPPER($AS$75:$AZ$75)="EMPTY")+(UPPER($AS$75:$AZ$75)="(EMPTY)"))&gt;0,IFERROR(('Final Calculation Sheet'!$O$6)&amp;"","")="",ISNUMBER(SEARCH($AS$75:$AZ$75,IFERROR(('Final Calculation Sheet'!$O$6)&amp;"","")))))&gt;0))))</f>
        <v>1</v>
      </c>
      <c r="CC7">
        <f>IF($Q$4="",1,--(AND(SUMPRODUCT(--($AS$76:$AZ$76&lt;&gt;""))&gt;0,IF(COUNTIF($BI$76:$BP$76,1)=0,TRUE,SUMPRODUCT(($BI$76:$BP$76=1)*($AS$76:$AZ$76&lt;&gt;"")*IF(((UPPER($AS$76:$AZ$76)="BLANK")+(UPPER($AS$76:$AZ$76)="(BLANK)")+(UPPER($AS$76:$AZ$76)="EMPTY")+(UPPER($AS$76:$AZ$76)="(EMPTY)"))&gt;0,IFERROR(('Final Calculation Sheet'!$P$6)&amp;"","")="",ISNUMBER(SEARCH($AS$76:$AZ$76,IFERROR(('Final Calculation Sheet'!$P$6)&amp;"","")))))&gt;0),IF(COUNTIF($BI$76:$BP$76,2)=0,TRUE,SUMPRODUCT(($BI$76:$BP$76=2)*($AS$76:$AZ$76&lt;&gt;"")*IF(((UPPER($AS$76:$AZ$76)="BLANK")+(UPPER($AS$76:$AZ$76)="(BLANK)")+(UPPER($AS$76:$AZ$76)="EMPTY")+(UPPER($AS$76:$AZ$76)="(EMPTY)"))&gt;0,IFERROR(('Final Calculation Sheet'!$P$6)&amp;"","")="",ISNUMBER(SEARCH($AS$76:$AZ$76,IFERROR(('Final Calculation Sheet'!$P$6)&amp;"","")))))&gt;0),IF(COUNTIF($BI$76:$BP$76,3)=0,TRUE,SUMPRODUCT(($BI$76:$BP$76=3)*($AS$76:$AZ$76&lt;&gt;"")*IF(((UPPER($AS$76:$AZ$76)="BLANK")+(UPPER($AS$76:$AZ$76)="(BLANK)")+(UPPER($AS$76:$AZ$76)="EMPTY")+(UPPER($AS$76:$AZ$76)="(EMPTY)"))&gt;0,IFERROR(('Final Calculation Sheet'!$P$6)&amp;"","")="",ISNUMBER(SEARCH($AS$76:$AZ$76,IFERROR(('Final Calculation Sheet'!$P$6)&amp;"","")))))&gt;0),IF(COUNTIF($BI$76:$BP$76,4)=0,TRUE,SUMPRODUCT(($BI$76:$BP$76=4)*($AS$76:$AZ$76&lt;&gt;"")*IF(((UPPER($AS$76:$AZ$76)="BLANK")+(UPPER($AS$76:$AZ$76)="(BLANK)")+(UPPER($AS$76:$AZ$76)="EMPTY")+(UPPER($AS$76:$AZ$76)="(EMPTY)"))&gt;0,IFERROR(('Final Calculation Sheet'!$P$6)&amp;"","")="",ISNUMBER(SEARCH($AS$76:$AZ$76,IFERROR(('Final Calculation Sheet'!$P$6)&amp;"","")))))&gt;0),IF(COUNTIF($BI$76:$BP$76,5)=0,TRUE,SUMPRODUCT(($BI$76:$BP$76=5)*($AS$76:$AZ$76&lt;&gt;"")*IF(((UPPER($AS$76:$AZ$76)="BLANK")+(UPPER($AS$76:$AZ$76)="(BLANK)")+(UPPER($AS$76:$AZ$76)="EMPTY")+(UPPER($AS$76:$AZ$76)="(EMPTY)"))&gt;0,IFERROR(('Final Calculation Sheet'!$P$6)&amp;"","")="",ISNUMBER(SEARCH($AS$76:$AZ$76,IFERROR(('Final Calculation Sheet'!$P$6)&amp;"","")))))&gt;0),IF(COUNTIF($BI$76:$BP$76,6)=0,TRUE,SUMPRODUCT(($BI$76:$BP$76=6)*($AS$76:$AZ$76&lt;&gt;"")*IF(((UPPER($AS$76:$AZ$76)="BLANK")+(UPPER($AS$76:$AZ$76)="(BLANK)")+(UPPER($AS$76:$AZ$76)="EMPTY")+(UPPER($AS$76:$AZ$76)="(EMPTY)"))&gt;0,IFERROR(('Final Calculation Sheet'!$P$6)&amp;"","")="",ISNUMBER(SEARCH($AS$76:$AZ$76,IFERROR(('Final Calculation Sheet'!$P$6)&amp;"","")))))&gt;0),IF(COUNTIF($BI$76:$BP$76,7)=0,TRUE,SUMPRODUCT(($BI$76:$BP$76=7)*($AS$76:$AZ$76&lt;&gt;"")*IF(((UPPER($AS$76:$AZ$76)="BLANK")+(UPPER($AS$76:$AZ$76)="(BLANK)")+(UPPER($AS$76:$AZ$76)="EMPTY")+(UPPER($AS$76:$AZ$76)="(EMPTY)"))&gt;0,IFERROR(('Final Calculation Sheet'!$P$6)&amp;"","")="",ISNUMBER(SEARCH($AS$76:$AZ$76,IFERROR(('Final Calculation Sheet'!$P$6)&amp;"","")))))&gt;0),IF(COUNTIF($BI$76:$BP$76,8)=0,TRUE,SUMPRODUCT(($BI$76:$BP$76=8)*($AS$76:$AZ$76&lt;&gt;"")*IF(((UPPER($AS$76:$AZ$76)="BLANK")+(UPPER($AS$76:$AZ$76)="(BLANK)")+(UPPER($AS$76:$AZ$76)="EMPTY")+(UPPER($AS$76:$AZ$76)="(EMPTY)"))&gt;0,IFERROR(('Final Calculation Sheet'!$P$6)&amp;"","")="",ISNUMBER(SEARCH($AS$76:$AZ$76,IFERROR(('Final Calculation Sheet'!$P$6)&amp;"","")))))&gt;0))))</f>
        <v>1</v>
      </c>
      <c r="CD7">
        <f>IF($R$4="",1,--(AND(SUMPRODUCT(--($AS$77:$AZ$77&lt;&gt;""))&gt;0,IF(COUNTIF($BI$77:$BP$77,1)=0,TRUE,SUMPRODUCT(($BI$77:$BP$77=1)*($AS$77:$AZ$77&lt;&gt;"")*IF(((UPPER($AS$77:$AZ$77)="BLANK")+(UPPER($AS$77:$AZ$77)="(BLANK)")+(UPPER($AS$77:$AZ$77)="EMPTY")+(UPPER($AS$77:$AZ$77)="(EMPTY)"))&gt;0,IFERROR(('Final Calculation Sheet'!$Q$6)&amp;"","")="",ISNUMBER(SEARCH($AS$77:$AZ$77,IFERROR(('Final Calculation Sheet'!$Q$6)&amp;"","")))))&gt;0),IF(COUNTIF($BI$77:$BP$77,2)=0,TRUE,SUMPRODUCT(($BI$77:$BP$77=2)*($AS$77:$AZ$77&lt;&gt;"")*IF(((UPPER($AS$77:$AZ$77)="BLANK")+(UPPER($AS$77:$AZ$77)="(BLANK)")+(UPPER($AS$77:$AZ$77)="EMPTY")+(UPPER($AS$77:$AZ$77)="(EMPTY)"))&gt;0,IFERROR(('Final Calculation Sheet'!$Q$6)&amp;"","")="",ISNUMBER(SEARCH($AS$77:$AZ$77,IFERROR(('Final Calculation Sheet'!$Q$6)&amp;"","")))))&gt;0),IF(COUNTIF($BI$77:$BP$77,3)=0,TRUE,SUMPRODUCT(($BI$77:$BP$77=3)*($AS$77:$AZ$77&lt;&gt;"")*IF(((UPPER($AS$77:$AZ$77)="BLANK")+(UPPER($AS$77:$AZ$77)="(BLANK)")+(UPPER($AS$77:$AZ$77)="EMPTY")+(UPPER($AS$77:$AZ$77)="(EMPTY)"))&gt;0,IFERROR(('Final Calculation Sheet'!$Q$6)&amp;"","")="",ISNUMBER(SEARCH($AS$77:$AZ$77,IFERROR(('Final Calculation Sheet'!$Q$6)&amp;"","")))))&gt;0),IF(COUNTIF($BI$77:$BP$77,4)=0,TRUE,SUMPRODUCT(($BI$77:$BP$77=4)*($AS$77:$AZ$77&lt;&gt;"")*IF(((UPPER($AS$77:$AZ$77)="BLANK")+(UPPER($AS$77:$AZ$77)="(BLANK)")+(UPPER($AS$77:$AZ$77)="EMPTY")+(UPPER($AS$77:$AZ$77)="(EMPTY)"))&gt;0,IFERROR(('Final Calculation Sheet'!$Q$6)&amp;"","")="",ISNUMBER(SEARCH($AS$77:$AZ$77,IFERROR(('Final Calculation Sheet'!$Q$6)&amp;"","")))))&gt;0),IF(COUNTIF($BI$77:$BP$77,5)=0,TRUE,SUMPRODUCT(($BI$77:$BP$77=5)*($AS$77:$AZ$77&lt;&gt;"")*IF(((UPPER($AS$77:$AZ$77)="BLANK")+(UPPER($AS$77:$AZ$77)="(BLANK)")+(UPPER($AS$77:$AZ$77)="EMPTY")+(UPPER($AS$77:$AZ$77)="(EMPTY)"))&gt;0,IFERROR(('Final Calculation Sheet'!$Q$6)&amp;"","")="",ISNUMBER(SEARCH($AS$77:$AZ$77,IFERROR(('Final Calculation Sheet'!$Q$6)&amp;"","")))))&gt;0),IF(COUNTIF($BI$77:$BP$77,6)=0,TRUE,SUMPRODUCT(($BI$77:$BP$77=6)*($AS$77:$AZ$77&lt;&gt;"")*IF(((UPPER($AS$77:$AZ$77)="BLANK")+(UPPER($AS$77:$AZ$77)="(BLANK)")+(UPPER($AS$77:$AZ$77)="EMPTY")+(UPPER($AS$77:$AZ$77)="(EMPTY)"))&gt;0,IFERROR(('Final Calculation Sheet'!$Q$6)&amp;"","")="",ISNUMBER(SEARCH($AS$77:$AZ$77,IFERROR(('Final Calculation Sheet'!$Q$6)&amp;"","")))))&gt;0),IF(COUNTIF($BI$77:$BP$77,7)=0,TRUE,SUMPRODUCT(($BI$77:$BP$77=7)*($AS$77:$AZ$77&lt;&gt;"")*IF(((UPPER($AS$77:$AZ$77)="BLANK")+(UPPER($AS$77:$AZ$77)="(BLANK)")+(UPPER($AS$77:$AZ$77)="EMPTY")+(UPPER($AS$77:$AZ$77)="(EMPTY)"))&gt;0,IFERROR(('Final Calculation Sheet'!$Q$6)&amp;"","")="",ISNUMBER(SEARCH($AS$77:$AZ$77,IFERROR(('Final Calculation Sheet'!$Q$6)&amp;"","")))))&gt;0),IF(COUNTIF($BI$77:$BP$77,8)=0,TRUE,SUMPRODUCT(($BI$77:$BP$77=8)*($AS$77:$AZ$77&lt;&gt;"")*IF(((UPPER($AS$77:$AZ$77)="BLANK")+(UPPER($AS$77:$AZ$77)="(BLANK)")+(UPPER($AS$77:$AZ$77)="EMPTY")+(UPPER($AS$77:$AZ$77)="(EMPTY)"))&gt;0,IFERROR(('Final Calculation Sheet'!$Q$6)&amp;"","")="",ISNUMBER(SEARCH($AS$77:$AZ$77,IFERROR(('Final Calculation Sheet'!$Q$6)&amp;"","")))))&gt;0))))</f>
        <v>1</v>
      </c>
      <c r="CE7">
        <f>IF($S$4="",1,--(AND(SUMPRODUCT(--($AS$78:$AZ$78&lt;&gt;""))&gt;0,IF(COUNTIF($BI$78:$BP$78,1)=0,TRUE,SUMPRODUCT(($BI$78:$BP$78=1)*($AS$78:$AZ$78&lt;&gt;"")*IF(((UPPER($AS$78:$AZ$78)="BLANK")+(UPPER($AS$78:$AZ$78)="(BLANK)")+(UPPER($AS$78:$AZ$78)="EMPTY")+(UPPER($AS$78:$AZ$78)="(EMPTY)"))&gt;0,IFERROR(('Final Calculation Sheet'!$R$6)&amp;"","")="",ISNUMBER(SEARCH($AS$78:$AZ$78,IFERROR(('Final Calculation Sheet'!$R$6)&amp;"","")))))&gt;0),IF(COUNTIF($BI$78:$BP$78,2)=0,TRUE,SUMPRODUCT(($BI$78:$BP$78=2)*($AS$78:$AZ$78&lt;&gt;"")*IF(((UPPER($AS$78:$AZ$78)="BLANK")+(UPPER($AS$78:$AZ$78)="(BLANK)")+(UPPER($AS$78:$AZ$78)="EMPTY")+(UPPER($AS$78:$AZ$78)="(EMPTY)"))&gt;0,IFERROR(('Final Calculation Sheet'!$R$6)&amp;"","")="",ISNUMBER(SEARCH($AS$78:$AZ$78,IFERROR(('Final Calculation Sheet'!$R$6)&amp;"","")))))&gt;0),IF(COUNTIF($BI$78:$BP$78,3)=0,TRUE,SUMPRODUCT(($BI$78:$BP$78=3)*($AS$78:$AZ$78&lt;&gt;"")*IF(((UPPER($AS$78:$AZ$78)="BLANK")+(UPPER($AS$78:$AZ$78)="(BLANK)")+(UPPER($AS$78:$AZ$78)="EMPTY")+(UPPER($AS$78:$AZ$78)="(EMPTY)"))&gt;0,IFERROR(('Final Calculation Sheet'!$R$6)&amp;"","")="",ISNUMBER(SEARCH($AS$78:$AZ$78,IFERROR(('Final Calculation Sheet'!$R$6)&amp;"","")))))&gt;0),IF(COUNTIF($BI$78:$BP$78,4)=0,TRUE,SUMPRODUCT(($BI$78:$BP$78=4)*($AS$78:$AZ$78&lt;&gt;"")*IF(((UPPER($AS$78:$AZ$78)="BLANK")+(UPPER($AS$78:$AZ$78)="(BLANK)")+(UPPER($AS$78:$AZ$78)="EMPTY")+(UPPER($AS$78:$AZ$78)="(EMPTY)"))&gt;0,IFERROR(('Final Calculation Sheet'!$R$6)&amp;"","")="",ISNUMBER(SEARCH($AS$78:$AZ$78,IFERROR(('Final Calculation Sheet'!$R$6)&amp;"","")))))&gt;0),IF(COUNTIF($BI$78:$BP$78,5)=0,TRUE,SUMPRODUCT(($BI$78:$BP$78=5)*($AS$78:$AZ$78&lt;&gt;"")*IF(((UPPER($AS$78:$AZ$78)="BLANK")+(UPPER($AS$78:$AZ$78)="(BLANK)")+(UPPER($AS$78:$AZ$78)="EMPTY")+(UPPER($AS$78:$AZ$78)="(EMPTY)"))&gt;0,IFERROR(('Final Calculation Sheet'!$R$6)&amp;"","")="",ISNUMBER(SEARCH($AS$78:$AZ$78,IFERROR(('Final Calculation Sheet'!$R$6)&amp;"","")))))&gt;0),IF(COUNTIF($BI$78:$BP$78,6)=0,TRUE,SUMPRODUCT(($BI$78:$BP$78=6)*($AS$78:$AZ$78&lt;&gt;"")*IF(((UPPER($AS$78:$AZ$78)="BLANK")+(UPPER($AS$78:$AZ$78)="(BLANK)")+(UPPER($AS$78:$AZ$78)="EMPTY")+(UPPER($AS$78:$AZ$78)="(EMPTY)"))&gt;0,IFERROR(('Final Calculation Sheet'!$R$6)&amp;"","")="",ISNUMBER(SEARCH($AS$78:$AZ$78,IFERROR(('Final Calculation Sheet'!$R$6)&amp;"","")))))&gt;0),IF(COUNTIF($BI$78:$BP$78,7)=0,TRUE,SUMPRODUCT(($BI$78:$BP$78=7)*($AS$78:$AZ$78&lt;&gt;"")*IF(((UPPER($AS$78:$AZ$78)="BLANK")+(UPPER($AS$78:$AZ$78)="(BLANK)")+(UPPER($AS$78:$AZ$78)="EMPTY")+(UPPER($AS$78:$AZ$78)="(EMPTY)"))&gt;0,IFERROR(('Final Calculation Sheet'!$R$6)&amp;"","")="",ISNUMBER(SEARCH($AS$78:$AZ$78,IFERROR(('Final Calculation Sheet'!$R$6)&amp;"","")))))&gt;0),IF(COUNTIF($BI$78:$BP$78,8)=0,TRUE,SUMPRODUCT(($BI$78:$BP$78=8)*($AS$78:$AZ$78&lt;&gt;"")*IF(((UPPER($AS$78:$AZ$78)="BLANK")+(UPPER($AS$78:$AZ$78)="(BLANK)")+(UPPER($AS$78:$AZ$78)="EMPTY")+(UPPER($AS$78:$AZ$78)="(EMPTY)"))&gt;0,IFERROR(('Final Calculation Sheet'!$R$6)&amp;"","")="",ISNUMBER(SEARCH($AS$78:$AZ$78,IFERROR(('Final Calculation Sheet'!$R$6)&amp;"","")))))&gt;0))))</f>
        <v>1</v>
      </c>
      <c r="CF7">
        <f>IF($T$4="",1,--(AND(SUMPRODUCT(--($AS$79:$AZ$79&lt;&gt;""))&gt;0,IF(COUNTIF($BI$79:$BP$79,1)=0,TRUE,SUMPRODUCT(($BI$79:$BP$79=1)*($AS$79:$AZ$79&lt;&gt;"")*IF(((UPPER($AS$79:$AZ$79)="BLANK")+(UPPER($AS$79:$AZ$79)="(BLANK)")+(UPPER($AS$79:$AZ$79)="EMPTY")+(UPPER($AS$79:$AZ$79)="(EMPTY)"))&gt;0,IFERROR(('Final Calculation Sheet'!$S$6)&amp;"","")="",ISNUMBER(SEARCH($AS$79:$AZ$79,IFERROR(('Final Calculation Sheet'!$S$6)&amp;"","")))))&gt;0),IF(COUNTIF($BI$79:$BP$79,2)=0,TRUE,SUMPRODUCT(($BI$79:$BP$79=2)*($AS$79:$AZ$79&lt;&gt;"")*IF(((UPPER($AS$79:$AZ$79)="BLANK")+(UPPER($AS$79:$AZ$79)="(BLANK)")+(UPPER($AS$79:$AZ$79)="EMPTY")+(UPPER($AS$79:$AZ$79)="(EMPTY)"))&gt;0,IFERROR(('Final Calculation Sheet'!$S$6)&amp;"","")="",ISNUMBER(SEARCH($AS$79:$AZ$79,IFERROR(('Final Calculation Sheet'!$S$6)&amp;"","")))))&gt;0),IF(COUNTIF($BI$79:$BP$79,3)=0,TRUE,SUMPRODUCT(($BI$79:$BP$79=3)*($AS$79:$AZ$79&lt;&gt;"")*IF(((UPPER($AS$79:$AZ$79)="BLANK")+(UPPER($AS$79:$AZ$79)="(BLANK)")+(UPPER($AS$79:$AZ$79)="EMPTY")+(UPPER($AS$79:$AZ$79)="(EMPTY)"))&gt;0,IFERROR(('Final Calculation Sheet'!$S$6)&amp;"","")="",ISNUMBER(SEARCH($AS$79:$AZ$79,IFERROR(('Final Calculation Sheet'!$S$6)&amp;"","")))))&gt;0),IF(COUNTIF($BI$79:$BP$79,4)=0,TRUE,SUMPRODUCT(($BI$79:$BP$79=4)*($AS$79:$AZ$79&lt;&gt;"")*IF(((UPPER($AS$79:$AZ$79)="BLANK")+(UPPER($AS$79:$AZ$79)="(BLANK)")+(UPPER($AS$79:$AZ$79)="EMPTY")+(UPPER($AS$79:$AZ$79)="(EMPTY)"))&gt;0,IFERROR(('Final Calculation Sheet'!$S$6)&amp;"","")="",ISNUMBER(SEARCH($AS$79:$AZ$79,IFERROR(('Final Calculation Sheet'!$S$6)&amp;"","")))))&gt;0),IF(COUNTIF($BI$79:$BP$79,5)=0,TRUE,SUMPRODUCT(($BI$79:$BP$79=5)*($AS$79:$AZ$79&lt;&gt;"")*IF(((UPPER($AS$79:$AZ$79)="BLANK")+(UPPER($AS$79:$AZ$79)="(BLANK)")+(UPPER($AS$79:$AZ$79)="EMPTY")+(UPPER($AS$79:$AZ$79)="(EMPTY)"))&gt;0,IFERROR(('Final Calculation Sheet'!$S$6)&amp;"","")="",ISNUMBER(SEARCH($AS$79:$AZ$79,IFERROR(('Final Calculation Sheet'!$S$6)&amp;"","")))))&gt;0),IF(COUNTIF($BI$79:$BP$79,6)=0,TRUE,SUMPRODUCT(($BI$79:$BP$79=6)*($AS$79:$AZ$79&lt;&gt;"")*IF(((UPPER($AS$79:$AZ$79)="BLANK")+(UPPER($AS$79:$AZ$79)="(BLANK)")+(UPPER($AS$79:$AZ$79)="EMPTY")+(UPPER($AS$79:$AZ$79)="(EMPTY)"))&gt;0,IFERROR(('Final Calculation Sheet'!$S$6)&amp;"","")="",ISNUMBER(SEARCH($AS$79:$AZ$79,IFERROR(('Final Calculation Sheet'!$S$6)&amp;"","")))))&gt;0),IF(COUNTIF($BI$79:$BP$79,7)=0,TRUE,SUMPRODUCT(($BI$79:$BP$79=7)*($AS$79:$AZ$79&lt;&gt;"")*IF(((UPPER($AS$79:$AZ$79)="BLANK")+(UPPER($AS$79:$AZ$79)="(BLANK)")+(UPPER($AS$79:$AZ$79)="EMPTY")+(UPPER($AS$79:$AZ$79)="(EMPTY)"))&gt;0,IFERROR(('Final Calculation Sheet'!$S$6)&amp;"","")="",ISNUMBER(SEARCH($AS$79:$AZ$79,IFERROR(('Final Calculation Sheet'!$S$6)&amp;"","")))))&gt;0),IF(COUNTIF($BI$79:$BP$79,8)=0,TRUE,SUMPRODUCT(($BI$79:$BP$79=8)*($AS$79:$AZ$79&lt;&gt;"")*IF(((UPPER($AS$79:$AZ$79)="BLANK")+(UPPER($AS$79:$AZ$79)="(BLANK)")+(UPPER($AS$79:$AZ$79)="EMPTY")+(UPPER($AS$79:$AZ$79)="(EMPTY)"))&gt;0,IFERROR(('Final Calculation Sheet'!$S$6)&amp;"","")="",ISNUMBER(SEARCH($AS$79:$AZ$79,IFERROR(('Final Calculation Sheet'!$S$6)&amp;"","")))))&gt;0))))</f>
        <v>1</v>
      </c>
      <c r="CG7">
        <f>IF($U$4="",1,--(AND(SUMPRODUCT(--($AS$80:$AZ$80&lt;&gt;""))&gt;0,IF(COUNTIF($BI$80:$BP$80,1)=0,TRUE,SUMPRODUCT(($BI$80:$BP$80=1)*($AS$80:$AZ$80&lt;&gt;"")*IF(((UPPER($AS$80:$AZ$80)="BLANK")+(UPPER($AS$80:$AZ$80)="(BLANK)")+(UPPER($AS$80:$AZ$80)="EMPTY")+(UPPER($AS$80:$AZ$80)="(EMPTY)"))&gt;0,IFERROR(('Final Calculation Sheet'!$T$6)&amp;"","")="",ISNUMBER(SEARCH($AS$80:$AZ$80,IFERROR(('Final Calculation Sheet'!$T$6)&amp;"","")))))&gt;0),IF(COUNTIF($BI$80:$BP$80,2)=0,TRUE,SUMPRODUCT(($BI$80:$BP$80=2)*($AS$80:$AZ$80&lt;&gt;"")*IF(((UPPER($AS$80:$AZ$80)="BLANK")+(UPPER($AS$80:$AZ$80)="(BLANK)")+(UPPER($AS$80:$AZ$80)="EMPTY")+(UPPER($AS$80:$AZ$80)="(EMPTY)"))&gt;0,IFERROR(('Final Calculation Sheet'!$T$6)&amp;"","")="",ISNUMBER(SEARCH($AS$80:$AZ$80,IFERROR(('Final Calculation Sheet'!$T$6)&amp;"","")))))&gt;0),IF(COUNTIF($BI$80:$BP$80,3)=0,TRUE,SUMPRODUCT(($BI$80:$BP$80=3)*($AS$80:$AZ$80&lt;&gt;"")*IF(((UPPER($AS$80:$AZ$80)="BLANK")+(UPPER($AS$80:$AZ$80)="(BLANK)")+(UPPER($AS$80:$AZ$80)="EMPTY")+(UPPER($AS$80:$AZ$80)="(EMPTY)"))&gt;0,IFERROR(('Final Calculation Sheet'!$T$6)&amp;"","")="",ISNUMBER(SEARCH($AS$80:$AZ$80,IFERROR(('Final Calculation Sheet'!$T$6)&amp;"","")))))&gt;0),IF(COUNTIF($BI$80:$BP$80,4)=0,TRUE,SUMPRODUCT(($BI$80:$BP$80=4)*($AS$80:$AZ$80&lt;&gt;"")*IF(((UPPER($AS$80:$AZ$80)="BLANK")+(UPPER($AS$80:$AZ$80)="(BLANK)")+(UPPER($AS$80:$AZ$80)="EMPTY")+(UPPER($AS$80:$AZ$80)="(EMPTY)"))&gt;0,IFERROR(('Final Calculation Sheet'!$T$6)&amp;"","")="",ISNUMBER(SEARCH($AS$80:$AZ$80,IFERROR(('Final Calculation Sheet'!$T$6)&amp;"","")))))&gt;0),IF(COUNTIF($BI$80:$BP$80,5)=0,TRUE,SUMPRODUCT(($BI$80:$BP$80=5)*($AS$80:$AZ$80&lt;&gt;"")*IF(((UPPER($AS$80:$AZ$80)="BLANK")+(UPPER($AS$80:$AZ$80)="(BLANK)")+(UPPER($AS$80:$AZ$80)="EMPTY")+(UPPER($AS$80:$AZ$80)="(EMPTY)"))&gt;0,IFERROR(('Final Calculation Sheet'!$T$6)&amp;"","")="",ISNUMBER(SEARCH($AS$80:$AZ$80,IFERROR(('Final Calculation Sheet'!$T$6)&amp;"","")))))&gt;0),IF(COUNTIF($BI$80:$BP$80,6)=0,TRUE,SUMPRODUCT(($BI$80:$BP$80=6)*($AS$80:$AZ$80&lt;&gt;"")*IF(((UPPER($AS$80:$AZ$80)="BLANK")+(UPPER($AS$80:$AZ$80)="(BLANK)")+(UPPER($AS$80:$AZ$80)="EMPTY")+(UPPER($AS$80:$AZ$80)="(EMPTY)"))&gt;0,IFERROR(('Final Calculation Sheet'!$T$6)&amp;"","")="",ISNUMBER(SEARCH($AS$80:$AZ$80,IFERROR(('Final Calculation Sheet'!$T$6)&amp;"","")))))&gt;0),IF(COUNTIF($BI$80:$BP$80,7)=0,TRUE,SUMPRODUCT(($BI$80:$BP$80=7)*($AS$80:$AZ$80&lt;&gt;"")*IF(((UPPER($AS$80:$AZ$80)="BLANK")+(UPPER($AS$80:$AZ$80)="(BLANK)")+(UPPER($AS$80:$AZ$80)="EMPTY")+(UPPER($AS$80:$AZ$80)="(EMPTY)"))&gt;0,IFERROR(('Final Calculation Sheet'!$T$6)&amp;"","")="",ISNUMBER(SEARCH($AS$80:$AZ$80,IFERROR(('Final Calculation Sheet'!$T$6)&amp;"","")))))&gt;0),IF(COUNTIF($BI$80:$BP$80,8)=0,TRUE,SUMPRODUCT(($BI$80:$BP$80=8)*($AS$80:$AZ$80&lt;&gt;"")*IF(((UPPER($AS$80:$AZ$80)="BLANK")+(UPPER($AS$80:$AZ$80)="(BLANK)")+(UPPER($AS$80:$AZ$80)="EMPTY")+(UPPER($AS$80:$AZ$80)="(EMPTY)"))&gt;0,IFERROR(('Final Calculation Sheet'!$T$6)&amp;"","")="",ISNUMBER(SEARCH($AS$80:$AZ$80,IFERROR(('Final Calculation Sheet'!$T$6)&amp;"","")))))&gt;0))))</f>
        <v>1</v>
      </c>
      <c r="CH7">
        <f>IF($V$4="",1,--(AND(SUMPRODUCT(--($AS$81:$AZ$81&lt;&gt;""))&gt;0,IF(COUNTIF($BI$81:$BP$81,1)=0,TRUE,SUMPRODUCT(($BI$81:$BP$81=1)*($AS$81:$AZ$81&lt;&gt;"")*IF(((UPPER($AS$81:$AZ$81)="BLANK")+(UPPER($AS$81:$AZ$81)="(BLANK)")+(UPPER($AS$81:$AZ$81)="EMPTY")+(UPPER($AS$81:$AZ$81)="(EMPTY)"))&gt;0,IFERROR(('Final Calculation Sheet'!$U$6)&amp;"","")="",ISNUMBER(SEARCH($AS$81:$AZ$81,IFERROR(('Final Calculation Sheet'!$U$6)&amp;"","")))))&gt;0),IF(COUNTIF($BI$81:$BP$81,2)=0,TRUE,SUMPRODUCT(($BI$81:$BP$81=2)*($AS$81:$AZ$81&lt;&gt;"")*IF(((UPPER($AS$81:$AZ$81)="BLANK")+(UPPER($AS$81:$AZ$81)="(BLANK)")+(UPPER($AS$81:$AZ$81)="EMPTY")+(UPPER($AS$81:$AZ$81)="(EMPTY)"))&gt;0,IFERROR(('Final Calculation Sheet'!$U$6)&amp;"","")="",ISNUMBER(SEARCH($AS$81:$AZ$81,IFERROR(('Final Calculation Sheet'!$U$6)&amp;"","")))))&gt;0),IF(COUNTIF($BI$81:$BP$81,3)=0,TRUE,SUMPRODUCT(($BI$81:$BP$81=3)*($AS$81:$AZ$81&lt;&gt;"")*IF(((UPPER($AS$81:$AZ$81)="BLANK")+(UPPER($AS$81:$AZ$81)="(BLANK)")+(UPPER($AS$81:$AZ$81)="EMPTY")+(UPPER($AS$81:$AZ$81)="(EMPTY)"))&gt;0,IFERROR(('Final Calculation Sheet'!$U$6)&amp;"","")="",ISNUMBER(SEARCH($AS$81:$AZ$81,IFERROR(('Final Calculation Sheet'!$U$6)&amp;"","")))))&gt;0),IF(COUNTIF($BI$81:$BP$81,4)=0,TRUE,SUMPRODUCT(($BI$81:$BP$81=4)*($AS$81:$AZ$81&lt;&gt;"")*IF(((UPPER($AS$81:$AZ$81)="BLANK")+(UPPER($AS$81:$AZ$81)="(BLANK)")+(UPPER($AS$81:$AZ$81)="EMPTY")+(UPPER($AS$81:$AZ$81)="(EMPTY)"))&gt;0,IFERROR(('Final Calculation Sheet'!$U$6)&amp;"","")="",ISNUMBER(SEARCH($AS$81:$AZ$81,IFERROR(('Final Calculation Sheet'!$U$6)&amp;"","")))))&gt;0),IF(COUNTIF($BI$81:$BP$81,5)=0,TRUE,SUMPRODUCT(($BI$81:$BP$81=5)*($AS$81:$AZ$81&lt;&gt;"")*IF(((UPPER($AS$81:$AZ$81)="BLANK")+(UPPER($AS$81:$AZ$81)="(BLANK)")+(UPPER($AS$81:$AZ$81)="EMPTY")+(UPPER($AS$81:$AZ$81)="(EMPTY)"))&gt;0,IFERROR(('Final Calculation Sheet'!$U$6)&amp;"","")="",ISNUMBER(SEARCH($AS$81:$AZ$81,IFERROR(('Final Calculation Sheet'!$U$6)&amp;"","")))))&gt;0),IF(COUNTIF($BI$81:$BP$81,6)=0,TRUE,SUMPRODUCT(($BI$81:$BP$81=6)*($AS$81:$AZ$81&lt;&gt;"")*IF(((UPPER($AS$81:$AZ$81)="BLANK")+(UPPER($AS$81:$AZ$81)="(BLANK)")+(UPPER($AS$81:$AZ$81)="EMPTY")+(UPPER($AS$81:$AZ$81)="(EMPTY)"))&gt;0,IFERROR(('Final Calculation Sheet'!$U$6)&amp;"","")="",ISNUMBER(SEARCH($AS$81:$AZ$81,IFERROR(('Final Calculation Sheet'!$U$6)&amp;"","")))))&gt;0),IF(COUNTIF($BI$81:$BP$81,7)=0,TRUE,SUMPRODUCT(($BI$81:$BP$81=7)*($AS$81:$AZ$81&lt;&gt;"")*IF(((UPPER($AS$81:$AZ$81)="BLANK")+(UPPER($AS$81:$AZ$81)="(BLANK)")+(UPPER($AS$81:$AZ$81)="EMPTY")+(UPPER($AS$81:$AZ$81)="(EMPTY)"))&gt;0,IFERROR(('Final Calculation Sheet'!$U$6)&amp;"","")="",ISNUMBER(SEARCH($AS$81:$AZ$81,IFERROR(('Final Calculation Sheet'!$U$6)&amp;"","")))))&gt;0),IF(COUNTIF($BI$81:$BP$81,8)=0,TRUE,SUMPRODUCT(($BI$81:$BP$81=8)*($AS$81:$AZ$81&lt;&gt;"")*IF(((UPPER($AS$81:$AZ$81)="BLANK")+(UPPER($AS$81:$AZ$81)="(BLANK)")+(UPPER($AS$81:$AZ$81)="EMPTY")+(UPPER($AS$81:$AZ$81)="(EMPTY)"))&gt;0,IFERROR(('Final Calculation Sheet'!$U$6)&amp;"","")="",ISNUMBER(SEARCH($AS$81:$AZ$81,IFERROR(('Final Calculation Sheet'!$U$6)&amp;"","")))))&gt;0))))</f>
        <v>1</v>
      </c>
      <c r="CI7">
        <f>IF($W$4="",1,--(AND(SUMPRODUCT(--($AS$82:$AZ$82&lt;&gt;""))&gt;0,IF(COUNTIF($BI$82:$BP$82,1)=0,TRUE,SUMPRODUCT(($BI$82:$BP$82=1)*($AS$82:$AZ$82&lt;&gt;"")*IF(((UPPER($AS$82:$AZ$82)="BLANK")+(UPPER($AS$82:$AZ$82)="(BLANK)")+(UPPER($AS$82:$AZ$82)="EMPTY")+(UPPER($AS$82:$AZ$82)="(EMPTY)"))&gt;0,IFERROR(('Final Calculation Sheet'!$V$6)&amp;"","")="",ISNUMBER(SEARCH($AS$82:$AZ$82,IFERROR(('Final Calculation Sheet'!$V$6)&amp;"","")))))&gt;0),IF(COUNTIF($BI$82:$BP$82,2)=0,TRUE,SUMPRODUCT(($BI$82:$BP$82=2)*($AS$82:$AZ$82&lt;&gt;"")*IF(((UPPER($AS$82:$AZ$82)="BLANK")+(UPPER($AS$82:$AZ$82)="(BLANK)")+(UPPER($AS$82:$AZ$82)="EMPTY")+(UPPER($AS$82:$AZ$82)="(EMPTY)"))&gt;0,IFERROR(('Final Calculation Sheet'!$V$6)&amp;"","")="",ISNUMBER(SEARCH($AS$82:$AZ$82,IFERROR(('Final Calculation Sheet'!$V$6)&amp;"","")))))&gt;0),IF(COUNTIF($BI$82:$BP$82,3)=0,TRUE,SUMPRODUCT(($BI$82:$BP$82=3)*($AS$82:$AZ$82&lt;&gt;"")*IF(((UPPER($AS$82:$AZ$82)="BLANK")+(UPPER($AS$82:$AZ$82)="(BLANK)")+(UPPER($AS$82:$AZ$82)="EMPTY")+(UPPER($AS$82:$AZ$82)="(EMPTY)"))&gt;0,IFERROR(('Final Calculation Sheet'!$V$6)&amp;"","")="",ISNUMBER(SEARCH($AS$82:$AZ$82,IFERROR(('Final Calculation Sheet'!$V$6)&amp;"","")))))&gt;0),IF(COUNTIF($BI$82:$BP$82,4)=0,TRUE,SUMPRODUCT(($BI$82:$BP$82=4)*($AS$82:$AZ$82&lt;&gt;"")*IF(((UPPER($AS$82:$AZ$82)="BLANK")+(UPPER($AS$82:$AZ$82)="(BLANK)")+(UPPER($AS$82:$AZ$82)="EMPTY")+(UPPER($AS$82:$AZ$82)="(EMPTY)"))&gt;0,IFERROR(('Final Calculation Sheet'!$V$6)&amp;"","")="",ISNUMBER(SEARCH($AS$82:$AZ$82,IFERROR(('Final Calculation Sheet'!$V$6)&amp;"","")))))&gt;0),IF(COUNTIF($BI$82:$BP$82,5)=0,TRUE,SUMPRODUCT(($BI$82:$BP$82=5)*($AS$82:$AZ$82&lt;&gt;"")*IF(((UPPER($AS$82:$AZ$82)="BLANK")+(UPPER($AS$82:$AZ$82)="(BLANK)")+(UPPER($AS$82:$AZ$82)="EMPTY")+(UPPER($AS$82:$AZ$82)="(EMPTY)"))&gt;0,IFERROR(('Final Calculation Sheet'!$V$6)&amp;"","")="",ISNUMBER(SEARCH($AS$82:$AZ$82,IFERROR(('Final Calculation Sheet'!$V$6)&amp;"","")))))&gt;0),IF(COUNTIF($BI$82:$BP$82,6)=0,TRUE,SUMPRODUCT(($BI$82:$BP$82=6)*($AS$82:$AZ$82&lt;&gt;"")*IF(((UPPER($AS$82:$AZ$82)="BLANK")+(UPPER($AS$82:$AZ$82)="(BLANK)")+(UPPER($AS$82:$AZ$82)="EMPTY")+(UPPER($AS$82:$AZ$82)="(EMPTY)"))&gt;0,IFERROR(('Final Calculation Sheet'!$V$6)&amp;"","")="",ISNUMBER(SEARCH($AS$82:$AZ$82,IFERROR(('Final Calculation Sheet'!$V$6)&amp;"","")))))&gt;0),IF(COUNTIF($BI$82:$BP$82,7)=0,TRUE,SUMPRODUCT(($BI$82:$BP$82=7)*($AS$82:$AZ$82&lt;&gt;"")*IF(((UPPER($AS$82:$AZ$82)="BLANK")+(UPPER($AS$82:$AZ$82)="(BLANK)")+(UPPER($AS$82:$AZ$82)="EMPTY")+(UPPER($AS$82:$AZ$82)="(EMPTY)"))&gt;0,IFERROR(('Final Calculation Sheet'!$V$6)&amp;"","")="",ISNUMBER(SEARCH($AS$82:$AZ$82,IFERROR(('Final Calculation Sheet'!$V$6)&amp;"","")))))&gt;0),IF(COUNTIF($BI$82:$BP$82,8)=0,TRUE,SUMPRODUCT(($BI$82:$BP$82=8)*($AS$82:$AZ$82&lt;&gt;"")*IF(((UPPER($AS$82:$AZ$82)="BLANK")+(UPPER($AS$82:$AZ$82)="(BLANK)")+(UPPER($AS$82:$AZ$82)="EMPTY")+(UPPER($AS$82:$AZ$82)="(EMPTY)"))&gt;0,IFERROR(('Final Calculation Sheet'!$V$6)&amp;"","")="",ISNUMBER(SEARCH($AS$82:$AZ$82,IFERROR(('Final Calculation Sheet'!$V$6)&amp;"","")))))&gt;0))))</f>
        <v>1</v>
      </c>
      <c r="CJ7">
        <f>IF($X$4="",1,--(AND(SUMPRODUCT(--($AS$83:$AZ$83&lt;&gt;""))&gt;0,IF(COUNTIF($BI$83:$BP$83,1)=0,TRUE,SUMPRODUCT(($BI$83:$BP$83=1)*($AS$83:$AZ$83&lt;&gt;"")*IF(((UPPER($AS$83:$AZ$83)="BLANK")+(UPPER($AS$83:$AZ$83)="(BLANK)")+(UPPER($AS$83:$AZ$83)="EMPTY")+(UPPER($AS$83:$AZ$83)="(EMPTY)"))&gt;0,IFERROR(('Final Calculation Sheet'!$W$6)&amp;"","")="",ISNUMBER(SEARCH($AS$83:$AZ$83,IFERROR(('Final Calculation Sheet'!$W$6)&amp;"","")))))&gt;0),IF(COUNTIF($BI$83:$BP$83,2)=0,TRUE,SUMPRODUCT(($BI$83:$BP$83=2)*($AS$83:$AZ$83&lt;&gt;"")*IF(((UPPER($AS$83:$AZ$83)="BLANK")+(UPPER($AS$83:$AZ$83)="(BLANK)")+(UPPER($AS$83:$AZ$83)="EMPTY")+(UPPER($AS$83:$AZ$83)="(EMPTY)"))&gt;0,IFERROR(('Final Calculation Sheet'!$W$6)&amp;"","")="",ISNUMBER(SEARCH($AS$83:$AZ$83,IFERROR(('Final Calculation Sheet'!$W$6)&amp;"","")))))&gt;0),IF(COUNTIF($BI$83:$BP$83,3)=0,TRUE,SUMPRODUCT(($BI$83:$BP$83=3)*($AS$83:$AZ$83&lt;&gt;"")*IF(((UPPER($AS$83:$AZ$83)="BLANK")+(UPPER($AS$83:$AZ$83)="(BLANK)")+(UPPER($AS$83:$AZ$83)="EMPTY")+(UPPER($AS$83:$AZ$83)="(EMPTY)"))&gt;0,IFERROR(('Final Calculation Sheet'!$W$6)&amp;"","")="",ISNUMBER(SEARCH($AS$83:$AZ$83,IFERROR(('Final Calculation Sheet'!$W$6)&amp;"","")))))&gt;0),IF(COUNTIF($BI$83:$BP$83,4)=0,TRUE,SUMPRODUCT(($BI$83:$BP$83=4)*($AS$83:$AZ$83&lt;&gt;"")*IF(((UPPER($AS$83:$AZ$83)="BLANK")+(UPPER($AS$83:$AZ$83)="(BLANK)")+(UPPER($AS$83:$AZ$83)="EMPTY")+(UPPER($AS$83:$AZ$83)="(EMPTY)"))&gt;0,IFERROR(('Final Calculation Sheet'!$W$6)&amp;"","")="",ISNUMBER(SEARCH($AS$83:$AZ$83,IFERROR(('Final Calculation Sheet'!$W$6)&amp;"","")))))&gt;0),IF(COUNTIF($BI$83:$BP$83,5)=0,TRUE,SUMPRODUCT(($BI$83:$BP$83=5)*($AS$83:$AZ$83&lt;&gt;"")*IF(((UPPER($AS$83:$AZ$83)="BLANK")+(UPPER($AS$83:$AZ$83)="(BLANK)")+(UPPER($AS$83:$AZ$83)="EMPTY")+(UPPER($AS$83:$AZ$83)="(EMPTY)"))&gt;0,IFERROR(('Final Calculation Sheet'!$W$6)&amp;"","")="",ISNUMBER(SEARCH($AS$83:$AZ$83,IFERROR(('Final Calculation Sheet'!$W$6)&amp;"","")))))&gt;0),IF(COUNTIF($BI$83:$BP$83,6)=0,TRUE,SUMPRODUCT(($BI$83:$BP$83=6)*($AS$83:$AZ$83&lt;&gt;"")*IF(((UPPER($AS$83:$AZ$83)="BLANK")+(UPPER($AS$83:$AZ$83)="(BLANK)")+(UPPER($AS$83:$AZ$83)="EMPTY")+(UPPER($AS$83:$AZ$83)="(EMPTY)"))&gt;0,IFERROR(('Final Calculation Sheet'!$W$6)&amp;"","")="",ISNUMBER(SEARCH($AS$83:$AZ$83,IFERROR(('Final Calculation Sheet'!$W$6)&amp;"","")))))&gt;0),IF(COUNTIF($BI$83:$BP$83,7)=0,TRUE,SUMPRODUCT(($BI$83:$BP$83=7)*($AS$83:$AZ$83&lt;&gt;"")*IF(((UPPER($AS$83:$AZ$83)="BLANK")+(UPPER($AS$83:$AZ$83)="(BLANK)")+(UPPER($AS$83:$AZ$83)="EMPTY")+(UPPER($AS$83:$AZ$83)="(EMPTY)"))&gt;0,IFERROR(('Final Calculation Sheet'!$W$6)&amp;"","")="",ISNUMBER(SEARCH($AS$83:$AZ$83,IFERROR(('Final Calculation Sheet'!$W$6)&amp;"","")))))&gt;0),IF(COUNTIF($BI$83:$BP$83,8)=0,TRUE,SUMPRODUCT(($BI$83:$BP$83=8)*($AS$83:$AZ$83&lt;&gt;"")*IF(((UPPER($AS$83:$AZ$83)="BLANK")+(UPPER($AS$83:$AZ$83)="(BLANK)")+(UPPER($AS$83:$AZ$83)="EMPTY")+(UPPER($AS$83:$AZ$83)="(EMPTY)"))&gt;0,IFERROR(('Final Calculation Sheet'!$W$6)&amp;"","")="",ISNUMBER(SEARCH($AS$83:$AZ$83,IFERROR(('Final Calculation Sheet'!$W$6)&amp;"","")))))&gt;0))))</f>
        <v>1</v>
      </c>
      <c r="CK7">
        <f>IF($Y$4="",1,--(AND(SUMPRODUCT(--($AS$84:$AZ$84&lt;&gt;""))&gt;0,IF(COUNTIF($BI$84:$BP$84,1)=0,TRUE,SUMPRODUCT(($BI$84:$BP$84=1)*($AS$84:$AZ$84&lt;&gt;"")*IF(((UPPER($AS$84:$AZ$84)="BLANK")+(UPPER($AS$84:$AZ$84)="(BLANK)")+(UPPER($AS$84:$AZ$84)="EMPTY")+(UPPER($AS$84:$AZ$84)="(EMPTY)"))&gt;0,IFERROR(('Final Calculation Sheet'!$X$6)&amp;"","")="",ISNUMBER(SEARCH($AS$84:$AZ$84,IFERROR(('Final Calculation Sheet'!$X$6)&amp;"","")))))&gt;0),IF(COUNTIF($BI$84:$BP$84,2)=0,TRUE,SUMPRODUCT(($BI$84:$BP$84=2)*($AS$84:$AZ$84&lt;&gt;"")*IF(((UPPER($AS$84:$AZ$84)="BLANK")+(UPPER($AS$84:$AZ$84)="(BLANK)")+(UPPER($AS$84:$AZ$84)="EMPTY")+(UPPER($AS$84:$AZ$84)="(EMPTY)"))&gt;0,IFERROR(('Final Calculation Sheet'!$X$6)&amp;"","")="",ISNUMBER(SEARCH($AS$84:$AZ$84,IFERROR(('Final Calculation Sheet'!$X$6)&amp;"","")))))&gt;0),IF(COUNTIF($BI$84:$BP$84,3)=0,TRUE,SUMPRODUCT(($BI$84:$BP$84=3)*($AS$84:$AZ$84&lt;&gt;"")*IF(((UPPER($AS$84:$AZ$84)="BLANK")+(UPPER($AS$84:$AZ$84)="(BLANK)")+(UPPER($AS$84:$AZ$84)="EMPTY")+(UPPER($AS$84:$AZ$84)="(EMPTY)"))&gt;0,IFERROR(('Final Calculation Sheet'!$X$6)&amp;"","")="",ISNUMBER(SEARCH($AS$84:$AZ$84,IFERROR(('Final Calculation Sheet'!$X$6)&amp;"","")))))&gt;0),IF(COUNTIF($BI$84:$BP$84,4)=0,TRUE,SUMPRODUCT(($BI$84:$BP$84=4)*($AS$84:$AZ$84&lt;&gt;"")*IF(((UPPER($AS$84:$AZ$84)="BLANK")+(UPPER($AS$84:$AZ$84)="(BLANK)")+(UPPER($AS$84:$AZ$84)="EMPTY")+(UPPER($AS$84:$AZ$84)="(EMPTY)"))&gt;0,IFERROR(('Final Calculation Sheet'!$X$6)&amp;"","")="",ISNUMBER(SEARCH($AS$84:$AZ$84,IFERROR(('Final Calculation Sheet'!$X$6)&amp;"","")))))&gt;0),IF(COUNTIF($BI$84:$BP$84,5)=0,TRUE,SUMPRODUCT(($BI$84:$BP$84=5)*($AS$84:$AZ$84&lt;&gt;"")*IF(((UPPER($AS$84:$AZ$84)="BLANK")+(UPPER($AS$84:$AZ$84)="(BLANK)")+(UPPER($AS$84:$AZ$84)="EMPTY")+(UPPER($AS$84:$AZ$84)="(EMPTY)"))&gt;0,IFERROR(('Final Calculation Sheet'!$X$6)&amp;"","")="",ISNUMBER(SEARCH($AS$84:$AZ$84,IFERROR(('Final Calculation Sheet'!$X$6)&amp;"","")))))&gt;0),IF(COUNTIF($BI$84:$BP$84,6)=0,TRUE,SUMPRODUCT(($BI$84:$BP$84=6)*($AS$84:$AZ$84&lt;&gt;"")*IF(((UPPER($AS$84:$AZ$84)="BLANK")+(UPPER($AS$84:$AZ$84)="(BLANK)")+(UPPER($AS$84:$AZ$84)="EMPTY")+(UPPER($AS$84:$AZ$84)="(EMPTY)"))&gt;0,IFERROR(('Final Calculation Sheet'!$X$6)&amp;"","")="",ISNUMBER(SEARCH($AS$84:$AZ$84,IFERROR(('Final Calculation Sheet'!$X$6)&amp;"","")))))&gt;0),IF(COUNTIF($BI$84:$BP$84,7)=0,TRUE,SUMPRODUCT(($BI$84:$BP$84=7)*($AS$84:$AZ$84&lt;&gt;"")*IF(((UPPER($AS$84:$AZ$84)="BLANK")+(UPPER($AS$84:$AZ$84)="(BLANK)")+(UPPER($AS$84:$AZ$84)="EMPTY")+(UPPER($AS$84:$AZ$84)="(EMPTY)"))&gt;0,IFERROR(('Final Calculation Sheet'!$X$6)&amp;"","")="",ISNUMBER(SEARCH($AS$84:$AZ$84,IFERROR(('Final Calculation Sheet'!$X$6)&amp;"","")))))&gt;0),IF(COUNTIF($BI$84:$BP$84,8)=0,TRUE,SUMPRODUCT(($BI$84:$BP$84=8)*($AS$84:$AZ$84&lt;&gt;"")*IF(((UPPER($AS$84:$AZ$84)="BLANK")+(UPPER($AS$84:$AZ$84)="(BLANK)")+(UPPER($AS$84:$AZ$84)="EMPTY")+(UPPER($AS$84:$AZ$84)="(EMPTY)"))&gt;0,IFERROR(('Final Calculation Sheet'!$X$6)&amp;"","")="",ISNUMBER(SEARCH($AS$84:$AZ$84,IFERROR(('Final Calculation Sheet'!$X$6)&amp;"","")))))&gt;0))))</f>
        <v>1</v>
      </c>
      <c r="CL7">
        <f>IF($Z$4="",1,--(AND(SUMPRODUCT(--($AS$85:$AZ$85&lt;&gt;""))&gt;0,IF(COUNTIF($BI$85:$BP$85,1)=0,TRUE,SUMPRODUCT(($BI$85:$BP$85=1)*($AS$85:$AZ$85&lt;&gt;"")*IF(((UPPER($AS$85:$AZ$85)="BLANK")+(UPPER($AS$85:$AZ$85)="(BLANK)")+(UPPER($AS$85:$AZ$85)="EMPTY")+(UPPER($AS$85:$AZ$85)="(EMPTY)"))&gt;0,IFERROR(('Final Calculation Sheet'!$Y$6)&amp;"","")="",ISNUMBER(SEARCH($AS$85:$AZ$85,IFERROR(('Final Calculation Sheet'!$Y$6)&amp;"","")))))&gt;0),IF(COUNTIF($BI$85:$BP$85,2)=0,TRUE,SUMPRODUCT(($BI$85:$BP$85=2)*($AS$85:$AZ$85&lt;&gt;"")*IF(((UPPER($AS$85:$AZ$85)="BLANK")+(UPPER($AS$85:$AZ$85)="(BLANK)")+(UPPER($AS$85:$AZ$85)="EMPTY")+(UPPER($AS$85:$AZ$85)="(EMPTY)"))&gt;0,IFERROR(('Final Calculation Sheet'!$Y$6)&amp;"","")="",ISNUMBER(SEARCH($AS$85:$AZ$85,IFERROR(('Final Calculation Sheet'!$Y$6)&amp;"","")))))&gt;0),IF(COUNTIF($BI$85:$BP$85,3)=0,TRUE,SUMPRODUCT(($BI$85:$BP$85=3)*($AS$85:$AZ$85&lt;&gt;"")*IF(((UPPER($AS$85:$AZ$85)="BLANK")+(UPPER($AS$85:$AZ$85)="(BLANK)")+(UPPER($AS$85:$AZ$85)="EMPTY")+(UPPER($AS$85:$AZ$85)="(EMPTY)"))&gt;0,IFERROR(('Final Calculation Sheet'!$Y$6)&amp;"","")="",ISNUMBER(SEARCH($AS$85:$AZ$85,IFERROR(('Final Calculation Sheet'!$Y$6)&amp;"","")))))&gt;0),IF(COUNTIF($BI$85:$BP$85,4)=0,TRUE,SUMPRODUCT(($BI$85:$BP$85=4)*($AS$85:$AZ$85&lt;&gt;"")*IF(((UPPER($AS$85:$AZ$85)="BLANK")+(UPPER($AS$85:$AZ$85)="(BLANK)")+(UPPER($AS$85:$AZ$85)="EMPTY")+(UPPER($AS$85:$AZ$85)="(EMPTY)"))&gt;0,IFERROR(('Final Calculation Sheet'!$Y$6)&amp;"","")="",ISNUMBER(SEARCH($AS$85:$AZ$85,IFERROR(('Final Calculation Sheet'!$Y$6)&amp;"","")))))&gt;0),IF(COUNTIF($BI$85:$BP$85,5)=0,TRUE,SUMPRODUCT(($BI$85:$BP$85=5)*($AS$85:$AZ$85&lt;&gt;"")*IF(((UPPER($AS$85:$AZ$85)="BLANK")+(UPPER($AS$85:$AZ$85)="(BLANK)")+(UPPER($AS$85:$AZ$85)="EMPTY")+(UPPER($AS$85:$AZ$85)="(EMPTY)"))&gt;0,IFERROR(('Final Calculation Sheet'!$Y$6)&amp;"","")="",ISNUMBER(SEARCH($AS$85:$AZ$85,IFERROR(('Final Calculation Sheet'!$Y$6)&amp;"","")))))&gt;0),IF(COUNTIF($BI$85:$BP$85,6)=0,TRUE,SUMPRODUCT(($BI$85:$BP$85=6)*($AS$85:$AZ$85&lt;&gt;"")*IF(((UPPER($AS$85:$AZ$85)="BLANK")+(UPPER($AS$85:$AZ$85)="(BLANK)")+(UPPER($AS$85:$AZ$85)="EMPTY")+(UPPER($AS$85:$AZ$85)="(EMPTY)"))&gt;0,IFERROR(('Final Calculation Sheet'!$Y$6)&amp;"","")="",ISNUMBER(SEARCH($AS$85:$AZ$85,IFERROR(('Final Calculation Sheet'!$Y$6)&amp;"","")))))&gt;0),IF(COUNTIF($BI$85:$BP$85,7)=0,TRUE,SUMPRODUCT(($BI$85:$BP$85=7)*($AS$85:$AZ$85&lt;&gt;"")*IF(((UPPER($AS$85:$AZ$85)="BLANK")+(UPPER($AS$85:$AZ$85)="(BLANK)")+(UPPER($AS$85:$AZ$85)="EMPTY")+(UPPER($AS$85:$AZ$85)="(EMPTY)"))&gt;0,IFERROR(('Final Calculation Sheet'!$Y$6)&amp;"","")="",ISNUMBER(SEARCH($AS$85:$AZ$85,IFERROR(('Final Calculation Sheet'!$Y$6)&amp;"","")))))&gt;0),IF(COUNTIF($BI$85:$BP$85,8)=0,TRUE,SUMPRODUCT(($BI$85:$BP$85=8)*($AS$85:$AZ$85&lt;&gt;"")*IF(((UPPER($AS$85:$AZ$85)="BLANK")+(UPPER($AS$85:$AZ$85)="(BLANK)")+(UPPER($AS$85:$AZ$85)="EMPTY")+(UPPER($AS$85:$AZ$85)="(EMPTY)"))&gt;0,IFERROR(('Final Calculation Sheet'!$Y$6)&amp;"","")="",ISNUMBER(SEARCH($AS$85:$AZ$85,IFERROR(('Final Calculation Sheet'!$Y$6)&amp;"","")))))&gt;0))))</f>
        <v>1</v>
      </c>
      <c r="CM7">
        <f>IF($AA$4="",1,--(AND(SUMPRODUCT(--($AS$86:$AZ$86&lt;&gt;""))&gt;0,IF(COUNTIF($BI$86:$BP$86,1)=0,TRUE,SUMPRODUCT(($BI$86:$BP$86=1)*($AS$86:$AZ$86&lt;&gt;"")*IF(((UPPER($AS$86:$AZ$86)="BLANK")+(UPPER($AS$86:$AZ$86)="(BLANK)")+(UPPER($AS$86:$AZ$86)="EMPTY")+(UPPER($AS$86:$AZ$86)="(EMPTY)"))&gt;0,IFERROR(('Final Calculation Sheet'!$Z$6)&amp;"","")="",ISNUMBER(SEARCH($AS$86:$AZ$86,IFERROR(('Final Calculation Sheet'!$Z$6)&amp;"","")))))&gt;0),IF(COUNTIF($BI$86:$BP$86,2)=0,TRUE,SUMPRODUCT(($BI$86:$BP$86=2)*($AS$86:$AZ$86&lt;&gt;"")*IF(((UPPER($AS$86:$AZ$86)="BLANK")+(UPPER($AS$86:$AZ$86)="(BLANK)")+(UPPER($AS$86:$AZ$86)="EMPTY")+(UPPER($AS$86:$AZ$86)="(EMPTY)"))&gt;0,IFERROR(('Final Calculation Sheet'!$Z$6)&amp;"","")="",ISNUMBER(SEARCH($AS$86:$AZ$86,IFERROR(('Final Calculation Sheet'!$Z$6)&amp;"","")))))&gt;0),IF(COUNTIF($BI$86:$BP$86,3)=0,TRUE,SUMPRODUCT(($BI$86:$BP$86=3)*($AS$86:$AZ$86&lt;&gt;"")*IF(((UPPER($AS$86:$AZ$86)="BLANK")+(UPPER($AS$86:$AZ$86)="(BLANK)")+(UPPER($AS$86:$AZ$86)="EMPTY")+(UPPER($AS$86:$AZ$86)="(EMPTY)"))&gt;0,IFERROR(('Final Calculation Sheet'!$Z$6)&amp;"","")="",ISNUMBER(SEARCH($AS$86:$AZ$86,IFERROR(('Final Calculation Sheet'!$Z$6)&amp;"","")))))&gt;0),IF(COUNTIF($BI$86:$BP$86,4)=0,TRUE,SUMPRODUCT(($BI$86:$BP$86=4)*($AS$86:$AZ$86&lt;&gt;"")*IF(((UPPER($AS$86:$AZ$86)="BLANK")+(UPPER($AS$86:$AZ$86)="(BLANK)")+(UPPER($AS$86:$AZ$86)="EMPTY")+(UPPER($AS$86:$AZ$86)="(EMPTY)"))&gt;0,IFERROR(('Final Calculation Sheet'!$Z$6)&amp;"","")="",ISNUMBER(SEARCH($AS$86:$AZ$86,IFERROR(('Final Calculation Sheet'!$Z$6)&amp;"","")))))&gt;0),IF(COUNTIF($BI$86:$BP$86,5)=0,TRUE,SUMPRODUCT(($BI$86:$BP$86=5)*($AS$86:$AZ$86&lt;&gt;"")*IF(((UPPER($AS$86:$AZ$86)="BLANK")+(UPPER($AS$86:$AZ$86)="(BLANK)")+(UPPER($AS$86:$AZ$86)="EMPTY")+(UPPER($AS$86:$AZ$86)="(EMPTY)"))&gt;0,IFERROR(('Final Calculation Sheet'!$Z$6)&amp;"","")="",ISNUMBER(SEARCH($AS$86:$AZ$86,IFERROR(('Final Calculation Sheet'!$Z$6)&amp;"","")))))&gt;0),IF(COUNTIF($BI$86:$BP$86,6)=0,TRUE,SUMPRODUCT(($BI$86:$BP$86=6)*($AS$86:$AZ$86&lt;&gt;"")*IF(((UPPER($AS$86:$AZ$86)="BLANK")+(UPPER($AS$86:$AZ$86)="(BLANK)")+(UPPER($AS$86:$AZ$86)="EMPTY")+(UPPER($AS$86:$AZ$86)="(EMPTY)"))&gt;0,IFERROR(('Final Calculation Sheet'!$Z$6)&amp;"","")="",ISNUMBER(SEARCH($AS$86:$AZ$86,IFERROR(('Final Calculation Sheet'!$Z$6)&amp;"","")))))&gt;0),IF(COUNTIF($BI$86:$BP$86,7)=0,TRUE,SUMPRODUCT(($BI$86:$BP$86=7)*($AS$86:$AZ$86&lt;&gt;"")*IF(((UPPER($AS$86:$AZ$86)="BLANK")+(UPPER($AS$86:$AZ$86)="(BLANK)")+(UPPER($AS$86:$AZ$86)="EMPTY")+(UPPER($AS$86:$AZ$86)="(EMPTY)"))&gt;0,IFERROR(('Final Calculation Sheet'!$Z$6)&amp;"","")="",ISNUMBER(SEARCH($AS$86:$AZ$86,IFERROR(('Final Calculation Sheet'!$Z$6)&amp;"","")))))&gt;0),IF(COUNTIF($BI$86:$BP$86,8)=0,TRUE,SUMPRODUCT(($BI$86:$BP$86=8)*($AS$86:$AZ$86&lt;&gt;"")*IF(((UPPER($AS$86:$AZ$86)="BLANK")+(UPPER($AS$86:$AZ$86)="(BLANK)")+(UPPER($AS$86:$AZ$86)="EMPTY")+(UPPER($AS$86:$AZ$86)="(EMPTY)"))&gt;0,IFERROR(('Final Calculation Sheet'!$Z$6)&amp;"","")="",ISNUMBER(SEARCH($AS$86:$AZ$86,IFERROR(('Final Calculation Sheet'!$Z$6)&amp;"","")))))&gt;0))))</f>
        <v>1</v>
      </c>
      <c r="CN7">
        <f>IF($AB$4="",1,--(AND(SUMPRODUCT(--($AS$87:$AZ$87&lt;&gt;""))&gt;0,IF(COUNTIF($BI$87:$BP$87,1)=0,TRUE,SUMPRODUCT(($BI$87:$BP$87=1)*($AS$87:$AZ$87&lt;&gt;"")*IF(((UPPER($AS$87:$AZ$87)="BLANK")+(UPPER($AS$87:$AZ$87)="(BLANK)")+(UPPER($AS$87:$AZ$87)="EMPTY")+(UPPER($AS$87:$AZ$87)="(EMPTY)"))&gt;0,IFERROR(('Final Calculation Sheet'!$AA$6)&amp;"","")="",ISNUMBER(SEARCH($AS$87:$AZ$87,IFERROR(('Final Calculation Sheet'!$AA$6)&amp;"","")))))&gt;0),IF(COUNTIF($BI$87:$BP$87,2)=0,TRUE,SUMPRODUCT(($BI$87:$BP$87=2)*($AS$87:$AZ$87&lt;&gt;"")*IF(((UPPER($AS$87:$AZ$87)="BLANK")+(UPPER($AS$87:$AZ$87)="(BLANK)")+(UPPER($AS$87:$AZ$87)="EMPTY")+(UPPER($AS$87:$AZ$87)="(EMPTY)"))&gt;0,IFERROR(('Final Calculation Sheet'!$AA$6)&amp;"","")="",ISNUMBER(SEARCH($AS$87:$AZ$87,IFERROR(('Final Calculation Sheet'!$AA$6)&amp;"","")))))&gt;0),IF(COUNTIF($BI$87:$BP$87,3)=0,TRUE,SUMPRODUCT(($BI$87:$BP$87=3)*($AS$87:$AZ$87&lt;&gt;"")*IF(((UPPER($AS$87:$AZ$87)="BLANK")+(UPPER($AS$87:$AZ$87)="(BLANK)")+(UPPER($AS$87:$AZ$87)="EMPTY")+(UPPER($AS$87:$AZ$87)="(EMPTY)"))&gt;0,IFERROR(('Final Calculation Sheet'!$AA$6)&amp;"","")="",ISNUMBER(SEARCH($AS$87:$AZ$87,IFERROR(('Final Calculation Sheet'!$AA$6)&amp;"","")))))&gt;0),IF(COUNTIF($BI$87:$BP$87,4)=0,TRUE,SUMPRODUCT(($BI$87:$BP$87=4)*($AS$87:$AZ$87&lt;&gt;"")*IF(((UPPER($AS$87:$AZ$87)="BLANK")+(UPPER($AS$87:$AZ$87)="(BLANK)")+(UPPER($AS$87:$AZ$87)="EMPTY")+(UPPER($AS$87:$AZ$87)="(EMPTY)"))&gt;0,IFERROR(('Final Calculation Sheet'!$AA$6)&amp;"","")="",ISNUMBER(SEARCH($AS$87:$AZ$87,IFERROR(('Final Calculation Sheet'!$AA$6)&amp;"","")))))&gt;0),IF(COUNTIF($BI$87:$BP$87,5)=0,TRUE,SUMPRODUCT(($BI$87:$BP$87=5)*($AS$87:$AZ$87&lt;&gt;"")*IF(((UPPER($AS$87:$AZ$87)="BLANK")+(UPPER($AS$87:$AZ$87)="(BLANK)")+(UPPER($AS$87:$AZ$87)="EMPTY")+(UPPER($AS$87:$AZ$87)="(EMPTY)"))&gt;0,IFERROR(('Final Calculation Sheet'!$AA$6)&amp;"","")="",ISNUMBER(SEARCH($AS$87:$AZ$87,IFERROR(('Final Calculation Sheet'!$AA$6)&amp;"","")))))&gt;0),IF(COUNTIF($BI$87:$BP$87,6)=0,TRUE,SUMPRODUCT(($BI$87:$BP$87=6)*($AS$87:$AZ$87&lt;&gt;"")*IF(((UPPER($AS$87:$AZ$87)="BLANK")+(UPPER($AS$87:$AZ$87)="(BLANK)")+(UPPER($AS$87:$AZ$87)="EMPTY")+(UPPER($AS$87:$AZ$87)="(EMPTY)"))&gt;0,IFERROR(('Final Calculation Sheet'!$AA$6)&amp;"","")="",ISNUMBER(SEARCH($AS$87:$AZ$87,IFERROR(('Final Calculation Sheet'!$AA$6)&amp;"","")))))&gt;0),IF(COUNTIF($BI$87:$BP$87,7)=0,TRUE,SUMPRODUCT(($BI$87:$BP$87=7)*($AS$87:$AZ$87&lt;&gt;"")*IF(((UPPER($AS$87:$AZ$87)="BLANK")+(UPPER($AS$87:$AZ$87)="(BLANK)")+(UPPER($AS$87:$AZ$87)="EMPTY")+(UPPER($AS$87:$AZ$87)="(EMPTY)"))&gt;0,IFERROR(('Final Calculation Sheet'!$AA$6)&amp;"","")="",ISNUMBER(SEARCH($AS$87:$AZ$87,IFERROR(('Final Calculation Sheet'!$AA$6)&amp;"","")))))&gt;0),IF(COUNTIF($BI$87:$BP$87,8)=0,TRUE,SUMPRODUCT(($BI$87:$BP$87=8)*($AS$87:$AZ$87&lt;&gt;"")*IF(((UPPER($AS$87:$AZ$87)="BLANK")+(UPPER($AS$87:$AZ$87)="(BLANK)")+(UPPER($AS$87:$AZ$87)="EMPTY")+(UPPER($AS$87:$AZ$87)="(EMPTY)"))&gt;0,IFERROR(('Final Calculation Sheet'!$AA$6)&amp;"","")="",ISNUMBER(SEARCH($AS$87:$AZ$87,IFERROR(('Final Calculation Sheet'!$AA$6)&amp;"","")))))&gt;0))))</f>
        <v>1</v>
      </c>
      <c r="CO7">
        <f>IF($AC$4="",1,--(AND(SUMPRODUCT(--($AS$88:$AZ$88&lt;&gt;""))&gt;0,IF(COUNTIF($BI$88:$BP$88,1)=0,TRUE,SUMPRODUCT(($BI$88:$BP$88=1)*($AS$88:$AZ$88&lt;&gt;"")*IF(((UPPER($AS$88:$AZ$88)="BLANK")+(UPPER($AS$88:$AZ$88)="(BLANK)")+(UPPER($AS$88:$AZ$88)="EMPTY")+(UPPER($AS$88:$AZ$88)="(EMPTY)"))&gt;0,IFERROR(('Final Calculation Sheet'!$AB$6)&amp;"","")="",ISNUMBER(SEARCH($AS$88:$AZ$88,IFERROR(('Final Calculation Sheet'!$AB$6)&amp;"","")))))&gt;0),IF(COUNTIF($BI$88:$BP$88,2)=0,TRUE,SUMPRODUCT(($BI$88:$BP$88=2)*($AS$88:$AZ$88&lt;&gt;"")*IF(((UPPER($AS$88:$AZ$88)="BLANK")+(UPPER($AS$88:$AZ$88)="(BLANK)")+(UPPER($AS$88:$AZ$88)="EMPTY")+(UPPER($AS$88:$AZ$88)="(EMPTY)"))&gt;0,IFERROR(('Final Calculation Sheet'!$AB$6)&amp;"","")="",ISNUMBER(SEARCH($AS$88:$AZ$88,IFERROR(('Final Calculation Sheet'!$AB$6)&amp;"","")))))&gt;0),IF(COUNTIF($BI$88:$BP$88,3)=0,TRUE,SUMPRODUCT(($BI$88:$BP$88=3)*($AS$88:$AZ$88&lt;&gt;"")*IF(((UPPER($AS$88:$AZ$88)="BLANK")+(UPPER($AS$88:$AZ$88)="(BLANK)")+(UPPER($AS$88:$AZ$88)="EMPTY")+(UPPER($AS$88:$AZ$88)="(EMPTY)"))&gt;0,IFERROR(('Final Calculation Sheet'!$AB$6)&amp;"","")="",ISNUMBER(SEARCH($AS$88:$AZ$88,IFERROR(('Final Calculation Sheet'!$AB$6)&amp;"","")))))&gt;0),IF(COUNTIF($BI$88:$BP$88,4)=0,TRUE,SUMPRODUCT(($BI$88:$BP$88=4)*($AS$88:$AZ$88&lt;&gt;"")*IF(((UPPER($AS$88:$AZ$88)="BLANK")+(UPPER($AS$88:$AZ$88)="(BLANK)")+(UPPER($AS$88:$AZ$88)="EMPTY")+(UPPER($AS$88:$AZ$88)="(EMPTY)"))&gt;0,IFERROR(('Final Calculation Sheet'!$AB$6)&amp;"","")="",ISNUMBER(SEARCH($AS$88:$AZ$88,IFERROR(('Final Calculation Sheet'!$AB$6)&amp;"","")))))&gt;0),IF(COUNTIF($BI$88:$BP$88,5)=0,TRUE,SUMPRODUCT(($BI$88:$BP$88=5)*($AS$88:$AZ$88&lt;&gt;"")*IF(((UPPER($AS$88:$AZ$88)="BLANK")+(UPPER($AS$88:$AZ$88)="(BLANK)")+(UPPER($AS$88:$AZ$88)="EMPTY")+(UPPER($AS$88:$AZ$88)="(EMPTY)"))&gt;0,IFERROR(('Final Calculation Sheet'!$AB$6)&amp;"","")="",ISNUMBER(SEARCH($AS$88:$AZ$88,IFERROR(('Final Calculation Sheet'!$AB$6)&amp;"","")))))&gt;0),IF(COUNTIF($BI$88:$BP$88,6)=0,TRUE,SUMPRODUCT(($BI$88:$BP$88=6)*($AS$88:$AZ$88&lt;&gt;"")*IF(((UPPER($AS$88:$AZ$88)="BLANK")+(UPPER($AS$88:$AZ$88)="(BLANK)")+(UPPER($AS$88:$AZ$88)="EMPTY")+(UPPER($AS$88:$AZ$88)="(EMPTY)"))&gt;0,IFERROR(('Final Calculation Sheet'!$AB$6)&amp;"","")="",ISNUMBER(SEARCH($AS$88:$AZ$88,IFERROR(('Final Calculation Sheet'!$AB$6)&amp;"","")))))&gt;0),IF(COUNTIF($BI$88:$BP$88,7)=0,TRUE,SUMPRODUCT(($BI$88:$BP$88=7)*($AS$88:$AZ$88&lt;&gt;"")*IF(((UPPER($AS$88:$AZ$88)="BLANK")+(UPPER($AS$88:$AZ$88)="(BLANK)")+(UPPER($AS$88:$AZ$88)="EMPTY")+(UPPER($AS$88:$AZ$88)="(EMPTY)"))&gt;0,IFERROR(('Final Calculation Sheet'!$AB$6)&amp;"","")="",ISNUMBER(SEARCH($AS$88:$AZ$88,IFERROR(('Final Calculation Sheet'!$AB$6)&amp;"","")))))&gt;0),IF(COUNTIF($BI$88:$BP$88,8)=0,TRUE,SUMPRODUCT(($BI$88:$BP$88=8)*($AS$88:$AZ$88&lt;&gt;"")*IF(((UPPER($AS$88:$AZ$88)="BLANK")+(UPPER($AS$88:$AZ$88)="(BLANK)")+(UPPER($AS$88:$AZ$88)="EMPTY")+(UPPER($AS$88:$AZ$88)="(EMPTY)"))&gt;0,IFERROR(('Final Calculation Sheet'!$AB$6)&amp;"","")="",ISNUMBER(SEARCH($AS$88:$AZ$88,IFERROR(('Final Calculation Sheet'!$AB$6)&amp;"","")))))&gt;0))))</f>
        <v>1</v>
      </c>
      <c r="CP7">
        <f>IF($AD$4="",1,--(AND(SUMPRODUCT(--($AS$89:$AZ$89&lt;&gt;""))&gt;0,IF(COUNTIF($BI$89:$BP$89,1)=0,TRUE,SUMPRODUCT(($BI$89:$BP$89=1)*($AS$89:$AZ$89&lt;&gt;"")*IF(((UPPER($AS$89:$AZ$89)="BLANK")+(UPPER($AS$89:$AZ$89)="(BLANK)")+(UPPER($AS$89:$AZ$89)="EMPTY")+(UPPER($AS$89:$AZ$89)="(EMPTY)"))&gt;0,IFERROR(('Final Calculation Sheet'!$AC$6)&amp;"","")="",ISNUMBER(SEARCH($AS$89:$AZ$89,IFERROR(('Final Calculation Sheet'!$AC$6)&amp;"","")))))&gt;0),IF(COUNTIF($BI$89:$BP$89,2)=0,TRUE,SUMPRODUCT(($BI$89:$BP$89=2)*($AS$89:$AZ$89&lt;&gt;"")*IF(((UPPER($AS$89:$AZ$89)="BLANK")+(UPPER($AS$89:$AZ$89)="(BLANK)")+(UPPER($AS$89:$AZ$89)="EMPTY")+(UPPER($AS$89:$AZ$89)="(EMPTY)"))&gt;0,IFERROR(('Final Calculation Sheet'!$AC$6)&amp;"","")="",ISNUMBER(SEARCH($AS$89:$AZ$89,IFERROR(('Final Calculation Sheet'!$AC$6)&amp;"","")))))&gt;0),IF(COUNTIF($BI$89:$BP$89,3)=0,TRUE,SUMPRODUCT(($BI$89:$BP$89=3)*($AS$89:$AZ$89&lt;&gt;"")*IF(((UPPER($AS$89:$AZ$89)="BLANK")+(UPPER($AS$89:$AZ$89)="(BLANK)")+(UPPER($AS$89:$AZ$89)="EMPTY")+(UPPER($AS$89:$AZ$89)="(EMPTY)"))&gt;0,IFERROR(('Final Calculation Sheet'!$AC$6)&amp;"","")="",ISNUMBER(SEARCH($AS$89:$AZ$89,IFERROR(('Final Calculation Sheet'!$AC$6)&amp;"","")))))&gt;0),IF(COUNTIF($BI$89:$BP$89,4)=0,TRUE,SUMPRODUCT(($BI$89:$BP$89=4)*($AS$89:$AZ$89&lt;&gt;"")*IF(((UPPER($AS$89:$AZ$89)="BLANK")+(UPPER($AS$89:$AZ$89)="(BLANK)")+(UPPER($AS$89:$AZ$89)="EMPTY")+(UPPER($AS$89:$AZ$89)="(EMPTY)"))&gt;0,IFERROR(('Final Calculation Sheet'!$AC$6)&amp;"","")="",ISNUMBER(SEARCH($AS$89:$AZ$89,IFERROR(('Final Calculation Sheet'!$AC$6)&amp;"","")))))&gt;0),IF(COUNTIF($BI$89:$BP$89,5)=0,TRUE,SUMPRODUCT(($BI$89:$BP$89=5)*($AS$89:$AZ$89&lt;&gt;"")*IF(((UPPER($AS$89:$AZ$89)="BLANK")+(UPPER($AS$89:$AZ$89)="(BLANK)")+(UPPER($AS$89:$AZ$89)="EMPTY")+(UPPER($AS$89:$AZ$89)="(EMPTY)"))&gt;0,IFERROR(('Final Calculation Sheet'!$AC$6)&amp;"","")="",ISNUMBER(SEARCH($AS$89:$AZ$89,IFERROR(('Final Calculation Sheet'!$AC$6)&amp;"","")))))&gt;0),IF(COUNTIF($BI$89:$BP$89,6)=0,TRUE,SUMPRODUCT(($BI$89:$BP$89=6)*($AS$89:$AZ$89&lt;&gt;"")*IF(((UPPER($AS$89:$AZ$89)="BLANK")+(UPPER($AS$89:$AZ$89)="(BLANK)")+(UPPER($AS$89:$AZ$89)="EMPTY")+(UPPER($AS$89:$AZ$89)="(EMPTY)"))&gt;0,IFERROR(('Final Calculation Sheet'!$AC$6)&amp;"","")="",ISNUMBER(SEARCH($AS$89:$AZ$89,IFERROR(('Final Calculation Sheet'!$AC$6)&amp;"","")))))&gt;0),IF(COUNTIF($BI$89:$BP$89,7)=0,TRUE,SUMPRODUCT(($BI$89:$BP$89=7)*($AS$89:$AZ$89&lt;&gt;"")*IF(((UPPER($AS$89:$AZ$89)="BLANK")+(UPPER($AS$89:$AZ$89)="(BLANK)")+(UPPER($AS$89:$AZ$89)="EMPTY")+(UPPER($AS$89:$AZ$89)="(EMPTY)"))&gt;0,IFERROR(('Final Calculation Sheet'!$AC$6)&amp;"","")="",ISNUMBER(SEARCH($AS$89:$AZ$89,IFERROR(('Final Calculation Sheet'!$AC$6)&amp;"","")))))&gt;0),IF(COUNTIF($BI$89:$BP$89,8)=0,TRUE,SUMPRODUCT(($BI$89:$BP$89=8)*($AS$89:$AZ$89&lt;&gt;"")*IF(((UPPER($AS$89:$AZ$89)="BLANK")+(UPPER($AS$89:$AZ$89)="(BLANK)")+(UPPER($AS$89:$AZ$89)="EMPTY")+(UPPER($AS$89:$AZ$89)="(EMPTY)"))&gt;0,IFERROR(('Final Calculation Sheet'!$AC$6)&amp;"","")="",ISNUMBER(SEARCH($AS$89:$AZ$89,IFERROR(('Final Calculation Sheet'!$AC$6)&amp;"","")))))&gt;0))))</f>
        <v>1</v>
      </c>
      <c r="CQ7">
        <f>IF($AE$4="",1,--(AND(SUMPRODUCT(--($AS$90:$AZ$90&lt;&gt;""))&gt;0,IF(COUNTIF($BI$90:$BP$90,1)=0,TRUE,SUMPRODUCT(($BI$90:$BP$90=1)*($AS$90:$AZ$90&lt;&gt;"")*IF(((UPPER($AS$90:$AZ$90)="BLANK")+(UPPER($AS$90:$AZ$90)="(BLANK)")+(UPPER($AS$90:$AZ$90)="EMPTY")+(UPPER($AS$90:$AZ$90)="(EMPTY)"))&gt;0,IFERROR(('Final Calculation Sheet'!$AD$6)&amp;"","")="",ISNUMBER(SEARCH($AS$90:$AZ$90,IFERROR(('Final Calculation Sheet'!$AD$6)&amp;"","")))))&gt;0),IF(COUNTIF($BI$90:$BP$90,2)=0,TRUE,SUMPRODUCT(($BI$90:$BP$90=2)*($AS$90:$AZ$90&lt;&gt;"")*IF(((UPPER($AS$90:$AZ$90)="BLANK")+(UPPER($AS$90:$AZ$90)="(BLANK)")+(UPPER($AS$90:$AZ$90)="EMPTY")+(UPPER($AS$90:$AZ$90)="(EMPTY)"))&gt;0,IFERROR(('Final Calculation Sheet'!$AD$6)&amp;"","")="",ISNUMBER(SEARCH($AS$90:$AZ$90,IFERROR(('Final Calculation Sheet'!$AD$6)&amp;"","")))))&gt;0),IF(COUNTIF($BI$90:$BP$90,3)=0,TRUE,SUMPRODUCT(($BI$90:$BP$90=3)*($AS$90:$AZ$90&lt;&gt;"")*IF(((UPPER($AS$90:$AZ$90)="BLANK")+(UPPER($AS$90:$AZ$90)="(BLANK)")+(UPPER($AS$90:$AZ$90)="EMPTY")+(UPPER($AS$90:$AZ$90)="(EMPTY)"))&gt;0,IFERROR(('Final Calculation Sheet'!$AD$6)&amp;"","")="",ISNUMBER(SEARCH($AS$90:$AZ$90,IFERROR(('Final Calculation Sheet'!$AD$6)&amp;"","")))))&gt;0),IF(COUNTIF($BI$90:$BP$90,4)=0,TRUE,SUMPRODUCT(($BI$90:$BP$90=4)*($AS$90:$AZ$90&lt;&gt;"")*IF(((UPPER($AS$90:$AZ$90)="BLANK")+(UPPER($AS$90:$AZ$90)="(BLANK)")+(UPPER($AS$90:$AZ$90)="EMPTY")+(UPPER($AS$90:$AZ$90)="(EMPTY)"))&gt;0,IFERROR(('Final Calculation Sheet'!$AD$6)&amp;"","")="",ISNUMBER(SEARCH($AS$90:$AZ$90,IFERROR(('Final Calculation Sheet'!$AD$6)&amp;"","")))))&gt;0),IF(COUNTIF($BI$90:$BP$90,5)=0,TRUE,SUMPRODUCT(($BI$90:$BP$90=5)*($AS$90:$AZ$90&lt;&gt;"")*IF(((UPPER($AS$90:$AZ$90)="BLANK")+(UPPER($AS$90:$AZ$90)="(BLANK)")+(UPPER($AS$90:$AZ$90)="EMPTY")+(UPPER($AS$90:$AZ$90)="(EMPTY)"))&gt;0,IFERROR(('Final Calculation Sheet'!$AD$6)&amp;"","")="",ISNUMBER(SEARCH($AS$90:$AZ$90,IFERROR(('Final Calculation Sheet'!$AD$6)&amp;"","")))))&gt;0),IF(COUNTIF($BI$90:$BP$90,6)=0,TRUE,SUMPRODUCT(($BI$90:$BP$90=6)*($AS$90:$AZ$90&lt;&gt;"")*IF(((UPPER($AS$90:$AZ$90)="BLANK")+(UPPER($AS$90:$AZ$90)="(BLANK)")+(UPPER($AS$90:$AZ$90)="EMPTY")+(UPPER($AS$90:$AZ$90)="(EMPTY)"))&gt;0,IFERROR(('Final Calculation Sheet'!$AD$6)&amp;"","")="",ISNUMBER(SEARCH($AS$90:$AZ$90,IFERROR(('Final Calculation Sheet'!$AD$6)&amp;"","")))))&gt;0),IF(COUNTIF($BI$90:$BP$90,7)=0,TRUE,SUMPRODUCT(($BI$90:$BP$90=7)*($AS$90:$AZ$90&lt;&gt;"")*IF(((UPPER($AS$90:$AZ$90)="BLANK")+(UPPER($AS$90:$AZ$90)="(BLANK)")+(UPPER($AS$90:$AZ$90)="EMPTY")+(UPPER($AS$90:$AZ$90)="(EMPTY)"))&gt;0,IFERROR(('Final Calculation Sheet'!$AD$6)&amp;"","")="",ISNUMBER(SEARCH($AS$90:$AZ$90,IFERROR(('Final Calculation Sheet'!$AD$6)&amp;"","")))))&gt;0),IF(COUNTIF($BI$90:$BP$90,8)=0,TRUE,SUMPRODUCT(($BI$90:$BP$90=8)*($AS$90:$AZ$90&lt;&gt;"")*IF(((UPPER($AS$90:$AZ$90)="BLANK")+(UPPER($AS$90:$AZ$90)="(BLANK)")+(UPPER($AS$90:$AZ$90)="EMPTY")+(UPPER($AS$90:$AZ$90)="(EMPTY)"))&gt;0,IFERROR(('Final Calculation Sheet'!$AD$6)&amp;"","")="",ISNUMBER(SEARCH($AS$90:$AZ$90,IFERROR(('Final Calculation Sheet'!$AD$6)&amp;"","")))))&gt;0))))</f>
        <v>1</v>
      </c>
      <c r="CR7">
        <f>IF($AF$4="",1,--(AND(SUMPRODUCT(--($AS$91:$AZ$91&lt;&gt;""))&gt;0,IF(COUNTIF($BI$91:$BP$91,1)=0,TRUE,SUMPRODUCT(($BI$91:$BP$91=1)*($AS$91:$AZ$91&lt;&gt;"")*IF(((UPPER($AS$91:$AZ$91)="BLANK")+(UPPER($AS$91:$AZ$91)="(BLANK)")+(UPPER($AS$91:$AZ$91)="EMPTY")+(UPPER($AS$91:$AZ$91)="(EMPTY)"))&gt;0,IFERROR(('Final Calculation Sheet'!$AE$6)&amp;"","")="",ISNUMBER(SEARCH($AS$91:$AZ$91,IFERROR(('Final Calculation Sheet'!$AE$6)&amp;"","")))))&gt;0),IF(COUNTIF($BI$91:$BP$91,2)=0,TRUE,SUMPRODUCT(($BI$91:$BP$91=2)*($AS$91:$AZ$91&lt;&gt;"")*IF(((UPPER($AS$91:$AZ$91)="BLANK")+(UPPER($AS$91:$AZ$91)="(BLANK)")+(UPPER($AS$91:$AZ$91)="EMPTY")+(UPPER($AS$91:$AZ$91)="(EMPTY)"))&gt;0,IFERROR(('Final Calculation Sheet'!$AE$6)&amp;"","")="",ISNUMBER(SEARCH($AS$91:$AZ$91,IFERROR(('Final Calculation Sheet'!$AE$6)&amp;"","")))))&gt;0),IF(COUNTIF($BI$91:$BP$91,3)=0,TRUE,SUMPRODUCT(($BI$91:$BP$91=3)*($AS$91:$AZ$91&lt;&gt;"")*IF(((UPPER($AS$91:$AZ$91)="BLANK")+(UPPER($AS$91:$AZ$91)="(BLANK)")+(UPPER($AS$91:$AZ$91)="EMPTY")+(UPPER($AS$91:$AZ$91)="(EMPTY)"))&gt;0,IFERROR(('Final Calculation Sheet'!$AE$6)&amp;"","")="",ISNUMBER(SEARCH($AS$91:$AZ$91,IFERROR(('Final Calculation Sheet'!$AE$6)&amp;"","")))))&gt;0),IF(COUNTIF($BI$91:$BP$91,4)=0,TRUE,SUMPRODUCT(($BI$91:$BP$91=4)*($AS$91:$AZ$91&lt;&gt;"")*IF(((UPPER($AS$91:$AZ$91)="BLANK")+(UPPER($AS$91:$AZ$91)="(BLANK)")+(UPPER($AS$91:$AZ$91)="EMPTY")+(UPPER($AS$91:$AZ$91)="(EMPTY)"))&gt;0,IFERROR(('Final Calculation Sheet'!$AE$6)&amp;"","")="",ISNUMBER(SEARCH($AS$91:$AZ$91,IFERROR(('Final Calculation Sheet'!$AE$6)&amp;"","")))))&gt;0),IF(COUNTIF($BI$91:$BP$91,5)=0,TRUE,SUMPRODUCT(($BI$91:$BP$91=5)*($AS$91:$AZ$91&lt;&gt;"")*IF(((UPPER($AS$91:$AZ$91)="BLANK")+(UPPER($AS$91:$AZ$91)="(BLANK)")+(UPPER($AS$91:$AZ$91)="EMPTY")+(UPPER($AS$91:$AZ$91)="(EMPTY)"))&gt;0,IFERROR(('Final Calculation Sheet'!$AE$6)&amp;"","")="",ISNUMBER(SEARCH($AS$91:$AZ$91,IFERROR(('Final Calculation Sheet'!$AE$6)&amp;"","")))))&gt;0),IF(COUNTIF($BI$91:$BP$91,6)=0,TRUE,SUMPRODUCT(($BI$91:$BP$91=6)*($AS$91:$AZ$91&lt;&gt;"")*IF(((UPPER($AS$91:$AZ$91)="BLANK")+(UPPER($AS$91:$AZ$91)="(BLANK)")+(UPPER($AS$91:$AZ$91)="EMPTY")+(UPPER($AS$91:$AZ$91)="(EMPTY)"))&gt;0,IFERROR(('Final Calculation Sheet'!$AE$6)&amp;"","")="",ISNUMBER(SEARCH($AS$91:$AZ$91,IFERROR(('Final Calculation Sheet'!$AE$6)&amp;"","")))))&gt;0),IF(COUNTIF($BI$91:$BP$91,7)=0,TRUE,SUMPRODUCT(($BI$91:$BP$91=7)*($AS$91:$AZ$91&lt;&gt;"")*IF(((UPPER($AS$91:$AZ$91)="BLANK")+(UPPER($AS$91:$AZ$91)="(BLANK)")+(UPPER($AS$91:$AZ$91)="EMPTY")+(UPPER($AS$91:$AZ$91)="(EMPTY)"))&gt;0,IFERROR(('Final Calculation Sheet'!$AE$6)&amp;"","")="",ISNUMBER(SEARCH($AS$91:$AZ$91,IFERROR(('Final Calculation Sheet'!$AE$6)&amp;"","")))))&gt;0),IF(COUNTIF($BI$91:$BP$91,8)=0,TRUE,SUMPRODUCT(($BI$91:$BP$91=8)*($AS$91:$AZ$91&lt;&gt;"")*IF(((UPPER($AS$91:$AZ$91)="BLANK")+(UPPER($AS$91:$AZ$91)="(BLANK)")+(UPPER($AS$91:$AZ$91)="EMPTY")+(UPPER($AS$91:$AZ$91)="(EMPTY)"))&gt;0,IFERROR(('Final Calculation Sheet'!$AE$6)&amp;"","")="",ISNUMBER(SEARCH($AS$91:$AZ$91,IFERROR(('Final Calculation Sheet'!$AE$6)&amp;"","")))))&gt;0))))</f>
        <v>1</v>
      </c>
      <c r="CS7">
        <f>IF($AG$4="",1,--(AND(SUMPRODUCT(--($AS$92:$AZ$92&lt;&gt;""))&gt;0,IF(COUNTIF($BI$92:$BP$92,1)=0,TRUE,SUMPRODUCT(($BI$92:$BP$92=1)*($AS$92:$AZ$92&lt;&gt;"")*IF(((UPPER($AS$92:$AZ$92)="BLANK")+(UPPER($AS$92:$AZ$92)="(BLANK)")+(UPPER($AS$92:$AZ$92)="EMPTY")+(UPPER($AS$92:$AZ$92)="(EMPTY)"))&gt;0,IFERROR(('Final Calculation Sheet'!$AF$6)&amp;"","")="",ISNUMBER(SEARCH($AS$92:$AZ$92,IFERROR(('Final Calculation Sheet'!$AF$6)&amp;"","")))))&gt;0),IF(COUNTIF($BI$92:$BP$92,2)=0,TRUE,SUMPRODUCT(($BI$92:$BP$92=2)*($AS$92:$AZ$92&lt;&gt;"")*IF(((UPPER($AS$92:$AZ$92)="BLANK")+(UPPER($AS$92:$AZ$92)="(BLANK)")+(UPPER($AS$92:$AZ$92)="EMPTY")+(UPPER($AS$92:$AZ$92)="(EMPTY)"))&gt;0,IFERROR(('Final Calculation Sheet'!$AF$6)&amp;"","")="",ISNUMBER(SEARCH($AS$92:$AZ$92,IFERROR(('Final Calculation Sheet'!$AF$6)&amp;"","")))))&gt;0),IF(COUNTIF($BI$92:$BP$92,3)=0,TRUE,SUMPRODUCT(($BI$92:$BP$92=3)*($AS$92:$AZ$92&lt;&gt;"")*IF(((UPPER($AS$92:$AZ$92)="BLANK")+(UPPER($AS$92:$AZ$92)="(BLANK)")+(UPPER($AS$92:$AZ$92)="EMPTY")+(UPPER($AS$92:$AZ$92)="(EMPTY)"))&gt;0,IFERROR(('Final Calculation Sheet'!$AF$6)&amp;"","")="",ISNUMBER(SEARCH($AS$92:$AZ$92,IFERROR(('Final Calculation Sheet'!$AF$6)&amp;"","")))))&gt;0),IF(COUNTIF($BI$92:$BP$92,4)=0,TRUE,SUMPRODUCT(($BI$92:$BP$92=4)*($AS$92:$AZ$92&lt;&gt;"")*IF(((UPPER($AS$92:$AZ$92)="BLANK")+(UPPER($AS$92:$AZ$92)="(BLANK)")+(UPPER($AS$92:$AZ$92)="EMPTY")+(UPPER($AS$92:$AZ$92)="(EMPTY)"))&gt;0,IFERROR(('Final Calculation Sheet'!$AF$6)&amp;"","")="",ISNUMBER(SEARCH($AS$92:$AZ$92,IFERROR(('Final Calculation Sheet'!$AF$6)&amp;"","")))))&gt;0),IF(COUNTIF($BI$92:$BP$92,5)=0,TRUE,SUMPRODUCT(($BI$92:$BP$92=5)*($AS$92:$AZ$92&lt;&gt;"")*IF(((UPPER($AS$92:$AZ$92)="BLANK")+(UPPER($AS$92:$AZ$92)="(BLANK)")+(UPPER($AS$92:$AZ$92)="EMPTY")+(UPPER($AS$92:$AZ$92)="(EMPTY)"))&gt;0,IFERROR(('Final Calculation Sheet'!$AF$6)&amp;"","")="",ISNUMBER(SEARCH($AS$92:$AZ$92,IFERROR(('Final Calculation Sheet'!$AF$6)&amp;"","")))))&gt;0),IF(COUNTIF($BI$92:$BP$92,6)=0,TRUE,SUMPRODUCT(($BI$92:$BP$92=6)*($AS$92:$AZ$92&lt;&gt;"")*IF(((UPPER($AS$92:$AZ$92)="BLANK")+(UPPER($AS$92:$AZ$92)="(BLANK)")+(UPPER($AS$92:$AZ$92)="EMPTY")+(UPPER($AS$92:$AZ$92)="(EMPTY)"))&gt;0,IFERROR(('Final Calculation Sheet'!$AF$6)&amp;"","")="",ISNUMBER(SEARCH($AS$92:$AZ$92,IFERROR(('Final Calculation Sheet'!$AF$6)&amp;"","")))))&gt;0),IF(COUNTIF($BI$92:$BP$92,7)=0,TRUE,SUMPRODUCT(($BI$92:$BP$92=7)*($AS$92:$AZ$92&lt;&gt;"")*IF(((UPPER($AS$92:$AZ$92)="BLANK")+(UPPER($AS$92:$AZ$92)="(BLANK)")+(UPPER($AS$92:$AZ$92)="EMPTY")+(UPPER($AS$92:$AZ$92)="(EMPTY)"))&gt;0,IFERROR(('Final Calculation Sheet'!$AF$6)&amp;"","")="",ISNUMBER(SEARCH($AS$92:$AZ$92,IFERROR(('Final Calculation Sheet'!$AF$6)&amp;"","")))))&gt;0),IF(COUNTIF($BI$92:$BP$92,8)=0,TRUE,SUMPRODUCT(($BI$92:$BP$92=8)*($AS$92:$AZ$92&lt;&gt;"")*IF(((UPPER($AS$92:$AZ$92)="BLANK")+(UPPER($AS$92:$AZ$92)="(BLANK)")+(UPPER($AS$92:$AZ$92)="EMPTY")+(UPPER($AS$92:$AZ$92)="(EMPTY)"))&gt;0,IFERROR(('Final Calculation Sheet'!$AF$6)&amp;"","")="",ISNUMBER(SEARCH($AS$92:$AZ$92,IFERROR(('Final Calculation Sheet'!$AF$6)&amp;"","")))))&gt;0))))</f>
        <v>1</v>
      </c>
      <c r="CT7">
        <f>IF($AH$4="",1,--(AND(SUMPRODUCT(--($AS$93:$AZ$93&lt;&gt;""))&gt;0,IF(COUNTIF($BI$93:$BP$93,1)=0,TRUE,SUMPRODUCT(($BI$93:$BP$93=1)*($AS$93:$AZ$93&lt;&gt;"")*IF(((UPPER($AS$93:$AZ$93)="BLANK")+(UPPER($AS$93:$AZ$93)="(BLANK)")+(UPPER($AS$93:$AZ$93)="EMPTY")+(UPPER($AS$93:$AZ$93)="(EMPTY)"))&gt;0,IFERROR(('Final Calculation Sheet'!$AG$6)&amp;"","")="",ISNUMBER(SEARCH($AS$93:$AZ$93,IFERROR(('Final Calculation Sheet'!$AG$6)&amp;"","")))))&gt;0),IF(COUNTIF($BI$93:$BP$93,2)=0,TRUE,SUMPRODUCT(($BI$93:$BP$93=2)*($AS$93:$AZ$93&lt;&gt;"")*IF(((UPPER($AS$93:$AZ$93)="BLANK")+(UPPER($AS$93:$AZ$93)="(BLANK)")+(UPPER($AS$93:$AZ$93)="EMPTY")+(UPPER($AS$93:$AZ$93)="(EMPTY)"))&gt;0,IFERROR(('Final Calculation Sheet'!$AG$6)&amp;"","")="",ISNUMBER(SEARCH($AS$93:$AZ$93,IFERROR(('Final Calculation Sheet'!$AG$6)&amp;"","")))))&gt;0),IF(COUNTIF($BI$93:$BP$93,3)=0,TRUE,SUMPRODUCT(($BI$93:$BP$93=3)*($AS$93:$AZ$93&lt;&gt;"")*IF(((UPPER($AS$93:$AZ$93)="BLANK")+(UPPER($AS$93:$AZ$93)="(BLANK)")+(UPPER($AS$93:$AZ$93)="EMPTY")+(UPPER($AS$93:$AZ$93)="(EMPTY)"))&gt;0,IFERROR(('Final Calculation Sheet'!$AG$6)&amp;"","")="",ISNUMBER(SEARCH($AS$93:$AZ$93,IFERROR(('Final Calculation Sheet'!$AG$6)&amp;"","")))))&gt;0),IF(COUNTIF($BI$93:$BP$93,4)=0,TRUE,SUMPRODUCT(($BI$93:$BP$93=4)*($AS$93:$AZ$93&lt;&gt;"")*IF(((UPPER($AS$93:$AZ$93)="BLANK")+(UPPER($AS$93:$AZ$93)="(BLANK)")+(UPPER($AS$93:$AZ$93)="EMPTY")+(UPPER($AS$93:$AZ$93)="(EMPTY)"))&gt;0,IFERROR(('Final Calculation Sheet'!$AG$6)&amp;"","")="",ISNUMBER(SEARCH($AS$93:$AZ$93,IFERROR(('Final Calculation Sheet'!$AG$6)&amp;"","")))))&gt;0),IF(COUNTIF($BI$93:$BP$93,5)=0,TRUE,SUMPRODUCT(($BI$93:$BP$93=5)*($AS$93:$AZ$93&lt;&gt;"")*IF(((UPPER($AS$93:$AZ$93)="BLANK")+(UPPER($AS$93:$AZ$93)="(BLANK)")+(UPPER($AS$93:$AZ$93)="EMPTY")+(UPPER($AS$93:$AZ$93)="(EMPTY)"))&gt;0,IFERROR(('Final Calculation Sheet'!$AG$6)&amp;"","")="",ISNUMBER(SEARCH($AS$93:$AZ$93,IFERROR(('Final Calculation Sheet'!$AG$6)&amp;"","")))))&gt;0),IF(COUNTIF($BI$93:$BP$93,6)=0,TRUE,SUMPRODUCT(($BI$93:$BP$93=6)*($AS$93:$AZ$93&lt;&gt;"")*IF(((UPPER($AS$93:$AZ$93)="BLANK")+(UPPER($AS$93:$AZ$93)="(BLANK)")+(UPPER($AS$93:$AZ$93)="EMPTY")+(UPPER($AS$93:$AZ$93)="(EMPTY)"))&gt;0,IFERROR(('Final Calculation Sheet'!$AG$6)&amp;"","")="",ISNUMBER(SEARCH($AS$93:$AZ$93,IFERROR(('Final Calculation Sheet'!$AG$6)&amp;"","")))))&gt;0),IF(COUNTIF($BI$93:$BP$93,7)=0,TRUE,SUMPRODUCT(($BI$93:$BP$93=7)*($AS$93:$AZ$93&lt;&gt;"")*IF(((UPPER($AS$93:$AZ$93)="BLANK")+(UPPER($AS$93:$AZ$93)="(BLANK)")+(UPPER($AS$93:$AZ$93)="EMPTY")+(UPPER($AS$93:$AZ$93)="(EMPTY)"))&gt;0,IFERROR(('Final Calculation Sheet'!$AG$6)&amp;"","")="",ISNUMBER(SEARCH($AS$93:$AZ$93,IFERROR(('Final Calculation Sheet'!$AG$6)&amp;"","")))))&gt;0),IF(COUNTIF($BI$93:$BP$93,8)=0,TRUE,SUMPRODUCT(($BI$93:$BP$93=8)*($AS$93:$AZ$93&lt;&gt;"")*IF(((UPPER($AS$93:$AZ$93)="BLANK")+(UPPER($AS$93:$AZ$93)="(BLANK)")+(UPPER($AS$93:$AZ$93)="EMPTY")+(UPPER($AS$93:$AZ$93)="(EMPTY)"))&gt;0,IFERROR(('Final Calculation Sheet'!$AG$6)&amp;"","")="",ISNUMBER(SEARCH($AS$93:$AZ$93,IFERROR(('Final Calculation Sheet'!$AG$6)&amp;"","")))))&gt;0))))</f>
        <v>1</v>
      </c>
      <c r="CU7">
        <f>IF($AI$4="",1,--(AND(SUMPRODUCT(--($AS$94:$AZ$94&lt;&gt;""))&gt;0,IF(COUNTIF($BI$94:$BP$94,1)=0,TRUE,SUMPRODUCT(($BI$94:$BP$94=1)*($AS$94:$AZ$94&lt;&gt;"")*IF(((UPPER($AS$94:$AZ$94)="BLANK")+(UPPER($AS$94:$AZ$94)="(BLANK)")+(UPPER($AS$94:$AZ$94)="EMPTY")+(UPPER($AS$94:$AZ$94)="(EMPTY)"))&gt;0,IFERROR((IF('Final Calculation Sheet'!$AD$6&lt;=0,"SETTLED","OUTSTANDING"))&amp;"","")="",ISNUMBER(SEARCH($AS$94:$AZ$94,IFERROR((IF('Final Calculation Sheet'!$AD$6&lt;=0,"SETTLED","OUTSTANDING"))&amp;"","")))))&gt;0),IF(COUNTIF($BI$94:$BP$94,2)=0,TRUE,SUMPRODUCT(($BI$94:$BP$94=2)*($AS$94:$AZ$94&lt;&gt;"")*IF(((UPPER($AS$94:$AZ$94)="BLANK")+(UPPER($AS$94:$AZ$94)="(BLANK)")+(UPPER($AS$94:$AZ$94)="EMPTY")+(UPPER($AS$94:$AZ$94)="(EMPTY)"))&gt;0,IFERROR((IF('Final Calculation Sheet'!$AD$6&lt;=0,"SETTLED","OUTSTANDING"))&amp;"","")="",ISNUMBER(SEARCH($AS$94:$AZ$94,IFERROR((IF('Final Calculation Sheet'!$AD$6&lt;=0,"SETTLED","OUTSTANDING"))&amp;"","")))))&gt;0),IF(COUNTIF($BI$94:$BP$94,3)=0,TRUE,SUMPRODUCT(($BI$94:$BP$94=3)*($AS$94:$AZ$94&lt;&gt;"")*IF(((UPPER($AS$94:$AZ$94)="BLANK")+(UPPER($AS$94:$AZ$94)="(BLANK)")+(UPPER($AS$94:$AZ$94)="EMPTY")+(UPPER($AS$94:$AZ$94)="(EMPTY)"))&gt;0,IFERROR((IF('Final Calculation Sheet'!$AD$6&lt;=0,"SETTLED","OUTSTANDING"))&amp;"","")="",ISNUMBER(SEARCH($AS$94:$AZ$94,IFERROR((IF('Final Calculation Sheet'!$AD$6&lt;=0,"SETTLED","OUTSTANDING"))&amp;"","")))))&gt;0),IF(COUNTIF($BI$94:$BP$94,4)=0,TRUE,SUMPRODUCT(($BI$94:$BP$94=4)*($AS$94:$AZ$94&lt;&gt;"")*IF(((UPPER($AS$94:$AZ$94)="BLANK")+(UPPER($AS$94:$AZ$94)="(BLANK)")+(UPPER($AS$94:$AZ$94)="EMPTY")+(UPPER($AS$94:$AZ$94)="(EMPTY)"))&gt;0,IFERROR((IF('Final Calculation Sheet'!$AD$6&lt;=0,"SETTLED","OUTSTANDING"))&amp;"","")="",ISNUMBER(SEARCH($AS$94:$AZ$94,IFERROR((IF('Final Calculation Sheet'!$AD$6&lt;=0,"SETTLED","OUTSTANDING"))&amp;"","")))))&gt;0),IF(COUNTIF($BI$94:$BP$94,5)=0,TRUE,SUMPRODUCT(($BI$94:$BP$94=5)*($AS$94:$AZ$94&lt;&gt;"")*IF(((UPPER($AS$94:$AZ$94)="BLANK")+(UPPER($AS$94:$AZ$94)="(BLANK)")+(UPPER($AS$94:$AZ$94)="EMPTY")+(UPPER($AS$94:$AZ$94)="(EMPTY)"))&gt;0,IFERROR((IF('Final Calculation Sheet'!$AD$6&lt;=0,"SETTLED","OUTSTANDING"))&amp;"","")="",ISNUMBER(SEARCH($AS$94:$AZ$94,IFERROR((IF('Final Calculation Sheet'!$AD$6&lt;=0,"SETTLED","OUTSTANDING"))&amp;"","")))))&gt;0),IF(COUNTIF($BI$94:$BP$94,6)=0,TRUE,SUMPRODUCT(($BI$94:$BP$94=6)*($AS$94:$AZ$94&lt;&gt;"")*IF(((UPPER($AS$94:$AZ$94)="BLANK")+(UPPER($AS$94:$AZ$94)="(BLANK)")+(UPPER($AS$94:$AZ$94)="EMPTY")+(UPPER($AS$94:$AZ$94)="(EMPTY)"))&gt;0,IFERROR((IF('Final Calculation Sheet'!$AD$6&lt;=0,"SETTLED","OUTSTANDING"))&amp;"","")="",ISNUMBER(SEARCH($AS$94:$AZ$94,IFERROR((IF('Final Calculation Sheet'!$AD$6&lt;=0,"SETTLED","OUTSTANDING"))&amp;"","")))))&gt;0),IF(COUNTIF($BI$94:$BP$94,7)=0,TRUE,SUMPRODUCT(($BI$94:$BP$94=7)*($AS$94:$AZ$94&lt;&gt;"")*IF(((UPPER($AS$94:$AZ$94)="BLANK")+(UPPER($AS$94:$AZ$94)="(BLANK)")+(UPPER($AS$94:$AZ$94)="EMPTY")+(UPPER($AS$94:$AZ$94)="(EMPTY)"))&gt;0,IFERROR((IF('Final Calculation Sheet'!$AD$6&lt;=0,"SETTLED","OUTSTANDING"))&amp;"","")="",ISNUMBER(SEARCH($AS$94:$AZ$94,IFERROR((IF('Final Calculation Sheet'!$AD$6&lt;=0,"SETTLED","OUTSTANDING"))&amp;"","")))))&gt;0),IF(COUNTIF($BI$94:$BP$94,8)=0,TRUE,SUMPRODUCT(($BI$94:$BP$94=8)*($AS$94:$AZ$94&lt;&gt;"")*IF(((UPPER($AS$94:$AZ$94)="BLANK")+(UPPER($AS$94:$AZ$94)="(BLANK)")+(UPPER($AS$94:$AZ$94)="EMPTY")+(UPPER($AS$94:$AZ$94)="(EMPTY)"))&gt;0,IFERROR((IF('Final Calculation Sheet'!$AD$6&lt;=0,"SETTLED","OUTSTANDING"))&amp;"","")="",ISNUMBER(SEARCH($AS$94:$AZ$94,IFERROR((IF('Final Calculation Sheet'!$AD$6&lt;=0,"SETTLED","OUTSTANDING"))&amp;"","")))))&gt;0))))</f>
        <v>1</v>
      </c>
    </row>
    <row r="8" spans="1:99" ht="15" customHeight="1" x14ac:dyDescent="0.25">
      <c r="A8" s="67">
        <f>IF($BJ7&gt;0,INDEX($BA$5:$BA$41,MATCH(7,$BB$5:$BB$41,0)),IF(OR($BI7=1,$BL7=1,$BH7&gt;0),"∑",""))</f>
        <v>3</v>
      </c>
      <c r="B8" s="68">
        <f>IF($BJ7&gt;0,IF(INDEX('Final Calculation Sheet'!$F$4:$F$40,$BJ7-3)="","",INDEX('Final Calculation Sheet'!$F$4:$F$40,$BJ7-3)),"")</f>
        <v>2033</v>
      </c>
      <c r="C8" s="68" t="str">
        <f>IF($BJ7&gt;0,IF(INDEX('Final Calculation Sheet'!$G$4:$G$40,$BJ7-3)="","",INDEX('Final Calculation Sheet'!$G$4:$G$40,$BJ7-3)),IF(OR($BI7=1,$BL7=1,$BH7&gt;0),IF($BI7=1,37,IF($BL7=1,37-INDEX($BD$4:$BD$13,10),INDEX($BD$4:$BD$13,$BH7)))&amp;" lot(s)",""))</f>
        <v>WATAN SCRAP TRADERS</v>
      </c>
      <c r="D8" s="69" t="str">
        <f>IF($BJ7&gt;0,IF(INDEX('Final Calculation Sheet'!$B$4:$B$40,$BJ7-3)="","",INDEX('Final Calculation Sheet'!$B$4:$B$40,$BJ7-3)),IF(OR($BI7=1,$BL7=1,$BH7&gt;0),IF($BI7=1,"GRAND TOTAL  —  matching + remaining",IF($BL7=1,"TOTAL MATCHED  —  every group together",IF($BH7=10,"REMAINING  —  did not match the search",IF($BH7=9,IF(COUNTIF($A$4:$AI$4,"&lt;&gt;")&gt;0,"FILTERED LOTS  —  column fields","ALL LOTS  —  nothing typed in the box"),"GROUP "&amp;$BH7&amp;" TOTAL  —  lots matching  "&amp;INDEX($AR$6:$AY$6,$BH7))))),""))</f>
        <v>Scrap Empty Oil Drum/ Barrel</v>
      </c>
      <c r="E8" s="69">
        <f>IF($BJ7&gt;0,IF(INDEX('Final Calculation Sheet'!$D$4:$D$40,$BJ7-3)="","",INDEX('Final Calculation Sheet'!$D$4:$D$40,$BJ7-3)),IF(OR($BI7=1,$BL7=1,$BH7&gt;0),"–",""))</f>
        <v>21978</v>
      </c>
      <c r="F8" s="69">
        <f>IF($BJ7&gt;0,IF(INDEX('Final Calculation Sheet'!$A$4:$A$40,$BJ7-3)="","",INDEX('Final Calculation Sheet'!$A$4:$A$40,$BJ7-3)),IF(OR($BI7=1,$BL7=1,$BH7&gt;0),IF($BI7=1,SUM('Final Calculation Sheet'!$A$4:$A$40),IF($BL7=1,SUM('Final Calculation Sheet'!$A$4:$A$40)-SUMIFS('Final Calculation Sheet'!$A$4:$A$40,$AZ$5:$AZ$41,10),SUMIFS('Final Calculation Sheet'!$A$4:$A$40,$AZ$5:$AZ$41,$BH7))),""))</f>
        <v>1000</v>
      </c>
      <c r="G8" s="69" t="str">
        <f>IF($BJ7&gt;0,IF(INDEX('Final Calculation Sheet'!$E$4:$E$40,$BJ7-3)="","",INDEX('Final Calculation Sheet'!$E$4:$E$40,$BJ7-3)),IF(OR($BI7=1,$BL7=1,$BH7&gt;0),"–",""))</f>
        <v>NO</v>
      </c>
      <c r="H8" s="70">
        <f>IF($BJ7&gt;0,IF(INDEX('Final Calculation Sheet'!$C$4:$C$40,$BJ7-3)="","",INDEX('Final Calculation Sheet'!$C$4:$C$40,$BJ7-3)),IF(OR($BI7=1,$BL7=1,$BH7&gt;0),"–",""))</f>
        <v>517</v>
      </c>
      <c r="I8" s="70">
        <f>IF($BJ7&gt;0,IF(INDEX('Final Calculation Sheet'!$H$4:$H$40,$BJ7-3)="","",INDEX('Final Calculation Sheet'!$H$4:$H$40,$BJ7-3)),IF(OR($BI7=1,$BL7=1,$BH7&gt;0),IF($BI7=1,SUM('Final Calculation Sheet'!$H$4:$H$40),IF($BL7=1,SUM('Final Calculation Sheet'!$H$4:$H$40)-SUMIFS('Final Calculation Sheet'!$H$4:$H$40,$AZ$5:$AZ$41,10),SUMIFS('Final Calculation Sheet'!$H$4:$H$40,$AZ$5:$AZ$41,$BH7))),""))</f>
        <v>517000</v>
      </c>
      <c r="J8" s="70">
        <f>IF($BJ7&gt;0,IF(INDEX('Final Calculation Sheet'!$I$4:$I$40,$BJ7-3)="","",INDEX('Final Calculation Sheet'!$I$4:$I$40,$BJ7-3)),IF(OR($BI7=1,$BL7=1,$BH7&gt;0),IF($BI7=1,SUM('Final Calculation Sheet'!$I$4:$I$40),IF($BL7=1,SUM('Final Calculation Sheet'!$I$4:$I$40)-SUMIFS('Final Calculation Sheet'!$I$4:$I$40,$AZ$5:$AZ$41,10),SUMIFS('Final Calculation Sheet'!$I$4:$I$40,$AZ$5:$AZ$41,$BH7))),""))</f>
        <v>93060</v>
      </c>
      <c r="K8" s="70">
        <f>IF($BJ7&gt;0,IF(INDEX('Final Calculation Sheet'!$J$4:$J$40,$BJ7-3)="","",INDEX('Final Calculation Sheet'!$J$4:$J$40,$BJ7-3)),IF(OR($BI7=1,$BL7=1,$BH7&gt;0),IF($BI7=1,SUM('Final Calculation Sheet'!$J$4:$J$40),IF($BL7=1,SUM('Final Calculation Sheet'!$J$4:$J$40)-SUMIFS('Final Calculation Sheet'!$J$4:$J$40,$AZ$5:$AZ$41,10),SUMIFS('Final Calculation Sheet'!$J$4:$J$40,$AZ$5:$AZ$41,$BH7))),""))</f>
        <v>610060</v>
      </c>
      <c r="L8" s="70">
        <f>IF($BJ7&gt;0,IF(INDEX('Final Calculation Sheet'!$K$4:$K$40,$BJ7-3)="","",INDEX('Final Calculation Sheet'!$K$4:$K$40,$BJ7-3)),IF(OR($BI7=1,$BL7=1,$BH7&gt;0),IF($BI7=1,SUM('Final Calculation Sheet'!$K$4:$K$40),IF($BL7=1,SUM('Final Calculation Sheet'!$K$4:$K$40)-SUMIFS('Final Calculation Sheet'!$K$4:$K$40,$AZ$5:$AZ$41,10),SUMIFS('Final Calculation Sheet'!$K$4:$K$40,$AZ$5:$AZ$41,$BH7))),""))</f>
        <v>12201</v>
      </c>
      <c r="M8" s="70">
        <f>IF($BJ7&gt;0,IF(INDEX('Final Calculation Sheet'!$L$4:$L$40,$BJ7-3)="","",INDEX('Final Calculation Sheet'!$L$4:$L$40,$BJ7-3)),IF(OR($BI7=1,$BL7=1,$BH7&gt;0),IF($BI7=1,SUM('Final Calculation Sheet'!$L$4:$L$40),IF($BL7=1,SUM('Final Calculation Sheet'!$L$4:$L$40)-SUMIFS('Final Calculation Sheet'!$L$4:$L$40,$AZ$5:$AZ$41,10),SUMIFS('Final Calculation Sheet'!$L$4:$L$40,$AZ$5:$AZ$41,$BH7))),""))</f>
        <v>517</v>
      </c>
      <c r="N8" s="70">
        <f>IF($BJ7&gt;0,IF(INDEX('Final Calculation Sheet'!$M$4:$M$40,$BJ7-3)="","",INDEX('Final Calculation Sheet'!$M$4:$M$40,$BJ7-3)),IF(OR($BI7=1,$BL7=1,$BH7&gt;0),IF($BI7=1,SUM('Final Calculation Sheet'!$M$4:$M$40),IF($BL7=1,SUM('Final Calculation Sheet'!$M$4:$M$40)-SUMIFS('Final Calculation Sheet'!$M$4:$M$40,$AZ$5:$AZ$41,10),SUMIFS('Final Calculation Sheet'!$M$4:$M$40,$AZ$5:$AZ$41,$BH7))),""))</f>
        <v>13726.349999999999</v>
      </c>
      <c r="O8" s="71">
        <f>IF($BJ7&gt;0,IF(INDEX('Final Calculation Sheet'!$N$4:$N$40,$BJ7-3)="","",INDEX('Final Calculation Sheet'!$N$4:$N$40,$BJ7-3)),IF(OR($BI7=1,$BL7=1,$BH7&gt;0),IF($BI7=1,SUM('Final Calculation Sheet'!$N$4:$N$40),IF($BL7=1,SUM('Final Calculation Sheet'!$N$4:$N$40)-SUMIFS('Final Calculation Sheet'!$N$4:$N$40,$AZ$5:$AZ$41,10),SUMIFS('Final Calculation Sheet'!$N$4:$N$40,$AZ$5:$AZ$41,$BH7))),""))</f>
        <v>232.65</v>
      </c>
      <c r="P8" s="70">
        <f>IF($BJ7&gt;0,IF(INDEX('Final Calculation Sheet'!$O$4:$O$40,$BJ7-3)="","",INDEX('Final Calculation Sheet'!$O$4:$O$40,$BJ7-3)),IF(OR($BI7=1,$BL7=1,$BH7&gt;0),IF($BI7=1,SUM('Final Calculation Sheet'!$O$4:$O$40),IF($BL7=1,SUM('Final Calculation Sheet'!$O$4:$O$40)-SUMIFS('Final Calculation Sheet'!$O$4:$O$40,$AZ$5:$AZ$41,10),SUMIFS('Final Calculation Sheet'!$O$4:$O$40,$AZ$5:$AZ$41,$BH7))),""))</f>
        <v>13493.699999999999</v>
      </c>
      <c r="Q8" s="70">
        <f>IF($BJ7&gt;0,IF(INDEX('Final Calculation Sheet'!$P$4:$P$40,$BJ7-3)="","",INDEX('Final Calculation Sheet'!$P$4:$P$40,$BJ7-3)),IF(OR($BI7=1,$BL7=1,$BH7&gt;0),IF($BI7=1,SUM('Final Calculation Sheet'!$P$4:$P$40),IF($BL7=1,SUM('Final Calculation Sheet'!$P$4:$P$40)-SUMIFS('Final Calculation Sheet'!$P$4:$P$40,$AZ$5:$AZ$41,10),SUMIFS('Final Calculation Sheet'!$P$4:$P$40,$AZ$5:$AZ$41,$BH7))),""))</f>
        <v>14011</v>
      </c>
      <c r="R8" s="72">
        <f>IF($BJ7&gt;0,IF(INDEX('Final Calculation Sheet'!$Q$4:$Q$40,$BJ7-3)="","",INDEX('Final Calculation Sheet'!$Q$4:$Q$40,$BJ7-3)),IF(OR($BI7=1,$BL7=1,$BH7&gt;0),"–",""))</f>
        <v>0</v>
      </c>
      <c r="S8" s="70">
        <f>IF($BJ7&gt;0,IF(INDEX('Final Calculation Sheet'!$R$4:$R$40,$BJ7-3)="","",INDEX('Final Calculation Sheet'!$R$4:$R$40,$BJ7-3)),IF(OR($BI7=1,$BL7=1,$BH7&gt;0),IF($BI7=1,SUM('Final Calculation Sheet'!$R$4:$R$40),IF($BL7=1,SUM('Final Calculation Sheet'!$R$4:$R$40)-SUMIFS('Final Calculation Sheet'!$R$4:$R$40,$AZ$5:$AZ$41,10),SUMIFS('Final Calculation Sheet'!$R$4:$R$40,$AZ$5:$AZ$41,$BH7))),""))</f>
        <v>0</v>
      </c>
      <c r="T8" s="70">
        <f>IF($BJ7&gt;0,IF(INDEX('Final Calculation Sheet'!$S$4:$S$40,$BJ7-3)="","",INDEX('Final Calculation Sheet'!$S$4:$S$40,$BJ7-3)),IF(OR($BI7=1,$BL7=1,$BH7&gt;0),IF($BI7=1,SUM('Final Calculation Sheet'!$S$4:$S$40),IF($BL7=1,SUM('Final Calculation Sheet'!$S$4:$S$40)-SUMIFS('Final Calculation Sheet'!$S$4:$S$40,$AZ$5:$AZ$41,10),SUMIFS('Final Calculation Sheet'!$S$4:$S$40,$AZ$5:$AZ$41,$BH7))),""))</f>
        <v>608251</v>
      </c>
      <c r="U8" s="70">
        <f>IF($BJ7&gt;0,IF(INDEX('Final Calculation Sheet'!$T$4:$T$40,$BJ7-3)="","",INDEX('Final Calculation Sheet'!$T$4:$T$40,$BJ7-3)),IF(OR($BI7=1,$BL7=1,$BH7&gt;0),IF($BI7=1,SUM('Final Calculation Sheet'!$T$4:$T$40),IF($BL7=1,SUM('Final Calculation Sheet'!$T$4:$T$40)-SUMIFS('Final Calculation Sheet'!$T$4:$T$40,$AZ$5:$AZ$41,10),SUMIFS('Final Calculation Sheet'!$T$4:$T$40,$AZ$5:$AZ$41,$BH7))),""))</f>
        <v>129250</v>
      </c>
      <c r="V8" s="73">
        <f>IF($BJ7&gt;0,IF(INDEX('Final Calculation Sheet'!$U$4:$U$40,$BJ7-3)="","",INDEX('Final Calculation Sheet'!$U$4:$U$40,$BJ7-3)),IF(OR($BI7=1,$BL7=1,$BH7&gt;0),IF($BI7=1,SUM('Final Calculation Sheet'!$U$4:$U$40),IF($BL7=1,SUM('Final Calculation Sheet'!$U$4:$U$40)-SUMIFS('Final Calculation Sheet'!$U$4:$U$40,$AZ$5:$AZ$41,10),SUMIFS('Final Calculation Sheet'!$U$4:$U$40,$AZ$5:$AZ$41,$BH7))),""))</f>
        <v>129250</v>
      </c>
      <c r="W8" s="70" t="str">
        <f>IF($BJ7&gt;0,IF(INDEX('Final Calculation Sheet'!$V$4:$V$40,$BJ7-3)="","",INDEX('Final Calculation Sheet'!$V$4:$V$40,$BJ7-3)),IF(OR($BI7=1,$BL7=1,$BH7&gt;0),"–",""))</f>
        <v>14.08.2026</v>
      </c>
      <c r="X8" s="70">
        <f>IF($BJ7&gt;0,IF(INDEX('Final Calculation Sheet'!$W$4:$W$40,$BJ7-3)="","",INDEX('Final Calculation Sheet'!$W$4:$W$40,$BJ7-3)),IF(OR($BI7=1,$BL7=1,$BH7&gt;0),IF($BI7=1,SUM('Final Calculation Sheet'!$W$4:$W$40),IF($BL7=1,SUM('Final Calculation Sheet'!$W$4:$W$40)-SUMIFS('Final Calculation Sheet'!$W$4:$W$40,$AZ$5:$AZ$41,10),SUMIFS('Final Calculation Sheet'!$W$4:$W$40,$AZ$5:$AZ$41,$BH7))),""))</f>
        <v>479001</v>
      </c>
      <c r="Y8" s="70">
        <f>IF($BJ7&gt;0,IF(INDEX('Final Calculation Sheet'!$X$4:$X$40,$BJ7-3)="","",INDEX('Final Calculation Sheet'!$X$4:$X$40,$BJ7-3)),IF(OR($BI7=1,$BL7=1,$BH7&gt;0),IF($BI7=1,SUM('Final Calculation Sheet'!$X$4:$X$40),IF($BL7=1,SUM('Final Calculation Sheet'!$X$4:$X$40)-SUMIFS('Final Calculation Sheet'!$X$4:$X$40,$AZ$5:$AZ$41,10),SUMIFS('Final Calculation Sheet'!$X$4:$X$40,$AZ$5:$AZ$41,$BH7))),""))</f>
        <v>479001</v>
      </c>
      <c r="Z8" s="70" t="str">
        <f>IF($BJ7&gt;0,IF(INDEX('Final Calculation Sheet'!$Y$4:$Y$40,$BJ7-3)="","",INDEX('Final Calculation Sheet'!$Y$4:$Y$40,$BJ7-3)),IF(OR($BI7=1,$BL7=1,$BH7&gt;0),"–",""))</f>
        <v>21.08.2026</v>
      </c>
      <c r="AA8" s="70">
        <f ca="1">IF($BJ7&gt;0,IF(INDEX('Final Calculation Sheet'!$Z$4:$Z$40,$BJ7-3)="","",INDEX('Final Calculation Sheet'!$Z$4:$Z$40,$BJ7-3)),IF(OR($BI7=1,$BL7=1,$BH7&gt;0),IF($BI7=1,SUM('Final Calculation Sheet'!$Z$4:$Z$40),IF($BL7=1,SUM('Final Calculation Sheet'!$Z$4:$Z$40)-SUMIFS('Final Calculation Sheet'!$Z$4:$Z$40,$AZ$5:$AZ$41,10),SUMIFS('Final Calculation Sheet'!$Z$4:$Z$40,$AZ$5:$AZ$41,$BH7))),""))</f>
        <v>0</v>
      </c>
      <c r="AB8" s="70" t="str">
        <f>IF($BJ7&gt;0,IF(INDEX('Final Calculation Sheet'!$AA$4:$AA$40,$BJ7-3)="","",INDEX('Final Calculation Sheet'!$AA$4:$AA$40,$BJ7-3)),IF(OR($BI7=1,$BL7=1,$BH7&gt;0),IF($BI7=1,SUM('Final Calculation Sheet'!$AA$4:$AA$40),IF($BL7=1,SUM('Final Calculation Sheet'!$AA$4:$AA$40)-SUMIFS('Final Calculation Sheet'!$AA$4:$AA$40,$AZ$5:$AZ$41,10),SUMIFS('Final Calculation Sheet'!$AA$4:$AA$40,$AZ$5:$AZ$41,$BH7))),""))</f>
        <v/>
      </c>
      <c r="AC8" s="70" t="str">
        <f>IF($BJ7&gt;0,IF(INDEX('Final Calculation Sheet'!$AB$4:$AB$40,$BJ7-3)="","",INDEX('Final Calculation Sheet'!$AB$4:$AB$40,$BJ7-3)),IF(OR($BI7=1,$BL7=1,$BH7&gt;0),"–",""))</f>
        <v/>
      </c>
      <c r="AD8" s="70">
        <f>IF($BJ7&gt;0,IF(INDEX('Final Calculation Sheet'!$AC$4:$AC$40,$BJ7-3)="","",INDEX('Final Calculation Sheet'!$AC$4:$AC$40,$BJ7-3)),IF(OR($BI7=1,$BL7=1,$BH7&gt;0),IF($BI7=1,SUM('Final Calculation Sheet'!$AC$4:$AC$40),IF($BL7=1,SUM('Final Calculation Sheet'!$AC$4:$AC$40)-SUMIFS('Final Calculation Sheet'!$AC$4:$AC$40,$AZ$5:$AZ$41,10),SUMIFS('Final Calculation Sheet'!$AC$4:$AC$40,$AZ$5:$AZ$41,$BH7))),""))</f>
        <v>608251</v>
      </c>
      <c r="AE8" s="70">
        <f>IF($BJ7&gt;0,IF(INDEX('Final Calculation Sheet'!$AD$4:$AD$40,$BJ7-3)="","",INDEX('Final Calculation Sheet'!$AD$4:$AD$40,$BJ7-3)),IF(OR($BI7=1,$BL7=1,$BH7&gt;0),IF($BI7=1,SUM('Final Calculation Sheet'!$AD$4:$AD$40),IF($BL7=1,SUM('Final Calculation Sheet'!$AD$4:$AD$40)-SUMIFS('Final Calculation Sheet'!$AD$4:$AD$40,$AZ$5:$AZ$41,10),SUMIFS('Final Calculation Sheet'!$AD$4:$AD$40,$AZ$5:$AZ$41,$BH7))),""))</f>
        <v>0</v>
      </c>
      <c r="AF8" s="70" t="str">
        <f>IF($BJ7&gt;0,IF(INDEX('Final Calculation Sheet'!$AE$4:$AE$40,$BJ7-3)="","",INDEX('Final Calculation Sheet'!$AE$4:$AE$40,$BJ7-3)),IF(OR($BI7=1,$BL7=1,$BH7&gt;0),"–",""))</f>
        <v>DR2640100042</v>
      </c>
      <c r="AG8" s="74">
        <f>IF($BJ7&gt;0,IF(INDEX('Final Calculation Sheet'!$AF$4:$AF$40,$BJ7-3)="","",INDEX('Final Calculation Sheet'!$AF$4:$AF$40,$BJ7-3)),IF(OR($BI7=1,$BL7=1,$BH7&gt;0),"–",""))</f>
        <v>1800003317</v>
      </c>
      <c r="AH8" s="70" t="str">
        <f>IF($BJ7&gt;0,IF(INDEX('Final Calculation Sheet'!$AG$4:$AG$40,$BJ7-3)="","",INDEX('Final Calculation Sheet'!$AG$4:$AG$40,$BJ7-3)),IF(OR($BI7=1,$BL7=1,$BH7&gt;0),"–",""))</f>
        <v>27.08.2026</v>
      </c>
      <c r="AI8" s="75" t="str">
        <f>IF($BJ7&gt;0,IF(INDEX('Final Calculation Sheet'!$AD$4:$AD$40,$BJ7-3)="","",IF(INDEX('Final Calculation Sheet'!$AD$4:$AD$40,$BJ7-3)&lt;=0,"SETTLED","OUTSTANDING")),IF(OR($BI7=1,$BL7=1,$BH7&gt;0),IF(IF($BI7=1,SUM('Final Calculation Sheet'!$AD$4:$AD$40),IF($BL7=1,SUM('Final Calculation Sheet'!$AD$4:$AD$40)-SUMIFS('Final Calculation Sheet'!$AD$4:$AD$40,$AZ$5:$AZ$41,10),SUMIFS('Final Calculation Sheet'!$AD$4:$AD$40,$AZ$5:$AZ$41,$BH7)))&lt;=0,"ALL SETTLED","OUTSTANDING"),""))</f>
        <v>SETTLED</v>
      </c>
      <c r="AK8" t="str">
        <f>IF($F$3="Lot No.",'Final Calculation Sheet'!$F$7,IF($F$3="Buyer",'Final Calculation Sheet'!$G$7,IF($F$3="Lot Name",'Final Calculation Sheet'!$B$7,IF($F$3="Bid Sheet",'Final Calculation Sheet'!$D$7,IF($F$3="Unit",'Final Calculation Sheet'!$E$7,'Final Calculation Sheet'!$F$7&amp;" "&amp;'Final Calculation Sheet'!$G$7&amp;" "&amp;'Final Calculation Sheet'!$B$7)))))</f>
        <v>1876 F R KHANS ENTERPRISES Scrap of MS (extracted from equip cage and empty Sf6 gas cylinder)</v>
      </c>
      <c r="AM8">
        <f t="shared" si="1"/>
        <v>0</v>
      </c>
      <c r="AO8" t="s">
        <v>4</v>
      </c>
      <c r="AR8">
        <v>1</v>
      </c>
      <c r="AS8">
        <f>IF($AR$7="+",$AR$8+1,$AR$8)</f>
        <v>1</v>
      </c>
      <c r="AT8">
        <f>IF($AS$7="+",$AS$8+1,$AS$8)</f>
        <v>1</v>
      </c>
      <c r="AU8">
        <f>IF($AT$7="+",$AT$8+1,$AT$8)</f>
        <v>1</v>
      </c>
      <c r="AV8">
        <f>IF($AU$7="+",$AU$8+1,$AU$8)</f>
        <v>1</v>
      </c>
      <c r="AW8">
        <f>IF($AV$7="+",$AV$8+1,$AV$8)</f>
        <v>1</v>
      </c>
      <c r="AX8">
        <f>IF($AW$7="+",$AW$8+1,$AW$8)</f>
        <v>1</v>
      </c>
      <c r="AY8">
        <f>IF($AX$7="+",$AX$8+1,$AX$8)</f>
        <v>1</v>
      </c>
      <c r="AZ8">
        <f t="shared" si="2"/>
        <v>10</v>
      </c>
      <c r="BA8">
        <f t="shared" si="3"/>
        <v>3</v>
      </c>
      <c r="BB8">
        <f t="shared" si="4"/>
        <v>19</v>
      </c>
      <c r="BC8">
        <v>7</v>
      </c>
      <c r="BD8">
        <f>COUNTIF($AZ$5:$AZ$41,5)</f>
        <v>0</v>
      </c>
      <c r="BE8">
        <f t="shared" si="5"/>
        <v>16</v>
      </c>
      <c r="BF8">
        <f t="shared" si="0"/>
        <v>0</v>
      </c>
      <c r="BH8">
        <f>IFERROR(MATCH(8,$BF$4:$BF$13,0),0)</f>
        <v>0</v>
      </c>
      <c r="BI8">
        <f>IF(8=$BG$5,1,0)</f>
        <v>0</v>
      </c>
      <c r="BJ8">
        <f>IF(OR($BH8&gt;0,$BI8=1,$BL8=1),0,IFERROR(INDEX($BC$5:$BC$41,MATCH(8,$BB$5:$BB$41,0)),0))</f>
        <v>35</v>
      </c>
      <c r="BK8">
        <f>IF($BJ8&gt;0,IF(INDEX($AZ$5:$AZ$41,MATCH(8,$BB$5:$BB$41,0))=10,1,0),IF($BH8=10,1,0))</f>
        <v>0</v>
      </c>
      <c r="BL8">
        <f>IF(8=$BG$4,1,0)</f>
        <v>0</v>
      </c>
      <c r="BM8">
        <f>IF($A$4="",1,--(AND(SUMPRODUCT(--($AS$60:$AZ$60&lt;&gt;""))&gt;0,IF(COUNTIF($BI$60:$BP$60,1)=0,TRUE,SUMPRODUCT(($BI$60:$BP$60=1)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$60,2)=0,TRUE,SUMPRODUCT(($BI$60:$BP$60=2)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$60,3)=0,TRUE,SUMPRODUCT(($BI$60:$BP$60=3)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$60,4)=0,TRUE,SUMPRODUCT(($BI$60:$BP$60=4)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$60,5)=0,TRUE,SUMPRODUCT(($BI$60:$BP$60=5)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$60,6)=0,TRUE,SUMPRODUCT(($BI$60:$BP$60=6)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$60,7)=0,TRUE,SUMPRODUCT(($BI$60:$BP$60=7)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$60,8)=0,TRUE,SUMPRODUCT(($BI$60:$BP$60=8)*($AS$60:$AZ$60&lt;&gt;"")*IF(((UPPER($AS$60:$AZ$60)="BLANK")+(UPPER($AS$60:$AZ$60)="(BLANK)")+(UPPER($AS$60:$AZ$60)="EMPTY")+(UPPER($AS$60:$AZ$60)="(EMPTY)"))&gt;0,IFERROR((ROW()-4)&amp;"","")="",ISNUMBER(SEARCH($AS$60:$AZ$60,IFERROR((ROW()-4)&amp;"","")))))&gt;0))))</f>
        <v>1</v>
      </c>
      <c r="BN8">
        <f>IF($B$4="",1,--(AND(SUMPRODUCT(--($AS$61:$AZ$61&lt;&gt;""))&gt;0,IF(COUNTIF($BI$61:$BP$61,1)=0,TRUE,SUMPRODUCT(($BI$61:$BP$61=1)*($AS$61:$AZ$61&lt;&gt;"")*IF(((UPPER($AS$61:$AZ$61)="BLANK")+(UPPER($AS$61:$AZ$61)="(BLANK)")+(UPPER($AS$61:$AZ$61)="EMPTY")+(UPPER($AS$61:$AZ$61)="(EMPTY)"))&gt;0,IFERROR(('Final Calculation Sheet'!$F$7)&amp;"","")="",ISNUMBER(SEARCH($AS$61:$AZ$61,IFERROR(('Final Calculation Sheet'!$F$7)&amp;"","")))))&gt;0),IF(COUNTIF($BI$61:$BP$61,2)=0,TRUE,SUMPRODUCT(($BI$61:$BP$61=2)*($AS$61:$AZ$61&lt;&gt;"")*IF(((UPPER($AS$61:$AZ$61)="BLANK")+(UPPER($AS$61:$AZ$61)="(BLANK)")+(UPPER($AS$61:$AZ$61)="EMPTY")+(UPPER($AS$61:$AZ$61)="(EMPTY)"))&gt;0,IFERROR(('Final Calculation Sheet'!$F$7)&amp;"","")="",ISNUMBER(SEARCH($AS$61:$AZ$61,IFERROR(('Final Calculation Sheet'!$F$7)&amp;"","")))))&gt;0),IF(COUNTIF($BI$61:$BP$61,3)=0,TRUE,SUMPRODUCT(($BI$61:$BP$61=3)*($AS$61:$AZ$61&lt;&gt;"")*IF(((UPPER($AS$61:$AZ$61)="BLANK")+(UPPER($AS$61:$AZ$61)="(BLANK)")+(UPPER($AS$61:$AZ$61)="EMPTY")+(UPPER($AS$61:$AZ$61)="(EMPTY)"))&gt;0,IFERROR(('Final Calculation Sheet'!$F$7)&amp;"","")="",ISNUMBER(SEARCH($AS$61:$AZ$61,IFERROR(('Final Calculation Sheet'!$F$7)&amp;"","")))))&gt;0),IF(COUNTIF($BI$61:$BP$61,4)=0,TRUE,SUMPRODUCT(($BI$61:$BP$61=4)*($AS$61:$AZ$61&lt;&gt;"")*IF(((UPPER($AS$61:$AZ$61)="BLANK")+(UPPER($AS$61:$AZ$61)="(BLANK)")+(UPPER($AS$61:$AZ$61)="EMPTY")+(UPPER($AS$61:$AZ$61)="(EMPTY)"))&gt;0,IFERROR(('Final Calculation Sheet'!$F$7)&amp;"","")="",ISNUMBER(SEARCH($AS$61:$AZ$61,IFERROR(('Final Calculation Sheet'!$F$7)&amp;"","")))))&gt;0),IF(COUNTIF($BI$61:$BP$61,5)=0,TRUE,SUMPRODUCT(($BI$61:$BP$61=5)*($AS$61:$AZ$61&lt;&gt;"")*IF(((UPPER($AS$61:$AZ$61)="BLANK")+(UPPER($AS$61:$AZ$61)="(BLANK)")+(UPPER($AS$61:$AZ$61)="EMPTY")+(UPPER($AS$61:$AZ$61)="(EMPTY)"))&gt;0,IFERROR(('Final Calculation Sheet'!$F$7)&amp;"","")="",ISNUMBER(SEARCH($AS$61:$AZ$61,IFERROR(('Final Calculation Sheet'!$F$7)&amp;"","")))))&gt;0),IF(COUNTIF($BI$61:$BP$61,6)=0,TRUE,SUMPRODUCT(($BI$61:$BP$61=6)*($AS$61:$AZ$61&lt;&gt;"")*IF(((UPPER($AS$61:$AZ$61)="BLANK")+(UPPER($AS$61:$AZ$61)="(BLANK)")+(UPPER($AS$61:$AZ$61)="EMPTY")+(UPPER($AS$61:$AZ$61)="(EMPTY)"))&gt;0,IFERROR(('Final Calculation Sheet'!$F$7)&amp;"","")="",ISNUMBER(SEARCH($AS$61:$AZ$61,IFERROR(('Final Calculation Sheet'!$F$7)&amp;"","")))))&gt;0),IF(COUNTIF($BI$61:$BP$61,7)=0,TRUE,SUMPRODUCT(($BI$61:$BP$61=7)*($AS$61:$AZ$61&lt;&gt;"")*IF(((UPPER($AS$61:$AZ$61)="BLANK")+(UPPER($AS$61:$AZ$61)="(BLANK)")+(UPPER($AS$61:$AZ$61)="EMPTY")+(UPPER($AS$61:$AZ$61)="(EMPTY)"))&gt;0,IFERROR(('Final Calculation Sheet'!$F$7)&amp;"","")="",ISNUMBER(SEARCH($AS$61:$AZ$61,IFERROR(('Final Calculation Sheet'!$F$7)&amp;"","")))))&gt;0),IF(COUNTIF($BI$61:$BP$61,8)=0,TRUE,SUMPRODUCT(($BI$61:$BP$61=8)*($AS$61:$AZ$61&lt;&gt;"")*IF(((UPPER($AS$61:$AZ$61)="BLANK")+(UPPER($AS$61:$AZ$61)="(BLANK)")+(UPPER($AS$61:$AZ$61)="EMPTY")+(UPPER($AS$61:$AZ$61)="(EMPTY)"))&gt;0,IFERROR(('Final Calculation Sheet'!$F$7)&amp;"","")="",ISNUMBER(SEARCH($AS$61:$AZ$61,IFERROR(('Final Calculation Sheet'!$F$7)&amp;"","")))))&gt;0))))</f>
        <v>1</v>
      </c>
      <c r="BO8">
        <f>IF($C$4="",1,--(AND(SUMPRODUCT(--($AS$62:$AZ$62&lt;&gt;""))&gt;0,IF(COUNTIF($BI$62:$BP$62,1)=0,TRUE,SUMPRODUCT(($BI$62:$BP$62=1)*($AS$62:$AZ$62&lt;&gt;"")*IF(((UPPER($AS$62:$AZ$62)="BLANK")+(UPPER($AS$62:$AZ$62)="(BLANK)")+(UPPER($AS$62:$AZ$62)="EMPTY")+(UPPER($AS$62:$AZ$62)="(EMPTY)"))&gt;0,IFERROR(('Final Calculation Sheet'!$G$7)&amp;"","")="",ISNUMBER(SEARCH($AS$62:$AZ$62,IFERROR(('Final Calculation Sheet'!$G$7)&amp;"","")))))&gt;0),IF(COUNTIF($BI$62:$BP$62,2)=0,TRUE,SUMPRODUCT(($BI$62:$BP$62=2)*($AS$62:$AZ$62&lt;&gt;"")*IF(((UPPER($AS$62:$AZ$62)="BLANK")+(UPPER($AS$62:$AZ$62)="(BLANK)")+(UPPER($AS$62:$AZ$62)="EMPTY")+(UPPER($AS$62:$AZ$62)="(EMPTY)"))&gt;0,IFERROR(('Final Calculation Sheet'!$G$7)&amp;"","")="",ISNUMBER(SEARCH($AS$62:$AZ$62,IFERROR(('Final Calculation Sheet'!$G$7)&amp;"","")))))&gt;0),IF(COUNTIF($BI$62:$BP$62,3)=0,TRUE,SUMPRODUCT(($BI$62:$BP$62=3)*($AS$62:$AZ$62&lt;&gt;"")*IF(((UPPER($AS$62:$AZ$62)="BLANK")+(UPPER($AS$62:$AZ$62)="(BLANK)")+(UPPER($AS$62:$AZ$62)="EMPTY")+(UPPER($AS$62:$AZ$62)="(EMPTY)"))&gt;0,IFERROR(('Final Calculation Sheet'!$G$7)&amp;"","")="",ISNUMBER(SEARCH($AS$62:$AZ$62,IFERROR(('Final Calculation Sheet'!$G$7)&amp;"","")))))&gt;0),IF(COUNTIF($BI$62:$BP$62,4)=0,TRUE,SUMPRODUCT(($BI$62:$BP$62=4)*($AS$62:$AZ$62&lt;&gt;"")*IF(((UPPER($AS$62:$AZ$62)="BLANK")+(UPPER($AS$62:$AZ$62)="(BLANK)")+(UPPER($AS$62:$AZ$62)="EMPTY")+(UPPER($AS$62:$AZ$62)="(EMPTY)"))&gt;0,IFERROR(('Final Calculation Sheet'!$G$7)&amp;"","")="",ISNUMBER(SEARCH($AS$62:$AZ$62,IFERROR(('Final Calculation Sheet'!$G$7)&amp;"","")))))&gt;0),IF(COUNTIF($BI$62:$BP$62,5)=0,TRUE,SUMPRODUCT(($BI$62:$BP$62=5)*($AS$62:$AZ$62&lt;&gt;"")*IF(((UPPER($AS$62:$AZ$62)="BLANK")+(UPPER($AS$62:$AZ$62)="(BLANK)")+(UPPER($AS$62:$AZ$62)="EMPTY")+(UPPER($AS$62:$AZ$62)="(EMPTY)"))&gt;0,IFERROR(('Final Calculation Sheet'!$G$7)&amp;"","")="",ISNUMBER(SEARCH($AS$62:$AZ$62,IFERROR(('Final Calculation Sheet'!$G$7)&amp;"","")))))&gt;0),IF(COUNTIF($BI$62:$BP$62,6)=0,TRUE,SUMPRODUCT(($BI$62:$BP$62=6)*($AS$62:$AZ$62&lt;&gt;"")*IF(((UPPER($AS$62:$AZ$62)="BLANK")+(UPPER($AS$62:$AZ$62)="(BLANK)")+(UPPER($AS$62:$AZ$62)="EMPTY")+(UPPER($AS$62:$AZ$62)="(EMPTY)"))&gt;0,IFERROR(('Final Calculation Sheet'!$G$7)&amp;"","")="",ISNUMBER(SEARCH($AS$62:$AZ$62,IFERROR(('Final Calculation Sheet'!$G$7)&amp;"","")))))&gt;0),IF(COUNTIF($BI$62:$BP$62,7)=0,TRUE,SUMPRODUCT(($BI$62:$BP$62=7)*($AS$62:$AZ$62&lt;&gt;"")*IF(((UPPER($AS$62:$AZ$62)="BLANK")+(UPPER($AS$62:$AZ$62)="(BLANK)")+(UPPER($AS$62:$AZ$62)="EMPTY")+(UPPER($AS$62:$AZ$62)="(EMPTY)"))&gt;0,IFERROR(('Final Calculation Sheet'!$G$7)&amp;"","")="",ISNUMBER(SEARCH($AS$62:$AZ$62,IFERROR(('Final Calculation Sheet'!$G$7)&amp;"","")))))&gt;0),IF(COUNTIF($BI$62:$BP$62,8)=0,TRUE,SUMPRODUCT(($BI$62:$BP$62=8)*($AS$62:$AZ$62&lt;&gt;"")*IF(((UPPER($AS$62:$AZ$62)="BLANK")+(UPPER($AS$62:$AZ$62)="(BLANK)")+(UPPER($AS$62:$AZ$62)="EMPTY")+(UPPER($AS$62:$AZ$62)="(EMPTY)"))&gt;0,IFERROR(('Final Calculation Sheet'!$G$7)&amp;"","")="",ISNUMBER(SEARCH($AS$62:$AZ$62,IFERROR(('Final Calculation Sheet'!$G$7)&amp;"","")))))&gt;0))))</f>
        <v>1</v>
      </c>
      <c r="BP8">
        <f>IF($D$4="",1,--(AND(SUMPRODUCT(--($AS$63:$AZ$63&lt;&gt;""))&gt;0,IF(COUNTIF($BI$63:$BP$63,1)=0,TRUE,SUMPRODUCT(($BI$63:$BP$63=1)*($AS$63:$AZ$63&lt;&gt;"")*IF(((UPPER($AS$63:$AZ$63)="BLANK")+(UPPER($AS$63:$AZ$63)="(BLANK)")+(UPPER($AS$63:$AZ$63)="EMPTY")+(UPPER($AS$63:$AZ$63)="(EMPTY)"))&gt;0,IFERROR(('Final Calculation Sheet'!$B$7)&amp;"","")="",ISNUMBER(SEARCH($AS$63:$AZ$63,IFERROR(('Final Calculation Sheet'!$B$7)&amp;"","")))))&gt;0),IF(COUNTIF($BI$63:$BP$63,2)=0,TRUE,SUMPRODUCT(($BI$63:$BP$63=2)*($AS$63:$AZ$63&lt;&gt;"")*IF(((UPPER($AS$63:$AZ$63)="BLANK")+(UPPER($AS$63:$AZ$63)="(BLANK)")+(UPPER($AS$63:$AZ$63)="EMPTY")+(UPPER($AS$63:$AZ$63)="(EMPTY)"))&gt;0,IFERROR(('Final Calculation Sheet'!$B$7)&amp;"","")="",ISNUMBER(SEARCH($AS$63:$AZ$63,IFERROR(('Final Calculation Sheet'!$B$7)&amp;"","")))))&gt;0),IF(COUNTIF($BI$63:$BP$63,3)=0,TRUE,SUMPRODUCT(($BI$63:$BP$63=3)*($AS$63:$AZ$63&lt;&gt;"")*IF(((UPPER($AS$63:$AZ$63)="BLANK")+(UPPER($AS$63:$AZ$63)="(BLANK)")+(UPPER($AS$63:$AZ$63)="EMPTY")+(UPPER($AS$63:$AZ$63)="(EMPTY)"))&gt;0,IFERROR(('Final Calculation Sheet'!$B$7)&amp;"","")="",ISNUMBER(SEARCH($AS$63:$AZ$63,IFERROR(('Final Calculation Sheet'!$B$7)&amp;"","")))))&gt;0),IF(COUNTIF($BI$63:$BP$63,4)=0,TRUE,SUMPRODUCT(($BI$63:$BP$63=4)*($AS$63:$AZ$63&lt;&gt;"")*IF(((UPPER($AS$63:$AZ$63)="BLANK")+(UPPER($AS$63:$AZ$63)="(BLANK)")+(UPPER($AS$63:$AZ$63)="EMPTY")+(UPPER($AS$63:$AZ$63)="(EMPTY)"))&gt;0,IFERROR(('Final Calculation Sheet'!$B$7)&amp;"","")="",ISNUMBER(SEARCH($AS$63:$AZ$63,IFERROR(('Final Calculation Sheet'!$B$7)&amp;"","")))))&gt;0),IF(COUNTIF($BI$63:$BP$63,5)=0,TRUE,SUMPRODUCT(($BI$63:$BP$63=5)*($AS$63:$AZ$63&lt;&gt;"")*IF(((UPPER($AS$63:$AZ$63)="BLANK")+(UPPER($AS$63:$AZ$63)="(BLANK)")+(UPPER($AS$63:$AZ$63)="EMPTY")+(UPPER($AS$63:$AZ$63)="(EMPTY)"))&gt;0,IFERROR(('Final Calculation Sheet'!$B$7)&amp;"","")="",ISNUMBER(SEARCH($AS$63:$AZ$63,IFERROR(('Final Calculation Sheet'!$B$7)&amp;"","")))))&gt;0),IF(COUNTIF($BI$63:$BP$63,6)=0,TRUE,SUMPRODUCT(($BI$63:$BP$63=6)*($AS$63:$AZ$63&lt;&gt;"")*IF(((UPPER($AS$63:$AZ$63)="BLANK")+(UPPER($AS$63:$AZ$63)="(BLANK)")+(UPPER($AS$63:$AZ$63)="EMPTY")+(UPPER($AS$63:$AZ$63)="(EMPTY)"))&gt;0,IFERROR(('Final Calculation Sheet'!$B$7)&amp;"","")="",ISNUMBER(SEARCH($AS$63:$AZ$63,IFERROR(('Final Calculation Sheet'!$B$7)&amp;"","")))))&gt;0),IF(COUNTIF($BI$63:$BP$63,7)=0,TRUE,SUMPRODUCT(($BI$63:$BP$63=7)*($AS$63:$AZ$63&lt;&gt;"")*IF(((UPPER($AS$63:$AZ$63)="BLANK")+(UPPER($AS$63:$AZ$63)="(BLANK)")+(UPPER($AS$63:$AZ$63)="EMPTY")+(UPPER($AS$63:$AZ$63)="(EMPTY)"))&gt;0,IFERROR(('Final Calculation Sheet'!$B$7)&amp;"","")="",ISNUMBER(SEARCH($AS$63:$AZ$63,IFERROR(('Final Calculation Sheet'!$B$7)&amp;"","")))))&gt;0),IF(COUNTIF($BI$63:$BP$63,8)=0,TRUE,SUMPRODUCT(($BI$63:$BP$63=8)*($AS$63:$AZ$63&lt;&gt;"")*IF(((UPPER($AS$63:$AZ$63)="BLANK")+(UPPER($AS$63:$AZ$63)="(BLANK)")+(UPPER($AS$63:$AZ$63)="EMPTY")+(UPPER($AS$63:$AZ$63)="(EMPTY)"))&gt;0,IFERROR(('Final Calculation Sheet'!$B$7)&amp;"","")="",ISNUMBER(SEARCH($AS$63:$AZ$63,IFERROR(('Final Calculation Sheet'!$B$7)&amp;"","")))))&gt;0))))</f>
        <v>1</v>
      </c>
      <c r="BQ8">
        <f>IF($E$4="",1,--(AND(SUMPRODUCT(--($AS$64:$AZ$64&lt;&gt;""))&gt;0,IF(COUNTIF($BI$64:$BP$64,1)=0,TRUE,SUMPRODUCT(($BI$64:$BP$64=1)*($AS$64:$AZ$64&lt;&gt;"")*IF(((UPPER($AS$64:$AZ$64)="BLANK")+(UPPER($AS$64:$AZ$64)="(BLANK)")+(UPPER($AS$64:$AZ$64)="EMPTY")+(UPPER($AS$64:$AZ$64)="(EMPTY)"))&gt;0,IFERROR(('Final Calculation Sheet'!$D$7)&amp;"","")="",ISNUMBER(SEARCH($AS$64:$AZ$64,IFERROR(('Final Calculation Sheet'!$D$7)&amp;"","")))))&gt;0),IF(COUNTIF($BI$64:$BP$64,2)=0,TRUE,SUMPRODUCT(($BI$64:$BP$64=2)*($AS$64:$AZ$64&lt;&gt;"")*IF(((UPPER($AS$64:$AZ$64)="BLANK")+(UPPER($AS$64:$AZ$64)="(BLANK)")+(UPPER($AS$64:$AZ$64)="EMPTY")+(UPPER($AS$64:$AZ$64)="(EMPTY)"))&gt;0,IFERROR(('Final Calculation Sheet'!$D$7)&amp;"","")="",ISNUMBER(SEARCH($AS$64:$AZ$64,IFERROR(('Final Calculation Sheet'!$D$7)&amp;"","")))))&gt;0),IF(COUNTIF($BI$64:$BP$64,3)=0,TRUE,SUMPRODUCT(($BI$64:$BP$64=3)*($AS$64:$AZ$64&lt;&gt;"")*IF(((UPPER($AS$64:$AZ$64)="BLANK")+(UPPER($AS$64:$AZ$64)="(BLANK)")+(UPPER($AS$64:$AZ$64)="EMPTY")+(UPPER($AS$64:$AZ$64)="(EMPTY)"))&gt;0,IFERROR(('Final Calculation Sheet'!$D$7)&amp;"","")="",ISNUMBER(SEARCH($AS$64:$AZ$64,IFERROR(('Final Calculation Sheet'!$D$7)&amp;"","")))))&gt;0),IF(COUNTIF($BI$64:$BP$64,4)=0,TRUE,SUMPRODUCT(($BI$64:$BP$64=4)*($AS$64:$AZ$64&lt;&gt;"")*IF(((UPPER($AS$64:$AZ$64)="BLANK")+(UPPER($AS$64:$AZ$64)="(BLANK)")+(UPPER($AS$64:$AZ$64)="EMPTY")+(UPPER($AS$64:$AZ$64)="(EMPTY)"))&gt;0,IFERROR(('Final Calculation Sheet'!$D$7)&amp;"","")="",ISNUMBER(SEARCH($AS$64:$AZ$64,IFERROR(('Final Calculation Sheet'!$D$7)&amp;"","")))))&gt;0),IF(COUNTIF($BI$64:$BP$64,5)=0,TRUE,SUMPRODUCT(($BI$64:$BP$64=5)*($AS$64:$AZ$64&lt;&gt;"")*IF(((UPPER($AS$64:$AZ$64)="BLANK")+(UPPER($AS$64:$AZ$64)="(BLANK)")+(UPPER($AS$64:$AZ$64)="EMPTY")+(UPPER($AS$64:$AZ$64)="(EMPTY)"))&gt;0,IFERROR(('Final Calculation Sheet'!$D$7)&amp;"","")="",ISNUMBER(SEARCH($AS$64:$AZ$64,IFERROR(('Final Calculation Sheet'!$D$7)&amp;"","")))))&gt;0),IF(COUNTIF($BI$64:$BP$64,6)=0,TRUE,SUMPRODUCT(($BI$64:$BP$64=6)*($AS$64:$AZ$64&lt;&gt;"")*IF(((UPPER($AS$64:$AZ$64)="BLANK")+(UPPER($AS$64:$AZ$64)="(BLANK)")+(UPPER($AS$64:$AZ$64)="EMPTY")+(UPPER($AS$64:$AZ$64)="(EMPTY)"))&gt;0,IFERROR(('Final Calculation Sheet'!$D$7)&amp;"","")="",ISNUMBER(SEARCH($AS$64:$AZ$64,IFERROR(('Final Calculation Sheet'!$D$7)&amp;"","")))))&gt;0),IF(COUNTIF($BI$64:$BP$64,7)=0,TRUE,SUMPRODUCT(($BI$64:$BP$64=7)*($AS$64:$AZ$64&lt;&gt;"")*IF(((UPPER($AS$64:$AZ$64)="BLANK")+(UPPER($AS$64:$AZ$64)="(BLANK)")+(UPPER($AS$64:$AZ$64)="EMPTY")+(UPPER($AS$64:$AZ$64)="(EMPTY)"))&gt;0,IFERROR(('Final Calculation Sheet'!$D$7)&amp;"","")="",ISNUMBER(SEARCH($AS$64:$AZ$64,IFERROR(('Final Calculation Sheet'!$D$7)&amp;"","")))))&gt;0),IF(COUNTIF($BI$64:$BP$64,8)=0,TRUE,SUMPRODUCT(($BI$64:$BP$64=8)*($AS$64:$AZ$64&lt;&gt;"")*IF(((UPPER($AS$64:$AZ$64)="BLANK")+(UPPER($AS$64:$AZ$64)="(BLANK)")+(UPPER($AS$64:$AZ$64)="EMPTY")+(UPPER($AS$64:$AZ$64)="(EMPTY)"))&gt;0,IFERROR(('Final Calculation Sheet'!$D$7)&amp;"","")="",ISNUMBER(SEARCH($AS$64:$AZ$64,IFERROR(('Final Calculation Sheet'!$D$7)&amp;"","")))))&gt;0))))</f>
        <v>1</v>
      </c>
      <c r="BR8">
        <f>IF($F$4="",1,--(AND(SUMPRODUCT(--($AS$65:$AZ$65&lt;&gt;""))&gt;0,IF(COUNTIF($BI$65:$BP$65,1)=0,TRUE,SUMPRODUCT(($BI$65:$BP$65=1)*($AS$65:$AZ$65&lt;&gt;"")*IF(((UPPER($AS$65:$AZ$65)="BLANK")+(UPPER($AS$65:$AZ$65)="(BLANK)")+(UPPER($AS$65:$AZ$65)="EMPTY")+(UPPER($AS$65:$AZ$65)="(EMPTY)"))&gt;0,IFERROR(('Final Calculation Sheet'!$A$7)&amp;"","")="",ISNUMBER(SEARCH($AS$65:$AZ$65,IFERROR(('Final Calculation Sheet'!$A$7)&amp;"","")))))&gt;0),IF(COUNTIF($BI$65:$BP$65,2)=0,TRUE,SUMPRODUCT(($BI$65:$BP$65=2)*($AS$65:$AZ$65&lt;&gt;"")*IF(((UPPER($AS$65:$AZ$65)="BLANK")+(UPPER($AS$65:$AZ$65)="(BLANK)")+(UPPER($AS$65:$AZ$65)="EMPTY")+(UPPER($AS$65:$AZ$65)="(EMPTY)"))&gt;0,IFERROR(('Final Calculation Sheet'!$A$7)&amp;"","")="",ISNUMBER(SEARCH($AS$65:$AZ$65,IFERROR(('Final Calculation Sheet'!$A$7)&amp;"","")))))&gt;0),IF(COUNTIF($BI$65:$BP$65,3)=0,TRUE,SUMPRODUCT(($BI$65:$BP$65=3)*($AS$65:$AZ$65&lt;&gt;"")*IF(((UPPER($AS$65:$AZ$65)="BLANK")+(UPPER($AS$65:$AZ$65)="(BLANK)")+(UPPER($AS$65:$AZ$65)="EMPTY")+(UPPER($AS$65:$AZ$65)="(EMPTY)"))&gt;0,IFERROR(('Final Calculation Sheet'!$A$7)&amp;"","")="",ISNUMBER(SEARCH($AS$65:$AZ$65,IFERROR(('Final Calculation Sheet'!$A$7)&amp;"","")))))&gt;0),IF(COUNTIF($BI$65:$BP$65,4)=0,TRUE,SUMPRODUCT(($BI$65:$BP$65=4)*($AS$65:$AZ$65&lt;&gt;"")*IF(((UPPER($AS$65:$AZ$65)="BLANK")+(UPPER($AS$65:$AZ$65)="(BLANK)")+(UPPER($AS$65:$AZ$65)="EMPTY")+(UPPER($AS$65:$AZ$65)="(EMPTY)"))&gt;0,IFERROR(('Final Calculation Sheet'!$A$7)&amp;"","")="",ISNUMBER(SEARCH($AS$65:$AZ$65,IFERROR(('Final Calculation Sheet'!$A$7)&amp;"","")))))&gt;0),IF(COUNTIF($BI$65:$BP$65,5)=0,TRUE,SUMPRODUCT(($BI$65:$BP$65=5)*($AS$65:$AZ$65&lt;&gt;"")*IF(((UPPER($AS$65:$AZ$65)="BLANK")+(UPPER($AS$65:$AZ$65)="(BLANK)")+(UPPER($AS$65:$AZ$65)="EMPTY")+(UPPER($AS$65:$AZ$65)="(EMPTY)"))&gt;0,IFERROR(('Final Calculation Sheet'!$A$7)&amp;"","")="",ISNUMBER(SEARCH($AS$65:$AZ$65,IFERROR(('Final Calculation Sheet'!$A$7)&amp;"","")))))&gt;0),IF(COUNTIF($BI$65:$BP$65,6)=0,TRUE,SUMPRODUCT(($BI$65:$BP$65=6)*($AS$65:$AZ$65&lt;&gt;"")*IF(((UPPER($AS$65:$AZ$65)="BLANK")+(UPPER($AS$65:$AZ$65)="(BLANK)")+(UPPER($AS$65:$AZ$65)="EMPTY")+(UPPER($AS$65:$AZ$65)="(EMPTY)"))&gt;0,IFERROR(('Final Calculation Sheet'!$A$7)&amp;"","")="",ISNUMBER(SEARCH($AS$65:$AZ$65,IFERROR(('Final Calculation Sheet'!$A$7)&amp;"","")))))&gt;0),IF(COUNTIF($BI$65:$BP$65,7)=0,TRUE,SUMPRODUCT(($BI$65:$BP$65=7)*($AS$65:$AZ$65&lt;&gt;"")*IF(((UPPER($AS$65:$AZ$65)="BLANK")+(UPPER($AS$65:$AZ$65)="(BLANK)")+(UPPER($AS$65:$AZ$65)="EMPTY")+(UPPER($AS$65:$AZ$65)="(EMPTY)"))&gt;0,IFERROR(('Final Calculation Sheet'!$A$7)&amp;"","")="",ISNUMBER(SEARCH($AS$65:$AZ$65,IFERROR(('Final Calculation Sheet'!$A$7)&amp;"","")))))&gt;0),IF(COUNTIF($BI$65:$BP$65,8)=0,TRUE,SUMPRODUCT(($BI$65:$BP$65=8)*($AS$65:$AZ$65&lt;&gt;"")*IF(((UPPER($AS$65:$AZ$65)="BLANK")+(UPPER($AS$65:$AZ$65)="(BLANK)")+(UPPER($AS$65:$AZ$65)="EMPTY")+(UPPER($AS$65:$AZ$65)="(EMPTY)"))&gt;0,IFERROR(('Final Calculation Sheet'!$A$7)&amp;"","")="",ISNUMBER(SEARCH($AS$65:$AZ$65,IFERROR(('Final Calculation Sheet'!$A$7)&amp;"","")))))&gt;0))))</f>
        <v>1</v>
      </c>
      <c r="BS8">
        <f>IF($G$4="",1,--(AND(SUMPRODUCT(--($AS$66:$AZ$66&lt;&gt;""))&gt;0,IF(COUNTIF($BI$66:$BP$66,1)=0,TRUE,SUMPRODUCT(($BI$66:$BP$66=1)*($AS$66:$AZ$66&lt;&gt;"")*IF(((UPPER($AS$66:$AZ$66)="BLANK")+(UPPER($AS$66:$AZ$66)="(BLANK)")+(UPPER($AS$66:$AZ$66)="EMPTY")+(UPPER($AS$66:$AZ$66)="(EMPTY)"))&gt;0,IFERROR(('Final Calculation Sheet'!$E$7)&amp;"","")="",ISNUMBER(SEARCH($AS$66:$AZ$66,IFERROR(('Final Calculation Sheet'!$E$7)&amp;"","")))))&gt;0),IF(COUNTIF($BI$66:$BP$66,2)=0,TRUE,SUMPRODUCT(($BI$66:$BP$66=2)*($AS$66:$AZ$66&lt;&gt;"")*IF(((UPPER($AS$66:$AZ$66)="BLANK")+(UPPER($AS$66:$AZ$66)="(BLANK)")+(UPPER($AS$66:$AZ$66)="EMPTY")+(UPPER($AS$66:$AZ$66)="(EMPTY)"))&gt;0,IFERROR(('Final Calculation Sheet'!$E$7)&amp;"","")="",ISNUMBER(SEARCH($AS$66:$AZ$66,IFERROR(('Final Calculation Sheet'!$E$7)&amp;"","")))))&gt;0),IF(COUNTIF($BI$66:$BP$66,3)=0,TRUE,SUMPRODUCT(($BI$66:$BP$66=3)*($AS$66:$AZ$66&lt;&gt;"")*IF(((UPPER($AS$66:$AZ$66)="BLANK")+(UPPER($AS$66:$AZ$66)="(BLANK)")+(UPPER($AS$66:$AZ$66)="EMPTY")+(UPPER($AS$66:$AZ$66)="(EMPTY)"))&gt;0,IFERROR(('Final Calculation Sheet'!$E$7)&amp;"","")="",ISNUMBER(SEARCH($AS$66:$AZ$66,IFERROR(('Final Calculation Sheet'!$E$7)&amp;"","")))))&gt;0),IF(COUNTIF($BI$66:$BP$66,4)=0,TRUE,SUMPRODUCT(($BI$66:$BP$66=4)*($AS$66:$AZ$66&lt;&gt;"")*IF(((UPPER($AS$66:$AZ$66)="BLANK")+(UPPER($AS$66:$AZ$66)="(BLANK)")+(UPPER($AS$66:$AZ$66)="EMPTY")+(UPPER($AS$66:$AZ$66)="(EMPTY)"))&gt;0,IFERROR(('Final Calculation Sheet'!$E$7)&amp;"","")="",ISNUMBER(SEARCH($AS$66:$AZ$66,IFERROR(('Final Calculation Sheet'!$E$7)&amp;"","")))))&gt;0),IF(COUNTIF($BI$66:$BP$66,5)=0,TRUE,SUMPRODUCT(($BI$66:$BP$66=5)*($AS$66:$AZ$66&lt;&gt;"")*IF(((UPPER($AS$66:$AZ$66)="BLANK")+(UPPER($AS$66:$AZ$66)="(BLANK)")+(UPPER($AS$66:$AZ$66)="EMPTY")+(UPPER($AS$66:$AZ$66)="(EMPTY)"))&gt;0,IFERROR(('Final Calculation Sheet'!$E$7)&amp;"","")="",ISNUMBER(SEARCH($AS$66:$AZ$66,IFERROR(('Final Calculation Sheet'!$E$7)&amp;"","")))))&gt;0),IF(COUNTIF($BI$66:$BP$66,6)=0,TRUE,SUMPRODUCT(($BI$66:$BP$66=6)*($AS$66:$AZ$66&lt;&gt;"")*IF(((UPPER($AS$66:$AZ$66)="BLANK")+(UPPER($AS$66:$AZ$66)="(BLANK)")+(UPPER($AS$66:$AZ$66)="EMPTY")+(UPPER($AS$66:$AZ$66)="(EMPTY)"))&gt;0,IFERROR(('Final Calculation Sheet'!$E$7)&amp;"","")="",ISNUMBER(SEARCH($AS$66:$AZ$66,IFERROR(('Final Calculation Sheet'!$E$7)&amp;"","")))))&gt;0),IF(COUNTIF($BI$66:$BP$66,7)=0,TRUE,SUMPRODUCT(($BI$66:$BP$66=7)*($AS$66:$AZ$66&lt;&gt;"")*IF(((UPPER($AS$66:$AZ$66)="BLANK")+(UPPER($AS$66:$AZ$66)="(BLANK)")+(UPPER($AS$66:$AZ$66)="EMPTY")+(UPPER($AS$66:$AZ$66)="(EMPTY)"))&gt;0,IFERROR(('Final Calculation Sheet'!$E$7)&amp;"","")="",ISNUMBER(SEARCH($AS$66:$AZ$66,IFERROR(('Final Calculation Sheet'!$E$7)&amp;"","")))))&gt;0),IF(COUNTIF($BI$66:$BP$66,8)=0,TRUE,SUMPRODUCT(($BI$66:$BP$66=8)*($AS$66:$AZ$66&lt;&gt;"")*IF(((UPPER($AS$66:$AZ$66)="BLANK")+(UPPER($AS$66:$AZ$66)="(BLANK)")+(UPPER($AS$66:$AZ$66)="EMPTY")+(UPPER($AS$66:$AZ$66)="(EMPTY)"))&gt;0,IFERROR(('Final Calculation Sheet'!$E$7)&amp;"","")="",ISNUMBER(SEARCH($AS$66:$AZ$66,IFERROR(('Final Calculation Sheet'!$E$7)&amp;"","")))))&gt;0))))</f>
        <v>1</v>
      </c>
      <c r="BT8">
        <f>IF($H$4="",1,--(AND(SUMPRODUCT(--($AS$67:$AZ$67&lt;&gt;""))&gt;0,IF(COUNTIF($BI$67:$BP$67,1)=0,TRUE,SUMPRODUCT(($BI$67:$BP$67=1)*($AS$67:$AZ$67&lt;&gt;"")*IF(((UPPER($AS$67:$AZ$67)="BLANK")+(UPPER($AS$67:$AZ$67)="(BLANK)")+(UPPER($AS$67:$AZ$67)="EMPTY")+(UPPER($AS$67:$AZ$67)="(EMPTY)"))&gt;0,IFERROR(('Final Calculation Sheet'!$C$7)&amp;"","")="",ISNUMBER(SEARCH($AS$67:$AZ$67,IFERROR(('Final Calculation Sheet'!$C$7)&amp;"","")))))&gt;0),IF(COUNTIF($BI$67:$BP$67,2)=0,TRUE,SUMPRODUCT(($BI$67:$BP$67=2)*($AS$67:$AZ$67&lt;&gt;"")*IF(((UPPER($AS$67:$AZ$67)="BLANK")+(UPPER($AS$67:$AZ$67)="(BLANK)")+(UPPER($AS$67:$AZ$67)="EMPTY")+(UPPER($AS$67:$AZ$67)="(EMPTY)"))&gt;0,IFERROR(('Final Calculation Sheet'!$C$7)&amp;"","")="",ISNUMBER(SEARCH($AS$67:$AZ$67,IFERROR(('Final Calculation Sheet'!$C$7)&amp;"","")))))&gt;0),IF(COUNTIF($BI$67:$BP$67,3)=0,TRUE,SUMPRODUCT(($BI$67:$BP$67=3)*($AS$67:$AZ$67&lt;&gt;"")*IF(((UPPER($AS$67:$AZ$67)="BLANK")+(UPPER($AS$67:$AZ$67)="(BLANK)")+(UPPER($AS$67:$AZ$67)="EMPTY")+(UPPER($AS$67:$AZ$67)="(EMPTY)"))&gt;0,IFERROR(('Final Calculation Sheet'!$C$7)&amp;"","")="",ISNUMBER(SEARCH($AS$67:$AZ$67,IFERROR(('Final Calculation Sheet'!$C$7)&amp;"","")))))&gt;0),IF(COUNTIF($BI$67:$BP$67,4)=0,TRUE,SUMPRODUCT(($BI$67:$BP$67=4)*($AS$67:$AZ$67&lt;&gt;"")*IF(((UPPER($AS$67:$AZ$67)="BLANK")+(UPPER($AS$67:$AZ$67)="(BLANK)")+(UPPER($AS$67:$AZ$67)="EMPTY")+(UPPER($AS$67:$AZ$67)="(EMPTY)"))&gt;0,IFERROR(('Final Calculation Sheet'!$C$7)&amp;"","")="",ISNUMBER(SEARCH($AS$67:$AZ$67,IFERROR(('Final Calculation Sheet'!$C$7)&amp;"","")))))&gt;0),IF(COUNTIF($BI$67:$BP$67,5)=0,TRUE,SUMPRODUCT(($BI$67:$BP$67=5)*($AS$67:$AZ$67&lt;&gt;"")*IF(((UPPER($AS$67:$AZ$67)="BLANK")+(UPPER($AS$67:$AZ$67)="(BLANK)")+(UPPER($AS$67:$AZ$67)="EMPTY")+(UPPER($AS$67:$AZ$67)="(EMPTY)"))&gt;0,IFERROR(('Final Calculation Sheet'!$C$7)&amp;"","")="",ISNUMBER(SEARCH($AS$67:$AZ$67,IFERROR(('Final Calculation Sheet'!$C$7)&amp;"","")))))&gt;0),IF(COUNTIF($BI$67:$BP$67,6)=0,TRUE,SUMPRODUCT(($BI$67:$BP$67=6)*($AS$67:$AZ$67&lt;&gt;"")*IF(((UPPER($AS$67:$AZ$67)="BLANK")+(UPPER($AS$67:$AZ$67)="(BLANK)")+(UPPER($AS$67:$AZ$67)="EMPTY")+(UPPER($AS$67:$AZ$67)="(EMPTY)"))&gt;0,IFERROR(('Final Calculation Sheet'!$C$7)&amp;"","")="",ISNUMBER(SEARCH($AS$67:$AZ$67,IFERROR(('Final Calculation Sheet'!$C$7)&amp;"","")))))&gt;0),IF(COUNTIF($BI$67:$BP$67,7)=0,TRUE,SUMPRODUCT(($BI$67:$BP$67=7)*($AS$67:$AZ$67&lt;&gt;"")*IF(((UPPER($AS$67:$AZ$67)="BLANK")+(UPPER($AS$67:$AZ$67)="(BLANK)")+(UPPER($AS$67:$AZ$67)="EMPTY")+(UPPER($AS$67:$AZ$67)="(EMPTY)"))&gt;0,IFERROR(('Final Calculation Sheet'!$C$7)&amp;"","")="",ISNUMBER(SEARCH($AS$67:$AZ$67,IFERROR(('Final Calculation Sheet'!$C$7)&amp;"","")))))&gt;0),IF(COUNTIF($BI$67:$BP$67,8)=0,TRUE,SUMPRODUCT(($BI$67:$BP$67=8)*($AS$67:$AZ$67&lt;&gt;"")*IF(((UPPER($AS$67:$AZ$67)="BLANK")+(UPPER($AS$67:$AZ$67)="(BLANK)")+(UPPER($AS$67:$AZ$67)="EMPTY")+(UPPER($AS$67:$AZ$67)="(EMPTY)"))&gt;0,IFERROR(('Final Calculation Sheet'!$C$7)&amp;"","")="",ISNUMBER(SEARCH($AS$67:$AZ$67,IFERROR(('Final Calculation Sheet'!$C$7)&amp;"","")))))&gt;0))))</f>
        <v>1</v>
      </c>
      <c r="BU8">
        <f>IF($I$4="",1,--(AND(SUMPRODUCT(--($AS$68:$AZ$68&lt;&gt;""))&gt;0,IF(COUNTIF($BI$68:$BP$68,1)=0,TRUE,SUMPRODUCT(($BI$68:$BP$68=1)*($AS$68:$AZ$68&lt;&gt;"")*IF(((UPPER($AS$68:$AZ$68)="BLANK")+(UPPER($AS$68:$AZ$68)="(BLANK)")+(UPPER($AS$68:$AZ$68)="EMPTY")+(UPPER($AS$68:$AZ$68)="(EMPTY)"))&gt;0,IFERROR(('Final Calculation Sheet'!$H$7)&amp;"","")="",ISNUMBER(SEARCH($AS$68:$AZ$68,IFERROR(('Final Calculation Sheet'!$H$7)&amp;"","")))))&gt;0),IF(COUNTIF($BI$68:$BP$68,2)=0,TRUE,SUMPRODUCT(($BI$68:$BP$68=2)*($AS$68:$AZ$68&lt;&gt;"")*IF(((UPPER($AS$68:$AZ$68)="BLANK")+(UPPER($AS$68:$AZ$68)="(BLANK)")+(UPPER($AS$68:$AZ$68)="EMPTY")+(UPPER($AS$68:$AZ$68)="(EMPTY)"))&gt;0,IFERROR(('Final Calculation Sheet'!$H$7)&amp;"","")="",ISNUMBER(SEARCH($AS$68:$AZ$68,IFERROR(('Final Calculation Sheet'!$H$7)&amp;"","")))))&gt;0),IF(COUNTIF($BI$68:$BP$68,3)=0,TRUE,SUMPRODUCT(($BI$68:$BP$68=3)*($AS$68:$AZ$68&lt;&gt;"")*IF(((UPPER($AS$68:$AZ$68)="BLANK")+(UPPER($AS$68:$AZ$68)="(BLANK)")+(UPPER($AS$68:$AZ$68)="EMPTY")+(UPPER($AS$68:$AZ$68)="(EMPTY)"))&gt;0,IFERROR(('Final Calculation Sheet'!$H$7)&amp;"","")="",ISNUMBER(SEARCH($AS$68:$AZ$68,IFERROR(('Final Calculation Sheet'!$H$7)&amp;"","")))))&gt;0),IF(COUNTIF($BI$68:$BP$68,4)=0,TRUE,SUMPRODUCT(($BI$68:$BP$68=4)*($AS$68:$AZ$68&lt;&gt;"")*IF(((UPPER($AS$68:$AZ$68)="BLANK")+(UPPER($AS$68:$AZ$68)="(BLANK)")+(UPPER($AS$68:$AZ$68)="EMPTY")+(UPPER($AS$68:$AZ$68)="(EMPTY)"))&gt;0,IFERROR(('Final Calculation Sheet'!$H$7)&amp;"","")="",ISNUMBER(SEARCH($AS$68:$AZ$68,IFERROR(('Final Calculation Sheet'!$H$7)&amp;"","")))))&gt;0),IF(COUNTIF($BI$68:$BP$68,5)=0,TRUE,SUMPRODUCT(($BI$68:$BP$68=5)*($AS$68:$AZ$68&lt;&gt;"")*IF(((UPPER($AS$68:$AZ$68)="BLANK")+(UPPER($AS$68:$AZ$68)="(BLANK)")+(UPPER($AS$68:$AZ$68)="EMPTY")+(UPPER($AS$68:$AZ$68)="(EMPTY)"))&gt;0,IFERROR(('Final Calculation Sheet'!$H$7)&amp;"","")="",ISNUMBER(SEARCH($AS$68:$AZ$68,IFERROR(('Final Calculation Sheet'!$H$7)&amp;"","")))))&gt;0),IF(COUNTIF($BI$68:$BP$68,6)=0,TRUE,SUMPRODUCT(($BI$68:$BP$68=6)*($AS$68:$AZ$68&lt;&gt;"")*IF(((UPPER($AS$68:$AZ$68)="BLANK")+(UPPER($AS$68:$AZ$68)="(BLANK)")+(UPPER($AS$68:$AZ$68)="EMPTY")+(UPPER($AS$68:$AZ$68)="(EMPTY)"))&gt;0,IFERROR(('Final Calculation Sheet'!$H$7)&amp;"","")="",ISNUMBER(SEARCH($AS$68:$AZ$68,IFERROR(('Final Calculation Sheet'!$H$7)&amp;"","")))))&gt;0),IF(COUNTIF($BI$68:$BP$68,7)=0,TRUE,SUMPRODUCT(($BI$68:$BP$68=7)*($AS$68:$AZ$68&lt;&gt;"")*IF(((UPPER($AS$68:$AZ$68)="BLANK")+(UPPER($AS$68:$AZ$68)="(BLANK)")+(UPPER($AS$68:$AZ$68)="EMPTY")+(UPPER($AS$68:$AZ$68)="(EMPTY)"))&gt;0,IFERROR(('Final Calculation Sheet'!$H$7)&amp;"","")="",ISNUMBER(SEARCH($AS$68:$AZ$68,IFERROR(('Final Calculation Sheet'!$H$7)&amp;"","")))))&gt;0),IF(COUNTIF($BI$68:$BP$68,8)=0,TRUE,SUMPRODUCT(($BI$68:$BP$68=8)*($AS$68:$AZ$68&lt;&gt;"")*IF(((UPPER($AS$68:$AZ$68)="BLANK")+(UPPER($AS$68:$AZ$68)="(BLANK)")+(UPPER($AS$68:$AZ$68)="EMPTY")+(UPPER($AS$68:$AZ$68)="(EMPTY)"))&gt;0,IFERROR(('Final Calculation Sheet'!$H$7)&amp;"","")="",ISNUMBER(SEARCH($AS$68:$AZ$68,IFERROR(('Final Calculation Sheet'!$H$7)&amp;"","")))))&gt;0))))</f>
        <v>1</v>
      </c>
      <c r="BV8">
        <f>IF($J$4="",1,--(AND(SUMPRODUCT(--($AS$69:$AZ$69&lt;&gt;""))&gt;0,IF(COUNTIF($BI$69:$BP$69,1)=0,TRUE,SUMPRODUCT(($BI$69:$BP$69=1)*($AS$69:$AZ$69&lt;&gt;"")*IF(((UPPER($AS$69:$AZ$69)="BLANK")+(UPPER($AS$69:$AZ$69)="(BLANK)")+(UPPER($AS$69:$AZ$69)="EMPTY")+(UPPER($AS$69:$AZ$69)="(EMPTY)"))&gt;0,IFERROR(('Final Calculation Sheet'!$I$7)&amp;"","")="",ISNUMBER(SEARCH($AS$69:$AZ$69,IFERROR(('Final Calculation Sheet'!$I$7)&amp;"","")))))&gt;0),IF(COUNTIF($BI$69:$BP$69,2)=0,TRUE,SUMPRODUCT(($BI$69:$BP$69=2)*($AS$69:$AZ$69&lt;&gt;"")*IF(((UPPER($AS$69:$AZ$69)="BLANK")+(UPPER($AS$69:$AZ$69)="(BLANK)")+(UPPER($AS$69:$AZ$69)="EMPTY")+(UPPER($AS$69:$AZ$69)="(EMPTY)"))&gt;0,IFERROR(('Final Calculation Sheet'!$I$7)&amp;"","")="",ISNUMBER(SEARCH($AS$69:$AZ$69,IFERROR(('Final Calculation Sheet'!$I$7)&amp;"","")))))&gt;0),IF(COUNTIF($BI$69:$BP$69,3)=0,TRUE,SUMPRODUCT(($BI$69:$BP$69=3)*($AS$69:$AZ$69&lt;&gt;"")*IF(((UPPER($AS$69:$AZ$69)="BLANK")+(UPPER($AS$69:$AZ$69)="(BLANK)")+(UPPER($AS$69:$AZ$69)="EMPTY")+(UPPER($AS$69:$AZ$69)="(EMPTY)"))&gt;0,IFERROR(('Final Calculation Sheet'!$I$7)&amp;"","")="",ISNUMBER(SEARCH($AS$69:$AZ$69,IFERROR(('Final Calculation Sheet'!$I$7)&amp;"","")))))&gt;0),IF(COUNTIF($BI$69:$BP$69,4)=0,TRUE,SUMPRODUCT(($BI$69:$BP$69=4)*($AS$69:$AZ$69&lt;&gt;"")*IF(((UPPER($AS$69:$AZ$69)="BLANK")+(UPPER($AS$69:$AZ$69)="(BLANK)")+(UPPER($AS$69:$AZ$69)="EMPTY")+(UPPER($AS$69:$AZ$69)="(EMPTY)"))&gt;0,IFERROR(('Final Calculation Sheet'!$I$7)&amp;"","")="",ISNUMBER(SEARCH($AS$69:$AZ$69,IFERROR(('Final Calculation Sheet'!$I$7)&amp;"","")))))&gt;0),IF(COUNTIF($BI$69:$BP$69,5)=0,TRUE,SUMPRODUCT(($BI$69:$BP$69=5)*($AS$69:$AZ$69&lt;&gt;"")*IF(((UPPER($AS$69:$AZ$69)="BLANK")+(UPPER($AS$69:$AZ$69)="(BLANK)")+(UPPER($AS$69:$AZ$69)="EMPTY")+(UPPER($AS$69:$AZ$69)="(EMPTY)"))&gt;0,IFERROR(('Final Calculation Sheet'!$I$7)&amp;"","")="",ISNUMBER(SEARCH($AS$69:$AZ$69,IFERROR(('Final Calculation Sheet'!$I$7)&amp;"","")))))&gt;0),IF(COUNTIF($BI$69:$BP$69,6)=0,TRUE,SUMPRODUCT(($BI$69:$BP$69=6)*($AS$69:$AZ$69&lt;&gt;"")*IF(((UPPER($AS$69:$AZ$69)="BLANK")+(UPPER($AS$69:$AZ$69)="(BLANK)")+(UPPER($AS$69:$AZ$69)="EMPTY")+(UPPER($AS$69:$AZ$69)="(EMPTY)"))&gt;0,IFERROR(('Final Calculation Sheet'!$I$7)&amp;"","")="",ISNUMBER(SEARCH($AS$69:$AZ$69,IFERROR(('Final Calculation Sheet'!$I$7)&amp;"","")))))&gt;0),IF(COUNTIF($BI$69:$BP$69,7)=0,TRUE,SUMPRODUCT(($BI$69:$BP$69=7)*($AS$69:$AZ$69&lt;&gt;"")*IF(((UPPER($AS$69:$AZ$69)="BLANK")+(UPPER($AS$69:$AZ$69)="(BLANK)")+(UPPER($AS$69:$AZ$69)="EMPTY")+(UPPER($AS$69:$AZ$69)="(EMPTY)"))&gt;0,IFERROR(('Final Calculation Sheet'!$I$7)&amp;"","")="",ISNUMBER(SEARCH($AS$69:$AZ$69,IFERROR(('Final Calculation Sheet'!$I$7)&amp;"","")))))&gt;0),IF(COUNTIF($BI$69:$BP$69,8)=0,TRUE,SUMPRODUCT(($BI$69:$BP$69=8)*($AS$69:$AZ$69&lt;&gt;"")*IF(((UPPER($AS$69:$AZ$69)="BLANK")+(UPPER($AS$69:$AZ$69)="(BLANK)")+(UPPER($AS$69:$AZ$69)="EMPTY")+(UPPER($AS$69:$AZ$69)="(EMPTY)"))&gt;0,IFERROR(('Final Calculation Sheet'!$I$7)&amp;"","")="",ISNUMBER(SEARCH($AS$69:$AZ$69,IFERROR(('Final Calculation Sheet'!$I$7)&amp;"","")))))&gt;0))))</f>
        <v>1</v>
      </c>
      <c r="BW8">
        <f>IF($K$4="",1,--(AND(SUMPRODUCT(--($AS$70:$AZ$70&lt;&gt;""))&gt;0,IF(COUNTIF($BI$70:$BP$70,1)=0,TRUE,SUMPRODUCT(($BI$70:$BP$70=1)*($AS$70:$AZ$70&lt;&gt;"")*IF(((UPPER($AS$70:$AZ$70)="BLANK")+(UPPER($AS$70:$AZ$70)="(BLANK)")+(UPPER($AS$70:$AZ$70)="EMPTY")+(UPPER($AS$70:$AZ$70)="(EMPTY)"))&gt;0,IFERROR(('Final Calculation Sheet'!$J$7)&amp;"","")="",ISNUMBER(SEARCH($AS$70:$AZ$70,IFERROR(('Final Calculation Sheet'!$J$7)&amp;"","")))))&gt;0),IF(COUNTIF($BI$70:$BP$70,2)=0,TRUE,SUMPRODUCT(($BI$70:$BP$70=2)*($AS$70:$AZ$70&lt;&gt;"")*IF(((UPPER($AS$70:$AZ$70)="BLANK")+(UPPER($AS$70:$AZ$70)="(BLANK)")+(UPPER($AS$70:$AZ$70)="EMPTY")+(UPPER($AS$70:$AZ$70)="(EMPTY)"))&gt;0,IFERROR(('Final Calculation Sheet'!$J$7)&amp;"","")="",ISNUMBER(SEARCH($AS$70:$AZ$70,IFERROR(('Final Calculation Sheet'!$J$7)&amp;"","")))))&gt;0),IF(COUNTIF($BI$70:$BP$70,3)=0,TRUE,SUMPRODUCT(($BI$70:$BP$70=3)*($AS$70:$AZ$70&lt;&gt;"")*IF(((UPPER($AS$70:$AZ$70)="BLANK")+(UPPER($AS$70:$AZ$70)="(BLANK)")+(UPPER($AS$70:$AZ$70)="EMPTY")+(UPPER($AS$70:$AZ$70)="(EMPTY)"))&gt;0,IFERROR(('Final Calculation Sheet'!$J$7)&amp;"","")="",ISNUMBER(SEARCH($AS$70:$AZ$70,IFERROR(('Final Calculation Sheet'!$J$7)&amp;"","")))))&gt;0),IF(COUNTIF($BI$70:$BP$70,4)=0,TRUE,SUMPRODUCT(($BI$70:$BP$70=4)*($AS$70:$AZ$70&lt;&gt;"")*IF(((UPPER($AS$70:$AZ$70)="BLANK")+(UPPER($AS$70:$AZ$70)="(BLANK)")+(UPPER($AS$70:$AZ$70)="EMPTY")+(UPPER($AS$70:$AZ$70)="(EMPTY)"))&gt;0,IFERROR(('Final Calculation Sheet'!$J$7)&amp;"","")="",ISNUMBER(SEARCH($AS$70:$AZ$70,IFERROR(('Final Calculation Sheet'!$J$7)&amp;"","")))))&gt;0),IF(COUNTIF($BI$70:$BP$70,5)=0,TRUE,SUMPRODUCT(($BI$70:$BP$70=5)*($AS$70:$AZ$70&lt;&gt;"")*IF(((UPPER($AS$70:$AZ$70)="BLANK")+(UPPER($AS$70:$AZ$70)="(BLANK)")+(UPPER($AS$70:$AZ$70)="EMPTY")+(UPPER($AS$70:$AZ$70)="(EMPTY)"))&gt;0,IFERROR(('Final Calculation Sheet'!$J$7)&amp;"","")="",ISNUMBER(SEARCH($AS$70:$AZ$70,IFERROR(('Final Calculation Sheet'!$J$7)&amp;"","")))))&gt;0),IF(COUNTIF($BI$70:$BP$70,6)=0,TRUE,SUMPRODUCT(($BI$70:$BP$70=6)*($AS$70:$AZ$70&lt;&gt;"")*IF(((UPPER($AS$70:$AZ$70)="BLANK")+(UPPER($AS$70:$AZ$70)="(BLANK)")+(UPPER($AS$70:$AZ$70)="EMPTY")+(UPPER($AS$70:$AZ$70)="(EMPTY)"))&gt;0,IFERROR(('Final Calculation Sheet'!$J$7)&amp;"","")="",ISNUMBER(SEARCH($AS$70:$AZ$70,IFERROR(('Final Calculation Sheet'!$J$7)&amp;"","")))))&gt;0),IF(COUNTIF($BI$70:$BP$70,7)=0,TRUE,SUMPRODUCT(($BI$70:$BP$70=7)*($AS$70:$AZ$70&lt;&gt;"")*IF(((UPPER($AS$70:$AZ$70)="BLANK")+(UPPER($AS$70:$AZ$70)="(BLANK)")+(UPPER($AS$70:$AZ$70)="EMPTY")+(UPPER($AS$70:$AZ$70)="(EMPTY)"))&gt;0,IFERROR(('Final Calculation Sheet'!$J$7)&amp;"","")="",ISNUMBER(SEARCH($AS$70:$AZ$70,IFERROR(('Final Calculation Sheet'!$J$7)&amp;"","")))))&gt;0),IF(COUNTIF($BI$70:$BP$70,8)=0,TRUE,SUMPRODUCT(($BI$70:$BP$70=8)*($AS$70:$AZ$70&lt;&gt;"")*IF(((UPPER($AS$70:$AZ$70)="BLANK")+(UPPER($AS$70:$AZ$70)="(BLANK)")+(UPPER($AS$70:$AZ$70)="EMPTY")+(UPPER($AS$70:$AZ$70)="(EMPTY)"))&gt;0,IFERROR(('Final Calculation Sheet'!$J$7)&amp;"","")="",ISNUMBER(SEARCH($AS$70:$AZ$70,IFERROR(('Final Calculation Sheet'!$J$7)&amp;"","")))))&gt;0))))</f>
        <v>1</v>
      </c>
      <c r="BX8">
        <f>IF($L$4="",1,--(AND(SUMPRODUCT(--($AS$71:$AZ$71&lt;&gt;""))&gt;0,IF(COUNTIF($BI$71:$BP$71,1)=0,TRUE,SUMPRODUCT(($BI$71:$BP$71=1)*($AS$71:$AZ$71&lt;&gt;"")*IF(((UPPER($AS$71:$AZ$71)="BLANK")+(UPPER($AS$71:$AZ$71)="(BLANK)")+(UPPER($AS$71:$AZ$71)="EMPTY")+(UPPER($AS$71:$AZ$71)="(EMPTY)"))&gt;0,IFERROR(('Final Calculation Sheet'!$K$7)&amp;"","")="",ISNUMBER(SEARCH($AS$71:$AZ$71,IFERROR(('Final Calculation Sheet'!$K$7)&amp;"","")))))&gt;0),IF(COUNTIF($BI$71:$BP$71,2)=0,TRUE,SUMPRODUCT(($BI$71:$BP$71=2)*($AS$71:$AZ$71&lt;&gt;"")*IF(((UPPER($AS$71:$AZ$71)="BLANK")+(UPPER($AS$71:$AZ$71)="(BLANK)")+(UPPER($AS$71:$AZ$71)="EMPTY")+(UPPER($AS$71:$AZ$71)="(EMPTY)"))&gt;0,IFERROR(('Final Calculation Sheet'!$K$7)&amp;"","")="",ISNUMBER(SEARCH($AS$71:$AZ$71,IFERROR(('Final Calculation Sheet'!$K$7)&amp;"","")))))&gt;0),IF(COUNTIF($BI$71:$BP$71,3)=0,TRUE,SUMPRODUCT(($BI$71:$BP$71=3)*($AS$71:$AZ$71&lt;&gt;"")*IF(((UPPER($AS$71:$AZ$71)="BLANK")+(UPPER($AS$71:$AZ$71)="(BLANK)")+(UPPER($AS$71:$AZ$71)="EMPTY")+(UPPER($AS$71:$AZ$71)="(EMPTY)"))&gt;0,IFERROR(('Final Calculation Sheet'!$K$7)&amp;"","")="",ISNUMBER(SEARCH($AS$71:$AZ$71,IFERROR(('Final Calculation Sheet'!$K$7)&amp;"","")))))&gt;0),IF(COUNTIF($BI$71:$BP$71,4)=0,TRUE,SUMPRODUCT(($BI$71:$BP$71=4)*($AS$71:$AZ$71&lt;&gt;"")*IF(((UPPER($AS$71:$AZ$71)="BLANK")+(UPPER($AS$71:$AZ$71)="(BLANK)")+(UPPER($AS$71:$AZ$71)="EMPTY")+(UPPER($AS$71:$AZ$71)="(EMPTY)"))&gt;0,IFERROR(('Final Calculation Sheet'!$K$7)&amp;"","")="",ISNUMBER(SEARCH($AS$71:$AZ$71,IFERROR(('Final Calculation Sheet'!$K$7)&amp;"","")))))&gt;0),IF(COUNTIF($BI$71:$BP$71,5)=0,TRUE,SUMPRODUCT(($BI$71:$BP$71=5)*($AS$71:$AZ$71&lt;&gt;"")*IF(((UPPER($AS$71:$AZ$71)="BLANK")+(UPPER($AS$71:$AZ$71)="(BLANK)")+(UPPER($AS$71:$AZ$71)="EMPTY")+(UPPER($AS$71:$AZ$71)="(EMPTY)"))&gt;0,IFERROR(('Final Calculation Sheet'!$K$7)&amp;"","")="",ISNUMBER(SEARCH($AS$71:$AZ$71,IFERROR(('Final Calculation Sheet'!$K$7)&amp;"","")))))&gt;0),IF(COUNTIF($BI$71:$BP$71,6)=0,TRUE,SUMPRODUCT(($BI$71:$BP$71=6)*($AS$71:$AZ$71&lt;&gt;"")*IF(((UPPER($AS$71:$AZ$71)="BLANK")+(UPPER($AS$71:$AZ$71)="(BLANK)")+(UPPER($AS$71:$AZ$71)="EMPTY")+(UPPER($AS$71:$AZ$71)="(EMPTY)"))&gt;0,IFERROR(('Final Calculation Sheet'!$K$7)&amp;"","")="",ISNUMBER(SEARCH($AS$71:$AZ$71,IFERROR(('Final Calculation Sheet'!$K$7)&amp;"","")))))&gt;0),IF(COUNTIF($BI$71:$BP$71,7)=0,TRUE,SUMPRODUCT(($BI$71:$BP$71=7)*($AS$71:$AZ$71&lt;&gt;"")*IF(((UPPER($AS$71:$AZ$71)="BLANK")+(UPPER($AS$71:$AZ$71)="(BLANK)")+(UPPER($AS$71:$AZ$71)="EMPTY")+(UPPER($AS$71:$AZ$71)="(EMPTY)"))&gt;0,IFERROR(('Final Calculation Sheet'!$K$7)&amp;"","")="",ISNUMBER(SEARCH($AS$71:$AZ$71,IFERROR(('Final Calculation Sheet'!$K$7)&amp;"","")))))&gt;0),IF(COUNTIF($BI$71:$BP$71,8)=0,TRUE,SUMPRODUCT(($BI$71:$BP$71=8)*($AS$71:$AZ$71&lt;&gt;"")*IF(((UPPER($AS$71:$AZ$71)="BLANK")+(UPPER($AS$71:$AZ$71)="(BLANK)")+(UPPER($AS$71:$AZ$71)="EMPTY")+(UPPER($AS$71:$AZ$71)="(EMPTY)"))&gt;0,IFERROR(('Final Calculation Sheet'!$K$7)&amp;"","")="",ISNUMBER(SEARCH($AS$71:$AZ$71,IFERROR(('Final Calculation Sheet'!$K$7)&amp;"","")))))&gt;0))))</f>
        <v>1</v>
      </c>
      <c r="BY8">
        <f>IF($M$4="",1,--(AND(SUMPRODUCT(--($AS$72:$AZ$72&lt;&gt;""))&gt;0,IF(COUNTIF($BI$72:$BP$72,1)=0,TRUE,SUMPRODUCT(($BI$72:$BP$72=1)*($AS$72:$AZ$72&lt;&gt;"")*IF(((UPPER($AS$72:$AZ$72)="BLANK")+(UPPER($AS$72:$AZ$72)="(BLANK)")+(UPPER($AS$72:$AZ$72)="EMPTY")+(UPPER($AS$72:$AZ$72)="(EMPTY)"))&gt;0,IFERROR(('Final Calculation Sheet'!$L$7)&amp;"","")="",ISNUMBER(SEARCH($AS$72:$AZ$72,IFERROR(('Final Calculation Sheet'!$L$7)&amp;"","")))))&gt;0),IF(COUNTIF($BI$72:$BP$72,2)=0,TRUE,SUMPRODUCT(($BI$72:$BP$72=2)*($AS$72:$AZ$72&lt;&gt;"")*IF(((UPPER($AS$72:$AZ$72)="BLANK")+(UPPER($AS$72:$AZ$72)="(BLANK)")+(UPPER($AS$72:$AZ$72)="EMPTY")+(UPPER($AS$72:$AZ$72)="(EMPTY)"))&gt;0,IFERROR(('Final Calculation Sheet'!$L$7)&amp;"","")="",ISNUMBER(SEARCH($AS$72:$AZ$72,IFERROR(('Final Calculation Sheet'!$L$7)&amp;"","")))))&gt;0),IF(COUNTIF($BI$72:$BP$72,3)=0,TRUE,SUMPRODUCT(($BI$72:$BP$72=3)*($AS$72:$AZ$72&lt;&gt;"")*IF(((UPPER($AS$72:$AZ$72)="BLANK")+(UPPER($AS$72:$AZ$72)="(BLANK)")+(UPPER($AS$72:$AZ$72)="EMPTY")+(UPPER($AS$72:$AZ$72)="(EMPTY)"))&gt;0,IFERROR(('Final Calculation Sheet'!$L$7)&amp;"","")="",ISNUMBER(SEARCH($AS$72:$AZ$72,IFERROR(('Final Calculation Sheet'!$L$7)&amp;"","")))))&gt;0),IF(COUNTIF($BI$72:$BP$72,4)=0,TRUE,SUMPRODUCT(($BI$72:$BP$72=4)*($AS$72:$AZ$72&lt;&gt;"")*IF(((UPPER($AS$72:$AZ$72)="BLANK")+(UPPER($AS$72:$AZ$72)="(BLANK)")+(UPPER($AS$72:$AZ$72)="EMPTY")+(UPPER($AS$72:$AZ$72)="(EMPTY)"))&gt;0,IFERROR(('Final Calculation Sheet'!$L$7)&amp;"","")="",ISNUMBER(SEARCH($AS$72:$AZ$72,IFERROR(('Final Calculation Sheet'!$L$7)&amp;"","")))))&gt;0),IF(COUNTIF($BI$72:$BP$72,5)=0,TRUE,SUMPRODUCT(($BI$72:$BP$72=5)*($AS$72:$AZ$72&lt;&gt;"")*IF(((UPPER($AS$72:$AZ$72)="BLANK")+(UPPER($AS$72:$AZ$72)="(BLANK)")+(UPPER($AS$72:$AZ$72)="EMPTY")+(UPPER($AS$72:$AZ$72)="(EMPTY)"))&gt;0,IFERROR(('Final Calculation Sheet'!$L$7)&amp;"","")="",ISNUMBER(SEARCH($AS$72:$AZ$72,IFERROR(('Final Calculation Sheet'!$L$7)&amp;"","")))))&gt;0),IF(COUNTIF($BI$72:$BP$72,6)=0,TRUE,SUMPRODUCT(($BI$72:$BP$72=6)*($AS$72:$AZ$72&lt;&gt;"")*IF(((UPPER($AS$72:$AZ$72)="BLANK")+(UPPER($AS$72:$AZ$72)="(BLANK)")+(UPPER($AS$72:$AZ$72)="EMPTY")+(UPPER($AS$72:$AZ$72)="(EMPTY)"))&gt;0,IFERROR(('Final Calculation Sheet'!$L$7)&amp;"","")="",ISNUMBER(SEARCH($AS$72:$AZ$72,IFERROR(('Final Calculation Sheet'!$L$7)&amp;"","")))))&gt;0),IF(COUNTIF($BI$72:$BP$72,7)=0,TRUE,SUMPRODUCT(($BI$72:$BP$72=7)*($AS$72:$AZ$72&lt;&gt;"")*IF(((UPPER($AS$72:$AZ$72)="BLANK")+(UPPER($AS$72:$AZ$72)="(BLANK)")+(UPPER($AS$72:$AZ$72)="EMPTY")+(UPPER($AS$72:$AZ$72)="(EMPTY)"))&gt;0,IFERROR(('Final Calculation Sheet'!$L$7)&amp;"","")="",ISNUMBER(SEARCH($AS$72:$AZ$72,IFERROR(('Final Calculation Sheet'!$L$7)&amp;"","")))))&gt;0),IF(COUNTIF($BI$72:$BP$72,8)=0,TRUE,SUMPRODUCT(($BI$72:$BP$72=8)*($AS$72:$AZ$72&lt;&gt;"")*IF(((UPPER($AS$72:$AZ$72)="BLANK")+(UPPER($AS$72:$AZ$72)="(BLANK)")+(UPPER($AS$72:$AZ$72)="EMPTY")+(UPPER($AS$72:$AZ$72)="(EMPTY)"))&gt;0,IFERROR(('Final Calculation Sheet'!$L$7)&amp;"","")="",ISNUMBER(SEARCH($AS$72:$AZ$72,IFERROR(('Final Calculation Sheet'!$L$7)&amp;"","")))))&gt;0))))</f>
        <v>1</v>
      </c>
      <c r="BZ8">
        <f>IF($N$4="",1,--(AND(SUMPRODUCT(--($AS$73:$AZ$73&lt;&gt;""))&gt;0,IF(COUNTIF($BI$73:$BP$73,1)=0,TRUE,SUMPRODUCT(($BI$73:$BP$73=1)*($AS$73:$AZ$73&lt;&gt;"")*IF(((UPPER($AS$73:$AZ$73)="BLANK")+(UPPER($AS$73:$AZ$73)="(BLANK)")+(UPPER($AS$73:$AZ$73)="EMPTY")+(UPPER($AS$73:$AZ$73)="(EMPTY)"))&gt;0,IFERROR(('Final Calculation Sheet'!$M$7)&amp;"","")="",ISNUMBER(SEARCH($AS$73:$AZ$73,IFERROR(('Final Calculation Sheet'!$M$7)&amp;"","")))))&gt;0),IF(COUNTIF($BI$73:$BP$73,2)=0,TRUE,SUMPRODUCT(($BI$73:$BP$73=2)*($AS$73:$AZ$73&lt;&gt;"")*IF(((UPPER($AS$73:$AZ$73)="BLANK")+(UPPER($AS$73:$AZ$73)="(BLANK)")+(UPPER($AS$73:$AZ$73)="EMPTY")+(UPPER($AS$73:$AZ$73)="(EMPTY)"))&gt;0,IFERROR(('Final Calculation Sheet'!$M$7)&amp;"","")="",ISNUMBER(SEARCH($AS$73:$AZ$73,IFERROR(('Final Calculation Sheet'!$M$7)&amp;"","")))))&gt;0),IF(COUNTIF($BI$73:$BP$73,3)=0,TRUE,SUMPRODUCT(($BI$73:$BP$73=3)*($AS$73:$AZ$73&lt;&gt;"")*IF(((UPPER($AS$73:$AZ$73)="BLANK")+(UPPER($AS$73:$AZ$73)="(BLANK)")+(UPPER($AS$73:$AZ$73)="EMPTY")+(UPPER($AS$73:$AZ$73)="(EMPTY)"))&gt;0,IFERROR(('Final Calculation Sheet'!$M$7)&amp;"","")="",ISNUMBER(SEARCH($AS$73:$AZ$73,IFERROR(('Final Calculation Sheet'!$M$7)&amp;"","")))))&gt;0),IF(COUNTIF($BI$73:$BP$73,4)=0,TRUE,SUMPRODUCT(($BI$73:$BP$73=4)*($AS$73:$AZ$73&lt;&gt;"")*IF(((UPPER($AS$73:$AZ$73)="BLANK")+(UPPER($AS$73:$AZ$73)="(BLANK)")+(UPPER($AS$73:$AZ$73)="EMPTY")+(UPPER($AS$73:$AZ$73)="(EMPTY)"))&gt;0,IFERROR(('Final Calculation Sheet'!$M$7)&amp;"","")="",ISNUMBER(SEARCH($AS$73:$AZ$73,IFERROR(('Final Calculation Sheet'!$M$7)&amp;"","")))))&gt;0),IF(COUNTIF($BI$73:$BP$73,5)=0,TRUE,SUMPRODUCT(($BI$73:$BP$73=5)*($AS$73:$AZ$73&lt;&gt;"")*IF(((UPPER($AS$73:$AZ$73)="BLANK")+(UPPER($AS$73:$AZ$73)="(BLANK)")+(UPPER($AS$73:$AZ$73)="EMPTY")+(UPPER($AS$73:$AZ$73)="(EMPTY)"))&gt;0,IFERROR(('Final Calculation Sheet'!$M$7)&amp;"","")="",ISNUMBER(SEARCH($AS$73:$AZ$73,IFERROR(('Final Calculation Sheet'!$M$7)&amp;"","")))))&gt;0),IF(COUNTIF($BI$73:$BP$73,6)=0,TRUE,SUMPRODUCT(($BI$73:$BP$73=6)*($AS$73:$AZ$73&lt;&gt;"")*IF(((UPPER($AS$73:$AZ$73)="BLANK")+(UPPER($AS$73:$AZ$73)="(BLANK)")+(UPPER($AS$73:$AZ$73)="EMPTY")+(UPPER($AS$73:$AZ$73)="(EMPTY)"))&gt;0,IFERROR(('Final Calculation Sheet'!$M$7)&amp;"","")="",ISNUMBER(SEARCH($AS$73:$AZ$73,IFERROR(('Final Calculation Sheet'!$M$7)&amp;"","")))))&gt;0),IF(COUNTIF($BI$73:$BP$73,7)=0,TRUE,SUMPRODUCT(($BI$73:$BP$73=7)*($AS$73:$AZ$73&lt;&gt;"")*IF(((UPPER($AS$73:$AZ$73)="BLANK")+(UPPER($AS$73:$AZ$73)="(BLANK)")+(UPPER($AS$73:$AZ$73)="EMPTY")+(UPPER($AS$73:$AZ$73)="(EMPTY)"))&gt;0,IFERROR(('Final Calculation Sheet'!$M$7)&amp;"","")="",ISNUMBER(SEARCH($AS$73:$AZ$73,IFERROR(('Final Calculation Sheet'!$M$7)&amp;"","")))))&gt;0),IF(COUNTIF($BI$73:$BP$73,8)=0,TRUE,SUMPRODUCT(($BI$73:$BP$73=8)*($AS$73:$AZ$73&lt;&gt;"")*IF(((UPPER($AS$73:$AZ$73)="BLANK")+(UPPER($AS$73:$AZ$73)="(BLANK)")+(UPPER($AS$73:$AZ$73)="EMPTY")+(UPPER($AS$73:$AZ$73)="(EMPTY)"))&gt;0,IFERROR(('Final Calculation Sheet'!$M$7)&amp;"","")="",ISNUMBER(SEARCH($AS$73:$AZ$73,IFERROR(('Final Calculation Sheet'!$M$7)&amp;"","")))))&gt;0))))</f>
        <v>1</v>
      </c>
      <c r="CA8">
        <f>IF($O$4="",1,--(AND(SUMPRODUCT(--($AS$74:$AZ$74&lt;&gt;""))&gt;0,IF(COUNTIF($BI$74:$BP$74,1)=0,TRUE,SUMPRODUCT(($BI$74:$BP$74=1)*($AS$74:$AZ$74&lt;&gt;"")*IF(((UPPER($AS$74:$AZ$74)="BLANK")+(UPPER($AS$74:$AZ$74)="(BLANK)")+(UPPER($AS$74:$AZ$74)="EMPTY")+(UPPER($AS$74:$AZ$74)="(EMPTY)"))&gt;0,IFERROR(('Final Calculation Sheet'!$N$7)&amp;"","")="",ISNUMBER(SEARCH($AS$74:$AZ$74,IFERROR(('Final Calculation Sheet'!$N$7)&amp;"","")))))&gt;0),IF(COUNTIF($BI$74:$BP$74,2)=0,TRUE,SUMPRODUCT(($BI$74:$BP$74=2)*($AS$74:$AZ$74&lt;&gt;"")*IF(((UPPER($AS$74:$AZ$74)="BLANK")+(UPPER($AS$74:$AZ$74)="(BLANK)")+(UPPER($AS$74:$AZ$74)="EMPTY")+(UPPER($AS$74:$AZ$74)="(EMPTY)"))&gt;0,IFERROR(('Final Calculation Sheet'!$N$7)&amp;"","")="",ISNUMBER(SEARCH($AS$74:$AZ$74,IFERROR(('Final Calculation Sheet'!$N$7)&amp;"","")))))&gt;0),IF(COUNTIF($BI$74:$BP$74,3)=0,TRUE,SUMPRODUCT(($BI$74:$BP$74=3)*($AS$74:$AZ$74&lt;&gt;"")*IF(((UPPER($AS$74:$AZ$74)="BLANK")+(UPPER($AS$74:$AZ$74)="(BLANK)")+(UPPER($AS$74:$AZ$74)="EMPTY")+(UPPER($AS$74:$AZ$74)="(EMPTY)"))&gt;0,IFERROR(('Final Calculation Sheet'!$N$7)&amp;"","")="",ISNUMBER(SEARCH($AS$74:$AZ$74,IFERROR(('Final Calculation Sheet'!$N$7)&amp;"","")))))&gt;0),IF(COUNTIF($BI$74:$BP$74,4)=0,TRUE,SUMPRODUCT(($BI$74:$BP$74=4)*($AS$74:$AZ$74&lt;&gt;"")*IF(((UPPER($AS$74:$AZ$74)="BLANK")+(UPPER($AS$74:$AZ$74)="(BLANK)")+(UPPER($AS$74:$AZ$74)="EMPTY")+(UPPER($AS$74:$AZ$74)="(EMPTY)"))&gt;0,IFERROR(('Final Calculation Sheet'!$N$7)&amp;"","")="",ISNUMBER(SEARCH($AS$74:$AZ$74,IFERROR(('Final Calculation Sheet'!$N$7)&amp;"","")))))&gt;0),IF(COUNTIF($BI$74:$BP$74,5)=0,TRUE,SUMPRODUCT(($BI$74:$BP$74=5)*($AS$74:$AZ$74&lt;&gt;"")*IF(((UPPER($AS$74:$AZ$74)="BLANK")+(UPPER($AS$74:$AZ$74)="(BLANK)")+(UPPER($AS$74:$AZ$74)="EMPTY")+(UPPER($AS$74:$AZ$74)="(EMPTY)"))&gt;0,IFERROR(('Final Calculation Sheet'!$N$7)&amp;"","")="",ISNUMBER(SEARCH($AS$74:$AZ$74,IFERROR(('Final Calculation Sheet'!$N$7)&amp;"","")))))&gt;0),IF(COUNTIF($BI$74:$BP$74,6)=0,TRUE,SUMPRODUCT(($BI$74:$BP$74=6)*($AS$74:$AZ$74&lt;&gt;"")*IF(((UPPER($AS$74:$AZ$74)="BLANK")+(UPPER($AS$74:$AZ$74)="(BLANK)")+(UPPER($AS$74:$AZ$74)="EMPTY")+(UPPER($AS$74:$AZ$74)="(EMPTY)"))&gt;0,IFERROR(('Final Calculation Sheet'!$N$7)&amp;"","")="",ISNUMBER(SEARCH($AS$74:$AZ$74,IFERROR(('Final Calculation Sheet'!$N$7)&amp;"","")))))&gt;0),IF(COUNTIF($BI$74:$BP$74,7)=0,TRUE,SUMPRODUCT(($BI$74:$BP$74=7)*($AS$74:$AZ$74&lt;&gt;"")*IF(((UPPER($AS$74:$AZ$74)="BLANK")+(UPPER($AS$74:$AZ$74)="(BLANK)")+(UPPER($AS$74:$AZ$74)="EMPTY")+(UPPER($AS$74:$AZ$74)="(EMPTY)"))&gt;0,IFERROR(('Final Calculation Sheet'!$N$7)&amp;"","")="",ISNUMBER(SEARCH($AS$74:$AZ$74,IFERROR(('Final Calculation Sheet'!$N$7)&amp;"","")))))&gt;0),IF(COUNTIF($BI$74:$BP$74,8)=0,TRUE,SUMPRODUCT(($BI$74:$BP$74=8)*($AS$74:$AZ$74&lt;&gt;"")*IF(((UPPER($AS$74:$AZ$74)="BLANK")+(UPPER($AS$74:$AZ$74)="(BLANK)")+(UPPER($AS$74:$AZ$74)="EMPTY")+(UPPER($AS$74:$AZ$74)="(EMPTY)"))&gt;0,IFERROR(('Final Calculation Sheet'!$N$7)&amp;"","")="",ISNUMBER(SEARCH($AS$74:$AZ$74,IFERROR(('Final Calculation Sheet'!$N$7)&amp;"","")))))&gt;0))))</f>
        <v>1</v>
      </c>
      <c r="CB8">
        <f>IF($P$4="",1,--(AND(SUMPRODUCT(--($AS$75:$AZ$75&lt;&gt;""))&gt;0,IF(COUNTIF($BI$75:$BP$75,1)=0,TRUE,SUMPRODUCT(($BI$75:$BP$75=1)*($AS$75:$AZ$75&lt;&gt;"")*IF(((UPPER($AS$75:$AZ$75)="BLANK")+(UPPER($AS$75:$AZ$75)="(BLANK)")+(UPPER($AS$75:$AZ$75)="EMPTY")+(UPPER($AS$75:$AZ$75)="(EMPTY)"))&gt;0,IFERROR(('Final Calculation Sheet'!$O$7)&amp;"","")="",ISNUMBER(SEARCH($AS$75:$AZ$75,IFERROR(('Final Calculation Sheet'!$O$7)&amp;"","")))))&gt;0),IF(COUNTIF($BI$75:$BP$75,2)=0,TRUE,SUMPRODUCT(($BI$75:$BP$75=2)*($AS$75:$AZ$75&lt;&gt;"")*IF(((UPPER($AS$75:$AZ$75)="BLANK")+(UPPER($AS$75:$AZ$75)="(BLANK)")+(UPPER($AS$75:$AZ$75)="EMPTY")+(UPPER($AS$75:$AZ$75)="(EMPTY)"))&gt;0,IFERROR(('Final Calculation Sheet'!$O$7)&amp;"","")="",ISNUMBER(SEARCH($AS$75:$AZ$75,IFERROR(('Final Calculation Sheet'!$O$7)&amp;"","")))))&gt;0),IF(COUNTIF($BI$75:$BP$75,3)=0,TRUE,SUMPRODUCT(($BI$75:$BP$75=3)*($AS$75:$AZ$75&lt;&gt;"")*IF(((UPPER($AS$75:$AZ$75)="BLANK")+(UPPER($AS$75:$AZ$75)="(BLANK)")+(UPPER($AS$75:$AZ$75)="EMPTY")+(UPPER($AS$75:$AZ$75)="(EMPTY)"))&gt;0,IFERROR(('Final Calculation Sheet'!$O$7)&amp;"","")="",ISNUMBER(SEARCH($AS$75:$AZ$75,IFERROR(('Final Calculation Sheet'!$O$7)&amp;"","")))))&gt;0),IF(COUNTIF($BI$75:$BP$75,4)=0,TRUE,SUMPRODUCT(($BI$75:$BP$75=4)*($AS$75:$AZ$75&lt;&gt;"")*IF(((UPPER($AS$75:$AZ$75)="BLANK")+(UPPER($AS$75:$AZ$75)="(BLANK)")+(UPPER($AS$75:$AZ$75)="EMPTY")+(UPPER($AS$75:$AZ$75)="(EMPTY)"))&gt;0,IFERROR(('Final Calculation Sheet'!$O$7)&amp;"","")="",ISNUMBER(SEARCH($AS$75:$AZ$75,IFERROR(('Final Calculation Sheet'!$O$7)&amp;"","")))))&gt;0),IF(COUNTIF($BI$75:$BP$75,5)=0,TRUE,SUMPRODUCT(($BI$75:$BP$75=5)*($AS$75:$AZ$75&lt;&gt;"")*IF(((UPPER($AS$75:$AZ$75)="BLANK")+(UPPER($AS$75:$AZ$75)="(BLANK)")+(UPPER($AS$75:$AZ$75)="EMPTY")+(UPPER($AS$75:$AZ$75)="(EMPTY)"))&gt;0,IFERROR(('Final Calculation Sheet'!$O$7)&amp;"","")="",ISNUMBER(SEARCH($AS$75:$AZ$75,IFERROR(('Final Calculation Sheet'!$O$7)&amp;"","")))))&gt;0),IF(COUNTIF($BI$75:$BP$75,6)=0,TRUE,SUMPRODUCT(($BI$75:$BP$75=6)*($AS$75:$AZ$75&lt;&gt;"")*IF(((UPPER($AS$75:$AZ$75)="BLANK")+(UPPER($AS$75:$AZ$75)="(BLANK)")+(UPPER($AS$75:$AZ$75)="EMPTY")+(UPPER($AS$75:$AZ$75)="(EMPTY)"))&gt;0,IFERROR(('Final Calculation Sheet'!$O$7)&amp;"","")="",ISNUMBER(SEARCH($AS$75:$AZ$75,IFERROR(('Final Calculation Sheet'!$O$7)&amp;"","")))))&gt;0),IF(COUNTIF($BI$75:$BP$75,7)=0,TRUE,SUMPRODUCT(($BI$75:$BP$75=7)*($AS$75:$AZ$75&lt;&gt;"")*IF(((UPPER($AS$75:$AZ$75)="BLANK")+(UPPER($AS$75:$AZ$75)="(BLANK)")+(UPPER($AS$75:$AZ$75)="EMPTY")+(UPPER($AS$75:$AZ$75)="(EMPTY)"))&gt;0,IFERROR(('Final Calculation Sheet'!$O$7)&amp;"","")="",ISNUMBER(SEARCH($AS$75:$AZ$75,IFERROR(('Final Calculation Sheet'!$O$7)&amp;"","")))))&gt;0),IF(COUNTIF($BI$75:$BP$75,8)=0,TRUE,SUMPRODUCT(($BI$75:$BP$75=8)*($AS$75:$AZ$75&lt;&gt;"")*IF(((UPPER($AS$75:$AZ$75)="BLANK")+(UPPER($AS$75:$AZ$75)="(BLANK)")+(UPPER($AS$75:$AZ$75)="EMPTY")+(UPPER($AS$75:$AZ$75)="(EMPTY)"))&gt;0,IFERROR(('Final Calculation Sheet'!$O$7)&amp;"","")="",ISNUMBER(SEARCH($AS$75:$AZ$75,IFERROR(('Final Calculation Sheet'!$O$7)&amp;"","")))))&gt;0))))</f>
        <v>1</v>
      </c>
      <c r="CC8">
        <f>IF($Q$4="",1,--(AND(SUMPRODUCT(--($AS$76:$AZ$76&lt;&gt;""))&gt;0,IF(COUNTIF($BI$76:$BP$76,1)=0,TRUE,SUMPRODUCT(($BI$76:$BP$76=1)*($AS$76:$AZ$76&lt;&gt;"")*IF(((UPPER($AS$76:$AZ$76)="BLANK")+(UPPER($AS$76:$AZ$76)="(BLANK)")+(UPPER($AS$76:$AZ$76)="EMPTY")+(UPPER($AS$76:$AZ$76)="(EMPTY)"))&gt;0,IFERROR(('Final Calculation Sheet'!$P$7)&amp;"","")="",ISNUMBER(SEARCH($AS$76:$AZ$76,IFERROR(('Final Calculation Sheet'!$P$7)&amp;"","")))))&gt;0),IF(COUNTIF($BI$76:$BP$76,2)=0,TRUE,SUMPRODUCT(($BI$76:$BP$76=2)*($AS$76:$AZ$76&lt;&gt;"")*IF(((UPPER($AS$76:$AZ$76)="BLANK")+(UPPER($AS$76:$AZ$76)="(BLANK)")+(UPPER($AS$76:$AZ$76)="EMPTY")+(UPPER($AS$76:$AZ$76)="(EMPTY)"))&gt;0,IFERROR(('Final Calculation Sheet'!$P$7)&amp;"","")="",ISNUMBER(SEARCH($AS$76:$AZ$76,IFERROR(('Final Calculation Sheet'!$P$7)&amp;"","")))))&gt;0),IF(COUNTIF($BI$76:$BP$76,3)=0,TRUE,SUMPRODUCT(($BI$76:$BP$76=3)*($AS$76:$AZ$76&lt;&gt;"")*IF(((UPPER($AS$76:$AZ$76)="BLANK")+(UPPER($AS$76:$AZ$76)="(BLANK)")+(UPPER($AS$76:$AZ$76)="EMPTY")+(UPPER($AS$76:$AZ$76)="(EMPTY)"))&gt;0,IFERROR(('Final Calculation Sheet'!$P$7)&amp;"","")="",ISNUMBER(SEARCH($AS$76:$AZ$76,IFERROR(('Final Calculation Sheet'!$P$7)&amp;"","")))))&gt;0),IF(COUNTIF($BI$76:$BP$76,4)=0,TRUE,SUMPRODUCT(($BI$76:$BP$76=4)*($AS$76:$AZ$76&lt;&gt;"")*IF(((UPPER($AS$76:$AZ$76)="BLANK")+(UPPER($AS$76:$AZ$76)="(BLANK)")+(UPPER($AS$76:$AZ$76)="EMPTY")+(UPPER($AS$76:$AZ$76)="(EMPTY)"))&gt;0,IFERROR(('Final Calculation Sheet'!$P$7)&amp;"","")="",ISNUMBER(SEARCH($AS$76:$AZ$76,IFERROR(('Final Calculation Sheet'!$P$7)&amp;"","")))))&gt;0),IF(COUNTIF($BI$76:$BP$76,5)=0,TRUE,SUMPRODUCT(($BI$76:$BP$76=5)*($AS$76:$AZ$76&lt;&gt;"")*IF(((UPPER($AS$76:$AZ$76)="BLANK")+(UPPER($AS$76:$AZ$76)="(BLANK)")+(UPPER($AS$76:$AZ$76)="EMPTY")+(UPPER($AS$76:$AZ$76)="(EMPTY)"))&gt;0,IFERROR(('Final Calculation Sheet'!$P$7)&amp;"","")="",ISNUMBER(SEARCH($AS$76:$AZ$76,IFERROR(('Final Calculation Sheet'!$P$7)&amp;"","")))))&gt;0),IF(COUNTIF($BI$76:$BP$76,6)=0,TRUE,SUMPRODUCT(($BI$76:$BP$76=6)*($AS$76:$AZ$76&lt;&gt;"")*IF(((UPPER($AS$76:$AZ$76)="BLANK")+(UPPER($AS$76:$AZ$76)="(BLANK)")+(UPPER($AS$76:$AZ$76)="EMPTY")+(UPPER($AS$76:$AZ$76)="(EMPTY)"))&gt;0,IFERROR(('Final Calculation Sheet'!$P$7)&amp;"","")="",ISNUMBER(SEARCH($AS$76:$AZ$76,IFERROR(('Final Calculation Sheet'!$P$7)&amp;"","")))))&gt;0),IF(COUNTIF($BI$76:$BP$76,7)=0,TRUE,SUMPRODUCT(($BI$76:$BP$76=7)*($AS$76:$AZ$76&lt;&gt;"")*IF(((UPPER($AS$76:$AZ$76)="BLANK")+(UPPER($AS$76:$AZ$76)="(BLANK)")+(UPPER($AS$76:$AZ$76)="EMPTY")+(UPPER($AS$76:$AZ$76)="(EMPTY)"))&gt;0,IFERROR(('Final Calculation Sheet'!$P$7)&amp;"","")="",ISNUMBER(SEARCH($AS$76:$AZ$76,IFERROR(('Final Calculation Sheet'!$P$7)&amp;"","")))))&gt;0),IF(COUNTIF($BI$76:$BP$76,8)=0,TRUE,SUMPRODUCT(($BI$76:$BP$76=8)*($AS$76:$AZ$76&lt;&gt;"")*IF(((UPPER($AS$76:$AZ$76)="BLANK")+(UPPER($AS$76:$AZ$76)="(BLANK)")+(UPPER($AS$76:$AZ$76)="EMPTY")+(UPPER($AS$76:$AZ$76)="(EMPTY)"))&gt;0,IFERROR(('Final Calculation Sheet'!$P$7)&amp;"","")="",ISNUMBER(SEARCH($AS$76:$AZ$76,IFERROR(('Final Calculation Sheet'!$P$7)&amp;"","")))))&gt;0))))</f>
        <v>1</v>
      </c>
      <c r="CD8">
        <f>IF($R$4="",1,--(AND(SUMPRODUCT(--($AS$77:$AZ$77&lt;&gt;""))&gt;0,IF(COUNTIF($BI$77:$BP$77,1)=0,TRUE,SUMPRODUCT(($BI$77:$BP$77=1)*($AS$77:$AZ$77&lt;&gt;"")*IF(((UPPER($AS$77:$AZ$77)="BLANK")+(UPPER($AS$77:$AZ$77)="(BLANK)")+(UPPER($AS$77:$AZ$77)="EMPTY")+(UPPER($AS$77:$AZ$77)="(EMPTY)"))&gt;0,IFERROR(('Final Calculation Sheet'!$Q$7)&amp;"","")="",ISNUMBER(SEARCH($AS$77:$AZ$77,IFERROR(('Final Calculation Sheet'!$Q$7)&amp;"","")))))&gt;0),IF(COUNTIF($BI$77:$BP$77,2)=0,TRUE,SUMPRODUCT(($BI$77:$BP$77=2)*($AS$77:$AZ$77&lt;&gt;"")*IF(((UPPER($AS$77:$AZ$77)="BLANK")+(UPPER($AS$77:$AZ$77)="(BLANK)")+(UPPER($AS$77:$AZ$77)="EMPTY")+(UPPER($AS$77:$AZ$77)="(EMPTY)"))&gt;0,IFERROR(('Final Calculation Sheet'!$Q$7)&amp;"","")="",ISNUMBER(SEARCH($AS$77:$AZ$77,IFERROR(('Final Calculation Sheet'!$Q$7)&amp;"","")))))&gt;0),IF(COUNTIF($BI$77:$BP$77,3)=0,TRUE,SUMPRODUCT(($BI$77:$BP$77=3)*($AS$77:$AZ$77&lt;&gt;"")*IF(((UPPER($AS$77:$AZ$77)="BLANK")+(UPPER($AS$77:$AZ$77)="(BLANK)")+(UPPER($AS$77:$AZ$77)="EMPTY")+(UPPER($AS$77:$AZ$77)="(EMPTY)"))&gt;0,IFERROR(('Final Calculation Sheet'!$Q$7)&amp;"","")="",ISNUMBER(SEARCH($AS$77:$AZ$77,IFERROR(('Final Calculation Sheet'!$Q$7)&amp;"","")))))&gt;0),IF(COUNTIF($BI$77:$BP$77,4)=0,TRUE,SUMPRODUCT(($BI$77:$BP$77=4)*($AS$77:$AZ$77&lt;&gt;"")*IF(((UPPER($AS$77:$AZ$77)="BLANK")+(UPPER($AS$77:$AZ$77)="(BLANK)")+(UPPER($AS$77:$AZ$77)="EMPTY")+(UPPER($AS$77:$AZ$77)="(EMPTY)"))&gt;0,IFERROR(('Final Calculation Sheet'!$Q$7)&amp;"","")="",ISNUMBER(SEARCH($AS$77:$AZ$77,IFERROR(('Final Calculation Sheet'!$Q$7)&amp;"","")))))&gt;0),IF(COUNTIF($BI$77:$BP$77,5)=0,TRUE,SUMPRODUCT(($BI$77:$BP$77=5)*($AS$77:$AZ$77&lt;&gt;"")*IF(((UPPER($AS$77:$AZ$77)="BLANK")+(UPPER($AS$77:$AZ$77)="(BLANK)")+(UPPER($AS$77:$AZ$77)="EMPTY")+(UPPER($AS$77:$AZ$77)="(EMPTY)"))&gt;0,IFERROR(('Final Calculation Sheet'!$Q$7)&amp;"","")="",ISNUMBER(SEARCH($AS$77:$AZ$77,IFERROR(('Final Calculation Sheet'!$Q$7)&amp;"","")))))&gt;0),IF(COUNTIF($BI$77:$BP$77,6)=0,TRUE,SUMPRODUCT(($BI$77:$BP$77=6)*($AS$77:$AZ$77&lt;&gt;"")*IF(((UPPER($AS$77:$AZ$77)="BLANK")+(UPPER($AS$77:$AZ$77)="(BLANK)")+(UPPER($AS$77:$AZ$77)="EMPTY")+(UPPER($AS$77:$AZ$77)="(EMPTY)"))&gt;0,IFERROR(('Final Calculation Sheet'!$Q$7)&amp;"","")="",ISNUMBER(SEARCH($AS$77:$AZ$77,IFERROR(('Final Calculation Sheet'!$Q$7)&amp;"","")))))&gt;0),IF(COUNTIF($BI$77:$BP$77,7)=0,TRUE,SUMPRODUCT(($BI$77:$BP$77=7)*($AS$77:$AZ$77&lt;&gt;"")*IF(((UPPER($AS$77:$AZ$77)="BLANK")+(UPPER($AS$77:$AZ$77)="(BLANK)")+(UPPER($AS$77:$AZ$77)="EMPTY")+(UPPER($AS$77:$AZ$77)="(EMPTY)"))&gt;0,IFERROR(('Final Calculation Sheet'!$Q$7)&amp;"","")="",ISNUMBER(SEARCH($AS$77:$AZ$77,IFERROR(('Final Calculation Sheet'!$Q$7)&amp;"","")))))&gt;0),IF(COUNTIF($BI$77:$BP$77,8)=0,TRUE,SUMPRODUCT(($BI$77:$BP$77=8)*($AS$77:$AZ$77&lt;&gt;"")*IF(((UPPER($AS$77:$AZ$77)="BLANK")+(UPPER($AS$77:$AZ$77)="(BLANK)")+(UPPER($AS$77:$AZ$77)="EMPTY")+(UPPER($AS$77:$AZ$77)="(EMPTY)"))&gt;0,IFERROR(('Final Calculation Sheet'!$Q$7)&amp;"","")="",ISNUMBER(SEARCH($AS$77:$AZ$77,IFERROR(('Final Calculation Sheet'!$Q$7)&amp;"","")))))&gt;0))))</f>
        <v>1</v>
      </c>
      <c r="CE8">
        <f>IF($S$4="",1,--(AND(SUMPRODUCT(--($AS$78:$AZ$78&lt;&gt;""))&gt;0,IF(COUNTIF($BI$78:$BP$78,1)=0,TRUE,SUMPRODUCT(($BI$78:$BP$78=1)*($AS$78:$AZ$78&lt;&gt;"")*IF(((UPPER($AS$78:$AZ$78)="BLANK")+(UPPER($AS$78:$AZ$78)="(BLANK)")+(UPPER($AS$78:$AZ$78)="EMPTY")+(UPPER($AS$78:$AZ$78)="(EMPTY)"))&gt;0,IFERROR(('Final Calculation Sheet'!$R$7)&amp;"","")="",ISNUMBER(SEARCH($AS$78:$AZ$78,IFERROR(('Final Calculation Sheet'!$R$7)&amp;"","")))))&gt;0),IF(COUNTIF($BI$78:$BP$78,2)=0,TRUE,SUMPRODUCT(($BI$78:$BP$78=2)*($AS$78:$AZ$78&lt;&gt;"")*IF(((UPPER($AS$78:$AZ$78)="BLANK")+(UPPER($AS$78:$AZ$78)="(BLANK)")+(UPPER($AS$78:$AZ$78)="EMPTY")+(UPPER($AS$78:$AZ$78)="(EMPTY)"))&gt;0,IFERROR(('Final Calculation Sheet'!$R$7)&amp;"","")="",ISNUMBER(SEARCH($AS$78:$AZ$78,IFERROR(('Final Calculation Sheet'!$R$7)&amp;"","")))))&gt;0),IF(COUNTIF($BI$78:$BP$78,3)=0,TRUE,SUMPRODUCT(($BI$78:$BP$78=3)*($AS$78:$AZ$78&lt;&gt;"")*IF(((UPPER($AS$78:$AZ$78)="BLANK")+(UPPER($AS$78:$AZ$78)="(BLANK)")+(UPPER($AS$78:$AZ$78)="EMPTY")+(UPPER($AS$78:$AZ$78)="(EMPTY)"))&gt;0,IFERROR(('Final Calculation Sheet'!$R$7)&amp;"","")="",ISNUMBER(SEARCH($AS$78:$AZ$78,IFERROR(('Final Calculation Sheet'!$R$7)&amp;"","")))))&gt;0),IF(COUNTIF($BI$78:$BP$78,4)=0,TRUE,SUMPRODUCT(($BI$78:$BP$78=4)*($AS$78:$AZ$78&lt;&gt;"")*IF(((UPPER($AS$78:$AZ$78)="BLANK")+(UPPER($AS$78:$AZ$78)="(BLANK)")+(UPPER($AS$78:$AZ$78)="EMPTY")+(UPPER($AS$78:$AZ$78)="(EMPTY)"))&gt;0,IFERROR(('Final Calculation Sheet'!$R$7)&amp;"","")="",ISNUMBER(SEARCH($AS$78:$AZ$78,IFERROR(('Final Calculation Sheet'!$R$7)&amp;"","")))))&gt;0),IF(COUNTIF($BI$78:$BP$78,5)=0,TRUE,SUMPRODUCT(($BI$78:$BP$78=5)*($AS$78:$AZ$78&lt;&gt;"")*IF(((UPPER($AS$78:$AZ$78)="BLANK")+(UPPER($AS$78:$AZ$78)="(BLANK)")+(UPPER($AS$78:$AZ$78)="EMPTY")+(UPPER($AS$78:$AZ$78)="(EMPTY)"))&gt;0,IFERROR(('Final Calculation Sheet'!$R$7)&amp;"","")="",ISNUMBER(SEARCH($AS$78:$AZ$78,IFERROR(('Final Calculation Sheet'!$R$7)&amp;"","")))))&gt;0),IF(COUNTIF($BI$78:$BP$78,6)=0,TRUE,SUMPRODUCT(($BI$78:$BP$78=6)*($AS$78:$AZ$78&lt;&gt;"")*IF(((UPPER($AS$78:$AZ$78)="BLANK")+(UPPER($AS$78:$AZ$78)="(BLANK)")+(UPPER($AS$78:$AZ$78)="EMPTY")+(UPPER($AS$78:$AZ$78)="(EMPTY)"))&gt;0,IFERROR(('Final Calculation Sheet'!$R$7)&amp;"","")="",ISNUMBER(SEARCH($AS$78:$AZ$78,IFERROR(('Final Calculation Sheet'!$R$7)&amp;"","")))))&gt;0),IF(COUNTIF($BI$78:$BP$78,7)=0,TRUE,SUMPRODUCT(($BI$78:$BP$78=7)*($AS$78:$AZ$78&lt;&gt;"")*IF(((UPPER($AS$78:$AZ$78)="BLANK")+(UPPER($AS$78:$AZ$78)="(BLANK)")+(UPPER($AS$78:$AZ$78)="EMPTY")+(UPPER($AS$78:$AZ$78)="(EMPTY)"))&gt;0,IFERROR(('Final Calculation Sheet'!$R$7)&amp;"","")="",ISNUMBER(SEARCH($AS$78:$AZ$78,IFERROR(('Final Calculation Sheet'!$R$7)&amp;"","")))))&gt;0),IF(COUNTIF($BI$78:$BP$78,8)=0,TRUE,SUMPRODUCT(($BI$78:$BP$78=8)*($AS$78:$AZ$78&lt;&gt;"")*IF(((UPPER($AS$78:$AZ$78)="BLANK")+(UPPER($AS$78:$AZ$78)="(BLANK)")+(UPPER($AS$78:$AZ$78)="EMPTY")+(UPPER($AS$78:$AZ$78)="(EMPTY)"))&gt;0,IFERROR(('Final Calculation Sheet'!$R$7)&amp;"","")="",ISNUMBER(SEARCH($AS$78:$AZ$78,IFERROR(('Final Calculation Sheet'!$R$7)&amp;"","")))))&gt;0))))</f>
        <v>1</v>
      </c>
      <c r="CF8">
        <f>IF($T$4="",1,--(AND(SUMPRODUCT(--($AS$79:$AZ$79&lt;&gt;""))&gt;0,IF(COUNTIF($BI$79:$BP$79,1)=0,TRUE,SUMPRODUCT(($BI$79:$BP$79=1)*($AS$79:$AZ$79&lt;&gt;"")*IF(((UPPER($AS$79:$AZ$79)="BLANK")+(UPPER($AS$79:$AZ$79)="(BLANK)")+(UPPER($AS$79:$AZ$79)="EMPTY")+(UPPER($AS$79:$AZ$79)="(EMPTY)"))&gt;0,IFERROR(('Final Calculation Sheet'!$S$7)&amp;"","")="",ISNUMBER(SEARCH($AS$79:$AZ$79,IFERROR(('Final Calculation Sheet'!$S$7)&amp;"","")))))&gt;0),IF(COUNTIF($BI$79:$BP$79,2)=0,TRUE,SUMPRODUCT(($BI$79:$BP$79=2)*($AS$79:$AZ$79&lt;&gt;"")*IF(((UPPER($AS$79:$AZ$79)="BLANK")+(UPPER($AS$79:$AZ$79)="(BLANK)")+(UPPER($AS$79:$AZ$79)="EMPTY")+(UPPER($AS$79:$AZ$79)="(EMPTY)"))&gt;0,IFERROR(('Final Calculation Sheet'!$S$7)&amp;"","")="",ISNUMBER(SEARCH($AS$79:$AZ$79,IFERROR(('Final Calculation Sheet'!$S$7)&amp;"","")))))&gt;0),IF(COUNTIF($BI$79:$BP$79,3)=0,TRUE,SUMPRODUCT(($BI$79:$BP$79=3)*($AS$79:$AZ$79&lt;&gt;"")*IF(((UPPER($AS$79:$AZ$79)="BLANK")+(UPPER($AS$79:$AZ$79)="(BLANK)")+(UPPER($AS$79:$AZ$79)="EMPTY")+(UPPER($AS$79:$AZ$79)="(EMPTY)"))&gt;0,IFERROR(('Final Calculation Sheet'!$S$7)&amp;"","")="",ISNUMBER(SEARCH($AS$79:$AZ$79,IFERROR(('Final Calculation Sheet'!$S$7)&amp;"","")))))&gt;0),IF(COUNTIF($BI$79:$BP$79,4)=0,TRUE,SUMPRODUCT(($BI$79:$BP$79=4)*($AS$79:$AZ$79&lt;&gt;"")*IF(((UPPER($AS$79:$AZ$79)="BLANK")+(UPPER($AS$79:$AZ$79)="(BLANK)")+(UPPER($AS$79:$AZ$79)="EMPTY")+(UPPER($AS$79:$AZ$79)="(EMPTY)"))&gt;0,IFERROR(('Final Calculation Sheet'!$S$7)&amp;"","")="",ISNUMBER(SEARCH($AS$79:$AZ$79,IFERROR(('Final Calculation Sheet'!$S$7)&amp;"","")))))&gt;0),IF(COUNTIF($BI$79:$BP$79,5)=0,TRUE,SUMPRODUCT(($BI$79:$BP$79=5)*($AS$79:$AZ$79&lt;&gt;"")*IF(((UPPER($AS$79:$AZ$79)="BLANK")+(UPPER($AS$79:$AZ$79)="(BLANK)")+(UPPER($AS$79:$AZ$79)="EMPTY")+(UPPER($AS$79:$AZ$79)="(EMPTY)"))&gt;0,IFERROR(('Final Calculation Sheet'!$S$7)&amp;"","")="",ISNUMBER(SEARCH($AS$79:$AZ$79,IFERROR(('Final Calculation Sheet'!$S$7)&amp;"","")))))&gt;0),IF(COUNTIF($BI$79:$BP$79,6)=0,TRUE,SUMPRODUCT(($BI$79:$BP$79=6)*($AS$79:$AZ$79&lt;&gt;"")*IF(((UPPER($AS$79:$AZ$79)="BLANK")+(UPPER($AS$79:$AZ$79)="(BLANK)")+(UPPER($AS$79:$AZ$79)="EMPTY")+(UPPER($AS$79:$AZ$79)="(EMPTY)"))&gt;0,IFERROR(('Final Calculation Sheet'!$S$7)&amp;"","")="",ISNUMBER(SEARCH($AS$79:$AZ$79,IFERROR(('Final Calculation Sheet'!$S$7)&amp;"","")))))&gt;0),IF(COUNTIF($BI$79:$BP$79,7)=0,TRUE,SUMPRODUCT(($BI$79:$BP$79=7)*($AS$79:$AZ$79&lt;&gt;"")*IF(((UPPER($AS$79:$AZ$79)="BLANK")+(UPPER($AS$79:$AZ$79)="(BLANK)")+(UPPER($AS$79:$AZ$79)="EMPTY")+(UPPER($AS$79:$AZ$79)="(EMPTY)"))&gt;0,IFERROR(('Final Calculation Sheet'!$S$7)&amp;"","")="",ISNUMBER(SEARCH($AS$79:$AZ$79,IFERROR(('Final Calculation Sheet'!$S$7)&amp;"","")))))&gt;0),IF(COUNTIF($BI$79:$BP$79,8)=0,TRUE,SUMPRODUCT(($BI$79:$BP$79=8)*($AS$79:$AZ$79&lt;&gt;"")*IF(((UPPER($AS$79:$AZ$79)="BLANK")+(UPPER($AS$79:$AZ$79)="(BLANK)")+(UPPER($AS$79:$AZ$79)="EMPTY")+(UPPER($AS$79:$AZ$79)="(EMPTY)"))&gt;0,IFERROR(('Final Calculation Sheet'!$S$7)&amp;"","")="",ISNUMBER(SEARCH($AS$79:$AZ$79,IFERROR(('Final Calculation Sheet'!$S$7)&amp;"","")))))&gt;0))))</f>
        <v>1</v>
      </c>
      <c r="CG8">
        <f>IF($U$4="",1,--(AND(SUMPRODUCT(--($AS$80:$AZ$80&lt;&gt;""))&gt;0,IF(COUNTIF($BI$80:$BP$80,1)=0,TRUE,SUMPRODUCT(($BI$80:$BP$80=1)*($AS$80:$AZ$80&lt;&gt;"")*IF(((UPPER($AS$80:$AZ$80)="BLANK")+(UPPER($AS$80:$AZ$80)="(BLANK)")+(UPPER($AS$80:$AZ$80)="EMPTY")+(UPPER($AS$80:$AZ$80)="(EMPTY)"))&gt;0,IFERROR(('Final Calculation Sheet'!$T$7)&amp;"","")="",ISNUMBER(SEARCH($AS$80:$AZ$80,IFERROR(('Final Calculation Sheet'!$T$7)&amp;"","")))))&gt;0),IF(COUNTIF($BI$80:$BP$80,2)=0,TRUE,SUMPRODUCT(($BI$80:$BP$80=2)*($AS$80:$AZ$80&lt;&gt;"")*IF(((UPPER($AS$80:$AZ$80)="BLANK")+(UPPER($AS$80:$AZ$80)="(BLANK)")+(UPPER($AS$80:$AZ$80)="EMPTY")+(UPPER($AS$80:$AZ$80)="(EMPTY)"))&gt;0,IFERROR(('Final Calculation Sheet'!$T$7)&amp;"","")="",ISNUMBER(SEARCH($AS$80:$AZ$80,IFERROR(('Final Calculation Sheet'!$T$7)&amp;"","")))))&gt;0),IF(COUNTIF($BI$80:$BP$80,3)=0,TRUE,SUMPRODUCT(($BI$80:$BP$80=3)*($AS$80:$AZ$80&lt;&gt;"")*IF(((UPPER($AS$80:$AZ$80)="BLANK")+(UPPER($AS$80:$AZ$80)="(BLANK)")+(UPPER($AS$80:$AZ$80)="EMPTY")+(UPPER($AS$80:$AZ$80)="(EMPTY)"))&gt;0,IFERROR(('Final Calculation Sheet'!$T$7)&amp;"","")="",ISNUMBER(SEARCH($AS$80:$AZ$80,IFERROR(('Final Calculation Sheet'!$T$7)&amp;"","")))))&gt;0),IF(COUNTIF($BI$80:$BP$80,4)=0,TRUE,SUMPRODUCT(($BI$80:$BP$80=4)*($AS$80:$AZ$80&lt;&gt;"")*IF(((UPPER($AS$80:$AZ$80)="BLANK")+(UPPER($AS$80:$AZ$80)="(BLANK)")+(UPPER($AS$80:$AZ$80)="EMPTY")+(UPPER($AS$80:$AZ$80)="(EMPTY)"))&gt;0,IFERROR(('Final Calculation Sheet'!$T$7)&amp;"","")="",ISNUMBER(SEARCH($AS$80:$AZ$80,IFERROR(('Final Calculation Sheet'!$T$7)&amp;"","")))))&gt;0),IF(COUNTIF($BI$80:$BP$80,5)=0,TRUE,SUMPRODUCT(($BI$80:$BP$80=5)*($AS$80:$AZ$80&lt;&gt;"")*IF(((UPPER($AS$80:$AZ$80)="BLANK")+(UPPER($AS$80:$AZ$80)="(BLANK)")+(UPPER($AS$80:$AZ$80)="EMPTY")+(UPPER($AS$80:$AZ$80)="(EMPTY)"))&gt;0,IFERROR(('Final Calculation Sheet'!$T$7)&amp;"","")="",ISNUMBER(SEARCH($AS$80:$AZ$80,IFERROR(('Final Calculation Sheet'!$T$7)&amp;"","")))))&gt;0),IF(COUNTIF($BI$80:$BP$80,6)=0,TRUE,SUMPRODUCT(($BI$80:$BP$80=6)*($AS$80:$AZ$80&lt;&gt;"")*IF(((UPPER($AS$80:$AZ$80)="BLANK")+(UPPER($AS$80:$AZ$80)="(BLANK)")+(UPPER($AS$80:$AZ$80)="EMPTY")+(UPPER($AS$80:$AZ$80)="(EMPTY)"))&gt;0,IFERROR(('Final Calculation Sheet'!$T$7)&amp;"","")="",ISNUMBER(SEARCH($AS$80:$AZ$80,IFERROR(('Final Calculation Sheet'!$T$7)&amp;"","")))))&gt;0),IF(COUNTIF($BI$80:$BP$80,7)=0,TRUE,SUMPRODUCT(($BI$80:$BP$80=7)*($AS$80:$AZ$80&lt;&gt;"")*IF(((UPPER($AS$80:$AZ$80)="BLANK")+(UPPER($AS$80:$AZ$80)="(BLANK)")+(UPPER($AS$80:$AZ$80)="EMPTY")+(UPPER($AS$80:$AZ$80)="(EMPTY)"))&gt;0,IFERROR(('Final Calculation Sheet'!$T$7)&amp;"","")="",ISNUMBER(SEARCH($AS$80:$AZ$80,IFERROR(('Final Calculation Sheet'!$T$7)&amp;"","")))))&gt;0),IF(COUNTIF($BI$80:$BP$80,8)=0,TRUE,SUMPRODUCT(($BI$80:$BP$80=8)*($AS$80:$AZ$80&lt;&gt;"")*IF(((UPPER($AS$80:$AZ$80)="BLANK")+(UPPER($AS$80:$AZ$80)="(BLANK)")+(UPPER($AS$80:$AZ$80)="EMPTY")+(UPPER($AS$80:$AZ$80)="(EMPTY)"))&gt;0,IFERROR(('Final Calculation Sheet'!$T$7)&amp;"","")="",ISNUMBER(SEARCH($AS$80:$AZ$80,IFERROR(('Final Calculation Sheet'!$T$7)&amp;"","")))))&gt;0))))</f>
        <v>1</v>
      </c>
      <c r="CH8">
        <f>IF($V$4="",1,--(AND(SUMPRODUCT(--($AS$81:$AZ$81&lt;&gt;""))&gt;0,IF(COUNTIF($BI$81:$BP$81,1)=0,TRUE,SUMPRODUCT(($BI$81:$BP$81=1)*($AS$81:$AZ$81&lt;&gt;"")*IF(((UPPER($AS$81:$AZ$81)="BLANK")+(UPPER($AS$81:$AZ$81)="(BLANK)")+(UPPER($AS$81:$AZ$81)="EMPTY")+(UPPER($AS$81:$AZ$81)="(EMPTY)"))&gt;0,IFERROR(('Final Calculation Sheet'!$U$7)&amp;"","")="",ISNUMBER(SEARCH($AS$81:$AZ$81,IFERROR(('Final Calculation Sheet'!$U$7)&amp;"","")))))&gt;0),IF(COUNTIF($BI$81:$BP$81,2)=0,TRUE,SUMPRODUCT(($BI$81:$BP$81=2)*($AS$81:$AZ$81&lt;&gt;"")*IF(((UPPER($AS$81:$AZ$81)="BLANK")+(UPPER($AS$81:$AZ$81)="(BLANK)")+(UPPER($AS$81:$AZ$81)="EMPTY")+(UPPER($AS$81:$AZ$81)="(EMPTY)"))&gt;0,IFERROR(('Final Calculation Sheet'!$U$7)&amp;"","")="",ISNUMBER(SEARCH($AS$81:$AZ$81,IFERROR(('Final Calculation Sheet'!$U$7)&amp;"","")))))&gt;0),IF(COUNTIF($BI$81:$BP$81,3)=0,TRUE,SUMPRODUCT(($BI$81:$BP$81=3)*($AS$81:$AZ$81&lt;&gt;"")*IF(((UPPER($AS$81:$AZ$81)="BLANK")+(UPPER($AS$81:$AZ$81)="(BLANK)")+(UPPER($AS$81:$AZ$81)="EMPTY")+(UPPER($AS$81:$AZ$81)="(EMPTY)"))&gt;0,IFERROR(('Final Calculation Sheet'!$U$7)&amp;"","")="",ISNUMBER(SEARCH($AS$81:$AZ$81,IFERROR(('Final Calculation Sheet'!$U$7)&amp;"","")))))&gt;0),IF(COUNTIF($BI$81:$BP$81,4)=0,TRUE,SUMPRODUCT(($BI$81:$BP$81=4)*($AS$81:$AZ$81&lt;&gt;"")*IF(((UPPER($AS$81:$AZ$81)="BLANK")+(UPPER($AS$81:$AZ$81)="(BLANK)")+(UPPER($AS$81:$AZ$81)="EMPTY")+(UPPER($AS$81:$AZ$81)="(EMPTY)"))&gt;0,IFERROR(('Final Calculation Sheet'!$U$7)&amp;"","")="",ISNUMBER(SEARCH($AS$81:$AZ$81,IFERROR(('Final Calculation Sheet'!$U$7)&amp;"","")))))&gt;0),IF(COUNTIF($BI$81:$BP$81,5)=0,TRUE,SUMPRODUCT(($BI$81:$BP$81=5)*($AS$81:$AZ$81&lt;&gt;"")*IF(((UPPER($AS$81:$AZ$81)="BLANK")+(UPPER($AS$81:$AZ$81)="(BLANK)")+(UPPER($AS$81:$AZ$81)="EMPTY")+(UPPER($AS$81:$AZ$81)="(EMPTY)"))&gt;0,IFERROR(('Final Calculation Sheet'!$U$7)&amp;"","")="",ISNUMBER(SEARCH($AS$81:$AZ$81,IFERROR(('Final Calculation Sheet'!$U$7)&amp;"","")))))&gt;0),IF(COUNTIF($BI$81:$BP$81,6)=0,TRUE,SUMPRODUCT(($BI$81:$BP$81=6)*($AS$81:$AZ$81&lt;&gt;"")*IF(((UPPER($AS$81:$AZ$81)="BLANK")+(UPPER($AS$81:$AZ$81)="(BLANK)")+(UPPER($AS$81:$AZ$81)="EMPTY")+(UPPER($AS$81:$AZ$81)="(EMPTY)"))&gt;0,IFERROR(('Final Calculation Sheet'!$U$7)&amp;"","")="",ISNUMBER(SEARCH($AS$81:$AZ$81,IFERROR(('Final Calculation Sheet'!$U$7)&amp;"","")))))&gt;0),IF(COUNTIF($BI$81:$BP$81,7)=0,TRUE,SUMPRODUCT(($BI$81:$BP$81=7)*($AS$81:$AZ$81&lt;&gt;"")*IF(((UPPER($AS$81:$AZ$81)="BLANK")+(UPPER($AS$81:$AZ$81)="(BLANK)")+(UPPER($AS$81:$AZ$81)="EMPTY")+(UPPER($AS$81:$AZ$81)="(EMPTY)"))&gt;0,IFERROR(('Final Calculation Sheet'!$U$7)&amp;"","")="",ISNUMBER(SEARCH($AS$81:$AZ$81,IFERROR(('Final Calculation Sheet'!$U$7)&amp;"","")))))&gt;0),IF(COUNTIF($BI$81:$BP$81,8)=0,TRUE,SUMPRODUCT(($BI$81:$BP$81=8)*($AS$81:$AZ$81&lt;&gt;"")*IF(((UPPER($AS$81:$AZ$81)="BLANK")+(UPPER($AS$81:$AZ$81)="(BLANK)")+(UPPER($AS$81:$AZ$81)="EMPTY")+(UPPER($AS$81:$AZ$81)="(EMPTY)"))&gt;0,IFERROR(('Final Calculation Sheet'!$U$7)&amp;"","")="",ISNUMBER(SEARCH($AS$81:$AZ$81,IFERROR(('Final Calculation Sheet'!$U$7)&amp;"","")))))&gt;0))))</f>
        <v>1</v>
      </c>
      <c r="CI8">
        <f>IF($W$4="",1,--(AND(SUMPRODUCT(--($AS$82:$AZ$82&lt;&gt;""))&gt;0,IF(COUNTIF($BI$82:$BP$82,1)=0,TRUE,SUMPRODUCT(($BI$82:$BP$82=1)*($AS$82:$AZ$82&lt;&gt;"")*IF(((UPPER($AS$82:$AZ$82)="BLANK")+(UPPER($AS$82:$AZ$82)="(BLANK)")+(UPPER($AS$82:$AZ$82)="EMPTY")+(UPPER($AS$82:$AZ$82)="(EMPTY)"))&gt;0,IFERROR(('Final Calculation Sheet'!$V$7)&amp;"","")="",ISNUMBER(SEARCH($AS$82:$AZ$82,IFERROR(('Final Calculation Sheet'!$V$7)&amp;"","")))))&gt;0),IF(COUNTIF($BI$82:$BP$82,2)=0,TRUE,SUMPRODUCT(($BI$82:$BP$82=2)*($AS$82:$AZ$82&lt;&gt;"")*IF(((UPPER($AS$82:$AZ$82)="BLANK")+(UPPER($AS$82:$AZ$82)="(BLANK)")+(UPPER($AS$82:$AZ$82)="EMPTY")+(UPPER($AS$82:$AZ$82)="(EMPTY)"))&gt;0,IFERROR(('Final Calculation Sheet'!$V$7)&amp;"","")="",ISNUMBER(SEARCH($AS$82:$AZ$82,IFERROR(('Final Calculation Sheet'!$V$7)&amp;"","")))))&gt;0),IF(COUNTIF($BI$82:$BP$82,3)=0,TRUE,SUMPRODUCT(($BI$82:$BP$82=3)*($AS$82:$AZ$82&lt;&gt;"")*IF(((UPPER($AS$82:$AZ$82)="BLANK")+(UPPER($AS$82:$AZ$82)="(BLANK)")+(UPPER($AS$82:$AZ$82)="EMPTY")+(UPPER($AS$82:$AZ$82)="(EMPTY)"))&gt;0,IFERROR(('Final Calculation Sheet'!$V$7)&amp;"","")="",ISNUMBER(SEARCH($AS$82:$AZ$82,IFERROR(('Final Calculation Sheet'!$V$7)&amp;"","")))))&gt;0),IF(COUNTIF($BI$82:$BP$82,4)=0,TRUE,SUMPRODUCT(($BI$82:$BP$82=4)*($AS$82:$AZ$82&lt;&gt;"")*IF(((UPPER($AS$82:$AZ$82)="BLANK")+(UPPER($AS$82:$AZ$82)="(BLANK)")+(UPPER($AS$82:$AZ$82)="EMPTY")+(UPPER($AS$82:$AZ$82)="(EMPTY)"))&gt;0,IFERROR(('Final Calculation Sheet'!$V$7)&amp;"","")="",ISNUMBER(SEARCH($AS$82:$AZ$82,IFERROR(('Final Calculation Sheet'!$V$7)&amp;"","")))))&gt;0),IF(COUNTIF($BI$82:$BP$82,5)=0,TRUE,SUMPRODUCT(($BI$82:$BP$82=5)*($AS$82:$AZ$82&lt;&gt;"")*IF(((UPPER($AS$82:$AZ$82)="BLANK")+(UPPER($AS$82:$AZ$82)="(BLANK)")+(UPPER($AS$82:$AZ$82)="EMPTY")+(UPPER($AS$82:$AZ$82)="(EMPTY)"))&gt;0,IFERROR(('Final Calculation Sheet'!$V$7)&amp;"","")="",ISNUMBER(SEARCH($AS$82:$AZ$82,IFERROR(('Final Calculation Sheet'!$V$7)&amp;"","")))))&gt;0),IF(COUNTIF($BI$82:$BP$82,6)=0,TRUE,SUMPRODUCT(($BI$82:$BP$82=6)*($AS$82:$AZ$82&lt;&gt;"")*IF(((UPPER($AS$82:$AZ$82)="BLANK")+(UPPER($AS$82:$AZ$82)="(BLANK)")+(UPPER($AS$82:$AZ$82)="EMPTY")+(UPPER($AS$82:$AZ$82)="(EMPTY)"))&gt;0,IFERROR(('Final Calculation Sheet'!$V$7)&amp;"","")="",ISNUMBER(SEARCH($AS$82:$AZ$82,IFERROR(('Final Calculation Sheet'!$V$7)&amp;"","")))))&gt;0),IF(COUNTIF($BI$82:$BP$82,7)=0,TRUE,SUMPRODUCT(($BI$82:$BP$82=7)*($AS$82:$AZ$82&lt;&gt;"")*IF(((UPPER($AS$82:$AZ$82)="BLANK")+(UPPER($AS$82:$AZ$82)="(BLANK)")+(UPPER($AS$82:$AZ$82)="EMPTY")+(UPPER($AS$82:$AZ$82)="(EMPTY)"))&gt;0,IFERROR(('Final Calculation Sheet'!$V$7)&amp;"","")="",ISNUMBER(SEARCH($AS$82:$AZ$82,IFERROR(('Final Calculation Sheet'!$V$7)&amp;"","")))))&gt;0),IF(COUNTIF($BI$82:$BP$82,8)=0,TRUE,SUMPRODUCT(($BI$82:$BP$82=8)*($AS$82:$AZ$82&lt;&gt;"")*IF(((UPPER($AS$82:$AZ$82)="BLANK")+(UPPER($AS$82:$AZ$82)="(BLANK)")+(UPPER($AS$82:$AZ$82)="EMPTY")+(UPPER($AS$82:$AZ$82)="(EMPTY)"))&gt;0,IFERROR(('Final Calculation Sheet'!$V$7)&amp;"","")="",ISNUMBER(SEARCH($AS$82:$AZ$82,IFERROR(('Final Calculation Sheet'!$V$7)&amp;"","")))))&gt;0))))</f>
        <v>1</v>
      </c>
      <c r="CJ8">
        <f>IF($X$4="",1,--(AND(SUMPRODUCT(--($AS$83:$AZ$83&lt;&gt;""))&gt;0,IF(COUNTIF($BI$83:$BP$83,1)=0,TRUE,SUMPRODUCT(($BI$83:$BP$83=1)*($AS$83:$AZ$83&lt;&gt;"")*IF(((UPPER($AS$83:$AZ$83)="BLANK")+(UPPER($AS$83:$AZ$83)="(BLANK)")+(UPPER($AS$83:$AZ$83)="EMPTY")+(UPPER($AS$83:$AZ$83)="(EMPTY)"))&gt;0,IFERROR(('Final Calculation Sheet'!$W$7)&amp;"","")="",ISNUMBER(SEARCH($AS$83:$AZ$83,IFERROR(('Final Calculation Sheet'!$W$7)&amp;"","")))))&gt;0),IF(COUNTIF($BI$83:$BP$83,2)=0,TRUE,SUMPRODUCT(($BI$83:$BP$83=2)*($AS$83:$AZ$83&lt;&gt;"")*IF(((UPPER($AS$83:$AZ$83)="BLANK")+(UPPER($AS$83:$AZ$83)="(BLANK)")+(UPPER($AS$83:$AZ$83)="EMPTY")+(UPPER($AS$83:$AZ$83)="(EMPTY)"))&gt;0,IFERROR(('Final Calculation Sheet'!$W$7)&amp;"","")="",ISNUMBER(SEARCH($AS$83:$AZ$83,IFERROR(('Final Calculation Sheet'!$W$7)&amp;"","")))))&gt;0),IF(COUNTIF($BI$83:$BP$83,3)=0,TRUE,SUMPRODUCT(($BI$83:$BP$83=3)*($AS$83:$AZ$83&lt;&gt;"")*IF(((UPPER($AS$83:$AZ$83)="BLANK")+(UPPER($AS$83:$AZ$83)="(BLANK)")+(UPPER($AS$83:$AZ$83)="EMPTY")+(UPPER($AS$83:$AZ$83)="(EMPTY)"))&gt;0,IFERROR(('Final Calculation Sheet'!$W$7)&amp;"","")="",ISNUMBER(SEARCH($AS$83:$AZ$83,IFERROR(('Final Calculation Sheet'!$W$7)&amp;"","")))))&gt;0),IF(COUNTIF($BI$83:$BP$83,4)=0,TRUE,SUMPRODUCT(($BI$83:$BP$83=4)*($AS$83:$AZ$83&lt;&gt;"")*IF(((UPPER($AS$83:$AZ$83)="BLANK")+(UPPER($AS$83:$AZ$83)="(BLANK)")+(UPPER($AS$83:$AZ$83)="EMPTY")+(UPPER($AS$83:$AZ$83)="(EMPTY)"))&gt;0,IFERROR(('Final Calculation Sheet'!$W$7)&amp;"","")="",ISNUMBER(SEARCH($AS$83:$AZ$83,IFERROR(('Final Calculation Sheet'!$W$7)&amp;"","")))))&gt;0),IF(COUNTIF($BI$83:$BP$83,5)=0,TRUE,SUMPRODUCT(($BI$83:$BP$83=5)*($AS$83:$AZ$83&lt;&gt;"")*IF(((UPPER($AS$83:$AZ$83)="BLANK")+(UPPER($AS$83:$AZ$83)="(BLANK)")+(UPPER($AS$83:$AZ$83)="EMPTY")+(UPPER($AS$83:$AZ$83)="(EMPTY)"))&gt;0,IFERROR(('Final Calculation Sheet'!$W$7)&amp;"","")="",ISNUMBER(SEARCH($AS$83:$AZ$83,IFERROR(('Final Calculation Sheet'!$W$7)&amp;"","")))))&gt;0),IF(COUNTIF($BI$83:$BP$83,6)=0,TRUE,SUMPRODUCT(($BI$83:$BP$83=6)*($AS$83:$AZ$83&lt;&gt;"")*IF(((UPPER($AS$83:$AZ$83)="BLANK")+(UPPER($AS$83:$AZ$83)="(BLANK)")+(UPPER($AS$83:$AZ$83)="EMPTY")+(UPPER($AS$83:$AZ$83)="(EMPTY)"))&gt;0,IFERROR(('Final Calculation Sheet'!$W$7)&amp;"","")="",ISNUMBER(SEARCH($AS$83:$AZ$83,IFERROR(('Final Calculation Sheet'!$W$7)&amp;"","")))))&gt;0),IF(COUNTIF($BI$83:$BP$83,7)=0,TRUE,SUMPRODUCT(($BI$83:$BP$83=7)*($AS$83:$AZ$83&lt;&gt;"")*IF(((UPPER($AS$83:$AZ$83)="BLANK")+(UPPER($AS$83:$AZ$83)="(BLANK)")+(UPPER($AS$83:$AZ$83)="EMPTY")+(UPPER($AS$83:$AZ$83)="(EMPTY)"))&gt;0,IFERROR(('Final Calculation Sheet'!$W$7)&amp;"","")="",ISNUMBER(SEARCH($AS$83:$AZ$83,IFERROR(('Final Calculation Sheet'!$W$7)&amp;"","")))))&gt;0),IF(COUNTIF($BI$83:$BP$83,8)=0,TRUE,SUMPRODUCT(($BI$83:$BP$83=8)*($AS$83:$AZ$83&lt;&gt;"")*IF(((UPPER($AS$83:$AZ$83)="BLANK")+(UPPER($AS$83:$AZ$83)="(BLANK)")+(UPPER($AS$83:$AZ$83)="EMPTY")+(UPPER($AS$83:$AZ$83)="(EMPTY)"))&gt;0,IFERROR(('Final Calculation Sheet'!$W$7)&amp;"","")="",ISNUMBER(SEARCH($AS$83:$AZ$83,IFERROR(('Final Calculation Sheet'!$W$7)&amp;"","")))))&gt;0))))</f>
        <v>1</v>
      </c>
      <c r="CK8">
        <f>IF($Y$4="",1,--(AND(SUMPRODUCT(--($AS$84:$AZ$84&lt;&gt;""))&gt;0,IF(COUNTIF($BI$84:$BP$84,1)=0,TRUE,SUMPRODUCT(($BI$84:$BP$84=1)*($AS$84:$AZ$84&lt;&gt;"")*IF(((UPPER($AS$84:$AZ$84)="BLANK")+(UPPER($AS$84:$AZ$84)="(BLANK)")+(UPPER($AS$84:$AZ$84)="EMPTY")+(UPPER($AS$84:$AZ$84)="(EMPTY)"))&gt;0,IFERROR(('Final Calculation Sheet'!$X$7)&amp;"","")="",ISNUMBER(SEARCH($AS$84:$AZ$84,IFERROR(('Final Calculation Sheet'!$X$7)&amp;"","")))))&gt;0),IF(COUNTIF($BI$84:$BP$84,2)=0,TRUE,SUMPRODUCT(($BI$84:$BP$84=2)*($AS$84:$AZ$84&lt;&gt;"")*IF(((UPPER($AS$84:$AZ$84)="BLANK")+(UPPER($AS$84:$AZ$84)="(BLANK)")+(UPPER($AS$84:$AZ$84)="EMPTY")+(UPPER($AS$84:$AZ$84)="(EMPTY)"))&gt;0,IFERROR(('Final Calculation Sheet'!$X$7)&amp;"","")="",ISNUMBER(SEARCH($AS$84:$AZ$84,IFERROR(('Final Calculation Sheet'!$X$7)&amp;"","")))))&gt;0),IF(COUNTIF($BI$84:$BP$84,3)=0,TRUE,SUMPRODUCT(($BI$84:$BP$84=3)*($AS$84:$AZ$84&lt;&gt;"")*IF(((UPPER($AS$84:$AZ$84)="BLANK")+(UPPER($AS$84:$AZ$84)="(BLANK)")+(UPPER($AS$84:$AZ$84)="EMPTY")+(UPPER($AS$84:$AZ$84)="(EMPTY)"))&gt;0,IFERROR(('Final Calculation Sheet'!$X$7)&amp;"","")="",ISNUMBER(SEARCH($AS$84:$AZ$84,IFERROR(('Final Calculation Sheet'!$X$7)&amp;"","")))))&gt;0),IF(COUNTIF($BI$84:$BP$84,4)=0,TRUE,SUMPRODUCT(($BI$84:$BP$84=4)*($AS$84:$AZ$84&lt;&gt;"")*IF(((UPPER($AS$84:$AZ$84)="BLANK")+(UPPER($AS$84:$AZ$84)="(BLANK)")+(UPPER($AS$84:$AZ$84)="EMPTY")+(UPPER($AS$84:$AZ$84)="(EMPTY)"))&gt;0,IFERROR(('Final Calculation Sheet'!$X$7)&amp;"","")="",ISNUMBER(SEARCH($AS$84:$AZ$84,IFERROR(('Final Calculation Sheet'!$X$7)&amp;"","")))))&gt;0),IF(COUNTIF($BI$84:$BP$84,5)=0,TRUE,SUMPRODUCT(($BI$84:$BP$84=5)*($AS$84:$AZ$84&lt;&gt;"")*IF(((UPPER($AS$84:$AZ$84)="BLANK")+(UPPER($AS$84:$AZ$84)="(BLANK)")+(UPPER($AS$84:$AZ$84)="EMPTY")+(UPPER($AS$84:$AZ$84)="(EMPTY)"))&gt;0,IFERROR(('Final Calculation Sheet'!$X$7)&amp;"","")="",ISNUMBER(SEARCH($AS$84:$AZ$84,IFERROR(('Final Calculation Sheet'!$X$7)&amp;"","")))))&gt;0),IF(COUNTIF($BI$84:$BP$84,6)=0,TRUE,SUMPRODUCT(($BI$84:$BP$84=6)*($AS$84:$AZ$84&lt;&gt;"")*IF(((UPPER($AS$84:$AZ$84)="BLANK")+(UPPER($AS$84:$AZ$84)="(BLANK)")+(UPPER($AS$84:$AZ$84)="EMPTY")+(UPPER($AS$84:$AZ$84)="(EMPTY)"))&gt;0,IFERROR(('Final Calculation Sheet'!$X$7)&amp;"","")="",ISNUMBER(SEARCH($AS$84:$AZ$84,IFERROR(('Final Calculation Sheet'!$X$7)&amp;"","")))))&gt;0),IF(COUNTIF($BI$84:$BP$84,7)=0,TRUE,SUMPRODUCT(($BI$84:$BP$84=7)*($AS$84:$AZ$84&lt;&gt;"")*IF(((UPPER($AS$84:$AZ$84)="BLANK")+(UPPER($AS$84:$AZ$84)="(BLANK)")+(UPPER($AS$84:$AZ$84)="EMPTY")+(UPPER($AS$84:$AZ$84)="(EMPTY)"))&gt;0,IFERROR(('Final Calculation Sheet'!$X$7)&amp;"","")="",ISNUMBER(SEARCH($AS$84:$AZ$84,IFERROR(('Final Calculation Sheet'!$X$7)&amp;"","")))))&gt;0),IF(COUNTIF($BI$84:$BP$84,8)=0,TRUE,SUMPRODUCT(($BI$84:$BP$84=8)*($AS$84:$AZ$84&lt;&gt;"")*IF(((UPPER($AS$84:$AZ$84)="BLANK")+(UPPER($AS$84:$AZ$84)="(BLANK)")+(UPPER($AS$84:$AZ$84)="EMPTY")+(UPPER($AS$84:$AZ$84)="(EMPTY)"))&gt;0,IFERROR(('Final Calculation Sheet'!$X$7)&amp;"","")="",ISNUMBER(SEARCH($AS$84:$AZ$84,IFERROR(('Final Calculation Sheet'!$X$7)&amp;"","")))))&gt;0))))</f>
        <v>1</v>
      </c>
      <c r="CL8">
        <f>IF($Z$4="",1,--(AND(SUMPRODUCT(--($AS$85:$AZ$85&lt;&gt;""))&gt;0,IF(COUNTIF($BI$85:$BP$85,1)=0,TRUE,SUMPRODUCT(($BI$85:$BP$85=1)*($AS$85:$AZ$85&lt;&gt;"")*IF(((UPPER($AS$85:$AZ$85)="BLANK")+(UPPER($AS$85:$AZ$85)="(BLANK)")+(UPPER($AS$85:$AZ$85)="EMPTY")+(UPPER($AS$85:$AZ$85)="(EMPTY)"))&gt;0,IFERROR(('Final Calculation Sheet'!$Y$7)&amp;"","")="",ISNUMBER(SEARCH($AS$85:$AZ$85,IFERROR(('Final Calculation Sheet'!$Y$7)&amp;"","")))))&gt;0),IF(COUNTIF($BI$85:$BP$85,2)=0,TRUE,SUMPRODUCT(($BI$85:$BP$85=2)*($AS$85:$AZ$85&lt;&gt;"")*IF(((UPPER($AS$85:$AZ$85)="BLANK")+(UPPER($AS$85:$AZ$85)="(BLANK)")+(UPPER($AS$85:$AZ$85)="EMPTY")+(UPPER($AS$85:$AZ$85)="(EMPTY)"))&gt;0,IFERROR(('Final Calculation Sheet'!$Y$7)&amp;"","")="",ISNUMBER(SEARCH($AS$85:$AZ$85,IFERROR(('Final Calculation Sheet'!$Y$7)&amp;"","")))))&gt;0),IF(COUNTIF($BI$85:$BP$85,3)=0,TRUE,SUMPRODUCT(($BI$85:$BP$85=3)*($AS$85:$AZ$85&lt;&gt;"")*IF(((UPPER($AS$85:$AZ$85)="BLANK")+(UPPER($AS$85:$AZ$85)="(BLANK)")+(UPPER($AS$85:$AZ$85)="EMPTY")+(UPPER($AS$85:$AZ$85)="(EMPTY)"))&gt;0,IFERROR(('Final Calculation Sheet'!$Y$7)&amp;"","")="",ISNUMBER(SEARCH($AS$85:$AZ$85,IFERROR(('Final Calculation Sheet'!$Y$7)&amp;"","")))))&gt;0),IF(COUNTIF($BI$85:$BP$85,4)=0,TRUE,SUMPRODUCT(($BI$85:$BP$85=4)*($AS$85:$AZ$85&lt;&gt;"")*IF(((UPPER($AS$85:$AZ$85)="BLANK")+(UPPER($AS$85:$AZ$85)="(BLANK)")+(UPPER($AS$85:$AZ$85)="EMPTY")+(UPPER($AS$85:$AZ$85)="(EMPTY)"))&gt;0,IFERROR(('Final Calculation Sheet'!$Y$7)&amp;"","")="",ISNUMBER(SEARCH($AS$85:$AZ$85,IFERROR(('Final Calculation Sheet'!$Y$7)&amp;"","")))))&gt;0),IF(COUNTIF($BI$85:$BP$85,5)=0,TRUE,SUMPRODUCT(($BI$85:$BP$85=5)*($AS$85:$AZ$85&lt;&gt;"")*IF(((UPPER($AS$85:$AZ$85)="BLANK")+(UPPER($AS$85:$AZ$85)="(BLANK)")+(UPPER($AS$85:$AZ$85)="EMPTY")+(UPPER($AS$85:$AZ$85)="(EMPTY)"))&gt;0,IFERROR(('Final Calculation Sheet'!$Y$7)&amp;"","")="",ISNUMBER(SEARCH($AS$85:$AZ$85,IFERROR(('Final Calculation Sheet'!$Y$7)&amp;"","")))))&gt;0),IF(COUNTIF($BI$85:$BP$85,6)=0,TRUE,SUMPRODUCT(($BI$85:$BP$85=6)*($AS$85:$AZ$85&lt;&gt;"")*IF(((UPPER($AS$85:$AZ$85)="BLANK")+(UPPER($AS$85:$AZ$85)="(BLANK)")+(UPPER($AS$85:$AZ$85)="EMPTY")+(UPPER($AS$85:$AZ$85)="(EMPTY)"))&gt;0,IFERROR(('Final Calculation Sheet'!$Y$7)&amp;"","")="",ISNUMBER(SEARCH($AS$85:$AZ$85,IFERROR(('Final Calculation Sheet'!$Y$7)&amp;"","")))))&gt;0),IF(COUNTIF($BI$85:$BP$85,7)=0,TRUE,SUMPRODUCT(($BI$85:$BP$85=7)*($AS$85:$AZ$85&lt;&gt;"")*IF(((UPPER($AS$85:$AZ$85)="BLANK")+(UPPER($AS$85:$AZ$85)="(BLANK)")+(UPPER($AS$85:$AZ$85)="EMPTY")+(UPPER($AS$85:$AZ$85)="(EMPTY)"))&gt;0,IFERROR(('Final Calculation Sheet'!$Y$7)&amp;"","")="",ISNUMBER(SEARCH($AS$85:$AZ$85,IFERROR(('Final Calculation Sheet'!$Y$7)&amp;"","")))))&gt;0),IF(COUNTIF($BI$85:$BP$85,8)=0,TRUE,SUMPRODUCT(($BI$85:$BP$85=8)*($AS$85:$AZ$85&lt;&gt;"")*IF(((UPPER($AS$85:$AZ$85)="BLANK")+(UPPER($AS$85:$AZ$85)="(BLANK)")+(UPPER($AS$85:$AZ$85)="EMPTY")+(UPPER($AS$85:$AZ$85)="(EMPTY)"))&gt;0,IFERROR(('Final Calculation Sheet'!$Y$7)&amp;"","")="",ISNUMBER(SEARCH($AS$85:$AZ$85,IFERROR(('Final Calculation Sheet'!$Y$7)&amp;"","")))))&gt;0))))</f>
        <v>1</v>
      </c>
      <c r="CM8">
        <f>IF($AA$4="",1,--(AND(SUMPRODUCT(--($AS$86:$AZ$86&lt;&gt;""))&gt;0,IF(COUNTIF($BI$86:$BP$86,1)=0,TRUE,SUMPRODUCT(($BI$86:$BP$86=1)*($AS$86:$AZ$86&lt;&gt;"")*IF(((UPPER($AS$86:$AZ$86)="BLANK")+(UPPER($AS$86:$AZ$86)="(BLANK)")+(UPPER($AS$86:$AZ$86)="EMPTY")+(UPPER($AS$86:$AZ$86)="(EMPTY)"))&gt;0,IFERROR(('Final Calculation Sheet'!$Z$7)&amp;"","")="",ISNUMBER(SEARCH($AS$86:$AZ$86,IFERROR(('Final Calculation Sheet'!$Z$7)&amp;"","")))))&gt;0),IF(COUNTIF($BI$86:$BP$86,2)=0,TRUE,SUMPRODUCT(($BI$86:$BP$86=2)*($AS$86:$AZ$86&lt;&gt;"")*IF(((UPPER($AS$86:$AZ$86)="BLANK")+(UPPER($AS$86:$AZ$86)="(BLANK)")+(UPPER($AS$86:$AZ$86)="EMPTY")+(UPPER($AS$86:$AZ$86)="(EMPTY)"))&gt;0,IFERROR(('Final Calculation Sheet'!$Z$7)&amp;"","")="",ISNUMBER(SEARCH($AS$86:$AZ$86,IFERROR(('Final Calculation Sheet'!$Z$7)&amp;"","")))))&gt;0),IF(COUNTIF($BI$86:$BP$86,3)=0,TRUE,SUMPRODUCT(($BI$86:$BP$86=3)*($AS$86:$AZ$86&lt;&gt;"")*IF(((UPPER($AS$86:$AZ$86)="BLANK")+(UPPER($AS$86:$AZ$86)="(BLANK)")+(UPPER($AS$86:$AZ$86)="EMPTY")+(UPPER($AS$86:$AZ$86)="(EMPTY)"))&gt;0,IFERROR(('Final Calculation Sheet'!$Z$7)&amp;"","")="",ISNUMBER(SEARCH($AS$86:$AZ$86,IFERROR(('Final Calculation Sheet'!$Z$7)&amp;"","")))))&gt;0),IF(COUNTIF($BI$86:$BP$86,4)=0,TRUE,SUMPRODUCT(($BI$86:$BP$86=4)*($AS$86:$AZ$86&lt;&gt;"")*IF(((UPPER($AS$86:$AZ$86)="BLANK")+(UPPER($AS$86:$AZ$86)="(BLANK)")+(UPPER($AS$86:$AZ$86)="EMPTY")+(UPPER($AS$86:$AZ$86)="(EMPTY)"))&gt;0,IFERROR(('Final Calculation Sheet'!$Z$7)&amp;"","")="",ISNUMBER(SEARCH($AS$86:$AZ$86,IFERROR(('Final Calculation Sheet'!$Z$7)&amp;"","")))))&gt;0),IF(COUNTIF($BI$86:$BP$86,5)=0,TRUE,SUMPRODUCT(($BI$86:$BP$86=5)*($AS$86:$AZ$86&lt;&gt;"")*IF(((UPPER($AS$86:$AZ$86)="BLANK")+(UPPER($AS$86:$AZ$86)="(BLANK)")+(UPPER($AS$86:$AZ$86)="EMPTY")+(UPPER($AS$86:$AZ$86)="(EMPTY)"))&gt;0,IFERROR(('Final Calculation Sheet'!$Z$7)&amp;"","")="",ISNUMBER(SEARCH($AS$86:$AZ$86,IFERROR(('Final Calculation Sheet'!$Z$7)&amp;"","")))))&gt;0),IF(COUNTIF($BI$86:$BP$86,6)=0,TRUE,SUMPRODUCT(($BI$86:$BP$86=6)*($AS$86:$AZ$86&lt;&gt;"")*IF(((UPPER($AS$86:$AZ$86)="BLANK")+(UPPER($AS$86:$AZ$86)="(BLANK)")+(UPPER($AS$86:$AZ$86)="EMPTY")+(UPPER($AS$86:$AZ$86)="(EMPTY)"))&gt;0,IFERROR(('Final Calculation Sheet'!$Z$7)&amp;"","")="",ISNUMBER(SEARCH($AS$86:$AZ$86,IFERROR(('Final Calculation Sheet'!$Z$7)&amp;"","")))))&gt;0),IF(COUNTIF($BI$86:$BP$86,7)=0,TRUE,SUMPRODUCT(($BI$86:$BP$86=7)*($AS$86:$AZ$86&lt;&gt;"")*IF(((UPPER($AS$86:$AZ$86)="BLANK")+(UPPER($AS$86:$AZ$86)="(BLANK)")+(UPPER($AS$86:$AZ$86)="EMPTY")+(UPPER($AS$86:$AZ$86)="(EMPTY)"))&gt;0,IFERROR(('Final Calculation Sheet'!$Z$7)&amp;"","")="",ISNUMBER(SEARCH($AS$86:$AZ$86,IFERROR(('Final Calculation Sheet'!$Z$7)&amp;"","")))))&gt;0),IF(COUNTIF($BI$86:$BP$86,8)=0,TRUE,SUMPRODUCT(($BI$86:$BP$86=8)*($AS$86:$AZ$86&lt;&gt;"")*IF(((UPPER($AS$86:$AZ$86)="BLANK")+(UPPER($AS$86:$AZ$86)="(BLANK)")+(UPPER($AS$86:$AZ$86)="EMPTY")+(UPPER($AS$86:$AZ$86)="(EMPTY)"))&gt;0,IFERROR(('Final Calculation Sheet'!$Z$7)&amp;"","")="",ISNUMBER(SEARCH($AS$86:$AZ$86,IFERROR(('Final Calculation Sheet'!$Z$7)&amp;"","")))))&gt;0))))</f>
        <v>1</v>
      </c>
      <c r="CN8">
        <f>IF($AB$4="",1,--(AND(SUMPRODUCT(--($AS$87:$AZ$87&lt;&gt;""))&gt;0,IF(COUNTIF($BI$87:$BP$87,1)=0,TRUE,SUMPRODUCT(($BI$87:$BP$87=1)*($AS$87:$AZ$87&lt;&gt;"")*IF(((UPPER($AS$87:$AZ$87)="BLANK")+(UPPER($AS$87:$AZ$87)="(BLANK)")+(UPPER($AS$87:$AZ$87)="EMPTY")+(UPPER($AS$87:$AZ$87)="(EMPTY)"))&gt;0,IFERROR(('Final Calculation Sheet'!$AA$7)&amp;"","")="",ISNUMBER(SEARCH($AS$87:$AZ$87,IFERROR(('Final Calculation Sheet'!$AA$7)&amp;"","")))))&gt;0),IF(COUNTIF($BI$87:$BP$87,2)=0,TRUE,SUMPRODUCT(($BI$87:$BP$87=2)*($AS$87:$AZ$87&lt;&gt;"")*IF(((UPPER($AS$87:$AZ$87)="BLANK")+(UPPER($AS$87:$AZ$87)="(BLANK)")+(UPPER($AS$87:$AZ$87)="EMPTY")+(UPPER($AS$87:$AZ$87)="(EMPTY)"))&gt;0,IFERROR(('Final Calculation Sheet'!$AA$7)&amp;"","")="",ISNUMBER(SEARCH($AS$87:$AZ$87,IFERROR(('Final Calculation Sheet'!$AA$7)&amp;"","")))))&gt;0),IF(COUNTIF($BI$87:$BP$87,3)=0,TRUE,SUMPRODUCT(($BI$87:$BP$87=3)*($AS$87:$AZ$87&lt;&gt;"")*IF(((UPPER($AS$87:$AZ$87)="BLANK")+(UPPER($AS$87:$AZ$87)="(BLANK)")+(UPPER($AS$87:$AZ$87)="EMPTY")+(UPPER($AS$87:$AZ$87)="(EMPTY)"))&gt;0,IFERROR(('Final Calculation Sheet'!$AA$7)&amp;"","")="",ISNUMBER(SEARCH($AS$87:$AZ$87,IFERROR(('Final Calculation Sheet'!$AA$7)&amp;"","")))))&gt;0),IF(COUNTIF($BI$87:$BP$87,4)=0,TRUE,SUMPRODUCT(($BI$87:$BP$87=4)*($AS$87:$AZ$87&lt;&gt;"")*IF(((UPPER($AS$87:$AZ$87)="BLANK")+(UPPER($AS$87:$AZ$87)="(BLANK)")+(UPPER($AS$87:$AZ$87)="EMPTY")+(UPPER($AS$87:$AZ$87)="(EMPTY)"))&gt;0,IFERROR(('Final Calculation Sheet'!$AA$7)&amp;"","")="",ISNUMBER(SEARCH($AS$87:$AZ$87,IFERROR(('Final Calculation Sheet'!$AA$7)&amp;"","")))))&gt;0),IF(COUNTIF($BI$87:$BP$87,5)=0,TRUE,SUMPRODUCT(($BI$87:$BP$87=5)*($AS$87:$AZ$87&lt;&gt;"")*IF(((UPPER($AS$87:$AZ$87)="BLANK")+(UPPER($AS$87:$AZ$87)="(BLANK)")+(UPPER($AS$87:$AZ$87)="EMPTY")+(UPPER($AS$87:$AZ$87)="(EMPTY)"))&gt;0,IFERROR(('Final Calculation Sheet'!$AA$7)&amp;"","")="",ISNUMBER(SEARCH($AS$87:$AZ$87,IFERROR(('Final Calculation Sheet'!$AA$7)&amp;"","")))))&gt;0),IF(COUNTIF($BI$87:$BP$87,6)=0,TRUE,SUMPRODUCT(($BI$87:$BP$87=6)*($AS$87:$AZ$87&lt;&gt;"")*IF(((UPPER($AS$87:$AZ$87)="BLANK")+(UPPER($AS$87:$AZ$87)="(BLANK)")+(UPPER($AS$87:$AZ$87)="EMPTY")+(UPPER($AS$87:$AZ$87)="(EMPTY)"))&gt;0,IFERROR(('Final Calculation Sheet'!$AA$7)&amp;"","")="",ISNUMBER(SEARCH($AS$87:$AZ$87,IFERROR(('Final Calculation Sheet'!$AA$7)&amp;"","")))))&gt;0),IF(COUNTIF($BI$87:$BP$87,7)=0,TRUE,SUMPRODUCT(($BI$87:$BP$87=7)*($AS$87:$AZ$87&lt;&gt;"")*IF(((UPPER($AS$87:$AZ$87)="BLANK")+(UPPER($AS$87:$AZ$87)="(BLANK)")+(UPPER($AS$87:$AZ$87)="EMPTY")+(UPPER($AS$87:$AZ$87)="(EMPTY)"))&gt;0,IFERROR(('Final Calculation Sheet'!$AA$7)&amp;"","")="",ISNUMBER(SEARCH($AS$87:$AZ$87,IFERROR(('Final Calculation Sheet'!$AA$7)&amp;"","")))))&gt;0),IF(COUNTIF($BI$87:$BP$87,8)=0,TRUE,SUMPRODUCT(($BI$87:$BP$87=8)*($AS$87:$AZ$87&lt;&gt;"")*IF(((UPPER($AS$87:$AZ$87)="BLANK")+(UPPER($AS$87:$AZ$87)="(BLANK)")+(UPPER($AS$87:$AZ$87)="EMPTY")+(UPPER($AS$87:$AZ$87)="(EMPTY)"))&gt;0,IFERROR(('Final Calculation Sheet'!$AA$7)&amp;"","")="",ISNUMBER(SEARCH($AS$87:$AZ$87,IFERROR(('Final Calculation Sheet'!$AA$7)&amp;"","")))))&gt;0))))</f>
        <v>1</v>
      </c>
      <c r="CO8">
        <f>IF($AC$4="",1,--(AND(SUMPRODUCT(--($AS$88:$AZ$88&lt;&gt;""))&gt;0,IF(COUNTIF($BI$88:$BP$88,1)=0,TRUE,SUMPRODUCT(($BI$88:$BP$88=1)*($AS$88:$AZ$88&lt;&gt;"")*IF(((UPPER($AS$88:$AZ$88)="BLANK")+(UPPER($AS$88:$AZ$88)="(BLANK)")+(UPPER($AS$88:$AZ$88)="EMPTY")+(UPPER($AS$88:$AZ$88)="(EMPTY)"))&gt;0,IFERROR(('Final Calculation Sheet'!$AB$7)&amp;"","")="",ISNUMBER(SEARCH($AS$88:$AZ$88,IFERROR(('Final Calculation Sheet'!$AB$7)&amp;"","")))))&gt;0),IF(COUNTIF($BI$88:$BP$88,2)=0,TRUE,SUMPRODUCT(($BI$88:$BP$88=2)*($AS$88:$AZ$88&lt;&gt;"")*IF(((UPPER($AS$88:$AZ$88)="BLANK")+(UPPER($AS$88:$AZ$88)="(BLANK)")+(UPPER($AS$88:$AZ$88)="EMPTY")+(UPPER($AS$88:$AZ$88)="(EMPTY)"))&gt;0,IFERROR(('Final Calculation Sheet'!$AB$7)&amp;"","")="",ISNUMBER(SEARCH($AS$88:$AZ$88,IFERROR(('Final Calculation Sheet'!$AB$7)&amp;"","")))))&gt;0),IF(COUNTIF($BI$88:$BP$88,3)=0,TRUE,SUMPRODUCT(($BI$88:$BP$88=3)*($AS$88:$AZ$88&lt;&gt;"")*IF(((UPPER($AS$88:$AZ$88)="BLANK")+(UPPER($AS$88:$AZ$88)="(BLANK)")+(UPPER($AS$88:$AZ$88)="EMPTY")+(UPPER($AS$88:$AZ$88)="(EMPTY)"))&gt;0,IFERROR(('Final Calculation Sheet'!$AB$7)&amp;"","")="",ISNUMBER(SEARCH($AS$88:$AZ$88,IFERROR(('Final Calculation Sheet'!$AB$7)&amp;"","")))))&gt;0),IF(COUNTIF($BI$88:$BP$88,4)=0,TRUE,SUMPRODUCT(($BI$88:$BP$88=4)*($AS$88:$AZ$88&lt;&gt;"")*IF(((UPPER($AS$88:$AZ$88)="BLANK")+(UPPER($AS$88:$AZ$88)="(BLANK)")+(UPPER($AS$88:$AZ$88)="EMPTY")+(UPPER($AS$88:$AZ$88)="(EMPTY)"))&gt;0,IFERROR(('Final Calculation Sheet'!$AB$7)&amp;"","")="",ISNUMBER(SEARCH($AS$88:$AZ$88,IFERROR(('Final Calculation Sheet'!$AB$7)&amp;"","")))))&gt;0),IF(COUNTIF($BI$88:$BP$88,5)=0,TRUE,SUMPRODUCT(($BI$88:$BP$88=5)*($AS$88:$AZ$88&lt;&gt;"")*IF(((UPPER($AS$88:$AZ$88)="BLANK")+(UPPER($AS$88:$AZ$88)="(BLANK)")+(UPPER($AS$88:$AZ$88)="EMPTY")+(UPPER($AS$88:$AZ$88)="(EMPTY)"))&gt;0,IFERROR(('Final Calculation Sheet'!$AB$7)&amp;"","")="",ISNUMBER(SEARCH($AS$88:$AZ$88,IFERROR(('Final Calculation Sheet'!$AB$7)&amp;"","")))))&gt;0),IF(COUNTIF($BI$88:$BP$88,6)=0,TRUE,SUMPRODUCT(($BI$88:$BP$88=6)*($AS$88:$AZ$88&lt;&gt;"")*IF(((UPPER($AS$88:$AZ$88)="BLANK")+(UPPER($AS$88:$AZ$88)="(BLANK)")+(UPPER($AS$88:$AZ$88)="EMPTY")+(UPPER($AS$88:$AZ$88)="(EMPTY)"))&gt;0,IFERROR(('Final Calculation Sheet'!$AB$7)&amp;"","")="",ISNUMBER(SEARCH($AS$88:$AZ$88,IFERROR(('Final Calculation Sheet'!$AB$7)&amp;"","")))))&gt;0),IF(COUNTIF($BI$88:$BP$88,7)=0,TRUE,SUMPRODUCT(($BI$88:$BP$88=7)*($AS$88:$AZ$88&lt;&gt;"")*IF(((UPPER($AS$88:$AZ$88)="BLANK")+(UPPER($AS$88:$AZ$88)="(BLANK)")+(UPPER($AS$88:$AZ$88)="EMPTY")+(UPPER($AS$88:$AZ$88)="(EMPTY)"))&gt;0,IFERROR(('Final Calculation Sheet'!$AB$7)&amp;"","")="",ISNUMBER(SEARCH($AS$88:$AZ$88,IFERROR(('Final Calculation Sheet'!$AB$7)&amp;"","")))))&gt;0),IF(COUNTIF($BI$88:$BP$88,8)=0,TRUE,SUMPRODUCT(($BI$88:$BP$88=8)*($AS$88:$AZ$88&lt;&gt;"")*IF(((UPPER($AS$88:$AZ$88)="BLANK")+(UPPER($AS$88:$AZ$88)="(BLANK)")+(UPPER($AS$88:$AZ$88)="EMPTY")+(UPPER($AS$88:$AZ$88)="(EMPTY)"))&gt;0,IFERROR(('Final Calculation Sheet'!$AB$7)&amp;"","")="",ISNUMBER(SEARCH($AS$88:$AZ$88,IFERROR(('Final Calculation Sheet'!$AB$7)&amp;"","")))))&gt;0))))</f>
        <v>1</v>
      </c>
      <c r="CP8">
        <f>IF($AD$4="",1,--(AND(SUMPRODUCT(--($AS$89:$AZ$89&lt;&gt;""))&gt;0,IF(COUNTIF($BI$89:$BP$89,1)=0,TRUE,SUMPRODUCT(($BI$89:$BP$89=1)*($AS$89:$AZ$89&lt;&gt;"")*IF(((UPPER($AS$89:$AZ$89)="BLANK")+(UPPER($AS$89:$AZ$89)="(BLANK)")+(UPPER($AS$89:$AZ$89)="EMPTY")+(UPPER($AS$89:$AZ$89)="(EMPTY)"))&gt;0,IFERROR(('Final Calculation Sheet'!$AC$7)&amp;"","")="",ISNUMBER(SEARCH($AS$89:$AZ$89,IFERROR(('Final Calculation Sheet'!$AC$7)&amp;"","")))))&gt;0),IF(COUNTIF($BI$89:$BP$89,2)=0,TRUE,SUMPRODUCT(($BI$89:$BP$89=2)*($AS$89:$AZ$89&lt;&gt;"")*IF(((UPPER($AS$89:$AZ$89)="BLANK")+(UPPER($AS$89:$AZ$89)="(BLANK)")+(UPPER($AS$89:$AZ$89)="EMPTY")+(UPPER($AS$89:$AZ$89)="(EMPTY)"))&gt;0,IFERROR(('Final Calculation Sheet'!$AC$7)&amp;"","")="",ISNUMBER(SEARCH($AS$89:$AZ$89,IFERROR(('Final Calculation Sheet'!$AC$7)&amp;"","")))))&gt;0),IF(COUNTIF($BI$89:$BP$89,3)=0,TRUE,SUMPRODUCT(($BI$89:$BP$89=3)*($AS$89:$AZ$89&lt;&gt;"")*IF(((UPPER($AS$89:$AZ$89)="BLANK")+(UPPER($AS$89:$AZ$89)="(BLANK)")+(UPPER($AS$89:$AZ$89)="EMPTY")+(UPPER($AS$89:$AZ$89)="(EMPTY)"))&gt;0,IFERROR(('Final Calculation Sheet'!$AC$7)&amp;"","")="",ISNUMBER(SEARCH($AS$89:$AZ$89,IFERROR(('Final Calculation Sheet'!$AC$7)&amp;"","")))))&gt;0),IF(COUNTIF($BI$89:$BP$89,4)=0,TRUE,SUMPRODUCT(($BI$89:$BP$89=4)*($AS$89:$AZ$89&lt;&gt;"")*IF(((UPPER($AS$89:$AZ$89)="BLANK")+(UPPER($AS$89:$AZ$89)="(BLANK)")+(UPPER($AS$89:$AZ$89)="EMPTY")+(UPPER($AS$89:$AZ$89)="(EMPTY)"))&gt;0,IFERROR(('Final Calculation Sheet'!$AC$7)&amp;"","")="",ISNUMBER(SEARCH($AS$89:$AZ$89,IFERROR(('Final Calculation Sheet'!$AC$7)&amp;"","")))))&gt;0),IF(COUNTIF($BI$89:$BP$89,5)=0,TRUE,SUMPRODUCT(($BI$89:$BP$89=5)*($AS$89:$AZ$89&lt;&gt;"")*IF(((UPPER($AS$89:$AZ$89)="BLANK")+(UPPER($AS$89:$AZ$89)="(BLANK)")+(UPPER($AS$89:$AZ$89)="EMPTY")+(UPPER($AS$89:$AZ$89)="(EMPTY)"))&gt;0,IFERROR(('Final Calculation Sheet'!$AC$7)&amp;"","")="",ISNUMBER(SEARCH($AS$89:$AZ$89,IFERROR(('Final Calculation Sheet'!$AC$7)&amp;"","")))))&gt;0),IF(COUNTIF($BI$89:$BP$89,6)=0,TRUE,SUMPRODUCT(($BI$89:$BP$89=6)*($AS$89:$AZ$89&lt;&gt;"")*IF(((UPPER($AS$89:$AZ$89)="BLANK")+(UPPER($AS$89:$AZ$89)="(BLANK)")+(UPPER($AS$89:$AZ$89)="EMPTY")+(UPPER($AS$89:$AZ$89)="(EMPTY)"))&gt;0,IFERROR(('Final Calculation Sheet'!$AC$7)&amp;"","")="",ISNUMBER(SEARCH($AS$89:$AZ$89,IFERROR(('Final Calculation Sheet'!$AC$7)&amp;"","")))))&gt;0),IF(COUNTIF($BI$89:$BP$89,7)=0,TRUE,SUMPRODUCT(($BI$89:$BP$89=7)*($AS$89:$AZ$89&lt;&gt;"")*IF(((UPPER($AS$89:$AZ$89)="BLANK")+(UPPER($AS$89:$AZ$89)="(BLANK)")+(UPPER($AS$89:$AZ$89)="EMPTY")+(UPPER($AS$89:$AZ$89)="(EMPTY)"))&gt;0,IFERROR(('Final Calculation Sheet'!$AC$7)&amp;"","")="",ISNUMBER(SEARCH($AS$89:$AZ$89,IFERROR(('Final Calculation Sheet'!$AC$7)&amp;"","")))))&gt;0),IF(COUNTIF($BI$89:$BP$89,8)=0,TRUE,SUMPRODUCT(($BI$89:$BP$89=8)*($AS$89:$AZ$89&lt;&gt;"")*IF(((UPPER($AS$89:$AZ$89)="BLANK")+(UPPER($AS$89:$AZ$89)="(BLANK)")+(UPPER($AS$89:$AZ$89)="EMPTY")+(UPPER($AS$89:$AZ$89)="(EMPTY)"))&gt;0,IFERROR(('Final Calculation Sheet'!$AC$7)&amp;"","")="",ISNUMBER(SEARCH($AS$89:$AZ$89,IFERROR(('Final Calculation Sheet'!$AC$7)&amp;"","")))))&gt;0))))</f>
        <v>1</v>
      </c>
      <c r="CQ8">
        <f>IF($AE$4="",1,--(AND(SUMPRODUCT(--($AS$90:$AZ$90&lt;&gt;""))&gt;0,IF(COUNTIF($BI$90:$BP$90,1)=0,TRUE,SUMPRODUCT(($BI$90:$BP$90=1)*($AS$90:$AZ$90&lt;&gt;"")*IF(((UPPER($AS$90:$AZ$90)="BLANK")+(UPPER($AS$90:$AZ$90)="(BLANK)")+(UPPER($AS$90:$AZ$90)="EMPTY")+(UPPER($AS$90:$AZ$90)="(EMPTY)"))&gt;0,IFERROR(('Final Calculation Sheet'!$AD$7)&amp;"","")="",ISNUMBER(SEARCH($AS$90:$AZ$90,IFERROR(('Final Calculation Sheet'!$AD$7)&amp;"","")))))&gt;0),IF(COUNTIF($BI$90:$BP$90,2)=0,TRUE,SUMPRODUCT(($BI$90:$BP$90=2)*($AS$90:$AZ$90&lt;&gt;"")*IF(((UPPER($AS$90:$AZ$90)="BLANK")+(UPPER($AS$90:$AZ$90)="(BLANK)")+(UPPER($AS$90:$AZ$90)="EMPTY")+(UPPER($AS$90:$AZ$90)="(EMPTY)"))&gt;0,IFERROR(('Final Calculation Sheet'!$AD$7)&amp;"","")="",ISNUMBER(SEARCH($AS$90:$AZ$90,IFERROR(('Final Calculation Sheet'!$AD$7)&amp;"","")))))&gt;0),IF(COUNTIF($BI$90:$BP$90,3)=0,TRUE,SUMPRODUCT(($BI$90:$BP$90=3)*($AS$90:$AZ$90&lt;&gt;"")*IF(((UPPER($AS$90:$AZ$90)="BLANK")+(UPPER($AS$90:$AZ$90)="(BLANK)")+(UPPER($AS$90:$AZ$90)="EMPTY")+(UPPER($AS$90:$AZ$90)="(EMPTY)"))&gt;0,IFERROR(('Final Calculation Sheet'!$AD$7)&amp;"","")="",ISNUMBER(SEARCH($AS$90:$AZ$90,IFERROR(('Final Calculation Sheet'!$AD$7)&amp;"","")))))&gt;0),IF(COUNTIF($BI$90:$BP$90,4)=0,TRUE,SUMPRODUCT(($BI$90:$BP$90=4)*($AS$90:$AZ$90&lt;&gt;"")*IF(((UPPER($AS$90:$AZ$90)="BLANK")+(UPPER($AS$90:$AZ$90)="(BLANK)")+(UPPER($AS$90:$AZ$90)="EMPTY")+(UPPER($AS$90:$AZ$90)="(EMPTY)"))&gt;0,IFERROR(('Final Calculation Sheet'!$AD$7)&amp;"","")="",ISNUMBER(SEARCH($AS$90:$AZ$90,IFERROR(('Final Calculation Sheet'!$AD$7)&amp;"","")))))&gt;0),IF(COUNTIF($BI$90:$BP$90,5)=0,TRUE,SUMPRODUCT(($BI$90:$BP$90=5)*($AS$90:$AZ$90&lt;&gt;"")*IF(((UPPER($AS$90:$AZ$90)="BLANK")+(UPPER($AS$90:$AZ$90)="(BLANK)")+(UPPER($AS$90:$AZ$90)="EMPTY")+(UPPER($AS$90:$AZ$90)="(EMPTY)"))&gt;0,IFERROR(('Final Calculation Sheet'!$AD$7)&amp;"","")="",ISNUMBER(SEARCH($AS$90:$AZ$90,IFERROR(('Final Calculation Sheet'!$AD$7)&amp;"","")))))&gt;0),IF(COUNTIF($BI$90:$BP$90,6)=0,TRUE,SUMPRODUCT(($BI$90:$BP$90=6)*($AS$90:$AZ$90&lt;&gt;"")*IF(((UPPER($AS$90:$AZ$90)="BLANK")+(UPPER($AS$90:$AZ$90)="(BLANK)")+(UPPER($AS$90:$AZ$90)="EMPTY")+(UPPER($AS$90:$AZ$90)="(EMPTY)"))&gt;0,IFERROR(('Final Calculation Sheet'!$AD$7)&amp;"","")="",ISNUMBER(SEARCH($AS$90:$AZ$90,IFERROR(('Final Calculation Sheet'!$AD$7)&amp;"","")))))&gt;0),IF(COUNTIF($BI$90:$BP$90,7)=0,TRUE,SUMPRODUCT(($BI$90:$BP$90=7)*($AS$90:$AZ$90&lt;&gt;"")*IF(((UPPER($AS$90:$AZ$90)="BLANK")+(UPPER($AS$90:$AZ$90)="(BLANK)")+(UPPER($AS$90:$AZ$90)="EMPTY")+(UPPER($AS$90:$AZ$90)="(EMPTY)"))&gt;0,IFERROR(('Final Calculation Sheet'!$AD$7)&amp;"","")="",ISNUMBER(SEARCH($AS$90:$AZ$90,IFERROR(('Final Calculation Sheet'!$AD$7)&amp;"","")))))&gt;0),IF(COUNTIF($BI$90:$BP$90,8)=0,TRUE,SUMPRODUCT(($BI$90:$BP$90=8)*($AS$90:$AZ$90&lt;&gt;"")*IF(((UPPER($AS$90:$AZ$90)="BLANK")+(UPPER($AS$90:$AZ$90)="(BLANK)")+(UPPER($AS$90:$AZ$90)="EMPTY")+(UPPER($AS$90:$AZ$90)="(EMPTY)"))&gt;0,IFERROR(('Final Calculation Sheet'!$AD$7)&amp;"","")="",ISNUMBER(SEARCH($AS$90:$AZ$90,IFERROR(('Final Calculation Sheet'!$AD$7)&amp;"","")))))&gt;0))))</f>
        <v>1</v>
      </c>
      <c r="CR8">
        <f>IF($AF$4="",1,--(AND(SUMPRODUCT(--($AS$91:$AZ$91&lt;&gt;""))&gt;0,IF(COUNTIF($BI$91:$BP$91,1)=0,TRUE,SUMPRODUCT(($BI$91:$BP$91=1)*($AS$91:$AZ$91&lt;&gt;"")*IF(((UPPER($AS$91:$AZ$91)="BLANK")+(UPPER($AS$91:$AZ$91)="(BLANK)")+(UPPER($AS$91:$AZ$91)="EMPTY")+(UPPER($AS$91:$AZ$91)="(EMPTY)"))&gt;0,IFERROR(('Final Calculation Sheet'!$AE$7)&amp;"","")="",ISNUMBER(SEARCH($AS$91:$AZ$91,IFERROR(('Final Calculation Sheet'!$AE$7)&amp;"","")))))&gt;0),IF(COUNTIF($BI$91:$BP$91,2)=0,TRUE,SUMPRODUCT(($BI$91:$BP$91=2)*($AS$91:$AZ$91&lt;&gt;"")*IF(((UPPER($AS$91:$AZ$91)="BLANK")+(UPPER($AS$91:$AZ$91)="(BLANK)")+(UPPER($AS$91:$AZ$91)="EMPTY")+(UPPER($AS$91:$AZ$91)="(EMPTY)"))&gt;0,IFERROR(('Final Calculation Sheet'!$AE$7)&amp;"","")="",ISNUMBER(SEARCH($AS$91:$AZ$91,IFERROR(('Final Calculation Sheet'!$AE$7)&amp;"","")))))&gt;0),IF(COUNTIF($BI$91:$BP$91,3)=0,TRUE,SUMPRODUCT(($BI$91:$BP$91=3)*($AS$91:$AZ$91&lt;&gt;"")*IF(((UPPER($AS$91:$AZ$91)="BLANK")+(UPPER($AS$91:$AZ$91)="(BLANK)")+(UPPER($AS$91:$AZ$91)="EMPTY")+(UPPER($AS$91:$AZ$91)="(EMPTY)"))&gt;0,IFERROR(('Final Calculation Sheet'!$AE$7)&amp;"","")="",ISNUMBER(SEARCH($AS$91:$AZ$91,IFERROR(('Final Calculation Sheet'!$AE$7)&amp;"","")))))&gt;0),IF(COUNTIF($BI$91:$BP$91,4)=0,TRUE,SUMPRODUCT(($BI$91:$BP$91=4)*($AS$91:$AZ$91&lt;&gt;"")*IF(((UPPER($AS$91:$AZ$91)="BLANK")+(UPPER($AS$91:$AZ$91)="(BLANK)")+(UPPER($AS$91:$AZ$91)="EMPTY")+(UPPER($AS$91:$AZ$91)="(EMPTY)"))&gt;0,IFERROR(('Final Calculation Sheet'!$AE$7)&amp;"","")="",ISNUMBER(SEARCH($AS$91:$AZ$91,IFERROR(('Final Calculation Sheet'!$AE$7)&amp;"","")))))&gt;0),IF(COUNTIF($BI$91:$BP$91,5)=0,TRUE,SUMPRODUCT(($BI$91:$BP$91=5)*($AS$91:$AZ$91&lt;&gt;"")*IF(((UPPER($AS$91:$AZ$91)="BLANK")+(UPPER($AS$91:$AZ$91)="(BLANK)")+(UPPER($AS$91:$AZ$91)="EMPTY")+(UPPER($AS$91:$AZ$91)="(EMPTY)"))&gt;0,IFERROR(('Final Calculation Sheet'!$AE$7)&amp;"","")="",ISNUMBER(SEARCH($AS$91:$AZ$91,IFERROR(('Final Calculation Sheet'!$AE$7)&amp;"","")))))&gt;0),IF(COUNTIF($BI$91:$BP$91,6)=0,TRUE,SUMPRODUCT(($BI$91:$BP$91=6)*($AS$91:$AZ$91&lt;&gt;"")*IF(((UPPER($AS$91:$AZ$91)="BLANK")+(UPPER($AS$91:$AZ$91)="(BLANK)")+(UPPER($AS$91:$AZ$91)="EMPTY")+(UPPER($AS$91:$AZ$91)="(EMPTY)"))&gt;0,IFERROR(('Final Calculation Sheet'!$AE$7)&amp;"","")="",ISNUMBER(SEARCH($AS$91:$AZ$91,IFERROR(('Final Calculation Sheet'!$AE$7)&amp;"","")))))&gt;0),IF(COUNTIF($BI$91:$BP$91,7)=0,TRUE,SUMPRODUCT(($BI$91:$BP$91=7)*($AS$91:$AZ$91&lt;&gt;"")*IF(((UPPER($AS$91:$AZ$91)="BLANK")+(UPPER($AS$91:$AZ$91)="(BLANK)")+(UPPER($AS$91:$AZ$91)="EMPTY")+(UPPER($AS$91:$AZ$91)="(EMPTY)"))&gt;0,IFERROR(('Final Calculation Sheet'!$AE$7)&amp;"","")="",ISNUMBER(SEARCH($AS$91:$AZ$91,IFERROR(('Final Calculation Sheet'!$AE$7)&amp;"","")))))&gt;0),IF(COUNTIF($BI$91:$BP$91,8)=0,TRUE,SUMPRODUCT(($BI$91:$BP$91=8)*($AS$91:$AZ$91&lt;&gt;"")*IF(((UPPER($AS$91:$AZ$91)="BLANK")+(UPPER($AS$91:$AZ$91)="(BLANK)")+(UPPER($AS$91:$AZ$91)="EMPTY")+(UPPER($AS$91:$AZ$91)="(EMPTY)"))&gt;0,IFERROR(('Final Calculation Sheet'!$AE$7)&amp;"","")="",ISNUMBER(SEARCH($AS$91:$AZ$91,IFERROR(('Final Calculation Sheet'!$AE$7)&amp;"","")))))&gt;0))))</f>
        <v>1</v>
      </c>
      <c r="CS8">
        <f>IF($AG$4="",1,--(AND(SUMPRODUCT(--($AS$92:$AZ$92&lt;&gt;""))&gt;0,IF(COUNTIF($BI$92:$BP$92,1)=0,TRUE,SUMPRODUCT(($BI$92:$BP$92=1)*($AS$92:$AZ$92&lt;&gt;"")*IF(((UPPER($AS$92:$AZ$92)="BLANK")+(UPPER($AS$92:$AZ$92)="(BLANK)")+(UPPER($AS$92:$AZ$92)="EMPTY")+(UPPER($AS$92:$AZ$92)="(EMPTY)"))&gt;0,IFERROR(('Final Calculation Sheet'!$AF$7)&amp;"","")="",ISNUMBER(SEARCH($AS$92:$AZ$92,IFERROR(('Final Calculation Sheet'!$AF$7)&amp;"","")))))&gt;0),IF(COUNTIF($BI$92:$BP$92,2)=0,TRUE,SUMPRODUCT(($BI$92:$BP$92=2)*($AS$92:$AZ$92&lt;&gt;"")*IF(((UPPER($AS$92:$AZ$92)="BLANK")+(UPPER($AS$92:$AZ$92)="(BLANK)")+(UPPER($AS$92:$AZ$92)="EMPTY")+(UPPER($AS$92:$AZ$92)="(EMPTY)"))&gt;0,IFERROR(('Final Calculation Sheet'!$AF$7)&amp;"","")="",ISNUMBER(SEARCH($AS$92:$AZ$92,IFERROR(('Final Calculation Sheet'!$AF$7)&amp;"","")))))&gt;0),IF(COUNTIF($BI$92:$BP$92,3)=0,TRUE,SUMPRODUCT(($BI$92:$BP$92=3)*($AS$92:$AZ$92&lt;&gt;"")*IF(((UPPER($AS$92:$AZ$92)="BLANK")+(UPPER($AS$92:$AZ$92)="(BLANK)")+(UPPER($AS$92:$AZ$92)="EMPTY")+(UPPER($AS$92:$AZ$92)="(EMPTY)"))&gt;0,IFERROR(('Final Calculation Sheet'!$AF$7)&amp;"","")="",ISNUMBER(SEARCH($AS$92:$AZ$92,IFERROR(('Final Calculation Sheet'!$AF$7)&amp;"","")))))&gt;0),IF(COUNTIF($BI$92:$BP$92,4)=0,TRUE,SUMPRODUCT(($BI$92:$BP$92=4)*($AS$92:$AZ$92&lt;&gt;"")*IF(((UPPER($AS$92:$AZ$92)="BLANK")+(UPPER($AS$92:$AZ$92)="(BLANK)")+(UPPER($AS$92:$AZ$92)="EMPTY")+(UPPER($AS$92:$AZ$92)="(EMPTY)"))&gt;0,IFERROR(('Final Calculation Sheet'!$AF$7)&amp;"","")="",ISNUMBER(SEARCH($AS$92:$AZ$92,IFERROR(('Final Calculation Sheet'!$AF$7)&amp;"","")))))&gt;0),IF(COUNTIF($BI$92:$BP$92,5)=0,TRUE,SUMPRODUCT(($BI$92:$BP$92=5)*($AS$92:$AZ$92&lt;&gt;"")*IF(((UPPER($AS$92:$AZ$92)="BLANK")+(UPPER($AS$92:$AZ$92)="(BLANK)")+(UPPER($AS$92:$AZ$92)="EMPTY")+(UPPER($AS$92:$AZ$92)="(EMPTY)"))&gt;0,IFERROR(('Final Calculation Sheet'!$AF$7)&amp;"","")="",ISNUMBER(SEARCH($AS$92:$AZ$92,IFERROR(('Final Calculation Sheet'!$AF$7)&amp;"","")))))&gt;0),IF(COUNTIF($BI$92:$BP$92,6)=0,TRUE,SUMPRODUCT(($BI$92:$BP$92=6)*($AS$92:$AZ$92&lt;&gt;"")*IF(((UPPER($AS$92:$AZ$92)="BLANK")+(UPPER($AS$92:$AZ$92)="(BLANK)")+(UPPER($AS$92:$AZ$92)="EMPTY")+(UPPER($AS$92:$AZ$92)="(EMPTY)"))&gt;0,IFERROR(('Final Calculation Sheet'!$AF$7)&amp;"","")="",ISNUMBER(SEARCH($AS$92:$AZ$92,IFERROR(('Final Calculation Sheet'!$AF$7)&amp;"","")))))&gt;0),IF(COUNTIF($BI$92:$BP$92,7)=0,TRUE,SUMPRODUCT(($BI$92:$BP$92=7)*($AS$92:$AZ$92&lt;&gt;"")*IF(((UPPER($AS$92:$AZ$92)="BLANK")+(UPPER($AS$92:$AZ$92)="(BLANK)")+(UPPER($AS$92:$AZ$92)="EMPTY")+(UPPER($AS$92:$AZ$92)="(EMPTY)"))&gt;0,IFERROR(('Final Calculation Sheet'!$AF$7)&amp;"","")="",ISNUMBER(SEARCH($AS$92:$AZ$92,IFERROR(('Final Calculation Sheet'!$AF$7)&amp;"","")))))&gt;0),IF(COUNTIF($BI$92:$BP$92,8)=0,TRUE,SUMPRODUCT(($BI$92:$BP$92=8)*($AS$92:$AZ$92&lt;&gt;"")*IF(((UPPER($AS$92:$AZ$92)="BLANK")+(UPPER($AS$92:$AZ$92)="(BLANK)")+(UPPER($AS$92:$AZ$92)="EMPTY")+(UPPER($AS$92:$AZ$92)="(EMPTY)"))&gt;0,IFERROR(('Final Calculation Sheet'!$AF$7)&amp;"","")="",ISNUMBER(SEARCH($AS$92:$AZ$92,IFERROR(('Final Calculation Sheet'!$AF$7)&amp;"","")))))&gt;0))))</f>
        <v>1</v>
      </c>
      <c r="CT8">
        <f>IF($AH$4="",1,--(AND(SUMPRODUCT(--($AS$93:$AZ$93&lt;&gt;""))&gt;0,IF(COUNTIF($BI$93:$BP$93,1)=0,TRUE,SUMPRODUCT(($BI$93:$BP$93=1)*($AS$93:$AZ$93&lt;&gt;"")*IF(((UPPER($AS$93:$AZ$93)="BLANK")+(UPPER($AS$93:$AZ$93)="(BLANK)")+(UPPER($AS$93:$AZ$93)="EMPTY")+(UPPER($AS$93:$AZ$93)="(EMPTY)"))&gt;0,IFERROR(('Final Calculation Sheet'!$AG$7)&amp;"","")="",ISNUMBER(SEARCH($AS$93:$AZ$93,IFERROR(('Final Calculation Sheet'!$AG$7)&amp;"","")))))&gt;0),IF(COUNTIF($BI$93:$BP$93,2)=0,TRUE,SUMPRODUCT(($BI$93:$BP$93=2)*($AS$93:$AZ$93&lt;&gt;"")*IF(((UPPER($AS$93:$AZ$93)="BLANK")+(UPPER($AS$93:$AZ$93)="(BLANK)")+(UPPER($AS$93:$AZ$93)="EMPTY")+(UPPER($AS$93:$AZ$93)="(EMPTY)"))&gt;0,IFERROR(('Final Calculation Sheet'!$AG$7)&amp;"","")="",ISNUMBER(SEARCH($AS$93:$AZ$93,IFERROR(('Final Calculation Sheet'!$AG$7)&amp;"","")))))&gt;0),IF(COUNTIF($BI$93:$BP$93,3)=0,TRUE,SUMPRODUCT(($BI$93:$BP$93=3)*($AS$93:$AZ$93&lt;&gt;"")*IF(((UPPER($AS$93:$AZ$93)="BLANK")+(UPPER($AS$93:$AZ$93)="(BLANK)")+(UPPER($AS$93:$AZ$93)="EMPTY")+(UPPER($AS$93:$AZ$93)="(EMPTY)"))&gt;0,IFERROR(('Final Calculation Sheet'!$AG$7)&amp;"","")="",ISNUMBER(SEARCH($AS$93:$AZ$93,IFERROR(('Final Calculation Sheet'!$AG$7)&amp;"","")))))&gt;0),IF(COUNTIF($BI$93:$BP$93,4)=0,TRUE,SUMPRODUCT(($BI$93:$BP$93=4)*($AS$93:$AZ$93&lt;&gt;"")*IF(((UPPER($AS$93:$AZ$93)="BLANK")+(UPPER($AS$93:$AZ$93)="(BLANK)")+(UPPER($AS$93:$AZ$93)="EMPTY")+(UPPER($AS$93:$AZ$93)="(EMPTY)"))&gt;0,IFERROR(('Final Calculation Sheet'!$AG$7)&amp;"","")="",ISNUMBER(SEARCH($AS$93:$AZ$93,IFERROR(('Final Calculation Sheet'!$AG$7)&amp;"","")))))&gt;0),IF(COUNTIF($BI$93:$BP$93,5)=0,TRUE,SUMPRODUCT(($BI$93:$BP$93=5)*($AS$93:$AZ$93&lt;&gt;"")*IF(((UPPER($AS$93:$AZ$93)="BLANK")+(UPPER($AS$93:$AZ$93)="(BLANK)")+(UPPER($AS$93:$AZ$93)="EMPTY")+(UPPER($AS$93:$AZ$93)="(EMPTY)"))&gt;0,IFERROR(('Final Calculation Sheet'!$AG$7)&amp;"","")="",ISNUMBER(SEARCH($AS$93:$AZ$93,IFERROR(('Final Calculation Sheet'!$AG$7)&amp;"","")))))&gt;0),IF(COUNTIF($BI$93:$BP$93,6)=0,TRUE,SUMPRODUCT(($BI$93:$BP$93=6)*($AS$93:$AZ$93&lt;&gt;"")*IF(((UPPER($AS$93:$AZ$93)="BLANK")+(UPPER($AS$93:$AZ$93)="(BLANK)")+(UPPER($AS$93:$AZ$93)="EMPTY")+(UPPER($AS$93:$AZ$93)="(EMPTY)"))&gt;0,IFERROR(('Final Calculation Sheet'!$AG$7)&amp;"","")="",ISNUMBER(SEARCH($AS$93:$AZ$93,IFERROR(('Final Calculation Sheet'!$AG$7)&amp;"","")))))&gt;0),IF(COUNTIF($BI$93:$BP$93,7)=0,TRUE,SUMPRODUCT(($BI$93:$BP$93=7)*($AS$93:$AZ$93&lt;&gt;"")*IF(((UPPER($AS$93:$AZ$93)="BLANK")+(UPPER($AS$93:$AZ$93)="(BLANK)")+(UPPER($AS$93:$AZ$93)="EMPTY")+(UPPER($AS$93:$AZ$93)="(EMPTY)"))&gt;0,IFERROR(('Final Calculation Sheet'!$AG$7)&amp;"","")="",ISNUMBER(SEARCH($AS$93:$AZ$93,IFERROR(('Final Calculation Sheet'!$AG$7)&amp;"","")))))&gt;0),IF(COUNTIF($BI$93:$BP$93,8)=0,TRUE,SUMPRODUCT(($BI$93:$BP$93=8)*($AS$93:$AZ$93&lt;&gt;"")*IF(((UPPER($AS$93:$AZ$93)="BLANK")+(UPPER($AS$93:$AZ$93)="(BLANK)")+(UPPER($AS$93:$AZ$93)="EMPTY")+(UPPER($AS$93:$AZ$93)="(EMPTY)"))&gt;0,IFERROR(('Final Calculation Sheet'!$AG$7)&amp;"","")="",ISNUMBER(SEARCH($AS$93:$AZ$93,IFERROR(('Final Calculation Sheet'!$AG$7)&amp;"","")))))&gt;0))))</f>
        <v>1</v>
      </c>
      <c r="CU8">
        <f>IF($AI$4="",1,--(AND(SUMPRODUCT(--($AS$94:$AZ$94&lt;&gt;""))&gt;0,IF(COUNTIF($BI$94:$BP$94,1)=0,TRUE,SUMPRODUCT(($BI$94:$BP$94=1)*($AS$94:$AZ$94&lt;&gt;"")*IF(((UPPER($AS$94:$AZ$94)="BLANK")+(UPPER($AS$94:$AZ$94)="(BLANK)")+(UPPER($AS$94:$AZ$94)="EMPTY")+(UPPER($AS$94:$AZ$94)="(EMPTY)"))&gt;0,IFERROR((IF('Final Calculation Sheet'!$AD$7&lt;=0,"SETTLED","OUTSTANDING"))&amp;"","")="",ISNUMBER(SEARCH($AS$94:$AZ$94,IFERROR((IF('Final Calculation Sheet'!$AD$7&lt;=0,"SETTLED","OUTSTANDING"))&amp;"","")))))&gt;0),IF(COUNTIF($BI$94:$BP$94,2)=0,TRUE,SUMPRODUCT(($BI$94:$BP$94=2)*($AS$94:$AZ$94&lt;&gt;"")*IF(((UPPER($AS$94:$AZ$94)="BLANK")+(UPPER($AS$94:$AZ$94)="(BLANK)")+(UPPER($AS$94:$AZ$94)="EMPTY")+(UPPER($AS$94:$AZ$94)="(EMPTY)"))&gt;0,IFERROR((IF('Final Calculation Sheet'!$AD$7&lt;=0,"SETTLED","OUTSTANDING"))&amp;"","")="",ISNUMBER(SEARCH($AS$94:$AZ$94,IFERROR((IF('Final Calculation Sheet'!$AD$7&lt;=0,"SETTLED","OUTSTANDING"))&amp;"","")))))&gt;0),IF(COUNTIF($BI$94:$BP$94,3)=0,TRUE,SUMPRODUCT(($BI$94:$BP$94=3)*($AS$94:$AZ$94&lt;&gt;"")*IF(((UPPER($AS$94:$AZ$94)="BLANK")+(UPPER($AS$94:$AZ$94)="(BLANK)")+(UPPER($AS$94:$AZ$94)="EMPTY")+(UPPER($AS$94:$AZ$94)="(EMPTY)"))&gt;0,IFERROR((IF('Final Calculation Sheet'!$AD$7&lt;=0,"SETTLED","OUTSTANDING"))&amp;"","")="",ISNUMBER(SEARCH($AS$94:$AZ$94,IFERROR((IF('Final Calculation Sheet'!$AD$7&lt;=0,"SETTLED","OUTSTANDING"))&amp;"","")))))&gt;0),IF(COUNTIF($BI$94:$BP$94,4)=0,TRUE,SUMPRODUCT(($BI$94:$BP$94=4)*($AS$94:$AZ$94&lt;&gt;"")*IF(((UPPER($AS$94:$AZ$94)="BLANK")+(UPPER($AS$94:$AZ$94)="(BLANK)")+(UPPER($AS$94:$AZ$94)="EMPTY")+(UPPER($AS$94:$AZ$94)="(EMPTY)"))&gt;0,IFERROR((IF('Final Calculation Sheet'!$AD$7&lt;=0,"SETTLED","OUTSTANDING"))&amp;"","")="",ISNUMBER(SEARCH($AS$94:$AZ$94,IFERROR((IF('Final Calculation Sheet'!$AD$7&lt;=0,"SETTLED","OUTSTANDING"))&amp;"","")))))&gt;0),IF(COUNTIF($BI$94:$BP$94,5)=0,TRUE,SUMPRODUCT(($BI$94:$BP$94=5)*($AS$94:$AZ$94&lt;&gt;"")*IF(((UPPER($AS$94:$AZ$94)="BLANK")+(UPPER($AS$94:$AZ$94)="(BLANK)")+(UPPER($AS$94:$AZ$94)="EMPTY")+(UPPER($AS$94:$AZ$94)="(EMPTY)"))&gt;0,IFERROR((IF('Final Calculation Sheet'!$AD$7&lt;=0,"SETTLED","OUTSTANDING"))&amp;"","")="",ISNUMBER(SEARCH($AS$94:$AZ$94,IFERROR((IF('Final Calculation Sheet'!$AD$7&lt;=0,"SETTLED","OUTSTANDING"))&amp;"","")))))&gt;0),IF(COUNTIF($BI$94:$BP$94,6)=0,TRUE,SUMPRODUCT(($BI$94:$BP$94=6)*($AS$94:$AZ$94&lt;&gt;"")*IF(((UPPER($AS$94:$AZ$94)="BLANK")+(UPPER($AS$94:$AZ$94)="(BLANK)")+(UPPER($AS$94:$AZ$94)="EMPTY")+(UPPER($AS$94:$AZ$94)="(EMPTY)"))&gt;0,IFERROR((IF('Final Calculation Sheet'!$AD$7&lt;=0,"SETTLED","OUTSTANDING"))&amp;"","")="",ISNUMBER(SEARCH($AS$94:$AZ$94,IFERROR((IF('Final Calculation Sheet'!$AD$7&lt;=0,"SETTLED","OUTSTANDING"))&amp;"","")))))&gt;0),IF(COUNTIF($BI$94:$BP$94,7)=0,TRUE,SUMPRODUCT(($BI$94:$BP$94=7)*($AS$94:$AZ$94&lt;&gt;"")*IF(((UPPER($AS$94:$AZ$94)="BLANK")+(UPPER($AS$94:$AZ$94)="(BLANK)")+(UPPER($AS$94:$AZ$94)="EMPTY")+(UPPER($AS$94:$AZ$94)="(EMPTY)"))&gt;0,IFERROR((IF('Final Calculation Sheet'!$AD$7&lt;=0,"SETTLED","OUTSTANDING"))&amp;"","")="",ISNUMBER(SEARCH($AS$94:$AZ$94,IFERROR((IF('Final Calculation Sheet'!$AD$7&lt;=0,"SETTLED","OUTSTANDING"))&amp;"","")))))&gt;0),IF(COUNTIF($BI$94:$BP$94,8)=0,TRUE,SUMPRODUCT(($BI$94:$BP$94=8)*($AS$94:$AZ$94&lt;&gt;"")*IF(((UPPER($AS$94:$AZ$94)="BLANK")+(UPPER($AS$94:$AZ$94)="(BLANK)")+(UPPER($AS$94:$AZ$94)="EMPTY")+(UPPER($AS$94:$AZ$94)="(EMPTY)"))&gt;0,IFERROR((IF('Final Calculation Sheet'!$AD$7&lt;=0,"SETTLED","OUTSTANDING"))&amp;"","")="",ISNUMBER(SEARCH($AS$94:$AZ$94,IFERROR((IF('Final Calculation Sheet'!$AD$7&lt;=0,"SETTLED","OUTSTANDING"))&amp;"","")))))&gt;0))))</f>
        <v>1</v>
      </c>
    </row>
    <row r="9" spans="1:99" ht="15" customHeight="1" x14ac:dyDescent="0.25">
      <c r="A9" s="67">
        <f>IF($BJ8&gt;0,INDEX($BA$5:$BA$41,MATCH(8,$BB$5:$BB$41,0)),IF(OR($BI8=1,$BL8=1,$BH8&gt;0),"∑",""))</f>
        <v>4</v>
      </c>
      <c r="B9" s="68">
        <f>IF($BJ8&gt;0,IF(INDEX('Final Calculation Sheet'!$F$4:$F$40,$BJ8-3)="","",INDEX('Final Calculation Sheet'!$F$4:$F$40,$BJ8-3)),"")</f>
        <v>2067</v>
      </c>
      <c r="C9" s="68" t="str">
        <f>IF($BJ8&gt;0,IF(INDEX('Final Calculation Sheet'!$G$4:$G$40,$BJ8-3)="","",INDEX('Final Calculation Sheet'!$G$4:$G$40,$BJ8-3)),IF(OR($BI8=1,$BL8=1,$BH8&gt;0),IF($BI8=1,37,IF($BL8=1,37-INDEX($BD$4:$BD$13,10),INDEX($BD$4:$BD$13,$BH8)))&amp;" lot(s)",""))</f>
        <v>WATAN SCRAP TRADERS</v>
      </c>
      <c r="D9" s="69" t="str">
        <f>IF($BJ8&gt;0,IF(INDEX('Final Calculation Sheet'!$B$4:$B$40,$BJ8-3)="","",INDEX('Final Calculation Sheet'!$B$4:$B$40,$BJ8-3)),IF(OR($BI8=1,$BL8=1,$BH8&gt;0),IF($BI8=1,"GRAND TOTAL  —  matching + remaining",IF($BL8=1,"TOTAL MATCHED  —  every group together",IF($BH8=10,"REMAINING  —  did not match the search",IF($BH8=9,IF(COUNTIF($A$4:$AI$4,"&lt;&gt;")&gt;0,"FILTERED LOTS  —  column fields","ALL LOTS  —  nothing typed in the box"),"GROUP "&amp;$BH8&amp;" TOTAL  —  lots matching  "&amp;INDEX($AR$6:$AY$6,$BH8))))),""))</f>
        <v>Scrap of empty oil drums</v>
      </c>
      <c r="E9" s="69">
        <f>IF($BJ8&gt;0,IF(INDEX('Final Calculation Sheet'!$D$4:$D$40,$BJ8-3)="","",INDEX('Final Calculation Sheet'!$D$4:$D$40,$BJ8-3)),IF(OR($BI8=1,$BL8=1,$BH8&gt;0),"–",""))</f>
        <v>21980</v>
      </c>
      <c r="F9" s="69">
        <f>IF($BJ8&gt;0,IF(INDEX('Final Calculation Sheet'!$A$4:$A$40,$BJ8-3)="","",INDEX('Final Calculation Sheet'!$A$4:$A$40,$BJ8-3)),IF(OR($BI8=1,$BL8=1,$BH8&gt;0),IF($BI8=1,SUM('Final Calculation Sheet'!$A$4:$A$40),IF($BL8=1,SUM('Final Calculation Sheet'!$A$4:$A$40)-SUMIFS('Final Calculation Sheet'!$A$4:$A$40,$AZ$5:$AZ$41,10),SUMIFS('Final Calculation Sheet'!$A$4:$A$40,$AZ$5:$AZ$41,$BH8))),""))</f>
        <v>150</v>
      </c>
      <c r="G9" s="69" t="str">
        <f>IF($BJ8&gt;0,IF(INDEX('Final Calculation Sheet'!$E$4:$E$40,$BJ8-3)="","",INDEX('Final Calculation Sheet'!$E$4:$E$40,$BJ8-3)),IF(OR($BI8=1,$BL8=1,$BH8&gt;0),"–",""))</f>
        <v>NO</v>
      </c>
      <c r="H9" s="70">
        <f>IF($BJ8&gt;0,IF(INDEX('Final Calculation Sheet'!$C$4:$C$40,$BJ8-3)="","",INDEX('Final Calculation Sheet'!$C$4:$C$40,$BJ8-3)),IF(OR($BI8=1,$BL8=1,$BH8&gt;0),"–",""))</f>
        <v>571</v>
      </c>
      <c r="I9" s="70">
        <f>IF($BJ8&gt;0,IF(INDEX('Final Calculation Sheet'!$H$4:$H$40,$BJ8-3)="","",INDEX('Final Calculation Sheet'!$H$4:$H$40,$BJ8-3)),IF(OR($BI8=1,$BL8=1,$BH8&gt;0),IF($BI8=1,SUM('Final Calculation Sheet'!$H$4:$H$40),IF($BL8=1,SUM('Final Calculation Sheet'!$H$4:$H$40)-SUMIFS('Final Calculation Sheet'!$H$4:$H$40,$AZ$5:$AZ$41,10),SUMIFS('Final Calculation Sheet'!$H$4:$H$40,$AZ$5:$AZ$41,$BH8))),""))</f>
        <v>85650</v>
      </c>
      <c r="J9" s="70">
        <f>IF($BJ8&gt;0,IF(INDEX('Final Calculation Sheet'!$I$4:$I$40,$BJ8-3)="","",INDEX('Final Calculation Sheet'!$I$4:$I$40,$BJ8-3)),IF(OR($BI8=1,$BL8=1,$BH8&gt;0),IF($BI8=1,SUM('Final Calculation Sheet'!$I$4:$I$40),IF($BL8=1,SUM('Final Calculation Sheet'!$I$4:$I$40)-SUMIFS('Final Calculation Sheet'!$I$4:$I$40,$AZ$5:$AZ$41,10),SUMIFS('Final Calculation Sheet'!$I$4:$I$40,$AZ$5:$AZ$41,$BH8))),""))</f>
        <v>15417</v>
      </c>
      <c r="K9" s="70">
        <f>IF($BJ8&gt;0,IF(INDEX('Final Calculation Sheet'!$J$4:$J$40,$BJ8-3)="","",INDEX('Final Calculation Sheet'!$J$4:$J$40,$BJ8-3)),IF(OR($BI8=1,$BL8=1,$BH8&gt;0),IF($BI8=1,SUM('Final Calculation Sheet'!$J$4:$J$40),IF($BL8=1,SUM('Final Calculation Sheet'!$J$4:$J$40)-SUMIFS('Final Calculation Sheet'!$J$4:$J$40,$AZ$5:$AZ$41,10),SUMIFS('Final Calculation Sheet'!$J$4:$J$40,$AZ$5:$AZ$41,$BH8))),""))</f>
        <v>101067</v>
      </c>
      <c r="L9" s="70">
        <f>IF($BJ8&gt;0,IF(INDEX('Final Calculation Sheet'!$K$4:$K$40,$BJ8-3)="","",INDEX('Final Calculation Sheet'!$K$4:$K$40,$BJ8-3)),IF(OR($BI8=1,$BL8=1,$BH8&gt;0),IF($BI8=1,SUM('Final Calculation Sheet'!$K$4:$K$40),IF($BL8=1,SUM('Final Calculation Sheet'!$K$4:$K$40)-SUMIFS('Final Calculation Sheet'!$K$4:$K$40,$AZ$5:$AZ$41,10),SUMIFS('Final Calculation Sheet'!$K$4:$K$40,$AZ$5:$AZ$41,$BH8))),""))</f>
        <v>2021</v>
      </c>
      <c r="M9" s="70">
        <f>IF($BJ8&gt;0,IF(INDEX('Final Calculation Sheet'!$L$4:$L$40,$BJ8-3)="","",INDEX('Final Calculation Sheet'!$L$4:$L$40,$BJ8-3)),IF(OR($BI8=1,$BL8=1,$BH8&gt;0),IF($BI8=1,SUM('Final Calculation Sheet'!$L$4:$L$40),IF($BL8=1,SUM('Final Calculation Sheet'!$L$4:$L$40)-SUMIFS('Final Calculation Sheet'!$L$4:$L$40,$AZ$5:$AZ$41,10),SUMIFS('Final Calculation Sheet'!$L$4:$L$40,$AZ$5:$AZ$41,$BH8))),""))</f>
        <v>85.65</v>
      </c>
      <c r="N9" s="70">
        <f>IF($BJ8&gt;0,IF(INDEX('Final Calculation Sheet'!$M$4:$M$40,$BJ8-3)="","",INDEX('Final Calculation Sheet'!$M$4:$M$40,$BJ8-3)),IF(OR($BI8=1,$BL8=1,$BH8&gt;0),IF($BI8=1,SUM('Final Calculation Sheet'!$M$4:$M$40),IF($BL8=1,SUM('Final Calculation Sheet'!$M$4:$M$40)-SUMIFS('Final Calculation Sheet'!$M$4:$M$40,$AZ$5:$AZ$41,10),SUMIFS('Final Calculation Sheet'!$M$4:$M$40,$AZ$5:$AZ$41,$BH8))),""))</f>
        <v>2274.0074999999997</v>
      </c>
      <c r="O9" s="71">
        <f>IF($BJ8&gt;0,IF(INDEX('Final Calculation Sheet'!$N$4:$N$40,$BJ8-3)="","",INDEX('Final Calculation Sheet'!$N$4:$N$40,$BJ8-3)),IF(OR($BI8=1,$BL8=1,$BH8&gt;0),IF($BI8=1,SUM('Final Calculation Sheet'!$N$4:$N$40),IF($BL8=1,SUM('Final Calculation Sheet'!$N$4:$N$40)-SUMIFS('Final Calculation Sheet'!$N$4:$N$40,$AZ$5:$AZ$41,10),SUMIFS('Final Calculation Sheet'!$N$4:$N$40,$AZ$5:$AZ$41,$BH8))),""))</f>
        <v>38.542500000000004</v>
      </c>
      <c r="P9" s="70">
        <f>IF($BJ8&gt;0,IF(INDEX('Final Calculation Sheet'!$O$4:$O$40,$BJ8-3)="","",INDEX('Final Calculation Sheet'!$O$4:$O$40,$BJ8-3)),IF(OR($BI8=1,$BL8=1,$BH8&gt;0),IF($BI8=1,SUM('Final Calculation Sheet'!$O$4:$O$40),IF($BL8=1,SUM('Final Calculation Sheet'!$O$4:$O$40)-SUMIFS('Final Calculation Sheet'!$O$4:$O$40,$AZ$5:$AZ$41,10),SUMIFS('Final Calculation Sheet'!$O$4:$O$40,$AZ$5:$AZ$41,$BH8))),""))</f>
        <v>2235.4649999999997</v>
      </c>
      <c r="Q9" s="70">
        <f>IF($BJ8&gt;0,IF(INDEX('Final Calculation Sheet'!$P$4:$P$40,$BJ8-3)="","",INDEX('Final Calculation Sheet'!$P$4:$P$40,$BJ8-3)),IF(OR($BI8=1,$BL8=1,$BH8&gt;0),IF($BI8=1,SUM('Final Calculation Sheet'!$P$4:$P$40),IF($BL8=1,SUM('Final Calculation Sheet'!$P$4:$P$40)-SUMIFS('Final Calculation Sheet'!$P$4:$P$40,$AZ$5:$AZ$41,10),SUMIFS('Final Calculation Sheet'!$P$4:$P$40,$AZ$5:$AZ$41,$BH8))),""))</f>
        <v>2321</v>
      </c>
      <c r="R9" s="72">
        <f>IF($BJ8&gt;0,IF(INDEX('Final Calculation Sheet'!$Q$4:$Q$40,$BJ8-3)="","",INDEX('Final Calculation Sheet'!$Q$4:$Q$40,$BJ8-3)),IF(OR($BI8=1,$BL8=1,$BH8&gt;0),"–",""))</f>
        <v>0</v>
      </c>
      <c r="S9" s="70">
        <f>IF($BJ8&gt;0,IF(INDEX('Final Calculation Sheet'!$R$4:$R$40,$BJ8-3)="","",INDEX('Final Calculation Sheet'!$R$4:$R$40,$BJ8-3)),IF(OR($BI8=1,$BL8=1,$BH8&gt;0),IF($BI8=1,SUM('Final Calculation Sheet'!$R$4:$R$40),IF($BL8=1,SUM('Final Calculation Sheet'!$R$4:$R$40)-SUMIFS('Final Calculation Sheet'!$R$4:$R$40,$AZ$5:$AZ$41,10),SUMIFS('Final Calculation Sheet'!$R$4:$R$40,$AZ$5:$AZ$41,$BH8))),""))</f>
        <v>0</v>
      </c>
      <c r="T9" s="70">
        <f>IF($BJ8&gt;0,IF(INDEX('Final Calculation Sheet'!$S$4:$S$40,$BJ8-3)="","",INDEX('Final Calculation Sheet'!$S$4:$S$40,$BJ8-3)),IF(OR($BI8=1,$BL8=1,$BH8&gt;0),IF($BI8=1,SUM('Final Calculation Sheet'!$S$4:$S$40),IF($BL8=1,SUM('Final Calculation Sheet'!$S$4:$S$40)-SUMIFS('Final Calculation Sheet'!$S$4:$S$40,$AZ$5:$AZ$41,10),SUMIFS('Final Calculation Sheet'!$S$4:$S$40,$AZ$5:$AZ$41,$BH8))),""))</f>
        <v>100767</v>
      </c>
      <c r="U9" s="70">
        <f>IF($BJ8&gt;0,IF(INDEX('Final Calculation Sheet'!$T$4:$T$40,$BJ8-3)="","",INDEX('Final Calculation Sheet'!$T$4:$T$40,$BJ8-3)),IF(OR($BI8=1,$BL8=1,$BH8&gt;0),IF($BI8=1,SUM('Final Calculation Sheet'!$T$4:$T$40),IF($BL8=1,SUM('Final Calculation Sheet'!$T$4:$T$40)-SUMIFS('Final Calculation Sheet'!$T$4:$T$40,$AZ$5:$AZ$41,10),SUMIFS('Final Calculation Sheet'!$T$4:$T$40,$AZ$5:$AZ$41,$BH8))),""))</f>
        <v>21413</v>
      </c>
      <c r="V9" s="73">
        <f>IF($BJ8&gt;0,IF(INDEX('Final Calculation Sheet'!$U$4:$U$40,$BJ8-3)="","",INDEX('Final Calculation Sheet'!$U$4:$U$40,$BJ8-3)),IF(OR($BI8=1,$BL8=1,$BH8&gt;0),IF($BI8=1,SUM('Final Calculation Sheet'!$U$4:$U$40),IF($BL8=1,SUM('Final Calculation Sheet'!$U$4:$U$40)-SUMIFS('Final Calculation Sheet'!$U$4:$U$40,$AZ$5:$AZ$41,10),SUMIFS('Final Calculation Sheet'!$U$4:$U$40,$AZ$5:$AZ$41,$BH8))),""))</f>
        <v>21413</v>
      </c>
      <c r="W9" s="70" t="str">
        <f>IF($BJ8&gt;0,IF(INDEX('Final Calculation Sheet'!$V$4:$V$40,$BJ8-3)="","",INDEX('Final Calculation Sheet'!$V$4:$V$40,$BJ8-3)),IF(OR($BI8=1,$BL8=1,$BH8&gt;0),"–",""))</f>
        <v>14.08.2026</v>
      </c>
      <c r="X9" s="70">
        <f>IF($BJ8&gt;0,IF(INDEX('Final Calculation Sheet'!$W$4:$W$40,$BJ8-3)="","",INDEX('Final Calculation Sheet'!$W$4:$W$40,$BJ8-3)),IF(OR($BI8=1,$BL8=1,$BH8&gt;0),IF($BI8=1,SUM('Final Calculation Sheet'!$W$4:$W$40),IF($BL8=1,SUM('Final Calculation Sheet'!$W$4:$W$40)-SUMIFS('Final Calculation Sheet'!$W$4:$W$40,$AZ$5:$AZ$41,10),SUMIFS('Final Calculation Sheet'!$W$4:$W$40,$AZ$5:$AZ$41,$BH8))),""))</f>
        <v>79355</v>
      </c>
      <c r="Y9" s="70">
        <f>IF($BJ8&gt;0,IF(INDEX('Final Calculation Sheet'!$X$4:$X$40,$BJ8-3)="","",INDEX('Final Calculation Sheet'!$X$4:$X$40,$BJ8-3)),IF(OR($BI8=1,$BL8=1,$BH8&gt;0),IF($BI8=1,SUM('Final Calculation Sheet'!$X$4:$X$40),IF($BL8=1,SUM('Final Calculation Sheet'!$X$4:$X$40)-SUMIFS('Final Calculation Sheet'!$X$4:$X$40,$AZ$5:$AZ$41,10),SUMIFS('Final Calculation Sheet'!$X$4:$X$40,$AZ$5:$AZ$41,$BH8))),""))</f>
        <v>79354</v>
      </c>
      <c r="Z9" s="70" t="str">
        <f>IF($BJ8&gt;0,IF(INDEX('Final Calculation Sheet'!$Y$4:$Y$40,$BJ8-3)="","",INDEX('Final Calculation Sheet'!$Y$4:$Y$40,$BJ8-3)),IF(OR($BI8=1,$BL8=1,$BH8&gt;0),"–",""))</f>
        <v>20.08.2026</v>
      </c>
      <c r="AA9" s="70">
        <f ca="1">IF($BJ8&gt;0,IF(INDEX('Final Calculation Sheet'!$Z$4:$Z$40,$BJ8-3)="","",INDEX('Final Calculation Sheet'!$Z$4:$Z$40,$BJ8-3)),IF(OR($BI8=1,$BL8=1,$BH8&gt;0),IF($BI8=1,SUM('Final Calculation Sheet'!$Z$4:$Z$40),IF($BL8=1,SUM('Final Calculation Sheet'!$Z$4:$Z$40)-SUMIFS('Final Calculation Sheet'!$Z$4:$Z$40,$AZ$5:$AZ$41,10),SUMIFS('Final Calculation Sheet'!$Z$4:$Z$40,$AZ$5:$AZ$41,$BH8))),""))</f>
        <v>0</v>
      </c>
      <c r="AB9" s="70" t="str">
        <f>IF($BJ8&gt;0,IF(INDEX('Final Calculation Sheet'!$AA$4:$AA$40,$BJ8-3)="","",INDEX('Final Calculation Sheet'!$AA$4:$AA$40,$BJ8-3)),IF(OR($BI8=1,$BL8=1,$BH8&gt;0),IF($BI8=1,SUM('Final Calculation Sheet'!$AA$4:$AA$40),IF($BL8=1,SUM('Final Calculation Sheet'!$AA$4:$AA$40)-SUMIFS('Final Calculation Sheet'!$AA$4:$AA$40,$AZ$5:$AZ$41,10),SUMIFS('Final Calculation Sheet'!$AA$4:$AA$40,$AZ$5:$AZ$41,$BH8))),""))</f>
        <v/>
      </c>
      <c r="AC9" s="70" t="str">
        <f>IF($BJ8&gt;0,IF(INDEX('Final Calculation Sheet'!$AB$4:$AB$40,$BJ8-3)="","",INDEX('Final Calculation Sheet'!$AB$4:$AB$40,$BJ8-3)),IF(OR($BI8=1,$BL8=1,$BH8&gt;0),"–",""))</f>
        <v/>
      </c>
      <c r="AD9" s="70">
        <f>IF($BJ8&gt;0,IF(INDEX('Final Calculation Sheet'!$AC$4:$AC$40,$BJ8-3)="","",INDEX('Final Calculation Sheet'!$AC$4:$AC$40,$BJ8-3)),IF(OR($BI8=1,$BL8=1,$BH8&gt;0),IF($BI8=1,SUM('Final Calculation Sheet'!$AC$4:$AC$40),IF($BL8=1,SUM('Final Calculation Sheet'!$AC$4:$AC$40)-SUMIFS('Final Calculation Sheet'!$AC$4:$AC$40,$AZ$5:$AZ$41,10),SUMIFS('Final Calculation Sheet'!$AC$4:$AC$40,$AZ$5:$AZ$41,$BH8))),""))</f>
        <v>100767</v>
      </c>
      <c r="AE9" s="70">
        <f>IF($BJ8&gt;0,IF(INDEX('Final Calculation Sheet'!$AD$4:$AD$40,$BJ8-3)="","",INDEX('Final Calculation Sheet'!$AD$4:$AD$40,$BJ8-3)),IF(OR($BI8=1,$BL8=1,$BH8&gt;0),IF($BI8=1,SUM('Final Calculation Sheet'!$AD$4:$AD$40),IF($BL8=1,SUM('Final Calculation Sheet'!$AD$4:$AD$40)-SUMIFS('Final Calculation Sheet'!$AD$4:$AD$40,$AZ$5:$AZ$41,10),SUMIFS('Final Calculation Sheet'!$AD$4:$AD$40,$AZ$5:$AZ$41,$BH8))),""))</f>
        <v>0</v>
      </c>
      <c r="AF9" s="70" t="str">
        <f>IF($BJ8&gt;0,IF(INDEX('Final Calculation Sheet'!$AE$4:$AE$40,$BJ8-3)="","",INDEX('Final Calculation Sheet'!$AE$4:$AE$40,$BJ8-3)),IF(OR($BI8=1,$BL8=1,$BH8&gt;0),"–",""))</f>
        <v>DR2640100027</v>
      </c>
      <c r="AG9" s="74">
        <f>IF($BJ8&gt;0,IF(INDEX('Final Calculation Sheet'!$AF$4:$AF$40,$BJ8-3)="","",INDEX('Final Calculation Sheet'!$AF$4:$AF$40,$BJ8-3)),IF(OR($BI8=1,$BL8=1,$BH8&gt;0),"–",""))</f>
        <v>1800003248</v>
      </c>
      <c r="AH9" s="70" t="str">
        <f>IF($BJ8&gt;0,IF(INDEX('Final Calculation Sheet'!$AG$4:$AG$40,$BJ8-3)="","",INDEX('Final Calculation Sheet'!$AG$4:$AG$40,$BJ8-3)),IF(OR($BI8=1,$BL8=1,$BH8&gt;0),"–",""))</f>
        <v>20.08.2026</v>
      </c>
      <c r="AI9" s="75" t="str">
        <f>IF($BJ8&gt;0,IF(INDEX('Final Calculation Sheet'!$AD$4:$AD$40,$BJ8-3)="","",IF(INDEX('Final Calculation Sheet'!$AD$4:$AD$40,$BJ8-3)&lt;=0,"SETTLED","OUTSTANDING")),IF(OR($BI8=1,$BL8=1,$BH8&gt;0),IF(IF($BI8=1,SUM('Final Calculation Sheet'!$AD$4:$AD$40),IF($BL8=1,SUM('Final Calculation Sheet'!$AD$4:$AD$40)-SUMIFS('Final Calculation Sheet'!$AD$4:$AD$40,$AZ$5:$AZ$41,10),SUMIFS('Final Calculation Sheet'!$AD$4:$AD$40,$AZ$5:$AZ$41,$BH8)))&lt;=0,"ALL SETTLED","OUTSTANDING"),""))</f>
        <v>SETTLED</v>
      </c>
      <c r="AK9" t="str">
        <f>IF($F$3="Lot No.",'Final Calculation Sheet'!$F$8,IF($F$3="Buyer",'Final Calculation Sheet'!$G$8,IF($F$3="Lot Name",'Final Calculation Sheet'!$B$8,IF($F$3="Bid Sheet",'Final Calculation Sheet'!$D$8,IF($F$3="Unit",'Final Calculation Sheet'!$E$8,'Final Calculation Sheet'!$F$8&amp;" "&amp;'Final Calculation Sheet'!$G$8&amp;" "&amp;'Final Calculation Sheet'!$B$8)))))</f>
        <v>1923 OMKAR STEELS SCRAP ACSR CONDUCTORS (Conductor Pieces)</v>
      </c>
      <c r="AM9">
        <f t="shared" si="1"/>
        <v>0</v>
      </c>
      <c r="AO9" t="s">
        <v>5</v>
      </c>
      <c r="AR9">
        <f>IF($AR$6="",0,$AR$8)</f>
        <v>1</v>
      </c>
      <c r="AS9">
        <f>IF($AS$6="",0,$AS$8)</f>
        <v>1</v>
      </c>
      <c r="AT9">
        <f>IF($AT$6="",0,$AT$8)</f>
        <v>0</v>
      </c>
      <c r="AU9">
        <f>IF($AU$6="",0,$AU$8)</f>
        <v>0</v>
      </c>
      <c r="AV9">
        <f>IF($AV$6="",0,$AV$8)</f>
        <v>0</v>
      </c>
      <c r="AW9">
        <f>IF($AW$6="",0,$AW$8)</f>
        <v>0</v>
      </c>
      <c r="AX9">
        <f>IF($AX$6="",0,$AX$8)</f>
        <v>0</v>
      </c>
      <c r="AY9">
        <f>IF($AY$6="",0,$AY$8)</f>
        <v>0</v>
      </c>
      <c r="AZ9">
        <f t="shared" si="2"/>
        <v>10</v>
      </c>
      <c r="BA9">
        <f t="shared" si="3"/>
        <v>4</v>
      </c>
      <c r="BB9">
        <f t="shared" si="4"/>
        <v>20</v>
      </c>
      <c r="BC9">
        <v>8</v>
      </c>
      <c r="BD9">
        <f>COUNTIF($AZ$5:$AZ$41,6)</f>
        <v>0</v>
      </c>
      <c r="BE9">
        <f t="shared" si="5"/>
        <v>16</v>
      </c>
      <c r="BF9">
        <f t="shared" si="0"/>
        <v>0</v>
      </c>
      <c r="BH9">
        <f>IFERROR(MATCH(9,$BF$4:$BF$13,0),0)</f>
        <v>1</v>
      </c>
      <c r="BI9">
        <f>IF(9=$BG$5,1,0)</f>
        <v>0</v>
      </c>
      <c r="BJ9">
        <f>IF(OR($BH9&gt;0,$BI9=1,$BL9=1),0,IFERROR(INDEX($BC$5:$BC$41,MATCH(9,$BB$5:$BB$41,0)),0))</f>
        <v>0</v>
      </c>
      <c r="BK9">
        <f>IF($BJ9&gt;0,IF(INDEX($AZ$5:$AZ$41,MATCH(9,$BB$5:$BB$41,0))=10,1,0),IF($BH9=10,1,0))</f>
        <v>0</v>
      </c>
      <c r="BL9">
        <f>IF(9=$BG$4,1,0)</f>
        <v>0</v>
      </c>
      <c r="BM9">
        <f>IF($A$4="",1,--(AND(SUMPRODUCT(--($AS$60:$AZ$60&lt;&gt;""))&gt;0,IF(COUNTIF($BI$60:$BP$60,1)=0,TRUE,SUMPRODUCT(($BI$60:$BP$60=1)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$60,2)=0,TRUE,SUMPRODUCT(($BI$60:$BP$60=2)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$60,3)=0,TRUE,SUMPRODUCT(($BI$60:$BP$60=3)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$60,4)=0,TRUE,SUMPRODUCT(($BI$60:$BP$60=4)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$60,5)=0,TRUE,SUMPRODUCT(($BI$60:$BP$60=5)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$60,6)=0,TRUE,SUMPRODUCT(($BI$60:$BP$60=6)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$60,7)=0,TRUE,SUMPRODUCT(($BI$60:$BP$60=7)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$60,8)=0,TRUE,SUMPRODUCT(($BI$60:$BP$60=8)*($AS$60:$AZ$60&lt;&gt;"")*IF(((UPPER($AS$60:$AZ$60)="BLANK")+(UPPER($AS$60:$AZ$60)="(BLANK)")+(UPPER($AS$60:$AZ$60)="EMPTY")+(UPPER($AS$60:$AZ$60)="(EMPTY)"))&gt;0,IFERROR((ROW()-4)&amp;"","")="",ISNUMBER(SEARCH($AS$60:$AZ$60,IFERROR((ROW()-4)&amp;"","")))))&gt;0))))</f>
        <v>1</v>
      </c>
      <c r="BN9">
        <f>IF($B$4="",1,--(AND(SUMPRODUCT(--($AS$61:$AZ$61&lt;&gt;""))&gt;0,IF(COUNTIF($BI$61:$BP$61,1)=0,TRUE,SUMPRODUCT(($BI$61:$BP$61=1)*($AS$61:$AZ$61&lt;&gt;"")*IF(((UPPER($AS$61:$AZ$61)="BLANK")+(UPPER($AS$61:$AZ$61)="(BLANK)")+(UPPER($AS$61:$AZ$61)="EMPTY")+(UPPER($AS$61:$AZ$61)="(EMPTY)"))&gt;0,IFERROR(('Final Calculation Sheet'!$F$8)&amp;"","")="",ISNUMBER(SEARCH($AS$61:$AZ$61,IFERROR(('Final Calculation Sheet'!$F$8)&amp;"","")))))&gt;0),IF(COUNTIF($BI$61:$BP$61,2)=0,TRUE,SUMPRODUCT(($BI$61:$BP$61=2)*($AS$61:$AZ$61&lt;&gt;"")*IF(((UPPER($AS$61:$AZ$61)="BLANK")+(UPPER($AS$61:$AZ$61)="(BLANK)")+(UPPER($AS$61:$AZ$61)="EMPTY")+(UPPER($AS$61:$AZ$61)="(EMPTY)"))&gt;0,IFERROR(('Final Calculation Sheet'!$F$8)&amp;"","")="",ISNUMBER(SEARCH($AS$61:$AZ$61,IFERROR(('Final Calculation Sheet'!$F$8)&amp;"","")))))&gt;0),IF(COUNTIF($BI$61:$BP$61,3)=0,TRUE,SUMPRODUCT(($BI$61:$BP$61=3)*($AS$61:$AZ$61&lt;&gt;"")*IF(((UPPER($AS$61:$AZ$61)="BLANK")+(UPPER($AS$61:$AZ$61)="(BLANK)")+(UPPER($AS$61:$AZ$61)="EMPTY")+(UPPER($AS$61:$AZ$61)="(EMPTY)"))&gt;0,IFERROR(('Final Calculation Sheet'!$F$8)&amp;"","")="",ISNUMBER(SEARCH($AS$61:$AZ$61,IFERROR(('Final Calculation Sheet'!$F$8)&amp;"","")))))&gt;0),IF(COUNTIF($BI$61:$BP$61,4)=0,TRUE,SUMPRODUCT(($BI$61:$BP$61=4)*($AS$61:$AZ$61&lt;&gt;"")*IF(((UPPER($AS$61:$AZ$61)="BLANK")+(UPPER($AS$61:$AZ$61)="(BLANK)")+(UPPER($AS$61:$AZ$61)="EMPTY")+(UPPER($AS$61:$AZ$61)="(EMPTY)"))&gt;0,IFERROR(('Final Calculation Sheet'!$F$8)&amp;"","")="",ISNUMBER(SEARCH($AS$61:$AZ$61,IFERROR(('Final Calculation Sheet'!$F$8)&amp;"","")))))&gt;0),IF(COUNTIF($BI$61:$BP$61,5)=0,TRUE,SUMPRODUCT(($BI$61:$BP$61=5)*($AS$61:$AZ$61&lt;&gt;"")*IF(((UPPER($AS$61:$AZ$61)="BLANK")+(UPPER($AS$61:$AZ$61)="(BLANK)")+(UPPER($AS$61:$AZ$61)="EMPTY")+(UPPER($AS$61:$AZ$61)="(EMPTY)"))&gt;0,IFERROR(('Final Calculation Sheet'!$F$8)&amp;"","")="",ISNUMBER(SEARCH($AS$61:$AZ$61,IFERROR(('Final Calculation Sheet'!$F$8)&amp;"","")))))&gt;0),IF(COUNTIF($BI$61:$BP$61,6)=0,TRUE,SUMPRODUCT(($BI$61:$BP$61=6)*($AS$61:$AZ$61&lt;&gt;"")*IF(((UPPER($AS$61:$AZ$61)="BLANK")+(UPPER($AS$61:$AZ$61)="(BLANK)")+(UPPER($AS$61:$AZ$61)="EMPTY")+(UPPER($AS$61:$AZ$61)="(EMPTY)"))&gt;0,IFERROR(('Final Calculation Sheet'!$F$8)&amp;"","")="",ISNUMBER(SEARCH($AS$61:$AZ$61,IFERROR(('Final Calculation Sheet'!$F$8)&amp;"","")))))&gt;0),IF(COUNTIF($BI$61:$BP$61,7)=0,TRUE,SUMPRODUCT(($BI$61:$BP$61=7)*($AS$61:$AZ$61&lt;&gt;"")*IF(((UPPER($AS$61:$AZ$61)="BLANK")+(UPPER($AS$61:$AZ$61)="(BLANK)")+(UPPER($AS$61:$AZ$61)="EMPTY")+(UPPER($AS$61:$AZ$61)="(EMPTY)"))&gt;0,IFERROR(('Final Calculation Sheet'!$F$8)&amp;"","")="",ISNUMBER(SEARCH($AS$61:$AZ$61,IFERROR(('Final Calculation Sheet'!$F$8)&amp;"","")))))&gt;0),IF(COUNTIF($BI$61:$BP$61,8)=0,TRUE,SUMPRODUCT(($BI$61:$BP$61=8)*($AS$61:$AZ$61&lt;&gt;"")*IF(((UPPER($AS$61:$AZ$61)="BLANK")+(UPPER($AS$61:$AZ$61)="(BLANK)")+(UPPER($AS$61:$AZ$61)="EMPTY")+(UPPER($AS$61:$AZ$61)="(EMPTY)"))&gt;0,IFERROR(('Final Calculation Sheet'!$F$8)&amp;"","")="",ISNUMBER(SEARCH($AS$61:$AZ$61,IFERROR(('Final Calculation Sheet'!$F$8)&amp;"","")))))&gt;0))))</f>
        <v>1</v>
      </c>
      <c r="BO9">
        <f>IF($C$4="",1,--(AND(SUMPRODUCT(--($AS$62:$AZ$62&lt;&gt;""))&gt;0,IF(COUNTIF($BI$62:$BP$62,1)=0,TRUE,SUMPRODUCT(($BI$62:$BP$62=1)*($AS$62:$AZ$62&lt;&gt;"")*IF(((UPPER($AS$62:$AZ$62)="BLANK")+(UPPER($AS$62:$AZ$62)="(BLANK)")+(UPPER($AS$62:$AZ$62)="EMPTY")+(UPPER($AS$62:$AZ$62)="(EMPTY)"))&gt;0,IFERROR(('Final Calculation Sheet'!$G$8)&amp;"","")="",ISNUMBER(SEARCH($AS$62:$AZ$62,IFERROR(('Final Calculation Sheet'!$G$8)&amp;"","")))))&gt;0),IF(COUNTIF($BI$62:$BP$62,2)=0,TRUE,SUMPRODUCT(($BI$62:$BP$62=2)*($AS$62:$AZ$62&lt;&gt;"")*IF(((UPPER($AS$62:$AZ$62)="BLANK")+(UPPER($AS$62:$AZ$62)="(BLANK)")+(UPPER($AS$62:$AZ$62)="EMPTY")+(UPPER($AS$62:$AZ$62)="(EMPTY)"))&gt;0,IFERROR(('Final Calculation Sheet'!$G$8)&amp;"","")="",ISNUMBER(SEARCH($AS$62:$AZ$62,IFERROR(('Final Calculation Sheet'!$G$8)&amp;"","")))))&gt;0),IF(COUNTIF($BI$62:$BP$62,3)=0,TRUE,SUMPRODUCT(($BI$62:$BP$62=3)*($AS$62:$AZ$62&lt;&gt;"")*IF(((UPPER($AS$62:$AZ$62)="BLANK")+(UPPER($AS$62:$AZ$62)="(BLANK)")+(UPPER($AS$62:$AZ$62)="EMPTY")+(UPPER($AS$62:$AZ$62)="(EMPTY)"))&gt;0,IFERROR(('Final Calculation Sheet'!$G$8)&amp;"","")="",ISNUMBER(SEARCH($AS$62:$AZ$62,IFERROR(('Final Calculation Sheet'!$G$8)&amp;"","")))))&gt;0),IF(COUNTIF($BI$62:$BP$62,4)=0,TRUE,SUMPRODUCT(($BI$62:$BP$62=4)*($AS$62:$AZ$62&lt;&gt;"")*IF(((UPPER($AS$62:$AZ$62)="BLANK")+(UPPER($AS$62:$AZ$62)="(BLANK)")+(UPPER($AS$62:$AZ$62)="EMPTY")+(UPPER($AS$62:$AZ$62)="(EMPTY)"))&gt;0,IFERROR(('Final Calculation Sheet'!$G$8)&amp;"","")="",ISNUMBER(SEARCH($AS$62:$AZ$62,IFERROR(('Final Calculation Sheet'!$G$8)&amp;"","")))))&gt;0),IF(COUNTIF($BI$62:$BP$62,5)=0,TRUE,SUMPRODUCT(($BI$62:$BP$62=5)*($AS$62:$AZ$62&lt;&gt;"")*IF(((UPPER($AS$62:$AZ$62)="BLANK")+(UPPER($AS$62:$AZ$62)="(BLANK)")+(UPPER($AS$62:$AZ$62)="EMPTY")+(UPPER($AS$62:$AZ$62)="(EMPTY)"))&gt;0,IFERROR(('Final Calculation Sheet'!$G$8)&amp;"","")="",ISNUMBER(SEARCH($AS$62:$AZ$62,IFERROR(('Final Calculation Sheet'!$G$8)&amp;"","")))))&gt;0),IF(COUNTIF($BI$62:$BP$62,6)=0,TRUE,SUMPRODUCT(($BI$62:$BP$62=6)*($AS$62:$AZ$62&lt;&gt;"")*IF(((UPPER($AS$62:$AZ$62)="BLANK")+(UPPER($AS$62:$AZ$62)="(BLANK)")+(UPPER($AS$62:$AZ$62)="EMPTY")+(UPPER($AS$62:$AZ$62)="(EMPTY)"))&gt;0,IFERROR(('Final Calculation Sheet'!$G$8)&amp;"","")="",ISNUMBER(SEARCH($AS$62:$AZ$62,IFERROR(('Final Calculation Sheet'!$G$8)&amp;"","")))))&gt;0),IF(COUNTIF($BI$62:$BP$62,7)=0,TRUE,SUMPRODUCT(($BI$62:$BP$62=7)*($AS$62:$AZ$62&lt;&gt;"")*IF(((UPPER($AS$62:$AZ$62)="BLANK")+(UPPER($AS$62:$AZ$62)="(BLANK)")+(UPPER($AS$62:$AZ$62)="EMPTY")+(UPPER($AS$62:$AZ$62)="(EMPTY)"))&gt;0,IFERROR(('Final Calculation Sheet'!$G$8)&amp;"","")="",ISNUMBER(SEARCH($AS$62:$AZ$62,IFERROR(('Final Calculation Sheet'!$G$8)&amp;"","")))))&gt;0),IF(COUNTIF($BI$62:$BP$62,8)=0,TRUE,SUMPRODUCT(($BI$62:$BP$62=8)*($AS$62:$AZ$62&lt;&gt;"")*IF(((UPPER($AS$62:$AZ$62)="BLANK")+(UPPER($AS$62:$AZ$62)="(BLANK)")+(UPPER($AS$62:$AZ$62)="EMPTY")+(UPPER($AS$62:$AZ$62)="(EMPTY)"))&gt;0,IFERROR(('Final Calculation Sheet'!$G$8)&amp;"","")="",ISNUMBER(SEARCH($AS$62:$AZ$62,IFERROR(('Final Calculation Sheet'!$G$8)&amp;"","")))))&gt;0))))</f>
        <v>1</v>
      </c>
      <c r="BP9">
        <f>IF($D$4="",1,--(AND(SUMPRODUCT(--($AS$63:$AZ$63&lt;&gt;""))&gt;0,IF(COUNTIF($BI$63:$BP$63,1)=0,TRUE,SUMPRODUCT(($BI$63:$BP$63=1)*($AS$63:$AZ$63&lt;&gt;"")*IF(((UPPER($AS$63:$AZ$63)="BLANK")+(UPPER($AS$63:$AZ$63)="(BLANK)")+(UPPER($AS$63:$AZ$63)="EMPTY")+(UPPER($AS$63:$AZ$63)="(EMPTY)"))&gt;0,IFERROR(('Final Calculation Sheet'!$B$8)&amp;"","")="",ISNUMBER(SEARCH($AS$63:$AZ$63,IFERROR(('Final Calculation Sheet'!$B$8)&amp;"","")))))&gt;0),IF(COUNTIF($BI$63:$BP$63,2)=0,TRUE,SUMPRODUCT(($BI$63:$BP$63=2)*($AS$63:$AZ$63&lt;&gt;"")*IF(((UPPER($AS$63:$AZ$63)="BLANK")+(UPPER($AS$63:$AZ$63)="(BLANK)")+(UPPER($AS$63:$AZ$63)="EMPTY")+(UPPER($AS$63:$AZ$63)="(EMPTY)"))&gt;0,IFERROR(('Final Calculation Sheet'!$B$8)&amp;"","")="",ISNUMBER(SEARCH($AS$63:$AZ$63,IFERROR(('Final Calculation Sheet'!$B$8)&amp;"","")))))&gt;0),IF(COUNTIF($BI$63:$BP$63,3)=0,TRUE,SUMPRODUCT(($BI$63:$BP$63=3)*($AS$63:$AZ$63&lt;&gt;"")*IF(((UPPER($AS$63:$AZ$63)="BLANK")+(UPPER($AS$63:$AZ$63)="(BLANK)")+(UPPER($AS$63:$AZ$63)="EMPTY")+(UPPER($AS$63:$AZ$63)="(EMPTY)"))&gt;0,IFERROR(('Final Calculation Sheet'!$B$8)&amp;"","")="",ISNUMBER(SEARCH($AS$63:$AZ$63,IFERROR(('Final Calculation Sheet'!$B$8)&amp;"","")))))&gt;0),IF(COUNTIF($BI$63:$BP$63,4)=0,TRUE,SUMPRODUCT(($BI$63:$BP$63=4)*($AS$63:$AZ$63&lt;&gt;"")*IF(((UPPER($AS$63:$AZ$63)="BLANK")+(UPPER($AS$63:$AZ$63)="(BLANK)")+(UPPER($AS$63:$AZ$63)="EMPTY")+(UPPER($AS$63:$AZ$63)="(EMPTY)"))&gt;0,IFERROR(('Final Calculation Sheet'!$B$8)&amp;"","")="",ISNUMBER(SEARCH($AS$63:$AZ$63,IFERROR(('Final Calculation Sheet'!$B$8)&amp;"","")))))&gt;0),IF(COUNTIF($BI$63:$BP$63,5)=0,TRUE,SUMPRODUCT(($BI$63:$BP$63=5)*($AS$63:$AZ$63&lt;&gt;"")*IF(((UPPER($AS$63:$AZ$63)="BLANK")+(UPPER($AS$63:$AZ$63)="(BLANK)")+(UPPER($AS$63:$AZ$63)="EMPTY")+(UPPER($AS$63:$AZ$63)="(EMPTY)"))&gt;0,IFERROR(('Final Calculation Sheet'!$B$8)&amp;"","")="",ISNUMBER(SEARCH($AS$63:$AZ$63,IFERROR(('Final Calculation Sheet'!$B$8)&amp;"","")))))&gt;0),IF(COUNTIF($BI$63:$BP$63,6)=0,TRUE,SUMPRODUCT(($BI$63:$BP$63=6)*($AS$63:$AZ$63&lt;&gt;"")*IF(((UPPER($AS$63:$AZ$63)="BLANK")+(UPPER($AS$63:$AZ$63)="(BLANK)")+(UPPER($AS$63:$AZ$63)="EMPTY")+(UPPER($AS$63:$AZ$63)="(EMPTY)"))&gt;0,IFERROR(('Final Calculation Sheet'!$B$8)&amp;"","")="",ISNUMBER(SEARCH($AS$63:$AZ$63,IFERROR(('Final Calculation Sheet'!$B$8)&amp;"","")))))&gt;0),IF(COUNTIF($BI$63:$BP$63,7)=0,TRUE,SUMPRODUCT(($BI$63:$BP$63=7)*($AS$63:$AZ$63&lt;&gt;"")*IF(((UPPER($AS$63:$AZ$63)="BLANK")+(UPPER($AS$63:$AZ$63)="(BLANK)")+(UPPER($AS$63:$AZ$63)="EMPTY")+(UPPER($AS$63:$AZ$63)="(EMPTY)"))&gt;0,IFERROR(('Final Calculation Sheet'!$B$8)&amp;"","")="",ISNUMBER(SEARCH($AS$63:$AZ$63,IFERROR(('Final Calculation Sheet'!$B$8)&amp;"","")))))&gt;0),IF(COUNTIF($BI$63:$BP$63,8)=0,TRUE,SUMPRODUCT(($BI$63:$BP$63=8)*($AS$63:$AZ$63&lt;&gt;"")*IF(((UPPER($AS$63:$AZ$63)="BLANK")+(UPPER($AS$63:$AZ$63)="(BLANK)")+(UPPER($AS$63:$AZ$63)="EMPTY")+(UPPER($AS$63:$AZ$63)="(EMPTY)"))&gt;0,IFERROR(('Final Calculation Sheet'!$B$8)&amp;"","")="",ISNUMBER(SEARCH($AS$63:$AZ$63,IFERROR(('Final Calculation Sheet'!$B$8)&amp;"","")))))&gt;0))))</f>
        <v>1</v>
      </c>
      <c r="BQ9">
        <f>IF($E$4="",1,--(AND(SUMPRODUCT(--($AS$64:$AZ$64&lt;&gt;""))&gt;0,IF(COUNTIF($BI$64:$BP$64,1)=0,TRUE,SUMPRODUCT(($BI$64:$BP$64=1)*($AS$64:$AZ$64&lt;&gt;"")*IF(((UPPER($AS$64:$AZ$64)="BLANK")+(UPPER($AS$64:$AZ$64)="(BLANK)")+(UPPER($AS$64:$AZ$64)="EMPTY")+(UPPER($AS$64:$AZ$64)="(EMPTY)"))&gt;0,IFERROR(('Final Calculation Sheet'!$D$8)&amp;"","")="",ISNUMBER(SEARCH($AS$64:$AZ$64,IFERROR(('Final Calculation Sheet'!$D$8)&amp;"","")))))&gt;0),IF(COUNTIF($BI$64:$BP$64,2)=0,TRUE,SUMPRODUCT(($BI$64:$BP$64=2)*($AS$64:$AZ$64&lt;&gt;"")*IF(((UPPER($AS$64:$AZ$64)="BLANK")+(UPPER($AS$64:$AZ$64)="(BLANK)")+(UPPER($AS$64:$AZ$64)="EMPTY")+(UPPER($AS$64:$AZ$64)="(EMPTY)"))&gt;0,IFERROR(('Final Calculation Sheet'!$D$8)&amp;"","")="",ISNUMBER(SEARCH($AS$64:$AZ$64,IFERROR(('Final Calculation Sheet'!$D$8)&amp;"","")))))&gt;0),IF(COUNTIF($BI$64:$BP$64,3)=0,TRUE,SUMPRODUCT(($BI$64:$BP$64=3)*($AS$64:$AZ$64&lt;&gt;"")*IF(((UPPER($AS$64:$AZ$64)="BLANK")+(UPPER($AS$64:$AZ$64)="(BLANK)")+(UPPER($AS$64:$AZ$64)="EMPTY")+(UPPER($AS$64:$AZ$64)="(EMPTY)"))&gt;0,IFERROR(('Final Calculation Sheet'!$D$8)&amp;"","")="",ISNUMBER(SEARCH($AS$64:$AZ$64,IFERROR(('Final Calculation Sheet'!$D$8)&amp;"","")))))&gt;0),IF(COUNTIF($BI$64:$BP$64,4)=0,TRUE,SUMPRODUCT(($BI$64:$BP$64=4)*($AS$64:$AZ$64&lt;&gt;"")*IF(((UPPER($AS$64:$AZ$64)="BLANK")+(UPPER($AS$64:$AZ$64)="(BLANK)")+(UPPER($AS$64:$AZ$64)="EMPTY")+(UPPER($AS$64:$AZ$64)="(EMPTY)"))&gt;0,IFERROR(('Final Calculation Sheet'!$D$8)&amp;"","")="",ISNUMBER(SEARCH($AS$64:$AZ$64,IFERROR(('Final Calculation Sheet'!$D$8)&amp;"","")))))&gt;0),IF(COUNTIF($BI$64:$BP$64,5)=0,TRUE,SUMPRODUCT(($BI$64:$BP$64=5)*($AS$64:$AZ$64&lt;&gt;"")*IF(((UPPER($AS$64:$AZ$64)="BLANK")+(UPPER($AS$64:$AZ$64)="(BLANK)")+(UPPER($AS$64:$AZ$64)="EMPTY")+(UPPER($AS$64:$AZ$64)="(EMPTY)"))&gt;0,IFERROR(('Final Calculation Sheet'!$D$8)&amp;"","")="",ISNUMBER(SEARCH($AS$64:$AZ$64,IFERROR(('Final Calculation Sheet'!$D$8)&amp;"","")))))&gt;0),IF(COUNTIF($BI$64:$BP$64,6)=0,TRUE,SUMPRODUCT(($BI$64:$BP$64=6)*($AS$64:$AZ$64&lt;&gt;"")*IF(((UPPER($AS$64:$AZ$64)="BLANK")+(UPPER($AS$64:$AZ$64)="(BLANK)")+(UPPER($AS$64:$AZ$64)="EMPTY")+(UPPER($AS$64:$AZ$64)="(EMPTY)"))&gt;0,IFERROR(('Final Calculation Sheet'!$D$8)&amp;"","")="",ISNUMBER(SEARCH($AS$64:$AZ$64,IFERROR(('Final Calculation Sheet'!$D$8)&amp;"","")))))&gt;0),IF(COUNTIF($BI$64:$BP$64,7)=0,TRUE,SUMPRODUCT(($BI$64:$BP$64=7)*($AS$64:$AZ$64&lt;&gt;"")*IF(((UPPER($AS$64:$AZ$64)="BLANK")+(UPPER($AS$64:$AZ$64)="(BLANK)")+(UPPER($AS$64:$AZ$64)="EMPTY")+(UPPER($AS$64:$AZ$64)="(EMPTY)"))&gt;0,IFERROR(('Final Calculation Sheet'!$D$8)&amp;"","")="",ISNUMBER(SEARCH($AS$64:$AZ$64,IFERROR(('Final Calculation Sheet'!$D$8)&amp;"","")))))&gt;0),IF(COUNTIF($BI$64:$BP$64,8)=0,TRUE,SUMPRODUCT(($BI$64:$BP$64=8)*($AS$64:$AZ$64&lt;&gt;"")*IF(((UPPER($AS$64:$AZ$64)="BLANK")+(UPPER($AS$64:$AZ$64)="(BLANK)")+(UPPER($AS$64:$AZ$64)="EMPTY")+(UPPER($AS$64:$AZ$64)="(EMPTY)"))&gt;0,IFERROR(('Final Calculation Sheet'!$D$8)&amp;"","")="",ISNUMBER(SEARCH($AS$64:$AZ$64,IFERROR(('Final Calculation Sheet'!$D$8)&amp;"","")))))&gt;0))))</f>
        <v>1</v>
      </c>
      <c r="BR9">
        <f>IF($F$4="",1,--(AND(SUMPRODUCT(--($AS$65:$AZ$65&lt;&gt;""))&gt;0,IF(COUNTIF($BI$65:$BP$65,1)=0,TRUE,SUMPRODUCT(($BI$65:$BP$65=1)*($AS$65:$AZ$65&lt;&gt;"")*IF(((UPPER($AS$65:$AZ$65)="BLANK")+(UPPER($AS$65:$AZ$65)="(BLANK)")+(UPPER($AS$65:$AZ$65)="EMPTY")+(UPPER($AS$65:$AZ$65)="(EMPTY)"))&gt;0,IFERROR(('Final Calculation Sheet'!$A$8)&amp;"","")="",ISNUMBER(SEARCH($AS$65:$AZ$65,IFERROR(('Final Calculation Sheet'!$A$8)&amp;"","")))))&gt;0),IF(COUNTIF($BI$65:$BP$65,2)=0,TRUE,SUMPRODUCT(($BI$65:$BP$65=2)*($AS$65:$AZ$65&lt;&gt;"")*IF(((UPPER($AS$65:$AZ$65)="BLANK")+(UPPER($AS$65:$AZ$65)="(BLANK)")+(UPPER($AS$65:$AZ$65)="EMPTY")+(UPPER($AS$65:$AZ$65)="(EMPTY)"))&gt;0,IFERROR(('Final Calculation Sheet'!$A$8)&amp;"","")="",ISNUMBER(SEARCH($AS$65:$AZ$65,IFERROR(('Final Calculation Sheet'!$A$8)&amp;"","")))))&gt;0),IF(COUNTIF($BI$65:$BP$65,3)=0,TRUE,SUMPRODUCT(($BI$65:$BP$65=3)*($AS$65:$AZ$65&lt;&gt;"")*IF(((UPPER($AS$65:$AZ$65)="BLANK")+(UPPER($AS$65:$AZ$65)="(BLANK)")+(UPPER($AS$65:$AZ$65)="EMPTY")+(UPPER($AS$65:$AZ$65)="(EMPTY)"))&gt;0,IFERROR(('Final Calculation Sheet'!$A$8)&amp;"","")="",ISNUMBER(SEARCH($AS$65:$AZ$65,IFERROR(('Final Calculation Sheet'!$A$8)&amp;"","")))))&gt;0),IF(COUNTIF($BI$65:$BP$65,4)=0,TRUE,SUMPRODUCT(($BI$65:$BP$65=4)*($AS$65:$AZ$65&lt;&gt;"")*IF(((UPPER($AS$65:$AZ$65)="BLANK")+(UPPER($AS$65:$AZ$65)="(BLANK)")+(UPPER($AS$65:$AZ$65)="EMPTY")+(UPPER($AS$65:$AZ$65)="(EMPTY)"))&gt;0,IFERROR(('Final Calculation Sheet'!$A$8)&amp;"","")="",ISNUMBER(SEARCH($AS$65:$AZ$65,IFERROR(('Final Calculation Sheet'!$A$8)&amp;"","")))))&gt;0),IF(COUNTIF($BI$65:$BP$65,5)=0,TRUE,SUMPRODUCT(($BI$65:$BP$65=5)*($AS$65:$AZ$65&lt;&gt;"")*IF(((UPPER($AS$65:$AZ$65)="BLANK")+(UPPER($AS$65:$AZ$65)="(BLANK)")+(UPPER($AS$65:$AZ$65)="EMPTY")+(UPPER($AS$65:$AZ$65)="(EMPTY)"))&gt;0,IFERROR(('Final Calculation Sheet'!$A$8)&amp;"","")="",ISNUMBER(SEARCH($AS$65:$AZ$65,IFERROR(('Final Calculation Sheet'!$A$8)&amp;"","")))))&gt;0),IF(COUNTIF($BI$65:$BP$65,6)=0,TRUE,SUMPRODUCT(($BI$65:$BP$65=6)*($AS$65:$AZ$65&lt;&gt;"")*IF(((UPPER($AS$65:$AZ$65)="BLANK")+(UPPER($AS$65:$AZ$65)="(BLANK)")+(UPPER($AS$65:$AZ$65)="EMPTY")+(UPPER($AS$65:$AZ$65)="(EMPTY)"))&gt;0,IFERROR(('Final Calculation Sheet'!$A$8)&amp;"","")="",ISNUMBER(SEARCH($AS$65:$AZ$65,IFERROR(('Final Calculation Sheet'!$A$8)&amp;"","")))))&gt;0),IF(COUNTIF($BI$65:$BP$65,7)=0,TRUE,SUMPRODUCT(($BI$65:$BP$65=7)*($AS$65:$AZ$65&lt;&gt;"")*IF(((UPPER($AS$65:$AZ$65)="BLANK")+(UPPER($AS$65:$AZ$65)="(BLANK)")+(UPPER($AS$65:$AZ$65)="EMPTY")+(UPPER($AS$65:$AZ$65)="(EMPTY)"))&gt;0,IFERROR(('Final Calculation Sheet'!$A$8)&amp;"","")="",ISNUMBER(SEARCH($AS$65:$AZ$65,IFERROR(('Final Calculation Sheet'!$A$8)&amp;"","")))))&gt;0),IF(COUNTIF($BI$65:$BP$65,8)=0,TRUE,SUMPRODUCT(($BI$65:$BP$65=8)*($AS$65:$AZ$65&lt;&gt;"")*IF(((UPPER($AS$65:$AZ$65)="BLANK")+(UPPER($AS$65:$AZ$65)="(BLANK)")+(UPPER($AS$65:$AZ$65)="EMPTY")+(UPPER($AS$65:$AZ$65)="(EMPTY)"))&gt;0,IFERROR(('Final Calculation Sheet'!$A$8)&amp;"","")="",ISNUMBER(SEARCH($AS$65:$AZ$65,IFERROR(('Final Calculation Sheet'!$A$8)&amp;"","")))))&gt;0))))</f>
        <v>1</v>
      </c>
      <c r="BS9">
        <f>IF($G$4="",1,--(AND(SUMPRODUCT(--($AS$66:$AZ$66&lt;&gt;""))&gt;0,IF(COUNTIF($BI$66:$BP$66,1)=0,TRUE,SUMPRODUCT(($BI$66:$BP$66=1)*($AS$66:$AZ$66&lt;&gt;"")*IF(((UPPER($AS$66:$AZ$66)="BLANK")+(UPPER($AS$66:$AZ$66)="(BLANK)")+(UPPER($AS$66:$AZ$66)="EMPTY")+(UPPER($AS$66:$AZ$66)="(EMPTY)"))&gt;0,IFERROR(('Final Calculation Sheet'!$E$8)&amp;"","")="",ISNUMBER(SEARCH($AS$66:$AZ$66,IFERROR(('Final Calculation Sheet'!$E$8)&amp;"","")))))&gt;0),IF(COUNTIF($BI$66:$BP$66,2)=0,TRUE,SUMPRODUCT(($BI$66:$BP$66=2)*($AS$66:$AZ$66&lt;&gt;"")*IF(((UPPER($AS$66:$AZ$66)="BLANK")+(UPPER($AS$66:$AZ$66)="(BLANK)")+(UPPER($AS$66:$AZ$66)="EMPTY")+(UPPER($AS$66:$AZ$66)="(EMPTY)"))&gt;0,IFERROR(('Final Calculation Sheet'!$E$8)&amp;"","")="",ISNUMBER(SEARCH($AS$66:$AZ$66,IFERROR(('Final Calculation Sheet'!$E$8)&amp;"","")))))&gt;0),IF(COUNTIF($BI$66:$BP$66,3)=0,TRUE,SUMPRODUCT(($BI$66:$BP$66=3)*($AS$66:$AZ$66&lt;&gt;"")*IF(((UPPER($AS$66:$AZ$66)="BLANK")+(UPPER($AS$66:$AZ$66)="(BLANK)")+(UPPER($AS$66:$AZ$66)="EMPTY")+(UPPER($AS$66:$AZ$66)="(EMPTY)"))&gt;0,IFERROR(('Final Calculation Sheet'!$E$8)&amp;"","")="",ISNUMBER(SEARCH($AS$66:$AZ$66,IFERROR(('Final Calculation Sheet'!$E$8)&amp;"","")))))&gt;0),IF(COUNTIF($BI$66:$BP$66,4)=0,TRUE,SUMPRODUCT(($BI$66:$BP$66=4)*($AS$66:$AZ$66&lt;&gt;"")*IF(((UPPER($AS$66:$AZ$66)="BLANK")+(UPPER($AS$66:$AZ$66)="(BLANK)")+(UPPER($AS$66:$AZ$66)="EMPTY")+(UPPER($AS$66:$AZ$66)="(EMPTY)"))&gt;0,IFERROR(('Final Calculation Sheet'!$E$8)&amp;"","")="",ISNUMBER(SEARCH($AS$66:$AZ$66,IFERROR(('Final Calculation Sheet'!$E$8)&amp;"","")))))&gt;0),IF(COUNTIF($BI$66:$BP$66,5)=0,TRUE,SUMPRODUCT(($BI$66:$BP$66=5)*($AS$66:$AZ$66&lt;&gt;"")*IF(((UPPER($AS$66:$AZ$66)="BLANK")+(UPPER($AS$66:$AZ$66)="(BLANK)")+(UPPER($AS$66:$AZ$66)="EMPTY")+(UPPER($AS$66:$AZ$66)="(EMPTY)"))&gt;0,IFERROR(('Final Calculation Sheet'!$E$8)&amp;"","")="",ISNUMBER(SEARCH($AS$66:$AZ$66,IFERROR(('Final Calculation Sheet'!$E$8)&amp;"","")))))&gt;0),IF(COUNTIF($BI$66:$BP$66,6)=0,TRUE,SUMPRODUCT(($BI$66:$BP$66=6)*($AS$66:$AZ$66&lt;&gt;"")*IF(((UPPER($AS$66:$AZ$66)="BLANK")+(UPPER($AS$66:$AZ$66)="(BLANK)")+(UPPER($AS$66:$AZ$66)="EMPTY")+(UPPER($AS$66:$AZ$66)="(EMPTY)"))&gt;0,IFERROR(('Final Calculation Sheet'!$E$8)&amp;"","")="",ISNUMBER(SEARCH($AS$66:$AZ$66,IFERROR(('Final Calculation Sheet'!$E$8)&amp;"","")))))&gt;0),IF(COUNTIF($BI$66:$BP$66,7)=0,TRUE,SUMPRODUCT(($BI$66:$BP$66=7)*($AS$66:$AZ$66&lt;&gt;"")*IF(((UPPER($AS$66:$AZ$66)="BLANK")+(UPPER($AS$66:$AZ$66)="(BLANK)")+(UPPER($AS$66:$AZ$66)="EMPTY")+(UPPER($AS$66:$AZ$66)="(EMPTY)"))&gt;0,IFERROR(('Final Calculation Sheet'!$E$8)&amp;"","")="",ISNUMBER(SEARCH($AS$66:$AZ$66,IFERROR(('Final Calculation Sheet'!$E$8)&amp;"","")))))&gt;0),IF(COUNTIF($BI$66:$BP$66,8)=0,TRUE,SUMPRODUCT(($BI$66:$BP$66=8)*($AS$66:$AZ$66&lt;&gt;"")*IF(((UPPER($AS$66:$AZ$66)="BLANK")+(UPPER($AS$66:$AZ$66)="(BLANK)")+(UPPER($AS$66:$AZ$66)="EMPTY")+(UPPER($AS$66:$AZ$66)="(EMPTY)"))&gt;0,IFERROR(('Final Calculation Sheet'!$E$8)&amp;"","")="",ISNUMBER(SEARCH($AS$66:$AZ$66,IFERROR(('Final Calculation Sheet'!$E$8)&amp;"","")))))&gt;0))))</f>
        <v>1</v>
      </c>
      <c r="BT9">
        <f>IF($H$4="",1,--(AND(SUMPRODUCT(--($AS$67:$AZ$67&lt;&gt;""))&gt;0,IF(COUNTIF($BI$67:$BP$67,1)=0,TRUE,SUMPRODUCT(($BI$67:$BP$67=1)*($AS$67:$AZ$67&lt;&gt;"")*IF(((UPPER($AS$67:$AZ$67)="BLANK")+(UPPER($AS$67:$AZ$67)="(BLANK)")+(UPPER($AS$67:$AZ$67)="EMPTY")+(UPPER($AS$67:$AZ$67)="(EMPTY)"))&gt;0,IFERROR(('Final Calculation Sheet'!$C$8)&amp;"","")="",ISNUMBER(SEARCH($AS$67:$AZ$67,IFERROR(('Final Calculation Sheet'!$C$8)&amp;"","")))))&gt;0),IF(COUNTIF($BI$67:$BP$67,2)=0,TRUE,SUMPRODUCT(($BI$67:$BP$67=2)*($AS$67:$AZ$67&lt;&gt;"")*IF(((UPPER($AS$67:$AZ$67)="BLANK")+(UPPER($AS$67:$AZ$67)="(BLANK)")+(UPPER($AS$67:$AZ$67)="EMPTY")+(UPPER($AS$67:$AZ$67)="(EMPTY)"))&gt;0,IFERROR(('Final Calculation Sheet'!$C$8)&amp;"","")="",ISNUMBER(SEARCH($AS$67:$AZ$67,IFERROR(('Final Calculation Sheet'!$C$8)&amp;"","")))))&gt;0),IF(COUNTIF($BI$67:$BP$67,3)=0,TRUE,SUMPRODUCT(($BI$67:$BP$67=3)*($AS$67:$AZ$67&lt;&gt;"")*IF(((UPPER($AS$67:$AZ$67)="BLANK")+(UPPER($AS$67:$AZ$67)="(BLANK)")+(UPPER($AS$67:$AZ$67)="EMPTY")+(UPPER($AS$67:$AZ$67)="(EMPTY)"))&gt;0,IFERROR(('Final Calculation Sheet'!$C$8)&amp;"","")="",ISNUMBER(SEARCH($AS$67:$AZ$67,IFERROR(('Final Calculation Sheet'!$C$8)&amp;"","")))))&gt;0),IF(COUNTIF($BI$67:$BP$67,4)=0,TRUE,SUMPRODUCT(($BI$67:$BP$67=4)*($AS$67:$AZ$67&lt;&gt;"")*IF(((UPPER($AS$67:$AZ$67)="BLANK")+(UPPER($AS$67:$AZ$67)="(BLANK)")+(UPPER($AS$67:$AZ$67)="EMPTY")+(UPPER($AS$67:$AZ$67)="(EMPTY)"))&gt;0,IFERROR(('Final Calculation Sheet'!$C$8)&amp;"","")="",ISNUMBER(SEARCH($AS$67:$AZ$67,IFERROR(('Final Calculation Sheet'!$C$8)&amp;"","")))))&gt;0),IF(COUNTIF($BI$67:$BP$67,5)=0,TRUE,SUMPRODUCT(($BI$67:$BP$67=5)*($AS$67:$AZ$67&lt;&gt;"")*IF(((UPPER($AS$67:$AZ$67)="BLANK")+(UPPER($AS$67:$AZ$67)="(BLANK)")+(UPPER($AS$67:$AZ$67)="EMPTY")+(UPPER($AS$67:$AZ$67)="(EMPTY)"))&gt;0,IFERROR(('Final Calculation Sheet'!$C$8)&amp;"","")="",ISNUMBER(SEARCH($AS$67:$AZ$67,IFERROR(('Final Calculation Sheet'!$C$8)&amp;"","")))))&gt;0),IF(COUNTIF($BI$67:$BP$67,6)=0,TRUE,SUMPRODUCT(($BI$67:$BP$67=6)*($AS$67:$AZ$67&lt;&gt;"")*IF(((UPPER($AS$67:$AZ$67)="BLANK")+(UPPER($AS$67:$AZ$67)="(BLANK)")+(UPPER($AS$67:$AZ$67)="EMPTY")+(UPPER($AS$67:$AZ$67)="(EMPTY)"))&gt;0,IFERROR(('Final Calculation Sheet'!$C$8)&amp;"","")="",ISNUMBER(SEARCH($AS$67:$AZ$67,IFERROR(('Final Calculation Sheet'!$C$8)&amp;"","")))))&gt;0),IF(COUNTIF($BI$67:$BP$67,7)=0,TRUE,SUMPRODUCT(($BI$67:$BP$67=7)*($AS$67:$AZ$67&lt;&gt;"")*IF(((UPPER($AS$67:$AZ$67)="BLANK")+(UPPER($AS$67:$AZ$67)="(BLANK)")+(UPPER($AS$67:$AZ$67)="EMPTY")+(UPPER($AS$67:$AZ$67)="(EMPTY)"))&gt;0,IFERROR(('Final Calculation Sheet'!$C$8)&amp;"","")="",ISNUMBER(SEARCH($AS$67:$AZ$67,IFERROR(('Final Calculation Sheet'!$C$8)&amp;"","")))))&gt;0),IF(COUNTIF($BI$67:$BP$67,8)=0,TRUE,SUMPRODUCT(($BI$67:$BP$67=8)*($AS$67:$AZ$67&lt;&gt;"")*IF(((UPPER($AS$67:$AZ$67)="BLANK")+(UPPER($AS$67:$AZ$67)="(BLANK)")+(UPPER($AS$67:$AZ$67)="EMPTY")+(UPPER($AS$67:$AZ$67)="(EMPTY)"))&gt;0,IFERROR(('Final Calculation Sheet'!$C$8)&amp;"","")="",ISNUMBER(SEARCH($AS$67:$AZ$67,IFERROR(('Final Calculation Sheet'!$C$8)&amp;"","")))))&gt;0))))</f>
        <v>1</v>
      </c>
      <c r="BU9">
        <f>IF($I$4="",1,--(AND(SUMPRODUCT(--($AS$68:$AZ$68&lt;&gt;""))&gt;0,IF(COUNTIF($BI$68:$BP$68,1)=0,TRUE,SUMPRODUCT(($BI$68:$BP$68=1)*($AS$68:$AZ$68&lt;&gt;"")*IF(((UPPER($AS$68:$AZ$68)="BLANK")+(UPPER($AS$68:$AZ$68)="(BLANK)")+(UPPER($AS$68:$AZ$68)="EMPTY")+(UPPER($AS$68:$AZ$68)="(EMPTY)"))&gt;0,IFERROR(('Final Calculation Sheet'!$H$8)&amp;"","")="",ISNUMBER(SEARCH($AS$68:$AZ$68,IFERROR(('Final Calculation Sheet'!$H$8)&amp;"","")))))&gt;0),IF(COUNTIF($BI$68:$BP$68,2)=0,TRUE,SUMPRODUCT(($BI$68:$BP$68=2)*($AS$68:$AZ$68&lt;&gt;"")*IF(((UPPER($AS$68:$AZ$68)="BLANK")+(UPPER($AS$68:$AZ$68)="(BLANK)")+(UPPER($AS$68:$AZ$68)="EMPTY")+(UPPER($AS$68:$AZ$68)="(EMPTY)"))&gt;0,IFERROR(('Final Calculation Sheet'!$H$8)&amp;"","")="",ISNUMBER(SEARCH($AS$68:$AZ$68,IFERROR(('Final Calculation Sheet'!$H$8)&amp;"","")))))&gt;0),IF(COUNTIF($BI$68:$BP$68,3)=0,TRUE,SUMPRODUCT(($BI$68:$BP$68=3)*($AS$68:$AZ$68&lt;&gt;"")*IF(((UPPER($AS$68:$AZ$68)="BLANK")+(UPPER($AS$68:$AZ$68)="(BLANK)")+(UPPER($AS$68:$AZ$68)="EMPTY")+(UPPER($AS$68:$AZ$68)="(EMPTY)"))&gt;0,IFERROR(('Final Calculation Sheet'!$H$8)&amp;"","")="",ISNUMBER(SEARCH($AS$68:$AZ$68,IFERROR(('Final Calculation Sheet'!$H$8)&amp;"","")))))&gt;0),IF(COUNTIF($BI$68:$BP$68,4)=0,TRUE,SUMPRODUCT(($BI$68:$BP$68=4)*($AS$68:$AZ$68&lt;&gt;"")*IF(((UPPER($AS$68:$AZ$68)="BLANK")+(UPPER($AS$68:$AZ$68)="(BLANK)")+(UPPER($AS$68:$AZ$68)="EMPTY")+(UPPER($AS$68:$AZ$68)="(EMPTY)"))&gt;0,IFERROR(('Final Calculation Sheet'!$H$8)&amp;"","")="",ISNUMBER(SEARCH($AS$68:$AZ$68,IFERROR(('Final Calculation Sheet'!$H$8)&amp;"","")))))&gt;0),IF(COUNTIF($BI$68:$BP$68,5)=0,TRUE,SUMPRODUCT(($BI$68:$BP$68=5)*($AS$68:$AZ$68&lt;&gt;"")*IF(((UPPER($AS$68:$AZ$68)="BLANK")+(UPPER($AS$68:$AZ$68)="(BLANK)")+(UPPER($AS$68:$AZ$68)="EMPTY")+(UPPER($AS$68:$AZ$68)="(EMPTY)"))&gt;0,IFERROR(('Final Calculation Sheet'!$H$8)&amp;"","")="",ISNUMBER(SEARCH($AS$68:$AZ$68,IFERROR(('Final Calculation Sheet'!$H$8)&amp;"","")))))&gt;0),IF(COUNTIF($BI$68:$BP$68,6)=0,TRUE,SUMPRODUCT(($BI$68:$BP$68=6)*($AS$68:$AZ$68&lt;&gt;"")*IF(((UPPER($AS$68:$AZ$68)="BLANK")+(UPPER($AS$68:$AZ$68)="(BLANK)")+(UPPER($AS$68:$AZ$68)="EMPTY")+(UPPER($AS$68:$AZ$68)="(EMPTY)"))&gt;0,IFERROR(('Final Calculation Sheet'!$H$8)&amp;"","")="",ISNUMBER(SEARCH($AS$68:$AZ$68,IFERROR(('Final Calculation Sheet'!$H$8)&amp;"","")))))&gt;0),IF(COUNTIF($BI$68:$BP$68,7)=0,TRUE,SUMPRODUCT(($BI$68:$BP$68=7)*($AS$68:$AZ$68&lt;&gt;"")*IF(((UPPER($AS$68:$AZ$68)="BLANK")+(UPPER($AS$68:$AZ$68)="(BLANK)")+(UPPER($AS$68:$AZ$68)="EMPTY")+(UPPER($AS$68:$AZ$68)="(EMPTY)"))&gt;0,IFERROR(('Final Calculation Sheet'!$H$8)&amp;"","")="",ISNUMBER(SEARCH($AS$68:$AZ$68,IFERROR(('Final Calculation Sheet'!$H$8)&amp;"","")))))&gt;0),IF(COUNTIF($BI$68:$BP$68,8)=0,TRUE,SUMPRODUCT(($BI$68:$BP$68=8)*($AS$68:$AZ$68&lt;&gt;"")*IF(((UPPER($AS$68:$AZ$68)="BLANK")+(UPPER($AS$68:$AZ$68)="(BLANK)")+(UPPER($AS$68:$AZ$68)="EMPTY")+(UPPER($AS$68:$AZ$68)="(EMPTY)"))&gt;0,IFERROR(('Final Calculation Sheet'!$H$8)&amp;"","")="",ISNUMBER(SEARCH($AS$68:$AZ$68,IFERROR(('Final Calculation Sheet'!$H$8)&amp;"","")))))&gt;0))))</f>
        <v>1</v>
      </c>
      <c r="BV9">
        <f>IF($J$4="",1,--(AND(SUMPRODUCT(--($AS$69:$AZ$69&lt;&gt;""))&gt;0,IF(COUNTIF($BI$69:$BP$69,1)=0,TRUE,SUMPRODUCT(($BI$69:$BP$69=1)*($AS$69:$AZ$69&lt;&gt;"")*IF(((UPPER($AS$69:$AZ$69)="BLANK")+(UPPER($AS$69:$AZ$69)="(BLANK)")+(UPPER($AS$69:$AZ$69)="EMPTY")+(UPPER($AS$69:$AZ$69)="(EMPTY)"))&gt;0,IFERROR(('Final Calculation Sheet'!$I$8)&amp;"","")="",ISNUMBER(SEARCH($AS$69:$AZ$69,IFERROR(('Final Calculation Sheet'!$I$8)&amp;"","")))))&gt;0),IF(COUNTIF($BI$69:$BP$69,2)=0,TRUE,SUMPRODUCT(($BI$69:$BP$69=2)*($AS$69:$AZ$69&lt;&gt;"")*IF(((UPPER($AS$69:$AZ$69)="BLANK")+(UPPER($AS$69:$AZ$69)="(BLANK)")+(UPPER($AS$69:$AZ$69)="EMPTY")+(UPPER($AS$69:$AZ$69)="(EMPTY)"))&gt;0,IFERROR(('Final Calculation Sheet'!$I$8)&amp;"","")="",ISNUMBER(SEARCH($AS$69:$AZ$69,IFERROR(('Final Calculation Sheet'!$I$8)&amp;"","")))))&gt;0),IF(COUNTIF($BI$69:$BP$69,3)=0,TRUE,SUMPRODUCT(($BI$69:$BP$69=3)*($AS$69:$AZ$69&lt;&gt;"")*IF(((UPPER($AS$69:$AZ$69)="BLANK")+(UPPER($AS$69:$AZ$69)="(BLANK)")+(UPPER($AS$69:$AZ$69)="EMPTY")+(UPPER($AS$69:$AZ$69)="(EMPTY)"))&gt;0,IFERROR(('Final Calculation Sheet'!$I$8)&amp;"","")="",ISNUMBER(SEARCH($AS$69:$AZ$69,IFERROR(('Final Calculation Sheet'!$I$8)&amp;"","")))))&gt;0),IF(COUNTIF($BI$69:$BP$69,4)=0,TRUE,SUMPRODUCT(($BI$69:$BP$69=4)*($AS$69:$AZ$69&lt;&gt;"")*IF(((UPPER($AS$69:$AZ$69)="BLANK")+(UPPER($AS$69:$AZ$69)="(BLANK)")+(UPPER($AS$69:$AZ$69)="EMPTY")+(UPPER($AS$69:$AZ$69)="(EMPTY)"))&gt;0,IFERROR(('Final Calculation Sheet'!$I$8)&amp;"","")="",ISNUMBER(SEARCH($AS$69:$AZ$69,IFERROR(('Final Calculation Sheet'!$I$8)&amp;"","")))))&gt;0),IF(COUNTIF($BI$69:$BP$69,5)=0,TRUE,SUMPRODUCT(($BI$69:$BP$69=5)*($AS$69:$AZ$69&lt;&gt;"")*IF(((UPPER($AS$69:$AZ$69)="BLANK")+(UPPER($AS$69:$AZ$69)="(BLANK)")+(UPPER($AS$69:$AZ$69)="EMPTY")+(UPPER($AS$69:$AZ$69)="(EMPTY)"))&gt;0,IFERROR(('Final Calculation Sheet'!$I$8)&amp;"","")="",ISNUMBER(SEARCH($AS$69:$AZ$69,IFERROR(('Final Calculation Sheet'!$I$8)&amp;"","")))))&gt;0),IF(COUNTIF($BI$69:$BP$69,6)=0,TRUE,SUMPRODUCT(($BI$69:$BP$69=6)*($AS$69:$AZ$69&lt;&gt;"")*IF(((UPPER($AS$69:$AZ$69)="BLANK")+(UPPER($AS$69:$AZ$69)="(BLANK)")+(UPPER($AS$69:$AZ$69)="EMPTY")+(UPPER($AS$69:$AZ$69)="(EMPTY)"))&gt;0,IFERROR(('Final Calculation Sheet'!$I$8)&amp;"","")="",ISNUMBER(SEARCH($AS$69:$AZ$69,IFERROR(('Final Calculation Sheet'!$I$8)&amp;"","")))))&gt;0),IF(COUNTIF($BI$69:$BP$69,7)=0,TRUE,SUMPRODUCT(($BI$69:$BP$69=7)*($AS$69:$AZ$69&lt;&gt;"")*IF(((UPPER($AS$69:$AZ$69)="BLANK")+(UPPER($AS$69:$AZ$69)="(BLANK)")+(UPPER($AS$69:$AZ$69)="EMPTY")+(UPPER($AS$69:$AZ$69)="(EMPTY)"))&gt;0,IFERROR(('Final Calculation Sheet'!$I$8)&amp;"","")="",ISNUMBER(SEARCH($AS$69:$AZ$69,IFERROR(('Final Calculation Sheet'!$I$8)&amp;"","")))))&gt;0),IF(COUNTIF($BI$69:$BP$69,8)=0,TRUE,SUMPRODUCT(($BI$69:$BP$69=8)*($AS$69:$AZ$69&lt;&gt;"")*IF(((UPPER($AS$69:$AZ$69)="BLANK")+(UPPER($AS$69:$AZ$69)="(BLANK)")+(UPPER($AS$69:$AZ$69)="EMPTY")+(UPPER($AS$69:$AZ$69)="(EMPTY)"))&gt;0,IFERROR(('Final Calculation Sheet'!$I$8)&amp;"","")="",ISNUMBER(SEARCH($AS$69:$AZ$69,IFERROR(('Final Calculation Sheet'!$I$8)&amp;"","")))))&gt;0))))</f>
        <v>1</v>
      </c>
      <c r="BW9">
        <f>IF($K$4="",1,--(AND(SUMPRODUCT(--($AS$70:$AZ$70&lt;&gt;""))&gt;0,IF(COUNTIF($BI$70:$BP$70,1)=0,TRUE,SUMPRODUCT(($BI$70:$BP$70=1)*($AS$70:$AZ$70&lt;&gt;"")*IF(((UPPER($AS$70:$AZ$70)="BLANK")+(UPPER($AS$70:$AZ$70)="(BLANK)")+(UPPER($AS$70:$AZ$70)="EMPTY")+(UPPER($AS$70:$AZ$70)="(EMPTY)"))&gt;0,IFERROR(('Final Calculation Sheet'!$J$8)&amp;"","")="",ISNUMBER(SEARCH($AS$70:$AZ$70,IFERROR(('Final Calculation Sheet'!$J$8)&amp;"","")))))&gt;0),IF(COUNTIF($BI$70:$BP$70,2)=0,TRUE,SUMPRODUCT(($BI$70:$BP$70=2)*($AS$70:$AZ$70&lt;&gt;"")*IF(((UPPER($AS$70:$AZ$70)="BLANK")+(UPPER($AS$70:$AZ$70)="(BLANK)")+(UPPER($AS$70:$AZ$70)="EMPTY")+(UPPER($AS$70:$AZ$70)="(EMPTY)"))&gt;0,IFERROR(('Final Calculation Sheet'!$J$8)&amp;"","")="",ISNUMBER(SEARCH($AS$70:$AZ$70,IFERROR(('Final Calculation Sheet'!$J$8)&amp;"","")))))&gt;0),IF(COUNTIF($BI$70:$BP$70,3)=0,TRUE,SUMPRODUCT(($BI$70:$BP$70=3)*($AS$70:$AZ$70&lt;&gt;"")*IF(((UPPER($AS$70:$AZ$70)="BLANK")+(UPPER($AS$70:$AZ$70)="(BLANK)")+(UPPER($AS$70:$AZ$70)="EMPTY")+(UPPER($AS$70:$AZ$70)="(EMPTY)"))&gt;0,IFERROR(('Final Calculation Sheet'!$J$8)&amp;"","")="",ISNUMBER(SEARCH($AS$70:$AZ$70,IFERROR(('Final Calculation Sheet'!$J$8)&amp;"","")))))&gt;0),IF(COUNTIF($BI$70:$BP$70,4)=0,TRUE,SUMPRODUCT(($BI$70:$BP$70=4)*($AS$70:$AZ$70&lt;&gt;"")*IF(((UPPER($AS$70:$AZ$70)="BLANK")+(UPPER($AS$70:$AZ$70)="(BLANK)")+(UPPER($AS$70:$AZ$70)="EMPTY")+(UPPER($AS$70:$AZ$70)="(EMPTY)"))&gt;0,IFERROR(('Final Calculation Sheet'!$J$8)&amp;"","")="",ISNUMBER(SEARCH($AS$70:$AZ$70,IFERROR(('Final Calculation Sheet'!$J$8)&amp;"","")))))&gt;0),IF(COUNTIF($BI$70:$BP$70,5)=0,TRUE,SUMPRODUCT(($BI$70:$BP$70=5)*($AS$70:$AZ$70&lt;&gt;"")*IF(((UPPER($AS$70:$AZ$70)="BLANK")+(UPPER($AS$70:$AZ$70)="(BLANK)")+(UPPER($AS$70:$AZ$70)="EMPTY")+(UPPER($AS$70:$AZ$70)="(EMPTY)"))&gt;0,IFERROR(('Final Calculation Sheet'!$J$8)&amp;"","")="",ISNUMBER(SEARCH($AS$70:$AZ$70,IFERROR(('Final Calculation Sheet'!$J$8)&amp;"","")))))&gt;0),IF(COUNTIF($BI$70:$BP$70,6)=0,TRUE,SUMPRODUCT(($BI$70:$BP$70=6)*($AS$70:$AZ$70&lt;&gt;"")*IF(((UPPER($AS$70:$AZ$70)="BLANK")+(UPPER($AS$70:$AZ$70)="(BLANK)")+(UPPER($AS$70:$AZ$70)="EMPTY")+(UPPER($AS$70:$AZ$70)="(EMPTY)"))&gt;0,IFERROR(('Final Calculation Sheet'!$J$8)&amp;"","")="",ISNUMBER(SEARCH($AS$70:$AZ$70,IFERROR(('Final Calculation Sheet'!$J$8)&amp;"","")))))&gt;0),IF(COUNTIF($BI$70:$BP$70,7)=0,TRUE,SUMPRODUCT(($BI$70:$BP$70=7)*($AS$70:$AZ$70&lt;&gt;"")*IF(((UPPER($AS$70:$AZ$70)="BLANK")+(UPPER($AS$70:$AZ$70)="(BLANK)")+(UPPER($AS$70:$AZ$70)="EMPTY")+(UPPER($AS$70:$AZ$70)="(EMPTY)"))&gt;0,IFERROR(('Final Calculation Sheet'!$J$8)&amp;"","")="",ISNUMBER(SEARCH($AS$70:$AZ$70,IFERROR(('Final Calculation Sheet'!$J$8)&amp;"","")))))&gt;0),IF(COUNTIF($BI$70:$BP$70,8)=0,TRUE,SUMPRODUCT(($BI$70:$BP$70=8)*($AS$70:$AZ$70&lt;&gt;"")*IF(((UPPER($AS$70:$AZ$70)="BLANK")+(UPPER($AS$70:$AZ$70)="(BLANK)")+(UPPER($AS$70:$AZ$70)="EMPTY")+(UPPER($AS$70:$AZ$70)="(EMPTY)"))&gt;0,IFERROR(('Final Calculation Sheet'!$J$8)&amp;"","")="",ISNUMBER(SEARCH($AS$70:$AZ$70,IFERROR(('Final Calculation Sheet'!$J$8)&amp;"","")))))&gt;0))))</f>
        <v>1</v>
      </c>
      <c r="BX9">
        <f>IF($L$4="",1,--(AND(SUMPRODUCT(--($AS$71:$AZ$71&lt;&gt;""))&gt;0,IF(COUNTIF($BI$71:$BP$71,1)=0,TRUE,SUMPRODUCT(($BI$71:$BP$71=1)*($AS$71:$AZ$71&lt;&gt;"")*IF(((UPPER($AS$71:$AZ$71)="BLANK")+(UPPER($AS$71:$AZ$71)="(BLANK)")+(UPPER($AS$71:$AZ$71)="EMPTY")+(UPPER($AS$71:$AZ$71)="(EMPTY)"))&gt;0,IFERROR(('Final Calculation Sheet'!$K$8)&amp;"","")="",ISNUMBER(SEARCH($AS$71:$AZ$71,IFERROR(('Final Calculation Sheet'!$K$8)&amp;"","")))))&gt;0),IF(COUNTIF($BI$71:$BP$71,2)=0,TRUE,SUMPRODUCT(($BI$71:$BP$71=2)*($AS$71:$AZ$71&lt;&gt;"")*IF(((UPPER($AS$71:$AZ$71)="BLANK")+(UPPER($AS$71:$AZ$71)="(BLANK)")+(UPPER($AS$71:$AZ$71)="EMPTY")+(UPPER($AS$71:$AZ$71)="(EMPTY)"))&gt;0,IFERROR(('Final Calculation Sheet'!$K$8)&amp;"","")="",ISNUMBER(SEARCH($AS$71:$AZ$71,IFERROR(('Final Calculation Sheet'!$K$8)&amp;"","")))))&gt;0),IF(COUNTIF($BI$71:$BP$71,3)=0,TRUE,SUMPRODUCT(($BI$71:$BP$71=3)*($AS$71:$AZ$71&lt;&gt;"")*IF(((UPPER($AS$71:$AZ$71)="BLANK")+(UPPER($AS$71:$AZ$71)="(BLANK)")+(UPPER($AS$71:$AZ$71)="EMPTY")+(UPPER($AS$71:$AZ$71)="(EMPTY)"))&gt;0,IFERROR(('Final Calculation Sheet'!$K$8)&amp;"","")="",ISNUMBER(SEARCH($AS$71:$AZ$71,IFERROR(('Final Calculation Sheet'!$K$8)&amp;"","")))))&gt;0),IF(COUNTIF($BI$71:$BP$71,4)=0,TRUE,SUMPRODUCT(($BI$71:$BP$71=4)*($AS$71:$AZ$71&lt;&gt;"")*IF(((UPPER($AS$71:$AZ$71)="BLANK")+(UPPER($AS$71:$AZ$71)="(BLANK)")+(UPPER($AS$71:$AZ$71)="EMPTY")+(UPPER($AS$71:$AZ$71)="(EMPTY)"))&gt;0,IFERROR(('Final Calculation Sheet'!$K$8)&amp;"","")="",ISNUMBER(SEARCH($AS$71:$AZ$71,IFERROR(('Final Calculation Sheet'!$K$8)&amp;"","")))))&gt;0),IF(COUNTIF($BI$71:$BP$71,5)=0,TRUE,SUMPRODUCT(($BI$71:$BP$71=5)*($AS$71:$AZ$71&lt;&gt;"")*IF(((UPPER($AS$71:$AZ$71)="BLANK")+(UPPER($AS$71:$AZ$71)="(BLANK)")+(UPPER($AS$71:$AZ$71)="EMPTY")+(UPPER($AS$71:$AZ$71)="(EMPTY)"))&gt;0,IFERROR(('Final Calculation Sheet'!$K$8)&amp;"","")="",ISNUMBER(SEARCH($AS$71:$AZ$71,IFERROR(('Final Calculation Sheet'!$K$8)&amp;"","")))))&gt;0),IF(COUNTIF($BI$71:$BP$71,6)=0,TRUE,SUMPRODUCT(($BI$71:$BP$71=6)*($AS$71:$AZ$71&lt;&gt;"")*IF(((UPPER($AS$71:$AZ$71)="BLANK")+(UPPER($AS$71:$AZ$71)="(BLANK)")+(UPPER($AS$71:$AZ$71)="EMPTY")+(UPPER($AS$71:$AZ$71)="(EMPTY)"))&gt;0,IFERROR(('Final Calculation Sheet'!$K$8)&amp;"","")="",ISNUMBER(SEARCH($AS$71:$AZ$71,IFERROR(('Final Calculation Sheet'!$K$8)&amp;"","")))))&gt;0),IF(COUNTIF($BI$71:$BP$71,7)=0,TRUE,SUMPRODUCT(($BI$71:$BP$71=7)*($AS$71:$AZ$71&lt;&gt;"")*IF(((UPPER($AS$71:$AZ$71)="BLANK")+(UPPER($AS$71:$AZ$71)="(BLANK)")+(UPPER($AS$71:$AZ$71)="EMPTY")+(UPPER($AS$71:$AZ$71)="(EMPTY)"))&gt;0,IFERROR(('Final Calculation Sheet'!$K$8)&amp;"","")="",ISNUMBER(SEARCH($AS$71:$AZ$71,IFERROR(('Final Calculation Sheet'!$K$8)&amp;"","")))))&gt;0),IF(COUNTIF($BI$71:$BP$71,8)=0,TRUE,SUMPRODUCT(($BI$71:$BP$71=8)*($AS$71:$AZ$71&lt;&gt;"")*IF(((UPPER($AS$71:$AZ$71)="BLANK")+(UPPER($AS$71:$AZ$71)="(BLANK)")+(UPPER($AS$71:$AZ$71)="EMPTY")+(UPPER($AS$71:$AZ$71)="(EMPTY)"))&gt;0,IFERROR(('Final Calculation Sheet'!$K$8)&amp;"","")="",ISNUMBER(SEARCH($AS$71:$AZ$71,IFERROR(('Final Calculation Sheet'!$K$8)&amp;"","")))))&gt;0))))</f>
        <v>1</v>
      </c>
      <c r="BY9">
        <f>IF($M$4="",1,--(AND(SUMPRODUCT(--($AS$72:$AZ$72&lt;&gt;""))&gt;0,IF(COUNTIF($BI$72:$BP$72,1)=0,TRUE,SUMPRODUCT(($BI$72:$BP$72=1)*($AS$72:$AZ$72&lt;&gt;"")*IF(((UPPER($AS$72:$AZ$72)="BLANK")+(UPPER($AS$72:$AZ$72)="(BLANK)")+(UPPER($AS$72:$AZ$72)="EMPTY")+(UPPER($AS$72:$AZ$72)="(EMPTY)"))&gt;0,IFERROR(('Final Calculation Sheet'!$L$8)&amp;"","")="",ISNUMBER(SEARCH($AS$72:$AZ$72,IFERROR(('Final Calculation Sheet'!$L$8)&amp;"","")))))&gt;0),IF(COUNTIF($BI$72:$BP$72,2)=0,TRUE,SUMPRODUCT(($BI$72:$BP$72=2)*($AS$72:$AZ$72&lt;&gt;"")*IF(((UPPER($AS$72:$AZ$72)="BLANK")+(UPPER($AS$72:$AZ$72)="(BLANK)")+(UPPER($AS$72:$AZ$72)="EMPTY")+(UPPER($AS$72:$AZ$72)="(EMPTY)"))&gt;0,IFERROR(('Final Calculation Sheet'!$L$8)&amp;"","")="",ISNUMBER(SEARCH($AS$72:$AZ$72,IFERROR(('Final Calculation Sheet'!$L$8)&amp;"","")))))&gt;0),IF(COUNTIF($BI$72:$BP$72,3)=0,TRUE,SUMPRODUCT(($BI$72:$BP$72=3)*($AS$72:$AZ$72&lt;&gt;"")*IF(((UPPER($AS$72:$AZ$72)="BLANK")+(UPPER($AS$72:$AZ$72)="(BLANK)")+(UPPER($AS$72:$AZ$72)="EMPTY")+(UPPER($AS$72:$AZ$72)="(EMPTY)"))&gt;0,IFERROR(('Final Calculation Sheet'!$L$8)&amp;"","")="",ISNUMBER(SEARCH($AS$72:$AZ$72,IFERROR(('Final Calculation Sheet'!$L$8)&amp;"","")))))&gt;0),IF(COUNTIF($BI$72:$BP$72,4)=0,TRUE,SUMPRODUCT(($BI$72:$BP$72=4)*($AS$72:$AZ$72&lt;&gt;"")*IF(((UPPER($AS$72:$AZ$72)="BLANK")+(UPPER($AS$72:$AZ$72)="(BLANK)")+(UPPER($AS$72:$AZ$72)="EMPTY")+(UPPER($AS$72:$AZ$72)="(EMPTY)"))&gt;0,IFERROR(('Final Calculation Sheet'!$L$8)&amp;"","")="",ISNUMBER(SEARCH($AS$72:$AZ$72,IFERROR(('Final Calculation Sheet'!$L$8)&amp;"","")))))&gt;0),IF(COUNTIF($BI$72:$BP$72,5)=0,TRUE,SUMPRODUCT(($BI$72:$BP$72=5)*($AS$72:$AZ$72&lt;&gt;"")*IF(((UPPER($AS$72:$AZ$72)="BLANK")+(UPPER($AS$72:$AZ$72)="(BLANK)")+(UPPER($AS$72:$AZ$72)="EMPTY")+(UPPER($AS$72:$AZ$72)="(EMPTY)"))&gt;0,IFERROR(('Final Calculation Sheet'!$L$8)&amp;"","")="",ISNUMBER(SEARCH($AS$72:$AZ$72,IFERROR(('Final Calculation Sheet'!$L$8)&amp;"","")))))&gt;0),IF(COUNTIF($BI$72:$BP$72,6)=0,TRUE,SUMPRODUCT(($BI$72:$BP$72=6)*($AS$72:$AZ$72&lt;&gt;"")*IF(((UPPER($AS$72:$AZ$72)="BLANK")+(UPPER($AS$72:$AZ$72)="(BLANK)")+(UPPER($AS$72:$AZ$72)="EMPTY")+(UPPER($AS$72:$AZ$72)="(EMPTY)"))&gt;0,IFERROR(('Final Calculation Sheet'!$L$8)&amp;"","")="",ISNUMBER(SEARCH($AS$72:$AZ$72,IFERROR(('Final Calculation Sheet'!$L$8)&amp;"","")))))&gt;0),IF(COUNTIF($BI$72:$BP$72,7)=0,TRUE,SUMPRODUCT(($BI$72:$BP$72=7)*($AS$72:$AZ$72&lt;&gt;"")*IF(((UPPER($AS$72:$AZ$72)="BLANK")+(UPPER($AS$72:$AZ$72)="(BLANK)")+(UPPER($AS$72:$AZ$72)="EMPTY")+(UPPER($AS$72:$AZ$72)="(EMPTY)"))&gt;0,IFERROR(('Final Calculation Sheet'!$L$8)&amp;"","")="",ISNUMBER(SEARCH($AS$72:$AZ$72,IFERROR(('Final Calculation Sheet'!$L$8)&amp;"","")))))&gt;0),IF(COUNTIF($BI$72:$BP$72,8)=0,TRUE,SUMPRODUCT(($BI$72:$BP$72=8)*($AS$72:$AZ$72&lt;&gt;"")*IF(((UPPER($AS$72:$AZ$72)="BLANK")+(UPPER($AS$72:$AZ$72)="(BLANK)")+(UPPER($AS$72:$AZ$72)="EMPTY")+(UPPER($AS$72:$AZ$72)="(EMPTY)"))&gt;0,IFERROR(('Final Calculation Sheet'!$L$8)&amp;"","")="",ISNUMBER(SEARCH($AS$72:$AZ$72,IFERROR(('Final Calculation Sheet'!$L$8)&amp;"","")))))&gt;0))))</f>
        <v>1</v>
      </c>
      <c r="BZ9">
        <f>IF($N$4="",1,--(AND(SUMPRODUCT(--($AS$73:$AZ$73&lt;&gt;""))&gt;0,IF(COUNTIF($BI$73:$BP$73,1)=0,TRUE,SUMPRODUCT(($BI$73:$BP$73=1)*($AS$73:$AZ$73&lt;&gt;"")*IF(((UPPER($AS$73:$AZ$73)="BLANK")+(UPPER($AS$73:$AZ$73)="(BLANK)")+(UPPER($AS$73:$AZ$73)="EMPTY")+(UPPER($AS$73:$AZ$73)="(EMPTY)"))&gt;0,IFERROR(('Final Calculation Sheet'!$M$8)&amp;"","")="",ISNUMBER(SEARCH($AS$73:$AZ$73,IFERROR(('Final Calculation Sheet'!$M$8)&amp;"","")))))&gt;0),IF(COUNTIF($BI$73:$BP$73,2)=0,TRUE,SUMPRODUCT(($BI$73:$BP$73=2)*($AS$73:$AZ$73&lt;&gt;"")*IF(((UPPER($AS$73:$AZ$73)="BLANK")+(UPPER($AS$73:$AZ$73)="(BLANK)")+(UPPER($AS$73:$AZ$73)="EMPTY")+(UPPER($AS$73:$AZ$73)="(EMPTY)"))&gt;0,IFERROR(('Final Calculation Sheet'!$M$8)&amp;"","")="",ISNUMBER(SEARCH($AS$73:$AZ$73,IFERROR(('Final Calculation Sheet'!$M$8)&amp;"","")))))&gt;0),IF(COUNTIF($BI$73:$BP$73,3)=0,TRUE,SUMPRODUCT(($BI$73:$BP$73=3)*($AS$73:$AZ$73&lt;&gt;"")*IF(((UPPER($AS$73:$AZ$73)="BLANK")+(UPPER($AS$73:$AZ$73)="(BLANK)")+(UPPER($AS$73:$AZ$73)="EMPTY")+(UPPER($AS$73:$AZ$73)="(EMPTY)"))&gt;0,IFERROR(('Final Calculation Sheet'!$M$8)&amp;"","")="",ISNUMBER(SEARCH($AS$73:$AZ$73,IFERROR(('Final Calculation Sheet'!$M$8)&amp;"","")))))&gt;0),IF(COUNTIF($BI$73:$BP$73,4)=0,TRUE,SUMPRODUCT(($BI$73:$BP$73=4)*($AS$73:$AZ$73&lt;&gt;"")*IF(((UPPER($AS$73:$AZ$73)="BLANK")+(UPPER($AS$73:$AZ$73)="(BLANK)")+(UPPER($AS$73:$AZ$73)="EMPTY")+(UPPER($AS$73:$AZ$73)="(EMPTY)"))&gt;0,IFERROR(('Final Calculation Sheet'!$M$8)&amp;"","")="",ISNUMBER(SEARCH($AS$73:$AZ$73,IFERROR(('Final Calculation Sheet'!$M$8)&amp;"","")))))&gt;0),IF(COUNTIF($BI$73:$BP$73,5)=0,TRUE,SUMPRODUCT(($BI$73:$BP$73=5)*($AS$73:$AZ$73&lt;&gt;"")*IF(((UPPER($AS$73:$AZ$73)="BLANK")+(UPPER($AS$73:$AZ$73)="(BLANK)")+(UPPER($AS$73:$AZ$73)="EMPTY")+(UPPER($AS$73:$AZ$73)="(EMPTY)"))&gt;0,IFERROR(('Final Calculation Sheet'!$M$8)&amp;"","")="",ISNUMBER(SEARCH($AS$73:$AZ$73,IFERROR(('Final Calculation Sheet'!$M$8)&amp;"","")))))&gt;0),IF(COUNTIF($BI$73:$BP$73,6)=0,TRUE,SUMPRODUCT(($BI$73:$BP$73=6)*($AS$73:$AZ$73&lt;&gt;"")*IF(((UPPER($AS$73:$AZ$73)="BLANK")+(UPPER($AS$73:$AZ$73)="(BLANK)")+(UPPER($AS$73:$AZ$73)="EMPTY")+(UPPER($AS$73:$AZ$73)="(EMPTY)"))&gt;0,IFERROR(('Final Calculation Sheet'!$M$8)&amp;"","")="",ISNUMBER(SEARCH($AS$73:$AZ$73,IFERROR(('Final Calculation Sheet'!$M$8)&amp;"","")))))&gt;0),IF(COUNTIF($BI$73:$BP$73,7)=0,TRUE,SUMPRODUCT(($BI$73:$BP$73=7)*($AS$73:$AZ$73&lt;&gt;"")*IF(((UPPER($AS$73:$AZ$73)="BLANK")+(UPPER($AS$73:$AZ$73)="(BLANK)")+(UPPER($AS$73:$AZ$73)="EMPTY")+(UPPER($AS$73:$AZ$73)="(EMPTY)"))&gt;0,IFERROR(('Final Calculation Sheet'!$M$8)&amp;"","")="",ISNUMBER(SEARCH($AS$73:$AZ$73,IFERROR(('Final Calculation Sheet'!$M$8)&amp;"","")))))&gt;0),IF(COUNTIF($BI$73:$BP$73,8)=0,TRUE,SUMPRODUCT(($BI$73:$BP$73=8)*($AS$73:$AZ$73&lt;&gt;"")*IF(((UPPER($AS$73:$AZ$73)="BLANK")+(UPPER($AS$73:$AZ$73)="(BLANK)")+(UPPER($AS$73:$AZ$73)="EMPTY")+(UPPER($AS$73:$AZ$73)="(EMPTY)"))&gt;0,IFERROR(('Final Calculation Sheet'!$M$8)&amp;"","")="",ISNUMBER(SEARCH($AS$73:$AZ$73,IFERROR(('Final Calculation Sheet'!$M$8)&amp;"","")))))&gt;0))))</f>
        <v>1</v>
      </c>
      <c r="CA9">
        <f>IF($O$4="",1,--(AND(SUMPRODUCT(--($AS$74:$AZ$74&lt;&gt;""))&gt;0,IF(COUNTIF($BI$74:$BP$74,1)=0,TRUE,SUMPRODUCT(($BI$74:$BP$74=1)*($AS$74:$AZ$74&lt;&gt;"")*IF(((UPPER($AS$74:$AZ$74)="BLANK")+(UPPER($AS$74:$AZ$74)="(BLANK)")+(UPPER($AS$74:$AZ$74)="EMPTY")+(UPPER($AS$74:$AZ$74)="(EMPTY)"))&gt;0,IFERROR(('Final Calculation Sheet'!$N$8)&amp;"","")="",ISNUMBER(SEARCH($AS$74:$AZ$74,IFERROR(('Final Calculation Sheet'!$N$8)&amp;"","")))))&gt;0),IF(COUNTIF($BI$74:$BP$74,2)=0,TRUE,SUMPRODUCT(($BI$74:$BP$74=2)*($AS$74:$AZ$74&lt;&gt;"")*IF(((UPPER($AS$74:$AZ$74)="BLANK")+(UPPER($AS$74:$AZ$74)="(BLANK)")+(UPPER($AS$74:$AZ$74)="EMPTY")+(UPPER($AS$74:$AZ$74)="(EMPTY)"))&gt;0,IFERROR(('Final Calculation Sheet'!$N$8)&amp;"","")="",ISNUMBER(SEARCH($AS$74:$AZ$74,IFERROR(('Final Calculation Sheet'!$N$8)&amp;"","")))))&gt;0),IF(COUNTIF($BI$74:$BP$74,3)=0,TRUE,SUMPRODUCT(($BI$74:$BP$74=3)*($AS$74:$AZ$74&lt;&gt;"")*IF(((UPPER($AS$74:$AZ$74)="BLANK")+(UPPER($AS$74:$AZ$74)="(BLANK)")+(UPPER($AS$74:$AZ$74)="EMPTY")+(UPPER($AS$74:$AZ$74)="(EMPTY)"))&gt;0,IFERROR(('Final Calculation Sheet'!$N$8)&amp;"","")="",ISNUMBER(SEARCH($AS$74:$AZ$74,IFERROR(('Final Calculation Sheet'!$N$8)&amp;"","")))))&gt;0),IF(COUNTIF($BI$74:$BP$74,4)=0,TRUE,SUMPRODUCT(($BI$74:$BP$74=4)*($AS$74:$AZ$74&lt;&gt;"")*IF(((UPPER($AS$74:$AZ$74)="BLANK")+(UPPER($AS$74:$AZ$74)="(BLANK)")+(UPPER($AS$74:$AZ$74)="EMPTY")+(UPPER($AS$74:$AZ$74)="(EMPTY)"))&gt;0,IFERROR(('Final Calculation Sheet'!$N$8)&amp;"","")="",ISNUMBER(SEARCH($AS$74:$AZ$74,IFERROR(('Final Calculation Sheet'!$N$8)&amp;"","")))))&gt;0),IF(COUNTIF($BI$74:$BP$74,5)=0,TRUE,SUMPRODUCT(($BI$74:$BP$74=5)*($AS$74:$AZ$74&lt;&gt;"")*IF(((UPPER($AS$74:$AZ$74)="BLANK")+(UPPER($AS$74:$AZ$74)="(BLANK)")+(UPPER($AS$74:$AZ$74)="EMPTY")+(UPPER($AS$74:$AZ$74)="(EMPTY)"))&gt;0,IFERROR(('Final Calculation Sheet'!$N$8)&amp;"","")="",ISNUMBER(SEARCH($AS$74:$AZ$74,IFERROR(('Final Calculation Sheet'!$N$8)&amp;"","")))))&gt;0),IF(COUNTIF($BI$74:$BP$74,6)=0,TRUE,SUMPRODUCT(($BI$74:$BP$74=6)*($AS$74:$AZ$74&lt;&gt;"")*IF(((UPPER($AS$74:$AZ$74)="BLANK")+(UPPER($AS$74:$AZ$74)="(BLANK)")+(UPPER($AS$74:$AZ$74)="EMPTY")+(UPPER($AS$74:$AZ$74)="(EMPTY)"))&gt;0,IFERROR(('Final Calculation Sheet'!$N$8)&amp;"","")="",ISNUMBER(SEARCH($AS$74:$AZ$74,IFERROR(('Final Calculation Sheet'!$N$8)&amp;"","")))))&gt;0),IF(COUNTIF($BI$74:$BP$74,7)=0,TRUE,SUMPRODUCT(($BI$74:$BP$74=7)*($AS$74:$AZ$74&lt;&gt;"")*IF(((UPPER($AS$74:$AZ$74)="BLANK")+(UPPER($AS$74:$AZ$74)="(BLANK)")+(UPPER($AS$74:$AZ$74)="EMPTY")+(UPPER($AS$74:$AZ$74)="(EMPTY)"))&gt;0,IFERROR(('Final Calculation Sheet'!$N$8)&amp;"","")="",ISNUMBER(SEARCH($AS$74:$AZ$74,IFERROR(('Final Calculation Sheet'!$N$8)&amp;"","")))))&gt;0),IF(COUNTIF($BI$74:$BP$74,8)=0,TRUE,SUMPRODUCT(($BI$74:$BP$74=8)*($AS$74:$AZ$74&lt;&gt;"")*IF(((UPPER($AS$74:$AZ$74)="BLANK")+(UPPER($AS$74:$AZ$74)="(BLANK)")+(UPPER($AS$74:$AZ$74)="EMPTY")+(UPPER($AS$74:$AZ$74)="(EMPTY)"))&gt;0,IFERROR(('Final Calculation Sheet'!$N$8)&amp;"","")="",ISNUMBER(SEARCH($AS$74:$AZ$74,IFERROR(('Final Calculation Sheet'!$N$8)&amp;"","")))))&gt;0))))</f>
        <v>1</v>
      </c>
      <c r="CB9">
        <f>IF($P$4="",1,--(AND(SUMPRODUCT(--($AS$75:$AZ$75&lt;&gt;""))&gt;0,IF(COUNTIF($BI$75:$BP$75,1)=0,TRUE,SUMPRODUCT(($BI$75:$BP$75=1)*($AS$75:$AZ$75&lt;&gt;"")*IF(((UPPER($AS$75:$AZ$75)="BLANK")+(UPPER($AS$75:$AZ$75)="(BLANK)")+(UPPER($AS$75:$AZ$75)="EMPTY")+(UPPER($AS$75:$AZ$75)="(EMPTY)"))&gt;0,IFERROR(('Final Calculation Sheet'!$O$8)&amp;"","")="",ISNUMBER(SEARCH($AS$75:$AZ$75,IFERROR(('Final Calculation Sheet'!$O$8)&amp;"","")))))&gt;0),IF(COUNTIF($BI$75:$BP$75,2)=0,TRUE,SUMPRODUCT(($BI$75:$BP$75=2)*($AS$75:$AZ$75&lt;&gt;"")*IF(((UPPER($AS$75:$AZ$75)="BLANK")+(UPPER($AS$75:$AZ$75)="(BLANK)")+(UPPER($AS$75:$AZ$75)="EMPTY")+(UPPER($AS$75:$AZ$75)="(EMPTY)"))&gt;0,IFERROR(('Final Calculation Sheet'!$O$8)&amp;"","")="",ISNUMBER(SEARCH($AS$75:$AZ$75,IFERROR(('Final Calculation Sheet'!$O$8)&amp;"","")))))&gt;0),IF(COUNTIF($BI$75:$BP$75,3)=0,TRUE,SUMPRODUCT(($BI$75:$BP$75=3)*($AS$75:$AZ$75&lt;&gt;"")*IF(((UPPER($AS$75:$AZ$75)="BLANK")+(UPPER($AS$75:$AZ$75)="(BLANK)")+(UPPER($AS$75:$AZ$75)="EMPTY")+(UPPER($AS$75:$AZ$75)="(EMPTY)"))&gt;0,IFERROR(('Final Calculation Sheet'!$O$8)&amp;"","")="",ISNUMBER(SEARCH($AS$75:$AZ$75,IFERROR(('Final Calculation Sheet'!$O$8)&amp;"","")))))&gt;0),IF(COUNTIF($BI$75:$BP$75,4)=0,TRUE,SUMPRODUCT(($BI$75:$BP$75=4)*($AS$75:$AZ$75&lt;&gt;"")*IF(((UPPER($AS$75:$AZ$75)="BLANK")+(UPPER($AS$75:$AZ$75)="(BLANK)")+(UPPER($AS$75:$AZ$75)="EMPTY")+(UPPER($AS$75:$AZ$75)="(EMPTY)"))&gt;0,IFERROR(('Final Calculation Sheet'!$O$8)&amp;"","")="",ISNUMBER(SEARCH($AS$75:$AZ$75,IFERROR(('Final Calculation Sheet'!$O$8)&amp;"","")))))&gt;0),IF(COUNTIF($BI$75:$BP$75,5)=0,TRUE,SUMPRODUCT(($BI$75:$BP$75=5)*($AS$75:$AZ$75&lt;&gt;"")*IF(((UPPER($AS$75:$AZ$75)="BLANK")+(UPPER($AS$75:$AZ$75)="(BLANK)")+(UPPER($AS$75:$AZ$75)="EMPTY")+(UPPER($AS$75:$AZ$75)="(EMPTY)"))&gt;0,IFERROR(('Final Calculation Sheet'!$O$8)&amp;"","")="",ISNUMBER(SEARCH($AS$75:$AZ$75,IFERROR(('Final Calculation Sheet'!$O$8)&amp;"","")))))&gt;0),IF(COUNTIF($BI$75:$BP$75,6)=0,TRUE,SUMPRODUCT(($BI$75:$BP$75=6)*($AS$75:$AZ$75&lt;&gt;"")*IF(((UPPER($AS$75:$AZ$75)="BLANK")+(UPPER($AS$75:$AZ$75)="(BLANK)")+(UPPER($AS$75:$AZ$75)="EMPTY")+(UPPER($AS$75:$AZ$75)="(EMPTY)"))&gt;0,IFERROR(('Final Calculation Sheet'!$O$8)&amp;"","")="",ISNUMBER(SEARCH($AS$75:$AZ$75,IFERROR(('Final Calculation Sheet'!$O$8)&amp;"","")))))&gt;0),IF(COUNTIF($BI$75:$BP$75,7)=0,TRUE,SUMPRODUCT(($BI$75:$BP$75=7)*($AS$75:$AZ$75&lt;&gt;"")*IF(((UPPER($AS$75:$AZ$75)="BLANK")+(UPPER($AS$75:$AZ$75)="(BLANK)")+(UPPER($AS$75:$AZ$75)="EMPTY")+(UPPER($AS$75:$AZ$75)="(EMPTY)"))&gt;0,IFERROR(('Final Calculation Sheet'!$O$8)&amp;"","")="",ISNUMBER(SEARCH($AS$75:$AZ$75,IFERROR(('Final Calculation Sheet'!$O$8)&amp;"","")))))&gt;0),IF(COUNTIF($BI$75:$BP$75,8)=0,TRUE,SUMPRODUCT(($BI$75:$BP$75=8)*($AS$75:$AZ$75&lt;&gt;"")*IF(((UPPER($AS$75:$AZ$75)="BLANK")+(UPPER($AS$75:$AZ$75)="(BLANK)")+(UPPER($AS$75:$AZ$75)="EMPTY")+(UPPER($AS$75:$AZ$75)="(EMPTY)"))&gt;0,IFERROR(('Final Calculation Sheet'!$O$8)&amp;"","")="",ISNUMBER(SEARCH($AS$75:$AZ$75,IFERROR(('Final Calculation Sheet'!$O$8)&amp;"","")))))&gt;0))))</f>
        <v>1</v>
      </c>
      <c r="CC9">
        <f>IF($Q$4="",1,--(AND(SUMPRODUCT(--($AS$76:$AZ$76&lt;&gt;""))&gt;0,IF(COUNTIF($BI$76:$BP$76,1)=0,TRUE,SUMPRODUCT(($BI$76:$BP$76=1)*($AS$76:$AZ$76&lt;&gt;"")*IF(((UPPER($AS$76:$AZ$76)="BLANK")+(UPPER($AS$76:$AZ$76)="(BLANK)")+(UPPER($AS$76:$AZ$76)="EMPTY")+(UPPER($AS$76:$AZ$76)="(EMPTY)"))&gt;0,IFERROR(('Final Calculation Sheet'!$P$8)&amp;"","")="",ISNUMBER(SEARCH($AS$76:$AZ$76,IFERROR(('Final Calculation Sheet'!$P$8)&amp;"","")))))&gt;0),IF(COUNTIF($BI$76:$BP$76,2)=0,TRUE,SUMPRODUCT(($BI$76:$BP$76=2)*($AS$76:$AZ$76&lt;&gt;"")*IF(((UPPER($AS$76:$AZ$76)="BLANK")+(UPPER($AS$76:$AZ$76)="(BLANK)")+(UPPER($AS$76:$AZ$76)="EMPTY")+(UPPER($AS$76:$AZ$76)="(EMPTY)"))&gt;0,IFERROR(('Final Calculation Sheet'!$P$8)&amp;"","")="",ISNUMBER(SEARCH($AS$76:$AZ$76,IFERROR(('Final Calculation Sheet'!$P$8)&amp;"","")))))&gt;0),IF(COUNTIF($BI$76:$BP$76,3)=0,TRUE,SUMPRODUCT(($BI$76:$BP$76=3)*($AS$76:$AZ$76&lt;&gt;"")*IF(((UPPER($AS$76:$AZ$76)="BLANK")+(UPPER($AS$76:$AZ$76)="(BLANK)")+(UPPER($AS$76:$AZ$76)="EMPTY")+(UPPER($AS$76:$AZ$76)="(EMPTY)"))&gt;0,IFERROR(('Final Calculation Sheet'!$P$8)&amp;"","")="",ISNUMBER(SEARCH($AS$76:$AZ$76,IFERROR(('Final Calculation Sheet'!$P$8)&amp;"","")))))&gt;0),IF(COUNTIF($BI$76:$BP$76,4)=0,TRUE,SUMPRODUCT(($BI$76:$BP$76=4)*($AS$76:$AZ$76&lt;&gt;"")*IF(((UPPER($AS$76:$AZ$76)="BLANK")+(UPPER($AS$76:$AZ$76)="(BLANK)")+(UPPER($AS$76:$AZ$76)="EMPTY")+(UPPER($AS$76:$AZ$76)="(EMPTY)"))&gt;0,IFERROR(('Final Calculation Sheet'!$P$8)&amp;"","")="",ISNUMBER(SEARCH($AS$76:$AZ$76,IFERROR(('Final Calculation Sheet'!$P$8)&amp;"","")))))&gt;0),IF(COUNTIF($BI$76:$BP$76,5)=0,TRUE,SUMPRODUCT(($BI$76:$BP$76=5)*($AS$76:$AZ$76&lt;&gt;"")*IF(((UPPER($AS$76:$AZ$76)="BLANK")+(UPPER($AS$76:$AZ$76)="(BLANK)")+(UPPER($AS$76:$AZ$76)="EMPTY")+(UPPER($AS$76:$AZ$76)="(EMPTY)"))&gt;0,IFERROR(('Final Calculation Sheet'!$P$8)&amp;"","")="",ISNUMBER(SEARCH($AS$76:$AZ$76,IFERROR(('Final Calculation Sheet'!$P$8)&amp;"","")))))&gt;0),IF(COUNTIF($BI$76:$BP$76,6)=0,TRUE,SUMPRODUCT(($BI$76:$BP$76=6)*($AS$76:$AZ$76&lt;&gt;"")*IF(((UPPER($AS$76:$AZ$76)="BLANK")+(UPPER($AS$76:$AZ$76)="(BLANK)")+(UPPER($AS$76:$AZ$76)="EMPTY")+(UPPER($AS$76:$AZ$76)="(EMPTY)"))&gt;0,IFERROR(('Final Calculation Sheet'!$P$8)&amp;"","")="",ISNUMBER(SEARCH($AS$76:$AZ$76,IFERROR(('Final Calculation Sheet'!$P$8)&amp;"","")))))&gt;0),IF(COUNTIF($BI$76:$BP$76,7)=0,TRUE,SUMPRODUCT(($BI$76:$BP$76=7)*($AS$76:$AZ$76&lt;&gt;"")*IF(((UPPER($AS$76:$AZ$76)="BLANK")+(UPPER($AS$76:$AZ$76)="(BLANK)")+(UPPER($AS$76:$AZ$76)="EMPTY")+(UPPER($AS$76:$AZ$76)="(EMPTY)"))&gt;0,IFERROR(('Final Calculation Sheet'!$P$8)&amp;"","")="",ISNUMBER(SEARCH($AS$76:$AZ$76,IFERROR(('Final Calculation Sheet'!$P$8)&amp;"","")))))&gt;0),IF(COUNTIF($BI$76:$BP$76,8)=0,TRUE,SUMPRODUCT(($BI$76:$BP$76=8)*($AS$76:$AZ$76&lt;&gt;"")*IF(((UPPER($AS$76:$AZ$76)="BLANK")+(UPPER($AS$76:$AZ$76)="(BLANK)")+(UPPER($AS$76:$AZ$76)="EMPTY")+(UPPER($AS$76:$AZ$76)="(EMPTY)"))&gt;0,IFERROR(('Final Calculation Sheet'!$P$8)&amp;"","")="",ISNUMBER(SEARCH($AS$76:$AZ$76,IFERROR(('Final Calculation Sheet'!$P$8)&amp;"","")))))&gt;0))))</f>
        <v>1</v>
      </c>
      <c r="CD9">
        <f>IF($R$4="",1,--(AND(SUMPRODUCT(--($AS$77:$AZ$77&lt;&gt;""))&gt;0,IF(COUNTIF($BI$77:$BP$77,1)=0,TRUE,SUMPRODUCT(($BI$77:$BP$77=1)*($AS$77:$AZ$77&lt;&gt;"")*IF(((UPPER($AS$77:$AZ$77)="BLANK")+(UPPER($AS$77:$AZ$77)="(BLANK)")+(UPPER($AS$77:$AZ$77)="EMPTY")+(UPPER($AS$77:$AZ$77)="(EMPTY)"))&gt;0,IFERROR(('Final Calculation Sheet'!$Q$8)&amp;"","")="",ISNUMBER(SEARCH($AS$77:$AZ$77,IFERROR(('Final Calculation Sheet'!$Q$8)&amp;"","")))))&gt;0),IF(COUNTIF($BI$77:$BP$77,2)=0,TRUE,SUMPRODUCT(($BI$77:$BP$77=2)*($AS$77:$AZ$77&lt;&gt;"")*IF(((UPPER($AS$77:$AZ$77)="BLANK")+(UPPER($AS$77:$AZ$77)="(BLANK)")+(UPPER($AS$77:$AZ$77)="EMPTY")+(UPPER($AS$77:$AZ$77)="(EMPTY)"))&gt;0,IFERROR(('Final Calculation Sheet'!$Q$8)&amp;"","")="",ISNUMBER(SEARCH($AS$77:$AZ$77,IFERROR(('Final Calculation Sheet'!$Q$8)&amp;"","")))))&gt;0),IF(COUNTIF($BI$77:$BP$77,3)=0,TRUE,SUMPRODUCT(($BI$77:$BP$77=3)*($AS$77:$AZ$77&lt;&gt;"")*IF(((UPPER($AS$77:$AZ$77)="BLANK")+(UPPER($AS$77:$AZ$77)="(BLANK)")+(UPPER($AS$77:$AZ$77)="EMPTY")+(UPPER($AS$77:$AZ$77)="(EMPTY)"))&gt;0,IFERROR(('Final Calculation Sheet'!$Q$8)&amp;"","")="",ISNUMBER(SEARCH($AS$77:$AZ$77,IFERROR(('Final Calculation Sheet'!$Q$8)&amp;"","")))))&gt;0),IF(COUNTIF($BI$77:$BP$77,4)=0,TRUE,SUMPRODUCT(($BI$77:$BP$77=4)*($AS$77:$AZ$77&lt;&gt;"")*IF(((UPPER($AS$77:$AZ$77)="BLANK")+(UPPER($AS$77:$AZ$77)="(BLANK)")+(UPPER($AS$77:$AZ$77)="EMPTY")+(UPPER($AS$77:$AZ$77)="(EMPTY)"))&gt;0,IFERROR(('Final Calculation Sheet'!$Q$8)&amp;"","")="",ISNUMBER(SEARCH($AS$77:$AZ$77,IFERROR(('Final Calculation Sheet'!$Q$8)&amp;"","")))))&gt;0),IF(COUNTIF($BI$77:$BP$77,5)=0,TRUE,SUMPRODUCT(($BI$77:$BP$77=5)*($AS$77:$AZ$77&lt;&gt;"")*IF(((UPPER($AS$77:$AZ$77)="BLANK")+(UPPER($AS$77:$AZ$77)="(BLANK)")+(UPPER($AS$77:$AZ$77)="EMPTY")+(UPPER($AS$77:$AZ$77)="(EMPTY)"))&gt;0,IFERROR(('Final Calculation Sheet'!$Q$8)&amp;"","")="",ISNUMBER(SEARCH($AS$77:$AZ$77,IFERROR(('Final Calculation Sheet'!$Q$8)&amp;"","")))))&gt;0),IF(COUNTIF($BI$77:$BP$77,6)=0,TRUE,SUMPRODUCT(($BI$77:$BP$77=6)*($AS$77:$AZ$77&lt;&gt;"")*IF(((UPPER($AS$77:$AZ$77)="BLANK")+(UPPER($AS$77:$AZ$77)="(BLANK)")+(UPPER($AS$77:$AZ$77)="EMPTY")+(UPPER($AS$77:$AZ$77)="(EMPTY)"))&gt;0,IFERROR(('Final Calculation Sheet'!$Q$8)&amp;"","")="",ISNUMBER(SEARCH($AS$77:$AZ$77,IFERROR(('Final Calculation Sheet'!$Q$8)&amp;"","")))))&gt;0),IF(COUNTIF($BI$77:$BP$77,7)=0,TRUE,SUMPRODUCT(($BI$77:$BP$77=7)*($AS$77:$AZ$77&lt;&gt;"")*IF(((UPPER($AS$77:$AZ$77)="BLANK")+(UPPER($AS$77:$AZ$77)="(BLANK)")+(UPPER($AS$77:$AZ$77)="EMPTY")+(UPPER($AS$77:$AZ$77)="(EMPTY)"))&gt;0,IFERROR(('Final Calculation Sheet'!$Q$8)&amp;"","")="",ISNUMBER(SEARCH($AS$77:$AZ$77,IFERROR(('Final Calculation Sheet'!$Q$8)&amp;"","")))))&gt;0),IF(COUNTIF($BI$77:$BP$77,8)=0,TRUE,SUMPRODUCT(($BI$77:$BP$77=8)*($AS$77:$AZ$77&lt;&gt;"")*IF(((UPPER($AS$77:$AZ$77)="BLANK")+(UPPER($AS$77:$AZ$77)="(BLANK)")+(UPPER($AS$77:$AZ$77)="EMPTY")+(UPPER($AS$77:$AZ$77)="(EMPTY)"))&gt;0,IFERROR(('Final Calculation Sheet'!$Q$8)&amp;"","")="",ISNUMBER(SEARCH($AS$77:$AZ$77,IFERROR(('Final Calculation Sheet'!$Q$8)&amp;"","")))))&gt;0))))</f>
        <v>1</v>
      </c>
      <c r="CE9">
        <f>IF($S$4="",1,--(AND(SUMPRODUCT(--($AS$78:$AZ$78&lt;&gt;""))&gt;0,IF(COUNTIF($BI$78:$BP$78,1)=0,TRUE,SUMPRODUCT(($BI$78:$BP$78=1)*($AS$78:$AZ$78&lt;&gt;"")*IF(((UPPER($AS$78:$AZ$78)="BLANK")+(UPPER($AS$78:$AZ$78)="(BLANK)")+(UPPER($AS$78:$AZ$78)="EMPTY")+(UPPER($AS$78:$AZ$78)="(EMPTY)"))&gt;0,IFERROR(('Final Calculation Sheet'!$R$8)&amp;"","")="",ISNUMBER(SEARCH($AS$78:$AZ$78,IFERROR(('Final Calculation Sheet'!$R$8)&amp;"","")))))&gt;0),IF(COUNTIF($BI$78:$BP$78,2)=0,TRUE,SUMPRODUCT(($BI$78:$BP$78=2)*($AS$78:$AZ$78&lt;&gt;"")*IF(((UPPER($AS$78:$AZ$78)="BLANK")+(UPPER($AS$78:$AZ$78)="(BLANK)")+(UPPER($AS$78:$AZ$78)="EMPTY")+(UPPER($AS$78:$AZ$78)="(EMPTY)"))&gt;0,IFERROR(('Final Calculation Sheet'!$R$8)&amp;"","")="",ISNUMBER(SEARCH($AS$78:$AZ$78,IFERROR(('Final Calculation Sheet'!$R$8)&amp;"","")))))&gt;0),IF(COUNTIF($BI$78:$BP$78,3)=0,TRUE,SUMPRODUCT(($BI$78:$BP$78=3)*($AS$78:$AZ$78&lt;&gt;"")*IF(((UPPER($AS$78:$AZ$78)="BLANK")+(UPPER($AS$78:$AZ$78)="(BLANK)")+(UPPER($AS$78:$AZ$78)="EMPTY")+(UPPER($AS$78:$AZ$78)="(EMPTY)"))&gt;0,IFERROR(('Final Calculation Sheet'!$R$8)&amp;"","")="",ISNUMBER(SEARCH($AS$78:$AZ$78,IFERROR(('Final Calculation Sheet'!$R$8)&amp;"","")))))&gt;0),IF(COUNTIF($BI$78:$BP$78,4)=0,TRUE,SUMPRODUCT(($BI$78:$BP$78=4)*($AS$78:$AZ$78&lt;&gt;"")*IF(((UPPER($AS$78:$AZ$78)="BLANK")+(UPPER($AS$78:$AZ$78)="(BLANK)")+(UPPER($AS$78:$AZ$78)="EMPTY")+(UPPER($AS$78:$AZ$78)="(EMPTY)"))&gt;0,IFERROR(('Final Calculation Sheet'!$R$8)&amp;"","")="",ISNUMBER(SEARCH($AS$78:$AZ$78,IFERROR(('Final Calculation Sheet'!$R$8)&amp;"","")))))&gt;0),IF(COUNTIF($BI$78:$BP$78,5)=0,TRUE,SUMPRODUCT(($BI$78:$BP$78=5)*($AS$78:$AZ$78&lt;&gt;"")*IF(((UPPER($AS$78:$AZ$78)="BLANK")+(UPPER($AS$78:$AZ$78)="(BLANK)")+(UPPER($AS$78:$AZ$78)="EMPTY")+(UPPER($AS$78:$AZ$78)="(EMPTY)"))&gt;0,IFERROR(('Final Calculation Sheet'!$R$8)&amp;"","")="",ISNUMBER(SEARCH($AS$78:$AZ$78,IFERROR(('Final Calculation Sheet'!$R$8)&amp;"","")))))&gt;0),IF(COUNTIF($BI$78:$BP$78,6)=0,TRUE,SUMPRODUCT(($BI$78:$BP$78=6)*($AS$78:$AZ$78&lt;&gt;"")*IF(((UPPER($AS$78:$AZ$78)="BLANK")+(UPPER($AS$78:$AZ$78)="(BLANK)")+(UPPER($AS$78:$AZ$78)="EMPTY")+(UPPER($AS$78:$AZ$78)="(EMPTY)"))&gt;0,IFERROR(('Final Calculation Sheet'!$R$8)&amp;"","")="",ISNUMBER(SEARCH($AS$78:$AZ$78,IFERROR(('Final Calculation Sheet'!$R$8)&amp;"","")))))&gt;0),IF(COUNTIF($BI$78:$BP$78,7)=0,TRUE,SUMPRODUCT(($BI$78:$BP$78=7)*($AS$78:$AZ$78&lt;&gt;"")*IF(((UPPER($AS$78:$AZ$78)="BLANK")+(UPPER($AS$78:$AZ$78)="(BLANK)")+(UPPER($AS$78:$AZ$78)="EMPTY")+(UPPER($AS$78:$AZ$78)="(EMPTY)"))&gt;0,IFERROR(('Final Calculation Sheet'!$R$8)&amp;"","")="",ISNUMBER(SEARCH($AS$78:$AZ$78,IFERROR(('Final Calculation Sheet'!$R$8)&amp;"","")))))&gt;0),IF(COUNTIF($BI$78:$BP$78,8)=0,TRUE,SUMPRODUCT(($BI$78:$BP$78=8)*($AS$78:$AZ$78&lt;&gt;"")*IF(((UPPER($AS$78:$AZ$78)="BLANK")+(UPPER($AS$78:$AZ$78)="(BLANK)")+(UPPER($AS$78:$AZ$78)="EMPTY")+(UPPER($AS$78:$AZ$78)="(EMPTY)"))&gt;0,IFERROR(('Final Calculation Sheet'!$R$8)&amp;"","")="",ISNUMBER(SEARCH($AS$78:$AZ$78,IFERROR(('Final Calculation Sheet'!$R$8)&amp;"","")))))&gt;0))))</f>
        <v>1</v>
      </c>
      <c r="CF9">
        <f>IF($T$4="",1,--(AND(SUMPRODUCT(--($AS$79:$AZ$79&lt;&gt;""))&gt;0,IF(COUNTIF($BI$79:$BP$79,1)=0,TRUE,SUMPRODUCT(($BI$79:$BP$79=1)*($AS$79:$AZ$79&lt;&gt;"")*IF(((UPPER($AS$79:$AZ$79)="BLANK")+(UPPER($AS$79:$AZ$79)="(BLANK)")+(UPPER($AS$79:$AZ$79)="EMPTY")+(UPPER($AS$79:$AZ$79)="(EMPTY)"))&gt;0,IFERROR(('Final Calculation Sheet'!$S$8)&amp;"","")="",ISNUMBER(SEARCH($AS$79:$AZ$79,IFERROR(('Final Calculation Sheet'!$S$8)&amp;"","")))))&gt;0),IF(COUNTIF($BI$79:$BP$79,2)=0,TRUE,SUMPRODUCT(($BI$79:$BP$79=2)*($AS$79:$AZ$79&lt;&gt;"")*IF(((UPPER($AS$79:$AZ$79)="BLANK")+(UPPER($AS$79:$AZ$79)="(BLANK)")+(UPPER($AS$79:$AZ$79)="EMPTY")+(UPPER($AS$79:$AZ$79)="(EMPTY)"))&gt;0,IFERROR(('Final Calculation Sheet'!$S$8)&amp;"","")="",ISNUMBER(SEARCH($AS$79:$AZ$79,IFERROR(('Final Calculation Sheet'!$S$8)&amp;"","")))))&gt;0),IF(COUNTIF($BI$79:$BP$79,3)=0,TRUE,SUMPRODUCT(($BI$79:$BP$79=3)*($AS$79:$AZ$79&lt;&gt;"")*IF(((UPPER($AS$79:$AZ$79)="BLANK")+(UPPER($AS$79:$AZ$79)="(BLANK)")+(UPPER($AS$79:$AZ$79)="EMPTY")+(UPPER($AS$79:$AZ$79)="(EMPTY)"))&gt;0,IFERROR(('Final Calculation Sheet'!$S$8)&amp;"","")="",ISNUMBER(SEARCH($AS$79:$AZ$79,IFERROR(('Final Calculation Sheet'!$S$8)&amp;"","")))))&gt;0),IF(COUNTIF($BI$79:$BP$79,4)=0,TRUE,SUMPRODUCT(($BI$79:$BP$79=4)*($AS$79:$AZ$79&lt;&gt;"")*IF(((UPPER($AS$79:$AZ$79)="BLANK")+(UPPER($AS$79:$AZ$79)="(BLANK)")+(UPPER($AS$79:$AZ$79)="EMPTY")+(UPPER($AS$79:$AZ$79)="(EMPTY)"))&gt;0,IFERROR(('Final Calculation Sheet'!$S$8)&amp;"","")="",ISNUMBER(SEARCH($AS$79:$AZ$79,IFERROR(('Final Calculation Sheet'!$S$8)&amp;"","")))))&gt;0),IF(COUNTIF($BI$79:$BP$79,5)=0,TRUE,SUMPRODUCT(($BI$79:$BP$79=5)*($AS$79:$AZ$79&lt;&gt;"")*IF(((UPPER($AS$79:$AZ$79)="BLANK")+(UPPER($AS$79:$AZ$79)="(BLANK)")+(UPPER($AS$79:$AZ$79)="EMPTY")+(UPPER($AS$79:$AZ$79)="(EMPTY)"))&gt;0,IFERROR(('Final Calculation Sheet'!$S$8)&amp;"","")="",ISNUMBER(SEARCH($AS$79:$AZ$79,IFERROR(('Final Calculation Sheet'!$S$8)&amp;"","")))))&gt;0),IF(COUNTIF($BI$79:$BP$79,6)=0,TRUE,SUMPRODUCT(($BI$79:$BP$79=6)*($AS$79:$AZ$79&lt;&gt;"")*IF(((UPPER($AS$79:$AZ$79)="BLANK")+(UPPER($AS$79:$AZ$79)="(BLANK)")+(UPPER($AS$79:$AZ$79)="EMPTY")+(UPPER($AS$79:$AZ$79)="(EMPTY)"))&gt;0,IFERROR(('Final Calculation Sheet'!$S$8)&amp;"","")="",ISNUMBER(SEARCH($AS$79:$AZ$79,IFERROR(('Final Calculation Sheet'!$S$8)&amp;"","")))))&gt;0),IF(COUNTIF($BI$79:$BP$79,7)=0,TRUE,SUMPRODUCT(($BI$79:$BP$79=7)*($AS$79:$AZ$79&lt;&gt;"")*IF(((UPPER($AS$79:$AZ$79)="BLANK")+(UPPER($AS$79:$AZ$79)="(BLANK)")+(UPPER($AS$79:$AZ$79)="EMPTY")+(UPPER($AS$79:$AZ$79)="(EMPTY)"))&gt;0,IFERROR(('Final Calculation Sheet'!$S$8)&amp;"","")="",ISNUMBER(SEARCH($AS$79:$AZ$79,IFERROR(('Final Calculation Sheet'!$S$8)&amp;"","")))))&gt;0),IF(COUNTIF($BI$79:$BP$79,8)=0,TRUE,SUMPRODUCT(($BI$79:$BP$79=8)*($AS$79:$AZ$79&lt;&gt;"")*IF(((UPPER($AS$79:$AZ$79)="BLANK")+(UPPER($AS$79:$AZ$79)="(BLANK)")+(UPPER($AS$79:$AZ$79)="EMPTY")+(UPPER($AS$79:$AZ$79)="(EMPTY)"))&gt;0,IFERROR(('Final Calculation Sheet'!$S$8)&amp;"","")="",ISNUMBER(SEARCH($AS$79:$AZ$79,IFERROR(('Final Calculation Sheet'!$S$8)&amp;"","")))))&gt;0))))</f>
        <v>1</v>
      </c>
      <c r="CG9">
        <f>IF($U$4="",1,--(AND(SUMPRODUCT(--($AS$80:$AZ$80&lt;&gt;""))&gt;0,IF(COUNTIF($BI$80:$BP$80,1)=0,TRUE,SUMPRODUCT(($BI$80:$BP$80=1)*($AS$80:$AZ$80&lt;&gt;"")*IF(((UPPER($AS$80:$AZ$80)="BLANK")+(UPPER($AS$80:$AZ$80)="(BLANK)")+(UPPER($AS$80:$AZ$80)="EMPTY")+(UPPER($AS$80:$AZ$80)="(EMPTY)"))&gt;0,IFERROR(('Final Calculation Sheet'!$T$8)&amp;"","")="",ISNUMBER(SEARCH($AS$80:$AZ$80,IFERROR(('Final Calculation Sheet'!$T$8)&amp;"","")))))&gt;0),IF(COUNTIF($BI$80:$BP$80,2)=0,TRUE,SUMPRODUCT(($BI$80:$BP$80=2)*($AS$80:$AZ$80&lt;&gt;"")*IF(((UPPER($AS$80:$AZ$80)="BLANK")+(UPPER($AS$80:$AZ$80)="(BLANK)")+(UPPER($AS$80:$AZ$80)="EMPTY")+(UPPER($AS$80:$AZ$80)="(EMPTY)"))&gt;0,IFERROR(('Final Calculation Sheet'!$T$8)&amp;"","")="",ISNUMBER(SEARCH($AS$80:$AZ$80,IFERROR(('Final Calculation Sheet'!$T$8)&amp;"","")))))&gt;0),IF(COUNTIF($BI$80:$BP$80,3)=0,TRUE,SUMPRODUCT(($BI$80:$BP$80=3)*($AS$80:$AZ$80&lt;&gt;"")*IF(((UPPER($AS$80:$AZ$80)="BLANK")+(UPPER($AS$80:$AZ$80)="(BLANK)")+(UPPER($AS$80:$AZ$80)="EMPTY")+(UPPER($AS$80:$AZ$80)="(EMPTY)"))&gt;0,IFERROR(('Final Calculation Sheet'!$T$8)&amp;"","")="",ISNUMBER(SEARCH($AS$80:$AZ$80,IFERROR(('Final Calculation Sheet'!$T$8)&amp;"","")))))&gt;0),IF(COUNTIF($BI$80:$BP$80,4)=0,TRUE,SUMPRODUCT(($BI$80:$BP$80=4)*($AS$80:$AZ$80&lt;&gt;"")*IF(((UPPER($AS$80:$AZ$80)="BLANK")+(UPPER($AS$80:$AZ$80)="(BLANK)")+(UPPER($AS$80:$AZ$80)="EMPTY")+(UPPER($AS$80:$AZ$80)="(EMPTY)"))&gt;0,IFERROR(('Final Calculation Sheet'!$T$8)&amp;"","")="",ISNUMBER(SEARCH($AS$80:$AZ$80,IFERROR(('Final Calculation Sheet'!$T$8)&amp;"","")))))&gt;0),IF(COUNTIF($BI$80:$BP$80,5)=0,TRUE,SUMPRODUCT(($BI$80:$BP$80=5)*($AS$80:$AZ$80&lt;&gt;"")*IF(((UPPER($AS$80:$AZ$80)="BLANK")+(UPPER($AS$80:$AZ$80)="(BLANK)")+(UPPER($AS$80:$AZ$80)="EMPTY")+(UPPER($AS$80:$AZ$80)="(EMPTY)"))&gt;0,IFERROR(('Final Calculation Sheet'!$T$8)&amp;"","")="",ISNUMBER(SEARCH($AS$80:$AZ$80,IFERROR(('Final Calculation Sheet'!$T$8)&amp;"","")))))&gt;0),IF(COUNTIF($BI$80:$BP$80,6)=0,TRUE,SUMPRODUCT(($BI$80:$BP$80=6)*($AS$80:$AZ$80&lt;&gt;"")*IF(((UPPER($AS$80:$AZ$80)="BLANK")+(UPPER($AS$80:$AZ$80)="(BLANK)")+(UPPER($AS$80:$AZ$80)="EMPTY")+(UPPER($AS$80:$AZ$80)="(EMPTY)"))&gt;0,IFERROR(('Final Calculation Sheet'!$T$8)&amp;"","")="",ISNUMBER(SEARCH($AS$80:$AZ$80,IFERROR(('Final Calculation Sheet'!$T$8)&amp;"","")))))&gt;0),IF(COUNTIF($BI$80:$BP$80,7)=0,TRUE,SUMPRODUCT(($BI$80:$BP$80=7)*($AS$80:$AZ$80&lt;&gt;"")*IF(((UPPER($AS$80:$AZ$80)="BLANK")+(UPPER($AS$80:$AZ$80)="(BLANK)")+(UPPER($AS$80:$AZ$80)="EMPTY")+(UPPER($AS$80:$AZ$80)="(EMPTY)"))&gt;0,IFERROR(('Final Calculation Sheet'!$T$8)&amp;"","")="",ISNUMBER(SEARCH($AS$80:$AZ$80,IFERROR(('Final Calculation Sheet'!$T$8)&amp;"","")))))&gt;0),IF(COUNTIF($BI$80:$BP$80,8)=0,TRUE,SUMPRODUCT(($BI$80:$BP$80=8)*($AS$80:$AZ$80&lt;&gt;"")*IF(((UPPER($AS$80:$AZ$80)="BLANK")+(UPPER($AS$80:$AZ$80)="(BLANK)")+(UPPER($AS$80:$AZ$80)="EMPTY")+(UPPER($AS$80:$AZ$80)="(EMPTY)"))&gt;0,IFERROR(('Final Calculation Sheet'!$T$8)&amp;"","")="",ISNUMBER(SEARCH($AS$80:$AZ$80,IFERROR(('Final Calculation Sheet'!$T$8)&amp;"","")))))&gt;0))))</f>
        <v>1</v>
      </c>
      <c r="CH9">
        <f>IF($V$4="",1,--(AND(SUMPRODUCT(--($AS$81:$AZ$81&lt;&gt;""))&gt;0,IF(COUNTIF($BI$81:$BP$81,1)=0,TRUE,SUMPRODUCT(($BI$81:$BP$81=1)*($AS$81:$AZ$81&lt;&gt;"")*IF(((UPPER($AS$81:$AZ$81)="BLANK")+(UPPER($AS$81:$AZ$81)="(BLANK)")+(UPPER($AS$81:$AZ$81)="EMPTY")+(UPPER($AS$81:$AZ$81)="(EMPTY)"))&gt;0,IFERROR(('Final Calculation Sheet'!$U$8)&amp;"","")="",ISNUMBER(SEARCH($AS$81:$AZ$81,IFERROR(('Final Calculation Sheet'!$U$8)&amp;"","")))))&gt;0),IF(COUNTIF($BI$81:$BP$81,2)=0,TRUE,SUMPRODUCT(($BI$81:$BP$81=2)*($AS$81:$AZ$81&lt;&gt;"")*IF(((UPPER($AS$81:$AZ$81)="BLANK")+(UPPER($AS$81:$AZ$81)="(BLANK)")+(UPPER($AS$81:$AZ$81)="EMPTY")+(UPPER($AS$81:$AZ$81)="(EMPTY)"))&gt;0,IFERROR(('Final Calculation Sheet'!$U$8)&amp;"","")="",ISNUMBER(SEARCH($AS$81:$AZ$81,IFERROR(('Final Calculation Sheet'!$U$8)&amp;"","")))))&gt;0),IF(COUNTIF($BI$81:$BP$81,3)=0,TRUE,SUMPRODUCT(($BI$81:$BP$81=3)*($AS$81:$AZ$81&lt;&gt;"")*IF(((UPPER($AS$81:$AZ$81)="BLANK")+(UPPER($AS$81:$AZ$81)="(BLANK)")+(UPPER($AS$81:$AZ$81)="EMPTY")+(UPPER($AS$81:$AZ$81)="(EMPTY)"))&gt;0,IFERROR(('Final Calculation Sheet'!$U$8)&amp;"","")="",ISNUMBER(SEARCH($AS$81:$AZ$81,IFERROR(('Final Calculation Sheet'!$U$8)&amp;"","")))))&gt;0),IF(COUNTIF($BI$81:$BP$81,4)=0,TRUE,SUMPRODUCT(($BI$81:$BP$81=4)*($AS$81:$AZ$81&lt;&gt;"")*IF(((UPPER($AS$81:$AZ$81)="BLANK")+(UPPER($AS$81:$AZ$81)="(BLANK)")+(UPPER($AS$81:$AZ$81)="EMPTY")+(UPPER($AS$81:$AZ$81)="(EMPTY)"))&gt;0,IFERROR(('Final Calculation Sheet'!$U$8)&amp;"","")="",ISNUMBER(SEARCH($AS$81:$AZ$81,IFERROR(('Final Calculation Sheet'!$U$8)&amp;"","")))))&gt;0),IF(COUNTIF($BI$81:$BP$81,5)=0,TRUE,SUMPRODUCT(($BI$81:$BP$81=5)*($AS$81:$AZ$81&lt;&gt;"")*IF(((UPPER($AS$81:$AZ$81)="BLANK")+(UPPER($AS$81:$AZ$81)="(BLANK)")+(UPPER($AS$81:$AZ$81)="EMPTY")+(UPPER($AS$81:$AZ$81)="(EMPTY)"))&gt;0,IFERROR(('Final Calculation Sheet'!$U$8)&amp;"","")="",ISNUMBER(SEARCH($AS$81:$AZ$81,IFERROR(('Final Calculation Sheet'!$U$8)&amp;"","")))))&gt;0),IF(COUNTIF($BI$81:$BP$81,6)=0,TRUE,SUMPRODUCT(($BI$81:$BP$81=6)*($AS$81:$AZ$81&lt;&gt;"")*IF(((UPPER($AS$81:$AZ$81)="BLANK")+(UPPER($AS$81:$AZ$81)="(BLANK)")+(UPPER($AS$81:$AZ$81)="EMPTY")+(UPPER($AS$81:$AZ$81)="(EMPTY)"))&gt;0,IFERROR(('Final Calculation Sheet'!$U$8)&amp;"","")="",ISNUMBER(SEARCH($AS$81:$AZ$81,IFERROR(('Final Calculation Sheet'!$U$8)&amp;"","")))))&gt;0),IF(COUNTIF($BI$81:$BP$81,7)=0,TRUE,SUMPRODUCT(($BI$81:$BP$81=7)*($AS$81:$AZ$81&lt;&gt;"")*IF(((UPPER($AS$81:$AZ$81)="BLANK")+(UPPER($AS$81:$AZ$81)="(BLANK)")+(UPPER($AS$81:$AZ$81)="EMPTY")+(UPPER($AS$81:$AZ$81)="(EMPTY)"))&gt;0,IFERROR(('Final Calculation Sheet'!$U$8)&amp;"","")="",ISNUMBER(SEARCH($AS$81:$AZ$81,IFERROR(('Final Calculation Sheet'!$U$8)&amp;"","")))))&gt;0),IF(COUNTIF($BI$81:$BP$81,8)=0,TRUE,SUMPRODUCT(($BI$81:$BP$81=8)*($AS$81:$AZ$81&lt;&gt;"")*IF(((UPPER($AS$81:$AZ$81)="BLANK")+(UPPER($AS$81:$AZ$81)="(BLANK)")+(UPPER($AS$81:$AZ$81)="EMPTY")+(UPPER($AS$81:$AZ$81)="(EMPTY)"))&gt;0,IFERROR(('Final Calculation Sheet'!$U$8)&amp;"","")="",ISNUMBER(SEARCH($AS$81:$AZ$81,IFERROR(('Final Calculation Sheet'!$U$8)&amp;"","")))))&gt;0))))</f>
        <v>1</v>
      </c>
      <c r="CI9">
        <f>IF($W$4="",1,--(AND(SUMPRODUCT(--($AS$82:$AZ$82&lt;&gt;""))&gt;0,IF(COUNTIF($BI$82:$BP$82,1)=0,TRUE,SUMPRODUCT(($BI$82:$BP$82=1)*($AS$82:$AZ$82&lt;&gt;"")*IF(((UPPER($AS$82:$AZ$82)="BLANK")+(UPPER($AS$82:$AZ$82)="(BLANK)")+(UPPER($AS$82:$AZ$82)="EMPTY")+(UPPER($AS$82:$AZ$82)="(EMPTY)"))&gt;0,IFERROR(('Final Calculation Sheet'!$V$8)&amp;"","")="",ISNUMBER(SEARCH($AS$82:$AZ$82,IFERROR(('Final Calculation Sheet'!$V$8)&amp;"","")))))&gt;0),IF(COUNTIF($BI$82:$BP$82,2)=0,TRUE,SUMPRODUCT(($BI$82:$BP$82=2)*($AS$82:$AZ$82&lt;&gt;"")*IF(((UPPER($AS$82:$AZ$82)="BLANK")+(UPPER($AS$82:$AZ$82)="(BLANK)")+(UPPER($AS$82:$AZ$82)="EMPTY")+(UPPER($AS$82:$AZ$82)="(EMPTY)"))&gt;0,IFERROR(('Final Calculation Sheet'!$V$8)&amp;"","")="",ISNUMBER(SEARCH($AS$82:$AZ$82,IFERROR(('Final Calculation Sheet'!$V$8)&amp;"","")))))&gt;0),IF(COUNTIF($BI$82:$BP$82,3)=0,TRUE,SUMPRODUCT(($BI$82:$BP$82=3)*($AS$82:$AZ$82&lt;&gt;"")*IF(((UPPER($AS$82:$AZ$82)="BLANK")+(UPPER($AS$82:$AZ$82)="(BLANK)")+(UPPER($AS$82:$AZ$82)="EMPTY")+(UPPER($AS$82:$AZ$82)="(EMPTY)"))&gt;0,IFERROR(('Final Calculation Sheet'!$V$8)&amp;"","")="",ISNUMBER(SEARCH($AS$82:$AZ$82,IFERROR(('Final Calculation Sheet'!$V$8)&amp;"","")))))&gt;0),IF(COUNTIF($BI$82:$BP$82,4)=0,TRUE,SUMPRODUCT(($BI$82:$BP$82=4)*($AS$82:$AZ$82&lt;&gt;"")*IF(((UPPER($AS$82:$AZ$82)="BLANK")+(UPPER($AS$82:$AZ$82)="(BLANK)")+(UPPER($AS$82:$AZ$82)="EMPTY")+(UPPER($AS$82:$AZ$82)="(EMPTY)"))&gt;0,IFERROR(('Final Calculation Sheet'!$V$8)&amp;"","")="",ISNUMBER(SEARCH($AS$82:$AZ$82,IFERROR(('Final Calculation Sheet'!$V$8)&amp;"","")))))&gt;0),IF(COUNTIF($BI$82:$BP$82,5)=0,TRUE,SUMPRODUCT(($BI$82:$BP$82=5)*($AS$82:$AZ$82&lt;&gt;"")*IF(((UPPER($AS$82:$AZ$82)="BLANK")+(UPPER($AS$82:$AZ$82)="(BLANK)")+(UPPER($AS$82:$AZ$82)="EMPTY")+(UPPER($AS$82:$AZ$82)="(EMPTY)"))&gt;0,IFERROR(('Final Calculation Sheet'!$V$8)&amp;"","")="",ISNUMBER(SEARCH($AS$82:$AZ$82,IFERROR(('Final Calculation Sheet'!$V$8)&amp;"","")))))&gt;0),IF(COUNTIF($BI$82:$BP$82,6)=0,TRUE,SUMPRODUCT(($BI$82:$BP$82=6)*($AS$82:$AZ$82&lt;&gt;"")*IF(((UPPER($AS$82:$AZ$82)="BLANK")+(UPPER($AS$82:$AZ$82)="(BLANK)")+(UPPER($AS$82:$AZ$82)="EMPTY")+(UPPER($AS$82:$AZ$82)="(EMPTY)"))&gt;0,IFERROR(('Final Calculation Sheet'!$V$8)&amp;"","")="",ISNUMBER(SEARCH($AS$82:$AZ$82,IFERROR(('Final Calculation Sheet'!$V$8)&amp;"","")))))&gt;0),IF(COUNTIF($BI$82:$BP$82,7)=0,TRUE,SUMPRODUCT(($BI$82:$BP$82=7)*($AS$82:$AZ$82&lt;&gt;"")*IF(((UPPER($AS$82:$AZ$82)="BLANK")+(UPPER($AS$82:$AZ$82)="(BLANK)")+(UPPER($AS$82:$AZ$82)="EMPTY")+(UPPER($AS$82:$AZ$82)="(EMPTY)"))&gt;0,IFERROR(('Final Calculation Sheet'!$V$8)&amp;"","")="",ISNUMBER(SEARCH($AS$82:$AZ$82,IFERROR(('Final Calculation Sheet'!$V$8)&amp;"","")))))&gt;0),IF(COUNTIF($BI$82:$BP$82,8)=0,TRUE,SUMPRODUCT(($BI$82:$BP$82=8)*($AS$82:$AZ$82&lt;&gt;"")*IF(((UPPER($AS$82:$AZ$82)="BLANK")+(UPPER($AS$82:$AZ$82)="(BLANK)")+(UPPER($AS$82:$AZ$82)="EMPTY")+(UPPER($AS$82:$AZ$82)="(EMPTY)"))&gt;0,IFERROR(('Final Calculation Sheet'!$V$8)&amp;"","")="",ISNUMBER(SEARCH($AS$82:$AZ$82,IFERROR(('Final Calculation Sheet'!$V$8)&amp;"","")))))&gt;0))))</f>
        <v>1</v>
      </c>
      <c r="CJ9">
        <f>IF($X$4="",1,--(AND(SUMPRODUCT(--($AS$83:$AZ$83&lt;&gt;""))&gt;0,IF(COUNTIF($BI$83:$BP$83,1)=0,TRUE,SUMPRODUCT(($BI$83:$BP$83=1)*($AS$83:$AZ$83&lt;&gt;"")*IF(((UPPER($AS$83:$AZ$83)="BLANK")+(UPPER($AS$83:$AZ$83)="(BLANK)")+(UPPER($AS$83:$AZ$83)="EMPTY")+(UPPER($AS$83:$AZ$83)="(EMPTY)"))&gt;0,IFERROR(('Final Calculation Sheet'!$W$8)&amp;"","")="",ISNUMBER(SEARCH($AS$83:$AZ$83,IFERROR(('Final Calculation Sheet'!$W$8)&amp;"","")))))&gt;0),IF(COUNTIF($BI$83:$BP$83,2)=0,TRUE,SUMPRODUCT(($BI$83:$BP$83=2)*($AS$83:$AZ$83&lt;&gt;"")*IF(((UPPER($AS$83:$AZ$83)="BLANK")+(UPPER($AS$83:$AZ$83)="(BLANK)")+(UPPER($AS$83:$AZ$83)="EMPTY")+(UPPER($AS$83:$AZ$83)="(EMPTY)"))&gt;0,IFERROR(('Final Calculation Sheet'!$W$8)&amp;"","")="",ISNUMBER(SEARCH($AS$83:$AZ$83,IFERROR(('Final Calculation Sheet'!$W$8)&amp;"","")))))&gt;0),IF(COUNTIF($BI$83:$BP$83,3)=0,TRUE,SUMPRODUCT(($BI$83:$BP$83=3)*($AS$83:$AZ$83&lt;&gt;"")*IF(((UPPER($AS$83:$AZ$83)="BLANK")+(UPPER($AS$83:$AZ$83)="(BLANK)")+(UPPER($AS$83:$AZ$83)="EMPTY")+(UPPER($AS$83:$AZ$83)="(EMPTY)"))&gt;0,IFERROR(('Final Calculation Sheet'!$W$8)&amp;"","")="",ISNUMBER(SEARCH($AS$83:$AZ$83,IFERROR(('Final Calculation Sheet'!$W$8)&amp;"","")))))&gt;0),IF(COUNTIF($BI$83:$BP$83,4)=0,TRUE,SUMPRODUCT(($BI$83:$BP$83=4)*($AS$83:$AZ$83&lt;&gt;"")*IF(((UPPER($AS$83:$AZ$83)="BLANK")+(UPPER($AS$83:$AZ$83)="(BLANK)")+(UPPER($AS$83:$AZ$83)="EMPTY")+(UPPER($AS$83:$AZ$83)="(EMPTY)"))&gt;0,IFERROR(('Final Calculation Sheet'!$W$8)&amp;"","")="",ISNUMBER(SEARCH($AS$83:$AZ$83,IFERROR(('Final Calculation Sheet'!$W$8)&amp;"","")))))&gt;0),IF(COUNTIF($BI$83:$BP$83,5)=0,TRUE,SUMPRODUCT(($BI$83:$BP$83=5)*($AS$83:$AZ$83&lt;&gt;"")*IF(((UPPER($AS$83:$AZ$83)="BLANK")+(UPPER($AS$83:$AZ$83)="(BLANK)")+(UPPER($AS$83:$AZ$83)="EMPTY")+(UPPER($AS$83:$AZ$83)="(EMPTY)"))&gt;0,IFERROR(('Final Calculation Sheet'!$W$8)&amp;"","")="",ISNUMBER(SEARCH($AS$83:$AZ$83,IFERROR(('Final Calculation Sheet'!$W$8)&amp;"","")))))&gt;0),IF(COUNTIF($BI$83:$BP$83,6)=0,TRUE,SUMPRODUCT(($BI$83:$BP$83=6)*($AS$83:$AZ$83&lt;&gt;"")*IF(((UPPER($AS$83:$AZ$83)="BLANK")+(UPPER($AS$83:$AZ$83)="(BLANK)")+(UPPER($AS$83:$AZ$83)="EMPTY")+(UPPER($AS$83:$AZ$83)="(EMPTY)"))&gt;0,IFERROR(('Final Calculation Sheet'!$W$8)&amp;"","")="",ISNUMBER(SEARCH($AS$83:$AZ$83,IFERROR(('Final Calculation Sheet'!$W$8)&amp;"","")))))&gt;0),IF(COUNTIF($BI$83:$BP$83,7)=0,TRUE,SUMPRODUCT(($BI$83:$BP$83=7)*($AS$83:$AZ$83&lt;&gt;"")*IF(((UPPER($AS$83:$AZ$83)="BLANK")+(UPPER($AS$83:$AZ$83)="(BLANK)")+(UPPER($AS$83:$AZ$83)="EMPTY")+(UPPER($AS$83:$AZ$83)="(EMPTY)"))&gt;0,IFERROR(('Final Calculation Sheet'!$W$8)&amp;"","")="",ISNUMBER(SEARCH($AS$83:$AZ$83,IFERROR(('Final Calculation Sheet'!$W$8)&amp;"","")))))&gt;0),IF(COUNTIF($BI$83:$BP$83,8)=0,TRUE,SUMPRODUCT(($BI$83:$BP$83=8)*($AS$83:$AZ$83&lt;&gt;"")*IF(((UPPER($AS$83:$AZ$83)="BLANK")+(UPPER($AS$83:$AZ$83)="(BLANK)")+(UPPER($AS$83:$AZ$83)="EMPTY")+(UPPER($AS$83:$AZ$83)="(EMPTY)"))&gt;0,IFERROR(('Final Calculation Sheet'!$W$8)&amp;"","")="",ISNUMBER(SEARCH($AS$83:$AZ$83,IFERROR(('Final Calculation Sheet'!$W$8)&amp;"","")))))&gt;0))))</f>
        <v>1</v>
      </c>
      <c r="CK9">
        <f>IF($Y$4="",1,--(AND(SUMPRODUCT(--($AS$84:$AZ$84&lt;&gt;""))&gt;0,IF(COUNTIF($BI$84:$BP$84,1)=0,TRUE,SUMPRODUCT(($BI$84:$BP$84=1)*($AS$84:$AZ$84&lt;&gt;"")*IF(((UPPER($AS$84:$AZ$84)="BLANK")+(UPPER($AS$84:$AZ$84)="(BLANK)")+(UPPER($AS$84:$AZ$84)="EMPTY")+(UPPER($AS$84:$AZ$84)="(EMPTY)"))&gt;0,IFERROR(('Final Calculation Sheet'!$X$8)&amp;"","")="",ISNUMBER(SEARCH($AS$84:$AZ$84,IFERROR(('Final Calculation Sheet'!$X$8)&amp;"","")))))&gt;0),IF(COUNTIF($BI$84:$BP$84,2)=0,TRUE,SUMPRODUCT(($BI$84:$BP$84=2)*($AS$84:$AZ$84&lt;&gt;"")*IF(((UPPER($AS$84:$AZ$84)="BLANK")+(UPPER($AS$84:$AZ$84)="(BLANK)")+(UPPER($AS$84:$AZ$84)="EMPTY")+(UPPER($AS$84:$AZ$84)="(EMPTY)"))&gt;0,IFERROR(('Final Calculation Sheet'!$X$8)&amp;"","")="",ISNUMBER(SEARCH($AS$84:$AZ$84,IFERROR(('Final Calculation Sheet'!$X$8)&amp;"","")))))&gt;0),IF(COUNTIF($BI$84:$BP$84,3)=0,TRUE,SUMPRODUCT(($BI$84:$BP$84=3)*($AS$84:$AZ$84&lt;&gt;"")*IF(((UPPER($AS$84:$AZ$84)="BLANK")+(UPPER($AS$84:$AZ$84)="(BLANK)")+(UPPER($AS$84:$AZ$84)="EMPTY")+(UPPER($AS$84:$AZ$84)="(EMPTY)"))&gt;0,IFERROR(('Final Calculation Sheet'!$X$8)&amp;"","")="",ISNUMBER(SEARCH($AS$84:$AZ$84,IFERROR(('Final Calculation Sheet'!$X$8)&amp;"","")))))&gt;0),IF(COUNTIF($BI$84:$BP$84,4)=0,TRUE,SUMPRODUCT(($BI$84:$BP$84=4)*($AS$84:$AZ$84&lt;&gt;"")*IF(((UPPER($AS$84:$AZ$84)="BLANK")+(UPPER($AS$84:$AZ$84)="(BLANK)")+(UPPER($AS$84:$AZ$84)="EMPTY")+(UPPER($AS$84:$AZ$84)="(EMPTY)"))&gt;0,IFERROR(('Final Calculation Sheet'!$X$8)&amp;"","")="",ISNUMBER(SEARCH($AS$84:$AZ$84,IFERROR(('Final Calculation Sheet'!$X$8)&amp;"","")))))&gt;0),IF(COUNTIF($BI$84:$BP$84,5)=0,TRUE,SUMPRODUCT(($BI$84:$BP$84=5)*($AS$84:$AZ$84&lt;&gt;"")*IF(((UPPER($AS$84:$AZ$84)="BLANK")+(UPPER($AS$84:$AZ$84)="(BLANK)")+(UPPER($AS$84:$AZ$84)="EMPTY")+(UPPER($AS$84:$AZ$84)="(EMPTY)"))&gt;0,IFERROR(('Final Calculation Sheet'!$X$8)&amp;"","")="",ISNUMBER(SEARCH($AS$84:$AZ$84,IFERROR(('Final Calculation Sheet'!$X$8)&amp;"","")))))&gt;0),IF(COUNTIF($BI$84:$BP$84,6)=0,TRUE,SUMPRODUCT(($BI$84:$BP$84=6)*($AS$84:$AZ$84&lt;&gt;"")*IF(((UPPER($AS$84:$AZ$84)="BLANK")+(UPPER($AS$84:$AZ$84)="(BLANK)")+(UPPER($AS$84:$AZ$84)="EMPTY")+(UPPER($AS$84:$AZ$84)="(EMPTY)"))&gt;0,IFERROR(('Final Calculation Sheet'!$X$8)&amp;"","")="",ISNUMBER(SEARCH($AS$84:$AZ$84,IFERROR(('Final Calculation Sheet'!$X$8)&amp;"","")))))&gt;0),IF(COUNTIF($BI$84:$BP$84,7)=0,TRUE,SUMPRODUCT(($BI$84:$BP$84=7)*($AS$84:$AZ$84&lt;&gt;"")*IF(((UPPER($AS$84:$AZ$84)="BLANK")+(UPPER($AS$84:$AZ$84)="(BLANK)")+(UPPER($AS$84:$AZ$84)="EMPTY")+(UPPER($AS$84:$AZ$84)="(EMPTY)"))&gt;0,IFERROR(('Final Calculation Sheet'!$X$8)&amp;"","")="",ISNUMBER(SEARCH($AS$84:$AZ$84,IFERROR(('Final Calculation Sheet'!$X$8)&amp;"","")))))&gt;0),IF(COUNTIF($BI$84:$BP$84,8)=0,TRUE,SUMPRODUCT(($BI$84:$BP$84=8)*($AS$84:$AZ$84&lt;&gt;"")*IF(((UPPER($AS$84:$AZ$84)="BLANK")+(UPPER($AS$84:$AZ$84)="(BLANK)")+(UPPER($AS$84:$AZ$84)="EMPTY")+(UPPER($AS$84:$AZ$84)="(EMPTY)"))&gt;0,IFERROR(('Final Calculation Sheet'!$X$8)&amp;"","")="",ISNUMBER(SEARCH($AS$84:$AZ$84,IFERROR(('Final Calculation Sheet'!$X$8)&amp;"","")))))&gt;0))))</f>
        <v>1</v>
      </c>
      <c r="CL9">
        <f>IF($Z$4="",1,--(AND(SUMPRODUCT(--($AS$85:$AZ$85&lt;&gt;""))&gt;0,IF(COUNTIF($BI$85:$BP$85,1)=0,TRUE,SUMPRODUCT(($BI$85:$BP$85=1)*($AS$85:$AZ$85&lt;&gt;"")*IF(((UPPER($AS$85:$AZ$85)="BLANK")+(UPPER($AS$85:$AZ$85)="(BLANK)")+(UPPER($AS$85:$AZ$85)="EMPTY")+(UPPER($AS$85:$AZ$85)="(EMPTY)"))&gt;0,IFERROR(('Final Calculation Sheet'!$Y$8)&amp;"","")="",ISNUMBER(SEARCH($AS$85:$AZ$85,IFERROR(('Final Calculation Sheet'!$Y$8)&amp;"","")))))&gt;0),IF(COUNTIF($BI$85:$BP$85,2)=0,TRUE,SUMPRODUCT(($BI$85:$BP$85=2)*($AS$85:$AZ$85&lt;&gt;"")*IF(((UPPER($AS$85:$AZ$85)="BLANK")+(UPPER($AS$85:$AZ$85)="(BLANK)")+(UPPER($AS$85:$AZ$85)="EMPTY")+(UPPER($AS$85:$AZ$85)="(EMPTY)"))&gt;0,IFERROR(('Final Calculation Sheet'!$Y$8)&amp;"","")="",ISNUMBER(SEARCH($AS$85:$AZ$85,IFERROR(('Final Calculation Sheet'!$Y$8)&amp;"","")))))&gt;0),IF(COUNTIF($BI$85:$BP$85,3)=0,TRUE,SUMPRODUCT(($BI$85:$BP$85=3)*($AS$85:$AZ$85&lt;&gt;"")*IF(((UPPER($AS$85:$AZ$85)="BLANK")+(UPPER($AS$85:$AZ$85)="(BLANK)")+(UPPER($AS$85:$AZ$85)="EMPTY")+(UPPER($AS$85:$AZ$85)="(EMPTY)"))&gt;0,IFERROR(('Final Calculation Sheet'!$Y$8)&amp;"","")="",ISNUMBER(SEARCH($AS$85:$AZ$85,IFERROR(('Final Calculation Sheet'!$Y$8)&amp;"","")))))&gt;0),IF(COUNTIF($BI$85:$BP$85,4)=0,TRUE,SUMPRODUCT(($BI$85:$BP$85=4)*($AS$85:$AZ$85&lt;&gt;"")*IF(((UPPER($AS$85:$AZ$85)="BLANK")+(UPPER($AS$85:$AZ$85)="(BLANK)")+(UPPER($AS$85:$AZ$85)="EMPTY")+(UPPER($AS$85:$AZ$85)="(EMPTY)"))&gt;0,IFERROR(('Final Calculation Sheet'!$Y$8)&amp;"","")="",ISNUMBER(SEARCH($AS$85:$AZ$85,IFERROR(('Final Calculation Sheet'!$Y$8)&amp;"","")))))&gt;0),IF(COUNTIF($BI$85:$BP$85,5)=0,TRUE,SUMPRODUCT(($BI$85:$BP$85=5)*($AS$85:$AZ$85&lt;&gt;"")*IF(((UPPER($AS$85:$AZ$85)="BLANK")+(UPPER($AS$85:$AZ$85)="(BLANK)")+(UPPER($AS$85:$AZ$85)="EMPTY")+(UPPER($AS$85:$AZ$85)="(EMPTY)"))&gt;0,IFERROR(('Final Calculation Sheet'!$Y$8)&amp;"","")="",ISNUMBER(SEARCH($AS$85:$AZ$85,IFERROR(('Final Calculation Sheet'!$Y$8)&amp;"","")))))&gt;0),IF(COUNTIF($BI$85:$BP$85,6)=0,TRUE,SUMPRODUCT(($BI$85:$BP$85=6)*($AS$85:$AZ$85&lt;&gt;"")*IF(((UPPER($AS$85:$AZ$85)="BLANK")+(UPPER($AS$85:$AZ$85)="(BLANK)")+(UPPER($AS$85:$AZ$85)="EMPTY")+(UPPER($AS$85:$AZ$85)="(EMPTY)"))&gt;0,IFERROR(('Final Calculation Sheet'!$Y$8)&amp;"","")="",ISNUMBER(SEARCH($AS$85:$AZ$85,IFERROR(('Final Calculation Sheet'!$Y$8)&amp;"","")))))&gt;0),IF(COUNTIF($BI$85:$BP$85,7)=0,TRUE,SUMPRODUCT(($BI$85:$BP$85=7)*($AS$85:$AZ$85&lt;&gt;"")*IF(((UPPER($AS$85:$AZ$85)="BLANK")+(UPPER($AS$85:$AZ$85)="(BLANK)")+(UPPER($AS$85:$AZ$85)="EMPTY")+(UPPER($AS$85:$AZ$85)="(EMPTY)"))&gt;0,IFERROR(('Final Calculation Sheet'!$Y$8)&amp;"","")="",ISNUMBER(SEARCH($AS$85:$AZ$85,IFERROR(('Final Calculation Sheet'!$Y$8)&amp;"","")))))&gt;0),IF(COUNTIF($BI$85:$BP$85,8)=0,TRUE,SUMPRODUCT(($BI$85:$BP$85=8)*($AS$85:$AZ$85&lt;&gt;"")*IF(((UPPER($AS$85:$AZ$85)="BLANK")+(UPPER($AS$85:$AZ$85)="(BLANK)")+(UPPER($AS$85:$AZ$85)="EMPTY")+(UPPER($AS$85:$AZ$85)="(EMPTY)"))&gt;0,IFERROR(('Final Calculation Sheet'!$Y$8)&amp;"","")="",ISNUMBER(SEARCH($AS$85:$AZ$85,IFERROR(('Final Calculation Sheet'!$Y$8)&amp;"","")))))&gt;0))))</f>
        <v>1</v>
      </c>
      <c r="CM9">
        <f>IF($AA$4="",1,--(AND(SUMPRODUCT(--($AS$86:$AZ$86&lt;&gt;""))&gt;0,IF(COUNTIF($BI$86:$BP$86,1)=0,TRUE,SUMPRODUCT(($BI$86:$BP$86=1)*($AS$86:$AZ$86&lt;&gt;"")*IF(((UPPER($AS$86:$AZ$86)="BLANK")+(UPPER($AS$86:$AZ$86)="(BLANK)")+(UPPER($AS$86:$AZ$86)="EMPTY")+(UPPER($AS$86:$AZ$86)="(EMPTY)"))&gt;0,IFERROR(('Final Calculation Sheet'!$Z$8)&amp;"","")="",ISNUMBER(SEARCH($AS$86:$AZ$86,IFERROR(('Final Calculation Sheet'!$Z$8)&amp;"","")))))&gt;0),IF(COUNTIF($BI$86:$BP$86,2)=0,TRUE,SUMPRODUCT(($BI$86:$BP$86=2)*($AS$86:$AZ$86&lt;&gt;"")*IF(((UPPER($AS$86:$AZ$86)="BLANK")+(UPPER($AS$86:$AZ$86)="(BLANK)")+(UPPER($AS$86:$AZ$86)="EMPTY")+(UPPER($AS$86:$AZ$86)="(EMPTY)"))&gt;0,IFERROR(('Final Calculation Sheet'!$Z$8)&amp;"","")="",ISNUMBER(SEARCH($AS$86:$AZ$86,IFERROR(('Final Calculation Sheet'!$Z$8)&amp;"","")))))&gt;0),IF(COUNTIF($BI$86:$BP$86,3)=0,TRUE,SUMPRODUCT(($BI$86:$BP$86=3)*($AS$86:$AZ$86&lt;&gt;"")*IF(((UPPER($AS$86:$AZ$86)="BLANK")+(UPPER($AS$86:$AZ$86)="(BLANK)")+(UPPER($AS$86:$AZ$86)="EMPTY")+(UPPER($AS$86:$AZ$86)="(EMPTY)"))&gt;0,IFERROR(('Final Calculation Sheet'!$Z$8)&amp;"","")="",ISNUMBER(SEARCH($AS$86:$AZ$86,IFERROR(('Final Calculation Sheet'!$Z$8)&amp;"","")))))&gt;0),IF(COUNTIF($BI$86:$BP$86,4)=0,TRUE,SUMPRODUCT(($BI$86:$BP$86=4)*($AS$86:$AZ$86&lt;&gt;"")*IF(((UPPER($AS$86:$AZ$86)="BLANK")+(UPPER($AS$86:$AZ$86)="(BLANK)")+(UPPER($AS$86:$AZ$86)="EMPTY")+(UPPER($AS$86:$AZ$86)="(EMPTY)"))&gt;0,IFERROR(('Final Calculation Sheet'!$Z$8)&amp;"","")="",ISNUMBER(SEARCH($AS$86:$AZ$86,IFERROR(('Final Calculation Sheet'!$Z$8)&amp;"","")))))&gt;0),IF(COUNTIF($BI$86:$BP$86,5)=0,TRUE,SUMPRODUCT(($BI$86:$BP$86=5)*($AS$86:$AZ$86&lt;&gt;"")*IF(((UPPER($AS$86:$AZ$86)="BLANK")+(UPPER($AS$86:$AZ$86)="(BLANK)")+(UPPER($AS$86:$AZ$86)="EMPTY")+(UPPER($AS$86:$AZ$86)="(EMPTY)"))&gt;0,IFERROR(('Final Calculation Sheet'!$Z$8)&amp;"","")="",ISNUMBER(SEARCH($AS$86:$AZ$86,IFERROR(('Final Calculation Sheet'!$Z$8)&amp;"","")))))&gt;0),IF(COUNTIF($BI$86:$BP$86,6)=0,TRUE,SUMPRODUCT(($BI$86:$BP$86=6)*($AS$86:$AZ$86&lt;&gt;"")*IF(((UPPER($AS$86:$AZ$86)="BLANK")+(UPPER($AS$86:$AZ$86)="(BLANK)")+(UPPER($AS$86:$AZ$86)="EMPTY")+(UPPER($AS$86:$AZ$86)="(EMPTY)"))&gt;0,IFERROR(('Final Calculation Sheet'!$Z$8)&amp;"","")="",ISNUMBER(SEARCH($AS$86:$AZ$86,IFERROR(('Final Calculation Sheet'!$Z$8)&amp;"","")))))&gt;0),IF(COUNTIF($BI$86:$BP$86,7)=0,TRUE,SUMPRODUCT(($BI$86:$BP$86=7)*($AS$86:$AZ$86&lt;&gt;"")*IF(((UPPER($AS$86:$AZ$86)="BLANK")+(UPPER($AS$86:$AZ$86)="(BLANK)")+(UPPER($AS$86:$AZ$86)="EMPTY")+(UPPER($AS$86:$AZ$86)="(EMPTY)"))&gt;0,IFERROR(('Final Calculation Sheet'!$Z$8)&amp;"","")="",ISNUMBER(SEARCH($AS$86:$AZ$86,IFERROR(('Final Calculation Sheet'!$Z$8)&amp;"","")))))&gt;0),IF(COUNTIF($BI$86:$BP$86,8)=0,TRUE,SUMPRODUCT(($BI$86:$BP$86=8)*($AS$86:$AZ$86&lt;&gt;"")*IF(((UPPER($AS$86:$AZ$86)="BLANK")+(UPPER($AS$86:$AZ$86)="(BLANK)")+(UPPER($AS$86:$AZ$86)="EMPTY")+(UPPER($AS$86:$AZ$86)="(EMPTY)"))&gt;0,IFERROR(('Final Calculation Sheet'!$Z$8)&amp;"","")="",ISNUMBER(SEARCH($AS$86:$AZ$86,IFERROR(('Final Calculation Sheet'!$Z$8)&amp;"","")))))&gt;0))))</f>
        <v>1</v>
      </c>
      <c r="CN9">
        <f>IF($AB$4="",1,--(AND(SUMPRODUCT(--($AS$87:$AZ$87&lt;&gt;""))&gt;0,IF(COUNTIF($BI$87:$BP$87,1)=0,TRUE,SUMPRODUCT(($BI$87:$BP$87=1)*($AS$87:$AZ$87&lt;&gt;"")*IF(((UPPER($AS$87:$AZ$87)="BLANK")+(UPPER($AS$87:$AZ$87)="(BLANK)")+(UPPER($AS$87:$AZ$87)="EMPTY")+(UPPER($AS$87:$AZ$87)="(EMPTY)"))&gt;0,IFERROR(('Final Calculation Sheet'!$AA$8)&amp;"","")="",ISNUMBER(SEARCH($AS$87:$AZ$87,IFERROR(('Final Calculation Sheet'!$AA$8)&amp;"","")))))&gt;0),IF(COUNTIF($BI$87:$BP$87,2)=0,TRUE,SUMPRODUCT(($BI$87:$BP$87=2)*($AS$87:$AZ$87&lt;&gt;"")*IF(((UPPER($AS$87:$AZ$87)="BLANK")+(UPPER($AS$87:$AZ$87)="(BLANK)")+(UPPER($AS$87:$AZ$87)="EMPTY")+(UPPER($AS$87:$AZ$87)="(EMPTY)"))&gt;0,IFERROR(('Final Calculation Sheet'!$AA$8)&amp;"","")="",ISNUMBER(SEARCH($AS$87:$AZ$87,IFERROR(('Final Calculation Sheet'!$AA$8)&amp;"","")))))&gt;0),IF(COUNTIF($BI$87:$BP$87,3)=0,TRUE,SUMPRODUCT(($BI$87:$BP$87=3)*($AS$87:$AZ$87&lt;&gt;"")*IF(((UPPER($AS$87:$AZ$87)="BLANK")+(UPPER($AS$87:$AZ$87)="(BLANK)")+(UPPER($AS$87:$AZ$87)="EMPTY")+(UPPER($AS$87:$AZ$87)="(EMPTY)"))&gt;0,IFERROR(('Final Calculation Sheet'!$AA$8)&amp;"","")="",ISNUMBER(SEARCH($AS$87:$AZ$87,IFERROR(('Final Calculation Sheet'!$AA$8)&amp;"","")))))&gt;0),IF(COUNTIF($BI$87:$BP$87,4)=0,TRUE,SUMPRODUCT(($BI$87:$BP$87=4)*($AS$87:$AZ$87&lt;&gt;"")*IF(((UPPER($AS$87:$AZ$87)="BLANK")+(UPPER($AS$87:$AZ$87)="(BLANK)")+(UPPER($AS$87:$AZ$87)="EMPTY")+(UPPER($AS$87:$AZ$87)="(EMPTY)"))&gt;0,IFERROR(('Final Calculation Sheet'!$AA$8)&amp;"","")="",ISNUMBER(SEARCH($AS$87:$AZ$87,IFERROR(('Final Calculation Sheet'!$AA$8)&amp;"","")))))&gt;0),IF(COUNTIF($BI$87:$BP$87,5)=0,TRUE,SUMPRODUCT(($BI$87:$BP$87=5)*($AS$87:$AZ$87&lt;&gt;"")*IF(((UPPER($AS$87:$AZ$87)="BLANK")+(UPPER($AS$87:$AZ$87)="(BLANK)")+(UPPER($AS$87:$AZ$87)="EMPTY")+(UPPER($AS$87:$AZ$87)="(EMPTY)"))&gt;0,IFERROR(('Final Calculation Sheet'!$AA$8)&amp;"","")="",ISNUMBER(SEARCH($AS$87:$AZ$87,IFERROR(('Final Calculation Sheet'!$AA$8)&amp;"","")))))&gt;0),IF(COUNTIF($BI$87:$BP$87,6)=0,TRUE,SUMPRODUCT(($BI$87:$BP$87=6)*($AS$87:$AZ$87&lt;&gt;"")*IF(((UPPER($AS$87:$AZ$87)="BLANK")+(UPPER($AS$87:$AZ$87)="(BLANK)")+(UPPER($AS$87:$AZ$87)="EMPTY")+(UPPER($AS$87:$AZ$87)="(EMPTY)"))&gt;0,IFERROR(('Final Calculation Sheet'!$AA$8)&amp;"","")="",ISNUMBER(SEARCH($AS$87:$AZ$87,IFERROR(('Final Calculation Sheet'!$AA$8)&amp;"","")))))&gt;0),IF(COUNTIF($BI$87:$BP$87,7)=0,TRUE,SUMPRODUCT(($BI$87:$BP$87=7)*($AS$87:$AZ$87&lt;&gt;"")*IF(((UPPER($AS$87:$AZ$87)="BLANK")+(UPPER($AS$87:$AZ$87)="(BLANK)")+(UPPER($AS$87:$AZ$87)="EMPTY")+(UPPER($AS$87:$AZ$87)="(EMPTY)"))&gt;0,IFERROR(('Final Calculation Sheet'!$AA$8)&amp;"","")="",ISNUMBER(SEARCH($AS$87:$AZ$87,IFERROR(('Final Calculation Sheet'!$AA$8)&amp;"","")))))&gt;0),IF(COUNTIF($BI$87:$BP$87,8)=0,TRUE,SUMPRODUCT(($BI$87:$BP$87=8)*($AS$87:$AZ$87&lt;&gt;"")*IF(((UPPER($AS$87:$AZ$87)="BLANK")+(UPPER($AS$87:$AZ$87)="(BLANK)")+(UPPER($AS$87:$AZ$87)="EMPTY")+(UPPER($AS$87:$AZ$87)="(EMPTY)"))&gt;0,IFERROR(('Final Calculation Sheet'!$AA$8)&amp;"","")="",ISNUMBER(SEARCH($AS$87:$AZ$87,IFERROR(('Final Calculation Sheet'!$AA$8)&amp;"","")))))&gt;0))))</f>
        <v>1</v>
      </c>
      <c r="CO9">
        <f>IF($AC$4="",1,--(AND(SUMPRODUCT(--($AS$88:$AZ$88&lt;&gt;""))&gt;0,IF(COUNTIF($BI$88:$BP$88,1)=0,TRUE,SUMPRODUCT(($BI$88:$BP$88=1)*($AS$88:$AZ$88&lt;&gt;"")*IF(((UPPER($AS$88:$AZ$88)="BLANK")+(UPPER($AS$88:$AZ$88)="(BLANK)")+(UPPER($AS$88:$AZ$88)="EMPTY")+(UPPER($AS$88:$AZ$88)="(EMPTY)"))&gt;0,IFERROR(('Final Calculation Sheet'!$AB$8)&amp;"","")="",ISNUMBER(SEARCH($AS$88:$AZ$88,IFERROR(('Final Calculation Sheet'!$AB$8)&amp;"","")))))&gt;0),IF(COUNTIF($BI$88:$BP$88,2)=0,TRUE,SUMPRODUCT(($BI$88:$BP$88=2)*($AS$88:$AZ$88&lt;&gt;"")*IF(((UPPER($AS$88:$AZ$88)="BLANK")+(UPPER($AS$88:$AZ$88)="(BLANK)")+(UPPER($AS$88:$AZ$88)="EMPTY")+(UPPER($AS$88:$AZ$88)="(EMPTY)"))&gt;0,IFERROR(('Final Calculation Sheet'!$AB$8)&amp;"","")="",ISNUMBER(SEARCH($AS$88:$AZ$88,IFERROR(('Final Calculation Sheet'!$AB$8)&amp;"","")))))&gt;0),IF(COUNTIF($BI$88:$BP$88,3)=0,TRUE,SUMPRODUCT(($BI$88:$BP$88=3)*($AS$88:$AZ$88&lt;&gt;"")*IF(((UPPER($AS$88:$AZ$88)="BLANK")+(UPPER($AS$88:$AZ$88)="(BLANK)")+(UPPER($AS$88:$AZ$88)="EMPTY")+(UPPER($AS$88:$AZ$88)="(EMPTY)"))&gt;0,IFERROR(('Final Calculation Sheet'!$AB$8)&amp;"","")="",ISNUMBER(SEARCH($AS$88:$AZ$88,IFERROR(('Final Calculation Sheet'!$AB$8)&amp;"","")))))&gt;0),IF(COUNTIF($BI$88:$BP$88,4)=0,TRUE,SUMPRODUCT(($BI$88:$BP$88=4)*($AS$88:$AZ$88&lt;&gt;"")*IF(((UPPER($AS$88:$AZ$88)="BLANK")+(UPPER($AS$88:$AZ$88)="(BLANK)")+(UPPER($AS$88:$AZ$88)="EMPTY")+(UPPER($AS$88:$AZ$88)="(EMPTY)"))&gt;0,IFERROR(('Final Calculation Sheet'!$AB$8)&amp;"","")="",ISNUMBER(SEARCH($AS$88:$AZ$88,IFERROR(('Final Calculation Sheet'!$AB$8)&amp;"","")))))&gt;0),IF(COUNTIF($BI$88:$BP$88,5)=0,TRUE,SUMPRODUCT(($BI$88:$BP$88=5)*($AS$88:$AZ$88&lt;&gt;"")*IF(((UPPER($AS$88:$AZ$88)="BLANK")+(UPPER($AS$88:$AZ$88)="(BLANK)")+(UPPER($AS$88:$AZ$88)="EMPTY")+(UPPER($AS$88:$AZ$88)="(EMPTY)"))&gt;0,IFERROR(('Final Calculation Sheet'!$AB$8)&amp;"","")="",ISNUMBER(SEARCH($AS$88:$AZ$88,IFERROR(('Final Calculation Sheet'!$AB$8)&amp;"","")))))&gt;0),IF(COUNTIF($BI$88:$BP$88,6)=0,TRUE,SUMPRODUCT(($BI$88:$BP$88=6)*($AS$88:$AZ$88&lt;&gt;"")*IF(((UPPER($AS$88:$AZ$88)="BLANK")+(UPPER($AS$88:$AZ$88)="(BLANK)")+(UPPER($AS$88:$AZ$88)="EMPTY")+(UPPER($AS$88:$AZ$88)="(EMPTY)"))&gt;0,IFERROR(('Final Calculation Sheet'!$AB$8)&amp;"","")="",ISNUMBER(SEARCH($AS$88:$AZ$88,IFERROR(('Final Calculation Sheet'!$AB$8)&amp;"","")))))&gt;0),IF(COUNTIF($BI$88:$BP$88,7)=0,TRUE,SUMPRODUCT(($BI$88:$BP$88=7)*($AS$88:$AZ$88&lt;&gt;"")*IF(((UPPER($AS$88:$AZ$88)="BLANK")+(UPPER($AS$88:$AZ$88)="(BLANK)")+(UPPER($AS$88:$AZ$88)="EMPTY")+(UPPER($AS$88:$AZ$88)="(EMPTY)"))&gt;0,IFERROR(('Final Calculation Sheet'!$AB$8)&amp;"","")="",ISNUMBER(SEARCH($AS$88:$AZ$88,IFERROR(('Final Calculation Sheet'!$AB$8)&amp;"","")))))&gt;0),IF(COUNTIF($BI$88:$BP$88,8)=0,TRUE,SUMPRODUCT(($BI$88:$BP$88=8)*($AS$88:$AZ$88&lt;&gt;"")*IF(((UPPER($AS$88:$AZ$88)="BLANK")+(UPPER($AS$88:$AZ$88)="(BLANK)")+(UPPER($AS$88:$AZ$88)="EMPTY")+(UPPER($AS$88:$AZ$88)="(EMPTY)"))&gt;0,IFERROR(('Final Calculation Sheet'!$AB$8)&amp;"","")="",ISNUMBER(SEARCH($AS$88:$AZ$88,IFERROR(('Final Calculation Sheet'!$AB$8)&amp;"","")))))&gt;0))))</f>
        <v>1</v>
      </c>
      <c r="CP9">
        <f>IF($AD$4="",1,--(AND(SUMPRODUCT(--($AS$89:$AZ$89&lt;&gt;""))&gt;0,IF(COUNTIF($BI$89:$BP$89,1)=0,TRUE,SUMPRODUCT(($BI$89:$BP$89=1)*($AS$89:$AZ$89&lt;&gt;"")*IF(((UPPER($AS$89:$AZ$89)="BLANK")+(UPPER($AS$89:$AZ$89)="(BLANK)")+(UPPER($AS$89:$AZ$89)="EMPTY")+(UPPER($AS$89:$AZ$89)="(EMPTY)"))&gt;0,IFERROR(('Final Calculation Sheet'!$AC$8)&amp;"","")="",ISNUMBER(SEARCH($AS$89:$AZ$89,IFERROR(('Final Calculation Sheet'!$AC$8)&amp;"","")))))&gt;0),IF(COUNTIF($BI$89:$BP$89,2)=0,TRUE,SUMPRODUCT(($BI$89:$BP$89=2)*($AS$89:$AZ$89&lt;&gt;"")*IF(((UPPER($AS$89:$AZ$89)="BLANK")+(UPPER($AS$89:$AZ$89)="(BLANK)")+(UPPER($AS$89:$AZ$89)="EMPTY")+(UPPER($AS$89:$AZ$89)="(EMPTY)"))&gt;0,IFERROR(('Final Calculation Sheet'!$AC$8)&amp;"","")="",ISNUMBER(SEARCH($AS$89:$AZ$89,IFERROR(('Final Calculation Sheet'!$AC$8)&amp;"","")))))&gt;0),IF(COUNTIF($BI$89:$BP$89,3)=0,TRUE,SUMPRODUCT(($BI$89:$BP$89=3)*($AS$89:$AZ$89&lt;&gt;"")*IF(((UPPER($AS$89:$AZ$89)="BLANK")+(UPPER($AS$89:$AZ$89)="(BLANK)")+(UPPER($AS$89:$AZ$89)="EMPTY")+(UPPER($AS$89:$AZ$89)="(EMPTY)"))&gt;0,IFERROR(('Final Calculation Sheet'!$AC$8)&amp;"","")="",ISNUMBER(SEARCH($AS$89:$AZ$89,IFERROR(('Final Calculation Sheet'!$AC$8)&amp;"","")))))&gt;0),IF(COUNTIF($BI$89:$BP$89,4)=0,TRUE,SUMPRODUCT(($BI$89:$BP$89=4)*($AS$89:$AZ$89&lt;&gt;"")*IF(((UPPER($AS$89:$AZ$89)="BLANK")+(UPPER($AS$89:$AZ$89)="(BLANK)")+(UPPER($AS$89:$AZ$89)="EMPTY")+(UPPER($AS$89:$AZ$89)="(EMPTY)"))&gt;0,IFERROR(('Final Calculation Sheet'!$AC$8)&amp;"","")="",ISNUMBER(SEARCH($AS$89:$AZ$89,IFERROR(('Final Calculation Sheet'!$AC$8)&amp;"","")))))&gt;0),IF(COUNTIF($BI$89:$BP$89,5)=0,TRUE,SUMPRODUCT(($BI$89:$BP$89=5)*($AS$89:$AZ$89&lt;&gt;"")*IF(((UPPER($AS$89:$AZ$89)="BLANK")+(UPPER($AS$89:$AZ$89)="(BLANK)")+(UPPER($AS$89:$AZ$89)="EMPTY")+(UPPER($AS$89:$AZ$89)="(EMPTY)"))&gt;0,IFERROR(('Final Calculation Sheet'!$AC$8)&amp;"","")="",ISNUMBER(SEARCH($AS$89:$AZ$89,IFERROR(('Final Calculation Sheet'!$AC$8)&amp;"","")))))&gt;0),IF(COUNTIF($BI$89:$BP$89,6)=0,TRUE,SUMPRODUCT(($BI$89:$BP$89=6)*($AS$89:$AZ$89&lt;&gt;"")*IF(((UPPER($AS$89:$AZ$89)="BLANK")+(UPPER($AS$89:$AZ$89)="(BLANK)")+(UPPER($AS$89:$AZ$89)="EMPTY")+(UPPER($AS$89:$AZ$89)="(EMPTY)"))&gt;0,IFERROR(('Final Calculation Sheet'!$AC$8)&amp;"","")="",ISNUMBER(SEARCH($AS$89:$AZ$89,IFERROR(('Final Calculation Sheet'!$AC$8)&amp;"","")))))&gt;0),IF(COUNTIF($BI$89:$BP$89,7)=0,TRUE,SUMPRODUCT(($BI$89:$BP$89=7)*($AS$89:$AZ$89&lt;&gt;"")*IF(((UPPER($AS$89:$AZ$89)="BLANK")+(UPPER($AS$89:$AZ$89)="(BLANK)")+(UPPER($AS$89:$AZ$89)="EMPTY")+(UPPER($AS$89:$AZ$89)="(EMPTY)"))&gt;0,IFERROR(('Final Calculation Sheet'!$AC$8)&amp;"","")="",ISNUMBER(SEARCH($AS$89:$AZ$89,IFERROR(('Final Calculation Sheet'!$AC$8)&amp;"","")))))&gt;0),IF(COUNTIF($BI$89:$BP$89,8)=0,TRUE,SUMPRODUCT(($BI$89:$BP$89=8)*($AS$89:$AZ$89&lt;&gt;"")*IF(((UPPER($AS$89:$AZ$89)="BLANK")+(UPPER($AS$89:$AZ$89)="(BLANK)")+(UPPER($AS$89:$AZ$89)="EMPTY")+(UPPER($AS$89:$AZ$89)="(EMPTY)"))&gt;0,IFERROR(('Final Calculation Sheet'!$AC$8)&amp;"","")="",ISNUMBER(SEARCH($AS$89:$AZ$89,IFERROR(('Final Calculation Sheet'!$AC$8)&amp;"","")))))&gt;0))))</f>
        <v>1</v>
      </c>
      <c r="CQ9">
        <f>IF($AE$4="",1,--(AND(SUMPRODUCT(--($AS$90:$AZ$90&lt;&gt;""))&gt;0,IF(COUNTIF($BI$90:$BP$90,1)=0,TRUE,SUMPRODUCT(($BI$90:$BP$90=1)*($AS$90:$AZ$90&lt;&gt;"")*IF(((UPPER($AS$90:$AZ$90)="BLANK")+(UPPER($AS$90:$AZ$90)="(BLANK)")+(UPPER($AS$90:$AZ$90)="EMPTY")+(UPPER($AS$90:$AZ$90)="(EMPTY)"))&gt;0,IFERROR(('Final Calculation Sheet'!$AD$8)&amp;"","")="",ISNUMBER(SEARCH($AS$90:$AZ$90,IFERROR(('Final Calculation Sheet'!$AD$8)&amp;"","")))))&gt;0),IF(COUNTIF($BI$90:$BP$90,2)=0,TRUE,SUMPRODUCT(($BI$90:$BP$90=2)*($AS$90:$AZ$90&lt;&gt;"")*IF(((UPPER($AS$90:$AZ$90)="BLANK")+(UPPER($AS$90:$AZ$90)="(BLANK)")+(UPPER($AS$90:$AZ$90)="EMPTY")+(UPPER($AS$90:$AZ$90)="(EMPTY)"))&gt;0,IFERROR(('Final Calculation Sheet'!$AD$8)&amp;"","")="",ISNUMBER(SEARCH($AS$90:$AZ$90,IFERROR(('Final Calculation Sheet'!$AD$8)&amp;"","")))))&gt;0),IF(COUNTIF($BI$90:$BP$90,3)=0,TRUE,SUMPRODUCT(($BI$90:$BP$90=3)*($AS$90:$AZ$90&lt;&gt;"")*IF(((UPPER($AS$90:$AZ$90)="BLANK")+(UPPER($AS$90:$AZ$90)="(BLANK)")+(UPPER($AS$90:$AZ$90)="EMPTY")+(UPPER($AS$90:$AZ$90)="(EMPTY)"))&gt;0,IFERROR(('Final Calculation Sheet'!$AD$8)&amp;"","")="",ISNUMBER(SEARCH($AS$90:$AZ$90,IFERROR(('Final Calculation Sheet'!$AD$8)&amp;"","")))))&gt;0),IF(COUNTIF($BI$90:$BP$90,4)=0,TRUE,SUMPRODUCT(($BI$90:$BP$90=4)*($AS$90:$AZ$90&lt;&gt;"")*IF(((UPPER($AS$90:$AZ$90)="BLANK")+(UPPER($AS$90:$AZ$90)="(BLANK)")+(UPPER($AS$90:$AZ$90)="EMPTY")+(UPPER($AS$90:$AZ$90)="(EMPTY)"))&gt;0,IFERROR(('Final Calculation Sheet'!$AD$8)&amp;"","")="",ISNUMBER(SEARCH($AS$90:$AZ$90,IFERROR(('Final Calculation Sheet'!$AD$8)&amp;"","")))))&gt;0),IF(COUNTIF($BI$90:$BP$90,5)=0,TRUE,SUMPRODUCT(($BI$90:$BP$90=5)*($AS$90:$AZ$90&lt;&gt;"")*IF(((UPPER($AS$90:$AZ$90)="BLANK")+(UPPER($AS$90:$AZ$90)="(BLANK)")+(UPPER($AS$90:$AZ$90)="EMPTY")+(UPPER($AS$90:$AZ$90)="(EMPTY)"))&gt;0,IFERROR(('Final Calculation Sheet'!$AD$8)&amp;"","")="",ISNUMBER(SEARCH($AS$90:$AZ$90,IFERROR(('Final Calculation Sheet'!$AD$8)&amp;"","")))))&gt;0),IF(COUNTIF($BI$90:$BP$90,6)=0,TRUE,SUMPRODUCT(($BI$90:$BP$90=6)*($AS$90:$AZ$90&lt;&gt;"")*IF(((UPPER($AS$90:$AZ$90)="BLANK")+(UPPER($AS$90:$AZ$90)="(BLANK)")+(UPPER($AS$90:$AZ$90)="EMPTY")+(UPPER($AS$90:$AZ$90)="(EMPTY)"))&gt;0,IFERROR(('Final Calculation Sheet'!$AD$8)&amp;"","")="",ISNUMBER(SEARCH($AS$90:$AZ$90,IFERROR(('Final Calculation Sheet'!$AD$8)&amp;"","")))))&gt;0),IF(COUNTIF($BI$90:$BP$90,7)=0,TRUE,SUMPRODUCT(($BI$90:$BP$90=7)*($AS$90:$AZ$90&lt;&gt;"")*IF(((UPPER($AS$90:$AZ$90)="BLANK")+(UPPER($AS$90:$AZ$90)="(BLANK)")+(UPPER($AS$90:$AZ$90)="EMPTY")+(UPPER($AS$90:$AZ$90)="(EMPTY)"))&gt;0,IFERROR(('Final Calculation Sheet'!$AD$8)&amp;"","")="",ISNUMBER(SEARCH($AS$90:$AZ$90,IFERROR(('Final Calculation Sheet'!$AD$8)&amp;"","")))))&gt;0),IF(COUNTIF($BI$90:$BP$90,8)=0,TRUE,SUMPRODUCT(($BI$90:$BP$90=8)*($AS$90:$AZ$90&lt;&gt;"")*IF(((UPPER($AS$90:$AZ$90)="BLANK")+(UPPER($AS$90:$AZ$90)="(BLANK)")+(UPPER($AS$90:$AZ$90)="EMPTY")+(UPPER($AS$90:$AZ$90)="(EMPTY)"))&gt;0,IFERROR(('Final Calculation Sheet'!$AD$8)&amp;"","")="",ISNUMBER(SEARCH($AS$90:$AZ$90,IFERROR(('Final Calculation Sheet'!$AD$8)&amp;"","")))))&gt;0))))</f>
        <v>1</v>
      </c>
      <c r="CR9">
        <f>IF($AF$4="",1,--(AND(SUMPRODUCT(--($AS$91:$AZ$91&lt;&gt;""))&gt;0,IF(COUNTIF($BI$91:$BP$91,1)=0,TRUE,SUMPRODUCT(($BI$91:$BP$91=1)*($AS$91:$AZ$91&lt;&gt;"")*IF(((UPPER($AS$91:$AZ$91)="BLANK")+(UPPER($AS$91:$AZ$91)="(BLANK)")+(UPPER($AS$91:$AZ$91)="EMPTY")+(UPPER($AS$91:$AZ$91)="(EMPTY)"))&gt;0,IFERROR(('Final Calculation Sheet'!$AE$8)&amp;"","")="",ISNUMBER(SEARCH($AS$91:$AZ$91,IFERROR(('Final Calculation Sheet'!$AE$8)&amp;"","")))))&gt;0),IF(COUNTIF($BI$91:$BP$91,2)=0,TRUE,SUMPRODUCT(($BI$91:$BP$91=2)*($AS$91:$AZ$91&lt;&gt;"")*IF(((UPPER($AS$91:$AZ$91)="BLANK")+(UPPER($AS$91:$AZ$91)="(BLANK)")+(UPPER($AS$91:$AZ$91)="EMPTY")+(UPPER($AS$91:$AZ$91)="(EMPTY)"))&gt;0,IFERROR(('Final Calculation Sheet'!$AE$8)&amp;"","")="",ISNUMBER(SEARCH($AS$91:$AZ$91,IFERROR(('Final Calculation Sheet'!$AE$8)&amp;"","")))))&gt;0),IF(COUNTIF($BI$91:$BP$91,3)=0,TRUE,SUMPRODUCT(($BI$91:$BP$91=3)*($AS$91:$AZ$91&lt;&gt;"")*IF(((UPPER($AS$91:$AZ$91)="BLANK")+(UPPER($AS$91:$AZ$91)="(BLANK)")+(UPPER($AS$91:$AZ$91)="EMPTY")+(UPPER($AS$91:$AZ$91)="(EMPTY)"))&gt;0,IFERROR(('Final Calculation Sheet'!$AE$8)&amp;"","")="",ISNUMBER(SEARCH($AS$91:$AZ$91,IFERROR(('Final Calculation Sheet'!$AE$8)&amp;"","")))))&gt;0),IF(COUNTIF($BI$91:$BP$91,4)=0,TRUE,SUMPRODUCT(($BI$91:$BP$91=4)*($AS$91:$AZ$91&lt;&gt;"")*IF(((UPPER($AS$91:$AZ$91)="BLANK")+(UPPER($AS$91:$AZ$91)="(BLANK)")+(UPPER($AS$91:$AZ$91)="EMPTY")+(UPPER($AS$91:$AZ$91)="(EMPTY)"))&gt;0,IFERROR(('Final Calculation Sheet'!$AE$8)&amp;"","")="",ISNUMBER(SEARCH($AS$91:$AZ$91,IFERROR(('Final Calculation Sheet'!$AE$8)&amp;"","")))))&gt;0),IF(COUNTIF($BI$91:$BP$91,5)=0,TRUE,SUMPRODUCT(($BI$91:$BP$91=5)*($AS$91:$AZ$91&lt;&gt;"")*IF(((UPPER($AS$91:$AZ$91)="BLANK")+(UPPER($AS$91:$AZ$91)="(BLANK)")+(UPPER($AS$91:$AZ$91)="EMPTY")+(UPPER($AS$91:$AZ$91)="(EMPTY)"))&gt;0,IFERROR(('Final Calculation Sheet'!$AE$8)&amp;"","")="",ISNUMBER(SEARCH($AS$91:$AZ$91,IFERROR(('Final Calculation Sheet'!$AE$8)&amp;"","")))))&gt;0),IF(COUNTIF($BI$91:$BP$91,6)=0,TRUE,SUMPRODUCT(($BI$91:$BP$91=6)*($AS$91:$AZ$91&lt;&gt;"")*IF(((UPPER($AS$91:$AZ$91)="BLANK")+(UPPER($AS$91:$AZ$91)="(BLANK)")+(UPPER($AS$91:$AZ$91)="EMPTY")+(UPPER($AS$91:$AZ$91)="(EMPTY)"))&gt;0,IFERROR(('Final Calculation Sheet'!$AE$8)&amp;"","")="",ISNUMBER(SEARCH($AS$91:$AZ$91,IFERROR(('Final Calculation Sheet'!$AE$8)&amp;"","")))))&gt;0),IF(COUNTIF($BI$91:$BP$91,7)=0,TRUE,SUMPRODUCT(($BI$91:$BP$91=7)*($AS$91:$AZ$91&lt;&gt;"")*IF(((UPPER($AS$91:$AZ$91)="BLANK")+(UPPER($AS$91:$AZ$91)="(BLANK)")+(UPPER($AS$91:$AZ$91)="EMPTY")+(UPPER($AS$91:$AZ$91)="(EMPTY)"))&gt;0,IFERROR(('Final Calculation Sheet'!$AE$8)&amp;"","")="",ISNUMBER(SEARCH($AS$91:$AZ$91,IFERROR(('Final Calculation Sheet'!$AE$8)&amp;"","")))))&gt;0),IF(COUNTIF($BI$91:$BP$91,8)=0,TRUE,SUMPRODUCT(($BI$91:$BP$91=8)*($AS$91:$AZ$91&lt;&gt;"")*IF(((UPPER($AS$91:$AZ$91)="BLANK")+(UPPER($AS$91:$AZ$91)="(BLANK)")+(UPPER($AS$91:$AZ$91)="EMPTY")+(UPPER($AS$91:$AZ$91)="(EMPTY)"))&gt;0,IFERROR(('Final Calculation Sheet'!$AE$8)&amp;"","")="",ISNUMBER(SEARCH($AS$91:$AZ$91,IFERROR(('Final Calculation Sheet'!$AE$8)&amp;"","")))))&gt;0))))</f>
        <v>1</v>
      </c>
      <c r="CS9">
        <f>IF($AG$4="",1,--(AND(SUMPRODUCT(--($AS$92:$AZ$92&lt;&gt;""))&gt;0,IF(COUNTIF($BI$92:$BP$92,1)=0,TRUE,SUMPRODUCT(($BI$92:$BP$92=1)*($AS$92:$AZ$92&lt;&gt;"")*IF(((UPPER($AS$92:$AZ$92)="BLANK")+(UPPER($AS$92:$AZ$92)="(BLANK)")+(UPPER($AS$92:$AZ$92)="EMPTY")+(UPPER($AS$92:$AZ$92)="(EMPTY)"))&gt;0,IFERROR(('Final Calculation Sheet'!$AF$8)&amp;"","")="",ISNUMBER(SEARCH($AS$92:$AZ$92,IFERROR(('Final Calculation Sheet'!$AF$8)&amp;"","")))))&gt;0),IF(COUNTIF($BI$92:$BP$92,2)=0,TRUE,SUMPRODUCT(($BI$92:$BP$92=2)*($AS$92:$AZ$92&lt;&gt;"")*IF(((UPPER($AS$92:$AZ$92)="BLANK")+(UPPER($AS$92:$AZ$92)="(BLANK)")+(UPPER($AS$92:$AZ$92)="EMPTY")+(UPPER($AS$92:$AZ$92)="(EMPTY)"))&gt;0,IFERROR(('Final Calculation Sheet'!$AF$8)&amp;"","")="",ISNUMBER(SEARCH($AS$92:$AZ$92,IFERROR(('Final Calculation Sheet'!$AF$8)&amp;"","")))))&gt;0),IF(COUNTIF($BI$92:$BP$92,3)=0,TRUE,SUMPRODUCT(($BI$92:$BP$92=3)*($AS$92:$AZ$92&lt;&gt;"")*IF(((UPPER($AS$92:$AZ$92)="BLANK")+(UPPER($AS$92:$AZ$92)="(BLANK)")+(UPPER($AS$92:$AZ$92)="EMPTY")+(UPPER($AS$92:$AZ$92)="(EMPTY)"))&gt;0,IFERROR(('Final Calculation Sheet'!$AF$8)&amp;"","")="",ISNUMBER(SEARCH($AS$92:$AZ$92,IFERROR(('Final Calculation Sheet'!$AF$8)&amp;"","")))))&gt;0),IF(COUNTIF($BI$92:$BP$92,4)=0,TRUE,SUMPRODUCT(($BI$92:$BP$92=4)*($AS$92:$AZ$92&lt;&gt;"")*IF(((UPPER($AS$92:$AZ$92)="BLANK")+(UPPER($AS$92:$AZ$92)="(BLANK)")+(UPPER($AS$92:$AZ$92)="EMPTY")+(UPPER($AS$92:$AZ$92)="(EMPTY)"))&gt;0,IFERROR(('Final Calculation Sheet'!$AF$8)&amp;"","")="",ISNUMBER(SEARCH($AS$92:$AZ$92,IFERROR(('Final Calculation Sheet'!$AF$8)&amp;"","")))))&gt;0),IF(COUNTIF($BI$92:$BP$92,5)=0,TRUE,SUMPRODUCT(($BI$92:$BP$92=5)*($AS$92:$AZ$92&lt;&gt;"")*IF(((UPPER($AS$92:$AZ$92)="BLANK")+(UPPER($AS$92:$AZ$92)="(BLANK)")+(UPPER($AS$92:$AZ$92)="EMPTY")+(UPPER($AS$92:$AZ$92)="(EMPTY)"))&gt;0,IFERROR(('Final Calculation Sheet'!$AF$8)&amp;"","")="",ISNUMBER(SEARCH($AS$92:$AZ$92,IFERROR(('Final Calculation Sheet'!$AF$8)&amp;"","")))))&gt;0),IF(COUNTIF($BI$92:$BP$92,6)=0,TRUE,SUMPRODUCT(($BI$92:$BP$92=6)*($AS$92:$AZ$92&lt;&gt;"")*IF(((UPPER($AS$92:$AZ$92)="BLANK")+(UPPER($AS$92:$AZ$92)="(BLANK)")+(UPPER($AS$92:$AZ$92)="EMPTY")+(UPPER($AS$92:$AZ$92)="(EMPTY)"))&gt;0,IFERROR(('Final Calculation Sheet'!$AF$8)&amp;"","")="",ISNUMBER(SEARCH($AS$92:$AZ$92,IFERROR(('Final Calculation Sheet'!$AF$8)&amp;"","")))))&gt;0),IF(COUNTIF($BI$92:$BP$92,7)=0,TRUE,SUMPRODUCT(($BI$92:$BP$92=7)*($AS$92:$AZ$92&lt;&gt;"")*IF(((UPPER($AS$92:$AZ$92)="BLANK")+(UPPER($AS$92:$AZ$92)="(BLANK)")+(UPPER($AS$92:$AZ$92)="EMPTY")+(UPPER($AS$92:$AZ$92)="(EMPTY)"))&gt;0,IFERROR(('Final Calculation Sheet'!$AF$8)&amp;"","")="",ISNUMBER(SEARCH($AS$92:$AZ$92,IFERROR(('Final Calculation Sheet'!$AF$8)&amp;"","")))))&gt;0),IF(COUNTIF($BI$92:$BP$92,8)=0,TRUE,SUMPRODUCT(($BI$92:$BP$92=8)*($AS$92:$AZ$92&lt;&gt;"")*IF(((UPPER($AS$92:$AZ$92)="BLANK")+(UPPER($AS$92:$AZ$92)="(BLANK)")+(UPPER($AS$92:$AZ$92)="EMPTY")+(UPPER($AS$92:$AZ$92)="(EMPTY)"))&gt;0,IFERROR(('Final Calculation Sheet'!$AF$8)&amp;"","")="",ISNUMBER(SEARCH($AS$92:$AZ$92,IFERROR(('Final Calculation Sheet'!$AF$8)&amp;"","")))))&gt;0))))</f>
        <v>1</v>
      </c>
      <c r="CT9">
        <f>IF($AH$4="",1,--(AND(SUMPRODUCT(--($AS$93:$AZ$93&lt;&gt;""))&gt;0,IF(COUNTIF($BI$93:$BP$93,1)=0,TRUE,SUMPRODUCT(($BI$93:$BP$93=1)*($AS$93:$AZ$93&lt;&gt;"")*IF(((UPPER($AS$93:$AZ$93)="BLANK")+(UPPER($AS$93:$AZ$93)="(BLANK)")+(UPPER($AS$93:$AZ$93)="EMPTY")+(UPPER($AS$93:$AZ$93)="(EMPTY)"))&gt;0,IFERROR(('Final Calculation Sheet'!$AG$8)&amp;"","")="",ISNUMBER(SEARCH($AS$93:$AZ$93,IFERROR(('Final Calculation Sheet'!$AG$8)&amp;"","")))))&gt;0),IF(COUNTIF($BI$93:$BP$93,2)=0,TRUE,SUMPRODUCT(($BI$93:$BP$93=2)*($AS$93:$AZ$93&lt;&gt;"")*IF(((UPPER($AS$93:$AZ$93)="BLANK")+(UPPER($AS$93:$AZ$93)="(BLANK)")+(UPPER($AS$93:$AZ$93)="EMPTY")+(UPPER($AS$93:$AZ$93)="(EMPTY)"))&gt;0,IFERROR(('Final Calculation Sheet'!$AG$8)&amp;"","")="",ISNUMBER(SEARCH($AS$93:$AZ$93,IFERROR(('Final Calculation Sheet'!$AG$8)&amp;"","")))))&gt;0),IF(COUNTIF($BI$93:$BP$93,3)=0,TRUE,SUMPRODUCT(($BI$93:$BP$93=3)*($AS$93:$AZ$93&lt;&gt;"")*IF(((UPPER($AS$93:$AZ$93)="BLANK")+(UPPER($AS$93:$AZ$93)="(BLANK)")+(UPPER($AS$93:$AZ$93)="EMPTY")+(UPPER($AS$93:$AZ$93)="(EMPTY)"))&gt;0,IFERROR(('Final Calculation Sheet'!$AG$8)&amp;"","")="",ISNUMBER(SEARCH($AS$93:$AZ$93,IFERROR(('Final Calculation Sheet'!$AG$8)&amp;"","")))))&gt;0),IF(COUNTIF($BI$93:$BP$93,4)=0,TRUE,SUMPRODUCT(($BI$93:$BP$93=4)*($AS$93:$AZ$93&lt;&gt;"")*IF(((UPPER($AS$93:$AZ$93)="BLANK")+(UPPER($AS$93:$AZ$93)="(BLANK)")+(UPPER($AS$93:$AZ$93)="EMPTY")+(UPPER($AS$93:$AZ$93)="(EMPTY)"))&gt;0,IFERROR(('Final Calculation Sheet'!$AG$8)&amp;"","")="",ISNUMBER(SEARCH($AS$93:$AZ$93,IFERROR(('Final Calculation Sheet'!$AG$8)&amp;"","")))))&gt;0),IF(COUNTIF($BI$93:$BP$93,5)=0,TRUE,SUMPRODUCT(($BI$93:$BP$93=5)*($AS$93:$AZ$93&lt;&gt;"")*IF(((UPPER($AS$93:$AZ$93)="BLANK")+(UPPER($AS$93:$AZ$93)="(BLANK)")+(UPPER($AS$93:$AZ$93)="EMPTY")+(UPPER($AS$93:$AZ$93)="(EMPTY)"))&gt;0,IFERROR(('Final Calculation Sheet'!$AG$8)&amp;"","")="",ISNUMBER(SEARCH($AS$93:$AZ$93,IFERROR(('Final Calculation Sheet'!$AG$8)&amp;"","")))))&gt;0),IF(COUNTIF($BI$93:$BP$93,6)=0,TRUE,SUMPRODUCT(($BI$93:$BP$93=6)*($AS$93:$AZ$93&lt;&gt;"")*IF(((UPPER($AS$93:$AZ$93)="BLANK")+(UPPER($AS$93:$AZ$93)="(BLANK)")+(UPPER($AS$93:$AZ$93)="EMPTY")+(UPPER($AS$93:$AZ$93)="(EMPTY)"))&gt;0,IFERROR(('Final Calculation Sheet'!$AG$8)&amp;"","")="",ISNUMBER(SEARCH($AS$93:$AZ$93,IFERROR(('Final Calculation Sheet'!$AG$8)&amp;"","")))))&gt;0),IF(COUNTIF($BI$93:$BP$93,7)=0,TRUE,SUMPRODUCT(($BI$93:$BP$93=7)*($AS$93:$AZ$93&lt;&gt;"")*IF(((UPPER($AS$93:$AZ$93)="BLANK")+(UPPER($AS$93:$AZ$93)="(BLANK)")+(UPPER($AS$93:$AZ$93)="EMPTY")+(UPPER($AS$93:$AZ$93)="(EMPTY)"))&gt;0,IFERROR(('Final Calculation Sheet'!$AG$8)&amp;"","")="",ISNUMBER(SEARCH($AS$93:$AZ$93,IFERROR(('Final Calculation Sheet'!$AG$8)&amp;"","")))))&gt;0),IF(COUNTIF($BI$93:$BP$93,8)=0,TRUE,SUMPRODUCT(($BI$93:$BP$93=8)*($AS$93:$AZ$93&lt;&gt;"")*IF(((UPPER($AS$93:$AZ$93)="BLANK")+(UPPER($AS$93:$AZ$93)="(BLANK)")+(UPPER($AS$93:$AZ$93)="EMPTY")+(UPPER($AS$93:$AZ$93)="(EMPTY)"))&gt;0,IFERROR(('Final Calculation Sheet'!$AG$8)&amp;"","")="",ISNUMBER(SEARCH($AS$93:$AZ$93,IFERROR(('Final Calculation Sheet'!$AG$8)&amp;"","")))))&gt;0))))</f>
        <v>1</v>
      </c>
      <c r="CU9">
        <f>IF($AI$4="",1,--(AND(SUMPRODUCT(--($AS$94:$AZ$94&lt;&gt;""))&gt;0,IF(COUNTIF($BI$94:$BP$94,1)=0,TRUE,SUMPRODUCT(($BI$94:$BP$94=1)*($AS$94:$AZ$94&lt;&gt;"")*IF(((UPPER($AS$94:$AZ$94)="BLANK")+(UPPER($AS$94:$AZ$94)="(BLANK)")+(UPPER($AS$94:$AZ$94)="EMPTY")+(UPPER($AS$94:$AZ$94)="(EMPTY)"))&gt;0,IFERROR((IF('Final Calculation Sheet'!$AD$8&lt;=0,"SETTLED","OUTSTANDING"))&amp;"","")="",ISNUMBER(SEARCH($AS$94:$AZ$94,IFERROR((IF('Final Calculation Sheet'!$AD$8&lt;=0,"SETTLED","OUTSTANDING"))&amp;"","")))))&gt;0),IF(COUNTIF($BI$94:$BP$94,2)=0,TRUE,SUMPRODUCT(($BI$94:$BP$94=2)*($AS$94:$AZ$94&lt;&gt;"")*IF(((UPPER($AS$94:$AZ$94)="BLANK")+(UPPER($AS$94:$AZ$94)="(BLANK)")+(UPPER($AS$94:$AZ$94)="EMPTY")+(UPPER($AS$94:$AZ$94)="(EMPTY)"))&gt;0,IFERROR((IF('Final Calculation Sheet'!$AD$8&lt;=0,"SETTLED","OUTSTANDING"))&amp;"","")="",ISNUMBER(SEARCH($AS$94:$AZ$94,IFERROR((IF('Final Calculation Sheet'!$AD$8&lt;=0,"SETTLED","OUTSTANDING"))&amp;"","")))))&gt;0),IF(COUNTIF($BI$94:$BP$94,3)=0,TRUE,SUMPRODUCT(($BI$94:$BP$94=3)*($AS$94:$AZ$94&lt;&gt;"")*IF(((UPPER($AS$94:$AZ$94)="BLANK")+(UPPER($AS$94:$AZ$94)="(BLANK)")+(UPPER($AS$94:$AZ$94)="EMPTY")+(UPPER($AS$94:$AZ$94)="(EMPTY)"))&gt;0,IFERROR((IF('Final Calculation Sheet'!$AD$8&lt;=0,"SETTLED","OUTSTANDING"))&amp;"","")="",ISNUMBER(SEARCH($AS$94:$AZ$94,IFERROR((IF('Final Calculation Sheet'!$AD$8&lt;=0,"SETTLED","OUTSTANDING"))&amp;"","")))))&gt;0),IF(COUNTIF($BI$94:$BP$94,4)=0,TRUE,SUMPRODUCT(($BI$94:$BP$94=4)*($AS$94:$AZ$94&lt;&gt;"")*IF(((UPPER($AS$94:$AZ$94)="BLANK")+(UPPER($AS$94:$AZ$94)="(BLANK)")+(UPPER($AS$94:$AZ$94)="EMPTY")+(UPPER($AS$94:$AZ$94)="(EMPTY)"))&gt;0,IFERROR((IF('Final Calculation Sheet'!$AD$8&lt;=0,"SETTLED","OUTSTANDING"))&amp;"","")="",ISNUMBER(SEARCH($AS$94:$AZ$94,IFERROR((IF('Final Calculation Sheet'!$AD$8&lt;=0,"SETTLED","OUTSTANDING"))&amp;"","")))))&gt;0),IF(COUNTIF($BI$94:$BP$94,5)=0,TRUE,SUMPRODUCT(($BI$94:$BP$94=5)*($AS$94:$AZ$94&lt;&gt;"")*IF(((UPPER($AS$94:$AZ$94)="BLANK")+(UPPER($AS$94:$AZ$94)="(BLANK)")+(UPPER($AS$94:$AZ$94)="EMPTY")+(UPPER($AS$94:$AZ$94)="(EMPTY)"))&gt;0,IFERROR((IF('Final Calculation Sheet'!$AD$8&lt;=0,"SETTLED","OUTSTANDING"))&amp;"","")="",ISNUMBER(SEARCH($AS$94:$AZ$94,IFERROR((IF('Final Calculation Sheet'!$AD$8&lt;=0,"SETTLED","OUTSTANDING"))&amp;"","")))))&gt;0),IF(COUNTIF($BI$94:$BP$94,6)=0,TRUE,SUMPRODUCT(($BI$94:$BP$94=6)*($AS$94:$AZ$94&lt;&gt;"")*IF(((UPPER($AS$94:$AZ$94)="BLANK")+(UPPER($AS$94:$AZ$94)="(BLANK)")+(UPPER($AS$94:$AZ$94)="EMPTY")+(UPPER($AS$94:$AZ$94)="(EMPTY)"))&gt;0,IFERROR((IF('Final Calculation Sheet'!$AD$8&lt;=0,"SETTLED","OUTSTANDING"))&amp;"","")="",ISNUMBER(SEARCH($AS$94:$AZ$94,IFERROR((IF('Final Calculation Sheet'!$AD$8&lt;=0,"SETTLED","OUTSTANDING"))&amp;"","")))))&gt;0),IF(COUNTIF($BI$94:$BP$94,7)=0,TRUE,SUMPRODUCT(($BI$94:$BP$94=7)*($AS$94:$AZ$94&lt;&gt;"")*IF(((UPPER($AS$94:$AZ$94)="BLANK")+(UPPER($AS$94:$AZ$94)="(BLANK)")+(UPPER($AS$94:$AZ$94)="EMPTY")+(UPPER($AS$94:$AZ$94)="(EMPTY)"))&gt;0,IFERROR((IF('Final Calculation Sheet'!$AD$8&lt;=0,"SETTLED","OUTSTANDING"))&amp;"","")="",ISNUMBER(SEARCH($AS$94:$AZ$94,IFERROR((IF('Final Calculation Sheet'!$AD$8&lt;=0,"SETTLED","OUTSTANDING"))&amp;"","")))))&gt;0),IF(COUNTIF($BI$94:$BP$94,8)=0,TRUE,SUMPRODUCT(($BI$94:$BP$94=8)*($AS$94:$AZ$94&lt;&gt;"")*IF(((UPPER($AS$94:$AZ$94)="BLANK")+(UPPER($AS$94:$AZ$94)="(BLANK)")+(UPPER($AS$94:$AZ$94)="EMPTY")+(UPPER($AS$94:$AZ$94)="(EMPTY)"))&gt;0,IFERROR((IF('Final Calculation Sheet'!$AD$8&lt;=0,"SETTLED","OUTSTANDING"))&amp;"","")="",ISNUMBER(SEARCH($AS$94:$AZ$94,IFERROR((IF('Final Calculation Sheet'!$AD$8&lt;=0,"SETTLED","OUTSTANDING"))&amp;"","")))))&gt;0))))</f>
        <v>1</v>
      </c>
    </row>
    <row r="10" spans="1:99" ht="15" customHeight="1" x14ac:dyDescent="0.25">
      <c r="A10" s="67" t="str">
        <f>IF($BJ9&gt;0,INDEX($BA$5:$BA$41,MATCH(9,$BB$5:$BB$41,0)),IF(OR($BI9=1,$BL9=1,$BH9&gt;0),"∑",""))</f>
        <v>∑</v>
      </c>
      <c r="B10" s="68" t="str">
        <f>IF($BJ9&gt;0,IF(INDEX('Final Calculation Sheet'!$F$4:$F$40,$BJ9-3)="","",INDEX('Final Calculation Sheet'!$F$4:$F$40,$BJ9-3)),"")</f>
        <v/>
      </c>
      <c r="C10" s="68" t="str">
        <f>IF($BJ9&gt;0,IF(INDEX('Final Calculation Sheet'!$G$4:$G$40,$BJ9-3)="","",INDEX('Final Calculation Sheet'!$G$4:$G$40,$BJ9-3)),IF(OR($BI9=1,$BL9=1,$BH9&gt;0),IF($BI9=1,37,IF($BL9=1,37-INDEX($BD$4:$BD$13,10),INDEX($BD$4:$BD$13,$BH9)))&amp;" lot(s)",""))</f>
        <v>4 lot(s)</v>
      </c>
      <c r="D10" s="69" t="str">
        <f>IF($BJ9&gt;0,IF(INDEX('Final Calculation Sheet'!$B$4:$B$40,$BJ9-3)="","",INDEX('Final Calculation Sheet'!$B$4:$B$40,$BJ9-3)),IF(OR($BI9=1,$BL9=1,$BH9&gt;0),IF($BI9=1,"GRAND TOTAL  —  matching + remaining",IF($BL9=1,"TOTAL MATCHED  —  every group together",IF($BH9=10,"REMAINING  —  did not match the search",IF($BH9=9,IF(COUNTIF($A$4:$AI$4,"&lt;&gt;")&gt;0,"FILTERED LOTS  —  column fields","ALL LOTS  —  nothing typed in the box"),"GROUP "&amp;$BH9&amp;" TOTAL  —  lots matching  "&amp;INDEX($AR$6:$AY$6,$BH9))))),""))</f>
        <v>GROUP 1 TOTAL  —  lots matching  drum</v>
      </c>
      <c r="E10" s="69" t="str">
        <f>IF($BJ9&gt;0,IF(INDEX('Final Calculation Sheet'!$D$4:$D$40,$BJ9-3)="","",INDEX('Final Calculation Sheet'!$D$4:$D$40,$BJ9-3)),IF(OR($BI9=1,$BL9=1,$BH9&gt;0),"–",""))</f>
        <v>–</v>
      </c>
      <c r="F10" s="69">
        <f>IF($BJ9&gt;0,IF(INDEX('Final Calculation Sheet'!$A$4:$A$40,$BJ9-3)="","",INDEX('Final Calculation Sheet'!$A$4:$A$40,$BJ9-3)),IF(OR($BI9=1,$BL9=1,$BH9&gt;0),IF($BI9=1,SUM('Final Calculation Sheet'!$A$4:$A$40),IF($BL9=1,SUM('Final Calculation Sheet'!$A$4:$A$40)-SUMIFS('Final Calculation Sheet'!$A$4:$A$40,$AZ$5:$AZ$41,10),SUMIFS('Final Calculation Sheet'!$A$4:$A$40,$AZ$5:$AZ$41,$BH9))),""))</f>
        <v>1445</v>
      </c>
      <c r="G10" s="69" t="str">
        <f>IF($BJ9&gt;0,IF(INDEX('Final Calculation Sheet'!$E$4:$E$40,$BJ9-3)="","",INDEX('Final Calculation Sheet'!$E$4:$E$40,$BJ9-3)),IF(OR($BI9=1,$BL9=1,$BH9&gt;0),"–",""))</f>
        <v>–</v>
      </c>
      <c r="H10" s="70" t="str">
        <f>IF($BJ9&gt;0,IF(INDEX('Final Calculation Sheet'!$C$4:$C$40,$BJ9-3)="","",INDEX('Final Calculation Sheet'!$C$4:$C$40,$BJ9-3)),IF(OR($BI9=1,$BL9=1,$BH9&gt;0),"–",""))</f>
        <v>–</v>
      </c>
      <c r="I10" s="70">
        <f>IF($BJ9&gt;0,IF(INDEX('Final Calculation Sheet'!$H$4:$H$40,$BJ9-3)="","",INDEX('Final Calculation Sheet'!$H$4:$H$40,$BJ9-3)),IF(OR($BI9=1,$BL9=1,$BH9&gt;0),IF($BI9=1,SUM('Final Calculation Sheet'!$H$4:$H$40),IF($BL9=1,SUM('Final Calculation Sheet'!$H$4:$H$40)-SUMIFS('Final Calculation Sheet'!$H$4:$H$40,$AZ$5:$AZ$41,10),SUMIFS('Final Calculation Sheet'!$H$4:$H$40,$AZ$5:$AZ$41,$BH9))),""))</f>
        <v>776750</v>
      </c>
      <c r="J10" s="70">
        <f>IF($BJ9&gt;0,IF(INDEX('Final Calculation Sheet'!$I$4:$I$40,$BJ9-3)="","",INDEX('Final Calculation Sheet'!$I$4:$I$40,$BJ9-3)),IF(OR($BI9=1,$BL9=1,$BH9&gt;0),IF($BI9=1,SUM('Final Calculation Sheet'!$I$4:$I$40),IF($BL9=1,SUM('Final Calculation Sheet'!$I$4:$I$40)-SUMIFS('Final Calculation Sheet'!$I$4:$I$40,$AZ$5:$AZ$41,10),SUMIFS('Final Calculation Sheet'!$I$4:$I$40,$AZ$5:$AZ$41,$BH9))),""))</f>
        <v>139815</v>
      </c>
      <c r="K10" s="70">
        <f>IF($BJ9&gt;0,IF(INDEX('Final Calculation Sheet'!$J$4:$J$40,$BJ9-3)="","",INDEX('Final Calculation Sheet'!$J$4:$J$40,$BJ9-3)),IF(OR($BI9=1,$BL9=1,$BH9&gt;0),IF($BI9=1,SUM('Final Calculation Sheet'!$J$4:$J$40),IF($BL9=1,SUM('Final Calculation Sheet'!$J$4:$J$40)-SUMIFS('Final Calculation Sheet'!$J$4:$J$40,$AZ$5:$AZ$41,10),SUMIFS('Final Calculation Sheet'!$J$4:$J$40,$AZ$5:$AZ$41,$BH9))),""))</f>
        <v>916565</v>
      </c>
      <c r="L10" s="70">
        <f>IF($BJ9&gt;0,IF(INDEX('Final Calculation Sheet'!$K$4:$K$40,$BJ9-3)="","",INDEX('Final Calculation Sheet'!$K$4:$K$40,$BJ9-3)),IF(OR($BI9=1,$BL9=1,$BH9&gt;0),IF($BI9=1,SUM('Final Calculation Sheet'!$K$4:$K$40),IF($BL9=1,SUM('Final Calculation Sheet'!$K$4:$K$40)-SUMIFS('Final Calculation Sheet'!$K$4:$K$40,$AZ$5:$AZ$41,10),SUMIFS('Final Calculation Sheet'!$K$4:$K$40,$AZ$5:$AZ$41,$BH9))),""))</f>
        <v>18331</v>
      </c>
      <c r="M10" s="70">
        <f>IF($BJ9&gt;0,IF(INDEX('Final Calculation Sheet'!$L$4:$L$40,$BJ9-3)="","",INDEX('Final Calculation Sheet'!$L$4:$L$40,$BJ9-3)),IF(OR($BI9=1,$BL9=1,$BH9&gt;0),IF($BI9=1,SUM('Final Calculation Sheet'!$L$4:$L$40),IF($BL9=1,SUM('Final Calculation Sheet'!$L$4:$L$40)-SUMIFS('Final Calculation Sheet'!$L$4:$L$40,$AZ$5:$AZ$41,10),SUMIFS('Final Calculation Sheet'!$L$4:$L$40,$AZ$5:$AZ$41,$BH9))),""))</f>
        <v>776.75</v>
      </c>
      <c r="N10" s="70">
        <f>IF($BJ9&gt;0,IF(INDEX('Final Calculation Sheet'!$M$4:$M$40,$BJ9-3)="","",INDEX('Final Calculation Sheet'!$M$4:$M$40,$BJ9-3)),IF(OR($BI9=1,$BL9=1,$BH9&gt;0),IF($BI9=1,SUM('Final Calculation Sheet'!$M$4:$M$40),IF($BL9=1,SUM('Final Calculation Sheet'!$M$4:$M$40)-SUMIFS('Final Calculation Sheet'!$M$4:$M$40,$AZ$5:$AZ$41,10),SUMIFS('Final Calculation Sheet'!$M$4:$M$40,$AZ$5:$AZ$41,$BH9))),""))</f>
        <v>20622.712499999998</v>
      </c>
      <c r="O10" s="71">
        <f>IF($BJ9&gt;0,IF(INDEX('Final Calculation Sheet'!$N$4:$N$40,$BJ9-3)="","",INDEX('Final Calculation Sheet'!$N$4:$N$40,$BJ9-3)),IF(OR($BI9=1,$BL9=1,$BH9&gt;0),IF($BI9=1,SUM('Final Calculation Sheet'!$N$4:$N$40),IF($BL9=1,SUM('Final Calculation Sheet'!$N$4:$N$40)-SUMIFS('Final Calculation Sheet'!$N$4:$N$40,$AZ$5:$AZ$41,10),SUMIFS('Final Calculation Sheet'!$N$4:$N$40,$AZ$5:$AZ$41,$BH9))),""))</f>
        <v>349.53750000000002</v>
      </c>
      <c r="P10" s="70">
        <f>IF($BJ9&gt;0,IF(INDEX('Final Calculation Sheet'!$O$4:$O$40,$BJ9-3)="","",INDEX('Final Calculation Sheet'!$O$4:$O$40,$BJ9-3)),IF(OR($BI9=1,$BL9=1,$BH9&gt;0),IF($BI9=1,SUM('Final Calculation Sheet'!$O$4:$O$40),IF($BL9=1,SUM('Final Calculation Sheet'!$O$4:$O$40)-SUMIFS('Final Calculation Sheet'!$O$4:$O$40,$AZ$5:$AZ$41,10),SUMIFS('Final Calculation Sheet'!$O$4:$O$40,$AZ$5:$AZ$41,$BH9))),""))</f>
        <v>20273.174999999999</v>
      </c>
      <c r="Q10" s="70">
        <f>IF($BJ9&gt;0,IF(INDEX('Final Calculation Sheet'!$P$4:$P$40,$BJ9-3)="","",INDEX('Final Calculation Sheet'!$P$4:$P$40,$BJ9-3)),IF(OR($BI9=1,$BL9=1,$BH9&gt;0),IF($BI9=1,SUM('Final Calculation Sheet'!$P$4:$P$40),IF($BL9=1,SUM('Final Calculation Sheet'!$P$4:$P$40)-SUMIFS('Final Calculation Sheet'!$P$4:$P$40,$AZ$5:$AZ$41,10),SUMIFS('Final Calculation Sheet'!$P$4:$P$40,$AZ$5:$AZ$41,$BH9))),""))</f>
        <v>21050</v>
      </c>
      <c r="R10" s="72" t="str">
        <f>IF($BJ9&gt;0,IF(INDEX('Final Calculation Sheet'!$Q$4:$Q$40,$BJ9-3)="","",INDEX('Final Calculation Sheet'!$Q$4:$Q$40,$BJ9-3)),IF(OR($BI9=1,$BL9=1,$BH9&gt;0),"–",""))</f>
        <v>–</v>
      </c>
      <c r="S10" s="70">
        <f>IF($BJ9&gt;0,IF(INDEX('Final Calculation Sheet'!$R$4:$R$40,$BJ9-3)="","",INDEX('Final Calculation Sheet'!$R$4:$R$40,$BJ9-3)),IF(OR($BI9=1,$BL9=1,$BH9&gt;0),IF($BI9=1,SUM('Final Calculation Sheet'!$R$4:$R$40),IF($BL9=1,SUM('Final Calculation Sheet'!$R$4:$R$40)-SUMIFS('Final Calculation Sheet'!$R$4:$R$40,$AZ$5:$AZ$41,10),SUMIFS('Final Calculation Sheet'!$R$4:$R$40,$AZ$5:$AZ$41,$BH9))),""))</f>
        <v>0</v>
      </c>
      <c r="T10" s="70">
        <f>IF($BJ9&gt;0,IF(INDEX('Final Calculation Sheet'!$S$4:$S$40,$BJ9-3)="","",INDEX('Final Calculation Sheet'!$S$4:$S$40,$BJ9-3)),IF(OR($BI9=1,$BL9=1,$BH9&gt;0),IF($BI9=1,SUM('Final Calculation Sheet'!$S$4:$S$40),IF($BL9=1,SUM('Final Calculation Sheet'!$S$4:$S$40)-SUMIFS('Final Calculation Sheet'!$S$4:$S$40,$AZ$5:$AZ$41,10),SUMIFS('Final Calculation Sheet'!$S$4:$S$40,$AZ$5:$AZ$41,$BH9))),""))</f>
        <v>913847</v>
      </c>
      <c r="U10" s="70">
        <f>IF($BJ9&gt;0,IF(INDEX('Final Calculation Sheet'!$T$4:$T$40,$BJ9-3)="","",INDEX('Final Calculation Sheet'!$T$4:$T$40,$BJ9-3)),IF(OR($BI9=1,$BL9=1,$BH9&gt;0),IF($BI9=1,SUM('Final Calculation Sheet'!$T$4:$T$40),IF($BL9=1,SUM('Final Calculation Sheet'!$T$4:$T$40)-SUMIFS('Final Calculation Sheet'!$T$4:$T$40,$AZ$5:$AZ$41,10),SUMIFS('Final Calculation Sheet'!$T$4:$T$40,$AZ$5:$AZ$41,$BH9))),""))</f>
        <v>194188</v>
      </c>
      <c r="V10" s="73">
        <f>IF($BJ9&gt;0,IF(INDEX('Final Calculation Sheet'!$U$4:$U$40,$BJ9-3)="","",INDEX('Final Calculation Sheet'!$U$4:$U$40,$BJ9-3)),IF(OR($BI9=1,$BL9=1,$BH9&gt;0),IF($BI9=1,SUM('Final Calculation Sheet'!$U$4:$U$40),IF($BL9=1,SUM('Final Calculation Sheet'!$U$4:$U$40)-SUMIFS('Final Calculation Sheet'!$U$4:$U$40,$AZ$5:$AZ$41,10),SUMIFS('Final Calculation Sheet'!$U$4:$U$40,$AZ$5:$AZ$41,$BH9))),""))</f>
        <v>194188</v>
      </c>
      <c r="W10" s="70" t="str">
        <f>IF($BJ9&gt;0,IF(INDEX('Final Calculation Sheet'!$V$4:$V$40,$BJ9-3)="","",INDEX('Final Calculation Sheet'!$V$4:$V$40,$BJ9-3)),IF(OR($BI9=1,$BL9=1,$BH9&gt;0),"–",""))</f>
        <v>–</v>
      </c>
      <c r="X10" s="70">
        <f>IF($BJ9&gt;0,IF(INDEX('Final Calculation Sheet'!$W$4:$W$40,$BJ9-3)="","",INDEX('Final Calculation Sheet'!$W$4:$W$40,$BJ9-3)),IF(OR($BI9=1,$BL9=1,$BH9&gt;0),IF($BI9=1,SUM('Final Calculation Sheet'!$W$4:$W$40),IF($BL9=1,SUM('Final Calculation Sheet'!$W$4:$W$40)-SUMIFS('Final Calculation Sheet'!$W$4:$W$40,$AZ$5:$AZ$41,10),SUMIFS('Final Calculation Sheet'!$W$4:$W$40,$AZ$5:$AZ$41,$BH9))),""))</f>
        <v>719660</v>
      </c>
      <c r="Y10" s="70">
        <f>IF($BJ9&gt;0,IF(INDEX('Final Calculation Sheet'!$X$4:$X$40,$BJ9-3)="","",INDEX('Final Calculation Sheet'!$X$4:$X$40,$BJ9-3)),IF(OR($BI9=1,$BL9=1,$BH9&gt;0),IF($BI9=1,SUM('Final Calculation Sheet'!$X$4:$X$40),IF($BL9=1,SUM('Final Calculation Sheet'!$X$4:$X$40)-SUMIFS('Final Calculation Sheet'!$X$4:$X$40,$AZ$5:$AZ$41,10),SUMIFS('Final Calculation Sheet'!$X$4:$X$40,$AZ$5:$AZ$41,$BH9))),""))</f>
        <v>719659</v>
      </c>
      <c r="Z10" s="70" t="str">
        <f>IF($BJ9&gt;0,IF(INDEX('Final Calculation Sheet'!$Y$4:$Y$40,$BJ9-3)="","",INDEX('Final Calculation Sheet'!$Y$4:$Y$40,$BJ9-3)),IF(OR($BI9=1,$BL9=1,$BH9&gt;0),"–",""))</f>
        <v>–</v>
      </c>
      <c r="AA10" s="70">
        <f ca="1">IF($BJ9&gt;0,IF(INDEX('Final Calculation Sheet'!$Z$4:$Z$40,$BJ9-3)="","",INDEX('Final Calculation Sheet'!$Z$4:$Z$40,$BJ9-3)),IF(OR($BI9=1,$BL9=1,$BH9&gt;0),IF($BI9=1,SUM('Final Calculation Sheet'!$Z$4:$Z$40),IF($BL9=1,SUM('Final Calculation Sheet'!$Z$4:$Z$40)-SUMIFS('Final Calculation Sheet'!$Z$4:$Z$40,$AZ$5:$AZ$41,10),SUMIFS('Final Calculation Sheet'!$Z$4:$Z$40,$AZ$5:$AZ$41,$BH9))),""))</f>
        <v>0</v>
      </c>
      <c r="AB10" s="70">
        <f>IF($BJ9&gt;0,IF(INDEX('Final Calculation Sheet'!$AA$4:$AA$40,$BJ9-3)="","",INDEX('Final Calculation Sheet'!$AA$4:$AA$40,$BJ9-3)),IF(OR($BI9=1,$BL9=1,$BH9&gt;0),IF($BI9=1,SUM('Final Calculation Sheet'!$AA$4:$AA$40),IF($BL9=1,SUM('Final Calculation Sheet'!$AA$4:$AA$40)-SUMIFS('Final Calculation Sheet'!$AA$4:$AA$40,$AZ$5:$AZ$41,10),SUMIFS('Final Calculation Sheet'!$AA$4:$AA$40,$AZ$5:$AZ$41,$BH9))),""))</f>
        <v>0</v>
      </c>
      <c r="AC10" s="70" t="str">
        <f>IF($BJ9&gt;0,IF(INDEX('Final Calculation Sheet'!$AB$4:$AB$40,$BJ9-3)="","",INDEX('Final Calculation Sheet'!$AB$4:$AB$40,$BJ9-3)),IF(OR($BI9=1,$BL9=1,$BH9&gt;0),"–",""))</f>
        <v>–</v>
      </c>
      <c r="AD10" s="70">
        <f>IF($BJ9&gt;0,IF(INDEX('Final Calculation Sheet'!$AC$4:$AC$40,$BJ9-3)="","",INDEX('Final Calculation Sheet'!$AC$4:$AC$40,$BJ9-3)),IF(OR($BI9=1,$BL9=1,$BH9&gt;0),IF($BI9=1,SUM('Final Calculation Sheet'!$AC$4:$AC$40),IF($BL9=1,SUM('Final Calculation Sheet'!$AC$4:$AC$40)-SUMIFS('Final Calculation Sheet'!$AC$4:$AC$40,$AZ$5:$AZ$41,10),SUMIFS('Final Calculation Sheet'!$AC$4:$AC$40,$AZ$5:$AZ$41,$BH9))),""))</f>
        <v>913847</v>
      </c>
      <c r="AE10" s="70">
        <f>IF($BJ9&gt;0,IF(INDEX('Final Calculation Sheet'!$AD$4:$AD$40,$BJ9-3)="","",INDEX('Final Calculation Sheet'!$AD$4:$AD$40,$BJ9-3)),IF(OR($BI9=1,$BL9=1,$BH9&gt;0),IF($BI9=1,SUM('Final Calculation Sheet'!$AD$4:$AD$40),IF($BL9=1,SUM('Final Calculation Sheet'!$AD$4:$AD$40)-SUMIFS('Final Calculation Sheet'!$AD$4:$AD$40,$AZ$5:$AZ$41,10),SUMIFS('Final Calculation Sheet'!$AD$4:$AD$40,$AZ$5:$AZ$41,$BH9))),""))</f>
        <v>0</v>
      </c>
      <c r="AF10" s="70" t="str">
        <f>IF($BJ9&gt;0,IF(INDEX('Final Calculation Sheet'!$AE$4:$AE$40,$BJ9-3)="","",INDEX('Final Calculation Sheet'!$AE$4:$AE$40,$BJ9-3)),IF(OR($BI9=1,$BL9=1,$BH9&gt;0),"–",""))</f>
        <v>–</v>
      </c>
      <c r="AG10" s="74" t="str">
        <f>IF($BJ9&gt;0,IF(INDEX('Final Calculation Sheet'!$AF$4:$AF$40,$BJ9-3)="","",INDEX('Final Calculation Sheet'!$AF$4:$AF$40,$BJ9-3)),IF(OR($BI9=1,$BL9=1,$BH9&gt;0),"–",""))</f>
        <v>–</v>
      </c>
      <c r="AH10" s="70" t="str">
        <f>IF($BJ9&gt;0,IF(INDEX('Final Calculation Sheet'!$AG$4:$AG$40,$BJ9-3)="","",INDEX('Final Calculation Sheet'!$AG$4:$AG$40,$BJ9-3)),IF(OR($BI9=1,$BL9=1,$BH9&gt;0),"–",""))</f>
        <v>–</v>
      </c>
      <c r="AI10" s="75" t="str">
        <f>IF($BJ9&gt;0,IF(INDEX('Final Calculation Sheet'!$AD$4:$AD$40,$BJ9-3)="","",IF(INDEX('Final Calculation Sheet'!$AD$4:$AD$40,$BJ9-3)&lt;=0,"SETTLED","OUTSTANDING")),IF(OR($BI9=1,$BL9=1,$BH9&gt;0),IF(IF($BI9=1,SUM('Final Calculation Sheet'!$AD$4:$AD$40),IF($BL9=1,SUM('Final Calculation Sheet'!$AD$4:$AD$40)-SUMIFS('Final Calculation Sheet'!$AD$4:$AD$40,$AZ$5:$AZ$41,10),SUMIFS('Final Calculation Sheet'!$AD$4:$AD$40,$AZ$5:$AZ$41,$BH9)))&lt;=0,"ALL SETTLED","OUTSTANDING"),""))</f>
        <v>ALL SETTLED</v>
      </c>
      <c r="AK10" t="str">
        <f>IF($F$3="Lot No.",'Final Calculation Sheet'!$F$9,IF($F$3="Buyer",'Final Calculation Sheet'!$G$9,IF($F$3="Lot Name",'Final Calculation Sheet'!$B$9,IF($F$3="Bid Sheet",'Final Calculation Sheet'!$D$9,IF($F$3="Unit",'Final Calculation Sheet'!$E$9,'Final Calculation Sheet'!$F$9&amp;" "&amp;'Final Calculation Sheet'!$G$9&amp;" "&amp;'Final Calculation Sheet'!$B$9)))))</f>
        <v>1976 SHAR JAHAN TRADERS Scrap Power Transformer</v>
      </c>
      <c r="AM10">
        <f t="shared" si="1"/>
        <v>0</v>
      </c>
      <c r="AZ10">
        <f t="shared" si="2"/>
        <v>10</v>
      </c>
      <c r="BA10">
        <f t="shared" si="3"/>
        <v>5</v>
      </c>
      <c r="BB10">
        <f t="shared" si="4"/>
        <v>21</v>
      </c>
      <c r="BC10">
        <v>9</v>
      </c>
      <c r="BD10">
        <f>COUNTIF($AZ$5:$AZ$41,7)</f>
        <v>0</v>
      </c>
      <c r="BE10">
        <f t="shared" si="5"/>
        <v>16</v>
      </c>
      <c r="BF10">
        <f t="shared" si="0"/>
        <v>0</v>
      </c>
      <c r="BH10">
        <f>IFERROR(MATCH(10,$BF$4:$BF$13,0),0)</f>
        <v>0</v>
      </c>
      <c r="BI10">
        <f>IF(10=$BG$5,1,0)</f>
        <v>0</v>
      </c>
      <c r="BJ10">
        <f>IF(OR($BH10&gt;0,$BI10=1,$BL10=1),0,IFERROR(INDEX($BC$5:$BC$41,MATCH(10,$BB$5:$BB$41,0)),0))</f>
        <v>16</v>
      </c>
      <c r="BK10">
        <f>IF($BJ10&gt;0,IF(INDEX($AZ$5:$AZ$41,MATCH(10,$BB$5:$BB$41,0))=10,1,0),IF($BH10=10,1,0))</f>
        <v>0</v>
      </c>
      <c r="BL10">
        <f>IF(10=$BG$4,1,0)</f>
        <v>0</v>
      </c>
      <c r="BM10">
        <f>IF($A$4="",1,--(AND(SUMPRODUCT(--($AS$60:$AZ$60&lt;&gt;""))&gt;0,IF(COUNTIF($BI$60:$BP$60,1)=0,TRUE,SUMPRODUCT(($BI$60:$BP$60=1)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$60,2)=0,TRUE,SUMPRODUCT(($BI$60:$BP$60=2)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$60,3)=0,TRUE,SUMPRODUCT(($BI$60:$BP$60=3)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$60,4)=0,TRUE,SUMPRODUCT(($BI$60:$BP$60=4)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$60,5)=0,TRUE,SUMPRODUCT(($BI$60:$BP$60=5)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$60,6)=0,TRUE,SUMPRODUCT(($BI$60:$BP$60=6)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$60,7)=0,TRUE,SUMPRODUCT(($BI$60:$BP$60=7)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$60,8)=0,TRUE,SUMPRODUCT(($BI$60:$BP$60=8)*($AS$60:$AZ$60&lt;&gt;"")*IF(((UPPER($AS$60:$AZ$60)="BLANK")+(UPPER($AS$60:$AZ$60)="(BLANK)")+(UPPER($AS$60:$AZ$60)="EMPTY")+(UPPER($AS$60:$AZ$60)="(EMPTY)"))&gt;0,IFERROR((ROW()-4)&amp;"","")="",ISNUMBER(SEARCH($AS$60:$AZ$60,IFERROR((ROW()-4)&amp;"","")))))&gt;0))))</f>
        <v>1</v>
      </c>
      <c r="BN10">
        <f>IF($B$4="",1,--(AND(SUMPRODUCT(--($AS$61:$AZ$61&lt;&gt;""))&gt;0,IF(COUNTIF($BI$61:$BP$61,1)=0,TRUE,SUMPRODUCT(($BI$61:$BP$61=1)*($AS$61:$AZ$61&lt;&gt;"")*IF(((UPPER($AS$61:$AZ$61)="BLANK")+(UPPER($AS$61:$AZ$61)="(BLANK)")+(UPPER($AS$61:$AZ$61)="EMPTY")+(UPPER($AS$61:$AZ$61)="(EMPTY)"))&gt;0,IFERROR(('Final Calculation Sheet'!$F$9)&amp;"","")="",ISNUMBER(SEARCH($AS$61:$AZ$61,IFERROR(('Final Calculation Sheet'!$F$9)&amp;"","")))))&gt;0),IF(COUNTIF($BI$61:$BP$61,2)=0,TRUE,SUMPRODUCT(($BI$61:$BP$61=2)*($AS$61:$AZ$61&lt;&gt;"")*IF(((UPPER($AS$61:$AZ$61)="BLANK")+(UPPER($AS$61:$AZ$61)="(BLANK)")+(UPPER($AS$61:$AZ$61)="EMPTY")+(UPPER($AS$61:$AZ$61)="(EMPTY)"))&gt;0,IFERROR(('Final Calculation Sheet'!$F$9)&amp;"","")="",ISNUMBER(SEARCH($AS$61:$AZ$61,IFERROR(('Final Calculation Sheet'!$F$9)&amp;"","")))))&gt;0),IF(COUNTIF($BI$61:$BP$61,3)=0,TRUE,SUMPRODUCT(($BI$61:$BP$61=3)*($AS$61:$AZ$61&lt;&gt;"")*IF(((UPPER($AS$61:$AZ$61)="BLANK")+(UPPER($AS$61:$AZ$61)="(BLANK)")+(UPPER($AS$61:$AZ$61)="EMPTY")+(UPPER($AS$61:$AZ$61)="(EMPTY)"))&gt;0,IFERROR(('Final Calculation Sheet'!$F$9)&amp;"","")="",ISNUMBER(SEARCH($AS$61:$AZ$61,IFERROR(('Final Calculation Sheet'!$F$9)&amp;"","")))))&gt;0),IF(COUNTIF($BI$61:$BP$61,4)=0,TRUE,SUMPRODUCT(($BI$61:$BP$61=4)*($AS$61:$AZ$61&lt;&gt;"")*IF(((UPPER($AS$61:$AZ$61)="BLANK")+(UPPER($AS$61:$AZ$61)="(BLANK)")+(UPPER($AS$61:$AZ$61)="EMPTY")+(UPPER($AS$61:$AZ$61)="(EMPTY)"))&gt;0,IFERROR(('Final Calculation Sheet'!$F$9)&amp;"","")="",ISNUMBER(SEARCH($AS$61:$AZ$61,IFERROR(('Final Calculation Sheet'!$F$9)&amp;"","")))))&gt;0),IF(COUNTIF($BI$61:$BP$61,5)=0,TRUE,SUMPRODUCT(($BI$61:$BP$61=5)*($AS$61:$AZ$61&lt;&gt;"")*IF(((UPPER($AS$61:$AZ$61)="BLANK")+(UPPER($AS$61:$AZ$61)="(BLANK)")+(UPPER($AS$61:$AZ$61)="EMPTY")+(UPPER($AS$61:$AZ$61)="(EMPTY)"))&gt;0,IFERROR(('Final Calculation Sheet'!$F$9)&amp;"","")="",ISNUMBER(SEARCH($AS$61:$AZ$61,IFERROR(('Final Calculation Sheet'!$F$9)&amp;"","")))))&gt;0),IF(COUNTIF($BI$61:$BP$61,6)=0,TRUE,SUMPRODUCT(($BI$61:$BP$61=6)*($AS$61:$AZ$61&lt;&gt;"")*IF(((UPPER($AS$61:$AZ$61)="BLANK")+(UPPER($AS$61:$AZ$61)="(BLANK)")+(UPPER($AS$61:$AZ$61)="EMPTY")+(UPPER($AS$61:$AZ$61)="(EMPTY)"))&gt;0,IFERROR(('Final Calculation Sheet'!$F$9)&amp;"","")="",ISNUMBER(SEARCH($AS$61:$AZ$61,IFERROR(('Final Calculation Sheet'!$F$9)&amp;"","")))))&gt;0),IF(COUNTIF($BI$61:$BP$61,7)=0,TRUE,SUMPRODUCT(($BI$61:$BP$61=7)*($AS$61:$AZ$61&lt;&gt;"")*IF(((UPPER($AS$61:$AZ$61)="BLANK")+(UPPER($AS$61:$AZ$61)="(BLANK)")+(UPPER($AS$61:$AZ$61)="EMPTY")+(UPPER($AS$61:$AZ$61)="(EMPTY)"))&gt;0,IFERROR(('Final Calculation Sheet'!$F$9)&amp;"","")="",ISNUMBER(SEARCH($AS$61:$AZ$61,IFERROR(('Final Calculation Sheet'!$F$9)&amp;"","")))))&gt;0),IF(COUNTIF($BI$61:$BP$61,8)=0,TRUE,SUMPRODUCT(($BI$61:$BP$61=8)*($AS$61:$AZ$61&lt;&gt;"")*IF(((UPPER($AS$61:$AZ$61)="BLANK")+(UPPER($AS$61:$AZ$61)="(BLANK)")+(UPPER($AS$61:$AZ$61)="EMPTY")+(UPPER($AS$61:$AZ$61)="(EMPTY)"))&gt;0,IFERROR(('Final Calculation Sheet'!$F$9)&amp;"","")="",ISNUMBER(SEARCH($AS$61:$AZ$61,IFERROR(('Final Calculation Sheet'!$F$9)&amp;"","")))))&gt;0))))</f>
        <v>1</v>
      </c>
      <c r="BO10">
        <f>IF($C$4="",1,--(AND(SUMPRODUCT(--($AS$62:$AZ$62&lt;&gt;""))&gt;0,IF(COUNTIF($BI$62:$BP$62,1)=0,TRUE,SUMPRODUCT(($BI$62:$BP$62=1)*($AS$62:$AZ$62&lt;&gt;"")*IF(((UPPER($AS$62:$AZ$62)="BLANK")+(UPPER($AS$62:$AZ$62)="(BLANK)")+(UPPER($AS$62:$AZ$62)="EMPTY")+(UPPER($AS$62:$AZ$62)="(EMPTY)"))&gt;0,IFERROR(('Final Calculation Sheet'!$G$9)&amp;"","")="",ISNUMBER(SEARCH($AS$62:$AZ$62,IFERROR(('Final Calculation Sheet'!$G$9)&amp;"","")))))&gt;0),IF(COUNTIF($BI$62:$BP$62,2)=0,TRUE,SUMPRODUCT(($BI$62:$BP$62=2)*($AS$62:$AZ$62&lt;&gt;"")*IF(((UPPER($AS$62:$AZ$62)="BLANK")+(UPPER($AS$62:$AZ$62)="(BLANK)")+(UPPER($AS$62:$AZ$62)="EMPTY")+(UPPER($AS$62:$AZ$62)="(EMPTY)"))&gt;0,IFERROR(('Final Calculation Sheet'!$G$9)&amp;"","")="",ISNUMBER(SEARCH($AS$62:$AZ$62,IFERROR(('Final Calculation Sheet'!$G$9)&amp;"","")))))&gt;0),IF(COUNTIF($BI$62:$BP$62,3)=0,TRUE,SUMPRODUCT(($BI$62:$BP$62=3)*($AS$62:$AZ$62&lt;&gt;"")*IF(((UPPER($AS$62:$AZ$62)="BLANK")+(UPPER($AS$62:$AZ$62)="(BLANK)")+(UPPER($AS$62:$AZ$62)="EMPTY")+(UPPER($AS$62:$AZ$62)="(EMPTY)"))&gt;0,IFERROR(('Final Calculation Sheet'!$G$9)&amp;"","")="",ISNUMBER(SEARCH($AS$62:$AZ$62,IFERROR(('Final Calculation Sheet'!$G$9)&amp;"","")))))&gt;0),IF(COUNTIF($BI$62:$BP$62,4)=0,TRUE,SUMPRODUCT(($BI$62:$BP$62=4)*($AS$62:$AZ$62&lt;&gt;"")*IF(((UPPER($AS$62:$AZ$62)="BLANK")+(UPPER($AS$62:$AZ$62)="(BLANK)")+(UPPER($AS$62:$AZ$62)="EMPTY")+(UPPER($AS$62:$AZ$62)="(EMPTY)"))&gt;0,IFERROR(('Final Calculation Sheet'!$G$9)&amp;"","")="",ISNUMBER(SEARCH($AS$62:$AZ$62,IFERROR(('Final Calculation Sheet'!$G$9)&amp;"","")))))&gt;0),IF(COUNTIF($BI$62:$BP$62,5)=0,TRUE,SUMPRODUCT(($BI$62:$BP$62=5)*($AS$62:$AZ$62&lt;&gt;"")*IF(((UPPER($AS$62:$AZ$62)="BLANK")+(UPPER($AS$62:$AZ$62)="(BLANK)")+(UPPER($AS$62:$AZ$62)="EMPTY")+(UPPER($AS$62:$AZ$62)="(EMPTY)"))&gt;0,IFERROR(('Final Calculation Sheet'!$G$9)&amp;"","")="",ISNUMBER(SEARCH($AS$62:$AZ$62,IFERROR(('Final Calculation Sheet'!$G$9)&amp;"","")))))&gt;0),IF(COUNTIF($BI$62:$BP$62,6)=0,TRUE,SUMPRODUCT(($BI$62:$BP$62=6)*($AS$62:$AZ$62&lt;&gt;"")*IF(((UPPER($AS$62:$AZ$62)="BLANK")+(UPPER($AS$62:$AZ$62)="(BLANK)")+(UPPER($AS$62:$AZ$62)="EMPTY")+(UPPER($AS$62:$AZ$62)="(EMPTY)"))&gt;0,IFERROR(('Final Calculation Sheet'!$G$9)&amp;"","")="",ISNUMBER(SEARCH($AS$62:$AZ$62,IFERROR(('Final Calculation Sheet'!$G$9)&amp;"","")))))&gt;0),IF(COUNTIF($BI$62:$BP$62,7)=0,TRUE,SUMPRODUCT(($BI$62:$BP$62=7)*($AS$62:$AZ$62&lt;&gt;"")*IF(((UPPER($AS$62:$AZ$62)="BLANK")+(UPPER($AS$62:$AZ$62)="(BLANK)")+(UPPER($AS$62:$AZ$62)="EMPTY")+(UPPER($AS$62:$AZ$62)="(EMPTY)"))&gt;0,IFERROR(('Final Calculation Sheet'!$G$9)&amp;"","")="",ISNUMBER(SEARCH($AS$62:$AZ$62,IFERROR(('Final Calculation Sheet'!$G$9)&amp;"","")))))&gt;0),IF(COUNTIF($BI$62:$BP$62,8)=0,TRUE,SUMPRODUCT(($BI$62:$BP$62=8)*($AS$62:$AZ$62&lt;&gt;"")*IF(((UPPER($AS$62:$AZ$62)="BLANK")+(UPPER($AS$62:$AZ$62)="(BLANK)")+(UPPER($AS$62:$AZ$62)="EMPTY")+(UPPER($AS$62:$AZ$62)="(EMPTY)"))&gt;0,IFERROR(('Final Calculation Sheet'!$G$9)&amp;"","")="",ISNUMBER(SEARCH($AS$62:$AZ$62,IFERROR(('Final Calculation Sheet'!$G$9)&amp;"","")))))&gt;0))))</f>
        <v>1</v>
      </c>
      <c r="BP10">
        <f>IF($D$4="",1,--(AND(SUMPRODUCT(--($AS$63:$AZ$63&lt;&gt;""))&gt;0,IF(COUNTIF($BI$63:$BP$63,1)=0,TRUE,SUMPRODUCT(($BI$63:$BP$63=1)*($AS$63:$AZ$63&lt;&gt;"")*IF(((UPPER($AS$63:$AZ$63)="BLANK")+(UPPER($AS$63:$AZ$63)="(BLANK)")+(UPPER($AS$63:$AZ$63)="EMPTY")+(UPPER($AS$63:$AZ$63)="(EMPTY)"))&gt;0,IFERROR(('Final Calculation Sheet'!$B$9)&amp;"","")="",ISNUMBER(SEARCH($AS$63:$AZ$63,IFERROR(('Final Calculation Sheet'!$B$9)&amp;"","")))))&gt;0),IF(COUNTIF($BI$63:$BP$63,2)=0,TRUE,SUMPRODUCT(($BI$63:$BP$63=2)*($AS$63:$AZ$63&lt;&gt;"")*IF(((UPPER($AS$63:$AZ$63)="BLANK")+(UPPER($AS$63:$AZ$63)="(BLANK)")+(UPPER($AS$63:$AZ$63)="EMPTY")+(UPPER($AS$63:$AZ$63)="(EMPTY)"))&gt;0,IFERROR(('Final Calculation Sheet'!$B$9)&amp;"","")="",ISNUMBER(SEARCH($AS$63:$AZ$63,IFERROR(('Final Calculation Sheet'!$B$9)&amp;"","")))))&gt;0),IF(COUNTIF($BI$63:$BP$63,3)=0,TRUE,SUMPRODUCT(($BI$63:$BP$63=3)*($AS$63:$AZ$63&lt;&gt;"")*IF(((UPPER($AS$63:$AZ$63)="BLANK")+(UPPER($AS$63:$AZ$63)="(BLANK)")+(UPPER($AS$63:$AZ$63)="EMPTY")+(UPPER($AS$63:$AZ$63)="(EMPTY)"))&gt;0,IFERROR(('Final Calculation Sheet'!$B$9)&amp;"","")="",ISNUMBER(SEARCH($AS$63:$AZ$63,IFERROR(('Final Calculation Sheet'!$B$9)&amp;"","")))))&gt;0),IF(COUNTIF($BI$63:$BP$63,4)=0,TRUE,SUMPRODUCT(($BI$63:$BP$63=4)*($AS$63:$AZ$63&lt;&gt;"")*IF(((UPPER($AS$63:$AZ$63)="BLANK")+(UPPER($AS$63:$AZ$63)="(BLANK)")+(UPPER($AS$63:$AZ$63)="EMPTY")+(UPPER($AS$63:$AZ$63)="(EMPTY)"))&gt;0,IFERROR(('Final Calculation Sheet'!$B$9)&amp;"","")="",ISNUMBER(SEARCH($AS$63:$AZ$63,IFERROR(('Final Calculation Sheet'!$B$9)&amp;"","")))))&gt;0),IF(COUNTIF($BI$63:$BP$63,5)=0,TRUE,SUMPRODUCT(($BI$63:$BP$63=5)*($AS$63:$AZ$63&lt;&gt;"")*IF(((UPPER($AS$63:$AZ$63)="BLANK")+(UPPER($AS$63:$AZ$63)="(BLANK)")+(UPPER($AS$63:$AZ$63)="EMPTY")+(UPPER($AS$63:$AZ$63)="(EMPTY)"))&gt;0,IFERROR(('Final Calculation Sheet'!$B$9)&amp;"","")="",ISNUMBER(SEARCH($AS$63:$AZ$63,IFERROR(('Final Calculation Sheet'!$B$9)&amp;"","")))))&gt;0),IF(COUNTIF($BI$63:$BP$63,6)=0,TRUE,SUMPRODUCT(($BI$63:$BP$63=6)*($AS$63:$AZ$63&lt;&gt;"")*IF(((UPPER($AS$63:$AZ$63)="BLANK")+(UPPER($AS$63:$AZ$63)="(BLANK)")+(UPPER($AS$63:$AZ$63)="EMPTY")+(UPPER($AS$63:$AZ$63)="(EMPTY)"))&gt;0,IFERROR(('Final Calculation Sheet'!$B$9)&amp;"","")="",ISNUMBER(SEARCH($AS$63:$AZ$63,IFERROR(('Final Calculation Sheet'!$B$9)&amp;"","")))))&gt;0),IF(COUNTIF($BI$63:$BP$63,7)=0,TRUE,SUMPRODUCT(($BI$63:$BP$63=7)*($AS$63:$AZ$63&lt;&gt;"")*IF(((UPPER($AS$63:$AZ$63)="BLANK")+(UPPER($AS$63:$AZ$63)="(BLANK)")+(UPPER($AS$63:$AZ$63)="EMPTY")+(UPPER($AS$63:$AZ$63)="(EMPTY)"))&gt;0,IFERROR(('Final Calculation Sheet'!$B$9)&amp;"","")="",ISNUMBER(SEARCH($AS$63:$AZ$63,IFERROR(('Final Calculation Sheet'!$B$9)&amp;"","")))))&gt;0),IF(COUNTIF($BI$63:$BP$63,8)=0,TRUE,SUMPRODUCT(($BI$63:$BP$63=8)*($AS$63:$AZ$63&lt;&gt;"")*IF(((UPPER($AS$63:$AZ$63)="BLANK")+(UPPER($AS$63:$AZ$63)="(BLANK)")+(UPPER($AS$63:$AZ$63)="EMPTY")+(UPPER($AS$63:$AZ$63)="(EMPTY)"))&gt;0,IFERROR(('Final Calculation Sheet'!$B$9)&amp;"","")="",ISNUMBER(SEARCH($AS$63:$AZ$63,IFERROR(('Final Calculation Sheet'!$B$9)&amp;"","")))))&gt;0))))</f>
        <v>1</v>
      </c>
      <c r="BQ10">
        <f>IF($E$4="",1,--(AND(SUMPRODUCT(--($AS$64:$AZ$64&lt;&gt;""))&gt;0,IF(COUNTIF($BI$64:$BP$64,1)=0,TRUE,SUMPRODUCT(($BI$64:$BP$64=1)*($AS$64:$AZ$64&lt;&gt;"")*IF(((UPPER($AS$64:$AZ$64)="BLANK")+(UPPER($AS$64:$AZ$64)="(BLANK)")+(UPPER($AS$64:$AZ$64)="EMPTY")+(UPPER($AS$64:$AZ$64)="(EMPTY)"))&gt;0,IFERROR(('Final Calculation Sheet'!$D$9)&amp;"","")="",ISNUMBER(SEARCH($AS$64:$AZ$64,IFERROR(('Final Calculation Sheet'!$D$9)&amp;"","")))))&gt;0),IF(COUNTIF($BI$64:$BP$64,2)=0,TRUE,SUMPRODUCT(($BI$64:$BP$64=2)*($AS$64:$AZ$64&lt;&gt;"")*IF(((UPPER($AS$64:$AZ$64)="BLANK")+(UPPER($AS$64:$AZ$64)="(BLANK)")+(UPPER($AS$64:$AZ$64)="EMPTY")+(UPPER($AS$64:$AZ$64)="(EMPTY)"))&gt;0,IFERROR(('Final Calculation Sheet'!$D$9)&amp;"","")="",ISNUMBER(SEARCH($AS$64:$AZ$64,IFERROR(('Final Calculation Sheet'!$D$9)&amp;"","")))))&gt;0),IF(COUNTIF($BI$64:$BP$64,3)=0,TRUE,SUMPRODUCT(($BI$64:$BP$64=3)*($AS$64:$AZ$64&lt;&gt;"")*IF(((UPPER($AS$64:$AZ$64)="BLANK")+(UPPER($AS$64:$AZ$64)="(BLANK)")+(UPPER($AS$64:$AZ$64)="EMPTY")+(UPPER($AS$64:$AZ$64)="(EMPTY)"))&gt;0,IFERROR(('Final Calculation Sheet'!$D$9)&amp;"","")="",ISNUMBER(SEARCH($AS$64:$AZ$64,IFERROR(('Final Calculation Sheet'!$D$9)&amp;"","")))))&gt;0),IF(COUNTIF($BI$64:$BP$64,4)=0,TRUE,SUMPRODUCT(($BI$64:$BP$64=4)*($AS$64:$AZ$64&lt;&gt;"")*IF(((UPPER($AS$64:$AZ$64)="BLANK")+(UPPER($AS$64:$AZ$64)="(BLANK)")+(UPPER($AS$64:$AZ$64)="EMPTY")+(UPPER($AS$64:$AZ$64)="(EMPTY)"))&gt;0,IFERROR(('Final Calculation Sheet'!$D$9)&amp;"","")="",ISNUMBER(SEARCH($AS$64:$AZ$64,IFERROR(('Final Calculation Sheet'!$D$9)&amp;"","")))))&gt;0),IF(COUNTIF($BI$64:$BP$64,5)=0,TRUE,SUMPRODUCT(($BI$64:$BP$64=5)*($AS$64:$AZ$64&lt;&gt;"")*IF(((UPPER($AS$64:$AZ$64)="BLANK")+(UPPER($AS$64:$AZ$64)="(BLANK)")+(UPPER($AS$64:$AZ$64)="EMPTY")+(UPPER($AS$64:$AZ$64)="(EMPTY)"))&gt;0,IFERROR(('Final Calculation Sheet'!$D$9)&amp;"","")="",ISNUMBER(SEARCH($AS$64:$AZ$64,IFERROR(('Final Calculation Sheet'!$D$9)&amp;"","")))))&gt;0),IF(COUNTIF($BI$64:$BP$64,6)=0,TRUE,SUMPRODUCT(($BI$64:$BP$64=6)*($AS$64:$AZ$64&lt;&gt;"")*IF(((UPPER($AS$64:$AZ$64)="BLANK")+(UPPER($AS$64:$AZ$64)="(BLANK)")+(UPPER($AS$64:$AZ$64)="EMPTY")+(UPPER($AS$64:$AZ$64)="(EMPTY)"))&gt;0,IFERROR(('Final Calculation Sheet'!$D$9)&amp;"","")="",ISNUMBER(SEARCH($AS$64:$AZ$64,IFERROR(('Final Calculation Sheet'!$D$9)&amp;"","")))))&gt;0),IF(COUNTIF($BI$64:$BP$64,7)=0,TRUE,SUMPRODUCT(($BI$64:$BP$64=7)*($AS$64:$AZ$64&lt;&gt;"")*IF(((UPPER($AS$64:$AZ$64)="BLANK")+(UPPER($AS$64:$AZ$64)="(BLANK)")+(UPPER($AS$64:$AZ$64)="EMPTY")+(UPPER($AS$64:$AZ$64)="(EMPTY)"))&gt;0,IFERROR(('Final Calculation Sheet'!$D$9)&amp;"","")="",ISNUMBER(SEARCH($AS$64:$AZ$64,IFERROR(('Final Calculation Sheet'!$D$9)&amp;"","")))))&gt;0),IF(COUNTIF($BI$64:$BP$64,8)=0,TRUE,SUMPRODUCT(($BI$64:$BP$64=8)*($AS$64:$AZ$64&lt;&gt;"")*IF(((UPPER($AS$64:$AZ$64)="BLANK")+(UPPER($AS$64:$AZ$64)="(BLANK)")+(UPPER($AS$64:$AZ$64)="EMPTY")+(UPPER($AS$64:$AZ$64)="(EMPTY)"))&gt;0,IFERROR(('Final Calculation Sheet'!$D$9)&amp;"","")="",ISNUMBER(SEARCH($AS$64:$AZ$64,IFERROR(('Final Calculation Sheet'!$D$9)&amp;"","")))))&gt;0))))</f>
        <v>1</v>
      </c>
      <c r="BR10">
        <f>IF($F$4="",1,--(AND(SUMPRODUCT(--($AS$65:$AZ$65&lt;&gt;""))&gt;0,IF(COUNTIF($BI$65:$BP$65,1)=0,TRUE,SUMPRODUCT(($BI$65:$BP$65=1)*($AS$65:$AZ$65&lt;&gt;"")*IF(((UPPER($AS$65:$AZ$65)="BLANK")+(UPPER($AS$65:$AZ$65)="(BLANK)")+(UPPER($AS$65:$AZ$65)="EMPTY")+(UPPER($AS$65:$AZ$65)="(EMPTY)"))&gt;0,IFERROR(('Final Calculation Sheet'!$A$9)&amp;"","")="",ISNUMBER(SEARCH($AS$65:$AZ$65,IFERROR(('Final Calculation Sheet'!$A$9)&amp;"","")))))&gt;0),IF(COUNTIF($BI$65:$BP$65,2)=0,TRUE,SUMPRODUCT(($BI$65:$BP$65=2)*($AS$65:$AZ$65&lt;&gt;"")*IF(((UPPER($AS$65:$AZ$65)="BLANK")+(UPPER($AS$65:$AZ$65)="(BLANK)")+(UPPER($AS$65:$AZ$65)="EMPTY")+(UPPER($AS$65:$AZ$65)="(EMPTY)"))&gt;0,IFERROR(('Final Calculation Sheet'!$A$9)&amp;"","")="",ISNUMBER(SEARCH($AS$65:$AZ$65,IFERROR(('Final Calculation Sheet'!$A$9)&amp;"","")))))&gt;0),IF(COUNTIF($BI$65:$BP$65,3)=0,TRUE,SUMPRODUCT(($BI$65:$BP$65=3)*($AS$65:$AZ$65&lt;&gt;"")*IF(((UPPER($AS$65:$AZ$65)="BLANK")+(UPPER($AS$65:$AZ$65)="(BLANK)")+(UPPER($AS$65:$AZ$65)="EMPTY")+(UPPER($AS$65:$AZ$65)="(EMPTY)"))&gt;0,IFERROR(('Final Calculation Sheet'!$A$9)&amp;"","")="",ISNUMBER(SEARCH($AS$65:$AZ$65,IFERROR(('Final Calculation Sheet'!$A$9)&amp;"","")))))&gt;0),IF(COUNTIF($BI$65:$BP$65,4)=0,TRUE,SUMPRODUCT(($BI$65:$BP$65=4)*($AS$65:$AZ$65&lt;&gt;"")*IF(((UPPER($AS$65:$AZ$65)="BLANK")+(UPPER($AS$65:$AZ$65)="(BLANK)")+(UPPER($AS$65:$AZ$65)="EMPTY")+(UPPER($AS$65:$AZ$65)="(EMPTY)"))&gt;0,IFERROR(('Final Calculation Sheet'!$A$9)&amp;"","")="",ISNUMBER(SEARCH($AS$65:$AZ$65,IFERROR(('Final Calculation Sheet'!$A$9)&amp;"","")))))&gt;0),IF(COUNTIF($BI$65:$BP$65,5)=0,TRUE,SUMPRODUCT(($BI$65:$BP$65=5)*($AS$65:$AZ$65&lt;&gt;"")*IF(((UPPER($AS$65:$AZ$65)="BLANK")+(UPPER($AS$65:$AZ$65)="(BLANK)")+(UPPER($AS$65:$AZ$65)="EMPTY")+(UPPER($AS$65:$AZ$65)="(EMPTY)"))&gt;0,IFERROR(('Final Calculation Sheet'!$A$9)&amp;"","")="",ISNUMBER(SEARCH($AS$65:$AZ$65,IFERROR(('Final Calculation Sheet'!$A$9)&amp;"","")))))&gt;0),IF(COUNTIF($BI$65:$BP$65,6)=0,TRUE,SUMPRODUCT(($BI$65:$BP$65=6)*($AS$65:$AZ$65&lt;&gt;"")*IF(((UPPER($AS$65:$AZ$65)="BLANK")+(UPPER($AS$65:$AZ$65)="(BLANK)")+(UPPER($AS$65:$AZ$65)="EMPTY")+(UPPER($AS$65:$AZ$65)="(EMPTY)"))&gt;0,IFERROR(('Final Calculation Sheet'!$A$9)&amp;"","")="",ISNUMBER(SEARCH($AS$65:$AZ$65,IFERROR(('Final Calculation Sheet'!$A$9)&amp;"","")))))&gt;0),IF(COUNTIF($BI$65:$BP$65,7)=0,TRUE,SUMPRODUCT(($BI$65:$BP$65=7)*($AS$65:$AZ$65&lt;&gt;"")*IF(((UPPER($AS$65:$AZ$65)="BLANK")+(UPPER($AS$65:$AZ$65)="(BLANK)")+(UPPER($AS$65:$AZ$65)="EMPTY")+(UPPER($AS$65:$AZ$65)="(EMPTY)"))&gt;0,IFERROR(('Final Calculation Sheet'!$A$9)&amp;"","")="",ISNUMBER(SEARCH($AS$65:$AZ$65,IFERROR(('Final Calculation Sheet'!$A$9)&amp;"","")))))&gt;0),IF(COUNTIF($BI$65:$BP$65,8)=0,TRUE,SUMPRODUCT(($BI$65:$BP$65=8)*($AS$65:$AZ$65&lt;&gt;"")*IF(((UPPER($AS$65:$AZ$65)="BLANK")+(UPPER($AS$65:$AZ$65)="(BLANK)")+(UPPER($AS$65:$AZ$65)="EMPTY")+(UPPER($AS$65:$AZ$65)="(EMPTY)"))&gt;0,IFERROR(('Final Calculation Sheet'!$A$9)&amp;"","")="",ISNUMBER(SEARCH($AS$65:$AZ$65,IFERROR(('Final Calculation Sheet'!$A$9)&amp;"","")))))&gt;0))))</f>
        <v>1</v>
      </c>
      <c r="BS10">
        <f>IF($G$4="",1,--(AND(SUMPRODUCT(--($AS$66:$AZ$66&lt;&gt;""))&gt;0,IF(COUNTIF($BI$66:$BP$66,1)=0,TRUE,SUMPRODUCT(($BI$66:$BP$66=1)*($AS$66:$AZ$66&lt;&gt;"")*IF(((UPPER($AS$66:$AZ$66)="BLANK")+(UPPER($AS$66:$AZ$66)="(BLANK)")+(UPPER($AS$66:$AZ$66)="EMPTY")+(UPPER($AS$66:$AZ$66)="(EMPTY)"))&gt;0,IFERROR(('Final Calculation Sheet'!$E$9)&amp;"","")="",ISNUMBER(SEARCH($AS$66:$AZ$66,IFERROR(('Final Calculation Sheet'!$E$9)&amp;"","")))))&gt;0),IF(COUNTIF($BI$66:$BP$66,2)=0,TRUE,SUMPRODUCT(($BI$66:$BP$66=2)*($AS$66:$AZ$66&lt;&gt;"")*IF(((UPPER($AS$66:$AZ$66)="BLANK")+(UPPER($AS$66:$AZ$66)="(BLANK)")+(UPPER($AS$66:$AZ$66)="EMPTY")+(UPPER($AS$66:$AZ$66)="(EMPTY)"))&gt;0,IFERROR(('Final Calculation Sheet'!$E$9)&amp;"","")="",ISNUMBER(SEARCH($AS$66:$AZ$66,IFERROR(('Final Calculation Sheet'!$E$9)&amp;"","")))))&gt;0),IF(COUNTIF($BI$66:$BP$66,3)=0,TRUE,SUMPRODUCT(($BI$66:$BP$66=3)*($AS$66:$AZ$66&lt;&gt;"")*IF(((UPPER($AS$66:$AZ$66)="BLANK")+(UPPER($AS$66:$AZ$66)="(BLANK)")+(UPPER($AS$66:$AZ$66)="EMPTY")+(UPPER($AS$66:$AZ$66)="(EMPTY)"))&gt;0,IFERROR(('Final Calculation Sheet'!$E$9)&amp;"","")="",ISNUMBER(SEARCH($AS$66:$AZ$66,IFERROR(('Final Calculation Sheet'!$E$9)&amp;"","")))))&gt;0),IF(COUNTIF($BI$66:$BP$66,4)=0,TRUE,SUMPRODUCT(($BI$66:$BP$66=4)*($AS$66:$AZ$66&lt;&gt;"")*IF(((UPPER($AS$66:$AZ$66)="BLANK")+(UPPER($AS$66:$AZ$66)="(BLANK)")+(UPPER($AS$66:$AZ$66)="EMPTY")+(UPPER($AS$66:$AZ$66)="(EMPTY)"))&gt;0,IFERROR(('Final Calculation Sheet'!$E$9)&amp;"","")="",ISNUMBER(SEARCH($AS$66:$AZ$66,IFERROR(('Final Calculation Sheet'!$E$9)&amp;"","")))))&gt;0),IF(COUNTIF($BI$66:$BP$66,5)=0,TRUE,SUMPRODUCT(($BI$66:$BP$66=5)*($AS$66:$AZ$66&lt;&gt;"")*IF(((UPPER($AS$66:$AZ$66)="BLANK")+(UPPER($AS$66:$AZ$66)="(BLANK)")+(UPPER($AS$66:$AZ$66)="EMPTY")+(UPPER($AS$66:$AZ$66)="(EMPTY)"))&gt;0,IFERROR(('Final Calculation Sheet'!$E$9)&amp;"","")="",ISNUMBER(SEARCH($AS$66:$AZ$66,IFERROR(('Final Calculation Sheet'!$E$9)&amp;"","")))))&gt;0),IF(COUNTIF($BI$66:$BP$66,6)=0,TRUE,SUMPRODUCT(($BI$66:$BP$66=6)*($AS$66:$AZ$66&lt;&gt;"")*IF(((UPPER($AS$66:$AZ$66)="BLANK")+(UPPER($AS$66:$AZ$66)="(BLANK)")+(UPPER($AS$66:$AZ$66)="EMPTY")+(UPPER($AS$66:$AZ$66)="(EMPTY)"))&gt;0,IFERROR(('Final Calculation Sheet'!$E$9)&amp;"","")="",ISNUMBER(SEARCH($AS$66:$AZ$66,IFERROR(('Final Calculation Sheet'!$E$9)&amp;"","")))))&gt;0),IF(COUNTIF($BI$66:$BP$66,7)=0,TRUE,SUMPRODUCT(($BI$66:$BP$66=7)*($AS$66:$AZ$66&lt;&gt;"")*IF(((UPPER($AS$66:$AZ$66)="BLANK")+(UPPER($AS$66:$AZ$66)="(BLANK)")+(UPPER($AS$66:$AZ$66)="EMPTY")+(UPPER($AS$66:$AZ$66)="(EMPTY)"))&gt;0,IFERROR(('Final Calculation Sheet'!$E$9)&amp;"","")="",ISNUMBER(SEARCH($AS$66:$AZ$66,IFERROR(('Final Calculation Sheet'!$E$9)&amp;"","")))))&gt;0),IF(COUNTIF($BI$66:$BP$66,8)=0,TRUE,SUMPRODUCT(($BI$66:$BP$66=8)*($AS$66:$AZ$66&lt;&gt;"")*IF(((UPPER($AS$66:$AZ$66)="BLANK")+(UPPER($AS$66:$AZ$66)="(BLANK)")+(UPPER($AS$66:$AZ$66)="EMPTY")+(UPPER($AS$66:$AZ$66)="(EMPTY)"))&gt;0,IFERROR(('Final Calculation Sheet'!$E$9)&amp;"","")="",ISNUMBER(SEARCH($AS$66:$AZ$66,IFERROR(('Final Calculation Sheet'!$E$9)&amp;"","")))))&gt;0))))</f>
        <v>1</v>
      </c>
      <c r="BT10">
        <f>IF($H$4="",1,--(AND(SUMPRODUCT(--($AS$67:$AZ$67&lt;&gt;""))&gt;0,IF(COUNTIF($BI$67:$BP$67,1)=0,TRUE,SUMPRODUCT(($BI$67:$BP$67=1)*($AS$67:$AZ$67&lt;&gt;"")*IF(((UPPER($AS$67:$AZ$67)="BLANK")+(UPPER($AS$67:$AZ$67)="(BLANK)")+(UPPER($AS$67:$AZ$67)="EMPTY")+(UPPER($AS$67:$AZ$67)="(EMPTY)"))&gt;0,IFERROR(('Final Calculation Sheet'!$C$9)&amp;"","")="",ISNUMBER(SEARCH($AS$67:$AZ$67,IFERROR(('Final Calculation Sheet'!$C$9)&amp;"","")))))&gt;0),IF(COUNTIF($BI$67:$BP$67,2)=0,TRUE,SUMPRODUCT(($BI$67:$BP$67=2)*($AS$67:$AZ$67&lt;&gt;"")*IF(((UPPER($AS$67:$AZ$67)="BLANK")+(UPPER($AS$67:$AZ$67)="(BLANK)")+(UPPER($AS$67:$AZ$67)="EMPTY")+(UPPER($AS$67:$AZ$67)="(EMPTY)"))&gt;0,IFERROR(('Final Calculation Sheet'!$C$9)&amp;"","")="",ISNUMBER(SEARCH($AS$67:$AZ$67,IFERROR(('Final Calculation Sheet'!$C$9)&amp;"","")))))&gt;0),IF(COUNTIF($BI$67:$BP$67,3)=0,TRUE,SUMPRODUCT(($BI$67:$BP$67=3)*($AS$67:$AZ$67&lt;&gt;"")*IF(((UPPER($AS$67:$AZ$67)="BLANK")+(UPPER($AS$67:$AZ$67)="(BLANK)")+(UPPER($AS$67:$AZ$67)="EMPTY")+(UPPER($AS$67:$AZ$67)="(EMPTY)"))&gt;0,IFERROR(('Final Calculation Sheet'!$C$9)&amp;"","")="",ISNUMBER(SEARCH($AS$67:$AZ$67,IFERROR(('Final Calculation Sheet'!$C$9)&amp;"","")))))&gt;0),IF(COUNTIF($BI$67:$BP$67,4)=0,TRUE,SUMPRODUCT(($BI$67:$BP$67=4)*($AS$67:$AZ$67&lt;&gt;"")*IF(((UPPER($AS$67:$AZ$67)="BLANK")+(UPPER($AS$67:$AZ$67)="(BLANK)")+(UPPER($AS$67:$AZ$67)="EMPTY")+(UPPER($AS$67:$AZ$67)="(EMPTY)"))&gt;0,IFERROR(('Final Calculation Sheet'!$C$9)&amp;"","")="",ISNUMBER(SEARCH($AS$67:$AZ$67,IFERROR(('Final Calculation Sheet'!$C$9)&amp;"","")))))&gt;0),IF(COUNTIF($BI$67:$BP$67,5)=0,TRUE,SUMPRODUCT(($BI$67:$BP$67=5)*($AS$67:$AZ$67&lt;&gt;"")*IF(((UPPER($AS$67:$AZ$67)="BLANK")+(UPPER($AS$67:$AZ$67)="(BLANK)")+(UPPER($AS$67:$AZ$67)="EMPTY")+(UPPER($AS$67:$AZ$67)="(EMPTY)"))&gt;0,IFERROR(('Final Calculation Sheet'!$C$9)&amp;"","")="",ISNUMBER(SEARCH($AS$67:$AZ$67,IFERROR(('Final Calculation Sheet'!$C$9)&amp;"","")))))&gt;0),IF(COUNTIF($BI$67:$BP$67,6)=0,TRUE,SUMPRODUCT(($BI$67:$BP$67=6)*($AS$67:$AZ$67&lt;&gt;"")*IF(((UPPER($AS$67:$AZ$67)="BLANK")+(UPPER($AS$67:$AZ$67)="(BLANK)")+(UPPER($AS$67:$AZ$67)="EMPTY")+(UPPER($AS$67:$AZ$67)="(EMPTY)"))&gt;0,IFERROR(('Final Calculation Sheet'!$C$9)&amp;"","")="",ISNUMBER(SEARCH($AS$67:$AZ$67,IFERROR(('Final Calculation Sheet'!$C$9)&amp;"","")))))&gt;0),IF(COUNTIF($BI$67:$BP$67,7)=0,TRUE,SUMPRODUCT(($BI$67:$BP$67=7)*($AS$67:$AZ$67&lt;&gt;"")*IF(((UPPER($AS$67:$AZ$67)="BLANK")+(UPPER($AS$67:$AZ$67)="(BLANK)")+(UPPER($AS$67:$AZ$67)="EMPTY")+(UPPER($AS$67:$AZ$67)="(EMPTY)"))&gt;0,IFERROR(('Final Calculation Sheet'!$C$9)&amp;"","")="",ISNUMBER(SEARCH($AS$67:$AZ$67,IFERROR(('Final Calculation Sheet'!$C$9)&amp;"","")))))&gt;0),IF(COUNTIF($BI$67:$BP$67,8)=0,TRUE,SUMPRODUCT(($BI$67:$BP$67=8)*($AS$67:$AZ$67&lt;&gt;"")*IF(((UPPER($AS$67:$AZ$67)="BLANK")+(UPPER($AS$67:$AZ$67)="(BLANK)")+(UPPER($AS$67:$AZ$67)="EMPTY")+(UPPER($AS$67:$AZ$67)="(EMPTY)"))&gt;0,IFERROR(('Final Calculation Sheet'!$C$9)&amp;"","")="",ISNUMBER(SEARCH($AS$67:$AZ$67,IFERROR(('Final Calculation Sheet'!$C$9)&amp;"","")))))&gt;0))))</f>
        <v>1</v>
      </c>
      <c r="BU10">
        <f>IF($I$4="",1,--(AND(SUMPRODUCT(--($AS$68:$AZ$68&lt;&gt;""))&gt;0,IF(COUNTIF($BI$68:$BP$68,1)=0,TRUE,SUMPRODUCT(($BI$68:$BP$68=1)*($AS$68:$AZ$68&lt;&gt;"")*IF(((UPPER($AS$68:$AZ$68)="BLANK")+(UPPER($AS$68:$AZ$68)="(BLANK)")+(UPPER($AS$68:$AZ$68)="EMPTY")+(UPPER($AS$68:$AZ$68)="(EMPTY)"))&gt;0,IFERROR(('Final Calculation Sheet'!$H$9)&amp;"","")="",ISNUMBER(SEARCH($AS$68:$AZ$68,IFERROR(('Final Calculation Sheet'!$H$9)&amp;"","")))))&gt;0),IF(COUNTIF($BI$68:$BP$68,2)=0,TRUE,SUMPRODUCT(($BI$68:$BP$68=2)*($AS$68:$AZ$68&lt;&gt;"")*IF(((UPPER($AS$68:$AZ$68)="BLANK")+(UPPER($AS$68:$AZ$68)="(BLANK)")+(UPPER($AS$68:$AZ$68)="EMPTY")+(UPPER($AS$68:$AZ$68)="(EMPTY)"))&gt;0,IFERROR(('Final Calculation Sheet'!$H$9)&amp;"","")="",ISNUMBER(SEARCH($AS$68:$AZ$68,IFERROR(('Final Calculation Sheet'!$H$9)&amp;"","")))))&gt;0),IF(COUNTIF($BI$68:$BP$68,3)=0,TRUE,SUMPRODUCT(($BI$68:$BP$68=3)*($AS$68:$AZ$68&lt;&gt;"")*IF(((UPPER($AS$68:$AZ$68)="BLANK")+(UPPER($AS$68:$AZ$68)="(BLANK)")+(UPPER($AS$68:$AZ$68)="EMPTY")+(UPPER($AS$68:$AZ$68)="(EMPTY)"))&gt;0,IFERROR(('Final Calculation Sheet'!$H$9)&amp;"","")="",ISNUMBER(SEARCH($AS$68:$AZ$68,IFERROR(('Final Calculation Sheet'!$H$9)&amp;"","")))))&gt;0),IF(COUNTIF($BI$68:$BP$68,4)=0,TRUE,SUMPRODUCT(($BI$68:$BP$68=4)*($AS$68:$AZ$68&lt;&gt;"")*IF(((UPPER($AS$68:$AZ$68)="BLANK")+(UPPER($AS$68:$AZ$68)="(BLANK)")+(UPPER($AS$68:$AZ$68)="EMPTY")+(UPPER($AS$68:$AZ$68)="(EMPTY)"))&gt;0,IFERROR(('Final Calculation Sheet'!$H$9)&amp;"","")="",ISNUMBER(SEARCH($AS$68:$AZ$68,IFERROR(('Final Calculation Sheet'!$H$9)&amp;"","")))))&gt;0),IF(COUNTIF($BI$68:$BP$68,5)=0,TRUE,SUMPRODUCT(($BI$68:$BP$68=5)*($AS$68:$AZ$68&lt;&gt;"")*IF(((UPPER($AS$68:$AZ$68)="BLANK")+(UPPER($AS$68:$AZ$68)="(BLANK)")+(UPPER($AS$68:$AZ$68)="EMPTY")+(UPPER($AS$68:$AZ$68)="(EMPTY)"))&gt;0,IFERROR(('Final Calculation Sheet'!$H$9)&amp;"","")="",ISNUMBER(SEARCH($AS$68:$AZ$68,IFERROR(('Final Calculation Sheet'!$H$9)&amp;"","")))))&gt;0),IF(COUNTIF($BI$68:$BP$68,6)=0,TRUE,SUMPRODUCT(($BI$68:$BP$68=6)*($AS$68:$AZ$68&lt;&gt;"")*IF(((UPPER($AS$68:$AZ$68)="BLANK")+(UPPER($AS$68:$AZ$68)="(BLANK)")+(UPPER($AS$68:$AZ$68)="EMPTY")+(UPPER($AS$68:$AZ$68)="(EMPTY)"))&gt;0,IFERROR(('Final Calculation Sheet'!$H$9)&amp;"","")="",ISNUMBER(SEARCH($AS$68:$AZ$68,IFERROR(('Final Calculation Sheet'!$H$9)&amp;"","")))))&gt;0),IF(COUNTIF($BI$68:$BP$68,7)=0,TRUE,SUMPRODUCT(($BI$68:$BP$68=7)*($AS$68:$AZ$68&lt;&gt;"")*IF(((UPPER($AS$68:$AZ$68)="BLANK")+(UPPER($AS$68:$AZ$68)="(BLANK)")+(UPPER($AS$68:$AZ$68)="EMPTY")+(UPPER($AS$68:$AZ$68)="(EMPTY)"))&gt;0,IFERROR(('Final Calculation Sheet'!$H$9)&amp;"","")="",ISNUMBER(SEARCH($AS$68:$AZ$68,IFERROR(('Final Calculation Sheet'!$H$9)&amp;"","")))))&gt;0),IF(COUNTIF($BI$68:$BP$68,8)=0,TRUE,SUMPRODUCT(($BI$68:$BP$68=8)*($AS$68:$AZ$68&lt;&gt;"")*IF(((UPPER($AS$68:$AZ$68)="BLANK")+(UPPER($AS$68:$AZ$68)="(BLANK)")+(UPPER($AS$68:$AZ$68)="EMPTY")+(UPPER($AS$68:$AZ$68)="(EMPTY)"))&gt;0,IFERROR(('Final Calculation Sheet'!$H$9)&amp;"","")="",ISNUMBER(SEARCH($AS$68:$AZ$68,IFERROR(('Final Calculation Sheet'!$H$9)&amp;"","")))))&gt;0))))</f>
        <v>1</v>
      </c>
      <c r="BV10">
        <f>IF($J$4="",1,--(AND(SUMPRODUCT(--($AS$69:$AZ$69&lt;&gt;""))&gt;0,IF(COUNTIF($BI$69:$BP$69,1)=0,TRUE,SUMPRODUCT(($BI$69:$BP$69=1)*($AS$69:$AZ$69&lt;&gt;"")*IF(((UPPER($AS$69:$AZ$69)="BLANK")+(UPPER($AS$69:$AZ$69)="(BLANK)")+(UPPER($AS$69:$AZ$69)="EMPTY")+(UPPER($AS$69:$AZ$69)="(EMPTY)"))&gt;0,IFERROR(('Final Calculation Sheet'!$I$9)&amp;"","")="",ISNUMBER(SEARCH($AS$69:$AZ$69,IFERROR(('Final Calculation Sheet'!$I$9)&amp;"","")))))&gt;0),IF(COUNTIF($BI$69:$BP$69,2)=0,TRUE,SUMPRODUCT(($BI$69:$BP$69=2)*($AS$69:$AZ$69&lt;&gt;"")*IF(((UPPER($AS$69:$AZ$69)="BLANK")+(UPPER($AS$69:$AZ$69)="(BLANK)")+(UPPER($AS$69:$AZ$69)="EMPTY")+(UPPER($AS$69:$AZ$69)="(EMPTY)"))&gt;0,IFERROR(('Final Calculation Sheet'!$I$9)&amp;"","")="",ISNUMBER(SEARCH($AS$69:$AZ$69,IFERROR(('Final Calculation Sheet'!$I$9)&amp;"","")))))&gt;0),IF(COUNTIF($BI$69:$BP$69,3)=0,TRUE,SUMPRODUCT(($BI$69:$BP$69=3)*($AS$69:$AZ$69&lt;&gt;"")*IF(((UPPER($AS$69:$AZ$69)="BLANK")+(UPPER($AS$69:$AZ$69)="(BLANK)")+(UPPER($AS$69:$AZ$69)="EMPTY")+(UPPER($AS$69:$AZ$69)="(EMPTY)"))&gt;0,IFERROR(('Final Calculation Sheet'!$I$9)&amp;"","")="",ISNUMBER(SEARCH($AS$69:$AZ$69,IFERROR(('Final Calculation Sheet'!$I$9)&amp;"","")))))&gt;0),IF(COUNTIF($BI$69:$BP$69,4)=0,TRUE,SUMPRODUCT(($BI$69:$BP$69=4)*($AS$69:$AZ$69&lt;&gt;"")*IF(((UPPER($AS$69:$AZ$69)="BLANK")+(UPPER($AS$69:$AZ$69)="(BLANK)")+(UPPER($AS$69:$AZ$69)="EMPTY")+(UPPER($AS$69:$AZ$69)="(EMPTY)"))&gt;0,IFERROR(('Final Calculation Sheet'!$I$9)&amp;"","")="",ISNUMBER(SEARCH($AS$69:$AZ$69,IFERROR(('Final Calculation Sheet'!$I$9)&amp;"","")))))&gt;0),IF(COUNTIF($BI$69:$BP$69,5)=0,TRUE,SUMPRODUCT(($BI$69:$BP$69=5)*($AS$69:$AZ$69&lt;&gt;"")*IF(((UPPER($AS$69:$AZ$69)="BLANK")+(UPPER($AS$69:$AZ$69)="(BLANK)")+(UPPER($AS$69:$AZ$69)="EMPTY")+(UPPER($AS$69:$AZ$69)="(EMPTY)"))&gt;0,IFERROR(('Final Calculation Sheet'!$I$9)&amp;"","")="",ISNUMBER(SEARCH($AS$69:$AZ$69,IFERROR(('Final Calculation Sheet'!$I$9)&amp;"","")))))&gt;0),IF(COUNTIF($BI$69:$BP$69,6)=0,TRUE,SUMPRODUCT(($BI$69:$BP$69=6)*($AS$69:$AZ$69&lt;&gt;"")*IF(((UPPER($AS$69:$AZ$69)="BLANK")+(UPPER($AS$69:$AZ$69)="(BLANK)")+(UPPER($AS$69:$AZ$69)="EMPTY")+(UPPER($AS$69:$AZ$69)="(EMPTY)"))&gt;0,IFERROR(('Final Calculation Sheet'!$I$9)&amp;"","")="",ISNUMBER(SEARCH($AS$69:$AZ$69,IFERROR(('Final Calculation Sheet'!$I$9)&amp;"","")))))&gt;0),IF(COUNTIF($BI$69:$BP$69,7)=0,TRUE,SUMPRODUCT(($BI$69:$BP$69=7)*($AS$69:$AZ$69&lt;&gt;"")*IF(((UPPER($AS$69:$AZ$69)="BLANK")+(UPPER($AS$69:$AZ$69)="(BLANK)")+(UPPER($AS$69:$AZ$69)="EMPTY")+(UPPER($AS$69:$AZ$69)="(EMPTY)"))&gt;0,IFERROR(('Final Calculation Sheet'!$I$9)&amp;"","")="",ISNUMBER(SEARCH($AS$69:$AZ$69,IFERROR(('Final Calculation Sheet'!$I$9)&amp;"","")))))&gt;0),IF(COUNTIF($BI$69:$BP$69,8)=0,TRUE,SUMPRODUCT(($BI$69:$BP$69=8)*($AS$69:$AZ$69&lt;&gt;"")*IF(((UPPER($AS$69:$AZ$69)="BLANK")+(UPPER($AS$69:$AZ$69)="(BLANK)")+(UPPER($AS$69:$AZ$69)="EMPTY")+(UPPER($AS$69:$AZ$69)="(EMPTY)"))&gt;0,IFERROR(('Final Calculation Sheet'!$I$9)&amp;"","")="",ISNUMBER(SEARCH($AS$69:$AZ$69,IFERROR(('Final Calculation Sheet'!$I$9)&amp;"","")))))&gt;0))))</f>
        <v>1</v>
      </c>
      <c r="BW10">
        <f>IF($K$4="",1,--(AND(SUMPRODUCT(--($AS$70:$AZ$70&lt;&gt;""))&gt;0,IF(COUNTIF($BI$70:$BP$70,1)=0,TRUE,SUMPRODUCT(($BI$70:$BP$70=1)*($AS$70:$AZ$70&lt;&gt;"")*IF(((UPPER($AS$70:$AZ$70)="BLANK")+(UPPER($AS$70:$AZ$70)="(BLANK)")+(UPPER($AS$70:$AZ$70)="EMPTY")+(UPPER($AS$70:$AZ$70)="(EMPTY)"))&gt;0,IFERROR(('Final Calculation Sheet'!$J$9)&amp;"","")="",ISNUMBER(SEARCH($AS$70:$AZ$70,IFERROR(('Final Calculation Sheet'!$J$9)&amp;"","")))))&gt;0),IF(COUNTIF($BI$70:$BP$70,2)=0,TRUE,SUMPRODUCT(($BI$70:$BP$70=2)*($AS$70:$AZ$70&lt;&gt;"")*IF(((UPPER($AS$70:$AZ$70)="BLANK")+(UPPER($AS$70:$AZ$70)="(BLANK)")+(UPPER($AS$70:$AZ$70)="EMPTY")+(UPPER($AS$70:$AZ$70)="(EMPTY)"))&gt;0,IFERROR(('Final Calculation Sheet'!$J$9)&amp;"","")="",ISNUMBER(SEARCH($AS$70:$AZ$70,IFERROR(('Final Calculation Sheet'!$J$9)&amp;"","")))))&gt;0),IF(COUNTIF($BI$70:$BP$70,3)=0,TRUE,SUMPRODUCT(($BI$70:$BP$70=3)*($AS$70:$AZ$70&lt;&gt;"")*IF(((UPPER($AS$70:$AZ$70)="BLANK")+(UPPER($AS$70:$AZ$70)="(BLANK)")+(UPPER($AS$70:$AZ$70)="EMPTY")+(UPPER($AS$70:$AZ$70)="(EMPTY)"))&gt;0,IFERROR(('Final Calculation Sheet'!$J$9)&amp;"","")="",ISNUMBER(SEARCH($AS$70:$AZ$70,IFERROR(('Final Calculation Sheet'!$J$9)&amp;"","")))))&gt;0),IF(COUNTIF($BI$70:$BP$70,4)=0,TRUE,SUMPRODUCT(($BI$70:$BP$70=4)*($AS$70:$AZ$70&lt;&gt;"")*IF(((UPPER($AS$70:$AZ$70)="BLANK")+(UPPER($AS$70:$AZ$70)="(BLANK)")+(UPPER($AS$70:$AZ$70)="EMPTY")+(UPPER($AS$70:$AZ$70)="(EMPTY)"))&gt;0,IFERROR(('Final Calculation Sheet'!$J$9)&amp;"","")="",ISNUMBER(SEARCH($AS$70:$AZ$70,IFERROR(('Final Calculation Sheet'!$J$9)&amp;"","")))))&gt;0),IF(COUNTIF($BI$70:$BP$70,5)=0,TRUE,SUMPRODUCT(($BI$70:$BP$70=5)*($AS$70:$AZ$70&lt;&gt;"")*IF(((UPPER($AS$70:$AZ$70)="BLANK")+(UPPER($AS$70:$AZ$70)="(BLANK)")+(UPPER($AS$70:$AZ$70)="EMPTY")+(UPPER($AS$70:$AZ$70)="(EMPTY)"))&gt;0,IFERROR(('Final Calculation Sheet'!$J$9)&amp;"","")="",ISNUMBER(SEARCH($AS$70:$AZ$70,IFERROR(('Final Calculation Sheet'!$J$9)&amp;"","")))))&gt;0),IF(COUNTIF($BI$70:$BP$70,6)=0,TRUE,SUMPRODUCT(($BI$70:$BP$70=6)*($AS$70:$AZ$70&lt;&gt;"")*IF(((UPPER($AS$70:$AZ$70)="BLANK")+(UPPER($AS$70:$AZ$70)="(BLANK)")+(UPPER($AS$70:$AZ$70)="EMPTY")+(UPPER($AS$70:$AZ$70)="(EMPTY)"))&gt;0,IFERROR(('Final Calculation Sheet'!$J$9)&amp;"","")="",ISNUMBER(SEARCH($AS$70:$AZ$70,IFERROR(('Final Calculation Sheet'!$J$9)&amp;"","")))))&gt;0),IF(COUNTIF($BI$70:$BP$70,7)=0,TRUE,SUMPRODUCT(($BI$70:$BP$70=7)*($AS$70:$AZ$70&lt;&gt;"")*IF(((UPPER($AS$70:$AZ$70)="BLANK")+(UPPER($AS$70:$AZ$70)="(BLANK)")+(UPPER($AS$70:$AZ$70)="EMPTY")+(UPPER($AS$70:$AZ$70)="(EMPTY)"))&gt;0,IFERROR(('Final Calculation Sheet'!$J$9)&amp;"","")="",ISNUMBER(SEARCH($AS$70:$AZ$70,IFERROR(('Final Calculation Sheet'!$J$9)&amp;"","")))))&gt;0),IF(COUNTIF($BI$70:$BP$70,8)=0,TRUE,SUMPRODUCT(($BI$70:$BP$70=8)*($AS$70:$AZ$70&lt;&gt;"")*IF(((UPPER($AS$70:$AZ$70)="BLANK")+(UPPER($AS$70:$AZ$70)="(BLANK)")+(UPPER($AS$70:$AZ$70)="EMPTY")+(UPPER($AS$70:$AZ$70)="(EMPTY)"))&gt;0,IFERROR(('Final Calculation Sheet'!$J$9)&amp;"","")="",ISNUMBER(SEARCH($AS$70:$AZ$70,IFERROR(('Final Calculation Sheet'!$J$9)&amp;"","")))))&gt;0))))</f>
        <v>1</v>
      </c>
      <c r="BX10">
        <f>IF($L$4="",1,--(AND(SUMPRODUCT(--($AS$71:$AZ$71&lt;&gt;""))&gt;0,IF(COUNTIF($BI$71:$BP$71,1)=0,TRUE,SUMPRODUCT(($BI$71:$BP$71=1)*($AS$71:$AZ$71&lt;&gt;"")*IF(((UPPER($AS$71:$AZ$71)="BLANK")+(UPPER($AS$71:$AZ$71)="(BLANK)")+(UPPER($AS$71:$AZ$71)="EMPTY")+(UPPER($AS$71:$AZ$71)="(EMPTY)"))&gt;0,IFERROR(('Final Calculation Sheet'!$K$9)&amp;"","")="",ISNUMBER(SEARCH($AS$71:$AZ$71,IFERROR(('Final Calculation Sheet'!$K$9)&amp;"","")))))&gt;0),IF(COUNTIF($BI$71:$BP$71,2)=0,TRUE,SUMPRODUCT(($BI$71:$BP$71=2)*($AS$71:$AZ$71&lt;&gt;"")*IF(((UPPER($AS$71:$AZ$71)="BLANK")+(UPPER($AS$71:$AZ$71)="(BLANK)")+(UPPER($AS$71:$AZ$71)="EMPTY")+(UPPER($AS$71:$AZ$71)="(EMPTY)"))&gt;0,IFERROR(('Final Calculation Sheet'!$K$9)&amp;"","")="",ISNUMBER(SEARCH($AS$71:$AZ$71,IFERROR(('Final Calculation Sheet'!$K$9)&amp;"","")))))&gt;0),IF(COUNTIF($BI$71:$BP$71,3)=0,TRUE,SUMPRODUCT(($BI$71:$BP$71=3)*($AS$71:$AZ$71&lt;&gt;"")*IF(((UPPER($AS$71:$AZ$71)="BLANK")+(UPPER($AS$71:$AZ$71)="(BLANK)")+(UPPER($AS$71:$AZ$71)="EMPTY")+(UPPER($AS$71:$AZ$71)="(EMPTY)"))&gt;0,IFERROR(('Final Calculation Sheet'!$K$9)&amp;"","")="",ISNUMBER(SEARCH($AS$71:$AZ$71,IFERROR(('Final Calculation Sheet'!$K$9)&amp;"","")))))&gt;0),IF(COUNTIF($BI$71:$BP$71,4)=0,TRUE,SUMPRODUCT(($BI$71:$BP$71=4)*($AS$71:$AZ$71&lt;&gt;"")*IF(((UPPER($AS$71:$AZ$71)="BLANK")+(UPPER($AS$71:$AZ$71)="(BLANK)")+(UPPER($AS$71:$AZ$71)="EMPTY")+(UPPER($AS$71:$AZ$71)="(EMPTY)"))&gt;0,IFERROR(('Final Calculation Sheet'!$K$9)&amp;"","")="",ISNUMBER(SEARCH($AS$71:$AZ$71,IFERROR(('Final Calculation Sheet'!$K$9)&amp;"","")))))&gt;0),IF(COUNTIF($BI$71:$BP$71,5)=0,TRUE,SUMPRODUCT(($BI$71:$BP$71=5)*($AS$71:$AZ$71&lt;&gt;"")*IF(((UPPER($AS$71:$AZ$71)="BLANK")+(UPPER($AS$71:$AZ$71)="(BLANK)")+(UPPER($AS$71:$AZ$71)="EMPTY")+(UPPER($AS$71:$AZ$71)="(EMPTY)"))&gt;0,IFERROR(('Final Calculation Sheet'!$K$9)&amp;"","")="",ISNUMBER(SEARCH($AS$71:$AZ$71,IFERROR(('Final Calculation Sheet'!$K$9)&amp;"","")))))&gt;0),IF(COUNTIF($BI$71:$BP$71,6)=0,TRUE,SUMPRODUCT(($BI$71:$BP$71=6)*($AS$71:$AZ$71&lt;&gt;"")*IF(((UPPER($AS$71:$AZ$71)="BLANK")+(UPPER($AS$71:$AZ$71)="(BLANK)")+(UPPER($AS$71:$AZ$71)="EMPTY")+(UPPER($AS$71:$AZ$71)="(EMPTY)"))&gt;0,IFERROR(('Final Calculation Sheet'!$K$9)&amp;"","")="",ISNUMBER(SEARCH($AS$71:$AZ$71,IFERROR(('Final Calculation Sheet'!$K$9)&amp;"","")))))&gt;0),IF(COUNTIF($BI$71:$BP$71,7)=0,TRUE,SUMPRODUCT(($BI$71:$BP$71=7)*($AS$71:$AZ$71&lt;&gt;"")*IF(((UPPER($AS$71:$AZ$71)="BLANK")+(UPPER($AS$71:$AZ$71)="(BLANK)")+(UPPER($AS$71:$AZ$71)="EMPTY")+(UPPER($AS$71:$AZ$71)="(EMPTY)"))&gt;0,IFERROR(('Final Calculation Sheet'!$K$9)&amp;"","")="",ISNUMBER(SEARCH($AS$71:$AZ$71,IFERROR(('Final Calculation Sheet'!$K$9)&amp;"","")))))&gt;0),IF(COUNTIF($BI$71:$BP$71,8)=0,TRUE,SUMPRODUCT(($BI$71:$BP$71=8)*($AS$71:$AZ$71&lt;&gt;"")*IF(((UPPER($AS$71:$AZ$71)="BLANK")+(UPPER($AS$71:$AZ$71)="(BLANK)")+(UPPER($AS$71:$AZ$71)="EMPTY")+(UPPER($AS$71:$AZ$71)="(EMPTY)"))&gt;0,IFERROR(('Final Calculation Sheet'!$K$9)&amp;"","")="",ISNUMBER(SEARCH($AS$71:$AZ$71,IFERROR(('Final Calculation Sheet'!$K$9)&amp;"","")))))&gt;0))))</f>
        <v>1</v>
      </c>
      <c r="BY10">
        <f>IF($M$4="",1,--(AND(SUMPRODUCT(--($AS$72:$AZ$72&lt;&gt;""))&gt;0,IF(COUNTIF($BI$72:$BP$72,1)=0,TRUE,SUMPRODUCT(($BI$72:$BP$72=1)*($AS$72:$AZ$72&lt;&gt;"")*IF(((UPPER($AS$72:$AZ$72)="BLANK")+(UPPER($AS$72:$AZ$72)="(BLANK)")+(UPPER($AS$72:$AZ$72)="EMPTY")+(UPPER($AS$72:$AZ$72)="(EMPTY)"))&gt;0,IFERROR(('Final Calculation Sheet'!$L$9)&amp;"","")="",ISNUMBER(SEARCH($AS$72:$AZ$72,IFERROR(('Final Calculation Sheet'!$L$9)&amp;"","")))))&gt;0),IF(COUNTIF($BI$72:$BP$72,2)=0,TRUE,SUMPRODUCT(($BI$72:$BP$72=2)*($AS$72:$AZ$72&lt;&gt;"")*IF(((UPPER($AS$72:$AZ$72)="BLANK")+(UPPER($AS$72:$AZ$72)="(BLANK)")+(UPPER($AS$72:$AZ$72)="EMPTY")+(UPPER($AS$72:$AZ$72)="(EMPTY)"))&gt;0,IFERROR(('Final Calculation Sheet'!$L$9)&amp;"","")="",ISNUMBER(SEARCH($AS$72:$AZ$72,IFERROR(('Final Calculation Sheet'!$L$9)&amp;"","")))))&gt;0),IF(COUNTIF($BI$72:$BP$72,3)=0,TRUE,SUMPRODUCT(($BI$72:$BP$72=3)*($AS$72:$AZ$72&lt;&gt;"")*IF(((UPPER($AS$72:$AZ$72)="BLANK")+(UPPER($AS$72:$AZ$72)="(BLANK)")+(UPPER($AS$72:$AZ$72)="EMPTY")+(UPPER($AS$72:$AZ$72)="(EMPTY)"))&gt;0,IFERROR(('Final Calculation Sheet'!$L$9)&amp;"","")="",ISNUMBER(SEARCH($AS$72:$AZ$72,IFERROR(('Final Calculation Sheet'!$L$9)&amp;"","")))))&gt;0),IF(COUNTIF($BI$72:$BP$72,4)=0,TRUE,SUMPRODUCT(($BI$72:$BP$72=4)*($AS$72:$AZ$72&lt;&gt;"")*IF(((UPPER($AS$72:$AZ$72)="BLANK")+(UPPER($AS$72:$AZ$72)="(BLANK)")+(UPPER($AS$72:$AZ$72)="EMPTY")+(UPPER($AS$72:$AZ$72)="(EMPTY)"))&gt;0,IFERROR(('Final Calculation Sheet'!$L$9)&amp;"","")="",ISNUMBER(SEARCH($AS$72:$AZ$72,IFERROR(('Final Calculation Sheet'!$L$9)&amp;"","")))))&gt;0),IF(COUNTIF($BI$72:$BP$72,5)=0,TRUE,SUMPRODUCT(($BI$72:$BP$72=5)*($AS$72:$AZ$72&lt;&gt;"")*IF(((UPPER($AS$72:$AZ$72)="BLANK")+(UPPER($AS$72:$AZ$72)="(BLANK)")+(UPPER($AS$72:$AZ$72)="EMPTY")+(UPPER($AS$72:$AZ$72)="(EMPTY)"))&gt;0,IFERROR(('Final Calculation Sheet'!$L$9)&amp;"","")="",ISNUMBER(SEARCH($AS$72:$AZ$72,IFERROR(('Final Calculation Sheet'!$L$9)&amp;"","")))))&gt;0),IF(COUNTIF($BI$72:$BP$72,6)=0,TRUE,SUMPRODUCT(($BI$72:$BP$72=6)*($AS$72:$AZ$72&lt;&gt;"")*IF(((UPPER($AS$72:$AZ$72)="BLANK")+(UPPER($AS$72:$AZ$72)="(BLANK)")+(UPPER($AS$72:$AZ$72)="EMPTY")+(UPPER($AS$72:$AZ$72)="(EMPTY)"))&gt;0,IFERROR(('Final Calculation Sheet'!$L$9)&amp;"","")="",ISNUMBER(SEARCH($AS$72:$AZ$72,IFERROR(('Final Calculation Sheet'!$L$9)&amp;"","")))))&gt;0),IF(COUNTIF($BI$72:$BP$72,7)=0,TRUE,SUMPRODUCT(($BI$72:$BP$72=7)*($AS$72:$AZ$72&lt;&gt;"")*IF(((UPPER($AS$72:$AZ$72)="BLANK")+(UPPER($AS$72:$AZ$72)="(BLANK)")+(UPPER($AS$72:$AZ$72)="EMPTY")+(UPPER($AS$72:$AZ$72)="(EMPTY)"))&gt;0,IFERROR(('Final Calculation Sheet'!$L$9)&amp;"","")="",ISNUMBER(SEARCH($AS$72:$AZ$72,IFERROR(('Final Calculation Sheet'!$L$9)&amp;"","")))))&gt;0),IF(COUNTIF($BI$72:$BP$72,8)=0,TRUE,SUMPRODUCT(($BI$72:$BP$72=8)*($AS$72:$AZ$72&lt;&gt;"")*IF(((UPPER($AS$72:$AZ$72)="BLANK")+(UPPER($AS$72:$AZ$72)="(BLANK)")+(UPPER($AS$72:$AZ$72)="EMPTY")+(UPPER($AS$72:$AZ$72)="(EMPTY)"))&gt;0,IFERROR(('Final Calculation Sheet'!$L$9)&amp;"","")="",ISNUMBER(SEARCH($AS$72:$AZ$72,IFERROR(('Final Calculation Sheet'!$L$9)&amp;"","")))))&gt;0))))</f>
        <v>1</v>
      </c>
      <c r="BZ10">
        <f>IF($N$4="",1,--(AND(SUMPRODUCT(--($AS$73:$AZ$73&lt;&gt;""))&gt;0,IF(COUNTIF($BI$73:$BP$73,1)=0,TRUE,SUMPRODUCT(($BI$73:$BP$73=1)*($AS$73:$AZ$73&lt;&gt;"")*IF(((UPPER($AS$73:$AZ$73)="BLANK")+(UPPER($AS$73:$AZ$73)="(BLANK)")+(UPPER($AS$73:$AZ$73)="EMPTY")+(UPPER($AS$73:$AZ$73)="(EMPTY)"))&gt;0,IFERROR(('Final Calculation Sheet'!$M$9)&amp;"","")="",ISNUMBER(SEARCH($AS$73:$AZ$73,IFERROR(('Final Calculation Sheet'!$M$9)&amp;"","")))))&gt;0),IF(COUNTIF($BI$73:$BP$73,2)=0,TRUE,SUMPRODUCT(($BI$73:$BP$73=2)*($AS$73:$AZ$73&lt;&gt;"")*IF(((UPPER($AS$73:$AZ$73)="BLANK")+(UPPER($AS$73:$AZ$73)="(BLANK)")+(UPPER($AS$73:$AZ$73)="EMPTY")+(UPPER($AS$73:$AZ$73)="(EMPTY)"))&gt;0,IFERROR(('Final Calculation Sheet'!$M$9)&amp;"","")="",ISNUMBER(SEARCH($AS$73:$AZ$73,IFERROR(('Final Calculation Sheet'!$M$9)&amp;"","")))))&gt;0),IF(COUNTIF($BI$73:$BP$73,3)=0,TRUE,SUMPRODUCT(($BI$73:$BP$73=3)*($AS$73:$AZ$73&lt;&gt;"")*IF(((UPPER($AS$73:$AZ$73)="BLANK")+(UPPER($AS$73:$AZ$73)="(BLANK)")+(UPPER($AS$73:$AZ$73)="EMPTY")+(UPPER($AS$73:$AZ$73)="(EMPTY)"))&gt;0,IFERROR(('Final Calculation Sheet'!$M$9)&amp;"","")="",ISNUMBER(SEARCH($AS$73:$AZ$73,IFERROR(('Final Calculation Sheet'!$M$9)&amp;"","")))))&gt;0),IF(COUNTIF($BI$73:$BP$73,4)=0,TRUE,SUMPRODUCT(($BI$73:$BP$73=4)*($AS$73:$AZ$73&lt;&gt;"")*IF(((UPPER($AS$73:$AZ$73)="BLANK")+(UPPER($AS$73:$AZ$73)="(BLANK)")+(UPPER($AS$73:$AZ$73)="EMPTY")+(UPPER($AS$73:$AZ$73)="(EMPTY)"))&gt;0,IFERROR(('Final Calculation Sheet'!$M$9)&amp;"","")="",ISNUMBER(SEARCH($AS$73:$AZ$73,IFERROR(('Final Calculation Sheet'!$M$9)&amp;"","")))))&gt;0),IF(COUNTIF($BI$73:$BP$73,5)=0,TRUE,SUMPRODUCT(($BI$73:$BP$73=5)*($AS$73:$AZ$73&lt;&gt;"")*IF(((UPPER($AS$73:$AZ$73)="BLANK")+(UPPER($AS$73:$AZ$73)="(BLANK)")+(UPPER($AS$73:$AZ$73)="EMPTY")+(UPPER($AS$73:$AZ$73)="(EMPTY)"))&gt;0,IFERROR(('Final Calculation Sheet'!$M$9)&amp;"","")="",ISNUMBER(SEARCH($AS$73:$AZ$73,IFERROR(('Final Calculation Sheet'!$M$9)&amp;"","")))))&gt;0),IF(COUNTIF($BI$73:$BP$73,6)=0,TRUE,SUMPRODUCT(($BI$73:$BP$73=6)*($AS$73:$AZ$73&lt;&gt;"")*IF(((UPPER($AS$73:$AZ$73)="BLANK")+(UPPER($AS$73:$AZ$73)="(BLANK)")+(UPPER($AS$73:$AZ$73)="EMPTY")+(UPPER($AS$73:$AZ$73)="(EMPTY)"))&gt;0,IFERROR(('Final Calculation Sheet'!$M$9)&amp;"","")="",ISNUMBER(SEARCH($AS$73:$AZ$73,IFERROR(('Final Calculation Sheet'!$M$9)&amp;"","")))))&gt;0),IF(COUNTIF($BI$73:$BP$73,7)=0,TRUE,SUMPRODUCT(($BI$73:$BP$73=7)*($AS$73:$AZ$73&lt;&gt;"")*IF(((UPPER($AS$73:$AZ$73)="BLANK")+(UPPER($AS$73:$AZ$73)="(BLANK)")+(UPPER($AS$73:$AZ$73)="EMPTY")+(UPPER($AS$73:$AZ$73)="(EMPTY)"))&gt;0,IFERROR(('Final Calculation Sheet'!$M$9)&amp;"","")="",ISNUMBER(SEARCH($AS$73:$AZ$73,IFERROR(('Final Calculation Sheet'!$M$9)&amp;"","")))))&gt;0),IF(COUNTIF($BI$73:$BP$73,8)=0,TRUE,SUMPRODUCT(($BI$73:$BP$73=8)*($AS$73:$AZ$73&lt;&gt;"")*IF(((UPPER($AS$73:$AZ$73)="BLANK")+(UPPER($AS$73:$AZ$73)="(BLANK)")+(UPPER($AS$73:$AZ$73)="EMPTY")+(UPPER($AS$73:$AZ$73)="(EMPTY)"))&gt;0,IFERROR(('Final Calculation Sheet'!$M$9)&amp;"","")="",ISNUMBER(SEARCH($AS$73:$AZ$73,IFERROR(('Final Calculation Sheet'!$M$9)&amp;"","")))))&gt;0))))</f>
        <v>1</v>
      </c>
      <c r="CA10">
        <f>IF($O$4="",1,--(AND(SUMPRODUCT(--($AS$74:$AZ$74&lt;&gt;""))&gt;0,IF(COUNTIF($BI$74:$BP$74,1)=0,TRUE,SUMPRODUCT(($BI$74:$BP$74=1)*($AS$74:$AZ$74&lt;&gt;"")*IF(((UPPER($AS$74:$AZ$74)="BLANK")+(UPPER($AS$74:$AZ$74)="(BLANK)")+(UPPER($AS$74:$AZ$74)="EMPTY")+(UPPER($AS$74:$AZ$74)="(EMPTY)"))&gt;0,IFERROR(('Final Calculation Sheet'!$N$9)&amp;"","")="",ISNUMBER(SEARCH($AS$74:$AZ$74,IFERROR(('Final Calculation Sheet'!$N$9)&amp;"","")))))&gt;0),IF(COUNTIF($BI$74:$BP$74,2)=0,TRUE,SUMPRODUCT(($BI$74:$BP$74=2)*($AS$74:$AZ$74&lt;&gt;"")*IF(((UPPER($AS$74:$AZ$74)="BLANK")+(UPPER($AS$74:$AZ$74)="(BLANK)")+(UPPER($AS$74:$AZ$74)="EMPTY")+(UPPER($AS$74:$AZ$74)="(EMPTY)"))&gt;0,IFERROR(('Final Calculation Sheet'!$N$9)&amp;"","")="",ISNUMBER(SEARCH($AS$74:$AZ$74,IFERROR(('Final Calculation Sheet'!$N$9)&amp;"","")))))&gt;0),IF(COUNTIF($BI$74:$BP$74,3)=0,TRUE,SUMPRODUCT(($BI$74:$BP$74=3)*($AS$74:$AZ$74&lt;&gt;"")*IF(((UPPER($AS$74:$AZ$74)="BLANK")+(UPPER($AS$74:$AZ$74)="(BLANK)")+(UPPER($AS$74:$AZ$74)="EMPTY")+(UPPER($AS$74:$AZ$74)="(EMPTY)"))&gt;0,IFERROR(('Final Calculation Sheet'!$N$9)&amp;"","")="",ISNUMBER(SEARCH($AS$74:$AZ$74,IFERROR(('Final Calculation Sheet'!$N$9)&amp;"","")))))&gt;0),IF(COUNTIF($BI$74:$BP$74,4)=0,TRUE,SUMPRODUCT(($BI$74:$BP$74=4)*($AS$74:$AZ$74&lt;&gt;"")*IF(((UPPER($AS$74:$AZ$74)="BLANK")+(UPPER($AS$74:$AZ$74)="(BLANK)")+(UPPER($AS$74:$AZ$74)="EMPTY")+(UPPER($AS$74:$AZ$74)="(EMPTY)"))&gt;0,IFERROR(('Final Calculation Sheet'!$N$9)&amp;"","")="",ISNUMBER(SEARCH($AS$74:$AZ$74,IFERROR(('Final Calculation Sheet'!$N$9)&amp;"","")))))&gt;0),IF(COUNTIF($BI$74:$BP$74,5)=0,TRUE,SUMPRODUCT(($BI$74:$BP$74=5)*($AS$74:$AZ$74&lt;&gt;"")*IF(((UPPER($AS$74:$AZ$74)="BLANK")+(UPPER($AS$74:$AZ$74)="(BLANK)")+(UPPER($AS$74:$AZ$74)="EMPTY")+(UPPER($AS$74:$AZ$74)="(EMPTY)"))&gt;0,IFERROR(('Final Calculation Sheet'!$N$9)&amp;"","")="",ISNUMBER(SEARCH($AS$74:$AZ$74,IFERROR(('Final Calculation Sheet'!$N$9)&amp;"","")))))&gt;0),IF(COUNTIF($BI$74:$BP$74,6)=0,TRUE,SUMPRODUCT(($BI$74:$BP$74=6)*($AS$74:$AZ$74&lt;&gt;"")*IF(((UPPER($AS$74:$AZ$74)="BLANK")+(UPPER($AS$74:$AZ$74)="(BLANK)")+(UPPER($AS$74:$AZ$74)="EMPTY")+(UPPER($AS$74:$AZ$74)="(EMPTY)"))&gt;0,IFERROR(('Final Calculation Sheet'!$N$9)&amp;"","")="",ISNUMBER(SEARCH($AS$74:$AZ$74,IFERROR(('Final Calculation Sheet'!$N$9)&amp;"","")))))&gt;0),IF(COUNTIF($BI$74:$BP$74,7)=0,TRUE,SUMPRODUCT(($BI$74:$BP$74=7)*($AS$74:$AZ$74&lt;&gt;"")*IF(((UPPER($AS$74:$AZ$74)="BLANK")+(UPPER($AS$74:$AZ$74)="(BLANK)")+(UPPER($AS$74:$AZ$74)="EMPTY")+(UPPER($AS$74:$AZ$74)="(EMPTY)"))&gt;0,IFERROR(('Final Calculation Sheet'!$N$9)&amp;"","")="",ISNUMBER(SEARCH($AS$74:$AZ$74,IFERROR(('Final Calculation Sheet'!$N$9)&amp;"","")))))&gt;0),IF(COUNTIF($BI$74:$BP$74,8)=0,TRUE,SUMPRODUCT(($BI$74:$BP$74=8)*($AS$74:$AZ$74&lt;&gt;"")*IF(((UPPER($AS$74:$AZ$74)="BLANK")+(UPPER($AS$74:$AZ$74)="(BLANK)")+(UPPER($AS$74:$AZ$74)="EMPTY")+(UPPER($AS$74:$AZ$74)="(EMPTY)"))&gt;0,IFERROR(('Final Calculation Sheet'!$N$9)&amp;"","")="",ISNUMBER(SEARCH($AS$74:$AZ$74,IFERROR(('Final Calculation Sheet'!$N$9)&amp;"","")))))&gt;0))))</f>
        <v>1</v>
      </c>
      <c r="CB10">
        <f>IF($P$4="",1,--(AND(SUMPRODUCT(--($AS$75:$AZ$75&lt;&gt;""))&gt;0,IF(COUNTIF($BI$75:$BP$75,1)=0,TRUE,SUMPRODUCT(($BI$75:$BP$75=1)*($AS$75:$AZ$75&lt;&gt;"")*IF(((UPPER($AS$75:$AZ$75)="BLANK")+(UPPER($AS$75:$AZ$75)="(BLANK)")+(UPPER($AS$75:$AZ$75)="EMPTY")+(UPPER($AS$75:$AZ$75)="(EMPTY)"))&gt;0,IFERROR(('Final Calculation Sheet'!$O$9)&amp;"","")="",ISNUMBER(SEARCH($AS$75:$AZ$75,IFERROR(('Final Calculation Sheet'!$O$9)&amp;"","")))))&gt;0),IF(COUNTIF($BI$75:$BP$75,2)=0,TRUE,SUMPRODUCT(($BI$75:$BP$75=2)*($AS$75:$AZ$75&lt;&gt;"")*IF(((UPPER($AS$75:$AZ$75)="BLANK")+(UPPER($AS$75:$AZ$75)="(BLANK)")+(UPPER($AS$75:$AZ$75)="EMPTY")+(UPPER($AS$75:$AZ$75)="(EMPTY)"))&gt;0,IFERROR(('Final Calculation Sheet'!$O$9)&amp;"","")="",ISNUMBER(SEARCH($AS$75:$AZ$75,IFERROR(('Final Calculation Sheet'!$O$9)&amp;"","")))))&gt;0),IF(COUNTIF($BI$75:$BP$75,3)=0,TRUE,SUMPRODUCT(($BI$75:$BP$75=3)*($AS$75:$AZ$75&lt;&gt;"")*IF(((UPPER($AS$75:$AZ$75)="BLANK")+(UPPER($AS$75:$AZ$75)="(BLANK)")+(UPPER($AS$75:$AZ$75)="EMPTY")+(UPPER($AS$75:$AZ$75)="(EMPTY)"))&gt;0,IFERROR(('Final Calculation Sheet'!$O$9)&amp;"","")="",ISNUMBER(SEARCH($AS$75:$AZ$75,IFERROR(('Final Calculation Sheet'!$O$9)&amp;"","")))))&gt;0),IF(COUNTIF($BI$75:$BP$75,4)=0,TRUE,SUMPRODUCT(($BI$75:$BP$75=4)*($AS$75:$AZ$75&lt;&gt;"")*IF(((UPPER($AS$75:$AZ$75)="BLANK")+(UPPER($AS$75:$AZ$75)="(BLANK)")+(UPPER($AS$75:$AZ$75)="EMPTY")+(UPPER($AS$75:$AZ$75)="(EMPTY)"))&gt;0,IFERROR(('Final Calculation Sheet'!$O$9)&amp;"","")="",ISNUMBER(SEARCH($AS$75:$AZ$75,IFERROR(('Final Calculation Sheet'!$O$9)&amp;"","")))))&gt;0),IF(COUNTIF($BI$75:$BP$75,5)=0,TRUE,SUMPRODUCT(($BI$75:$BP$75=5)*($AS$75:$AZ$75&lt;&gt;"")*IF(((UPPER($AS$75:$AZ$75)="BLANK")+(UPPER($AS$75:$AZ$75)="(BLANK)")+(UPPER($AS$75:$AZ$75)="EMPTY")+(UPPER($AS$75:$AZ$75)="(EMPTY)"))&gt;0,IFERROR(('Final Calculation Sheet'!$O$9)&amp;"","")="",ISNUMBER(SEARCH($AS$75:$AZ$75,IFERROR(('Final Calculation Sheet'!$O$9)&amp;"","")))))&gt;0),IF(COUNTIF($BI$75:$BP$75,6)=0,TRUE,SUMPRODUCT(($BI$75:$BP$75=6)*($AS$75:$AZ$75&lt;&gt;"")*IF(((UPPER($AS$75:$AZ$75)="BLANK")+(UPPER($AS$75:$AZ$75)="(BLANK)")+(UPPER($AS$75:$AZ$75)="EMPTY")+(UPPER($AS$75:$AZ$75)="(EMPTY)"))&gt;0,IFERROR(('Final Calculation Sheet'!$O$9)&amp;"","")="",ISNUMBER(SEARCH($AS$75:$AZ$75,IFERROR(('Final Calculation Sheet'!$O$9)&amp;"","")))))&gt;0),IF(COUNTIF($BI$75:$BP$75,7)=0,TRUE,SUMPRODUCT(($BI$75:$BP$75=7)*($AS$75:$AZ$75&lt;&gt;"")*IF(((UPPER($AS$75:$AZ$75)="BLANK")+(UPPER($AS$75:$AZ$75)="(BLANK)")+(UPPER($AS$75:$AZ$75)="EMPTY")+(UPPER($AS$75:$AZ$75)="(EMPTY)"))&gt;0,IFERROR(('Final Calculation Sheet'!$O$9)&amp;"","")="",ISNUMBER(SEARCH($AS$75:$AZ$75,IFERROR(('Final Calculation Sheet'!$O$9)&amp;"","")))))&gt;0),IF(COUNTIF($BI$75:$BP$75,8)=0,TRUE,SUMPRODUCT(($BI$75:$BP$75=8)*($AS$75:$AZ$75&lt;&gt;"")*IF(((UPPER($AS$75:$AZ$75)="BLANK")+(UPPER($AS$75:$AZ$75)="(BLANK)")+(UPPER($AS$75:$AZ$75)="EMPTY")+(UPPER($AS$75:$AZ$75)="(EMPTY)"))&gt;0,IFERROR(('Final Calculation Sheet'!$O$9)&amp;"","")="",ISNUMBER(SEARCH($AS$75:$AZ$75,IFERROR(('Final Calculation Sheet'!$O$9)&amp;"","")))))&gt;0))))</f>
        <v>1</v>
      </c>
      <c r="CC10">
        <f>IF($Q$4="",1,--(AND(SUMPRODUCT(--($AS$76:$AZ$76&lt;&gt;""))&gt;0,IF(COUNTIF($BI$76:$BP$76,1)=0,TRUE,SUMPRODUCT(($BI$76:$BP$76=1)*($AS$76:$AZ$76&lt;&gt;"")*IF(((UPPER($AS$76:$AZ$76)="BLANK")+(UPPER($AS$76:$AZ$76)="(BLANK)")+(UPPER($AS$76:$AZ$76)="EMPTY")+(UPPER($AS$76:$AZ$76)="(EMPTY)"))&gt;0,IFERROR(('Final Calculation Sheet'!$P$9)&amp;"","")="",ISNUMBER(SEARCH($AS$76:$AZ$76,IFERROR(('Final Calculation Sheet'!$P$9)&amp;"","")))))&gt;0),IF(COUNTIF($BI$76:$BP$76,2)=0,TRUE,SUMPRODUCT(($BI$76:$BP$76=2)*($AS$76:$AZ$76&lt;&gt;"")*IF(((UPPER($AS$76:$AZ$76)="BLANK")+(UPPER($AS$76:$AZ$76)="(BLANK)")+(UPPER($AS$76:$AZ$76)="EMPTY")+(UPPER($AS$76:$AZ$76)="(EMPTY)"))&gt;0,IFERROR(('Final Calculation Sheet'!$P$9)&amp;"","")="",ISNUMBER(SEARCH($AS$76:$AZ$76,IFERROR(('Final Calculation Sheet'!$P$9)&amp;"","")))))&gt;0),IF(COUNTIF($BI$76:$BP$76,3)=0,TRUE,SUMPRODUCT(($BI$76:$BP$76=3)*($AS$76:$AZ$76&lt;&gt;"")*IF(((UPPER($AS$76:$AZ$76)="BLANK")+(UPPER($AS$76:$AZ$76)="(BLANK)")+(UPPER($AS$76:$AZ$76)="EMPTY")+(UPPER($AS$76:$AZ$76)="(EMPTY)"))&gt;0,IFERROR(('Final Calculation Sheet'!$P$9)&amp;"","")="",ISNUMBER(SEARCH($AS$76:$AZ$76,IFERROR(('Final Calculation Sheet'!$P$9)&amp;"","")))))&gt;0),IF(COUNTIF($BI$76:$BP$76,4)=0,TRUE,SUMPRODUCT(($BI$76:$BP$76=4)*($AS$76:$AZ$76&lt;&gt;"")*IF(((UPPER($AS$76:$AZ$76)="BLANK")+(UPPER($AS$76:$AZ$76)="(BLANK)")+(UPPER($AS$76:$AZ$76)="EMPTY")+(UPPER($AS$76:$AZ$76)="(EMPTY)"))&gt;0,IFERROR(('Final Calculation Sheet'!$P$9)&amp;"","")="",ISNUMBER(SEARCH($AS$76:$AZ$76,IFERROR(('Final Calculation Sheet'!$P$9)&amp;"","")))))&gt;0),IF(COUNTIF($BI$76:$BP$76,5)=0,TRUE,SUMPRODUCT(($BI$76:$BP$76=5)*($AS$76:$AZ$76&lt;&gt;"")*IF(((UPPER($AS$76:$AZ$76)="BLANK")+(UPPER($AS$76:$AZ$76)="(BLANK)")+(UPPER($AS$76:$AZ$76)="EMPTY")+(UPPER($AS$76:$AZ$76)="(EMPTY)"))&gt;0,IFERROR(('Final Calculation Sheet'!$P$9)&amp;"","")="",ISNUMBER(SEARCH($AS$76:$AZ$76,IFERROR(('Final Calculation Sheet'!$P$9)&amp;"","")))))&gt;0),IF(COUNTIF($BI$76:$BP$76,6)=0,TRUE,SUMPRODUCT(($BI$76:$BP$76=6)*($AS$76:$AZ$76&lt;&gt;"")*IF(((UPPER($AS$76:$AZ$76)="BLANK")+(UPPER($AS$76:$AZ$76)="(BLANK)")+(UPPER($AS$76:$AZ$76)="EMPTY")+(UPPER($AS$76:$AZ$76)="(EMPTY)"))&gt;0,IFERROR(('Final Calculation Sheet'!$P$9)&amp;"","")="",ISNUMBER(SEARCH($AS$76:$AZ$76,IFERROR(('Final Calculation Sheet'!$P$9)&amp;"","")))))&gt;0),IF(COUNTIF($BI$76:$BP$76,7)=0,TRUE,SUMPRODUCT(($BI$76:$BP$76=7)*($AS$76:$AZ$76&lt;&gt;"")*IF(((UPPER($AS$76:$AZ$76)="BLANK")+(UPPER($AS$76:$AZ$76)="(BLANK)")+(UPPER($AS$76:$AZ$76)="EMPTY")+(UPPER($AS$76:$AZ$76)="(EMPTY)"))&gt;0,IFERROR(('Final Calculation Sheet'!$P$9)&amp;"","")="",ISNUMBER(SEARCH($AS$76:$AZ$76,IFERROR(('Final Calculation Sheet'!$P$9)&amp;"","")))))&gt;0),IF(COUNTIF($BI$76:$BP$76,8)=0,TRUE,SUMPRODUCT(($BI$76:$BP$76=8)*($AS$76:$AZ$76&lt;&gt;"")*IF(((UPPER($AS$76:$AZ$76)="BLANK")+(UPPER($AS$76:$AZ$76)="(BLANK)")+(UPPER($AS$76:$AZ$76)="EMPTY")+(UPPER($AS$76:$AZ$76)="(EMPTY)"))&gt;0,IFERROR(('Final Calculation Sheet'!$P$9)&amp;"","")="",ISNUMBER(SEARCH($AS$76:$AZ$76,IFERROR(('Final Calculation Sheet'!$P$9)&amp;"","")))))&gt;0))))</f>
        <v>1</v>
      </c>
      <c r="CD10">
        <f>IF($R$4="",1,--(AND(SUMPRODUCT(--($AS$77:$AZ$77&lt;&gt;""))&gt;0,IF(COUNTIF($BI$77:$BP$77,1)=0,TRUE,SUMPRODUCT(($BI$77:$BP$77=1)*($AS$77:$AZ$77&lt;&gt;"")*IF(((UPPER($AS$77:$AZ$77)="BLANK")+(UPPER($AS$77:$AZ$77)="(BLANK)")+(UPPER($AS$77:$AZ$77)="EMPTY")+(UPPER($AS$77:$AZ$77)="(EMPTY)"))&gt;0,IFERROR(('Final Calculation Sheet'!$Q$9)&amp;"","")="",ISNUMBER(SEARCH($AS$77:$AZ$77,IFERROR(('Final Calculation Sheet'!$Q$9)&amp;"","")))))&gt;0),IF(COUNTIF($BI$77:$BP$77,2)=0,TRUE,SUMPRODUCT(($BI$77:$BP$77=2)*($AS$77:$AZ$77&lt;&gt;"")*IF(((UPPER($AS$77:$AZ$77)="BLANK")+(UPPER($AS$77:$AZ$77)="(BLANK)")+(UPPER($AS$77:$AZ$77)="EMPTY")+(UPPER($AS$77:$AZ$77)="(EMPTY)"))&gt;0,IFERROR(('Final Calculation Sheet'!$Q$9)&amp;"","")="",ISNUMBER(SEARCH($AS$77:$AZ$77,IFERROR(('Final Calculation Sheet'!$Q$9)&amp;"","")))))&gt;0),IF(COUNTIF($BI$77:$BP$77,3)=0,TRUE,SUMPRODUCT(($BI$77:$BP$77=3)*($AS$77:$AZ$77&lt;&gt;"")*IF(((UPPER($AS$77:$AZ$77)="BLANK")+(UPPER($AS$77:$AZ$77)="(BLANK)")+(UPPER($AS$77:$AZ$77)="EMPTY")+(UPPER($AS$77:$AZ$77)="(EMPTY)"))&gt;0,IFERROR(('Final Calculation Sheet'!$Q$9)&amp;"","")="",ISNUMBER(SEARCH($AS$77:$AZ$77,IFERROR(('Final Calculation Sheet'!$Q$9)&amp;"","")))))&gt;0),IF(COUNTIF($BI$77:$BP$77,4)=0,TRUE,SUMPRODUCT(($BI$77:$BP$77=4)*($AS$77:$AZ$77&lt;&gt;"")*IF(((UPPER($AS$77:$AZ$77)="BLANK")+(UPPER($AS$77:$AZ$77)="(BLANK)")+(UPPER($AS$77:$AZ$77)="EMPTY")+(UPPER($AS$77:$AZ$77)="(EMPTY)"))&gt;0,IFERROR(('Final Calculation Sheet'!$Q$9)&amp;"","")="",ISNUMBER(SEARCH($AS$77:$AZ$77,IFERROR(('Final Calculation Sheet'!$Q$9)&amp;"","")))))&gt;0),IF(COUNTIF($BI$77:$BP$77,5)=0,TRUE,SUMPRODUCT(($BI$77:$BP$77=5)*($AS$77:$AZ$77&lt;&gt;"")*IF(((UPPER($AS$77:$AZ$77)="BLANK")+(UPPER($AS$77:$AZ$77)="(BLANK)")+(UPPER($AS$77:$AZ$77)="EMPTY")+(UPPER($AS$77:$AZ$77)="(EMPTY)"))&gt;0,IFERROR(('Final Calculation Sheet'!$Q$9)&amp;"","")="",ISNUMBER(SEARCH($AS$77:$AZ$77,IFERROR(('Final Calculation Sheet'!$Q$9)&amp;"","")))))&gt;0),IF(COUNTIF($BI$77:$BP$77,6)=0,TRUE,SUMPRODUCT(($BI$77:$BP$77=6)*($AS$77:$AZ$77&lt;&gt;"")*IF(((UPPER($AS$77:$AZ$77)="BLANK")+(UPPER($AS$77:$AZ$77)="(BLANK)")+(UPPER($AS$77:$AZ$77)="EMPTY")+(UPPER($AS$77:$AZ$77)="(EMPTY)"))&gt;0,IFERROR(('Final Calculation Sheet'!$Q$9)&amp;"","")="",ISNUMBER(SEARCH($AS$77:$AZ$77,IFERROR(('Final Calculation Sheet'!$Q$9)&amp;"","")))))&gt;0),IF(COUNTIF($BI$77:$BP$77,7)=0,TRUE,SUMPRODUCT(($BI$77:$BP$77=7)*($AS$77:$AZ$77&lt;&gt;"")*IF(((UPPER($AS$77:$AZ$77)="BLANK")+(UPPER($AS$77:$AZ$77)="(BLANK)")+(UPPER($AS$77:$AZ$77)="EMPTY")+(UPPER($AS$77:$AZ$77)="(EMPTY)"))&gt;0,IFERROR(('Final Calculation Sheet'!$Q$9)&amp;"","")="",ISNUMBER(SEARCH($AS$77:$AZ$77,IFERROR(('Final Calculation Sheet'!$Q$9)&amp;"","")))))&gt;0),IF(COUNTIF($BI$77:$BP$77,8)=0,TRUE,SUMPRODUCT(($BI$77:$BP$77=8)*($AS$77:$AZ$77&lt;&gt;"")*IF(((UPPER($AS$77:$AZ$77)="BLANK")+(UPPER($AS$77:$AZ$77)="(BLANK)")+(UPPER($AS$77:$AZ$77)="EMPTY")+(UPPER($AS$77:$AZ$77)="(EMPTY)"))&gt;0,IFERROR(('Final Calculation Sheet'!$Q$9)&amp;"","")="",ISNUMBER(SEARCH($AS$77:$AZ$77,IFERROR(('Final Calculation Sheet'!$Q$9)&amp;"","")))))&gt;0))))</f>
        <v>1</v>
      </c>
      <c r="CE10">
        <f>IF($S$4="",1,--(AND(SUMPRODUCT(--($AS$78:$AZ$78&lt;&gt;""))&gt;0,IF(COUNTIF($BI$78:$BP$78,1)=0,TRUE,SUMPRODUCT(($BI$78:$BP$78=1)*($AS$78:$AZ$78&lt;&gt;"")*IF(((UPPER($AS$78:$AZ$78)="BLANK")+(UPPER($AS$78:$AZ$78)="(BLANK)")+(UPPER($AS$78:$AZ$78)="EMPTY")+(UPPER($AS$78:$AZ$78)="(EMPTY)"))&gt;0,IFERROR(('Final Calculation Sheet'!$R$9)&amp;"","")="",ISNUMBER(SEARCH($AS$78:$AZ$78,IFERROR(('Final Calculation Sheet'!$R$9)&amp;"","")))))&gt;0),IF(COUNTIF($BI$78:$BP$78,2)=0,TRUE,SUMPRODUCT(($BI$78:$BP$78=2)*($AS$78:$AZ$78&lt;&gt;"")*IF(((UPPER($AS$78:$AZ$78)="BLANK")+(UPPER($AS$78:$AZ$78)="(BLANK)")+(UPPER($AS$78:$AZ$78)="EMPTY")+(UPPER($AS$78:$AZ$78)="(EMPTY)"))&gt;0,IFERROR(('Final Calculation Sheet'!$R$9)&amp;"","")="",ISNUMBER(SEARCH($AS$78:$AZ$78,IFERROR(('Final Calculation Sheet'!$R$9)&amp;"","")))))&gt;0),IF(COUNTIF($BI$78:$BP$78,3)=0,TRUE,SUMPRODUCT(($BI$78:$BP$78=3)*($AS$78:$AZ$78&lt;&gt;"")*IF(((UPPER($AS$78:$AZ$78)="BLANK")+(UPPER($AS$78:$AZ$78)="(BLANK)")+(UPPER($AS$78:$AZ$78)="EMPTY")+(UPPER($AS$78:$AZ$78)="(EMPTY)"))&gt;0,IFERROR(('Final Calculation Sheet'!$R$9)&amp;"","")="",ISNUMBER(SEARCH($AS$78:$AZ$78,IFERROR(('Final Calculation Sheet'!$R$9)&amp;"","")))))&gt;0),IF(COUNTIF($BI$78:$BP$78,4)=0,TRUE,SUMPRODUCT(($BI$78:$BP$78=4)*($AS$78:$AZ$78&lt;&gt;"")*IF(((UPPER($AS$78:$AZ$78)="BLANK")+(UPPER($AS$78:$AZ$78)="(BLANK)")+(UPPER($AS$78:$AZ$78)="EMPTY")+(UPPER($AS$78:$AZ$78)="(EMPTY)"))&gt;0,IFERROR(('Final Calculation Sheet'!$R$9)&amp;"","")="",ISNUMBER(SEARCH($AS$78:$AZ$78,IFERROR(('Final Calculation Sheet'!$R$9)&amp;"","")))))&gt;0),IF(COUNTIF($BI$78:$BP$78,5)=0,TRUE,SUMPRODUCT(($BI$78:$BP$78=5)*($AS$78:$AZ$78&lt;&gt;"")*IF(((UPPER($AS$78:$AZ$78)="BLANK")+(UPPER($AS$78:$AZ$78)="(BLANK)")+(UPPER($AS$78:$AZ$78)="EMPTY")+(UPPER($AS$78:$AZ$78)="(EMPTY)"))&gt;0,IFERROR(('Final Calculation Sheet'!$R$9)&amp;"","")="",ISNUMBER(SEARCH($AS$78:$AZ$78,IFERROR(('Final Calculation Sheet'!$R$9)&amp;"","")))))&gt;0),IF(COUNTIF($BI$78:$BP$78,6)=0,TRUE,SUMPRODUCT(($BI$78:$BP$78=6)*($AS$78:$AZ$78&lt;&gt;"")*IF(((UPPER($AS$78:$AZ$78)="BLANK")+(UPPER($AS$78:$AZ$78)="(BLANK)")+(UPPER($AS$78:$AZ$78)="EMPTY")+(UPPER($AS$78:$AZ$78)="(EMPTY)"))&gt;0,IFERROR(('Final Calculation Sheet'!$R$9)&amp;"","")="",ISNUMBER(SEARCH($AS$78:$AZ$78,IFERROR(('Final Calculation Sheet'!$R$9)&amp;"","")))))&gt;0),IF(COUNTIF($BI$78:$BP$78,7)=0,TRUE,SUMPRODUCT(($BI$78:$BP$78=7)*($AS$78:$AZ$78&lt;&gt;"")*IF(((UPPER($AS$78:$AZ$78)="BLANK")+(UPPER($AS$78:$AZ$78)="(BLANK)")+(UPPER($AS$78:$AZ$78)="EMPTY")+(UPPER($AS$78:$AZ$78)="(EMPTY)"))&gt;0,IFERROR(('Final Calculation Sheet'!$R$9)&amp;"","")="",ISNUMBER(SEARCH($AS$78:$AZ$78,IFERROR(('Final Calculation Sheet'!$R$9)&amp;"","")))))&gt;0),IF(COUNTIF($BI$78:$BP$78,8)=0,TRUE,SUMPRODUCT(($BI$78:$BP$78=8)*($AS$78:$AZ$78&lt;&gt;"")*IF(((UPPER($AS$78:$AZ$78)="BLANK")+(UPPER($AS$78:$AZ$78)="(BLANK)")+(UPPER($AS$78:$AZ$78)="EMPTY")+(UPPER($AS$78:$AZ$78)="(EMPTY)"))&gt;0,IFERROR(('Final Calculation Sheet'!$R$9)&amp;"","")="",ISNUMBER(SEARCH($AS$78:$AZ$78,IFERROR(('Final Calculation Sheet'!$R$9)&amp;"","")))))&gt;0))))</f>
        <v>1</v>
      </c>
      <c r="CF10">
        <f>IF($T$4="",1,--(AND(SUMPRODUCT(--($AS$79:$AZ$79&lt;&gt;""))&gt;0,IF(COUNTIF($BI$79:$BP$79,1)=0,TRUE,SUMPRODUCT(($BI$79:$BP$79=1)*($AS$79:$AZ$79&lt;&gt;"")*IF(((UPPER($AS$79:$AZ$79)="BLANK")+(UPPER($AS$79:$AZ$79)="(BLANK)")+(UPPER($AS$79:$AZ$79)="EMPTY")+(UPPER($AS$79:$AZ$79)="(EMPTY)"))&gt;0,IFERROR(('Final Calculation Sheet'!$S$9)&amp;"","")="",ISNUMBER(SEARCH($AS$79:$AZ$79,IFERROR(('Final Calculation Sheet'!$S$9)&amp;"","")))))&gt;0),IF(COUNTIF($BI$79:$BP$79,2)=0,TRUE,SUMPRODUCT(($BI$79:$BP$79=2)*($AS$79:$AZ$79&lt;&gt;"")*IF(((UPPER($AS$79:$AZ$79)="BLANK")+(UPPER($AS$79:$AZ$79)="(BLANK)")+(UPPER($AS$79:$AZ$79)="EMPTY")+(UPPER($AS$79:$AZ$79)="(EMPTY)"))&gt;0,IFERROR(('Final Calculation Sheet'!$S$9)&amp;"","")="",ISNUMBER(SEARCH($AS$79:$AZ$79,IFERROR(('Final Calculation Sheet'!$S$9)&amp;"","")))))&gt;0),IF(COUNTIF($BI$79:$BP$79,3)=0,TRUE,SUMPRODUCT(($BI$79:$BP$79=3)*($AS$79:$AZ$79&lt;&gt;"")*IF(((UPPER($AS$79:$AZ$79)="BLANK")+(UPPER($AS$79:$AZ$79)="(BLANK)")+(UPPER($AS$79:$AZ$79)="EMPTY")+(UPPER($AS$79:$AZ$79)="(EMPTY)"))&gt;0,IFERROR(('Final Calculation Sheet'!$S$9)&amp;"","")="",ISNUMBER(SEARCH($AS$79:$AZ$79,IFERROR(('Final Calculation Sheet'!$S$9)&amp;"","")))))&gt;0),IF(COUNTIF($BI$79:$BP$79,4)=0,TRUE,SUMPRODUCT(($BI$79:$BP$79=4)*($AS$79:$AZ$79&lt;&gt;"")*IF(((UPPER($AS$79:$AZ$79)="BLANK")+(UPPER($AS$79:$AZ$79)="(BLANK)")+(UPPER($AS$79:$AZ$79)="EMPTY")+(UPPER($AS$79:$AZ$79)="(EMPTY)"))&gt;0,IFERROR(('Final Calculation Sheet'!$S$9)&amp;"","")="",ISNUMBER(SEARCH($AS$79:$AZ$79,IFERROR(('Final Calculation Sheet'!$S$9)&amp;"","")))))&gt;0),IF(COUNTIF($BI$79:$BP$79,5)=0,TRUE,SUMPRODUCT(($BI$79:$BP$79=5)*($AS$79:$AZ$79&lt;&gt;"")*IF(((UPPER($AS$79:$AZ$79)="BLANK")+(UPPER($AS$79:$AZ$79)="(BLANK)")+(UPPER($AS$79:$AZ$79)="EMPTY")+(UPPER($AS$79:$AZ$79)="(EMPTY)"))&gt;0,IFERROR(('Final Calculation Sheet'!$S$9)&amp;"","")="",ISNUMBER(SEARCH($AS$79:$AZ$79,IFERROR(('Final Calculation Sheet'!$S$9)&amp;"","")))))&gt;0),IF(COUNTIF($BI$79:$BP$79,6)=0,TRUE,SUMPRODUCT(($BI$79:$BP$79=6)*($AS$79:$AZ$79&lt;&gt;"")*IF(((UPPER($AS$79:$AZ$79)="BLANK")+(UPPER($AS$79:$AZ$79)="(BLANK)")+(UPPER($AS$79:$AZ$79)="EMPTY")+(UPPER($AS$79:$AZ$79)="(EMPTY)"))&gt;0,IFERROR(('Final Calculation Sheet'!$S$9)&amp;"","")="",ISNUMBER(SEARCH($AS$79:$AZ$79,IFERROR(('Final Calculation Sheet'!$S$9)&amp;"","")))))&gt;0),IF(COUNTIF($BI$79:$BP$79,7)=0,TRUE,SUMPRODUCT(($BI$79:$BP$79=7)*($AS$79:$AZ$79&lt;&gt;"")*IF(((UPPER($AS$79:$AZ$79)="BLANK")+(UPPER($AS$79:$AZ$79)="(BLANK)")+(UPPER($AS$79:$AZ$79)="EMPTY")+(UPPER($AS$79:$AZ$79)="(EMPTY)"))&gt;0,IFERROR(('Final Calculation Sheet'!$S$9)&amp;"","")="",ISNUMBER(SEARCH($AS$79:$AZ$79,IFERROR(('Final Calculation Sheet'!$S$9)&amp;"","")))))&gt;0),IF(COUNTIF($BI$79:$BP$79,8)=0,TRUE,SUMPRODUCT(($BI$79:$BP$79=8)*($AS$79:$AZ$79&lt;&gt;"")*IF(((UPPER($AS$79:$AZ$79)="BLANK")+(UPPER($AS$79:$AZ$79)="(BLANK)")+(UPPER($AS$79:$AZ$79)="EMPTY")+(UPPER($AS$79:$AZ$79)="(EMPTY)"))&gt;0,IFERROR(('Final Calculation Sheet'!$S$9)&amp;"","")="",ISNUMBER(SEARCH($AS$79:$AZ$79,IFERROR(('Final Calculation Sheet'!$S$9)&amp;"","")))))&gt;0))))</f>
        <v>1</v>
      </c>
      <c r="CG10">
        <f>IF($U$4="",1,--(AND(SUMPRODUCT(--($AS$80:$AZ$80&lt;&gt;""))&gt;0,IF(COUNTIF($BI$80:$BP$80,1)=0,TRUE,SUMPRODUCT(($BI$80:$BP$80=1)*($AS$80:$AZ$80&lt;&gt;"")*IF(((UPPER($AS$80:$AZ$80)="BLANK")+(UPPER($AS$80:$AZ$80)="(BLANK)")+(UPPER($AS$80:$AZ$80)="EMPTY")+(UPPER($AS$80:$AZ$80)="(EMPTY)"))&gt;0,IFERROR(('Final Calculation Sheet'!$T$9)&amp;"","")="",ISNUMBER(SEARCH($AS$80:$AZ$80,IFERROR(('Final Calculation Sheet'!$T$9)&amp;"","")))))&gt;0),IF(COUNTIF($BI$80:$BP$80,2)=0,TRUE,SUMPRODUCT(($BI$80:$BP$80=2)*($AS$80:$AZ$80&lt;&gt;"")*IF(((UPPER($AS$80:$AZ$80)="BLANK")+(UPPER($AS$80:$AZ$80)="(BLANK)")+(UPPER($AS$80:$AZ$80)="EMPTY")+(UPPER($AS$80:$AZ$80)="(EMPTY)"))&gt;0,IFERROR(('Final Calculation Sheet'!$T$9)&amp;"","")="",ISNUMBER(SEARCH($AS$80:$AZ$80,IFERROR(('Final Calculation Sheet'!$T$9)&amp;"","")))))&gt;0),IF(COUNTIF($BI$80:$BP$80,3)=0,TRUE,SUMPRODUCT(($BI$80:$BP$80=3)*($AS$80:$AZ$80&lt;&gt;"")*IF(((UPPER($AS$80:$AZ$80)="BLANK")+(UPPER($AS$80:$AZ$80)="(BLANK)")+(UPPER($AS$80:$AZ$80)="EMPTY")+(UPPER($AS$80:$AZ$80)="(EMPTY)"))&gt;0,IFERROR(('Final Calculation Sheet'!$T$9)&amp;"","")="",ISNUMBER(SEARCH($AS$80:$AZ$80,IFERROR(('Final Calculation Sheet'!$T$9)&amp;"","")))))&gt;0),IF(COUNTIF($BI$80:$BP$80,4)=0,TRUE,SUMPRODUCT(($BI$80:$BP$80=4)*($AS$80:$AZ$80&lt;&gt;"")*IF(((UPPER($AS$80:$AZ$80)="BLANK")+(UPPER($AS$80:$AZ$80)="(BLANK)")+(UPPER($AS$80:$AZ$80)="EMPTY")+(UPPER($AS$80:$AZ$80)="(EMPTY)"))&gt;0,IFERROR(('Final Calculation Sheet'!$T$9)&amp;"","")="",ISNUMBER(SEARCH($AS$80:$AZ$80,IFERROR(('Final Calculation Sheet'!$T$9)&amp;"","")))))&gt;0),IF(COUNTIF($BI$80:$BP$80,5)=0,TRUE,SUMPRODUCT(($BI$80:$BP$80=5)*($AS$80:$AZ$80&lt;&gt;"")*IF(((UPPER($AS$80:$AZ$80)="BLANK")+(UPPER($AS$80:$AZ$80)="(BLANK)")+(UPPER($AS$80:$AZ$80)="EMPTY")+(UPPER($AS$80:$AZ$80)="(EMPTY)"))&gt;0,IFERROR(('Final Calculation Sheet'!$T$9)&amp;"","")="",ISNUMBER(SEARCH($AS$80:$AZ$80,IFERROR(('Final Calculation Sheet'!$T$9)&amp;"","")))))&gt;0),IF(COUNTIF($BI$80:$BP$80,6)=0,TRUE,SUMPRODUCT(($BI$80:$BP$80=6)*($AS$80:$AZ$80&lt;&gt;"")*IF(((UPPER($AS$80:$AZ$80)="BLANK")+(UPPER($AS$80:$AZ$80)="(BLANK)")+(UPPER($AS$80:$AZ$80)="EMPTY")+(UPPER($AS$80:$AZ$80)="(EMPTY)"))&gt;0,IFERROR(('Final Calculation Sheet'!$T$9)&amp;"","")="",ISNUMBER(SEARCH($AS$80:$AZ$80,IFERROR(('Final Calculation Sheet'!$T$9)&amp;"","")))))&gt;0),IF(COUNTIF($BI$80:$BP$80,7)=0,TRUE,SUMPRODUCT(($BI$80:$BP$80=7)*($AS$80:$AZ$80&lt;&gt;"")*IF(((UPPER($AS$80:$AZ$80)="BLANK")+(UPPER($AS$80:$AZ$80)="(BLANK)")+(UPPER($AS$80:$AZ$80)="EMPTY")+(UPPER($AS$80:$AZ$80)="(EMPTY)"))&gt;0,IFERROR(('Final Calculation Sheet'!$T$9)&amp;"","")="",ISNUMBER(SEARCH($AS$80:$AZ$80,IFERROR(('Final Calculation Sheet'!$T$9)&amp;"","")))))&gt;0),IF(COUNTIF($BI$80:$BP$80,8)=0,TRUE,SUMPRODUCT(($BI$80:$BP$80=8)*($AS$80:$AZ$80&lt;&gt;"")*IF(((UPPER($AS$80:$AZ$80)="BLANK")+(UPPER($AS$80:$AZ$80)="(BLANK)")+(UPPER($AS$80:$AZ$80)="EMPTY")+(UPPER($AS$80:$AZ$80)="(EMPTY)"))&gt;0,IFERROR(('Final Calculation Sheet'!$T$9)&amp;"","")="",ISNUMBER(SEARCH($AS$80:$AZ$80,IFERROR(('Final Calculation Sheet'!$T$9)&amp;"","")))))&gt;0))))</f>
        <v>1</v>
      </c>
      <c r="CH10">
        <f>IF($V$4="",1,--(AND(SUMPRODUCT(--($AS$81:$AZ$81&lt;&gt;""))&gt;0,IF(COUNTIF($BI$81:$BP$81,1)=0,TRUE,SUMPRODUCT(($BI$81:$BP$81=1)*($AS$81:$AZ$81&lt;&gt;"")*IF(((UPPER($AS$81:$AZ$81)="BLANK")+(UPPER($AS$81:$AZ$81)="(BLANK)")+(UPPER($AS$81:$AZ$81)="EMPTY")+(UPPER($AS$81:$AZ$81)="(EMPTY)"))&gt;0,IFERROR(('Final Calculation Sheet'!$U$9)&amp;"","")="",ISNUMBER(SEARCH($AS$81:$AZ$81,IFERROR(('Final Calculation Sheet'!$U$9)&amp;"","")))))&gt;0),IF(COUNTIF($BI$81:$BP$81,2)=0,TRUE,SUMPRODUCT(($BI$81:$BP$81=2)*($AS$81:$AZ$81&lt;&gt;"")*IF(((UPPER($AS$81:$AZ$81)="BLANK")+(UPPER($AS$81:$AZ$81)="(BLANK)")+(UPPER($AS$81:$AZ$81)="EMPTY")+(UPPER($AS$81:$AZ$81)="(EMPTY)"))&gt;0,IFERROR(('Final Calculation Sheet'!$U$9)&amp;"","")="",ISNUMBER(SEARCH($AS$81:$AZ$81,IFERROR(('Final Calculation Sheet'!$U$9)&amp;"","")))))&gt;0),IF(COUNTIF($BI$81:$BP$81,3)=0,TRUE,SUMPRODUCT(($BI$81:$BP$81=3)*($AS$81:$AZ$81&lt;&gt;"")*IF(((UPPER($AS$81:$AZ$81)="BLANK")+(UPPER($AS$81:$AZ$81)="(BLANK)")+(UPPER($AS$81:$AZ$81)="EMPTY")+(UPPER($AS$81:$AZ$81)="(EMPTY)"))&gt;0,IFERROR(('Final Calculation Sheet'!$U$9)&amp;"","")="",ISNUMBER(SEARCH($AS$81:$AZ$81,IFERROR(('Final Calculation Sheet'!$U$9)&amp;"","")))))&gt;0),IF(COUNTIF($BI$81:$BP$81,4)=0,TRUE,SUMPRODUCT(($BI$81:$BP$81=4)*($AS$81:$AZ$81&lt;&gt;"")*IF(((UPPER($AS$81:$AZ$81)="BLANK")+(UPPER($AS$81:$AZ$81)="(BLANK)")+(UPPER($AS$81:$AZ$81)="EMPTY")+(UPPER($AS$81:$AZ$81)="(EMPTY)"))&gt;0,IFERROR(('Final Calculation Sheet'!$U$9)&amp;"","")="",ISNUMBER(SEARCH($AS$81:$AZ$81,IFERROR(('Final Calculation Sheet'!$U$9)&amp;"","")))))&gt;0),IF(COUNTIF($BI$81:$BP$81,5)=0,TRUE,SUMPRODUCT(($BI$81:$BP$81=5)*($AS$81:$AZ$81&lt;&gt;"")*IF(((UPPER($AS$81:$AZ$81)="BLANK")+(UPPER($AS$81:$AZ$81)="(BLANK)")+(UPPER($AS$81:$AZ$81)="EMPTY")+(UPPER($AS$81:$AZ$81)="(EMPTY)"))&gt;0,IFERROR(('Final Calculation Sheet'!$U$9)&amp;"","")="",ISNUMBER(SEARCH($AS$81:$AZ$81,IFERROR(('Final Calculation Sheet'!$U$9)&amp;"","")))))&gt;0),IF(COUNTIF($BI$81:$BP$81,6)=0,TRUE,SUMPRODUCT(($BI$81:$BP$81=6)*($AS$81:$AZ$81&lt;&gt;"")*IF(((UPPER($AS$81:$AZ$81)="BLANK")+(UPPER($AS$81:$AZ$81)="(BLANK)")+(UPPER($AS$81:$AZ$81)="EMPTY")+(UPPER($AS$81:$AZ$81)="(EMPTY)"))&gt;0,IFERROR(('Final Calculation Sheet'!$U$9)&amp;"","")="",ISNUMBER(SEARCH($AS$81:$AZ$81,IFERROR(('Final Calculation Sheet'!$U$9)&amp;"","")))))&gt;0),IF(COUNTIF($BI$81:$BP$81,7)=0,TRUE,SUMPRODUCT(($BI$81:$BP$81=7)*($AS$81:$AZ$81&lt;&gt;"")*IF(((UPPER($AS$81:$AZ$81)="BLANK")+(UPPER($AS$81:$AZ$81)="(BLANK)")+(UPPER($AS$81:$AZ$81)="EMPTY")+(UPPER($AS$81:$AZ$81)="(EMPTY)"))&gt;0,IFERROR(('Final Calculation Sheet'!$U$9)&amp;"","")="",ISNUMBER(SEARCH($AS$81:$AZ$81,IFERROR(('Final Calculation Sheet'!$U$9)&amp;"","")))))&gt;0),IF(COUNTIF($BI$81:$BP$81,8)=0,TRUE,SUMPRODUCT(($BI$81:$BP$81=8)*($AS$81:$AZ$81&lt;&gt;"")*IF(((UPPER($AS$81:$AZ$81)="BLANK")+(UPPER($AS$81:$AZ$81)="(BLANK)")+(UPPER($AS$81:$AZ$81)="EMPTY")+(UPPER($AS$81:$AZ$81)="(EMPTY)"))&gt;0,IFERROR(('Final Calculation Sheet'!$U$9)&amp;"","")="",ISNUMBER(SEARCH($AS$81:$AZ$81,IFERROR(('Final Calculation Sheet'!$U$9)&amp;"","")))))&gt;0))))</f>
        <v>1</v>
      </c>
      <c r="CI10">
        <f>IF($W$4="",1,--(AND(SUMPRODUCT(--($AS$82:$AZ$82&lt;&gt;""))&gt;0,IF(COUNTIF($BI$82:$BP$82,1)=0,TRUE,SUMPRODUCT(($BI$82:$BP$82=1)*($AS$82:$AZ$82&lt;&gt;"")*IF(((UPPER($AS$82:$AZ$82)="BLANK")+(UPPER($AS$82:$AZ$82)="(BLANK)")+(UPPER($AS$82:$AZ$82)="EMPTY")+(UPPER($AS$82:$AZ$82)="(EMPTY)"))&gt;0,IFERROR(('Final Calculation Sheet'!$V$9)&amp;"","")="",ISNUMBER(SEARCH($AS$82:$AZ$82,IFERROR(('Final Calculation Sheet'!$V$9)&amp;"","")))))&gt;0),IF(COUNTIF($BI$82:$BP$82,2)=0,TRUE,SUMPRODUCT(($BI$82:$BP$82=2)*($AS$82:$AZ$82&lt;&gt;"")*IF(((UPPER($AS$82:$AZ$82)="BLANK")+(UPPER($AS$82:$AZ$82)="(BLANK)")+(UPPER($AS$82:$AZ$82)="EMPTY")+(UPPER($AS$82:$AZ$82)="(EMPTY)"))&gt;0,IFERROR(('Final Calculation Sheet'!$V$9)&amp;"","")="",ISNUMBER(SEARCH($AS$82:$AZ$82,IFERROR(('Final Calculation Sheet'!$V$9)&amp;"","")))))&gt;0),IF(COUNTIF($BI$82:$BP$82,3)=0,TRUE,SUMPRODUCT(($BI$82:$BP$82=3)*($AS$82:$AZ$82&lt;&gt;"")*IF(((UPPER($AS$82:$AZ$82)="BLANK")+(UPPER($AS$82:$AZ$82)="(BLANK)")+(UPPER($AS$82:$AZ$82)="EMPTY")+(UPPER($AS$82:$AZ$82)="(EMPTY)"))&gt;0,IFERROR(('Final Calculation Sheet'!$V$9)&amp;"","")="",ISNUMBER(SEARCH($AS$82:$AZ$82,IFERROR(('Final Calculation Sheet'!$V$9)&amp;"","")))))&gt;0),IF(COUNTIF($BI$82:$BP$82,4)=0,TRUE,SUMPRODUCT(($BI$82:$BP$82=4)*($AS$82:$AZ$82&lt;&gt;"")*IF(((UPPER($AS$82:$AZ$82)="BLANK")+(UPPER($AS$82:$AZ$82)="(BLANK)")+(UPPER($AS$82:$AZ$82)="EMPTY")+(UPPER($AS$82:$AZ$82)="(EMPTY)"))&gt;0,IFERROR(('Final Calculation Sheet'!$V$9)&amp;"","")="",ISNUMBER(SEARCH($AS$82:$AZ$82,IFERROR(('Final Calculation Sheet'!$V$9)&amp;"","")))))&gt;0),IF(COUNTIF($BI$82:$BP$82,5)=0,TRUE,SUMPRODUCT(($BI$82:$BP$82=5)*($AS$82:$AZ$82&lt;&gt;"")*IF(((UPPER($AS$82:$AZ$82)="BLANK")+(UPPER($AS$82:$AZ$82)="(BLANK)")+(UPPER($AS$82:$AZ$82)="EMPTY")+(UPPER($AS$82:$AZ$82)="(EMPTY)"))&gt;0,IFERROR(('Final Calculation Sheet'!$V$9)&amp;"","")="",ISNUMBER(SEARCH($AS$82:$AZ$82,IFERROR(('Final Calculation Sheet'!$V$9)&amp;"","")))))&gt;0),IF(COUNTIF($BI$82:$BP$82,6)=0,TRUE,SUMPRODUCT(($BI$82:$BP$82=6)*($AS$82:$AZ$82&lt;&gt;"")*IF(((UPPER($AS$82:$AZ$82)="BLANK")+(UPPER($AS$82:$AZ$82)="(BLANK)")+(UPPER($AS$82:$AZ$82)="EMPTY")+(UPPER($AS$82:$AZ$82)="(EMPTY)"))&gt;0,IFERROR(('Final Calculation Sheet'!$V$9)&amp;"","")="",ISNUMBER(SEARCH($AS$82:$AZ$82,IFERROR(('Final Calculation Sheet'!$V$9)&amp;"","")))))&gt;0),IF(COUNTIF($BI$82:$BP$82,7)=0,TRUE,SUMPRODUCT(($BI$82:$BP$82=7)*($AS$82:$AZ$82&lt;&gt;"")*IF(((UPPER($AS$82:$AZ$82)="BLANK")+(UPPER($AS$82:$AZ$82)="(BLANK)")+(UPPER($AS$82:$AZ$82)="EMPTY")+(UPPER($AS$82:$AZ$82)="(EMPTY)"))&gt;0,IFERROR(('Final Calculation Sheet'!$V$9)&amp;"","")="",ISNUMBER(SEARCH($AS$82:$AZ$82,IFERROR(('Final Calculation Sheet'!$V$9)&amp;"","")))))&gt;0),IF(COUNTIF($BI$82:$BP$82,8)=0,TRUE,SUMPRODUCT(($BI$82:$BP$82=8)*($AS$82:$AZ$82&lt;&gt;"")*IF(((UPPER($AS$82:$AZ$82)="BLANK")+(UPPER($AS$82:$AZ$82)="(BLANK)")+(UPPER($AS$82:$AZ$82)="EMPTY")+(UPPER($AS$82:$AZ$82)="(EMPTY)"))&gt;0,IFERROR(('Final Calculation Sheet'!$V$9)&amp;"","")="",ISNUMBER(SEARCH($AS$82:$AZ$82,IFERROR(('Final Calculation Sheet'!$V$9)&amp;"","")))))&gt;0))))</f>
        <v>1</v>
      </c>
      <c r="CJ10">
        <f>IF($X$4="",1,--(AND(SUMPRODUCT(--($AS$83:$AZ$83&lt;&gt;""))&gt;0,IF(COUNTIF($BI$83:$BP$83,1)=0,TRUE,SUMPRODUCT(($BI$83:$BP$83=1)*($AS$83:$AZ$83&lt;&gt;"")*IF(((UPPER($AS$83:$AZ$83)="BLANK")+(UPPER($AS$83:$AZ$83)="(BLANK)")+(UPPER($AS$83:$AZ$83)="EMPTY")+(UPPER($AS$83:$AZ$83)="(EMPTY)"))&gt;0,IFERROR(('Final Calculation Sheet'!$W$9)&amp;"","")="",ISNUMBER(SEARCH($AS$83:$AZ$83,IFERROR(('Final Calculation Sheet'!$W$9)&amp;"","")))))&gt;0),IF(COUNTIF($BI$83:$BP$83,2)=0,TRUE,SUMPRODUCT(($BI$83:$BP$83=2)*($AS$83:$AZ$83&lt;&gt;"")*IF(((UPPER($AS$83:$AZ$83)="BLANK")+(UPPER($AS$83:$AZ$83)="(BLANK)")+(UPPER($AS$83:$AZ$83)="EMPTY")+(UPPER($AS$83:$AZ$83)="(EMPTY)"))&gt;0,IFERROR(('Final Calculation Sheet'!$W$9)&amp;"","")="",ISNUMBER(SEARCH($AS$83:$AZ$83,IFERROR(('Final Calculation Sheet'!$W$9)&amp;"","")))))&gt;0),IF(COUNTIF($BI$83:$BP$83,3)=0,TRUE,SUMPRODUCT(($BI$83:$BP$83=3)*($AS$83:$AZ$83&lt;&gt;"")*IF(((UPPER($AS$83:$AZ$83)="BLANK")+(UPPER($AS$83:$AZ$83)="(BLANK)")+(UPPER($AS$83:$AZ$83)="EMPTY")+(UPPER($AS$83:$AZ$83)="(EMPTY)"))&gt;0,IFERROR(('Final Calculation Sheet'!$W$9)&amp;"","")="",ISNUMBER(SEARCH($AS$83:$AZ$83,IFERROR(('Final Calculation Sheet'!$W$9)&amp;"","")))))&gt;0),IF(COUNTIF($BI$83:$BP$83,4)=0,TRUE,SUMPRODUCT(($BI$83:$BP$83=4)*($AS$83:$AZ$83&lt;&gt;"")*IF(((UPPER($AS$83:$AZ$83)="BLANK")+(UPPER($AS$83:$AZ$83)="(BLANK)")+(UPPER($AS$83:$AZ$83)="EMPTY")+(UPPER($AS$83:$AZ$83)="(EMPTY)"))&gt;0,IFERROR(('Final Calculation Sheet'!$W$9)&amp;"","")="",ISNUMBER(SEARCH($AS$83:$AZ$83,IFERROR(('Final Calculation Sheet'!$W$9)&amp;"","")))))&gt;0),IF(COUNTIF($BI$83:$BP$83,5)=0,TRUE,SUMPRODUCT(($BI$83:$BP$83=5)*($AS$83:$AZ$83&lt;&gt;"")*IF(((UPPER($AS$83:$AZ$83)="BLANK")+(UPPER($AS$83:$AZ$83)="(BLANK)")+(UPPER($AS$83:$AZ$83)="EMPTY")+(UPPER($AS$83:$AZ$83)="(EMPTY)"))&gt;0,IFERROR(('Final Calculation Sheet'!$W$9)&amp;"","")="",ISNUMBER(SEARCH($AS$83:$AZ$83,IFERROR(('Final Calculation Sheet'!$W$9)&amp;"","")))))&gt;0),IF(COUNTIF($BI$83:$BP$83,6)=0,TRUE,SUMPRODUCT(($BI$83:$BP$83=6)*($AS$83:$AZ$83&lt;&gt;"")*IF(((UPPER($AS$83:$AZ$83)="BLANK")+(UPPER($AS$83:$AZ$83)="(BLANK)")+(UPPER($AS$83:$AZ$83)="EMPTY")+(UPPER($AS$83:$AZ$83)="(EMPTY)"))&gt;0,IFERROR(('Final Calculation Sheet'!$W$9)&amp;"","")="",ISNUMBER(SEARCH($AS$83:$AZ$83,IFERROR(('Final Calculation Sheet'!$W$9)&amp;"","")))))&gt;0),IF(COUNTIF($BI$83:$BP$83,7)=0,TRUE,SUMPRODUCT(($BI$83:$BP$83=7)*($AS$83:$AZ$83&lt;&gt;"")*IF(((UPPER($AS$83:$AZ$83)="BLANK")+(UPPER($AS$83:$AZ$83)="(BLANK)")+(UPPER($AS$83:$AZ$83)="EMPTY")+(UPPER($AS$83:$AZ$83)="(EMPTY)"))&gt;0,IFERROR(('Final Calculation Sheet'!$W$9)&amp;"","")="",ISNUMBER(SEARCH($AS$83:$AZ$83,IFERROR(('Final Calculation Sheet'!$W$9)&amp;"","")))))&gt;0),IF(COUNTIF($BI$83:$BP$83,8)=0,TRUE,SUMPRODUCT(($BI$83:$BP$83=8)*($AS$83:$AZ$83&lt;&gt;"")*IF(((UPPER($AS$83:$AZ$83)="BLANK")+(UPPER($AS$83:$AZ$83)="(BLANK)")+(UPPER($AS$83:$AZ$83)="EMPTY")+(UPPER($AS$83:$AZ$83)="(EMPTY)"))&gt;0,IFERROR(('Final Calculation Sheet'!$W$9)&amp;"","")="",ISNUMBER(SEARCH($AS$83:$AZ$83,IFERROR(('Final Calculation Sheet'!$W$9)&amp;"","")))))&gt;0))))</f>
        <v>1</v>
      </c>
      <c r="CK10">
        <f>IF($Y$4="",1,--(AND(SUMPRODUCT(--($AS$84:$AZ$84&lt;&gt;""))&gt;0,IF(COUNTIF($BI$84:$BP$84,1)=0,TRUE,SUMPRODUCT(($BI$84:$BP$84=1)*($AS$84:$AZ$84&lt;&gt;"")*IF(((UPPER($AS$84:$AZ$84)="BLANK")+(UPPER($AS$84:$AZ$84)="(BLANK)")+(UPPER($AS$84:$AZ$84)="EMPTY")+(UPPER($AS$84:$AZ$84)="(EMPTY)"))&gt;0,IFERROR(('Final Calculation Sheet'!$X$9)&amp;"","")="",ISNUMBER(SEARCH($AS$84:$AZ$84,IFERROR(('Final Calculation Sheet'!$X$9)&amp;"","")))))&gt;0),IF(COUNTIF($BI$84:$BP$84,2)=0,TRUE,SUMPRODUCT(($BI$84:$BP$84=2)*($AS$84:$AZ$84&lt;&gt;"")*IF(((UPPER($AS$84:$AZ$84)="BLANK")+(UPPER($AS$84:$AZ$84)="(BLANK)")+(UPPER($AS$84:$AZ$84)="EMPTY")+(UPPER($AS$84:$AZ$84)="(EMPTY)"))&gt;0,IFERROR(('Final Calculation Sheet'!$X$9)&amp;"","")="",ISNUMBER(SEARCH($AS$84:$AZ$84,IFERROR(('Final Calculation Sheet'!$X$9)&amp;"","")))))&gt;0),IF(COUNTIF($BI$84:$BP$84,3)=0,TRUE,SUMPRODUCT(($BI$84:$BP$84=3)*($AS$84:$AZ$84&lt;&gt;"")*IF(((UPPER($AS$84:$AZ$84)="BLANK")+(UPPER($AS$84:$AZ$84)="(BLANK)")+(UPPER($AS$84:$AZ$84)="EMPTY")+(UPPER($AS$84:$AZ$84)="(EMPTY)"))&gt;0,IFERROR(('Final Calculation Sheet'!$X$9)&amp;"","")="",ISNUMBER(SEARCH($AS$84:$AZ$84,IFERROR(('Final Calculation Sheet'!$X$9)&amp;"","")))))&gt;0),IF(COUNTIF($BI$84:$BP$84,4)=0,TRUE,SUMPRODUCT(($BI$84:$BP$84=4)*($AS$84:$AZ$84&lt;&gt;"")*IF(((UPPER($AS$84:$AZ$84)="BLANK")+(UPPER($AS$84:$AZ$84)="(BLANK)")+(UPPER($AS$84:$AZ$84)="EMPTY")+(UPPER($AS$84:$AZ$84)="(EMPTY)"))&gt;0,IFERROR(('Final Calculation Sheet'!$X$9)&amp;"","")="",ISNUMBER(SEARCH($AS$84:$AZ$84,IFERROR(('Final Calculation Sheet'!$X$9)&amp;"","")))))&gt;0),IF(COUNTIF($BI$84:$BP$84,5)=0,TRUE,SUMPRODUCT(($BI$84:$BP$84=5)*($AS$84:$AZ$84&lt;&gt;"")*IF(((UPPER($AS$84:$AZ$84)="BLANK")+(UPPER($AS$84:$AZ$84)="(BLANK)")+(UPPER($AS$84:$AZ$84)="EMPTY")+(UPPER($AS$84:$AZ$84)="(EMPTY)"))&gt;0,IFERROR(('Final Calculation Sheet'!$X$9)&amp;"","")="",ISNUMBER(SEARCH($AS$84:$AZ$84,IFERROR(('Final Calculation Sheet'!$X$9)&amp;"","")))))&gt;0),IF(COUNTIF($BI$84:$BP$84,6)=0,TRUE,SUMPRODUCT(($BI$84:$BP$84=6)*($AS$84:$AZ$84&lt;&gt;"")*IF(((UPPER($AS$84:$AZ$84)="BLANK")+(UPPER($AS$84:$AZ$84)="(BLANK)")+(UPPER($AS$84:$AZ$84)="EMPTY")+(UPPER($AS$84:$AZ$84)="(EMPTY)"))&gt;0,IFERROR(('Final Calculation Sheet'!$X$9)&amp;"","")="",ISNUMBER(SEARCH($AS$84:$AZ$84,IFERROR(('Final Calculation Sheet'!$X$9)&amp;"","")))))&gt;0),IF(COUNTIF($BI$84:$BP$84,7)=0,TRUE,SUMPRODUCT(($BI$84:$BP$84=7)*($AS$84:$AZ$84&lt;&gt;"")*IF(((UPPER($AS$84:$AZ$84)="BLANK")+(UPPER($AS$84:$AZ$84)="(BLANK)")+(UPPER($AS$84:$AZ$84)="EMPTY")+(UPPER($AS$84:$AZ$84)="(EMPTY)"))&gt;0,IFERROR(('Final Calculation Sheet'!$X$9)&amp;"","")="",ISNUMBER(SEARCH($AS$84:$AZ$84,IFERROR(('Final Calculation Sheet'!$X$9)&amp;"","")))))&gt;0),IF(COUNTIF($BI$84:$BP$84,8)=0,TRUE,SUMPRODUCT(($BI$84:$BP$84=8)*($AS$84:$AZ$84&lt;&gt;"")*IF(((UPPER($AS$84:$AZ$84)="BLANK")+(UPPER($AS$84:$AZ$84)="(BLANK)")+(UPPER($AS$84:$AZ$84)="EMPTY")+(UPPER($AS$84:$AZ$84)="(EMPTY)"))&gt;0,IFERROR(('Final Calculation Sheet'!$X$9)&amp;"","")="",ISNUMBER(SEARCH($AS$84:$AZ$84,IFERROR(('Final Calculation Sheet'!$X$9)&amp;"","")))))&gt;0))))</f>
        <v>1</v>
      </c>
      <c r="CL10">
        <f>IF($Z$4="",1,--(AND(SUMPRODUCT(--($AS$85:$AZ$85&lt;&gt;""))&gt;0,IF(COUNTIF($BI$85:$BP$85,1)=0,TRUE,SUMPRODUCT(($BI$85:$BP$85=1)*($AS$85:$AZ$85&lt;&gt;"")*IF(((UPPER($AS$85:$AZ$85)="BLANK")+(UPPER($AS$85:$AZ$85)="(BLANK)")+(UPPER($AS$85:$AZ$85)="EMPTY")+(UPPER($AS$85:$AZ$85)="(EMPTY)"))&gt;0,IFERROR(('Final Calculation Sheet'!$Y$9)&amp;"","")="",ISNUMBER(SEARCH($AS$85:$AZ$85,IFERROR(('Final Calculation Sheet'!$Y$9)&amp;"","")))))&gt;0),IF(COUNTIF($BI$85:$BP$85,2)=0,TRUE,SUMPRODUCT(($BI$85:$BP$85=2)*($AS$85:$AZ$85&lt;&gt;"")*IF(((UPPER($AS$85:$AZ$85)="BLANK")+(UPPER($AS$85:$AZ$85)="(BLANK)")+(UPPER($AS$85:$AZ$85)="EMPTY")+(UPPER($AS$85:$AZ$85)="(EMPTY)"))&gt;0,IFERROR(('Final Calculation Sheet'!$Y$9)&amp;"","")="",ISNUMBER(SEARCH($AS$85:$AZ$85,IFERROR(('Final Calculation Sheet'!$Y$9)&amp;"","")))))&gt;0),IF(COUNTIF($BI$85:$BP$85,3)=0,TRUE,SUMPRODUCT(($BI$85:$BP$85=3)*($AS$85:$AZ$85&lt;&gt;"")*IF(((UPPER($AS$85:$AZ$85)="BLANK")+(UPPER($AS$85:$AZ$85)="(BLANK)")+(UPPER($AS$85:$AZ$85)="EMPTY")+(UPPER($AS$85:$AZ$85)="(EMPTY)"))&gt;0,IFERROR(('Final Calculation Sheet'!$Y$9)&amp;"","")="",ISNUMBER(SEARCH($AS$85:$AZ$85,IFERROR(('Final Calculation Sheet'!$Y$9)&amp;"","")))))&gt;0),IF(COUNTIF($BI$85:$BP$85,4)=0,TRUE,SUMPRODUCT(($BI$85:$BP$85=4)*($AS$85:$AZ$85&lt;&gt;"")*IF(((UPPER($AS$85:$AZ$85)="BLANK")+(UPPER($AS$85:$AZ$85)="(BLANK)")+(UPPER($AS$85:$AZ$85)="EMPTY")+(UPPER($AS$85:$AZ$85)="(EMPTY)"))&gt;0,IFERROR(('Final Calculation Sheet'!$Y$9)&amp;"","")="",ISNUMBER(SEARCH($AS$85:$AZ$85,IFERROR(('Final Calculation Sheet'!$Y$9)&amp;"","")))))&gt;0),IF(COUNTIF($BI$85:$BP$85,5)=0,TRUE,SUMPRODUCT(($BI$85:$BP$85=5)*($AS$85:$AZ$85&lt;&gt;"")*IF(((UPPER($AS$85:$AZ$85)="BLANK")+(UPPER($AS$85:$AZ$85)="(BLANK)")+(UPPER($AS$85:$AZ$85)="EMPTY")+(UPPER($AS$85:$AZ$85)="(EMPTY)"))&gt;0,IFERROR(('Final Calculation Sheet'!$Y$9)&amp;"","")="",ISNUMBER(SEARCH($AS$85:$AZ$85,IFERROR(('Final Calculation Sheet'!$Y$9)&amp;"","")))))&gt;0),IF(COUNTIF($BI$85:$BP$85,6)=0,TRUE,SUMPRODUCT(($BI$85:$BP$85=6)*($AS$85:$AZ$85&lt;&gt;"")*IF(((UPPER($AS$85:$AZ$85)="BLANK")+(UPPER($AS$85:$AZ$85)="(BLANK)")+(UPPER($AS$85:$AZ$85)="EMPTY")+(UPPER($AS$85:$AZ$85)="(EMPTY)"))&gt;0,IFERROR(('Final Calculation Sheet'!$Y$9)&amp;"","")="",ISNUMBER(SEARCH($AS$85:$AZ$85,IFERROR(('Final Calculation Sheet'!$Y$9)&amp;"","")))))&gt;0),IF(COUNTIF($BI$85:$BP$85,7)=0,TRUE,SUMPRODUCT(($BI$85:$BP$85=7)*($AS$85:$AZ$85&lt;&gt;"")*IF(((UPPER($AS$85:$AZ$85)="BLANK")+(UPPER($AS$85:$AZ$85)="(BLANK)")+(UPPER($AS$85:$AZ$85)="EMPTY")+(UPPER($AS$85:$AZ$85)="(EMPTY)"))&gt;0,IFERROR(('Final Calculation Sheet'!$Y$9)&amp;"","")="",ISNUMBER(SEARCH($AS$85:$AZ$85,IFERROR(('Final Calculation Sheet'!$Y$9)&amp;"","")))))&gt;0),IF(COUNTIF($BI$85:$BP$85,8)=0,TRUE,SUMPRODUCT(($BI$85:$BP$85=8)*($AS$85:$AZ$85&lt;&gt;"")*IF(((UPPER($AS$85:$AZ$85)="BLANK")+(UPPER($AS$85:$AZ$85)="(BLANK)")+(UPPER($AS$85:$AZ$85)="EMPTY")+(UPPER($AS$85:$AZ$85)="(EMPTY)"))&gt;0,IFERROR(('Final Calculation Sheet'!$Y$9)&amp;"","")="",ISNUMBER(SEARCH($AS$85:$AZ$85,IFERROR(('Final Calculation Sheet'!$Y$9)&amp;"","")))))&gt;0))))</f>
        <v>1</v>
      </c>
      <c r="CM10">
        <f>IF($AA$4="",1,--(AND(SUMPRODUCT(--($AS$86:$AZ$86&lt;&gt;""))&gt;0,IF(COUNTIF($BI$86:$BP$86,1)=0,TRUE,SUMPRODUCT(($BI$86:$BP$86=1)*($AS$86:$AZ$86&lt;&gt;"")*IF(((UPPER($AS$86:$AZ$86)="BLANK")+(UPPER($AS$86:$AZ$86)="(BLANK)")+(UPPER($AS$86:$AZ$86)="EMPTY")+(UPPER($AS$86:$AZ$86)="(EMPTY)"))&gt;0,IFERROR(('Final Calculation Sheet'!$Z$9)&amp;"","")="",ISNUMBER(SEARCH($AS$86:$AZ$86,IFERROR(('Final Calculation Sheet'!$Z$9)&amp;"","")))))&gt;0),IF(COUNTIF($BI$86:$BP$86,2)=0,TRUE,SUMPRODUCT(($BI$86:$BP$86=2)*($AS$86:$AZ$86&lt;&gt;"")*IF(((UPPER($AS$86:$AZ$86)="BLANK")+(UPPER($AS$86:$AZ$86)="(BLANK)")+(UPPER($AS$86:$AZ$86)="EMPTY")+(UPPER($AS$86:$AZ$86)="(EMPTY)"))&gt;0,IFERROR(('Final Calculation Sheet'!$Z$9)&amp;"","")="",ISNUMBER(SEARCH($AS$86:$AZ$86,IFERROR(('Final Calculation Sheet'!$Z$9)&amp;"","")))))&gt;0),IF(COUNTIF($BI$86:$BP$86,3)=0,TRUE,SUMPRODUCT(($BI$86:$BP$86=3)*($AS$86:$AZ$86&lt;&gt;"")*IF(((UPPER($AS$86:$AZ$86)="BLANK")+(UPPER($AS$86:$AZ$86)="(BLANK)")+(UPPER($AS$86:$AZ$86)="EMPTY")+(UPPER($AS$86:$AZ$86)="(EMPTY)"))&gt;0,IFERROR(('Final Calculation Sheet'!$Z$9)&amp;"","")="",ISNUMBER(SEARCH($AS$86:$AZ$86,IFERROR(('Final Calculation Sheet'!$Z$9)&amp;"","")))))&gt;0),IF(COUNTIF($BI$86:$BP$86,4)=0,TRUE,SUMPRODUCT(($BI$86:$BP$86=4)*($AS$86:$AZ$86&lt;&gt;"")*IF(((UPPER($AS$86:$AZ$86)="BLANK")+(UPPER($AS$86:$AZ$86)="(BLANK)")+(UPPER($AS$86:$AZ$86)="EMPTY")+(UPPER($AS$86:$AZ$86)="(EMPTY)"))&gt;0,IFERROR(('Final Calculation Sheet'!$Z$9)&amp;"","")="",ISNUMBER(SEARCH($AS$86:$AZ$86,IFERROR(('Final Calculation Sheet'!$Z$9)&amp;"","")))))&gt;0),IF(COUNTIF($BI$86:$BP$86,5)=0,TRUE,SUMPRODUCT(($BI$86:$BP$86=5)*($AS$86:$AZ$86&lt;&gt;"")*IF(((UPPER($AS$86:$AZ$86)="BLANK")+(UPPER($AS$86:$AZ$86)="(BLANK)")+(UPPER($AS$86:$AZ$86)="EMPTY")+(UPPER($AS$86:$AZ$86)="(EMPTY)"))&gt;0,IFERROR(('Final Calculation Sheet'!$Z$9)&amp;"","")="",ISNUMBER(SEARCH($AS$86:$AZ$86,IFERROR(('Final Calculation Sheet'!$Z$9)&amp;"","")))))&gt;0),IF(COUNTIF($BI$86:$BP$86,6)=0,TRUE,SUMPRODUCT(($BI$86:$BP$86=6)*($AS$86:$AZ$86&lt;&gt;"")*IF(((UPPER($AS$86:$AZ$86)="BLANK")+(UPPER($AS$86:$AZ$86)="(BLANK)")+(UPPER($AS$86:$AZ$86)="EMPTY")+(UPPER($AS$86:$AZ$86)="(EMPTY)"))&gt;0,IFERROR(('Final Calculation Sheet'!$Z$9)&amp;"","")="",ISNUMBER(SEARCH($AS$86:$AZ$86,IFERROR(('Final Calculation Sheet'!$Z$9)&amp;"","")))))&gt;0),IF(COUNTIF($BI$86:$BP$86,7)=0,TRUE,SUMPRODUCT(($BI$86:$BP$86=7)*($AS$86:$AZ$86&lt;&gt;"")*IF(((UPPER($AS$86:$AZ$86)="BLANK")+(UPPER($AS$86:$AZ$86)="(BLANK)")+(UPPER($AS$86:$AZ$86)="EMPTY")+(UPPER($AS$86:$AZ$86)="(EMPTY)"))&gt;0,IFERROR(('Final Calculation Sheet'!$Z$9)&amp;"","")="",ISNUMBER(SEARCH($AS$86:$AZ$86,IFERROR(('Final Calculation Sheet'!$Z$9)&amp;"","")))))&gt;0),IF(COUNTIF($BI$86:$BP$86,8)=0,TRUE,SUMPRODUCT(($BI$86:$BP$86=8)*($AS$86:$AZ$86&lt;&gt;"")*IF(((UPPER($AS$86:$AZ$86)="BLANK")+(UPPER($AS$86:$AZ$86)="(BLANK)")+(UPPER($AS$86:$AZ$86)="EMPTY")+(UPPER($AS$86:$AZ$86)="(EMPTY)"))&gt;0,IFERROR(('Final Calculation Sheet'!$Z$9)&amp;"","")="",ISNUMBER(SEARCH($AS$86:$AZ$86,IFERROR(('Final Calculation Sheet'!$Z$9)&amp;"","")))))&gt;0))))</f>
        <v>1</v>
      </c>
      <c r="CN10">
        <f>IF($AB$4="",1,--(AND(SUMPRODUCT(--($AS$87:$AZ$87&lt;&gt;""))&gt;0,IF(COUNTIF($BI$87:$BP$87,1)=0,TRUE,SUMPRODUCT(($BI$87:$BP$87=1)*($AS$87:$AZ$87&lt;&gt;"")*IF(((UPPER($AS$87:$AZ$87)="BLANK")+(UPPER($AS$87:$AZ$87)="(BLANK)")+(UPPER($AS$87:$AZ$87)="EMPTY")+(UPPER($AS$87:$AZ$87)="(EMPTY)"))&gt;0,IFERROR(('Final Calculation Sheet'!$AA$9)&amp;"","")="",ISNUMBER(SEARCH($AS$87:$AZ$87,IFERROR(('Final Calculation Sheet'!$AA$9)&amp;"","")))))&gt;0),IF(COUNTIF($BI$87:$BP$87,2)=0,TRUE,SUMPRODUCT(($BI$87:$BP$87=2)*($AS$87:$AZ$87&lt;&gt;"")*IF(((UPPER($AS$87:$AZ$87)="BLANK")+(UPPER($AS$87:$AZ$87)="(BLANK)")+(UPPER($AS$87:$AZ$87)="EMPTY")+(UPPER($AS$87:$AZ$87)="(EMPTY)"))&gt;0,IFERROR(('Final Calculation Sheet'!$AA$9)&amp;"","")="",ISNUMBER(SEARCH($AS$87:$AZ$87,IFERROR(('Final Calculation Sheet'!$AA$9)&amp;"","")))))&gt;0),IF(COUNTIF($BI$87:$BP$87,3)=0,TRUE,SUMPRODUCT(($BI$87:$BP$87=3)*($AS$87:$AZ$87&lt;&gt;"")*IF(((UPPER($AS$87:$AZ$87)="BLANK")+(UPPER($AS$87:$AZ$87)="(BLANK)")+(UPPER($AS$87:$AZ$87)="EMPTY")+(UPPER($AS$87:$AZ$87)="(EMPTY)"))&gt;0,IFERROR(('Final Calculation Sheet'!$AA$9)&amp;"","")="",ISNUMBER(SEARCH($AS$87:$AZ$87,IFERROR(('Final Calculation Sheet'!$AA$9)&amp;"","")))))&gt;0),IF(COUNTIF($BI$87:$BP$87,4)=0,TRUE,SUMPRODUCT(($BI$87:$BP$87=4)*($AS$87:$AZ$87&lt;&gt;"")*IF(((UPPER($AS$87:$AZ$87)="BLANK")+(UPPER($AS$87:$AZ$87)="(BLANK)")+(UPPER($AS$87:$AZ$87)="EMPTY")+(UPPER($AS$87:$AZ$87)="(EMPTY)"))&gt;0,IFERROR(('Final Calculation Sheet'!$AA$9)&amp;"","")="",ISNUMBER(SEARCH($AS$87:$AZ$87,IFERROR(('Final Calculation Sheet'!$AA$9)&amp;"","")))))&gt;0),IF(COUNTIF($BI$87:$BP$87,5)=0,TRUE,SUMPRODUCT(($BI$87:$BP$87=5)*($AS$87:$AZ$87&lt;&gt;"")*IF(((UPPER($AS$87:$AZ$87)="BLANK")+(UPPER($AS$87:$AZ$87)="(BLANK)")+(UPPER($AS$87:$AZ$87)="EMPTY")+(UPPER($AS$87:$AZ$87)="(EMPTY)"))&gt;0,IFERROR(('Final Calculation Sheet'!$AA$9)&amp;"","")="",ISNUMBER(SEARCH($AS$87:$AZ$87,IFERROR(('Final Calculation Sheet'!$AA$9)&amp;"","")))))&gt;0),IF(COUNTIF($BI$87:$BP$87,6)=0,TRUE,SUMPRODUCT(($BI$87:$BP$87=6)*($AS$87:$AZ$87&lt;&gt;"")*IF(((UPPER($AS$87:$AZ$87)="BLANK")+(UPPER($AS$87:$AZ$87)="(BLANK)")+(UPPER($AS$87:$AZ$87)="EMPTY")+(UPPER($AS$87:$AZ$87)="(EMPTY)"))&gt;0,IFERROR(('Final Calculation Sheet'!$AA$9)&amp;"","")="",ISNUMBER(SEARCH($AS$87:$AZ$87,IFERROR(('Final Calculation Sheet'!$AA$9)&amp;"","")))))&gt;0),IF(COUNTIF($BI$87:$BP$87,7)=0,TRUE,SUMPRODUCT(($BI$87:$BP$87=7)*($AS$87:$AZ$87&lt;&gt;"")*IF(((UPPER($AS$87:$AZ$87)="BLANK")+(UPPER($AS$87:$AZ$87)="(BLANK)")+(UPPER($AS$87:$AZ$87)="EMPTY")+(UPPER($AS$87:$AZ$87)="(EMPTY)"))&gt;0,IFERROR(('Final Calculation Sheet'!$AA$9)&amp;"","")="",ISNUMBER(SEARCH($AS$87:$AZ$87,IFERROR(('Final Calculation Sheet'!$AA$9)&amp;"","")))))&gt;0),IF(COUNTIF($BI$87:$BP$87,8)=0,TRUE,SUMPRODUCT(($BI$87:$BP$87=8)*($AS$87:$AZ$87&lt;&gt;"")*IF(((UPPER($AS$87:$AZ$87)="BLANK")+(UPPER($AS$87:$AZ$87)="(BLANK)")+(UPPER($AS$87:$AZ$87)="EMPTY")+(UPPER($AS$87:$AZ$87)="(EMPTY)"))&gt;0,IFERROR(('Final Calculation Sheet'!$AA$9)&amp;"","")="",ISNUMBER(SEARCH($AS$87:$AZ$87,IFERROR(('Final Calculation Sheet'!$AA$9)&amp;"","")))))&gt;0))))</f>
        <v>1</v>
      </c>
      <c r="CO10">
        <f>IF($AC$4="",1,--(AND(SUMPRODUCT(--($AS$88:$AZ$88&lt;&gt;""))&gt;0,IF(COUNTIF($BI$88:$BP$88,1)=0,TRUE,SUMPRODUCT(($BI$88:$BP$88=1)*($AS$88:$AZ$88&lt;&gt;"")*IF(((UPPER($AS$88:$AZ$88)="BLANK")+(UPPER($AS$88:$AZ$88)="(BLANK)")+(UPPER($AS$88:$AZ$88)="EMPTY")+(UPPER($AS$88:$AZ$88)="(EMPTY)"))&gt;0,IFERROR(('Final Calculation Sheet'!$AB$9)&amp;"","")="",ISNUMBER(SEARCH($AS$88:$AZ$88,IFERROR(('Final Calculation Sheet'!$AB$9)&amp;"","")))))&gt;0),IF(COUNTIF($BI$88:$BP$88,2)=0,TRUE,SUMPRODUCT(($BI$88:$BP$88=2)*($AS$88:$AZ$88&lt;&gt;"")*IF(((UPPER($AS$88:$AZ$88)="BLANK")+(UPPER($AS$88:$AZ$88)="(BLANK)")+(UPPER($AS$88:$AZ$88)="EMPTY")+(UPPER($AS$88:$AZ$88)="(EMPTY)"))&gt;0,IFERROR(('Final Calculation Sheet'!$AB$9)&amp;"","")="",ISNUMBER(SEARCH($AS$88:$AZ$88,IFERROR(('Final Calculation Sheet'!$AB$9)&amp;"","")))))&gt;0),IF(COUNTIF($BI$88:$BP$88,3)=0,TRUE,SUMPRODUCT(($BI$88:$BP$88=3)*($AS$88:$AZ$88&lt;&gt;"")*IF(((UPPER($AS$88:$AZ$88)="BLANK")+(UPPER($AS$88:$AZ$88)="(BLANK)")+(UPPER($AS$88:$AZ$88)="EMPTY")+(UPPER($AS$88:$AZ$88)="(EMPTY)"))&gt;0,IFERROR(('Final Calculation Sheet'!$AB$9)&amp;"","")="",ISNUMBER(SEARCH($AS$88:$AZ$88,IFERROR(('Final Calculation Sheet'!$AB$9)&amp;"","")))))&gt;0),IF(COUNTIF($BI$88:$BP$88,4)=0,TRUE,SUMPRODUCT(($BI$88:$BP$88=4)*($AS$88:$AZ$88&lt;&gt;"")*IF(((UPPER($AS$88:$AZ$88)="BLANK")+(UPPER($AS$88:$AZ$88)="(BLANK)")+(UPPER($AS$88:$AZ$88)="EMPTY")+(UPPER($AS$88:$AZ$88)="(EMPTY)"))&gt;0,IFERROR(('Final Calculation Sheet'!$AB$9)&amp;"","")="",ISNUMBER(SEARCH($AS$88:$AZ$88,IFERROR(('Final Calculation Sheet'!$AB$9)&amp;"","")))))&gt;0),IF(COUNTIF($BI$88:$BP$88,5)=0,TRUE,SUMPRODUCT(($BI$88:$BP$88=5)*($AS$88:$AZ$88&lt;&gt;"")*IF(((UPPER($AS$88:$AZ$88)="BLANK")+(UPPER($AS$88:$AZ$88)="(BLANK)")+(UPPER($AS$88:$AZ$88)="EMPTY")+(UPPER($AS$88:$AZ$88)="(EMPTY)"))&gt;0,IFERROR(('Final Calculation Sheet'!$AB$9)&amp;"","")="",ISNUMBER(SEARCH($AS$88:$AZ$88,IFERROR(('Final Calculation Sheet'!$AB$9)&amp;"","")))))&gt;0),IF(COUNTIF($BI$88:$BP$88,6)=0,TRUE,SUMPRODUCT(($BI$88:$BP$88=6)*($AS$88:$AZ$88&lt;&gt;"")*IF(((UPPER($AS$88:$AZ$88)="BLANK")+(UPPER($AS$88:$AZ$88)="(BLANK)")+(UPPER($AS$88:$AZ$88)="EMPTY")+(UPPER($AS$88:$AZ$88)="(EMPTY)"))&gt;0,IFERROR(('Final Calculation Sheet'!$AB$9)&amp;"","")="",ISNUMBER(SEARCH($AS$88:$AZ$88,IFERROR(('Final Calculation Sheet'!$AB$9)&amp;"","")))))&gt;0),IF(COUNTIF($BI$88:$BP$88,7)=0,TRUE,SUMPRODUCT(($BI$88:$BP$88=7)*($AS$88:$AZ$88&lt;&gt;"")*IF(((UPPER($AS$88:$AZ$88)="BLANK")+(UPPER($AS$88:$AZ$88)="(BLANK)")+(UPPER($AS$88:$AZ$88)="EMPTY")+(UPPER($AS$88:$AZ$88)="(EMPTY)"))&gt;0,IFERROR(('Final Calculation Sheet'!$AB$9)&amp;"","")="",ISNUMBER(SEARCH($AS$88:$AZ$88,IFERROR(('Final Calculation Sheet'!$AB$9)&amp;"","")))))&gt;0),IF(COUNTIF($BI$88:$BP$88,8)=0,TRUE,SUMPRODUCT(($BI$88:$BP$88=8)*($AS$88:$AZ$88&lt;&gt;"")*IF(((UPPER($AS$88:$AZ$88)="BLANK")+(UPPER($AS$88:$AZ$88)="(BLANK)")+(UPPER($AS$88:$AZ$88)="EMPTY")+(UPPER($AS$88:$AZ$88)="(EMPTY)"))&gt;0,IFERROR(('Final Calculation Sheet'!$AB$9)&amp;"","")="",ISNUMBER(SEARCH($AS$88:$AZ$88,IFERROR(('Final Calculation Sheet'!$AB$9)&amp;"","")))))&gt;0))))</f>
        <v>1</v>
      </c>
      <c r="CP10">
        <f>IF($AD$4="",1,--(AND(SUMPRODUCT(--($AS$89:$AZ$89&lt;&gt;""))&gt;0,IF(COUNTIF($BI$89:$BP$89,1)=0,TRUE,SUMPRODUCT(($BI$89:$BP$89=1)*($AS$89:$AZ$89&lt;&gt;"")*IF(((UPPER($AS$89:$AZ$89)="BLANK")+(UPPER($AS$89:$AZ$89)="(BLANK)")+(UPPER($AS$89:$AZ$89)="EMPTY")+(UPPER($AS$89:$AZ$89)="(EMPTY)"))&gt;0,IFERROR(('Final Calculation Sheet'!$AC$9)&amp;"","")="",ISNUMBER(SEARCH($AS$89:$AZ$89,IFERROR(('Final Calculation Sheet'!$AC$9)&amp;"","")))))&gt;0),IF(COUNTIF($BI$89:$BP$89,2)=0,TRUE,SUMPRODUCT(($BI$89:$BP$89=2)*($AS$89:$AZ$89&lt;&gt;"")*IF(((UPPER($AS$89:$AZ$89)="BLANK")+(UPPER($AS$89:$AZ$89)="(BLANK)")+(UPPER($AS$89:$AZ$89)="EMPTY")+(UPPER($AS$89:$AZ$89)="(EMPTY)"))&gt;0,IFERROR(('Final Calculation Sheet'!$AC$9)&amp;"","")="",ISNUMBER(SEARCH($AS$89:$AZ$89,IFERROR(('Final Calculation Sheet'!$AC$9)&amp;"","")))))&gt;0),IF(COUNTIF($BI$89:$BP$89,3)=0,TRUE,SUMPRODUCT(($BI$89:$BP$89=3)*($AS$89:$AZ$89&lt;&gt;"")*IF(((UPPER($AS$89:$AZ$89)="BLANK")+(UPPER($AS$89:$AZ$89)="(BLANK)")+(UPPER($AS$89:$AZ$89)="EMPTY")+(UPPER($AS$89:$AZ$89)="(EMPTY)"))&gt;0,IFERROR(('Final Calculation Sheet'!$AC$9)&amp;"","")="",ISNUMBER(SEARCH($AS$89:$AZ$89,IFERROR(('Final Calculation Sheet'!$AC$9)&amp;"","")))))&gt;0),IF(COUNTIF($BI$89:$BP$89,4)=0,TRUE,SUMPRODUCT(($BI$89:$BP$89=4)*($AS$89:$AZ$89&lt;&gt;"")*IF(((UPPER($AS$89:$AZ$89)="BLANK")+(UPPER($AS$89:$AZ$89)="(BLANK)")+(UPPER($AS$89:$AZ$89)="EMPTY")+(UPPER($AS$89:$AZ$89)="(EMPTY)"))&gt;0,IFERROR(('Final Calculation Sheet'!$AC$9)&amp;"","")="",ISNUMBER(SEARCH($AS$89:$AZ$89,IFERROR(('Final Calculation Sheet'!$AC$9)&amp;"","")))))&gt;0),IF(COUNTIF($BI$89:$BP$89,5)=0,TRUE,SUMPRODUCT(($BI$89:$BP$89=5)*($AS$89:$AZ$89&lt;&gt;"")*IF(((UPPER($AS$89:$AZ$89)="BLANK")+(UPPER($AS$89:$AZ$89)="(BLANK)")+(UPPER($AS$89:$AZ$89)="EMPTY")+(UPPER($AS$89:$AZ$89)="(EMPTY)"))&gt;0,IFERROR(('Final Calculation Sheet'!$AC$9)&amp;"","")="",ISNUMBER(SEARCH($AS$89:$AZ$89,IFERROR(('Final Calculation Sheet'!$AC$9)&amp;"","")))))&gt;0),IF(COUNTIF($BI$89:$BP$89,6)=0,TRUE,SUMPRODUCT(($BI$89:$BP$89=6)*($AS$89:$AZ$89&lt;&gt;"")*IF(((UPPER($AS$89:$AZ$89)="BLANK")+(UPPER($AS$89:$AZ$89)="(BLANK)")+(UPPER($AS$89:$AZ$89)="EMPTY")+(UPPER($AS$89:$AZ$89)="(EMPTY)"))&gt;0,IFERROR(('Final Calculation Sheet'!$AC$9)&amp;"","")="",ISNUMBER(SEARCH($AS$89:$AZ$89,IFERROR(('Final Calculation Sheet'!$AC$9)&amp;"","")))))&gt;0),IF(COUNTIF($BI$89:$BP$89,7)=0,TRUE,SUMPRODUCT(($BI$89:$BP$89=7)*($AS$89:$AZ$89&lt;&gt;"")*IF(((UPPER($AS$89:$AZ$89)="BLANK")+(UPPER($AS$89:$AZ$89)="(BLANK)")+(UPPER($AS$89:$AZ$89)="EMPTY")+(UPPER($AS$89:$AZ$89)="(EMPTY)"))&gt;0,IFERROR(('Final Calculation Sheet'!$AC$9)&amp;"","")="",ISNUMBER(SEARCH($AS$89:$AZ$89,IFERROR(('Final Calculation Sheet'!$AC$9)&amp;"","")))))&gt;0),IF(COUNTIF($BI$89:$BP$89,8)=0,TRUE,SUMPRODUCT(($BI$89:$BP$89=8)*($AS$89:$AZ$89&lt;&gt;"")*IF(((UPPER($AS$89:$AZ$89)="BLANK")+(UPPER($AS$89:$AZ$89)="(BLANK)")+(UPPER($AS$89:$AZ$89)="EMPTY")+(UPPER($AS$89:$AZ$89)="(EMPTY)"))&gt;0,IFERROR(('Final Calculation Sheet'!$AC$9)&amp;"","")="",ISNUMBER(SEARCH($AS$89:$AZ$89,IFERROR(('Final Calculation Sheet'!$AC$9)&amp;"","")))))&gt;0))))</f>
        <v>1</v>
      </c>
      <c r="CQ10">
        <f>IF($AE$4="",1,--(AND(SUMPRODUCT(--($AS$90:$AZ$90&lt;&gt;""))&gt;0,IF(COUNTIF($BI$90:$BP$90,1)=0,TRUE,SUMPRODUCT(($BI$90:$BP$90=1)*($AS$90:$AZ$90&lt;&gt;"")*IF(((UPPER($AS$90:$AZ$90)="BLANK")+(UPPER($AS$90:$AZ$90)="(BLANK)")+(UPPER($AS$90:$AZ$90)="EMPTY")+(UPPER($AS$90:$AZ$90)="(EMPTY)"))&gt;0,IFERROR(('Final Calculation Sheet'!$AD$9)&amp;"","")="",ISNUMBER(SEARCH($AS$90:$AZ$90,IFERROR(('Final Calculation Sheet'!$AD$9)&amp;"","")))))&gt;0),IF(COUNTIF($BI$90:$BP$90,2)=0,TRUE,SUMPRODUCT(($BI$90:$BP$90=2)*($AS$90:$AZ$90&lt;&gt;"")*IF(((UPPER($AS$90:$AZ$90)="BLANK")+(UPPER($AS$90:$AZ$90)="(BLANK)")+(UPPER($AS$90:$AZ$90)="EMPTY")+(UPPER($AS$90:$AZ$90)="(EMPTY)"))&gt;0,IFERROR(('Final Calculation Sheet'!$AD$9)&amp;"","")="",ISNUMBER(SEARCH($AS$90:$AZ$90,IFERROR(('Final Calculation Sheet'!$AD$9)&amp;"","")))))&gt;0),IF(COUNTIF($BI$90:$BP$90,3)=0,TRUE,SUMPRODUCT(($BI$90:$BP$90=3)*($AS$90:$AZ$90&lt;&gt;"")*IF(((UPPER($AS$90:$AZ$90)="BLANK")+(UPPER($AS$90:$AZ$90)="(BLANK)")+(UPPER($AS$90:$AZ$90)="EMPTY")+(UPPER($AS$90:$AZ$90)="(EMPTY)"))&gt;0,IFERROR(('Final Calculation Sheet'!$AD$9)&amp;"","")="",ISNUMBER(SEARCH($AS$90:$AZ$90,IFERROR(('Final Calculation Sheet'!$AD$9)&amp;"","")))))&gt;0),IF(COUNTIF($BI$90:$BP$90,4)=0,TRUE,SUMPRODUCT(($BI$90:$BP$90=4)*($AS$90:$AZ$90&lt;&gt;"")*IF(((UPPER($AS$90:$AZ$90)="BLANK")+(UPPER($AS$90:$AZ$90)="(BLANK)")+(UPPER($AS$90:$AZ$90)="EMPTY")+(UPPER($AS$90:$AZ$90)="(EMPTY)"))&gt;0,IFERROR(('Final Calculation Sheet'!$AD$9)&amp;"","")="",ISNUMBER(SEARCH($AS$90:$AZ$90,IFERROR(('Final Calculation Sheet'!$AD$9)&amp;"","")))))&gt;0),IF(COUNTIF($BI$90:$BP$90,5)=0,TRUE,SUMPRODUCT(($BI$90:$BP$90=5)*($AS$90:$AZ$90&lt;&gt;"")*IF(((UPPER($AS$90:$AZ$90)="BLANK")+(UPPER($AS$90:$AZ$90)="(BLANK)")+(UPPER($AS$90:$AZ$90)="EMPTY")+(UPPER($AS$90:$AZ$90)="(EMPTY)"))&gt;0,IFERROR(('Final Calculation Sheet'!$AD$9)&amp;"","")="",ISNUMBER(SEARCH($AS$90:$AZ$90,IFERROR(('Final Calculation Sheet'!$AD$9)&amp;"","")))))&gt;0),IF(COUNTIF($BI$90:$BP$90,6)=0,TRUE,SUMPRODUCT(($BI$90:$BP$90=6)*($AS$90:$AZ$90&lt;&gt;"")*IF(((UPPER($AS$90:$AZ$90)="BLANK")+(UPPER($AS$90:$AZ$90)="(BLANK)")+(UPPER($AS$90:$AZ$90)="EMPTY")+(UPPER($AS$90:$AZ$90)="(EMPTY)"))&gt;0,IFERROR(('Final Calculation Sheet'!$AD$9)&amp;"","")="",ISNUMBER(SEARCH($AS$90:$AZ$90,IFERROR(('Final Calculation Sheet'!$AD$9)&amp;"","")))))&gt;0),IF(COUNTIF($BI$90:$BP$90,7)=0,TRUE,SUMPRODUCT(($BI$90:$BP$90=7)*($AS$90:$AZ$90&lt;&gt;"")*IF(((UPPER($AS$90:$AZ$90)="BLANK")+(UPPER($AS$90:$AZ$90)="(BLANK)")+(UPPER($AS$90:$AZ$90)="EMPTY")+(UPPER($AS$90:$AZ$90)="(EMPTY)"))&gt;0,IFERROR(('Final Calculation Sheet'!$AD$9)&amp;"","")="",ISNUMBER(SEARCH($AS$90:$AZ$90,IFERROR(('Final Calculation Sheet'!$AD$9)&amp;"","")))))&gt;0),IF(COUNTIF($BI$90:$BP$90,8)=0,TRUE,SUMPRODUCT(($BI$90:$BP$90=8)*($AS$90:$AZ$90&lt;&gt;"")*IF(((UPPER($AS$90:$AZ$90)="BLANK")+(UPPER($AS$90:$AZ$90)="(BLANK)")+(UPPER($AS$90:$AZ$90)="EMPTY")+(UPPER($AS$90:$AZ$90)="(EMPTY)"))&gt;0,IFERROR(('Final Calculation Sheet'!$AD$9)&amp;"","")="",ISNUMBER(SEARCH($AS$90:$AZ$90,IFERROR(('Final Calculation Sheet'!$AD$9)&amp;"","")))))&gt;0))))</f>
        <v>1</v>
      </c>
      <c r="CR10">
        <f>IF($AF$4="",1,--(AND(SUMPRODUCT(--($AS$91:$AZ$91&lt;&gt;""))&gt;0,IF(COUNTIF($BI$91:$BP$91,1)=0,TRUE,SUMPRODUCT(($BI$91:$BP$91=1)*($AS$91:$AZ$91&lt;&gt;"")*IF(((UPPER($AS$91:$AZ$91)="BLANK")+(UPPER($AS$91:$AZ$91)="(BLANK)")+(UPPER($AS$91:$AZ$91)="EMPTY")+(UPPER($AS$91:$AZ$91)="(EMPTY)"))&gt;0,IFERROR(('Final Calculation Sheet'!$AE$9)&amp;"","")="",ISNUMBER(SEARCH($AS$91:$AZ$91,IFERROR(('Final Calculation Sheet'!$AE$9)&amp;"","")))))&gt;0),IF(COUNTIF($BI$91:$BP$91,2)=0,TRUE,SUMPRODUCT(($BI$91:$BP$91=2)*($AS$91:$AZ$91&lt;&gt;"")*IF(((UPPER($AS$91:$AZ$91)="BLANK")+(UPPER($AS$91:$AZ$91)="(BLANK)")+(UPPER($AS$91:$AZ$91)="EMPTY")+(UPPER($AS$91:$AZ$91)="(EMPTY)"))&gt;0,IFERROR(('Final Calculation Sheet'!$AE$9)&amp;"","")="",ISNUMBER(SEARCH($AS$91:$AZ$91,IFERROR(('Final Calculation Sheet'!$AE$9)&amp;"","")))))&gt;0),IF(COUNTIF($BI$91:$BP$91,3)=0,TRUE,SUMPRODUCT(($BI$91:$BP$91=3)*($AS$91:$AZ$91&lt;&gt;"")*IF(((UPPER($AS$91:$AZ$91)="BLANK")+(UPPER($AS$91:$AZ$91)="(BLANK)")+(UPPER($AS$91:$AZ$91)="EMPTY")+(UPPER($AS$91:$AZ$91)="(EMPTY)"))&gt;0,IFERROR(('Final Calculation Sheet'!$AE$9)&amp;"","")="",ISNUMBER(SEARCH($AS$91:$AZ$91,IFERROR(('Final Calculation Sheet'!$AE$9)&amp;"","")))))&gt;0),IF(COUNTIF($BI$91:$BP$91,4)=0,TRUE,SUMPRODUCT(($BI$91:$BP$91=4)*($AS$91:$AZ$91&lt;&gt;"")*IF(((UPPER($AS$91:$AZ$91)="BLANK")+(UPPER($AS$91:$AZ$91)="(BLANK)")+(UPPER($AS$91:$AZ$91)="EMPTY")+(UPPER($AS$91:$AZ$91)="(EMPTY)"))&gt;0,IFERROR(('Final Calculation Sheet'!$AE$9)&amp;"","")="",ISNUMBER(SEARCH($AS$91:$AZ$91,IFERROR(('Final Calculation Sheet'!$AE$9)&amp;"","")))))&gt;0),IF(COUNTIF($BI$91:$BP$91,5)=0,TRUE,SUMPRODUCT(($BI$91:$BP$91=5)*($AS$91:$AZ$91&lt;&gt;"")*IF(((UPPER($AS$91:$AZ$91)="BLANK")+(UPPER($AS$91:$AZ$91)="(BLANK)")+(UPPER($AS$91:$AZ$91)="EMPTY")+(UPPER($AS$91:$AZ$91)="(EMPTY)"))&gt;0,IFERROR(('Final Calculation Sheet'!$AE$9)&amp;"","")="",ISNUMBER(SEARCH($AS$91:$AZ$91,IFERROR(('Final Calculation Sheet'!$AE$9)&amp;"","")))))&gt;0),IF(COUNTIF($BI$91:$BP$91,6)=0,TRUE,SUMPRODUCT(($BI$91:$BP$91=6)*($AS$91:$AZ$91&lt;&gt;"")*IF(((UPPER($AS$91:$AZ$91)="BLANK")+(UPPER($AS$91:$AZ$91)="(BLANK)")+(UPPER($AS$91:$AZ$91)="EMPTY")+(UPPER($AS$91:$AZ$91)="(EMPTY)"))&gt;0,IFERROR(('Final Calculation Sheet'!$AE$9)&amp;"","")="",ISNUMBER(SEARCH($AS$91:$AZ$91,IFERROR(('Final Calculation Sheet'!$AE$9)&amp;"","")))))&gt;0),IF(COUNTIF($BI$91:$BP$91,7)=0,TRUE,SUMPRODUCT(($BI$91:$BP$91=7)*($AS$91:$AZ$91&lt;&gt;"")*IF(((UPPER($AS$91:$AZ$91)="BLANK")+(UPPER($AS$91:$AZ$91)="(BLANK)")+(UPPER($AS$91:$AZ$91)="EMPTY")+(UPPER($AS$91:$AZ$91)="(EMPTY)"))&gt;0,IFERROR(('Final Calculation Sheet'!$AE$9)&amp;"","")="",ISNUMBER(SEARCH($AS$91:$AZ$91,IFERROR(('Final Calculation Sheet'!$AE$9)&amp;"","")))))&gt;0),IF(COUNTIF($BI$91:$BP$91,8)=0,TRUE,SUMPRODUCT(($BI$91:$BP$91=8)*($AS$91:$AZ$91&lt;&gt;"")*IF(((UPPER($AS$91:$AZ$91)="BLANK")+(UPPER($AS$91:$AZ$91)="(BLANK)")+(UPPER($AS$91:$AZ$91)="EMPTY")+(UPPER($AS$91:$AZ$91)="(EMPTY)"))&gt;0,IFERROR(('Final Calculation Sheet'!$AE$9)&amp;"","")="",ISNUMBER(SEARCH($AS$91:$AZ$91,IFERROR(('Final Calculation Sheet'!$AE$9)&amp;"","")))))&gt;0))))</f>
        <v>1</v>
      </c>
      <c r="CS10">
        <f>IF($AG$4="",1,--(AND(SUMPRODUCT(--($AS$92:$AZ$92&lt;&gt;""))&gt;0,IF(COUNTIF($BI$92:$BP$92,1)=0,TRUE,SUMPRODUCT(($BI$92:$BP$92=1)*($AS$92:$AZ$92&lt;&gt;"")*IF(((UPPER($AS$92:$AZ$92)="BLANK")+(UPPER($AS$92:$AZ$92)="(BLANK)")+(UPPER($AS$92:$AZ$92)="EMPTY")+(UPPER($AS$92:$AZ$92)="(EMPTY)"))&gt;0,IFERROR(('Final Calculation Sheet'!$AF$9)&amp;"","")="",ISNUMBER(SEARCH($AS$92:$AZ$92,IFERROR(('Final Calculation Sheet'!$AF$9)&amp;"","")))))&gt;0),IF(COUNTIF($BI$92:$BP$92,2)=0,TRUE,SUMPRODUCT(($BI$92:$BP$92=2)*($AS$92:$AZ$92&lt;&gt;"")*IF(((UPPER($AS$92:$AZ$92)="BLANK")+(UPPER($AS$92:$AZ$92)="(BLANK)")+(UPPER($AS$92:$AZ$92)="EMPTY")+(UPPER($AS$92:$AZ$92)="(EMPTY)"))&gt;0,IFERROR(('Final Calculation Sheet'!$AF$9)&amp;"","")="",ISNUMBER(SEARCH($AS$92:$AZ$92,IFERROR(('Final Calculation Sheet'!$AF$9)&amp;"","")))))&gt;0),IF(COUNTIF($BI$92:$BP$92,3)=0,TRUE,SUMPRODUCT(($BI$92:$BP$92=3)*($AS$92:$AZ$92&lt;&gt;"")*IF(((UPPER($AS$92:$AZ$92)="BLANK")+(UPPER($AS$92:$AZ$92)="(BLANK)")+(UPPER($AS$92:$AZ$92)="EMPTY")+(UPPER($AS$92:$AZ$92)="(EMPTY)"))&gt;0,IFERROR(('Final Calculation Sheet'!$AF$9)&amp;"","")="",ISNUMBER(SEARCH($AS$92:$AZ$92,IFERROR(('Final Calculation Sheet'!$AF$9)&amp;"","")))))&gt;0),IF(COUNTIF($BI$92:$BP$92,4)=0,TRUE,SUMPRODUCT(($BI$92:$BP$92=4)*($AS$92:$AZ$92&lt;&gt;"")*IF(((UPPER($AS$92:$AZ$92)="BLANK")+(UPPER($AS$92:$AZ$92)="(BLANK)")+(UPPER($AS$92:$AZ$92)="EMPTY")+(UPPER($AS$92:$AZ$92)="(EMPTY)"))&gt;0,IFERROR(('Final Calculation Sheet'!$AF$9)&amp;"","")="",ISNUMBER(SEARCH($AS$92:$AZ$92,IFERROR(('Final Calculation Sheet'!$AF$9)&amp;"","")))))&gt;0),IF(COUNTIF($BI$92:$BP$92,5)=0,TRUE,SUMPRODUCT(($BI$92:$BP$92=5)*($AS$92:$AZ$92&lt;&gt;"")*IF(((UPPER($AS$92:$AZ$92)="BLANK")+(UPPER($AS$92:$AZ$92)="(BLANK)")+(UPPER($AS$92:$AZ$92)="EMPTY")+(UPPER($AS$92:$AZ$92)="(EMPTY)"))&gt;0,IFERROR(('Final Calculation Sheet'!$AF$9)&amp;"","")="",ISNUMBER(SEARCH($AS$92:$AZ$92,IFERROR(('Final Calculation Sheet'!$AF$9)&amp;"","")))))&gt;0),IF(COUNTIF($BI$92:$BP$92,6)=0,TRUE,SUMPRODUCT(($BI$92:$BP$92=6)*($AS$92:$AZ$92&lt;&gt;"")*IF(((UPPER($AS$92:$AZ$92)="BLANK")+(UPPER($AS$92:$AZ$92)="(BLANK)")+(UPPER($AS$92:$AZ$92)="EMPTY")+(UPPER($AS$92:$AZ$92)="(EMPTY)"))&gt;0,IFERROR(('Final Calculation Sheet'!$AF$9)&amp;"","")="",ISNUMBER(SEARCH($AS$92:$AZ$92,IFERROR(('Final Calculation Sheet'!$AF$9)&amp;"","")))))&gt;0),IF(COUNTIF($BI$92:$BP$92,7)=0,TRUE,SUMPRODUCT(($BI$92:$BP$92=7)*($AS$92:$AZ$92&lt;&gt;"")*IF(((UPPER($AS$92:$AZ$92)="BLANK")+(UPPER($AS$92:$AZ$92)="(BLANK)")+(UPPER($AS$92:$AZ$92)="EMPTY")+(UPPER($AS$92:$AZ$92)="(EMPTY)"))&gt;0,IFERROR(('Final Calculation Sheet'!$AF$9)&amp;"","")="",ISNUMBER(SEARCH($AS$92:$AZ$92,IFERROR(('Final Calculation Sheet'!$AF$9)&amp;"","")))))&gt;0),IF(COUNTIF($BI$92:$BP$92,8)=0,TRUE,SUMPRODUCT(($BI$92:$BP$92=8)*($AS$92:$AZ$92&lt;&gt;"")*IF(((UPPER($AS$92:$AZ$92)="BLANK")+(UPPER($AS$92:$AZ$92)="(BLANK)")+(UPPER($AS$92:$AZ$92)="EMPTY")+(UPPER($AS$92:$AZ$92)="(EMPTY)"))&gt;0,IFERROR(('Final Calculation Sheet'!$AF$9)&amp;"","")="",ISNUMBER(SEARCH($AS$92:$AZ$92,IFERROR(('Final Calculation Sheet'!$AF$9)&amp;"","")))))&gt;0))))</f>
        <v>1</v>
      </c>
      <c r="CT10">
        <f>IF($AH$4="",1,--(AND(SUMPRODUCT(--($AS$93:$AZ$93&lt;&gt;""))&gt;0,IF(COUNTIF($BI$93:$BP$93,1)=0,TRUE,SUMPRODUCT(($BI$93:$BP$93=1)*($AS$93:$AZ$93&lt;&gt;"")*IF(((UPPER($AS$93:$AZ$93)="BLANK")+(UPPER($AS$93:$AZ$93)="(BLANK)")+(UPPER($AS$93:$AZ$93)="EMPTY")+(UPPER($AS$93:$AZ$93)="(EMPTY)"))&gt;0,IFERROR(('Final Calculation Sheet'!$AG$9)&amp;"","")="",ISNUMBER(SEARCH($AS$93:$AZ$93,IFERROR(('Final Calculation Sheet'!$AG$9)&amp;"","")))))&gt;0),IF(COUNTIF($BI$93:$BP$93,2)=0,TRUE,SUMPRODUCT(($BI$93:$BP$93=2)*($AS$93:$AZ$93&lt;&gt;"")*IF(((UPPER($AS$93:$AZ$93)="BLANK")+(UPPER($AS$93:$AZ$93)="(BLANK)")+(UPPER($AS$93:$AZ$93)="EMPTY")+(UPPER($AS$93:$AZ$93)="(EMPTY)"))&gt;0,IFERROR(('Final Calculation Sheet'!$AG$9)&amp;"","")="",ISNUMBER(SEARCH($AS$93:$AZ$93,IFERROR(('Final Calculation Sheet'!$AG$9)&amp;"","")))))&gt;0),IF(COUNTIF($BI$93:$BP$93,3)=0,TRUE,SUMPRODUCT(($BI$93:$BP$93=3)*($AS$93:$AZ$93&lt;&gt;"")*IF(((UPPER($AS$93:$AZ$93)="BLANK")+(UPPER($AS$93:$AZ$93)="(BLANK)")+(UPPER($AS$93:$AZ$93)="EMPTY")+(UPPER($AS$93:$AZ$93)="(EMPTY)"))&gt;0,IFERROR(('Final Calculation Sheet'!$AG$9)&amp;"","")="",ISNUMBER(SEARCH($AS$93:$AZ$93,IFERROR(('Final Calculation Sheet'!$AG$9)&amp;"","")))))&gt;0),IF(COUNTIF($BI$93:$BP$93,4)=0,TRUE,SUMPRODUCT(($BI$93:$BP$93=4)*($AS$93:$AZ$93&lt;&gt;"")*IF(((UPPER($AS$93:$AZ$93)="BLANK")+(UPPER($AS$93:$AZ$93)="(BLANK)")+(UPPER($AS$93:$AZ$93)="EMPTY")+(UPPER($AS$93:$AZ$93)="(EMPTY)"))&gt;0,IFERROR(('Final Calculation Sheet'!$AG$9)&amp;"","")="",ISNUMBER(SEARCH($AS$93:$AZ$93,IFERROR(('Final Calculation Sheet'!$AG$9)&amp;"","")))))&gt;0),IF(COUNTIF($BI$93:$BP$93,5)=0,TRUE,SUMPRODUCT(($BI$93:$BP$93=5)*($AS$93:$AZ$93&lt;&gt;"")*IF(((UPPER($AS$93:$AZ$93)="BLANK")+(UPPER($AS$93:$AZ$93)="(BLANK)")+(UPPER($AS$93:$AZ$93)="EMPTY")+(UPPER($AS$93:$AZ$93)="(EMPTY)"))&gt;0,IFERROR(('Final Calculation Sheet'!$AG$9)&amp;"","")="",ISNUMBER(SEARCH($AS$93:$AZ$93,IFERROR(('Final Calculation Sheet'!$AG$9)&amp;"","")))))&gt;0),IF(COUNTIF($BI$93:$BP$93,6)=0,TRUE,SUMPRODUCT(($BI$93:$BP$93=6)*($AS$93:$AZ$93&lt;&gt;"")*IF(((UPPER($AS$93:$AZ$93)="BLANK")+(UPPER($AS$93:$AZ$93)="(BLANK)")+(UPPER($AS$93:$AZ$93)="EMPTY")+(UPPER($AS$93:$AZ$93)="(EMPTY)"))&gt;0,IFERROR(('Final Calculation Sheet'!$AG$9)&amp;"","")="",ISNUMBER(SEARCH($AS$93:$AZ$93,IFERROR(('Final Calculation Sheet'!$AG$9)&amp;"","")))))&gt;0),IF(COUNTIF($BI$93:$BP$93,7)=0,TRUE,SUMPRODUCT(($BI$93:$BP$93=7)*($AS$93:$AZ$93&lt;&gt;"")*IF(((UPPER($AS$93:$AZ$93)="BLANK")+(UPPER($AS$93:$AZ$93)="(BLANK)")+(UPPER($AS$93:$AZ$93)="EMPTY")+(UPPER($AS$93:$AZ$93)="(EMPTY)"))&gt;0,IFERROR(('Final Calculation Sheet'!$AG$9)&amp;"","")="",ISNUMBER(SEARCH($AS$93:$AZ$93,IFERROR(('Final Calculation Sheet'!$AG$9)&amp;"","")))))&gt;0),IF(COUNTIF($BI$93:$BP$93,8)=0,TRUE,SUMPRODUCT(($BI$93:$BP$93=8)*($AS$93:$AZ$93&lt;&gt;"")*IF(((UPPER($AS$93:$AZ$93)="BLANK")+(UPPER($AS$93:$AZ$93)="(BLANK)")+(UPPER($AS$93:$AZ$93)="EMPTY")+(UPPER($AS$93:$AZ$93)="(EMPTY)"))&gt;0,IFERROR(('Final Calculation Sheet'!$AG$9)&amp;"","")="",ISNUMBER(SEARCH($AS$93:$AZ$93,IFERROR(('Final Calculation Sheet'!$AG$9)&amp;"","")))))&gt;0))))</f>
        <v>1</v>
      </c>
      <c r="CU10">
        <f>IF($AI$4="",1,--(AND(SUMPRODUCT(--($AS$94:$AZ$94&lt;&gt;""))&gt;0,IF(COUNTIF($BI$94:$BP$94,1)=0,TRUE,SUMPRODUCT(($BI$94:$BP$94=1)*($AS$94:$AZ$94&lt;&gt;"")*IF(((UPPER($AS$94:$AZ$94)="BLANK")+(UPPER($AS$94:$AZ$94)="(BLANK)")+(UPPER($AS$94:$AZ$94)="EMPTY")+(UPPER($AS$94:$AZ$94)="(EMPTY)"))&gt;0,IFERROR((IF('Final Calculation Sheet'!$AD$9&lt;=0,"SETTLED","OUTSTANDING"))&amp;"","")="",ISNUMBER(SEARCH($AS$94:$AZ$94,IFERROR((IF('Final Calculation Sheet'!$AD$9&lt;=0,"SETTLED","OUTSTANDING"))&amp;"","")))))&gt;0),IF(COUNTIF($BI$94:$BP$94,2)=0,TRUE,SUMPRODUCT(($BI$94:$BP$94=2)*($AS$94:$AZ$94&lt;&gt;"")*IF(((UPPER($AS$94:$AZ$94)="BLANK")+(UPPER($AS$94:$AZ$94)="(BLANK)")+(UPPER($AS$94:$AZ$94)="EMPTY")+(UPPER($AS$94:$AZ$94)="(EMPTY)"))&gt;0,IFERROR((IF('Final Calculation Sheet'!$AD$9&lt;=0,"SETTLED","OUTSTANDING"))&amp;"","")="",ISNUMBER(SEARCH($AS$94:$AZ$94,IFERROR((IF('Final Calculation Sheet'!$AD$9&lt;=0,"SETTLED","OUTSTANDING"))&amp;"","")))))&gt;0),IF(COUNTIF($BI$94:$BP$94,3)=0,TRUE,SUMPRODUCT(($BI$94:$BP$94=3)*($AS$94:$AZ$94&lt;&gt;"")*IF(((UPPER($AS$94:$AZ$94)="BLANK")+(UPPER($AS$94:$AZ$94)="(BLANK)")+(UPPER($AS$94:$AZ$94)="EMPTY")+(UPPER($AS$94:$AZ$94)="(EMPTY)"))&gt;0,IFERROR((IF('Final Calculation Sheet'!$AD$9&lt;=0,"SETTLED","OUTSTANDING"))&amp;"","")="",ISNUMBER(SEARCH($AS$94:$AZ$94,IFERROR((IF('Final Calculation Sheet'!$AD$9&lt;=0,"SETTLED","OUTSTANDING"))&amp;"","")))))&gt;0),IF(COUNTIF($BI$94:$BP$94,4)=0,TRUE,SUMPRODUCT(($BI$94:$BP$94=4)*($AS$94:$AZ$94&lt;&gt;"")*IF(((UPPER($AS$94:$AZ$94)="BLANK")+(UPPER($AS$94:$AZ$94)="(BLANK)")+(UPPER($AS$94:$AZ$94)="EMPTY")+(UPPER($AS$94:$AZ$94)="(EMPTY)"))&gt;0,IFERROR((IF('Final Calculation Sheet'!$AD$9&lt;=0,"SETTLED","OUTSTANDING"))&amp;"","")="",ISNUMBER(SEARCH($AS$94:$AZ$94,IFERROR((IF('Final Calculation Sheet'!$AD$9&lt;=0,"SETTLED","OUTSTANDING"))&amp;"","")))))&gt;0),IF(COUNTIF($BI$94:$BP$94,5)=0,TRUE,SUMPRODUCT(($BI$94:$BP$94=5)*($AS$94:$AZ$94&lt;&gt;"")*IF(((UPPER($AS$94:$AZ$94)="BLANK")+(UPPER($AS$94:$AZ$94)="(BLANK)")+(UPPER($AS$94:$AZ$94)="EMPTY")+(UPPER($AS$94:$AZ$94)="(EMPTY)"))&gt;0,IFERROR((IF('Final Calculation Sheet'!$AD$9&lt;=0,"SETTLED","OUTSTANDING"))&amp;"","")="",ISNUMBER(SEARCH($AS$94:$AZ$94,IFERROR((IF('Final Calculation Sheet'!$AD$9&lt;=0,"SETTLED","OUTSTANDING"))&amp;"","")))))&gt;0),IF(COUNTIF($BI$94:$BP$94,6)=0,TRUE,SUMPRODUCT(($BI$94:$BP$94=6)*($AS$94:$AZ$94&lt;&gt;"")*IF(((UPPER($AS$94:$AZ$94)="BLANK")+(UPPER($AS$94:$AZ$94)="(BLANK)")+(UPPER($AS$94:$AZ$94)="EMPTY")+(UPPER($AS$94:$AZ$94)="(EMPTY)"))&gt;0,IFERROR((IF('Final Calculation Sheet'!$AD$9&lt;=0,"SETTLED","OUTSTANDING"))&amp;"","")="",ISNUMBER(SEARCH($AS$94:$AZ$94,IFERROR((IF('Final Calculation Sheet'!$AD$9&lt;=0,"SETTLED","OUTSTANDING"))&amp;"","")))))&gt;0),IF(COUNTIF($BI$94:$BP$94,7)=0,TRUE,SUMPRODUCT(($BI$94:$BP$94=7)*($AS$94:$AZ$94&lt;&gt;"")*IF(((UPPER($AS$94:$AZ$94)="BLANK")+(UPPER($AS$94:$AZ$94)="(BLANK)")+(UPPER($AS$94:$AZ$94)="EMPTY")+(UPPER($AS$94:$AZ$94)="(EMPTY)"))&gt;0,IFERROR((IF('Final Calculation Sheet'!$AD$9&lt;=0,"SETTLED","OUTSTANDING"))&amp;"","")="",ISNUMBER(SEARCH($AS$94:$AZ$94,IFERROR((IF('Final Calculation Sheet'!$AD$9&lt;=0,"SETTLED","OUTSTANDING"))&amp;"","")))))&gt;0),IF(COUNTIF($BI$94:$BP$94,8)=0,TRUE,SUMPRODUCT(($BI$94:$BP$94=8)*($AS$94:$AZ$94&lt;&gt;"")*IF(((UPPER($AS$94:$AZ$94)="BLANK")+(UPPER($AS$94:$AZ$94)="(BLANK)")+(UPPER($AS$94:$AZ$94)="EMPTY")+(UPPER($AS$94:$AZ$94)="(EMPTY)"))&gt;0,IFERROR((IF('Final Calculation Sheet'!$AD$9&lt;=0,"SETTLED","OUTSTANDING"))&amp;"","")="",ISNUMBER(SEARCH($AS$94:$AZ$94,IFERROR((IF('Final Calculation Sheet'!$AD$9&lt;=0,"SETTLED","OUTSTANDING"))&amp;"","")))))&gt;0))))</f>
        <v>1</v>
      </c>
    </row>
    <row r="11" spans="1:99" ht="15" customHeight="1" x14ac:dyDescent="0.25">
      <c r="A11" s="67">
        <f>IF($BJ10&gt;0,INDEX($BA$5:$BA$41,MATCH(10,$BB$5:$BB$41,0)),IF(OR($BI10=1,$BL10=1,$BH10&gt;0),"∑",""))</f>
        <v>1</v>
      </c>
      <c r="B11" s="68">
        <f>IF($BJ10&gt;0,IF(INDEX('Final Calculation Sheet'!$F$4:$F$40,$BJ10-3)="","",INDEX('Final Calculation Sheet'!$F$4:$F$40,$BJ10-3)),"")</f>
        <v>2011</v>
      </c>
      <c r="C11" s="68" t="str">
        <f>IF($BJ10&gt;0,IF(INDEX('Final Calculation Sheet'!$G$4:$G$40,$BJ10-3)="","",INDEX('Final Calculation Sheet'!$G$4:$G$40,$BJ10-3)),IF(OR($BI10=1,$BL10=1,$BH10&gt;0),IF($BI10=1,37,IF($BL10=1,37-INDEX($BD$4:$BD$13,10),INDEX($BD$4:$BD$13,$BH10)))&amp;" lot(s)",""))</f>
        <v>STERLING ENTERPRISES</v>
      </c>
      <c r="D11" s="69" t="str">
        <f>IF($BJ10&gt;0,IF(INDEX('Final Calculation Sheet'!$B$4:$B$40,$BJ10-3)="","",INDEX('Final Calculation Sheet'!$B$4:$B$40,$BJ10-3)),IF(OR($BI10=1,$BL10=1,$BH10&gt;0),IF($BI10=1,"GRAND TOTAL  —  matching + remaining",IF($BL10=1,"TOTAL MATCHED  —  every group together",IF($BH10=10,"REMAINING  —  did not match the search",IF($BH10=9,IF(COUNTIF($A$4:$AI$4,"&lt;&gt;")&gt;0,"FILTERED LOTS  —  column fields","ALL LOTS  —  nothing typed in the box"),"GROUP "&amp;$BH10&amp;" TOTAL  —  lots matching  "&amp;INDEX($AR$6:$AY$6,$BH10))))),""))</f>
        <v>Scrap of empty oil Barrel</v>
      </c>
      <c r="E11" s="69">
        <f>IF($BJ10&gt;0,IF(INDEX('Final Calculation Sheet'!$D$4:$D$40,$BJ10-3)="","",INDEX('Final Calculation Sheet'!$D$4:$D$40,$BJ10-3)),IF(OR($BI10=1,$BL10=1,$BH10&gt;0),"–",""))</f>
        <v>21977</v>
      </c>
      <c r="F11" s="69">
        <f>IF($BJ10&gt;0,IF(INDEX('Final Calculation Sheet'!$A$4:$A$40,$BJ10-3)="","",INDEX('Final Calculation Sheet'!$A$4:$A$40,$BJ10-3)),IF(OR($BI10=1,$BL10=1,$BH10&gt;0),IF($BI10=1,SUM('Final Calculation Sheet'!$A$4:$A$40),IF($BL10=1,SUM('Final Calculation Sheet'!$A$4:$A$40)-SUMIFS('Final Calculation Sheet'!$A$4:$A$40,$AZ$5:$AZ$41,10),SUMIFS('Final Calculation Sheet'!$A$4:$A$40,$AZ$5:$AZ$41,$BH10))),""))</f>
        <v>22</v>
      </c>
      <c r="G11" s="69" t="str">
        <f>IF($BJ10&gt;0,IF(INDEX('Final Calculation Sheet'!$E$4:$E$40,$BJ10-3)="","",INDEX('Final Calculation Sheet'!$E$4:$E$40,$BJ10-3)),IF(OR($BI10=1,$BL10=1,$BH10&gt;0),"–",""))</f>
        <v>NO</v>
      </c>
      <c r="H11" s="70">
        <f>IF($BJ10&gt;0,IF(INDEX('Final Calculation Sheet'!$C$4:$C$40,$BJ10-3)="","",INDEX('Final Calculation Sheet'!$C$4:$C$40,$BJ10-3)),IF(OR($BI10=1,$BL10=1,$BH10&gt;0),"–",""))</f>
        <v>700</v>
      </c>
      <c r="I11" s="70">
        <f>IF($BJ10&gt;0,IF(INDEX('Final Calculation Sheet'!$H$4:$H$40,$BJ10-3)="","",INDEX('Final Calculation Sheet'!$H$4:$H$40,$BJ10-3)),IF(OR($BI10=1,$BL10=1,$BH10&gt;0),IF($BI10=1,SUM('Final Calculation Sheet'!$H$4:$H$40),IF($BL10=1,SUM('Final Calculation Sheet'!$H$4:$H$40)-SUMIFS('Final Calculation Sheet'!$H$4:$H$40,$AZ$5:$AZ$41,10),SUMIFS('Final Calculation Sheet'!$H$4:$H$40,$AZ$5:$AZ$41,$BH10))),""))</f>
        <v>15400</v>
      </c>
      <c r="J11" s="70">
        <f>IF($BJ10&gt;0,IF(INDEX('Final Calculation Sheet'!$I$4:$I$40,$BJ10-3)="","",INDEX('Final Calculation Sheet'!$I$4:$I$40,$BJ10-3)),IF(OR($BI10=1,$BL10=1,$BH10&gt;0),IF($BI10=1,SUM('Final Calculation Sheet'!$I$4:$I$40),IF($BL10=1,SUM('Final Calculation Sheet'!$I$4:$I$40)-SUMIFS('Final Calculation Sheet'!$I$4:$I$40,$AZ$5:$AZ$41,10),SUMIFS('Final Calculation Sheet'!$I$4:$I$40,$AZ$5:$AZ$41,$BH10))),""))</f>
        <v>2772</v>
      </c>
      <c r="K11" s="70">
        <f>IF($BJ10&gt;0,IF(INDEX('Final Calculation Sheet'!$J$4:$J$40,$BJ10-3)="","",INDEX('Final Calculation Sheet'!$J$4:$J$40,$BJ10-3)),IF(OR($BI10=1,$BL10=1,$BH10&gt;0),IF($BI10=1,SUM('Final Calculation Sheet'!$J$4:$J$40),IF($BL10=1,SUM('Final Calculation Sheet'!$J$4:$J$40)-SUMIFS('Final Calculation Sheet'!$J$4:$J$40,$AZ$5:$AZ$41,10),SUMIFS('Final Calculation Sheet'!$J$4:$J$40,$AZ$5:$AZ$41,$BH10))),""))</f>
        <v>18172</v>
      </c>
      <c r="L11" s="70">
        <f>IF($BJ10&gt;0,IF(INDEX('Final Calculation Sheet'!$K$4:$K$40,$BJ10-3)="","",INDEX('Final Calculation Sheet'!$K$4:$K$40,$BJ10-3)),IF(OR($BI10=1,$BL10=1,$BH10&gt;0),IF($BI10=1,SUM('Final Calculation Sheet'!$K$4:$K$40),IF($BL10=1,SUM('Final Calculation Sheet'!$K$4:$K$40)-SUMIFS('Final Calculation Sheet'!$K$4:$K$40,$AZ$5:$AZ$41,10),SUMIFS('Final Calculation Sheet'!$K$4:$K$40,$AZ$5:$AZ$41,$BH10))),""))</f>
        <v>363</v>
      </c>
      <c r="M11" s="70">
        <f>IF($BJ10&gt;0,IF(INDEX('Final Calculation Sheet'!$L$4:$L$40,$BJ10-3)="","",INDEX('Final Calculation Sheet'!$L$4:$L$40,$BJ10-3)),IF(OR($BI10=1,$BL10=1,$BH10&gt;0),IF($BI10=1,SUM('Final Calculation Sheet'!$L$4:$L$40),IF($BL10=1,SUM('Final Calculation Sheet'!$L$4:$L$40)-SUMIFS('Final Calculation Sheet'!$L$4:$L$40,$AZ$5:$AZ$41,10),SUMIFS('Final Calculation Sheet'!$L$4:$L$40,$AZ$5:$AZ$41,$BH10))),""))</f>
        <v>15.4</v>
      </c>
      <c r="N11" s="70">
        <f>IF($BJ10&gt;0,IF(INDEX('Final Calculation Sheet'!$M$4:$M$40,$BJ10-3)="","",INDEX('Final Calculation Sheet'!$M$4:$M$40,$BJ10-3)),IF(OR($BI10=1,$BL10=1,$BH10&gt;0),IF($BI10=1,SUM('Final Calculation Sheet'!$M$4:$M$40),IF($BL10=1,SUM('Final Calculation Sheet'!$M$4:$M$40)-SUMIFS('Final Calculation Sheet'!$M$4:$M$40,$AZ$5:$AZ$41,10),SUMIFS('Final Calculation Sheet'!$M$4:$M$40,$AZ$5:$AZ$41,$BH10))),""))</f>
        <v>408.87</v>
      </c>
      <c r="O11" s="71">
        <f>IF($BJ10&gt;0,IF(INDEX('Final Calculation Sheet'!$N$4:$N$40,$BJ10-3)="","",INDEX('Final Calculation Sheet'!$N$4:$N$40,$BJ10-3)),IF(OR($BI10=1,$BL10=1,$BH10&gt;0),IF($BI10=1,SUM('Final Calculation Sheet'!$N$4:$N$40),IF($BL10=1,SUM('Final Calculation Sheet'!$N$4:$N$40)-SUMIFS('Final Calculation Sheet'!$N$4:$N$40,$AZ$5:$AZ$41,10),SUMIFS('Final Calculation Sheet'!$N$4:$N$40,$AZ$5:$AZ$41,$BH10))),""))</f>
        <v>6.93</v>
      </c>
      <c r="P11" s="70">
        <f>IF($BJ10&gt;0,IF(INDEX('Final Calculation Sheet'!$O$4:$O$40,$BJ10-3)="","",INDEX('Final Calculation Sheet'!$O$4:$O$40,$BJ10-3)),IF(OR($BI10=1,$BL10=1,$BH10&gt;0),IF($BI10=1,SUM('Final Calculation Sheet'!$O$4:$O$40),IF($BL10=1,SUM('Final Calculation Sheet'!$O$4:$O$40)-SUMIFS('Final Calculation Sheet'!$O$4:$O$40,$AZ$5:$AZ$41,10),SUMIFS('Final Calculation Sheet'!$O$4:$O$40,$AZ$5:$AZ$41,$BH10))),""))</f>
        <v>401.94</v>
      </c>
      <c r="Q11" s="70">
        <f>IF($BJ10&gt;0,IF(INDEX('Final Calculation Sheet'!$P$4:$P$40,$BJ10-3)="","",INDEX('Final Calculation Sheet'!$P$4:$P$40,$BJ10-3)),IF(OR($BI10=1,$BL10=1,$BH10&gt;0),IF($BI10=1,SUM('Final Calculation Sheet'!$P$4:$P$40),IF($BL10=1,SUM('Final Calculation Sheet'!$P$4:$P$40)-SUMIFS('Final Calculation Sheet'!$P$4:$P$40,$AZ$5:$AZ$41,10),SUMIFS('Final Calculation Sheet'!$P$4:$P$40,$AZ$5:$AZ$41,$BH10))),""))</f>
        <v>417</v>
      </c>
      <c r="R11" s="72">
        <f>IF($BJ10&gt;0,IF(INDEX('Final Calculation Sheet'!$Q$4:$Q$40,$BJ10-3)="","",INDEX('Final Calculation Sheet'!$Q$4:$Q$40,$BJ10-3)),IF(OR($BI10=1,$BL10=1,$BH10&gt;0),"–",""))</f>
        <v>0</v>
      </c>
      <c r="S11" s="70">
        <f>IF($BJ10&gt;0,IF(INDEX('Final Calculation Sheet'!$R$4:$R$40,$BJ10-3)="","",INDEX('Final Calculation Sheet'!$R$4:$R$40,$BJ10-3)),IF(OR($BI10=1,$BL10=1,$BH10&gt;0),IF($BI10=1,SUM('Final Calculation Sheet'!$R$4:$R$40),IF($BL10=1,SUM('Final Calculation Sheet'!$R$4:$R$40)-SUMIFS('Final Calculation Sheet'!$R$4:$R$40,$AZ$5:$AZ$41,10),SUMIFS('Final Calculation Sheet'!$R$4:$R$40,$AZ$5:$AZ$41,$BH10))),""))</f>
        <v>0</v>
      </c>
      <c r="T11" s="70">
        <f>IF($BJ10&gt;0,IF(INDEX('Final Calculation Sheet'!$S$4:$S$40,$BJ10-3)="","",INDEX('Final Calculation Sheet'!$S$4:$S$40,$BJ10-3)),IF(OR($BI10=1,$BL10=1,$BH10&gt;0),IF($BI10=1,SUM('Final Calculation Sheet'!$S$4:$S$40),IF($BL10=1,SUM('Final Calculation Sheet'!$S$4:$S$40)-SUMIFS('Final Calculation Sheet'!$S$4:$S$40,$AZ$5:$AZ$41,10),SUMIFS('Final Calculation Sheet'!$S$4:$S$40,$AZ$5:$AZ$41,$BH10))),""))</f>
        <v>18118</v>
      </c>
      <c r="U11" s="70">
        <f>IF($BJ10&gt;0,IF(INDEX('Final Calculation Sheet'!$T$4:$T$40,$BJ10-3)="","",INDEX('Final Calculation Sheet'!$T$4:$T$40,$BJ10-3)),IF(OR($BI10=1,$BL10=1,$BH10&gt;0),IF($BI10=1,SUM('Final Calculation Sheet'!$T$4:$T$40),IF($BL10=1,SUM('Final Calculation Sheet'!$T$4:$T$40)-SUMIFS('Final Calculation Sheet'!$T$4:$T$40,$AZ$5:$AZ$41,10),SUMIFS('Final Calculation Sheet'!$T$4:$T$40,$AZ$5:$AZ$41,$BH10))),""))</f>
        <v>3850</v>
      </c>
      <c r="V11" s="73">
        <f>IF($BJ10&gt;0,IF(INDEX('Final Calculation Sheet'!$U$4:$U$40,$BJ10-3)="","",INDEX('Final Calculation Sheet'!$U$4:$U$40,$BJ10-3)),IF(OR($BI10=1,$BL10=1,$BH10&gt;0),IF($BI10=1,SUM('Final Calculation Sheet'!$U$4:$U$40),IF($BL10=1,SUM('Final Calculation Sheet'!$U$4:$U$40)-SUMIFS('Final Calculation Sheet'!$U$4:$U$40,$AZ$5:$AZ$41,10),SUMIFS('Final Calculation Sheet'!$U$4:$U$40,$AZ$5:$AZ$41,$BH10))),""))</f>
        <v>3850</v>
      </c>
      <c r="W11" s="70" t="str">
        <f>IF($BJ10&gt;0,IF(INDEX('Final Calculation Sheet'!$V$4:$V$40,$BJ10-3)="","",INDEX('Final Calculation Sheet'!$V$4:$V$40,$BJ10-3)),IF(OR($BI10=1,$BL10=1,$BH10&gt;0),"–",""))</f>
        <v>11.08.2026</v>
      </c>
      <c r="X11" s="70">
        <f>IF($BJ10&gt;0,IF(INDEX('Final Calculation Sheet'!$W$4:$W$40,$BJ10-3)="","",INDEX('Final Calculation Sheet'!$W$4:$W$40,$BJ10-3)),IF(OR($BI10=1,$BL10=1,$BH10&gt;0),IF($BI10=1,SUM('Final Calculation Sheet'!$W$4:$W$40),IF($BL10=1,SUM('Final Calculation Sheet'!$W$4:$W$40)-SUMIFS('Final Calculation Sheet'!$W$4:$W$40,$AZ$5:$AZ$41,10),SUMIFS('Final Calculation Sheet'!$W$4:$W$40,$AZ$5:$AZ$41,$BH10))),""))</f>
        <v>14268</v>
      </c>
      <c r="Y11" s="70">
        <f>IF($BJ10&gt;0,IF(INDEX('Final Calculation Sheet'!$X$4:$X$40,$BJ10-3)="","",INDEX('Final Calculation Sheet'!$X$4:$X$40,$BJ10-3)),IF(OR($BI10=1,$BL10=1,$BH10&gt;0),IF($BI10=1,SUM('Final Calculation Sheet'!$X$4:$X$40),IF($BL10=1,SUM('Final Calculation Sheet'!$X$4:$X$40)-SUMIFS('Final Calculation Sheet'!$X$4:$X$40,$AZ$5:$AZ$41,10),SUMIFS('Final Calculation Sheet'!$X$4:$X$40,$AZ$5:$AZ$41,$BH10))),""))</f>
        <v>14267</v>
      </c>
      <c r="Z11" s="70" t="str">
        <f>IF($BJ10&gt;0,IF(INDEX('Final Calculation Sheet'!$Y$4:$Y$40,$BJ10-3)="","",INDEX('Final Calculation Sheet'!$Y$4:$Y$40,$BJ10-3)),IF(OR($BI10=1,$BL10=1,$BH10&gt;0),"–",""))</f>
        <v>11.08.2026</v>
      </c>
      <c r="AA11" s="70">
        <f ca="1">IF($BJ10&gt;0,IF(INDEX('Final Calculation Sheet'!$Z$4:$Z$40,$BJ10-3)="","",INDEX('Final Calculation Sheet'!$Z$4:$Z$40,$BJ10-3)),IF(OR($BI10=1,$BL10=1,$BH10&gt;0),IF($BI10=1,SUM('Final Calculation Sheet'!$Z$4:$Z$40),IF($BL10=1,SUM('Final Calculation Sheet'!$Z$4:$Z$40)-SUMIFS('Final Calculation Sheet'!$Z$4:$Z$40,$AZ$5:$AZ$41,10),SUMIFS('Final Calculation Sheet'!$Z$4:$Z$40,$AZ$5:$AZ$41,$BH10))),""))</f>
        <v>0</v>
      </c>
      <c r="AB11" s="70" t="str">
        <f>IF($BJ10&gt;0,IF(INDEX('Final Calculation Sheet'!$AA$4:$AA$40,$BJ10-3)="","",INDEX('Final Calculation Sheet'!$AA$4:$AA$40,$BJ10-3)),IF(OR($BI10=1,$BL10=1,$BH10&gt;0),IF($BI10=1,SUM('Final Calculation Sheet'!$AA$4:$AA$40),IF($BL10=1,SUM('Final Calculation Sheet'!$AA$4:$AA$40)-SUMIFS('Final Calculation Sheet'!$AA$4:$AA$40,$AZ$5:$AZ$41,10),SUMIFS('Final Calculation Sheet'!$AA$4:$AA$40,$AZ$5:$AZ$41,$BH10))),""))</f>
        <v/>
      </c>
      <c r="AC11" s="70" t="str">
        <f>IF($BJ10&gt;0,IF(INDEX('Final Calculation Sheet'!$AB$4:$AB$40,$BJ10-3)="","",INDEX('Final Calculation Sheet'!$AB$4:$AB$40,$BJ10-3)),IF(OR($BI10=1,$BL10=1,$BH10&gt;0),"–",""))</f>
        <v/>
      </c>
      <c r="AD11" s="70">
        <f>IF($BJ10&gt;0,IF(INDEX('Final Calculation Sheet'!$AC$4:$AC$40,$BJ10-3)="","",INDEX('Final Calculation Sheet'!$AC$4:$AC$40,$BJ10-3)),IF(OR($BI10=1,$BL10=1,$BH10&gt;0),IF($BI10=1,SUM('Final Calculation Sheet'!$AC$4:$AC$40),IF($BL10=1,SUM('Final Calculation Sheet'!$AC$4:$AC$40)-SUMIFS('Final Calculation Sheet'!$AC$4:$AC$40,$AZ$5:$AZ$41,10),SUMIFS('Final Calculation Sheet'!$AC$4:$AC$40,$AZ$5:$AZ$41,$BH10))),""))</f>
        <v>18117</v>
      </c>
      <c r="AE11" s="70">
        <f>IF($BJ10&gt;0,IF(INDEX('Final Calculation Sheet'!$AD$4:$AD$40,$BJ10-3)="","",INDEX('Final Calculation Sheet'!$AD$4:$AD$40,$BJ10-3)),IF(OR($BI10=1,$BL10=1,$BH10&gt;0),IF($BI10=1,SUM('Final Calculation Sheet'!$AD$4:$AD$40),IF($BL10=1,SUM('Final Calculation Sheet'!$AD$4:$AD$40)-SUMIFS('Final Calculation Sheet'!$AD$4:$AD$40,$AZ$5:$AZ$41,10),SUMIFS('Final Calculation Sheet'!$AD$4:$AD$40,$AZ$5:$AZ$41,$BH10))),""))</f>
        <v>1</v>
      </c>
      <c r="AF11" s="70" t="str">
        <f>IF($BJ10&gt;0,IF(INDEX('Final Calculation Sheet'!$AE$4:$AE$40,$BJ10-3)="","",INDEX('Final Calculation Sheet'!$AE$4:$AE$40,$BJ10-3)),IF(OR($BI10=1,$BL10=1,$BH10&gt;0),"–",""))</f>
        <v>DR2640100019</v>
      </c>
      <c r="AG11" s="74">
        <f>IF($BJ10&gt;0,IF(INDEX('Final Calculation Sheet'!$AF$4:$AF$40,$BJ10-3)="","",INDEX('Final Calculation Sheet'!$AF$4:$AF$40,$BJ10-3)),IF(OR($BI10=1,$BL10=1,$BH10&gt;0),"–",""))</f>
        <v>1800003157</v>
      </c>
      <c r="AH11" s="70" t="str">
        <f>IF($BJ10&gt;0,IF(INDEX('Final Calculation Sheet'!$AG$4:$AG$40,$BJ10-3)="","",INDEX('Final Calculation Sheet'!$AG$4:$AG$40,$BJ10-3)),IF(OR($BI10=1,$BL10=1,$BH10&gt;0),"–",""))</f>
        <v>14.08.2026</v>
      </c>
      <c r="AI11" s="75" t="str">
        <f>IF($BJ10&gt;0,IF(INDEX('Final Calculation Sheet'!$AD$4:$AD$40,$BJ10-3)="","",IF(INDEX('Final Calculation Sheet'!$AD$4:$AD$40,$BJ10-3)&lt;=0,"SETTLED","OUTSTANDING")),IF(OR($BI10=1,$BL10=1,$BH10&gt;0),IF(IF($BI10=1,SUM('Final Calculation Sheet'!$AD$4:$AD$40),IF($BL10=1,SUM('Final Calculation Sheet'!$AD$4:$AD$40)-SUMIFS('Final Calculation Sheet'!$AD$4:$AD$40,$AZ$5:$AZ$41,10),SUMIFS('Final Calculation Sheet'!$AD$4:$AD$40,$AZ$5:$AZ$41,$BH10)))&lt;=0,"ALL SETTLED","OUTSTANDING"),""))</f>
        <v>OUTSTANDING</v>
      </c>
      <c r="AK11" t="str">
        <f>IF($F$3="Lot No.",'Final Calculation Sheet'!$F$10,IF($F$3="Buyer",'Final Calculation Sheet'!$G$10,IF($F$3="Lot Name",'Final Calculation Sheet'!$B$10,IF($F$3="Bid Sheet",'Final Calculation Sheet'!$D$10,IF($F$3="Unit",'Final Calculation Sheet'!$E$10,'Final Calculation Sheet'!$F$10&amp;" "&amp;'Final Calculation Sheet'!$G$10&amp;" "&amp;'Final Calculation Sheet'!$B$10)))))</f>
        <v>2002 NATIONAL ENTERPRISES Scrap of 132 KV CT</v>
      </c>
      <c r="AM11">
        <f t="shared" si="1"/>
        <v>0</v>
      </c>
      <c r="AZ11">
        <f t="shared" si="2"/>
        <v>10</v>
      </c>
      <c r="BA11">
        <f t="shared" si="3"/>
        <v>6</v>
      </c>
      <c r="BB11">
        <f t="shared" si="4"/>
        <v>22</v>
      </c>
      <c r="BC11">
        <v>10</v>
      </c>
      <c r="BD11">
        <f>COUNTIF($AZ$5:$AZ$41,8)</f>
        <v>0</v>
      </c>
      <c r="BE11">
        <f t="shared" si="5"/>
        <v>16</v>
      </c>
      <c r="BF11">
        <f t="shared" si="0"/>
        <v>0</v>
      </c>
      <c r="BH11">
        <f>IFERROR(MATCH(11,$BF$4:$BF$13,0),0)</f>
        <v>0</v>
      </c>
      <c r="BI11">
        <f>IF(11=$BG$5,1,0)</f>
        <v>0</v>
      </c>
      <c r="BJ11">
        <f>IF(OR($BH11&gt;0,$BI11=1,$BL11=1),0,IFERROR(INDEX($BC$5:$BC$41,MATCH(11,$BB$5:$BB$41,0)),0))</f>
        <v>17</v>
      </c>
      <c r="BK11">
        <f>IF($BJ11&gt;0,IF(INDEX($AZ$5:$AZ$41,MATCH(11,$BB$5:$BB$41,0))=10,1,0),IF($BH11=10,1,0))</f>
        <v>0</v>
      </c>
      <c r="BL11">
        <f>IF(11=$BG$4,1,0)</f>
        <v>0</v>
      </c>
      <c r="BM11">
        <f>IF($A$4="",1,--(AND(SUMPRODUCT(--($AS$60:$AZ$60&lt;&gt;""))&gt;0,IF(COUNTIF($BI$60:$BP$60,1)=0,TRUE,SUMPRODUCT(($BI$60:$BP$60=1)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$60,2)=0,TRUE,SUMPRODUCT(($BI$60:$BP$60=2)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$60,3)=0,TRUE,SUMPRODUCT(($BI$60:$BP$60=3)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$60,4)=0,TRUE,SUMPRODUCT(($BI$60:$BP$60=4)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$60,5)=0,TRUE,SUMPRODUCT(($BI$60:$BP$60=5)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$60,6)=0,TRUE,SUMPRODUCT(($BI$60:$BP$60=6)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$60,7)=0,TRUE,SUMPRODUCT(($BI$60:$BP$60=7)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$60,8)=0,TRUE,SUMPRODUCT(($BI$60:$BP$60=8)*($AS$60:$AZ$60&lt;&gt;"")*IF(((UPPER($AS$60:$AZ$60)="BLANK")+(UPPER($AS$60:$AZ$60)="(BLANK)")+(UPPER($AS$60:$AZ$60)="EMPTY")+(UPPER($AS$60:$AZ$60)="(EMPTY)"))&gt;0,IFERROR((ROW()-4)&amp;"","")="",ISNUMBER(SEARCH($AS$60:$AZ$60,IFERROR((ROW()-4)&amp;"","")))))&gt;0))))</f>
        <v>1</v>
      </c>
      <c r="BN11">
        <f>IF($B$4="",1,--(AND(SUMPRODUCT(--($AS$61:$AZ$61&lt;&gt;""))&gt;0,IF(COUNTIF($BI$61:$BP$61,1)=0,TRUE,SUMPRODUCT(($BI$61:$BP$61=1)*($AS$61:$AZ$61&lt;&gt;"")*IF(((UPPER($AS$61:$AZ$61)="BLANK")+(UPPER($AS$61:$AZ$61)="(BLANK)")+(UPPER($AS$61:$AZ$61)="EMPTY")+(UPPER($AS$61:$AZ$61)="(EMPTY)"))&gt;0,IFERROR(('Final Calculation Sheet'!$F$10)&amp;"","")="",ISNUMBER(SEARCH($AS$61:$AZ$61,IFERROR(('Final Calculation Sheet'!$F$10)&amp;"","")))))&gt;0),IF(COUNTIF($BI$61:$BP$61,2)=0,TRUE,SUMPRODUCT(($BI$61:$BP$61=2)*($AS$61:$AZ$61&lt;&gt;"")*IF(((UPPER($AS$61:$AZ$61)="BLANK")+(UPPER($AS$61:$AZ$61)="(BLANK)")+(UPPER($AS$61:$AZ$61)="EMPTY")+(UPPER($AS$61:$AZ$61)="(EMPTY)"))&gt;0,IFERROR(('Final Calculation Sheet'!$F$10)&amp;"","")="",ISNUMBER(SEARCH($AS$61:$AZ$61,IFERROR(('Final Calculation Sheet'!$F$10)&amp;"","")))))&gt;0),IF(COUNTIF($BI$61:$BP$61,3)=0,TRUE,SUMPRODUCT(($BI$61:$BP$61=3)*($AS$61:$AZ$61&lt;&gt;"")*IF(((UPPER($AS$61:$AZ$61)="BLANK")+(UPPER($AS$61:$AZ$61)="(BLANK)")+(UPPER($AS$61:$AZ$61)="EMPTY")+(UPPER($AS$61:$AZ$61)="(EMPTY)"))&gt;0,IFERROR(('Final Calculation Sheet'!$F$10)&amp;"","")="",ISNUMBER(SEARCH($AS$61:$AZ$61,IFERROR(('Final Calculation Sheet'!$F$10)&amp;"","")))))&gt;0),IF(COUNTIF($BI$61:$BP$61,4)=0,TRUE,SUMPRODUCT(($BI$61:$BP$61=4)*($AS$61:$AZ$61&lt;&gt;"")*IF(((UPPER($AS$61:$AZ$61)="BLANK")+(UPPER($AS$61:$AZ$61)="(BLANK)")+(UPPER($AS$61:$AZ$61)="EMPTY")+(UPPER($AS$61:$AZ$61)="(EMPTY)"))&gt;0,IFERROR(('Final Calculation Sheet'!$F$10)&amp;"","")="",ISNUMBER(SEARCH($AS$61:$AZ$61,IFERROR(('Final Calculation Sheet'!$F$10)&amp;"","")))))&gt;0),IF(COUNTIF($BI$61:$BP$61,5)=0,TRUE,SUMPRODUCT(($BI$61:$BP$61=5)*($AS$61:$AZ$61&lt;&gt;"")*IF(((UPPER($AS$61:$AZ$61)="BLANK")+(UPPER($AS$61:$AZ$61)="(BLANK)")+(UPPER($AS$61:$AZ$61)="EMPTY")+(UPPER($AS$61:$AZ$61)="(EMPTY)"))&gt;0,IFERROR(('Final Calculation Sheet'!$F$10)&amp;"","")="",ISNUMBER(SEARCH($AS$61:$AZ$61,IFERROR(('Final Calculation Sheet'!$F$10)&amp;"","")))))&gt;0),IF(COUNTIF($BI$61:$BP$61,6)=0,TRUE,SUMPRODUCT(($BI$61:$BP$61=6)*($AS$61:$AZ$61&lt;&gt;"")*IF(((UPPER($AS$61:$AZ$61)="BLANK")+(UPPER($AS$61:$AZ$61)="(BLANK)")+(UPPER($AS$61:$AZ$61)="EMPTY")+(UPPER($AS$61:$AZ$61)="(EMPTY)"))&gt;0,IFERROR(('Final Calculation Sheet'!$F$10)&amp;"","")="",ISNUMBER(SEARCH($AS$61:$AZ$61,IFERROR(('Final Calculation Sheet'!$F$10)&amp;"","")))))&gt;0),IF(COUNTIF($BI$61:$BP$61,7)=0,TRUE,SUMPRODUCT(($BI$61:$BP$61=7)*($AS$61:$AZ$61&lt;&gt;"")*IF(((UPPER($AS$61:$AZ$61)="BLANK")+(UPPER($AS$61:$AZ$61)="(BLANK)")+(UPPER($AS$61:$AZ$61)="EMPTY")+(UPPER($AS$61:$AZ$61)="(EMPTY)"))&gt;0,IFERROR(('Final Calculation Sheet'!$F$10)&amp;"","")="",ISNUMBER(SEARCH($AS$61:$AZ$61,IFERROR(('Final Calculation Sheet'!$F$10)&amp;"","")))))&gt;0),IF(COUNTIF($BI$61:$BP$61,8)=0,TRUE,SUMPRODUCT(($BI$61:$BP$61=8)*($AS$61:$AZ$61&lt;&gt;"")*IF(((UPPER($AS$61:$AZ$61)="BLANK")+(UPPER($AS$61:$AZ$61)="(BLANK)")+(UPPER($AS$61:$AZ$61)="EMPTY")+(UPPER($AS$61:$AZ$61)="(EMPTY)"))&gt;0,IFERROR(('Final Calculation Sheet'!$F$10)&amp;"","")="",ISNUMBER(SEARCH($AS$61:$AZ$61,IFERROR(('Final Calculation Sheet'!$F$10)&amp;"","")))))&gt;0))))</f>
        <v>1</v>
      </c>
      <c r="BO11">
        <f>IF($C$4="",1,--(AND(SUMPRODUCT(--($AS$62:$AZ$62&lt;&gt;""))&gt;0,IF(COUNTIF($BI$62:$BP$62,1)=0,TRUE,SUMPRODUCT(($BI$62:$BP$62=1)*($AS$62:$AZ$62&lt;&gt;"")*IF(((UPPER($AS$62:$AZ$62)="BLANK")+(UPPER($AS$62:$AZ$62)="(BLANK)")+(UPPER($AS$62:$AZ$62)="EMPTY")+(UPPER($AS$62:$AZ$62)="(EMPTY)"))&gt;0,IFERROR(('Final Calculation Sheet'!$G$10)&amp;"","")="",ISNUMBER(SEARCH($AS$62:$AZ$62,IFERROR(('Final Calculation Sheet'!$G$10)&amp;"","")))))&gt;0),IF(COUNTIF($BI$62:$BP$62,2)=0,TRUE,SUMPRODUCT(($BI$62:$BP$62=2)*($AS$62:$AZ$62&lt;&gt;"")*IF(((UPPER($AS$62:$AZ$62)="BLANK")+(UPPER($AS$62:$AZ$62)="(BLANK)")+(UPPER($AS$62:$AZ$62)="EMPTY")+(UPPER($AS$62:$AZ$62)="(EMPTY)"))&gt;0,IFERROR(('Final Calculation Sheet'!$G$10)&amp;"","")="",ISNUMBER(SEARCH($AS$62:$AZ$62,IFERROR(('Final Calculation Sheet'!$G$10)&amp;"","")))))&gt;0),IF(COUNTIF($BI$62:$BP$62,3)=0,TRUE,SUMPRODUCT(($BI$62:$BP$62=3)*($AS$62:$AZ$62&lt;&gt;"")*IF(((UPPER($AS$62:$AZ$62)="BLANK")+(UPPER($AS$62:$AZ$62)="(BLANK)")+(UPPER($AS$62:$AZ$62)="EMPTY")+(UPPER($AS$62:$AZ$62)="(EMPTY)"))&gt;0,IFERROR(('Final Calculation Sheet'!$G$10)&amp;"","")="",ISNUMBER(SEARCH($AS$62:$AZ$62,IFERROR(('Final Calculation Sheet'!$G$10)&amp;"","")))))&gt;0),IF(COUNTIF($BI$62:$BP$62,4)=0,TRUE,SUMPRODUCT(($BI$62:$BP$62=4)*($AS$62:$AZ$62&lt;&gt;"")*IF(((UPPER($AS$62:$AZ$62)="BLANK")+(UPPER($AS$62:$AZ$62)="(BLANK)")+(UPPER($AS$62:$AZ$62)="EMPTY")+(UPPER($AS$62:$AZ$62)="(EMPTY)"))&gt;0,IFERROR(('Final Calculation Sheet'!$G$10)&amp;"","")="",ISNUMBER(SEARCH($AS$62:$AZ$62,IFERROR(('Final Calculation Sheet'!$G$10)&amp;"","")))))&gt;0),IF(COUNTIF($BI$62:$BP$62,5)=0,TRUE,SUMPRODUCT(($BI$62:$BP$62=5)*($AS$62:$AZ$62&lt;&gt;"")*IF(((UPPER($AS$62:$AZ$62)="BLANK")+(UPPER($AS$62:$AZ$62)="(BLANK)")+(UPPER($AS$62:$AZ$62)="EMPTY")+(UPPER($AS$62:$AZ$62)="(EMPTY)"))&gt;0,IFERROR(('Final Calculation Sheet'!$G$10)&amp;"","")="",ISNUMBER(SEARCH($AS$62:$AZ$62,IFERROR(('Final Calculation Sheet'!$G$10)&amp;"","")))))&gt;0),IF(COUNTIF($BI$62:$BP$62,6)=0,TRUE,SUMPRODUCT(($BI$62:$BP$62=6)*($AS$62:$AZ$62&lt;&gt;"")*IF(((UPPER($AS$62:$AZ$62)="BLANK")+(UPPER($AS$62:$AZ$62)="(BLANK)")+(UPPER($AS$62:$AZ$62)="EMPTY")+(UPPER($AS$62:$AZ$62)="(EMPTY)"))&gt;0,IFERROR(('Final Calculation Sheet'!$G$10)&amp;"","")="",ISNUMBER(SEARCH($AS$62:$AZ$62,IFERROR(('Final Calculation Sheet'!$G$10)&amp;"","")))))&gt;0),IF(COUNTIF($BI$62:$BP$62,7)=0,TRUE,SUMPRODUCT(($BI$62:$BP$62=7)*($AS$62:$AZ$62&lt;&gt;"")*IF(((UPPER($AS$62:$AZ$62)="BLANK")+(UPPER($AS$62:$AZ$62)="(BLANK)")+(UPPER($AS$62:$AZ$62)="EMPTY")+(UPPER($AS$62:$AZ$62)="(EMPTY)"))&gt;0,IFERROR(('Final Calculation Sheet'!$G$10)&amp;"","")="",ISNUMBER(SEARCH($AS$62:$AZ$62,IFERROR(('Final Calculation Sheet'!$G$10)&amp;"","")))))&gt;0),IF(COUNTIF($BI$62:$BP$62,8)=0,TRUE,SUMPRODUCT(($BI$62:$BP$62=8)*($AS$62:$AZ$62&lt;&gt;"")*IF(((UPPER($AS$62:$AZ$62)="BLANK")+(UPPER($AS$62:$AZ$62)="(BLANK)")+(UPPER($AS$62:$AZ$62)="EMPTY")+(UPPER($AS$62:$AZ$62)="(EMPTY)"))&gt;0,IFERROR(('Final Calculation Sheet'!$G$10)&amp;"","")="",ISNUMBER(SEARCH($AS$62:$AZ$62,IFERROR(('Final Calculation Sheet'!$G$10)&amp;"","")))))&gt;0))))</f>
        <v>1</v>
      </c>
      <c r="BP11">
        <f>IF($D$4="",1,--(AND(SUMPRODUCT(--($AS$63:$AZ$63&lt;&gt;""))&gt;0,IF(COUNTIF($BI$63:$BP$63,1)=0,TRUE,SUMPRODUCT(($BI$63:$BP$63=1)*($AS$63:$AZ$63&lt;&gt;"")*IF(((UPPER($AS$63:$AZ$63)="BLANK")+(UPPER($AS$63:$AZ$63)="(BLANK)")+(UPPER($AS$63:$AZ$63)="EMPTY")+(UPPER($AS$63:$AZ$63)="(EMPTY)"))&gt;0,IFERROR(('Final Calculation Sheet'!$B$10)&amp;"","")="",ISNUMBER(SEARCH($AS$63:$AZ$63,IFERROR(('Final Calculation Sheet'!$B$10)&amp;"","")))))&gt;0),IF(COUNTIF($BI$63:$BP$63,2)=0,TRUE,SUMPRODUCT(($BI$63:$BP$63=2)*($AS$63:$AZ$63&lt;&gt;"")*IF(((UPPER($AS$63:$AZ$63)="BLANK")+(UPPER($AS$63:$AZ$63)="(BLANK)")+(UPPER($AS$63:$AZ$63)="EMPTY")+(UPPER($AS$63:$AZ$63)="(EMPTY)"))&gt;0,IFERROR(('Final Calculation Sheet'!$B$10)&amp;"","")="",ISNUMBER(SEARCH($AS$63:$AZ$63,IFERROR(('Final Calculation Sheet'!$B$10)&amp;"","")))))&gt;0),IF(COUNTIF($BI$63:$BP$63,3)=0,TRUE,SUMPRODUCT(($BI$63:$BP$63=3)*($AS$63:$AZ$63&lt;&gt;"")*IF(((UPPER($AS$63:$AZ$63)="BLANK")+(UPPER($AS$63:$AZ$63)="(BLANK)")+(UPPER($AS$63:$AZ$63)="EMPTY")+(UPPER($AS$63:$AZ$63)="(EMPTY)"))&gt;0,IFERROR(('Final Calculation Sheet'!$B$10)&amp;"","")="",ISNUMBER(SEARCH($AS$63:$AZ$63,IFERROR(('Final Calculation Sheet'!$B$10)&amp;"","")))))&gt;0),IF(COUNTIF($BI$63:$BP$63,4)=0,TRUE,SUMPRODUCT(($BI$63:$BP$63=4)*($AS$63:$AZ$63&lt;&gt;"")*IF(((UPPER($AS$63:$AZ$63)="BLANK")+(UPPER($AS$63:$AZ$63)="(BLANK)")+(UPPER($AS$63:$AZ$63)="EMPTY")+(UPPER($AS$63:$AZ$63)="(EMPTY)"))&gt;0,IFERROR(('Final Calculation Sheet'!$B$10)&amp;"","")="",ISNUMBER(SEARCH($AS$63:$AZ$63,IFERROR(('Final Calculation Sheet'!$B$10)&amp;"","")))))&gt;0),IF(COUNTIF($BI$63:$BP$63,5)=0,TRUE,SUMPRODUCT(($BI$63:$BP$63=5)*($AS$63:$AZ$63&lt;&gt;"")*IF(((UPPER($AS$63:$AZ$63)="BLANK")+(UPPER($AS$63:$AZ$63)="(BLANK)")+(UPPER($AS$63:$AZ$63)="EMPTY")+(UPPER($AS$63:$AZ$63)="(EMPTY)"))&gt;0,IFERROR(('Final Calculation Sheet'!$B$10)&amp;"","")="",ISNUMBER(SEARCH($AS$63:$AZ$63,IFERROR(('Final Calculation Sheet'!$B$10)&amp;"","")))))&gt;0),IF(COUNTIF($BI$63:$BP$63,6)=0,TRUE,SUMPRODUCT(($BI$63:$BP$63=6)*($AS$63:$AZ$63&lt;&gt;"")*IF(((UPPER($AS$63:$AZ$63)="BLANK")+(UPPER($AS$63:$AZ$63)="(BLANK)")+(UPPER($AS$63:$AZ$63)="EMPTY")+(UPPER($AS$63:$AZ$63)="(EMPTY)"))&gt;0,IFERROR(('Final Calculation Sheet'!$B$10)&amp;"","")="",ISNUMBER(SEARCH($AS$63:$AZ$63,IFERROR(('Final Calculation Sheet'!$B$10)&amp;"","")))))&gt;0),IF(COUNTIF($BI$63:$BP$63,7)=0,TRUE,SUMPRODUCT(($BI$63:$BP$63=7)*($AS$63:$AZ$63&lt;&gt;"")*IF(((UPPER($AS$63:$AZ$63)="BLANK")+(UPPER($AS$63:$AZ$63)="(BLANK)")+(UPPER($AS$63:$AZ$63)="EMPTY")+(UPPER($AS$63:$AZ$63)="(EMPTY)"))&gt;0,IFERROR(('Final Calculation Sheet'!$B$10)&amp;"","")="",ISNUMBER(SEARCH($AS$63:$AZ$63,IFERROR(('Final Calculation Sheet'!$B$10)&amp;"","")))))&gt;0),IF(COUNTIF($BI$63:$BP$63,8)=0,TRUE,SUMPRODUCT(($BI$63:$BP$63=8)*($AS$63:$AZ$63&lt;&gt;"")*IF(((UPPER($AS$63:$AZ$63)="BLANK")+(UPPER($AS$63:$AZ$63)="(BLANK)")+(UPPER($AS$63:$AZ$63)="EMPTY")+(UPPER($AS$63:$AZ$63)="(EMPTY)"))&gt;0,IFERROR(('Final Calculation Sheet'!$B$10)&amp;"","")="",ISNUMBER(SEARCH($AS$63:$AZ$63,IFERROR(('Final Calculation Sheet'!$B$10)&amp;"","")))))&gt;0))))</f>
        <v>1</v>
      </c>
      <c r="BQ11">
        <f>IF($E$4="",1,--(AND(SUMPRODUCT(--($AS$64:$AZ$64&lt;&gt;""))&gt;0,IF(COUNTIF($BI$64:$BP$64,1)=0,TRUE,SUMPRODUCT(($BI$64:$BP$64=1)*($AS$64:$AZ$64&lt;&gt;"")*IF(((UPPER($AS$64:$AZ$64)="BLANK")+(UPPER($AS$64:$AZ$64)="(BLANK)")+(UPPER($AS$64:$AZ$64)="EMPTY")+(UPPER($AS$64:$AZ$64)="(EMPTY)"))&gt;0,IFERROR(('Final Calculation Sheet'!$D$10)&amp;"","")="",ISNUMBER(SEARCH($AS$64:$AZ$64,IFERROR(('Final Calculation Sheet'!$D$10)&amp;"","")))))&gt;0),IF(COUNTIF($BI$64:$BP$64,2)=0,TRUE,SUMPRODUCT(($BI$64:$BP$64=2)*($AS$64:$AZ$64&lt;&gt;"")*IF(((UPPER($AS$64:$AZ$64)="BLANK")+(UPPER($AS$64:$AZ$64)="(BLANK)")+(UPPER($AS$64:$AZ$64)="EMPTY")+(UPPER($AS$64:$AZ$64)="(EMPTY)"))&gt;0,IFERROR(('Final Calculation Sheet'!$D$10)&amp;"","")="",ISNUMBER(SEARCH($AS$64:$AZ$64,IFERROR(('Final Calculation Sheet'!$D$10)&amp;"","")))))&gt;0),IF(COUNTIF($BI$64:$BP$64,3)=0,TRUE,SUMPRODUCT(($BI$64:$BP$64=3)*($AS$64:$AZ$64&lt;&gt;"")*IF(((UPPER($AS$64:$AZ$64)="BLANK")+(UPPER($AS$64:$AZ$64)="(BLANK)")+(UPPER($AS$64:$AZ$64)="EMPTY")+(UPPER($AS$64:$AZ$64)="(EMPTY)"))&gt;0,IFERROR(('Final Calculation Sheet'!$D$10)&amp;"","")="",ISNUMBER(SEARCH($AS$64:$AZ$64,IFERROR(('Final Calculation Sheet'!$D$10)&amp;"","")))))&gt;0),IF(COUNTIF($BI$64:$BP$64,4)=0,TRUE,SUMPRODUCT(($BI$64:$BP$64=4)*($AS$64:$AZ$64&lt;&gt;"")*IF(((UPPER($AS$64:$AZ$64)="BLANK")+(UPPER($AS$64:$AZ$64)="(BLANK)")+(UPPER($AS$64:$AZ$64)="EMPTY")+(UPPER($AS$64:$AZ$64)="(EMPTY)"))&gt;0,IFERROR(('Final Calculation Sheet'!$D$10)&amp;"","")="",ISNUMBER(SEARCH($AS$64:$AZ$64,IFERROR(('Final Calculation Sheet'!$D$10)&amp;"","")))))&gt;0),IF(COUNTIF($BI$64:$BP$64,5)=0,TRUE,SUMPRODUCT(($BI$64:$BP$64=5)*($AS$64:$AZ$64&lt;&gt;"")*IF(((UPPER($AS$64:$AZ$64)="BLANK")+(UPPER($AS$64:$AZ$64)="(BLANK)")+(UPPER($AS$64:$AZ$64)="EMPTY")+(UPPER($AS$64:$AZ$64)="(EMPTY)"))&gt;0,IFERROR(('Final Calculation Sheet'!$D$10)&amp;"","")="",ISNUMBER(SEARCH($AS$64:$AZ$64,IFERROR(('Final Calculation Sheet'!$D$10)&amp;"","")))))&gt;0),IF(COUNTIF($BI$64:$BP$64,6)=0,TRUE,SUMPRODUCT(($BI$64:$BP$64=6)*($AS$64:$AZ$64&lt;&gt;"")*IF(((UPPER($AS$64:$AZ$64)="BLANK")+(UPPER($AS$64:$AZ$64)="(BLANK)")+(UPPER($AS$64:$AZ$64)="EMPTY")+(UPPER($AS$64:$AZ$64)="(EMPTY)"))&gt;0,IFERROR(('Final Calculation Sheet'!$D$10)&amp;"","")="",ISNUMBER(SEARCH($AS$64:$AZ$64,IFERROR(('Final Calculation Sheet'!$D$10)&amp;"","")))))&gt;0),IF(COUNTIF($BI$64:$BP$64,7)=0,TRUE,SUMPRODUCT(($BI$64:$BP$64=7)*($AS$64:$AZ$64&lt;&gt;"")*IF(((UPPER($AS$64:$AZ$64)="BLANK")+(UPPER($AS$64:$AZ$64)="(BLANK)")+(UPPER($AS$64:$AZ$64)="EMPTY")+(UPPER($AS$64:$AZ$64)="(EMPTY)"))&gt;0,IFERROR(('Final Calculation Sheet'!$D$10)&amp;"","")="",ISNUMBER(SEARCH($AS$64:$AZ$64,IFERROR(('Final Calculation Sheet'!$D$10)&amp;"","")))))&gt;0),IF(COUNTIF($BI$64:$BP$64,8)=0,TRUE,SUMPRODUCT(($BI$64:$BP$64=8)*($AS$64:$AZ$64&lt;&gt;"")*IF(((UPPER($AS$64:$AZ$64)="BLANK")+(UPPER($AS$64:$AZ$64)="(BLANK)")+(UPPER($AS$64:$AZ$64)="EMPTY")+(UPPER($AS$64:$AZ$64)="(EMPTY)"))&gt;0,IFERROR(('Final Calculation Sheet'!$D$10)&amp;"","")="",ISNUMBER(SEARCH($AS$64:$AZ$64,IFERROR(('Final Calculation Sheet'!$D$10)&amp;"","")))))&gt;0))))</f>
        <v>1</v>
      </c>
      <c r="BR11">
        <f>IF($F$4="",1,--(AND(SUMPRODUCT(--($AS$65:$AZ$65&lt;&gt;""))&gt;0,IF(COUNTIF($BI$65:$BP$65,1)=0,TRUE,SUMPRODUCT(($BI$65:$BP$65=1)*($AS$65:$AZ$65&lt;&gt;"")*IF(((UPPER($AS$65:$AZ$65)="BLANK")+(UPPER($AS$65:$AZ$65)="(BLANK)")+(UPPER($AS$65:$AZ$65)="EMPTY")+(UPPER($AS$65:$AZ$65)="(EMPTY)"))&gt;0,IFERROR(('Final Calculation Sheet'!$A$10)&amp;"","")="",ISNUMBER(SEARCH($AS$65:$AZ$65,IFERROR(('Final Calculation Sheet'!$A$10)&amp;"","")))))&gt;0),IF(COUNTIF($BI$65:$BP$65,2)=0,TRUE,SUMPRODUCT(($BI$65:$BP$65=2)*($AS$65:$AZ$65&lt;&gt;"")*IF(((UPPER($AS$65:$AZ$65)="BLANK")+(UPPER($AS$65:$AZ$65)="(BLANK)")+(UPPER($AS$65:$AZ$65)="EMPTY")+(UPPER($AS$65:$AZ$65)="(EMPTY)"))&gt;0,IFERROR(('Final Calculation Sheet'!$A$10)&amp;"","")="",ISNUMBER(SEARCH($AS$65:$AZ$65,IFERROR(('Final Calculation Sheet'!$A$10)&amp;"","")))))&gt;0),IF(COUNTIF($BI$65:$BP$65,3)=0,TRUE,SUMPRODUCT(($BI$65:$BP$65=3)*($AS$65:$AZ$65&lt;&gt;"")*IF(((UPPER($AS$65:$AZ$65)="BLANK")+(UPPER($AS$65:$AZ$65)="(BLANK)")+(UPPER($AS$65:$AZ$65)="EMPTY")+(UPPER($AS$65:$AZ$65)="(EMPTY)"))&gt;0,IFERROR(('Final Calculation Sheet'!$A$10)&amp;"","")="",ISNUMBER(SEARCH($AS$65:$AZ$65,IFERROR(('Final Calculation Sheet'!$A$10)&amp;"","")))))&gt;0),IF(COUNTIF($BI$65:$BP$65,4)=0,TRUE,SUMPRODUCT(($BI$65:$BP$65=4)*($AS$65:$AZ$65&lt;&gt;"")*IF(((UPPER($AS$65:$AZ$65)="BLANK")+(UPPER($AS$65:$AZ$65)="(BLANK)")+(UPPER($AS$65:$AZ$65)="EMPTY")+(UPPER($AS$65:$AZ$65)="(EMPTY)"))&gt;0,IFERROR(('Final Calculation Sheet'!$A$10)&amp;"","")="",ISNUMBER(SEARCH($AS$65:$AZ$65,IFERROR(('Final Calculation Sheet'!$A$10)&amp;"","")))))&gt;0),IF(COUNTIF($BI$65:$BP$65,5)=0,TRUE,SUMPRODUCT(($BI$65:$BP$65=5)*($AS$65:$AZ$65&lt;&gt;"")*IF(((UPPER($AS$65:$AZ$65)="BLANK")+(UPPER($AS$65:$AZ$65)="(BLANK)")+(UPPER($AS$65:$AZ$65)="EMPTY")+(UPPER($AS$65:$AZ$65)="(EMPTY)"))&gt;0,IFERROR(('Final Calculation Sheet'!$A$10)&amp;"","")="",ISNUMBER(SEARCH($AS$65:$AZ$65,IFERROR(('Final Calculation Sheet'!$A$10)&amp;"","")))))&gt;0),IF(COUNTIF($BI$65:$BP$65,6)=0,TRUE,SUMPRODUCT(($BI$65:$BP$65=6)*($AS$65:$AZ$65&lt;&gt;"")*IF(((UPPER($AS$65:$AZ$65)="BLANK")+(UPPER($AS$65:$AZ$65)="(BLANK)")+(UPPER($AS$65:$AZ$65)="EMPTY")+(UPPER($AS$65:$AZ$65)="(EMPTY)"))&gt;0,IFERROR(('Final Calculation Sheet'!$A$10)&amp;"","")="",ISNUMBER(SEARCH($AS$65:$AZ$65,IFERROR(('Final Calculation Sheet'!$A$10)&amp;"","")))))&gt;0),IF(COUNTIF($BI$65:$BP$65,7)=0,TRUE,SUMPRODUCT(($BI$65:$BP$65=7)*($AS$65:$AZ$65&lt;&gt;"")*IF(((UPPER($AS$65:$AZ$65)="BLANK")+(UPPER($AS$65:$AZ$65)="(BLANK)")+(UPPER($AS$65:$AZ$65)="EMPTY")+(UPPER($AS$65:$AZ$65)="(EMPTY)"))&gt;0,IFERROR(('Final Calculation Sheet'!$A$10)&amp;"","")="",ISNUMBER(SEARCH($AS$65:$AZ$65,IFERROR(('Final Calculation Sheet'!$A$10)&amp;"","")))))&gt;0),IF(COUNTIF($BI$65:$BP$65,8)=0,TRUE,SUMPRODUCT(($BI$65:$BP$65=8)*($AS$65:$AZ$65&lt;&gt;"")*IF(((UPPER($AS$65:$AZ$65)="BLANK")+(UPPER($AS$65:$AZ$65)="(BLANK)")+(UPPER($AS$65:$AZ$65)="EMPTY")+(UPPER($AS$65:$AZ$65)="(EMPTY)"))&gt;0,IFERROR(('Final Calculation Sheet'!$A$10)&amp;"","")="",ISNUMBER(SEARCH($AS$65:$AZ$65,IFERROR(('Final Calculation Sheet'!$A$10)&amp;"","")))))&gt;0))))</f>
        <v>1</v>
      </c>
      <c r="BS11">
        <f>IF($G$4="",1,--(AND(SUMPRODUCT(--($AS$66:$AZ$66&lt;&gt;""))&gt;0,IF(COUNTIF($BI$66:$BP$66,1)=0,TRUE,SUMPRODUCT(($BI$66:$BP$66=1)*($AS$66:$AZ$66&lt;&gt;"")*IF(((UPPER($AS$66:$AZ$66)="BLANK")+(UPPER($AS$66:$AZ$66)="(BLANK)")+(UPPER($AS$66:$AZ$66)="EMPTY")+(UPPER($AS$66:$AZ$66)="(EMPTY)"))&gt;0,IFERROR(('Final Calculation Sheet'!$E$10)&amp;"","")="",ISNUMBER(SEARCH($AS$66:$AZ$66,IFERROR(('Final Calculation Sheet'!$E$10)&amp;"","")))))&gt;0),IF(COUNTIF($BI$66:$BP$66,2)=0,TRUE,SUMPRODUCT(($BI$66:$BP$66=2)*($AS$66:$AZ$66&lt;&gt;"")*IF(((UPPER($AS$66:$AZ$66)="BLANK")+(UPPER($AS$66:$AZ$66)="(BLANK)")+(UPPER($AS$66:$AZ$66)="EMPTY")+(UPPER($AS$66:$AZ$66)="(EMPTY)"))&gt;0,IFERROR(('Final Calculation Sheet'!$E$10)&amp;"","")="",ISNUMBER(SEARCH($AS$66:$AZ$66,IFERROR(('Final Calculation Sheet'!$E$10)&amp;"","")))))&gt;0),IF(COUNTIF($BI$66:$BP$66,3)=0,TRUE,SUMPRODUCT(($BI$66:$BP$66=3)*($AS$66:$AZ$66&lt;&gt;"")*IF(((UPPER($AS$66:$AZ$66)="BLANK")+(UPPER($AS$66:$AZ$66)="(BLANK)")+(UPPER($AS$66:$AZ$66)="EMPTY")+(UPPER($AS$66:$AZ$66)="(EMPTY)"))&gt;0,IFERROR(('Final Calculation Sheet'!$E$10)&amp;"","")="",ISNUMBER(SEARCH($AS$66:$AZ$66,IFERROR(('Final Calculation Sheet'!$E$10)&amp;"","")))))&gt;0),IF(COUNTIF($BI$66:$BP$66,4)=0,TRUE,SUMPRODUCT(($BI$66:$BP$66=4)*($AS$66:$AZ$66&lt;&gt;"")*IF(((UPPER($AS$66:$AZ$66)="BLANK")+(UPPER($AS$66:$AZ$66)="(BLANK)")+(UPPER($AS$66:$AZ$66)="EMPTY")+(UPPER($AS$66:$AZ$66)="(EMPTY)"))&gt;0,IFERROR(('Final Calculation Sheet'!$E$10)&amp;"","")="",ISNUMBER(SEARCH($AS$66:$AZ$66,IFERROR(('Final Calculation Sheet'!$E$10)&amp;"","")))))&gt;0),IF(COUNTIF($BI$66:$BP$66,5)=0,TRUE,SUMPRODUCT(($BI$66:$BP$66=5)*($AS$66:$AZ$66&lt;&gt;"")*IF(((UPPER($AS$66:$AZ$66)="BLANK")+(UPPER($AS$66:$AZ$66)="(BLANK)")+(UPPER($AS$66:$AZ$66)="EMPTY")+(UPPER($AS$66:$AZ$66)="(EMPTY)"))&gt;0,IFERROR(('Final Calculation Sheet'!$E$10)&amp;"","")="",ISNUMBER(SEARCH($AS$66:$AZ$66,IFERROR(('Final Calculation Sheet'!$E$10)&amp;"","")))))&gt;0),IF(COUNTIF($BI$66:$BP$66,6)=0,TRUE,SUMPRODUCT(($BI$66:$BP$66=6)*($AS$66:$AZ$66&lt;&gt;"")*IF(((UPPER($AS$66:$AZ$66)="BLANK")+(UPPER($AS$66:$AZ$66)="(BLANK)")+(UPPER($AS$66:$AZ$66)="EMPTY")+(UPPER($AS$66:$AZ$66)="(EMPTY)"))&gt;0,IFERROR(('Final Calculation Sheet'!$E$10)&amp;"","")="",ISNUMBER(SEARCH($AS$66:$AZ$66,IFERROR(('Final Calculation Sheet'!$E$10)&amp;"","")))))&gt;0),IF(COUNTIF($BI$66:$BP$66,7)=0,TRUE,SUMPRODUCT(($BI$66:$BP$66=7)*($AS$66:$AZ$66&lt;&gt;"")*IF(((UPPER($AS$66:$AZ$66)="BLANK")+(UPPER($AS$66:$AZ$66)="(BLANK)")+(UPPER($AS$66:$AZ$66)="EMPTY")+(UPPER($AS$66:$AZ$66)="(EMPTY)"))&gt;0,IFERROR(('Final Calculation Sheet'!$E$10)&amp;"","")="",ISNUMBER(SEARCH($AS$66:$AZ$66,IFERROR(('Final Calculation Sheet'!$E$10)&amp;"","")))))&gt;0),IF(COUNTIF($BI$66:$BP$66,8)=0,TRUE,SUMPRODUCT(($BI$66:$BP$66=8)*($AS$66:$AZ$66&lt;&gt;"")*IF(((UPPER($AS$66:$AZ$66)="BLANK")+(UPPER($AS$66:$AZ$66)="(BLANK)")+(UPPER($AS$66:$AZ$66)="EMPTY")+(UPPER($AS$66:$AZ$66)="(EMPTY)"))&gt;0,IFERROR(('Final Calculation Sheet'!$E$10)&amp;"","")="",ISNUMBER(SEARCH($AS$66:$AZ$66,IFERROR(('Final Calculation Sheet'!$E$10)&amp;"","")))))&gt;0))))</f>
        <v>1</v>
      </c>
      <c r="BT11">
        <f>IF($H$4="",1,--(AND(SUMPRODUCT(--($AS$67:$AZ$67&lt;&gt;""))&gt;0,IF(COUNTIF($BI$67:$BP$67,1)=0,TRUE,SUMPRODUCT(($BI$67:$BP$67=1)*($AS$67:$AZ$67&lt;&gt;"")*IF(((UPPER($AS$67:$AZ$67)="BLANK")+(UPPER($AS$67:$AZ$67)="(BLANK)")+(UPPER($AS$67:$AZ$67)="EMPTY")+(UPPER($AS$67:$AZ$67)="(EMPTY)"))&gt;0,IFERROR(('Final Calculation Sheet'!$C$10)&amp;"","")="",ISNUMBER(SEARCH($AS$67:$AZ$67,IFERROR(('Final Calculation Sheet'!$C$10)&amp;"","")))))&gt;0),IF(COUNTIF($BI$67:$BP$67,2)=0,TRUE,SUMPRODUCT(($BI$67:$BP$67=2)*($AS$67:$AZ$67&lt;&gt;"")*IF(((UPPER($AS$67:$AZ$67)="BLANK")+(UPPER($AS$67:$AZ$67)="(BLANK)")+(UPPER($AS$67:$AZ$67)="EMPTY")+(UPPER($AS$67:$AZ$67)="(EMPTY)"))&gt;0,IFERROR(('Final Calculation Sheet'!$C$10)&amp;"","")="",ISNUMBER(SEARCH($AS$67:$AZ$67,IFERROR(('Final Calculation Sheet'!$C$10)&amp;"","")))))&gt;0),IF(COUNTIF($BI$67:$BP$67,3)=0,TRUE,SUMPRODUCT(($BI$67:$BP$67=3)*($AS$67:$AZ$67&lt;&gt;"")*IF(((UPPER($AS$67:$AZ$67)="BLANK")+(UPPER($AS$67:$AZ$67)="(BLANK)")+(UPPER($AS$67:$AZ$67)="EMPTY")+(UPPER($AS$67:$AZ$67)="(EMPTY)"))&gt;0,IFERROR(('Final Calculation Sheet'!$C$10)&amp;"","")="",ISNUMBER(SEARCH($AS$67:$AZ$67,IFERROR(('Final Calculation Sheet'!$C$10)&amp;"","")))))&gt;0),IF(COUNTIF($BI$67:$BP$67,4)=0,TRUE,SUMPRODUCT(($BI$67:$BP$67=4)*($AS$67:$AZ$67&lt;&gt;"")*IF(((UPPER($AS$67:$AZ$67)="BLANK")+(UPPER($AS$67:$AZ$67)="(BLANK)")+(UPPER($AS$67:$AZ$67)="EMPTY")+(UPPER($AS$67:$AZ$67)="(EMPTY)"))&gt;0,IFERROR(('Final Calculation Sheet'!$C$10)&amp;"","")="",ISNUMBER(SEARCH($AS$67:$AZ$67,IFERROR(('Final Calculation Sheet'!$C$10)&amp;"","")))))&gt;0),IF(COUNTIF($BI$67:$BP$67,5)=0,TRUE,SUMPRODUCT(($BI$67:$BP$67=5)*($AS$67:$AZ$67&lt;&gt;"")*IF(((UPPER($AS$67:$AZ$67)="BLANK")+(UPPER($AS$67:$AZ$67)="(BLANK)")+(UPPER($AS$67:$AZ$67)="EMPTY")+(UPPER($AS$67:$AZ$67)="(EMPTY)"))&gt;0,IFERROR(('Final Calculation Sheet'!$C$10)&amp;"","")="",ISNUMBER(SEARCH($AS$67:$AZ$67,IFERROR(('Final Calculation Sheet'!$C$10)&amp;"","")))))&gt;0),IF(COUNTIF($BI$67:$BP$67,6)=0,TRUE,SUMPRODUCT(($BI$67:$BP$67=6)*($AS$67:$AZ$67&lt;&gt;"")*IF(((UPPER($AS$67:$AZ$67)="BLANK")+(UPPER($AS$67:$AZ$67)="(BLANK)")+(UPPER($AS$67:$AZ$67)="EMPTY")+(UPPER($AS$67:$AZ$67)="(EMPTY)"))&gt;0,IFERROR(('Final Calculation Sheet'!$C$10)&amp;"","")="",ISNUMBER(SEARCH($AS$67:$AZ$67,IFERROR(('Final Calculation Sheet'!$C$10)&amp;"","")))))&gt;0),IF(COUNTIF($BI$67:$BP$67,7)=0,TRUE,SUMPRODUCT(($BI$67:$BP$67=7)*($AS$67:$AZ$67&lt;&gt;"")*IF(((UPPER($AS$67:$AZ$67)="BLANK")+(UPPER($AS$67:$AZ$67)="(BLANK)")+(UPPER($AS$67:$AZ$67)="EMPTY")+(UPPER($AS$67:$AZ$67)="(EMPTY)"))&gt;0,IFERROR(('Final Calculation Sheet'!$C$10)&amp;"","")="",ISNUMBER(SEARCH($AS$67:$AZ$67,IFERROR(('Final Calculation Sheet'!$C$10)&amp;"","")))))&gt;0),IF(COUNTIF($BI$67:$BP$67,8)=0,TRUE,SUMPRODUCT(($BI$67:$BP$67=8)*($AS$67:$AZ$67&lt;&gt;"")*IF(((UPPER($AS$67:$AZ$67)="BLANK")+(UPPER($AS$67:$AZ$67)="(BLANK)")+(UPPER($AS$67:$AZ$67)="EMPTY")+(UPPER($AS$67:$AZ$67)="(EMPTY)"))&gt;0,IFERROR(('Final Calculation Sheet'!$C$10)&amp;"","")="",ISNUMBER(SEARCH($AS$67:$AZ$67,IFERROR(('Final Calculation Sheet'!$C$10)&amp;"","")))))&gt;0))))</f>
        <v>1</v>
      </c>
      <c r="BU11">
        <f>IF($I$4="",1,--(AND(SUMPRODUCT(--($AS$68:$AZ$68&lt;&gt;""))&gt;0,IF(COUNTIF($BI$68:$BP$68,1)=0,TRUE,SUMPRODUCT(($BI$68:$BP$68=1)*($AS$68:$AZ$68&lt;&gt;"")*IF(((UPPER($AS$68:$AZ$68)="BLANK")+(UPPER($AS$68:$AZ$68)="(BLANK)")+(UPPER($AS$68:$AZ$68)="EMPTY")+(UPPER($AS$68:$AZ$68)="(EMPTY)"))&gt;0,IFERROR(('Final Calculation Sheet'!$H$10)&amp;"","")="",ISNUMBER(SEARCH($AS$68:$AZ$68,IFERROR(('Final Calculation Sheet'!$H$10)&amp;"","")))))&gt;0),IF(COUNTIF($BI$68:$BP$68,2)=0,TRUE,SUMPRODUCT(($BI$68:$BP$68=2)*($AS$68:$AZ$68&lt;&gt;"")*IF(((UPPER($AS$68:$AZ$68)="BLANK")+(UPPER($AS$68:$AZ$68)="(BLANK)")+(UPPER($AS$68:$AZ$68)="EMPTY")+(UPPER($AS$68:$AZ$68)="(EMPTY)"))&gt;0,IFERROR(('Final Calculation Sheet'!$H$10)&amp;"","")="",ISNUMBER(SEARCH($AS$68:$AZ$68,IFERROR(('Final Calculation Sheet'!$H$10)&amp;"","")))))&gt;0),IF(COUNTIF($BI$68:$BP$68,3)=0,TRUE,SUMPRODUCT(($BI$68:$BP$68=3)*($AS$68:$AZ$68&lt;&gt;"")*IF(((UPPER($AS$68:$AZ$68)="BLANK")+(UPPER($AS$68:$AZ$68)="(BLANK)")+(UPPER($AS$68:$AZ$68)="EMPTY")+(UPPER($AS$68:$AZ$68)="(EMPTY)"))&gt;0,IFERROR(('Final Calculation Sheet'!$H$10)&amp;"","")="",ISNUMBER(SEARCH($AS$68:$AZ$68,IFERROR(('Final Calculation Sheet'!$H$10)&amp;"","")))))&gt;0),IF(COUNTIF($BI$68:$BP$68,4)=0,TRUE,SUMPRODUCT(($BI$68:$BP$68=4)*($AS$68:$AZ$68&lt;&gt;"")*IF(((UPPER($AS$68:$AZ$68)="BLANK")+(UPPER($AS$68:$AZ$68)="(BLANK)")+(UPPER($AS$68:$AZ$68)="EMPTY")+(UPPER($AS$68:$AZ$68)="(EMPTY)"))&gt;0,IFERROR(('Final Calculation Sheet'!$H$10)&amp;"","")="",ISNUMBER(SEARCH($AS$68:$AZ$68,IFERROR(('Final Calculation Sheet'!$H$10)&amp;"","")))))&gt;0),IF(COUNTIF($BI$68:$BP$68,5)=0,TRUE,SUMPRODUCT(($BI$68:$BP$68=5)*($AS$68:$AZ$68&lt;&gt;"")*IF(((UPPER($AS$68:$AZ$68)="BLANK")+(UPPER($AS$68:$AZ$68)="(BLANK)")+(UPPER($AS$68:$AZ$68)="EMPTY")+(UPPER($AS$68:$AZ$68)="(EMPTY)"))&gt;0,IFERROR(('Final Calculation Sheet'!$H$10)&amp;"","")="",ISNUMBER(SEARCH($AS$68:$AZ$68,IFERROR(('Final Calculation Sheet'!$H$10)&amp;"","")))))&gt;0),IF(COUNTIF($BI$68:$BP$68,6)=0,TRUE,SUMPRODUCT(($BI$68:$BP$68=6)*($AS$68:$AZ$68&lt;&gt;"")*IF(((UPPER($AS$68:$AZ$68)="BLANK")+(UPPER($AS$68:$AZ$68)="(BLANK)")+(UPPER($AS$68:$AZ$68)="EMPTY")+(UPPER($AS$68:$AZ$68)="(EMPTY)"))&gt;0,IFERROR(('Final Calculation Sheet'!$H$10)&amp;"","")="",ISNUMBER(SEARCH($AS$68:$AZ$68,IFERROR(('Final Calculation Sheet'!$H$10)&amp;"","")))))&gt;0),IF(COUNTIF($BI$68:$BP$68,7)=0,TRUE,SUMPRODUCT(($BI$68:$BP$68=7)*($AS$68:$AZ$68&lt;&gt;"")*IF(((UPPER($AS$68:$AZ$68)="BLANK")+(UPPER($AS$68:$AZ$68)="(BLANK)")+(UPPER($AS$68:$AZ$68)="EMPTY")+(UPPER($AS$68:$AZ$68)="(EMPTY)"))&gt;0,IFERROR(('Final Calculation Sheet'!$H$10)&amp;"","")="",ISNUMBER(SEARCH($AS$68:$AZ$68,IFERROR(('Final Calculation Sheet'!$H$10)&amp;"","")))))&gt;0),IF(COUNTIF($BI$68:$BP$68,8)=0,TRUE,SUMPRODUCT(($BI$68:$BP$68=8)*($AS$68:$AZ$68&lt;&gt;"")*IF(((UPPER($AS$68:$AZ$68)="BLANK")+(UPPER($AS$68:$AZ$68)="(BLANK)")+(UPPER($AS$68:$AZ$68)="EMPTY")+(UPPER($AS$68:$AZ$68)="(EMPTY)"))&gt;0,IFERROR(('Final Calculation Sheet'!$H$10)&amp;"","")="",ISNUMBER(SEARCH($AS$68:$AZ$68,IFERROR(('Final Calculation Sheet'!$H$10)&amp;"","")))))&gt;0))))</f>
        <v>1</v>
      </c>
      <c r="BV11">
        <f>IF($J$4="",1,--(AND(SUMPRODUCT(--($AS$69:$AZ$69&lt;&gt;""))&gt;0,IF(COUNTIF($BI$69:$BP$69,1)=0,TRUE,SUMPRODUCT(($BI$69:$BP$69=1)*($AS$69:$AZ$69&lt;&gt;"")*IF(((UPPER($AS$69:$AZ$69)="BLANK")+(UPPER($AS$69:$AZ$69)="(BLANK)")+(UPPER($AS$69:$AZ$69)="EMPTY")+(UPPER($AS$69:$AZ$69)="(EMPTY)"))&gt;0,IFERROR(('Final Calculation Sheet'!$I$10)&amp;"","")="",ISNUMBER(SEARCH($AS$69:$AZ$69,IFERROR(('Final Calculation Sheet'!$I$10)&amp;"","")))))&gt;0),IF(COUNTIF($BI$69:$BP$69,2)=0,TRUE,SUMPRODUCT(($BI$69:$BP$69=2)*($AS$69:$AZ$69&lt;&gt;"")*IF(((UPPER($AS$69:$AZ$69)="BLANK")+(UPPER($AS$69:$AZ$69)="(BLANK)")+(UPPER($AS$69:$AZ$69)="EMPTY")+(UPPER($AS$69:$AZ$69)="(EMPTY)"))&gt;0,IFERROR(('Final Calculation Sheet'!$I$10)&amp;"","")="",ISNUMBER(SEARCH($AS$69:$AZ$69,IFERROR(('Final Calculation Sheet'!$I$10)&amp;"","")))))&gt;0),IF(COUNTIF($BI$69:$BP$69,3)=0,TRUE,SUMPRODUCT(($BI$69:$BP$69=3)*($AS$69:$AZ$69&lt;&gt;"")*IF(((UPPER($AS$69:$AZ$69)="BLANK")+(UPPER($AS$69:$AZ$69)="(BLANK)")+(UPPER($AS$69:$AZ$69)="EMPTY")+(UPPER($AS$69:$AZ$69)="(EMPTY)"))&gt;0,IFERROR(('Final Calculation Sheet'!$I$10)&amp;"","")="",ISNUMBER(SEARCH($AS$69:$AZ$69,IFERROR(('Final Calculation Sheet'!$I$10)&amp;"","")))))&gt;0),IF(COUNTIF($BI$69:$BP$69,4)=0,TRUE,SUMPRODUCT(($BI$69:$BP$69=4)*($AS$69:$AZ$69&lt;&gt;"")*IF(((UPPER($AS$69:$AZ$69)="BLANK")+(UPPER($AS$69:$AZ$69)="(BLANK)")+(UPPER($AS$69:$AZ$69)="EMPTY")+(UPPER($AS$69:$AZ$69)="(EMPTY)"))&gt;0,IFERROR(('Final Calculation Sheet'!$I$10)&amp;"","")="",ISNUMBER(SEARCH($AS$69:$AZ$69,IFERROR(('Final Calculation Sheet'!$I$10)&amp;"","")))))&gt;0),IF(COUNTIF($BI$69:$BP$69,5)=0,TRUE,SUMPRODUCT(($BI$69:$BP$69=5)*($AS$69:$AZ$69&lt;&gt;"")*IF(((UPPER($AS$69:$AZ$69)="BLANK")+(UPPER($AS$69:$AZ$69)="(BLANK)")+(UPPER($AS$69:$AZ$69)="EMPTY")+(UPPER($AS$69:$AZ$69)="(EMPTY)"))&gt;0,IFERROR(('Final Calculation Sheet'!$I$10)&amp;"","")="",ISNUMBER(SEARCH($AS$69:$AZ$69,IFERROR(('Final Calculation Sheet'!$I$10)&amp;"","")))))&gt;0),IF(COUNTIF($BI$69:$BP$69,6)=0,TRUE,SUMPRODUCT(($BI$69:$BP$69=6)*($AS$69:$AZ$69&lt;&gt;"")*IF(((UPPER($AS$69:$AZ$69)="BLANK")+(UPPER($AS$69:$AZ$69)="(BLANK)")+(UPPER($AS$69:$AZ$69)="EMPTY")+(UPPER($AS$69:$AZ$69)="(EMPTY)"))&gt;0,IFERROR(('Final Calculation Sheet'!$I$10)&amp;"","")="",ISNUMBER(SEARCH($AS$69:$AZ$69,IFERROR(('Final Calculation Sheet'!$I$10)&amp;"","")))))&gt;0),IF(COUNTIF($BI$69:$BP$69,7)=0,TRUE,SUMPRODUCT(($BI$69:$BP$69=7)*($AS$69:$AZ$69&lt;&gt;"")*IF(((UPPER($AS$69:$AZ$69)="BLANK")+(UPPER($AS$69:$AZ$69)="(BLANK)")+(UPPER($AS$69:$AZ$69)="EMPTY")+(UPPER($AS$69:$AZ$69)="(EMPTY)"))&gt;0,IFERROR(('Final Calculation Sheet'!$I$10)&amp;"","")="",ISNUMBER(SEARCH($AS$69:$AZ$69,IFERROR(('Final Calculation Sheet'!$I$10)&amp;"","")))))&gt;0),IF(COUNTIF($BI$69:$BP$69,8)=0,TRUE,SUMPRODUCT(($BI$69:$BP$69=8)*($AS$69:$AZ$69&lt;&gt;"")*IF(((UPPER($AS$69:$AZ$69)="BLANK")+(UPPER($AS$69:$AZ$69)="(BLANK)")+(UPPER($AS$69:$AZ$69)="EMPTY")+(UPPER($AS$69:$AZ$69)="(EMPTY)"))&gt;0,IFERROR(('Final Calculation Sheet'!$I$10)&amp;"","")="",ISNUMBER(SEARCH($AS$69:$AZ$69,IFERROR(('Final Calculation Sheet'!$I$10)&amp;"","")))))&gt;0))))</f>
        <v>1</v>
      </c>
      <c r="BW11">
        <f>IF($K$4="",1,--(AND(SUMPRODUCT(--($AS$70:$AZ$70&lt;&gt;""))&gt;0,IF(COUNTIF($BI$70:$BP$70,1)=0,TRUE,SUMPRODUCT(($BI$70:$BP$70=1)*($AS$70:$AZ$70&lt;&gt;"")*IF(((UPPER($AS$70:$AZ$70)="BLANK")+(UPPER($AS$70:$AZ$70)="(BLANK)")+(UPPER($AS$70:$AZ$70)="EMPTY")+(UPPER($AS$70:$AZ$70)="(EMPTY)"))&gt;0,IFERROR(('Final Calculation Sheet'!$J$10)&amp;"","")="",ISNUMBER(SEARCH($AS$70:$AZ$70,IFERROR(('Final Calculation Sheet'!$J$10)&amp;"","")))))&gt;0),IF(COUNTIF($BI$70:$BP$70,2)=0,TRUE,SUMPRODUCT(($BI$70:$BP$70=2)*($AS$70:$AZ$70&lt;&gt;"")*IF(((UPPER($AS$70:$AZ$70)="BLANK")+(UPPER($AS$70:$AZ$70)="(BLANK)")+(UPPER($AS$70:$AZ$70)="EMPTY")+(UPPER($AS$70:$AZ$70)="(EMPTY)"))&gt;0,IFERROR(('Final Calculation Sheet'!$J$10)&amp;"","")="",ISNUMBER(SEARCH($AS$70:$AZ$70,IFERROR(('Final Calculation Sheet'!$J$10)&amp;"","")))))&gt;0),IF(COUNTIF($BI$70:$BP$70,3)=0,TRUE,SUMPRODUCT(($BI$70:$BP$70=3)*($AS$70:$AZ$70&lt;&gt;"")*IF(((UPPER($AS$70:$AZ$70)="BLANK")+(UPPER($AS$70:$AZ$70)="(BLANK)")+(UPPER($AS$70:$AZ$70)="EMPTY")+(UPPER($AS$70:$AZ$70)="(EMPTY)"))&gt;0,IFERROR(('Final Calculation Sheet'!$J$10)&amp;"","")="",ISNUMBER(SEARCH($AS$70:$AZ$70,IFERROR(('Final Calculation Sheet'!$J$10)&amp;"","")))))&gt;0),IF(COUNTIF($BI$70:$BP$70,4)=0,TRUE,SUMPRODUCT(($BI$70:$BP$70=4)*($AS$70:$AZ$70&lt;&gt;"")*IF(((UPPER($AS$70:$AZ$70)="BLANK")+(UPPER($AS$70:$AZ$70)="(BLANK)")+(UPPER($AS$70:$AZ$70)="EMPTY")+(UPPER($AS$70:$AZ$70)="(EMPTY)"))&gt;0,IFERROR(('Final Calculation Sheet'!$J$10)&amp;"","")="",ISNUMBER(SEARCH($AS$70:$AZ$70,IFERROR(('Final Calculation Sheet'!$J$10)&amp;"","")))))&gt;0),IF(COUNTIF($BI$70:$BP$70,5)=0,TRUE,SUMPRODUCT(($BI$70:$BP$70=5)*($AS$70:$AZ$70&lt;&gt;"")*IF(((UPPER($AS$70:$AZ$70)="BLANK")+(UPPER($AS$70:$AZ$70)="(BLANK)")+(UPPER($AS$70:$AZ$70)="EMPTY")+(UPPER($AS$70:$AZ$70)="(EMPTY)"))&gt;0,IFERROR(('Final Calculation Sheet'!$J$10)&amp;"","")="",ISNUMBER(SEARCH($AS$70:$AZ$70,IFERROR(('Final Calculation Sheet'!$J$10)&amp;"","")))))&gt;0),IF(COUNTIF($BI$70:$BP$70,6)=0,TRUE,SUMPRODUCT(($BI$70:$BP$70=6)*($AS$70:$AZ$70&lt;&gt;"")*IF(((UPPER($AS$70:$AZ$70)="BLANK")+(UPPER($AS$70:$AZ$70)="(BLANK)")+(UPPER($AS$70:$AZ$70)="EMPTY")+(UPPER($AS$70:$AZ$70)="(EMPTY)"))&gt;0,IFERROR(('Final Calculation Sheet'!$J$10)&amp;"","")="",ISNUMBER(SEARCH($AS$70:$AZ$70,IFERROR(('Final Calculation Sheet'!$J$10)&amp;"","")))))&gt;0),IF(COUNTIF($BI$70:$BP$70,7)=0,TRUE,SUMPRODUCT(($BI$70:$BP$70=7)*($AS$70:$AZ$70&lt;&gt;"")*IF(((UPPER($AS$70:$AZ$70)="BLANK")+(UPPER($AS$70:$AZ$70)="(BLANK)")+(UPPER($AS$70:$AZ$70)="EMPTY")+(UPPER($AS$70:$AZ$70)="(EMPTY)"))&gt;0,IFERROR(('Final Calculation Sheet'!$J$10)&amp;"","")="",ISNUMBER(SEARCH($AS$70:$AZ$70,IFERROR(('Final Calculation Sheet'!$J$10)&amp;"","")))))&gt;0),IF(COUNTIF($BI$70:$BP$70,8)=0,TRUE,SUMPRODUCT(($BI$70:$BP$70=8)*($AS$70:$AZ$70&lt;&gt;"")*IF(((UPPER($AS$70:$AZ$70)="BLANK")+(UPPER($AS$70:$AZ$70)="(BLANK)")+(UPPER($AS$70:$AZ$70)="EMPTY")+(UPPER($AS$70:$AZ$70)="(EMPTY)"))&gt;0,IFERROR(('Final Calculation Sheet'!$J$10)&amp;"","")="",ISNUMBER(SEARCH($AS$70:$AZ$70,IFERROR(('Final Calculation Sheet'!$J$10)&amp;"","")))))&gt;0))))</f>
        <v>1</v>
      </c>
      <c r="BX11">
        <f>IF($L$4="",1,--(AND(SUMPRODUCT(--($AS$71:$AZ$71&lt;&gt;""))&gt;0,IF(COUNTIF($BI$71:$BP$71,1)=0,TRUE,SUMPRODUCT(($BI$71:$BP$71=1)*($AS$71:$AZ$71&lt;&gt;"")*IF(((UPPER($AS$71:$AZ$71)="BLANK")+(UPPER($AS$71:$AZ$71)="(BLANK)")+(UPPER($AS$71:$AZ$71)="EMPTY")+(UPPER($AS$71:$AZ$71)="(EMPTY)"))&gt;0,IFERROR(('Final Calculation Sheet'!$K$10)&amp;"","")="",ISNUMBER(SEARCH($AS$71:$AZ$71,IFERROR(('Final Calculation Sheet'!$K$10)&amp;"","")))))&gt;0),IF(COUNTIF($BI$71:$BP$71,2)=0,TRUE,SUMPRODUCT(($BI$71:$BP$71=2)*($AS$71:$AZ$71&lt;&gt;"")*IF(((UPPER($AS$71:$AZ$71)="BLANK")+(UPPER($AS$71:$AZ$71)="(BLANK)")+(UPPER($AS$71:$AZ$71)="EMPTY")+(UPPER($AS$71:$AZ$71)="(EMPTY)"))&gt;0,IFERROR(('Final Calculation Sheet'!$K$10)&amp;"","")="",ISNUMBER(SEARCH($AS$71:$AZ$71,IFERROR(('Final Calculation Sheet'!$K$10)&amp;"","")))))&gt;0),IF(COUNTIF($BI$71:$BP$71,3)=0,TRUE,SUMPRODUCT(($BI$71:$BP$71=3)*($AS$71:$AZ$71&lt;&gt;"")*IF(((UPPER($AS$71:$AZ$71)="BLANK")+(UPPER($AS$71:$AZ$71)="(BLANK)")+(UPPER($AS$71:$AZ$71)="EMPTY")+(UPPER($AS$71:$AZ$71)="(EMPTY)"))&gt;0,IFERROR(('Final Calculation Sheet'!$K$10)&amp;"","")="",ISNUMBER(SEARCH($AS$71:$AZ$71,IFERROR(('Final Calculation Sheet'!$K$10)&amp;"","")))))&gt;0),IF(COUNTIF($BI$71:$BP$71,4)=0,TRUE,SUMPRODUCT(($BI$71:$BP$71=4)*($AS$71:$AZ$71&lt;&gt;"")*IF(((UPPER($AS$71:$AZ$71)="BLANK")+(UPPER($AS$71:$AZ$71)="(BLANK)")+(UPPER($AS$71:$AZ$71)="EMPTY")+(UPPER($AS$71:$AZ$71)="(EMPTY)"))&gt;0,IFERROR(('Final Calculation Sheet'!$K$10)&amp;"","")="",ISNUMBER(SEARCH($AS$71:$AZ$71,IFERROR(('Final Calculation Sheet'!$K$10)&amp;"","")))))&gt;0),IF(COUNTIF($BI$71:$BP$71,5)=0,TRUE,SUMPRODUCT(($BI$71:$BP$71=5)*($AS$71:$AZ$71&lt;&gt;"")*IF(((UPPER($AS$71:$AZ$71)="BLANK")+(UPPER($AS$71:$AZ$71)="(BLANK)")+(UPPER($AS$71:$AZ$71)="EMPTY")+(UPPER($AS$71:$AZ$71)="(EMPTY)"))&gt;0,IFERROR(('Final Calculation Sheet'!$K$10)&amp;"","")="",ISNUMBER(SEARCH($AS$71:$AZ$71,IFERROR(('Final Calculation Sheet'!$K$10)&amp;"","")))))&gt;0),IF(COUNTIF($BI$71:$BP$71,6)=0,TRUE,SUMPRODUCT(($BI$71:$BP$71=6)*($AS$71:$AZ$71&lt;&gt;"")*IF(((UPPER($AS$71:$AZ$71)="BLANK")+(UPPER($AS$71:$AZ$71)="(BLANK)")+(UPPER($AS$71:$AZ$71)="EMPTY")+(UPPER($AS$71:$AZ$71)="(EMPTY)"))&gt;0,IFERROR(('Final Calculation Sheet'!$K$10)&amp;"","")="",ISNUMBER(SEARCH($AS$71:$AZ$71,IFERROR(('Final Calculation Sheet'!$K$10)&amp;"","")))))&gt;0),IF(COUNTIF($BI$71:$BP$71,7)=0,TRUE,SUMPRODUCT(($BI$71:$BP$71=7)*($AS$71:$AZ$71&lt;&gt;"")*IF(((UPPER($AS$71:$AZ$71)="BLANK")+(UPPER($AS$71:$AZ$71)="(BLANK)")+(UPPER($AS$71:$AZ$71)="EMPTY")+(UPPER($AS$71:$AZ$71)="(EMPTY)"))&gt;0,IFERROR(('Final Calculation Sheet'!$K$10)&amp;"","")="",ISNUMBER(SEARCH($AS$71:$AZ$71,IFERROR(('Final Calculation Sheet'!$K$10)&amp;"","")))))&gt;0),IF(COUNTIF($BI$71:$BP$71,8)=0,TRUE,SUMPRODUCT(($BI$71:$BP$71=8)*($AS$71:$AZ$71&lt;&gt;"")*IF(((UPPER($AS$71:$AZ$71)="BLANK")+(UPPER($AS$71:$AZ$71)="(BLANK)")+(UPPER($AS$71:$AZ$71)="EMPTY")+(UPPER($AS$71:$AZ$71)="(EMPTY)"))&gt;0,IFERROR(('Final Calculation Sheet'!$K$10)&amp;"","")="",ISNUMBER(SEARCH($AS$71:$AZ$71,IFERROR(('Final Calculation Sheet'!$K$10)&amp;"","")))))&gt;0))))</f>
        <v>1</v>
      </c>
      <c r="BY11">
        <f>IF($M$4="",1,--(AND(SUMPRODUCT(--($AS$72:$AZ$72&lt;&gt;""))&gt;0,IF(COUNTIF($BI$72:$BP$72,1)=0,TRUE,SUMPRODUCT(($BI$72:$BP$72=1)*($AS$72:$AZ$72&lt;&gt;"")*IF(((UPPER($AS$72:$AZ$72)="BLANK")+(UPPER($AS$72:$AZ$72)="(BLANK)")+(UPPER($AS$72:$AZ$72)="EMPTY")+(UPPER($AS$72:$AZ$72)="(EMPTY)"))&gt;0,IFERROR(('Final Calculation Sheet'!$L$10)&amp;"","")="",ISNUMBER(SEARCH($AS$72:$AZ$72,IFERROR(('Final Calculation Sheet'!$L$10)&amp;"","")))))&gt;0),IF(COUNTIF($BI$72:$BP$72,2)=0,TRUE,SUMPRODUCT(($BI$72:$BP$72=2)*($AS$72:$AZ$72&lt;&gt;"")*IF(((UPPER($AS$72:$AZ$72)="BLANK")+(UPPER($AS$72:$AZ$72)="(BLANK)")+(UPPER($AS$72:$AZ$72)="EMPTY")+(UPPER($AS$72:$AZ$72)="(EMPTY)"))&gt;0,IFERROR(('Final Calculation Sheet'!$L$10)&amp;"","")="",ISNUMBER(SEARCH($AS$72:$AZ$72,IFERROR(('Final Calculation Sheet'!$L$10)&amp;"","")))))&gt;0),IF(COUNTIF($BI$72:$BP$72,3)=0,TRUE,SUMPRODUCT(($BI$72:$BP$72=3)*($AS$72:$AZ$72&lt;&gt;"")*IF(((UPPER($AS$72:$AZ$72)="BLANK")+(UPPER($AS$72:$AZ$72)="(BLANK)")+(UPPER($AS$72:$AZ$72)="EMPTY")+(UPPER($AS$72:$AZ$72)="(EMPTY)"))&gt;0,IFERROR(('Final Calculation Sheet'!$L$10)&amp;"","")="",ISNUMBER(SEARCH($AS$72:$AZ$72,IFERROR(('Final Calculation Sheet'!$L$10)&amp;"","")))))&gt;0),IF(COUNTIF($BI$72:$BP$72,4)=0,TRUE,SUMPRODUCT(($BI$72:$BP$72=4)*($AS$72:$AZ$72&lt;&gt;"")*IF(((UPPER($AS$72:$AZ$72)="BLANK")+(UPPER($AS$72:$AZ$72)="(BLANK)")+(UPPER($AS$72:$AZ$72)="EMPTY")+(UPPER($AS$72:$AZ$72)="(EMPTY)"))&gt;0,IFERROR(('Final Calculation Sheet'!$L$10)&amp;"","")="",ISNUMBER(SEARCH($AS$72:$AZ$72,IFERROR(('Final Calculation Sheet'!$L$10)&amp;"","")))))&gt;0),IF(COUNTIF($BI$72:$BP$72,5)=0,TRUE,SUMPRODUCT(($BI$72:$BP$72=5)*($AS$72:$AZ$72&lt;&gt;"")*IF(((UPPER($AS$72:$AZ$72)="BLANK")+(UPPER($AS$72:$AZ$72)="(BLANK)")+(UPPER($AS$72:$AZ$72)="EMPTY")+(UPPER($AS$72:$AZ$72)="(EMPTY)"))&gt;0,IFERROR(('Final Calculation Sheet'!$L$10)&amp;"","")="",ISNUMBER(SEARCH($AS$72:$AZ$72,IFERROR(('Final Calculation Sheet'!$L$10)&amp;"","")))))&gt;0),IF(COUNTIF($BI$72:$BP$72,6)=0,TRUE,SUMPRODUCT(($BI$72:$BP$72=6)*($AS$72:$AZ$72&lt;&gt;"")*IF(((UPPER($AS$72:$AZ$72)="BLANK")+(UPPER($AS$72:$AZ$72)="(BLANK)")+(UPPER($AS$72:$AZ$72)="EMPTY")+(UPPER($AS$72:$AZ$72)="(EMPTY)"))&gt;0,IFERROR(('Final Calculation Sheet'!$L$10)&amp;"","")="",ISNUMBER(SEARCH($AS$72:$AZ$72,IFERROR(('Final Calculation Sheet'!$L$10)&amp;"","")))))&gt;0),IF(COUNTIF($BI$72:$BP$72,7)=0,TRUE,SUMPRODUCT(($BI$72:$BP$72=7)*($AS$72:$AZ$72&lt;&gt;"")*IF(((UPPER($AS$72:$AZ$72)="BLANK")+(UPPER($AS$72:$AZ$72)="(BLANK)")+(UPPER($AS$72:$AZ$72)="EMPTY")+(UPPER($AS$72:$AZ$72)="(EMPTY)"))&gt;0,IFERROR(('Final Calculation Sheet'!$L$10)&amp;"","")="",ISNUMBER(SEARCH($AS$72:$AZ$72,IFERROR(('Final Calculation Sheet'!$L$10)&amp;"","")))))&gt;0),IF(COUNTIF($BI$72:$BP$72,8)=0,TRUE,SUMPRODUCT(($BI$72:$BP$72=8)*($AS$72:$AZ$72&lt;&gt;"")*IF(((UPPER($AS$72:$AZ$72)="BLANK")+(UPPER($AS$72:$AZ$72)="(BLANK)")+(UPPER($AS$72:$AZ$72)="EMPTY")+(UPPER($AS$72:$AZ$72)="(EMPTY)"))&gt;0,IFERROR(('Final Calculation Sheet'!$L$10)&amp;"","")="",ISNUMBER(SEARCH($AS$72:$AZ$72,IFERROR(('Final Calculation Sheet'!$L$10)&amp;"","")))))&gt;0))))</f>
        <v>1</v>
      </c>
      <c r="BZ11">
        <f>IF($N$4="",1,--(AND(SUMPRODUCT(--($AS$73:$AZ$73&lt;&gt;""))&gt;0,IF(COUNTIF($BI$73:$BP$73,1)=0,TRUE,SUMPRODUCT(($BI$73:$BP$73=1)*($AS$73:$AZ$73&lt;&gt;"")*IF(((UPPER($AS$73:$AZ$73)="BLANK")+(UPPER($AS$73:$AZ$73)="(BLANK)")+(UPPER($AS$73:$AZ$73)="EMPTY")+(UPPER($AS$73:$AZ$73)="(EMPTY)"))&gt;0,IFERROR(('Final Calculation Sheet'!$M$10)&amp;"","")="",ISNUMBER(SEARCH($AS$73:$AZ$73,IFERROR(('Final Calculation Sheet'!$M$10)&amp;"","")))))&gt;0),IF(COUNTIF($BI$73:$BP$73,2)=0,TRUE,SUMPRODUCT(($BI$73:$BP$73=2)*($AS$73:$AZ$73&lt;&gt;"")*IF(((UPPER($AS$73:$AZ$73)="BLANK")+(UPPER($AS$73:$AZ$73)="(BLANK)")+(UPPER($AS$73:$AZ$73)="EMPTY")+(UPPER($AS$73:$AZ$73)="(EMPTY)"))&gt;0,IFERROR(('Final Calculation Sheet'!$M$10)&amp;"","")="",ISNUMBER(SEARCH($AS$73:$AZ$73,IFERROR(('Final Calculation Sheet'!$M$10)&amp;"","")))))&gt;0),IF(COUNTIF($BI$73:$BP$73,3)=0,TRUE,SUMPRODUCT(($BI$73:$BP$73=3)*($AS$73:$AZ$73&lt;&gt;"")*IF(((UPPER($AS$73:$AZ$73)="BLANK")+(UPPER($AS$73:$AZ$73)="(BLANK)")+(UPPER($AS$73:$AZ$73)="EMPTY")+(UPPER($AS$73:$AZ$73)="(EMPTY)"))&gt;0,IFERROR(('Final Calculation Sheet'!$M$10)&amp;"","")="",ISNUMBER(SEARCH($AS$73:$AZ$73,IFERROR(('Final Calculation Sheet'!$M$10)&amp;"","")))))&gt;0),IF(COUNTIF($BI$73:$BP$73,4)=0,TRUE,SUMPRODUCT(($BI$73:$BP$73=4)*($AS$73:$AZ$73&lt;&gt;"")*IF(((UPPER($AS$73:$AZ$73)="BLANK")+(UPPER($AS$73:$AZ$73)="(BLANK)")+(UPPER($AS$73:$AZ$73)="EMPTY")+(UPPER($AS$73:$AZ$73)="(EMPTY)"))&gt;0,IFERROR(('Final Calculation Sheet'!$M$10)&amp;"","")="",ISNUMBER(SEARCH($AS$73:$AZ$73,IFERROR(('Final Calculation Sheet'!$M$10)&amp;"","")))))&gt;0),IF(COUNTIF($BI$73:$BP$73,5)=0,TRUE,SUMPRODUCT(($BI$73:$BP$73=5)*($AS$73:$AZ$73&lt;&gt;"")*IF(((UPPER($AS$73:$AZ$73)="BLANK")+(UPPER($AS$73:$AZ$73)="(BLANK)")+(UPPER($AS$73:$AZ$73)="EMPTY")+(UPPER($AS$73:$AZ$73)="(EMPTY)"))&gt;0,IFERROR(('Final Calculation Sheet'!$M$10)&amp;"","")="",ISNUMBER(SEARCH($AS$73:$AZ$73,IFERROR(('Final Calculation Sheet'!$M$10)&amp;"","")))))&gt;0),IF(COUNTIF($BI$73:$BP$73,6)=0,TRUE,SUMPRODUCT(($BI$73:$BP$73=6)*($AS$73:$AZ$73&lt;&gt;"")*IF(((UPPER($AS$73:$AZ$73)="BLANK")+(UPPER($AS$73:$AZ$73)="(BLANK)")+(UPPER($AS$73:$AZ$73)="EMPTY")+(UPPER($AS$73:$AZ$73)="(EMPTY)"))&gt;0,IFERROR(('Final Calculation Sheet'!$M$10)&amp;"","")="",ISNUMBER(SEARCH($AS$73:$AZ$73,IFERROR(('Final Calculation Sheet'!$M$10)&amp;"","")))))&gt;0),IF(COUNTIF($BI$73:$BP$73,7)=0,TRUE,SUMPRODUCT(($BI$73:$BP$73=7)*($AS$73:$AZ$73&lt;&gt;"")*IF(((UPPER($AS$73:$AZ$73)="BLANK")+(UPPER($AS$73:$AZ$73)="(BLANK)")+(UPPER($AS$73:$AZ$73)="EMPTY")+(UPPER($AS$73:$AZ$73)="(EMPTY)"))&gt;0,IFERROR(('Final Calculation Sheet'!$M$10)&amp;"","")="",ISNUMBER(SEARCH($AS$73:$AZ$73,IFERROR(('Final Calculation Sheet'!$M$10)&amp;"","")))))&gt;0),IF(COUNTIF($BI$73:$BP$73,8)=0,TRUE,SUMPRODUCT(($BI$73:$BP$73=8)*($AS$73:$AZ$73&lt;&gt;"")*IF(((UPPER($AS$73:$AZ$73)="BLANK")+(UPPER($AS$73:$AZ$73)="(BLANK)")+(UPPER($AS$73:$AZ$73)="EMPTY")+(UPPER($AS$73:$AZ$73)="(EMPTY)"))&gt;0,IFERROR(('Final Calculation Sheet'!$M$10)&amp;"","")="",ISNUMBER(SEARCH($AS$73:$AZ$73,IFERROR(('Final Calculation Sheet'!$M$10)&amp;"","")))))&gt;0))))</f>
        <v>1</v>
      </c>
      <c r="CA11">
        <f>IF($O$4="",1,--(AND(SUMPRODUCT(--($AS$74:$AZ$74&lt;&gt;""))&gt;0,IF(COUNTIF($BI$74:$BP$74,1)=0,TRUE,SUMPRODUCT(($BI$74:$BP$74=1)*($AS$74:$AZ$74&lt;&gt;"")*IF(((UPPER($AS$74:$AZ$74)="BLANK")+(UPPER($AS$74:$AZ$74)="(BLANK)")+(UPPER($AS$74:$AZ$74)="EMPTY")+(UPPER($AS$74:$AZ$74)="(EMPTY)"))&gt;0,IFERROR(('Final Calculation Sheet'!$N$10)&amp;"","")="",ISNUMBER(SEARCH($AS$74:$AZ$74,IFERROR(('Final Calculation Sheet'!$N$10)&amp;"","")))))&gt;0),IF(COUNTIF($BI$74:$BP$74,2)=0,TRUE,SUMPRODUCT(($BI$74:$BP$74=2)*($AS$74:$AZ$74&lt;&gt;"")*IF(((UPPER($AS$74:$AZ$74)="BLANK")+(UPPER($AS$74:$AZ$74)="(BLANK)")+(UPPER($AS$74:$AZ$74)="EMPTY")+(UPPER($AS$74:$AZ$74)="(EMPTY)"))&gt;0,IFERROR(('Final Calculation Sheet'!$N$10)&amp;"","")="",ISNUMBER(SEARCH($AS$74:$AZ$74,IFERROR(('Final Calculation Sheet'!$N$10)&amp;"","")))))&gt;0),IF(COUNTIF($BI$74:$BP$74,3)=0,TRUE,SUMPRODUCT(($BI$74:$BP$74=3)*($AS$74:$AZ$74&lt;&gt;"")*IF(((UPPER($AS$74:$AZ$74)="BLANK")+(UPPER($AS$74:$AZ$74)="(BLANK)")+(UPPER($AS$74:$AZ$74)="EMPTY")+(UPPER($AS$74:$AZ$74)="(EMPTY)"))&gt;0,IFERROR(('Final Calculation Sheet'!$N$10)&amp;"","")="",ISNUMBER(SEARCH($AS$74:$AZ$74,IFERROR(('Final Calculation Sheet'!$N$10)&amp;"","")))))&gt;0),IF(COUNTIF($BI$74:$BP$74,4)=0,TRUE,SUMPRODUCT(($BI$74:$BP$74=4)*($AS$74:$AZ$74&lt;&gt;"")*IF(((UPPER($AS$74:$AZ$74)="BLANK")+(UPPER($AS$74:$AZ$74)="(BLANK)")+(UPPER($AS$74:$AZ$74)="EMPTY")+(UPPER($AS$74:$AZ$74)="(EMPTY)"))&gt;0,IFERROR(('Final Calculation Sheet'!$N$10)&amp;"","")="",ISNUMBER(SEARCH($AS$74:$AZ$74,IFERROR(('Final Calculation Sheet'!$N$10)&amp;"","")))))&gt;0),IF(COUNTIF($BI$74:$BP$74,5)=0,TRUE,SUMPRODUCT(($BI$74:$BP$74=5)*($AS$74:$AZ$74&lt;&gt;"")*IF(((UPPER($AS$74:$AZ$74)="BLANK")+(UPPER($AS$74:$AZ$74)="(BLANK)")+(UPPER($AS$74:$AZ$74)="EMPTY")+(UPPER($AS$74:$AZ$74)="(EMPTY)"))&gt;0,IFERROR(('Final Calculation Sheet'!$N$10)&amp;"","")="",ISNUMBER(SEARCH($AS$74:$AZ$74,IFERROR(('Final Calculation Sheet'!$N$10)&amp;"","")))))&gt;0),IF(COUNTIF($BI$74:$BP$74,6)=0,TRUE,SUMPRODUCT(($BI$74:$BP$74=6)*($AS$74:$AZ$74&lt;&gt;"")*IF(((UPPER($AS$74:$AZ$74)="BLANK")+(UPPER($AS$74:$AZ$74)="(BLANK)")+(UPPER($AS$74:$AZ$74)="EMPTY")+(UPPER($AS$74:$AZ$74)="(EMPTY)"))&gt;0,IFERROR(('Final Calculation Sheet'!$N$10)&amp;"","")="",ISNUMBER(SEARCH($AS$74:$AZ$74,IFERROR(('Final Calculation Sheet'!$N$10)&amp;"","")))))&gt;0),IF(COUNTIF($BI$74:$BP$74,7)=0,TRUE,SUMPRODUCT(($BI$74:$BP$74=7)*($AS$74:$AZ$74&lt;&gt;"")*IF(((UPPER($AS$74:$AZ$74)="BLANK")+(UPPER($AS$74:$AZ$74)="(BLANK)")+(UPPER($AS$74:$AZ$74)="EMPTY")+(UPPER($AS$74:$AZ$74)="(EMPTY)"))&gt;0,IFERROR(('Final Calculation Sheet'!$N$10)&amp;"","")="",ISNUMBER(SEARCH($AS$74:$AZ$74,IFERROR(('Final Calculation Sheet'!$N$10)&amp;"","")))))&gt;0),IF(COUNTIF($BI$74:$BP$74,8)=0,TRUE,SUMPRODUCT(($BI$74:$BP$74=8)*($AS$74:$AZ$74&lt;&gt;"")*IF(((UPPER($AS$74:$AZ$74)="BLANK")+(UPPER($AS$74:$AZ$74)="(BLANK)")+(UPPER($AS$74:$AZ$74)="EMPTY")+(UPPER($AS$74:$AZ$74)="(EMPTY)"))&gt;0,IFERROR(('Final Calculation Sheet'!$N$10)&amp;"","")="",ISNUMBER(SEARCH($AS$74:$AZ$74,IFERROR(('Final Calculation Sheet'!$N$10)&amp;"","")))))&gt;0))))</f>
        <v>1</v>
      </c>
      <c r="CB11">
        <f>IF($P$4="",1,--(AND(SUMPRODUCT(--($AS$75:$AZ$75&lt;&gt;""))&gt;0,IF(COUNTIF($BI$75:$BP$75,1)=0,TRUE,SUMPRODUCT(($BI$75:$BP$75=1)*($AS$75:$AZ$75&lt;&gt;"")*IF(((UPPER($AS$75:$AZ$75)="BLANK")+(UPPER($AS$75:$AZ$75)="(BLANK)")+(UPPER($AS$75:$AZ$75)="EMPTY")+(UPPER($AS$75:$AZ$75)="(EMPTY)"))&gt;0,IFERROR(('Final Calculation Sheet'!$O$10)&amp;"","")="",ISNUMBER(SEARCH($AS$75:$AZ$75,IFERROR(('Final Calculation Sheet'!$O$10)&amp;"","")))))&gt;0),IF(COUNTIF($BI$75:$BP$75,2)=0,TRUE,SUMPRODUCT(($BI$75:$BP$75=2)*($AS$75:$AZ$75&lt;&gt;"")*IF(((UPPER($AS$75:$AZ$75)="BLANK")+(UPPER($AS$75:$AZ$75)="(BLANK)")+(UPPER($AS$75:$AZ$75)="EMPTY")+(UPPER($AS$75:$AZ$75)="(EMPTY)"))&gt;0,IFERROR(('Final Calculation Sheet'!$O$10)&amp;"","")="",ISNUMBER(SEARCH($AS$75:$AZ$75,IFERROR(('Final Calculation Sheet'!$O$10)&amp;"","")))))&gt;0),IF(COUNTIF($BI$75:$BP$75,3)=0,TRUE,SUMPRODUCT(($BI$75:$BP$75=3)*($AS$75:$AZ$75&lt;&gt;"")*IF(((UPPER($AS$75:$AZ$75)="BLANK")+(UPPER($AS$75:$AZ$75)="(BLANK)")+(UPPER($AS$75:$AZ$75)="EMPTY")+(UPPER($AS$75:$AZ$75)="(EMPTY)"))&gt;0,IFERROR(('Final Calculation Sheet'!$O$10)&amp;"","")="",ISNUMBER(SEARCH($AS$75:$AZ$75,IFERROR(('Final Calculation Sheet'!$O$10)&amp;"","")))))&gt;0),IF(COUNTIF($BI$75:$BP$75,4)=0,TRUE,SUMPRODUCT(($BI$75:$BP$75=4)*($AS$75:$AZ$75&lt;&gt;"")*IF(((UPPER($AS$75:$AZ$75)="BLANK")+(UPPER($AS$75:$AZ$75)="(BLANK)")+(UPPER($AS$75:$AZ$75)="EMPTY")+(UPPER($AS$75:$AZ$75)="(EMPTY)"))&gt;0,IFERROR(('Final Calculation Sheet'!$O$10)&amp;"","")="",ISNUMBER(SEARCH($AS$75:$AZ$75,IFERROR(('Final Calculation Sheet'!$O$10)&amp;"","")))))&gt;0),IF(COUNTIF($BI$75:$BP$75,5)=0,TRUE,SUMPRODUCT(($BI$75:$BP$75=5)*($AS$75:$AZ$75&lt;&gt;"")*IF(((UPPER($AS$75:$AZ$75)="BLANK")+(UPPER($AS$75:$AZ$75)="(BLANK)")+(UPPER($AS$75:$AZ$75)="EMPTY")+(UPPER($AS$75:$AZ$75)="(EMPTY)"))&gt;0,IFERROR(('Final Calculation Sheet'!$O$10)&amp;"","")="",ISNUMBER(SEARCH($AS$75:$AZ$75,IFERROR(('Final Calculation Sheet'!$O$10)&amp;"","")))))&gt;0),IF(COUNTIF($BI$75:$BP$75,6)=0,TRUE,SUMPRODUCT(($BI$75:$BP$75=6)*($AS$75:$AZ$75&lt;&gt;"")*IF(((UPPER($AS$75:$AZ$75)="BLANK")+(UPPER($AS$75:$AZ$75)="(BLANK)")+(UPPER($AS$75:$AZ$75)="EMPTY")+(UPPER($AS$75:$AZ$75)="(EMPTY)"))&gt;0,IFERROR(('Final Calculation Sheet'!$O$10)&amp;"","")="",ISNUMBER(SEARCH($AS$75:$AZ$75,IFERROR(('Final Calculation Sheet'!$O$10)&amp;"","")))))&gt;0),IF(COUNTIF($BI$75:$BP$75,7)=0,TRUE,SUMPRODUCT(($BI$75:$BP$75=7)*($AS$75:$AZ$75&lt;&gt;"")*IF(((UPPER($AS$75:$AZ$75)="BLANK")+(UPPER($AS$75:$AZ$75)="(BLANK)")+(UPPER($AS$75:$AZ$75)="EMPTY")+(UPPER($AS$75:$AZ$75)="(EMPTY)"))&gt;0,IFERROR(('Final Calculation Sheet'!$O$10)&amp;"","")="",ISNUMBER(SEARCH($AS$75:$AZ$75,IFERROR(('Final Calculation Sheet'!$O$10)&amp;"","")))))&gt;0),IF(COUNTIF($BI$75:$BP$75,8)=0,TRUE,SUMPRODUCT(($BI$75:$BP$75=8)*($AS$75:$AZ$75&lt;&gt;"")*IF(((UPPER($AS$75:$AZ$75)="BLANK")+(UPPER($AS$75:$AZ$75)="(BLANK)")+(UPPER($AS$75:$AZ$75)="EMPTY")+(UPPER($AS$75:$AZ$75)="(EMPTY)"))&gt;0,IFERROR(('Final Calculation Sheet'!$O$10)&amp;"","")="",ISNUMBER(SEARCH($AS$75:$AZ$75,IFERROR(('Final Calculation Sheet'!$O$10)&amp;"","")))))&gt;0))))</f>
        <v>1</v>
      </c>
      <c r="CC11">
        <f>IF($Q$4="",1,--(AND(SUMPRODUCT(--($AS$76:$AZ$76&lt;&gt;""))&gt;0,IF(COUNTIF($BI$76:$BP$76,1)=0,TRUE,SUMPRODUCT(($BI$76:$BP$76=1)*($AS$76:$AZ$76&lt;&gt;"")*IF(((UPPER($AS$76:$AZ$76)="BLANK")+(UPPER($AS$76:$AZ$76)="(BLANK)")+(UPPER($AS$76:$AZ$76)="EMPTY")+(UPPER($AS$76:$AZ$76)="(EMPTY)"))&gt;0,IFERROR(('Final Calculation Sheet'!$P$10)&amp;"","")="",ISNUMBER(SEARCH($AS$76:$AZ$76,IFERROR(('Final Calculation Sheet'!$P$10)&amp;"","")))))&gt;0),IF(COUNTIF($BI$76:$BP$76,2)=0,TRUE,SUMPRODUCT(($BI$76:$BP$76=2)*($AS$76:$AZ$76&lt;&gt;"")*IF(((UPPER($AS$76:$AZ$76)="BLANK")+(UPPER($AS$76:$AZ$76)="(BLANK)")+(UPPER($AS$76:$AZ$76)="EMPTY")+(UPPER($AS$76:$AZ$76)="(EMPTY)"))&gt;0,IFERROR(('Final Calculation Sheet'!$P$10)&amp;"","")="",ISNUMBER(SEARCH($AS$76:$AZ$76,IFERROR(('Final Calculation Sheet'!$P$10)&amp;"","")))))&gt;0),IF(COUNTIF($BI$76:$BP$76,3)=0,TRUE,SUMPRODUCT(($BI$76:$BP$76=3)*($AS$76:$AZ$76&lt;&gt;"")*IF(((UPPER($AS$76:$AZ$76)="BLANK")+(UPPER($AS$76:$AZ$76)="(BLANK)")+(UPPER($AS$76:$AZ$76)="EMPTY")+(UPPER($AS$76:$AZ$76)="(EMPTY)"))&gt;0,IFERROR(('Final Calculation Sheet'!$P$10)&amp;"","")="",ISNUMBER(SEARCH($AS$76:$AZ$76,IFERROR(('Final Calculation Sheet'!$P$10)&amp;"","")))))&gt;0),IF(COUNTIF($BI$76:$BP$76,4)=0,TRUE,SUMPRODUCT(($BI$76:$BP$76=4)*($AS$76:$AZ$76&lt;&gt;"")*IF(((UPPER($AS$76:$AZ$76)="BLANK")+(UPPER($AS$76:$AZ$76)="(BLANK)")+(UPPER($AS$76:$AZ$76)="EMPTY")+(UPPER($AS$76:$AZ$76)="(EMPTY)"))&gt;0,IFERROR(('Final Calculation Sheet'!$P$10)&amp;"","")="",ISNUMBER(SEARCH($AS$76:$AZ$76,IFERROR(('Final Calculation Sheet'!$P$10)&amp;"","")))))&gt;0),IF(COUNTIF($BI$76:$BP$76,5)=0,TRUE,SUMPRODUCT(($BI$76:$BP$76=5)*($AS$76:$AZ$76&lt;&gt;"")*IF(((UPPER($AS$76:$AZ$76)="BLANK")+(UPPER($AS$76:$AZ$76)="(BLANK)")+(UPPER($AS$76:$AZ$76)="EMPTY")+(UPPER($AS$76:$AZ$76)="(EMPTY)"))&gt;0,IFERROR(('Final Calculation Sheet'!$P$10)&amp;"","")="",ISNUMBER(SEARCH($AS$76:$AZ$76,IFERROR(('Final Calculation Sheet'!$P$10)&amp;"","")))))&gt;0),IF(COUNTIF($BI$76:$BP$76,6)=0,TRUE,SUMPRODUCT(($BI$76:$BP$76=6)*($AS$76:$AZ$76&lt;&gt;"")*IF(((UPPER($AS$76:$AZ$76)="BLANK")+(UPPER($AS$76:$AZ$76)="(BLANK)")+(UPPER($AS$76:$AZ$76)="EMPTY")+(UPPER($AS$76:$AZ$76)="(EMPTY)"))&gt;0,IFERROR(('Final Calculation Sheet'!$P$10)&amp;"","")="",ISNUMBER(SEARCH($AS$76:$AZ$76,IFERROR(('Final Calculation Sheet'!$P$10)&amp;"","")))))&gt;0),IF(COUNTIF($BI$76:$BP$76,7)=0,TRUE,SUMPRODUCT(($BI$76:$BP$76=7)*($AS$76:$AZ$76&lt;&gt;"")*IF(((UPPER($AS$76:$AZ$76)="BLANK")+(UPPER($AS$76:$AZ$76)="(BLANK)")+(UPPER($AS$76:$AZ$76)="EMPTY")+(UPPER($AS$76:$AZ$76)="(EMPTY)"))&gt;0,IFERROR(('Final Calculation Sheet'!$P$10)&amp;"","")="",ISNUMBER(SEARCH($AS$76:$AZ$76,IFERROR(('Final Calculation Sheet'!$P$10)&amp;"","")))))&gt;0),IF(COUNTIF($BI$76:$BP$76,8)=0,TRUE,SUMPRODUCT(($BI$76:$BP$76=8)*($AS$76:$AZ$76&lt;&gt;"")*IF(((UPPER($AS$76:$AZ$76)="BLANK")+(UPPER($AS$76:$AZ$76)="(BLANK)")+(UPPER($AS$76:$AZ$76)="EMPTY")+(UPPER($AS$76:$AZ$76)="(EMPTY)"))&gt;0,IFERROR(('Final Calculation Sheet'!$P$10)&amp;"","")="",ISNUMBER(SEARCH($AS$76:$AZ$76,IFERROR(('Final Calculation Sheet'!$P$10)&amp;"","")))))&gt;0))))</f>
        <v>1</v>
      </c>
      <c r="CD11">
        <f>IF($R$4="",1,--(AND(SUMPRODUCT(--($AS$77:$AZ$77&lt;&gt;""))&gt;0,IF(COUNTIF($BI$77:$BP$77,1)=0,TRUE,SUMPRODUCT(($BI$77:$BP$77=1)*($AS$77:$AZ$77&lt;&gt;"")*IF(((UPPER($AS$77:$AZ$77)="BLANK")+(UPPER($AS$77:$AZ$77)="(BLANK)")+(UPPER($AS$77:$AZ$77)="EMPTY")+(UPPER($AS$77:$AZ$77)="(EMPTY)"))&gt;0,IFERROR(('Final Calculation Sheet'!$Q$10)&amp;"","")="",ISNUMBER(SEARCH($AS$77:$AZ$77,IFERROR(('Final Calculation Sheet'!$Q$10)&amp;"","")))))&gt;0),IF(COUNTIF($BI$77:$BP$77,2)=0,TRUE,SUMPRODUCT(($BI$77:$BP$77=2)*($AS$77:$AZ$77&lt;&gt;"")*IF(((UPPER($AS$77:$AZ$77)="BLANK")+(UPPER($AS$77:$AZ$77)="(BLANK)")+(UPPER($AS$77:$AZ$77)="EMPTY")+(UPPER($AS$77:$AZ$77)="(EMPTY)"))&gt;0,IFERROR(('Final Calculation Sheet'!$Q$10)&amp;"","")="",ISNUMBER(SEARCH($AS$77:$AZ$77,IFERROR(('Final Calculation Sheet'!$Q$10)&amp;"","")))))&gt;0),IF(COUNTIF($BI$77:$BP$77,3)=0,TRUE,SUMPRODUCT(($BI$77:$BP$77=3)*($AS$77:$AZ$77&lt;&gt;"")*IF(((UPPER($AS$77:$AZ$77)="BLANK")+(UPPER($AS$77:$AZ$77)="(BLANK)")+(UPPER($AS$77:$AZ$77)="EMPTY")+(UPPER($AS$77:$AZ$77)="(EMPTY)"))&gt;0,IFERROR(('Final Calculation Sheet'!$Q$10)&amp;"","")="",ISNUMBER(SEARCH($AS$77:$AZ$77,IFERROR(('Final Calculation Sheet'!$Q$10)&amp;"","")))))&gt;0),IF(COUNTIF($BI$77:$BP$77,4)=0,TRUE,SUMPRODUCT(($BI$77:$BP$77=4)*($AS$77:$AZ$77&lt;&gt;"")*IF(((UPPER($AS$77:$AZ$77)="BLANK")+(UPPER($AS$77:$AZ$77)="(BLANK)")+(UPPER($AS$77:$AZ$77)="EMPTY")+(UPPER($AS$77:$AZ$77)="(EMPTY)"))&gt;0,IFERROR(('Final Calculation Sheet'!$Q$10)&amp;"","")="",ISNUMBER(SEARCH($AS$77:$AZ$77,IFERROR(('Final Calculation Sheet'!$Q$10)&amp;"","")))))&gt;0),IF(COUNTIF($BI$77:$BP$77,5)=0,TRUE,SUMPRODUCT(($BI$77:$BP$77=5)*($AS$77:$AZ$77&lt;&gt;"")*IF(((UPPER($AS$77:$AZ$77)="BLANK")+(UPPER($AS$77:$AZ$77)="(BLANK)")+(UPPER($AS$77:$AZ$77)="EMPTY")+(UPPER($AS$77:$AZ$77)="(EMPTY)"))&gt;0,IFERROR(('Final Calculation Sheet'!$Q$10)&amp;"","")="",ISNUMBER(SEARCH($AS$77:$AZ$77,IFERROR(('Final Calculation Sheet'!$Q$10)&amp;"","")))))&gt;0),IF(COUNTIF($BI$77:$BP$77,6)=0,TRUE,SUMPRODUCT(($BI$77:$BP$77=6)*($AS$77:$AZ$77&lt;&gt;"")*IF(((UPPER($AS$77:$AZ$77)="BLANK")+(UPPER($AS$77:$AZ$77)="(BLANK)")+(UPPER($AS$77:$AZ$77)="EMPTY")+(UPPER($AS$77:$AZ$77)="(EMPTY)"))&gt;0,IFERROR(('Final Calculation Sheet'!$Q$10)&amp;"","")="",ISNUMBER(SEARCH($AS$77:$AZ$77,IFERROR(('Final Calculation Sheet'!$Q$10)&amp;"","")))))&gt;0),IF(COUNTIF($BI$77:$BP$77,7)=0,TRUE,SUMPRODUCT(($BI$77:$BP$77=7)*($AS$77:$AZ$77&lt;&gt;"")*IF(((UPPER($AS$77:$AZ$77)="BLANK")+(UPPER($AS$77:$AZ$77)="(BLANK)")+(UPPER($AS$77:$AZ$77)="EMPTY")+(UPPER($AS$77:$AZ$77)="(EMPTY)"))&gt;0,IFERROR(('Final Calculation Sheet'!$Q$10)&amp;"","")="",ISNUMBER(SEARCH($AS$77:$AZ$77,IFERROR(('Final Calculation Sheet'!$Q$10)&amp;"","")))))&gt;0),IF(COUNTIF($BI$77:$BP$77,8)=0,TRUE,SUMPRODUCT(($BI$77:$BP$77=8)*($AS$77:$AZ$77&lt;&gt;"")*IF(((UPPER($AS$77:$AZ$77)="BLANK")+(UPPER($AS$77:$AZ$77)="(BLANK)")+(UPPER($AS$77:$AZ$77)="EMPTY")+(UPPER($AS$77:$AZ$77)="(EMPTY)"))&gt;0,IFERROR(('Final Calculation Sheet'!$Q$10)&amp;"","")="",ISNUMBER(SEARCH($AS$77:$AZ$77,IFERROR(('Final Calculation Sheet'!$Q$10)&amp;"","")))))&gt;0))))</f>
        <v>1</v>
      </c>
      <c r="CE11">
        <f>IF($S$4="",1,--(AND(SUMPRODUCT(--($AS$78:$AZ$78&lt;&gt;""))&gt;0,IF(COUNTIF($BI$78:$BP$78,1)=0,TRUE,SUMPRODUCT(($BI$78:$BP$78=1)*($AS$78:$AZ$78&lt;&gt;"")*IF(((UPPER($AS$78:$AZ$78)="BLANK")+(UPPER($AS$78:$AZ$78)="(BLANK)")+(UPPER($AS$78:$AZ$78)="EMPTY")+(UPPER($AS$78:$AZ$78)="(EMPTY)"))&gt;0,IFERROR(('Final Calculation Sheet'!$R$10)&amp;"","")="",ISNUMBER(SEARCH($AS$78:$AZ$78,IFERROR(('Final Calculation Sheet'!$R$10)&amp;"","")))))&gt;0),IF(COUNTIF($BI$78:$BP$78,2)=0,TRUE,SUMPRODUCT(($BI$78:$BP$78=2)*($AS$78:$AZ$78&lt;&gt;"")*IF(((UPPER($AS$78:$AZ$78)="BLANK")+(UPPER($AS$78:$AZ$78)="(BLANK)")+(UPPER($AS$78:$AZ$78)="EMPTY")+(UPPER($AS$78:$AZ$78)="(EMPTY)"))&gt;0,IFERROR(('Final Calculation Sheet'!$R$10)&amp;"","")="",ISNUMBER(SEARCH($AS$78:$AZ$78,IFERROR(('Final Calculation Sheet'!$R$10)&amp;"","")))))&gt;0),IF(COUNTIF($BI$78:$BP$78,3)=0,TRUE,SUMPRODUCT(($BI$78:$BP$78=3)*($AS$78:$AZ$78&lt;&gt;"")*IF(((UPPER($AS$78:$AZ$78)="BLANK")+(UPPER($AS$78:$AZ$78)="(BLANK)")+(UPPER($AS$78:$AZ$78)="EMPTY")+(UPPER($AS$78:$AZ$78)="(EMPTY)"))&gt;0,IFERROR(('Final Calculation Sheet'!$R$10)&amp;"","")="",ISNUMBER(SEARCH($AS$78:$AZ$78,IFERROR(('Final Calculation Sheet'!$R$10)&amp;"","")))))&gt;0),IF(COUNTIF($BI$78:$BP$78,4)=0,TRUE,SUMPRODUCT(($BI$78:$BP$78=4)*($AS$78:$AZ$78&lt;&gt;"")*IF(((UPPER($AS$78:$AZ$78)="BLANK")+(UPPER($AS$78:$AZ$78)="(BLANK)")+(UPPER($AS$78:$AZ$78)="EMPTY")+(UPPER($AS$78:$AZ$78)="(EMPTY)"))&gt;0,IFERROR(('Final Calculation Sheet'!$R$10)&amp;"","")="",ISNUMBER(SEARCH($AS$78:$AZ$78,IFERROR(('Final Calculation Sheet'!$R$10)&amp;"","")))))&gt;0),IF(COUNTIF($BI$78:$BP$78,5)=0,TRUE,SUMPRODUCT(($BI$78:$BP$78=5)*($AS$78:$AZ$78&lt;&gt;"")*IF(((UPPER($AS$78:$AZ$78)="BLANK")+(UPPER($AS$78:$AZ$78)="(BLANK)")+(UPPER($AS$78:$AZ$78)="EMPTY")+(UPPER($AS$78:$AZ$78)="(EMPTY)"))&gt;0,IFERROR(('Final Calculation Sheet'!$R$10)&amp;"","")="",ISNUMBER(SEARCH($AS$78:$AZ$78,IFERROR(('Final Calculation Sheet'!$R$10)&amp;"","")))))&gt;0),IF(COUNTIF($BI$78:$BP$78,6)=0,TRUE,SUMPRODUCT(($BI$78:$BP$78=6)*($AS$78:$AZ$78&lt;&gt;"")*IF(((UPPER($AS$78:$AZ$78)="BLANK")+(UPPER($AS$78:$AZ$78)="(BLANK)")+(UPPER($AS$78:$AZ$78)="EMPTY")+(UPPER($AS$78:$AZ$78)="(EMPTY)"))&gt;0,IFERROR(('Final Calculation Sheet'!$R$10)&amp;"","")="",ISNUMBER(SEARCH($AS$78:$AZ$78,IFERROR(('Final Calculation Sheet'!$R$10)&amp;"","")))))&gt;0),IF(COUNTIF($BI$78:$BP$78,7)=0,TRUE,SUMPRODUCT(($BI$78:$BP$78=7)*($AS$78:$AZ$78&lt;&gt;"")*IF(((UPPER($AS$78:$AZ$78)="BLANK")+(UPPER($AS$78:$AZ$78)="(BLANK)")+(UPPER($AS$78:$AZ$78)="EMPTY")+(UPPER($AS$78:$AZ$78)="(EMPTY)"))&gt;0,IFERROR(('Final Calculation Sheet'!$R$10)&amp;"","")="",ISNUMBER(SEARCH($AS$78:$AZ$78,IFERROR(('Final Calculation Sheet'!$R$10)&amp;"","")))))&gt;0),IF(COUNTIF($BI$78:$BP$78,8)=0,TRUE,SUMPRODUCT(($BI$78:$BP$78=8)*($AS$78:$AZ$78&lt;&gt;"")*IF(((UPPER($AS$78:$AZ$78)="BLANK")+(UPPER($AS$78:$AZ$78)="(BLANK)")+(UPPER($AS$78:$AZ$78)="EMPTY")+(UPPER($AS$78:$AZ$78)="(EMPTY)"))&gt;0,IFERROR(('Final Calculation Sheet'!$R$10)&amp;"","")="",ISNUMBER(SEARCH($AS$78:$AZ$78,IFERROR(('Final Calculation Sheet'!$R$10)&amp;"","")))))&gt;0))))</f>
        <v>1</v>
      </c>
      <c r="CF11">
        <f>IF($T$4="",1,--(AND(SUMPRODUCT(--($AS$79:$AZ$79&lt;&gt;""))&gt;0,IF(COUNTIF($BI$79:$BP$79,1)=0,TRUE,SUMPRODUCT(($BI$79:$BP$79=1)*($AS$79:$AZ$79&lt;&gt;"")*IF(((UPPER($AS$79:$AZ$79)="BLANK")+(UPPER($AS$79:$AZ$79)="(BLANK)")+(UPPER($AS$79:$AZ$79)="EMPTY")+(UPPER($AS$79:$AZ$79)="(EMPTY)"))&gt;0,IFERROR(('Final Calculation Sheet'!$S$10)&amp;"","")="",ISNUMBER(SEARCH($AS$79:$AZ$79,IFERROR(('Final Calculation Sheet'!$S$10)&amp;"","")))))&gt;0),IF(COUNTIF($BI$79:$BP$79,2)=0,TRUE,SUMPRODUCT(($BI$79:$BP$79=2)*($AS$79:$AZ$79&lt;&gt;"")*IF(((UPPER($AS$79:$AZ$79)="BLANK")+(UPPER($AS$79:$AZ$79)="(BLANK)")+(UPPER($AS$79:$AZ$79)="EMPTY")+(UPPER($AS$79:$AZ$79)="(EMPTY)"))&gt;0,IFERROR(('Final Calculation Sheet'!$S$10)&amp;"","")="",ISNUMBER(SEARCH($AS$79:$AZ$79,IFERROR(('Final Calculation Sheet'!$S$10)&amp;"","")))))&gt;0),IF(COUNTIF($BI$79:$BP$79,3)=0,TRUE,SUMPRODUCT(($BI$79:$BP$79=3)*($AS$79:$AZ$79&lt;&gt;"")*IF(((UPPER($AS$79:$AZ$79)="BLANK")+(UPPER($AS$79:$AZ$79)="(BLANK)")+(UPPER($AS$79:$AZ$79)="EMPTY")+(UPPER($AS$79:$AZ$79)="(EMPTY)"))&gt;0,IFERROR(('Final Calculation Sheet'!$S$10)&amp;"","")="",ISNUMBER(SEARCH($AS$79:$AZ$79,IFERROR(('Final Calculation Sheet'!$S$10)&amp;"","")))))&gt;0),IF(COUNTIF($BI$79:$BP$79,4)=0,TRUE,SUMPRODUCT(($BI$79:$BP$79=4)*($AS$79:$AZ$79&lt;&gt;"")*IF(((UPPER($AS$79:$AZ$79)="BLANK")+(UPPER($AS$79:$AZ$79)="(BLANK)")+(UPPER($AS$79:$AZ$79)="EMPTY")+(UPPER($AS$79:$AZ$79)="(EMPTY)"))&gt;0,IFERROR(('Final Calculation Sheet'!$S$10)&amp;"","")="",ISNUMBER(SEARCH($AS$79:$AZ$79,IFERROR(('Final Calculation Sheet'!$S$10)&amp;"","")))))&gt;0),IF(COUNTIF($BI$79:$BP$79,5)=0,TRUE,SUMPRODUCT(($BI$79:$BP$79=5)*($AS$79:$AZ$79&lt;&gt;"")*IF(((UPPER($AS$79:$AZ$79)="BLANK")+(UPPER($AS$79:$AZ$79)="(BLANK)")+(UPPER($AS$79:$AZ$79)="EMPTY")+(UPPER($AS$79:$AZ$79)="(EMPTY)"))&gt;0,IFERROR(('Final Calculation Sheet'!$S$10)&amp;"","")="",ISNUMBER(SEARCH($AS$79:$AZ$79,IFERROR(('Final Calculation Sheet'!$S$10)&amp;"","")))))&gt;0),IF(COUNTIF($BI$79:$BP$79,6)=0,TRUE,SUMPRODUCT(($BI$79:$BP$79=6)*($AS$79:$AZ$79&lt;&gt;"")*IF(((UPPER($AS$79:$AZ$79)="BLANK")+(UPPER($AS$79:$AZ$79)="(BLANK)")+(UPPER($AS$79:$AZ$79)="EMPTY")+(UPPER($AS$79:$AZ$79)="(EMPTY)"))&gt;0,IFERROR(('Final Calculation Sheet'!$S$10)&amp;"","")="",ISNUMBER(SEARCH($AS$79:$AZ$79,IFERROR(('Final Calculation Sheet'!$S$10)&amp;"","")))))&gt;0),IF(COUNTIF($BI$79:$BP$79,7)=0,TRUE,SUMPRODUCT(($BI$79:$BP$79=7)*($AS$79:$AZ$79&lt;&gt;"")*IF(((UPPER($AS$79:$AZ$79)="BLANK")+(UPPER($AS$79:$AZ$79)="(BLANK)")+(UPPER($AS$79:$AZ$79)="EMPTY")+(UPPER($AS$79:$AZ$79)="(EMPTY)"))&gt;0,IFERROR(('Final Calculation Sheet'!$S$10)&amp;"","")="",ISNUMBER(SEARCH($AS$79:$AZ$79,IFERROR(('Final Calculation Sheet'!$S$10)&amp;"","")))))&gt;0),IF(COUNTIF($BI$79:$BP$79,8)=0,TRUE,SUMPRODUCT(($BI$79:$BP$79=8)*($AS$79:$AZ$79&lt;&gt;"")*IF(((UPPER($AS$79:$AZ$79)="BLANK")+(UPPER($AS$79:$AZ$79)="(BLANK)")+(UPPER($AS$79:$AZ$79)="EMPTY")+(UPPER($AS$79:$AZ$79)="(EMPTY)"))&gt;0,IFERROR(('Final Calculation Sheet'!$S$10)&amp;"","")="",ISNUMBER(SEARCH($AS$79:$AZ$79,IFERROR(('Final Calculation Sheet'!$S$10)&amp;"","")))))&gt;0))))</f>
        <v>1</v>
      </c>
      <c r="CG11">
        <f>IF($U$4="",1,--(AND(SUMPRODUCT(--($AS$80:$AZ$80&lt;&gt;""))&gt;0,IF(COUNTIF($BI$80:$BP$80,1)=0,TRUE,SUMPRODUCT(($BI$80:$BP$80=1)*($AS$80:$AZ$80&lt;&gt;"")*IF(((UPPER($AS$80:$AZ$80)="BLANK")+(UPPER($AS$80:$AZ$80)="(BLANK)")+(UPPER($AS$80:$AZ$80)="EMPTY")+(UPPER($AS$80:$AZ$80)="(EMPTY)"))&gt;0,IFERROR(('Final Calculation Sheet'!$T$10)&amp;"","")="",ISNUMBER(SEARCH($AS$80:$AZ$80,IFERROR(('Final Calculation Sheet'!$T$10)&amp;"","")))))&gt;0),IF(COUNTIF($BI$80:$BP$80,2)=0,TRUE,SUMPRODUCT(($BI$80:$BP$80=2)*($AS$80:$AZ$80&lt;&gt;"")*IF(((UPPER($AS$80:$AZ$80)="BLANK")+(UPPER($AS$80:$AZ$80)="(BLANK)")+(UPPER($AS$80:$AZ$80)="EMPTY")+(UPPER($AS$80:$AZ$80)="(EMPTY)"))&gt;0,IFERROR(('Final Calculation Sheet'!$T$10)&amp;"","")="",ISNUMBER(SEARCH($AS$80:$AZ$80,IFERROR(('Final Calculation Sheet'!$T$10)&amp;"","")))))&gt;0),IF(COUNTIF($BI$80:$BP$80,3)=0,TRUE,SUMPRODUCT(($BI$80:$BP$80=3)*($AS$80:$AZ$80&lt;&gt;"")*IF(((UPPER($AS$80:$AZ$80)="BLANK")+(UPPER($AS$80:$AZ$80)="(BLANK)")+(UPPER($AS$80:$AZ$80)="EMPTY")+(UPPER($AS$80:$AZ$80)="(EMPTY)"))&gt;0,IFERROR(('Final Calculation Sheet'!$T$10)&amp;"","")="",ISNUMBER(SEARCH($AS$80:$AZ$80,IFERROR(('Final Calculation Sheet'!$T$10)&amp;"","")))))&gt;0),IF(COUNTIF($BI$80:$BP$80,4)=0,TRUE,SUMPRODUCT(($BI$80:$BP$80=4)*($AS$80:$AZ$80&lt;&gt;"")*IF(((UPPER($AS$80:$AZ$80)="BLANK")+(UPPER($AS$80:$AZ$80)="(BLANK)")+(UPPER($AS$80:$AZ$80)="EMPTY")+(UPPER($AS$80:$AZ$80)="(EMPTY)"))&gt;0,IFERROR(('Final Calculation Sheet'!$T$10)&amp;"","")="",ISNUMBER(SEARCH($AS$80:$AZ$80,IFERROR(('Final Calculation Sheet'!$T$10)&amp;"","")))))&gt;0),IF(COUNTIF($BI$80:$BP$80,5)=0,TRUE,SUMPRODUCT(($BI$80:$BP$80=5)*($AS$80:$AZ$80&lt;&gt;"")*IF(((UPPER($AS$80:$AZ$80)="BLANK")+(UPPER($AS$80:$AZ$80)="(BLANK)")+(UPPER($AS$80:$AZ$80)="EMPTY")+(UPPER($AS$80:$AZ$80)="(EMPTY)"))&gt;0,IFERROR(('Final Calculation Sheet'!$T$10)&amp;"","")="",ISNUMBER(SEARCH($AS$80:$AZ$80,IFERROR(('Final Calculation Sheet'!$T$10)&amp;"","")))))&gt;0),IF(COUNTIF($BI$80:$BP$80,6)=0,TRUE,SUMPRODUCT(($BI$80:$BP$80=6)*($AS$80:$AZ$80&lt;&gt;"")*IF(((UPPER($AS$80:$AZ$80)="BLANK")+(UPPER($AS$80:$AZ$80)="(BLANK)")+(UPPER($AS$80:$AZ$80)="EMPTY")+(UPPER($AS$80:$AZ$80)="(EMPTY)"))&gt;0,IFERROR(('Final Calculation Sheet'!$T$10)&amp;"","")="",ISNUMBER(SEARCH($AS$80:$AZ$80,IFERROR(('Final Calculation Sheet'!$T$10)&amp;"","")))))&gt;0),IF(COUNTIF($BI$80:$BP$80,7)=0,TRUE,SUMPRODUCT(($BI$80:$BP$80=7)*($AS$80:$AZ$80&lt;&gt;"")*IF(((UPPER($AS$80:$AZ$80)="BLANK")+(UPPER($AS$80:$AZ$80)="(BLANK)")+(UPPER($AS$80:$AZ$80)="EMPTY")+(UPPER($AS$80:$AZ$80)="(EMPTY)"))&gt;0,IFERROR(('Final Calculation Sheet'!$T$10)&amp;"","")="",ISNUMBER(SEARCH($AS$80:$AZ$80,IFERROR(('Final Calculation Sheet'!$T$10)&amp;"","")))))&gt;0),IF(COUNTIF($BI$80:$BP$80,8)=0,TRUE,SUMPRODUCT(($BI$80:$BP$80=8)*($AS$80:$AZ$80&lt;&gt;"")*IF(((UPPER($AS$80:$AZ$80)="BLANK")+(UPPER($AS$80:$AZ$80)="(BLANK)")+(UPPER($AS$80:$AZ$80)="EMPTY")+(UPPER($AS$80:$AZ$80)="(EMPTY)"))&gt;0,IFERROR(('Final Calculation Sheet'!$T$10)&amp;"","")="",ISNUMBER(SEARCH($AS$80:$AZ$80,IFERROR(('Final Calculation Sheet'!$T$10)&amp;"","")))))&gt;0))))</f>
        <v>1</v>
      </c>
      <c r="CH11">
        <f>IF($V$4="",1,--(AND(SUMPRODUCT(--($AS$81:$AZ$81&lt;&gt;""))&gt;0,IF(COUNTIF($BI$81:$BP$81,1)=0,TRUE,SUMPRODUCT(($BI$81:$BP$81=1)*($AS$81:$AZ$81&lt;&gt;"")*IF(((UPPER($AS$81:$AZ$81)="BLANK")+(UPPER($AS$81:$AZ$81)="(BLANK)")+(UPPER($AS$81:$AZ$81)="EMPTY")+(UPPER($AS$81:$AZ$81)="(EMPTY)"))&gt;0,IFERROR(('Final Calculation Sheet'!$U$10)&amp;"","")="",ISNUMBER(SEARCH($AS$81:$AZ$81,IFERROR(('Final Calculation Sheet'!$U$10)&amp;"","")))))&gt;0),IF(COUNTIF($BI$81:$BP$81,2)=0,TRUE,SUMPRODUCT(($BI$81:$BP$81=2)*($AS$81:$AZ$81&lt;&gt;"")*IF(((UPPER($AS$81:$AZ$81)="BLANK")+(UPPER($AS$81:$AZ$81)="(BLANK)")+(UPPER($AS$81:$AZ$81)="EMPTY")+(UPPER($AS$81:$AZ$81)="(EMPTY)"))&gt;0,IFERROR(('Final Calculation Sheet'!$U$10)&amp;"","")="",ISNUMBER(SEARCH($AS$81:$AZ$81,IFERROR(('Final Calculation Sheet'!$U$10)&amp;"","")))))&gt;0),IF(COUNTIF($BI$81:$BP$81,3)=0,TRUE,SUMPRODUCT(($BI$81:$BP$81=3)*($AS$81:$AZ$81&lt;&gt;"")*IF(((UPPER($AS$81:$AZ$81)="BLANK")+(UPPER($AS$81:$AZ$81)="(BLANK)")+(UPPER($AS$81:$AZ$81)="EMPTY")+(UPPER($AS$81:$AZ$81)="(EMPTY)"))&gt;0,IFERROR(('Final Calculation Sheet'!$U$10)&amp;"","")="",ISNUMBER(SEARCH($AS$81:$AZ$81,IFERROR(('Final Calculation Sheet'!$U$10)&amp;"","")))))&gt;0),IF(COUNTIF($BI$81:$BP$81,4)=0,TRUE,SUMPRODUCT(($BI$81:$BP$81=4)*($AS$81:$AZ$81&lt;&gt;"")*IF(((UPPER($AS$81:$AZ$81)="BLANK")+(UPPER($AS$81:$AZ$81)="(BLANK)")+(UPPER($AS$81:$AZ$81)="EMPTY")+(UPPER($AS$81:$AZ$81)="(EMPTY)"))&gt;0,IFERROR(('Final Calculation Sheet'!$U$10)&amp;"","")="",ISNUMBER(SEARCH($AS$81:$AZ$81,IFERROR(('Final Calculation Sheet'!$U$10)&amp;"","")))))&gt;0),IF(COUNTIF($BI$81:$BP$81,5)=0,TRUE,SUMPRODUCT(($BI$81:$BP$81=5)*($AS$81:$AZ$81&lt;&gt;"")*IF(((UPPER($AS$81:$AZ$81)="BLANK")+(UPPER($AS$81:$AZ$81)="(BLANK)")+(UPPER($AS$81:$AZ$81)="EMPTY")+(UPPER($AS$81:$AZ$81)="(EMPTY)"))&gt;0,IFERROR(('Final Calculation Sheet'!$U$10)&amp;"","")="",ISNUMBER(SEARCH($AS$81:$AZ$81,IFERROR(('Final Calculation Sheet'!$U$10)&amp;"","")))))&gt;0),IF(COUNTIF($BI$81:$BP$81,6)=0,TRUE,SUMPRODUCT(($BI$81:$BP$81=6)*($AS$81:$AZ$81&lt;&gt;"")*IF(((UPPER($AS$81:$AZ$81)="BLANK")+(UPPER($AS$81:$AZ$81)="(BLANK)")+(UPPER($AS$81:$AZ$81)="EMPTY")+(UPPER($AS$81:$AZ$81)="(EMPTY)"))&gt;0,IFERROR(('Final Calculation Sheet'!$U$10)&amp;"","")="",ISNUMBER(SEARCH($AS$81:$AZ$81,IFERROR(('Final Calculation Sheet'!$U$10)&amp;"","")))))&gt;0),IF(COUNTIF($BI$81:$BP$81,7)=0,TRUE,SUMPRODUCT(($BI$81:$BP$81=7)*($AS$81:$AZ$81&lt;&gt;"")*IF(((UPPER($AS$81:$AZ$81)="BLANK")+(UPPER($AS$81:$AZ$81)="(BLANK)")+(UPPER($AS$81:$AZ$81)="EMPTY")+(UPPER($AS$81:$AZ$81)="(EMPTY)"))&gt;0,IFERROR(('Final Calculation Sheet'!$U$10)&amp;"","")="",ISNUMBER(SEARCH($AS$81:$AZ$81,IFERROR(('Final Calculation Sheet'!$U$10)&amp;"","")))))&gt;0),IF(COUNTIF($BI$81:$BP$81,8)=0,TRUE,SUMPRODUCT(($BI$81:$BP$81=8)*($AS$81:$AZ$81&lt;&gt;"")*IF(((UPPER($AS$81:$AZ$81)="BLANK")+(UPPER($AS$81:$AZ$81)="(BLANK)")+(UPPER($AS$81:$AZ$81)="EMPTY")+(UPPER($AS$81:$AZ$81)="(EMPTY)"))&gt;0,IFERROR(('Final Calculation Sheet'!$U$10)&amp;"","")="",ISNUMBER(SEARCH($AS$81:$AZ$81,IFERROR(('Final Calculation Sheet'!$U$10)&amp;"","")))))&gt;0))))</f>
        <v>1</v>
      </c>
      <c r="CI11">
        <f>IF($W$4="",1,--(AND(SUMPRODUCT(--($AS$82:$AZ$82&lt;&gt;""))&gt;0,IF(COUNTIF($BI$82:$BP$82,1)=0,TRUE,SUMPRODUCT(($BI$82:$BP$82=1)*($AS$82:$AZ$82&lt;&gt;"")*IF(((UPPER($AS$82:$AZ$82)="BLANK")+(UPPER($AS$82:$AZ$82)="(BLANK)")+(UPPER($AS$82:$AZ$82)="EMPTY")+(UPPER($AS$82:$AZ$82)="(EMPTY)"))&gt;0,IFERROR(('Final Calculation Sheet'!$V$10)&amp;"","")="",ISNUMBER(SEARCH($AS$82:$AZ$82,IFERROR(('Final Calculation Sheet'!$V$10)&amp;"","")))))&gt;0),IF(COUNTIF($BI$82:$BP$82,2)=0,TRUE,SUMPRODUCT(($BI$82:$BP$82=2)*($AS$82:$AZ$82&lt;&gt;"")*IF(((UPPER($AS$82:$AZ$82)="BLANK")+(UPPER($AS$82:$AZ$82)="(BLANK)")+(UPPER($AS$82:$AZ$82)="EMPTY")+(UPPER($AS$82:$AZ$82)="(EMPTY)"))&gt;0,IFERROR(('Final Calculation Sheet'!$V$10)&amp;"","")="",ISNUMBER(SEARCH($AS$82:$AZ$82,IFERROR(('Final Calculation Sheet'!$V$10)&amp;"","")))))&gt;0),IF(COUNTIF($BI$82:$BP$82,3)=0,TRUE,SUMPRODUCT(($BI$82:$BP$82=3)*($AS$82:$AZ$82&lt;&gt;"")*IF(((UPPER($AS$82:$AZ$82)="BLANK")+(UPPER($AS$82:$AZ$82)="(BLANK)")+(UPPER($AS$82:$AZ$82)="EMPTY")+(UPPER($AS$82:$AZ$82)="(EMPTY)"))&gt;0,IFERROR(('Final Calculation Sheet'!$V$10)&amp;"","")="",ISNUMBER(SEARCH($AS$82:$AZ$82,IFERROR(('Final Calculation Sheet'!$V$10)&amp;"","")))))&gt;0),IF(COUNTIF($BI$82:$BP$82,4)=0,TRUE,SUMPRODUCT(($BI$82:$BP$82=4)*($AS$82:$AZ$82&lt;&gt;"")*IF(((UPPER($AS$82:$AZ$82)="BLANK")+(UPPER($AS$82:$AZ$82)="(BLANK)")+(UPPER($AS$82:$AZ$82)="EMPTY")+(UPPER($AS$82:$AZ$82)="(EMPTY)"))&gt;0,IFERROR(('Final Calculation Sheet'!$V$10)&amp;"","")="",ISNUMBER(SEARCH($AS$82:$AZ$82,IFERROR(('Final Calculation Sheet'!$V$10)&amp;"","")))))&gt;0),IF(COUNTIF($BI$82:$BP$82,5)=0,TRUE,SUMPRODUCT(($BI$82:$BP$82=5)*($AS$82:$AZ$82&lt;&gt;"")*IF(((UPPER($AS$82:$AZ$82)="BLANK")+(UPPER($AS$82:$AZ$82)="(BLANK)")+(UPPER($AS$82:$AZ$82)="EMPTY")+(UPPER($AS$82:$AZ$82)="(EMPTY)"))&gt;0,IFERROR(('Final Calculation Sheet'!$V$10)&amp;"","")="",ISNUMBER(SEARCH($AS$82:$AZ$82,IFERROR(('Final Calculation Sheet'!$V$10)&amp;"","")))))&gt;0),IF(COUNTIF($BI$82:$BP$82,6)=0,TRUE,SUMPRODUCT(($BI$82:$BP$82=6)*($AS$82:$AZ$82&lt;&gt;"")*IF(((UPPER($AS$82:$AZ$82)="BLANK")+(UPPER($AS$82:$AZ$82)="(BLANK)")+(UPPER($AS$82:$AZ$82)="EMPTY")+(UPPER($AS$82:$AZ$82)="(EMPTY)"))&gt;0,IFERROR(('Final Calculation Sheet'!$V$10)&amp;"","")="",ISNUMBER(SEARCH($AS$82:$AZ$82,IFERROR(('Final Calculation Sheet'!$V$10)&amp;"","")))))&gt;0),IF(COUNTIF($BI$82:$BP$82,7)=0,TRUE,SUMPRODUCT(($BI$82:$BP$82=7)*($AS$82:$AZ$82&lt;&gt;"")*IF(((UPPER($AS$82:$AZ$82)="BLANK")+(UPPER($AS$82:$AZ$82)="(BLANK)")+(UPPER($AS$82:$AZ$82)="EMPTY")+(UPPER($AS$82:$AZ$82)="(EMPTY)"))&gt;0,IFERROR(('Final Calculation Sheet'!$V$10)&amp;"","")="",ISNUMBER(SEARCH($AS$82:$AZ$82,IFERROR(('Final Calculation Sheet'!$V$10)&amp;"","")))))&gt;0),IF(COUNTIF($BI$82:$BP$82,8)=0,TRUE,SUMPRODUCT(($BI$82:$BP$82=8)*($AS$82:$AZ$82&lt;&gt;"")*IF(((UPPER($AS$82:$AZ$82)="BLANK")+(UPPER($AS$82:$AZ$82)="(BLANK)")+(UPPER($AS$82:$AZ$82)="EMPTY")+(UPPER($AS$82:$AZ$82)="(EMPTY)"))&gt;0,IFERROR(('Final Calculation Sheet'!$V$10)&amp;"","")="",ISNUMBER(SEARCH($AS$82:$AZ$82,IFERROR(('Final Calculation Sheet'!$V$10)&amp;"","")))))&gt;0))))</f>
        <v>1</v>
      </c>
      <c r="CJ11">
        <f>IF($X$4="",1,--(AND(SUMPRODUCT(--($AS$83:$AZ$83&lt;&gt;""))&gt;0,IF(COUNTIF($BI$83:$BP$83,1)=0,TRUE,SUMPRODUCT(($BI$83:$BP$83=1)*($AS$83:$AZ$83&lt;&gt;"")*IF(((UPPER($AS$83:$AZ$83)="BLANK")+(UPPER($AS$83:$AZ$83)="(BLANK)")+(UPPER($AS$83:$AZ$83)="EMPTY")+(UPPER($AS$83:$AZ$83)="(EMPTY)"))&gt;0,IFERROR(('Final Calculation Sheet'!$W$10)&amp;"","")="",ISNUMBER(SEARCH($AS$83:$AZ$83,IFERROR(('Final Calculation Sheet'!$W$10)&amp;"","")))))&gt;0),IF(COUNTIF($BI$83:$BP$83,2)=0,TRUE,SUMPRODUCT(($BI$83:$BP$83=2)*($AS$83:$AZ$83&lt;&gt;"")*IF(((UPPER($AS$83:$AZ$83)="BLANK")+(UPPER($AS$83:$AZ$83)="(BLANK)")+(UPPER($AS$83:$AZ$83)="EMPTY")+(UPPER($AS$83:$AZ$83)="(EMPTY)"))&gt;0,IFERROR(('Final Calculation Sheet'!$W$10)&amp;"","")="",ISNUMBER(SEARCH($AS$83:$AZ$83,IFERROR(('Final Calculation Sheet'!$W$10)&amp;"","")))))&gt;0),IF(COUNTIF($BI$83:$BP$83,3)=0,TRUE,SUMPRODUCT(($BI$83:$BP$83=3)*($AS$83:$AZ$83&lt;&gt;"")*IF(((UPPER($AS$83:$AZ$83)="BLANK")+(UPPER($AS$83:$AZ$83)="(BLANK)")+(UPPER($AS$83:$AZ$83)="EMPTY")+(UPPER($AS$83:$AZ$83)="(EMPTY)"))&gt;0,IFERROR(('Final Calculation Sheet'!$W$10)&amp;"","")="",ISNUMBER(SEARCH($AS$83:$AZ$83,IFERROR(('Final Calculation Sheet'!$W$10)&amp;"","")))))&gt;0),IF(COUNTIF($BI$83:$BP$83,4)=0,TRUE,SUMPRODUCT(($BI$83:$BP$83=4)*($AS$83:$AZ$83&lt;&gt;"")*IF(((UPPER($AS$83:$AZ$83)="BLANK")+(UPPER($AS$83:$AZ$83)="(BLANK)")+(UPPER($AS$83:$AZ$83)="EMPTY")+(UPPER($AS$83:$AZ$83)="(EMPTY)"))&gt;0,IFERROR(('Final Calculation Sheet'!$W$10)&amp;"","")="",ISNUMBER(SEARCH($AS$83:$AZ$83,IFERROR(('Final Calculation Sheet'!$W$10)&amp;"","")))))&gt;0),IF(COUNTIF($BI$83:$BP$83,5)=0,TRUE,SUMPRODUCT(($BI$83:$BP$83=5)*($AS$83:$AZ$83&lt;&gt;"")*IF(((UPPER($AS$83:$AZ$83)="BLANK")+(UPPER($AS$83:$AZ$83)="(BLANK)")+(UPPER($AS$83:$AZ$83)="EMPTY")+(UPPER($AS$83:$AZ$83)="(EMPTY)"))&gt;0,IFERROR(('Final Calculation Sheet'!$W$10)&amp;"","")="",ISNUMBER(SEARCH($AS$83:$AZ$83,IFERROR(('Final Calculation Sheet'!$W$10)&amp;"","")))))&gt;0),IF(COUNTIF($BI$83:$BP$83,6)=0,TRUE,SUMPRODUCT(($BI$83:$BP$83=6)*($AS$83:$AZ$83&lt;&gt;"")*IF(((UPPER($AS$83:$AZ$83)="BLANK")+(UPPER($AS$83:$AZ$83)="(BLANK)")+(UPPER($AS$83:$AZ$83)="EMPTY")+(UPPER($AS$83:$AZ$83)="(EMPTY)"))&gt;0,IFERROR(('Final Calculation Sheet'!$W$10)&amp;"","")="",ISNUMBER(SEARCH($AS$83:$AZ$83,IFERROR(('Final Calculation Sheet'!$W$10)&amp;"","")))))&gt;0),IF(COUNTIF($BI$83:$BP$83,7)=0,TRUE,SUMPRODUCT(($BI$83:$BP$83=7)*($AS$83:$AZ$83&lt;&gt;"")*IF(((UPPER($AS$83:$AZ$83)="BLANK")+(UPPER($AS$83:$AZ$83)="(BLANK)")+(UPPER($AS$83:$AZ$83)="EMPTY")+(UPPER($AS$83:$AZ$83)="(EMPTY)"))&gt;0,IFERROR(('Final Calculation Sheet'!$W$10)&amp;"","")="",ISNUMBER(SEARCH($AS$83:$AZ$83,IFERROR(('Final Calculation Sheet'!$W$10)&amp;"","")))))&gt;0),IF(COUNTIF($BI$83:$BP$83,8)=0,TRUE,SUMPRODUCT(($BI$83:$BP$83=8)*($AS$83:$AZ$83&lt;&gt;"")*IF(((UPPER($AS$83:$AZ$83)="BLANK")+(UPPER($AS$83:$AZ$83)="(BLANK)")+(UPPER($AS$83:$AZ$83)="EMPTY")+(UPPER($AS$83:$AZ$83)="(EMPTY)"))&gt;0,IFERROR(('Final Calculation Sheet'!$W$10)&amp;"","")="",ISNUMBER(SEARCH($AS$83:$AZ$83,IFERROR(('Final Calculation Sheet'!$W$10)&amp;"","")))))&gt;0))))</f>
        <v>1</v>
      </c>
      <c r="CK11">
        <f>IF($Y$4="",1,--(AND(SUMPRODUCT(--($AS$84:$AZ$84&lt;&gt;""))&gt;0,IF(COUNTIF($BI$84:$BP$84,1)=0,TRUE,SUMPRODUCT(($BI$84:$BP$84=1)*($AS$84:$AZ$84&lt;&gt;"")*IF(((UPPER($AS$84:$AZ$84)="BLANK")+(UPPER($AS$84:$AZ$84)="(BLANK)")+(UPPER($AS$84:$AZ$84)="EMPTY")+(UPPER($AS$84:$AZ$84)="(EMPTY)"))&gt;0,IFERROR(('Final Calculation Sheet'!$X$10)&amp;"","")="",ISNUMBER(SEARCH($AS$84:$AZ$84,IFERROR(('Final Calculation Sheet'!$X$10)&amp;"","")))))&gt;0),IF(COUNTIF($BI$84:$BP$84,2)=0,TRUE,SUMPRODUCT(($BI$84:$BP$84=2)*($AS$84:$AZ$84&lt;&gt;"")*IF(((UPPER($AS$84:$AZ$84)="BLANK")+(UPPER($AS$84:$AZ$84)="(BLANK)")+(UPPER($AS$84:$AZ$84)="EMPTY")+(UPPER($AS$84:$AZ$84)="(EMPTY)"))&gt;0,IFERROR(('Final Calculation Sheet'!$X$10)&amp;"","")="",ISNUMBER(SEARCH($AS$84:$AZ$84,IFERROR(('Final Calculation Sheet'!$X$10)&amp;"","")))))&gt;0),IF(COUNTIF($BI$84:$BP$84,3)=0,TRUE,SUMPRODUCT(($BI$84:$BP$84=3)*($AS$84:$AZ$84&lt;&gt;"")*IF(((UPPER($AS$84:$AZ$84)="BLANK")+(UPPER($AS$84:$AZ$84)="(BLANK)")+(UPPER($AS$84:$AZ$84)="EMPTY")+(UPPER($AS$84:$AZ$84)="(EMPTY)"))&gt;0,IFERROR(('Final Calculation Sheet'!$X$10)&amp;"","")="",ISNUMBER(SEARCH($AS$84:$AZ$84,IFERROR(('Final Calculation Sheet'!$X$10)&amp;"","")))))&gt;0),IF(COUNTIF($BI$84:$BP$84,4)=0,TRUE,SUMPRODUCT(($BI$84:$BP$84=4)*($AS$84:$AZ$84&lt;&gt;"")*IF(((UPPER($AS$84:$AZ$84)="BLANK")+(UPPER($AS$84:$AZ$84)="(BLANK)")+(UPPER($AS$84:$AZ$84)="EMPTY")+(UPPER($AS$84:$AZ$84)="(EMPTY)"))&gt;0,IFERROR(('Final Calculation Sheet'!$X$10)&amp;"","")="",ISNUMBER(SEARCH($AS$84:$AZ$84,IFERROR(('Final Calculation Sheet'!$X$10)&amp;"","")))))&gt;0),IF(COUNTIF($BI$84:$BP$84,5)=0,TRUE,SUMPRODUCT(($BI$84:$BP$84=5)*($AS$84:$AZ$84&lt;&gt;"")*IF(((UPPER($AS$84:$AZ$84)="BLANK")+(UPPER($AS$84:$AZ$84)="(BLANK)")+(UPPER($AS$84:$AZ$84)="EMPTY")+(UPPER($AS$84:$AZ$84)="(EMPTY)"))&gt;0,IFERROR(('Final Calculation Sheet'!$X$10)&amp;"","")="",ISNUMBER(SEARCH($AS$84:$AZ$84,IFERROR(('Final Calculation Sheet'!$X$10)&amp;"","")))))&gt;0),IF(COUNTIF($BI$84:$BP$84,6)=0,TRUE,SUMPRODUCT(($BI$84:$BP$84=6)*($AS$84:$AZ$84&lt;&gt;"")*IF(((UPPER($AS$84:$AZ$84)="BLANK")+(UPPER($AS$84:$AZ$84)="(BLANK)")+(UPPER($AS$84:$AZ$84)="EMPTY")+(UPPER($AS$84:$AZ$84)="(EMPTY)"))&gt;0,IFERROR(('Final Calculation Sheet'!$X$10)&amp;"","")="",ISNUMBER(SEARCH($AS$84:$AZ$84,IFERROR(('Final Calculation Sheet'!$X$10)&amp;"","")))))&gt;0),IF(COUNTIF($BI$84:$BP$84,7)=0,TRUE,SUMPRODUCT(($BI$84:$BP$84=7)*($AS$84:$AZ$84&lt;&gt;"")*IF(((UPPER($AS$84:$AZ$84)="BLANK")+(UPPER($AS$84:$AZ$84)="(BLANK)")+(UPPER($AS$84:$AZ$84)="EMPTY")+(UPPER($AS$84:$AZ$84)="(EMPTY)"))&gt;0,IFERROR(('Final Calculation Sheet'!$X$10)&amp;"","")="",ISNUMBER(SEARCH($AS$84:$AZ$84,IFERROR(('Final Calculation Sheet'!$X$10)&amp;"","")))))&gt;0),IF(COUNTIF($BI$84:$BP$84,8)=0,TRUE,SUMPRODUCT(($BI$84:$BP$84=8)*($AS$84:$AZ$84&lt;&gt;"")*IF(((UPPER($AS$84:$AZ$84)="BLANK")+(UPPER($AS$84:$AZ$84)="(BLANK)")+(UPPER($AS$84:$AZ$84)="EMPTY")+(UPPER($AS$84:$AZ$84)="(EMPTY)"))&gt;0,IFERROR(('Final Calculation Sheet'!$X$10)&amp;"","")="",ISNUMBER(SEARCH($AS$84:$AZ$84,IFERROR(('Final Calculation Sheet'!$X$10)&amp;"","")))))&gt;0))))</f>
        <v>1</v>
      </c>
      <c r="CL11">
        <f>IF($Z$4="",1,--(AND(SUMPRODUCT(--($AS$85:$AZ$85&lt;&gt;""))&gt;0,IF(COUNTIF($BI$85:$BP$85,1)=0,TRUE,SUMPRODUCT(($BI$85:$BP$85=1)*($AS$85:$AZ$85&lt;&gt;"")*IF(((UPPER($AS$85:$AZ$85)="BLANK")+(UPPER($AS$85:$AZ$85)="(BLANK)")+(UPPER($AS$85:$AZ$85)="EMPTY")+(UPPER($AS$85:$AZ$85)="(EMPTY)"))&gt;0,IFERROR(('Final Calculation Sheet'!$Y$10)&amp;"","")="",ISNUMBER(SEARCH($AS$85:$AZ$85,IFERROR(('Final Calculation Sheet'!$Y$10)&amp;"","")))))&gt;0),IF(COUNTIF($BI$85:$BP$85,2)=0,TRUE,SUMPRODUCT(($BI$85:$BP$85=2)*($AS$85:$AZ$85&lt;&gt;"")*IF(((UPPER($AS$85:$AZ$85)="BLANK")+(UPPER($AS$85:$AZ$85)="(BLANK)")+(UPPER($AS$85:$AZ$85)="EMPTY")+(UPPER($AS$85:$AZ$85)="(EMPTY)"))&gt;0,IFERROR(('Final Calculation Sheet'!$Y$10)&amp;"","")="",ISNUMBER(SEARCH($AS$85:$AZ$85,IFERROR(('Final Calculation Sheet'!$Y$10)&amp;"","")))))&gt;0),IF(COUNTIF($BI$85:$BP$85,3)=0,TRUE,SUMPRODUCT(($BI$85:$BP$85=3)*($AS$85:$AZ$85&lt;&gt;"")*IF(((UPPER($AS$85:$AZ$85)="BLANK")+(UPPER($AS$85:$AZ$85)="(BLANK)")+(UPPER($AS$85:$AZ$85)="EMPTY")+(UPPER($AS$85:$AZ$85)="(EMPTY)"))&gt;0,IFERROR(('Final Calculation Sheet'!$Y$10)&amp;"","")="",ISNUMBER(SEARCH($AS$85:$AZ$85,IFERROR(('Final Calculation Sheet'!$Y$10)&amp;"","")))))&gt;0),IF(COUNTIF($BI$85:$BP$85,4)=0,TRUE,SUMPRODUCT(($BI$85:$BP$85=4)*($AS$85:$AZ$85&lt;&gt;"")*IF(((UPPER($AS$85:$AZ$85)="BLANK")+(UPPER($AS$85:$AZ$85)="(BLANK)")+(UPPER($AS$85:$AZ$85)="EMPTY")+(UPPER($AS$85:$AZ$85)="(EMPTY)"))&gt;0,IFERROR(('Final Calculation Sheet'!$Y$10)&amp;"","")="",ISNUMBER(SEARCH($AS$85:$AZ$85,IFERROR(('Final Calculation Sheet'!$Y$10)&amp;"","")))))&gt;0),IF(COUNTIF($BI$85:$BP$85,5)=0,TRUE,SUMPRODUCT(($BI$85:$BP$85=5)*($AS$85:$AZ$85&lt;&gt;"")*IF(((UPPER($AS$85:$AZ$85)="BLANK")+(UPPER($AS$85:$AZ$85)="(BLANK)")+(UPPER($AS$85:$AZ$85)="EMPTY")+(UPPER($AS$85:$AZ$85)="(EMPTY)"))&gt;0,IFERROR(('Final Calculation Sheet'!$Y$10)&amp;"","")="",ISNUMBER(SEARCH($AS$85:$AZ$85,IFERROR(('Final Calculation Sheet'!$Y$10)&amp;"","")))))&gt;0),IF(COUNTIF($BI$85:$BP$85,6)=0,TRUE,SUMPRODUCT(($BI$85:$BP$85=6)*($AS$85:$AZ$85&lt;&gt;"")*IF(((UPPER($AS$85:$AZ$85)="BLANK")+(UPPER($AS$85:$AZ$85)="(BLANK)")+(UPPER($AS$85:$AZ$85)="EMPTY")+(UPPER($AS$85:$AZ$85)="(EMPTY)"))&gt;0,IFERROR(('Final Calculation Sheet'!$Y$10)&amp;"","")="",ISNUMBER(SEARCH($AS$85:$AZ$85,IFERROR(('Final Calculation Sheet'!$Y$10)&amp;"","")))))&gt;0),IF(COUNTIF($BI$85:$BP$85,7)=0,TRUE,SUMPRODUCT(($BI$85:$BP$85=7)*($AS$85:$AZ$85&lt;&gt;"")*IF(((UPPER($AS$85:$AZ$85)="BLANK")+(UPPER($AS$85:$AZ$85)="(BLANK)")+(UPPER($AS$85:$AZ$85)="EMPTY")+(UPPER($AS$85:$AZ$85)="(EMPTY)"))&gt;0,IFERROR(('Final Calculation Sheet'!$Y$10)&amp;"","")="",ISNUMBER(SEARCH($AS$85:$AZ$85,IFERROR(('Final Calculation Sheet'!$Y$10)&amp;"","")))))&gt;0),IF(COUNTIF($BI$85:$BP$85,8)=0,TRUE,SUMPRODUCT(($BI$85:$BP$85=8)*($AS$85:$AZ$85&lt;&gt;"")*IF(((UPPER($AS$85:$AZ$85)="BLANK")+(UPPER($AS$85:$AZ$85)="(BLANK)")+(UPPER($AS$85:$AZ$85)="EMPTY")+(UPPER($AS$85:$AZ$85)="(EMPTY)"))&gt;0,IFERROR(('Final Calculation Sheet'!$Y$10)&amp;"","")="",ISNUMBER(SEARCH($AS$85:$AZ$85,IFERROR(('Final Calculation Sheet'!$Y$10)&amp;"","")))))&gt;0))))</f>
        <v>1</v>
      </c>
      <c r="CM11">
        <f>IF($AA$4="",1,--(AND(SUMPRODUCT(--($AS$86:$AZ$86&lt;&gt;""))&gt;0,IF(COUNTIF($BI$86:$BP$86,1)=0,TRUE,SUMPRODUCT(($BI$86:$BP$86=1)*($AS$86:$AZ$86&lt;&gt;"")*IF(((UPPER($AS$86:$AZ$86)="BLANK")+(UPPER($AS$86:$AZ$86)="(BLANK)")+(UPPER($AS$86:$AZ$86)="EMPTY")+(UPPER($AS$86:$AZ$86)="(EMPTY)"))&gt;0,IFERROR(('Final Calculation Sheet'!$Z$10)&amp;"","")="",ISNUMBER(SEARCH($AS$86:$AZ$86,IFERROR(('Final Calculation Sheet'!$Z$10)&amp;"","")))))&gt;0),IF(COUNTIF($BI$86:$BP$86,2)=0,TRUE,SUMPRODUCT(($BI$86:$BP$86=2)*($AS$86:$AZ$86&lt;&gt;"")*IF(((UPPER($AS$86:$AZ$86)="BLANK")+(UPPER($AS$86:$AZ$86)="(BLANK)")+(UPPER($AS$86:$AZ$86)="EMPTY")+(UPPER($AS$86:$AZ$86)="(EMPTY)"))&gt;0,IFERROR(('Final Calculation Sheet'!$Z$10)&amp;"","")="",ISNUMBER(SEARCH($AS$86:$AZ$86,IFERROR(('Final Calculation Sheet'!$Z$10)&amp;"","")))))&gt;0),IF(COUNTIF($BI$86:$BP$86,3)=0,TRUE,SUMPRODUCT(($BI$86:$BP$86=3)*($AS$86:$AZ$86&lt;&gt;"")*IF(((UPPER($AS$86:$AZ$86)="BLANK")+(UPPER($AS$86:$AZ$86)="(BLANK)")+(UPPER($AS$86:$AZ$86)="EMPTY")+(UPPER($AS$86:$AZ$86)="(EMPTY)"))&gt;0,IFERROR(('Final Calculation Sheet'!$Z$10)&amp;"","")="",ISNUMBER(SEARCH($AS$86:$AZ$86,IFERROR(('Final Calculation Sheet'!$Z$10)&amp;"","")))))&gt;0),IF(COUNTIF($BI$86:$BP$86,4)=0,TRUE,SUMPRODUCT(($BI$86:$BP$86=4)*($AS$86:$AZ$86&lt;&gt;"")*IF(((UPPER($AS$86:$AZ$86)="BLANK")+(UPPER($AS$86:$AZ$86)="(BLANK)")+(UPPER($AS$86:$AZ$86)="EMPTY")+(UPPER($AS$86:$AZ$86)="(EMPTY)"))&gt;0,IFERROR(('Final Calculation Sheet'!$Z$10)&amp;"","")="",ISNUMBER(SEARCH($AS$86:$AZ$86,IFERROR(('Final Calculation Sheet'!$Z$10)&amp;"","")))))&gt;0),IF(COUNTIF($BI$86:$BP$86,5)=0,TRUE,SUMPRODUCT(($BI$86:$BP$86=5)*($AS$86:$AZ$86&lt;&gt;"")*IF(((UPPER($AS$86:$AZ$86)="BLANK")+(UPPER($AS$86:$AZ$86)="(BLANK)")+(UPPER($AS$86:$AZ$86)="EMPTY")+(UPPER($AS$86:$AZ$86)="(EMPTY)"))&gt;0,IFERROR(('Final Calculation Sheet'!$Z$10)&amp;"","")="",ISNUMBER(SEARCH($AS$86:$AZ$86,IFERROR(('Final Calculation Sheet'!$Z$10)&amp;"","")))))&gt;0),IF(COUNTIF($BI$86:$BP$86,6)=0,TRUE,SUMPRODUCT(($BI$86:$BP$86=6)*($AS$86:$AZ$86&lt;&gt;"")*IF(((UPPER($AS$86:$AZ$86)="BLANK")+(UPPER($AS$86:$AZ$86)="(BLANK)")+(UPPER($AS$86:$AZ$86)="EMPTY")+(UPPER($AS$86:$AZ$86)="(EMPTY)"))&gt;0,IFERROR(('Final Calculation Sheet'!$Z$10)&amp;"","")="",ISNUMBER(SEARCH($AS$86:$AZ$86,IFERROR(('Final Calculation Sheet'!$Z$10)&amp;"","")))))&gt;0),IF(COUNTIF($BI$86:$BP$86,7)=0,TRUE,SUMPRODUCT(($BI$86:$BP$86=7)*($AS$86:$AZ$86&lt;&gt;"")*IF(((UPPER($AS$86:$AZ$86)="BLANK")+(UPPER($AS$86:$AZ$86)="(BLANK)")+(UPPER($AS$86:$AZ$86)="EMPTY")+(UPPER($AS$86:$AZ$86)="(EMPTY)"))&gt;0,IFERROR(('Final Calculation Sheet'!$Z$10)&amp;"","")="",ISNUMBER(SEARCH($AS$86:$AZ$86,IFERROR(('Final Calculation Sheet'!$Z$10)&amp;"","")))))&gt;0),IF(COUNTIF($BI$86:$BP$86,8)=0,TRUE,SUMPRODUCT(($BI$86:$BP$86=8)*($AS$86:$AZ$86&lt;&gt;"")*IF(((UPPER($AS$86:$AZ$86)="BLANK")+(UPPER($AS$86:$AZ$86)="(BLANK)")+(UPPER($AS$86:$AZ$86)="EMPTY")+(UPPER($AS$86:$AZ$86)="(EMPTY)"))&gt;0,IFERROR(('Final Calculation Sheet'!$Z$10)&amp;"","")="",ISNUMBER(SEARCH($AS$86:$AZ$86,IFERROR(('Final Calculation Sheet'!$Z$10)&amp;"","")))))&gt;0))))</f>
        <v>1</v>
      </c>
      <c r="CN11">
        <f>IF($AB$4="",1,--(AND(SUMPRODUCT(--($AS$87:$AZ$87&lt;&gt;""))&gt;0,IF(COUNTIF($BI$87:$BP$87,1)=0,TRUE,SUMPRODUCT(($BI$87:$BP$87=1)*($AS$87:$AZ$87&lt;&gt;"")*IF(((UPPER($AS$87:$AZ$87)="BLANK")+(UPPER($AS$87:$AZ$87)="(BLANK)")+(UPPER($AS$87:$AZ$87)="EMPTY")+(UPPER($AS$87:$AZ$87)="(EMPTY)"))&gt;0,IFERROR(('Final Calculation Sheet'!$AA$10)&amp;"","")="",ISNUMBER(SEARCH($AS$87:$AZ$87,IFERROR(('Final Calculation Sheet'!$AA$10)&amp;"","")))))&gt;0),IF(COUNTIF($BI$87:$BP$87,2)=0,TRUE,SUMPRODUCT(($BI$87:$BP$87=2)*($AS$87:$AZ$87&lt;&gt;"")*IF(((UPPER($AS$87:$AZ$87)="BLANK")+(UPPER($AS$87:$AZ$87)="(BLANK)")+(UPPER($AS$87:$AZ$87)="EMPTY")+(UPPER($AS$87:$AZ$87)="(EMPTY)"))&gt;0,IFERROR(('Final Calculation Sheet'!$AA$10)&amp;"","")="",ISNUMBER(SEARCH($AS$87:$AZ$87,IFERROR(('Final Calculation Sheet'!$AA$10)&amp;"","")))))&gt;0),IF(COUNTIF($BI$87:$BP$87,3)=0,TRUE,SUMPRODUCT(($BI$87:$BP$87=3)*($AS$87:$AZ$87&lt;&gt;"")*IF(((UPPER($AS$87:$AZ$87)="BLANK")+(UPPER($AS$87:$AZ$87)="(BLANK)")+(UPPER($AS$87:$AZ$87)="EMPTY")+(UPPER($AS$87:$AZ$87)="(EMPTY)"))&gt;0,IFERROR(('Final Calculation Sheet'!$AA$10)&amp;"","")="",ISNUMBER(SEARCH($AS$87:$AZ$87,IFERROR(('Final Calculation Sheet'!$AA$10)&amp;"","")))))&gt;0),IF(COUNTIF($BI$87:$BP$87,4)=0,TRUE,SUMPRODUCT(($BI$87:$BP$87=4)*($AS$87:$AZ$87&lt;&gt;"")*IF(((UPPER($AS$87:$AZ$87)="BLANK")+(UPPER($AS$87:$AZ$87)="(BLANK)")+(UPPER($AS$87:$AZ$87)="EMPTY")+(UPPER($AS$87:$AZ$87)="(EMPTY)"))&gt;0,IFERROR(('Final Calculation Sheet'!$AA$10)&amp;"","")="",ISNUMBER(SEARCH($AS$87:$AZ$87,IFERROR(('Final Calculation Sheet'!$AA$10)&amp;"","")))))&gt;0),IF(COUNTIF($BI$87:$BP$87,5)=0,TRUE,SUMPRODUCT(($BI$87:$BP$87=5)*($AS$87:$AZ$87&lt;&gt;"")*IF(((UPPER($AS$87:$AZ$87)="BLANK")+(UPPER($AS$87:$AZ$87)="(BLANK)")+(UPPER($AS$87:$AZ$87)="EMPTY")+(UPPER($AS$87:$AZ$87)="(EMPTY)"))&gt;0,IFERROR(('Final Calculation Sheet'!$AA$10)&amp;"","")="",ISNUMBER(SEARCH($AS$87:$AZ$87,IFERROR(('Final Calculation Sheet'!$AA$10)&amp;"","")))))&gt;0),IF(COUNTIF($BI$87:$BP$87,6)=0,TRUE,SUMPRODUCT(($BI$87:$BP$87=6)*($AS$87:$AZ$87&lt;&gt;"")*IF(((UPPER($AS$87:$AZ$87)="BLANK")+(UPPER($AS$87:$AZ$87)="(BLANK)")+(UPPER($AS$87:$AZ$87)="EMPTY")+(UPPER($AS$87:$AZ$87)="(EMPTY)"))&gt;0,IFERROR(('Final Calculation Sheet'!$AA$10)&amp;"","")="",ISNUMBER(SEARCH($AS$87:$AZ$87,IFERROR(('Final Calculation Sheet'!$AA$10)&amp;"","")))))&gt;0),IF(COUNTIF($BI$87:$BP$87,7)=0,TRUE,SUMPRODUCT(($BI$87:$BP$87=7)*($AS$87:$AZ$87&lt;&gt;"")*IF(((UPPER($AS$87:$AZ$87)="BLANK")+(UPPER($AS$87:$AZ$87)="(BLANK)")+(UPPER($AS$87:$AZ$87)="EMPTY")+(UPPER($AS$87:$AZ$87)="(EMPTY)"))&gt;0,IFERROR(('Final Calculation Sheet'!$AA$10)&amp;"","")="",ISNUMBER(SEARCH($AS$87:$AZ$87,IFERROR(('Final Calculation Sheet'!$AA$10)&amp;"","")))))&gt;0),IF(COUNTIF($BI$87:$BP$87,8)=0,TRUE,SUMPRODUCT(($BI$87:$BP$87=8)*($AS$87:$AZ$87&lt;&gt;"")*IF(((UPPER($AS$87:$AZ$87)="BLANK")+(UPPER($AS$87:$AZ$87)="(BLANK)")+(UPPER($AS$87:$AZ$87)="EMPTY")+(UPPER($AS$87:$AZ$87)="(EMPTY)"))&gt;0,IFERROR(('Final Calculation Sheet'!$AA$10)&amp;"","")="",ISNUMBER(SEARCH($AS$87:$AZ$87,IFERROR(('Final Calculation Sheet'!$AA$10)&amp;"","")))))&gt;0))))</f>
        <v>1</v>
      </c>
      <c r="CO11">
        <f>IF($AC$4="",1,--(AND(SUMPRODUCT(--($AS$88:$AZ$88&lt;&gt;""))&gt;0,IF(COUNTIF($BI$88:$BP$88,1)=0,TRUE,SUMPRODUCT(($BI$88:$BP$88=1)*($AS$88:$AZ$88&lt;&gt;"")*IF(((UPPER($AS$88:$AZ$88)="BLANK")+(UPPER($AS$88:$AZ$88)="(BLANK)")+(UPPER($AS$88:$AZ$88)="EMPTY")+(UPPER($AS$88:$AZ$88)="(EMPTY)"))&gt;0,IFERROR(('Final Calculation Sheet'!$AB$10)&amp;"","")="",ISNUMBER(SEARCH($AS$88:$AZ$88,IFERROR(('Final Calculation Sheet'!$AB$10)&amp;"","")))))&gt;0),IF(COUNTIF($BI$88:$BP$88,2)=0,TRUE,SUMPRODUCT(($BI$88:$BP$88=2)*($AS$88:$AZ$88&lt;&gt;"")*IF(((UPPER($AS$88:$AZ$88)="BLANK")+(UPPER($AS$88:$AZ$88)="(BLANK)")+(UPPER($AS$88:$AZ$88)="EMPTY")+(UPPER($AS$88:$AZ$88)="(EMPTY)"))&gt;0,IFERROR(('Final Calculation Sheet'!$AB$10)&amp;"","")="",ISNUMBER(SEARCH($AS$88:$AZ$88,IFERROR(('Final Calculation Sheet'!$AB$10)&amp;"","")))))&gt;0),IF(COUNTIF($BI$88:$BP$88,3)=0,TRUE,SUMPRODUCT(($BI$88:$BP$88=3)*($AS$88:$AZ$88&lt;&gt;"")*IF(((UPPER($AS$88:$AZ$88)="BLANK")+(UPPER($AS$88:$AZ$88)="(BLANK)")+(UPPER($AS$88:$AZ$88)="EMPTY")+(UPPER($AS$88:$AZ$88)="(EMPTY)"))&gt;0,IFERROR(('Final Calculation Sheet'!$AB$10)&amp;"","")="",ISNUMBER(SEARCH($AS$88:$AZ$88,IFERROR(('Final Calculation Sheet'!$AB$10)&amp;"","")))))&gt;0),IF(COUNTIF($BI$88:$BP$88,4)=0,TRUE,SUMPRODUCT(($BI$88:$BP$88=4)*($AS$88:$AZ$88&lt;&gt;"")*IF(((UPPER($AS$88:$AZ$88)="BLANK")+(UPPER($AS$88:$AZ$88)="(BLANK)")+(UPPER($AS$88:$AZ$88)="EMPTY")+(UPPER($AS$88:$AZ$88)="(EMPTY)"))&gt;0,IFERROR(('Final Calculation Sheet'!$AB$10)&amp;"","")="",ISNUMBER(SEARCH($AS$88:$AZ$88,IFERROR(('Final Calculation Sheet'!$AB$10)&amp;"","")))))&gt;0),IF(COUNTIF($BI$88:$BP$88,5)=0,TRUE,SUMPRODUCT(($BI$88:$BP$88=5)*($AS$88:$AZ$88&lt;&gt;"")*IF(((UPPER($AS$88:$AZ$88)="BLANK")+(UPPER($AS$88:$AZ$88)="(BLANK)")+(UPPER($AS$88:$AZ$88)="EMPTY")+(UPPER($AS$88:$AZ$88)="(EMPTY)"))&gt;0,IFERROR(('Final Calculation Sheet'!$AB$10)&amp;"","")="",ISNUMBER(SEARCH($AS$88:$AZ$88,IFERROR(('Final Calculation Sheet'!$AB$10)&amp;"","")))))&gt;0),IF(COUNTIF($BI$88:$BP$88,6)=0,TRUE,SUMPRODUCT(($BI$88:$BP$88=6)*($AS$88:$AZ$88&lt;&gt;"")*IF(((UPPER($AS$88:$AZ$88)="BLANK")+(UPPER($AS$88:$AZ$88)="(BLANK)")+(UPPER($AS$88:$AZ$88)="EMPTY")+(UPPER($AS$88:$AZ$88)="(EMPTY)"))&gt;0,IFERROR(('Final Calculation Sheet'!$AB$10)&amp;"","")="",ISNUMBER(SEARCH($AS$88:$AZ$88,IFERROR(('Final Calculation Sheet'!$AB$10)&amp;"","")))))&gt;0),IF(COUNTIF($BI$88:$BP$88,7)=0,TRUE,SUMPRODUCT(($BI$88:$BP$88=7)*($AS$88:$AZ$88&lt;&gt;"")*IF(((UPPER($AS$88:$AZ$88)="BLANK")+(UPPER($AS$88:$AZ$88)="(BLANK)")+(UPPER($AS$88:$AZ$88)="EMPTY")+(UPPER($AS$88:$AZ$88)="(EMPTY)"))&gt;0,IFERROR(('Final Calculation Sheet'!$AB$10)&amp;"","")="",ISNUMBER(SEARCH($AS$88:$AZ$88,IFERROR(('Final Calculation Sheet'!$AB$10)&amp;"","")))))&gt;0),IF(COUNTIF($BI$88:$BP$88,8)=0,TRUE,SUMPRODUCT(($BI$88:$BP$88=8)*($AS$88:$AZ$88&lt;&gt;"")*IF(((UPPER($AS$88:$AZ$88)="BLANK")+(UPPER($AS$88:$AZ$88)="(BLANK)")+(UPPER($AS$88:$AZ$88)="EMPTY")+(UPPER($AS$88:$AZ$88)="(EMPTY)"))&gt;0,IFERROR(('Final Calculation Sheet'!$AB$10)&amp;"","")="",ISNUMBER(SEARCH($AS$88:$AZ$88,IFERROR(('Final Calculation Sheet'!$AB$10)&amp;"","")))))&gt;0))))</f>
        <v>1</v>
      </c>
      <c r="CP11">
        <f>IF($AD$4="",1,--(AND(SUMPRODUCT(--($AS$89:$AZ$89&lt;&gt;""))&gt;0,IF(COUNTIF($BI$89:$BP$89,1)=0,TRUE,SUMPRODUCT(($BI$89:$BP$89=1)*($AS$89:$AZ$89&lt;&gt;"")*IF(((UPPER($AS$89:$AZ$89)="BLANK")+(UPPER($AS$89:$AZ$89)="(BLANK)")+(UPPER($AS$89:$AZ$89)="EMPTY")+(UPPER($AS$89:$AZ$89)="(EMPTY)"))&gt;0,IFERROR(('Final Calculation Sheet'!$AC$10)&amp;"","")="",ISNUMBER(SEARCH($AS$89:$AZ$89,IFERROR(('Final Calculation Sheet'!$AC$10)&amp;"","")))))&gt;0),IF(COUNTIF($BI$89:$BP$89,2)=0,TRUE,SUMPRODUCT(($BI$89:$BP$89=2)*($AS$89:$AZ$89&lt;&gt;"")*IF(((UPPER($AS$89:$AZ$89)="BLANK")+(UPPER($AS$89:$AZ$89)="(BLANK)")+(UPPER($AS$89:$AZ$89)="EMPTY")+(UPPER($AS$89:$AZ$89)="(EMPTY)"))&gt;0,IFERROR(('Final Calculation Sheet'!$AC$10)&amp;"","")="",ISNUMBER(SEARCH($AS$89:$AZ$89,IFERROR(('Final Calculation Sheet'!$AC$10)&amp;"","")))))&gt;0),IF(COUNTIF($BI$89:$BP$89,3)=0,TRUE,SUMPRODUCT(($BI$89:$BP$89=3)*($AS$89:$AZ$89&lt;&gt;"")*IF(((UPPER($AS$89:$AZ$89)="BLANK")+(UPPER($AS$89:$AZ$89)="(BLANK)")+(UPPER($AS$89:$AZ$89)="EMPTY")+(UPPER($AS$89:$AZ$89)="(EMPTY)"))&gt;0,IFERROR(('Final Calculation Sheet'!$AC$10)&amp;"","")="",ISNUMBER(SEARCH($AS$89:$AZ$89,IFERROR(('Final Calculation Sheet'!$AC$10)&amp;"","")))))&gt;0),IF(COUNTIF($BI$89:$BP$89,4)=0,TRUE,SUMPRODUCT(($BI$89:$BP$89=4)*($AS$89:$AZ$89&lt;&gt;"")*IF(((UPPER($AS$89:$AZ$89)="BLANK")+(UPPER($AS$89:$AZ$89)="(BLANK)")+(UPPER($AS$89:$AZ$89)="EMPTY")+(UPPER($AS$89:$AZ$89)="(EMPTY)"))&gt;0,IFERROR(('Final Calculation Sheet'!$AC$10)&amp;"","")="",ISNUMBER(SEARCH($AS$89:$AZ$89,IFERROR(('Final Calculation Sheet'!$AC$10)&amp;"","")))))&gt;0),IF(COUNTIF($BI$89:$BP$89,5)=0,TRUE,SUMPRODUCT(($BI$89:$BP$89=5)*($AS$89:$AZ$89&lt;&gt;"")*IF(((UPPER($AS$89:$AZ$89)="BLANK")+(UPPER($AS$89:$AZ$89)="(BLANK)")+(UPPER($AS$89:$AZ$89)="EMPTY")+(UPPER($AS$89:$AZ$89)="(EMPTY)"))&gt;0,IFERROR(('Final Calculation Sheet'!$AC$10)&amp;"","")="",ISNUMBER(SEARCH($AS$89:$AZ$89,IFERROR(('Final Calculation Sheet'!$AC$10)&amp;"","")))))&gt;0),IF(COUNTIF($BI$89:$BP$89,6)=0,TRUE,SUMPRODUCT(($BI$89:$BP$89=6)*($AS$89:$AZ$89&lt;&gt;"")*IF(((UPPER($AS$89:$AZ$89)="BLANK")+(UPPER($AS$89:$AZ$89)="(BLANK)")+(UPPER($AS$89:$AZ$89)="EMPTY")+(UPPER($AS$89:$AZ$89)="(EMPTY)"))&gt;0,IFERROR(('Final Calculation Sheet'!$AC$10)&amp;"","")="",ISNUMBER(SEARCH($AS$89:$AZ$89,IFERROR(('Final Calculation Sheet'!$AC$10)&amp;"","")))))&gt;0),IF(COUNTIF($BI$89:$BP$89,7)=0,TRUE,SUMPRODUCT(($BI$89:$BP$89=7)*($AS$89:$AZ$89&lt;&gt;"")*IF(((UPPER($AS$89:$AZ$89)="BLANK")+(UPPER($AS$89:$AZ$89)="(BLANK)")+(UPPER($AS$89:$AZ$89)="EMPTY")+(UPPER($AS$89:$AZ$89)="(EMPTY)"))&gt;0,IFERROR(('Final Calculation Sheet'!$AC$10)&amp;"","")="",ISNUMBER(SEARCH($AS$89:$AZ$89,IFERROR(('Final Calculation Sheet'!$AC$10)&amp;"","")))))&gt;0),IF(COUNTIF($BI$89:$BP$89,8)=0,TRUE,SUMPRODUCT(($BI$89:$BP$89=8)*($AS$89:$AZ$89&lt;&gt;"")*IF(((UPPER($AS$89:$AZ$89)="BLANK")+(UPPER($AS$89:$AZ$89)="(BLANK)")+(UPPER($AS$89:$AZ$89)="EMPTY")+(UPPER($AS$89:$AZ$89)="(EMPTY)"))&gt;0,IFERROR(('Final Calculation Sheet'!$AC$10)&amp;"","")="",ISNUMBER(SEARCH($AS$89:$AZ$89,IFERROR(('Final Calculation Sheet'!$AC$10)&amp;"","")))))&gt;0))))</f>
        <v>1</v>
      </c>
      <c r="CQ11">
        <f>IF($AE$4="",1,--(AND(SUMPRODUCT(--($AS$90:$AZ$90&lt;&gt;""))&gt;0,IF(COUNTIF($BI$90:$BP$90,1)=0,TRUE,SUMPRODUCT(($BI$90:$BP$90=1)*($AS$90:$AZ$90&lt;&gt;"")*IF(((UPPER($AS$90:$AZ$90)="BLANK")+(UPPER($AS$90:$AZ$90)="(BLANK)")+(UPPER($AS$90:$AZ$90)="EMPTY")+(UPPER($AS$90:$AZ$90)="(EMPTY)"))&gt;0,IFERROR(('Final Calculation Sheet'!$AD$10)&amp;"","")="",ISNUMBER(SEARCH($AS$90:$AZ$90,IFERROR(('Final Calculation Sheet'!$AD$10)&amp;"","")))))&gt;0),IF(COUNTIF($BI$90:$BP$90,2)=0,TRUE,SUMPRODUCT(($BI$90:$BP$90=2)*($AS$90:$AZ$90&lt;&gt;"")*IF(((UPPER($AS$90:$AZ$90)="BLANK")+(UPPER($AS$90:$AZ$90)="(BLANK)")+(UPPER($AS$90:$AZ$90)="EMPTY")+(UPPER($AS$90:$AZ$90)="(EMPTY)"))&gt;0,IFERROR(('Final Calculation Sheet'!$AD$10)&amp;"","")="",ISNUMBER(SEARCH($AS$90:$AZ$90,IFERROR(('Final Calculation Sheet'!$AD$10)&amp;"","")))))&gt;0),IF(COUNTIF($BI$90:$BP$90,3)=0,TRUE,SUMPRODUCT(($BI$90:$BP$90=3)*($AS$90:$AZ$90&lt;&gt;"")*IF(((UPPER($AS$90:$AZ$90)="BLANK")+(UPPER($AS$90:$AZ$90)="(BLANK)")+(UPPER($AS$90:$AZ$90)="EMPTY")+(UPPER($AS$90:$AZ$90)="(EMPTY)"))&gt;0,IFERROR(('Final Calculation Sheet'!$AD$10)&amp;"","")="",ISNUMBER(SEARCH($AS$90:$AZ$90,IFERROR(('Final Calculation Sheet'!$AD$10)&amp;"","")))))&gt;0),IF(COUNTIF($BI$90:$BP$90,4)=0,TRUE,SUMPRODUCT(($BI$90:$BP$90=4)*($AS$90:$AZ$90&lt;&gt;"")*IF(((UPPER($AS$90:$AZ$90)="BLANK")+(UPPER($AS$90:$AZ$90)="(BLANK)")+(UPPER($AS$90:$AZ$90)="EMPTY")+(UPPER($AS$90:$AZ$90)="(EMPTY)"))&gt;0,IFERROR(('Final Calculation Sheet'!$AD$10)&amp;"","")="",ISNUMBER(SEARCH($AS$90:$AZ$90,IFERROR(('Final Calculation Sheet'!$AD$10)&amp;"","")))))&gt;0),IF(COUNTIF($BI$90:$BP$90,5)=0,TRUE,SUMPRODUCT(($BI$90:$BP$90=5)*($AS$90:$AZ$90&lt;&gt;"")*IF(((UPPER($AS$90:$AZ$90)="BLANK")+(UPPER($AS$90:$AZ$90)="(BLANK)")+(UPPER($AS$90:$AZ$90)="EMPTY")+(UPPER($AS$90:$AZ$90)="(EMPTY)"))&gt;0,IFERROR(('Final Calculation Sheet'!$AD$10)&amp;"","")="",ISNUMBER(SEARCH($AS$90:$AZ$90,IFERROR(('Final Calculation Sheet'!$AD$10)&amp;"","")))))&gt;0),IF(COUNTIF($BI$90:$BP$90,6)=0,TRUE,SUMPRODUCT(($BI$90:$BP$90=6)*($AS$90:$AZ$90&lt;&gt;"")*IF(((UPPER($AS$90:$AZ$90)="BLANK")+(UPPER($AS$90:$AZ$90)="(BLANK)")+(UPPER($AS$90:$AZ$90)="EMPTY")+(UPPER($AS$90:$AZ$90)="(EMPTY)"))&gt;0,IFERROR(('Final Calculation Sheet'!$AD$10)&amp;"","")="",ISNUMBER(SEARCH($AS$90:$AZ$90,IFERROR(('Final Calculation Sheet'!$AD$10)&amp;"","")))))&gt;0),IF(COUNTIF($BI$90:$BP$90,7)=0,TRUE,SUMPRODUCT(($BI$90:$BP$90=7)*($AS$90:$AZ$90&lt;&gt;"")*IF(((UPPER($AS$90:$AZ$90)="BLANK")+(UPPER($AS$90:$AZ$90)="(BLANK)")+(UPPER($AS$90:$AZ$90)="EMPTY")+(UPPER($AS$90:$AZ$90)="(EMPTY)"))&gt;0,IFERROR(('Final Calculation Sheet'!$AD$10)&amp;"","")="",ISNUMBER(SEARCH($AS$90:$AZ$90,IFERROR(('Final Calculation Sheet'!$AD$10)&amp;"","")))))&gt;0),IF(COUNTIF($BI$90:$BP$90,8)=0,TRUE,SUMPRODUCT(($BI$90:$BP$90=8)*($AS$90:$AZ$90&lt;&gt;"")*IF(((UPPER($AS$90:$AZ$90)="BLANK")+(UPPER($AS$90:$AZ$90)="(BLANK)")+(UPPER($AS$90:$AZ$90)="EMPTY")+(UPPER($AS$90:$AZ$90)="(EMPTY)"))&gt;0,IFERROR(('Final Calculation Sheet'!$AD$10)&amp;"","")="",ISNUMBER(SEARCH($AS$90:$AZ$90,IFERROR(('Final Calculation Sheet'!$AD$10)&amp;"","")))))&gt;0))))</f>
        <v>1</v>
      </c>
      <c r="CR11">
        <f>IF($AF$4="",1,--(AND(SUMPRODUCT(--($AS$91:$AZ$91&lt;&gt;""))&gt;0,IF(COUNTIF($BI$91:$BP$91,1)=0,TRUE,SUMPRODUCT(($BI$91:$BP$91=1)*($AS$91:$AZ$91&lt;&gt;"")*IF(((UPPER($AS$91:$AZ$91)="BLANK")+(UPPER($AS$91:$AZ$91)="(BLANK)")+(UPPER($AS$91:$AZ$91)="EMPTY")+(UPPER($AS$91:$AZ$91)="(EMPTY)"))&gt;0,IFERROR(('Final Calculation Sheet'!$AE$10)&amp;"","")="",ISNUMBER(SEARCH($AS$91:$AZ$91,IFERROR(('Final Calculation Sheet'!$AE$10)&amp;"","")))))&gt;0),IF(COUNTIF($BI$91:$BP$91,2)=0,TRUE,SUMPRODUCT(($BI$91:$BP$91=2)*($AS$91:$AZ$91&lt;&gt;"")*IF(((UPPER($AS$91:$AZ$91)="BLANK")+(UPPER($AS$91:$AZ$91)="(BLANK)")+(UPPER($AS$91:$AZ$91)="EMPTY")+(UPPER($AS$91:$AZ$91)="(EMPTY)"))&gt;0,IFERROR(('Final Calculation Sheet'!$AE$10)&amp;"","")="",ISNUMBER(SEARCH($AS$91:$AZ$91,IFERROR(('Final Calculation Sheet'!$AE$10)&amp;"","")))))&gt;0),IF(COUNTIF($BI$91:$BP$91,3)=0,TRUE,SUMPRODUCT(($BI$91:$BP$91=3)*($AS$91:$AZ$91&lt;&gt;"")*IF(((UPPER($AS$91:$AZ$91)="BLANK")+(UPPER($AS$91:$AZ$91)="(BLANK)")+(UPPER($AS$91:$AZ$91)="EMPTY")+(UPPER($AS$91:$AZ$91)="(EMPTY)"))&gt;0,IFERROR(('Final Calculation Sheet'!$AE$10)&amp;"","")="",ISNUMBER(SEARCH($AS$91:$AZ$91,IFERROR(('Final Calculation Sheet'!$AE$10)&amp;"","")))))&gt;0),IF(COUNTIF($BI$91:$BP$91,4)=0,TRUE,SUMPRODUCT(($BI$91:$BP$91=4)*($AS$91:$AZ$91&lt;&gt;"")*IF(((UPPER($AS$91:$AZ$91)="BLANK")+(UPPER($AS$91:$AZ$91)="(BLANK)")+(UPPER($AS$91:$AZ$91)="EMPTY")+(UPPER($AS$91:$AZ$91)="(EMPTY)"))&gt;0,IFERROR(('Final Calculation Sheet'!$AE$10)&amp;"","")="",ISNUMBER(SEARCH($AS$91:$AZ$91,IFERROR(('Final Calculation Sheet'!$AE$10)&amp;"","")))))&gt;0),IF(COUNTIF($BI$91:$BP$91,5)=0,TRUE,SUMPRODUCT(($BI$91:$BP$91=5)*($AS$91:$AZ$91&lt;&gt;"")*IF(((UPPER($AS$91:$AZ$91)="BLANK")+(UPPER($AS$91:$AZ$91)="(BLANK)")+(UPPER($AS$91:$AZ$91)="EMPTY")+(UPPER($AS$91:$AZ$91)="(EMPTY)"))&gt;0,IFERROR(('Final Calculation Sheet'!$AE$10)&amp;"","")="",ISNUMBER(SEARCH($AS$91:$AZ$91,IFERROR(('Final Calculation Sheet'!$AE$10)&amp;"","")))))&gt;0),IF(COUNTIF($BI$91:$BP$91,6)=0,TRUE,SUMPRODUCT(($BI$91:$BP$91=6)*($AS$91:$AZ$91&lt;&gt;"")*IF(((UPPER($AS$91:$AZ$91)="BLANK")+(UPPER($AS$91:$AZ$91)="(BLANK)")+(UPPER($AS$91:$AZ$91)="EMPTY")+(UPPER($AS$91:$AZ$91)="(EMPTY)"))&gt;0,IFERROR(('Final Calculation Sheet'!$AE$10)&amp;"","")="",ISNUMBER(SEARCH($AS$91:$AZ$91,IFERROR(('Final Calculation Sheet'!$AE$10)&amp;"","")))))&gt;0),IF(COUNTIF($BI$91:$BP$91,7)=0,TRUE,SUMPRODUCT(($BI$91:$BP$91=7)*($AS$91:$AZ$91&lt;&gt;"")*IF(((UPPER($AS$91:$AZ$91)="BLANK")+(UPPER($AS$91:$AZ$91)="(BLANK)")+(UPPER($AS$91:$AZ$91)="EMPTY")+(UPPER($AS$91:$AZ$91)="(EMPTY)"))&gt;0,IFERROR(('Final Calculation Sheet'!$AE$10)&amp;"","")="",ISNUMBER(SEARCH($AS$91:$AZ$91,IFERROR(('Final Calculation Sheet'!$AE$10)&amp;"","")))))&gt;0),IF(COUNTIF($BI$91:$BP$91,8)=0,TRUE,SUMPRODUCT(($BI$91:$BP$91=8)*($AS$91:$AZ$91&lt;&gt;"")*IF(((UPPER($AS$91:$AZ$91)="BLANK")+(UPPER($AS$91:$AZ$91)="(BLANK)")+(UPPER($AS$91:$AZ$91)="EMPTY")+(UPPER($AS$91:$AZ$91)="(EMPTY)"))&gt;0,IFERROR(('Final Calculation Sheet'!$AE$10)&amp;"","")="",ISNUMBER(SEARCH($AS$91:$AZ$91,IFERROR(('Final Calculation Sheet'!$AE$10)&amp;"","")))))&gt;0))))</f>
        <v>1</v>
      </c>
      <c r="CS11">
        <f>IF($AG$4="",1,--(AND(SUMPRODUCT(--($AS$92:$AZ$92&lt;&gt;""))&gt;0,IF(COUNTIF($BI$92:$BP$92,1)=0,TRUE,SUMPRODUCT(($BI$92:$BP$92=1)*($AS$92:$AZ$92&lt;&gt;"")*IF(((UPPER($AS$92:$AZ$92)="BLANK")+(UPPER($AS$92:$AZ$92)="(BLANK)")+(UPPER($AS$92:$AZ$92)="EMPTY")+(UPPER($AS$92:$AZ$92)="(EMPTY)"))&gt;0,IFERROR(('Final Calculation Sheet'!$AF$10)&amp;"","")="",ISNUMBER(SEARCH($AS$92:$AZ$92,IFERROR(('Final Calculation Sheet'!$AF$10)&amp;"","")))))&gt;0),IF(COUNTIF($BI$92:$BP$92,2)=0,TRUE,SUMPRODUCT(($BI$92:$BP$92=2)*($AS$92:$AZ$92&lt;&gt;"")*IF(((UPPER($AS$92:$AZ$92)="BLANK")+(UPPER($AS$92:$AZ$92)="(BLANK)")+(UPPER($AS$92:$AZ$92)="EMPTY")+(UPPER($AS$92:$AZ$92)="(EMPTY)"))&gt;0,IFERROR(('Final Calculation Sheet'!$AF$10)&amp;"","")="",ISNUMBER(SEARCH($AS$92:$AZ$92,IFERROR(('Final Calculation Sheet'!$AF$10)&amp;"","")))))&gt;0),IF(COUNTIF($BI$92:$BP$92,3)=0,TRUE,SUMPRODUCT(($BI$92:$BP$92=3)*($AS$92:$AZ$92&lt;&gt;"")*IF(((UPPER($AS$92:$AZ$92)="BLANK")+(UPPER($AS$92:$AZ$92)="(BLANK)")+(UPPER($AS$92:$AZ$92)="EMPTY")+(UPPER($AS$92:$AZ$92)="(EMPTY)"))&gt;0,IFERROR(('Final Calculation Sheet'!$AF$10)&amp;"","")="",ISNUMBER(SEARCH($AS$92:$AZ$92,IFERROR(('Final Calculation Sheet'!$AF$10)&amp;"","")))))&gt;0),IF(COUNTIF($BI$92:$BP$92,4)=0,TRUE,SUMPRODUCT(($BI$92:$BP$92=4)*($AS$92:$AZ$92&lt;&gt;"")*IF(((UPPER($AS$92:$AZ$92)="BLANK")+(UPPER($AS$92:$AZ$92)="(BLANK)")+(UPPER($AS$92:$AZ$92)="EMPTY")+(UPPER($AS$92:$AZ$92)="(EMPTY)"))&gt;0,IFERROR(('Final Calculation Sheet'!$AF$10)&amp;"","")="",ISNUMBER(SEARCH($AS$92:$AZ$92,IFERROR(('Final Calculation Sheet'!$AF$10)&amp;"","")))))&gt;0),IF(COUNTIF($BI$92:$BP$92,5)=0,TRUE,SUMPRODUCT(($BI$92:$BP$92=5)*($AS$92:$AZ$92&lt;&gt;"")*IF(((UPPER($AS$92:$AZ$92)="BLANK")+(UPPER($AS$92:$AZ$92)="(BLANK)")+(UPPER($AS$92:$AZ$92)="EMPTY")+(UPPER($AS$92:$AZ$92)="(EMPTY)"))&gt;0,IFERROR(('Final Calculation Sheet'!$AF$10)&amp;"","")="",ISNUMBER(SEARCH($AS$92:$AZ$92,IFERROR(('Final Calculation Sheet'!$AF$10)&amp;"","")))))&gt;0),IF(COUNTIF($BI$92:$BP$92,6)=0,TRUE,SUMPRODUCT(($BI$92:$BP$92=6)*($AS$92:$AZ$92&lt;&gt;"")*IF(((UPPER($AS$92:$AZ$92)="BLANK")+(UPPER($AS$92:$AZ$92)="(BLANK)")+(UPPER($AS$92:$AZ$92)="EMPTY")+(UPPER($AS$92:$AZ$92)="(EMPTY)"))&gt;0,IFERROR(('Final Calculation Sheet'!$AF$10)&amp;"","")="",ISNUMBER(SEARCH($AS$92:$AZ$92,IFERROR(('Final Calculation Sheet'!$AF$10)&amp;"","")))))&gt;0),IF(COUNTIF($BI$92:$BP$92,7)=0,TRUE,SUMPRODUCT(($BI$92:$BP$92=7)*($AS$92:$AZ$92&lt;&gt;"")*IF(((UPPER($AS$92:$AZ$92)="BLANK")+(UPPER($AS$92:$AZ$92)="(BLANK)")+(UPPER($AS$92:$AZ$92)="EMPTY")+(UPPER($AS$92:$AZ$92)="(EMPTY)"))&gt;0,IFERROR(('Final Calculation Sheet'!$AF$10)&amp;"","")="",ISNUMBER(SEARCH($AS$92:$AZ$92,IFERROR(('Final Calculation Sheet'!$AF$10)&amp;"","")))))&gt;0),IF(COUNTIF($BI$92:$BP$92,8)=0,TRUE,SUMPRODUCT(($BI$92:$BP$92=8)*($AS$92:$AZ$92&lt;&gt;"")*IF(((UPPER($AS$92:$AZ$92)="BLANK")+(UPPER($AS$92:$AZ$92)="(BLANK)")+(UPPER($AS$92:$AZ$92)="EMPTY")+(UPPER($AS$92:$AZ$92)="(EMPTY)"))&gt;0,IFERROR(('Final Calculation Sheet'!$AF$10)&amp;"","")="",ISNUMBER(SEARCH($AS$92:$AZ$92,IFERROR(('Final Calculation Sheet'!$AF$10)&amp;"","")))))&gt;0))))</f>
        <v>1</v>
      </c>
      <c r="CT11">
        <f>IF($AH$4="",1,--(AND(SUMPRODUCT(--($AS$93:$AZ$93&lt;&gt;""))&gt;0,IF(COUNTIF($BI$93:$BP$93,1)=0,TRUE,SUMPRODUCT(($BI$93:$BP$93=1)*($AS$93:$AZ$93&lt;&gt;"")*IF(((UPPER($AS$93:$AZ$93)="BLANK")+(UPPER($AS$93:$AZ$93)="(BLANK)")+(UPPER($AS$93:$AZ$93)="EMPTY")+(UPPER($AS$93:$AZ$93)="(EMPTY)"))&gt;0,IFERROR(('Final Calculation Sheet'!$AG$10)&amp;"","")="",ISNUMBER(SEARCH($AS$93:$AZ$93,IFERROR(('Final Calculation Sheet'!$AG$10)&amp;"","")))))&gt;0),IF(COUNTIF($BI$93:$BP$93,2)=0,TRUE,SUMPRODUCT(($BI$93:$BP$93=2)*($AS$93:$AZ$93&lt;&gt;"")*IF(((UPPER($AS$93:$AZ$93)="BLANK")+(UPPER($AS$93:$AZ$93)="(BLANK)")+(UPPER($AS$93:$AZ$93)="EMPTY")+(UPPER($AS$93:$AZ$93)="(EMPTY)"))&gt;0,IFERROR(('Final Calculation Sheet'!$AG$10)&amp;"","")="",ISNUMBER(SEARCH($AS$93:$AZ$93,IFERROR(('Final Calculation Sheet'!$AG$10)&amp;"","")))))&gt;0),IF(COUNTIF($BI$93:$BP$93,3)=0,TRUE,SUMPRODUCT(($BI$93:$BP$93=3)*($AS$93:$AZ$93&lt;&gt;"")*IF(((UPPER($AS$93:$AZ$93)="BLANK")+(UPPER($AS$93:$AZ$93)="(BLANK)")+(UPPER($AS$93:$AZ$93)="EMPTY")+(UPPER($AS$93:$AZ$93)="(EMPTY)"))&gt;0,IFERROR(('Final Calculation Sheet'!$AG$10)&amp;"","")="",ISNUMBER(SEARCH($AS$93:$AZ$93,IFERROR(('Final Calculation Sheet'!$AG$10)&amp;"","")))))&gt;0),IF(COUNTIF($BI$93:$BP$93,4)=0,TRUE,SUMPRODUCT(($BI$93:$BP$93=4)*($AS$93:$AZ$93&lt;&gt;"")*IF(((UPPER($AS$93:$AZ$93)="BLANK")+(UPPER($AS$93:$AZ$93)="(BLANK)")+(UPPER($AS$93:$AZ$93)="EMPTY")+(UPPER($AS$93:$AZ$93)="(EMPTY)"))&gt;0,IFERROR(('Final Calculation Sheet'!$AG$10)&amp;"","")="",ISNUMBER(SEARCH($AS$93:$AZ$93,IFERROR(('Final Calculation Sheet'!$AG$10)&amp;"","")))))&gt;0),IF(COUNTIF($BI$93:$BP$93,5)=0,TRUE,SUMPRODUCT(($BI$93:$BP$93=5)*($AS$93:$AZ$93&lt;&gt;"")*IF(((UPPER($AS$93:$AZ$93)="BLANK")+(UPPER($AS$93:$AZ$93)="(BLANK)")+(UPPER($AS$93:$AZ$93)="EMPTY")+(UPPER($AS$93:$AZ$93)="(EMPTY)"))&gt;0,IFERROR(('Final Calculation Sheet'!$AG$10)&amp;"","")="",ISNUMBER(SEARCH($AS$93:$AZ$93,IFERROR(('Final Calculation Sheet'!$AG$10)&amp;"","")))))&gt;0),IF(COUNTIF($BI$93:$BP$93,6)=0,TRUE,SUMPRODUCT(($BI$93:$BP$93=6)*($AS$93:$AZ$93&lt;&gt;"")*IF(((UPPER($AS$93:$AZ$93)="BLANK")+(UPPER($AS$93:$AZ$93)="(BLANK)")+(UPPER($AS$93:$AZ$93)="EMPTY")+(UPPER($AS$93:$AZ$93)="(EMPTY)"))&gt;0,IFERROR(('Final Calculation Sheet'!$AG$10)&amp;"","")="",ISNUMBER(SEARCH($AS$93:$AZ$93,IFERROR(('Final Calculation Sheet'!$AG$10)&amp;"","")))))&gt;0),IF(COUNTIF($BI$93:$BP$93,7)=0,TRUE,SUMPRODUCT(($BI$93:$BP$93=7)*($AS$93:$AZ$93&lt;&gt;"")*IF(((UPPER($AS$93:$AZ$93)="BLANK")+(UPPER($AS$93:$AZ$93)="(BLANK)")+(UPPER($AS$93:$AZ$93)="EMPTY")+(UPPER($AS$93:$AZ$93)="(EMPTY)"))&gt;0,IFERROR(('Final Calculation Sheet'!$AG$10)&amp;"","")="",ISNUMBER(SEARCH($AS$93:$AZ$93,IFERROR(('Final Calculation Sheet'!$AG$10)&amp;"","")))))&gt;0),IF(COUNTIF($BI$93:$BP$93,8)=0,TRUE,SUMPRODUCT(($BI$93:$BP$93=8)*($AS$93:$AZ$93&lt;&gt;"")*IF(((UPPER($AS$93:$AZ$93)="BLANK")+(UPPER($AS$93:$AZ$93)="(BLANK)")+(UPPER($AS$93:$AZ$93)="EMPTY")+(UPPER($AS$93:$AZ$93)="(EMPTY)"))&gt;0,IFERROR(('Final Calculation Sheet'!$AG$10)&amp;"","")="",ISNUMBER(SEARCH($AS$93:$AZ$93,IFERROR(('Final Calculation Sheet'!$AG$10)&amp;"","")))))&gt;0))))</f>
        <v>1</v>
      </c>
      <c r="CU11">
        <f>IF($AI$4="",1,--(AND(SUMPRODUCT(--($AS$94:$AZ$94&lt;&gt;""))&gt;0,IF(COUNTIF($BI$94:$BP$94,1)=0,TRUE,SUMPRODUCT(($BI$94:$BP$94=1)*($AS$94:$AZ$94&lt;&gt;"")*IF(((UPPER($AS$94:$AZ$94)="BLANK")+(UPPER($AS$94:$AZ$94)="(BLANK)")+(UPPER($AS$94:$AZ$94)="EMPTY")+(UPPER($AS$94:$AZ$94)="(EMPTY)"))&gt;0,IFERROR((IF('Final Calculation Sheet'!$AD$10&lt;=0,"SETTLED","OUTSTANDING"))&amp;"","")="",ISNUMBER(SEARCH($AS$94:$AZ$94,IFERROR((IF('Final Calculation Sheet'!$AD$10&lt;=0,"SETTLED","OUTSTANDING"))&amp;"","")))))&gt;0),IF(COUNTIF($BI$94:$BP$94,2)=0,TRUE,SUMPRODUCT(($BI$94:$BP$94=2)*($AS$94:$AZ$94&lt;&gt;"")*IF(((UPPER($AS$94:$AZ$94)="BLANK")+(UPPER($AS$94:$AZ$94)="(BLANK)")+(UPPER($AS$94:$AZ$94)="EMPTY")+(UPPER($AS$94:$AZ$94)="(EMPTY)"))&gt;0,IFERROR((IF('Final Calculation Sheet'!$AD$10&lt;=0,"SETTLED","OUTSTANDING"))&amp;"","")="",ISNUMBER(SEARCH($AS$94:$AZ$94,IFERROR((IF('Final Calculation Sheet'!$AD$10&lt;=0,"SETTLED","OUTSTANDING"))&amp;"","")))))&gt;0),IF(COUNTIF($BI$94:$BP$94,3)=0,TRUE,SUMPRODUCT(($BI$94:$BP$94=3)*($AS$94:$AZ$94&lt;&gt;"")*IF(((UPPER($AS$94:$AZ$94)="BLANK")+(UPPER($AS$94:$AZ$94)="(BLANK)")+(UPPER($AS$94:$AZ$94)="EMPTY")+(UPPER($AS$94:$AZ$94)="(EMPTY)"))&gt;0,IFERROR((IF('Final Calculation Sheet'!$AD$10&lt;=0,"SETTLED","OUTSTANDING"))&amp;"","")="",ISNUMBER(SEARCH($AS$94:$AZ$94,IFERROR((IF('Final Calculation Sheet'!$AD$10&lt;=0,"SETTLED","OUTSTANDING"))&amp;"","")))))&gt;0),IF(COUNTIF($BI$94:$BP$94,4)=0,TRUE,SUMPRODUCT(($BI$94:$BP$94=4)*($AS$94:$AZ$94&lt;&gt;"")*IF(((UPPER($AS$94:$AZ$94)="BLANK")+(UPPER($AS$94:$AZ$94)="(BLANK)")+(UPPER($AS$94:$AZ$94)="EMPTY")+(UPPER($AS$94:$AZ$94)="(EMPTY)"))&gt;0,IFERROR((IF('Final Calculation Sheet'!$AD$10&lt;=0,"SETTLED","OUTSTANDING"))&amp;"","")="",ISNUMBER(SEARCH($AS$94:$AZ$94,IFERROR((IF('Final Calculation Sheet'!$AD$10&lt;=0,"SETTLED","OUTSTANDING"))&amp;"","")))))&gt;0),IF(COUNTIF($BI$94:$BP$94,5)=0,TRUE,SUMPRODUCT(($BI$94:$BP$94=5)*($AS$94:$AZ$94&lt;&gt;"")*IF(((UPPER($AS$94:$AZ$94)="BLANK")+(UPPER($AS$94:$AZ$94)="(BLANK)")+(UPPER($AS$94:$AZ$94)="EMPTY")+(UPPER($AS$94:$AZ$94)="(EMPTY)"))&gt;0,IFERROR((IF('Final Calculation Sheet'!$AD$10&lt;=0,"SETTLED","OUTSTANDING"))&amp;"","")="",ISNUMBER(SEARCH($AS$94:$AZ$94,IFERROR((IF('Final Calculation Sheet'!$AD$10&lt;=0,"SETTLED","OUTSTANDING"))&amp;"","")))))&gt;0),IF(COUNTIF($BI$94:$BP$94,6)=0,TRUE,SUMPRODUCT(($BI$94:$BP$94=6)*($AS$94:$AZ$94&lt;&gt;"")*IF(((UPPER($AS$94:$AZ$94)="BLANK")+(UPPER($AS$94:$AZ$94)="(BLANK)")+(UPPER($AS$94:$AZ$94)="EMPTY")+(UPPER($AS$94:$AZ$94)="(EMPTY)"))&gt;0,IFERROR((IF('Final Calculation Sheet'!$AD$10&lt;=0,"SETTLED","OUTSTANDING"))&amp;"","")="",ISNUMBER(SEARCH($AS$94:$AZ$94,IFERROR((IF('Final Calculation Sheet'!$AD$10&lt;=0,"SETTLED","OUTSTANDING"))&amp;"","")))))&gt;0),IF(COUNTIF($BI$94:$BP$94,7)=0,TRUE,SUMPRODUCT(($BI$94:$BP$94=7)*($AS$94:$AZ$94&lt;&gt;"")*IF(((UPPER($AS$94:$AZ$94)="BLANK")+(UPPER($AS$94:$AZ$94)="(BLANK)")+(UPPER($AS$94:$AZ$94)="EMPTY")+(UPPER($AS$94:$AZ$94)="(EMPTY)"))&gt;0,IFERROR((IF('Final Calculation Sheet'!$AD$10&lt;=0,"SETTLED","OUTSTANDING"))&amp;"","")="",ISNUMBER(SEARCH($AS$94:$AZ$94,IFERROR((IF('Final Calculation Sheet'!$AD$10&lt;=0,"SETTLED","OUTSTANDING"))&amp;"","")))))&gt;0),IF(COUNTIF($BI$94:$BP$94,8)=0,TRUE,SUMPRODUCT(($BI$94:$BP$94=8)*($AS$94:$AZ$94&lt;&gt;"")*IF(((UPPER($AS$94:$AZ$94)="BLANK")+(UPPER($AS$94:$AZ$94)="(BLANK)")+(UPPER($AS$94:$AZ$94)="EMPTY")+(UPPER($AS$94:$AZ$94)="(EMPTY)"))&gt;0,IFERROR((IF('Final Calculation Sheet'!$AD$10&lt;=0,"SETTLED","OUTSTANDING"))&amp;"","")="",ISNUMBER(SEARCH($AS$94:$AZ$94,IFERROR((IF('Final Calculation Sheet'!$AD$10&lt;=0,"SETTLED","OUTSTANDING"))&amp;"","")))))&gt;0))))</f>
        <v>1</v>
      </c>
    </row>
    <row r="12" spans="1:99" ht="15" customHeight="1" x14ac:dyDescent="0.25">
      <c r="A12" s="67">
        <f>IF($BJ11&gt;0,INDEX($BA$5:$BA$41,MATCH(11,$BB$5:$BB$41,0)),IF(OR($BI11=1,$BL11=1,$BH11&gt;0),"∑",""))</f>
        <v>2</v>
      </c>
      <c r="B12" s="68">
        <f>IF($BJ11&gt;0,IF(INDEX('Final Calculation Sheet'!$F$4:$F$40,$BJ11-3)="","",INDEX('Final Calculation Sheet'!$F$4:$F$40,$BJ11-3)),"")</f>
        <v>2015</v>
      </c>
      <c r="C12" s="68" t="str">
        <f>IF($BJ11&gt;0,IF(INDEX('Final Calculation Sheet'!$G$4:$G$40,$BJ11-3)="","",INDEX('Final Calculation Sheet'!$G$4:$G$40,$BJ11-3)),IF(OR($BI11=1,$BL11=1,$BH11&gt;0),IF($BI11=1,37,IF($BL11=1,37-INDEX($BD$4:$BD$13,10),INDEX($BD$4:$BD$13,$BH11)))&amp;" lot(s)",""))</f>
        <v>STERLING ENTERPRISES</v>
      </c>
      <c r="D12" s="69" t="str">
        <f>IF($BJ11&gt;0,IF(INDEX('Final Calculation Sheet'!$B$4:$B$40,$BJ11-3)="","",INDEX('Final Calculation Sheet'!$B$4:$B$40,$BJ11-3)),IF(OR($BI11=1,$BL11=1,$BH11&gt;0),IF($BI11=1,"GRAND TOTAL  —  matching + remaining",IF($BL11=1,"TOTAL MATCHED  —  every group together",IF($BH11=10,"REMAINING  —  did not match the search",IF($BH11=9,IF(COUNTIF($A$4:$AI$4,"&lt;&gt;")&gt;0,"FILTERED LOTS  —  column fields","ALL LOTS  —  nothing typed in the box"),"GROUP "&amp;$BH11&amp;" TOTAL  —  lots matching  "&amp;INDEX($AR$6:$AY$6,$BH11))))),""))</f>
        <v>Scrap of empty oil Barrels</v>
      </c>
      <c r="E12" s="69">
        <f>IF($BJ11&gt;0,IF(INDEX('Final Calculation Sheet'!$D$4:$D$40,$BJ11-3)="","",INDEX('Final Calculation Sheet'!$D$4:$D$40,$BJ11-3)),IF(OR($BI11=1,$BL11=1,$BH11&gt;0),"–",""))</f>
        <v>21978</v>
      </c>
      <c r="F12" s="69">
        <f>IF($BJ11&gt;0,IF(INDEX('Final Calculation Sheet'!$A$4:$A$40,$BJ11-3)="","",INDEX('Final Calculation Sheet'!$A$4:$A$40,$BJ11-3)),IF(OR($BI11=1,$BL11=1,$BH11&gt;0),IF($BI11=1,SUM('Final Calculation Sheet'!$A$4:$A$40),IF($BL11=1,SUM('Final Calculation Sheet'!$A$4:$A$40)-SUMIFS('Final Calculation Sheet'!$A$4:$A$40,$AZ$5:$AZ$41,10),SUMIFS('Final Calculation Sheet'!$A$4:$A$40,$AZ$5:$AZ$41,$BH11))),""))</f>
        <v>100</v>
      </c>
      <c r="G12" s="69" t="str">
        <f>IF($BJ11&gt;0,IF(INDEX('Final Calculation Sheet'!$E$4:$E$40,$BJ11-3)="","",INDEX('Final Calculation Sheet'!$E$4:$E$40,$BJ11-3)),IF(OR($BI11=1,$BL11=1,$BH11&gt;0),"–",""))</f>
        <v>NO</v>
      </c>
      <c r="H12" s="70">
        <f>IF($BJ11&gt;0,IF(INDEX('Final Calculation Sheet'!$C$4:$C$40,$BJ11-3)="","",INDEX('Final Calculation Sheet'!$C$4:$C$40,$BJ11-3)),IF(OR($BI11=1,$BL11=1,$BH11&gt;0),"–",""))</f>
        <v>710</v>
      </c>
      <c r="I12" s="70">
        <f>IF($BJ11&gt;0,IF(INDEX('Final Calculation Sheet'!$H$4:$H$40,$BJ11-3)="","",INDEX('Final Calculation Sheet'!$H$4:$H$40,$BJ11-3)),IF(OR($BI11=1,$BL11=1,$BH11&gt;0),IF($BI11=1,SUM('Final Calculation Sheet'!$H$4:$H$40),IF($BL11=1,SUM('Final Calculation Sheet'!$H$4:$H$40)-SUMIFS('Final Calculation Sheet'!$H$4:$H$40,$AZ$5:$AZ$41,10),SUMIFS('Final Calculation Sheet'!$H$4:$H$40,$AZ$5:$AZ$41,$BH11))),""))</f>
        <v>71000</v>
      </c>
      <c r="J12" s="70">
        <f>IF($BJ11&gt;0,IF(INDEX('Final Calculation Sheet'!$I$4:$I$40,$BJ11-3)="","",INDEX('Final Calculation Sheet'!$I$4:$I$40,$BJ11-3)),IF(OR($BI11=1,$BL11=1,$BH11&gt;0),IF($BI11=1,SUM('Final Calculation Sheet'!$I$4:$I$40),IF($BL11=1,SUM('Final Calculation Sheet'!$I$4:$I$40)-SUMIFS('Final Calculation Sheet'!$I$4:$I$40,$AZ$5:$AZ$41,10),SUMIFS('Final Calculation Sheet'!$I$4:$I$40,$AZ$5:$AZ$41,$BH11))),""))</f>
        <v>12780</v>
      </c>
      <c r="K12" s="70">
        <f>IF($BJ11&gt;0,IF(INDEX('Final Calculation Sheet'!$J$4:$J$40,$BJ11-3)="","",INDEX('Final Calculation Sheet'!$J$4:$J$40,$BJ11-3)),IF(OR($BI11=1,$BL11=1,$BH11&gt;0),IF($BI11=1,SUM('Final Calculation Sheet'!$J$4:$J$40),IF($BL11=1,SUM('Final Calculation Sheet'!$J$4:$J$40)-SUMIFS('Final Calculation Sheet'!$J$4:$J$40,$AZ$5:$AZ$41,10),SUMIFS('Final Calculation Sheet'!$J$4:$J$40,$AZ$5:$AZ$41,$BH11))),""))</f>
        <v>83780</v>
      </c>
      <c r="L12" s="70">
        <f>IF($BJ11&gt;0,IF(INDEX('Final Calculation Sheet'!$K$4:$K$40,$BJ11-3)="","",INDEX('Final Calculation Sheet'!$K$4:$K$40,$BJ11-3)),IF(OR($BI11=1,$BL11=1,$BH11&gt;0),IF($BI11=1,SUM('Final Calculation Sheet'!$K$4:$K$40),IF($BL11=1,SUM('Final Calculation Sheet'!$K$4:$K$40)-SUMIFS('Final Calculation Sheet'!$K$4:$K$40,$AZ$5:$AZ$41,10),SUMIFS('Final Calculation Sheet'!$K$4:$K$40,$AZ$5:$AZ$41,$BH11))),""))</f>
        <v>1676</v>
      </c>
      <c r="M12" s="70">
        <f>IF($BJ11&gt;0,IF(INDEX('Final Calculation Sheet'!$L$4:$L$40,$BJ11-3)="","",INDEX('Final Calculation Sheet'!$L$4:$L$40,$BJ11-3)),IF(OR($BI11=1,$BL11=1,$BH11&gt;0),IF($BI11=1,SUM('Final Calculation Sheet'!$L$4:$L$40),IF($BL11=1,SUM('Final Calculation Sheet'!$L$4:$L$40)-SUMIFS('Final Calculation Sheet'!$L$4:$L$40,$AZ$5:$AZ$41,10),SUMIFS('Final Calculation Sheet'!$L$4:$L$40,$AZ$5:$AZ$41,$BH11))),""))</f>
        <v>71</v>
      </c>
      <c r="N12" s="70">
        <f>IF($BJ11&gt;0,IF(INDEX('Final Calculation Sheet'!$M$4:$M$40,$BJ11-3)="","",INDEX('Final Calculation Sheet'!$M$4:$M$40,$BJ11-3)),IF(OR($BI11=1,$BL11=1,$BH11&gt;0),IF($BI11=1,SUM('Final Calculation Sheet'!$M$4:$M$40),IF($BL11=1,SUM('Final Calculation Sheet'!$M$4:$M$40)-SUMIFS('Final Calculation Sheet'!$M$4:$M$40,$AZ$5:$AZ$41,10),SUMIFS('Final Calculation Sheet'!$M$4:$M$40,$AZ$5:$AZ$41,$BH11))),""))</f>
        <v>1885.05</v>
      </c>
      <c r="O12" s="71">
        <f>IF($BJ11&gt;0,IF(INDEX('Final Calculation Sheet'!$N$4:$N$40,$BJ11-3)="","",INDEX('Final Calculation Sheet'!$N$4:$N$40,$BJ11-3)),IF(OR($BI11=1,$BL11=1,$BH11&gt;0),IF($BI11=1,SUM('Final Calculation Sheet'!$N$4:$N$40),IF($BL11=1,SUM('Final Calculation Sheet'!$N$4:$N$40)-SUMIFS('Final Calculation Sheet'!$N$4:$N$40,$AZ$5:$AZ$41,10),SUMIFS('Final Calculation Sheet'!$N$4:$N$40,$AZ$5:$AZ$41,$BH11))),""))</f>
        <v>31.95</v>
      </c>
      <c r="P12" s="70">
        <f>IF($BJ11&gt;0,IF(INDEX('Final Calculation Sheet'!$O$4:$O$40,$BJ11-3)="","",INDEX('Final Calculation Sheet'!$O$4:$O$40,$BJ11-3)),IF(OR($BI11=1,$BL11=1,$BH11&gt;0),IF($BI11=1,SUM('Final Calculation Sheet'!$O$4:$O$40),IF($BL11=1,SUM('Final Calculation Sheet'!$O$4:$O$40)-SUMIFS('Final Calculation Sheet'!$O$4:$O$40,$AZ$5:$AZ$41,10),SUMIFS('Final Calculation Sheet'!$O$4:$O$40,$AZ$5:$AZ$41,$BH11))),""))</f>
        <v>1853.1</v>
      </c>
      <c r="Q12" s="70">
        <f>IF($BJ11&gt;0,IF(INDEX('Final Calculation Sheet'!$P$4:$P$40,$BJ11-3)="","",INDEX('Final Calculation Sheet'!$P$4:$P$40,$BJ11-3)),IF(OR($BI11=1,$BL11=1,$BH11&gt;0),IF($BI11=1,SUM('Final Calculation Sheet'!$P$4:$P$40),IF($BL11=1,SUM('Final Calculation Sheet'!$P$4:$P$40)-SUMIFS('Final Calculation Sheet'!$P$4:$P$40,$AZ$5:$AZ$41,10),SUMIFS('Final Calculation Sheet'!$P$4:$P$40,$AZ$5:$AZ$41,$BH11))),""))</f>
        <v>1924</v>
      </c>
      <c r="R12" s="72">
        <f>IF($BJ11&gt;0,IF(INDEX('Final Calculation Sheet'!$Q$4:$Q$40,$BJ11-3)="","",INDEX('Final Calculation Sheet'!$Q$4:$Q$40,$BJ11-3)),IF(OR($BI11=1,$BL11=1,$BH11&gt;0),"–",""))</f>
        <v>0</v>
      </c>
      <c r="S12" s="70">
        <f>IF($BJ11&gt;0,IF(INDEX('Final Calculation Sheet'!$R$4:$R$40,$BJ11-3)="","",INDEX('Final Calculation Sheet'!$R$4:$R$40,$BJ11-3)),IF(OR($BI11=1,$BL11=1,$BH11&gt;0),IF($BI11=1,SUM('Final Calculation Sheet'!$R$4:$R$40),IF($BL11=1,SUM('Final Calculation Sheet'!$R$4:$R$40)-SUMIFS('Final Calculation Sheet'!$R$4:$R$40,$AZ$5:$AZ$41,10),SUMIFS('Final Calculation Sheet'!$R$4:$R$40,$AZ$5:$AZ$41,$BH11))),""))</f>
        <v>0</v>
      </c>
      <c r="T12" s="70">
        <f>IF($BJ11&gt;0,IF(INDEX('Final Calculation Sheet'!$S$4:$S$40,$BJ11-3)="","",INDEX('Final Calculation Sheet'!$S$4:$S$40,$BJ11-3)),IF(OR($BI11=1,$BL11=1,$BH11&gt;0),IF($BI11=1,SUM('Final Calculation Sheet'!$S$4:$S$40),IF($BL11=1,SUM('Final Calculation Sheet'!$S$4:$S$40)-SUMIFS('Final Calculation Sheet'!$S$4:$S$40,$AZ$5:$AZ$41,10),SUMIFS('Final Calculation Sheet'!$S$4:$S$40,$AZ$5:$AZ$41,$BH11))),""))</f>
        <v>83532</v>
      </c>
      <c r="U12" s="70">
        <f>IF($BJ11&gt;0,IF(INDEX('Final Calculation Sheet'!$T$4:$T$40,$BJ11-3)="","",INDEX('Final Calculation Sheet'!$T$4:$T$40,$BJ11-3)),IF(OR($BI11=1,$BL11=1,$BH11&gt;0),IF($BI11=1,SUM('Final Calculation Sheet'!$T$4:$T$40),IF($BL11=1,SUM('Final Calculation Sheet'!$T$4:$T$40)-SUMIFS('Final Calculation Sheet'!$T$4:$T$40,$AZ$5:$AZ$41,10),SUMIFS('Final Calculation Sheet'!$T$4:$T$40,$AZ$5:$AZ$41,$BH11))),""))</f>
        <v>17750</v>
      </c>
      <c r="V12" s="73">
        <f>IF($BJ11&gt;0,IF(INDEX('Final Calculation Sheet'!$U$4:$U$40,$BJ11-3)="","",INDEX('Final Calculation Sheet'!$U$4:$U$40,$BJ11-3)),IF(OR($BI11=1,$BL11=1,$BH11&gt;0),IF($BI11=1,SUM('Final Calculation Sheet'!$U$4:$U$40),IF($BL11=1,SUM('Final Calculation Sheet'!$U$4:$U$40)-SUMIFS('Final Calculation Sheet'!$U$4:$U$40,$AZ$5:$AZ$41,10),SUMIFS('Final Calculation Sheet'!$U$4:$U$40,$AZ$5:$AZ$41,$BH11))),""))</f>
        <v>17750</v>
      </c>
      <c r="W12" s="70" t="str">
        <f>IF($BJ11&gt;0,IF(INDEX('Final Calculation Sheet'!$V$4:$V$40,$BJ11-3)="","",INDEX('Final Calculation Sheet'!$V$4:$V$40,$BJ11-3)),IF(OR($BI11=1,$BL11=1,$BH11&gt;0),"–",""))</f>
        <v>11.08.2026</v>
      </c>
      <c r="X12" s="70">
        <f>IF($BJ11&gt;0,IF(INDEX('Final Calculation Sheet'!$W$4:$W$40,$BJ11-3)="","",INDEX('Final Calculation Sheet'!$W$4:$W$40,$BJ11-3)),IF(OR($BI11=1,$BL11=1,$BH11&gt;0),IF($BI11=1,SUM('Final Calculation Sheet'!$W$4:$W$40),IF($BL11=1,SUM('Final Calculation Sheet'!$W$4:$W$40)-SUMIFS('Final Calculation Sheet'!$W$4:$W$40,$AZ$5:$AZ$41,10),SUMIFS('Final Calculation Sheet'!$W$4:$W$40,$AZ$5:$AZ$41,$BH11))),""))</f>
        <v>65782</v>
      </c>
      <c r="Y12" s="70">
        <f>IF($BJ11&gt;0,IF(INDEX('Final Calculation Sheet'!$X$4:$X$40,$BJ11-3)="","",INDEX('Final Calculation Sheet'!$X$4:$X$40,$BJ11-3)),IF(OR($BI11=1,$BL11=1,$BH11&gt;0),IF($BI11=1,SUM('Final Calculation Sheet'!$X$4:$X$40),IF($BL11=1,SUM('Final Calculation Sheet'!$X$4:$X$40)-SUMIFS('Final Calculation Sheet'!$X$4:$X$40,$AZ$5:$AZ$41,10),SUMIFS('Final Calculation Sheet'!$X$4:$X$40,$AZ$5:$AZ$41,$BH11))),""))</f>
        <v>65782</v>
      </c>
      <c r="Z12" s="70" t="str">
        <f>IF($BJ11&gt;0,IF(INDEX('Final Calculation Sheet'!$Y$4:$Y$40,$BJ11-3)="","",INDEX('Final Calculation Sheet'!$Y$4:$Y$40,$BJ11-3)),IF(OR($BI11=1,$BL11=1,$BH11&gt;0),"–",""))</f>
        <v>11.08.2026</v>
      </c>
      <c r="AA12" s="70">
        <f ca="1">IF($BJ11&gt;0,IF(INDEX('Final Calculation Sheet'!$Z$4:$Z$40,$BJ11-3)="","",INDEX('Final Calculation Sheet'!$Z$4:$Z$40,$BJ11-3)),IF(OR($BI11=1,$BL11=1,$BH11&gt;0),IF($BI11=1,SUM('Final Calculation Sheet'!$Z$4:$Z$40),IF($BL11=1,SUM('Final Calculation Sheet'!$Z$4:$Z$40)-SUMIFS('Final Calculation Sheet'!$Z$4:$Z$40,$AZ$5:$AZ$41,10),SUMIFS('Final Calculation Sheet'!$Z$4:$Z$40,$AZ$5:$AZ$41,$BH11))),""))</f>
        <v>0</v>
      </c>
      <c r="AB12" s="70" t="str">
        <f>IF($BJ11&gt;0,IF(INDEX('Final Calculation Sheet'!$AA$4:$AA$40,$BJ11-3)="","",INDEX('Final Calculation Sheet'!$AA$4:$AA$40,$BJ11-3)),IF(OR($BI11=1,$BL11=1,$BH11&gt;0),IF($BI11=1,SUM('Final Calculation Sheet'!$AA$4:$AA$40),IF($BL11=1,SUM('Final Calculation Sheet'!$AA$4:$AA$40)-SUMIFS('Final Calculation Sheet'!$AA$4:$AA$40,$AZ$5:$AZ$41,10),SUMIFS('Final Calculation Sheet'!$AA$4:$AA$40,$AZ$5:$AZ$41,$BH11))),""))</f>
        <v/>
      </c>
      <c r="AC12" s="70" t="str">
        <f>IF($BJ11&gt;0,IF(INDEX('Final Calculation Sheet'!$AB$4:$AB$40,$BJ11-3)="","",INDEX('Final Calculation Sheet'!$AB$4:$AB$40,$BJ11-3)),IF(OR($BI11=1,$BL11=1,$BH11&gt;0),"–",""))</f>
        <v/>
      </c>
      <c r="AD12" s="70">
        <f>IF($BJ11&gt;0,IF(INDEX('Final Calculation Sheet'!$AC$4:$AC$40,$BJ11-3)="","",INDEX('Final Calculation Sheet'!$AC$4:$AC$40,$BJ11-3)),IF(OR($BI11=1,$BL11=1,$BH11&gt;0),IF($BI11=1,SUM('Final Calculation Sheet'!$AC$4:$AC$40),IF($BL11=1,SUM('Final Calculation Sheet'!$AC$4:$AC$40)-SUMIFS('Final Calculation Sheet'!$AC$4:$AC$40,$AZ$5:$AZ$41,10),SUMIFS('Final Calculation Sheet'!$AC$4:$AC$40,$AZ$5:$AZ$41,$BH11))),""))</f>
        <v>83532</v>
      </c>
      <c r="AE12" s="70">
        <f>IF($BJ11&gt;0,IF(INDEX('Final Calculation Sheet'!$AD$4:$AD$40,$BJ11-3)="","",INDEX('Final Calculation Sheet'!$AD$4:$AD$40,$BJ11-3)),IF(OR($BI11=1,$BL11=1,$BH11&gt;0),IF($BI11=1,SUM('Final Calculation Sheet'!$AD$4:$AD$40),IF($BL11=1,SUM('Final Calculation Sheet'!$AD$4:$AD$40)-SUMIFS('Final Calculation Sheet'!$AD$4:$AD$40,$AZ$5:$AZ$41,10),SUMIFS('Final Calculation Sheet'!$AD$4:$AD$40,$AZ$5:$AZ$41,$BH11))),""))</f>
        <v>0</v>
      </c>
      <c r="AF12" s="70" t="str">
        <f>IF($BJ11&gt;0,IF(INDEX('Final Calculation Sheet'!$AE$4:$AE$40,$BJ11-3)="","",INDEX('Final Calculation Sheet'!$AE$4:$AE$40,$BJ11-3)),IF(OR($BI11=1,$BL11=1,$BH11&gt;0),"–",""))</f>
        <v>DR2640100020</v>
      </c>
      <c r="AG12" s="74">
        <f>IF($BJ11&gt;0,IF(INDEX('Final Calculation Sheet'!$AF$4:$AF$40,$BJ11-3)="","",INDEX('Final Calculation Sheet'!$AF$4:$AF$40,$BJ11-3)),IF(OR($BI11=1,$BL11=1,$BH11&gt;0),"–",""))</f>
        <v>1800003158</v>
      </c>
      <c r="AH12" s="70" t="str">
        <f>IF($BJ11&gt;0,IF(INDEX('Final Calculation Sheet'!$AG$4:$AG$40,$BJ11-3)="","",INDEX('Final Calculation Sheet'!$AG$4:$AG$40,$BJ11-3)),IF(OR($BI11=1,$BL11=1,$BH11&gt;0),"–",""))</f>
        <v>14.08.2026</v>
      </c>
      <c r="AI12" s="75" t="str">
        <f>IF($BJ11&gt;0,IF(INDEX('Final Calculation Sheet'!$AD$4:$AD$40,$BJ11-3)="","",IF(INDEX('Final Calculation Sheet'!$AD$4:$AD$40,$BJ11-3)&lt;=0,"SETTLED","OUTSTANDING")),IF(OR($BI11=1,$BL11=1,$BH11&gt;0),IF(IF($BI11=1,SUM('Final Calculation Sheet'!$AD$4:$AD$40),IF($BL11=1,SUM('Final Calculation Sheet'!$AD$4:$AD$40)-SUMIFS('Final Calculation Sheet'!$AD$4:$AD$40,$AZ$5:$AZ$41,10),SUMIFS('Final Calculation Sheet'!$AD$4:$AD$40,$AZ$5:$AZ$41,$BH11)))&lt;=0,"ALL SETTLED","OUTSTANDING"),""))</f>
        <v>SETTLED</v>
      </c>
      <c r="AK12" t="str">
        <f>IF($F$3="Lot No.",'Final Calculation Sheet'!$F$11,IF($F$3="Buyer",'Final Calculation Sheet'!$G$11,IF($F$3="Lot Name",'Final Calculation Sheet'!$B$11,IF($F$3="Bid Sheet",'Final Calculation Sheet'!$D$11,IF($F$3="Unit",'Final Calculation Sheet'!$E$11,'Final Calculation Sheet'!$F$11&amp;" "&amp;'Final Calculation Sheet'!$G$11&amp;" "&amp;'Final Calculation Sheet'!$B$11)))))</f>
        <v>2003 NATIONAL ENTERPRISES Scrap of 145 KV CB</v>
      </c>
      <c r="AM12">
        <f t="shared" si="1"/>
        <v>0</v>
      </c>
      <c r="AZ12">
        <f t="shared" si="2"/>
        <v>10</v>
      </c>
      <c r="BA12">
        <f t="shared" si="3"/>
        <v>7</v>
      </c>
      <c r="BB12">
        <f t="shared" si="4"/>
        <v>23</v>
      </c>
      <c r="BC12">
        <v>11</v>
      </c>
      <c r="BD12">
        <f>COUNTIF($AZ$5:$AZ$41,9)</f>
        <v>0</v>
      </c>
      <c r="BE12">
        <f t="shared" si="5"/>
        <v>16</v>
      </c>
      <c r="BF12">
        <f t="shared" si="0"/>
        <v>0</v>
      </c>
      <c r="BH12">
        <f>IFERROR(MATCH(12,$BF$4:$BF$13,0),0)</f>
        <v>0</v>
      </c>
      <c r="BI12">
        <f>IF(12=$BG$5,1,0)</f>
        <v>0</v>
      </c>
      <c r="BJ12">
        <f>IF(OR($BH12&gt;0,$BI12=1,$BL12=1),0,IFERROR(INDEX($BC$5:$BC$41,MATCH(12,$BB$5:$BB$41,0)),0))</f>
        <v>23</v>
      </c>
      <c r="BK12">
        <f>IF($BJ12&gt;0,IF(INDEX($AZ$5:$AZ$41,MATCH(12,$BB$5:$BB$41,0))=10,1,0),IF($BH12=10,1,0))</f>
        <v>0</v>
      </c>
      <c r="BL12">
        <f>IF(12=$BG$4,1,0)</f>
        <v>0</v>
      </c>
      <c r="BM12">
        <f>IF($A$4="",1,--(AND(SUMPRODUCT(--($AS$60:$AZ$60&lt;&gt;""))&gt;0,IF(COUNTIF($BI$60:$BP$60,1)=0,TRUE,SUMPRODUCT(($BI$60:$BP$60=1)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$60,2)=0,TRUE,SUMPRODUCT(($BI$60:$BP$60=2)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$60,3)=0,TRUE,SUMPRODUCT(($BI$60:$BP$60=3)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$60,4)=0,TRUE,SUMPRODUCT(($BI$60:$BP$60=4)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$60,5)=0,TRUE,SUMPRODUCT(($BI$60:$BP$60=5)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$60,6)=0,TRUE,SUMPRODUCT(($BI$60:$BP$60=6)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$60,7)=0,TRUE,SUMPRODUCT(($BI$60:$BP$60=7)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$60,8)=0,TRUE,SUMPRODUCT(($BI$60:$BP$60=8)*($AS$60:$AZ$60&lt;&gt;"")*IF(((UPPER($AS$60:$AZ$60)="BLANK")+(UPPER($AS$60:$AZ$60)="(BLANK)")+(UPPER($AS$60:$AZ$60)="EMPTY")+(UPPER($AS$60:$AZ$60)="(EMPTY)"))&gt;0,IFERROR((ROW()-4)&amp;"","")="",ISNUMBER(SEARCH($AS$60:$AZ$60,IFERROR((ROW()-4)&amp;"","")))))&gt;0))))</f>
        <v>1</v>
      </c>
      <c r="BN12">
        <f>IF($B$4="",1,--(AND(SUMPRODUCT(--($AS$61:$AZ$61&lt;&gt;""))&gt;0,IF(COUNTIF($BI$61:$BP$61,1)=0,TRUE,SUMPRODUCT(($BI$61:$BP$61=1)*($AS$61:$AZ$61&lt;&gt;"")*IF(((UPPER($AS$61:$AZ$61)="BLANK")+(UPPER($AS$61:$AZ$61)="(BLANK)")+(UPPER($AS$61:$AZ$61)="EMPTY")+(UPPER($AS$61:$AZ$61)="(EMPTY)"))&gt;0,IFERROR(('Final Calculation Sheet'!$F$11)&amp;"","")="",ISNUMBER(SEARCH($AS$61:$AZ$61,IFERROR(('Final Calculation Sheet'!$F$11)&amp;"","")))))&gt;0),IF(COUNTIF($BI$61:$BP$61,2)=0,TRUE,SUMPRODUCT(($BI$61:$BP$61=2)*($AS$61:$AZ$61&lt;&gt;"")*IF(((UPPER($AS$61:$AZ$61)="BLANK")+(UPPER($AS$61:$AZ$61)="(BLANK)")+(UPPER($AS$61:$AZ$61)="EMPTY")+(UPPER($AS$61:$AZ$61)="(EMPTY)"))&gt;0,IFERROR(('Final Calculation Sheet'!$F$11)&amp;"","")="",ISNUMBER(SEARCH($AS$61:$AZ$61,IFERROR(('Final Calculation Sheet'!$F$11)&amp;"","")))))&gt;0),IF(COUNTIF($BI$61:$BP$61,3)=0,TRUE,SUMPRODUCT(($BI$61:$BP$61=3)*($AS$61:$AZ$61&lt;&gt;"")*IF(((UPPER($AS$61:$AZ$61)="BLANK")+(UPPER($AS$61:$AZ$61)="(BLANK)")+(UPPER($AS$61:$AZ$61)="EMPTY")+(UPPER($AS$61:$AZ$61)="(EMPTY)"))&gt;0,IFERROR(('Final Calculation Sheet'!$F$11)&amp;"","")="",ISNUMBER(SEARCH($AS$61:$AZ$61,IFERROR(('Final Calculation Sheet'!$F$11)&amp;"","")))))&gt;0),IF(COUNTIF($BI$61:$BP$61,4)=0,TRUE,SUMPRODUCT(($BI$61:$BP$61=4)*($AS$61:$AZ$61&lt;&gt;"")*IF(((UPPER($AS$61:$AZ$61)="BLANK")+(UPPER($AS$61:$AZ$61)="(BLANK)")+(UPPER($AS$61:$AZ$61)="EMPTY")+(UPPER($AS$61:$AZ$61)="(EMPTY)"))&gt;0,IFERROR(('Final Calculation Sheet'!$F$11)&amp;"","")="",ISNUMBER(SEARCH($AS$61:$AZ$61,IFERROR(('Final Calculation Sheet'!$F$11)&amp;"","")))))&gt;0),IF(COUNTIF($BI$61:$BP$61,5)=0,TRUE,SUMPRODUCT(($BI$61:$BP$61=5)*($AS$61:$AZ$61&lt;&gt;"")*IF(((UPPER($AS$61:$AZ$61)="BLANK")+(UPPER($AS$61:$AZ$61)="(BLANK)")+(UPPER($AS$61:$AZ$61)="EMPTY")+(UPPER($AS$61:$AZ$61)="(EMPTY)"))&gt;0,IFERROR(('Final Calculation Sheet'!$F$11)&amp;"","")="",ISNUMBER(SEARCH($AS$61:$AZ$61,IFERROR(('Final Calculation Sheet'!$F$11)&amp;"","")))))&gt;0),IF(COUNTIF($BI$61:$BP$61,6)=0,TRUE,SUMPRODUCT(($BI$61:$BP$61=6)*($AS$61:$AZ$61&lt;&gt;"")*IF(((UPPER($AS$61:$AZ$61)="BLANK")+(UPPER($AS$61:$AZ$61)="(BLANK)")+(UPPER($AS$61:$AZ$61)="EMPTY")+(UPPER($AS$61:$AZ$61)="(EMPTY)"))&gt;0,IFERROR(('Final Calculation Sheet'!$F$11)&amp;"","")="",ISNUMBER(SEARCH($AS$61:$AZ$61,IFERROR(('Final Calculation Sheet'!$F$11)&amp;"","")))))&gt;0),IF(COUNTIF($BI$61:$BP$61,7)=0,TRUE,SUMPRODUCT(($BI$61:$BP$61=7)*($AS$61:$AZ$61&lt;&gt;"")*IF(((UPPER($AS$61:$AZ$61)="BLANK")+(UPPER($AS$61:$AZ$61)="(BLANK)")+(UPPER($AS$61:$AZ$61)="EMPTY")+(UPPER($AS$61:$AZ$61)="(EMPTY)"))&gt;0,IFERROR(('Final Calculation Sheet'!$F$11)&amp;"","")="",ISNUMBER(SEARCH($AS$61:$AZ$61,IFERROR(('Final Calculation Sheet'!$F$11)&amp;"","")))))&gt;0),IF(COUNTIF($BI$61:$BP$61,8)=0,TRUE,SUMPRODUCT(($BI$61:$BP$61=8)*($AS$61:$AZ$61&lt;&gt;"")*IF(((UPPER($AS$61:$AZ$61)="BLANK")+(UPPER($AS$61:$AZ$61)="(BLANK)")+(UPPER($AS$61:$AZ$61)="EMPTY")+(UPPER($AS$61:$AZ$61)="(EMPTY)"))&gt;0,IFERROR(('Final Calculation Sheet'!$F$11)&amp;"","")="",ISNUMBER(SEARCH($AS$61:$AZ$61,IFERROR(('Final Calculation Sheet'!$F$11)&amp;"","")))))&gt;0))))</f>
        <v>1</v>
      </c>
      <c r="BO12">
        <f>IF($C$4="",1,--(AND(SUMPRODUCT(--($AS$62:$AZ$62&lt;&gt;""))&gt;0,IF(COUNTIF($BI$62:$BP$62,1)=0,TRUE,SUMPRODUCT(($BI$62:$BP$62=1)*($AS$62:$AZ$62&lt;&gt;"")*IF(((UPPER($AS$62:$AZ$62)="BLANK")+(UPPER($AS$62:$AZ$62)="(BLANK)")+(UPPER($AS$62:$AZ$62)="EMPTY")+(UPPER($AS$62:$AZ$62)="(EMPTY)"))&gt;0,IFERROR(('Final Calculation Sheet'!$G$11)&amp;"","")="",ISNUMBER(SEARCH($AS$62:$AZ$62,IFERROR(('Final Calculation Sheet'!$G$11)&amp;"","")))))&gt;0),IF(COUNTIF($BI$62:$BP$62,2)=0,TRUE,SUMPRODUCT(($BI$62:$BP$62=2)*($AS$62:$AZ$62&lt;&gt;"")*IF(((UPPER($AS$62:$AZ$62)="BLANK")+(UPPER($AS$62:$AZ$62)="(BLANK)")+(UPPER($AS$62:$AZ$62)="EMPTY")+(UPPER($AS$62:$AZ$62)="(EMPTY)"))&gt;0,IFERROR(('Final Calculation Sheet'!$G$11)&amp;"","")="",ISNUMBER(SEARCH($AS$62:$AZ$62,IFERROR(('Final Calculation Sheet'!$G$11)&amp;"","")))))&gt;0),IF(COUNTIF($BI$62:$BP$62,3)=0,TRUE,SUMPRODUCT(($BI$62:$BP$62=3)*($AS$62:$AZ$62&lt;&gt;"")*IF(((UPPER($AS$62:$AZ$62)="BLANK")+(UPPER($AS$62:$AZ$62)="(BLANK)")+(UPPER($AS$62:$AZ$62)="EMPTY")+(UPPER($AS$62:$AZ$62)="(EMPTY)"))&gt;0,IFERROR(('Final Calculation Sheet'!$G$11)&amp;"","")="",ISNUMBER(SEARCH($AS$62:$AZ$62,IFERROR(('Final Calculation Sheet'!$G$11)&amp;"","")))))&gt;0),IF(COUNTIF($BI$62:$BP$62,4)=0,TRUE,SUMPRODUCT(($BI$62:$BP$62=4)*($AS$62:$AZ$62&lt;&gt;"")*IF(((UPPER($AS$62:$AZ$62)="BLANK")+(UPPER($AS$62:$AZ$62)="(BLANK)")+(UPPER($AS$62:$AZ$62)="EMPTY")+(UPPER($AS$62:$AZ$62)="(EMPTY)"))&gt;0,IFERROR(('Final Calculation Sheet'!$G$11)&amp;"","")="",ISNUMBER(SEARCH($AS$62:$AZ$62,IFERROR(('Final Calculation Sheet'!$G$11)&amp;"","")))))&gt;0),IF(COUNTIF($BI$62:$BP$62,5)=0,TRUE,SUMPRODUCT(($BI$62:$BP$62=5)*($AS$62:$AZ$62&lt;&gt;"")*IF(((UPPER($AS$62:$AZ$62)="BLANK")+(UPPER($AS$62:$AZ$62)="(BLANK)")+(UPPER($AS$62:$AZ$62)="EMPTY")+(UPPER($AS$62:$AZ$62)="(EMPTY)"))&gt;0,IFERROR(('Final Calculation Sheet'!$G$11)&amp;"","")="",ISNUMBER(SEARCH($AS$62:$AZ$62,IFERROR(('Final Calculation Sheet'!$G$11)&amp;"","")))))&gt;0),IF(COUNTIF($BI$62:$BP$62,6)=0,TRUE,SUMPRODUCT(($BI$62:$BP$62=6)*($AS$62:$AZ$62&lt;&gt;"")*IF(((UPPER($AS$62:$AZ$62)="BLANK")+(UPPER($AS$62:$AZ$62)="(BLANK)")+(UPPER($AS$62:$AZ$62)="EMPTY")+(UPPER($AS$62:$AZ$62)="(EMPTY)"))&gt;0,IFERROR(('Final Calculation Sheet'!$G$11)&amp;"","")="",ISNUMBER(SEARCH($AS$62:$AZ$62,IFERROR(('Final Calculation Sheet'!$G$11)&amp;"","")))))&gt;0),IF(COUNTIF($BI$62:$BP$62,7)=0,TRUE,SUMPRODUCT(($BI$62:$BP$62=7)*($AS$62:$AZ$62&lt;&gt;"")*IF(((UPPER($AS$62:$AZ$62)="BLANK")+(UPPER($AS$62:$AZ$62)="(BLANK)")+(UPPER($AS$62:$AZ$62)="EMPTY")+(UPPER($AS$62:$AZ$62)="(EMPTY)"))&gt;0,IFERROR(('Final Calculation Sheet'!$G$11)&amp;"","")="",ISNUMBER(SEARCH($AS$62:$AZ$62,IFERROR(('Final Calculation Sheet'!$G$11)&amp;"","")))))&gt;0),IF(COUNTIF($BI$62:$BP$62,8)=0,TRUE,SUMPRODUCT(($BI$62:$BP$62=8)*($AS$62:$AZ$62&lt;&gt;"")*IF(((UPPER($AS$62:$AZ$62)="BLANK")+(UPPER($AS$62:$AZ$62)="(BLANK)")+(UPPER($AS$62:$AZ$62)="EMPTY")+(UPPER($AS$62:$AZ$62)="(EMPTY)"))&gt;0,IFERROR(('Final Calculation Sheet'!$G$11)&amp;"","")="",ISNUMBER(SEARCH($AS$62:$AZ$62,IFERROR(('Final Calculation Sheet'!$G$11)&amp;"","")))))&gt;0))))</f>
        <v>1</v>
      </c>
      <c r="BP12">
        <f>IF($D$4="",1,--(AND(SUMPRODUCT(--($AS$63:$AZ$63&lt;&gt;""))&gt;0,IF(COUNTIF($BI$63:$BP$63,1)=0,TRUE,SUMPRODUCT(($BI$63:$BP$63=1)*($AS$63:$AZ$63&lt;&gt;"")*IF(((UPPER($AS$63:$AZ$63)="BLANK")+(UPPER($AS$63:$AZ$63)="(BLANK)")+(UPPER($AS$63:$AZ$63)="EMPTY")+(UPPER($AS$63:$AZ$63)="(EMPTY)"))&gt;0,IFERROR(('Final Calculation Sheet'!$B$11)&amp;"","")="",ISNUMBER(SEARCH($AS$63:$AZ$63,IFERROR(('Final Calculation Sheet'!$B$11)&amp;"","")))))&gt;0),IF(COUNTIF($BI$63:$BP$63,2)=0,TRUE,SUMPRODUCT(($BI$63:$BP$63=2)*($AS$63:$AZ$63&lt;&gt;"")*IF(((UPPER($AS$63:$AZ$63)="BLANK")+(UPPER($AS$63:$AZ$63)="(BLANK)")+(UPPER($AS$63:$AZ$63)="EMPTY")+(UPPER($AS$63:$AZ$63)="(EMPTY)"))&gt;0,IFERROR(('Final Calculation Sheet'!$B$11)&amp;"","")="",ISNUMBER(SEARCH($AS$63:$AZ$63,IFERROR(('Final Calculation Sheet'!$B$11)&amp;"","")))))&gt;0),IF(COUNTIF($BI$63:$BP$63,3)=0,TRUE,SUMPRODUCT(($BI$63:$BP$63=3)*($AS$63:$AZ$63&lt;&gt;"")*IF(((UPPER($AS$63:$AZ$63)="BLANK")+(UPPER($AS$63:$AZ$63)="(BLANK)")+(UPPER($AS$63:$AZ$63)="EMPTY")+(UPPER($AS$63:$AZ$63)="(EMPTY)"))&gt;0,IFERROR(('Final Calculation Sheet'!$B$11)&amp;"","")="",ISNUMBER(SEARCH($AS$63:$AZ$63,IFERROR(('Final Calculation Sheet'!$B$11)&amp;"","")))))&gt;0),IF(COUNTIF($BI$63:$BP$63,4)=0,TRUE,SUMPRODUCT(($BI$63:$BP$63=4)*($AS$63:$AZ$63&lt;&gt;"")*IF(((UPPER($AS$63:$AZ$63)="BLANK")+(UPPER($AS$63:$AZ$63)="(BLANK)")+(UPPER($AS$63:$AZ$63)="EMPTY")+(UPPER($AS$63:$AZ$63)="(EMPTY)"))&gt;0,IFERROR(('Final Calculation Sheet'!$B$11)&amp;"","")="",ISNUMBER(SEARCH($AS$63:$AZ$63,IFERROR(('Final Calculation Sheet'!$B$11)&amp;"","")))))&gt;0),IF(COUNTIF($BI$63:$BP$63,5)=0,TRUE,SUMPRODUCT(($BI$63:$BP$63=5)*($AS$63:$AZ$63&lt;&gt;"")*IF(((UPPER($AS$63:$AZ$63)="BLANK")+(UPPER($AS$63:$AZ$63)="(BLANK)")+(UPPER($AS$63:$AZ$63)="EMPTY")+(UPPER($AS$63:$AZ$63)="(EMPTY)"))&gt;0,IFERROR(('Final Calculation Sheet'!$B$11)&amp;"","")="",ISNUMBER(SEARCH($AS$63:$AZ$63,IFERROR(('Final Calculation Sheet'!$B$11)&amp;"","")))))&gt;0),IF(COUNTIF($BI$63:$BP$63,6)=0,TRUE,SUMPRODUCT(($BI$63:$BP$63=6)*($AS$63:$AZ$63&lt;&gt;"")*IF(((UPPER($AS$63:$AZ$63)="BLANK")+(UPPER($AS$63:$AZ$63)="(BLANK)")+(UPPER($AS$63:$AZ$63)="EMPTY")+(UPPER($AS$63:$AZ$63)="(EMPTY)"))&gt;0,IFERROR(('Final Calculation Sheet'!$B$11)&amp;"","")="",ISNUMBER(SEARCH($AS$63:$AZ$63,IFERROR(('Final Calculation Sheet'!$B$11)&amp;"","")))))&gt;0),IF(COUNTIF($BI$63:$BP$63,7)=0,TRUE,SUMPRODUCT(($BI$63:$BP$63=7)*($AS$63:$AZ$63&lt;&gt;"")*IF(((UPPER($AS$63:$AZ$63)="BLANK")+(UPPER($AS$63:$AZ$63)="(BLANK)")+(UPPER($AS$63:$AZ$63)="EMPTY")+(UPPER($AS$63:$AZ$63)="(EMPTY)"))&gt;0,IFERROR(('Final Calculation Sheet'!$B$11)&amp;"","")="",ISNUMBER(SEARCH($AS$63:$AZ$63,IFERROR(('Final Calculation Sheet'!$B$11)&amp;"","")))))&gt;0),IF(COUNTIF($BI$63:$BP$63,8)=0,TRUE,SUMPRODUCT(($BI$63:$BP$63=8)*($AS$63:$AZ$63&lt;&gt;"")*IF(((UPPER($AS$63:$AZ$63)="BLANK")+(UPPER($AS$63:$AZ$63)="(BLANK)")+(UPPER($AS$63:$AZ$63)="EMPTY")+(UPPER($AS$63:$AZ$63)="(EMPTY)"))&gt;0,IFERROR(('Final Calculation Sheet'!$B$11)&amp;"","")="",ISNUMBER(SEARCH($AS$63:$AZ$63,IFERROR(('Final Calculation Sheet'!$B$11)&amp;"","")))))&gt;0))))</f>
        <v>1</v>
      </c>
      <c r="BQ12">
        <f>IF($E$4="",1,--(AND(SUMPRODUCT(--($AS$64:$AZ$64&lt;&gt;""))&gt;0,IF(COUNTIF($BI$64:$BP$64,1)=0,TRUE,SUMPRODUCT(($BI$64:$BP$64=1)*($AS$64:$AZ$64&lt;&gt;"")*IF(((UPPER($AS$64:$AZ$64)="BLANK")+(UPPER($AS$64:$AZ$64)="(BLANK)")+(UPPER($AS$64:$AZ$64)="EMPTY")+(UPPER($AS$64:$AZ$64)="(EMPTY)"))&gt;0,IFERROR(('Final Calculation Sheet'!$D$11)&amp;"","")="",ISNUMBER(SEARCH($AS$64:$AZ$64,IFERROR(('Final Calculation Sheet'!$D$11)&amp;"","")))))&gt;0),IF(COUNTIF($BI$64:$BP$64,2)=0,TRUE,SUMPRODUCT(($BI$64:$BP$64=2)*($AS$64:$AZ$64&lt;&gt;"")*IF(((UPPER($AS$64:$AZ$64)="BLANK")+(UPPER($AS$64:$AZ$64)="(BLANK)")+(UPPER($AS$64:$AZ$64)="EMPTY")+(UPPER($AS$64:$AZ$64)="(EMPTY)"))&gt;0,IFERROR(('Final Calculation Sheet'!$D$11)&amp;"","")="",ISNUMBER(SEARCH($AS$64:$AZ$64,IFERROR(('Final Calculation Sheet'!$D$11)&amp;"","")))))&gt;0),IF(COUNTIF($BI$64:$BP$64,3)=0,TRUE,SUMPRODUCT(($BI$64:$BP$64=3)*($AS$64:$AZ$64&lt;&gt;"")*IF(((UPPER($AS$64:$AZ$64)="BLANK")+(UPPER($AS$64:$AZ$64)="(BLANK)")+(UPPER($AS$64:$AZ$64)="EMPTY")+(UPPER($AS$64:$AZ$64)="(EMPTY)"))&gt;0,IFERROR(('Final Calculation Sheet'!$D$11)&amp;"","")="",ISNUMBER(SEARCH($AS$64:$AZ$64,IFERROR(('Final Calculation Sheet'!$D$11)&amp;"","")))))&gt;0),IF(COUNTIF($BI$64:$BP$64,4)=0,TRUE,SUMPRODUCT(($BI$64:$BP$64=4)*($AS$64:$AZ$64&lt;&gt;"")*IF(((UPPER($AS$64:$AZ$64)="BLANK")+(UPPER($AS$64:$AZ$64)="(BLANK)")+(UPPER($AS$64:$AZ$64)="EMPTY")+(UPPER($AS$64:$AZ$64)="(EMPTY)"))&gt;0,IFERROR(('Final Calculation Sheet'!$D$11)&amp;"","")="",ISNUMBER(SEARCH($AS$64:$AZ$64,IFERROR(('Final Calculation Sheet'!$D$11)&amp;"","")))))&gt;0),IF(COUNTIF($BI$64:$BP$64,5)=0,TRUE,SUMPRODUCT(($BI$64:$BP$64=5)*($AS$64:$AZ$64&lt;&gt;"")*IF(((UPPER($AS$64:$AZ$64)="BLANK")+(UPPER($AS$64:$AZ$64)="(BLANK)")+(UPPER($AS$64:$AZ$64)="EMPTY")+(UPPER($AS$64:$AZ$64)="(EMPTY)"))&gt;0,IFERROR(('Final Calculation Sheet'!$D$11)&amp;"","")="",ISNUMBER(SEARCH($AS$64:$AZ$64,IFERROR(('Final Calculation Sheet'!$D$11)&amp;"","")))))&gt;0),IF(COUNTIF($BI$64:$BP$64,6)=0,TRUE,SUMPRODUCT(($BI$64:$BP$64=6)*($AS$64:$AZ$64&lt;&gt;"")*IF(((UPPER($AS$64:$AZ$64)="BLANK")+(UPPER($AS$64:$AZ$64)="(BLANK)")+(UPPER($AS$64:$AZ$64)="EMPTY")+(UPPER($AS$64:$AZ$64)="(EMPTY)"))&gt;0,IFERROR(('Final Calculation Sheet'!$D$11)&amp;"","")="",ISNUMBER(SEARCH($AS$64:$AZ$64,IFERROR(('Final Calculation Sheet'!$D$11)&amp;"","")))))&gt;0),IF(COUNTIF($BI$64:$BP$64,7)=0,TRUE,SUMPRODUCT(($BI$64:$BP$64=7)*($AS$64:$AZ$64&lt;&gt;"")*IF(((UPPER($AS$64:$AZ$64)="BLANK")+(UPPER($AS$64:$AZ$64)="(BLANK)")+(UPPER($AS$64:$AZ$64)="EMPTY")+(UPPER($AS$64:$AZ$64)="(EMPTY)"))&gt;0,IFERROR(('Final Calculation Sheet'!$D$11)&amp;"","")="",ISNUMBER(SEARCH($AS$64:$AZ$64,IFERROR(('Final Calculation Sheet'!$D$11)&amp;"","")))))&gt;0),IF(COUNTIF($BI$64:$BP$64,8)=0,TRUE,SUMPRODUCT(($BI$64:$BP$64=8)*($AS$64:$AZ$64&lt;&gt;"")*IF(((UPPER($AS$64:$AZ$64)="BLANK")+(UPPER($AS$64:$AZ$64)="(BLANK)")+(UPPER($AS$64:$AZ$64)="EMPTY")+(UPPER($AS$64:$AZ$64)="(EMPTY)"))&gt;0,IFERROR(('Final Calculation Sheet'!$D$11)&amp;"","")="",ISNUMBER(SEARCH($AS$64:$AZ$64,IFERROR(('Final Calculation Sheet'!$D$11)&amp;"","")))))&gt;0))))</f>
        <v>1</v>
      </c>
      <c r="BR12">
        <f>IF($F$4="",1,--(AND(SUMPRODUCT(--($AS$65:$AZ$65&lt;&gt;""))&gt;0,IF(COUNTIF($BI$65:$BP$65,1)=0,TRUE,SUMPRODUCT(($BI$65:$BP$65=1)*($AS$65:$AZ$65&lt;&gt;"")*IF(((UPPER($AS$65:$AZ$65)="BLANK")+(UPPER($AS$65:$AZ$65)="(BLANK)")+(UPPER($AS$65:$AZ$65)="EMPTY")+(UPPER($AS$65:$AZ$65)="(EMPTY)"))&gt;0,IFERROR(('Final Calculation Sheet'!$A$11)&amp;"","")="",ISNUMBER(SEARCH($AS$65:$AZ$65,IFERROR(('Final Calculation Sheet'!$A$11)&amp;"","")))))&gt;0),IF(COUNTIF($BI$65:$BP$65,2)=0,TRUE,SUMPRODUCT(($BI$65:$BP$65=2)*($AS$65:$AZ$65&lt;&gt;"")*IF(((UPPER($AS$65:$AZ$65)="BLANK")+(UPPER($AS$65:$AZ$65)="(BLANK)")+(UPPER($AS$65:$AZ$65)="EMPTY")+(UPPER($AS$65:$AZ$65)="(EMPTY)"))&gt;0,IFERROR(('Final Calculation Sheet'!$A$11)&amp;"","")="",ISNUMBER(SEARCH($AS$65:$AZ$65,IFERROR(('Final Calculation Sheet'!$A$11)&amp;"","")))))&gt;0),IF(COUNTIF($BI$65:$BP$65,3)=0,TRUE,SUMPRODUCT(($BI$65:$BP$65=3)*($AS$65:$AZ$65&lt;&gt;"")*IF(((UPPER($AS$65:$AZ$65)="BLANK")+(UPPER($AS$65:$AZ$65)="(BLANK)")+(UPPER($AS$65:$AZ$65)="EMPTY")+(UPPER($AS$65:$AZ$65)="(EMPTY)"))&gt;0,IFERROR(('Final Calculation Sheet'!$A$11)&amp;"","")="",ISNUMBER(SEARCH($AS$65:$AZ$65,IFERROR(('Final Calculation Sheet'!$A$11)&amp;"","")))))&gt;0),IF(COUNTIF($BI$65:$BP$65,4)=0,TRUE,SUMPRODUCT(($BI$65:$BP$65=4)*($AS$65:$AZ$65&lt;&gt;"")*IF(((UPPER($AS$65:$AZ$65)="BLANK")+(UPPER($AS$65:$AZ$65)="(BLANK)")+(UPPER($AS$65:$AZ$65)="EMPTY")+(UPPER($AS$65:$AZ$65)="(EMPTY)"))&gt;0,IFERROR(('Final Calculation Sheet'!$A$11)&amp;"","")="",ISNUMBER(SEARCH($AS$65:$AZ$65,IFERROR(('Final Calculation Sheet'!$A$11)&amp;"","")))))&gt;0),IF(COUNTIF($BI$65:$BP$65,5)=0,TRUE,SUMPRODUCT(($BI$65:$BP$65=5)*($AS$65:$AZ$65&lt;&gt;"")*IF(((UPPER($AS$65:$AZ$65)="BLANK")+(UPPER($AS$65:$AZ$65)="(BLANK)")+(UPPER($AS$65:$AZ$65)="EMPTY")+(UPPER($AS$65:$AZ$65)="(EMPTY)"))&gt;0,IFERROR(('Final Calculation Sheet'!$A$11)&amp;"","")="",ISNUMBER(SEARCH($AS$65:$AZ$65,IFERROR(('Final Calculation Sheet'!$A$11)&amp;"","")))))&gt;0),IF(COUNTIF($BI$65:$BP$65,6)=0,TRUE,SUMPRODUCT(($BI$65:$BP$65=6)*($AS$65:$AZ$65&lt;&gt;"")*IF(((UPPER($AS$65:$AZ$65)="BLANK")+(UPPER($AS$65:$AZ$65)="(BLANK)")+(UPPER($AS$65:$AZ$65)="EMPTY")+(UPPER($AS$65:$AZ$65)="(EMPTY)"))&gt;0,IFERROR(('Final Calculation Sheet'!$A$11)&amp;"","")="",ISNUMBER(SEARCH($AS$65:$AZ$65,IFERROR(('Final Calculation Sheet'!$A$11)&amp;"","")))))&gt;0),IF(COUNTIF($BI$65:$BP$65,7)=0,TRUE,SUMPRODUCT(($BI$65:$BP$65=7)*($AS$65:$AZ$65&lt;&gt;"")*IF(((UPPER($AS$65:$AZ$65)="BLANK")+(UPPER($AS$65:$AZ$65)="(BLANK)")+(UPPER($AS$65:$AZ$65)="EMPTY")+(UPPER($AS$65:$AZ$65)="(EMPTY)"))&gt;0,IFERROR(('Final Calculation Sheet'!$A$11)&amp;"","")="",ISNUMBER(SEARCH($AS$65:$AZ$65,IFERROR(('Final Calculation Sheet'!$A$11)&amp;"","")))))&gt;0),IF(COUNTIF($BI$65:$BP$65,8)=0,TRUE,SUMPRODUCT(($BI$65:$BP$65=8)*($AS$65:$AZ$65&lt;&gt;"")*IF(((UPPER($AS$65:$AZ$65)="BLANK")+(UPPER($AS$65:$AZ$65)="(BLANK)")+(UPPER($AS$65:$AZ$65)="EMPTY")+(UPPER($AS$65:$AZ$65)="(EMPTY)"))&gt;0,IFERROR(('Final Calculation Sheet'!$A$11)&amp;"","")="",ISNUMBER(SEARCH($AS$65:$AZ$65,IFERROR(('Final Calculation Sheet'!$A$11)&amp;"","")))))&gt;0))))</f>
        <v>1</v>
      </c>
      <c r="BS12">
        <f>IF($G$4="",1,--(AND(SUMPRODUCT(--($AS$66:$AZ$66&lt;&gt;""))&gt;0,IF(COUNTIF($BI$66:$BP$66,1)=0,TRUE,SUMPRODUCT(($BI$66:$BP$66=1)*($AS$66:$AZ$66&lt;&gt;"")*IF(((UPPER($AS$66:$AZ$66)="BLANK")+(UPPER($AS$66:$AZ$66)="(BLANK)")+(UPPER($AS$66:$AZ$66)="EMPTY")+(UPPER($AS$66:$AZ$66)="(EMPTY)"))&gt;0,IFERROR(('Final Calculation Sheet'!$E$11)&amp;"","")="",ISNUMBER(SEARCH($AS$66:$AZ$66,IFERROR(('Final Calculation Sheet'!$E$11)&amp;"","")))))&gt;0),IF(COUNTIF($BI$66:$BP$66,2)=0,TRUE,SUMPRODUCT(($BI$66:$BP$66=2)*($AS$66:$AZ$66&lt;&gt;"")*IF(((UPPER($AS$66:$AZ$66)="BLANK")+(UPPER($AS$66:$AZ$66)="(BLANK)")+(UPPER($AS$66:$AZ$66)="EMPTY")+(UPPER($AS$66:$AZ$66)="(EMPTY)"))&gt;0,IFERROR(('Final Calculation Sheet'!$E$11)&amp;"","")="",ISNUMBER(SEARCH($AS$66:$AZ$66,IFERROR(('Final Calculation Sheet'!$E$11)&amp;"","")))))&gt;0),IF(COUNTIF($BI$66:$BP$66,3)=0,TRUE,SUMPRODUCT(($BI$66:$BP$66=3)*($AS$66:$AZ$66&lt;&gt;"")*IF(((UPPER($AS$66:$AZ$66)="BLANK")+(UPPER($AS$66:$AZ$66)="(BLANK)")+(UPPER($AS$66:$AZ$66)="EMPTY")+(UPPER($AS$66:$AZ$66)="(EMPTY)"))&gt;0,IFERROR(('Final Calculation Sheet'!$E$11)&amp;"","")="",ISNUMBER(SEARCH($AS$66:$AZ$66,IFERROR(('Final Calculation Sheet'!$E$11)&amp;"","")))))&gt;0),IF(COUNTIF($BI$66:$BP$66,4)=0,TRUE,SUMPRODUCT(($BI$66:$BP$66=4)*($AS$66:$AZ$66&lt;&gt;"")*IF(((UPPER($AS$66:$AZ$66)="BLANK")+(UPPER($AS$66:$AZ$66)="(BLANK)")+(UPPER($AS$66:$AZ$66)="EMPTY")+(UPPER($AS$66:$AZ$66)="(EMPTY)"))&gt;0,IFERROR(('Final Calculation Sheet'!$E$11)&amp;"","")="",ISNUMBER(SEARCH($AS$66:$AZ$66,IFERROR(('Final Calculation Sheet'!$E$11)&amp;"","")))))&gt;0),IF(COUNTIF($BI$66:$BP$66,5)=0,TRUE,SUMPRODUCT(($BI$66:$BP$66=5)*($AS$66:$AZ$66&lt;&gt;"")*IF(((UPPER($AS$66:$AZ$66)="BLANK")+(UPPER($AS$66:$AZ$66)="(BLANK)")+(UPPER($AS$66:$AZ$66)="EMPTY")+(UPPER($AS$66:$AZ$66)="(EMPTY)"))&gt;0,IFERROR(('Final Calculation Sheet'!$E$11)&amp;"","")="",ISNUMBER(SEARCH($AS$66:$AZ$66,IFERROR(('Final Calculation Sheet'!$E$11)&amp;"","")))))&gt;0),IF(COUNTIF($BI$66:$BP$66,6)=0,TRUE,SUMPRODUCT(($BI$66:$BP$66=6)*($AS$66:$AZ$66&lt;&gt;"")*IF(((UPPER($AS$66:$AZ$66)="BLANK")+(UPPER($AS$66:$AZ$66)="(BLANK)")+(UPPER($AS$66:$AZ$66)="EMPTY")+(UPPER($AS$66:$AZ$66)="(EMPTY)"))&gt;0,IFERROR(('Final Calculation Sheet'!$E$11)&amp;"","")="",ISNUMBER(SEARCH($AS$66:$AZ$66,IFERROR(('Final Calculation Sheet'!$E$11)&amp;"","")))))&gt;0),IF(COUNTIF($BI$66:$BP$66,7)=0,TRUE,SUMPRODUCT(($BI$66:$BP$66=7)*($AS$66:$AZ$66&lt;&gt;"")*IF(((UPPER($AS$66:$AZ$66)="BLANK")+(UPPER($AS$66:$AZ$66)="(BLANK)")+(UPPER($AS$66:$AZ$66)="EMPTY")+(UPPER($AS$66:$AZ$66)="(EMPTY)"))&gt;0,IFERROR(('Final Calculation Sheet'!$E$11)&amp;"","")="",ISNUMBER(SEARCH($AS$66:$AZ$66,IFERROR(('Final Calculation Sheet'!$E$11)&amp;"","")))))&gt;0),IF(COUNTIF($BI$66:$BP$66,8)=0,TRUE,SUMPRODUCT(($BI$66:$BP$66=8)*($AS$66:$AZ$66&lt;&gt;"")*IF(((UPPER($AS$66:$AZ$66)="BLANK")+(UPPER($AS$66:$AZ$66)="(BLANK)")+(UPPER($AS$66:$AZ$66)="EMPTY")+(UPPER($AS$66:$AZ$66)="(EMPTY)"))&gt;0,IFERROR(('Final Calculation Sheet'!$E$11)&amp;"","")="",ISNUMBER(SEARCH($AS$66:$AZ$66,IFERROR(('Final Calculation Sheet'!$E$11)&amp;"","")))))&gt;0))))</f>
        <v>1</v>
      </c>
      <c r="BT12">
        <f>IF($H$4="",1,--(AND(SUMPRODUCT(--($AS$67:$AZ$67&lt;&gt;""))&gt;0,IF(COUNTIF($BI$67:$BP$67,1)=0,TRUE,SUMPRODUCT(($BI$67:$BP$67=1)*($AS$67:$AZ$67&lt;&gt;"")*IF(((UPPER($AS$67:$AZ$67)="BLANK")+(UPPER($AS$67:$AZ$67)="(BLANK)")+(UPPER($AS$67:$AZ$67)="EMPTY")+(UPPER($AS$67:$AZ$67)="(EMPTY)"))&gt;0,IFERROR(('Final Calculation Sheet'!$C$11)&amp;"","")="",ISNUMBER(SEARCH($AS$67:$AZ$67,IFERROR(('Final Calculation Sheet'!$C$11)&amp;"","")))))&gt;0),IF(COUNTIF($BI$67:$BP$67,2)=0,TRUE,SUMPRODUCT(($BI$67:$BP$67=2)*($AS$67:$AZ$67&lt;&gt;"")*IF(((UPPER($AS$67:$AZ$67)="BLANK")+(UPPER($AS$67:$AZ$67)="(BLANK)")+(UPPER($AS$67:$AZ$67)="EMPTY")+(UPPER($AS$67:$AZ$67)="(EMPTY)"))&gt;0,IFERROR(('Final Calculation Sheet'!$C$11)&amp;"","")="",ISNUMBER(SEARCH($AS$67:$AZ$67,IFERROR(('Final Calculation Sheet'!$C$11)&amp;"","")))))&gt;0),IF(COUNTIF($BI$67:$BP$67,3)=0,TRUE,SUMPRODUCT(($BI$67:$BP$67=3)*($AS$67:$AZ$67&lt;&gt;"")*IF(((UPPER($AS$67:$AZ$67)="BLANK")+(UPPER($AS$67:$AZ$67)="(BLANK)")+(UPPER($AS$67:$AZ$67)="EMPTY")+(UPPER($AS$67:$AZ$67)="(EMPTY)"))&gt;0,IFERROR(('Final Calculation Sheet'!$C$11)&amp;"","")="",ISNUMBER(SEARCH($AS$67:$AZ$67,IFERROR(('Final Calculation Sheet'!$C$11)&amp;"","")))))&gt;0),IF(COUNTIF($BI$67:$BP$67,4)=0,TRUE,SUMPRODUCT(($BI$67:$BP$67=4)*($AS$67:$AZ$67&lt;&gt;"")*IF(((UPPER($AS$67:$AZ$67)="BLANK")+(UPPER($AS$67:$AZ$67)="(BLANK)")+(UPPER($AS$67:$AZ$67)="EMPTY")+(UPPER($AS$67:$AZ$67)="(EMPTY)"))&gt;0,IFERROR(('Final Calculation Sheet'!$C$11)&amp;"","")="",ISNUMBER(SEARCH($AS$67:$AZ$67,IFERROR(('Final Calculation Sheet'!$C$11)&amp;"","")))))&gt;0),IF(COUNTIF($BI$67:$BP$67,5)=0,TRUE,SUMPRODUCT(($BI$67:$BP$67=5)*($AS$67:$AZ$67&lt;&gt;"")*IF(((UPPER($AS$67:$AZ$67)="BLANK")+(UPPER($AS$67:$AZ$67)="(BLANK)")+(UPPER($AS$67:$AZ$67)="EMPTY")+(UPPER($AS$67:$AZ$67)="(EMPTY)"))&gt;0,IFERROR(('Final Calculation Sheet'!$C$11)&amp;"","")="",ISNUMBER(SEARCH($AS$67:$AZ$67,IFERROR(('Final Calculation Sheet'!$C$11)&amp;"","")))))&gt;0),IF(COUNTIF($BI$67:$BP$67,6)=0,TRUE,SUMPRODUCT(($BI$67:$BP$67=6)*($AS$67:$AZ$67&lt;&gt;"")*IF(((UPPER($AS$67:$AZ$67)="BLANK")+(UPPER($AS$67:$AZ$67)="(BLANK)")+(UPPER($AS$67:$AZ$67)="EMPTY")+(UPPER($AS$67:$AZ$67)="(EMPTY)"))&gt;0,IFERROR(('Final Calculation Sheet'!$C$11)&amp;"","")="",ISNUMBER(SEARCH($AS$67:$AZ$67,IFERROR(('Final Calculation Sheet'!$C$11)&amp;"","")))))&gt;0),IF(COUNTIF($BI$67:$BP$67,7)=0,TRUE,SUMPRODUCT(($BI$67:$BP$67=7)*($AS$67:$AZ$67&lt;&gt;"")*IF(((UPPER($AS$67:$AZ$67)="BLANK")+(UPPER($AS$67:$AZ$67)="(BLANK)")+(UPPER($AS$67:$AZ$67)="EMPTY")+(UPPER($AS$67:$AZ$67)="(EMPTY)"))&gt;0,IFERROR(('Final Calculation Sheet'!$C$11)&amp;"","")="",ISNUMBER(SEARCH($AS$67:$AZ$67,IFERROR(('Final Calculation Sheet'!$C$11)&amp;"","")))))&gt;0),IF(COUNTIF($BI$67:$BP$67,8)=0,TRUE,SUMPRODUCT(($BI$67:$BP$67=8)*($AS$67:$AZ$67&lt;&gt;"")*IF(((UPPER($AS$67:$AZ$67)="BLANK")+(UPPER($AS$67:$AZ$67)="(BLANK)")+(UPPER($AS$67:$AZ$67)="EMPTY")+(UPPER($AS$67:$AZ$67)="(EMPTY)"))&gt;0,IFERROR(('Final Calculation Sheet'!$C$11)&amp;"","")="",ISNUMBER(SEARCH($AS$67:$AZ$67,IFERROR(('Final Calculation Sheet'!$C$11)&amp;"","")))))&gt;0))))</f>
        <v>1</v>
      </c>
      <c r="BU12">
        <f>IF($I$4="",1,--(AND(SUMPRODUCT(--($AS$68:$AZ$68&lt;&gt;""))&gt;0,IF(COUNTIF($BI$68:$BP$68,1)=0,TRUE,SUMPRODUCT(($BI$68:$BP$68=1)*($AS$68:$AZ$68&lt;&gt;"")*IF(((UPPER($AS$68:$AZ$68)="BLANK")+(UPPER($AS$68:$AZ$68)="(BLANK)")+(UPPER($AS$68:$AZ$68)="EMPTY")+(UPPER($AS$68:$AZ$68)="(EMPTY)"))&gt;0,IFERROR(('Final Calculation Sheet'!$H$11)&amp;"","")="",ISNUMBER(SEARCH($AS$68:$AZ$68,IFERROR(('Final Calculation Sheet'!$H$11)&amp;"","")))))&gt;0),IF(COUNTIF($BI$68:$BP$68,2)=0,TRUE,SUMPRODUCT(($BI$68:$BP$68=2)*($AS$68:$AZ$68&lt;&gt;"")*IF(((UPPER($AS$68:$AZ$68)="BLANK")+(UPPER($AS$68:$AZ$68)="(BLANK)")+(UPPER($AS$68:$AZ$68)="EMPTY")+(UPPER($AS$68:$AZ$68)="(EMPTY)"))&gt;0,IFERROR(('Final Calculation Sheet'!$H$11)&amp;"","")="",ISNUMBER(SEARCH($AS$68:$AZ$68,IFERROR(('Final Calculation Sheet'!$H$11)&amp;"","")))))&gt;0),IF(COUNTIF($BI$68:$BP$68,3)=0,TRUE,SUMPRODUCT(($BI$68:$BP$68=3)*($AS$68:$AZ$68&lt;&gt;"")*IF(((UPPER($AS$68:$AZ$68)="BLANK")+(UPPER($AS$68:$AZ$68)="(BLANK)")+(UPPER($AS$68:$AZ$68)="EMPTY")+(UPPER($AS$68:$AZ$68)="(EMPTY)"))&gt;0,IFERROR(('Final Calculation Sheet'!$H$11)&amp;"","")="",ISNUMBER(SEARCH($AS$68:$AZ$68,IFERROR(('Final Calculation Sheet'!$H$11)&amp;"","")))))&gt;0),IF(COUNTIF($BI$68:$BP$68,4)=0,TRUE,SUMPRODUCT(($BI$68:$BP$68=4)*($AS$68:$AZ$68&lt;&gt;"")*IF(((UPPER($AS$68:$AZ$68)="BLANK")+(UPPER($AS$68:$AZ$68)="(BLANK)")+(UPPER($AS$68:$AZ$68)="EMPTY")+(UPPER($AS$68:$AZ$68)="(EMPTY)"))&gt;0,IFERROR(('Final Calculation Sheet'!$H$11)&amp;"","")="",ISNUMBER(SEARCH($AS$68:$AZ$68,IFERROR(('Final Calculation Sheet'!$H$11)&amp;"","")))))&gt;0),IF(COUNTIF($BI$68:$BP$68,5)=0,TRUE,SUMPRODUCT(($BI$68:$BP$68=5)*($AS$68:$AZ$68&lt;&gt;"")*IF(((UPPER($AS$68:$AZ$68)="BLANK")+(UPPER($AS$68:$AZ$68)="(BLANK)")+(UPPER($AS$68:$AZ$68)="EMPTY")+(UPPER($AS$68:$AZ$68)="(EMPTY)"))&gt;0,IFERROR(('Final Calculation Sheet'!$H$11)&amp;"","")="",ISNUMBER(SEARCH($AS$68:$AZ$68,IFERROR(('Final Calculation Sheet'!$H$11)&amp;"","")))))&gt;0),IF(COUNTIF($BI$68:$BP$68,6)=0,TRUE,SUMPRODUCT(($BI$68:$BP$68=6)*($AS$68:$AZ$68&lt;&gt;"")*IF(((UPPER($AS$68:$AZ$68)="BLANK")+(UPPER($AS$68:$AZ$68)="(BLANK)")+(UPPER($AS$68:$AZ$68)="EMPTY")+(UPPER($AS$68:$AZ$68)="(EMPTY)"))&gt;0,IFERROR(('Final Calculation Sheet'!$H$11)&amp;"","")="",ISNUMBER(SEARCH($AS$68:$AZ$68,IFERROR(('Final Calculation Sheet'!$H$11)&amp;"","")))))&gt;0),IF(COUNTIF($BI$68:$BP$68,7)=0,TRUE,SUMPRODUCT(($BI$68:$BP$68=7)*($AS$68:$AZ$68&lt;&gt;"")*IF(((UPPER($AS$68:$AZ$68)="BLANK")+(UPPER($AS$68:$AZ$68)="(BLANK)")+(UPPER($AS$68:$AZ$68)="EMPTY")+(UPPER($AS$68:$AZ$68)="(EMPTY)"))&gt;0,IFERROR(('Final Calculation Sheet'!$H$11)&amp;"","")="",ISNUMBER(SEARCH($AS$68:$AZ$68,IFERROR(('Final Calculation Sheet'!$H$11)&amp;"","")))))&gt;0),IF(COUNTIF($BI$68:$BP$68,8)=0,TRUE,SUMPRODUCT(($BI$68:$BP$68=8)*($AS$68:$AZ$68&lt;&gt;"")*IF(((UPPER($AS$68:$AZ$68)="BLANK")+(UPPER($AS$68:$AZ$68)="(BLANK)")+(UPPER($AS$68:$AZ$68)="EMPTY")+(UPPER($AS$68:$AZ$68)="(EMPTY)"))&gt;0,IFERROR(('Final Calculation Sheet'!$H$11)&amp;"","")="",ISNUMBER(SEARCH($AS$68:$AZ$68,IFERROR(('Final Calculation Sheet'!$H$11)&amp;"","")))))&gt;0))))</f>
        <v>1</v>
      </c>
      <c r="BV12">
        <f>IF($J$4="",1,--(AND(SUMPRODUCT(--($AS$69:$AZ$69&lt;&gt;""))&gt;0,IF(COUNTIF($BI$69:$BP$69,1)=0,TRUE,SUMPRODUCT(($BI$69:$BP$69=1)*($AS$69:$AZ$69&lt;&gt;"")*IF(((UPPER($AS$69:$AZ$69)="BLANK")+(UPPER($AS$69:$AZ$69)="(BLANK)")+(UPPER($AS$69:$AZ$69)="EMPTY")+(UPPER($AS$69:$AZ$69)="(EMPTY)"))&gt;0,IFERROR(('Final Calculation Sheet'!$I$11)&amp;"","")="",ISNUMBER(SEARCH($AS$69:$AZ$69,IFERROR(('Final Calculation Sheet'!$I$11)&amp;"","")))))&gt;0),IF(COUNTIF($BI$69:$BP$69,2)=0,TRUE,SUMPRODUCT(($BI$69:$BP$69=2)*($AS$69:$AZ$69&lt;&gt;"")*IF(((UPPER($AS$69:$AZ$69)="BLANK")+(UPPER($AS$69:$AZ$69)="(BLANK)")+(UPPER($AS$69:$AZ$69)="EMPTY")+(UPPER($AS$69:$AZ$69)="(EMPTY)"))&gt;0,IFERROR(('Final Calculation Sheet'!$I$11)&amp;"","")="",ISNUMBER(SEARCH($AS$69:$AZ$69,IFERROR(('Final Calculation Sheet'!$I$11)&amp;"","")))))&gt;0),IF(COUNTIF($BI$69:$BP$69,3)=0,TRUE,SUMPRODUCT(($BI$69:$BP$69=3)*($AS$69:$AZ$69&lt;&gt;"")*IF(((UPPER($AS$69:$AZ$69)="BLANK")+(UPPER($AS$69:$AZ$69)="(BLANK)")+(UPPER($AS$69:$AZ$69)="EMPTY")+(UPPER($AS$69:$AZ$69)="(EMPTY)"))&gt;0,IFERROR(('Final Calculation Sheet'!$I$11)&amp;"","")="",ISNUMBER(SEARCH($AS$69:$AZ$69,IFERROR(('Final Calculation Sheet'!$I$11)&amp;"","")))))&gt;0),IF(COUNTIF($BI$69:$BP$69,4)=0,TRUE,SUMPRODUCT(($BI$69:$BP$69=4)*($AS$69:$AZ$69&lt;&gt;"")*IF(((UPPER($AS$69:$AZ$69)="BLANK")+(UPPER($AS$69:$AZ$69)="(BLANK)")+(UPPER($AS$69:$AZ$69)="EMPTY")+(UPPER($AS$69:$AZ$69)="(EMPTY)"))&gt;0,IFERROR(('Final Calculation Sheet'!$I$11)&amp;"","")="",ISNUMBER(SEARCH($AS$69:$AZ$69,IFERROR(('Final Calculation Sheet'!$I$11)&amp;"","")))))&gt;0),IF(COUNTIF($BI$69:$BP$69,5)=0,TRUE,SUMPRODUCT(($BI$69:$BP$69=5)*($AS$69:$AZ$69&lt;&gt;"")*IF(((UPPER($AS$69:$AZ$69)="BLANK")+(UPPER($AS$69:$AZ$69)="(BLANK)")+(UPPER($AS$69:$AZ$69)="EMPTY")+(UPPER($AS$69:$AZ$69)="(EMPTY)"))&gt;0,IFERROR(('Final Calculation Sheet'!$I$11)&amp;"","")="",ISNUMBER(SEARCH($AS$69:$AZ$69,IFERROR(('Final Calculation Sheet'!$I$11)&amp;"","")))))&gt;0),IF(COUNTIF($BI$69:$BP$69,6)=0,TRUE,SUMPRODUCT(($BI$69:$BP$69=6)*($AS$69:$AZ$69&lt;&gt;"")*IF(((UPPER($AS$69:$AZ$69)="BLANK")+(UPPER($AS$69:$AZ$69)="(BLANK)")+(UPPER($AS$69:$AZ$69)="EMPTY")+(UPPER($AS$69:$AZ$69)="(EMPTY)"))&gt;0,IFERROR(('Final Calculation Sheet'!$I$11)&amp;"","")="",ISNUMBER(SEARCH($AS$69:$AZ$69,IFERROR(('Final Calculation Sheet'!$I$11)&amp;"","")))))&gt;0),IF(COUNTIF($BI$69:$BP$69,7)=0,TRUE,SUMPRODUCT(($BI$69:$BP$69=7)*($AS$69:$AZ$69&lt;&gt;"")*IF(((UPPER($AS$69:$AZ$69)="BLANK")+(UPPER($AS$69:$AZ$69)="(BLANK)")+(UPPER($AS$69:$AZ$69)="EMPTY")+(UPPER($AS$69:$AZ$69)="(EMPTY)"))&gt;0,IFERROR(('Final Calculation Sheet'!$I$11)&amp;"","")="",ISNUMBER(SEARCH($AS$69:$AZ$69,IFERROR(('Final Calculation Sheet'!$I$11)&amp;"","")))))&gt;0),IF(COUNTIF($BI$69:$BP$69,8)=0,TRUE,SUMPRODUCT(($BI$69:$BP$69=8)*($AS$69:$AZ$69&lt;&gt;"")*IF(((UPPER($AS$69:$AZ$69)="BLANK")+(UPPER($AS$69:$AZ$69)="(BLANK)")+(UPPER($AS$69:$AZ$69)="EMPTY")+(UPPER($AS$69:$AZ$69)="(EMPTY)"))&gt;0,IFERROR(('Final Calculation Sheet'!$I$11)&amp;"","")="",ISNUMBER(SEARCH($AS$69:$AZ$69,IFERROR(('Final Calculation Sheet'!$I$11)&amp;"","")))))&gt;0))))</f>
        <v>1</v>
      </c>
      <c r="BW12">
        <f>IF($K$4="",1,--(AND(SUMPRODUCT(--($AS$70:$AZ$70&lt;&gt;""))&gt;0,IF(COUNTIF($BI$70:$BP$70,1)=0,TRUE,SUMPRODUCT(($BI$70:$BP$70=1)*($AS$70:$AZ$70&lt;&gt;"")*IF(((UPPER($AS$70:$AZ$70)="BLANK")+(UPPER($AS$70:$AZ$70)="(BLANK)")+(UPPER($AS$70:$AZ$70)="EMPTY")+(UPPER($AS$70:$AZ$70)="(EMPTY)"))&gt;0,IFERROR(('Final Calculation Sheet'!$J$11)&amp;"","")="",ISNUMBER(SEARCH($AS$70:$AZ$70,IFERROR(('Final Calculation Sheet'!$J$11)&amp;"","")))))&gt;0),IF(COUNTIF($BI$70:$BP$70,2)=0,TRUE,SUMPRODUCT(($BI$70:$BP$70=2)*($AS$70:$AZ$70&lt;&gt;"")*IF(((UPPER($AS$70:$AZ$70)="BLANK")+(UPPER($AS$70:$AZ$70)="(BLANK)")+(UPPER($AS$70:$AZ$70)="EMPTY")+(UPPER($AS$70:$AZ$70)="(EMPTY)"))&gt;0,IFERROR(('Final Calculation Sheet'!$J$11)&amp;"","")="",ISNUMBER(SEARCH($AS$70:$AZ$70,IFERROR(('Final Calculation Sheet'!$J$11)&amp;"","")))))&gt;0),IF(COUNTIF($BI$70:$BP$70,3)=0,TRUE,SUMPRODUCT(($BI$70:$BP$70=3)*($AS$70:$AZ$70&lt;&gt;"")*IF(((UPPER($AS$70:$AZ$70)="BLANK")+(UPPER($AS$70:$AZ$70)="(BLANK)")+(UPPER($AS$70:$AZ$70)="EMPTY")+(UPPER($AS$70:$AZ$70)="(EMPTY)"))&gt;0,IFERROR(('Final Calculation Sheet'!$J$11)&amp;"","")="",ISNUMBER(SEARCH($AS$70:$AZ$70,IFERROR(('Final Calculation Sheet'!$J$11)&amp;"","")))))&gt;0),IF(COUNTIF($BI$70:$BP$70,4)=0,TRUE,SUMPRODUCT(($BI$70:$BP$70=4)*($AS$70:$AZ$70&lt;&gt;"")*IF(((UPPER($AS$70:$AZ$70)="BLANK")+(UPPER($AS$70:$AZ$70)="(BLANK)")+(UPPER($AS$70:$AZ$70)="EMPTY")+(UPPER($AS$70:$AZ$70)="(EMPTY)"))&gt;0,IFERROR(('Final Calculation Sheet'!$J$11)&amp;"","")="",ISNUMBER(SEARCH($AS$70:$AZ$70,IFERROR(('Final Calculation Sheet'!$J$11)&amp;"","")))))&gt;0),IF(COUNTIF($BI$70:$BP$70,5)=0,TRUE,SUMPRODUCT(($BI$70:$BP$70=5)*($AS$70:$AZ$70&lt;&gt;"")*IF(((UPPER($AS$70:$AZ$70)="BLANK")+(UPPER($AS$70:$AZ$70)="(BLANK)")+(UPPER($AS$70:$AZ$70)="EMPTY")+(UPPER($AS$70:$AZ$70)="(EMPTY)"))&gt;0,IFERROR(('Final Calculation Sheet'!$J$11)&amp;"","")="",ISNUMBER(SEARCH($AS$70:$AZ$70,IFERROR(('Final Calculation Sheet'!$J$11)&amp;"","")))))&gt;0),IF(COUNTIF($BI$70:$BP$70,6)=0,TRUE,SUMPRODUCT(($BI$70:$BP$70=6)*($AS$70:$AZ$70&lt;&gt;"")*IF(((UPPER($AS$70:$AZ$70)="BLANK")+(UPPER($AS$70:$AZ$70)="(BLANK)")+(UPPER($AS$70:$AZ$70)="EMPTY")+(UPPER($AS$70:$AZ$70)="(EMPTY)"))&gt;0,IFERROR(('Final Calculation Sheet'!$J$11)&amp;"","")="",ISNUMBER(SEARCH($AS$70:$AZ$70,IFERROR(('Final Calculation Sheet'!$J$11)&amp;"","")))))&gt;0),IF(COUNTIF($BI$70:$BP$70,7)=0,TRUE,SUMPRODUCT(($BI$70:$BP$70=7)*($AS$70:$AZ$70&lt;&gt;"")*IF(((UPPER($AS$70:$AZ$70)="BLANK")+(UPPER($AS$70:$AZ$70)="(BLANK)")+(UPPER($AS$70:$AZ$70)="EMPTY")+(UPPER($AS$70:$AZ$70)="(EMPTY)"))&gt;0,IFERROR(('Final Calculation Sheet'!$J$11)&amp;"","")="",ISNUMBER(SEARCH($AS$70:$AZ$70,IFERROR(('Final Calculation Sheet'!$J$11)&amp;"","")))))&gt;0),IF(COUNTIF($BI$70:$BP$70,8)=0,TRUE,SUMPRODUCT(($BI$70:$BP$70=8)*($AS$70:$AZ$70&lt;&gt;"")*IF(((UPPER($AS$70:$AZ$70)="BLANK")+(UPPER($AS$70:$AZ$70)="(BLANK)")+(UPPER($AS$70:$AZ$70)="EMPTY")+(UPPER($AS$70:$AZ$70)="(EMPTY)"))&gt;0,IFERROR(('Final Calculation Sheet'!$J$11)&amp;"","")="",ISNUMBER(SEARCH($AS$70:$AZ$70,IFERROR(('Final Calculation Sheet'!$J$11)&amp;"","")))))&gt;0))))</f>
        <v>1</v>
      </c>
      <c r="BX12">
        <f>IF($L$4="",1,--(AND(SUMPRODUCT(--($AS$71:$AZ$71&lt;&gt;""))&gt;0,IF(COUNTIF($BI$71:$BP$71,1)=0,TRUE,SUMPRODUCT(($BI$71:$BP$71=1)*($AS$71:$AZ$71&lt;&gt;"")*IF(((UPPER($AS$71:$AZ$71)="BLANK")+(UPPER($AS$71:$AZ$71)="(BLANK)")+(UPPER($AS$71:$AZ$71)="EMPTY")+(UPPER($AS$71:$AZ$71)="(EMPTY)"))&gt;0,IFERROR(('Final Calculation Sheet'!$K$11)&amp;"","")="",ISNUMBER(SEARCH($AS$71:$AZ$71,IFERROR(('Final Calculation Sheet'!$K$11)&amp;"","")))))&gt;0),IF(COUNTIF($BI$71:$BP$71,2)=0,TRUE,SUMPRODUCT(($BI$71:$BP$71=2)*($AS$71:$AZ$71&lt;&gt;"")*IF(((UPPER($AS$71:$AZ$71)="BLANK")+(UPPER($AS$71:$AZ$71)="(BLANK)")+(UPPER($AS$71:$AZ$71)="EMPTY")+(UPPER($AS$71:$AZ$71)="(EMPTY)"))&gt;0,IFERROR(('Final Calculation Sheet'!$K$11)&amp;"","")="",ISNUMBER(SEARCH($AS$71:$AZ$71,IFERROR(('Final Calculation Sheet'!$K$11)&amp;"","")))))&gt;0),IF(COUNTIF($BI$71:$BP$71,3)=0,TRUE,SUMPRODUCT(($BI$71:$BP$71=3)*($AS$71:$AZ$71&lt;&gt;"")*IF(((UPPER($AS$71:$AZ$71)="BLANK")+(UPPER($AS$71:$AZ$71)="(BLANK)")+(UPPER($AS$71:$AZ$71)="EMPTY")+(UPPER($AS$71:$AZ$71)="(EMPTY)"))&gt;0,IFERROR(('Final Calculation Sheet'!$K$11)&amp;"","")="",ISNUMBER(SEARCH($AS$71:$AZ$71,IFERROR(('Final Calculation Sheet'!$K$11)&amp;"","")))))&gt;0),IF(COUNTIF($BI$71:$BP$71,4)=0,TRUE,SUMPRODUCT(($BI$71:$BP$71=4)*($AS$71:$AZ$71&lt;&gt;"")*IF(((UPPER($AS$71:$AZ$71)="BLANK")+(UPPER($AS$71:$AZ$71)="(BLANK)")+(UPPER($AS$71:$AZ$71)="EMPTY")+(UPPER($AS$71:$AZ$71)="(EMPTY)"))&gt;0,IFERROR(('Final Calculation Sheet'!$K$11)&amp;"","")="",ISNUMBER(SEARCH($AS$71:$AZ$71,IFERROR(('Final Calculation Sheet'!$K$11)&amp;"","")))))&gt;0),IF(COUNTIF($BI$71:$BP$71,5)=0,TRUE,SUMPRODUCT(($BI$71:$BP$71=5)*($AS$71:$AZ$71&lt;&gt;"")*IF(((UPPER($AS$71:$AZ$71)="BLANK")+(UPPER($AS$71:$AZ$71)="(BLANK)")+(UPPER($AS$71:$AZ$71)="EMPTY")+(UPPER($AS$71:$AZ$71)="(EMPTY)"))&gt;0,IFERROR(('Final Calculation Sheet'!$K$11)&amp;"","")="",ISNUMBER(SEARCH($AS$71:$AZ$71,IFERROR(('Final Calculation Sheet'!$K$11)&amp;"","")))))&gt;0),IF(COUNTIF($BI$71:$BP$71,6)=0,TRUE,SUMPRODUCT(($BI$71:$BP$71=6)*($AS$71:$AZ$71&lt;&gt;"")*IF(((UPPER($AS$71:$AZ$71)="BLANK")+(UPPER($AS$71:$AZ$71)="(BLANK)")+(UPPER($AS$71:$AZ$71)="EMPTY")+(UPPER($AS$71:$AZ$71)="(EMPTY)"))&gt;0,IFERROR(('Final Calculation Sheet'!$K$11)&amp;"","")="",ISNUMBER(SEARCH($AS$71:$AZ$71,IFERROR(('Final Calculation Sheet'!$K$11)&amp;"","")))))&gt;0),IF(COUNTIF($BI$71:$BP$71,7)=0,TRUE,SUMPRODUCT(($BI$71:$BP$71=7)*($AS$71:$AZ$71&lt;&gt;"")*IF(((UPPER($AS$71:$AZ$71)="BLANK")+(UPPER($AS$71:$AZ$71)="(BLANK)")+(UPPER($AS$71:$AZ$71)="EMPTY")+(UPPER($AS$71:$AZ$71)="(EMPTY)"))&gt;0,IFERROR(('Final Calculation Sheet'!$K$11)&amp;"","")="",ISNUMBER(SEARCH($AS$71:$AZ$71,IFERROR(('Final Calculation Sheet'!$K$11)&amp;"","")))))&gt;0),IF(COUNTIF($BI$71:$BP$71,8)=0,TRUE,SUMPRODUCT(($BI$71:$BP$71=8)*($AS$71:$AZ$71&lt;&gt;"")*IF(((UPPER($AS$71:$AZ$71)="BLANK")+(UPPER($AS$71:$AZ$71)="(BLANK)")+(UPPER($AS$71:$AZ$71)="EMPTY")+(UPPER($AS$71:$AZ$71)="(EMPTY)"))&gt;0,IFERROR(('Final Calculation Sheet'!$K$11)&amp;"","")="",ISNUMBER(SEARCH($AS$71:$AZ$71,IFERROR(('Final Calculation Sheet'!$K$11)&amp;"","")))))&gt;0))))</f>
        <v>1</v>
      </c>
      <c r="BY12">
        <f>IF($M$4="",1,--(AND(SUMPRODUCT(--($AS$72:$AZ$72&lt;&gt;""))&gt;0,IF(COUNTIF($BI$72:$BP$72,1)=0,TRUE,SUMPRODUCT(($BI$72:$BP$72=1)*($AS$72:$AZ$72&lt;&gt;"")*IF(((UPPER($AS$72:$AZ$72)="BLANK")+(UPPER($AS$72:$AZ$72)="(BLANK)")+(UPPER($AS$72:$AZ$72)="EMPTY")+(UPPER($AS$72:$AZ$72)="(EMPTY)"))&gt;0,IFERROR(('Final Calculation Sheet'!$L$11)&amp;"","")="",ISNUMBER(SEARCH($AS$72:$AZ$72,IFERROR(('Final Calculation Sheet'!$L$11)&amp;"","")))))&gt;0),IF(COUNTIF($BI$72:$BP$72,2)=0,TRUE,SUMPRODUCT(($BI$72:$BP$72=2)*($AS$72:$AZ$72&lt;&gt;"")*IF(((UPPER($AS$72:$AZ$72)="BLANK")+(UPPER($AS$72:$AZ$72)="(BLANK)")+(UPPER($AS$72:$AZ$72)="EMPTY")+(UPPER($AS$72:$AZ$72)="(EMPTY)"))&gt;0,IFERROR(('Final Calculation Sheet'!$L$11)&amp;"","")="",ISNUMBER(SEARCH($AS$72:$AZ$72,IFERROR(('Final Calculation Sheet'!$L$11)&amp;"","")))))&gt;0),IF(COUNTIF($BI$72:$BP$72,3)=0,TRUE,SUMPRODUCT(($BI$72:$BP$72=3)*($AS$72:$AZ$72&lt;&gt;"")*IF(((UPPER($AS$72:$AZ$72)="BLANK")+(UPPER($AS$72:$AZ$72)="(BLANK)")+(UPPER($AS$72:$AZ$72)="EMPTY")+(UPPER($AS$72:$AZ$72)="(EMPTY)"))&gt;0,IFERROR(('Final Calculation Sheet'!$L$11)&amp;"","")="",ISNUMBER(SEARCH($AS$72:$AZ$72,IFERROR(('Final Calculation Sheet'!$L$11)&amp;"","")))))&gt;0),IF(COUNTIF($BI$72:$BP$72,4)=0,TRUE,SUMPRODUCT(($BI$72:$BP$72=4)*($AS$72:$AZ$72&lt;&gt;"")*IF(((UPPER($AS$72:$AZ$72)="BLANK")+(UPPER($AS$72:$AZ$72)="(BLANK)")+(UPPER($AS$72:$AZ$72)="EMPTY")+(UPPER($AS$72:$AZ$72)="(EMPTY)"))&gt;0,IFERROR(('Final Calculation Sheet'!$L$11)&amp;"","")="",ISNUMBER(SEARCH($AS$72:$AZ$72,IFERROR(('Final Calculation Sheet'!$L$11)&amp;"","")))))&gt;0),IF(COUNTIF($BI$72:$BP$72,5)=0,TRUE,SUMPRODUCT(($BI$72:$BP$72=5)*($AS$72:$AZ$72&lt;&gt;"")*IF(((UPPER($AS$72:$AZ$72)="BLANK")+(UPPER($AS$72:$AZ$72)="(BLANK)")+(UPPER($AS$72:$AZ$72)="EMPTY")+(UPPER($AS$72:$AZ$72)="(EMPTY)"))&gt;0,IFERROR(('Final Calculation Sheet'!$L$11)&amp;"","")="",ISNUMBER(SEARCH($AS$72:$AZ$72,IFERROR(('Final Calculation Sheet'!$L$11)&amp;"","")))))&gt;0),IF(COUNTIF($BI$72:$BP$72,6)=0,TRUE,SUMPRODUCT(($BI$72:$BP$72=6)*($AS$72:$AZ$72&lt;&gt;"")*IF(((UPPER($AS$72:$AZ$72)="BLANK")+(UPPER($AS$72:$AZ$72)="(BLANK)")+(UPPER($AS$72:$AZ$72)="EMPTY")+(UPPER($AS$72:$AZ$72)="(EMPTY)"))&gt;0,IFERROR(('Final Calculation Sheet'!$L$11)&amp;"","")="",ISNUMBER(SEARCH($AS$72:$AZ$72,IFERROR(('Final Calculation Sheet'!$L$11)&amp;"","")))))&gt;0),IF(COUNTIF($BI$72:$BP$72,7)=0,TRUE,SUMPRODUCT(($BI$72:$BP$72=7)*($AS$72:$AZ$72&lt;&gt;"")*IF(((UPPER($AS$72:$AZ$72)="BLANK")+(UPPER($AS$72:$AZ$72)="(BLANK)")+(UPPER($AS$72:$AZ$72)="EMPTY")+(UPPER($AS$72:$AZ$72)="(EMPTY)"))&gt;0,IFERROR(('Final Calculation Sheet'!$L$11)&amp;"","")="",ISNUMBER(SEARCH($AS$72:$AZ$72,IFERROR(('Final Calculation Sheet'!$L$11)&amp;"","")))))&gt;0),IF(COUNTIF($BI$72:$BP$72,8)=0,TRUE,SUMPRODUCT(($BI$72:$BP$72=8)*($AS$72:$AZ$72&lt;&gt;"")*IF(((UPPER($AS$72:$AZ$72)="BLANK")+(UPPER($AS$72:$AZ$72)="(BLANK)")+(UPPER($AS$72:$AZ$72)="EMPTY")+(UPPER($AS$72:$AZ$72)="(EMPTY)"))&gt;0,IFERROR(('Final Calculation Sheet'!$L$11)&amp;"","")="",ISNUMBER(SEARCH($AS$72:$AZ$72,IFERROR(('Final Calculation Sheet'!$L$11)&amp;"","")))))&gt;0))))</f>
        <v>1</v>
      </c>
      <c r="BZ12">
        <f>IF($N$4="",1,--(AND(SUMPRODUCT(--($AS$73:$AZ$73&lt;&gt;""))&gt;0,IF(COUNTIF($BI$73:$BP$73,1)=0,TRUE,SUMPRODUCT(($BI$73:$BP$73=1)*($AS$73:$AZ$73&lt;&gt;"")*IF(((UPPER($AS$73:$AZ$73)="BLANK")+(UPPER($AS$73:$AZ$73)="(BLANK)")+(UPPER($AS$73:$AZ$73)="EMPTY")+(UPPER($AS$73:$AZ$73)="(EMPTY)"))&gt;0,IFERROR(('Final Calculation Sheet'!$M$11)&amp;"","")="",ISNUMBER(SEARCH($AS$73:$AZ$73,IFERROR(('Final Calculation Sheet'!$M$11)&amp;"","")))))&gt;0),IF(COUNTIF($BI$73:$BP$73,2)=0,TRUE,SUMPRODUCT(($BI$73:$BP$73=2)*($AS$73:$AZ$73&lt;&gt;"")*IF(((UPPER($AS$73:$AZ$73)="BLANK")+(UPPER($AS$73:$AZ$73)="(BLANK)")+(UPPER($AS$73:$AZ$73)="EMPTY")+(UPPER($AS$73:$AZ$73)="(EMPTY)"))&gt;0,IFERROR(('Final Calculation Sheet'!$M$11)&amp;"","")="",ISNUMBER(SEARCH($AS$73:$AZ$73,IFERROR(('Final Calculation Sheet'!$M$11)&amp;"","")))))&gt;0),IF(COUNTIF($BI$73:$BP$73,3)=0,TRUE,SUMPRODUCT(($BI$73:$BP$73=3)*($AS$73:$AZ$73&lt;&gt;"")*IF(((UPPER($AS$73:$AZ$73)="BLANK")+(UPPER($AS$73:$AZ$73)="(BLANK)")+(UPPER($AS$73:$AZ$73)="EMPTY")+(UPPER($AS$73:$AZ$73)="(EMPTY)"))&gt;0,IFERROR(('Final Calculation Sheet'!$M$11)&amp;"","")="",ISNUMBER(SEARCH($AS$73:$AZ$73,IFERROR(('Final Calculation Sheet'!$M$11)&amp;"","")))))&gt;0),IF(COUNTIF($BI$73:$BP$73,4)=0,TRUE,SUMPRODUCT(($BI$73:$BP$73=4)*($AS$73:$AZ$73&lt;&gt;"")*IF(((UPPER($AS$73:$AZ$73)="BLANK")+(UPPER($AS$73:$AZ$73)="(BLANK)")+(UPPER($AS$73:$AZ$73)="EMPTY")+(UPPER($AS$73:$AZ$73)="(EMPTY)"))&gt;0,IFERROR(('Final Calculation Sheet'!$M$11)&amp;"","")="",ISNUMBER(SEARCH($AS$73:$AZ$73,IFERROR(('Final Calculation Sheet'!$M$11)&amp;"","")))))&gt;0),IF(COUNTIF($BI$73:$BP$73,5)=0,TRUE,SUMPRODUCT(($BI$73:$BP$73=5)*($AS$73:$AZ$73&lt;&gt;"")*IF(((UPPER($AS$73:$AZ$73)="BLANK")+(UPPER($AS$73:$AZ$73)="(BLANK)")+(UPPER($AS$73:$AZ$73)="EMPTY")+(UPPER($AS$73:$AZ$73)="(EMPTY)"))&gt;0,IFERROR(('Final Calculation Sheet'!$M$11)&amp;"","")="",ISNUMBER(SEARCH($AS$73:$AZ$73,IFERROR(('Final Calculation Sheet'!$M$11)&amp;"","")))))&gt;0),IF(COUNTIF($BI$73:$BP$73,6)=0,TRUE,SUMPRODUCT(($BI$73:$BP$73=6)*($AS$73:$AZ$73&lt;&gt;"")*IF(((UPPER($AS$73:$AZ$73)="BLANK")+(UPPER($AS$73:$AZ$73)="(BLANK)")+(UPPER($AS$73:$AZ$73)="EMPTY")+(UPPER($AS$73:$AZ$73)="(EMPTY)"))&gt;0,IFERROR(('Final Calculation Sheet'!$M$11)&amp;"","")="",ISNUMBER(SEARCH($AS$73:$AZ$73,IFERROR(('Final Calculation Sheet'!$M$11)&amp;"","")))))&gt;0),IF(COUNTIF($BI$73:$BP$73,7)=0,TRUE,SUMPRODUCT(($BI$73:$BP$73=7)*($AS$73:$AZ$73&lt;&gt;"")*IF(((UPPER($AS$73:$AZ$73)="BLANK")+(UPPER($AS$73:$AZ$73)="(BLANK)")+(UPPER($AS$73:$AZ$73)="EMPTY")+(UPPER($AS$73:$AZ$73)="(EMPTY)"))&gt;0,IFERROR(('Final Calculation Sheet'!$M$11)&amp;"","")="",ISNUMBER(SEARCH($AS$73:$AZ$73,IFERROR(('Final Calculation Sheet'!$M$11)&amp;"","")))))&gt;0),IF(COUNTIF($BI$73:$BP$73,8)=0,TRUE,SUMPRODUCT(($BI$73:$BP$73=8)*($AS$73:$AZ$73&lt;&gt;"")*IF(((UPPER($AS$73:$AZ$73)="BLANK")+(UPPER($AS$73:$AZ$73)="(BLANK)")+(UPPER($AS$73:$AZ$73)="EMPTY")+(UPPER($AS$73:$AZ$73)="(EMPTY)"))&gt;0,IFERROR(('Final Calculation Sheet'!$M$11)&amp;"","")="",ISNUMBER(SEARCH($AS$73:$AZ$73,IFERROR(('Final Calculation Sheet'!$M$11)&amp;"","")))))&gt;0))))</f>
        <v>1</v>
      </c>
      <c r="CA12">
        <f>IF($O$4="",1,--(AND(SUMPRODUCT(--($AS$74:$AZ$74&lt;&gt;""))&gt;0,IF(COUNTIF($BI$74:$BP$74,1)=0,TRUE,SUMPRODUCT(($BI$74:$BP$74=1)*($AS$74:$AZ$74&lt;&gt;"")*IF(((UPPER($AS$74:$AZ$74)="BLANK")+(UPPER($AS$74:$AZ$74)="(BLANK)")+(UPPER($AS$74:$AZ$74)="EMPTY")+(UPPER($AS$74:$AZ$74)="(EMPTY)"))&gt;0,IFERROR(('Final Calculation Sheet'!$N$11)&amp;"","")="",ISNUMBER(SEARCH($AS$74:$AZ$74,IFERROR(('Final Calculation Sheet'!$N$11)&amp;"","")))))&gt;0),IF(COUNTIF($BI$74:$BP$74,2)=0,TRUE,SUMPRODUCT(($BI$74:$BP$74=2)*($AS$74:$AZ$74&lt;&gt;"")*IF(((UPPER($AS$74:$AZ$74)="BLANK")+(UPPER($AS$74:$AZ$74)="(BLANK)")+(UPPER($AS$74:$AZ$74)="EMPTY")+(UPPER($AS$74:$AZ$74)="(EMPTY)"))&gt;0,IFERROR(('Final Calculation Sheet'!$N$11)&amp;"","")="",ISNUMBER(SEARCH($AS$74:$AZ$74,IFERROR(('Final Calculation Sheet'!$N$11)&amp;"","")))))&gt;0),IF(COUNTIF($BI$74:$BP$74,3)=0,TRUE,SUMPRODUCT(($BI$74:$BP$74=3)*($AS$74:$AZ$74&lt;&gt;"")*IF(((UPPER($AS$74:$AZ$74)="BLANK")+(UPPER($AS$74:$AZ$74)="(BLANK)")+(UPPER($AS$74:$AZ$74)="EMPTY")+(UPPER($AS$74:$AZ$74)="(EMPTY)"))&gt;0,IFERROR(('Final Calculation Sheet'!$N$11)&amp;"","")="",ISNUMBER(SEARCH($AS$74:$AZ$74,IFERROR(('Final Calculation Sheet'!$N$11)&amp;"","")))))&gt;0),IF(COUNTIF($BI$74:$BP$74,4)=0,TRUE,SUMPRODUCT(($BI$74:$BP$74=4)*($AS$74:$AZ$74&lt;&gt;"")*IF(((UPPER($AS$74:$AZ$74)="BLANK")+(UPPER($AS$74:$AZ$74)="(BLANK)")+(UPPER($AS$74:$AZ$74)="EMPTY")+(UPPER($AS$74:$AZ$74)="(EMPTY)"))&gt;0,IFERROR(('Final Calculation Sheet'!$N$11)&amp;"","")="",ISNUMBER(SEARCH($AS$74:$AZ$74,IFERROR(('Final Calculation Sheet'!$N$11)&amp;"","")))))&gt;0),IF(COUNTIF($BI$74:$BP$74,5)=0,TRUE,SUMPRODUCT(($BI$74:$BP$74=5)*($AS$74:$AZ$74&lt;&gt;"")*IF(((UPPER($AS$74:$AZ$74)="BLANK")+(UPPER($AS$74:$AZ$74)="(BLANK)")+(UPPER($AS$74:$AZ$74)="EMPTY")+(UPPER($AS$74:$AZ$74)="(EMPTY)"))&gt;0,IFERROR(('Final Calculation Sheet'!$N$11)&amp;"","")="",ISNUMBER(SEARCH($AS$74:$AZ$74,IFERROR(('Final Calculation Sheet'!$N$11)&amp;"","")))))&gt;0),IF(COUNTIF($BI$74:$BP$74,6)=0,TRUE,SUMPRODUCT(($BI$74:$BP$74=6)*($AS$74:$AZ$74&lt;&gt;"")*IF(((UPPER($AS$74:$AZ$74)="BLANK")+(UPPER($AS$74:$AZ$74)="(BLANK)")+(UPPER($AS$74:$AZ$74)="EMPTY")+(UPPER($AS$74:$AZ$74)="(EMPTY)"))&gt;0,IFERROR(('Final Calculation Sheet'!$N$11)&amp;"","")="",ISNUMBER(SEARCH($AS$74:$AZ$74,IFERROR(('Final Calculation Sheet'!$N$11)&amp;"","")))))&gt;0),IF(COUNTIF($BI$74:$BP$74,7)=0,TRUE,SUMPRODUCT(($BI$74:$BP$74=7)*($AS$74:$AZ$74&lt;&gt;"")*IF(((UPPER($AS$74:$AZ$74)="BLANK")+(UPPER($AS$74:$AZ$74)="(BLANK)")+(UPPER($AS$74:$AZ$74)="EMPTY")+(UPPER($AS$74:$AZ$74)="(EMPTY)"))&gt;0,IFERROR(('Final Calculation Sheet'!$N$11)&amp;"","")="",ISNUMBER(SEARCH($AS$74:$AZ$74,IFERROR(('Final Calculation Sheet'!$N$11)&amp;"","")))))&gt;0),IF(COUNTIF($BI$74:$BP$74,8)=0,TRUE,SUMPRODUCT(($BI$74:$BP$74=8)*($AS$74:$AZ$74&lt;&gt;"")*IF(((UPPER($AS$74:$AZ$74)="BLANK")+(UPPER($AS$74:$AZ$74)="(BLANK)")+(UPPER($AS$74:$AZ$74)="EMPTY")+(UPPER($AS$74:$AZ$74)="(EMPTY)"))&gt;0,IFERROR(('Final Calculation Sheet'!$N$11)&amp;"","")="",ISNUMBER(SEARCH($AS$74:$AZ$74,IFERROR(('Final Calculation Sheet'!$N$11)&amp;"","")))))&gt;0))))</f>
        <v>1</v>
      </c>
      <c r="CB12">
        <f>IF($P$4="",1,--(AND(SUMPRODUCT(--($AS$75:$AZ$75&lt;&gt;""))&gt;0,IF(COUNTIF($BI$75:$BP$75,1)=0,TRUE,SUMPRODUCT(($BI$75:$BP$75=1)*($AS$75:$AZ$75&lt;&gt;"")*IF(((UPPER($AS$75:$AZ$75)="BLANK")+(UPPER($AS$75:$AZ$75)="(BLANK)")+(UPPER($AS$75:$AZ$75)="EMPTY")+(UPPER($AS$75:$AZ$75)="(EMPTY)"))&gt;0,IFERROR(('Final Calculation Sheet'!$O$11)&amp;"","")="",ISNUMBER(SEARCH($AS$75:$AZ$75,IFERROR(('Final Calculation Sheet'!$O$11)&amp;"","")))))&gt;0),IF(COUNTIF($BI$75:$BP$75,2)=0,TRUE,SUMPRODUCT(($BI$75:$BP$75=2)*($AS$75:$AZ$75&lt;&gt;"")*IF(((UPPER($AS$75:$AZ$75)="BLANK")+(UPPER($AS$75:$AZ$75)="(BLANK)")+(UPPER($AS$75:$AZ$75)="EMPTY")+(UPPER($AS$75:$AZ$75)="(EMPTY)"))&gt;0,IFERROR(('Final Calculation Sheet'!$O$11)&amp;"","")="",ISNUMBER(SEARCH($AS$75:$AZ$75,IFERROR(('Final Calculation Sheet'!$O$11)&amp;"","")))))&gt;0),IF(COUNTIF($BI$75:$BP$75,3)=0,TRUE,SUMPRODUCT(($BI$75:$BP$75=3)*($AS$75:$AZ$75&lt;&gt;"")*IF(((UPPER($AS$75:$AZ$75)="BLANK")+(UPPER($AS$75:$AZ$75)="(BLANK)")+(UPPER($AS$75:$AZ$75)="EMPTY")+(UPPER($AS$75:$AZ$75)="(EMPTY)"))&gt;0,IFERROR(('Final Calculation Sheet'!$O$11)&amp;"","")="",ISNUMBER(SEARCH($AS$75:$AZ$75,IFERROR(('Final Calculation Sheet'!$O$11)&amp;"","")))))&gt;0),IF(COUNTIF($BI$75:$BP$75,4)=0,TRUE,SUMPRODUCT(($BI$75:$BP$75=4)*($AS$75:$AZ$75&lt;&gt;"")*IF(((UPPER($AS$75:$AZ$75)="BLANK")+(UPPER($AS$75:$AZ$75)="(BLANK)")+(UPPER($AS$75:$AZ$75)="EMPTY")+(UPPER($AS$75:$AZ$75)="(EMPTY)"))&gt;0,IFERROR(('Final Calculation Sheet'!$O$11)&amp;"","")="",ISNUMBER(SEARCH($AS$75:$AZ$75,IFERROR(('Final Calculation Sheet'!$O$11)&amp;"","")))))&gt;0),IF(COUNTIF($BI$75:$BP$75,5)=0,TRUE,SUMPRODUCT(($BI$75:$BP$75=5)*($AS$75:$AZ$75&lt;&gt;"")*IF(((UPPER($AS$75:$AZ$75)="BLANK")+(UPPER($AS$75:$AZ$75)="(BLANK)")+(UPPER($AS$75:$AZ$75)="EMPTY")+(UPPER($AS$75:$AZ$75)="(EMPTY)"))&gt;0,IFERROR(('Final Calculation Sheet'!$O$11)&amp;"","")="",ISNUMBER(SEARCH($AS$75:$AZ$75,IFERROR(('Final Calculation Sheet'!$O$11)&amp;"","")))))&gt;0),IF(COUNTIF($BI$75:$BP$75,6)=0,TRUE,SUMPRODUCT(($BI$75:$BP$75=6)*($AS$75:$AZ$75&lt;&gt;"")*IF(((UPPER($AS$75:$AZ$75)="BLANK")+(UPPER($AS$75:$AZ$75)="(BLANK)")+(UPPER($AS$75:$AZ$75)="EMPTY")+(UPPER($AS$75:$AZ$75)="(EMPTY)"))&gt;0,IFERROR(('Final Calculation Sheet'!$O$11)&amp;"","")="",ISNUMBER(SEARCH($AS$75:$AZ$75,IFERROR(('Final Calculation Sheet'!$O$11)&amp;"","")))))&gt;0),IF(COUNTIF($BI$75:$BP$75,7)=0,TRUE,SUMPRODUCT(($BI$75:$BP$75=7)*($AS$75:$AZ$75&lt;&gt;"")*IF(((UPPER($AS$75:$AZ$75)="BLANK")+(UPPER($AS$75:$AZ$75)="(BLANK)")+(UPPER($AS$75:$AZ$75)="EMPTY")+(UPPER($AS$75:$AZ$75)="(EMPTY)"))&gt;0,IFERROR(('Final Calculation Sheet'!$O$11)&amp;"","")="",ISNUMBER(SEARCH($AS$75:$AZ$75,IFERROR(('Final Calculation Sheet'!$O$11)&amp;"","")))))&gt;0),IF(COUNTIF($BI$75:$BP$75,8)=0,TRUE,SUMPRODUCT(($BI$75:$BP$75=8)*($AS$75:$AZ$75&lt;&gt;"")*IF(((UPPER($AS$75:$AZ$75)="BLANK")+(UPPER($AS$75:$AZ$75)="(BLANK)")+(UPPER($AS$75:$AZ$75)="EMPTY")+(UPPER($AS$75:$AZ$75)="(EMPTY)"))&gt;0,IFERROR(('Final Calculation Sheet'!$O$11)&amp;"","")="",ISNUMBER(SEARCH($AS$75:$AZ$75,IFERROR(('Final Calculation Sheet'!$O$11)&amp;"","")))))&gt;0))))</f>
        <v>1</v>
      </c>
      <c r="CC12">
        <f>IF($Q$4="",1,--(AND(SUMPRODUCT(--($AS$76:$AZ$76&lt;&gt;""))&gt;0,IF(COUNTIF($BI$76:$BP$76,1)=0,TRUE,SUMPRODUCT(($BI$76:$BP$76=1)*($AS$76:$AZ$76&lt;&gt;"")*IF(((UPPER($AS$76:$AZ$76)="BLANK")+(UPPER($AS$76:$AZ$76)="(BLANK)")+(UPPER($AS$76:$AZ$76)="EMPTY")+(UPPER($AS$76:$AZ$76)="(EMPTY)"))&gt;0,IFERROR(('Final Calculation Sheet'!$P$11)&amp;"","")="",ISNUMBER(SEARCH($AS$76:$AZ$76,IFERROR(('Final Calculation Sheet'!$P$11)&amp;"","")))))&gt;0),IF(COUNTIF($BI$76:$BP$76,2)=0,TRUE,SUMPRODUCT(($BI$76:$BP$76=2)*($AS$76:$AZ$76&lt;&gt;"")*IF(((UPPER($AS$76:$AZ$76)="BLANK")+(UPPER($AS$76:$AZ$76)="(BLANK)")+(UPPER($AS$76:$AZ$76)="EMPTY")+(UPPER($AS$76:$AZ$76)="(EMPTY)"))&gt;0,IFERROR(('Final Calculation Sheet'!$P$11)&amp;"","")="",ISNUMBER(SEARCH($AS$76:$AZ$76,IFERROR(('Final Calculation Sheet'!$P$11)&amp;"","")))))&gt;0),IF(COUNTIF($BI$76:$BP$76,3)=0,TRUE,SUMPRODUCT(($BI$76:$BP$76=3)*($AS$76:$AZ$76&lt;&gt;"")*IF(((UPPER($AS$76:$AZ$76)="BLANK")+(UPPER($AS$76:$AZ$76)="(BLANK)")+(UPPER($AS$76:$AZ$76)="EMPTY")+(UPPER($AS$76:$AZ$76)="(EMPTY)"))&gt;0,IFERROR(('Final Calculation Sheet'!$P$11)&amp;"","")="",ISNUMBER(SEARCH($AS$76:$AZ$76,IFERROR(('Final Calculation Sheet'!$P$11)&amp;"","")))))&gt;0),IF(COUNTIF($BI$76:$BP$76,4)=0,TRUE,SUMPRODUCT(($BI$76:$BP$76=4)*($AS$76:$AZ$76&lt;&gt;"")*IF(((UPPER($AS$76:$AZ$76)="BLANK")+(UPPER($AS$76:$AZ$76)="(BLANK)")+(UPPER($AS$76:$AZ$76)="EMPTY")+(UPPER($AS$76:$AZ$76)="(EMPTY)"))&gt;0,IFERROR(('Final Calculation Sheet'!$P$11)&amp;"","")="",ISNUMBER(SEARCH($AS$76:$AZ$76,IFERROR(('Final Calculation Sheet'!$P$11)&amp;"","")))))&gt;0),IF(COUNTIF($BI$76:$BP$76,5)=0,TRUE,SUMPRODUCT(($BI$76:$BP$76=5)*($AS$76:$AZ$76&lt;&gt;"")*IF(((UPPER($AS$76:$AZ$76)="BLANK")+(UPPER($AS$76:$AZ$76)="(BLANK)")+(UPPER($AS$76:$AZ$76)="EMPTY")+(UPPER($AS$76:$AZ$76)="(EMPTY)"))&gt;0,IFERROR(('Final Calculation Sheet'!$P$11)&amp;"","")="",ISNUMBER(SEARCH($AS$76:$AZ$76,IFERROR(('Final Calculation Sheet'!$P$11)&amp;"","")))))&gt;0),IF(COUNTIF($BI$76:$BP$76,6)=0,TRUE,SUMPRODUCT(($BI$76:$BP$76=6)*($AS$76:$AZ$76&lt;&gt;"")*IF(((UPPER($AS$76:$AZ$76)="BLANK")+(UPPER($AS$76:$AZ$76)="(BLANK)")+(UPPER($AS$76:$AZ$76)="EMPTY")+(UPPER($AS$76:$AZ$76)="(EMPTY)"))&gt;0,IFERROR(('Final Calculation Sheet'!$P$11)&amp;"","")="",ISNUMBER(SEARCH($AS$76:$AZ$76,IFERROR(('Final Calculation Sheet'!$P$11)&amp;"","")))))&gt;0),IF(COUNTIF($BI$76:$BP$76,7)=0,TRUE,SUMPRODUCT(($BI$76:$BP$76=7)*($AS$76:$AZ$76&lt;&gt;"")*IF(((UPPER($AS$76:$AZ$76)="BLANK")+(UPPER($AS$76:$AZ$76)="(BLANK)")+(UPPER($AS$76:$AZ$76)="EMPTY")+(UPPER($AS$76:$AZ$76)="(EMPTY)"))&gt;0,IFERROR(('Final Calculation Sheet'!$P$11)&amp;"","")="",ISNUMBER(SEARCH($AS$76:$AZ$76,IFERROR(('Final Calculation Sheet'!$P$11)&amp;"","")))))&gt;0),IF(COUNTIF($BI$76:$BP$76,8)=0,TRUE,SUMPRODUCT(($BI$76:$BP$76=8)*($AS$76:$AZ$76&lt;&gt;"")*IF(((UPPER($AS$76:$AZ$76)="BLANK")+(UPPER($AS$76:$AZ$76)="(BLANK)")+(UPPER($AS$76:$AZ$76)="EMPTY")+(UPPER($AS$76:$AZ$76)="(EMPTY)"))&gt;0,IFERROR(('Final Calculation Sheet'!$P$11)&amp;"","")="",ISNUMBER(SEARCH($AS$76:$AZ$76,IFERROR(('Final Calculation Sheet'!$P$11)&amp;"","")))))&gt;0))))</f>
        <v>1</v>
      </c>
      <c r="CD12">
        <f>IF($R$4="",1,--(AND(SUMPRODUCT(--($AS$77:$AZ$77&lt;&gt;""))&gt;0,IF(COUNTIF($BI$77:$BP$77,1)=0,TRUE,SUMPRODUCT(($BI$77:$BP$77=1)*($AS$77:$AZ$77&lt;&gt;"")*IF(((UPPER($AS$77:$AZ$77)="BLANK")+(UPPER($AS$77:$AZ$77)="(BLANK)")+(UPPER($AS$77:$AZ$77)="EMPTY")+(UPPER($AS$77:$AZ$77)="(EMPTY)"))&gt;0,IFERROR(('Final Calculation Sheet'!$Q$11)&amp;"","")="",ISNUMBER(SEARCH($AS$77:$AZ$77,IFERROR(('Final Calculation Sheet'!$Q$11)&amp;"","")))))&gt;0),IF(COUNTIF($BI$77:$BP$77,2)=0,TRUE,SUMPRODUCT(($BI$77:$BP$77=2)*($AS$77:$AZ$77&lt;&gt;"")*IF(((UPPER($AS$77:$AZ$77)="BLANK")+(UPPER($AS$77:$AZ$77)="(BLANK)")+(UPPER($AS$77:$AZ$77)="EMPTY")+(UPPER($AS$77:$AZ$77)="(EMPTY)"))&gt;0,IFERROR(('Final Calculation Sheet'!$Q$11)&amp;"","")="",ISNUMBER(SEARCH($AS$77:$AZ$77,IFERROR(('Final Calculation Sheet'!$Q$11)&amp;"","")))))&gt;0),IF(COUNTIF($BI$77:$BP$77,3)=0,TRUE,SUMPRODUCT(($BI$77:$BP$77=3)*($AS$77:$AZ$77&lt;&gt;"")*IF(((UPPER($AS$77:$AZ$77)="BLANK")+(UPPER($AS$77:$AZ$77)="(BLANK)")+(UPPER($AS$77:$AZ$77)="EMPTY")+(UPPER($AS$77:$AZ$77)="(EMPTY)"))&gt;0,IFERROR(('Final Calculation Sheet'!$Q$11)&amp;"","")="",ISNUMBER(SEARCH($AS$77:$AZ$77,IFERROR(('Final Calculation Sheet'!$Q$11)&amp;"","")))))&gt;0),IF(COUNTIF($BI$77:$BP$77,4)=0,TRUE,SUMPRODUCT(($BI$77:$BP$77=4)*($AS$77:$AZ$77&lt;&gt;"")*IF(((UPPER($AS$77:$AZ$77)="BLANK")+(UPPER($AS$77:$AZ$77)="(BLANK)")+(UPPER($AS$77:$AZ$77)="EMPTY")+(UPPER($AS$77:$AZ$77)="(EMPTY)"))&gt;0,IFERROR(('Final Calculation Sheet'!$Q$11)&amp;"","")="",ISNUMBER(SEARCH($AS$77:$AZ$77,IFERROR(('Final Calculation Sheet'!$Q$11)&amp;"","")))))&gt;0),IF(COUNTIF($BI$77:$BP$77,5)=0,TRUE,SUMPRODUCT(($BI$77:$BP$77=5)*($AS$77:$AZ$77&lt;&gt;"")*IF(((UPPER($AS$77:$AZ$77)="BLANK")+(UPPER($AS$77:$AZ$77)="(BLANK)")+(UPPER($AS$77:$AZ$77)="EMPTY")+(UPPER($AS$77:$AZ$77)="(EMPTY)"))&gt;0,IFERROR(('Final Calculation Sheet'!$Q$11)&amp;"","")="",ISNUMBER(SEARCH($AS$77:$AZ$77,IFERROR(('Final Calculation Sheet'!$Q$11)&amp;"","")))))&gt;0),IF(COUNTIF($BI$77:$BP$77,6)=0,TRUE,SUMPRODUCT(($BI$77:$BP$77=6)*($AS$77:$AZ$77&lt;&gt;"")*IF(((UPPER($AS$77:$AZ$77)="BLANK")+(UPPER($AS$77:$AZ$77)="(BLANK)")+(UPPER($AS$77:$AZ$77)="EMPTY")+(UPPER($AS$77:$AZ$77)="(EMPTY)"))&gt;0,IFERROR(('Final Calculation Sheet'!$Q$11)&amp;"","")="",ISNUMBER(SEARCH($AS$77:$AZ$77,IFERROR(('Final Calculation Sheet'!$Q$11)&amp;"","")))))&gt;0),IF(COUNTIF($BI$77:$BP$77,7)=0,TRUE,SUMPRODUCT(($BI$77:$BP$77=7)*($AS$77:$AZ$77&lt;&gt;"")*IF(((UPPER($AS$77:$AZ$77)="BLANK")+(UPPER($AS$77:$AZ$77)="(BLANK)")+(UPPER($AS$77:$AZ$77)="EMPTY")+(UPPER($AS$77:$AZ$77)="(EMPTY)"))&gt;0,IFERROR(('Final Calculation Sheet'!$Q$11)&amp;"","")="",ISNUMBER(SEARCH($AS$77:$AZ$77,IFERROR(('Final Calculation Sheet'!$Q$11)&amp;"","")))))&gt;0),IF(COUNTIF($BI$77:$BP$77,8)=0,TRUE,SUMPRODUCT(($BI$77:$BP$77=8)*($AS$77:$AZ$77&lt;&gt;"")*IF(((UPPER($AS$77:$AZ$77)="BLANK")+(UPPER($AS$77:$AZ$77)="(BLANK)")+(UPPER($AS$77:$AZ$77)="EMPTY")+(UPPER($AS$77:$AZ$77)="(EMPTY)"))&gt;0,IFERROR(('Final Calculation Sheet'!$Q$11)&amp;"","")="",ISNUMBER(SEARCH($AS$77:$AZ$77,IFERROR(('Final Calculation Sheet'!$Q$11)&amp;"","")))))&gt;0))))</f>
        <v>1</v>
      </c>
      <c r="CE12">
        <f>IF($S$4="",1,--(AND(SUMPRODUCT(--($AS$78:$AZ$78&lt;&gt;""))&gt;0,IF(COUNTIF($BI$78:$BP$78,1)=0,TRUE,SUMPRODUCT(($BI$78:$BP$78=1)*($AS$78:$AZ$78&lt;&gt;"")*IF(((UPPER($AS$78:$AZ$78)="BLANK")+(UPPER($AS$78:$AZ$78)="(BLANK)")+(UPPER($AS$78:$AZ$78)="EMPTY")+(UPPER($AS$78:$AZ$78)="(EMPTY)"))&gt;0,IFERROR(('Final Calculation Sheet'!$R$11)&amp;"","")="",ISNUMBER(SEARCH($AS$78:$AZ$78,IFERROR(('Final Calculation Sheet'!$R$11)&amp;"","")))))&gt;0),IF(COUNTIF($BI$78:$BP$78,2)=0,TRUE,SUMPRODUCT(($BI$78:$BP$78=2)*($AS$78:$AZ$78&lt;&gt;"")*IF(((UPPER($AS$78:$AZ$78)="BLANK")+(UPPER($AS$78:$AZ$78)="(BLANK)")+(UPPER($AS$78:$AZ$78)="EMPTY")+(UPPER($AS$78:$AZ$78)="(EMPTY)"))&gt;0,IFERROR(('Final Calculation Sheet'!$R$11)&amp;"","")="",ISNUMBER(SEARCH($AS$78:$AZ$78,IFERROR(('Final Calculation Sheet'!$R$11)&amp;"","")))))&gt;0),IF(COUNTIF($BI$78:$BP$78,3)=0,TRUE,SUMPRODUCT(($BI$78:$BP$78=3)*($AS$78:$AZ$78&lt;&gt;"")*IF(((UPPER($AS$78:$AZ$78)="BLANK")+(UPPER($AS$78:$AZ$78)="(BLANK)")+(UPPER($AS$78:$AZ$78)="EMPTY")+(UPPER($AS$78:$AZ$78)="(EMPTY)"))&gt;0,IFERROR(('Final Calculation Sheet'!$R$11)&amp;"","")="",ISNUMBER(SEARCH($AS$78:$AZ$78,IFERROR(('Final Calculation Sheet'!$R$11)&amp;"","")))))&gt;0),IF(COUNTIF($BI$78:$BP$78,4)=0,TRUE,SUMPRODUCT(($BI$78:$BP$78=4)*($AS$78:$AZ$78&lt;&gt;"")*IF(((UPPER($AS$78:$AZ$78)="BLANK")+(UPPER($AS$78:$AZ$78)="(BLANK)")+(UPPER($AS$78:$AZ$78)="EMPTY")+(UPPER($AS$78:$AZ$78)="(EMPTY)"))&gt;0,IFERROR(('Final Calculation Sheet'!$R$11)&amp;"","")="",ISNUMBER(SEARCH($AS$78:$AZ$78,IFERROR(('Final Calculation Sheet'!$R$11)&amp;"","")))))&gt;0),IF(COUNTIF($BI$78:$BP$78,5)=0,TRUE,SUMPRODUCT(($BI$78:$BP$78=5)*($AS$78:$AZ$78&lt;&gt;"")*IF(((UPPER($AS$78:$AZ$78)="BLANK")+(UPPER($AS$78:$AZ$78)="(BLANK)")+(UPPER($AS$78:$AZ$78)="EMPTY")+(UPPER($AS$78:$AZ$78)="(EMPTY)"))&gt;0,IFERROR(('Final Calculation Sheet'!$R$11)&amp;"","")="",ISNUMBER(SEARCH($AS$78:$AZ$78,IFERROR(('Final Calculation Sheet'!$R$11)&amp;"","")))))&gt;0),IF(COUNTIF($BI$78:$BP$78,6)=0,TRUE,SUMPRODUCT(($BI$78:$BP$78=6)*($AS$78:$AZ$78&lt;&gt;"")*IF(((UPPER($AS$78:$AZ$78)="BLANK")+(UPPER($AS$78:$AZ$78)="(BLANK)")+(UPPER($AS$78:$AZ$78)="EMPTY")+(UPPER($AS$78:$AZ$78)="(EMPTY)"))&gt;0,IFERROR(('Final Calculation Sheet'!$R$11)&amp;"","")="",ISNUMBER(SEARCH($AS$78:$AZ$78,IFERROR(('Final Calculation Sheet'!$R$11)&amp;"","")))))&gt;0),IF(COUNTIF($BI$78:$BP$78,7)=0,TRUE,SUMPRODUCT(($BI$78:$BP$78=7)*($AS$78:$AZ$78&lt;&gt;"")*IF(((UPPER($AS$78:$AZ$78)="BLANK")+(UPPER($AS$78:$AZ$78)="(BLANK)")+(UPPER($AS$78:$AZ$78)="EMPTY")+(UPPER($AS$78:$AZ$78)="(EMPTY)"))&gt;0,IFERROR(('Final Calculation Sheet'!$R$11)&amp;"","")="",ISNUMBER(SEARCH($AS$78:$AZ$78,IFERROR(('Final Calculation Sheet'!$R$11)&amp;"","")))))&gt;0),IF(COUNTIF($BI$78:$BP$78,8)=0,TRUE,SUMPRODUCT(($BI$78:$BP$78=8)*($AS$78:$AZ$78&lt;&gt;"")*IF(((UPPER($AS$78:$AZ$78)="BLANK")+(UPPER($AS$78:$AZ$78)="(BLANK)")+(UPPER($AS$78:$AZ$78)="EMPTY")+(UPPER($AS$78:$AZ$78)="(EMPTY)"))&gt;0,IFERROR(('Final Calculation Sheet'!$R$11)&amp;"","")="",ISNUMBER(SEARCH($AS$78:$AZ$78,IFERROR(('Final Calculation Sheet'!$R$11)&amp;"","")))))&gt;0))))</f>
        <v>1</v>
      </c>
      <c r="CF12">
        <f>IF($T$4="",1,--(AND(SUMPRODUCT(--($AS$79:$AZ$79&lt;&gt;""))&gt;0,IF(COUNTIF($BI$79:$BP$79,1)=0,TRUE,SUMPRODUCT(($BI$79:$BP$79=1)*($AS$79:$AZ$79&lt;&gt;"")*IF(((UPPER($AS$79:$AZ$79)="BLANK")+(UPPER($AS$79:$AZ$79)="(BLANK)")+(UPPER($AS$79:$AZ$79)="EMPTY")+(UPPER($AS$79:$AZ$79)="(EMPTY)"))&gt;0,IFERROR(('Final Calculation Sheet'!$S$11)&amp;"","")="",ISNUMBER(SEARCH($AS$79:$AZ$79,IFERROR(('Final Calculation Sheet'!$S$11)&amp;"","")))))&gt;0),IF(COUNTIF($BI$79:$BP$79,2)=0,TRUE,SUMPRODUCT(($BI$79:$BP$79=2)*($AS$79:$AZ$79&lt;&gt;"")*IF(((UPPER($AS$79:$AZ$79)="BLANK")+(UPPER($AS$79:$AZ$79)="(BLANK)")+(UPPER($AS$79:$AZ$79)="EMPTY")+(UPPER($AS$79:$AZ$79)="(EMPTY)"))&gt;0,IFERROR(('Final Calculation Sheet'!$S$11)&amp;"","")="",ISNUMBER(SEARCH($AS$79:$AZ$79,IFERROR(('Final Calculation Sheet'!$S$11)&amp;"","")))))&gt;0),IF(COUNTIF($BI$79:$BP$79,3)=0,TRUE,SUMPRODUCT(($BI$79:$BP$79=3)*($AS$79:$AZ$79&lt;&gt;"")*IF(((UPPER($AS$79:$AZ$79)="BLANK")+(UPPER($AS$79:$AZ$79)="(BLANK)")+(UPPER($AS$79:$AZ$79)="EMPTY")+(UPPER($AS$79:$AZ$79)="(EMPTY)"))&gt;0,IFERROR(('Final Calculation Sheet'!$S$11)&amp;"","")="",ISNUMBER(SEARCH($AS$79:$AZ$79,IFERROR(('Final Calculation Sheet'!$S$11)&amp;"","")))))&gt;0),IF(COUNTIF($BI$79:$BP$79,4)=0,TRUE,SUMPRODUCT(($BI$79:$BP$79=4)*($AS$79:$AZ$79&lt;&gt;"")*IF(((UPPER($AS$79:$AZ$79)="BLANK")+(UPPER($AS$79:$AZ$79)="(BLANK)")+(UPPER($AS$79:$AZ$79)="EMPTY")+(UPPER($AS$79:$AZ$79)="(EMPTY)"))&gt;0,IFERROR(('Final Calculation Sheet'!$S$11)&amp;"","")="",ISNUMBER(SEARCH($AS$79:$AZ$79,IFERROR(('Final Calculation Sheet'!$S$11)&amp;"","")))))&gt;0),IF(COUNTIF($BI$79:$BP$79,5)=0,TRUE,SUMPRODUCT(($BI$79:$BP$79=5)*($AS$79:$AZ$79&lt;&gt;"")*IF(((UPPER($AS$79:$AZ$79)="BLANK")+(UPPER($AS$79:$AZ$79)="(BLANK)")+(UPPER($AS$79:$AZ$79)="EMPTY")+(UPPER($AS$79:$AZ$79)="(EMPTY)"))&gt;0,IFERROR(('Final Calculation Sheet'!$S$11)&amp;"","")="",ISNUMBER(SEARCH($AS$79:$AZ$79,IFERROR(('Final Calculation Sheet'!$S$11)&amp;"","")))))&gt;0),IF(COUNTIF($BI$79:$BP$79,6)=0,TRUE,SUMPRODUCT(($BI$79:$BP$79=6)*($AS$79:$AZ$79&lt;&gt;"")*IF(((UPPER($AS$79:$AZ$79)="BLANK")+(UPPER($AS$79:$AZ$79)="(BLANK)")+(UPPER($AS$79:$AZ$79)="EMPTY")+(UPPER($AS$79:$AZ$79)="(EMPTY)"))&gt;0,IFERROR(('Final Calculation Sheet'!$S$11)&amp;"","")="",ISNUMBER(SEARCH($AS$79:$AZ$79,IFERROR(('Final Calculation Sheet'!$S$11)&amp;"","")))))&gt;0),IF(COUNTIF($BI$79:$BP$79,7)=0,TRUE,SUMPRODUCT(($BI$79:$BP$79=7)*($AS$79:$AZ$79&lt;&gt;"")*IF(((UPPER($AS$79:$AZ$79)="BLANK")+(UPPER($AS$79:$AZ$79)="(BLANK)")+(UPPER($AS$79:$AZ$79)="EMPTY")+(UPPER($AS$79:$AZ$79)="(EMPTY)"))&gt;0,IFERROR(('Final Calculation Sheet'!$S$11)&amp;"","")="",ISNUMBER(SEARCH($AS$79:$AZ$79,IFERROR(('Final Calculation Sheet'!$S$11)&amp;"","")))))&gt;0),IF(COUNTIF($BI$79:$BP$79,8)=0,TRUE,SUMPRODUCT(($BI$79:$BP$79=8)*($AS$79:$AZ$79&lt;&gt;"")*IF(((UPPER($AS$79:$AZ$79)="BLANK")+(UPPER($AS$79:$AZ$79)="(BLANK)")+(UPPER($AS$79:$AZ$79)="EMPTY")+(UPPER($AS$79:$AZ$79)="(EMPTY)"))&gt;0,IFERROR(('Final Calculation Sheet'!$S$11)&amp;"","")="",ISNUMBER(SEARCH($AS$79:$AZ$79,IFERROR(('Final Calculation Sheet'!$S$11)&amp;"","")))))&gt;0))))</f>
        <v>1</v>
      </c>
      <c r="CG12">
        <f>IF($U$4="",1,--(AND(SUMPRODUCT(--($AS$80:$AZ$80&lt;&gt;""))&gt;0,IF(COUNTIF($BI$80:$BP$80,1)=0,TRUE,SUMPRODUCT(($BI$80:$BP$80=1)*($AS$80:$AZ$80&lt;&gt;"")*IF(((UPPER($AS$80:$AZ$80)="BLANK")+(UPPER($AS$80:$AZ$80)="(BLANK)")+(UPPER($AS$80:$AZ$80)="EMPTY")+(UPPER($AS$80:$AZ$80)="(EMPTY)"))&gt;0,IFERROR(('Final Calculation Sheet'!$T$11)&amp;"","")="",ISNUMBER(SEARCH($AS$80:$AZ$80,IFERROR(('Final Calculation Sheet'!$T$11)&amp;"","")))))&gt;0),IF(COUNTIF($BI$80:$BP$80,2)=0,TRUE,SUMPRODUCT(($BI$80:$BP$80=2)*($AS$80:$AZ$80&lt;&gt;"")*IF(((UPPER($AS$80:$AZ$80)="BLANK")+(UPPER($AS$80:$AZ$80)="(BLANK)")+(UPPER($AS$80:$AZ$80)="EMPTY")+(UPPER($AS$80:$AZ$80)="(EMPTY)"))&gt;0,IFERROR(('Final Calculation Sheet'!$T$11)&amp;"","")="",ISNUMBER(SEARCH($AS$80:$AZ$80,IFERROR(('Final Calculation Sheet'!$T$11)&amp;"","")))))&gt;0),IF(COUNTIF($BI$80:$BP$80,3)=0,TRUE,SUMPRODUCT(($BI$80:$BP$80=3)*($AS$80:$AZ$80&lt;&gt;"")*IF(((UPPER($AS$80:$AZ$80)="BLANK")+(UPPER($AS$80:$AZ$80)="(BLANK)")+(UPPER($AS$80:$AZ$80)="EMPTY")+(UPPER($AS$80:$AZ$80)="(EMPTY)"))&gt;0,IFERROR(('Final Calculation Sheet'!$T$11)&amp;"","")="",ISNUMBER(SEARCH($AS$80:$AZ$80,IFERROR(('Final Calculation Sheet'!$T$11)&amp;"","")))))&gt;0),IF(COUNTIF($BI$80:$BP$80,4)=0,TRUE,SUMPRODUCT(($BI$80:$BP$80=4)*($AS$80:$AZ$80&lt;&gt;"")*IF(((UPPER($AS$80:$AZ$80)="BLANK")+(UPPER($AS$80:$AZ$80)="(BLANK)")+(UPPER($AS$80:$AZ$80)="EMPTY")+(UPPER($AS$80:$AZ$80)="(EMPTY)"))&gt;0,IFERROR(('Final Calculation Sheet'!$T$11)&amp;"","")="",ISNUMBER(SEARCH($AS$80:$AZ$80,IFERROR(('Final Calculation Sheet'!$T$11)&amp;"","")))))&gt;0),IF(COUNTIF($BI$80:$BP$80,5)=0,TRUE,SUMPRODUCT(($BI$80:$BP$80=5)*($AS$80:$AZ$80&lt;&gt;"")*IF(((UPPER($AS$80:$AZ$80)="BLANK")+(UPPER($AS$80:$AZ$80)="(BLANK)")+(UPPER($AS$80:$AZ$80)="EMPTY")+(UPPER($AS$80:$AZ$80)="(EMPTY)"))&gt;0,IFERROR(('Final Calculation Sheet'!$T$11)&amp;"","")="",ISNUMBER(SEARCH($AS$80:$AZ$80,IFERROR(('Final Calculation Sheet'!$T$11)&amp;"","")))))&gt;0),IF(COUNTIF($BI$80:$BP$80,6)=0,TRUE,SUMPRODUCT(($BI$80:$BP$80=6)*($AS$80:$AZ$80&lt;&gt;"")*IF(((UPPER($AS$80:$AZ$80)="BLANK")+(UPPER($AS$80:$AZ$80)="(BLANK)")+(UPPER($AS$80:$AZ$80)="EMPTY")+(UPPER($AS$80:$AZ$80)="(EMPTY)"))&gt;0,IFERROR(('Final Calculation Sheet'!$T$11)&amp;"","")="",ISNUMBER(SEARCH($AS$80:$AZ$80,IFERROR(('Final Calculation Sheet'!$T$11)&amp;"","")))))&gt;0),IF(COUNTIF($BI$80:$BP$80,7)=0,TRUE,SUMPRODUCT(($BI$80:$BP$80=7)*($AS$80:$AZ$80&lt;&gt;"")*IF(((UPPER($AS$80:$AZ$80)="BLANK")+(UPPER($AS$80:$AZ$80)="(BLANK)")+(UPPER($AS$80:$AZ$80)="EMPTY")+(UPPER($AS$80:$AZ$80)="(EMPTY)"))&gt;0,IFERROR(('Final Calculation Sheet'!$T$11)&amp;"","")="",ISNUMBER(SEARCH($AS$80:$AZ$80,IFERROR(('Final Calculation Sheet'!$T$11)&amp;"","")))))&gt;0),IF(COUNTIF($BI$80:$BP$80,8)=0,TRUE,SUMPRODUCT(($BI$80:$BP$80=8)*($AS$80:$AZ$80&lt;&gt;"")*IF(((UPPER($AS$80:$AZ$80)="BLANK")+(UPPER($AS$80:$AZ$80)="(BLANK)")+(UPPER($AS$80:$AZ$80)="EMPTY")+(UPPER($AS$80:$AZ$80)="(EMPTY)"))&gt;0,IFERROR(('Final Calculation Sheet'!$T$11)&amp;"","")="",ISNUMBER(SEARCH($AS$80:$AZ$80,IFERROR(('Final Calculation Sheet'!$T$11)&amp;"","")))))&gt;0))))</f>
        <v>1</v>
      </c>
      <c r="CH12">
        <f>IF($V$4="",1,--(AND(SUMPRODUCT(--($AS$81:$AZ$81&lt;&gt;""))&gt;0,IF(COUNTIF($BI$81:$BP$81,1)=0,TRUE,SUMPRODUCT(($BI$81:$BP$81=1)*($AS$81:$AZ$81&lt;&gt;"")*IF(((UPPER($AS$81:$AZ$81)="BLANK")+(UPPER($AS$81:$AZ$81)="(BLANK)")+(UPPER($AS$81:$AZ$81)="EMPTY")+(UPPER($AS$81:$AZ$81)="(EMPTY)"))&gt;0,IFERROR(('Final Calculation Sheet'!$U$11)&amp;"","")="",ISNUMBER(SEARCH($AS$81:$AZ$81,IFERROR(('Final Calculation Sheet'!$U$11)&amp;"","")))))&gt;0),IF(COUNTIF($BI$81:$BP$81,2)=0,TRUE,SUMPRODUCT(($BI$81:$BP$81=2)*($AS$81:$AZ$81&lt;&gt;"")*IF(((UPPER($AS$81:$AZ$81)="BLANK")+(UPPER($AS$81:$AZ$81)="(BLANK)")+(UPPER($AS$81:$AZ$81)="EMPTY")+(UPPER($AS$81:$AZ$81)="(EMPTY)"))&gt;0,IFERROR(('Final Calculation Sheet'!$U$11)&amp;"","")="",ISNUMBER(SEARCH($AS$81:$AZ$81,IFERROR(('Final Calculation Sheet'!$U$11)&amp;"","")))))&gt;0),IF(COUNTIF($BI$81:$BP$81,3)=0,TRUE,SUMPRODUCT(($BI$81:$BP$81=3)*($AS$81:$AZ$81&lt;&gt;"")*IF(((UPPER($AS$81:$AZ$81)="BLANK")+(UPPER($AS$81:$AZ$81)="(BLANK)")+(UPPER($AS$81:$AZ$81)="EMPTY")+(UPPER($AS$81:$AZ$81)="(EMPTY)"))&gt;0,IFERROR(('Final Calculation Sheet'!$U$11)&amp;"","")="",ISNUMBER(SEARCH($AS$81:$AZ$81,IFERROR(('Final Calculation Sheet'!$U$11)&amp;"","")))))&gt;0),IF(COUNTIF($BI$81:$BP$81,4)=0,TRUE,SUMPRODUCT(($BI$81:$BP$81=4)*($AS$81:$AZ$81&lt;&gt;"")*IF(((UPPER($AS$81:$AZ$81)="BLANK")+(UPPER($AS$81:$AZ$81)="(BLANK)")+(UPPER($AS$81:$AZ$81)="EMPTY")+(UPPER($AS$81:$AZ$81)="(EMPTY)"))&gt;0,IFERROR(('Final Calculation Sheet'!$U$11)&amp;"","")="",ISNUMBER(SEARCH($AS$81:$AZ$81,IFERROR(('Final Calculation Sheet'!$U$11)&amp;"","")))))&gt;0),IF(COUNTIF($BI$81:$BP$81,5)=0,TRUE,SUMPRODUCT(($BI$81:$BP$81=5)*($AS$81:$AZ$81&lt;&gt;"")*IF(((UPPER($AS$81:$AZ$81)="BLANK")+(UPPER($AS$81:$AZ$81)="(BLANK)")+(UPPER($AS$81:$AZ$81)="EMPTY")+(UPPER($AS$81:$AZ$81)="(EMPTY)"))&gt;0,IFERROR(('Final Calculation Sheet'!$U$11)&amp;"","")="",ISNUMBER(SEARCH($AS$81:$AZ$81,IFERROR(('Final Calculation Sheet'!$U$11)&amp;"","")))))&gt;0),IF(COUNTIF($BI$81:$BP$81,6)=0,TRUE,SUMPRODUCT(($BI$81:$BP$81=6)*($AS$81:$AZ$81&lt;&gt;"")*IF(((UPPER($AS$81:$AZ$81)="BLANK")+(UPPER($AS$81:$AZ$81)="(BLANK)")+(UPPER($AS$81:$AZ$81)="EMPTY")+(UPPER($AS$81:$AZ$81)="(EMPTY)"))&gt;0,IFERROR(('Final Calculation Sheet'!$U$11)&amp;"","")="",ISNUMBER(SEARCH($AS$81:$AZ$81,IFERROR(('Final Calculation Sheet'!$U$11)&amp;"","")))))&gt;0),IF(COUNTIF($BI$81:$BP$81,7)=0,TRUE,SUMPRODUCT(($BI$81:$BP$81=7)*($AS$81:$AZ$81&lt;&gt;"")*IF(((UPPER($AS$81:$AZ$81)="BLANK")+(UPPER($AS$81:$AZ$81)="(BLANK)")+(UPPER($AS$81:$AZ$81)="EMPTY")+(UPPER($AS$81:$AZ$81)="(EMPTY)"))&gt;0,IFERROR(('Final Calculation Sheet'!$U$11)&amp;"","")="",ISNUMBER(SEARCH($AS$81:$AZ$81,IFERROR(('Final Calculation Sheet'!$U$11)&amp;"","")))))&gt;0),IF(COUNTIF($BI$81:$BP$81,8)=0,TRUE,SUMPRODUCT(($BI$81:$BP$81=8)*($AS$81:$AZ$81&lt;&gt;"")*IF(((UPPER($AS$81:$AZ$81)="BLANK")+(UPPER($AS$81:$AZ$81)="(BLANK)")+(UPPER($AS$81:$AZ$81)="EMPTY")+(UPPER($AS$81:$AZ$81)="(EMPTY)"))&gt;0,IFERROR(('Final Calculation Sheet'!$U$11)&amp;"","")="",ISNUMBER(SEARCH($AS$81:$AZ$81,IFERROR(('Final Calculation Sheet'!$U$11)&amp;"","")))))&gt;0))))</f>
        <v>1</v>
      </c>
      <c r="CI12">
        <f>IF($W$4="",1,--(AND(SUMPRODUCT(--($AS$82:$AZ$82&lt;&gt;""))&gt;0,IF(COUNTIF($BI$82:$BP$82,1)=0,TRUE,SUMPRODUCT(($BI$82:$BP$82=1)*($AS$82:$AZ$82&lt;&gt;"")*IF(((UPPER($AS$82:$AZ$82)="BLANK")+(UPPER($AS$82:$AZ$82)="(BLANK)")+(UPPER($AS$82:$AZ$82)="EMPTY")+(UPPER($AS$82:$AZ$82)="(EMPTY)"))&gt;0,IFERROR(('Final Calculation Sheet'!$V$11)&amp;"","")="",ISNUMBER(SEARCH($AS$82:$AZ$82,IFERROR(('Final Calculation Sheet'!$V$11)&amp;"","")))))&gt;0),IF(COUNTIF($BI$82:$BP$82,2)=0,TRUE,SUMPRODUCT(($BI$82:$BP$82=2)*($AS$82:$AZ$82&lt;&gt;"")*IF(((UPPER($AS$82:$AZ$82)="BLANK")+(UPPER($AS$82:$AZ$82)="(BLANK)")+(UPPER($AS$82:$AZ$82)="EMPTY")+(UPPER($AS$82:$AZ$82)="(EMPTY)"))&gt;0,IFERROR(('Final Calculation Sheet'!$V$11)&amp;"","")="",ISNUMBER(SEARCH($AS$82:$AZ$82,IFERROR(('Final Calculation Sheet'!$V$11)&amp;"","")))))&gt;0),IF(COUNTIF($BI$82:$BP$82,3)=0,TRUE,SUMPRODUCT(($BI$82:$BP$82=3)*($AS$82:$AZ$82&lt;&gt;"")*IF(((UPPER($AS$82:$AZ$82)="BLANK")+(UPPER($AS$82:$AZ$82)="(BLANK)")+(UPPER($AS$82:$AZ$82)="EMPTY")+(UPPER($AS$82:$AZ$82)="(EMPTY)"))&gt;0,IFERROR(('Final Calculation Sheet'!$V$11)&amp;"","")="",ISNUMBER(SEARCH($AS$82:$AZ$82,IFERROR(('Final Calculation Sheet'!$V$11)&amp;"","")))))&gt;0),IF(COUNTIF($BI$82:$BP$82,4)=0,TRUE,SUMPRODUCT(($BI$82:$BP$82=4)*($AS$82:$AZ$82&lt;&gt;"")*IF(((UPPER($AS$82:$AZ$82)="BLANK")+(UPPER($AS$82:$AZ$82)="(BLANK)")+(UPPER($AS$82:$AZ$82)="EMPTY")+(UPPER($AS$82:$AZ$82)="(EMPTY)"))&gt;0,IFERROR(('Final Calculation Sheet'!$V$11)&amp;"","")="",ISNUMBER(SEARCH($AS$82:$AZ$82,IFERROR(('Final Calculation Sheet'!$V$11)&amp;"","")))))&gt;0),IF(COUNTIF($BI$82:$BP$82,5)=0,TRUE,SUMPRODUCT(($BI$82:$BP$82=5)*($AS$82:$AZ$82&lt;&gt;"")*IF(((UPPER($AS$82:$AZ$82)="BLANK")+(UPPER($AS$82:$AZ$82)="(BLANK)")+(UPPER($AS$82:$AZ$82)="EMPTY")+(UPPER($AS$82:$AZ$82)="(EMPTY)"))&gt;0,IFERROR(('Final Calculation Sheet'!$V$11)&amp;"","")="",ISNUMBER(SEARCH($AS$82:$AZ$82,IFERROR(('Final Calculation Sheet'!$V$11)&amp;"","")))))&gt;0),IF(COUNTIF($BI$82:$BP$82,6)=0,TRUE,SUMPRODUCT(($BI$82:$BP$82=6)*($AS$82:$AZ$82&lt;&gt;"")*IF(((UPPER($AS$82:$AZ$82)="BLANK")+(UPPER($AS$82:$AZ$82)="(BLANK)")+(UPPER($AS$82:$AZ$82)="EMPTY")+(UPPER($AS$82:$AZ$82)="(EMPTY)"))&gt;0,IFERROR(('Final Calculation Sheet'!$V$11)&amp;"","")="",ISNUMBER(SEARCH($AS$82:$AZ$82,IFERROR(('Final Calculation Sheet'!$V$11)&amp;"","")))))&gt;0),IF(COUNTIF($BI$82:$BP$82,7)=0,TRUE,SUMPRODUCT(($BI$82:$BP$82=7)*($AS$82:$AZ$82&lt;&gt;"")*IF(((UPPER($AS$82:$AZ$82)="BLANK")+(UPPER($AS$82:$AZ$82)="(BLANK)")+(UPPER($AS$82:$AZ$82)="EMPTY")+(UPPER($AS$82:$AZ$82)="(EMPTY)"))&gt;0,IFERROR(('Final Calculation Sheet'!$V$11)&amp;"","")="",ISNUMBER(SEARCH($AS$82:$AZ$82,IFERROR(('Final Calculation Sheet'!$V$11)&amp;"","")))))&gt;0),IF(COUNTIF($BI$82:$BP$82,8)=0,TRUE,SUMPRODUCT(($BI$82:$BP$82=8)*($AS$82:$AZ$82&lt;&gt;"")*IF(((UPPER($AS$82:$AZ$82)="BLANK")+(UPPER($AS$82:$AZ$82)="(BLANK)")+(UPPER($AS$82:$AZ$82)="EMPTY")+(UPPER($AS$82:$AZ$82)="(EMPTY)"))&gt;0,IFERROR(('Final Calculation Sheet'!$V$11)&amp;"","")="",ISNUMBER(SEARCH($AS$82:$AZ$82,IFERROR(('Final Calculation Sheet'!$V$11)&amp;"","")))))&gt;0))))</f>
        <v>1</v>
      </c>
      <c r="CJ12">
        <f>IF($X$4="",1,--(AND(SUMPRODUCT(--($AS$83:$AZ$83&lt;&gt;""))&gt;0,IF(COUNTIF($BI$83:$BP$83,1)=0,TRUE,SUMPRODUCT(($BI$83:$BP$83=1)*($AS$83:$AZ$83&lt;&gt;"")*IF(((UPPER($AS$83:$AZ$83)="BLANK")+(UPPER($AS$83:$AZ$83)="(BLANK)")+(UPPER($AS$83:$AZ$83)="EMPTY")+(UPPER($AS$83:$AZ$83)="(EMPTY)"))&gt;0,IFERROR(('Final Calculation Sheet'!$W$11)&amp;"","")="",ISNUMBER(SEARCH($AS$83:$AZ$83,IFERROR(('Final Calculation Sheet'!$W$11)&amp;"","")))))&gt;0),IF(COUNTIF($BI$83:$BP$83,2)=0,TRUE,SUMPRODUCT(($BI$83:$BP$83=2)*($AS$83:$AZ$83&lt;&gt;"")*IF(((UPPER($AS$83:$AZ$83)="BLANK")+(UPPER($AS$83:$AZ$83)="(BLANK)")+(UPPER($AS$83:$AZ$83)="EMPTY")+(UPPER($AS$83:$AZ$83)="(EMPTY)"))&gt;0,IFERROR(('Final Calculation Sheet'!$W$11)&amp;"","")="",ISNUMBER(SEARCH($AS$83:$AZ$83,IFERROR(('Final Calculation Sheet'!$W$11)&amp;"","")))))&gt;0),IF(COUNTIF($BI$83:$BP$83,3)=0,TRUE,SUMPRODUCT(($BI$83:$BP$83=3)*($AS$83:$AZ$83&lt;&gt;"")*IF(((UPPER($AS$83:$AZ$83)="BLANK")+(UPPER($AS$83:$AZ$83)="(BLANK)")+(UPPER($AS$83:$AZ$83)="EMPTY")+(UPPER($AS$83:$AZ$83)="(EMPTY)"))&gt;0,IFERROR(('Final Calculation Sheet'!$W$11)&amp;"","")="",ISNUMBER(SEARCH($AS$83:$AZ$83,IFERROR(('Final Calculation Sheet'!$W$11)&amp;"","")))))&gt;0),IF(COUNTIF($BI$83:$BP$83,4)=0,TRUE,SUMPRODUCT(($BI$83:$BP$83=4)*($AS$83:$AZ$83&lt;&gt;"")*IF(((UPPER($AS$83:$AZ$83)="BLANK")+(UPPER($AS$83:$AZ$83)="(BLANK)")+(UPPER($AS$83:$AZ$83)="EMPTY")+(UPPER($AS$83:$AZ$83)="(EMPTY)"))&gt;0,IFERROR(('Final Calculation Sheet'!$W$11)&amp;"","")="",ISNUMBER(SEARCH($AS$83:$AZ$83,IFERROR(('Final Calculation Sheet'!$W$11)&amp;"","")))))&gt;0),IF(COUNTIF($BI$83:$BP$83,5)=0,TRUE,SUMPRODUCT(($BI$83:$BP$83=5)*($AS$83:$AZ$83&lt;&gt;"")*IF(((UPPER($AS$83:$AZ$83)="BLANK")+(UPPER($AS$83:$AZ$83)="(BLANK)")+(UPPER($AS$83:$AZ$83)="EMPTY")+(UPPER($AS$83:$AZ$83)="(EMPTY)"))&gt;0,IFERROR(('Final Calculation Sheet'!$W$11)&amp;"","")="",ISNUMBER(SEARCH($AS$83:$AZ$83,IFERROR(('Final Calculation Sheet'!$W$11)&amp;"","")))))&gt;0),IF(COUNTIF($BI$83:$BP$83,6)=0,TRUE,SUMPRODUCT(($BI$83:$BP$83=6)*($AS$83:$AZ$83&lt;&gt;"")*IF(((UPPER($AS$83:$AZ$83)="BLANK")+(UPPER($AS$83:$AZ$83)="(BLANK)")+(UPPER($AS$83:$AZ$83)="EMPTY")+(UPPER($AS$83:$AZ$83)="(EMPTY)"))&gt;0,IFERROR(('Final Calculation Sheet'!$W$11)&amp;"","")="",ISNUMBER(SEARCH($AS$83:$AZ$83,IFERROR(('Final Calculation Sheet'!$W$11)&amp;"","")))))&gt;0),IF(COUNTIF($BI$83:$BP$83,7)=0,TRUE,SUMPRODUCT(($BI$83:$BP$83=7)*($AS$83:$AZ$83&lt;&gt;"")*IF(((UPPER($AS$83:$AZ$83)="BLANK")+(UPPER($AS$83:$AZ$83)="(BLANK)")+(UPPER($AS$83:$AZ$83)="EMPTY")+(UPPER($AS$83:$AZ$83)="(EMPTY)"))&gt;0,IFERROR(('Final Calculation Sheet'!$W$11)&amp;"","")="",ISNUMBER(SEARCH($AS$83:$AZ$83,IFERROR(('Final Calculation Sheet'!$W$11)&amp;"","")))))&gt;0),IF(COUNTIF($BI$83:$BP$83,8)=0,TRUE,SUMPRODUCT(($BI$83:$BP$83=8)*($AS$83:$AZ$83&lt;&gt;"")*IF(((UPPER($AS$83:$AZ$83)="BLANK")+(UPPER($AS$83:$AZ$83)="(BLANK)")+(UPPER($AS$83:$AZ$83)="EMPTY")+(UPPER($AS$83:$AZ$83)="(EMPTY)"))&gt;0,IFERROR(('Final Calculation Sheet'!$W$11)&amp;"","")="",ISNUMBER(SEARCH($AS$83:$AZ$83,IFERROR(('Final Calculation Sheet'!$W$11)&amp;"","")))))&gt;0))))</f>
        <v>1</v>
      </c>
      <c r="CK12">
        <f>IF($Y$4="",1,--(AND(SUMPRODUCT(--($AS$84:$AZ$84&lt;&gt;""))&gt;0,IF(COUNTIF($BI$84:$BP$84,1)=0,TRUE,SUMPRODUCT(($BI$84:$BP$84=1)*($AS$84:$AZ$84&lt;&gt;"")*IF(((UPPER($AS$84:$AZ$84)="BLANK")+(UPPER($AS$84:$AZ$84)="(BLANK)")+(UPPER($AS$84:$AZ$84)="EMPTY")+(UPPER($AS$84:$AZ$84)="(EMPTY)"))&gt;0,IFERROR(('Final Calculation Sheet'!$X$11)&amp;"","")="",ISNUMBER(SEARCH($AS$84:$AZ$84,IFERROR(('Final Calculation Sheet'!$X$11)&amp;"","")))))&gt;0),IF(COUNTIF($BI$84:$BP$84,2)=0,TRUE,SUMPRODUCT(($BI$84:$BP$84=2)*($AS$84:$AZ$84&lt;&gt;"")*IF(((UPPER($AS$84:$AZ$84)="BLANK")+(UPPER($AS$84:$AZ$84)="(BLANK)")+(UPPER($AS$84:$AZ$84)="EMPTY")+(UPPER($AS$84:$AZ$84)="(EMPTY)"))&gt;0,IFERROR(('Final Calculation Sheet'!$X$11)&amp;"","")="",ISNUMBER(SEARCH($AS$84:$AZ$84,IFERROR(('Final Calculation Sheet'!$X$11)&amp;"","")))))&gt;0),IF(COUNTIF($BI$84:$BP$84,3)=0,TRUE,SUMPRODUCT(($BI$84:$BP$84=3)*($AS$84:$AZ$84&lt;&gt;"")*IF(((UPPER($AS$84:$AZ$84)="BLANK")+(UPPER($AS$84:$AZ$84)="(BLANK)")+(UPPER($AS$84:$AZ$84)="EMPTY")+(UPPER($AS$84:$AZ$84)="(EMPTY)"))&gt;0,IFERROR(('Final Calculation Sheet'!$X$11)&amp;"","")="",ISNUMBER(SEARCH($AS$84:$AZ$84,IFERROR(('Final Calculation Sheet'!$X$11)&amp;"","")))))&gt;0),IF(COUNTIF($BI$84:$BP$84,4)=0,TRUE,SUMPRODUCT(($BI$84:$BP$84=4)*($AS$84:$AZ$84&lt;&gt;"")*IF(((UPPER($AS$84:$AZ$84)="BLANK")+(UPPER($AS$84:$AZ$84)="(BLANK)")+(UPPER($AS$84:$AZ$84)="EMPTY")+(UPPER($AS$84:$AZ$84)="(EMPTY)"))&gt;0,IFERROR(('Final Calculation Sheet'!$X$11)&amp;"","")="",ISNUMBER(SEARCH($AS$84:$AZ$84,IFERROR(('Final Calculation Sheet'!$X$11)&amp;"","")))))&gt;0),IF(COUNTIF($BI$84:$BP$84,5)=0,TRUE,SUMPRODUCT(($BI$84:$BP$84=5)*($AS$84:$AZ$84&lt;&gt;"")*IF(((UPPER($AS$84:$AZ$84)="BLANK")+(UPPER($AS$84:$AZ$84)="(BLANK)")+(UPPER($AS$84:$AZ$84)="EMPTY")+(UPPER($AS$84:$AZ$84)="(EMPTY)"))&gt;0,IFERROR(('Final Calculation Sheet'!$X$11)&amp;"","")="",ISNUMBER(SEARCH($AS$84:$AZ$84,IFERROR(('Final Calculation Sheet'!$X$11)&amp;"","")))))&gt;0),IF(COUNTIF($BI$84:$BP$84,6)=0,TRUE,SUMPRODUCT(($BI$84:$BP$84=6)*($AS$84:$AZ$84&lt;&gt;"")*IF(((UPPER($AS$84:$AZ$84)="BLANK")+(UPPER($AS$84:$AZ$84)="(BLANK)")+(UPPER($AS$84:$AZ$84)="EMPTY")+(UPPER($AS$84:$AZ$84)="(EMPTY)"))&gt;0,IFERROR(('Final Calculation Sheet'!$X$11)&amp;"","")="",ISNUMBER(SEARCH($AS$84:$AZ$84,IFERROR(('Final Calculation Sheet'!$X$11)&amp;"","")))))&gt;0),IF(COUNTIF($BI$84:$BP$84,7)=0,TRUE,SUMPRODUCT(($BI$84:$BP$84=7)*($AS$84:$AZ$84&lt;&gt;"")*IF(((UPPER($AS$84:$AZ$84)="BLANK")+(UPPER($AS$84:$AZ$84)="(BLANK)")+(UPPER($AS$84:$AZ$84)="EMPTY")+(UPPER($AS$84:$AZ$84)="(EMPTY)"))&gt;0,IFERROR(('Final Calculation Sheet'!$X$11)&amp;"","")="",ISNUMBER(SEARCH($AS$84:$AZ$84,IFERROR(('Final Calculation Sheet'!$X$11)&amp;"","")))))&gt;0),IF(COUNTIF($BI$84:$BP$84,8)=0,TRUE,SUMPRODUCT(($BI$84:$BP$84=8)*($AS$84:$AZ$84&lt;&gt;"")*IF(((UPPER($AS$84:$AZ$84)="BLANK")+(UPPER($AS$84:$AZ$84)="(BLANK)")+(UPPER($AS$84:$AZ$84)="EMPTY")+(UPPER($AS$84:$AZ$84)="(EMPTY)"))&gt;0,IFERROR(('Final Calculation Sheet'!$X$11)&amp;"","")="",ISNUMBER(SEARCH($AS$84:$AZ$84,IFERROR(('Final Calculation Sheet'!$X$11)&amp;"","")))))&gt;0))))</f>
        <v>1</v>
      </c>
      <c r="CL12">
        <f>IF($Z$4="",1,--(AND(SUMPRODUCT(--($AS$85:$AZ$85&lt;&gt;""))&gt;0,IF(COUNTIF($BI$85:$BP$85,1)=0,TRUE,SUMPRODUCT(($BI$85:$BP$85=1)*($AS$85:$AZ$85&lt;&gt;"")*IF(((UPPER($AS$85:$AZ$85)="BLANK")+(UPPER($AS$85:$AZ$85)="(BLANK)")+(UPPER($AS$85:$AZ$85)="EMPTY")+(UPPER($AS$85:$AZ$85)="(EMPTY)"))&gt;0,IFERROR(('Final Calculation Sheet'!$Y$11)&amp;"","")="",ISNUMBER(SEARCH($AS$85:$AZ$85,IFERROR(('Final Calculation Sheet'!$Y$11)&amp;"","")))))&gt;0),IF(COUNTIF($BI$85:$BP$85,2)=0,TRUE,SUMPRODUCT(($BI$85:$BP$85=2)*($AS$85:$AZ$85&lt;&gt;"")*IF(((UPPER($AS$85:$AZ$85)="BLANK")+(UPPER($AS$85:$AZ$85)="(BLANK)")+(UPPER($AS$85:$AZ$85)="EMPTY")+(UPPER($AS$85:$AZ$85)="(EMPTY)"))&gt;0,IFERROR(('Final Calculation Sheet'!$Y$11)&amp;"","")="",ISNUMBER(SEARCH($AS$85:$AZ$85,IFERROR(('Final Calculation Sheet'!$Y$11)&amp;"","")))))&gt;0),IF(COUNTIF($BI$85:$BP$85,3)=0,TRUE,SUMPRODUCT(($BI$85:$BP$85=3)*($AS$85:$AZ$85&lt;&gt;"")*IF(((UPPER($AS$85:$AZ$85)="BLANK")+(UPPER($AS$85:$AZ$85)="(BLANK)")+(UPPER($AS$85:$AZ$85)="EMPTY")+(UPPER($AS$85:$AZ$85)="(EMPTY)"))&gt;0,IFERROR(('Final Calculation Sheet'!$Y$11)&amp;"","")="",ISNUMBER(SEARCH($AS$85:$AZ$85,IFERROR(('Final Calculation Sheet'!$Y$11)&amp;"","")))))&gt;0),IF(COUNTIF($BI$85:$BP$85,4)=0,TRUE,SUMPRODUCT(($BI$85:$BP$85=4)*($AS$85:$AZ$85&lt;&gt;"")*IF(((UPPER($AS$85:$AZ$85)="BLANK")+(UPPER($AS$85:$AZ$85)="(BLANK)")+(UPPER($AS$85:$AZ$85)="EMPTY")+(UPPER($AS$85:$AZ$85)="(EMPTY)"))&gt;0,IFERROR(('Final Calculation Sheet'!$Y$11)&amp;"","")="",ISNUMBER(SEARCH($AS$85:$AZ$85,IFERROR(('Final Calculation Sheet'!$Y$11)&amp;"","")))))&gt;0),IF(COUNTIF($BI$85:$BP$85,5)=0,TRUE,SUMPRODUCT(($BI$85:$BP$85=5)*($AS$85:$AZ$85&lt;&gt;"")*IF(((UPPER($AS$85:$AZ$85)="BLANK")+(UPPER($AS$85:$AZ$85)="(BLANK)")+(UPPER($AS$85:$AZ$85)="EMPTY")+(UPPER($AS$85:$AZ$85)="(EMPTY)"))&gt;0,IFERROR(('Final Calculation Sheet'!$Y$11)&amp;"","")="",ISNUMBER(SEARCH($AS$85:$AZ$85,IFERROR(('Final Calculation Sheet'!$Y$11)&amp;"","")))))&gt;0),IF(COUNTIF($BI$85:$BP$85,6)=0,TRUE,SUMPRODUCT(($BI$85:$BP$85=6)*($AS$85:$AZ$85&lt;&gt;"")*IF(((UPPER($AS$85:$AZ$85)="BLANK")+(UPPER($AS$85:$AZ$85)="(BLANK)")+(UPPER($AS$85:$AZ$85)="EMPTY")+(UPPER($AS$85:$AZ$85)="(EMPTY)"))&gt;0,IFERROR(('Final Calculation Sheet'!$Y$11)&amp;"","")="",ISNUMBER(SEARCH($AS$85:$AZ$85,IFERROR(('Final Calculation Sheet'!$Y$11)&amp;"","")))))&gt;0),IF(COUNTIF($BI$85:$BP$85,7)=0,TRUE,SUMPRODUCT(($BI$85:$BP$85=7)*($AS$85:$AZ$85&lt;&gt;"")*IF(((UPPER($AS$85:$AZ$85)="BLANK")+(UPPER($AS$85:$AZ$85)="(BLANK)")+(UPPER($AS$85:$AZ$85)="EMPTY")+(UPPER($AS$85:$AZ$85)="(EMPTY)"))&gt;0,IFERROR(('Final Calculation Sheet'!$Y$11)&amp;"","")="",ISNUMBER(SEARCH($AS$85:$AZ$85,IFERROR(('Final Calculation Sheet'!$Y$11)&amp;"","")))))&gt;0),IF(COUNTIF($BI$85:$BP$85,8)=0,TRUE,SUMPRODUCT(($BI$85:$BP$85=8)*($AS$85:$AZ$85&lt;&gt;"")*IF(((UPPER($AS$85:$AZ$85)="BLANK")+(UPPER($AS$85:$AZ$85)="(BLANK)")+(UPPER($AS$85:$AZ$85)="EMPTY")+(UPPER($AS$85:$AZ$85)="(EMPTY)"))&gt;0,IFERROR(('Final Calculation Sheet'!$Y$11)&amp;"","")="",ISNUMBER(SEARCH($AS$85:$AZ$85,IFERROR(('Final Calculation Sheet'!$Y$11)&amp;"","")))))&gt;0))))</f>
        <v>1</v>
      </c>
      <c r="CM12">
        <f>IF($AA$4="",1,--(AND(SUMPRODUCT(--($AS$86:$AZ$86&lt;&gt;""))&gt;0,IF(COUNTIF($BI$86:$BP$86,1)=0,TRUE,SUMPRODUCT(($BI$86:$BP$86=1)*($AS$86:$AZ$86&lt;&gt;"")*IF(((UPPER($AS$86:$AZ$86)="BLANK")+(UPPER($AS$86:$AZ$86)="(BLANK)")+(UPPER($AS$86:$AZ$86)="EMPTY")+(UPPER($AS$86:$AZ$86)="(EMPTY)"))&gt;0,IFERROR(('Final Calculation Sheet'!$Z$11)&amp;"","")="",ISNUMBER(SEARCH($AS$86:$AZ$86,IFERROR(('Final Calculation Sheet'!$Z$11)&amp;"","")))))&gt;0),IF(COUNTIF($BI$86:$BP$86,2)=0,TRUE,SUMPRODUCT(($BI$86:$BP$86=2)*($AS$86:$AZ$86&lt;&gt;"")*IF(((UPPER($AS$86:$AZ$86)="BLANK")+(UPPER($AS$86:$AZ$86)="(BLANK)")+(UPPER($AS$86:$AZ$86)="EMPTY")+(UPPER($AS$86:$AZ$86)="(EMPTY)"))&gt;0,IFERROR(('Final Calculation Sheet'!$Z$11)&amp;"","")="",ISNUMBER(SEARCH($AS$86:$AZ$86,IFERROR(('Final Calculation Sheet'!$Z$11)&amp;"","")))))&gt;0),IF(COUNTIF($BI$86:$BP$86,3)=0,TRUE,SUMPRODUCT(($BI$86:$BP$86=3)*($AS$86:$AZ$86&lt;&gt;"")*IF(((UPPER($AS$86:$AZ$86)="BLANK")+(UPPER($AS$86:$AZ$86)="(BLANK)")+(UPPER($AS$86:$AZ$86)="EMPTY")+(UPPER($AS$86:$AZ$86)="(EMPTY)"))&gt;0,IFERROR(('Final Calculation Sheet'!$Z$11)&amp;"","")="",ISNUMBER(SEARCH($AS$86:$AZ$86,IFERROR(('Final Calculation Sheet'!$Z$11)&amp;"","")))))&gt;0),IF(COUNTIF($BI$86:$BP$86,4)=0,TRUE,SUMPRODUCT(($BI$86:$BP$86=4)*($AS$86:$AZ$86&lt;&gt;"")*IF(((UPPER($AS$86:$AZ$86)="BLANK")+(UPPER($AS$86:$AZ$86)="(BLANK)")+(UPPER($AS$86:$AZ$86)="EMPTY")+(UPPER($AS$86:$AZ$86)="(EMPTY)"))&gt;0,IFERROR(('Final Calculation Sheet'!$Z$11)&amp;"","")="",ISNUMBER(SEARCH($AS$86:$AZ$86,IFERROR(('Final Calculation Sheet'!$Z$11)&amp;"","")))))&gt;0),IF(COUNTIF($BI$86:$BP$86,5)=0,TRUE,SUMPRODUCT(($BI$86:$BP$86=5)*($AS$86:$AZ$86&lt;&gt;"")*IF(((UPPER($AS$86:$AZ$86)="BLANK")+(UPPER($AS$86:$AZ$86)="(BLANK)")+(UPPER($AS$86:$AZ$86)="EMPTY")+(UPPER($AS$86:$AZ$86)="(EMPTY)"))&gt;0,IFERROR(('Final Calculation Sheet'!$Z$11)&amp;"","")="",ISNUMBER(SEARCH($AS$86:$AZ$86,IFERROR(('Final Calculation Sheet'!$Z$11)&amp;"","")))))&gt;0),IF(COUNTIF($BI$86:$BP$86,6)=0,TRUE,SUMPRODUCT(($BI$86:$BP$86=6)*($AS$86:$AZ$86&lt;&gt;"")*IF(((UPPER($AS$86:$AZ$86)="BLANK")+(UPPER($AS$86:$AZ$86)="(BLANK)")+(UPPER($AS$86:$AZ$86)="EMPTY")+(UPPER($AS$86:$AZ$86)="(EMPTY)"))&gt;0,IFERROR(('Final Calculation Sheet'!$Z$11)&amp;"","")="",ISNUMBER(SEARCH($AS$86:$AZ$86,IFERROR(('Final Calculation Sheet'!$Z$11)&amp;"","")))))&gt;0),IF(COUNTIF($BI$86:$BP$86,7)=0,TRUE,SUMPRODUCT(($BI$86:$BP$86=7)*($AS$86:$AZ$86&lt;&gt;"")*IF(((UPPER($AS$86:$AZ$86)="BLANK")+(UPPER($AS$86:$AZ$86)="(BLANK)")+(UPPER($AS$86:$AZ$86)="EMPTY")+(UPPER($AS$86:$AZ$86)="(EMPTY)"))&gt;0,IFERROR(('Final Calculation Sheet'!$Z$11)&amp;"","")="",ISNUMBER(SEARCH($AS$86:$AZ$86,IFERROR(('Final Calculation Sheet'!$Z$11)&amp;"","")))))&gt;0),IF(COUNTIF($BI$86:$BP$86,8)=0,TRUE,SUMPRODUCT(($BI$86:$BP$86=8)*($AS$86:$AZ$86&lt;&gt;"")*IF(((UPPER($AS$86:$AZ$86)="BLANK")+(UPPER($AS$86:$AZ$86)="(BLANK)")+(UPPER($AS$86:$AZ$86)="EMPTY")+(UPPER($AS$86:$AZ$86)="(EMPTY)"))&gt;0,IFERROR(('Final Calculation Sheet'!$Z$11)&amp;"","")="",ISNUMBER(SEARCH($AS$86:$AZ$86,IFERROR(('Final Calculation Sheet'!$Z$11)&amp;"","")))))&gt;0))))</f>
        <v>1</v>
      </c>
      <c r="CN12">
        <f>IF($AB$4="",1,--(AND(SUMPRODUCT(--($AS$87:$AZ$87&lt;&gt;""))&gt;0,IF(COUNTIF($BI$87:$BP$87,1)=0,TRUE,SUMPRODUCT(($BI$87:$BP$87=1)*($AS$87:$AZ$87&lt;&gt;"")*IF(((UPPER($AS$87:$AZ$87)="BLANK")+(UPPER($AS$87:$AZ$87)="(BLANK)")+(UPPER($AS$87:$AZ$87)="EMPTY")+(UPPER($AS$87:$AZ$87)="(EMPTY)"))&gt;0,IFERROR(('Final Calculation Sheet'!$AA$11)&amp;"","")="",ISNUMBER(SEARCH($AS$87:$AZ$87,IFERROR(('Final Calculation Sheet'!$AA$11)&amp;"","")))))&gt;0),IF(COUNTIF($BI$87:$BP$87,2)=0,TRUE,SUMPRODUCT(($BI$87:$BP$87=2)*($AS$87:$AZ$87&lt;&gt;"")*IF(((UPPER($AS$87:$AZ$87)="BLANK")+(UPPER($AS$87:$AZ$87)="(BLANK)")+(UPPER($AS$87:$AZ$87)="EMPTY")+(UPPER($AS$87:$AZ$87)="(EMPTY)"))&gt;0,IFERROR(('Final Calculation Sheet'!$AA$11)&amp;"","")="",ISNUMBER(SEARCH($AS$87:$AZ$87,IFERROR(('Final Calculation Sheet'!$AA$11)&amp;"","")))))&gt;0),IF(COUNTIF($BI$87:$BP$87,3)=0,TRUE,SUMPRODUCT(($BI$87:$BP$87=3)*($AS$87:$AZ$87&lt;&gt;"")*IF(((UPPER($AS$87:$AZ$87)="BLANK")+(UPPER($AS$87:$AZ$87)="(BLANK)")+(UPPER($AS$87:$AZ$87)="EMPTY")+(UPPER($AS$87:$AZ$87)="(EMPTY)"))&gt;0,IFERROR(('Final Calculation Sheet'!$AA$11)&amp;"","")="",ISNUMBER(SEARCH($AS$87:$AZ$87,IFERROR(('Final Calculation Sheet'!$AA$11)&amp;"","")))))&gt;0),IF(COUNTIF($BI$87:$BP$87,4)=0,TRUE,SUMPRODUCT(($BI$87:$BP$87=4)*($AS$87:$AZ$87&lt;&gt;"")*IF(((UPPER($AS$87:$AZ$87)="BLANK")+(UPPER($AS$87:$AZ$87)="(BLANK)")+(UPPER($AS$87:$AZ$87)="EMPTY")+(UPPER($AS$87:$AZ$87)="(EMPTY)"))&gt;0,IFERROR(('Final Calculation Sheet'!$AA$11)&amp;"","")="",ISNUMBER(SEARCH($AS$87:$AZ$87,IFERROR(('Final Calculation Sheet'!$AA$11)&amp;"","")))))&gt;0),IF(COUNTIF($BI$87:$BP$87,5)=0,TRUE,SUMPRODUCT(($BI$87:$BP$87=5)*($AS$87:$AZ$87&lt;&gt;"")*IF(((UPPER($AS$87:$AZ$87)="BLANK")+(UPPER($AS$87:$AZ$87)="(BLANK)")+(UPPER($AS$87:$AZ$87)="EMPTY")+(UPPER($AS$87:$AZ$87)="(EMPTY)"))&gt;0,IFERROR(('Final Calculation Sheet'!$AA$11)&amp;"","")="",ISNUMBER(SEARCH($AS$87:$AZ$87,IFERROR(('Final Calculation Sheet'!$AA$11)&amp;"","")))))&gt;0),IF(COUNTIF($BI$87:$BP$87,6)=0,TRUE,SUMPRODUCT(($BI$87:$BP$87=6)*($AS$87:$AZ$87&lt;&gt;"")*IF(((UPPER($AS$87:$AZ$87)="BLANK")+(UPPER($AS$87:$AZ$87)="(BLANK)")+(UPPER($AS$87:$AZ$87)="EMPTY")+(UPPER($AS$87:$AZ$87)="(EMPTY)"))&gt;0,IFERROR(('Final Calculation Sheet'!$AA$11)&amp;"","")="",ISNUMBER(SEARCH($AS$87:$AZ$87,IFERROR(('Final Calculation Sheet'!$AA$11)&amp;"","")))))&gt;0),IF(COUNTIF($BI$87:$BP$87,7)=0,TRUE,SUMPRODUCT(($BI$87:$BP$87=7)*($AS$87:$AZ$87&lt;&gt;"")*IF(((UPPER($AS$87:$AZ$87)="BLANK")+(UPPER($AS$87:$AZ$87)="(BLANK)")+(UPPER($AS$87:$AZ$87)="EMPTY")+(UPPER($AS$87:$AZ$87)="(EMPTY)"))&gt;0,IFERROR(('Final Calculation Sheet'!$AA$11)&amp;"","")="",ISNUMBER(SEARCH($AS$87:$AZ$87,IFERROR(('Final Calculation Sheet'!$AA$11)&amp;"","")))))&gt;0),IF(COUNTIF($BI$87:$BP$87,8)=0,TRUE,SUMPRODUCT(($BI$87:$BP$87=8)*($AS$87:$AZ$87&lt;&gt;"")*IF(((UPPER($AS$87:$AZ$87)="BLANK")+(UPPER($AS$87:$AZ$87)="(BLANK)")+(UPPER($AS$87:$AZ$87)="EMPTY")+(UPPER($AS$87:$AZ$87)="(EMPTY)"))&gt;0,IFERROR(('Final Calculation Sheet'!$AA$11)&amp;"","")="",ISNUMBER(SEARCH($AS$87:$AZ$87,IFERROR(('Final Calculation Sheet'!$AA$11)&amp;"","")))))&gt;0))))</f>
        <v>1</v>
      </c>
      <c r="CO12">
        <f>IF($AC$4="",1,--(AND(SUMPRODUCT(--($AS$88:$AZ$88&lt;&gt;""))&gt;0,IF(COUNTIF($BI$88:$BP$88,1)=0,TRUE,SUMPRODUCT(($BI$88:$BP$88=1)*($AS$88:$AZ$88&lt;&gt;"")*IF(((UPPER($AS$88:$AZ$88)="BLANK")+(UPPER($AS$88:$AZ$88)="(BLANK)")+(UPPER($AS$88:$AZ$88)="EMPTY")+(UPPER($AS$88:$AZ$88)="(EMPTY)"))&gt;0,IFERROR(('Final Calculation Sheet'!$AB$11)&amp;"","")="",ISNUMBER(SEARCH($AS$88:$AZ$88,IFERROR(('Final Calculation Sheet'!$AB$11)&amp;"","")))))&gt;0),IF(COUNTIF($BI$88:$BP$88,2)=0,TRUE,SUMPRODUCT(($BI$88:$BP$88=2)*($AS$88:$AZ$88&lt;&gt;"")*IF(((UPPER($AS$88:$AZ$88)="BLANK")+(UPPER($AS$88:$AZ$88)="(BLANK)")+(UPPER($AS$88:$AZ$88)="EMPTY")+(UPPER($AS$88:$AZ$88)="(EMPTY)"))&gt;0,IFERROR(('Final Calculation Sheet'!$AB$11)&amp;"","")="",ISNUMBER(SEARCH($AS$88:$AZ$88,IFERROR(('Final Calculation Sheet'!$AB$11)&amp;"","")))))&gt;0),IF(COUNTIF($BI$88:$BP$88,3)=0,TRUE,SUMPRODUCT(($BI$88:$BP$88=3)*($AS$88:$AZ$88&lt;&gt;"")*IF(((UPPER($AS$88:$AZ$88)="BLANK")+(UPPER($AS$88:$AZ$88)="(BLANK)")+(UPPER($AS$88:$AZ$88)="EMPTY")+(UPPER($AS$88:$AZ$88)="(EMPTY)"))&gt;0,IFERROR(('Final Calculation Sheet'!$AB$11)&amp;"","")="",ISNUMBER(SEARCH($AS$88:$AZ$88,IFERROR(('Final Calculation Sheet'!$AB$11)&amp;"","")))))&gt;0),IF(COUNTIF($BI$88:$BP$88,4)=0,TRUE,SUMPRODUCT(($BI$88:$BP$88=4)*($AS$88:$AZ$88&lt;&gt;"")*IF(((UPPER($AS$88:$AZ$88)="BLANK")+(UPPER($AS$88:$AZ$88)="(BLANK)")+(UPPER($AS$88:$AZ$88)="EMPTY")+(UPPER($AS$88:$AZ$88)="(EMPTY)"))&gt;0,IFERROR(('Final Calculation Sheet'!$AB$11)&amp;"","")="",ISNUMBER(SEARCH($AS$88:$AZ$88,IFERROR(('Final Calculation Sheet'!$AB$11)&amp;"","")))))&gt;0),IF(COUNTIF($BI$88:$BP$88,5)=0,TRUE,SUMPRODUCT(($BI$88:$BP$88=5)*($AS$88:$AZ$88&lt;&gt;"")*IF(((UPPER($AS$88:$AZ$88)="BLANK")+(UPPER($AS$88:$AZ$88)="(BLANK)")+(UPPER($AS$88:$AZ$88)="EMPTY")+(UPPER($AS$88:$AZ$88)="(EMPTY)"))&gt;0,IFERROR(('Final Calculation Sheet'!$AB$11)&amp;"","")="",ISNUMBER(SEARCH($AS$88:$AZ$88,IFERROR(('Final Calculation Sheet'!$AB$11)&amp;"","")))))&gt;0),IF(COUNTIF($BI$88:$BP$88,6)=0,TRUE,SUMPRODUCT(($BI$88:$BP$88=6)*($AS$88:$AZ$88&lt;&gt;"")*IF(((UPPER($AS$88:$AZ$88)="BLANK")+(UPPER($AS$88:$AZ$88)="(BLANK)")+(UPPER($AS$88:$AZ$88)="EMPTY")+(UPPER($AS$88:$AZ$88)="(EMPTY)"))&gt;0,IFERROR(('Final Calculation Sheet'!$AB$11)&amp;"","")="",ISNUMBER(SEARCH($AS$88:$AZ$88,IFERROR(('Final Calculation Sheet'!$AB$11)&amp;"","")))))&gt;0),IF(COUNTIF($BI$88:$BP$88,7)=0,TRUE,SUMPRODUCT(($BI$88:$BP$88=7)*($AS$88:$AZ$88&lt;&gt;"")*IF(((UPPER($AS$88:$AZ$88)="BLANK")+(UPPER($AS$88:$AZ$88)="(BLANK)")+(UPPER($AS$88:$AZ$88)="EMPTY")+(UPPER($AS$88:$AZ$88)="(EMPTY)"))&gt;0,IFERROR(('Final Calculation Sheet'!$AB$11)&amp;"","")="",ISNUMBER(SEARCH($AS$88:$AZ$88,IFERROR(('Final Calculation Sheet'!$AB$11)&amp;"","")))))&gt;0),IF(COUNTIF($BI$88:$BP$88,8)=0,TRUE,SUMPRODUCT(($BI$88:$BP$88=8)*($AS$88:$AZ$88&lt;&gt;"")*IF(((UPPER($AS$88:$AZ$88)="BLANK")+(UPPER($AS$88:$AZ$88)="(BLANK)")+(UPPER($AS$88:$AZ$88)="EMPTY")+(UPPER($AS$88:$AZ$88)="(EMPTY)"))&gt;0,IFERROR(('Final Calculation Sheet'!$AB$11)&amp;"","")="",ISNUMBER(SEARCH($AS$88:$AZ$88,IFERROR(('Final Calculation Sheet'!$AB$11)&amp;"","")))))&gt;0))))</f>
        <v>1</v>
      </c>
      <c r="CP12">
        <f>IF($AD$4="",1,--(AND(SUMPRODUCT(--($AS$89:$AZ$89&lt;&gt;""))&gt;0,IF(COUNTIF($BI$89:$BP$89,1)=0,TRUE,SUMPRODUCT(($BI$89:$BP$89=1)*($AS$89:$AZ$89&lt;&gt;"")*IF(((UPPER($AS$89:$AZ$89)="BLANK")+(UPPER($AS$89:$AZ$89)="(BLANK)")+(UPPER($AS$89:$AZ$89)="EMPTY")+(UPPER($AS$89:$AZ$89)="(EMPTY)"))&gt;0,IFERROR(('Final Calculation Sheet'!$AC$11)&amp;"","")="",ISNUMBER(SEARCH($AS$89:$AZ$89,IFERROR(('Final Calculation Sheet'!$AC$11)&amp;"","")))))&gt;0),IF(COUNTIF($BI$89:$BP$89,2)=0,TRUE,SUMPRODUCT(($BI$89:$BP$89=2)*($AS$89:$AZ$89&lt;&gt;"")*IF(((UPPER($AS$89:$AZ$89)="BLANK")+(UPPER($AS$89:$AZ$89)="(BLANK)")+(UPPER($AS$89:$AZ$89)="EMPTY")+(UPPER($AS$89:$AZ$89)="(EMPTY)"))&gt;0,IFERROR(('Final Calculation Sheet'!$AC$11)&amp;"","")="",ISNUMBER(SEARCH($AS$89:$AZ$89,IFERROR(('Final Calculation Sheet'!$AC$11)&amp;"","")))))&gt;0),IF(COUNTIF($BI$89:$BP$89,3)=0,TRUE,SUMPRODUCT(($BI$89:$BP$89=3)*($AS$89:$AZ$89&lt;&gt;"")*IF(((UPPER($AS$89:$AZ$89)="BLANK")+(UPPER($AS$89:$AZ$89)="(BLANK)")+(UPPER($AS$89:$AZ$89)="EMPTY")+(UPPER($AS$89:$AZ$89)="(EMPTY)"))&gt;0,IFERROR(('Final Calculation Sheet'!$AC$11)&amp;"","")="",ISNUMBER(SEARCH($AS$89:$AZ$89,IFERROR(('Final Calculation Sheet'!$AC$11)&amp;"","")))))&gt;0),IF(COUNTIF($BI$89:$BP$89,4)=0,TRUE,SUMPRODUCT(($BI$89:$BP$89=4)*($AS$89:$AZ$89&lt;&gt;"")*IF(((UPPER($AS$89:$AZ$89)="BLANK")+(UPPER($AS$89:$AZ$89)="(BLANK)")+(UPPER($AS$89:$AZ$89)="EMPTY")+(UPPER($AS$89:$AZ$89)="(EMPTY)"))&gt;0,IFERROR(('Final Calculation Sheet'!$AC$11)&amp;"","")="",ISNUMBER(SEARCH($AS$89:$AZ$89,IFERROR(('Final Calculation Sheet'!$AC$11)&amp;"","")))))&gt;0),IF(COUNTIF($BI$89:$BP$89,5)=0,TRUE,SUMPRODUCT(($BI$89:$BP$89=5)*($AS$89:$AZ$89&lt;&gt;"")*IF(((UPPER($AS$89:$AZ$89)="BLANK")+(UPPER($AS$89:$AZ$89)="(BLANK)")+(UPPER($AS$89:$AZ$89)="EMPTY")+(UPPER($AS$89:$AZ$89)="(EMPTY)"))&gt;0,IFERROR(('Final Calculation Sheet'!$AC$11)&amp;"","")="",ISNUMBER(SEARCH($AS$89:$AZ$89,IFERROR(('Final Calculation Sheet'!$AC$11)&amp;"","")))))&gt;0),IF(COUNTIF($BI$89:$BP$89,6)=0,TRUE,SUMPRODUCT(($BI$89:$BP$89=6)*($AS$89:$AZ$89&lt;&gt;"")*IF(((UPPER($AS$89:$AZ$89)="BLANK")+(UPPER($AS$89:$AZ$89)="(BLANK)")+(UPPER($AS$89:$AZ$89)="EMPTY")+(UPPER($AS$89:$AZ$89)="(EMPTY)"))&gt;0,IFERROR(('Final Calculation Sheet'!$AC$11)&amp;"","")="",ISNUMBER(SEARCH($AS$89:$AZ$89,IFERROR(('Final Calculation Sheet'!$AC$11)&amp;"","")))))&gt;0),IF(COUNTIF($BI$89:$BP$89,7)=0,TRUE,SUMPRODUCT(($BI$89:$BP$89=7)*($AS$89:$AZ$89&lt;&gt;"")*IF(((UPPER($AS$89:$AZ$89)="BLANK")+(UPPER($AS$89:$AZ$89)="(BLANK)")+(UPPER($AS$89:$AZ$89)="EMPTY")+(UPPER($AS$89:$AZ$89)="(EMPTY)"))&gt;0,IFERROR(('Final Calculation Sheet'!$AC$11)&amp;"","")="",ISNUMBER(SEARCH($AS$89:$AZ$89,IFERROR(('Final Calculation Sheet'!$AC$11)&amp;"","")))))&gt;0),IF(COUNTIF($BI$89:$BP$89,8)=0,TRUE,SUMPRODUCT(($BI$89:$BP$89=8)*($AS$89:$AZ$89&lt;&gt;"")*IF(((UPPER($AS$89:$AZ$89)="BLANK")+(UPPER($AS$89:$AZ$89)="(BLANK)")+(UPPER($AS$89:$AZ$89)="EMPTY")+(UPPER($AS$89:$AZ$89)="(EMPTY)"))&gt;0,IFERROR(('Final Calculation Sheet'!$AC$11)&amp;"","")="",ISNUMBER(SEARCH($AS$89:$AZ$89,IFERROR(('Final Calculation Sheet'!$AC$11)&amp;"","")))))&gt;0))))</f>
        <v>1</v>
      </c>
      <c r="CQ12">
        <f>IF($AE$4="",1,--(AND(SUMPRODUCT(--($AS$90:$AZ$90&lt;&gt;""))&gt;0,IF(COUNTIF($BI$90:$BP$90,1)=0,TRUE,SUMPRODUCT(($BI$90:$BP$90=1)*($AS$90:$AZ$90&lt;&gt;"")*IF(((UPPER($AS$90:$AZ$90)="BLANK")+(UPPER($AS$90:$AZ$90)="(BLANK)")+(UPPER($AS$90:$AZ$90)="EMPTY")+(UPPER($AS$90:$AZ$90)="(EMPTY)"))&gt;0,IFERROR(('Final Calculation Sheet'!$AD$11)&amp;"","")="",ISNUMBER(SEARCH($AS$90:$AZ$90,IFERROR(('Final Calculation Sheet'!$AD$11)&amp;"","")))))&gt;0),IF(COUNTIF($BI$90:$BP$90,2)=0,TRUE,SUMPRODUCT(($BI$90:$BP$90=2)*($AS$90:$AZ$90&lt;&gt;"")*IF(((UPPER($AS$90:$AZ$90)="BLANK")+(UPPER($AS$90:$AZ$90)="(BLANK)")+(UPPER($AS$90:$AZ$90)="EMPTY")+(UPPER($AS$90:$AZ$90)="(EMPTY)"))&gt;0,IFERROR(('Final Calculation Sheet'!$AD$11)&amp;"","")="",ISNUMBER(SEARCH($AS$90:$AZ$90,IFERROR(('Final Calculation Sheet'!$AD$11)&amp;"","")))))&gt;0),IF(COUNTIF($BI$90:$BP$90,3)=0,TRUE,SUMPRODUCT(($BI$90:$BP$90=3)*($AS$90:$AZ$90&lt;&gt;"")*IF(((UPPER($AS$90:$AZ$90)="BLANK")+(UPPER($AS$90:$AZ$90)="(BLANK)")+(UPPER($AS$90:$AZ$90)="EMPTY")+(UPPER($AS$90:$AZ$90)="(EMPTY)"))&gt;0,IFERROR(('Final Calculation Sheet'!$AD$11)&amp;"","")="",ISNUMBER(SEARCH($AS$90:$AZ$90,IFERROR(('Final Calculation Sheet'!$AD$11)&amp;"","")))))&gt;0),IF(COUNTIF($BI$90:$BP$90,4)=0,TRUE,SUMPRODUCT(($BI$90:$BP$90=4)*($AS$90:$AZ$90&lt;&gt;"")*IF(((UPPER($AS$90:$AZ$90)="BLANK")+(UPPER($AS$90:$AZ$90)="(BLANK)")+(UPPER($AS$90:$AZ$90)="EMPTY")+(UPPER($AS$90:$AZ$90)="(EMPTY)"))&gt;0,IFERROR(('Final Calculation Sheet'!$AD$11)&amp;"","")="",ISNUMBER(SEARCH($AS$90:$AZ$90,IFERROR(('Final Calculation Sheet'!$AD$11)&amp;"","")))))&gt;0),IF(COUNTIF($BI$90:$BP$90,5)=0,TRUE,SUMPRODUCT(($BI$90:$BP$90=5)*($AS$90:$AZ$90&lt;&gt;"")*IF(((UPPER($AS$90:$AZ$90)="BLANK")+(UPPER($AS$90:$AZ$90)="(BLANK)")+(UPPER($AS$90:$AZ$90)="EMPTY")+(UPPER($AS$90:$AZ$90)="(EMPTY)"))&gt;0,IFERROR(('Final Calculation Sheet'!$AD$11)&amp;"","")="",ISNUMBER(SEARCH($AS$90:$AZ$90,IFERROR(('Final Calculation Sheet'!$AD$11)&amp;"","")))))&gt;0),IF(COUNTIF($BI$90:$BP$90,6)=0,TRUE,SUMPRODUCT(($BI$90:$BP$90=6)*($AS$90:$AZ$90&lt;&gt;"")*IF(((UPPER($AS$90:$AZ$90)="BLANK")+(UPPER($AS$90:$AZ$90)="(BLANK)")+(UPPER($AS$90:$AZ$90)="EMPTY")+(UPPER($AS$90:$AZ$90)="(EMPTY)"))&gt;0,IFERROR(('Final Calculation Sheet'!$AD$11)&amp;"","")="",ISNUMBER(SEARCH($AS$90:$AZ$90,IFERROR(('Final Calculation Sheet'!$AD$11)&amp;"","")))))&gt;0),IF(COUNTIF($BI$90:$BP$90,7)=0,TRUE,SUMPRODUCT(($BI$90:$BP$90=7)*($AS$90:$AZ$90&lt;&gt;"")*IF(((UPPER($AS$90:$AZ$90)="BLANK")+(UPPER($AS$90:$AZ$90)="(BLANK)")+(UPPER($AS$90:$AZ$90)="EMPTY")+(UPPER($AS$90:$AZ$90)="(EMPTY)"))&gt;0,IFERROR(('Final Calculation Sheet'!$AD$11)&amp;"","")="",ISNUMBER(SEARCH($AS$90:$AZ$90,IFERROR(('Final Calculation Sheet'!$AD$11)&amp;"","")))))&gt;0),IF(COUNTIF($BI$90:$BP$90,8)=0,TRUE,SUMPRODUCT(($BI$90:$BP$90=8)*($AS$90:$AZ$90&lt;&gt;"")*IF(((UPPER($AS$90:$AZ$90)="BLANK")+(UPPER($AS$90:$AZ$90)="(BLANK)")+(UPPER($AS$90:$AZ$90)="EMPTY")+(UPPER($AS$90:$AZ$90)="(EMPTY)"))&gt;0,IFERROR(('Final Calculation Sheet'!$AD$11)&amp;"","")="",ISNUMBER(SEARCH($AS$90:$AZ$90,IFERROR(('Final Calculation Sheet'!$AD$11)&amp;"","")))))&gt;0))))</f>
        <v>1</v>
      </c>
      <c r="CR12">
        <f>IF($AF$4="",1,--(AND(SUMPRODUCT(--($AS$91:$AZ$91&lt;&gt;""))&gt;0,IF(COUNTIF($BI$91:$BP$91,1)=0,TRUE,SUMPRODUCT(($BI$91:$BP$91=1)*($AS$91:$AZ$91&lt;&gt;"")*IF(((UPPER($AS$91:$AZ$91)="BLANK")+(UPPER($AS$91:$AZ$91)="(BLANK)")+(UPPER($AS$91:$AZ$91)="EMPTY")+(UPPER($AS$91:$AZ$91)="(EMPTY)"))&gt;0,IFERROR(('Final Calculation Sheet'!$AE$11)&amp;"","")="",ISNUMBER(SEARCH($AS$91:$AZ$91,IFERROR(('Final Calculation Sheet'!$AE$11)&amp;"","")))))&gt;0),IF(COUNTIF($BI$91:$BP$91,2)=0,TRUE,SUMPRODUCT(($BI$91:$BP$91=2)*($AS$91:$AZ$91&lt;&gt;"")*IF(((UPPER($AS$91:$AZ$91)="BLANK")+(UPPER($AS$91:$AZ$91)="(BLANK)")+(UPPER($AS$91:$AZ$91)="EMPTY")+(UPPER($AS$91:$AZ$91)="(EMPTY)"))&gt;0,IFERROR(('Final Calculation Sheet'!$AE$11)&amp;"","")="",ISNUMBER(SEARCH($AS$91:$AZ$91,IFERROR(('Final Calculation Sheet'!$AE$11)&amp;"","")))))&gt;0),IF(COUNTIF($BI$91:$BP$91,3)=0,TRUE,SUMPRODUCT(($BI$91:$BP$91=3)*($AS$91:$AZ$91&lt;&gt;"")*IF(((UPPER($AS$91:$AZ$91)="BLANK")+(UPPER($AS$91:$AZ$91)="(BLANK)")+(UPPER($AS$91:$AZ$91)="EMPTY")+(UPPER($AS$91:$AZ$91)="(EMPTY)"))&gt;0,IFERROR(('Final Calculation Sheet'!$AE$11)&amp;"","")="",ISNUMBER(SEARCH($AS$91:$AZ$91,IFERROR(('Final Calculation Sheet'!$AE$11)&amp;"","")))))&gt;0),IF(COUNTIF($BI$91:$BP$91,4)=0,TRUE,SUMPRODUCT(($BI$91:$BP$91=4)*($AS$91:$AZ$91&lt;&gt;"")*IF(((UPPER($AS$91:$AZ$91)="BLANK")+(UPPER($AS$91:$AZ$91)="(BLANK)")+(UPPER($AS$91:$AZ$91)="EMPTY")+(UPPER($AS$91:$AZ$91)="(EMPTY)"))&gt;0,IFERROR(('Final Calculation Sheet'!$AE$11)&amp;"","")="",ISNUMBER(SEARCH($AS$91:$AZ$91,IFERROR(('Final Calculation Sheet'!$AE$11)&amp;"","")))))&gt;0),IF(COUNTIF($BI$91:$BP$91,5)=0,TRUE,SUMPRODUCT(($BI$91:$BP$91=5)*($AS$91:$AZ$91&lt;&gt;"")*IF(((UPPER($AS$91:$AZ$91)="BLANK")+(UPPER($AS$91:$AZ$91)="(BLANK)")+(UPPER($AS$91:$AZ$91)="EMPTY")+(UPPER($AS$91:$AZ$91)="(EMPTY)"))&gt;0,IFERROR(('Final Calculation Sheet'!$AE$11)&amp;"","")="",ISNUMBER(SEARCH($AS$91:$AZ$91,IFERROR(('Final Calculation Sheet'!$AE$11)&amp;"","")))))&gt;0),IF(COUNTIF($BI$91:$BP$91,6)=0,TRUE,SUMPRODUCT(($BI$91:$BP$91=6)*($AS$91:$AZ$91&lt;&gt;"")*IF(((UPPER($AS$91:$AZ$91)="BLANK")+(UPPER($AS$91:$AZ$91)="(BLANK)")+(UPPER($AS$91:$AZ$91)="EMPTY")+(UPPER($AS$91:$AZ$91)="(EMPTY)"))&gt;0,IFERROR(('Final Calculation Sheet'!$AE$11)&amp;"","")="",ISNUMBER(SEARCH($AS$91:$AZ$91,IFERROR(('Final Calculation Sheet'!$AE$11)&amp;"","")))))&gt;0),IF(COUNTIF($BI$91:$BP$91,7)=0,TRUE,SUMPRODUCT(($BI$91:$BP$91=7)*($AS$91:$AZ$91&lt;&gt;"")*IF(((UPPER($AS$91:$AZ$91)="BLANK")+(UPPER($AS$91:$AZ$91)="(BLANK)")+(UPPER($AS$91:$AZ$91)="EMPTY")+(UPPER($AS$91:$AZ$91)="(EMPTY)"))&gt;0,IFERROR(('Final Calculation Sheet'!$AE$11)&amp;"","")="",ISNUMBER(SEARCH($AS$91:$AZ$91,IFERROR(('Final Calculation Sheet'!$AE$11)&amp;"","")))))&gt;0),IF(COUNTIF($BI$91:$BP$91,8)=0,TRUE,SUMPRODUCT(($BI$91:$BP$91=8)*($AS$91:$AZ$91&lt;&gt;"")*IF(((UPPER($AS$91:$AZ$91)="BLANK")+(UPPER($AS$91:$AZ$91)="(BLANK)")+(UPPER($AS$91:$AZ$91)="EMPTY")+(UPPER($AS$91:$AZ$91)="(EMPTY)"))&gt;0,IFERROR(('Final Calculation Sheet'!$AE$11)&amp;"","")="",ISNUMBER(SEARCH($AS$91:$AZ$91,IFERROR(('Final Calculation Sheet'!$AE$11)&amp;"","")))))&gt;0))))</f>
        <v>1</v>
      </c>
      <c r="CS12">
        <f>IF($AG$4="",1,--(AND(SUMPRODUCT(--($AS$92:$AZ$92&lt;&gt;""))&gt;0,IF(COUNTIF($BI$92:$BP$92,1)=0,TRUE,SUMPRODUCT(($BI$92:$BP$92=1)*($AS$92:$AZ$92&lt;&gt;"")*IF(((UPPER($AS$92:$AZ$92)="BLANK")+(UPPER($AS$92:$AZ$92)="(BLANK)")+(UPPER($AS$92:$AZ$92)="EMPTY")+(UPPER($AS$92:$AZ$92)="(EMPTY)"))&gt;0,IFERROR(('Final Calculation Sheet'!$AF$11)&amp;"","")="",ISNUMBER(SEARCH($AS$92:$AZ$92,IFERROR(('Final Calculation Sheet'!$AF$11)&amp;"","")))))&gt;0),IF(COUNTIF($BI$92:$BP$92,2)=0,TRUE,SUMPRODUCT(($BI$92:$BP$92=2)*($AS$92:$AZ$92&lt;&gt;"")*IF(((UPPER($AS$92:$AZ$92)="BLANK")+(UPPER($AS$92:$AZ$92)="(BLANK)")+(UPPER($AS$92:$AZ$92)="EMPTY")+(UPPER($AS$92:$AZ$92)="(EMPTY)"))&gt;0,IFERROR(('Final Calculation Sheet'!$AF$11)&amp;"","")="",ISNUMBER(SEARCH($AS$92:$AZ$92,IFERROR(('Final Calculation Sheet'!$AF$11)&amp;"","")))))&gt;0),IF(COUNTIF($BI$92:$BP$92,3)=0,TRUE,SUMPRODUCT(($BI$92:$BP$92=3)*($AS$92:$AZ$92&lt;&gt;"")*IF(((UPPER($AS$92:$AZ$92)="BLANK")+(UPPER($AS$92:$AZ$92)="(BLANK)")+(UPPER($AS$92:$AZ$92)="EMPTY")+(UPPER($AS$92:$AZ$92)="(EMPTY)"))&gt;0,IFERROR(('Final Calculation Sheet'!$AF$11)&amp;"","")="",ISNUMBER(SEARCH($AS$92:$AZ$92,IFERROR(('Final Calculation Sheet'!$AF$11)&amp;"","")))))&gt;0),IF(COUNTIF($BI$92:$BP$92,4)=0,TRUE,SUMPRODUCT(($BI$92:$BP$92=4)*($AS$92:$AZ$92&lt;&gt;"")*IF(((UPPER($AS$92:$AZ$92)="BLANK")+(UPPER($AS$92:$AZ$92)="(BLANK)")+(UPPER($AS$92:$AZ$92)="EMPTY")+(UPPER($AS$92:$AZ$92)="(EMPTY)"))&gt;0,IFERROR(('Final Calculation Sheet'!$AF$11)&amp;"","")="",ISNUMBER(SEARCH($AS$92:$AZ$92,IFERROR(('Final Calculation Sheet'!$AF$11)&amp;"","")))))&gt;0),IF(COUNTIF($BI$92:$BP$92,5)=0,TRUE,SUMPRODUCT(($BI$92:$BP$92=5)*($AS$92:$AZ$92&lt;&gt;"")*IF(((UPPER($AS$92:$AZ$92)="BLANK")+(UPPER($AS$92:$AZ$92)="(BLANK)")+(UPPER($AS$92:$AZ$92)="EMPTY")+(UPPER($AS$92:$AZ$92)="(EMPTY)"))&gt;0,IFERROR(('Final Calculation Sheet'!$AF$11)&amp;"","")="",ISNUMBER(SEARCH($AS$92:$AZ$92,IFERROR(('Final Calculation Sheet'!$AF$11)&amp;"","")))))&gt;0),IF(COUNTIF($BI$92:$BP$92,6)=0,TRUE,SUMPRODUCT(($BI$92:$BP$92=6)*($AS$92:$AZ$92&lt;&gt;"")*IF(((UPPER($AS$92:$AZ$92)="BLANK")+(UPPER($AS$92:$AZ$92)="(BLANK)")+(UPPER($AS$92:$AZ$92)="EMPTY")+(UPPER($AS$92:$AZ$92)="(EMPTY)"))&gt;0,IFERROR(('Final Calculation Sheet'!$AF$11)&amp;"","")="",ISNUMBER(SEARCH($AS$92:$AZ$92,IFERROR(('Final Calculation Sheet'!$AF$11)&amp;"","")))))&gt;0),IF(COUNTIF($BI$92:$BP$92,7)=0,TRUE,SUMPRODUCT(($BI$92:$BP$92=7)*($AS$92:$AZ$92&lt;&gt;"")*IF(((UPPER($AS$92:$AZ$92)="BLANK")+(UPPER($AS$92:$AZ$92)="(BLANK)")+(UPPER($AS$92:$AZ$92)="EMPTY")+(UPPER($AS$92:$AZ$92)="(EMPTY)"))&gt;0,IFERROR(('Final Calculation Sheet'!$AF$11)&amp;"","")="",ISNUMBER(SEARCH($AS$92:$AZ$92,IFERROR(('Final Calculation Sheet'!$AF$11)&amp;"","")))))&gt;0),IF(COUNTIF($BI$92:$BP$92,8)=0,TRUE,SUMPRODUCT(($BI$92:$BP$92=8)*($AS$92:$AZ$92&lt;&gt;"")*IF(((UPPER($AS$92:$AZ$92)="BLANK")+(UPPER($AS$92:$AZ$92)="(BLANK)")+(UPPER($AS$92:$AZ$92)="EMPTY")+(UPPER($AS$92:$AZ$92)="(EMPTY)"))&gt;0,IFERROR(('Final Calculation Sheet'!$AF$11)&amp;"","")="",ISNUMBER(SEARCH($AS$92:$AZ$92,IFERROR(('Final Calculation Sheet'!$AF$11)&amp;"","")))))&gt;0))))</f>
        <v>1</v>
      </c>
      <c r="CT12">
        <f>IF($AH$4="",1,--(AND(SUMPRODUCT(--($AS$93:$AZ$93&lt;&gt;""))&gt;0,IF(COUNTIF($BI$93:$BP$93,1)=0,TRUE,SUMPRODUCT(($BI$93:$BP$93=1)*($AS$93:$AZ$93&lt;&gt;"")*IF(((UPPER($AS$93:$AZ$93)="BLANK")+(UPPER($AS$93:$AZ$93)="(BLANK)")+(UPPER($AS$93:$AZ$93)="EMPTY")+(UPPER($AS$93:$AZ$93)="(EMPTY)"))&gt;0,IFERROR(('Final Calculation Sheet'!$AG$11)&amp;"","")="",ISNUMBER(SEARCH($AS$93:$AZ$93,IFERROR(('Final Calculation Sheet'!$AG$11)&amp;"","")))))&gt;0),IF(COUNTIF($BI$93:$BP$93,2)=0,TRUE,SUMPRODUCT(($BI$93:$BP$93=2)*($AS$93:$AZ$93&lt;&gt;"")*IF(((UPPER($AS$93:$AZ$93)="BLANK")+(UPPER($AS$93:$AZ$93)="(BLANK)")+(UPPER($AS$93:$AZ$93)="EMPTY")+(UPPER($AS$93:$AZ$93)="(EMPTY)"))&gt;0,IFERROR(('Final Calculation Sheet'!$AG$11)&amp;"","")="",ISNUMBER(SEARCH($AS$93:$AZ$93,IFERROR(('Final Calculation Sheet'!$AG$11)&amp;"","")))))&gt;0),IF(COUNTIF($BI$93:$BP$93,3)=0,TRUE,SUMPRODUCT(($BI$93:$BP$93=3)*($AS$93:$AZ$93&lt;&gt;"")*IF(((UPPER($AS$93:$AZ$93)="BLANK")+(UPPER($AS$93:$AZ$93)="(BLANK)")+(UPPER($AS$93:$AZ$93)="EMPTY")+(UPPER($AS$93:$AZ$93)="(EMPTY)"))&gt;0,IFERROR(('Final Calculation Sheet'!$AG$11)&amp;"","")="",ISNUMBER(SEARCH($AS$93:$AZ$93,IFERROR(('Final Calculation Sheet'!$AG$11)&amp;"","")))))&gt;0),IF(COUNTIF($BI$93:$BP$93,4)=0,TRUE,SUMPRODUCT(($BI$93:$BP$93=4)*($AS$93:$AZ$93&lt;&gt;"")*IF(((UPPER($AS$93:$AZ$93)="BLANK")+(UPPER($AS$93:$AZ$93)="(BLANK)")+(UPPER($AS$93:$AZ$93)="EMPTY")+(UPPER($AS$93:$AZ$93)="(EMPTY)"))&gt;0,IFERROR(('Final Calculation Sheet'!$AG$11)&amp;"","")="",ISNUMBER(SEARCH($AS$93:$AZ$93,IFERROR(('Final Calculation Sheet'!$AG$11)&amp;"","")))))&gt;0),IF(COUNTIF($BI$93:$BP$93,5)=0,TRUE,SUMPRODUCT(($BI$93:$BP$93=5)*($AS$93:$AZ$93&lt;&gt;"")*IF(((UPPER($AS$93:$AZ$93)="BLANK")+(UPPER($AS$93:$AZ$93)="(BLANK)")+(UPPER($AS$93:$AZ$93)="EMPTY")+(UPPER($AS$93:$AZ$93)="(EMPTY)"))&gt;0,IFERROR(('Final Calculation Sheet'!$AG$11)&amp;"","")="",ISNUMBER(SEARCH($AS$93:$AZ$93,IFERROR(('Final Calculation Sheet'!$AG$11)&amp;"","")))))&gt;0),IF(COUNTIF($BI$93:$BP$93,6)=0,TRUE,SUMPRODUCT(($BI$93:$BP$93=6)*($AS$93:$AZ$93&lt;&gt;"")*IF(((UPPER($AS$93:$AZ$93)="BLANK")+(UPPER($AS$93:$AZ$93)="(BLANK)")+(UPPER($AS$93:$AZ$93)="EMPTY")+(UPPER($AS$93:$AZ$93)="(EMPTY)"))&gt;0,IFERROR(('Final Calculation Sheet'!$AG$11)&amp;"","")="",ISNUMBER(SEARCH($AS$93:$AZ$93,IFERROR(('Final Calculation Sheet'!$AG$11)&amp;"","")))))&gt;0),IF(COUNTIF($BI$93:$BP$93,7)=0,TRUE,SUMPRODUCT(($BI$93:$BP$93=7)*($AS$93:$AZ$93&lt;&gt;"")*IF(((UPPER($AS$93:$AZ$93)="BLANK")+(UPPER($AS$93:$AZ$93)="(BLANK)")+(UPPER($AS$93:$AZ$93)="EMPTY")+(UPPER($AS$93:$AZ$93)="(EMPTY)"))&gt;0,IFERROR(('Final Calculation Sheet'!$AG$11)&amp;"","")="",ISNUMBER(SEARCH($AS$93:$AZ$93,IFERROR(('Final Calculation Sheet'!$AG$11)&amp;"","")))))&gt;0),IF(COUNTIF($BI$93:$BP$93,8)=0,TRUE,SUMPRODUCT(($BI$93:$BP$93=8)*($AS$93:$AZ$93&lt;&gt;"")*IF(((UPPER($AS$93:$AZ$93)="BLANK")+(UPPER($AS$93:$AZ$93)="(BLANK)")+(UPPER($AS$93:$AZ$93)="EMPTY")+(UPPER($AS$93:$AZ$93)="(EMPTY)"))&gt;0,IFERROR(('Final Calculation Sheet'!$AG$11)&amp;"","")="",ISNUMBER(SEARCH($AS$93:$AZ$93,IFERROR(('Final Calculation Sheet'!$AG$11)&amp;"","")))))&gt;0))))</f>
        <v>1</v>
      </c>
      <c r="CU12">
        <f>IF($AI$4="",1,--(AND(SUMPRODUCT(--($AS$94:$AZ$94&lt;&gt;""))&gt;0,IF(COUNTIF($BI$94:$BP$94,1)=0,TRUE,SUMPRODUCT(($BI$94:$BP$94=1)*($AS$94:$AZ$94&lt;&gt;"")*IF(((UPPER($AS$94:$AZ$94)="BLANK")+(UPPER($AS$94:$AZ$94)="(BLANK)")+(UPPER($AS$94:$AZ$94)="EMPTY")+(UPPER($AS$94:$AZ$94)="(EMPTY)"))&gt;0,IFERROR((IF('Final Calculation Sheet'!$AD$11&lt;=0,"SETTLED","OUTSTANDING"))&amp;"","")="",ISNUMBER(SEARCH($AS$94:$AZ$94,IFERROR((IF('Final Calculation Sheet'!$AD$11&lt;=0,"SETTLED","OUTSTANDING"))&amp;"","")))))&gt;0),IF(COUNTIF($BI$94:$BP$94,2)=0,TRUE,SUMPRODUCT(($BI$94:$BP$94=2)*($AS$94:$AZ$94&lt;&gt;"")*IF(((UPPER($AS$94:$AZ$94)="BLANK")+(UPPER($AS$94:$AZ$94)="(BLANK)")+(UPPER($AS$94:$AZ$94)="EMPTY")+(UPPER($AS$94:$AZ$94)="(EMPTY)"))&gt;0,IFERROR((IF('Final Calculation Sheet'!$AD$11&lt;=0,"SETTLED","OUTSTANDING"))&amp;"","")="",ISNUMBER(SEARCH($AS$94:$AZ$94,IFERROR((IF('Final Calculation Sheet'!$AD$11&lt;=0,"SETTLED","OUTSTANDING"))&amp;"","")))))&gt;0),IF(COUNTIF($BI$94:$BP$94,3)=0,TRUE,SUMPRODUCT(($BI$94:$BP$94=3)*($AS$94:$AZ$94&lt;&gt;"")*IF(((UPPER($AS$94:$AZ$94)="BLANK")+(UPPER($AS$94:$AZ$94)="(BLANK)")+(UPPER($AS$94:$AZ$94)="EMPTY")+(UPPER($AS$94:$AZ$94)="(EMPTY)"))&gt;0,IFERROR((IF('Final Calculation Sheet'!$AD$11&lt;=0,"SETTLED","OUTSTANDING"))&amp;"","")="",ISNUMBER(SEARCH($AS$94:$AZ$94,IFERROR((IF('Final Calculation Sheet'!$AD$11&lt;=0,"SETTLED","OUTSTANDING"))&amp;"","")))))&gt;0),IF(COUNTIF($BI$94:$BP$94,4)=0,TRUE,SUMPRODUCT(($BI$94:$BP$94=4)*($AS$94:$AZ$94&lt;&gt;"")*IF(((UPPER($AS$94:$AZ$94)="BLANK")+(UPPER($AS$94:$AZ$94)="(BLANK)")+(UPPER($AS$94:$AZ$94)="EMPTY")+(UPPER($AS$94:$AZ$94)="(EMPTY)"))&gt;0,IFERROR((IF('Final Calculation Sheet'!$AD$11&lt;=0,"SETTLED","OUTSTANDING"))&amp;"","")="",ISNUMBER(SEARCH($AS$94:$AZ$94,IFERROR((IF('Final Calculation Sheet'!$AD$11&lt;=0,"SETTLED","OUTSTANDING"))&amp;"","")))))&gt;0),IF(COUNTIF($BI$94:$BP$94,5)=0,TRUE,SUMPRODUCT(($BI$94:$BP$94=5)*($AS$94:$AZ$94&lt;&gt;"")*IF(((UPPER($AS$94:$AZ$94)="BLANK")+(UPPER($AS$94:$AZ$94)="(BLANK)")+(UPPER($AS$94:$AZ$94)="EMPTY")+(UPPER($AS$94:$AZ$94)="(EMPTY)"))&gt;0,IFERROR((IF('Final Calculation Sheet'!$AD$11&lt;=0,"SETTLED","OUTSTANDING"))&amp;"","")="",ISNUMBER(SEARCH($AS$94:$AZ$94,IFERROR((IF('Final Calculation Sheet'!$AD$11&lt;=0,"SETTLED","OUTSTANDING"))&amp;"","")))))&gt;0),IF(COUNTIF($BI$94:$BP$94,6)=0,TRUE,SUMPRODUCT(($BI$94:$BP$94=6)*($AS$94:$AZ$94&lt;&gt;"")*IF(((UPPER($AS$94:$AZ$94)="BLANK")+(UPPER($AS$94:$AZ$94)="(BLANK)")+(UPPER($AS$94:$AZ$94)="EMPTY")+(UPPER($AS$94:$AZ$94)="(EMPTY)"))&gt;0,IFERROR((IF('Final Calculation Sheet'!$AD$11&lt;=0,"SETTLED","OUTSTANDING"))&amp;"","")="",ISNUMBER(SEARCH($AS$94:$AZ$94,IFERROR((IF('Final Calculation Sheet'!$AD$11&lt;=0,"SETTLED","OUTSTANDING"))&amp;"","")))))&gt;0),IF(COUNTIF($BI$94:$BP$94,7)=0,TRUE,SUMPRODUCT(($BI$94:$BP$94=7)*($AS$94:$AZ$94&lt;&gt;"")*IF(((UPPER($AS$94:$AZ$94)="BLANK")+(UPPER($AS$94:$AZ$94)="(BLANK)")+(UPPER($AS$94:$AZ$94)="EMPTY")+(UPPER($AS$94:$AZ$94)="(EMPTY)"))&gt;0,IFERROR((IF('Final Calculation Sheet'!$AD$11&lt;=0,"SETTLED","OUTSTANDING"))&amp;"","")="",ISNUMBER(SEARCH($AS$94:$AZ$94,IFERROR((IF('Final Calculation Sheet'!$AD$11&lt;=0,"SETTLED","OUTSTANDING"))&amp;"","")))))&gt;0),IF(COUNTIF($BI$94:$BP$94,8)=0,TRUE,SUMPRODUCT(($BI$94:$BP$94=8)*($AS$94:$AZ$94&lt;&gt;"")*IF(((UPPER($AS$94:$AZ$94)="BLANK")+(UPPER($AS$94:$AZ$94)="(BLANK)")+(UPPER($AS$94:$AZ$94)="EMPTY")+(UPPER($AS$94:$AZ$94)="(EMPTY)"))&gt;0,IFERROR((IF('Final Calculation Sheet'!$AD$11&lt;=0,"SETTLED","OUTSTANDING"))&amp;"","")="",ISNUMBER(SEARCH($AS$94:$AZ$94,IFERROR((IF('Final Calculation Sheet'!$AD$11&lt;=0,"SETTLED","OUTSTANDING"))&amp;"","")))))&gt;0))))</f>
        <v>1</v>
      </c>
    </row>
    <row r="13" spans="1:99" ht="15" customHeight="1" x14ac:dyDescent="0.25">
      <c r="A13" s="67">
        <f>IF($BJ12&gt;0,INDEX($BA$5:$BA$41,MATCH(12,$BB$5:$BB$41,0)),IF(OR($BI12=1,$BL12=1,$BH12&gt;0),"∑",""))</f>
        <v>3</v>
      </c>
      <c r="B13" s="68">
        <f>IF($BJ12&gt;0,IF(INDEX('Final Calculation Sheet'!$F$4:$F$40,$BJ12-3)="","",INDEX('Final Calculation Sheet'!$F$4:$F$40,$BJ12-3)),"")</f>
        <v>2025</v>
      </c>
      <c r="C13" s="68" t="str">
        <f>IF($BJ12&gt;0,IF(INDEX('Final Calculation Sheet'!$G$4:$G$40,$BJ12-3)="","",INDEX('Final Calculation Sheet'!$G$4:$G$40,$BJ12-3)),IF(OR($BI12=1,$BL12=1,$BH12&gt;0),IF($BI12=1,37,IF($BL12=1,37-INDEX($BD$4:$BD$13,10),INDEX($BD$4:$BD$13,$BH12)))&amp;" lot(s)",""))</f>
        <v>STERLING ENTERPRISES</v>
      </c>
      <c r="D13" s="69" t="str">
        <f>IF($BJ12&gt;0,IF(INDEX('Final Calculation Sheet'!$B$4:$B$40,$BJ12-3)="","",INDEX('Final Calculation Sheet'!$B$4:$B$40,$BJ12-3)),IF(OR($BI12=1,$BL12=1,$BH12&gt;0),IF($BI12=1,"GRAND TOTAL  —  matching + remaining",IF($BL12=1,"TOTAL MATCHED  —  every group together",IF($BH12=10,"REMAINING  —  did not match the search",IF($BH12=9,IF(COUNTIF($A$4:$AI$4,"&lt;&gt;")&gt;0,"FILTERED LOTS  —  column fields","ALL LOTS  —  nothing typed in the box"),"GROUP "&amp;$BH12&amp;" TOTAL  —  lots matching  "&amp;INDEX($AR$6:$AY$6,$BH12))))),""))</f>
        <v>Scrap of empty oil Barrels</v>
      </c>
      <c r="E13" s="69">
        <f>IF($BJ12&gt;0,IF(INDEX('Final Calculation Sheet'!$D$4:$D$40,$BJ12-3)="","",INDEX('Final Calculation Sheet'!$D$4:$D$40,$BJ12-3)),IF(OR($BI12=1,$BL12=1,$BH12&gt;0),"–",""))</f>
        <v>21978</v>
      </c>
      <c r="F13" s="69">
        <f>IF($BJ12&gt;0,IF(INDEX('Final Calculation Sheet'!$A$4:$A$40,$BJ12-3)="","",INDEX('Final Calculation Sheet'!$A$4:$A$40,$BJ12-3)),IF(OR($BI12=1,$BL12=1,$BH12&gt;0),IF($BI12=1,SUM('Final Calculation Sheet'!$A$4:$A$40),IF($BL12=1,SUM('Final Calculation Sheet'!$A$4:$A$40)-SUMIFS('Final Calculation Sheet'!$A$4:$A$40,$AZ$5:$AZ$41,10),SUMIFS('Final Calculation Sheet'!$A$4:$A$40,$AZ$5:$AZ$41,$BH12))),""))</f>
        <v>90</v>
      </c>
      <c r="G13" s="69" t="str">
        <f>IF($BJ12&gt;0,IF(INDEX('Final Calculation Sheet'!$E$4:$E$40,$BJ12-3)="","",INDEX('Final Calculation Sheet'!$E$4:$E$40,$BJ12-3)),IF(OR($BI12=1,$BL12=1,$BH12&gt;0),"–",""))</f>
        <v>NO</v>
      </c>
      <c r="H13" s="70">
        <f>IF($BJ12&gt;0,IF(INDEX('Final Calculation Sheet'!$C$4:$C$40,$BJ12-3)="","",INDEX('Final Calculation Sheet'!$C$4:$C$40,$BJ12-3)),IF(OR($BI12=1,$BL12=1,$BH12&gt;0),"–",""))</f>
        <v>700</v>
      </c>
      <c r="I13" s="70">
        <f>IF($BJ12&gt;0,IF(INDEX('Final Calculation Sheet'!$H$4:$H$40,$BJ12-3)="","",INDEX('Final Calculation Sheet'!$H$4:$H$40,$BJ12-3)),IF(OR($BI12=1,$BL12=1,$BH12&gt;0),IF($BI12=1,SUM('Final Calculation Sheet'!$H$4:$H$40),IF($BL12=1,SUM('Final Calculation Sheet'!$H$4:$H$40)-SUMIFS('Final Calculation Sheet'!$H$4:$H$40,$AZ$5:$AZ$41,10),SUMIFS('Final Calculation Sheet'!$H$4:$H$40,$AZ$5:$AZ$41,$BH12))),""))</f>
        <v>63000</v>
      </c>
      <c r="J13" s="70">
        <f>IF($BJ12&gt;0,IF(INDEX('Final Calculation Sheet'!$I$4:$I$40,$BJ12-3)="","",INDEX('Final Calculation Sheet'!$I$4:$I$40,$BJ12-3)),IF(OR($BI12=1,$BL12=1,$BH12&gt;0),IF($BI12=1,SUM('Final Calculation Sheet'!$I$4:$I$40),IF($BL12=1,SUM('Final Calculation Sheet'!$I$4:$I$40)-SUMIFS('Final Calculation Sheet'!$I$4:$I$40,$AZ$5:$AZ$41,10),SUMIFS('Final Calculation Sheet'!$I$4:$I$40,$AZ$5:$AZ$41,$BH12))),""))</f>
        <v>11340</v>
      </c>
      <c r="K13" s="70">
        <f>IF($BJ12&gt;0,IF(INDEX('Final Calculation Sheet'!$J$4:$J$40,$BJ12-3)="","",INDEX('Final Calculation Sheet'!$J$4:$J$40,$BJ12-3)),IF(OR($BI12=1,$BL12=1,$BH12&gt;0),IF($BI12=1,SUM('Final Calculation Sheet'!$J$4:$J$40),IF($BL12=1,SUM('Final Calculation Sheet'!$J$4:$J$40)-SUMIFS('Final Calculation Sheet'!$J$4:$J$40,$AZ$5:$AZ$41,10),SUMIFS('Final Calculation Sheet'!$J$4:$J$40,$AZ$5:$AZ$41,$BH12))),""))</f>
        <v>74340</v>
      </c>
      <c r="L13" s="70">
        <f>IF($BJ12&gt;0,IF(INDEX('Final Calculation Sheet'!$K$4:$K$40,$BJ12-3)="","",INDEX('Final Calculation Sheet'!$K$4:$K$40,$BJ12-3)),IF(OR($BI12=1,$BL12=1,$BH12&gt;0),IF($BI12=1,SUM('Final Calculation Sheet'!$K$4:$K$40),IF($BL12=1,SUM('Final Calculation Sheet'!$K$4:$K$40)-SUMIFS('Final Calculation Sheet'!$K$4:$K$40,$AZ$5:$AZ$41,10),SUMIFS('Final Calculation Sheet'!$K$4:$K$40,$AZ$5:$AZ$41,$BH12))),""))</f>
        <v>1487</v>
      </c>
      <c r="M13" s="70">
        <f>IF($BJ12&gt;0,IF(INDEX('Final Calculation Sheet'!$L$4:$L$40,$BJ12-3)="","",INDEX('Final Calculation Sheet'!$L$4:$L$40,$BJ12-3)),IF(OR($BI12=1,$BL12=1,$BH12&gt;0),IF($BI12=1,SUM('Final Calculation Sheet'!$L$4:$L$40),IF($BL12=1,SUM('Final Calculation Sheet'!$L$4:$L$40)-SUMIFS('Final Calculation Sheet'!$L$4:$L$40,$AZ$5:$AZ$41,10),SUMIFS('Final Calculation Sheet'!$L$4:$L$40,$AZ$5:$AZ$41,$BH12))),""))</f>
        <v>63</v>
      </c>
      <c r="N13" s="70">
        <f>IF($BJ12&gt;0,IF(INDEX('Final Calculation Sheet'!$M$4:$M$40,$BJ12-3)="","",INDEX('Final Calculation Sheet'!$M$4:$M$40,$BJ12-3)),IF(OR($BI12=1,$BL12=1,$BH12&gt;0),IF($BI12=1,SUM('Final Calculation Sheet'!$M$4:$M$40),IF($BL12=1,SUM('Final Calculation Sheet'!$M$4:$M$40)-SUMIFS('Final Calculation Sheet'!$M$4:$M$40,$AZ$5:$AZ$41,10),SUMIFS('Final Calculation Sheet'!$M$4:$M$40,$AZ$5:$AZ$41,$BH12))),""))</f>
        <v>1672.6499999999999</v>
      </c>
      <c r="O13" s="71">
        <f>IF($BJ12&gt;0,IF(INDEX('Final Calculation Sheet'!$N$4:$N$40,$BJ12-3)="","",INDEX('Final Calculation Sheet'!$N$4:$N$40,$BJ12-3)),IF(OR($BI12=1,$BL12=1,$BH12&gt;0),IF($BI12=1,SUM('Final Calculation Sheet'!$N$4:$N$40),IF($BL12=1,SUM('Final Calculation Sheet'!$N$4:$N$40)-SUMIFS('Final Calculation Sheet'!$N$4:$N$40,$AZ$5:$AZ$41,10),SUMIFS('Final Calculation Sheet'!$N$4:$N$40,$AZ$5:$AZ$41,$BH12))),""))</f>
        <v>28.35</v>
      </c>
      <c r="P13" s="70">
        <f>IF($BJ12&gt;0,IF(INDEX('Final Calculation Sheet'!$O$4:$O$40,$BJ12-3)="","",INDEX('Final Calculation Sheet'!$O$4:$O$40,$BJ12-3)),IF(OR($BI12=1,$BL12=1,$BH12&gt;0),IF($BI12=1,SUM('Final Calculation Sheet'!$O$4:$O$40),IF($BL12=1,SUM('Final Calculation Sheet'!$O$4:$O$40)-SUMIFS('Final Calculation Sheet'!$O$4:$O$40,$AZ$5:$AZ$41,10),SUMIFS('Final Calculation Sheet'!$O$4:$O$40,$AZ$5:$AZ$41,$BH12))),""))</f>
        <v>1644.3</v>
      </c>
      <c r="Q13" s="70">
        <f>IF($BJ12&gt;0,IF(INDEX('Final Calculation Sheet'!$P$4:$P$40,$BJ12-3)="","",INDEX('Final Calculation Sheet'!$P$4:$P$40,$BJ12-3)),IF(OR($BI12=1,$BL12=1,$BH12&gt;0),IF($BI12=1,SUM('Final Calculation Sheet'!$P$4:$P$40),IF($BL12=1,SUM('Final Calculation Sheet'!$P$4:$P$40)-SUMIFS('Final Calculation Sheet'!$P$4:$P$40,$AZ$5:$AZ$41,10),SUMIFS('Final Calculation Sheet'!$P$4:$P$40,$AZ$5:$AZ$41,$BH12))),""))</f>
        <v>1707</v>
      </c>
      <c r="R13" s="72">
        <f>IF($BJ12&gt;0,IF(INDEX('Final Calculation Sheet'!$Q$4:$Q$40,$BJ12-3)="","",INDEX('Final Calculation Sheet'!$Q$4:$Q$40,$BJ12-3)),IF(OR($BI12=1,$BL12=1,$BH12&gt;0),"–",""))</f>
        <v>0</v>
      </c>
      <c r="S13" s="70">
        <f>IF($BJ12&gt;0,IF(INDEX('Final Calculation Sheet'!$R$4:$R$40,$BJ12-3)="","",INDEX('Final Calculation Sheet'!$R$4:$R$40,$BJ12-3)),IF(OR($BI12=1,$BL12=1,$BH12&gt;0),IF($BI12=1,SUM('Final Calculation Sheet'!$R$4:$R$40),IF($BL12=1,SUM('Final Calculation Sheet'!$R$4:$R$40)-SUMIFS('Final Calculation Sheet'!$R$4:$R$40,$AZ$5:$AZ$41,10),SUMIFS('Final Calculation Sheet'!$R$4:$R$40,$AZ$5:$AZ$41,$BH12))),""))</f>
        <v>0</v>
      </c>
      <c r="T13" s="70">
        <f>IF($BJ12&gt;0,IF(INDEX('Final Calculation Sheet'!$S$4:$S$40,$BJ12-3)="","",INDEX('Final Calculation Sheet'!$S$4:$S$40,$BJ12-3)),IF(OR($BI12=1,$BL12=1,$BH12&gt;0),IF($BI12=1,SUM('Final Calculation Sheet'!$S$4:$S$40),IF($BL12=1,SUM('Final Calculation Sheet'!$S$4:$S$40)-SUMIFS('Final Calculation Sheet'!$S$4:$S$40,$AZ$5:$AZ$41,10),SUMIFS('Final Calculation Sheet'!$S$4:$S$40,$AZ$5:$AZ$41,$BH12))),""))</f>
        <v>74120</v>
      </c>
      <c r="U13" s="70">
        <f>IF($BJ12&gt;0,IF(INDEX('Final Calculation Sheet'!$T$4:$T$40,$BJ12-3)="","",INDEX('Final Calculation Sheet'!$T$4:$T$40,$BJ12-3)),IF(OR($BI12=1,$BL12=1,$BH12&gt;0),IF($BI12=1,SUM('Final Calculation Sheet'!$T$4:$T$40),IF($BL12=1,SUM('Final Calculation Sheet'!$T$4:$T$40)-SUMIFS('Final Calculation Sheet'!$T$4:$T$40,$AZ$5:$AZ$41,10),SUMIFS('Final Calculation Sheet'!$T$4:$T$40,$AZ$5:$AZ$41,$BH12))),""))</f>
        <v>15750</v>
      </c>
      <c r="V13" s="73">
        <f>IF($BJ12&gt;0,IF(INDEX('Final Calculation Sheet'!$U$4:$U$40,$BJ12-3)="","",INDEX('Final Calculation Sheet'!$U$4:$U$40,$BJ12-3)),IF(OR($BI12=1,$BL12=1,$BH12&gt;0),IF($BI12=1,SUM('Final Calculation Sheet'!$U$4:$U$40),IF($BL12=1,SUM('Final Calculation Sheet'!$U$4:$U$40)-SUMIFS('Final Calculation Sheet'!$U$4:$U$40,$AZ$5:$AZ$41,10),SUMIFS('Final Calculation Sheet'!$U$4:$U$40,$AZ$5:$AZ$41,$BH12))),""))</f>
        <v>15750</v>
      </c>
      <c r="W13" s="70" t="str">
        <f>IF($BJ12&gt;0,IF(INDEX('Final Calculation Sheet'!$V$4:$V$40,$BJ12-3)="","",INDEX('Final Calculation Sheet'!$V$4:$V$40,$BJ12-3)),IF(OR($BI12=1,$BL12=1,$BH12&gt;0),"–",""))</f>
        <v>11.08.2026</v>
      </c>
      <c r="X13" s="70">
        <f>IF($BJ12&gt;0,IF(INDEX('Final Calculation Sheet'!$W$4:$W$40,$BJ12-3)="","",INDEX('Final Calculation Sheet'!$W$4:$W$40,$BJ12-3)),IF(OR($BI12=1,$BL12=1,$BH12&gt;0),IF($BI12=1,SUM('Final Calculation Sheet'!$W$4:$W$40),IF($BL12=1,SUM('Final Calculation Sheet'!$W$4:$W$40)-SUMIFS('Final Calculation Sheet'!$W$4:$W$40,$AZ$5:$AZ$41,10),SUMIFS('Final Calculation Sheet'!$W$4:$W$40,$AZ$5:$AZ$41,$BH12))),""))</f>
        <v>58370</v>
      </c>
      <c r="Y13" s="70">
        <f>IF($BJ12&gt;0,IF(INDEX('Final Calculation Sheet'!$X$4:$X$40,$BJ12-3)="","",INDEX('Final Calculation Sheet'!$X$4:$X$40,$BJ12-3)),IF(OR($BI12=1,$BL12=1,$BH12&gt;0),IF($BI12=1,SUM('Final Calculation Sheet'!$X$4:$X$40),IF($BL12=1,SUM('Final Calculation Sheet'!$X$4:$X$40)-SUMIFS('Final Calculation Sheet'!$X$4:$X$40,$AZ$5:$AZ$41,10),SUMIFS('Final Calculation Sheet'!$X$4:$X$40,$AZ$5:$AZ$41,$BH12))),""))</f>
        <v>58418</v>
      </c>
      <c r="Z13" s="70" t="str">
        <f>IF($BJ12&gt;0,IF(INDEX('Final Calculation Sheet'!$Y$4:$Y$40,$BJ12-3)="","",INDEX('Final Calculation Sheet'!$Y$4:$Y$40,$BJ12-3)),IF(OR($BI12=1,$BL12=1,$BH12&gt;0),"–",""))</f>
        <v>11.08.2026</v>
      </c>
      <c r="AA13" s="70">
        <f ca="1">IF($BJ12&gt;0,IF(INDEX('Final Calculation Sheet'!$Z$4:$Z$40,$BJ12-3)="","",INDEX('Final Calculation Sheet'!$Z$4:$Z$40,$BJ12-3)),IF(OR($BI12=1,$BL12=1,$BH12&gt;0),IF($BI12=1,SUM('Final Calculation Sheet'!$Z$4:$Z$40),IF($BL12=1,SUM('Final Calculation Sheet'!$Z$4:$Z$40)-SUMIFS('Final Calculation Sheet'!$Z$4:$Z$40,$AZ$5:$AZ$41,10),SUMIFS('Final Calculation Sheet'!$Z$4:$Z$40,$AZ$5:$AZ$41,$BH12))),""))</f>
        <v>0</v>
      </c>
      <c r="AB13" s="70" t="str">
        <f>IF($BJ12&gt;0,IF(INDEX('Final Calculation Sheet'!$AA$4:$AA$40,$BJ12-3)="","",INDEX('Final Calculation Sheet'!$AA$4:$AA$40,$BJ12-3)),IF(OR($BI12=1,$BL12=1,$BH12&gt;0),IF($BI12=1,SUM('Final Calculation Sheet'!$AA$4:$AA$40),IF($BL12=1,SUM('Final Calculation Sheet'!$AA$4:$AA$40)-SUMIFS('Final Calculation Sheet'!$AA$4:$AA$40,$AZ$5:$AZ$41,10),SUMIFS('Final Calculation Sheet'!$AA$4:$AA$40,$AZ$5:$AZ$41,$BH12))),""))</f>
        <v/>
      </c>
      <c r="AC13" s="70" t="str">
        <f>IF($BJ12&gt;0,IF(INDEX('Final Calculation Sheet'!$AB$4:$AB$40,$BJ12-3)="","",INDEX('Final Calculation Sheet'!$AB$4:$AB$40,$BJ12-3)),IF(OR($BI12=1,$BL12=1,$BH12&gt;0),"–",""))</f>
        <v/>
      </c>
      <c r="AD13" s="70">
        <f>IF($BJ12&gt;0,IF(INDEX('Final Calculation Sheet'!$AC$4:$AC$40,$BJ12-3)="","",INDEX('Final Calculation Sheet'!$AC$4:$AC$40,$BJ12-3)),IF(OR($BI12=1,$BL12=1,$BH12&gt;0),IF($BI12=1,SUM('Final Calculation Sheet'!$AC$4:$AC$40),IF($BL12=1,SUM('Final Calculation Sheet'!$AC$4:$AC$40)-SUMIFS('Final Calculation Sheet'!$AC$4:$AC$40,$AZ$5:$AZ$41,10),SUMIFS('Final Calculation Sheet'!$AC$4:$AC$40,$AZ$5:$AZ$41,$BH12))),""))</f>
        <v>74168</v>
      </c>
      <c r="AE13" s="70">
        <f>IF($BJ12&gt;0,IF(INDEX('Final Calculation Sheet'!$AD$4:$AD$40,$BJ12-3)="","",INDEX('Final Calculation Sheet'!$AD$4:$AD$40,$BJ12-3)),IF(OR($BI12=1,$BL12=1,$BH12&gt;0),IF($BI12=1,SUM('Final Calculation Sheet'!$AD$4:$AD$40),IF($BL12=1,SUM('Final Calculation Sheet'!$AD$4:$AD$40)-SUMIFS('Final Calculation Sheet'!$AD$4:$AD$40,$AZ$5:$AZ$41,10),SUMIFS('Final Calculation Sheet'!$AD$4:$AD$40,$AZ$5:$AZ$41,$BH12))),""))</f>
        <v>-48</v>
      </c>
      <c r="AF13" s="70" t="str">
        <f>IF($BJ12&gt;0,IF(INDEX('Final Calculation Sheet'!$AE$4:$AE$40,$BJ12-3)="","",INDEX('Final Calculation Sheet'!$AE$4:$AE$40,$BJ12-3)),IF(OR($BI12=1,$BL12=1,$BH12&gt;0),"–",""))</f>
        <v>DR2640100021</v>
      </c>
      <c r="AG13" s="74">
        <f>IF($BJ12&gt;0,IF(INDEX('Final Calculation Sheet'!$AF$4:$AF$40,$BJ12-3)="","",INDEX('Final Calculation Sheet'!$AF$4:$AF$40,$BJ12-3)),IF(OR($BI12=1,$BL12=1,$BH12&gt;0),"–",""))</f>
        <v>1800003160</v>
      </c>
      <c r="AH13" s="70" t="str">
        <f>IF($BJ12&gt;0,IF(INDEX('Final Calculation Sheet'!$AG$4:$AG$40,$BJ12-3)="","",INDEX('Final Calculation Sheet'!$AG$4:$AG$40,$BJ12-3)),IF(OR($BI12=1,$BL12=1,$BH12&gt;0),"–",""))</f>
        <v>14.08.2026</v>
      </c>
      <c r="AI13" s="75" t="str">
        <f>IF($BJ12&gt;0,IF(INDEX('Final Calculation Sheet'!$AD$4:$AD$40,$BJ12-3)="","",IF(INDEX('Final Calculation Sheet'!$AD$4:$AD$40,$BJ12-3)&lt;=0,"SETTLED","OUTSTANDING")),IF(OR($BI12=1,$BL12=1,$BH12&gt;0),IF(IF($BI12=1,SUM('Final Calculation Sheet'!$AD$4:$AD$40),IF($BL12=1,SUM('Final Calculation Sheet'!$AD$4:$AD$40)-SUMIFS('Final Calculation Sheet'!$AD$4:$AD$40,$AZ$5:$AZ$41,10),SUMIFS('Final Calculation Sheet'!$AD$4:$AD$40,$AZ$5:$AZ$41,$BH12)))&lt;=0,"ALL SETTLED","OUTSTANDING"),""))</f>
        <v>SETTLED</v>
      </c>
      <c r="AK13" t="str">
        <f>IF($F$3="Lot No.",'Final Calculation Sheet'!$F$12,IF($F$3="Buyer",'Final Calculation Sheet'!$G$12,IF($F$3="Lot Name",'Final Calculation Sheet'!$B$12,IF($F$3="Bid Sheet",'Final Calculation Sheet'!$D$12,IF($F$3="Unit",'Final Calculation Sheet'!$E$12,'Final Calculation Sheet'!$F$12&amp;" "&amp;'Final Calculation Sheet'!$G$12&amp;" "&amp;'Final Calculation Sheet'!$B$12)))))</f>
        <v>2005 NATIONAL ENTERPRISES Scrap of 220KV CT</v>
      </c>
      <c r="AM13">
        <f t="shared" si="1"/>
        <v>0</v>
      </c>
      <c r="AZ13">
        <f t="shared" si="2"/>
        <v>10</v>
      </c>
      <c r="BA13">
        <f t="shared" si="3"/>
        <v>8</v>
      </c>
      <c r="BB13">
        <f t="shared" si="4"/>
        <v>24</v>
      </c>
      <c r="BC13">
        <v>12</v>
      </c>
      <c r="BD13">
        <f>COUNTIF($AZ$5:$AZ$41,10)</f>
        <v>28</v>
      </c>
      <c r="BE13">
        <f>$BG$4+1</f>
        <v>17</v>
      </c>
      <c r="BF13">
        <f t="shared" si="0"/>
        <v>45</v>
      </c>
      <c r="BH13">
        <f>IFERROR(MATCH(13,$BF$4:$BF$13,0),0)</f>
        <v>0</v>
      </c>
      <c r="BI13">
        <f>IF(13=$BG$5,1,0)</f>
        <v>0</v>
      </c>
      <c r="BJ13">
        <f>IF(OR($BH13&gt;0,$BI13=1,$BL13=1),0,IFERROR(INDEX($BC$5:$BC$41,MATCH(13,$BB$5:$BB$41,0)),0))</f>
        <v>28</v>
      </c>
      <c r="BK13">
        <f>IF($BJ13&gt;0,IF(INDEX($AZ$5:$AZ$41,MATCH(13,$BB$5:$BB$41,0))=10,1,0),IF($BH13=10,1,0))</f>
        <v>0</v>
      </c>
      <c r="BL13">
        <f>IF(13=$BG$4,1,0)</f>
        <v>0</v>
      </c>
      <c r="BM13">
        <f>IF($A$4="",1,--(AND(SUMPRODUCT(--($AS$60:$AZ$60&lt;&gt;""))&gt;0,IF(COUNTIF($BI$60:$BP$60,1)=0,TRUE,SUMPRODUCT(($BI$60:$BP$60=1)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$60,2)=0,TRUE,SUMPRODUCT(($BI$60:$BP$60=2)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$60,3)=0,TRUE,SUMPRODUCT(($BI$60:$BP$60=3)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$60,4)=0,TRUE,SUMPRODUCT(($BI$60:$BP$60=4)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$60,5)=0,TRUE,SUMPRODUCT(($BI$60:$BP$60=5)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$60,6)=0,TRUE,SUMPRODUCT(($BI$60:$BP$60=6)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$60,7)=0,TRUE,SUMPRODUCT(($BI$60:$BP$60=7)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$60,8)=0,TRUE,SUMPRODUCT(($BI$60:$BP$60=8)*($AS$60:$AZ$60&lt;&gt;"")*IF(((UPPER($AS$60:$AZ$60)="BLANK")+(UPPER($AS$60:$AZ$60)="(BLANK)")+(UPPER($AS$60:$AZ$60)="EMPTY")+(UPPER($AS$60:$AZ$60)="(EMPTY)"))&gt;0,IFERROR((ROW()-4)&amp;"","")="",ISNUMBER(SEARCH($AS$60:$AZ$60,IFERROR((ROW()-4)&amp;"","")))))&gt;0))))</f>
        <v>1</v>
      </c>
      <c r="BN13">
        <f>IF($B$4="",1,--(AND(SUMPRODUCT(--($AS$61:$AZ$61&lt;&gt;""))&gt;0,IF(COUNTIF($BI$61:$BP$61,1)=0,TRUE,SUMPRODUCT(($BI$61:$BP$61=1)*($AS$61:$AZ$61&lt;&gt;"")*IF(((UPPER($AS$61:$AZ$61)="BLANK")+(UPPER($AS$61:$AZ$61)="(BLANK)")+(UPPER($AS$61:$AZ$61)="EMPTY")+(UPPER($AS$61:$AZ$61)="(EMPTY)"))&gt;0,IFERROR(('Final Calculation Sheet'!$F$12)&amp;"","")="",ISNUMBER(SEARCH($AS$61:$AZ$61,IFERROR(('Final Calculation Sheet'!$F$12)&amp;"","")))))&gt;0),IF(COUNTIF($BI$61:$BP$61,2)=0,TRUE,SUMPRODUCT(($BI$61:$BP$61=2)*($AS$61:$AZ$61&lt;&gt;"")*IF(((UPPER($AS$61:$AZ$61)="BLANK")+(UPPER($AS$61:$AZ$61)="(BLANK)")+(UPPER($AS$61:$AZ$61)="EMPTY")+(UPPER($AS$61:$AZ$61)="(EMPTY)"))&gt;0,IFERROR(('Final Calculation Sheet'!$F$12)&amp;"","")="",ISNUMBER(SEARCH($AS$61:$AZ$61,IFERROR(('Final Calculation Sheet'!$F$12)&amp;"","")))))&gt;0),IF(COUNTIF($BI$61:$BP$61,3)=0,TRUE,SUMPRODUCT(($BI$61:$BP$61=3)*($AS$61:$AZ$61&lt;&gt;"")*IF(((UPPER($AS$61:$AZ$61)="BLANK")+(UPPER($AS$61:$AZ$61)="(BLANK)")+(UPPER($AS$61:$AZ$61)="EMPTY")+(UPPER($AS$61:$AZ$61)="(EMPTY)"))&gt;0,IFERROR(('Final Calculation Sheet'!$F$12)&amp;"","")="",ISNUMBER(SEARCH($AS$61:$AZ$61,IFERROR(('Final Calculation Sheet'!$F$12)&amp;"","")))))&gt;0),IF(COUNTIF($BI$61:$BP$61,4)=0,TRUE,SUMPRODUCT(($BI$61:$BP$61=4)*($AS$61:$AZ$61&lt;&gt;"")*IF(((UPPER($AS$61:$AZ$61)="BLANK")+(UPPER($AS$61:$AZ$61)="(BLANK)")+(UPPER($AS$61:$AZ$61)="EMPTY")+(UPPER($AS$61:$AZ$61)="(EMPTY)"))&gt;0,IFERROR(('Final Calculation Sheet'!$F$12)&amp;"","")="",ISNUMBER(SEARCH($AS$61:$AZ$61,IFERROR(('Final Calculation Sheet'!$F$12)&amp;"","")))))&gt;0),IF(COUNTIF($BI$61:$BP$61,5)=0,TRUE,SUMPRODUCT(($BI$61:$BP$61=5)*($AS$61:$AZ$61&lt;&gt;"")*IF(((UPPER($AS$61:$AZ$61)="BLANK")+(UPPER($AS$61:$AZ$61)="(BLANK)")+(UPPER($AS$61:$AZ$61)="EMPTY")+(UPPER($AS$61:$AZ$61)="(EMPTY)"))&gt;0,IFERROR(('Final Calculation Sheet'!$F$12)&amp;"","")="",ISNUMBER(SEARCH($AS$61:$AZ$61,IFERROR(('Final Calculation Sheet'!$F$12)&amp;"","")))))&gt;0),IF(COUNTIF($BI$61:$BP$61,6)=0,TRUE,SUMPRODUCT(($BI$61:$BP$61=6)*($AS$61:$AZ$61&lt;&gt;"")*IF(((UPPER($AS$61:$AZ$61)="BLANK")+(UPPER($AS$61:$AZ$61)="(BLANK)")+(UPPER($AS$61:$AZ$61)="EMPTY")+(UPPER($AS$61:$AZ$61)="(EMPTY)"))&gt;0,IFERROR(('Final Calculation Sheet'!$F$12)&amp;"","")="",ISNUMBER(SEARCH($AS$61:$AZ$61,IFERROR(('Final Calculation Sheet'!$F$12)&amp;"","")))))&gt;0),IF(COUNTIF($BI$61:$BP$61,7)=0,TRUE,SUMPRODUCT(($BI$61:$BP$61=7)*($AS$61:$AZ$61&lt;&gt;"")*IF(((UPPER($AS$61:$AZ$61)="BLANK")+(UPPER($AS$61:$AZ$61)="(BLANK)")+(UPPER($AS$61:$AZ$61)="EMPTY")+(UPPER($AS$61:$AZ$61)="(EMPTY)"))&gt;0,IFERROR(('Final Calculation Sheet'!$F$12)&amp;"","")="",ISNUMBER(SEARCH($AS$61:$AZ$61,IFERROR(('Final Calculation Sheet'!$F$12)&amp;"","")))))&gt;0),IF(COUNTIF($BI$61:$BP$61,8)=0,TRUE,SUMPRODUCT(($BI$61:$BP$61=8)*($AS$61:$AZ$61&lt;&gt;"")*IF(((UPPER($AS$61:$AZ$61)="BLANK")+(UPPER($AS$61:$AZ$61)="(BLANK)")+(UPPER($AS$61:$AZ$61)="EMPTY")+(UPPER($AS$61:$AZ$61)="(EMPTY)"))&gt;0,IFERROR(('Final Calculation Sheet'!$F$12)&amp;"","")="",ISNUMBER(SEARCH($AS$61:$AZ$61,IFERROR(('Final Calculation Sheet'!$F$12)&amp;"","")))))&gt;0))))</f>
        <v>1</v>
      </c>
      <c r="BO13">
        <f>IF($C$4="",1,--(AND(SUMPRODUCT(--($AS$62:$AZ$62&lt;&gt;""))&gt;0,IF(COUNTIF($BI$62:$BP$62,1)=0,TRUE,SUMPRODUCT(($BI$62:$BP$62=1)*($AS$62:$AZ$62&lt;&gt;"")*IF(((UPPER($AS$62:$AZ$62)="BLANK")+(UPPER($AS$62:$AZ$62)="(BLANK)")+(UPPER($AS$62:$AZ$62)="EMPTY")+(UPPER($AS$62:$AZ$62)="(EMPTY)"))&gt;0,IFERROR(('Final Calculation Sheet'!$G$12)&amp;"","")="",ISNUMBER(SEARCH($AS$62:$AZ$62,IFERROR(('Final Calculation Sheet'!$G$12)&amp;"","")))))&gt;0),IF(COUNTIF($BI$62:$BP$62,2)=0,TRUE,SUMPRODUCT(($BI$62:$BP$62=2)*($AS$62:$AZ$62&lt;&gt;"")*IF(((UPPER($AS$62:$AZ$62)="BLANK")+(UPPER($AS$62:$AZ$62)="(BLANK)")+(UPPER($AS$62:$AZ$62)="EMPTY")+(UPPER($AS$62:$AZ$62)="(EMPTY)"))&gt;0,IFERROR(('Final Calculation Sheet'!$G$12)&amp;"","")="",ISNUMBER(SEARCH($AS$62:$AZ$62,IFERROR(('Final Calculation Sheet'!$G$12)&amp;"","")))))&gt;0),IF(COUNTIF($BI$62:$BP$62,3)=0,TRUE,SUMPRODUCT(($BI$62:$BP$62=3)*($AS$62:$AZ$62&lt;&gt;"")*IF(((UPPER($AS$62:$AZ$62)="BLANK")+(UPPER($AS$62:$AZ$62)="(BLANK)")+(UPPER($AS$62:$AZ$62)="EMPTY")+(UPPER($AS$62:$AZ$62)="(EMPTY)"))&gt;0,IFERROR(('Final Calculation Sheet'!$G$12)&amp;"","")="",ISNUMBER(SEARCH($AS$62:$AZ$62,IFERROR(('Final Calculation Sheet'!$G$12)&amp;"","")))))&gt;0),IF(COUNTIF($BI$62:$BP$62,4)=0,TRUE,SUMPRODUCT(($BI$62:$BP$62=4)*($AS$62:$AZ$62&lt;&gt;"")*IF(((UPPER($AS$62:$AZ$62)="BLANK")+(UPPER($AS$62:$AZ$62)="(BLANK)")+(UPPER($AS$62:$AZ$62)="EMPTY")+(UPPER($AS$62:$AZ$62)="(EMPTY)"))&gt;0,IFERROR(('Final Calculation Sheet'!$G$12)&amp;"","")="",ISNUMBER(SEARCH($AS$62:$AZ$62,IFERROR(('Final Calculation Sheet'!$G$12)&amp;"","")))))&gt;0),IF(COUNTIF($BI$62:$BP$62,5)=0,TRUE,SUMPRODUCT(($BI$62:$BP$62=5)*($AS$62:$AZ$62&lt;&gt;"")*IF(((UPPER($AS$62:$AZ$62)="BLANK")+(UPPER($AS$62:$AZ$62)="(BLANK)")+(UPPER($AS$62:$AZ$62)="EMPTY")+(UPPER($AS$62:$AZ$62)="(EMPTY)"))&gt;0,IFERROR(('Final Calculation Sheet'!$G$12)&amp;"","")="",ISNUMBER(SEARCH($AS$62:$AZ$62,IFERROR(('Final Calculation Sheet'!$G$12)&amp;"","")))))&gt;0),IF(COUNTIF($BI$62:$BP$62,6)=0,TRUE,SUMPRODUCT(($BI$62:$BP$62=6)*($AS$62:$AZ$62&lt;&gt;"")*IF(((UPPER($AS$62:$AZ$62)="BLANK")+(UPPER($AS$62:$AZ$62)="(BLANK)")+(UPPER($AS$62:$AZ$62)="EMPTY")+(UPPER($AS$62:$AZ$62)="(EMPTY)"))&gt;0,IFERROR(('Final Calculation Sheet'!$G$12)&amp;"","")="",ISNUMBER(SEARCH($AS$62:$AZ$62,IFERROR(('Final Calculation Sheet'!$G$12)&amp;"","")))))&gt;0),IF(COUNTIF($BI$62:$BP$62,7)=0,TRUE,SUMPRODUCT(($BI$62:$BP$62=7)*($AS$62:$AZ$62&lt;&gt;"")*IF(((UPPER($AS$62:$AZ$62)="BLANK")+(UPPER($AS$62:$AZ$62)="(BLANK)")+(UPPER($AS$62:$AZ$62)="EMPTY")+(UPPER($AS$62:$AZ$62)="(EMPTY)"))&gt;0,IFERROR(('Final Calculation Sheet'!$G$12)&amp;"","")="",ISNUMBER(SEARCH($AS$62:$AZ$62,IFERROR(('Final Calculation Sheet'!$G$12)&amp;"","")))))&gt;0),IF(COUNTIF($BI$62:$BP$62,8)=0,TRUE,SUMPRODUCT(($BI$62:$BP$62=8)*($AS$62:$AZ$62&lt;&gt;"")*IF(((UPPER($AS$62:$AZ$62)="BLANK")+(UPPER($AS$62:$AZ$62)="(BLANK)")+(UPPER($AS$62:$AZ$62)="EMPTY")+(UPPER($AS$62:$AZ$62)="(EMPTY)"))&gt;0,IFERROR(('Final Calculation Sheet'!$G$12)&amp;"","")="",ISNUMBER(SEARCH($AS$62:$AZ$62,IFERROR(('Final Calculation Sheet'!$G$12)&amp;"","")))))&gt;0))))</f>
        <v>1</v>
      </c>
      <c r="BP13">
        <f>IF($D$4="",1,--(AND(SUMPRODUCT(--($AS$63:$AZ$63&lt;&gt;""))&gt;0,IF(COUNTIF($BI$63:$BP$63,1)=0,TRUE,SUMPRODUCT(($BI$63:$BP$63=1)*($AS$63:$AZ$63&lt;&gt;"")*IF(((UPPER($AS$63:$AZ$63)="BLANK")+(UPPER($AS$63:$AZ$63)="(BLANK)")+(UPPER($AS$63:$AZ$63)="EMPTY")+(UPPER($AS$63:$AZ$63)="(EMPTY)"))&gt;0,IFERROR(('Final Calculation Sheet'!$B$12)&amp;"","")="",ISNUMBER(SEARCH($AS$63:$AZ$63,IFERROR(('Final Calculation Sheet'!$B$12)&amp;"","")))))&gt;0),IF(COUNTIF($BI$63:$BP$63,2)=0,TRUE,SUMPRODUCT(($BI$63:$BP$63=2)*($AS$63:$AZ$63&lt;&gt;"")*IF(((UPPER($AS$63:$AZ$63)="BLANK")+(UPPER($AS$63:$AZ$63)="(BLANK)")+(UPPER($AS$63:$AZ$63)="EMPTY")+(UPPER($AS$63:$AZ$63)="(EMPTY)"))&gt;0,IFERROR(('Final Calculation Sheet'!$B$12)&amp;"","")="",ISNUMBER(SEARCH($AS$63:$AZ$63,IFERROR(('Final Calculation Sheet'!$B$12)&amp;"","")))))&gt;0),IF(COUNTIF($BI$63:$BP$63,3)=0,TRUE,SUMPRODUCT(($BI$63:$BP$63=3)*($AS$63:$AZ$63&lt;&gt;"")*IF(((UPPER($AS$63:$AZ$63)="BLANK")+(UPPER($AS$63:$AZ$63)="(BLANK)")+(UPPER($AS$63:$AZ$63)="EMPTY")+(UPPER($AS$63:$AZ$63)="(EMPTY)"))&gt;0,IFERROR(('Final Calculation Sheet'!$B$12)&amp;"","")="",ISNUMBER(SEARCH($AS$63:$AZ$63,IFERROR(('Final Calculation Sheet'!$B$12)&amp;"","")))))&gt;0),IF(COUNTIF($BI$63:$BP$63,4)=0,TRUE,SUMPRODUCT(($BI$63:$BP$63=4)*($AS$63:$AZ$63&lt;&gt;"")*IF(((UPPER($AS$63:$AZ$63)="BLANK")+(UPPER($AS$63:$AZ$63)="(BLANK)")+(UPPER($AS$63:$AZ$63)="EMPTY")+(UPPER($AS$63:$AZ$63)="(EMPTY)"))&gt;0,IFERROR(('Final Calculation Sheet'!$B$12)&amp;"","")="",ISNUMBER(SEARCH($AS$63:$AZ$63,IFERROR(('Final Calculation Sheet'!$B$12)&amp;"","")))))&gt;0),IF(COUNTIF($BI$63:$BP$63,5)=0,TRUE,SUMPRODUCT(($BI$63:$BP$63=5)*($AS$63:$AZ$63&lt;&gt;"")*IF(((UPPER($AS$63:$AZ$63)="BLANK")+(UPPER($AS$63:$AZ$63)="(BLANK)")+(UPPER($AS$63:$AZ$63)="EMPTY")+(UPPER($AS$63:$AZ$63)="(EMPTY)"))&gt;0,IFERROR(('Final Calculation Sheet'!$B$12)&amp;"","")="",ISNUMBER(SEARCH($AS$63:$AZ$63,IFERROR(('Final Calculation Sheet'!$B$12)&amp;"","")))))&gt;0),IF(COUNTIF($BI$63:$BP$63,6)=0,TRUE,SUMPRODUCT(($BI$63:$BP$63=6)*($AS$63:$AZ$63&lt;&gt;"")*IF(((UPPER($AS$63:$AZ$63)="BLANK")+(UPPER($AS$63:$AZ$63)="(BLANK)")+(UPPER($AS$63:$AZ$63)="EMPTY")+(UPPER($AS$63:$AZ$63)="(EMPTY)"))&gt;0,IFERROR(('Final Calculation Sheet'!$B$12)&amp;"","")="",ISNUMBER(SEARCH($AS$63:$AZ$63,IFERROR(('Final Calculation Sheet'!$B$12)&amp;"","")))))&gt;0),IF(COUNTIF($BI$63:$BP$63,7)=0,TRUE,SUMPRODUCT(($BI$63:$BP$63=7)*($AS$63:$AZ$63&lt;&gt;"")*IF(((UPPER($AS$63:$AZ$63)="BLANK")+(UPPER($AS$63:$AZ$63)="(BLANK)")+(UPPER($AS$63:$AZ$63)="EMPTY")+(UPPER($AS$63:$AZ$63)="(EMPTY)"))&gt;0,IFERROR(('Final Calculation Sheet'!$B$12)&amp;"","")="",ISNUMBER(SEARCH($AS$63:$AZ$63,IFERROR(('Final Calculation Sheet'!$B$12)&amp;"","")))))&gt;0),IF(COUNTIF($BI$63:$BP$63,8)=0,TRUE,SUMPRODUCT(($BI$63:$BP$63=8)*($AS$63:$AZ$63&lt;&gt;"")*IF(((UPPER($AS$63:$AZ$63)="BLANK")+(UPPER($AS$63:$AZ$63)="(BLANK)")+(UPPER($AS$63:$AZ$63)="EMPTY")+(UPPER($AS$63:$AZ$63)="(EMPTY)"))&gt;0,IFERROR(('Final Calculation Sheet'!$B$12)&amp;"","")="",ISNUMBER(SEARCH($AS$63:$AZ$63,IFERROR(('Final Calculation Sheet'!$B$12)&amp;"","")))))&gt;0))))</f>
        <v>1</v>
      </c>
      <c r="BQ13">
        <f>IF($E$4="",1,--(AND(SUMPRODUCT(--($AS$64:$AZ$64&lt;&gt;""))&gt;0,IF(COUNTIF($BI$64:$BP$64,1)=0,TRUE,SUMPRODUCT(($BI$64:$BP$64=1)*($AS$64:$AZ$64&lt;&gt;"")*IF(((UPPER($AS$64:$AZ$64)="BLANK")+(UPPER($AS$64:$AZ$64)="(BLANK)")+(UPPER($AS$64:$AZ$64)="EMPTY")+(UPPER($AS$64:$AZ$64)="(EMPTY)"))&gt;0,IFERROR(('Final Calculation Sheet'!$D$12)&amp;"","")="",ISNUMBER(SEARCH($AS$64:$AZ$64,IFERROR(('Final Calculation Sheet'!$D$12)&amp;"","")))))&gt;0),IF(COUNTIF($BI$64:$BP$64,2)=0,TRUE,SUMPRODUCT(($BI$64:$BP$64=2)*($AS$64:$AZ$64&lt;&gt;"")*IF(((UPPER($AS$64:$AZ$64)="BLANK")+(UPPER($AS$64:$AZ$64)="(BLANK)")+(UPPER($AS$64:$AZ$64)="EMPTY")+(UPPER($AS$64:$AZ$64)="(EMPTY)"))&gt;0,IFERROR(('Final Calculation Sheet'!$D$12)&amp;"","")="",ISNUMBER(SEARCH($AS$64:$AZ$64,IFERROR(('Final Calculation Sheet'!$D$12)&amp;"","")))))&gt;0),IF(COUNTIF($BI$64:$BP$64,3)=0,TRUE,SUMPRODUCT(($BI$64:$BP$64=3)*($AS$64:$AZ$64&lt;&gt;"")*IF(((UPPER($AS$64:$AZ$64)="BLANK")+(UPPER($AS$64:$AZ$64)="(BLANK)")+(UPPER($AS$64:$AZ$64)="EMPTY")+(UPPER($AS$64:$AZ$64)="(EMPTY)"))&gt;0,IFERROR(('Final Calculation Sheet'!$D$12)&amp;"","")="",ISNUMBER(SEARCH($AS$64:$AZ$64,IFERROR(('Final Calculation Sheet'!$D$12)&amp;"","")))))&gt;0),IF(COUNTIF($BI$64:$BP$64,4)=0,TRUE,SUMPRODUCT(($BI$64:$BP$64=4)*($AS$64:$AZ$64&lt;&gt;"")*IF(((UPPER($AS$64:$AZ$64)="BLANK")+(UPPER($AS$64:$AZ$64)="(BLANK)")+(UPPER($AS$64:$AZ$64)="EMPTY")+(UPPER($AS$64:$AZ$64)="(EMPTY)"))&gt;0,IFERROR(('Final Calculation Sheet'!$D$12)&amp;"","")="",ISNUMBER(SEARCH($AS$64:$AZ$64,IFERROR(('Final Calculation Sheet'!$D$12)&amp;"","")))))&gt;0),IF(COUNTIF($BI$64:$BP$64,5)=0,TRUE,SUMPRODUCT(($BI$64:$BP$64=5)*($AS$64:$AZ$64&lt;&gt;"")*IF(((UPPER($AS$64:$AZ$64)="BLANK")+(UPPER($AS$64:$AZ$64)="(BLANK)")+(UPPER($AS$64:$AZ$64)="EMPTY")+(UPPER($AS$64:$AZ$64)="(EMPTY)"))&gt;0,IFERROR(('Final Calculation Sheet'!$D$12)&amp;"","")="",ISNUMBER(SEARCH($AS$64:$AZ$64,IFERROR(('Final Calculation Sheet'!$D$12)&amp;"","")))))&gt;0),IF(COUNTIF($BI$64:$BP$64,6)=0,TRUE,SUMPRODUCT(($BI$64:$BP$64=6)*($AS$64:$AZ$64&lt;&gt;"")*IF(((UPPER($AS$64:$AZ$64)="BLANK")+(UPPER($AS$64:$AZ$64)="(BLANK)")+(UPPER($AS$64:$AZ$64)="EMPTY")+(UPPER($AS$64:$AZ$64)="(EMPTY)"))&gt;0,IFERROR(('Final Calculation Sheet'!$D$12)&amp;"","")="",ISNUMBER(SEARCH($AS$64:$AZ$64,IFERROR(('Final Calculation Sheet'!$D$12)&amp;"","")))))&gt;0),IF(COUNTIF($BI$64:$BP$64,7)=0,TRUE,SUMPRODUCT(($BI$64:$BP$64=7)*($AS$64:$AZ$64&lt;&gt;"")*IF(((UPPER($AS$64:$AZ$64)="BLANK")+(UPPER($AS$64:$AZ$64)="(BLANK)")+(UPPER($AS$64:$AZ$64)="EMPTY")+(UPPER($AS$64:$AZ$64)="(EMPTY)"))&gt;0,IFERROR(('Final Calculation Sheet'!$D$12)&amp;"","")="",ISNUMBER(SEARCH($AS$64:$AZ$64,IFERROR(('Final Calculation Sheet'!$D$12)&amp;"","")))))&gt;0),IF(COUNTIF($BI$64:$BP$64,8)=0,TRUE,SUMPRODUCT(($BI$64:$BP$64=8)*($AS$64:$AZ$64&lt;&gt;"")*IF(((UPPER($AS$64:$AZ$64)="BLANK")+(UPPER($AS$64:$AZ$64)="(BLANK)")+(UPPER($AS$64:$AZ$64)="EMPTY")+(UPPER($AS$64:$AZ$64)="(EMPTY)"))&gt;0,IFERROR(('Final Calculation Sheet'!$D$12)&amp;"","")="",ISNUMBER(SEARCH($AS$64:$AZ$64,IFERROR(('Final Calculation Sheet'!$D$12)&amp;"","")))))&gt;0))))</f>
        <v>1</v>
      </c>
      <c r="BR13">
        <f>IF($F$4="",1,--(AND(SUMPRODUCT(--($AS$65:$AZ$65&lt;&gt;""))&gt;0,IF(COUNTIF($BI$65:$BP$65,1)=0,TRUE,SUMPRODUCT(($BI$65:$BP$65=1)*($AS$65:$AZ$65&lt;&gt;"")*IF(((UPPER($AS$65:$AZ$65)="BLANK")+(UPPER($AS$65:$AZ$65)="(BLANK)")+(UPPER($AS$65:$AZ$65)="EMPTY")+(UPPER($AS$65:$AZ$65)="(EMPTY)"))&gt;0,IFERROR(('Final Calculation Sheet'!$A$12)&amp;"","")="",ISNUMBER(SEARCH($AS$65:$AZ$65,IFERROR(('Final Calculation Sheet'!$A$12)&amp;"","")))))&gt;0),IF(COUNTIF($BI$65:$BP$65,2)=0,TRUE,SUMPRODUCT(($BI$65:$BP$65=2)*($AS$65:$AZ$65&lt;&gt;"")*IF(((UPPER($AS$65:$AZ$65)="BLANK")+(UPPER($AS$65:$AZ$65)="(BLANK)")+(UPPER($AS$65:$AZ$65)="EMPTY")+(UPPER($AS$65:$AZ$65)="(EMPTY)"))&gt;0,IFERROR(('Final Calculation Sheet'!$A$12)&amp;"","")="",ISNUMBER(SEARCH($AS$65:$AZ$65,IFERROR(('Final Calculation Sheet'!$A$12)&amp;"","")))))&gt;0),IF(COUNTIF($BI$65:$BP$65,3)=0,TRUE,SUMPRODUCT(($BI$65:$BP$65=3)*($AS$65:$AZ$65&lt;&gt;"")*IF(((UPPER($AS$65:$AZ$65)="BLANK")+(UPPER($AS$65:$AZ$65)="(BLANK)")+(UPPER($AS$65:$AZ$65)="EMPTY")+(UPPER($AS$65:$AZ$65)="(EMPTY)"))&gt;0,IFERROR(('Final Calculation Sheet'!$A$12)&amp;"","")="",ISNUMBER(SEARCH($AS$65:$AZ$65,IFERROR(('Final Calculation Sheet'!$A$12)&amp;"","")))))&gt;0),IF(COUNTIF($BI$65:$BP$65,4)=0,TRUE,SUMPRODUCT(($BI$65:$BP$65=4)*($AS$65:$AZ$65&lt;&gt;"")*IF(((UPPER($AS$65:$AZ$65)="BLANK")+(UPPER($AS$65:$AZ$65)="(BLANK)")+(UPPER($AS$65:$AZ$65)="EMPTY")+(UPPER($AS$65:$AZ$65)="(EMPTY)"))&gt;0,IFERROR(('Final Calculation Sheet'!$A$12)&amp;"","")="",ISNUMBER(SEARCH($AS$65:$AZ$65,IFERROR(('Final Calculation Sheet'!$A$12)&amp;"","")))))&gt;0),IF(COUNTIF($BI$65:$BP$65,5)=0,TRUE,SUMPRODUCT(($BI$65:$BP$65=5)*($AS$65:$AZ$65&lt;&gt;"")*IF(((UPPER($AS$65:$AZ$65)="BLANK")+(UPPER($AS$65:$AZ$65)="(BLANK)")+(UPPER($AS$65:$AZ$65)="EMPTY")+(UPPER($AS$65:$AZ$65)="(EMPTY)"))&gt;0,IFERROR(('Final Calculation Sheet'!$A$12)&amp;"","")="",ISNUMBER(SEARCH($AS$65:$AZ$65,IFERROR(('Final Calculation Sheet'!$A$12)&amp;"","")))))&gt;0),IF(COUNTIF($BI$65:$BP$65,6)=0,TRUE,SUMPRODUCT(($BI$65:$BP$65=6)*($AS$65:$AZ$65&lt;&gt;"")*IF(((UPPER($AS$65:$AZ$65)="BLANK")+(UPPER($AS$65:$AZ$65)="(BLANK)")+(UPPER($AS$65:$AZ$65)="EMPTY")+(UPPER($AS$65:$AZ$65)="(EMPTY)"))&gt;0,IFERROR(('Final Calculation Sheet'!$A$12)&amp;"","")="",ISNUMBER(SEARCH($AS$65:$AZ$65,IFERROR(('Final Calculation Sheet'!$A$12)&amp;"","")))))&gt;0),IF(COUNTIF($BI$65:$BP$65,7)=0,TRUE,SUMPRODUCT(($BI$65:$BP$65=7)*($AS$65:$AZ$65&lt;&gt;"")*IF(((UPPER($AS$65:$AZ$65)="BLANK")+(UPPER($AS$65:$AZ$65)="(BLANK)")+(UPPER($AS$65:$AZ$65)="EMPTY")+(UPPER($AS$65:$AZ$65)="(EMPTY)"))&gt;0,IFERROR(('Final Calculation Sheet'!$A$12)&amp;"","")="",ISNUMBER(SEARCH($AS$65:$AZ$65,IFERROR(('Final Calculation Sheet'!$A$12)&amp;"","")))))&gt;0),IF(COUNTIF($BI$65:$BP$65,8)=0,TRUE,SUMPRODUCT(($BI$65:$BP$65=8)*($AS$65:$AZ$65&lt;&gt;"")*IF(((UPPER($AS$65:$AZ$65)="BLANK")+(UPPER($AS$65:$AZ$65)="(BLANK)")+(UPPER($AS$65:$AZ$65)="EMPTY")+(UPPER($AS$65:$AZ$65)="(EMPTY)"))&gt;0,IFERROR(('Final Calculation Sheet'!$A$12)&amp;"","")="",ISNUMBER(SEARCH($AS$65:$AZ$65,IFERROR(('Final Calculation Sheet'!$A$12)&amp;"","")))))&gt;0))))</f>
        <v>1</v>
      </c>
      <c r="BS13">
        <f>IF($G$4="",1,--(AND(SUMPRODUCT(--($AS$66:$AZ$66&lt;&gt;""))&gt;0,IF(COUNTIF($BI$66:$BP$66,1)=0,TRUE,SUMPRODUCT(($BI$66:$BP$66=1)*($AS$66:$AZ$66&lt;&gt;"")*IF(((UPPER($AS$66:$AZ$66)="BLANK")+(UPPER($AS$66:$AZ$66)="(BLANK)")+(UPPER($AS$66:$AZ$66)="EMPTY")+(UPPER($AS$66:$AZ$66)="(EMPTY)"))&gt;0,IFERROR(('Final Calculation Sheet'!$E$12)&amp;"","")="",ISNUMBER(SEARCH($AS$66:$AZ$66,IFERROR(('Final Calculation Sheet'!$E$12)&amp;"","")))))&gt;0),IF(COUNTIF($BI$66:$BP$66,2)=0,TRUE,SUMPRODUCT(($BI$66:$BP$66=2)*($AS$66:$AZ$66&lt;&gt;"")*IF(((UPPER($AS$66:$AZ$66)="BLANK")+(UPPER($AS$66:$AZ$66)="(BLANK)")+(UPPER($AS$66:$AZ$66)="EMPTY")+(UPPER($AS$66:$AZ$66)="(EMPTY)"))&gt;0,IFERROR(('Final Calculation Sheet'!$E$12)&amp;"","")="",ISNUMBER(SEARCH($AS$66:$AZ$66,IFERROR(('Final Calculation Sheet'!$E$12)&amp;"","")))))&gt;0),IF(COUNTIF($BI$66:$BP$66,3)=0,TRUE,SUMPRODUCT(($BI$66:$BP$66=3)*($AS$66:$AZ$66&lt;&gt;"")*IF(((UPPER($AS$66:$AZ$66)="BLANK")+(UPPER($AS$66:$AZ$66)="(BLANK)")+(UPPER($AS$66:$AZ$66)="EMPTY")+(UPPER($AS$66:$AZ$66)="(EMPTY)"))&gt;0,IFERROR(('Final Calculation Sheet'!$E$12)&amp;"","")="",ISNUMBER(SEARCH($AS$66:$AZ$66,IFERROR(('Final Calculation Sheet'!$E$12)&amp;"","")))))&gt;0),IF(COUNTIF($BI$66:$BP$66,4)=0,TRUE,SUMPRODUCT(($BI$66:$BP$66=4)*($AS$66:$AZ$66&lt;&gt;"")*IF(((UPPER($AS$66:$AZ$66)="BLANK")+(UPPER($AS$66:$AZ$66)="(BLANK)")+(UPPER($AS$66:$AZ$66)="EMPTY")+(UPPER($AS$66:$AZ$66)="(EMPTY)"))&gt;0,IFERROR(('Final Calculation Sheet'!$E$12)&amp;"","")="",ISNUMBER(SEARCH($AS$66:$AZ$66,IFERROR(('Final Calculation Sheet'!$E$12)&amp;"","")))))&gt;0),IF(COUNTIF($BI$66:$BP$66,5)=0,TRUE,SUMPRODUCT(($BI$66:$BP$66=5)*($AS$66:$AZ$66&lt;&gt;"")*IF(((UPPER($AS$66:$AZ$66)="BLANK")+(UPPER($AS$66:$AZ$66)="(BLANK)")+(UPPER($AS$66:$AZ$66)="EMPTY")+(UPPER($AS$66:$AZ$66)="(EMPTY)"))&gt;0,IFERROR(('Final Calculation Sheet'!$E$12)&amp;"","")="",ISNUMBER(SEARCH($AS$66:$AZ$66,IFERROR(('Final Calculation Sheet'!$E$12)&amp;"","")))))&gt;0),IF(COUNTIF($BI$66:$BP$66,6)=0,TRUE,SUMPRODUCT(($BI$66:$BP$66=6)*($AS$66:$AZ$66&lt;&gt;"")*IF(((UPPER($AS$66:$AZ$66)="BLANK")+(UPPER($AS$66:$AZ$66)="(BLANK)")+(UPPER($AS$66:$AZ$66)="EMPTY")+(UPPER($AS$66:$AZ$66)="(EMPTY)"))&gt;0,IFERROR(('Final Calculation Sheet'!$E$12)&amp;"","")="",ISNUMBER(SEARCH($AS$66:$AZ$66,IFERROR(('Final Calculation Sheet'!$E$12)&amp;"","")))))&gt;0),IF(COUNTIF($BI$66:$BP$66,7)=0,TRUE,SUMPRODUCT(($BI$66:$BP$66=7)*($AS$66:$AZ$66&lt;&gt;"")*IF(((UPPER($AS$66:$AZ$66)="BLANK")+(UPPER($AS$66:$AZ$66)="(BLANK)")+(UPPER($AS$66:$AZ$66)="EMPTY")+(UPPER($AS$66:$AZ$66)="(EMPTY)"))&gt;0,IFERROR(('Final Calculation Sheet'!$E$12)&amp;"","")="",ISNUMBER(SEARCH($AS$66:$AZ$66,IFERROR(('Final Calculation Sheet'!$E$12)&amp;"","")))))&gt;0),IF(COUNTIF($BI$66:$BP$66,8)=0,TRUE,SUMPRODUCT(($BI$66:$BP$66=8)*($AS$66:$AZ$66&lt;&gt;"")*IF(((UPPER($AS$66:$AZ$66)="BLANK")+(UPPER($AS$66:$AZ$66)="(BLANK)")+(UPPER($AS$66:$AZ$66)="EMPTY")+(UPPER($AS$66:$AZ$66)="(EMPTY)"))&gt;0,IFERROR(('Final Calculation Sheet'!$E$12)&amp;"","")="",ISNUMBER(SEARCH($AS$66:$AZ$66,IFERROR(('Final Calculation Sheet'!$E$12)&amp;"","")))))&gt;0))))</f>
        <v>1</v>
      </c>
      <c r="BT13">
        <f>IF($H$4="",1,--(AND(SUMPRODUCT(--($AS$67:$AZ$67&lt;&gt;""))&gt;0,IF(COUNTIF($BI$67:$BP$67,1)=0,TRUE,SUMPRODUCT(($BI$67:$BP$67=1)*($AS$67:$AZ$67&lt;&gt;"")*IF(((UPPER($AS$67:$AZ$67)="BLANK")+(UPPER($AS$67:$AZ$67)="(BLANK)")+(UPPER($AS$67:$AZ$67)="EMPTY")+(UPPER($AS$67:$AZ$67)="(EMPTY)"))&gt;0,IFERROR(('Final Calculation Sheet'!$C$12)&amp;"","")="",ISNUMBER(SEARCH($AS$67:$AZ$67,IFERROR(('Final Calculation Sheet'!$C$12)&amp;"","")))))&gt;0),IF(COUNTIF($BI$67:$BP$67,2)=0,TRUE,SUMPRODUCT(($BI$67:$BP$67=2)*($AS$67:$AZ$67&lt;&gt;"")*IF(((UPPER($AS$67:$AZ$67)="BLANK")+(UPPER($AS$67:$AZ$67)="(BLANK)")+(UPPER($AS$67:$AZ$67)="EMPTY")+(UPPER($AS$67:$AZ$67)="(EMPTY)"))&gt;0,IFERROR(('Final Calculation Sheet'!$C$12)&amp;"","")="",ISNUMBER(SEARCH($AS$67:$AZ$67,IFERROR(('Final Calculation Sheet'!$C$12)&amp;"","")))))&gt;0),IF(COUNTIF($BI$67:$BP$67,3)=0,TRUE,SUMPRODUCT(($BI$67:$BP$67=3)*($AS$67:$AZ$67&lt;&gt;"")*IF(((UPPER($AS$67:$AZ$67)="BLANK")+(UPPER($AS$67:$AZ$67)="(BLANK)")+(UPPER($AS$67:$AZ$67)="EMPTY")+(UPPER($AS$67:$AZ$67)="(EMPTY)"))&gt;0,IFERROR(('Final Calculation Sheet'!$C$12)&amp;"","")="",ISNUMBER(SEARCH($AS$67:$AZ$67,IFERROR(('Final Calculation Sheet'!$C$12)&amp;"","")))))&gt;0),IF(COUNTIF($BI$67:$BP$67,4)=0,TRUE,SUMPRODUCT(($BI$67:$BP$67=4)*($AS$67:$AZ$67&lt;&gt;"")*IF(((UPPER($AS$67:$AZ$67)="BLANK")+(UPPER($AS$67:$AZ$67)="(BLANK)")+(UPPER($AS$67:$AZ$67)="EMPTY")+(UPPER($AS$67:$AZ$67)="(EMPTY)"))&gt;0,IFERROR(('Final Calculation Sheet'!$C$12)&amp;"","")="",ISNUMBER(SEARCH($AS$67:$AZ$67,IFERROR(('Final Calculation Sheet'!$C$12)&amp;"","")))))&gt;0),IF(COUNTIF($BI$67:$BP$67,5)=0,TRUE,SUMPRODUCT(($BI$67:$BP$67=5)*($AS$67:$AZ$67&lt;&gt;"")*IF(((UPPER($AS$67:$AZ$67)="BLANK")+(UPPER($AS$67:$AZ$67)="(BLANK)")+(UPPER($AS$67:$AZ$67)="EMPTY")+(UPPER($AS$67:$AZ$67)="(EMPTY)"))&gt;0,IFERROR(('Final Calculation Sheet'!$C$12)&amp;"","")="",ISNUMBER(SEARCH($AS$67:$AZ$67,IFERROR(('Final Calculation Sheet'!$C$12)&amp;"","")))))&gt;0),IF(COUNTIF($BI$67:$BP$67,6)=0,TRUE,SUMPRODUCT(($BI$67:$BP$67=6)*($AS$67:$AZ$67&lt;&gt;"")*IF(((UPPER($AS$67:$AZ$67)="BLANK")+(UPPER($AS$67:$AZ$67)="(BLANK)")+(UPPER($AS$67:$AZ$67)="EMPTY")+(UPPER($AS$67:$AZ$67)="(EMPTY)"))&gt;0,IFERROR(('Final Calculation Sheet'!$C$12)&amp;"","")="",ISNUMBER(SEARCH($AS$67:$AZ$67,IFERROR(('Final Calculation Sheet'!$C$12)&amp;"","")))))&gt;0),IF(COUNTIF($BI$67:$BP$67,7)=0,TRUE,SUMPRODUCT(($BI$67:$BP$67=7)*($AS$67:$AZ$67&lt;&gt;"")*IF(((UPPER($AS$67:$AZ$67)="BLANK")+(UPPER($AS$67:$AZ$67)="(BLANK)")+(UPPER($AS$67:$AZ$67)="EMPTY")+(UPPER($AS$67:$AZ$67)="(EMPTY)"))&gt;0,IFERROR(('Final Calculation Sheet'!$C$12)&amp;"","")="",ISNUMBER(SEARCH($AS$67:$AZ$67,IFERROR(('Final Calculation Sheet'!$C$12)&amp;"","")))))&gt;0),IF(COUNTIF($BI$67:$BP$67,8)=0,TRUE,SUMPRODUCT(($BI$67:$BP$67=8)*($AS$67:$AZ$67&lt;&gt;"")*IF(((UPPER($AS$67:$AZ$67)="BLANK")+(UPPER($AS$67:$AZ$67)="(BLANK)")+(UPPER($AS$67:$AZ$67)="EMPTY")+(UPPER($AS$67:$AZ$67)="(EMPTY)"))&gt;0,IFERROR(('Final Calculation Sheet'!$C$12)&amp;"","")="",ISNUMBER(SEARCH($AS$67:$AZ$67,IFERROR(('Final Calculation Sheet'!$C$12)&amp;"","")))))&gt;0))))</f>
        <v>1</v>
      </c>
      <c r="BU13">
        <f>IF($I$4="",1,--(AND(SUMPRODUCT(--($AS$68:$AZ$68&lt;&gt;""))&gt;0,IF(COUNTIF($BI$68:$BP$68,1)=0,TRUE,SUMPRODUCT(($BI$68:$BP$68=1)*($AS$68:$AZ$68&lt;&gt;"")*IF(((UPPER($AS$68:$AZ$68)="BLANK")+(UPPER($AS$68:$AZ$68)="(BLANK)")+(UPPER($AS$68:$AZ$68)="EMPTY")+(UPPER($AS$68:$AZ$68)="(EMPTY)"))&gt;0,IFERROR(('Final Calculation Sheet'!$H$12)&amp;"","")="",ISNUMBER(SEARCH($AS$68:$AZ$68,IFERROR(('Final Calculation Sheet'!$H$12)&amp;"","")))))&gt;0),IF(COUNTIF($BI$68:$BP$68,2)=0,TRUE,SUMPRODUCT(($BI$68:$BP$68=2)*($AS$68:$AZ$68&lt;&gt;"")*IF(((UPPER($AS$68:$AZ$68)="BLANK")+(UPPER($AS$68:$AZ$68)="(BLANK)")+(UPPER($AS$68:$AZ$68)="EMPTY")+(UPPER($AS$68:$AZ$68)="(EMPTY)"))&gt;0,IFERROR(('Final Calculation Sheet'!$H$12)&amp;"","")="",ISNUMBER(SEARCH($AS$68:$AZ$68,IFERROR(('Final Calculation Sheet'!$H$12)&amp;"","")))))&gt;0),IF(COUNTIF($BI$68:$BP$68,3)=0,TRUE,SUMPRODUCT(($BI$68:$BP$68=3)*($AS$68:$AZ$68&lt;&gt;"")*IF(((UPPER($AS$68:$AZ$68)="BLANK")+(UPPER($AS$68:$AZ$68)="(BLANK)")+(UPPER($AS$68:$AZ$68)="EMPTY")+(UPPER($AS$68:$AZ$68)="(EMPTY)"))&gt;0,IFERROR(('Final Calculation Sheet'!$H$12)&amp;"","")="",ISNUMBER(SEARCH($AS$68:$AZ$68,IFERROR(('Final Calculation Sheet'!$H$12)&amp;"","")))))&gt;0),IF(COUNTIF($BI$68:$BP$68,4)=0,TRUE,SUMPRODUCT(($BI$68:$BP$68=4)*($AS$68:$AZ$68&lt;&gt;"")*IF(((UPPER($AS$68:$AZ$68)="BLANK")+(UPPER($AS$68:$AZ$68)="(BLANK)")+(UPPER($AS$68:$AZ$68)="EMPTY")+(UPPER($AS$68:$AZ$68)="(EMPTY)"))&gt;0,IFERROR(('Final Calculation Sheet'!$H$12)&amp;"","")="",ISNUMBER(SEARCH($AS$68:$AZ$68,IFERROR(('Final Calculation Sheet'!$H$12)&amp;"","")))))&gt;0),IF(COUNTIF($BI$68:$BP$68,5)=0,TRUE,SUMPRODUCT(($BI$68:$BP$68=5)*($AS$68:$AZ$68&lt;&gt;"")*IF(((UPPER($AS$68:$AZ$68)="BLANK")+(UPPER($AS$68:$AZ$68)="(BLANK)")+(UPPER($AS$68:$AZ$68)="EMPTY")+(UPPER($AS$68:$AZ$68)="(EMPTY)"))&gt;0,IFERROR(('Final Calculation Sheet'!$H$12)&amp;"","")="",ISNUMBER(SEARCH($AS$68:$AZ$68,IFERROR(('Final Calculation Sheet'!$H$12)&amp;"","")))))&gt;0),IF(COUNTIF($BI$68:$BP$68,6)=0,TRUE,SUMPRODUCT(($BI$68:$BP$68=6)*($AS$68:$AZ$68&lt;&gt;"")*IF(((UPPER($AS$68:$AZ$68)="BLANK")+(UPPER($AS$68:$AZ$68)="(BLANK)")+(UPPER($AS$68:$AZ$68)="EMPTY")+(UPPER($AS$68:$AZ$68)="(EMPTY)"))&gt;0,IFERROR(('Final Calculation Sheet'!$H$12)&amp;"","")="",ISNUMBER(SEARCH($AS$68:$AZ$68,IFERROR(('Final Calculation Sheet'!$H$12)&amp;"","")))))&gt;0),IF(COUNTIF($BI$68:$BP$68,7)=0,TRUE,SUMPRODUCT(($BI$68:$BP$68=7)*($AS$68:$AZ$68&lt;&gt;"")*IF(((UPPER($AS$68:$AZ$68)="BLANK")+(UPPER($AS$68:$AZ$68)="(BLANK)")+(UPPER($AS$68:$AZ$68)="EMPTY")+(UPPER($AS$68:$AZ$68)="(EMPTY)"))&gt;0,IFERROR(('Final Calculation Sheet'!$H$12)&amp;"","")="",ISNUMBER(SEARCH($AS$68:$AZ$68,IFERROR(('Final Calculation Sheet'!$H$12)&amp;"","")))))&gt;0),IF(COUNTIF($BI$68:$BP$68,8)=0,TRUE,SUMPRODUCT(($BI$68:$BP$68=8)*($AS$68:$AZ$68&lt;&gt;"")*IF(((UPPER($AS$68:$AZ$68)="BLANK")+(UPPER($AS$68:$AZ$68)="(BLANK)")+(UPPER($AS$68:$AZ$68)="EMPTY")+(UPPER($AS$68:$AZ$68)="(EMPTY)"))&gt;0,IFERROR(('Final Calculation Sheet'!$H$12)&amp;"","")="",ISNUMBER(SEARCH($AS$68:$AZ$68,IFERROR(('Final Calculation Sheet'!$H$12)&amp;"","")))))&gt;0))))</f>
        <v>1</v>
      </c>
      <c r="BV13">
        <f>IF($J$4="",1,--(AND(SUMPRODUCT(--($AS$69:$AZ$69&lt;&gt;""))&gt;0,IF(COUNTIF($BI$69:$BP$69,1)=0,TRUE,SUMPRODUCT(($BI$69:$BP$69=1)*($AS$69:$AZ$69&lt;&gt;"")*IF(((UPPER($AS$69:$AZ$69)="BLANK")+(UPPER($AS$69:$AZ$69)="(BLANK)")+(UPPER($AS$69:$AZ$69)="EMPTY")+(UPPER($AS$69:$AZ$69)="(EMPTY)"))&gt;0,IFERROR(('Final Calculation Sheet'!$I$12)&amp;"","")="",ISNUMBER(SEARCH($AS$69:$AZ$69,IFERROR(('Final Calculation Sheet'!$I$12)&amp;"","")))))&gt;0),IF(COUNTIF($BI$69:$BP$69,2)=0,TRUE,SUMPRODUCT(($BI$69:$BP$69=2)*($AS$69:$AZ$69&lt;&gt;"")*IF(((UPPER($AS$69:$AZ$69)="BLANK")+(UPPER($AS$69:$AZ$69)="(BLANK)")+(UPPER($AS$69:$AZ$69)="EMPTY")+(UPPER($AS$69:$AZ$69)="(EMPTY)"))&gt;0,IFERROR(('Final Calculation Sheet'!$I$12)&amp;"","")="",ISNUMBER(SEARCH($AS$69:$AZ$69,IFERROR(('Final Calculation Sheet'!$I$12)&amp;"","")))))&gt;0),IF(COUNTIF($BI$69:$BP$69,3)=0,TRUE,SUMPRODUCT(($BI$69:$BP$69=3)*($AS$69:$AZ$69&lt;&gt;"")*IF(((UPPER($AS$69:$AZ$69)="BLANK")+(UPPER($AS$69:$AZ$69)="(BLANK)")+(UPPER($AS$69:$AZ$69)="EMPTY")+(UPPER($AS$69:$AZ$69)="(EMPTY)"))&gt;0,IFERROR(('Final Calculation Sheet'!$I$12)&amp;"","")="",ISNUMBER(SEARCH($AS$69:$AZ$69,IFERROR(('Final Calculation Sheet'!$I$12)&amp;"","")))))&gt;0),IF(COUNTIF($BI$69:$BP$69,4)=0,TRUE,SUMPRODUCT(($BI$69:$BP$69=4)*($AS$69:$AZ$69&lt;&gt;"")*IF(((UPPER($AS$69:$AZ$69)="BLANK")+(UPPER($AS$69:$AZ$69)="(BLANK)")+(UPPER($AS$69:$AZ$69)="EMPTY")+(UPPER($AS$69:$AZ$69)="(EMPTY)"))&gt;0,IFERROR(('Final Calculation Sheet'!$I$12)&amp;"","")="",ISNUMBER(SEARCH($AS$69:$AZ$69,IFERROR(('Final Calculation Sheet'!$I$12)&amp;"","")))))&gt;0),IF(COUNTIF($BI$69:$BP$69,5)=0,TRUE,SUMPRODUCT(($BI$69:$BP$69=5)*($AS$69:$AZ$69&lt;&gt;"")*IF(((UPPER($AS$69:$AZ$69)="BLANK")+(UPPER($AS$69:$AZ$69)="(BLANK)")+(UPPER($AS$69:$AZ$69)="EMPTY")+(UPPER($AS$69:$AZ$69)="(EMPTY)"))&gt;0,IFERROR(('Final Calculation Sheet'!$I$12)&amp;"","")="",ISNUMBER(SEARCH($AS$69:$AZ$69,IFERROR(('Final Calculation Sheet'!$I$12)&amp;"","")))))&gt;0),IF(COUNTIF($BI$69:$BP$69,6)=0,TRUE,SUMPRODUCT(($BI$69:$BP$69=6)*($AS$69:$AZ$69&lt;&gt;"")*IF(((UPPER($AS$69:$AZ$69)="BLANK")+(UPPER($AS$69:$AZ$69)="(BLANK)")+(UPPER($AS$69:$AZ$69)="EMPTY")+(UPPER($AS$69:$AZ$69)="(EMPTY)"))&gt;0,IFERROR(('Final Calculation Sheet'!$I$12)&amp;"","")="",ISNUMBER(SEARCH($AS$69:$AZ$69,IFERROR(('Final Calculation Sheet'!$I$12)&amp;"","")))))&gt;0),IF(COUNTIF($BI$69:$BP$69,7)=0,TRUE,SUMPRODUCT(($BI$69:$BP$69=7)*($AS$69:$AZ$69&lt;&gt;"")*IF(((UPPER($AS$69:$AZ$69)="BLANK")+(UPPER($AS$69:$AZ$69)="(BLANK)")+(UPPER($AS$69:$AZ$69)="EMPTY")+(UPPER($AS$69:$AZ$69)="(EMPTY)"))&gt;0,IFERROR(('Final Calculation Sheet'!$I$12)&amp;"","")="",ISNUMBER(SEARCH($AS$69:$AZ$69,IFERROR(('Final Calculation Sheet'!$I$12)&amp;"","")))))&gt;0),IF(COUNTIF($BI$69:$BP$69,8)=0,TRUE,SUMPRODUCT(($BI$69:$BP$69=8)*($AS$69:$AZ$69&lt;&gt;"")*IF(((UPPER($AS$69:$AZ$69)="BLANK")+(UPPER($AS$69:$AZ$69)="(BLANK)")+(UPPER($AS$69:$AZ$69)="EMPTY")+(UPPER($AS$69:$AZ$69)="(EMPTY)"))&gt;0,IFERROR(('Final Calculation Sheet'!$I$12)&amp;"","")="",ISNUMBER(SEARCH($AS$69:$AZ$69,IFERROR(('Final Calculation Sheet'!$I$12)&amp;"","")))))&gt;0))))</f>
        <v>1</v>
      </c>
      <c r="BW13">
        <f>IF($K$4="",1,--(AND(SUMPRODUCT(--($AS$70:$AZ$70&lt;&gt;""))&gt;0,IF(COUNTIF($BI$70:$BP$70,1)=0,TRUE,SUMPRODUCT(($BI$70:$BP$70=1)*($AS$70:$AZ$70&lt;&gt;"")*IF(((UPPER($AS$70:$AZ$70)="BLANK")+(UPPER($AS$70:$AZ$70)="(BLANK)")+(UPPER($AS$70:$AZ$70)="EMPTY")+(UPPER($AS$70:$AZ$70)="(EMPTY)"))&gt;0,IFERROR(('Final Calculation Sheet'!$J$12)&amp;"","")="",ISNUMBER(SEARCH($AS$70:$AZ$70,IFERROR(('Final Calculation Sheet'!$J$12)&amp;"","")))))&gt;0),IF(COUNTIF($BI$70:$BP$70,2)=0,TRUE,SUMPRODUCT(($BI$70:$BP$70=2)*($AS$70:$AZ$70&lt;&gt;"")*IF(((UPPER($AS$70:$AZ$70)="BLANK")+(UPPER($AS$70:$AZ$70)="(BLANK)")+(UPPER($AS$70:$AZ$70)="EMPTY")+(UPPER($AS$70:$AZ$70)="(EMPTY)"))&gt;0,IFERROR(('Final Calculation Sheet'!$J$12)&amp;"","")="",ISNUMBER(SEARCH($AS$70:$AZ$70,IFERROR(('Final Calculation Sheet'!$J$12)&amp;"","")))))&gt;0),IF(COUNTIF($BI$70:$BP$70,3)=0,TRUE,SUMPRODUCT(($BI$70:$BP$70=3)*($AS$70:$AZ$70&lt;&gt;"")*IF(((UPPER($AS$70:$AZ$70)="BLANK")+(UPPER($AS$70:$AZ$70)="(BLANK)")+(UPPER($AS$70:$AZ$70)="EMPTY")+(UPPER($AS$70:$AZ$70)="(EMPTY)"))&gt;0,IFERROR(('Final Calculation Sheet'!$J$12)&amp;"","")="",ISNUMBER(SEARCH($AS$70:$AZ$70,IFERROR(('Final Calculation Sheet'!$J$12)&amp;"","")))))&gt;0),IF(COUNTIF($BI$70:$BP$70,4)=0,TRUE,SUMPRODUCT(($BI$70:$BP$70=4)*($AS$70:$AZ$70&lt;&gt;"")*IF(((UPPER($AS$70:$AZ$70)="BLANK")+(UPPER($AS$70:$AZ$70)="(BLANK)")+(UPPER($AS$70:$AZ$70)="EMPTY")+(UPPER($AS$70:$AZ$70)="(EMPTY)"))&gt;0,IFERROR(('Final Calculation Sheet'!$J$12)&amp;"","")="",ISNUMBER(SEARCH($AS$70:$AZ$70,IFERROR(('Final Calculation Sheet'!$J$12)&amp;"","")))))&gt;0),IF(COUNTIF($BI$70:$BP$70,5)=0,TRUE,SUMPRODUCT(($BI$70:$BP$70=5)*($AS$70:$AZ$70&lt;&gt;"")*IF(((UPPER($AS$70:$AZ$70)="BLANK")+(UPPER($AS$70:$AZ$70)="(BLANK)")+(UPPER($AS$70:$AZ$70)="EMPTY")+(UPPER($AS$70:$AZ$70)="(EMPTY)"))&gt;0,IFERROR(('Final Calculation Sheet'!$J$12)&amp;"","")="",ISNUMBER(SEARCH($AS$70:$AZ$70,IFERROR(('Final Calculation Sheet'!$J$12)&amp;"","")))))&gt;0),IF(COUNTIF($BI$70:$BP$70,6)=0,TRUE,SUMPRODUCT(($BI$70:$BP$70=6)*($AS$70:$AZ$70&lt;&gt;"")*IF(((UPPER($AS$70:$AZ$70)="BLANK")+(UPPER($AS$70:$AZ$70)="(BLANK)")+(UPPER($AS$70:$AZ$70)="EMPTY")+(UPPER($AS$70:$AZ$70)="(EMPTY)"))&gt;0,IFERROR(('Final Calculation Sheet'!$J$12)&amp;"","")="",ISNUMBER(SEARCH($AS$70:$AZ$70,IFERROR(('Final Calculation Sheet'!$J$12)&amp;"","")))))&gt;0),IF(COUNTIF($BI$70:$BP$70,7)=0,TRUE,SUMPRODUCT(($BI$70:$BP$70=7)*($AS$70:$AZ$70&lt;&gt;"")*IF(((UPPER($AS$70:$AZ$70)="BLANK")+(UPPER($AS$70:$AZ$70)="(BLANK)")+(UPPER($AS$70:$AZ$70)="EMPTY")+(UPPER($AS$70:$AZ$70)="(EMPTY)"))&gt;0,IFERROR(('Final Calculation Sheet'!$J$12)&amp;"","")="",ISNUMBER(SEARCH($AS$70:$AZ$70,IFERROR(('Final Calculation Sheet'!$J$12)&amp;"","")))))&gt;0),IF(COUNTIF($BI$70:$BP$70,8)=0,TRUE,SUMPRODUCT(($BI$70:$BP$70=8)*($AS$70:$AZ$70&lt;&gt;"")*IF(((UPPER($AS$70:$AZ$70)="BLANK")+(UPPER($AS$70:$AZ$70)="(BLANK)")+(UPPER($AS$70:$AZ$70)="EMPTY")+(UPPER($AS$70:$AZ$70)="(EMPTY)"))&gt;0,IFERROR(('Final Calculation Sheet'!$J$12)&amp;"","")="",ISNUMBER(SEARCH($AS$70:$AZ$70,IFERROR(('Final Calculation Sheet'!$J$12)&amp;"","")))))&gt;0))))</f>
        <v>1</v>
      </c>
      <c r="BX13">
        <f>IF($L$4="",1,--(AND(SUMPRODUCT(--($AS$71:$AZ$71&lt;&gt;""))&gt;0,IF(COUNTIF($BI$71:$BP$71,1)=0,TRUE,SUMPRODUCT(($BI$71:$BP$71=1)*($AS$71:$AZ$71&lt;&gt;"")*IF(((UPPER($AS$71:$AZ$71)="BLANK")+(UPPER($AS$71:$AZ$71)="(BLANK)")+(UPPER($AS$71:$AZ$71)="EMPTY")+(UPPER($AS$71:$AZ$71)="(EMPTY)"))&gt;0,IFERROR(('Final Calculation Sheet'!$K$12)&amp;"","")="",ISNUMBER(SEARCH($AS$71:$AZ$71,IFERROR(('Final Calculation Sheet'!$K$12)&amp;"","")))))&gt;0),IF(COUNTIF($BI$71:$BP$71,2)=0,TRUE,SUMPRODUCT(($BI$71:$BP$71=2)*($AS$71:$AZ$71&lt;&gt;"")*IF(((UPPER($AS$71:$AZ$71)="BLANK")+(UPPER($AS$71:$AZ$71)="(BLANK)")+(UPPER($AS$71:$AZ$71)="EMPTY")+(UPPER($AS$71:$AZ$71)="(EMPTY)"))&gt;0,IFERROR(('Final Calculation Sheet'!$K$12)&amp;"","")="",ISNUMBER(SEARCH($AS$71:$AZ$71,IFERROR(('Final Calculation Sheet'!$K$12)&amp;"","")))))&gt;0),IF(COUNTIF($BI$71:$BP$71,3)=0,TRUE,SUMPRODUCT(($BI$71:$BP$71=3)*($AS$71:$AZ$71&lt;&gt;"")*IF(((UPPER($AS$71:$AZ$71)="BLANK")+(UPPER($AS$71:$AZ$71)="(BLANK)")+(UPPER($AS$71:$AZ$71)="EMPTY")+(UPPER($AS$71:$AZ$71)="(EMPTY)"))&gt;0,IFERROR(('Final Calculation Sheet'!$K$12)&amp;"","")="",ISNUMBER(SEARCH($AS$71:$AZ$71,IFERROR(('Final Calculation Sheet'!$K$12)&amp;"","")))))&gt;0),IF(COUNTIF($BI$71:$BP$71,4)=0,TRUE,SUMPRODUCT(($BI$71:$BP$71=4)*($AS$71:$AZ$71&lt;&gt;"")*IF(((UPPER($AS$71:$AZ$71)="BLANK")+(UPPER($AS$71:$AZ$71)="(BLANK)")+(UPPER($AS$71:$AZ$71)="EMPTY")+(UPPER($AS$71:$AZ$71)="(EMPTY)"))&gt;0,IFERROR(('Final Calculation Sheet'!$K$12)&amp;"","")="",ISNUMBER(SEARCH($AS$71:$AZ$71,IFERROR(('Final Calculation Sheet'!$K$12)&amp;"","")))))&gt;0),IF(COUNTIF($BI$71:$BP$71,5)=0,TRUE,SUMPRODUCT(($BI$71:$BP$71=5)*($AS$71:$AZ$71&lt;&gt;"")*IF(((UPPER($AS$71:$AZ$71)="BLANK")+(UPPER($AS$71:$AZ$71)="(BLANK)")+(UPPER($AS$71:$AZ$71)="EMPTY")+(UPPER($AS$71:$AZ$71)="(EMPTY)"))&gt;0,IFERROR(('Final Calculation Sheet'!$K$12)&amp;"","")="",ISNUMBER(SEARCH($AS$71:$AZ$71,IFERROR(('Final Calculation Sheet'!$K$12)&amp;"","")))))&gt;0),IF(COUNTIF($BI$71:$BP$71,6)=0,TRUE,SUMPRODUCT(($BI$71:$BP$71=6)*($AS$71:$AZ$71&lt;&gt;"")*IF(((UPPER($AS$71:$AZ$71)="BLANK")+(UPPER($AS$71:$AZ$71)="(BLANK)")+(UPPER($AS$71:$AZ$71)="EMPTY")+(UPPER($AS$71:$AZ$71)="(EMPTY)"))&gt;0,IFERROR(('Final Calculation Sheet'!$K$12)&amp;"","")="",ISNUMBER(SEARCH($AS$71:$AZ$71,IFERROR(('Final Calculation Sheet'!$K$12)&amp;"","")))))&gt;0),IF(COUNTIF($BI$71:$BP$71,7)=0,TRUE,SUMPRODUCT(($BI$71:$BP$71=7)*($AS$71:$AZ$71&lt;&gt;"")*IF(((UPPER($AS$71:$AZ$71)="BLANK")+(UPPER($AS$71:$AZ$71)="(BLANK)")+(UPPER($AS$71:$AZ$71)="EMPTY")+(UPPER($AS$71:$AZ$71)="(EMPTY)"))&gt;0,IFERROR(('Final Calculation Sheet'!$K$12)&amp;"","")="",ISNUMBER(SEARCH($AS$71:$AZ$71,IFERROR(('Final Calculation Sheet'!$K$12)&amp;"","")))))&gt;0),IF(COUNTIF($BI$71:$BP$71,8)=0,TRUE,SUMPRODUCT(($BI$71:$BP$71=8)*($AS$71:$AZ$71&lt;&gt;"")*IF(((UPPER($AS$71:$AZ$71)="BLANK")+(UPPER($AS$71:$AZ$71)="(BLANK)")+(UPPER($AS$71:$AZ$71)="EMPTY")+(UPPER($AS$71:$AZ$71)="(EMPTY)"))&gt;0,IFERROR(('Final Calculation Sheet'!$K$12)&amp;"","")="",ISNUMBER(SEARCH($AS$71:$AZ$71,IFERROR(('Final Calculation Sheet'!$K$12)&amp;"","")))))&gt;0))))</f>
        <v>1</v>
      </c>
      <c r="BY13">
        <f>IF($M$4="",1,--(AND(SUMPRODUCT(--($AS$72:$AZ$72&lt;&gt;""))&gt;0,IF(COUNTIF($BI$72:$BP$72,1)=0,TRUE,SUMPRODUCT(($BI$72:$BP$72=1)*($AS$72:$AZ$72&lt;&gt;"")*IF(((UPPER($AS$72:$AZ$72)="BLANK")+(UPPER($AS$72:$AZ$72)="(BLANK)")+(UPPER($AS$72:$AZ$72)="EMPTY")+(UPPER($AS$72:$AZ$72)="(EMPTY)"))&gt;0,IFERROR(('Final Calculation Sheet'!$L$12)&amp;"","")="",ISNUMBER(SEARCH($AS$72:$AZ$72,IFERROR(('Final Calculation Sheet'!$L$12)&amp;"","")))))&gt;0),IF(COUNTIF($BI$72:$BP$72,2)=0,TRUE,SUMPRODUCT(($BI$72:$BP$72=2)*($AS$72:$AZ$72&lt;&gt;"")*IF(((UPPER($AS$72:$AZ$72)="BLANK")+(UPPER($AS$72:$AZ$72)="(BLANK)")+(UPPER($AS$72:$AZ$72)="EMPTY")+(UPPER($AS$72:$AZ$72)="(EMPTY)"))&gt;0,IFERROR(('Final Calculation Sheet'!$L$12)&amp;"","")="",ISNUMBER(SEARCH($AS$72:$AZ$72,IFERROR(('Final Calculation Sheet'!$L$12)&amp;"","")))))&gt;0),IF(COUNTIF($BI$72:$BP$72,3)=0,TRUE,SUMPRODUCT(($BI$72:$BP$72=3)*($AS$72:$AZ$72&lt;&gt;"")*IF(((UPPER($AS$72:$AZ$72)="BLANK")+(UPPER($AS$72:$AZ$72)="(BLANK)")+(UPPER($AS$72:$AZ$72)="EMPTY")+(UPPER($AS$72:$AZ$72)="(EMPTY)"))&gt;0,IFERROR(('Final Calculation Sheet'!$L$12)&amp;"","")="",ISNUMBER(SEARCH($AS$72:$AZ$72,IFERROR(('Final Calculation Sheet'!$L$12)&amp;"","")))))&gt;0),IF(COUNTIF($BI$72:$BP$72,4)=0,TRUE,SUMPRODUCT(($BI$72:$BP$72=4)*($AS$72:$AZ$72&lt;&gt;"")*IF(((UPPER($AS$72:$AZ$72)="BLANK")+(UPPER($AS$72:$AZ$72)="(BLANK)")+(UPPER($AS$72:$AZ$72)="EMPTY")+(UPPER($AS$72:$AZ$72)="(EMPTY)"))&gt;0,IFERROR(('Final Calculation Sheet'!$L$12)&amp;"","")="",ISNUMBER(SEARCH($AS$72:$AZ$72,IFERROR(('Final Calculation Sheet'!$L$12)&amp;"","")))))&gt;0),IF(COUNTIF($BI$72:$BP$72,5)=0,TRUE,SUMPRODUCT(($BI$72:$BP$72=5)*($AS$72:$AZ$72&lt;&gt;"")*IF(((UPPER($AS$72:$AZ$72)="BLANK")+(UPPER($AS$72:$AZ$72)="(BLANK)")+(UPPER($AS$72:$AZ$72)="EMPTY")+(UPPER($AS$72:$AZ$72)="(EMPTY)"))&gt;0,IFERROR(('Final Calculation Sheet'!$L$12)&amp;"","")="",ISNUMBER(SEARCH($AS$72:$AZ$72,IFERROR(('Final Calculation Sheet'!$L$12)&amp;"","")))))&gt;0),IF(COUNTIF($BI$72:$BP$72,6)=0,TRUE,SUMPRODUCT(($BI$72:$BP$72=6)*($AS$72:$AZ$72&lt;&gt;"")*IF(((UPPER($AS$72:$AZ$72)="BLANK")+(UPPER($AS$72:$AZ$72)="(BLANK)")+(UPPER($AS$72:$AZ$72)="EMPTY")+(UPPER($AS$72:$AZ$72)="(EMPTY)"))&gt;0,IFERROR(('Final Calculation Sheet'!$L$12)&amp;"","")="",ISNUMBER(SEARCH($AS$72:$AZ$72,IFERROR(('Final Calculation Sheet'!$L$12)&amp;"","")))))&gt;0),IF(COUNTIF($BI$72:$BP$72,7)=0,TRUE,SUMPRODUCT(($BI$72:$BP$72=7)*($AS$72:$AZ$72&lt;&gt;"")*IF(((UPPER($AS$72:$AZ$72)="BLANK")+(UPPER($AS$72:$AZ$72)="(BLANK)")+(UPPER($AS$72:$AZ$72)="EMPTY")+(UPPER($AS$72:$AZ$72)="(EMPTY)"))&gt;0,IFERROR(('Final Calculation Sheet'!$L$12)&amp;"","")="",ISNUMBER(SEARCH($AS$72:$AZ$72,IFERROR(('Final Calculation Sheet'!$L$12)&amp;"","")))))&gt;0),IF(COUNTIF($BI$72:$BP$72,8)=0,TRUE,SUMPRODUCT(($BI$72:$BP$72=8)*($AS$72:$AZ$72&lt;&gt;"")*IF(((UPPER($AS$72:$AZ$72)="BLANK")+(UPPER($AS$72:$AZ$72)="(BLANK)")+(UPPER($AS$72:$AZ$72)="EMPTY")+(UPPER($AS$72:$AZ$72)="(EMPTY)"))&gt;0,IFERROR(('Final Calculation Sheet'!$L$12)&amp;"","")="",ISNUMBER(SEARCH($AS$72:$AZ$72,IFERROR(('Final Calculation Sheet'!$L$12)&amp;"","")))))&gt;0))))</f>
        <v>1</v>
      </c>
      <c r="BZ13">
        <f>IF($N$4="",1,--(AND(SUMPRODUCT(--($AS$73:$AZ$73&lt;&gt;""))&gt;0,IF(COUNTIF($BI$73:$BP$73,1)=0,TRUE,SUMPRODUCT(($BI$73:$BP$73=1)*($AS$73:$AZ$73&lt;&gt;"")*IF(((UPPER($AS$73:$AZ$73)="BLANK")+(UPPER($AS$73:$AZ$73)="(BLANK)")+(UPPER($AS$73:$AZ$73)="EMPTY")+(UPPER($AS$73:$AZ$73)="(EMPTY)"))&gt;0,IFERROR(('Final Calculation Sheet'!$M$12)&amp;"","")="",ISNUMBER(SEARCH($AS$73:$AZ$73,IFERROR(('Final Calculation Sheet'!$M$12)&amp;"","")))))&gt;0),IF(COUNTIF($BI$73:$BP$73,2)=0,TRUE,SUMPRODUCT(($BI$73:$BP$73=2)*($AS$73:$AZ$73&lt;&gt;"")*IF(((UPPER($AS$73:$AZ$73)="BLANK")+(UPPER($AS$73:$AZ$73)="(BLANK)")+(UPPER($AS$73:$AZ$73)="EMPTY")+(UPPER($AS$73:$AZ$73)="(EMPTY)"))&gt;0,IFERROR(('Final Calculation Sheet'!$M$12)&amp;"","")="",ISNUMBER(SEARCH($AS$73:$AZ$73,IFERROR(('Final Calculation Sheet'!$M$12)&amp;"","")))))&gt;0),IF(COUNTIF($BI$73:$BP$73,3)=0,TRUE,SUMPRODUCT(($BI$73:$BP$73=3)*($AS$73:$AZ$73&lt;&gt;"")*IF(((UPPER($AS$73:$AZ$73)="BLANK")+(UPPER($AS$73:$AZ$73)="(BLANK)")+(UPPER($AS$73:$AZ$73)="EMPTY")+(UPPER($AS$73:$AZ$73)="(EMPTY)"))&gt;0,IFERROR(('Final Calculation Sheet'!$M$12)&amp;"","")="",ISNUMBER(SEARCH($AS$73:$AZ$73,IFERROR(('Final Calculation Sheet'!$M$12)&amp;"","")))))&gt;0),IF(COUNTIF($BI$73:$BP$73,4)=0,TRUE,SUMPRODUCT(($BI$73:$BP$73=4)*($AS$73:$AZ$73&lt;&gt;"")*IF(((UPPER($AS$73:$AZ$73)="BLANK")+(UPPER($AS$73:$AZ$73)="(BLANK)")+(UPPER($AS$73:$AZ$73)="EMPTY")+(UPPER($AS$73:$AZ$73)="(EMPTY)"))&gt;0,IFERROR(('Final Calculation Sheet'!$M$12)&amp;"","")="",ISNUMBER(SEARCH($AS$73:$AZ$73,IFERROR(('Final Calculation Sheet'!$M$12)&amp;"","")))))&gt;0),IF(COUNTIF($BI$73:$BP$73,5)=0,TRUE,SUMPRODUCT(($BI$73:$BP$73=5)*($AS$73:$AZ$73&lt;&gt;"")*IF(((UPPER($AS$73:$AZ$73)="BLANK")+(UPPER($AS$73:$AZ$73)="(BLANK)")+(UPPER($AS$73:$AZ$73)="EMPTY")+(UPPER($AS$73:$AZ$73)="(EMPTY)"))&gt;0,IFERROR(('Final Calculation Sheet'!$M$12)&amp;"","")="",ISNUMBER(SEARCH($AS$73:$AZ$73,IFERROR(('Final Calculation Sheet'!$M$12)&amp;"","")))))&gt;0),IF(COUNTIF($BI$73:$BP$73,6)=0,TRUE,SUMPRODUCT(($BI$73:$BP$73=6)*($AS$73:$AZ$73&lt;&gt;"")*IF(((UPPER($AS$73:$AZ$73)="BLANK")+(UPPER($AS$73:$AZ$73)="(BLANK)")+(UPPER($AS$73:$AZ$73)="EMPTY")+(UPPER($AS$73:$AZ$73)="(EMPTY)"))&gt;0,IFERROR(('Final Calculation Sheet'!$M$12)&amp;"","")="",ISNUMBER(SEARCH($AS$73:$AZ$73,IFERROR(('Final Calculation Sheet'!$M$12)&amp;"","")))))&gt;0),IF(COUNTIF($BI$73:$BP$73,7)=0,TRUE,SUMPRODUCT(($BI$73:$BP$73=7)*($AS$73:$AZ$73&lt;&gt;"")*IF(((UPPER($AS$73:$AZ$73)="BLANK")+(UPPER($AS$73:$AZ$73)="(BLANK)")+(UPPER($AS$73:$AZ$73)="EMPTY")+(UPPER($AS$73:$AZ$73)="(EMPTY)"))&gt;0,IFERROR(('Final Calculation Sheet'!$M$12)&amp;"","")="",ISNUMBER(SEARCH($AS$73:$AZ$73,IFERROR(('Final Calculation Sheet'!$M$12)&amp;"","")))))&gt;0),IF(COUNTIF($BI$73:$BP$73,8)=0,TRUE,SUMPRODUCT(($BI$73:$BP$73=8)*($AS$73:$AZ$73&lt;&gt;"")*IF(((UPPER($AS$73:$AZ$73)="BLANK")+(UPPER($AS$73:$AZ$73)="(BLANK)")+(UPPER($AS$73:$AZ$73)="EMPTY")+(UPPER($AS$73:$AZ$73)="(EMPTY)"))&gt;0,IFERROR(('Final Calculation Sheet'!$M$12)&amp;"","")="",ISNUMBER(SEARCH($AS$73:$AZ$73,IFERROR(('Final Calculation Sheet'!$M$12)&amp;"","")))))&gt;0))))</f>
        <v>1</v>
      </c>
      <c r="CA13">
        <f>IF($O$4="",1,--(AND(SUMPRODUCT(--($AS$74:$AZ$74&lt;&gt;""))&gt;0,IF(COUNTIF($BI$74:$BP$74,1)=0,TRUE,SUMPRODUCT(($BI$74:$BP$74=1)*($AS$74:$AZ$74&lt;&gt;"")*IF(((UPPER($AS$74:$AZ$74)="BLANK")+(UPPER($AS$74:$AZ$74)="(BLANK)")+(UPPER($AS$74:$AZ$74)="EMPTY")+(UPPER($AS$74:$AZ$74)="(EMPTY)"))&gt;0,IFERROR(('Final Calculation Sheet'!$N$12)&amp;"","")="",ISNUMBER(SEARCH($AS$74:$AZ$74,IFERROR(('Final Calculation Sheet'!$N$12)&amp;"","")))))&gt;0),IF(COUNTIF($BI$74:$BP$74,2)=0,TRUE,SUMPRODUCT(($BI$74:$BP$74=2)*($AS$74:$AZ$74&lt;&gt;"")*IF(((UPPER($AS$74:$AZ$74)="BLANK")+(UPPER($AS$74:$AZ$74)="(BLANK)")+(UPPER($AS$74:$AZ$74)="EMPTY")+(UPPER($AS$74:$AZ$74)="(EMPTY)"))&gt;0,IFERROR(('Final Calculation Sheet'!$N$12)&amp;"","")="",ISNUMBER(SEARCH($AS$74:$AZ$74,IFERROR(('Final Calculation Sheet'!$N$12)&amp;"","")))))&gt;0),IF(COUNTIF($BI$74:$BP$74,3)=0,TRUE,SUMPRODUCT(($BI$74:$BP$74=3)*($AS$74:$AZ$74&lt;&gt;"")*IF(((UPPER($AS$74:$AZ$74)="BLANK")+(UPPER($AS$74:$AZ$74)="(BLANK)")+(UPPER($AS$74:$AZ$74)="EMPTY")+(UPPER($AS$74:$AZ$74)="(EMPTY)"))&gt;0,IFERROR(('Final Calculation Sheet'!$N$12)&amp;"","")="",ISNUMBER(SEARCH($AS$74:$AZ$74,IFERROR(('Final Calculation Sheet'!$N$12)&amp;"","")))))&gt;0),IF(COUNTIF($BI$74:$BP$74,4)=0,TRUE,SUMPRODUCT(($BI$74:$BP$74=4)*($AS$74:$AZ$74&lt;&gt;"")*IF(((UPPER($AS$74:$AZ$74)="BLANK")+(UPPER($AS$74:$AZ$74)="(BLANK)")+(UPPER($AS$74:$AZ$74)="EMPTY")+(UPPER($AS$74:$AZ$74)="(EMPTY)"))&gt;0,IFERROR(('Final Calculation Sheet'!$N$12)&amp;"","")="",ISNUMBER(SEARCH($AS$74:$AZ$74,IFERROR(('Final Calculation Sheet'!$N$12)&amp;"","")))))&gt;0),IF(COUNTIF($BI$74:$BP$74,5)=0,TRUE,SUMPRODUCT(($BI$74:$BP$74=5)*($AS$74:$AZ$74&lt;&gt;"")*IF(((UPPER($AS$74:$AZ$74)="BLANK")+(UPPER($AS$74:$AZ$74)="(BLANK)")+(UPPER($AS$74:$AZ$74)="EMPTY")+(UPPER($AS$74:$AZ$74)="(EMPTY)"))&gt;0,IFERROR(('Final Calculation Sheet'!$N$12)&amp;"","")="",ISNUMBER(SEARCH($AS$74:$AZ$74,IFERROR(('Final Calculation Sheet'!$N$12)&amp;"","")))))&gt;0),IF(COUNTIF($BI$74:$BP$74,6)=0,TRUE,SUMPRODUCT(($BI$74:$BP$74=6)*($AS$74:$AZ$74&lt;&gt;"")*IF(((UPPER($AS$74:$AZ$74)="BLANK")+(UPPER($AS$74:$AZ$74)="(BLANK)")+(UPPER($AS$74:$AZ$74)="EMPTY")+(UPPER($AS$74:$AZ$74)="(EMPTY)"))&gt;0,IFERROR(('Final Calculation Sheet'!$N$12)&amp;"","")="",ISNUMBER(SEARCH($AS$74:$AZ$74,IFERROR(('Final Calculation Sheet'!$N$12)&amp;"","")))))&gt;0),IF(COUNTIF($BI$74:$BP$74,7)=0,TRUE,SUMPRODUCT(($BI$74:$BP$74=7)*($AS$74:$AZ$74&lt;&gt;"")*IF(((UPPER($AS$74:$AZ$74)="BLANK")+(UPPER($AS$74:$AZ$74)="(BLANK)")+(UPPER($AS$74:$AZ$74)="EMPTY")+(UPPER($AS$74:$AZ$74)="(EMPTY)"))&gt;0,IFERROR(('Final Calculation Sheet'!$N$12)&amp;"","")="",ISNUMBER(SEARCH($AS$74:$AZ$74,IFERROR(('Final Calculation Sheet'!$N$12)&amp;"","")))))&gt;0),IF(COUNTIF($BI$74:$BP$74,8)=0,TRUE,SUMPRODUCT(($BI$74:$BP$74=8)*($AS$74:$AZ$74&lt;&gt;"")*IF(((UPPER($AS$74:$AZ$74)="BLANK")+(UPPER($AS$74:$AZ$74)="(BLANK)")+(UPPER($AS$74:$AZ$74)="EMPTY")+(UPPER($AS$74:$AZ$74)="(EMPTY)"))&gt;0,IFERROR(('Final Calculation Sheet'!$N$12)&amp;"","")="",ISNUMBER(SEARCH($AS$74:$AZ$74,IFERROR(('Final Calculation Sheet'!$N$12)&amp;"","")))))&gt;0))))</f>
        <v>1</v>
      </c>
      <c r="CB13">
        <f>IF($P$4="",1,--(AND(SUMPRODUCT(--($AS$75:$AZ$75&lt;&gt;""))&gt;0,IF(COUNTIF($BI$75:$BP$75,1)=0,TRUE,SUMPRODUCT(($BI$75:$BP$75=1)*($AS$75:$AZ$75&lt;&gt;"")*IF(((UPPER($AS$75:$AZ$75)="BLANK")+(UPPER($AS$75:$AZ$75)="(BLANK)")+(UPPER($AS$75:$AZ$75)="EMPTY")+(UPPER($AS$75:$AZ$75)="(EMPTY)"))&gt;0,IFERROR(('Final Calculation Sheet'!$O$12)&amp;"","")="",ISNUMBER(SEARCH($AS$75:$AZ$75,IFERROR(('Final Calculation Sheet'!$O$12)&amp;"","")))))&gt;0),IF(COUNTIF($BI$75:$BP$75,2)=0,TRUE,SUMPRODUCT(($BI$75:$BP$75=2)*($AS$75:$AZ$75&lt;&gt;"")*IF(((UPPER($AS$75:$AZ$75)="BLANK")+(UPPER($AS$75:$AZ$75)="(BLANK)")+(UPPER($AS$75:$AZ$75)="EMPTY")+(UPPER($AS$75:$AZ$75)="(EMPTY)"))&gt;0,IFERROR(('Final Calculation Sheet'!$O$12)&amp;"","")="",ISNUMBER(SEARCH($AS$75:$AZ$75,IFERROR(('Final Calculation Sheet'!$O$12)&amp;"","")))))&gt;0),IF(COUNTIF($BI$75:$BP$75,3)=0,TRUE,SUMPRODUCT(($BI$75:$BP$75=3)*($AS$75:$AZ$75&lt;&gt;"")*IF(((UPPER($AS$75:$AZ$75)="BLANK")+(UPPER($AS$75:$AZ$75)="(BLANK)")+(UPPER($AS$75:$AZ$75)="EMPTY")+(UPPER($AS$75:$AZ$75)="(EMPTY)"))&gt;0,IFERROR(('Final Calculation Sheet'!$O$12)&amp;"","")="",ISNUMBER(SEARCH($AS$75:$AZ$75,IFERROR(('Final Calculation Sheet'!$O$12)&amp;"","")))))&gt;0),IF(COUNTIF($BI$75:$BP$75,4)=0,TRUE,SUMPRODUCT(($BI$75:$BP$75=4)*($AS$75:$AZ$75&lt;&gt;"")*IF(((UPPER($AS$75:$AZ$75)="BLANK")+(UPPER($AS$75:$AZ$75)="(BLANK)")+(UPPER($AS$75:$AZ$75)="EMPTY")+(UPPER($AS$75:$AZ$75)="(EMPTY)"))&gt;0,IFERROR(('Final Calculation Sheet'!$O$12)&amp;"","")="",ISNUMBER(SEARCH($AS$75:$AZ$75,IFERROR(('Final Calculation Sheet'!$O$12)&amp;"","")))))&gt;0),IF(COUNTIF($BI$75:$BP$75,5)=0,TRUE,SUMPRODUCT(($BI$75:$BP$75=5)*($AS$75:$AZ$75&lt;&gt;"")*IF(((UPPER($AS$75:$AZ$75)="BLANK")+(UPPER($AS$75:$AZ$75)="(BLANK)")+(UPPER($AS$75:$AZ$75)="EMPTY")+(UPPER($AS$75:$AZ$75)="(EMPTY)"))&gt;0,IFERROR(('Final Calculation Sheet'!$O$12)&amp;"","")="",ISNUMBER(SEARCH($AS$75:$AZ$75,IFERROR(('Final Calculation Sheet'!$O$12)&amp;"","")))))&gt;0),IF(COUNTIF($BI$75:$BP$75,6)=0,TRUE,SUMPRODUCT(($BI$75:$BP$75=6)*($AS$75:$AZ$75&lt;&gt;"")*IF(((UPPER($AS$75:$AZ$75)="BLANK")+(UPPER($AS$75:$AZ$75)="(BLANK)")+(UPPER($AS$75:$AZ$75)="EMPTY")+(UPPER($AS$75:$AZ$75)="(EMPTY)"))&gt;0,IFERROR(('Final Calculation Sheet'!$O$12)&amp;"","")="",ISNUMBER(SEARCH($AS$75:$AZ$75,IFERROR(('Final Calculation Sheet'!$O$12)&amp;"","")))))&gt;0),IF(COUNTIF($BI$75:$BP$75,7)=0,TRUE,SUMPRODUCT(($BI$75:$BP$75=7)*($AS$75:$AZ$75&lt;&gt;"")*IF(((UPPER($AS$75:$AZ$75)="BLANK")+(UPPER($AS$75:$AZ$75)="(BLANK)")+(UPPER($AS$75:$AZ$75)="EMPTY")+(UPPER($AS$75:$AZ$75)="(EMPTY)"))&gt;0,IFERROR(('Final Calculation Sheet'!$O$12)&amp;"","")="",ISNUMBER(SEARCH($AS$75:$AZ$75,IFERROR(('Final Calculation Sheet'!$O$12)&amp;"","")))))&gt;0),IF(COUNTIF($BI$75:$BP$75,8)=0,TRUE,SUMPRODUCT(($BI$75:$BP$75=8)*($AS$75:$AZ$75&lt;&gt;"")*IF(((UPPER($AS$75:$AZ$75)="BLANK")+(UPPER($AS$75:$AZ$75)="(BLANK)")+(UPPER($AS$75:$AZ$75)="EMPTY")+(UPPER($AS$75:$AZ$75)="(EMPTY)"))&gt;0,IFERROR(('Final Calculation Sheet'!$O$12)&amp;"","")="",ISNUMBER(SEARCH($AS$75:$AZ$75,IFERROR(('Final Calculation Sheet'!$O$12)&amp;"","")))))&gt;0))))</f>
        <v>1</v>
      </c>
      <c r="CC13">
        <f>IF($Q$4="",1,--(AND(SUMPRODUCT(--($AS$76:$AZ$76&lt;&gt;""))&gt;0,IF(COUNTIF($BI$76:$BP$76,1)=0,TRUE,SUMPRODUCT(($BI$76:$BP$76=1)*($AS$76:$AZ$76&lt;&gt;"")*IF(((UPPER($AS$76:$AZ$76)="BLANK")+(UPPER($AS$76:$AZ$76)="(BLANK)")+(UPPER($AS$76:$AZ$76)="EMPTY")+(UPPER($AS$76:$AZ$76)="(EMPTY)"))&gt;0,IFERROR(('Final Calculation Sheet'!$P$12)&amp;"","")="",ISNUMBER(SEARCH($AS$76:$AZ$76,IFERROR(('Final Calculation Sheet'!$P$12)&amp;"","")))))&gt;0),IF(COUNTIF($BI$76:$BP$76,2)=0,TRUE,SUMPRODUCT(($BI$76:$BP$76=2)*($AS$76:$AZ$76&lt;&gt;"")*IF(((UPPER($AS$76:$AZ$76)="BLANK")+(UPPER($AS$76:$AZ$76)="(BLANK)")+(UPPER($AS$76:$AZ$76)="EMPTY")+(UPPER($AS$76:$AZ$76)="(EMPTY)"))&gt;0,IFERROR(('Final Calculation Sheet'!$P$12)&amp;"","")="",ISNUMBER(SEARCH($AS$76:$AZ$76,IFERROR(('Final Calculation Sheet'!$P$12)&amp;"","")))))&gt;0),IF(COUNTIF($BI$76:$BP$76,3)=0,TRUE,SUMPRODUCT(($BI$76:$BP$76=3)*($AS$76:$AZ$76&lt;&gt;"")*IF(((UPPER($AS$76:$AZ$76)="BLANK")+(UPPER($AS$76:$AZ$76)="(BLANK)")+(UPPER($AS$76:$AZ$76)="EMPTY")+(UPPER($AS$76:$AZ$76)="(EMPTY)"))&gt;0,IFERROR(('Final Calculation Sheet'!$P$12)&amp;"","")="",ISNUMBER(SEARCH($AS$76:$AZ$76,IFERROR(('Final Calculation Sheet'!$P$12)&amp;"","")))))&gt;0),IF(COUNTIF($BI$76:$BP$76,4)=0,TRUE,SUMPRODUCT(($BI$76:$BP$76=4)*($AS$76:$AZ$76&lt;&gt;"")*IF(((UPPER($AS$76:$AZ$76)="BLANK")+(UPPER($AS$76:$AZ$76)="(BLANK)")+(UPPER($AS$76:$AZ$76)="EMPTY")+(UPPER($AS$76:$AZ$76)="(EMPTY)"))&gt;0,IFERROR(('Final Calculation Sheet'!$P$12)&amp;"","")="",ISNUMBER(SEARCH($AS$76:$AZ$76,IFERROR(('Final Calculation Sheet'!$P$12)&amp;"","")))))&gt;0),IF(COUNTIF($BI$76:$BP$76,5)=0,TRUE,SUMPRODUCT(($BI$76:$BP$76=5)*($AS$76:$AZ$76&lt;&gt;"")*IF(((UPPER($AS$76:$AZ$76)="BLANK")+(UPPER($AS$76:$AZ$76)="(BLANK)")+(UPPER($AS$76:$AZ$76)="EMPTY")+(UPPER($AS$76:$AZ$76)="(EMPTY)"))&gt;0,IFERROR(('Final Calculation Sheet'!$P$12)&amp;"","")="",ISNUMBER(SEARCH($AS$76:$AZ$76,IFERROR(('Final Calculation Sheet'!$P$12)&amp;"","")))))&gt;0),IF(COUNTIF($BI$76:$BP$76,6)=0,TRUE,SUMPRODUCT(($BI$76:$BP$76=6)*($AS$76:$AZ$76&lt;&gt;"")*IF(((UPPER($AS$76:$AZ$76)="BLANK")+(UPPER($AS$76:$AZ$76)="(BLANK)")+(UPPER($AS$76:$AZ$76)="EMPTY")+(UPPER($AS$76:$AZ$76)="(EMPTY)"))&gt;0,IFERROR(('Final Calculation Sheet'!$P$12)&amp;"","")="",ISNUMBER(SEARCH($AS$76:$AZ$76,IFERROR(('Final Calculation Sheet'!$P$12)&amp;"","")))))&gt;0),IF(COUNTIF($BI$76:$BP$76,7)=0,TRUE,SUMPRODUCT(($BI$76:$BP$76=7)*($AS$76:$AZ$76&lt;&gt;"")*IF(((UPPER($AS$76:$AZ$76)="BLANK")+(UPPER($AS$76:$AZ$76)="(BLANK)")+(UPPER($AS$76:$AZ$76)="EMPTY")+(UPPER($AS$76:$AZ$76)="(EMPTY)"))&gt;0,IFERROR(('Final Calculation Sheet'!$P$12)&amp;"","")="",ISNUMBER(SEARCH($AS$76:$AZ$76,IFERROR(('Final Calculation Sheet'!$P$12)&amp;"","")))))&gt;0),IF(COUNTIF($BI$76:$BP$76,8)=0,TRUE,SUMPRODUCT(($BI$76:$BP$76=8)*($AS$76:$AZ$76&lt;&gt;"")*IF(((UPPER($AS$76:$AZ$76)="BLANK")+(UPPER($AS$76:$AZ$76)="(BLANK)")+(UPPER($AS$76:$AZ$76)="EMPTY")+(UPPER($AS$76:$AZ$76)="(EMPTY)"))&gt;0,IFERROR(('Final Calculation Sheet'!$P$12)&amp;"","")="",ISNUMBER(SEARCH($AS$76:$AZ$76,IFERROR(('Final Calculation Sheet'!$P$12)&amp;"","")))))&gt;0))))</f>
        <v>1</v>
      </c>
      <c r="CD13">
        <f>IF($R$4="",1,--(AND(SUMPRODUCT(--($AS$77:$AZ$77&lt;&gt;""))&gt;0,IF(COUNTIF($BI$77:$BP$77,1)=0,TRUE,SUMPRODUCT(($BI$77:$BP$77=1)*($AS$77:$AZ$77&lt;&gt;"")*IF(((UPPER($AS$77:$AZ$77)="BLANK")+(UPPER($AS$77:$AZ$77)="(BLANK)")+(UPPER($AS$77:$AZ$77)="EMPTY")+(UPPER($AS$77:$AZ$77)="(EMPTY)"))&gt;0,IFERROR(('Final Calculation Sheet'!$Q$12)&amp;"","")="",ISNUMBER(SEARCH($AS$77:$AZ$77,IFERROR(('Final Calculation Sheet'!$Q$12)&amp;"","")))))&gt;0),IF(COUNTIF($BI$77:$BP$77,2)=0,TRUE,SUMPRODUCT(($BI$77:$BP$77=2)*($AS$77:$AZ$77&lt;&gt;"")*IF(((UPPER($AS$77:$AZ$77)="BLANK")+(UPPER($AS$77:$AZ$77)="(BLANK)")+(UPPER($AS$77:$AZ$77)="EMPTY")+(UPPER($AS$77:$AZ$77)="(EMPTY)"))&gt;0,IFERROR(('Final Calculation Sheet'!$Q$12)&amp;"","")="",ISNUMBER(SEARCH($AS$77:$AZ$77,IFERROR(('Final Calculation Sheet'!$Q$12)&amp;"","")))))&gt;0),IF(COUNTIF($BI$77:$BP$77,3)=0,TRUE,SUMPRODUCT(($BI$77:$BP$77=3)*($AS$77:$AZ$77&lt;&gt;"")*IF(((UPPER($AS$77:$AZ$77)="BLANK")+(UPPER($AS$77:$AZ$77)="(BLANK)")+(UPPER($AS$77:$AZ$77)="EMPTY")+(UPPER($AS$77:$AZ$77)="(EMPTY)"))&gt;0,IFERROR(('Final Calculation Sheet'!$Q$12)&amp;"","")="",ISNUMBER(SEARCH($AS$77:$AZ$77,IFERROR(('Final Calculation Sheet'!$Q$12)&amp;"","")))))&gt;0),IF(COUNTIF($BI$77:$BP$77,4)=0,TRUE,SUMPRODUCT(($BI$77:$BP$77=4)*($AS$77:$AZ$77&lt;&gt;"")*IF(((UPPER($AS$77:$AZ$77)="BLANK")+(UPPER($AS$77:$AZ$77)="(BLANK)")+(UPPER($AS$77:$AZ$77)="EMPTY")+(UPPER($AS$77:$AZ$77)="(EMPTY)"))&gt;0,IFERROR(('Final Calculation Sheet'!$Q$12)&amp;"","")="",ISNUMBER(SEARCH($AS$77:$AZ$77,IFERROR(('Final Calculation Sheet'!$Q$12)&amp;"","")))))&gt;0),IF(COUNTIF($BI$77:$BP$77,5)=0,TRUE,SUMPRODUCT(($BI$77:$BP$77=5)*($AS$77:$AZ$77&lt;&gt;"")*IF(((UPPER($AS$77:$AZ$77)="BLANK")+(UPPER($AS$77:$AZ$77)="(BLANK)")+(UPPER($AS$77:$AZ$77)="EMPTY")+(UPPER($AS$77:$AZ$77)="(EMPTY)"))&gt;0,IFERROR(('Final Calculation Sheet'!$Q$12)&amp;"","")="",ISNUMBER(SEARCH($AS$77:$AZ$77,IFERROR(('Final Calculation Sheet'!$Q$12)&amp;"","")))))&gt;0),IF(COUNTIF($BI$77:$BP$77,6)=0,TRUE,SUMPRODUCT(($BI$77:$BP$77=6)*($AS$77:$AZ$77&lt;&gt;"")*IF(((UPPER($AS$77:$AZ$77)="BLANK")+(UPPER($AS$77:$AZ$77)="(BLANK)")+(UPPER($AS$77:$AZ$77)="EMPTY")+(UPPER($AS$77:$AZ$77)="(EMPTY)"))&gt;0,IFERROR(('Final Calculation Sheet'!$Q$12)&amp;"","")="",ISNUMBER(SEARCH($AS$77:$AZ$77,IFERROR(('Final Calculation Sheet'!$Q$12)&amp;"","")))))&gt;0),IF(COUNTIF($BI$77:$BP$77,7)=0,TRUE,SUMPRODUCT(($BI$77:$BP$77=7)*($AS$77:$AZ$77&lt;&gt;"")*IF(((UPPER($AS$77:$AZ$77)="BLANK")+(UPPER($AS$77:$AZ$77)="(BLANK)")+(UPPER($AS$77:$AZ$77)="EMPTY")+(UPPER($AS$77:$AZ$77)="(EMPTY)"))&gt;0,IFERROR(('Final Calculation Sheet'!$Q$12)&amp;"","")="",ISNUMBER(SEARCH($AS$77:$AZ$77,IFERROR(('Final Calculation Sheet'!$Q$12)&amp;"","")))))&gt;0),IF(COUNTIF($BI$77:$BP$77,8)=0,TRUE,SUMPRODUCT(($BI$77:$BP$77=8)*($AS$77:$AZ$77&lt;&gt;"")*IF(((UPPER($AS$77:$AZ$77)="BLANK")+(UPPER($AS$77:$AZ$77)="(BLANK)")+(UPPER($AS$77:$AZ$77)="EMPTY")+(UPPER($AS$77:$AZ$77)="(EMPTY)"))&gt;0,IFERROR(('Final Calculation Sheet'!$Q$12)&amp;"","")="",ISNUMBER(SEARCH($AS$77:$AZ$77,IFERROR(('Final Calculation Sheet'!$Q$12)&amp;"","")))))&gt;0))))</f>
        <v>1</v>
      </c>
      <c r="CE13">
        <f>IF($S$4="",1,--(AND(SUMPRODUCT(--($AS$78:$AZ$78&lt;&gt;""))&gt;0,IF(COUNTIF($BI$78:$BP$78,1)=0,TRUE,SUMPRODUCT(($BI$78:$BP$78=1)*($AS$78:$AZ$78&lt;&gt;"")*IF(((UPPER($AS$78:$AZ$78)="BLANK")+(UPPER($AS$78:$AZ$78)="(BLANK)")+(UPPER($AS$78:$AZ$78)="EMPTY")+(UPPER($AS$78:$AZ$78)="(EMPTY)"))&gt;0,IFERROR(('Final Calculation Sheet'!$R$12)&amp;"","")="",ISNUMBER(SEARCH($AS$78:$AZ$78,IFERROR(('Final Calculation Sheet'!$R$12)&amp;"","")))))&gt;0),IF(COUNTIF($BI$78:$BP$78,2)=0,TRUE,SUMPRODUCT(($BI$78:$BP$78=2)*($AS$78:$AZ$78&lt;&gt;"")*IF(((UPPER($AS$78:$AZ$78)="BLANK")+(UPPER($AS$78:$AZ$78)="(BLANK)")+(UPPER($AS$78:$AZ$78)="EMPTY")+(UPPER($AS$78:$AZ$78)="(EMPTY)"))&gt;0,IFERROR(('Final Calculation Sheet'!$R$12)&amp;"","")="",ISNUMBER(SEARCH($AS$78:$AZ$78,IFERROR(('Final Calculation Sheet'!$R$12)&amp;"","")))))&gt;0),IF(COUNTIF($BI$78:$BP$78,3)=0,TRUE,SUMPRODUCT(($BI$78:$BP$78=3)*($AS$78:$AZ$78&lt;&gt;"")*IF(((UPPER($AS$78:$AZ$78)="BLANK")+(UPPER($AS$78:$AZ$78)="(BLANK)")+(UPPER($AS$78:$AZ$78)="EMPTY")+(UPPER($AS$78:$AZ$78)="(EMPTY)"))&gt;0,IFERROR(('Final Calculation Sheet'!$R$12)&amp;"","")="",ISNUMBER(SEARCH($AS$78:$AZ$78,IFERROR(('Final Calculation Sheet'!$R$12)&amp;"","")))))&gt;0),IF(COUNTIF($BI$78:$BP$78,4)=0,TRUE,SUMPRODUCT(($BI$78:$BP$78=4)*($AS$78:$AZ$78&lt;&gt;"")*IF(((UPPER($AS$78:$AZ$78)="BLANK")+(UPPER($AS$78:$AZ$78)="(BLANK)")+(UPPER($AS$78:$AZ$78)="EMPTY")+(UPPER($AS$78:$AZ$78)="(EMPTY)"))&gt;0,IFERROR(('Final Calculation Sheet'!$R$12)&amp;"","")="",ISNUMBER(SEARCH($AS$78:$AZ$78,IFERROR(('Final Calculation Sheet'!$R$12)&amp;"","")))))&gt;0),IF(COUNTIF($BI$78:$BP$78,5)=0,TRUE,SUMPRODUCT(($BI$78:$BP$78=5)*($AS$78:$AZ$78&lt;&gt;"")*IF(((UPPER($AS$78:$AZ$78)="BLANK")+(UPPER($AS$78:$AZ$78)="(BLANK)")+(UPPER($AS$78:$AZ$78)="EMPTY")+(UPPER($AS$78:$AZ$78)="(EMPTY)"))&gt;0,IFERROR(('Final Calculation Sheet'!$R$12)&amp;"","")="",ISNUMBER(SEARCH($AS$78:$AZ$78,IFERROR(('Final Calculation Sheet'!$R$12)&amp;"","")))))&gt;0),IF(COUNTIF($BI$78:$BP$78,6)=0,TRUE,SUMPRODUCT(($BI$78:$BP$78=6)*($AS$78:$AZ$78&lt;&gt;"")*IF(((UPPER($AS$78:$AZ$78)="BLANK")+(UPPER($AS$78:$AZ$78)="(BLANK)")+(UPPER($AS$78:$AZ$78)="EMPTY")+(UPPER($AS$78:$AZ$78)="(EMPTY)"))&gt;0,IFERROR(('Final Calculation Sheet'!$R$12)&amp;"","")="",ISNUMBER(SEARCH($AS$78:$AZ$78,IFERROR(('Final Calculation Sheet'!$R$12)&amp;"","")))))&gt;0),IF(COUNTIF($BI$78:$BP$78,7)=0,TRUE,SUMPRODUCT(($BI$78:$BP$78=7)*($AS$78:$AZ$78&lt;&gt;"")*IF(((UPPER($AS$78:$AZ$78)="BLANK")+(UPPER($AS$78:$AZ$78)="(BLANK)")+(UPPER($AS$78:$AZ$78)="EMPTY")+(UPPER($AS$78:$AZ$78)="(EMPTY)"))&gt;0,IFERROR(('Final Calculation Sheet'!$R$12)&amp;"","")="",ISNUMBER(SEARCH($AS$78:$AZ$78,IFERROR(('Final Calculation Sheet'!$R$12)&amp;"","")))))&gt;0),IF(COUNTIF($BI$78:$BP$78,8)=0,TRUE,SUMPRODUCT(($BI$78:$BP$78=8)*($AS$78:$AZ$78&lt;&gt;"")*IF(((UPPER($AS$78:$AZ$78)="BLANK")+(UPPER($AS$78:$AZ$78)="(BLANK)")+(UPPER($AS$78:$AZ$78)="EMPTY")+(UPPER($AS$78:$AZ$78)="(EMPTY)"))&gt;0,IFERROR(('Final Calculation Sheet'!$R$12)&amp;"","")="",ISNUMBER(SEARCH($AS$78:$AZ$78,IFERROR(('Final Calculation Sheet'!$R$12)&amp;"","")))))&gt;0))))</f>
        <v>1</v>
      </c>
      <c r="CF13">
        <f>IF($T$4="",1,--(AND(SUMPRODUCT(--($AS$79:$AZ$79&lt;&gt;""))&gt;0,IF(COUNTIF($BI$79:$BP$79,1)=0,TRUE,SUMPRODUCT(($BI$79:$BP$79=1)*($AS$79:$AZ$79&lt;&gt;"")*IF(((UPPER($AS$79:$AZ$79)="BLANK")+(UPPER($AS$79:$AZ$79)="(BLANK)")+(UPPER($AS$79:$AZ$79)="EMPTY")+(UPPER($AS$79:$AZ$79)="(EMPTY)"))&gt;0,IFERROR(('Final Calculation Sheet'!$S$12)&amp;"","")="",ISNUMBER(SEARCH($AS$79:$AZ$79,IFERROR(('Final Calculation Sheet'!$S$12)&amp;"","")))))&gt;0),IF(COUNTIF($BI$79:$BP$79,2)=0,TRUE,SUMPRODUCT(($BI$79:$BP$79=2)*($AS$79:$AZ$79&lt;&gt;"")*IF(((UPPER($AS$79:$AZ$79)="BLANK")+(UPPER($AS$79:$AZ$79)="(BLANK)")+(UPPER($AS$79:$AZ$79)="EMPTY")+(UPPER($AS$79:$AZ$79)="(EMPTY)"))&gt;0,IFERROR(('Final Calculation Sheet'!$S$12)&amp;"","")="",ISNUMBER(SEARCH($AS$79:$AZ$79,IFERROR(('Final Calculation Sheet'!$S$12)&amp;"","")))))&gt;0),IF(COUNTIF($BI$79:$BP$79,3)=0,TRUE,SUMPRODUCT(($BI$79:$BP$79=3)*($AS$79:$AZ$79&lt;&gt;"")*IF(((UPPER($AS$79:$AZ$79)="BLANK")+(UPPER($AS$79:$AZ$79)="(BLANK)")+(UPPER($AS$79:$AZ$79)="EMPTY")+(UPPER($AS$79:$AZ$79)="(EMPTY)"))&gt;0,IFERROR(('Final Calculation Sheet'!$S$12)&amp;"","")="",ISNUMBER(SEARCH($AS$79:$AZ$79,IFERROR(('Final Calculation Sheet'!$S$12)&amp;"","")))))&gt;0),IF(COUNTIF($BI$79:$BP$79,4)=0,TRUE,SUMPRODUCT(($BI$79:$BP$79=4)*($AS$79:$AZ$79&lt;&gt;"")*IF(((UPPER($AS$79:$AZ$79)="BLANK")+(UPPER($AS$79:$AZ$79)="(BLANK)")+(UPPER($AS$79:$AZ$79)="EMPTY")+(UPPER($AS$79:$AZ$79)="(EMPTY)"))&gt;0,IFERROR(('Final Calculation Sheet'!$S$12)&amp;"","")="",ISNUMBER(SEARCH($AS$79:$AZ$79,IFERROR(('Final Calculation Sheet'!$S$12)&amp;"","")))))&gt;0),IF(COUNTIF($BI$79:$BP$79,5)=0,TRUE,SUMPRODUCT(($BI$79:$BP$79=5)*($AS$79:$AZ$79&lt;&gt;"")*IF(((UPPER($AS$79:$AZ$79)="BLANK")+(UPPER($AS$79:$AZ$79)="(BLANK)")+(UPPER($AS$79:$AZ$79)="EMPTY")+(UPPER($AS$79:$AZ$79)="(EMPTY)"))&gt;0,IFERROR(('Final Calculation Sheet'!$S$12)&amp;"","")="",ISNUMBER(SEARCH($AS$79:$AZ$79,IFERROR(('Final Calculation Sheet'!$S$12)&amp;"","")))))&gt;0),IF(COUNTIF($BI$79:$BP$79,6)=0,TRUE,SUMPRODUCT(($BI$79:$BP$79=6)*($AS$79:$AZ$79&lt;&gt;"")*IF(((UPPER($AS$79:$AZ$79)="BLANK")+(UPPER($AS$79:$AZ$79)="(BLANK)")+(UPPER($AS$79:$AZ$79)="EMPTY")+(UPPER($AS$79:$AZ$79)="(EMPTY)"))&gt;0,IFERROR(('Final Calculation Sheet'!$S$12)&amp;"","")="",ISNUMBER(SEARCH($AS$79:$AZ$79,IFERROR(('Final Calculation Sheet'!$S$12)&amp;"","")))))&gt;0),IF(COUNTIF($BI$79:$BP$79,7)=0,TRUE,SUMPRODUCT(($BI$79:$BP$79=7)*($AS$79:$AZ$79&lt;&gt;"")*IF(((UPPER($AS$79:$AZ$79)="BLANK")+(UPPER($AS$79:$AZ$79)="(BLANK)")+(UPPER($AS$79:$AZ$79)="EMPTY")+(UPPER($AS$79:$AZ$79)="(EMPTY)"))&gt;0,IFERROR(('Final Calculation Sheet'!$S$12)&amp;"","")="",ISNUMBER(SEARCH($AS$79:$AZ$79,IFERROR(('Final Calculation Sheet'!$S$12)&amp;"","")))))&gt;0),IF(COUNTIF($BI$79:$BP$79,8)=0,TRUE,SUMPRODUCT(($BI$79:$BP$79=8)*($AS$79:$AZ$79&lt;&gt;"")*IF(((UPPER($AS$79:$AZ$79)="BLANK")+(UPPER($AS$79:$AZ$79)="(BLANK)")+(UPPER($AS$79:$AZ$79)="EMPTY")+(UPPER($AS$79:$AZ$79)="(EMPTY)"))&gt;0,IFERROR(('Final Calculation Sheet'!$S$12)&amp;"","")="",ISNUMBER(SEARCH($AS$79:$AZ$79,IFERROR(('Final Calculation Sheet'!$S$12)&amp;"","")))))&gt;0))))</f>
        <v>1</v>
      </c>
      <c r="CG13">
        <f>IF($U$4="",1,--(AND(SUMPRODUCT(--($AS$80:$AZ$80&lt;&gt;""))&gt;0,IF(COUNTIF($BI$80:$BP$80,1)=0,TRUE,SUMPRODUCT(($BI$80:$BP$80=1)*($AS$80:$AZ$80&lt;&gt;"")*IF(((UPPER($AS$80:$AZ$80)="BLANK")+(UPPER($AS$80:$AZ$80)="(BLANK)")+(UPPER($AS$80:$AZ$80)="EMPTY")+(UPPER($AS$80:$AZ$80)="(EMPTY)"))&gt;0,IFERROR(('Final Calculation Sheet'!$T$12)&amp;"","")="",ISNUMBER(SEARCH($AS$80:$AZ$80,IFERROR(('Final Calculation Sheet'!$T$12)&amp;"","")))))&gt;0),IF(COUNTIF($BI$80:$BP$80,2)=0,TRUE,SUMPRODUCT(($BI$80:$BP$80=2)*($AS$80:$AZ$80&lt;&gt;"")*IF(((UPPER($AS$80:$AZ$80)="BLANK")+(UPPER($AS$80:$AZ$80)="(BLANK)")+(UPPER($AS$80:$AZ$80)="EMPTY")+(UPPER($AS$80:$AZ$80)="(EMPTY)"))&gt;0,IFERROR(('Final Calculation Sheet'!$T$12)&amp;"","")="",ISNUMBER(SEARCH($AS$80:$AZ$80,IFERROR(('Final Calculation Sheet'!$T$12)&amp;"","")))))&gt;0),IF(COUNTIF($BI$80:$BP$80,3)=0,TRUE,SUMPRODUCT(($BI$80:$BP$80=3)*($AS$80:$AZ$80&lt;&gt;"")*IF(((UPPER($AS$80:$AZ$80)="BLANK")+(UPPER($AS$80:$AZ$80)="(BLANK)")+(UPPER($AS$80:$AZ$80)="EMPTY")+(UPPER($AS$80:$AZ$80)="(EMPTY)"))&gt;0,IFERROR(('Final Calculation Sheet'!$T$12)&amp;"","")="",ISNUMBER(SEARCH($AS$80:$AZ$80,IFERROR(('Final Calculation Sheet'!$T$12)&amp;"","")))))&gt;0),IF(COUNTIF($BI$80:$BP$80,4)=0,TRUE,SUMPRODUCT(($BI$80:$BP$80=4)*($AS$80:$AZ$80&lt;&gt;"")*IF(((UPPER($AS$80:$AZ$80)="BLANK")+(UPPER($AS$80:$AZ$80)="(BLANK)")+(UPPER($AS$80:$AZ$80)="EMPTY")+(UPPER($AS$80:$AZ$80)="(EMPTY)"))&gt;0,IFERROR(('Final Calculation Sheet'!$T$12)&amp;"","")="",ISNUMBER(SEARCH($AS$80:$AZ$80,IFERROR(('Final Calculation Sheet'!$T$12)&amp;"","")))))&gt;0),IF(COUNTIF($BI$80:$BP$80,5)=0,TRUE,SUMPRODUCT(($BI$80:$BP$80=5)*($AS$80:$AZ$80&lt;&gt;"")*IF(((UPPER($AS$80:$AZ$80)="BLANK")+(UPPER($AS$80:$AZ$80)="(BLANK)")+(UPPER($AS$80:$AZ$80)="EMPTY")+(UPPER($AS$80:$AZ$80)="(EMPTY)"))&gt;0,IFERROR(('Final Calculation Sheet'!$T$12)&amp;"","")="",ISNUMBER(SEARCH($AS$80:$AZ$80,IFERROR(('Final Calculation Sheet'!$T$12)&amp;"","")))))&gt;0),IF(COUNTIF($BI$80:$BP$80,6)=0,TRUE,SUMPRODUCT(($BI$80:$BP$80=6)*($AS$80:$AZ$80&lt;&gt;"")*IF(((UPPER($AS$80:$AZ$80)="BLANK")+(UPPER($AS$80:$AZ$80)="(BLANK)")+(UPPER($AS$80:$AZ$80)="EMPTY")+(UPPER($AS$80:$AZ$80)="(EMPTY)"))&gt;0,IFERROR(('Final Calculation Sheet'!$T$12)&amp;"","")="",ISNUMBER(SEARCH($AS$80:$AZ$80,IFERROR(('Final Calculation Sheet'!$T$12)&amp;"","")))))&gt;0),IF(COUNTIF($BI$80:$BP$80,7)=0,TRUE,SUMPRODUCT(($BI$80:$BP$80=7)*($AS$80:$AZ$80&lt;&gt;"")*IF(((UPPER($AS$80:$AZ$80)="BLANK")+(UPPER($AS$80:$AZ$80)="(BLANK)")+(UPPER($AS$80:$AZ$80)="EMPTY")+(UPPER($AS$80:$AZ$80)="(EMPTY)"))&gt;0,IFERROR(('Final Calculation Sheet'!$T$12)&amp;"","")="",ISNUMBER(SEARCH($AS$80:$AZ$80,IFERROR(('Final Calculation Sheet'!$T$12)&amp;"","")))))&gt;0),IF(COUNTIF($BI$80:$BP$80,8)=0,TRUE,SUMPRODUCT(($BI$80:$BP$80=8)*($AS$80:$AZ$80&lt;&gt;"")*IF(((UPPER($AS$80:$AZ$80)="BLANK")+(UPPER($AS$80:$AZ$80)="(BLANK)")+(UPPER($AS$80:$AZ$80)="EMPTY")+(UPPER($AS$80:$AZ$80)="(EMPTY)"))&gt;0,IFERROR(('Final Calculation Sheet'!$T$12)&amp;"","")="",ISNUMBER(SEARCH($AS$80:$AZ$80,IFERROR(('Final Calculation Sheet'!$T$12)&amp;"","")))))&gt;0))))</f>
        <v>1</v>
      </c>
      <c r="CH13">
        <f>IF($V$4="",1,--(AND(SUMPRODUCT(--($AS$81:$AZ$81&lt;&gt;""))&gt;0,IF(COUNTIF($BI$81:$BP$81,1)=0,TRUE,SUMPRODUCT(($BI$81:$BP$81=1)*($AS$81:$AZ$81&lt;&gt;"")*IF(((UPPER($AS$81:$AZ$81)="BLANK")+(UPPER($AS$81:$AZ$81)="(BLANK)")+(UPPER($AS$81:$AZ$81)="EMPTY")+(UPPER($AS$81:$AZ$81)="(EMPTY)"))&gt;0,IFERROR(('Final Calculation Sheet'!$U$12)&amp;"","")="",ISNUMBER(SEARCH($AS$81:$AZ$81,IFERROR(('Final Calculation Sheet'!$U$12)&amp;"","")))))&gt;0),IF(COUNTIF($BI$81:$BP$81,2)=0,TRUE,SUMPRODUCT(($BI$81:$BP$81=2)*($AS$81:$AZ$81&lt;&gt;"")*IF(((UPPER($AS$81:$AZ$81)="BLANK")+(UPPER($AS$81:$AZ$81)="(BLANK)")+(UPPER($AS$81:$AZ$81)="EMPTY")+(UPPER($AS$81:$AZ$81)="(EMPTY)"))&gt;0,IFERROR(('Final Calculation Sheet'!$U$12)&amp;"","")="",ISNUMBER(SEARCH($AS$81:$AZ$81,IFERROR(('Final Calculation Sheet'!$U$12)&amp;"","")))))&gt;0),IF(COUNTIF($BI$81:$BP$81,3)=0,TRUE,SUMPRODUCT(($BI$81:$BP$81=3)*($AS$81:$AZ$81&lt;&gt;"")*IF(((UPPER($AS$81:$AZ$81)="BLANK")+(UPPER($AS$81:$AZ$81)="(BLANK)")+(UPPER($AS$81:$AZ$81)="EMPTY")+(UPPER($AS$81:$AZ$81)="(EMPTY)"))&gt;0,IFERROR(('Final Calculation Sheet'!$U$12)&amp;"","")="",ISNUMBER(SEARCH($AS$81:$AZ$81,IFERROR(('Final Calculation Sheet'!$U$12)&amp;"","")))))&gt;0),IF(COUNTIF($BI$81:$BP$81,4)=0,TRUE,SUMPRODUCT(($BI$81:$BP$81=4)*($AS$81:$AZ$81&lt;&gt;"")*IF(((UPPER($AS$81:$AZ$81)="BLANK")+(UPPER($AS$81:$AZ$81)="(BLANK)")+(UPPER($AS$81:$AZ$81)="EMPTY")+(UPPER($AS$81:$AZ$81)="(EMPTY)"))&gt;0,IFERROR(('Final Calculation Sheet'!$U$12)&amp;"","")="",ISNUMBER(SEARCH($AS$81:$AZ$81,IFERROR(('Final Calculation Sheet'!$U$12)&amp;"","")))))&gt;0),IF(COUNTIF($BI$81:$BP$81,5)=0,TRUE,SUMPRODUCT(($BI$81:$BP$81=5)*($AS$81:$AZ$81&lt;&gt;"")*IF(((UPPER($AS$81:$AZ$81)="BLANK")+(UPPER($AS$81:$AZ$81)="(BLANK)")+(UPPER($AS$81:$AZ$81)="EMPTY")+(UPPER($AS$81:$AZ$81)="(EMPTY)"))&gt;0,IFERROR(('Final Calculation Sheet'!$U$12)&amp;"","")="",ISNUMBER(SEARCH($AS$81:$AZ$81,IFERROR(('Final Calculation Sheet'!$U$12)&amp;"","")))))&gt;0),IF(COUNTIF($BI$81:$BP$81,6)=0,TRUE,SUMPRODUCT(($BI$81:$BP$81=6)*($AS$81:$AZ$81&lt;&gt;"")*IF(((UPPER($AS$81:$AZ$81)="BLANK")+(UPPER($AS$81:$AZ$81)="(BLANK)")+(UPPER($AS$81:$AZ$81)="EMPTY")+(UPPER($AS$81:$AZ$81)="(EMPTY)"))&gt;0,IFERROR(('Final Calculation Sheet'!$U$12)&amp;"","")="",ISNUMBER(SEARCH($AS$81:$AZ$81,IFERROR(('Final Calculation Sheet'!$U$12)&amp;"","")))))&gt;0),IF(COUNTIF($BI$81:$BP$81,7)=0,TRUE,SUMPRODUCT(($BI$81:$BP$81=7)*($AS$81:$AZ$81&lt;&gt;"")*IF(((UPPER($AS$81:$AZ$81)="BLANK")+(UPPER($AS$81:$AZ$81)="(BLANK)")+(UPPER($AS$81:$AZ$81)="EMPTY")+(UPPER($AS$81:$AZ$81)="(EMPTY)"))&gt;0,IFERROR(('Final Calculation Sheet'!$U$12)&amp;"","")="",ISNUMBER(SEARCH($AS$81:$AZ$81,IFERROR(('Final Calculation Sheet'!$U$12)&amp;"","")))))&gt;0),IF(COUNTIF($BI$81:$BP$81,8)=0,TRUE,SUMPRODUCT(($BI$81:$BP$81=8)*($AS$81:$AZ$81&lt;&gt;"")*IF(((UPPER($AS$81:$AZ$81)="BLANK")+(UPPER($AS$81:$AZ$81)="(BLANK)")+(UPPER($AS$81:$AZ$81)="EMPTY")+(UPPER($AS$81:$AZ$81)="(EMPTY)"))&gt;0,IFERROR(('Final Calculation Sheet'!$U$12)&amp;"","")="",ISNUMBER(SEARCH($AS$81:$AZ$81,IFERROR(('Final Calculation Sheet'!$U$12)&amp;"","")))))&gt;0))))</f>
        <v>1</v>
      </c>
      <c r="CI13">
        <f>IF($W$4="",1,--(AND(SUMPRODUCT(--($AS$82:$AZ$82&lt;&gt;""))&gt;0,IF(COUNTIF($BI$82:$BP$82,1)=0,TRUE,SUMPRODUCT(($BI$82:$BP$82=1)*($AS$82:$AZ$82&lt;&gt;"")*IF(((UPPER($AS$82:$AZ$82)="BLANK")+(UPPER($AS$82:$AZ$82)="(BLANK)")+(UPPER($AS$82:$AZ$82)="EMPTY")+(UPPER($AS$82:$AZ$82)="(EMPTY)"))&gt;0,IFERROR(('Final Calculation Sheet'!$V$12)&amp;"","")="",ISNUMBER(SEARCH($AS$82:$AZ$82,IFERROR(('Final Calculation Sheet'!$V$12)&amp;"","")))))&gt;0),IF(COUNTIF($BI$82:$BP$82,2)=0,TRUE,SUMPRODUCT(($BI$82:$BP$82=2)*($AS$82:$AZ$82&lt;&gt;"")*IF(((UPPER($AS$82:$AZ$82)="BLANK")+(UPPER($AS$82:$AZ$82)="(BLANK)")+(UPPER($AS$82:$AZ$82)="EMPTY")+(UPPER($AS$82:$AZ$82)="(EMPTY)"))&gt;0,IFERROR(('Final Calculation Sheet'!$V$12)&amp;"","")="",ISNUMBER(SEARCH($AS$82:$AZ$82,IFERROR(('Final Calculation Sheet'!$V$12)&amp;"","")))))&gt;0),IF(COUNTIF($BI$82:$BP$82,3)=0,TRUE,SUMPRODUCT(($BI$82:$BP$82=3)*($AS$82:$AZ$82&lt;&gt;"")*IF(((UPPER($AS$82:$AZ$82)="BLANK")+(UPPER($AS$82:$AZ$82)="(BLANK)")+(UPPER($AS$82:$AZ$82)="EMPTY")+(UPPER($AS$82:$AZ$82)="(EMPTY)"))&gt;0,IFERROR(('Final Calculation Sheet'!$V$12)&amp;"","")="",ISNUMBER(SEARCH($AS$82:$AZ$82,IFERROR(('Final Calculation Sheet'!$V$12)&amp;"","")))))&gt;0),IF(COUNTIF($BI$82:$BP$82,4)=0,TRUE,SUMPRODUCT(($BI$82:$BP$82=4)*($AS$82:$AZ$82&lt;&gt;"")*IF(((UPPER($AS$82:$AZ$82)="BLANK")+(UPPER($AS$82:$AZ$82)="(BLANK)")+(UPPER($AS$82:$AZ$82)="EMPTY")+(UPPER($AS$82:$AZ$82)="(EMPTY)"))&gt;0,IFERROR(('Final Calculation Sheet'!$V$12)&amp;"","")="",ISNUMBER(SEARCH($AS$82:$AZ$82,IFERROR(('Final Calculation Sheet'!$V$12)&amp;"","")))))&gt;0),IF(COUNTIF($BI$82:$BP$82,5)=0,TRUE,SUMPRODUCT(($BI$82:$BP$82=5)*($AS$82:$AZ$82&lt;&gt;"")*IF(((UPPER($AS$82:$AZ$82)="BLANK")+(UPPER($AS$82:$AZ$82)="(BLANK)")+(UPPER($AS$82:$AZ$82)="EMPTY")+(UPPER($AS$82:$AZ$82)="(EMPTY)"))&gt;0,IFERROR(('Final Calculation Sheet'!$V$12)&amp;"","")="",ISNUMBER(SEARCH($AS$82:$AZ$82,IFERROR(('Final Calculation Sheet'!$V$12)&amp;"","")))))&gt;0),IF(COUNTIF($BI$82:$BP$82,6)=0,TRUE,SUMPRODUCT(($BI$82:$BP$82=6)*($AS$82:$AZ$82&lt;&gt;"")*IF(((UPPER($AS$82:$AZ$82)="BLANK")+(UPPER($AS$82:$AZ$82)="(BLANK)")+(UPPER($AS$82:$AZ$82)="EMPTY")+(UPPER($AS$82:$AZ$82)="(EMPTY)"))&gt;0,IFERROR(('Final Calculation Sheet'!$V$12)&amp;"","")="",ISNUMBER(SEARCH($AS$82:$AZ$82,IFERROR(('Final Calculation Sheet'!$V$12)&amp;"","")))))&gt;0),IF(COUNTIF($BI$82:$BP$82,7)=0,TRUE,SUMPRODUCT(($BI$82:$BP$82=7)*($AS$82:$AZ$82&lt;&gt;"")*IF(((UPPER($AS$82:$AZ$82)="BLANK")+(UPPER($AS$82:$AZ$82)="(BLANK)")+(UPPER($AS$82:$AZ$82)="EMPTY")+(UPPER($AS$82:$AZ$82)="(EMPTY)"))&gt;0,IFERROR(('Final Calculation Sheet'!$V$12)&amp;"","")="",ISNUMBER(SEARCH($AS$82:$AZ$82,IFERROR(('Final Calculation Sheet'!$V$12)&amp;"","")))))&gt;0),IF(COUNTIF($BI$82:$BP$82,8)=0,TRUE,SUMPRODUCT(($BI$82:$BP$82=8)*($AS$82:$AZ$82&lt;&gt;"")*IF(((UPPER($AS$82:$AZ$82)="BLANK")+(UPPER($AS$82:$AZ$82)="(BLANK)")+(UPPER($AS$82:$AZ$82)="EMPTY")+(UPPER($AS$82:$AZ$82)="(EMPTY)"))&gt;0,IFERROR(('Final Calculation Sheet'!$V$12)&amp;"","")="",ISNUMBER(SEARCH($AS$82:$AZ$82,IFERROR(('Final Calculation Sheet'!$V$12)&amp;"","")))))&gt;0))))</f>
        <v>1</v>
      </c>
      <c r="CJ13">
        <f>IF($X$4="",1,--(AND(SUMPRODUCT(--($AS$83:$AZ$83&lt;&gt;""))&gt;0,IF(COUNTIF($BI$83:$BP$83,1)=0,TRUE,SUMPRODUCT(($BI$83:$BP$83=1)*($AS$83:$AZ$83&lt;&gt;"")*IF(((UPPER($AS$83:$AZ$83)="BLANK")+(UPPER($AS$83:$AZ$83)="(BLANK)")+(UPPER($AS$83:$AZ$83)="EMPTY")+(UPPER($AS$83:$AZ$83)="(EMPTY)"))&gt;0,IFERROR(('Final Calculation Sheet'!$W$12)&amp;"","")="",ISNUMBER(SEARCH($AS$83:$AZ$83,IFERROR(('Final Calculation Sheet'!$W$12)&amp;"","")))))&gt;0),IF(COUNTIF($BI$83:$BP$83,2)=0,TRUE,SUMPRODUCT(($BI$83:$BP$83=2)*($AS$83:$AZ$83&lt;&gt;"")*IF(((UPPER($AS$83:$AZ$83)="BLANK")+(UPPER($AS$83:$AZ$83)="(BLANK)")+(UPPER($AS$83:$AZ$83)="EMPTY")+(UPPER($AS$83:$AZ$83)="(EMPTY)"))&gt;0,IFERROR(('Final Calculation Sheet'!$W$12)&amp;"","")="",ISNUMBER(SEARCH($AS$83:$AZ$83,IFERROR(('Final Calculation Sheet'!$W$12)&amp;"","")))))&gt;0),IF(COUNTIF($BI$83:$BP$83,3)=0,TRUE,SUMPRODUCT(($BI$83:$BP$83=3)*($AS$83:$AZ$83&lt;&gt;"")*IF(((UPPER($AS$83:$AZ$83)="BLANK")+(UPPER($AS$83:$AZ$83)="(BLANK)")+(UPPER($AS$83:$AZ$83)="EMPTY")+(UPPER($AS$83:$AZ$83)="(EMPTY)"))&gt;0,IFERROR(('Final Calculation Sheet'!$W$12)&amp;"","")="",ISNUMBER(SEARCH($AS$83:$AZ$83,IFERROR(('Final Calculation Sheet'!$W$12)&amp;"","")))))&gt;0),IF(COUNTIF($BI$83:$BP$83,4)=0,TRUE,SUMPRODUCT(($BI$83:$BP$83=4)*($AS$83:$AZ$83&lt;&gt;"")*IF(((UPPER($AS$83:$AZ$83)="BLANK")+(UPPER($AS$83:$AZ$83)="(BLANK)")+(UPPER($AS$83:$AZ$83)="EMPTY")+(UPPER($AS$83:$AZ$83)="(EMPTY)"))&gt;0,IFERROR(('Final Calculation Sheet'!$W$12)&amp;"","")="",ISNUMBER(SEARCH($AS$83:$AZ$83,IFERROR(('Final Calculation Sheet'!$W$12)&amp;"","")))))&gt;0),IF(COUNTIF($BI$83:$BP$83,5)=0,TRUE,SUMPRODUCT(($BI$83:$BP$83=5)*($AS$83:$AZ$83&lt;&gt;"")*IF(((UPPER($AS$83:$AZ$83)="BLANK")+(UPPER($AS$83:$AZ$83)="(BLANK)")+(UPPER($AS$83:$AZ$83)="EMPTY")+(UPPER($AS$83:$AZ$83)="(EMPTY)"))&gt;0,IFERROR(('Final Calculation Sheet'!$W$12)&amp;"","")="",ISNUMBER(SEARCH($AS$83:$AZ$83,IFERROR(('Final Calculation Sheet'!$W$12)&amp;"","")))))&gt;0),IF(COUNTIF($BI$83:$BP$83,6)=0,TRUE,SUMPRODUCT(($BI$83:$BP$83=6)*($AS$83:$AZ$83&lt;&gt;"")*IF(((UPPER($AS$83:$AZ$83)="BLANK")+(UPPER($AS$83:$AZ$83)="(BLANK)")+(UPPER($AS$83:$AZ$83)="EMPTY")+(UPPER($AS$83:$AZ$83)="(EMPTY)"))&gt;0,IFERROR(('Final Calculation Sheet'!$W$12)&amp;"","")="",ISNUMBER(SEARCH($AS$83:$AZ$83,IFERROR(('Final Calculation Sheet'!$W$12)&amp;"","")))))&gt;0),IF(COUNTIF($BI$83:$BP$83,7)=0,TRUE,SUMPRODUCT(($BI$83:$BP$83=7)*($AS$83:$AZ$83&lt;&gt;"")*IF(((UPPER($AS$83:$AZ$83)="BLANK")+(UPPER($AS$83:$AZ$83)="(BLANK)")+(UPPER($AS$83:$AZ$83)="EMPTY")+(UPPER($AS$83:$AZ$83)="(EMPTY)"))&gt;0,IFERROR(('Final Calculation Sheet'!$W$12)&amp;"","")="",ISNUMBER(SEARCH($AS$83:$AZ$83,IFERROR(('Final Calculation Sheet'!$W$12)&amp;"","")))))&gt;0),IF(COUNTIF($BI$83:$BP$83,8)=0,TRUE,SUMPRODUCT(($BI$83:$BP$83=8)*($AS$83:$AZ$83&lt;&gt;"")*IF(((UPPER($AS$83:$AZ$83)="BLANK")+(UPPER($AS$83:$AZ$83)="(BLANK)")+(UPPER($AS$83:$AZ$83)="EMPTY")+(UPPER($AS$83:$AZ$83)="(EMPTY)"))&gt;0,IFERROR(('Final Calculation Sheet'!$W$12)&amp;"","")="",ISNUMBER(SEARCH($AS$83:$AZ$83,IFERROR(('Final Calculation Sheet'!$W$12)&amp;"","")))))&gt;0))))</f>
        <v>1</v>
      </c>
      <c r="CK13">
        <f>IF($Y$4="",1,--(AND(SUMPRODUCT(--($AS$84:$AZ$84&lt;&gt;""))&gt;0,IF(COUNTIF($BI$84:$BP$84,1)=0,TRUE,SUMPRODUCT(($BI$84:$BP$84=1)*($AS$84:$AZ$84&lt;&gt;"")*IF(((UPPER($AS$84:$AZ$84)="BLANK")+(UPPER($AS$84:$AZ$84)="(BLANK)")+(UPPER($AS$84:$AZ$84)="EMPTY")+(UPPER($AS$84:$AZ$84)="(EMPTY)"))&gt;0,IFERROR(('Final Calculation Sheet'!$X$12)&amp;"","")="",ISNUMBER(SEARCH($AS$84:$AZ$84,IFERROR(('Final Calculation Sheet'!$X$12)&amp;"","")))))&gt;0),IF(COUNTIF($BI$84:$BP$84,2)=0,TRUE,SUMPRODUCT(($BI$84:$BP$84=2)*($AS$84:$AZ$84&lt;&gt;"")*IF(((UPPER($AS$84:$AZ$84)="BLANK")+(UPPER($AS$84:$AZ$84)="(BLANK)")+(UPPER($AS$84:$AZ$84)="EMPTY")+(UPPER($AS$84:$AZ$84)="(EMPTY)"))&gt;0,IFERROR(('Final Calculation Sheet'!$X$12)&amp;"","")="",ISNUMBER(SEARCH($AS$84:$AZ$84,IFERROR(('Final Calculation Sheet'!$X$12)&amp;"","")))))&gt;0),IF(COUNTIF($BI$84:$BP$84,3)=0,TRUE,SUMPRODUCT(($BI$84:$BP$84=3)*($AS$84:$AZ$84&lt;&gt;"")*IF(((UPPER($AS$84:$AZ$84)="BLANK")+(UPPER($AS$84:$AZ$84)="(BLANK)")+(UPPER($AS$84:$AZ$84)="EMPTY")+(UPPER($AS$84:$AZ$84)="(EMPTY)"))&gt;0,IFERROR(('Final Calculation Sheet'!$X$12)&amp;"","")="",ISNUMBER(SEARCH($AS$84:$AZ$84,IFERROR(('Final Calculation Sheet'!$X$12)&amp;"","")))))&gt;0),IF(COUNTIF($BI$84:$BP$84,4)=0,TRUE,SUMPRODUCT(($BI$84:$BP$84=4)*($AS$84:$AZ$84&lt;&gt;"")*IF(((UPPER($AS$84:$AZ$84)="BLANK")+(UPPER($AS$84:$AZ$84)="(BLANK)")+(UPPER($AS$84:$AZ$84)="EMPTY")+(UPPER($AS$84:$AZ$84)="(EMPTY)"))&gt;0,IFERROR(('Final Calculation Sheet'!$X$12)&amp;"","")="",ISNUMBER(SEARCH($AS$84:$AZ$84,IFERROR(('Final Calculation Sheet'!$X$12)&amp;"","")))))&gt;0),IF(COUNTIF($BI$84:$BP$84,5)=0,TRUE,SUMPRODUCT(($BI$84:$BP$84=5)*($AS$84:$AZ$84&lt;&gt;"")*IF(((UPPER($AS$84:$AZ$84)="BLANK")+(UPPER($AS$84:$AZ$84)="(BLANK)")+(UPPER($AS$84:$AZ$84)="EMPTY")+(UPPER($AS$84:$AZ$84)="(EMPTY)"))&gt;0,IFERROR(('Final Calculation Sheet'!$X$12)&amp;"","")="",ISNUMBER(SEARCH($AS$84:$AZ$84,IFERROR(('Final Calculation Sheet'!$X$12)&amp;"","")))))&gt;0),IF(COUNTIF($BI$84:$BP$84,6)=0,TRUE,SUMPRODUCT(($BI$84:$BP$84=6)*($AS$84:$AZ$84&lt;&gt;"")*IF(((UPPER($AS$84:$AZ$84)="BLANK")+(UPPER($AS$84:$AZ$84)="(BLANK)")+(UPPER($AS$84:$AZ$84)="EMPTY")+(UPPER($AS$84:$AZ$84)="(EMPTY)"))&gt;0,IFERROR(('Final Calculation Sheet'!$X$12)&amp;"","")="",ISNUMBER(SEARCH($AS$84:$AZ$84,IFERROR(('Final Calculation Sheet'!$X$12)&amp;"","")))))&gt;0),IF(COUNTIF($BI$84:$BP$84,7)=0,TRUE,SUMPRODUCT(($BI$84:$BP$84=7)*($AS$84:$AZ$84&lt;&gt;"")*IF(((UPPER($AS$84:$AZ$84)="BLANK")+(UPPER($AS$84:$AZ$84)="(BLANK)")+(UPPER($AS$84:$AZ$84)="EMPTY")+(UPPER($AS$84:$AZ$84)="(EMPTY)"))&gt;0,IFERROR(('Final Calculation Sheet'!$X$12)&amp;"","")="",ISNUMBER(SEARCH($AS$84:$AZ$84,IFERROR(('Final Calculation Sheet'!$X$12)&amp;"","")))))&gt;0),IF(COUNTIF($BI$84:$BP$84,8)=0,TRUE,SUMPRODUCT(($BI$84:$BP$84=8)*($AS$84:$AZ$84&lt;&gt;"")*IF(((UPPER($AS$84:$AZ$84)="BLANK")+(UPPER($AS$84:$AZ$84)="(BLANK)")+(UPPER($AS$84:$AZ$84)="EMPTY")+(UPPER($AS$84:$AZ$84)="(EMPTY)"))&gt;0,IFERROR(('Final Calculation Sheet'!$X$12)&amp;"","")="",ISNUMBER(SEARCH($AS$84:$AZ$84,IFERROR(('Final Calculation Sheet'!$X$12)&amp;"","")))))&gt;0))))</f>
        <v>1</v>
      </c>
      <c r="CL13">
        <f>IF($Z$4="",1,--(AND(SUMPRODUCT(--($AS$85:$AZ$85&lt;&gt;""))&gt;0,IF(COUNTIF($BI$85:$BP$85,1)=0,TRUE,SUMPRODUCT(($BI$85:$BP$85=1)*($AS$85:$AZ$85&lt;&gt;"")*IF(((UPPER($AS$85:$AZ$85)="BLANK")+(UPPER($AS$85:$AZ$85)="(BLANK)")+(UPPER($AS$85:$AZ$85)="EMPTY")+(UPPER($AS$85:$AZ$85)="(EMPTY)"))&gt;0,IFERROR(('Final Calculation Sheet'!$Y$12)&amp;"","")="",ISNUMBER(SEARCH($AS$85:$AZ$85,IFERROR(('Final Calculation Sheet'!$Y$12)&amp;"","")))))&gt;0),IF(COUNTIF($BI$85:$BP$85,2)=0,TRUE,SUMPRODUCT(($BI$85:$BP$85=2)*($AS$85:$AZ$85&lt;&gt;"")*IF(((UPPER($AS$85:$AZ$85)="BLANK")+(UPPER($AS$85:$AZ$85)="(BLANK)")+(UPPER($AS$85:$AZ$85)="EMPTY")+(UPPER($AS$85:$AZ$85)="(EMPTY)"))&gt;0,IFERROR(('Final Calculation Sheet'!$Y$12)&amp;"","")="",ISNUMBER(SEARCH($AS$85:$AZ$85,IFERROR(('Final Calculation Sheet'!$Y$12)&amp;"","")))))&gt;0),IF(COUNTIF($BI$85:$BP$85,3)=0,TRUE,SUMPRODUCT(($BI$85:$BP$85=3)*($AS$85:$AZ$85&lt;&gt;"")*IF(((UPPER($AS$85:$AZ$85)="BLANK")+(UPPER($AS$85:$AZ$85)="(BLANK)")+(UPPER($AS$85:$AZ$85)="EMPTY")+(UPPER($AS$85:$AZ$85)="(EMPTY)"))&gt;0,IFERROR(('Final Calculation Sheet'!$Y$12)&amp;"","")="",ISNUMBER(SEARCH($AS$85:$AZ$85,IFERROR(('Final Calculation Sheet'!$Y$12)&amp;"","")))))&gt;0),IF(COUNTIF($BI$85:$BP$85,4)=0,TRUE,SUMPRODUCT(($BI$85:$BP$85=4)*($AS$85:$AZ$85&lt;&gt;"")*IF(((UPPER($AS$85:$AZ$85)="BLANK")+(UPPER($AS$85:$AZ$85)="(BLANK)")+(UPPER($AS$85:$AZ$85)="EMPTY")+(UPPER($AS$85:$AZ$85)="(EMPTY)"))&gt;0,IFERROR(('Final Calculation Sheet'!$Y$12)&amp;"","")="",ISNUMBER(SEARCH($AS$85:$AZ$85,IFERROR(('Final Calculation Sheet'!$Y$12)&amp;"","")))))&gt;0),IF(COUNTIF($BI$85:$BP$85,5)=0,TRUE,SUMPRODUCT(($BI$85:$BP$85=5)*($AS$85:$AZ$85&lt;&gt;"")*IF(((UPPER($AS$85:$AZ$85)="BLANK")+(UPPER($AS$85:$AZ$85)="(BLANK)")+(UPPER($AS$85:$AZ$85)="EMPTY")+(UPPER($AS$85:$AZ$85)="(EMPTY)"))&gt;0,IFERROR(('Final Calculation Sheet'!$Y$12)&amp;"","")="",ISNUMBER(SEARCH($AS$85:$AZ$85,IFERROR(('Final Calculation Sheet'!$Y$12)&amp;"","")))))&gt;0),IF(COUNTIF($BI$85:$BP$85,6)=0,TRUE,SUMPRODUCT(($BI$85:$BP$85=6)*($AS$85:$AZ$85&lt;&gt;"")*IF(((UPPER($AS$85:$AZ$85)="BLANK")+(UPPER($AS$85:$AZ$85)="(BLANK)")+(UPPER($AS$85:$AZ$85)="EMPTY")+(UPPER($AS$85:$AZ$85)="(EMPTY)"))&gt;0,IFERROR(('Final Calculation Sheet'!$Y$12)&amp;"","")="",ISNUMBER(SEARCH($AS$85:$AZ$85,IFERROR(('Final Calculation Sheet'!$Y$12)&amp;"","")))))&gt;0),IF(COUNTIF($BI$85:$BP$85,7)=0,TRUE,SUMPRODUCT(($BI$85:$BP$85=7)*($AS$85:$AZ$85&lt;&gt;"")*IF(((UPPER($AS$85:$AZ$85)="BLANK")+(UPPER($AS$85:$AZ$85)="(BLANK)")+(UPPER($AS$85:$AZ$85)="EMPTY")+(UPPER($AS$85:$AZ$85)="(EMPTY)"))&gt;0,IFERROR(('Final Calculation Sheet'!$Y$12)&amp;"","")="",ISNUMBER(SEARCH($AS$85:$AZ$85,IFERROR(('Final Calculation Sheet'!$Y$12)&amp;"","")))))&gt;0),IF(COUNTIF($BI$85:$BP$85,8)=0,TRUE,SUMPRODUCT(($BI$85:$BP$85=8)*($AS$85:$AZ$85&lt;&gt;"")*IF(((UPPER($AS$85:$AZ$85)="BLANK")+(UPPER($AS$85:$AZ$85)="(BLANK)")+(UPPER($AS$85:$AZ$85)="EMPTY")+(UPPER($AS$85:$AZ$85)="(EMPTY)"))&gt;0,IFERROR(('Final Calculation Sheet'!$Y$12)&amp;"","")="",ISNUMBER(SEARCH($AS$85:$AZ$85,IFERROR(('Final Calculation Sheet'!$Y$12)&amp;"","")))))&gt;0))))</f>
        <v>1</v>
      </c>
      <c r="CM13">
        <f>IF($AA$4="",1,--(AND(SUMPRODUCT(--($AS$86:$AZ$86&lt;&gt;""))&gt;0,IF(COUNTIF($BI$86:$BP$86,1)=0,TRUE,SUMPRODUCT(($BI$86:$BP$86=1)*($AS$86:$AZ$86&lt;&gt;"")*IF(((UPPER($AS$86:$AZ$86)="BLANK")+(UPPER($AS$86:$AZ$86)="(BLANK)")+(UPPER($AS$86:$AZ$86)="EMPTY")+(UPPER($AS$86:$AZ$86)="(EMPTY)"))&gt;0,IFERROR(('Final Calculation Sheet'!$Z$12)&amp;"","")="",ISNUMBER(SEARCH($AS$86:$AZ$86,IFERROR(('Final Calculation Sheet'!$Z$12)&amp;"","")))))&gt;0),IF(COUNTIF($BI$86:$BP$86,2)=0,TRUE,SUMPRODUCT(($BI$86:$BP$86=2)*($AS$86:$AZ$86&lt;&gt;"")*IF(((UPPER($AS$86:$AZ$86)="BLANK")+(UPPER($AS$86:$AZ$86)="(BLANK)")+(UPPER($AS$86:$AZ$86)="EMPTY")+(UPPER($AS$86:$AZ$86)="(EMPTY)"))&gt;0,IFERROR(('Final Calculation Sheet'!$Z$12)&amp;"","")="",ISNUMBER(SEARCH($AS$86:$AZ$86,IFERROR(('Final Calculation Sheet'!$Z$12)&amp;"","")))))&gt;0),IF(COUNTIF($BI$86:$BP$86,3)=0,TRUE,SUMPRODUCT(($BI$86:$BP$86=3)*($AS$86:$AZ$86&lt;&gt;"")*IF(((UPPER($AS$86:$AZ$86)="BLANK")+(UPPER($AS$86:$AZ$86)="(BLANK)")+(UPPER($AS$86:$AZ$86)="EMPTY")+(UPPER($AS$86:$AZ$86)="(EMPTY)"))&gt;0,IFERROR(('Final Calculation Sheet'!$Z$12)&amp;"","")="",ISNUMBER(SEARCH($AS$86:$AZ$86,IFERROR(('Final Calculation Sheet'!$Z$12)&amp;"","")))))&gt;0),IF(COUNTIF($BI$86:$BP$86,4)=0,TRUE,SUMPRODUCT(($BI$86:$BP$86=4)*($AS$86:$AZ$86&lt;&gt;"")*IF(((UPPER($AS$86:$AZ$86)="BLANK")+(UPPER($AS$86:$AZ$86)="(BLANK)")+(UPPER($AS$86:$AZ$86)="EMPTY")+(UPPER($AS$86:$AZ$86)="(EMPTY)"))&gt;0,IFERROR(('Final Calculation Sheet'!$Z$12)&amp;"","")="",ISNUMBER(SEARCH($AS$86:$AZ$86,IFERROR(('Final Calculation Sheet'!$Z$12)&amp;"","")))))&gt;0),IF(COUNTIF($BI$86:$BP$86,5)=0,TRUE,SUMPRODUCT(($BI$86:$BP$86=5)*($AS$86:$AZ$86&lt;&gt;"")*IF(((UPPER($AS$86:$AZ$86)="BLANK")+(UPPER($AS$86:$AZ$86)="(BLANK)")+(UPPER($AS$86:$AZ$86)="EMPTY")+(UPPER($AS$86:$AZ$86)="(EMPTY)"))&gt;0,IFERROR(('Final Calculation Sheet'!$Z$12)&amp;"","")="",ISNUMBER(SEARCH($AS$86:$AZ$86,IFERROR(('Final Calculation Sheet'!$Z$12)&amp;"","")))))&gt;0),IF(COUNTIF($BI$86:$BP$86,6)=0,TRUE,SUMPRODUCT(($BI$86:$BP$86=6)*($AS$86:$AZ$86&lt;&gt;"")*IF(((UPPER($AS$86:$AZ$86)="BLANK")+(UPPER($AS$86:$AZ$86)="(BLANK)")+(UPPER($AS$86:$AZ$86)="EMPTY")+(UPPER($AS$86:$AZ$86)="(EMPTY)"))&gt;0,IFERROR(('Final Calculation Sheet'!$Z$12)&amp;"","")="",ISNUMBER(SEARCH($AS$86:$AZ$86,IFERROR(('Final Calculation Sheet'!$Z$12)&amp;"","")))))&gt;0),IF(COUNTIF($BI$86:$BP$86,7)=0,TRUE,SUMPRODUCT(($BI$86:$BP$86=7)*($AS$86:$AZ$86&lt;&gt;"")*IF(((UPPER($AS$86:$AZ$86)="BLANK")+(UPPER($AS$86:$AZ$86)="(BLANK)")+(UPPER($AS$86:$AZ$86)="EMPTY")+(UPPER($AS$86:$AZ$86)="(EMPTY)"))&gt;0,IFERROR(('Final Calculation Sheet'!$Z$12)&amp;"","")="",ISNUMBER(SEARCH($AS$86:$AZ$86,IFERROR(('Final Calculation Sheet'!$Z$12)&amp;"","")))))&gt;0),IF(COUNTIF($BI$86:$BP$86,8)=0,TRUE,SUMPRODUCT(($BI$86:$BP$86=8)*($AS$86:$AZ$86&lt;&gt;"")*IF(((UPPER($AS$86:$AZ$86)="BLANK")+(UPPER($AS$86:$AZ$86)="(BLANK)")+(UPPER($AS$86:$AZ$86)="EMPTY")+(UPPER($AS$86:$AZ$86)="(EMPTY)"))&gt;0,IFERROR(('Final Calculation Sheet'!$Z$12)&amp;"","")="",ISNUMBER(SEARCH($AS$86:$AZ$86,IFERROR(('Final Calculation Sheet'!$Z$12)&amp;"","")))))&gt;0))))</f>
        <v>1</v>
      </c>
      <c r="CN13">
        <f>IF($AB$4="",1,--(AND(SUMPRODUCT(--($AS$87:$AZ$87&lt;&gt;""))&gt;0,IF(COUNTIF($BI$87:$BP$87,1)=0,TRUE,SUMPRODUCT(($BI$87:$BP$87=1)*($AS$87:$AZ$87&lt;&gt;"")*IF(((UPPER($AS$87:$AZ$87)="BLANK")+(UPPER($AS$87:$AZ$87)="(BLANK)")+(UPPER($AS$87:$AZ$87)="EMPTY")+(UPPER($AS$87:$AZ$87)="(EMPTY)"))&gt;0,IFERROR(('Final Calculation Sheet'!$AA$12)&amp;"","")="",ISNUMBER(SEARCH($AS$87:$AZ$87,IFERROR(('Final Calculation Sheet'!$AA$12)&amp;"","")))))&gt;0),IF(COUNTIF($BI$87:$BP$87,2)=0,TRUE,SUMPRODUCT(($BI$87:$BP$87=2)*($AS$87:$AZ$87&lt;&gt;"")*IF(((UPPER($AS$87:$AZ$87)="BLANK")+(UPPER($AS$87:$AZ$87)="(BLANK)")+(UPPER($AS$87:$AZ$87)="EMPTY")+(UPPER($AS$87:$AZ$87)="(EMPTY)"))&gt;0,IFERROR(('Final Calculation Sheet'!$AA$12)&amp;"","")="",ISNUMBER(SEARCH($AS$87:$AZ$87,IFERROR(('Final Calculation Sheet'!$AA$12)&amp;"","")))))&gt;0),IF(COUNTIF($BI$87:$BP$87,3)=0,TRUE,SUMPRODUCT(($BI$87:$BP$87=3)*($AS$87:$AZ$87&lt;&gt;"")*IF(((UPPER($AS$87:$AZ$87)="BLANK")+(UPPER($AS$87:$AZ$87)="(BLANK)")+(UPPER($AS$87:$AZ$87)="EMPTY")+(UPPER($AS$87:$AZ$87)="(EMPTY)"))&gt;0,IFERROR(('Final Calculation Sheet'!$AA$12)&amp;"","")="",ISNUMBER(SEARCH($AS$87:$AZ$87,IFERROR(('Final Calculation Sheet'!$AA$12)&amp;"","")))))&gt;0),IF(COUNTIF($BI$87:$BP$87,4)=0,TRUE,SUMPRODUCT(($BI$87:$BP$87=4)*($AS$87:$AZ$87&lt;&gt;"")*IF(((UPPER($AS$87:$AZ$87)="BLANK")+(UPPER($AS$87:$AZ$87)="(BLANK)")+(UPPER($AS$87:$AZ$87)="EMPTY")+(UPPER($AS$87:$AZ$87)="(EMPTY)"))&gt;0,IFERROR(('Final Calculation Sheet'!$AA$12)&amp;"","")="",ISNUMBER(SEARCH($AS$87:$AZ$87,IFERROR(('Final Calculation Sheet'!$AA$12)&amp;"","")))))&gt;0),IF(COUNTIF($BI$87:$BP$87,5)=0,TRUE,SUMPRODUCT(($BI$87:$BP$87=5)*($AS$87:$AZ$87&lt;&gt;"")*IF(((UPPER($AS$87:$AZ$87)="BLANK")+(UPPER($AS$87:$AZ$87)="(BLANK)")+(UPPER($AS$87:$AZ$87)="EMPTY")+(UPPER($AS$87:$AZ$87)="(EMPTY)"))&gt;0,IFERROR(('Final Calculation Sheet'!$AA$12)&amp;"","")="",ISNUMBER(SEARCH($AS$87:$AZ$87,IFERROR(('Final Calculation Sheet'!$AA$12)&amp;"","")))))&gt;0),IF(COUNTIF($BI$87:$BP$87,6)=0,TRUE,SUMPRODUCT(($BI$87:$BP$87=6)*($AS$87:$AZ$87&lt;&gt;"")*IF(((UPPER($AS$87:$AZ$87)="BLANK")+(UPPER($AS$87:$AZ$87)="(BLANK)")+(UPPER($AS$87:$AZ$87)="EMPTY")+(UPPER($AS$87:$AZ$87)="(EMPTY)"))&gt;0,IFERROR(('Final Calculation Sheet'!$AA$12)&amp;"","")="",ISNUMBER(SEARCH($AS$87:$AZ$87,IFERROR(('Final Calculation Sheet'!$AA$12)&amp;"","")))))&gt;0),IF(COUNTIF($BI$87:$BP$87,7)=0,TRUE,SUMPRODUCT(($BI$87:$BP$87=7)*($AS$87:$AZ$87&lt;&gt;"")*IF(((UPPER($AS$87:$AZ$87)="BLANK")+(UPPER($AS$87:$AZ$87)="(BLANK)")+(UPPER($AS$87:$AZ$87)="EMPTY")+(UPPER($AS$87:$AZ$87)="(EMPTY)"))&gt;0,IFERROR(('Final Calculation Sheet'!$AA$12)&amp;"","")="",ISNUMBER(SEARCH($AS$87:$AZ$87,IFERROR(('Final Calculation Sheet'!$AA$12)&amp;"","")))))&gt;0),IF(COUNTIF($BI$87:$BP$87,8)=0,TRUE,SUMPRODUCT(($BI$87:$BP$87=8)*($AS$87:$AZ$87&lt;&gt;"")*IF(((UPPER($AS$87:$AZ$87)="BLANK")+(UPPER($AS$87:$AZ$87)="(BLANK)")+(UPPER($AS$87:$AZ$87)="EMPTY")+(UPPER($AS$87:$AZ$87)="(EMPTY)"))&gt;0,IFERROR(('Final Calculation Sheet'!$AA$12)&amp;"","")="",ISNUMBER(SEARCH($AS$87:$AZ$87,IFERROR(('Final Calculation Sheet'!$AA$12)&amp;"","")))))&gt;0))))</f>
        <v>1</v>
      </c>
      <c r="CO13">
        <f>IF($AC$4="",1,--(AND(SUMPRODUCT(--($AS$88:$AZ$88&lt;&gt;""))&gt;0,IF(COUNTIF($BI$88:$BP$88,1)=0,TRUE,SUMPRODUCT(($BI$88:$BP$88=1)*($AS$88:$AZ$88&lt;&gt;"")*IF(((UPPER($AS$88:$AZ$88)="BLANK")+(UPPER($AS$88:$AZ$88)="(BLANK)")+(UPPER($AS$88:$AZ$88)="EMPTY")+(UPPER($AS$88:$AZ$88)="(EMPTY)"))&gt;0,IFERROR(('Final Calculation Sheet'!$AB$12)&amp;"","")="",ISNUMBER(SEARCH($AS$88:$AZ$88,IFERROR(('Final Calculation Sheet'!$AB$12)&amp;"","")))))&gt;0),IF(COUNTIF($BI$88:$BP$88,2)=0,TRUE,SUMPRODUCT(($BI$88:$BP$88=2)*($AS$88:$AZ$88&lt;&gt;"")*IF(((UPPER($AS$88:$AZ$88)="BLANK")+(UPPER($AS$88:$AZ$88)="(BLANK)")+(UPPER($AS$88:$AZ$88)="EMPTY")+(UPPER($AS$88:$AZ$88)="(EMPTY)"))&gt;0,IFERROR(('Final Calculation Sheet'!$AB$12)&amp;"","")="",ISNUMBER(SEARCH($AS$88:$AZ$88,IFERROR(('Final Calculation Sheet'!$AB$12)&amp;"","")))))&gt;0),IF(COUNTIF($BI$88:$BP$88,3)=0,TRUE,SUMPRODUCT(($BI$88:$BP$88=3)*($AS$88:$AZ$88&lt;&gt;"")*IF(((UPPER($AS$88:$AZ$88)="BLANK")+(UPPER($AS$88:$AZ$88)="(BLANK)")+(UPPER($AS$88:$AZ$88)="EMPTY")+(UPPER($AS$88:$AZ$88)="(EMPTY)"))&gt;0,IFERROR(('Final Calculation Sheet'!$AB$12)&amp;"","")="",ISNUMBER(SEARCH($AS$88:$AZ$88,IFERROR(('Final Calculation Sheet'!$AB$12)&amp;"","")))))&gt;0),IF(COUNTIF($BI$88:$BP$88,4)=0,TRUE,SUMPRODUCT(($BI$88:$BP$88=4)*($AS$88:$AZ$88&lt;&gt;"")*IF(((UPPER($AS$88:$AZ$88)="BLANK")+(UPPER($AS$88:$AZ$88)="(BLANK)")+(UPPER($AS$88:$AZ$88)="EMPTY")+(UPPER($AS$88:$AZ$88)="(EMPTY)"))&gt;0,IFERROR(('Final Calculation Sheet'!$AB$12)&amp;"","")="",ISNUMBER(SEARCH($AS$88:$AZ$88,IFERROR(('Final Calculation Sheet'!$AB$12)&amp;"","")))))&gt;0),IF(COUNTIF($BI$88:$BP$88,5)=0,TRUE,SUMPRODUCT(($BI$88:$BP$88=5)*($AS$88:$AZ$88&lt;&gt;"")*IF(((UPPER($AS$88:$AZ$88)="BLANK")+(UPPER($AS$88:$AZ$88)="(BLANK)")+(UPPER($AS$88:$AZ$88)="EMPTY")+(UPPER($AS$88:$AZ$88)="(EMPTY)"))&gt;0,IFERROR(('Final Calculation Sheet'!$AB$12)&amp;"","")="",ISNUMBER(SEARCH($AS$88:$AZ$88,IFERROR(('Final Calculation Sheet'!$AB$12)&amp;"","")))))&gt;0),IF(COUNTIF($BI$88:$BP$88,6)=0,TRUE,SUMPRODUCT(($BI$88:$BP$88=6)*($AS$88:$AZ$88&lt;&gt;"")*IF(((UPPER($AS$88:$AZ$88)="BLANK")+(UPPER($AS$88:$AZ$88)="(BLANK)")+(UPPER($AS$88:$AZ$88)="EMPTY")+(UPPER($AS$88:$AZ$88)="(EMPTY)"))&gt;0,IFERROR(('Final Calculation Sheet'!$AB$12)&amp;"","")="",ISNUMBER(SEARCH($AS$88:$AZ$88,IFERROR(('Final Calculation Sheet'!$AB$12)&amp;"","")))))&gt;0),IF(COUNTIF($BI$88:$BP$88,7)=0,TRUE,SUMPRODUCT(($BI$88:$BP$88=7)*($AS$88:$AZ$88&lt;&gt;"")*IF(((UPPER($AS$88:$AZ$88)="BLANK")+(UPPER($AS$88:$AZ$88)="(BLANK)")+(UPPER($AS$88:$AZ$88)="EMPTY")+(UPPER($AS$88:$AZ$88)="(EMPTY)"))&gt;0,IFERROR(('Final Calculation Sheet'!$AB$12)&amp;"","")="",ISNUMBER(SEARCH($AS$88:$AZ$88,IFERROR(('Final Calculation Sheet'!$AB$12)&amp;"","")))))&gt;0),IF(COUNTIF($BI$88:$BP$88,8)=0,TRUE,SUMPRODUCT(($BI$88:$BP$88=8)*($AS$88:$AZ$88&lt;&gt;"")*IF(((UPPER($AS$88:$AZ$88)="BLANK")+(UPPER($AS$88:$AZ$88)="(BLANK)")+(UPPER($AS$88:$AZ$88)="EMPTY")+(UPPER($AS$88:$AZ$88)="(EMPTY)"))&gt;0,IFERROR(('Final Calculation Sheet'!$AB$12)&amp;"","")="",ISNUMBER(SEARCH($AS$88:$AZ$88,IFERROR(('Final Calculation Sheet'!$AB$12)&amp;"","")))))&gt;0))))</f>
        <v>1</v>
      </c>
      <c r="CP13">
        <f>IF($AD$4="",1,--(AND(SUMPRODUCT(--($AS$89:$AZ$89&lt;&gt;""))&gt;0,IF(COUNTIF($BI$89:$BP$89,1)=0,TRUE,SUMPRODUCT(($BI$89:$BP$89=1)*($AS$89:$AZ$89&lt;&gt;"")*IF(((UPPER($AS$89:$AZ$89)="BLANK")+(UPPER($AS$89:$AZ$89)="(BLANK)")+(UPPER($AS$89:$AZ$89)="EMPTY")+(UPPER($AS$89:$AZ$89)="(EMPTY)"))&gt;0,IFERROR(('Final Calculation Sheet'!$AC$12)&amp;"","")="",ISNUMBER(SEARCH($AS$89:$AZ$89,IFERROR(('Final Calculation Sheet'!$AC$12)&amp;"","")))))&gt;0),IF(COUNTIF($BI$89:$BP$89,2)=0,TRUE,SUMPRODUCT(($BI$89:$BP$89=2)*($AS$89:$AZ$89&lt;&gt;"")*IF(((UPPER($AS$89:$AZ$89)="BLANK")+(UPPER($AS$89:$AZ$89)="(BLANK)")+(UPPER($AS$89:$AZ$89)="EMPTY")+(UPPER($AS$89:$AZ$89)="(EMPTY)"))&gt;0,IFERROR(('Final Calculation Sheet'!$AC$12)&amp;"","")="",ISNUMBER(SEARCH($AS$89:$AZ$89,IFERROR(('Final Calculation Sheet'!$AC$12)&amp;"","")))))&gt;0),IF(COUNTIF($BI$89:$BP$89,3)=0,TRUE,SUMPRODUCT(($BI$89:$BP$89=3)*($AS$89:$AZ$89&lt;&gt;"")*IF(((UPPER($AS$89:$AZ$89)="BLANK")+(UPPER($AS$89:$AZ$89)="(BLANK)")+(UPPER($AS$89:$AZ$89)="EMPTY")+(UPPER($AS$89:$AZ$89)="(EMPTY)"))&gt;0,IFERROR(('Final Calculation Sheet'!$AC$12)&amp;"","")="",ISNUMBER(SEARCH($AS$89:$AZ$89,IFERROR(('Final Calculation Sheet'!$AC$12)&amp;"","")))))&gt;0),IF(COUNTIF($BI$89:$BP$89,4)=0,TRUE,SUMPRODUCT(($BI$89:$BP$89=4)*($AS$89:$AZ$89&lt;&gt;"")*IF(((UPPER($AS$89:$AZ$89)="BLANK")+(UPPER($AS$89:$AZ$89)="(BLANK)")+(UPPER($AS$89:$AZ$89)="EMPTY")+(UPPER($AS$89:$AZ$89)="(EMPTY)"))&gt;0,IFERROR(('Final Calculation Sheet'!$AC$12)&amp;"","")="",ISNUMBER(SEARCH($AS$89:$AZ$89,IFERROR(('Final Calculation Sheet'!$AC$12)&amp;"","")))))&gt;0),IF(COUNTIF($BI$89:$BP$89,5)=0,TRUE,SUMPRODUCT(($BI$89:$BP$89=5)*($AS$89:$AZ$89&lt;&gt;"")*IF(((UPPER($AS$89:$AZ$89)="BLANK")+(UPPER($AS$89:$AZ$89)="(BLANK)")+(UPPER($AS$89:$AZ$89)="EMPTY")+(UPPER($AS$89:$AZ$89)="(EMPTY)"))&gt;0,IFERROR(('Final Calculation Sheet'!$AC$12)&amp;"","")="",ISNUMBER(SEARCH($AS$89:$AZ$89,IFERROR(('Final Calculation Sheet'!$AC$12)&amp;"","")))))&gt;0),IF(COUNTIF($BI$89:$BP$89,6)=0,TRUE,SUMPRODUCT(($BI$89:$BP$89=6)*($AS$89:$AZ$89&lt;&gt;"")*IF(((UPPER($AS$89:$AZ$89)="BLANK")+(UPPER($AS$89:$AZ$89)="(BLANK)")+(UPPER($AS$89:$AZ$89)="EMPTY")+(UPPER($AS$89:$AZ$89)="(EMPTY)"))&gt;0,IFERROR(('Final Calculation Sheet'!$AC$12)&amp;"","")="",ISNUMBER(SEARCH($AS$89:$AZ$89,IFERROR(('Final Calculation Sheet'!$AC$12)&amp;"","")))))&gt;0),IF(COUNTIF($BI$89:$BP$89,7)=0,TRUE,SUMPRODUCT(($BI$89:$BP$89=7)*($AS$89:$AZ$89&lt;&gt;"")*IF(((UPPER($AS$89:$AZ$89)="BLANK")+(UPPER($AS$89:$AZ$89)="(BLANK)")+(UPPER($AS$89:$AZ$89)="EMPTY")+(UPPER($AS$89:$AZ$89)="(EMPTY)"))&gt;0,IFERROR(('Final Calculation Sheet'!$AC$12)&amp;"","")="",ISNUMBER(SEARCH($AS$89:$AZ$89,IFERROR(('Final Calculation Sheet'!$AC$12)&amp;"","")))))&gt;0),IF(COUNTIF($BI$89:$BP$89,8)=0,TRUE,SUMPRODUCT(($BI$89:$BP$89=8)*($AS$89:$AZ$89&lt;&gt;"")*IF(((UPPER($AS$89:$AZ$89)="BLANK")+(UPPER($AS$89:$AZ$89)="(BLANK)")+(UPPER($AS$89:$AZ$89)="EMPTY")+(UPPER($AS$89:$AZ$89)="(EMPTY)"))&gt;0,IFERROR(('Final Calculation Sheet'!$AC$12)&amp;"","")="",ISNUMBER(SEARCH($AS$89:$AZ$89,IFERROR(('Final Calculation Sheet'!$AC$12)&amp;"","")))))&gt;0))))</f>
        <v>1</v>
      </c>
      <c r="CQ13">
        <f>IF($AE$4="",1,--(AND(SUMPRODUCT(--($AS$90:$AZ$90&lt;&gt;""))&gt;0,IF(COUNTIF($BI$90:$BP$90,1)=0,TRUE,SUMPRODUCT(($BI$90:$BP$90=1)*($AS$90:$AZ$90&lt;&gt;"")*IF(((UPPER($AS$90:$AZ$90)="BLANK")+(UPPER($AS$90:$AZ$90)="(BLANK)")+(UPPER($AS$90:$AZ$90)="EMPTY")+(UPPER($AS$90:$AZ$90)="(EMPTY)"))&gt;0,IFERROR(('Final Calculation Sheet'!$AD$12)&amp;"","")="",ISNUMBER(SEARCH($AS$90:$AZ$90,IFERROR(('Final Calculation Sheet'!$AD$12)&amp;"","")))))&gt;0),IF(COUNTIF($BI$90:$BP$90,2)=0,TRUE,SUMPRODUCT(($BI$90:$BP$90=2)*($AS$90:$AZ$90&lt;&gt;"")*IF(((UPPER($AS$90:$AZ$90)="BLANK")+(UPPER($AS$90:$AZ$90)="(BLANK)")+(UPPER($AS$90:$AZ$90)="EMPTY")+(UPPER($AS$90:$AZ$90)="(EMPTY)"))&gt;0,IFERROR(('Final Calculation Sheet'!$AD$12)&amp;"","")="",ISNUMBER(SEARCH($AS$90:$AZ$90,IFERROR(('Final Calculation Sheet'!$AD$12)&amp;"","")))))&gt;0),IF(COUNTIF($BI$90:$BP$90,3)=0,TRUE,SUMPRODUCT(($BI$90:$BP$90=3)*($AS$90:$AZ$90&lt;&gt;"")*IF(((UPPER($AS$90:$AZ$90)="BLANK")+(UPPER($AS$90:$AZ$90)="(BLANK)")+(UPPER($AS$90:$AZ$90)="EMPTY")+(UPPER($AS$90:$AZ$90)="(EMPTY)"))&gt;0,IFERROR(('Final Calculation Sheet'!$AD$12)&amp;"","")="",ISNUMBER(SEARCH($AS$90:$AZ$90,IFERROR(('Final Calculation Sheet'!$AD$12)&amp;"","")))))&gt;0),IF(COUNTIF($BI$90:$BP$90,4)=0,TRUE,SUMPRODUCT(($BI$90:$BP$90=4)*($AS$90:$AZ$90&lt;&gt;"")*IF(((UPPER($AS$90:$AZ$90)="BLANK")+(UPPER($AS$90:$AZ$90)="(BLANK)")+(UPPER($AS$90:$AZ$90)="EMPTY")+(UPPER($AS$90:$AZ$90)="(EMPTY)"))&gt;0,IFERROR(('Final Calculation Sheet'!$AD$12)&amp;"","")="",ISNUMBER(SEARCH($AS$90:$AZ$90,IFERROR(('Final Calculation Sheet'!$AD$12)&amp;"","")))))&gt;0),IF(COUNTIF($BI$90:$BP$90,5)=0,TRUE,SUMPRODUCT(($BI$90:$BP$90=5)*($AS$90:$AZ$90&lt;&gt;"")*IF(((UPPER($AS$90:$AZ$90)="BLANK")+(UPPER($AS$90:$AZ$90)="(BLANK)")+(UPPER($AS$90:$AZ$90)="EMPTY")+(UPPER($AS$90:$AZ$90)="(EMPTY)"))&gt;0,IFERROR(('Final Calculation Sheet'!$AD$12)&amp;"","")="",ISNUMBER(SEARCH($AS$90:$AZ$90,IFERROR(('Final Calculation Sheet'!$AD$12)&amp;"","")))))&gt;0),IF(COUNTIF($BI$90:$BP$90,6)=0,TRUE,SUMPRODUCT(($BI$90:$BP$90=6)*($AS$90:$AZ$90&lt;&gt;"")*IF(((UPPER($AS$90:$AZ$90)="BLANK")+(UPPER($AS$90:$AZ$90)="(BLANK)")+(UPPER($AS$90:$AZ$90)="EMPTY")+(UPPER($AS$90:$AZ$90)="(EMPTY)"))&gt;0,IFERROR(('Final Calculation Sheet'!$AD$12)&amp;"","")="",ISNUMBER(SEARCH($AS$90:$AZ$90,IFERROR(('Final Calculation Sheet'!$AD$12)&amp;"","")))))&gt;0),IF(COUNTIF($BI$90:$BP$90,7)=0,TRUE,SUMPRODUCT(($BI$90:$BP$90=7)*($AS$90:$AZ$90&lt;&gt;"")*IF(((UPPER($AS$90:$AZ$90)="BLANK")+(UPPER($AS$90:$AZ$90)="(BLANK)")+(UPPER($AS$90:$AZ$90)="EMPTY")+(UPPER($AS$90:$AZ$90)="(EMPTY)"))&gt;0,IFERROR(('Final Calculation Sheet'!$AD$12)&amp;"","")="",ISNUMBER(SEARCH($AS$90:$AZ$90,IFERROR(('Final Calculation Sheet'!$AD$12)&amp;"","")))))&gt;0),IF(COUNTIF($BI$90:$BP$90,8)=0,TRUE,SUMPRODUCT(($BI$90:$BP$90=8)*($AS$90:$AZ$90&lt;&gt;"")*IF(((UPPER($AS$90:$AZ$90)="BLANK")+(UPPER($AS$90:$AZ$90)="(BLANK)")+(UPPER($AS$90:$AZ$90)="EMPTY")+(UPPER($AS$90:$AZ$90)="(EMPTY)"))&gt;0,IFERROR(('Final Calculation Sheet'!$AD$12)&amp;"","")="",ISNUMBER(SEARCH($AS$90:$AZ$90,IFERROR(('Final Calculation Sheet'!$AD$12)&amp;"","")))))&gt;0))))</f>
        <v>1</v>
      </c>
      <c r="CR13">
        <f>IF($AF$4="",1,--(AND(SUMPRODUCT(--($AS$91:$AZ$91&lt;&gt;""))&gt;0,IF(COUNTIF($BI$91:$BP$91,1)=0,TRUE,SUMPRODUCT(($BI$91:$BP$91=1)*($AS$91:$AZ$91&lt;&gt;"")*IF(((UPPER($AS$91:$AZ$91)="BLANK")+(UPPER($AS$91:$AZ$91)="(BLANK)")+(UPPER($AS$91:$AZ$91)="EMPTY")+(UPPER($AS$91:$AZ$91)="(EMPTY)"))&gt;0,IFERROR(('Final Calculation Sheet'!$AE$12)&amp;"","")="",ISNUMBER(SEARCH($AS$91:$AZ$91,IFERROR(('Final Calculation Sheet'!$AE$12)&amp;"","")))))&gt;0),IF(COUNTIF($BI$91:$BP$91,2)=0,TRUE,SUMPRODUCT(($BI$91:$BP$91=2)*($AS$91:$AZ$91&lt;&gt;"")*IF(((UPPER($AS$91:$AZ$91)="BLANK")+(UPPER($AS$91:$AZ$91)="(BLANK)")+(UPPER($AS$91:$AZ$91)="EMPTY")+(UPPER($AS$91:$AZ$91)="(EMPTY)"))&gt;0,IFERROR(('Final Calculation Sheet'!$AE$12)&amp;"","")="",ISNUMBER(SEARCH($AS$91:$AZ$91,IFERROR(('Final Calculation Sheet'!$AE$12)&amp;"","")))))&gt;0),IF(COUNTIF($BI$91:$BP$91,3)=0,TRUE,SUMPRODUCT(($BI$91:$BP$91=3)*($AS$91:$AZ$91&lt;&gt;"")*IF(((UPPER($AS$91:$AZ$91)="BLANK")+(UPPER($AS$91:$AZ$91)="(BLANK)")+(UPPER($AS$91:$AZ$91)="EMPTY")+(UPPER($AS$91:$AZ$91)="(EMPTY)"))&gt;0,IFERROR(('Final Calculation Sheet'!$AE$12)&amp;"","")="",ISNUMBER(SEARCH($AS$91:$AZ$91,IFERROR(('Final Calculation Sheet'!$AE$12)&amp;"","")))))&gt;0),IF(COUNTIF($BI$91:$BP$91,4)=0,TRUE,SUMPRODUCT(($BI$91:$BP$91=4)*($AS$91:$AZ$91&lt;&gt;"")*IF(((UPPER($AS$91:$AZ$91)="BLANK")+(UPPER($AS$91:$AZ$91)="(BLANK)")+(UPPER($AS$91:$AZ$91)="EMPTY")+(UPPER($AS$91:$AZ$91)="(EMPTY)"))&gt;0,IFERROR(('Final Calculation Sheet'!$AE$12)&amp;"","")="",ISNUMBER(SEARCH($AS$91:$AZ$91,IFERROR(('Final Calculation Sheet'!$AE$12)&amp;"","")))))&gt;0),IF(COUNTIF($BI$91:$BP$91,5)=0,TRUE,SUMPRODUCT(($BI$91:$BP$91=5)*($AS$91:$AZ$91&lt;&gt;"")*IF(((UPPER($AS$91:$AZ$91)="BLANK")+(UPPER($AS$91:$AZ$91)="(BLANK)")+(UPPER($AS$91:$AZ$91)="EMPTY")+(UPPER($AS$91:$AZ$91)="(EMPTY)"))&gt;0,IFERROR(('Final Calculation Sheet'!$AE$12)&amp;"","")="",ISNUMBER(SEARCH($AS$91:$AZ$91,IFERROR(('Final Calculation Sheet'!$AE$12)&amp;"","")))))&gt;0),IF(COUNTIF($BI$91:$BP$91,6)=0,TRUE,SUMPRODUCT(($BI$91:$BP$91=6)*($AS$91:$AZ$91&lt;&gt;"")*IF(((UPPER($AS$91:$AZ$91)="BLANK")+(UPPER($AS$91:$AZ$91)="(BLANK)")+(UPPER($AS$91:$AZ$91)="EMPTY")+(UPPER($AS$91:$AZ$91)="(EMPTY)"))&gt;0,IFERROR(('Final Calculation Sheet'!$AE$12)&amp;"","")="",ISNUMBER(SEARCH($AS$91:$AZ$91,IFERROR(('Final Calculation Sheet'!$AE$12)&amp;"","")))))&gt;0),IF(COUNTIF($BI$91:$BP$91,7)=0,TRUE,SUMPRODUCT(($BI$91:$BP$91=7)*($AS$91:$AZ$91&lt;&gt;"")*IF(((UPPER($AS$91:$AZ$91)="BLANK")+(UPPER($AS$91:$AZ$91)="(BLANK)")+(UPPER($AS$91:$AZ$91)="EMPTY")+(UPPER($AS$91:$AZ$91)="(EMPTY)"))&gt;0,IFERROR(('Final Calculation Sheet'!$AE$12)&amp;"","")="",ISNUMBER(SEARCH($AS$91:$AZ$91,IFERROR(('Final Calculation Sheet'!$AE$12)&amp;"","")))))&gt;0),IF(COUNTIF($BI$91:$BP$91,8)=0,TRUE,SUMPRODUCT(($BI$91:$BP$91=8)*($AS$91:$AZ$91&lt;&gt;"")*IF(((UPPER($AS$91:$AZ$91)="BLANK")+(UPPER($AS$91:$AZ$91)="(BLANK)")+(UPPER($AS$91:$AZ$91)="EMPTY")+(UPPER($AS$91:$AZ$91)="(EMPTY)"))&gt;0,IFERROR(('Final Calculation Sheet'!$AE$12)&amp;"","")="",ISNUMBER(SEARCH($AS$91:$AZ$91,IFERROR(('Final Calculation Sheet'!$AE$12)&amp;"","")))))&gt;0))))</f>
        <v>1</v>
      </c>
      <c r="CS13">
        <f>IF($AG$4="",1,--(AND(SUMPRODUCT(--($AS$92:$AZ$92&lt;&gt;""))&gt;0,IF(COUNTIF($BI$92:$BP$92,1)=0,TRUE,SUMPRODUCT(($BI$92:$BP$92=1)*($AS$92:$AZ$92&lt;&gt;"")*IF(((UPPER($AS$92:$AZ$92)="BLANK")+(UPPER($AS$92:$AZ$92)="(BLANK)")+(UPPER($AS$92:$AZ$92)="EMPTY")+(UPPER($AS$92:$AZ$92)="(EMPTY)"))&gt;0,IFERROR(('Final Calculation Sheet'!$AF$12)&amp;"","")="",ISNUMBER(SEARCH($AS$92:$AZ$92,IFERROR(('Final Calculation Sheet'!$AF$12)&amp;"","")))))&gt;0),IF(COUNTIF($BI$92:$BP$92,2)=0,TRUE,SUMPRODUCT(($BI$92:$BP$92=2)*($AS$92:$AZ$92&lt;&gt;"")*IF(((UPPER($AS$92:$AZ$92)="BLANK")+(UPPER($AS$92:$AZ$92)="(BLANK)")+(UPPER($AS$92:$AZ$92)="EMPTY")+(UPPER($AS$92:$AZ$92)="(EMPTY)"))&gt;0,IFERROR(('Final Calculation Sheet'!$AF$12)&amp;"","")="",ISNUMBER(SEARCH($AS$92:$AZ$92,IFERROR(('Final Calculation Sheet'!$AF$12)&amp;"","")))))&gt;0),IF(COUNTIF($BI$92:$BP$92,3)=0,TRUE,SUMPRODUCT(($BI$92:$BP$92=3)*($AS$92:$AZ$92&lt;&gt;"")*IF(((UPPER($AS$92:$AZ$92)="BLANK")+(UPPER($AS$92:$AZ$92)="(BLANK)")+(UPPER($AS$92:$AZ$92)="EMPTY")+(UPPER($AS$92:$AZ$92)="(EMPTY)"))&gt;0,IFERROR(('Final Calculation Sheet'!$AF$12)&amp;"","")="",ISNUMBER(SEARCH($AS$92:$AZ$92,IFERROR(('Final Calculation Sheet'!$AF$12)&amp;"","")))))&gt;0),IF(COUNTIF($BI$92:$BP$92,4)=0,TRUE,SUMPRODUCT(($BI$92:$BP$92=4)*($AS$92:$AZ$92&lt;&gt;"")*IF(((UPPER($AS$92:$AZ$92)="BLANK")+(UPPER($AS$92:$AZ$92)="(BLANK)")+(UPPER($AS$92:$AZ$92)="EMPTY")+(UPPER($AS$92:$AZ$92)="(EMPTY)"))&gt;0,IFERROR(('Final Calculation Sheet'!$AF$12)&amp;"","")="",ISNUMBER(SEARCH($AS$92:$AZ$92,IFERROR(('Final Calculation Sheet'!$AF$12)&amp;"","")))))&gt;0),IF(COUNTIF($BI$92:$BP$92,5)=0,TRUE,SUMPRODUCT(($BI$92:$BP$92=5)*($AS$92:$AZ$92&lt;&gt;"")*IF(((UPPER($AS$92:$AZ$92)="BLANK")+(UPPER($AS$92:$AZ$92)="(BLANK)")+(UPPER($AS$92:$AZ$92)="EMPTY")+(UPPER($AS$92:$AZ$92)="(EMPTY)"))&gt;0,IFERROR(('Final Calculation Sheet'!$AF$12)&amp;"","")="",ISNUMBER(SEARCH($AS$92:$AZ$92,IFERROR(('Final Calculation Sheet'!$AF$12)&amp;"","")))))&gt;0),IF(COUNTIF($BI$92:$BP$92,6)=0,TRUE,SUMPRODUCT(($BI$92:$BP$92=6)*($AS$92:$AZ$92&lt;&gt;"")*IF(((UPPER($AS$92:$AZ$92)="BLANK")+(UPPER($AS$92:$AZ$92)="(BLANK)")+(UPPER($AS$92:$AZ$92)="EMPTY")+(UPPER($AS$92:$AZ$92)="(EMPTY)"))&gt;0,IFERROR(('Final Calculation Sheet'!$AF$12)&amp;"","")="",ISNUMBER(SEARCH($AS$92:$AZ$92,IFERROR(('Final Calculation Sheet'!$AF$12)&amp;"","")))))&gt;0),IF(COUNTIF($BI$92:$BP$92,7)=0,TRUE,SUMPRODUCT(($BI$92:$BP$92=7)*($AS$92:$AZ$92&lt;&gt;"")*IF(((UPPER($AS$92:$AZ$92)="BLANK")+(UPPER($AS$92:$AZ$92)="(BLANK)")+(UPPER($AS$92:$AZ$92)="EMPTY")+(UPPER($AS$92:$AZ$92)="(EMPTY)"))&gt;0,IFERROR(('Final Calculation Sheet'!$AF$12)&amp;"","")="",ISNUMBER(SEARCH($AS$92:$AZ$92,IFERROR(('Final Calculation Sheet'!$AF$12)&amp;"","")))))&gt;0),IF(COUNTIF($BI$92:$BP$92,8)=0,TRUE,SUMPRODUCT(($BI$92:$BP$92=8)*($AS$92:$AZ$92&lt;&gt;"")*IF(((UPPER($AS$92:$AZ$92)="BLANK")+(UPPER($AS$92:$AZ$92)="(BLANK)")+(UPPER($AS$92:$AZ$92)="EMPTY")+(UPPER($AS$92:$AZ$92)="(EMPTY)"))&gt;0,IFERROR(('Final Calculation Sheet'!$AF$12)&amp;"","")="",ISNUMBER(SEARCH($AS$92:$AZ$92,IFERROR(('Final Calculation Sheet'!$AF$12)&amp;"","")))))&gt;0))))</f>
        <v>1</v>
      </c>
      <c r="CT13">
        <f>IF($AH$4="",1,--(AND(SUMPRODUCT(--($AS$93:$AZ$93&lt;&gt;""))&gt;0,IF(COUNTIF($BI$93:$BP$93,1)=0,TRUE,SUMPRODUCT(($BI$93:$BP$93=1)*($AS$93:$AZ$93&lt;&gt;"")*IF(((UPPER($AS$93:$AZ$93)="BLANK")+(UPPER($AS$93:$AZ$93)="(BLANK)")+(UPPER($AS$93:$AZ$93)="EMPTY")+(UPPER($AS$93:$AZ$93)="(EMPTY)"))&gt;0,IFERROR(('Final Calculation Sheet'!$AG$12)&amp;"","")="",ISNUMBER(SEARCH($AS$93:$AZ$93,IFERROR(('Final Calculation Sheet'!$AG$12)&amp;"","")))))&gt;0),IF(COUNTIF($BI$93:$BP$93,2)=0,TRUE,SUMPRODUCT(($BI$93:$BP$93=2)*($AS$93:$AZ$93&lt;&gt;"")*IF(((UPPER($AS$93:$AZ$93)="BLANK")+(UPPER($AS$93:$AZ$93)="(BLANK)")+(UPPER($AS$93:$AZ$93)="EMPTY")+(UPPER($AS$93:$AZ$93)="(EMPTY)"))&gt;0,IFERROR(('Final Calculation Sheet'!$AG$12)&amp;"","")="",ISNUMBER(SEARCH($AS$93:$AZ$93,IFERROR(('Final Calculation Sheet'!$AG$12)&amp;"","")))))&gt;0),IF(COUNTIF($BI$93:$BP$93,3)=0,TRUE,SUMPRODUCT(($BI$93:$BP$93=3)*($AS$93:$AZ$93&lt;&gt;"")*IF(((UPPER($AS$93:$AZ$93)="BLANK")+(UPPER($AS$93:$AZ$93)="(BLANK)")+(UPPER($AS$93:$AZ$93)="EMPTY")+(UPPER($AS$93:$AZ$93)="(EMPTY)"))&gt;0,IFERROR(('Final Calculation Sheet'!$AG$12)&amp;"","")="",ISNUMBER(SEARCH($AS$93:$AZ$93,IFERROR(('Final Calculation Sheet'!$AG$12)&amp;"","")))))&gt;0),IF(COUNTIF($BI$93:$BP$93,4)=0,TRUE,SUMPRODUCT(($BI$93:$BP$93=4)*($AS$93:$AZ$93&lt;&gt;"")*IF(((UPPER($AS$93:$AZ$93)="BLANK")+(UPPER($AS$93:$AZ$93)="(BLANK)")+(UPPER($AS$93:$AZ$93)="EMPTY")+(UPPER($AS$93:$AZ$93)="(EMPTY)"))&gt;0,IFERROR(('Final Calculation Sheet'!$AG$12)&amp;"","")="",ISNUMBER(SEARCH($AS$93:$AZ$93,IFERROR(('Final Calculation Sheet'!$AG$12)&amp;"","")))))&gt;0),IF(COUNTIF($BI$93:$BP$93,5)=0,TRUE,SUMPRODUCT(($BI$93:$BP$93=5)*($AS$93:$AZ$93&lt;&gt;"")*IF(((UPPER($AS$93:$AZ$93)="BLANK")+(UPPER($AS$93:$AZ$93)="(BLANK)")+(UPPER($AS$93:$AZ$93)="EMPTY")+(UPPER($AS$93:$AZ$93)="(EMPTY)"))&gt;0,IFERROR(('Final Calculation Sheet'!$AG$12)&amp;"","")="",ISNUMBER(SEARCH($AS$93:$AZ$93,IFERROR(('Final Calculation Sheet'!$AG$12)&amp;"","")))))&gt;0),IF(COUNTIF($BI$93:$BP$93,6)=0,TRUE,SUMPRODUCT(($BI$93:$BP$93=6)*($AS$93:$AZ$93&lt;&gt;"")*IF(((UPPER($AS$93:$AZ$93)="BLANK")+(UPPER($AS$93:$AZ$93)="(BLANK)")+(UPPER($AS$93:$AZ$93)="EMPTY")+(UPPER($AS$93:$AZ$93)="(EMPTY)"))&gt;0,IFERROR(('Final Calculation Sheet'!$AG$12)&amp;"","")="",ISNUMBER(SEARCH($AS$93:$AZ$93,IFERROR(('Final Calculation Sheet'!$AG$12)&amp;"","")))))&gt;0),IF(COUNTIF($BI$93:$BP$93,7)=0,TRUE,SUMPRODUCT(($BI$93:$BP$93=7)*($AS$93:$AZ$93&lt;&gt;"")*IF(((UPPER($AS$93:$AZ$93)="BLANK")+(UPPER($AS$93:$AZ$93)="(BLANK)")+(UPPER($AS$93:$AZ$93)="EMPTY")+(UPPER($AS$93:$AZ$93)="(EMPTY)"))&gt;0,IFERROR(('Final Calculation Sheet'!$AG$12)&amp;"","")="",ISNUMBER(SEARCH($AS$93:$AZ$93,IFERROR(('Final Calculation Sheet'!$AG$12)&amp;"","")))))&gt;0),IF(COUNTIF($BI$93:$BP$93,8)=0,TRUE,SUMPRODUCT(($BI$93:$BP$93=8)*($AS$93:$AZ$93&lt;&gt;"")*IF(((UPPER($AS$93:$AZ$93)="BLANK")+(UPPER($AS$93:$AZ$93)="(BLANK)")+(UPPER($AS$93:$AZ$93)="EMPTY")+(UPPER($AS$93:$AZ$93)="(EMPTY)"))&gt;0,IFERROR(('Final Calculation Sheet'!$AG$12)&amp;"","")="",ISNUMBER(SEARCH($AS$93:$AZ$93,IFERROR(('Final Calculation Sheet'!$AG$12)&amp;"","")))))&gt;0))))</f>
        <v>1</v>
      </c>
      <c r="CU13">
        <f>IF($AI$4="",1,--(AND(SUMPRODUCT(--($AS$94:$AZ$94&lt;&gt;""))&gt;0,IF(COUNTIF($BI$94:$BP$94,1)=0,TRUE,SUMPRODUCT(($BI$94:$BP$94=1)*($AS$94:$AZ$94&lt;&gt;"")*IF(((UPPER($AS$94:$AZ$94)="BLANK")+(UPPER($AS$94:$AZ$94)="(BLANK)")+(UPPER($AS$94:$AZ$94)="EMPTY")+(UPPER($AS$94:$AZ$94)="(EMPTY)"))&gt;0,IFERROR((IF('Final Calculation Sheet'!$AD$12&lt;=0,"SETTLED","OUTSTANDING"))&amp;"","")="",ISNUMBER(SEARCH($AS$94:$AZ$94,IFERROR((IF('Final Calculation Sheet'!$AD$12&lt;=0,"SETTLED","OUTSTANDING"))&amp;"","")))))&gt;0),IF(COUNTIF($BI$94:$BP$94,2)=0,TRUE,SUMPRODUCT(($BI$94:$BP$94=2)*($AS$94:$AZ$94&lt;&gt;"")*IF(((UPPER($AS$94:$AZ$94)="BLANK")+(UPPER($AS$94:$AZ$94)="(BLANK)")+(UPPER($AS$94:$AZ$94)="EMPTY")+(UPPER($AS$94:$AZ$94)="(EMPTY)"))&gt;0,IFERROR((IF('Final Calculation Sheet'!$AD$12&lt;=0,"SETTLED","OUTSTANDING"))&amp;"","")="",ISNUMBER(SEARCH($AS$94:$AZ$94,IFERROR((IF('Final Calculation Sheet'!$AD$12&lt;=0,"SETTLED","OUTSTANDING"))&amp;"","")))))&gt;0),IF(COUNTIF($BI$94:$BP$94,3)=0,TRUE,SUMPRODUCT(($BI$94:$BP$94=3)*($AS$94:$AZ$94&lt;&gt;"")*IF(((UPPER($AS$94:$AZ$94)="BLANK")+(UPPER($AS$94:$AZ$94)="(BLANK)")+(UPPER($AS$94:$AZ$94)="EMPTY")+(UPPER($AS$94:$AZ$94)="(EMPTY)"))&gt;0,IFERROR((IF('Final Calculation Sheet'!$AD$12&lt;=0,"SETTLED","OUTSTANDING"))&amp;"","")="",ISNUMBER(SEARCH($AS$94:$AZ$94,IFERROR((IF('Final Calculation Sheet'!$AD$12&lt;=0,"SETTLED","OUTSTANDING"))&amp;"","")))))&gt;0),IF(COUNTIF($BI$94:$BP$94,4)=0,TRUE,SUMPRODUCT(($BI$94:$BP$94=4)*($AS$94:$AZ$94&lt;&gt;"")*IF(((UPPER($AS$94:$AZ$94)="BLANK")+(UPPER($AS$94:$AZ$94)="(BLANK)")+(UPPER($AS$94:$AZ$94)="EMPTY")+(UPPER($AS$94:$AZ$94)="(EMPTY)"))&gt;0,IFERROR((IF('Final Calculation Sheet'!$AD$12&lt;=0,"SETTLED","OUTSTANDING"))&amp;"","")="",ISNUMBER(SEARCH($AS$94:$AZ$94,IFERROR((IF('Final Calculation Sheet'!$AD$12&lt;=0,"SETTLED","OUTSTANDING"))&amp;"","")))))&gt;0),IF(COUNTIF($BI$94:$BP$94,5)=0,TRUE,SUMPRODUCT(($BI$94:$BP$94=5)*($AS$94:$AZ$94&lt;&gt;"")*IF(((UPPER($AS$94:$AZ$94)="BLANK")+(UPPER($AS$94:$AZ$94)="(BLANK)")+(UPPER($AS$94:$AZ$94)="EMPTY")+(UPPER($AS$94:$AZ$94)="(EMPTY)"))&gt;0,IFERROR((IF('Final Calculation Sheet'!$AD$12&lt;=0,"SETTLED","OUTSTANDING"))&amp;"","")="",ISNUMBER(SEARCH($AS$94:$AZ$94,IFERROR((IF('Final Calculation Sheet'!$AD$12&lt;=0,"SETTLED","OUTSTANDING"))&amp;"","")))))&gt;0),IF(COUNTIF($BI$94:$BP$94,6)=0,TRUE,SUMPRODUCT(($BI$94:$BP$94=6)*($AS$94:$AZ$94&lt;&gt;"")*IF(((UPPER($AS$94:$AZ$94)="BLANK")+(UPPER($AS$94:$AZ$94)="(BLANK)")+(UPPER($AS$94:$AZ$94)="EMPTY")+(UPPER($AS$94:$AZ$94)="(EMPTY)"))&gt;0,IFERROR((IF('Final Calculation Sheet'!$AD$12&lt;=0,"SETTLED","OUTSTANDING"))&amp;"","")="",ISNUMBER(SEARCH($AS$94:$AZ$94,IFERROR((IF('Final Calculation Sheet'!$AD$12&lt;=0,"SETTLED","OUTSTANDING"))&amp;"","")))))&gt;0),IF(COUNTIF($BI$94:$BP$94,7)=0,TRUE,SUMPRODUCT(($BI$94:$BP$94=7)*($AS$94:$AZ$94&lt;&gt;"")*IF(((UPPER($AS$94:$AZ$94)="BLANK")+(UPPER($AS$94:$AZ$94)="(BLANK)")+(UPPER($AS$94:$AZ$94)="EMPTY")+(UPPER($AS$94:$AZ$94)="(EMPTY)"))&gt;0,IFERROR((IF('Final Calculation Sheet'!$AD$12&lt;=0,"SETTLED","OUTSTANDING"))&amp;"","")="",ISNUMBER(SEARCH($AS$94:$AZ$94,IFERROR((IF('Final Calculation Sheet'!$AD$12&lt;=0,"SETTLED","OUTSTANDING"))&amp;"","")))))&gt;0),IF(COUNTIF($BI$94:$BP$94,8)=0,TRUE,SUMPRODUCT(($BI$94:$BP$94=8)*($AS$94:$AZ$94&lt;&gt;"")*IF(((UPPER($AS$94:$AZ$94)="BLANK")+(UPPER($AS$94:$AZ$94)="(BLANK)")+(UPPER($AS$94:$AZ$94)="EMPTY")+(UPPER($AS$94:$AZ$94)="(EMPTY)"))&gt;0,IFERROR((IF('Final Calculation Sheet'!$AD$12&lt;=0,"SETTLED","OUTSTANDING"))&amp;"","")="",ISNUMBER(SEARCH($AS$94:$AZ$94,IFERROR((IF('Final Calculation Sheet'!$AD$12&lt;=0,"SETTLED","OUTSTANDING"))&amp;"","")))))&gt;0))))</f>
        <v>1</v>
      </c>
    </row>
    <row r="14" spans="1:99" ht="15" customHeight="1" x14ac:dyDescent="0.25">
      <c r="A14" s="67">
        <f>IF($BJ13&gt;0,INDEX($BA$5:$BA$41,MATCH(13,$BB$5:$BB$41,0)),IF(OR($BI13=1,$BL13=1,$BH13&gt;0),"∑",""))</f>
        <v>4</v>
      </c>
      <c r="B14" s="68">
        <f>IF($BJ13&gt;0,IF(INDEX('Final Calculation Sheet'!$F$4:$F$40,$BJ13-3)="","",INDEX('Final Calculation Sheet'!$F$4:$F$40,$BJ13-3)),"")</f>
        <v>2037</v>
      </c>
      <c r="C14" s="68" t="str">
        <f>IF($BJ13&gt;0,IF(INDEX('Final Calculation Sheet'!$G$4:$G$40,$BJ13-3)="","",INDEX('Final Calculation Sheet'!$G$4:$G$40,$BJ13-3)),IF(OR($BI13=1,$BL13=1,$BH13&gt;0),IF($BI13=1,37,IF($BL13=1,37-INDEX($BD$4:$BD$13,10),INDEX($BD$4:$BD$13,$BH13)))&amp;" lot(s)",""))</f>
        <v>WATAN SCRAP TRADERS</v>
      </c>
      <c r="D14" s="69" t="str">
        <f>IF($BJ13&gt;0,IF(INDEX('Final Calculation Sheet'!$B$4:$B$40,$BJ13-3)="","",INDEX('Final Calculation Sheet'!$B$4:$B$40,$BJ13-3)),IF(OR($BI13=1,$BL13=1,$BH13&gt;0),IF($BI13=1,"GRAND TOTAL  —  matching + remaining",IF($BL13=1,"TOTAL MATCHED  —  every group together",IF($BH13=10,"REMAINING  —  did not match the search",IF($BH13=9,IF(COUNTIF($A$4:$AI$4,"&lt;&gt;")&gt;0,"FILTERED LOTS  —  column fields","ALL LOTS  —  nothing typed in the box"),"GROUP "&amp;$BH13&amp;" TOTAL  —  lots matching  "&amp;INDEX($AR$6:$AY$6,$BH13))))),""))</f>
        <v>Scrap of empty oil Barrels</v>
      </c>
      <c r="E14" s="69">
        <f>IF($BJ13&gt;0,IF(INDEX('Final Calculation Sheet'!$D$4:$D$40,$BJ13-3)="","",INDEX('Final Calculation Sheet'!$D$4:$D$40,$BJ13-3)),IF(OR($BI13=1,$BL13=1,$BH13&gt;0),"–",""))</f>
        <v>21978</v>
      </c>
      <c r="F14" s="69">
        <f>IF($BJ13&gt;0,IF(INDEX('Final Calculation Sheet'!$A$4:$A$40,$BJ13-3)="","",INDEX('Final Calculation Sheet'!$A$4:$A$40,$BJ13-3)),IF(OR($BI13=1,$BL13=1,$BH13&gt;0),IF($BI13=1,SUM('Final Calculation Sheet'!$A$4:$A$40),IF($BL13=1,SUM('Final Calculation Sheet'!$A$4:$A$40)-SUMIFS('Final Calculation Sheet'!$A$4:$A$40,$AZ$5:$AZ$41,10),SUMIFS('Final Calculation Sheet'!$A$4:$A$40,$AZ$5:$AZ$41,$BH13))),""))</f>
        <v>50</v>
      </c>
      <c r="G14" s="69" t="str">
        <f>IF($BJ13&gt;0,IF(INDEX('Final Calculation Sheet'!$E$4:$E$40,$BJ13-3)="","",INDEX('Final Calculation Sheet'!$E$4:$E$40,$BJ13-3)),IF(OR($BI13=1,$BL13=1,$BH13&gt;0),"–",""))</f>
        <v>NO</v>
      </c>
      <c r="H14" s="70">
        <f>IF($BJ13&gt;0,IF(INDEX('Final Calculation Sheet'!$C$4:$C$40,$BJ13-3)="","",INDEX('Final Calculation Sheet'!$C$4:$C$40,$BJ13-3)),IF(OR($BI13=1,$BL13=1,$BH13&gt;0),"–",""))</f>
        <v>531</v>
      </c>
      <c r="I14" s="70">
        <f>IF($BJ13&gt;0,IF(INDEX('Final Calculation Sheet'!$H$4:$H$40,$BJ13-3)="","",INDEX('Final Calculation Sheet'!$H$4:$H$40,$BJ13-3)),IF(OR($BI13=1,$BL13=1,$BH13&gt;0),IF($BI13=1,SUM('Final Calculation Sheet'!$H$4:$H$40),IF($BL13=1,SUM('Final Calculation Sheet'!$H$4:$H$40)-SUMIFS('Final Calculation Sheet'!$H$4:$H$40,$AZ$5:$AZ$41,10),SUMIFS('Final Calculation Sheet'!$H$4:$H$40,$AZ$5:$AZ$41,$BH13))),""))</f>
        <v>26550</v>
      </c>
      <c r="J14" s="70">
        <f>IF($BJ13&gt;0,IF(INDEX('Final Calculation Sheet'!$I$4:$I$40,$BJ13-3)="","",INDEX('Final Calculation Sheet'!$I$4:$I$40,$BJ13-3)),IF(OR($BI13=1,$BL13=1,$BH13&gt;0),IF($BI13=1,SUM('Final Calculation Sheet'!$I$4:$I$40),IF($BL13=1,SUM('Final Calculation Sheet'!$I$4:$I$40)-SUMIFS('Final Calculation Sheet'!$I$4:$I$40,$AZ$5:$AZ$41,10),SUMIFS('Final Calculation Sheet'!$I$4:$I$40,$AZ$5:$AZ$41,$BH13))),""))</f>
        <v>4779</v>
      </c>
      <c r="K14" s="70">
        <f>IF($BJ13&gt;0,IF(INDEX('Final Calculation Sheet'!$J$4:$J$40,$BJ13-3)="","",INDEX('Final Calculation Sheet'!$J$4:$J$40,$BJ13-3)),IF(OR($BI13=1,$BL13=1,$BH13&gt;0),IF($BI13=1,SUM('Final Calculation Sheet'!$J$4:$J$40),IF($BL13=1,SUM('Final Calculation Sheet'!$J$4:$J$40)-SUMIFS('Final Calculation Sheet'!$J$4:$J$40,$AZ$5:$AZ$41,10),SUMIFS('Final Calculation Sheet'!$J$4:$J$40,$AZ$5:$AZ$41,$BH13))),""))</f>
        <v>31329</v>
      </c>
      <c r="L14" s="70">
        <f>IF($BJ13&gt;0,IF(INDEX('Final Calculation Sheet'!$K$4:$K$40,$BJ13-3)="","",INDEX('Final Calculation Sheet'!$K$4:$K$40,$BJ13-3)),IF(OR($BI13=1,$BL13=1,$BH13&gt;0),IF($BI13=1,SUM('Final Calculation Sheet'!$K$4:$K$40),IF($BL13=1,SUM('Final Calculation Sheet'!$K$4:$K$40)-SUMIFS('Final Calculation Sheet'!$K$4:$K$40,$AZ$5:$AZ$41,10),SUMIFS('Final Calculation Sheet'!$K$4:$K$40,$AZ$5:$AZ$41,$BH13))),""))</f>
        <v>627</v>
      </c>
      <c r="M14" s="70">
        <f>IF($BJ13&gt;0,IF(INDEX('Final Calculation Sheet'!$L$4:$L$40,$BJ13-3)="","",INDEX('Final Calculation Sheet'!$L$4:$L$40,$BJ13-3)),IF(OR($BI13=1,$BL13=1,$BH13&gt;0),IF($BI13=1,SUM('Final Calculation Sheet'!$L$4:$L$40),IF($BL13=1,SUM('Final Calculation Sheet'!$L$4:$L$40)-SUMIFS('Final Calculation Sheet'!$L$4:$L$40,$AZ$5:$AZ$41,10),SUMIFS('Final Calculation Sheet'!$L$4:$L$40,$AZ$5:$AZ$41,$BH13))),""))</f>
        <v>26.55</v>
      </c>
      <c r="N14" s="70">
        <f>IF($BJ13&gt;0,IF(INDEX('Final Calculation Sheet'!$M$4:$M$40,$BJ13-3)="","",INDEX('Final Calculation Sheet'!$M$4:$M$40,$BJ13-3)),IF(OR($BI13=1,$BL13=1,$BH13&gt;0),IF($BI13=1,SUM('Final Calculation Sheet'!$M$4:$M$40),IF($BL13=1,SUM('Final Calculation Sheet'!$M$4:$M$40)-SUMIFS('Final Calculation Sheet'!$M$4:$M$40,$AZ$5:$AZ$41,10),SUMIFS('Final Calculation Sheet'!$M$4:$M$40,$AZ$5:$AZ$41,$BH13))),""))</f>
        <v>704.90249999999992</v>
      </c>
      <c r="O14" s="71">
        <f>IF($BJ13&gt;0,IF(INDEX('Final Calculation Sheet'!$N$4:$N$40,$BJ13-3)="","",INDEX('Final Calculation Sheet'!$N$4:$N$40,$BJ13-3)),IF(OR($BI13=1,$BL13=1,$BH13&gt;0),IF($BI13=1,SUM('Final Calculation Sheet'!$N$4:$N$40),IF($BL13=1,SUM('Final Calculation Sheet'!$N$4:$N$40)-SUMIFS('Final Calculation Sheet'!$N$4:$N$40,$AZ$5:$AZ$41,10),SUMIFS('Final Calculation Sheet'!$N$4:$N$40,$AZ$5:$AZ$41,$BH13))),""))</f>
        <v>11.9475</v>
      </c>
      <c r="P14" s="70">
        <f>IF($BJ13&gt;0,IF(INDEX('Final Calculation Sheet'!$O$4:$O$40,$BJ13-3)="","",INDEX('Final Calculation Sheet'!$O$4:$O$40,$BJ13-3)),IF(OR($BI13=1,$BL13=1,$BH13&gt;0),IF($BI13=1,SUM('Final Calculation Sheet'!$O$4:$O$40),IF($BL13=1,SUM('Final Calculation Sheet'!$O$4:$O$40)-SUMIFS('Final Calculation Sheet'!$O$4:$O$40,$AZ$5:$AZ$41,10),SUMIFS('Final Calculation Sheet'!$O$4:$O$40,$AZ$5:$AZ$41,$BH13))),""))</f>
        <v>692.95499999999993</v>
      </c>
      <c r="Q14" s="70">
        <f>IF($BJ13&gt;0,IF(INDEX('Final Calculation Sheet'!$P$4:$P$40,$BJ13-3)="","",INDEX('Final Calculation Sheet'!$P$4:$P$40,$BJ13-3)),IF(OR($BI13=1,$BL13=1,$BH13&gt;0),IF($BI13=1,SUM('Final Calculation Sheet'!$P$4:$P$40),IF($BL13=1,SUM('Final Calculation Sheet'!$P$4:$P$40)-SUMIFS('Final Calculation Sheet'!$P$4:$P$40,$AZ$5:$AZ$41,10),SUMIFS('Final Calculation Sheet'!$P$4:$P$40,$AZ$5:$AZ$41,$BH13))),""))</f>
        <v>720</v>
      </c>
      <c r="R14" s="72">
        <f>IF($BJ13&gt;0,IF(INDEX('Final Calculation Sheet'!$Q$4:$Q$40,$BJ13-3)="","",INDEX('Final Calculation Sheet'!$Q$4:$Q$40,$BJ13-3)),IF(OR($BI13=1,$BL13=1,$BH13&gt;0),"–",""))</f>
        <v>0</v>
      </c>
      <c r="S14" s="70">
        <f>IF($BJ13&gt;0,IF(INDEX('Final Calculation Sheet'!$R$4:$R$40,$BJ13-3)="","",INDEX('Final Calculation Sheet'!$R$4:$R$40,$BJ13-3)),IF(OR($BI13=1,$BL13=1,$BH13&gt;0),IF($BI13=1,SUM('Final Calculation Sheet'!$R$4:$R$40),IF($BL13=1,SUM('Final Calculation Sheet'!$R$4:$R$40)-SUMIFS('Final Calculation Sheet'!$R$4:$R$40,$AZ$5:$AZ$41,10),SUMIFS('Final Calculation Sheet'!$R$4:$R$40,$AZ$5:$AZ$41,$BH13))),""))</f>
        <v>0</v>
      </c>
      <c r="T14" s="70">
        <f>IF($BJ13&gt;0,IF(INDEX('Final Calculation Sheet'!$S$4:$S$40,$BJ13-3)="","",INDEX('Final Calculation Sheet'!$S$4:$S$40,$BJ13-3)),IF(OR($BI13=1,$BL13=1,$BH13&gt;0),IF($BI13=1,SUM('Final Calculation Sheet'!$S$4:$S$40),IF($BL13=1,SUM('Final Calculation Sheet'!$S$4:$S$40)-SUMIFS('Final Calculation Sheet'!$S$4:$S$40,$AZ$5:$AZ$41,10),SUMIFS('Final Calculation Sheet'!$S$4:$S$40,$AZ$5:$AZ$41,$BH13))),""))</f>
        <v>31236</v>
      </c>
      <c r="U14" s="70">
        <f>IF($BJ13&gt;0,IF(INDEX('Final Calculation Sheet'!$T$4:$T$40,$BJ13-3)="","",INDEX('Final Calculation Sheet'!$T$4:$T$40,$BJ13-3)),IF(OR($BI13=1,$BL13=1,$BH13&gt;0),IF($BI13=1,SUM('Final Calculation Sheet'!$T$4:$T$40),IF($BL13=1,SUM('Final Calculation Sheet'!$T$4:$T$40)-SUMIFS('Final Calculation Sheet'!$T$4:$T$40,$AZ$5:$AZ$41,10),SUMIFS('Final Calculation Sheet'!$T$4:$T$40,$AZ$5:$AZ$41,$BH13))),""))</f>
        <v>6638</v>
      </c>
      <c r="V14" s="73">
        <f>IF($BJ13&gt;0,IF(INDEX('Final Calculation Sheet'!$U$4:$U$40,$BJ13-3)="","",INDEX('Final Calculation Sheet'!$U$4:$U$40,$BJ13-3)),IF(OR($BI13=1,$BL13=1,$BH13&gt;0),IF($BI13=1,SUM('Final Calculation Sheet'!$U$4:$U$40),IF($BL13=1,SUM('Final Calculation Sheet'!$U$4:$U$40)-SUMIFS('Final Calculation Sheet'!$U$4:$U$40,$AZ$5:$AZ$41,10),SUMIFS('Final Calculation Sheet'!$U$4:$U$40,$AZ$5:$AZ$41,$BH13))),""))</f>
        <v>6638</v>
      </c>
      <c r="W14" s="70" t="str">
        <f>IF($BJ13&gt;0,IF(INDEX('Final Calculation Sheet'!$V$4:$V$40,$BJ13-3)="","",INDEX('Final Calculation Sheet'!$V$4:$V$40,$BJ13-3)),IF(OR($BI13=1,$BL13=1,$BH13&gt;0),"–",""))</f>
        <v>14.08.2026</v>
      </c>
      <c r="X14" s="70">
        <f>IF($BJ13&gt;0,IF(INDEX('Final Calculation Sheet'!$W$4:$W$40,$BJ13-3)="","",INDEX('Final Calculation Sheet'!$W$4:$W$40,$BJ13-3)),IF(OR($BI13=1,$BL13=1,$BH13&gt;0),IF($BI13=1,SUM('Final Calculation Sheet'!$W$4:$W$40),IF($BL13=1,SUM('Final Calculation Sheet'!$W$4:$W$40)-SUMIFS('Final Calculation Sheet'!$W$4:$W$40,$AZ$5:$AZ$41,10),SUMIFS('Final Calculation Sheet'!$W$4:$W$40,$AZ$5:$AZ$41,$BH13))),""))</f>
        <v>24599</v>
      </c>
      <c r="Y14" s="70">
        <f>IF($BJ13&gt;0,IF(INDEX('Final Calculation Sheet'!$X$4:$X$40,$BJ13-3)="","",INDEX('Final Calculation Sheet'!$X$4:$X$40,$BJ13-3)),IF(OR($BI13=1,$BL13=1,$BH13&gt;0),IF($BI13=1,SUM('Final Calculation Sheet'!$X$4:$X$40),IF($BL13=1,SUM('Final Calculation Sheet'!$X$4:$X$40)-SUMIFS('Final Calculation Sheet'!$X$4:$X$40,$AZ$5:$AZ$41,10),SUMIFS('Final Calculation Sheet'!$X$4:$X$40,$AZ$5:$AZ$41,$BH13))),""))</f>
        <v>24598</v>
      </c>
      <c r="Z14" s="70" t="str">
        <f>IF($BJ13&gt;0,IF(INDEX('Final Calculation Sheet'!$Y$4:$Y$40,$BJ13-3)="","",INDEX('Final Calculation Sheet'!$Y$4:$Y$40,$BJ13-3)),IF(OR($BI13=1,$BL13=1,$BH13&gt;0),"–",""))</f>
        <v>21.08.2026</v>
      </c>
      <c r="AA14" s="70">
        <f ca="1">IF($BJ13&gt;0,IF(INDEX('Final Calculation Sheet'!$Z$4:$Z$40,$BJ13-3)="","",INDEX('Final Calculation Sheet'!$Z$4:$Z$40,$BJ13-3)),IF(OR($BI13=1,$BL13=1,$BH13&gt;0),IF($BI13=1,SUM('Final Calculation Sheet'!$Z$4:$Z$40),IF($BL13=1,SUM('Final Calculation Sheet'!$Z$4:$Z$40)-SUMIFS('Final Calculation Sheet'!$Z$4:$Z$40,$AZ$5:$AZ$41,10),SUMIFS('Final Calculation Sheet'!$Z$4:$Z$40,$AZ$5:$AZ$41,$BH13))),""))</f>
        <v>0</v>
      </c>
      <c r="AB14" s="70" t="str">
        <f>IF($BJ13&gt;0,IF(INDEX('Final Calculation Sheet'!$AA$4:$AA$40,$BJ13-3)="","",INDEX('Final Calculation Sheet'!$AA$4:$AA$40,$BJ13-3)),IF(OR($BI13=1,$BL13=1,$BH13&gt;0),IF($BI13=1,SUM('Final Calculation Sheet'!$AA$4:$AA$40),IF($BL13=1,SUM('Final Calculation Sheet'!$AA$4:$AA$40)-SUMIFS('Final Calculation Sheet'!$AA$4:$AA$40,$AZ$5:$AZ$41,10),SUMIFS('Final Calculation Sheet'!$AA$4:$AA$40,$AZ$5:$AZ$41,$BH13))),""))</f>
        <v/>
      </c>
      <c r="AC14" s="70" t="str">
        <f>IF($BJ13&gt;0,IF(INDEX('Final Calculation Sheet'!$AB$4:$AB$40,$BJ13-3)="","",INDEX('Final Calculation Sheet'!$AB$4:$AB$40,$BJ13-3)),IF(OR($BI13=1,$BL13=1,$BH13&gt;0),"–",""))</f>
        <v/>
      </c>
      <c r="AD14" s="70">
        <f>IF($BJ13&gt;0,IF(INDEX('Final Calculation Sheet'!$AC$4:$AC$40,$BJ13-3)="","",INDEX('Final Calculation Sheet'!$AC$4:$AC$40,$BJ13-3)),IF(OR($BI13=1,$BL13=1,$BH13&gt;0),IF($BI13=1,SUM('Final Calculation Sheet'!$AC$4:$AC$40),IF($BL13=1,SUM('Final Calculation Sheet'!$AC$4:$AC$40)-SUMIFS('Final Calculation Sheet'!$AC$4:$AC$40,$AZ$5:$AZ$41,10),SUMIFS('Final Calculation Sheet'!$AC$4:$AC$40,$AZ$5:$AZ$41,$BH13))),""))</f>
        <v>31236</v>
      </c>
      <c r="AE14" s="70">
        <f>IF($BJ13&gt;0,IF(INDEX('Final Calculation Sheet'!$AD$4:$AD$40,$BJ13-3)="","",INDEX('Final Calculation Sheet'!$AD$4:$AD$40,$BJ13-3)),IF(OR($BI13=1,$BL13=1,$BH13&gt;0),IF($BI13=1,SUM('Final Calculation Sheet'!$AD$4:$AD$40),IF($BL13=1,SUM('Final Calculation Sheet'!$AD$4:$AD$40)-SUMIFS('Final Calculation Sheet'!$AD$4:$AD$40,$AZ$5:$AZ$41,10),SUMIFS('Final Calculation Sheet'!$AD$4:$AD$40,$AZ$5:$AZ$41,$BH13))),""))</f>
        <v>0</v>
      </c>
      <c r="AF14" s="70" t="str">
        <f>IF($BJ13&gt;0,IF(INDEX('Final Calculation Sheet'!$AE$4:$AE$40,$BJ13-3)="","",INDEX('Final Calculation Sheet'!$AE$4:$AE$40,$BJ13-3)),IF(OR($BI13=1,$BL13=1,$BH13&gt;0),"–",""))</f>
        <v>DR2640100043</v>
      </c>
      <c r="AG14" s="74">
        <f>IF($BJ13&gt;0,IF(INDEX('Final Calculation Sheet'!$AF$4:$AF$40,$BJ13-3)="","",INDEX('Final Calculation Sheet'!$AF$4:$AF$40,$BJ13-3)),IF(OR($BI13=1,$BL13=1,$BH13&gt;0),"–",""))</f>
        <v>1800003318</v>
      </c>
      <c r="AH14" s="70" t="str">
        <f>IF($BJ13&gt;0,IF(INDEX('Final Calculation Sheet'!$AG$4:$AG$40,$BJ13-3)="","",INDEX('Final Calculation Sheet'!$AG$4:$AG$40,$BJ13-3)),IF(OR($BI13=1,$BL13=1,$BH13&gt;0),"–",""))</f>
        <v>27.08.2026</v>
      </c>
      <c r="AI14" s="75" t="str">
        <f>IF($BJ13&gt;0,IF(INDEX('Final Calculation Sheet'!$AD$4:$AD$40,$BJ13-3)="","",IF(INDEX('Final Calculation Sheet'!$AD$4:$AD$40,$BJ13-3)&lt;=0,"SETTLED","OUTSTANDING")),IF(OR($BI13=1,$BL13=1,$BH13&gt;0),IF(IF($BI13=1,SUM('Final Calculation Sheet'!$AD$4:$AD$40),IF($BL13=1,SUM('Final Calculation Sheet'!$AD$4:$AD$40)-SUMIFS('Final Calculation Sheet'!$AD$4:$AD$40,$AZ$5:$AZ$41,10),SUMIFS('Final Calculation Sheet'!$AD$4:$AD$40,$AZ$5:$AZ$41,$BH13)))&lt;=0,"ALL SETTLED","OUTSTANDING"),""))</f>
        <v>SETTLED</v>
      </c>
      <c r="AK14" t="str">
        <f>IF($F$3="Lot No.",'Final Calculation Sheet'!$F$13,IF($F$3="Buyer",'Final Calculation Sheet'!$G$13,IF($F$3="Lot Name",'Final Calculation Sheet'!$B$13,IF($F$3="Bid Sheet",'Final Calculation Sheet'!$D$13,IF($F$3="Unit",'Final Calculation Sheet'!$E$13,'Final Calculation Sheet'!$F$13&amp;" "&amp;'Final Calculation Sheet'!$G$13&amp;" "&amp;'Final Calculation Sheet'!$B$13)))))</f>
        <v>2006 STERLING ENTERPRISES Scrap of empty oil drums</v>
      </c>
      <c r="AM14">
        <f t="shared" si="1"/>
        <v>1</v>
      </c>
      <c r="AZ14">
        <f t="shared" si="2"/>
        <v>1</v>
      </c>
      <c r="BA14">
        <f t="shared" si="3"/>
        <v>2</v>
      </c>
      <c r="BB14">
        <f t="shared" si="4"/>
        <v>6</v>
      </c>
      <c r="BC14">
        <v>13</v>
      </c>
      <c r="BH14">
        <f>IFERROR(MATCH(14,$BF$4:$BF$13,0),0)</f>
        <v>0</v>
      </c>
      <c r="BI14">
        <f>IF(14=$BG$5,1,0)</f>
        <v>0</v>
      </c>
      <c r="BJ14">
        <f>IF(OR($BH14&gt;0,$BI14=1,$BL14=1),0,IFERROR(INDEX($BC$5:$BC$41,MATCH(14,$BB$5:$BB$41,0)),0))</f>
        <v>34</v>
      </c>
      <c r="BK14">
        <f>IF($BJ14&gt;0,IF(INDEX($AZ$5:$AZ$41,MATCH(14,$BB$5:$BB$41,0))=10,1,0),IF($BH14=10,1,0))</f>
        <v>0</v>
      </c>
      <c r="BL14">
        <f>IF(14=$BG$4,1,0)</f>
        <v>0</v>
      </c>
      <c r="BM14">
        <f>IF($A$4="",1,--(AND(SUMPRODUCT(--($AS$60:$AZ$60&lt;&gt;""))&gt;0,IF(COUNTIF($BI$60:$BP$60,1)=0,TRUE,SUMPRODUCT(($BI$60:$BP$60=1)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$60,2)=0,TRUE,SUMPRODUCT(($BI$60:$BP$60=2)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$60,3)=0,TRUE,SUMPRODUCT(($BI$60:$BP$60=3)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$60,4)=0,TRUE,SUMPRODUCT(($BI$60:$BP$60=4)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$60,5)=0,TRUE,SUMPRODUCT(($BI$60:$BP$60=5)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$60,6)=0,TRUE,SUMPRODUCT(($BI$60:$BP$60=6)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$60,7)=0,TRUE,SUMPRODUCT(($BI$60:$BP$60=7)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$60,8)=0,TRUE,SUMPRODUCT(($BI$60:$BP$60=8)*($AS$60:$AZ$60&lt;&gt;"")*IF(((UPPER($AS$60:$AZ$60)="BLANK")+(UPPER($AS$60:$AZ$60)="(BLANK)")+(UPPER($AS$60:$AZ$60)="EMPTY")+(UPPER($AS$60:$AZ$60)="(EMPTY)"))&gt;0,IFERROR((ROW()-4)&amp;"","")="",ISNUMBER(SEARCH($AS$60:$AZ$60,IFERROR((ROW()-4)&amp;"","")))))&gt;0))))</f>
        <v>1</v>
      </c>
      <c r="BN14">
        <f>IF($B$4="",1,--(AND(SUMPRODUCT(--($AS$61:$AZ$61&lt;&gt;""))&gt;0,IF(COUNTIF($BI$61:$BP$61,1)=0,TRUE,SUMPRODUCT(($BI$61:$BP$61=1)*($AS$61:$AZ$61&lt;&gt;"")*IF(((UPPER($AS$61:$AZ$61)="BLANK")+(UPPER($AS$61:$AZ$61)="(BLANK)")+(UPPER($AS$61:$AZ$61)="EMPTY")+(UPPER($AS$61:$AZ$61)="(EMPTY)"))&gt;0,IFERROR(('Final Calculation Sheet'!$F$13)&amp;"","")="",ISNUMBER(SEARCH($AS$61:$AZ$61,IFERROR(('Final Calculation Sheet'!$F$13)&amp;"","")))))&gt;0),IF(COUNTIF($BI$61:$BP$61,2)=0,TRUE,SUMPRODUCT(($BI$61:$BP$61=2)*($AS$61:$AZ$61&lt;&gt;"")*IF(((UPPER($AS$61:$AZ$61)="BLANK")+(UPPER($AS$61:$AZ$61)="(BLANK)")+(UPPER($AS$61:$AZ$61)="EMPTY")+(UPPER($AS$61:$AZ$61)="(EMPTY)"))&gt;0,IFERROR(('Final Calculation Sheet'!$F$13)&amp;"","")="",ISNUMBER(SEARCH($AS$61:$AZ$61,IFERROR(('Final Calculation Sheet'!$F$13)&amp;"","")))))&gt;0),IF(COUNTIF($BI$61:$BP$61,3)=0,TRUE,SUMPRODUCT(($BI$61:$BP$61=3)*($AS$61:$AZ$61&lt;&gt;"")*IF(((UPPER($AS$61:$AZ$61)="BLANK")+(UPPER($AS$61:$AZ$61)="(BLANK)")+(UPPER($AS$61:$AZ$61)="EMPTY")+(UPPER($AS$61:$AZ$61)="(EMPTY)"))&gt;0,IFERROR(('Final Calculation Sheet'!$F$13)&amp;"","")="",ISNUMBER(SEARCH($AS$61:$AZ$61,IFERROR(('Final Calculation Sheet'!$F$13)&amp;"","")))))&gt;0),IF(COUNTIF($BI$61:$BP$61,4)=0,TRUE,SUMPRODUCT(($BI$61:$BP$61=4)*($AS$61:$AZ$61&lt;&gt;"")*IF(((UPPER($AS$61:$AZ$61)="BLANK")+(UPPER($AS$61:$AZ$61)="(BLANK)")+(UPPER($AS$61:$AZ$61)="EMPTY")+(UPPER($AS$61:$AZ$61)="(EMPTY)"))&gt;0,IFERROR(('Final Calculation Sheet'!$F$13)&amp;"","")="",ISNUMBER(SEARCH($AS$61:$AZ$61,IFERROR(('Final Calculation Sheet'!$F$13)&amp;"","")))))&gt;0),IF(COUNTIF($BI$61:$BP$61,5)=0,TRUE,SUMPRODUCT(($BI$61:$BP$61=5)*($AS$61:$AZ$61&lt;&gt;"")*IF(((UPPER($AS$61:$AZ$61)="BLANK")+(UPPER($AS$61:$AZ$61)="(BLANK)")+(UPPER($AS$61:$AZ$61)="EMPTY")+(UPPER($AS$61:$AZ$61)="(EMPTY)"))&gt;0,IFERROR(('Final Calculation Sheet'!$F$13)&amp;"","")="",ISNUMBER(SEARCH($AS$61:$AZ$61,IFERROR(('Final Calculation Sheet'!$F$13)&amp;"","")))))&gt;0),IF(COUNTIF($BI$61:$BP$61,6)=0,TRUE,SUMPRODUCT(($BI$61:$BP$61=6)*($AS$61:$AZ$61&lt;&gt;"")*IF(((UPPER($AS$61:$AZ$61)="BLANK")+(UPPER($AS$61:$AZ$61)="(BLANK)")+(UPPER($AS$61:$AZ$61)="EMPTY")+(UPPER($AS$61:$AZ$61)="(EMPTY)"))&gt;0,IFERROR(('Final Calculation Sheet'!$F$13)&amp;"","")="",ISNUMBER(SEARCH($AS$61:$AZ$61,IFERROR(('Final Calculation Sheet'!$F$13)&amp;"","")))))&gt;0),IF(COUNTIF($BI$61:$BP$61,7)=0,TRUE,SUMPRODUCT(($BI$61:$BP$61=7)*($AS$61:$AZ$61&lt;&gt;"")*IF(((UPPER($AS$61:$AZ$61)="BLANK")+(UPPER($AS$61:$AZ$61)="(BLANK)")+(UPPER($AS$61:$AZ$61)="EMPTY")+(UPPER($AS$61:$AZ$61)="(EMPTY)"))&gt;0,IFERROR(('Final Calculation Sheet'!$F$13)&amp;"","")="",ISNUMBER(SEARCH($AS$61:$AZ$61,IFERROR(('Final Calculation Sheet'!$F$13)&amp;"","")))))&gt;0),IF(COUNTIF($BI$61:$BP$61,8)=0,TRUE,SUMPRODUCT(($BI$61:$BP$61=8)*($AS$61:$AZ$61&lt;&gt;"")*IF(((UPPER($AS$61:$AZ$61)="BLANK")+(UPPER($AS$61:$AZ$61)="(BLANK)")+(UPPER($AS$61:$AZ$61)="EMPTY")+(UPPER($AS$61:$AZ$61)="(EMPTY)"))&gt;0,IFERROR(('Final Calculation Sheet'!$F$13)&amp;"","")="",ISNUMBER(SEARCH($AS$61:$AZ$61,IFERROR(('Final Calculation Sheet'!$F$13)&amp;"","")))))&gt;0))))</f>
        <v>1</v>
      </c>
      <c r="BO14">
        <f>IF($C$4="",1,--(AND(SUMPRODUCT(--($AS$62:$AZ$62&lt;&gt;""))&gt;0,IF(COUNTIF($BI$62:$BP$62,1)=0,TRUE,SUMPRODUCT(($BI$62:$BP$62=1)*($AS$62:$AZ$62&lt;&gt;"")*IF(((UPPER($AS$62:$AZ$62)="BLANK")+(UPPER($AS$62:$AZ$62)="(BLANK)")+(UPPER($AS$62:$AZ$62)="EMPTY")+(UPPER($AS$62:$AZ$62)="(EMPTY)"))&gt;0,IFERROR(('Final Calculation Sheet'!$G$13)&amp;"","")="",ISNUMBER(SEARCH($AS$62:$AZ$62,IFERROR(('Final Calculation Sheet'!$G$13)&amp;"","")))))&gt;0),IF(COUNTIF($BI$62:$BP$62,2)=0,TRUE,SUMPRODUCT(($BI$62:$BP$62=2)*($AS$62:$AZ$62&lt;&gt;"")*IF(((UPPER($AS$62:$AZ$62)="BLANK")+(UPPER($AS$62:$AZ$62)="(BLANK)")+(UPPER($AS$62:$AZ$62)="EMPTY")+(UPPER($AS$62:$AZ$62)="(EMPTY)"))&gt;0,IFERROR(('Final Calculation Sheet'!$G$13)&amp;"","")="",ISNUMBER(SEARCH($AS$62:$AZ$62,IFERROR(('Final Calculation Sheet'!$G$13)&amp;"","")))))&gt;0),IF(COUNTIF($BI$62:$BP$62,3)=0,TRUE,SUMPRODUCT(($BI$62:$BP$62=3)*($AS$62:$AZ$62&lt;&gt;"")*IF(((UPPER($AS$62:$AZ$62)="BLANK")+(UPPER($AS$62:$AZ$62)="(BLANK)")+(UPPER($AS$62:$AZ$62)="EMPTY")+(UPPER($AS$62:$AZ$62)="(EMPTY)"))&gt;0,IFERROR(('Final Calculation Sheet'!$G$13)&amp;"","")="",ISNUMBER(SEARCH($AS$62:$AZ$62,IFERROR(('Final Calculation Sheet'!$G$13)&amp;"","")))))&gt;0),IF(COUNTIF($BI$62:$BP$62,4)=0,TRUE,SUMPRODUCT(($BI$62:$BP$62=4)*($AS$62:$AZ$62&lt;&gt;"")*IF(((UPPER($AS$62:$AZ$62)="BLANK")+(UPPER($AS$62:$AZ$62)="(BLANK)")+(UPPER($AS$62:$AZ$62)="EMPTY")+(UPPER($AS$62:$AZ$62)="(EMPTY)"))&gt;0,IFERROR(('Final Calculation Sheet'!$G$13)&amp;"","")="",ISNUMBER(SEARCH($AS$62:$AZ$62,IFERROR(('Final Calculation Sheet'!$G$13)&amp;"","")))))&gt;0),IF(COUNTIF($BI$62:$BP$62,5)=0,TRUE,SUMPRODUCT(($BI$62:$BP$62=5)*($AS$62:$AZ$62&lt;&gt;"")*IF(((UPPER($AS$62:$AZ$62)="BLANK")+(UPPER($AS$62:$AZ$62)="(BLANK)")+(UPPER($AS$62:$AZ$62)="EMPTY")+(UPPER($AS$62:$AZ$62)="(EMPTY)"))&gt;0,IFERROR(('Final Calculation Sheet'!$G$13)&amp;"","")="",ISNUMBER(SEARCH($AS$62:$AZ$62,IFERROR(('Final Calculation Sheet'!$G$13)&amp;"","")))))&gt;0),IF(COUNTIF($BI$62:$BP$62,6)=0,TRUE,SUMPRODUCT(($BI$62:$BP$62=6)*($AS$62:$AZ$62&lt;&gt;"")*IF(((UPPER($AS$62:$AZ$62)="BLANK")+(UPPER($AS$62:$AZ$62)="(BLANK)")+(UPPER($AS$62:$AZ$62)="EMPTY")+(UPPER($AS$62:$AZ$62)="(EMPTY)"))&gt;0,IFERROR(('Final Calculation Sheet'!$G$13)&amp;"","")="",ISNUMBER(SEARCH($AS$62:$AZ$62,IFERROR(('Final Calculation Sheet'!$G$13)&amp;"","")))))&gt;0),IF(COUNTIF($BI$62:$BP$62,7)=0,TRUE,SUMPRODUCT(($BI$62:$BP$62=7)*($AS$62:$AZ$62&lt;&gt;"")*IF(((UPPER($AS$62:$AZ$62)="BLANK")+(UPPER($AS$62:$AZ$62)="(BLANK)")+(UPPER($AS$62:$AZ$62)="EMPTY")+(UPPER($AS$62:$AZ$62)="(EMPTY)"))&gt;0,IFERROR(('Final Calculation Sheet'!$G$13)&amp;"","")="",ISNUMBER(SEARCH($AS$62:$AZ$62,IFERROR(('Final Calculation Sheet'!$G$13)&amp;"","")))))&gt;0),IF(COUNTIF($BI$62:$BP$62,8)=0,TRUE,SUMPRODUCT(($BI$62:$BP$62=8)*($AS$62:$AZ$62&lt;&gt;"")*IF(((UPPER($AS$62:$AZ$62)="BLANK")+(UPPER($AS$62:$AZ$62)="(BLANK)")+(UPPER($AS$62:$AZ$62)="EMPTY")+(UPPER($AS$62:$AZ$62)="(EMPTY)"))&gt;0,IFERROR(('Final Calculation Sheet'!$G$13)&amp;"","")="",ISNUMBER(SEARCH($AS$62:$AZ$62,IFERROR(('Final Calculation Sheet'!$G$13)&amp;"","")))))&gt;0))))</f>
        <v>1</v>
      </c>
      <c r="BP14">
        <f>IF($D$4="",1,--(AND(SUMPRODUCT(--($AS$63:$AZ$63&lt;&gt;""))&gt;0,IF(COUNTIF($BI$63:$BP$63,1)=0,TRUE,SUMPRODUCT(($BI$63:$BP$63=1)*($AS$63:$AZ$63&lt;&gt;"")*IF(((UPPER($AS$63:$AZ$63)="BLANK")+(UPPER($AS$63:$AZ$63)="(BLANK)")+(UPPER($AS$63:$AZ$63)="EMPTY")+(UPPER($AS$63:$AZ$63)="(EMPTY)"))&gt;0,IFERROR(('Final Calculation Sheet'!$B$13)&amp;"","")="",ISNUMBER(SEARCH($AS$63:$AZ$63,IFERROR(('Final Calculation Sheet'!$B$13)&amp;"","")))))&gt;0),IF(COUNTIF($BI$63:$BP$63,2)=0,TRUE,SUMPRODUCT(($BI$63:$BP$63=2)*($AS$63:$AZ$63&lt;&gt;"")*IF(((UPPER($AS$63:$AZ$63)="BLANK")+(UPPER($AS$63:$AZ$63)="(BLANK)")+(UPPER($AS$63:$AZ$63)="EMPTY")+(UPPER($AS$63:$AZ$63)="(EMPTY)"))&gt;0,IFERROR(('Final Calculation Sheet'!$B$13)&amp;"","")="",ISNUMBER(SEARCH($AS$63:$AZ$63,IFERROR(('Final Calculation Sheet'!$B$13)&amp;"","")))))&gt;0),IF(COUNTIF($BI$63:$BP$63,3)=0,TRUE,SUMPRODUCT(($BI$63:$BP$63=3)*($AS$63:$AZ$63&lt;&gt;"")*IF(((UPPER($AS$63:$AZ$63)="BLANK")+(UPPER($AS$63:$AZ$63)="(BLANK)")+(UPPER($AS$63:$AZ$63)="EMPTY")+(UPPER($AS$63:$AZ$63)="(EMPTY)"))&gt;0,IFERROR(('Final Calculation Sheet'!$B$13)&amp;"","")="",ISNUMBER(SEARCH($AS$63:$AZ$63,IFERROR(('Final Calculation Sheet'!$B$13)&amp;"","")))))&gt;0),IF(COUNTIF($BI$63:$BP$63,4)=0,TRUE,SUMPRODUCT(($BI$63:$BP$63=4)*($AS$63:$AZ$63&lt;&gt;"")*IF(((UPPER($AS$63:$AZ$63)="BLANK")+(UPPER($AS$63:$AZ$63)="(BLANK)")+(UPPER($AS$63:$AZ$63)="EMPTY")+(UPPER($AS$63:$AZ$63)="(EMPTY)"))&gt;0,IFERROR(('Final Calculation Sheet'!$B$13)&amp;"","")="",ISNUMBER(SEARCH($AS$63:$AZ$63,IFERROR(('Final Calculation Sheet'!$B$13)&amp;"","")))))&gt;0),IF(COUNTIF($BI$63:$BP$63,5)=0,TRUE,SUMPRODUCT(($BI$63:$BP$63=5)*($AS$63:$AZ$63&lt;&gt;"")*IF(((UPPER($AS$63:$AZ$63)="BLANK")+(UPPER($AS$63:$AZ$63)="(BLANK)")+(UPPER($AS$63:$AZ$63)="EMPTY")+(UPPER($AS$63:$AZ$63)="(EMPTY)"))&gt;0,IFERROR(('Final Calculation Sheet'!$B$13)&amp;"","")="",ISNUMBER(SEARCH($AS$63:$AZ$63,IFERROR(('Final Calculation Sheet'!$B$13)&amp;"","")))))&gt;0),IF(COUNTIF($BI$63:$BP$63,6)=0,TRUE,SUMPRODUCT(($BI$63:$BP$63=6)*($AS$63:$AZ$63&lt;&gt;"")*IF(((UPPER($AS$63:$AZ$63)="BLANK")+(UPPER($AS$63:$AZ$63)="(BLANK)")+(UPPER($AS$63:$AZ$63)="EMPTY")+(UPPER($AS$63:$AZ$63)="(EMPTY)"))&gt;0,IFERROR(('Final Calculation Sheet'!$B$13)&amp;"","")="",ISNUMBER(SEARCH($AS$63:$AZ$63,IFERROR(('Final Calculation Sheet'!$B$13)&amp;"","")))))&gt;0),IF(COUNTIF($BI$63:$BP$63,7)=0,TRUE,SUMPRODUCT(($BI$63:$BP$63=7)*($AS$63:$AZ$63&lt;&gt;"")*IF(((UPPER($AS$63:$AZ$63)="BLANK")+(UPPER($AS$63:$AZ$63)="(BLANK)")+(UPPER($AS$63:$AZ$63)="EMPTY")+(UPPER($AS$63:$AZ$63)="(EMPTY)"))&gt;0,IFERROR(('Final Calculation Sheet'!$B$13)&amp;"","")="",ISNUMBER(SEARCH($AS$63:$AZ$63,IFERROR(('Final Calculation Sheet'!$B$13)&amp;"","")))))&gt;0),IF(COUNTIF($BI$63:$BP$63,8)=0,TRUE,SUMPRODUCT(($BI$63:$BP$63=8)*($AS$63:$AZ$63&lt;&gt;"")*IF(((UPPER($AS$63:$AZ$63)="BLANK")+(UPPER($AS$63:$AZ$63)="(BLANK)")+(UPPER($AS$63:$AZ$63)="EMPTY")+(UPPER($AS$63:$AZ$63)="(EMPTY)"))&gt;0,IFERROR(('Final Calculation Sheet'!$B$13)&amp;"","")="",ISNUMBER(SEARCH($AS$63:$AZ$63,IFERROR(('Final Calculation Sheet'!$B$13)&amp;"","")))))&gt;0))))</f>
        <v>1</v>
      </c>
      <c r="BQ14">
        <f>IF($E$4="",1,--(AND(SUMPRODUCT(--($AS$64:$AZ$64&lt;&gt;""))&gt;0,IF(COUNTIF($BI$64:$BP$64,1)=0,TRUE,SUMPRODUCT(($BI$64:$BP$64=1)*($AS$64:$AZ$64&lt;&gt;"")*IF(((UPPER($AS$64:$AZ$64)="BLANK")+(UPPER($AS$64:$AZ$64)="(BLANK)")+(UPPER($AS$64:$AZ$64)="EMPTY")+(UPPER($AS$64:$AZ$64)="(EMPTY)"))&gt;0,IFERROR(('Final Calculation Sheet'!$D$13)&amp;"","")="",ISNUMBER(SEARCH($AS$64:$AZ$64,IFERROR(('Final Calculation Sheet'!$D$13)&amp;"","")))))&gt;0),IF(COUNTIF($BI$64:$BP$64,2)=0,TRUE,SUMPRODUCT(($BI$64:$BP$64=2)*($AS$64:$AZ$64&lt;&gt;"")*IF(((UPPER($AS$64:$AZ$64)="BLANK")+(UPPER($AS$64:$AZ$64)="(BLANK)")+(UPPER($AS$64:$AZ$64)="EMPTY")+(UPPER($AS$64:$AZ$64)="(EMPTY)"))&gt;0,IFERROR(('Final Calculation Sheet'!$D$13)&amp;"","")="",ISNUMBER(SEARCH($AS$64:$AZ$64,IFERROR(('Final Calculation Sheet'!$D$13)&amp;"","")))))&gt;0),IF(COUNTIF($BI$64:$BP$64,3)=0,TRUE,SUMPRODUCT(($BI$64:$BP$64=3)*($AS$64:$AZ$64&lt;&gt;"")*IF(((UPPER($AS$64:$AZ$64)="BLANK")+(UPPER($AS$64:$AZ$64)="(BLANK)")+(UPPER($AS$64:$AZ$64)="EMPTY")+(UPPER($AS$64:$AZ$64)="(EMPTY)"))&gt;0,IFERROR(('Final Calculation Sheet'!$D$13)&amp;"","")="",ISNUMBER(SEARCH($AS$64:$AZ$64,IFERROR(('Final Calculation Sheet'!$D$13)&amp;"","")))))&gt;0),IF(COUNTIF($BI$64:$BP$64,4)=0,TRUE,SUMPRODUCT(($BI$64:$BP$64=4)*($AS$64:$AZ$64&lt;&gt;"")*IF(((UPPER($AS$64:$AZ$64)="BLANK")+(UPPER($AS$64:$AZ$64)="(BLANK)")+(UPPER($AS$64:$AZ$64)="EMPTY")+(UPPER($AS$64:$AZ$64)="(EMPTY)"))&gt;0,IFERROR(('Final Calculation Sheet'!$D$13)&amp;"","")="",ISNUMBER(SEARCH($AS$64:$AZ$64,IFERROR(('Final Calculation Sheet'!$D$13)&amp;"","")))))&gt;0),IF(COUNTIF($BI$64:$BP$64,5)=0,TRUE,SUMPRODUCT(($BI$64:$BP$64=5)*($AS$64:$AZ$64&lt;&gt;"")*IF(((UPPER($AS$64:$AZ$64)="BLANK")+(UPPER($AS$64:$AZ$64)="(BLANK)")+(UPPER($AS$64:$AZ$64)="EMPTY")+(UPPER($AS$64:$AZ$64)="(EMPTY)"))&gt;0,IFERROR(('Final Calculation Sheet'!$D$13)&amp;"","")="",ISNUMBER(SEARCH($AS$64:$AZ$64,IFERROR(('Final Calculation Sheet'!$D$13)&amp;"","")))))&gt;0),IF(COUNTIF($BI$64:$BP$64,6)=0,TRUE,SUMPRODUCT(($BI$64:$BP$64=6)*($AS$64:$AZ$64&lt;&gt;"")*IF(((UPPER($AS$64:$AZ$64)="BLANK")+(UPPER($AS$64:$AZ$64)="(BLANK)")+(UPPER($AS$64:$AZ$64)="EMPTY")+(UPPER($AS$64:$AZ$64)="(EMPTY)"))&gt;0,IFERROR(('Final Calculation Sheet'!$D$13)&amp;"","")="",ISNUMBER(SEARCH($AS$64:$AZ$64,IFERROR(('Final Calculation Sheet'!$D$13)&amp;"","")))))&gt;0),IF(COUNTIF($BI$64:$BP$64,7)=0,TRUE,SUMPRODUCT(($BI$64:$BP$64=7)*($AS$64:$AZ$64&lt;&gt;"")*IF(((UPPER($AS$64:$AZ$64)="BLANK")+(UPPER($AS$64:$AZ$64)="(BLANK)")+(UPPER($AS$64:$AZ$64)="EMPTY")+(UPPER($AS$64:$AZ$64)="(EMPTY)"))&gt;0,IFERROR(('Final Calculation Sheet'!$D$13)&amp;"","")="",ISNUMBER(SEARCH($AS$64:$AZ$64,IFERROR(('Final Calculation Sheet'!$D$13)&amp;"","")))))&gt;0),IF(COUNTIF($BI$64:$BP$64,8)=0,TRUE,SUMPRODUCT(($BI$64:$BP$64=8)*($AS$64:$AZ$64&lt;&gt;"")*IF(((UPPER($AS$64:$AZ$64)="BLANK")+(UPPER($AS$64:$AZ$64)="(BLANK)")+(UPPER($AS$64:$AZ$64)="EMPTY")+(UPPER($AS$64:$AZ$64)="(EMPTY)"))&gt;0,IFERROR(('Final Calculation Sheet'!$D$13)&amp;"","")="",ISNUMBER(SEARCH($AS$64:$AZ$64,IFERROR(('Final Calculation Sheet'!$D$13)&amp;"","")))))&gt;0))))</f>
        <v>1</v>
      </c>
      <c r="BR14">
        <f>IF($F$4="",1,--(AND(SUMPRODUCT(--($AS$65:$AZ$65&lt;&gt;""))&gt;0,IF(COUNTIF($BI$65:$BP$65,1)=0,TRUE,SUMPRODUCT(($BI$65:$BP$65=1)*($AS$65:$AZ$65&lt;&gt;"")*IF(((UPPER($AS$65:$AZ$65)="BLANK")+(UPPER($AS$65:$AZ$65)="(BLANK)")+(UPPER($AS$65:$AZ$65)="EMPTY")+(UPPER($AS$65:$AZ$65)="(EMPTY)"))&gt;0,IFERROR(('Final Calculation Sheet'!$A$13)&amp;"","")="",ISNUMBER(SEARCH($AS$65:$AZ$65,IFERROR(('Final Calculation Sheet'!$A$13)&amp;"","")))))&gt;0),IF(COUNTIF($BI$65:$BP$65,2)=0,TRUE,SUMPRODUCT(($BI$65:$BP$65=2)*($AS$65:$AZ$65&lt;&gt;"")*IF(((UPPER($AS$65:$AZ$65)="BLANK")+(UPPER($AS$65:$AZ$65)="(BLANK)")+(UPPER($AS$65:$AZ$65)="EMPTY")+(UPPER($AS$65:$AZ$65)="(EMPTY)"))&gt;0,IFERROR(('Final Calculation Sheet'!$A$13)&amp;"","")="",ISNUMBER(SEARCH($AS$65:$AZ$65,IFERROR(('Final Calculation Sheet'!$A$13)&amp;"","")))))&gt;0),IF(COUNTIF($BI$65:$BP$65,3)=0,TRUE,SUMPRODUCT(($BI$65:$BP$65=3)*($AS$65:$AZ$65&lt;&gt;"")*IF(((UPPER($AS$65:$AZ$65)="BLANK")+(UPPER($AS$65:$AZ$65)="(BLANK)")+(UPPER($AS$65:$AZ$65)="EMPTY")+(UPPER($AS$65:$AZ$65)="(EMPTY)"))&gt;0,IFERROR(('Final Calculation Sheet'!$A$13)&amp;"","")="",ISNUMBER(SEARCH($AS$65:$AZ$65,IFERROR(('Final Calculation Sheet'!$A$13)&amp;"","")))))&gt;0),IF(COUNTIF($BI$65:$BP$65,4)=0,TRUE,SUMPRODUCT(($BI$65:$BP$65=4)*($AS$65:$AZ$65&lt;&gt;"")*IF(((UPPER($AS$65:$AZ$65)="BLANK")+(UPPER($AS$65:$AZ$65)="(BLANK)")+(UPPER($AS$65:$AZ$65)="EMPTY")+(UPPER($AS$65:$AZ$65)="(EMPTY)"))&gt;0,IFERROR(('Final Calculation Sheet'!$A$13)&amp;"","")="",ISNUMBER(SEARCH($AS$65:$AZ$65,IFERROR(('Final Calculation Sheet'!$A$13)&amp;"","")))))&gt;0),IF(COUNTIF($BI$65:$BP$65,5)=0,TRUE,SUMPRODUCT(($BI$65:$BP$65=5)*($AS$65:$AZ$65&lt;&gt;"")*IF(((UPPER($AS$65:$AZ$65)="BLANK")+(UPPER($AS$65:$AZ$65)="(BLANK)")+(UPPER($AS$65:$AZ$65)="EMPTY")+(UPPER($AS$65:$AZ$65)="(EMPTY)"))&gt;0,IFERROR(('Final Calculation Sheet'!$A$13)&amp;"","")="",ISNUMBER(SEARCH($AS$65:$AZ$65,IFERROR(('Final Calculation Sheet'!$A$13)&amp;"","")))))&gt;0),IF(COUNTIF($BI$65:$BP$65,6)=0,TRUE,SUMPRODUCT(($BI$65:$BP$65=6)*($AS$65:$AZ$65&lt;&gt;"")*IF(((UPPER($AS$65:$AZ$65)="BLANK")+(UPPER($AS$65:$AZ$65)="(BLANK)")+(UPPER($AS$65:$AZ$65)="EMPTY")+(UPPER($AS$65:$AZ$65)="(EMPTY)"))&gt;0,IFERROR(('Final Calculation Sheet'!$A$13)&amp;"","")="",ISNUMBER(SEARCH($AS$65:$AZ$65,IFERROR(('Final Calculation Sheet'!$A$13)&amp;"","")))))&gt;0),IF(COUNTIF($BI$65:$BP$65,7)=0,TRUE,SUMPRODUCT(($BI$65:$BP$65=7)*($AS$65:$AZ$65&lt;&gt;"")*IF(((UPPER($AS$65:$AZ$65)="BLANK")+(UPPER($AS$65:$AZ$65)="(BLANK)")+(UPPER($AS$65:$AZ$65)="EMPTY")+(UPPER($AS$65:$AZ$65)="(EMPTY)"))&gt;0,IFERROR(('Final Calculation Sheet'!$A$13)&amp;"","")="",ISNUMBER(SEARCH($AS$65:$AZ$65,IFERROR(('Final Calculation Sheet'!$A$13)&amp;"","")))))&gt;0),IF(COUNTIF($BI$65:$BP$65,8)=0,TRUE,SUMPRODUCT(($BI$65:$BP$65=8)*($AS$65:$AZ$65&lt;&gt;"")*IF(((UPPER($AS$65:$AZ$65)="BLANK")+(UPPER($AS$65:$AZ$65)="(BLANK)")+(UPPER($AS$65:$AZ$65)="EMPTY")+(UPPER($AS$65:$AZ$65)="(EMPTY)"))&gt;0,IFERROR(('Final Calculation Sheet'!$A$13)&amp;"","")="",ISNUMBER(SEARCH($AS$65:$AZ$65,IFERROR(('Final Calculation Sheet'!$A$13)&amp;"","")))))&gt;0))))</f>
        <v>1</v>
      </c>
      <c r="BS14">
        <f>IF($G$4="",1,--(AND(SUMPRODUCT(--($AS$66:$AZ$66&lt;&gt;""))&gt;0,IF(COUNTIF($BI$66:$BP$66,1)=0,TRUE,SUMPRODUCT(($BI$66:$BP$66=1)*($AS$66:$AZ$66&lt;&gt;"")*IF(((UPPER($AS$66:$AZ$66)="BLANK")+(UPPER($AS$66:$AZ$66)="(BLANK)")+(UPPER($AS$66:$AZ$66)="EMPTY")+(UPPER($AS$66:$AZ$66)="(EMPTY)"))&gt;0,IFERROR(('Final Calculation Sheet'!$E$13)&amp;"","")="",ISNUMBER(SEARCH($AS$66:$AZ$66,IFERROR(('Final Calculation Sheet'!$E$13)&amp;"","")))))&gt;0),IF(COUNTIF($BI$66:$BP$66,2)=0,TRUE,SUMPRODUCT(($BI$66:$BP$66=2)*($AS$66:$AZ$66&lt;&gt;"")*IF(((UPPER($AS$66:$AZ$66)="BLANK")+(UPPER($AS$66:$AZ$66)="(BLANK)")+(UPPER($AS$66:$AZ$66)="EMPTY")+(UPPER($AS$66:$AZ$66)="(EMPTY)"))&gt;0,IFERROR(('Final Calculation Sheet'!$E$13)&amp;"","")="",ISNUMBER(SEARCH($AS$66:$AZ$66,IFERROR(('Final Calculation Sheet'!$E$13)&amp;"","")))))&gt;0),IF(COUNTIF($BI$66:$BP$66,3)=0,TRUE,SUMPRODUCT(($BI$66:$BP$66=3)*($AS$66:$AZ$66&lt;&gt;"")*IF(((UPPER($AS$66:$AZ$66)="BLANK")+(UPPER($AS$66:$AZ$66)="(BLANK)")+(UPPER($AS$66:$AZ$66)="EMPTY")+(UPPER($AS$66:$AZ$66)="(EMPTY)"))&gt;0,IFERROR(('Final Calculation Sheet'!$E$13)&amp;"","")="",ISNUMBER(SEARCH($AS$66:$AZ$66,IFERROR(('Final Calculation Sheet'!$E$13)&amp;"","")))))&gt;0),IF(COUNTIF($BI$66:$BP$66,4)=0,TRUE,SUMPRODUCT(($BI$66:$BP$66=4)*($AS$66:$AZ$66&lt;&gt;"")*IF(((UPPER($AS$66:$AZ$66)="BLANK")+(UPPER($AS$66:$AZ$66)="(BLANK)")+(UPPER($AS$66:$AZ$66)="EMPTY")+(UPPER($AS$66:$AZ$66)="(EMPTY)"))&gt;0,IFERROR(('Final Calculation Sheet'!$E$13)&amp;"","")="",ISNUMBER(SEARCH($AS$66:$AZ$66,IFERROR(('Final Calculation Sheet'!$E$13)&amp;"","")))))&gt;0),IF(COUNTIF($BI$66:$BP$66,5)=0,TRUE,SUMPRODUCT(($BI$66:$BP$66=5)*($AS$66:$AZ$66&lt;&gt;"")*IF(((UPPER($AS$66:$AZ$66)="BLANK")+(UPPER($AS$66:$AZ$66)="(BLANK)")+(UPPER($AS$66:$AZ$66)="EMPTY")+(UPPER($AS$66:$AZ$66)="(EMPTY)"))&gt;0,IFERROR(('Final Calculation Sheet'!$E$13)&amp;"","")="",ISNUMBER(SEARCH($AS$66:$AZ$66,IFERROR(('Final Calculation Sheet'!$E$13)&amp;"","")))))&gt;0),IF(COUNTIF($BI$66:$BP$66,6)=0,TRUE,SUMPRODUCT(($BI$66:$BP$66=6)*($AS$66:$AZ$66&lt;&gt;"")*IF(((UPPER($AS$66:$AZ$66)="BLANK")+(UPPER($AS$66:$AZ$66)="(BLANK)")+(UPPER($AS$66:$AZ$66)="EMPTY")+(UPPER($AS$66:$AZ$66)="(EMPTY)"))&gt;0,IFERROR(('Final Calculation Sheet'!$E$13)&amp;"","")="",ISNUMBER(SEARCH($AS$66:$AZ$66,IFERROR(('Final Calculation Sheet'!$E$13)&amp;"","")))))&gt;0),IF(COUNTIF($BI$66:$BP$66,7)=0,TRUE,SUMPRODUCT(($BI$66:$BP$66=7)*($AS$66:$AZ$66&lt;&gt;"")*IF(((UPPER($AS$66:$AZ$66)="BLANK")+(UPPER($AS$66:$AZ$66)="(BLANK)")+(UPPER($AS$66:$AZ$66)="EMPTY")+(UPPER($AS$66:$AZ$66)="(EMPTY)"))&gt;0,IFERROR(('Final Calculation Sheet'!$E$13)&amp;"","")="",ISNUMBER(SEARCH($AS$66:$AZ$66,IFERROR(('Final Calculation Sheet'!$E$13)&amp;"","")))))&gt;0),IF(COUNTIF($BI$66:$BP$66,8)=0,TRUE,SUMPRODUCT(($BI$66:$BP$66=8)*($AS$66:$AZ$66&lt;&gt;"")*IF(((UPPER($AS$66:$AZ$66)="BLANK")+(UPPER($AS$66:$AZ$66)="(BLANK)")+(UPPER($AS$66:$AZ$66)="EMPTY")+(UPPER($AS$66:$AZ$66)="(EMPTY)"))&gt;0,IFERROR(('Final Calculation Sheet'!$E$13)&amp;"","")="",ISNUMBER(SEARCH($AS$66:$AZ$66,IFERROR(('Final Calculation Sheet'!$E$13)&amp;"","")))))&gt;0))))</f>
        <v>1</v>
      </c>
      <c r="BT14">
        <f>IF($H$4="",1,--(AND(SUMPRODUCT(--($AS$67:$AZ$67&lt;&gt;""))&gt;0,IF(COUNTIF($BI$67:$BP$67,1)=0,TRUE,SUMPRODUCT(($BI$67:$BP$67=1)*($AS$67:$AZ$67&lt;&gt;"")*IF(((UPPER($AS$67:$AZ$67)="BLANK")+(UPPER($AS$67:$AZ$67)="(BLANK)")+(UPPER($AS$67:$AZ$67)="EMPTY")+(UPPER($AS$67:$AZ$67)="(EMPTY)"))&gt;0,IFERROR(('Final Calculation Sheet'!$C$13)&amp;"","")="",ISNUMBER(SEARCH($AS$67:$AZ$67,IFERROR(('Final Calculation Sheet'!$C$13)&amp;"","")))))&gt;0),IF(COUNTIF($BI$67:$BP$67,2)=0,TRUE,SUMPRODUCT(($BI$67:$BP$67=2)*($AS$67:$AZ$67&lt;&gt;"")*IF(((UPPER($AS$67:$AZ$67)="BLANK")+(UPPER($AS$67:$AZ$67)="(BLANK)")+(UPPER($AS$67:$AZ$67)="EMPTY")+(UPPER($AS$67:$AZ$67)="(EMPTY)"))&gt;0,IFERROR(('Final Calculation Sheet'!$C$13)&amp;"","")="",ISNUMBER(SEARCH($AS$67:$AZ$67,IFERROR(('Final Calculation Sheet'!$C$13)&amp;"","")))))&gt;0),IF(COUNTIF($BI$67:$BP$67,3)=0,TRUE,SUMPRODUCT(($BI$67:$BP$67=3)*($AS$67:$AZ$67&lt;&gt;"")*IF(((UPPER($AS$67:$AZ$67)="BLANK")+(UPPER($AS$67:$AZ$67)="(BLANK)")+(UPPER($AS$67:$AZ$67)="EMPTY")+(UPPER($AS$67:$AZ$67)="(EMPTY)"))&gt;0,IFERROR(('Final Calculation Sheet'!$C$13)&amp;"","")="",ISNUMBER(SEARCH($AS$67:$AZ$67,IFERROR(('Final Calculation Sheet'!$C$13)&amp;"","")))))&gt;0),IF(COUNTIF($BI$67:$BP$67,4)=0,TRUE,SUMPRODUCT(($BI$67:$BP$67=4)*($AS$67:$AZ$67&lt;&gt;"")*IF(((UPPER($AS$67:$AZ$67)="BLANK")+(UPPER($AS$67:$AZ$67)="(BLANK)")+(UPPER($AS$67:$AZ$67)="EMPTY")+(UPPER($AS$67:$AZ$67)="(EMPTY)"))&gt;0,IFERROR(('Final Calculation Sheet'!$C$13)&amp;"","")="",ISNUMBER(SEARCH($AS$67:$AZ$67,IFERROR(('Final Calculation Sheet'!$C$13)&amp;"","")))))&gt;0),IF(COUNTIF($BI$67:$BP$67,5)=0,TRUE,SUMPRODUCT(($BI$67:$BP$67=5)*($AS$67:$AZ$67&lt;&gt;"")*IF(((UPPER($AS$67:$AZ$67)="BLANK")+(UPPER($AS$67:$AZ$67)="(BLANK)")+(UPPER($AS$67:$AZ$67)="EMPTY")+(UPPER($AS$67:$AZ$67)="(EMPTY)"))&gt;0,IFERROR(('Final Calculation Sheet'!$C$13)&amp;"","")="",ISNUMBER(SEARCH($AS$67:$AZ$67,IFERROR(('Final Calculation Sheet'!$C$13)&amp;"","")))))&gt;0),IF(COUNTIF($BI$67:$BP$67,6)=0,TRUE,SUMPRODUCT(($BI$67:$BP$67=6)*($AS$67:$AZ$67&lt;&gt;"")*IF(((UPPER($AS$67:$AZ$67)="BLANK")+(UPPER($AS$67:$AZ$67)="(BLANK)")+(UPPER($AS$67:$AZ$67)="EMPTY")+(UPPER($AS$67:$AZ$67)="(EMPTY)"))&gt;0,IFERROR(('Final Calculation Sheet'!$C$13)&amp;"","")="",ISNUMBER(SEARCH($AS$67:$AZ$67,IFERROR(('Final Calculation Sheet'!$C$13)&amp;"","")))))&gt;0),IF(COUNTIF($BI$67:$BP$67,7)=0,TRUE,SUMPRODUCT(($BI$67:$BP$67=7)*($AS$67:$AZ$67&lt;&gt;"")*IF(((UPPER($AS$67:$AZ$67)="BLANK")+(UPPER($AS$67:$AZ$67)="(BLANK)")+(UPPER($AS$67:$AZ$67)="EMPTY")+(UPPER($AS$67:$AZ$67)="(EMPTY)"))&gt;0,IFERROR(('Final Calculation Sheet'!$C$13)&amp;"","")="",ISNUMBER(SEARCH($AS$67:$AZ$67,IFERROR(('Final Calculation Sheet'!$C$13)&amp;"","")))))&gt;0),IF(COUNTIF($BI$67:$BP$67,8)=0,TRUE,SUMPRODUCT(($BI$67:$BP$67=8)*($AS$67:$AZ$67&lt;&gt;"")*IF(((UPPER($AS$67:$AZ$67)="BLANK")+(UPPER($AS$67:$AZ$67)="(BLANK)")+(UPPER($AS$67:$AZ$67)="EMPTY")+(UPPER($AS$67:$AZ$67)="(EMPTY)"))&gt;0,IFERROR(('Final Calculation Sheet'!$C$13)&amp;"","")="",ISNUMBER(SEARCH($AS$67:$AZ$67,IFERROR(('Final Calculation Sheet'!$C$13)&amp;"","")))))&gt;0))))</f>
        <v>1</v>
      </c>
      <c r="BU14">
        <f>IF($I$4="",1,--(AND(SUMPRODUCT(--($AS$68:$AZ$68&lt;&gt;""))&gt;0,IF(COUNTIF($BI$68:$BP$68,1)=0,TRUE,SUMPRODUCT(($BI$68:$BP$68=1)*($AS$68:$AZ$68&lt;&gt;"")*IF(((UPPER($AS$68:$AZ$68)="BLANK")+(UPPER($AS$68:$AZ$68)="(BLANK)")+(UPPER($AS$68:$AZ$68)="EMPTY")+(UPPER($AS$68:$AZ$68)="(EMPTY)"))&gt;0,IFERROR(('Final Calculation Sheet'!$H$13)&amp;"","")="",ISNUMBER(SEARCH($AS$68:$AZ$68,IFERROR(('Final Calculation Sheet'!$H$13)&amp;"","")))))&gt;0),IF(COUNTIF($BI$68:$BP$68,2)=0,TRUE,SUMPRODUCT(($BI$68:$BP$68=2)*($AS$68:$AZ$68&lt;&gt;"")*IF(((UPPER($AS$68:$AZ$68)="BLANK")+(UPPER($AS$68:$AZ$68)="(BLANK)")+(UPPER($AS$68:$AZ$68)="EMPTY")+(UPPER($AS$68:$AZ$68)="(EMPTY)"))&gt;0,IFERROR(('Final Calculation Sheet'!$H$13)&amp;"","")="",ISNUMBER(SEARCH($AS$68:$AZ$68,IFERROR(('Final Calculation Sheet'!$H$13)&amp;"","")))))&gt;0),IF(COUNTIF($BI$68:$BP$68,3)=0,TRUE,SUMPRODUCT(($BI$68:$BP$68=3)*($AS$68:$AZ$68&lt;&gt;"")*IF(((UPPER($AS$68:$AZ$68)="BLANK")+(UPPER($AS$68:$AZ$68)="(BLANK)")+(UPPER($AS$68:$AZ$68)="EMPTY")+(UPPER($AS$68:$AZ$68)="(EMPTY)"))&gt;0,IFERROR(('Final Calculation Sheet'!$H$13)&amp;"","")="",ISNUMBER(SEARCH($AS$68:$AZ$68,IFERROR(('Final Calculation Sheet'!$H$13)&amp;"","")))))&gt;0),IF(COUNTIF($BI$68:$BP$68,4)=0,TRUE,SUMPRODUCT(($BI$68:$BP$68=4)*($AS$68:$AZ$68&lt;&gt;"")*IF(((UPPER($AS$68:$AZ$68)="BLANK")+(UPPER($AS$68:$AZ$68)="(BLANK)")+(UPPER($AS$68:$AZ$68)="EMPTY")+(UPPER($AS$68:$AZ$68)="(EMPTY)"))&gt;0,IFERROR(('Final Calculation Sheet'!$H$13)&amp;"","")="",ISNUMBER(SEARCH($AS$68:$AZ$68,IFERROR(('Final Calculation Sheet'!$H$13)&amp;"","")))))&gt;0),IF(COUNTIF($BI$68:$BP$68,5)=0,TRUE,SUMPRODUCT(($BI$68:$BP$68=5)*($AS$68:$AZ$68&lt;&gt;"")*IF(((UPPER($AS$68:$AZ$68)="BLANK")+(UPPER($AS$68:$AZ$68)="(BLANK)")+(UPPER($AS$68:$AZ$68)="EMPTY")+(UPPER($AS$68:$AZ$68)="(EMPTY)"))&gt;0,IFERROR(('Final Calculation Sheet'!$H$13)&amp;"","")="",ISNUMBER(SEARCH($AS$68:$AZ$68,IFERROR(('Final Calculation Sheet'!$H$13)&amp;"","")))))&gt;0),IF(COUNTIF($BI$68:$BP$68,6)=0,TRUE,SUMPRODUCT(($BI$68:$BP$68=6)*($AS$68:$AZ$68&lt;&gt;"")*IF(((UPPER($AS$68:$AZ$68)="BLANK")+(UPPER($AS$68:$AZ$68)="(BLANK)")+(UPPER($AS$68:$AZ$68)="EMPTY")+(UPPER($AS$68:$AZ$68)="(EMPTY)"))&gt;0,IFERROR(('Final Calculation Sheet'!$H$13)&amp;"","")="",ISNUMBER(SEARCH($AS$68:$AZ$68,IFERROR(('Final Calculation Sheet'!$H$13)&amp;"","")))))&gt;0),IF(COUNTIF($BI$68:$BP$68,7)=0,TRUE,SUMPRODUCT(($BI$68:$BP$68=7)*($AS$68:$AZ$68&lt;&gt;"")*IF(((UPPER($AS$68:$AZ$68)="BLANK")+(UPPER($AS$68:$AZ$68)="(BLANK)")+(UPPER($AS$68:$AZ$68)="EMPTY")+(UPPER($AS$68:$AZ$68)="(EMPTY)"))&gt;0,IFERROR(('Final Calculation Sheet'!$H$13)&amp;"","")="",ISNUMBER(SEARCH($AS$68:$AZ$68,IFERROR(('Final Calculation Sheet'!$H$13)&amp;"","")))))&gt;0),IF(COUNTIF($BI$68:$BP$68,8)=0,TRUE,SUMPRODUCT(($BI$68:$BP$68=8)*($AS$68:$AZ$68&lt;&gt;"")*IF(((UPPER($AS$68:$AZ$68)="BLANK")+(UPPER($AS$68:$AZ$68)="(BLANK)")+(UPPER($AS$68:$AZ$68)="EMPTY")+(UPPER($AS$68:$AZ$68)="(EMPTY)"))&gt;0,IFERROR(('Final Calculation Sheet'!$H$13)&amp;"","")="",ISNUMBER(SEARCH($AS$68:$AZ$68,IFERROR(('Final Calculation Sheet'!$H$13)&amp;"","")))))&gt;0))))</f>
        <v>1</v>
      </c>
      <c r="BV14">
        <f>IF($J$4="",1,--(AND(SUMPRODUCT(--($AS$69:$AZ$69&lt;&gt;""))&gt;0,IF(COUNTIF($BI$69:$BP$69,1)=0,TRUE,SUMPRODUCT(($BI$69:$BP$69=1)*($AS$69:$AZ$69&lt;&gt;"")*IF(((UPPER($AS$69:$AZ$69)="BLANK")+(UPPER($AS$69:$AZ$69)="(BLANK)")+(UPPER($AS$69:$AZ$69)="EMPTY")+(UPPER($AS$69:$AZ$69)="(EMPTY)"))&gt;0,IFERROR(('Final Calculation Sheet'!$I$13)&amp;"","")="",ISNUMBER(SEARCH($AS$69:$AZ$69,IFERROR(('Final Calculation Sheet'!$I$13)&amp;"","")))))&gt;0),IF(COUNTIF($BI$69:$BP$69,2)=0,TRUE,SUMPRODUCT(($BI$69:$BP$69=2)*($AS$69:$AZ$69&lt;&gt;"")*IF(((UPPER($AS$69:$AZ$69)="BLANK")+(UPPER($AS$69:$AZ$69)="(BLANK)")+(UPPER($AS$69:$AZ$69)="EMPTY")+(UPPER($AS$69:$AZ$69)="(EMPTY)"))&gt;0,IFERROR(('Final Calculation Sheet'!$I$13)&amp;"","")="",ISNUMBER(SEARCH($AS$69:$AZ$69,IFERROR(('Final Calculation Sheet'!$I$13)&amp;"","")))))&gt;0),IF(COUNTIF($BI$69:$BP$69,3)=0,TRUE,SUMPRODUCT(($BI$69:$BP$69=3)*($AS$69:$AZ$69&lt;&gt;"")*IF(((UPPER($AS$69:$AZ$69)="BLANK")+(UPPER($AS$69:$AZ$69)="(BLANK)")+(UPPER($AS$69:$AZ$69)="EMPTY")+(UPPER($AS$69:$AZ$69)="(EMPTY)"))&gt;0,IFERROR(('Final Calculation Sheet'!$I$13)&amp;"","")="",ISNUMBER(SEARCH($AS$69:$AZ$69,IFERROR(('Final Calculation Sheet'!$I$13)&amp;"","")))))&gt;0),IF(COUNTIF($BI$69:$BP$69,4)=0,TRUE,SUMPRODUCT(($BI$69:$BP$69=4)*($AS$69:$AZ$69&lt;&gt;"")*IF(((UPPER($AS$69:$AZ$69)="BLANK")+(UPPER($AS$69:$AZ$69)="(BLANK)")+(UPPER($AS$69:$AZ$69)="EMPTY")+(UPPER($AS$69:$AZ$69)="(EMPTY)"))&gt;0,IFERROR(('Final Calculation Sheet'!$I$13)&amp;"","")="",ISNUMBER(SEARCH($AS$69:$AZ$69,IFERROR(('Final Calculation Sheet'!$I$13)&amp;"","")))))&gt;0),IF(COUNTIF($BI$69:$BP$69,5)=0,TRUE,SUMPRODUCT(($BI$69:$BP$69=5)*($AS$69:$AZ$69&lt;&gt;"")*IF(((UPPER($AS$69:$AZ$69)="BLANK")+(UPPER($AS$69:$AZ$69)="(BLANK)")+(UPPER($AS$69:$AZ$69)="EMPTY")+(UPPER($AS$69:$AZ$69)="(EMPTY)"))&gt;0,IFERROR(('Final Calculation Sheet'!$I$13)&amp;"","")="",ISNUMBER(SEARCH($AS$69:$AZ$69,IFERROR(('Final Calculation Sheet'!$I$13)&amp;"","")))))&gt;0),IF(COUNTIF($BI$69:$BP$69,6)=0,TRUE,SUMPRODUCT(($BI$69:$BP$69=6)*($AS$69:$AZ$69&lt;&gt;"")*IF(((UPPER($AS$69:$AZ$69)="BLANK")+(UPPER($AS$69:$AZ$69)="(BLANK)")+(UPPER($AS$69:$AZ$69)="EMPTY")+(UPPER($AS$69:$AZ$69)="(EMPTY)"))&gt;0,IFERROR(('Final Calculation Sheet'!$I$13)&amp;"","")="",ISNUMBER(SEARCH($AS$69:$AZ$69,IFERROR(('Final Calculation Sheet'!$I$13)&amp;"","")))))&gt;0),IF(COUNTIF($BI$69:$BP$69,7)=0,TRUE,SUMPRODUCT(($BI$69:$BP$69=7)*($AS$69:$AZ$69&lt;&gt;"")*IF(((UPPER($AS$69:$AZ$69)="BLANK")+(UPPER($AS$69:$AZ$69)="(BLANK)")+(UPPER($AS$69:$AZ$69)="EMPTY")+(UPPER($AS$69:$AZ$69)="(EMPTY)"))&gt;0,IFERROR(('Final Calculation Sheet'!$I$13)&amp;"","")="",ISNUMBER(SEARCH($AS$69:$AZ$69,IFERROR(('Final Calculation Sheet'!$I$13)&amp;"","")))))&gt;0),IF(COUNTIF($BI$69:$BP$69,8)=0,TRUE,SUMPRODUCT(($BI$69:$BP$69=8)*($AS$69:$AZ$69&lt;&gt;"")*IF(((UPPER($AS$69:$AZ$69)="BLANK")+(UPPER($AS$69:$AZ$69)="(BLANK)")+(UPPER($AS$69:$AZ$69)="EMPTY")+(UPPER($AS$69:$AZ$69)="(EMPTY)"))&gt;0,IFERROR(('Final Calculation Sheet'!$I$13)&amp;"","")="",ISNUMBER(SEARCH($AS$69:$AZ$69,IFERROR(('Final Calculation Sheet'!$I$13)&amp;"","")))))&gt;0))))</f>
        <v>1</v>
      </c>
      <c r="BW14">
        <f>IF($K$4="",1,--(AND(SUMPRODUCT(--($AS$70:$AZ$70&lt;&gt;""))&gt;0,IF(COUNTIF($BI$70:$BP$70,1)=0,TRUE,SUMPRODUCT(($BI$70:$BP$70=1)*($AS$70:$AZ$70&lt;&gt;"")*IF(((UPPER($AS$70:$AZ$70)="BLANK")+(UPPER($AS$70:$AZ$70)="(BLANK)")+(UPPER($AS$70:$AZ$70)="EMPTY")+(UPPER($AS$70:$AZ$70)="(EMPTY)"))&gt;0,IFERROR(('Final Calculation Sheet'!$J$13)&amp;"","")="",ISNUMBER(SEARCH($AS$70:$AZ$70,IFERROR(('Final Calculation Sheet'!$J$13)&amp;"","")))))&gt;0),IF(COUNTIF($BI$70:$BP$70,2)=0,TRUE,SUMPRODUCT(($BI$70:$BP$70=2)*($AS$70:$AZ$70&lt;&gt;"")*IF(((UPPER($AS$70:$AZ$70)="BLANK")+(UPPER($AS$70:$AZ$70)="(BLANK)")+(UPPER($AS$70:$AZ$70)="EMPTY")+(UPPER($AS$70:$AZ$70)="(EMPTY)"))&gt;0,IFERROR(('Final Calculation Sheet'!$J$13)&amp;"","")="",ISNUMBER(SEARCH($AS$70:$AZ$70,IFERROR(('Final Calculation Sheet'!$J$13)&amp;"","")))))&gt;0),IF(COUNTIF($BI$70:$BP$70,3)=0,TRUE,SUMPRODUCT(($BI$70:$BP$70=3)*($AS$70:$AZ$70&lt;&gt;"")*IF(((UPPER($AS$70:$AZ$70)="BLANK")+(UPPER($AS$70:$AZ$70)="(BLANK)")+(UPPER($AS$70:$AZ$70)="EMPTY")+(UPPER($AS$70:$AZ$70)="(EMPTY)"))&gt;0,IFERROR(('Final Calculation Sheet'!$J$13)&amp;"","")="",ISNUMBER(SEARCH($AS$70:$AZ$70,IFERROR(('Final Calculation Sheet'!$J$13)&amp;"","")))))&gt;0),IF(COUNTIF($BI$70:$BP$70,4)=0,TRUE,SUMPRODUCT(($BI$70:$BP$70=4)*($AS$70:$AZ$70&lt;&gt;"")*IF(((UPPER($AS$70:$AZ$70)="BLANK")+(UPPER($AS$70:$AZ$70)="(BLANK)")+(UPPER($AS$70:$AZ$70)="EMPTY")+(UPPER($AS$70:$AZ$70)="(EMPTY)"))&gt;0,IFERROR(('Final Calculation Sheet'!$J$13)&amp;"","")="",ISNUMBER(SEARCH($AS$70:$AZ$70,IFERROR(('Final Calculation Sheet'!$J$13)&amp;"","")))))&gt;0),IF(COUNTIF($BI$70:$BP$70,5)=0,TRUE,SUMPRODUCT(($BI$70:$BP$70=5)*($AS$70:$AZ$70&lt;&gt;"")*IF(((UPPER($AS$70:$AZ$70)="BLANK")+(UPPER($AS$70:$AZ$70)="(BLANK)")+(UPPER($AS$70:$AZ$70)="EMPTY")+(UPPER($AS$70:$AZ$70)="(EMPTY)"))&gt;0,IFERROR(('Final Calculation Sheet'!$J$13)&amp;"","")="",ISNUMBER(SEARCH($AS$70:$AZ$70,IFERROR(('Final Calculation Sheet'!$J$13)&amp;"","")))))&gt;0),IF(COUNTIF($BI$70:$BP$70,6)=0,TRUE,SUMPRODUCT(($BI$70:$BP$70=6)*($AS$70:$AZ$70&lt;&gt;"")*IF(((UPPER($AS$70:$AZ$70)="BLANK")+(UPPER($AS$70:$AZ$70)="(BLANK)")+(UPPER($AS$70:$AZ$70)="EMPTY")+(UPPER($AS$70:$AZ$70)="(EMPTY)"))&gt;0,IFERROR(('Final Calculation Sheet'!$J$13)&amp;"","")="",ISNUMBER(SEARCH($AS$70:$AZ$70,IFERROR(('Final Calculation Sheet'!$J$13)&amp;"","")))))&gt;0),IF(COUNTIF($BI$70:$BP$70,7)=0,TRUE,SUMPRODUCT(($BI$70:$BP$70=7)*($AS$70:$AZ$70&lt;&gt;"")*IF(((UPPER($AS$70:$AZ$70)="BLANK")+(UPPER($AS$70:$AZ$70)="(BLANK)")+(UPPER($AS$70:$AZ$70)="EMPTY")+(UPPER($AS$70:$AZ$70)="(EMPTY)"))&gt;0,IFERROR(('Final Calculation Sheet'!$J$13)&amp;"","")="",ISNUMBER(SEARCH($AS$70:$AZ$70,IFERROR(('Final Calculation Sheet'!$J$13)&amp;"","")))))&gt;0),IF(COUNTIF($BI$70:$BP$70,8)=0,TRUE,SUMPRODUCT(($BI$70:$BP$70=8)*($AS$70:$AZ$70&lt;&gt;"")*IF(((UPPER($AS$70:$AZ$70)="BLANK")+(UPPER($AS$70:$AZ$70)="(BLANK)")+(UPPER($AS$70:$AZ$70)="EMPTY")+(UPPER($AS$70:$AZ$70)="(EMPTY)"))&gt;0,IFERROR(('Final Calculation Sheet'!$J$13)&amp;"","")="",ISNUMBER(SEARCH($AS$70:$AZ$70,IFERROR(('Final Calculation Sheet'!$J$13)&amp;"","")))))&gt;0))))</f>
        <v>1</v>
      </c>
      <c r="BX14">
        <f>IF($L$4="",1,--(AND(SUMPRODUCT(--($AS$71:$AZ$71&lt;&gt;""))&gt;0,IF(COUNTIF($BI$71:$BP$71,1)=0,TRUE,SUMPRODUCT(($BI$71:$BP$71=1)*($AS$71:$AZ$71&lt;&gt;"")*IF(((UPPER($AS$71:$AZ$71)="BLANK")+(UPPER($AS$71:$AZ$71)="(BLANK)")+(UPPER($AS$71:$AZ$71)="EMPTY")+(UPPER($AS$71:$AZ$71)="(EMPTY)"))&gt;0,IFERROR(('Final Calculation Sheet'!$K$13)&amp;"","")="",ISNUMBER(SEARCH($AS$71:$AZ$71,IFERROR(('Final Calculation Sheet'!$K$13)&amp;"","")))))&gt;0),IF(COUNTIF($BI$71:$BP$71,2)=0,TRUE,SUMPRODUCT(($BI$71:$BP$71=2)*($AS$71:$AZ$71&lt;&gt;"")*IF(((UPPER($AS$71:$AZ$71)="BLANK")+(UPPER($AS$71:$AZ$71)="(BLANK)")+(UPPER($AS$71:$AZ$71)="EMPTY")+(UPPER($AS$71:$AZ$71)="(EMPTY)"))&gt;0,IFERROR(('Final Calculation Sheet'!$K$13)&amp;"","")="",ISNUMBER(SEARCH($AS$71:$AZ$71,IFERROR(('Final Calculation Sheet'!$K$13)&amp;"","")))))&gt;0),IF(COUNTIF($BI$71:$BP$71,3)=0,TRUE,SUMPRODUCT(($BI$71:$BP$71=3)*($AS$71:$AZ$71&lt;&gt;"")*IF(((UPPER($AS$71:$AZ$71)="BLANK")+(UPPER($AS$71:$AZ$71)="(BLANK)")+(UPPER($AS$71:$AZ$71)="EMPTY")+(UPPER($AS$71:$AZ$71)="(EMPTY)"))&gt;0,IFERROR(('Final Calculation Sheet'!$K$13)&amp;"","")="",ISNUMBER(SEARCH($AS$71:$AZ$71,IFERROR(('Final Calculation Sheet'!$K$13)&amp;"","")))))&gt;0),IF(COUNTIF($BI$71:$BP$71,4)=0,TRUE,SUMPRODUCT(($BI$71:$BP$71=4)*($AS$71:$AZ$71&lt;&gt;"")*IF(((UPPER($AS$71:$AZ$71)="BLANK")+(UPPER($AS$71:$AZ$71)="(BLANK)")+(UPPER($AS$71:$AZ$71)="EMPTY")+(UPPER($AS$71:$AZ$71)="(EMPTY)"))&gt;0,IFERROR(('Final Calculation Sheet'!$K$13)&amp;"","")="",ISNUMBER(SEARCH($AS$71:$AZ$71,IFERROR(('Final Calculation Sheet'!$K$13)&amp;"","")))))&gt;0),IF(COUNTIF($BI$71:$BP$71,5)=0,TRUE,SUMPRODUCT(($BI$71:$BP$71=5)*($AS$71:$AZ$71&lt;&gt;"")*IF(((UPPER($AS$71:$AZ$71)="BLANK")+(UPPER($AS$71:$AZ$71)="(BLANK)")+(UPPER($AS$71:$AZ$71)="EMPTY")+(UPPER($AS$71:$AZ$71)="(EMPTY)"))&gt;0,IFERROR(('Final Calculation Sheet'!$K$13)&amp;"","")="",ISNUMBER(SEARCH($AS$71:$AZ$71,IFERROR(('Final Calculation Sheet'!$K$13)&amp;"","")))))&gt;0),IF(COUNTIF($BI$71:$BP$71,6)=0,TRUE,SUMPRODUCT(($BI$71:$BP$71=6)*($AS$71:$AZ$71&lt;&gt;"")*IF(((UPPER($AS$71:$AZ$71)="BLANK")+(UPPER($AS$71:$AZ$71)="(BLANK)")+(UPPER($AS$71:$AZ$71)="EMPTY")+(UPPER($AS$71:$AZ$71)="(EMPTY)"))&gt;0,IFERROR(('Final Calculation Sheet'!$K$13)&amp;"","")="",ISNUMBER(SEARCH($AS$71:$AZ$71,IFERROR(('Final Calculation Sheet'!$K$13)&amp;"","")))))&gt;0),IF(COUNTIF($BI$71:$BP$71,7)=0,TRUE,SUMPRODUCT(($BI$71:$BP$71=7)*($AS$71:$AZ$71&lt;&gt;"")*IF(((UPPER($AS$71:$AZ$71)="BLANK")+(UPPER($AS$71:$AZ$71)="(BLANK)")+(UPPER($AS$71:$AZ$71)="EMPTY")+(UPPER($AS$71:$AZ$71)="(EMPTY)"))&gt;0,IFERROR(('Final Calculation Sheet'!$K$13)&amp;"","")="",ISNUMBER(SEARCH($AS$71:$AZ$71,IFERROR(('Final Calculation Sheet'!$K$13)&amp;"","")))))&gt;0),IF(COUNTIF($BI$71:$BP$71,8)=0,TRUE,SUMPRODUCT(($BI$71:$BP$71=8)*($AS$71:$AZ$71&lt;&gt;"")*IF(((UPPER($AS$71:$AZ$71)="BLANK")+(UPPER($AS$71:$AZ$71)="(BLANK)")+(UPPER($AS$71:$AZ$71)="EMPTY")+(UPPER($AS$71:$AZ$71)="(EMPTY)"))&gt;0,IFERROR(('Final Calculation Sheet'!$K$13)&amp;"","")="",ISNUMBER(SEARCH($AS$71:$AZ$71,IFERROR(('Final Calculation Sheet'!$K$13)&amp;"","")))))&gt;0))))</f>
        <v>1</v>
      </c>
      <c r="BY14">
        <f>IF($M$4="",1,--(AND(SUMPRODUCT(--($AS$72:$AZ$72&lt;&gt;""))&gt;0,IF(COUNTIF($BI$72:$BP$72,1)=0,TRUE,SUMPRODUCT(($BI$72:$BP$72=1)*($AS$72:$AZ$72&lt;&gt;"")*IF(((UPPER($AS$72:$AZ$72)="BLANK")+(UPPER($AS$72:$AZ$72)="(BLANK)")+(UPPER($AS$72:$AZ$72)="EMPTY")+(UPPER($AS$72:$AZ$72)="(EMPTY)"))&gt;0,IFERROR(('Final Calculation Sheet'!$L$13)&amp;"","")="",ISNUMBER(SEARCH($AS$72:$AZ$72,IFERROR(('Final Calculation Sheet'!$L$13)&amp;"","")))))&gt;0),IF(COUNTIF($BI$72:$BP$72,2)=0,TRUE,SUMPRODUCT(($BI$72:$BP$72=2)*($AS$72:$AZ$72&lt;&gt;"")*IF(((UPPER($AS$72:$AZ$72)="BLANK")+(UPPER($AS$72:$AZ$72)="(BLANK)")+(UPPER($AS$72:$AZ$72)="EMPTY")+(UPPER($AS$72:$AZ$72)="(EMPTY)"))&gt;0,IFERROR(('Final Calculation Sheet'!$L$13)&amp;"","")="",ISNUMBER(SEARCH($AS$72:$AZ$72,IFERROR(('Final Calculation Sheet'!$L$13)&amp;"","")))))&gt;0),IF(COUNTIF($BI$72:$BP$72,3)=0,TRUE,SUMPRODUCT(($BI$72:$BP$72=3)*($AS$72:$AZ$72&lt;&gt;"")*IF(((UPPER($AS$72:$AZ$72)="BLANK")+(UPPER($AS$72:$AZ$72)="(BLANK)")+(UPPER($AS$72:$AZ$72)="EMPTY")+(UPPER($AS$72:$AZ$72)="(EMPTY)"))&gt;0,IFERROR(('Final Calculation Sheet'!$L$13)&amp;"","")="",ISNUMBER(SEARCH($AS$72:$AZ$72,IFERROR(('Final Calculation Sheet'!$L$13)&amp;"","")))))&gt;0),IF(COUNTIF($BI$72:$BP$72,4)=0,TRUE,SUMPRODUCT(($BI$72:$BP$72=4)*($AS$72:$AZ$72&lt;&gt;"")*IF(((UPPER($AS$72:$AZ$72)="BLANK")+(UPPER($AS$72:$AZ$72)="(BLANK)")+(UPPER($AS$72:$AZ$72)="EMPTY")+(UPPER($AS$72:$AZ$72)="(EMPTY)"))&gt;0,IFERROR(('Final Calculation Sheet'!$L$13)&amp;"","")="",ISNUMBER(SEARCH($AS$72:$AZ$72,IFERROR(('Final Calculation Sheet'!$L$13)&amp;"","")))))&gt;0),IF(COUNTIF($BI$72:$BP$72,5)=0,TRUE,SUMPRODUCT(($BI$72:$BP$72=5)*($AS$72:$AZ$72&lt;&gt;"")*IF(((UPPER($AS$72:$AZ$72)="BLANK")+(UPPER($AS$72:$AZ$72)="(BLANK)")+(UPPER($AS$72:$AZ$72)="EMPTY")+(UPPER($AS$72:$AZ$72)="(EMPTY)"))&gt;0,IFERROR(('Final Calculation Sheet'!$L$13)&amp;"","")="",ISNUMBER(SEARCH($AS$72:$AZ$72,IFERROR(('Final Calculation Sheet'!$L$13)&amp;"","")))))&gt;0),IF(COUNTIF($BI$72:$BP$72,6)=0,TRUE,SUMPRODUCT(($BI$72:$BP$72=6)*($AS$72:$AZ$72&lt;&gt;"")*IF(((UPPER($AS$72:$AZ$72)="BLANK")+(UPPER($AS$72:$AZ$72)="(BLANK)")+(UPPER($AS$72:$AZ$72)="EMPTY")+(UPPER($AS$72:$AZ$72)="(EMPTY)"))&gt;0,IFERROR(('Final Calculation Sheet'!$L$13)&amp;"","")="",ISNUMBER(SEARCH($AS$72:$AZ$72,IFERROR(('Final Calculation Sheet'!$L$13)&amp;"","")))))&gt;0),IF(COUNTIF($BI$72:$BP$72,7)=0,TRUE,SUMPRODUCT(($BI$72:$BP$72=7)*($AS$72:$AZ$72&lt;&gt;"")*IF(((UPPER($AS$72:$AZ$72)="BLANK")+(UPPER($AS$72:$AZ$72)="(BLANK)")+(UPPER($AS$72:$AZ$72)="EMPTY")+(UPPER($AS$72:$AZ$72)="(EMPTY)"))&gt;0,IFERROR(('Final Calculation Sheet'!$L$13)&amp;"","")="",ISNUMBER(SEARCH($AS$72:$AZ$72,IFERROR(('Final Calculation Sheet'!$L$13)&amp;"","")))))&gt;0),IF(COUNTIF($BI$72:$BP$72,8)=0,TRUE,SUMPRODUCT(($BI$72:$BP$72=8)*($AS$72:$AZ$72&lt;&gt;"")*IF(((UPPER($AS$72:$AZ$72)="BLANK")+(UPPER($AS$72:$AZ$72)="(BLANK)")+(UPPER($AS$72:$AZ$72)="EMPTY")+(UPPER($AS$72:$AZ$72)="(EMPTY)"))&gt;0,IFERROR(('Final Calculation Sheet'!$L$13)&amp;"","")="",ISNUMBER(SEARCH($AS$72:$AZ$72,IFERROR(('Final Calculation Sheet'!$L$13)&amp;"","")))))&gt;0))))</f>
        <v>1</v>
      </c>
      <c r="BZ14">
        <f>IF($N$4="",1,--(AND(SUMPRODUCT(--($AS$73:$AZ$73&lt;&gt;""))&gt;0,IF(COUNTIF($BI$73:$BP$73,1)=0,TRUE,SUMPRODUCT(($BI$73:$BP$73=1)*($AS$73:$AZ$73&lt;&gt;"")*IF(((UPPER($AS$73:$AZ$73)="BLANK")+(UPPER($AS$73:$AZ$73)="(BLANK)")+(UPPER($AS$73:$AZ$73)="EMPTY")+(UPPER($AS$73:$AZ$73)="(EMPTY)"))&gt;0,IFERROR(('Final Calculation Sheet'!$M$13)&amp;"","")="",ISNUMBER(SEARCH($AS$73:$AZ$73,IFERROR(('Final Calculation Sheet'!$M$13)&amp;"","")))))&gt;0),IF(COUNTIF($BI$73:$BP$73,2)=0,TRUE,SUMPRODUCT(($BI$73:$BP$73=2)*($AS$73:$AZ$73&lt;&gt;"")*IF(((UPPER($AS$73:$AZ$73)="BLANK")+(UPPER($AS$73:$AZ$73)="(BLANK)")+(UPPER($AS$73:$AZ$73)="EMPTY")+(UPPER($AS$73:$AZ$73)="(EMPTY)"))&gt;0,IFERROR(('Final Calculation Sheet'!$M$13)&amp;"","")="",ISNUMBER(SEARCH($AS$73:$AZ$73,IFERROR(('Final Calculation Sheet'!$M$13)&amp;"","")))))&gt;0),IF(COUNTIF($BI$73:$BP$73,3)=0,TRUE,SUMPRODUCT(($BI$73:$BP$73=3)*($AS$73:$AZ$73&lt;&gt;"")*IF(((UPPER($AS$73:$AZ$73)="BLANK")+(UPPER($AS$73:$AZ$73)="(BLANK)")+(UPPER($AS$73:$AZ$73)="EMPTY")+(UPPER($AS$73:$AZ$73)="(EMPTY)"))&gt;0,IFERROR(('Final Calculation Sheet'!$M$13)&amp;"","")="",ISNUMBER(SEARCH($AS$73:$AZ$73,IFERROR(('Final Calculation Sheet'!$M$13)&amp;"","")))))&gt;0),IF(COUNTIF($BI$73:$BP$73,4)=0,TRUE,SUMPRODUCT(($BI$73:$BP$73=4)*($AS$73:$AZ$73&lt;&gt;"")*IF(((UPPER($AS$73:$AZ$73)="BLANK")+(UPPER($AS$73:$AZ$73)="(BLANK)")+(UPPER($AS$73:$AZ$73)="EMPTY")+(UPPER($AS$73:$AZ$73)="(EMPTY)"))&gt;0,IFERROR(('Final Calculation Sheet'!$M$13)&amp;"","")="",ISNUMBER(SEARCH($AS$73:$AZ$73,IFERROR(('Final Calculation Sheet'!$M$13)&amp;"","")))))&gt;0),IF(COUNTIF($BI$73:$BP$73,5)=0,TRUE,SUMPRODUCT(($BI$73:$BP$73=5)*($AS$73:$AZ$73&lt;&gt;"")*IF(((UPPER($AS$73:$AZ$73)="BLANK")+(UPPER($AS$73:$AZ$73)="(BLANK)")+(UPPER($AS$73:$AZ$73)="EMPTY")+(UPPER($AS$73:$AZ$73)="(EMPTY)"))&gt;0,IFERROR(('Final Calculation Sheet'!$M$13)&amp;"","")="",ISNUMBER(SEARCH($AS$73:$AZ$73,IFERROR(('Final Calculation Sheet'!$M$13)&amp;"","")))))&gt;0),IF(COUNTIF($BI$73:$BP$73,6)=0,TRUE,SUMPRODUCT(($BI$73:$BP$73=6)*($AS$73:$AZ$73&lt;&gt;"")*IF(((UPPER($AS$73:$AZ$73)="BLANK")+(UPPER($AS$73:$AZ$73)="(BLANK)")+(UPPER($AS$73:$AZ$73)="EMPTY")+(UPPER($AS$73:$AZ$73)="(EMPTY)"))&gt;0,IFERROR(('Final Calculation Sheet'!$M$13)&amp;"","")="",ISNUMBER(SEARCH($AS$73:$AZ$73,IFERROR(('Final Calculation Sheet'!$M$13)&amp;"","")))))&gt;0),IF(COUNTIF($BI$73:$BP$73,7)=0,TRUE,SUMPRODUCT(($BI$73:$BP$73=7)*($AS$73:$AZ$73&lt;&gt;"")*IF(((UPPER($AS$73:$AZ$73)="BLANK")+(UPPER($AS$73:$AZ$73)="(BLANK)")+(UPPER($AS$73:$AZ$73)="EMPTY")+(UPPER($AS$73:$AZ$73)="(EMPTY)"))&gt;0,IFERROR(('Final Calculation Sheet'!$M$13)&amp;"","")="",ISNUMBER(SEARCH($AS$73:$AZ$73,IFERROR(('Final Calculation Sheet'!$M$13)&amp;"","")))))&gt;0),IF(COUNTIF($BI$73:$BP$73,8)=0,TRUE,SUMPRODUCT(($BI$73:$BP$73=8)*($AS$73:$AZ$73&lt;&gt;"")*IF(((UPPER($AS$73:$AZ$73)="BLANK")+(UPPER($AS$73:$AZ$73)="(BLANK)")+(UPPER($AS$73:$AZ$73)="EMPTY")+(UPPER($AS$73:$AZ$73)="(EMPTY)"))&gt;0,IFERROR(('Final Calculation Sheet'!$M$13)&amp;"","")="",ISNUMBER(SEARCH($AS$73:$AZ$73,IFERROR(('Final Calculation Sheet'!$M$13)&amp;"","")))))&gt;0))))</f>
        <v>1</v>
      </c>
      <c r="CA14">
        <f>IF($O$4="",1,--(AND(SUMPRODUCT(--($AS$74:$AZ$74&lt;&gt;""))&gt;0,IF(COUNTIF($BI$74:$BP$74,1)=0,TRUE,SUMPRODUCT(($BI$74:$BP$74=1)*($AS$74:$AZ$74&lt;&gt;"")*IF(((UPPER($AS$74:$AZ$74)="BLANK")+(UPPER($AS$74:$AZ$74)="(BLANK)")+(UPPER($AS$74:$AZ$74)="EMPTY")+(UPPER($AS$74:$AZ$74)="(EMPTY)"))&gt;0,IFERROR(('Final Calculation Sheet'!$N$13)&amp;"","")="",ISNUMBER(SEARCH($AS$74:$AZ$74,IFERROR(('Final Calculation Sheet'!$N$13)&amp;"","")))))&gt;0),IF(COUNTIF($BI$74:$BP$74,2)=0,TRUE,SUMPRODUCT(($BI$74:$BP$74=2)*($AS$74:$AZ$74&lt;&gt;"")*IF(((UPPER($AS$74:$AZ$74)="BLANK")+(UPPER($AS$74:$AZ$74)="(BLANK)")+(UPPER($AS$74:$AZ$74)="EMPTY")+(UPPER($AS$74:$AZ$74)="(EMPTY)"))&gt;0,IFERROR(('Final Calculation Sheet'!$N$13)&amp;"","")="",ISNUMBER(SEARCH($AS$74:$AZ$74,IFERROR(('Final Calculation Sheet'!$N$13)&amp;"","")))))&gt;0),IF(COUNTIF($BI$74:$BP$74,3)=0,TRUE,SUMPRODUCT(($BI$74:$BP$74=3)*($AS$74:$AZ$74&lt;&gt;"")*IF(((UPPER($AS$74:$AZ$74)="BLANK")+(UPPER($AS$74:$AZ$74)="(BLANK)")+(UPPER($AS$74:$AZ$74)="EMPTY")+(UPPER($AS$74:$AZ$74)="(EMPTY)"))&gt;0,IFERROR(('Final Calculation Sheet'!$N$13)&amp;"","")="",ISNUMBER(SEARCH($AS$74:$AZ$74,IFERROR(('Final Calculation Sheet'!$N$13)&amp;"","")))))&gt;0),IF(COUNTIF($BI$74:$BP$74,4)=0,TRUE,SUMPRODUCT(($BI$74:$BP$74=4)*($AS$74:$AZ$74&lt;&gt;"")*IF(((UPPER($AS$74:$AZ$74)="BLANK")+(UPPER($AS$74:$AZ$74)="(BLANK)")+(UPPER($AS$74:$AZ$74)="EMPTY")+(UPPER($AS$74:$AZ$74)="(EMPTY)"))&gt;0,IFERROR(('Final Calculation Sheet'!$N$13)&amp;"","")="",ISNUMBER(SEARCH($AS$74:$AZ$74,IFERROR(('Final Calculation Sheet'!$N$13)&amp;"","")))))&gt;0),IF(COUNTIF($BI$74:$BP$74,5)=0,TRUE,SUMPRODUCT(($BI$74:$BP$74=5)*($AS$74:$AZ$74&lt;&gt;"")*IF(((UPPER($AS$74:$AZ$74)="BLANK")+(UPPER($AS$74:$AZ$74)="(BLANK)")+(UPPER($AS$74:$AZ$74)="EMPTY")+(UPPER($AS$74:$AZ$74)="(EMPTY)"))&gt;0,IFERROR(('Final Calculation Sheet'!$N$13)&amp;"","")="",ISNUMBER(SEARCH($AS$74:$AZ$74,IFERROR(('Final Calculation Sheet'!$N$13)&amp;"","")))))&gt;0),IF(COUNTIF($BI$74:$BP$74,6)=0,TRUE,SUMPRODUCT(($BI$74:$BP$74=6)*($AS$74:$AZ$74&lt;&gt;"")*IF(((UPPER($AS$74:$AZ$74)="BLANK")+(UPPER($AS$74:$AZ$74)="(BLANK)")+(UPPER($AS$74:$AZ$74)="EMPTY")+(UPPER($AS$74:$AZ$74)="(EMPTY)"))&gt;0,IFERROR(('Final Calculation Sheet'!$N$13)&amp;"","")="",ISNUMBER(SEARCH($AS$74:$AZ$74,IFERROR(('Final Calculation Sheet'!$N$13)&amp;"","")))))&gt;0),IF(COUNTIF($BI$74:$BP$74,7)=0,TRUE,SUMPRODUCT(($BI$74:$BP$74=7)*($AS$74:$AZ$74&lt;&gt;"")*IF(((UPPER($AS$74:$AZ$74)="BLANK")+(UPPER($AS$74:$AZ$74)="(BLANK)")+(UPPER($AS$74:$AZ$74)="EMPTY")+(UPPER($AS$74:$AZ$74)="(EMPTY)"))&gt;0,IFERROR(('Final Calculation Sheet'!$N$13)&amp;"","")="",ISNUMBER(SEARCH($AS$74:$AZ$74,IFERROR(('Final Calculation Sheet'!$N$13)&amp;"","")))))&gt;0),IF(COUNTIF($BI$74:$BP$74,8)=0,TRUE,SUMPRODUCT(($BI$74:$BP$74=8)*($AS$74:$AZ$74&lt;&gt;"")*IF(((UPPER($AS$74:$AZ$74)="BLANK")+(UPPER($AS$74:$AZ$74)="(BLANK)")+(UPPER($AS$74:$AZ$74)="EMPTY")+(UPPER($AS$74:$AZ$74)="(EMPTY)"))&gt;0,IFERROR(('Final Calculation Sheet'!$N$13)&amp;"","")="",ISNUMBER(SEARCH($AS$74:$AZ$74,IFERROR(('Final Calculation Sheet'!$N$13)&amp;"","")))))&gt;0))))</f>
        <v>1</v>
      </c>
      <c r="CB14">
        <f>IF($P$4="",1,--(AND(SUMPRODUCT(--($AS$75:$AZ$75&lt;&gt;""))&gt;0,IF(COUNTIF($BI$75:$BP$75,1)=0,TRUE,SUMPRODUCT(($BI$75:$BP$75=1)*($AS$75:$AZ$75&lt;&gt;"")*IF(((UPPER($AS$75:$AZ$75)="BLANK")+(UPPER($AS$75:$AZ$75)="(BLANK)")+(UPPER($AS$75:$AZ$75)="EMPTY")+(UPPER($AS$75:$AZ$75)="(EMPTY)"))&gt;0,IFERROR(('Final Calculation Sheet'!$O$13)&amp;"","")="",ISNUMBER(SEARCH($AS$75:$AZ$75,IFERROR(('Final Calculation Sheet'!$O$13)&amp;"","")))))&gt;0),IF(COUNTIF($BI$75:$BP$75,2)=0,TRUE,SUMPRODUCT(($BI$75:$BP$75=2)*($AS$75:$AZ$75&lt;&gt;"")*IF(((UPPER($AS$75:$AZ$75)="BLANK")+(UPPER($AS$75:$AZ$75)="(BLANK)")+(UPPER($AS$75:$AZ$75)="EMPTY")+(UPPER($AS$75:$AZ$75)="(EMPTY)"))&gt;0,IFERROR(('Final Calculation Sheet'!$O$13)&amp;"","")="",ISNUMBER(SEARCH($AS$75:$AZ$75,IFERROR(('Final Calculation Sheet'!$O$13)&amp;"","")))))&gt;0),IF(COUNTIF($BI$75:$BP$75,3)=0,TRUE,SUMPRODUCT(($BI$75:$BP$75=3)*($AS$75:$AZ$75&lt;&gt;"")*IF(((UPPER($AS$75:$AZ$75)="BLANK")+(UPPER($AS$75:$AZ$75)="(BLANK)")+(UPPER($AS$75:$AZ$75)="EMPTY")+(UPPER($AS$75:$AZ$75)="(EMPTY)"))&gt;0,IFERROR(('Final Calculation Sheet'!$O$13)&amp;"","")="",ISNUMBER(SEARCH($AS$75:$AZ$75,IFERROR(('Final Calculation Sheet'!$O$13)&amp;"","")))))&gt;0),IF(COUNTIF($BI$75:$BP$75,4)=0,TRUE,SUMPRODUCT(($BI$75:$BP$75=4)*($AS$75:$AZ$75&lt;&gt;"")*IF(((UPPER($AS$75:$AZ$75)="BLANK")+(UPPER($AS$75:$AZ$75)="(BLANK)")+(UPPER($AS$75:$AZ$75)="EMPTY")+(UPPER($AS$75:$AZ$75)="(EMPTY)"))&gt;0,IFERROR(('Final Calculation Sheet'!$O$13)&amp;"","")="",ISNUMBER(SEARCH($AS$75:$AZ$75,IFERROR(('Final Calculation Sheet'!$O$13)&amp;"","")))))&gt;0),IF(COUNTIF($BI$75:$BP$75,5)=0,TRUE,SUMPRODUCT(($BI$75:$BP$75=5)*($AS$75:$AZ$75&lt;&gt;"")*IF(((UPPER($AS$75:$AZ$75)="BLANK")+(UPPER($AS$75:$AZ$75)="(BLANK)")+(UPPER($AS$75:$AZ$75)="EMPTY")+(UPPER($AS$75:$AZ$75)="(EMPTY)"))&gt;0,IFERROR(('Final Calculation Sheet'!$O$13)&amp;"","")="",ISNUMBER(SEARCH($AS$75:$AZ$75,IFERROR(('Final Calculation Sheet'!$O$13)&amp;"","")))))&gt;0),IF(COUNTIF($BI$75:$BP$75,6)=0,TRUE,SUMPRODUCT(($BI$75:$BP$75=6)*($AS$75:$AZ$75&lt;&gt;"")*IF(((UPPER($AS$75:$AZ$75)="BLANK")+(UPPER($AS$75:$AZ$75)="(BLANK)")+(UPPER($AS$75:$AZ$75)="EMPTY")+(UPPER($AS$75:$AZ$75)="(EMPTY)"))&gt;0,IFERROR(('Final Calculation Sheet'!$O$13)&amp;"","")="",ISNUMBER(SEARCH($AS$75:$AZ$75,IFERROR(('Final Calculation Sheet'!$O$13)&amp;"","")))))&gt;0),IF(COUNTIF($BI$75:$BP$75,7)=0,TRUE,SUMPRODUCT(($BI$75:$BP$75=7)*($AS$75:$AZ$75&lt;&gt;"")*IF(((UPPER($AS$75:$AZ$75)="BLANK")+(UPPER($AS$75:$AZ$75)="(BLANK)")+(UPPER($AS$75:$AZ$75)="EMPTY")+(UPPER($AS$75:$AZ$75)="(EMPTY)"))&gt;0,IFERROR(('Final Calculation Sheet'!$O$13)&amp;"","")="",ISNUMBER(SEARCH($AS$75:$AZ$75,IFERROR(('Final Calculation Sheet'!$O$13)&amp;"","")))))&gt;0),IF(COUNTIF($BI$75:$BP$75,8)=0,TRUE,SUMPRODUCT(($BI$75:$BP$75=8)*($AS$75:$AZ$75&lt;&gt;"")*IF(((UPPER($AS$75:$AZ$75)="BLANK")+(UPPER($AS$75:$AZ$75)="(BLANK)")+(UPPER($AS$75:$AZ$75)="EMPTY")+(UPPER($AS$75:$AZ$75)="(EMPTY)"))&gt;0,IFERROR(('Final Calculation Sheet'!$O$13)&amp;"","")="",ISNUMBER(SEARCH($AS$75:$AZ$75,IFERROR(('Final Calculation Sheet'!$O$13)&amp;"","")))))&gt;0))))</f>
        <v>1</v>
      </c>
      <c r="CC14">
        <f>IF($Q$4="",1,--(AND(SUMPRODUCT(--($AS$76:$AZ$76&lt;&gt;""))&gt;0,IF(COUNTIF($BI$76:$BP$76,1)=0,TRUE,SUMPRODUCT(($BI$76:$BP$76=1)*($AS$76:$AZ$76&lt;&gt;"")*IF(((UPPER($AS$76:$AZ$76)="BLANK")+(UPPER($AS$76:$AZ$76)="(BLANK)")+(UPPER($AS$76:$AZ$76)="EMPTY")+(UPPER($AS$76:$AZ$76)="(EMPTY)"))&gt;0,IFERROR(('Final Calculation Sheet'!$P$13)&amp;"","")="",ISNUMBER(SEARCH($AS$76:$AZ$76,IFERROR(('Final Calculation Sheet'!$P$13)&amp;"","")))))&gt;0),IF(COUNTIF($BI$76:$BP$76,2)=0,TRUE,SUMPRODUCT(($BI$76:$BP$76=2)*($AS$76:$AZ$76&lt;&gt;"")*IF(((UPPER($AS$76:$AZ$76)="BLANK")+(UPPER($AS$76:$AZ$76)="(BLANK)")+(UPPER($AS$76:$AZ$76)="EMPTY")+(UPPER($AS$76:$AZ$76)="(EMPTY)"))&gt;0,IFERROR(('Final Calculation Sheet'!$P$13)&amp;"","")="",ISNUMBER(SEARCH($AS$76:$AZ$76,IFERROR(('Final Calculation Sheet'!$P$13)&amp;"","")))))&gt;0),IF(COUNTIF($BI$76:$BP$76,3)=0,TRUE,SUMPRODUCT(($BI$76:$BP$76=3)*($AS$76:$AZ$76&lt;&gt;"")*IF(((UPPER($AS$76:$AZ$76)="BLANK")+(UPPER($AS$76:$AZ$76)="(BLANK)")+(UPPER($AS$76:$AZ$76)="EMPTY")+(UPPER($AS$76:$AZ$76)="(EMPTY)"))&gt;0,IFERROR(('Final Calculation Sheet'!$P$13)&amp;"","")="",ISNUMBER(SEARCH($AS$76:$AZ$76,IFERROR(('Final Calculation Sheet'!$P$13)&amp;"","")))))&gt;0),IF(COUNTIF($BI$76:$BP$76,4)=0,TRUE,SUMPRODUCT(($BI$76:$BP$76=4)*($AS$76:$AZ$76&lt;&gt;"")*IF(((UPPER($AS$76:$AZ$76)="BLANK")+(UPPER($AS$76:$AZ$76)="(BLANK)")+(UPPER($AS$76:$AZ$76)="EMPTY")+(UPPER($AS$76:$AZ$76)="(EMPTY)"))&gt;0,IFERROR(('Final Calculation Sheet'!$P$13)&amp;"","")="",ISNUMBER(SEARCH($AS$76:$AZ$76,IFERROR(('Final Calculation Sheet'!$P$13)&amp;"","")))))&gt;0),IF(COUNTIF($BI$76:$BP$76,5)=0,TRUE,SUMPRODUCT(($BI$76:$BP$76=5)*($AS$76:$AZ$76&lt;&gt;"")*IF(((UPPER($AS$76:$AZ$76)="BLANK")+(UPPER($AS$76:$AZ$76)="(BLANK)")+(UPPER($AS$76:$AZ$76)="EMPTY")+(UPPER($AS$76:$AZ$76)="(EMPTY)"))&gt;0,IFERROR(('Final Calculation Sheet'!$P$13)&amp;"","")="",ISNUMBER(SEARCH($AS$76:$AZ$76,IFERROR(('Final Calculation Sheet'!$P$13)&amp;"","")))))&gt;0),IF(COUNTIF($BI$76:$BP$76,6)=0,TRUE,SUMPRODUCT(($BI$76:$BP$76=6)*($AS$76:$AZ$76&lt;&gt;"")*IF(((UPPER($AS$76:$AZ$76)="BLANK")+(UPPER($AS$76:$AZ$76)="(BLANK)")+(UPPER($AS$76:$AZ$76)="EMPTY")+(UPPER($AS$76:$AZ$76)="(EMPTY)"))&gt;0,IFERROR(('Final Calculation Sheet'!$P$13)&amp;"","")="",ISNUMBER(SEARCH($AS$76:$AZ$76,IFERROR(('Final Calculation Sheet'!$P$13)&amp;"","")))))&gt;0),IF(COUNTIF($BI$76:$BP$76,7)=0,TRUE,SUMPRODUCT(($BI$76:$BP$76=7)*($AS$76:$AZ$76&lt;&gt;"")*IF(((UPPER($AS$76:$AZ$76)="BLANK")+(UPPER($AS$76:$AZ$76)="(BLANK)")+(UPPER($AS$76:$AZ$76)="EMPTY")+(UPPER($AS$76:$AZ$76)="(EMPTY)"))&gt;0,IFERROR(('Final Calculation Sheet'!$P$13)&amp;"","")="",ISNUMBER(SEARCH($AS$76:$AZ$76,IFERROR(('Final Calculation Sheet'!$P$13)&amp;"","")))))&gt;0),IF(COUNTIF($BI$76:$BP$76,8)=0,TRUE,SUMPRODUCT(($BI$76:$BP$76=8)*($AS$76:$AZ$76&lt;&gt;"")*IF(((UPPER($AS$76:$AZ$76)="BLANK")+(UPPER($AS$76:$AZ$76)="(BLANK)")+(UPPER($AS$76:$AZ$76)="EMPTY")+(UPPER($AS$76:$AZ$76)="(EMPTY)"))&gt;0,IFERROR(('Final Calculation Sheet'!$P$13)&amp;"","")="",ISNUMBER(SEARCH($AS$76:$AZ$76,IFERROR(('Final Calculation Sheet'!$P$13)&amp;"","")))))&gt;0))))</f>
        <v>1</v>
      </c>
      <c r="CD14">
        <f>IF($R$4="",1,--(AND(SUMPRODUCT(--($AS$77:$AZ$77&lt;&gt;""))&gt;0,IF(COUNTIF($BI$77:$BP$77,1)=0,TRUE,SUMPRODUCT(($BI$77:$BP$77=1)*($AS$77:$AZ$77&lt;&gt;"")*IF(((UPPER($AS$77:$AZ$77)="BLANK")+(UPPER($AS$77:$AZ$77)="(BLANK)")+(UPPER($AS$77:$AZ$77)="EMPTY")+(UPPER($AS$77:$AZ$77)="(EMPTY)"))&gt;0,IFERROR(('Final Calculation Sheet'!$Q$13)&amp;"","")="",ISNUMBER(SEARCH($AS$77:$AZ$77,IFERROR(('Final Calculation Sheet'!$Q$13)&amp;"","")))))&gt;0),IF(COUNTIF($BI$77:$BP$77,2)=0,TRUE,SUMPRODUCT(($BI$77:$BP$77=2)*($AS$77:$AZ$77&lt;&gt;"")*IF(((UPPER($AS$77:$AZ$77)="BLANK")+(UPPER($AS$77:$AZ$77)="(BLANK)")+(UPPER($AS$77:$AZ$77)="EMPTY")+(UPPER($AS$77:$AZ$77)="(EMPTY)"))&gt;0,IFERROR(('Final Calculation Sheet'!$Q$13)&amp;"","")="",ISNUMBER(SEARCH($AS$77:$AZ$77,IFERROR(('Final Calculation Sheet'!$Q$13)&amp;"","")))))&gt;0),IF(COUNTIF($BI$77:$BP$77,3)=0,TRUE,SUMPRODUCT(($BI$77:$BP$77=3)*($AS$77:$AZ$77&lt;&gt;"")*IF(((UPPER($AS$77:$AZ$77)="BLANK")+(UPPER($AS$77:$AZ$77)="(BLANK)")+(UPPER($AS$77:$AZ$77)="EMPTY")+(UPPER($AS$77:$AZ$77)="(EMPTY)"))&gt;0,IFERROR(('Final Calculation Sheet'!$Q$13)&amp;"","")="",ISNUMBER(SEARCH($AS$77:$AZ$77,IFERROR(('Final Calculation Sheet'!$Q$13)&amp;"","")))))&gt;0),IF(COUNTIF($BI$77:$BP$77,4)=0,TRUE,SUMPRODUCT(($BI$77:$BP$77=4)*($AS$77:$AZ$77&lt;&gt;"")*IF(((UPPER($AS$77:$AZ$77)="BLANK")+(UPPER($AS$77:$AZ$77)="(BLANK)")+(UPPER($AS$77:$AZ$77)="EMPTY")+(UPPER($AS$77:$AZ$77)="(EMPTY)"))&gt;0,IFERROR(('Final Calculation Sheet'!$Q$13)&amp;"","")="",ISNUMBER(SEARCH($AS$77:$AZ$77,IFERROR(('Final Calculation Sheet'!$Q$13)&amp;"","")))))&gt;0),IF(COUNTIF($BI$77:$BP$77,5)=0,TRUE,SUMPRODUCT(($BI$77:$BP$77=5)*($AS$77:$AZ$77&lt;&gt;"")*IF(((UPPER($AS$77:$AZ$77)="BLANK")+(UPPER($AS$77:$AZ$77)="(BLANK)")+(UPPER($AS$77:$AZ$77)="EMPTY")+(UPPER($AS$77:$AZ$77)="(EMPTY)"))&gt;0,IFERROR(('Final Calculation Sheet'!$Q$13)&amp;"","")="",ISNUMBER(SEARCH($AS$77:$AZ$77,IFERROR(('Final Calculation Sheet'!$Q$13)&amp;"","")))))&gt;0),IF(COUNTIF($BI$77:$BP$77,6)=0,TRUE,SUMPRODUCT(($BI$77:$BP$77=6)*($AS$77:$AZ$77&lt;&gt;"")*IF(((UPPER($AS$77:$AZ$77)="BLANK")+(UPPER($AS$77:$AZ$77)="(BLANK)")+(UPPER($AS$77:$AZ$77)="EMPTY")+(UPPER($AS$77:$AZ$77)="(EMPTY)"))&gt;0,IFERROR(('Final Calculation Sheet'!$Q$13)&amp;"","")="",ISNUMBER(SEARCH($AS$77:$AZ$77,IFERROR(('Final Calculation Sheet'!$Q$13)&amp;"","")))))&gt;0),IF(COUNTIF($BI$77:$BP$77,7)=0,TRUE,SUMPRODUCT(($BI$77:$BP$77=7)*($AS$77:$AZ$77&lt;&gt;"")*IF(((UPPER($AS$77:$AZ$77)="BLANK")+(UPPER($AS$77:$AZ$77)="(BLANK)")+(UPPER($AS$77:$AZ$77)="EMPTY")+(UPPER($AS$77:$AZ$77)="(EMPTY)"))&gt;0,IFERROR(('Final Calculation Sheet'!$Q$13)&amp;"","")="",ISNUMBER(SEARCH($AS$77:$AZ$77,IFERROR(('Final Calculation Sheet'!$Q$13)&amp;"","")))))&gt;0),IF(COUNTIF($BI$77:$BP$77,8)=0,TRUE,SUMPRODUCT(($BI$77:$BP$77=8)*($AS$77:$AZ$77&lt;&gt;"")*IF(((UPPER($AS$77:$AZ$77)="BLANK")+(UPPER($AS$77:$AZ$77)="(BLANK)")+(UPPER($AS$77:$AZ$77)="EMPTY")+(UPPER($AS$77:$AZ$77)="(EMPTY)"))&gt;0,IFERROR(('Final Calculation Sheet'!$Q$13)&amp;"","")="",ISNUMBER(SEARCH($AS$77:$AZ$77,IFERROR(('Final Calculation Sheet'!$Q$13)&amp;"","")))))&gt;0))))</f>
        <v>1</v>
      </c>
      <c r="CE14">
        <f>IF($S$4="",1,--(AND(SUMPRODUCT(--($AS$78:$AZ$78&lt;&gt;""))&gt;0,IF(COUNTIF($BI$78:$BP$78,1)=0,TRUE,SUMPRODUCT(($BI$78:$BP$78=1)*($AS$78:$AZ$78&lt;&gt;"")*IF(((UPPER($AS$78:$AZ$78)="BLANK")+(UPPER($AS$78:$AZ$78)="(BLANK)")+(UPPER($AS$78:$AZ$78)="EMPTY")+(UPPER($AS$78:$AZ$78)="(EMPTY)"))&gt;0,IFERROR(('Final Calculation Sheet'!$R$13)&amp;"","")="",ISNUMBER(SEARCH($AS$78:$AZ$78,IFERROR(('Final Calculation Sheet'!$R$13)&amp;"","")))))&gt;0),IF(COUNTIF($BI$78:$BP$78,2)=0,TRUE,SUMPRODUCT(($BI$78:$BP$78=2)*($AS$78:$AZ$78&lt;&gt;"")*IF(((UPPER($AS$78:$AZ$78)="BLANK")+(UPPER($AS$78:$AZ$78)="(BLANK)")+(UPPER($AS$78:$AZ$78)="EMPTY")+(UPPER($AS$78:$AZ$78)="(EMPTY)"))&gt;0,IFERROR(('Final Calculation Sheet'!$R$13)&amp;"","")="",ISNUMBER(SEARCH($AS$78:$AZ$78,IFERROR(('Final Calculation Sheet'!$R$13)&amp;"","")))))&gt;0),IF(COUNTIF($BI$78:$BP$78,3)=0,TRUE,SUMPRODUCT(($BI$78:$BP$78=3)*($AS$78:$AZ$78&lt;&gt;"")*IF(((UPPER($AS$78:$AZ$78)="BLANK")+(UPPER($AS$78:$AZ$78)="(BLANK)")+(UPPER($AS$78:$AZ$78)="EMPTY")+(UPPER($AS$78:$AZ$78)="(EMPTY)"))&gt;0,IFERROR(('Final Calculation Sheet'!$R$13)&amp;"","")="",ISNUMBER(SEARCH($AS$78:$AZ$78,IFERROR(('Final Calculation Sheet'!$R$13)&amp;"","")))))&gt;0),IF(COUNTIF($BI$78:$BP$78,4)=0,TRUE,SUMPRODUCT(($BI$78:$BP$78=4)*($AS$78:$AZ$78&lt;&gt;"")*IF(((UPPER($AS$78:$AZ$78)="BLANK")+(UPPER($AS$78:$AZ$78)="(BLANK)")+(UPPER($AS$78:$AZ$78)="EMPTY")+(UPPER($AS$78:$AZ$78)="(EMPTY)"))&gt;0,IFERROR(('Final Calculation Sheet'!$R$13)&amp;"","")="",ISNUMBER(SEARCH($AS$78:$AZ$78,IFERROR(('Final Calculation Sheet'!$R$13)&amp;"","")))))&gt;0),IF(COUNTIF($BI$78:$BP$78,5)=0,TRUE,SUMPRODUCT(($BI$78:$BP$78=5)*($AS$78:$AZ$78&lt;&gt;"")*IF(((UPPER($AS$78:$AZ$78)="BLANK")+(UPPER($AS$78:$AZ$78)="(BLANK)")+(UPPER($AS$78:$AZ$78)="EMPTY")+(UPPER($AS$78:$AZ$78)="(EMPTY)"))&gt;0,IFERROR(('Final Calculation Sheet'!$R$13)&amp;"","")="",ISNUMBER(SEARCH($AS$78:$AZ$78,IFERROR(('Final Calculation Sheet'!$R$13)&amp;"","")))))&gt;0),IF(COUNTIF($BI$78:$BP$78,6)=0,TRUE,SUMPRODUCT(($BI$78:$BP$78=6)*($AS$78:$AZ$78&lt;&gt;"")*IF(((UPPER($AS$78:$AZ$78)="BLANK")+(UPPER($AS$78:$AZ$78)="(BLANK)")+(UPPER($AS$78:$AZ$78)="EMPTY")+(UPPER($AS$78:$AZ$78)="(EMPTY)"))&gt;0,IFERROR(('Final Calculation Sheet'!$R$13)&amp;"","")="",ISNUMBER(SEARCH($AS$78:$AZ$78,IFERROR(('Final Calculation Sheet'!$R$13)&amp;"","")))))&gt;0),IF(COUNTIF($BI$78:$BP$78,7)=0,TRUE,SUMPRODUCT(($BI$78:$BP$78=7)*($AS$78:$AZ$78&lt;&gt;"")*IF(((UPPER($AS$78:$AZ$78)="BLANK")+(UPPER($AS$78:$AZ$78)="(BLANK)")+(UPPER($AS$78:$AZ$78)="EMPTY")+(UPPER($AS$78:$AZ$78)="(EMPTY)"))&gt;0,IFERROR(('Final Calculation Sheet'!$R$13)&amp;"","")="",ISNUMBER(SEARCH($AS$78:$AZ$78,IFERROR(('Final Calculation Sheet'!$R$13)&amp;"","")))))&gt;0),IF(COUNTIF($BI$78:$BP$78,8)=0,TRUE,SUMPRODUCT(($BI$78:$BP$78=8)*($AS$78:$AZ$78&lt;&gt;"")*IF(((UPPER($AS$78:$AZ$78)="BLANK")+(UPPER($AS$78:$AZ$78)="(BLANK)")+(UPPER($AS$78:$AZ$78)="EMPTY")+(UPPER($AS$78:$AZ$78)="(EMPTY)"))&gt;0,IFERROR(('Final Calculation Sheet'!$R$13)&amp;"","")="",ISNUMBER(SEARCH($AS$78:$AZ$78,IFERROR(('Final Calculation Sheet'!$R$13)&amp;"","")))))&gt;0))))</f>
        <v>1</v>
      </c>
      <c r="CF14">
        <f>IF($T$4="",1,--(AND(SUMPRODUCT(--($AS$79:$AZ$79&lt;&gt;""))&gt;0,IF(COUNTIF($BI$79:$BP$79,1)=0,TRUE,SUMPRODUCT(($BI$79:$BP$79=1)*($AS$79:$AZ$79&lt;&gt;"")*IF(((UPPER($AS$79:$AZ$79)="BLANK")+(UPPER($AS$79:$AZ$79)="(BLANK)")+(UPPER($AS$79:$AZ$79)="EMPTY")+(UPPER($AS$79:$AZ$79)="(EMPTY)"))&gt;0,IFERROR(('Final Calculation Sheet'!$S$13)&amp;"","")="",ISNUMBER(SEARCH($AS$79:$AZ$79,IFERROR(('Final Calculation Sheet'!$S$13)&amp;"","")))))&gt;0),IF(COUNTIF($BI$79:$BP$79,2)=0,TRUE,SUMPRODUCT(($BI$79:$BP$79=2)*($AS$79:$AZ$79&lt;&gt;"")*IF(((UPPER($AS$79:$AZ$79)="BLANK")+(UPPER($AS$79:$AZ$79)="(BLANK)")+(UPPER($AS$79:$AZ$79)="EMPTY")+(UPPER($AS$79:$AZ$79)="(EMPTY)"))&gt;0,IFERROR(('Final Calculation Sheet'!$S$13)&amp;"","")="",ISNUMBER(SEARCH($AS$79:$AZ$79,IFERROR(('Final Calculation Sheet'!$S$13)&amp;"","")))))&gt;0),IF(COUNTIF($BI$79:$BP$79,3)=0,TRUE,SUMPRODUCT(($BI$79:$BP$79=3)*($AS$79:$AZ$79&lt;&gt;"")*IF(((UPPER($AS$79:$AZ$79)="BLANK")+(UPPER($AS$79:$AZ$79)="(BLANK)")+(UPPER($AS$79:$AZ$79)="EMPTY")+(UPPER($AS$79:$AZ$79)="(EMPTY)"))&gt;0,IFERROR(('Final Calculation Sheet'!$S$13)&amp;"","")="",ISNUMBER(SEARCH($AS$79:$AZ$79,IFERROR(('Final Calculation Sheet'!$S$13)&amp;"","")))))&gt;0),IF(COUNTIF($BI$79:$BP$79,4)=0,TRUE,SUMPRODUCT(($BI$79:$BP$79=4)*($AS$79:$AZ$79&lt;&gt;"")*IF(((UPPER($AS$79:$AZ$79)="BLANK")+(UPPER($AS$79:$AZ$79)="(BLANK)")+(UPPER($AS$79:$AZ$79)="EMPTY")+(UPPER($AS$79:$AZ$79)="(EMPTY)"))&gt;0,IFERROR(('Final Calculation Sheet'!$S$13)&amp;"","")="",ISNUMBER(SEARCH($AS$79:$AZ$79,IFERROR(('Final Calculation Sheet'!$S$13)&amp;"","")))))&gt;0),IF(COUNTIF($BI$79:$BP$79,5)=0,TRUE,SUMPRODUCT(($BI$79:$BP$79=5)*($AS$79:$AZ$79&lt;&gt;"")*IF(((UPPER($AS$79:$AZ$79)="BLANK")+(UPPER($AS$79:$AZ$79)="(BLANK)")+(UPPER($AS$79:$AZ$79)="EMPTY")+(UPPER($AS$79:$AZ$79)="(EMPTY)"))&gt;0,IFERROR(('Final Calculation Sheet'!$S$13)&amp;"","")="",ISNUMBER(SEARCH($AS$79:$AZ$79,IFERROR(('Final Calculation Sheet'!$S$13)&amp;"","")))))&gt;0),IF(COUNTIF($BI$79:$BP$79,6)=0,TRUE,SUMPRODUCT(($BI$79:$BP$79=6)*($AS$79:$AZ$79&lt;&gt;"")*IF(((UPPER($AS$79:$AZ$79)="BLANK")+(UPPER($AS$79:$AZ$79)="(BLANK)")+(UPPER($AS$79:$AZ$79)="EMPTY")+(UPPER($AS$79:$AZ$79)="(EMPTY)"))&gt;0,IFERROR(('Final Calculation Sheet'!$S$13)&amp;"","")="",ISNUMBER(SEARCH($AS$79:$AZ$79,IFERROR(('Final Calculation Sheet'!$S$13)&amp;"","")))))&gt;0),IF(COUNTIF($BI$79:$BP$79,7)=0,TRUE,SUMPRODUCT(($BI$79:$BP$79=7)*($AS$79:$AZ$79&lt;&gt;"")*IF(((UPPER($AS$79:$AZ$79)="BLANK")+(UPPER($AS$79:$AZ$79)="(BLANK)")+(UPPER($AS$79:$AZ$79)="EMPTY")+(UPPER($AS$79:$AZ$79)="(EMPTY)"))&gt;0,IFERROR(('Final Calculation Sheet'!$S$13)&amp;"","")="",ISNUMBER(SEARCH($AS$79:$AZ$79,IFERROR(('Final Calculation Sheet'!$S$13)&amp;"","")))))&gt;0),IF(COUNTIF($BI$79:$BP$79,8)=0,TRUE,SUMPRODUCT(($BI$79:$BP$79=8)*($AS$79:$AZ$79&lt;&gt;"")*IF(((UPPER($AS$79:$AZ$79)="BLANK")+(UPPER($AS$79:$AZ$79)="(BLANK)")+(UPPER($AS$79:$AZ$79)="EMPTY")+(UPPER($AS$79:$AZ$79)="(EMPTY)"))&gt;0,IFERROR(('Final Calculation Sheet'!$S$13)&amp;"","")="",ISNUMBER(SEARCH($AS$79:$AZ$79,IFERROR(('Final Calculation Sheet'!$S$13)&amp;"","")))))&gt;0))))</f>
        <v>1</v>
      </c>
      <c r="CG14">
        <f>IF($U$4="",1,--(AND(SUMPRODUCT(--($AS$80:$AZ$80&lt;&gt;""))&gt;0,IF(COUNTIF($BI$80:$BP$80,1)=0,TRUE,SUMPRODUCT(($BI$80:$BP$80=1)*($AS$80:$AZ$80&lt;&gt;"")*IF(((UPPER($AS$80:$AZ$80)="BLANK")+(UPPER($AS$80:$AZ$80)="(BLANK)")+(UPPER($AS$80:$AZ$80)="EMPTY")+(UPPER($AS$80:$AZ$80)="(EMPTY)"))&gt;0,IFERROR(('Final Calculation Sheet'!$T$13)&amp;"","")="",ISNUMBER(SEARCH($AS$80:$AZ$80,IFERROR(('Final Calculation Sheet'!$T$13)&amp;"","")))))&gt;0),IF(COUNTIF($BI$80:$BP$80,2)=0,TRUE,SUMPRODUCT(($BI$80:$BP$80=2)*($AS$80:$AZ$80&lt;&gt;"")*IF(((UPPER($AS$80:$AZ$80)="BLANK")+(UPPER($AS$80:$AZ$80)="(BLANK)")+(UPPER($AS$80:$AZ$80)="EMPTY")+(UPPER($AS$80:$AZ$80)="(EMPTY)"))&gt;0,IFERROR(('Final Calculation Sheet'!$T$13)&amp;"","")="",ISNUMBER(SEARCH($AS$80:$AZ$80,IFERROR(('Final Calculation Sheet'!$T$13)&amp;"","")))))&gt;0),IF(COUNTIF($BI$80:$BP$80,3)=0,TRUE,SUMPRODUCT(($BI$80:$BP$80=3)*($AS$80:$AZ$80&lt;&gt;"")*IF(((UPPER($AS$80:$AZ$80)="BLANK")+(UPPER($AS$80:$AZ$80)="(BLANK)")+(UPPER($AS$80:$AZ$80)="EMPTY")+(UPPER($AS$80:$AZ$80)="(EMPTY)"))&gt;0,IFERROR(('Final Calculation Sheet'!$T$13)&amp;"","")="",ISNUMBER(SEARCH($AS$80:$AZ$80,IFERROR(('Final Calculation Sheet'!$T$13)&amp;"","")))))&gt;0),IF(COUNTIF($BI$80:$BP$80,4)=0,TRUE,SUMPRODUCT(($BI$80:$BP$80=4)*($AS$80:$AZ$80&lt;&gt;"")*IF(((UPPER($AS$80:$AZ$80)="BLANK")+(UPPER($AS$80:$AZ$80)="(BLANK)")+(UPPER($AS$80:$AZ$80)="EMPTY")+(UPPER($AS$80:$AZ$80)="(EMPTY)"))&gt;0,IFERROR(('Final Calculation Sheet'!$T$13)&amp;"","")="",ISNUMBER(SEARCH($AS$80:$AZ$80,IFERROR(('Final Calculation Sheet'!$T$13)&amp;"","")))))&gt;0),IF(COUNTIF($BI$80:$BP$80,5)=0,TRUE,SUMPRODUCT(($BI$80:$BP$80=5)*($AS$80:$AZ$80&lt;&gt;"")*IF(((UPPER($AS$80:$AZ$80)="BLANK")+(UPPER($AS$80:$AZ$80)="(BLANK)")+(UPPER($AS$80:$AZ$80)="EMPTY")+(UPPER($AS$80:$AZ$80)="(EMPTY)"))&gt;0,IFERROR(('Final Calculation Sheet'!$T$13)&amp;"","")="",ISNUMBER(SEARCH($AS$80:$AZ$80,IFERROR(('Final Calculation Sheet'!$T$13)&amp;"","")))))&gt;0),IF(COUNTIF($BI$80:$BP$80,6)=0,TRUE,SUMPRODUCT(($BI$80:$BP$80=6)*($AS$80:$AZ$80&lt;&gt;"")*IF(((UPPER($AS$80:$AZ$80)="BLANK")+(UPPER($AS$80:$AZ$80)="(BLANK)")+(UPPER($AS$80:$AZ$80)="EMPTY")+(UPPER($AS$80:$AZ$80)="(EMPTY)"))&gt;0,IFERROR(('Final Calculation Sheet'!$T$13)&amp;"","")="",ISNUMBER(SEARCH($AS$80:$AZ$80,IFERROR(('Final Calculation Sheet'!$T$13)&amp;"","")))))&gt;0),IF(COUNTIF($BI$80:$BP$80,7)=0,TRUE,SUMPRODUCT(($BI$80:$BP$80=7)*($AS$80:$AZ$80&lt;&gt;"")*IF(((UPPER($AS$80:$AZ$80)="BLANK")+(UPPER($AS$80:$AZ$80)="(BLANK)")+(UPPER($AS$80:$AZ$80)="EMPTY")+(UPPER($AS$80:$AZ$80)="(EMPTY)"))&gt;0,IFERROR(('Final Calculation Sheet'!$T$13)&amp;"","")="",ISNUMBER(SEARCH($AS$80:$AZ$80,IFERROR(('Final Calculation Sheet'!$T$13)&amp;"","")))))&gt;0),IF(COUNTIF($BI$80:$BP$80,8)=0,TRUE,SUMPRODUCT(($BI$80:$BP$80=8)*($AS$80:$AZ$80&lt;&gt;"")*IF(((UPPER($AS$80:$AZ$80)="BLANK")+(UPPER($AS$80:$AZ$80)="(BLANK)")+(UPPER($AS$80:$AZ$80)="EMPTY")+(UPPER($AS$80:$AZ$80)="(EMPTY)"))&gt;0,IFERROR(('Final Calculation Sheet'!$T$13)&amp;"","")="",ISNUMBER(SEARCH($AS$80:$AZ$80,IFERROR(('Final Calculation Sheet'!$T$13)&amp;"","")))))&gt;0))))</f>
        <v>1</v>
      </c>
      <c r="CH14">
        <f>IF($V$4="",1,--(AND(SUMPRODUCT(--($AS$81:$AZ$81&lt;&gt;""))&gt;0,IF(COUNTIF($BI$81:$BP$81,1)=0,TRUE,SUMPRODUCT(($BI$81:$BP$81=1)*($AS$81:$AZ$81&lt;&gt;"")*IF(((UPPER($AS$81:$AZ$81)="BLANK")+(UPPER($AS$81:$AZ$81)="(BLANK)")+(UPPER($AS$81:$AZ$81)="EMPTY")+(UPPER($AS$81:$AZ$81)="(EMPTY)"))&gt;0,IFERROR(('Final Calculation Sheet'!$U$13)&amp;"","")="",ISNUMBER(SEARCH($AS$81:$AZ$81,IFERROR(('Final Calculation Sheet'!$U$13)&amp;"","")))))&gt;0),IF(COUNTIF($BI$81:$BP$81,2)=0,TRUE,SUMPRODUCT(($BI$81:$BP$81=2)*($AS$81:$AZ$81&lt;&gt;"")*IF(((UPPER($AS$81:$AZ$81)="BLANK")+(UPPER($AS$81:$AZ$81)="(BLANK)")+(UPPER($AS$81:$AZ$81)="EMPTY")+(UPPER($AS$81:$AZ$81)="(EMPTY)"))&gt;0,IFERROR(('Final Calculation Sheet'!$U$13)&amp;"","")="",ISNUMBER(SEARCH($AS$81:$AZ$81,IFERROR(('Final Calculation Sheet'!$U$13)&amp;"","")))))&gt;0),IF(COUNTIF($BI$81:$BP$81,3)=0,TRUE,SUMPRODUCT(($BI$81:$BP$81=3)*($AS$81:$AZ$81&lt;&gt;"")*IF(((UPPER($AS$81:$AZ$81)="BLANK")+(UPPER($AS$81:$AZ$81)="(BLANK)")+(UPPER($AS$81:$AZ$81)="EMPTY")+(UPPER($AS$81:$AZ$81)="(EMPTY)"))&gt;0,IFERROR(('Final Calculation Sheet'!$U$13)&amp;"","")="",ISNUMBER(SEARCH($AS$81:$AZ$81,IFERROR(('Final Calculation Sheet'!$U$13)&amp;"","")))))&gt;0),IF(COUNTIF($BI$81:$BP$81,4)=0,TRUE,SUMPRODUCT(($BI$81:$BP$81=4)*($AS$81:$AZ$81&lt;&gt;"")*IF(((UPPER($AS$81:$AZ$81)="BLANK")+(UPPER($AS$81:$AZ$81)="(BLANK)")+(UPPER($AS$81:$AZ$81)="EMPTY")+(UPPER($AS$81:$AZ$81)="(EMPTY)"))&gt;0,IFERROR(('Final Calculation Sheet'!$U$13)&amp;"","")="",ISNUMBER(SEARCH($AS$81:$AZ$81,IFERROR(('Final Calculation Sheet'!$U$13)&amp;"","")))))&gt;0),IF(COUNTIF($BI$81:$BP$81,5)=0,TRUE,SUMPRODUCT(($BI$81:$BP$81=5)*($AS$81:$AZ$81&lt;&gt;"")*IF(((UPPER($AS$81:$AZ$81)="BLANK")+(UPPER($AS$81:$AZ$81)="(BLANK)")+(UPPER($AS$81:$AZ$81)="EMPTY")+(UPPER($AS$81:$AZ$81)="(EMPTY)"))&gt;0,IFERROR(('Final Calculation Sheet'!$U$13)&amp;"","")="",ISNUMBER(SEARCH($AS$81:$AZ$81,IFERROR(('Final Calculation Sheet'!$U$13)&amp;"","")))))&gt;0),IF(COUNTIF($BI$81:$BP$81,6)=0,TRUE,SUMPRODUCT(($BI$81:$BP$81=6)*($AS$81:$AZ$81&lt;&gt;"")*IF(((UPPER($AS$81:$AZ$81)="BLANK")+(UPPER($AS$81:$AZ$81)="(BLANK)")+(UPPER($AS$81:$AZ$81)="EMPTY")+(UPPER($AS$81:$AZ$81)="(EMPTY)"))&gt;0,IFERROR(('Final Calculation Sheet'!$U$13)&amp;"","")="",ISNUMBER(SEARCH($AS$81:$AZ$81,IFERROR(('Final Calculation Sheet'!$U$13)&amp;"","")))))&gt;0),IF(COUNTIF($BI$81:$BP$81,7)=0,TRUE,SUMPRODUCT(($BI$81:$BP$81=7)*($AS$81:$AZ$81&lt;&gt;"")*IF(((UPPER($AS$81:$AZ$81)="BLANK")+(UPPER($AS$81:$AZ$81)="(BLANK)")+(UPPER($AS$81:$AZ$81)="EMPTY")+(UPPER($AS$81:$AZ$81)="(EMPTY)"))&gt;0,IFERROR(('Final Calculation Sheet'!$U$13)&amp;"","")="",ISNUMBER(SEARCH($AS$81:$AZ$81,IFERROR(('Final Calculation Sheet'!$U$13)&amp;"","")))))&gt;0),IF(COUNTIF($BI$81:$BP$81,8)=0,TRUE,SUMPRODUCT(($BI$81:$BP$81=8)*($AS$81:$AZ$81&lt;&gt;"")*IF(((UPPER($AS$81:$AZ$81)="BLANK")+(UPPER($AS$81:$AZ$81)="(BLANK)")+(UPPER($AS$81:$AZ$81)="EMPTY")+(UPPER($AS$81:$AZ$81)="(EMPTY)"))&gt;0,IFERROR(('Final Calculation Sheet'!$U$13)&amp;"","")="",ISNUMBER(SEARCH($AS$81:$AZ$81,IFERROR(('Final Calculation Sheet'!$U$13)&amp;"","")))))&gt;0))))</f>
        <v>1</v>
      </c>
      <c r="CI14">
        <f>IF($W$4="",1,--(AND(SUMPRODUCT(--($AS$82:$AZ$82&lt;&gt;""))&gt;0,IF(COUNTIF($BI$82:$BP$82,1)=0,TRUE,SUMPRODUCT(($BI$82:$BP$82=1)*($AS$82:$AZ$82&lt;&gt;"")*IF(((UPPER($AS$82:$AZ$82)="BLANK")+(UPPER($AS$82:$AZ$82)="(BLANK)")+(UPPER($AS$82:$AZ$82)="EMPTY")+(UPPER($AS$82:$AZ$82)="(EMPTY)"))&gt;0,IFERROR(('Final Calculation Sheet'!$V$13)&amp;"","")="",ISNUMBER(SEARCH($AS$82:$AZ$82,IFERROR(('Final Calculation Sheet'!$V$13)&amp;"","")))))&gt;0),IF(COUNTIF($BI$82:$BP$82,2)=0,TRUE,SUMPRODUCT(($BI$82:$BP$82=2)*($AS$82:$AZ$82&lt;&gt;"")*IF(((UPPER($AS$82:$AZ$82)="BLANK")+(UPPER($AS$82:$AZ$82)="(BLANK)")+(UPPER($AS$82:$AZ$82)="EMPTY")+(UPPER($AS$82:$AZ$82)="(EMPTY)"))&gt;0,IFERROR(('Final Calculation Sheet'!$V$13)&amp;"","")="",ISNUMBER(SEARCH($AS$82:$AZ$82,IFERROR(('Final Calculation Sheet'!$V$13)&amp;"","")))))&gt;0),IF(COUNTIF($BI$82:$BP$82,3)=0,TRUE,SUMPRODUCT(($BI$82:$BP$82=3)*($AS$82:$AZ$82&lt;&gt;"")*IF(((UPPER($AS$82:$AZ$82)="BLANK")+(UPPER($AS$82:$AZ$82)="(BLANK)")+(UPPER($AS$82:$AZ$82)="EMPTY")+(UPPER($AS$82:$AZ$82)="(EMPTY)"))&gt;0,IFERROR(('Final Calculation Sheet'!$V$13)&amp;"","")="",ISNUMBER(SEARCH($AS$82:$AZ$82,IFERROR(('Final Calculation Sheet'!$V$13)&amp;"","")))))&gt;0),IF(COUNTIF($BI$82:$BP$82,4)=0,TRUE,SUMPRODUCT(($BI$82:$BP$82=4)*($AS$82:$AZ$82&lt;&gt;"")*IF(((UPPER($AS$82:$AZ$82)="BLANK")+(UPPER($AS$82:$AZ$82)="(BLANK)")+(UPPER($AS$82:$AZ$82)="EMPTY")+(UPPER($AS$82:$AZ$82)="(EMPTY)"))&gt;0,IFERROR(('Final Calculation Sheet'!$V$13)&amp;"","")="",ISNUMBER(SEARCH($AS$82:$AZ$82,IFERROR(('Final Calculation Sheet'!$V$13)&amp;"","")))))&gt;0),IF(COUNTIF($BI$82:$BP$82,5)=0,TRUE,SUMPRODUCT(($BI$82:$BP$82=5)*($AS$82:$AZ$82&lt;&gt;"")*IF(((UPPER($AS$82:$AZ$82)="BLANK")+(UPPER($AS$82:$AZ$82)="(BLANK)")+(UPPER($AS$82:$AZ$82)="EMPTY")+(UPPER($AS$82:$AZ$82)="(EMPTY)"))&gt;0,IFERROR(('Final Calculation Sheet'!$V$13)&amp;"","")="",ISNUMBER(SEARCH($AS$82:$AZ$82,IFERROR(('Final Calculation Sheet'!$V$13)&amp;"","")))))&gt;0),IF(COUNTIF($BI$82:$BP$82,6)=0,TRUE,SUMPRODUCT(($BI$82:$BP$82=6)*($AS$82:$AZ$82&lt;&gt;"")*IF(((UPPER($AS$82:$AZ$82)="BLANK")+(UPPER($AS$82:$AZ$82)="(BLANK)")+(UPPER($AS$82:$AZ$82)="EMPTY")+(UPPER($AS$82:$AZ$82)="(EMPTY)"))&gt;0,IFERROR(('Final Calculation Sheet'!$V$13)&amp;"","")="",ISNUMBER(SEARCH($AS$82:$AZ$82,IFERROR(('Final Calculation Sheet'!$V$13)&amp;"","")))))&gt;0),IF(COUNTIF($BI$82:$BP$82,7)=0,TRUE,SUMPRODUCT(($BI$82:$BP$82=7)*($AS$82:$AZ$82&lt;&gt;"")*IF(((UPPER($AS$82:$AZ$82)="BLANK")+(UPPER($AS$82:$AZ$82)="(BLANK)")+(UPPER($AS$82:$AZ$82)="EMPTY")+(UPPER($AS$82:$AZ$82)="(EMPTY)"))&gt;0,IFERROR(('Final Calculation Sheet'!$V$13)&amp;"","")="",ISNUMBER(SEARCH($AS$82:$AZ$82,IFERROR(('Final Calculation Sheet'!$V$13)&amp;"","")))))&gt;0),IF(COUNTIF($BI$82:$BP$82,8)=0,TRUE,SUMPRODUCT(($BI$82:$BP$82=8)*($AS$82:$AZ$82&lt;&gt;"")*IF(((UPPER($AS$82:$AZ$82)="BLANK")+(UPPER($AS$82:$AZ$82)="(BLANK)")+(UPPER($AS$82:$AZ$82)="EMPTY")+(UPPER($AS$82:$AZ$82)="(EMPTY)"))&gt;0,IFERROR(('Final Calculation Sheet'!$V$13)&amp;"","")="",ISNUMBER(SEARCH($AS$82:$AZ$82,IFERROR(('Final Calculation Sheet'!$V$13)&amp;"","")))))&gt;0))))</f>
        <v>1</v>
      </c>
      <c r="CJ14">
        <f>IF($X$4="",1,--(AND(SUMPRODUCT(--($AS$83:$AZ$83&lt;&gt;""))&gt;0,IF(COUNTIF($BI$83:$BP$83,1)=0,TRUE,SUMPRODUCT(($BI$83:$BP$83=1)*($AS$83:$AZ$83&lt;&gt;"")*IF(((UPPER($AS$83:$AZ$83)="BLANK")+(UPPER($AS$83:$AZ$83)="(BLANK)")+(UPPER($AS$83:$AZ$83)="EMPTY")+(UPPER($AS$83:$AZ$83)="(EMPTY)"))&gt;0,IFERROR(('Final Calculation Sheet'!$W$13)&amp;"","")="",ISNUMBER(SEARCH($AS$83:$AZ$83,IFERROR(('Final Calculation Sheet'!$W$13)&amp;"","")))))&gt;0),IF(COUNTIF($BI$83:$BP$83,2)=0,TRUE,SUMPRODUCT(($BI$83:$BP$83=2)*($AS$83:$AZ$83&lt;&gt;"")*IF(((UPPER($AS$83:$AZ$83)="BLANK")+(UPPER($AS$83:$AZ$83)="(BLANK)")+(UPPER($AS$83:$AZ$83)="EMPTY")+(UPPER($AS$83:$AZ$83)="(EMPTY)"))&gt;0,IFERROR(('Final Calculation Sheet'!$W$13)&amp;"","")="",ISNUMBER(SEARCH($AS$83:$AZ$83,IFERROR(('Final Calculation Sheet'!$W$13)&amp;"","")))))&gt;0),IF(COUNTIF($BI$83:$BP$83,3)=0,TRUE,SUMPRODUCT(($BI$83:$BP$83=3)*($AS$83:$AZ$83&lt;&gt;"")*IF(((UPPER($AS$83:$AZ$83)="BLANK")+(UPPER($AS$83:$AZ$83)="(BLANK)")+(UPPER($AS$83:$AZ$83)="EMPTY")+(UPPER($AS$83:$AZ$83)="(EMPTY)"))&gt;0,IFERROR(('Final Calculation Sheet'!$W$13)&amp;"","")="",ISNUMBER(SEARCH($AS$83:$AZ$83,IFERROR(('Final Calculation Sheet'!$W$13)&amp;"","")))))&gt;0),IF(COUNTIF($BI$83:$BP$83,4)=0,TRUE,SUMPRODUCT(($BI$83:$BP$83=4)*($AS$83:$AZ$83&lt;&gt;"")*IF(((UPPER($AS$83:$AZ$83)="BLANK")+(UPPER($AS$83:$AZ$83)="(BLANK)")+(UPPER($AS$83:$AZ$83)="EMPTY")+(UPPER($AS$83:$AZ$83)="(EMPTY)"))&gt;0,IFERROR(('Final Calculation Sheet'!$W$13)&amp;"","")="",ISNUMBER(SEARCH($AS$83:$AZ$83,IFERROR(('Final Calculation Sheet'!$W$13)&amp;"","")))))&gt;0),IF(COUNTIF($BI$83:$BP$83,5)=0,TRUE,SUMPRODUCT(($BI$83:$BP$83=5)*($AS$83:$AZ$83&lt;&gt;"")*IF(((UPPER($AS$83:$AZ$83)="BLANK")+(UPPER($AS$83:$AZ$83)="(BLANK)")+(UPPER($AS$83:$AZ$83)="EMPTY")+(UPPER($AS$83:$AZ$83)="(EMPTY)"))&gt;0,IFERROR(('Final Calculation Sheet'!$W$13)&amp;"","")="",ISNUMBER(SEARCH($AS$83:$AZ$83,IFERROR(('Final Calculation Sheet'!$W$13)&amp;"","")))))&gt;0),IF(COUNTIF($BI$83:$BP$83,6)=0,TRUE,SUMPRODUCT(($BI$83:$BP$83=6)*($AS$83:$AZ$83&lt;&gt;"")*IF(((UPPER($AS$83:$AZ$83)="BLANK")+(UPPER($AS$83:$AZ$83)="(BLANK)")+(UPPER($AS$83:$AZ$83)="EMPTY")+(UPPER($AS$83:$AZ$83)="(EMPTY)"))&gt;0,IFERROR(('Final Calculation Sheet'!$W$13)&amp;"","")="",ISNUMBER(SEARCH($AS$83:$AZ$83,IFERROR(('Final Calculation Sheet'!$W$13)&amp;"","")))))&gt;0),IF(COUNTIF($BI$83:$BP$83,7)=0,TRUE,SUMPRODUCT(($BI$83:$BP$83=7)*($AS$83:$AZ$83&lt;&gt;"")*IF(((UPPER($AS$83:$AZ$83)="BLANK")+(UPPER($AS$83:$AZ$83)="(BLANK)")+(UPPER($AS$83:$AZ$83)="EMPTY")+(UPPER($AS$83:$AZ$83)="(EMPTY)"))&gt;0,IFERROR(('Final Calculation Sheet'!$W$13)&amp;"","")="",ISNUMBER(SEARCH($AS$83:$AZ$83,IFERROR(('Final Calculation Sheet'!$W$13)&amp;"","")))))&gt;0),IF(COUNTIF($BI$83:$BP$83,8)=0,TRUE,SUMPRODUCT(($BI$83:$BP$83=8)*($AS$83:$AZ$83&lt;&gt;"")*IF(((UPPER($AS$83:$AZ$83)="BLANK")+(UPPER($AS$83:$AZ$83)="(BLANK)")+(UPPER($AS$83:$AZ$83)="EMPTY")+(UPPER($AS$83:$AZ$83)="(EMPTY)"))&gt;0,IFERROR(('Final Calculation Sheet'!$W$13)&amp;"","")="",ISNUMBER(SEARCH($AS$83:$AZ$83,IFERROR(('Final Calculation Sheet'!$W$13)&amp;"","")))))&gt;0))))</f>
        <v>1</v>
      </c>
      <c r="CK14">
        <f>IF($Y$4="",1,--(AND(SUMPRODUCT(--($AS$84:$AZ$84&lt;&gt;""))&gt;0,IF(COUNTIF($BI$84:$BP$84,1)=0,TRUE,SUMPRODUCT(($BI$84:$BP$84=1)*($AS$84:$AZ$84&lt;&gt;"")*IF(((UPPER($AS$84:$AZ$84)="BLANK")+(UPPER($AS$84:$AZ$84)="(BLANK)")+(UPPER($AS$84:$AZ$84)="EMPTY")+(UPPER($AS$84:$AZ$84)="(EMPTY)"))&gt;0,IFERROR(('Final Calculation Sheet'!$X$13)&amp;"","")="",ISNUMBER(SEARCH($AS$84:$AZ$84,IFERROR(('Final Calculation Sheet'!$X$13)&amp;"","")))))&gt;0),IF(COUNTIF($BI$84:$BP$84,2)=0,TRUE,SUMPRODUCT(($BI$84:$BP$84=2)*($AS$84:$AZ$84&lt;&gt;"")*IF(((UPPER($AS$84:$AZ$84)="BLANK")+(UPPER($AS$84:$AZ$84)="(BLANK)")+(UPPER($AS$84:$AZ$84)="EMPTY")+(UPPER($AS$84:$AZ$84)="(EMPTY)"))&gt;0,IFERROR(('Final Calculation Sheet'!$X$13)&amp;"","")="",ISNUMBER(SEARCH($AS$84:$AZ$84,IFERROR(('Final Calculation Sheet'!$X$13)&amp;"","")))))&gt;0),IF(COUNTIF($BI$84:$BP$84,3)=0,TRUE,SUMPRODUCT(($BI$84:$BP$84=3)*($AS$84:$AZ$84&lt;&gt;"")*IF(((UPPER($AS$84:$AZ$84)="BLANK")+(UPPER($AS$84:$AZ$84)="(BLANK)")+(UPPER($AS$84:$AZ$84)="EMPTY")+(UPPER($AS$84:$AZ$84)="(EMPTY)"))&gt;0,IFERROR(('Final Calculation Sheet'!$X$13)&amp;"","")="",ISNUMBER(SEARCH($AS$84:$AZ$84,IFERROR(('Final Calculation Sheet'!$X$13)&amp;"","")))))&gt;0),IF(COUNTIF($BI$84:$BP$84,4)=0,TRUE,SUMPRODUCT(($BI$84:$BP$84=4)*($AS$84:$AZ$84&lt;&gt;"")*IF(((UPPER($AS$84:$AZ$84)="BLANK")+(UPPER($AS$84:$AZ$84)="(BLANK)")+(UPPER($AS$84:$AZ$84)="EMPTY")+(UPPER($AS$84:$AZ$84)="(EMPTY)"))&gt;0,IFERROR(('Final Calculation Sheet'!$X$13)&amp;"","")="",ISNUMBER(SEARCH($AS$84:$AZ$84,IFERROR(('Final Calculation Sheet'!$X$13)&amp;"","")))))&gt;0),IF(COUNTIF($BI$84:$BP$84,5)=0,TRUE,SUMPRODUCT(($BI$84:$BP$84=5)*($AS$84:$AZ$84&lt;&gt;"")*IF(((UPPER($AS$84:$AZ$84)="BLANK")+(UPPER($AS$84:$AZ$84)="(BLANK)")+(UPPER($AS$84:$AZ$84)="EMPTY")+(UPPER($AS$84:$AZ$84)="(EMPTY)"))&gt;0,IFERROR(('Final Calculation Sheet'!$X$13)&amp;"","")="",ISNUMBER(SEARCH($AS$84:$AZ$84,IFERROR(('Final Calculation Sheet'!$X$13)&amp;"","")))))&gt;0),IF(COUNTIF($BI$84:$BP$84,6)=0,TRUE,SUMPRODUCT(($BI$84:$BP$84=6)*($AS$84:$AZ$84&lt;&gt;"")*IF(((UPPER($AS$84:$AZ$84)="BLANK")+(UPPER($AS$84:$AZ$84)="(BLANK)")+(UPPER($AS$84:$AZ$84)="EMPTY")+(UPPER($AS$84:$AZ$84)="(EMPTY)"))&gt;0,IFERROR(('Final Calculation Sheet'!$X$13)&amp;"","")="",ISNUMBER(SEARCH($AS$84:$AZ$84,IFERROR(('Final Calculation Sheet'!$X$13)&amp;"","")))))&gt;0),IF(COUNTIF($BI$84:$BP$84,7)=0,TRUE,SUMPRODUCT(($BI$84:$BP$84=7)*($AS$84:$AZ$84&lt;&gt;"")*IF(((UPPER($AS$84:$AZ$84)="BLANK")+(UPPER($AS$84:$AZ$84)="(BLANK)")+(UPPER($AS$84:$AZ$84)="EMPTY")+(UPPER($AS$84:$AZ$84)="(EMPTY)"))&gt;0,IFERROR(('Final Calculation Sheet'!$X$13)&amp;"","")="",ISNUMBER(SEARCH($AS$84:$AZ$84,IFERROR(('Final Calculation Sheet'!$X$13)&amp;"","")))))&gt;0),IF(COUNTIF($BI$84:$BP$84,8)=0,TRUE,SUMPRODUCT(($BI$84:$BP$84=8)*($AS$84:$AZ$84&lt;&gt;"")*IF(((UPPER($AS$84:$AZ$84)="BLANK")+(UPPER($AS$84:$AZ$84)="(BLANK)")+(UPPER($AS$84:$AZ$84)="EMPTY")+(UPPER($AS$84:$AZ$84)="(EMPTY)"))&gt;0,IFERROR(('Final Calculation Sheet'!$X$13)&amp;"","")="",ISNUMBER(SEARCH($AS$84:$AZ$84,IFERROR(('Final Calculation Sheet'!$X$13)&amp;"","")))))&gt;0))))</f>
        <v>1</v>
      </c>
      <c r="CL14">
        <f>IF($Z$4="",1,--(AND(SUMPRODUCT(--($AS$85:$AZ$85&lt;&gt;""))&gt;0,IF(COUNTIF($BI$85:$BP$85,1)=0,TRUE,SUMPRODUCT(($BI$85:$BP$85=1)*($AS$85:$AZ$85&lt;&gt;"")*IF(((UPPER($AS$85:$AZ$85)="BLANK")+(UPPER($AS$85:$AZ$85)="(BLANK)")+(UPPER($AS$85:$AZ$85)="EMPTY")+(UPPER($AS$85:$AZ$85)="(EMPTY)"))&gt;0,IFERROR(('Final Calculation Sheet'!$Y$13)&amp;"","")="",ISNUMBER(SEARCH($AS$85:$AZ$85,IFERROR(('Final Calculation Sheet'!$Y$13)&amp;"","")))))&gt;0),IF(COUNTIF($BI$85:$BP$85,2)=0,TRUE,SUMPRODUCT(($BI$85:$BP$85=2)*($AS$85:$AZ$85&lt;&gt;"")*IF(((UPPER($AS$85:$AZ$85)="BLANK")+(UPPER($AS$85:$AZ$85)="(BLANK)")+(UPPER($AS$85:$AZ$85)="EMPTY")+(UPPER($AS$85:$AZ$85)="(EMPTY)"))&gt;0,IFERROR(('Final Calculation Sheet'!$Y$13)&amp;"","")="",ISNUMBER(SEARCH($AS$85:$AZ$85,IFERROR(('Final Calculation Sheet'!$Y$13)&amp;"","")))))&gt;0),IF(COUNTIF($BI$85:$BP$85,3)=0,TRUE,SUMPRODUCT(($BI$85:$BP$85=3)*($AS$85:$AZ$85&lt;&gt;"")*IF(((UPPER($AS$85:$AZ$85)="BLANK")+(UPPER($AS$85:$AZ$85)="(BLANK)")+(UPPER($AS$85:$AZ$85)="EMPTY")+(UPPER($AS$85:$AZ$85)="(EMPTY)"))&gt;0,IFERROR(('Final Calculation Sheet'!$Y$13)&amp;"","")="",ISNUMBER(SEARCH($AS$85:$AZ$85,IFERROR(('Final Calculation Sheet'!$Y$13)&amp;"","")))))&gt;0),IF(COUNTIF($BI$85:$BP$85,4)=0,TRUE,SUMPRODUCT(($BI$85:$BP$85=4)*($AS$85:$AZ$85&lt;&gt;"")*IF(((UPPER($AS$85:$AZ$85)="BLANK")+(UPPER($AS$85:$AZ$85)="(BLANK)")+(UPPER($AS$85:$AZ$85)="EMPTY")+(UPPER($AS$85:$AZ$85)="(EMPTY)"))&gt;0,IFERROR(('Final Calculation Sheet'!$Y$13)&amp;"","")="",ISNUMBER(SEARCH($AS$85:$AZ$85,IFERROR(('Final Calculation Sheet'!$Y$13)&amp;"","")))))&gt;0),IF(COUNTIF($BI$85:$BP$85,5)=0,TRUE,SUMPRODUCT(($BI$85:$BP$85=5)*($AS$85:$AZ$85&lt;&gt;"")*IF(((UPPER($AS$85:$AZ$85)="BLANK")+(UPPER($AS$85:$AZ$85)="(BLANK)")+(UPPER($AS$85:$AZ$85)="EMPTY")+(UPPER($AS$85:$AZ$85)="(EMPTY)"))&gt;0,IFERROR(('Final Calculation Sheet'!$Y$13)&amp;"","")="",ISNUMBER(SEARCH($AS$85:$AZ$85,IFERROR(('Final Calculation Sheet'!$Y$13)&amp;"","")))))&gt;0),IF(COUNTIF($BI$85:$BP$85,6)=0,TRUE,SUMPRODUCT(($BI$85:$BP$85=6)*($AS$85:$AZ$85&lt;&gt;"")*IF(((UPPER($AS$85:$AZ$85)="BLANK")+(UPPER($AS$85:$AZ$85)="(BLANK)")+(UPPER($AS$85:$AZ$85)="EMPTY")+(UPPER($AS$85:$AZ$85)="(EMPTY)"))&gt;0,IFERROR(('Final Calculation Sheet'!$Y$13)&amp;"","")="",ISNUMBER(SEARCH($AS$85:$AZ$85,IFERROR(('Final Calculation Sheet'!$Y$13)&amp;"","")))))&gt;0),IF(COUNTIF($BI$85:$BP$85,7)=0,TRUE,SUMPRODUCT(($BI$85:$BP$85=7)*($AS$85:$AZ$85&lt;&gt;"")*IF(((UPPER($AS$85:$AZ$85)="BLANK")+(UPPER($AS$85:$AZ$85)="(BLANK)")+(UPPER($AS$85:$AZ$85)="EMPTY")+(UPPER($AS$85:$AZ$85)="(EMPTY)"))&gt;0,IFERROR(('Final Calculation Sheet'!$Y$13)&amp;"","")="",ISNUMBER(SEARCH($AS$85:$AZ$85,IFERROR(('Final Calculation Sheet'!$Y$13)&amp;"","")))))&gt;0),IF(COUNTIF($BI$85:$BP$85,8)=0,TRUE,SUMPRODUCT(($BI$85:$BP$85=8)*($AS$85:$AZ$85&lt;&gt;"")*IF(((UPPER($AS$85:$AZ$85)="BLANK")+(UPPER($AS$85:$AZ$85)="(BLANK)")+(UPPER($AS$85:$AZ$85)="EMPTY")+(UPPER($AS$85:$AZ$85)="(EMPTY)"))&gt;0,IFERROR(('Final Calculation Sheet'!$Y$13)&amp;"","")="",ISNUMBER(SEARCH($AS$85:$AZ$85,IFERROR(('Final Calculation Sheet'!$Y$13)&amp;"","")))))&gt;0))))</f>
        <v>1</v>
      </c>
      <c r="CM14">
        <f>IF($AA$4="",1,--(AND(SUMPRODUCT(--($AS$86:$AZ$86&lt;&gt;""))&gt;0,IF(COUNTIF($BI$86:$BP$86,1)=0,TRUE,SUMPRODUCT(($BI$86:$BP$86=1)*($AS$86:$AZ$86&lt;&gt;"")*IF(((UPPER($AS$86:$AZ$86)="BLANK")+(UPPER($AS$86:$AZ$86)="(BLANK)")+(UPPER($AS$86:$AZ$86)="EMPTY")+(UPPER($AS$86:$AZ$86)="(EMPTY)"))&gt;0,IFERROR(('Final Calculation Sheet'!$Z$13)&amp;"","")="",ISNUMBER(SEARCH($AS$86:$AZ$86,IFERROR(('Final Calculation Sheet'!$Z$13)&amp;"","")))))&gt;0),IF(COUNTIF($BI$86:$BP$86,2)=0,TRUE,SUMPRODUCT(($BI$86:$BP$86=2)*($AS$86:$AZ$86&lt;&gt;"")*IF(((UPPER($AS$86:$AZ$86)="BLANK")+(UPPER($AS$86:$AZ$86)="(BLANK)")+(UPPER($AS$86:$AZ$86)="EMPTY")+(UPPER($AS$86:$AZ$86)="(EMPTY)"))&gt;0,IFERROR(('Final Calculation Sheet'!$Z$13)&amp;"","")="",ISNUMBER(SEARCH($AS$86:$AZ$86,IFERROR(('Final Calculation Sheet'!$Z$13)&amp;"","")))))&gt;0),IF(COUNTIF($BI$86:$BP$86,3)=0,TRUE,SUMPRODUCT(($BI$86:$BP$86=3)*($AS$86:$AZ$86&lt;&gt;"")*IF(((UPPER($AS$86:$AZ$86)="BLANK")+(UPPER($AS$86:$AZ$86)="(BLANK)")+(UPPER($AS$86:$AZ$86)="EMPTY")+(UPPER($AS$86:$AZ$86)="(EMPTY)"))&gt;0,IFERROR(('Final Calculation Sheet'!$Z$13)&amp;"","")="",ISNUMBER(SEARCH($AS$86:$AZ$86,IFERROR(('Final Calculation Sheet'!$Z$13)&amp;"","")))))&gt;0),IF(COUNTIF($BI$86:$BP$86,4)=0,TRUE,SUMPRODUCT(($BI$86:$BP$86=4)*($AS$86:$AZ$86&lt;&gt;"")*IF(((UPPER($AS$86:$AZ$86)="BLANK")+(UPPER($AS$86:$AZ$86)="(BLANK)")+(UPPER($AS$86:$AZ$86)="EMPTY")+(UPPER($AS$86:$AZ$86)="(EMPTY)"))&gt;0,IFERROR(('Final Calculation Sheet'!$Z$13)&amp;"","")="",ISNUMBER(SEARCH($AS$86:$AZ$86,IFERROR(('Final Calculation Sheet'!$Z$13)&amp;"","")))))&gt;0),IF(COUNTIF($BI$86:$BP$86,5)=0,TRUE,SUMPRODUCT(($BI$86:$BP$86=5)*($AS$86:$AZ$86&lt;&gt;"")*IF(((UPPER($AS$86:$AZ$86)="BLANK")+(UPPER($AS$86:$AZ$86)="(BLANK)")+(UPPER($AS$86:$AZ$86)="EMPTY")+(UPPER($AS$86:$AZ$86)="(EMPTY)"))&gt;0,IFERROR(('Final Calculation Sheet'!$Z$13)&amp;"","")="",ISNUMBER(SEARCH($AS$86:$AZ$86,IFERROR(('Final Calculation Sheet'!$Z$13)&amp;"","")))))&gt;0),IF(COUNTIF($BI$86:$BP$86,6)=0,TRUE,SUMPRODUCT(($BI$86:$BP$86=6)*($AS$86:$AZ$86&lt;&gt;"")*IF(((UPPER($AS$86:$AZ$86)="BLANK")+(UPPER($AS$86:$AZ$86)="(BLANK)")+(UPPER($AS$86:$AZ$86)="EMPTY")+(UPPER($AS$86:$AZ$86)="(EMPTY)"))&gt;0,IFERROR(('Final Calculation Sheet'!$Z$13)&amp;"","")="",ISNUMBER(SEARCH($AS$86:$AZ$86,IFERROR(('Final Calculation Sheet'!$Z$13)&amp;"","")))))&gt;0),IF(COUNTIF($BI$86:$BP$86,7)=0,TRUE,SUMPRODUCT(($BI$86:$BP$86=7)*($AS$86:$AZ$86&lt;&gt;"")*IF(((UPPER($AS$86:$AZ$86)="BLANK")+(UPPER($AS$86:$AZ$86)="(BLANK)")+(UPPER($AS$86:$AZ$86)="EMPTY")+(UPPER($AS$86:$AZ$86)="(EMPTY)"))&gt;0,IFERROR(('Final Calculation Sheet'!$Z$13)&amp;"","")="",ISNUMBER(SEARCH($AS$86:$AZ$86,IFERROR(('Final Calculation Sheet'!$Z$13)&amp;"","")))))&gt;0),IF(COUNTIF($BI$86:$BP$86,8)=0,TRUE,SUMPRODUCT(($BI$86:$BP$86=8)*($AS$86:$AZ$86&lt;&gt;"")*IF(((UPPER($AS$86:$AZ$86)="BLANK")+(UPPER($AS$86:$AZ$86)="(BLANK)")+(UPPER($AS$86:$AZ$86)="EMPTY")+(UPPER($AS$86:$AZ$86)="(EMPTY)"))&gt;0,IFERROR(('Final Calculation Sheet'!$Z$13)&amp;"","")="",ISNUMBER(SEARCH($AS$86:$AZ$86,IFERROR(('Final Calculation Sheet'!$Z$13)&amp;"","")))))&gt;0))))</f>
        <v>1</v>
      </c>
      <c r="CN14">
        <f>IF($AB$4="",1,--(AND(SUMPRODUCT(--($AS$87:$AZ$87&lt;&gt;""))&gt;0,IF(COUNTIF($BI$87:$BP$87,1)=0,TRUE,SUMPRODUCT(($BI$87:$BP$87=1)*($AS$87:$AZ$87&lt;&gt;"")*IF(((UPPER($AS$87:$AZ$87)="BLANK")+(UPPER($AS$87:$AZ$87)="(BLANK)")+(UPPER($AS$87:$AZ$87)="EMPTY")+(UPPER($AS$87:$AZ$87)="(EMPTY)"))&gt;0,IFERROR(('Final Calculation Sheet'!$AA$13)&amp;"","")="",ISNUMBER(SEARCH($AS$87:$AZ$87,IFERROR(('Final Calculation Sheet'!$AA$13)&amp;"","")))))&gt;0),IF(COUNTIF($BI$87:$BP$87,2)=0,TRUE,SUMPRODUCT(($BI$87:$BP$87=2)*($AS$87:$AZ$87&lt;&gt;"")*IF(((UPPER($AS$87:$AZ$87)="BLANK")+(UPPER($AS$87:$AZ$87)="(BLANK)")+(UPPER($AS$87:$AZ$87)="EMPTY")+(UPPER($AS$87:$AZ$87)="(EMPTY)"))&gt;0,IFERROR(('Final Calculation Sheet'!$AA$13)&amp;"","")="",ISNUMBER(SEARCH($AS$87:$AZ$87,IFERROR(('Final Calculation Sheet'!$AA$13)&amp;"","")))))&gt;0),IF(COUNTIF($BI$87:$BP$87,3)=0,TRUE,SUMPRODUCT(($BI$87:$BP$87=3)*($AS$87:$AZ$87&lt;&gt;"")*IF(((UPPER($AS$87:$AZ$87)="BLANK")+(UPPER($AS$87:$AZ$87)="(BLANK)")+(UPPER($AS$87:$AZ$87)="EMPTY")+(UPPER($AS$87:$AZ$87)="(EMPTY)"))&gt;0,IFERROR(('Final Calculation Sheet'!$AA$13)&amp;"","")="",ISNUMBER(SEARCH($AS$87:$AZ$87,IFERROR(('Final Calculation Sheet'!$AA$13)&amp;"","")))))&gt;0),IF(COUNTIF($BI$87:$BP$87,4)=0,TRUE,SUMPRODUCT(($BI$87:$BP$87=4)*($AS$87:$AZ$87&lt;&gt;"")*IF(((UPPER($AS$87:$AZ$87)="BLANK")+(UPPER($AS$87:$AZ$87)="(BLANK)")+(UPPER($AS$87:$AZ$87)="EMPTY")+(UPPER($AS$87:$AZ$87)="(EMPTY)"))&gt;0,IFERROR(('Final Calculation Sheet'!$AA$13)&amp;"","")="",ISNUMBER(SEARCH($AS$87:$AZ$87,IFERROR(('Final Calculation Sheet'!$AA$13)&amp;"","")))))&gt;0),IF(COUNTIF($BI$87:$BP$87,5)=0,TRUE,SUMPRODUCT(($BI$87:$BP$87=5)*($AS$87:$AZ$87&lt;&gt;"")*IF(((UPPER($AS$87:$AZ$87)="BLANK")+(UPPER($AS$87:$AZ$87)="(BLANK)")+(UPPER($AS$87:$AZ$87)="EMPTY")+(UPPER($AS$87:$AZ$87)="(EMPTY)"))&gt;0,IFERROR(('Final Calculation Sheet'!$AA$13)&amp;"","")="",ISNUMBER(SEARCH($AS$87:$AZ$87,IFERROR(('Final Calculation Sheet'!$AA$13)&amp;"","")))))&gt;0),IF(COUNTIF($BI$87:$BP$87,6)=0,TRUE,SUMPRODUCT(($BI$87:$BP$87=6)*($AS$87:$AZ$87&lt;&gt;"")*IF(((UPPER($AS$87:$AZ$87)="BLANK")+(UPPER($AS$87:$AZ$87)="(BLANK)")+(UPPER($AS$87:$AZ$87)="EMPTY")+(UPPER($AS$87:$AZ$87)="(EMPTY)"))&gt;0,IFERROR(('Final Calculation Sheet'!$AA$13)&amp;"","")="",ISNUMBER(SEARCH($AS$87:$AZ$87,IFERROR(('Final Calculation Sheet'!$AA$13)&amp;"","")))))&gt;0),IF(COUNTIF($BI$87:$BP$87,7)=0,TRUE,SUMPRODUCT(($BI$87:$BP$87=7)*($AS$87:$AZ$87&lt;&gt;"")*IF(((UPPER($AS$87:$AZ$87)="BLANK")+(UPPER($AS$87:$AZ$87)="(BLANK)")+(UPPER($AS$87:$AZ$87)="EMPTY")+(UPPER($AS$87:$AZ$87)="(EMPTY)"))&gt;0,IFERROR(('Final Calculation Sheet'!$AA$13)&amp;"","")="",ISNUMBER(SEARCH($AS$87:$AZ$87,IFERROR(('Final Calculation Sheet'!$AA$13)&amp;"","")))))&gt;0),IF(COUNTIF($BI$87:$BP$87,8)=0,TRUE,SUMPRODUCT(($BI$87:$BP$87=8)*($AS$87:$AZ$87&lt;&gt;"")*IF(((UPPER($AS$87:$AZ$87)="BLANK")+(UPPER($AS$87:$AZ$87)="(BLANK)")+(UPPER($AS$87:$AZ$87)="EMPTY")+(UPPER($AS$87:$AZ$87)="(EMPTY)"))&gt;0,IFERROR(('Final Calculation Sheet'!$AA$13)&amp;"","")="",ISNUMBER(SEARCH($AS$87:$AZ$87,IFERROR(('Final Calculation Sheet'!$AA$13)&amp;"","")))))&gt;0))))</f>
        <v>1</v>
      </c>
      <c r="CO14">
        <f>IF($AC$4="",1,--(AND(SUMPRODUCT(--($AS$88:$AZ$88&lt;&gt;""))&gt;0,IF(COUNTIF($BI$88:$BP$88,1)=0,TRUE,SUMPRODUCT(($BI$88:$BP$88=1)*($AS$88:$AZ$88&lt;&gt;"")*IF(((UPPER($AS$88:$AZ$88)="BLANK")+(UPPER($AS$88:$AZ$88)="(BLANK)")+(UPPER($AS$88:$AZ$88)="EMPTY")+(UPPER($AS$88:$AZ$88)="(EMPTY)"))&gt;0,IFERROR(('Final Calculation Sheet'!$AB$13)&amp;"","")="",ISNUMBER(SEARCH($AS$88:$AZ$88,IFERROR(('Final Calculation Sheet'!$AB$13)&amp;"","")))))&gt;0),IF(COUNTIF($BI$88:$BP$88,2)=0,TRUE,SUMPRODUCT(($BI$88:$BP$88=2)*($AS$88:$AZ$88&lt;&gt;"")*IF(((UPPER($AS$88:$AZ$88)="BLANK")+(UPPER($AS$88:$AZ$88)="(BLANK)")+(UPPER($AS$88:$AZ$88)="EMPTY")+(UPPER($AS$88:$AZ$88)="(EMPTY)"))&gt;0,IFERROR(('Final Calculation Sheet'!$AB$13)&amp;"","")="",ISNUMBER(SEARCH($AS$88:$AZ$88,IFERROR(('Final Calculation Sheet'!$AB$13)&amp;"","")))))&gt;0),IF(COUNTIF($BI$88:$BP$88,3)=0,TRUE,SUMPRODUCT(($BI$88:$BP$88=3)*($AS$88:$AZ$88&lt;&gt;"")*IF(((UPPER($AS$88:$AZ$88)="BLANK")+(UPPER($AS$88:$AZ$88)="(BLANK)")+(UPPER($AS$88:$AZ$88)="EMPTY")+(UPPER($AS$88:$AZ$88)="(EMPTY)"))&gt;0,IFERROR(('Final Calculation Sheet'!$AB$13)&amp;"","")="",ISNUMBER(SEARCH($AS$88:$AZ$88,IFERROR(('Final Calculation Sheet'!$AB$13)&amp;"","")))))&gt;0),IF(COUNTIF($BI$88:$BP$88,4)=0,TRUE,SUMPRODUCT(($BI$88:$BP$88=4)*($AS$88:$AZ$88&lt;&gt;"")*IF(((UPPER($AS$88:$AZ$88)="BLANK")+(UPPER($AS$88:$AZ$88)="(BLANK)")+(UPPER($AS$88:$AZ$88)="EMPTY")+(UPPER($AS$88:$AZ$88)="(EMPTY)"))&gt;0,IFERROR(('Final Calculation Sheet'!$AB$13)&amp;"","")="",ISNUMBER(SEARCH($AS$88:$AZ$88,IFERROR(('Final Calculation Sheet'!$AB$13)&amp;"","")))))&gt;0),IF(COUNTIF($BI$88:$BP$88,5)=0,TRUE,SUMPRODUCT(($BI$88:$BP$88=5)*($AS$88:$AZ$88&lt;&gt;"")*IF(((UPPER($AS$88:$AZ$88)="BLANK")+(UPPER($AS$88:$AZ$88)="(BLANK)")+(UPPER($AS$88:$AZ$88)="EMPTY")+(UPPER($AS$88:$AZ$88)="(EMPTY)"))&gt;0,IFERROR(('Final Calculation Sheet'!$AB$13)&amp;"","")="",ISNUMBER(SEARCH($AS$88:$AZ$88,IFERROR(('Final Calculation Sheet'!$AB$13)&amp;"","")))))&gt;0),IF(COUNTIF($BI$88:$BP$88,6)=0,TRUE,SUMPRODUCT(($BI$88:$BP$88=6)*($AS$88:$AZ$88&lt;&gt;"")*IF(((UPPER($AS$88:$AZ$88)="BLANK")+(UPPER($AS$88:$AZ$88)="(BLANK)")+(UPPER($AS$88:$AZ$88)="EMPTY")+(UPPER($AS$88:$AZ$88)="(EMPTY)"))&gt;0,IFERROR(('Final Calculation Sheet'!$AB$13)&amp;"","")="",ISNUMBER(SEARCH($AS$88:$AZ$88,IFERROR(('Final Calculation Sheet'!$AB$13)&amp;"","")))))&gt;0),IF(COUNTIF($BI$88:$BP$88,7)=0,TRUE,SUMPRODUCT(($BI$88:$BP$88=7)*($AS$88:$AZ$88&lt;&gt;"")*IF(((UPPER($AS$88:$AZ$88)="BLANK")+(UPPER($AS$88:$AZ$88)="(BLANK)")+(UPPER($AS$88:$AZ$88)="EMPTY")+(UPPER($AS$88:$AZ$88)="(EMPTY)"))&gt;0,IFERROR(('Final Calculation Sheet'!$AB$13)&amp;"","")="",ISNUMBER(SEARCH($AS$88:$AZ$88,IFERROR(('Final Calculation Sheet'!$AB$13)&amp;"","")))))&gt;0),IF(COUNTIF($BI$88:$BP$88,8)=0,TRUE,SUMPRODUCT(($BI$88:$BP$88=8)*($AS$88:$AZ$88&lt;&gt;"")*IF(((UPPER($AS$88:$AZ$88)="BLANK")+(UPPER($AS$88:$AZ$88)="(BLANK)")+(UPPER($AS$88:$AZ$88)="EMPTY")+(UPPER($AS$88:$AZ$88)="(EMPTY)"))&gt;0,IFERROR(('Final Calculation Sheet'!$AB$13)&amp;"","")="",ISNUMBER(SEARCH($AS$88:$AZ$88,IFERROR(('Final Calculation Sheet'!$AB$13)&amp;"","")))))&gt;0))))</f>
        <v>1</v>
      </c>
      <c r="CP14">
        <f>IF($AD$4="",1,--(AND(SUMPRODUCT(--($AS$89:$AZ$89&lt;&gt;""))&gt;0,IF(COUNTIF($BI$89:$BP$89,1)=0,TRUE,SUMPRODUCT(($BI$89:$BP$89=1)*($AS$89:$AZ$89&lt;&gt;"")*IF(((UPPER($AS$89:$AZ$89)="BLANK")+(UPPER($AS$89:$AZ$89)="(BLANK)")+(UPPER($AS$89:$AZ$89)="EMPTY")+(UPPER($AS$89:$AZ$89)="(EMPTY)"))&gt;0,IFERROR(('Final Calculation Sheet'!$AC$13)&amp;"","")="",ISNUMBER(SEARCH($AS$89:$AZ$89,IFERROR(('Final Calculation Sheet'!$AC$13)&amp;"","")))))&gt;0),IF(COUNTIF($BI$89:$BP$89,2)=0,TRUE,SUMPRODUCT(($BI$89:$BP$89=2)*($AS$89:$AZ$89&lt;&gt;"")*IF(((UPPER($AS$89:$AZ$89)="BLANK")+(UPPER($AS$89:$AZ$89)="(BLANK)")+(UPPER($AS$89:$AZ$89)="EMPTY")+(UPPER($AS$89:$AZ$89)="(EMPTY)"))&gt;0,IFERROR(('Final Calculation Sheet'!$AC$13)&amp;"","")="",ISNUMBER(SEARCH($AS$89:$AZ$89,IFERROR(('Final Calculation Sheet'!$AC$13)&amp;"","")))))&gt;0),IF(COUNTIF($BI$89:$BP$89,3)=0,TRUE,SUMPRODUCT(($BI$89:$BP$89=3)*($AS$89:$AZ$89&lt;&gt;"")*IF(((UPPER($AS$89:$AZ$89)="BLANK")+(UPPER($AS$89:$AZ$89)="(BLANK)")+(UPPER($AS$89:$AZ$89)="EMPTY")+(UPPER($AS$89:$AZ$89)="(EMPTY)"))&gt;0,IFERROR(('Final Calculation Sheet'!$AC$13)&amp;"","")="",ISNUMBER(SEARCH($AS$89:$AZ$89,IFERROR(('Final Calculation Sheet'!$AC$13)&amp;"","")))))&gt;0),IF(COUNTIF($BI$89:$BP$89,4)=0,TRUE,SUMPRODUCT(($BI$89:$BP$89=4)*($AS$89:$AZ$89&lt;&gt;"")*IF(((UPPER($AS$89:$AZ$89)="BLANK")+(UPPER($AS$89:$AZ$89)="(BLANK)")+(UPPER($AS$89:$AZ$89)="EMPTY")+(UPPER($AS$89:$AZ$89)="(EMPTY)"))&gt;0,IFERROR(('Final Calculation Sheet'!$AC$13)&amp;"","")="",ISNUMBER(SEARCH($AS$89:$AZ$89,IFERROR(('Final Calculation Sheet'!$AC$13)&amp;"","")))))&gt;0),IF(COUNTIF($BI$89:$BP$89,5)=0,TRUE,SUMPRODUCT(($BI$89:$BP$89=5)*($AS$89:$AZ$89&lt;&gt;"")*IF(((UPPER($AS$89:$AZ$89)="BLANK")+(UPPER($AS$89:$AZ$89)="(BLANK)")+(UPPER($AS$89:$AZ$89)="EMPTY")+(UPPER($AS$89:$AZ$89)="(EMPTY)"))&gt;0,IFERROR(('Final Calculation Sheet'!$AC$13)&amp;"","")="",ISNUMBER(SEARCH($AS$89:$AZ$89,IFERROR(('Final Calculation Sheet'!$AC$13)&amp;"","")))))&gt;0),IF(COUNTIF($BI$89:$BP$89,6)=0,TRUE,SUMPRODUCT(($BI$89:$BP$89=6)*($AS$89:$AZ$89&lt;&gt;"")*IF(((UPPER($AS$89:$AZ$89)="BLANK")+(UPPER($AS$89:$AZ$89)="(BLANK)")+(UPPER($AS$89:$AZ$89)="EMPTY")+(UPPER($AS$89:$AZ$89)="(EMPTY)"))&gt;0,IFERROR(('Final Calculation Sheet'!$AC$13)&amp;"","")="",ISNUMBER(SEARCH($AS$89:$AZ$89,IFERROR(('Final Calculation Sheet'!$AC$13)&amp;"","")))))&gt;0),IF(COUNTIF($BI$89:$BP$89,7)=0,TRUE,SUMPRODUCT(($BI$89:$BP$89=7)*($AS$89:$AZ$89&lt;&gt;"")*IF(((UPPER($AS$89:$AZ$89)="BLANK")+(UPPER($AS$89:$AZ$89)="(BLANK)")+(UPPER($AS$89:$AZ$89)="EMPTY")+(UPPER($AS$89:$AZ$89)="(EMPTY)"))&gt;0,IFERROR(('Final Calculation Sheet'!$AC$13)&amp;"","")="",ISNUMBER(SEARCH($AS$89:$AZ$89,IFERROR(('Final Calculation Sheet'!$AC$13)&amp;"","")))))&gt;0),IF(COUNTIF($BI$89:$BP$89,8)=0,TRUE,SUMPRODUCT(($BI$89:$BP$89=8)*($AS$89:$AZ$89&lt;&gt;"")*IF(((UPPER($AS$89:$AZ$89)="BLANK")+(UPPER($AS$89:$AZ$89)="(BLANK)")+(UPPER($AS$89:$AZ$89)="EMPTY")+(UPPER($AS$89:$AZ$89)="(EMPTY)"))&gt;0,IFERROR(('Final Calculation Sheet'!$AC$13)&amp;"","")="",ISNUMBER(SEARCH($AS$89:$AZ$89,IFERROR(('Final Calculation Sheet'!$AC$13)&amp;"","")))))&gt;0))))</f>
        <v>1</v>
      </c>
      <c r="CQ14">
        <f>IF($AE$4="",1,--(AND(SUMPRODUCT(--($AS$90:$AZ$90&lt;&gt;""))&gt;0,IF(COUNTIF($BI$90:$BP$90,1)=0,TRUE,SUMPRODUCT(($BI$90:$BP$90=1)*($AS$90:$AZ$90&lt;&gt;"")*IF(((UPPER($AS$90:$AZ$90)="BLANK")+(UPPER($AS$90:$AZ$90)="(BLANK)")+(UPPER($AS$90:$AZ$90)="EMPTY")+(UPPER($AS$90:$AZ$90)="(EMPTY)"))&gt;0,IFERROR(('Final Calculation Sheet'!$AD$13)&amp;"","")="",ISNUMBER(SEARCH($AS$90:$AZ$90,IFERROR(('Final Calculation Sheet'!$AD$13)&amp;"","")))))&gt;0),IF(COUNTIF($BI$90:$BP$90,2)=0,TRUE,SUMPRODUCT(($BI$90:$BP$90=2)*($AS$90:$AZ$90&lt;&gt;"")*IF(((UPPER($AS$90:$AZ$90)="BLANK")+(UPPER($AS$90:$AZ$90)="(BLANK)")+(UPPER($AS$90:$AZ$90)="EMPTY")+(UPPER($AS$90:$AZ$90)="(EMPTY)"))&gt;0,IFERROR(('Final Calculation Sheet'!$AD$13)&amp;"","")="",ISNUMBER(SEARCH($AS$90:$AZ$90,IFERROR(('Final Calculation Sheet'!$AD$13)&amp;"","")))))&gt;0),IF(COUNTIF($BI$90:$BP$90,3)=0,TRUE,SUMPRODUCT(($BI$90:$BP$90=3)*($AS$90:$AZ$90&lt;&gt;"")*IF(((UPPER($AS$90:$AZ$90)="BLANK")+(UPPER($AS$90:$AZ$90)="(BLANK)")+(UPPER($AS$90:$AZ$90)="EMPTY")+(UPPER($AS$90:$AZ$90)="(EMPTY)"))&gt;0,IFERROR(('Final Calculation Sheet'!$AD$13)&amp;"","")="",ISNUMBER(SEARCH($AS$90:$AZ$90,IFERROR(('Final Calculation Sheet'!$AD$13)&amp;"","")))))&gt;0),IF(COUNTIF($BI$90:$BP$90,4)=0,TRUE,SUMPRODUCT(($BI$90:$BP$90=4)*($AS$90:$AZ$90&lt;&gt;"")*IF(((UPPER($AS$90:$AZ$90)="BLANK")+(UPPER($AS$90:$AZ$90)="(BLANK)")+(UPPER($AS$90:$AZ$90)="EMPTY")+(UPPER($AS$90:$AZ$90)="(EMPTY)"))&gt;0,IFERROR(('Final Calculation Sheet'!$AD$13)&amp;"","")="",ISNUMBER(SEARCH($AS$90:$AZ$90,IFERROR(('Final Calculation Sheet'!$AD$13)&amp;"","")))))&gt;0),IF(COUNTIF($BI$90:$BP$90,5)=0,TRUE,SUMPRODUCT(($BI$90:$BP$90=5)*($AS$90:$AZ$90&lt;&gt;"")*IF(((UPPER($AS$90:$AZ$90)="BLANK")+(UPPER($AS$90:$AZ$90)="(BLANK)")+(UPPER($AS$90:$AZ$90)="EMPTY")+(UPPER($AS$90:$AZ$90)="(EMPTY)"))&gt;0,IFERROR(('Final Calculation Sheet'!$AD$13)&amp;"","")="",ISNUMBER(SEARCH($AS$90:$AZ$90,IFERROR(('Final Calculation Sheet'!$AD$13)&amp;"","")))))&gt;0),IF(COUNTIF($BI$90:$BP$90,6)=0,TRUE,SUMPRODUCT(($BI$90:$BP$90=6)*($AS$90:$AZ$90&lt;&gt;"")*IF(((UPPER($AS$90:$AZ$90)="BLANK")+(UPPER($AS$90:$AZ$90)="(BLANK)")+(UPPER($AS$90:$AZ$90)="EMPTY")+(UPPER($AS$90:$AZ$90)="(EMPTY)"))&gt;0,IFERROR(('Final Calculation Sheet'!$AD$13)&amp;"","")="",ISNUMBER(SEARCH($AS$90:$AZ$90,IFERROR(('Final Calculation Sheet'!$AD$13)&amp;"","")))))&gt;0),IF(COUNTIF($BI$90:$BP$90,7)=0,TRUE,SUMPRODUCT(($BI$90:$BP$90=7)*($AS$90:$AZ$90&lt;&gt;"")*IF(((UPPER($AS$90:$AZ$90)="BLANK")+(UPPER($AS$90:$AZ$90)="(BLANK)")+(UPPER($AS$90:$AZ$90)="EMPTY")+(UPPER($AS$90:$AZ$90)="(EMPTY)"))&gt;0,IFERROR(('Final Calculation Sheet'!$AD$13)&amp;"","")="",ISNUMBER(SEARCH($AS$90:$AZ$90,IFERROR(('Final Calculation Sheet'!$AD$13)&amp;"","")))))&gt;0),IF(COUNTIF($BI$90:$BP$90,8)=0,TRUE,SUMPRODUCT(($BI$90:$BP$90=8)*($AS$90:$AZ$90&lt;&gt;"")*IF(((UPPER($AS$90:$AZ$90)="BLANK")+(UPPER($AS$90:$AZ$90)="(BLANK)")+(UPPER($AS$90:$AZ$90)="EMPTY")+(UPPER($AS$90:$AZ$90)="(EMPTY)"))&gt;0,IFERROR(('Final Calculation Sheet'!$AD$13)&amp;"","")="",ISNUMBER(SEARCH($AS$90:$AZ$90,IFERROR(('Final Calculation Sheet'!$AD$13)&amp;"","")))))&gt;0))))</f>
        <v>1</v>
      </c>
      <c r="CR14">
        <f>IF($AF$4="",1,--(AND(SUMPRODUCT(--($AS$91:$AZ$91&lt;&gt;""))&gt;0,IF(COUNTIF($BI$91:$BP$91,1)=0,TRUE,SUMPRODUCT(($BI$91:$BP$91=1)*($AS$91:$AZ$91&lt;&gt;"")*IF(((UPPER($AS$91:$AZ$91)="BLANK")+(UPPER($AS$91:$AZ$91)="(BLANK)")+(UPPER($AS$91:$AZ$91)="EMPTY")+(UPPER($AS$91:$AZ$91)="(EMPTY)"))&gt;0,IFERROR(('Final Calculation Sheet'!$AE$13)&amp;"","")="",ISNUMBER(SEARCH($AS$91:$AZ$91,IFERROR(('Final Calculation Sheet'!$AE$13)&amp;"","")))))&gt;0),IF(COUNTIF($BI$91:$BP$91,2)=0,TRUE,SUMPRODUCT(($BI$91:$BP$91=2)*($AS$91:$AZ$91&lt;&gt;"")*IF(((UPPER($AS$91:$AZ$91)="BLANK")+(UPPER($AS$91:$AZ$91)="(BLANK)")+(UPPER($AS$91:$AZ$91)="EMPTY")+(UPPER($AS$91:$AZ$91)="(EMPTY)"))&gt;0,IFERROR(('Final Calculation Sheet'!$AE$13)&amp;"","")="",ISNUMBER(SEARCH($AS$91:$AZ$91,IFERROR(('Final Calculation Sheet'!$AE$13)&amp;"","")))))&gt;0),IF(COUNTIF($BI$91:$BP$91,3)=0,TRUE,SUMPRODUCT(($BI$91:$BP$91=3)*($AS$91:$AZ$91&lt;&gt;"")*IF(((UPPER($AS$91:$AZ$91)="BLANK")+(UPPER($AS$91:$AZ$91)="(BLANK)")+(UPPER($AS$91:$AZ$91)="EMPTY")+(UPPER($AS$91:$AZ$91)="(EMPTY)"))&gt;0,IFERROR(('Final Calculation Sheet'!$AE$13)&amp;"","")="",ISNUMBER(SEARCH($AS$91:$AZ$91,IFERROR(('Final Calculation Sheet'!$AE$13)&amp;"","")))))&gt;0),IF(COUNTIF($BI$91:$BP$91,4)=0,TRUE,SUMPRODUCT(($BI$91:$BP$91=4)*($AS$91:$AZ$91&lt;&gt;"")*IF(((UPPER($AS$91:$AZ$91)="BLANK")+(UPPER($AS$91:$AZ$91)="(BLANK)")+(UPPER($AS$91:$AZ$91)="EMPTY")+(UPPER($AS$91:$AZ$91)="(EMPTY)"))&gt;0,IFERROR(('Final Calculation Sheet'!$AE$13)&amp;"","")="",ISNUMBER(SEARCH($AS$91:$AZ$91,IFERROR(('Final Calculation Sheet'!$AE$13)&amp;"","")))))&gt;0),IF(COUNTIF($BI$91:$BP$91,5)=0,TRUE,SUMPRODUCT(($BI$91:$BP$91=5)*($AS$91:$AZ$91&lt;&gt;"")*IF(((UPPER($AS$91:$AZ$91)="BLANK")+(UPPER($AS$91:$AZ$91)="(BLANK)")+(UPPER($AS$91:$AZ$91)="EMPTY")+(UPPER($AS$91:$AZ$91)="(EMPTY)"))&gt;0,IFERROR(('Final Calculation Sheet'!$AE$13)&amp;"","")="",ISNUMBER(SEARCH($AS$91:$AZ$91,IFERROR(('Final Calculation Sheet'!$AE$13)&amp;"","")))))&gt;0),IF(COUNTIF($BI$91:$BP$91,6)=0,TRUE,SUMPRODUCT(($BI$91:$BP$91=6)*($AS$91:$AZ$91&lt;&gt;"")*IF(((UPPER($AS$91:$AZ$91)="BLANK")+(UPPER($AS$91:$AZ$91)="(BLANK)")+(UPPER($AS$91:$AZ$91)="EMPTY")+(UPPER($AS$91:$AZ$91)="(EMPTY)"))&gt;0,IFERROR(('Final Calculation Sheet'!$AE$13)&amp;"","")="",ISNUMBER(SEARCH($AS$91:$AZ$91,IFERROR(('Final Calculation Sheet'!$AE$13)&amp;"","")))))&gt;0),IF(COUNTIF($BI$91:$BP$91,7)=0,TRUE,SUMPRODUCT(($BI$91:$BP$91=7)*($AS$91:$AZ$91&lt;&gt;"")*IF(((UPPER($AS$91:$AZ$91)="BLANK")+(UPPER($AS$91:$AZ$91)="(BLANK)")+(UPPER($AS$91:$AZ$91)="EMPTY")+(UPPER($AS$91:$AZ$91)="(EMPTY)"))&gt;0,IFERROR(('Final Calculation Sheet'!$AE$13)&amp;"","")="",ISNUMBER(SEARCH($AS$91:$AZ$91,IFERROR(('Final Calculation Sheet'!$AE$13)&amp;"","")))))&gt;0),IF(COUNTIF($BI$91:$BP$91,8)=0,TRUE,SUMPRODUCT(($BI$91:$BP$91=8)*($AS$91:$AZ$91&lt;&gt;"")*IF(((UPPER($AS$91:$AZ$91)="BLANK")+(UPPER($AS$91:$AZ$91)="(BLANK)")+(UPPER($AS$91:$AZ$91)="EMPTY")+(UPPER($AS$91:$AZ$91)="(EMPTY)"))&gt;0,IFERROR(('Final Calculation Sheet'!$AE$13)&amp;"","")="",ISNUMBER(SEARCH($AS$91:$AZ$91,IFERROR(('Final Calculation Sheet'!$AE$13)&amp;"","")))))&gt;0))))</f>
        <v>1</v>
      </c>
      <c r="CS14">
        <f>IF($AG$4="",1,--(AND(SUMPRODUCT(--($AS$92:$AZ$92&lt;&gt;""))&gt;0,IF(COUNTIF($BI$92:$BP$92,1)=0,TRUE,SUMPRODUCT(($BI$92:$BP$92=1)*($AS$92:$AZ$92&lt;&gt;"")*IF(((UPPER($AS$92:$AZ$92)="BLANK")+(UPPER($AS$92:$AZ$92)="(BLANK)")+(UPPER($AS$92:$AZ$92)="EMPTY")+(UPPER($AS$92:$AZ$92)="(EMPTY)"))&gt;0,IFERROR(('Final Calculation Sheet'!$AF$13)&amp;"","")="",ISNUMBER(SEARCH($AS$92:$AZ$92,IFERROR(('Final Calculation Sheet'!$AF$13)&amp;"","")))))&gt;0),IF(COUNTIF($BI$92:$BP$92,2)=0,TRUE,SUMPRODUCT(($BI$92:$BP$92=2)*($AS$92:$AZ$92&lt;&gt;"")*IF(((UPPER($AS$92:$AZ$92)="BLANK")+(UPPER($AS$92:$AZ$92)="(BLANK)")+(UPPER($AS$92:$AZ$92)="EMPTY")+(UPPER($AS$92:$AZ$92)="(EMPTY)"))&gt;0,IFERROR(('Final Calculation Sheet'!$AF$13)&amp;"","")="",ISNUMBER(SEARCH($AS$92:$AZ$92,IFERROR(('Final Calculation Sheet'!$AF$13)&amp;"","")))))&gt;0),IF(COUNTIF($BI$92:$BP$92,3)=0,TRUE,SUMPRODUCT(($BI$92:$BP$92=3)*($AS$92:$AZ$92&lt;&gt;"")*IF(((UPPER($AS$92:$AZ$92)="BLANK")+(UPPER($AS$92:$AZ$92)="(BLANK)")+(UPPER($AS$92:$AZ$92)="EMPTY")+(UPPER($AS$92:$AZ$92)="(EMPTY)"))&gt;0,IFERROR(('Final Calculation Sheet'!$AF$13)&amp;"","")="",ISNUMBER(SEARCH($AS$92:$AZ$92,IFERROR(('Final Calculation Sheet'!$AF$13)&amp;"","")))))&gt;0),IF(COUNTIF($BI$92:$BP$92,4)=0,TRUE,SUMPRODUCT(($BI$92:$BP$92=4)*($AS$92:$AZ$92&lt;&gt;"")*IF(((UPPER($AS$92:$AZ$92)="BLANK")+(UPPER($AS$92:$AZ$92)="(BLANK)")+(UPPER($AS$92:$AZ$92)="EMPTY")+(UPPER($AS$92:$AZ$92)="(EMPTY)"))&gt;0,IFERROR(('Final Calculation Sheet'!$AF$13)&amp;"","")="",ISNUMBER(SEARCH($AS$92:$AZ$92,IFERROR(('Final Calculation Sheet'!$AF$13)&amp;"","")))))&gt;0),IF(COUNTIF($BI$92:$BP$92,5)=0,TRUE,SUMPRODUCT(($BI$92:$BP$92=5)*($AS$92:$AZ$92&lt;&gt;"")*IF(((UPPER($AS$92:$AZ$92)="BLANK")+(UPPER($AS$92:$AZ$92)="(BLANK)")+(UPPER($AS$92:$AZ$92)="EMPTY")+(UPPER($AS$92:$AZ$92)="(EMPTY)"))&gt;0,IFERROR(('Final Calculation Sheet'!$AF$13)&amp;"","")="",ISNUMBER(SEARCH($AS$92:$AZ$92,IFERROR(('Final Calculation Sheet'!$AF$13)&amp;"","")))))&gt;0),IF(COUNTIF($BI$92:$BP$92,6)=0,TRUE,SUMPRODUCT(($BI$92:$BP$92=6)*($AS$92:$AZ$92&lt;&gt;"")*IF(((UPPER($AS$92:$AZ$92)="BLANK")+(UPPER($AS$92:$AZ$92)="(BLANK)")+(UPPER($AS$92:$AZ$92)="EMPTY")+(UPPER($AS$92:$AZ$92)="(EMPTY)"))&gt;0,IFERROR(('Final Calculation Sheet'!$AF$13)&amp;"","")="",ISNUMBER(SEARCH($AS$92:$AZ$92,IFERROR(('Final Calculation Sheet'!$AF$13)&amp;"","")))))&gt;0),IF(COUNTIF($BI$92:$BP$92,7)=0,TRUE,SUMPRODUCT(($BI$92:$BP$92=7)*($AS$92:$AZ$92&lt;&gt;"")*IF(((UPPER($AS$92:$AZ$92)="BLANK")+(UPPER($AS$92:$AZ$92)="(BLANK)")+(UPPER($AS$92:$AZ$92)="EMPTY")+(UPPER($AS$92:$AZ$92)="(EMPTY)"))&gt;0,IFERROR(('Final Calculation Sheet'!$AF$13)&amp;"","")="",ISNUMBER(SEARCH($AS$92:$AZ$92,IFERROR(('Final Calculation Sheet'!$AF$13)&amp;"","")))))&gt;0),IF(COUNTIF($BI$92:$BP$92,8)=0,TRUE,SUMPRODUCT(($BI$92:$BP$92=8)*($AS$92:$AZ$92&lt;&gt;"")*IF(((UPPER($AS$92:$AZ$92)="BLANK")+(UPPER($AS$92:$AZ$92)="(BLANK)")+(UPPER($AS$92:$AZ$92)="EMPTY")+(UPPER($AS$92:$AZ$92)="(EMPTY)"))&gt;0,IFERROR(('Final Calculation Sheet'!$AF$13)&amp;"","")="",ISNUMBER(SEARCH($AS$92:$AZ$92,IFERROR(('Final Calculation Sheet'!$AF$13)&amp;"","")))))&gt;0))))</f>
        <v>1</v>
      </c>
      <c r="CT14">
        <f>IF($AH$4="",1,--(AND(SUMPRODUCT(--($AS$93:$AZ$93&lt;&gt;""))&gt;0,IF(COUNTIF($BI$93:$BP$93,1)=0,TRUE,SUMPRODUCT(($BI$93:$BP$93=1)*($AS$93:$AZ$93&lt;&gt;"")*IF(((UPPER($AS$93:$AZ$93)="BLANK")+(UPPER($AS$93:$AZ$93)="(BLANK)")+(UPPER($AS$93:$AZ$93)="EMPTY")+(UPPER($AS$93:$AZ$93)="(EMPTY)"))&gt;0,IFERROR(('Final Calculation Sheet'!$AG$13)&amp;"","")="",ISNUMBER(SEARCH($AS$93:$AZ$93,IFERROR(('Final Calculation Sheet'!$AG$13)&amp;"","")))))&gt;0),IF(COUNTIF($BI$93:$BP$93,2)=0,TRUE,SUMPRODUCT(($BI$93:$BP$93=2)*($AS$93:$AZ$93&lt;&gt;"")*IF(((UPPER($AS$93:$AZ$93)="BLANK")+(UPPER($AS$93:$AZ$93)="(BLANK)")+(UPPER($AS$93:$AZ$93)="EMPTY")+(UPPER($AS$93:$AZ$93)="(EMPTY)"))&gt;0,IFERROR(('Final Calculation Sheet'!$AG$13)&amp;"","")="",ISNUMBER(SEARCH($AS$93:$AZ$93,IFERROR(('Final Calculation Sheet'!$AG$13)&amp;"","")))))&gt;0),IF(COUNTIF($BI$93:$BP$93,3)=0,TRUE,SUMPRODUCT(($BI$93:$BP$93=3)*($AS$93:$AZ$93&lt;&gt;"")*IF(((UPPER($AS$93:$AZ$93)="BLANK")+(UPPER($AS$93:$AZ$93)="(BLANK)")+(UPPER($AS$93:$AZ$93)="EMPTY")+(UPPER($AS$93:$AZ$93)="(EMPTY)"))&gt;0,IFERROR(('Final Calculation Sheet'!$AG$13)&amp;"","")="",ISNUMBER(SEARCH($AS$93:$AZ$93,IFERROR(('Final Calculation Sheet'!$AG$13)&amp;"","")))))&gt;0),IF(COUNTIF($BI$93:$BP$93,4)=0,TRUE,SUMPRODUCT(($BI$93:$BP$93=4)*($AS$93:$AZ$93&lt;&gt;"")*IF(((UPPER($AS$93:$AZ$93)="BLANK")+(UPPER($AS$93:$AZ$93)="(BLANK)")+(UPPER($AS$93:$AZ$93)="EMPTY")+(UPPER($AS$93:$AZ$93)="(EMPTY)"))&gt;0,IFERROR(('Final Calculation Sheet'!$AG$13)&amp;"","")="",ISNUMBER(SEARCH($AS$93:$AZ$93,IFERROR(('Final Calculation Sheet'!$AG$13)&amp;"","")))))&gt;0),IF(COUNTIF($BI$93:$BP$93,5)=0,TRUE,SUMPRODUCT(($BI$93:$BP$93=5)*($AS$93:$AZ$93&lt;&gt;"")*IF(((UPPER($AS$93:$AZ$93)="BLANK")+(UPPER($AS$93:$AZ$93)="(BLANK)")+(UPPER($AS$93:$AZ$93)="EMPTY")+(UPPER($AS$93:$AZ$93)="(EMPTY)"))&gt;0,IFERROR(('Final Calculation Sheet'!$AG$13)&amp;"","")="",ISNUMBER(SEARCH($AS$93:$AZ$93,IFERROR(('Final Calculation Sheet'!$AG$13)&amp;"","")))))&gt;0),IF(COUNTIF($BI$93:$BP$93,6)=0,TRUE,SUMPRODUCT(($BI$93:$BP$93=6)*($AS$93:$AZ$93&lt;&gt;"")*IF(((UPPER($AS$93:$AZ$93)="BLANK")+(UPPER($AS$93:$AZ$93)="(BLANK)")+(UPPER($AS$93:$AZ$93)="EMPTY")+(UPPER($AS$93:$AZ$93)="(EMPTY)"))&gt;0,IFERROR(('Final Calculation Sheet'!$AG$13)&amp;"","")="",ISNUMBER(SEARCH($AS$93:$AZ$93,IFERROR(('Final Calculation Sheet'!$AG$13)&amp;"","")))))&gt;0),IF(COUNTIF($BI$93:$BP$93,7)=0,TRUE,SUMPRODUCT(($BI$93:$BP$93=7)*($AS$93:$AZ$93&lt;&gt;"")*IF(((UPPER($AS$93:$AZ$93)="BLANK")+(UPPER($AS$93:$AZ$93)="(BLANK)")+(UPPER($AS$93:$AZ$93)="EMPTY")+(UPPER($AS$93:$AZ$93)="(EMPTY)"))&gt;0,IFERROR(('Final Calculation Sheet'!$AG$13)&amp;"","")="",ISNUMBER(SEARCH($AS$93:$AZ$93,IFERROR(('Final Calculation Sheet'!$AG$13)&amp;"","")))))&gt;0),IF(COUNTIF($BI$93:$BP$93,8)=0,TRUE,SUMPRODUCT(($BI$93:$BP$93=8)*($AS$93:$AZ$93&lt;&gt;"")*IF(((UPPER($AS$93:$AZ$93)="BLANK")+(UPPER($AS$93:$AZ$93)="(BLANK)")+(UPPER($AS$93:$AZ$93)="EMPTY")+(UPPER($AS$93:$AZ$93)="(EMPTY)"))&gt;0,IFERROR(('Final Calculation Sheet'!$AG$13)&amp;"","")="",ISNUMBER(SEARCH($AS$93:$AZ$93,IFERROR(('Final Calculation Sheet'!$AG$13)&amp;"","")))))&gt;0))))</f>
        <v>1</v>
      </c>
      <c r="CU14">
        <f>IF($AI$4="",1,--(AND(SUMPRODUCT(--($AS$94:$AZ$94&lt;&gt;""))&gt;0,IF(COUNTIF($BI$94:$BP$94,1)=0,TRUE,SUMPRODUCT(($BI$94:$BP$94=1)*($AS$94:$AZ$94&lt;&gt;"")*IF(((UPPER($AS$94:$AZ$94)="BLANK")+(UPPER($AS$94:$AZ$94)="(BLANK)")+(UPPER($AS$94:$AZ$94)="EMPTY")+(UPPER($AS$94:$AZ$94)="(EMPTY)"))&gt;0,IFERROR((IF('Final Calculation Sheet'!$AD$13&lt;=0,"SETTLED","OUTSTANDING"))&amp;"","")="",ISNUMBER(SEARCH($AS$94:$AZ$94,IFERROR((IF('Final Calculation Sheet'!$AD$13&lt;=0,"SETTLED","OUTSTANDING"))&amp;"","")))))&gt;0),IF(COUNTIF($BI$94:$BP$94,2)=0,TRUE,SUMPRODUCT(($BI$94:$BP$94=2)*($AS$94:$AZ$94&lt;&gt;"")*IF(((UPPER($AS$94:$AZ$94)="BLANK")+(UPPER($AS$94:$AZ$94)="(BLANK)")+(UPPER($AS$94:$AZ$94)="EMPTY")+(UPPER($AS$94:$AZ$94)="(EMPTY)"))&gt;0,IFERROR((IF('Final Calculation Sheet'!$AD$13&lt;=0,"SETTLED","OUTSTANDING"))&amp;"","")="",ISNUMBER(SEARCH($AS$94:$AZ$94,IFERROR((IF('Final Calculation Sheet'!$AD$13&lt;=0,"SETTLED","OUTSTANDING"))&amp;"","")))))&gt;0),IF(COUNTIF($BI$94:$BP$94,3)=0,TRUE,SUMPRODUCT(($BI$94:$BP$94=3)*($AS$94:$AZ$94&lt;&gt;"")*IF(((UPPER($AS$94:$AZ$94)="BLANK")+(UPPER($AS$94:$AZ$94)="(BLANK)")+(UPPER($AS$94:$AZ$94)="EMPTY")+(UPPER($AS$94:$AZ$94)="(EMPTY)"))&gt;0,IFERROR((IF('Final Calculation Sheet'!$AD$13&lt;=0,"SETTLED","OUTSTANDING"))&amp;"","")="",ISNUMBER(SEARCH($AS$94:$AZ$94,IFERROR((IF('Final Calculation Sheet'!$AD$13&lt;=0,"SETTLED","OUTSTANDING"))&amp;"","")))))&gt;0),IF(COUNTIF($BI$94:$BP$94,4)=0,TRUE,SUMPRODUCT(($BI$94:$BP$94=4)*($AS$94:$AZ$94&lt;&gt;"")*IF(((UPPER($AS$94:$AZ$94)="BLANK")+(UPPER($AS$94:$AZ$94)="(BLANK)")+(UPPER($AS$94:$AZ$94)="EMPTY")+(UPPER($AS$94:$AZ$94)="(EMPTY)"))&gt;0,IFERROR((IF('Final Calculation Sheet'!$AD$13&lt;=0,"SETTLED","OUTSTANDING"))&amp;"","")="",ISNUMBER(SEARCH($AS$94:$AZ$94,IFERROR((IF('Final Calculation Sheet'!$AD$13&lt;=0,"SETTLED","OUTSTANDING"))&amp;"","")))))&gt;0),IF(COUNTIF($BI$94:$BP$94,5)=0,TRUE,SUMPRODUCT(($BI$94:$BP$94=5)*($AS$94:$AZ$94&lt;&gt;"")*IF(((UPPER($AS$94:$AZ$94)="BLANK")+(UPPER($AS$94:$AZ$94)="(BLANK)")+(UPPER($AS$94:$AZ$94)="EMPTY")+(UPPER($AS$94:$AZ$94)="(EMPTY)"))&gt;0,IFERROR((IF('Final Calculation Sheet'!$AD$13&lt;=0,"SETTLED","OUTSTANDING"))&amp;"","")="",ISNUMBER(SEARCH($AS$94:$AZ$94,IFERROR((IF('Final Calculation Sheet'!$AD$13&lt;=0,"SETTLED","OUTSTANDING"))&amp;"","")))))&gt;0),IF(COUNTIF($BI$94:$BP$94,6)=0,TRUE,SUMPRODUCT(($BI$94:$BP$94=6)*($AS$94:$AZ$94&lt;&gt;"")*IF(((UPPER($AS$94:$AZ$94)="BLANK")+(UPPER($AS$94:$AZ$94)="(BLANK)")+(UPPER($AS$94:$AZ$94)="EMPTY")+(UPPER($AS$94:$AZ$94)="(EMPTY)"))&gt;0,IFERROR((IF('Final Calculation Sheet'!$AD$13&lt;=0,"SETTLED","OUTSTANDING"))&amp;"","")="",ISNUMBER(SEARCH($AS$94:$AZ$94,IFERROR((IF('Final Calculation Sheet'!$AD$13&lt;=0,"SETTLED","OUTSTANDING"))&amp;"","")))))&gt;0),IF(COUNTIF($BI$94:$BP$94,7)=0,TRUE,SUMPRODUCT(($BI$94:$BP$94=7)*($AS$94:$AZ$94&lt;&gt;"")*IF(((UPPER($AS$94:$AZ$94)="BLANK")+(UPPER($AS$94:$AZ$94)="(BLANK)")+(UPPER($AS$94:$AZ$94)="EMPTY")+(UPPER($AS$94:$AZ$94)="(EMPTY)"))&gt;0,IFERROR((IF('Final Calculation Sheet'!$AD$13&lt;=0,"SETTLED","OUTSTANDING"))&amp;"","")="",ISNUMBER(SEARCH($AS$94:$AZ$94,IFERROR((IF('Final Calculation Sheet'!$AD$13&lt;=0,"SETTLED","OUTSTANDING"))&amp;"","")))))&gt;0),IF(COUNTIF($BI$94:$BP$94,8)=0,TRUE,SUMPRODUCT(($BI$94:$BP$94=8)*($AS$94:$AZ$94&lt;&gt;"")*IF(((UPPER($AS$94:$AZ$94)="BLANK")+(UPPER($AS$94:$AZ$94)="(BLANK)")+(UPPER($AS$94:$AZ$94)="EMPTY")+(UPPER($AS$94:$AZ$94)="(EMPTY)"))&gt;0,IFERROR((IF('Final Calculation Sheet'!$AD$13&lt;=0,"SETTLED","OUTSTANDING"))&amp;"","")="",ISNUMBER(SEARCH($AS$94:$AZ$94,IFERROR((IF('Final Calculation Sheet'!$AD$13&lt;=0,"SETTLED","OUTSTANDING"))&amp;"","")))))&gt;0))))</f>
        <v>1</v>
      </c>
    </row>
    <row r="15" spans="1:99" ht="15" customHeight="1" x14ac:dyDescent="0.25">
      <c r="A15" s="67">
        <f>IF($BJ14&gt;0,INDEX($BA$5:$BA$41,MATCH(14,$BB$5:$BB$41,0)),IF(OR($BI14=1,$BL14=1,$BH14&gt;0),"∑",""))</f>
        <v>5</v>
      </c>
      <c r="B15" s="68">
        <f>IF($BJ14&gt;0,IF(INDEX('Final Calculation Sheet'!$F$4:$F$40,$BJ14-3)="","",INDEX('Final Calculation Sheet'!$F$4:$F$40,$BJ14-3)),"")</f>
        <v>2062</v>
      </c>
      <c r="C15" s="68" t="str">
        <f>IF($BJ14&gt;0,IF(INDEX('Final Calculation Sheet'!$G$4:$G$40,$BJ14-3)="","",INDEX('Final Calculation Sheet'!$G$4:$G$40,$BJ14-3)),IF(OR($BI14=1,$BL14=1,$BH14&gt;0),IF($BI14=1,37,IF($BL14=1,37-INDEX($BD$4:$BD$13,10),INDEX($BD$4:$BD$13,$BH14)))&amp;" lot(s)",""))</f>
        <v>STERLING ENTERPRISES</v>
      </c>
      <c r="D15" s="69" t="str">
        <f>IF($BJ14&gt;0,IF(INDEX('Final Calculation Sheet'!$B$4:$B$40,$BJ14-3)="","",INDEX('Final Calculation Sheet'!$B$4:$B$40,$BJ14-3)),IF(OR($BI14=1,$BL14=1,$BH14&gt;0),IF($BI14=1,"GRAND TOTAL  —  matching + remaining",IF($BL14=1,"TOTAL MATCHED  —  every group together",IF($BH14=10,"REMAINING  —  did not match the search",IF($BH14=9,IF(COUNTIF($A$4:$AI$4,"&lt;&gt;")&gt;0,"FILTERED LOTS  —  column fields","ALL LOTS  —  nothing typed in the box"),"GROUP "&amp;$BH14&amp;" TOTAL  —  lots matching  "&amp;INDEX($AR$6:$AY$6,$BH14))))),""))</f>
        <v>Scrap of Empty oil Barrels</v>
      </c>
      <c r="E15" s="69">
        <f>IF($BJ14&gt;0,IF(INDEX('Final Calculation Sheet'!$D$4:$D$40,$BJ14-3)="","",INDEX('Final Calculation Sheet'!$D$4:$D$40,$BJ14-3)),IF(OR($BI14=1,$BL14=1,$BH14&gt;0),"–",""))</f>
        <v>21979</v>
      </c>
      <c r="F15" s="69">
        <f>IF($BJ14&gt;0,IF(INDEX('Final Calculation Sheet'!$A$4:$A$40,$BJ14-3)="","",INDEX('Final Calculation Sheet'!$A$4:$A$40,$BJ14-3)),IF(OR($BI14=1,$BL14=1,$BH14&gt;0),IF($BI14=1,SUM('Final Calculation Sheet'!$A$4:$A$40),IF($BL14=1,SUM('Final Calculation Sheet'!$A$4:$A$40)-SUMIFS('Final Calculation Sheet'!$A$4:$A$40,$AZ$5:$AZ$41,10),SUMIFS('Final Calculation Sheet'!$A$4:$A$40,$AZ$5:$AZ$41,$BH14))),""))</f>
        <v>30</v>
      </c>
      <c r="G15" s="69" t="str">
        <f>IF($BJ14&gt;0,IF(INDEX('Final Calculation Sheet'!$E$4:$E$40,$BJ14-3)="","",INDEX('Final Calculation Sheet'!$E$4:$E$40,$BJ14-3)),IF(OR($BI14=1,$BL14=1,$BH14&gt;0),"–",""))</f>
        <v>NO</v>
      </c>
      <c r="H15" s="70">
        <f>IF($BJ14&gt;0,IF(INDEX('Final Calculation Sheet'!$C$4:$C$40,$BJ14-3)="","",INDEX('Final Calculation Sheet'!$C$4:$C$40,$BJ14-3)),IF(OR($BI14=1,$BL14=1,$BH14&gt;0),"–",""))</f>
        <v>702</v>
      </c>
      <c r="I15" s="70">
        <f>IF($BJ14&gt;0,IF(INDEX('Final Calculation Sheet'!$H$4:$H$40,$BJ14-3)="","",INDEX('Final Calculation Sheet'!$H$4:$H$40,$BJ14-3)),IF(OR($BI14=1,$BL14=1,$BH14&gt;0),IF($BI14=1,SUM('Final Calculation Sheet'!$H$4:$H$40),IF($BL14=1,SUM('Final Calculation Sheet'!$H$4:$H$40)-SUMIFS('Final Calculation Sheet'!$H$4:$H$40,$AZ$5:$AZ$41,10),SUMIFS('Final Calculation Sheet'!$H$4:$H$40,$AZ$5:$AZ$41,$BH14))),""))</f>
        <v>21060</v>
      </c>
      <c r="J15" s="70">
        <f>IF($BJ14&gt;0,IF(INDEX('Final Calculation Sheet'!$I$4:$I$40,$BJ14-3)="","",INDEX('Final Calculation Sheet'!$I$4:$I$40,$BJ14-3)),IF(OR($BI14=1,$BL14=1,$BH14&gt;0),IF($BI14=1,SUM('Final Calculation Sheet'!$I$4:$I$40),IF($BL14=1,SUM('Final Calculation Sheet'!$I$4:$I$40)-SUMIFS('Final Calculation Sheet'!$I$4:$I$40,$AZ$5:$AZ$41,10),SUMIFS('Final Calculation Sheet'!$I$4:$I$40,$AZ$5:$AZ$41,$BH14))),""))</f>
        <v>3791</v>
      </c>
      <c r="K15" s="70">
        <f>IF($BJ14&gt;0,IF(INDEX('Final Calculation Sheet'!$J$4:$J$40,$BJ14-3)="","",INDEX('Final Calculation Sheet'!$J$4:$J$40,$BJ14-3)),IF(OR($BI14=1,$BL14=1,$BH14&gt;0),IF($BI14=1,SUM('Final Calculation Sheet'!$J$4:$J$40),IF($BL14=1,SUM('Final Calculation Sheet'!$J$4:$J$40)-SUMIFS('Final Calculation Sheet'!$J$4:$J$40,$AZ$5:$AZ$41,10),SUMIFS('Final Calculation Sheet'!$J$4:$J$40,$AZ$5:$AZ$41,$BH14))),""))</f>
        <v>24851</v>
      </c>
      <c r="L15" s="70">
        <f>IF($BJ14&gt;0,IF(INDEX('Final Calculation Sheet'!$K$4:$K$40,$BJ14-3)="","",INDEX('Final Calculation Sheet'!$K$4:$K$40,$BJ14-3)),IF(OR($BI14=1,$BL14=1,$BH14&gt;0),IF($BI14=1,SUM('Final Calculation Sheet'!$K$4:$K$40),IF($BL14=1,SUM('Final Calculation Sheet'!$K$4:$K$40)-SUMIFS('Final Calculation Sheet'!$K$4:$K$40,$AZ$5:$AZ$41,10),SUMIFS('Final Calculation Sheet'!$K$4:$K$40,$AZ$5:$AZ$41,$BH14))),""))</f>
        <v>497</v>
      </c>
      <c r="M15" s="70">
        <f>IF($BJ14&gt;0,IF(INDEX('Final Calculation Sheet'!$L$4:$L$40,$BJ14-3)="","",INDEX('Final Calculation Sheet'!$L$4:$L$40,$BJ14-3)),IF(OR($BI14=1,$BL14=1,$BH14&gt;0),IF($BI14=1,SUM('Final Calculation Sheet'!$L$4:$L$40),IF($BL14=1,SUM('Final Calculation Sheet'!$L$4:$L$40)-SUMIFS('Final Calculation Sheet'!$L$4:$L$40,$AZ$5:$AZ$41,10),SUMIFS('Final Calculation Sheet'!$L$4:$L$40,$AZ$5:$AZ$41,$BH14))),""))</f>
        <v>21.06</v>
      </c>
      <c r="N15" s="70">
        <f>IF($BJ14&gt;0,IF(INDEX('Final Calculation Sheet'!$M$4:$M$40,$BJ14-3)="","",INDEX('Final Calculation Sheet'!$M$4:$M$40,$BJ14-3)),IF(OR($BI14=1,$BL14=1,$BH14&gt;0),IF($BI14=1,SUM('Final Calculation Sheet'!$M$4:$M$40),IF($BL14=1,SUM('Final Calculation Sheet'!$M$4:$M$40)-SUMIFS('Final Calculation Sheet'!$M$4:$M$40,$AZ$5:$AZ$41,10),SUMIFS('Final Calculation Sheet'!$M$4:$M$40,$AZ$5:$AZ$41,$BH14))),""))</f>
        <v>559.14299999999992</v>
      </c>
      <c r="O15" s="71">
        <f>IF($BJ14&gt;0,IF(INDEX('Final Calculation Sheet'!$N$4:$N$40,$BJ14-3)="","",INDEX('Final Calculation Sheet'!$N$4:$N$40,$BJ14-3)),IF(OR($BI14=1,$BL14=1,$BH14&gt;0),IF($BI14=1,SUM('Final Calculation Sheet'!$N$4:$N$40),IF($BL14=1,SUM('Final Calculation Sheet'!$N$4:$N$40)-SUMIFS('Final Calculation Sheet'!$N$4:$N$40,$AZ$5:$AZ$41,10),SUMIFS('Final Calculation Sheet'!$N$4:$N$40,$AZ$5:$AZ$41,$BH14))),""))</f>
        <v>9.4770000000000003</v>
      </c>
      <c r="P15" s="70">
        <f>IF($BJ14&gt;0,IF(INDEX('Final Calculation Sheet'!$O$4:$O$40,$BJ14-3)="","",INDEX('Final Calculation Sheet'!$O$4:$O$40,$BJ14-3)),IF(OR($BI14=1,$BL14=1,$BH14&gt;0),IF($BI14=1,SUM('Final Calculation Sheet'!$O$4:$O$40),IF($BL14=1,SUM('Final Calculation Sheet'!$O$4:$O$40)-SUMIFS('Final Calculation Sheet'!$O$4:$O$40,$AZ$5:$AZ$41,10),SUMIFS('Final Calculation Sheet'!$O$4:$O$40,$AZ$5:$AZ$41,$BH14))),""))</f>
        <v>549.66599999999994</v>
      </c>
      <c r="Q15" s="70">
        <f>IF($BJ14&gt;0,IF(INDEX('Final Calculation Sheet'!$P$4:$P$40,$BJ14-3)="","",INDEX('Final Calculation Sheet'!$P$4:$P$40,$BJ14-3)),IF(OR($BI14=1,$BL14=1,$BH14&gt;0),IF($BI14=1,SUM('Final Calculation Sheet'!$P$4:$P$40),IF($BL14=1,SUM('Final Calculation Sheet'!$P$4:$P$40)-SUMIFS('Final Calculation Sheet'!$P$4:$P$40,$AZ$5:$AZ$41,10),SUMIFS('Final Calculation Sheet'!$P$4:$P$40,$AZ$5:$AZ$41,$BH14))),""))</f>
        <v>571</v>
      </c>
      <c r="R15" s="72">
        <f>IF($BJ14&gt;0,IF(INDEX('Final Calculation Sheet'!$Q$4:$Q$40,$BJ14-3)="","",INDEX('Final Calculation Sheet'!$Q$4:$Q$40,$BJ14-3)),IF(OR($BI14=1,$BL14=1,$BH14&gt;0),"–",""))</f>
        <v>0</v>
      </c>
      <c r="S15" s="70">
        <f>IF($BJ14&gt;0,IF(INDEX('Final Calculation Sheet'!$R$4:$R$40,$BJ14-3)="","",INDEX('Final Calculation Sheet'!$R$4:$R$40,$BJ14-3)),IF(OR($BI14=1,$BL14=1,$BH14&gt;0),IF($BI14=1,SUM('Final Calculation Sheet'!$R$4:$R$40),IF($BL14=1,SUM('Final Calculation Sheet'!$R$4:$R$40)-SUMIFS('Final Calculation Sheet'!$R$4:$R$40,$AZ$5:$AZ$41,10),SUMIFS('Final Calculation Sheet'!$R$4:$R$40,$AZ$5:$AZ$41,$BH14))),""))</f>
        <v>0</v>
      </c>
      <c r="T15" s="70">
        <f>IF($BJ14&gt;0,IF(INDEX('Final Calculation Sheet'!$S$4:$S$40,$BJ14-3)="","",INDEX('Final Calculation Sheet'!$S$4:$S$40,$BJ14-3)),IF(OR($BI14=1,$BL14=1,$BH14&gt;0),IF($BI14=1,SUM('Final Calculation Sheet'!$S$4:$S$40),IF($BL14=1,SUM('Final Calculation Sheet'!$S$4:$S$40)-SUMIFS('Final Calculation Sheet'!$S$4:$S$40,$AZ$5:$AZ$41,10),SUMIFS('Final Calculation Sheet'!$S$4:$S$40,$AZ$5:$AZ$41,$BH14))),""))</f>
        <v>24777</v>
      </c>
      <c r="U15" s="70">
        <f>IF($BJ14&gt;0,IF(INDEX('Final Calculation Sheet'!$T$4:$T$40,$BJ14-3)="","",INDEX('Final Calculation Sheet'!$T$4:$T$40,$BJ14-3)),IF(OR($BI14=1,$BL14=1,$BH14&gt;0),IF($BI14=1,SUM('Final Calculation Sheet'!$T$4:$T$40),IF($BL14=1,SUM('Final Calculation Sheet'!$T$4:$T$40)-SUMIFS('Final Calculation Sheet'!$T$4:$T$40,$AZ$5:$AZ$41,10),SUMIFS('Final Calculation Sheet'!$T$4:$T$40,$AZ$5:$AZ$41,$BH14))),""))</f>
        <v>5265</v>
      </c>
      <c r="V15" s="73">
        <f>IF($BJ14&gt;0,IF(INDEX('Final Calculation Sheet'!$U$4:$U$40,$BJ14-3)="","",INDEX('Final Calculation Sheet'!$U$4:$U$40,$BJ14-3)),IF(OR($BI14=1,$BL14=1,$BH14&gt;0),IF($BI14=1,SUM('Final Calculation Sheet'!$U$4:$U$40),IF($BL14=1,SUM('Final Calculation Sheet'!$U$4:$U$40)-SUMIFS('Final Calculation Sheet'!$U$4:$U$40,$AZ$5:$AZ$41,10),SUMIFS('Final Calculation Sheet'!$U$4:$U$40,$AZ$5:$AZ$41,$BH14))),""))</f>
        <v>5265</v>
      </c>
      <c r="W15" s="70" t="str">
        <f>IF($BJ14&gt;0,IF(INDEX('Final Calculation Sheet'!$V$4:$V$40,$BJ14-3)="","",INDEX('Final Calculation Sheet'!$V$4:$V$40,$BJ14-3)),IF(OR($BI14=1,$BL14=1,$BH14&gt;0),"–",""))</f>
        <v>11.08.2026</v>
      </c>
      <c r="X15" s="70">
        <f>IF($BJ14&gt;0,IF(INDEX('Final Calculation Sheet'!$W$4:$W$40,$BJ14-3)="","",INDEX('Final Calculation Sheet'!$W$4:$W$40,$BJ14-3)),IF(OR($BI14=1,$BL14=1,$BH14&gt;0),IF($BI14=1,SUM('Final Calculation Sheet'!$W$4:$W$40),IF($BL14=1,SUM('Final Calculation Sheet'!$W$4:$W$40)-SUMIFS('Final Calculation Sheet'!$W$4:$W$40,$AZ$5:$AZ$41,10),SUMIFS('Final Calculation Sheet'!$W$4:$W$40,$AZ$5:$AZ$41,$BH14))),""))</f>
        <v>19512</v>
      </c>
      <c r="Y15" s="70">
        <f>IF($BJ14&gt;0,IF(INDEX('Final Calculation Sheet'!$X$4:$X$40,$BJ14-3)="","",INDEX('Final Calculation Sheet'!$X$4:$X$40,$BJ14-3)),IF(OR($BI14=1,$BL14=1,$BH14&gt;0),IF($BI14=1,SUM('Final Calculation Sheet'!$X$4:$X$40),IF($BL14=1,SUM('Final Calculation Sheet'!$X$4:$X$40)-SUMIFS('Final Calculation Sheet'!$X$4:$X$40,$AZ$5:$AZ$41,10),SUMIFS('Final Calculation Sheet'!$X$4:$X$40,$AZ$5:$AZ$41,$BH14))),""))</f>
        <v>19512</v>
      </c>
      <c r="Z15" s="70" t="str">
        <f>IF($BJ14&gt;0,IF(INDEX('Final Calculation Sheet'!$Y$4:$Y$40,$BJ14-3)="","",INDEX('Final Calculation Sheet'!$Y$4:$Y$40,$BJ14-3)),IF(OR($BI14=1,$BL14=1,$BH14&gt;0),"–",""))</f>
        <v>11.08.2026</v>
      </c>
      <c r="AA15" s="70">
        <f ca="1">IF($BJ14&gt;0,IF(INDEX('Final Calculation Sheet'!$Z$4:$Z$40,$BJ14-3)="","",INDEX('Final Calculation Sheet'!$Z$4:$Z$40,$BJ14-3)),IF(OR($BI14=1,$BL14=1,$BH14&gt;0),IF($BI14=1,SUM('Final Calculation Sheet'!$Z$4:$Z$40),IF($BL14=1,SUM('Final Calculation Sheet'!$Z$4:$Z$40)-SUMIFS('Final Calculation Sheet'!$Z$4:$Z$40,$AZ$5:$AZ$41,10),SUMIFS('Final Calculation Sheet'!$Z$4:$Z$40,$AZ$5:$AZ$41,$BH14))),""))</f>
        <v>0</v>
      </c>
      <c r="AB15" s="70" t="str">
        <f>IF($BJ14&gt;0,IF(INDEX('Final Calculation Sheet'!$AA$4:$AA$40,$BJ14-3)="","",INDEX('Final Calculation Sheet'!$AA$4:$AA$40,$BJ14-3)),IF(OR($BI14=1,$BL14=1,$BH14&gt;0),IF($BI14=1,SUM('Final Calculation Sheet'!$AA$4:$AA$40),IF($BL14=1,SUM('Final Calculation Sheet'!$AA$4:$AA$40)-SUMIFS('Final Calculation Sheet'!$AA$4:$AA$40,$AZ$5:$AZ$41,10),SUMIFS('Final Calculation Sheet'!$AA$4:$AA$40,$AZ$5:$AZ$41,$BH14))),""))</f>
        <v/>
      </c>
      <c r="AC15" s="70" t="str">
        <f>IF($BJ14&gt;0,IF(INDEX('Final Calculation Sheet'!$AB$4:$AB$40,$BJ14-3)="","",INDEX('Final Calculation Sheet'!$AB$4:$AB$40,$BJ14-3)),IF(OR($BI14=1,$BL14=1,$BH14&gt;0),"–",""))</f>
        <v/>
      </c>
      <c r="AD15" s="70">
        <f>IF($BJ14&gt;0,IF(INDEX('Final Calculation Sheet'!$AC$4:$AC$40,$BJ14-3)="","",INDEX('Final Calculation Sheet'!$AC$4:$AC$40,$BJ14-3)),IF(OR($BI14=1,$BL14=1,$BH14&gt;0),IF($BI14=1,SUM('Final Calculation Sheet'!$AC$4:$AC$40),IF($BL14=1,SUM('Final Calculation Sheet'!$AC$4:$AC$40)-SUMIFS('Final Calculation Sheet'!$AC$4:$AC$40,$AZ$5:$AZ$41,10),SUMIFS('Final Calculation Sheet'!$AC$4:$AC$40,$AZ$5:$AZ$41,$BH14))),""))</f>
        <v>24777</v>
      </c>
      <c r="AE15" s="70">
        <f>IF($BJ14&gt;0,IF(INDEX('Final Calculation Sheet'!$AD$4:$AD$40,$BJ14-3)="","",INDEX('Final Calculation Sheet'!$AD$4:$AD$40,$BJ14-3)),IF(OR($BI14=1,$BL14=1,$BH14&gt;0),IF($BI14=1,SUM('Final Calculation Sheet'!$AD$4:$AD$40),IF($BL14=1,SUM('Final Calculation Sheet'!$AD$4:$AD$40)-SUMIFS('Final Calculation Sheet'!$AD$4:$AD$40,$AZ$5:$AZ$41,10),SUMIFS('Final Calculation Sheet'!$AD$4:$AD$40,$AZ$5:$AZ$41,$BH14))),""))</f>
        <v>0</v>
      </c>
      <c r="AF15" s="70" t="str">
        <f>IF($BJ14&gt;0,IF(INDEX('Final Calculation Sheet'!$AE$4:$AE$40,$BJ14-3)="","",INDEX('Final Calculation Sheet'!$AE$4:$AE$40,$BJ14-3)),IF(OR($BI14=1,$BL14=1,$BH14&gt;0),"–",""))</f>
        <v>DR2640100022</v>
      </c>
      <c r="AG15" s="74">
        <f>IF($BJ14&gt;0,IF(INDEX('Final Calculation Sheet'!$AF$4:$AF$40,$BJ14-3)="","",INDEX('Final Calculation Sheet'!$AF$4:$AF$40,$BJ14-3)),IF(OR($BI14=1,$BL14=1,$BH14&gt;0),"–",""))</f>
        <v>1800003161</v>
      </c>
      <c r="AH15" s="70" t="str">
        <f>IF($BJ14&gt;0,IF(INDEX('Final Calculation Sheet'!$AG$4:$AG$40,$BJ14-3)="","",INDEX('Final Calculation Sheet'!$AG$4:$AG$40,$BJ14-3)),IF(OR($BI14=1,$BL14=1,$BH14&gt;0),"–",""))</f>
        <v>14.08.2026</v>
      </c>
      <c r="AI15" s="75" t="str">
        <f>IF($BJ14&gt;0,IF(INDEX('Final Calculation Sheet'!$AD$4:$AD$40,$BJ14-3)="","",IF(INDEX('Final Calculation Sheet'!$AD$4:$AD$40,$BJ14-3)&lt;=0,"SETTLED","OUTSTANDING")),IF(OR($BI14=1,$BL14=1,$BH14&gt;0),IF(IF($BI14=1,SUM('Final Calculation Sheet'!$AD$4:$AD$40),IF($BL14=1,SUM('Final Calculation Sheet'!$AD$4:$AD$40)-SUMIFS('Final Calculation Sheet'!$AD$4:$AD$40,$AZ$5:$AZ$41,10),SUMIFS('Final Calculation Sheet'!$AD$4:$AD$40,$AZ$5:$AZ$41,$BH14)))&lt;=0,"ALL SETTLED","OUTSTANDING"),""))</f>
        <v>SETTLED</v>
      </c>
      <c r="AK15" t="str">
        <f>IF($F$3="Lot No.",'Final Calculation Sheet'!$F$14,IF($F$3="Buyer",'Final Calculation Sheet'!$G$14,IF($F$3="Lot Name",'Final Calculation Sheet'!$B$14,IF($F$3="Bid Sheet",'Final Calculation Sheet'!$D$14,IF($F$3="Unit",'Final Calculation Sheet'!$E$14,'Final Calculation Sheet'!$F$14&amp;" "&amp;'Final Calculation Sheet'!$G$14&amp;" "&amp;'Final Calculation Sheet'!$B$14)))))</f>
        <v>2007 SHAR JAHAN TRADERS SCRAP POWER TRANSFORMER</v>
      </c>
      <c r="AM15">
        <f t="shared" si="1"/>
        <v>0</v>
      </c>
      <c r="AZ15">
        <f t="shared" si="2"/>
        <v>10</v>
      </c>
      <c r="BA15">
        <f t="shared" si="3"/>
        <v>9</v>
      </c>
      <c r="BB15">
        <f t="shared" si="4"/>
        <v>25</v>
      </c>
      <c r="BC15">
        <v>14</v>
      </c>
      <c r="BH15">
        <f>IFERROR(MATCH(15,$BF$4:$BF$13,0),0)</f>
        <v>2</v>
      </c>
      <c r="BI15">
        <f>IF(15=$BG$5,1,0)</f>
        <v>0</v>
      </c>
      <c r="BJ15">
        <f>IF(OR($BH15&gt;0,$BI15=1,$BL15=1),0,IFERROR(INDEX($BC$5:$BC$41,MATCH(15,$BB$5:$BB$41,0)),0))</f>
        <v>0</v>
      </c>
      <c r="BK15">
        <f>IF($BJ15&gt;0,IF(INDEX($AZ$5:$AZ$41,MATCH(15,$BB$5:$BB$41,0))=10,1,0),IF($BH15=10,1,0))</f>
        <v>0</v>
      </c>
      <c r="BL15">
        <f>IF(15=$BG$4,1,0)</f>
        <v>0</v>
      </c>
      <c r="BM15">
        <f>IF($A$4="",1,--(AND(SUMPRODUCT(--($AS$60:$AZ$60&lt;&gt;""))&gt;0,IF(COUNTIF($BI$60:$BP$60,1)=0,TRUE,SUMPRODUCT(($BI$60:$BP$60=1)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$60,2)=0,TRUE,SUMPRODUCT(($BI$60:$BP$60=2)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$60,3)=0,TRUE,SUMPRODUCT(($BI$60:$BP$60=3)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$60,4)=0,TRUE,SUMPRODUCT(($BI$60:$BP$60=4)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$60,5)=0,TRUE,SUMPRODUCT(($BI$60:$BP$60=5)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$60,6)=0,TRUE,SUMPRODUCT(($BI$60:$BP$60=6)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$60,7)=0,TRUE,SUMPRODUCT(($BI$60:$BP$60=7)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$60,8)=0,TRUE,SUMPRODUCT(($BI$60:$BP$60=8)*($AS$60:$AZ$60&lt;&gt;"")*IF(((UPPER($AS$60:$AZ$60)="BLANK")+(UPPER($AS$60:$AZ$60)="(BLANK)")+(UPPER($AS$60:$AZ$60)="EMPTY")+(UPPER($AS$60:$AZ$60)="(EMPTY)"))&gt;0,IFERROR((ROW()-4)&amp;"","")="",ISNUMBER(SEARCH($AS$60:$AZ$60,IFERROR((ROW()-4)&amp;"","")))))&gt;0))))</f>
        <v>1</v>
      </c>
      <c r="BN15">
        <f>IF($B$4="",1,--(AND(SUMPRODUCT(--($AS$61:$AZ$61&lt;&gt;""))&gt;0,IF(COUNTIF($BI$61:$BP$61,1)=0,TRUE,SUMPRODUCT(($BI$61:$BP$61=1)*($AS$61:$AZ$61&lt;&gt;"")*IF(((UPPER($AS$61:$AZ$61)="BLANK")+(UPPER($AS$61:$AZ$61)="(BLANK)")+(UPPER($AS$61:$AZ$61)="EMPTY")+(UPPER($AS$61:$AZ$61)="(EMPTY)"))&gt;0,IFERROR(('Final Calculation Sheet'!$F$14)&amp;"","")="",ISNUMBER(SEARCH($AS$61:$AZ$61,IFERROR(('Final Calculation Sheet'!$F$14)&amp;"","")))))&gt;0),IF(COUNTIF($BI$61:$BP$61,2)=0,TRUE,SUMPRODUCT(($BI$61:$BP$61=2)*($AS$61:$AZ$61&lt;&gt;"")*IF(((UPPER($AS$61:$AZ$61)="BLANK")+(UPPER($AS$61:$AZ$61)="(BLANK)")+(UPPER($AS$61:$AZ$61)="EMPTY")+(UPPER($AS$61:$AZ$61)="(EMPTY)"))&gt;0,IFERROR(('Final Calculation Sheet'!$F$14)&amp;"","")="",ISNUMBER(SEARCH($AS$61:$AZ$61,IFERROR(('Final Calculation Sheet'!$F$14)&amp;"","")))))&gt;0),IF(COUNTIF($BI$61:$BP$61,3)=0,TRUE,SUMPRODUCT(($BI$61:$BP$61=3)*($AS$61:$AZ$61&lt;&gt;"")*IF(((UPPER($AS$61:$AZ$61)="BLANK")+(UPPER($AS$61:$AZ$61)="(BLANK)")+(UPPER($AS$61:$AZ$61)="EMPTY")+(UPPER($AS$61:$AZ$61)="(EMPTY)"))&gt;0,IFERROR(('Final Calculation Sheet'!$F$14)&amp;"","")="",ISNUMBER(SEARCH($AS$61:$AZ$61,IFERROR(('Final Calculation Sheet'!$F$14)&amp;"","")))))&gt;0),IF(COUNTIF($BI$61:$BP$61,4)=0,TRUE,SUMPRODUCT(($BI$61:$BP$61=4)*($AS$61:$AZ$61&lt;&gt;"")*IF(((UPPER($AS$61:$AZ$61)="BLANK")+(UPPER($AS$61:$AZ$61)="(BLANK)")+(UPPER($AS$61:$AZ$61)="EMPTY")+(UPPER($AS$61:$AZ$61)="(EMPTY)"))&gt;0,IFERROR(('Final Calculation Sheet'!$F$14)&amp;"","")="",ISNUMBER(SEARCH($AS$61:$AZ$61,IFERROR(('Final Calculation Sheet'!$F$14)&amp;"","")))))&gt;0),IF(COUNTIF($BI$61:$BP$61,5)=0,TRUE,SUMPRODUCT(($BI$61:$BP$61=5)*($AS$61:$AZ$61&lt;&gt;"")*IF(((UPPER($AS$61:$AZ$61)="BLANK")+(UPPER($AS$61:$AZ$61)="(BLANK)")+(UPPER($AS$61:$AZ$61)="EMPTY")+(UPPER($AS$61:$AZ$61)="(EMPTY)"))&gt;0,IFERROR(('Final Calculation Sheet'!$F$14)&amp;"","")="",ISNUMBER(SEARCH($AS$61:$AZ$61,IFERROR(('Final Calculation Sheet'!$F$14)&amp;"","")))))&gt;0),IF(COUNTIF($BI$61:$BP$61,6)=0,TRUE,SUMPRODUCT(($BI$61:$BP$61=6)*($AS$61:$AZ$61&lt;&gt;"")*IF(((UPPER($AS$61:$AZ$61)="BLANK")+(UPPER($AS$61:$AZ$61)="(BLANK)")+(UPPER($AS$61:$AZ$61)="EMPTY")+(UPPER($AS$61:$AZ$61)="(EMPTY)"))&gt;0,IFERROR(('Final Calculation Sheet'!$F$14)&amp;"","")="",ISNUMBER(SEARCH($AS$61:$AZ$61,IFERROR(('Final Calculation Sheet'!$F$14)&amp;"","")))))&gt;0),IF(COUNTIF($BI$61:$BP$61,7)=0,TRUE,SUMPRODUCT(($BI$61:$BP$61=7)*($AS$61:$AZ$61&lt;&gt;"")*IF(((UPPER($AS$61:$AZ$61)="BLANK")+(UPPER($AS$61:$AZ$61)="(BLANK)")+(UPPER($AS$61:$AZ$61)="EMPTY")+(UPPER($AS$61:$AZ$61)="(EMPTY)"))&gt;0,IFERROR(('Final Calculation Sheet'!$F$14)&amp;"","")="",ISNUMBER(SEARCH($AS$61:$AZ$61,IFERROR(('Final Calculation Sheet'!$F$14)&amp;"","")))))&gt;0),IF(COUNTIF($BI$61:$BP$61,8)=0,TRUE,SUMPRODUCT(($BI$61:$BP$61=8)*($AS$61:$AZ$61&lt;&gt;"")*IF(((UPPER($AS$61:$AZ$61)="BLANK")+(UPPER($AS$61:$AZ$61)="(BLANK)")+(UPPER($AS$61:$AZ$61)="EMPTY")+(UPPER($AS$61:$AZ$61)="(EMPTY)"))&gt;0,IFERROR(('Final Calculation Sheet'!$F$14)&amp;"","")="",ISNUMBER(SEARCH($AS$61:$AZ$61,IFERROR(('Final Calculation Sheet'!$F$14)&amp;"","")))))&gt;0))))</f>
        <v>1</v>
      </c>
      <c r="BO15">
        <f>IF($C$4="",1,--(AND(SUMPRODUCT(--($AS$62:$AZ$62&lt;&gt;""))&gt;0,IF(COUNTIF($BI$62:$BP$62,1)=0,TRUE,SUMPRODUCT(($BI$62:$BP$62=1)*($AS$62:$AZ$62&lt;&gt;"")*IF(((UPPER($AS$62:$AZ$62)="BLANK")+(UPPER($AS$62:$AZ$62)="(BLANK)")+(UPPER($AS$62:$AZ$62)="EMPTY")+(UPPER($AS$62:$AZ$62)="(EMPTY)"))&gt;0,IFERROR(('Final Calculation Sheet'!$G$14)&amp;"","")="",ISNUMBER(SEARCH($AS$62:$AZ$62,IFERROR(('Final Calculation Sheet'!$G$14)&amp;"","")))))&gt;0),IF(COUNTIF($BI$62:$BP$62,2)=0,TRUE,SUMPRODUCT(($BI$62:$BP$62=2)*($AS$62:$AZ$62&lt;&gt;"")*IF(((UPPER($AS$62:$AZ$62)="BLANK")+(UPPER($AS$62:$AZ$62)="(BLANK)")+(UPPER($AS$62:$AZ$62)="EMPTY")+(UPPER($AS$62:$AZ$62)="(EMPTY)"))&gt;0,IFERROR(('Final Calculation Sheet'!$G$14)&amp;"","")="",ISNUMBER(SEARCH($AS$62:$AZ$62,IFERROR(('Final Calculation Sheet'!$G$14)&amp;"","")))))&gt;0),IF(COUNTIF($BI$62:$BP$62,3)=0,TRUE,SUMPRODUCT(($BI$62:$BP$62=3)*($AS$62:$AZ$62&lt;&gt;"")*IF(((UPPER($AS$62:$AZ$62)="BLANK")+(UPPER($AS$62:$AZ$62)="(BLANK)")+(UPPER($AS$62:$AZ$62)="EMPTY")+(UPPER($AS$62:$AZ$62)="(EMPTY)"))&gt;0,IFERROR(('Final Calculation Sheet'!$G$14)&amp;"","")="",ISNUMBER(SEARCH($AS$62:$AZ$62,IFERROR(('Final Calculation Sheet'!$G$14)&amp;"","")))))&gt;0),IF(COUNTIF($BI$62:$BP$62,4)=0,TRUE,SUMPRODUCT(($BI$62:$BP$62=4)*($AS$62:$AZ$62&lt;&gt;"")*IF(((UPPER($AS$62:$AZ$62)="BLANK")+(UPPER($AS$62:$AZ$62)="(BLANK)")+(UPPER($AS$62:$AZ$62)="EMPTY")+(UPPER($AS$62:$AZ$62)="(EMPTY)"))&gt;0,IFERROR(('Final Calculation Sheet'!$G$14)&amp;"","")="",ISNUMBER(SEARCH($AS$62:$AZ$62,IFERROR(('Final Calculation Sheet'!$G$14)&amp;"","")))))&gt;0),IF(COUNTIF($BI$62:$BP$62,5)=0,TRUE,SUMPRODUCT(($BI$62:$BP$62=5)*($AS$62:$AZ$62&lt;&gt;"")*IF(((UPPER($AS$62:$AZ$62)="BLANK")+(UPPER($AS$62:$AZ$62)="(BLANK)")+(UPPER($AS$62:$AZ$62)="EMPTY")+(UPPER($AS$62:$AZ$62)="(EMPTY)"))&gt;0,IFERROR(('Final Calculation Sheet'!$G$14)&amp;"","")="",ISNUMBER(SEARCH($AS$62:$AZ$62,IFERROR(('Final Calculation Sheet'!$G$14)&amp;"","")))))&gt;0),IF(COUNTIF($BI$62:$BP$62,6)=0,TRUE,SUMPRODUCT(($BI$62:$BP$62=6)*($AS$62:$AZ$62&lt;&gt;"")*IF(((UPPER($AS$62:$AZ$62)="BLANK")+(UPPER($AS$62:$AZ$62)="(BLANK)")+(UPPER($AS$62:$AZ$62)="EMPTY")+(UPPER($AS$62:$AZ$62)="(EMPTY)"))&gt;0,IFERROR(('Final Calculation Sheet'!$G$14)&amp;"","")="",ISNUMBER(SEARCH($AS$62:$AZ$62,IFERROR(('Final Calculation Sheet'!$G$14)&amp;"","")))))&gt;0),IF(COUNTIF($BI$62:$BP$62,7)=0,TRUE,SUMPRODUCT(($BI$62:$BP$62=7)*($AS$62:$AZ$62&lt;&gt;"")*IF(((UPPER($AS$62:$AZ$62)="BLANK")+(UPPER($AS$62:$AZ$62)="(BLANK)")+(UPPER($AS$62:$AZ$62)="EMPTY")+(UPPER($AS$62:$AZ$62)="(EMPTY)"))&gt;0,IFERROR(('Final Calculation Sheet'!$G$14)&amp;"","")="",ISNUMBER(SEARCH($AS$62:$AZ$62,IFERROR(('Final Calculation Sheet'!$G$14)&amp;"","")))))&gt;0),IF(COUNTIF($BI$62:$BP$62,8)=0,TRUE,SUMPRODUCT(($BI$62:$BP$62=8)*($AS$62:$AZ$62&lt;&gt;"")*IF(((UPPER($AS$62:$AZ$62)="BLANK")+(UPPER($AS$62:$AZ$62)="(BLANK)")+(UPPER($AS$62:$AZ$62)="EMPTY")+(UPPER($AS$62:$AZ$62)="(EMPTY)"))&gt;0,IFERROR(('Final Calculation Sheet'!$G$14)&amp;"","")="",ISNUMBER(SEARCH($AS$62:$AZ$62,IFERROR(('Final Calculation Sheet'!$G$14)&amp;"","")))))&gt;0))))</f>
        <v>1</v>
      </c>
      <c r="BP15">
        <f>IF($D$4="",1,--(AND(SUMPRODUCT(--($AS$63:$AZ$63&lt;&gt;""))&gt;0,IF(COUNTIF($BI$63:$BP$63,1)=0,TRUE,SUMPRODUCT(($BI$63:$BP$63=1)*($AS$63:$AZ$63&lt;&gt;"")*IF(((UPPER($AS$63:$AZ$63)="BLANK")+(UPPER($AS$63:$AZ$63)="(BLANK)")+(UPPER($AS$63:$AZ$63)="EMPTY")+(UPPER($AS$63:$AZ$63)="(EMPTY)"))&gt;0,IFERROR(('Final Calculation Sheet'!$B$14)&amp;"","")="",ISNUMBER(SEARCH($AS$63:$AZ$63,IFERROR(('Final Calculation Sheet'!$B$14)&amp;"","")))))&gt;0),IF(COUNTIF($BI$63:$BP$63,2)=0,TRUE,SUMPRODUCT(($BI$63:$BP$63=2)*($AS$63:$AZ$63&lt;&gt;"")*IF(((UPPER($AS$63:$AZ$63)="BLANK")+(UPPER($AS$63:$AZ$63)="(BLANK)")+(UPPER($AS$63:$AZ$63)="EMPTY")+(UPPER($AS$63:$AZ$63)="(EMPTY)"))&gt;0,IFERROR(('Final Calculation Sheet'!$B$14)&amp;"","")="",ISNUMBER(SEARCH($AS$63:$AZ$63,IFERROR(('Final Calculation Sheet'!$B$14)&amp;"","")))))&gt;0),IF(COUNTIF($BI$63:$BP$63,3)=0,TRUE,SUMPRODUCT(($BI$63:$BP$63=3)*($AS$63:$AZ$63&lt;&gt;"")*IF(((UPPER($AS$63:$AZ$63)="BLANK")+(UPPER($AS$63:$AZ$63)="(BLANK)")+(UPPER($AS$63:$AZ$63)="EMPTY")+(UPPER($AS$63:$AZ$63)="(EMPTY)"))&gt;0,IFERROR(('Final Calculation Sheet'!$B$14)&amp;"","")="",ISNUMBER(SEARCH($AS$63:$AZ$63,IFERROR(('Final Calculation Sheet'!$B$14)&amp;"","")))))&gt;0),IF(COUNTIF($BI$63:$BP$63,4)=0,TRUE,SUMPRODUCT(($BI$63:$BP$63=4)*($AS$63:$AZ$63&lt;&gt;"")*IF(((UPPER($AS$63:$AZ$63)="BLANK")+(UPPER($AS$63:$AZ$63)="(BLANK)")+(UPPER($AS$63:$AZ$63)="EMPTY")+(UPPER($AS$63:$AZ$63)="(EMPTY)"))&gt;0,IFERROR(('Final Calculation Sheet'!$B$14)&amp;"","")="",ISNUMBER(SEARCH($AS$63:$AZ$63,IFERROR(('Final Calculation Sheet'!$B$14)&amp;"","")))))&gt;0),IF(COUNTIF($BI$63:$BP$63,5)=0,TRUE,SUMPRODUCT(($BI$63:$BP$63=5)*($AS$63:$AZ$63&lt;&gt;"")*IF(((UPPER($AS$63:$AZ$63)="BLANK")+(UPPER($AS$63:$AZ$63)="(BLANK)")+(UPPER($AS$63:$AZ$63)="EMPTY")+(UPPER($AS$63:$AZ$63)="(EMPTY)"))&gt;0,IFERROR(('Final Calculation Sheet'!$B$14)&amp;"","")="",ISNUMBER(SEARCH($AS$63:$AZ$63,IFERROR(('Final Calculation Sheet'!$B$14)&amp;"","")))))&gt;0),IF(COUNTIF($BI$63:$BP$63,6)=0,TRUE,SUMPRODUCT(($BI$63:$BP$63=6)*($AS$63:$AZ$63&lt;&gt;"")*IF(((UPPER($AS$63:$AZ$63)="BLANK")+(UPPER($AS$63:$AZ$63)="(BLANK)")+(UPPER($AS$63:$AZ$63)="EMPTY")+(UPPER($AS$63:$AZ$63)="(EMPTY)"))&gt;0,IFERROR(('Final Calculation Sheet'!$B$14)&amp;"","")="",ISNUMBER(SEARCH($AS$63:$AZ$63,IFERROR(('Final Calculation Sheet'!$B$14)&amp;"","")))))&gt;0),IF(COUNTIF($BI$63:$BP$63,7)=0,TRUE,SUMPRODUCT(($BI$63:$BP$63=7)*($AS$63:$AZ$63&lt;&gt;"")*IF(((UPPER($AS$63:$AZ$63)="BLANK")+(UPPER($AS$63:$AZ$63)="(BLANK)")+(UPPER($AS$63:$AZ$63)="EMPTY")+(UPPER($AS$63:$AZ$63)="(EMPTY)"))&gt;0,IFERROR(('Final Calculation Sheet'!$B$14)&amp;"","")="",ISNUMBER(SEARCH($AS$63:$AZ$63,IFERROR(('Final Calculation Sheet'!$B$14)&amp;"","")))))&gt;0),IF(COUNTIF($BI$63:$BP$63,8)=0,TRUE,SUMPRODUCT(($BI$63:$BP$63=8)*($AS$63:$AZ$63&lt;&gt;"")*IF(((UPPER($AS$63:$AZ$63)="BLANK")+(UPPER($AS$63:$AZ$63)="(BLANK)")+(UPPER($AS$63:$AZ$63)="EMPTY")+(UPPER($AS$63:$AZ$63)="(EMPTY)"))&gt;0,IFERROR(('Final Calculation Sheet'!$B$14)&amp;"","")="",ISNUMBER(SEARCH($AS$63:$AZ$63,IFERROR(('Final Calculation Sheet'!$B$14)&amp;"","")))))&gt;0))))</f>
        <v>1</v>
      </c>
      <c r="BQ15">
        <f>IF($E$4="",1,--(AND(SUMPRODUCT(--($AS$64:$AZ$64&lt;&gt;""))&gt;0,IF(COUNTIF($BI$64:$BP$64,1)=0,TRUE,SUMPRODUCT(($BI$64:$BP$64=1)*($AS$64:$AZ$64&lt;&gt;"")*IF(((UPPER($AS$64:$AZ$64)="BLANK")+(UPPER($AS$64:$AZ$64)="(BLANK)")+(UPPER($AS$64:$AZ$64)="EMPTY")+(UPPER($AS$64:$AZ$64)="(EMPTY)"))&gt;0,IFERROR(('Final Calculation Sheet'!$D$14)&amp;"","")="",ISNUMBER(SEARCH($AS$64:$AZ$64,IFERROR(('Final Calculation Sheet'!$D$14)&amp;"","")))))&gt;0),IF(COUNTIF($BI$64:$BP$64,2)=0,TRUE,SUMPRODUCT(($BI$64:$BP$64=2)*($AS$64:$AZ$64&lt;&gt;"")*IF(((UPPER($AS$64:$AZ$64)="BLANK")+(UPPER($AS$64:$AZ$64)="(BLANK)")+(UPPER($AS$64:$AZ$64)="EMPTY")+(UPPER($AS$64:$AZ$64)="(EMPTY)"))&gt;0,IFERROR(('Final Calculation Sheet'!$D$14)&amp;"","")="",ISNUMBER(SEARCH($AS$64:$AZ$64,IFERROR(('Final Calculation Sheet'!$D$14)&amp;"","")))))&gt;0),IF(COUNTIF($BI$64:$BP$64,3)=0,TRUE,SUMPRODUCT(($BI$64:$BP$64=3)*($AS$64:$AZ$64&lt;&gt;"")*IF(((UPPER($AS$64:$AZ$64)="BLANK")+(UPPER($AS$64:$AZ$64)="(BLANK)")+(UPPER($AS$64:$AZ$64)="EMPTY")+(UPPER($AS$64:$AZ$64)="(EMPTY)"))&gt;0,IFERROR(('Final Calculation Sheet'!$D$14)&amp;"","")="",ISNUMBER(SEARCH($AS$64:$AZ$64,IFERROR(('Final Calculation Sheet'!$D$14)&amp;"","")))))&gt;0),IF(COUNTIF($BI$64:$BP$64,4)=0,TRUE,SUMPRODUCT(($BI$64:$BP$64=4)*($AS$64:$AZ$64&lt;&gt;"")*IF(((UPPER($AS$64:$AZ$64)="BLANK")+(UPPER($AS$64:$AZ$64)="(BLANK)")+(UPPER($AS$64:$AZ$64)="EMPTY")+(UPPER($AS$64:$AZ$64)="(EMPTY)"))&gt;0,IFERROR(('Final Calculation Sheet'!$D$14)&amp;"","")="",ISNUMBER(SEARCH($AS$64:$AZ$64,IFERROR(('Final Calculation Sheet'!$D$14)&amp;"","")))))&gt;0),IF(COUNTIF($BI$64:$BP$64,5)=0,TRUE,SUMPRODUCT(($BI$64:$BP$64=5)*($AS$64:$AZ$64&lt;&gt;"")*IF(((UPPER($AS$64:$AZ$64)="BLANK")+(UPPER($AS$64:$AZ$64)="(BLANK)")+(UPPER($AS$64:$AZ$64)="EMPTY")+(UPPER($AS$64:$AZ$64)="(EMPTY)"))&gt;0,IFERROR(('Final Calculation Sheet'!$D$14)&amp;"","")="",ISNUMBER(SEARCH($AS$64:$AZ$64,IFERROR(('Final Calculation Sheet'!$D$14)&amp;"","")))))&gt;0),IF(COUNTIF($BI$64:$BP$64,6)=0,TRUE,SUMPRODUCT(($BI$64:$BP$64=6)*($AS$64:$AZ$64&lt;&gt;"")*IF(((UPPER($AS$64:$AZ$64)="BLANK")+(UPPER($AS$64:$AZ$64)="(BLANK)")+(UPPER($AS$64:$AZ$64)="EMPTY")+(UPPER($AS$64:$AZ$64)="(EMPTY)"))&gt;0,IFERROR(('Final Calculation Sheet'!$D$14)&amp;"","")="",ISNUMBER(SEARCH($AS$64:$AZ$64,IFERROR(('Final Calculation Sheet'!$D$14)&amp;"","")))))&gt;0),IF(COUNTIF($BI$64:$BP$64,7)=0,TRUE,SUMPRODUCT(($BI$64:$BP$64=7)*($AS$64:$AZ$64&lt;&gt;"")*IF(((UPPER($AS$64:$AZ$64)="BLANK")+(UPPER($AS$64:$AZ$64)="(BLANK)")+(UPPER($AS$64:$AZ$64)="EMPTY")+(UPPER($AS$64:$AZ$64)="(EMPTY)"))&gt;0,IFERROR(('Final Calculation Sheet'!$D$14)&amp;"","")="",ISNUMBER(SEARCH($AS$64:$AZ$64,IFERROR(('Final Calculation Sheet'!$D$14)&amp;"","")))))&gt;0),IF(COUNTIF($BI$64:$BP$64,8)=0,TRUE,SUMPRODUCT(($BI$64:$BP$64=8)*($AS$64:$AZ$64&lt;&gt;"")*IF(((UPPER($AS$64:$AZ$64)="BLANK")+(UPPER($AS$64:$AZ$64)="(BLANK)")+(UPPER($AS$64:$AZ$64)="EMPTY")+(UPPER($AS$64:$AZ$64)="(EMPTY)"))&gt;0,IFERROR(('Final Calculation Sheet'!$D$14)&amp;"","")="",ISNUMBER(SEARCH($AS$64:$AZ$64,IFERROR(('Final Calculation Sheet'!$D$14)&amp;"","")))))&gt;0))))</f>
        <v>1</v>
      </c>
      <c r="BR15">
        <f>IF($F$4="",1,--(AND(SUMPRODUCT(--($AS$65:$AZ$65&lt;&gt;""))&gt;0,IF(COUNTIF($BI$65:$BP$65,1)=0,TRUE,SUMPRODUCT(($BI$65:$BP$65=1)*($AS$65:$AZ$65&lt;&gt;"")*IF(((UPPER($AS$65:$AZ$65)="BLANK")+(UPPER($AS$65:$AZ$65)="(BLANK)")+(UPPER($AS$65:$AZ$65)="EMPTY")+(UPPER($AS$65:$AZ$65)="(EMPTY)"))&gt;0,IFERROR(('Final Calculation Sheet'!$A$14)&amp;"","")="",ISNUMBER(SEARCH($AS$65:$AZ$65,IFERROR(('Final Calculation Sheet'!$A$14)&amp;"","")))))&gt;0),IF(COUNTIF($BI$65:$BP$65,2)=0,TRUE,SUMPRODUCT(($BI$65:$BP$65=2)*($AS$65:$AZ$65&lt;&gt;"")*IF(((UPPER($AS$65:$AZ$65)="BLANK")+(UPPER($AS$65:$AZ$65)="(BLANK)")+(UPPER($AS$65:$AZ$65)="EMPTY")+(UPPER($AS$65:$AZ$65)="(EMPTY)"))&gt;0,IFERROR(('Final Calculation Sheet'!$A$14)&amp;"","")="",ISNUMBER(SEARCH($AS$65:$AZ$65,IFERROR(('Final Calculation Sheet'!$A$14)&amp;"","")))))&gt;0),IF(COUNTIF($BI$65:$BP$65,3)=0,TRUE,SUMPRODUCT(($BI$65:$BP$65=3)*($AS$65:$AZ$65&lt;&gt;"")*IF(((UPPER($AS$65:$AZ$65)="BLANK")+(UPPER($AS$65:$AZ$65)="(BLANK)")+(UPPER($AS$65:$AZ$65)="EMPTY")+(UPPER($AS$65:$AZ$65)="(EMPTY)"))&gt;0,IFERROR(('Final Calculation Sheet'!$A$14)&amp;"","")="",ISNUMBER(SEARCH($AS$65:$AZ$65,IFERROR(('Final Calculation Sheet'!$A$14)&amp;"","")))))&gt;0),IF(COUNTIF($BI$65:$BP$65,4)=0,TRUE,SUMPRODUCT(($BI$65:$BP$65=4)*($AS$65:$AZ$65&lt;&gt;"")*IF(((UPPER($AS$65:$AZ$65)="BLANK")+(UPPER($AS$65:$AZ$65)="(BLANK)")+(UPPER($AS$65:$AZ$65)="EMPTY")+(UPPER($AS$65:$AZ$65)="(EMPTY)"))&gt;0,IFERROR(('Final Calculation Sheet'!$A$14)&amp;"","")="",ISNUMBER(SEARCH($AS$65:$AZ$65,IFERROR(('Final Calculation Sheet'!$A$14)&amp;"","")))))&gt;0),IF(COUNTIF($BI$65:$BP$65,5)=0,TRUE,SUMPRODUCT(($BI$65:$BP$65=5)*($AS$65:$AZ$65&lt;&gt;"")*IF(((UPPER($AS$65:$AZ$65)="BLANK")+(UPPER($AS$65:$AZ$65)="(BLANK)")+(UPPER($AS$65:$AZ$65)="EMPTY")+(UPPER($AS$65:$AZ$65)="(EMPTY)"))&gt;0,IFERROR(('Final Calculation Sheet'!$A$14)&amp;"","")="",ISNUMBER(SEARCH($AS$65:$AZ$65,IFERROR(('Final Calculation Sheet'!$A$14)&amp;"","")))))&gt;0),IF(COUNTIF($BI$65:$BP$65,6)=0,TRUE,SUMPRODUCT(($BI$65:$BP$65=6)*($AS$65:$AZ$65&lt;&gt;"")*IF(((UPPER($AS$65:$AZ$65)="BLANK")+(UPPER($AS$65:$AZ$65)="(BLANK)")+(UPPER($AS$65:$AZ$65)="EMPTY")+(UPPER($AS$65:$AZ$65)="(EMPTY)"))&gt;0,IFERROR(('Final Calculation Sheet'!$A$14)&amp;"","")="",ISNUMBER(SEARCH($AS$65:$AZ$65,IFERROR(('Final Calculation Sheet'!$A$14)&amp;"","")))))&gt;0),IF(COUNTIF($BI$65:$BP$65,7)=0,TRUE,SUMPRODUCT(($BI$65:$BP$65=7)*($AS$65:$AZ$65&lt;&gt;"")*IF(((UPPER($AS$65:$AZ$65)="BLANK")+(UPPER($AS$65:$AZ$65)="(BLANK)")+(UPPER($AS$65:$AZ$65)="EMPTY")+(UPPER($AS$65:$AZ$65)="(EMPTY)"))&gt;0,IFERROR(('Final Calculation Sheet'!$A$14)&amp;"","")="",ISNUMBER(SEARCH($AS$65:$AZ$65,IFERROR(('Final Calculation Sheet'!$A$14)&amp;"","")))))&gt;0),IF(COUNTIF($BI$65:$BP$65,8)=0,TRUE,SUMPRODUCT(($BI$65:$BP$65=8)*($AS$65:$AZ$65&lt;&gt;"")*IF(((UPPER($AS$65:$AZ$65)="BLANK")+(UPPER($AS$65:$AZ$65)="(BLANK)")+(UPPER($AS$65:$AZ$65)="EMPTY")+(UPPER($AS$65:$AZ$65)="(EMPTY)"))&gt;0,IFERROR(('Final Calculation Sheet'!$A$14)&amp;"","")="",ISNUMBER(SEARCH($AS$65:$AZ$65,IFERROR(('Final Calculation Sheet'!$A$14)&amp;"","")))))&gt;0))))</f>
        <v>1</v>
      </c>
      <c r="BS15">
        <f>IF($G$4="",1,--(AND(SUMPRODUCT(--($AS$66:$AZ$66&lt;&gt;""))&gt;0,IF(COUNTIF($BI$66:$BP$66,1)=0,TRUE,SUMPRODUCT(($BI$66:$BP$66=1)*($AS$66:$AZ$66&lt;&gt;"")*IF(((UPPER($AS$66:$AZ$66)="BLANK")+(UPPER($AS$66:$AZ$66)="(BLANK)")+(UPPER($AS$66:$AZ$66)="EMPTY")+(UPPER($AS$66:$AZ$66)="(EMPTY)"))&gt;0,IFERROR(('Final Calculation Sheet'!$E$14)&amp;"","")="",ISNUMBER(SEARCH($AS$66:$AZ$66,IFERROR(('Final Calculation Sheet'!$E$14)&amp;"","")))))&gt;0),IF(COUNTIF($BI$66:$BP$66,2)=0,TRUE,SUMPRODUCT(($BI$66:$BP$66=2)*($AS$66:$AZ$66&lt;&gt;"")*IF(((UPPER($AS$66:$AZ$66)="BLANK")+(UPPER($AS$66:$AZ$66)="(BLANK)")+(UPPER($AS$66:$AZ$66)="EMPTY")+(UPPER($AS$66:$AZ$66)="(EMPTY)"))&gt;0,IFERROR(('Final Calculation Sheet'!$E$14)&amp;"","")="",ISNUMBER(SEARCH($AS$66:$AZ$66,IFERROR(('Final Calculation Sheet'!$E$14)&amp;"","")))))&gt;0),IF(COUNTIF($BI$66:$BP$66,3)=0,TRUE,SUMPRODUCT(($BI$66:$BP$66=3)*($AS$66:$AZ$66&lt;&gt;"")*IF(((UPPER($AS$66:$AZ$66)="BLANK")+(UPPER($AS$66:$AZ$66)="(BLANK)")+(UPPER($AS$66:$AZ$66)="EMPTY")+(UPPER($AS$66:$AZ$66)="(EMPTY)"))&gt;0,IFERROR(('Final Calculation Sheet'!$E$14)&amp;"","")="",ISNUMBER(SEARCH($AS$66:$AZ$66,IFERROR(('Final Calculation Sheet'!$E$14)&amp;"","")))))&gt;0),IF(COUNTIF($BI$66:$BP$66,4)=0,TRUE,SUMPRODUCT(($BI$66:$BP$66=4)*($AS$66:$AZ$66&lt;&gt;"")*IF(((UPPER($AS$66:$AZ$66)="BLANK")+(UPPER($AS$66:$AZ$66)="(BLANK)")+(UPPER($AS$66:$AZ$66)="EMPTY")+(UPPER($AS$66:$AZ$66)="(EMPTY)"))&gt;0,IFERROR(('Final Calculation Sheet'!$E$14)&amp;"","")="",ISNUMBER(SEARCH($AS$66:$AZ$66,IFERROR(('Final Calculation Sheet'!$E$14)&amp;"","")))))&gt;0),IF(COUNTIF($BI$66:$BP$66,5)=0,TRUE,SUMPRODUCT(($BI$66:$BP$66=5)*($AS$66:$AZ$66&lt;&gt;"")*IF(((UPPER($AS$66:$AZ$66)="BLANK")+(UPPER($AS$66:$AZ$66)="(BLANK)")+(UPPER($AS$66:$AZ$66)="EMPTY")+(UPPER($AS$66:$AZ$66)="(EMPTY)"))&gt;0,IFERROR(('Final Calculation Sheet'!$E$14)&amp;"","")="",ISNUMBER(SEARCH($AS$66:$AZ$66,IFERROR(('Final Calculation Sheet'!$E$14)&amp;"","")))))&gt;0),IF(COUNTIF($BI$66:$BP$66,6)=0,TRUE,SUMPRODUCT(($BI$66:$BP$66=6)*($AS$66:$AZ$66&lt;&gt;"")*IF(((UPPER($AS$66:$AZ$66)="BLANK")+(UPPER($AS$66:$AZ$66)="(BLANK)")+(UPPER($AS$66:$AZ$66)="EMPTY")+(UPPER($AS$66:$AZ$66)="(EMPTY)"))&gt;0,IFERROR(('Final Calculation Sheet'!$E$14)&amp;"","")="",ISNUMBER(SEARCH($AS$66:$AZ$66,IFERROR(('Final Calculation Sheet'!$E$14)&amp;"","")))))&gt;0),IF(COUNTIF($BI$66:$BP$66,7)=0,TRUE,SUMPRODUCT(($BI$66:$BP$66=7)*($AS$66:$AZ$66&lt;&gt;"")*IF(((UPPER($AS$66:$AZ$66)="BLANK")+(UPPER($AS$66:$AZ$66)="(BLANK)")+(UPPER($AS$66:$AZ$66)="EMPTY")+(UPPER($AS$66:$AZ$66)="(EMPTY)"))&gt;0,IFERROR(('Final Calculation Sheet'!$E$14)&amp;"","")="",ISNUMBER(SEARCH($AS$66:$AZ$66,IFERROR(('Final Calculation Sheet'!$E$14)&amp;"","")))))&gt;0),IF(COUNTIF($BI$66:$BP$66,8)=0,TRUE,SUMPRODUCT(($BI$66:$BP$66=8)*($AS$66:$AZ$66&lt;&gt;"")*IF(((UPPER($AS$66:$AZ$66)="BLANK")+(UPPER($AS$66:$AZ$66)="(BLANK)")+(UPPER($AS$66:$AZ$66)="EMPTY")+(UPPER($AS$66:$AZ$66)="(EMPTY)"))&gt;0,IFERROR(('Final Calculation Sheet'!$E$14)&amp;"","")="",ISNUMBER(SEARCH($AS$66:$AZ$66,IFERROR(('Final Calculation Sheet'!$E$14)&amp;"","")))))&gt;0))))</f>
        <v>1</v>
      </c>
      <c r="BT15">
        <f>IF($H$4="",1,--(AND(SUMPRODUCT(--($AS$67:$AZ$67&lt;&gt;""))&gt;0,IF(COUNTIF($BI$67:$BP$67,1)=0,TRUE,SUMPRODUCT(($BI$67:$BP$67=1)*($AS$67:$AZ$67&lt;&gt;"")*IF(((UPPER($AS$67:$AZ$67)="BLANK")+(UPPER($AS$67:$AZ$67)="(BLANK)")+(UPPER($AS$67:$AZ$67)="EMPTY")+(UPPER($AS$67:$AZ$67)="(EMPTY)"))&gt;0,IFERROR(('Final Calculation Sheet'!$C$14)&amp;"","")="",ISNUMBER(SEARCH($AS$67:$AZ$67,IFERROR(('Final Calculation Sheet'!$C$14)&amp;"","")))))&gt;0),IF(COUNTIF($BI$67:$BP$67,2)=0,TRUE,SUMPRODUCT(($BI$67:$BP$67=2)*($AS$67:$AZ$67&lt;&gt;"")*IF(((UPPER($AS$67:$AZ$67)="BLANK")+(UPPER($AS$67:$AZ$67)="(BLANK)")+(UPPER($AS$67:$AZ$67)="EMPTY")+(UPPER($AS$67:$AZ$67)="(EMPTY)"))&gt;0,IFERROR(('Final Calculation Sheet'!$C$14)&amp;"","")="",ISNUMBER(SEARCH($AS$67:$AZ$67,IFERROR(('Final Calculation Sheet'!$C$14)&amp;"","")))))&gt;0),IF(COUNTIF($BI$67:$BP$67,3)=0,TRUE,SUMPRODUCT(($BI$67:$BP$67=3)*($AS$67:$AZ$67&lt;&gt;"")*IF(((UPPER($AS$67:$AZ$67)="BLANK")+(UPPER($AS$67:$AZ$67)="(BLANK)")+(UPPER($AS$67:$AZ$67)="EMPTY")+(UPPER($AS$67:$AZ$67)="(EMPTY)"))&gt;0,IFERROR(('Final Calculation Sheet'!$C$14)&amp;"","")="",ISNUMBER(SEARCH($AS$67:$AZ$67,IFERROR(('Final Calculation Sheet'!$C$14)&amp;"","")))))&gt;0),IF(COUNTIF($BI$67:$BP$67,4)=0,TRUE,SUMPRODUCT(($BI$67:$BP$67=4)*($AS$67:$AZ$67&lt;&gt;"")*IF(((UPPER($AS$67:$AZ$67)="BLANK")+(UPPER($AS$67:$AZ$67)="(BLANK)")+(UPPER($AS$67:$AZ$67)="EMPTY")+(UPPER($AS$67:$AZ$67)="(EMPTY)"))&gt;0,IFERROR(('Final Calculation Sheet'!$C$14)&amp;"","")="",ISNUMBER(SEARCH($AS$67:$AZ$67,IFERROR(('Final Calculation Sheet'!$C$14)&amp;"","")))))&gt;0),IF(COUNTIF($BI$67:$BP$67,5)=0,TRUE,SUMPRODUCT(($BI$67:$BP$67=5)*($AS$67:$AZ$67&lt;&gt;"")*IF(((UPPER($AS$67:$AZ$67)="BLANK")+(UPPER($AS$67:$AZ$67)="(BLANK)")+(UPPER($AS$67:$AZ$67)="EMPTY")+(UPPER($AS$67:$AZ$67)="(EMPTY)"))&gt;0,IFERROR(('Final Calculation Sheet'!$C$14)&amp;"","")="",ISNUMBER(SEARCH($AS$67:$AZ$67,IFERROR(('Final Calculation Sheet'!$C$14)&amp;"","")))))&gt;0),IF(COUNTIF($BI$67:$BP$67,6)=0,TRUE,SUMPRODUCT(($BI$67:$BP$67=6)*($AS$67:$AZ$67&lt;&gt;"")*IF(((UPPER($AS$67:$AZ$67)="BLANK")+(UPPER($AS$67:$AZ$67)="(BLANK)")+(UPPER($AS$67:$AZ$67)="EMPTY")+(UPPER($AS$67:$AZ$67)="(EMPTY)"))&gt;0,IFERROR(('Final Calculation Sheet'!$C$14)&amp;"","")="",ISNUMBER(SEARCH($AS$67:$AZ$67,IFERROR(('Final Calculation Sheet'!$C$14)&amp;"","")))))&gt;0),IF(COUNTIF($BI$67:$BP$67,7)=0,TRUE,SUMPRODUCT(($BI$67:$BP$67=7)*($AS$67:$AZ$67&lt;&gt;"")*IF(((UPPER($AS$67:$AZ$67)="BLANK")+(UPPER($AS$67:$AZ$67)="(BLANK)")+(UPPER($AS$67:$AZ$67)="EMPTY")+(UPPER($AS$67:$AZ$67)="(EMPTY)"))&gt;0,IFERROR(('Final Calculation Sheet'!$C$14)&amp;"","")="",ISNUMBER(SEARCH($AS$67:$AZ$67,IFERROR(('Final Calculation Sheet'!$C$14)&amp;"","")))))&gt;0),IF(COUNTIF($BI$67:$BP$67,8)=0,TRUE,SUMPRODUCT(($BI$67:$BP$67=8)*($AS$67:$AZ$67&lt;&gt;"")*IF(((UPPER($AS$67:$AZ$67)="BLANK")+(UPPER($AS$67:$AZ$67)="(BLANK)")+(UPPER($AS$67:$AZ$67)="EMPTY")+(UPPER($AS$67:$AZ$67)="(EMPTY)"))&gt;0,IFERROR(('Final Calculation Sheet'!$C$14)&amp;"","")="",ISNUMBER(SEARCH($AS$67:$AZ$67,IFERROR(('Final Calculation Sheet'!$C$14)&amp;"","")))))&gt;0))))</f>
        <v>1</v>
      </c>
      <c r="BU15">
        <f>IF($I$4="",1,--(AND(SUMPRODUCT(--($AS$68:$AZ$68&lt;&gt;""))&gt;0,IF(COUNTIF($BI$68:$BP$68,1)=0,TRUE,SUMPRODUCT(($BI$68:$BP$68=1)*($AS$68:$AZ$68&lt;&gt;"")*IF(((UPPER($AS$68:$AZ$68)="BLANK")+(UPPER($AS$68:$AZ$68)="(BLANK)")+(UPPER($AS$68:$AZ$68)="EMPTY")+(UPPER($AS$68:$AZ$68)="(EMPTY)"))&gt;0,IFERROR(('Final Calculation Sheet'!$H$14)&amp;"","")="",ISNUMBER(SEARCH($AS$68:$AZ$68,IFERROR(('Final Calculation Sheet'!$H$14)&amp;"","")))))&gt;0),IF(COUNTIF($BI$68:$BP$68,2)=0,TRUE,SUMPRODUCT(($BI$68:$BP$68=2)*($AS$68:$AZ$68&lt;&gt;"")*IF(((UPPER($AS$68:$AZ$68)="BLANK")+(UPPER($AS$68:$AZ$68)="(BLANK)")+(UPPER($AS$68:$AZ$68)="EMPTY")+(UPPER($AS$68:$AZ$68)="(EMPTY)"))&gt;0,IFERROR(('Final Calculation Sheet'!$H$14)&amp;"","")="",ISNUMBER(SEARCH($AS$68:$AZ$68,IFERROR(('Final Calculation Sheet'!$H$14)&amp;"","")))))&gt;0),IF(COUNTIF($BI$68:$BP$68,3)=0,TRUE,SUMPRODUCT(($BI$68:$BP$68=3)*($AS$68:$AZ$68&lt;&gt;"")*IF(((UPPER($AS$68:$AZ$68)="BLANK")+(UPPER($AS$68:$AZ$68)="(BLANK)")+(UPPER($AS$68:$AZ$68)="EMPTY")+(UPPER($AS$68:$AZ$68)="(EMPTY)"))&gt;0,IFERROR(('Final Calculation Sheet'!$H$14)&amp;"","")="",ISNUMBER(SEARCH($AS$68:$AZ$68,IFERROR(('Final Calculation Sheet'!$H$14)&amp;"","")))))&gt;0),IF(COUNTIF($BI$68:$BP$68,4)=0,TRUE,SUMPRODUCT(($BI$68:$BP$68=4)*($AS$68:$AZ$68&lt;&gt;"")*IF(((UPPER($AS$68:$AZ$68)="BLANK")+(UPPER($AS$68:$AZ$68)="(BLANK)")+(UPPER($AS$68:$AZ$68)="EMPTY")+(UPPER($AS$68:$AZ$68)="(EMPTY)"))&gt;0,IFERROR(('Final Calculation Sheet'!$H$14)&amp;"","")="",ISNUMBER(SEARCH($AS$68:$AZ$68,IFERROR(('Final Calculation Sheet'!$H$14)&amp;"","")))))&gt;0),IF(COUNTIF($BI$68:$BP$68,5)=0,TRUE,SUMPRODUCT(($BI$68:$BP$68=5)*($AS$68:$AZ$68&lt;&gt;"")*IF(((UPPER($AS$68:$AZ$68)="BLANK")+(UPPER($AS$68:$AZ$68)="(BLANK)")+(UPPER($AS$68:$AZ$68)="EMPTY")+(UPPER($AS$68:$AZ$68)="(EMPTY)"))&gt;0,IFERROR(('Final Calculation Sheet'!$H$14)&amp;"","")="",ISNUMBER(SEARCH($AS$68:$AZ$68,IFERROR(('Final Calculation Sheet'!$H$14)&amp;"","")))))&gt;0),IF(COUNTIF($BI$68:$BP$68,6)=0,TRUE,SUMPRODUCT(($BI$68:$BP$68=6)*($AS$68:$AZ$68&lt;&gt;"")*IF(((UPPER($AS$68:$AZ$68)="BLANK")+(UPPER($AS$68:$AZ$68)="(BLANK)")+(UPPER($AS$68:$AZ$68)="EMPTY")+(UPPER($AS$68:$AZ$68)="(EMPTY)"))&gt;0,IFERROR(('Final Calculation Sheet'!$H$14)&amp;"","")="",ISNUMBER(SEARCH($AS$68:$AZ$68,IFERROR(('Final Calculation Sheet'!$H$14)&amp;"","")))))&gt;0),IF(COUNTIF($BI$68:$BP$68,7)=0,TRUE,SUMPRODUCT(($BI$68:$BP$68=7)*($AS$68:$AZ$68&lt;&gt;"")*IF(((UPPER($AS$68:$AZ$68)="BLANK")+(UPPER($AS$68:$AZ$68)="(BLANK)")+(UPPER($AS$68:$AZ$68)="EMPTY")+(UPPER($AS$68:$AZ$68)="(EMPTY)"))&gt;0,IFERROR(('Final Calculation Sheet'!$H$14)&amp;"","")="",ISNUMBER(SEARCH($AS$68:$AZ$68,IFERROR(('Final Calculation Sheet'!$H$14)&amp;"","")))))&gt;0),IF(COUNTIF($BI$68:$BP$68,8)=0,TRUE,SUMPRODUCT(($BI$68:$BP$68=8)*($AS$68:$AZ$68&lt;&gt;"")*IF(((UPPER($AS$68:$AZ$68)="BLANK")+(UPPER($AS$68:$AZ$68)="(BLANK)")+(UPPER($AS$68:$AZ$68)="EMPTY")+(UPPER($AS$68:$AZ$68)="(EMPTY)"))&gt;0,IFERROR(('Final Calculation Sheet'!$H$14)&amp;"","")="",ISNUMBER(SEARCH($AS$68:$AZ$68,IFERROR(('Final Calculation Sheet'!$H$14)&amp;"","")))))&gt;0))))</f>
        <v>1</v>
      </c>
      <c r="BV15">
        <f>IF($J$4="",1,--(AND(SUMPRODUCT(--($AS$69:$AZ$69&lt;&gt;""))&gt;0,IF(COUNTIF($BI$69:$BP$69,1)=0,TRUE,SUMPRODUCT(($BI$69:$BP$69=1)*($AS$69:$AZ$69&lt;&gt;"")*IF(((UPPER($AS$69:$AZ$69)="BLANK")+(UPPER($AS$69:$AZ$69)="(BLANK)")+(UPPER($AS$69:$AZ$69)="EMPTY")+(UPPER($AS$69:$AZ$69)="(EMPTY)"))&gt;0,IFERROR(('Final Calculation Sheet'!$I$14)&amp;"","")="",ISNUMBER(SEARCH($AS$69:$AZ$69,IFERROR(('Final Calculation Sheet'!$I$14)&amp;"","")))))&gt;0),IF(COUNTIF($BI$69:$BP$69,2)=0,TRUE,SUMPRODUCT(($BI$69:$BP$69=2)*($AS$69:$AZ$69&lt;&gt;"")*IF(((UPPER($AS$69:$AZ$69)="BLANK")+(UPPER($AS$69:$AZ$69)="(BLANK)")+(UPPER($AS$69:$AZ$69)="EMPTY")+(UPPER($AS$69:$AZ$69)="(EMPTY)"))&gt;0,IFERROR(('Final Calculation Sheet'!$I$14)&amp;"","")="",ISNUMBER(SEARCH($AS$69:$AZ$69,IFERROR(('Final Calculation Sheet'!$I$14)&amp;"","")))))&gt;0),IF(COUNTIF($BI$69:$BP$69,3)=0,TRUE,SUMPRODUCT(($BI$69:$BP$69=3)*($AS$69:$AZ$69&lt;&gt;"")*IF(((UPPER($AS$69:$AZ$69)="BLANK")+(UPPER($AS$69:$AZ$69)="(BLANK)")+(UPPER($AS$69:$AZ$69)="EMPTY")+(UPPER($AS$69:$AZ$69)="(EMPTY)"))&gt;0,IFERROR(('Final Calculation Sheet'!$I$14)&amp;"","")="",ISNUMBER(SEARCH($AS$69:$AZ$69,IFERROR(('Final Calculation Sheet'!$I$14)&amp;"","")))))&gt;0),IF(COUNTIF($BI$69:$BP$69,4)=0,TRUE,SUMPRODUCT(($BI$69:$BP$69=4)*($AS$69:$AZ$69&lt;&gt;"")*IF(((UPPER($AS$69:$AZ$69)="BLANK")+(UPPER($AS$69:$AZ$69)="(BLANK)")+(UPPER($AS$69:$AZ$69)="EMPTY")+(UPPER($AS$69:$AZ$69)="(EMPTY)"))&gt;0,IFERROR(('Final Calculation Sheet'!$I$14)&amp;"","")="",ISNUMBER(SEARCH($AS$69:$AZ$69,IFERROR(('Final Calculation Sheet'!$I$14)&amp;"","")))))&gt;0),IF(COUNTIF($BI$69:$BP$69,5)=0,TRUE,SUMPRODUCT(($BI$69:$BP$69=5)*($AS$69:$AZ$69&lt;&gt;"")*IF(((UPPER($AS$69:$AZ$69)="BLANK")+(UPPER($AS$69:$AZ$69)="(BLANK)")+(UPPER($AS$69:$AZ$69)="EMPTY")+(UPPER($AS$69:$AZ$69)="(EMPTY)"))&gt;0,IFERROR(('Final Calculation Sheet'!$I$14)&amp;"","")="",ISNUMBER(SEARCH($AS$69:$AZ$69,IFERROR(('Final Calculation Sheet'!$I$14)&amp;"","")))))&gt;0),IF(COUNTIF($BI$69:$BP$69,6)=0,TRUE,SUMPRODUCT(($BI$69:$BP$69=6)*($AS$69:$AZ$69&lt;&gt;"")*IF(((UPPER($AS$69:$AZ$69)="BLANK")+(UPPER($AS$69:$AZ$69)="(BLANK)")+(UPPER($AS$69:$AZ$69)="EMPTY")+(UPPER($AS$69:$AZ$69)="(EMPTY)"))&gt;0,IFERROR(('Final Calculation Sheet'!$I$14)&amp;"","")="",ISNUMBER(SEARCH($AS$69:$AZ$69,IFERROR(('Final Calculation Sheet'!$I$14)&amp;"","")))))&gt;0),IF(COUNTIF($BI$69:$BP$69,7)=0,TRUE,SUMPRODUCT(($BI$69:$BP$69=7)*($AS$69:$AZ$69&lt;&gt;"")*IF(((UPPER($AS$69:$AZ$69)="BLANK")+(UPPER($AS$69:$AZ$69)="(BLANK)")+(UPPER($AS$69:$AZ$69)="EMPTY")+(UPPER($AS$69:$AZ$69)="(EMPTY)"))&gt;0,IFERROR(('Final Calculation Sheet'!$I$14)&amp;"","")="",ISNUMBER(SEARCH($AS$69:$AZ$69,IFERROR(('Final Calculation Sheet'!$I$14)&amp;"","")))))&gt;0),IF(COUNTIF($BI$69:$BP$69,8)=0,TRUE,SUMPRODUCT(($BI$69:$BP$69=8)*($AS$69:$AZ$69&lt;&gt;"")*IF(((UPPER($AS$69:$AZ$69)="BLANK")+(UPPER($AS$69:$AZ$69)="(BLANK)")+(UPPER($AS$69:$AZ$69)="EMPTY")+(UPPER($AS$69:$AZ$69)="(EMPTY)"))&gt;0,IFERROR(('Final Calculation Sheet'!$I$14)&amp;"","")="",ISNUMBER(SEARCH($AS$69:$AZ$69,IFERROR(('Final Calculation Sheet'!$I$14)&amp;"","")))))&gt;0))))</f>
        <v>1</v>
      </c>
      <c r="BW15">
        <f>IF($K$4="",1,--(AND(SUMPRODUCT(--($AS$70:$AZ$70&lt;&gt;""))&gt;0,IF(COUNTIF($BI$70:$BP$70,1)=0,TRUE,SUMPRODUCT(($BI$70:$BP$70=1)*($AS$70:$AZ$70&lt;&gt;"")*IF(((UPPER($AS$70:$AZ$70)="BLANK")+(UPPER($AS$70:$AZ$70)="(BLANK)")+(UPPER($AS$70:$AZ$70)="EMPTY")+(UPPER($AS$70:$AZ$70)="(EMPTY)"))&gt;0,IFERROR(('Final Calculation Sheet'!$J$14)&amp;"","")="",ISNUMBER(SEARCH($AS$70:$AZ$70,IFERROR(('Final Calculation Sheet'!$J$14)&amp;"","")))))&gt;0),IF(COUNTIF($BI$70:$BP$70,2)=0,TRUE,SUMPRODUCT(($BI$70:$BP$70=2)*($AS$70:$AZ$70&lt;&gt;"")*IF(((UPPER($AS$70:$AZ$70)="BLANK")+(UPPER($AS$70:$AZ$70)="(BLANK)")+(UPPER($AS$70:$AZ$70)="EMPTY")+(UPPER($AS$70:$AZ$70)="(EMPTY)"))&gt;0,IFERROR(('Final Calculation Sheet'!$J$14)&amp;"","")="",ISNUMBER(SEARCH($AS$70:$AZ$70,IFERROR(('Final Calculation Sheet'!$J$14)&amp;"","")))))&gt;0),IF(COUNTIF($BI$70:$BP$70,3)=0,TRUE,SUMPRODUCT(($BI$70:$BP$70=3)*($AS$70:$AZ$70&lt;&gt;"")*IF(((UPPER($AS$70:$AZ$70)="BLANK")+(UPPER($AS$70:$AZ$70)="(BLANK)")+(UPPER($AS$70:$AZ$70)="EMPTY")+(UPPER($AS$70:$AZ$70)="(EMPTY)"))&gt;0,IFERROR(('Final Calculation Sheet'!$J$14)&amp;"","")="",ISNUMBER(SEARCH($AS$70:$AZ$70,IFERROR(('Final Calculation Sheet'!$J$14)&amp;"","")))))&gt;0),IF(COUNTIF($BI$70:$BP$70,4)=0,TRUE,SUMPRODUCT(($BI$70:$BP$70=4)*($AS$70:$AZ$70&lt;&gt;"")*IF(((UPPER($AS$70:$AZ$70)="BLANK")+(UPPER($AS$70:$AZ$70)="(BLANK)")+(UPPER($AS$70:$AZ$70)="EMPTY")+(UPPER($AS$70:$AZ$70)="(EMPTY)"))&gt;0,IFERROR(('Final Calculation Sheet'!$J$14)&amp;"","")="",ISNUMBER(SEARCH($AS$70:$AZ$70,IFERROR(('Final Calculation Sheet'!$J$14)&amp;"","")))))&gt;0),IF(COUNTIF($BI$70:$BP$70,5)=0,TRUE,SUMPRODUCT(($BI$70:$BP$70=5)*($AS$70:$AZ$70&lt;&gt;"")*IF(((UPPER($AS$70:$AZ$70)="BLANK")+(UPPER($AS$70:$AZ$70)="(BLANK)")+(UPPER($AS$70:$AZ$70)="EMPTY")+(UPPER($AS$70:$AZ$70)="(EMPTY)"))&gt;0,IFERROR(('Final Calculation Sheet'!$J$14)&amp;"","")="",ISNUMBER(SEARCH($AS$70:$AZ$70,IFERROR(('Final Calculation Sheet'!$J$14)&amp;"","")))))&gt;0),IF(COUNTIF($BI$70:$BP$70,6)=0,TRUE,SUMPRODUCT(($BI$70:$BP$70=6)*($AS$70:$AZ$70&lt;&gt;"")*IF(((UPPER($AS$70:$AZ$70)="BLANK")+(UPPER($AS$70:$AZ$70)="(BLANK)")+(UPPER($AS$70:$AZ$70)="EMPTY")+(UPPER($AS$70:$AZ$70)="(EMPTY)"))&gt;0,IFERROR(('Final Calculation Sheet'!$J$14)&amp;"","")="",ISNUMBER(SEARCH($AS$70:$AZ$70,IFERROR(('Final Calculation Sheet'!$J$14)&amp;"","")))))&gt;0),IF(COUNTIF($BI$70:$BP$70,7)=0,TRUE,SUMPRODUCT(($BI$70:$BP$70=7)*($AS$70:$AZ$70&lt;&gt;"")*IF(((UPPER($AS$70:$AZ$70)="BLANK")+(UPPER($AS$70:$AZ$70)="(BLANK)")+(UPPER($AS$70:$AZ$70)="EMPTY")+(UPPER($AS$70:$AZ$70)="(EMPTY)"))&gt;0,IFERROR(('Final Calculation Sheet'!$J$14)&amp;"","")="",ISNUMBER(SEARCH($AS$70:$AZ$70,IFERROR(('Final Calculation Sheet'!$J$14)&amp;"","")))))&gt;0),IF(COUNTIF($BI$70:$BP$70,8)=0,TRUE,SUMPRODUCT(($BI$70:$BP$70=8)*($AS$70:$AZ$70&lt;&gt;"")*IF(((UPPER($AS$70:$AZ$70)="BLANK")+(UPPER($AS$70:$AZ$70)="(BLANK)")+(UPPER($AS$70:$AZ$70)="EMPTY")+(UPPER($AS$70:$AZ$70)="(EMPTY)"))&gt;0,IFERROR(('Final Calculation Sheet'!$J$14)&amp;"","")="",ISNUMBER(SEARCH($AS$70:$AZ$70,IFERROR(('Final Calculation Sheet'!$J$14)&amp;"","")))))&gt;0))))</f>
        <v>1</v>
      </c>
      <c r="BX15">
        <f>IF($L$4="",1,--(AND(SUMPRODUCT(--($AS$71:$AZ$71&lt;&gt;""))&gt;0,IF(COUNTIF($BI$71:$BP$71,1)=0,TRUE,SUMPRODUCT(($BI$71:$BP$71=1)*($AS$71:$AZ$71&lt;&gt;"")*IF(((UPPER($AS$71:$AZ$71)="BLANK")+(UPPER($AS$71:$AZ$71)="(BLANK)")+(UPPER($AS$71:$AZ$71)="EMPTY")+(UPPER($AS$71:$AZ$71)="(EMPTY)"))&gt;0,IFERROR(('Final Calculation Sheet'!$K$14)&amp;"","")="",ISNUMBER(SEARCH($AS$71:$AZ$71,IFERROR(('Final Calculation Sheet'!$K$14)&amp;"","")))))&gt;0),IF(COUNTIF($BI$71:$BP$71,2)=0,TRUE,SUMPRODUCT(($BI$71:$BP$71=2)*($AS$71:$AZ$71&lt;&gt;"")*IF(((UPPER($AS$71:$AZ$71)="BLANK")+(UPPER($AS$71:$AZ$71)="(BLANK)")+(UPPER($AS$71:$AZ$71)="EMPTY")+(UPPER($AS$71:$AZ$71)="(EMPTY)"))&gt;0,IFERROR(('Final Calculation Sheet'!$K$14)&amp;"","")="",ISNUMBER(SEARCH($AS$71:$AZ$71,IFERROR(('Final Calculation Sheet'!$K$14)&amp;"","")))))&gt;0),IF(COUNTIF($BI$71:$BP$71,3)=0,TRUE,SUMPRODUCT(($BI$71:$BP$71=3)*($AS$71:$AZ$71&lt;&gt;"")*IF(((UPPER($AS$71:$AZ$71)="BLANK")+(UPPER($AS$71:$AZ$71)="(BLANK)")+(UPPER($AS$71:$AZ$71)="EMPTY")+(UPPER($AS$71:$AZ$71)="(EMPTY)"))&gt;0,IFERROR(('Final Calculation Sheet'!$K$14)&amp;"","")="",ISNUMBER(SEARCH($AS$71:$AZ$71,IFERROR(('Final Calculation Sheet'!$K$14)&amp;"","")))))&gt;0),IF(COUNTIF($BI$71:$BP$71,4)=0,TRUE,SUMPRODUCT(($BI$71:$BP$71=4)*($AS$71:$AZ$71&lt;&gt;"")*IF(((UPPER($AS$71:$AZ$71)="BLANK")+(UPPER($AS$71:$AZ$71)="(BLANK)")+(UPPER($AS$71:$AZ$71)="EMPTY")+(UPPER($AS$71:$AZ$71)="(EMPTY)"))&gt;0,IFERROR(('Final Calculation Sheet'!$K$14)&amp;"","")="",ISNUMBER(SEARCH($AS$71:$AZ$71,IFERROR(('Final Calculation Sheet'!$K$14)&amp;"","")))))&gt;0),IF(COUNTIF($BI$71:$BP$71,5)=0,TRUE,SUMPRODUCT(($BI$71:$BP$71=5)*($AS$71:$AZ$71&lt;&gt;"")*IF(((UPPER($AS$71:$AZ$71)="BLANK")+(UPPER($AS$71:$AZ$71)="(BLANK)")+(UPPER($AS$71:$AZ$71)="EMPTY")+(UPPER($AS$71:$AZ$71)="(EMPTY)"))&gt;0,IFERROR(('Final Calculation Sheet'!$K$14)&amp;"","")="",ISNUMBER(SEARCH($AS$71:$AZ$71,IFERROR(('Final Calculation Sheet'!$K$14)&amp;"","")))))&gt;0),IF(COUNTIF($BI$71:$BP$71,6)=0,TRUE,SUMPRODUCT(($BI$71:$BP$71=6)*($AS$71:$AZ$71&lt;&gt;"")*IF(((UPPER($AS$71:$AZ$71)="BLANK")+(UPPER($AS$71:$AZ$71)="(BLANK)")+(UPPER($AS$71:$AZ$71)="EMPTY")+(UPPER($AS$71:$AZ$71)="(EMPTY)"))&gt;0,IFERROR(('Final Calculation Sheet'!$K$14)&amp;"","")="",ISNUMBER(SEARCH($AS$71:$AZ$71,IFERROR(('Final Calculation Sheet'!$K$14)&amp;"","")))))&gt;0),IF(COUNTIF($BI$71:$BP$71,7)=0,TRUE,SUMPRODUCT(($BI$71:$BP$71=7)*($AS$71:$AZ$71&lt;&gt;"")*IF(((UPPER($AS$71:$AZ$71)="BLANK")+(UPPER($AS$71:$AZ$71)="(BLANK)")+(UPPER($AS$71:$AZ$71)="EMPTY")+(UPPER($AS$71:$AZ$71)="(EMPTY)"))&gt;0,IFERROR(('Final Calculation Sheet'!$K$14)&amp;"","")="",ISNUMBER(SEARCH($AS$71:$AZ$71,IFERROR(('Final Calculation Sheet'!$K$14)&amp;"","")))))&gt;0),IF(COUNTIF($BI$71:$BP$71,8)=0,TRUE,SUMPRODUCT(($BI$71:$BP$71=8)*($AS$71:$AZ$71&lt;&gt;"")*IF(((UPPER($AS$71:$AZ$71)="BLANK")+(UPPER($AS$71:$AZ$71)="(BLANK)")+(UPPER($AS$71:$AZ$71)="EMPTY")+(UPPER($AS$71:$AZ$71)="(EMPTY)"))&gt;0,IFERROR(('Final Calculation Sheet'!$K$14)&amp;"","")="",ISNUMBER(SEARCH($AS$71:$AZ$71,IFERROR(('Final Calculation Sheet'!$K$14)&amp;"","")))))&gt;0))))</f>
        <v>1</v>
      </c>
      <c r="BY15">
        <f>IF($M$4="",1,--(AND(SUMPRODUCT(--($AS$72:$AZ$72&lt;&gt;""))&gt;0,IF(COUNTIF($BI$72:$BP$72,1)=0,TRUE,SUMPRODUCT(($BI$72:$BP$72=1)*($AS$72:$AZ$72&lt;&gt;"")*IF(((UPPER($AS$72:$AZ$72)="BLANK")+(UPPER($AS$72:$AZ$72)="(BLANK)")+(UPPER($AS$72:$AZ$72)="EMPTY")+(UPPER($AS$72:$AZ$72)="(EMPTY)"))&gt;0,IFERROR(('Final Calculation Sheet'!$L$14)&amp;"","")="",ISNUMBER(SEARCH($AS$72:$AZ$72,IFERROR(('Final Calculation Sheet'!$L$14)&amp;"","")))))&gt;0),IF(COUNTIF($BI$72:$BP$72,2)=0,TRUE,SUMPRODUCT(($BI$72:$BP$72=2)*($AS$72:$AZ$72&lt;&gt;"")*IF(((UPPER($AS$72:$AZ$72)="BLANK")+(UPPER($AS$72:$AZ$72)="(BLANK)")+(UPPER($AS$72:$AZ$72)="EMPTY")+(UPPER($AS$72:$AZ$72)="(EMPTY)"))&gt;0,IFERROR(('Final Calculation Sheet'!$L$14)&amp;"","")="",ISNUMBER(SEARCH($AS$72:$AZ$72,IFERROR(('Final Calculation Sheet'!$L$14)&amp;"","")))))&gt;0),IF(COUNTIF($BI$72:$BP$72,3)=0,TRUE,SUMPRODUCT(($BI$72:$BP$72=3)*($AS$72:$AZ$72&lt;&gt;"")*IF(((UPPER($AS$72:$AZ$72)="BLANK")+(UPPER($AS$72:$AZ$72)="(BLANK)")+(UPPER($AS$72:$AZ$72)="EMPTY")+(UPPER($AS$72:$AZ$72)="(EMPTY)"))&gt;0,IFERROR(('Final Calculation Sheet'!$L$14)&amp;"","")="",ISNUMBER(SEARCH($AS$72:$AZ$72,IFERROR(('Final Calculation Sheet'!$L$14)&amp;"","")))))&gt;0),IF(COUNTIF($BI$72:$BP$72,4)=0,TRUE,SUMPRODUCT(($BI$72:$BP$72=4)*($AS$72:$AZ$72&lt;&gt;"")*IF(((UPPER($AS$72:$AZ$72)="BLANK")+(UPPER($AS$72:$AZ$72)="(BLANK)")+(UPPER($AS$72:$AZ$72)="EMPTY")+(UPPER($AS$72:$AZ$72)="(EMPTY)"))&gt;0,IFERROR(('Final Calculation Sheet'!$L$14)&amp;"","")="",ISNUMBER(SEARCH($AS$72:$AZ$72,IFERROR(('Final Calculation Sheet'!$L$14)&amp;"","")))))&gt;0),IF(COUNTIF($BI$72:$BP$72,5)=0,TRUE,SUMPRODUCT(($BI$72:$BP$72=5)*($AS$72:$AZ$72&lt;&gt;"")*IF(((UPPER($AS$72:$AZ$72)="BLANK")+(UPPER($AS$72:$AZ$72)="(BLANK)")+(UPPER($AS$72:$AZ$72)="EMPTY")+(UPPER($AS$72:$AZ$72)="(EMPTY)"))&gt;0,IFERROR(('Final Calculation Sheet'!$L$14)&amp;"","")="",ISNUMBER(SEARCH($AS$72:$AZ$72,IFERROR(('Final Calculation Sheet'!$L$14)&amp;"","")))))&gt;0),IF(COUNTIF($BI$72:$BP$72,6)=0,TRUE,SUMPRODUCT(($BI$72:$BP$72=6)*($AS$72:$AZ$72&lt;&gt;"")*IF(((UPPER($AS$72:$AZ$72)="BLANK")+(UPPER($AS$72:$AZ$72)="(BLANK)")+(UPPER($AS$72:$AZ$72)="EMPTY")+(UPPER($AS$72:$AZ$72)="(EMPTY)"))&gt;0,IFERROR(('Final Calculation Sheet'!$L$14)&amp;"","")="",ISNUMBER(SEARCH($AS$72:$AZ$72,IFERROR(('Final Calculation Sheet'!$L$14)&amp;"","")))))&gt;0),IF(COUNTIF($BI$72:$BP$72,7)=0,TRUE,SUMPRODUCT(($BI$72:$BP$72=7)*($AS$72:$AZ$72&lt;&gt;"")*IF(((UPPER($AS$72:$AZ$72)="BLANK")+(UPPER($AS$72:$AZ$72)="(BLANK)")+(UPPER($AS$72:$AZ$72)="EMPTY")+(UPPER($AS$72:$AZ$72)="(EMPTY)"))&gt;0,IFERROR(('Final Calculation Sheet'!$L$14)&amp;"","")="",ISNUMBER(SEARCH($AS$72:$AZ$72,IFERROR(('Final Calculation Sheet'!$L$14)&amp;"","")))))&gt;0),IF(COUNTIF($BI$72:$BP$72,8)=0,TRUE,SUMPRODUCT(($BI$72:$BP$72=8)*($AS$72:$AZ$72&lt;&gt;"")*IF(((UPPER($AS$72:$AZ$72)="BLANK")+(UPPER($AS$72:$AZ$72)="(BLANK)")+(UPPER($AS$72:$AZ$72)="EMPTY")+(UPPER($AS$72:$AZ$72)="(EMPTY)"))&gt;0,IFERROR(('Final Calculation Sheet'!$L$14)&amp;"","")="",ISNUMBER(SEARCH($AS$72:$AZ$72,IFERROR(('Final Calculation Sheet'!$L$14)&amp;"","")))))&gt;0))))</f>
        <v>1</v>
      </c>
      <c r="BZ15">
        <f>IF($N$4="",1,--(AND(SUMPRODUCT(--($AS$73:$AZ$73&lt;&gt;""))&gt;0,IF(COUNTIF($BI$73:$BP$73,1)=0,TRUE,SUMPRODUCT(($BI$73:$BP$73=1)*($AS$73:$AZ$73&lt;&gt;"")*IF(((UPPER($AS$73:$AZ$73)="BLANK")+(UPPER($AS$73:$AZ$73)="(BLANK)")+(UPPER($AS$73:$AZ$73)="EMPTY")+(UPPER($AS$73:$AZ$73)="(EMPTY)"))&gt;0,IFERROR(('Final Calculation Sheet'!$M$14)&amp;"","")="",ISNUMBER(SEARCH($AS$73:$AZ$73,IFERROR(('Final Calculation Sheet'!$M$14)&amp;"","")))))&gt;0),IF(COUNTIF($BI$73:$BP$73,2)=0,TRUE,SUMPRODUCT(($BI$73:$BP$73=2)*($AS$73:$AZ$73&lt;&gt;"")*IF(((UPPER($AS$73:$AZ$73)="BLANK")+(UPPER($AS$73:$AZ$73)="(BLANK)")+(UPPER($AS$73:$AZ$73)="EMPTY")+(UPPER($AS$73:$AZ$73)="(EMPTY)"))&gt;0,IFERROR(('Final Calculation Sheet'!$M$14)&amp;"","")="",ISNUMBER(SEARCH($AS$73:$AZ$73,IFERROR(('Final Calculation Sheet'!$M$14)&amp;"","")))))&gt;0),IF(COUNTIF($BI$73:$BP$73,3)=0,TRUE,SUMPRODUCT(($BI$73:$BP$73=3)*($AS$73:$AZ$73&lt;&gt;"")*IF(((UPPER($AS$73:$AZ$73)="BLANK")+(UPPER($AS$73:$AZ$73)="(BLANK)")+(UPPER($AS$73:$AZ$73)="EMPTY")+(UPPER($AS$73:$AZ$73)="(EMPTY)"))&gt;0,IFERROR(('Final Calculation Sheet'!$M$14)&amp;"","")="",ISNUMBER(SEARCH($AS$73:$AZ$73,IFERROR(('Final Calculation Sheet'!$M$14)&amp;"","")))))&gt;0),IF(COUNTIF($BI$73:$BP$73,4)=0,TRUE,SUMPRODUCT(($BI$73:$BP$73=4)*($AS$73:$AZ$73&lt;&gt;"")*IF(((UPPER($AS$73:$AZ$73)="BLANK")+(UPPER($AS$73:$AZ$73)="(BLANK)")+(UPPER($AS$73:$AZ$73)="EMPTY")+(UPPER($AS$73:$AZ$73)="(EMPTY)"))&gt;0,IFERROR(('Final Calculation Sheet'!$M$14)&amp;"","")="",ISNUMBER(SEARCH($AS$73:$AZ$73,IFERROR(('Final Calculation Sheet'!$M$14)&amp;"","")))))&gt;0),IF(COUNTIF($BI$73:$BP$73,5)=0,TRUE,SUMPRODUCT(($BI$73:$BP$73=5)*($AS$73:$AZ$73&lt;&gt;"")*IF(((UPPER($AS$73:$AZ$73)="BLANK")+(UPPER($AS$73:$AZ$73)="(BLANK)")+(UPPER($AS$73:$AZ$73)="EMPTY")+(UPPER($AS$73:$AZ$73)="(EMPTY)"))&gt;0,IFERROR(('Final Calculation Sheet'!$M$14)&amp;"","")="",ISNUMBER(SEARCH($AS$73:$AZ$73,IFERROR(('Final Calculation Sheet'!$M$14)&amp;"","")))))&gt;0),IF(COUNTIF($BI$73:$BP$73,6)=0,TRUE,SUMPRODUCT(($BI$73:$BP$73=6)*($AS$73:$AZ$73&lt;&gt;"")*IF(((UPPER($AS$73:$AZ$73)="BLANK")+(UPPER($AS$73:$AZ$73)="(BLANK)")+(UPPER($AS$73:$AZ$73)="EMPTY")+(UPPER($AS$73:$AZ$73)="(EMPTY)"))&gt;0,IFERROR(('Final Calculation Sheet'!$M$14)&amp;"","")="",ISNUMBER(SEARCH($AS$73:$AZ$73,IFERROR(('Final Calculation Sheet'!$M$14)&amp;"","")))))&gt;0),IF(COUNTIF($BI$73:$BP$73,7)=0,TRUE,SUMPRODUCT(($BI$73:$BP$73=7)*($AS$73:$AZ$73&lt;&gt;"")*IF(((UPPER($AS$73:$AZ$73)="BLANK")+(UPPER($AS$73:$AZ$73)="(BLANK)")+(UPPER($AS$73:$AZ$73)="EMPTY")+(UPPER($AS$73:$AZ$73)="(EMPTY)"))&gt;0,IFERROR(('Final Calculation Sheet'!$M$14)&amp;"","")="",ISNUMBER(SEARCH($AS$73:$AZ$73,IFERROR(('Final Calculation Sheet'!$M$14)&amp;"","")))))&gt;0),IF(COUNTIF($BI$73:$BP$73,8)=0,TRUE,SUMPRODUCT(($BI$73:$BP$73=8)*($AS$73:$AZ$73&lt;&gt;"")*IF(((UPPER($AS$73:$AZ$73)="BLANK")+(UPPER($AS$73:$AZ$73)="(BLANK)")+(UPPER($AS$73:$AZ$73)="EMPTY")+(UPPER($AS$73:$AZ$73)="(EMPTY)"))&gt;0,IFERROR(('Final Calculation Sheet'!$M$14)&amp;"","")="",ISNUMBER(SEARCH($AS$73:$AZ$73,IFERROR(('Final Calculation Sheet'!$M$14)&amp;"","")))))&gt;0))))</f>
        <v>1</v>
      </c>
      <c r="CA15">
        <f>IF($O$4="",1,--(AND(SUMPRODUCT(--($AS$74:$AZ$74&lt;&gt;""))&gt;0,IF(COUNTIF($BI$74:$BP$74,1)=0,TRUE,SUMPRODUCT(($BI$74:$BP$74=1)*($AS$74:$AZ$74&lt;&gt;"")*IF(((UPPER($AS$74:$AZ$74)="BLANK")+(UPPER($AS$74:$AZ$74)="(BLANK)")+(UPPER($AS$74:$AZ$74)="EMPTY")+(UPPER($AS$74:$AZ$74)="(EMPTY)"))&gt;0,IFERROR(('Final Calculation Sheet'!$N$14)&amp;"","")="",ISNUMBER(SEARCH($AS$74:$AZ$74,IFERROR(('Final Calculation Sheet'!$N$14)&amp;"","")))))&gt;0),IF(COUNTIF($BI$74:$BP$74,2)=0,TRUE,SUMPRODUCT(($BI$74:$BP$74=2)*($AS$74:$AZ$74&lt;&gt;"")*IF(((UPPER($AS$74:$AZ$74)="BLANK")+(UPPER($AS$74:$AZ$74)="(BLANK)")+(UPPER($AS$74:$AZ$74)="EMPTY")+(UPPER($AS$74:$AZ$74)="(EMPTY)"))&gt;0,IFERROR(('Final Calculation Sheet'!$N$14)&amp;"","")="",ISNUMBER(SEARCH($AS$74:$AZ$74,IFERROR(('Final Calculation Sheet'!$N$14)&amp;"","")))))&gt;0),IF(COUNTIF($BI$74:$BP$74,3)=0,TRUE,SUMPRODUCT(($BI$74:$BP$74=3)*($AS$74:$AZ$74&lt;&gt;"")*IF(((UPPER($AS$74:$AZ$74)="BLANK")+(UPPER($AS$74:$AZ$74)="(BLANK)")+(UPPER($AS$74:$AZ$74)="EMPTY")+(UPPER($AS$74:$AZ$74)="(EMPTY)"))&gt;0,IFERROR(('Final Calculation Sheet'!$N$14)&amp;"","")="",ISNUMBER(SEARCH($AS$74:$AZ$74,IFERROR(('Final Calculation Sheet'!$N$14)&amp;"","")))))&gt;0),IF(COUNTIF($BI$74:$BP$74,4)=0,TRUE,SUMPRODUCT(($BI$74:$BP$74=4)*($AS$74:$AZ$74&lt;&gt;"")*IF(((UPPER($AS$74:$AZ$74)="BLANK")+(UPPER($AS$74:$AZ$74)="(BLANK)")+(UPPER($AS$74:$AZ$74)="EMPTY")+(UPPER($AS$74:$AZ$74)="(EMPTY)"))&gt;0,IFERROR(('Final Calculation Sheet'!$N$14)&amp;"","")="",ISNUMBER(SEARCH($AS$74:$AZ$74,IFERROR(('Final Calculation Sheet'!$N$14)&amp;"","")))))&gt;0),IF(COUNTIF($BI$74:$BP$74,5)=0,TRUE,SUMPRODUCT(($BI$74:$BP$74=5)*($AS$74:$AZ$74&lt;&gt;"")*IF(((UPPER($AS$74:$AZ$74)="BLANK")+(UPPER($AS$74:$AZ$74)="(BLANK)")+(UPPER($AS$74:$AZ$74)="EMPTY")+(UPPER($AS$74:$AZ$74)="(EMPTY)"))&gt;0,IFERROR(('Final Calculation Sheet'!$N$14)&amp;"","")="",ISNUMBER(SEARCH($AS$74:$AZ$74,IFERROR(('Final Calculation Sheet'!$N$14)&amp;"","")))))&gt;0),IF(COUNTIF($BI$74:$BP$74,6)=0,TRUE,SUMPRODUCT(($BI$74:$BP$74=6)*($AS$74:$AZ$74&lt;&gt;"")*IF(((UPPER($AS$74:$AZ$74)="BLANK")+(UPPER($AS$74:$AZ$74)="(BLANK)")+(UPPER($AS$74:$AZ$74)="EMPTY")+(UPPER($AS$74:$AZ$74)="(EMPTY)"))&gt;0,IFERROR(('Final Calculation Sheet'!$N$14)&amp;"","")="",ISNUMBER(SEARCH($AS$74:$AZ$74,IFERROR(('Final Calculation Sheet'!$N$14)&amp;"","")))))&gt;0),IF(COUNTIF($BI$74:$BP$74,7)=0,TRUE,SUMPRODUCT(($BI$74:$BP$74=7)*($AS$74:$AZ$74&lt;&gt;"")*IF(((UPPER($AS$74:$AZ$74)="BLANK")+(UPPER($AS$74:$AZ$74)="(BLANK)")+(UPPER($AS$74:$AZ$74)="EMPTY")+(UPPER($AS$74:$AZ$74)="(EMPTY)"))&gt;0,IFERROR(('Final Calculation Sheet'!$N$14)&amp;"","")="",ISNUMBER(SEARCH($AS$74:$AZ$74,IFERROR(('Final Calculation Sheet'!$N$14)&amp;"","")))))&gt;0),IF(COUNTIF($BI$74:$BP$74,8)=0,TRUE,SUMPRODUCT(($BI$74:$BP$74=8)*($AS$74:$AZ$74&lt;&gt;"")*IF(((UPPER($AS$74:$AZ$74)="BLANK")+(UPPER($AS$74:$AZ$74)="(BLANK)")+(UPPER($AS$74:$AZ$74)="EMPTY")+(UPPER($AS$74:$AZ$74)="(EMPTY)"))&gt;0,IFERROR(('Final Calculation Sheet'!$N$14)&amp;"","")="",ISNUMBER(SEARCH($AS$74:$AZ$74,IFERROR(('Final Calculation Sheet'!$N$14)&amp;"","")))))&gt;0))))</f>
        <v>1</v>
      </c>
      <c r="CB15">
        <f>IF($P$4="",1,--(AND(SUMPRODUCT(--($AS$75:$AZ$75&lt;&gt;""))&gt;0,IF(COUNTIF($BI$75:$BP$75,1)=0,TRUE,SUMPRODUCT(($BI$75:$BP$75=1)*($AS$75:$AZ$75&lt;&gt;"")*IF(((UPPER($AS$75:$AZ$75)="BLANK")+(UPPER($AS$75:$AZ$75)="(BLANK)")+(UPPER($AS$75:$AZ$75)="EMPTY")+(UPPER($AS$75:$AZ$75)="(EMPTY)"))&gt;0,IFERROR(('Final Calculation Sheet'!$O$14)&amp;"","")="",ISNUMBER(SEARCH($AS$75:$AZ$75,IFERROR(('Final Calculation Sheet'!$O$14)&amp;"","")))))&gt;0),IF(COUNTIF($BI$75:$BP$75,2)=0,TRUE,SUMPRODUCT(($BI$75:$BP$75=2)*($AS$75:$AZ$75&lt;&gt;"")*IF(((UPPER($AS$75:$AZ$75)="BLANK")+(UPPER($AS$75:$AZ$75)="(BLANK)")+(UPPER($AS$75:$AZ$75)="EMPTY")+(UPPER($AS$75:$AZ$75)="(EMPTY)"))&gt;0,IFERROR(('Final Calculation Sheet'!$O$14)&amp;"","")="",ISNUMBER(SEARCH($AS$75:$AZ$75,IFERROR(('Final Calculation Sheet'!$O$14)&amp;"","")))))&gt;0),IF(COUNTIF($BI$75:$BP$75,3)=0,TRUE,SUMPRODUCT(($BI$75:$BP$75=3)*($AS$75:$AZ$75&lt;&gt;"")*IF(((UPPER($AS$75:$AZ$75)="BLANK")+(UPPER($AS$75:$AZ$75)="(BLANK)")+(UPPER($AS$75:$AZ$75)="EMPTY")+(UPPER($AS$75:$AZ$75)="(EMPTY)"))&gt;0,IFERROR(('Final Calculation Sheet'!$O$14)&amp;"","")="",ISNUMBER(SEARCH($AS$75:$AZ$75,IFERROR(('Final Calculation Sheet'!$O$14)&amp;"","")))))&gt;0),IF(COUNTIF($BI$75:$BP$75,4)=0,TRUE,SUMPRODUCT(($BI$75:$BP$75=4)*($AS$75:$AZ$75&lt;&gt;"")*IF(((UPPER($AS$75:$AZ$75)="BLANK")+(UPPER($AS$75:$AZ$75)="(BLANK)")+(UPPER($AS$75:$AZ$75)="EMPTY")+(UPPER($AS$75:$AZ$75)="(EMPTY)"))&gt;0,IFERROR(('Final Calculation Sheet'!$O$14)&amp;"","")="",ISNUMBER(SEARCH($AS$75:$AZ$75,IFERROR(('Final Calculation Sheet'!$O$14)&amp;"","")))))&gt;0),IF(COUNTIF($BI$75:$BP$75,5)=0,TRUE,SUMPRODUCT(($BI$75:$BP$75=5)*($AS$75:$AZ$75&lt;&gt;"")*IF(((UPPER($AS$75:$AZ$75)="BLANK")+(UPPER($AS$75:$AZ$75)="(BLANK)")+(UPPER($AS$75:$AZ$75)="EMPTY")+(UPPER($AS$75:$AZ$75)="(EMPTY)"))&gt;0,IFERROR(('Final Calculation Sheet'!$O$14)&amp;"","")="",ISNUMBER(SEARCH($AS$75:$AZ$75,IFERROR(('Final Calculation Sheet'!$O$14)&amp;"","")))))&gt;0),IF(COUNTIF($BI$75:$BP$75,6)=0,TRUE,SUMPRODUCT(($BI$75:$BP$75=6)*($AS$75:$AZ$75&lt;&gt;"")*IF(((UPPER($AS$75:$AZ$75)="BLANK")+(UPPER($AS$75:$AZ$75)="(BLANK)")+(UPPER($AS$75:$AZ$75)="EMPTY")+(UPPER($AS$75:$AZ$75)="(EMPTY)"))&gt;0,IFERROR(('Final Calculation Sheet'!$O$14)&amp;"","")="",ISNUMBER(SEARCH($AS$75:$AZ$75,IFERROR(('Final Calculation Sheet'!$O$14)&amp;"","")))))&gt;0),IF(COUNTIF($BI$75:$BP$75,7)=0,TRUE,SUMPRODUCT(($BI$75:$BP$75=7)*($AS$75:$AZ$75&lt;&gt;"")*IF(((UPPER($AS$75:$AZ$75)="BLANK")+(UPPER($AS$75:$AZ$75)="(BLANK)")+(UPPER($AS$75:$AZ$75)="EMPTY")+(UPPER($AS$75:$AZ$75)="(EMPTY)"))&gt;0,IFERROR(('Final Calculation Sheet'!$O$14)&amp;"","")="",ISNUMBER(SEARCH($AS$75:$AZ$75,IFERROR(('Final Calculation Sheet'!$O$14)&amp;"","")))))&gt;0),IF(COUNTIF($BI$75:$BP$75,8)=0,TRUE,SUMPRODUCT(($BI$75:$BP$75=8)*($AS$75:$AZ$75&lt;&gt;"")*IF(((UPPER($AS$75:$AZ$75)="BLANK")+(UPPER($AS$75:$AZ$75)="(BLANK)")+(UPPER($AS$75:$AZ$75)="EMPTY")+(UPPER($AS$75:$AZ$75)="(EMPTY)"))&gt;0,IFERROR(('Final Calculation Sheet'!$O$14)&amp;"","")="",ISNUMBER(SEARCH($AS$75:$AZ$75,IFERROR(('Final Calculation Sheet'!$O$14)&amp;"","")))))&gt;0))))</f>
        <v>1</v>
      </c>
      <c r="CC15">
        <f>IF($Q$4="",1,--(AND(SUMPRODUCT(--($AS$76:$AZ$76&lt;&gt;""))&gt;0,IF(COUNTIF($BI$76:$BP$76,1)=0,TRUE,SUMPRODUCT(($BI$76:$BP$76=1)*($AS$76:$AZ$76&lt;&gt;"")*IF(((UPPER($AS$76:$AZ$76)="BLANK")+(UPPER($AS$76:$AZ$76)="(BLANK)")+(UPPER($AS$76:$AZ$76)="EMPTY")+(UPPER($AS$76:$AZ$76)="(EMPTY)"))&gt;0,IFERROR(('Final Calculation Sheet'!$P$14)&amp;"","")="",ISNUMBER(SEARCH($AS$76:$AZ$76,IFERROR(('Final Calculation Sheet'!$P$14)&amp;"","")))))&gt;0),IF(COUNTIF($BI$76:$BP$76,2)=0,TRUE,SUMPRODUCT(($BI$76:$BP$76=2)*($AS$76:$AZ$76&lt;&gt;"")*IF(((UPPER($AS$76:$AZ$76)="BLANK")+(UPPER($AS$76:$AZ$76)="(BLANK)")+(UPPER($AS$76:$AZ$76)="EMPTY")+(UPPER($AS$76:$AZ$76)="(EMPTY)"))&gt;0,IFERROR(('Final Calculation Sheet'!$P$14)&amp;"","")="",ISNUMBER(SEARCH($AS$76:$AZ$76,IFERROR(('Final Calculation Sheet'!$P$14)&amp;"","")))))&gt;0),IF(COUNTIF($BI$76:$BP$76,3)=0,TRUE,SUMPRODUCT(($BI$76:$BP$76=3)*($AS$76:$AZ$76&lt;&gt;"")*IF(((UPPER($AS$76:$AZ$76)="BLANK")+(UPPER($AS$76:$AZ$76)="(BLANK)")+(UPPER($AS$76:$AZ$76)="EMPTY")+(UPPER($AS$76:$AZ$76)="(EMPTY)"))&gt;0,IFERROR(('Final Calculation Sheet'!$P$14)&amp;"","")="",ISNUMBER(SEARCH($AS$76:$AZ$76,IFERROR(('Final Calculation Sheet'!$P$14)&amp;"","")))))&gt;0),IF(COUNTIF($BI$76:$BP$76,4)=0,TRUE,SUMPRODUCT(($BI$76:$BP$76=4)*($AS$76:$AZ$76&lt;&gt;"")*IF(((UPPER($AS$76:$AZ$76)="BLANK")+(UPPER($AS$76:$AZ$76)="(BLANK)")+(UPPER($AS$76:$AZ$76)="EMPTY")+(UPPER($AS$76:$AZ$76)="(EMPTY)"))&gt;0,IFERROR(('Final Calculation Sheet'!$P$14)&amp;"","")="",ISNUMBER(SEARCH($AS$76:$AZ$76,IFERROR(('Final Calculation Sheet'!$P$14)&amp;"","")))))&gt;0),IF(COUNTIF($BI$76:$BP$76,5)=0,TRUE,SUMPRODUCT(($BI$76:$BP$76=5)*($AS$76:$AZ$76&lt;&gt;"")*IF(((UPPER($AS$76:$AZ$76)="BLANK")+(UPPER($AS$76:$AZ$76)="(BLANK)")+(UPPER($AS$76:$AZ$76)="EMPTY")+(UPPER($AS$76:$AZ$76)="(EMPTY)"))&gt;0,IFERROR(('Final Calculation Sheet'!$P$14)&amp;"","")="",ISNUMBER(SEARCH($AS$76:$AZ$76,IFERROR(('Final Calculation Sheet'!$P$14)&amp;"","")))))&gt;0),IF(COUNTIF($BI$76:$BP$76,6)=0,TRUE,SUMPRODUCT(($BI$76:$BP$76=6)*($AS$76:$AZ$76&lt;&gt;"")*IF(((UPPER($AS$76:$AZ$76)="BLANK")+(UPPER($AS$76:$AZ$76)="(BLANK)")+(UPPER($AS$76:$AZ$76)="EMPTY")+(UPPER($AS$76:$AZ$76)="(EMPTY)"))&gt;0,IFERROR(('Final Calculation Sheet'!$P$14)&amp;"","")="",ISNUMBER(SEARCH($AS$76:$AZ$76,IFERROR(('Final Calculation Sheet'!$P$14)&amp;"","")))))&gt;0),IF(COUNTIF($BI$76:$BP$76,7)=0,TRUE,SUMPRODUCT(($BI$76:$BP$76=7)*($AS$76:$AZ$76&lt;&gt;"")*IF(((UPPER($AS$76:$AZ$76)="BLANK")+(UPPER($AS$76:$AZ$76)="(BLANK)")+(UPPER($AS$76:$AZ$76)="EMPTY")+(UPPER($AS$76:$AZ$76)="(EMPTY)"))&gt;0,IFERROR(('Final Calculation Sheet'!$P$14)&amp;"","")="",ISNUMBER(SEARCH($AS$76:$AZ$76,IFERROR(('Final Calculation Sheet'!$P$14)&amp;"","")))))&gt;0),IF(COUNTIF($BI$76:$BP$76,8)=0,TRUE,SUMPRODUCT(($BI$76:$BP$76=8)*($AS$76:$AZ$76&lt;&gt;"")*IF(((UPPER($AS$76:$AZ$76)="BLANK")+(UPPER($AS$76:$AZ$76)="(BLANK)")+(UPPER($AS$76:$AZ$76)="EMPTY")+(UPPER($AS$76:$AZ$76)="(EMPTY)"))&gt;0,IFERROR(('Final Calculation Sheet'!$P$14)&amp;"","")="",ISNUMBER(SEARCH($AS$76:$AZ$76,IFERROR(('Final Calculation Sheet'!$P$14)&amp;"","")))))&gt;0))))</f>
        <v>1</v>
      </c>
      <c r="CD15">
        <f>IF($R$4="",1,--(AND(SUMPRODUCT(--($AS$77:$AZ$77&lt;&gt;""))&gt;0,IF(COUNTIF($BI$77:$BP$77,1)=0,TRUE,SUMPRODUCT(($BI$77:$BP$77=1)*($AS$77:$AZ$77&lt;&gt;"")*IF(((UPPER($AS$77:$AZ$77)="BLANK")+(UPPER($AS$77:$AZ$77)="(BLANK)")+(UPPER($AS$77:$AZ$77)="EMPTY")+(UPPER($AS$77:$AZ$77)="(EMPTY)"))&gt;0,IFERROR(('Final Calculation Sheet'!$Q$14)&amp;"","")="",ISNUMBER(SEARCH($AS$77:$AZ$77,IFERROR(('Final Calculation Sheet'!$Q$14)&amp;"","")))))&gt;0),IF(COUNTIF($BI$77:$BP$77,2)=0,TRUE,SUMPRODUCT(($BI$77:$BP$77=2)*($AS$77:$AZ$77&lt;&gt;"")*IF(((UPPER($AS$77:$AZ$77)="BLANK")+(UPPER($AS$77:$AZ$77)="(BLANK)")+(UPPER($AS$77:$AZ$77)="EMPTY")+(UPPER($AS$77:$AZ$77)="(EMPTY)"))&gt;0,IFERROR(('Final Calculation Sheet'!$Q$14)&amp;"","")="",ISNUMBER(SEARCH($AS$77:$AZ$77,IFERROR(('Final Calculation Sheet'!$Q$14)&amp;"","")))))&gt;0),IF(COUNTIF($BI$77:$BP$77,3)=0,TRUE,SUMPRODUCT(($BI$77:$BP$77=3)*($AS$77:$AZ$77&lt;&gt;"")*IF(((UPPER($AS$77:$AZ$77)="BLANK")+(UPPER($AS$77:$AZ$77)="(BLANK)")+(UPPER($AS$77:$AZ$77)="EMPTY")+(UPPER($AS$77:$AZ$77)="(EMPTY)"))&gt;0,IFERROR(('Final Calculation Sheet'!$Q$14)&amp;"","")="",ISNUMBER(SEARCH($AS$77:$AZ$77,IFERROR(('Final Calculation Sheet'!$Q$14)&amp;"","")))))&gt;0),IF(COUNTIF($BI$77:$BP$77,4)=0,TRUE,SUMPRODUCT(($BI$77:$BP$77=4)*($AS$77:$AZ$77&lt;&gt;"")*IF(((UPPER($AS$77:$AZ$77)="BLANK")+(UPPER($AS$77:$AZ$77)="(BLANK)")+(UPPER($AS$77:$AZ$77)="EMPTY")+(UPPER($AS$77:$AZ$77)="(EMPTY)"))&gt;0,IFERROR(('Final Calculation Sheet'!$Q$14)&amp;"","")="",ISNUMBER(SEARCH($AS$77:$AZ$77,IFERROR(('Final Calculation Sheet'!$Q$14)&amp;"","")))))&gt;0),IF(COUNTIF($BI$77:$BP$77,5)=0,TRUE,SUMPRODUCT(($BI$77:$BP$77=5)*($AS$77:$AZ$77&lt;&gt;"")*IF(((UPPER($AS$77:$AZ$77)="BLANK")+(UPPER($AS$77:$AZ$77)="(BLANK)")+(UPPER($AS$77:$AZ$77)="EMPTY")+(UPPER($AS$77:$AZ$77)="(EMPTY)"))&gt;0,IFERROR(('Final Calculation Sheet'!$Q$14)&amp;"","")="",ISNUMBER(SEARCH($AS$77:$AZ$77,IFERROR(('Final Calculation Sheet'!$Q$14)&amp;"","")))))&gt;0),IF(COUNTIF($BI$77:$BP$77,6)=0,TRUE,SUMPRODUCT(($BI$77:$BP$77=6)*($AS$77:$AZ$77&lt;&gt;"")*IF(((UPPER($AS$77:$AZ$77)="BLANK")+(UPPER($AS$77:$AZ$77)="(BLANK)")+(UPPER($AS$77:$AZ$77)="EMPTY")+(UPPER($AS$77:$AZ$77)="(EMPTY)"))&gt;0,IFERROR(('Final Calculation Sheet'!$Q$14)&amp;"","")="",ISNUMBER(SEARCH($AS$77:$AZ$77,IFERROR(('Final Calculation Sheet'!$Q$14)&amp;"","")))))&gt;0),IF(COUNTIF($BI$77:$BP$77,7)=0,TRUE,SUMPRODUCT(($BI$77:$BP$77=7)*($AS$77:$AZ$77&lt;&gt;"")*IF(((UPPER($AS$77:$AZ$77)="BLANK")+(UPPER($AS$77:$AZ$77)="(BLANK)")+(UPPER($AS$77:$AZ$77)="EMPTY")+(UPPER($AS$77:$AZ$77)="(EMPTY)"))&gt;0,IFERROR(('Final Calculation Sheet'!$Q$14)&amp;"","")="",ISNUMBER(SEARCH($AS$77:$AZ$77,IFERROR(('Final Calculation Sheet'!$Q$14)&amp;"","")))))&gt;0),IF(COUNTIF($BI$77:$BP$77,8)=0,TRUE,SUMPRODUCT(($BI$77:$BP$77=8)*($AS$77:$AZ$77&lt;&gt;"")*IF(((UPPER($AS$77:$AZ$77)="BLANK")+(UPPER($AS$77:$AZ$77)="(BLANK)")+(UPPER($AS$77:$AZ$77)="EMPTY")+(UPPER($AS$77:$AZ$77)="(EMPTY)"))&gt;0,IFERROR(('Final Calculation Sheet'!$Q$14)&amp;"","")="",ISNUMBER(SEARCH($AS$77:$AZ$77,IFERROR(('Final Calculation Sheet'!$Q$14)&amp;"","")))))&gt;0))))</f>
        <v>1</v>
      </c>
      <c r="CE15">
        <f>IF($S$4="",1,--(AND(SUMPRODUCT(--($AS$78:$AZ$78&lt;&gt;""))&gt;0,IF(COUNTIF($BI$78:$BP$78,1)=0,TRUE,SUMPRODUCT(($BI$78:$BP$78=1)*($AS$78:$AZ$78&lt;&gt;"")*IF(((UPPER($AS$78:$AZ$78)="BLANK")+(UPPER($AS$78:$AZ$78)="(BLANK)")+(UPPER($AS$78:$AZ$78)="EMPTY")+(UPPER($AS$78:$AZ$78)="(EMPTY)"))&gt;0,IFERROR(('Final Calculation Sheet'!$R$14)&amp;"","")="",ISNUMBER(SEARCH($AS$78:$AZ$78,IFERROR(('Final Calculation Sheet'!$R$14)&amp;"","")))))&gt;0),IF(COUNTIF($BI$78:$BP$78,2)=0,TRUE,SUMPRODUCT(($BI$78:$BP$78=2)*($AS$78:$AZ$78&lt;&gt;"")*IF(((UPPER($AS$78:$AZ$78)="BLANK")+(UPPER($AS$78:$AZ$78)="(BLANK)")+(UPPER($AS$78:$AZ$78)="EMPTY")+(UPPER($AS$78:$AZ$78)="(EMPTY)"))&gt;0,IFERROR(('Final Calculation Sheet'!$R$14)&amp;"","")="",ISNUMBER(SEARCH($AS$78:$AZ$78,IFERROR(('Final Calculation Sheet'!$R$14)&amp;"","")))))&gt;0),IF(COUNTIF($BI$78:$BP$78,3)=0,TRUE,SUMPRODUCT(($BI$78:$BP$78=3)*($AS$78:$AZ$78&lt;&gt;"")*IF(((UPPER($AS$78:$AZ$78)="BLANK")+(UPPER($AS$78:$AZ$78)="(BLANK)")+(UPPER($AS$78:$AZ$78)="EMPTY")+(UPPER($AS$78:$AZ$78)="(EMPTY)"))&gt;0,IFERROR(('Final Calculation Sheet'!$R$14)&amp;"","")="",ISNUMBER(SEARCH($AS$78:$AZ$78,IFERROR(('Final Calculation Sheet'!$R$14)&amp;"","")))))&gt;0),IF(COUNTIF($BI$78:$BP$78,4)=0,TRUE,SUMPRODUCT(($BI$78:$BP$78=4)*($AS$78:$AZ$78&lt;&gt;"")*IF(((UPPER($AS$78:$AZ$78)="BLANK")+(UPPER($AS$78:$AZ$78)="(BLANK)")+(UPPER($AS$78:$AZ$78)="EMPTY")+(UPPER($AS$78:$AZ$78)="(EMPTY)"))&gt;0,IFERROR(('Final Calculation Sheet'!$R$14)&amp;"","")="",ISNUMBER(SEARCH($AS$78:$AZ$78,IFERROR(('Final Calculation Sheet'!$R$14)&amp;"","")))))&gt;0),IF(COUNTIF($BI$78:$BP$78,5)=0,TRUE,SUMPRODUCT(($BI$78:$BP$78=5)*($AS$78:$AZ$78&lt;&gt;"")*IF(((UPPER($AS$78:$AZ$78)="BLANK")+(UPPER($AS$78:$AZ$78)="(BLANK)")+(UPPER($AS$78:$AZ$78)="EMPTY")+(UPPER($AS$78:$AZ$78)="(EMPTY)"))&gt;0,IFERROR(('Final Calculation Sheet'!$R$14)&amp;"","")="",ISNUMBER(SEARCH($AS$78:$AZ$78,IFERROR(('Final Calculation Sheet'!$R$14)&amp;"","")))))&gt;0),IF(COUNTIF($BI$78:$BP$78,6)=0,TRUE,SUMPRODUCT(($BI$78:$BP$78=6)*($AS$78:$AZ$78&lt;&gt;"")*IF(((UPPER($AS$78:$AZ$78)="BLANK")+(UPPER($AS$78:$AZ$78)="(BLANK)")+(UPPER($AS$78:$AZ$78)="EMPTY")+(UPPER($AS$78:$AZ$78)="(EMPTY)"))&gt;0,IFERROR(('Final Calculation Sheet'!$R$14)&amp;"","")="",ISNUMBER(SEARCH($AS$78:$AZ$78,IFERROR(('Final Calculation Sheet'!$R$14)&amp;"","")))))&gt;0),IF(COUNTIF($BI$78:$BP$78,7)=0,TRUE,SUMPRODUCT(($BI$78:$BP$78=7)*($AS$78:$AZ$78&lt;&gt;"")*IF(((UPPER($AS$78:$AZ$78)="BLANK")+(UPPER($AS$78:$AZ$78)="(BLANK)")+(UPPER($AS$78:$AZ$78)="EMPTY")+(UPPER($AS$78:$AZ$78)="(EMPTY)"))&gt;0,IFERROR(('Final Calculation Sheet'!$R$14)&amp;"","")="",ISNUMBER(SEARCH($AS$78:$AZ$78,IFERROR(('Final Calculation Sheet'!$R$14)&amp;"","")))))&gt;0),IF(COUNTIF($BI$78:$BP$78,8)=0,TRUE,SUMPRODUCT(($BI$78:$BP$78=8)*($AS$78:$AZ$78&lt;&gt;"")*IF(((UPPER($AS$78:$AZ$78)="BLANK")+(UPPER($AS$78:$AZ$78)="(BLANK)")+(UPPER($AS$78:$AZ$78)="EMPTY")+(UPPER($AS$78:$AZ$78)="(EMPTY)"))&gt;0,IFERROR(('Final Calculation Sheet'!$R$14)&amp;"","")="",ISNUMBER(SEARCH($AS$78:$AZ$78,IFERROR(('Final Calculation Sheet'!$R$14)&amp;"","")))))&gt;0))))</f>
        <v>1</v>
      </c>
      <c r="CF15">
        <f>IF($T$4="",1,--(AND(SUMPRODUCT(--($AS$79:$AZ$79&lt;&gt;""))&gt;0,IF(COUNTIF($BI$79:$BP$79,1)=0,TRUE,SUMPRODUCT(($BI$79:$BP$79=1)*($AS$79:$AZ$79&lt;&gt;"")*IF(((UPPER($AS$79:$AZ$79)="BLANK")+(UPPER($AS$79:$AZ$79)="(BLANK)")+(UPPER($AS$79:$AZ$79)="EMPTY")+(UPPER($AS$79:$AZ$79)="(EMPTY)"))&gt;0,IFERROR(('Final Calculation Sheet'!$S$14)&amp;"","")="",ISNUMBER(SEARCH($AS$79:$AZ$79,IFERROR(('Final Calculation Sheet'!$S$14)&amp;"","")))))&gt;0),IF(COUNTIF($BI$79:$BP$79,2)=0,TRUE,SUMPRODUCT(($BI$79:$BP$79=2)*($AS$79:$AZ$79&lt;&gt;"")*IF(((UPPER($AS$79:$AZ$79)="BLANK")+(UPPER($AS$79:$AZ$79)="(BLANK)")+(UPPER($AS$79:$AZ$79)="EMPTY")+(UPPER($AS$79:$AZ$79)="(EMPTY)"))&gt;0,IFERROR(('Final Calculation Sheet'!$S$14)&amp;"","")="",ISNUMBER(SEARCH($AS$79:$AZ$79,IFERROR(('Final Calculation Sheet'!$S$14)&amp;"","")))))&gt;0),IF(COUNTIF($BI$79:$BP$79,3)=0,TRUE,SUMPRODUCT(($BI$79:$BP$79=3)*($AS$79:$AZ$79&lt;&gt;"")*IF(((UPPER($AS$79:$AZ$79)="BLANK")+(UPPER($AS$79:$AZ$79)="(BLANK)")+(UPPER($AS$79:$AZ$79)="EMPTY")+(UPPER($AS$79:$AZ$79)="(EMPTY)"))&gt;0,IFERROR(('Final Calculation Sheet'!$S$14)&amp;"","")="",ISNUMBER(SEARCH($AS$79:$AZ$79,IFERROR(('Final Calculation Sheet'!$S$14)&amp;"","")))))&gt;0),IF(COUNTIF($BI$79:$BP$79,4)=0,TRUE,SUMPRODUCT(($BI$79:$BP$79=4)*($AS$79:$AZ$79&lt;&gt;"")*IF(((UPPER($AS$79:$AZ$79)="BLANK")+(UPPER($AS$79:$AZ$79)="(BLANK)")+(UPPER($AS$79:$AZ$79)="EMPTY")+(UPPER($AS$79:$AZ$79)="(EMPTY)"))&gt;0,IFERROR(('Final Calculation Sheet'!$S$14)&amp;"","")="",ISNUMBER(SEARCH($AS$79:$AZ$79,IFERROR(('Final Calculation Sheet'!$S$14)&amp;"","")))))&gt;0),IF(COUNTIF($BI$79:$BP$79,5)=0,TRUE,SUMPRODUCT(($BI$79:$BP$79=5)*($AS$79:$AZ$79&lt;&gt;"")*IF(((UPPER($AS$79:$AZ$79)="BLANK")+(UPPER($AS$79:$AZ$79)="(BLANK)")+(UPPER($AS$79:$AZ$79)="EMPTY")+(UPPER($AS$79:$AZ$79)="(EMPTY)"))&gt;0,IFERROR(('Final Calculation Sheet'!$S$14)&amp;"","")="",ISNUMBER(SEARCH($AS$79:$AZ$79,IFERROR(('Final Calculation Sheet'!$S$14)&amp;"","")))))&gt;0),IF(COUNTIF($BI$79:$BP$79,6)=0,TRUE,SUMPRODUCT(($BI$79:$BP$79=6)*($AS$79:$AZ$79&lt;&gt;"")*IF(((UPPER($AS$79:$AZ$79)="BLANK")+(UPPER($AS$79:$AZ$79)="(BLANK)")+(UPPER($AS$79:$AZ$79)="EMPTY")+(UPPER($AS$79:$AZ$79)="(EMPTY)"))&gt;0,IFERROR(('Final Calculation Sheet'!$S$14)&amp;"","")="",ISNUMBER(SEARCH($AS$79:$AZ$79,IFERROR(('Final Calculation Sheet'!$S$14)&amp;"","")))))&gt;0),IF(COUNTIF($BI$79:$BP$79,7)=0,TRUE,SUMPRODUCT(($BI$79:$BP$79=7)*($AS$79:$AZ$79&lt;&gt;"")*IF(((UPPER($AS$79:$AZ$79)="BLANK")+(UPPER($AS$79:$AZ$79)="(BLANK)")+(UPPER($AS$79:$AZ$79)="EMPTY")+(UPPER($AS$79:$AZ$79)="(EMPTY)"))&gt;0,IFERROR(('Final Calculation Sheet'!$S$14)&amp;"","")="",ISNUMBER(SEARCH($AS$79:$AZ$79,IFERROR(('Final Calculation Sheet'!$S$14)&amp;"","")))))&gt;0),IF(COUNTIF($BI$79:$BP$79,8)=0,TRUE,SUMPRODUCT(($BI$79:$BP$79=8)*($AS$79:$AZ$79&lt;&gt;"")*IF(((UPPER($AS$79:$AZ$79)="BLANK")+(UPPER($AS$79:$AZ$79)="(BLANK)")+(UPPER($AS$79:$AZ$79)="EMPTY")+(UPPER($AS$79:$AZ$79)="(EMPTY)"))&gt;0,IFERROR(('Final Calculation Sheet'!$S$14)&amp;"","")="",ISNUMBER(SEARCH($AS$79:$AZ$79,IFERROR(('Final Calculation Sheet'!$S$14)&amp;"","")))))&gt;0))))</f>
        <v>1</v>
      </c>
      <c r="CG15">
        <f>IF($U$4="",1,--(AND(SUMPRODUCT(--($AS$80:$AZ$80&lt;&gt;""))&gt;0,IF(COUNTIF($BI$80:$BP$80,1)=0,TRUE,SUMPRODUCT(($BI$80:$BP$80=1)*($AS$80:$AZ$80&lt;&gt;"")*IF(((UPPER($AS$80:$AZ$80)="BLANK")+(UPPER($AS$80:$AZ$80)="(BLANK)")+(UPPER($AS$80:$AZ$80)="EMPTY")+(UPPER($AS$80:$AZ$80)="(EMPTY)"))&gt;0,IFERROR(('Final Calculation Sheet'!$T$14)&amp;"","")="",ISNUMBER(SEARCH($AS$80:$AZ$80,IFERROR(('Final Calculation Sheet'!$T$14)&amp;"","")))))&gt;0),IF(COUNTIF($BI$80:$BP$80,2)=0,TRUE,SUMPRODUCT(($BI$80:$BP$80=2)*($AS$80:$AZ$80&lt;&gt;"")*IF(((UPPER($AS$80:$AZ$80)="BLANK")+(UPPER($AS$80:$AZ$80)="(BLANK)")+(UPPER($AS$80:$AZ$80)="EMPTY")+(UPPER($AS$80:$AZ$80)="(EMPTY)"))&gt;0,IFERROR(('Final Calculation Sheet'!$T$14)&amp;"","")="",ISNUMBER(SEARCH($AS$80:$AZ$80,IFERROR(('Final Calculation Sheet'!$T$14)&amp;"","")))))&gt;0),IF(COUNTIF($BI$80:$BP$80,3)=0,TRUE,SUMPRODUCT(($BI$80:$BP$80=3)*($AS$80:$AZ$80&lt;&gt;"")*IF(((UPPER($AS$80:$AZ$80)="BLANK")+(UPPER($AS$80:$AZ$80)="(BLANK)")+(UPPER($AS$80:$AZ$80)="EMPTY")+(UPPER($AS$80:$AZ$80)="(EMPTY)"))&gt;0,IFERROR(('Final Calculation Sheet'!$T$14)&amp;"","")="",ISNUMBER(SEARCH($AS$80:$AZ$80,IFERROR(('Final Calculation Sheet'!$T$14)&amp;"","")))))&gt;0),IF(COUNTIF($BI$80:$BP$80,4)=0,TRUE,SUMPRODUCT(($BI$80:$BP$80=4)*($AS$80:$AZ$80&lt;&gt;"")*IF(((UPPER($AS$80:$AZ$80)="BLANK")+(UPPER($AS$80:$AZ$80)="(BLANK)")+(UPPER($AS$80:$AZ$80)="EMPTY")+(UPPER($AS$80:$AZ$80)="(EMPTY)"))&gt;0,IFERROR(('Final Calculation Sheet'!$T$14)&amp;"","")="",ISNUMBER(SEARCH($AS$80:$AZ$80,IFERROR(('Final Calculation Sheet'!$T$14)&amp;"","")))))&gt;0),IF(COUNTIF($BI$80:$BP$80,5)=0,TRUE,SUMPRODUCT(($BI$80:$BP$80=5)*($AS$80:$AZ$80&lt;&gt;"")*IF(((UPPER($AS$80:$AZ$80)="BLANK")+(UPPER($AS$80:$AZ$80)="(BLANK)")+(UPPER($AS$80:$AZ$80)="EMPTY")+(UPPER($AS$80:$AZ$80)="(EMPTY)"))&gt;0,IFERROR(('Final Calculation Sheet'!$T$14)&amp;"","")="",ISNUMBER(SEARCH($AS$80:$AZ$80,IFERROR(('Final Calculation Sheet'!$T$14)&amp;"","")))))&gt;0),IF(COUNTIF($BI$80:$BP$80,6)=0,TRUE,SUMPRODUCT(($BI$80:$BP$80=6)*($AS$80:$AZ$80&lt;&gt;"")*IF(((UPPER($AS$80:$AZ$80)="BLANK")+(UPPER($AS$80:$AZ$80)="(BLANK)")+(UPPER($AS$80:$AZ$80)="EMPTY")+(UPPER($AS$80:$AZ$80)="(EMPTY)"))&gt;0,IFERROR(('Final Calculation Sheet'!$T$14)&amp;"","")="",ISNUMBER(SEARCH($AS$80:$AZ$80,IFERROR(('Final Calculation Sheet'!$T$14)&amp;"","")))))&gt;0),IF(COUNTIF($BI$80:$BP$80,7)=0,TRUE,SUMPRODUCT(($BI$80:$BP$80=7)*($AS$80:$AZ$80&lt;&gt;"")*IF(((UPPER($AS$80:$AZ$80)="BLANK")+(UPPER($AS$80:$AZ$80)="(BLANK)")+(UPPER($AS$80:$AZ$80)="EMPTY")+(UPPER($AS$80:$AZ$80)="(EMPTY)"))&gt;0,IFERROR(('Final Calculation Sheet'!$T$14)&amp;"","")="",ISNUMBER(SEARCH($AS$80:$AZ$80,IFERROR(('Final Calculation Sheet'!$T$14)&amp;"","")))))&gt;0),IF(COUNTIF($BI$80:$BP$80,8)=0,TRUE,SUMPRODUCT(($BI$80:$BP$80=8)*($AS$80:$AZ$80&lt;&gt;"")*IF(((UPPER($AS$80:$AZ$80)="BLANK")+(UPPER($AS$80:$AZ$80)="(BLANK)")+(UPPER($AS$80:$AZ$80)="EMPTY")+(UPPER($AS$80:$AZ$80)="(EMPTY)"))&gt;0,IFERROR(('Final Calculation Sheet'!$T$14)&amp;"","")="",ISNUMBER(SEARCH($AS$80:$AZ$80,IFERROR(('Final Calculation Sheet'!$T$14)&amp;"","")))))&gt;0))))</f>
        <v>1</v>
      </c>
      <c r="CH15">
        <f>IF($V$4="",1,--(AND(SUMPRODUCT(--($AS$81:$AZ$81&lt;&gt;""))&gt;0,IF(COUNTIF($BI$81:$BP$81,1)=0,TRUE,SUMPRODUCT(($BI$81:$BP$81=1)*($AS$81:$AZ$81&lt;&gt;"")*IF(((UPPER($AS$81:$AZ$81)="BLANK")+(UPPER($AS$81:$AZ$81)="(BLANK)")+(UPPER($AS$81:$AZ$81)="EMPTY")+(UPPER($AS$81:$AZ$81)="(EMPTY)"))&gt;0,IFERROR(('Final Calculation Sheet'!$U$14)&amp;"","")="",ISNUMBER(SEARCH($AS$81:$AZ$81,IFERROR(('Final Calculation Sheet'!$U$14)&amp;"","")))))&gt;0),IF(COUNTIF($BI$81:$BP$81,2)=0,TRUE,SUMPRODUCT(($BI$81:$BP$81=2)*($AS$81:$AZ$81&lt;&gt;"")*IF(((UPPER($AS$81:$AZ$81)="BLANK")+(UPPER($AS$81:$AZ$81)="(BLANK)")+(UPPER($AS$81:$AZ$81)="EMPTY")+(UPPER($AS$81:$AZ$81)="(EMPTY)"))&gt;0,IFERROR(('Final Calculation Sheet'!$U$14)&amp;"","")="",ISNUMBER(SEARCH($AS$81:$AZ$81,IFERROR(('Final Calculation Sheet'!$U$14)&amp;"","")))))&gt;0),IF(COUNTIF($BI$81:$BP$81,3)=0,TRUE,SUMPRODUCT(($BI$81:$BP$81=3)*($AS$81:$AZ$81&lt;&gt;"")*IF(((UPPER($AS$81:$AZ$81)="BLANK")+(UPPER($AS$81:$AZ$81)="(BLANK)")+(UPPER($AS$81:$AZ$81)="EMPTY")+(UPPER($AS$81:$AZ$81)="(EMPTY)"))&gt;0,IFERROR(('Final Calculation Sheet'!$U$14)&amp;"","")="",ISNUMBER(SEARCH($AS$81:$AZ$81,IFERROR(('Final Calculation Sheet'!$U$14)&amp;"","")))))&gt;0),IF(COUNTIF($BI$81:$BP$81,4)=0,TRUE,SUMPRODUCT(($BI$81:$BP$81=4)*($AS$81:$AZ$81&lt;&gt;"")*IF(((UPPER($AS$81:$AZ$81)="BLANK")+(UPPER($AS$81:$AZ$81)="(BLANK)")+(UPPER($AS$81:$AZ$81)="EMPTY")+(UPPER($AS$81:$AZ$81)="(EMPTY)"))&gt;0,IFERROR(('Final Calculation Sheet'!$U$14)&amp;"","")="",ISNUMBER(SEARCH($AS$81:$AZ$81,IFERROR(('Final Calculation Sheet'!$U$14)&amp;"","")))))&gt;0),IF(COUNTIF($BI$81:$BP$81,5)=0,TRUE,SUMPRODUCT(($BI$81:$BP$81=5)*($AS$81:$AZ$81&lt;&gt;"")*IF(((UPPER($AS$81:$AZ$81)="BLANK")+(UPPER($AS$81:$AZ$81)="(BLANK)")+(UPPER($AS$81:$AZ$81)="EMPTY")+(UPPER($AS$81:$AZ$81)="(EMPTY)"))&gt;0,IFERROR(('Final Calculation Sheet'!$U$14)&amp;"","")="",ISNUMBER(SEARCH($AS$81:$AZ$81,IFERROR(('Final Calculation Sheet'!$U$14)&amp;"","")))))&gt;0),IF(COUNTIF($BI$81:$BP$81,6)=0,TRUE,SUMPRODUCT(($BI$81:$BP$81=6)*($AS$81:$AZ$81&lt;&gt;"")*IF(((UPPER($AS$81:$AZ$81)="BLANK")+(UPPER($AS$81:$AZ$81)="(BLANK)")+(UPPER($AS$81:$AZ$81)="EMPTY")+(UPPER($AS$81:$AZ$81)="(EMPTY)"))&gt;0,IFERROR(('Final Calculation Sheet'!$U$14)&amp;"","")="",ISNUMBER(SEARCH($AS$81:$AZ$81,IFERROR(('Final Calculation Sheet'!$U$14)&amp;"","")))))&gt;0),IF(COUNTIF($BI$81:$BP$81,7)=0,TRUE,SUMPRODUCT(($BI$81:$BP$81=7)*($AS$81:$AZ$81&lt;&gt;"")*IF(((UPPER($AS$81:$AZ$81)="BLANK")+(UPPER($AS$81:$AZ$81)="(BLANK)")+(UPPER($AS$81:$AZ$81)="EMPTY")+(UPPER($AS$81:$AZ$81)="(EMPTY)"))&gt;0,IFERROR(('Final Calculation Sheet'!$U$14)&amp;"","")="",ISNUMBER(SEARCH($AS$81:$AZ$81,IFERROR(('Final Calculation Sheet'!$U$14)&amp;"","")))))&gt;0),IF(COUNTIF($BI$81:$BP$81,8)=0,TRUE,SUMPRODUCT(($BI$81:$BP$81=8)*($AS$81:$AZ$81&lt;&gt;"")*IF(((UPPER($AS$81:$AZ$81)="BLANK")+(UPPER($AS$81:$AZ$81)="(BLANK)")+(UPPER($AS$81:$AZ$81)="EMPTY")+(UPPER($AS$81:$AZ$81)="(EMPTY)"))&gt;0,IFERROR(('Final Calculation Sheet'!$U$14)&amp;"","")="",ISNUMBER(SEARCH($AS$81:$AZ$81,IFERROR(('Final Calculation Sheet'!$U$14)&amp;"","")))))&gt;0))))</f>
        <v>1</v>
      </c>
      <c r="CI15">
        <f>IF($W$4="",1,--(AND(SUMPRODUCT(--($AS$82:$AZ$82&lt;&gt;""))&gt;0,IF(COUNTIF($BI$82:$BP$82,1)=0,TRUE,SUMPRODUCT(($BI$82:$BP$82=1)*($AS$82:$AZ$82&lt;&gt;"")*IF(((UPPER($AS$82:$AZ$82)="BLANK")+(UPPER($AS$82:$AZ$82)="(BLANK)")+(UPPER($AS$82:$AZ$82)="EMPTY")+(UPPER($AS$82:$AZ$82)="(EMPTY)"))&gt;0,IFERROR(('Final Calculation Sheet'!$V$14)&amp;"","")="",ISNUMBER(SEARCH($AS$82:$AZ$82,IFERROR(('Final Calculation Sheet'!$V$14)&amp;"","")))))&gt;0),IF(COUNTIF($BI$82:$BP$82,2)=0,TRUE,SUMPRODUCT(($BI$82:$BP$82=2)*($AS$82:$AZ$82&lt;&gt;"")*IF(((UPPER($AS$82:$AZ$82)="BLANK")+(UPPER($AS$82:$AZ$82)="(BLANK)")+(UPPER($AS$82:$AZ$82)="EMPTY")+(UPPER($AS$82:$AZ$82)="(EMPTY)"))&gt;0,IFERROR(('Final Calculation Sheet'!$V$14)&amp;"","")="",ISNUMBER(SEARCH($AS$82:$AZ$82,IFERROR(('Final Calculation Sheet'!$V$14)&amp;"","")))))&gt;0),IF(COUNTIF($BI$82:$BP$82,3)=0,TRUE,SUMPRODUCT(($BI$82:$BP$82=3)*($AS$82:$AZ$82&lt;&gt;"")*IF(((UPPER($AS$82:$AZ$82)="BLANK")+(UPPER($AS$82:$AZ$82)="(BLANK)")+(UPPER($AS$82:$AZ$82)="EMPTY")+(UPPER($AS$82:$AZ$82)="(EMPTY)"))&gt;0,IFERROR(('Final Calculation Sheet'!$V$14)&amp;"","")="",ISNUMBER(SEARCH($AS$82:$AZ$82,IFERROR(('Final Calculation Sheet'!$V$14)&amp;"","")))))&gt;0),IF(COUNTIF($BI$82:$BP$82,4)=0,TRUE,SUMPRODUCT(($BI$82:$BP$82=4)*($AS$82:$AZ$82&lt;&gt;"")*IF(((UPPER($AS$82:$AZ$82)="BLANK")+(UPPER($AS$82:$AZ$82)="(BLANK)")+(UPPER($AS$82:$AZ$82)="EMPTY")+(UPPER($AS$82:$AZ$82)="(EMPTY)"))&gt;0,IFERROR(('Final Calculation Sheet'!$V$14)&amp;"","")="",ISNUMBER(SEARCH($AS$82:$AZ$82,IFERROR(('Final Calculation Sheet'!$V$14)&amp;"","")))))&gt;0),IF(COUNTIF($BI$82:$BP$82,5)=0,TRUE,SUMPRODUCT(($BI$82:$BP$82=5)*($AS$82:$AZ$82&lt;&gt;"")*IF(((UPPER($AS$82:$AZ$82)="BLANK")+(UPPER($AS$82:$AZ$82)="(BLANK)")+(UPPER($AS$82:$AZ$82)="EMPTY")+(UPPER($AS$82:$AZ$82)="(EMPTY)"))&gt;0,IFERROR(('Final Calculation Sheet'!$V$14)&amp;"","")="",ISNUMBER(SEARCH($AS$82:$AZ$82,IFERROR(('Final Calculation Sheet'!$V$14)&amp;"","")))))&gt;0),IF(COUNTIF($BI$82:$BP$82,6)=0,TRUE,SUMPRODUCT(($BI$82:$BP$82=6)*($AS$82:$AZ$82&lt;&gt;"")*IF(((UPPER($AS$82:$AZ$82)="BLANK")+(UPPER($AS$82:$AZ$82)="(BLANK)")+(UPPER($AS$82:$AZ$82)="EMPTY")+(UPPER($AS$82:$AZ$82)="(EMPTY)"))&gt;0,IFERROR(('Final Calculation Sheet'!$V$14)&amp;"","")="",ISNUMBER(SEARCH($AS$82:$AZ$82,IFERROR(('Final Calculation Sheet'!$V$14)&amp;"","")))))&gt;0),IF(COUNTIF($BI$82:$BP$82,7)=0,TRUE,SUMPRODUCT(($BI$82:$BP$82=7)*($AS$82:$AZ$82&lt;&gt;"")*IF(((UPPER($AS$82:$AZ$82)="BLANK")+(UPPER($AS$82:$AZ$82)="(BLANK)")+(UPPER($AS$82:$AZ$82)="EMPTY")+(UPPER($AS$82:$AZ$82)="(EMPTY)"))&gt;0,IFERROR(('Final Calculation Sheet'!$V$14)&amp;"","")="",ISNUMBER(SEARCH($AS$82:$AZ$82,IFERROR(('Final Calculation Sheet'!$V$14)&amp;"","")))))&gt;0),IF(COUNTIF($BI$82:$BP$82,8)=0,TRUE,SUMPRODUCT(($BI$82:$BP$82=8)*($AS$82:$AZ$82&lt;&gt;"")*IF(((UPPER($AS$82:$AZ$82)="BLANK")+(UPPER($AS$82:$AZ$82)="(BLANK)")+(UPPER($AS$82:$AZ$82)="EMPTY")+(UPPER($AS$82:$AZ$82)="(EMPTY)"))&gt;0,IFERROR(('Final Calculation Sheet'!$V$14)&amp;"","")="",ISNUMBER(SEARCH($AS$82:$AZ$82,IFERROR(('Final Calculation Sheet'!$V$14)&amp;"","")))))&gt;0))))</f>
        <v>1</v>
      </c>
      <c r="CJ15">
        <f>IF($X$4="",1,--(AND(SUMPRODUCT(--($AS$83:$AZ$83&lt;&gt;""))&gt;0,IF(COUNTIF($BI$83:$BP$83,1)=0,TRUE,SUMPRODUCT(($BI$83:$BP$83=1)*($AS$83:$AZ$83&lt;&gt;"")*IF(((UPPER($AS$83:$AZ$83)="BLANK")+(UPPER($AS$83:$AZ$83)="(BLANK)")+(UPPER($AS$83:$AZ$83)="EMPTY")+(UPPER($AS$83:$AZ$83)="(EMPTY)"))&gt;0,IFERROR(('Final Calculation Sheet'!$W$14)&amp;"","")="",ISNUMBER(SEARCH($AS$83:$AZ$83,IFERROR(('Final Calculation Sheet'!$W$14)&amp;"","")))))&gt;0),IF(COUNTIF($BI$83:$BP$83,2)=0,TRUE,SUMPRODUCT(($BI$83:$BP$83=2)*($AS$83:$AZ$83&lt;&gt;"")*IF(((UPPER($AS$83:$AZ$83)="BLANK")+(UPPER($AS$83:$AZ$83)="(BLANK)")+(UPPER($AS$83:$AZ$83)="EMPTY")+(UPPER($AS$83:$AZ$83)="(EMPTY)"))&gt;0,IFERROR(('Final Calculation Sheet'!$W$14)&amp;"","")="",ISNUMBER(SEARCH($AS$83:$AZ$83,IFERROR(('Final Calculation Sheet'!$W$14)&amp;"","")))))&gt;0),IF(COUNTIF($BI$83:$BP$83,3)=0,TRUE,SUMPRODUCT(($BI$83:$BP$83=3)*($AS$83:$AZ$83&lt;&gt;"")*IF(((UPPER($AS$83:$AZ$83)="BLANK")+(UPPER($AS$83:$AZ$83)="(BLANK)")+(UPPER($AS$83:$AZ$83)="EMPTY")+(UPPER($AS$83:$AZ$83)="(EMPTY)"))&gt;0,IFERROR(('Final Calculation Sheet'!$W$14)&amp;"","")="",ISNUMBER(SEARCH($AS$83:$AZ$83,IFERROR(('Final Calculation Sheet'!$W$14)&amp;"","")))))&gt;0),IF(COUNTIF($BI$83:$BP$83,4)=0,TRUE,SUMPRODUCT(($BI$83:$BP$83=4)*($AS$83:$AZ$83&lt;&gt;"")*IF(((UPPER($AS$83:$AZ$83)="BLANK")+(UPPER($AS$83:$AZ$83)="(BLANK)")+(UPPER($AS$83:$AZ$83)="EMPTY")+(UPPER($AS$83:$AZ$83)="(EMPTY)"))&gt;0,IFERROR(('Final Calculation Sheet'!$W$14)&amp;"","")="",ISNUMBER(SEARCH($AS$83:$AZ$83,IFERROR(('Final Calculation Sheet'!$W$14)&amp;"","")))))&gt;0),IF(COUNTIF($BI$83:$BP$83,5)=0,TRUE,SUMPRODUCT(($BI$83:$BP$83=5)*($AS$83:$AZ$83&lt;&gt;"")*IF(((UPPER($AS$83:$AZ$83)="BLANK")+(UPPER($AS$83:$AZ$83)="(BLANK)")+(UPPER($AS$83:$AZ$83)="EMPTY")+(UPPER($AS$83:$AZ$83)="(EMPTY)"))&gt;0,IFERROR(('Final Calculation Sheet'!$W$14)&amp;"","")="",ISNUMBER(SEARCH($AS$83:$AZ$83,IFERROR(('Final Calculation Sheet'!$W$14)&amp;"","")))))&gt;0),IF(COUNTIF($BI$83:$BP$83,6)=0,TRUE,SUMPRODUCT(($BI$83:$BP$83=6)*($AS$83:$AZ$83&lt;&gt;"")*IF(((UPPER($AS$83:$AZ$83)="BLANK")+(UPPER($AS$83:$AZ$83)="(BLANK)")+(UPPER($AS$83:$AZ$83)="EMPTY")+(UPPER($AS$83:$AZ$83)="(EMPTY)"))&gt;0,IFERROR(('Final Calculation Sheet'!$W$14)&amp;"","")="",ISNUMBER(SEARCH($AS$83:$AZ$83,IFERROR(('Final Calculation Sheet'!$W$14)&amp;"","")))))&gt;0),IF(COUNTIF($BI$83:$BP$83,7)=0,TRUE,SUMPRODUCT(($BI$83:$BP$83=7)*($AS$83:$AZ$83&lt;&gt;"")*IF(((UPPER($AS$83:$AZ$83)="BLANK")+(UPPER($AS$83:$AZ$83)="(BLANK)")+(UPPER($AS$83:$AZ$83)="EMPTY")+(UPPER($AS$83:$AZ$83)="(EMPTY)"))&gt;0,IFERROR(('Final Calculation Sheet'!$W$14)&amp;"","")="",ISNUMBER(SEARCH($AS$83:$AZ$83,IFERROR(('Final Calculation Sheet'!$W$14)&amp;"","")))))&gt;0),IF(COUNTIF($BI$83:$BP$83,8)=0,TRUE,SUMPRODUCT(($BI$83:$BP$83=8)*($AS$83:$AZ$83&lt;&gt;"")*IF(((UPPER($AS$83:$AZ$83)="BLANK")+(UPPER($AS$83:$AZ$83)="(BLANK)")+(UPPER($AS$83:$AZ$83)="EMPTY")+(UPPER($AS$83:$AZ$83)="(EMPTY)"))&gt;0,IFERROR(('Final Calculation Sheet'!$W$14)&amp;"","")="",ISNUMBER(SEARCH($AS$83:$AZ$83,IFERROR(('Final Calculation Sheet'!$W$14)&amp;"","")))))&gt;0))))</f>
        <v>1</v>
      </c>
      <c r="CK15">
        <f>IF($Y$4="",1,--(AND(SUMPRODUCT(--($AS$84:$AZ$84&lt;&gt;""))&gt;0,IF(COUNTIF($BI$84:$BP$84,1)=0,TRUE,SUMPRODUCT(($BI$84:$BP$84=1)*($AS$84:$AZ$84&lt;&gt;"")*IF(((UPPER($AS$84:$AZ$84)="BLANK")+(UPPER($AS$84:$AZ$84)="(BLANK)")+(UPPER($AS$84:$AZ$84)="EMPTY")+(UPPER($AS$84:$AZ$84)="(EMPTY)"))&gt;0,IFERROR(('Final Calculation Sheet'!$X$14)&amp;"","")="",ISNUMBER(SEARCH($AS$84:$AZ$84,IFERROR(('Final Calculation Sheet'!$X$14)&amp;"","")))))&gt;0),IF(COUNTIF($BI$84:$BP$84,2)=0,TRUE,SUMPRODUCT(($BI$84:$BP$84=2)*($AS$84:$AZ$84&lt;&gt;"")*IF(((UPPER($AS$84:$AZ$84)="BLANK")+(UPPER($AS$84:$AZ$84)="(BLANK)")+(UPPER($AS$84:$AZ$84)="EMPTY")+(UPPER($AS$84:$AZ$84)="(EMPTY)"))&gt;0,IFERROR(('Final Calculation Sheet'!$X$14)&amp;"","")="",ISNUMBER(SEARCH($AS$84:$AZ$84,IFERROR(('Final Calculation Sheet'!$X$14)&amp;"","")))))&gt;0),IF(COUNTIF($BI$84:$BP$84,3)=0,TRUE,SUMPRODUCT(($BI$84:$BP$84=3)*($AS$84:$AZ$84&lt;&gt;"")*IF(((UPPER($AS$84:$AZ$84)="BLANK")+(UPPER($AS$84:$AZ$84)="(BLANK)")+(UPPER($AS$84:$AZ$84)="EMPTY")+(UPPER($AS$84:$AZ$84)="(EMPTY)"))&gt;0,IFERROR(('Final Calculation Sheet'!$X$14)&amp;"","")="",ISNUMBER(SEARCH($AS$84:$AZ$84,IFERROR(('Final Calculation Sheet'!$X$14)&amp;"","")))))&gt;0),IF(COUNTIF($BI$84:$BP$84,4)=0,TRUE,SUMPRODUCT(($BI$84:$BP$84=4)*($AS$84:$AZ$84&lt;&gt;"")*IF(((UPPER($AS$84:$AZ$84)="BLANK")+(UPPER($AS$84:$AZ$84)="(BLANK)")+(UPPER($AS$84:$AZ$84)="EMPTY")+(UPPER($AS$84:$AZ$84)="(EMPTY)"))&gt;0,IFERROR(('Final Calculation Sheet'!$X$14)&amp;"","")="",ISNUMBER(SEARCH($AS$84:$AZ$84,IFERROR(('Final Calculation Sheet'!$X$14)&amp;"","")))))&gt;0),IF(COUNTIF($BI$84:$BP$84,5)=0,TRUE,SUMPRODUCT(($BI$84:$BP$84=5)*($AS$84:$AZ$84&lt;&gt;"")*IF(((UPPER($AS$84:$AZ$84)="BLANK")+(UPPER($AS$84:$AZ$84)="(BLANK)")+(UPPER($AS$84:$AZ$84)="EMPTY")+(UPPER($AS$84:$AZ$84)="(EMPTY)"))&gt;0,IFERROR(('Final Calculation Sheet'!$X$14)&amp;"","")="",ISNUMBER(SEARCH($AS$84:$AZ$84,IFERROR(('Final Calculation Sheet'!$X$14)&amp;"","")))))&gt;0),IF(COUNTIF($BI$84:$BP$84,6)=0,TRUE,SUMPRODUCT(($BI$84:$BP$84=6)*($AS$84:$AZ$84&lt;&gt;"")*IF(((UPPER($AS$84:$AZ$84)="BLANK")+(UPPER($AS$84:$AZ$84)="(BLANK)")+(UPPER($AS$84:$AZ$84)="EMPTY")+(UPPER($AS$84:$AZ$84)="(EMPTY)"))&gt;0,IFERROR(('Final Calculation Sheet'!$X$14)&amp;"","")="",ISNUMBER(SEARCH($AS$84:$AZ$84,IFERROR(('Final Calculation Sheet'!$X$14)&amp;"","")))))&gt;0),IF(COUNTIF($BI$84:$BP$84,7)=0,TRUE,SUMPRODUCT(($BI$84:$BP$84=7)*($AS$84:$AZ$84&lt;&gt;"")*IF(((UPPER($AS$84:$AZ$84)="BLANK")+(UPPER($AS$84:$AZ$84)="(BLANK)")+(UPPER($AS$84:$AZ$84)="EMPTY")+(UPPER($AS$84:$AZ$84)="(EMPTY)"))&gt;0,IFERROR(('Final Calculation Sheet'!$X$14)&amp;"","")="",ISNUMBER(SEARCH($AS$84:$AZ$84,IFERROR(('Final Calculation Sheet'!$X$14)&amp;"","")))))&gt;0),IF(COUNTIF($BI$84:$BP$84,8)=0,TRUE,SUMPRODUCT(($BI$84:$BP$84=8)*($AS$84:$AZ$84&lt;&gt;"")*IF(((UPPER($AS$84:$AZ$84)="BLANK")+(UPPER($AS$84:$AZ$84)="(BLANK)")+(UPPER($AS$84:$AZ$84)="EMPTY")+(UPPER($AS$84:$AZ$84)="(EMPTY)"))&gt;0,IFERROR(('Final Calculation Sheet'!$X$14)&amp;"","")="",ISNUMBER(SEARCH($AS$84:$AZ$84,IFERROR(('Final Calculation Sheet'!$X$14)&amp;"","")))))&gt;0))))</f>
        <v>1</v>
      </c>
      <c r="CL15">
        <f>IF($Z$4="",1,--(AND(SUMPRODUCT(--($AS$85:$AZ$85&lt;&gt;""))&gt;0,IF(COUNTIF($BI$85:$BP$85,1)=0,TRUE,SUMPRODUCT(($BI$85:$BP$85=1)*($AS$85:$AZ$85&lt;&gt;"")*IF(((UPPER($AS$85:$AZ$85)="BLANK")+(UPPER($AS$85:$AZ$85)="(BLANK)")+(UPPER($AS$85:$AZ$85)="EMPTY")+(UPPER($AS$85:$AZ$85)="(EMPTY)"))&gt;0,IFERROR(('Final Calculation Sheet'!$Y$14)&amp;"","")="",ISNUMBER(SEARCH($AS$85:$AZ$85,IFERROR(('Final Calculation Sheet'!$Y$14)&amp;"","")))))&gt;0),IF(COUNTIF($BI$85:$BP$85,2)=0,TRUE,SUMPRODUCT(($BI$85:$BP$85=2)*($AS$85:$AZ$85&lt;&gt;"")*IF(((UPPER($AS$85:$AZ$85)="BLANK")+(UPPER($AS$85:$AZ$85)="(BLANK)")+(UPPER($AS$85:$AZ$85)="EMPTY")+(UPPER($AS$85:$AZ$85)="(EMPTY)"))&gt;0,IFERROR(('Final Calculation Sheet'!$Y$14)&amp;"","")="",ISNUMBER(SEARCH($AS$85:$AZ$85,IFERROR(('Final Calculation Sheet'!$Y$14)&amp;"","")))))&gt;0),IF(COUNTIF($BI$85:$BP$85,3)=0,TRUE,SUMPRODUCT(($BI$85:$BP$85=3)*($AS$85:$AZ$85&lt;&gt;"")*IF(((UPPER($AS$85:$AZ$85)="BLANK")+(UPPER($AS$85:$AZ$85)="(BLANK)")+(UPPER($AS$85:$AZ$85)="EMPTY")+(UPPER($AS$85:$AZ$85)="(EMPTY)"))&gt;0,IFERROR(('Final Calculation Sheet'!$Y$14)&amp;"","")="",ISNUMBER(SEARCH($AS$85:$AZ$85,IFERROR(('Final Calculation Sheet'!$Y$14)&amp;"","")))))&gt;0),IF(COUNTIF($BI$85:$BP$85,4)=0,TRUE,SUMPRODUCT(($BI$85:$BP$85=4)*($AS$85:$AZ$85&lt;&gt;"")*IF(((UPPER($AS$85:$AZ$85)="BLANK")+(UPPER($AS$85:$AZ$85)="(BLANK)")+(UPPER($AS$85:$AZ$85)="EMPTY")+(UPPER($AS$85:$AZ$85)="(EMPTY)"))&gt;0,IFERROR(('Final Calculation Sheet'!$Y$14)&amp;"","")="",ISNUMBER(SEARCH($AS$85:$AZ$85,IFERROR(('Final Calculation Sheet'!$Y$14)&amp;"","")))))&gt;0),IF(COUNTIF($BI$85:$BP$85,5)=0,TRUE,SUMPRODUCT(($BI$85:$BP$85=5)*($AS$85:$AZ$85&lt;&gt;"")*IF(((UPPER($AS$85:$AZ$85)="BLANK")+(UPPER($AS$85:$AZ$85)="(BLANK)")+(UPPER($AS$85:$AZ$85)="EMPTY")+(UPPER($AS$85:$AZ$85)="(EMPTY)"))&gt;0,IFERROR(('Final Calculation Sheet'!$Y$14)&amp;"","")="",ISNUMBER(SEARCH($AS$85:$AZ$85,IFERROR(('Final Calculation Sheet'!$Y$14)&amp;"","")))))&gt;0),IF(COUNTIF($BI$85:$BP$85,6)=0,TRUE,SUMPRODUCT(($BI$85:$BP$85=6)*($AS$85:$AZ$85&lt;&gt;"")*IF(((UPPER($AS$85:$AZ$85)="BLANK")+(UPPER($AS$85:$AZ$85)="(BLANK)")+(UPPER($AS$85:$AZ$85)="EMPTY")+(UPPER($AS$85:$AZ$85)="(EMPTY)"))&gt;0,IFERROR(('Final Calculation Sheet'!$Y$14)&amp;"","")="",ISNUMBER(SEARCH($AS$85:$AZ$85,IFERROR(('Final Calculation Sheet'!$Y$14)&amp;"","")))))&gt;0),IF(COUNTIF($BI$85:$BP$85,7)=0,TRUE,SUMPRODUCT(($BI$85:$BP$85=7)*($AS$85:$AZ$85&lt;&gt;"")*IF(((UPPER($AS$85:$AZ$85)="BLANK")+(UPPER($AS$85:$AZ$85)="(BLANK)")+(UPPER($AS$85:$AZ$85)="EMPTY")+(UPPER($AS$85:$AZ$85)="(EMPTY)"))&gt;0,IFERROR(('Final Calculation Sheet'!$Y$14)&amp;"","")="",ISNUMBER(SEARCH($AS$85:$AZ$85,IFERROR(('Final Calculation Sheet'!$Y$14)&amp;"","")))))&gt;0),IF(COUNTIF($BI$85:$BP$85,8)=0,TRUE,SUMPRODUCT(($BI$85:$BP$85=8)*($AS$85:$AZ$85&lt;&gt;"")*IF(((UPPER($AS$85:$AZ$85)="BLANK")+(UPPER($AS$85:$AZ$85)="(BLANK)")+(UPPER($AS$85:$AZ$85)="EMPTY")+(UPPER($AS$85:$AZ$85)="(EMPTY)"))&gt;0,IFERROR(('Final Calculation Sheet'!$Y$14)&amp;"","")="",ISNUMBER(SEARCH($AS$85:$AZ$85,IFERROR(('Final Calculation Sheet'!$Y$14)&amp;"","")))))&gt;0))))</f>
        <v>1</v>
      </c>
      <c r="CM15">
        <f>IF($AA$4="",1,--(AND(SUMPRODUCT(--($AS$86:$AZ$86&lt;&gt;""))&gt;0,IF(COUNTIF($BI$86:$BP$86,1)=0,TRUE,SUMPRODUCT(($BI$86:$BP$86=1)*($AS$86:$AZ$86&lt;&gt;"")*IF(((UPPER($AS$86:$AZ$86)="BLANK")+(UPPER($AS$86:$AZ$86)="(BLANK)")+(UPPER($AS$86:$AZ$86)="EMPTY")+(UPPER($AS$86:$AZ$86)="(EMPTY)"))&gt;0,IFERROR(('Final Calculation Sheet'!$Z$14)&amp;"","")="",ISNUMBER(SEARCH($AS$86:$AZ$86,IFERROR(('Final Calculation Sheet'!$Z$14)&amp;"","")))))&gt;0),IF(COUNTIF($BI$86:$BP$86,2)=0,TRUE,SUMPRODUCT(($BI$86:$BP$86=2)*($AS$86:$AZ$86&lt;&gt;"")*IF(((UPPER($AS$86:$AZ$86)="BLANK")+(UPPER($AS$86:$AZ$86)="(BLANK)")+(UPPER($AS$86:$AZ$86)="EMPTY")+(UPPER($AS$86:$AZ$86)="(EMPTY)"))&gt;0,IFERROR(('Final Calculation Sheet'!$Z$14)&amp;"","")="",ISNUMBER(SEARCH($AS$86:$AZ$86,IFERROR(('Final Calculation Sheet'!$Z$14)&amp;"","")))))&gt;0),IF(COUNTIF($BI$86:$BP$86,3)=0,TRUE,SUMPRODUCT(($BI$86:$BP$86=3)*($AS$86:$AZ$86&lt;&gt;"")*IF(((UPPER($AS$86:$AZ$86)="BLANK")+(UPPER($AS$86:$AZ$86)="(BLANK)")+(UPPER($AS$86:$AZ$86)="EMPTY")+(UPPER($AS$86:$AZ$86)="(EMPTY)"))&gt;0,IFERROR(('Final Calculation Sheet'!$Z$14)&amp;"","")="",ISNUMBER(SEARCH($AS$86:$AZ$86,IFERROR(('Final Calculation Sheet'!$Z$14)&amp;"","")))))&gt;0),IF(COUNTIF($BI$86:$BP$86,4)=0,TRUE,SUMPRODUCT(($BI$86:$BP$86=4)*($AS$86:$AZ$86&lt;&gt;"")*IF(((UPPER($AS$86:$AZ$86)="BLANK")+(UPPER($AS$86:$AZ$86)="(BLANK)")+(UPPER($AS$86:$AZ$86)="EMPTY")+(UPPER($AS$86:$AZ$86)="(EMPTY)"))&gt;0,IFERROR(('Final Calculation Sheet'!$Z$14)&amp;"","")="",ISNUMBER(SEARCH($AS$86:$AZ$86,IFERROR(('Final Calculation Sheet'!$Z$14)&amp;"","")))))&gt;0),IF(COUNTIF($BI$86:$BP$86,5)=0,TRUE,SUMPRODUCT(($BI$86:$BP$86=5)*($AS$86:$AZ$86&lt;&gt;"")*IF(((UPPER($AS$86:$AZ$86)="BLANK")+(UPPER($AS$86:$AZ$86)="(BLANK)")+(UPPER($AS$86:$AZ$86)="EMPTY")+(UPPER($AS$86:$AZ$86)="(EMPTY)"))&gt;0,IFERROR(('Final Calculation Sheet'!$Z$14)&amp;"","")="",ISNUMBER(SEARCH($AS$86:$AZ$86,IFERROR(('Final Calculation Sheet'!$Z$14)&amp;"","")))))&gt;0),IF(COUNTIF($BI$86:$BP$86,6)=0,TRUE,SUMPRODUCT(($BI$86:$BP$86=6)*($AS$86:$AZ$86&lt;&gt;"")*IF(((UPPER($AS$86:$AZ$86)="BLANK")+(UPPER($AS$86:$AZ$86)="(BLANK)")+(UPPER($AS$86:$AZ$86)="EMPTY")+(UPPER($AS$86:$AZ$86)="(EMPTY)"))&gt;0,IFERROR(('Final Calculation Sheet'!$Z$14)&amp;"","")="",ISNUMBER(SEARCH($AS$86:$AZ$86,IFERROR(('Final Calculation Sheet'!$Z$14)&amp;"","")))))&gt;0),IF(COUNTIF($BI$86:$BP$86,7)=0,TRUE,SUMPRODUCT(($BI$86:$BP$86=7)*($AS$86:$AZ$86&lt;&gt;"")*IF(((UPPER($AS$86:$AZ$86)="BLANK")+(UPPER($AS$86:$AZ$86)="(BLANK)")+(UPPER($AS$86:$AZ$86)="EMPTY")+(UPPER($AS$86:$AZ$86)="(EMPTY)"))&gt;0,IFERROR(('Final Calculation Sheet'!$Z$14)&amp;"","")="",ISNUMBER(SEARCH($AS$86:$AZ$86,IFERROR(('Final Calculation Sheet'!$Z$14)&amp;"","")))))&gt;0),IF(COUNTIF($BI$86:$BP$86,8)=0,TRUE,SUMPRODUCT(($BI$86:$BP$86=8)*($AS$86:$AZ$86&lt;&gt;"")*IF(((UPPER($AS$86:$AZ$86)="BLANK")+(UPPER($AS$86:$AZ$86)="(BLANK)")+(UPPER($AS$86:$AZ$86)="EMPTY")+(UPPER($AS$86:$AZ$86)="(EMPTY)"))&gt;0,IFERROR(('Final Calculation Sheet'!$Z$14)&amp;"","")="",ISNUMBER(SEARCH($AS$86:$AZ$86,IFERROR(('Final Calculation Sheet'!$Z$14)&amp;"","")))))&gt;0))))</f>
        <v>1</v>
      </c>
      <c r="CN15">
        <f>IF($AB$4="",1,--(AND(SUMPRODUCT(--($AS$87:$AZ$87&lt;&gt;""))&gt;0,IF(COUNTIF($BI$87:$BP$87,1)=0,TRUE,SUMPRODUCT(($BI$87:$BP$87=1)*($AS$87:$AZ$87&lt;&gt;"")*IF(((UPPER($AS$87:$AZ$87)="BLANK")+(UPPER($AS$87:$AZ$87)="(BLANK)")+(UPPER($AS$87:$AZ$87)="EMPTY")+(UPPER($AS$87:$AZ$87)="(EMPTY)"))&gt;0,IFERROR(('Final Calculation Sheet'!$AA$14)&amp;"","")="",ISNUMBER(SEARCH($AS$87:$AZ$87,IFERROR(('Final Calculation Sheet'!$AA$14)&amp;"","")))))&gt;0),IF(COUNTIF($BI$87:$BP$87,2)=0,TRUE,SUMPRODUCT(($BI$87:$BP$87=2)*($AS$87:$AZ$87&lt;&gt;"")*IF(((UPPER($AS$87:$AZ$87)="BLANK")+(UPPER($AS$87:$AZ$87)="(BLANK)")+(UPPER($AS$87:$AZ$87)="EMPTY")+(UPPER($AS$87:$AZ$87)="(EMPTY)"))&gt;0,IFERROR(('Final Calculation Sheet'!$AA$14)&amp;"","")="",ISNUMBER(SEARCH($AS$87:$AZ$87,IFERROR(('Final Calculation Sheet'!$AA$14)&amp;"","")))))&gt;0),IF(COUNTIF($BI$87:$BP$87,3)=0,TRUE,SUMPRODUCT(($BI$87:$BP$87=3)*($AS$87:$AZ$87&lt;&gt;"")*IF(((UPPER($AS$87:$AZ$87)="BLANK")+(UPPER($AS$87:$AZ$87)="(BLANK)")+(UPPER($AS$87:$AZ$87)="EMPTY")+(UPPER($AS$87:$AZ$87)="(EMPTY)"))&gt;0,IFERROR(('Final Calculation Sheet'!$AA$14)&amp;"","")="",ISNUMBER(SEARCH($AS$87:$AZ$87,IFERROR(('Final Calculation Sheet'!$AA$14)&amp;"","")))))&gt;0),IF(COUNTIF($BI$87:$BP$87,4)=0,TRUE,SUMPRODUCT(($BI$87:$BP$87=4)*($AS$87:$AZ$87&lt;&gt;"")*IF(((UPPER($AS$87:$AZ$87)="BLANK")+(UPPER($AS$87:$AZ$87)="(BLANK)")+(UPPER($AS$87:$AZ$87)="EMPTY")+(UPPER($AS$87:$AZ$87)="(EMPTY)"))&gt;0,IFERROR(('Final Calculation Sheet'!$AA$14)&amp;"","")="",ISNUMBER(SEARCH($AS$87:$AZ$87,IFERROR(('Final Calculation Sheet'!$AA$14)&amp;"","")))))&gt;0),IF(COUNTIF($BI$87:$BP$87,5)=0,TRUE,SUMPRODUCT(($BI$87:$BP$87=5)*($AS$87:$AZ$87&lt;&gt;"")*IF(((UPPER($AS$87:$AZ$87)="BLANK")+(UPPER($AS$87:$AZ$87)="(BLANK)")+(UPPER($AS$87:$AZ$87)="EMPTY")+(UPPER($AS$87:$AZ$87)="(EMPTY)"))&gt;0,IFERROR(('Final Calculation Sheet'!$AA$14)&amp;"","")="",ISNUMBER(SEARCH($AS$87:$AZ$87,IFERROR(('Final Calculation Sheet'!$AA$14)&amp;"","")))))&gt;0),IF(COUNTIF($BI$87:$BP$87,6)=0,TRUE,SUMPRODUCT(($BI$87:$BP$87=6)*($AS$87:$AZ$87&lt;&gt;"")*IF(((UPPER($AS$87:$AZ$87)="BLANK")+(UPPER($AS$87:$AZ$87)="(BLANK)")+(UPPER($AS$87:$AZ$87)="EMPTY")+(UPPER($AS$87:$AZ$87)="(EMPTY)"))&gt;0,IFERROR(('Final Calculation Sheet'!$AA$14)&amp;"","")="",ISNUMBER(SEARCH($AS$87:$AZ$87,IFERROR(('Final Calculation Sheet'!$AA$14)&amp;"","")))))&gt;0),IF(COUNTIF($BI$87:$BP$87,7)=0,TRUE,SUMPRODUCT(($BI$87:$BP$87=7)*($AS$87:$AZ$87&lt;&gt;"")*IF(((UPPER($AS$87:$AZ$87)="BLANK")+(UPPER($AS$87:$AZ$87)="(BLANK)")+(UPPER($AS$87:$AZ$87)="EMPTY")+(UPPER($AS$87:$AZ$87)="(EMPTY)"))&gt;0,IFERROR(('Final Calculation Sheet'!$AA$14)&amp;"","")="",ISNUMBER(SEARCH($AS$87:$AZ$87,IFERROR(('Final Calculation Sheet'!$AA$14)&amp;"","")))))&gt;0),IF(COUNTIF($BI$87:$BP$87,8)=0,TRUE,SUMPRODUCT(($BI$87:$BP$87=8)*($AS$87:$AZ$87&lt;&gt;"")*IF(((UPPER($AS$87:$AZ$87)="BLANK")+(UPPER($AS$87:$AZ$87)="(BLANK)")+(UPPER($AS$87:$AZ$87)="EMPTY")+(UPPER($AS$87:$AZ$87)="(EMPTY)"))&gt;0,IFERROR(('Final Calculation Sheet'!$AA$14)&amp;"","")="",ISNUMBER(SEARCH($AS$87:$AZ$87,IFERROR(('Final Calculation Sheet'!$AA$14)&amp;"","")))))&gt;0))))</f>
        <v>1</v>
      </c>
      <c r="CO15">
        <f>IF($AC$4="",1,--(AND(SUMPRODUCT(--($AS$88:$AZ$88&lt;&gt;""))&gt;0,IF(COUNTIF($BI$88:$BP$88,1)=0,TRUE,SUMPRODUCT(($BI$88:$BP$88=1)*($AS$88:$AZ$88&lt;&gt;"")*IF(((UPPER($AS$88:$AZ$88)="BLANK")+(UPPER($AS$88:$AZ$88)="(BLANK)")+(UPPER($AS$88:$AZ$88)="EMPTY")+(UPPER($AS$88:$AZ$88)="(EMPTY)"))&gt;0,IFERROR(('Final Calculation Sheet'!$AB$14)&amp;"","")="",ISNUMBER(SEARCH($AS$88:$AZ$88,IFERROR(('Final Calculation Sheet'!$AB$14)&amp;"","")))))&gt;0),IF(COUNTIF($BI$88:$BP$88,2)=0,TRUE,SUMPRODUCT(($BI$88:$BP$88=2)*($AS$88:$AZ$88&lt;&gt;"")*IF(((UPPER($AS$88:$AZ$88)="BLANK")+(UPPER($AS$88:$AZ$88)="(BLANK)")+(UPPER($AS$88:$AZ$88)="EMPTY")+(UPPER($AS$88:$AZ$88)="(EMPTY)"))&gt;0,IFERROR(('Final Calculation Sheet'!$AB$14)&amp;"","")="",ISNUMBER(SEARCH($AS$88:$AZ$88,IFERROR(('Final Calculation Sheet'!$AB$14)&amp;"","")))))&gt;0),IF(COUNTIF($BI$88:$BP$88,3)=0,TRUE,SUMPRODUCT(($BI$88:$BP$88=3)*($AS$88:$AZ$88&lt;&gt;"")*IF(((UPPER($AS$88:$AZ$88)="BLANK")+(UPPER($AS$88:$AZ$88)="(BLANK)")+(UPPER($AS$88:$AZ$88)="EMPTY")+(UPPER($AS$88:$AZ$88)="(EMPTY)"))&gt;0,IFERROR(('Final Calculation Sheet'!$AB$14)&amp;"","")="",ISNUMBER(SEARCH($AS$88:$AZ$88,IFERROR(('Final Calculation Sheet'!$AB$14)&amp;"","")))))&gt;0),IF(COUNTIF($BI$88:$BP$88,4)=0,TRUE,SUMPRODUCT(($BI$88:$BP$88=4)*($AS$88:$AZ$88&lt;&gt;"")*IF(((UPPER($AS$88:$AZ$88)="BLANK")+(UPPER($AS$88:$AZ$88)="(BLANK)")+(UPPER($AS$88:$AZ$88)="EMPTY")+(UPPER($AS$88:$AZ$88)="(EMPTY)"))&gt;0,IFERROR(('Final Calculation Sheet'!$AB$14)&amp;"","")="",ISNUMBER(SEARCH($AS$88:$AZ$88,IFERROR(('Final Calculation Sheet'!$AB$14)&amp;"","")))))&gt;0),IF(COUNTIF($BI$88:$BP$88,5)=0,TRUE,SUMPRODUCT(($BI$88:$BP$88=5)*($AS$88:$AZ$88&lt;&gt;"")*IF(((UPPER($AS$88:$AZ$88)="BLANK")+(UPPER($AS$88:$AZ$88)="(BLANK)")+(UPPER($AS$88:$AZ$88)="EMPTY")+(UPPER($AS$88:$AZ$88)="(EMPTY)"))&gt;0,IFERROR(('Final Calculation Sheet'!$AB$14)&amp;"","")="",ISNUMBER(SEARCH($AS$88:$AZ$88,IFERROR(('Final Calculation Sheet'!$AB$14)&amp;"","")))))&gt;0),IF(COUNTIF($BI$88:$BP$88,6)=0,TRUE,SUMPRODUCT(($BI$88:$BP$88=6)*($AS$88:$AZ$88&lt;&gt;"")*IF(((UPPER($AS$88:$AZ$88)="BLANK")+(UPPER($AS$88:$AZ$88)="(BLANK)")+(UPPER($AS$88:$AZ$88)="EMPTY")+(UPPER($AS$88:$AZ$88)="(EMPTY)"))&gt;0,IFERROR(('Final Calculation Sheet'!$AB$14)&amp;"","")="",ISNUMBER(SEARCH($AS$88:$AZ$88,IFERROR(('Final Calculation Sheet'!$AB$14)&amp;"","")))))&gt;0),IF(COUNTIF($BI$88:$BP$88,7)=0,TRUE,SUMPRODUCT(($BI$88:$BP$88=7)*($AS$88:$AZ$88&lt;&gt;"")*IF(((UPPER($AS$88:$AZ$88)="BLANK")+(UPPER($AS$88:$AZ$88)="(BLANK)")+(UPPER($AS$88:$AZ$88)="EMPTY")+(UPPER($AS$88:$AZ$88)="(EMPTY)"))&gt;0,IFERROR(('Final Calculation Sheet'!$AB$14)&amp;"","")="",ISNUMBER(SEARCH($AS$88:$AZ$88,IFERROR(('Final Calculation Sheet'!$AB$14)&amp;"","")))))&gt;0),IF(COUNTIF($BI$88:$BP$88,8)=0,TRUE,SUMPRODUCT(($BI$88:$BP$88=8)*($AS$88:$AZ$88&lt;&gt;"")*IF(((UPPER($AS$88:$AZ$88)="BLANK")+(UPPER($AS$88:$AZ$88)="(BLANK)")+(UPPER($AS$88:$AZ$88)="EMPTY")+(UPPER($AS$88:$AZ$88)="(EMPTY)"))&gt;0,IFERROR(('Final Calculation Sheet'!$AB$14)&amp;"","")="",ISNUMBER(SEARCH($AS$88:$AZ$88,IFERROR(('Final Calculation Sheet'!$AB$14)&amp;"","")))))&gt;0))))</f>
        <v>1</v>
      </c>
      <c r="CP15">
        <f>IF($AD$4="",1,--(AND(SUMPRODUCT(--($AS$89:$AZ$89&lt;&gt;""))&gt;0,IF(COUNTIF($BI$89:$BP$89,1)=0,TRUE,SUMPRODUCT(($BI$89:$BP$89=1)*($AS$89:$AZ$89&lt;&gt;"")*IF(((UPPER($AS$89:$AZ$89)="BLANK")+(UPPER($AS$89:$AZ$89)="(BLANK)")+(UPPER($AS$89:$AZ$89)="EMPTY")+(UPPER($AS$89:$AZ$89)="(EMPTY)"))&gt;0,IFERROR(('Final Calculation Sheet'!$AC$14)&amp;"","")="",ISNUMBER(SEARCH($AS$89:$AZ$89,IFERROR(('Final Calculation Sheet'!$AC$14)&amp;"","")))))&gt;0),IF(COUNTIF($BI$89:$BP$89,2)=0,TRUE,SUMPRODUCT(($BI$89:$BP$89=2)*($AS$89:$AZ$89&lt;&gt;"")*IF(((UPPER($AS$89:$AZ$89)="BLANK")+(UPPER($AS$89:$AZ$89)="(BLANK)")+(UPPER($AS$89:$AZ$89)="EMPTY")+(UPPER($AS$89:$AZ$89)="(EMPTY)"))&gt;0,IFERROR(('Final Calculation Sheet'!$AC$14)&amp;"","")="",ISNUMBER(SEARCH($AS$89:$AZ$89,IFERROR(('Final Calculation Sheet'!$AC$14)&amp;"","")))))&gt;0),IF(COUNTIF($BI$89:$BP$89,3)=0,TRUE,SUMPRODUCT(($BI$89:$BP$89=3)*($AS$89:$AZ$89&lt;&gt;"")*IF(((UPPER($AS$89:$AZ$89)="BLANK")+(UPPER($AS$89:$AZ$89)="(BLANK)")+(UPPER($AS$89:$AZ$89)="EMPTY")+(UPPER($AS$89:$AZ$89)="(EMPTY)"))&gt;0,IFERROR(('Final Calculation Sheet'!$AC$14)&amp;"","")="",ISNUMBER(SEARCH($AS$89:$AZ$89,IFERROR(('Final Calculation Sheet'!$AC$14)&amp;"","")))))&gt;0),IF(COUNTIF($BI$89:$BP$89,4)=0,TRUE,SUMPRODUCT(($BI$89:$BP$89=4)*($AS$89:$AZ$89&lt;&gt;"")*IF(((UPPER($AS$89:$AZ$89)="BLANK")+(UPPER($AS$89:$AZ$89)="(BLANK)")+(UPPER($AS$89:$AZ$89)="EMPTY")+(UPPER($AS$89:$AZ$89)="(EMPTY)"))&gt;0,IFERROR(('Final Calculation Sheet'!$AC$14)&amp;"","")="",ISNUMBER(SEARCH($AS$89:$AZ$89,IFERROR(('Final Calculation Sheet'!$AC$14)&amp;"","")))))&gt;0),IF(COUNTIF($BI$89:$BP$89,5)=0,TRUE,SUMPRODUCT(($BI$89:$BP$89=5)*($AS$89:$AZ$89&lt;&gt;"")*IF(((UPPER($AS$89:$AZ$89)="BLANK")+(UPPER($AS$89:$AZ$89)="(BLANK)")+(UPPER($AS$89:$AZ$89)="EMPTY")+(UPPER($AS$89:$AZ$89)="(EMPTY)"))&gt;0,IFERROR(('Final Calculation Sheet'!$AC$14)&amp;"","")="",ISNUMBER(SEARCH($AS$89:$AZ$89,IFERROR(('Final Calculation Sheet'!$AC$14)&amp;"","")))))&gt;0),IF(COUNTIF($BI$89:$BP$89,6)=0,TRUE,SUMPRODUCT(($BI$89:$BP$89=6)*($AS$89:$AZ$89&lt;&gt;"")*IF(((UPPER($AS$89:$AZ$89)="BLANK")+(UPPER($AS$89:$AZ$89)="(BLANK)")+(UPPER($AS$89:$AZ$89)="EMPTY")+(UPPER($AS$89:$AZ$89)="(EMPTY)"))&gt;0,IFERROR(('Final Calculation Sheet'!$AC$14)&amp;"","")="",ISNUMBER(SEARCH($AS$89:$AZ$89,IFERROR(('Final Calculation Sheet'!$AC$14)&amp;"","")))))&gt;0),IF(COUNTIF($BI$89:$BP$89,7)=0,TRUE,SUMPRODUCT(($BI$89:$BP$89=7)*($AS$89:$AZ$89&lt;&gt;"")*IF(((UPPER($AS$89:$AZ$89)="BLANK")+(UPPER($AS$89:$AZ$89)="(BLANK)")+(UPPER($AS$89:$AZ$89)="EMPTY")+(UPPER($AS$89:$AZ$89)="(EMPTY)"))&gt;0,IFERROR(('Final Calculation Sheet'!$AC$14)&amp;"","")="",ISNUMBER(SEARCH($AS$89:$AZ$89,IFERROR(('Final Calculation Sheet'!$AC$14)&amp;"","")))))&gt;0),IF(COUNTIF($BI$89:$BP$89,8)=0,TRUE,SUMPRODUCT(($BI$89:$BP$89=8)*($AS$89:$AZ$89&lt;&gt;"")*IF(((UPPER($AS$89:$AZ$89)="BLANK")+(UPPER($AS$89:$AZ$89)="(BLANK)")+(UPPER($AS$89:$AZ$89)="EMPTY")+(UPPER($AS$89:$AZ$89)="(EMPTY)"))&gt;0,IFERROR(('Final Calculation Sheet'!$AC$14)&amp;"","")="",ISNUMBER(SEARCH($AS$89:$AZ$89,IFERROR(('Final Calculation Sheet'!$AC$14)&amp;"","")))))&gt;0))))</f>
        <v>1</v>
      </c>
      <c r="CQ15">
        <f>IF($AE$4="",1,--(AND(SUMPRODUCT(--($AS$90:$AZ$90&lt;&gt;""))&gt;0,IF(COUNTIF($BI$90:$BP$90,1)=0,TRUE,SUMPRODUCT(($BI$90:$BP$90=1)*($AS$90:$AZ$90&lt;&gt;"")*IF(((UPPER($AS$90:$AZ$90)="BLANK")+(UPPER($AS$90:$AZ$90)="(BLANK)")+(UPPER($AS$90:$AZ$90)="EMPTY")+(UPPER($AS$90:$AZ$90)="(EMPTY)"))&gt;0,IFERROR(('Final Calculation Sheet'!$AD$14)&amp;"","")="",ISNUMBER(SEARCH($AS$90:$AZ$90,IFERROR(('Final Calculation Sheet'!$AD$14)&amp;"","")))))&gt;0),IF(COUNTIF($BI$90:$BP$90,2)=0,TRUE,SUMPRODUCT(($BI$90:$BP$90=2)*($AS$90:$AZ$90&lt;&gt;"")*IF(((UPPER($AS$90:$AZ$90)="BLANK")+(UPPER($AS$90:$AZ$90)="(BLANK)")+(UPPER($AS$90:$AZ$90)="EMPTY")+(UPPER($AS$90:$AZ$90)="(EMPTY)"))&gt;0,IFERROR(('Final Calculation Sheet'!$AD$14)&amp;"","")="",ISNUMBER(SEARCH($AS$90:$AZ$90,IFERROR(('Final Calculation Sheet'!$AD$14)&amp;"","")))))&gt;0),IF(COUNTIF($BI$90:$BP$90,3)=0,TRUE,SUMPRODUCT(($BI$90:$BP$90=3)*($AS$90:$AZ$90&lt;&gt;"")*IF(((UPPER($AS$90:$AZ$90)="BLANK")+(UPPER($AS$90:$AZ$90)="(BLANK)")+(UPPER($AS$90:$AZ$90)="EMPTY")+(UPPER($AS$90:$AZ$90)="(EMPTY)"))&gt;0,IFERROR(('Final Calculation Sheet'!$AD$14)&amp;"","")="",ISNUMBER(SEARCH($AS$90:$AZ$90,IFERROR(('Final Calculation Sheet'!$AD$14)&amp;"","")))))&gt;0),IF(COUNTIF($BI$90:$BP$90,4)=0,TRUE,SUMPRODUCT(($BI$90:$BP$90=4)*($AS$90:$AZ$90&lt;&gt;"")*IF(((UPPER($AS$90:$AZ$90)="BLANK")+(UPPER($AS$90:$AZ$90)="(BLANK)")+(UPPER($AS$90:$AZ$90)="EMPTY")+(UPPER($AS$90:$AZ$90)="(EMPTY)"))&gt;0,IFERROR(('Final Calculation Sheet'!$AD$14)&amp;"","")="",ISNUMBER(SEARCH($AS$90:$AZ$90,IFERROR(('Final Calculation Sheet'!$AD$14)&amp;"","")))))&gt;0),IF(COUNTIF($BI$90:$BP$90,5)=0,TRUE,SUMPRODUCT(($BI$90:$BP$90=5)*($AS$90:$AZ$90&lt;&gt;"")*IF(((UPPER($AS$90:$AZ$90)="BLANK")+(UPPER($AS$90:$AZ$90)="(BLANK)")+(UPPER($AS$90:$AZ$90)="EMPTY")+(UPPER($AS$90:$AZ$90)="(EMPTY)"))&gt;0,IFERROR(('Final Calculation Sheet'!$AD$14)&amp;"","")="",ISNUMBER(SEARCH($AS$90:$AZ$90,IFERROR(('Final Calculation Sheet'!$AD$14)&amp;"","")))))&gt;0),IF(COUNTIF($BI$90:$BP$90,6)=0,TRUE,SUMPRODUCT(($BI$90:$BP$90=6)*($AS$90:$AZ$90&lt;&gt;"")*IF(((UPPER($AS$90:$AZ$90)="BLANK")+(UPPER($AS$90:$AZ$90)="(BLANK)")+(UPPER($AS$90:$AZ$90)="EMPTY")+(UPPER($AS$90:$AZ$90)="(EMPTY)"))&gt;0,IFERROR(('Final Calculation Sheet'!$AD$14)&amp;"","")="",ISNUMBER(SEARCH($AS$90:$AZ$90,IFERROR(('Final Calculation Sheet'!$AD$14)&amp;"","")))))&gt;0),IF(COUNTIF($BI$90:$BP$90,7)=0,TRUE,SUMPRODUCT(($BI$90:$BP$90=7)*($AS$90:$AZ$90&lt;&gt;"")*IF(((UPPER($AS$90:$AZ$90)="BLANK")+(UPPER($AS$90:$AZ$90)="(BLANK)")+(UPPER($AS$90:$AZ$90)="EMPTY")+(UPPER($AS$90:$AZ$90)="(EMPTY)"))&gt;0,IFERROR(('Final Calculation Sheet'!$AD$14)&amp;"","")="",ISNUMBER(SEARCH($AS$90:$AZ$90,IFERROR(('Final Calculation Sheet'!$AD$14)&amp;"","")))))&gt;0),IF(COUNTIF($BI$90:$BP$90,8)=0,TRUE,SUMPRODUCT(($BI$90:$BP$90=8)*($AS$90:$AZ$90&lt;&gt;"")*IF(((UPPER($AS$90:$AZ$90)="BLANK")+(UPPER($AS$90:$AZ$90)="(BLANK)")+(UPPER($AS$90:$AZ$90)="EMPTY")+(UPPER($AS$90:$AZ$90)="(EMPTY)"))&gt;0,IFERROR(('Final Calculation Sheet'!$AD$14)&amp;"","")="",ISNUMBER(SEARCH($AS$90:$AZ$90,IFERROR(('Final Calculation Sheet'!$AD$14)&amp;"","")))))&gt;0))))</f>
        <v>1</v>
      </c>
      <c r="CR15">
        <f>IF($AF$4="",1,--(AND(SUMPRODUCT(--($AS$91:$AZ$91&lt;&gt;""))&gt;0,IF(COUNTIF($BI$91:$BP$91,1)=0,TRUE,SUMPRODUCT(($BI$91:$BP$91=1)*($AS$91:$AZ$91&lt;&gt;"")*IF(((UPPER($AS$91:$AZ$91)="BLANK")+(UPPER($AS$91:$AZ$91)="(BLANK)")+(UPPER($AS$91:$AZ$91)="EMPTY")+(UPPER($AS$91:$AZ$91)="(EMPTY)"))&gt;0,IFERROR(('Final Calculation Sheet'!$AE$14)&amp;"","")="",ISNUMBER(SEARCH($AS$91:$AZ$91,IFERROR(('Final Calculation Sheet'!$AE$14)&amp;"","")))))&gt;0),IF(COUNTIF($BI$91:$BP$91,2)=0,TRUE,SUMPRODUCT(($BI$91:$BP$91=2)*($AS$91:$AZ$91&lt;&gt;"")*IF(((UPPER($AS$91:$AZ$91)="BLANK")+(UPPER($AS$91:$AZ$91)="(BLANK)")+(UPPER($AS$91:$AZ$91)="EMPTY")+(UPPER($AS$91:$AZ$91)="(EMPTY)"))&gt;0,IFERROR(('Final Calculation Sheet'!$AE$14)&amp;"","")="",ISNUMBER(SEARCH($AS$91:$AZ$91,IFERROR(('Final Calculation Sheet'!$AE$14)&amp;"","")))))&gt;0),IF(COUNTIF($BI$91:$BP$91,3)=0,TRUE,SUMPRODUCT(($BI$91:$BP$91=3)*($AS$91:$AZ$91&lt;&gt;"")*IF(((UPPER($AS$91:$AZ$91)="BLANK")+(UPPER($AS$91:$AZ$91)="(BLANK)")+(UPPER($AS$91:$AZ$91)="EMPTY")+(UPPER($AS$91:$AZ$91)="(EMPTY)"))&gt;0,IFERROR(('Final Calculation Sheet'!$AE$14)&amp;"","")="",ISNUMBER(SEARCH($AS$91:$AZ$91,IFERROR(('Final Calculation Sheet'!$AE$14)&amp;"","")))))&gt;0),IF(COUNTIF($BI$91:$BP$91,4)=0,TRUE,SUMPRODUCT(($BI$91:$BP$91=4)*($AS$91:$AZ$91&lt;&gt;"")*IF(((UPPER($AS$91:$AZ$91)="BLANK")+(UPPER($AS$91:$AZ$91)="(BLANK)")+(UPPER($AS$91:$AZ$91)="EMPTY")+(UPPER($AS$91:$AZ$91)="(EMPTY)"))&gt;0,IFERROR(('Final Calculation Sheet'!$AE$14)&amp;"","")="",ISNUMBER(SEARCH($AS$91:$AZ$91,IFERROR(('Final Calculation Sheet'!$AE$14)&amp;"","")))))&gt;0),IF(COUNTIF($BI$91:$BP$91,5)=0,TRUE,SUMPRODUCT(($BI$91:$BP$91=5)*($AS$91:$AZ$91&lt;&gt;"")*IF(((UPPER($AS$91:$AZ$91)="BLANK")+(UPPER($AS$91:$AZ$91)="(BLANK)")+(UPPER($AS$91:$AZ$91)="EMPTY")+(UPPER($AS$91:$AZ$91)="(EMPTY)"))&gt;0,IFERROR(('Final Calculation Sheet'!$AE$14)&amp;"","")="",ISNUMBER(SEARCH($AS$91:$AZ$91,IFERROR(('Final Calculation Sheet'!$AE$14)&amp;"","")))))&gt;0),IF(COUNTIF($BI$91:$BP$91,6)=0,TRUE,SUMPRODUCT(($BI$91:$BP$91=6)*($AS$91:$AZ$91&lt;&gt;"")*IF(((UPPER($AS$91:$AZ$91)="BLANK")+(UPPER($AS$91:$AZ$91)="(BLANK)")+(UPPER($AS$91:$AZ$91)="EMPTY")+(UPPER($AS$91:$AZ$91)="(EMPTY)"))&gt;0,IFERROR(('Final Calculation Sheet'!$AE$14)&amp;"","")="",ISNUMBER(SEARCH($AS$91:$AZ$91,IFERROR(('Final Calculation Sheet'!$AE$14)&amp;"","")))))&gt;0),IF(COUNTIF($BI$91:$BP$91,7)=0,TRUE,SUMPRODUCT(($BI$91:$BP$91=7)*($AS$91:$AZ$91&lt;&gt;"")*IF(((UPPER($AS$91:$AZ$91)="BLANK")+(UPPER($AS$91:$AZ$91)="(BLANK)")+(UPPER($AS$91:$AZ$91)="EMPTY")+(UPPER($AS$91:$AZ$91)="(EMPTY)"))&gt;0,IFERROR(('Final Calculation Sheet'!$AE$14)&amp;"","")="",ISNUMBER(SEARCH($AS$91:$AZ$91,IFERROR(('Final Calculation Sheet'!$AE$14)&amp;"","")))))&gt;0),IF(COUNTIF($BI$91:$BP$91,8)=0,TRUE,SUMPRODUCT(($BI$91:$BP$91=8)*($AS$91:$AZ$91&lt;&gt;"")*IF(((UPPER($AS$91:$AZ$91)="BLANK")+(UPPER($AS$91:$AZ$91)="(BLANK)")+(UPPER($AS$91:$AZ$91)="EMPTY")+(UPPER($AS$91:$AZ$91)="(EMPTY)"))&gt;0,IFERROR(('Final Calculation Sheet'!$AE$14)&amp;"","")="",ISNUMBER(SEARCH($AS$91:$AZ$91,IFERROR(('Final Calculation Sheet'!$AE$14)&amp;"","")))))&gt;0))))</f>
        <v>1</v>
      </c>
      <c r="CS15">
        <f>IF($AG$4="",1,--(AND(SUMPRODUCT(--($AS$92:$AZ$92&lt;&gt;""))&gt;0,IF(COUNTIF($BI$92:$BP$92,1)=0,TRUE,SUMPRODUCT(($BI$92:$BP$92=1)*($AS$92:$AZ$92&lt;&gt;"")*IF(((UPPER($AS$92:$AZ$92)="BLANK")+(UPPER($AS$92:$AZ$92)="(BLANK)")+(UPPER($AS$92:$AZ$92)="EMPTY")+(UPPER($AS$92:$AZ$92)="(EMPTY)"))&gt;0,IFERROR(('Final Calculation Sheet'!$AF$14)&amp;"","")="",ISNUMBER(SEARCH($AS$92:$AZ$92,IFERROR(('Final Calculation Sheet'!$AF$14)&amp;"","")))))&gt;0),IF(COUNTIF($BI$92:$BP$92,2)=0,TRUE,SUMPRODUCT(($BI$92:$BP$92=2)*($AS$92:$AZ$92&lt;&gt;"")*IF(((UPPER($AS$92:$AZ$92)="BLANK")+(UPPER($AS$92:$AZ$92)="(BLANK)")+(UPPER($AS$92:$AZ$92)="EMPTY")+(UPPER($AS$92:$AZ$92)="(EMPTY)"))&gt;0,IFERROR(('Final Calculation Sheet'!$AF$14)&amp;"","")="",ISNUMBER(SEARCH($AS$92:$AZ$92,IFERROR(('Final Calculation Sheet'!$AF$14)&amp;"","")))))&gt;0),IF(COUNTIF($BI$92:$BP$92,3)=0,TRUE,SUMPRODUCT(($BI$92:$BP$92=3)*($AS$92:$AZ$92&lt;&gt;"")*IF(((UPPER($AS$92:$AZ$92)="BLANK")+(UPPER($AS$92:$AZ$92)="(BLANK)")+(UPPER($AS$92:$AZ$92)="EMPTY")+(UPPER($AS$92:$AZ$92)="(EMPTY)"))&gt;0,IFERROR(('Final Calculation Sheet'!$AF$14)&amp;"","")="",ISNUMBER(SEARCH($AS$92:$AZ$92,IFERROR(('Final Calculation Sheet'!$AF$14)&amp;"","")))))&gt;0),IF(COUNTIF($BI$92:$BP$92,4)=0,TRUE,SUMPRODUCT(($BI$92:$BP$92=4)*($AS$92:$AZ$92&lt;&gt;"")*IF(((UPPER($AS$92:$AZ$92)="BLANK")+(UPPER($AS$92:$AZ$92)="(BLANK)")+(UPPER($AS$92:$AZ$92)="EMPTY")+(UPPER($AS$92:$AZ$92)="(EMPTY)"))&gt;0,IFERROR(('Final Calculation Sheet'!$AF$14)&amp;"","")="",ISNUMBER(SEARCH($AS$92:$AZ$92,IFERROR(('Final Calculation Sheet'!$AF$14)&amp;"","")))))&gt;0),IF(COUNTIF($BI$92:$BP$92,5)=0,TRUE,SUMPRODUCT(($BI$92:$BP$92=5)*($AS$92:$AZ$92&lt;&gt;"")*IF(((UPPER($AS$92:$AZ$92)="BLANK")+(UPPER($AS$92:$AZ$92)="(BLANK)")+(UPPER($AS$92:$AZ$92)="EMPTY")+(UPPER($AS$92:$AZ$92)="(EMPTY)"))&gt;0,IFERROR(('Final Calculation Sheet'!$AF$14)&amp;"","")="",ISNUMBER(SEARCH($AS$92:$AZ$92,IFERROR(('Final Calculation Sheet'!$AF$14)&amp;"","")))))&gt;0),IF(COUNTIF($BI$92:$BP$92,6)=0,TRUE,SUMPRODUCT(($BI$92:$BP$92=6)*($AS$92:$AZ$92&lt;&gt;"")*IF(((UPPER($AS$92:$AZ$92)="BLANK")+(UPPER($AS$92:$AZ$92)="(BLANK)")+(UPPER($AS$92:$AZ$92)="EMPTY")+(UPPER($AS$92:$AZ$92)="(EMPTY)"))&gt;0,IFERROR(('Final Calculation Sheet'!$AF$14)&amp;"","")="",ISNUMBER(SEARCH($AS$92:$AZ$92,IFERROR(('Final Calculation Sheet'!$AF$14)&amp;"","")))))&gt;0),IF(COUNTIF($BI$92:$BP$92,7)=0,TRUE,SUMPRODUCT(($BI$92:$BP$92=7)*($AS$92:$AZ$92&lt;&gt;"")*IF(((UPPER($AS$92:$AZ$92)="BLANK")+(UPPER($AS$92:$AZ$92)="(BLANK)")+(UPPER($AS$92:$AZ$92)="EMPTY")+(UPPER($AS$92:$AZ$92)="(EMPTY)"))&gt;0,IFERROR(('Final Calculation Sheet'!$AF$14)&amp;"","")="",ISNUMBER(SEARCH($AS$92:$AZ$92,IFERROR(('Final Calculation Sheet'!$AF$14)&amp;"","")))))&gt;0),IF(COUNTIF($BI$92:$BP$92,8)=0,TRUE,SUMPRODUCT(($BI$92:$BP$92=8)*($AS$92:$AZ$92&lt;&gt;"")*IF(((UPPER($AS$92:$AZ$92)="BLANK")+(UPPER($AS$92:$AZ$92)="(BLANK)")+(UPPER($AS$92:$AZ$92)="EMPTY")+(UPPER($AS$92:$AZ$92)="(EMPTY)"))&gt;0,IFERROR(('Final Calculation Sheet'!$AF$14)&amp;"","")="",ISNUMBER(SEARCH($AS$92:$AZ$92,IFERROR(('Final Calculation Sheet'!$AF$14)&amp;"","")))))&gt;0))))</f>
        <v>1</v>
      </c>
      <c r="CT15">
        <f>IF($AH$4="",1,--(AND(SUMPRODUCT(--($AS$93:$AZ$93&lt;&gt;""))&gt;0,IF(COUNTIF($BI$93:$BP$93,1)=0,TRUE,SUMPRODUCT(($BI$93:$BP$93=1)*($AS$93:$AZ$93&lt;&gt;"")*IF(((UPPER($AS$93:$AZ$93)="BLANK")+(UPPER($AS$93:$AZ$93)="(BLANK)")+(UPPER($AS$93:$AZ$93)="EMPTY")+(UPPER($AS$93:$AZ$93)="(EMPTY)"))&gt;0,IFERROR(('Final Calculation Sheet'!$AG$14)&amp;"","")="",ISNUMBER(SEARCH($AS$93:$AZ$93,IFERROR(('Final Calculation Sheet'!$AG$14)&amp;"","")))))&gt;0),IF(COUNTIF($BI$93:$BP$93,2)=0,TRUE,SUMPRODUCT(($BI$93:$BP$93=2)*($AS$93:$AZ$93&lt;&gt;"")*IF(((UPPER($AS$93:$AZ$93)="BLANK")+(UPPER($AS$93:$AZ$93)="(BLANK)")+(UPPER($AS$93:$AZ$93)="EMPTY")+(UPPER($AS$93:$AZ$93)="(EMPTY)"))&gt;0,IFERROR(('Final Calculation Sheet'!$AG$14)&amp;"","")="",ISNUMBER(SEARCH($AS$93:$AZ$93,IFERROR(('Final Calculation Sheet'!$AG$14)&amp;"","")))))&gt;0),IF(COUNTIF($BI$93:$BP$93,3)=0,TRUE,SUMPRODUCT(($BI$93:$BP$93=3)*($AS$93:$AZ$93&lt;&gt;"")*IF(((UPPER($AS$93:$AZ$93)="BLANK")+(UPPER($AS$93:$AZ$93)="(BLANK)")+(UPPER($AS$93:$AZ$93)="EMPTY")+(UPPER($AS$93:$AZ$93)="(EMPTY)"))&gt;0,IFERROR(('Final Calculation Sheet'!$AG$14)&amp;"","")="",ISNUMBER(SEARCH($AS$93:$AZ$93,IFERROR(('Final Calculation Sheet'!$AG$14)&amp;"","")))))&gt;0),IF(COUNTIF($BI$93:$BP$93,4)=0,TRUE,SUMPRODUCT(($BI$93:$BP$93=4)*($AS$93:$AZ$93&lt;&gt;"")*IF(((UPPER($AS$93:$AZ$93)="BLANK")+(UPPER($AS$93:$AZ$93)="(BLANK)")+(UPPER($AS$93:$AZ$93)="EMPTY")+(UPPER($AS$93:$AZ$93)="(EMPTY)"))&gt;0,IFERROR(('Final Calculation Sheet'!$AG$14)&amp;"","")="",ISNUMBER(SEARCH($AS$93:$AZ$93,IFERROR(('Final Calculation Sheet'!$AG$14)&amp;"","")))))&gt;0),IF(COUNTIF($BI$93:$BP$93,5)=0,TRUE,SUMPRODUCT(($BI$93:$BP$93=5)*($AS$93:$AZ$93&lt;&gt;"")*IF(((UPPER($AS$93:$AZ$93)="BLANK")+(UPPER($AS$93:$AZ$93)="(BLANK)")+(UPPER($AS$93:$AZ$93)="EMPTY")+(UPPER($AS$93:$AZ$93)="(EMPTY)"))&gt;0,IFERROR(('Final Calculation Sheet'!$AG$14)&amp;"","")="",ISNUMBER(SEARCH($AS$93:$AZ$93,IFERROR(('Final Calculation Sheet'!$AG$14)&amp;"","")))))&gt;0),IF(COUNTIF($BI$93:$BP$93,6)=0,TRUE,SUMPRODUCT(($BI$93:$BP$93=6)*($AS$93:$AZ$93&lt;&gt;"")*IF(((UPPER($AS$93:$AZ$93)="BLANK")+(UPPER($AS$93:$AZ$93)="(BLANK)")+(UPPER($AS$93:$AZ$93)="EMPTY")+(UPPER($AS$93:$AZ$93)="(EMPTY)"))&gt;0,IFERROR(('Final Calculation Sheet'!$AG$14)&amp;"","")="",ISNUMBER(SEARCH($AS$93:$AZ$93,IFERROR(('Final Calculation Sheet'!$AG$14)&amp;"","")))))&gt;0),IF(COUNTIF($BI$93:$BP$93,7)=0,TRUE,SUMPRODUCT(($BI$93:$BP$93=7)*($AS$93:$AZ$93&lt;&gt;"")*IF(((UPPER($AS$93:$AZ$93)="BLANK")+(UPPER($AS$93:$AZ$93)="(BLANK)")+(UPPER($AS$93:$AZ$93)="EMPTY")+(UPPER($AS$93:$AZ$93)="(EMPTY)"))&gt;0,IFERROR(('Final Calculation Sheet'!$AG$14)&amp;"","")="",ISNUMBER(SEARCH($AS$93:$AZ$93,IFERROR(('Final Calculation Sheet'!$AG$14)&amp;"","")))))&gt;0),IF(COUNTIF($BI$93:$BP$93,8)=0,TRUE,SUMPRODUCT(($BI$93:$BP$93=8)*($AS$93:$AZ$93&lt;&gt;"")*IF(((UPPER($AS$93:$AZ$93)="BLANK")+(UPPER($AS$93:$AZ$93)="(BLANK)")+(UPPER($AS$93:$AZ$93)="EMPTY")+(UPPER($AS$93:$AZ$93)="(EMPTY)"))&gt;0,IFERROR(('Final Calculation Sheet'!$AG$14)&amp;"","")="",ISNUMBER(SEARCH($AS$93:$AZ$93,IFERROR(('Final Calculation Sheet'!$AG$14)&amp;"","")))))&gt;0))))</f>
        <v>1</v>
      </c>
      <c r="CU15">
        <f>IF($AI$4="",1,--(AND(SUMPRODUCT(--($AS$94:$AZ$94&lt;&gt;""))&gt;0,IF(COUNTIF($BI$94:$BP$94,1)=0,TRUE,SUMPRODUCT(($BI$94:$BP$94=1)*($AS$94:$AZ$94&lt;&gt;"")*IF(((UPPER($AS$94:$AZ$94)="BLANK")+(UPPER($AS$94:$AZ$94)="(BLANK)")+(UPPER($AS$94:$AZ$94)="EMPTY")+(UPPER($AS$94:$AZ$94)="(EMPTY)"))&gt;0,IFERROR((IF('Final Calculation Sheet'!$AD$14&lt;=0,"SETTLED","OUTSTANDING"))&amp;"","")="",ISNUMBER(SEARCH($AS$94:$AZ$94,IFERROR((IF('Final Calculation Sheet'!$AD$14&lt;=0,"SETTLED","OUTSTANDING"))&amp;"","")))))&gt;0),IF(COUNTIF($BI$94:$BP$94,2)=0,TRUE,SUMPRODUCT(($BI$94:$BP$94=2)*($AS$94:$AZ$94&lt;&gt;"")*IF(((UPPER($AS$94:$AZ$94)="BLANK")+(UPPER($AS$94:$AZ$94)="(BLANK)")+(UPPER($AS$94:$AZ$94)="EMPTY")+(UPPER($AS$94:$AZ$94)="(EMPTY)"))&gt;0,IFERROR((IF('Final Calculation Sheet'!$AD$14&lt;=0,"SETTLED","OUTSTANDING"))&amp;"","")="",ISNUMBER(SEARCH($AS$94:$AZ$94,IFERROR((IF('Final Calculation Sheet'!$AD$14&lt;=0,"SETTLED","OUTSTANDING"))&amp;"","")))))&gt;0),IF(COUNTIF($BI$94:$BP$94,3)=0,TRUE,SUMPRODUCT(($BI$94:$BP$94=3)*($AS$94:$AZ$94&lt;&gt;"")*IF(((UPPER($AS$94:$AZ$94)="BLANK")+(UPPER($AS$94:$AZ$94)="(BLANK)")+(UPPER($AS$94:$AZ$94)="EMPTY")+(UPPER($AS$94:$AZ$94)="(EMPTY)"))&gt;0,IFERROR((IF('Final Calculation Sheet'!$AD$14&lt;=0,"SETTLED","OUTSTANDING"))&amp;"","")="",ISNUMBER(SEARCH($AS$94:$AZ$94,IFERROR((IF('Final Calculation Sheet'!$AD$14&lt;=0,"SETTLED","OUTSTANDING"))&amp;"","")))))&gt;0),IF(COUNTIF($BI$94:$BP$94,4)=0,TRUE,SUMPRODUCT(($BI$94:$BP$94=4)*($AS$94:$AZ$94&lt;&gt;"")*IF(((UPPER($AS$94:$AZ$94)="BLANK")+(UPPER($AS$94:$AZ$94)="(BLANK)")+(UPPER($AS$94:$AZ$94)="EMPTY")+(UPPER($AS$94:$AZ$94)="(EMPTY)"))&gt;0,IFERROR((IF('Final Calculation Sheet'!$AD$14&lt;=0,"SETTLED","OUTSTANDING"))&amp;"","")="",ISNUMBER(SEARCH($AS$94:$AZ$94,IFERROR((IF('Final Calculation Sheet'!$AD$14&lt;=0,"SETTLED","OUTSTANDING"))&amp;"","")))))&gt;0),IF(COUNTIF($BI$94:$BP$94,5)=0,TRUE,SUMPRODUCT(($BI$94:$BP$94=5)*($AS$94:$AZ$94&lt;&gt;"")*IF(((UPPER($AS$94:$AZ$94)="BLANK")+(UPPER($AS$94:$AZ$94)="(BLANK)")+(UPPER($AS$94:$AZ$94)="EMPTY")+(UPPER($AS$94:$AZ$94)="(EMPTY)"))&gt;0,IFERROR((IF('Final Calculation Sheet'!$AD$14&lt;=0,"SETTLED","OUTSTANDING"))&amp;"","")="",ISNUMBER(SEARCH($AS$94:$AZ$94,IFERROR((IF('Final Calculation Sheet'!$AD$14&lt;=0,"SETTLED","OUTSTANDING"))&amp;"","")))))&gt;0),IF(COUNTIF($BI$94:$BP$94,6)=0,TRUE,SUMPRODUCT(($BI$94:$BP$94=6)*($AS$94:$AZ$94&lt;&gt;"")*IF(((UPPER($AS$94:$AZ$94)="BLANK")+(UPPER($AS$94:$AZ$94)="(BLANK)")+(UPPER($AS$94:$AZ$94)="EMPTY")+(UPPER($AS$94:$AZ$94)="(EMPTY)"))&gt;0,IFERROR((IF('Final Calculation Sheet'!$AD$14&lt;=0,"SETTLED","OUTSTANDING"))&amp;"","")="",ISNUMBER(SEARCH($AS$94:$AZ$94,IFERROR((IF('Final Calculation Sheet'!$AD$14&lt;=0,"SETTLED","OUTSTANDING"))&amp;"","")))))&gt;0),IF(COUNTIF($BI$94:$BP$94,7)=0,TRUE,SUMPRODUCT(($BI$94:$BP$94=7)*($AS$94:$AZ$94&lt;&gt;"")*IF(((UPPER($AS$94:$AZ$94)="BLANK")+(UPPER($AS$94:$AZ$94)="(BLANK)")+(UPPER($AS$94:$AZ$94)="EMPTY")+(UPPER($AS$94:$AZ$94)="(EMPTY)"))&gt;0,IFERROR((IF('Final Calculation Sheet'!$AD$14&lt;=0,"SETTLED","OUTSTANDING"))&amp;"","")="",ISNUMBER(SEARCH($AS$94:$AZ$94,IFERROR((IF('Final Calculation Sheet'!$AD$14&lt;=0,"SETTLED","OUTSTANDING"))&amp;"","")))))&gt;0),IF(COUNTIF($BI$94:$BP$94,8)=0,TRUE,SUMPRODUCT(($BI$94:$BP$94=8)*($AS$94:$AZ$94&lt;&gt;"")*IF(((UPPER($AS$94:$AZ$94)="BLANK")+(UPPER($AS$94:$AZ$94)="(BLANK)")+(UPPER($AS$94:$AZ$94)="EMPTY")+(UPPER($AS$94:$AZ$94)="(EMPTY)"))&gt;0,IFERROR((IF('Final Calculation Sheet'!$AD$14&lt;=0,"SETTLED","OUTSTANDING"))&amp;"","")="",ISNUMBER(SEARCH($AS$94:$AZ$94,IFERROR((IF('Final Calculation Sheet'!$AD$14&lt;=0,"SETTLED","OUTSTANDING"))&amp;"","")))))&gt;0))))</f>
        <v>1</v>
      </c>
    </row>
    <row r="16" spans="1:99" ht="15" customHeight="1" x14ac:dyDescent="0.25">
      <c r="A16" s="67" t="str">
        <f>IF($BJ15&gt;0,INDEX($BA$5:$BA$41,MATCH(15,$BB$5:$BB$41,0)),IF(OR($BI15=1,$BL15=1,$BH15&gt;0),"∑",""))</f>
        <v>∑</v>
      </c>
      <c r="B16" s="68" t="str">
        <f>IF($BJ15&gt;0,IF(INDEX('Final Calculation Sheet'!$F$4:$F$40,$BJ15-3)="","",INDEX('Final Calculation Sheet'!$F$4:$F$40,$BJ15-3)),"")</f>
        <v/>
      </c>
      <c r="C16" s="68" t="str">
        <f>IF($BJ15&gt;0,IF(INDEX('Final Calculation Sheet'!$G$4:$G$40,$BJ15-3)="","",INDEX('Final Calculation Sheet'!$G$4:$G$40,$BJ15-3)),IF(OR($BI15=1,$BL15=1,$BH15&gt;0),IF($BI15=1,37,IF($BL15=1,37-INDEX($BD$4:$BD$13,10),INDEX($BD$4:$BD$13,$BH15)))&amp;" lot(s)",""))</f>
        <v>5 lot(s)</v>
      </c>
      <c r="D16" s="69" t="str">
        <f>IF($BJ15&gt;0,IF(INDEX('Final Calculation Sheet'!$B$4:$B$40,$BJ15-3)="","",INDEX('Final Calculation Sheet'!$B$4:$B$40,$BJ15-3)),IF(OR($BI15=1,$BL15=1,$BH15&gt;0),IF($BI15=1,"GRAND TOTAL  —  matching + remaining",IF($BL15=1,"TOTAL MATCHED  —  every group together",IF($BH15=10,"REMAINING  —  did not match the search",IF($BH15=9,IF(COUNTIF($A$4:$AI$4,"&lt;&gt;")&gt;0,"FILTERED LOTS  —  column fields","ALL LOTS  —  nothing typed in the box"),"GROUP "&amp;$BH15&amp;" TOTAL  —  lots matching  "&amp;INDEX($AR$6:$AY$6,$BH15))))),""))</f>
        <v>GROUP 2 TOTAL  —  lots matching  barrel</v>
      </c>
      <c r="E16" s="69" t="str">
        <f>IF($BJ15&gt;0,IF(INDEX('Final Calculation Sheet'!$D$4:$D$40,$BJ15-3)="","",INDEX('Final Calculation Sheet'!$D$4:$D$40,$BJ15-3)),IF(OR($BI15=1,$BL15=1,$BH15&gt;0),"–",""))</f>
        <v>–</v>
      </c>
      <c r="F16" s="69">
        <f>IF($BJ15&gt;0,IF(INDEX('Final Calculation Sheet'!$A$4:$A$40,$BJ15-3)="","",INDEX('Final Calculation Sheet'!$A$4:$A$40,$BJ15-3)),IF(OR($BI15=1,$BL15=1,$BH15&gt;0),IF($BI15=1,SUM('Final Calculation Sheet'!$A$4:$A$40),IF($BL15=1,SUM('Final Calculation Sheet'!$A$4:$A$40)-SUMIFS('Final Calculation Sheet'!$A$4:$A$40,$AZ$5:$AZ$41,10),SUMIFS('Final Calculation Sheet'!$A$4:$A$40,$AZ$5:$AZ$41,$BH15))),""))</f>
        <v>292</v>
      </c>
      <c r="G16" s="69" t="str">
        <f>IF($BJ15&gt;0,IF(INDEX('Final Calculation Sheet'!$E$4:$E$40,$BJ15-3)="","",INDEX('Final Calculation Sheet'!$E$4:$E$40,$BJ15-3)),IF(OR($BI15=1,$BL15=1,$BH15&gt;0),"–",""))</f>
        <v>–</v>
      </c>
      <c r="H16" s="70" t="str">
        <f>IF($BJ15&gt;0,IF(INDEX('Final Calculation Sheet'!$C$4:$C$40,$BJ15-3)="","",INDEX('Final Calculation Sheet'!$C$4:$C$40,$BJ15-3)),IF(OR($BI15=1,$BL15=1,$BH15&gt;0),"–",""))</f>
        <v>–</v>
      </c>
      <c r="I16" s="70">
        <f>IF($BJ15&gt;0,IF(INDEX('Final Calculation Sheet'!$H$4:$H$40,$BJ15-3)="","",INDEX('Final Calculation Sheet'!$H$4:$H$40,$BJ15-3)),IF(OR($BI15=1,$BL15=1,$BH15&gt;0),IF($BI15=1,SUM('Final Calculation Sheet'!$H$4:$H$40),IF($BL15=1,SUM('Final Calculation Sheet'!$H$4:$H$40)-SUMIFS('Final Calculation Sheet'!$H$4:$H$40,$AZ$5:$AZ$41,10),SUMIFS('Final Calculation Sheet'!$H$4:$H$40,$AZ$5:$AZ$41,$BH15))),""))</f>
        <v>197010</v>
      </c>
      <c r="J16" s="70">
        <f>IF($BJ15&gt;0,IF(INDEX('Final Calculation Sheet'!$I$4:$I$40,$BJ15-3)="","",INDEX('Final Calculation Sheet'!$I$4:$I$40,$BJ15-3)),IF(OR($BI15=1,$BL15=1,$BH15&gt;0),IF($BI15=1,SUM('Final Calculation Sheet'!$I$4:$I$40),IF($BL15=1,SUM('Final Calculation Sheet'!$I$4:$I$40)-SUMIFS('Final Calculation Sheet'!$I$4:$I$40,$AZ$5:$AZ$41,10),SUMIFS('Final Calculation Sheet'!$I$4:$I$40,$AZ$5:$AZ$41,$BH15))),""))</f>
        <v>35462</v>
      </c>
      <c r="K16" s="70">
        <f>IF($BJ15&gt;0,IF(INDEX('Final Calculation Sheet'!$J$4:$J$40,$BJ15-3)="","",INDEX('Final Calculation Sheet'!$J$4:$J$40,$BJ15-3)),IF(OR($BI15=1,$BL15=1,$BH15&gt;0),IF($BI15=1,SUM('Final Calculation Sheet'!$J$4:$J$40),IF($BL15=1,SUM('Final Calculation Sheet'!$J$4:$J$40)-SUMIFS('Final Calculation Sheet'!$J$4:$J$40,$AZ$5:$AZ$41,10),SUMIFS('Final Calculation Sheet'!$J$4:$J$40,$AZ$5:$AZ$41,$BH15))),""))</f>
        <v>232472</v>
      </c>
      <c r="L16" s="70">
        <f>IF($BJ15&gt;0,IF(INDEX('Final Calculation Sheet'!$K$4:$K$40,$BJ15-3)="","",INDEX('Final Calculation Sheet'!$K$4:$K$40,$BJ15-3)),IF(OR($BI15=1,$BL15=1,$BH15&gt;0),IF($BI15=1,SUM('Final Calculation Sheet'!$K$4:$K$40),IF($BL15=1,SUM('Final Calculation Sheet'!$K$4:$K$40)-SUMIFS('Final Calculation Sheet'!$K$4:$K$40,$AZ$5:$AZ$41,10),SUMIFS('Final Calculation Sheet'!$K$4:$K$40,$AZ$5:$AZ$41,$BH15))),""))</f>
        <v>4650</v>
      </c>
      <c r="M16" s="70">
        <f>IF($BJ15&gt;0,IF(INDEX('Final Calculation Sheet'!$L$4:$L$40,$BJ15-3)="","",INDEX('Final Calculation Sheet'!$L$4:$L$40,$BJ15-3)),IF(OR($BI15=1,$BL15=1,$BH15&gt;0),IF($BI15=1,SUM('Final Calculation Sheet'!$L$4:$L$40),IF($BL15=1,SUM('Final Calculation Sheet'!$L$4:$L$40)-SUMIFS('Final Calculation Sheet'!$L$4:$L$40,$AZ$5:$AZ$41,10),SUMIFS('Final Calculation Sheet'!$L$4:$L$40,$AZ$5:$AZ$41,$BH15))),""))</f>
        <v>197.01000000000002</v>
      </c>
      <c r="N16" s="70">
        <f>IF($BJ15&gt;0,IF(INDEX('Final Calculation Sheet'!$M$4:$M$40,$BJ15-3)="","",INDEX('Final Calculation Sheet'!$M$4:$M$40,$BJ15-3)),IF(OR($BI15=1,$BL15=1,$BH15&gt;0),IF($BI15=1,SUM('Final Calculation Sheet'!$M$4:$M$40),IF($BL15=1,SUM('Final Calculation Sheet'!$M$4:$M$40)-SUMIFS('Final Calculation Sheet'!$M$4:$M$40,$AZ$5:$AZ$41,10),SUMIFS('Final Calculation Sheet'!$M$4:$M$40,$AZ$5:$AZ$41,$BH15))),""))</f>
        <v>5230.6154999999999</v>
      </c>
      <c r="O16" s="71">
        <f>IF($BJ15&gt;0,IF(INDEX('Final Calculation Sheet'!$N$4:$N$40,$BJ15-3)="","",INDEX('Final Calculation Sheet'!$N$4:$N$40,$BJ15-3)),IF(OR($BI15=1,$BL15=1,$BH15&gt;0),IF($BI15=1,SUM('Final Calculation Sheet'!$N$4:$N$40),IF($BL15=1,SUM('Final Calculation Sheet'!$N$4:$N$40)-SUMIFS('Final Calculation Sheet'!$N$4:$N$40,$AZ$5:$AZ$41,10),SUMIFS('Final Calculation Sheet'!$N$4:$N$40,$AZ$5:$AZ$41,$BH15))),""))</f>
        <v>88.654499999999999</v>
      </c>
      <c r="P16" s="70">
        <f>IF($BJ15&gt;0,IF(INDEX('Final Calculation Sheet'!$O$4:$O$40,$BJ15-3)="","",INDEX('Final Calculation Sheet'!$O$4:$O$40,$BJ15-3)),IF(OR($BI15=1,$BL15=1,$BH15&gt;0),IF($BI15=1,SUM('Final Calculation Sheet'!$O$4:$O$40),IF($BL15=1,SUM('Final Calculation Sheet'!$O$4:$O$40)-SUMIFS('Final Calculation Sheet'!$O$4:$O$40,$AZ$5:$AZ$41,10),SUMIFS('Final Calculation Sheet'!$O$4:$O$40,$AZ$5:$AZ$41,$BH15))),""))</f>
        <v>5141.9610000000002</v>
      </c>
      <c r="Q16" s="70">
        <f>IF($BJ15&gt;0,IF(INDEX('Final Calculation Sheet'!$P$4:$P$40,$BJ15-3)="","",INDEX('Final Calculation Sheet'!$P$4:$P$40,$BJ15-3)),IF(OR($BI15=1,$BL15=1,$BH15&gt;0),IF($BI15=1,SUM('Final Calculation Sheet'!$P$4:$P$40),IF($BL15=1,SUM('Final Calculation Sheet'!$P$4:$P$40)-SUMIFS('Final Calculation Sheet'!$P$4:$P$40,$AZ$5:$AZ$41,10),SUMIFS('Final Calculation Sheet'!$P$4:$P$40,$AZ$5:$AZ$41,$BH15))),""))</f>
        <v>5339</v>
      </c>
      <c r="R16" s="72" t="str">
        <f>IF($BJ15&gt;0,IF(INDEX('Final Calculation Sheet'!$Q$4:$Q$40,$BJ15-3)="","",INDEX('Final Calculation Sheet'!$Q$4:$Q$40,$BJ15-3)),IF(OR($BI15=1,$BL15=1,$BH15&gt;0),"–",""))</f>
        <v>–</v>
      </c>
      <c r="S16" s="70">
        <f>IF($BJ15&gt;0,IF(INDEX('Final Calculation Sheet'!$R$4:$R$40,$BJ15-3)="","",INDEX('Final Calculation Sheet'!$R$4:$R$40,$BJ15-3)),IF(OR($BI15=1,$BL15=1,$BH15&gt;0),IF($BI15=1,SUM('Final Calculation Sheet'!$R$4:$R$40),IF($BL15=1,SUM('Final Calculation Sheet'!$R$4:$R$40)-SUMIFS('Final Calculation Sheet'!$R$4:$R$40,$AZ$5:$AZ$41,10),SUMIFS('Final Calculation Sheet'!$R$4:$R$40,$AZ$5:$AZ$41,$BH15))),""))</f>
        <v>0</v>
      </c>
      <c r="T16" s="70">
        <f>IF($BJ15&gt;0,IF(INDEX('Final Calculation Sheet'!$S$4:$S$40,$BJ15-3)="","",INDEX('Final Calculation Sheet'!$S$4:$S$40,$BJ15-3)),IF(OR($BI15=1,$BL15=1,$BH15&gt;0),IF($BI15=1,SUM('Final Calculation Sheet'!$S$4:$S$40),IF($BL15=1,SUM('Final Calculation Sheet'!$S$4:$S$40)-SUMIFS('Final Calculation Sheet'!$S$4:$S$40,$AZ$5:$AZ$41,10),SUMIFS('Final Calculation Sheet'!$S$4:$S$40,$AZ$5:$AZ$41,$BH15))),""))</f>
        <v>231783</v>
      </c>
      <c r="U16" s="70">
        <f>IF($BJ15&gt;0,IF(INDEX('Final Calculation Sheet'!$T$4:$T$40,$BJ15-3)="","",INDEX('Final Calculation Sheet'!$T$4:$T$40,$BJ15-3)),IF(OR($BI15=1,$BL15=1,$BH15&gt;0),IF($BI15=1,SUM('Final Calculation Sheet'!$T$4:$T$40),IF($BL15=1,SUM('Final Calculation Sheet'!$T$4:$T$40)-SUMIFS('Final Calculation Sheet'!$T$4:$T$40,$AZ$5:$AZ$41,10),SUMIFS('Final Calculation Sheet'!$T$4:$T$40,$AZ$5:$AZ$41,$BH15))),""))</f>
        <v>49253</v>
      </c>
      <c r="V16" s="73">
        <f>IF($BJ15&gt;0,IF(INDEX('Final Calculation Sheet'!$U$4:$U$40,$BJ15-3)="","",INDEX('Final Calculation Sheet'!$U$4:$U$40,$BJ15-3)),IF(OR($BI15=1,$BL15=1,$BH15&gt;0),IF($BI15=1,SUM('Final Calculation Sheet'!$U$4:$U$40),IF($BL15=1,SUM('Final Calculation Sheet'!$U$4:$U$40)-SUMIFS('Final Calculation Sheet'!$U$4:$U$40,$AZ$5:$AZ$41,10),SUMIFS('Final Calculation Sheet'!$U$4:$U$40,$AZ$5:$AZ$41,$BH15))),""))</f>
        <v>49253</v>
      </c>
      <c r="W16" s="70" t="str">
        <f>IF($BJ15&gt;0,IF(INDEX('Final Calculation Sheet'!$V$4:$V$40,$BJ15-3)="","",INDEX('Final Calculation Sheet'!$V$4:$V$40,$BJ15-3)),IF(OR($BI15=1,$BL15=1,$BH15&gt;0),"–",""))</f>
        <v>–</v>
      </c>
      <c r="X16" s="70">
        <f>IF($BJ15&gt;0,IF(INDEX('Final Calculation Sheet'!$W$4:$W$40,$BJ15-3)="","",INDEX('Final Calculation Sheet'!$W$4:$W$40,$BJ15-3)),IF(OR($BI15=1,$BL15=1,$BH15&gt;0),IF($BI15=1,SUM('Final Calculation Sheet'!$W$4:$W$40),IF($BL15=1,SUM('Final Calculation Sheet'!$W$4:$W$40)-SUMIFS('Final Calculation Sheet'!$W$4:$W$40,$AZ$5:$AZ$41,10),SUMIFS('Final Calculation Sheet'!$W$4:$W$40,$AZ$5:$AZ$41,$BH15))),""))</f>
        <v>182531</v>
      </c>
      <c r="Y16" s="70">
        <f>IF($BJ15&gt;0,IF(INDEX('Final Calculation Sheet'!$X$4:$X$40,$BJ15-3)="","",INDEX('Final Calculation Sheet'!$X$4:$X$40,$BJ15-3)),IF(OR($BI15=1,$BL15=1,$BH15&gt;0),IF($BI15=1,SUM('Final Calculation Sheet'!$X$4:$X$40),IF($BL15=1,SUM('Final Calculation Sheet'!$X$4:$X$40)-SUMIFS('Final Calculation Sheet'!$X$4:$X$40,$AZ$5:$AZ$41,10),SUMIFS('Final Calculation Sheet'!$X$4:$X$40,$AZ$5:$AZ$41,$BH15))),""))</f>
        <v>182577</v>
      </c>
      <c r="Z16" s="70" t="str">
        <f>IF($BJ15&gt;0,IF(INDEX('Final Calculation Sheet'!$Y$4:$Y$40,$BJ15-3)="","",INDEX('Final Calculation Sheet'!$Y$4:$Y$40,$BJ15-3)),IF(OR($BI15=1,$BL15=1,$BH15&gt;0),"–",""))</f>
        <v>–</v>
      </c>
      <c r="AA16" s="70">
        <f ca="1">IF($BJ15&gt;0,IF(INDEX('Final Calculation Sheet'!$Z$4:$Z$40,$BJ15-3)="","",INDEX('Final Calculation Sheet'!$Z$4:$Z$40,$BJ15-3)),IF(OR($BI15=1,$BL15=1,$BH15&gt;0),IF($BI15=1,SUM('Final Calculation Sheet'!$Z$4:$Z$40),IF($BL15=1,SUM('Final Calculation Sheet'!$Z$4:$Z$40)-SUMIFS('Final Calculation Sheet'!$Z$4:$Z$40,$AZ$5:$AZ$41,10),SUMIFS('Final Calculation Sheet'!$Z$4:$Z$40,$AZ$5:$AZ$41,$BH15))),""))</f>
        <v>0</v>
      </c>
      <c r="AB16" s="70">
        <f>IF($BJ15&gt;0,IF(INDEX('Final Calculation Sheet'!$AA$4:$AA$40,$BJ15-3)="","",INDEX('Final Calculation Sheet'!$AA$4:$AA$40,$BJ15-3)),IF(OR($BI15=1,$BL15=1,$BH15&gt;0),IF($BI15=1,SUM('Final Calculation Sheet'!$AA$4:$AA$40),IF($BL15=1,SUM('Final Calculation Sheet'!$AA$4:$AA$40)-SUMIFS('Final Calculation Sheet'!$AA$4:$AA$40,$AZ$5:$AZ$41,10),SUMIFS('Final Calculation Sheet'!$AA$4:$AA$40,$AZ$5:$AZ$41,$BH15))),""))</f>
        <v>0</v>
      </c>
      <c r="AC16" s="70" t="str">
        <f>IF($BJ15&gt;0,IF(INDEX('Final Calculation Sheet'!$AB$4:$AB$40,$BJ15-3)="","",INDEX('Final Calculation Sheet'!$AB$4:$AB$40,$BJ15-3)),IF(OR($BI15=1,$BL15=1,$BH15&gt;0),"–",""))</f>
        <v>–</v>
      </c>
      <c r="AD16" s="70">
        <f>IF($BJ15&gt;0,IF(INDEX('Final Calculation Sheet'!$AC$4:$AC$40,$BJ15-3)="","",INDEX('Final Calculation Sheet'!$AC$4:$AC$40,$BJ15-3)),IF(OR($BI15=1,$BL15=1,$BH15&gt;0),IF($BI15=1,SUM('Final Calculation Sheet'!$AC$4:$AC$40),IF($BL15=1,SUM('Final Calculation Sheet'!$AC$4:$AC$40)-SUMIFS('Final Calculation Sheet'!$AC$4:$AC$40,$AZ$5:$AZ$41,10),SUMIFS('Final Calculation Sheet'!$AC$4:$AC$40,$AZ$5:$AZ$41,$BH15))),""))</f>
        <v>231830</v>
      </c>
      <c r="AE16" s="70">
        <f>IF($BJ15&gt;0,IF(INDEX('Final Calculation Sheet'!$AD$4:$AD$40,$BJ15-3)="","",INDEX('Final Calculation Sheet'!$AD$4:$AD$40,$BJ15-3)),IF(OR($BI15=1,$BL15=1,$BH15&gt;0),IF($BI15=1,SUM('Final Calculation Sheet'!$AD$4:$AD$40),IF($BL15=1,SUM('Final Calculation Sheet'!$AD$4:$AD$40)-SUMIFS('Final Calculation Sheet'!$AD$4:$AD$40,$AZ$5:$AZ$41,10),SUMIFS('Final Calculation Sheet'!$AD$4:$AD$40,$AZ$5:$AZ$41,$BH15))),""))</f>
        <v>-47</v>
      </c>
      <c r="AF16" s="70" t="str">
        <f>IF($BJ15&gt;0,IF(INDEX('Final Calculation Sheet'!$AE$4:$AE$40,$BJ15-3)="","",INDEX('Final Calculation Sheet'!$AE$4:$AE$40,$BJ15-3)),IF(OR($BI15=1,$BL15=1,$BH15&gt;0),"–",""))</f>
        <v>–</v>
      </c>
      <c r="AG16" s="74" t="str">
        <f>IF($BJ15&gt;0,IF(INDEX('Final Calculation Sheet'!$AF$4:$AF$40,$BJ15-3)="","",INDEX('Final Calculation Sheet'!$AF$4:$AF$40,$BJ15-3)),IF(OR($BI15=1,$BL15=1,$BH15&gt;0),"–",""))</f>
        <v>–</v>
      </c>
      <c r="AH16" s="70" t="str">
        <f>IF($BJ15&gt;0,IF(INDEX('Final Calculation Sheet'!$AG$4:$AG$40,$BJ15-3)="","",INDEX('Final Calculation Sheet'!$AG$4:$AG$40,$BJ15-3)),IF(OR($BI15=1,$BL15=1,$BH15&gt;0),"–",""))</f>
        <v>–</v>
      </c>
      <c r="AI16" s="75" t="str">
        <f>IF($BJ15&gt;0,IF(INDEX('Final Calculation Sheet'!$AD$4:$AD$40,$BJ15-3)="","",IF(INDEX('Final Calculation Sheet'!$AD$4:$AD$40,$BJ15-3)&lt;=0,"SETTLED","OUTSTANDING")),IF(OR($BI15=1,$BL15=1,$BH15&gt;0),IF(IF($BI15=1,SUM('Final Calculation Sheet'!$AD$4:$AD$40),IF($BL15=1,SUM('Final Calculation Sheet'!$AD$4:$AD$40)-SUMIFS('Final Calculation Sheet'!$AD$4:$AD$40,$AZ$5:$AZ$41,10),SUMIFS('Final Calculation Sheet'!$AD$4:$AD$40,$AZ$5:$AZ$41,$BH15)))&lt;=0,"ALL SETTLED","OUTSTANDING"),""))</f>
        <v>ALL SETTLED</v>
      </c>
      <c r="AK16" t="str">
        <f>IF($F$3="Lot No.",'Final Calculation Sheet'!$F$15,IF($F$3="Buyer",'Final Calculation Sheet'!$G$15,IF($F$3="Lot Name",'Final Calculation Sheet'!$B$15,IF($F$3="Bid Sheet",'Final Calculation Sheet'!$D$15,IF($F$3="Unit",'Final Calculation Sheet'!$E$15,'Final Calculation Sheet'!$F$15&amp;" "&amp;'Final Calculation Sheet'!$G$15&amp;" "&amp;'Final Calculation Sheet'!$B$15)))))</f>
        <v>2008 HIND TRADERS Scrap of empty oil Druam</v>
      </c>
      <c r="AM16">
        <f t="shared" si="1"/>
        <v>0</v>
      </c>
      <c r="AZ16">
        <f t="shared" si="2"/>
        <v>10</v>
      </c>
      <c r="BA16">
        <f t="shared" si="3"/>
        <v>10</v>
      </c>
      <c r="BB16">
        <f t="shared" si="4"/>
        <v>26</v>
      </c>
      <c r="BC16">
        <v>15</v>
      </c>
      <c r="BH16">
        <f>IFERROR(MATCH(16,$BF$4:$BF$13,0),0)</f>
        <v>0</v>
      </c>
      <c r="BI16">
        <f>IF(16=$BG$5,1,0)</f>
        <v>0</v>
      </c>
      <c r="BJ16">
        <f>IF(OR($BH16&gt;0,$BI16=1,$BL16=1),0,IFERROR(INDEX($BC$5:$BC$41,MATCH(16,$BB$5:$BB$41,0)),0))</f>
        <v>0</v>
      </c>
      <c r="BK16">
        <f>IF($BJ16&gt;0,IF(INDEX($AZ$5:$AZ$41,MATCH(16,$BB$5:$BB$41,0))=10,1,0),IF($BH16=10,1,0))</f>
        <v>0</v>
      </c>
      <c r="BL16">
        <f>IF(16=$BG$4,1,0)</f>
        <v>1</v>
      </c>
      <c r="BM16">
        <f>IF($A$4="",1,--(AND(SUMPRODUCT(--($AS$60:$AZ$60&lt;&gt;""))&gt;0,IF(COUNTIF($BI$60:$BP$60,1)=0,TRUE,SUMPRODUCT(($BI$60:$BP$60=1)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$60,2)=0,TRUE,SUMPRODUCT(($BI$60:$BP$60=2)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$60,3)=0,TRUE,SUMPRODUCT(($BI$60:$BP$60=3)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$60,4)=0,TRUE,SUMPRODUCT(($BI$60:$BP$60=4)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$60,5)=0,TRUE,SUMPRODUCT(($BI$60:$BP$60=5)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$60,6)=0,TRUE,SUMPRODUCT(($BI$60:$BP$60=6)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$60,7)=0,TRUE,SUMPRODUCT(($BI$60:$BP$60=7)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$60,8)=0,TRUE,SUMPRODUCT(($BI$60:$BP$60=8)*($AS$60:$AZ$60&lt;&gt;"")*IF(((UPPER($AS$60:$AZ$60)="BLANK")+(UPPER($AS$60:$AZ$60)="(BLANK)")+(UPPER($AS$60:$AZ$60)="EMPTY")+(UPPER($AS$60:$AZ$60)="(EMPTY)"))&gt;0,IFERROR((ROW()-4)&amp;"","")="",ISNUMBER(SEARCH($AS$60:$AZ$60,IFERROR((ROW()-4)&amp;"","")))))&gt;0))))</f>
        <v>1</v>
      </c>
      <c r="BN16">
        <f>IF($B$4="",1,--(AND(SUMPRODUCT(--($AS$61:$AZ$61&lt;&gt;""))&gt;0,IF(COUNTIF($BI$61:$BP$61,1)=0,TRUE,SUMPRODUCT(($BI$61:$BP$61=1)*($AS$61:$AZ$61&lt;&gt;"")*IF(((UPPER($AS$61:$AZ$61)="BLANK")+(UPPER($AS$61:$AZ$61)="(BLANK)")+(UPPER($AS$61:$AZ$61)="EMPTY")+(UPPER($AS$61:$AZ$61)="(EMPTY)"))&gt;0,IFERROR(('Final Calculation Sheet'!$F$15)&amp;"","")="",ISNUMBER(SEARCH($AS$61:$AZ$61,IFERROR(('Final Calculation Sheet'!$F$15)&amp;"","")))))&gt;0),IF(COUNTIF($BI$61:$BP$61,2)=0,TRUE,SUMPRODUCT(($BI$61:$BP$61=2)*($AS$61:$AZ$61&lt;&gt;"")*IF(((UPPER($AS$61:$AZ$61)="BLANK")+(UPPER($AS$61:$AZ$61)="(BLANK)")+(UPPER($AS$61:$AZ$61)="EMPTY")+(UPPER($AS$61:$AZ$61)="(EMPTY)"))&gt;0,IFERROR(('Final Calculation Sheet'!$F$15)&amp;"","")="",ISNUMBER(SEARCH($AS$61:$AZ$61,IFERROR(('Final Calculation Sheet'!$F$15)&amp;"","")))))&gt;0),IF(COUNTIF($BI$61:$BP$61,3)=0,TRUE,SUMPRODUCT(($BI$61:$BP$61=3)*($AS$61:$AZ$61&lt;&gt;"")*IF(((UPPER($AS$61:$AZ$61)="BLANK")+(UPPER($AS$61:$AZ$61)="(BLANK)")+(UPPER($AS$61:$AZ$61)="EMPTY")+(UPPER($AS$61:$AZ$61)="(EMPTY)"))&gt;0,IFERROR(('Final Calculation Sheet'!$F$15)&amp;"","")="",ISNUMBER(SEARCH($AS$61:$AZ$61,IFERROR(('Final Calculation Sheet'!$F$15)&amp;"","")))))&gt;0),IF(COUNTIF($BI$61:$BP$61,4)=0,TRUE,SUMPRODUCT(($BI$61:$BP$61=4)*($AS$61:$AZ$61&lt;&gt;"")*IF(((UPPER($AS$61:$AZ$61)="BLANK")+(UPPER($AS$61:$AZ$61)="(BLANK)")+(UPPER($AS$61:$AZ$61)="EMPTY")+(UPPER($AS$61:$AZ$61)="(EMPTY)"))&gt;0,IFERROR(('Final Calculation Sheet'!$F$15)&amp;"","")="",ISNUMBER(SEARCH($AS$61:$AZ$61,IFERROR(('Final Calculation Sheet'!$F$15)&amp;"","")))))&gt;0),IF(COUNTIF($BI$61:$BP$61,5)=0,TRUE,SUMPRODUCT(($BI$61:$BP$61=5)*($AS$61:$AZ$61&lt;&gt;"")*IF(((UPPER($AS$61:$AZ$61)="BLANK")+(UPPER($AS$61:$AZ$61)="(BLANK)")+(UPPER($AS$61:$AZ$61)="EMPTY")+(UPPER($AS$61:$AZ$61)="(EMPTY)"))&gt;0,IFERROR(('Final Calculation Sheet'!$F$15)&amp;"","")="",ISNUMBER(SEARCH($AS$61:$AZ$61,IFERROR(('Final Calculation Sheet'!$F$15)&amp;"","")))))&gt;0),IF(COUNTIF($BI$61:$BP$61,6)=0,TRUE,SUMPRODUCT(($BI$61:$BP$61=6)*($AS$61:$AZ$61&lt;&gt;"")*IF(((UPPER($AS$61:$AZ$61)="BLANK")+(UPPER($AS$61:$AZ$61)="(BLANK)")+(UPPER($AS$61:$AZ$61)="EMPTY")+(UPPER($AS$61:$AZ$61)="(EMPTY)"))&gt;0,IFERROR(('Final Calculation Sheet'!$F$15)&amp;"","")="",ISNUMBER(SEARCH($AS$61:$AZ$61,IFERROR(('Final Calculation Sheet'!$F$15)&amp;"","")))))&gt;0),IF(COUNTIF($BI$61:$BP$61,7)=0,TRUE,SUMPRODUCT(($BI$61:$BP$61=7)*($AS$61:$AZ$61&lt;&gt;"")*IF(((UPPER($AS$61:$AZ$61)="BLANK")+(UPPER($AS$61:$AZ$61)="(BLANK)")+(UPPER($AS$61:$AZ$61)="EMPTY")+(UPPER($AS$61:$AZ$61)="(EMPTY)"))&gt;0,IFERROR(('Final Calculation Sheet'!$F$15)&amp;"","")="",ISNUMBER(SEARCH($AS$61:$AZ$61,IFERROR(('Final Calculation Sheet'!$F$15)&amp;"","")))))&gt;0),IF(COUNTIF($BI$61:$BP$61,8)=0,TRUE,SUMPRODUCT(($BI$61:$BP$61=8)*($AS$61:$AZ$61&lt;&gt;"")*IF(((UPPER($AS$61:$AZ$61)="BLANK")+(UPPER($AS$61:$AZ$61)="(BLANK)")+(UPPER($AS$61:$AZ$61)="EMPTY")+(UPPER($AS$61:$AZ$61)="(EMPTY)"))&gt;0,IFERROR(('Final Calculation Sheet'!$F$15)&amp;"","")="",ISNUMBER(SEARCH($AS$61:$AZ$61,IFERROR(('Final Calculation Sheet'!$F$15)&amp;"","")))))&gt;0))))</f>
        <v>1</v>
      </c>
      <c r="BO16">
        <f>IF($C$4="",1,--(AND(SUMPRODUCT(--($AS$62:$AZ$62&lt;&gt;""))&gt;0,IF(COUNTIF($BI$62:$BP$62,1)=0,TRUE,SUMPRODUCT(($BI$62:$BP$62=1)*($AS$62:$AZ$62&lt;&gt;"")*IF(((UPPER($AS$62:$AZ$62)="BLANK")+(UPPER($AS$62:$AZ$62)="(BLANK)")+(UPPER($AS$62:$AZ$62)="EMPTY")+(UPPER($AS$62:$AZ$62)="(EMPTY)"))&gt;0,IFERROR(('Final Calculation Sheet'!$G$15)&amp;"","")="",ISNUMBER(SEARCH($AS$62:$AZ$62,IFERROR(('Final Calculation Sheet'!$G$15)&amp;"","")))))&gt;0),IF(COUNTIF($BI$62:$BP$62,2)=0,TRUE,SUMPRODUCT(($BI$62:$BP$62=2)*($AS$62:$AZ$62&lt;&gt;"")*IF(((UPPER($AS$62:$AZ$62)="BLANK")+(UPPER($AS$62:$AZ$62)="(BLANK)")+(UPPER($AS$62:$AZ$62)="EMPTY")+(UPPER($AS$62:$AZ$62)="(EMPTY)"))&gt;0,IFERROR(('Final Calculation Sheet'!$G$15)&amp;"","")="",ISNUMBER(SEARCH($AS$62:$AZ$62,IFERROR(('Final Calculation Sheet'!$G$15)&amp;"","")))))&gt;0),IF(COUNTIF($BI$62:$BP$62,3)=0,TRUE,SUMPRODUCT(($BI$62:$BP$62=3)*($AS$62:$AZ$62&lt;&gt;"")*IF(((UPPER($AS$62:$AZ$62)="BLANK")+(UPPER($AS$62:$AZ$62)="(BLANK)")+(UPPER($AS$62:$AZ$62)="EMPTY")+(UPPER($AS$62:$AZ$62)="(EMPTY)"))&gt;0,IFERROR(('Final Calculation Sheet'!$G$15)&amp;"","")="",ISNUMBER(SEARCH($AS$62:$AZ$62,IFERROR(('Final Calculation Sheet'!$G$15)&amp;"","")))))&gt;0),IF(COUNTIF($BI$62:$BP$62,4)=0,TRUE,SUMPRODUCT(($BI$62:$BP$62=4)*($AS$62:$AZ$62&lt;&gt;"")*IF(((UPPER($AS$62:$AZ$62)="BLANK")+(UPPER($AS$62:$AZ$62)="(BLANK)")+(UPPER($AS$62:$AZ$62)="EMPTY")+(UPPER($AS$62:$AZ$62)="(EMPTY)"))&gt;0,IFERROR(('Final Calculation Sheet'!$G$15)&amp;"","")="",ISNUMBER(SEARCH($AS$62:$AZ$62,IFERROR(('Final Calculation Sheet'!$G$15)&amp;"","")))))&gt;0),IF(COUNTIF($BI$62:$BP$62,5)=0,TRUE,SUMPRODUCT(($BI$62:$BP$62=5)*($AS$62:$AZ$62&lt;&gt;"")*IF(((UPPER($AS$62:$AZ$62)="BLANK")+(UPPER($AS$62:$AZ$62)="(BLANK)")+(UPPER($AS$62:$AZ$62)="EMPTY")+(UPPER($AS$62:$AZ$62)="(EMPTY)"))&gt;0,IFERROR(('Final Calculation Sheet'!$G$15)&amp;"","")="",ISNUMBER(SEARCH($AS$62:$AZ$62,IFERROR(('Final Calculation Sheet'!$G$15)&amp;"","")))))&gt;0),IF(COUNTIF($BI$62:$BP$62,6)=0,TRUE,SUMPRODUCT(($BI$62:$BP$62=6)*($AS$62:$AZ$62&lt;&gt;"")*IF(((UPPER($AS$62:$AZ$62)="BLANK")+(UPPER($AS$62:$AZ$62)="(BLANK)")+(UPPER($AS$62:$AZ$62)="EMPTY")+(UPPER($AS$62:$AZ$62)="(EMPTY)"))&gt;0,IFERROR(('Final Calculation Sheet'!$G$15)&amp;"","")="",ISNUMBER(SEARCH($AS$62:$AZ$62,IFERROR(('Final Calculation Sheet'!$G$15)&amp;"","")))))&gt;0),IF(COUNTIF($BI$62:$BP$62,7)=0,TRUE,SUMPRODUCT(($BI$62:$BP$62=7)*($AS$62:$AZ$62&lt;&gt;"")*IF(((UPPER($AS$62:$AZ$62)="BLANK")+(UPPER($AS$62:$AZ$62)="(BLANK)")+(UPPER($AS$62:$AZ$62)="EMPTY")+(UPPER($AS$62:$AZ$62)="(EMPTY)"))&gt;0,IFERROR(('Final Calculation Sheet'!$G$15)&amp;"","")="",ISNUMBER(SEARCH($AS$62:$AZ$62,IFERROR(('Final Calculation Sheet'!$G$15)&amp;"","")))))&gt;0),IF(COUNTIF($BI$62:$BP$62,8)=0,TRUE,SUMPRODUCT(($BI$62:$BP$62=8)*($AS$62:$AZ$62&lt;&gt;"")*IF(((UPPER($AS$62:$AZ$62)="BLANK")+(UPPER($AS$62:$AZ$62)="(BLANK)")+(UPPER($AS$62:$AZ$62)="EMPTY")+(UPPER($AS$62:$AZ$62)="(EMPTY)"))&gt;0,IFERROR(('Final Calculation Sheet'!$G$15)&amp;"","")="",ISNUMBER(SEARCH($AS$62:$AZ$62,IFERROR(('Final Calculation Sheet'!$G$15)&amp;"","")))))&gt;0))))</f>
        <v>1</v>
      </c>
      <c r="BP16">
        <f>IF($D$4="",1,--(AND(SUMPRODUCT(--($AS$63:$AZ$63&lt;&gt;""))&gt;0,IF(COUNTIF($BI$63:$BP$63,1)=0,TRUE,SUMPRODUCT(($BI$63:$BP$63=1)*($AS$63:$AZ$63&lt;&gt;"")*IF(((UPPER($AS$63:$AZ$63)="BLANK")+(UPPER($AS$63:$AZ$63)="(BLANK)")+(UPPER($AS$63:$AZ$63)="EMPTY")+(UPPER($AS$63:$AZ$63)="(EMPTY)"))&gt;0,IFERROR(('Final Calculation Sheet'!$B$15)&amp;"","")="",ISNUMBER(SEARCH($AS$63:$AZ$63,IFERROR(('Final Calculation Sheet'!$B$15)&amp;"","")))))&gt;0),IF(COUNTIF($BI$63:$BP$63,2)=0,TRUE,SUMPRODUCT(($BI$63:$BP$63=2)*($AS$63:$AZ$63&lt;&gt;"")*IF(((UPPER($AS$63:$AZ$63)="BLANK")+(UPPER($AS$63:$AZ$63)="(BLANK)")+(UPPER($AS$63:$AZ$63)="EMPTY")+(UPPER($AS$63:$AZ$63)="(EMPTY)"))&gt;0,IFERROR(('Final Calculation Sheet'!$B$15)&amp;"","")="",ISNUMBER(SEARCH($AS$63:$AZ$63,IFERROR(('Final Calculation Sheet'!$B$15)&amp;"","")))))&gt;0),IF(COUNTIF($BI$63:$BP$63,3)=0,TRUE,SUMPRODUCT(($BI$63:$BP$63=3)*($AS$63:$AZ$63&lt;&gt;"")*IF(((UPPER($AS$63:$AZ$63)="BLANK")+(UPPER($AS$63:$AZ$63)="(BLANK)")+(UPPER($AS$63:$AZ$63)="EMPTY")+(UPPER($AS$63:$AZ$63)="(EMPTY)"))&gt;0,IFERROR(('Final Calculation Sheet'!$B$15)&amp;"","")="",ISNUMBER(SEARCH($AS$63:$AZ$63,IFERROR(('Final Calculation Sheet'!$B$15)&amp;"","")))))&gt;0),IF(COUNTIF($BI$63:$BP$63,4)=0,TRUE,SUMPRODUCT(($BI$63:$BP$63=4)*($AS$63:$AZ$63&lt;&gt;"")*IF(((UPPER($AS$63:$AZ$63)="BLANK")+(UPPER($AS$63:$AZ$63)="(BLANK)")+(UPPER($AS$63:$AZ$63)="EMPTY")+(UPPER($AS$63:$AZ$63)="(EMPTY)"))&gt;0,IFERROR(('Final Calculation Sheet'!$B$15)&amp;"","")="",ISNUMBER(SEARCH($AS$63:$AZ$63,IFERROR(('Final Calculation Sheet'!$B$15)&amp;"","")))))&gt;0),IF(COUNTIF($BI$63:$BP$63,5)=0,TRUE,SUMPRODUCT(($BI$63:$BP$63=5)*($AS$63:$AZ$63&lt;&gt;"")*IF(((UPPER($AS$63:$AZ$63)="BLANK")+(UPPER($AS$63:$AZ$63)="(BLANK)")+(UPPER($AS$63:$AZ$63)="EMPTY")+(UPPER($AS$63:$AZ$63)="(EMPTY)"))&gt;0,IFERROR(('Final Calculation Sheet'!$B$15)&amp;"","")="",ISNUMBER(SEARCH($AS$63:$AZ$63,IFERROR(('Final Calculation Sheet'!$B$15)&amp;"","")))))&gt;0),IF(COUNTIF($BI$63:$BP$63,6)=0,TRUE,SUMPRODUCT(($BI$63:$BP$63=6)*($AS$63:$AZ$63&lt;&gt;"")*IF(((UPPER($AS$63:$AZ$63)="BLANK")+(UPPER($AS$63:$AZ$63)="(BLANK)")+(UPPER($AS$63:$AZ$63)="EMPTY")+(UPPER($AS$63:$AZ$63)="(EMPTY)"))&gt;0,IFERROR(('Final Calculation Sheet'!$B$15)&amp;"","")="",ISNUMBER(SEARCH($AS$63:$AZ$63,IFERROR(('Final Calculation Sheet'!$B$15)&amp;"","")))))&gt;0),IF(COUNTIF($BI$63:$BP$63,7)=0,TRUE,SUMPRODUCT(($BI$63:$BP$63=7)*($AS$63:$AZ$63&lt;&gt;"")*IF(((UPPER($AS$63:$AZ$63)="BLANK")+(UPPER($AS$63:$AZ$63)="(BLANK)")+(UPPER($AS$63:$AZ$63)="EMPTY")+(UPPER($AS$63:$AZ$63)="(EMPTY)"))&gt;0,IFERROR(('Final Calculation Sheet'!$B$15)&amp;"","")="",ISNUMBER(SEARCH($AS$63:$AZ$63,IFERROR(('Final Calculation Sheet'!$B$15)&amp;"","")))))&gt;0),IF(COUNTIF($BI$63:$BP$63,8)=0,TRUE,SUMPRODUCT(($BI$63:$BP$63=8)*($AS$63:$AZ$63&lt;&gt;"")*IF(((UPPER($AS$63:$AZ$63)="BLANK")+(UPPER($AS$63:$AZ$63)="(BLANK)")+(UPPER($AS$63:$AZ$63)="EMPTY")+(UPPER($AS$63:$AZ$63)="(EMPTY)"))&gt;0,IFERROR(('Final Calculation Sheet'!$B$15)&amp;"","")="",ISNUMBER(SEARCH($AS$63:$AZ$63,IFERROR(('Final Calculation Sheet'!$B$15)&amp;"","")))))&gt;0))))</f>
        <v>1</v>
      </c>
      <c r="BQ16">
        <f>IF($E$4="",1,--(AND(SUMPRODUCT(--($AS$64:$AZ$64&lt;&gt;""))&gt;0,IF(COUNTIF($BI$64:$BP$64,1)=0,TRUE,SUMPRODUCT(($BI$64:$BP$64=1)*($AS$64:$AZ$64&lt;&gt;"")*IF(((UPPER($AS$64:$AZ$64)="BLANK")+(UPPER($AS$64:$AZ$64)="(BLANK)")+(UPPER($AS$64:$AZ$64)="EMPTY")+(UPPER($AS$64:$AZ$64)="(EMPTY)"))&gt;0,IFERROR(('Final Calculation Sheet'!$D$15)&amp;"","")="",ISNUMBER(SEARCH($AS$64:$AZ$64,IFERROR(('Final Calculation Sheet'!$D$15)&amp;"","")))))&gt;0),IF(COUNTIF($BI$64:$BP$64,2)=0,TRUE,SUMPRODUCT(($BI$64:$BP$64=2)*($AS$64:$AZ$64&lt;&gt;"")*IF(((UPPER($AS$64:$AZ$64)="BLANK")+(UPPER($AS$64:$AZ$64)="(BLANK)")+(UPPER($AS$64:$AZ$64)="EMPTY")+(UPPER($AS$64:$AZ$64)="(EMPTY)"))&gt;0,IFERROR(('Final Calculation Sheet'!$D$15)&amp;"","")="",ISNUMBER(SEARCH($AS$64:$AZ$64,IFERROR(('Final Calculation Sheet'!$D$15)&amp;"","")))))&gt;0),IF(COUNTIF($BI$64:$BP$64,3)=0,TRUE,SUMPRODUCT(($BI$64:$BP$64=3)*($AS$64:$AZ$64&lt;&gt;"")*IF(((UPPER($AS$64:$AZ$64)="BLANK")+(UPPER($AS$64:$AZ$64)="(BLANK)")+(UPPER($AS$64:$AZ$64)="EMPTY")+(UPPER($AS$64:$AZ$64)="(EMPTY)"))&gt;0,IFERROR(('Final Calculation Sheet'!$D$15)&amp;"","")="",ISNUMBER(SEARCH($AS$64:$AZ$64,IFERROR(('Final Calculation Sheet'!$D$15)&amp;"","")))))&gt;0),IF(COUNTIF($BI$64:$BP$64,4)=0,TRUE,SUMPRODUCT(($BI$64:$BP$64=4)*($AS$64:$AZ$64&lt;&gt;"")*IF(((UPPER($AS$64:$AZ$64)="BLANK")+(UPPER($AS$64:$AZ$64)="(BLANK)")+(UPPER($AS$64:$AZ$64)="EMPTY")+(UPPER($AS$64:$AZ$64)="(EMPTY)"))&gt;0,IFERROR(('Final Calculation Sheet'!$D$15)&amp;"","")="",ISNUMBER(SEARCH($AS$64:$AZ$64,IFERROR(('Final Calculation Sheet'!$D$15)&amp;"","")))))&gt;0),IF(COUNTIF($BI$64:$BP$64,5)=0,TRUE,SUMPRODUCT(($BI$64:$BP$64=5)*($AS$64:$AZ$64&lt;&gt;"")*IF(((UPPER($AS$64:$AZ$64)="BLANK")+(UPPER($AS$64:$AZ$64)="(BLANK)")+(UPPER($AS$64:$AZ$64)="EMPTY")+(UPPER($AS$64:$AZ$64)="(EMPTY)"))&gt;0,IFERROR(('Final Calculation Sheet'!$D$15)&amp;"","")="",ISNUMBER(SEARCH($AS$64:$AZ$64,IFERROR(('Final Calculation Sheet'!$D$15)&amp;"","")))))&gt;0),IF(COUNTIF($BI$64:$BP$64,6)=0,TRUE,SUMPRODUCT(($BI$64:$BP$64=6)*($AS$64:$AZ$64&lt;&gt;"")*IF(((UPPER($AS$64:$AZ$64)="BLANK")+(UPPER($AS$64:$AZ$64)="(BLANK)")+(UPPER($AS$64:$AZ$64)="EMPTY")+(UPPER($AS$64:$AZ$64)="(EMPTY)"))&gt;0,IFERROR(('Final Calculation Sheet'!$D$15)&amp;"","")="",ISNUMBER(SEARCH($AS$64:$AZ$64,IFERROR(('Final Calculation Sheet'!$D$15)&amp;"","")))))&gt;0),IF(COUNTIF($BI$64:$BP$64,7)=0,TRUE,SUMPRODUCT(($BI$64:$BP$64=7)*($AS$64:$AZ$64&lt;&gt;"")*IF(((UPPER($AS$64:$AZ$64)="BLANK")+(UPPER($AS$64:$AZ$64)="(BLANK)")+(UPPER($AS$64:$AZ$64)="EMPTY")+(UPPER($AS$64:$AZ$64)="(EMPTY)"))&gt;0,IFERROR(('Final Calculation Sheet'!$D$15)&amp;"","")="",ISNUMBER(SEARCH($AS$64:$AZ$64,IFERROR(('Final Calculation Sheet'!$D$15)&amp;"","")))))&gt;0),IF(COUNTIF($BI$64:$BP$64,8)=0,TRUE,SUMPRODUCT(($BI$64:$BP$64=8)*($AS$64:$AZ$64&lt;&gt;"")*IF(((UPPER($AS$64:$AZ$64)="BLANK")+(UPPER($AS$64:$AZ$64)="(BLANK)")+(UPPER($AS$64:$AZ$64)="EMPTY")+(UPPER($AS$64:$AZ$64)="(EMPTY)"))&gt;0,IFERROR(('Final Calculation Sheet'!$D$15)&amp;"","")="",ISNUMBER(SEARCH($AS$64:$AZ$64,IFERROR(('Final Calculation Sheet'!$D$15)&amp;"","")))))&gt;0))))</f>
        <v>1</v>
      </c>
      <c r="BR16">
        <f>IF($F$4="",1,--(AND(SUMPRODUCT(--($AS$65:$AZ$65&lt;&gt;""))&gt;0,IF(COUNTIF($BI$65:$BP$65,1)=0,TRUE,SUMPRODUCT(($BI$65:$BP$65=1)*($AS$65:$AZ$65&lt;&gt;"")*IF(((UPPER($AS$65:$AZ$65)="BLANK")+(UPPER($AS$65:$AZ$65)="(BLANK)")+(UPPER($AS$65:$AZ$65)="EMPTY")+(UPPER($AS$65:$AZ$65)="(EMPTY)"))&gt;0,IFERROR(('Final Calculation Sheet'!$A$15)&amp;"","")="",ISNUMBER(SEARCH($AS$65:$AZ$65,IFERROR(('Final Calculation Sheet'!$A$15)&amp;"","")))))&gt;0),IF(COUNTIF($BI$65:$BP$65,2)=0,TRUE,SUMPRODUCT(($BI$65:$BP$65=2)*($AS$65:$AZ$65&lt;&gt;"")*IF(((UPPER($AS$65:$AZ$65)="BLANK")+(UPPER($AS$65:$AZ$65)="(BLANK)")+(UPPER($AS$65:$AZ$65)="EMPTY")+(UPPER($AS$65:$AZ$65)="(EMPTY)"))&gt;0,IFERROR(('Final Calculation Sheet'!$A$15)&amp;"","")="",ISNUMBER(SEARCH($AS$65:$AZ$65,IFERROR(('Final Calculation Sheet'!$A$15)&amp;"","")))))&gt;0),IF(COUNTIF($BI$65:$BP$65,3)=0,TRUE,SUMPRODUCT(($BI$65:$BP$65=3)*($AS$65:$AZ$65&lt;&gt;"")*IF(((UPPER($AS$65:$AZ$65)="BLANK")+(UPPER($AS$65:$AZ$65)="(BLANK)")+(UPPER($AS$65:$AZ$65)="EMPTY")+(UPPER($AS$65:$AZ$65)="(EMPTY)"))&gt;0,IFERROR(('Final Calculation Sheet'!$A$15)&amp;"","")="",ISNUMBER(SEARCH($AS$65:$AZ$65,IFERROR(('Final Calculation Sheet'!$A$15)&amp;"","")))))&gt;0),IF(COUNTIF($BI$65:$BP$65,4)=0,TRUE,SUMPRODUCT(($BI$65:$BP$65=4)*($AS$65:$AZ$65&lt;&gt;"")*IF(((UPPER($AS$65:$AZ$65)="BLANK")+(UPPER($AS$65:$AZ$65)="(BLANK)")+(UPPER($AS$65:$AZ$65)="EMPTY")+(UPPER($AS$65:$AZ$65)="(EMPTY)"))&gt;0,IFERROR(('Final Calculation Sheet'!$A$15)&amp;"","")="",ISNUMBER(SEARCH($AS$65:$AZ$65,IFERROR(('Final Calculation Sheet'!$A$15)&amp;"","")))))&gt;0),IF(COUNTIF($BI$65:$BP$65,5)=0,TRUE,SUMPRODUCT(($BI$65:$BP$65=5)*($AS$65:$AZ$65&lt;&gt;"")*IF(((UPPER($AS$65:$AZ$65)="BLANK")+(UPPER($AS$65:$AZ$65)="(BLANK)")+(UPPER($AS$65:$AZ$65)="EMPTY")+(UPPER($AS$65:$AZ$65)="(EMPTY)"))&gt;0,IFERROR(('Final Calculation Sheet'!$A$15)&amp;"","")="",ISNUMBER(SEARCH($AS$65:$AZ$65,IFERROR(('Final Calculation Sheet'!$A$15)&amp;"","")))))&gt;0),IF(COUNTIF($BI$65:$BP$65,6)=0,TRUE,SUMPRODUCT(($BI$65:$BP$65=6)*($AS$65:$AZ$65&lt;&gt;"")*IF(((UPPER($AS$65:$AZ$65)="BLANK")+(UPPER($AS$65:$AZ$65)="(BLANK)")+(UPPER($AS$65:$AZ$65)="EMPTY")+(UPPER($AS$65:$AZ$65)="(EMPTY)"))&gt;0,IFERROR(('Final Calculation Sheet'!$A$15)&amp;"","")="",ISNUMBER(SEARCH($AS$65:$AZ$65,IFERROR(('Final Calculation Sheet'!$A$15)&amp;"","")))))&gt;0),IF(COUNTIF($BI$65:$BP$65,7)=0,TRUE,SUMPRODUCT(($BI$65:$BP$65=7)*($AS$65:$AZ$65&lt;&gt;"")*IF(((UPPER($AS$65:$AZ$65)="BLANK")+(UPPER($AS$65:$AZ$65)="(BLANK)")+(UPPER($AS$65:$AZ$65)="EMPTY")+(UPPER($AS$65:$AZ$65)="(EMPTY)"))&gt;0,IFERROR(('Final Calculation Sheet'!$A$15)&amp;"","")="",ISNUMBER(SEARCH($AS$65:$AZ$65,IFERROR(('Final Calculation Sheet'!$A$15)&amp;"","")))))&gt;0),IF(COUNTIF($BI$65:$BP$65,8)=0,TRUE,SUMPRODUCT(($BI$65:$BP$65=8)*($AS$65:$AZ$65&lt;&gt;"")*IF(((UPPER($AS$65:$AZ$65)="BLANK")+(UPPER($AS$65:$AZ$65)="(BLANK)")+(UPPER($AS$65:$AZ$65)="EMPTY")+(UPPER($AS$65:$AZ$65)="(EMPTY)"))&gt;0,IFERROR(('Final Calculation Sheet'!$A$15)&amp;"","")="",ISNUMBER(SEARCH($AS$65:$AZ$65,IFERROR(('Final Calculation Sheet'!$A$15)&amp;"","")))))&gt;0))))</f>
        <v>1</v>
      </c>
      <c r="BS16">
        <f>IF($G$4="",1,--(AND(SUMPRODUCT(--($AS$66:$AZ$66&lt;&gt;""))&gt;0,IF(COUNTIF($BI$66:$BP$66,1)=0,TRUE,SUMPRODUCT(($BI$66:$BP$66=1)*($AS$66:$AZ$66&lt;&gt;"")*IF(((UPPER($AS$66:$AZ$66)="BLANK")+(UPPER($AS$66:$AZ$66)="(BLANK)")+(UPPER($AS$66:$AZ$66)="EMPTY")+(UPPER($AS$66:$AZ$66)="(EMPTY)"))&gt;0,IFERROR(('Final Calculation Sheet'!$E$15)&amp;"","")="",ISNUMBER(SEARCH($AS$66:$AZ$66,IFERROR(('Final Calculation Sheet'!$E$15)&amp;"","")))))&gt;0),IF(COUNTIF($BI$66:$BP$66,2)=0,TRUE,SUMPRODUCT(($BI$66:$BP$66=2)*($AS$66:$AZ$66&lt;&gt;"")*IF(((UPPER($AS$66:$AZ$66)="BLANK")+(UPPER($AS$66:$AZ$66)="(BLANK)")+(UPPER($AS$66:$AZ$66)="EMPTY")+(UPPER($AS$66:$AZ$66)="(EMPTY)"))&gt;0,IFERROR(('Final Calculation Sheet'!$E$15)&amp;"","")="",ISNUMBER(SEARCH($AS$66:$AZ$66,IFERROR(('Final Calculation Sheet'!$E$15)&amp;"","")))))&gt;0),IF(COUNTIF($BI$66:$BP$66,3)=0,TRUE,SUMPRODUCT(($BI$66:$BP$66=3)*($AS$66:$AZ$66&lt;&gt;"")*IF(((UPPER($AS$66:$AZ$66)="BLANK")+(UPPER($AS$66:$AZ$66)="(BLANK)")+(UPPER($AS$66:$AZ$66)="EMPTY")+(UPPER($AS$66:$AZ$66)="(EMPTY)"))&gt;0,IFERROR(('Final Calculation Sheet'!$E$15)&amp;"","")="",ISNUMBER(SEARCH($AS$66:$AZ$66,IFERROR(('Final Calculation Sheet'!$E$15)&amp;"","")))))&gt;0),IF(COUNTIF($BI$66:$BP$66,4)=0,TRUE,SUMPRODUCT(($BI$66:$BP$66=4)*($AS$66:$AZ$66&lt;&gt;"")*IF(((UPPER($AS$66:$AZ$66)="BLANK")+(UPPER($AS$66:$AZ$66)="(BLANK)")+(UPPER($AS$66:$AZ$66)="EMPTY")+(UPPER($AS$66:$AZ$66)="(EMPTY)"))&gt;0,IFERROR(('Final Calculation Sheet'!$E$15)&amp;"","")="",ISNUMBER(SEARCH($AS$66:$AZ$66,IFERROR(('Final Calculation Sheet'!$E$15)&amp;"","")))))&gt;0),IF(COUNTIF($BI$66:$BP$66,5)=0,TRUE,SUMPRODUCT(($BI$66:$BP$66=5)*($AS$66:$AZ$66&lt;&gt;"")*IF(((UPPER($AS$66:$AZ$66)="BLANK")+(UPPER($AS$66:$AZ$66)="(BLANK)")+(UPPER($AS$66:$AZ$66)="EMPTY")+(UPPER($AS$66:$AZ$66)="(EMPTY)"))&gt;0,IFERROR(('Final Calculation Sheet'!$E$15)&amp;"","")="",ISNUMBER(SEARCH($AS$66:$AZ$66,IFERROR(('Final Calculation Sheet'!$E$15)&amp;"","")))))&gt;0),IF(COUNTIF($BI$66:$BP$66,6)=0,TRUE,SUMPRODUCT(($BI$66:$BP$66=6)*($AS$66:$AZ$66&lt;&gt;"")*IF(((UPPER($AS$66:$AZ$66)="BLANK")+(UPPER($AS$66:$AZ$66)="(BLANK)")+(UPPER($AS$66:$AZ$66)="EMPTY")+(UPPER($AS$66:$AZ$66)="(EMPTY)"))&gt;0,IFERROR(('Final Calculation Sheet'!$E$15)&amp;"","")="",ISNUMBER(SEARCH($AS$66:$AZ$66,IFERROR(('Final Calculation Sheet'!$E$15)&amp;"","")))))&gt;0),IF(COUNTIF($BI$66:$BP$66,7)=0,TRUE,SUMPRODUCT(($BI$66:$BP$66=7)*($AS$66:$AZ$66&lt;&gt;"")*IF(((UPPER($AS$66:$AZ$66)="BLANK")+(UPPER($AS$66:$AZ$66)="(BLANK)")+(UPPER($AS$66:$AZ$66)="EMPTY")+(UPPER($AS$66:$AZ$66)="(EMPTY)"))&gt;0,IFERROR(('Final Calculation Sheet'!$E$15)&amp;"","")="",ISNUMBER(SEARCH($AS$66:$AZ$66,IFERROR(('Final Calculation Sheet'!$E$15)&amp;"","")))))&gt;0),IF(COUNTIF($BI$66:$BP$66,8)=0,TRUE,SUMPRODUCT(($BI$66:$BP$66=8)*($AS$66:$AZ$66&lt;&gt;"")*IF(((UPPER($AS$66:$AZ$66)="BLANK")+(UPPER($AS$66:$AZ$66)="(BLANK)")+(UPPER($AS$66:$AZ$66)="EMPTY")+(UPPER($AS$66:$AZ$66)="(EMPTY)"))&gt;0,IFERROR(('Final Calculation Sheet'!$E$15)&amp;"","")="",ISNUMBER(SEARCH($AS$66:$AZ$66,IFERROR(('Final Calculation Sheet'!$E$15)&amp;"","")))))&gt;0))))</f>
        <v>1</v>
      </c>
      <c r="BT16">
        <f>IF($H$4="",1,--(AND(SUMPRODUCT(--($AS$67:$AZ$67&lt;&gt;""))&gt;0,IF(COUNTIF($BI$67:$BP$67,1)=0,TRUE,SUMPRODUCT(($BI$67:$BP$67=1)*($AS$67:$AZ$67&lt;&gt;"")*IF(((UPPER($AS$67:$AZ$67)="BLANK")+(UPPER($AS$67:$AZ$67)="(BLANK)")+(UPPER($AS$67:$AZ$67)="EMPTY")+(UPPER($AS$67:$AZ$67)="(EMPTY)"))&gt;0,IFERROR(('Final Calculation Sheet'!$C$15)&amp;"","")="",ISNUMBER(SEARCH($AS$67:$AZ$67,IFERROR(('Final Calculation Sheet'!$C$15)&amp;"","")))))&gt;0),IF(COUNTIF($BI$67:$BP$67,2)=0,TRUE,SUMPRODUCT(($BI$67:$BP$67=2)*($AS$67:$AZ$67&lt;&gt;"")*IF(((UPPER($AS$67:$AZ$67)="BLANK")+(UPPER($AS$67:$AZ$67)="(BLANK)")+(UPPER($AS$67:$AZ$67)="EMPTY")+(UPPER($AS$67:$AZ$67)="(EMPTY)"))&gt;0,IFERROR(('Final Calculation Sheet'!$C$15)&amp;"","")="",ISNUMBER(SEARCH($AS$67:$AZ$67,IFERROR(('Final Calculation Sheet'!$C$15)&amp;"","")))))&gt;0),IF(COUNTIF($BI$67:$BP$67,3)=0,TRUE,SUMPRODUCT(($BI$67:$BP$67=3)*($AS$67:$AZ$67&lt;&gt;"")*IF(((UPPER($AS$67:$AZ$67)="BLANK")+(UPPER($AS$67:$AZ$67)="(BLANK)")+(UPPER($AS$67:$AZ$67)="EMPTY")+(UPPER($AS$67:$AZ$67)="(EMPTY)"))&gt;0,IFERROR(('Final Calculation Sheet'!$C$15)&amp;"","")="",ISNUMBER(SEARCH($AS$67:$AZ$67,IFERROR(('Final Calculation Sheet'!$C$15)&amp;"","")))))&gt;0),IF(COUNTIF($BI$67:$BP$67,4)=0,TRUE,SUMPRODUCT(($BI$67:$BP$67=4)*($AS$67:$AZ$67&lt;&gt;"")*IF(((UPPER($AS$67:$AZ$67)="BLANK")+(UPPER($AS$67:$AZ$67)="(BLANK)")+(UPPER($AS$67:$AZ$67)="EMPTY")+(UPPER($AS$67:$AZ$67)="(EMPTY)"))&gt;0,IFERROR(('Final Calculation Sheet'!$C$15)&amp;"","")="",ISNUMBER(SEARCH($AS$67:$AZ$67,IFERROR(('Final Calculation Sheet'!$C$15)&amp;"","")))))&gt;0),IF(COUNTIF($BI$67:$BP$67,5)=0,TRUE,SUMPRODUCT(($BI$67:$BP$67=5)*($AS$67:$AZ$67&lt;&gt;"")*IF(((UPPER($AS$67:$AZ$67)="BLANK")+(UPPER($AS$67:$AZ$67)="(BLANK)")+(UPPER($AS$67:$AZ$67)="EMPTY")+(UPPER($AS$67:$AZ$67)="(EMPTY)"))&gt;0,IFERROR(('Final Calculation Sheet'!$C$15)&amp;"","")="",ISNUMBER(SEARCH($AS$67:$AZ$67,IFERROR(('Final Calculation Sheet'!$C$15)&amp;"","")))))&gt;0),IF(COUNTIF($BI$67:$BP$67,6)=0,TRUE,SUMPRODUCT(($BI$67:$BP$67=6)*($AS$67:$AZ$67&lt;&gt;"")*IF(((UPPER($AS$67:$AZ$67)="BLANK")+(UPPER($AS$67:$AZ$67)="(BLANK)")+(UPPER($AS$67:$AZ$67)="EMPTY")+(UPPER($AS$67:$AZ$67)="(EMPTY)"))&gt;0,IFERROR(('Final Calculation Sheet'!$C$15)&amp;"","")="",ISNUMBER(SEARCH($AS$67:$AZ$67,IFERROR(('Final Calculation Sheet'!$C$15)&amp;"","")))))&gt;0),IF(COUNTIF($BI$67:$BP$67,7)=0,TRUE,SUMPRODUCT(($BI$67:$BP$67=7)*($AS$67:$AZ$67&lt;&gt;"")*IF(((UPPER($AS$67:$AZ$67)="BLANK")+(UPPER($AS$67:$AZ$67)="(BLANK)")+(UPPER($AS$67:$AZ$67)="EMPTY")+(UPPER($AS$67:$AZ$67)="(EMPTY)"))&gt;0,IFERROR(('Final Calculation Sheet'!$C$15)&amp;"","")="",ISNUMBER(SEARCH($AS$67:$AZ$67,IFERROR(('Final Calculation Sheet'!$C$15)&amp;"","")))))&gt;0),IF(COUNTIF($BI$67:$BP$67,8)=0,TRUE,SUMPRODUCT(($BI$67:$BP$67=8)*($AS$67:$AZ$67&lt;&gt;"")*IF(((UPPER($AS$67:$AZ$67)="BLANK")+(UPPER($AS$67:$AZ$67)="(BLANK)")+(UPPER($AS$67:$AZ$67)="EMPTY")+(UPPER($AS$67:$AZ$67)="(EMPTY)"))&gt;0,IFERROR(('Final Calculation Sheet'!$C$15)&amp;"","")="",ISNUMBER(SEARCH($AS$67:$AZ$67,IFERROR(('Final Calculation Sheet'!$C$15)&amp;"","")))))&gt;0))))</f>
        <v>1</v>
      </c>
      <c r="BU16">
        <f>IF($I$4="",1,--(AND(SUMPRODUCT(--($AS$68:$AZ$68&lt;&gt;""))&gt;0,IF(COUNTIF($BI$68:$BP$68,1)=0,TRUE,SUMPRODUCT(($BI$68:$BP$68=1)*($AS$68:$AZ$68&lt;&gt;"")*IF(((UPPER($AS$68:$AZ$68)="BLANK")+(UPPER($AS$68:$AZ$68)="(BLANK)")+(UPPER($AS$68:$AZ$68)="EMPTY")+(UPPER($AS$68:$AZ$68)="(EMPTY)"))&gt;0,IFERROR(('Final Calculation Sheet'!$H$15)&amp;"","")="",ISNUMBER(SEARCH($AS$68:$AZ$68,IFERROR(('Final Calculation Sheet'!$H$15)&amp;"","")))))&gt;0),IF(COUNTIF($BI$68:$BP$68,2)=0,TRUE,SUMPRODUCT(($BI$68:$BP$68=2)*($AS$68:$AZ$68&lt;&gt;"")*IF(((UPPER($AS$68:$AZ$68)="BLANK")+(UPPER($AS$68:$AZ$68)="(BLANK)")+(UPPER($AS$68:$AZ$68)="EMPTY")+(UPPER($AS$68:$AZ$68)="(EMPTY)"))&gt;0,IFERROR(('Final Calculation Sheet'!$H$15)&amp;"","")="",ISNUMBER(SEARCH($AS$68:$AZ$68,IFERROR(('Final Calculation Sheet'!$H$15)&amp;"","")))))&gt;0),IF(COUNTIF($BI$68:$BP$68,3)=0,TRUE,SUMPRODUCT(($BI$68:$BP$68=3)*($AS$68:$AZ$68&lt;&gt;"")*IF(((UPPER($AS$68:$AZ$68)="BLANK")+(UPPER($AS$68:$AZ$68)="(BLANK)")+(UPPER($AS$68:$AZ$68)="EMPTY")+(UPPER($AS$68:$AZ$68)="(EMPTY)"))&gt;0,IFERROR(('Final Calculation Sheet'!$H$15)&amp;"","")="",ISNUMBER(SEARCH($AS$68:$AZ$68,IFERROR(('Final Calculation Sheet'!$H$15)&amp;"","")))))&gt;0),IF(COUNTIF($BI$68:$BP$68,4)=0,TRUE,SUMPRODUCT(($BI$68:$BP$68=4)*($AS$68:$AZ$68&lt;&gt;"")*IF(((UPPER($AS$68:$AZ$68)="BLANK")+(UPPER($AS$68:$AZ$68)="(BLANK)")+(UPPER($AS$68:$AZ$68)="EMPTY")+(UPPER($AS$68:$AZ$68)="(EMPTY)"))&gt;0,IFERROR(('Final Calculation Sheet'!$H$15)&amp;"","")="",ISNUMBER(SEARCH($AS$68:$AZ$68,IFERROR(('Final Calculation Sheet'!$H$15)&amp;"","")))))&gt;0),IF(COUNTIF($BI$68:$BP$68,5)=0,TRUE,SUMPRODUCT(($BI$68:$BP$68=5)*($AS$68:$AZ$68&lt;&gt;"")*IF(((UPPER($AS$68:$AZ$68)="BLANK")+(UPPER($AS$68:$AZ$68)="(BLANK)")+(UPPER($AS$68:$AZ$68)="EMPTY")+(UPPER($AS$68:$AZ$68)="(EMPTY)"))&gt;0,IFERROR(('Final Calculation Sheet'!$H$15)&amp;"","")="",ISNUMBER(SEARCH($AS$68:$AZ$68,IFERROR(('Final Calculation Sheet'!$H$15)&amp;"","")))))&gt;0),IF(COUNTIF($BI$68:$BP$68,6)=0,TRUE,SUMPRODUCT(($BI$68:$BP$68=6)*($AS$68:$AZ$68&lt;&gt;"")*IF(((UPPER($AS$68:$AZ$68)="BLANK")+(UPPER($AS$68:$AZ$68)="(BLANK)")+(UPPER($AS$68:$AZ$68)="EMPTY")+(UPPER($AS$68:$AZ$68)="(EMPTY)"))&gt;0,IFERROR(('Final Calculation Sheet'!$H$15)&amp;"","")="",ISNUMBER(SEARCH($AS$68:$AZ$68,IFERROR(('Final Calculation Sheet'!$H$15)&amp;"","")))))&gt;0),IF(COUNTIF($BI$68:$BP$68,7)=0,TRUE,SUMPRODUCT(($BI$68:$BP$68=7)*($AS$68:$AZ$68&lt;&gt;"")*IF(((UPPER($AS$68:$AZ$68)="BLANK")+(UPPER($AS$68:$AZ$68)="(BLANK)")+(UPPER($AS$68:$AZ$68)="EMPTY")+(UPPER($AS$68:$AZ$68)="(EMPTY)"))&gt;0,IFERROR(('Final Calculation Sheet'!$H$15)&amp;"","")="",ISNUMBER(SEARCH($AS$68:$AZ$68,IFERROR(('Final Calculation Sheet'!$H$15)&amp;"","")))))&gt;0),IF(COUNTIF($BI$68:$BP$68,8)=0,TRUE,SUMPRODUCT(($BI$68:$BP$68=8)*($AS$68:$AZ$68&lt;&gt;"")*IF(((UPPER($AS$68:$AZ$68)="BLANK")+(UPPER($AS$68:$AZ$68)="(BLANK)")+(UPPER($AS$68:$AZ$68)="EMPTY")+(UPPER($AS$68:$AZ$68)="(EMPTY)"))&gt;0,IFERROR(('Final Calculation Sheet'!$H$15)&amp;"","")="",ISNUMBER(SEARCH($AS$68:$AZ$68,IFERROR(('Final Calculation Sheet'!$H$15)&amp;"","")))))&gt;0))))</f>
        <v>1</v>
      </c>
      <c r="BV16">
        <f>IF($J$4="",1,--(AND(SUMPRODUCT(--($AS$69:$AZ$69&lt;&gt;""))&gt;0,IF(COUNTIF($BI$69:$BP$69,1)=0,TRUE,SUMPRODUCT(($BI$69:$BP$69=1)*($AS$69:$AZ$69&lt;&gt;"")*IF(((UPPER($AS$69:$AZ$69)="BLANK")+(UPPER($AS$69:$AZ$69)="(BLANK)")+(UPPER($AS$69:$AZ$69)="EMPTY")+(UPPER($AS$69:$AZ$69)="(EMPTY)"))&gt;0,IFERROR(('Final Calculation Sheet'!$I$15)&amp;"","")="",ISNUMBER(SEARCH($AS$69:$AZ$69,IFERROR(('Final Calculation Sheet'!$I$15)&amp;"","")))))&gt;0),IF(COUNTIF($BI$69:$BP$69,2)=0,TRUE,SUMPRODUCT(($BI$69:$BP$69=2)*($AS$69:$AZ$69&lt;&gt;"")*IF(((UPPER($AS$69:$AZ$69)="BLANK")+(UPPER($AS$69:$AZ$69)="(BLANK)")+(UPPER($AS$69:$AZ$69)="EMPTY")+(UPPER($AS$69:$AZ$69)="(EMPTY)"))&gt;0,IFERROR(('Final Calculation Sheet'!$I$15)&amp;"","")="",ISNUMBER(SEARCH($AS$69:$AZ$69,IFERROR(('Final Calculation Sheet'!$I$15)&amp;"","")))))&gt;0),IF(COUNTIF($BI$69:$BP$69,3)=0,TRUE,SUMPRODUCT(($BI$69:$BP$69=3)*($AS$69:$AZ$69&lt;&gt;"")*IF(((UPPER($AS$69:$AZ$69)="BLANK")+(UPPER($AS$69:$AZ$69)="(BLANK)")+(UPPER($AS$69:$AZ$69)="EMPTY")+(UPPER($AS$69:$AZ$69)="(EMPTY)"))&gt;0,IFERROR(('Final Calculation Sheet'!$I$15)&amp;"","")="",ISNUMBER(SEARCH($AS$69:$AZ$69,IFERROR(('Final Calculation Sheet'!$I$15)&amp;"","")))))&gt;0),IF(COUNTIF($BI$69:$BP$69,4)=0,TRUE,SUMPRODUCT(($BI$69:$BP$69=4)*($AS$69:$AZ$69&lt;&gt;"")*IF(((UPPER($AS$69:$AZ$69)="BLANK")+(UPPER($AS$69:$AZ$69)="(BLANK)")+(UPPER($AS$69:$AZ$69)="EMPTY")+(UPPER($AS$69:$AZ$69)="(EMPTY)"))&gt;0,IFERROR(('Final Calculation Sheet'!$I$15)&amp;"","")="",ISNUMBER(SEARCH($AS$69:$AZ$69,IFERROR(('Final Calculation Sheet'!$I$15)&amp;"","")))))&gt;0),IF(COUNTIF($BI$69:$BP$69,5)=0,TRUE,SUMPRODUCT(($BI$69:$BP$69=5)*($AS$69:$AZ$69&lt;&gt;"")*IF(((UPPER($AS$69:$AZ$69)="BLANK")+(UPPER($AS$69:$AZ$69)="(BLANK)")+(UPPER($AS$69:$AZ$69)="EMPTY")+(UPPER($AS$69:$AZ$69)="(EMPTY)"))&gt;0,IFERROR(('Final Calculation Sheet'!$I$15)&amp;"","")="",ISNUMBER(SEARCH($AS$69:$AZ$69,IFERROR(('Final Calculation Sheet'!$I$15)&amp;"","")))))&gt;0),IF(COUNTIF($BI$69:$BP$69,6)=0,TRUE,SUMPRODUCT(($BI$69:$BP$69=6)*($AS$69:$AZ$69&lt;&gt;"")*IF(((UPPER($AS$69:$AZ$69)="BLANK")+(UPPER($AS$69:$AZ$69)="(BLANK)")+(UPPER($AS$69:$AZ$69)="EMPTY")+(UPPER($AS$69:$AZ$69)="(EMPTY)"))&gt;0,IFERROR(('Final Calculation Sheet'!$I$15)&amp;"","")="",ISNUMBER(SEARCH($AS$69:$AZ$69,IFERROR(('Final Calculation Sheet'!$I$15)&amp;"","")))))&gt;0),IF(COUNTIF($BI$69:$BP$69,7)=0,TRUE,SUMPRODUCT(($BI$69:$BP$69=7)*($AS$69:$AZ$69&lt;&gt;"")*IF(((UPPER($AS$69:$AZ$69)="BLANK")+(UPPER($AS$69:$AZ$69)="(BLANK)")+(UPPER($AS$69:$AZ$69)="EMPTY")+(UPPER($AS$69:$AZ$69)="(EMPTY)"))&gt;0,IFERROR(('Final Calculation Sheet'!$I$15)&amp;"","")="",ISNUMBER(SEARCH($AS$69:$AZ$69,IFERROR(('Final Calculation Sheet'!$I$15)&amp;"","")))))&gt;0),IF(COUNTIF($BI$69:$BP$69,8)=0,TRUE,SUMPRODUCT(($BI$69:$BP$69=8)*($AS$69:$AZ$69&lt;&gt;"")*IF(((UPPER($AS$69:$AZ$69)="BLANK")+(UPPER($AS$69:$AZ$69)="(BLANK)")+(UPPER($AS$69:$AZ$69)="EMPTY")+(UPPER($AS$69:$AZ$69)="(EMPTY)"))&gt;0,IFERROR(('Final Calculation Sheet'!$I$15)&amp;"","")="",ISNUMBER(SEARCH($AS$69:$AZ$69,IFERROR(('Final Calculation Sheet'!$I$15)&amp;"","")))))&gt;0))))</f>
        <v>1</v>
      </c>
      <c r="BW16">
        <f>IF($K$4="",1,--(AND(SUMPRODUCT(--($AS$70:$AZ$70&lt;&gt;""))&gt;0,IF(COUNTIF($BI$70:$BP$70,1)=0,TRUE,SUMPRODUCT(($BI$70:$BP$70=1)*($AS$70:$AZ$70&lt;&gt;"")*IF(((UPPER($AS$70:$AZ$70)="BLANK")+(UPPER($AS$70:$AZ$70)="(BLANK)")+(UPPER($AS$70:$AZ$70)="EMPTY")+(UPPER($AS$70:$AZ$70)="(EMPTY)"))&gt;0,IFERROR(('Final Calculation Sheet'!$J$15)&amp;"","")="",ISNUMBER(SEARCH($AS$70:$AZ$70,IFERROR(('Final Calculation Sheet'!$J$15)&amp;"","")))))&gt;0),IF(COUNTIF($BI$70:$BP$70,2)=0,TRUE,SUMPRODUCT(($BI$70:$BP$70=2)*($AS$70:$AZ$70&lt;&gt;"")*IF(((UPPER($AS$70:$AZ$70)="BLANK")+(UPPER($AS$70:$AZ$70)="(BLANK)")+(UPPER($AS$70:$AZ$70)="EMPTY")+(UPPER($AS$70:$AZ$70)="(EMPTY)"))&gt;0,IFERROR(('Final Calculation Sheet'!$J$15)&amp;"","")="",ISNUMBER(SEARCH($AS$70:$AZ$70,IFERROR(('Final Calculation Sheet'!$J$15)&amp;"","")))))&gt;0),IF(COUNTIF($BI$70:$BP$70,3)=0,TRUE,SUMPRODUCT(($BI$70:$BP$70=3)*($AS$70:$AZ$70&lt;&gt;"")*IF(((UPPER($AS$70:$AZ$70)="BLANK")+(UPPER($AS$70:$AZ$70)="(BLANK)")+(UPPER($AS$70:$AZ$70)="EMPTY")+(UPPER($AS$70:$AZ$70)="(EMPTY)"))&gt;0,IFERROR(('Final Calculation Sheet'!$J$15)&amp;"","")="",ISNUMBER(SEARCH($AS$70:$AZ$70,IFERROR(('Final Calculation Sheet'!$J$15)&amp;"","")))))&gt;0),IF(COUNTIF($BI$70:$BP$70,4)=0,TRUE,SUMPRODUCT(($BI$70:$BP$70=4)*($AS$70:$AZ$70&lt;&gt;"")*IF(((UPPER($AS$70:$AZ$70)="BLANK")+(UPPER($AS$70:$AZ$70)="(BLANK)")+(UPPER($AS$70:$AZ$70)="EMPTY")+(UPPER($AS$70:$AZ$70)="(EMPTY)"))&gt;0,IFERROR(('Final Calculation Sheet'!$J$15)&amp;"","")="",ISNUMBER(SEARCH($AS$70:$AZ$70,IFERROR(('Final Calculation Sheet'!$J$15)&amp;"","")))))&gt;0),IF(COUNTIF($BI$70:$BP$70,5)=0,TRUE,SUMPRODUCT(($BI$70:$BP$70=5)*($AS$70:$AZ$70&lt;&gt;"")*IF(((UPPER($AS$70:$AZ$70)="BLANK")+(UPPER($AS$70:$AZ$70)="(BLANK)")+(UPPER($AS$70:$AZ$70)="EMPTY")+(UPPER($AS$70:$AZ$70)="(EMPTY)"))&gt;0,IFERROR(('Final Calculation Sheet'!$J$15)&amp;"","")="",ISNUMBER(SEARCH($AS$70:$AZ$70,IFERROR(('Final Calculation Sheet'!$J$15)&amp;"","")))))&gt;0),IF(COUNTIF($BI$70:$BP$70,6)=0,TRUE,SUMPRODUCT(($BI$70:$BP$70=6)*($AS$70:$AZ$70&lt;&gt;"")*IF(((UPPER($AS$70:$AZ$70)="BLANK")+(UPPER($AS$70:$AZ$70)="(BLANK)")+(UPPER($AS$70:$AZ$70)="EMPTY")+(UPPER($AS$70:$AZ$70)="(EMPTY)"))&gt;0,IFERROR(('Final Calculation Sheet'!$J$15)&amp;"","")="",ISNUMBER(SEARCH($AS$70:$AZ$70,IFERROR(('Final Calculation Sheet'!$J$15)&amp;"","")))))&gt;0),IF(COUNTIF($BI$70:$BP$70,7)=0,TRUE,SUMPRODUCT(($BI$70:$BP$70=7)*($AS$70:$AZ$70&lt;&gt;"")*IF(((UPPER($AS$70:$AZ$70)="BLANK")+(UPPER($AS$70:$AZ$70)="(BLANK)")+(UPPER($AS$70:$AZ$70)="EMPTY")+(UPPER($AS$70:$AZ$70)="(EMPTY)"))&gt;0,IFERROR(('Final Calculation Sheet'!$J$15)&amp;"","")="",ISNUMBER(SEARCH($AS$70:$AZ$70,IFERROR(('Final Calculation Sheet'!$J$15)&amp;"","")))))&gt;0),IF(COUNTIF($BI$70:$BP$70,8)=0,TRUE,SUMPRODUCT(($BI$70:$BP$70=8)*($AS$70:$AZ$70&lt;&gt;"")*IF(((UPPER($AS$70:$AZ$70)="BLANK")+(UPPER($AS$70:$AZ$70)="(BLANK)")+(UPPER($AS$70:$AZ$70)="EMPTY")+(UPPER($AS$70:$AZ$70)="(EMPTY)"))&gt;0,IFERROR(('Final Calculation Sheet'!$J$15)&amp;"","")="",ISNUMBER(SEARCH($AS$70:$AZ$70,IFERROR(('Final Calculation Sheet'!$J$15)&amp;"","")))))&gt;0))))</f>
        <v>1</v>
      </c>
      <c r="BX16">
        <f>IF($L$4="",1,--(AND(SUMPRODUCT(--($AS$71:$AZ$71&lt;&gt;""))&gt;0,IF(COUNTIF($BI$71:$BP$71,1)=0,TRUE,SUMPRODUCT(($BI$71:$BP$71=1)*($AS$71:$AZ$71&lt;&gt;"")*IF(((UPPER($AS$71:$AZ$71)="BLANK")+(UPPER($AS$71:$AZ$71)="(BLANK)")+(UPPER($AS$71:$AZ$71)="EMPTY")+(UPPER($AS$71:$AZ$71)="(EMPTY)"))&gt;0,IFERROR(('Final Calculation Sheet'!$K$15)&amp;"","")="",ISNUMBER(SEARCH($AS$71:$AZ$71,IFERROR(('Final Calculation Sheet'!$K$15)&amp;"","")))))&gt;0),IF(COUNTIF($BI$71:$BP$71,2)=0,TRUE,SUMPRODUCT(($BI$71:$BP$71=2)*($AS$71:$AZ$71&lt;&gt;"")*IF(((UPPER($AS$71:$AZ$71)="BLANK")+(UPPER($AS$71:$AZ$71)="(BLANK)")+(UPPER($AS$71:$AZ$71)="EMPTY")+(UPPER($AS$71:$AZ$71)="(EMPTY)"))&gt;0,IFERROR(('Final Calculation Sheet'!$K$15)&amp;"","")="",ISNUMBER(SEARCH($AS$71:$AZ$71,IFERROR(('Final Calculation Sheet'!$K$15)&amp;"","")))))&gt;0),IF(COUNTIF($BI$71:$BP$71,3)=0,TRUE,SUMPRODUCT(($BI$71:$BP$71=3)*($AS$71:$AZ$71&lt;&gt;"")*IF(((UPPER($AS$71:$AZ$71)="BLANK")+(UPPER($AS$71:$AZ$71)="(BLANK)")+(UPPER($AS$71:$AZ$71)="EMPTY")+(UPPER($AS$71:$AZ$71)="(EMPTY)"))&gt;0,IFERROR(('Final Calculation Sheet'!$K$15)&amp;"","")="",ISNUMBER(SEARCH($AS$71:$AZ$71,IFERROR(('Final Calculation Sheet'!$K$15)&amp;"","")))))&gt;0),IF(COUNTIF($BI$71:$BP$71,4)=0,TRUE,SUMPRODUCT(($BI$71:$BP$71=4)*($AS$71:$AZ$71&lt;&gt;"")*IF(((UPPER($AS$71:$AZ$71)="BLANK")+(UPPER($AS$71:$AZ$71)="(BLANK)")+(UPPER($AS$71:$AZ$71)="EMPTY")+(UPPER($AS$71:$AZ$71)="(EMPTY)"))&gt;0,IFERROR(('Final Calculation Sheet'!$K$15)&amp;"","")="",ISNUMBER(SEARCH($AS$71:$AZ$71,IFERROR(('Final Calculation Sheet'!$K$15)&amp;"","")))))&gt;0),IF(COUNTIF($BI$71:$BP$71,5)=0,TRUE,SUMPRODUCT(($BI$71:$BP$71=5)*($AS$71:$AZ$71&lt;&gt;"")*IF(((UPPER($AS$71:$AZ$71)="BLANK")+(UPPER($AS$71:$AZ$71)="(BLANK)")+(UPPER($AS$71:$AZ$71)="EMPTY")+(UPPER($AS$71:$AZ$71)="(EMPTY)"))&gt;0,IFERROR(('Final Calculation Sheet'!$K$15)&amp;"","")="",ISNUMBER(SEARCH($AS$71:$AZ$71,IFERROR(('Final Calculation Sheet'!$K$15)&amp;"","")))))&gt;0),IF(COUNTIF($BI$71:$BP$71,6)=0,TRUE,SUMPRODUCT(($BI$71:$BP$71=6)*($AS$71:$AZ$71&lt;&gt;"")*IF(((UPPER($AS$71:$AZ$71)="BLANK")+(UPPER($AS$71:$AZ$71)="(BLANK)")+(UPPER($AS$71:$AZ$71)="EMPTY")+(UPPER($AS$71:$AZ$71)="(EMPTY)"))&gt;0,IFERROR(('Final Calculation Sheet'!$K$15)&amp;"","")="",ISNUMBER(SEARCH($AS$71:$AZ$71,IFERROR(('Final Calculation Sheet'!$K$15)&amp;"","")))))&gt;0),IF(COUNTIF($BI$71:$BP$71,7)=0,TRUE,SUMPRODUCT(($BI$71:$BP$71=7)*($AS$71:$AZ$71&lt;&gt;"")*IF(((UPPER($AS$71:$AZ$71)="BLANK")+(UPPER($AS$71:$AZ$71)="(BLANK)")+(UPPER($AS$71:$AZ$71)="EMPTY")+(UPPER($AS$71:$AZ$71)="(EMPTY)"))&gt;0,IFERROR(('Final Calculation Sheet'!$K$15)&amp;"","")="",ISNUMBER(SEARCH($AS$71:$AZ$71,IFERROR(('Final Calculation Sheet'!$K$15)&amp;"","")))))&gt;0),IF(COUNTIF($BI$71:$BP$71,8)=0,TRUE,SUMPRODUCT(($BI$71:$BP$71=8)*($AS$71:$AZ$71&lt;&gt;"")*IF(((UPPER($AS$71:$AZ$71)="BLANK")+(UPPER($AS$71:$AZ$71)="(BLANK)")+(UPPER($AS$71:$AZ$71)="EMPTY")+(UPPER($AS$71:$AZ$71)="(EMPTY)"))&gt;0,IFERROR(('Final Calculation Sheet'!$K$15)&amp;"","")="",ISNUMBER(SEARCH($AS$71:$AZ$71,IFERROR(('Final Calculation Sheet'!$K$15)&amp;"","")))))&gt;0))))</f>
        <v>1</v>
      </c>
      <c r="BY16">
        <f>IF($M$4="",1,--(AND(SUMPRODUCT(--($AS$72:$AZ$72&lt;&gt;""))&gt;0,IF(COUNTIF($BI$72:$BP$72,1)=0,TRUE,SUMPRODUCT(($BI$72:$BP$72=1)*($AS$72:$AZ$72&lt;&gt;"")*IF(((UPPER($AS$72:$AZ$72)="BLANK")+(UPPER($AS$72:$AZ$72)="(BLANK)")+(UPPER($AS$72:$AZ$72)="EMPTY")+(UPPER($AS$72:$AZ$72)="(EMPTY)"))&gt;0,IFERROR(('Final Calculation Sheet'!$L$15)&amp;"","")="",ISNUMBER(SEARCH($AS$72:$AZ$72,IFERROR(('Final Calculation Sheet'!$L$15)&amp;"","")))))&gt;0),IF(COUNTIF($BI$72:$BP$72,2)=0,TRUE,SUMPRODUCT(($BI$72:$BP$72=2)*($AS$72:$AZ$72&lt;&gt;"")*IF(((UPPER($AS$72:$AZ$72)="BLANK")+(UPPER($AS$72:$AZ$72)="(BLANK)")+(UPPER($AS$72:$AZ$72)="EMPTY")+(UPPER($AS$72:$AZ$72)="(EMPTY)"))&gt;0,IFERROR(('Final Calculation Sheet'!$L$15)&amp;"","")="",ISNUMBER(SEARCH($AS$72:$AZ$72,IFERROR(('Final Calculation Sheet'!$L$15)&amp;"","")))))&gt;0),IF(COUNTIF($BI$72:$BP$72,3)=0,TRUE,SUMPRODUCT(($BI$72:$BP$72=3)*($AS$72:$AZ$72&lt;&gt;"")*IF(((UPPER($AS$72:$AZ$72)="BLANK")+(UPPER($AS$72:$AZ$72)="(BLANK)")+(UPPER($AS$72:$AZ$72)="EMPTY")+(UPPER($AS$72:$AZ$72)="(EMPTY)"))&gt;0,IFERROR(('Final Calculation Sheet'!$L$15)&amp;"","")="",ISNUMBER(SEARCH($AS$72:$AZ$72,IFERROR(('Final Calculation Sheet'!$L$15)&amp;"","")))))&gt;0),IF(COUNTIF($BI$72:$BP$72,4)=0,TRUE,SUMPRODUCT(($BI$72:$BP$72=4)*($AS$72:$AZ$72&lt;&gt;"")*IF(((UPPER($AS$72:$AZ$72)="BLANK")+(UPPER($AS$72:$AZ$72)="(BLANK)")+(UPPER($AS$72:$AZ$72)="EMPTY")+(UPPER($AS$72:$AZ$72)="(EMPTY)"))&gt;0,IFERROR(('Final Calculation Sheet'!$L$15)&amp;"","")="",ISNUMBER(SEARCH($AS$72:$AZ$72,IFERROR(('Final Calculation Sheet'!$L$15)&amp;"","")))))&gt;0),IF(COUNTIF($BI$72:$BP$72,5)=0,TRUE,SUMPRODUCT(($BI$72:$BP$72=5)*($AS$72:$AZ$72&lt;&gt;"")*IF(((UPPER($AS$72:$AZ$72)="BLANK")+(UPPER($AS$72:$AZ$72)="(BLANK)")+(UPPER($AS$72:$AZ$72)="EMPTY")+(UPPER($AS$72:$AZ$72)="(EMPTY)"))&gt;0,IFERROR(('Final Calculation Sheet'!$L$15)&amp;"","")="",ISNUMBER(SEARCH($AS$72:$AZ$72,IFERROR(('Final Calculation Sheet'!$L$15)&amp;"","")))))&gt;0),IF(COUNTIF($BI$72:$BP$72,6)=0,TRUE,SUMPRODUCT(($BI$72:$BP$72=6)*($AS$72:$AZ$72&lt;&gt;"")*IF(((UPPER($AS$72:$AZ$72)="BLANK")+(UPPER($AS$72:$AZ$72)="(BLANK)")+(UPPER($AS$72:$AZ$72)="EMPTY")+(UPPER($AS$72:$AZ$72)="(EMPTY)"))&gt;0,IFERROR(('Final Calculation Sheet'!$L$15)&amp;"","")="",ISNUMBER(SEARCH($AS$72:$AZ$72,IFERROR(('Final Calculation Sheet'!$L$15)&amp;"","")))))&gt;0),IF(COUNTIF($BI$72:$BP$72,7)=0,TRUE,SUMPRODUCT(($BI$72:$BP$72=7)*($AS$72:$AZ$72&lt;&gt;"")*IF(((UPPER($AS$72:$AZ$72)="BLANK")+(UPPER($AS$72:$AZ$72)="(BLANK)")+(UPPER($AS$72:$AZ$72)="EMPTY")+(UPPER($AS$72:$AZ$72)="(EMPTY)"))&gt;0,IFERROR(('Final Calculation Sheet'!$L$15)&amp;"","")="",ISNUMBER(SEARCH($AS$72:$AZ$72,IFERROR(('Final Calculation Sheet'!$L$15)&amp;"","")))))&gt;0),IF(COUNTIF($BI$72:$BP$72,8)=0,TRUE,SUMPRODUCT(($BI$72:$BP$72=8)*($AS$72:$AZ$72&lt;&gt;"")*IF(((UPPER($AS$72:$AZ$72)="BLANK")+(UPPER($AS$72:$AZ$72)="(BLANK)")+(UPPER($AS$72:$AZ$72)="EMPTY")+(UPPER($AS$72:$AZ$72)="(EMPTY)"))&gt;0,IFERROR(('Final Calculation Sheet'!$L$15)&amp;"","")="",ISNUMBER(SEARCH($AS$72:$AZ$72,IFERROR(('Final Calculation Sheet'!$L$15)&amp;"","")))))&gt;0))))</f>
        <v>1</v>
      </c>
      <c r="BZ16">
        <f>IF($N$4="",1,--(AND(SUMPRODUCT(--($AS$73:$AZ$73&lt;&gt;""))&gt;0,IF(COUNTIF($BI$73:$BP$73,1)=0,TRUE,SUMPRODUCT(($BI$73:$BP$73=1)*($AS$73:$AZ$73&lt;&gt;"")*IF(((UPPER($AS$73:$AZ$73)="BLANK")+(UPPER($AS$73:$AZ$73)="(BLANK)")+(UPPER($AS$73:$AZ$73)="EMPTY")+(UPPER($AS$73:$AZ$73)="(EMPTY)"))&gt;0,IFERROR(('Final Calculation Sheet'!$M$15)&amp;"","")="",ISNUMBER(SEARCH($AS$73:$AZ$73,IFERROR(('Final Calculation Sheet'!$M$15)&amp;"","")))))&gt;0),IF(COUNTIF($BI$73:$BP$73,2)=0,TRUE,SUMPRODUCT(($BI$73:$BP$73=2)*($AS$73:$AZ$73&lt;&gt;"")*IF(((UPPER($AS$73:$AZ$73)="BLANK")+(UPPER($AS$73:$AZ$73)="(BLANK)")+(UPPER($AS$73:$AZ$73)="EMPTY")+(UPPER($AS$73:$AZ$73)="(EMPTY)"))&gt;0,IFERROR(('Final Calculation Sheet'!$M$15)&amp;"","")="",ISNUMBER(SEARCH($AS$73:$AZ$73,IFERROR(('Final Calculation Sheet'!$M$15)&amp;"","")))))&gt;0),IF(COUNTIF($BI$73:$BP$73,3)=0,TRUE,SUMPRODUCT(($BI$73:$BP$73=3)*($AS$73:$AZ$73&lt;&gt;"")*IF(((UPPER($AS$73:$AZ$73)="BLANK")+(UPPER($AS$73:$AZ$73)="(BLANK)")+(UPPER($AS$73:$AZ$73)="EMPTY")+(UPPER($AS$73:$AZ$73)="(EMPTY)"))&gt;0,IFERROR(('Final Calculation Sheet'!$M$15)&amp;"","")="",ISNUMBER(SEARCH($AS$73:$AZ$73,IFERROR(('Final Calculation Sheet'!$M$15)&amp;"","")))))&gt;0),IF(COUNTIF($BI$73:$BP$73,4)=0,TRUE,SUMPRODUCT(($BI$73:$BP$73=4)*($AS$73:$AZ$73&lt;&gt;"")*IF(((UPPER($AS$73:$AZ$73)="BLANK")+(UPPER($AS$73:$AZ$73)="(BLANK)")+(UPPER($AS$73:$AZ$73)="EMPTY")+(UPPER($AS$73:$AZ$73)="(EMPTY)"))&gt;0,IFERROR(('Final Calculation Sheet'!$M$15)&amp;"","")="",ISNUMBER(SEARCH($AS$73:$AZ$73,IFERROR(('Final Calculation Sheet'!$M$15)&amp;"","")))))&gt;0),IF(COUNTIF($BI$73:$BP$73,5)=0,TRUE,SUMPRODUCT(($BI$73:$BP$73=5)*($AS$73:$AZ$73&lt;&gt;"")*IF(((UPPER($AS$73:$AZ$73)="BLANK")+(UPPER($AS$73:$AZ$73)="(BLANK)")+(UPPER($AS$73:$AZ$73)="EMPTY")+(UPPER($AS$73:$AZ$73)="(EMPTY)"))&gt;0,IFERROR(('Final Calculation Sheet'!$M$15)&amp;"","")="",ISNUMBER(SEARCH($AS$73:$AZ$73,IFERROR(('Final Calculation Sheet'!$M$15)&amp;"","")))))&gt;0),IF(COUNTIF($BI$73:$BP$73,6)=0,TRUE,SUMPRODUCT(($BI$73:$BP$73=6)*($AS$73:$AZ$73&lt;&gt;"")*IF(((UPPER($AS$73:$AZ$73)="BLANK")+(UPPER($AS$73:$AZ$73)="(BLANK)")+(UPPER($AS$73:$AZ$73)="EMPTY")+(UPPER($AS$73:$AZ$73)="(EMPTY)"))&gt;0,IFERROR(('Final Calculation Sheet'!$M$15)&amp;"","")="",ISNUMBER(SEARCH($AS$73:$AZ$73,IFERROR(('Final Calculation Sheet'!$M$15)&amp;"","")))))&gt;0),IF(COUNTIF($BI$73:$BP$73,7)=0,TRUE,SUMPRODUCT(($BI$73:$BP$73=7)*($AS$73:$AZ$73&lt;&gt;"")*IF(((UPPER($AS$73:$AZ$73)="BLANK")+(UPPER($AS$73:$AZ$73)="(BLANK)")+(UPPER($AS$73:$AZ$73)="EMPTY")+(UPPER($AS$73:$AZ$73)="(EMPTY)"))&gt;0,IFERROR(('Final Calculation Sheet'!$M$15)&amp;"","")="",ISNUMBER(SEARCH($AS$73:$AZ$73,IFERROR(('Final Calculation Sheet'!$M$15)&amp;"","")))))&gt;0),IF(COUNTIF($BI$73:$BP$73,8)=0,TRUE,SUMPRODUCT(($BI$73:$BP$73=8)*($AS$73:$AZ$73&lt;&gt;"")*IF(((UPPER($AS$73:$AZ$73)="BLANK")+(UPPER($AS$73:$AZ$73)="(BLANK)")+(UPPER($AS$73:$AZ$73)="EMPTY")+(UPPER($AS$73:$AZ$73)="(EMPTY)"))&gt;0,IFERROR(('Final Calculation Sheet'!$M$15)&amp;"","")="",ISNUMBER(SEARCH($AS$73:$AZ$73,IFERROR(('Final Calculation Sheet'!$M$15)&amp;"","")))))&gt;0))))</f>
        <v>1</v>
      </c>
      <c r="CA16">
        <f>IF($O$4="",1,--(AND(SUMPRODUCT(--($AS$74:$AZ$74&lt;&gt;""))&gt;0,IF(COUNTIF($BI$74:$BP$74,1)=0,TRUE,SUMPRODUCT(($BI$74:$BP$74=1)*($AS$74:$AZ$74&lt;&gt;"")*IF(((UPPER($AS$74:$AZ$74)="BLANK")+(UPPER($AS$74:$AZ$74)="(BLANK)")+(UPPER($AS$74:$AZ$74)="EMPTY")+(UPPER($AS$74:$AZ$74)="(EMPTY)"))&gt;0,IFERROR(('Final Calculation Sheet'!$N$15)&amp;"","")="",ISNUMBER(SEARCH($AS$74:$AZ$74,IFERROR(('Final Calculation Sheet'!$N$15)&amp;"","")))))&gt;0),IF(COUNTIF($BI$74:$BP$74,2)=0,TRUE,SUMPRODUCT(($BI$74:$BP$74=2)*($AS$74:$AZ$74&lt;&gt;"")*IF(((UPPER($AS$74:$AZ$74)="BLANK")+(UPPER($AS$74:$AZ$74)="(BLANK)")+(UPPER($AS$74:$AZ$74)="EMPTY")+(UPPER($AS$74:$AZ$74)="(EMPTY)"))&gt;0,IFERROR(('Final Calculation Sheet'!$N$15)&amp;"","")="",ISNUMBER(SEARCH($AS$74:$AZ$74,IFERROR(('Final Calculation Sheet'!$N$15)&amp;"","")))))&gt;0),IF(COUNTIF($BI$74:$BP$74,3)=0,TRUE,SUMPRODUCT(($BI$74:$BP$74=3)*($AS$74:$AZ$74&lt;&gt;"")*IF(((UPPER($AS$74:$AZ$74)="BLANK")+(UPPER($AS$74:$AZ$74)="(BLANK)")+(UPPER($AS$74:$AZ$74)="EMPTY")+(UPPER($AS$74:$AZ$74)="(EMPTY)"))&gt;0,IFERROR(('Final Calculation Sheet'!$N$15)&amp;"","")="",ISNUMBER(SEARCH($AS$74:$AZ$74,IFERROR(('Final Calculation Sheet'!$N$15)&amp;"","")))))&gt;0),IF(COUNTIF($BI$74:$BP$74,4)=0,TRUE,SUMPRODUCT(($BI$74:$BP$74=4)*($AS$74:$AZ$74&lt;&gt;"")*IF(((UPPER($AS$74:$AZ$74)="BLANK")+(UPPER($AS$74:$AZ$74)="(BLANK)")+(UPPER($AS$74:$AZ$74)="EMPTY")+(UPPER($AS$74:$AZ$74)="(EMPTY)"))&gt;0,IFERROR(('Final Calculation Sheet'!$N$15)&amp;"","")="",ISNUMBER(SEARCH($AS$74:$AZ$74,IFERROR(('Final Calculation Sheet'!$N$15)&amp;"","")))))&gt;0),IF(COUNTIF($BI$74:$BP$74,5)=0,TRUE,SUMPRODUCT(($BI$74:$BP$74=5)*($AS$74:$AZ$74&lt;&gt;"")*IF(((UPPER($AS$74:$AZ$74)="BLANK")+(UPPER($AS$74:$AZ$74)="(BLANK)")+(UPPER($AS$74:$AZ$74)="EMPTY")+(UPPER($AS$74:$AZ$74)="(EMPTY)"))&gt;0,IFERROR(('Final Calculation Sheet'!$N$15)&amp;"","")="",ISNUMBER(SEARCH($AS$74:$AZ$74,IFERROR(('Final Calculation Sheet'!$N$15)&amp;"","")))))&gt;0),IF(COUNTIF($BI$74:$BP$74,6)=0,TRUE,SUMPRODUCT(($BI$74:$BP$74=6)*($AS$74:$AZ$74&lt;&gt;"")*IF(((UPPER($AS$74:$AZ$74)="BLANK")+(UPPER($AS$74:$AZ$74)="(BLANK)")+(UPPER($AS$74:$AZ$74)="EMPTY")+(UPPER($AS$74:$AZ$74)="(EMPTY)"))&gt;0,IFERROR(('Final Calculation Sheet'!$N$15)&amp;"","")="",ISNUMBER(SEARCH($AS$74:$AZ$74,IFERROR(('Final Calculation Sheet'!$N$15)&amp;"","")))))&gt;0),IF(COUNTIF($BI$74:$BP$74,7)=0,TRUE,SUMPRODUCT(($BI$74:$BP$74=7)*($AS$74:$AZ$74&lt;&gt;"")*IF(((UPPER($AS$74:$AZ$74)="BLANK")+(UPPER($AS$74:$AZ$74)="(BLANK)")+(UPPER($AS$74:$AZ$74)="EMPTY")+(UPPER($AS$74:$AZ$74)="(EMPTY)"))&gt;0,IFERROR(('Final Calculation Sheet'!$N$15)&amp;"","")="",ISNUMBER(SEARCH($AS$74:$AZ$74,IFERROR(('Final Calculation Sheet'!$N$15)&amp;"","")))))&gt;0),IF(COUNTIF($BI$74:$BP$74,8)=0,TRUE,SUMPRODUCT(($BI$74:$BP$74=8)*($AS$74:$AZ$74&lt;&gt;"")*IF(((UPPER($AS$74:$AZ$74)="BLANK")+(UPPER($AS$74:$AZ$74)="(BLANK)")+(UPPER($AS$74:$AZ$74)="EMPTY")+(UPPER($AS$74:$AZ$74)="(EMPTY)"))&gt;0,IFERROR(('Final Calculation Sheet'!$N$15)&amp;"","")="",ISNUMBER(SEARCH($AS$74:$AZ$74,IFERROR(('Final Calculation Sheet'!$N$15)&amp;"","")))))&gt;0))))</f>
        <v>1</v>
      </c>
      <c r="CB16">
        <f>IF($P$4="",1,--(AND(SUMPRODUCT(--($AS$75:$AZ$75&lt;&gt;""))&gt;0,IF(COUNTIF($BI$75:$BP$75,1)=0,TRUE,SUMPRODUCT(($BI$75:$BP$75=1)*($AS$75:$AZ$75&lt;&gt;"")*IF(((UPPER($AS$75:$AZ$75)="BLANK")+(UPPER($AS$75:$AZ$75)="(BLANK)")+(UPPER($AS$75:$AZ$75)="EMPTY")+(UPPER($AS$75:$AZ$75)="(EMPTY)"))&gt;0,IFERROR(('Final Calculation Sheet'!$O$15)&amp;"","")="",ISNUMBER(SEARCH($AS$75:$AZ$75,IFERROR(('Final Calculation Sheet'!$O$15)&amp;"","")))))&gt;0),IF(COUNTIF($BI$75:$BP$75,2)=0,TRUE,SUMPRODUCT(($BI$75:$BP$75=2)*($AS$75:$AZ$75&lt;&gt;"")*IF(((UPPER($AS$75:$AZ$75)="BLANK")+(UPPER($AS$75:$AZ$75)="(BLANK)")+(UPPER($AS$75:$AZ$75)="EMPTY")+(UPPER($AS$75:$AZ$75)="(EMPTY)"))&gt;0,IFERROR(('Final Calculation Sheet'!$O$15)&amp;"","")="",ISNUMBER(SEARCH($AS$75:$AZ$75,IFERROR(('Final Calculation Sheet'!$O$15)&amp;"","")))))&gt;0),IF(COUNTIF($BI$75:$BP$75,3)=0,TRUE,SUMPRODUCT(($BI$75:$BP$75=3)*($AS$75:$AZ$75&lt;&gt;"")*IF(((UPPER($AS$75:$AZ$75)="BLANK")+(UPPER($AS$75:$AZ$75)="(BLANK)")+(UPPER($AS$75:$AZ$75)="EMPTY")+(UPPER($AS$75:$AZ$75)="(EMPTY)"))&gt;0,IFERROR(('Final Calculation Sheet'!$O$15)&amp;"","")="",ISNUMBER(SEARCH($AS$75:$AZ$75,IFERROR(('Final Calculation Sheet'!$O$15)&amp;"","")))))&gt;0),IF(COUNTIF($BI$75:$BP$75,4)=0,TRUE,SUMPRODUCT(($BI$75:$BP$75=4)*($AS$75:$AZ$75&lt;&gt;"")*IF(((UPPER($AS$75:$AZ$75)="BLANK")+(UPPER($AS$75:$AZ$75)="(BLANK)")+(UPPER($AS$75:$AZ$75)="EMPTY")+(UPPER($AS$75:$AZ$75)="(EMPTY)"))&gt;0,IFERROR(('Final Calculation Sheet'!$O$15)&amp;"","")="",ISNUMBER(SEARCH($AS$75:$AZ$75,IFERROR(('Final Calculation Sheet'!$O$15)&amp;"","")))))&gt;0),IF(COUNTIF($BI$75:$BP$75,5)=0,TRUE,SUMPRODUCT(($BI$75:$BP$75=5)*($AS$75:$AZ$75&lt;&gt;"")*IF(((UPPER($AS$75:$AZ$75)="BLANK")+(UPPER($AS$75:$AZ$75)="(BLANK)")+(UPPER($AS$75:$AZ$75)="EMPTY")+(UPPER($AS$75:$AZ$75)="(EMPTY)"))&gt;0,IFERROR(('Final Calculation Sheet'!$O$15)&amp;"","")="",ISNUMBER(SEARCH($AS$75:$AZ$75,IFERROR(('Final Calculation Sheet'!$O$15)&amp;"","")))))&gt;0),IF(COUNTIF($BI$75:$BP$75,6)=0,TRUE,SUMPRODUCT(($BI$75:$BP$75=6)*($AS$75:$AZ$75&lt;&gt;"")*IF(((UPPER($AS$75:$AZ$75)="BLANK")+(UPPER($AS$75:$AZ$75)="(BLANK)")+(UPPER($AS$75:$AZ$75)="EMPTY")+(UPPER($AS$75:$AZ$75)="(EMPTY)"))&gt;0,IFERROR(('Final Calculation Sheet'!$O$15)&amp;"","")="",ISNUMBER(SEARCH($AS$75:$AZ$75,IFERROR(('Final Calculation Sheet'!$O$15)&amp;"","")))))&gt;0),IF(COUNTIF($BI$75:$BP$75,7)=0,TRUE,SUMPRODUCT(($BI$75:$BP$75=7)*($AS$75:$AZ$75&lt;&gt;"")*IF(((UPPER($AS$75:$AZ$75)="BLANK")+(UPPER($AS$75:$AZ$75)="(BLANK)")+(UPPER($AS$75:$AZ$75)="EMPTY")+(UPPER($AS$75:$AZ$75)="(EMPTY)"))&gt;0,IFERROR(('Final Calculation Sheet'!$O$15)&amp;"","")="",ISNUMBER(SEARCH($AS$75:$AZ$75,IFERROR(('Final Calculation Sheet'!$O$15)&amp;"","")))))&gt;0),IF(COUNTIF($BI$75:$BP$75,8)=0,TRUE,SUMPRODUCT(($BI$75:$BP$75=8)*($AS$75:$AZ$75&lt;&gt;"")*IF(((UPPER($AS$75:$AZ$75)="BLANK")+(UPPER($AS$75:$AZ$75)="(BLANK)")+(UPPER($AS$75:$AZ$75)="EMPTY")+(UPPER($AS$75:$AZ$75)="(EMPTY)"))&gt;0,IFERROR(('Final Calculation Sheet'!$O$15)&amp;"","")="",ISNUMBER(SEARCH($AS$75:$AZ$75,IFERROR(('Final Calculation Sheet'!$O$15)&amp;"","")))))&gt;0))))</f>
        <v>1</v>
      </c>
      <c r="CC16">
        <f>IF($Q$4="",1,--(AND(SUMPRODUCT(--($AS$76:$AZ$76&lt;&gt;""))&gt;0,IF(COUNTIF($BI$76:$BP$76,1)=0,TRUE,SUMPRODUCT(($BI$76:$BP$76=1)*($AS$76:$AZ$76&lt;&gt;"")*IF(((UPPER($AS$76:$AZ$76)="BLANK")+(UPPER($AS$76:$AZ$76)="(BLANK)")+(UPPER($AS$76:$AZ$76)="EMPTY")+(UPPER($AS$76:$AZ$76)="(EMPTY)"))&gt;0,IFERROR(('Final Calculation Sheet'!$P$15)&amp;"","")="",ISNUMBER(SEARCH($AS$76:$AZ$76,IFERROR(('Final Calculation Sheet'!$P$15)&amp;"","")))))&gt;0),IF(COUNTIF($BI$76:$BP$76,2)=0,TRUE,SUMPRODUCT(($BI$76:$BP$76=2)*($AS$76:$AZ$76&lt;&gt;"")*IF(((UPPER($AS$76:$AZ$76)="BLANK")+(UPPER($AS$76:$AZ$76)="(BLANK)")+(UPPER($AS$76:$AZ$76)="EMPTY")+(UPPER($AS$76:$AZ$76)="(EMPTY)"))&gt;0,IFERROR(('Final Calculation Sheet'!$P$15)&amp;"","")="",ISNUMBER(SEARCH($AS$76:$AZ$76,IFERROR(('Final Calculation Sheet'!$P$15)&amp;"","")))))&gt;0),IF(COUNTIF($BI$76:$BP$76,3)=0,TRUE,SUMPRODUCT(($BI$76:$BP$76=3)*($AS$76:$AZ$76&lt;&gt;"")*IF(((UPPER($AS$76:$AZ$76)="BLANK")+(UPPER($AS$76:$AZ$76)="(BLANK)")+(UPPER($AS$76:$AZ$76)="EMPTY")+(UPPER($AS$76:$AZ$76)="(EMPTY)"))&gt;0,IFERROR(('Final Calculation Sheet'!$P$15)&amp;"","")="",ISNUMBER(SEARCH($AS$76:$AZ$76,IFERROR(('Final Calculation Sheet'!$P$15)&amp;"","")))))&gt;0),IF(COUNTIF($BI$76:$BP$76,4)=0,TRUE,SUMPRODUCT(($BI$76:$BP$76=4)*($AS$76:$AZ$76&lt;&gt;"")*IF(((UPPER($AS$76:$AZ$76)="BLANK")+(UPPER($AS$76:$AZ$76)="(BLANK)")+(UPPER($AS$76:$AZ$76)="EMPTY")+(UPPER($AS$76:$AZ$76)="(EMPTY)"))&gt;0,IFERROR(('Final Calculation Sheet'!$P$15)&amp;"","")="",ISNUMBER(SEARCH($AS$76:$AZ$76,IFERROR(('Final Calculation Sheet'!$P$15)&amp;"","")))))&gt;0),IF(COUNTIF($BI$76:$BP$76,5)=0,TRUE,SUMPRODUCT(($BI$76:$BP$76=5)*($AS$76:$AZ$76&lt;&gt;"")*IF(((UPPER($AS$76:$AZ$76)="BLANK")+(UPPER($AS$76:$AZ$76)="(BLANK)")+(UPPER($AS$76:$AZ$76)="EMPTY")+(UPPER($AS$76:$AZ$76)="(EMPTY)"))&gt;0,IFERROR(('Final Calculation Sheet'!$P$15)&amp;"","")="",ISNUMBER(SEARCH($AS$76:$AZ$76,IFERROR(('Final Calculation Sheet'!$P$15)&amp;"","")))))&gt;0),IF(COUNTIF($BI$76:$BP$76,6)=0,TRUE,SUMPRODUCT(($BI$76:$BP$76=6)*($AS$76:$AZ$76&lt;&gt;"")*IF(((UPPER($AS$76:$AZ$76)="BLANK")+(UPPER($AS$76:$AZ$76)="(BLANK)")+(UPPER($AS$76:$AZ$76)="EMPTY")+(UPPER($AS$76:$AZ$76)="(EMPTY)"))&gt;0,IFERROR(('Final Calculation Sheet'!$P$15)&amp;"","")="",ISNUMBER(SEARCH($AS$76:$AZ$76,IFERROR(('Final Calculation Sheet'!$P$15)&amp;"","")))))&gt;0),IF(COUNTIF($BI$76:$BP$76,7)=0,TRUE,SUMPRODUCT(($BI$76:$BP$76=7)*($AS$76:$AZ$76&lt;&gt;"")*IF(((UPPER($AS$76:$AZ$76)="BLANK")+(UPPER($AS$76:$AZ$76)="(BLANK)")+(UPPER($AS$76:$AZ$76)="EMPTY")+(UPPER($AS$76:$AZ$76)="(EMPTY)"))&gt;0,IFERROR(('Final Calculation Sheet'!$P$15)&amp;"","")="",ISNUMBER(SEARCH($AS$76:$AZ$76,IFERROR(('Final Calculation Sheet'!$P$15)&amp;"","")))))&gt;0),IF(COUNTIF($BI$76:$BP$76,8)=0,TRUE,SUMPRODUCT(($BI$76:$BP$76=8)*($AS$76:$AZ$76&lt;&gt;"")*IF(((UPPER($AS$76:$AZ$76)="BLANK")+(UPPER($AS$76:$AZ$76)="(BLANK)")+(UPPER($AS$76:$AZ$76)="EMPTY")+(UPPER($AS$76:$AZ$76)="(EMPTY)"))&gt;0,IFERROR(('Final Calculation Sheet'!$P$15)&amp;"","")="",ISNUMBER(SEARCH($AS$76:$AZ$76,IFERROR(('Final Calculation Sheet'!$P$15)&amp;"","")))))&gt;0))))</f>
        <v>1</v>
      </c>
      <c r="CD16">
        <f>IF($R$4="",1,--(AND(SUMPRODUCT(--($AS$77:$AZ$77&lt;&gt;""))&gt;0,IF(COUNTIF($BI$77:$BP$77,1)=0,TRUE,SUMPRODUCT(($BI$77:$BP$77=1)*($AS$77:$AZ$77&lt;&gt;"")*IF(((UPPER($AS$77:$AZ$77)="BLANK")+(UPPER($AS$77:$AZ$77)="(BLANK)")+(UPPER($AS$77:$AZ$77)="EMPTY")+(UPPER($AS$77:$AZ$77)="(EMPTY)"))&gt;0,IFERROR(('Final Calculation Sheet'!$Q$15)&amp;"","")="",ISNUMBER(SEARCH($AS$77:$AZ$77,IFERROR(('Final Calculation Sheet'!$Q$15)&amp;"","")))))&gt;0),IF(COUNTIF($BI$77:$BP$77,2)=0,TRUE,SUMPRODUCT(($BI$77:$BP$77=2)*($AS$77:$AZ$77&lt;&gt;"")*IF(((UPPER($AS$77:$AZ$77)="BLANK")+(UPPER($AS$77:$AZ$77)="(BLANK)")+(UPPER($AS$77:$AZ$77)="EMPTY")+(UPPER($AS$77:$AZ$77)="(EMPTY)"))&gt;0,IFERROR(('Final Calculation Sheet'!$Q$15)&amp;"","")="",ISNUMBER(SEARCH($AS$77:$AZ$77,IFERROR(('Final Calculation Sheet'!$Q$15)&amp;"","")))))&gt;0),IF(COUNTIF($BI$77:$BP$77,3)=0,TRUE,SUMPRODUCT(($BI$77:$BP$77=3)*($AS$77:$AZ$77&lt;&gt;"")*IF(((UPPER($AS$77:$AZ$77)="BLANK")+(UPPER($AS$77:$AZ$77)="(BLANK)")+(UPPER($AS$77:$AZ$77)="EMPTY")+(UPPER($AS$77:$AZ$77)="(EMPTY)"))&gt;0,IFERROR(('Final Calculation Sheet'!$Q$15)&amp;"","")="",ISNUMBER(SEARCH($AS$77:$AZ$77,IFERROR(('Final Calculation Sheet'!$Q$15)&amp;"","")))))&gt;0),IF(COUNTIF($BI$77:$BP$77,4)=0,TRUE,SUMPRODUCT(($BI$77:$BP$77=4)*($AS$77:$AZ$77&lt;&gt;"")*IF(((UPPER($AS$77:$AZ$77)="BLANK")+(UPPER($AS$77:$AZ$77)="(BLANK)")+(UPPER($AS$77:$AZ$77)="EMPTY")+(UPPER($AS$77:$AZ$77)="(EMPTY)"))&gt;0,IFERROR(('Final Calculation Sheet'!$Q$15)&amp;"","")="",ISNUMBER(SEARCH($AS$77:$AZ$77,IFERROR(('Final Calculation Sheet'!$Q$15)&amp;"","")))))&gt;0),IF(COUNTIF($BI$77:$BP$77,5)=0,TRUE,SUMPRODUCT(($BI$77:$BP$77=5)*($AS$77:$AZ$77&lt;&gt;"")*IF(((UPPER($AS$77:$AZ$77)="BLANK")+(UPPER($AS$77:$AZ$77)="(BLANK)")+(UPPER($AS$77:$AZ$77)="EMPTY")+(UPPER($AS$77:$AZ$77)="(EMPTY)"))&gt;0,IFERROR(('Final Calculation Sheet'!$Q$15)&amp;"","")="",ISNUMBER(SEARCH($AS$77:$AZ$77,IFERROR(('Final Calculation Sheet'!$Q$15)&amp;"","")))))&gt;0),IF(COUNTIF($BI$77:$BP$77,6)=0,TRUE,SUMPRODUCT(($BI$77:$BP$77=6)*($AS$77:$AZ$77&lt;&gt;"")*IF(((UPPER($AS$77:$AZ$77)="BLANK")+(UPPER($AS$77:$AZ$77)="(BLANK)")+(UPPER($AS$77:$AZ$77)="EMPTY")+(UPPER($AS$77:$AZ$77)="(EMPTY)"))&gt;0,IFERROR(('Final Calculation Sheet'!$Q$15)&amp;"","")="",ISNUMBER(SEARCH($AS$77:$AZ$77,IFERROR(('Final Calculation Sheet'!$Q$15)&amp;"","")))))&gt;0),IF(COUNTIF($BI$77:$BP$77,7)=0,TRUE,SUMPRODUCT(($BI$77:$BP$77=7)*($AS$77:$AZ$77&lt;&gt;"")*IF(((UPPER($AS$77:$AZ$77)="BLANK")+(UPPER($AS$77:$AZ$77)="(BLANK)")+(UPPER($AS$77:$AZ$77)="EMPTY")+(UPPER($AS$77:$AZ$77)="(EMPTY)"))&gt;0,IFERROR(('Final Calculation Sheet'!$Q$15)&amp;"","")="",ISNUMBER(SEARCH($AS$77:$AZ$77,IFERROR(('Final Calculation Sheet'!$Q$15)&amp;"","")))))&gt;0),IF(COUNTIF($BI$77:$BP$77,8)=0,TRUE,SUMPRODUCT(($BI$77:$BP$77=8)*($AS$77:$AZ$77&lt;&gt;"")*IF(((UPPER($AS$77:$AZ$77)="BLANK")+(UPPER($AS$77:$AZ$77)="(BLANK)")+(UPPER($AS$77:$AZ$77)="EMPTY")+(UPPER($AS$77:$AZ$77)="(EMPTY)"))&gt;0,IFERROR(('Final Calculation Sheet'!$Q$15)&amp;"","")="",ISNUMBER(SEARCH($AS$77:$AZ$77,IFERROR(('Final Calculation Sheet'!$Q$15)&amp;"","")))))&gt;0))))</f>
        <v>1</v>
      </c>
      <c r="CE16">
        <f>IF($S$4="",1,--(AND(SUMPRODUCT(--($AS$78:$AZ$78&lt;&gt;""))&gt;0,IF(COUNTIF($BI$78:$BP$78,1)=0,TRUE,SUMPRODUCT(($BI$78:$BP$78=1)*($AS$78:$AZ$78&lt;&gt;"")*IF(((UPPER($AS$78:$AZ$78)="BLANK")+(UPPER($AS$78:$AZ$78)="(BLANK)")+(UPPER($AS$78:$AZ$78)="EMPTY")+(UPPER($AS$78:$AZ$78)="(EMPTY)"))&gt;0,IFERROR(('Final Calculation Sheet'!$R$15)&amp;"","")="",ISNUMBER(SEARCH($AS$78:$AZ$78,IFERROR(('Final Calculation Sheet'!$R$15)&amp;"","")))))&gt;0),IF(COUNTIF($BI$78:$BP$78,2)=0,TRUE,SUMPRODUCT(($BI$78:$BP$78=2)*($AS$78:$AZ$78&lt;&gt;"")*IF(((UPPER($AS$78:$AZ$78)="BLANK")+(UPPER($AS$78:$AZ$78)="(BLANK)")+(UPPER($AS$78:$AZ$78)="EMPTY")+(UPPER($AS$78:$AZ$78)="(EMPTY)"))&gt;0,IFERROR(('Final Calculation Sheet'!$R$15)&amp;"","")="",ISNUMBER(SEARCH($AS$78:$AZ$78,IFERROR(('Final Calculation Sheet'!$R$15)&amp;"","")))))&gt;0),IF(COUNTIF($BI$78:$BP$78,3)=0,TRUE,SUMPRODUCT(($BI$78:$BP$78=3)*($AS$78:$AZ$78&lt;&gt;"")*IF(((UPPER($AS$78:$AZ$78)="BLANK")+(UPPER($AS$78:$AZ$78)="(BLANK)")+(UPPER($AS$78:$AZ$78)="EMPTY")+(UPPER($AS$78:$AZ$78)="(EMPTY)"))&gt;0,IFERROR(('Final Calculation Sheet'!$R$15)&amp;"","")="",ISNUMBER(SEARCH($AS$78:$AZ$78,IFERROR(('Final Calculation Sheet'!$R$15)&amp;"","")))))&gt;0),IF(COUNTIF($BI$78:$BP$78,4)=0,TRUE,SUMPRODUCT(($BI$78:$BP$78=4)*($AS$78:$AZ$78&lt;&gt;"")*IF(((UPPER($AS$78:$AZ$78)="BLANK")+(UPPER($AS$78:$AZ$78)="(BLANK)")+(UPPER($AS$78:$AZ$78)="EMPTY")+(UPPER($AS$78:$AZ$78)="(EMPTY)"))&gt;0,IFERROR(('Final Calculation Sheet'!$R$15)&amp;"","")="",ISNUMBER(SEARCH($AS$78:$AZ$78,IFERROR(('Final Calculation Sheet'!$R$15)&amp;"","")))))&gt;0),IF(COUNTIF($BI$78:$BP$78,5)=0,TRUE,SUMPRODUCT(($BI$78:$BP$78=5)*($AS$78:$AZ$78&lt;&gt;"")*IF(((UPPER($AS$78:$AZ$78)="BLANK")+(UPPER($AS$78:$AZ$78)="(BLANK)")+(UPPER($AS$78:$AZ$78)="EMPTY")+(UPPER($AS$78:$AZ$78)="(EMPTY)"))&gt;0,IFERROR(('Final Calculation Sheet'!$R$15)&amp;"","")="",ISNUMBER(SEARCH($AS$78:$AZ$78,IFERROR(('Final Calculation Sheet'!$R$15)&amp;"","")))))&gt;0),IF(COUNTIF($BI$78:$BP$78,6)=0,TRUE,SUMPRODUCT(($BI$78:$BP$78=6)*($AS$78:$AZ$78&lt;&gt;"")*IF(((UPPER($AS$78:$AZ$78)="BLANK")+(UPPER($AS$78:$AZ$78)="(BLANK)")+(UPPER($AS$78:$AZ$78)="EMPTY")+(UPPER($AS$78:$AZ$78)="(EMPTY)"))&gt;0,IFERROR(('Final Calculation Sheet'!$R$15)&amp;"","")="",ISNUMBER(SEARCH($AS$78:$AZ$78,IFERROR(('Final Calculation Sheet'!$R$15)&amp;"","")))))&gt;0),IF(COUNTIF($BI$78:$BP$78,7)=0,TRUE,SUMPRODUCT(($BI$78:$BP$78=7)*($AS$78:$AZ$78&lt;&gt;"")*IF(((UPPER($AS$78:$AZ$78)="BLANK")+(UPPER($AS$78:$AZ$78)="(BLANK)")+(UPPER($AS$78:$AZ$78)="EMPTY")+(UPPER($AS$78:$AZ$78)="(EMPTY)"))&gt;0,IFERROR(('Final Calculation Sheet'!$R$15)&amp;"","")="",ISNUMBER(SEARCH($AS$78:$AZ$78,IFERROR(('Final Calculation Sheet'!$R$15)&amp;"","")))))&gt;0),IF(COUNTIF($BI$78:$BP$78,8)=0,TRUE,SUMPRODUCT(($BI$78:$BP$78=8)*($AS$78:$AZ$78&lt;&gt;"")*IF(((UPPER($AS$78:$AZ$78)="BLANK")+(UPPER($AS$78:$AZ$78)="(BLANK)")+(UPPER($AS$78:$AZ$78)="EMPTY")+(UPPER($AS$78:$AZ$78)="(EMPTY)"))&gt;0,IFERROR(('Final Calculation Sheet'!$R$15)&amp;"","")="",ISNUMBER(SEARCH($AS$78:$AZ$78,IFERROR(('Final Calculation Sheet'!$R$15)&amp;"","")))))&gt;0))))</f>
        <v>1</v>
      </c>
      <c r="CF16">
        <f>IF($T$4="",1,--(AND(SUMPRODUCT(--($AS$79:$AZ$79&lt;&gt;""))&gt;0,IF(COUNTIF($BI$79:$BP$79,1)=0,TRUE,SUMPRODUCT(($BI$79:$BP$79=1)*($AS$79:$AZ$79&lt;&gt;"")*IF(((UPPER($AS$79:$AZ$79)="BLANK")+(UPPER($AS$79:$AZ$79)="(BLANK)")+(UPPER($AS$79:$AZ$79)="EMPTY")+(UPPER($AS$79:$AZ$79)="(EMPTY)"))&gt;0,IFERROR(('Final Calculation Sheet'!$S$15)&amp;"","")="",ISNUMBER(SEARCH($AS$79:$AZ$79,IFERROR(('Final Calculation Sheet'!$S$15)&amp;"","")))))&gt;0),IF(COUNTIF($BI$79:$BP$79,2)=0,TRUE,SUMPRODUCT(($BI$79:$BP$79=2)*($AS$79:$AZ$79&lt;&gt;"")*IF(((UPPER($AS$79:$AZ$79)="BLANK")+(UPPER($AS$79:$AZ$79)="(BLANK)")+(UPPER($AS$79:$AZ$79)="EMPTY")+(UPPER($AS$79:$AZ$79)="(EMPTY)"))&gt;0,IFERROR(('Final Calculation Sheet'!$S$15)&amp;"","")="",ISNUMBER(SEARCH($AS$79:$AZ$79,IFERROR(('Final Calculation Sheet'!$S$15)&amp;"","")))))&gt;0),IF(COUNTIF($BI$79:$BP$79,3)=0,TRUE,SUMPRODUCT(($BI$79:$BP$79=3)*($AS$79:$AZ$79&lt;&gt;"")*IF(((UPPER($AS$79:$AZ$79)="BLANK")+(UPPER($AS$79:$AZ$79)="(BLANK)")+(UPPER($AS$79:$AZ$79)="EMPTY")+(UPPER($AS$79:$AZ$79)="(EMPTY)"))&gt;0,IFERROR(('Final Calculation Sheet'!$S$15)&amp;"","")="",ISNUMBER(SEARCH($AS$79:$AZ$79,IFERROR(('Final Calculation Sheet'!$S$15)&amp;"","")))))&gt;0),IF(COUNTIF($BI$79:$BP$79,4)=0,TRUE,SUMPRODUCT(($BI$79:$BP$79=4)*($AS$79:$AZ$79&lt;&gt;"")*IF(((UPPER($AS$79:$AZ$79)="BLANK")+(UPPER($AS$79:$AZ$79)="(BLANK)")+(UPPER($AS$79:$AZ$79)="EMPTY")+(UPPER($AS$79:$AZ$79)="(EMPTY)"))&gt;0,IFERROR(('Final Calculation Sheet'!$S$15)&amp;"","")="",ISNUMBER(SEARCH($AS$79:$AZ$79,IFERROR(('Final Calculation Sheet'!$S$15)&amp;"","")))))&gt;0),IF(COUNTIF($BI$79:$BP$79,5)=0,TRUE,SUMPRODUCT(($BI$79:$BP$79=5)*($AS$79:$AZ$79&lt;&gt;"")*IF(((UPPER($AS$79:$AZ$79)="BLANK")+(UPPER($AS$79:$AZ$79)="(BLANK)")+(UPPER($AS$79:$AZ$79)="EMPTY")+(UPPER($AS$79:$AZ$79)="(EMPTY)"))&gt;0,IFERROR(('Final Calculation Sheet'!$S$15)&amp;"","")="",ISNUMBER(SEARCH($AS$79:$AZ$79,IFERROR(('Final Calculation Sheet'!$S$15)&amp;"","")))))&gt;0),IF(COUNTIF($BI$79:$BP$79,6)=0,TRUE,SUMPRODUCT(($BI$79:$BP$79=6)*($AS$79:$AZ$79&lt;&gt;"")*IF(((UPPER($AS$79:$AZ$79)="BLANK")+(UPPER($AS$79:$AZ$79)="(BLANK)")+(UPPER($AS$79:$AZ$79)="EMPTY")+(UPPER($AS$79:$AZ$79)="(EMPTY)"))&gt;0,IFERROR(('Final Calculation Sheet'!$S$15)&amp;"","")="",ISNUMBER(SEARCH($AS$79:$AZ$79,IFERROR(('Final Calculation Sheet'!$S$15)&amp;"","")))))&gt;0),IF(COUNTIF($BI$79:$BP$79,7)=0,TRUE,SUMPRODUCT(($BI$79:$BP$79=7)*($AS$79:$AZ$79&lt;&gt;"")*IF(((UPPER($AS$79:$AZ$79)="BLANK")+(UPPER($AS$79:$AZ$79)="(BLANK)")+(UPPER($AS$79:$AZ$79)="EMPTY")+(UPPER($AS$79:$AZ$79)="(EMPTY)"))&gt;0,IFERROR(('Final Calculation Sheet'!$S$15)&amp;"","")="",ISNUMBER(SEARCH($AS$79:$AZ$79,IFERROR(('Final Calculation Sheet'!$S$15)&amp;"","")))))&gt;0),IF(COUNTIF($BI$79:$BP$79,8)=0,TRUE,SUMPRODUCT(($BI$79:$BP$79=8)*($AS$79:$AZ$79&lt;&gt;"")*IF(((UPPER($AS$79:$AZ$79)="BLANK")+(UPPER($AS$79:$AZ$79)="(BLANK)")+(UPPER($AS$79:$AZ$79)="EMPTY")+(UPPER($AS$79:$AZ$79)="(EMPTY)"))&gt;0,IFERROR(('Final Calculation Sheet'!$S$15)&amp;"","")="",ISNUMBER(SEARCH($AS$79:$AZ$79,IFERROR(('Final Calculation Sheet'!$S$15)&amp;"","")))))&gt;0))))</f>
        <v>1</v>
      </c>
      <c r="CG16">
        <f>IF($U$4="",1,--(AND(SUMPRODUCT(--($AS$80:$AZ$80&lt;&gt;""))&gt;0,IF(COUNTIF($BI$80:$BP$80,1)=0,TRUE,SUMPRODUCT(($BI$80:$BP$80=1)*($AS$80:$AZ$80&lt;&gt;"")*IF(((UPPER($AS$80:$AZ$80)="BLANK")+(UPPER($AS$80:$AZ$80)="(BLANK)")+(UPPER($AS$80:$AZ$80)="EMPTY")+(UPPER($AS$80:$AZ$80)="(EMPTY)"))&gt;0,IFERROR(('Final Calculation Sheet'!$T$15)&amp;"","")="",ISNUMBER(SEARCH($AS$80:$AZ$80,IFERROR(('Final Calculation Sheet'!$T$15)&amp;"","")))))&gt;0),IF(COUNTIF($BI$80:$BP$80,2)=0,TRUE,SUMPRODUCT(($BI$80:$BP$80=2)*($AS$80:$AZ$80&lt;&gt;"")*IF(((UPPER($AS$80:$AZ$80)="BLANK")+(UPPER($AS$80:$AZ$80)="(BLANK)")+(UPPER($AS$80:$AZ$80)="EMPTY")+(UPPER($AS$80:$AZ$80)="(EMPTY)"))&gt;0,IFERROR(('Final Calculation Sheet'!$T$15)&amp;"","")="",ISNUMBER(SEARCH($AS$80:$AZ$80,IFERROR(('Final Calculation Sheet'!$T$15)&amp;"","")))))&gt;0),IF(COUNTIF($BI$80:$BP$80,3)=0,TRUE,SUMPRODUCT(($BI$80:$BP$80=3)*($AS$80:$AZ$80&lt;&gt;"")*IF(((UPPER($AS$80:$AZ$80)="BLANK")+(UPPER($AS$80:$AZ$80)="(BLANK)")+(UPPER($AS$80:$AZ$80)="EMPTY")+(UPPER($AS$80:$AZ$80)="(EMPTY)"))&gt;0,IFERROR(('Final Calculation Sheet'!$T$15)&amp;"","")="",ISNUMBER(SEARCH($AS$80:$AZ$80,IFERROR(('Final Calculation Sheet'!$T$15)&amp;"","")))))&gt;0),IF(COUNTIF($BI$80:$BP$80,4)=0,TRUE,SUMPRODUCT(($BI$80:$BP$80=4)*($AS$80:$AZ$80&lt;&gt;"")*IF(((UPPER($AS$80:$AZ$80)="BLANK")+(UPPER($AS$80:$AZ$80)="(BLANK)")+(UPPER($AS$80:$AZ$80)="EMPTY")+(UPPER($AS$80:$AZ$80)="(EMPTY)"))&gt;0,IFERROR(('Final Calculation Sheet'!$T$15)&amp;"","")="",ISNUMBER(SEARCH($AS$80:$AZ$80,IFERROR(('Final Calculation Sheet'!$T$15)&amp;"","")))))&gt;0),IF(COUNTIF($BI$80:$BP$80,5)=0,TRUE,SUMPRODUCT(($BI$80:$BP$80=5)*($AS$80:$AZ$80&lt;&gt;"")*IF(((UPPER($AS$80:$AZ$80)="BLANK")+(UPPER($AS$80:$AZ$80)="(BLANK)")+(UPPER($AS$80:$AZ$80)="EMPTY")+(UPPER($AS$80:$AZ$80)="(EMPTY)"))&gt;0,IFERROR(('Final Calculation Sheet'!$T$15)&amp;"","")="",ISNUMBER(SEARCH($AS$80:$AZ$80,IFERROR(('Final Calculation Sheet'!$T$15)&amp;"","")))))&gt;0),IF(COUNTIF($BI$80:$BP$80,6)=0,TRUE,SUMPRODUCT(($BI$80:$BP$80=6)*($AS$80:$AZ$80&lt;&gt;"")*IF(((UPPER($AS$80:$AZ$80)="BLANK")+(UPPER($AS$80:$AZ$80)="(BLANK)")+(UPPER($AS$80:$AZ$80)="EMPTY")+(UPPER($AS$80:$AZ$80)="(EMPTY)"))&gt;0,IFERROR(('Final Calculation Sheet'!$T$15)&amp;"","")="",ISNUMBER(SEARCH($AS$80:$AZ$80,IFERROR(('Final Calculation Sheet'!$T$15)&amp;"","")))))&gt;0),IF(COUNTIF($BI$80:$BP$80,7)=0,TRUE,SUMPRODUCT(($BI$80:$BP$80=7)*($AS$80:$AZ$80&lt;&gt;"")*IF(((UPPER($AS$80:$AZ$80)="BLANK")+(UPPER($AS$80:$AZ$80)="(BLANK)")+(UPPER($AS$80:$AZ$80)="EMPTY")+(UPPER($AS$80:$AZ$80)="(EMPTY)"))&gt;0,IFERROR(('Final Calculation Sheet'!$T$15)&amp;"","")="",ISNUMBER(SEARCH($AS$80:$AZ$80,IFERROR(('Final Calculation Sheet'!$T$15)&amp;"","")))))&gt;0),IF(COUNTIF($BI$80:$BP$80,8)=0,TRUE,SUMPRODUCT(($BI$80:$BP$80=8)*($AS$80:$AZ$80&lt;&gt;"")*IF(((UPPER($AS$80:$AZ$80)="BLANK")+(UPPER($AS$80:$AZ$80)="(BLANK)")+(UPPER($AS$80:$AZ$80)="EMPTY")+(UPPER($AS$80:$AZ$80)="(EMPTY)"))&gt;0,IFERROR(('Final Calculation Sheet'!$T$15)&amp;"","")="",ISNUMBER(SEARCH($AS$80:$AZ$80,IFERROR(('Final Calculation Sheet'!$T$15)&amp;"","")))))&gt;0))))</f>
        <v>1</v>
      </c>
      <c r="CH16">
        <f>IF($V$4="",1,--(AND(SUMPRODUCT(--($AS$81:$AZ$81&lt;&gt;""))&gt;0,IF(COUNTIF($BI$81:$BP$81,1)=0,TRUE,SUMPRODUCT(($BI$81:$BP$81=1)*($AS$81:$AZ$81&lt;&gt;"")*IF(((UPPER($AS$81:$AZ$81)="BLANK")+(UPPER($AS$81:$AZ$81)="(BLANK)")+(UPPER($AS$81:$AZ$81)="EMPTY")+(UPPER($AS$81:$AZ$81)="(EMPTY)"))&gt;0,IFERROR(('Final Calculation Sheet'!$U$15)&amp;"","")="",ISNUMBER(SEARCH($AS$81:$AZ$81,IFERROR(('Final Calculation Sheet'!$U$15)&amp;"","")))))&gt;0),IF(COUNTIF($BI$81:$BP$81,2)=0,TRUE,SUMPRODUCT(($BI$81:$BP$81=2)*($AS$81:$AZ$81&lt;&gt;"")*IF(((UPPER($AS$81:$AZ$81)="BLANK")+(UPPER($AS$81:$AZ$81)="(BLANK)")+(UPPER($AS$81:$AZ$81)="EMPTY")+(UPPER($AS$81:$AZ$81)="(EMPTY)"))&gt;0,IFERROR(('Final Calculation Sheet'!$U$15)&amp;"","")="",ISNUMBER(SEARCH($AS$81:$AZ$81,IFERROR(('Final Calculation Sheet'!$U$15)&amp;"","")))))&gt;0),IF(COUNTIF($BI$81:$BP$81,3)=0,TRUE,SUMPRODUCT(($BI$81:$BP$81=3)*($AS$81:$AZ$81&lt;&gt;"")*IF(((UPPER($AS$81:$AZ$81)="BLANK")+(UPPER($AS$81:$AZ$81)="(BLANK)")+(UPPER($AS$81:$AZ$81)="EMPTY")+(UPPER($AS$81:$AZ$81)="(EMPTY)"))&gt;0,IFERROR(('Final Calculation Sheet'!$U$15)&amp;"","")="",ISNUMBER(SEARCH($AS$81:$AZ$81,IFERROR(('Final Calculation Sheet'!$U$15)&amp;"","")))))&gt;0),IF(COUNTIF($BI$81:$BP$81,4)=0,TRUE,SUMPRODUCT(($BI$81:$BP$81=4)*($AS$81:$AZ$81&lt;&gt;"")*IF(((UPPER($AS$81:$AZ$81)="BLANK")+(UPPER($AS$81:$AZ$81)="(BLANK)")+(UPPER($AS$81:$AZ$81)="EMPTY")+(UPPER($AS$81:$AZ$81)="(EMPTY)"))&gt;0,IFERROR(('Final Calculation Sheet'!$U$15)&amp;"","")="",ISNUMBER(SEARCH($AS$81:$AZ$81,IFERROR(('Final Calculation Sheet'!$U$15)&amp;"","")))))&gt;0),IF(COUNTIF($BI$81:$BP$81,5)=0,TRUE,SUMPRODUCT(($BI$81:$BP$81=5)*($AS$81:$AZ$81&lt;&gt;"")*IF(((UPPER($AS$81:$AZ$81)="BLANK")+(UPPER($AS$81:$AZ$81)="(BLANK)")+(UPPER($AS$81:$AZ$81)="EMPTY")+(UPPER($AS$81:$AZ$81)="(EMPTY)"))&gt;0,IFERROR(('Final Calculation Sheet'!$U$15)&amp;"","")="",ISNUMBER(SEARCH($AS$81:$AZ$81,IFERROR(('Final Calculation Sheet'!$U$15)&amp;"","")))))&gt;0),IF(COUNTIF($BI$81:$BP$81,6)=0,TRUE,SUMPRODUCT(($BI$81:$BP$81=6)*($AS$81:$AZ$81&lt;&gt;"")*IF(((UPPER($AS$81:$AZ$81)="BLANK")+(UPPER($AS$81:$AZ$81)="(BLANK)")+(UPPER($AS$81:$AZ$81)="EMPTY")+(UPPER($AS$81:$AZ$81)="(EMPTY)"))&gt;0,IFERROR(('Final Calculation Sheet'!$U$15)&amp;"","")="",ISNUMBER(SEARCH($AS$81:$AZ$81,IFERROR(('Final Calculation Sheet'!$U$15)&amp;"","")))))&gt;0),IF(COUNTIF($BI$81:$BP$81,7)=0,TRUE,SUMPRODUCT(($BI$81:$BP$81=7)*($AS$81:$AZ$81&lt;&gt;"")*IF(((UPPER($AS$81:$AZ$81)="BLANK")+(UPPER($AS$81:$AZ$81)="(BLANK)")+(UPPER($AS$81:$AZ$81)="EMPTY")+(UPPER($AS$81:$AZ$81)="(EMPTY)"))&gt;0,IFERROR(('Final Calculation Sheet'!$U$15)&amp;"","")="",ISNUMBER(SEARCH($AS$81:$AZ$81,IFERROR(('Final Calculation Sheet'!$U$15)&amp;"","")))))&gt;0),IF(COUNTIF($BI$81:$BP$81,8)=0,TRUE,SUMPRODUCT(($BI$81:$BP$81=8)*($AS$81:$AZ$81&lt;&gt;"")*IF(((UPPER($AS$81:$AZ$81)="BLANK")+(UPPER($AS$81:$AZ$81)="(BLANK)")+(UPPER($AS$81:$AZ$81)="EMPTY")+(UPPER($AS$81:$AZ$81)="(EMPTY)"))&gt;0,IFERROR(('Final Calculation Sheet'!$U$15)&amp;"","")="",ISNUMBER(SEARCH($AS$81:$AZ$81,IFERROR(('Final Calculation Sheet'!$U$15)&amp;"","")))))&gt;0))))</f>
        <v>1</v>
      </c>
      <c r="CI16">
        <f>IF($W$4="",1,--(AND(SUMPRODUCT(--($AS$82:$AZ$82&lt;&gt;""))&gt;0,IF(COUNTIF($BI$82:$BP$82,1)=0,TRUE,SUMPRODUCT(($BI$82:$BP$82=1)*($AS$82:$AZ$82&lt;&gt;"")*IF(((UPPER($AS$82:$AZ$82)="BLANK")+(UPPER($AS$82:$AZ$82)="(BLANK)")+(UPPER($AS$82:$AZ$82)="EMPTY")+(UPPER($AS$82:$AZ$82)="(EMPTY)"))&gt;0,IFERROR(('Final Calculation Sheet'!$V$15)&amp;"","")="",ISNUMBER(SEARCH($AS$82:$AZ$82,IFERROR(('Final Calculation Sheet'!$V$15)&amp;"","")))))&gt;0),IF(COUNTIF($BI$82:$BP$82,2)=0,TRUE,SUMPRODUCT(($BI$82:$BP$82=2)*($AS$82:$AZ$82&lt;&gt;"")*IF(((UPPER($AS$82:$AZ$82)="BLANK")+(UPPER($AS$82:$AZ$82)="(BLANK)")+(UPPER($AS$82:$AZ$82)="EMPTY")+(UPPER($AS$82:$AZ$82)="(EMPTY)"))&gt;0,IFERROR(('Final Calculation Sheet'!$V$15)&amp;"","")="",ISNUMBER(SEARCH($AS$82:$AZ$82,IFERROR(('Final Calculation Sheet'!$V$15)&amp;"","")))))&gt;0),IF(COUNTIF($BI$82:$BP$82,3)=0,TRUE,SUMPRODUCT(($BI$82:$BP$82=3)*($AS$82:$AZ$82&lt;&gt;"")*IF(((UPPER($AS$82:$AZ$82)="BLANK")+(UPPER($AS$82:$AZ$82)="(BLANK)")+(UPPER($AS$82:$AZ$82)="EMPTY")+(UPPER($AS$82:$AZ$82)="(EMPTY)"))&gt;0,IFERROR(('Final Calculation Sheet'!$V$15)&amp;"","")="",ISNUMBER(SEARCH($AS$82:$AZ$82,IFERROR(('Final Calculation Sheet'!$V$15)&amp;"","")))))&gt;0),IF(COUNTIF($BI$82:$BP$82,4)=0,TRUE,SUMPRODUCT(($BI$82:$BP$82=4)*($AS$82:$AZ$82&lt;&gt;"")*IF(((UPPER($AS$82:$AZ$82)="BLANK")+(UPPER($AS$82:$AZ$82)="(BLANK)")+(UPPER($AS$82:$AZ$82)="EMPTY")+(UPPER($AS$82:$AZ$82)="(EMPTY)"))&gt;0,IFERROR(('Final Calculation Sheet'!$V$15)&amp;"","")="",ISNUMBER(SEARCH($AS$82:$AZ$82,IFERROR(('Final Calculation Sheet'!$V$15)&amp;"","")))))&gt;0),IF(COUNTIF($BI$82:$BP$82,5)=0,TRUE,SUMPRODUCT(($BI$82:$BP$82=5)*($AS$82:$AZ$82&lt;&gt;"")*IF(((UPPER($AS$82:$AZ$82)="BLANK")+(UPPER($AS$82:$AZ$82)="(BLANK)")+(UPPER($AS$82:$AZ$82)="EMPTY")+(UPPER($AS$82:$AZ$82)="(EMPTY)"))&gt;0,IFERROR(('Final Calculation Sheet'!$V$15)&amp;"","")="",ISNUMBER(SEARCH($AS$82:$AZ$82,IFERROR(('Final Calculation Sheet'!$V$15)&amp;"","")))))&gt;0),IF(COUNTIF($BI$82:$BP$82,6)=0,TRUE,SUMPRODUCT(($BI$82:$BP$82=6)*($AS$82:$AZ$82&lt;&gt;"")*IF(((UPPER($AS$82:$AZ$82)="BLANK")+(UPPER($AS$82:$AZ$82)="(BLANK)")+(UPPER($AS$82:$AZ$82)="EMPTY")+(UPPER($AS$82:$AZ$82)="(EMPTY)"))&gt;0,IFERROR(('Final Calculation Sheet'!$V$15)&amp;"","")="",ISNUMBER(SEARCH($AS$82:$AZ$82,IFERROR(('Final Calculation Sheet'!$V$15)&amp;"","")))))&gt;0),IF(COUNTIF($BI$82:$BP$82,7)=0,TRUE,SUMPRODUCT(($BI$82:$BP$82=7)*($AS$82:$AZ$82&lt;&gt;"")*IF(((UPPER($AS$82:$AZ$82)="BLANK")+(UPPER($AS$82:$AZ$82)="(BLANK)")+(UPPER($AS$82:$AZ$82)="EMPTY")+(UPPER($AS$82:$AZ$82)="(EMPTY)"))&gt;0,IFERROR(('Final Calculation Sheet'!$V$15)&amp;"","")="",ISNUMBER(SEARCH($AS$82:$AZ$82,IFERROR(('Final Calculation Sheet'!$V$15)&amp;"","")))))&gt;0),IF(COUNTIF($BI$82:$BP$82,8)=0,TRUE,SUMPRODUCT(($BI$82:$BP$82=8)*($AS$82:$AZ$82&lt;&gt;"")*IF(((UPPER($AS$82:$AZ$82)="BLANK")+(UPPER($AS$82:$AZ$82)="(BLANK)")+(UPPER($AS$82:$AZ$82)="EMPTY")+(UPPER($AS$82:$AZ$82)="(EMPTY)"))&gt;0,IFERROR(('Final Calculation Sheet'!$V$15)&amp;"","")="",ISNUMBER(SEARCH($AS$82:$AZ$82,IFERROR(('Final Calculation Sheet'!$V$15)&amp;"","")))))&gt;0))))</f>
        <v>1</v>
      </c>
      <c r="CJ16">
        <f>IF($X$4="",1,--(AND(SUMPRODUCT(--($AS$83:$AZ$83&lt;&gt;""))&gt;0,IF(COUNTIF($BI$83:$BP$83,1)=0,TRUE,SUMPRODUCT(($BI$83:$BP$83=1)*($AS$83:$AZ$83&lt;&gt;"")*IF(((UPPER($AS$83:$AZ$83)="BLANK")+(UPPER($AS$83:$AZ$83)="(BLANK)")+(UPPER($AS$83:$AZ$83)="EMPTY")+(UPPER($AS$83:$AZ$83)="(EMPTY)"))&gt;0,IFERROR(('Final Calculation Sheet'!$W$15)&amp;"","")="",ISNUMBER(SEARCH($AS$83:$AZ$83,IFERROR(('Final Calculation Sheet'!$W$15)&amp;"","")))))&gt;0),IF(COUNTIF($BI$83:$BP$83,2)=0,TRUE,SUMPRODUCT(($BI$83:$BP$83=2)*($AS$83:$AZ$83&lt;&gt;"")*IF(((UPPER($AS$83:$AZ$83)="BLANK")+(UPPER($AS$83:$AZ$83)="(BLANK)")+(UPPER($AS$83:$AZ$83)="EMPTY")+(UPPER($AS$83:$AZ$83)="(EMPTY)"))&gt;0,IFERROR(('Final Calculation Sheet'!$W$15)&amp;"","")="",ISNUMBER(SEARCH($AS$83:$AZ$83,IFERROR(('Final Calculation Sheet'!$W$15)&amp;"","")))))&gt;0),IF(COUNTIF($BI$83:$BP$83,3)=0,TRUE,SUMPRODUCT(($BI$83:$BP$83=3)*($AS$83:$AZ$83&lt;&gt;"")*IF(((UPPER($AS$83:$AZ$83)="BLANK")+(UPPER($AS$83:$AZ$83)="(BLANK)")+(UPPER($AS$83:$AZ$83)="EMPTY")+(UPPER($AS$83:$AZ$83)="(EMPTY)"))&gt;0,IFERROR(('Final Calculation Sheet'!$W$15)&amp;"","")="",ISNUMBER(SEARCH($AS$83:$AZ$83,IFERROR(('Final Calculation Sheet'!$W$15)&amp;"","")))))&gt;0),IF(COUNTIF($BI$83:$BP$83,4)=0,TRUE,SUMPRODUCT(($BI$83:$BP$83=4)*($AS$83:$AZ$83&lt;&gt;"")*IF(((UPPER($AS$83:$AZ$83)="BLANK")+(UPPER($AS$83:$AZ$83)="(BLANK)")+(UPPER($AS$83:$AZ$83)="EMPTY")+(UPPER($AS$83:$AZ$83)="(EMPTY)"))&gt;0,IFERROR(('Final Calculation Sheet'!$W$15)&amp;"","")="",ISNUMBER(SEARCH($AS$83:$AZ$83,IFERROR(('Final Calculation Sheet'!$W$15)&amp;"","")))))&gt;0),IF(COUNTIF($BI$83:$BP$83,5)=0,TRUE,SUMPRODUCT(($BI$83:$BP$83=5)*($AS$83:$AZ$83&lt;&gt;"")*IF(((UPPER($AS$83:$AZ$83)="BLANK")+(UPPER($AS$83:$AZ$83)="(BLANK)")+(UPPER($AS$83:$AZ$83)="EMPTY")+(UPPER($AS$83:$AZ$83)="(EMPTY)"))&gt;0,IFERROR(('Final Calculation Sheet'!$W$15)&amp;"","")="",ISNUMBER(SEARCH($AS$83:$AZ$83,IFERROR(('Final Calculation Sheet'!$W$15)&amp;"","")))))&gt;0),IF(COUNTIF($BI$83:$BP$83,6)=0,TRUE,SUMPRODUCT(($BI$83:$BP$83=6)*($AS$83:$AZ$83&lt;&gt;"")*IF(((UPPER($AS$83:$AZ$83)="BLANK")+(UPPER($AS$83:$AZ$83)="(BLANK)")+(UPPER($AS$83:$AZ$83)="EMPTY")+(UPPER($AS$83:$AZ$83)="(EMPTY)"))&gt;0,IFERROR(('Final Calculation Sheet'!$W$15)&amp;"","")="",ISNUMBER(SEARCH($AS$83:$AZ$83,IFERROR(('Final Calculation Sheet'!$W$15)&amp;"","")))))&gt;0),IF(COUNTIF($BI$83:$BP$83,7)=0,TRUE,SUMPRODUCT(($BI$83:$BP$83=7)*($AS$83:$AZ$83&lt;&gt;"")*IF(((UPPER($AS$83:$AZ$83)="BLANK")+(UPPER($AS$83:$AZ$83)="(BLANK)")+(UPPER($AS$83:$AZ$83)="EMPTY")+(UPPER($AS$83:$AZ$83)="(EMPTY)"))&gt;0,IFERROR(('Final Calculation Sheet'!$W$15)&amp;"","")="",ISNUMBER(SEARCH($AS$83:$AZ$83,IFERROR(('Final Calculation Sheet'!$W$15)&amp;"","")))))&gt;0),IF(COUNTIF($BI$83:$BP$83,8)=0,TRUE,SUMPRODUCT(($BI$83:$BP$83=8)*($AS$83:$AZ$83&lt;&gt;"")*IF(((UPPER($AS$83:$AZ$83)="BLANK")+(UPPER($AS$83:$AZ$83)="(BLANK)")+(UPPER($AS$83:$AZ$83)="EMPTY")+(UPPER($AS$83:$AZ$83)="(EMPTY)"))&gt;0,IFERROR(('Final Calculation Sheet'!$W$15)&amp;"","")="",ISNUMBER(SEARCH($AS$83:$AZ$83,IFERROR(('Final Calculation Sheet'!$W$15)&amp;"","")))))&gt;0))))</f>
        <v>1</v>
      </c>
      <c r="CK16">
        <f>IF($Y$4="",1,--(AND(SUMPRODUCT(--($AS$84:$AZ$84&lt;&gt;""))&gt;0,IF(COUNTIF($BI$84:$BP$84,1)=0,TRUE,SUMPRODUCT(($BI$84:$BP$84=1)*($AS$84:$AZ$84&lt;&gt;"")*IF(((UPPER($AS$84:$AZ$84)="BLANK")+(UPPER($AS$84:$AZ$84)="(BLANK)")+(UPPER($AS$84:$AZ$84)="EMPTY")+(UPPER($AS$84:$AZ$84)="(EMPTY)"))&gt;0,IFERROR(('Final Calculation Sheet'!$X$15)&amp;"","")="",ISNUMBER(SEARCH($AS$84:$AZ$84,IFERROR(('Final Calculation Sheet'!$X$15)&amp;"","")))))&gt;0),IF(COUNTIF($BI$84:$BP$84,2)=0,TRUE,SUMPRODUCT(($BI$84:$BP$84=2)*($AS$84:$AZ$84&lt;&gt;"")*IF(((UPPER($AS$84:$AZ$84)="BLANK")+(UPPER($AS$84:$AZ$84)="(BLANK)")+(UPPER($AS$84:$AZ$84)="EMPTY")+(UPPER($AS$84:$AZ$84)="(EMPTY)"))&gt;0,IFERROR(('Final Calculation Sheet'!$X$15)&amp;"","")="",ISNUMBER(SEARCH($AS$84:$AZ$84,IFERROR(('Final Calculation Sheet'!$X$15)&amp;"","")))))&gt;0),IF(COUNTIF($BI$84:$BP$84,3)=0,TRUE,SUMPRODUCT(($BI$84:$BP$84=3)*($AS$84:$AZ$84&lt;&gt;"")*IF(((UPPER($AS$84:$AZ$84)="BLANK")+(UPPER($AS$84:$AZ$84)="(BLANK)")+(UPPER($AS$84:$AZ$84)="EMPTY")+(UPPER($AS$84:$AZ$84)="(EMPTY)"))&gt;0,IFERROR(('Final Calculation Sheet'!$X$15)&amp;"","")="",ISNUMBER(SEARCH($AS$84:$AZ$84,IFERROR(('Final Calculation Sheet'!$X$15)&amp;"","")))))&gt;0),IF(COUNTIF($BI$84:$BP$84,4)=0,TRUE,SUMPRODUCT(($BI$84:$BP$84=4)*($AS$84:$AZ$84&lt;&gt;"")*IF(((UPPER($AS$84:$AZ$84)="BLANK")+(UPPER($AS$84:$AZ$84)="(BLANK)")+(UPPER($AS$84:$AZ$84)="EMPTY")+(UPPER($AS$84:$AZ$84)="(EMPTY)"))&gt;0,IFERROR(('Final Calculation Sheet'!$X$15)&amp;"","")="",ISNUMBER(SEARCH($AS$84:$AZ$84,IFERROR(('Final Calculation Sheet'!$X$15)&amp;"","")))))&gt;0),IF(COUNTIF($BI$84:$BP$84,5)=0,TRUE,SUMPRODUCT(($BI$84:$BP$84=5)*($AS$84:$AZ$84&lt;&gt;"")*IF(((UPPER($AS$84:$AZ$84)="BLANK")+(UPPER($AS$84:$AZ$84)="(BLANK)")+(UPPER($AS$84:$AZ$84)="EMPTY")+(UPPER($AS$84:$AZ$84)="(EMPTY)"))&gt;0,IFERROR(('Final Calculation Sheet'!$X$15)&amp;"","")="",ISNUMBER(SEARCH($AS$84:$AZ$84,IFERROR(('Final Calculation Sheet'!$X$15)&amp;"","")))))&gt;0),IF(COUNTIF($BI$84:$BP$84,6)=0,TRUE,SUMPRODUCT(($BI$84:$BP$84=6)*($AS$84:$AZ$84&lt;&gt;"")*IF(((UPPER($AS$84:$AZ$84)="BLANK")+(UPPER($AS$84:$AZ$84)="(BLANK)")+(UPPER($AS$84:$AZ$84)="EMPTY")+(UPPER($AS$84:$AZ$84)="(EMPTY)"))&gt;0,IFERROR(('Final Calculation Sheet'!$X$15)&amp;"","")="",ISNUMBER(SEARCH($AS$84:$AZ$84,IFERROR(('Final Calculation Sheet'!$X$15)&amp;"","")))))&gt;0),IF(COUNTIF($BI$84:$BP$84,7)=0,TRUE,SUMPRODUCT(($BI$84:$BP$84=7)*($AS$84:$AZ$84&lt;&gt;"")*IF(((UPPER($AS$84:$AZ$84)="BLANK")+(UPPER($AS$84:$AZ$84)="(BLANK)")+(UPPER($AS$84:$AZ$84)="EMPTY")+(UPPER($AS$84:$AZ$84)="(EMPTY)"))&gt;0,IFERROR(('Final Calculation Sheet'!$X$15)&amp;"","")="",ISNUMBER(SEARCH($AS$84:$AZ$84,IFERROR(('Final Calculation Sheet'!$X$15)&amp;"","")))))&gt;0),IF(COUNTIF($BI$84:$BP$84,8)=0,TRUE,SUMPRODUCT(($BI$84:$BP$84=8)*($AS$84:$AZ$84&lt;&gt;"")*IF(((UPPER($AS$84:$AZ$84)="BLANK")+(UPPER($AS$84:$AZ$84)="(BLANK)")+(UPPER($AS$84:$AZ$84)="EMPTY")+(UPPER($AS$84:$AZ$84)="(EMPTY)"))&gt;0,IFERROR(('Final Calculation Sheet'!$X$15)&amp;"","")="",ISNUMBER(SEARCH($AS$84:$AZ$84,IFERROR(('Final Calculation Sheet'!$X$15)&amp;"","")))))&gt;0))))</f>
        <v>1</v>
      </c>
      <c r="CL16">
        <f>IF($Z$4="",1,--(AND(SUMPRODUCT(--($AS$85:$AZ$85&lt;&gt;""))&gt;0,IF(COUNTIF($BI$85:$BP$85,1)=0,TRUE,SUMPRODUCT(($BI$85:$BP$85=1)*($AS$85:$AZ$85&lt;&gt;"")*IF(((UPPER($AS$85:$AZ$85)="BLANK")+(UPPER($AS$85:$AZ$85)="(BLANK)")+(UPPER($AS$85:$AZ$85)="EMPTY")+(UPPER($AS$85:$AZ$85)="(EMPTY)"))&gt;0,IFERROR(('Final Calculation Sheet'!$Y$15)&amp;"","")="",ISNUMBER(SEARCH($AS$85:$AZ$85,IFERROR(('Final Calculation Sheet'!$Y$15)&amp;"","")))))&gt;0),IF(COUNTIF($BI$85:$BP$85,2)=0,TRUE,SUMPRODUCT(($BI$85:$BP$85=2)*($AS$85:$AZ$85&lt;&gt;"")*IF(((UPPER($AS$85:$AZ$85)="BLANK")+(UPPER($AS$85:$AZ$85)="(BLANK)")+(UPPER($AS$85:$AZ$85)="EMPTY")+(UPPER($AS$85:$AZ$85)="(EMPTY)"))&gt;0,IFERROR(('Final Calculation Sheet'!$Y$15)&amp;"","")="",ISNUMBER(SEARCH($AS$85:$AZ$85,IFERROR(('Final Calculation Sheet'!$Y$15)&amp;"","")))))&gt;0),IF(COUNTIF($BI$85:$BP$85,3)=0,TRUE,SUMPRODUCT(($BI$85:$BP$85=3)*($AS$85:$AZ$85&lt;&gt;"")*IF(((UPPER($AS$85:$AZ$85)="BLANK")+(UPPER($AS$85:$AZ$85)="(BLANK)")+(UPPER($AS$85:$AZ$85)="EMPTY")+(UPPER($AS$85:$AZ$85)="(EMPTY)"))&gt;0,IFERROR(('Final Calculation Sheet'!$Y$15)&amp;"","")="",ISNUMBER(SEARCH($AS$85:$AZ$85,IFERROR(('Final Calculation Sheet'!$Y$15)&amp;"","")))))&gt;0),IF(COUNTIF($BI$85:$BP$85,4)=0,TRUE,SUMPRODUCT(($BI$85:$BP$85=4)*($AS$85:$AZ$85&lt;&gt;"")*IF(((UPPER($AS$85:$AZ$85)="BLANK")+(UPPER($AS$85:$AZ$85)="(BLANK)")+(UPPER($AS$85:$AZ$85)="EMPTY")+(UPPER($AS$85:$AZ$85)="(EMPTY)"))&gt;0,IFERROR(('Final Calculation Sheet'!$Y$15)&amp;"","")="",ISNUMBER(SEARCH($AS$85:$AZ$85,IFERROR(('Final Calculation Sheet'!$Y$15)&amp;"","")))))&gt;0),IF(COUNTIF($BI$85:$BP$85,5)=0,TRUE,SUMPRODUCT(($BI$85:$BP$85=5)*($AS$85:$AZ$85&lt;&gt;"")*IF(((UPPER($AS$85:$AZ$85)="BLANK")+(UPPER($AS$85:$AZ$85)="(BLANK)")+(UPPER($AS$85:$AZ$85)="EMPTY")+(UPPER($AS$85:$AZ$85)="(EMPTY)"))&gt;0,IFERROR(('Final Calculation Sheet'!$Y$15)&amp;"","")="",ISNUMBER(SEARCH($AS$85:$AZ$85,IFERROR(('Final Calculation Sheet'!$Y$15)&amp;"","")))))&gt;0),IF(COUNTIF($BI$85:$BP$85,6)=0,TRUE,SUMPRODUCT(($BI$85:$BP$85=6)*($AS$85:$AZ$85&lt;&gt;"")*IF(((UPPER($AS$85:$AZ$85)="BLANK")+(UPPER($AS$85:$AZ$85)="(BLANK)")+(UPPER($AS$85:$AZ$85)="EMPTY")+(UPPER($AS$85:$AZ$85)="(EMPTY)"))&gt;0,IFERROR(('Final Calculation Sheet'!$Y$15)&amp;"","")="",ISNUMBER(SEARCH($AS$85:$AZ$85,IFERROR(('Final Calculation Sheet'!$Y$15)&amp;"","")))))&gt;0),IF(COUNTIF($BI$85:$BP$85,7)=0,TRUE,SUMPRODUCT(($BI$85:$BP$85=7)*($AS$85:$AZ$85&lt;&gt;"")*IF(((UPPER($AS$85:$AZ$85)="BLANK")+(UPPER($AS$85:$AZ$85)="(BLANK)")+(UPPER($AS$85:$AZ$85)="EMPTY")+(UPPER($AS$85:$AZ$85)="(EMPTY)"))&gt;0,IFERROR(('Final Calculation Sheet'!$Y$15)&amp;"","")="",ISNUMBER(SEARCH($AS$85:$AZ$85,IFERROR(('Final Calculation Sheet'!$Y$15)&amp;"","")))))&gt;0),IF(COUNTIF($BI$85:$BP$85,8)=0,TRUE,SUMPRODUCT(($BI$85:$BP$85=8)*($AS$85:$AZ$85&lt;&gt;"")*IF(((UPPER($AS$85:$AZ$85)="BLANK")+(UPPER($AS$85:$AZ$85)="(BLANK)")+(UPPER($AS$85:$AZ$85)="EMPTY")+(UPPER($AS$85:$AZ$85)="(EMPTY)"))&gt;0,IFERROR(('Final Calculation Sheet'!$Y$15)&amp;"","")="",ISNUMBER(SEARCH($AS$85:$AZ$85,IFERROR(('Final Calculation Sheet'!$Y$15)&amp;"","")))))&gt;0))))</f>
        <v>1</v>
      </c>
      <c r="CM16">
        <f>IF($AA$4="",1,--(AND(SUMPRODUCT(--($AS$86:$AZ$86&lt;&gt;""))&gt;0,IF(COUNTIF($BI$86:$BP$86,1)=0,TRUE,SUMPRODUCT(($BI$86:$BP$86=1)*($AS$86:$AZ$86&lt;&gt;"")*IF(((UPPER($AS$86:$AZ$86)="BLANK")+(UPPER($AS$86:$AZ$86)="(BLANK)")+(UPPER($AS$86:$AZ$86)="EMPTY")+(UPPER($AS$86:$AZ$86)="(EMPTY)"))&gt;0,IFERROR(('Final Calculation Sheet'!$Z$15)&amp;"","")="",ISNUMBER(SEARCH($AS$86:$AZ$86,IFERROR(('Final Calculation Sheet'!$Z$15)&amp;"","")))))&gt;0),IF(COUNTIF($BI$86:$BP$86,2)=0,TRUE,SUMPRODUCT(($BI$86:$BP$86=2)*($AS$86:$AZ$86&lt;&gt;"")*IF(((UPPER($AS$86:$AZ$86)="BLANK")+(UPPER($AS$86:$AZ$86)="(BLANK)")+(UPPER($AS$86:$AZ$86)="EMPTY")+(UPPER($AS$86:$AZ$86)="(EMPTY)"))&gt;0,IFERROR(('Final Calculation Sheet'!$Z$15)&amp;"","")="",ISNUMBER(SEARCH($AS$86:$AZ$86,IFERROR(('Final Calculation Sheet'!$Z$15)&amp;"","")))))&gt;0),IF(COUNTIF($BI$86:$BP$86,3)=0,TRUE,SUMPRODUCT(($BI$86:$BP$86=3)*($AS$86:$AZ$86&lt;&gt;"")*IF(((UPPER($AS$86:$AZ$86)="BLANK")+(UPPER($AS$86:$AZ$86)="(BLANK)")+(UPPER($AS$86:$AZ$86)="EMPTY")+(UPPER($AS$86:$AZ$86)="(EMPTY)"))&gt;0,IFERROR(('Final Calculation Sheet'!$Z$15)&amp;"","")="",ISNUMBER(SEARCH($AS$86:$AZ$86,IFERROR(('Final Calculation Sheet'!$Z$15)&amp;"","")))))&gt;0),IF(COUNTIF($BI$86:$BP$86,4)=0,TRUE,SUMPRODUCT(($BI$86:$BP$86=4)*($AS$86:$AZ$86&lt;&gt;"")*IF(((UPPER($AS$86:$AZ$86)="BLANK")+(UPPER($AS$86:$AZ$86)="(BLANK)")+(UPPER($AS$86:$AZ$86)="EMPTY")+(UPPER($AS$86:$AZ$86)="(EMPTY)"))&gt;0,IFERROR(('Final Calculation Sheet'!$Z$15)&amp;"","")="",ISNUMBER(SEARCH($AS$86:$AZ$86,IFERROR(('Final Calculation Sheet'!$Z$15)&amp;"","")))))&gt;0),IF(COUNTIF($BI$86:$BP$86,5)=0,TRUE,SUMPRODUCT(($BI$86:$BP$86=5)*($AS$86:$AZ$86&lt;&gt;"")*IF(((UPPER($AS$86:$AZ$86)="BLANK")+(UPPER($AS$86:$AZ$86)="(BLANK)")+(UPPER($AS$86:$AZ$86)="EMPTY")+(UPPER($AS$86:$AZ$86)="(EMPTY)"))&gt;0,IFERROR(('Final Calculation Sheet'!$Z$15)&amp;"","")="",ISNUMBER(SEARCH($AS$86:$AZ$86,IFERROR(('Final Calculation Sheet'!$Z$15)&amp;"","")))))&gt;0),IF(COUNTIF($BI$86:$BP$86,6)=0,TRUE,SUMPRODUCT(($BI$86:$BP$86=6)*($AS$86:$AZ$86&lt;&gt;"")*IF(((UPPER($AS$86:$AZ$86)="BLANK")+(UPPER($AS$86:$AZ$86)="(BLANK)")+(UPPER($AS$86:$AZ$86)="EMPTY")+(UPPER($AS$86:$AZ$86)="(EMPTY)"))&gt;0,IFERROR(('Final Calculation Sheet'!$Z$15)&amp;"","")="",ISNUMBER(SEARCH($AS$86:$AZ$86,IFERROR(('Final Calculation Sheet'!$Z$15)&amp;"","")))))&gt;0),IF(COUNTIF($BI$86:$BP$86,7)=0,TRUE,SUMPRODUCT(($BI$86:$BP$86=7)*($AS$86:$AZ$86&lt;&gt;"")*IF(((UPPER($AS$86:$AZ$86)="BLANK")+(UPPER($AS$86:$AZ$86)="(BLANK)")+(UPPER($AS$86:$AZ$86)="EMPTY")+(UPPER($AS$86:$AZ$86)="(EMPTY)"))&gt;0,IFERROR(('Final Calculation Sheet'!$Z$15)&amp;"","")="",ISNUMBER(SEARCH($AS$86:$AZ$86,IFERROR(('Final Calculation Sheet'!$Z$15)&amp;"","")))))&gt;0),IF(COUNTIF($BI$86:$BP$86,8)=0,TRUE,SUMPRODUCT(($BI$86:$BP$86=8)*($AS$86:$AZ$86&lt;&gt;"")*IF(((UPPER($AS$86:$AZ$86)="BLANK")+(UPPER($AS$86:$AZ$86)="(BLANK)")+(UPPER($AS$86:$AZ$86)="EMPTY")+(UPPER($AS$86:$AZ$86)="(EMPTY)"))&gt;0,IFERROR(('Final Calculation Sheet'!$Z$15)&amp;"","")="",ISNUMBER(SEARCH($AS$86:$AZ$86,IFERROR(('Final Calculation Sheet'!$Z$15)&amp;"","")))))&gt;0))))</f>
        <v>1</v>
      </c>
      <c r="CN16">
        <f>IF($AB$4="",1,--(AND(SUMPRODUCT(--($AS$87:$AZ$87&lt;&gt;""))&gt;0,IF(COUNTIF($BI$87:$BP$87,1)=0,TRUE,SUMPRODUCT(($BI$87:$BP$87=1)*($AS$87:$AZ$87&lt;&gt;"")*IF(((UPPER($AS$87:$AZ$87)="BLANK")+(UPPER($AS$87:$AZ$87)="(BLANK)")+(UPPER($AS$87:$AZ$87)="EMPTY")+(UPPER($AS$87:$AZ$87)="(EMPTY)"))&gt;0,IFERROR(('Final Calculation Sheet'!$AA$15)&amp;"","")="",ISNUMBER(SEARCH($AS$87:$AZ$87,IFERROR(('Final Calculation Sheet'!$AA$15)&amp;"","")))))&gt;0),IF(COUNTIF($BI$87:$BP$87,2)=0,TRUE,SUMPRODUCT(($BI$87:$BP$87=2)*($AS$87:$AZ$87&lt;&gt;"")*IF(((UPPER($AS$87:$AZ$87)="BLANK")+(UPPER($AS$87:$AZ$87)="(BLANK)")+(UPPER($AS$87:$AZ$87)="EMPTY")+(UPPER($AS$87:$AZ$87)="(EMPTY)"))&gt;0,IFERROR(('Final Calculation Sheet'!$AA$15)&amp;"","")="",ISNUMBER(SEARCH($AS$87:$AZ$87,IFERROR(('Final Calculation Sheet'!$AA$15)&amp;"","")))))&gt;0),IF(COUNTIF($BI$87:$BP$87,3)=0,TRUE,SUMPRODUCT(($BI$87:$BP$87=3)*($AS$87:$AZ$87&lt;&gt;"")*IF(((UPPER($AS$87:$AZ$87)="BLANK")+(UPPER($AS$87:$AZ$87)="(BLANK)")+(UPPER($AS$87:$AZ$87)="EMPTY")+(UPPER($AS$87:$AZ$87)="(EMPTY)"))&gt;0,IFERROR(('Final Calculation Sheet'!$AA$15)&amp;"","")="",ISNUMBER(SEARCH($AS$87:$AZ$87,IFERROR(('Final Calculation Sheet'!$AA$15)&amp;"","")))))&gt;0),IF(COUNTIF($BI$87:$BP$87,4)=0,TRUE,SUMPRODUCT(($BI$87:$BP$87=4)*($AS$87:$AZ$87&lt;&gt;"")*IF(((UPPER($AS$87:$AZ$87)="BLANK")+(UPPER($AS$87:$AZ$87)="(BLANK)")+(UPPER($AS$87:$AZ$87)="EMPTY")+(UPPER($AS$87:$AZ$87)="(EMPTY)"))&gt;0,IFERROR(('Final Calculation Sheet'!$AA$15)&amp;"","")="",ISNUMBER(SEARCH($AS$87:$AZ$87,IFERROR(('Final Calculation Sheet'!$AA$15)&amp;"","")))))&gt;0),IF(COUNTIF($BI$87:$BP$87,5)=0,TRUE,SUMPRODUCT(($BI$87:$BP$87=5)*($AS$87:$AZ$87&lt;&gt;"")*IF(((UPPER($AS$87:$AZ$87)="BLANK")+(UPPER($AS$87:$AZ$87)="(BLANK)")+(UPPER($AS$87:$AZ$87)="EMPTY")+(UPPER($AS$87:$AZ$87)="(EMPTY)"))&gt;0,IFERROR(('Final Calculation Sheet'!$AA$15)&amp;"","")="",ISNUMBER(SEARCH($AS$87:$AZ$87,IFERROR(('Final Calculation Sheet'!$AA$15)&amp;"","")))))&gt;0),IF(COUNTIF($BI$87:$BP$87,6)=0,TRUE,SUMPRODUCT(($BI$87:$BP$87=6)*($AS$87:$AZ$87&lt;&gt;"")*IF(((UPPER($AS$87:$AZ$87)="BLANK")+(UPPER($AS$87:$AZ$87)="(BLANK)")+(UPPER($AS$87:$AZ$87)="EMPTY")+(UPPER($AS$87:$AZ$87)="(EMPTY)"))&gt;0,IFERROR(('Final Calculation Sheet'!$AA$15)&amp;"","")="",ISNUMBER(SEARCH($AS$87:$AZ$87,IFERROR(('Final Calculation Sheet'!$AA$15)&amp;"","")))))&gt;0),IF(COUNTIF($BI$87:$BP$87,7)=0,TRUE,SUMPRODUCT(($BI$87:$BP$87=7)*($AS$87:$AZ$87&lt;&gt;"")*IF(((UPPER($AS$87:$AZ$87)="BLANK")+(UPPER($AS$87:$AZ$87)="(BLANK)")+(UPPER($AS$87:$AZ$87)="EMPTY")+(UPPER($AS$87:$AZ$87)="(EMPTY)"))&gt;0,IFERROR(('Final Calculation Sheet'!$AA$15)&amp;"","")="",ISNUMBER(SEARCH($AS$87:$AZ$87,IFERROR(('Final Calculation Sheet'!$AA$15)&amp;"","")))))&gt;0),IF(COUNTIF($BI$87:$BP$87,8)=0,TRUE,SUMPRODUCT(($BI$87:$BP$87=8)*($AS$87:$AZ$87&lt;&gt;"")*IF(((UPPER($AS$87:$AZ$87)="BLANK")+(UPPER($AS$87:$AZ$87)="(BLANK)")+(UPPER($AS$87:$AZ$87)="EMPTY")+(UPPER($AS$87:$AZ$87)="(EMPTY)"))&gt;0,IFERROR(('Final Calculation Sheet'!$AA$15)&amp;"","")="",ISNUMBER(SEARCH($AS$87:$AZ$87,IFERROR(('Final Calculation Sheet'!$AA$15)&amp;"","")))))&gt;0))))</f>
        <v>1</v>
      </c>
      <c r="CO16">
        <f>IF($AC$4="",1,--(AND(SUMPRODUCT(--($AS$88:$AZ$88&lt;&gt;""))&gt;0,IF(COUNTIF($BI$88:$BP$88,1)=0,TRUE,SUMPRODUCT(($BI$88:$BP$88=1)*($AS$88:$AZ$88&lt;&gt;"")*IF(((UPPER($AS$88:$AZ$88)="BLANK")+(UPPER($AS$88:$AZ$88)="(BLANK)")+(UPPER($AS$88:$AZ$88)="EMPTY")+(UPPER($AS$88:$AZ$88)="(EMPTY)"))&gt;0,IFERROR(('Final Calculation Sheet'!$AB$15)&amp;"","")="",ISNUMBER(SEARCH($AS$88:$AZ$88,IFERROR(('Final Calculation Sheet'!$AB$15)&amp;"","")))))&gt;0),IF(COUNTIF($BI$88:$BP$88,2)=0,TRUE,SUMPRODUCT(($BI$88:$BP$88=2)*($AS$88:$AZ$88&lt;&gt;"")*IF(((UPPER($AS$88:$AZ$88)="BLANK")+(UPPER($AS$88:$AZ$88)="(BLANK)")+(UPPER($AS$88:$AZ$88)="EMPTY")+(UPPER($AS$88:$AZ$88)="(EMPTY)"))&gt;0,IFERROR(('Final Calculation Sheet'!$AB$15)&amp;"","")="",ISNUMBER(SEARCH($AS$88:$AZ$88,IFERROR(('Final Calculation Sheet'!$AB$15)&amp;"","")))))&gt;0),IF(COUNTIF($BI$88:$BP$88,3)=0,TRUE,SUMPRODUCT(($BI$88:$BP$88=3)*($AS$88:$AZ$88&lt;&gt;"")*IF(((UPPER($AS$88:$AZ$88)="BLANK")+(UPPER($AS$88:$AZ$88)="(BLANK)")+(UPPER($AS$88:$AZ$88)="EMPTY")+(UPPER($AS$88:$AZ$88)="(EMPTY)"))&gt;0,IFERROR(('Final Calculation Sheet'!$AB$15)&amp;"","")="",ISNUMBER(SEARCH($AS$88:$AZ$88,IFERROR(('Final Calculation Sheet'!$AB$15)&amp;"","")))))&gt;0),IF(COUNTIF($BI$88:$BP$88,4)=0,TRUE,SUMPRODUCT(($BI$88:$BP$88=4)*($AS$88:$AZ$88&lt;&gt;"")*IF(((UPPER($AS$88:$AZ$88)="BLANK")+(UPPER($AS$88:$AZ$88)="(BLANK)")+(UPPER($AS$88:$AZ$88)="EMPTY")+(UPPER($AS$88:$AZ$88)="(EMPTY)"))&gt;0,IFERROR(('Final Calculation Sheet'!$AB$15)&amp;"","")="",ISNUMBER(SEARCH($AS$88:$AZ$88,IFERROR(('Final Calculation Sheet'!$AB$15)&amp;"","")))))&gt;0),IF(COUNTIF($BI$88:$BP$88,5)=0,TRUE,SUMPRODUCT(($BI$88:$BP$88=5)*($AS$88:$AZ$88&lt;&gt;"")*IF(((UPPER($AS$88:$AZ$88)="BLANK")+(UPPER($AS$88:$AZ$88)="(BLANK)")+(UPPER($AS$88:$AZ$88)="EMPTY")+(UPPER($AS$88:$AZ$88)="(EMPTY)"))&gt;0,IFERROR(('Final Calculation Sheet'!$AB$15)&amp;"","")="",ISNUMBER(SEARCH($AS$88:$AZ$88,IFERROR(('Final Calculation Sheet'!$AB$15)&amp;"","")))))&gt;0),IF(COUNTIF($BI$88:$BP$88,6)=0,TRUE,SUMPRODUCT(($BI$88:$BP$88=6)*($AS$88:$AZ$88&lt;&gt;"")*IF(((UPPER($AS$88:$AZ$88)="BLANK")+(UPPER($AS$88:$AZ$88)="(BLANK)")+(UPPER($AS$88:$AZ$88)="EMPTY")+(UPPER($AS$88:$AZ$88)="(EMPTY)"))&gt;0,IFERROR(('Final Calculation Sheet'!$AB$15)&amp;"","")="",ISNUMBER(SEARCH($AS$88:$AZ$88,IFERROR(('Final Calculation Sheet'!$AB$15)&amp;"","")))))&gt;0),IF(COUNTIF($BI$88:$BP$88,7)=0,TRUE,SUMPRODUCT(($BI$88:$BP$88=7)*($AS$88:$AZ$88&lt;&gt;"")*IF(((UPPER($AS$88:$AZ$88)="BLANK")+(UPPER($AS$88:$AZ$88)="(BLANK)")+(UPPER($AS$88:$AZ$88)="EMPTY")+(UPPER($AS$88:$AZ$88)="(EMPTY)"))&gt;0,IFERROR(('Final Calculation Sheet'!$AB$15)&amp;"","")="",ISNUMBER(SEARCH($AS$88:$AZ$88,IFERROR(('Final Calculation Sheet'!$AB$15)&amp;"","")))))&gt;0),IF(COUNTIF($BI$88:$BP$88,8)=0,TRUE,SUMPRODUCT(($BI$88:$BP$88=8)*($AS$88:$AZ$88&lt;&gt;"")*IF(((UPPER($AS$88:$AZ$88)="BLANK")+(UPPER($AS$88:$AZ$88)="(BLANK)")+(UPPER($AS$88:$AZ$88)="EMPTY")+(UPPER($AS$88:$AZ$88)="(EMPTY)"))&gt;0,IFERROR(('Final Calculation Sheet'!$AB$15)&amp;"","")="",ISNUMBER(SEARCH($AS$88:$AZ$88,IFERROR(('Final Calculation Sheet'!$AB$15)&amp;"","")))))&gt;0))))</f>
        <v>1</v>
      </c>
      <c r="CP16">
        <f>IF($AD$4="",1,--(AND(SUMPRODUCT(--($AS$89:$AZ$89&lt;&gt;""))&gt;0,IF(COUNTIF($BI$89:$BP$89,1)=0,TRUE,SUMPRODUCT(($BI$89:$BP$89=1)*($AS$89:$AZ$89&lt;&gt;"")*IF(((UPPER($AS$89:$AZ$89)="BLANK")+(UPPER($AS$89:$AZ$89)="(BLANK)")+(UPPER($AS$89:$AZ$89)="EMPTY")+(UPPER($AS$89:$AZ$89)="(EMPTY)"))&gt;0,IFERROR(('Final Calculation Sheet'!$AC$15)&amp;"","")="",ISNUMBER(SEARCH($AS$89:$AZ$89,IFERROR(('Final Calculation Sheet'!$AC$15)&amp;"","")))))&gt;0),IF(COUNTIF($BI$89:$BP$89,2)=0,TRUE,SUMPRODUCT(($BI$89:$BP$89=2)*($AS$89:$AZ$89&lt;&gt;"")*IF(((UPPER($AS$89:$AZ$89)="BLANK")+(UPPER($AS$89:$AZ$89)="(BLANK)")+(UPPER($AS$89:$AZ$89)="EMPTY")+(UPPER($AS$89:$AZ$89)="(EMPTY)"))&gt;0,IFERROR(('Final Calculation Sheet'!$AC$15)&amp;"","")="",ISNUMBER(SEARCH($AS$89:$AZ$89,IFERROR(('Final Calculation Sheet'!$AC$15)&amp;"","")))))&gt;0),IF(COUNTIF($BI$89:$BP$89,3)=0,TRUE,SUMPRODUCT(($BI$89:$BP$89=3)*($AS$89:$AZ$89&lt;&gt;"")*IF(((UPPER($AS$89:$AZ$89)="BLANK")+(UPPER($AS$89:$AZ$89)="(BLANK)")+(UPPER($AS$89:$AZ$89)="EMPTY")+(UPPER($AS$89:$AZ$89)="(EMPTY)"))&gt;0,IFERROR(('Final Calculation Sheet'!$AC$15)&amp;"","")="",ISNUMBER(SEARCH($AS$89:$AZ$89,IFERROR(('Final Calculation Sheet'!$AC$15)&amp;"","")))))&gt;0),IF(COUNTIF($BI$89:$BP$89,4)=0,TRUE,SUMPRODUCT(($BI$89:$BP$89=4)*($AS$89:$AZ$89&lt;&gt;"")*IF(((UPPER($AS$89:$AZ$89)="BLANK")+(UPPER($AS$89:$AZ$89)="(BLANK)")+(UPPER($AS$89:$AZ$89)="EMPTY")+(UPPER($AS$89:$AZ$89)="(EMPTY)"))&gt;0,IFERROR(('Final Calculation Sheet'!$AC$15)&amp;"","")="",ISNUMBER(SEARCH($AS$89:$AZ$89,IFERROR(('Final Calculation Sheet'!$AC$15)&amp;"","")))))&gt;0),IF(COUNTIF($BI$89:$BP$89,5)=0,TRUE,SUMPRODUCT(($BI$89:$BP$89=5)*($AS$89:$AZ$89&lt;&gt;"")*IF(((UPPER($AS$89:$AZ$89)="BLANK")+(UPPER($AS$89:$AZ$89)="(BLANK)")+(UPPER($AS$89:$AZ$89)="EMPTY")+(UPPER($AS$89:$AZ$89)="(EMPTY)"))&gt;0,IFERROR(('Final Calculation Sheet'!$AC$15)&amp;"","")="",ISNUMBER(SEARCH($AS$89:$AZ$89,IFERROR(('Final Calculation Sheet'!$AC$15)&amp;"","")))))&gt;0),IF(COUNTIF($BI$89:$BP$89,6)=0,TRUE,SUMPRODUCT(($BI$89:$BP$89=6)*($AS$89:$AZ$89&lt;&gt;"")*IF(((UPPER($AS$89:$AZ$89)="BLANK")+(UPPER($AS$89:$AZ$89)="(BLANK)")+(UPPER($AS$89:$AZ$89)="EMPTY")+(UPPER($AS$89:$AZ$89)="(EMPTY)"))&gt;0,IFERROR(('Final Calculation Sheet'!$AC$15)&amp;"","")="",ISNUMBER(SEARCH($AS$89:$AZ$89,IFERROR(('Final Calculation Sheet'!$AC$15)&amp;"","")))))&gt;0),IF(COUNTIF($BI$89:$BP$89,7)=0,TRUE,SUMPRODUCT(($BI$89:$BP$89=7)*($AS$89:$AZ$89&lt;&gt;"")*IF(((UPPER($AS$89:$AZ$89)="BLANK")+(UPPER($AS$89:$AZ$89)="(BLANK)")+(UPPER($AS$89:$AZ$89)="EMPTY")+(UPPER($AS$89:$AZ$89)="(EMPTY)"))&gt;0,IFERROR(('Final Calculation Sheet'!$AC$15)&amp;"","")="",ISNUMBER(SEARCH($AS$89:$AZ$89,IFERROR(('Final Calculation Sheet'!$AC$15)&amp;"","")))))&gt;0),IF(COUNTIF($BI$89:$BP$89,8)=0,TRUE,SUMPRODUCT(($BI$89:$BP$89=8)*($AS$89:$AZ$89&lt;&gt;"")*IF(((UPPER($AS$89:$AZ$89)="BLANK")+(UPPER($AS$89:$AZ$89)="(BLANK)")+(UPPER($AS$89:$AZ$89)="EMPTY")+(UPPER($AS$89:$AZ$89)="(EMPTY)"))&gt;0,IFERROR(('Final Calculation Sheet'!$AC$15)&amp;"","")="",ISNUMBER(SEARCH($AS$89:$AZ$89,IFERROR(('Final Calculation Sheet'!$AC$15)&amp;"","")))))&gt;0))))</f>
        <v>1</v>
      </c>
      <c r="CQ16">
        <f>IF($AE$4="",1,--(AND(SUMPRODUCT(--($AS$90:$AZ$90&lt;&gt;""))&gt;0,IF(COUNTIF($BI$90:$BP$90,1)=0,TRUE,SUMPRODUCT(($BI$90:$BP$90=1)*($AS$90:$AZ$90&lt;&gt;"")*IF(((UPPER($AS$90:$AZ$90)="BLANK")+(UPPER($AS$90:$AZ$90)="(BLANK)")+(UPPER($AS$90:$AZ$90)="EMPTY")+(UPPER($AS$90:$AZ$90)="(EMPTY)"))&gt;0,IFERROR(('Final Calculation Sheet'!$AD$15)&amp;"","")="",ISNUMBER(SEARCH($AS$90:$AZ$90,IFERROR(('Final Calculation Sheet'!$AD$15)&amp;"","")))))&gt;0),IF(COUNTIF($BI$90:$BP$90,2)=0,TRUE,SUMPRODUCT(($BI$90:$BP$90=2)*($AS$90:$AZ$90&lt;&gt;"")*IF(((UPPER($AS$90:$AZ$90)="BLANK")+(UPPER($AS$90:$AZ$90)="(BLANK)")+(UPPER($AS$90:$AZ$90)="EMPTY")+(UPPER($AS$90:$AZ$90)="(EMPTY)"))&gt;0,IFERROR(('Final Calculation Sheet'!$AD$15)&amp;"","")="",ISNUMBER(SEARCH($AS$90:$AZ$90,IFERROR(('Final Calculation Sheet'!$AD$15)&amp;"","")))))&gt;0),IF(COUNTIF($BI$90:$BP$90,3)=0,TRUE,SUMPRODUCT(($BI$90:$BP$90=3)*($AS$90:$AZ$90&lt;&gt;"")*IF(((UPPER($AS$90:$AZ$90)="BLANK")+(UPPER($AS$90:$AZ$90)="(BLANK)")+(UPPER($AS$90:$AZ$90)="EMPTY")+(UPPER($AS$90:$AZ$90)="(EMPTY)"))&gt;0,IFERROR(('Final Calculation Sheet'!$AD$15)&amp;"","")="",ISNUMBER(SEARCH($AS$90:$AZ$90,IFERROR(('Final Calculation Sheet'!$AD$15)&amp;"","")))))&gt;0),IF(COUNTIF($BI$90:$BP$90,4)=0,TRUE,SUMPRODUCT(($BI$90:$BP$90=4)*($AS$90:$AZ$90&lt;&gt;"")*IF(((UPPER($AS$90:$AZ$90)="BLANK")+(UPPER($AS$90:$AZ$90)="(BLANK)")+(UPPER($AS$90:$AZ$90)="EMPTY")+(UPPER($AS$90:$AZ$90)="(EMPTY)"))&gt;0,IFERROR(('Final Calculation Sheet'!$AD$15)&amp;"","")="",ISNUMBER(SEARCH($AS$90:$AZ$90,IFERROR(('Final Calculation Sheet'!$AD$15)&amp;"","")))))&gt;0),IF(COUNTIF($BI$90:$BP$90,5)=0,TRUE,SUMPRODUCT(($BI$90:$BP$90=5)*($AS$90:$AZ$90&lt;&gt;"")*IF(((UPPER($AS$90:$AZ$90)="BLANK")+(UPPER($AS$90:$AZ$90)="(BLANK)")+(UPPER($AS$90:$AZ$90)="EMPTY")+(UPPER($AS$90:$AZ$90)="(EMPTY)"))&gt;0,IFERROR(('Final Calculation Sheet'!$AD$15)&amp;"","")="",ISNUMBER(SEARCH($AS$90:$AZ$90,IFERROR(('Final Calculation Sheet'!$AD$15)&amp;"","")))))&gt;0),IF(COUNTIF($BI$90:$BP$90,6)=0,TRUE,SUMPRODUCT(($BI$90:$BP$90=6)*($AS$90:$AZ$90&lt;&gt;"")*IF(((UPPER($AS$90:$AZ$90)="BLANK")+(UPPER($AS$90:$AZ$90)="(BLANK)")+(UPPER($AS$90:$AZ$90)="EMPTY")+(UPPER($AS$90:$AZ$90)="(EMPTY)"))&gt;0,IFERROR(('Final Calculation Sheet'!$AD$15)&amp;"","")="",ISNUMBER(SEARCH($AS$90:$AZ$90,IFERROR(('Final Calculation Sheet'!$AD$15)&amp;"","")))))&gt;0),IF(COUNTIF($BI$90:$BP$90,7)=0,TRUE,SUMPRODUCT(($BI$90:$BP$90=7)*($AS$90:$AZ$90&lt;&gt;"")*IF(((UPPER($AS$90:$AZ$90)="BLANK")+(UPPER($AS$90:$AZ$90)="(BLANK)")+(UPPER($AS$90:$AZ$90)="EMPTY")+(UPPER($AS$90:$AZ$90)="(EMPTY)"))&gt;0,IFERROR(('Final Calculation Sheet'!$AD$15)&amp;"","")="",ISNUMBER(SEARCH($AS$90:$AZ$90,IFERROR(('Final Calculation Sheet'!$AD$15)&amp;"","")))))&gt;0),IF(COUNTIF($BI$90:$BP$90,8)=0,TRUE,SUMPRODUCT(($BI$90:$BP$90=8)*($AS$90:$AZ$90&lt;&gt;"")*IF(((UPPER($AS$90:$AZ$90)="BLANK")+(UPPER($AS$90:$AZ$90)="(BLANK)")+(UPPER($AS$90:$AZ$90)="EMPTY")+(UPPER($AS$90:$AZ$90)="(EMPTY)"))&gt;0,IFERROR(('Final Calculation Sheet'!$AD$15)&amp;"","")="",ISNUMBER(SEARCH($AS$90:$AZ$90,IFERROR(('Final Calculation Sheet'!$AD$15)&amp;"","")))))&gt;0))))</f>
        <v>1</v>
      </c>
      <c r="CR16">
        <f>IF($AF$4="",1,--(AND(SUMPRODUCT(--($AS$91:$AZ$91&lt;&gt;""))&gt;0,IF(COUNTIF($BI$91:$BP$91,1)=0,TRUE,SUMPRODUCT(($BI$91:$BP$91=1)*($AS$91:$AZ$91&lt;&gt;"")*IF(((UPPER($AS$91:$AZ$91)="BLANK")+(UPPER($AS$91:$AZ$91)="(BLANK)")+(UPPER($AS$91:$AZ$91)="EMPTY")+(UPPER($AS$91:$AZ$91)="(EMPTY)"))&gt;0,IFERROR(('Final Calculation Sheet'!$AE$15)&amp;"","")="",ISNUMBER(SEARCH($AS$91:$AZ$91,IFERROR(('Final Calculation Sheet'!$AE$15)&amp;"","")))))&gt;0),IF(COUNTIF($BI$91:$BP$91,2)=0,TRUE,SUMPRODUCT(($BI$91:$BP$91=2)*($AS$91:$AZ$91&lt;&gt;"")*IF(((UPPER($AS$91:$AZ$91)="BLANK")+(UPPER($AS$91:$AZ$91)="(BLANK)")+(UPPER($AS$91:$AZ$91)="EMPTY")+(UPPER($AS$91:$AZ$91)="(EMPTY)"))&gt;0,IFERROR(('Final Calculation Sheet'!$AE$15)&amp;"","")="",ISNUMBER(SEARCH($AS$91:$AZ$91,IFERROR(('Final Calculation Sheet'!$AE$15)&amp;"","")))))&gt;0),IF(COUNTIF($BI$91:$BP$91,3)=0,TRUE,SUMPRODUCT(($BI$91:$BP$91=3)*($AS$91:$AZ$91&lt;&gt;"")*IF(((UPPER($AS$91:$AZ$91)="BLANK")+(UPPER($AS$91:$AZ$91)="(BLANK)")+(UPPER($AS$91:$AZ$91)="EMPTY")+(UPPER($AS$91:$AZ$91)="(EMPTY)"))&gt;0,IFERROR(('Final Calculation Sheet'!$AE$15)&amp;"","")="",ISNUMBER(SEARCH($AS$91:$AZ$91,IFERROR(('Final Calculation Sheet'!$AE$15)&amp;"","")))))&gt;0),IF(COUNTIF($BI$91:$BP$91,4)=0,TRUE,SUMPRODUCT(($BI$91:$BP$91=4)*($AS$91:$AZ$91&lt;&gt;"")*IF(((UPPER($AS$91:$AZ$91)="BLANK")+(UPPER($AS$91:$AZ$91)="(BLANK)")+(UPPER($AS$91:$AZ$91)="EMPTY")+(UPPER($AS$91:$AZ$91)="(EMPTY)"))&gt;0,IFERROR(('Final Calculation Sheet'!$AE$15)&amp;"","")="",ISNUMBER(SEARCH($AS$91:$AZ$91,IFERROR(('Final Calculation Sheet'!$AE$15)&amp;"","")))))&gt;0),IF(COUNTIF($BI$91:$BP$91,5)=0,TRUE,SUMPRODUCT(($BI$91:$BP$91=5)*($AS$91:$AZ$91&lt;&gt;"")*IF(((UPPER($AS$91:$AZ$91)="BLANK")+(UPPER($AS$91:$AZ$91)="(BLANK)")+(UPPER($AS$91:$AZ$91)="EMPTY")+(UPPER($AS$91:$AZ$91)="(EMPTY)"))&gt;0,IFERROR(('Final Calculation Sheet'!$AE$15)&amp;"","")="",ISNUMBER(SEARCH($AS$91:$AZ$91,IFERROR(('Final Calculation Sheet'!$AE$15)&amp;"","")))))&gt;0),IF(COUNTIF($BI$91:$BP$91,6)=0,TRUE,SUMPRODUCT(($BI$91:$BP$91=6)*($AS$91:$AZ$91&lt;&gt;"")*IF(((UPPER($AS$91:$AZ$91)="BLANK")+(UPPER($AS$91:$AZ$91)="(BLANK)")+(UPPER($AS$91:$AZ$91)="EMPTY")+(UPPER($AS$91:$AZ$91)="(EMPTY)"))&gt;0,IFERROR(('Final Calculation Sheet'!$AE$15)&amp;"","")="",ISNUMBER(SEARCH($AS$91:$AZ$91,IFERROR(('Final Calculation Sheet'!$AE$15)&amp;"","")))))&gt;0),IF(COUNTIF($BI$91:$BP$91,7)=0,TRUE,SUMPRODUCT(($BI$91:$BP$91=7)*($AS$91:$AZ$91&lt;&gt;"")*IF(((UPPER($AS$91:$AZ$91)="BLANK")+(UPPER($AS$91:$AZ$91)="(BLANK)")+(UPPER($AS$91:$AZ$91)="EMPTY")+(UPPER($AS$91:$AZ$91)="(EMPTY)"))&gt;0,IFERROR(('Final Calculation Sheet'!$AE$15)&amp;"","")="",ISNUMBER(SEARCH($AS$91:$AZ$91,IFERROR(('Final Calculation Sheet'!$AE$15)&amp;"","")))))&gt;0),IF(COUNTIF($BI$91:$BP$91,8)=0,TRUE,SUMPRODUCT(($BI$91:$BP$91=8)*($AS$91:$AZ$91&lt;&gt;"")*IF(((UPPER($AS$91:$AZ$91)="BLANK")+(UPPER($AS$91:$AZ$91)="(BLANK)")+(UPPER($AS$91:$AZ$91)="EMPTY")+(UPPER($AS$91:$AZ$91)="(EMPTY)"))&gt;0,IFERROR(('Final Calculation Sheet'!$AE$15)&amp;"","")="",ISNUMBER(SEARCH($AS$91:$AZ$91,IFERROR(('Final Calculation Sheet'!$AE$15)&amp;"","")))))&gt;0))))</f>
        <v>1</v>
      </c>
      <c r="CS16">
        <f>IF($AG$4="",1,--(AND(SUMPRODUCT(--($AS$92:$AZ$92&lt;&gt;""))&gt;0,IF(COUNTIF($BI$92:$BP$92,1)=0,TRUE,SUMPRODUCT(($BI$92:$BP$92=1)*($AS$92:$AZ$92&lt;&gt;"")*IF(((UPPER($AS$92:$AZ$92)="BLANK")+(UPPER($AS$92:$AZ$92)="(BLANK)")+(UPPER($AS$92:$AZ$92)="EMPTY")+(UPPER($AS$92:$AZ$92)="(EMPTY)"))&gt;0,IFERROR(('Final Calculation Sheet'!$AF$15)&amp;"","")="",ISNUMBER(SEARCH($AS$92:$AZ$92,IFERROR(('Final Calculation Sheet'!$AF$15)&amp;"","")))))&gt;0),IF(COUNTIF($BI$92:$BP$92,2)=0,TRUE,SUMPRODUCT(($BI$92:$BP$92=2)*($AS$92:$AZ$92&lt;&gt;"")*IF(((UPPER($AS$92:$AZ$92)="BLANK")+(UPPER($AS$92:$AZ$92)="(BLANK)")+(UPPER($AS$92:$AZ$92)="EMPTY")+(UPPER($AS$92:$AZ$92)="(EMPTY)"))&gt;0,IFERROR(('Final Calculation Sheet'!$AF$15)&amp;"","")="",ISNUMBER(SEARCH($AS$92:$AZ$92,IFERROR(('Final Calculation Sheet'!$AF$15)&amp;"","")))))&gt;0),IF(COUNTIF($BI$92:$BP$92,3)=0,TRUE,SUMPRODUCT(($BI$92:$BP$92=3)*($AS$92:$AZ$92&lt;&gt;"")*IF(((UPPER($AS$92:$AZ$92)="BLANK")+(UPPER($AS$92:$AZ$92)="(BLANK)")+(UPPER($AS$92:$AZ$92)="EMPTY")+(UPPER($AS$92:$AZ$92)="(EMPTY)"))&gt;0,IFERROR(('Final Calculation Sheet'!$AF$15)&amp;"","")="",ISNUMBER(SEARCH($AS$92:$AZ$92,IFERROR(('Final Calculation Sheet'!$AF$15)&amp;"","")))))&gt;0),IF(COUNTIF($BI$92:$BP$92,4)=0,TRUE,SUMPRODUCT(($BI$92:$BP$92=4)*($AS$92:$AZ$92&lt;&gt;"")*IF(((UPPER($AS$92:$AZ$92)="BLANK")+(UPPER($AS$92:$AZ$92)="(BLANK)")+(UPPER($AS$92:$AZ$92)="EMPTY")+(UPPER($AS$92:$AZ$92)="(EMPTY)"))&gt;0,IFERROR(('Final Calculation Sheet'!$AF$15)&amp;"","")="",ISNUMBER(SEARCH($AS$92:$AZ$92,IFERROR(('Final Calculation Sheet'!$AF$15)&amp;"","")))))&gt;0),IF(COUNTIF($BI$92:$BP$92,5)=0,TRUE,SUMPRODUCT(($BI$92:$BP$92=5)*($AS$92:$AZ$92&lt;&gt;"")*IF(((UPPER($AS$92:$AZ$92)="BLANK")+(UPPER($AS$92:$AZ$92)="(BLANK)")+(UPPER($AS$92:$AZ$92)="EMPTY")+(UPPER($AS$92:$AZ$92)="(EMPTY)"))&gt;0,IFERROR(('Final Calculation Sheet'!$AF$15)&amp;"","")="",ISNUMBER(SEARCH($AS$92:$AZ$92,IFERROR(('Final Calculation Sheet'!$AF$15)&amp;"","")))))&gt;0),IF(COUNTIF($BI$92:$BP$92,6)=0,TRUE,SUMPRODUCT(($BI$92:$BP$92=6)*($AS$92:$AZ$92&lt;&gt;"")*IF(((UPPER($AS$92:$AZ$92)="BLANK")+(UPPER($AS$92:$AZ$92)="(BLANK)")+(UPPER($AS$92:$AZ$92)="EMPTY")+(UPPER($AS$92:$AZ$92)="(EMPTY)"))&gt;0,IFERROR(('Final Calculation Sheet'!$AF$15)&amp;"","")="",ISNUMBER(SEARCH($AS$92:$AZ$92,IFERROR(('Final Calculation Sheet'!$AF$15)&amp;"","")))))&gt;0),IF(COUNTIF($BI$92:$BP$92,7)=0,TRUE,SUMPRODUCT(($BI$92:$BP$92=7)*($AS$92:$AZ$92&lt;&gt;"")*IF(((UPPER($AS$92:$AZ$92)="BLANK")+(UPPER($AS$92:$AZ$92)="(BLANK)")+(UPPER($AS$92:$AZ$92)="EMPTY")+(UPPER($AS$92:$AZ$92)="(EMPTY)"))&gt;0,IFERROR(('Final Calculation Sheet'!$AF$15)&amp;"","")="",ISNUMBER(SEARCH($AS$92:$AZ$92,IFERROR(('Final Calculation Sheet'!$AF$15)&amp;"","")))))&gt;0),IF(COUNTIF($BI$92:$BP$92,8)=0,TRUE,SUMPRODUCT(($BI$92:$BP$92=8)*($AS$92:$AZ$92&lt;&gt;"")*IF(((UPPER($AS$92:$AZ$92)="BLANK")+(UPPER($AS$92:$AZ$92)="(BLANK)")+(UPPER($AS$92:$AZ$92)="EMPTY")+(UPPER($AS$92:$AZ$92)="(EMPTY)"))&gt;0,IFERROR(('Final Calculation Sheet'!$AF$15)&amp;"","")="",ISNUMBER(SEARCH($AS$92:$AZ$92,IFERROR(('Final Calculation Sheet'!$AF$15)&amp;"","")))))&gt;0))))</f>
        <v>1</v>
      </c>
      <c r="CT16">
        <f>IF($AH$4="",1,--(AND(SUMPRODUCT(--($AS$93:$AZ$93&lt;&gt;""))&gt;0,IF(COUNTIF($BI$93:$BP$93,1)=0,TRUE,SUMPRODUCT(($BI$93:$BP$93=1)*($AS$93:$AZ$93&lt;&gt;"")*IF(((UPPER($AS$93:$AZ$93)="BLANK")+(UPPER($AS$93:$AZ$93)="(BLANK)")+(UPPER($AS$93:$AZ$93)="EMPTY")+(UPPER($AS$93:$AZ$93)="(EMPTY)"))&gt;0,IFERROR(('Final Calculation Sheet'!$AG$15)&amp;"","")="",ISNUMBER(SEARCH($AS$93:$AZ$93,IFERROR(('Final Calculation Sheet'!$AG$15)&amp;"","")))))&gt;0),IF(COUNTIF($BI$93:$BP$93,2)=0,TRUE,SUMPRODUCT(($BI$93:$BP$93=2)*($AS$93:$AZ$93&lt;&gt;"")*IF(((UPPER($AS$93:$AZ$93)="BLANK")+(UPPER($AS$93:$AZ$93)="(BLANK)")+(UPPER($AS$93:$AZ$93)="EMPTY")+(UPPER($AS$93:$AZ$93)="(EMPTY)"))&gt;0,IFERROR(('Final Calculation Sheet'!$AG$15)&amp;"","")="",ISNUMBER(SEARCH($AS$93:$AZ$93,IFERROR(('Final Calculation Sheet'!$AG$15)&amp;"","")))))&gt;0),IF(COUNTIF($BI$93:$BP$93,3)=0,TRUE,SUMPRODUCT(($BI$93:$BP$93=3)*($AS$93:$AZ$93&lt;&gt;"")*IF(((UPPER($AS$93:$AZ$93)="BLANK")+(UPPER($AS$93:$AZ$93)="(BLANK)")+(UPPER($AS$93:$AZ$93)="EMPTY")+(UPPER($AS$93:$AZ$93)="(EMPTY)"))&gt;0,IFERROR(('Final Calculation Sheet'!$AG$15)&amp;"","")="",ISNUMBER(SEARCH($AS$93:$AZ$93,IFERROR(('Final Calculation Sheet'!$AG$15)&amp;"","")))))&gt;0),IF(COUNTIF($BI$93:$BP$93,4)=0,TRUE,SUMPRODUCT(($BI$93:$BP$93=4)*($AS$93:$AZ$93&lt;&gt;"")*IF(((UPPER($AS$93:$AZ$93)="BLANK")+(UPPER($AS$93:$AZ$93)="(BLANK)")+(UPPER($AS$93:$AZ$93)="EMPTY")+(UPPER($AS$93:$AZ$93)="(EMPTY)"))&gt;0,IFERROR(('Final Calculation Sheet'!$AG$15)&amp;"","")="",ISNUMBER(SEARCH($AS$93:$AZ$93,IFERROR(('Final Calculation Sheet'!$AG$15)&amp;"","")))))&gt;0),IF(COUNTIF($BI$93:$BP$93,5)=0,TRUE,SUMPRODUCT(($BI$93:$BP$93=5)*($AS$93:$AZ$93&lt;&gt;"")*IF(((UPPER($AS$93:$AZ$93)="BLANK")+(UPPER($AS$93:$AZ$93)="(BLANK)")+(UPPER($AS$93:$AZ$93)="EMPTY")+(UPPER($AS$93:$AZ$93)="(EMPTY)"))&gt;0,IFERROR(('Final Calculation Sheet'!$AG$15)&amp;"","")="",ISNUMBER(SEARCH($AS$93:$AZ$93,IFERROR(('Final Calculation Sheet'!$AG$15)&amp;"","")))))&gt;0),IF(COUNTIF($BI$93:$BP$93,6)=0,TRUE,SUMPRODUCT(($BI$93:$BP$93=6)*($AS$93:$AZ$93&lt;&gt;"")*IF(((UPPER($AS$93:$AZ$93)="BLANK")+(UPPER($AS$93:$AZ$93)="(BLANK)")+(UPPER($AS$93:$AZ$93)="EMPTY")+(UPPER($AS$93:$AZ$93)="(EMPTY)"))&gt;0,IFERROR(('Final Calculation Sheet'!$AG$15)&amp;"","")="",ISNUMBER(SEARCH($AS$93:$AZ$93,IFERROR(('Final Calculation Sheet'!$AG$15)&amp;"","")))))&gt;0),IF(COUNTIF($BI$93:$BP$93,7)=0,TRUE,SUMPRODUCT(($BI$93:$BP$93=7)*($AS$93:$AZ$93&lt;&gt;"")*IF(((UPPER($AS$93:$AZ$93)="BLANK")+(UPPER($AS$93:$AZ$93)="(BLANK)")+(UPPER($AS$93:$AZ$93)="EMPTY")+(UPPER($AS$93:$AZ$93)="(EMPTY)"))&gt;0,IFERROR(('Final Calculation Sheet'!$AG$15)&amp;"","")="",ISNUMBER(SEARCH($AS$93:$AZ$93,IFERROR(('Final Calculation Sheet'!$AG$15)&amp;"","")))))&gt;0),IF(COUNTIF($BI$93:$BP$93,8)=0,TRUE,SUMPRODUCT(($BI$93:$BP$93=8)*($AS$93:$AZ$93&lt;&gt;"")*IF(((UPPER($AS$93:$AZ$93)="BLANK")+(UPPER($AS$93:$AZ$93)="(BLANK)")+(UPPER($AS$93:$AZ$93)="EMPTY")+(UPPER($AS$93:$AZ$93)="(EMPTY)"))&gt;0,IFERROR(('Final Calculation Sheet'!$AG$15)&amp;"","")="",ISNUMBER(SEARCH($AS$93:$AZ$93,IFERROR(('Final Calculation Sheet'!$AG$15)&amp;"","")))))&gt;0))))</f>
        <v>1</v>
      </c>
      <c r="CU16">
        <f>IF($AI$4="",1,--(AND(SUMPRODUCT(--($AS$94:$AZ$94&lt;&gt;""))&gt;0,IF(COUNTIF($BI$94:$BP$94,1)=0,TRUE,SUMPRODUCT(($BI$94:$BP$94=1)*($AS$94:$AZ$94&lt;&gt;"")*IF(((UPPER($AS$94:$AZ$94)="BLANK")+(UPPER($AS$94:$AZ$94)="(BLANK)")+(UPPER($AS$94:$AZ$94)="EMPTY")+(UPPER($AS$94:$AZ$94)="(EMPTY)"))&gt;0,IFERROR((IF('Final Calculation Sheet'!$AD$15&lt;=0,"SETTLED","OUTSTANDING"))&amp;"","")="",ISNUMBER(SEARCH($AS$94:$AZ$94,IFERROR((IF('Final Calculation Sheet'!$AD$15&lt;=0,"SETTLED","OUTSTANDING"))&amp;"","")))))&gt;0),IF(COUNTIF($BI$94:$BP$94,2)=0,TRUE,SUMPRODUCT(($BI$94:$BP$94=2)*($AS$94:$AZ$94&lt;&gt;"")*IF(((UPPER($AS$94:$AZ$94)="BLANK")+(UPPER($AS$94:$AZ$94)="(BLANK)")+(UPPER($AS$94:$AZ$94)="EMPTY")+(UPPER($AS$94:$AZ$94)="(EMPTY)"))&gt;0,IFERROR((IF('Final Calculation Sheet'!$AD$15&lt;=0,"SETTLED","OUTSTANDING"))&amp;"","")="",ISNUMBER(SEARCH($AS$94:$AZ$94,IFERROR((IF('Final Calculation Sheet'!$AD$15&lt;=0,"SETTLED","OUTSTANDING"))&amp;"","")))))&gt;0),IF(COUNTIF($BI$94:$BP$94,3)=0,TRUE,SUMPRODUCT(($BI$94:$BP$94=3)*($AS$94:$AZ$94&lt;&gt;"")*IF(((UPPER($AS$94:$AZ$94)="BLANK")+(UPPER($AS$94:$AZ$94)="(BLANK)")+(UPPER($AS$94:$AZ$94)="EMPTY")+(UPPER($AS$94:$AZ$94)="(EMPTY)"))&gt;0,IFERROR((IF('Final Calculation Sheet'!$AD$15&lt;=0,"SETTLED","OUTSTANDING"))&amp;"","")="",ISNUMBER(SEARCH($AS$94:$AZ$94,IFERROR((IF('Final Calculation Sheet'!$AD$15&lt;=0,"SETTLED","OUTSTANDING"))&amp;"","")))))&gt;0),IF(COUNTIF($BI$94:$BP$94,4)=0,TRUE,SUMPRODUCT(($BI$94:$BP$94=4)*($AS$94:$AZ$94&lt;&gt;"")*IF(((UPPER($AS$94:$AZ$94)="BLANK")+(UPPER($AS$94:$AZ$94)="(BLANK)")+(UPPER($AS$94:$AZ$94)="EMPTY")+(UPPER($AS$94:$AZ$94)="(EMPTY)"))&gt;0,IFERROR((IF('Final Calculation Sheet'!$AD$15&lt;=0,"SETTLED","OUTSTANDING"))&amp;"","")="",ISNUMBER(SEARCH($AS$94:$AZ$94,IFERROR((IF('Final Calculation Sheet'!$AD$15&lt;=0,"SETTLED","OUTSTANDING"))&amp;"","")))))&gt;0),IF(COUNTIF($BI$94:$BP$94,5)=0,TRUE,SUMPRODUCT(($BI$94:$BP$94=5)*($AS$94:$AZ$94&lt;&gt;"")*IF(((UPPER($AS$94:$AZ$94)="BLANK")+(UPPER($AS$94:$AZ$94)="(BLANK)")+(UPPER($AS$94:$AZ$94)="EMPTY")+(UPPER($AS$94:$AZ$94)="(EMPTY)"))&gt;0,IFERROR((IF('Final Calculation Sheet'!$AD$15&lt;=0,"SETTLED","OUTSTANDING"))&amp;"","")="",ISNUMBER(SEARCH($AS$94:$AZ$94,IFERROR((IF('Final Calculation Sheet'!$AD$15&lt;=0,"SETTLED","OUTSTANDING"))&amp;"","")))))&gt;0),IF(COUNTIF($BI$94:$BP$94,6)=0,TRUE,SUMPRODUCT(($BI$94:$BP$94=6)*($AS$94:$AZ$94&lt;&gt;"")*IF(((UPPER($AS$94:$AZ$94)="BLANK")+(UPPER($AS$94:$AZ$94)="(BLANK)")+(UPPER($AS$94:$AZ$94)="EMPTY")+(UPPER($AS$94:$AZ$94)="(EMPTY)"))&gt;0,IFERROR((IF('Final Calculation Sheet'!$AD$15&lt;=0,"SETTLED","OUTSTANDING"))&amp;"","")="",ISNUMBER(SEARCH($AS$94:$AZ$94,IFERROR((IF('Final Calculation Sheet'!$AD$15&lt;=0,"SETTLED","OUTSTANDING"))&amp;"","")))))&gt;0),IF(COUNTIF($BI$94:$BP$94,7)=0,TRUE,SUMPRODUCT(($BI$94:$BP$94=7)*($AS$94:$AZ$94&lt;&gt;"")*IF(((UPPER($AS$94:$AZ$94)="BLANK")+(UPPER($AS$94:$AZ$94)="(BLANK)")+(UPPER($AS$94:$AZ$94)="EMPTY")+(UPPER($AS$94:$AZ$94)="(EMPTY)"))&gt;0,IFERROR((IF('Final Calculation Sheet'!$AD$15&lt;=0,"SETTLED","OUTSTANDING"))&amp;"","")="",ISNUMBER(SEARCH($AS$94:$AZ$94,IFERROR((IF('Final Calculation Sheet'!$AD$15&lt;=0,"SETTLED","OUTSTANDING"))&amp;"","")))))&gt;0),IF(COUNTIF($BI$94:$BP$94,8)=0,TRUE,SUMPRODUCT(($BI$94:$BP$94=8)*($AS$94:$AZ$94&lt;&gt;"")*IF(((UPPER($AS$94:$AZ$94)="BLANK")+(UPPER($AS$94:$AZ$94)="(BLANK)")+(UPPER($AS$94:$AZ$94)="EMPTY")+(UPPER($AS$94:$AZ$94)="(EMPTY)"))&gt;0,IFERROR((IF('Final Calculation Sheet'!$AD$15&lt;=0,"SETTLED","OUTSTANDING"))&amp;"","")="",ISNUMBER(SEARCH($AS$94:$AZ$94,IFERROR((IF('Final Calculation Sheet'!$AD$15&lt;=0,"SETTLED","OUTSTANDING"))&amp;"","")))))&gt;0))))</f>
        <v>1</v>
      </c>
    </row>
    <row r="17" spans="1:99" ht="15" customHeight="1" x14ac:dyDescent="0.25">
      <c r="A17" s="67" t="str">
        <f>IF($BJ16&gt;0,INDEX($BA$5:$BA$41,MATCH(16,$BB$5:$BB$41,0)),IF(OR($BI16=1,$BL16=1,$BH16&gt;0),"∑",""))</f>
        <v>∑</v>
      </c>
      <c r="B17" s="68" t="str">
        <f>IF($BJ16&gt;0,IF(INDEX('Final Calculation Sheet'!$F$4:$F$40,$BJ16-3)="","",INDEX('Final Calculation Sheet'!$F$4:$F$40,$BJ16-3)),"")</f>
        <v/>
      </c>
      <c r="C17" s="68" t="str">
        <f>IF($BJ16&gt;0,IF(INDEX('Final Calculation Sheet'!$G$4:$G$40,$BJ16-3)="","",INDEX('Final Calculation Sheet'!$G$4:$G$40,$BJ16-3)),IF(OR($BI16=1,$BL16=1,$BH16&gt;0),IF($BI16=1,37,IF($BL16=1,37-INDEX($BD$4:$BD$13,10),INDEX($BD$4:$BD$13,$BH16)))&amp;" lot(s)",""))</f>
        <v>9 lot(s)</v>
      </c>
      <c r="D17" s="69" t="str">
        <f>IF($BJ16&gt;0,IF(INDEX('Final Calculation Sheet'!$B$4:$B$40,$BJ16-3)="","",INDEX('Final Calculation Sheet'!$B$4:$B$40,$BJ16-3)),IF(OR($BI16=1,$BL16=1,$BH16&gt;0),IF($BI16=1,"GRAND TOTAL  —  matching + remaining",IF($BL16=1,"TOTAL MATCHED  —  every group together",IF($BH16=10,"REMAINING  —  did not match the search",IF($BH16=9,IF(COUNTIF($A$4:$AI$4,"&lt;&gt;")&gt;0,"FILTERED LOTS  —  column fields","ALL LOTS  —  nothing typed in the box"),"GROUP "&amp;$BH16&amp;" TOTAL  —  lots matching  "&amp;INDEX($AR$6:$AY$6,$BH16))))),""))</f>
        <v>TOTAL MATCHED  —  every group together</v>
      </c>
      <c r="E17" s="69" t="str">
        <f>IF($BJ16&gt;0,IF(INDEX('Final Calculation Sheet'!$D$4:$D$40,$BJ16-3)="","",INDEX('Final Calculation Sheet'!$D$4:$D$40,$BJ16-3)),IF(OR($BI16=1,$BL16=1,$BH16&gt;0),"–",""))</f>
        <v>–</v>
      </c>
      <c r="F17" s="69">
        <f>IF($BJ16&gt;0,IF(INDEX('Final Calculation Sheet'!$A$4:$A$40,$BJ16-3)="","",INDEX('Final Calculation Sheet'!$A$4:$A$40,$BJ16-3)),IF(OR($BI16=1,$BL16=1,$BH16&gt;0),IF($BI16=1,SUM('Final Calculation Sheet'!$A$4:$A$40),IF($BL16=1,SUM('Final Calculation Sheet'!$A$4:$A$40)-SUMIFS('Final Calculation Sheet'!$A$4:$A$40,$AZ$5:$AZ$41,10),SUMIFS('Final Calculation Sheet'!$A$4:$A$40,$AZ$5:$AZ$41,$BH16))),""))</f>
        <v>1737</v>
      </c>
      <c r="G17" s="69" t="str">
        <f>IF($BJ16&gt;0,IF(INDEX('Final Calculation Sheet'!$E$4:$E$40,$BJ16-3)="","",INDEX('Final Calculation Sheet'!$E$4:$E$40,$BJ16-3)),IF(OR($BI16=1,$BL16=1,$BH16&gt;0),"–",""))</f>
        <v>–</v>
      </c>
      <c r="H17" s="70" t="str">
        <f>IF($BJ16&gt;0,IF(INDEX('Final Calculation Sheet'!$C$4:$C$40,$BJ16-3)="","",INDEX('Final Calculation Sheet'!$C$4:$C$40,$BJ16-3)),IF(OR($BI16=1,$BL16=1,$BH16&gt;0),"–",""))</f>
        <v>–</v>
      </c>
      <c r="I17" s="70">
        <f>IF($BJ16&gt;0,IF(INDEX('Final Calculation Sheet'!$H$4:$H$40,$BJ16-3)="","",INDEX('Final Calculation Sheet'!$H$4:$H$40,$BJ16-3)),IF(OR($BI16=1,$BL16=1,$BH16&gt;0),IF($BI16=1,SUM('Final Calculation Sheet'!$H$4:$H$40),IF($BL16=1,SUM('Final Calculation Sheet'!$H$4:$H$40)-SUMIFS('Final Calculation Sheet'!$H$4:$H$40,$AZ$5:$AZ$41,10),SUMIFS('Final Calculation Sheet'!$H$4:$H$40,$AZ$5:$AZ$41,$BH16))),""))</f>
        <v>973760</v>
      </c>
      <c r="J17" s="70">
        <f>IF($BJ16&gt;0,IF(INDEX('Final Calculation Sheet'!$I$4:$I$40,$BJ16-3)="","",INDEX('Final Calculation Sheet'!$I$4:$I$40,$BJ16-3)),IF(OR($BI16=1,$BL16=1,$BH16&gt;0),IF($BI16=1,SUM('Final Calculation Sheet'!$I$4:$I$40),IF($BL16=1,SUM('Final Calculation Sheet'!$I$4:$I$40)-SUMIFS('Final Calculation Sheet'!$I$4:$I$40,$AZ$5:$AZ$41,10),SUMIFS('Final Calculation Sheet'!$I$4:$I$40,$AZ$5:$AZ$41,$BH16))),""))</f>
        <v>175277</v>
      </c>
      <c r="K17" s="70">
        <f>IF($BJ16&gt;0,IF(INDEX('Final Calculation Sheet'!$J$4:$J$40,$BJ16-3)="","",INDEX('Final Calculation Sheet'!$J$4:$J$40,$BJ16-3)),IF(OR($BI16=1,$BL16=1,$BH16&gt;0),IF($BI16=1,SUM('Final Calculation Sheet'!$J$4:$J$40),IF($BL16=1,SUM('Final Calculation Sheet'!$J$4:$J$40)-SUMIFS('Final Calculation Sheet'!$J$4:$J$40,$AZ$5:$AZ$41,10),SUMIFS('Final Calculation Sheet'!$J$4:$J$40,$AZ$5:$AZ$41,$BH16))),""))</f>
        <v>1149037</v>
      </c>
      <c r="L17" s="70">
        <f>IF($BJ16&gt;0,IF(INDEX('Final Calculation Sheet'!$K$4:$K$40,$BJ16-3)="","",INDEX('Final Calculation Sheet'!$K$4:$K$40,$BJ16-3)),IF(OR($BI16=1,$BL16=1,$BH16&gt;0),IF($BI16=1,SUM('Final Calculation Sheet'!$K$4:$K$40),IF($BL16=1,SUM('Final Calculation Sheet'!$K$4:$K$40)-SUMIFS('Final Calculation Sheet'!$K$4:$K$40,$AZ$5:$AZ$41,10),SUMIFS('Final Calculation Sheet'!$K$4:$K$40,$AZ$5:$AZ$41,$BH16))),""))</f>
        <v>22981</v>
      </c>
      <c r="M17" s="70">
        <f>IF($BJ16&gt;0,IF(INDEX('Final Calculation Sheet'!$L$4:$L$40,$BJ16-3)="","",INDEX('Final Calculation Sheet'!$L$4:$L$40,$BJ16-3)),IF(OR($BI16=1,$BL16=1,$BH16&gt;0),IF($BI16=1,SUM('Final Calculation Sheet'!$L$4:$L$40),IF($BL16=1,SUM('Final Calculation Sheet'!$L$4:$L$40)-SUMIFS('Final Calculation Sheet'!$L$4:$L$40,$AZ$5:$AZ$41,10),SUMIFS('Final Calculation Sheet'!$L$4:$L$40,$AZ$5:$AZ$41,$BH16))),""))</f>
        <v>973.7599999999984</v>
      </c>
      <c r="N17" s="70">
        <f>IF($BJ16&gt;0,IF(INDEX('Final Calculation Sheet'!$M$4:$M$40,$BJ16-3)="","",INDEX('Final Calculation Sheet'!$M$4:$M$40,$BJ16-3)),IF(OR($BI16=1,$BL16=1,$BH16&gt;0),IF($BI16=1,SUM('Final Calculation Sheet'!$M$4:$M$40),IF($BL16=1,SUM('Final Calculation Sheet'!$M$4:$M$40)-SUMIFS('Final Calculation Sheet'!$M$4:$M$40,$AZ$5:$AZ$41,10),SUMIFS('Final Calculation Sheet'!$M$4:$M$40,$AZ$5:$AZ$41,$BH16))),""))</f>
        <v>25853.32799999998</v>
      </c>
      <c r="O17" s="71">
        <f>IF($BJ16&gt;0,IF(INDEX('Final Calculation Sheet'!$N$4:$N$40,$BJ16-3)="","",INDEX('Final Calculation Sheet'!$N$4:$N$40,$BJ16-3)),IF(OR($BI16=1,$BL16=1,$BH16&gt;0),IF($BI16=1,SUM('Final Calculation Sheet'!$N$4:$N$40),IF($BL16=1,SUM('Final Calculation Sheet'!$N$4:$N$40)-SUMIFS('Final Calculation Sheet'!$N$4:$N$40,$AZ$5:$AZ$41,10),SUMIFS('Final Calculation Sheet'!$N$4:$N$40,$AZ$5:$AZ$41,$BH16))),""))</f>
        <v>438.1919999999991</v>
      </c>
      <c r="P17" s="70">
        <f>IF($BJ16&gt;0,IF(INDEX('Final Calculation Sheet'!$O$4:$O$40,$BJ16-3)="","",INDEX('Final Calculation Sheet'!$O$4:$O$40,$BJ16-3)),IF(OR($BI16=1,$BL16=1,$BH16&gt;0),IF($BI16=1,SUM('Final Calculation Sheet'!$O$4:$O$40),IF($BL16=1,SUM('Final Calculation Sheet'!$O$4:$O$40)-SUMIFS('Final Calculation Sheet'!$O$4:$O$40,$AZ$5:$AZ$41,10),SUMIFS('Final Calculation Sheet'!$O$4:$O$40,$AZ$5:$AZ$41,$BH16))),""))</f>
        <v>25415.136000000115</v>
      </c>
      <c r="Q17" s="70">
        <f>IF($BJ16&gt;0,IF(INDEX('Final Calculation Sheet'!$P$4:$P$40,$BJ16-3)="","",INDEX('Final Calculation Sheet'!$P$4:$P$40,$BJ16-3)),IF(OR($BI16=1,$BL16=1,$BH16&gt;0),IF($BI16=1,SUM('Final Calculation Sheet'!$P$4:$P$40),IF($BL16=1,SUM('Final Calculation Sheet'!$P$4:$P$40)-SUMIFS('Final Calculation Sheet'!$P$4:$P$40,$AZ$5:$AZ$41,10),SUMIFS('Final Calculation Sheet'!$P$4:$P$40,$AZ$5:$AZ$41,$BH16))),""))</f>
        <v>26389</v>
      </c>
      <c r="R17" s="72" t="str">
        <f>IF($BJ16&gt;0,IF(INDEX('Final Calculation Sheet'!$Q$4:$Q$40,$BJ16-3)="","",INDEX('Final Calculation Sheet'!$Q$4:$Q$40,$BJ16-3)),IF(OR($BI16=1,$BL16=1,$BH16&gt;0),"–",""))</f>
        <v>–</v>
      </c>
      <c r="S17" s="70">
        <f>IF($BJ16&gt;0,IF(INDEX('Final Calculation Sheet'!$R$4:$R$40,$BJ16-3)="","",INDEX('Final Calculation Sheet'!$R$4:$R$40,$BJ16-3)),IF(OR($BI16=1,$BL16=1,$BH16&gt;0),IF($BI16=1,SUM('Final Calculation Sheet'!$R$4:$R$40),IF($BL16=1,SUM('Final Calculation Sheet'!$R$4:$R$40)-SUMIFS('Final Calculation Sheet'!$R$4:$R$40,$AZ$5:$AZ$41,10),SUMIFS('Final Calculation Sheet'!$R$4:$R$40,$AZ$5:$AZ$41,$BH16))),""))</f>
        <v>0</v>
      </c>
      <c r="T17" s="70">
        <f>IF($BJ16&gt;0,IF(INDEX('Final Calculation Sheet'!$S$4:$S$40,$BJ16-3)="","",INDEX('Final Calculation Sheet'!$S$4:$S$40,$BJ16-3)),IF(OR($BI16=1,$BL16=1,$BH16&gt;0),IF($BI16=1,SUM('Final Calculation Sheet'!$S$4:$S$40),IF($BL16=1,SUM('Final Calculation Sheet'!$S$4:$S$40)-SUMIFS('Final Calculation Sheet'!$S$4:$S$40,$AZ$5:$AZ$41,10),SUMIFS('Final Calculation Sheet'!$S$4:$S$40,$AZ$5:$AZ$41,$BH16))),""))</f>
        <v>1145630</v>
      </c>
      <c r="U17" s="70">
        <f>IF($BJ16&gt;0,IF(INDEX('Final Calculation Sheet'!$T$4:$T$40,$BJ16-3)="","",INDEX('Final Calculation Sheet'!$T$4:$T$40,$BJ16-3)),IF(OR($BI16=1,$BL16=1,$BH16&gt;0),IF($BI16=1,SUM('Final Calculation Sheet'!$T$4:$T$40),IF($BL16=1,SUM('Final Calculation Sheet'!$T$4:$T$40)-SUMIFS('Final Calculation Sheet'!$T$4:$T$40,$AZ$5:$AZ$41,10),SUMIFS('Final Calculation Sheet'!$T$4:$T$40,$AZ$5:$AZ$41,$BH16))),""))</f>
        <v>243441</v>
      </c>
      <c r="V17" s="73">
        <f>IF($BJ16&gt;0,IF(INDEX('Final Calculation Sheet'!$U$4:$U$40,$BJ16-3)="","",INDEX('Final Calculation Sheet'!$U$4:$U$40,$BJ16-3)),IF(OR($BI16=1,$BL16=1,$BH16&gt;0),IF($BI16=1,SUM('Final Calculation Sheet'!$U$4:$U$40),IF($BL16=1,SUM('Final Calculation Sheet'!$U$4:$U$40)-SUMIFS('Final Calculation Sheet'!$U$4:$U$40,$AZ$5:$AZ$41,10),SUMIFS('Final Calculation Sheet'!$U$4:$U$40,$AZ$5:$AZ$41,$BH16))),""))</f>
        <v>243441</v>
      </c>
      <c r="W17" s="70" t="str">
        <f>IF($BJ16&gt;0,IF(INDEX('Final Calculation Sheet'!$V$4:$V$40,$BJ16-3)="","",INDEX('Final Calculation Sheet'!$V$4:$V$40,$BJ16-3)),IF(OR($BI16=1,$BL16=1,$BH16&gt;0),"–",""))</f>
        <v>–</v>
      </c>
      <c r="X17" s="70">
        <f>IF($BJ16&gt;0,IF(INDEX('Final Calculation Sheet'!$W$4:$W$40,$BJ16-3)="","",INDEX('Final Calculation Sheet'!$W$4:$W$40,$BJ16-3)),IF(OR($BI16=1,$BL16=1,$BH16&gt;0),IF($BI16=1,SUM('Final Calculation Sheet'!$W$4:$W$40),IF($BL16=1,SUM('Final Calculation Sheet'!$W$4:$W$40)-SUMIFS('Final Calculation Sheet'!$W$4:$W$40,$AZ$5:$AZ$41,10),SUMIFS('Final Calculation Sheet'!$W$4:$W$40,$AZ$5:$AZ$41,$BH16))),""))</f>
        <v>902191</v>
      </c>
      <c r="Y17" s="70">
        <f>IF($BJ16&gt;0,IF(INDEX('Final Calculation Sheet'!$X$4:$X$40,$BJ16-3)="","",INDEX('Final Calculation Sheet'!$X$4:$X$40,$BJ16-3)),IF(OR($BI16=1,$BL16=1,$BH16&gt;0),IF($BI16=1,SUM('Final Calculation Sheet'!$X$4:$X$40),IF($BL16=1,SUM('Final Calculation Sheet'!$X$4:$X$40)-SUMIFS('Final Calculation Sheet'!$X$4:$X$40,$AZ$5:$AZ$41,10),SUMIFS('Final Calculation Sheet'!$X$4:$X$40,$AZ$5:$AZ$41,$BH16))),""))</f>
        <v>902236</v>
      </c>
      <c r="Z17" s="70" t="str">
        <f>IF($BJ16&gt;0,IF(INDEX('Final Calculation Sheet'!$Y$4:$Y$40,$BJ16-3)="","",INDEX('Final Calculation Sheet'!$Y$4:$Y$40,$BJ16-3)),IF(OR($BI16=1,$BL16=1,$BH16&gt;0),"–",""))</f>
        <v>–</v>
      </c>
      <c r="AA17" s="70">
        <f ca="1">IF($BJ16&gt;0,IF(INDEX('Final Calculation Sheet'!$Z$4:$Z$40,$BJ16-3)="","",INDEX('Final Calculation Sheet'!$Z$4:$Z$40,$BJ16-3)),IF(OR($BI16=1,$BL16=1,$BH16&gt;0),IF($BI16=1,SUM('Final Calculation Sheet'!$Z$4:$Z$40),IF($BL16=1,SUM('Final Calculation Sheet'!$Z$4:$Z$40)-SUMIFS('Final Calculation Sheet'!$Z$4:$Z$40,$AZ$5:$AZ$41,10),SUMIFS('Final Calculation Sheet'!$Z$4:$Z$40,$AZ$5:$AZ$41,$BH16))),""))</f>
        <v>0</v>
      </c>
      <c r="AB17" s="70">
        <f>IF($BJ16&gt;0,IF(INDEX('Final Calculation Sheet'!$AA$4:$AA$40,$BJ16-3)="","",INDEX('Final Calculation Sheet'!$AA$4:$AA$40,$BJ16-3)),IF(OR($BI16=1,$BL16=1,$BH16&gt;0),IF($BI16=1,SUM('Final Calculation Sheet'!$AA$4:$AA$40),IF($BL16=1,SUM('Final Calculation Sheet'!$AA$4:$AA$40)-SUMIFS('Final Calculation Sheet'!$AA$4:$AA$40,$AZ$5:$AZ$41,10),SUMIFS('Final Calculation Sheet'!$AA$4:$AA$40,$AZ$5:$AZ$41,$BH16))),""))</f>
        <v>0</v>
      </c>
      <c r="AC17" s="70" t="str">
        <f>IF($BJ16&gt;0,IF(INDEX('Final Calculation Sheet'!$AB$4:$AB$40,$BJ16-3)="","",INDEX('Final Calculation Sheet'!$AB$4:$AB$40,$BJ16-3)),IF(OR($BI16=1,$BL16=1,$BH16&gt;0),"–",""))</f>
        <v>–</v>
      </c>
      <c r="AD17" s="70">
        <f>IF($BJ16&gt;0,IF(INDEX('Final Calculation Sheet'!$AC$4:$AC$40,$BJ16-3)="","",INDEX('Final Calculation Sheet'!$AC$4:$AC$40,$BJ16-3)),IF(OR($BI16=1,$BL16=1,$BH16&gt;0),IF($BI16=1,SUM('Final Calculation Sheet'!$AC$4:$AC$40),IF($BL16=1,SUM('Final Calculation Sheet'!$AC$4:$AC$40)-SUMIFS('Final Calculation Sheet'!$AC$4:$AC$40,$AZ$5:$AZ$41,10),SUMIFS('Final Calculation Sheet'!$AC$4:$AC$40,$AZ$5:$AZ$41,$BH16))),""))</f>
        <v>1145677</v>
      </c>
      <c r="AE17" s="70">
        <f>IF($BJ16&gt;0,IF(INDEX('Final Calculation Sheet'!$AD$4:$AD$40,$BJ16-3)="","",INDEX('Final Calculation Sheet'!$AD$4:$AD$40,$BJ16-3)),IF(OR($BI16=1,$BL16=1,$BH16&gt;0),IF($BI16=1,SUM('Final Calculation Sheet'!$AD$4:$AD$40),IF($BL16=1,SUM('Final Calculation Sheet'!$AD$4:$AD$40)-SUMIFS('Final Calculation Sheet'!$AD$4:$AD$40,$AZ$5:$AZ$41,10),SUMIFS('Final Calculation Sheet'!$AD$4:$AD$40,$AZ$5:$AZ$41,$BH16))),""))</f>
        <v>-47</v>
      </c>
      <c r="AF17" s="70" t="str">
        <f>IF($BJ16&gt;0,IF(INDEX('Final Calculation Sheet'!$AE$4:$AE$40,$BJ16-3)="","",INDEX('Final Calculation Sheet'!$AE$4:$AE$40,$BJ16-3)),IF(OR($BI16=1,$BL16=1,$BH16&gt;0),"–",""))</f>
        <v>–</v>
      </c>
      <c r="AG17" s="74" t="str">
        <f>IF($BJ16&gt;0,IF(INDEX('Final Calculation Sheet'!$AF$4:$AF$40,$BJ16-3)="","",INDEX('Final Calculation Sheet'!$AF$4:$AF$40,$BJ16-3)),IF(OR($BI16=1,$BL16=1,$BH16&gt;0),"–",""))</f>
        <v>–</v>
      </c>
      <c r="AH17" s="70" t="str">
        <f>IF($BJ16&gt;0,IF(INDEX('Final Calculation Sheet'!$AG$4:$AG$40,$BJ16-3)="","",INDEX('Final Calculation Sheet'!$AG$4:$AG$40,$BJ16-3)),IF(OR($BI16=1,$BL16=1,$BH16&gt;0),"–",""))</f>
        <v>–</v>
      </c>
      <c r="AI17" s="75" t="str">
        <f>IF($BJ16&gt;0,IF(INDEX('Final Calculation Sheet'!$AD$4:$AD$40,$BJ16-3)="","",IF(INDEX('Final Calculation Sheet'!$AD$4:$AD$40,$BJ16-3)&lt;=0,"SETTLED","OUTSTANDING")),IF(OR($BI16=1,$BL16=1,$BH16&gt;0),IF(IF($BI16=1,SUM('Final Calculation Sheet'!$AD$4:$AD$40),IF($BL16=1,SUM('Final Calculation Sheet'!$AD$4:$AD$40)-SUMIFS('Final Calculation Sheet'!$AD$4:$AD$40,$AZ$5:$AZ$41,10),SUMIFS('Final Calculation Sheet'!$AD$4:$AD$40,$AZ$5:$AZ$41,$BH16)))&lt;=0,"ALL SETTLED","OUTSTANDING"),""))</f>
        <v>ALL SETTLED</v>
      </c>
      <c r="AK17" t="str">
        <f>IF($F$3="Lot No.",'Final Calculation Sheet'!$F$16,IF($F$3="Buyer",'Final Calculation Sheet'!$G$16,IF($F$3="Lot Name",'Final Calculation Sheet'!$B$16,IF($F$3="Bid Sheet",'Final Calculation Sheet'!$D$16,IF($F$3="Unit",'Final Calculation Sheet'!$E$16,'Final Calculation Sheet'!$F$16&amp;" "&amp;'Final Calculation Sheet'!$G$16&amp;" "&amp;'Final Calculation Sheet'!$B$16)))))</f>
        <v>2011 STERLING ENTERPRISES Scrap of empty oil Barrel</v>
      </c>
      <c r="AM17">
        <f t="shared" si="1"/>
        <v>1</v>
      </c>
      <c r="AZ17">
        <f t="shared" si="2"/>
        <v>2</v>
      </c>
      <c r="BA17">
        <f t="shared" si="3"/>
        <v>1</v>
      </c>
      <c r="BB17">
        <f t="shared" si="4"/>
        <v>10</v>
      </c>
      <c r="BC17">
        <v>16</v>
      </c>
      <c r="BH17">
        <f>IFERROR(MATCH(17,$BF$4:$BF$13,0),0)</f>
        <v>0</v>
      </c>
      <c r="BI17">
        <f>IF(17=$BG$5,1,0)</f>
        <v>0</v>
      </c>
      <c r="BJ17">
        <f>IF(OR($BH17&gt;0,$BI17=1,$BL17=1),0,IFERROR(INDEX($BC$5:$BC$41,MATCH(17,$BB$5:$BB$41,0)),0))</f>
        <v>4</v>
      </c>
      <c r="BK17">
        <f>IF($BJ17&gt;0,IF(INDEX($AZ$5:$AZ$41,MATCH(17,$BB$5:$BB$41,0))=10,1,0),IF($BH17=10,1,0))</f>
        <v>1</v>
      </c>
      <c r="BL17">
        <f>IF(17=$BG$4,1,0)</f>
        <v>0</v>
      </c>
      <c r="BM17">
        <f>IF($A$4="",1,--(AND(SUMPRODUCT(--($AS$60:$AZ$60&lt;&gt;""))&gt;0,IF(COUNTIF($BI$60:$BP$60,1)=0,TRUE,SUMPRODUCT(($BI$60:$BP$60=1)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$60,2)=0,TRUE,SUMPRODUCT(($BI$60:$BP$60=2)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$60,3)=0,TRUE,SUMPRODUCT(($BI$60:$BP$60=3)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$60,4)=0,TRUE,SUMPRODUCT(($BI$60:$BP$60=4)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$60,5)=0,TRUE,SUMPRODUCT(($BI$60:$BP$60=5)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$60,6)=0,TRUE,SUMPRODUCT(($BI$60:$BP$60=6)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$60,7)=0,TRUE,SUMPRODUCT(($BI$60:$BP$60=7)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$60,8)=0,TRUE,SUMPRODUCT(($BI$60:$BP$60=8)*($AS$60:$AZ$60&lt;&gt;"")*IF(((UPPER($AS$60:$AZ$60)="BLANK")+(UPPER($AS$60:$AZ$60)="(BLANK)")+(UPPER($AS$60:$AZ$60)="EMPTY")+(UPPER($AS$60:$AZ$60)="(EMPTY)"))&gt;0,IFERROR((ROW()-4)&amp;"","")="",ISNUMBER(SEARCH($AS$60:$AZ$60,IFERROR((ROW()-4)&amp;"","")))))&gt;0))))</f>
        <v>1</v>
      </c>
      <c r="BN17">
        <f>IF($B$4="",1,--(AND(SUMPRODUCT(--($AS$61:$AZ$61&lt;&gt;""))&gt;0,IF(COUNTIF($BI$61:$BP$61,1)=0,TRUE,SUMPRODUCT(($BI$61:$BP$61=1)*($AS$61:$AZ$61&lt;&gt;"")*IF(((UPPER($AS$61:$AZ$61)="BLANK")+(UPPER($AS$61:$AZ$61)="(BLANK)")+(UPPER($AS$61:$AZ$61)="EMPTY")+(UPPER($AS$61:$AZ$61)="(EMPTY)"))&gt;0,IFERROR(('Final Calculation Sheet'!$F$16)&amp;"","")="",ISNUMBER(SEARCH($AS$61:$AZ$61,IFERROR(('Final Calculation Sheet'!$F$16)&amp;"","")))))&gt;0),IF(COUNTIF($BI$61:$BP$61,2)=0,TRUE,SUMPRODUCT(($BI$61:$BP$61=2)*($AS$61:$AZ$61&lt;&gt;"")*IF(((UPPER($AS$61:$AZ$61)="BLANK")+(UPPER($AS$61:$AZ$61)="(BLANK)")+(UPPER($AS$61:$AZ$61)="EMPTY")+(UPPER($AS$61:$AZ$61)="(EMPTY)"))&gt;0,IFERROR(('Final Calculation Sheet'!$F$16)&amp;"","")="",ISNUMBER(SEARCH($AS$61:$AZ$61,IFERROR(('Final Calculation Sheet'!$F$16)&amp;"","")))))&gt;0),IF(COUNTIF($BI$61:$BP$61,3)=0,TRUE,SUMPRODUCT(($BI$61:$BP$61=3)*($AS$61:$AZ$61&lt;&gt;"")*IF(((UPPER($AS$61:$AZ$61)="BLANK")+(UPPER($AS$61:$AZ$61)="(BLANK)")+(UPPER($AS$61:$AZ$61)="EMPTY")+(UPPER($AS$61:$AZ$61)="(EMPTY)"))&gt;0,IFERROR(('Final Calculation Sheet'!$F$16)&amp;"","")="",ISNUMBER(SEARCH($AS$61:$AZ$61,IFERROR(('Final Calculation Sheet'!$F$16)&amp;"","")))))&gt;0),IF(COUNTIF($BI$61:$BP$61,4)=0,TRUE,SUMPRODUCT(($BI$61:$BP$61=4)*($AS$61:$AZ$61&lt;&gt;"")*IF(((UPPER($AS$61:$AZ$61)="BLANK")+(UPPER($AS$61:$AZ$61)="(BLANK)")+(UPPER($AS$61:$AZ$61)="EMPTY")+(UPPER($AS$61:$AZ$61)="(EMPTY)"))&gt;0,IFERROR(('Final Calculation Sheet'!$F$16)&amp;"","")="",ISNUMBER(SEARCH($AS$61:$AZ$61,IFERROR(('Final Calculation Sheet'!$F$16)&amp;"","")))))&gt;0),IF(COUNTIF($BI$61:$BP$61,5)=0,TRUE,SUMPRODUCT(($BI$61:$BP$61=5)*($AS$61:$AZ$61&lt;&gt;"")*IF(((UPPER($AS$61:$AZ$61)="BLANK")+(UPPER($AS$61:$AZ$61)="(BLANK)")+(UPPER($AS$61:$AZ$61)="EMPTY")+(UPPER($AS$61:$AZ$61)="(EMPTY)"))&gt;0,IFERROR(('Final Calculation Sheet'!$F$16)&amp;"","")="",ISNUMBER(SEARCH($AS$61:$AZ$61,IFERROR(('Final Calculation Sheet'!$F$16)&amp;"","")))))&gt;0),IF(COUNTIF($BI$61:$BP$61,6)=0,TRUE,SUMPRODUCT(($BI$61:$BP$61=6)*($AS$61:$AZ$61&lt;&gt;"")*IF(((UPPER($AS$61:$AZ$61)="BLANK")+(UPPER($AS$61:$AZ$61)="(BLANK)")+(UPPER($AS$61:$AZ$61)="EMPTY")+(UPPER($AS$61:$AZ$61)="(EMPTY)"))&gt;0,IFERROR(('Final Calculation Sheet'!$F$16)&amp;"","")="",ISNUMBER(SEARCH($AS$61:$AZ$61,IFERROR(('Final Calculation Sheet'!$F$16)&amp;"","")))))&gt;0),IF(COUNTIF($BI$61:$BP$61,7)=0,TRUE,SUMPRODUCT(($BI$61:$BP$61=7)*($AS$61:$AZ$61&lt;&gt;"")*IF(((UPPER($AS$61:$AZ$61)="BLANK")+(UPPER($AS$61:$AZ$61)="(BLANK)")+(UPPER($AS$61:$AZ$61)="EMPTY")+(UPPER($AS$61:$AZ$61)="(EMPTY)"))&gt;0,IFERROR(('Final Calculation Sheet'!$F$16)&amp;"","")="",ISNUMBER(SEARCH($AS$61:$AZ$61,IFERROR(('Final Calculation Sheet'!$F$16)&amp;"","")))))&gt;0),IF(COUNTIF($BI$61:$BP$61,8)=0,TRUE,SUMPRODUCT(($BI$61:$BP$61=8)*($AS$61:$AZ$61&lt;&gt;"")*IF(((UPPER($AS$61:$AZ$61)="BLANK")+(UPPER($AS$61:$AZ$61)="(BLANK)")+(UPPER($AS$61:$AZ$61)="EMPTY")+(UPPER($AS$61:$AZ$61)="(EMPTY)"))&gt;0,IFERROR(('Final Calculation Sheet'!$F$16)&amp;"","")="",ISNUMBER(SEARCH($AS$61:$AZ$61,IFERROR(('Final Calculation Sheet'!$F$16)&amp;"","")))))&gt;0))))</f>
        <v>1</v>
      </c>
      <c r="BO17">
        <f>IF($C$4="",1,--(AND(SUMPRODUCT(--($AS$62:$AZ$62&lt;&gt;""))&gt;0,IF(COUNTIF($BI$62:$BP$62,1)=0,TRUE,SUMPRODUCT(($BI$62:$BP$62=1)*($AS$62:$AZ$62&lt;&gt;"")*IF(((UPPER($AS$62:$AZ$62)="BLANK")+(UPPER($AS$62:$AZ$62)="(BLANK)")+(UPPER($AS$62:$AZ$62)="EMPTY")+(UPPER($AS$62:$AZ$62)="(EMPTY)"))&gt;0,IFERROR(('Final Calculation Sheet'!$G$16)&amp;"","")="",ISNUMBER(SEARCH($AS$62:$AZ$62,IFERROR(('Final Calculation Sheet'!$G$16)&amp;"","")))))&gt;0),IF(COUNTIF($BI$62:$BP$62,2)=0,TRUE,SUMPRODUCT(($BI$62:$BP$62=2)*($AS$62:$AZ$62&lt;&gt;"")*IF(((UPPER($AS$62:$AZ$62)="BLANK")+(UPPER($AS$62:$AZ$62)="(BLANK)")+(UPPER($AS$62:$AZ$62)="EMPTY")+(UPPER($AS$62:$AZ$62)="(EMPTY)"))&gt;0,IFERROR(('Final Calculation Sheet'!$G$16)&amp;"","")="",ISNUMBER(SEARCH($AS$62:$AZ$62,IFERROR(('Final Calculation Sheet'!$G$16)&amp;"","")))))&gt;0),IF(COUNTIF($BI$62:$BP$62,3)=0,TRUE,SUMPRODUCT(($BI$62:$BP$62=3)*($AS$62:$AZ$62&lt;&gt;"")*IF(((UPPER($AS$62:$AZ$62)="BLANK")+(UPPER($AS$62:$AZ$62)="(BLANK)")+(UPPER($AS$62:$AZ$62)="EMPTY")+(UPPER($AS$62:$AZ$62)="(EMPTY)"))&gt;0,IFERROR(('Final Calculation Sheet'!$G$16)&amp;"","")="",ISNUMBER(SEARCH($AS$62:$AZ$62,IFERROR(('Final Calculation Sheet'!$G$16)&amp;"","")))))&gt;0),IF(COUNTIF($BI$62:$BP$62,4)=0,TRUE,SUMPRODUCT(($BI$62:$BP$62=4)*($AS$62:$AZ$62&lt;&gt;"")*IF(((UPPER($AS$62:$AZ$62)="BLANK")+(UPPER($AS$62:$AZ$62)="(BLANK)")+(UPPER($AS$62:$AZ$62)="EMPTY")+(UPPER($AS$62:$AZ$62)="(EMPTY)"))&gt;0,IFERROR(('Final Calculation Sheet'!$G$16)&amp;"","")="",ISNUMBER(SEARCH($AS$62:$AZ$62,IFERROR(('Final Calculation Sheet'!$G$16)&amp;"","")))))&gt;0),IF(COUNTIF($BI$62:$BP$62,5)=0,TRUE,SUMPRODUCT(($BI$62:$BP$62=5)*($AS$62:$AZ$62&lt;&gt;"")*IF(((UPPER($AS$62:$AZ$62)="BLANK")+(UPPER($AS$62:$AZ$62)="(BLANK)")+(UPPER($AS$62:$AZ$62)="EMPTY")+(UPPER($AS$62:$AZ$62)="(EMPTY)"))&gt;0,IFERROR(('Final Calculation Sheet'!$G$16)&amp;"","")="",ISNUMBER(SEARCH($AS$62:$AZ$62,IFERROR(('Final Calculation Sheet'!$G$16)&amp;"","")))))&gt;0),IF(COUNTIF($BI$62:$BP$62,6)=0,TRUE,SUMPRODUCT(($BI$62:$BP$62=6)*($AS$62:$AZ$62&lt;&gt;"")*IF(((UPPER($AS$62:$AZ$62)="BLANK")+(UPPER($AS$62:$AZ$62)="(BLANK)")+(UPPER($AS$62:$AZ$62)="EMPTY")+(UPPER($AS$62:$AZ$62)="(EMPTY)"))&gt;0,IFERROR(('Final Calculation Sheet'!$G$16)&amp;"","")="",ISNUMBER(SEARCH($AS$62:$AZ$62,IFERROR(('Final Calculation Sheet'!$G$16)&amp;"","")))))&gt;0),IF(COUNTIF($BI$62:$BP$62,7)=0,TRUE,SUMPRODUCT(($BI$62:$BP$62=7)*($AS$62:$AZ$62&lt;&gt;"")*IF(((UPPER($AS$62:$AZ$62)="BLANK")+(UPPER($AS$62:$AZ$62)="(BLANK)")+(UPPER($AS$62:$AZ$62)="EMPTY")+(UPPER($AS$62:$AZ$62)="(EMPTY)"))&gt;0,IFERROR(('Final Calculation Sheet'!$G$16)&amp;"","")="",ISNUMBER(SEARCH($AS$62:$AZ$62,IFERROR(('Final Calculation Sheet'!$G$16)&amp;"","")))))&gt;0),IF(COUNTIF($BI$62:$BP$62,8)=0,TRUE,SUMPRODUCT(($BI$62:$BP$62=8)*($AS$62:$AZ$62&lt;&gt;"")*IF(((UPPER($AS$62:$AZ$62)="BLANK")+(UPPER($AS$62:$AZ$62)="(BLANK)")+(UPPER($AS$62:$AZ$62)="EMPTY")+(UPPER($AS$62:$AZ$62)="(EMPTY)"))&gt;0,IFERROR(('Final Calculation Sheet'!$G$16)&amp;"","")="",ISNUMBER(SEARCH($AS$62:$AZ$62,IFERROR(('Final Calculation Sheet'!$G$16)&amp;"","")))))&gt;0))))</f>
        <v>1</v>
      </c>
      <c r="BP17">
        <f>IF($D$4="",1,--(AND(SUMPRODUCT(--($AS$63:$AZ$63&lt;&gt;""))&gt;0,IF(COUNTIF($BI$63:$BP$63,1)=0,TRUE,SUMPRODUCT(($BI$63:$BP$63=1)*($AS$63:$AZ$63&lt;&gt;"")*IF(((UPPER($AS$63:$AZ$63)="BLANK")+(UPPER($AS$63:$AZ$63)="(BLANK)")+(UPPER($AS$63:$AZ$63)="EMPTY")+(UPPER($AS$63:$AZ$63)="(EMPTY)"))&gt;0,IFERROR(('Final Calculation Sheet'!$B$16)&amp;"","")="",ISNUMBER(SEARCH($AS$63:$AZ$63,IFERROR(('Final Calculation Sheet'!$B$16)&amp;"","")))))&gt;0),IF(COUNTIF($BI$63:$BP$63,2)=0,TRUE,SUMPRODUCT(($BI$63:$BP$63=2)*($AS$63:$AZ$63&lt;&gt;"")*IF(((UPPER($AS$63:$AZ$63)="BLANK")+(UPPER($AS$63:$AZ$63)="(BLANK)")+(UPPER($AS$63:$AZ$63)="EMPTY")+(UPPER($AS$63:$AZ$63)="(EMPTY)"))&gt;0,IFERROR(('Final Calculation Sheet'!$B$16)&amp;"","")="",ISNUMBER(SEARCH($AS$63:$AZ$63,IFERROR(('Final Calculation Sheet'!$B$16)&amp;"","")))))&gt;0),IF(COUNTIF($BI$63:$BP$63,3)=0,TRUE,SUMPRODUCT(($BI$63:$BP$63=3)*($AS$63:$AZ$63&lt;&gt;"")*IF(((UPPER($AS$63:$AZ$63)="BLANK")+(UPPER($AS$63:$AZ$63)="(BLANK)")+(UPPER($AS$63:$AZ$63)="EMPTY")+(UPPER($AS$63:$AZ$63)="(EMPTY)"))&gt;0,IFERROR(('Final Calculation Sheet'!$B$16)&amp;"","")="",ISNUMBER(SEARCH($AS$63:$AZ$63,IFERROR(('Final Calculation Sheet'!$B$16)&amp;"","")))))&gt;0),IF(COUNTIF($BI$63:$BP$63,4)=0,TRUE,SUMPRODUCT(($BI$63:$BP$63=4)*($AS$63:$AZ$63&lt;&gt;"")*IF(((UPPER($AS$63:$AZ$63)="BLANK")+(UPPER($AS$63:$AZ$63)="(BLANK)")+(UPPER($AS$63:$AZ$63)="EMPTY")+(UPPER($AS$63:$AZ$63)="(EMPTY)"))&gt;0,IFERROR(('Final Calculation Sheet'!$B$16)&amp;"","")="",ISNUMBER(SEARCH($AS$63:$AZ$63,IFERROR(('Final Calculation Sheet'!$B$16)&amp;"","")))))&gt;0),IF(COUNTIF($BI$63:$BP$63,5)=0,TRUE,SUMPRODUCT(($BI$63:$BP$63=5)*($AS$63:$AZ$63&lt;&gt;"")*IF(((UPPER($AS$63:$AZ$63)="BLANK")+(UPPER($AS$63:$AZ$63)="(BLANK)")+(UPPER($AS$63:$AZ$63)="EMPTY")+(UPPER($AS$63:$AZ$63)="(EMPTY)"))&gt;0,IFERROR(('Final Calculation Sheet'!$B$16)&amp;"","")="",ISNUMBER(SEARCH($AS$63:$AZ$63,IFERROR(('Final Calculation Sheet'!$B$16)&amp;"","")))))&gt;0),IF(COUNTIF($BI$63:$BP$63,6)=0,TRUE,SUMPRODUCT(($BI$63:$BP$63=6)*($AS$63:$AZ$63&lt;&gt;"")*IF(((UPPER($AS$63:$AZ$63)="BLANK")+(UPPER($AS$63:$AZ$63)="(BLANK)")+(UPPER($AS$63:$AZ$63)="EMPTY")+(UPPER($AS$63:$AZ$63)="(EMPTY)"))&gt;0,IFERROR(('Final Calculation Sheet'!$B$16)&amp;"","")="",ISNUMBER(SEARCH($AS$63:$AZ$63,IFERROR(('Final Calculation Sheet'!$B$16)&amp;"","")))))&gt;0),IF(COUNTIF($BI$63:$BP$63,7)=0,TRUE,SUMPRODUCT(($BI$63:$BP$63=7)*($AS$63:$AZ$63&lt;&gt;"")*IF(((UPPER($AS$63:$AZ$63)="BLANK")+(UPPER($AS$63:$AZ$63)="(BLANK)")+(UPPER($AS$63:$AZ$63)="EMPTY")+(UPPER($AS$63:$AZ$63)="(EMPTY)"))&gt;0,IFERROR(('Final Calculation Sheet'!$B$16)&amp;"","")="",ISNUMBER(SEARCH($AS$63:$AZ$63,IFERROR(('Final Calculation Sheet'!$B$16)&amp;"","")))))&gt;0),IF(COUNTIF($BI$63:$BP$63,8)=0,TRUE,SUMPRODUCT(($BI$63:$BP$63=8)*($AS$63:$AZ$63&lt;&gt;"")*IF(((UPPER($AS$63:$AZ$63)="BLANK")+(UPPER($AS$63:$AZ$63)="(BLANK)")+(UPPER($AS$63:$AZ$63)="EMPTY")+(UPPER($AS$63:$AZ$63)="(EMPTY)"))&gt;0,IFERROR(('Final Calculation Sheet'!$B$16)&amp;"","")="",ISNUMBER(SEARCH($AS$63:$AZ$63,IFERROR(('Final Calculation Sheet'!$B$16)&amp;"","")))))&gt;0))))</f>
        <v>1</v>
      </c>
      <c r="BQ17">
        <f>IF($E$4="",1,--(AND(SUMPRODUCT(--($AS$64:$AZ$64&lt;&gt;""))&gt;0,IF(COUNTIF($BI$64:$BP$64,1)=0,TRUE,SUMPRODUCT(($BI$64:$BP$64=1)*($AS$64:$AZ$64&lt;&gt;"")*IF(((UPPER($AS$64:$AZ$64)="BLANK")+(UPPER($AS$64:$AZ$64)="(BLANK)")+(UPPER($AS$64:$AZ$64)="EMPTY")+(UPPER($AS$64:$AZ$64)="(EMPTY)"))&gt;0,IFERROR(('Final Calculation Sheet'!$D$16)&amp;"","")="",ISNUMBER(SEARCH($AS$64:$AZ$64,IFERROR(('Final Calculation Sheet'!$D$16)&amp;"","")))))&gt;0),IF(COUNTIF($BI$64:$BP$64,2)=0,TRUE,SUMPRODUCT(($BI$64:$BP$64=2)*($AS$64:$AZ$64&lt;&gt;"")*IF(((UPPER($AS$64:$AZ$64)="BLANK")+(UPPER($AS$64:$AZ$64)="(BLANK)")+(UPPER($AS$64:$AZ$64)="EMPTY")+(UPPER($AS$64:$AZ$64)="(EMPTY)"))&gt;0,IFERROR(('Final Calculation Sheet'!$D$16)&amp;"","")="",ISNUMBER(SEARCH($AS$64:$AZ$64,IFERROR(('Final Calculation Sheet'!$D$16)&amp;"","")))))&gt;0),IF(COUNTIF($BI$64:$BP$64,3)=0,TRUE,SUMPRODUCT(($BI$64:$BP$64=3)*($AS$64:$AZ$64&lt;&gt;"")*IF(((UPPER($AS$64:$AZ$64)="BLANK")+(UPPER($AS$64:$AZ$64)="(BLANK)")+(UPPER($AS$64:$AZ$64)="EMPTY")+(UPPER($AS$64:$AZ$64)="(EMPTY)"))&gt;0,IFERROR(('Final Calculation Sheet'!$D$16)&amp;"","")="",ISNUMBER(SEARCH($AS$64:$AZ$64,IFERROR(('Final Calculation Sheet'!$D$16)&amp;"","")))))&gt;0),IF(COUNTIF($BI$64:$BP$64,4)=0,TRUE,SUMPRODUCT(($BI$64:$BP$64=4)*($AS$64:$AZ$64&lt;&gt;"")*IF(((UPPER($AS$64:$AZ$64)="BLANK")+(UPPER($AS$64:$AZ$64)="(BLANK)")+(UPPER($AS$64:$AZ$64)="EMPTY")+(UPPER($AS$64:$AZ$64)="(EMPTY)"))&gt;0,IFERROR(('Final Calculation Sheet'!$D$16)&amp;"","")="",ISNUMBER(SEARCH($AS$64:$AZ$64,IFERROR(('Final Calculation Sheet'!$D$16)&amp;"","")))))&gt;0),IF(COUNTIF($BI$64:$BP$64,5)=0,TRUE,SUMPRODUCT(($BI$64:$BP$64=5)*($AS$64:$AZ$64&lt;&gt;"")*IF(((UPPER($AS$64:$AZ$64)="BLANK")+(UPPER($AS$64:$AZ$64)="(BLANK)")+(UPPER($AS$64:$AZ$64)="EMPTY")+(UPPER($AS$64:$AZ$64)="(EMPTY)"))&gt;0,IFERROR(('Final Calculation Sheet'!$D$16)&amp;"","")="",ISNUMBER(SEARCH($AS$64:$AZ$64,IFERROR(('Final Calculation Sheet'!$D$16)&amp;"","")))))&gt;0),IF(COUNTIF($BI$64:$BP$64,6)=0,TRUE,SUMPRODUCT(($BI$64:$BP$64=6)*($AS$64:$AZ$64&lt;&gt;"")*IF(((UPPER($AS$64:$AZ$64)="BLANK")+(UPPER($AS$64:$AZ$64)="(BLANK)")+(UPPER($AS$64:$AZ$64)="EMPTY")+(UPPER($AS$64:$AZ$64)="(EMPTY)"))&gt;0,IFERROR(('Final Calculation Sheet'!$D$16)&amp;"","")="",ISNUMBER(SEARCH($AS$64:$AZ$64,IFERROR(('Final Calculation Sheet'!$D$16)&amp;"","")))))&gt;0),IF(COUNTIF($BI$64:$BP$64,7)=0,TRUE,SUMPRODUCT(($BI$64:$BP$64=7)*($AS$64:$AZ$64&lt;&gt;"")*IF(((UPPER($AS$64:$AZ$64)="BLANK")+(UPPER($AS$64:$AZ$64)="(BLANK)")+(UPPER($AS$64:$AZ$64)="EMPTY")+(UPPER($AS$64:$AZ$64)="(EMPTY)"))&gt;0,IFERROR(('Final Calculation Sheet'!$D$16)&amp;"","")="",ISNUMBER(SEARCH($AS$64:$AZ$64,IFERROR(('Final Calculation Sheet'!$D$16)&amp;"","")))))&gt;0),IF(COUNTIF($BI$64:$BP$64,8)=0,TRUE,SUMPRODUCT(($BI$64:$BP$64=8)*($AS$64:$AZ$64&lt;&gt;"")*IF(((UPPER($AS$64:$AZ$64)="BLANK")+(UPPER($AS$64:$AZ$64)="(BLANK)")+(UPPER($AS$64:$AZ$64)="EMPTY")+(UPPER($AS$64:$AZ$64)="(EMPTY)"))&gt;0,IFERROR(('Final Calculation Sheet'!$D$16)&amp;"","")="",ISNUMBER(SEARCH($AS$64:$AZ$64,IFERROR(('Final Calculation Sheet'!$D$16)&amp;"","")))))&gt;0))))</f>
        <v>1</v>
      </c>
      <c r="BR17">
        <f>IF($F$4="",1,--(AND(SUMPRODUCT(--($AS$65:$AZ$65&lt;&gt;""))&gt;0,IF(COUNTIF($BI$65:$BP$65,1)=0,TRUE,SUMPRODUCT(($BI$65:$BP$65=1)*($AS$65:$AZ$65&lt;&gt;"")*IF(((UPPER($AS$65:$AZ$65)="BLANK")+(UPPER($AS$65:$AZ$65)="(BLANK)")+(UPPER($AS$65:$AZ$65)="EMPTY")+(UPPER($AS$65:$AZ$65)="(EMPTY)"))&gt;0,IFERROR(('Final Calculation Sheet'!$A$16)&amp;"","")="",ISNUMBER(SEARCH($AS$65:$AZ$65,IFERROR(('Final Calculation Sheet'!$A$16)&amp;"","")))))&gt;0),IF(COUNTIF($BI$65:$BP$65,2)=0,TRUE,SUMPRODUCT(($BI$65:$BP$65=2)*($AS$65:$AZ$65&lt;&gt;"")*IF(((UPPER($AS$65:$AZ$65)="BLANK")+(UPPER($AS$65:$AZ$65)="(BLANK)")+(UPPER($AS$65:$AZ$65)="EMPTY")+(UPPER($AS$65:$AZ$65)="(EMPTY)"))&gt;0,IFERROR(('Final Calculation Sheet'!$A$16)&amp;"","")="",ISNUMBER(SEARCH($AS$65:$AZ$65,IFERROR(('Final Calculation Sheet'!$A$16)&amp;"","")))))&gt;0),IF(COUNTIF($BI$65:$BP$65,3)=0,TRUE,SUMPRODUCT(($BI$65:$BP$65=3)*($AS$65:$AZ$65&lt;&gt;"")*IF(((UPPER($AS$65:$AZ$65)="BLANK")+(UPPER($AS$65:$AZ$65)="(BLANK)")+(UPPER($AS$65:$AZ$65)="EMPTY")+(UPPER($AS$65:$AZ$65)="(EMPTY)"))&gt;0,IFERROR(('Final Calculation Sheet'!$A$16)&amp;"","")="",ISNUMBER(SEARCH($AS$65:$AZ$65,IFERROR(('Final Calculation Sheet'!$A$16)&amp;"","")))))&gt;0),IF(COUNTIF($BI$65:$BP$65,4)=0,TRUE,SUMPRODUCT(($BI$65:$BP$65=4)*($AS$65:$AZ$65&lt;&gt;"")*IF(((UPPER($AS$65:$AZ$65)="BLANK")+(UPPER($AS$65:$AZ$65)="(BLANK)")+(UPPER($AS$65:$AZ$65)="EMPTY")+(UPPER($AS$65:$AZ$65)="(EMPTY)"))&gt;0,IFERROR(('Final Calculation Sheet'!$A$16)&amp;"","")="",ISNUMBER(SEARCH($AS$65:$AZ$65,IFERROR(('Final Calculation Sheet'!$A$16)&amp;"","")))))&gt;0),IF(COUNTIF($BI$65:$BP$65,5)=0,TRUE,SUMPRODUCT(($BI$65:$BP$65=5)*($AS$65:$AZ$65&lt;&gt;"")*IF(((UPPER($AS$65:$AZ$65)="BLANK")+(UPPER($AS$65:$AZ$65)="(BLANK)")+(UPPER($AS$65:$AZ$65)="EMPTY")+(UPPER($AS$65:$AZ$65)="(EMPTY)"))&gt;0,IFERROR(('Final Calculation Sheet'!$A$16)&amp;"","")="",ISNUMBER(SEARCH($AS$65:$AZ$65,IFERROR(('Final Calculation Sheet'!$A$16)&amp;"","")))))&gt;0),IF(COUNTIF($BI$65:$BP$65,6)=0,TRUE,SUMPRODUCT(($BI$65:$BP$65=6)*($AS$65:$AZ$65&lt;&gt;"")*IF(((UPPER($AS$65:$AZ$65)="BLANK")+(UPPER($AS$65:$AZ$65)="(BLANK)")+(UPPER($AS$65:$AZ$65)="EMPTY")+(UPPER($AS$65:$AZ$65)="(EMPTY)"))&gt;0,IFERROR(('Final Calculation Sheet'!$A$16)&amp;"","")="",ISNUMBER(SEARCH($AS$65:$AZ$65,IFERROR(('Final Calculation Sheet'!$A$16)&amp;"","")))))&gt;0),IF(COUNTIF($BI$65:$BP$65,7)=0,TRUE,SUMPRODUCT(($BI$65:$BP$65=7)*($AS$65:$AZ$65&lt;&gt;"")*IF(((UPPER($AS$65:$AZ$65)="BLANK")+(UPPER($AS$65:$AZ$65)="(BLANK)")+(UPPER($AS$65:$AZ$65)="EMPTY")+(UPPER($AS$65:$AZ$65)="(EMPTY)"))&gt;0,IFERROR(('Final Calculation Sheet'!$A$16)&amp;"","")="",ISNUMBER(SEARCH($AS$65:$AZ$65,IFERROR(('Final Calculation Sheet'!$A$16)&amp;"","")))))&gt;0),IF(COUNTIF($BI$65:$BP$65,8)=0,TRUE,SUMPRODUCT(($BI$65:$BP$65=8)*($AS$65:$AZ$65&lt;&gt;"")*IF(((UPPER($AS$65:$AZ$65)="BLANK")+(UPPER($AS$65:$AZ$65)="(BLANK)")+(UPPER($AS$65:$AZ$65)="EMPTY")+(UPPER($AS$65:$AZ$65)="(EMPTY)"))&gt;0,IFERROR(('Final Calculation Sheet'!$A$16)&amp;"","")="",ISNUMBER(SEARCH($AS$65:$AZ$65,IFERROR(('Final Calculation Sheet'!$A$16)&amp;"","")))))&gt;0))))</f>
        <v>1</v>
      </c>
      <c r="BS17">
        <f>IF($G$4="",1,--(AND(SUMPRODUCT(--($AS$66:$AZ$66&lt;&gt;""))&gt;0,IF(COUNTIF($BI$66:$BP$66,1)=0,TRUE,SUMPRODUCT(($BI$66:$BP$66=1)*($AS$66:$AZ$66&lt;&gt;"")*IF(((UPPER($AS$66:$AZ$66)="BLANK")+(UPPER($AS$66:$AZ$66)="(BLANK)")+(UPPER($AS$66:$AZ$66)="EMPTY")+(UPPER($AS$66:$AZ$66)="(EMPTY)"))&gt;0,IFERROR(('Final Calculation Sheet'!$E$16)&amp;"","")="",ISNUMBER(SEARCH($AS$66:$AZ$66,IFERROR(('Final Calculation Sheet'!$E$16)&amp;"","")))))&gt;0),IF(COUNTIF($BI$66:$BP$66,2)=0,TRUE,SUMPRODUCT(($BI$66:$BP$66=2)*($AS$66:$AZ$66&lt;&gt;"")*IF(((UPPER($AS$66:$AZ$66)="BLANK")+(UPPER($AS$66:$AZ$66)="(BLANK)")+(UPPER($AS$66:$AZ$66)="EMPTY")+(UPPER($AS$66:$AZ$66)="(EMPTY)"))&gt;0,IFERROR(('Final Calculation Sheet'!$E$16)&amp;"","")="",ISNUMBER(SEARCH($AS$66:$AZ$66,IFERROR(('Final Calculation Sheet'!$E$16)&amp;"","")))))&gt;0),IF(COUNTIF($BI$66:$BP$66,3)=0,TRUE,SUMPRODUCT(($BI$66:$BP$66=3)*($AS$66:$AZ$66&lt;&gt;"")*IF(((UPPER($AS$66:$AZ$66)="BLANK")+(UPPER($AS$66:$AZ$66)="(BLANK)")+(UPPER($AS$66:$AZ$66)="EMPTY")+(UPPER($AS$66:$AZ$66)="(EMPTY)"))&gt;0,IFERROR(('Final Calculation Sheet'!$E$16)&amp;"","")="",ISNUMBER(SEARCH($AS$66:$AZ$66,IFERROR(('Final Calculation Sheet'!$E$16)&amp;"","")))))&gt;0),IF(COUNTIF($BI$66:$BP$66,4)=0,TRUE,SUMPRODUCT(($BI$66:$BP$66=4)*($AS$66:$AZ$66&lt;&gt;"")*IF(((UPPER($AS$66:$AZ$66)="BLANK")+(UPPER($AS$66:$AZ$66)="(BLANK)")+(UPPER($AS$66:$AZ$66)="EMPTY")+(UPPER($AS$66:$AZ$66)="(EMPTY)"))&gt;0,IFERROR(('Final Calculation Sheet'!$E$16)&amp;"","")="",ISNUMBER(SEARCH($AS$66:$AZ$66,IFERROR(('Final Calculation Sheet'!$E$16)&amp;"","")))))&gt;0),IF(COUNTIF($BI$66:$BP$66,5)=0,TRUE,SUMPRODUCT(($BI$66:$BP$66=5)*($AS$66:$AZ$66&lt;&gt;"")*IF(((UPPER($AS$66:$AZ$66)="BLANK")+(UPPER($AS$66:$AZ$66)="(BLANK)")+(UPPER($AS$66:$AZ$66)="EMPTY")+(UPPER($AS$66:$AZ$66)="(EMPTY)"))&gt;0,IFERROR(('Final Calculation Sheet'!$E$16)&amp;"","")="",ISNUMBER(SEARCH($AS$66:$AZ$66,IFERROR(('Final Calculation Sheet'!$E$16)&amp;"","")))))&gt;0),IF(COUNTIF($BI$66:$BP$66,6)=0,TRUE,SUMPRODUCT(($BI$66:$BP$66=6)*($AS$66:$AZ$66&lt;&gt;"")*IF(((UPPER($AS$66:$AZ$66)="BLANK")+(UPPER($AS$66:$AZ$66)="(BLANK)")+(UPPER($AS$66:$AZ$66)="EMPTY")+(UPPER($AS$66:$AZ$66)="(EMPTY)"))&gt;0,IFERROR(('Final Calculation Sheet'!$E$16)&amp;"","")="",ISNUMBER(SEARCH($AS$66:$AZ$66,IFERROR(('Final Calculation Sheet'!$E$16)&amp;"","")))))&gt;0),IF(COUNTIF($BI$66:$BP$66,7)=0,TRUE,SUMPRODUCT(($BI$66:$BP$66=7)*($AS$66:$AZ$66&lt;&gt;"")*IF(((UPPER($AS$66:$AZ$66)="BLANK")+(UPPER($AS$66:$AZ$66)="(BLANK)")+(UPPER($AS$66:$AZ$66)="EMPTY")+(UPPER($AS$66:$AZ$66)="(EMPTY)"))&gt;0,IFERROR(('Final Calculation Sheet'!$E$16)&amp;"","")="",ISNUMBER(SEARCH($AS$66:$AZ$66,IFERROR(('Final Calculation Sheet'!$E$16)&amp;"","")))))&gt;0),IF(COUNTIF($BI$66:$BP$66,8)=0,TRUE,SUMPRODUCT(($BI$66:$BP$66=8)*($AS$66:$AZ$66&lt;&gt;"")*IF(((UPPER($AS$66:$AZ$66)="BLANK")+(UPPER($AS$66:$AZ$66)="(BLANK)")+(UPPER($AS$66:$AZ$66)="EMPTY")+(UPPER($AS$66:$AZ$66)="(EMPTY)"))&gt;0,IFERROR(('Final Calculation Sheet'!$E$16)&amp;"","")="",ISNUMBER(SEARCH($AS$66:$AZ$66,IFERROR(('Final Calculation Sheet'!$E$16)&amp;"","")))))&gt;0))))</f>
        <v>1</v>
      </c>
      <c r="BT17">
        <f>IF($H$4="",1,--(AND(SUMPRODUCT(--($AS$67:$AZ$67&lt;&gt;""))&gt;0,IF(COUNTIF($BI$67:$BP$67,1)=0,TRUE,SUMPRODUCT(($BI$67:$BP$67=1)*($AS$67:$AZ$67&lt;&gt;"")*IF(((UPPER($AS$67:$AZ$67)="BLANK")+(UPPER($AS$67:$AZ$67)="(BLANK)")+(UPPER($AS$67:$AZ$67)="EMPTY")+(UPPER($AS$67:$AZ$67)="(EMPTY)"))&gt;0,IFERROR(('Final Calculation Sheet'!$C$16)&amp;"","")="",ISNUMBER(SEARCH($AS$67:$AZ$67,IFERROR(('Final Calculation Sheet'!$C$16)&amp;"","")))))&gt;0),IF(COUNTIF($BI$67:$BP$67,2)=0,TRUE,SUMPRODUCT(($BI$67:$BP$67=2)*($AS$67:$AZ$67&lt;&gt;"")*IF(((UPPER($AS$67:$AZ$67)="BLANK")+(UPPER($AS$67:$AZ$67)="(BLANK)")+(UPPER($AS$67:$AZ$67)="EMPTY")+(UPPER($AS$67:$AZ$67)="(EMPTY)"))&gt;0,IFERROR(('Final Calculation Sheet'!$C$16)&amp;"","")="",ISNUMBER(SEARCH($AS$67:$AZ$67,IFERROR(('Final Calculation Sheet'!$C$16)&amp;"","")))))&gt;0),IF(COUNTIF($BI$67:$BP$67,3)=0,TRUE,SUMPRODUCT(($BI$67:$BP$67=3)*($AS$67:$AZ$67&lt;&gt;"")*IF(((UPPER($AS$67:$AZ$67)="BLANK")+(UPPER($AS$67:$AZ$67)="(BLANK)")+(UPPER($AS$67:$AZ$67)="EMPTY")+(UPPER($AS$67:$AZ$67)="(EMPTY)"))&gt;0,IFERROR(('Final Calculation Sheet'!$C$16)&amp;"","")="",ISNUMBER(SEARCH($AS$67:$AZ$67,IFERROR(('Final Calculation Sheet'!$C$16)&amp;"","")))))&gt;0),IF(COUNTIF($BI$67:$BP$67,4)=0,TRUE,SUMPRODUCT(($BI$67:$BP$67=4)*($AS$67:$AZ$67&lt;&gt;"")*IF(((UPPER($AS$67:$AZ$67)="BLANK")+(UPPER($AS$67:$AZ$67)="(BLANK)")+(UPPER($AS$67:$AZ$67)="EMPTY")+(UPPER($AS$67:$AZ$67)="(EMPTY)"))&gt;0,IFERROR(('Final Calculation Sheet'!$C$16)&amp;"","")="",ISNUMBER(SEARCH($AS$67:$AZ$67,IFERROR(('Final Calculation Sheet'!$C$16)&amp;"","")))))&gt;0),IF(COUNTIF($BI$67:$BP$67,5)=0,TRUE,SUMPRODUCT(($BI$67:$BP$67=5)*($AS$67:$AZ$67&lt;&gt;"")*IF(((UPPER($AS$67:$AZ$67)="BLANK")+(UPPER($AS$67:$AZ$67)="(BLANK)")+(UPPER($AS$67:$AZ$67)="EMPTY")+(UPPER($AS$67:$AZ$67)="(EMPTY)"))&gt;0,IFERROR(('Final Calculation Sheet'!$C$16)&amp;"","")="",ISNUMBER(SEARCH($AS$67:$AZ$67,IFERROR(('Final Calculation Sheet'!$C$16)&amp;"","")))))&gt;0),IF(COUNTIF($BI$67:$BP$67,6)=0,TRUE,SUMPRODUCT(($BI$67:$BP$67=6)*($AS$67:$AZ$67&lt;&gt;"")*IF(((UPPER($AS$67:$AZ$67)="BLANK")+(UPPER($AS$67:$AZ$67)="(BLANK)")+(UPPER($AS$67:$AZ$67)="EMPTY")+(UPPER($AS$67:$AZ$67)="(EMPTY)"))&gt;0,IFERROR(('Final Calculation Sheet'!$C$16)&amp;"","")="",ISNUMBER(SEARCH($AS$67:$AZ$67,IFERROR(('Final Calculation Sheet'!$C$16)&amp;"","")))))&gt;0),IF(COUNTIF($BI$67:$BP$67,7)=0,TRUE,SUMPRODUCT(($BI$67:$BP$67=7)*($AS$67:$AZ$67&lt;&gt;"")*IF(((UPPER($AS$67:$AZ$67)="BLANK")+(UPPER($AS$67:$AZ$67)="(BLANK)")+(UPPER($AS$67:$AZ$67)="EMPTY")+(UPPER($AS$67:$AZ$67)="(EMPTY)"))&gt;0,IFERROR(('Final Calculation Sheet'!$C$16)&amp;"","")="",ISNUMBER(SEARCH($AS$67:$AZ$67,IFERROR(('Final Calculation Sheet'!$C$16)&amp;"","")))))&gt;0),IF(COUNTIF($BI$67:$BP$67,8)=0,TRUE,SUMPRODUCT(($BI$67:$BP$67=8)*($AS$67:$AZ$67&lt;&gt;"")*IF(((UPPER($AS$67:$AZ$67)="BLANK")+(UPPER($AS$67:$AZ$67)="(BLANK)")+(UPPER($AS$67:$AZ$67)="EMPTY")+(UPPER($AS$67:$AZ$67)="(EMPTY)"))&gt;0,IFERROR(('Final Calculation Sheet'!$C$16)&amp;"","")="",ISNUMBER(SEARCH($AS$67:$AZ$67,IFERROR(('Final Calculation Sheet'!$C$16)&amp;"","")))))&gt;0))))</f>
        <v>1</v>
      </c>
      <c r="BU17">
        <f>IF($I$4="",1,--(AND(SUMPRODUCT(--($AS$68:$AZ$68&lt;&gt;""))&gt;0,IF(COUNTIF($BI$68:$BP$68,1)=0,TRUE,SUMPRODUCT(($BI$68:$BP$68=1)*($AS$68:$AZ$68&lt;&gt;"")*IF(((UPPER($AS$68:$AZ$68)="BLANK")+(UPPER($AS$68:$AZ$68)="(BLANK)")+(UPPER($AS$68:$AZ$68)="EMPTY")+(UPPER($AS$68:$AZ$68)="(EMPTY)"))&gt;0,IFERROR(('Final Calculation Sheet'!$H$16)&amp;"","")="",ISNUMBER(SEARCH($AS$68:$AZ$68,IFERROR(('Final Calculation Sheet'!$H$16)&amp;"","")))))&gt;0),IF(COUNTIF($BI$68:$BP$68,2)=0,TRUE,SUMPRODUCT(($BI$68:$BP$68=2)*($AS$68:$AZ$68&lt;&gt;"")*IF(((UPPER($AS$68:$AZ$68)="BLANK")+(UPPER($AS$68:$AZ$68)="(BLANK)")+(UPPER($AS$68:$AZ$68)="EMPTY")+(UPPER($AS$68:$AZ$68)="(EMPTY)"))&gt;0,IFERROR(('Final Calculation Sheet'!$H$16)&amp;"","")="",ISNUMBER(SEARCH($AS$68:$AZ$68,IFERROR(('Final Calculation Sheet'!$H$16)&amp;"","")))))&gt;0),IF(COUNTIF($BI$68:$BP$68,3)=0,TRUE,SUMPRODUCT(($BI$68:$BP$68=3)*($AS$68:$AZ$68&lt;&gt;"")*IF(((UPPER($AS$68:$AZ$68)="BLANK")+(UPPER($AS$68:$AZ$68)="(BLANK)")+(UPPER($AS$68:$AZ$68)="EMPTY")+(UPPER($AS$68:$AZ$68)="(EMPTY)"))&gt;0,IFERROR(('Final Calculation Sheet'!$H$16)&amp;"","")="",ISNUMBER(SEARCH($AS$68:$AZ$68,IFERROR(('Final Calculation Sheet'!$H$16)&amp;"","")))))&gt;0),IF(COUNTIF($BI$68:$BP$68,4)=0,TRUE,SUMPRODUCT(($BI$68:$BP$68=4)*($AS$68:$AZ$68&lt;&gt;"")*IF(((UPPER($AS$68:$AZ$68)="BLANK")+(UPPER($AS$68:$AZ$68)="(BLANK)")+(UPPER($AS$68:$AZ$68)="EMPTY")+(UPPER($AS$68:$AZ$68)="(EMPTY)"))&gt;0,IFERROR(('Final Calculation Sheet'!$H$16)&amp;"","")="",ISNUMBER(SEARCH($AS$68:$AZ$68,IFERROR(('Final Calculation Sheet'!$H$16)&amp;"","")))))&gt;0),IF(COUNTIF($BI$68:$BP$68,5)=0,TRUE,SUMPRODUCT(($BI$68:$BP$68=5)*($AS$68:$AZ$68&lt;&gt;"")*IF(((UPPER($AS$68:$AZ$68)="BLANK")+(UPPER($AS$68:$AZ$68)="(BLANK)")+(UPPER($AS$68:$AZ$68)="EMPTY")+(UPPER($AS$68:$AZ$68)="(EMPTY)"))&gt;0,IFERROR(('Final Calculation Sheet'!$H$16)&amp;"","")="",ISNUMBER(SEARCH($AS$68:$AZ$68,IFERROR(('Final Calculation Sheet'!$H$16)&amp;"","")))))&gt;0),IF(COUNTIF($BI$68:$BP$68,6)=0,TRUE,SUMPRODUCT(($BI$68:$BP$68=6)*($AS$68:$AZ$68&lt;&gt;"")*IF(((UPPER($AS$68:$AZ$68)="BLANK")+(UPPER($AS$68:$AZ$68)="(BLANK)")+(UPPER($AS$68:$AZ$68)="EMPTY")+(UPPER($AS$68:$AZ$68)="(EMPTY)"))&gt;0,IFERROR(('Final Calculation Sheet'!$H$16)&amp;"","")="",ISNUMBER(SEARCH($AS$68:$AZ$68,IFERROR(('Final Calculation Sheet'!$H$16)&amp;"","")))))&gt;0),IF(COUNTIF($BI$68:$BP$68,7)=0,TRUE,SUMPRODUCT(($BI$68:$BP$68=7)*($AS$68:$AZ$68&lt;&gt;"")*IF(((UPPER($AS$68:$AZ$68)="BLANK")+(UPPER($AS$68:$AZ$68)="(BLANK)")+(UPPER($AS$68:$AZ$68)="EMPTY")+(UPPER($AS$68:$AZ$68)="(EMPTY)"))&gt;0,IFERROR(('Final Calculation Sheet'!$H$16)&amp;"","")="",ISNUMBER(SEARCH($AS$68:$AZ$68,IFERROR(('Final Calculation Sheet'!$H$16)&amp;"","")))))&gt;0),IF(COUNTIF($BI$68:$BP$68,8)=0,TRUE,SUMPRODUCT(($BI$68:$BP$68=8)*($AS$68:$AZ$68&lt;&gt;"")*IF(((UPPER($AS$68:$AZ$68)="BLANK")+(UPPER($AS$68:$AZ$68)="(BLANK)")+(UPPER($AS$68:$AZ$68)="EMPTY")+(UPPER($AS$68:$AZ$68)="(EMPTY)"))&gt;0,IFERROR(('Final Calculation Sheet'!$H$16)&amp;"","")="",ISNUMBER(SEARCH($AS$68:$AZ$68,IFERROR(('Final Calculation Sheet'!$H$16)&amp;"","")))))&gt;0))))</f>
        <v>1</v>
      </c>
      <c r="BV17">
        <f>IF($J$4="",1,--(AND(SUMPRODUCT(--($AS$69:$AZ$69&lt;&gt;""))&gt;0,IF(COUNTIF($BI$69:$BP$69,1)=0,TRUE,SUMPRODUCT(($BI$69:$BP$69=1)*($AS$69:$AZ$69&lt;&gt;"")*IF(((UPPER($AS$69:$AZ$69)="BLANK")+(UPPER($AS$69:$AZ$69)="(BLANK)")+(UPPER($AS$69:$AZ$69)="EMPTY")+(UPPER($AS$69:$AZ$69)="(EMPTY)"))&gt;0,IFERROR(('Final Calculation Sheet'!$I$16)&amp;"","")="",ISNUMBER(SEARCH($AS$69:$AZ$69,IFERROR(('Final Calculation Sheet'!$I$16)&amp;"","")))))&gt;0),IF(COUNTIF($BI$69:$BP$69,2)=0,TRUE,SUMPRODUCT(($BI$69:$BP$69=2)*($AS$69:$AZ$69&lt;&gt;"")*IF(((UPPER($AS$69:$AZ$69)="BLANK")+(UPPER($AS$69:$AZ$69)="(BLANK)")+(UPPER($AS$69:$AZ$69)="EMPTY")+(UPPER($AS$69:$AZ$69)="(EMPTY)"))&gt;0,IFERROR(('Final Calculation Sheet'!$I$16)&amp;"","")="",ISNUMBER(SEARCH($AS$69:$AZ$69,IFERROR(('Final Calculation Sheet'!$I$16)&amp;"","")))))&gt;0),IF(COUNTIF($BI$69:$BP$69,3)=0,TRUE,SUMPRODUCT(($BI$69:$BP$69=3)*($AS$69:$AZ$69&lt;&gt;"")*IF(((UPPER($AS$69:$AZ$69)="BLANK")+(UPPER($AS$69:$AZ$69)="(BLANK)")+(UPPER($AS$69:$AZ$69)="EMPTY")+(UPPER($AS$69:$AZ$69)="(EMPTY)"))&gt;0,IFERROR(('Final Calculation Sheet'!$I$16)&amp;"","")="",ISNUMBER(SEARCH($AS$69:$AZ$69,IFERROR(('Final Calculation Sheet'!$I$16)&amp;"","")))))&gt;0),IF(COUNTIF($BI$69:$BP$69,4)=0,TRUE,SUMPRODUCT(($BI$69:$BP$69=4)*($AS$69:$AZ$69&lt;&gt;"")*IF(((UPPER($AS$69:$AZ$69)="BLANK")+(UPPER($AS$69:$AZ$69)="(BLANK)")+(UPPER($AS$69:$AZ$69)="EMPTY")+(UPPER($AS$69:$AZ$69)="(EMPTY)"))&gt;0,IFERROR(('Final Calculation Sheet'!$I$16)&amp;"","")="",ISNUMBER(SEARCH($AS$69:$AZ$69,IFERROR(('Final Calculation Sheet'!$I$16)&amp;"","")))))&gt;0),IF(COUNTIF($BI$69:$BP$69,5)=0,TRUE,SUMPRODUCT(($BI$69:$BP$69=5)*($AS$69:$AZ$69&lt;&gt;"")*IF(((UPPER($AS$69:$AZ$69)="BLANK")+(UPPER($AS$69:$AZ$69)="(BLANK)")+(UPPER($AS$69:$AZ$69)="EMPTY")+(UPPER($AS$69:$AZ$69)="(EMPTY)"))&gt;0,IFERROR(('Final Calculation Sheet'!$I$16)&amp;"","")="",ISNUMBER(SEARCH($AS$69:$AZ$69,IFERROR(('Final Calculation Sheet'!$I$16)&amp;"","")))))&gt;0),IF(COUNTIF($BI$69:$BP$69,6)=0,TRUE,SUMPRODUCT(($BI$69:$BP$69=6)*($AS$69:$AZ$69&lt;&gt;"")*IF(((UPPER($AS$69:$AZ$69)="BLANK")+(UPPER($AS$69:$AZ$69)="(BLANK)")+(UPPER($AS$69:$AZ$69)="EMPTY")+(UPPER($AS$69:$AZ$69)="(EMPTY)"))&gt;0,IFERROR(('Final Calculation Sheet'!$I$16)&amp;"","")="",ISNUMBER(SEARCH($AS$69:$AZ$69,IFERROR(('Final Calculation Sheet'!$I$16)&amp;"","")))))&gt;0),IF(COUNTIF($BI$69:$BP$69,7)=0,TRUE,SUMPRODUCT(($BI$69:$BP$69=7)*($AS$69:$AZ$69&lt;&gt;"")*IF(((UPPER($AS$69:$AZ$69)="BLANK")+(UPPER($AS$69:$AZ$69)="(BLANK)")+(UPPER($AS$69:$AZ$69)="EMPTY")+(UPPER($AS$69:$AZ$69)="(EMPTY)"))&gt;0,IFERROR(('Final Calculation Sheet'!$I$16)&amp;"","")="",ISNUMBER(SEARCH($AS$69:$AZ$69,IFERROR(('Final Calculation Sheet'!$I$16)&amp;"","")))))&gt;0),IF(COUNTIF($BI$69:$BP$69,8)=0,TRUE,SUMPRODUCT(($BI$69:$BP$69=8)*($AS$69:$AZ$69&lt;&gt;"")*IF(((UPPER($AS$69:$AZ$69)="BLANK")+(UPPER($AS$69:$AZ$69)="(BLANK)")+(UPPER($AS$69:$AZ$69)="EMPTY")+(UPPER($AS$69:$AZ$69)="(EMPTY)"))&gt;0,IFERROR(('Final Calculation Sheet'!$I$16)&amp;"","")="",ISNUMBER(SEARCH($AS$69:$AZ$69,IFERROR(('Final Calculation Sheet'!$I$16)&amp;"","")))))&gt;0))))</f>
        <v>1</v>
      </c>
      <c r="BW17">
        <f>IF($K$4="",1,--(AND(SUMPRODUCT(--($AS$70:$AZ$70&lt;&gt;""))&gt;0,IF(COUNTIF($BI$70:$BP$70,1)=0,TRUE,SUMPRODUCT(($BI$70:$BP$70=1)*($AS$70:$AZ$70&lt;&gt;"")*IF(((UPPER($AS$70:$AZ$70)="BLANK")+(UPPER($AS$70:$AZ$70)="(BLANK)")+(UPPER($AS$70:$AZ$70)="EMPTY")+(UPPER($AS$70:$AZ$70)="(EMPTY)"))&gt;0,IFERROR(('Final Calculation Sheet'!$J$16)&amp;"","")="",ISNUMBER(SEARCH($AS$70:$AZ$70,IFERROR(('Final Calculation Sheet'!$J$16)&amp;"","")))))&gt;0),IF(COUNTIF($BI$70:$BP$70,2)=0,TRUE,SUMPRODUCT(($BI$70:$BP$70=2)*($AS$70:$AZ$70&lt;&gt;"")*IF(((UPPER($AS$70:$AZ$70)="BLANK")+(UPPER($AS$70:$AZ$70)="(BLANK)")+(UPPER($AS$70:$AZ$70)="EMPTY")+(UPPER($AS$70:$AZ$70)="(EMPTY)"))&gt;0,IFERROR(('Final Calculation Sheet'!$J$16)&amp;"","")="",ISNUMBER(SEARCH($AS$70:$AZ$70,IFERROR(('Final Calculation Sheet'!$J$16)&amp;"","")))))&gt;0),IF(COUNTIF($BI$70:$BP$70,3)=0,TRUE,SUMPRODUCT(($BI$70:$BP$70=3)*($AS$70:$AZ$70&lt;&gt;"")*IF(((UPPER($AS$70:$AZ$70)="BLANK")+(UPPER($AS$70:$AZ$70)="(BLANK)")+(UPPER($AS$70:$AZ$70)="EMPTY")+(UPPER($AS$70:$AZ$70)="(EMPTY)"))&gt;0,IFERROR(('Final Calculation Sheet'!$J$16)&amp;"","")="",ISNUMBER(SEARCH($AS$70:$AZ$70,IFERROR(('Final Calculation Sheet'!$J$16)&amp;"","")))))&gt;0),IF(COUNTIF($BI$70:$BP$70,4)=0,TRUE,SUMPRODUCT(($BI$70:$BP$70=4)*($AS$70:$AZ$70&lt;&gt;"")*IF(((UPPER($AS$70:$AZ$70)="BLANK")+(UPPER($AS$70:$AZ$70)="(BLANK)")+(UPPER($AS$70:$AZ$70)="EMPTY")+(UPPER($AS$70:$AZ$70)="(EMPTY)"))&gt;0,IFERROR(('Final Calculation Sheet'!$J$16)&amp;"","")="",ISNUMBER(SEARCH($AS$70:$AZ$70,IFERROR(('Final Calculation Sheet'!$J$16)&amp;"","")))))&gt;0),IF(COUNTIF($BI$70:$BP$70,5)=0,TRUE,SUMPRODUCT(($BI$70:$BP$70=5)*($AS$70:$AZ$70&lt;&gt;"")*IF(((UPPER($AS$70:$AZ$70)="BLANK")+(UPPER($AS$70:$AZ$70)="(BLANK)")+(UPPER($AS$70:$AZ$70)="EMPTY")+(UPPER($AS$70:$AZ$70)="(EMPTY)"))&gt;0,IFERROR(('Final Calculation Sheet'!$J$16)&amp;"","")="",ISNUMBER(SEARCH($AS$70:$AZ$70,IFERROR(('Final Calculation Sheet'!$J$16)&amp;"","")))))&gt;0),IF(COUNTIF($BI$70:$BP$70,6)=0,TRUE,SUMPRODUCT(($BI$70:$BP$70=6)*($AS$70:$AZ$70&lt;&gt;"")*IF(((UPPER($AS$70:$AZ$70)="BLANK")+(UPPER($AS$70:$AZ$70)="(BLANK)")+(UPPER($AS$70:$AZ$70)="EMPTY")+(UPPER($AS$70:$AZ$70)="(EMPTY)"))&gt;0,IFERROR(('Final Calculation Sheet'!$J$16)&amp;"","")="",ISNUMBER(SEARCH($AS$70:$AZ$70,IFERROR(('Final Calculation Sheet'!$J$16)&amp;"","")))))&gt;0),IF(COUNTIF($BI$70:$BP$70,7)=0,TRUE,SUMPRODUCT(($BI$70:$BP$70=7)*($AS$70:$AZ$70&lt;&gt;"")*IF(((UPPER($AS$70:$AZ$70)="BLANK")+(UPPER($AS$70:$AZ$70)="(BLANK)")+(UPPER($AS$70:$AZ$70)="EMPTY")+(UPPER($AS$70:$AZ$70)="(EMPTY)"))&gt;0,IFERROR(('Final Calculation Sheet'!$J$16)&amp;"","")="",ISNUMBER(SEARCH($AS$70:$AZ$70,IFERROR(('Final Calculation Sheet'!$J$16)&amp;"","")))))&gt;0),IF(COUNTIF($BI$70:$BP$70,8)=0,TRUE,SUMPRODUCT(($BI$70:$BP$70=8)*($AS$70:$AZ$70&lt;&gt;"")*IF(((UPPER($AS$70:$AZ$70)="BLANK")+(UPPER($AS$70:$AZ$70)="(BLANK)")+(UPPER($AS$70:$AZ$70)="EMPTY")+(UPPER($AS$70:$AZ$70)="(EMPTY)"))&gt;0,IFERROR(('Final Calculation Sheet'!$J$16)&amp;"","")="",ISNUMBER(SEARCH($AS$70:$AZ$70,IFERROR(('Final Calculation Sheet'!$J$16)&amp;"","")))))&gt;0))))</f>
        <v>1</v>
      </c>
      <c r="BX17">
        <f>IF($L$4="",1,--(AND(SUMPRODUCT(--($AS$71:$AZ$71&lt;&gt;""))&gt;0,IF(COUNTIF($BI$71:$BP$71,1)=0,TRUE,SUMPRODUCT(($BI$71:$BP$71=1)*($AS$71:$AZ$71&lt;&gt;"")*IF(((UPPER($AS$71:$AZ$71)="BLANK")+(UPPER($AS$71:$AZ$71)="(BLANK)")+(UPPER($AS$71:$AZ$71)="EMPTY")+(UPPER($AS$71:$AZ$71)="(EMPTY)"))&gt;0,IFERROR(('Final Calculation Sheet'!$K$16)&amp;"","")="",ISNUMBER(SEARCH($AS$71:$AZ$71,IFERROR(('Final Calculation Sheet'!$K$16)&amp;"","")))))&gt;0),IF(COUNTIF($BI$71:$BP$71,2)=0,TRUE,SUMPRODUCT(($BI$71:$BP$71=2)*($AS$71:$AZ$71&lt;&gt;"")*IF(((UPPER($AS$71:$AZ$71)="BLANK")+(UPPER($AS$71:$AZ$71)="(BLANK)")+(UPPER($AS$71:$AZ$71)="EMPTY")+(UPPER($AS$71:$AZ$71)="(EMPTY)"))&gt;0,IFERROR(('Final Calculation Sheet'!$K$16)&amp;"","")="",ISNUMBER(SEARCH($AS$71:$AZ$71,IFERROR(('Final Calculation Sheet'!$K$16)&amp;"","")))))&gt;0),IF(COUNTIF($BI$71:$BP$71,3)=0,TRUE,SUMPRODUCT(($BI$71:$BP$71=3)*($AS$71:$AZ$71&lt;&gt;"")*IF(((UPPER($AS$71:$AZ$71)="BLANK")+(UPPER($AS$71:$AZ$71)="(BLANK)")+(UPPER($AS$71:$AZ$71)="EMPTY")+(UPPER($AS$71:$AZ$71)="(EMPTY)"))&gt;0,IFERROR(('Final Calculation Sheet'!$K$16)&amp;"","")="",ISNUMBER(SEARCH($AS$71:$AZ$71,IFERROR(('Final Calculation Sheet'!$K$16)&amp;"","")))))&gt;0),IF(COUNTIF($BI$71:$BP$71,4)=0,TRUE,SUMPRODUCT(($BI$71:$BP$71=4)*($AS$71:$AZ$71&lt;&gt;"")*IF(((UPPER($AS$71:$AZ$71)="BLANK")+(UPPER($AS$71:$AZ$71)="(BLANK)")+(UPPER($AS$71:$AZ$71)="EMPTY")+(UPPER($AS$71:$AZ$71)="(EMPTY)"))&gt;0,IFERROR(('Final Calculation Sheet'!$K$16)&amp;"","")="",ISNUMBER(SEARCH($AS$71:$AZ$71,IFERROR(('Final Calculation Sheet'!$K$16)&amp;"","")))))&gt;0),IF(COUNTIF($BI$71:$BP$71,5)=0,TRUE,SUMPRODUCT(($BI$71:$BP$71=5)*($AS$71:$AZ$71&lt;&gt;"")*IF(((UPPER($AS$71:$AZ$71)="BLANK")+(UPPER($AS$71:$AZ$71)="(BLANK)")+(UPPER($AS$71:$AZ$71)="EMPTY")+(UPPER($AS$71:$AZ$71)="(EMPTY)"))&gt;0,IFERROR(('Final Calculation Sheet'!$K$16)&amp;"","")="",ISNUMBER(SEARCH($AS$71:$AZ$71,IFERROR(('Final Calculation Sheet'!$K$16)&amp;"","")))))&gt;0),IF(COUNTIF($BI$71:$BP$71,6)=0,TRUE,SUMPRODUCT(($BI$71:$BP$71=6)*($AS$71:$AZ$71&lt;&gt;"")*IF(((UPPER($AS$71:$AZ$71)="BLANK")+(UPPER($AS$71:$AZ$71)="(BLANK)")+(UPPER($AS$71:$AZ$71)="EMPTY")+(UPPER($AS$71:$AZ$71)="(EMPTY)"))&gt;0,IFERROR(('Final Calculation Sheet'!$K$16)&amp;"","")="",ISNUMBER(SEARCH($AS$71:$AZ$71,IFERROR(('Final Calculation Sheet'!$K$16)&amp;"","")))))&gt;0),IF(COUNTIF($BI$71:$BP$71,7)=0,TRUE,SUMPRODUCT(($BI$71:$BP$71=7)*($AS$71:$AZ$71&lt;&gt;"")*IF(((UPPER($AS$71:$AZ$71)="BLANK")+(UPPER($AS$71:$AZ$71)="(BLANK)")+(UPPER($AS$71:$AZ$71)="EMPTY")+(UPPER($AS$71:$AZ$71)="(EMPTY)"))&gt;0,IFERROR(('Final Calculation Sheet'!$K$16)&amp;"","")="",ISNUMBER(SEARCH($AS$71:$AZ$71,IFERROR(('Final Calculation Sheet'!$K$16)&amp;"","")))))&gt;0),IF(COUNTIF($BI$71:$BP$71,8)=0,TRUE,SUMPRODUCT(($BI$71:$BP$71=8)*($AS$71:$AZ$71&lt;&gt;"")*IF(((UPPER($AS$71:$AZ$71)="BLANK")+(UPPER($AS$71:$AZ$71)="(BLANK)")+(UPPER($AS$71:$AZ$71)="EMPTY")+(UPPER($AS$71:$AZ$71)="(EMPTY)"))&gt;0,IFERROR(('Final Calculation Sheet'!$K$16)&amp;"","")="",ISNUMBER(SEARCH($AS$71:$AZ$71,IFERROR(('Final Calculation Sheet'!$K$16)&amp;"","")))))&gt;0))))</f>
        <v>1</v>
      </c>
      <c r="BY17">
        <f>IF($M$4="",1,--(AND(SUMPRODUCT(--($AS$72:$AZ$72&lt;&gt;""))&gt;0,IF(COUNTIF($BI$72:$BP$72,1)=0,TRUE,SUMPRODUCT(($BI$72:$BP$72=1)*($AS$72:$AZ$72&lt;&gt;"")*IF(((UPPER($AS$72:$AZ$72)="BLANK")+(UPPER($AS$72:$AZ$72)="(BLANK)")+(UPPER($AS$72:$AZ$72)="EMPTY")+(UPPER($AS$72:$AZ$72)="(EMPTY)"))&gt;0,IFERROR(('Final Calculation Sheet'!$L$16)&amp;"","")="",ISNUMBER(SEARCH($AS$72:$AZ$72,IFERROR(('Final Calculation Sheet'!$L$16)&amp;"","")))))&gt;0),IF(COUNTIF($BI$72:$BP$72,2)=0,TRUE,SUMPRODUCT(($BI$72:$BP$72=2)*($AS$72:$AZ$72&lt;&gt;"")*IF(((UPPER($AS$72:$AZ$72)="BLANK")+(UPPER($AS$72:$AZ$72)="(BLANK)")+(UPPER($AS$72:$AZ$72)="EMPTY")+(UPPER($AS$72:$AZ$72)="(EMPTY)"))&gt;0,IFERROR(('Final Calculation Sheet'!$L$16)&amp;"","")="",ISNUMBER(SEARCH($AS$72:$AZ$72,IFERROR(('Final Calculation Sheet'!$L$16)&amp;"","")))))&gt;0),IF(COUNTIF($BI$72:$BP$72,3)=0,TRUE,SUMPRODUCT(($BI$72:$BP$72=3)*($AS$72:$AZ$72&lt;&gt;"")*IF(((UPPER($AS$72:$AZ$72)="BLANK")+(UPPER($AS$72:$AZ$72)="(BLANK)")+(UPPER($AS$72:$AZ$72)="EMPTY")+(UPPER($AS$72:$AZ$72)="(EMPTY)"))&gt;0,IFERROR(('Final Calculation Sheet'!$L$16)&amp;"","")="",ISNUMBER(SEARCH($AS$72:$AZ$72,IFERROR(('Final Calculation Sheet'!$L$16)&amp;"","")))))&gt;0),IF(COUNTIF($BI$72:$BP$72,4)=0,TRUE,SUMPRODUCT(($BI$72:$BP$72=4)*($AS$72:$AZ$72&lt;&gt;"")*IF(((UPPER($AS$72:$AZ$72)="BLANK")+(UPPER($AS$72:$AZ$72)="(BLANK)")+(UPPER($AS$72:$AZ$72)="EMPTY")+(UPPER($AS$72:$AZ$72)="(EMPTY)"))&gt;0,IFERROR(('Final Calculation Sheet'!$L$16)&amp;"","")="",ISNUMBER(SEARCH($AS$72:$AZ$72,IFERROR(('Final Calculation Sheet'!$L$16)&amp;"","")))))&gt;0),IF(COUNTIF($BI$72:$BP$72,5)=0,TRUE,SUMPRODUCT(($BI$72:$BP$72=5)*($AS$72:$AZ$72&lt;&gt;"")*IF(((UPPER($AS$72:$AZ$72)="BLANK")+(UPPER($AS$72:$AZ$72)="(BLANK)")+(UPPER($AS$72:$AZ$72)="EMPTY")+(UPPER($AS$72:$AZ$72)="(EMPTY)"))&gt;0,IFERROR(('Final Calculation Sheet'!$L$16)&amp;"","")="",ISNUMBER(SEARCH($AS$72:$AZ$72,IFERROR(('Final Calculation Sheet'!$L$16)&amp;"","")))))&gt;0),IF(COUNTIF($BI$72:$BP$72,6)=0,TRUE,SUMPRODUCT(($BI$72:$BP$72=6)*($AS$72:$AZ$72&lt;&gt;"")*IF(((UPPER($AS$72:$AZ$72)="BLANK")+(UPPER($AS$72:$AZ$72)="(BLANK)")+(UPPER($AS$72:$AZ$72)="EMPTY")+(UPPER($AS$72:$AZ$72)="(EMPTY)"))&gt;0,IFERROR(('Final Calculation Sheet'!$L$16)&amp;"","")="",ISNUMBER(SEARCH($AS$72:$AZ$72,IFERROR(('Final Calculation Sheet'!$L$16)&amp;"","")))))&gt;0),IF(COUNTIF($BI$72:$BP$72,7)=0,TRUE,SUMPRODUCT(($BI$72:$BP$72=7)*($AS$72:$AZ$72&lt;&gt;"")*IF(((UPPER($AS$72:$AZ$72)="BLANK")+(UPPER($AS$72:$AZ$72)="(BLANK)")+(UPPER($AS$72:$AZ$72)="EMPTY")+(UPPER($AS$72:$AZ$72)="(EMPTY)"))&gt;0,IFERROR(('Final Calculation Sheet'!$L$16)&amp;"","")="",ISNUMBER(SEARCH($AS$72:$AZ$72,IFERROR(('Final Calculation Sheet'!$L$16)&amp;"","")))))&gt;0),IF(COUNTIF($BI$72:$BP$72,8)=0,TRUE,SUMPRODUCT(($BI$72:$BP$72=8)*($AS$72:$AZ$72&lt;&gt;"")*IF(((UPPER($AS$72:$AZ$72)="BLANK")+(UPPER($AS$72:$AZ$72)="(BLANK)")+(UPPER($AS$72:$AZ$72)="EMPTY")+(UPPER($AS$72:$AZ$72)="(EMPTY)"))&gt;0,IFERROR(('Final Calculation Sheet'!$L$16)&amp;"","")="",ISNUMBER(SEARCH($AS$72:$AZ$72,IFERROR(('Final Calculation Sheet'!$L$16)&amp;"","")))))&gt;0))))</f>
        <v>1</v>
      </c>
      <c r="BZ17">
        <f>IF($N$4="",1,--(AND(SUMPRODUCT(--($AS$73:$AZ$73&lt;&gt;""))&gt;0,IF(COUNTIF($BI$73:$BP$73,1)=0,TRUE,SUMPRODUCT(($BI$73:$BP$73=1)*($AS$73:$AZ$73&lt;&gt;"")*IF(((UPPER($AS$73:$AZ$73)="BLANK")+(UPPER($AS$73:$AZ$73)="(BLANK)")+(UPPER($AS$73:$AZ$73)="EMPTY")+(UPPER($AS$73:$AZ$73)="(EMPTY)"))&gt;0,IFERROR(('Final Calculation Sheet'!$M$16)&amp;"","")="",ISNUMBER(SEARCH($AS$73:$AZ$73,IFERROR(('Final Calculation Sheet'!$M$16)&amp;"","")))))&gt;0),IF(COUNTIF($BI$73:$BP$73,2)=0,TRUE,SUMPRODUCT(($BI$73:$BP$73=2)*($AS$73:$AZ$73&lt;&gt;"")*IF(((UPPER($AS$73:$AZ$73)="BLANK")+(UPPER($AS$73:$AZ$73)="(BLANK)")+(UPPER($AS$73:$AZ$73)="EMPTY")+(UPPER($AS$73:$AZ$73)="(EMPTY)"))&gt;0,IFERROR(('Final Calculation Sheet'!$M$16)&amp;"","")="",ISNUMBER(SEARCH($AS$73:$AZ$73,IFERROR(('Final Calculation Sheet'!$M$16)&amp;"","")))))&gt;0),IF(COUNTIF($BI$73:$BP$73,3)=0,TRUE,SUMPRODUCT(($BI$73:$BP$73=3)*($AS$73:$AZ$73&lt;&gt;"")*IF(((UPPER($AS$73:$AZ$73)="BLANK")+(UPPER($AS$73:$AZ$73)="(BLANK)")+(UPPER($AS$73:$AZ$73)="EMPTY")+(UPPER($AS$73:$AZ$73)="(EMPTY)"))&gt;0,IFERROR(('Final Calculation Sheet'!$M$16)&amp;"","")="",ISNUMBER(SEARCH($AS$73:$AZ$73,IFERROR(('Final Calculation Sheet'!$M$16)&amp;"","")))))&gt;0),IF(COUNTIF($BI$73:$BP$73,4)=0,TRUE,SUMPRODUCT(($BI$73:$BP$73=4)*($AS$73:$AZ$73&lt;&gt;"")*IF(((UPPER($AS$73:$AZ$73)="BLANK")+(UPPER($AS$73:$AZ$73)="(BLANK)")+(UPPER($AS$73:$AZ$73)="EMPTY")+(UPPER($AS$73:$AZ$73)="(EMPTY)"))&gt;0,IFERROR(('Final Calculation Sheet'!$M$16)&amp;"","")="",ISNUMBER(SEARCH($AS$73:$AZ$73,IFERROR(('Final Calculation Sheet'!$M$16)&amp;"","")))))&gt;0),IF(COUNTIF($BI$73:$BP$73,5)=0,TRUE,SUMPRODUCT(($BI$73:$BP$73=5)*($AS$73:$AZ$73&lt;&gt;"")*IF(((UPPER($AS$73:$AZ$73)="BLANK")+(UPPER($AS$73:$AZ$73)="(BLANK)")+(UPPER($AS$73:$AZ$73)="EMPTY")+(UPPER($AS$73:$AZ$73)="(EMPTY)"))&gt;0,IFERROR(('Final Calculation Sheet'!$M$16)&amp;"","")="",ISNUMBER(SEARCH($AS$73:$AZ$73,IFERROR(('Final Calculation Sheet'!$M$16)&amp;"","")))))&gt;0),IF(COUNTIF($BI$73:$BP$73,6)=0,TRUE,SUMPRODUCT(($BI$73:$BP$73=6)*($AS$73:$AZ$73&lt;&gt;"")*IF(((UPPER($AS$73:$AZ$73)="BLANK")+(UPPER($AS$73:$AZ$73)="(BLANK)")+(UPPER($AS$73:$AZ$73)="EMPTY")+(UPPER($AS$73:$AZ$73)="(EMPTY)"))&gt;0,IFERROR(('Final Calculation Sheet'!$M$16)&amp;"","")="",ISNUMBER(SEARCH($AS$73:$AZ$73,IFERROR(('Final Calculation Sheet'!$M$16)&amp;"","")))))&gt;0),IF(COUNTIF($BI$73:$BP$73,7)=0,TRUE,SUMPRODUCT(($BI$73:$BP$73=7)*($AS$73:$AZ$73&lt;&gt;"")*IF(((UPPER($AS$73:$AZ$73)="BLANK")+(UPPER($AS$73:$AZ$73)="(BLANK)")+(UPPER($AS$73:$AZ$73)="EMPTY")+(UPPER($AS$73:$AZ$73)="(EMPTY)"))&gt;0,IFERROR(('Final Calculation Sheet'!$M$16)&amp;"","")="",ISNUMBER(SEARCH($AS$73:$AZ$73,IFERROR(('Final Calculation Sheet'!$M$16)&amp;"","")))))&gt;0),IF(COUNTIF($BI$73:$BP$73,8)=0,TRUE,SUMPRODUCT(($BI$73:$BP$73=8)*($AS$73:$AZ$73&lt;&gt;"")*IF(((UPPER($AS$73:$AZ$73)="BLANK")+(UPPER($AS$73:$AZ$73)="(BLANK)")+(UPPER($AS$73:$AZ$73)="EMPTY")+(UPPER($AS$73:$AZ$73)="(EMPTY)"))&gt;0,IFERROR(('Final Calculation Sheet'!$M$16)&amp;"","")="",ISNUMBER(SEARCH($AS$73:$AZ$73,IFERROR(('Final Calculation Sheet'!$M$16)&amp;"","")))))&gt;0))))</f>
        <v>1</v>
      </c>
      <c r="CA17">
        <f>IF($O$4="",1,--(AND(SUMPRODUCT(--($AS$74:$AZ$74&lt;&gt;""))&gt;0,IF(COUNTIF($BI$74:$BP$74,1)=0,TRUE,SUMPRODUCT(($BI$74:$BP$74=1)*($AS$74:$AZ$74&lt;&gt;"")*IF(((UPPER($AS$74:$AZ$74)="BLANK")+(UPPER($AS$74:$AZ$74)="(BLANK)")+(UPPER($AS$74:$AZ$74)="EMPTY")+(UPPER($AS$74:$AZ$74)="(EMPTY)"))&gt;0,IFERROR(('Final Calculation Sheet'!$N$16)&amp;"","")="",ISNUMBER(SEARCH($AS$74:$AZ$74,IFERROR(('Final Calculation Sheet'!$N$16)&amp;"","")))))&gt;0),IF(COUNTIF($BI$74:$BP$74,2)=0,TRUE,SUMPRODUCT(($BI$74:$BP$74=2)*($AS$74:$AZ$74&lt;&gt;"")*IF(((UPPER($AS$74:$AZ$74)="BLANK")+(UPPER($AS$74:$AZ$74)="(BLANK)")+(UPPER($AS$74:$AZ$74)="EMPTY")+(UPPER($AS$74:$AZ$74)="(EMPTY)"))&gt;0,IFERROR(('Final Calculation Sheet'!$N$16)&amp;"","")="",ISNUMBER(SEARCH($AS$74:$AZ$74,IFERROR(('Final Calculation Sheet'!$N$16)&amp;"","")))))&gt;0),IF(COUNTIF($BI$74:$BP$74,3)=0,TRUE,SUMPRODUCT(($BI$74:$BP$74=3)*($AS$74:$AZ$74&lt;&gt;"")*IF(((UPPER($AS$74:$AZ$74)="BLANK")+(UPPER($AS$74:$AZ$74)="(BLANK)")+(UPPER($AS$74:$AZ$74)="EMPTY")+(UPPER($AS$74:$AZ$74)="(EMPTY)"))&gt;0,IFERROR(('Final Calculation Sheet'!$N$16)&amp;"","")="",ISNUMBER(SEARCH($AS$74:$AZ$74,IFERROR(('Final Calculation Sheet'!$N$16)&amp;"","")))))&gt;0),IF(COUNTIF($BI$74:$BP$74,4)=0,TRUE,SUMPRODUCT(($BI$74:$BP$74=4)*($AS$74:$AZ$74&lt;&gt;"")*IF(((UPPER($AS$74:$AZ$74)="BLANK")+(UPPER($AS$74:$AZ$74)="(BLANK)")+(UPPER($AS$74:$AZ$74)="EMPTY")+(UPPER($AS$74:$AZ$74)="(EMPTY)"))&gt;0,IFERROR(('Final Calculation Sheet'!$N$16)&amp;"","")="",ISNUMBER(SEARCH($AS$74:$AZ$74,IFERROR(('Final Calculation Sheet'!$N$16)&amp;"","")))))&gt;0),IF(COUNTIF($BI$74:$BP$74,5)=0,TRUE,SUMPRODUCT(($BI$74:$BP$74=5)*($AS$74:$AZ$74&lt;&gt;"")*IF(((UPPER($AS$74:$AZ$74)="BLANK")+(UPPER($AS$74:$AZ$74)="(BLANK)")+(UPPER($AS$74:$AZ$74)="EMPTY")+(UPPER($AS$74:$AZ$74)="(EMPTY)"))&gt;0,IFERROR(('Final Calculation Sheet'!$N$16)&amp;"","")="",ISNUMBER(SEARCH($AS$74:$AZ$74,IFERROR(('Final Calculation Sheet'!$N$16)&amp;"","")))))&gt;0),IF(COUNTIF($BI$74:$BP$74,6)=0,TRUE,SUMPRODUCT(($BI$74:$BP$74=6)*($AS$74:$AZ$74&lt;&gt;"")*IF(((UPPER($AS$74:$AZ$74)="BLANK")+(UPPER($AS$74:$AZ$74)="(BLANK)")+(UPPER($AS$74:$AZ$74)="EMPTY")+(UPPER($AS$74:$AZ$74)="(EMPTY)"))&gt;0,IFERROR(('Final Calculation Sheet'!$N$16)&amp;"","")="",ISNUMBER(SEARCH($AS$74:$AZ$74,IFERROR(('Final Calculation Sheet'!$N$16)&amp;"","")))))&gt;0),IF(COUNTIF($BI$74:$BP$74,7)=0,TRUE,SUMPRODUCT(($BI$74:$BP$74=7)*($AS$74:$AZ$74&lt;&gt;"")*IF(((UPPER($AS$74:$AZ$74)="BLANK")+(UPPER($AS$74:$AZ$74)="(BLANK)")+(UPPER($AS$74:$AZ$74)="EMPTY")+(UPPER($AS$74:$AZ$74)="(EMPTY)"))&gt;0,IFERROR(('Final Calculation Sheet'!$N$16)&amp;"","")="",ISNUMBER(SEARCH($AS$74:$AZ$74,IFERROR(('Final Calculation Sheet'!$N$16)&amp;"","")))))&gt;0),IF(COUNTIF($BI$74:$BP$74,8)=0,TRUE,SUMPRODUCT(($BI$74:$BP$74=8)*($AS$74:$AZ$74&lt;&gt;"")*IF(((UPPER($AS$74:$AZ$74)="BLANK")+(UPPER($AS$74:$AZ$74)="(BLANK)")+(UPPER($AS$74:$AZ$74)="EMPTY")+(UPPER($AS$74:$AZ$74)="(EMPTY)"))&gt;0,IFERROR(('Final Calculation Sheet'!$N$16)&amp;"","")="",ISNUMBER(SEARCH($AS$74:$AZ$74,IFERROR(('Final Calculation Sheet'!$N$16)&amp;"","")))))&gt;0))))</f>
        <v>1</v>
      </c>
      <c r="CB17">
        <f>IF($P$4="",1,--(AND(SUMPRODUCT(--($AS$75:$AZ$75&lt;&gt;""))&gt;0,IF(COUNTIF($BI$75:$BP$75,1)=0,TRUE,SUMPRODUCT(($BI$75:$BP$75=1)*($AS$75:$AZ$75&lt;&gt;"")*IF(((UPPER($AS$75:$AZ$75)="BLANK")+(UPPER($AS$75:$AZ$75)="(BLANK)")+(UPPER($AS$75:$AZ$75)="EMPTY")+(UPPER($AS$75:$AZ$75)="(EMPTY)"))&gt;0,IFERROR(('Final Calculation Sheet'!$O$16)&amp;"","")="",ISNUMBER(SEARCH($AS$75:$AZ$75,IFERROR(('Final Calculation Sheet'!$O$16)&amp;"","")))))&gt;0),IF(COUNTIF($BI$75:$BP$75,2)=0,TRUE,SUMPRODUCT(($BI$75:$BP$75=2)*($AS$75:$AZ$75&lt;&gt;"")*IF(((UPPER($AS$75:$AZ$75)="BLANK")+(UPPER($AS$75:$AZ$75)="(BLANK)")+(UPPER($AS$75:$AZ$75)="EMPTY")+(UPPER($AS$75:$AZ$75)="(EMPTY)"))&gt;0,IFERROR(('Final Calculation Sheet'!$O$16)&amp;"","")="",ISNUMBER(SEARCH($AS$75:$AZ$75,IFERROR(('Final Calculation Sheet'!$O$16)&amp;"","")))))&gt;0),IF(COUNTIF($BI$75:$BP$75,3)=0,TRUE,SUMPRODUCT(($BI$75:$BP$75=3)*($AS$75:$AZ$75&lt;&gt;"")*IF(((UPPER($AS$75:$AZ$75)="BLANK")+(UPPER($AS$75:$AZ$75)="(BLANK)")+(UPPER($AS$75:$AZ$75)="EMPTY")+(UPPER($AS$75:$AZ$75)="(EMPTY)"))&gt;0,IFERROR(('Final Calculation Sheet'!$O$16)&amp;"","")="",ISNUMBER(SEARCH($AS$75:$AZ$75,IFERROR(('Final Calculation Sheet'!$O$16)&amp;"","")))))&gt;0),IF(COUNTIF($BI$75:$BP$75,4)=0,TRUE,SUMPRODUCT(($BI$75:$BP$75=4)*($AS$75:$AZ$75&lt;&gt;"")*IF(((UPPER($AS$75:$AZ$75)="BLANK")+(UPPER($AS$75:$AZ$75)="(BLANK)")+(UPPER($AS$75:$AZ$75)="EMPTY")+(UPPER($AS$75:$AZ$75)="(EMPTY)"))&gt;0,IFERROR(('Final Calculation Sheet'!$O$16)&amp;"","")="",ISNUMBER(SEARCH($AS$75:$AZ$75,IFERROR(('Final Calculation Sheet'!$O$16)&amp;"","")))))&gt;0),IF(COUNTIF($BI$75:$BP$75,5)=0,TRUE,SUMPRODUCT(($BI$75:$BP$75=5)*($AS$75:$AZ$75&lt;&gt;"")*IF(((UPPER($AS$75:$AZ$75)="BLANK")+(UPPER($AS$75:$AZ$75)="(BLANK)")+(UPPER($AS$75:$AZ$75)="EMPTY")+(UPPER($AS$75:$AZ$75)="(EMPTY)"))&gt;0,IFERROR(('Final Calculation Sheet'!$O$16)&amp;"","")="",ISNUMBER(SEARCH($AS$75:$AZ$75,IFERROR(('Final Calculation Sheet'!$O$16)&amp;"","")))))&gt;0),IF(COUNTIF($BI$75:$BP$75,6)=0,TRUE,SUMPRODUCT(($BI$75:$BP$75=6)*($AS$75:$AZ$75&lt;&gt;"")*IF(((UPPER($AS$75:$AZ$75)="BLANK")+(UPPER($AS$75:$AZ$75)="(BLANK)")+(UPPER($AS$75:$AZ$75)="EMPTY")+(UPPER($AS$75:$AZ$75)="(EMPTY)"))&gt;0,IFERROR(('Final Calculation Sheet'!$O$16)&amp;"","")="",ISNUMBER(SEARCH($AS$75:$AZ$75,IFERROR(('Final Calculation Sheet'!$O$16)&amp;"","")))))&gt;0),IF(COUNTIF($BI$75:$BP$75,7)=0,TRUE,SUMPRODUCT(($BI$75:$BP$75=7)*($AS$75:$AZ$75&lt;&gt;"")*IF(((UPPER($AS$75:$AZ$75)="BLANK")+(UPPER($AS$75:$AZ$75)="(BLANK)")+(UPPER($AS$75:$AZ$75)="EMPTY")+(UPPER($AS$75:$AZ$75)="(EMPTY)"))&gt;0,IFERROR(('Final Calculation Sheet'!$O$16)&amp;"","")="",ISNUMBER(SEARCH($AS$75:$AZ$75,IFERROR(('Final Calculation Sheet'!$O$16)&amp;"","")))))&gt;0),IF(COUNTIF($BI$75:$BP$75,8)=0,TRUE,SUMPRODUCT(($BI$75:$BP$75=8)*($AS$75:$AZ$75&lt;&gt;"")*IF(((UPPER($AS$75:$AZ$75)="BLANK")+(UPPER($AS$75:$AZ$75)="(BLANK)")+(UPPER($AS$75:$AZ$75)="EMPTY")+(UPPER($AS$75:$AZ$75)="(EMPTY)"))&gt;0,IFERROR(('Final Calculation Sheet'!$O$16)&amp;"","")="",ISNUMBER(SEARCH($AS$75:$AZ$75,IFERROR(('Final Calculation Sheet'!$O$16)&amp;"","")))))&gt;0))))</f>
        <v>1</v>
      </c>
      <c r="CC17">
        <f>IF($Q$4="",1,--(AND(SUMPRODUCT(--($AS$76:$AZ$76&lt;&gt;""))&gt;0,IF(COUNTIF($BI$76:$BP$76,1)=0,TRUE,SUMPRODUCT(($BI$76:$BP$76=1)*($AS$76:$AZ$76&lt;&gt;"")*IF(((UPPER($AS$76:$AZ$76)="BLANK")+(UPPER($AS$76:$AZ$76)="(BLANK)")+(UPPER($AS$76:$AZ$76)="EMPTY")+(UPPER($AS$76:$AZ$76)="(EMPTY)"))&gt;0,IFERROR(('Final Calculation Sheet'!$P$16)&amp;"","")="",ISNUMBER(SEARCH($AS$76:$AZ$76,IFERROR(('Final Calculation Sheet'!$P$16)&amp;"","")))))&gt;0),IF(COUNTIF($BI$76:$BP$76,2)=0,TRUE,SUMPRODUCT(($BI$76:$BP$76=2)*($AS$76:$AZ$76&lt;&gt;"")*IF(((UPPER($AS$76:$AZ$76)="BLANK")+(UPPER($AS$76:$AZ$76)="(BLANK)")+(UPPER($AS$76:$AZ$76)="EMPTY")+(UPPER($AS$76:$AZ$76)="(EMPTY)"))&gt;0,IFERROR(('Final Calculation Sheet'!$P$16)&amp;"","")="",ISNUMBER(SEARCH($AS$76:$AZ$76,IFERROR(('Final Calculation Sheet'!$P$16)&amp;"","")))))&gt;0),IF(COUNTIF($BI$76:$BP$76,3)=0,TRUE,SUMPRODUCT(($BI$76:$BP$76=3)*($AS$76:$AZ$76&lt;&gt;"")*IF(((UPPER($AS$76:$AZ$76)="BLANK")+(UPPER($AS$76:$AZ$76)="(BLANK)")+(UPPER($AS$76:$AZ$76)="EMPTY")+(UPPER($AS$76:$AZ$76)="(EMPTY)"))&gt;0,IFERROR(('Final Calculation Sheet'!$P$16)&amp;"","")="",ISNUMBER(SEARCH($AS$76:$AZ$76,IFERROR(('Final Calculation Sheet'!$P$16)&amp;"","")))))&gt;0),IF(COUNTIF($BI$76:$BP$76,4)=0,TRUE,SUMPRODUCT(($BI$76:$BP$76=4)*($AS$76:$AZ$76&lt;&gt;"")*IF(((UPPER($AS$76:$AZ$76)="BLANK")+(UPPER($AS$76:$AZ$76)="(BLANK)")+(UPPER($AS$76:$AZ$76)="EMPTY")+(UPPER($AS$76:$AZ$76)="(EMPTY)"))&gt;0,IFERROR(('Final Calculation Sheet'!$P$16)&amp;"","")="",ISNUMBER(SEARCH($AS$76:$AZ$76,IFERROR(('Final Calculation Sheet'!$P$16)&amp;"","")))))&gt;0),IF(COUNTIF($BI$76:$BP$76,5)=0,TRUE,SUMPRODUCT(($BI$76:$BP$76=5)*($AS$76:$AZ$76&lt;&gt;"")*IF(((UPPER($AS$76:$AZ$76)="BLANK")+(UPPER($AS$76:$AZ$76)="(BLANK)")+(UPPER($AS$76:$AZ$76)="EMPTY")+(UPPER($AS$76:$AZ$76)="(EMPTY)"))&gt;0,IFERROR(('Final Calculation Sheet'!$P$16)&amp;"","")="",ISNUMBER(SEARCH($AS$76:$AZ$76,IFERROR(('Final Calculation Sheet'!$P$16)&amp;"","")))))&gt;0),IF(COUNTIF($BI$76:$BP$76,6)=0,TRUE,SUMPRODUCT(($BI$76:$BP$76=6)*($AS$76:$AZ$76&lt;&gt;"")*IF(((UPPER($AS$76:$AZ$76)="BLANK")+(UPPER($AS$76:$AZ$76)="(BLANK)")+(UPPER($AS$76:$AZ$76)="EMPTY")+(UPPER($AS$76:$AZ$76)="(EMPTY)"))&gt;0,IFERROR(('Final Calculation Sheet'!$P$16)&amp;"","")="",ISNUMBER(SEARCH($AS$76:$AZ$76,IFERROR(('Final Calculation Sheet'!$P$16)&amp;"","")))))&gt;0),IF(COUNTIF($BI$76:$BP$76,7)=0,TRUE,SUMPRODUCT(($BI$76:$BP$76=7)*($AS$76:$AZ$76&lt;&gt;"")*IF(((UPPER($AS$76:$AZ$76)="BLANK")+(UPPER($AS$76:$AZ$76)="(BLANK)")+(UPPER($AS$76:$AZ$76)="EMPTY")+(UPPER($AS$76:$AZ$76)="(EMPTY)"))&gt;0,IFERROR(('Final Calculation Sheet'!$P$16)&amp;"","")="",ISNUMBER(SEARCH($AS$76:$AZ$76,IFERROR(('Final Calculation Sheet'!$P$16)&amp;"","")))))&gt;0),IF(COUNTIF($BI$76:$BP$76,8)=0,TRUE,SUMPRODUCT(($BI$76:$BP$76=8)*($AS$76:$AZ$76&lt;&gt;"")*IF(((UPPER($AS$76:$AZ$76)="BLANK")+(UPPER($AS$76:$AZ$76)="(BLANK)")+(UPPER($AS$76:$AZ$76)="EMPTY")+(UPPER($AS$76:$AZ$76)="(EMPTY)"))&gt;0,IFERROR(('Final Calculation Sheet'!$P$16)&amp;"","")="",ISNUMBER(SEARCH($AS$76:$AZ$76,IFERROR(('Final Calculation Sheet'!$P$16)&amp;"","")))))&gt;0))))</f>
        <v>1</v>
      </c>
      <c r="CD17">
        <f>IF($R$4="",1,--(AND(SUMPRODUCT(--($AS$77:$AZ$77&lt;&gt;""))&gt;0,IF(COUNTIF($BI$77:$BP$77,1)=0,TRUE,SUMPRODUCT(($BI$77:$BP$77=1)*($AS$77:$AZ$77&lt;&gt;"")*IF(((UPPER($AS$77:$AZ$77)="BLANK")+(UPPER($AS$77:$AZ$77)="(BLANK)")+(UPPER($AS$77:$AZ$77)="EMPTY")+(UPPER($AS$77:$AZ$77)="(EMPTY)"))&gt;0,IFERROR(('Final Calculation Sheet'!$Q$16)&amp;"","")="",ISNUMBER(SEARCH($AS$77:$AZ$77,IFERROR(('Final Calculation Sheet'!$Q$16)&amp;"","")))))&gt;0),IF(COUNTIF($BI$77:$BP$77,2)=0,TRUE,SUMPRODUCT(($BI$77:$BP$77=2)*($AS$77:$AZ$77&lt;&gt;"")*IF(((UPPER($AS$77:$AZ$77)="BLANK")+(UPPER($AS$77:$AZ$77)="(BLANK)")+(UPPER($AS$77:$AZ$77)="EMPTY")+(UPPER($AS$77:$AZ$77)="(EMPTY)"))&gt;0,IFERROR(('Final Calculation Sheet'!$Q$16)&amp;"","")="",ISNUMBER(SEARCH($AS$77:$AZ$77,IFERROR(('Final Calculation Sheet'!$Q$16)&amp;"","")))))&gt;0),IF(COUNTIF($BI$77:$BP$77,3)=0,TRUE,SUMPRODUCT(($BI$77:$BP$77=3)*($AS$77:$AZ$77&lt;&gt;"")*IF(((UPPER($AS$77:$AZ$77)="BLANK")+(UPPER($AS$77:$AZ$77)="(BLANK)")+(UPPER($AS$77:$AZ$77)="EMPTY")+(UPPER($AS$77:$AZ$77)="(EMPTY)"))&gt;0,IFERROR(('Final Calculation Sheet'!$Q$16)&amp;"","")="",ISNUMBER(SEARCH($AS$77:$AZ$77,IFERROR(('Final Calculation Sheet'!$Q$16)&amp;"","")))))&gt;0),IF(COUNTIF($BI$77:$BP$77,4)=0,TRUE,SUMPRODUCT(($BI$77:$BP$77=4)*($AS$77:$AZ$77&lt;&gt;"")*IF(((UPPER($AS$77:$AZ$77)="BLANK")+(UPPER($AS$77:$AZ$77)="(BLANK)")+(UPPER($AS$77:$AZ$77)="EMPTY")+(UPPER($AS$77:$AZ$77)="(EMPTY)"))&gt;0,IFERROR(('Final Calculation Sheet'!$Q$16)&amp;"","")="",ISNUMBER(SEARCH($AS$77:$AZ$77,IFERROR(('Final Calculation Sheet'!$Q$16)&amp;"","")))))&gt;0),IF(COUNTIF($BI$77:$BP$77,5)=0,TRUE,SUMPRODUCT(($BI$77:$BP$77=5)*($AS$77:$AZ$77&lt;&gt;"")*IF(((UPPER($AS$77:$AZ$77)="BLANK")+(UPPER($AS$77:$AZ$77)="(BLANK)")+(UPPER($AS$77:$AZ$77)="EMPTY")+(UPPER($AS$77:$AZ$77)="(EMPTY)"))&gt;0,IFERROR(('Final Calculation Sheet'!$Q$16)&amp;"","")="",ISNUMBER(SEARCH($AS$77:$AZ$77,IFERROR(('Final Calculation Sheet'!$Q$16)&amp;"","")))))&gt;0),IF(COUNTIF($BI$77:$BP$77,6)=0,TRUE,SUMPRODUCT(($BI$77:$BP$77=6)*($AS$77:$AZ$77&lt;&gt;"")*IF(((UPPER($AS$77:$AZ$77)="BLANK")+(UPPER($AS$77:$AZ$77)="(BLANK)")+(UPPER($AS$77:$AZ$77)="EMPTY")+(UPPER($AS$77:$AZ$77)="(EMPTY)"))&gt;0,IFERROR(('Final Calculation Sheet'!$Q$16)&amp;"","")="",ISNUMBER(SEARCH($AS$77:$AZ$77,IFERROR(('Final Calculation Sheet'!$Q$16)&amp;"","")))))&gt;0),IF(COUNTIF($BI$77:$BP$77,7)=0,TRUE,SUMPRODUCT(($BI$77:$BP$77=7)*($AS$77:$AZ$77&lt;&gt;"")*IF(((UPPER($AS$77:$AZ$77)="BLANK")+(UPPER($AS$77:$AZ$77)="(BLANK)")+(UPPER($AS$77:$AZ$77)="EMPTY")+(UPPER($AS$77:$AZ$77)="(EMPTY)"))&gt;0,IFERROR(('Final Calculation Sheet'!$Q$16)&amp;"","")="",ISNUMBER(SEARCH($AS$77:$AZ$77,IFERROR(('Final Calculation Sheet'!$Q$16)&amp;"","")))))&gt;0),IF(COUNTIF($BI$77:$BP$77,8)=0,TRUE,SUMPRODUCT(($BI$77:$BP$77=8)*($AS$77:$AZ$77&lt;&gt;"")*IF(((UPPER($AS$77:$AZ$77)="BLANK")+(UPPER($AS$77:$AZ$77)="(BLANK)")+(UPPER($AS$77:$AZ$77)="EMPTY")+(UPPER($AS$77:$AZ$77)="(EMPTY)"))&gt;0,IFERROR(('Final Calculation Sheet'!$Q$16)&amp;"","")="",ISNUMBER(SEARCH($AS$77:$AZ$77,IFERROR(('Final Calculation Sheet'!$Q$16)&amp;"","")))))&gt;0))))</f>
        <v>1</v>
      </c>
      <c r="CE17">
        <f>IF($S$4="",1,--(AND(SUMPRODUCT(--($AS$78:$AZ$78&lt;&gt;""))&gt;0,IF(COUNTIF($BI$78:$BP$78,1)=0,TRUE,SUMPRODUCT(($BI$78:$BP$78=1)*($AS$78:$AZ$78&lt;&gt;"")*IF(((UPPER($AS$78:$AZ$78)="BLANK")+(UPPER($AS$78:$AZ$78)="(BLANK)")+(UPPER($AS$78:$AZ$78)="EMPTY")+(UPPER($AS$78:$AZ$78)="(EMPTY)"))&gt;0,IFERROR(('Final Calculation Sheet'!$R$16)&amp;"","")="",ISNUMBER(SEARCH($AS$78:$AZ$78,IFERROR(('Final Calculation Sheet'!$R$16)&amp;"","")))))&gt;0),IF(COUNTIF($BI$78:$BP$78,2)=0,TRUE,SUMPRODUCT(($BI$78:$BP$78=2)*($AS$78:$AZ$78&lt;&gt;"")*IF(((UPPER($AS$78:$AZ$78)="BLANK")+(UPPER($AS$78:$AZ$78)="(BLANK)")+(UPPER($AS$78:$AZ$78)="EMPTY")+(UPPER($AS$78:$AZ$78)="(EMPTY)"))&gt;0,IFERROR(('Final Calculation Sheet'!$R$16)&amp;"","")="",ISNUMBER(SEARCH($AS$78:$AZ$78,IFERROR(('Final Calculation Sheet'!$R$16)&amp;"","")))))&gt;0),IF(COUNTIF($BI$78:$BP$78,3)=0,TRUE,SUMPRODUCT(($BI$78:$BP$78=3)*($AS$78:$AZ$78&lt;&gt;"")*IF(((UPPER($AS$78:$AZ$78)="BLANK")+(UPPER($AS$78:$AZ$78)="(BLANK)")+(UPPER($AS$78:$AZ$78)="EMPTY")+(UPPER($AS$78:$AZ$78)="(EMPTY)"))&gt;0,IFERROR(('Final Calculation Sheet'!$R$16)&amp;"","")="",ISNUMBER(SEARCH($AS$78:$AZ$78,IFERROR(('Final Calculation Sheet'!$R$16)&amp;"","")))))&gt;0),IF(COUNTIF($BI$78:$BP$78,4)=0,TRUE,SUMPRODUCT(($BI$78:$BP$78=4)*($AS$78:$AZ$78&lt;&gt;"")*IF(((UPPER($AS$78:$AZ$78)="BLANK")+(UPPER($AS$78:$AZ$78)="(BLANK)")+(UPPER($AS$78:$AZ$78)="EMPTY")+(UPPER($AS$78:$AZ$78)="(EMPTY)"))&gt;0,IFERROR(('Final Calculation Sheet'!$R$16)&amp;"","")="",ISNUMBER(SEARCH($AS$78:$AZ$78,IFERROR(('Final Calculation Sheet'!$R$16)&amp;"","")))))&gt;0),IF(COUNTIF($BI$78:$BP$78,5)=0,TRUE,SUMPRODUCT(($BI$78:$BP$78=5)*($AS$78:$AZ$78&lt;&gt;"")*IF(((UPPER($AS$78:$AZ$78)="BLANK")+(UPPER($AS$78:$AZ$78)="(BLANK)")+(UPPER($AS$78:$AZ$78)="EMPTY")+(UPPER($AS$78:$AZ$78)="(EMPTY)"))&gt;0,IFERROR(('Final Calculation Sheet'!$R$16)&amp;"","")="",ISNUMBER(SEARCH($AS$78:$AZ$78,IFERROR(('Final Calculation Sheet'!$R$16)&amp;"","")))))&gt;0),IF(COUNTIF($BI$78:$BP$78,6)=0,TRUE,SUMPRODUCT(($BI$78:$BP$78=6)*($AS$78:$AZ$78&lt;&gt;"")*IF(((UPPER($AS$78:$AZ$78)="BLANK")+(UPPER($AS$78:$AZ$78)="(BLANK)")+(UPPER($AS$78:$AZ$78)="EMPTY")+(UPPER($AS$78:$AZ$78)="(EMPTY)"))&gt;0,IFERROR(('Final Calculation Sheet'!$R$16)&amp;"","")="",ISNUMBER(SEARCH($AS$78:$AZ$78,IFERROR(('Final Calculation Sheet'!$R$16)&amp;"","")))))&gt;0),IF(COUNTIF($BI$78:$BP$78,7)=0,TRUE,SUMPRODUCT(($BI$78:$BP$78=7)*($AS$78:$AZ$78&lt;&gt;"")*IF(((UPPER($AS$78:$AZ$78)="BLANK")+(UPPER($AS$78:$AZ$78)="(BLANK)")+(UPPER($AS$78:$AZ$78)="EMPTY")+(UPPER($AS$78:$AZ$78)="(EMPTY)"))&gt;0,IFERROR(('Final Calculation Sheet'!$R$16)&amp;"","")="",ISNUMBER(SEARCH($AS$78:$AZ$78,IFERROR(('Final Calculation Sheet'!$R$16)&amp;"","")))))&gt;0),IF(COUNTIF($BI$78:$BP$78,8)=0,TRUE,SUMPRODUCT(($BI$78:$BP$78=8)*($AS$78:$AZ$78&lt;&gt;"")*IF(((UPPER($AS$78:$AZ$78)="BLANK")+(UPPER($AS$78:$AZ$78)="(BLANK)")+(UPPER($AS$78:$AZ$78)="EMPTY")+(UPPER($AS$78:$AZ$78)="(EMPTY)"))&gt;0,IFERROR(('Final Calculation Sheet'!$R$16)&amp;"","")="",ISNUMBER(SEARCH($AS$78:$AZ$78,IFERROR(('Final Calculation Sheet'!$R$16)&amp;"","")))))&gt;0))))</f>
        <v>1</v>
      </c>
      <c r="CF17">
        <f>IF($T$4="",1,--(AND(SUMPRODUCT(--($AS$79:$AZ$79&lt;&gt;""))&gt;0,IF(COUNTIF($BI$79:$BP$79,1)=0,TRUE,SUMPRODUCT(($BI$79:$BP$79=1)*($AS$79:$AZ$79&lt;&gt;"")*IF(((UPPER($AS$79:$AZ$79)="BLANK")+(UPPER($AS$79:$AZ$79)="(BLANK)")+(UPPER($AS$79:$AZ$79)="EMPTY")+(UPPER($AS$79:$AZ$79)="(EMPTY)"))&gt;0,IFERROR(('Final Calculation Sheet'!$S$16)&amp;"","")="",ISNUMBER(SEARCH($AS$79:$AZ$79,IFERROR(('Final Calculation Sheet'!$S$16)&amp;"","")))))&gt;0),IF(COUNTIF($BI$79:$BP$79,2)=0,TRUE,SUMPRODUCT(($BI$79:$BP$79=2)*($AS$79:$AZ$79&lt;&gt;"")*IF(((UPPER($AS$79:$AZ$79)="BLANK")+(UPPER($AS$79:$AZ$79)="(BLANK)")+(UPPER($AS$79:$AZ$79)="EMPTY")+(UPPER($AS$79:$AZ$79)="(EMPTY)"))&gt;0,IFERROR(('Final Calculation Sheet'!$S$16)&amp;"","")="",ISNUMBER(SEARCH($AS$79:$AZ$79,IFERROR(('Final Calculation Sheet'!$S$16)&amp;"","")))))&gt;0),IF(COUNTIF($BI$79:$BP$79,3)=0,TRUE,SUMPRODUCT(($BI$79:$BP$79=3)*($AS$79:$AZ$79&lt;&gt;"")*IF(((UPPER($AS$79:$AZ$79)="BLANK")+(UPPER($AS$79:$AZ$79)="(BLANK)")+(UPPER($AS$79:$AZ$79)="EMPTY")+(UPPER($AS$79:$AZ$79)="(EMPTY)"))&gt;0,IFERROR(('Final Calculation Sheet'!$S$16)&amp;"","")="",ISNUMBER(SEARCH($AS$79:$AZ$79,IFERROR(('Final Calculation Sheet'!$S$16)&amp;"","")))))&gt;0),IF(COUNTIF($BI$79:$BP$79,4)=0,TRUE,SUMPRODUCT(($BI$79:$BP$79=4)*($AS$79:$AZ$79&lt;&gt;"")*IF(((UPPER($AS$79:$AZ$79)="BLANK")+(UPPER($AS$79:$AZ$79)="(BLANK)")+(UPPER($AS$79:$AZ$79)="EMPTY")+(UPPER($AS$79:$AZ$79)="(EMPTY)"))&gt;0,IFERROR(('Final Calculation Sheet'!$S$16)&amp;"","")="",ISNUMBER(SEARCH($AS$79:$AZ$79,IFERROR(('Final Calculation Sheet'!$S$16)&amp;"","")))))&gt;0),IF(COUNTIF($BI$79:$BP$79,5)=0,TRUE,SUMPRODUCT(($BI$79:$BP$79=5)*($AS$79:$AZ$79&lt;&gt;"")*IF(((UPPER($AS$79:$AZ$79)="BLANK")+(UPPER($AS$79:$AZ$79)="(BLANK)")+(UPPER($AS$79:$AZ$79)="EMPTY")+(UPPER($AS$79:$AZ$79)="(EMPTY)"))&gt;0,IFERROR(('Final Calculation Sheet'!$S$16)&amp;"","")="",ISNUMBER(SEARCH($AS$79:$AZ$79,IFERROR(('Final Calculation Sheet'!$S$16)&amp;"","")))))&gt;0),IF(COUNTIF($BI$79:$BP$79,6)=0,TRUE,SUMPRODUCT(($BI$79:$BP$79=6)*($AS$79:$AZ$79&lt;&gt;"")*IF(((UPPER($AS$79:$AZ$79)="BLANK")+(UPPER($AS$79:$AZ$79)="(BLANK)")+(UPPER($AS$79:$AZ$79)="EMPTY")+(UPPER($AS$79:$AZ$79)="(EMPTY)"))&gt;0,IFERROR(('Final Calculation Sheet'!$S$16)&amp;"","")="",ISNUMBER(SEARCH($AS$79:$AZ$79,IFERROR(('Final Calculation Sheet'!$S$16)&amp;"","")))))&gt;0),IF(COUNTIF($BI$79:$BP$79,7)=0,TRUE,SUMPRODUCT(($BI$79:$BP$79=7)*($AS$79:$AZ$79&lt;&gt;"")*IF(((UPPER($AS$79:$AZ$79)="BLANK")+(UPPER($AS$79:$AZ$79)="(BLANK)")+(UPPER($AS$79:$AZ$79)="EMPTY")+(UPPER($AS$79:$AZ$79)="(EMPTY)"))&gt;0,IFERROR(('Final Calculation Sheet'!$S$16)&amp;"","")="",ISNUMBER(SEARCH($AS$79:$AZ$79,IFERROR(('Final Calculation Sheet'!$S$16)&amp;"","")))))&gt;0),IF(COUNTIF($BI$79:$BP$79,8)=0,TRUE,SUMPRODUCT(($BI$79:$BP$79=8)*($AS$79:$AZ$79&lt;&gt;"")*IF(((UPPER($AS$79:$AZ$79)="BLANK")+(UPPER($AS$79:$AZ$79)="(BLANK)")+(UPPER($AS$79:$AZ$79)="EMPTY")+(UPPER($AS$79:$AZ$79)="(EMPTY)"))&gt;0,IFERROR(('Final Calculation Sheet'!$S$16)&amp;"","")="",ISNUMBER(SEARCH($AS$79:$AZ$79,IFERROR(('Final Calculation Sheet'!$S$16)&amp;"","")))))&gt;0))))</f>
        <v>1</v>
      </c>
      <c r="CG17">
        <f>IF($U$4="",1,--(AND(SUMPRODUCT(--($AS$80:$AZ$80&lt;&gt;""))&gt;0,IF(COUNTIF($BI$80:$BP$80,1)=0,TRUE,SUMPRODUCT(($BI$80:$BP$80=1)*($AS$80:$AZ$80&lt;&gt;"")*IF(((UPPER($AS$80:$AZ$80)="BLANK")+(UPPER($AS$80:$AZ$80)="(BLANK)")+(UPPER($AS$80:$AZ$80)="EMPTY")+(UPPER($AS$80:$AZ$80)="(EMPTY)"))&gt;0,IFERROR(('Final Calculation Sheet'!$T$16)&amp;"","")="",ISNUMBER(SEARCH($AS$80:$AZ$80,IFERROR(('Final Calculation Sheet'!$T$16)&amp;"","")))))&gt;0),IF(COUNTIF($BI$80:$BP$80,2)=0,TRUE,SUMPRODUCT(($BI$80:$BP$80=2)*($AS$80:$AZ$80&lt;&gt;"")*IF(((UPPER($AS$80:$AZ$80)="BLANK")+(UPPER($AS$80:$AZ$80)="(BLANK)")+(UPPER($AS$80:$AZ$80)="EMPTY")+(UPPER($AS$80:$AZ$80)="(EMPTY)"))&gt;0,IFERROR(('Final Calculation Sheet'!$T$16)&amp;"","")="",ISNUMBER(SEARCH($AS$80:$AZ$80,IFERROR(('Final Calculation Sheet'!$T$16)&amp;"","")))))&gt;0),IF(COUNTIF($BI$80:$BP$80,3)=0,TRUE,SUMPRODUCT(($BI$80:$BP$80=3)*($AS$80:$AZ$80&lt;&gt;"")*IF(((UPPER($AS$80:$AZ$80)="BLANK")+(UPPER($AS$80:$AZ$80)="(BLANK)")+(UPPER($AS$80:$AZ$80)="EMPTY")+(UPPER($AS$80:$AZ$80)="(EMPTY)"))&gt;0,IFERROR(('Final Calculation Sheet'!$T$16)&amp;"","")="",ISNUMBER(SEARCH($AS$80:$AZ$80,IFERROR(('Final Calculation Sheet'!$T$16)&amp;"","")))))&gt;0),IF(COUNTIF($BI$80:$BP$80,4)=0,TRUE,SUMPRODUCT(($BI$80:$BP$80=4)*($AS$80:$AZ$80&lt;&gt;"")*IF(((UPPER($AS$80:$AZ$80)="BLANK")+(UPPER($AS$80:$AZ$80)="(BLANK)")+(UPPER($AS$80:$AZ$80)="EMPTY")+(UPPER($AS$80:$AZ$80)="(EMPTY)"))&gt;0,IFERROR(('Final Calculation Sheet'!$T$16)&amp;"","")="",ISNUMBER(SEARCH($AS$80:$AZ$80,IFERROR(('Final Calculation Sheet'!$T$16)&amp;"","")))))&gt;0),IF(COUNTIF($BI$80:$BP$80,5)=0,TRUE,SUMPRODUCT(($BI$80:$BP$80=5)*($AS$80:$AZ$80&lt;&gt;"")*IF(((UPPER($AS$80:$AZ$80)="BLANK")+(UPPER($AS$80:$AZ$80)="(BLANK)")+(UPPER($AS$80:$AZ$80)="EMPTY")+(UPPER($AS$80:$AZ$80)="(EMPTY)"))&gt;0,IFERROR(('Final Calculation Sheet'!$T$16)&amp;"","")="",ISNUMBER(SEARCH($AS$80:$AZ$80,IFERROR(('Final Calculation Sheet'!$T$16)&amp;"","")))))&gt;0),IF(COUNTIF($BI$80:$BP$80,6)=0,TRUE,SUMPRODUCT(($BI$80:$BP$80=6)*($AS$80:$AZ$80&lt;&gt;"")*IF(((UPPER($AS$80:$AZ$80)="BLANK")+(UPPER($AS$80:$AZ$80)="(BLANK)")+(UPPER($AS$80:$AZ$80)="EMPTY")+(UPPER($AS$80:$AZ$80)="(EMPTY)"))&gt;0,IFERROR(('Final Calculation Sheet'!$T$16)&amp;"","")="",ISNUMBER(SEARCH($AS$80:$AZ$80,IFERROR(('Final Calculation Sheet'!$T$16)&amp;"","")))))&gt;0),IF(COUNTIF($BI$80:$BP$80,7)=0,TRUE,SUMPRODUCT(($BI$80:$BP$80=7)*($AS$80:$AZ$80&lt;&gt;"")*IF(((UPPER($AS$80:$AZ$80)="BLANK")+(UPPER($AS$80:$AZ$80)="(BLANK)")+(UPPER($AS$80:$AZ$80)="EMPTY")+(UPPER($AS$80:$AZ$80)="(EMPTY)"))&gt;0,IFERROR(('Final Calculation Sheet'!$T$16)&amp;"","")="",ISNUMBER(SEARCH($AS$80:$AZ$80,IFERROR(('Final Calculation Sheet'!$T$16)&amp;"","")))))&gt;0),IF(COUNTIF($BI$80:$BP$80,8)=0,TRUE,SUMPRODUCT(($BI$80:$BP$80=8)*($AS$80:$AZ$80&lt;&gt;"")*IF(((UPPER($AS$80:$AZ$80)="BLANK")+(UPPER($AS$80:$AZ$80)="(BLANK)")+(UPPER($AS$80:$AZ$80)="EMPTY")+(UPPER($AS$80:$AZ$80)="(EMPTY)"))&gt;0,IFERROR(('Final Calculation Sheet'!$T$16)&amp;"","")="",ISNUMBER(SEARCH($AS$80:$AZ$80,IFERROR(('Final Calculation Sheet'!$T$16)&amp;"","")))))&gt;0))))</f>
        <v>1</v>
      </c>
      <c r="CH17">
        <f>IF($V$4="",1,--(AND(SUMPRODUCT(--($AS$81:$AZ$81&lt;&gt;""))&gt;0,IF(COUNTIF($BI$81:$BP$81,1)=0,TRUE,SUMPRODUCT(($BI$81:$BP$81=1)*($AS$81:$AZ$81&lt;&gt;"")*IF(((UPPER($AS$81:$AZ$81)="BLANK")+(UPPER($AS$81:$AZ$81)="(BLANK)")+(UPPER($AS$81:$AZ$81)="EMPTY")+(UPPER($AS$81:$AZ$81)="(EMPTY)"))&gt;0,IFERROR(('Final Calculation Sheet'!$U$16)&amp;"","")="",ISNUMBER(SEARCH($AS$81:$AZ$81,IFERROR(('Final Calculation Sheet'!$U$16)&amp;"","")))))&gt;0),IF(COUNTIF($BI$81:$BP$81,2)=0,TRUE,SUMPRODUCT(($BI$81:$BP$81=2)*($AS$81:$AZ$81&lt;&gt;"")*IF(((UPPER($AS$81:$AZ$81)="BLANK")+(UPPER($AS$81:$AZ$81)="(BLANK)")+(UPPER($AS$81:$AZ$81)="EMPTY")+(UPPER($AS$81:$AZ$81)="(EMPTY)"))&gt;0,IFERROR(('Final Calculation Sheet'!$U$16)&amp;"","")="",ISNUMBER(SEARCH($AS$81:$AZ$81,IFERROR(('Final Calculation Sheet'!$U$16)&amp;"","")))))&gt;0),IF(COUNTIF($BI$81:$BP$81,3)=0,TRUE,SUMPRODUCT(($BI$81:$BP$81=3)*($AS$81:$AZ$81&lt;&gt;"")*IF(((UPPER($AS$81:$AZ$81)="BLANK")+(UPPER($AS$81:$AZ$81)="(BLANK)")+(UPPER($AS$81:$AZ$81)="EMPTY")+(UPPER($AS$81:$AZ$81)="(EMPTY)"))&gt;0,IFERROR(('Final Calculation Sheet'!$U$16)&amp;"","")="",ISNUMBER(SEARCH($AS$81:$AZ$81,IFERROR(('Final Calculation Sheet'!$U$16)&amp;"","")))))&gt;0),IF(COUNTIF($BI$81:$BP$81,4)=0,TRUE,SUMPRODUCT(($BI$81:$BP$81=4)*($AS$81:$AZ$81&lt;&gt;"")*IF(((UPPER($AS$81:$AZ$81)="BLANK")+(UPPER($AS$81:$AZ$81)="(BLANK)")+(UPPER($AS$81:$AZ$81)="EMPTY")+(UPPER($AS$81:$AZ$81)="(EMPTY)"))&gt;0,IFERROR(('Final Calculation Sheet'!$U$16)&amp;"","")="",ISNUMBER(SEARCH($AS$81:$AZ$81,IFERROR(('Final Calculation Sheet'!$U$16)&amp;"","")))))&gt;0),IF(COUNTIF($BI$81:$BP$81,5)=0,TRUE,SUMPRODUCT(($BI$81:$BP$81=5)*($AS$81:$AZ$81&lt;&gt;"")*IF(((UPPER($AS$81:$AZ$81)="BLANK")+(UPPER($AS$81:$AZ$81)="(BLANK)")+(UPPER($AS$81:$AZ$81)="EMPTY")+(UPPER($AS$81:$AZ$81)="(EMPTY)"))&gt;0,IFERROR(('Final Calculation Sheet'!$U$16)&amp;"","")="",ISNUMBER(SEARCH($AS$81:$AZ$81,IFERROR(('Final Calculation Sheet'!$U$16)&amp;"","")))))&gt;0),IF(COUNTIF($BI$81:$BP$81,6)=0,TRUE,SUMPRODUCT(($BI$81:$BP$81=6)*($AS$81:$AZ$81&lt;&gt;"")*IF(((UPPER($AS$81:$AZ$81)="BLANK")+(UPPER($AS$81:$AZ$81)="(BLANK)")+(UPPER($AS$81:$AZ$81)="EMPTY")+(UPPER($AS$81:$AZ$81)="(EMPTY)"))&gt;0,IFERROR(('Final Calculation Sheet'!$U$16)&amp;"","")="",ISNUMBER(SEARCH($AS$81:$AZ$81,IFERROR(('Final Calculation Sheet'!$U$16)&amp;"","")))))&gt;0),IF(COUNTIF($BI$81:$BP$81,7)=0,TRUE,SUMPRODUCT(($BI$81:$BP$81=7)*($AS$81:$AZ$81&lt;&gt;"")*IF(((UPPER($AS$81:$AZ$81)="BLANK")+(UPPER($AS$81:$AZ$81)="(BLANK)")+(UPPER($AS$81:$AZ$81)="EMPTY")+(UPPER($AS$81:$AZ$81)="(EMPTY)"))&gt;0,IFERROR(('Final Calculation Sheet'!$U$16)&amp;"","")="",ISNUMBER(SEARCH($AS$81:$AZ$81,IFERROR(('Final Calculation Sheet'!$U$16)&amp;"","")))))&gt;0),IF(COUNTIF($BI$81:$BP$81,8)=0,TRUE,SUMPRODUCT(($BI$81:$BP$81=8)*($AS$81:$AZ$81&lt;&gt;"")*IF(((UPPER($AS$81:$AZ$81)="BLANK")+(UPPER($AS$81:$AZ$81)="(BLANK)")+(UPPER($AS$81:$AZ$81)="EMPTY")+(UPPER($AS$81:$AZ$81)="(EMPTY)"))&gt;0,IFERROR(('Final Calculation Sheet'!$U$16)&amp;"","")="",ISNUMBER(SEARCH($AS$81:$AZ$81,IFERROR(('Final Calculation Sheet'!$U$16)&amp;"","")))))&gt;0))))</f>
        <v>1</v>
      </c>
      <c r="CI17">
        <f>IF($W$4="",1,--(AND(SUMPRODUCT(--($AS$82:$AZ$82&lt;&gt;""))&gt;0,IF(COUNTIF($BI$82:$BP$82,1)=0,TRUE,SUMPRODUCT(($BI$82:$BP$82=1)*($AS$82:$AZ$82&lt;&gt;"")*IF(((UPPER($AS$82:$AZ$82)="BLANK")+(UPPER($AS$82:$AZ$82)="(BLANK)")+(UPPER($AS$82:$AZ$82)="EMPTY")+(UPPER($AS$82:$AZ$82)="(EMPTY)"))&gt;0,IFERROR(('Final Calculation Sheet'!$V$16)&amp;"","")="",ISNUMBER(SEARCH($AS$82:$AZ$82,IFERROR(('Final Calculation Sheet'!$V$16)&amp;"","")))))&gt;0),IF(COUNTIF($BI$82:$BP$82,2)=0,TRUE,SUMPRODUCT(($BI$82:$BP$82=2)*($AS$82:$AZ$82&lt;&gt;"")*IF(((UPPER($AS$82:$AZ$82)="BLANK")+(UPPER($AS$82:$AZ$82)="(BLANK)")+(UPPER($AS$82:$AZ$82)="EMPTY")+(UPPER($AS$82:$AZ$82)="(EMPTY)"))&gt;0,IFERROR(('Final Calculation Sheet'!$V$16)&amp;"","")="",ISNUMBER(SEARCH($AS$82:$AZ$82,IFERROR(('Final Calculation Sheet'!$V$16)&amp;"","")))))&gt;0),IF(COUNTIF($BI$82:$BP$82,3)=0,TRUE,SUMPRODUCT(($BI$82:$BP$82=3)*($AS$82:$AZ$82&lt;&gt;"")*IF(((UPPER($AS$82:$AZ$82)="BLANK")+(UPPER($AS$82:$AZ$82)="(BLANK)")+(UPPER($AS$82:$AZ$82)="EMPTY")+(UPPER($AS$82:$AZ$82)="(EMPTY)"))&gt;0,IFERROR(('Final Calculation Sheet'!$V$16)&amp;"","")="",ISNUMBER(SEARCH($AS$82:$AZ$82,IFERROR(('Final Calculation Sheet'!$V$16)&amp;"","")))))&gt;0),IF(COUNTIF($BI$82:$BP$82,4)=0,TRUE,SUMPRODUCT(($BI$82:$BP$82=4)*($AS$82:$AZ$82&lt;&gt;"")*IF(((UPPER($AS$82:$AZ$82)="BLANK")+(UPPER($AS$82:$AZ$82)="(BLANK)")+(UPPER($AS$82:$AZ$82)="EMPTY")+(UPPER($AS$82:$AZ$82)="(EMPTY)"))&gt;0,IFERROR(('Final Calculation Sheet'!$V$16)&amp;"","")="",ISNUMBER(SEARCH($AS$82:$AZ$82,IFERROR(('Final Calculation Sheet'!$V$16)&amp;"","")))))&gt;0),IF(COUNTIF($BI$82:$BP$82,5)=0,TRUE,SUMPRODUCT(($BI$82:$BP$82=5)*($AS$82:$AZ$82&lt;&gt;"")*IF(((UPPER($AS$82:$AZ$82)="BLANK")+(UPPER($AS$82:$AZ$82)="(BLANK)")+(UPPER($AS$82:$AZ$82)="EMPTY")+(UPPER($AS$82:$AZ$82)="(EMPTY)"))&gt;0,IFERROR(('Final Calculation Sheet'!$V$16)&amp;"","")="",ISNUMBER(SEARCH($AS$82:$AZ$82,IFERROR(('Final Calculation Sheet'!$V$16)&amp;"","")))))&gt;0),IF(COUNTIF($BI$82:$BP$82,6)=0,TRUE,SUMPRODUCT(($BI$82:$BP$82=6)*($AS$82:$AZ$82&lt;&gt;"")*IF(((UPPER($AS$82:$AZ$82)="BLANK")+(UPPER($AS$82:$AZ$82)="(BLANK)")+(UPPER($AS$82:$AZ$82)="EMPTY")+(UPPER($AS$82:$AZ$82)="(EMPTY)"))&gt;0,IFERROR(('Final Calculation Sheet'!$V$16)&amp;"","")="",ISNUMBER(SEARCH($AS$82:$AZ$82,IFERROR(('Final Calculation Sheet'!$V$16)&amp;"","")))))&gt;0),IF(COUNTIF($BI$82:$BP$82,7)=0,TRUE,SUMPRODUCT(($BI$82:$BP$82=7)*($AS$82:$AZ$82&lt;&gt;"")*IF(((UPPER($AS$82:$AZ$82)="BLANK")+(UPPER($AS$82:$AZ$82)="(BLANK)")+(UPPER($AS$82:$AZ$82)="EMPTY")+(UPPER($AS$82:$AZ$82)="(EMPTY)"))&gt;0,IFERROR(('Final Calculation Sheet'!$V$16)&amp;"","")="",ISNUMBER(SEARCH($AS$82:$AZ$82,IFERROR(('Final Calculation Sheet'!$V$16)&amp;"","")))))&gt;0),IF(COUNTIF($BI$82:$BP$82,8)=0,TRUE,SUMPRODUCT(($BI$82:$BP$82=8)*($AS$82:$AZ$82&lt;&gt;"")*IF(((UPPER($AS$82:$AZ$82)="BLANK")+(UPPER($AS$82:$AZ$82)="(BLANK)")+(UPPER($AS$82:$AZ$82)="EMPTY")+(UPPER($AS$82:$AZ$82)="(EMPTY)"))&gt;0,IFERROR(('Final Calculation Sheet'!$V$16)&amp;"","")="",ISNUMBER(SEARCH($AS$82:$AZ$82,IFERROR(('Final Calculation Sheet'!$V$16)&amp;"","")))))&gt;0))))</f>
        <v>1</v>
      </c>
      <c r="CJ17">
        <f>IF($X$4="",1,--(AND(SUMPRODUCT(--($AS$83:$AZ$83&lt;&gt;""))&gt;0,IF(COUNTIF($BI$83:$BP$83,1)=0,TRUE,SUMPRODUCT(($BI$83:$BP$83=1)*($AS$83:$AZ$83&lt;&gt;"")*IF(((UPPER($AS$83:$AZ$83)="BLANK")+(UPPER($AS$83:$AZ$83)="(BLANK)")+(UPPER($AS$83:$AZ$83)="EMPTY")+(UPPER($AS$83:$AZ$83)="(EMPTY)"))&gt;0,IFERROR(('Final Calculation Sheet'!$W$16)&amp;"","")="",ISNUMBER(SEARCH($AS$83:$AZ$83,IFERROR(('Final Calculation Sheet'!$W$16)&amp;"","")))))&gt;0),IF(COUNTIF($BI$83:$BP$83,2)=0,TRUE,SUMPRODUCT(($BI$83:$BP$83=2)*($AS$83:$AZ$83&lt;&gt;"")*IF(((UPPER($AS$83:$AZ$83)="BLANK")+(UPPER($AS$83:$AZ$83)="(BLANK)")+(UPPER($AS$83:$AZ$83)="EMPTY")+(UPPER($AS$83:$AZ$83)="(EMPTY)"))&gt;0,IFERROR(('Final Calculation Sheet'!$W$16)&amp;"","")="",ISNUMBER(SEARCH($AS$83:$AZ$83,IFERROR(('Final Calculation Sheet'!$W$16)&amp;"","")))))&gt;0),IF(COUNTIF($BI$83:$BP$83,3)=0,TRUE,SUMPRODUCT(($BI$83:$BP$83=3)*($AS$83:$AZ$83&lt;&gt;"")*IF(((UPPER($AS$83:$AZ$83)="BLANK")+(UPPER($AS$83:$AZ$83)="(BLANK)")+(UPPER($AS$83:$AZ$83)="EMPTY")+(UPPER($AS$83:$AZ$83)="(EMPTY)"))&gt;0,IFERROR(('Final Calculation Sheet'!$W$16)&amp;"","")="",ISNUMBER(SEARCH($AS$83:$AZ$83,IFERROR(('Final Calculation Sheet'!$W$16)&amp;"","")))))&gt;0),IF(COUNTIF($BI$83:$BP$83,4)=0,TRUE,SUMPRODUCT(($BI$83:$BP$83=4)*($AS$83:$AZ$83&lt;&gt;"")*IF(((UPPER($AS$83:$AZ$83)="BLANK")+(UPPER($AS$83:$AZ$83)="(BLANK)")+(UPPER($AS$83:$AZ$83)="EMPTY")+(UPPER($AS$83:$AZ$83)="(EMPTY)"))&gt;0,IFERROR(('Final Calculation Sheet'!$W$16)&amp;"","")="",ISNUMBER(SEARCH($AS$83:$AZ$83,IFERROR(('Final Calculation Sheet'!$W$16)&amp;"","")))))&gt;0),IF(COUNTIF($BI$83:$BP$83,5)=0,TRUE,SUMPRODUCT(($BI$83:$BP$83=5)*($AS$83:$AZ$83&lt;&gt;"")*IF(((UPPER($AS$83:$AZ$83)="BLANK")+(UPPER($AS$83:$AZ$83)="(BLANK)")+(UPPER($AS$83:$AZ$83)="EMPTY")+(UPPER($AS$83:$AZ$83)="(EMPTY)"))&gt;0,IFERROR(('Final Calculation Sheet'!$W$16)&amp;"","")="",ISNUMBER(SEARCH($AS$83:$AZ$83,IFERROR(('Final Calculation Sheet'!$W$16)&amp;"","")))))&gt;0),IF(COUNTIF($BI$83:$BP$83,6)=0,TRUE,SUMPRODUCT(($BI$83:$BP$83=6)*($AS$83:$AZ$83&lt;&gt;"")*IF(((UPPER($AS$83:$AZ$83)="BLANK")+(UPPER($AS$83:$AZ$83)="(BLANK)")+(UPPER($AS$83:$AZ$83)="EMPTY")+(UPPER($AS$83:$AZ$83)="(EMPTY)"))&gt;0,IFERROR(('Final Calculation Sheet'!$W$16)&amp;"","")="",ISNUMBER(SEARCH($AS$83:$AZ$83,IFERROR(('Final Calculation Sheet'!$W$16)&amp;"","")))))&gt;0),IF(COUNTIF($BI$83:$BP$83,7)=0,TRUE,SUMPRODUCT(($BI$83:$BP$83=7)*($AS$83:$AZ$83&lt;&gt;"")*IF(((UPPER($AS$83:$AZ$83)="BLANK")+(UPPER($AS$83:$AZ$83)="(BLANK)")+(UPPER($AS$83:$AZ$83)="EMPTY")+(UPPER($AS$83:$AZ$83)="(EMPTY)"))&gt;0,IFERROR(('Final Calculation Sheet'!$W$16)&amp;"","")="",ISNUMBER(SEARCH($AS$83:$AZ$83,IFERROR(('Final Calculation Sheet'!$W$16)&amp;"","")))))&gt;0),IF(COUNTIF($BI$83:$BP$83,8)=0,TRUE,SUMPRODUCT(($BI$83:$BP$83=8)*($AS$83:$AZ$83&lt;&gt;"")*IF(((UPPER($AS$83:$AZ$83)="BLANK")+(UPPER($AS$83:$AZ$83)="(BLANK)")+(UPPER($AS$83:$AZ$83)="EMPTY")+(UPPER($AS$83:$AZ$83)="(EMPTY)"))&gt;0,IFERROR(('Final Calculation Sheet'!$W$16)&amp;"","")="",ISNUMBER(SEARCH($AS$83:$AZ$83,IFERROR(('Final Calculation Sheet'!$W$16)&amp;"","")))))&gt;0))))</f>
        <v>1</v>
      </c>
      <c r="CK17">
        <f>IF($Y$4="",1,--(AND(SUMPRODUCT(--($AS$84:$AZ$84&lt;&gt;""))&gt;0,IF(COUNTIF($BI$84:$BP$84,1)=0,TRUE,SUMPRODUCT(($BI$84:$BP$84=1)*($AS$84:$AZ$84&lt;&gt;"")*IF(((UPPER($AS$84:$AZ$84)="BLANK")+(UPPER($AS$84:$AZ$84)="(BLANK)")+(UPPER($AS$84:$AZ$84)="EMPTY")+(UPPER($AS$84:$AZ$84)="(EMPTY)"))&gt;0,IFERROR(('Final Calculation Sheet'!$X$16)&amp;"","")="",ISNUMBER(SEARCH($AS$84:$AZ$84,IFERROR(('Final Calculation Sheet'!$X$16)&amp;"","")))))&gt;0),IF(COUNTIF($BI$84:$BP$84,2)=0,TRUE,SUMPRODUCT(($BI$84:$BP$84=2)*($AS$84:$AZ$84&lt;&gt;"")*IF(((UPPER($AS$84:$AZ$84)="BLANK")+(UPPER($AS$84:$AZ$84)="(BLANK)")+(UPPER($AS$84:$AZ$84)="EMPTY")+(UPPER($AS$84:$AZ$84)="(EMPTY)"))&gt;0,IFERROR(('Final Calculation Sheet'!$X$16)&amp;"","")="",ISNUMBER(SEARCH($AS$84:$AZ$84,IFERROR(('Final Calculation Sheet'!$X$16)&amp;"","")))))&gt;0),IF(COUNTIF($BI$84:$BP$84,3)=0,TRUE,SUMPRODUCT(($BI$84:$BP$84=3)*($AS$84:$AZ$84&lt;&gt;"")*IF(((UPPER($AS$84:$AZ$84)="BLANK")+(UPPER($AS$84:$AZ$84)="(BLANK)")+(UPPER($AS$84:$AZ$84)="EMPTY")+(UPPER($AS$84:$AZ$84)="(EMPTY)"))&gt;0,IFERROR(('Final Calculation Sheet'!$X$16)&amp;"","")="",ISNUMBER(SEARCH($AS$84:$AZ$84,IFERROR(('Final Calculation Sheet'!$X$16)&amp;"","")))))&gt;0),IF(COUNTIF($BI$84:$BP$84,4)=0,TRUE,SUMPRODUCT(($BI$84:$BP$84=4)*($AS$84:$AZ$84&lt;&gt;"")*IF(((UPPER($AS$84:$AZ$84)="BLANK")+(UPPER($AS$84:$AZ$84)="(BLANK)")+(UPPER($AS$84:$AZ$84)="EMPTY")+(UPPER($AS$84:$AZ$84)="(EMPTY)"))&gt;0,IFERROR(('Final Calculation Sheet'!$X$16)&amp;"","")="",ISNUMBER(SEARCH($AS$84:$AZ$84,IFERROR(('Final Calculation Sheet'!$X$16)&amp;"","")))))&gt;0),IF(COUNTIF($BI$84:$BP$84,5)=0,TRUE,SUMPRODUCT(($BI$84:$BP$84=5)*($AS$84:$AZ$84&lt;&gt;"")*IF(((UPPER($AS$84:$AZ$84)="BLANK")+(UPPER($AS$84:$AZ$84)="(BLANK)")+(UPPER($AS$84:$AZ$84)="EMPTY")+(UPPER($AS$84:$AZ$84)="(EMPTY)"))&gt;0,IFERROR(('Final Calculation Sheet'!$X$16)&amp;"","")="",ISNUMBER(SEARCH($AS$84:$AZ$84,IFERROR(('Final Calculation Sheet'!$X$16)&amp;"","")))))&gt;0),IF(COUNTIF($BI$84:$BP$84,6)=0,TRUE,SUMPRODUCT(($BI$84:$BP$84=6)*($AS$84:$AZ$84&lt;&gt;"")*IF(((UPPER($AS$84:$AZ$84)="BLANK")+(UPPER($AS$84:$AZ$84)="(BLANK)")+(UPPER($AS$84:$AZ$84)="EMPTY")+(UPPER($AS$84:$AZ$84)="(EMPTY)"))&gt;0,IFERROR(('Final Calculation Sheet'!$X$16)&amp;"","")="",ISNUMBER(SEARCH($AS$84:$AZ$84,IFERROR(('Final Calculation Sheet'!$X$16)&amp;"","")))))&gt;0),IF(COUNTIF($BI$84:$BP$84,7)=0,TRUE,SUMPRODUCT(($BI$84:$BP$84=7)*($AS$84:$AZ$84&lt;&gt;"")*IF(((UPPER($AS$84:$AZ$84)="BLANK")+(UPPER($AS$84:$AZ$84)="(BLANK)")+(UPPER($AS$84:$AZ$84)="EMPTY")+(UPPER($AS$84:$AZ$84)="(EMPTY)"))&gt;0,IFERROR(('Final Calculation Sheet'!$X$16)&amp;"","")="",ISNUMBER(SEARCH($AS$84:$AZ$84,IFERROR(('Final Calculation Sheet'!$X$16)&amp;"","")))))&gt;0),IF(COUNTIF($BI$84:$BP$84,8)=0,TRUE,SUMPRODUCT(($BI$84:$BP$84=8)*($AS$84:$AZ$84&lt;&gt;"")*IF(((UPPER($AS$84:$AZ$84)="BLANK")+(UPPER($AS$84:$AZ$84)="(BLANK)")+(UPPER($AS$84:$AZ$84)="EMPTY")+(UPPER($AS$84:$AZ$84)="(EMPTY)"))&gt;0,IFERROR(('Final Calculation Sheet'!$X$16)&amp;"","")="",ISNUMBER(SEARCH($AS$84:$AZ$84,IFERROR(('Final Calculation Sheet'!$X$16)&amp;"","")))))&gt;0))))</f>
        <v>1</v>
      </c>
      <c r="CL17">
        <f>IF($Z$4="",1,--(AND(SUMPRODUCT(--($AS$85:$AZ$85&lt;&gt;""))&gt;0,IF(COUNTIF($BI$85:$BP$85,1)=0,TRUE,SUMPRODUCT(($BI$85:$BP$85=1)*($AS$85:$AZ$85&lt;&gt;"")*IF(((UPPER($AS$85:$AZ$85)="BLANK")+(UPPER($AS$85:$AZ$85)="(BLANK)")+(UPPER($AS$85:$AZ$85)="EMPTY")+(UPPER($AS$85:$AZ$85)="(EMPTY)"))&gt;0,IFERROR(('Final Calculation Sheet'!$Y$16)&amp;"","")="",ISNUMBER(SEARCH($AS$85:$AZ$85,IFERROR(('Final Calculation Sheet'!$Y$16)&amp;"","")))))&gt;0),IF(COUNTIF($BI$85:$BP$85,2)=0,TRUE,SUMPRODUCT(($BI$85:$BP$85=2)*($AS$85:$AZ$85&lt;&gt;"")*IF(((UPPER($AS$85:$AZ$85)="BLANK")+(UPPER($AS$85:$AZ$85)="(BLANK)")+(UPPER($AS$85:$AZ$85)="EMPTY")+(UPPER($AS$85:$AZ$85)="(EMPTY)"))&gt;0,IFERROR(('Final Calculation Sheet'!$Y$16)&amp;"","")="",ISNUMBER(SEARCH($AS$85:$AZ$85,IFERROR(('Final Calculation Sheet'!$Y$16)&amp;"","")))))&gt;0),IF(COUNTIF($BI$85:$BP$85,3)=0,TRUE,SUMPRODUCT(($BI$85:$BP$85=3)*($AS$85:$AZ$85&lt;&gt;"")*IF(((UPPER($AS$85:$AZ$85)="BLANK")+(UPPER($AS$85:$AZ$85)="(BLANK)")+(UPPER($AS$85:$AZ$85)="EMPTY")+(UPPER($AS$85:$AZ$85)="(EMPTY)"))&gt;0,IFERROR(('Final Calculation Sheet'!$Y$16)&amp;"","")="",ISNUMBER(SEARCH($AS$85:$AZ$85,IFERROR(('Final Calculation Sheet'!$Y$16)&amp;"","")))))&gt;0),IF(COUNTIF($BI$85:$BP$85,4)=0,TRUE,SUMPRODUCT(($BI$85:$BP$85=4)*($AS$85:$AZ$85&lt;&gt;"")*IF(((UPPER($AS$85:$AZ$85)="BLANK")+(UPPER($AS$85:$AZ$85)="(BLANK)")+(UPPER($AS$85:$AZ$85)="EMPTY")+(UPPER($AS$85:$AZ$85)="(EMPTY)"))&gt;0,IFERROR(('Final Calculation Sheet'!$Y$16)&amp;"","")="",ISNUMBER(SEARCH($AS$85:$AZ$85,IFERROR(('Final Calculation Sheet'!$Y$16)&amp;"","")))))&gt;0),IF(COUNTIF($BI$85:$BP$85,5)=0,TRUE,SUMPRODUCT(($BI$85:$BP$85=5)*($AS$85:$AZ$85&lt;&gt;"")*IF(((UPPER($AS$85:$AZ$85)="BLANK")+(UPPER($AS$85:$AZ$85)="(BLANK)")+(UPPER($AS$85:$AZ$85)="EMPTY")+(UPPER($AS$85:$AZ$85)="(EMPTY)"))&gt;0,IFERROR(('Final Calculation Sheet'!$Y$16)&amp;"","")="",ISNUMBER(SEARCH($AS$85:$AZ$85,IFERROR(('Final Calculation Sheet'!$Y$16)&amp;"","")))))&gt;0),IF(COUNTIF($BI$85:$BP$85,6)=0,TRUE,SUMPRODUCT(($BI$85:$BP$85=6)*($AS$85:$AZ$85&lt;&gt;"")*IF(((UPPER($AS$85:$AZ$85)="BLANK")+(UPPER($AS$85:$AZ$85)="(BLANK)")+(UPPER($AS$85:$AZ$85)="EMPTY")+(UPPER($AS$85:$AZ$85)="(EMPTY)"))&gt;0,IFERROR(('Final Calculation Sheet'!$Y$16)&amp;"","")="",ISNUMBER(SEARCH($AS$85:$AZ$85,IFERROR(('Final Calculation Sheet'!$Y$16)&amp;"","")))))&gt;0),IF(COUNTIF($BI$85:$BP$85,7)=0,TRUE,SUMPRODUCT(($BI$85:$BP$85=7)*($AS$85:$AZ$85&lt;&gt;"")*IF(((UPPER($AS$85:$AZ$85)="BLANK")+(UPPER($AS$85:$AZ$85)="(BLANK)")+(UPPER($AS$85:$AZ$85)="EMPTY")+(UPPER($AS$85:$AZ$85)="(EMPTY)"))&gt;0,IFERROR(('Final Calculation Sheet'!$Y$16)&amp;"","")="",ISNUMBER(SEARCH($AS$85:$AZ$85,IFERROR(('Final Calculation Sheet'!$Y$16)&amp;"","")))))&gt;0),IF(COUNTIF($BI$85:$BP$85,8)=0,TRUE,SUMPRODUCT(($BI$85:$BP$85=8)*($AS$85:$AZ$85&lt;&gt;"")*IF(((UPPER($AS$85:$AZ$85)="BLANK")+(UPPER($AS$85:$AZ$85)="(BLANK)")+(UPPER($AS$85:$AZ$85)="EMPTY")+(UPPER($AS$85:$AZ$85)="(EMPTY)"))&gt;0,IFERROR(('Final Calculation Sheet'!$Y$16)&amp;"","")="",ISNUMBER(SEARCH($AS$85:$AZ$85,IFERROR(('Final Calculation Sheet'!$Y$16)&amp;"","")))))&gt;0))))</f>
        <v>1</v>
      </c>
      <c r="CM17">
        <f>IF($AA$4="",1,--(AND(SUMPRODUCT(--($AS$86:$AZ$86&lt;&gt;""))&gt;0,IF(COUNTIF($BI$86:$BP$86,1)=0,TRUE,SUMPRODUCT(($BI$86:$BP$86=1)*($AS$86:$AZ$86&lt;&gt;"")*IF(((UPPER($AS$86:$AZ$86)="BLANK")+(UPPER($AS$86:$AZ$86)="(BLANK)")+(UPPER($AS$86:$AZ$86)="EMPTY")+(UPPER($AS$86:$AZ$86)="(EMPTY)"))&gt;0,IFERROR(('Final Calculation Sheet'!$Z$16)&amp;"","")="",ISNUMBER(SEARCH($AS$86:$AZ$86,IFERROR(('Final Calculation Sheet'!$Z$16)&amp;"","")))))&gt;0),IF(COUNTIF($BI$86:$BP$86,2)=0,TRUE,SUMPRODUCT(($BI$86:$BP$86=2)*($AS$86:$AZ$86&lt;&gt;"")*IF(((UPPER($AS$86:$AZ$86)="BLANK")+(UPPER($AS$86:$AZ$86)="(BLANK)")+(UPPER($AS$86:$AZ$86)="EMPTY")+(UPPER($AS$86:$AZ$86)="(EMPTY)"))&gt;0,IFERROR(('Final Calculation Sheet'!$Z$16)&amp;"","")="",ISNUMBER(SEARCH($AS$86:$AZ$86,IFERROR(('Final Calculation Sheet'!$Z$16)&amp;"","")))))&gt;0),IF(COUNTIF($BI$86:$BP$86,3)=0,TRUE,SUMPRODUCT(($BI$86:$BP$86=3)*($AS$86:$AZ$86&lt;&gt;"")*IF(((UPPER($AS$86:$AZ$86)="BLANK")+(UPPER($AS$86:$AZ$86)="(BLANK)")+(UPPER($AS$86:$AZ$86)="EMPTY")+(UPPER($AS$86:$AZ$86)="(EMPTY)"))&gt;0,IFERROR(('Final Calculation Sheet'!$Z$16)&amp;"","")="",ISNUMBER(SEARCH($AS$86:$AZ$86,IFERROR(('Final Calculation Sheet'!$Z$16)&amp;"","")))))&gt;0),IF(COUNTIF($BI$86:$BP$86,4)=0,TRUE,SUMPRODUCT(($BI$86:$BP$86=4)*($AS$86:$AZ$86&lt;&gt;"")*IF(((UPPER($AS$86:$AZ$86)="BLANK")+(UPPER($AS$86:$AZ$86)="(BLANK)")+(UPPER($AS$86:$AZ$86)="EMPTY")+(UPPER($AS$86:$AZ$86)="(EMPTY)"))&gt;0,IFERROR(('Final Calculation Sheet'!$Z$16)&amp;"","")="",ISNUMBER(SEARCH($AS$86:$AZ$86,IFERROR(('Final Calculation Sheet'!$Z$16)&amp;"","")))))&gt;0),IF(COUNTIF($BI$86:$BP$86,5)=0,TRUE,SUMPRODUCT(($BI$86:$BP$86=5)*($AS$86:$AZ$86&lt;&gt;"")*IF(((UPPER($AS$86:$AZ$86)="BLANK")+(UPPER($AS$86:$AZ$86)="(BLANK)")+(UPPER($AS$86:$AZ$86)="EMPTY")+(UPPER($AS$86:$AZ$86)="(EMPTY)"))&gt;0,IFERROR(('Final Calculation Sheet'!$Z$16)&amp;"","")="",ISNUMBER(SEARCH($AS$86:$AZ$86,IFERROR(('Final Calculation Sheet'!$Z$16)&amp;"","")))))&gt;0),IF(COUNTIF($BI$86:$BP$86,6)=0,TRUE,SUMPRODUCT(($BI$86:$BP$86=6)*($AS$86:$AZ$86&lt;&gt;"")*IF(((UPPER($AS$86:$AZ$86)="BLANK")+(UPPER($AS$86:$AZ$86)="(BLANK)")+(UPPER($AS$86:$AZ$86)="EMPTY")+(UPPER($AS$86:$AZ$86)="(EMPTY)"))&gt;0,IFERROR(('Final Calculation Sheet'!$Z$16)&amp;"","")="",ISNUMBER(SEARCH($AS$86:$AZ$86,IFERROR(('Final Calculation Sheet'!$Z$16)&amp;"","")))))&gt;0),IF(COUNTIF($BI$86:$BP$86,7)=0,TRUE,SUMPRODUCT(($BI$86:$BP$86=7)*($AS$86:$AZ$86&lt;&gt;"")*IF(((UPPER($AS$86:$AZ$86)="BLANK")+(UPPER($AS$86:$AZ$86)="(BLANK)")+(UPPER($AS$86:$AZ$86)="EMPTY")+(UPPER($AS$86:$AZ$86)="(EMPTY)"))&gt;0,IFERROR(('Final Calculation Sheet'!$Z$16)&amp;"","")="",ISNUMBER(SEARCH($AS$86:$AZ$86,IFERROR(('Final Calculation Sheet'!$Z$16)&amp;"","")))))&gt;0),IF(COUNTIF($BI$86:$BP$86,8)=0,TRUE,SUMPRODUCT(($BI$86:$BP$86=8)*($AS$86:$AZ$86&lt;&gt;"")*IF(((UPPER($AS$86:$AZ$86)="BLANK")+(UPPER($AS$86:$AZ$86)="(BLANK)")+(UPPER($AS$86:$AZ$86)="EMPTY")+(UPPER($AS$86:$AZ$86)="(EMPTY)"))&gt;0,IFERROR(('Final Calculation Sheet'!$Z$16)&amp;"","")="",ISNUMBER(SEARCH($AS$86:$AZ$86,IFERROR(('Final Calculation Sheet'!$Z$16)&amp;"","")))))&gt;0))))</f>
        <v>1</v>
      </c>
      <c r="CN17">
        <f>IF($AB$4="",1,--(AND(SUMPRODUCT(--($AS$87:$AZ$87&lt;&gt;""))&gt;0,IF(COUNTIF($BI$87:$BP$87,1)=0,TRUE,SUMPRODUCT(($BI$87:$BP$87=1)*($AS$87:$AZ$87&lt;&gt;"")*IF(((UPPER($AS$87:$AZ$87)="BLANK")+(UPPER($AS$87:$AZ$87)="(BLANK)")+(UPPER($AS$87:$AZ$87)="EMPTY")+(UPPER($AS$87:$AZ$87)="(EMPTY)"))&gt;0,IFERROR(('Final Calculation Sheet'!$AA$16)&amp;"","")="",ISNUMBER(SEARCH($AS$87:$AZ$87,IFERROR(('Final Calculation Sheet'!$AA$16)&amp;"","")))))&gt;0),IF(COUNTIF($BI$87:$BP$87,2)=0,TRUE,SUMPRODUCT(($BI$87:$BP$87=2)*($AS$87:$AZ$87&lt;&gt;"")*IF(((UPPER($AS$87:$AZ$87)="BLANK")+(UPPER($AS$87:$AZ$87)="(BLANK)")+(UPPER($AS$87:$AZ$87)="EMPTY")+(UPPER($AS$87:$AZ$87)="(EMPTY)"))&gt;0,IFERROR(('Final Calculation Sheet'!$AA$16)&amp;"","")="",ISNUMBER(SEARCH($AS$87:$AZ$87,IFERROR(('Final Calculation Sheet'!$AA$16)&amp;"","")))))&gt;0),IF(COUNTIF($BI$87:$BP$87,3)=0,TRUE,SUMPRODUCT(($BI$87:$BP$87=3)*($AS$87:$AZ$87&lt;&gt;"")*IF(((UPPER($AS$87:$AZ$87)="BLANK")+(UPPER($AS$87:$AZ$87)="(BLANK)")+(UPPER($AS$87:$AZ$87)="EMPTY")+(UPPER($AS$87:$AZ$87)="(EMPTY)"))&gt;0,IFERROR(('Final Calculation Sheet'!$AA$16)&amp;"","")="",ISNUMBER(SEARCH($AS$87:$AZ$87,IFERROR(('Final Calculation Sheet'!$AA$16)&amp;"","")))))&gt;0),IF(COUNTIF($BI$87:$BP$87,4)=0,TRUE,SUMPRODUCT(($BI$87:$BP$87=4)*($AS$87:$AZ$87&lt;&gt;"")*IF(((UPPER($AS$87:$AZ$87)="BLANK")+(UPPER($AS$87:$AZ$87)="(BLANK)")+(UPPER($AS$87:$AZ$87)="EMPTY")+(UPPER($AS$87:$AZ$87)="(EMPTY)"))&gt;0,IFERROR(('Final Calculation Sheet'!$AA$16)&amp;"","")="",ISNUMBER(SEARCH($AS$87:$AZ$87,IFERROR(('Final Calculation Sheet'!$AA$16)&amp;"","")))))&gt;0),IF(COUNTIF($BI$87:$BP$87,5)=0,TRUE,SUMPRODUCT(($BI$87:$BP$87=5)*($AS$87:$AZ$87&lt;&gt;"")*IF(((UPPER($AS$87:$AZ$87)="BLANK")+(UPPER($AS$87:$AZ$87)="(BLANK)")+(UPPER($AS$87:$AZ$87)="EMPTY")+(UPPER($AS$87:$AZ$87)="(EMPTY)"))&gt;0,IFERROR(('Final Calculation Sheet'!$AA$16)&amp;"","")="",ISNUMBER(SEARCH($AS$87:$AZ$87,IFERROR(('Final Calculation Sheet'!$AA$16)&amp;"","")))))&gt;0),IF(COUNTIF($BI$87:$BP$87,6)=0,TRUE,SUMPRODUCT(($BI$87:$BP$87=6)*($AS$87:$AZ$87&lt;&gt;"")*IF(((UPPER($AS$87:$AZ$87)="BLANK")+(UPPER($AS$87:$AZ$87)="(BLANK)")+(UPPER($AS$87:$AZ$87)="EMPTY")+(UPPER($AS$87:$AZ$87)="(EMPTY)"))&gt;0,IFERROR(('Final Calculation Sheet'!$AA$16)&amp;"","")="",ISNUMBER(SEARCH($AS$87:$AZ$87,IFERROR(('Final Calculation Sheet'!$AA$16)&amp;"","")))))&gt;0),IF(COUNTIF($BI$87:$BP$87,7)=0,TRUE,SUMPRODUCT(($BI$87:$BP$87=7)*($AS$87:$AZ$87&lt;&gt;"")*IF(((UPPER($AS$87:$AZ$87)="BLANK")+(UPPER($AS$87:$AZ$87)="(BLANK)")+(UPPER($AS$87:$AZ$87)="EMPTY")+(UPPER($AS$87:$AZ$87)="(EMPTY)"))&gt;0,IFERROR(('Final Calculation Sheet'!$AA$16)&amp;"","")="",ISNUMBER(SEARCH($AS$87:$AZ$87,IFERROR(('Final Calculation Sheet'!$AA$16)&amp;"","")))))&gt;0),IF(COUNTIF($BI$87:$BP$87,8)=0,TRUE,SUMPRODUCT(($BI$87:$BP$87=8)*($AS$87:$AZ$87&lt;&gt;"")*IF(((UPPER($AS$87:$AZ$87)="BLANK")+(UPPER($AS$87:$AZ$87)="(BLANK)")+(UPPER($AS$87:$AZ$87)="EMPTY")+(UPPER($AS$87:$AZ$87)="(EMPTY)"))&gt;0,IFERROR(('Final Calculation Sheet'!$AA$16)&amp;"","")="",ISNUMBER(SEARCH($AS$87:$AZ$87,IFERROR(('Final Calculation Sheet'!$AA$16)&amp;"","")))))&gt;0))))</f>
        <v>1</v>
      </c>
      <c r="CO17">
        <f>IF($AC$4="",1,--(AND(SUMPRODUCT(--($AS$88:$AZ$88&lt;&gt;""))&gt;0,IF(COUNTIF($BI$88:$BP$88,1)=0,TRUE,SUMPRODUCT(($BI$88:$BP$88=1)*($AS$88:$AZ$88&lt;&gt;"")*IF(((UPPER($AS$88:$AZ$88)="BLANK")+(UPPER($AS$88:$AZ$88)="(BLANK)")+(UPPER($AS$88:$AZ$88)="EMPTY")+(UPPER($AS$88:$AZ$88)="(EMPTY)"))&gt;0,IFERROR(('Final Calculation Sheet'!$AB$16)&amp;"","")="",ISNUMBER(SEARCH($AS$88:$AZ$88,IFERROR(('Final Calculation Sheet'!$AB$16)&amp;"","")))))&gt;0),IF(COUNTIF($BI$88:$BP$88,2)=0,TRUE,SUMPRODUCT(($BI$88:$BP$88=2)*($AS$88:$AZ$88&lt;&gt;"")*IF(((UPPER($AS$88:$AZ$88)="BLANK")+(UPPER($AS$88:$AZ$88)="(BLANK)")+(UPPER($AS$88:$AZ$88)="EMPTY")+(UPPER($AS$88:$AZ$88)="(EMPTY)"))&gt;0,IFERROR(('Final Calculation Sheet'!$AB$16)&amp;"","")="",ISNUMBER(SEARCH($AS$88:$AZ$88,IFERROR(('Final Calculation Sheet'!$AB$16)&amp;"","")))))&gt;0),IF(COUNTIF($BI$88:$BP$88,3)=0,TRUE,SUMPRODUCT(($BI$88:$BP$88=3)*($AS$88:$AZ$88&lt;&gt;"")*IF(((UPPER($AS$88:$AZ$88)="BLANK")+(UPPER($AS$88:$AZ$88)="(BLANK)")+(UPPER($AS$88:$AZ$88)="EMPTY")+(UPPER($AS$88:$AZ$88)="(EMPTY)"))&gt;0,IFERROR(('Final Calculation Sheet'!$AB$16)&amp;"","")="",ISNUMBER(SEARCH($AS$88:$AZ$88,IFERROR(('Final Calculation Sheet'!$AB$16)&amp;"","")))))&gt;0),IF(COUNTIF($BI$88:$BP$88,4)=0,TRUE,SUMPRODUCT(($BI$88:$BP$88=4)*($AS$88:$AZ$88&lt;&gt;"")*IF(((UPPER($AS$88:$AZ$88)="BLANK")+(UPPER($AS$88:$AZ$88)="(BLANK)")+(UPPER($AS$88:$AZ$88)="EMPTY")+(UPPER($AS$88:$AZ$88)="(EMPTY)"))&gt;0,IFERROR(('Final Calculation Sheet'!$AB$16)&amp;"","")="",ISNUMBER(SEARCH($AS$88:$AZ$88,IFERROR(('Final Calculation Sheet'!$AB$16)&amp;"","")))))&gt;0),IF(COUNTIF($BI$88:$BP$88,5)=0,TRUE,SUMPRODUCT(($BI$88:$BP$88=5)*($AS$88:$AZ$88&lt;&gt;"")*IF(((UPPER($AS$88:$AZ$88)="BLANK")+(UPPER($AS$88:$AZ$88)="(BLANK)")+(UPPER($AS$88:$AZ$88)="EMPTY")+(UPPER($AS$88:$AZ$88)="(EMPTY)"))&gt;0,IFERROR(('Final Calculation Sheet'!$AB$16)&amp;"","")="",ISNUMBER(SEARCH($AS$88:$AZ$88,IFERROR(('Final Calculation Sheet'!$AB$16)&amp;"","")))))&gt;0),IF(COUNTIF($BI$88:$BP$88,6)=0,TRUE,SUMPRODUCT(($BI$88:$BP$88=6)*($AS$88:$AZ$88&lt;&gt;"")*IF(((UPPER($AS$88:$AZ$88)="BLANK")+(UPPER($AS$88:$AZ$88)="(BLANK)")+(UPPER($AS$88:$AZ$88)="EMPTY")+(UPPER($AS$88:$AZ$88)="(EMPTY)"))&gt;0,IFERROR(('Final Calculation Sheet'!$AB$16)&amp;"","")="",ISNUMBER(SEARCH($AS$88:$AZ$88,IFERROR(('Final Calculation Sheet'!$AB$16)&amp;"","")))))&gt;0),IF(COUNTIF($BI$88:$BP$88,7)=0,TRUE,SUMPRODUCT(($BI$88:$BP$88=7)*($AS$88:$AZ$88&lt;&gt;"")*IF(((UPPER($AS$88:$AZ$88)="BLANK")+(UPPER($AS$88:$AZ$88)="(BLANK)")+(UPPER($AS$88:$AZ$88)="EMPTY")+(UPPER($AS$88:$AZ$88)="(EMPTY)"))&gt;0,IFERROR(('Final Calculation Sheet'!$AB$16)&amp;"","")="",ISNUMBER(SEARCH($AS$88:$AZ$88,IFERROR(('Final Calculation Sheet'!$AB$16)&amp;"","")))))&gt;0),IF(COUNTIF($BI$88:$BP$88,8)=0,TRUE,SUMPRODUCT(($BI$88:$BP$88=8)*($AS$88:$AZ$88&lt;&gt;"")*IF(((UPPER($AS$88:$AZ$88)="BLANK")+(UPPER($AS$88:$AZ$88)="(BLANK)")+(UPPER($AS$88:$AZ$88)="EMPTY")+(UPPER($AS$88:$AZ$88)="(EMPTY)"))&gt;0,IFERROR(('Final Calculation Sheet'!$AB$16)&amp;"","")="",ISNUMBER(SEARCH($AS$88:$AZ$88,IFERROR(('Final Calculation Sheet'!$AB$16)&amp;"","")))))&gt;0))))</f>
        <v>1</v>
      </c>
      <c r="CP17">
        <f>IF($AD$4="",1,--(AND(SUMPRODUCT(--($AS$89:$AZ$89&lt;&gt;""))&gt;0,IF(COUNTIF($BI$89:$BP$89,1)=0,TRUE,SUMPRODUCT(($BI$89:$BP$89=1)*($AS$89:$AZ$89&lt;&gt;"")*IF(((UPPER($AS$89:$AZ$89)="BLANK")+(UPPER($AS$89:$AZ$89)="(BLANK)")+(UPPER($AS$89:$AZ$89)="EMPTY")+(UPPER($AS$89:$AZ$89)="(EMPTY)"))&gt;0,IFERROR(('Final Calculation Sheet'!$AC$16)&amp;"","")="",ISNUMBER(SEARCH($AS$89:$AZ$89,IFERROR(('Final Calculation Sheet'!$AC$16)&amp;"","")))))&gt;0),IF(COUNTIF($BI$89:$BP$89,2)=0,TRUE,SUMPRODUCT(($BI$89:$BP$89=2)*($AS$89:$AZ$89&lt;&gt;"")*IF(((UPPER($AS$89:$AZ$89)="BLANK")+(UPPER($AS$89:$AZ$89)="(BLANK)")+(UPPER($AS$89:$AZ$89)="EMPTY")+(UPPER($AS$89:$AZ$89)="(EMPTY)"))&gt;0,IFERROR(('Final Calculation Sheet'!$AC$16)&amp;"","")="",ISNUMBER(SEARCH($AS$89:$AZ$89,IFERROR(('Final Calculation Sheet'!$AC$16)&amp;"","")))))&gt;0),IF(COUNTIF($BI$89:$BP$89,3)=0,TRUE,SUMPRODUCT(($BI$89:$BP$89=3)*($AS$89:$AZ$89&lt;&gt;"")*IF(((UPPER($AS$89:$AZ$89)="BLANK")+(UPPER($AS$89:$AZ$89)="(BLANK)")+(UPPER($AS$89:$AZ$89)="EMPTY")+(UPPER($AS$89:$AZ$89)="(EMPTY)"))&gt;0,IFERROR(('Final Calculation Sheet'!$AC$16)&amp;"","")="",ISNUMBER(SEARCH($AS$89:$AZ$89,IFERROR(('Final Calculation Sheet'!$AC$16)&amp;"","")))))&gt;0),IF(COUNTIF($BI$89:$BP$89,4)=0,TRUE,SUMPRODUCT(($BI$89:$BP$89=4)*($AS$89:$AZ$89&lt;&gt;"")*IF(((UPPER($AS$89:$AZ$89)="BLANK")+(UPPER($AS$89:$AZ$89)="(BLANK)")+(UPPER($AS$89:$AZ$89)="EMPTY")+(UPPER($AS$89:$AZ$89)="(EMPTY)"))&gt;0,IFERROR(('Final Calculation Sheet'!$AC$16)&amp;"","")="",ISNUMBER(SEARCH($AS$89:$AZ$89,IFERROR(('Final Calculation Sheet'!$AC$16)&amp;"","")))))&gt;0),IF(COUNTIF($BI$89:$BP$89,5)=0,TRUE,SUMPRODUCT(($BI$89:$BP$89=5)*($AS$89:$AZ$89&lt;&gt;"")*IF(((UPPER($AS$89:$AZ$89)="BLANK")+(UPPER($AS$89:$AZ$89)="(BLANK)")+(UPPER($AS$89:$AZ$89)="EMPTY")+(UPPER($AS$89:$AZ$89)="(EMPTY)"))&gt;0,IFERROR(('Final Calculation Sheet'!$AC$16)&amp;"","")="",ISNUMBER(SEARCH($AS$89:$AZ$89,IFERROR(('Final Calculation Sheet'!$AC$16)&amp;"","")))))&gt;0),IF(COUNTIF($BI$89:$BP$89,6)=0,TRUE,SUMPRODUCT(($BI$89:$BP$89=6)*($AS$89:$AZ$89&lt;&gt;"")*IF(((UPPER($AS$89:$AZ$89)="BLANK")+(UPPER($AS$89:$AZ$89)="(BLANK)")+(UPPER($AS$89:$AZ$89)="EMPTY")+(UPPER($AS$89:$AZ$89)="(EMPTY)"))&gt;0,IFERROR(('Final Calculation Sheet'!$AC$16)&amp;"","")="",ISNUMBER(SEARCH($AS$89:$AZ$89,IFERROR(('Final Calculation Sheet'!$AC$16)&amp;"","")))))&gt;0),IF(COUNTIF($BI$89:$BP$89,7)=0,TRUE,SUMPRODUCT(($BI$89:$BP$89=7)*($AS$89:$AZ$89&lt;&gt;"")*IF(((UPPER($AS$89:$AZ$89)="BLANK")+(UPPER($AS$89:$AZ$89)="(BLANK)")+(UPPER($AS$89:$AZ$89)="EMPTY")+(UPPER($AS$89:$AZ$89)="(EMPTY)"))&gt;0,IFERROR(('Final Calculation Sheet'!$AC$16)&amp;"","")="",ISNUMBER(SEARCH($AS$89:$AZ$89,IFERROR(('Final Calculation Sheet'!$AC$16)&amp;"","")))))&gt;0),IF(COUNTIF($BI$89:$BP$89,8)=0,TRUE,SUMPRODUCT(($BI$89:$BP$89=8)*($AS$89:$AZ$89&lt;&gt;"")*IF(((UPPER($AS$89:$AZ$89)="BLANK")+(UPPER($AS$89:$AZ$89)="(BLANK)")+(UPPER($AS$89:$AZ$89)="EMPTY")+(UPPER($AS$89:$AZ$89)="(EMPTY)"))&gt;0,IFERROR(('Final Calculation Sheet'!$AC$16)&amp;"","")="",ISNUMBER(SEARCH($AS$89:$AZ$89,IFERROR(('Final Calculation Sheet'!$AC$16)&amp;"","")))))&gt;0))))</f>
        <v>1</v>
      </c>
      <c r="CQ17">
        <f>IF($AE$4="",1,--(AND(SUMPRODUCT(--($AS$90:$AZ$90&lt;&gt;""))&gt;0,IF(COUNTIF($BI$90:$BP$90,1)=0,TRUE,SUMPRODUCT(($BI$90:$BP$90=1)*($AS$90:$AZ$90&lt;&gt;"")*IF(((UPPER($AS$90:$AZ$90)="BLANK")+(UPPER($AS$90:$AZ$90)="(BLANK)")+(UPPER($AS$90:$AZ$90)="EMPTY")+(UPPER($AS$90:$AZ$90)="(EMPTY)"))&gt;0,IFERROR(('Final Calculation Sheet'!$AD$16)&amp;"","")="",ISNUMBER(SEARCH($AS$90:$AZ$90,IFERROR(('Final Calculation Sheet'!$AD$16)&amp;"","")))))&gt;0),IF(COUNTIF($BI$90:$BP$90,2)=0,TRUE,SUMPRODUCT(($BI$90:$BP$90=2)*($AS$90:$AZ$90&lt;&gt;"")*IF(((UPPER($AS$90:$AZ$90)="BLANK")+(UPPER($AS$90:$AZ$90)="(BLANK)")+(UPPER($AS$90:$AZ$90)="EMPTY")+(UPPER($AS$90:$AZ$90)="(EMPTY)"))&gt;0,IFERROR(('Final Calculation Sheet'!$AD$16)&amp;"","")="",ISNUMBER(SEARCH($AS$90:$AZ$90,IFERROR(('Final Calculation Sheet'!$AD$16)&amp;"","")))))&gt;0),IF(COUNTIF($BI$90:$BP$90,3)=0,TRUE,SUMPRODUCT(($BI$90:$BP$90=3)*($AS$90:$AZ$90&lt;&gt;"")*IF(((UPPER($AS$90:$AZ$90)="BLANK")+(UPPER($AS$90:$AZ$90)="(BLANK)")+(UPPER($AS$90:$AZ$90)="EMPTY")+(UPPER($AS$90:$AZ$90)="(EMPTY)"))&gt;0,IFERROR(('Final Calculation Sheet'!$AD$16)&amp;"","")="",ISNUMBER(SEARCH($AS$90:$AZ$90,IFERROR(('Final Calculation Sheet'!$AD$16)&amp;"","")))))&gt;0),IF(COUNTIF($BI$90:$BP$90,4)=0,TRUE,SUMPRODUCT(($BI$90:$BP$90=4)*($AS$90:$AZ$90&lt;&gt;"")*IF(((UPPER($AS$90:$AZ$90)="BLANK")+(UPPER($AS$90:$AZ$90)="(BLANK)")+(UPPER($AS$90:$AZ$90)="EMPTY")+(UPPER($AS$90:$AZ$90)="(EMPTY)"))&gt;0,IFERROR(('Final Calculation Sheet'!$AD$16)&amp;"","")="",ISNUMBER(SEARCH($AS$90:$AZ$90,IFERROR(('Final Calculation Sheet'!$AD$16)&amp;"","")))))&gt;0),IF(COUNTIF($BI$90:$BP$90,5)=0,TRUE,SUMPRODUCT(($BI$90:$BP$90=5)*($AS$90:$AZ$90&lt;&gt;"")*IF(((UPPER($AS$90:$AZ$90)="BLANK")+(UPPER($AS$90:$AZ$90)="(BLANK)")+(UPPER($AS$90:$AZ$90)="EMPTY")+(UPPER($AS$90:$AZ$90)="(EMPTY)"))&gt;0,IFERROR(('Final Calculation Sheet'!$AD$16)&amp;"","")="",ISNUMBER(SEARCH($AS$90:$AZ$90,IFERROR(('Final Calculation Sheet'!$AD$16)&amp;"","")))))&gt;0),IF(COUNTIF($BI$90:$BP$90,6)=0,TRUE,SUMPRODUCT(($BI$90:$BP$90=6)*($AS$90:$AZ$90&lt;&gt;"")*IF(((UPPER($AS$90:$AZ$90)="BLANK")+(UPPER($AS$90:$AZ$90)="(BLANK)")+(UPPER($AS$90:$AZ$90)="EMPTY")+(UPPER($AS$90:$AZ$90)="(EMPTY)"))&gt;0,IFERROR(('Final Calculation Sheet'!$AD$16)&amp;"","")="",ISNUMBER(SEARCH($AS$90:$AZ$90,IFERROR(('Final Calculation Sheet'!$AD$16)&amp;"","")))))&gt;0),IF(COUNTIF($BI$90:$BP$90,7)=0,TRUE,SUMPRODUCT(($BI$90:$BP$90=7)*($AS$90:$AZ$90&lt;&gt;"")*IF(((UPPER($AS$90:$AZ$90)="BLANK")+(UPPER($AS$90:$AZ$90)="(BLANK)")+(UPPER($AS$90:$AZ$90)="EMPTY")+(UPPER($AS$90:$AZ$90)="(EMPTY)"))&gt;0,IFERROR(('Final Calculation Sheet'!$AD$16)&amp;"","")="",ISNUMBER(SEARCH($AS$90:$AZ$90,IFERROR(('Final Calculation Sheet'!$AD$16)&amp;"","")))))&gt;0),IF(COUNTIF($BI$90:$BP$90,8)=0,TRUE,SUMPRODUCT(($BI$90:$BP$90=8)*($AS$90:$AZ$90&lt;&gt;"")*IF(((UPPER($AS$90:$AZ$90)="BLANK")+(UPPER($AS$90:$AZ$90)="(BLANK)")+(UPPER($AS$90:$AZ$90)="EMPTY")+(UPPER($AS$90:$AZ$90)="(EMPTY)"))&gt;0,IFERROR(('Final Calculation Sheet'!$AD$16)&amp;"","")="",ISNUMBER(SEARCH($AS$90:$AZ$90,IFERROR(('Final Calculation Sheet'!$AD$16)&amp;"","")))))&gt;0))))</f>
        <v>1</v>
      </c>
      <c r="CR17">
        <f>IF($AF$4="",1,--(AND(SUMPRODUCT(--($AS$91:$AZ$91&lt;&gt;""))&gt;0,IF(COUNTIF($BI$91:$BP$91,1)=0,TRUE,SUMPRODUCT(($BI$91:$BP$91=1)*($AS$91:$AZ$91&lt;&gt;"")*IF(((UPPER($AS$91:$AZ$91)="BLANK")+(UPPER($AS$91:$AZ$91)="(BLANK)")+(UPPER($AS$91:$AZ$91)="EMPTY")+(UPPER($AS$91:$AZ$91)="(EMPTY)"))&gt;0,IFERROR(('Final Calculation Sheet'!$AE$16)&amp;"","")="",ISNUMBER(SEARCH($AS$91:$AZ$91,IFERROR(('Final Calculation Sheet'!$AE$16)&amp;"","")))))&gt;0),IF(COUNTIF($BI$91:$BP$91,2)=0,TRUE,SUMPRODUCT(($BI$91:$BP$91=2)*($AS$91:$AZ$91&lt;&gt;"")*IF(((UPPER($AS$91:$AZ$91)="BLANK")+(UPPER($AS$91:$AZ$91)="(BLANK)")+(UPPER($AS$91:$AZ$91)="EMPTY")+(UPPER($AS$91:$AZ$91)="(EMPTY)"))&gt;0,IFERROR(('Final Calculation Sheet'!$AE$16)&amp;"","")="",ISNUMBER(SEARCH($AS$91:$AZ$91,IFERROR(('Final Calculation Sheet'!$AE$16)&amp;"","")))))&gt;0),IF(COUNTIF($BI$91:$BP$91,3)=0,TRUE,SUMPRODUCT(($BI$91:$BP$91=3)*($AS$91:$AZ$91&lt;&gt;"")*IF(((UPPER($AS$91:$AZ$91)="BLANK")+(UPPER($AS$91:$AZ$91)="(BLANK)")+(UPPER($AS$91:$AZ$91)="EMPTY")+(UPPER($AS$91:$AZ$91)="(EMPTY)"))&gt;0,IFERROR(('Final Calculation Sheet'!$AE$16)&amp;"","")="",ISNUMBER(SEARCH($AS$91:$AZ$91,IFERROR(('Final Calculation Sheet'!$AE$16)&amp;"","")))))&gt;0),IF(COUNTIF($BI$91:$BP$91,4)=0,TRUE,SUMPRODUCT(($BI$91:$BP$91=4)*($AS$91:$AZ$91&lt;&gt;"")*IF(((UPPER($AS$91:$AZ$91)="BLANK")+(UPPER($AS$91:$AZ$91)="(BLANK)")+(UPPER($AS$91:$AZ$91)="EMPTY")+(UPPER($AS$91:$AZ$91)="(EMPTY)"))&gt;0,IFERROR(('Final Calculation Sheet'!$AE$16)&amp;"","")="",ISNUMBER(SEARCH($AS$91:$AZ$91,IFERROR(('Final Calculation Sheet'!$AE$16)&amp;"","")))))&gt;0),IF(COUNTIF($BI$91:$BP$91,5)=0,TRUE,SUMPRODUCT(($BI$91:$BP$91=5)*($AS$91:$AZ$91&lt;&gt;"")*IF(((UPPER($AS$91:$AZ$91)="BLANK")+(UPPER($AS$91:$AZ$91)="(BLANK)")+(UPPER($AS$91:$AZ$91)="EMPTY")+(UPPER($AS$91:$AZ$91)="(EMPTY)"))&gt;0,IFERROR(('Final Calculation Sheet'!$AE$16)&amp;"","")="",ISNUMBER(SEARCH($AS$91:$AZ$91,IFERROR(('Final Calculation Sheet'!$AE$16)&amp;"","")))))&gt;0),IF(COUNTIF($BI$91:$BP$91,6)=0,TRUE,SUMPRODUCT(($BI$91:$BP$91=6)*($AS$91:$AZ$91&lt;&gt;"")*IF(((UPPER($AS$91:$AZ$91)="BLANK")+(UPPER($AS$91:$AZ$91)="(BLANK)")+(UPPER($AS$91:$AZ$91)="EMPTY")+(UPPER($AS$91:$AZ$91)="(EMPTY)"))&gt;0,IFERROR(('Final Calculation Sheet'!$AE$16)&amp;"","")="",ISNUMBER(SEARCH($AS$91:$AZ$91,IFERROR(('Final Calculation Sheet'!$AE$16)&amp;"","")))))&gt;0),IF(COUNTIF($BI$91:$BP$91,7)=0,TRUE,SUMPRODUCT(($BI$91:$BP$91=7)*($AS$91:$AZ$91&lt;&gt;"")*IF(((UPPER($AS$91:$AZ$91)="BLANK")+(UPPER($AS$91:$AZ$91)="(BLANK)")+(UPPER($AS$91:$AZ$91)="EMPTY")+(UPPER($AS$91:$AZ$91)="(EMPTY)"))&gt;0,IFERROR(('Final Calculation Sheet'!$AE$16)&amp;"","")="",ISNUMBER(SEARCH($AS$91:$AZ$91,IFERROR(('Final Calculation Sheet'!$AE$16)&amp;"","")))))&gt;0),IF(COUNTIF($BI$91:$BP$91,8)=0,TRUE,SUMPRODUCT(($BI$91:$BP$91=8)*($AS$91:$AZ$91&lt;&gt;"")*IF(((UPPER($AS$91:$AZ$91)="BLANK")+(UPPER($AS$91:$AZ$91)="(BLANK)")+(UPPER($AS$91:$AZ$91)="EMPTY")+(UPPER($AS$91:$AZ$91)="(EMPTY)"))&gt;0,IFERROR(('Final Calculation Sheet'!$AE$16)&amp;"","")="",ISNUMBER(SEARCH($AS$91:$AZ$91,IFERROR(('Final Calculation Sheet'!$AE$16)&amp;"","")))))&gt;0))))</f>
        <v>1</v>
      </c>
      <c r="CS17">
        <f>IF($AG$4="",1,--(AND(SUMPRODUCT(--($AS$92:$AZ$92&lt;&gt;""))&gt;0,IF(COUNTIF($BI$92:$BP$92,1)=0,TRUE,SUMPRODUCT(($BI$92:$BP$92=1)*($AS$92:$AZ$92&lt;&gt;"")*IF(((UPPER($AS$92:$AZ$92)="BLANK")+(UPPER($AS$92:$AZ$92)="(BLANK)")+(UPPER($AS$92:$AZ$92)="EMPTY")+(UPPER($AS$92:$AZ$92)="(EMPTY)"))&gt;0,IFERROR(('Final Calculation Sheet'!$AF$16)&amp;"","")="",ISNUMBER(SEARCH($AS$92:$AZ$92,IFERROR(('Final Calculation Sheet'!$AF$16)&amp;"","")))))&gt;0),IF(COUNTIF($BI$92:$BP$92,2)=0,TRUE,SUMPRODUCT(($BI$92:$BP$92=2)*($AS$92:$AZ$92&lt;&gt;"")*IF(((UPPER($AS$92:$AZ$92)="BLANK")+(UPPER($AS$92:$AZ$92)="(BLANK)")+(UPPER($AS$92:$AZ$92)="EMPTY")+(UPPER($AS$92:$AZ$92)="(EMPTY)"))&gt;0,IFERROR(('Final Calculation Sheet'!$AF$16)&amp;"","")="",ISNUMBER(SEARCH($AS$92:$AZ$92,IFERROR(('Final Calculation Sheet'!$AF$16)&amp;"","")))))&gt;0),IF(COUNTIF($BI$92:$BP$92,3)=0,TRUE,SUMPRODUCT(($BI$92:$BP$92=3)*($AS$92:$AZ$92&lt;&gt;"")*IF(((UPPER($AS$92:$AZ$92)="BLANK")+(UPPER($AS$92:$AZ$92)="(BLANK)")+(UPPER($AS$92:$AZ$92)="EMPTY")+(UPPER($AS$92:$AZ$92)="(EMPTY)"))&gt;0,IFERROR(('Final Calculation Sheet'!$AF$16)&amp;"","")="",ISNUMBER(SEARCH($AS$92:$AZ$92,IFERROR(('Final Calculation Sheet'!$AF$16)&amp;"","")))))&gt;0),IF(COUNTIF($BI$92:$BP$92,4)=0,TRUE,SUMPRODUCT(($BI$92:$BP$92=4)*($AS$92:$AZ$92&lt;&gt;"")*IF(((UPPER($AS$92:$AZ$92)="BLANK")+(UPPER($AS$92:$AZ$92)="(BLANK)")+(UPPER($AS$92:$AZ$92)="EMPTY")+(UPPER($AS$92:$AZ$92)="(EMPTY)"))&gt;0,IFERROR(('Final Calculation Sheet'!$AF$16)&amp;"","")="",ISNUMBER(SEARCH($AS$92:$AZ$92,IFERROR(('Final Calculation Sheet'!$AF$16)&amp;"","")))))&gt;0),IF(COUNTIF($BI$92:$BP$92,5)=0,TRUE,SUMPRODUCT(($BI$92:$BP$92=5)*($AS$92:$AZ$92&lt;&gt;"")*IF(((UPPER($AS$92:$AZ$92)="BLANK")+(UPPER($AS$92:$AZ$92)="(BLANK)")+(UPPER($AS$92:$AZ$92)="EMPTY")+(UPPER($AS$92:$AZ$92)="(EMPTY)"))&gt;0,IFERROR(('Final Calculation Sheet'!$AF$16)&amp;"","")="",ISNUMBER(SEARCH($AS$92:$AZ$92,IFERROR(('Final Calculation Sheet'!$AF$16)&amp;"","")))))&gt;0),IF(COUNTIF($BI$92:$BP$92,6)=0,TRUE,SUMPRODUCT(($BI$92:$BP$92=6)*($AS$92:$AZ$92&lt;&gt;"")*IF(((UPPER($AS$92:$AZ$92)="BLANK")+(UPPER($AS$92:$AZ$92)="(BLANK)")+(UPPER($AS$92:$AZ$92)="EMPTY")+(UPPER($AS$92:$AZ$92)="(EMPTY)"))&gt;0,IFERROR(('Final Calculation Sheet'!$AF$16)&amp;"","")="",ISNUMBER(SEARCH($AS$92:$AZ$92,IFERROR(('Final Calculation Sheet'!$AF$16)&amp;"","")))))&gt;0),IF(COUNTIF($BI$92:$BP$92,7)=0,TRUE,SUMPRODUCT(($BI$92:$BP$92=7)*($AS$92:$AZ$92&lt;&gt;"")*IF(((UPPER($AS$92:$AZ$92)="BLANK")+(UPPER($AS$92:$AZ$92)="(BLANK)")+(UPPER($AS$92:$AZ$92)="EMPTY")+(UPPER($AS$92:$AZ$92)="(EMPTY)"))&gt;0,IFERROR(('Final Calculation Sheet'!$AF$16)&amp;"","")="",ISNUMBER(SEARCH($AS$92:$AZ$92,IFERROR(('Final Calculation Sheet'!$AF$16)&amp;"","")))))&gt;0),IF(COUNTIF($BI$92:$BP$92,8)=0,TRUE,SUMPRODUCT(($BI$92:$BP$92=8)*($AS$92:$AZ$92&lt;&gt;"")*IF(((UPPER($AS$92:$AZ$92)="BLANK")+(UPPER($AS$92:$AZ$92)="(BLANK)")+(UPPER($AS$92:$AZ$92)="EMPTY")+(UPPER($AS$92:$AZ$92)="(EMPTY)"))&gt;0,IFERROR(('Final Calculation Sheet'!$AF$16)&amp;"","")="",ISNUMBER(SEARCH($AS$92:$AZ$92,IFERROR(('Final Calculation Sheet'!$AF$16)&amp;"","")))))&gt;0))))</f>
        <v>1</v>
      </c>
      <c r="CT17">
        <f>IF($AH$4="",1,--(AND(SUMPRODUCT(--($AS$93:$AZ$93&lt;&gt;""))&gt;0,IF(COUNTIF($BI$93:$BP$93,1)=0,TRUE,SUMPRODUCT(($BI$93:$BP$93=1)*($AS$93:$AZ$93&lt;&gt;"")*IF(((UPPER($AS$93:$AZ$93)="BLANK")+(UPPER($AS$93:$AZ$93)="(BLANK)")+(UPPER($AS$93:$AZ$93)="EMPTY")+(UPPER($AS$93:$AZ$93)="(EMPTY)"))&gt;0,IFERROR(('Final Calculation Sheet'!$AG$16)&amp;"","")="",ISNUMBER(SEARCH($AS$93:$AZ$93,IFERROR(('Final Calculation Sheet'!$AG$16)&amp;"","")))))&gt;0),IF(COUNTIF($BI$93:$BP$93,2)=0,TRUE,SUMPRODUCT(($BI$93:$BP$93=2)*($AS$93:$AZ$93&lt;&gt;"")*IF(((UPPER($AS$93:$AZ$93)="BLANK")+(UPPER($AS$93:$AZ$93)="(BLANK)")+(UPPER($AS$93:$AZ$93)="EMPTY")+(UPPER($AS$93:$AZ$93)="(EMPTY)"))&gt;0,IFERROR(('Final Calculation Sheet'!$AG$16)&amp;"","")="",ISNUMBER(SEARCH($AS$93:$AZ$93,IFERROR(('Final Calculation Sheet'!$AG$16)&amp;"","")))))&gt;0),IF(COUNTIF($BI$93:$BP$93,3)=0,TRUE,SUMPRODUCT(($BI$93:$BP$93=3)*($AS$93:$AZ$93&lt;&gt;"")*IF(((UPPER($AS$93:$AZ$93)="BLANK")+(UPPER($AS$93:$AZ$93)="(BLANK)")+(UPPER($AS$93:$AZ$93)="EMPTY")+(UPPER($AS$93:$AZ$93)="(EMPTY)"))&gt;0,IFERROR(('Final Calculation Sheet'!$AG$16)&amp;"","")="",ISNUMBER(SEARCH($AS$93:$AZ$93,IFERROR(('Final Calculation Sheet'!$AG$16)&amp;"","")))))&gt;0),IF(COUNTIF($BI$93:$BP$93,4)=0,TRUE,SUMPRODUCT(($BI$93:$BP$93=4)*($AS$93:$AZ$93&lt;&gt;"")*IF(((UPPER($AS$93:$AZ$93)="BLANK")+(UPPER($AS$93:$AZ$93)="(BLANK)")+(UPPER($AS$93:$AZ$93)="EMPTY")+(UPPER($AS$93:$AZ$93)="(EMPTY)"))&gt;0,IFERROR(('Final Calculation Sheet'!$AG$16)&amp;"","")="",ISNUMBER(SEARCH($AS$93:$AZ$93,IFERROR(('Final Calculation Sheet'!$AG$16)&amp;"","")))))&gt;0),IF(COUNTIF($BI$93:$BP$93,5)=0,TRUE,SUMPRODUCT(($BI$93:$BP$93=5)*($AS$93:$AZ$93&lt;&gt;"")*IF(((UPPER($AS$93:$AZ$93)="BLANK")+(UPPER($AS$93:$AZ$93)="(BLANK)")+(UPPER($AS$93:$AZ$93)="EMPTY")+(UPPER($AS$93:$AZ$93)="(EMPTY)"))&gt;0,IFERROR(('Final Calculation Sheet'!$AG$16)&amp;"","")="",ISNUMBER(SEARCH($AS$93:$AZ$93,IFERROR(('Final Calculation Sheet'!$AG$16)&amp;"","")))))&gt;0),IF(COUNTIF($BI$93:$BP$93,6)=0,TRUE,SUMPRODUCT(($BI$93:$BP$93=6)*($AS$93:$AZ$93&lt;&gt;"")*IF(((UPPER($AS$93:$AZ$93)="BLANK")+(UPPER($AS$93:$AZ$93)="(BLANK)")+(UPPER($AS$93:$AZ$93)="EMPTY")+(UPPER($AS$93:$AZ$93)="(EMPTY)"))&gt;0,IFERROR(('Final Calculation Sheet'!$AG$16)&amp;"","")="",ISNUMBER(SEARCH($AS$93:$AZ$93,IFERROR(('Final Calculation Sheet'!$AG$16)&amp;"","")))))&gt;0),IF(COUNTIF($BI$93:$BP$93,7)=0,TRUE,SUMPRODUCT(($BI$93:$BP$93=7)*($AS$93:$AZ$93&lt;&gt;"")*IF(((UPPER($AS$93:$AZ$93)="BLANK")+(UPPER($AS$93:$AZ$93)="(BLANK)")+(UPPER($AS$93:$AZ$93)="EMPTY")+(UPPER($AS$93:$AZ$93)="(EMPTY)"))&gt;0,IFERROR(('Final Calculation Sheet'!$AG$16)&amp;"","")="",ISNUMBER(SEARCH($AS$93:$AZ$93,IFERROR(('Final Calculation Sheet'!$AG$16)&amp;"","")))))&gt;0),IF(COUNTIF($BI$93:$BP$93,8)=0,TRUE,SUMPRODUCT(($BI$93:$BP$93=8)*($AS$93:$AZ$93&lt;&gt;"")*IF(((UPPER($AS$93:$AZ$93)="BLANK")+(UPPER($AS$93:$AZ$93)="(BLANK)")+(UPPER($AS$93:$AZ$93)="EMPTY")+(UPPER($AS$93:$AZ$93)="(EMPTY)"))&gt;0,IFERROR(('Final Calculation Sheet'!$AG$16)&amp;"","")="",ISNUMBER(SEARCH($AS$93:$AZ$93,IFERROR(('Final Calculation Sheet'!$AG$16)&amp;"","")))))&gt;0))))</f>
        <v>1</v>
      </c>
      <c r="CU17">
        <f>IF($AI$4="",1,--(AND(SUMPRODUCT(--($AS$94:$AZ$94&lt;&gt;""))&gt;0,IF(COUNTIF($BI$94:$BP$94,1)=0,TRUE,SUMPRODUCT(($BI$94:$BP$94=1)*($AS$94:$AZ$94&lt;&gt;"")*IF(((UPPER($AS$94:$AZ$94)="BLANK")+(UPPER($AS$94:$AZ$94)="(BLANK)")+(UPPER($AS$94:$AZ$94)="EMPTY")+(UPPER($AS$94:$AZ$94)="(EMPTY)"))&gt;0,IFERROR((IF('Final Calculation Sheet'!$AD$16&lt;=0,"SETTLED","OUTSTANDING"))&amp;"","")="",ISNUMBER(SEARCH($AS$94:$AZ$94,IFERROR((IF('Final Calculation Sheet'!$AD$16&lt;=0,"SETTLED","OUTSTANDING"))&amp;"","")))))&gt;0),IF(COUNTIF($BI$94:$BP$94,2)=0,TRUE,SUMPRODUCT(($BI$94:$BP$94=2)*($AS$94:$AZ$94&lt;&gt;"")*IF(((UPPER($AS$94:$AZ$94)="BLANK")+(UPPER($AS$94:$AZ$94)="(BLANK)")+(UPPER($AS$94:$AZ$94)="EMPTY")+(UPPER($AS$94:$AZ$94)="(EMPTY)"))&gt;0,IFERROR((IF('Final Calculation Sheet'!$AD$16&lt;=0,"SETTLED","OUTSTANDING"))&amp;"","")="",ISNUMBER(SEARCH($AS$94:$AZ$94,IFERROR((IF('Final Calculation Sheet'!$AD$16&lt;=0,"SETTLED","OUTSTANDING"))&amp;"","")))))&gt;0),IF(COUNTIF($BI$94:$BP$94,3)=0,TRUE,SUMPRODUCT(($BI$94:$BP$94=3)*($AS$94:$AZ$94&lt;&gt;"")*IF(((UPPER($AS$94:$AZ$94)="BLANK")+(UPPER($AS$94:$AZ$94)="(BLANK)")+(UPPER($AS$94:$AZ$94)="EMPTY")+(UPPER($AS$94:$AZ$94)="(EMPTY)"))&gt;0,IFERROR((IF('Final Calculation Sheet'!$AD$16&lt;=0,"SETTLED","OUTSTANDING"))&amp;"","")="",ISNUMBER(SEARCH($AS$94:$AZ$94,IFERROR((IF('Final Calculation Sheet'!$AD$16&lt;=0,"SETTLED","OUTSTANDING"))&amp;"","")))))&gt;0),IF(COUNTIF($BI$94:$BP$94,4)=0,TRUE,SUMPRODUCT(($BI$94:$BP$94=4)*($AS$94:$AZ$94&lt;&gt;"")*IF(((UPPER($AS$94:$AZ$94)="BLANK")+(UPPER($AS$94:$AZ$94)="(BLANK)")+(UPPER($AS$94:$AZ$94)="EMPTY")+(UPPER($AS$94:$AZ$94)="(EMPTY)"))&gt;0,IFERROR((IF('Final Calculation Sheet'!$AD$16&lt;=0,"SETTLED","OUTSTANDING"))&amp;"","")="",ISNUMBER(SEARCH($AS$94:$AZ$94,IFERROR((IF('Final Calculation Sheet'!$AD$16&lt;=0,"SETTLED","OUTSTANDING"))&amp;"","")))))&gt;0),IF(COUNTIF($BI$94:$BP$94,5)=0,TRUE,SUMPRODUCT(($BI$94:$BP$94=5)*($AS$94:$AZ$94&lt;&gt;"")*IF(((UPPER($AS$94:$AZ$94)="BLANK")+(UPPER($AS$94:$AZ$94)="(BLANK)")+(UPPER($AS$94:$AZ$94)="EMPTY")+(UPPER($AS$94:$AZ$94)="(EMPTY)"))&gt;0,IFERROR((IF('Final Calculation Sheet'!$AD$16&lt;=0,"SETTLED","OUTSTANDING"))&amp;"","")="",ISNUMBER(SEARCH($AS$94:$AZ$94,IFERROR((IF('Final Calculation Sheet'!$AD$16&lt;=0,"SETTLED","OUTSTANDING"))&amp;"","")))))&gt;0),IF(COUNTIF($BI$94:$BP$94,6)=0,TRUE,SUMPRODUCT(($BI$94:$BP$94=6)*($AS$94:$AZ$94&lt;&gt;"")*IF(((UPPER($AS$94:$AZ$94)="BLANK")+(UPPER($AS$94:$AZ$94)="(BLANK)")+(UPPER($AS$94:$AZ$94)="EMPTY")+(UPPER($AS$94:$AZ$94)="(EMPTY)"))&gt;0,IFERROR((IF('Final Calculation Sheet'!$AD$16&lt;=0,"SETTLED","OUTSTANDING"))&amp;"","")="",ISNUMBER(SEARCH($AS$94:$AZ$94,IFERROR((IF('Final Calculation Sheet'!$AD$16&lt;=0,"SETTLED","OUTSTANDING"))&amp;"","")))))&gt;0),IF(COUNTIF($BI$94:$BP$94,7)=0,TRUE,SUMPRODUCT(($BI$94:$BP$94=7)*($AS$94:$AZ$94&lt;&gt;"")*IF(((UPPER($AS$94:$AZ$94)="BLANK")+(UPPER($AS$94:$AZ$94)="(BLANK)")+(UPPER($AS$94:$AZ$94)="EMPTY")+(UPPER($AS$94:$AZ$94)="(EMPTY)"))&gt;0,IFERROR((IF('Final Calculation Sheet'!$AD$16&lt;=0,"SETTLED","OUTSTANDING"))&amp;"","")="",ISNUMBER(SEARCH($AS$94:$AZ$94,IFERROR((IF('Final Calculation Sheet'!$AD$16&lt;=0,"SETTLED","OUTSTANDING"))&amp;"","")))))&gt;0),IF(COUNTIF($BI$94:$BP$94,8)=0,TRUE,SUMPRODUCT(($BI$94:$BP$94=8)*($AS$94:$AZ$94&lt;&gt;"")*IF(((UPPER($AS$94:$AZ$94)="BLANK")+(UPPER($AS$94:$AZ$94)="(BLANK)")+(UPPER($AS$94:$AZ$94)="EMPTY")+(UPPER($AS$94:$AZ$94)="(EMPTY)"))&gt;0,IFERROR((IF('Final Calculation Sheet'!$AD$16&lt;=0,"SETTLED","OUTSTANDING"))&amp;"","")="",ISNUMBER(SEARCH($AS$94:$AZ$94,IFERROR((IF('Final Calculation Sheet'!$AD$16&lt;=0,"SETTLED","OUTSTANDING"))&amp;"","")))))&gt;0))))</f>
        <v>1</v>
      </c>
    </row>
    <row r="18" spans="1:99" ht="15" customHeight="1" x14ac:dyDescent="0.25">
      <c r="A18" s="67">
        <f>IF($BJ17&gt;0,INDEX($BA$5:$BA$41,MATCH(17,$BB$5:$BB$41,0)),IF(OR($BI17=1,$BL17=1,$BH17&gt;0),"∑",""))</f>
        <v>1</v>
      </c>
      <c r="B18" s="68">
        <f>IF($BJ17&gt;0,IF(INDEX('Final Calculation Sheet'!$F$4:$F$40,$BJ17-3)="","",INDEX('Final Calculation Sheet'!$F$4:$F$40,$BJ17-3)),"")</f>
        <v>1763</v>
      </c>
      <c r="C18" s="68" t="str">
        <f>IF($BJ17&gt;0,IF(INDEX('Final Calculation Sheet'!$G$4:$G$40,$BJ17-3)="","",INDEX('Final Calculation Sheet'!$G$4:$G$40,$BJ17-3)),IF(OR($BI17=1,$BL17=1,$BH17&gt;0),IF($BI17=1,37,IF($BL17=1,37-INDEX($BD$4:$BD$13,10),INDEX($BD$4:$BD$13,$BH17)))&amp;" lot(s)",""))</f>
        <v>AL HAMD TRADE CORPORATION</v>
      </c>
      <c r="D18" s="69" t="str">
        <f>IF($BJ17&gt;0,IF(INDEX('Final Calculation Sheet'!$B$4:$B$40,$BJ17-3)="","",INDEX('Final Calculation Sheet'!$B$4:$B$40,$BJ17-3)),IF(OR($BI17=1,$BL17=1,$BH17&gt;0),IF($BI17=1,"GRAND TOTAL  —  matching + remaining",IF($BL17=1,"TOTAL MATCHED  —  every group together",IF($BH17=10,"REMAINING  —  did not match the search",IF($BH17=9,IF(COUNTIF($A$4:$AI$4,"&lt;&gt;")&gt;0,"FILTERED LOTS  —  column fields","ALL LOTS  —  nothing typed in the box"),"GROUP "&amp;$BH17&amp;" TOTAL  —  lots matching  "&amp;INDEX($AR$6:$AY$6,$BH17))))),""))</f>
        <v>Lot No.</v>
      </c>
      <c r="E18" s="69">
        <f>IF($BJ17&gt;0,IF(INDEX('Final Calculation Sheet'!$D$4:$D$40,$BJ17-3)="","",INDEX('Final Calculation Sheet'!$D$4:$D$40,$BJ17-3)),IF(OR($BI17=1,$BL17=1,$BH17&gt;0),"–",""))</f>
        <v>21980</v>
      </c>
      <c r="F18" s="69">
        <f>IF($BJ17&gt;0,IF(INDEX('Final Calculation Sheet'!$A$4:$A$40,$BJ17-3)="","",INDEX('Final Calculation Sheet'!$A$4:$A$40,$BJ17-3)),IF(OR($BI17=1,$BL17=1,$BH17&gt;0),IF($BI17=1,SUM('Final Calculation Sheet'!$A$4:$A$40),IF($BL17=1,SUM('Final Calculation Sheet'!$A$4:$A$40)-SUMIFS('Final Calculation Sheet'!$A$4:$A$40,$AZ$5:$AZ$41,10),SUMIFS('Final Calculation Sheet'!$A$4:$A$40,$AZ$5:$AZ$41,$BH17))),""))</f>
        <v>669</v>
      </c>
      <c r="G18" s="69" t="str">
        <f>IF($BJ17&gt;0,IF(INDEX('Final Calculation Sheet'!$E$4:$E$40,$BJ17-3)="","",INDEX('Final Calculation Sheet'!$E$4:$E$40,$BJ17-3)),IF(OR($BI17=1,$BL17=1,$BH17&gt;0),"–",""))</f>
        <v>KG</v>
      </c>
      <c r="H18" s="70">
        <f>IF($BJ17&gt;0,IF(INDEX('Final Calculation Sheet'!$C$4:$C$40,$BJ17-3)="","",INDEX('Final Calculation Sheet'!$C$4:$C$40,$BJ17-3)),IF(OR($BI17=1,$BL17=1,$BH17&gt;0),"–",""))</f>
        <v>1181</v>
      </c>
      <c r="I18" s="70">
        <f>IF($BJ17&gt;0,IF(INDEX('Final Calculation Sheet'!$H$4:$H$40,$BJ17-3)="","",INDEX('Final Calculation Sheet'!$H$4:$H$40,$BJ17-3)),IF(OR($BI17=1,$BL17=1,$BH17&gt;0),IF($BI17=1,SUM('Final Calculation Sheet'!$H$4:$H$40),IF($BL17=1,SUM('Final Calculation Sheet'!$H$4:$H$40)-SUMIFS('Final Calculation Sheet'!$H$4:$H$40,$AZ$5:$AZ$41,10),SUMIFS('Final Calculation Sheet'!$H$4:$H$40,$AZ$5:$AZ$41,$BH17))),""))</f>
        <v>790089</v>
      </c>
      <c r="J18" s="70">
        <f>IF($BJ17&gt;0,IF(INDEX('Final Calculation Sheet'!$I$4:$I$40,$BJ17-3)="","",INDEX('Final Calculation Sheet'!$I$4:$I$40,$BJ17-3)),IF(OR($BI17=1,$BL17=1,$BH17&gt;0),IF($BI17=1,SUM('Final Calculation Sheet'!$I$4:$I$40),IF($BL17=1,SUM('Final Calculation Sheet'!$I$4:$I$40)-SUMIFS('Final Calculation Sheet'!$I$4:$I$40,$AZ$5:$AZ$41,10),SUMIFS('Final Calculation Sheet'!$I$4:$I$40,$AZ$5:$AZ$41,$BH17))),""))</f>
        <v>142216</v>
      </c>
      <c r="K18" s="70">
        <f>IF($BJ17&gt;0,IF(INDEX('Final Calculation Sheet'!$J$4:$J$40,$BJ17-3)="","",INDEX('Final Calculation Sheet'!$J$4:$J$40,$BJ17-3)),IF(OR($BI17=1,$BL17=1,$BH17&gt;0),IF($BI17=1,SUM('Final Calculation Sheet'!$J$4:$J$40),IF($BL17=1,SUM('Final Calculation Sheet'!$J$4:$J$40)-SUMIFS('Final Calculation Sheet'!$J$4:$J$40,$AZ$5:$AZ$41,10),SUMIFS('Final Calculation Sheet'!$J$4:$J$40,$AZ$5:$AZ$41,$BH17))),""))</f>
        <v>932305</v>
      </c>
      <c r="L18" s="70">
        <f>IF($BJ17&gt;0,IF(INDEX('Final Calculation Sheet'!$K$4:$K$40,$BJ17-3)="","",INDEX('Final Calculation Sheet'!$K$4:$K$40,$BJ17-3)),IF(OR($BI17=1,$BL17=1,$BH17&gt;0),IF($BI17=1,SUM('Final Calculation Sheet'!$K$4:$K$40),IF($BL17=1,SUM('Final Calculation Sheet'!$K$4:$K$40)-SUMIFS('Final Calculation Sheet'!$K$4:$K$40,$AZ$5:$AZ$41,10),SUMIFS('Final Calculation Sheet'!$K$4:$K$40,$AZ$5:$AZ$41,$BH17))),""))</f>
        <v>18646</v>
      </c>
      <c r="M18" s="70">
        <f>IF($BJ17&gt;0,IF(INDEX('Final Calculation Sheet'!$L$4:$L$40,$BJ17-3)="","",INDEX('Final Calculation Sheet'!$L$4:$L$40,$BJ17-3)),IF(OR($BI17=1,$BL17=1,$BH17&gt;0),IF($BI17=1,SUM('Final Calculation Sheet'!$L$4:$L$40),IF($BL17=1,SUM('Final Calculation Sheet'!$L$4:$L$40)-SUMIFS('Final Calculation Sheet'!$L$4:$L$40,$AZ$5:$AZ$41,10),SUMIFS('Final Calculation Sheet'!$L$4:$L$40,$AZ$5:$AZ$41,$BH17))),""))</f>
        <v>790.08900000000006</v>
      </c>
      <c r="N18" s="70">
        <f>IF($BJ17&gt;0,IF(INDEX('Final Calculation Sheet'!$M$4:$M$40,$BJ17-3)="","",INDEX('Final Calculation Sheet'!$M$4:$M$40,$BJ17-3)),IF(OR($BI17=1,$BL17=1,$BH17&gt;0),IF($BI17=1,SUM('Final Calculation Sheet'!$M$4:$M$40),IF($BL17=1,SUM('Final Calculation Sheet'!$M$4:$M$40)-SUMIFS('Final Calculation Sheet'!$M$4:$M$40,$AZ$5:$AZ$41,10),SUMIFS('Final Calculation Sheet'!$M$4:$M$40,$AZ$5:$AZ$41,$BH17))),""))</f>
        <v>20976.862949999999</v>
      </c>
      <c r="O18" s="71">
        <f>IF($BJ17&gt;0,IF(INDEX('Final Calculation Sheet'!$N$4:$N$40,$BJ17-3)="","",INDEX('Final Calculation Sheet'!$N$4:$N$40,$BJ17-3)),IF(OR($BI17=1,$BL17=1,$BH17&gt;0),IF($BI17=1,SUM('Final Calculation Sheet'!$N$4:$N$40),IF($BL17=1,SUM('Final Calculation Sheet'!$N$4:$N$40)-SUMIFS('Final Calculation Sheet'!$N$4:$N$40,$AZ$5:$AZ$41,10),SUMIFS('Final Calculation Sheet'!$N$4:$N$40,$AZ$5:$AZ$41,$BH17))),""))</f>
        <v>355.54005000000001</v>
      </c>
      <c r="P18" s="70">
        <f>IF($BJ17&gt;0,IF(INDEX('Final Calculation Sheet'!$O$4:$O$40,$BJ17-3)="","",INDEX('Final Calculation Sheet'!$O$4:$O$40,$BJ17-3)),IF(OR($BI17=1,$BL17=1,$BH17&gt;0),IF($BI17=1,SUM('Final Calculation Sheet'!$O$4:$O$40),IF($BL17=1,SUM('Final Calculation Sheet'!$O$4:$O$40)-SUMIFS('Final Calculation Sheet'!$O$4:$O$40,$AZ$5:$AZ$41,10),SUMIFS('Final Calculation Sheet'!$O$4:$O$40,$AZ$5:$AZ$41,$BH17))),""))</f>
        <v>20621.322899999999</v>
      </c>
      <c r="Q18" s="70">
        <f>IF($BJ17&gt;0,IF(INDEX('Final Calculation Sheet'!$P$4:$P$40,$BJ17-3)="","",INDEX('Final Calculation Sheet'!$P$4:$P$40,$BJ17-3)),IF(OR($BI17=1,$BL17=1,$BH17&gt;0),IF($BI17=1,SUM('Final Calculation Sheet'!$P$4:$P$40),IF($BL17=1,SUM('Final Calculation Sheet'!$P$4:$P$40)-SUMIFS('Final Calculation Sheet'!$P$4:$P$40,$AZ$5:$AZ$41,10),SUMIFS('Final Calculation Sheet'!$P$4:$P$40,$AZ$5:$AZ$41,$BH17))),""))</f>
        <v>21411</v>
      </c>
      <c r="R18" s="72">
        <f>IF($BJ17&gt;0,IF(INDEX('Final Calculation Sheet'!$Q$4:$Q$40,$BJ17-3)="","",INDEX('Final Calculation Sheet'!$Q$4:$Q$40,$BJ17-3)),IF(OR($BI17=1,$BL17=1,$BH17&gt;0),"–",""))</f>
        <v>0.02</v>
      </c>
      <c r="S18" s="70">
        <f>IF($BJ17&gt;0,IF(INDEX('Final Calculation Sheet'!$R$4:$R$40,$BJ17-3)="","",INDEX('Final Calculation Sheet'!$R$4:$R$40,$BJ17-3)),IF(OR($BI17=1,$BL17=1,$BH17&gt;0),IF($BI17=1,SUM('Final Calculation Sheet'!$R$4:$R$40),IF($BL17=1,SUM('Final Calculation Sheet'!$R$4:$R$40)-SUMIFS('Final Calculation Sheet'!$R$4:$R$40,$AZ$5:$AZ$41,10),SUMIFS('Final Calculation Sheet'!$R$4:$R$40,$AZ$5:$AZ$41,$BH17))),""))</f>
        <v>15802</v>
      </c>
      <c r="T18" s="70">
        <f>IF($BJ17&gt;0,IF(INDEX('Final Calculation Sheet'!$S$4:$S$40,$BJ17-3)="","",INDEX('Final Calculation Sheet'!$S$4:$S$40,$BJ17-3)),IF(OR($BI17=1,$BL17=1,$BH17&gt;0),IF($BI17=1,SUM('Final Calculation Sheet'!$S$4:$S$40),IF($BL17=1,SUM('Final Calculation Sheet'!$S$4:$S$40)-SUMIFS('Final Calculation Sheet'!$S$4:$S$40,$AZ$5:$AZ$41,10),SUMIFS('Final Calculation Sheet'!$S$4:$S$40,$AZ$5:$AZ$41,$BH17))),""))</f>
        <v>913738</v>
      </c>
      <c r="U18" s="70">
        <f>IF($BJ17&gt;0,IF(INDEX('Final Calculation Sheet'!$T$4:$T$40,$BJ17-3)="","",INDEX('Final Calculation Sheet'!$T$4:$T$40,$BJ17-3)),IF(OR($BI17=1,$BL17=1,$BH17&gt;0),IF($BI17=1,SUM('Final Calculation Sheet'!$T$4:$T$40),IF($BL17=1,SUM('Final Calculation Sheet'!$T$4:$T$40)-SUMIFS('Final Calculation Sheet'!$T$4:$T$40,$AZ$5:$AZ$41,10),SUMIFS('Final Calculation Sheet'!$T$4:$T$40,$AZ$5:$AZ$41,$BH17))),""))</f>
        <v>197522</v>
      </c>
      <c r="V18" s="73">
        <f>IF($BJ17&gt;0,IF(INDEX('Final Calculation Sheet'!$U$4:$U$40,$BJ17-3)="","",INDEX('Final Calculation Sheet'!$U$4:$U$40,$BJ17-3)),IF(OR($BI17=1,$BL17=1,$BH17&gt;0),IF($BI17=1,SUM('Final Calculation Sheet'!$U$4:$U$40),IF($BL17=1,SUM('Final Calculation Sheet'!$U$4:$U$40)-SUMIFS('Final Calculation Sheet'!$U$4:$U$40,$AZ$5:$AZ$41,10),SUMIFS('Final Calculation Sheet'!$U$4:$U$40,$AZ$5:$AZ$41,$BH17))),""))</f>
        <v>197522</v>
      </c>
      <c r="W18" s="70" t="str">
        <f>IF($BJ17&gt;0,IF(INDEX('Final Calculation Sheet'!$V$4:$V$40,$BJ17-3)="","",INDEX('Final Calculation Sheet'!$V$4:$V$40,$BJ17-3)),IF(OR($BI17=1,$BL17=1,$BH17&gt;0),"–",""))</f>
        <v>24.08.2026</v>
      </c>
      <c r="X18" s="70">
        <f>IF($BJ17&gt;0,IF(INDEX('Final Calculation Sheet'!$W$4:$W$40,$BJ17-3)="","",INDEX('Final Calculation Sheet'!$W$4:$W$40,$BJ17-3)),IF(OR($BI17=1,$BL17=1,$BH17&gt;0),IF($BI17=1,SUM('Final Calculation Sheet'!$W$4:$W$40),IF($BL17=1,SUM('Final Calculation Sheet'!$W$4:$W$40)-SUMIFS('Final Calculation Sheet'!$W$4:$W$40,$AZ$5:$AZ$41,10),SUMIFS('Final Calculation Sheet'!$W$4:$W$40,$AZ$5:$AZ$41,$BH17))),""))</f>
        <v>716215</v>
      </c>
      <c r="Y18" s="70">
        <f>IF($BJ17&gt;0,IF(INDEX('Final Calculation Sheet'!$X$4:$X$40,$BJ17-3)="","",INDEX('Final Calculation Sheet'!$X$4:$X$40,$BJ17-3)),IF(OR($BI17=1,$BL17=1,$BH17&gt;0),IF($BI17=1,SUM('Final Calculation Sheet'!$X$4:$X$40),IF($BL17=1,SUM('Final Calculation Sheet'!$X$4:$X$40)-SUMIFS('Final Calculation Sheet'!$X$4:$X$40,$AZ$5:$AZ$41,10),SUMIFS('Final Calculation Sheet'!$X$4:$X$40,$AZ$5:$AZ$41,$BH17))),""))</f>
        <v>716216</v>
      </c>
      <c r="Z18" s="70" t="str">
        <f>IF($BJ17&gt;0,IF(INDEX('Final Calculation Sheet'!$Y$4:$Y$40,$BJ17-3)="","",INDEX('Final Calculation Sheet'!$Y$4:$Y$40,$BJ17-3)),IF(OR($BI17=1,$BL17=1,$BH17&gt;0),"–",""))</f>
        <v>18.08.2026</v>
      </c>
      <c r="AA18" s="70">
        <f ca="1">IF($BJ17&gt;0,IF(INDEX('Final Calculation Sheet'!$Z$4:$Z$40,$BJ17-3)="","",INDEX('Final Calculation Sheet'!$Z$4:$Z$40,$BJ17-3)),IF(OR($BI17=1,$BL17=1,$BH17&gt;0),IF($BI17=1,SUM('Final Calculation Sheet'!$Z$4:$Z$40),IF($BL17=1,SUM('Final Calculation Sheet'!$Z$4:$Z$40)-SUMIFS('Final Calculation Sheet'!$Z$4:$Z$40,$AZ$5:$AZ$41,10),SUMIFS('Final Calculation Sheet'!$Z$4:$Z$40,$AZ$5:$AZ$41,$BH17))),""))</f>
        <v>0</v>
      </c>
      <c r="AB18" s="70" t="str">
        <f>IF($BJ17&gt;0,IF(INDEX('Final Calculation Sheet'!$AA$4:$AA$40,$BJ17-3)="","",INDEX('Final Calculation Sheet'!$AA$4:$AA$40,$BJ17-3)),IF(OR($BI17=1,$BL17=1,$BH17&gt;0),IF($BI17=1,SUM('Final Calculation Sheet'!$AA$4:$AA$40),IF($BL17=1,SUM('Final Calculation Sheet'!$AA$4:$AA$40)-SUMIFS('Final Calculation Sheet'!$AA$4:$AA$40,$AZ$5:$AZ$41,10),SUMIFS('Final Calculation Sheet'!$AA$4:$AA$40,$AZ$5:$AZ$41,$BH17))),""))</f>
        <v/>
      </c>
      <c r="AC18" s="70" t="str">
        <f>IF($BJ17&gt;0,IF(INDEX('Final Calculation Sheet'!$AB$4:$AB$40,$BJ17-3)="","",INDEX('Final Calculation Sheet'!$AB$4:$AB$40,$BJ17-3)),IF(OR($BI17=1,$BL17=1,$BH17&gt;0),"–",""))</f>
        <v/>
      </c>
      <c r="AD18" s="70">
        <f>IF($BJ17&gt;0,IF(INDEX('Final Calculation Sheet'!$AC$4:$AC$40,$BJ17-3)="","",INDEX('Final Calculation Sheet'!$AC$4:$AC$40,$BJ17-3)),IF(OR($BI17=1,$BL17=1,$BH17&gt;0),IF($BI17=1,SUM('Final Calculation Sheet'!$AC$4:$AC$40),IF($BL17=1,SUM('Final Calculation Sheet'!$AC$4:$AC$40)-SUMIFS('Final Calculation Sheet'!$AC$4:$AC$40,$AZ$5:$AZ$41,10),SUMIFS('Final Calculation Sheet'!$AC$4:$AC$40,$AZ$5:$AZ$41,$BH17))),""))</f>
        <v>913738</v>
      </c>
      <c r="AE18" s="70">
        <f>IF($BJ17&gt;0,IF(INDEX('Final Calculation Sheet'!$AD$4:$AD$40,$BJ17-3)="","",INDEX('Final Calculation Sheet'!$AD$4:$AD$40,$BJ17-3)),IF(OR($BI17=1,$BL17=1,$BH17&gt;0),IF($BI17=1,SUM('Final Calculation Sheet'!$AD$4:$AD$40),IF($BL17=1,SUM('Final Calculation Sheet'!$AD$4:$AD$40)-SUMIFS('Final Calculation Sheet'!$AD$4:$AD$40,$AZ$5:$AZ$41,10),SUMIFS('Final Calculation Sheet'!$AD$4:$AD$40,$AZ$5:$AZ$41,$BH17))),""))</f>
        <v>0</v>
      </c>
      <c r="AF18" s="70" t="str">
        <f>IF($BJ17&gt;0,IF(INDEX('Final Calculation Sheet'!$AE$4:$AE$40,$BJ17-3)="","",INDEX('Final Calculation Sheet'!$AE$4:$AE$40,$BJ17-3)),IF(OR($BI17=1,$BL17=1,$BH17&gt;0),"–",""))</f>
        <v>DR2640100029</v>
      </c>
      <c r="AG18" s="74">
        <f>IF($BJ17&gt;0,IF(INDEX('Final Calculation Sheet'!$AF$4:$AF$40,$BJ17-3)="","",INDEX('Final Calculation Sheet'!$AF$4:$AF$40,$BJ17-3)),IF(OR($BI17=1,$BL17=1,$BH17&gt;0),"–",""))</f>
        <v>1800003271</v>
      </c>
      <c r="AH18" s="70" t="str">
        <f>IF($BJ17&gt;0,IF(INDEX('Final Calculation Sheet'!$AG$4:$AG$40,$BJ17-3)="","",INDEX('Final Calculation Sheet'!$AG$4:$AG$40,$BJ17-3)),IF(OR($BI17=1,$BL17=1,$BH17&gt;0),"–",""))</f>
        <v>24.08.2026</v>
      </c>
      <c r="AI18" s="75" t="str">
        <f>IF($BJ17&gt;0,IF(INDEX('Final Calculation Sheet'!$AD$4:$AD$40,$BJ17-3)="","",IF(INDEX('Final Calculation Sheet'!$AD$4:$AD$40,$BJ17-3)&lt;=0,"SETTLED","OUTSTANDING")),IF(OR($BI17=1,$BL17=1,$BH17&gt;0),IF(IF($BI17=1,SUM('Final Calculation Sheet'!$AD$4:$AD$40),IF($BL17=1,SUM('Final Calculation Sheet'!$AD$4:$AD$40)-SUMIFS('Final Calculation Sheet'!$AD$4:$AD$40,$AZ$5:$AZ$41,10),SUMIFS('Final Calculation Sheet'!$AD$4:$AD$40,$AZ$5:$AZ$41,$BH17)))&lt;=0,"ALL SETTLED","OUTSTANDING"),""))</f>
        <v>SETTLED</v>
      </c>
      <c r="AK18" t="str">
        <f>IF($F$3="Lot No.",'Final Calculation Sheet'!$F$17,IF($F$3="Buyer",'Final Calculation Sheet'!$G$17,IF($F$3="Lot Name",'Final Calculation Sheet'!$B$17,IF($F$3="Bid Sheet",'Final Calculation Sheet'!$D$17,IF($F$3="Unit",'Final Calculation Sheet'!$E$17,'Final Calculation Sheet'!$F$17&amp;" "&amp;'Final Calculation Sheet'!$G$17&amp;" "&amp;'Final Calculation Sheet'!$B$17)))))</f>
        <v>2015 STERLING ENTERPRISES Scrap of empty oil Barrels</v>
      </c>
      <c r="AM18">
        <f t="shared" si="1"/>
        <v>1</v>
      </c>
      <c r="AZ18">
        <f t="shared" si="2"/>
        <v>2</v>
      </c>
      <c r="BA18">
        <f t="shared" si="3"/>
        <v>2</v>
      </c>
      <c r="BB18">
        <f t="shared" si="4"/>
        <v>11</v>
      </c>
      <c r="BC18">
        <v>17</v>
      </c>
      <c r="BH18">
        <f>IFERROR(MATCH(18,$BF$4:$BF$13,0),0)</f>
        <v>0</v>
      </c>
      <c r="BI18">
        <f>IF(18=$BG$5,1,0)</f>
        <v>0</v>
      </c>
      <c r="BJ18">
        <f>IF(OR($BH18&gt;0,$BI18=1,$BL18=1),0,IFERROR(INDEX($BC$5:$BC$41,MATCH(18,$BB$5:$BB$41,0)),0))</f>
        <v>6</v>
      </c>
      <c r="BK18">
        <f>IF($BJ18&gt;0,IF(INDEX($AZ$5:$AZ$41,MATCH(18,$BB$5:$BB$41,0))=10,1,0),IF($BH18=10,1,0))</f>
        <v>1</v>
      </c>
      <c r="BL18">
        <f>IF(18=$BG$4,1,0)</f>
        <v>0</v>
      </c>
      <c r="BM18">
        <f>IF($A$4="",1,--(AND(SUMPRODUCT(--($AS$60:$AZ$60&lt;&gt;""))&gt;0,IF(COUNTIF($BI$60:$BP$60,1)=0,TRUE,SUMPRODUCT(($BI$60:$BP$60=1)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$60,2)=0,TRUE,SUMPRODUCT(($BI$60:$BP$60=2)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$60,3)=0,TRUE,SUMPRODUCT(($BI$60:$BP$60=3)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$60,4)=0,TRUE,SUMPRODUCT(($BI$60:$BP$60=4)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$60,5)=0,TRUE,SUMPRODUCT(($BI$60:$BP$60=5)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$60,6)=0,TRUE,SUMPRODUCT(($BI$60:$BP$60=6)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$60,7)=0,TRUE,SUMPRODUCT(($BI$60:$BP$60=7)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$60,8)=0,TRUE,SUMPRODUCT(($BI$60:$BP$60=8)*($AS$60:$AZ$60&lt;&gt;"")*IF(((UPPER($AS$60:$AZ$60)="BLANK")+(UPPER($AS$60:$AZ$60)="(BLANK)")+(UPPER($AS$60:$AZ$60)="EMPTY")+(UPPER($AS$60:$AZ$60)="(EMPTY)"))&gt;0,IFERROR((ROW()-4)&amp;"","")="",ISNUMBER(SEARCH($AS$60:$AZ$60,IFERROR((ROW()-4)&amp;"","")))))&gt;0))))</f>
        <v>1</v>
      </c>
      <c r="BN18">
        <f>IF($B$4="",1,--(AND(SUMPRODUCT(--($AS$61:$AZ$61&lt;&gt;""))&gt;0,IF(COUNTIF($BI$61:$BP$61,1)=0,TRUE,SUMPRODUCT(($BI$61:$BP$61=1)*($AS$61:$AZ$61&lt;&gt;"")*IF(((UPPER($AS$61:$AZ$61)="BLANK")+(UPPER($AS$61:$AZ$61)="(BLANK)")+(UPPER($AS$61:$AZ$61)="EMPTY")+(UPPER($AS$61:$AZ$61)="(EMPTY)"))&gt;0,IFERROR(('Final Calculation Sheet'!$F$17)&amp;"","")="",ISNUMBER(SEARCH($AS$61:$AZ$61,IFERROR(('Final Calculation Sheet'!$F$17)&amp;"","")))))&gt;0),IF(COUNTIF($BI$61:$BP$61,2)=0,TRUE,SUMPRODUCT(($BI$61:$BP$61=2)*($AS$61:$AZ$61&lt;&gt;"")*IF(((UPPER($AS$61:$AZ$61)="BLANK")+(UPPER($AS$61:$AZ$61)="(BLANK)")+(UPPER($AS$61:$AZ$61)="EMPTY")+(UPPER($AS$61:$AZ$61)="(EMPTY)"))&gt;0,IFERROR(('Final Calculation Sheet'!$F$17)&amp;"","")="",ISNUMBER(SEARCH($AS$61:$AZ$61,IFERROR(('Final Calculation Sheet'!$F$17)&amp;"","")))))&gt;0),IF(COUNTIF($BI$61:$BP$61,3)=0,TRUE,SUMPRODUCT(($BI$61:$BP$61=3)*($AS$61:$AZ$61&lt;&gt;"")*IF(((UPPER($AS$61:$AZ$61)="BLANK")+(UPPER($AS$61:$AZ$61)="(BLANK)")+(UPPER($AS$61:$AZ$61)="EMPTY")+(UPPER($AS$61:$AZ$61)="(EMPTY)"))&gt;0,IFERROR(('Final Calculation Sheet'!$F$17)&amp;"","")="",ISNUMBER(SEARCH($AS$61:$AZ$61,IFERROR(('Final Calculation Sheet'!$F$17)&amp;"","")))))&gt;0),IF(COUNTIF($BI$61:$BP$61,4)=0,TRUE,SUMPRODUCT(($BI$61:$BP$61=4)*($AS$61:$AZ$61&lt;&gt;"")*IF(((UPPER($AS$61:$AZ$61)="BLANK")+(UPPER($AS$61:$AZ$61)="(BLANK)")+(UPPER($AS$61:$AZ$61)="EMPTY")+(UPPER($AS$61:$AZ$61)="(EMPTY)"))&gt;0,IFERROR(('Final Calculation Sheet'!$F$17)&amp;"","")="",ISNUMBER(SEARCH($AS$61:$AZ$61,IFERROR(('Final Calculation Sheet'!$F$17)&amp;"","")))))&gt;0),IF(COUNTIF($BI$61:$BP$61,5)=0,TRUE,SUMPRODUCT(($BI$61:$BP$61=5)*($AS$61:$AZ$61&lt;&gt;"")*IF(((UPPER($AS$61:$AZ$61)="BLANK")+(UPPER($AS$61:$AZ$61)="(BLANK)")+(UPPER($AS$61:$AZ$61)="EMPTY")+(UPPER($AS$61:$AZ$61)="(EMPTY)"))&gt;0,IFERROR(('Final Calculation Sheet'!$F$17)&amp;"","")="",ISNUMBER(SEARCH($AS$61:$AZ$61,IFERROR(('Final Calculation Sheet'!$F$17)&amp;"","")))))&gt;0),IF(COUNTIF($BI$61:$BP$61,6)=0,TRUE,SUMPRODUCT(($BI$61:$BP$61=6)*($AS$61:$AZ$61&lt;&gt;"")*IF(((UPPER($AS$61:$AZ$61)="BLANK")+(UPPER($AS$61:$AZ$61)="(BLANK)")+(UPPER($AS$61:$AZ$61)="EMPTY")+(UPPER($AS$61:$AZ$61)="(EMPTY)"))&gt;0,IFERROR(('Final Calculation Sheet'!$F$17)&amp;"","")="",ISNUMBER(SEARCH($AS$61:$AZ$61,IFERROR(('Final Calculation Sheet'!$F$17)&amp;"","")))))&gt;0),IF(COUNTIF($BI$61:$BP$61,7)=0,TRUE,SUMPRODUCT(($BI$61:$BP$61=7)*($AS$61:$AZ$61&lt;&gt;"")*IF(((UPPER($AS$61:$AZ$61)="BLANK")+(UPPER($AS$61:$AZ$61)="(BLANK)")+(UPPER($AS$61:$AZ$61)="EMPTY")+(UPPER($AS$61:$AZ$61)="(EMPTY)"))&gt;0,IFERROR(('Final Calculation Sheet'!$F$17)&amp;"","")="",ISNUMBER(SEARCH($AS$61:$AZ$61,IFERROR(('Final Calculation Sheet'!$F$17)&amp;"","")))))&gt;0),IF(COUNTIF($BI$61:$BP$61,8)=0,TRUE,SUMPRODUCT(($BI$61:$BP$61=8)*($AS$61:$AZ$61&lt;&gt;"")*IF(((UPPER($AS$61:$AZ$61)="BLANK")+(UPPER($AS$61:$AZ$61)="(BLANK)")+(UPPER($AS$61:$AZ$61)="EMPTY")+(UPPER($AS$61:$AZ$61)="(EMPTY)"))&gt;0,IFERROR(('Final Calculation Sheet'!$F$17)&amp;"","")="",ISNUMBER(SEARCH($AS$61:$AZ$61,IFERROR(('Final Calculation Sheet'!$F$17)&amp;"","")))))&gt;0))))</f>
        <v>1</v>
      </c>
      <c r="BO18">
        <f>IF($C$4="",1,--(AND(SUMPRODUCT(--($AS$62:$AZ$62&lt;&gt;""))&gt;0,IF(COUNTIF($BI$62:$BP$62,1)=0,TRUE,SUMPRODUCT(($BI$62:$BP$62=1)*($AS$62:$AZ$62&lt;&gt;"")*IF(((UPPER($AS$62:$AZ$62)="BLANK")+(UPPER($AS$62:$AZ$62)="(BLANK)")+(UPPER($AS$62:$AZ$62)="EMPTY")+(UPPER($AS$62:$AZ$62)="(EMPTY)"))&gt;0,IFERROR(('Final Calculation Sheet'!$G$17)&amp;"","")="",ISNUMBER(SEARCH($AS$62:$AZ$62,IFERROR(('Final Calculation Sheet'!$G$17)&amp;"","")))))&gt;0),IF(COUNTIF($BI$62:$BP$62,2)=0,TRUE,SUMPRODUCT(($BI$62:$BP$62=2)*($AS$62:$AZ$62&lt;&gt;"")*IF(((UPPER($AS$62:$AZ$62)="BLANK")+(UPPER($AS$62:$AZ$62)="(BLANK)")+(UPPER($AS$62:$AZ$62)="EMPTY")+(UPPER($AS$62:$AZ$62)="(EMPTY)"))&gt;0,IFERROR(('Final Calculation Sheet'!$G$17)&amp;"","")="",ISNUMBER(SEARCH($AS$62:$AZ$62,IFERROR(('Final Calculation Sheet'!$G$17)&amp;"","")))))&gt;0),IF(COUNTIF($BI$62:$BP$62,3)=0,TRUE,SUMPRODUCT(($BI$62:$BP$62=3)*($AS$62:$AZ$62&lt;&gt;"")*IF(((UPPER($AS$62:$AZ$62)="BLANK")+(UPPER($AS$62:$AZ$62)="(BLANK)")+(UPPER($AS$62:$AZ$62)="EMPTY")+(UPPER($AS$62:$AZ$62)="(EMPTY)"))&gt;0,IFERROR(('Final Calculation Sheet'!$G$17)&amp;"","")="",ISNUMBER(SEARCH($AS$62:$AZ$62,IFERROR(('Final Calculation Sheet'!$G$17)&amp;"","")))))&gt;0),IF(COUNTIF($BI$62:$BP$62,4)=0,TRUE,SUMPRODUCT(($BI$62:$BP$62=4)*($AS$62:$AZ$62&lt;&gt;"")*IF(((UPPER($AS$62:$AZ$62)="BLANK")+(UPPER($AS$62:$AZ$62)="(BLANK)")+(UPPER($AS$62:$AZ$62)="EMPTY")+(UPPER($AS$62:$AZ$62)="(EMPTY)"))&gt;0,IFERROR(('Final Calculation Sheet'!$G$17)&amp;"","")="",ISNUMBER(SEARCH($AS$62:$AZ$62,IFERROR(('Final Calculation Sheet'!$G$17)&amp;"","")))))&gt;0),IF(COUNTIF($BI$62:$BP$62,5)=0,TRUE,SUMPRODUCT(($BI$62:$BP$62=5)*($AS$62:$AZ$62&lt;&gt;"")*IF(((UPPER($AS$62:$AZ$62)="BLANK")+(UPPER($AS$62:$AZ$62)="(BLANK)")+(UPPER($AS$62:$AZ$62)="EMPTY")+(UPPER($AS$62:$AZ$62)="(EMPTY)"))&gt;0,IFERROR(('Final Calculation Sheet'!$G$17)&amp;"","")="",ISNUMBER(SEARCH($AS$62:$AZ$62,IFERROR(('Final Calculation Sheet'!$G$17)&amp;"","")))))&gt;0),IF(COUNTIF($BI$62:$BP$62,6)=0,TRUE,SUMPRODUCT(($BI$62:$BP$62=6)*($AS$62:$AZ$62&lt;&gt;"")*IF(((UPPER($AS$62:$AZ$62)="BLANK")+(UPPER($AS$62:$AZ$62)="(BLANK)")+(UPPER($AS$62:$AZ$62)="EMPTY")+(UPPER($AS$62:$AZ$62)="(EMPTY)"))&gt;0,IFERROR(('Final Calculation Sheet'!$G$17)&amp;"","")="",ISNUMBER(SEARCH($AS$62:$AZ$62,IFERROR(('Final Calculation Sheet'!$G$17)&amp;"","")))))&gt;0),IF(COUNTIF($BI$62:$BP$62,7)=0,TRUE,SUMPRODUCT(($BI$62:$BP$62=7)*($AS$62:$AZ$62&lt;&gt;"")*IF(((UPPER($AS$62:$AZ$62)="BLANK")+(UPPER($AS$62:$AZ$62)="(BLANK)")+(UPPER($AS$62:$AZ$62)="EMPTY")+(UPPER($AS$62:$AZ$62)="(EMPTY)"))&gt;0,IFERROR(('Final Calculation Sheet'!$G$17)&amp;"","")="",ISNUMBER(SEARCH($AS$62:$AZ$62,IFERROR(('Final Calculation Sheet'!$G$17)&amp;"","")))))&gt;0),IF(COUNTIF($BI$62:$BP$62,8)=0,TRUE,SUMPRODUCT(($BI$62:$BP$62=8)*($AS$62:$AZ$62&lt;&gt;"")*IF(((UPPER($AS$62:$AZ$62)="BLANK")+(UPPER($AS$62:$AZ$62)="(BLANK)")+(UPPER($AS$62:$AZ$62)="EMPTY")+(UPPER($AS$62:$AZ$62)="(EMPTY)"))&gt;0,IFERROR(('Final Calculation Sheet'!$G$17)&amp;"","")="",ISNUMBER(SEARCH($AS$62:$AZ$62,IFERROR(('Final Calculation Sheet'!$G$17)&amp;"","")))))&gt;0))))</f>
        <v>1</v>
      </c>
      <c r="BP18">
        <f>IF($D$4="",1,--(AND(SUMPRODUCT(--($AS$63:$AZ$63&lt;&gt;""))&gt;0,IF(COUNTIF($BI$63:$BP$63,1)=0,TRUE,SUMPRODUCT(($BI$63:$BP$63=1)*($AS$63:$AZ$63&lt;&gt;"")*IF(((UPPER($AS$63:$AZ$63)="BLANK")+(UPPER($AS$63:$AZ$63)="(BLANK)")+(UPPER($AS$63:$AZ$63)="EMPTY")+(UPPER($AS$63:$AZ$63)="(EMPTY)"))&gt;0,IFERROR(('Final Calculation Sheet'!$B$17)&amp;"","")="",ISNUMBER(SEARCH($AS$63:$AZ$63,IFERROR(('Final Calculation Sheet'!$B$17)&amp;"","")))))&gt;0),IF(COUNTIF($BI$63:$BP$63,2)=0,TRUE,SUMPRODUCT(($BI$63:$BP$63=2)*($AS$63:$AZ$63&lt;&gt;"")*IF(((UPPER($AS$63:$AZ$63)="BLANK")+(UPPER($AS$63:$AZ$63)="(BLANK)")+(UPPER($AS$63:$AZ$63)="EMPTY")+(UPPER($AS$63:$AZ$63)="(EMPTY)"))&gt;0,IFERROR(('Final Calculation Sheet'!$B$17)&amp;"","")="",ISNUMBER(SEARCH($AS$63:$AZ$63,IFERROR(('Final Calculation Sheet'!$B$17)&amp;"","")))))&gt;0),IF(COUNTIF($BI$63:$BP$63,3)=0,TRUE,SUMPRODUCT(($BI$63:$BP$63=3)*($AS$63:$AZ$63&lt;&gt;"")*IF(((UPPER($AS$63:$AZ$63)="BLANK")+(UPPER($AS$63:$AZ$63)="(BLANK)")+(UPPER($AS$63:$AZ$63)="EMPTY")+(UPPER($AS$63:$AZ$63)="(EMPTY)"))&gt;0,IFERROR(('Final Calculation Sheet'!$B$17)&amp;"","")="",ISNUMBER(SEARCH($AS$63:$AZ$63,IFERROR(('Final Calculation Sheet'!$B$17)&amp;"","")))))&gt;0),IF(COUNTIF($BI$63:$BP$63,4)=0,TRUE,SUMPRODUCT(($BI$63:$BP$63=4)*($AS$63:$AZ$63&lt;&gt;"")*IF(((UPPER($AS$63:$AZ$63)="BLANK")+(UPPER($AS$63:$AZ$63)="(BLANK)")+(UPPER($AS$63:$AZ$63)="EMPTY")+(UPPER($AS$63:$AZ$63)="(EMPTY)"))&gt;0,IFERROR(('Final Calculation Sheet'!$B$17)&amp;"","")="",ISNUMBER(SEARCH($AS$63:$AZ$63,IFERROR(('Final Calculation Sheet'!$B$17)&amp;"","")))))&gt;0),IF(COUNTIF($BI$63:$BP$63,5)=0,TRUE,SUMPRODUCT(($BI$63:$BP$63=5)*($AS$63:$AZ$63&lt;&gt;"")*IF(((UPPER($AS$63:$AZ$63)="BLANK")+(UPPER($AS$63:$AZ$63)="(BLANK)")+(UPPER($AS$63:$AZ$63)="EMPTY")+(UPPER($AS$63:$AZ$63)="(EMPTY)"))&gt;0,IFERROR(('Final Calculation Sheet'!$B$17)&amp;"","")="",ISNUMBER(SEARCH($AS$63:$AZ$63,IFERROR(('Final Calculation Sheet'!$B$17)&amp;"","")))))&gt;0),IF(COUNTIF($BI$63:$BP$63,6)=0,TRUE,SUMPRODUCT(($BI$63:$BP$63=6)*($AS$63:$AZ$63&lt;&gt;"")*IF(((UPPER($AS$63:$AZ$63)="BLANK")+(UPPER($AS$63:$AZ$63)="(BLANK)")+(UPPER($AS$63:$AZ$63)="EMPTY")+(UPPER($AS$63:$AZ$63)="(EMPTY)"))&gt;0,IFERROR(('Final Calculation Sheet'!$B$17)&amp;"","")="",ISNUMBER(SEARCH($AS$63:$AZ$63,IFERROR(('Final Calculation Sheet'!$B$17)&amp;"","")))))&gt;0),IF(COUNTIF($BI$63:$BP$63,7)=0,TRUE,SUMPRODUCT(($BI$63:$BP$63=7)*($AS$63:$AZ$63&lt;&gt;"")*IF(((UPPER($AS$63:$AZ$63)="BLANK")+(UPPER($AS$63:$AZ$63)="(BLANK)")+(UPPER($AS$63:$AZ$63)="EMPTY")+(UPPER($AS$63:$AZ$63)="(EMPTY)"))&gt;0,IFERROR(('Final Calculation Sheet'!$B$17)&amp;"","")="",ISNUMBER(SEARCH($AS$63:$AZ$63,IFERROR(('Final Calculation Sheet'!$B$17)&amp;"","")))))&gt;0),IF(COUNTIF($BI$63:$BP$63,8)=0,TRUE,SUMPRODUCT(($BI$63:$BP$63=8)*($AS$63:$AZ$63&lt;&gt;"")*IF(((UPPER($AS$63:$AZ$63)="BLANK")+(UPPER($AS$63:$AZ$63)="(BLANK)")+(UPPER($AS$63:$AZ$63)="EMPTY")+(UPPER($AS$63:$AZ$63)="(EMPTY)"))&gt;0,IFERROR(('Final Calculation Sheet'!$B$17)&amp;"","")="",ISNUMBER(SEARCH($AS$63:$AZ$63,IFERROR(('Final Calculation Sheet'!$B$17)&amp;"","")))))&gt;0))))</f>
        <v>1</v>
      </c>
      <c r="BQ18">
        <f>IF($E$4="",1,--(AND(SUMPRODUCT(--($AS$64:$AZ$64&lt;&gt;""))&gt;0,IF(COUNTIF($BI$64:$BP$64,1)=0,TRUE,SUMPRODUCT(($BI$64:$BP$64=1)*($AS$64:$AZ$64&lt;&gt;"")*IF(((UPPER($AS$64:$AZ$64)="BLANK")+(UPPER($AS$64:$AZ$64)="(BLANK)")+(UPPER($AS$64:$AZ$64)="EMPTY")+(UPPER($AS$64:$AZ$64)="(EMPTY)"))&gt;0,IFERROR(('Final Calculation Sheet'!$D$17)&amp;"","")="",ISNUMBER(SEARCH($AS$64:$AZ$64,IFERROR(('Final Calculation Sheet'!$D$17)&amp;"","")))))&gt;0),IF(COUNTIF($BI$64:$BP$64,2)=0,TRUE,SUMPRODUCT(($BI$64:$BP$64=2)*($AS$64:$AZ$64&lt;&gt;"")*IF(((UPPER($AS$64:$AZ$64)="BLANK")+(UPPER($AS$64:$AZ$64)="(BLANK)")+(UPPER($AS$64:$AZ$64)="EMPTY")+(UPPER($AS$64:$AZ$64)="(EMPTY)"))&gt;0,IFERROR(('Final Calculation Sheet'!$D$17)&amp;"","")="",ISNUMBER(SEARCH($AS$64:$AZ$64,IFERROR(('Final Calculation Sheet'!$D$17)&amp;"","")))))&gt;0),IF(COUNTIF($BI$64:$BP$64,3)=0,TRUE,SUMPRODUCT(($BI$64:$BP$64=3)*($AS$64:$AZ$64&lt;&gt;"")*IF(((UPPER($AS$64:$AZ$64)="BLANK")+(UPPER($AS$64:$AZ$64)="(BLANK)")+(UPPER($AS$64:$AZ$64)="EMPTY")+(UPPER($AS$64:$AZ$64)="(EMPTY)"))&gt;0,IFERROR(('Final Calculation Sheet'!$D$17)&amp;"","")="",ISNUMBER(SEARCH($AS$64:$AZ$64,IFERROR(('Final Calculation Sheet'!$D$17)&amp;"","")))))&gt;0),IF(COUNTIF($BI$64:$BP$64,4)=0,TRUE,SUMPRODUCT(($BI$64:$BP$64=4)*($AS$64:$AZ$64&lt;&gt;"")*IF(((UPPER($AS$64:$AZ$64)="BLANK")+(UPPER($AS$64:$AZ$64)="(BLANK)")+(UPPER($AS$64:$AZ$64)="EMPTY")+(UPPER($AS$64:$AZ$64)="(EMPTY)"))&gt;0,IFERROR(('Final Calculation Sheet'!$D$17)&amp;"","")="",ISNUMBER(SEARCH($AS$64:$AZ$64,IFERROR(('Final Calculation Sheet'!$D$17)&amp;"","")))))&gt;0),IF(COUNTIF($BI$64:$BP$64,5)=0,TRUE,SUMPRODUCT(($BI$64:$BP$64=5)*($AS$64:$AZ$64&lt;&gt;"")*IF(((UPPER($AS$64:$AZ$64)="BLANK")+(UPPER($AS$64:$AZ$64)="(BLANK)")+(UPPER($AS$64:$AZ$64)="EMPTY")+(UPPER($AS$64:$AZ$64)="(EMPTY)"))&gt;0,IFERROR(('Final Calculation Sheet'!$D$17)&amp;"","")="",ISNUMBER(SEARCH($AS$64:$AZ$64,IFERROR(('Final Calculation Sheet'!$D$17)&amp;"","")))))&gt;0),IF(COUNTIF($BI$64:$BP$64,6)=0,TRUE,SUMPRODUCT(($BI$64:$BP$64=6)*($AS$64:$AZ$64&lt;&gt;"")*IF(((UPPER($AS$64:$AZ$64)="BLANK")+(UPPER($AS$64:$AZ$64)="(BLANK)")+(UPPER($AS$64:$AZ$64)="EMPTY")+(UPPER($AS$64:$AZ$64)="(EMPTY)"))&gt;0,IFERROR(('Final Calculation Sheet'!$D$17)&amp;"","")="",ISNUMBER(SEARCH($AS$64:$AZ$64,IFERROR(('Final Calculation Sheet'!$D$17)&amp;"","")))))&gt;0),IF(COUNTIF($BI$64:$BP$64,7)=0,TRUE,SUMPRODUCT(($BI$64:$BP$64=7)*($AS$64:$AZ$64&lt;&gt;"")*IF(((UPPER($AS$64:$AZ$64)="BLANK")+(UPPER($AS$64:$AZ$64)="(BLANK)")+(UPPER($AS$64:$AZ$64)="EMPTY")+(UPPER($AS$64:$AZ$64)="(EMPTY)"))&gt;0,IFERROR(('Final Calculation Sheet'!$D$17)&amp;"","")="",ISNUMBER(SEARCH($AS$64:$AZ$64,IFERROR(('Final Calculation Sheet'!$D$17)&amp;"","")))))&gt;0),IF(COUNTIF($BI$64:$BP$64,8)=0,TRUE,SUMPRODUCT(($BI$64:$BP$64=8)*($AS$64:$AZ$64&lt;&gt;"")*IF(((UPPER($AS$64:$AZ$64)="BLANK")+(UPPER($AS$64:$AZ$64)="(BLANK)")+(UPPER($AS$64:$AZ$64)="EMPTY")+(UPPER($AS$64:$AZ$64)="(EMPTY)"))&gt;0,IFERROR(('Final Calculation Sheet'!$D$17)&amp;"","")="",ISNUMBER(SEARCH($AS$64:$AZ$64,IFERROR(('Final Calculation Sheet'!$D$17)&amp;"","")))))&gt;0))))</f>
        <v>1</v>
      </c>
      <c r="BR18">
        <f>IF($F$4="",1,--(AND(SUMPRODUCT(--($AS$65:$AZ$65&lt;&gt;""))&gt;0,IF(COUNTIF($BI$65:$BP$65,1)=0,TRUE,SUMPRODUCT(($BI$65:$BP$65=1)*($AS$65:$AZ$65&lt;&gt;"")*IF(((UPPER($AS$65:$AZ$65)="BLANK")+(UPPER($AS$65:$AZ$65)="(BLANK)")+(UPPER($AS$65:$AZ$65)="EMPTY")+(UPPER($AS$65:$AZ$65)="(EMPTY)"))&gt;0,IFERROR(('Final Calculation Sheet'!$A$17)&amp;"","")="",ISNUMBER(SEARCH($AS$65:$AZ$65,IFERROR(('Final Calculation Sheet'!$A$17)&amp;"","")))))&gt;0),IF(COUNTIF($BI$65:$BP$65,2)=0,TRUE,SUMPRODUCT(($BI$65:$BP$65=2)*($AS$65:$AZ$65&lt;&gt;"")*IF(((UPPER($AS$65:$AZ$65)="BLANK")+(UPPER($AS$65:$AZ$65)="(BLANK)")+(UPPER($AS$65:$AZ$65)="EMPTY")+(UPPER($AS$65:$AZ$65)="(EMPTY)"))&gt;0,IFERROR(('Final Calculation Sheet'!$A$17)&amp;"","")="",ISNUMBER(SEARCH($AS$65:$AZ$65,IFERROR(('Final Calculation Sheet'!$A$17)&amp;"","")))))&gt;0),IF(COUNTIF($BI$65:$BP$65,3)=0,TRUE,SUMPRODUCT(($BI$65:$BP$65=3)*($AS$65:$AZ$65&lt;&gt;"")*IF(((UPPER($AS$65:$AZ$65)="BLANK")+(UPPER($AS$65:$AZ$65)="(BLANK)")+(UPPER($AS$65:$AZ$65)="EMPTY")+(UPPER($AS$65:$AZ$65)="(EMPTY)"))&gt;0,IFERROR(('Final Calculation Sheet'!$A$17)&amp;"","")="",ISNUMBER(SEARCH($AS$65:$AZ$65,IFERROR(('Final Calculation Sheet'!$A$17)&amp;"","")))))&gt;0),IF(COUNTIF($BI$65:$BP$65,4)=0,TRUE,SUMPRODUCT(($BI$65:$BP$65=4)*($AS$65:$AZ$65&lt;&gt;"")*IF(((UPPER($AS$65:$AZ$65)="BLANK")+(UPPER($AS$65:$AZ$65)="(BLANK)")+(UPPER($AS$65:$AZ$65)="EMPTY")+(UPPER($AS$65:$AZ$65)="(EMPTY)"))&gt;0,IFERROR(('Final Calculation Sheet'!$A$17)&amp;"","")="",ISNUMBER(SEARCH($AS$65:$AZ$65,IFERROR(('Final Calculation Sheet'!$A$17)&amp;"","")))))&gt;0),IF(COUNTIF($BI$65:$BP$65,5)=0,TRUE,SUMPRODUCT(($BI$65:$BP$65=5)*($AS$65:$AZ$65&lt;&gt;"")*IF(((UPPER($AS$65:$AZ$65)="BLANK")+(UPPER($AS$65:$AZ$65)="(BLANK)")+(UPPER($AS$65:$AZ$65)="EMPTY")+(UPPER($AS$65:$AZ$65)="(EMPTY)"))&gt;0,IFERROR(('Final Calculation Sheet'!$A$17)&amp;"","")="",ISNUMBER(SEARCH($AS$65:$AZ$65,IFERROR(('Final Calculation Sheet'!$A$17)&amp;"","")))))&gt;0),IF(COUNTIF($BI$65:$BP$65,6)=0,TRUE,SUMPRODUCT(($BI$65:$BP$65=6)*($AS$65:$AZ$65&lt;&gt;"")*IF(((UPPER($AS$65:$AZ$65)="BLANK")+(UPPER($AS$65:$AZ$65)="(BLANK)")+(UPPER($AS$65:$AZ$65)="EMPTY")+(UPPER($AS$65:$AZ$65)="(EMPTY)"))&gt;0,IFERROR(('Final Calculation Sheet'!$A$17)&amp;"","")="",ISNUMBER(SEARCH($AS$65:$AZ$65,IFERROR(('Final Calculation Sheet'!$A$17)&amp;"","")))))&gt;0),IF(COUNTIF($BI$65:$BP$65,7)=0,TRUE,SUMPRODUCT(($BI$65:$BP$65=7)*($AS$65:$AZ$65&lt;&gt;"")*IF(((UPPER($AS$65:$AZ$65)="BLANK")+(UPPER($AS$65:$AZ$65)="(BLANK)")+(UPPER($AS$65:$AZ$65)="EMPTY")+(UPPER($AS$65:$AZ$65)="(EMPTY)"))&gt;0,IFERROR(('Final Calculation Sheet'!$A$17)&amp;"","")="",ISNUMBER(SEARCH($AS$65:$AZ$65,IFERROR(('Final Calculation Sheet'!$A$17)&amp;"","")))))&gt;0),IF(COUNTIF($BI$65:$BP$65,8)=0,TRUE,SUMPRODUCT(($BI$65:$BP$65=8)*($AS$65:$AZ$65&lt;&gt;"")*IF(((UPPER($AS$65:$AZ$65)="BLANK")+(UPPER($AS$65:$AZ$65)="(BLANK)")+(UPPER($AS$65:$AZ$65)="EMPTY")+(UPPER($AS$65:$AZ$65)="(EMPTY)"))&gt;0,IFERROR(('Final Calculation Sheet'!$A$17)&amp;"","")="",ISNUMBER(SEARCH($AS$65:$AZ$65,IFERROR(('Final Calculation Sheet'!$A$17)&amp;"","")))))&gt;0))))</f>
        <v>1</v>
      </c>
      <c r="BS18">
        <f>IF($G$4="",1,--(AND(SUMPRODUCT(--($AS$66:$AZ$66&lt;&gt;""))&gt;0,IF(COUNTIF($BI$66:$BP$66,1)=0,TRUE,SUMPRODUCT(($BI$66:$BP$66=1)*($AS$66:$AZ$66&lt;&gt;"")*IF(((UPPER($AS$66:$AZ$66)="BLANK")+(UPPER($AS$66:$AZ$66)="(BLANK)")+(UPPER($AS$66:$AZ$66)="EMPTY")+(UPPER($AS$66:$AZ$66)="(EMPTY)"))&gt;0,IFERROR(('Final Calculation Sheet'!$E$17)&amp;"","")="",ISNUMBER(SEARCH($AS$66:$AZ$66,IFERROR(('Final Calculation Sheet'!$E$17)&amp;"","")))))&gt;0),IF(COUNTIF($BI$66:$BP$66,2)=0,TRUE,SUMPRODUCT(($BI$66:$BP$66=2)*($AS$66:$AZ$66&lt;&gt;"")*IF(((UPPER($AS$66:$AZ$66)="BLANK")+(UPPER($AS$66:$AZ$66)="(BLANK)")+(UPPER($AS$66:$AZ$66)="EMPTY")+(UPPER($AS$66:$AZ$66)="(EMPTY)"))&gt;0,IFERROR(('Final Calculation Sheet'!$E$17)&amp;"","")="",ISNUMBER(SEARCH($AS$66:$AZ$66,IFERROR(('Final Calculation Sheet'!$E$17)&amp;"","")))))&gt;0),IF(COUNTIF($BI$66:$BP$66,3)=0,TRUE,SUMPRODUCT(($BI$66:$BP$66=3)*($AS$66:$AZ$66&lt;&gt;"")*IF(((UPPER($AS$66:$AZ$66)="BLANK")+(UPPER($AS$66:$AZ$66)="(BLANK)")+(UPPER($AS$66:$AZ$66)="EMPTY")+(UPPER($AS$66:$AZ$66)="(EMPTY)"))&gt;0,IFERROR(('Final Calculation Sheet'!$E$17)&amp;"","")="",ISNUMBER(SEARCH($AS$66:$AZ$66,IFERROR(('Final Calculation Sheet'!$E$17)&amp;"","")))))&gt;0),IF(COUNTIF($BI$66:$BP$66,4)=0,TRUE,SUMPRODUCT(($BI$66:$BP$66=4)*($AS$66:$AZ$66&lt;&gt;"")*IF(((UPPER($AS$66:$AZ$66)="BLANK")+(UPPER($AS$66:$AZ$66)="(BLANK)")+(UPPER($AS$66:$AZ$66)="EMPTY")+(UPPER($AS$66:$AZ$66)="(EMPTY)"))&gt;0,IFERROR(('Final Calculation Sheet'!$E$17)&amp;"","")="",ISNUMBER(SEARCH($AS$66:$AZ$66,IFERROR(('Final Calculation Sheet'!$E$17)&amp;"","")))))&gt;0),IF(COUNTIF($BI$66:$BP$66,5)=0,TRUE,SUMPRODUCT(($BI$66:$BP$66=5)*($AS$66:$AZ$66&lt;&gt;"")*IF(((UPPER($AS$66:$AZ$66)="BLANK")+(UPPER($AS$66:$AZ$66)="(BLANK)")+(UPPER($AS$66:$AZ$66)="EMPTY")+(UPPER($AS$66:$AZ$66)="(EMPTY)"))&gt;0,IFERROR(('Final Calculation Sheet'!$E$17)&amp;"","")="",ISNUMBER(SEARCH($AS$66:$AZ$66,IFERROR(('Final Calculation Sheet'!$E$17)&amp;"","")))))&gt;0),IF(COUNTIF($BI$66:$BP$66,6)=0,TRUE,SUMPRODUCT(($BI$66:$BP$66=6)*($AS$66:$AZ$66&lt;&gt;"")*IF(((UPPER($AS$66:$AZ$66)="BLANK")+(UPPER($AS$66:$AZ$66)="(BLANK)")+(UPPER($AS$66:$AZ$66)="EMPTY")+(UPPER($AS$66:$AZ$66)="(EMPTY)"))&gt;0,IFERROR(('Final Calculation Sheet'!$E$17)&amp;"","")="",ISNUMBER(SEARCH($AS$66:$AZ$66,IFERROR(('Final Calculation Sheet'!$E$17)&amp;"","")))))&gt;0),IF(COUNTIF($BI$66:$BP$66,7)=0,TRUE,SUMPRODUCT(($BI$66:$BP$66=7)*($AS$66:$AZ$66&lt;&gt;"")*IF(((UPPER($AS$66:$AZ$66)="BLANK")+(UPPER($AS$66:$AZ$66)="(BLANK)")+(UPPER($AS$66:$AZ$66)="EMPTY")+(UPPER($AS$66:$AZ$66)="(EMPTY)"))&gt;0,IFERROR(('Final Calculation Sheet'!$E$17)&amp;"","")="",ISNUMBER(SEARCH($AS$66:$AZ$66,IFERROR(('Final Calculation Sheet'!$E$17)&amp;"","")))))&gt;0),IF(COUNTIF($BI$66:$BP$66,8)=0,TRUE,SUMPRODUCT(($BI$66:$BP$66=8)*($AS$66:$AZ$66&lt;&gt;"")*IF(((UPPER($AS$66:$AZ$66)="BLANK")+(UPPER($AS$66:$AZ$66)="(BLANK)")+(UPPER($AS$66:$AZ$66)="EMPTY")+(UPPER($AS$66:$AZ$66)="(EMPTY)"))&gt;0,IFERROR(('Final Calculation Sheet'!$E$17)&amp;"","")="",ISNUMBER(SEARCH($AS$66:$AZ$66,IFERROR(('Final Calculation Sheet'!$E$17)&amp;"","")))))&gt;0))))</f>
        <v>1</v>
      </c>
      <c r="BT18">
        <f>IF($H$4="",1,--(AND(SUMPRODUCT(--($AS$67:$AZ$67&lt;&gt;""))&gt;0,IF(COUNTIF($BI$67:$BP$67,1)=0,TRUE,SUMPRODUCT(($BI$67:$BP$67=1)*($AS$67:$AZ$67&lt;&gt;"")*IF(((UPPER($AS$67:$AZ$67)="BLANK")+(UPPER($AS$67:$AZ$67)="(BLANK)")+(UPPER($AS$67:$AZ$67)="EMPTY")+(UPPER($AS$67:$AZ$67)="(EMPTY)"))&gt;0,IFERROR(('Final Calculation Sheet'!$C$17)&amp;"","")="",ISNUMBER(SEARCH($AS$67:$AZ$67,IFERROR(('Final Calculation Sheet'!$C$17)&amp;"","")))))&gt;0),IF(COUNTIF($BI$67:$BP$67,2)=0,TRUE,SUMPRODUCT(($BI$67:$BP$67=2)*($AS$67:$AZ$67&lt;&gt;"")*IF(((UPPER($AS$67:$AZ$67)="BLANK")+(UPPER($AS$67:$AZ$67)="(BLANK)")+(UPPER($AS$67:$AZ$67)="EMPTY")+(UPPER($AS$67:$AZ$67)="(EMPTY)"))&gt;0,IFERROR(('Final Calculation Sheet'!$C$17)&amp;"","")="",ISNUMBER(SEARCH($AS$67:$AZ$67,IFERROR(('Final Calculation Sheet'!$C$17)&amp;"","")))))&gt;0),IF(COUNTIF($BI$67:$BP$67,3)=0,TRUE,SUMPRODUCT(($BI$67:$BP$67=3)*($AS$67:$AZ$67&lt;&gt;"")*IF(((UPPER($AS$67:$AZ$67)="BLANK")+(UPPER($AS$67:$AZ$67)="(BLANK)")+(UPPER($AS$67:$AZ$67)="EMPTY")+(UPPER($AS$67:$AZ$67)="(EMPTY)"))&gt;0,IFERROR(('Final Calculation Sheet'!$C$17)&amp;"","")="",ISNUMBER(SEARCH($AS$67:$AZ$67,IFERROR(('Final Calculation Sheet'!$C$17)&amp;"","")))))&gt;0),IF(COUNTIF($BI$67:$BP$67,4)=0,TRUE,SUMPRODUCT(($BI$67:$BP$67=4)*($AS$67:$AZ$67&lt;&gt;"")*IF(((UPPER($AS$67:$AZ$67)="BLANK")+(UPPER($AS$67:$AZ$67)="(BLANK)")+(UPPER($AS$67:$AZ$67)="EMPTY")+(UPPER($AS$67:$AZ$67)="(EMPTY)"))&gt;0,IFERROR(('Final Calculation Sheet'!$C$17)&amp;"","")="",ISNUMBER(SEARCH($AS$67:$AZ$67,IFERROR(('Final Calculation Sheet'!$C$17)&amp;"","")))))&gt;0),IF(COUNTIF($BI$67:$BP$67,5)=0,TRUE,SUMPRODUCT(($BI$67:$BP$67=5)*($AS$67:$AZ$67&lt;&gt;"")*IF(((UPPER($AS$67:$AZ$67)="BLANK")+(UPPER($AS$67:$AZ$67)="(BLANK)")+(UPPER($AS$67:$AZ$67)="EMPTY")+(UPPER($AS$67:$AZ$67)="(EMPTY)"))&gt;0,IFERROR(('Final Calculation Sheet'!$C$17)&amp;"","")="",ISNUMBER(SEARCH($AS$67:$AZ$67,IFERROR(('Final Calculation Sheet'!$C$17)&amp;"","")))))&gt;0),IF(COUNTIF($BI$67:$BP$67,6)=0,TRUE,SUMPRODUCT(($BI$67:$BP$67=6)*($AS$67:$AZ$67&lt;&gt;"")*IF(((UPPER($AS$67:$AZ$67)="BLANK")+(UPPER($AS$67:$AZ$67)="(BLANK)")+(UPPER($AS$67:$AZ$67)="EMPTY")+(UPPER($AS$67:$AZ$67)="(EMPTY)"))&gt;0,IFERROR(('Final Calculation Sheet'!$C$17)&amp;"","")="",ISNUMBER(SEARCH($AS$67:$AZ$67,IFERROR(('Final Calculation Sheet'!$C$17)&amp;"","")))))&gt;0),IF(COUNTIF($BI$67:$BP$67,7)=0,TRUE,SUMPRODUCT(($BI$67:$BP$67=7)*($AS$67:$AZ$67&lt;&gt;"")*IF(((UPPER($AS$67:$AZ$67)="BLANK")+(UPPER($AS$67:$AZ$67)="(BLANK)")+(UPPER($AS$67:$AZ$67)="EMPTY")+(UPPER($AS$67:$AZ$67)="(EMPTY)"))&gt;0,IFERROR(('Final Calculation Sheet'!$C$17)&amp;"","")="",ISNUMBER(SEARCH($AS$67:$AZ$67,IFERROR(('Final Calculation Sheet'!$C$17)&amp;"","")))))&gt;0),IF(COUNTIF($BI$67:$BP$67,8)=0,TRUE,SUMPRODUCT(($BI$67:$BP$67=8)*($AS$67:$AZ$67&lt;&gt;"")*IF(((UPPER($AS$67:$AZ$67)="BLANK")+(UPPER($AS$67:$AZ$67)="(BLANK)")+(UPPER($AS$67:$AZ$67)="EMPTY")+(UPPER($AS$67:$AZ$67)="(EMPTY)"))&gt;0,IFERROR(('Final Calculation Sheet'!$C$17)&amp;"","")="",ISNUMBER(SEARCH($AS$67:$AZ$67,IFERROR(('Final Calculation Sheet'!$C$17)&amp;"","")))))&gt;0))))</f>
        <v>1</v>
      </c>
      <c r="BU18">
        <f>IF($I$4="",1,--(AND(SUMPRODUCT(--($AS$68:$AZ$68&lt;&gt;""))&gt;0,IF(COUNTIF($BI$68:$BP$68,1)=0,TRUE,SUMPRODUCT(($BI$68:$BP$68=1)*($AS$68:$AZ$68&lt;&gt;"")*IF(((UPPER($AS$68:$AZ$68)="BLANK")+(UPPER($AS$68:$AZ$68)="(BLANK)")+(UPPER($AS$68:$AZ$68)="EMPTY")+(UPPER($AS$68:$AZ$68)="(EMPTY)"))&gt;0,IFERROR(('Final Calculation Sheet'!$H$17)&amp;"","")="",ISNUMBER(SEARCH($AS$68:$AZ$68,IFERROR(('Final Calculation Sheet'!$H$17)&amp;"","")))))&gt;0),IF(COUNTIF($BI$68:$BP$68,2)=0,TRUE,SUMPRODUCT(($BI$68:$BP$68=2)*($AS$68:$AZ$68&lt;&gt;"")*IF(((UPPER($AS$68:$AZ$68)="BLANK")+(UPPER($AS$68:$AZ$68)="(BLANK)")+(UPPER($AS$68:$AZ$68)="EMPTY")+(UPPER($AS$68:$AZ$68)="(EMPTY)"))&gt;0,IFERROR(('Final Calculation Sheet'!$H$17)&amp;"","")="",ISNUMBER(SEARCH($AS$68:$AZ$68,IFERROR(('Final Calculation Sheet'!$H$17)&amp;"","")))))&gt;0),IF(COUNTIF($BI$68:$BP$68,3)=0,TRUE,SUMPRODUCT(($BI$68:$BP$68=3)*($AS$68:$AZ$68&lt;&gt;"")*IF(((UPPER($AS$68:$AZ$68)="BLANK")+(UPPER($AS$68:$AZ$68)="(BLANK)")+(UPPER($AS$68:$AZ$68)="EMPTY")+(UPPER($AS$68:$AZ$68)="(EMPTY)"))&gt;0,IFERROR(('Final Calculation Sheet'!$H$17)&amp;"","")="",ISNUMBER(SEARCH($AS$68:$AZ$68,IFERROR(('Final Calculation Sheet'!$H$17)&amp;"","")))))&gt;0),IF(COUNTIF($BI$68:$BP$68,4)=0,TRUE,SUMPRODUCT(($BI$68:$BP$68=4)*($AS$68:$AZ$68&lt;&gt;"")*IF(((UPPER($AS$68:$AZ$68)="BLANK")+(UPPER($AS$68:$AZ$68)="(BLANK)")+(UPPER($AS$68:$AZ$68)="EMPTY")+(UPPER($AS$68:$AZ$68)="(EMPTY)"))&gt;0,IFERROR(('Final Calculation Sheet'!$H$17)&amp;"","")="",ISNUMBER(SEARCH($AS$68:$AZ$68,IFERROR(('Final Calculation Sheet'!$H$17)&amp;"","")))))&gt;0),IF(COUNTIF($BI$68:$BP$68,5)=0,TRUE,SUMPRODUCT(($BI$68:$BP$68=5)*($AS$68:$AZ$68&lt;&gt;"")*IF(((UPPER($AS$68:$AZ$68)="BLANK")+(UPPER($AS$68:$AZ$68)="(BLANK)")+(UPPER($AS$68:$AZ$68)="EMPTY")+(UPPER($AS$68:$AZ$68)="(EMPTY)"))&gt;0,IFERROR(('Final Calculation Sheet'!$H$17)&amp;"","")="",ISNUMBER(SEARCH($AS$68:$AZ$68,IFERROR(('Final Calculation Sheet'!$H$17)&amp;"","")))))&gt;0),IF(COUNTIF($BI$68:$BP$68,6)=0,TRUE,SUMPRODUCT(($BI$68:$BP$68=6)*($AS$68:$AZ$68&lt;&gt;"")*IF(((UPPER($AS$68:$AZ$68)="BLANK")+(UPPER($AS$68:$AZ$68)="(BLANK)")+(UPPER($AS$68:$AZ$68)="EMPTY")+(UPPER($AS$68:$AZ$68)="(EMPTY)"))&gt;0,IFERROR(('Final Calculation Sheet'!$H$17)&amp;"","")="",ISNUMBER(SEARCH($AS$68:$AZ$68,IFERROR(('Final Calculation Sheet'!$H$17)&amp;"","")))))&gt;0),IF(COUNTIF($BI$68:$BP$68,7)=0,TRUE,SUMPRODUCT(($BI$68:$BP$68=7)*($AS$68:$AZ$68&lt;&gt;"")*IF(((UPPER($AS$68:$AZ$68)="BLANK")+(UPPER($AS$68:$AZ$68)="(BLANK)")+(UPPER($AS$68:$AZ$68)="EMPTY")+(UPPER($AS$68:$AZ$68)="(EMPTY)"))&gt;0,IFERROR(('Final Calculation Sheet'!$H$17)&amp;"","")="",ISNUMBER(SEARCH($AS$68:$AZ$68,IFERROR(('Final Calculation Sheet'!$H$17)&amp;"","")))))&gt;0),IF(COUNTIF($BI$68:$BP$68,8)=0,TRUE,SUMPRODUCT(($BI$68:$BP$68=8)*($AS$68:$AZ$68&lt;&gt;"")*IF(((UPPER($AS$68:$AZ$68)="BLANK")+(UPPER($AS$68:$AZ$68)="(BLANK)")+(UPPER($AS$68:$AZ$68)="EMPTY")+(UPPER($AS$68:$AZ$68)="(EMPTY)"))&gt;0,IFERROR(('Final Calculation Sheet'!$H$17)&amp;"","")="",ISNUMBER(SEARCH($AS$68:$AZ$68,IFERROR(('Final Calculation Sheet'!$H$17)&amp;"","")))))&gt;0))))</f>
        <v>1</v>
      </c>
      <c r="BV18">
        <f>IF($J$4="",1,--(AND(SUMPRODUCT(--($AS$69:$AZ$69&lt;&gt;""))&gt;0,IF(COUNTIF($BI$69:$BP$69,1)=0,TRUE,SUMPRODUCT(($BI$69:$BP$69=1)*($AS$69:$AZ$69&lt;&gt;"")*IF(((UPPER($AS$69:$AZ$69)="BLANK")+(UPPER($AS$69:$AZ$69)="(BLANK)")+(UPPER($AS$69:$AZ$69)="EMPTY")+(UPPER($AS$69:$AZ$69)="(EMPTY)"))&gt;0,IFERROR(('Final Calculation Sheet'!$I$17)&amp;"","")="",ISNUMBER(SEARCH($AS$69:$AZ$69,IFERROR(('Final Calculation Sheet'!$I$17)&amp;"","")))))&gt;0),IF(COUNTIF($BI$69:$BP$69,2)=0,TRUE,SUMPRODUCT(($BI$69:$BP$69=2)*($AS$69:$AZ$69&lt;&gt;"")*IF(((UPPER($AS$69:$AZ$69)="BLANK")+(UPPER($AS$69:$AZ$69)="(BLANK)")+(UPPER($AS$69:$AZ$69)="EMPTY")+(UPPER($AS$69:$AZ$69)="(EMPTY)"))&gt;0,IFERROR(('Final Calculation Sheet'!$I$17)&amp;"","")="",ISNUMBER(SEARCH($AS$69:$AZ$69,IFERROR(('Final Calculation Sheet'!$I$17)&amp;"","")))))&gt;0),IF(COUNTIF($BI$69:$BP$69,3)=0,TRUE,SUMPRODUCT(($BI$69:$BP$69=3)*($AS$69:$AZ$69&lt;&gt;"")*IF(((UPPER($AS$69:$AZ$69)="BLANK")+(UPPER($AS$69:$AZ$69)="(BLANK)")+(UPPER($AS$69:$AZ$69)="EMPTY")+(UPPER($AS$69:$AZ$69)="(EMPTY)"))&gt;0,IFERROR(('Final Calculation Sheet'!$I$17)&amp;"","")="",ISNUMBER(SEARCH($AS$69:$AZ$69,IFERROR(('Final Calculation Sheet'!$I$17)&amp;"","")))))&gt;0),IF(COUNTIF($BI$69:$BP$69,4)=0,TRUE,SUMPRODUCT(($BI$69:$BP$69=4)*($AS$69:$AZ$69&lt;&gt;"")*IF(((UPPER($AS$69:$AZ$69)="BLANK")+(UPPER($AS$69:$AZ$69)="(BLANK)")+(UPPER($AS$69:$AZ$69)="EMPTY")+(UPPER($AS$69:$AZ$69)="(EMPTY)"))&gt;0,IFERROR(('Final Calculation Sheet'!$I$17)&amp;"","")="",ISNUMBER(SEARCH($AS$69:$AZ$69,IFERROR(('Final Calculation Sheet'!$I$17)&amp;"","")))))&gt;0),IF(COUNTIF($BI$69:$BP$69,5)=0,TRUE,SUMPRODUCT(($BI$69:$BP$69=5)*($AS$69:$AZ$69&lt;&gt;"")*IF(((UPPER($AS$69:$AZ$69)="BLANK")+(UPPER($AS$69:$AZ$69)="(BLANK)")+(UPPER($AS$69:$AZ$69)="EMPTY")+(UPPER($AS$69:$AZ$69)="(EMPTY)"))&gt;0,IFERROR(('Final Calculation Sheet'!$I$17)&amp;"","")="",ISNUMBER(SEARCH($AS$69:$AZ$69,IFERROR(('Final Calculation Sheet'!$I$17)&amp;"","")))))&gt;0),IF(COUNTIF($BI$69:$BP$69,6)=0,TRUE,SUMPRODUCT(($BI$69:$BP$69=6)*($AS$69:$AZ$69&lt;&gt;"")*IF(((UPPER($AS$69:$AZ$69)="BLANK")+(UPPER($AS$69:$AZ$69)="(BLANK)")+(UPPER($AS$69:$AZ$69)="EMPTY")+(UPPER($AS$69:$AZ$69)="(EMPTY)"))&gt;0,IFERROR(('Final Calculation Sheet'!$I$17)&amp;"","")="",ISNUMBER(SEARCH($AS$69:$AZ$69,IFERROR(('Final Calculation Sheet'!$I$17)&amp;"","")))))&gt;0),IF(COUNTIF($BI$69:$BP$69,7)=0,TRUE,SUMPRODUCT(($BI$69:$BP$69=7)*($AS$69:$AZ$69&lt;&gt;"")*IF(((UPPER($AS$69:$AZ$69)="BLANK")+(UPPER($AS$69:$AZ$69)="(BLANK)")+(UPPER($AS$69:$AZ$69)="EMPTY")+(UPPER($AS$69:$AZ$69)="(EMPTY)"))&gt;0,IFERROR(('Final Calculation Sheet'!$I$17)&amp;"","")="",ISNUMBER(SEARCH($AS$69:$AZ$69,IFERROR(('Final Calculation Sheet'!$I$17)&amp;"","")))))&gt;0),IF(COUNTIF($BI$69:$BP$69,8)=0,TRUE,SUMPRODUCT(($BI$69:$BP$69=8)*($AS$69:$AZ$69&lt;&gt;"")*IF(((UPPER($AS$69:$AZ$69)="BLANK")+(UPPER($AS$69:$AZ$69)="(BLANK)")+(UPPER($AS$69:$AZ$69)="EMPTY")+(UPPER($AS$69:$AZ$69)="(EMPTY)"))&gt;0,IFERROR(('Final Calculation Sheet'!$I$17)&amp;"","")="",ISNUMBER(SEARCH($AS$69:$AZ$69,IFERROR(('Final Calculation Sheet'!$I$17)&amp;"","")))))&gt;0))))</f>
        <v>1</v>
      </c>
      <c r="BW18">
        <f>IF($K$4="",1,--(AND(SUMPRODUCT(--($AS$70:$AZ$70&lt;&gt;""))&gt;0,IF(COUNTIF($BI$70:$BP$70,1)=0,TRUE,SUMPRODUCT(($BI$70:$BP$70=1)*($AS$70:$AZ$70&lt;&gt;"")*IF(((UPPER($AS$70:$AZ$70)="BLANK")+(UPPER($AS$70:$AZ$70)="(BLANK)")+(UPPER($AS$70:$AZ$70)="EMPTY")+(UPPER($AS$70:$AZ$70)="(EMPTY)"))&gt;0,IFERROR(('Final Calculation Sheet'!$J$17)&amp;"","")="",ISNUMBER(SEARCH($AS$70:$AZ$70,IFERROR(('Final Calculation Sheet'!$J$17)&amp;"","")))))&gt;0),IF(COUNTIF($BI$70:$BP$70,2)=0,TRUE,SUMPRODUCT(($BI$70:$BP$70=2)*($AS$70:$AZ$70&lt;&gt;"")*IF(((UPPER($AS$70:$AZ$70)="BLANK")+(UPPER($AS$70:$AZ$70)="(BLANK)")+(UPPER($AS$70:$AZ$70)="EMPTY")+(UPPER($AS$70:$AZ$70)="(EMPTY)"))&gt;0,IFERROR(('Final Calculation Sheet'!$J$17)&amp;"","")="",ISNUMBER(SEARCH($AS$70:$AZ$70,IFERROR(('Final Calculation Sheet'!$J$17)&amp;"","")))))&gt;0),IF(COUNTIF($BI$70:$BP$70,3)=0,TRUE,SUMPRODUCT(($BI$70:$BP$70=3)*($AS$70:$AZ$70&lt;&gt;"")*IF(((UPPER($AS$70:$AZ$70)="BLANK")+(UPPER($AS$70:$AZ$70)="(BLANK)")+(UPPER($AS$70:$AZ$70)="EMPTY")+(UPPER($AS$70:$AZ$70)="(EMPTY)"))&gt;0,IFERROR(('Final Calculation Sheet'!$J$17)&amp;"","")="",ISNUMBER(SEARCH($AS$70:$AZ$70,IFERROR(('Final Calculation Sheet'!$J$17)&amp;"","")))))&gt;0),IF(COUNTIF($BI$70:$BP$70,4)=0,TRUE,SUMPRODUCT(($BI$70:$BP$70=4)*($AS$70:$AZ$70&lt;&gt;"")*IF(((UPPER($AS$70:$AZ$70)="BLANK")+(UPPER($AS$70:$AZ$70)="(BLANK)")+(UPPER($AS$70:$AZ$70)="EMPTY")+(UPPER($AS$70:$AZ$70)="(EMPTY)"))&gt;0,IFERROR(('Final Calculation Sheet'!$J$17)&amp;"","")="",ISNUMBER(SEARCH($AS$70:$AZ$70,IFERROR(('Final Calculation Sheet'!$J$17)&amp;"","")))))&gt;0),IF(COUNTIF($BI$70:$BP$70,5)=0,TRUE,SUMPRODUCT(($BI$70:$BP$70=5)*($AS$70:$AZ$70&lt;&gt;"")*IF(((UPPER($AS$70:$AZ$70)="BLANK")+(UPPER($AS$70:$AZ$70)="(BLANK)")+(UPPER($AS$70:$AZ$70)="EMPTY")+(UPPER($AS$70:$AZ$70)="(EMPTY)"))&gt;0,IFERROR(('Final Calculation Sheet'!$J$17)&amp;"","")="",ISNUMBER(SEARCH($AS$70:$AZ$70,IFERROR(('Final Calculation Sheet'!$J$17)&amp;"","")))))&gt;0),IF(COUNTIF($BI$70:$BP$70,6)=0,TRUE,SUMPRODUCT(($BI$70:$BP$70=6)*($AS$70:$AZ$70&lt;&gt;"")*IF(((UPPER($AS$70:$AZ$70)="BLANK")+(UPPER($AS$70:$AZ$70)="(BLANK)")+(UPPER($AS$70:$AZ$70)="EMPTY")+(UPPER($AS$70:$AZ$70)="(EMPTY)"))&gt;0,IFERROR(('Final Calculation Sheet'!$J$17)&amp;"","")="",ISNUMBER(SEARCH($AS$70:$AZ$70,IFERROR(('Final Calculation Sheet'!$J$17)&amp;"","")))))&gt;0),IF(COUNTIF($BI$70:$BP$70,7)=0,TRUE,SUMPRODUCT(($BI$70:$BP$70=7)*($AS$70:$AZ$70&lt;&gt;"")*IF(((UPPER($AS$70:$AZ$70)="BLANK")+(UPPER($AS$70:$AZ$70)="(BLANK)")+(UPPER($AS$70:$AZ$70)="EMPTY")+(UPPER($AS$70:$AZ$70)="(EMPTY)"))&gt;0,IFERROR(('Final Calculation Sheet'!$J$17)&amp;"","")="",ISNUMBER(SEARCH($AS$70:$AZ$70,IFERROR(('Final Calculation Sheet'!$J$17)&amp;"","")))))&gt;0),IF(COUNTIF($BI$70:$BP$70,8)=0,TRUE,SUMPRODUCT(($BI$70:$BP$70=8)*($AS$70:$AZ$70&lt;&gt;"")*IF(((UPPER($AS$70:$AZ$70)="BLANK")+(UPPER($AS$70:$AZ$70)="(BLANK)")+(UPPER($AS$70:$AZ$70)="EMPTY")+(UPPER($AS$70:$AZ$70)="(EMPTY)"))&gt;0,IFERROR(('Final Calculation Sheet'!$J$17)&amp;"","")="",ISNUMBER(SEARCH($AS$70:$AZ$70,IFERROR(('Final Calculation Sheet'!$J$17)&amp;"","")))))&gt;0))))</f>
        <v>1</v>
      </c>
      <c r="BX18">
        <f>IF($L$4="",1,--(AND(SUMPRODUCT(--($AS$71:$AZ$71&lt;&gt;""))&gt;0,IF(COUNTIF($BI$71:$BP$71,1)=0,TRUE,SUMPRODUCT(($BI$71:$BP$71=1)*($AS$71:$AZ$71&lt;&gt;"")*IF(((UPPER($AS$71:$AZ$71)="BLANK")+(UPPER($AS$71:$AZ$71)="(BLANK)")+(UPPER($AS$71:$AZ$71)="EMPTY")+(UPPER($AS$71:$AZ$71)="(EMPTY)"))&gt;0,IFERROR(('Final Calculation Sheet'!$K$17)&amp;"","")="",ISNUMBER(SEARCH($AS$71:$AZ$71,IFERROR(('Final Calculation Sheet'!$K$17)&amp;"","")))))&gt;0),IF(COUNTIF($BI$71:$BP$71,2)=0,TRUE,SUMPRODUCT(($BI$71:$BP$71=2)*($AS$71:$AZ$71&lt;&gt;"")*IF(((UPPER($AS$71:$AZ$71)="BLANK")+(UPPER($AS$71:$AZ$71)="(BLANK)")+(UPPER($AS$71:$AZ$71)="EMPTY")+(UPPER($AS$71:$AZ$71)="(EMPTY)"))&gt;0,IFERROR(('Final Calculation Sheet'!$K$17)&amp;"","")="",ISNUMBER(SEARCH($AS$71:$AZ$71,IFERROR(('Final Calculation Sheet'!$K$17)&amp;"","")))))&gt;0),IF(COUNTIF($BI$71:$BP$71,3)=0,TRUE,SUMPRODUCT(($BI$71:$BP$71=3)*($AS$71:$AZ$71&lt;&gt;"")*IF(((UPPER($AS$71:$AZ$71)="BLANK")+(UPPER($AS$71:$AZ$71)="(BLANK)")+(UPPER($AS$71:$AZ$71)="EMPTY")+(UPPER($AS$71:$AZ$71)="(EMPTY)"))&gt;0,IFERROR(('Final Calculation Sheet'!$K$17)&amp;"","")="",ISNUMBER(SEARCH($AS$71:$AZ$71,IFERROR(('Final Calculation Sheet'!$K$17)&amp;"","")))))&gt;0),IF(COUNTIF($BI$71:$BP$71,4)=0,TRUE,SUMPRODUCT(($BI$71:$BP$71=4)*($AS$71:$AZ$71&lt;&gt;"")*IF(((UPPER($AS$71:$AZ$71)="BLANK")+(UPPER($AS$71:$AZ$71)="(BLANK)")+(UPPER($AS$71:$AZ$71)="EMPTY")+(UPPER($AS$71:$AZ$71)="(EMPTY)"))&gt;0,IFERROR(('Final Calculation Sheet'!$K$17)&amp;"","")="",ISNUMBER(SEARCH($AS$71:$AZ$71,IFERROR(('Final Calculation Sheet'!$K$17)&amp;"","")))))&gt;0),IF(COUNTIF($BI$71:$BP$71,5)=0,TRUE,SUMPRODUCT(($BI$71:$BP$71=5)*($AS$71:$AZ$71&lt;&gt;"")*IF(((UPPER($AS$71:$AZ$71)="BLANK")+(UPPER($AS$71:$AZ$71)="(BLANK)")+(UPPER($AS$71:$AZ$71)="EMPTY")+(UPPER($AS$71:$AZ$71)="(EMPTY)"))&gt;0,IFERROR(('Final Calculation Sheet'!$K$17)&amp;"","")="",ISNUMBER(SEARCH($AS$71:$AZ$71,IFERROR(('Final Calculation Sheet'!$K$17)&amp;"","")))))&gt;0),IF(COUNTIF($BI$71:$BP$71,6)=0,TRUE,SUMPRODUCT(($BI$71:$BP$71=6)*($AS$71:$AZ$71&lt;&gt;"")*IF(((UPPER($AS$71:$AZ$71)="BLANK")+(UPPER($AS$71:$AZ$71)="(BLANK)")+(UPPER($AS$71:$AZ$71)="EMPTY")+(UPPER($AS$71:$AZ$71)="(EMPTY)"))&gt;0,IFERROR(('Final Calculation Sheet'!$K$17)&amp;"","")="",ISNUMBER(SEARCH($AS$71:$AZ$71,IFERROR(('Final Calculation Sheet'!$K$17)&amp;"","")))))&gt;0),IF(COUNTIF($BI$71:$BP$71,7)=0,TRUE,SUMPRODUCT(($BI$71:$BP$71=7)*($AS$71:$AZ$71&lt;&gt;"")*IF(((UPPER($AS$71:$AZ$71)="BLANK")+(UPPER($AS$71:$AZ$71)="(BLANK)")+(UPPER($AS$71:$AZ$71)="EMPTY")+(UPPER($AS$71:$AZ$71)="(EMPTY)"))&gt;0,IFERROR(('Final Calculation Sheet'!$K$17)&amp;"","")="",ISNUMBER(SEARCH($AS$71:$AZ$71,IFERROR(('Final Calculation Sheet'!$K$17)&amp;"","")))))&gt;0),IF(COUNTIF($BI$71:$BP$71,8)=0,TRUE,SUMPRODUCT(($BI$71:$BP$71=8)*($AS$71:$AZ$71&lt;&gt;"")*IF(((UPPER($AS$71:$AZ$71)="BLANK")+(UPPER($AS$71:$AZ$71)="(BLANK)")+(UPPER($AS$71:$AZ$71)="EMPTY")+(UPPER($AS$71:$AZ$71)="(EMPTY)"))&gt;0,IFERROR(('Final Calculation Sheet'!$K$17)&amp;"","")="",ISNUMBER(SEARCH($AS$71:$AZ$71,IFERROR(('Final Calculation Sheet'!$K$17)&amp;"","")))))&gt;0))))</f>
        <v>1</v>
      </c>
      <c r="BY18">
        <f>IF($M$4="",1,--(AND(SUMPRODUCT(--($AS$72:$AZ$72&lt;&gt;""))&gt;0,IF(COUNTIF($BI$72:$BP$72,1)=0,TRUE,SUMPRODUCT(($BI$72:$BP$72=1)*($AS$72:$AZ$72&lt;&gt;"")*IF(((UPPER($AS$72:$AZ$72)="BLANK")+(UPPER($AS$72:$AZ$72)="(BLANK)")+(UPPER($AS$72:$AZ$72)="EMPTY")+(UPPER($AS$72:$AZ$72)="(EMPTY)"))&gt;0,IFERROR(('Final Calculation Sheet'!$L$17)&amp;"","")="",ISNUMBER(SEARCH($AS$72:$AZ$72,IFERROR(('Final Calculation Sheet'!$L$17)&amp;"","")))))&gt;0),IF(COUNTIF($BI$72:$BP$72,2)=0,TRUE,SUMPRODUCT(($BI$72:$BP$72=2)*($AS$72:$AZ$72&lt;&gt;"")*IF(((UPPER($AS$72:$AZ$72)="BLANK")+(UPPER($AS$72:$AZ$72)="(BLANK)")+(UPPER($AS$72:$AZ$72)="EMPTY")+(UPPER($AS$72:$AZ$72)="(EMPTY)"))&gt;0,IFERROR(('Final Calculation Sheet'!$L$17)&amp;"","")="",ISNUMBER(SEARCH($AS$72:$AZ$72,IFERROR(('Final Calculation Sheet'!$L$17)&amp;"","")))))&gt;0),IF(COUNTIF($BI$72:$BP$72,3)=0,TRUE,SUMPRODUCT(($BI$72:$BP$72=3)*($AS$72:$AZ$72&lt;&gt;"")*IF(((UPPER($AS$72:$AZ$72)="BLANK")+(UPPER($AS$72:$AZ$72)="(BLANK)")+(UPPER($AS$72:$AZ$72)="EMPTY")+(UPPER($AS$72:$AZ$72)="(EMPTY)"))&gt;0,IFERROR(('Final Calculation Sheet'!$L$17)&amp;"","")="",ISNUMBER(SEARCH($AS$72:$AZ$72,IFERROR(('Final Calculation Sheet'!$L$17)&amp;"","")))))&gt;0),IF(COUNTIF($BI$72:$BP$72,4)=0,TRUE,SUMPRODUCT(($BI$72:$BP$72=4)*($AS$72:$AZ$72&lt;&gt;"")*IF(((UPPER($AS$72:$AZ$72)="BLANK")+(UPPER($AS$72:$AZ$72)="(BLANK)")+(UPPER($AS$72:$AZ$72)="EMPTY")+(UPPER($AS$72:$AZ$72)="(EMPTY)"))&gt;0,IFERROR(('Final Calculation Sheet'!$L$17)&amp;"","")="",ISNUMBER(SEARCH($AS$72:$AZ$72,IFERROR(('Final Calculation Sheet'!$L$17)&amp;"","")))))&gt;0),IF(COUNTIF($BI$72:$BP$72,5)=0,TRUE,SUMPRODUCT(($BI$72:$BP$72=5)*($AS$72:$AZ$72&lt;&gt;"")*IF(((UPPER($AS$72:$AZ$72)="BLANK")+(UPPER($AS$72:$AZ$72)="(BLANK)")+(UPPER($AS$72:$AZ$72)="EMPTY")+(UPPER($AS$72:$AZ$72)="(EMPTY)"))&gt;0,IFERROR(('Final Calculation Sheet'!$L$17)&amp;"","")="",ISNUMBER(SEARCH($AS$72:$AZ$72,IFERROR(('Final Calculation Sheet'!$L$17)&amp;"","")))))&gt;0),IF(COUNTIF($BI$72:$BP$72,6)=0,TRUE,SUMPRODUCT(($BI$72:$BP$72=6)*($AS$72:$AZ$72&lt;&gt;"")*IF(((UPPER($AS$72:$AZ$72)="BLANK")+(UPPER($AS$72:$AZ$72)="(BLANK)")+(UPPER($AS$72:$AZ$72)="EMPTY")+(UPPER($AS$72:$AZ$72)="(EMPTY)"))&gt;0,IFERROR(('Final Calculation Sheet'!$L$17)&amp;"","")="",ISNUMBER(SEARCH($AS$72:$AZ$72,IFERROR(('Final Calculation Sheet'!$L$17)&amp;"","")))))&gt;0),IF(COUNTIF($BI$72:$BP$72,7)=0,TRUE,SUMPRODUCT(($BI$72:$BP$72=7)*($AS$72:$AZ$72&lt;&gt;"")*IF(((UPPER($AS$72:$AZ$72)="BLANK")+(UPPER($AS$72:$AZ$72)="(BLANK)")+(UPPER($AS$72:$AZ$72)="EMPTY")+(UPPER($AS$72:$AZ$72)="(EMPTY)"))&gt;0,IFERROR(('Final Calculation Sheet'!$L$17)&amp;"","")="",ISNUMBER(SEARCH($AS$72:$AZ$72,IFERROR(('Final Calculation Sheet'!$L$17)&amp;"","")))))&gt;0),IF(COUNTIF($BI$72:$BP$72,8)=0,TRUE,SUMPRODUCT(($BI$72:$BP$72=8)*($AS$72:$AZ$72&lt;&gt;"")*IF(((UPPER($AS$72:$AZ$72)="BLANK")+(UPPER($AS$72:$AZ$72)="(BLANK)")+(UPPER($AS$72:$AZ$72)="EMPTY")+(UPPER($AS$72:$AZ$72)="(EMPTY)"))&gt;0,IFERROR(('Final Calculation Sheet'!$L$17)&amp;"","")="",ISNUMBER(SEARCH($AS$72:$AZ$72,IFERROR(('Final Calculation Sheet'!$L$17)&amp;"","")))))&gt;0))))</f>
        <v>1</v>
      </c>
      <c r="BZ18">
        <f>IF($N$4="",1,--(AND(SUMPRODUCT(--($AS$73:$AZ$73&lt;&gt;""))&gt;0,IF(COUNTIF($BI$73:$BP$73,1)=0,TRUE,SUMPRODUCT(($BI$73:$BP$73=1)*($AS$73:$AZ$73&lt;&gt;"")*IF(((UPPER($AS$73:$AZ$73)="BLANK")+(UPPER($AS$73:$AZ$73)="(BLANK)")+(UPPER($AS$73:$AZ$73)="EMPTY")+(UPPER($AS$73:$AZ$73)="(EMPTY)"))&gt;0,IFERROR(('Final Calculation Sheet'!$M$17)&amp;"","")="",ISNUMBER(SEARCH($AS$73:$AZ$73,IFERROR(('Final Calculation Sheet'!$M$17)&amp;"","")))))&gt;0),IF(COUNTIF($BI$73:$BP$73,2)=0,TRUE,SUMPRODUCT(($BI$73:$BP$73=2)*($AS$73:$AZ$73&lt;&gt;"")*IF(((UPPER($AS$73:$AZ$73)="BLANK")+(UPPER($AS$73:$AZ$73)="(BLANK)")+(UPPER($AS$73:$AZ$73)="EMPTY")+(UPPER($AS$73:$AZ$73)="(EMPTY)"))&gt;0,IFERROR(('Final Calculation Sheet'!$M$17)&amp;"","")="",ISNUMBER(SEARCH($AS$73:$AZ$73,IFERROR(('Final Calculation Sheet'!$M$17)&amp;"","")))))&gt;0),IF(COUNTIF($BI$73:$BP$73,3)=0,TRUE,SUMPRODUCT(($BI$73:$BP$73=3)*($AS$73:$AZ$73&lt;&gt;"")*IF(((UPPER($AS$73:$AZ$73)="BLANK")+(UPPER($AS$73:$AZ$73)="(BLANK)")+(UPPER($AS$73:$AZ$73)="EMPTY")+(UPPER($AS$73:$AZ$73)="(EMPTY)"))&gt;0,IFERROR(('Final Calculation Sheet'!$M$17)&amp;"","")="",ISNUMBER(SEARCH($AS$73:$AZ$73,IFERROR(('Final Calculation Sheet'!$M$17)&amp;"","")))))&gt;0),IF(COUNTIF($BI$73:$BP$73,4)=0,TRUE,SUMPRODUCT(($BI$73:$BP$73=4)*($AS$73:$AZ$73&lt;&gt;"")*IF(((UPPER($AS$73:$AZ$73)="BLANK")+(UPPER($AS$73:$AZ$73)="(BLANK)")+(UPPER($AS$73:$AZ$73)="EMPTY")+(UPPER($AS$73:$AZ$73)="(EMPTY)"))&gt;0,IFERROR(('Final Calculation Sheet'!$M$17)&amp;"","")="",ISNUMBER(SEARCH($AS$73:$AZ$73,IFERROR(('Final Calculation Sheet'!$M$17)&amp;"","")))))&gt;0),IF(COUNTIF($BI$73:$BP$73,5)=0,TRUE,SUMPRODUCT(($BI$73:$BP$73=5)*($AS$73:$AZ$73&lt;&gt;"")*IF(((UPPER($AS$73:$AZ$73)="BLANK")+(UPPER($AS$73:$AZ$73)="(BLANK)")+(UPPER($AS$73:$AZ$73)="EMPTY")+(UPPER($AS$73:$AZ$73)="(EMPTY)"))&gt;0,IFERROR(('Final Calculation Sheet'!$M$17)&amp;"","")="",ISNUMBER(SEARCH($AS$73:$AZ$73,IFERROR(('Final Calculation Sheet'!$M$17)&amp;"","")))))&gt;0),IF(COUNTIF($BI$73:$BP$73,6)=0,TRUE,SUMPRODUCT(($BI$73:$BP$73=6)*($AS$73:$AZ$73&lt;&gt;"")*IF(((UPPER($AS$73:$AZ$73)="BLANK")+(UPPER($AS$73:$AZ$73)="(BLANK)")+(UPPER($AS$73:$AZ$73)="EMPTY")+(UPPER($AS$73:$AZ$73)="(EMPTY)"))&gt;0,IFERROR(('Final Calculation Sheet'!$M$17)&amp;"","")="",ISNUMBER(SEARCH($AS$73:$AZ$73,IFERROR(('Final Calculation Sheet'!$M$17)&amp;"","")))))&gt;0),IF(COUNTIF($BI$73:$BP$73,7)=0,TRUE,SUMPRODUCT(($BI$73:$BP$73=7)*($AS$73:$AZ$73&lt;&gt;"")*IF(((UPPER($AS$73:$AZ$73)="BLANK")+(UPPER($AS$73:$AZ$73)="(BLANK)")+(UPPER($AS$73:$AZ$73)="EMPTY")+(UPPER($AS$73:$AZ$73)="(EMPTY)"))&gt;0,IFERROR(('Final Calculation Sheet'!$M$17)&amp;"","")="",ISNUMBER(SEARCH($AS$73:$AZ$73,IFERROR(('Final Calculation Sheet'!$M$17)&amp;"","")))))&gt;0),IF(COUNTIF($BI$73:$BP$73,8)=0,TRUE,SUMPRODUCT(($BI$73:$BP$73=8)*($AS$73:$AZ$73&lt;&gt;"")*IF(((UPPER($AS$73:$AZ$73)="BLANK")+(UPPER($AS$73:$AZ$73)="(BLANK)")+(UPPER($AS$73:$AZ$73)="EMPTY")+(UPPER($AS$73:$AZ$73)="(EMPTY)"))&gt;0,IFERROR(('Final Calculation Sheet'!$M$17)&amp;"","")="",ISNUMBER(SEARCH($AS$73:$AZ$73,IFERROR(('Final Calculation Sheet'!$M$17)&amp;"","")))))&gt;0))))</f>
        <v>1</v>
      </c>
      <c r="CA18">
        <f>IF($O$4="",1,--(AND(SUMPRODUCT(--($AS$74:$AZ$74&lt;&gt;""))&gt;0,IF(COUNTIF($BI$74:$BP$74,1)=0,TRUE,SUMPRODUCT(($BI$74:$BP$74=1)*($AS$74:$AZ$74&lt;&gt;"")*IF(((UPPER($AS$74:$AZ$74)="BLANK")+(UPPER($AS$74:$AZ$74)="(BLANK)")+(UPPER($AS$74:$AZ$74)="EMPTY")+(UPPER($AS$74:$AZ$74)="(EMPTY)"))&gt;0,IFERROR(('Final Calculation Sheet'!$N$17)&amp;"","")="",ISNUMBER(SEARCH($AS$74:$AZ$74,IFERROR(('Final Calculation Sheet'!$N$17)&amp;"","")))))&gt;0),IF(COUNTIF($BI$74:$BP$74,2)=0,TRUE,SUMPRODUCT(($BI$74:$BP$74=2)*($AS$74:$AZ$74&lt;&gt;"")*IF(((UPPER($AS$74:$AZ$74)="BLANK")+(UPPER($AS$74:$AZ$74)="(BLANK)")+(UPPER($AS$74:$AZ$74)="EMPTY")+(UPPER($AS$74:$AZ$74)="(EMPTY)"))&gt;0,IFERROR(('Final Calculation Sheet'!$N$17)&amp;"","")="",ISNUMBER(SEARCH($AS$74:$AZ$74,IFERROR(('Final Calculation Sheet'!$N$17)&amp;"","")))))&gt;0),IF(COUNTIF($BI$74:$BP$74,3)=0,TRUE,SUMPRODUCT(($BI$74:$BP$74=3)*($AS$74:$AZ$74&lt;&gt;"")*IF(((UPPER($AS$74:$AZ$74)="BLANK")+(UPPER($AS$74:$AZ$74)="(BLANK)")+(UPPER($AS$74:$AZ$74)="EMPTY")+(UPPER($AS$74:$AZ$74)="(EMPTY)"))&gt;0,IFERROR(('Final Calculation Sheet'!$N$17)&amp;"","")="",ISNUMBER(SEARCH($AS$74:$AZ$74,IFERROR(('Final Calculation Sheet'!$N$17)&amp;"","")))))&gt;0),IF(COUNTIF($BI$74:$BP$74,4)=0,TRUE,SUMPRODUCT(($BI$74:$BP$74=4)*($AS$74:$AZ$74&lt;&gt;"")*IF(((UPPER($AS$74:$AZ$74)="BLANK")+(UPPER($AS$74:$AZ$74)="(BLANK)")+(UPPER($AS$74:$AZ$74)="EMPTY")+(UPPER($AS$74:$AZ$74)="(EMPTY)"))&gt;0,IFERROR(('Final Calculation Sheet'!$N$17)&amp;"","")="",ISNUMBER(SEARCH($AS$74:$AZ$74,IFERROR(('Final Calculation Sheet'!$N$17)&amp;"","")))))&gt;0),IF(COUNTIF($BI$74:$BP$74,5)=0,TRUE,SUMPRODUCT(($BI$74:$BP$74=5)*($AS$74:$AZ$74&lt;&gt;"")*IF(((UPPER($AS$74:$AZ$74)="BLANK")+(UPPER($AS$74:$AZ$74)="(BLANK)")+(UPPER($AS$74:$AZ$74)="EMPTY")+(UPPER($AS$74:$AZ$74)="(EMPTY)"))&gt;0,IFERROR(('Final Calculation Sheet'!$N$17)&amp;"","")="",ISNUMBER(SEARCH($AS$74:$AZ$74,IFERROR(('Final Calculation Sheet'!$N$17)&amp;"","")))))&gt;0),IF(COUNTIF($BI$74:$BP$74,6)=0,TRUE,SUMPRODUCT(($BI$74:$BP$74=6)*($AS$74:$AZ$74&lt;&gt;"")*IF(((UPPER($AS$74:$AZ$74)="BLANK")+(UPPER($AS$74:$AZ$74)="(BLANK)")+(UPPER($AS$74:$AZ$74)="EMPTY")+(UPPER($AS$74:$AZ$74)="(EMPTY)"))&gt;0,IFERROR(('Final Calculation Sheet'!$N$17)&amp;"","")="",ISNUMBER(SEARCH($AS$74:$AZ$74,IFERROR(('Final Calculation Sheet'!$N$17)&amp;"","")))))&gt;0),IF(COUNTIF($BI$74:$BP$74,7)=0,TRUE,SUMPRODUCT(($BI$74:$BP$74=7)*($AS$74:$AZ$74&lt;&gt;"")*IF(((UPPER($AS$74:$AZ$74)="BLANK")+(UPPER($AS$74:$AZ$74)="(BLANK)")+(UPPER($AS$74:$AZ$74)="EMPTY")+(UPPER($AS$74:$AZ$74)="(EMPTY)"))&gt;0,IFERROR(('Final Calculation Sheet'!$N$17)&amp;"","")="",ISNUMBER(SEARCH($AS$74:$AZ$74,IFERROR(('Final Calculation Sheet'!$N$17)&amp;"","")))))&gt;0),IF(COUNTIF($BI$74:$BP$74,8)=0,TRUE,SUMPRODUCT(($BI$74:$BP$74=8)*($AS$74:$AZ$74&lt;&gt;"")*IF(((UPPER($AS$74:$AZ$74)="BLANK")+(UPPER($AS$74:$AZ$74)="(BLANK)")+(UPPER($AS$74:$AZ$74)="EMPTY")+(UPPER($AS$74:$AZ$74)="(EMPTY)"))&gt;0,IFERROR(('Final Calculation Sheet'!$N$17)&amp;"","")="",ISNUMBER(SEARCH($AS$74:$AZ$74,IFERROR(('Final Calculation Sheet'!$N$17)&amp;"","")))))&gt;0))))</f>
        <v>1</v>
      </c>
      <c r="CB18">
        <f>IF($P$4="",1,--(AND(SUMPRODUCT(--($AS$75:$AZ$75&lt;&gt;""))&gt;0,IF(COUNTIF($BI$75:$BP$75,1)=0,TRUE,SUMPRODUCT(($BI$75:$BP$75=1)*($AS$75:$AZ$75&lt;&gt;"")*IF(((UPPER($AS$75:$AZ$75)="BLANK")+(UPPER($AS$75:$AZ$75)="(BLANK)")+(UPPER($AS$75:$AZ$75)="EMPTY")+(UPPER($AS$75:$AZ$75)="(EMPTY)"))&gt;0,IFERROR(('Final Calculation Sheet'!$O$17)&amp;"","")="",ISNUMBER(SEARCH($AS$75:$AZ$75,IFERROR(('Final Calculation Sheet'!$O$17)&amp;"","")))))&gt;0),IF(COUNTIF($BI$75:$BP$75,2)=0,TRUE,SUMPRODUCT(($BI$75:$BP$75=2)*($AS$75:$AZ$75&lt;&gt;"")*IF(((UPPER($AS$75:$AZ$75)="BLANK")+(UPPER($AS$75:$AZ$75)="(BLANK)")+(UPPER($AS$75:$AZ$75)="EMPTY")+(UPPER($AS$75:$AZ$75)="(EMPTY)"))&gt;0,IFERROR(('Final Calculation Sheet'!$O$17)&amp;"","")="",ISNUMBER(SEARCH($AS$75:$AZ$75,IFERROR(('Final Calculation Sheet'!$O$17)&amp;"","")))))&gt;0),IF(COUNTIF($BI$75:$BP$75,3)=0,TRUE,SUMPRODUCT(($BI$75:$BP$75=3)*($AS$75:$AZ$75&lt;&gt;"")*IF(((UPPER($AS$75:$AZ$75)="BLANK")+(UPPER($AS$75:$AZ$75)="(BLANK)")+(UPPER($AS$75:$AZ$75)="EMPTY")+(UPPER($AS$75:$AZ$75)="(EMPTY)"))&gt;0,IFERROR(('Final Calculation Sheet'!$O$17)&amp;"","")="",ISNUMBER(SEARCH($AS$75:$AZ$75,IFERROR(('Final Calculation Sheet'!$O$17)&amp;"","")))))&gt;0),IF(COUNTIF($BI$75:$BP$75,4)=0,TRUE,SUMPRODUCT(($BI$75:$BP$75=4)*($AS$75:$AZ$75&lt;&gt;"")*IF(((UPPER($AS$75:$AZ$75)="BLANK")+(UPPER($AS$75:$AZ$75)="(BLANK)")+(UPPER($AS$75:$AZ$75)="EMPTY")+(UPPER($AS$75:$AZ$75)="(EMPTY)"))&gt;0,IFERROR(('Final Calculation Sheet'!$O$17)&amp;"","")="",ISNUMBER(SEARCH($AS$75:$AZ$75,IFERROR(('Final Calculation Sheet'!$O$17)&amp;"","")))))&gt;0),IF(COUNTIF($BI$75:$BP$75,5)=0,TRUE,SUMPRODUCT(($BI$75:$BP$75=5)*($AS$75:$AZ$75&lt;&gt;"")*IF(((UPPER($AS$75:$AZ$75)="BLANK")+(UPPER($AS$75:$AZ$75)="(BLANK)")+(UPPER($AS$75:$AZ$75)="EMPTY")+(UPPER($AS$75:$AZ$75)="(EMPTY)"))&gt;0,IFERROR(('Final Calculation Sheet'!$O$17)&amp;"","")="",ISNUMBER(SEARCH($AS$75:$AZ$75,IFERROR(('Final Calculation Sheet'!$O$17)&amp;"","")))))&gt;0),IF(COUNTIF($BI$75:$BP$75,6)=0,TRUE,SUMPRODUCT(($BI$75:$BP$75=6)*($AS$75:$AZ$75&lt;&gt;"")*IF(((UPPER($AS$75:$AZ$75)="BLANK")+(UPPER($AS$75:$AZ$75)="(BLANK)")+(UPPER($AS$75:$AZ$75)="EMPTY")+(UPPER($AS$75:$AZ$75)="(EMPTY)"))&gt;0,IFERROR(('Final Calculation Sheet'!$O$17)&amp;"","")="",ISNUMBER(SEARCH($AS$75:$AZ$75,IFERROR(('Final Calculation Sheet'!$O$17)&amp;"","")))))&gt;0),IF(COUNTIF($BI$75:$BP$75,7)=0,TRUE,SUMPRODUCT(($BI$75:$BP$75=7)*($AS$75:$AZ$75&lt;&gt;"")*IF(((UPPER($AS$75:$AZ$75)="BLANK")+(UPPER($AS$75:$AZ$75)="(BLANK)")+(UPPER($AS$75:$AZ$75)="EMPTY")+(UPPER($AS$75:$AZ$75)="(EMPTY)"))&gt;0,IFERROR(('Final Calculation Sheet'!$O$17)&amp;"","")="",ISNUMBER(SEARCH($AS$75:$AZ$75,IFERROR(('Final Calculation Sheet'!$O$17)&amp;"","")))))&gt;0),IF(COUNTIF($BI$75:$BP$75,8)=0,TRUE,SUMPRODUCT(($BI$75:$BP$75=8)*($AS$75:$AZ$75&lt;&gt;"")*IF(((UPPER($AS$75:$AZ$75)="BLANK")+(UPPER($AS$75:$AZ$75)="(BLANK)")+(UPPER($AS$75:$AZ$75)="EMPTY")+(UPPER($AS$75:$AZ$75)="(EMPTY)"))&gt;0,IFERROR(('Final Calculation Sheet'!$O$17)&amp;"","")="",ISNUMBER(SEARCH($AS$75:$AZ$75,IFERROR(('Final Calculation Sheet'!$O$17)&amp;"","")))))&gt;0))))</f>
        <v>1</v>
      </c>
      <c r="CC18">
        <f>IF($Q$4="",1,--(AND(SUMPRODUCT(--($AS$76:$AZ$76&lt;&gt;""))&gt;0,IF(COUNTIF($BI$76:$BP$76,1)=0,TRUE,SUMPRODUCT(($BI$76:$BP$76=1)*($AS$76:$AZ$76&lt;&gt;"")*IF(((UPPER($AS$76:$AZ$76)="BLANK")+(UPPER($AS$76:$AZ$76)="(BLANK)")+(UPPER($AS$76:$AZ$76)="EMPTY")+(UPPER($AS$76:$AZ$76)="(EMPTY)"))&gt;0,IFERROR(('Final Calculation Sheet'!$P$17)&amp;"","")="",ISNUMBER(SEARCH($AS$76:$AZ$76,IFERROR(('Final Calculation Sheet'!$P$17)&amp;"","")))))&gt;0),IF(COUNTIF($BI$76:$BP$76,2)=0,TRUE,SUMPRODUCT(($BI$76:$BP$76=2)*($AS$76:$AZ$76&lt;&gt;"")*IF(((UPPER($AS$76:$AZ$76)="BLANK")+(UPPER($AS$76:$AZ$76)="(BLANK)")+(UPPER($AS$76:$AZ$76)="EMPTY")+(UPPER($AS$76:$AZ$76)="(EMPTY)"))&gt;0,IFERROR(('Final Calculation Sheet'!$P$17)&amp;"","")="",ISNUMBER(SEARCH($AS$76:$AZ$76,IFERROR(('Final Calculation Sheet'!$P$17)&amp;"","")))))&gt;0),IF(COUNTIF($BI$76:$BP$76,3)=0,TRUE,SUMPRODUCT(($BI$76:$BP$76=3)*($AS$76:$AZ$76&lt;&gt;"")*IF(((UPPER($AS$76:$AZ$76)="BLANK")+(UPPER($AS$76:$AZ$76)="(BLANK)")+(UPPER($AS$76:$AZ$76)="EMPTY")+(UPPER($AS$76:$AZ$76)="(EMPTY)"))&gt;0,IFERROR(('Final Calculation Sheet'!$P$17)&amp;"","")="",ISNUMBER(SEARCH($AS$76:$AZ$76,IFERROR(('Final Calculation Sheet'!$P$17)&amp;"","")))))&gt;0),IF(COUNTIF($BI$76:$BP$76,4)=0,TRUE,SUMPRODUCT(($BI$76:$BP$76=4)*($AS$76:$AZ$76&lt;&gt;"")*IF(((UPPER($AS$76:$AZ$76)="BLANK")+(UPPER($AS$76:$AZ$76)="(BLANK)")+(UPPER($AS$76:$AZ$76)="EMPTY")+(UPPER($AS$76:$AZ$76)="(EMPTY)"))&gt;0,IFERROR(('Final Calculation Sheet'!$P$17)&amp;"","")="",ISNUMBER(SEARCH($AS$76:$AZ$76,IFERROR(('Final Calculation Sheet'!$P$17)&amp;"","")))))&gt;0),IF(COUNTIF($BI$76:$BP$76,5)=0,TRUE,SUMPRODUCT(($BI$76:$BP$76=5)*($AS$76:$AZ$76&lt;&gt;"")*IF(((UPPER($AS$76:$AZ$76)="BLANK")+(UPPER($AS$76:$AZ$76)="(BLANK)")+(UPPER($AS$76:$AZ$76)="EMPTY")+(UPPER($AS$76:$AZ$76)="(EMPTY)"))&gt;0,IFERROR(('Final Calculation Sheet'!$P$17)&amp;"","")="",ISNUMBER(SEARCH($AS$76:$AZ$76,IFERROR(('Final Calculation Sheet'!$P$17)&amp;"","")))))&gt;0),IF(COUNTIF($BI$76:$BP$76,6)=0,TRUE,SUMPRODUCT(($BI$76:$BP$76=6)*($AS$76:$AZ$76&lt;&gt;"")*IF(((UPPER($AS$76:$AZ$76)="BLANK")+(UPPER($AS$76:$AZ$76)="(BLANK)")+(UPPER($AS$76:$AZ$76)="EMPTY")+(UPPER($AS$76:$AZ$76)="(EMPTY)"))&gt;0,IFERROR(('Final Calculation Sheet'!$P$17)&amp;"","")="",ISNUMBER(SEARCH($AS$76:$AZ$76,IFERROR(('Final Calculation Sheet'!$P$17)&amp;"","")))))&gt;0),IF(COUNTIF($BI$76:$BP$76,7)=0,TRUE,SUMPRODUCT(($BI$76:$BP$76=7)*($AS$76:$AZ$76&lt;&gt;"")*IF(((UPPER($AS$76:$AZ$76)="BLANK")+(UPPER($AS$76:$AZ$76)="(BLANK)")+(UPPER($AS$76:$AZ$76)="EMPTY")+(UPPER($AS$76:$AZ$76)="(EMPTY)"))&gt;0,IFERROR(('Final Calculation Sheet'!$P$17)&amp;"","")="",ISNUMBER(SEARCH($AS$76:$AZ$76,IFERROR(('Final Calculation Sheet'!$P$17)&amp;"","")))))&gt;0),IF(COUNTIF($BI$76:$BP$76,8)=0,TRUE,SUMPRODUCT(($BI$76:$BP$76=8)*($AS$76:$AZ$76&lt;&gt;"")*IF(((UPPER($AS$76:$AZ$76)="BLANK")+(UPPER($AS$76:$AZ$76)="(BLANK)")+(UPPER($AS$76:$AZ$76)="EMPTY")+(UPPER($AS$76:$AZ$76)="(EMPTY)"))&gt;0,IFERROR(('Final Calculation Sheet'!$P$17)&amp;"","")="",ISNUMBER(SEARCH($AS$76:$AZ$76,IFERROR(('Final Calculation Sheet'!$P$17)&amp;"","")))))&gt;0))))</f>
        <v>1</v>
      </c>
      <c r="CD18">
        <f>IF($R$4="",1,--(AND(SUMPRODUCT(--($AS$77:$AZ$77&lt;&gt;""))&gt;0,IF(COUNTIF($BI$77:$BP$77,1)=0,TRUE,SUMPRODUCT(($BI$77:$BP$77=1)*($AS$77:$AZ$77&lt;&gt;"")*IF(((UPPER($AS$77:$AZ$77)="BLANK")+(UPPER($AS$77:$AZ$77)="(BLANK)")+(UPPER($AS$77:$AZ$77)="EMPTY")+(UPPER($AS$77:$AZ$77)="(EMPTY)"))&gt;0,IFERROR(('Final Calculation Sheet'!$Q$17)&amp;"","")="",ISNUMBER(SEARCH($AS$77:$AZ$77,IFERROR(('Final Calculation Sheet'!$Q$17)&amp;"","")))))&gt;0),IF(COUNTIF($BI$77:$BP$77,2)=0,TRUE,SUMPRODUCT(($BI$77:$BP$77=2)*($AS$77:$AZ$77&lt;&gt;"")*IF(((UPPER($AS$77:$AZ$77)="BLANK")+(UPPER($AS$77:$AZ$77)="(BLANK)")+(UPPER($AS$77:$AZ$77)="EMPTY")+(UPPER($AS$77:$AZ$77)="(EMPTY)"))&gt;0,IFERROR(('Final Calculation Sheet'!$Q$17)&amp;"","")="",ISNUMBER(SEARCH($AS$77:$AZ$77,IFERROR(('Final Calculation Sheet'!$Q$17)&amp;"","")))))&gt;0),IF(COUNTIF($BI$77:$BP$77,3)=0,TRUE,SUMPRODUCT(($BI$77:$BP$77=3)*($AS$77:$AZ$77&lt;&gt;"")*IF(((UPPER($AS$77:$AZ$77)="BLANK")+(UPPER($AS$77:$AZ$77)="(BLANK)")+(UPPER($AS$77:$AZ$77)="EMPTY")+(UPPER($AS$77:$AZ$77)="(EMPTY)"))&gt;0,IFERROR(('Final Calculation Sheet'!$Q$17)&amp;"","")="",ISNUMBER(SEARCH($AS$77:$AZ$77,IFERROR(('Final Calculation Sheet'!$Q$17)&amp;"","")))))&gt;0),IF(COUNTIF($BI$77:$BP$77,4)=0,TRUE,SUMPRODUCT(($BI$77:$BP$77=4)*($AS$77:$AZ$77&lt;&gt;"")*IF(((UPPER($AS$77:$AZ$77)="BLANK")+(UPPER($AS$77:$AZ$77)="(BLANK)")+(UPPER($AS$77:$AZ$77)="EMPTY")+(UPPER($AS$77:$AZ$77)="(EMPTY)"))&gt;0,IFERROR(('Final Calculation Sheet'!$Q$17)&amp;"","")="",ISNUMBER(SEARCH($AS$77:$AZ$77,IFERROR(('Final Calculation Sheet'!$Q$17)&amp;"","")))))&gt;0),IF(COUNTIF($BI$77:$BP$77,5)=0,TRUE,SUMPRODUCT(($BI$77:$BP$77=5)*($AS$77:$AZ$77&lt;&gt;"")*IF(((UPPER($AS$77:$AZ$77)="BLANK")+(UPPER($AS$77:$AZ$77)="(BLANK)")+(UPPER($AS$77:$AZ$77)="EMPTY")+(UPPER($AS$77:$AZ$77)="(EMPTY)"))&gt;0,IFERROR(('Final Calculation Sheet'!$Q$17)&amp;"","")="",ISNUMBER(SEARCH($AS$77:$AZ$77,IFERROR(('Final Calculation Sheet'!$Q$17)&amp;"","")))))&gt;0),IF(COUNTIF($BI$77:$BP$77,6)=0,TRUE,SUMPRODUCT(($BI$77:$BP$77=6)*($AS$77:$AZ$77&lt;&gt;"")*IF(((UPPER($AS$77:$AZ$77)="BLANK")+(UPPER($AS$77:$AZ$77)="(BLANK)")+(UPPER($AS$77:$AZ$77)="EMPTY")+(UPPER($AS$77:$AZ$77)="(EMPTY)"))&gt;0,IFERROR(('Final Calculation Sheet'!$Q$17)&amp;"","")="",ISNUMBER(SEARCH($AS$77:$AZ$77,IFERROR(('Final Calculation Sheet'!$Q$17)&amp;"","")))))&gt;0),IF(COUNTIF($BI$77:$BP$77,7)=0,TRUE,SUMPRODUCT(($BI$77:$BP$77=7)*($AS$77:$AZ$77&lt;&gt;"")*IF(((UPPER($AS$77:$AZ$77)="BLANK")+(UPPER($AS$77:$AZ$77)="(BLANK)")+(UPPER($AS$77:$AZ$77)="EMPTY")+(UPPER($AS$77:$AZ$77)="(EMPTY)"))&gt;0,IFERROR(('Final Calculation Sheet'!$Q$17)&amp;"","")="",ISNUMBER(SEARCH($AS$77:$AZ$77,IFERROR(('Final Calculation Sheet'!$Q$17)&amp;"","")))))&gt;0),IF(COUNTIF($BI$77:$BP$77,8)=0,TRUE,SUMPRODUCT(($BI$77:$BP$77=8)*($AS$77:$AZ$77&lt;&gt;"")*IF(((UPPER($AS$77:$AZ$77)="BLANK")+(UPPER($AS$77:$AZ$77)="(BLANK)")+(UPPER($AS$77:$AZ$77)="EMPTY")+(UPPER($AS$77:$AZ$77)="(EMPTY)"))&gt;0,IFERROR(('Final Calculation Sheet'!$Q$17)&amp;"","")="",ISNUMBER(SEARCH($AS$77:$AZ$77,IFERROR(('Final Calculation Sheet'!$Q$17)&amp;"","")))))&gt;0))))</f>
        <v>1</v>
      </c>
      <c r="CE18">
        <f>IF($S$4="",1,--(AND(SUMPRODUCT(--($AS$78:$AZ$78&lt;&gt;""))&gt;0,IF(COUNTIF($BI$78:$BP$78,1)=0,TRUE,SUMPRODUCT(($BI$78:$BP$78=1)*($AS$78:$AZ$78&lt;&gt;"")*IF(((UPPER($AS$78:$AZ$78)="BLANK")+(UPPER($AS$78:$AZ$78)="(BLANK)")+(UPPER($AS$78:$AZ$78)="EMPTY")+(UPPER($AS$78:$AZ$78)="(EMPTY)"))&gt;0,IFERROR(('Final Calculation Sheet'!$R$17)&amp;"","")="",ISNUMBER(SEARCH($AS$78:$AZ$78,IFERROR(('Final Calculation Sheet'!$R$17)&amp;"","")))))&gt;0),IF(COUNTIF($BI$78:$BP$78,2)=0,TRUE,SUMPRODUCT(($BI$78:$BP$78=2)*($AS$78:$AZ$78&lt;&gt;"")*IF(((UPPER($AS$78:$AZ$78)="BLANK")+(UPPER($AS$78:$AZ$78)="(BLANK)")+(UPPER($AS$78:$AZ$78)="EMPTY")+(UPPER($AS$78:$AZ$78)="(EMPTY)"))&gt;0,IFERROR(('Final Calculation Sheet'!$R$17)&amp;"","")="",ISNUMBER(SEARCH($AS$78:$AZ$78,IFERROR(('Final Calculation Sheet'!$R$17)&amp;"","")))))&gt;0),IF(COUNTIF($BI$78:$BP$78,3)=0,TRUE,SUMPRODUCT(($BI$78:$BP$78=3)*($AS$78:$AZ$78&lt;&gt;"")*IF(((UPPER($AS$78:$AZ$78)="BLANK")+(UPPER($AS$78:$AZ$78)="(BLANK)")+(UPPER($AS$78:$AZ$78)="EMPTY")+(UPPER($AS$78:$AZ$78)="(EMPTY)"))&gt;0,IFERROR(('Final Calculation Sheet'!$R$17)&amp;"","")="",ISNUMBER(SEARCH($AS$78:$AZ$78,IFERROR(('Final Calculation Sheet'!$R$17)&amp;"","")))))&gt;0),IF(COUNTIF($BI$78:$BP$78,4)=0,TRUE,SUMPRODUCT(($BI$78:$BP$78=4)*($AS$78:$AZ$78&lt;&gt;"")*IF(((UPPER($AS$78:$AZ$78)="BLANK")+(UPPER($AS$78:$AZ$78)="(BLANK)")+(UPPER($AS$78:$AZ$78)="EMPTY")+(UPPER($AS$78:$AZ$78)="(EMPTY)"))&gt;0,IFERROR(('Final Calculation Sheet'!$R$17)&amp;"","")="",ISNUMBER(SEARCH($AS$78:$AZ$78,IFERROR(('Final Calculation Sheet'!$R$17)&amp;"","")))))&gt;0),IF(COUNTIF($BI$78:$BP$78,5)=0,TRUE,SUMPRODUCT(($BI$78:$BP$78=5)*($AS$78:$AZ$78&lt;&gt;"")*IF(((UPPER($AS$78:$AZ$78)="BLANK")+(UPPER($AS$78:$AZ$78)="(BLANK)")+(UPPER($AS$78:$AZ$78)="EMPTY")+(UPPER($AS$78:$AZ$78)="(EMPTY)"))&gt;0,IFERROR(('Final Calculation Sheet'!$R$17)&amp;"","")="",ISNUMBER(SEARCH($AS$78:$AZ$78,IFERROR(('Final Calculation Sheet'!$R$17)&amp;"","")))))&gt;0),IF(COUNTIF($BI$78:$BP$78,6)=0,TRUE,SUMPRODUCT(($BI$78:$BP$78=6)*($AS$78:$AZ$78&lt;&gt;"")*IF(((UPPER($AS$78:$AZ$78)="BLANK")+(UPPER($AS$78:$AZ$78)="(BLANK)")+(UPPER($AS$78:$AZ$78)="EMPTY")+(UPPER($AS$78:$AZ$78)="(EMPTY)"))&gt;0,IFERROR(('Final Calculation Sheet'!$R$17)&amp;"","")="",ISNUMBER(SEARCH($AS$78:$AZ$78,IFERROR(('Final Calculation Sheet'!$R$17)&amp;"","")))))&gt;0),IF(COUNTIF($BI$78:$BP$78,7)=0,TRUE,SUMPRODUCT(($BI$78:$BP$78=7)*($AS$78:$AZ$78&lt;&gt;"")*IF(((UPPER($AS$78:$AZ$78)="BLANK")+(UPPER($AS$78:$AZ$78)="(BLANK)")+(UPPER($AS$78:$AZ$78)="EMPTY")+(UPPER($AS$78:$AZ$78)="(EMPTY)"))&gt;0,IFERROR(('Final Calculation Sheet'!$R$17)&amp;"","")="",ISNUMBER(SEARCH($AS$78:$AZ$78,IFERROR(('Final Calculation Sheet'!$R$17)&amp;"","")))))&gt;0),IF(COUNTIF($BI$78:$BP$78,8)=0,TRUE,SUMPRODUCT(($BI$78:$BP$78=8)*($AS$78:$AZ$78&lt;&gt;"")*IF(((UPPER($AS$78:$AZ$78)="BLANK")+(UPPER($AS$78:$AZ$78)="(BLANK)")+(UPPER($AS$78:$AZ$78)="EMPTY")+(UPPER($AS$78:$AZ$78)="(EMPTY)"))&gt;0,IFERROR(('Final Calculation Sheet'!$R$17)&amp;"","")="",ISNUMBER(SEARCH($AS$78:$AZ$78,IFERROR(('Final Calculation Sheet'!$R$17)&amp;"","")))))&gt;0))))</f>
        <v>1</v>
      </c>
      <c r="CF18">
        <f>IF($T$4="",1,--(AND(SUMPRODUCT(--($AS$79:$AZ$79&lt;&gt;""))&gt;0,IF(COUNTIF($BI$79:$BP$79,1)=0,TRUE,SUMPRODUCT(($BI$79:$BP$79=1)*($AS$79:$AZ$79&lt;&gt;"")*IF(((UPPER($AS$79:$AZ$79)="BLANK")+(UPPER($AS$79:$AZ$79)="(BLANK)")+(UPPER($AS$79:$AZ$79)="EMPTY")+(UPPER($AS$79:$AZ$79)="(EMPTY)"))&gt;0,IFERROR(('Final Calculation Sheet'!$S$17)&amp;"","")="",ISNUMBER(SEARCH($AS$79:$AZ$79,IFERROR(('Final Calculation Sheet'!$S$17)&amp;"","")))))&gt;0),IF(COUNTIF($BI$79:$BP$79,2)=0,TRUE,SUMPRODUCT(($BI$79:$BP$79=2)*($AS$79:$AZ$79&lt;&gt;"")*IF(((UPPER($AS$79:$AZ$79)="BLANK")+(UPPER($AS$79:$AZ$79)="(BLANK)")+(UPPER($AS$79:$AZ$79)="EMPTY")+(UPPER($AS$79:$AZ$79)="(EMPTY)"))&gt;0,IFERROR(('Final Calculation Sheet'!$S$17)&amp;"","")="",ISNUMBER(SEARCH($AS$79:$AZ$79,IFERROR(('Final Calculation Sheet'!$S$17)&amp;"","")))))&gt;0),IF(COUNTIF($BI$79:$BP$79,3)=0,TRUE,SUMPRODUCT(($BI$79:$BP$79=3)*($AS$79:$AZ$79&lt;&gt;"")*IF(((UPPER($AS$79:$AZ$79)="BLANK")+(UPPER($AS$79:$AZ$79)="(BLANK)")+(UPPER($AS$79:$AZ$79)="EMPTY")+(UPPER($AS$79:$AZ$79)="(EMPTY)"))&gt;0,IFERROR(('Final Calculation Sheet'!$S$17)&amp;"","")="",ISNUMBER(SEARCH($AS$79:$AZ$79,IFERROR(('Final Calculation Sheet'!$S$17)&amp;"","")))))&gt;0),IF(COUNTIF($BI$79:$BP$79,4)=0,TRUE,SUMPRODUCT(($BI$79:$BP$79=4)*($AS$79:$AZ$79&lt;&gt;"")*IF(((UPPER($AS$79:$AZ$79)="BLANK")+(UPPER($AS$79:$AZ$79)="(BLANK)")+(UPPER($AS$79:$AZ$79)="EMPTY")+(UPPER($AS$79:$AZ$79)="(EMPTY)"))&gt;0,IFERROR(('Final Calculation Sheet'!$S$17)&amp;"","")="",ISNUMBER(SEARCH($AS$79:$AZ$79,IFERROR(('Final Calculation Sheet'!$S$17)&amp;"","")))))&gt;0),IF(COUNTIF($BI$79:$BP$79,5)=0,TRUE,SUMPRODUCT(($BI$79:$BP$79=5)*($AS$79:$AZ$79&lt;&gt;"")*IF(((UPPER($AS$79:$AZ$79)="BLANK")+(UPPER($AS$79:$AZ$79)="(BLANK)")+(UPPER($AS$79:$AZ$79)="EMPTY")+(UPPER($AS$79:$AZ$79)="(EMPTY)"))&gt;0,IFERROR(('Final Calculation Sheet'!$S$17)&amp;"","")="",ISNUMBER(SEARCH($AS$79:$AZ$79,IFERROR(('Final Calculation Sheet'!$S$17)&amp;"","")))))&gt;0),IF(COUNTIF($BI$79:$BP$79,6)=0,TRUE,SUMPRODUCT(($BI$79:$BP$79=6)*($AS$79:$AZ$79&lt;&gt;"")*IF(((UPPER($AS$79:$AZ$79)="BLANK")+(UPPER($AS$79:$AZ$79)="(BLANK)")+(UPPER($AS$79:$AZ$79)="EMPTY")+(UPPER($AS$79:$AZ$79)="(EMPTY)"))&gt;0,IFERROR(('Final Calculation Sheet'!$S$17)&amp;"","")="",ISNUMBER(SEARCH($AS$79:$AZ$79,IFERROR(('Final Calculation Sheet'!$S$17)&amp;"","")))))&gt;0),IF(COUNTIF($BI$79:$BP$79,7)=0,TRUE,SUMPRODUCT(($BI$79:$BP$79=7)*($AS$79:$AZ$79&lt;&gt;"")*IF(((UPPER($AS$79:$AZ$79)="BLANK")+(UPPER($AS$79:$AZ$79)="(BLANK)")+(UPPER($AS$79:$AZ$79)="EMPTY")+(UPPER($AS$79:$AZ$79)="(EMPTY)"))&gt;0,IFERROR(('Final Calculation Sheet'!$S$17)&amp;"","")="",ISNUMBER(SEARCH($AS$79:$AZ$79,IFERROR(('Final Calculation Sheet'!$S$17)&amp;"","")))))&gt;0),IF(COUNTIF($BI$79:$BP$79,8)=0,TRUE,SUMPRODUCT(($BI$79:$BP$79=8)*($AS$79:$AZ$79&lt;&gt;"")*IF(((UPPER($AS$79:$AZ$79)="BLANK")+(UPPER($AS$79:$AZ$79)="(BLANK)")+(UPPER($AS$79:$AZ$79)="EMPTY")+(UPPER($AS$79:$AZ$79)="(EMPTY)"))&gt;0,IFERROR(('Final Calculation Sheet'!$S$17)&amp;"","")="",ISNUMBER(SEARCH($AS$79:$AZ$79,IFERROR(('Final Calculation Sheet'!$S$17)&amp;"","")))))&gt;0))))</f>
        <v>1</v>
      </c>
      <c r="CG18">
        <f>IF($U$4="",1,--(AND(SUMPRODUCT(--($AS$80:$AZ$80&lt;&gt;""))&gt;0,IF(COUNTIF($BI$80:$BP$80,1)=0,TRUE,SUMPRODUCT(($BI$80:$BP$80=1)*($AS$80:$AZ$80&lt;&gt;"")*IF(((UPPER($AS$80:$AZ$80)="BLANK")+(UPPER($AS$80:$AZ$80)="(BLANK)")+(UPPER($AS$80:$AZ$80)="EMPTY")+(UPPER($AS$80:$AZ$80)="(EMPTY)"))&gt;0,IFERROR(('Final Calculation Sheet'!$T$17)&amp;"","")="",ISNUMBER(SEARCH($AS$80:$AZ$80,IFERROR(('Final Calculation Sheet'!$T$17)&amp;"","")))))&gt;0),IF(COUNTIF($BI$80:$BP$80,2)=0,TRUE,SUMPRODUCT(($BI$80:$BP$80=2)*($AS$80:$AZ$80&lt;&gt;"")*IF(((UPPER($AS$80:$AZ$80)="BLANK")+(UPPER($AS$80:$AZ$80)="(BLANK)")+(UPPER($AS$80:$AZ$80)="EMPTY")+(UPPER($AS$80:$AZ$80)="(EMPTY)"))&gt;0,IFERROR(('Final Calculation Sheet'!$T$17)&amp;"","")="",ISNUMBER(SEARCH($AS$80:$AZ$80,IFERROR(('Final Calculation Sheet'!$T$17)&amp;"","")))))&gt;0),IF(COUNTIF($BI$80:$BP$80,3)=0,TRUE,SUMPRODUCT(($BI$80:$BP$80=3)*($AS$80:$AZ$80&lt;&gt;"")*IF(((UPPER($AS$80:$AZ$80)="BLANK")+(UPPER($AS$80:$AZ$80)="(BLANK)")+(UPPER($AS$80:$AZ$80)="EMPTY")+(UPPER($AS$80:$AZ$80)="(EMPTY)"))&gt;0,IFERROR(('Final Calculation Sheet'!$T$17)&amp;"","")="",ISNUMBER(SEARCH($AS$80:$AZ$80,IFERROR(('Final Calculation Sheet'!$T$17)&amp;"","")))))&gt;0),IF(COUNTIF($BI$80:$BP$80,4)=0,TRUE,SUMPRODUCT(($BI$80:$BP$80=4)*($AS$80:$AZ$80&lt;&gt;"")*IF(((UPPER($AS$80:$AZ$80)="BLANK")+(UPPER($AS$80:$AZ$80)="(BLANK)")+(UPPER($AS$80:$AZ$80)="EMPTY")+(UPPER($AS$80:$AZ$80)="(EMPTY)"))&gt;0,IFERROR(('Final Calculation Sheet'!$T$17)&amp;"","")="",ISNUMBER(SEARCH($AS$80:$AZ$80,IFERROR(('Final Calculation Sheet'!$T$17)&amp;"","")))))&gt;0),IF(COUNTIF($BI$80:$BP$80,5)=0,TRUE,SUMPRODUCT(($BI$80:$BP$80=5)*($AS$80:$AZ$80&lt;&gt;"")*IF(((UPPER($AS$80:$AZ$80)="BLANK")+(UPPER($AS$80:$AZ$80)="(BLANK)")+(UPPER($AS$80:$AZ$80)="EMPTY")+(UPPER($AS$80:$AZ$80)="(EMPTY)"))&gt;0,IFERROR(('Final Calculation Sheet'!$T$17)&amp;"","")="",ISNUMBER(SEARCH($AS$80:$AZ$80,IFERROR(('Final Calculation Sheet'!$T$17)&amp;"","")))))&gt;0),IF(COUNTIF($BI$80:$BP$80,6)=0,TRUE,SUMPRODUCT(($BI$80:$BP$80=6)*($AS$80:$AZ$80&lt;&gt;"")*IF(((UPPER($AS$80:$AZ$80)="BLANK")+(UPPER($AS$80:$AZ$80)="(BLANK)")+(UPPER($AS$80:$AZ$80)="EMPTY")+(UPPER($AS$80:$AZ$80)="(EMPTY)"))&gt;0,IFERROR(('Final Calculation Sheet'!$T$17)&amp;"","")="",ISNUMBER(SEARCH($AS$80:$AZ$80,IFERROR(('Final Calculation Sheet'!$T$17)&amp;"","")))))&gt;0),IF(COUNTIF($BI$80:$BP$80,7)=0,TRUE,SUMPRODUCT(($BI$80:$BP$80=7)*($AS$80:$AZ$80&lt;&gt;"")*IF(((UPPER($AS$80:$AZ$80)="BLANK")+(UPPER($AS$80:$AZ$80)="(BLANK)")+(UPPER($AS$80:$AZ$80)="EMPTY")+(UPPER($AS$80:$AZ$80)="(EMPTY)"))&gt;0,IFERROR(('Final Calculation Sheet'!$T$17)&amp;"","")="",ISNUMBER(SEARCH($AS$80:$AZ$80,IFERROR(('Final Calculation Sheet'!$T$17)&amp;"","")))))&gt;0),IF(COUNTIF($BI$80:$BP$80,8)=0,TRUE,SUMPRODUCT(($BI$80:$BP$80=8)*($AS$80:$AZ$80&lt;&gt;"")*IF(((UPPER($AS$80:$AZ$80)="BLANK")+(UPPER($AS$80:$AZ$80)="(BLANK)")+(UPPER($AS$80:$AZ$80)="EMPTY")+(UPPER($AS$80:$AZ$80)="(EMPTY)"))&gt;0,IFERROR(('Final Calculation Sheet'!$T$17)&amp;"","")="",ISNUMBER(SEARCH($AS$80:$AZ$80,IFERROR(('Final Calculation Sheet'!$T$17)&amp;"","")))))&gt;0))))</f>
        <v>1</v>
      </c>
      <c r="CH18">
        <f>IF($V$4="",1,--(AND(SUMPRODUCT(--($AS$81:$AZ$81&lt;&gt;""))&gt;0,IF(COUNTIF($BI$81:$BP$81,1)=0,TRUE,SUMPRODUCT(($BI$81:$BP$81=1)*($AS$81:$AZ$81&lt;&gt;"")*IF(((UPPER($AS$81:$AZ$81)="BLANK")+(UPPER($AS$81:$AZ$81)="(BLANK)")+(UPPER($AS$81:$AZ$81)="EMPTY")+(UPPER($AS$81:$AZ$81)="(EMPTY)"))&gt;0,IFERROR(('Final Calculation Sheet'!$U$17)&amp;"","")="",ISNUMBER(SEARCH($AS$81:$AZ$81,IFERROR(('Final Calculation Sheet'!$U$17)&amp;"","")))))&gt;0),IF(COUNTIF($BI$81:$BP$81,2)=0,TRUE,SUMPRODUCT(($BI$81:$BP$81=2)*($AS$81:$AZ$81&lt;&gt;"")*IF(((UPPER($AS$81:$AZ$81)="BLANK")+(UPPER($AS$81:$AZ$81)="(BLANK)")+(UPPER($AS$81:$AZ$81)="EMPTY")+(UPPER($AS$81:$AZ$81)="(EMPTY)"))&gt;0,IFERROR(('Final Calculation Sheet'!$U$17)&amp;"","")="",ISNUMBER(SEARCH($AS$81:$AZ$81,IFERROR(('Final Calculation Sheet'!$U$17)&amp;"","")))))&gt;0),IF(COUNTIF($BI$81:$BP$81,3)=0,TRUE,SUMPRODUCT(($BI$81:$BP$81=3)*($AS$81:$AZ$81&lt;&gt;"")*IF(((UPPER($AS$81:$AZ$81)="BLANK")+(UPPER($AS$81:$AZ$81)="(BLANK)")+(UPPER($AS$81:$AZ$81)="EMPTY")+(UPPER($AS$81:$AZ$81)="(EMPTY)"))&gt;0,IFERROR(('Final Calculation Sheet'!$U$17)&amp;"","")="",ISNUMBER(SEARCH($AS$81:$AZ$81,IFERROR(('Final Calculation Sheet'!$U$17)&amp;"","")))))&gt;0),IF(COUNTIF($BI$81:$BP$81,4)=0,TRUE,SUMPRODUCT(($BI$81:$BP$81=4)*($AS$81:$AZ$81&lt;&gt;"")*IF(((UPPER($AS$81:$AZ$81)="BLANK")+(UPPER($AS$81:$AZ$81)="(BLANK)")+(UPPER($AS$81:$AZ$81)="EMPTY")+(UPPER($AS$81:$AZ$81)="(EMPTY)"))&gt;0,IFERROR(('Final Calculation Sheet'!$U$17)&amp;"","")="",ISNUMBER(SEARCH($AS$81:$AZ$81,IFERROR(('Final Calculation Sheet'!$U$17)&amp;"","")))))&gt;0),IF(COUNTIF($BI$81:$BP$81,5)=0,TRUE,SUMPRODUCT(($BI$81:$BP$81=5)*($AS$81:$AZ$81&lt;&gt;"")*IF(((UPPER($AS$81:$AZ$81)="BLANK")+(UPPER($AS$81:$AZ$81)="(BLANK)")+(UPPER($AS$81:$AZ$81)="EMPTY")+(UPPER($AS$81:$AZ$81)="(EMPTY)"))&gt;0,IFERROR(('Final Calculation Sheet'!$U$17)&amp;"","")="",ISNUMBER(SEARCH($AS$81:$AZ$81,IFERROR(('Final Calculation Sheet'!$U$17)&amp;"","")))))&gt;0),IF(COUNTIF($BI$81:$BP$81,6)=0,TRUE,SUMPRODUCT(($BI$81:$BP$81=6)*($AS$81:$AZ$81&lt;&gt;"")*IF(((UPPER($AS$81:$AZ$81)="BLANK")+(UPPER($AS$81:$AZ$81)="(BLANK)")+(UPPER($AS$81:$AZ$81)="EMPTY")+(UPPER($AS$81:$AZ$81)="(EMPTY)"))&gt;0,IFERROR(('Final Calculation Sheet'!$U$17)&amp;"","")="",ISNUMBER(SEARCH($AS$81:$AZ$81,IFERROR(('Final Calculation Sheet'!$U$17)&amp;"","")))))&gt;0),IF(COUNTIF($BI$81:$BP$81,7)=0,TRUE,SUMPRODUCT(($BI$81:$BP$81=7)*($AS$81:$AZ$81&lt;&gt;"")*IF(((UPPER($AS$81:$AZ$81)="BLANK")+(UPPER($AS$81:$AZ$81)="(BLANK)")+(UPPER($AS$81:$AZ$81)="EMPTY")+(UPPER($AS$81:$AZ$81)="(EMPTY)"))&gt;0,IFERROR(('Final Calculation Sheet'!$U$17)&amp;"","")="",ISNUMBER(SEARCH($AS$81:$AZ$81,IFERROR(('Final Calculation Sheet'!$U$17)&amp;"","")))))&gt;0),IF(COUNTIF($BI$81:$BP$81,8)=0,TRUE,SUMPRODUCT(($BI$81:$BP$81=8)*($AS$81:$AZ$81&lt;&gt;"")*IF(((UPPER($AS$81:$AZ$81)="BLANK")+(UPPER($AS$81:$AZ$81)="(BLANK)")+(UPPER($AS$81:$AZ$81)="EMPTY")+(UPPER($AS$81:$AZ$81)="(EMPTY)"))&gt;0,IFERROR(('Final Calculation Sheet'!$U$17)&amp;"","")="",ISNUMBER(SEARCH($AS$81:$AZ$81,IFERROR(('Final Calculation Sheet'!$U$17)&amp;"","")))))&gt;0))))</f>
        <v>1</v>
      </c>
      <c r="CI18">
        <f>IF($W$4="",1,--(AND(SUMPRODUCT(--($AS$82:$AZ$82&lt;&gt;""))&gt;0,IF(COUNTIF($BI$82:$BP$82,1)=0,TRUE,SUMPRODUCT(($BI$82:$BP$82=1)*($AS$82:$AZ$82&lt;&gt;"")*IF(((UPPER($AS$82:$AZ$82)="BLANK")+(UPPER($AS$82:$AZ$82)="(BLANK)")+(UPPER($AS$82:$AZ$82)="EMPTY")+(UPPER($AS$82:$AZ$82)="(EMPTY)"))&gt;0,IFERROR(('Final Calculation Sheet'!$V$17)&amp;"","")="",ISNUMBER(SEARCH($AS$82:$AZ$82,IFERROR(('Final Calculation Sheet'!$V$17)&amp;"","")))))&gt;0),IF(COUNTIF($BI$82:$BP$82,2)=0,TRUE,SUMPRODUCT(($BI$82:$BP$82=2)*($AS$82:$AZ$82&lt;&gt;"")*IF(((UPPER($AS$82:$AZ$82)="BLANK")+(UPPER($AS$82:$AZ$82)="(BLANK)")+(UPPER($AS$82:$AZ$82)="EMPTY")+(UPPER($AS$82:$AZ$82)="(EMPTY)"))&gt;0,IFERROR(('Final Calculation Sheet'!$V$17)&amp;"","")="",ISNUMBER(SEARCH($AS$82:$AZ$82,IFERROR(('Final Calculation Sheet'!$V$17)&amp;"","")))))&gt;0),IF(COUNTIF($BI$82:$BP$82,3)=0,TRUE,SUMPRODUCT(($BI$82:$BP$82=3)*($AS$82:$AZ$82&lt;&gt;"")*IF(((UPPER($AS$82:$AZ$82)="BLANK")+(UPPER($AS$82:$AZ$82)="(BLANK)")+(UPPER($AS$82:$AZ$82)="EMPTY")+(UPPER($AS$82:$AZ$82)="(EMPTY)"))&gt;0,IFERROR(('Final Calculation Sheet'!$V$17)&amp;"","")="",ISNUMBER(SEARCH($AS$82:$AZ$82,IFERROR(('Final Calculation Sheet'!$V$17)&amp;"","")))))&gt;0),IF(COUNTIF($BI$82:$BP$82,4)=0,TRUE,SUMPRODUCT(($BI$82:$BP$82=4)*($AS$82:$AZ$82&lt;&gt;"")*IF(((UPPER($AS$82:$AZ$82)="BLANK")+(UPPER($AS$82:$AZ$82)="(BLANK)")+(UPPER($AS$82:$AZ$82)="EMPTY")+(UPPER($AS$82:$AZ$82)="(EMPTY)"))&gt;0,IFERROR(('Final Calculation Sheet'!$V$17)&amp;"","")="",ISNUMBER(SEARCH($AS$82:$AZ$82,IFERROR(('Final Calculation Sheet'!$V$17)&amp;"","")))))&gt;0),IF(COUNTIF($BI$82:$BP$82,5)=0,TRUE,SUMPRODUCT(($BI$82:$BP$82=5)*($AS$82:$AZ$82&lt;&gt;"")*IF(((UPPER($AS$82:$AZ$82)="BLANK")+(UPPER($AS$82:$AZ$82)="(BLANK)")+(UPPER($AS$82:$AZ$82)="EMPTY")+(UPPER($AS$82:$AZ$82)="(EMPTY)"))&gt;0,IFERROR(('Final Calculation Sheet'!$V$17)&amp;"","")="",ISNUMBER(SEARCH($AS$82:$AZ$82,IFERROR(('Final Calculation Sheet'!$V$17)&amp;"","")))))&gt;0),IF(COUNTIF($BI$82:$BP$82,6)=0,TRUE,SUMPRODUCT(($BI$82:$BP$82=6)*($AS$82:$AZ$82&lt;&gt;"")*IF(((UPPER($AS$82:$AZ$82)="BLANK")+(UPPER($AS$82:$AZ$82)="(BLANK)")+(UPPER($AS$82:$AZ$82)="EMPTY")+(UPPER($AS$82:$AZ$82)="(EMPTY)"))&gt;0,IFERROR(('Final Calculation Sheet'!$V$17)&amp;"","")="",ISNUMBER(SEARCH($AS$82:$AZ$82,IFERROR(('Final Calculation Sheet'!$V$17)&amp;"","")))))&gt;0),IF(COUNTIF($BI$82:$BP$82,7)=0,TRUE,SUMPRODUCT(($BI$82:$BP$82=7)*($AS$82:$AZ$82&lt;&gt;"")*IF(((UPPER($AS$82:$AZ$82)="BLANK")+(UPPER($AS$82:$AZ$82)="(BLANK)")+(UPPER($AS$82:$AZ$82)="EMPTY")+(UPPER($AS$82:$AZ$82)="(EMPTY)"))&gt;0,IFERROR(('Final Calculation Sheet'!$V$17)&amp;"","")="",ISNUMBER(SEARCH($AS$82:$AZ$82,IFERROR(('Final Calculation Sheet'!$V$17)&amp;"","")))))&gt;0),IF(COUNTIF($BI$82:$BP$82,8)=0,TRUE,SUMPRODUCT(($BI$82:$BP$82=8)*($AS$82:$AZ$82&lt;&gt;"")*IF(((UPPER($AS$82:$AZ$82)="BLANK")+(UPPER($AS$82:$AZ$82)="(BLANK)")+(UPPER($AS$82:$AZ$82)="EMPTY")+(UPPER($AS$82:$AZ$82)="(EMPTY)"))&gt;0,IFERROR(('Final Calculation Sheet'!$V$17)&amp;"","")="",ISNUMBER(SEARCH($AS$82:$AZ$82,IFERROR(('Final Calculation Sheet'!$V$17)&amp;"","")))))&gt;0))))</f>
        <v>1</v>
      </c>
      <c r="CJ18">
        <f>IF($X$4="",1,--(AND(SUMPRODUCT(--($AS$83:$AZ$83&lt;&gt;""))&gt;0,IF(COUNTIF($BI$83:$BP$83,1)=0,TRUE,SUMPRODUCT(($BI$83:$BP$83=1)*($AS$83:$AZ$83&lt;&gt;"")*IF(((UPPER($AS$83:$AZ$83)="BLANK")+(UPPER($AS$83:$AZ$83)="(BLANK)")+(UPPER($AS$83:$AZ$83)="EMPTY")+(UPPER($AS$83:$AZ$83)="(EMPTY)"))&gt;0,IFERROR(('Final Calculation Sheet'!$W$17)&amp;"","")="",ISNUMBER(SEARCH($AS$83:$AZ$83,IFERROR(('Final Calculation Sheet'!$W$17)&amp;"","")))))&gt;0),IF(COUNTIF($BI$83:$BP$83,2)=0,TRUE,SUMPRODUCT(($BI$83:$BP$83=2)*($AS$83:$AZ$83&lt;&gt;"")*IF(((UPPER($AS$83:$AZ$83)="BLANK")+(UPPER($AS$83:$AZ$83)="(BLANK)")+(UPPER($AS$83:$AZ$83)="EMPTY")+(UPPER($AS$83:$AZ$83)="(EMPTY)"))&gt;0,IFERROR(('Final Calculation Sheet'!$W$17)&amp;"","")="",ISNUMBER(SEARCH($AS$83:$AZ$83,IFERROR(('Final Calculation Sheet'!$W$17)&amp;"","")))))&gt;0),IF(COUNTIF($BI$83:$BP$83,3)=0,TRUE,SUMPRODUCT(($BI$83:$BP$83=3)*($AS$83:$AZ$83&lt;&gt;"")*IF(((UPPER($AS$83:$AZ$83)="BLANK")+(UPPER($AS$83:$AZ$83)="(BLANK)")+(UPPER($AS$83:$AZ$83)="EMPTY")+(UPPER($AS$83:$AZ$83)="(EMPTY)"))&gt;0,IFERROR(('Final Calculation Sheet'!$W$17)&amp;"","")="",ISNUMBER(SEARCH($AS$83:$AZ$83,IFERROR(('Final Calculation Sheet'!$W$17)&amp;"","")))))&gt;0),IF(COUNTIF($BI$83:$BP$83,4)=0,TRUE,SUMPRODUCT(($BI$83:$BP$83=4)*($AS$83:$AZ$83&lt;&gt;"")*IF(((UPPER($AS$83:$AZ$83)="BLANK")+(UPPER($AS$83:$AZ$83)="(BLANK)")+(UPPER($AS$83:$AZ$83)="EMPTY")+(UPPER($AS$83:$AZ$83)="(EMPTY)"))&gt;0,IFERROR(('Final Calculation Sheet'!$W$17)&amp;"","")="",ISNUMBER(SEARCH($AS$83:$AZ$83,IFERROR(('Final Calculation Sheet'!$W$17)&amp;"","")))))&gt;0),IF(COUNTIF($BI$83:$BP$83,5)=0,TRUE,SUMPRODUCT(($BI$83:$BP$83=5)*($AS$83:$AZ$83&lt;&gt;"")*IF(((UPPER($AS$83:$AZ$83)="BLANK")+(UPPER($AS$83:$AZ$83)="(BLANK)")+(UPPER($AS$83:$AZ$83)="EMPTY")+(UPPER($AS$83:$AZ$83)="(EMPTY)"))&gt;0,IFERROR(('Final Calculation Sheet'!$W$17)&amp;"","")="",ISNUMBER(SEARCH($AS$83:$AZ$83,IFERROR(('Final Calculation Sheet'!$W$17)&amp;"","")))))&gt;0),IF(COUNTIF($BI$83:$BP$83,6)=0,TRUE,SUMPRODUCT(($BI$83:$BP$83=6)*($AS$83:$AZ$83&lt;&gt;"")*IF(((UPPER($AS$83:$AZ$83)="BLANK")+(UPPER($AS$83:$AZ$83)="(BLANK)")+(UPPER($AS$83:$AZ$83)="EMPTY")+(UPPER($AS$83:$AZ$83)="(EMPTY)"))&gt;0,IFERROR(('Final Calculation Sheet'!$W$17)&amp;"","")="",ISNUMBER(SEARCH($AS$83:$AZ$83,IFERROR(('Final Calculation Sheet'!$W$17)&amp;"","")))))&gt;0),IF(COUNTIF($BI$83:$BP$83,7)=0,TRUE,SUMPRODUCT(($BI$83:$BP$83=7)*($AS$83:$AZ$83&lt;&gt;"")*IF(((UPPER($AS$83:$AZ$83)="BLANK")+(UPPER($AS$83:$AZ$83)="(BLANK)")+(UPPER($AS$83:$AZ$83)="EMPTY")+(UPPER($AS$83:$AZ$83)="(EMPTY)"))&gt;0,IFERROR(('Final Calculation Sheet'!$W$17)&amp;"","")="",ISNUMBER(SEARCH($AS$83:$AZ$83,IFERROR(('Final Calculation Sheet'!$W$17)&amp;"","")))))&gt;0),IF(COUNTIF($BI$83:$BP$83,8)=0,TRUE,SUMPRODUCT(($BI$83:$BP$83=8)*($AS$83:$AZ$83&lt;&gt;"")*IF(((UPPER($AS$83:$AZ$83)="BLANK")+(UPPER($AS$83:$AZ$83)="(BLANK)")+(UPPER($AS$83:$AZ$83)="EMPTY")+(UPPER($AS$83:$AZ$83)="(EMPTY)"))&gt;0,IFERROR(('Final Calculation Sheet'!$W$17)&amp;"","")="",ISNUMBER(SEARCH($AS$83:$AZ$83,IFERROR(('Final Calculation Sheet'!$W$17)&amp;"","")))))&gt;0))))</f>
        <v>1</v>
      </c>
      <c r="CK18">
        <f>IF($Y$4="",1,--(AND(SUMPRODUCT(--($AS$84:$AZ$84&lt;&gt;""))&gt;0,IF(COUNTIF($BI$84:$BP$84,1)=0,TRUE,SUMPRODUCT(($BI$84:$BP$84=1)*($AS$84:$AZ$84&lt;&gt;"")*IF(((UPPER($AS$84:$AZ$84)="BLANK")+(UPPER($AS$84:$AZ$84)="(BLANK)")+(UPPER($AS$84:$AZ$84)="EMPTY")+(UPPER($AS$84:$AZ$84)="(EMPTY)"))&gt;0,IFERROR(('Final Calculation Sheet'!$X$17)&amp;"","")="",ISNUMBER(SEARCH($AS$84:$AZ$84,IFERROR(('Final Calculation Sheet'!$X$17)&amp;"","")))))&gt;0),IF(COUNTIF($BI$84:$BP$84,2)=0,TRUE,SUMPRODUCT(($BI$84:$BP$84=2)*($AS$84:$AZ$84&lt;&gt;"")*IF(((UPPER($AS$84:$AZ$84)="BLANK")+(UPPER($AS$84:$AZ$84)="(BLANK)")+(UPPER($AS$84:$AZ$84)="EMPTY")+(UPPER($AS$84:$AZ$84)="(EMPTY)"))&gt;0,IFERROR(('Final Calculation Sheet'!$X$17)&amp;"","")="",ISNUMBER(SEARCH($AS$84:$AZ$84,IFERROR(('Final Calculation Sheet'!$X$17)&amp;"","")))))&gt;0),IF(COUNTIF($BI$84:$BP$84,3)=0,TRUE,SUMPRODUCT(($BI$84:$BP$84=3)*($AS$84:$AZ$84&lt;&gt;"")*IF(((UPPER($AS$84:$AZ$84)="BLANK")+(UPPER($AS$84:$AZ$84)="(BLANK)")+(UPPER($AS$84:$AZ$84)="EMPTY")+(UPPER($AS$84:$AZ$84)="(EMPTY)"))&gt;0,IFERROR(('Final Calculation Sheet'!$X$17)&amp;"","")="",ISNUMBER(SEARCH($AS$84:$AZ$84,IFERROR(('Final Calculation Sheet'!$X$17)&amp;"","")))))&gt;0),IF(COUNTIF($BI$84:$BP$84,4)=0,TRUE,SUMPRODUCT(($BI$84:$BP$84=4)*($AS$84:$AZ$84&lt;&gt;"")*IF(((UPPER($AS$84:$AZ$84)="BLANK")+(UPPER($AS$84:$AZ$84)="(BLANK)")+(UPPER($AS$84:$AZ$84)="EMPTY")+(UPPER($AS$84:$AZ$84)="(EMPTY)"))&gt;0,IFERROR(('Final Calculation Sheet'!$X$17)&amp;"","")="",ISNUMBER(SEARCH($AS$84:$AZ$84,IFERROR(('Final Calculation Sheet'!$X$17)&amp;"","")))))&gt;0),IF(COUNTIF($BI$84:$BP$84,5)=0,TRUE,SUMPRODUCT(($BI$84:$BP$84=5)*($AS$84:$AZ$84&lt;&gt;"")*IF(((UPPER($AS$84:$AZ$84)="BLANK")+(UPPER($AS$84:$AZ$84)="(BLANK)")+(UPPER($AS$84:$AZ$84)="EMPTY")+(UPPER($AS$84:$AZ$84)="(EMPTY)"))&gt;0,IFERROR(('Final Calculation Sheet'!$X$17)&amp;"","")="",ISNUMBER(SEARCH($AS$84:$AZ$84,IFERROR(('Final Calculation Sheet'!$X$17)&amp;"","")))))&gt;0),IF(COUNTIF($BI$84:$BP$84,6)=0,TRUE,SUMPRODUCT(($BI$84:$BP$84=6)*($AS$84:$AZ$84&lt;&gt;"")*IF(((UPPER($AS$84:$AZ$84)="BLANK")+(UPPER($AS$84:$AZ$84)="(BLANK)")+(UPPER($AS$84:$AZ$84)="EMPTY")+(UPPER($AS$84:$AZ$84)="(EMPTY)"))&gt;0,IFERROR(('Final Calculation Sheet'!$X$17)&amp;"","")="",ISNUMBER(SEARCH($AS$84:$AZ$84,IFERROR(('Final Calculation Sheet'!$X$17)&amp;"","")))))&gt;0),IF(COUNTIF($BI$84:$BP$84,7)=0,TRUE,SUMPRODUCT(($BI$84:$BP$84=7)*($AS$84:$AZ$84&lt;&gt;"")*IF(((UPPER($AS$84:$AZ$84)="BLANK")+(UPPER($AS$84:$AZ$84)="(BLANK)")+(UPPER($AS$84:$AZ$84)="EMPTY")+(UPPER($AS$84:$AZ$84)="(EMPTY)"))&gt;0,IFERROR(('Final Calculation Sheet'!$X$17)&amp;"","")="",ISNUMBER(SEARCH($AS$84:$AZ$84,IFERROR(('Final Calculation Sheet'!$X$17)&amp;"","")))))&gt;0),IF(COUNTIF($BI$84:$BP$84,8)=0,TRUE,SUMPRODUCT(($BI$84:$BP$84=8)*($AS$84:$AZ$84&lt;&gt;"")*IF(((UPPER($AS$84:$AZ$84)="BLANK")+(UPPER($AS$84:$AZ$84)="(BLANK)")+(UPPER($AS$84:$AZ$84)="EMPTY")+(UPPER($AS$84:$AZ$84)="(EMPTY)"))&gt;0,IFERROR(('Final Calculation Sheet'!$X$17)&amp;"","")="",ISNUMBER(SEARCH($AS$84:$AZ$84,IFERROR(('Final Calculation Sheet'!$X$17)&amp;"","")))))&gt;0))))</f>
        <v>1</v>
      </c>
      <c r="CL18">
        <f>IF($Z$4="",1,--(AND(SUMPRODUCT(--($AS$85:$AZ$85&lt;&gt;""))&gt;0,IF(COUNTIF($BI$85:$BP$85,1)=0,TRUE,SUMPRODUCT(($BI$85:$BP$85=1)*($AS$85:$AZ$85&lt;&gt;"")*IF(((UPPER($AS$85:$AZ$85)="BLANK")+(UPPER($AS$85:$AZ$85)="(BLANK)")+(UPPER($AS$85:$AZ$85)="EMPTY")+(UPPER($AS$85:$AZ$85)="(EMPTY)"))&gt;0,IFERROR(('Final Calculation Sheet'!$Y$17)&amp;"","")="",ISNUMBER(SEARCH($AS$85:$AZ$85,IFERROR(('Final Calculation Sheet'!$Y$17)&amp;"","")))))&gt;0),IF(COUNTIF($BI$85:$BP$85,2)=0,TRUE,SUMPRODUCT(($BI$85:$BP$85=2)*($AS$85:$AZ$85&lt;&gt;"")*IF(((UPPER($AS$85:$AZ$85)="BLANK")+(UPPER($AS$85:$AZ$85)="(BLANK)")+(UPPER($AS$85:$AZ$85)="EMPTY")+(UPPER($AS$85:$AZ$85)="(EMPTY)"))&gt;0,IFERROR(('Final Calculation Sheet'!$Y$17)&amp;"","")="",ISNUMBER(SEARCH($AS$85:$AZ$85,IFERROR(('Final Calculation Sheet'!$Y$17)&amp;"","")))))&gt;0),IF(COUNTIF($BI$85:$BP$85,3)=0,TRUE,SUMPRODUCT(($BI$85:$BP$85=3)*($AS$85:$AZ$85&lt;&gt;"")*IF(((UPPER($AS$85:$AZ$85)="BLANK")+(UPPER($AS$85:$AZ$85)="(BLANK)")+(UPPER($AS$85:$AZ$85)="EMPTY")+(UPPER($AS$85:$AZ$85)="(EMPTY)"))&gt;0,IFERROR(('Final Calculation Sheet'!$Y$17)&amp;"","")="",ISNUMBER(SEARCH($AS$85:$AZ$85,IFERROR(('Final Calculation Sheet'!$Y$17)&amp;"","")))))&gt;0),IF(COUNTIF($BI$85:$BP$85,4)=0,TRUE,SUMPRODUCT(($BI$85:$BP$85=4)*($AS$85:$AZ$85&lt;&gt;"")*IF(((UPPER($AS$85:$AZ$85)="BLANK")+(UPPER($AS$85:$AZ$85)="(BLANK)")+(UPPER($AS$85:$AZ$85)="EMPTY")+(UPPER($AS$85:$AZ$85)="(EMPTY)"))&gt;0,IFERROR(('Final Calculation Sheet'!$Y$17)&amp;"","")="",ISNUMBER(SEARCH($AS$85:$AZ$85,IFERROR(('Final Calculation Sheet'!$Y$17)&amp;"","")))))&gt;0),IF(COUNTIF($BI$85:$BP$85,5)=0,TRUE,SUMPRODUCT(($BI$85:$BP$85=5)*($AS$85:$AZ$85&lt;&gt;"")*IF(((UPPER($AS$85:$AZ$85)="BLANK")+(UPPER($AS$85:$AZ$85)="(BLANK)")+(UPPER($AS$85:$AZ$85)="EMPTY")+(UPPER($AS$85:$AZ$85)="(EMPTY)"))&gt;0,IFERROR(('Final Calculation Sheet'!$Y$17)&amp;"","")="",ISNUMBER(SEARCH($AS$85:$AZ$85,IFERROR(('Final Calculation Sheet'!$Y$17)&amp;"","")))))&gt;0),IF(COUNTIF($BI$85:$BP$85,6)=0,TRUE,SUMPRODUCT(($BI$85:$BP$85=6)*($AS$85:$AZ$85&lt;&gt;"")*IF(((UPPER($AS$85:$AZ$85)="BLANK")+(UPPER($AS$85:$AZ$85)="(BLANK)")+(UPPER($AS$85:$AZ$85)="EMPTY")+(UPPER($AS$85:$AZ$85)="(EMPTY)"))&gt;0,IFERROR(('Final Calculation Sheet'!$Y$17)&amp;"","")="",ISNUMBER(SEARCH($AS$85:$AZ$85,IFERROR(('Final Calculation Sheet'!$Y$17)&amp;"","")))))&gt;0),IF(COUNTIF($BI$85:$BP$85,7)=0,TRUE,SUMPRODUCT(($BI$85:$BP$85=7)*($AS$85:$AZ$85&lt;&gt;"")*IF(((UPPER($AS$85:$AZ$85)="BLANK")+(UPPER($AS$85:$AZ$85)="(BLANK)")+(UPPER($AS$85:$AZ$85)="EMPTY")+(UPPER($AS$85:$AZ$85)="(EMPTY)"))&gt;0,IFERROR(('Final Calculation Sheet'!$Y$17)&amp;"","")="",ISNUMBER(SEARCH($AS$85:$AZ$85,IFERROR(('Final Calculation Sheet'!$Y$17)&amp;"","")))))&gt;0),IF(COUNTIF($BI$85:$BP$85,8)=0,TRUE,SUMPRODUCT(($BI$85:$BP$85=8)*($AS$85:$AZ$85&lt;&gt;"")*IF(((UPPER($AS$85:$AZ$85)="BLANK")+(UPPER($AS$85:$AZ$85)="(BLANK)")+(UPPER($AS$85:$AZ$85)="EMPTY")+(UPPER($AS$85:$AZ$85)="(EMPTY)"))&gt;0,IFERROR(('Final Calculation Sheet'!$Y$17)&amp;"","")="",ISNUMBER(SEARCH($AS$85:$AZ$85,IFERROR(('Final Calculation Sheet'!$Y$17)&amp;"","")))))&gt;0))))</f>
        <v>1</v>
      </c>
      <c r="CM18">
        <f>IF($AA$4="",1,--(AND(SUMPRODUCT(--($AS$86:$AZ$86&lt;&gt;""))&gt;0,IF(COUNTIF($BI$86:$BP$86,1)=0,TRUE,SUMPRODUCT(($BI$86:$BP$86=1)*($AS$86:$AZ$86&lt;&gt;"")*IF(((UPPER($AS$86:$AZ$86)="BLANK")+(UPPER($AS$86:$AZ$86)="(BLANK)")+(UPPER($AS$86:$AZ$86)="EMPTY")+(UPPER($AS$86:$AZ$86)="(EMPTY)"))&gt;0,IFERROR(('Final Calculation Sheet'!$Z$17)&amp;"","")="",ISNUMBER(SEARCH($AS$86:$AZ$86,IFERROR(('Final Calculation Sheet'!$Z$17)&amp;"","")))))&gt;0),IF(COUNTIF($BI$86:$BP$86,2)=0,TRUE,SUMPRODUCT(($BI$86:$BP$86=2)*($AS$86:$AZ$86&lt;&gt;"")*IF(((UPPER($AS$86:$AZ$86)="BLANK")+(UPPER($AS$86:$AZ$86)="(BLANK)")+(UPPER($AS$86:$AZ$86)="EMPTY")+(UPPER($AS$86:$AZ$86)="(EMPTY)"))&gt;0,IFERROR(('Final Calculation Sheet'!$Z$17)&amp;"","")="",ISNUMBER(SEARCH($AS$86:$AZ$86,IFERROR(('Final Calculation Sheet'!$Z$17)&amp;"","")))))&gt;0),IF(COUNTIF($BI$86:$BP$86,3)=0,TRUE,SUMPRODUCT(($BI$86:$BP$86=3)*($AS$86:$AZ$86&lt;&gt;"")*IF(((UPPER($AS$86:$AZ$86)="BLANK")+(UPPER($AS$86:$AZ$86)="(BLANK)")+(UPPER($AS$86:$AZ$86)="EMPTY")+(UPPER($AS$86:$AZ$86)="(EMPTY)"))&gt;0,IFERROR(('Final Calculation Sheet'!$Z$17)&amp;"","")="",ISNUMBER(SEARCH($AS$86:$AZ$86,IFERROR(('Final Calculation Sheet'!$Z$17)&amp;"","")))))&gt;0),IF(COUNTIF($BI$86:$BP$86,4)=0,TRUE,SUMPRODUCT(($BI$86:$BP$86=4)*($AS$86:$AZ$86&lt;&gt;"")*IF(((UPPER($AS$86:$AZ$86)="BLANK")+(UPPER($AS$86:$AZ$86)="(BLANK)")+(UPPER($AS$86:$AZ$86)="EMPTY")+(UPPER($AS$86:$AZ$86)="(EMPTY)"))&gt;0,IFERROR(('Final Calculation Sheet'!$Z$17)&amp;"","")="",ISNUMBER(SEARCH($AS$86:$AZ$86,IFERROR(('Final Calculation Sheet'!$Z$17)&amp;"","")))))&gt;0),IF(COUNTIF($BI$86:$BP$86,5)=0,TRUE,SUMPRODUCT(($BI$86:$BP$86=5)*($AS$86:$AZ$86&lt;&gt;"")*IF(((UPPER($AS$86:$AZ$86)="BLANK")+(UPPER($AS$86:$AZ$86)="(BLANK)")+(UPPER($AS$86:$AZ$86)="EMPTY")+(UPPER($AS$86:$AZ$86)="(EMPTY)"))&gt;0,IFERROR(('Final Calculation Sheet'!$Z$17)&amp;"","")="",ISNUMBER(SEARCH($AS$86:$AZ$86,IFERROR(('Final Calculation Sheet'!$Z$17)&amp;"","")))))&gt;0),IF(COUNTIF($BI$86:$BP$86,6)=0,TRUE,SUMPRODUCT(($BI$86:$BP$86=6)*($AS$86:$AZ$86&lt;&gt;"")*IF(((UPPER($AS$86:$AZ$86)="BLANK")+(UPPER($AS$86:$AZ$86)="(BLANK)")+(UPPER($AS$86:$AZ$86)="EMPTY")+(UPPER($AS$86:$AZ$86)="(EMPTY)"))&gt;0,IFERROR(('Final Calculation Sheet'!$Z$17)&amp;"","")="",ISNUMBER(SEARCH($AS$86:$AZ$86,IFERROR(('Final Calculation Sheet'!$Z$17)&amp;"","")))))&gt;0),IF(COUNTIF($BI$86:$BP$86,7)=0,TRUE,SUMPRODUCT(($BI$86:$BP$86=7)*($AS$86:$AZ$86&lt;&gt;"")*IF(((UPPER($AS$86:$AZ$86)="BLANK")+(UPPER($AS$86:$AZ$86)="(BLANK)")+(UPPER($AS$86:$AZ$86)="EMPTY")+(UPPER($AS$86:$AZ$86)="(EMPTY)"))&gt;0,IFERROR(('Final Calculation Sheet'!$Z$17)&amp;"","")="",ISNUMBER(SEARCH($AS$86:$AZ$86,IFERROR(('Final Calculation Sheet'!$Z$17)&amp;"","")))))&gt;0),IF(COUNTIF($BI$86:$BP$86,8)=0,TRUE,SUMPRODUCT(($BI$86:$BP$86=8)*($AS$86:$AZ$86&lt;&gt;"")*IF(((UPPER($AS$86:$AZ$86)="BLANK")+(UPPER($AS$86:$AZ$86)="(BLANK)")+(UPPER($AS$86:$AZ$86)="EMPTY")+(UPPER($AS$86:$AZ$86)="(EMPTY)"))&gt;0,IFERROR(('Final Calculation Sheet'!$Z$17)&amp;"","")="",ISNUMBER(SEARCH($AS$86:$AZ$86,IFERROR(('Final Calculation Sheet'!$Z$17)&amp;"","")))))&gt;0))))</f>
        <v>1</v>
      </c>
      <c r="CN18">
        <f>IF($AB$4="",1,--(AND(SUMPRODUCT(--($AS$87:$AZ$87&lt;&gt;""))&gt;0,IF(COUNTIF($BI$87:$BP$87,1)=0,TRUE,SUMPRODUCT(($BI$87:$BP$87=1)*($AS$87:$AZ$87&lt;&gt;"")*IF(((UPPER($AS$87:$AZ$87)="BLANK")+(UPPER($AS$87:$AZ$87)="(BLANK)")+(UPPER($AS$87:$AZ$87)="EMPTY")+(UPPER($AS$87:$AZ$87)="(EMPTY)"))&gt;0,IFERROR(('Final Calculation Sheet'!$AA$17)&amp;"","")="",ISNUMBER(SEARCH($AS$87:$AZ$87,IFERROR(('Final Calculation Sheet'!$AA$17)&amp;"","")))))&gt;0),IF(COUNTIF($BI$87:$BP$87,2)=0,TRUE,SUMPRODUCT(($BI$87:$BP$87=2)*($AS$87:$AZ$87&lt;&gt;"")*IF(((UPPER($AS$87:$AZ$87)="BLANK")+(UPPER($AS$87:$AZ$87)="(BLANK)")+(UPPER($AS$87:$AZ$87)="EMPTY")+(UPPER($AS$87:$AZ$87)="(EMPTY)"))&gt;0,IFERROR(('Final Calculation Sheet'!$AA$17)&amp;"","")="",ISNUMBER(SEARCH($AS$87:$AZ$87,IFERROR(('Final Calculation Sheet'!$AA$17)&amp;"","")))))&gt;0),IF(COUNTIF($BI$87:$BP$87,3)=0,TRUE,SUMPRODUCT(($BI$87:$BP$87=3)*($AS$87:$AZ$87&lt;&gt;"")*IF(((UPPER($AS$87:$AZ$87)="BLANK")+(UPPER($AS$87:$AZ$87)="(BLANK)")+(UPPER($AS$87:$AZ$87)="EMPTY")+(UPPER($AS$87:$AZ$87)="(EMPTY)"))&gt;0,IFERROR(('Final Calculation Sheet'!$AA$17)&amp;"","")="",ISNUMBER(SEARCH($AS$87:$AZ$87,IFERROR(('Final Calculation Sheet'!$AA$17)&amp;"","")))))&gt;0),IF(COUNTIF($BI$87:$BP$87,4)=0,TRUE,SUMPRODUCT(($BI$87:$BP$87=4)*($AS$87:$AZ$87&lt;&gt;"")*IF(((UPPER($AS$87:$AZ$87)="BLANK")+(UPPER($AS$87:$AZ$87)="(BLANK)")+(UPPER($AS$87:$AZ$87)="EMPTY")+(UPPER($AS$87:$AZ$87)="(EMPTY)"))&gt;0,IFERROR(('Final Calculation Sheet'!$AA$17)&amp;"","")="",ISNUMBER(SEARCH($AS$87:$AZ$87,IFERROR(('Final Calculation Sheet'!$AA$17)&amp;"","")))))&gt;0),IF(COUNTIF($BI$87:$BP$87,5)=0,TRUE,SUMPRODUCT(($BI$87:$BP$87=5)*($AS$87:$AZ$87&lt;&gt;"")*IF(((UPPER($AS$87:$AZ$87)="BLANK")+(UPPER($AS$87:$AZ$87)="(BLANK)")+(UPPER($AS$87:$AZ$87)="EMPTY")+(UPPER($AS$87:$AZ$87)="(EMPTY)"))&gt;0,IFERROR(('Final Calculation Sheet'!$AA$17)&amp;"","")="",ISNUMBER(SEARCH($AS$87:$AZ$87,IFERROR(('Final Calculation Sheet'!$AA$17)&amp;"","")))))&gt;0),IF(COUNTIF($BI$87:$BP$87,6)=0,TRUE,SUMPRODUCT(($BI$87:$BP$87=6)*($AS$87:$AZ$87&lt;&gt;"")*IF(((UPPER($AS$87:$AZ$87)="BLANK")+(UPPER($AS$87:$AZ$87)="(BLANK)")+(UPPER($AS$87:$AZ$87)="EMPTY")+(UPPER($AS$87:$AZ$87)="(EMPTY)"))&gt;0,IFERROR(('Final Calculation Sheet'!$AA$17)&amp;"","")="",ISNUMBER(SEARCH($AS$87:$AZ$87,IFERROR(('Final Calculation Sheet'!$AA$17)&amp;"","")))))&gt;0),IF(COUNTIF($BI$87:$BP$87,7)=0,TRUE,SUMPRODUCT(($BI$87:$BP$87=7)*($AS$87:$AZ$87&lt;&gt;"")*IF(((UPPER($AS$87:$AZ$87)="BLANK")+(UPPER($AS$87:$AZ$87)="(BLANK)")+(UPPER($AS$87:$AZ$87)="EMPTY")+(UPPER($AS$87:$AZ$87)="(EMPTY)"))&gt;0,IFERROR(('Final Calculation Sheet'!$AA$17)&amp;"","")="",ISNUMBER(SEARCH($AS$87:$AZ$87,IFERROR(('Final Calculation Sheet'!$AA$17)&amp;"","")))))&gt;0),IF(COUNTIF($BI$87:$BP$87,8)=0,TRUE,SUMPRODUCT(($BI$87:$BP$87=8)*($AS$87:$AZ$87&lt;&gt;"")*IF(((UPPER($AS$87:$AZ$87)="BLANK")+(UPPER($AS$87:$AZ$87)="(BLANK)")+(UPPER($AS$87:$AZ$87)="EMPTY")+(UPPER($AS$87:$AZ$87)="(EMPTY)"))&gt;0,IFERROR(('Final Calculation Sheet'!$AA$17)&amp;"","")="",ISNUMBER(SEARCH($AS$87:$AZ$87,IFERROR(('Final Calculation Sheet'!$AA$17)&amp;"","")))))&gt;0))))</f>
        <v>1</v>
      </c>
      <c r="CO18">
        <f>IF($AC$4="",1,--(AND(SUMPRODUCT(--($AS$88:$AZ$88&lt;&gt;""))&gt;0,IF(COUNTIF($BI$88:$BP$88,1)=0,TRUE,SUMPRODUCT(($BI$88:$BP$88=1)*($AS$88:$AZ$88&lt;&gt;"")*IF(((UPPER($AS$88:$AZ$88)="BLANK")+(UPPER($AS$88:$AZ$88)="(BLANK)")+(UPPER($AS$88:$AZ$88)="EMPTY")+(UPPER($AS$88:$AZ$88)="(EMPTY)"))&gt;0,IFERROR(('Final Calculation Sheet'!$AB$17)&amp;"","")="",ISNUMBER(SEARCH($AS$88:$AZ$88,IFERROR(('Final Calculation Sheet'!$AB$17)&amp;"","")))))&gt;0),IF(COUNTIF($BI$88:$BP$88,2)=0,TRUE,SUMPRODUCT(($BI$88:$BP$88=2)*($AS$88:$AZ$88&lt;&gt;"")*IF(((UPPER($AS$88:$AZ$88)="BLANK")+(UPPER($AS$88:$AZ$88)="(BLANK)")+(UPPER($AS$88:$AZ$88)="EMPTY")+(UPPER($AS$88:$AZ$88)="(EMPTY)"))&gt;0,IFERROR(('Final Calculation Sheet'!$AB$17)&amp;"","")="",ISNUMBER(SEARCH($AS$88:$AZ$88,IFERROR(('Final Calculation Sheet'!$AB$17)&amp;"","")))))&gt;0),IF(COUNTIF($BI$88:$BP$88,3)=0,TRUE,SUMPRODUCT(($BI$88:$BP$88=3)*($AS$88:$AZ$88&lt;&gt;"")*IF(((UPPER($AS$88:$AZ$88)="BLANK")+(UPPER($AS$88:$AZ$88)="(BLANK)")+(UPPER($AS$88:$AZ$88)="EMPTY")+(UPPER($AS$88:$AZ$88)="(EMPTY)"))&gt;0,IFERROR(('Final Calculation Sheet'!$AB$17)&amp;"","")="",ISNUMBER(SEARCH($AS$88:$AZ$88,IFERROR(('Final Calculation Sheet'!$AB$17)&amp;"","")))))&gt;0),IF(COUNTIF($BI$88:$BP$88,4)=0,TRUE,SUMPRODUCT(($BI$88:$BP$88=4)*($AS$88:$AZ$88&lt;&gt;"")*IF(((UPPER($AS$88:$AZ$88)="BLANK")+(UPPER($AS$88:$AZ$88)="(BLANK)")+(UPPER($AS$88:$AZ$88)="EMPTY")+(UPPER($AS$88:$AZ$88)="(EMPTY)"))&gt;0,IFERROR(('Final Calculation Sheet'!$AB$17)&amp;"","")="",ISNUMBER(SEARCH($AS$88:$AZ$88,IFERROR(('Final Calculation Sheet'!$AB$17)&amp;"","")))))&gt;0),IF(COUNTIF($BI$88:$BP$88,5)=0,TRUE,SUMPRODUCT(($BI$88:$BP$88=5)*($AS$88:$AZ$88&lt;&gt;"")*IF(((UPPER($AS$88:$AZ$88)="BLANK")+(UPPER($AS$88:$AZ$88)="(BLANK)")+(UPPER($AS$88:$AZ$88)="EMPTY")+(UPPER($AS$88:$AZ$88)="(EMPTY)"))&gt;0,IFERROR(('Final Calculation Sheet'!$AB$17)&amp;"","")="",ISNUMBER(SEARCH($AS$88:$AZ$88,IFERROR(('Final Calculation Sheet'!$AB$17)&amp;"","")))))&gt;0),IF(COUNTIF($BI$88:$BP$88,6)=0,TRUE,SUMPRODUCT(($BI$88:$BP$88=6)*($AS$88:$AZ$88&lt;&gt;"")*IF(((UPPER($AS$88:$AZ$88)="BLANK")+(UPPER($AS$88:$AZ$88)="(BLANK)")+(UPPER($AS$88:$AZ$88)="EMPTY")+(UPPER($AS$88:$AZ$88)="(EMPTY)"))&gt;0,IFERROR(('Final Calculation Sheet'!$AB$17)&amp;"","")="",ISNUMBER(SEARCH($AS$88:$AZ$88,IFERROR(('Final Calculation Sheet'!$AB$17)&amp;"","")))))&gt;0),IF(COUNTIF($BI$88:$BP$88,7)=0,TRUE,SUMPRODUCT(($BI$88:$BP$88=7)*($AS$88:$AZ$88&lt;&gt;"")*IF(((UPPER($AS$88:$AZ$88)="BLANK")+(UPPER($AS$88:$AZ$88)="(BLANK)")+(UPPER($AS$88:$AZ$88)="EMPTY")+(UPPER($AS$88:$AZ$88)="(EMPTY)"))&gt;0,IFERROR(('Final Calculation Sheet'!$AB$17)&amp;"","")="",ISNUMBER(SEARCH($AS$88:$AZ$88,IFERROR(('Final Calculation Sheet'!$AB$17)&amp;"","")))))&gt;0),IF(COUNTIF($BI$88:$BP$88,8)=0,TRUE,SUMPRODUCT(($BI$88:$BP$88=8)*($AS$88:$AZ$88&lt;&gt;"")*IF(((UPPER($AS$88:$AZ$88)="BLANK")+(UPPER($AS$88:$AZ$88)="(BLANK)")+(UPPER($AS$88:$AZ$88)="EMPTY")+(UPPER($AS$88:$AZ$88)="(EMPTY)"))&gt;0,IFERROR(('Final Calculation Sheet'!$AB$17)&amp;"","")="",ISNUMBER(SEARCH($AS$88:$AZ$88,IFERROR(('Final Calculation Sheet'!$AB$17)&amp;"","")))))&gt;0))))</f>
        <v>1</v>
      </c>
      <c r="CP18">
        <f>IF($AD$4="",1,--(AND(SUMPRODUCT(--($AS$89:$AZ$89&lt;&gt;""))&gt;0,IF(COUNTIF($BI$89:$BP$89,1)=0,TRUE,SUMPRODUCT(($BI$89:$BP$89=1)*($AS$89:$AZ$89&lt;&gt;"")*IF(((UPPER($AS$89:$AZ$89)="BLANK")+(UPPER($AS$89:$AZ$89)="(BLANK)")+(UPPER($AS$89:$AZ$89)="EMPTY")+(UPPER($AS$89:$AZ$89)="(EMPTY)"))&gt;0,IFERROR(('Final Calculation Sheet'!$AC$17)&amp;"","")="",ISNUMBER(SEARCH($AS$89:$AZ$89,IFERROR(('Final Calculation Sheet'!$AC$17)&amp;"","")))))&gt;0),IF(COUNTIF($BI$89:$BP$89,2)=0,TRUE,SUMPRODUCT(($BI$89:$BP$89=2)*($AS$89:$AZ$89&lt;&gt;"")*IF(((UPPER($AS$89:$AZ$89)="BLANK")+(UPPER($AS$89:$AZ$89)="(BLANK)")+(UPPER($AS$89:$AZ$89)="EMPTY")+(UPPER($AS$89:$AZ$89)="(EMPTY)"))&gt;0,IFERROR(('Final Calculation Sheet'!$AC$17)&amp;"","")="",ISNUMBER(SEARCH($AS$89:$AZ$89,IFERROR(('Final Calculation Sheet'!$AC$17)&amp;"","")))))&gt;0),IF(COUNTIF($BI$89:$BP$89,3)=0,TRUE,SUMPRODUCT(($BI$89:$BP$89=3)*($AS$89:$AZ$89&lt;&gt;"")*IF(((UPPER($AS$89:$AZ$89)="BLANK")+(UPPER($AS$89:$AZ$89)="(BLANK)")+(UPPER($AS$89:$AZ$89)="EMPTY")+(UPPER($AS$89:$AZ$89)="(EMPTY)"))&gt;0,IFERROR(('Final Calculation Sheet'!$AC$17)&amp;"","")="",ISNUMBER(SEARCH($AS$89:$AZ$89,IFERROR(('Final Calculation Sheet'!$AC$17)&amp;"","")))))&gt;0),IF(COUNTIF($BI$89:$BP$89,4)=0,TRUE,SUMPRODUCT(($BI$89:$BP$89=4)*($AS$89:$AZ$89&lt;&gt;"")*IF(((UPPER($AS$89:$AZ$89)="BLANK")+(UPPER($AS$89:$AZ$89)="(BLANK)")+(UPPER($AS$89:$AZ$89)="EMPTY")+(UPPER($AS$89:$AZ$89)="(EMPTY)"))&gt;0,IFERROR(('Final Calculation Sheet'!$AC$17)&amp;"","")="",ISNUMBER(SEARCH($AS$89:$AZ$89,IFERROR(('Final Calculation Sheet'!$AC$17)&amp;"","")))))&gt;0),IF(COUNTIF($BI$89:$BP$89,5)=0,TRUE,SUMPRODUCT(($BI$89:$BP$89=5)*($AS$89:$AZ$89&lt;&gt;"")*IF(((UPPER($AS$89:$AZ$89)="BLANK")+(UPPER($AS$89:$AZ$89)="(BLANK)")+(UPPER($AS$89:$AZ$89)="EMPTY")+(UPPER($AS$89:$AZ$89)="(EMPTY)"))&gt;0,IFERROR(('Final Calculation Sheet'!$AC$17)&amp;"","")="",ISNUMBER(SEARCH($AS$89:$AZ$89,IFERROR(('Final Calculation Sheet'!$AC$17)&amp;"","")))))&gt;0),IF(COUNTIF($BI$89:$BP$89,6)=0,TRUE,SUMPRODUCT(($BI$89:$BP$89=6)*($AS$89:$AZ$89&lt;&gt;"")*IF(((UPPER($AS$89:$AZ$89)="BLANK")+(UPPER($AS$89:$AZ$89)="(BLANK)")+(UPPER($AS$89:$AZ$89)="EMPTY")+(UPPER($AS$89:$AZ$89)="(EMPTY)"))&gt;0,IFERROR(('Final Calculation Sheet'!$AC$17)&amp;"","")="",ISNUMBER(SEARCH($AS$89:$AZ$89,IFERROR(('Final Calculation Sheet'!$AC$17)&amp;"","")))))&gt;0),IF(COUNTIF($BI$89:$BP$89,7)=0,TRUE,SUMPRODUCT(($BI$89:$BP$89=7)*($AS$89:$AZ$89&lt;&gt;"")*IF(((UPPER($AS$89:$AZ$89)="BLANK")+(UPPER($AS$89:$AZ$89)="(BLANK)")+(UPPER($AS$89:$AZ$89)="EMPTY")+(UPPER($AS$89:$AZ$89)="(EMPTY)"))&gt;0,IFERROR(('Final Calculation Sheet'!$AC$17)&amp;"","")="",ISNUMBER(SEARCH($AS$89:$AZ$89,IFERROR(('Final Calculation Sheet'!$AC$17)&amp;"","")))))&gt;0),IF(COUNTIF($BI$89:$BP$89,8)=0,TRUE,SUMPRODUCT(($BI$89:$BP$89=8)*($AS$89:$AZ$89&lt;&gt;"")*IF(((UPPER($AS$89:$AZ$89)="BLANK")+(UPPER($AS$89:$AZ$89)="(BLANK)")+(UPPER($AS$89:$AZ$89)="EMPTY")+(UPPER($AS$89:$AZ$89)="(EMPTY)"))&gt;0,IFERROR(('Final Calculation Sheet'!$AC$17)&amp;"","")="",ISNUMBER(SEARCH($AS$89:$AZ$89,IFERROR(('Final Calculation Sheet'!$AC$17)&amp;"","")))))&gt;0))))</f>
        <v>1</v>
      </c>
      <c r="CQ18">
        <f>IF($AE$4="",1,--(AND(SUMPRODUCT(--($AS$90:$AZ$90&lt;&gt;""))&gt;0,IF(COUNTIF($BI$90:$BP$90,1)=0,TRUE,SUMPRODUCT(($BI$90:$BP$90=1)*($AS$90:$AZ$90&lt;&gt;"")*IF(((UPPER($AS$90:$AZ$90)="BLANK")+(UPPER($AS$90:$AZ$90)="(BLANK)")+(UPPER($AS$90:$AZ$90)="EMPTY")+(UPPER($AS$90:$AZ$90)="(EMPTY)"))&gt;0,IFERROR(('Final Calculation Sheet'!$AD$17)&amp;"","")="",ISNUMBER(SEARCH($AS$90:$AZ$90,IFERROR(('Final Calculation Sheet'!$AD$17)&amp;"","")))))&gt;0),IF(COUNTIF($BI$90:$BP$90,2)=0,TRUE,SUMPRODUCT(($BI$90:$BP$90=2)*($AS$90:$AZ$90&lt;&gt;"")*IF(((UPPER($AS$90:$AZ$90)="BLANK")+(UPPER($AS$90:$AZ$90)="(BLANK)")+(UPPER($AS$90:$AZ$90)="EMPTY")+(UPPER($AS$90:$AZ$90)="(EMPTY)"))&gt;0,IFERROR(('Final Calculation Sheet'!$AD$17)&amp;"","")="",ISNUMBER(SEARCH($AS$90:$AZ$90,IFERROR(('Final Calculation Sheet'!$AD$17)&amp;"","")))))&gt;0),IF(COUNTIF($BI$90:$BP$90,3)=0,TRUE,SUMPRODUCT(($BI$90:$BP$90=3)*($AS$90:$AZ$90&lt;&gt;"")*IF(((UPPER($AS$90:$AZ$90)="BLANK")+(UPPER($AS$90:$AZ$90)="(BLANK)")+(UPPER($AS$90:$AZ$90)="EMPTY")+(UPPER($AS$90:$AZ$90)="(EMPTY)"))&gt;0,IFERROR(('Final Calculation Sheet'!$AD$17)&amp;"","")="",ISNUMBER(SEARCH($AS$90:$AZ$90,IFERROR(('Final Calculation Sheet'!$AD$17)&amp;"","")))))&gt;0),IF(COUNTIF($BI$90:$BP$90,4)=0,TRUE,SUMPRODUCT(($BI$90:$BP$90=4)*($AS$90:$AZ$90&lt;&gt;"")*IF(((UPPER($AS$90:$AZ$90)="BLANK")+(UPPER($AS$90:$AZ$90)="(BLANK)")+(UPPER($AS$90:$AZ$90)="EMPTY")+(UPPER($AS$90:$AZ$90)="(EMPTY)"))&gt;0,IFERROR(('Final Calculation Sheet'!$AD$17)&amp;"","")="",ISNUMBER(SEARCH($AS$90:$AZ$90,IFERROR(('Final Calculation Sheet'!$AD$17)&amp;"","")))))&gt;0),IF(COUNTIF($BI$90:$BP$90,5)=0,TRUE,SUMPRODUCT(($BI$90:$BP$90=5)*($AS$90:$AZ$90&lt;&gt;"")*IF(((UPPER($AS$90:$AZ$90)="BLANK")+(UPPER($AS$90:$AZ$90)="(BLANK)")+(UPPER($AS$90:$AZ$90)="EMPTY")+(UPPER($AS$90:$AZ$90)="(EMPTY)"))&gt;0,IFERROR(('Final Calculation Sheet'!$AD$17)&amp;"","")="",ISNUMBER(SEARCH($AS$90:$AZ$90,IFERROR(('Final Calculation Sheet'!$AD$17)&amp;"","")))))&gt;0),IF(COUNTIF($BI$90:$BP$90,6)=0,TRUE,SUMPRODUCT(($BI$90:$BP$90=6)*($AS$90:$AZ$90&lt;&gt;"")*IF(((UPPER($AS$90:$AZ$90)="BLANK")+(UPPER($AS$90:$AZ$90)="(BLANK)")+(UPPER($AS$90:$AZ$90)="EMPTY")+(UPPER($AS$90:$AZ$90)="(EMPTY)"))&gt;0,IFERROR(('Final Calculation Sheet'!$AD$17)&amp;"","")="",ISNUMBER(SEARCH($AS$90:$AZ$90,IFERROR(('Final Calculation Sheet'!$AD$17)&amp;"","")))))&gt;0),IF(COUNTIF($BI$90:$BP$90,7)=0,TRUE,SUMPRODUCT(($BI$90:$BP$90=7)*($AS$90:$AZ$90&lt;&gt;"")*IF(((UPPER($AS$90:$AZ$90)="BLANK")+(UPPER($AS$90:$AZ$90)="(BLANK)")+(UPPER($AS$90:$AZ$90)="EMPTY")+(UPPER($AS$90:$AZ$90)="(EMPTY)"))&gt;0,IFERROR(('Final Calculation Sheet'!$AD$17)&amp;"","")="",ISNUMBER(SEARCH($AS$90:$AZ$90,IFERROR(('Final Calculation Sheet'!$AD$17)&amp;"","")))))&gt;0),IF(COUNTIF($BI$90:$BP$90,8)=0,TRUE,SUMPRODUCT(($BI$90:$BP$90=8)*($AS$90:$AZ$90&lt;&gt;"")*IF(((UPPER($AS$90:$AZ$90)="BLANK")+(UPPER($AS$90:$AZ$90)="(BLANK)")+(UPPER($AS$90:$AZ$90)="EMPTY")+(UPPER($AS$90:$AZ$90)="(EMPTY)"))&gt;0,IFERROR(('Final Calculation Sheet'!$AD$17)&amp;"","")="",ISNUMBER(SEARCH($AS$90:$AZ$90,IFERROR(('Final Calculation Sheet'!$AD$17)&amp;"","")))))&gt;0))))</f>
        <v>1</v>
      </c>
      <c r="CR18">
        <f>IF($AF$4="",1,--(AND(SUMPRODUCT(--($AS$91:$AZ$91&lt;&gt;""))&gt;0,IF(COUNTIF($BI$91:$BP$91,1)=0,TRUE,SUMPRODUCT(($BI$91:$BP$91=1)*($AS$91:$AZ$91&lt;&gt;"")*IF(((UPPER($AS$91:$AZ$91)="BLANK")+(UPPER($AS$91:$AZ$91)="(BLANK)")+(UPPER($AS$91:$AZ$91)="EMPTY")+(UPPER($AS$91:$AZ$91)="(EMPTY)"))&gt;0,IFERROR(('Final Calculation Sheet'!$AE$17)&amp;"","")="",ISNUMBER(SEARCH($AS$91:$AZ$91,IFERROR(('Final Calculation Sheet'!$AE$17)&amp;"","")))))&gt;0),IF(COUNTIF($BI$91:$BP$91,2)=0,TRUE,SUMPRODUCT(($BI$91:$BP$91=2)*($AS$91:$AZ$91&lt;&gt;"")*IF(((UPPER($AS$91:$AZ$91)="BLANK")+(UPPER($AS$91:$AZ$91)="(BLANK)")+(UPPER($AS$91:$AZ$91)="EMPTY")+(UPPER($AS$91:$AZ$91)="(EMPTY)"))&gt;0,IFERROR(('Final Calculation Sheet'!$AE$17)&amp;"","")="",ISNUMBER(SEARCH($AS$91:$AZ$91,IFERROR(('Final Calculation Sheet'!$AE$17)&amp;"","")))))&gt;0),IF(COUNTIF($BI$91:$BP$91,3)=0,TRUE,SUMPRODUCT(($BI$91:$BP$91=3)*($AS$91:$AZ$91&lt;&gt;"")*IF(((UPPER($AS$91:$AZ$91)="BLANK")+(UPPER($AS$91:$AZ$91)="(BLANK)")+(UPPER($AS$91:$AZ$91)="EMPTY")+(UPPER($AS$91:$AZ$91)="(EMPTY)"))&gt;0,IFERROR(('Final Calculation Sheet'!$AE$17)&amp;"","")="",ISNUMBER(SEARCH($AS$91:$AZ$91,IFERROR(('Final Calculation Sheet'!$AE$17)&amp;"","")))))&gt;0),IF(COUNTIF($BI$91:$BP$91,4)=0,TRUE,SUMPRODUCT(($BI$91:$BP$91=4)*($AS$91:$AZ$91&lt;&gt;"")*IF(((UPPER($AS$91:$AZ$91)="BLANK")+(UPPER($AS$91:$AZ$91)="(BLANK)")+(UPPER($AS$91:$AZ$91)="EMPTY")+(UPPER($AS$91:$AZ$91)="(EMPTY)"))&gt;0,IFERROR(('Final Calculation Sheet'!$AE$17)&amp;"","")="",ISNUMBER(SEARCH($AS$91:$AZ$91,IFERROR(('Final Calculation Sheet'!$AE$17)&amp;"","")))))&gt;0),IF(COUNTIF($BI$91:$BP$91,5)=0,TRUE,SUMPRODUCT(($BI$91:$BP$91=5)*($AS$91:$AZ$91&lt;&gt;"")*IF(((UPPER($AS$91:$AZ$91)="BLANK")+(UPPER($AS$91:$AZ$91)="(BLANK)")+(UPPER($AS$91:$AZ$91)="EMPTY")+(UPPER($AS$91:$AZ$91)="(EMPTY)"))&gt;0,IFERROR(('Final Calculation Sheet'!$AE$17)&amp;"","")="",ISNUMBER(SEARCH($AS$91:$AZ$91,IFERROR(('Final Calculation Sheet'!$AE$17)&amp;"","")))))&gt;0),IF(COUNTIF($BI$91:$BP$91,6)=0,TRUE,SUMPRODUCT(($BI$91:$BP$91=6)*($AS$91:$AZ$91&lt;&gt;"")*IF(((UPPER($AS$91:$AZ$91)="BLANK")+(UPPER($AS$91:$AZ$91)="(BLANK)")+(UPPER($AS$91:$AZ$91)="EMPTY")+(UPPER($AS$91:$AZ$91)="(EMPTY)"))&gt;0,IFERROR(('Final Calculation Sheet'!$AE$17)&amp;"","")="",ISNUMBER(SEARCH($AS$91:$AZ$91,IFERROR(('Final Calculation Sheet'!$AE$17)&amp;"","")))))&gt;0),IF(COUNTIF($BI$91:$BP$91,7)=0,TRUE,SUMPRODUCT(($BI$91:$BP$91=7)*($AS$91:$AZ$91&lt;&gt;"")*IF(((UPPER($AS$91:$AZ$91)="BLANK")+(UPPER($AS$91:$AZ$91)="(BLANK)")+(UPPER($AS$91:$AZ$91)="EMPTY")+(UPPER($AS$91:$AZ$91)="(EMPTY)"))&gt;0,IFERROR(('Final Calculation Sheet'!$AE$17)&amp;"","")="",ISNUMBER(SEARCH($AS$91:$AZ$91,IFERROR(('Final Calculation Sheet'!$AE$17)&amp;"","")))))&gt;0),IF(COUNTIF($BI$91:$BP$91,8)=0,TRUE,SUMPRODUCT(($BI$91:$BP$91=8)*($AS$91:$AZ$91&lt;&gt;"")*IF(((UPPER($AS$91:$AZ$91)="BLANK")+(UPPER($AS$91:$AZ$91)="(BLANK)")+(UPPER($AS$91:$AZ$91)="EMPTY")+(UPPER($AS$91:$AZ$91)="(EMPTY)"))&gt;0,IFERROR(('Final Calculation Sheet'!$AE$17)&amp;"","")="",ISNUMBER(SEARCH($AS$91:$AZ$91,IFERROR(('Final Calculation Sheet'!$AE$17)&amp;"","")))))&gt;0))))</f>
        <v>1</v>
      </c>
      <c r="CS18">
        <f>IF($AG$4="",1,--(AND(SUMPRODUCT(--($AS$92:$AZ$92&lt;&gt;""))&gt;0,IF(COUNTIF($BI$92:$BP$92,1)=0,TRUE,SUMPRODUCT(($BI$92:$BP$92=1)*($AS$92:$AZ$92&lt;&gt;"")*IF(((UPPER($AS$92:$AZ$92)="BLANK")+(UPPER($AS$92:$AZ$92)="(BLANK)")+(UPPER($AS$92:$AZ$92)="EMPTY")+(UPPER($AS$92:$AZ$92)="(EMPTY)"))&gt;0,IFERROR(('Final Calculation Sheet'!$AF$17)&amp;"","")="",ISNUMBER(SEARCH($AS$92:$AZ$92,IFERROR(('Final Calculation Sheet'!$AF$17)&amp;"","")))))&gt;0),IF(COUNTIF($BI$92:$BP$92,2)=0,TRUE,SUMPRODUCT(($BI$92:$BP$92=2)*($AS$92:$AZ$92&lt;&gt;"")*IF(((UPPER($AS$92:$AZ$92)="BLANK")+(UPPER($AS$92:$AZ$92)="(BLANK)")+(UPPER($AS$92:$AZ$92)="EMPTY")+(UPPER($AS$92:$AZ$92)="(EMPTY)"))&gt;0,IFERROR(('Final Calculation Sheet'!$AF$17)&amp;"","")="",ISNUMBER(SEARCH($AS$92:$AZ$92,IFERROR(('Final Calculation Sheet'!$AF$17)&amp;"","")))))&gt;0),IF(COUNTIF($BI$92:$BP$92,3)=0,TRUE,SUMPRODUCT(($BI$92:$BP$92=3)*($AS$92:$AZ$92&lt;&gt;"")*IF(((UPPER($AS$92:$AZ$92)="BLANK")+(UPPER($AS$92:$AZ$92)="(BLANK)")+(UPPER($AS$92:$AZ$92)="EMPTY")+(UPPER($AS$92:$AZ$92)="(EMPTY)"))&gt;0,IFERROR(('Final Calculation Sheet'!$AF$17)&amp;"","")="",ISNUMBER(SEARCH($AS$92:$AZ$92,IFERROR(('Final Calculation Sheet'!$AF$17)&amp;"","")))))&gt;0),IF(COUNTIF($BI$92:$BP$92,4)=0,TRUE,SUMPRODUCT(($BI$92:$BP$92=4)*($AS$92:$AZ$92&lt;&gt;"")*IF(((UPPER($AS$92:$AZ$92)="BLANK")+(UPPER($AS$92:$AZ$92)="(BLANK)")+(UPPER($AS$92:$AZ$92)="EMPTY")+(UPPER($AS$92:$AZ$92)="(EMPTY)"))&gt;0,IFERROR(('Final Calculation Sheet'!$AF$17)&amp;"","")="",ISNUMBER(SEARCH($AS$92:$AZ$92,IFERROR(('Final Calculation Sheet'!$AF$17)&amp;"","")))))&gt;0),IF(COUNTIF($BI$92:$BP$92,5)=0,TRUE,SUMPRODUCT(($BI$92:$BP$92=5)*($AS$92:$AZ$92&lt;&gt;"")*IF(((UPPER($AS$92:$AZ$92)="BLANK")+(UPPER($AS$92:$AZ$92)="(BLANK)")+(UPPER($AS$92:$AZ$92)="EMPTY")+(UPPER($AS$92:$AZ$92)="(EMPTY)"))&gt;0,IFERROR(('Final Calculation Sheet'!$AF$17)&amp;"","")="",ISNUMBER(SEARCH($AS$92:$AZ$92,IFERROR(('Final Calculation Sheet'!$AF$17)&amp;"","")))))&gt;0),IF(COUNTIF($BI$92:$BP$92,6)=0,TRUE,SUMPRODUCT(($BI$92:$BP$92=6)*($AS$92:$AZ$92&lt;&gt;"")*IF(((UPPER($AS$92:$AZ$92)="BLANK")+(UPPER($AS$92:$AZ$92)="(BLANK)")+(UPPER($AS$92:$AZ$92)="EMPTY")+(UPPER($AS$92:$AZ$92)="(EMPTY)"))&gt;0,IFERROR(('Final Calculation Sheet'!$AF$17)&amp;"","")="",ISNUMBER(SEARCH($AS$92:$AZ$92,IFERROR(('Final Calculation Sheet'!$AF$17)&amp;"","")))))&gt;0),IF(COUNTIF($BI$92:$BP$92,7)=0,TRUE,SUMPRODUCT(($BI$92:$BP$92=7)*($AS$92:$AZ$92&lt;&gt;"")*IF(((UPPER($AS$92:$AZ$92)="BLANK")+(UPPER($AS$92:$AZ$92)="(BLANK)")+(UPPER($AS$92:$AZ$92)="EMPTY")+(UPPER($AS$92:$AZ$92)="(EMPTY)"))&gt;0,IFERROR(('Final Calculation Sheet'!$AF$17)&amp;"","")="",ISNUMBER(SEARCH($AS$92:$AZ$92,IFERROR(('Final Calculation Sheet'!$AF$17)&amp;"","")))))&gt;0),IF(COUNTIF($BI$92:$BP$92,8)=0,TRUE,SUMPRODUCT(($BI$92:$BP$92=8)*($AS$92:$AZ$92&lt;&gt;"")*IF(((UPPER($AS$92:$AZ$92)="BLANK")+(UPPER($AS$92:$AZ$92)="(BLANK)")+(UPPER($AS$92:$AZ$92)="EMPTY")+(UPPER($AS$92:$AZ$92)="(EMPTY)"))&gt;0,IFERROR(('Final Calculation Sheet'!$AF$17)&amp;"","")="",ISNUMBER(SEARCH($AS$92:$AZ$92,IFERROR(('Final Calculation Sheet'!$AF$17)&amp;"","")))))&gt;0))))</f>
        <v>1</v>
      </c>
      <c r="CT18">
        <f>IF($AH$4="",1,--(AND(SUMPRODUCT(--($AS$93:$AZ$93&lt;&gt;""))&gt;0,IF(COUNTIF($BI$93:$BP$93,1)=0,TRUE,SUMPRODUCT(($BI$93:$BP$93=1)*($AS$93:$AZ$93&lt;&gt;"")*IF(((UPPER($AS$93:$AZ$93)="BLANK")+(UPPER($AS$93:$AZ$93)="(BLANK)")+(UPPER($AS$93:$AZ$93)="EMPTY")+(UPPER($AS$93:$AZ$93)="(EMPTY)"))&gt;0,IFERROR(('Final Calculation Sheet'!$AG$17)&amp;"","")="",ISNUMBER(SEARCH($AS$93:$AZ$93,IFERROR(('Final Calculation Sheet'!$AG$17)&amp;"","")))))&gt;0),IF(COUNTIF($BI$93:$BP$93,2)=0,TRUE,SUMPRODUCT(($BI$93:$BP$93=2)*($AS$93:$AZ$93&lt;&gt;"")*IF(((UPPER($AS$93:$AZ$93)="BLANK")+(UPPER($AS$93:$AZ$93)="(BLANK)")+(UPPER($AS$93:$AZ$93)="EMPTY")+(UPPER($AS$93:$AZ$93)="(EMPTY)"))&gt;0,IFERROR(('Final Calculation Sheet'!$AG$17)&amp;"","")="",ISNUMBER(SEARCH($AS$93:$AZ$93,IFERROR(('Final Calculation Sheet'!$AG$17)&amp;"","")))))&gt;0),IF(COUNTIF($BI$93:$BP$93,3)=0,TRUE,SUMPRODUCT(($BI$93:$BP$93=3)*($AS$93:$AZ$93&lt;&gt;"")*IF(((UPPER($AS$93:$AZ$93)="BLANK")+(UPPER($AS$93:$AZ$93)="(BLANK)")+(UPPER($AS$93:$AZ$93)="EMPTY")+(UPPER($AS$93:$AZ$93)="(EMPTY)"))&gt;0,IFERROR(('Final Calculation Sheet'!$AG$17)&amp;"","")="",ISNUMBER(SEARCH($AS$93:$AZ$93,IFERROR(('Final Calculation Sheet'!$AG$17)&amp;"","")))))&gt;0),IF(COUNTIF($BI$93:$BP$93,4)=0,TRUE,SUMPRODUCT(($BI$93:$BP$93=4)*($AS$93:$AZ$93&lt;&gt;"")*IF(((UPPER($AS$93:$AZ$93)="BLANK")+(UPPER($AS$93:$AZ$93)="(BLANK)")+(UPPER($AS$93:$AZ$93)="EMPTY")+(UPPER($AS$93:$AZ$93)="(EMPTY)"))&gt;0,IFERROR(('Final Calculation Sheet'!$AG$17)&amp;"","")="",ISNUMBER(SEARCH($AS$93:$AZ$93,IFERROR(('Final Calculation Sheet'!$AG$17)&amp;"","")))))&gt;0),IF(COUNTIF($BI$93:$BP$93,5)=0,TRUE,SUMPRODUCT(($BI$93:$BP$93=5)*($AS$93:$AZ$93&lt;&gt;"")*IF(((UPPER($AS$93:$AZ$93)="BLANK")+(UPPER($AS$93:$AZ$93)="(BLANK)")+(UPPER($AS$93:$AZ$93)="EMPTY")+(UPPER($AS$93:$AZ$93)="(EMPTY)"))&gt;0,IFERROR(('Final Calculation Sheet'!$AG$17)&amp;"","")="",ISNUMBER(SEARCH($AS$93:$AZ$93,IFERROR(('Final Calculation Sheet'!$AG$17)&amp;"","")))))&gt;0),IF(COUNTIF($BI$93:$BP$93,6)=0,TRUE,SUMPRODUCT(($BI$93:$BP$93=6)*($AS$93:$AZ$93&lt;&gt;"")*IF(((UPPER($AS$93:$AZ$93)="BLANK")+(UPPER($AS$93:$AZ$93)="(BLANK)")+(UPPER($AS$93:$AZ$93)="EMPTY")+(UPPER($AS$93:$AZ$93)="(EMPTY)"))&gt;0,IFERROR(('Final Calculation Sheet'!$AG$17)&amp;"","")="",ISNUMBER(SEARCH($AS$93:$AZ$93,IFERROR(('Final Calculation Sheet'!$AG$17)&amp;"","")))))&gt;0),IF(COUNTIF($BI$93:$BP$93,7)=0,TRUE,SUMPRODUCT(($BI$93:$BP$93=7)*($AS$93:$AZ$93&lt;&gt;"")*IF(((UPPER($AS$93:$AZ$93)="BLANK")+(UPPER($AS$93:$AZ$93)="(BLANK)")+(UPPER($AS$93:$AZ$93)="EMPTY")+(UPPER($AS$93:$AZ$93)="(EMPTY)"))&gt;0,IFERROR(('Final Calculation Sheet'!$AG$17)&amp;"","")="",ISNUMBER(SEARCH($AS$93:$AZ$93,IFERROR(('Final Calculation Sheet'!$AG$17)&amp;"","")))))&gt;0),IF(COUNTIF($BI$93:$BP$93,8)=0,TRUE,SUMPRODUCT(($BI$93:$BP$93=8)*($AS$93:$AZ$93&lt;&gt;"")*IF(((UPPER($AS$93:$AZ$93)="BLANK")+(UPPER($AS$93:$AZ$93)="(BLANK)")+(UPPER($AS$93:$AZ$93)="EMPTY")+(UPPER($AS$93:$AZ$93)="(EMPTY)"))&gt;0,IFERROR(('Final Calculation Sheet'!$AG$17)&amp;"","")="",ISNUMBER(SEARCH($AS$93:$AZ$93,IFERROR(('Final Calculation Sheet'!$AG$17)&amp;"","")))))&gt;0))))</f>
        <v>1</v>
      </c>
      <c r="CU18">
        <f>IF($AI$4="",1,--(AND(SUMPRODUCT(--($AS$94:$AZ$94&lt;&gt;""))&gt;0,IF(COUNTIF($BI$94:$BP$94,1)=0,TRUE,SUMPRODUCT(($BI$94:$BP$94=1)*($AS$94:$AZ$94&lt;&gt;"")*IF(((UPPER($AS$94:$AZ$94)="BLANK")+(UPPER($AS$94:$AZ$94)="(BLANK)")+(UPPER($AS$94:$AZ$94)="EMPTY")+(UPPER($AS$94:$AZ$94)="(EMPTY)"))&gt;0,IFERROR((IF('Final Calculation Sheet'!$AD$17&lt;=0,"SETTLED","OUTSTANDING"))&amp;"","")="",ISNUMBER(SEARCH($AS$94:$AZ$94,IFERROR((IF('Final Calculation Sheet'!$AD$17&lt;=0,"SETTLED","OUTSTANDING"))&amp;"","")))))&gt;0),IF(COUNTIF($BI$94:$BP$94,2)=0,TRUE,SUMPRODUCT(($BI$94:$BP$94=2)*($AS$94:$AZ$94&lt;&gt;"")*IF(((UPPER($AS$94:$AZ$94)="BLANK")+(UPPER($AS$94:$AZ$94)="(BLANK)")+(UPPER($AS$94:$AZ$94)="EMPTY")+(UPPER($AS$94:$AZ$94)="(EMPTY)"))&gt;0,IFERROR((IF('Final Calculation Sheet'!$AD$17&lt;=0,"SETTLED","OUTSTANDING"))&amp;"","")="",ISNUMBER(SEARCH($AS$94:$AZ$94,IFERROR((IF('Final Calculation Sheet'!$AD$17&lt;=0,"SETTLED","OUTSTANDING"))&amp;"","")))))&gt;0),IF(COUNTIF($BI$94:$BP$94,3)=0,TRUE,SUMPRODUCT(($BI$94:$BP$94=3)*($AS$94:$AZ$94&lt;&gt;"")*IF(((UPPER($AS$94:$AZ$94)="BLANK")+(UPPER($AS$94:$AZ$94)="(BLANK)")+(UPPER($AS$94:$AZ$94)="EMPTY")+(UPPER($AS$94:$AZ$94)="(EMPTY)"))&gt;0,IFERROR((IF('Final Calculation Sheet'!$AD$17&lt;=0,"SETTLED","OUTSTANDING"))&amp;"","")="",ISNUMBER(SEARCH($AS$94:$AZ$94,IFERROR((IF('Final Calculation Sheet'!$AD$17&lt;=0,"SETTLED","OUTSTANDING"))&amp;"","")))))&gt;0),IF(COUNTIF($BI$94:$BP$94,4)=0,TRUE,SUMPRODUCT(($BI$94:$BP$94=4)*($AS$94:$AZ$94&lt;&gt;"")*IF(((UPPER($AS$94:$AZ$94)="BLANK")+(UPPER($AS$94:$AZ$94)="(BLANK)")+(UPPER($AS$94:$AZ$94)="EMPTY")+(UPPER($AS$94:$AZ$94)="(EMPTY)"))&gt;0,IFERROR((IF('Final Calculation Sheet'!$AD$17&lt;=0,"SETTLED","OUTSTANDING"))&amp;"","")="",ISNUMBER(SEARCH($AS$94:$AZ$94,IFERROR((IF('Final Calculation Sheet'!$AD$17&lt;=0,"SETTLED","OUTSTANDING"))&amp;"","")))))&gt;0),IF(COUNTIF($BI$94:$BP$94,5)=0,TRUE,SUMPRODUCT(($BI$94:$BP$94=5)*($AS$94:$AZ$94&lt;&gt;"")*IF(((UPPER($AS$94:$AZ$94)="BLANK")+(UPPER($AS$94:$AZ$94)="(BLANK)")+(UPPER($AS$94:$AZ$94)="EMPTY")+(UPPER($AS$94:$AZ$94)="(EMPTY)"))&gt;0,IFERROR((IF('Final Calculation Sheet'!$AD$17&lt;=0,"SETTLED","OUTSTANDING"))&amp;"","")="",ISNUMBER(SEARCH($AS$94:$AZ$94,IFERROR((IF('Final Calculation Sheet'!$AD$17&lt;=0,"SETTLED","OUTSTANDING"))&amp;"","")))))&gt;0),IF(COUNTIF($BI$94:$BP$94,6)=0,TRUE,SUMPRODUCT(($BI$94:$BP$94=6)*($AS$94:$AZ$94&lt;&gt;"")*IF(((UPPER($AS$94:$AZ$94)="BLANK")+(UPPER($AS$94:$AZ$94)="(BLANK)")+(UPPER($AS$94:$AZ$94)="EMPTY")+(UPPER($AS$94:$AZ$94)="(EMPTY)"))&gt;0,IFERROR((IF('Final Calculation Sheet'!$AD$17&lt;=0,"SETTLED","OUTSTANDING"))&amp;"","")="",ISNUMBER(SEARCH($AS$94:$AZ$94,IFERROR((IF('Final Calculation Sheet'!$AD$17&lt;=0,"SETTLED","OUTSTANDING"))&amp;"","")))))&gt;0),IF(COUNTIF($BI$94:$BP$94,7)=0,TRUE,SUMPRODUCT(($BI$94:$BP$94=7)*($AS$94:$AZ$94&lt;&gt;"")*IF(((UPPER($AS$94:$AZ$94)="BLANK")+(UPPER($AS$94:$AZ$94)="(BLANK)")+(UPPER($AS$94:$AZ$94)="EMPTY")+(UPPER($AS$94:$AZ$94)="(EMPTY)"))&gt;0,IFERROR((IF('Final Calculation Sheet'!$AD$17&lt;=0,"SETTLED","OUTSTANDING"))&amp;"","")="",ISNUMBER(SEARCH($AS$94:$AZ$94,IFERROR((IF('Final Calculation Sheet'!$AD$17&lt;=0,"SETTLED","OUTSTANDING"))&amp;"","")))))&gt;0),IF(COUNTIF($BI$94:$BP$94,8)=0,TRUE,SUMPRODUCT(($BI$94:$BP$94=8)*($AS$94:$AZ$94&lt;&gt;"")*IF(((UPPER($AS$94:$AZ$94)="BLANK")+(UPPER($AS$94:$AZ$94)="(BLANK)")+(UPPER($AS$94:$AZ$94)="EMPTY")+(UPPER($AS$94:$AZ$94)="(EMPTY)"))&gt;0,IFERROR((IF('Final Calculation Sheet'!$AD$17&lt;=0,"SETTLED","OUTSTANDING"))&amp;"","")="",ISNUMBER(SEARCH($AS$94:$AZ$94,IFERROR((IF('Final Calculation Sheet'!$AD$17&lt;=0,"SETTLED","OUTSTANDING"))&amp;"","")))))&gt;0))))</f>
        <v>1</v>
      </c>
    </row>
    <row r="19" spans="1:99" ht="15" customHeight="1" x14ac:dyDescent="0.25">
      <c r="A19" s="67">
        <f>IF($BJ18&gt;0,INDEX($BA$5:$BA$41,MATCH(18,$BB$5:$BB$41,0)),IF(OR($BI18=1,$BL18=1,$BH18&gt;0),"∑",""))</f>
        <v>2</v>
      </c>
      <c r="B19" s="68">
        <f>IF($BJ18&gt;0,IF(INDEX('Final Calculation Sheet'!$F$4:$F$40,$BJ18-3)="","",INDEX('Final Calculation Sheet'!$F$4:$F$40,$BJ18-3)),"")</f>
        <v>1875</v>
      </c>
      <c r="C19" s="68" t="str">
        <f>IF($BJ18&gt;0,IF(INDEX('Final Calculation Sheet'!$G$4:$G$40,$BJ18-3)="","",INDEX('Final Calculation Sheet'!$G$4:$G$40,$BJ18-3)),IF(OR($BI18=1,$BL18=1,$BH18&gt;0),IF($BI18=1,37,IF($BL18=1,37-INDEX($BD$4:$BD$13,10),INDEX($BD$4:$BD$13,$BH18)))&amp;" lot(s)",""))</f>
        <v>F R KHANS ENTERPRISES</v>
      </c>
      <c r="D19" s="69" t="str">
        <f>IF($BJ18&gt;0,IF(INDEX('Final Calculation Sheet'!$B$4:$B$40,$BJ18-3)="","",INDEX('Final Calculation Sheet'!$B$4:$B$40,$BJ18-3)),IF(OR($BI18=1,$BL18=1,$BH18&gt;0),IF($BI18=1,"GRAND TOTAL  —  matching + remaining",IF($BL18=1,"TOTAL MATCHED  —  every group together",IF($BH18=10,"REMAINING  —  did not match the search",IF($BH18=9,IF(COUNTIF($A$4:$AI$4,"&lt;&gt;")&gt;0,"FILTERED LOTS  —  column fields","ALL LOTS  —  nothing typed in the box"),"GROUP "&amp;$BH18&amp;" TOTAL  —  lots matching  "&amp;INDEX($AR$6:$AY$6,$BH18))))),""))</f>
        <v>Scrap of Copper of faulty AC compressor</v>
      </c>
      <c r="E19" s="69">
        <f>IF($BJ18&gt;0,IF(INDEX('Final Calculation Sheet'!$D$4:$D$40,$BJ18-3)="","",INDEX('Final Calculation Sheet'!$D$4:$D$40,$BJ18-3)),IF(OR($BI18=1,$BL18=1,$BH18&gt;0),"–",""))</f>
        <v>21977</v>
      </c>
      <c r="F19" s="69">
        <f>IF($BJ18&gt;0,IF(INDEX('Final Calculation Sheet'!$A$4:$A$40,$BJ18-3)="","",INDEX('Final Calculation Sheet'!$A$4:$A$40,$BJ18-3)),IF(OR($BI18=1,$BL18=1,$BH18&gt;0),IF($BI18=1,SUM('Final Calculation Sheet'!$A$4:$A$40),IF($BL18=1,SUM('Final Calculation Sheet'!$A$4:$A$40)-SUMIFS('Final Calculation Sheet'!$A$4:$A$40,$AZ$5:$AZ$41,10),SUMIFS('Final Calculation Sheet'!$A$4:$A$40,$AZ$5:$AZ$41,$BH18))),""))</f>
        <v>28</v>
      </c>
      <c r="G19" s="69" t="str">
        <f>IF($BJ18&gt;0,IF(INDEX('Final Calculation Sheet'!$E$4:$E$40,$BJ18-3)="","",INDEX('Final Calculation Sheet'!$E$4:$E$40,$BJ18-3)),IF(OR($BI18=1,$BL18=1,$BH18&gt;0),"–",""))</f>
        <v>KG</v>
      </c>
      <c r="H19" s="70">
        <f>IF($BJ18&gt;0,IF(INDEX('Final Calculation Sheet'!$C$4:$C$40,$BJ18-3)="","",INDEX('Final Calculation Sheet'!$C$4:$C$40,$BJ18-3)),IF(OR($BI18=1,$BL18=1,$BH18&gt;0),"–",""))</f>
        <v>1456</v>
      </c>
      <c r="I19" s="70">
        <f>IF($BJ18&gt;0,IF(INDEX('Final Calculation Sheet'!$H$4:$H$40,$BJ18-3)="","",INDEX('Final Calculation Sheet'!$H$4:$H$40,$BJ18-3)),IF(OR($BI18=1,$BL18=1,$BH18&gt;0),IF($BI18=1,SUM('Final Calculation Sheet'!$H$4:$H$40),IF($BL18=1,SUM('Final Calculation Sheet'!$H$4:$H$40)-SUMIFS('Final Calculation Sheet'!$H$4:$H$40,$AZ$5:$AZ$41,10),SUMIFS('Final Calculation Sheet'!$H$4:$H$40,$AZ$5:$AZ$41,$BH18))),""))</f>
        <v>40768</v>
      </c>
      <c r="J19" s="70">
        <f>IF($BJ18&gt;0,IF(INDEX('Final Calculation Sheet'!$I$4:$I$40,$BJ18-3)="","",INDEX('Final Calculation Sheet'!$I$4:$I$40,$BJ18-3)),IF(OR($BI18=1,$BL18=1,$BH18&gt;0),IF($BI18=1,SUM('Final Calculation Sheet'!$I$4:$I$40),IF($BL18=1,SUM('Final Calculation Sheet'!$I$4:$I$40)-SUMIFS('Final Calculation Sheet'!$I$4:$I$40,$AZ$5:$AZ$41,10),SUMIFS('Final Calculation Sheet'!$I$4:$I$40,$AZ$5:$AZ$41,$BH18))),""))</f>
        <v>7338</v>
      </c>
      <c r="K19" s="70">
        <f>IF($BJ18&gt;0,IF(INDEX('Final Calculation Sheet'!$J$4:$J$40,$BJ18-3)="","",INDEX('Final Calculation Sheet'!$J$4:$J$40,$BJ18-3)),IF(OR($BI18=1,$BL18=1,$BH18&gt;0),IF($BI18=1,SUM('Final Calculation Sheet'!$J$4:$J$40),IF($BL18=1,SUM('Final Calculation Sheet'!$J$4:$J$40)-SUMIFS('Final Calculation Sheet'!$J$4:$J$40,$AZ$5:$AZ$41,10),SUMIFS('Final Calculation Sheet'!$J$4:$J$40,$AZ$5:$AZ$41,$BH18))),""))</f>
        <v>48106</v>
      </c>
      <c r="L19" s="70">
        <f>IF($BJ18&gt;0,IF(INDEX('Final Calculation Sheet'!$K$4:$K$40,$BJ18-3)="","",INDEX('Final Calculation Sheet'!$K$4:$K$40,$BJ18-3)),IF(OR($BI18=1,$BL18=1,$BH18&gt;0),IF($BI18=1,SUM('Final Calculation Sheet'!$K$4:$K$40),IF($BL18=1,SUM('Final Calculation Sheet'!$K$4:$K$40)-SUMIFS('Final Calculation Sheet'!$K$4:$K$40,$AZ$5:$AZ$41,10),SUMIFS('Final Calculation Sheet'!$K$4:$K$40,$AZ$5:$AZ$41,$BH18))),""))</f>
        <v>962</v>
      </c>
      <c r="M19" s="70">
        <f>IF($BJ18&gt;0,IF(INDEX('Final Calculation Sheet'!$L$4:$L$40,$BJ18-3)="","",INDEX('Final Calculation Sheet'!$L$4:$L$40,$BJ18-3)),IF(OR($BI18=1,$BL18=1,$BH18&gt;0),IF($BI18=1,SUM('Final Calculation Sheet'!$L$4:$L$40),IF($BL18=1,SUM('Final Calculation Sheet'!$L$4:$L$40)-SUMIFS('Final Calculation Sheet'!$L$4:$L$40,$AZ$5:$AZ$41,10),SUMIFS('Final Calculation Sheet'!$L$4:$L$40,$AZ$5:$AZ$41,$BH18))),""))</f>
        <v>40.768000000000001</v>
      </c>
      <c r="N19" s="70">
        <f>IF($BJ18&gt;0,IF(INDEX('Final Calculation Sheet'!$M$4:$M$40,$BJ18-3)="","",INDEX('Final Calculation Sheet'!$M$4:$M$40,$BJ18-3)),IF(OR($BI18=1,$BL18=1,$BH18&gt;0),IF($BI18=1,SUM('Final Calculation Sheet'!$M$4:$M$40),IF($BL18=1,SUM('Final Calculation Sheet'!$M$4:$M$40)-SUMIFS('Final Calculation Sheet'!$M$4:$M$40,$AZ$5:$AZ$41,10),SUMIFS('Final Calculation Sheet'!$M$4:$M$40,$AZ$5:$AZ$41,$BH18))),""))</f>
        <v>1082.3904</v>
      </c>
      <c r="O19" s="71">
        <f>IF($BJ18&gt;0,IF(INDEX('Final Calculation Sheet'!$N$4:$N$40,$BJ18-3)="","",INDEX('Final Calculation Sheet'!$N$4:$N$40,$BJ18-3)),IF(OR($BI18=1,$BL18=1,$BH18&gt;0),IF($BI18=1,SUM('Final Calculation Sheet'!$N$4:$N$40),IF($BL18=1,SUM('Final Calculation Sheet'!$N$4:$N$40)-SUMIFS('Final Calculation Sheet'!$N$4:$N$40,$AZ$5:$AZ$41,10),SUMIFS('Final Calculation Sheet'!$N$4:$N$40,$AZ$5:$AZ$41,$BH18))),""))</f>
        <v>18.345600000000001</v>
      </c>
      <c r="P19" s="70">
        <f>IF($BJ18&gt;0,IF(INDEX('Final Calculation Sheet'!$O$4:$O$40,$BJ18-3)="","",INDEX('Final Calculation Sheet'!$O$4:$O$40,$BJ18-3)),IF(OR($BI18=1,$BL18=1,$BH18&gt;0),IF($BI18=1,SUM('Final Calculation Sheet'!$O$4:$O$40),IF($BL18=1,SUM('Final Calculation Sheet'!$O$4:$O$40)-SUMIFS('Final Calculation Sheet'!$O$4:$O$40,$AZ$5:$AZ$41,10),SUMIFS('Final Calculation Sheet'!$O$4:$O$40,$AZ$5:$AZ$41,$BH18))),""))</f>
        <v>1064.0447999999999</v>
      </c>
      <c r="Q19" s="70">
        <f>IF($BJ18&gt;0,IF(INDEX('Final Calculation Sheet'!$P$4:$P$40,$BJ18-3)="","",INDEX('Final Calculation Sheet'!$P$4:$P$40,$BJ18-3)),IF(OR($BI18=1,$BL18=1,$BH18&gt;0),IF($BI18=1,SUM('Final Calculation Sheet'!$P$4:$P$40),IF($BL18=1,SUM('Final Calculation Sheet'!$P$4:$P$40)-SUMIFS('Final Calculation Sheet'!$P$4:$P$40,$AZ$5:$AZ$41,10),SUMIFS('Final Calculation Sheet'!$P$4:$P$40,$AZ$5:$AZ$41,$BH18))),""))</f>
        <v>1105</v>
      </c>
      <c r="R19" s="72">
        <f>IF($BJ18&gt;0,IF(INDEX('Final Calculation Sheet'!$Q$4:$Q$40,$BJ18-3)="","",INDEX('Final Calculation Sheet'!$Q$4:$Q$40,$BJ18-3)),IF(OR($BI18=1,$BL18=1,$BH18&gt;0),"–",""))</f>
        <v>0</v>
      </c>
      <c r="S19" s="70">
        <f>IF($BJ18&gt;0,IF(INDEX('Final Calculation Sheet'!$R$4:$R$40,$BJ18-3)="","",INDEX('Final Calculation Sheet'!$R$4:$R$40,$BJ18-3)),IF(OR($BI18=1,$BL18=1,$BH18&gt;0),IF($BI18=1,SUM('Final Calculation Sheet'!$R$4:$R$40),IF($BL18=1,SUM('Final Calculation Sheet'!$R$4:$R$40)-SUMIFS('Final Calculation Sheet'!$R$4:$R$40,$AZ$5:$AZ$41,10),SUMIFS('Final Calculation Sheet'!$R$4:$R$40,$AZ$5:$AZ$41,$BH18))),""))</f>
        <v>0</v>
      </c>
      <c r="T19" s="70">
        <f>IF($BJ18&gt;0,IF(INDEX('Final Calculation Sheet'!$S$4:$S$40,$BJ18-3)="","",INDEX('Final Calculation Sheet'!$S$4:$S$40,$BJ18-3)),IF(OR($BI18=1,$BL18=1,$BH18&gt;0),IF($BI18=1,SUM('Final Calculation Sheet'!$S$4:$S$40),IF($BL18=1,SUM('Final Calculation Sheet'!$S$4:$S$40)-SUMIFS('Final Calculation Sheet'!$S$4:$S$40,$AZ$5:$AZ$41,10),SUMIFS('Final Calculation Sheet'!$S$4:$S$40,$AZ$5:$AZ$41,$BH18))),""))</f>
        <v>47964</v>
      </c>
      <c r="U19" s="70">
        <f>IF($BJ18&gt;0,IF(INDEX('Final Calculation Sheet'!$T$4:$T$40,$BJ18-3)="","",INDEX('Final Calculation Sheet'!$T$4:$T$40,$BJ18-3)),IF(OR($BI18=1,$BL18=1,$BH18&gt;0),IF($BI18=1,SUM('Final Calculation Sheet'!$T$4:$T$40),IF($BL18=1,SUM('Final Calculation Sheet'!$T$4:$T$40)-SUMIFS('Final Calculation Sheet'!$T$4:$T$40,$AZ$5:$AZ$41,10),SUMIFS('Final Calculation Sheet'!$T$4:$T$40,$AZ$5:$AZ$41,$BH18))),""))</f>
        <v>10192</v>
      </c>
      <c r="V19" s="73">
        <f>IF($BJ18&gt;0,IF(INDEX('Final Calculation Sheet'!$U$4:$U$40,$BJ18-3)="","",INDEX('Final Calculation Sheet'!$U$4:$U$40,$BJ18-3)),IF(OR($BI18=1,$BL18=1,$BH18&gt;0),IF($BI18=1,SUM('Final Calculation Sheet'!$U$4:$U$40),IF($BL18=1,SUM('Final Calculation Sheet'!$U$4:$U$40)-SUMIFS('Final Calculation Sheet'!$U$4:$U$40,$AZ$5:$AZ$41,10),SUMIFS('Final Calculation Sheet'!$U$4:$U$40,$AZ$5:$AZ$41,$BH18))),""))</f>
        <v>10192</v>
      </c>
      <c r="W19" s="70" t="str">
        <f>IF($BJ18&gt;0,IF(INDEX('Final Calculation Sheet'!$V$4:$V$40,$BJ18-3)="","",INDEX('Final Calculation Sheet'!$V$4:$V$40,$BJ18-3)),IF(OR($BI18=1,$BL18=1,$BH18&gt;0),"–",""))</f>
        <v>11.08.2026</v>
      </c>
      <c r="X19" s="70">
        <f>IF($BJ18&gt;0,IF(INDEX('Final Calculation Sheet'!$W$4:$W$40,$BJ18-3)="","",INDEX('Final Calculation Sheet'!$W$4:$W$40,$BJ18-3)),IF(OR($BI18=1,$BL18=1,$BH18&gt;0),IF($BI18=1,SUM('Final Calculation Sheet'!$W$4:$W$40),IF($BL18=1,SUM('Final Calculation Sheet'!$W$4:$W$40)-SUMIFS('Final Calculation Sheet'!$W$4:$W$40,$AZ$5:$AZ$41,10),SUMIFS('Final Calculation Sheet'!$W$4:$W$40,$AZ$5:$AZ$41,$BH18))),""))</f>
        <v>37772</v>
      </c>
      <c r="Y19" s="70">
        <f>IF($BJ18&gt;0,IF(INDEX('Final Calculation Sheet'!$X$4:$X$40,$BJ18-3)="","",INDEX('Final Calculation Sheet'!$X$4:$X$40,$BJ18-3)),IF(OR($BI18=1,$BL18=1,$BH18&gt;0),IF($BI18=1,SUM('Final Calculation Sheet'!$X$4:$X$40),IF($BL18=1,SUM('Final Calculation Sheet'!$X$4:$X$40)-SUMIFS('Final Calculation Sheet'!$X$4:$X$40,$AZ$5:$AZ$41,10),SUMIFS('Final Calculation Sheet'!$X$4:$X$40,$AZ$5:$AZ$41,$BH18))),""))</f>
        <v>37772</v>
      </c>
      <c r="Z19" s="70" t="str">
        <f>IF($BJ18&gt;0,IF(INDEX('Final Calculation Sheet'!$Y$4:$Y$40,$BJ18-3)="","",INDEX('Final Calculation Sheet'!$Y$4:$Y$40,$BJ18-3)),IF(OR($BI18=1,$BL18=1,$BH18&gt;0),"–",""))</f>
        <v>20.08.2026</v>
      </c>
      <c r="AA19" s="70">
        <f ca="1">IF($BJ18&gt;0,IF(INDEX('Final Calculation Sheet'!$Z$4:$Z$40,$BJ18-3)="","",INDEX('Final Calculation Sheet'!$Z$4:$Z$40,$BJ18-3)),IF(OR($BI18=1,$BL18=1,$BH18&gt;0),IF($BI18=1,SUM('Final Calculation Sheet'!$Z$4:$Z$40),IF($BL18=1,SUM('Final Calculation Sheet'!$Z$4:$Z$40)-SUMIFS('Final Calculation Sheet'!$Z$4:$Z$40,$AZ$5:$AZ$41,10),SUMIFS('Final Calculation Sheet'!$Z$4:$Z$40,$AZ$5:$AZ$41,$BH18))),""))</f>
        <v>0</v>
      </c>
      <c r="AB19" s="70" t="str">
        <f>IF($BJ18&gt;0,IF(INDEX('Final Calculation Sheet'!$AA$4:$AA$40,$BJ18-3)="","",INDEX('Final Calculation Sheet'!$AA$4:$AA$40,$BJ18-3)),IF(OR($BI18=1,$BL18=1,$BH18&gt;0),IF($BI18=1,SUM('Final Calculation Sheet'!$AA$4:$AA$40),IF($BL18=1,SUM('Final Calculation Sheet'!$AA$4:$AA$40)-SUMIFS('Final Calculation Sheet'!$AA$4:$AA$40,$AZ$5:$AZ$41,10),SUMIFS('Final Calculation Sheet'!$AA$4:$AA$40,$AZ$5:$AZ$41,$BH18))),""))</f>
        <v/>
      </c>
      <c r="AC19" s="70" t="str">
        <f>IF($BJ18&gt;0,IF(INDEX('Final Calculation Sheet'!$AB$4:$AB$40,$BJ18-3)="","",INDEX('Final Calculation Sheet'!$AB$4:$AB$40,$BJ18-3)),IF(OR($BI18=1,$BL18=1,$BH18&gt;0),"–",""))</f>
        <v/>
      </c>
      <c r="AD19" s="70">
        <f>IF($BJ18&gt;0,IF(INDEX('Final Calculation Sheet'!$AC$4:$AC$40,$BJ18-3)="","",INDEX('Final Calculation Sheet'!$AC$4:$AC$40,$BJ18-3)),IF(OR($BI18=1,$BL18=1,$BH18&gt;0),IF($BI18=1,SUM('Final Calculation Sheet'!$AC$4:$AC$40),IF($BL18=1,SUM('Final Calculation Sheet'!$AC$4:$AC$40)-SUMIFS('Final Calculation Sheet'!$AC$4:$AC$40,$AZ$5:$AZ$41,10),SUMIFS('Final Calculation Sheet'!$AC$4:$AC$40,$AZ$5:$AZ$41,$BH18))),""))</f>
        <v>47964</v>
      </c>
      <c r="AE19" s="70">
        <f>IF($BJ18&gt;0,IF(INDEX('Final Calculation Sheet'!$AD$4:$AD$40,$BJ18-3)="","",INDEX('Final Calculation Sheet'!$AD$4:$AD$40,$BJ18-3)),IF(OR($BI18=1,$BL18=1,$BH18&gt;0),IF($BI18=1,SUM('Final Calculation Sheet'!$AD$4:$AD$40),IF($BL18=1,SUM('Final Calculation Sheet'!$AD$4:$AD$40)-SUMIFS('Final Calculation Sheet'!$AD$4:$AD$40,$AZ$5:$AZ$41,10),SUMIFS('Final Calculation Sheet'!$AD$4:$AD$40,$AZ$5:$AZ$41,$BH18))),""))</f>
        <v>0</v>
      </c>
      <c r="AF19" s="70" t="str">
        <f>IF($BJ18&gt;0,IF(INDEX('Final Calculation Sheet'!$AE$4:$AE$40,$BJ18-3)="","",INDEX('Final Calculation Sheet'!$AE$4:$AE$40,$BJ18-3)),IF(OR($BI18=1,$BL18=1,$BH18&gt;0),"–",""))</f>
        <v>DR2640100047</v>
      </c>
      <c r="AG19" s="74">
        <f>IF($BJ18&gt;0,IF(INDEX('Final Calculation Sheet'!$AF$4:$AF$40,$BJ18-3)="","",INDEX('Final Calculation Sheet'!$AF$4:$AF$40,$BJ18-3)),IF(OR($BI18=1,$BL18=1,$BH18&gt;0),"–",""))</f>
        <v>1800003346</v>
      </c>
      <c r="AH19" s="70" t="str">
        <f>IF($BJ18&gt;0,IF(INDEX('Final Calculation Sheet'!$AG$4:$AG$40,$BJ18-3)="","",INDEX('Final Calculation Sheet'!$AG$4:$AG$40,$BJ18-3)),IF(OR($BI18=1,$BL18=1,$BH18&gt;0),"–",""))</f>
        <v>27.08.2026</v>
      </c>
      <c r="AI19" s="75" t="str">
        <f>IF($BJ18&gt;0,IF(INDEX('Final Calculation Sheet'!$AD$4:$AD$40,$BJ18-3)="","",IF(INDEX('Final Calculation Sheet'!$AD$4:$AD$40,$BJ18-3)&lt;=0,"SETTLED","OUTSTANDING")),IF(OR($BI18=1,$BL18=1,$BH18&gt;0),IF(IF($BI18=1,SUM('Final Calculation Sheet'!$AD$4:$AD$40),IF($BL18=1,SUM('Final Calculation Sheet'!$AD$4:$AD$40)-SUMIFS('Final Calculation Sheet'!$AD$4:$AD$40,$AZ$5:$AZ$41,10),SUMIFS('Final Calculation Sheet'!$AD$4:$AD$40,$AZ$5:$AZ$41,$BH18)))&lt;=0,"ALL SETTLED","OUTSTANDING"),""))</f>
        <v>SETTLED</v>
      </c>
      <c r="AK19" t="str">
        <f>IF($F$3="Lot No.",'Final Calculation Sheet'!$F$18,IF($F$3="Buyer",'Final Calculation Sheet'!$G$18,IF($F$3="Lot Name",'Final Calculation Sheet'!$B$18,IF($F$3="Bid Sheet",'Final Calculation Sheet'!$D$18,IF($F$3="Unit",'Final Calculation Sheet'!$E$18,'Final Calculation Sheet'!$F$18&amp;" "&amp;'Final Calculation Sheet'!$G$18&amp;" "&amp;'Final Calculation Sheet'!$B$18)))))</f>
        <v>2018 NATIONAL ENTERPRISES Scrap of 220 KV Circuit Breaker</v>
      </c>
      <c r="AM19">
        <f t="shared" si="1"/>
        <v>0</v>
      </c>
      <c r="AZ19">
        <f t="shared" si="2"/>
        <v>10</v>
      </c>
      <c r="BA19">
        <f t="shared" si="3"/>
        <v>11</v>
      </c>
      <c r="BB19">
        <f t="shared" si="4"/>
        <v>27</v>
      </c>
      <c r="BC19">
        <v>18</v>
      </c>
      <c r="BH19">
        <f>IFERROR(MATCH(19,$BF$4:$BF$13,0),0)</f>
        <v>0</v>
      </c>
      <c r="BI19">
        <f>IF(19=$BG$5,1,0)</f>
        <v>0</v>
      </c>
      <c r="BJ19">
        <f>IF(OR($BH19&gt;0,$BI19=1,$BL19=1),0,IFERROR(INDEX($BC$5:$BC$41,MATCH(19,$BB$5:$BB$41,0)),0))</f>
        <v>7</v>
      </c>
      <c r="BK19">
        <f>IF($BJ19&gt;0,IF(INDEX($AZ$5:$AZ$41,MATCH(19,$BB$5:$BB$41,0))=10,1,0),IF($BH19=10,1,0))</f>
        <v>1</v>
      </c>
      <c r="BL19">
        <f>IF(19=$BG$4,1,0)</f>
        <v>0</v>
      </c>
      <c r="BM19">
        <f>IF($A$4="",1,--(AND(SUMPRODUCT(--($AS$60:$AZ$60&lt;&gt;""))&gt;0,IF(COUNTIF($BI$60:$BP$60,1)=0,TRUE,SUMPRODUCT(($BI$60:$BP$60=1)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$60,2)=0,TRUE,SUMPRODUCT(($BI$60:$BP$60=2)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$60,3)=0,TRUE,SUMPRODUCT(($BI$60:$BP$60=3)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$60,4)=0,TRUE,SUMPRODUCT(($BI$60:$BP$60=4)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$60,5)=0,TRUE,SUMPRODUCT(($BI$60:$BP$60=5)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$60,6)=0,TRUE,SUMPRODUCT(($BI$60:$BP$60=6)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$60,7)=0,TRUE,SUMPRODUCT(($BI$60:$BP$60=7)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$60,8)=0,TRUE,SUMPRODUCT(($BI$60:$BP$60=8)*($AS$60:$AZ$60&lt;&gt;"")*IF(((UPPER($AS$60:$AZ$60)="BLANK")+(UPPER($AS$60:$AZ$60)="(BLANK)")+(UPPER($AS$60:$AZ$60)="EMPTY")+(UPPER($AS$60:$AZ$60)="(EMPTY)"))&gt;0,IFERROR((ROW()-4)&amp;"","")="",ISNUMBER(SEARCH($AS$60:$AZ$60,IFERROR((ROW()-4)&amp;"","")))))&gt;0))))</f>
        <v>1</v>
      </c>
      <c r="BN19">
        <f>IF($B$4="",1,--(AND(SUMPRODUCT(--($AS$61:$AZ$61&lt;&gt;""))&gt;0,IF(COUNTIF($BI$61:$BP$61,1)=0,TRUE,SUMPRODUCT(($BI$61:$BP$61=1)*($AS$61:$AZ$61&lt;&gt;"")*IF(((UPPER($AS$61:$AZ$61)="BLANK")+(UPPER($AS$61:$AZ$61)="(BLANK)")+(UPPER($AS$61:$AZ$61)="EMPTY")+(UPPER($AS$61:$AZ$61)="(EMPTY)"))&gt;0,IFERROR(('Final Calculation Sheet'!$F$18)&amp;"","")="",ISNUMBER(SEARCH($AS$61:$AZ$61,IFERROR(('Final Calculation Sheet'!$F$18)&amp;"","")))))&gt;0),IF(COUNTIF($BI$61:$BP$61,2)=0,TRUE,SUMPRODUCT(($BI$61:$BP$61=2)*($AS$61:$AZ$61&lt;&gt;"")*IF(((UPPER($AS$61:$AZ$61)="BLANK")+(UPPER($AS$61:$AZ$61)="(BLANK)")+(UPPER($AS$61:$AZ$61)="EMPTY")+(UPPER($AS$61:$AZ$61)="(EMPTY)"))&gt;0,IFERROR(('Final Calculation Sheet'!$F$18)&amp;"","")="",ISNUMBER(SEARCH($AS$61:$AZ$61,IFERROR(('Final Calculation Sheet'!$F$18)&amp;"","")))))&gt;0),IF(COUNTIF($BI$61:$BP$61,3)=0,TRUE,SUMPRODUCT(($BI$61:$BP$61=3)*($AS$61:$AZ$61&lt;&gt;"")*IF(((UPPER($AS$61:$AZ$61)="BLANK")+(UPPER($AS$61:$AZ$61)="(BLANK)")+(UPPER($AS$61:$AZ$61)="EMPTY")+(UPPER($AS$61:$AZ$61)="(EMPTY)"))&gt;0,IFERROR(('Final Calculation Sheet'!$F$18)&amp;"","")="",ISNUMBER(SEARCH($AS$61:$AZ$61,IFERROR(('Final Calculation Sheet'!$F$18)&amp;"","")))))&gt;0),IF(COUNTIF($BI$61:$BP$61,4)=0,TRUE,SUMPRODUCT(($BI$61:$BP$61=4)*($AS$61:$AZ$61&lt;&gt;"")*IF(((UPPER($AS$61:$AZ$61)="BLANK")+(UPPER($AS$61:$AZ$61)="(BLANK)")+(UPPER($AS$61:$AZ$61)="EMPTY")+(UPPER($AS$61:$AZ$61)="(EMPTY)"))&gt;0,IFERROR(('Final Calculation Sheet'!$F$18)&amp;"","")="",ISNUMBER(SEARCH($AS$61:$AZ$61,IFERROR(('Final Calculation Sheet'!$F$18)&amp;"","")))))&gt;0),IF(COUNTIF($BI$61:$BP$61,5)=0,TRUE,SUMPRODUCT(($BI$61:$BP$61=5)*($AS$61:$AZ$61&lt;&gt;"")*IF(((UPPER($AS$61:$AZ$61)="BLANK")+(UPPER($AS$61:$AZ$61)="(BLANK)")+(UPPER($AS$61:$AZ$61)="EMPTY")+(UPPER($AS$61:$AZ$61)="(EMPTY)"))&gt;0,IFERROR(('Final Calculation Sheet'!$F$18)&amp;"","")="",ISNUMBER(SEARCH($AS$61:$AZ$61,IFERROR(('Final Calculation Sheet'!$F$18)&amp;"","")))))&gt;0),IF(COUNTIF($BI$61:$BP$61,6)=0,TRUE,SUMPRODUCT(($BI$61:$BP$61=6)*($AS$61:$AZ$61&lt;&gt;"")*IF(((UPPER($AS$61:$AZ$61)="BLANK")+(UPPER($AS$61:$AZ$61)="(BLANK)")+(UPPER($AS$61:$AZ$61)="EMPTY")+(UPPER($AS$61:$AZ$61)="(EMPTY)"))&gt;0,IFERROR(('Final Calculation Sheet'!$F$18)&amp;"","")="",ISNUMBER(SEARCH($AS$61:$AZ$61,IFERROR(('Final Calculation Sheet'!$F$18)&amp;"","")))))&gt;0),IF(COUNTIF($BI$61:$BP$61,7)=0,TRUE,SUMPRODUCT(($BI$61:$BP$61=7)*($AS$61:$AZ$61&lt;&gt;"")*IF(((UPPER($AS$61:$AZ$61)="BLANK")+(UPPER($AS$61:$AZ$61)="(BLANK)")+(UPPER($AS$61:$AZ$61)="EMPTY")+(UPPER($AS$61:$AZ$61)="(EMPTY)"))&gt;0,IFERROR(('Final Calculation Sheet'!$F$18)&amp;"","")="",ISNUMBER(SEARCH($AS$61:$AZ$61,IFERROR(('Final Calculation Sheet'!$F$18)&amp;"","")))))&gt;0),IF(COUNTIF($BI$61:$BP$61,8)=0,TRUE,SUMPRODUCT(($BI$61:$BP$61=8)*($AS$61:$AZ$61&lt;&gt;"")*IF(((UPPER($AS$61:$AZ$61)="BLANK")+(UPPER($AS$61:$AZ$61)="(BLANK)")+(UPPER($AS$61:$AZ$61)="EMPTY")+(UPPER($AS$61:$AZ$61)="(EMPTY)"))&gt;0,IFERROR(('Final Calculation Sheet'!$F$18)&amp;"","")="",ISNUMBER(SEARCH($AS$61:$AZ$61,IFERROR(('Final Calculation Sheet'!$F$18)&amp;"","")))))&gt;0))))</f>
        <v>1</v>
      </c>
      <c r="BO19">
        <f>IF($C$4="",1,--(AND(SUMPRODUCT(--($AS$62:$AZ$62&lt;&gt;""))&gt;0,IF(COUNTIF($BI$62:$BP$62,1)=0,TRUE,SUMPRODUCT(($BI$62:$BP$62=1)*($AS$62:$AZ$62&lt;&gt;"")*IF(((UPPER($AS$62:$AZ$62)="BLANK")+(UPPER($AS$62:$AZ$62)="(BLANK)")+(UPPER($AS$62:$AZ$62)="EMPTY")+(UPPER($AS$62:$AZ$62)="(EMPTY)"))&gt;0,IFERROR(('Final Calculation Sheet'!$G$18)&amp;"","")="",ISNUMBER(SEARCH($AS$62:$AZ$62,IFERROR(('Final Calculation Sheet'!$G$18)&amp;"","")))))&gt;0),IF(COUNTIF($BI$62:$BP$62,2)=0,TRUE,SUMPRODUCT(($BI$62:$BP$62=2)*($AS$62:$AZ$62&lt;&gt;"")*IF(((UPPER($AS$62:$AZ$62)="BLANK")+(UPPER($AS$62:$AZ$62)="(BLANK)")+(UPPER($AS$62:$AZ$62)="EMPTY")+(UPPER($AS$62:$AZ$62)="(EMPTY)"))&gt;0,IFERROR(('Final Calculation Sheet'!$G$18)&amp;"","")="",ISNUMBER(SEARCH($AS$62:$AZ$62,IFERROR(('Final Calculation Sheet'!$G$18)&amp;"","")))))&gt;0),IF(COUNTIF($BI$62:$BP$62,3)=0,TRUE,SUMPRODUCT(($BI$62:$BP$62=3)*($AS$62:$AZ$62&lt;&gt;"")*IF(((UPPER($AS$62:$AZ$62)="BLANK")+(UPPER($AS$62:$AZ$62)="(BLANK)")+(UPPER($AS$62:$AZ$62)="EMPTY")+(UPPER($AS$62:$AZ$62)="(EMPTY)"))&gt;0,IFERROR(('Final Calculation Sheet'!$G$18)&amp;"","")="",ISNUMBER(SEARCH($AS$62:$AZ$62,IFERROR(('Final Calculation Sheet'!$G$18)&amp;"","")))))&gt;0),IF(COUNTIF($BI$62:$BP$62,4)=0,TRUE,SUMPRODUCT(($BI$62:$BP$62=4)*($AS$62:$AZ$62&lt;&gt;"")*IF(((UPPER($AS$62:$AZ$62)="BLANK")+(UPPER($AS$62:$AZ$62)="(BLANK)")+(UPPER($AS$62:$AZ$62)="EMPTY")+(UPPER($AS$62:$AZ$62)="(EMPTY)"))&gt;0,IFERROR(('Final Calculation Sheet'!$G$18)&amp;"","")="",ISNUMBER(SEARCH($AS$62:$AZ$62,IFERROR(('Final Calculation Sheet'!$G$18)&amp;"","")))))&gt;0),IF(COUNTIF($BI$62:$BP$62,5)=0,TRUE,SUMPRODUCT(($BI$62:$BP$62=5)*($AS$62:$AZ$62&lt;&gt;"")*IF(((UPPER($AS$62:$AZ$62)="BLANK")+(UPPER($AS$62:$AZ$62)="(BLANK)")+(UPPER($AS$62:$AZ$62)="EMPTY")+(UPPER($AS$62:$AZ$62)="(EMPTY)"))&gt;0,IFERROR(('Final Calculation Sheet'!$G$18)&amp;"","")="",ISNUMBER(SEARCH($AS$62:$AZ$62,IFERROR(('Final Calculation Sheet'!$G$18)&amp;"","")))))&gt;0),IF(COUNTIF($BI$62:$BP$62,6)=0,TRUE,SUMPRODUCT(($BI$62:$BP$62=6)*($AS$62:$AZ$62&lt;&gt;"")*IF(((UPPER($AS$62:$AZ$62)="BLANK")+(UPPER($AS$62:$AZ$62)="(BLANK)")+(UPPER($AS$62:$AZ$62)="EMPTY")+(UPPER($AS$62:$AZ$62)="(EMPTY)"))&gt;0,IFERROR(('Final Calculation Sheet'!$G$18)&amp;"","")="",ISNUMBER(SEARCH($AS$62:$AZ$62,IFERROR(('Final Calculation Sheet'!$G$18)&amp;"","")))))&gt;0),IF(COUNTIF($BI$62:$BP$62,7)=0,TRUE,SUMPRODUCT(($BI$62:$BP$62=7)*($AS$62:$AZ$62&lt;&gt;"")*IF(((UPPER($AS$62:$AZ$62)="BLANK")+(UPPER($AS$62:$AZ$62)="(BLANK)")+(UPPER($AS$62:$AZ$62)="EMPTY")+(UPPER($AS$62:$AZ$62)="(EMPTY)"))&gt;0,IFERROR(('Final Calculation Sheet'!$G$18)&amp;"","")="",ISNUMBER(SEARCH($AS$62:$AZ$62,IFERROR(('Final Calculation Sheet'!$G$18)&amp;"","")))))&gt;0),IF(COUNTIF($BI$62:$BP$62,8)=0,TRUE,SUMPRODUCT(($BI$62:$BP$62=8)*($AS$62:$AZ$62&lt;&gt;"")*IF(((UPPER($AS$62:$AZ$62)="BLANK")+(UPPER($AS$62:$AZ$62)="(BLANK)")+(UPPER($AS$62:$AZ$62)="EMPTY")+(UPPER($AS$62:$AZ$62)="(EMPTY)"))&gt;0,IFERROR(('Final Calculation Sheet'!$G$18)&amp;"","")="",ISNUMBER(SEARCH($AS$62:$AZ$62,IFERROR(('Final Calculation Sheet'!$G$18)&amp;"","")))))&gt;0))))</f>
        <v>1</v>
      </c>
      <c r="BP19">
        <f>IF($D$4="",1,--(AND(SUMPRODUCT(--($AS$63:$AZ$63&lt;&gt;""))&gt;0,IF(COUNTIF($BI$63:$BP$63,1)=0,TRUE,SUMPRODUCT(($BI$63:$BP$63=1)*($AS$63:$AZ$63&lt;&gt;"")*IF(((UPPER($AS$63:$AZ$63)="BLANK")+(UPPER($AS$63:$AZ$63)="(BLANK)")+(UPPER($AS$63:$AZ$63)="EMPTY")+(UPPER($AS$63:$AZ$63)="(EMPTY)"))&gt;0,IFERROR(('Final Calculation Sheet'!$B$18)&amp;"","")="",ISNUMBER(SEARCH($AS$63:$AZ$63,IFERROR(('Final Calculation Sheet'!$B$18)&amp;"","")))))&gt;0),IF(COUNTIF($BI$63:$BP$63,2)=0,TRUE,SUMPRODUCT(($BI$63:$BP$63=2)*($AS$63:$AZ$63&lt;&gt;"")*IF(((UPPER($AS$63:$AZ$63)="BLANK")+(UPPER($AS$63:$AZ$63)="(BLANK)")+(UPPER($AS$63:$AZ$63)="EMPTY")+(UPPER($AS$63:$AZ$63)="(EMPTY)"))&gt;0,IFERROR(('Final Calculation Sheet'!$B$18)&amp;"","")="",ISNUMBER(SEARCH($AS$63:$AZ$63,IFERROR(('Final Calculation Sheet'!$B$18)&amp;"","")))))&gt;0),IF(COUNTIF($BI$63:$BP$63,3)=0,TRUE,SUMPRODUCT(($BI$63:$BP$63=3)*($AS$63:$AZ$63&lt;&gt;"")*IF(((UPPER($AS$63:$AZ$63)="BLANK")+(UPPER($AS$63:$AZ$63)="(BLANK)")+(UPPER($AS$63:$AZ$63)="EMPTY")+(UPPER($AS$63:$AZ$63)="(EMPTY)"))&gt;0,IFERROR(('Final Calculation Sheet'!$B$18)&amp;"","")="",ISNUMBER(SEARCH($AS$63:$AZ$63,IFERROR(('Final Calculation Sheet'!$B$18)&amp;"","")))))&gt;0),IF(COUNTIF($BI$63:$BP$63,4)=0,TRUE,SUMPRODUCT(($BI$63:$BP$63=4)*($AS$63:$AZ$63&lt;&gt;"")*IF(((UPPER($AS$63:$AZ$63)="BLANK")+(UPPER($AS$63:$AZ$63)="(BLANK)")+(UPPER($AS$63:$AZ$63)="EMPTY")+(UPPER($AS$63:$AZ$63)="(EMPTY)"))&gt;0,IFERROR(('Final Calculation Sheet'!$B$18)&amp;"","")="",ISNUMBER(SEARCH($AS$63:$AZ$63,IFERROR(('Final Calculation Sheet'!$B$18)&amp;"","")))))&gt;0),IF(COUNTIF($BI$63:$BP$63,5)=0,TRUE,SUMPRODUCT(($BI$63:$BP$63=5)*($AS$63:$AZ$63&lt;&gt;"")*IF(((UPPER($AS$63:$AZ$63)="BLANK")+(UPPER($AS$63:$AZ$63)="(BLANK)")+(UPPER($AS$63:$AZ$63)="EMPTY")+(UPPER($AS$63:$AZ$63)="(EMPTY)"))&gt;0,IFERROR(('Final Calculation Sheet'!$B$18)&amp;"","")="",ISNUMBER(SEARCH($AS$63:$AZ$63,IFERROR(('Final Calculation Sheet'!$B$18)&amp;"","")))))&gt;0),IF(COUNTIF($BI$63:$BP$63,6)=0,TRUE,SUMPRODUCT(($BI$63:$BP$63=6)*($AS$63:$AZ$63&lt;&gt;"")*IF(((UPPER($AS$63:$AZ$63)="BLANK")+(UPPER($AS$63:$AZ$63)="(BLANK)")+(UPPER($AS$63:$AZ$63)="EMPTY")+(UPPER($AS$63:$AZ$63)="(EMPTY)"))&gt;0,IFERROR(('Final Calculation Sheet'!$B$18)&amp;"","")="",ISNUMBER(SEARCH($AS$63:$AZ$63,IFERROR(('Final Calculation Sheet'!$B$18)&amp;"","")))))&gt;0),IF(COUNTIF($BI$63:$BP$63,7)=0,TRUE,SUMPRODUCT(($BI$63:$BP$63=7)*($AS$63:$AZ$63&lt;&gt;"")*IF(((UPPER($AS$63:$AZ$63)="BLANK")+(UPPER($AS$63:$AZ$63)="(BLANK)")+(UPPER($AS$63:$AZ$63)="EMPTY")+(UPPER($AS$63:$AZ$63)="(EMPTY)"))&gt;0,IFERROR(('Final Calculation Sheet'!$B$18)&amp;"","")="",ISNUMBER(SEARCH($AS$63:$AZ$63,IFERROR(('Final Calculation Sheet'!$B$18)&amp;"","")))))&gt;0),IF(COUNTIF($BI$63:$BP$63,8)=0,TRUE,SUMPRODUCT(($BI$63:$BP$63=8)*($AS$63:$AZ$63&lt;&gt;"")*IF(((UPPER($AS$63:$AZ$63)="BLANK")+(UPPER($AS$63:$AZ$63)="(BLANK)")+(UPPER($AS$63:$AZ$63)="EMPTY")+(UPPER($AS$63:$AZ$63)="(EMPTY)"))&gt;0,IFERROR(('Final Calculation Sheet'!$B$18)&amp;"","")="",ISNUMBER(SEARCH($AS$63:$AZ$63,IFERROR(('Final Calculation Sheet'!$B$18)&amp;"","")))))&gt;0))))</f>
        <v>1</v>
      </c>
      <c r="BQ19">
        <f>IF($E$4="",1,--(AND(SUMPRODUCT(--($AS$64:$AZ$64&lt;&gt;""))&gt;0,IF(COUNTIF($BI$64:$BP$64,1)=0,TRUE,SUMPRODUCT(($BI$64:$BP$64=1)*($AS$64:$AZ$64&lt;&gt;"")*IF(((UPPER($AS$64:$AZ$64)="BLANK")+(UPPER($AS$64:$AZ$64)="(BLANK)")+(UPPER($AS$64:$AZ$64)="EMPTY")+(UPPER($AS$64:$AZ$64)="(EMPTY)"))&gt;0,IFERROR(('Final Calculation Sheet'!$D$18)&amp;"","")="",ISNUMBER(SEARCH($AS$64:$AZ$64,IFERROR(('Final Calculation Sheet'!$D$18)&amp;"","")))))&gt;0),IF(COUNTIF($BI$64:$BP$64,2)=0,TRUE,SUMPRODUCT(($BI$64:$BP$64=2)*($AS$64:$AZ$64&lt;&gt;"")*IF(((UPPER($AS$64:$AZ$64)="BLANK")+(UPPER($AS$64:$AZ$64)="(BLANK)")+(UPPER($AS$64:$AZ$64)="EMPTY")+(UPPER($AS$64:$AZ$64)="(EMPTY)"))&gt;0,IFERROR(('Final Calculation Sheet'!$D$18)&amp;"","")="",ISNUMBER(SEARCH($AS$64:$AZ$64,IFERROR(('Final Calculation Sheet'!$D$18)&amp;"","")))))&gt;0),IF(COUNTIF($BI$64:$BP$64,3)=0,TRUE,SUMPRODUCT(($BI$64:$BP$64=3)*($AS$64:$AZ$64&lt;&gt;"")*IF(((UPPER($AS$64:$AZ$64)="BLANK")+(UPPER($AS$64:$AZ$64)="(BLANK)")+(UPPER($AS$64:$AZ$64)="EMPTY")+(UPPER($AS$64:$AZ$64)="(EMPTY)"))&gt;0,IFERROR(('Final Calculation Sheet'!$D$18)&amp;"","")="",ISNUMBER(SEARCH($AS$64:$AZ$64,IFERROR(('Final Calculation Sheet'!$D$18)&amp;"","")))))&gt;0),IF(COUNTIF($BI$64:$BP$64,4)=0,TRUE,SUMPRODUCT(($BI$64:$BP$64=4)*($AS$64:$AZ$64&lt;&gt;"")*IF(((UPPER($AS$64:$AZ$64)="BLANK")+(UPPER($AS$64:$AZ$64)="(BLANK)")+(UPPER($AS$64:$AZ$64)="EMPTY")+(UPPER($AS$64:$AZ$64)="(EMPTY)"))&gt;0,IFERROR(('Final Calculation Sheet'!$D$18)&amp;"","")="",ISNUMBER(SEARCH($AS$64:$AZ$64,IFERROR(('Final Calculation Sheet'!$D$18)&amp;"","")))))&gt;0),IF(COUNTIF($BI$64:$BP$64,5)=0,TRUE,SUMPRODUCT(($BI$64:$BP$64=5)*($AS$64:$AZ$64&lt;&gt;"")*IF(((UPPER($AS$64:$AZ$64)="BLANK")+(UPPER($AS$64:$AZ$64)="(BLANK)")+(UPPER($AS$64:$AZ$64)="EMPTY")+(UPPER($AS$64:$AZ$64)="(EMPTY)"))&gt;0,IFERROR(('Final Calculation Sheet'!$D$18)&amp;"","")="",ISNUMBER(SEARCH($AS$64:$AZ$64,IFERROR(('Final Calculation Sheet'!$D$18)&amp;"","")))))&gt;0),IF(COUNTIF($BI$64:$BP$64,6)=0,TRUE,SUMPRODUCT(($BI$64:$BP$64=6)*($AS$64:$AZ$64&lt;&gt;"")*IF(((UPPER($AS$64:$AZ$64)="BLANK")+(UPPER($AS$64:$AZ$64)="(BLANK)")+(UPPER($AS$64:$AZ$64)="EMPTY")+(UPPER($AS$64:$AZ$64)="(EMPTY)"))&gt;0,IFERROR(('Final Calculation Sheet'!$D$18)&amp;"","")="",ISNUMBER(SEARCH($AS$64:$AZ$64,IFERROR(('Final Calculation Sheet'!$D$18)&amp;"","")))))&gt;0),IF(COUNTIF($BI$64:$BP$64,7)=0,TRUE,SUMPRODUCT(($BI$64:$BP$64=7)*($AS$64:$AZ$64&lt;&gt;"")*IF(((UPPER($AS$64:$AZ$64)="BLANK")+(UPPER($AS$64:$AZ$64)="(BLANK)")+(UPPER($AS$64:$AZ$64)="EMPTY")+(UPPER($AS$64:$AZ$64)="(EMPTY)"))&gt;0,IFERROR(('Final Calculation Sheet'!$D$18)&amp;"","")="",ISNUMBER(SEARCH($AS$64:$AZ$64,IFERROR(('Final Calculation Sheet'!$D$18)&amp;"","")))))&gt;0),IF(COUNTIF($BI$64:$BP$64,8)=0,TRUE,SUMPRODUCT(($BI$64:$BP$64=8)*($AS$64:$AZ$64&lt;&gt;"")*IF(((UPPER($AS$64:$AZ$64)="BLANK")+(UPPER($AS$64:$AZ$64)="(BLANK)")+(UPPER($AS$64:$AZ$64)="EMPTY")+(UPPER($AS$64:$AZ$64)="(EMPTY)"))&gt;0,IFERROR(('Final Calculation Sheet'!$D$18)&amp;"","")="",ISNUMBER(SEARCH($AS$64:$AZ$64,IFERROR(('Final Calculation Sheet'!$D$18)&amp;"","")))))&gt;0))))</f>
        <v>1</v>
      </c>
      <c r="BR19">
        <f>IF($F$4="",1,--(AND(SUMPRODUCT(--($AS$65:$AZ$65&lt;&gt;""))&gt;0,IF(COUNTIF($BI$65:$BP$65,1)=0,TRUE,SUMPRODUCT(($BI$65:$BP$65=1)*($AS$65:$AZ$65&lt;&gt;"")*IF(((UPPER($AS$65:$AZ$65)="BLANK")+(UPPER($AS$65:$AZ$65)="(BLANK)")+(UPPER($AS$65:$AZ$65)="EMPTY")+(UPPER($AS$65:$AZ$65)="(EMPTY)"))&gt;0,IFERROR(('Final Calculation Sheet'!$A$18)&amp;"","")="",ISNUMBER(SEARCH($AS$65:$AZ$65,IFERROR(('Final Calculation Sheet'!$A$18)&amp;"","")))))&gt;0),IF(COUNTIF($BI$65:$BP$65,2)=0,TRUE,SUMPRODUCT(($BI$65:$BP$65=2)*($AS$65:$AZ$65&lt;&gt;"")*IF(((UPPER($AS$65:$AZ$65)="BLANK")+(UPPER($AS$65:$AZ$65)="(BLANK)")+(UPPER($AS$65:$AZ$65)="EMPTY")+(UPPER($AS$65:$AZ$65)="(EMPTY)"))&gt;0,IFERROR(('Final Calculation Sheet'!$A$18)&amp;"","")="",ISNUMBER(SEARCH($AS$65:$AZ$65,IFERROR(('Final Calculation Sheet'!$A$18)&amp;"","")))))&gt;0),IF(COUNTIF($BI$65:$BP$65,3)=0,TRUE,SUMPRODUCT(($BI$65:$BP$65=3)*($AS$65:$AZ$65&lt;&gt;"")*IF(((UPPER($AS$65:$AZ$65)="BLANK")+(UPPER($AS$65:$AZ$65)="(BLANK)")+(UPPER($AS$65:$AZ$65)="EMPTY")+(UPPER($AS$65:$AZ$65)="(EMPTY)"))&gt;0,IFERROR(('Final Calculation Sheet'!$A$18)&amp;"","")="",ISNUMBER(SEARCH($AS$65:$AZ$65,IFERROR(('Final Calculation Sheet'!$A$18)&amp;"","")))))&gt;0),IF(COUNTIF($BI$65:$BP$65,4)=0,TRUE,SUMPRODUCT(($BI$65:$BP$65=4)*($AS$65:$AZ$65&lt;&gt;"")*IF(((UPPER($AS$65:$AZ$65)="BLANK")+(UPPER($AS$65:$AZ$65)="(BLANK)")+(UPPER($AS$65:$AZ$65)="EMPTY")+(UPPER($AS$65:$AZ$65)="(EMPTY)"))&gt;0,IFERROR(('Final Calculation Sheet'!$A$18)&amp;"","")="",ISNUMBER(SEARCH($AS$65:$AZ$65,IFERROR(('Final Calculation Sheet'!$A$18)&amp;"","")))))&gt;0),IF(COUNTIF($BI$65:$BP$65,5)=0,TRUE,SUMPRODUCT(($BI$65:$BP$65=5)*($AS$65:$AZ$65&lt;&gt;"")*IF(((UPPER($AS$65:$AZ$65)="BLANK")+(UPPER($AS$65:$AZ$65)="(BLANK)")+(UPPER($AS$65:$AZ$65)="EMPTY")+(UPPER($AS$65:$AZ$65)="(EMPTY)"))&gt;0,IFERROR(('Final Calculation Sheet'!$A$18)&amp;"","")="",ISNUMBER(SEARCH($AS$65:$AZ$65,IFERROR(('Final Calculation Sheet'!$A$18)&amp;"","")))))&gt;0),IF(COUNTIF($BI$65:$BP$65,6)=0,TRUE,SUMPRODUCT(($BI$65:$BP$65=6)*($AS$65:$AZ$65&lt;&gt;"")*IF(((UPPER($AS$65:$AZ$65)="BLANK")+(UPPER($AS$65:$AZ$65)="(BLANK)")+(UPPER($AS$65:$AZ$65)="EMPTY")+(UPPER($AS$65:$AZ$65)="(EMPTY)"))&gt;0,IFERROR(('Final Calculation Sheet'!$A$18)&amp;"","")="",ISNUMBER(SEARCH($AS$65:$AZ$65,IFERROR(('Final Calculation Sheet'!$A$18)&amp;"","")))))&gt;0),IF(COUNTIF($BI$65:$BP$65,7)=0,TRUE,SUMPRODUCT(($BI$65:$BP$65=7)*($AS$65:$AZ$65&lt;&gt;"")*IF(((UPPER($AS$65:$AZ$65)="BLANK")+(UPPER($AS$65:$AZ$65)="(BLANK)")+(UPPER($AS$65:$AZ$65)="EMPTY")+(UPPER($AS$65:$AZ$65)="(EMPTY)"))&gt;0,IFERROR(('Final Calculation Sheet'!$A$18)&amp;"","")="",ISNUMBER(SEARCH($AS$65:$AZ$65,IFERROR(('Final Calculation Sheet'!$A$18)&amp;"","")))))&gt;0),IF(COUNTIF($BI$65:$BP$65,8)=0,TRUE,SUMPRODUCT(($BI$65:$BP$65=8)*($AS$65:$AZ$65&lt;&gt;"")*IF(((UPPER($AS$65:$AZ$65)="BLANK")+(UPPER($AS$65:$AZ$65)="(BLANK)")+(UPPER($AS$65:$AZ$65)="EMPTY")+(UPPER($AS$65:$AZ$65)="(EMPTY)"))&gt;0,IFERROR(('Final Calculation Sheet'!$A$18)&amp;"","")="",ISNUMBER(SEARCH($AS$65:$AZ$65,IFERROR(('Final Calculation Sheet'!$A$18)&amp;"","")))))&gt;0))))</f>
        <v>1</v>
      </c>
      <c r="BS19">
        <f>IF($G$4="",1,--(AND(SUMPRODUCT(--($AS$66:$AZ$66&lt;&gt;""))&gt;0,IF(COUNTIF($BI$66:$BP$66,1)=0,TRUE,SUMPRODUCT(($BI$66:$BP$66=1)*($AS$66:$AZ$66&lt;&gt;"")*IF(((UPPER($AS$66:$AZ$66)="BLANK")+(UPPER($AS$66:$AZ$66)="(BLANK)")+(UPPER($AS$66:$AZ$66)="EMPTY")+(UPPER($AS$66:$AZ$66)="(EMPTY)"))&gt;0,IFERROR(('Final Calculation Sheet'!$E$18)&amp;"","")="",ISNUMBER(SEARCH($AS$66:$AZ$66,IFERROR(('Final Calculation Sheet'!$E$18)&amp;"","")))))&gt;0),IF(COUNTIF($BI$66:$BP$66,2)=0,TRUE,SUMPRODUCT(($BI$66:$BP$66=2)*($AS$66:$AZ$66&lt;&gt;"")*IF(((UPPER($AS$66:$AZ$66)="BLANK")+(UPPER($AS$66:$AZ$66)="(BLANK)")+(UPPER($AS$66:$AZ$66)="EMPTY")+(UPPER($AS$66:$AZ$66)="(EMPTY)"))&gt;0,IFERROR(('Final Calculation Sheet'!$E$18)&amp;"","")="",ISNUMBER(SEARCH($AS$66:$AZ$66,IFERROR(('Final Calculation Sheet'!$E$18)&amp;"","")))))&gt;0),IF(COUNTIF($BI$66:$BP$66,3)=0,TRUE,SUMPRODUCT(($BI$66:$BP$66=3)*($AS$66:$AZ$66&lt;&gt;"")*IF(((UPPER($AS$66:$AZ$66)="BLANK")+(UPPER($AS$66:$AZ$66)="(BLANK)")+(UPPER($AS$66:$AZ$66)="EMPTY")+(UPPER($AS$66:$AZ$66)="(EMPTY)"))&gt;0,IFERROR(('Final Calculation Sheet'!$E$18)&amp;"","")="",ISNUMBER(SEARCH($AS$66:$AZ$66,IFERROR(('Final Calculation Sheet'!$E$18)&amp;"","")))))&gt;0),IF(COUNTIF($BI$66:$BP$66,4)=0,TRUE,SUMPRODUCT(($BI$66:$BP$66=4)*($AS$66:$AZ$66&lt;&gt;"")*IF(((UPPER($AS$66:$AZ$66)="BLANK")+(UPPER($AS$66:$AZ$66)="(BLANK)")+(UPPER($AS$66:$AZ$66)="EMPTY")+(UPPER($AS$66:$AZ$66)="(EMPTY)"))&gt;0,IFERROR(('Final Calculation Sheet'!$E$18)&amp;"","")="",ISNUMBER(SEARCH($AS$66:$AZ$66,IFERROR(('Final Calculation Sheet'!$E$18)&amp;"","")))))&gt;0),IF(COUNTIF($BI$66:$BP$66,5)=0,TRUE,SUMPRODUCT(($BI$66:$BP$66=5)*($AS$66:$AZ$66&lt;&gt;"")*IF(((UPPER($AS$66:$AZ$66)="BLANK")+(UPPER($AS$66:$AZ$66)="(BLANK)")+(UPPER($AS$66:$AZ$66)="EMPTY")+(UPPER($AS$66:$AZ$66)="(EMPTY)"))&gt;0,IFERROR(('Final Calculation Sheet'!$E$18)&amp;"","")="",ISNUMBER(SEARCH($AS$66:$AZ$66,IFERROR(('Final Calculation Sheet'!$E$18)&amp;"","")))))&gt;0),IF(COUNTIF($BI$66:$BP$66,6)=0,TRUE,SUMPRODUCT(($BI$66:$BP$66=6)*($AS$66:$AZ$66&lt;&gt;"")*IF(((UPPER($AS$66:$AZ$66)="BLANK")+(UPPER($AS$66:$AZ$66)="(BLANK)")+(UPPER($AS$66:$AZ$66)="EMPTY")+(UPPER($AS$66:$AZ$66)="(EMPTY)"))&gt;0,IFERROR(('Final Calculation Sheet'!$E$18)&amp;"","")="",ISNUMBER(SEARCH($AS$66:$AZ$66,IFERROR(('Final Calculation Sheet'!$E$18)&amp;"","")))))&gt;0),IF(COUNTIF($BI$66:$BP$66,7)=0,TRUE,SUMPRODUCT(($BI$66:$BP$66=7)*($AS$66:$AZ$66&lt;&gt;"")*IF(((UPPER($AS$66:$AZ$66)="BLANK")+(UPPER($AS$66:$AZ$66)="(BLANK)")+(UPPER($AS$66:$AZ$66)="EMPTY")+(UPPER($AS$66:$AZ$66)="(EMPTY)"))&gt;0,IFERROR(('Final Calculation Sheet'!$E$18)&amp;"","")="",ISNUMBER(SEARCH($AS$66:$AZ$66,IFERROR(('Final Calculation Sheet'!$E$18)&amp;"","")))))&gt;0),IF(COUNTIF($BI$66:$BP$66,8)=0,TRUE,SUMPRODUCT(($BI$66:$BP$66=8)*($AS$66:$AZ$66&lt;&gt;"")*IF(((UPPER($AS$66:$AZ$66)="BLANK")+(UPPER($AS$66:$AZ$66)="(BLANK)")+(UPPER($AS$66:$AZ$66)="EMPTY")+(UPPER($AS$66:$AZ$66)="(EMPTY)"))&gt;0,IFERROR(('Final Calculation Sheet'!$E$18)&amp;"","")="",ISNUMBER(SEARCH($AS$66:$AZ$66,IFERROR(('Final Calculation Sheet'!$E$18)&amp;"","")))))&gt;0))))</f>
        <v>1</v>
      </c>
      <c r="BT19">
        <f>IF($H$4="",1,--(AND(SUMPRODUCT(--($AS$67:$AZ$67&lt;&gt;""))&gt;0,IF(COUNTIF($BI$67:$BP$67,1)=0,TRUE,SUMPRODUCT(($BI$67:$BP$67=1)*($AS$67:$AZ$67&lt;&gt;"")*IF(((UPPER($AS$67:$AZ$67)="BLANK")+(UPPER($AS$67:$AZ$67)="(BLANK)")+(UPPER($AS$67:$AZ$67)="EMPTY")+(UPPER($AS$67:$AZ$67)="(EMPTY)"))&gt;0,IFERROR(('Final Calculation Sheet'!$C$18)&amp;"","")="",ISNUMBER(SEARCH($AS$67:$AZ$67,IFERROR(('Final Calculation Sheet'!$C$18)&amp;"","")))))&gt;0),IF(COUNTIF($BI$67:$BP$67,2)=0,TRUE,SUMPRODUCT(($BI$67:$BP$67=2)*($AS$67:$AZ$67&lt;&gt;"")*IF(((UPPER($AS$67:$AZ$67)="BLANK")+(UPPER($AS$67:$AZ$67)="(BLANK)")+(UPPER($AS$67:$AZ$67)="EMPTY")+(UPPER($AS$67:$AZ$67)="(EMPTY)"))&gt;0,IFERROR(('Final Calculation Sheet'!$C$18)&amp;"","")="",ISNUMBER(SEARCH($AS$67:$AZ$67,IFERROR(('Final Calculation Sheet'!$C$18)&amp;"","")))))&gt;0),IF(COUNTIF($BI$67:$BP$67,3)=0,TRUE,SUMPRODUCT(($BI$67:$BP$67=3)*($AS$67:$AZ$67&lt;&gt;"")*IF(((UPPER($AS$67:$AZ$67)="BLANK")+(UPPER($AS$67:$AZ$67)="(BLANK)")+(UPPER($AS$67:$AZ$67)="EMPTY")+(UPPER($AS$67:$AZ$67)="(EMPTY)"))&gt;0,IFERROR(('Final Calculation Sheet'!$C$18)&amp;"","")="",ISNUMBER(SEARCH($AS$67:$AZ$67,IFERROR(('Final Calculation Sheet'!$C$18)&amp;"","")))))&gt;0),IF(COUNTIF($BI$67:$BP$67,4)=0,TRUE,SUMPRODUCT(($BI$67:$BP$67=4)*($AS$67:$AZ$67&lt;&gt;"")*IF(((UPPER($AS$67:$AZ$67)="BLANK")+(UPPER($AS$67:$AZ$67)="(BLANK)")+(UPPER($AS$67:$AZ$67)="EMPTY")+(UPPER($AS$67:$AZ$67)="(EMPTY)"))&gt;0,IFERROR(('Final Calculation Sheet'!$C$18)&amp;"","")="",ISNUMBER(SEARCH($AS$67:$AZ$67,IFERROR(('Final Calculation Sheet'!$C$18)&amp;"","")))))&gt;0),IF(COUNTIF($BI$67:$BP$67,5)=0,TRUE,SUMPRODUCT(($BI$67:$BP$67=5)*($AS$67:$AZ$67&lt;&gt;"")*IF(((UPPER($AS$67:$AZ$67)="BLANK")+(UPPER($AS$67:$AZ$67)="(BLANK)")+(UPPER($AS$67:$AZ$67)="EMPTY")+(UPPER($AS$67:$AZ$67)="(EMPTY)"))&gt;0,IFERROR(('Final Calculation Sheet'!$C$18)&amp;"","")="",ISNUMBER(SEARCH($AS$67:$AZ$67,IFERROR(('Final Calculation Sheet'!$C$18)&amp;"","")))))&gt;0),IF(COUNTIF($BI$67:$BP$67,6)=0,TRUE,SUMPRODUCT(($BI$67:$BP$67=6)*($AS$67:$AZ$67&lt;&gt;"")*IF(((UPPER($AS$67:$AZ$67)="BLANK")+(UPPER($AS$67:$AZ$67)="(BLANK)")+(UPPER($AS$67:$AZ$67)="EMPTY")+(UPPER($AS$67:$AZ$67)="(EMPTY)"))&gt;0,IFERROR(('Final Calculation Sheet'!$C$18)&amp;"","")="",ISNUMBER(SEARCH($AS$67:$AZ$67,IFERROR(('Final Calculation Sheet'!$C$18)&amp;"","")))))&gt;0),IF(COUNTIF($BI$67:$BP$67,7)=0,TRUE,SUMPRODUCT(($BI$67:$BP$67=7)*($AS$67:$AZ$67&lt;&gt;"")*IF(((UPPER($AS$67:$AZ$67)="BLANK")+(UPPER($AS$67:$AZ$67)="(BLANK)")+(UPPER($AS$67:$AZ$67)="EMPTY")+(UPPER($AS$67:$AZ$67)="(EMPTY)"))&gt;0,IFERROR(('Final Calculation Sheet'!$C$18)&amp;"","")="",ISNUMBER(SEARCH($AS$67:$AZ$67,IFERROR(('Final Calculation Sheet'!$C$18)&amp;"","")))))&gt;0),IF(COUNTIF($BI$67:$BP$67,8)=0,TRUE,SUMPRODUCT(($BI$67:$BP$67=8)*($AS$67:$AZ$67&lt;&gt;"")*IF(((UPPER($AS$67:$AZ$67)="BLANK")+(UPPER($AS$67:$AZ$67)="(BLANK)")+(UPPER($AS$67:$AZ$67)="EMPTY")+(UPPER($AS$67:$AZ$67)="(EMPTY)"))&gt;0,IFERROR(('Final Calculation Sheet'!$C$18)&amp;"","")="",ISNUMBER(SEARCH($AS$67:$AZ$67,IFERROR(('Final Calculation Sheet'!$C$18)&amp;"","")))))&gt;0))))</f>
        <v>1</v>
      </c>
      <c r="BU19">
        <f>IF($I$4="",1,--(AND(SUMPRODUCT(--($AS$68:$AZ$68&lt;&gt;""))&gt;0,IF(COUNTIF($BI$68:$BP$68,1)=0,TRUE,SUMPRODUCT(($BI$68:$BP$68=1)*($AS$68:$AZ$68&lt;&gt;"")*IF(((UPPER($AS$68:$AZ$68)="BLANK")+(UPPER($AS$68:$AZ$68)="(BLANK)")+(UPPER($AS$68:$AZ$68)="EMPTY")+(UPPER($AS$68:$AZ$68)="(EMPTY)"))&gt;0,IFERROR(('Final Calculation Sheet'!$H$18)&amp;"","")="",ISNUMBER(SEARCH($AS$68:$AZ$68,IFERROR(('Final Calculation Sheet'!$H$18)&amp;"","")))))&gt;0),IF(COUNTIF($BI$68:$BP$68,2)=0,TRUE,SUMPRODUCT(($BI$68:$BP$68=2)*($AS$68:$AZ$68&lt;&gt;"")*IF(((UPPER($AS$68:$AZ$68)="BLANK")+(UPPER($AS$68:$AZ$68)="(BLANK)")+(UPPER($AS$68:$AZ$68)="EMPTY")+(UPPER($AS$68:$AZ$68)="(EMPTY)"))&gt;0,IFERROR(('Final Calculation Sheet'!$H$18)&amp;"","")="",ISNUMBER(SEARCH($AS$68:$AZ$68,IFERROR(('Final Calculation Sheet'!$H$18)&amp;"","")))))&gt;0),IF(COUNTIF($BI$68:$BP$68,3)=0,TRUE,SUMPRODUCT(($BI$68:$BP$68=3)*($AS$68:$AZ$68&lt;&gt;"")*IF(((UPPER($AS$68:$AZ$68)="BLANK")+(UPPER($AS$68:$AZ$68)="(BLANK)")+(UPPER($AS$68:$AZ$68)="EMPTY")+(UPPER($AS$68:$AZ$68)="(EMPTY)"))&gt;0,IFERROR(('Final Calculation Sheet'!$H$18)&amp;"","")="",ISNUMBER(SEARCH($AS$68:$AZ$68,IFERROR(('Final Calculation Sheet'!$H$18)&amp;"","")))))&gt;0),IF(COUNTIF($BI$68:$BP$68,4)=0,TRUE,SUMPRODUCT(($BI$68:$BP$68=4)*($AS$68:$AZ$68&lt;&gt;"")*IF(((UPPER($AS$68:$AZ$68)="BLANK")+(UPPER($AS$68:$AZ$68)="(BLANK)")+(UPPER($AS$68:$AZ$68)="EMPTY")+(UPPER($AS$68:$AZ$68)="(EMPTY)"))&gt;0,IFERROR(('Final Calculation Sheet'!$H$18)&amp;"","")="",ISNUMBER(SEARCH($AS$68:$AZ$68,IFERROR(('Final Calculation Sheet'!$H$18)&amp;"","")))))&gt;0),IF(COUNTIF($BI$68:$BP$68,5)=0,TRUE,SUMPRODUCT(($BI$68:$BP$68=5)*($AS$68:$AZ$68&lt;&gt;"")*IF(((UPPER($AS$68:$AZ$68)="BLANK")+(UPPER($AS$68:$AZ$68)="(BLANK)")+(UPPER($AS$68:$AZ$68)="EMPTY")+(UPPER($AS$68:$AZ$68)="(EMPTY)"))&gt;0,IFERROR(('Final Calculation Sheet'!$H$18)&amp;"","")="",ISNUMBER(SEARCH($AS$68:$AZ$68,IFERROR(('Final Calculation Sheet'!$H$18)&amp;"","")))))&gt;0),IF(COUNTIF($BI$68:$BP$68,6)=0,TRUE,SUMPRODUCT(($BI$68:$BP$68=6)*($AS$68:$AZ$68&lt;&gt;"")*IF(((UPPER($AS$68:$AZ$68)="BLANK")+(UPPER($AS$68:$AZ$68)="(BLANK)")+(UPPER($AS$68:$AZ$68)="EMPTY")+(UPPER($AS$68:$AZ$68)="(EMPTY)"))&gt;0,IFERROR(('Final Calculation Sheet'!$H$18)&amp;"","")="",ISNUMBER(SEARCH($AS$68:$AZ$68,IFERROR(('Final Calculation Sheet'!$H$18)&amp;"","")))))&gt;0),IF(COUNTIF($BI$68:$BP$68,7)=0,TRUE,SUMPRODUCT(($BI$68:$BP$68=7)*($AS$68:$AZ$68&lt;&gt;"")*IF(((UPPER($AS$68:$AZ$68)="BLANK")+(UPPER($AS$68:$AZ$68)="(BLANK)")+(UPPER($AS$68:$AZ$68)="EMPTY")+(UPPER($AS$68:$AZ$68)="(EMPTY)"))&gt;0,IFERROR(('Final Calculation Sheet'!$H$18)&amp;"","")="",ISNUMBER(SEARCH($AS$68:$AZ$68,IFERROR(('Final Calculation Sheet'!$H$18)&amp;"","")))))&gt;0),IF(COUNTIF($BI$68:$BP$68,8)=0,TRUE,SUMPRODUCT(($BI$68:$BP$68=8)*($AS$68:$AZ$68&lt;&gt;"")*IF(((UPPER($AS$68:$AZ$68)="BLANK")+(UPPER($AS$68:$AZ$68)="(BLANK)")+(UPPER($AS$68:$AZ$68)="EMPTY")+(UPPER($AS$68:$AZ$68)="(EMPTY)"))&gt;0,IFERROR(('Final Calculation Sheet'!$H$18)&amp;"","")="",ISNUMBER(SEARCH($AS$68:$AZ$68,IFERROR(('Final Calculation Sheet'!$H$18)&amp;"","")))))&gt;0))))</f>
        <v>1</v>
      </c>
      <c r="BV19">
        <f>IF($J$4="",1,--(AND(SUMPRODUCT(--($AS$69:$AZ$69&lt;&gt;""))&gt;0,IF(COUNTIF($BI$69:$BP$69,1)=0,TRUE,SUMPRODUCT(($BI$69:$BP$69=1)*($AS$69:$AZ$69&lt;&gt;"")*IF(((UPPER($AS$69:$AZ$69)="BLANK")+(UPPER($AS$69:$AZ$69)="(BLANK)")+(UPPER($AS$69:$AZ$69)="EMPTY")+(UPPER($AS$69:$AZ$69)="(EMPTY)"))&gt;0,IFERROR(('Final Calculation Sheet'!$I$18)&amp;"","")="",ISNUMBER(SEARCH($AS$69:$AZ$69,IFERROR(('Final Calculation Sheet'!$I$18)&amp;"","")))))&gt;0),IF(COUNTIF($BI$69:$BP$69,2)=0,TRUE,SUMPRODUCT(($BI$69:$BP$69=2)*($AS$69:$AZ$69&lt;&gt;"")*IF(((UPPER($AS$69:$AZ$69)="BLANK")+(UPPER($AS$69:$AZ$69)="(BLANK)")+(UPPER($AS$69:$AZ$69)="EMPTY")+(UPPER($AS$69:$AZ$69)="(EMPTY)"))&gt;0,IFERROR(('Final Calculation Sheet'!$I$18)&amp;"","")="",ISNUMBER(SEARCH($AS$69:$AZ$69,IFERROR(('Final Calculation Sheet'!$I$18)&amp;"","")))))&gt;0),IF(COUNTIF($BI$69:$BP$69,3)=0,TRUE,SUMPRODUCT(($BI$69:$BP$69=3)*($AS$69:$AZ$69&lt;&gt;"")*IF(((UPPER($AS$69:$AZ$69)="BLANK")+(UPPER($AS$69:$AZ$69)="(BLANK)")+(UPPER($AS$69:$AZ$69)="EMPTY")+(UPPER($AS$69:$AZ$69)="(EMPTY)"))&gt;0,IFERROR(('Final Calculation Sheet'!$I$18)&amp;"","")="",ISNUMBER(SEARCH($AS$69:$AZ$69,IFERROR(('Final Calculation Sheet'!$I$18)&amp;"","")))))&gt;0),IF(COUNTIF($BI$69:$BP$69,4)=0,TRUE,SUMPRODUCT(($BI$69:$BP$69=4)*($AS$69:$AZ$69&lt;&gt;"")*IF(((UPPER($AS$69:$AZ$69)="BLANK")+(UPPER($AS$69:$AZ$69)="(BLANK)")+(UPPER($AS$69:$AZ$69)="EMPTY")+(UPPER($AS$69:$AZ$69)="(EMPTY)"))&gt;0,IFERROR(('Final Calculation Sheet'!$I$18)&amp;"","")="",ISNUMBER(SEARCH($AS$69:$AZ$69,IFERROR(('Final Calculation Sheet'!$I$18)&amp;"","")))))&gt;0),IF(COUNTIF($BI$69:$BP$69,5)=0,TRUE,SUMPRODUCT(($BI$69:$BP$69=5)*($AS$69:$AZ$69&lt;&gt;"")*IF(((UPPER($AS$69:$AZ$69)="BLANK")+(UPPER($AS$69:$AZ$69)="(BLANK)")+(UPPER($AS$69:$AZ$69)="EMPTY")+(UPPER($AS$69:$AZ$69)="(EMPTY)"))&gt;0,IFERROR(('Final Calculation Sheet'!$I$18)&amp;"","")="",ISNUMBER(SEARCH($AS$69:$AZ$69,IFERROR(('Final Calculation Sheet'!$I$18)&amp;"","")))))&gt;0),IF(COUNTIF($BI$69:$BP$69,6)=0,TRUE,SUMPRODUCT(($BI$69:$BP$69=6)*($AS$69:$AZ$69&lt;&gt;"")*IF(((UPPER($AS$69:$AZ$69)="BLANK")+(UPPER($AS$69:$AZ$69)="(BLANK)")+(UPPER($AS$69:$AZ$69)="EMPTY")+(UPPER($AS$69:$AZ$69)="(EMPTY)"))&gt;0,IFERROR(('Final Calculation Sheet'!$I$18)&amp;"","")="",ISNUMBER(SEARCH($AS$69:$AZ$69,IFERROR(('Final Calculation Sheet'!$I$18)&amp;"","")))))&gt;0),IF(COUNTIF($BI$69:$BP$69,7)=0,TRUE,SUMPRODUCT(($BI$69:$BP$69=7)*($AS$69:$AZ$69&lt;&gt;"")*IF(((UPPER($AS$69:$AZ$69)="BLANK")+(UPPER($AS$69:$AZ$69)="(BLANK)")+(UPPER($AS$69:$AZ$69)="EMPTY")+(UPPER($AS$69:$AZ$69)="(EMPTY)"))&gt;0,IFERROR(('Final Calculation Sheet'!$I$18)&amp;"","")="",ISNUMBER(SEARCH($AS$69:$AZ$69,IFERROR(('Final Calculation Sheet'!$I$18)&amp;"","")))))&gt;0),IF(COUNTIF($BI$69:$BP$69,8)=0,TRUE,SUMPRODUCT(($BI$69:$BP$69=8)*($AS$69:$AZ$69&lt;&gt;"")*IF(((UPPER($AS$69:$AZ$69)="BLANK")+(UPPER($AS$69:$AZ$69)="(BLANK)")+(UPPER($AS$69:$AZ$69)="EMPTY")+(UPPER($AS$69:$AZ$69)="(EMPTY)"))&gt;0,IFERROR(('Final Calculation Sheet'!$I$18)&amp;"","")="",ISNUMBER(SEARCH($AS$69:$AZ$69,IFERROR(('Final Calculation Sheet'!$I$18)&amp;"","")))))&gt;0))))</f>
        <v>1</v>
      </c>
      <c r="BW19">
        <f>IF($K$4="",1,--(AND(SUMPRODUCT(--($AS$70:$AZ$70&lt;&gt;""))&gt;0,IF(COUNTIF($BI$70:$BP$70,1)=0,TRUE,SUMPRODUCT(($BI$70:$BP$70=1)*($AS$70:$AZ$70&lt;&gt;"")*IF(((UPPER($AS$70:$AZ$70)="BLANK")+(UPPER($AS$70:$AZ$70)="(BLANK)")+(UPPER($AS$70:$AZ$70)="EMPTY")+(UPPER($AS$70:$AZ$70)="(EMPTY)"))&gt;0,IFERROR(('Final Calculation Sheet'!$J$18)&amp;"","")="",ISNUMBER(SEARCH($AS$70:$AZ$70,IFERROR(('Final Calculation Sheet'!$J$18)&amp;"","")))))&gt;0),IF(COUNTIF($BI$70:$BP$70,2)=0,TRUE,SUMPRODUCT(($BI$70:$BP$70=2)*($AS$70:$AZ$70&lt;&gt;"")*IF(((UPPER($AS$70:$AZ$70)="BLANK")+(UPPER($AS$70:$AZ$70)="(BLANK)")+(UPPER($AS$70:$AZ$70)="EMPTY")+(UPPER($AS$70:$AZ$70)="(EMPTY)"))&gt;0,IFERROR(('Final Calculation Sheet'!$J$18)&amp;"","")="",ISNUMBER(SEARCH($AS$70:$AZ$70,IFERROR(('Final Calculation Sheet'!$J$18)&amp;"","")))))&gt;0),IF(COUNTIF($BI$70:$BP$70,3)=0,TRUE,SUMPRODUCT(($BI$70:$BP$70=3)*($AS$70:$AZ$70&lt;&gt;"")*IF(((UPPER($AS$70:$AZ$70)="BLANK")+(UPPER($AS$70:$AZ$70)="(BLANK)")+(UPPER($AS$70:$AZ$70)="EMPTY")+(UPPER($AS$70:$AZ$70)="(EMPTY)"))&gt;0,IFERROR(('Final Calculation Sheet'!$J$18)&amp;"","")="",ISNUMBER(SEARCH($AS$70:$AZ$70,IFERROR(('Final Calculation Sheet'!$J$18)&amp;"","")))))&gt;0),IF(COUNTIF($BI$70:$BP$70,4)=0,TRUE,SUMPRODUCT(($BI$70:$BP$70=4)*($AS$70:$AZ$70&lt;&gt;"")*IF(((UPPER($AS$70:$AZ$70)="BLANK")+(UPPER($AS$70:$AZ$70)="(BLANK)")+(UPPER($AS$70:$AZ$70)="EMPTY")+(UPPER($AS$70:$AZ$70)="(EMPTY)"))&gt;0,IFERROR(('Final Calculation Sheet'!$J$18)&amp;"","")="",ISNUMBER(SEARCH($AS$70:$AZ$70,IFERROR(('Final Calculation Sheet'!$J$18)&amp;"","")))))&gt;0),IF(COUNTIF($BI$70:$BP$70,5)=0,TRUE,SUMPRODUCT(($BI$70:$BP$70=5)*($AS$70:$AZ$70&lt;&gt;"")*IF(((UPPER($AS$70:$AZ$70)="BLANK")+(UPPER($AS$70:$AZ$70)="(BLANK)")+(UPPER($AS$70:$AZ$70)="EMPTY")+(UPPER($AS$70:$AZ$70)="(EMPTY)"))&gt;0,IFERROR(('Final Calculation Sheet'!$J$18)&amp;"","")="",ISNUMBER(SEARCH($AS$70:$AZ$70,IFERROR(('Final Calculation Sheet'!$J$18)&amp;"","")))))&gt;0),IF(COUNTIF($BI$70:$BP$70,6)=0,TRUE,SUMPRODUCT(($BI$70:$BP$70=6)*($AS$70:$AZ$70&lt;&gt;"")*IF(((UPPER($AS$70:$AZ$70)="BLANK")+(UPPER($AS$70:$AZ$70)="(BLANK)")+(UPPER($AS$70:$AZ$70)="EMPTY")+(UPPER($AS$70:$AZ$70)="(EMPTY)"))&gt;0,IFERROR(('Final Calculation Sheet'!$J$18)&amp;"","")="",ISNUMBER(SEARCH($AS$70:$AZ$70,IFERROR(('Final Calculation Sheet'!$J$18)&amp;"","")))))&gt;0),IF(COUNTIF($BI$70:$BP$70,7)=0,TRUE,SUMPRODUCT(($BI$70:$BP$70=7)*($AS$70:$AZ$70&lt;&gt;"")*IF(((UPPER($AS$70:$AZ$70)="BLANK")+(UPPER($AS$70:$AZ$70)="(BLANK)")+(UPPER($AS$70:$AZ$70)="EMPTY")+(UPPER($AS$70:$AZ$70)="(EMPTY)"))&gt;0,IFERROR(('Final Calculation Sheet'!$J$18)&amp;"","")="",ISNUMBER(SEARCH($AS$70:$AZ$70,IFERROR(('Final Calculation Sheet'!$J$18)&amp;"","")))))&gt;0),IF(COUNTIF($BI$70:$BP$70,8)=0,TRUE,SUMPRODUCT(($BI$70:$BP$70=8)*($AS$70:$AZ$70&lt;&gt;"")*IF(((UPPER($AS$70:$AZ$70)="BLANK")+(UPPER($AS$70:$AZ$70)="(BLANK)")+(UPPER($AS$70:$AZ$70)="EMPTY")+(UPPER($AS$70:$AZ$70)="(EMPTY)"))&gt;0,IFERROR(('Final Calculation Sheet'!$J$18)&amp;"","")="",ISNUMBER(SEARCH($AS$70:$AZ$70,IFERROR(('Final Calculation Sheet'!$J$18)&amp;"","")))))&gt;0))))</f>
        <v>1</v>
      </c>
      <c r="BX19">
        <f>IF($L$4="",1,--(AND(SUMPRODUCT(--($AS$71:$AZ$71&lt;&gt;""))&gt;0,IF(COUNTIF($BI$71:$BP$71,1)=0,TRUE,SUMPRODUCT(($BI$71:$BP$71=1)*($AS$71:$AZ$71&lt;&gt;"")*IF(((UPPER($AS$71:$AZ$71)="BLANK")+(UPPER($AS$71:$AZ$71)="(BLANK)")+(UPPER($AS$71:$AZ$71)="EMPTY")+(UPPER($AS$71:$AZ$71)="(EMPTY)"))&gt;0,IFERROR(('Final Calculation Sheet'!$K$18)&amp;"","")="",ISNUMBER(SEARCH($AS$71:$AZ$71,IFERROR(('Final Calculation Sheet'!$K$18)&amp;"","")))))&gt;0),IF(COUNTIF($BI$71:$BP$71,2)=0,TRUE,SUMPRODUCT(($BI$71:$BP$71=2)*($AS$71:$AZ$71&lt;&gt;"")*IF(((UPPER($AS$71:$AZ$71)="BLANK")+(UPPER($AS$71:$AZ$71)="(BLANK)")+(UPPER($AS$71:$AZ$71)="EMPTY")+(UPPER($AS$71:$AZ$71)="(EMPTY)"))&gt;0,IFERROR(('Final Calculation Sheet'!$K$18)&amp;"","")="",ISNUMBER(SEARCH($AS$71:$AZ$71,IFERROR(('Final Calculation Sheet'!$K$18)&amp;"","")))))&gt;0),IF(COUNTIF($BI$71:$BP$71,3)=0,TRUE,SUMPRODUCT(($BI$71:$BP$71=3)*($AS$71:$AZ$71&lt;&gt;"")*IF(((UPPER($AS$71:$AZ$71)="BLANK")+(UPPER($AS$71:$AZ$71)="(BLANK)")+(UPPER($AS$71:$AZ$71)="EMPTY")+(UPPER($AS$71:$AZ$71)="(EMPTY)"))&gt;0,IFERROR(('Final Calculation Sheet'!$K$18)&amp;"","")="",ISNUMBER(SEARCH($AS$71:$AZ$71,IFERROR(('Final Calculation Sheet'!$K$18)&amp;"","")))))&gt;0),IF(COUNTIF($BI$71:$BP$71,4)=0,TRUE,SUMPRODUCT(($BI$71:$BP$71=4)*($AS$71:$AZ$71&lt;&gt;"")*IF(((UPPER($AS$71:$AZ$71)="BLANK")+(UPPER($AS$71:$AZ$71)="(BLANK)")+(UPPER($AS$71:$AZ$71)="EMPTY")+(UPPER($AS$71:$AZ$71)="(EMPTY)"))&gt;0,IFERROR(('Final Calculation Sheet'!$K$18)&amp;"","")="",ISNUMBER(SEARCH($AS$71:$AZ$71,IFERROR(('Final Calculation Sheet'!$K$18)&amp;"","")))))&gt;0),IF(COUNTIF($BI$71:$BP$71,5)=0,TRUE,SUMPRODUCT(($BI$71:$BP$71=5)*($AS$71:$AZ$71&lt;&gt;"")*IF(((UPPER($AS$71:$AZ$71)="BLANK")+(UPPER($AS$71:$AZ$71)="(BLANK)")+(UPPER($AS$71:$AZ$71)="EMPTY")+(UPPER($AS$71:$AZ$71)="(EMPTY)"))&gt;0,IFERROR(('Final Calculation Sheet'!$K$18)&amp;"","")="",ISNUMBER(SEARCH($AS$71:$AZ$71,IFERROR(('Final Calculation Sheet'!$K$18)&amp;"","")))))&gt;0),IF(COUNTIF($BI$71:$BP$71,6)=0,TRUE,SUMPRODUCT(($BI$71:$BP$71=6)*($AS$71:$AZ$71&lt;&gt;"")*IF(((UPPER($AS$71:$AZ$71)="BLANK")+(UPPER($AS$71:$AZ$71)="(BLANK)")+(UPPER($AS$71:$AZ$71)="EMPTY")+(UPPER($AS$71:$AZ$71)="(EMPTY)"))&gt;0,IFERROR(('Final Calculation Sheet'!$K$18)&amp;"","")="",ISNUMBER(SEARCH($AS$71:$AZ$71,IFERROR(('Final Calculation Sheet'!$K$18)&amp;"","")))))&gt;0),IF(COUNTIF($BI$71:$BP$71,7)=0,TRUE,SUMPRODUCT(($BI$71:$BP$71=7)*($AS$71:$AZ$71&lt;&gt;"")*IF(((UPPER($AS$71:$AZ$71)="BLANK")+(UPPER($AS$71:$AZ$71)="(BLANK)")+(UPPER($AS$71:$AZ$71)="EMPTY")+(UPPER($AS$71:$AZ$71)="(EMPTY)"))&gt;0,IFERROR(('Final Calculation Sheet'!$K$18)&amp;"","")="",ISNUMBER(SEARCH($AS$71:$AZ$71,IFERROR(('Final Calculation Sheet'!$K$18)&amp;"","")))))&gt;0),IF(COUNTIF($BI$71:$BP$71,8)=0,TRUE,SUMPRODUCT(($BI$71:$BP$71=8)*($AS$71:$AZ$71&lt;&gt;"")*IF(((UPPER($AS$71:$AZ$71)="BLANK")+(UPPER($AS$71:$AZ$71)="(BLANK)")+(UPPER($AS$71:$AZ$71)="EMPTY")+(UPPER($AS$71:$AZ$71)="(EMPTY)"))&gt;0,IFERROR(('Final Calculation Sheet'!$K$18)&amp;"","")="",ISNUMBER(SEARCH($AS$71:$AZ$71,IFERROR(('Final Calculation Sheet'!$K$18)&amp;"","")))))&gt;0))))</f>
        <v>1</v>
      </c>
      <c r="BY19">
        <f>IF($M$4="",1,--(AND(SUMPRODUCT(--($AS$72:$AZ$72&lt;&gt;""))&gt;0,IF(COUNTIF($BI$72:$BP$72,1)=0,TRUE,SUMPRODUCT(($BI$72:$BP$72=1)*($AS$72:$AZ$72&lt;&gt;"")*IF(((UPPER($AS$72:$AZ$72)="BLANK")+(UPPER($AS$72:$AZ$72)="(BLANK)")+(UPPER($AS$72:$AZ$72)="EMPTY")+(UPPER($AS$72:$AZ$72)="(EMPTY)"))&gt;0,IFERROR(('Final Calculation Sheet'!$L$18)&amp;"","")="",ISNUMBER(SEARCH($AS$72:$AZ$72,IFERROR(('Final Calculation Sheet'!$L$18)&amp;"","")))))&gt;0),IF(COUNTIF($BI$72:$BP$72,2)=0,TRUE,SUMPRODUCT(($BI$72:$BP$72=2)*($AS$72:$AZ$72&lt;&gt;"")*IF(((UPPER($AS$72:$AZ$72)="BLANK")+(UPPER($AS$72:$AZ$72)="(BLANK)")+(UPPER($AS$72:$AZ$72)="EMPTY")+(UPPER($AS$72:$AZ$72)="(EMPTY)"))&gt;0,IFERROR(('Final Calculation Sheet'!$L$18)&amp;"","")="",ISNUMBER(SEARCH($AS$72:$AZ$72,IFERROR(('Final Calculation Sheet'!$L$18)&amp;"","")))))&gt;0),IF(COUNTIF($BI$72:$BP$72,3)=0,TRUE,SUMPRODUCT(($BI$72:$BP$72=3)*($AS$72:$AZ$72&lt;&gt;"")*IF(((UPPER($AS$72:$AZ$72)="BLANK")+(UPPER($AS$72:$AZ$72)="(BLANK)")+(UPPER($AS$72:$AZ$72)="EMPTY")+(UPPER($AS$72:$AZ$72)="(EMPTY)"))&gt;0,IFERROR(('Final Calculation Sheet'!$L$18)&amp;"","")="",ISNUMBER(SEARCH($AS$72:$AZ$72,IFERROR(('Final Calculation Sheet'!$L$18)&amp;"","")))))&gt;0),IF(COUNTIF($BI$72:$BP$72,4)=0,TRUE,SUMPRODUCT(($BI$72:$BP$72=4)*($AS$72:$AZ$72&lt;&gt;"")*IF(((UPPER($AS$72:$AZ$72)="BLANK")+(UPPER($AS$72:$AZ$72)="(BLANK)")+(UPPER($AS$72:$AZ$72)="EMPTY")+(UPPER($AS$72:$AZ$72)="(EMPTY)"))&gt;0,IFERROR(('Final Calculation Sheet'!$L$18)&amp;"","")="",ISNUMBER(SEARCH($AS$72:$AZ$72,IFERROR(('Final Calculation Sheet'!$L$18)&amp;"","")))))&gt;0),IF(COUNTIF($BI$72:$BP$72,5)=0,TRUE,SUMPRODUCT(($BI$72:$BP$72=5)*($AS$72:$AZ$72&lt;&gt;"")*IF(((UPPER($AS$72:$AZ$72)="BLANK")+(UPPER($AS$72:$AZ$72)="(BLANK)")+(UPPER($AS$72:$AZ$72)="EMPTY")+(UPPER($AS$72:$AZ$72)="(EMPTY)"))&gt;0,IFERROR(('Final Calculation Sheet'!$L$18)&amp;"","")="",ISNUMBER(SEARCH($AS$72:$AZ$72,IFERROR(('Final Calculation Sheet'!$L$18)&amp;"","")))))&gt;0),IF(COUNTIF($BI$72:$BP$72,6)=0,TRUE,SUMPRODUCT(($BI$72:$BP$72=6)*($AS$72:$AZ$72&lt;&gt;"")*IF(((UPPER($AS$72:$AZ$72)="BLANK")+(UPPER($AS$72:$AZ$72)="(BLANK)")+(UPPER($AS$72:$AZ$72)="EMPTY")+(UPPER($AS$72:$AZ$72)="(EMPTY)"))&gt;0,IFERROR(('Final Calculation Sheet'!$L$18)&amp;"","")="",ISNUMBER(SEARCH($AS$72:$AZ$72,IFERROR(('Final Calculation Sheet'!$L$18)&amp;"","")))))&gt;0),IF(COUNTIF($BI$72:$BP$72,7)=0,TRUE,SUMPRODUCT(($BI$72:$BP$72=7)*($AS$72:$AZ$72&lt;&gt;"")*IF(((UPPER($AS$72:$AZ$72)="BLANK")+(UPPER($AS$72:$AZ$72)="(BLANK)")+(UPPER($AS$72:$AZ$72)="EMPTY")+(UPPER($AS$72:$AZ$72)="(EMPTY)"))&gt;0,IFERROR(('Final Calculation Sheet'!$L$18)&amp;"","")="",ISNUMBER(SEARCH($AS$72:$AZ$72,IFERROR(('Final Calculation Sheet'!$L$18)&amp;"","")))))&gt;0),IF(COUNTIF($BI$72:$BP$72,8)=0,TRUE,SUMPRODUCT(($BI$72:$BP$72=8)*($AS$72:$AZ$72&lt;&gt;"")*IF(((UPPER($AS$72:$AZ$72)="BLANK")+(UPPER($AS$72:$AZ$72)="(BLANK)")+(UPPER($AS$72:$AZ$72)="EMPTY")+(UPPER($AS$72:$AZ$72)="(EMPTY)"))&gt;0,IFERROR(('Final Calculation Sheet'!$L$18)&amp;"","")="",ISNUMBER(SEARCH($AS$72:$AZ$72,IFERROR(('Final Calculation Sheet'!$L$18)&amp;"","")))))&gt;0))))</f>
        <v>1</v>
      </c>
      <c r="BZ19">
        <f>IF($N$4="",1,--(AND(SUMPRODUCT(--($AS$73:$AZ$73&lt;&gt;""))&gt;0,IF(COUNTIF($BI$73:$BP$73,1)=0,TRUE,SUMPRODUCT(($BI$73:$BP$73=1)*($AS$73:$AZ$73&lt;&gt;"")*IF(((UPPER($AS$73:$AZ$73)="BLANK")+(UPPER($AS$73:$AZ$73)="(BLANK)")+(UPPER($AS$73:$AZ$73)="EMPTY")+(UPPER($AS$73:$AZ$73)="(EMPTY)"))&gt;0,IFERROR(('Final Calculation Sheet'!$M$18)&amp;"","")="",ISNUMBER(SEARCH($AS$73:$AZ$73,IFERROR(('Final Calculation Sheet'!$M$18)&amp;"","")))))&gt;0),IF(COUNTIF($BI$73:$BP$73,2)=0,TRUE,SUMPRODUCT(($BI$73:$BP$73=2)*($AS$73:$AZ$73&lt;&gt;"")*IF(((UPPER($AS$73:$AZ$73)="BLANK")+(UPPER($AS$73:$AZ$73)="(BLANK)")+(UPPER($AS$73:$AZ$73)="EMPTY")+(UPPER($AS$73:$AZ$73)="(EMPTY)"))&gt;0,IFERROR(('Final Calculation Sheet'!$M$18)&amp;"","")="",ISNUMBER(SEARCH($AS$73:$AZ$73,IFERROR(('Final Calculation Sheet'!$M$18)&amp;"","")))))&gt;0),IF(COUNTIF($BI$73:$BP$73,3)=0,TRUE,SUMPRODUCT(($BI$73:$BP$73=3)*($AS$73:$AZ$73&lt;&gt;"")*IF(((UPPER($AS$73:$AZ$73)="BLANK")+(UPPER($AS$73:$AZ$73)="(BLANK)")+(UPPER($AS$73:$AZ$73)="EMPTY")+(UPPER($AS$73:$AZ$73)="(EMPTY)"))&gt;0,IFERROR(('Final Calculation Sheet'!$M$18)&amp;"","")="",ISNUMBER(SEARCH($AS$73:$AZ$73,IFERROR(('Final Calculation Sheet'!$M$18)&amp;"","")))))&gt;0),IF(COUNTIF($BI$73:$BP$73,4)=0,TRUE,SUMPRODUCT(($BI$73:$BP$73=4)*($AS$73:$AZ$73&lt;&gt;"")*IF(((UPPER($AS$73:$AZ$73)="BLANK")+(UPPER($AS$73:$AZ$73)="(BLANK)")+(UPPER($AS$73:$AZ$73)="EMPTY")+(UPPER($AS$73:$AZ$73)="(EMPTY)"))&gt;0,IFERROR(('Final Calculation Sheet'!$M$18)&amp;"","")="",ISNUMBER(SEARCH($AS$73:$AZ$73,IFERROR(('Final Calculation Sheet'!$M$18)&amp;"","")))))&gt;0),IF(COUNTIF($BI$73:$BP$73,5)=0,TRUE,SUMPRODUCT(($BI$73:$BP$73=5)*($AS$73:$AZ$73&lt;&gt;"")*IF(((UPPER($AS$73:$AZ$73)="BLANK")+(UPPER($AS$73:$AZ$73)="(BLANK)")+(UPPER($AS$73:$AZ$73)="EMPTY")+(UPPER($AS$73:$AZ$73)="(EMPTY)"))&gt;0,IFERROR(('Final Calculation Sheet'!$M$18)&amp;"","")="",ISNUMBER(SEARCH($AS$73:$AZ$73,IFERROR(('Final Calculation Sheet'!$M$18)&amp;"","")))))&gt;0),IF(COUNTIF($BI$73:$BP$73,6)=0,TRUE,SUMPRODUCT(($BI$73:$BP$73=6)*($AS$73:$AZ$73&lt;&gt;"")*IF(((UPPER($AS$73:$AZ$73)="BLANK")+(UPPER($AS$73:$AZ$73)="(BLANK)")+(UPPER($AS$73:$AZ$73)="EMPTY")+(UPPER($AS$73:$AZ$73)="(EMPTY)"))&gt;0,IFERROR(('Final Calculation Sheet'!$M$18)&amp;"","")="",ISNUMBER(SEARCH($AS$73:$AZ$73,IFERROR(('Final Calculation Sheet'!$M$18)&amp;"","")))))&gt;0),IF(COUNTIF($BI$73:$BP$73,7)=0,TRUE,SUMPRODUCT(($BI$73:$BP$73=7)*($AS$73:$AZ$73&lt;&gt;"")*IF(((UPPER($AS$73:$AZ$73)="BLANK")+(UPPER($AS$73:$AZ$73)="(BLANK)")+(UPPER($AS$73:$AZ$73)="EMPTY")+(UPPER($AS$73:$AZ$73)="(EMPTY)"))&gt;0,IFERROR(('Final Calculation Sheet'!$M$18)&amp;"","")="",ISNUMBER(SEARCH($AS$73:$AZ$73,IFERROR(('Final Calculation Sheet'!$M$18)&amp;"","")))))&gt;0),IF(COUNTIF($BI$73:$BP$73,8)=0,TRUE,SUMPRODUCT(($BI$73:$BP$73=8)*($AS$73:$AZ$73&lt;&gt;"")*IF(((UPPER($AS$73:$AZ$73)="BLANK")+(UPPER($AS$73:$AZ$73)="(BLANK)")+(UPPER($AS$73:$AZ$73)="EMPTY")+(UPPER($AS$73:$AZ$73)="(EMPTY)"))&gt;0,IFERROR(('Final Calculation Sheet'!$M$18)&amp;"","")="",ISNUMBER(SEARCH($AS$73:$AZ$73,IFERROR(('Final Calculation Sheet'!$M$18)&amp;"","")))))&gt;0))))</f>
        <v>1</v>
      </c>
      <c r="CA19">
        <f>IF($O$4="",1,--(AND(SUMPRODUCT(--($AS$74:$AZ$74&lt;&gt;""))&gt;0,IF(COUNTIF($BI$74:$BP$74,1)=0,TRUE,SUMPRODUCT(($BI$74:$BP$74=1)*($AS$74:$AZ$74&lt;&gt;"")*IF(((UPPER($AS$74:$AZ$74)="BLANK")+(UPPER($AS$74:$AZ$74)="(BLANK)")+(UPPER($AS$74:$AZ$74)="EMPTY")+(UPPER($AS$74:$AZ$74)="(EMPTY)"))&gt;0,IFERROR(('Final Calculation Sheet'!$N$18)&amp;"","")="",ISNUMBER(SEARCH($AS$74:$AZ$74,IFERROR(('Final Calculation Sheet'!$N$18)&amp;"","")))))&gt;0),IF(COUNTIF($BI$74:$BP$74,2)=0,TRUE,SUMPRODUCT(($BI$74:$BP$74=2)*($AS$74:$AZ$74&lt;&gt;"")*IF(((UPPER($AS$74:$AZ$74)="BLANK")+(UPPER($AS$74:$AZ$74)="(BLANK)")+(UPPER($AS$74:$AZ$74)="EMPTY")+(UPPER($AS$74:$AZ$74)="(EMPTY)"))&gt;0,IFERROR(('Final Calculation Sheet'!$N$18)&amp;"","")="",ISNUMBER(SEARCH($AS$74:$AZ$74,IFERROR(('Final Calculation Sheet'!$N$18)&amp;"","")))))&gt;0),IF(COUNTIF($BI$74:$BP$74,3)=0,TRUE,SUMPRODUCT(($BI$74:$BP$74=3)*($AS$74:$AZ$74&lt;&gt;"")*IF(((UPPER($AS$74:$AZ$74)="BLANK")+(UPPER($AS$74:$AZ$74)="(BLANK)")+(UPPER($AS$74:$AZ$74)="EMPTY")+(UPPER($AS$74:$AZ$74)="(EMPTY)"))&gt;0,IFERROR(('Final Calculation Sheet'!$N$18)&amp;"","")="",ISNUMBER(SEARCH($AS$74:$AZ$74,IFERROR(('Final Calculation Sheet'!$N$18)&amp;"","")))))&gt;0),IF(COUNTIF($BI$74:$BP$74,4)=0,TRUE,SUMPRODUCT(($BI$74:$BP$74=4)*($AS$74:$AZ$74&lt;&gt;"")*IF(((UPPER($AS$74:$AZ$74)="BLANK")+(UPPER($AS$74:$AZ$74)="(BLANK)")+(UPPER($AS$74:$AZ$74)="EMPTY")+(UPPER($AS$74:$AZ$74)="(EMPTY)"))&gt;0,IFERROR(('Final Calculation Sheet'!$N$18)&amp;"","")="",ISNUMBER(SEARCH($AS$74:$AZ$74,IFERROR(('Final Calculation Sheet'!$N$18)&amp;"","")))))&gt;0),IF(COUNTIF($BI$74:$BP$74,5)=0,TRUE,SUMPRODUCT(($BI$74:$BP$74=5)*($AS$74:$AZ$74&lt;&gt;"")*IF(((UPPER($AS$74:$AZ$74)="BLANK")+(UPPER($AS$74:$AZ$74)="(BLANK)")+(UPPER($AS$74:$AZ$74)="EMPTY")+(UPPER($AS$74:$AZ$74)="(EMPTY)"))&gt;0,IFERROR(('Final Calculation Sheet'!$N$18)&amp;"","")="",ISNUMBER(SEARCH($AS$74:$AZ$74,IFERROR(('Final Calculation Sheet'!$N$18)&amp;"","")))))&gt;0),IF(COUNTIF($BI$74:$BP$74,6)=0,TRUE,SUMPRODUCT(($BI$74:$BP$74=6)*($AS$74:$AZ$74&lt;&gt;"")*IF(((UPPER($AS$74:$AZ$74)="BLANK")+(UPPER($AS$74:$AZ$74)="(BLANK)")+(UPPER($AS$74:$AZ$74)="EMPTY")+(UPPER($AS$74:$AZ$74)="(EMPTY)"))&gt;0,IFERROR(('Final Calculation Sheet'!$N$18)&amp;"","")="",ISNUMBER(SEARCH($AS$74:$AZ$74,IFERROR(('Final Calculation Sheet'!$N$18)&amp;"","")))))&gt;0),IF(COUNTIF($BI$74:$BP$74,7)=0,TRUE,SUMPRODUCT(($BI$74:$BP$74=7)*($AS$74:$AZ$74&lt;&gt;"")*IF(((UPPER($AS$74:$AZ$74)="BLANK")+(UPPER($AS$74:$AZ$74)="(BLANK)")+(UPPER($AS$74:$AZ$74)="EMPTY")+(UPPER($AS$74:$AZ$74)="(EMPTY)"))&gt;0,IFERROR(('Final Calculation Sheet'!$N$18)&amp;"","")="",ISNUMBER(SEARCH($AS$74:$AZ$74,IFERROR(('Final Calculation Sheet'!$N$18)&amp;"","")))))&gt;0),IF(COUNTIF($BI$74:$BP$74,8)=0,TRUE,SUMPRODUCT(($BI$74:$BP$74=8)*($AS$74:$AZ$74&lt;&gt;"")*IF(((UPPER($AS$74:$AZ$74)="BLANK")+(UPPER($AS$74:$AZ$74)="(BLANK)")+(UPPER($AS$74:$AZ$74)="EMPTY")+(UPPER($AS$74:$AZ$74)="(EMPTY)"))&gt;0,IFERROR(('Final Calculation Sheet'!$N$18)&amp;"","")="",ISNUMBER(SEARCH($AS$74:$AZ$74,IFERROR(('Final Calculation Sheet'!$N$18)&amp;"","")))))&gt;0))))</f>
        <v>1</v>
      </c>
      <c r="CB19">
        <f>IF($P$4="",1,--(AND(SUMPRODUCT(--($AS$75:$AZ$75&lt;&gt;""))&gt;0,IF(COUNTIF($BI$75:$BP$75,1)=0,TRUE,SUMPRODUCT(($BI$75:$BP$75=1)*($AS$75:$AZ$75&lt;&gt;"")*IF(((UPPER($AS$75:$AZ$75)="BLANK")+(UPPER($AS$75:$AZ$75)="(BLANK)")+(UPPER($AS$75:$AZ$75)="EMPTY")+(UPPER($AS$75:$AZ$75)="(EMPTY)"))&gt;0,IFERROR(('Final Calculation Sheet'!$O$18)&amp;"","")="",ISNUMBER(SEARCH($AS$75:$AZ$75,IFERROR(('Final Calculation Sheet'!$O$18)&amp;"","")))))&gt;0),IF(COUNTIF($BI$75:$BP$75,2)=0,TRUE,SUMPRODUCT(($BI$75:$BP$75=2)*($AS$75:$AZ$75&lt;&gt;"")*IF(((UPPER($AS$75:$AZ$75)="BLANK")+(UPPER($AS$75:$AZ$75)="(BLANK)")+(UPPER($AS$75:$AZ$75)="EMPTY")+(UPPER($AS$75:$AZ$75)="(EMPTY)"))&gt;0,IFERROR(('Final Calculation Sheet'!$O$18)&amp;"","")="",ISNUMBER(SEARCH($AS$75:$AZ$75,IFERROR(('Final Calculation Sheet'!$O$18)&amp;"","")))))&gt;0),IF(COUNTIF($BI$75:$BP$75,3)=0,TRUE,SUMPRODUCT(($BI$75:$BP$75=3)*($AS$75:$AZ$75&lt;&gt;"")*IF(((UPPER($AS$75:$AZ$75)="BLANK")+(UPPER($AS$75:$AZ$75)="(BLANK)")+(UPPER($AS$75:$AZ$75)="EMPTY")+(UPPER($AS$75:$AZ$75)="(EMPTY)"))&gt;0,IFERROR(('Final Calculation Sheet'!$O$18)&amp;"","")="",ISNUMBER(SEARCH($AS$75:$AZ$75,IFERROR(('Final Calculation Sheet'!$O$18)&amp;"","")))))&gt;0),IF(COUNTIF($BI$75:$BP$75,4)=0,TRUE,SUMPRODUCT(($BI$75:$BP$75=4)*($AS$75:$AZ$75&lt;&gt;"")*IF(((UPPER($AS$75:$AZ$75)="BLANK")+(UPPER($AS$75:$AZ$75)="(BLANK)")+(UPPER($AS$75:$AZ$75)="EMPTY")+(UPPER($AS$75:$AZ$75)="(EMPTY)"))&gt;0,IFERROR(('Final Calculation Sheet'!$O$18)&amp;"","")="",ISNUMBER(SEARCH($AS$75:$AZ$75,IFERROR(('Final Calculation Sheet'!$O$18)&amp;"","")))))&gt;0),IF(COUNTIF($BI$75:$BP$75,5)=0,TRUE,SUMPRODUCT(($BI$75:$BP$75=5)*($AS$75:$AZ$75&lt;&gt;"")*IF(((UPPER($AS$75:$AZ$75)="BLANK")+(UPPER($AS$75:$AZ$75)="(BLANK)")+(UPPER($AS$75:$AZ$75)="EMPTY")+(UPPER($AS$75:$AZ$75)="(EMPTY)"))&gt;0,IFERROR(('Final Calculation Sheet'!$O$18)&amp;"","")="",ISNUMBER(SEARCH($AS$75:$AZ$75,IFERROR(('Final Calculation Sheet'!$O$18)&amp;"","")))))&gt;0),IF(COUNTIF($BI$75:$BP$75,6)=0,TRUE,SUMPRODUCT(($BI$75:$BP$75=6)*($AS$75:$AZ$75&lt;&gt;"")*IF(((UPPER($AS$75:$AZ$75)="BLANK")+(UPPER($AS$75:$AZ$75)="(BLANK)")+(UPPER($AS$75:$AZ$75)="EMPTY")+(UPPER($AS$75:$AZ$75)="(EMPTY)"))&gt;0,IFERROR(('Final Calculation Sheet'!$O$18)&amp;"","")="",ISNUMBER(SEARCH($AS$75:$AZ$75,IFERROR(('Final Calculation Sheet'!$O$18)&amp;"","")))))&gt;0),IF(COUNTIF($BI$75:$BP$75,7)=0,TRUE,SUMPRODUCT(($BI$75:$BP$75=7)*($AS$75:$AZ$75&lt;&gt;"")*IF(((UPPER($AS$75:$AZ$75)="BLANK")+(UPPER($AS$75:$AZ$75)="(BLANK)")+(UPPER($AS$75:$AZ$75)="EMPTY")+(UPPER($AS$75:$AZ$75)="(EMPTY)"))&gt;0,IFERROR(('Final Calculation Sheet'!$O$18)&amp;"","")="",ISNUMBER(SEARCH($AS$75:$AZ$75,IFERROR(('Final Calculation Sheet'!$O$18)&amp;"","")))))&gt;0),IF(COUNTIF($BI$75:$BP$75,8)=0,TRUE,SUMPRODUCT(($BI$75:$BP$75=8)*($AS$75:$AZ$75&lt;&gt;"")*IF(((UPPER($AS$75:$AZ$75)="BLANK")+(UPPER($AS$75:$AZ$75)="(BLANK)")+(UPPER($AS$75:$AZ$75)="EMPTY")+(UPPER($AS$75:$AZ$75)="(EMPTY)"))&gt;0,IFERROR(('Final Calculation Sheet'!$O$18)&amp;"","")="",ISNUMBER(SEARCH($AS$75:$AZ$75,IFERROR(('Final Calculation Sheet'!$O$18)&amp;"","")))))&gt;0))))</f>
        <v>1</v>
      </c>
      <c r="CC19">
        <f>IF($Q$4="",1,--(AND(SUMPRODUCT(--($AS$76:$AZ$76&lt;&gt;""))&gt;0,IF(COUNTIF($BI$76:$BP$76,1)=0,TRUE,SUMPRODUCT(($BI$76:$BP$76=1)*($AS$76:$AZ$76&lt;&gt;"")*IF(((UPPER($AS$76:$AZ$76)="BLANK")+(UPPER($AS$76:$AZ$76)="(BLANK)")+(UPPER($AS$76:$AZ$76)="EMPTY")+(UPPER($AS$76:$AZ$76)="(EMPTY)"))&gt;0,IFERROR(('Final Calculation Sheet'!$P$18)&amp;"","")="",ISNUMBER(SEARCH($AS$76:$AZ$76,IFERROR(('Final Calculation Sheet'!$P$18)&amp;"","")))))&gt;0),IF(COUNTIF($BI$76:$BP$76,2)=0,TRUE,SUMPRODUCT(($BI$76:$BP$76=2)*($AS$76:$AZ$76&lt;&gt;"")*IF(((UPPER($AS$76:$AZ$76)="BLANK")+(UPPER($AS$76:$AZ$76)="(BLANK)")+(UPPER($AS$76:$AZ$76)="EMPTY")+(UPPER($AS$76:$AZ$76)="(EMPTY)"))&gt;0,IFERROR(('Final Calculation Sheet'!$P$18)&amp;"","")="",ISNUMBER(SEARCH($AS$76:$AZ$76,IFERROR(('Final Calculation Sheet'!$P$18)&amp;"","")))))&gt;0),IF(COUNTIF($BI$76:$BP$76,3)=0,TRUE,SUMPRODUCT(($BI$76:$BP$76=3)*($AS$76:$AZ$76&lt;&gt;"")*IF(((UPPER($AS$76:$AZ$76)="BLANK")+(UPPER($AS$76:$AZ$76)="(BLANK)")+(UPPER($AS$76:$AZ$76)="EMPTY")+(UPPER($AS$76:$AZ$76)="(EMPTY)"))&gt;0,IFERROR(('Final Calculation Sheet'!$P$18)&amp;"","")="",ISNUMBER(SEARCH($AS$76:$AZ$76,IFERROR(('Final Calculation Sheet'!$P$18)&amp;"","")))))&gt;0),IF(COUNTIF($BI$76:$BP$76,4)=0,TRUE,SUMPRODUCT(($BI$76:$BP$76=4)*($AS$76:$AZ$76&lt;&gt;"")*IF(((UPPER($AS$76:$AZ$76)="BLANK")+(UPPER($AS$76:$AZ$76)="(BLANK)")+(UPPER($AS$76:$AZ$76)="EMPTY")+(UPPER($AS$76:$AZ$76)="(EMPTY)"))&gt;0,IFERROR(('Final Calculation Sheet'!$P$18)&amp;"","")="",ISNUMBER(SEARCH($AS$76:$AZ$76,IFERROR(('Final Calculation Sheet'!$P$18)&amp;"","")))))&gt;0),IF(COUNTIF($BI$76:$BP$76,5)=0,TRUE,SUMPRODUCT(($BI$76:$BP$76=5)*($AS$76:$AZ$76&lt;&gt;"")*IF(((UPPER($AS$76:$AZ$76)="BLANK")+(UPPER($AS$76:$AZ$76)="(BLANK)")+(UPPER($AS$76:$AZ$76)="EMPTY")+(UPPER($AS$76:$AZ$76)="(EMPTY)"))&gt;0,IFERROR(('Final Calculation Sheet'!$P$18)&amp;"","")="",ISNUMBER(SEARCH($AS$76:$AZ$76,IFERROR(('Final Calculation Sheet'!$P$18)&amp;"","")))))&gt;0),IF(COUNTIF($BI$76:$BP$76,6)=0,TRUE,SUMPRODUCT(($BI$76:$BP$76=6)*($AS$76:$AZ$76&lt;&gt;"")*IF(((UPPER($AS$76:$AZ$76)="BLANK")+(UPPER($AS$76:$AZ$76)="(BLANK)")+(UPPER($AS$76:$AZ$76)="EMPTY")+(UPPER($AS$76:$AZ$76)="(EMPTY)"))&gt;0,IFERROR(('Final Calculation Sheet'!$P$18)&amp;"","")="",ISNUMBER(SEARCH($AS$76:$AZ$76,IFERROR(('Final Calculation Sheet'!$P$18)&amp;"","")))))&gt;0),IF(COUNTIF($BI$76:$BP$76,7)=0,TRUE,SUMPRODUCT(($BI$76:$BP$76=7)*($AS$76:$AZ$76&lt;&gt;"")*IF(((UPPER($AS$76:$AZ$76)="BLANK")+(UPPER($AS$76:$AZ$76)="(BLANK)")+(UPPER($AS$76:$AZ$76)="EMPTY")+(UPPER($AS$76:$AZ$76)="(EMPTY)"))&gt;0,IFERROR(('Final Calculation Sheet'!$P$18)&amp;"","")="",ISNUMBER(SEARCH($AS$76:$AZ$76,IFERROR(('Final Calculation Sheet'!$P$18)&amp;"","")))))&gt;0),IF(COUNTIF($BI$76:$BP$76,8)=0,TRUE,SUMPRODUCT(($BI$76:$BP$76=8)*($AS$76:$AZ$76&lt;&gt;"")*IF(((UPPER($AS$76:$AZ$76)="BLANK")+(UPPER($AS$76:$AZ$76)="(BLANK)")+(UPPER($AS$76:$AZ$76)="EMPTY")+(UPPER($AS$76:$AZ$76)="(EMPTY)"))&gt;0,IFERROR(('Final Calculation Sheet'!$P$18)&amp;"","")="",ISNUMBER(SEARCH($AS$76:$AZ$76,IFERROR(('Final Calculation Sheet'!$P$18)&amp;"","")))))&gt;0))))</f>
        <v>1</v>
      </c>
      <c r="CD19">
        <f>IF($R$4="",1,--(AND(SUMPRODUCT(--($AS$77:$AZ$77&lt;&gt;""))&gt;0,IF(COUNTIF($BI$77:$BP$77,1)=0,TRUE,SUMPRODUCT(($BI$77:$BP$77=1)*($AS$77:$AZ$77&lt;&gt;"")*IF(((UPPER($AS$77:$AZ$77)="BLANK")+(UPPER($AS$77:$AZ$77)="(BLANK)")+(UPPER($AS$77:$AZ$77)="EMPTY")+(UPPER($AS$77:$AZ$77)="(EMPTY)"))&gt;0,IFERROR(('Final Calculation Sheet'!$Q$18)&amp;"","")="",ISNUMBER(SEARCH($AS$77:$AZ$77,IFERROR(('Final Calculation Sheet'!$Q$18)&amp;"","")))))&gt;0),IF(COUNTIF($BI$77:$BP$77,2)=0,TRUE,SUMPRODUCT(($BI$77:$BP$77=2)*($AS$77:$AZ$77&lt;&gt;"")*IF(((UPPER($AS$77:$AZ$77)="BLANK")+(UPPER($AS$77:$AZ$77)="(BLANK)")+(UPPER($AS$77:$AZ$77)="EMPTY")+(UPPER($AS$77:$AZ$77)="(EMPTY)"))&gt;0,IFERROR(('Final Calculation Sheet'!$Q$18)&amp;"","")="",ISNUMBER(SEARCH($AS$77:$AZ$77,IFERROR(('Final Calculation Sheet'!$Q$18)&amp;"","")))))&gt;0),IF(COUNTIF($BI$77:$BP$77,3)=0,TRUE,SUMPRODUCT(($BI$77:$BP$77=3)*($AS$77:$AZ$77&lt;&gt;"")*IF(((UPPER($AS$77:$AZ$77)="BLANK")+(UPPER($AS$77:$AZ$77)="(BLANK)")+(UPPER($AS$77:$AZ$77)="EMPTY")+(UPPER($AS$77:$AZ$77)="(EMPTY)"))&gt;0,IFERROR(('Final Calculation Sheet'!$Q$18)&amp;"","")="",ISNUMBER(SEARCH($AS$77:$AZ$77,IFERROR(('Final Calculation Sheet'!$Q$18)&amp;"","")))))&gt;0),IF(COUNTIF($BI$77:$BP$77,4)=0,TRUE,SUMPRODUCT(($BI$77:$BP$77=4)*($AS$77:$AZ$77&lt;&gt;"")*IF(((UPPER($AS$77:$AZ$77)="BLANK")+(UPPER($AS$77:$AZ$77)="(BLANK)")+(UPPER($AS$77:$AZ$77)="EMPTY")+(UPPER($AS$77:$AZ$77)="(EMPTY)"))&gt;0,IFERROR(('Final Calculation Sheet'!$Q$18)&amp;"","")="",ISNUMBER(SEARCH($AS$77:$AZ$77,IFERROR(('Final Calculation Sheet'!$Q$18)&amp;"","")))))&gt;0),IF(COUNTIF($BI$77:$BP$77,5)=0,TRUE,SUMPRODUCT(($BI$77:$BP$77=5)*($AS$77:$AZ$77&lt;&gt;"")*IF(((UPPER($AS$77:$AZ$77)="BLANK")+(UPPER($AS$77:$AZ$77)="(BLANK)")+(UPPER($AS$77:$AZ$77)="EMPTY")+(UPPER($AS$77:$AZ$77)="(EMPTY)"))&gt;0,IFERROR(('Final Calculation Sheet'!$Q$18)&amp;"","")="",ISNUMBER(SEARCH($AS$77:$AZ$77,IFERROR(('Final Calculation Sheet'!$Q$18)&amp;"","")))))&gt;0),IF(COUNTIF($BI$77:$BP$77,6)=0,TRUE,SUMPRODUCT(($BI$77:$BP$77=6)*($AS$77:$AZ$77&lt;&gt;"")*IF(((UPPER($AS$77:$AZ$77)="BLANK")+(UPPER($AS$77:$AZ$77)="(BLANK)")+(UPPER($AS$77:$AZ$77)="EMPTY")+(UPPER($AS$77:$AZ$77)="(EMPTY)"))&gt;0,IFERROR(('Final Calculation Sheet'!$Q$18)&amp;"","")="",ISNUMBER(SEARCH($AS$77:$AZ$77,IFERROR(('Final Calculation Sheet'!$Q$18)&amp;"","")))))&gt;0),IF(COUNTIF($BI$77:$BP$77,7)=0,TRUE,SUMPRODUCT(($BI$77:$BP$77=7)*($AS$77:$AZ$77&lt;&gt;"")*IF(((UPPER($AS$77:$AZ$77)="BLANK")+(UPPER($AS$77:$AZ$77)="(BLANK)")+(UPPER($AS$77:$AZ$77)="EMPTY")+(UPPER($AS$77:$AZ$77)="(EMPTY)"))&gt;0,IFERROR(('Final Calculation Sheet'!$Q$18)&amp;"","")="",ISNUMBER(SEARCH($AS$77:$AZ$77,IFERROR(('Final Calculation Sheet'!$Q$18)&amp;"","")))))&gt;0),IF(COUNTIF($BI$77:$BP$77,8)=0,TRUE,SUMPRODUCT(($BI$77:$BP$77=8)*($AS$77:$AZ$77&lt;&gt;"")*IF(((UPPER($AS$77:$AZ$77)="BLANK")+(UPPER($AS$77:$AZ$77)="(BLANK)")+(UPPER($AS$77:$AZ$77)="EMPTY")+(UPPER($AS$77:$AZ$77)="(EMPTY)"))&gt;0,IFERROR(('Final Calculation Sheet'!$Q$18)&amp;"","")="",ISNUMBER(SEARCH($AS$77:$AZ$77,IFERROR(('Final Calculation Sheet'!$Q$18)&amp;"","")))))&gt;0))))</f>
        <v>1</v>
      </c>
      <c r="CE19">
        <f>IF($S$4="",1,--(AND(SUMPRODUCT(--($AS$78:$AZ$78&lt;&gt;""))&gt;0,IF(COUNTIF($BI$78:$BP$78,1)=0,TRUE,SUMPRODUCT(($BI$78:$BP$78=1)*($AS$78:$AZ$78&lt;&gt;"")*IF(((UPPER($AS$78:$AZ$78)="BLANK")+(UPPER($AS$78:$AZ$78)="(BLANK)")+(UPPER($AS$78:$AZ$78)="EMPTY")+(UPPER($AS$78:$AZ$78)="(EMPTY)"))&gt;0,IFERROR(('Final Calculation Sheet'!$R$18)&amp;"","")="",ISNUMBER(SEARCH($AS$78:$AZ$78,IFERROR(('Final Calculation Sheet'!$R$18)&amp;"","")))))&gt;0),IF(COUNTIF($BI$78:$BP$78,2)=0,TRUE,SUMPRODUCT(($BI$78:$BP$78=2)*($AS$78:$AZ$78&lt;&gt;"")*IF(((UPPER($AS$78:$AZ$78)="BLANK")+(UPPER($AS$78:$AZ$78)="(BLANK)")+(UPPER($AS$78:$AZ$78)="EMPTY")+(UPPER($AS$78:$AZ$78)="(EMPTY)"))&gt;0,IFERROR(('Final Calculation Sheet'!$R$18)&amp;"","")="",ISNUMBER(SEARCH($AS$78:$AZ$78,IFERROR(('Final Calculation Sheet'!$R$18)&amp;"","")))))&gt;0),IF(COUNTIF($BI$78:$BP$78,3)=0,TRUE,SUMPRODUCT(($BI$78:$BP$78=3)*($AS$78:$AZ$78&lt;&gt;"")*IF(((UPPER($AS$78:$AZ$78)="BLANK")+(UPPER($AS$78:$AZ$78)="(BLANK)")+(UPPER($AS$78:$AZ$78)="EMPTY")+(UPPER($AS$78:$AZ$78)="(EMPTY)"))&gt;0,IFERROR(('Final Calculation Sheet'!$R$18)&amp;"","")="",ISNUMBER(SEARCH($AS$78:$AZ$78,IFERROR(('Final Calculation Sheet'!$R$18)&amp;"","")))))&gt;0),IF(COUNTIF($BI$78:$BP$78,4)=0,TRUE,SUMPRODUCT(($BI$78:$BP$78=4)*($AS$78:$AZ$78&lt;&gt;"")*IF(((UPPER($AS$78:$AZ$78)="BLANK")+(UPPER($AS$78:$AZ$78)="(BLANK)")+(UPPER($AS$78:$AZ$78)="EMPTY")+(UPPER($AS$78:$AZ$78)="(EMPTY)"))&gt;0,IFERROR(('Final Calculation Sheet'!$R$18)&amp;"","")="",ISNUMBER(SEARCH($AS$78:$AZ$78,IFERROR(('Final Calculation Sheet'!$R$18)&amp;"","")))))&gt;0),IF(COUNTIF($BI$78:$BP$78,5)=0,TRUE,SUMPRODUCT(($BI$78:$BP$78=5)*($AS$78:$AZ$78&lt;&gt;"")*IF(((UPPER($AS$78:$AZ$78)="BLANK")+(UPPER($AS$78:$AZ$78)="(BLANK)")+(UPPER($AS$78:$AZ$78)="EMPTY")+(UPPER($AS$78:$AZ$78)="(EMPTY)"))&gt;0,IFERROR(('Final Calculation Sheet'!$R$18)&amp;"","")="",ISNUMBER(SEARCH($AS$78:$AZ$78,IFERROR(('Final Calculation Sheet'!$R$18)&amp;"","")))))&gt;0),IF(COUNTIF($BI$78:$BP$78,6)=0,TRUE,SUMPRODUCT(($BI$78:$BP$78=6)*($AS$78:$AZ$78&lt;&gt;"")*IF(((UPPER($AS$78:$AZ$78)="BLANK")+(UPPER($AS$78:$AZ$78)="(BLANK)")+(UPPER($AS$78:$AZ$78)="EMPTY")+(UPPER($AS$78:$AZ$78)="(EMPTY)"))&gt;0,IFERROR(('Final Calculation Sheet'!$R$18)&amp;"","")="",ISNUMBER(SEARCH($AS$78:$AZ$78,IFERROR(('Final Calculation Sheet'!$R$18)&amp;"","")))))&gt;0),IF(COUNTIF($BI$78:$BP$78,7)=0,TRUE,SUMPRODUCT(($BI$78:$BP$78=7)*($AS$78:$AZ$78&lt;&gt;"")*IF(((UPPER($AS$78:$AZ$78)="BLANK")+(UPPER($AS$78:$AZ$78)="(BLANK)")+(UPPER($AS$78:$AZ$78)="EMPTY")+(UPPER($AS$78:$AZ$78)="(EMPTY)"))&gt;0,IFERROR(('Final Calculation Sheet'!$R$18)&amp;"","")="",ISNUMBER(SEARCH($AS$78:$AZ$78,IFERROR(('Final Calculation Sheet'!$R$18)&amp;"","")))))&gt;0),IF(COUNTIF($BI$78:$BP$78,8)=0,TRUE,SUMPRODUCT(($BI$78:$BP$78=8)*($AS$78:$AZ$78&lt;&gt;"")*IF(((UPPER($AS$78:$AZ$78)="BLANK")+(UPPER($AS$78:$AZ$78)="(BLANK)")+(UPPER($AS$78:$AZ$78)="EMPTY")+(UPPER($AS$78:$AZ$78)="(EMPTY)"))&gt;0,IFERROR(('Final Calculation Sheet'!$R$18)&amp;"","")="",ISNUMBER(SEARCH($AS$78:$AZ$78,IFERROR(('Final Calculation Sheet'!$R$18)&amp;"","")))))&gt;0))))</f>
        <v>1</v>
      </c>
      <c r="CF19">
        <f>IF($T$4="",1,--(AND(SUMPRODUCT(--($AS$79:$AZ$79&lt;&gt;""))&gt;0,IF(COUNTIF($BI$79:$BP$79,1)=0,TRUE,SUMPRODUCT(($BI$79:$BP$79=1)*($AS$79:$AZ$79&lt;&gt;"")*IF(((UPPER($AS$79:$AZ$79)="BLANK")+(UPPER($AS$79:$AZ$79)="(BLANK)")+(UPPER($AS$79:$AZ$79)="EMPTY")+(UPPER($AS$79:$AZ$79)="(EMPTY)"))&gt;0,IFERROR(('Final Calculation Sheet'!$S$18)&amp;"","")="",ISNUMBER(SEARCH($AS$79:$AZ$79,IFERROR(('Final Calculation Sheet'!$S$18)&amp;"","")))))&gt;0),IF(COUNTIF($BI$79:$BP$79,2)=0,TRUE,SUMPRODUCT(($BI$79:$BP$79=2)*($AS$79:$AZ$79&lt;&gt;"")*IF(((UPPER($AS$79:$AZ$79)="BLANK")+(UPPER($AS$79:$AZ$79)="(BLANK)")+(UPPER($AS$79:$AZ$79)="EMPTY")+(UPPER($AS$79:$AZ$79)="(EMPTY)"))&gt;0,IFERROR(('Final Calculation Sheet'!$S$18)&amp;"","")="",ISNUMBER(SEARCH($AS$79:$AZ$79,IFERROR(('Final Calculation Sheet'!$S$18)&amp;"","")))))&gt;0),IF(COUNTIF($BI$79:$BP$79,3)=0,TRUE,SUMPRODUCT(($BI$79:$BP$79=3)*($AS$79:$AZ$79&lt;&gt;"")*IF(((UPPER($AS$79:$AZ$79)="BLANK")+(UPPER($AS$79:$AZ$79)="(BLANK)")+(UPPER($AS$79:$AZ$79)="EMPTY")+(UPPER($AS$79:$AZ$79)="(EMPTY)"))&gt;0,IFERROR(('Final Calculation Sheet'!$S$18)&amp;"","")="",ISNUMBER(SEARCH($AS$79:$AZ$79,IFERROR(('Final Calculation Sheet'!$S$18)&amp;"","")))))&gt;0),IF(COUNTIF($BI$79:$BP$79,4)=0,TRUE,SUMPRODUCT(($BI$79:$BP$79=4)*($AS$79:$AZ$79&lt;&gt;"")*IF(((UPPER($AS$79:$AZ$79)="BLANK")+(UPPER($AS$79:$AZ$79)="(BLANK)")+(UPPER($AS$79:$AZ$79)="EMPTY")+(UPPER($AS$79:$AZ$79)="(EMPTY)"))&gt;0,IFERROR(('Final Calculation Sheet'!$S$18)&amp;"","")="",ISNUMBER(SEARCH($AS$79:$AZ$79,IFERROR(('Final Calculation Sheet'!$S$18)&amp;"","")))))&gt;0),IF(COUNTIF($BI$79:$BP$79,5)=0,TRUE,SUMPRODUCT(($BI$79:$BP$79=5)*($AS$79:$AZ$79&lt;&gt;"")*IF(((UPPER($AS$79:$AZ$79)="BLANK")+(UPPER($AS$79:$AZ$79)="(BLANK)")+(UPPER($AS$79:$AZ$79)="EMPTY")+(UPPER($AS$79:$AZ$79)="(EMPTY)"))&gt;0,IFERROR(('Final Calculation Sheet'!$S$18)&amp;"","")="",ISNUMBER(SEARCH($AS$79:$AZ$79,IFERROR(('Final Calculation Sheet'!$S$18)&amp;"","")))))&gt;0),IF(COUNTIF($BI$79:$BP$79,6)=0,TRUE,SUMPRODUCT(($BI$79:$BP$79=6)*($AS$79:$AZ$79&lt;&gt;"")*IF(((UPPER($AS$79:$AZ$79)="BLANK")+(UPPER($AS$79:$AZ$79)="(BLANK)")+(UPPER($AS$79:$AZ$79)="EMPTY")+(UPPER($AS$79:$AZ$79)="(EMPTY)"))&gt;0,IFERROR(('Final Calculation Sheet'!$S$18)&amp;"","")="",ISNUMBER(SEARCH($AS$79:$AZ$79,IFERROR(('Final Calculation Sheet'!$S$18)&amp;"","")))))&gt;0),IF(COUNTIF($BI$79:$BP$79,7)=0,TRUE,SUMPRODUCT(($BI$79:$BP$79=7)*($AS$79:$AZ$79&lt;&gt;"")*IF(((UPPER($AS$79:$AZ$79)="BLANK")+(UPPER($AS$79:$AZ$79)="(BLANK)")+(UPPER($AS$79:$AZ$79)="EMPTY")+(UPPER($AS$79:$AZ$79)="(EMPTY)"))&gt;0,IFERROR(('Final Calculation Sheet'!$S$18)&amp;"","")="",ISNUMBER(SEARCH($AS$79:$AZ$79,IFERROR(('Final Calculation Sheet'!$S$18)&amp;"","")))))&gt;0),IF(COUNTIF($BI$79:$BP$79,8)=0,TRUE,SUMPRODUCT(($BI$79:$BP$79=8)*($AS$79:$AZ$79&lt;&gt;"")*IF(((UPPER($AS$79:$AZ$79)="BLANK")+(UPPER($AS$79:$AZ$79)="(BLANK)")+(UPPER($AS$79:$AZ$79)="EMPTY")+(UPPER($AS$79:$AZ$79)="(EMPTY)"))&gt;0,IFERROR(('Final Calculation Sheet'!$S$18)&amp;"","")="",ISNUMBER(SEARCH($AS$79:$AZ$79,IFERROR(('Final Calculation Sheet'!$S$18)&amp;"","")))))&gt;0))))</f>
        <v>1</v>
      </c>
      <c r="CG19">
        <f>IF($U$4="",1,--(AND(SUMPRODUCT(--($AS$80:$AZ$80&lt;&gt;""))&gt;0,IF(COUNTIF($BI$80:$BP$80,1)=0,TRUE,SUMPRODUCT(($BI$80:$BP$80=1)*($AS$80:$AZ$80&lt;&gt;"")*IF(((UPPER($AS$80:$AZ$80)="BLANK")+(UPPER($AS$80:$AZ$80)="(BLANK)")+(UPPER($AS$80:$AZ$80)="EMPTY")+(UPPER($AS$80:$AZ$80)="(EMPTY)"))&gt;0,IFERROR(('Final Calculation Sheet'!$T$18)&amp;"","")="",ISNUMBER(SEARCH($AS$80:$AZ$80,IFERROR(('Final Calculation Sheet'!$T$18)&amp;"","")))))&gt;0),IF(COUNTIF($BI$80:$BP$80,2)=0,TRUE,SUMPRODUCT(($BI$80:$BP$80=2)*($AS$80:$AZ$80&lt;&gt;"")*IF(((UPPER($AS$80:$AZ$80)="BLANK")+(UPPER($AS$80:$AZ$80)="(BLANK)")+(UPPER($AS$80:$AZ$80)="EMPTY")+(UPPER($AS$80:$AZ$80)="(EMPTY)"))&gt;0,IFERROR(('Final Calculation Sheet'!$T$18)&amp;"","")="",ISNUMBER(SEARCH($AS$80:$AZ$80,IFERROR(('Final Calculation Sheet'!$T$18)&amp;"","")))))&gt;0),IF(COUNTIF($BI$80:$BP$80,3)=0,TRUE,SUMPRODUCT(($BI$80:$BP$80=3)*($AS$80:$AZ$80&lt;&gt;"")*IF(((UPPER($AS$80:$AZ$80)="BLANK")+(UPPER($AS$80:$AZ$80)="(BLANK)")+(UPPER($AS$80:$AZ$80)="EMPTY")+(UPPER($AS$80:$AZ$80)="(EMPTY)"))&gt;0,IFERROR(('Final Calculation Sheet'!$T$18)&amp;"","")="",ISNUMBER(SEARCH($AS$80:$AZ$80,IFERROR(('Final Calculation Sheet'!$T$18)&amp;"","")))))&gt;0),IF(COUNTIF($BI$80:$BP$80,4)=0,TRUE,SUMPRODUCT(($BI$80:$BP$80=4)*($AS$80:$AZ$80&lt;&gt;"")*IF(((UPPER($AS$80:$AZ$80)="BLANK")+(UPPER($AS$80:$AZ$80)="(BLANK)")+(UPPER($AS$80:$AZ$80)="EMPTY")+(UPPER($AS$80:$AZ$80)="(EMPTY)"))&gt;0,IFERROR(('Final Calculation Sheet'!$T$18)&amp;"","")="",ISNUMBER(SEARCH($AS$80:$AZ$80,IFERROR(('Final Calculation Sheet'!$T$18)&amp;"","")))))&gt;0),IF(COUNTIF($BI$80:$BP$80,5)=0,TRUE,SUMPRODUCT(($BI$80:$BP$80=5)*($AS$80:$AZ$80&lt;&gt;"")*IF(((UPPER($AS$80:$AZ$80)="BLANK")+(UPPER($AS$80:$AZ$80)="(BLANK)")+(UPPER($AS$80:$AZ$80)="EMPTY")+(UPPER($AS$80:$AZ$80)="(EMPTY)"))&gt;0,IFERROR(('Final Calculation Sheet'!$T$18)&amp;"","")="",ISNUMBER(SEARCH($AS$80:$AZ$80,IFERROR(('Final Calculation Sheet'!$T$18)&amp;"","")))))&gt;0),IF(COUNTIF($BI$80:$BP$80,6)=0,TRUE,SUMPRODUCT(($BI$80:$BP$80=6)*($AS$80:$AZ$80&lt;&gt;"")*IF(((UPPER($AS$80:$AZ$80)="BLANK")+(UPPER($AS$80:$AZ$80)="(BLANK)")+(UPPER($AS$80:$AZ$80)="EMPTY")+(UPPER($AS$80:$AZ$80)="(EMPTY)"))&gt;0,IFERROR(('Final Calculation Sheet'!$T$18)&amp;"","")="",ISNUMBER(SEARCH($AS$80:$AZ$80,IFERROR(('Final Calculation Sheet'!$T$18)&amp;"","")))))&gt;0),IF(COUNTIF($BI$80:$BP$80,7)=0,TRUE,SUMPRODUCT(($BI$80:$BP$80=7)*($AS$80:$AZ$80&lt;&gt;"")*IF(((UPPER($AS$80:$AZ$80)="BLANK")+(UPPER($AS$80:$AZ$80)="(BLANK)")+(UPPER($AS$80:$AZ$80)="EMPTY")+(UPPER($AS$80:$AZ$80)="(EMPTY)"))&gt;0,IFERROR(('Final Calculation Sheet'!$T$18)&amp;"","")="",ISNUMBER(SEARCH($AS$80:$AZ$80,IFERROR(('Final Calculation Sheet'!$T$18)&amp;"","")))))&gt;0),IF(COUNTIF($BI$80:$BP$80,8)=0,TRUE,SUMPRODUCT(($BI$80:$BP$80=8)*($AS$80:$AZ$80&lt;&gt;"")*IF(((UPPER($AS$80:$AZ$80)="BLANK")+(UPPER($AS$80:$AZ$80)="(BLANK)")+(UPPER($AS$80:$AZ$80)="EMPTY")+(UPPER($AS$80:$AZ$80)="(EMPTY)"))&gt;0,IFERROR(('Final Calculation Sheet'!$T$18)&amp;"","")="",ISNUMBER(SEARCH($AS$80:$AZ$80,IFERROR(('Final Calculation Sheet'!$T$18)&amp;"","")))))&gt;0))))</f>
        <v>1</v>
      </c>
      <c r="CH19">
        <f>IF($V$4="",1,--(AND(SUMPRODUCT(--($AS$81:$AZ$81&lt;&gt;""))&gt;0,IF(COUNTIF($BI$81:$BP$81,1)=0,TRUE,SUMPRODUCT(($BI$81:$BP$81=1)*($AS$81:$AZ$81&lt;&gt;"")*IF(((UPPER($AS$81:$AZ$81)="BLANK")+(UPPER($AS$81:$AZ$81)="(BLANK)")+(UPPER($AS$81:$AZ$81)="EMPTY")+(UPPER($AS$81:$AZ$81)="(EMPTY)"))&gt;0,IFERROR(('Final Calculation Sheet'!$U$18)&amp;"","")="",ISNUMBER(SEARCH($AS$81:$AZ$81,IFERROR(('Final Calculation Sheet'!$U$18)&amp;"","")))))&gt;0),IF(COUNTIF($BI$81:$BP$81,2)=0,TRUE,SUMPRODUCT(($BI$81:$BP$81=2)*($AS$81:$AZ$81&lt;&gt;"")*IF(((UPPER($AS$81:$AZ$81)="BLANK")+(UPPER($AS$81:$AZ$81)="(BLANK)")+(UPPER($AS$81:$AZ$81)="EMPTY")+(UPPER($AS$81:$AZ$81)="(EMPTY)"))&gt;0,IFERROR(('Final Calculation Sheet'!$U$18)&amp;"","")="",ISNUMBER(SEARCH($AS$81:$AZ$81,IFERROR(('Final Calculation Sheet'!$U$18)&amp;"","")))))&gt;0),IF(COUNTIF($BI$81:$BP$81,3)=0,TRUE,SUMPRODUCT(($BI$81:$BP$81=3)*($AS$81:$AZ$81&lt;&gt;"")*IF(((UPPER($AS$81:$AZ$81)="BLANK")+(UPPER($AS$81:$AZ$81)="(BLANK)")+(UPPER($AS$81:$AZ$81)="EMPTY")+(UPPER($AS$81:$AZ$81)="(EMPTY)"))&gt;0,IFERROR(('Final Calculation Sheet'!$U$18)&amp;"","")="",ISNUMBER(SEARCH($AS$81:$AZ$81,IFERROR(('Final Calculation Sheet'!$U$18)&amp;"","")))))&gt;0),IF(COUNTIF($BI$81:$BP$81,4)=0,TRUE,SUMPRODUCT(($BI$81:$BP$81=4)*($AS$81:$AZ$81&lt;&gt;"")*IF(((UPPER($AS$81:$AZ$81)="BLANK")+(UPPER($AS$81:$AZ$81)="(BLANK)")+(UPPER($AS$81:$AZ$81)="EMPTY")+(UPPER($AS$81:$AZ$81)="(EMPTY)"))&gt;0,IFERROR(('Final Calculation Sheet'!$U$18)&amp;"","")="",ISNUMBER(SEARCH($AS$81:$AZ$81,IFERROR(('Final Calculation Sheet'!$U$18)&amp;"","")))))&gt;0),IF(COUNTIF($BI$81:$BP$81,5)=0,TRUE,SUMPRODUCT(($BI$81:$BP$81=5)*($AS$81:$AZ$81&lt;&gt;"")*IF(((UPPER($AS$81:$AZ$81)="BLANK")+(UPPER($AS$81:$AZ$81)="(BLANK)")+(UPPER($AS$81:$AZ$81)="EMPTY")+(UPPER($AS$81:$AZ$81)="(EMPTY)"))&gt;0,IFERROR(('Final Calculation Sheet'!$U$18)&amp;"","")="",ISNUMBER(SEARCH($AS$81:$AZ$81,IFERROR(('Final Calculation Sheet'!$U$18)&amp;"","")))))&gt;0),IF(COUNTIF($BI$81:$BP$81,6)=0,TRUE,SUMPRODUCT(($BI$81:$BP$81=6)*($AS$81:$AZ$81&lt;&gt;"")*IF(((UPPER($AS$81:$AZ$81)="BLANK")+(UPPER($AS$81:$AZ$81)="(BLANK)")+(UPPER($AS$81:$AZ$81)="EMPTY")+(UPPER($AS$81:$AZ$81)="(EMPTY)"))&gt;0,IFERROR(('Final Calculation Sheet'!$U$18)&amp;"","")="",ISNUMBER(SEARCH($AS$81:$AZ$81,IFERROR(('Final Calculation Sheet'!$U$18)&amp;"","")))))&gt;0),IF(COUNTIF($BI$81:$BP$81,7)=0,TRUE,SUMPRODUCT(($BI$81:$BP$81=7)*($AS$81:$AZ$81&lt;&gt;"")*IF(((UPPER($AS$81:$AZ$81)="BLANK")+(UPPER($AS$81:$AZ$81)="(BLANK)")+(UPPER($AS$81:$AZ$81)="EMPTY")+(UPPER($AS$81:$AZ$81)="(EMPTY)"))&gt;0,IFERROR(('Final Calculation Sheet'!$U$18)&amp;"","")="",ISNUMBER(SEARCH($AS$81:$AZ$81,IFERROR(('Final Calculation Sheet'!$U$18)&amp;"","")))))&gt;0),IF(COUNTIF($BI$81:$BP$81,8)=0,TRUE,SUMPRODUCT(($BI$81:$BP$81=8)*($AS$81:$AZ$81&lt;&gt;"")*IF(((UPPER($AS$81:$AZ$81)="BLANK")+(UPPER($AS$81:$AZ$81)="(BLANK)")+(UPPER($AS$81:$AZ$81)="EMPTY")+(UPPER($AS$81:$AZ$81)="(EMPTY)"))&gt;0,IFERROR(('Final Calculation Sheet'!$U$18)&amp;"","")="",ISNUMBER(SEARCH($AS$81:$AZ$81,IFERROR(('Final Calculation Sheet'!$U$18)&amp;"","")))))&gt;0))))</f>
        <v>1</v>
      </c>
      <c r="CI19">
        <f>IF($W$4="",1,--(AND(SUMPRODUCT(--($AS$82:$AZ$82&lt;&gt;""))&gt;0,IF(COUNTIF($BI$82:$BP$82,1)=0,TRUE,SUMPRODUCT(($BI$82:$BP$82=1)*($AS$82:$AZ$82&lt;&gt;"")*IF(((UPPER($AS$82:$AZ$82)="BLANK")+(UPPER($AS$82:$AZ$82)="(BLANK)")+(UPPER($AS$82:$AZ$82)="EMPTY")+(UPPER($AS$82:$AZ$82)="(EMPTY)"))&gt;0,IFERROR(('Final Calculation Sheet'!$V$18)&amp;"","")="",ISNUMBER(SEARCH($AS$82:$AZ$82,IFERROR(('Final Calculation Sheet'!$V$18)&amp;"","")))))&gt;0),IF(COUNTIF($BI$82:$BP$82,2)=0,TRUE,SUMPRODUCT(($BI$82:$BP$82=2)*($AS$82:$AZ$82&lt;&gt;"")*IF(((UPPER($AS$82:$AZ$82)="BLANK")+(UPPER($AS$82:$AZ$82)="(BLANK)")+(UPPER($AS$82:$AZ$82)="EMPTY")+(UPPER($AS$82:$AZ$82)="(EMPTY)"))&gt;0,IFERROR(('Final Calculation Sheet'!$V$18)&amp;"","")="",ISNUMBER(SEARCH($AS$82:$AZ$82,IFERROR(('Final Calculation Sheet'!$V$18)&amp;"","")))))&gt;0),IF(COUNTIF($BI$82:$BP$82,3)=0,TRUE,SUMPRODUCT(($BI$82:$BP$82=3)*($AS$82:$AZ$82&lt;&gt;"")*IF(((UPPER($AS$82:$AZ$82)="BLANK")+(UPPER($AS$82:$AZ$82)="(BLANK)")+(UPPER($AS$82:$AZ$82)="EMPTY")+(UPPER($AS$82:$AZ$82)="(EMPTY)"))&gt;0,IFERROR(('Final Calculation Sheet'!$V$18)&amp;"","")="",ISNUMBER(SEARCH($AS$82:$AZ$82,IFERROR(('Final Calculation Sheet'!$V$18)&amp;"","")))))&gt;0),IF(COUNTIF($BI$82:$BP$82,4)=0,TRUE,SUMPRODUCT(($BI$82:$BP$82=4)*($AS$82:$AZ$82&lt;&gt;"")*IF(((UPPER($AS$82:$AZ$82)="BLANK")+(UPPER($AS$82:$AZ$82)="(BLANK)")+(UPPER($AS$82:$AZ$82)="EMPTY")+(UPPER($AS$82:$AZ$82)="(EMPTY)"))&gt;0,IFERROR(('Final Calculation Sheet'!$V$18)&amp;"","")="",ISNUMBER(SEARCH($AS$82:$AZ$82,IFERROR(('Final Calculation Sheet'!$V$18)&amp;"","")))))&gt;0),IF(COUNTIF($BI$82:$BP$82,5)=0,TRUE,SUMPRODUCT(($BI$82:$BP$82=5)*($AS$82:$AZ$82&lt;&gt;"")*IF(((UPPER($AS$82:$AZ$82)="BLANK")+(UPPER($AS$82:$AZ$82)="(BLANK)")+(UPPER($AS$82:$AZ$82)="EMPTY")+(UPPER($AS$82:$AZ$82)="(EMPTY)"))&gt;0,IFERROR(('Final Calculation Sheet'!$V$18)&amp;"","")="",ISNUMBER(SEARCH($AS$82:$AZ$82,IFERROR(('Final Calculation Sheet'!$V$18)&amp;"","")))))&gt;0),IF(COUNTIF($BI$82:$BP$82,6)=0,TRUE,SUMPRODUCT(($BI$82:$BP$82=6)*($AS$82:$AZ$82&lt;&gt;"")*IF(((UPPER($AS$82:$AZ$82)="BLANK")+(UPPER($AS$82:$AZ$82)="(BLANK)")+(UPPER($AS$82:$AZ$82)="EMPTY")+(UPPER($AS$82:$AZ$82)="(EMPTY)"))&gt;0,IFERROR(('Final Calculation Sheet'!$V$18)&amp;"","")="",ISNUMBER(SEARCH($AS$82:$AZ$82,IFERROR(('Final Calculation Sheet'!$V$18)&amp;"","")))))&gt;0),IF(COUNTIF($BI$82:$BP$82,7)=0,TRUE,SUMPRODUCT(($BI$82:$BP$82=7)*($AS$82:$AZ$82&lt;&gt;"")*IF(((UPPER($AS$82:$AZ$82)="BLANK")+(UPPER($AS$82:$AZ$82)="(BLANK)")+(UPPER($AS$82:$AZ$82)="EMPTY")+(UPPER($AS$82:$AZ$82)="(EMPTY)"))&gt;0,IFERROR(('Final Calculation Sheet'!$V$18)&amp;"","")="",ISNUMBER(SEARCH($AS$82:$AZ$82,IFERROR(('Final Calculation Sheet'!$V$18)&amp;"","")))))&gt;0),IF(COUNTIF($BI$82:$BP$82,8)=0,TRUE,SUMPRODUCT(($BI$82:$BP$82=8)*($AS$82:$AZ$82&lt;&gt;"")*IF(((UPPER($AS$82:$AZ$82)="BLANK")+(UPPER($AS$82:$AZ$82)="(BLANK)")+(UPPER($AS$82:$AZ$82)="EMPTY")+(UPPER($AS$82:$AZ$82)="(EMPTY)"))&gt;0,IFERROR(('Final Calculation Sheet'!$V$18)&amp;"","")="",ISNUMBER(SEARCH($AS$82:$AZ$82,IFERROR(('Final Calculation Sheet'!$V$18)&amp;"","")))))&gt;0))))</f>
        <v>1</v>
      </c>
      <c r="CJ19">
        <f>IF($X$4="",1,--(AND(SUMPRODUCT(--($AS$83:$AZ$83&lt;&gt;""))&gt;0,IF(COUNTIF($BI$83:$BP$83,1)=0,TRUE,SUMPRODUCT(($BI$83:$BP$83=1)*($AS$83:$AZ$83&lt;&gt;"")*IF(((UPPER($AS$83:$AZ$83)="BLANK")+(UPPER($AS$83:$AZ$83)="(BLANK)")+(UPPER($AS$83:$AZ$83)="EMPTY")+(UPPER($AS$83:$AZ$83)="(EMPTY)"))&gt;0,IFERROR(('Final Calculation Sheet'!$W$18)&amp;"","")="",ISNUMBER(SEARCH($AS$83:$AZ$83,IFERROR(('Final Calculation Sheet'!$W$18)&amp;"","")))))&gt;0),IF(COUNTIF($BI$83:$BP$83,2)=0,TRUE,SUMPRODUCT(($BI$83:$BP$83=2)*($AS$83:$AZ$83&lt;&gt;"")*IF(((UPPER($AS$83:$AZ$83)="BLANK")+(UPPER($AS$83:$AZ$83)="(BLANK)")+(UPPER($AS$83:$AZ$83)="EMPTY")+(UPPER($AS$83:$AZ$83)="(EMPTY)"))&gt;0,IFERROR(('Final Calculation Sheet'!$W$18)&amp;"","")="",ISNUMBER(SEARCH($AS$83:$AZ$83,IFERROR(('Final Calculation Sheet'!$W$18)&amp;"","")))))&gt;0),IF(COUNTIF($BI$83:$BP$83,3)=0,TRUE,SUMPRODUCT(($BI$83:$BP$83=3)*($AS$83:$AZ$83&lt;&gt;"")*IF(((UPPER($AS$83:$AZ$83)="BLANK")+(UPPER($AS$83:$AZ$83)="(BLANK)")+(UPPER($AS$83:$AZ$83)="EMPTY")+(UPPER($AS$83:$AZ$83)="(EMPTY)"))&gt;0,IFERROR(('Final Calculation Sheet'!$W$18)&amp;"","")="",ISNUMBER(SEARCH($AS$83:$AZ$83,IFERROR(('Final Calculation Sheet'!$W$18)&amp;"","")))))&gt;0),IF(COUNTIF($BI$83:$BP$83,4)=0,TRUE,SUMPRODUCT(($BI$83:$BP$83=4)*($AS$83:$AZ$83&lt;&gt;"")*IF(((UPPER($AS$83:$AZ$83)="BLANK")+(UPPER($AS$83:$AZ$83)="(BLANK)")+(UPPER($AS$83:$AZ$83)="EMPTY")+(UPPER($AS$83:$AZ$83)="(EMPTY)"))&gt;0,IFERROR(('Final Calculation Sheet'!$W$18)&amp;"","")="",ISNUMBER(SEARCH($AS$83:$AZ$83,IFERROR(('Final Calculation Sheet'!$W$18)&amp;"","")))))&gt;0),IF(COUNTIF($BI$83:$BP$83,5)=0,TRUE,SUMPRODUCT(($BI$83:$BP$83=5)*($AS$83:$AZ$83&lt;&gt;"")*IF(((UPPER($AS$83:$AZ$83)="BLANK")+(UPPER($AS$83:$AZ$83)="(BLANK)")+(UPPER($AS$83:$AZ$83)="EMPTY")+(UPPER($AS$83:$AZ$83)="(EMPTY)"))&gt;0,IFERROR(('Final Calculation Sheet'!$W$18)&amp;"","")="",ISNUMBER(SEARCH($AS$83:$AZ$83,IFERROR(('Final Calculation Sheet'!$W$18)&amp;"","")))))&gt;0),IF(COUNTIF($BI$83:$BP$83,6)=0,TRUE,SUMPRODUCT(($BI$83:$BP$83=6)*($AS$83:$AZ$83&lt;&gt;"")*IF(((UPPER($AS$83:$AZ$83)="BLANK")+(UPPER($AS$83:$AZ$83)="(BLANK)")+(UPPER($AS$83:$AZ$83)="EMPTY")+(UPPER($AS$83:$AZ$83)="(EMPTY)"))&gt;0,IFERROR(('Final Calculation Sheet'!$W$18)&amp;"","")="",ISNUMBER(SEARCH($AS$83:$AZ$83,IFERROR(('Final Calculation Sheet'!$W$18)&amp;"","")))))&gt;0),IF(COUNTIF($BI$83:$BP$83,7)=0,TRUE,SUMPRODUCT(($BI$83:$BP$83=7)*($AS$83:$AZ$83&lt;&gt;"")*IF(((UPPER($AS$83:$AZ$83)="BLANK")+(UPPER($AS$83:$AZ$83)="(BLANK)")+(UPPER($AS$83:$AZ$83)="EMPTY")+(UPPER($AS$83:$AZ$83)="(EMPTY)"))&gt;0,IFERROR(('Final Calculation Sheet'!$W$18)&amp;"","")="",ISNUMBER(SEARCH($AS$83:$AZ$83,IFERROR(('Final Calculation Sheet'!$W$18)&amp;"","")))))&gt;0),IF(COUNTIF($BI$83:$BP$83,8)=0,TRUE,SUMPRODUCT(($BI$83:$BP$83=8)*($AS$83:$AZ$83&lt;&gt;"")*IF(((UPPER($AS$83:$AZ$83)="BLANK")+(UPPER($AS$83:$AZ$83)="(BLANK)")+(UPPER($AS$83:$AZ$83)="EMPTY")+(UPPER($AS$83:$AZ$83)="(EMPTY)"))&gt;0,IFERROR(('Final Calculation Sheet'!$W$18)&amp;"","")="",ISNUMBER(SEARCH($AS$83:$AZ$83,IFERROR(('Final Calculation Sheet'!$W$18)&amp;"","")))))&gt;0))))</f>
        <v>1</v>
      </c>
      <c r="CK19">
        <f>IF($Y$4="",1,--(AND(SUMPRODUCT(--($AS$84:$AZ$84&lt;&gt;""))&gt;0,IF(COUNTIF($BI$84:$BP$84,1)=0,TRUE,SUMPRODUCT(($BI$84:$BP$84=1)*($AS$84:$AZ$84&lt;&gt;"")*IF(((UPPER($AS$84:$AZ$84)="BLANK")+(UPPER($AS$84:$AZ$84)="(BLANK)")+(UPPER($AS$84:$AZ$84)="EMPTY")+(UPPER($AS$84:$AZ$84)="(EMPTY)"))&gt;0,IFERROR(('Final Calculation Sheet'!$X$18)&amp;"","")="",ISNUMBER(SEARCH($AS$84:$AZ$84,IFERROR(('Final Calculation Sheet'!$X$18)&amp;"","")))))&gt;0),IF(COUNTIF($BI$84:$BP$84,2)=0,TRUE,SUMPRODUCT(($BI$84:$BP$84=2)*($AS$84:$AZ$84&lt;&gt;"")*IF(((UPPER($AS$84:$AZ$84)="BLANK")+(UPPER($AS$84:$AZ$84)="(BLANK)")+(UPPER($AS$84:$AZ$84)="EMPTY")+(UPPER($AS$84:$AZ$84)="(EMPTY)"))&gt;0,IFERROR(('Final Calculation Sheet'!$X$18)&amp;"","")="",ISNUMBER(SEARCH($AS$84:$AZ$84,IFERROR(('Final Calculation Sheet'!$X$18)&amp;"","")))))&gt;0),IF(COUNTIF($BI$84:$BP$84,3)=0,TRUE,SUMPRODUCT(($BI$84:$BP$84=3)*($AS$84:$AZ$84&lt;&gt;"")*IF(((UPPER($AS$84:$AZ$84)="BLANK")+(UPPER($AS$84:$AZ$84)="(BLANK)")+(UPPER($AS$84:$AZ$84)="EMPTY")+(UPPER($AS$84:$AZ$84)="(EMPTY)"))&gt;0,IFERROR(('Final Calculation Sheet'!$X$18)&amp;"","")="",ISNUMBER(SEARCH($AS$84:$AZ$84,IFERROR(('Final Calculation Sheet'!$X$18)&amp;"","")))))&gt;0),IF(COUNTIF($BI$84:$BP$84,4)=0,TRUE,SUMPRODUCT(($BI$84:$BP$84=4)*($AS$84:$AZ$84&lt;&gt;"")*IF(((UPPER($AS$84:$AZ$84)="BLANK")+(UPPER($AS$84:$AZ$84)="(BLANK)")+(UPPER($AS$84:$AZ$84)="EMPTY")+(UPPER($AS$84:$AZ$84)="(EMPTY)"))&gt;0,IFERROR(('Final Calculation Sheet'!$X$18)&amp;"","")="",ISNUMBER(SEARCH($AS$84:$AZ$84,IFERROR(('Final Calculation Sheet'!$X$18)&amp;"","")))))&gt;0),IF(COUNTIF($BI$84:$BP$84,5)=0,TRUE,SUMPRODUCT(($BI$84:$BP$84=5)*($AS$84:$AZ$84&lt;&gt;"")*IF(((UPPER($AS$84:$AZ$84)="BLANK")+(UPPER($AS$84:$AZ$84)="(BLANK)")+(UPPER($AS$84:$AZ$84)="EMPTY")+(UPPER($AS$84:$AZ$84)="(EMPTY)"))&gt;0,IFERROR(('Final Calculation Sheet'!$X$18)&amp;"","")="",ISNUMBER(SEARCH($AS$84:$AZ$84,IFERROR(('Final Calculation Sheet'!$X$18)&amp;"","")))))&gt;0),IF(COUNTIF($BI$84:$BP$84,6)=0,TRUE,SUMPRODUCT(($BI$84:$BP$84=6)*($AS$84:$AZ$84&lt;&gt;"")*IF(((UPPER($AS$84:$AZ$84)="BLANK")+(UPPER($AS$84:$AZ$84)="(BLANK)")+(UPPER($AS$84:$AZ$84)="EMPTY")+(UPPER($AS$84:$AZ$84)="(EMPTY)"))&gt;0,IFERROR(('Final Calculation Sheet'!$X$18)&amp;"","")="",ISNUMBER(SEARCH($AS$84:$AZ$84,IFERROR(('Final Calculation Sheet'!$X$18)&amp;"","")))))&gt;0),IF(COUNTIF($BI$84:$BP$84,7)=0,TRUE,SUMPRODUCT(($BI$84:$BP$84=7)*($AS$84:$AZ$84&lt;&gt;"")*IF(((UPPER($AS$84:$AZ$84)="BLANK")+(UPPER($AS$84:$AZ$84)="(BLANK)")+(UPPER($AS$84:$AZ$84)="EMPTY")+(UPPER($AS$84:$AZ$84)="(EMPTY)"))&gt;0,IFERROR(('Final Calculation Sheet'!$X$18)&amp;"","")="",ISNUMBER(SEARCH($AS$84:$AZ$84,IFERROR(('Final Calculation Sheet'!$X$18)&amp;"","")))))&gt;0),IF(COUNTIF($BI$84:$BP$84,8)=0,TRUE,SUMPRODUCT(($BI$84:$BP$84=8)*($AS$84:$AZ$84&lt;&gt;"")*IF(((UPPER($AS$84:$AZ$84)="BLANK")+(UPPER($AS$84:$AZ$84)="(BLANK)")+(UPPER($AS$84:$AZ$84)="EMPTY")+(UPPER($AS$84:$AZ$84)="(EMPTY)"))&gt;0,IFERROR(('Final Calculation Sheet'!$X$18)&amp;"","")="",ISNUMBER(SEARCH($AS$84:$AZ$84,IFERROR(('Final Calculation Sheet'!$X$18)&amp;"","")))))&gt;0))))</f>
        <v>1</v>
      </c>
      <c r="CL19">
        <f>IF($Z$4="",1,--(AND(SUMPRODUCT(--($AS$85:$AZ$85&lt;&gt;""))&gt;0,IF(COUNTIF($BI$85:$BP$85,1)=0,TRUE,SUMPRODUCT(($BI$85:$BP$85=1)*($AS$85:$AZ$85&lt;&gt;"")*IF(((UPPER($AS$85:$AZ$85)="BLANK")+(UPPER($AS$85:$AZ$85)="(BLANK)")+(UPPER($AS$85:$AZ$85)="EMPTY")+(UPPER($AS$85:$AZ$85)="(EMPTY)"))&gt;0,IFERROR(('Final Calculation Sheet'!$Y$18)&amp;"","")="",ISNUMBER(SEARCH($AS$85:$AZ$85,IFERROR(('Final Calculation Sheet'!$Y$18)&amp;"","")))))&gt;0),IF(COUNTIF($BI$85:$BP$85,2)=0,TRUE,SUMPRODUCT(($BI$85:$BP$85=2)*($AS$85:$AZ$85&lt;&gt;"")*IF(((UPPER($AS$85:$AZ$85)="BLANK")+(UPPER($AS$85:$AZ$85)="(BLANK)")+(UPPER($AS$85:$AZ$85)="EMPTY")+(UPPER($AS$85:$AZ$85)="(EMPTY)"))&gt;0,IFERROR(('Final Calculation Sheet'!$Y$18)&amp;"","")="",ISNUMBER(SEARCH($AS$85:$AZ$85,IFERROR(('Final Calculation Sheet'!$Y$18)&amp;"","")))))&gt;0),IF(COUNTIF($BI$85:$BP$85,3)=0,TRUE,SUMPRODUCT(($BI$85:$BP$85=3)*($AS$85:$AZ$85&lt;&gt;"")*IF(((UPPER($AS$85:$AZ$85)="BLANK")+(UPPER($AS$85:$AZ$85)="(BLANK)")+(UPPER($AS$85:$AZ$85)="EMPTY")+(UPPER($AS$85:$AZ$85)="(EMPTY)"))&gt;0,IFERROR(('Final Calculation Sheet'!$Y$18)&amp;"","")="",ISNUMBER(SEARCH($AS$85:$AZ$85,IFERROR(('Final Calculation Sheet'!$Y$18)&amp;"","")))))&gt;0),IF(COUNTIF($BI$85:$BP$85,4)=0,TRUE,SUMPRODUCT(($BI$85:$BP$85=4)*($AS$85:$AZ$85&lt;&gt;"")*IF(((UPPER($AS$85:$AZ$85)="BLANK")+(UPPER($AS$85:$AZ$85)="(BLANK)")+(UPPER($AS$85:$AZ$85)="EMPTY")+(UPPER($AS$85:$AZ$85)="(EMPTY)"))&gt;0,IFERROR(('Final Calculation Sheet'!$Y$18)&amp;"","")="",ISNUMBER(SEARCH($AS$85:$AZ$85,IFERROR(('Final Calculation Sheet'!$Y$18)&amp;"","")))))&gt;0),IF(COUNTIF($BI$85:$BP$85,5)=0,TRUE,SUMPRODUCT(($BI$85:$BP$85=5)*($AS$85:$AZ$85&lt;&gt;"")*IF(((UPPER($AS$85:$AZ$85)="BLANK")+(UPPER($AS$85:$AZ$85)="(BLANK)")+(UPPER($AS$85:$AZ$85)="EMPTY")+(UPPER($AS$85:$AZ$85)="(EMPTY)"))&gt;0,IFERROR(('Final Calculation Sheet'!$Y$18)&amp;"","")="",ISNUMBER(SEARCH($AS$85:$AZ$85,IFERROR(('Final Calculation Sheet'!$Y$18)&amp;"","")))))&gt;0),IF(COUNTIF($BI$85:$BP$85,6)=0,TRUE,SUMPRODUCT(($BI$85:$BP$85=6)*($AS$85:$AZ$85&lt;&gt;"")*IF(((UPPER($AS$85:$AZ$85)="BLANK")+(UPPER($AS$85:$AZ$85)="(BLANK)")+(UPPER($AS$85:$AZ$85)="EMPTY")+(UPPER($AS$85:$AZ$85)="(EMPTY)"))&gt;0,IFERROR(('Final Calculation Sheet'!$Y$18)&amp;"","")="",ISNUMBER(SEARCH($AS$85:$AZ$85,IFERROR(('Final Calculation Sheet'!$Y$18)&amp;"","")))))&gt;0),IF(COUNTIF($BI$85:$BP$85,7)=0,TRUE,SUMPRODUCT(($BI$85:$BP$85=7)*($AS$85:$AZ$85&lt;&gt;"")*IF(((UPPER($AS$85:$AZ$85)="BLANK")+(UPPER($AS$85:$AZ$85)="(BLANK)")+(UPPER($AS$85:$AZ$85)="EMPTY")+(UPPER($AS$85:$AZ$85)="(EMPTY)"))&gt;0,IFERROR(('Final Calculation Sheet'!$Y$18)&amp;"","")="",ISNUMBER(SEARCH($AS$85:$AZ$85,IFERROR(('Final Calculation Sheet'!$Y$18)&amp;"","")))))&gt;0),IF(COUNTIF($BI$85:$BP$85,8)=0,TRUE,SUMPRODUCT(($BI$85:$BP$85=8)*($AS$85:$AZ$85&lt;&gt;"")*IF(((UPPER($AS$85:$AZ$85)="BLANK")+(UPPER($AS$85:$AZ$85)="(BLANK)")+(UPPER($AS$85:$AZ$85)="EMPTY")+(UPPER($AS$85:$AZ$85)="(EMPTY)"))&gt;0,IFERROR(('Final Calculation Sheet'!$Y$18)&amp;"","")="",ISNUMBER(SEARCH($AS$85:$AZ$85,IFERROR(('Final Calculation Sheet'!$Y$18)&amp;"","")))))&gt;0))))</f>
        <v>1</v>
      </c>
      <c r="CM19">
        <f>IF($AA$4="",1,--(AND(SUMPRODUCT(--($AS$86:$AZ$86&lt;&gt;""))&gt;0,IF(COUNTIF($BI$86:$BP$86,1)=0,TRUE,SUMPRODUCT(($BI$86:$BP$86=1)*($AS$86:$AZ$86&lt;&gt;"")*IF(((UPPER($AS$86:$AZ$86)="BLANK")+(UPPER($AS$86:$AZ$86)="(BLANK)")+(UPPER($AS$86:$AZ$86)="EMPTY")+(UPPER($AS$86:$AZ$86)="(EMPTY)"))&gt;0,IFERROR(('Final Calculation Sheet'!$Z$18)&amp;"","")="",ISNUMBER(SEARCH($AS$86:$AZ$86,IFERROR(('Final Calculation Sheet'!$Z$18)&amp;"","")))))&gt;0),IF(COUNTIF($BI$86:$BP$86,2)=0,TRUE,SUMPRODUCT(($BI$86:$BP$86=2)*($AS$86:$AZ$86&lt;&gt;"")*IF(((UPPER($AS$86:$AZ$86)="BLANK")+(UPPER($AS$86:$AZ$86)="(BLANK)")+(UPPER($AS$86:$AZ$86)="EMPTY")+(UPPER($AS$86:$AZ$86)="(EMPTY)"))&gt;0,IFERROR(('Final Calculation Sheet'!$Z$18)&amp;"","")="",ISNUMBER(SEARCH($AS$86:$AZ$86,IFERROR(('Final Calculation Sheet'!$Z$18)&amp;"","")))))&gt;0),IF(COUNTIF($BI$86:$BP$86,3)=0,TRUE,SUMPRODUCT(($BI$86:$BP$86=3)*($AS$86:$AZ$86&lt;&gt;"")*IF(((UPPER($AS$86:$AZ$86)="BLANK")+(UPPER($AS$86:$AZ$86)="(BLANK)")+(UPPER($AS$86:$AZ$86)="EMPTY")+(UPPER($AS$86:$AZ$86)="(EMPTY)"))&gt;0,IFERROR(('Final Calculation Sheet'!$Z$18)&amp;"","")="",ISNUMBER(SEARCH($AS$86:$AZ$86,IFERROR(('Final Calculation Sheet'!$Z$18)&amp;"","")))))&gt;0),IF(COUNTIF($BI$86:$BP$86,4)=0,TRUE,SUMPRODUCT(($BI$86:$BP$86=4)*($AS$86:$AZ$86&lt;&gt;"")*IF(((UPPER($AS$86:$AZ$86)="BLANK")+(UPPER($AS$86:$AZ$86)="(BLANK)")+(UPPER($AS$86:$AZ$86)="EMPTY")+(UPPER($AS$86:$AZ$86)="(EMPTY)"))&gt;0,IFERROR(('Final Calculation Sheet'!$Z$18)&amp;"","")="",ISNUMBER(SEARCH($AS$86:$AZ$86,IFERROR(('Final Calculation Sheet'!$Z$18)&amp;"","")))))&gt;0),IF(COUNTIF($BI$86:$BP$86,5)=0,TRUE,SUMPRODUCT(($BI$86:$BP$86=5)*($AS$86:$AZ$86&lt;&gt;"")*IF(((UPPER($AS$86:$AZ$86)="BLANK")+(UPPER($AS$86:$AZ$86)="(BLANK)")+(UPPER($AS$86:$AZ$86)="EMPTY")+(UPPER($AS$86:$AZ$86)="(EMPTY)"))&gt;0,IFERROR(('Final Calculation Sheet'!$Z$18)&amp;"","")="",ISNUMBER(SEARCH($AS$86:$AZ$86,IFERROR(('Final Calculation Sheet'!$Z$18)&amp;"","")))))&gt;0),IF(COUNTIF($BI$86:$BP$86,6)=0,TRUE,SUMPRODUCT(($BI$86:$BP$86=6)*($AS$86:$AZ$86&lt;&gt;"")*IF(((UPPER($AS$86:$AZ$86)="BLANK")+(UPPER($AS$86:$AZ$86)="(BLANK)")+(UPPER($AS$86:$AZ$86)="EMPTY")+(UPPER($AS$86:$AZ$86)="(EMPTY)"))&gt;0,IFERROR(('Final Calculation Sheet'!$Z$18)&amp;"","")="",ISNUMBER(SEARCH($AS$86:$AZ$86,IFERROR(('Final Calculation Sheet'!$Z$18)&amp;"","")))))&gt;0),IF(COUNTIF($BI$86:$BP$86,7)=0,TRUE,SUMPRODUCT(($BI$86:$BP$86=7)*($AS$86:$AZ$86&lt;&gt;"")*IF(((UPPER($AS$86:$AZ$86)="BLANK")+(UPPER($AS$86:$AZ$86)="(BLANK)")+(UPPER($AS$86:$AZ$86)="EMPTY")+(UPPER($AS$86:$AZ$86)="(EMPTY)"))&gt;0,IFERROR(('Final Calculation Sheet'!$Z$18)&amp;"","")="",ISNUMBER(SEARCH($AS$86:$AZ$86,IFERROR(('Final Calculation Sheet'!$Z$18)&amp;"","")))))&gt;0),IF(COUNTIF($BI$86:$BP$86,8)=0,TRUE,SUMPRODUCT(($BI$86:$BP$86=8)*($AS$86:$AZ$86&lt;&gt;"")*IF(((UPPER($AS$86:$AZ$86)="BLANK")+(UPPER($AS$86:$AZ$86)="(BLANK)")+(UPPER($AS$86:$AZ$86)="EMPTY")+(UPPER($AS$86:$AZ$86)="(EMPTY)"))&gt;0,IFERROR(('Final Calculation Sheet'!$Z$18)&amp;"","")="",ISNUMBER(SEARCH($AS$86:$AZ$86,IFERROR(('Final Calculation Sheet'!$Z$18)&amp;"","")))))&gt;0))))</f>
        <v>1</v>
      </c>
      <c r="CN19">
        <f>IF($AB$4="",1,--(AND(SUMPRODUCT(--($AS$87:$AZ$87&lt;&gt;""))&gt;0,IF(COUNTIF($BI$87:$BP$87,1)=0,TRUE,SUMPRODUCT(($BI$87:$BP$87=1)*($AS$87:$AZ$87&lt;&gt;"")*IF(((UPPER($AS$87:$AZ$87)="BLANK")+(UPPER($AS$87:$AZ$87)="(BLANK)")+(UPPER($AS$87:$AZ$87)="EMPTY")+(UPPER($AS$87:$AZ$87)="(EMPTY)"))&gt;0,IFERROR(('Final Calculation Sheet'!$AA$18)&amp;"","")="",ISNUMBER(SEARCH($AS$87:$AZ$87,IFERROR(('Final Calculation Sheet'!$AA$18)&amp;"","")))))&gt;0),IF(COUNTIF($BI$87:$BP$87,2)=0,TRUE,SUMPRODUCT(($BI$87:$BP$87=2)*($AS$87:$AZ$87&lt;&gt;"")*IF(((UPPER($AS$87:$AZ$87)="BLANK")+(UPPER($AS$87:$AZ$87)="(BLANK)")+(UPPER($AS$87:$AZ$87)="EMPTY")+(UPPER($AS$87:$AZ$87)="(EMPTY)"))&gt;0,IFERROR(('Final Calculation Sheet'!$AA$18)&amp;"","")="",ISNUMBER(SEARCH($AS$87:$AZ$87,IFERROR(('Final Calculation Sheet'!$AA$18)&amp;"","")))))&gt;0),IF(COUNTIF($BI$87:$BP$87,3)=0,TRUE,SUMPRODUCT(($BI$87:$BP$87=3)*($AS$87:$AZ$87&lt;&gt;"")*IF(((UPPER($AS$87:$AZ$87)="BLANK")+(UPPER($AS$87:$AZ$87)="(BLANK)")+(UPPER($AS$87:$AZ$87)="EMPTY")+(UPPER($AS$87:$AZ$87)="(EMPTY)"))&gt;0,IFERROR(('Final Calculation Sheet'!$AA$18)&amp;"","")="",ISNUMBER(SEARCH($AS$87:$AZ$87,IFERROR(('Final Calculation Sheet'!$AA$18)&amp;"","")))))&gt;0),IF(COUNTIF($BI$87:$BP$87,4)=0,TRUE,SUMPRODUCT(($BI$87:$BP$87=4)*($AS$87:$AZ$87&lt;&gt;"")*IF(((UPPER($AS$87:$AZ$87)="BLANK")+(UPPER($AS$87:$AZ$87)="(BLANK)")+(UPPER($AS$87:$AZ$87)="EMPTY")+(UPPER($AS$87:$AZ$87)="(EMPTY)"))&gt;0,IFERROR(('Final Calculation Sheet'!$AA$18)&amp;"","")="",ISNUMBER(SEARCH($AS$87:$AZ$87,IFERROR(('Final Calculation Sheet'!$AA$18)&amp;"","")))))&gt;0),IF(COUNTIF($BI$87:$BP$87,5)=0,TRUE,SUMPRODUCT(($BI$87:$BP$87=5)*($AS$87:$AZ$87&lt;&gt;"")*IF(((UPPER($AS$87:$AZ$87)="BLANK")+(UPPER($AS$87:$AZ$87)="(BLANK)")+(UPPER($AS$87:$AZ$87)="EMPTY")+(UPPER($AS$87:$AZ$87)="(EMPTY)"))&gt;0,IFERROR(('Final Calculation Sheet'!$AA$18)&amp;"","")="",ISNUMBER(SEARCH($AS$87:$AZ$87,IFERROR(('Final Calculation Sheet'!$AA$18)&amp;"","")))))&gt;0),IF(COUNTIF($BI$87:$BP$87,6)=0,TRUE,SUMPRODUCT(($BI$87:$BP$87=6)*($AS$87:$AZ$87&lt;&gt;"")*IF(((UPPER($AS$87:$AZ$87)="BLANK")+(UPPER($AS$87:$AZ$87)="(BLANK)")+(UPPER($AS$87:$AZ$87)="EMPTY")+(UPPER($AS$87:$AZ$87)="(EMPTY)"))&gt;0,IFERROR(('Final Calculation Sheet'!$AA$18)&amp;"","")="",ISNUMBER(SEARCH($AS$87:$AZ$87,IFERROR(('Final Calculation Sheet'!$AA$18)&amp;"","")))))&gt;0),IF(COUNTIF($BI$87:$BP$87,7)=0,TRUE,SUMPRODUCT(($BI$87:$BP$87=7)*($AS$87:$AZ$87&lt;&gt;"")*IF(((UPPER($AS$87:$AZ$87)="BLANK")+(UPPER($AS$87:$AZ$87)="(BLANK)")+(UPPER($AS$87:$AZ$87)="EMPTY")+(UPPER($AS$87:$AZ$87)="(EMPTY)"))&gt;0,IFERROR(('Final Calculation Sheet'!$AA$18)&amp;"","")="",ISNUMBER(SEARCH($AS$87:$AZ$87,IFERROR(('Final Calculation Sheet'!$AA$18)&amp;"","")))))&gt;0),IF(COUNTIF($BI$87:$BP$87,8)=0,TRUE,SUMPRODUCT(($BI$87:$BP$87=8)*($AS$87:$AZ$87&lt;&gt;"")*IF(((UPPER($AS$87:$AZ$87)="BLANK")+(UPPER($AS$87:$AZ$87)="(BLANK)")+(UPPER($AS$87:$AZ$87)="EMPTY")+(UPPER($AS$87:$AZ$87)="(EMPTY)"))&gt;0,IFERROR(('Final Calculation Sheet'!$AA$18)&amp;"","")="",ISNUMBER(SEARCH($AS$87:$AZ$87,IFERROR(('Final Calculation Sheet'!$AA$18)&amp;"","")))))&gt;0))))</f>
        <v>1</v>
      </c>
      <c r="CO19">
        <f>IF($AC$4="",1,--(AND(SUMPRODUCT(--($AS$88:$AZ$88&lt;&gt;""))&gt;0,IF(COUNTIF($BI$88:$BP$88,1)=0,TRUE,SUMPRODUCT(($BI$88:$BP$88=1)*($AS$88:$AZ$88&lt;&gt;"")*IF(((UPPER($AS$88:$AZ$88)="BLANK")+(UPPER($AS$88:$AZ$88)="(BLANK)")+(UPPER($AS$88:$AZ$88)="EMPTY")+(UPPER($AS$88:$AZ$88)="(EMPTY)"))&gt;0,IFERROR(('Final Calculation Sheet'!$AB$18)&amp;"","")="",ISNUMBER(SEARCH($AS$88:$AZ$88,IFERROR(('Final Calculation Sheet'!$AB$18)&amp;"","")))))&gt;0),IF(COUNTIF($BI$88:$BP$88,2)=0,TRUE,SUMPRODUCT(($BI$88:$BP$88=2)*($AS$88:$AZ$88&lt;&gt;"")*IF(((UPPER($AS$88:$AZ$88)="BLANK")+(UPPER($AS$88:$AZ$88)="(BLANK)")+(UPPER($AS$88:$AZ$88)="EMPTY")+(UPPER($AS$88:$AZ$88)="(EMPTY)"))&gt;0,IFERROR(('Final Calculation Sheet'!$AB$18)&amp;"","")="",ISNUMBER(SEARCH($AS$88:$AZ$88,IFERROR(('Final Calculation Sheet'!$AB$18)&amp;"","")))))&gt;0),IF(COUNTIF($BI$88:$BP$88,3)=0,TRUE,SUMPRODUCT(($BI$88:$BP$88=3)*($AS$88:$AZ$88&lt;&gt;"")*IF(((UPPER($AS$88:$AZ$88)="BLANK")+(UPPER($AS$88:$AZ$88)="(BLANK)")+(UPPER($AS$88:$AZ$88)="EMPTY")+(UPPER($AS$88:$AZ$88)="(EMPTY)"))&gt;0,IFERROR(('Final Calculation Sheet'!$AB$18)&amp;"","")="",ISNUMBER(SEARCH($AS$88:$AZ$88,IFERROR(('Final Calculation Sheet'!$AB$18)&amp;"","")))))&gt;0),IF(COUNTIF($BI$88:$BP$88,4)=0,TRUE,SUMPRODUCT(($BI$88:$BP$88=4)*($AS$88:$AZ$88&lt;&gt;"")*IF(((UPPER($AS$88:$AZ$88)="BLANK")+(UPPER($AS$88:$AZ$88)="(BLANK)")+(UPPER($AS$88:$AZ$88)="EMPTY")+(UPPER($AS$88:$AZ$88)="(EMPTY)"))&gt;0,IFERROR(('Final Calculation Sheet'!$AB$18)&amp;"","")="",ISNUMBER(SEARCH($AS$88:$AZ$88,IFERROR(('Final Calculation Sheet'!$AB$18)&amp;"","")))))&gt;0),IF(COUNTIF($BI$88:$BP$88,5)=0,TRUE,SUMPRODUCT(($BI$88:$BP$88=5)*($AS$88:$AZ$88&lt;&gt;"")*IF(((UPPER($AS$88:$AZ$88)="BLANK")+(UPPER($AS$88:$AZ$88)="(BLANK)")+(UPPER($AS$88:$AZ$88)="EMPTY")+(UPPER($AS$88:$AZ$88)="(EMPTY)"))&gt;0,IFERROR(('Final Calculation Sheet'!$AB$18)&amp;"","")="",ISNUMBER(SEARCH($AS$88:$AZ$88,IFERROR(('Final Calculation Sheet'!$AB$18)&amp;"","")))))&gt;0),IF(COUNTIF($BI$88:$BP$88,6)=0,TRUE,SUMPRODUCT(($BI$88:$BP$88=6)*($AS$88:$AZ$88&lt;&gt;"")*IF(((UPPER($AS$88:$AZ$88)="BLANK")+(UPPER($AS$88:$AZ$88)="(BLANK)")+(UPPER($AS$88:$AZ$88)="EMPTY")+(UPPER($AS$88:$AZ$88)="(EMPTY)"))&gt;0,IFERROR(('Final Calculation Sheet'!$AB$18)&amp;"","")="",ISNUMBER(SEARCH($AS$88:$AZ$88,IFERROR(('Final Calculation Sheet'!$AB$18)&amp;"","")))))&gt;0),IF(COUNTIF($BI$88:$BP$88,7)=0,TRUE,SUMPRODUCT(($BI$88:$BP$88=7)*($AS$88:$AZ$88&lt;&gt;"")*IF(((UPPER($AS$88:$AZ$88)="BLANK")+(UPPER($AS$88:$AZ$88)="(BLANK)")+(UPPER($AS$88:$AZ$88)="EMPTY")+(UPPER($AS$88:$AZ$88)="(EMPTY)"))&gt;0,IFERROR(('Final Calculation Sheet'!$AB$18)&amp;"","")="",ISNUMBER(SEARCH($AS$88:$AZ$88,IFERROR(('Final Calculation Sheet'!$AB$18)&amp;"","")))))&gt;0),IF(COUNTIF($BI$88:$BP$88,8)=0,TRUE,SUMPRODUCT(($BI$88:$BP$88=8)*($AS$88:$AZ$88&lt;&gt;"")*IF(((UPPER($AS$88:$AZ$88)="BLANK")+(UPPER($AS$88:$AZ$88)="(BLANK)")+(UPPER($AS$88:$AZ$88)="EMPTY")+(UPPER($AS$88:$AZ$88)="(EMPTY)"))&gt;0,IFERROR(('Final Calculation Sheet'!$AB$18)&amp;"","")="",ISNUMBER(SEARCH($AS$88:$AZ$88,IFERROR(('Final Calculation Sheet'!$AB$18)&amp;"","")))))&gt;0))))</f>
        <v>1</v>
      </c>
      <c r="CP19">
        <f>IF($AD$4="",1,--(AND(SUMPRODUCT(--($AS$89:$AZ$89&lt;&gt;""))&gt;0,IF(COUNTIF($BI$89:$BP$89,1)=0,TRUE,SUMPRODUCT(($BI$89:$BP$89=1)*($AS$89:$AZ$89&lt;&gt;"")*IF(((UPPER($AS$89:$AZ$89)="BLANK")+(UPPER($AS$89:$AZ$89)="(BLANK)")+(UPPER($AS$89:$AZ$89)="EMPTY")+(UPPER($AS$89:$AZ$89)="(EMPTY)"))&gt;0,IFERROR(('Final Calculation Sheet'!$AC$18)&amp;"","")="",ISNUMBER(SEARCH($AS$89:$AZ$89,IFERROR(('Final Calculation Sheet'!$AC$18)&amp;"","")))))&gt;0),IF(COUNTIF($BI$89:$BP$89,2)=0,TRUE,SUMPRODUCT(($BI$89:$BP$89=2)*($AS$89:$AZ$89&lt;&gt;"")*IF(((UPPER($AS$89:$AZ$89)="BLANK")+(UPPER($AS$89:$AZ$89)="(BLANK)")+(UPPER($AS$89:$AZ$89)="EMPTY")+(UPPER($AS$89:$AZ$89)="(EMPTY)"))&gt;0,IFERROR(('Final Calculation Sheet'!$AC$18)&amp;"","")="",ISNUMBER(SEARCH($AS$89:$AZ$89,IFERROR(('Final Calculation Sheet'!$AC$18)&amp;"","")))))&gt;0),IF(COUNTIF($BI$89:$BP$89,3)=0,TRUE,SUMPRODUCT(($BI$89:$BP$89=3)*($AS$89:$AZ$89&lt;&gt;"")*IF(((UPPER($AS$89:$AZ$89)="BLANK")+(UPPER($AS$89:$AZ$89)="(BLANK)")+(UPPER($AS$89:$AZ$89)="EMPTY")+(UPPER($AS$89:$AZ$89)="(EMPTY)"))&gt;0,IFERROR(('Final Calculation Sheet'!$AC$18)&amp;"","")="",ISNUMBER(SEARCH($AS$89:$AZ$89,IFERROR(('Final Calculation Sheet'!$AC$18)&amp;"","")))))&gt;0),IF(COUNTIF($BI$89:$BP$89,4)=0,TRUE,SUMPRODUCT(($BI$89:$BP$89=4)*($AS$89:$AZ$89&lt;&gt;"")*IF(((UPPER($AS$89:$AZ$89)="BLANK")+(UPPER($AS$89:$AZ$89)="(BLANK)")+(UPPER($AS$89:$AZ$89)="EMPTY")+(UPPER($AS$89:$AZ$89)="(EMPTY)"))&gt;0,IFERROR(('Final Calculation Sheet'!$AC$18)&amp;"","")="",ISNUMBER(SEARCH($AS$89:$AZ$89,IFERROR(('Final Calculation Sheet'!$AC$18)&amp;"","")))))&gt;0),IF(COUNTIF($BI$89:$BP$89,5)=0,TRUE,SUMPRODUCT(($BI$89:$BP$89=5)*($AS$89:$AZ$89&lt;&gt;"")*IF(((UPPER($AS$89:$AZ$89)="BLANK")+(UPPER($AS$89:$AZ$89)="(BLANK)")+(UPPER($AS$89:$AZ$89)="EMPTY")+(UPPER($AS$89:$AZ$89)="(EMPTY)"))&gt;0,IFERROR(('Final Calculation Sheet'!$AC$18)&amp;"","")="",ISNUMBER(SEARCH($AS$89:$AZ$89,IFERROR(('Final Calculation Sheet'!$AC$18)&amp;"","")))))&gt;0),IF(COUNTIF($BI$89:$BP$89,6)=0,TRUE,SUMPRODUCT(($BI$89:$BP$89=6)*($AS$89:$AZ$89&lt;&gt;"")*IF(((UPPER($AS$89:$AZ$89)="BLANK")+(UPPER($AS$89:$AZ$89)="(BLANK)")+(UPPER($AS$89:$AZ$89)="EMPTY")+(UPPER($AS$89:$AZ$89)="(EMPTY)"))&gt;0,IFERROR(('Final Calculation Sheet'!$AC$18)&amp;"","")="",ISNUMBER(SEARCH($AS$89:$AZ$89,IFERROR(('Final Calculation Sheet'!$AC$18)&amp;"","")))))&gt;0),IF(COUNTIF($BI$89:$BP$89,7)=0,TRUE,SUMPRODUCT(($BI$89:$BP$89=7)*($AS$89:$AZ$89&lt;&gt;"")*IF(((UPPER($AS$89:$AZ$89)="BLANK")+(UPPER($AS$89:$AZ$89)="(BLANK)")+(UPPER($AS$89:$AZ$89)="EMPTY")+(UPPER($AS$89:$AZ$89)="(EMPTY)"))&gt;0,IFERROR(('Final Calculation Sheet'!$AC$18)&amp;"","")="",ISNUMBER(SEARCH($AS$89:$AZ$89,IFERROR(('Final Calculation Sheet'!$AC$18)&amp;"","")))))&gt;0),IF(COUNTIF($BI$89:$BP$89,8)=0,TRUE,SUMPRODUCT(($BI$89:$BP$89=8)*($AS$89:$AZ$89&lt;&gt;"")*IF(((UPPER($AS$89:$AZ$89)="BLANK")+(UPPER($AS$89:$AZ$89)="(BLANK)")+(UPPER($AS$89:$AZ$89)="EMPTY")+(UPPER($AS$89:$AZ$89)="(EMPTY)"))&gt;0,IFERROR(('Final Calculation Sheet'!$AC$18)&amp;"","")="",ISNUMBER(SEARCH($AS$89:$AZ$89,IFERROR(('Final Calculation Sheet'!$AC$18)&amp;"","")))))&gt;0))))</f>
        <v>1</v>
      </c>
      <c r="CQ19">
        <f>IF($AE$4="",1,--(AND(SUMPRODUCT(--($AS$90:$AZ$90&lt;&gt;""))&gt;0,IF(COUNTIF($BI$90:$BP$90,1)=0,TRUE,SUMPRODUCT(($BI$90:$BP$90=1)*($AS$90:$AZ$90&lt;&gt;"")*IF(((UPPER($AS$90:$AZ$90)="BLANK")+(UPPER($AS$90:$AZ$90)="(BLANK)")+(UPPER($AS$90:$AZ$90)="EMPTY")+(UPPER($AS$90:$AZ$90)="(EMPTY)"))&gt;0,IFERROR(('Final Calculation Sheet'!$AD$18)&amp;"","")="",ISNUMBER(SEARCH($AS$90:$AZ$90,IFERROR(('Final Calculation Sheet'!$AD$18)&amp;"","")))))&gt;0),IF(COUNTIF($BI$90:$BP$90,2)=0,TRUE,SUMPRODUCT(($BI$90:$BP$90=2)*($AS$90:$AZ$90&lt;&gt;"")*IF(((UPPER($AS$90:$AZ$90)="BLANK")+(UPPER($AS$90:$AZ$90)="(BLANK)")+(UPPER($AS$90:$AZ$90)="EMPTY")+(UPPER($AS$90:$AZ$90)="(EMPTY)"))&gt;0,IFERROR(('Final Calculation Sheet'!$AD$18)&amp;"","")="",ISNUMBER(SEARCH($AS$90:$AZ$90,IFERROR(('Final Calculation Sheet'!$AD$18)&amp;"","")))))&gt;0),IF(COUNTIF($BI$90:$BP$90,3)=0,TRUE,SUMPRODUCT(($BI$90:$BP$90=3)*($AS$90:$AZ$90&lt;&gt;"")*IF(((UPPER($AS$90:$AZ$90)="BLANK")+(UPPER($AS$90:$AZ$90)="(BLANK)")+(UPPER($AS$90:$AZ$90)="EMPTY")+(UPPER($AS$90:$AZ$90)="(EMPTY)"))&gt;0,IFERROR(('Final Calculation Sheet'!$AD$18)&amp;"","")="",ISNUMBER(SEARCH($AS$90:$AZ$90,IFERROR(('Final Calculation Sheet'!$AD$18)&amp;"","")))))&gt;0),IF(COUNTIF($BI$90:$BP$90,4)=0,TRUE,SUMPRODUCT(($BI$90:$BP$90=4)*($AS$90:$AZ$90&lt;&gt;"")*IF(((UPPER($AS$90:$AZ$90)="BLANK")+(UPPER($AS$90:$AZ$90)="(BLANK)")+(UPPER($AS$90:$AZ$90)="EMPTY")+(UPPER($AS$90:$AZ$90)="(EMPTY)"))&gt;0,IFERROR(('Final Calculation Sheet'!$AD$18)&amp;"","")="",ISNUMBER(SEARCH($AS$90:$AZ$90,IFERROR(('Final Calculation Sheet'!$AD$18)&amp;"","")))))&gt;0),IF(COUNTIF($BI$90:$BP$90,5)=0,TRUE,SUMPRODUCT(($BI$90:$BP$90=5)*($AS$90:$AZ$90&lt;&gt;"")*IF(((UPPER($AS$90:$AZ$90)="BLANK")+(UPPER($AS$90:$AZ$90)="(BLANK)")+(UPPER($AS$90:$AZ$90)="EMPTY")+(UPPER($AS$90:$AZ$90)="(EMPTY)"))&gt;0,IFERROR(('Final Calculation Sheet'!$AD$18)&amp;"","")="",ISNUMBER(SEARCH($AS$90:$AZ$90,IFERROR(('Final Calculation Sheet'!$AD$18)&amp;"","")))))&gt;0),IF(COUNTIF($BI$90:$BP$90,6)=0,TRUE,SUMPRODUCT(($BI$90:$BP$90=6)*($AS$90:$AZ$90&lt;&gt;"")*IF(((UPPER($AS$90:$AZ$90)="BLANK")+(UPPER($AS$90:$AZ$90)="(BLANK)")+(UPPER($AS$90:$AZ$90)="EMPTY")+(UPPER($AS$90:$AZ$90)="(EMPTY)"))&gt;0,IFERROR(('Final Calculation Sheet'!$AD$18)&amp;"","")="",ISNUMBER(SEARCH($AS$90:$AZ$90,IFERROR(('Final Calculation Sheet'!$AD$18)&amp;"","")))))&gt;0),IF(COUNTIF($BI$90:$BP$90,7)=0,TRUE,SUMPRODUCT(($BI$90:$BP$90=7)*($AS$90:$AZ$90&lt;&gt;"")*IF(((UPPER($AS$90:$AZ$90)="BLANK")+(UPPER($AS$90:$AZ$90)="(BLANK)")+(UPPER($AS$90:$AZ$90)="EMPTY")+(UPPER($AS$90:$AZ$90)="(EMPTY)"))&gt;0,IFERROR(('Final Calculation Sheet'!$AD$18)&amp;"","")="",ISNUMBER(SEARCH($AS$90:$AZ$90,IFERROR(('Final Calculation Sheet'!$AD$18)&amp;"","")))))&gt;0),IF(COUNTIF($BI$90:$BP$90,8)=0,TRUE,SUMPRODUCT(($BI$90:$BP$90=8)*($AS$90:$AZ$90&lt;&gt;"")*IF(((UPPER($AS$90:$AZ$90)="BLANK")+(UPPER($AS$90:$AZ$90)="(BLANK)")+(UPPER($AS$90:$AZ$90)="EMPTY")+(UPPER($AS$90:$AZ$90)="(EMPTY)"))&gt;0,IFERROR(('Final Calculation Sheet'!$AD$18)&amp;"","")="",ISNUMBER(SEARCH($AS$90:$AZ$90,IFERROR(('Final Calculation Sheet'!$AD$18)&amp;"","")))))&gt;0))))</f>
        <v>1</v>
      </c>
      <c r="CR19">
        <f>IF($AF$4="",1,--(AND(SUMPRODUCT(--($AS$91:$AZ$91&lt;&gt;""))&gt;0,IF(COUNTIF($BI$91:$BP$91,1)=0,TRUE,SUMPRODUCT(($BI$91:$BP$91=1)*($AS$91:$AZ$91&lt;&gt;"")*IF(((UPPER($AS$91:$AZ$91)="BLANK")+(UPPER($AS$91:$AZ$91)="(BLANK)")+(UPPER($AS$91:$AZ$91)="EMPTY")+(UPPER($AS$91:$AZ$91)="(EMPTY)"))&gt;0,IFERROR(('Final Calculation Sheet'!$AE$18)&amp;"","")="",ISNUMBER(SEARCH($AS$91:$AZ$91,IFERROR(('Final Calculation Sheet'!$AE$18)&amp;"","")))))&gt;0),IF(COUNTIF($BI$91:$BP$91,2)=0,TRUE,SUMPRODUCT(($BI$91:$BP$91=2)*($AS$91:$AZ$91&lt;&gt;"")*IF(((UPPER($AS$91:$AZ$91)="BLANK")+(UPPER($AS$91:$AZ$91)="(BLANK)")+(UPPER($AS$91:$AZ$91)="EMPTY")+(UPPER($AS$91:$AZ$91)="(EMPTY)"))&gt;0,IFERROR(('Final Calculation Sheet'!$AE$18)&amp;"","")="",ISNUMBER(SEARCH($AS$91:$AZ$91,IFERROR(('Final Calculation Sheet'!$AE$18)&amp;"","")))))&gt;0),IF(COUNTIF($BI$91:$BP$91,3)=0,TRUE,SUMPRODUCT(($BI$91:$BP$91=3)*($AS$91:$AZ$91&lt;&gt;"")*IF(((UPPER($AS$91:$AZ$91)="BLANK")+(UPPER($AS$91:$AZ$91)="(BLANK)")+(UPPER($AS$91:$AZ$91)="EMPTY")+(UPPER($AS$91:$AZ$91)="(EMPTY)"))&gt;0,IFERROR(('Final Calculation Sheet'!$AE$18)&amp;"","")="",ISNUMBER(SEARCH($AS$91:$AZ$91,IFERROR(('Final Calculation Sheet'!$AE$18)&amp;"","")))))&gt;0),IF(COUNTIF($BI$91:$BP$91,4)=0,TRUE,SUMPRODUCT(($BI$91:$BP$91=4)*($AS$91:$AZ$91&lt;&gt;"")*IF(((UPPER($AS$91:$AZ$91)="BLANK")+(UPPER($AS$91:$AZ$91)="(BLANK)")+(UPPER($AS$91:$AZ$91)="EMPTY")+(UPPER($AS$91:$AZ$91)="(EMPTY)"))&gt;0,IFERROR(('Final Calculation Sheet'!$AE$18)&amp;"","")="",ISNUMBER(SEARCH($AS$91:$AZ$91,IFERROR(('Final Calculation Sheet'!$AE$18)&amp;"","")))))&gt;0),IF(COUNTIF($BI$91:$BP$91,5)=0,TRUE,SUMPRODUCT(($BI$91:$BP$91=5)*($AS$91:$AZ$91&lt;&gt;"")*IF(((UPPER($AS$91:$AZ$91)="BLANK")+(UPPER($AS$91:$AZ$91)="(BLANK)")+(UPPER($AS$91:$AZ$91)="EMPTY")+(UPPER($AS$91:$AZ$91)="(EMPTY)"))&gt;0,IFERROR(('Final Calculation Sheet'!$AE$18)&amp;"","")="",ISNUMBER(SEARCH($AS$91:$AZ$91,IFERROR(('Final Calculation Sheet'!$AE$18)&amp;"","")))))&gt;0),IF(COUNTIF($BI$91:$BP$91,6)=0,TRUE,SUMPRODUCT(($BI$91:$BP$91=6)*($AS$91:$AZ$91&lt;&gt;"")*IF(((UPPER($AS$91:$AZ$91)="BLANK")+(UPPER($AS$91:$AZ$91)="(BLANK)")+(UPPER($AS$91:$AZ$91)="EMPTY")+(UPPER($AS$91:$AZ$91)="(EMPTY)"))&gt;0,IFERROR(('Final Calculation Sheet'!$AE$18)&amp;"","")="",ISNUMBER(SEARCH($AS$91:$AZ$91,IFERROR(('Final Calculation Sheet'!$AE$18)&amp;"","")))))&gt;0),IF(COUNTIF($BI$91:$BP$91,7)=0,TRUE,SUMPRODUCT(($BI$91:$BP$91=7)*($AS$91:$AZ$91&lt;&gt;"")*IF(((UPPER($AS$91:$AZ$91)="BLANK")+(UPPER($AS$91:$AZ$91)="(BLANK)")+(UPPER($AS$91:$AZ$91)="EMPTY")+(UPPER($AS$91:$AZ$91)="(EMPTY)"))&gt;0,IFERROR(('Final Calculation Sheet'!$AE$18)&amp;"","")="",ISNUMBER(SEARCH($AS$91:$AZ$91,IFERROR(('Final Calculation Sheet'!$AE$18)&amp;"","")))))&gt;0),IF(COUNTIF($BI$91:$BP$91,8)=0,TRUE,SUMPRODUCT(($BI$91:$BP$91=8)*($AS$91:$AZ$91&lt;&gt;"")*IF(((UPPER($AS$91:$AZ$91)="BLANK")+(UPPER($AS$91:$AZ$91)="(BLANK)")+(UPPER($AS$91:$AZ$91)="EMPTY")+(UPPER($AS$91:$AZ$91)="(EMPTY)"))&gt;0,IFERROR(('Final Calculation Sheet'!$AE$18)&amp;"","")="",ISNUMBER(SEARCH($AS$91:$AZ$91,IFERROR(('Final Calculation Sheet'!$AE$18)&amp;"","")))))&gt;0))))</f>
        <v>1</v>
      </c>
      <c r="CS19">
        <f>IF($AG$4="",1,--(AND(SUMPRODUCT(--($AS$92:$AZ$92&lt;&gt;""))&gt;0,IF(COUNTIF($BI$92:$BP$92,1)=0,TRUE,SUMPRODUCT(($BI$92:$BP$92=1)*($AS$92:$AZ$92&lt;&gt;"")*IF(((UPPER($AS$92:$AZ$92)="BLANK")+(UPPER($AS$92:$AZ$92)="(BLANK)")+(UPPER($AS$92:$AZ$92)="EMPTY")+(UPPER($AS$92:$AZ$92)="(EMPTY)"))&gt;0,IFERROR(('Final Calculation Sheet'!$AF$18)&amp;"","")="",ISNUMBER(SEARCH($AS$92:$AZ$92,IFERROR(('Final Calculation Sheet'!$AF$18)&amp;"","")))))&gt;0),IF(COUNTIF($BI$92:$BP$92,2)=0,TRUE,SUMPRODUCT(($BI$92:$BP$92=2)*($AS$92:$AZ$92&lt;&gt;"")*IF(((UPPER($AS$92:$AZ$92)="BLANK")+(UPPER($AS$92:$AZ$92)="(BLANK)")+(UPPER($AS$92:$AZ$92)="EMPTY")+(UPPER($AS$92:$AZ$92)="(EMPTY)"))&gt;0,IFERROR(('Final Calculation Sheet'!$AF$18)&amp;"","")="",ISNUMBER(SEARCH($AS$92:$AZ$92,IFERROR(('Final Calculation Sheet'!$AF$18)&amp;"","")))))&gt;0),IF(COUNTIF($BI$92:$BP$92,3)=0,TRUE,SUMPRODUCT(($BI$92:$BP$92=3)*($AS$92:$AZ$92&lt;&gt;"")*IF(((UPPER($AS$92:$AZ$92)="BLANK")+(UPPER($AS$92:$AZ$92)="(BLANK)")+(UPPER($AS$92:$AZ$92)="EMPTY")+(UPPER($AS$92:$AZ$92)="(EMPTY)"))&gt;0,IFERROR(('Final Calculation Sheet'!$AF$18)&amp;"","")="",ISNUMBER(SEARCH($AS$92:$AZ$92,IFERROR(('Final Calculation Sheet'!$AF$18)&amp;"","")))))&gt;0),IF(COUNTIF($BI$92:$BP$92,4)=0,TRUE,SUMPRODUCT(($BI$92:$BP$92=4)*($AS$92:$AZ$92&lt;&gt;"")*IF(((UPPER($AS$92:$AZ$92)="BLANK")+(UPPER($AS$92:$AZ$92)="(BLANK)")+(UPPER($AS$92:$AZ$92)="EMPTY")+(UPPER($AS$92:$AZ$92)="(EMPTY)"))&gt;0,IFERROR(('Final Calculation Sheet'!$AF$18)&amp;"","")="",ISNUMBER(SEARCH($AS$92:$AZ$92,IFERROR(('Final Calculation Sheet'!$AF$18)&amp;"","")))))&gt;0),IF(COUNTIF($BI$92:$BP$92,5)=0,TRUE,SUMPRODUCT(($BI$92:$BP$92=5)*($AS$92:$AZ$92&lt;&gt;"")*IF(((UPPER($AS$92:$AZ$92)="BLANK")+(UPPER($AS$92:$AZ$92)="(BLANK)")+(UPPER($AS$92:$AZ$92)="EMPTY")+(UPPER($AS$92:$AZ$92)="(EMPTY)"))&gt;0,IFERROR(('Final Calculation Sheet'!$AF$18)&amp;"","")="",ISNUMBER(SEARCH($AS$92:$AZ$92,IFERROR(('Final Calculation Sheet'!$AF$18)&amp;"","")))))&gt;0),IF(COUNTIF($BI$92:$BP$92,6)=0,TRUE,SUMPRODUCT(($BI$92:$BP$92=6)*($AS$92:$AZ$92&lt;&gt;"")*IF(((UPPER($AS$92:$AZ$92)="BLANK")+(UPPER($AS$92:$AZ$92)="(BLANK)")+(UPPER($AS$92:$AZ$92)="EMPTY")+(UPPER($AS$92:$AZ$92)="(EMPTY)"))&gt;0,IFERROR(('Final Calculation Sheet'!$AF$18)&amp;"","")="",ISNUMBER(SEARCH($AS$92:$AZ$92,IFERROR(('Final Calculation Sheet'!$AF$18)&amp;"","")))))&gt;0),IF(COUNTIF($BI$92:$BP$92,7)=0,TRUE,SUMPRODUCT(($BI$92:$BP$92=7)*($AS$92:$AZ$92&lt;&gt;"")*IF(((UPPER($AS$92:$AZ$92)="BLANK")+(UPPER($AS$92:$AZ$92)="(BLANK)")+(UPPER($AS$92:$AZ$92)="EMPTY")+(UPPER($AS$92:$AZ$92)="(EMPTY)"))&gt;0,IFERROR(('Final Calculation Sheet'!$AF$18)&amp;"","")="",ISNUMBER(SEARCH($AS$92:$AZ$92,IFERROR(('Final Calculation Sheet'!$AF$18)&amp;"","")))))&gt;0),IF(COUNTIF($BI$92:$BP$92,8)=0,TRUE,SUMPRODUCT(($BI$92:$BP$92=8)*($AS$92:$AZ$92&lt;&gt;"")*IF(((UPPER($AS$92:$AZ$92)="BLANK")+(UPPER($AS$92:$AZ$92)="(BLANK)")+(UPPER($AS$92:$AZ$92)="EMPTY")+(UPPER($AS$92:$AZ$92)="(EMPTY)"))&gt;0,IFERROR(('Final Calculation Sheet'!$AF$18)&amp;"","")="",ISNUMBER(SEARCH($AS$92:$AZ$92,IFERROR(('Final Calculation Sheet'!$AF$18)&amp;"","")))))&gt;0))))</f>
        <v>1</v>
      </c>
      <c r="CT19">
        <f>IF($AH$4="",1,--(AND(SUMPRODUCT(--($AS$93:$AZ$93&lt;&gt;""))&gt;0,IF(COUNTIF($BI$93:$BP$93,1)=0,TRUE,SUMPRODUCT(($BI$93:$BP$93=1)*($AS$93:$AZ$93&lt;&gt;"")*IF(((UPPER($AS$93:$AZ$93)="BLANK")+(UPPER($AS$93:$AZ$93)="(BLANK)")+(UPPER($AS$93:$AZ$93)="EMPTY")+(UPPER($AS$93:$AZ$93)="(EMPTY)"))&gt;0,IFERROR(('Final Calculation Sheet'!$AG$18)&amp;"","")="",ISNUMBER(SEARCH($AS$93:$AZ$93,IFERROR(('Final Calculation Sheet'!$AG$18)&amp;"","")))))&gt;0),IF(COUNTIF($BI$93:$BP$93,2)=0,TRUE,SUMPRODUCT(($BI$93:$BP$93=2)*($AS$93:$AZ$93&lt;&gt;"")*IF(((UPPER($AS$93:$AZ$93)="BLANK")+(UPPER($AS$93:$AZ$93)="(BLANK)")+(UPPER($AS$93:$AZ$93)="EMPTY")+(UPPER($AS$93:$AZ$93)="(EMPTY)"))&gt;0,IFERROR(('Final Calculation Sheet'!$AG$18)&amp;"","")="",ISNUMBER(SEARCH($AS$93:$AZ$93,IFERROR(('Final Calculation Sheet'!$AG$18)&amp;"","")))))&gt;0),IF(COUNTIF($BI$93:$BP$93,3)=0,TRUE,SUMPRODUCT(($BI$93:$BP$93=3)*($AS$93:$AZ$93&lt;&gt;"")*IF(((UPPER($AS$93:$AZ$93)="BLANK")+(UPPER($AS$93:$AZ$93)="(BLANK)")+(UPPER($AS$93:$AZ$93)="EMPTY")+(UPPER($AS$93:$AZ$93)="(EMPTY)"))&gt;0,IFERROR(('Final Calculation Sheet'!$AG$18)&amp;"","")="",ISNUMBER(SEARCH($AS$93:$AZ$93,IFERROR(('Final Calculation Sheet'!$AG$18)&amp;"","")))))&gt;0),IF(COUNTIF($BI$93:$BP$93,4)=0,TRUE,SUMPRODUCT(($BI$93:$BP$93=4)*($AS$93:$AZ$93&lt;&gt;"")*IF(((UPPER($AS$93:$AZ$93)="BLANK")+(UPPER($AS$93:$AZ$93)="(BLANK)")+(UPPER($AS$93:$AZ$93)="EMPTY")+(UPPER($AS$93:$AZ$93)="(EMPTY)"))&gt;0,IFERROR(('Final Calculation Sheet'!$AG$18)&amp;"","")="",ISNUMBER(SEARCH($AS$93:$AZ$93,IFERROR(('Final Calculation Sheet'!$AG$18)&amp;"","")))))&gt;0),IF(COUNTIF($BI$93:$BP$93,5)=0,TRUE,SUMPRODUCT(($BI$93:$BP$93=5)*($AS$93:$AZ$93&lt;&gt;"")*IF(((UPPER($AS$93:$AZ$93)="BLANK")+(UPPER($AS$93:$AZ$93)="(BLANK)")+(UPPER($AS$93:$AZ$93)="EMPTY")+(UPPER($AS$93:$AZ$93)="(EMPTY)"))&gt;0,IFERROR(('Final Calculation Sheet'!$AG$18)&amp;"","")="",ISNUMBER(SEARCH($AS$93:$AZ$93,IFERROR(('Final Calculation Sheet'!$AG$18)&amp;"","")))))&gt;0),IF(COUNTIF($BI$93:$BP$93,6)=0,TRUE,SUMPRODUCT(($BI$93:$BP$93=6)*($AS$93:$AZ$93&lt;&gt;"")*IF(((UPPER($AS$93:$AZ$93)="BLANK")+(UPPER($AS$93:$AZ$93)="(BLANK)")+(UPPER($AS$93:$AZ$93)="EMPTY")+(UPPER($AS$93:$AZ$93)="(EMPTY)"))&gt;0,IFERROR(('Final Calculation Sheet'!$AG$18)&amp;"","")="",ISNUMBER(SEARCH($AS$93:$AZ$93,IFERROR(('Final Calculation Sheet'!$AG$18)&amp;"","")))))&gt;0),IF(COUNTIF($BI$93:$BP$93,7)=0,TRUE,SUMPRODUCT(($BI$93:$BP$93=7)*($AS$93:$AZ$93&lt;&gt;"")*IF(((UPPER($AS$93:$AZ$93)="BLANK")+(UPPER($AS$93:$AZ$93)="(BLANK)")+(UPPER($AS$93:$AZ$93)="EMPTY")+(UPPER($AS$93:$AZ$93)="(EMPTY)"))&gt;0,IFERROR(('Final Calculation Sheet'!$AG$18)&amp;"","")="",ISNUMBER(SEARCH($AS$93:$AZ$93,IFERROR(('Final Calculation Sheet'!$AG$18)&amp;"","")))))&gt;0),IF(COUNTIF($BI$93:$BP$93,8)=0,TRUE,SUMPRODUCT(($BI$93:$BP$93=8)*($AS$93:$AZ$93&lt;&gt;"")*IF(((UPPER($AS$93:$AZ$93)="BLANK")+(UPPER($AS$93:$AZ$93)="(BLANK)")+(UPPER($AS$93:$AZ$93)="EMPTY")+(UPPER($AS$93:$AZ$93)="(EMPTY)"))&gt;0,IFERROR(('Final Calculation Sheet'!$AG$18)&amp;"","")="",ISNUMBER(SEARCH($AS$93:$AZ$93,IFERROR(('Final Calculation Sheet'!$AG$18)&amp;"","")))))&gt;0))))</f>
        <v>1</v>
      </c>
      <c r="CU19">
        <f>IF($AI$4="",1,--(AND(SUMPRODUCT(--($AS$94:$AZ$94&lt;&gt;""))&gt;0,IF(COUNTIF($BI$94:$BP$94,1)=0,TRUE,SUMPRODUCT(($BI$94:$BP$94=1)*($AS$94:$AZ$94&lt;&gt;"")*IF(((UPPER($AS$94:$AZ$94)="BLANK")+(UPPER($AS$94:$AZ$94)="(BLANK)")+(UPPER($AS$94:$AZ$94)="EMPTY")+(UPPER($AS$94:$AZ$94)="(EMPTY)"))&gt;0,IFERROR((IF('Final Calculation Sheet'!$AD$18&lt;=0,"SETTLED","OUTSTANDING"))&amp;"","")="",ISNUMBER(SEARCH($AS$94:$AZ$94,IFERROR((IF('Final Calculation Sheet'!$AD$18&lt;=0,"SETTLED","OUTSTANDING"))&amp;"","")))))&gt;0),IF(COUNTIF($BI$94:$BP$94,2)=0,TRUE,SUMPRODUCT(($BI$94:$BP$94=2)*($AS$94:$AZ$94&lt;&gt;"")*IF(((UPPER($AS$94:$AZ$94)="BLANK")+(UPPER($AS$94:$AZ$94)="(BLANK)")+(UPPER($AS$94:$AZ$94)="EMPTY")+(UPPER($AS$94:$AZ$94)="(EMPTY)"))&gt;0,IFERROR((IF('Final Calculation Sheet'!$AD$18&lt;=0,"SETTLED","OUTSTANDING"))&amp;"","")="",ISNUMBER(SEARCH($AS$94:$AZ$94,IFERROR((IF('Final Calculation Sheet'!$AD$18&lt;=0,"SETTLED","OUTSTANDING"))&amp;"","")))))&gt;0),IF(COUNTIF($BI$94:$BP$94,3)=0,TRUE,SUMPRODUCT(($BI$94:$BP$94=3)*($AS$94:$AZ$94&lt;&gt;"")*IF(((UPPER($AS$94:$AZ$94)="BLANK")+(UPPER($AS$94:$AZ$94)="(BLANK)")+(UPPER($AS$94:$AZ$94)="EMPTY")+(UPPER($AS$94:$AZ$94)="(EMPTY)"))&gt;0,IFERROR((IF('Final Calculation Sheet'!$AD$18&lt;=0,"SETTLED","OUTSTANDING"))&amp;"","")="",ISNUMBER(SEARCH($AS$94:$AZ$94,IFERROR((IF('Final Calculation Sheet'!$AD$18&lt;=0,"SETTLED","OUTSTANDING"))&amp;"","")))))&gt;0),IF(COUNTIF($BI$94:$BP$94,4)=0,TRUE,SUMPRODUCT(($BI$94:$BP$94=4)*($AS$94:$AZ$94&lt;&gt;"")*IF(((UPPER($AS$94:$AZ$94)="BLANK")+(UPPER($AS$94:$AZ$94)="(BLANK)")+(UPPER($AS$94:$AZ$94)="EMPTY")+(UPPER($AS$94:$AZ$94)="(EMPTY)"))&gt;0,IFERROR((IF('Final Calculation Sheet'!$AD$18&lt;=0,"SETTLED","OUTSTANDING"))&amp;"","")="",ISNUMBER(SEARCH($AS$94:$AZ$94,IFERROR((IF('Final Calculation Sheet'!$AD$18&lt;=0,"SETTLED","OUTSTANDING"))&amp;"","")))))&gt;0),IF(COUNTIF($BI$94:$BP$94,5)=0,TRUE,SUMPRODUCT(($BI$94:$BP$94=5)*($AS$94:$AZ$94&lt;&gt;"")*IF(((UPPER($AS$94:$AZ$94)="BLANK")+(UPPER($AS$94:$AZ$94)="(BLANK)")+(UPPER($AS$94:$AZ$94)="EMPTY")+(UPPER($AS$94:$AZ$94)="(EMPTY)"))&gt;0,IFERROR((IF('Final Calculation Sheet'!$AD$18&lt;=0,"SETTLED","OUTSTANDING"))&amp;"","")="",ISNUMBER(SEARCH($AS$94:$AZ$94,IFERROR((IF('Final Calculation Sheet'!$AD$18&lt;=0,"SETTLED","OUTSTANDING"))&amp;"","")))))&gt;0),IF(COUNTIF($BI$94:$BP$94,6)=0,TRUE,SUMPRODUCT(($BI$94:$BP$94=6)*($AS$94:$AZ$94&lt;&gt;"")*IF(((UPPER($AS$94:$AZ$94)="BLANK")+(UPPER($AS$94:$AZ$94)="(BLANK)")+(UPPER($AS$94:$AZ$94)="EMPTY")+(UPPER($AS$94:$AZ$94)="(EMPTY)"))&gt;0,IFERROR((IF('Final Calculation Sheet'!$AD$18&lt;=0,"SETTLED","OUTSTANDING"))&amp;"","")="",ISNUMBER(SEARCH($AS$94:$AZ$94,IFERROR((IF('Final Calculation Sheet'!$AD$18&lt;=0,"SETTLED","OUTSTANDING"))&amp;"","")))))&gt;0),IF(COUNTIF($BI$94:$BP$94,7)=0,TRUE,SUMPRODUCT(($BI$94:$BP$94=7)*($AS$94:$AZ$94&lt;&gt;"")*IF(((UPPER($AS$94:$AZ$94)="BLANK")+(UPPER($AS$94:$AZ$94)="(BLANK)")+(UPPER($AS$94:$AZ$94)="EMPTY")+(UPPER($AS$94:$AZ$94)="(EMPTY)"))&gt;0,IFERROR((IF('Final Calculation Sheet'!$AD$18&lt;=0,"SETTLED","OUTSTANDING"))&amp;"","")="",ISNUMBER(SEARCH($AS$94:$AZ$94,IFERROR((IF('Final Calculation Sheet'!$AD$18&lt;=0,"SETTLED","OUTSTANDING"))&amp;"","")))))&gt;0),IF(COUNTIF($BI$94:$BP$94,8)=0,TRUE,SUMPRODUCT(($BI$94:$BP$94=8)*($AS$94:$AZ$94&lt;&gt;"")*IF(((UPPER($AS$94:$AZ$94)="BLANK")+(UPPER($AS$94:$AZ$94)="(BLANK)")+(UPPER($AS$94:$AZ$94)="EMPTY")+(UPPER($AS$94:$AZ$94)="(EMPTY)"))&gt;0,IFERROR((IF('Final Calculation Sheet'!$AD$18&lt;=0,"SETTLED","OUTSTANDING"))&amp;"","")="",ISNUMBER(SEARCH($AS$94:$AZ$94,IFERROR((IF('Final Calculation Sheet'!$AD$18&lt;=0,"SETTLED","OUTSTANDING"))&amp;"","")))))&gt;0))))</f>
        <v>1</v>
      </c>
    </row>
    <row r="20" spans="1:99" ht="15" customHeight="1" x14ac:dyDescent="0.25">
      <c r="A20" s="67">
        <f>IF($BJ19&gt;0,INDEX($BA$5:$BA$41,MATCH(19,$BB$5:$BB$41,0)),IF(OR($BI19=1,$BL19=1,$BH19&gt;0),"∑",""))</f>
        <v>3</v>
      </c>
      <c r="B20" s="68">
        <f>IF($BJ19&gt;0,IF(INDEX('Final Calculation Sheet'!$F$4:$F$40,$BJ19-3)="","",INDEX('Final Calculation Sheet'!$F$4:$F$40,$BJ19-3)),"")</f>
        <v>1876</v>
      </c>
      <c r="C20" s="68" t="str">
        <f>IF($BJ19&gt;0,IF(INDEX('Final Calculation Sheet'!$G$4:$G$40,$BJ19-3)="","",INDEX('Final Calculation Sheet'!$G$4:$G$40,$BJ19-3)),IF(OR($BI19=1,$BL19=1,$BH19&gt;0),IF($BI19=1,37,IF($BL19=1,37-INDEX($BD$4:$BD$13,10),INDEX($BD$4:$BD$13,$BH19)))&amp;" lot(s)",""))</f>
        <v>F R KHANS ENTERPRISES</v>
      </c>
      <c r="D20" s="69" t="str">
        <f>IF($BJ19&gt;0,IF(INDEX('Final Calculation Sheet'!$B$4:$B$40,$BJ19-3)="","",INDEX('Final Calculation Sheet'!$B$4:$B$40,$BJ19-3)),IF(OR($BI19=1,$BL19=1,$BH19&gt;0),IF($BI19=1,"GRAND TOTAL  —  matching + remaining",IF($BL19=1,"TOTAL MATCHED  —  every group together",IF($BH19=10,"REMAINING  —  did not match the search",IF($BH19=9,IF(COUNTIF($A$4:$AI$4,"&lt;&gt;")&gt;0,"FILTERED LOTS  —  column fields","ALL LOTS  —  nothing typed in the box"),"GROUP "&amp;$BH19&amp;" TOTAL  —  lots matching  "&amp;INDEX($AR$6:$AY$6,$BH19))))),""))</f>
        <v>Scrap of MS (extracted from equip cage and empty Sf6 gas cylinder)</v>
      </c>
      <c r="E20" s="69">
        <f>IF($BJ19&gt;0,IF(INDEX('Final Calculation Sheet'!$D$4:$D$40,$BJ19-3)="","",INDEX('Final Calculation Sheet'!$D$4:$D$40,$BJ19-3)),IF(OR($BI19=1,$BL19=1,$BH19&gt;0),"–",""))</f>
        <v>21977</v>
      </c>
      <c r="F20" s="69">
        <f>IF($BJ19&gt;0,IF(INDEX('Final Calculation Sheet'!$A$4:$A$40,$BJ19-3)="","",INDEX('Final Calculation Sheet'!$A$4:$A$40,$BJ19-3)),IF(OR($BI19=1,$BL19=1,$BH19&gt;0),IF($BI19=1,SUM('Final Calculation Sheet'!$A$4:$A$40),IF($BL19=1,SUM('Final Calculation Sheet'!$A$4:$A$40)-SUMIFS('Final Calculation Sheet'!$A$4:$A$40,$AZ$5:$AZ$41,10),SUMIFS('Final Calculation Sheet'!$A$4:$A$40,$AZ$5:$AZ$41,$BH19))),""))</f>
        <v>3000</v>
      </c>
      <c r="G20" s="69" t="str">
        <f>IF($BJ19&gt;0,IF(INDEX('Final Calculation Sheet'!$E$4:$E$40,$BJ19-3)="","",INDEX('Final Calculation Sheet'!$E$4:$E$40,$BJ19-3)),IF(OR($BI19=1,$BL19=1,$BH19&gt;0),"–",""))</f>
        <v>KG</v>
      </c>
      <c r="H20" s="70">
        <f>IF($BJ19&gt;0,IF(INDEX('Final Calculation Sheet'!$C$4:$C$40,$BJ19-3)="","",INDEX('Final Calculation Sheet'!$C$4:$C$40,$BJ19-3)),IF(OR($BI19=1,$BL19=1,$BH19&gt;0),"–",""))</f>
        <v>66</v>
      </c>
      <c r="I20" s="70">
        <f>IF($BJ19&gt;0,IF(INDEX('Final Calculation Sheet'!$H$4:$H$40,$BJ19-3)="","",INDEX('Final Calculation Sheet'!$H$4:$H$40,$BJ19-3)),IF(OR($BI19=1,$BL19=1,$BH19&gt;0),IF($BI19=1,SUM('Final Calculation Sheet'!$H$4:$H$40),IF($BL19=1,SUM('Final Calculation Sheet'!$H$4:$H$40)-SUMIFS('Final Calculation Sheet'!$H$4:$H$40,$AZ$5:$AZ$41,10),SUMIFS('Final Calculation Sheet'!$H$4:$H$40,$AZ$5:$AZ$41,$BH19))),""))</f>
        <v>198000</v>
      </c>
      <c r="J20" s="70">
        <f>IF($BJ19&gt;0,IF(INDEX('Final Calculation Sheet'!$I$4:$I$40,$BJ19-3)="","",INDEX('Final Calculation Sheet'!$I$4:$I$40,$BJ19-3)),IF(OR($BI19=1,$BL19=1,$BH19&gt;0),IF($BI19=1,SUM('Final Calculation Sheet'!$I$4:$I$40),IF($BL19=1,SUM('Final Calculation Sheet'!$I$4:$I$40)-SUMIFS('Final Calculation Sheet'!$I$4:$I$40,$AZ$5:$AZ$41,10),SUMIFS('Final Calculation Sheet'!$I$4:$I$40,$AZ$5:$AZ$41,$BH19))),""))</f>
        <v>35640</v>
      </c>
      <c r="K20" s="70">
        <f>IF($BJ19&gt;0,IF(INDEX('Final Calculation Sheet'!$J$4:$J$40,$BJ19-3)="","",INDEX('Final Calculation Sheet'!$J$4:$J$40,$BJ19-3)),IF(OR($BI19=1,$BL19=1,$BH19&gt;0),IF($BI19=1,SUM('Final Calculation Sheet'!$J$4:$J$40),IF($BL19=1,SUM('Final Calculation Sheet'!$J$4:$J$40)-SUMIFS('Final Calculation Sheet'!$J$4:$J$40,$AZ$5:$AZ$41,10),SUMIFS('Final Calculation Sheet'!$J$4:$J$40,$AZ$5:$AZ$41,$BH19))),""))</f>
        <v>233640</v>
      </c>
      <c r="L20" s="70">
        <f>IF($BJ19&gt;0,IF(INDEX('Final Calculation Sheet'!$K$4:$K$40,$BJ19-3)="","",INDEX('Final Calculation Sheet'!$K$4:$K$40,$BJ19-3)),IF(OR($BI19=1,$BL19=1,$BH19&gt;0),IF($BI19=1,SUM('Final Calculation Sheet'!$K$4:$K$40),IF($BL19=1,SUM('Final Calculation Sheet'!$K$4:$K$40)-SUMIFS('Final Calculation Sheet'!$K$4:$K$40,$AZ$5:$AZ$41,10),SUMIFS('Final Calculation Sheet'!$K$4:$K$40,$AZ$5:$AZ$41,$BH19))),""))</f>
        <v>4673</v>
      </c>
      <c r="M20" s="70">
        <f>IF($BJ19&gt;0,IF(INDEX('Final Calculation Sheet'!$L$4:$L$40,$BJ19-3)="","",INDEX('Final Calculation Sheet'!$L$4:$L$40,$BJ19-3)),IF(OR($BI19=1,$BL19=1,$BH19&gt;0),IF($BI19=1,SUM('Final Calculation Sheet'!$L$4:$L$40),IF($BL19=1,SUM('Final Calculation Sheet'!$L$4:$L$40)-SUMIFS('Final Calculation Sheet'!$L$4:$L$40,$AZ$5:$AZ$41,10),SUMIFS('Final Calculation Sheet'!$L$4:$L$40,$AZ$5:$AZ$41,$BH19))),""))</f>
        <v>198</v>
      </c>
      <c r="N20" s="70">
        <f>IF($BJ19&gt;0,IF(INDEX('Final Calculation Sheet'!$M$4:$M$40,$BJ19-3)="","",INDEX('Final Calculation Sheet'!$M$4:$M$40,$BJ19-3)),IF(OR($BI19=1,$BL19=1,$BH19&gt;0),IF($BI19=1,SUM('Final Calculation Sheet'!$M$4:$M$40),IF($BL19=1,SUM('Final Calculation Sheet'!$M$4:$M$40)-SUMIFS('Final Calculation Sheet'!$M$4:$M$40,$AZ$5:$AZ$41,10),SUMIFS('Final Calculation Sheet'!$M$4:$M$40,$AZ$5:$AZ$41,$BH19))),""))</f>
        <v>5256.9</v>
      </c>
      <c r="O20" s="71">
        <f>IF($BJ19&gt;0,IF(INDEX('Final Calculation Sheet'!$N$4:$N$40,$BJ19-3)="","",INDEX('Final Calculation Sheet'!$N$4:$N$40,$BJ19-3)),IF(OR($BI19=1,$BL19=1,$BH19&gt;0),IF($BI19=1,SUM('Final Calculation Sheet'!$N$4:$N$40),IF($BL19=1,SUM('Final Calculation Sheet'!$N$4:$N$40)-SUMIFS('Final Calculation Sheet'!$N$4:$N$40,$AZ$5:$AZ$41,10),SUMIFS('Final Calculation Sheet'!$N$4:$N$40,$AZ$5:$AZ$41,$BH19))),""))</f>
        <v>89.100000000000009</v>
      </c>
      <c r="P20" s="70">
        <f>IF($BJ19&gt;0,IF(INDEX('Final Calculation Sheet'!$O$4:$O$40,$BJ19-3)="","",INDEX('Final Calculation Sheet'!$O$4:$O$40,$BJ19-3)),IF(OR($BI19=1,$BL19=1,$BH19&gt;0),IF($BI19=1,SUM('Final Calculation Sheet'!$O$4:$O$40),IF($BL19=1,SUM('Final Calculation Sheet'!$O$4:$O$40)-SUMIFS('Final Calculation Sheet'!$O$4:$O$40,$AZ$5:$AZ$41,10),SUMIFS('Final Calculation Sheet'!$O$4:$O$40,$AZ$5:$AZ$41,$BH19))),""))</f>
        <v>5167.7999999999993</v>
      </c>
      <c r="Q20" s="70">
        <f>IF($BJ19&gt;0,IF(INDEX('Final Calculation Sheet'!$P$4:$P$40,$BJ19-3)="","",INDEX('Final Calculation Sheet'!$P$4:$P$40,$BJ19-3)),IF(OR($BI19=1,$BL19=1,$BH19&gt;0),IF($BI19=1,SUM('Final Calculation Sheet'!$P$4:$P$40),IF($BL19=1,SUM('Final Calculation Sheet'!$P$4:$P$40)-SUMIFS('Final Calculation Sheet'!$P$4:$P$40,$AZ$5:$AZ$41,10),SUMIFS('Final Calculation Sheet'!$P$4:$P$40,$AZ$5:$AZ$41,$BH19))),""))</f>
        <v>5366</v>
      </c>
      <c r="R20" s="72">
        <f>IF($BJ19&gt;0,IF(INDEX('Final Calculation Sheet'!$Q$4:$Q$40,$BJ19-3)="","",INDEX('Final Calculation Sheet'!$Q$4:$Q$40,$BJ19-3)),IF(OR($BI19=1,$BL19=1,$BH19&gt;0),"–",""))</f>
        <v>0</v>
      </c>
      <c r="S20" s="70">
        <f>IF($BJ19&gt;0,IF(INDEX('Final Calculation Sheet'!$R$4:$R$40,$BJ19-3)="","",INDEX('Final Calculation Sheet'!$R$4:$R$40,$BJ19-3)),IF(OR($BI19=1,$BL19=1,$BH19&gt;0),IF($BI19=1,SUM('Final Calculation Sheet'!$R$4:$R$40),IF($BL19=1,SUM('Final Calculation Sheet'!$R$4:$R$40)-SUMIFS('Final Calculation Sheet'!$R$4:$R$40,$AZ$5:$AZ$41,10),SUMIFS('Final Calculation Sheet'!$R$4:$R$40,$AZ$5:$AZ$41,$BH19))),""))</f>
        <v>0</v>
      </c>
      <c r="T20" s="70">
        <f>IF($BJ19&gt;0,IF(INDEX('Final Calculation Sheet'!$S$4:$S$40,$BJ19-3)="","",INDEX('Final Calculation Sheet'!$S$4:$S$40,$BJ19-3)),IF(OR($BI19=1,$BL19=1,$BH19&gt;0),IF($BI19=1,SUM('Final Calculation Sheet'!$S$4:$S$40),IF($BL19=1,SUM('Final Calculation Sheet'!$S$4:$S$40)-SUMIFS('Final Calculation Sheet'!$S$4:$S$40,$AZ$5:$AZ$41,10),SUMIFS('Final Calculation Sheet'!$S$4:$S$40,$AZ$5:$AZ$41,$BH19))),""))</f>
        <v>232947</v>
      </c>
      <c r="U20" s="70">
        <f>IF($BJ19&gt;0,IF(INDEX('Final Calculation Sheet'!$T$4:$T$40,$BJ19-3)="","",INDEX('Final Calculation Sheet'!$T$4:$T$40,$BJ19-3)),IF(OR($BI19=1,$BL19=1,$BH19&gt;0),IF($BI19=1,SUM('Final Calculation Sheet'!$T$4:$T$40),IF($BL19=1,SUM('Final Calculation Sheet'!$T$4:$T$40)-SUMIFS('Final Calculation Sheet'!$T$4:$T$40,$AZ$5:$AZ$41,10),SUMIFS('Final Calculation Sheet'!$T$4:$T$40,$AZ$5:$AZ$41,$BH19))),""))</f>
        <v>49500</v>
      </c>
      <c r="V20" s="73">
        <f>IF($BJ19&gt;0,IF(INDEX('Final Calculation Sheet'!$U$4:$U$40,$BJ19-3)="","",INDEX('Final Calculation Sheet'!$U$4:$U$40,$BJ19-3)),IF(OR($BI19=1,$BL19=1,$BH19&gt;0),IF($BI19=1,SUM('Final Calculation Sheet'!$U$4:$U$40),IF($BL19=1,SUM('Final Calculation Sheet'!$U$4:$U$40)-SUMIFS('Final Calculation Sheet'!$U$4:$U$40,$AZ$5:$AZ$41,10),SUMIFS('Final Calculation Sheet'!$U$4:$U$40,$AZ$5:$AZ$41,$BH19))),""))</f>
        <v>49500</v>
      </c>
      <c r="W20" s="70" t="str">
        <f>IF($BJ19&gt;0,IF(INDEX('Final Calculation Sheet'!$V$4:$V$40,$BJ19-3)="","",INDEX('Final Calculation Sheet'!$V$4:$V$40,$BJ19-3)),IF(OR($BI19=1,$BL19=1,$BH19&gt;0),"–",""))</f>
        <v>11.08.2026</v>
      </c>
      <c r="X20" s="70">
        <f>IF($BJ19&gt;0,IF(INDEX('Final Calculation Sheet'!$W$4:$W$40,$BJ19-3)="","",INDEX('Final Calculation Sheet'!$W$4:$W$40,$BJ19-3)),IF(OR($BI19=1,$BL19=1,$BH19&gt;0),IF($BI19=1,SUM('Final Calculation Sheet'!$W$4:$W$40),IF($BL19=1,SUM('Final Calculation Sheet'!$W$4:$W$40)-SUMIFS('Final Calculation Sheet'!$W$4:$W$40,$AZ$5:$AZ$41,10),SUMIFS('Final Calculation Sheet'!$W$4:$W$40,$AZ$5:$AZ$41,$BH19))),""))</f>
        <v>183447</v>
      </c>
      <c r="Y20" s="70">
        <f>IF($BJ19&gt;0,IF(INDEX('Final Calculation Sheet'!$X$4:$X$40,$BJ19-3)="","",INDEX('Final Calculation Sheet'!$X$4:$X$40,$BJ19-3)),IF(OR($BI19=1,$BL19=1,$BH19&gt;0),IF($BI19=1,SUM('Final Calculation Sheet'!$X$4:$X$40),IF($BL19=1,SUM('Final Calculation Sheet'!$X$4:$X$40)-SUMIFS('Final Calculation Sheet'!$X$4:$X$40,$AZ$5:$AZ$41,10),SUMIFS('Final Calculation Sheet'!$X$4:$X$40,$AZ$5:$AZ$41,$BH19))),""))</f>
        <v>183446</v>
      </c>
      <c r="Z20" s="70" t="str">
        <f>IF($BJ19&gt;0,IF(INDEX('Final Calculation Sheet'!$Y$4:$Y$40,$BJ19-3)="","",INDEX('Final Calculation Sheet'!$Y$4:$Y$40,$BJ19-3)),IF(OR($BI19=1,$BL19=1,$BH19&gt;0),"–",""))</f>
        <v>20.08.2026</v>
      </c>
      <c r="AA20" s="70">
        <f ca="1">IF($BJ19&gt;0,IF(INDEX('Final Calculation Sheet'!$Z$4:$Z$40,$BJ19-3)="","",INDEX('Final Calculation Sheet'!$Z$4:$Z$40,$BJ19-3)),IF(OR($BI19=1,$BL19=1,$BH19&gt;0),IF($BI19=1,SUM('Final Calculation Sheet'!$Z$4:$Z$40),IF($BL19=1,SUM('Final Calculation Sheet'!$Z$4:$Z$40)-SUMIFS('Final Calculation Sheet'!$Z$4:$Z$40,$AZ$5:$AZ$41,10),SUMIFS('Final Calculation Sheet'!$Z$4:$Z$40,$AZ$5:$AZ$41,$BH19))),""))</f>
        <v>0</v>
      </c>
      <c r="AB20" s="70" t="str">
        <f>IF($BJ19&gt;0,IF(INDEX('Final Calculation Sheet'!$AA$4:$AA$40,$BJ19-3)="","",INDEX('Final Calculation Sheet'!$AA$4:$AA$40,$BJ19-3)),IF(OR($BI19=1,$BL19=1,$BH19&gt;0),IF($BI19=1,SUM('Final Calculation Sheet'!$AA$4:$AA$40),IF($BL19=1,SUM('Final Calculation Sheet'!$AA$4:$AA$40)-SUMIFS('Final Calculation Sheet'!$AA$4:$AA$40,$AZ$5:$AZ$41,10),SUMIFS('Final Calculation Sheet'!$AA$4:$AA$40,$AZ$5:$AZ$41,$BH19))),""))</f>
        <v/>
      </c>
      <c r="AC20" s="70" t="str">
        <f>IF($BJ19&gt;0,IF(INDEX('Final Calculation Sheet'!$AB$4:$AB$40,$BJ19-3)="","",INDEX('Final Calculation Sheet'!$AB$4:$AB$40,$BJ19-3)),IF(OR($BI19=1,$BL19=1,$BH19&gt;0),"–",""))</f>
        <v/>
      </c>
      <c r="AD20" s="70">
        <f>IF($BJ19&gt;0,IF(INDEX('Final Calculation Sheet'!$AC$4:$AC$40,$BJ19-3)="","",INDEX('Final Calculation Sheet'!$AC$4:$AC$40,$BJ19-3)),IF(OR($BI19=1,$BL19=1,$BH19&gt;0),IF($BI19=1,SUM('Final Calculation Sheet'!$AC$4:$AC$40),IF($BL19=1,SUM('Final Calculation Sheet'!$AC$4:$AC$40)-SUMIFS('Final Calculation Sheet'!$AC$4:$AC$40,$AZ$5:$AZ$41,10),SUMIFS('Final Calculation Sheet'!$AC$4:$AC$40,$AZ$5:$AZ$41,$BH19))),""))</f>
        <v>232946</v>
      </c>
      <c r="AE20" s="70">
        <f>IF($BJ19&gt;0,IF(INDEX('Final Calculation Sheet'!$AD$4:$AD$40,$BJ19-3)="","",INDEX('Final Calculation Sheet'!$AD$4:$AD$40,$BJ19-3)),IF(OR($BI19=1,$BL19=1,$BH19&gt;0),IF($BI19=1,SUM('Final Calculation Sheet'!$AD$4:$AD$40),IF($BL19=1,SUM('Final Calculation Sheet'!$AD$4:$AD$40)-SUMIFS('Final Calculation Sheet'!$AD$4:$AD$40,$AZ$5:$AZ$41,10),SUMIFS('Final Calculation Sheet'!$AD$4:$AD$40,$AZ$5:$AZ$41,$BH19))),""))</f>
        <v>1</v>
      </c>
      <c r="AF20" s="70" t="str">
        <f>IF($BJ19&gt;0,IF(INDEX('Final Calculation Sheet'!$AE$4:$AE$40,$BJ19-3)="","",INDEX('Final Calculation Sheet'!$AE$4:$AE$40,$BJ19-3)),IF(OR($BI19=1,$BL19=1,$BH19&gt;0),"–",""))</f>
        <v>DR2640100048</v>
      </c>
      <c r="AG20" s="74">
        <f>IF($BJ19&gt;0,IF(INDEX('Final Calculation Sheet'!$AF$4:$AF$40,$BJ19-3)="","",INDEX('Final Calculation Sheet'!$AF$4:$AF$40,$BJ19-3)),IF(OR($BI19=1,$BL19=1,$BH19&gt;0),"–",""))</f>
        <v>1800003347</v>
      </c>
      <c r="AH20" s="70" t="str">
        <f>IF($BJ19&gt;0,IF(INDEX('Final Calculation Sheet'!$AG$4:$AG$40,$BJ19-3)="","",INDEX('Final Calculation Sheet'!$AG$4:$AG$40,$BJ19-3)),IF(OR($BI19=1,$BL19=1,$BH19&gt;0),"–",""))</f>
        <v>27.08.2026</v>
      </c>
      <c r="AI20" s="75" t="str">
        <f>IF($BJ19&gt;0,IF(INDEX('Final Calculation Sheet'!$AD$4:$AD$40,$BJ19-3)="","",IF(INDEX('Final Calculation Sheet'!$AD$4:$AD$40,$BJ19-3)&lt;=0,"SETTLED","OUTSTANDING")),IF(OR($BI19=1,$BL19=1,$BH19&gt;0),IF(IF($BI19=1,SUM('Final Calculation Sheet'!$AD$4:$AD$40),IF($BL19=1,SUM('Final Calculation Sheet'!$AD$4:$AD$40)-SUMIFS('Final Calculation Sheet'!$AD$4:$AD$40,$AZ$5:$AZ$41,10),SUMIFS('Final Calculation Sheet'!$AD$4:$AD$40,$AZ$5:$AZ$41,$BH19)))&lt;=0,"ALL SETTLED","OUTSTANDING"),""))</f>
        <v>OUTSTANDING</v>
      </c>
      <c r="AK20" t="str">
        <f>IF($F$3="Lot No.",'Final Calculation Sheet'!$F$19,IF($F$3="Buyer",'Final Calculation Sheet'!$G$19,IF($F$3="Lot Name",'Final Calculation Sheet'!$B$19,IF($F$3="Bid Sheet",'Final Calculation Sheet'!$D$19,IF($F$3="Unit",'Final Calculation Sheet'!$E$19,'Final Calculation Sheet'!$F$19&amp;" "&amp;'Final Calculation Sheet'!$G$19&amp;" "&amp;'Final Calculation Sheet'!$B$19)))))</f>
        <v>2019 NATIONAL ENTERPRISES Scrap of 220 KV Circuit Breaker</v>
      </c>
      <c r="AM20">
        <f t="shared" si="1"/>
        <v>0</v>
      </c>
      <c r="AZ20">
        <f t="shared" si="2"/>
        <v>10</v>
      </c>
      <c r="BA20">
        <f t="shared" si="3"/>
        <v>12</v>
      </c>
      <c r="BB20">
        <f t="shared" si="4"/>
        <v>28</v>
      </c>
      <c r="BC20">
        <v>19</v>
      </c>
      <c r="BH20">
        <f>IFERROR(MATCH(20,$BF$4:$BF$13,0),0)</f>
        <v>0</v>
      </c>
      <c r="BI20">
        <f>IF(20=$BG$5,1,0)</f>
        <v>0</v>
      </c>
      <c r="BJ20">
        <f>IF(OR($BH20&gt;0,$BI20=1,$BL20=1),0,IFERROR(INDEX($BC$5:$BC$41,MATCH(20,$BB$5:$BB$41,0)),0))</f>
        <v>8</v>
      </c>
      <c r="BK20">
        <f>IF($BJ20&gt;0,IF(INDEX($AZ$5:$AZ$41,MATCH(20,$BB$5:$BB$41,0))=10,1,0),IF($BH20=10,1,0))</f>
        <v>1</v>
      </c>
      <c r="BL20">
        <f>IF(20=$BG$4,1,0)</f>
        <v>0</v>
      </c>
      <c r="BM20">
        <f>IF($A$4="",1,--(AND(SUMPRODUCT(--($AS$60:$AZ$60&lt;&gt;""))&gt;0,IF(COUNTIF($BI$60:$BP$60,1)=0,TRUE,SUMPRODUCT(($BI$60:$BP$60=1)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$60,2)=0,TRUE,SUMPRODUCT(($BI$60:$BP$60=2)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$60,3)=0,TRUE,SUMPRODUCT(($BI$60:$BP$60=3)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$60,4)=0,TRUE,SUMPRODUCT(($BI$60:$BP$60=4)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$60,5)=0,TRUE,SUMPRODUCT(($BI$60:$BP$60=5)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$60,6)=0,TRUE,SUMPRODUCT(($BI$60:$BP$60=6)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$60,7)=0,TRUE,SUMPRODUCT(($BI$60:$BP$60=7)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$60,8)=0,TRUE,SUMPRODUCT(($BI$60:$BP$60=8)*($AS$60:$AZ$60&lt;&gt;"")*IF(((UPPER($AS$60:$AZ$60)="BLANK")+(UPPER($AS$60:$AZ$60)="(BLANK)")+(UPPER($AS$60:$AZ$60)="EMPTY")+(UPPER($AS$60:$AZ$60)="(EMPTY)"))&gt;0,IFERROR((ROW()-4)&amp;"","")="",ISNUMBER(SEARCH($AS$60:$AZ$60,IFERROR((ROW()-4)&amp;"","")))))&gt;0))))</f>
        <v>1</v>
      </c>
      <c r="BN20">
        <f>IF($B$4="",1,--(AND(SUMPRODUCT(--($AS$61:$AZ$61&lt;&gt;""))&gt;0,IF(COUNTIF($BI$61:$BP$61,1)=0,TRUE,SUMPRODUCT(($BI$61:$BP$61=1)*($AS$61:$AZ$61&lt;&gt;"")*IF(((UPPER($AS$61:$AZ$61)="BLANK")+(UPPER($AS$61:$AZ$61)="(BLANK)")+(UPPER($AS$61:$AZ$61)="EMPTY")+(UPPER($AS$61:$AZ$61)="(EMPTY)"))&gt;0,IFERROR(('Final Calculation Sheet'!$F$19)&amp;"","")="",ISNUMBER(SEARCH($AS$61:$AZ$61,IFERROR(('Final Calculation Sheet'!$F$19)&amp;"","")))))&gt;0),IF(COUNTIF($BI$61:$BP$61,2)=0,TRUE,SUMPRODUCT(($BI$61:$BP$61=2)*($AS$61:$AZ$61&lt;&gt;"")*IF(((UPPER($AS$61:$AZ$61)="BLANK")+(UPPER($AS$61:$AZ$61)="(BLANK)")+(UPPER($AS$61:$AZ$61)="EMPTY")+(UPPER($AS$61:$AZ$61)="(EMPTY)"))&gt;0,IFERROR(('Final Calculation Sheet'!$F$19)&amp;"","")="",ISNUMBER(SEARCH($AS$61:$AZ$61,IFERROR(('Final Calculation Sheet'!$F$19)&amp;"","")))))&gt;0),IF(COUNTIF($BI$61:$BP$61,3)=0,TRUE,SUMPRODUCT(($BI$61:$BP$61=3)*($AS$61:$AZ$61&lt;&gt;"")*IF(((UPPER($AS$61:$AZ$61)="BLANK")+(UPPER($AS$61:$AZ$61)="(BLANK)")+(UPPER($AS$61:$AZ$61)="EMPTY")+(UPPER($AS$61:$AZ$61)="(EMPTY)"))&gt;0,IFERROR(('Final Calculation Sheet'!$F$19)&amp;"","")="",ISNUMBER(SEARCH($AS$61:$AZ$61,IFERROR(('Final Calculation Sheet'!$F$19)&amp;"","")))))&gt;0),IF(COUNTIF($BI$61:$BP$61,4)=0,TRUE,SUMPRODUCT(($BI$61:$BP$61=4)*($AS$61:$AZ$61&lt;&gt;"")*IF(((UPPER($AS$61:$AZ$61)="BLANK")+(UPPER($AS$61:$AZ$61)="(BLANK)")+(UPPER($AS$61:$AZ$61)="EMPTY")+(UPPER($AS$61:$AZ$61)="(EMPTY)"))&gt;0,IFERROR(('Final Calculation Sheet'!$F$19)&amp;"","")="",ISNUMBER(SEARCH($AS$61:$AZ$61,IFERROR(('Final Calculation Sheet'!$F$19)&amp;"","")))))&gt;0),IF(COUNTIF($BI$61:$BP$61,5)=0,TRUE,SUMPRODUCT(($BI$61:$BP$61=5)*($AS$61:$AZ$61&lt;&gt;"")*IF(((UPPER($AS$61:$AZ$61)="BLANK")+(UPPER($AS$61:$AZ$61)="(BLANK)")+(UPPER($AS$61:$AZ$61)="EMPTY")+(UPPER($AS$61:$AZ$61)="(EMPTY)"))&gt;0,IFERROR(('Final Calculation Sheet'!$F$19)&amp;"","")="",ISNUMBER(SEARCH($AS$61:$AZ$61,IFERROR(('Final Calculation Sheet'!$F$19)&amp;"","")))))&gt;0),IF(COUNTIF($BI$61:$BP$61,6)=0,TRUE,SUMPRODUCT(($BI$61:$BP$61=6)*($AS$61:$AZ$61&lt;&gt;"")*IF(((UPPER($AS$61:$AZ$61)="BLANK")+(UPPER($AS$61:$AZ$61)="(BLANK)")+(UPPER($AS$61:$AZ$61)="EMPTY")+(UPPER($AS$61:$AZ$61)="(EMPTY)"))&gt;0,IFERROR(('Final Calculation Sheet'!$F$19)&amp;"","")="",ISNUMBER(SEARCH($AS$61:$AZ$61,IFERROR(('Final Calculation Sheet'!$F$19)&amp;"","")))))&gt;0),IF(COUNTIF($BI$61:$BP$61,7)=0,TRUE,SUMPRODUCT(($BI$61:$BP$61=7)*($AS$61:$AZ$61&lt;&gt;"")*IF(((UPPER($AS$61:$AZ$61)="BLANK")+(UPPER($AS$61:$AZ$61)="(BLANK)")+(UPPER($AS$61:$AZ$61)="EMPTY")+(UPPER($AS$61:$AZ$61)="(EMPTY)"))&gt;0,IFERROR(('Final Calculation Sheet'!$F$19)&amp;"","")="",ISNUMBER(SEARCH($AS$61:$AZ$61,IFERROR(('Final Calculation Sheet'!$F$19)&amp;"","")))))&gt;0),IF(COUNTIF($BI$61:$BP$61,8)=0,TRUE,SUMPRODUCT(($BI$61:$BP$61=8)*($AS$61:$AZ$61&lt;&gt;"")*IF(((UPPER($AS$61:$AZ$61)="BLANK")+(UPPER($AS$61:$AZ$61)="(BLANK)")+(UPPER($AS$61:$AZ$61)="EMPTY")+(UPPER($AS$61:$AZ$61)="(EMPTY)"))&gt;0,IFERROR(('Final Calculation Sheet'!$F$19)&amp;"","")="",ISNUMBER(SEARCH($AS$61:$AZ$61,IFERROR(('Final Calculation Sheet'!$F$19)&amp;"","")))))&gt;0))))</f>
        <v>1</v>
      </c>
      <c r="BO20">
        <f>IF($C$4="",1,--(AND(SUMPRODUCT(--($AS$62:$AZ$62&lt;&gt;""))&gt;0,IF(COUNTIF($BI$62:$BP$62,1)=0,TRUE,SUMPRODUCT(($BI$62:$BP$62=1)*($AS$62:$AZ$62&lt;&gt;"")*IF(((UPPER($AS$62:$AZ$62)="BLANK")+(UPPER($AS$62:$AZ$62)="(BLANK)")+(UPPER($AS$62:$AZ$62)="EMPTY")+(UPPER($AS$62:$AZ$62)="(EMPTY)"))&gt;0,IFERROR(('Final Calculation Sheet'!$G$19)&amp;"","")="",ISNUMBER(SEARCH($AS$62:$AZ$62,IFERROR(('Final Calculation Sheet'!$G$19)&amp;"","")))))&gt;0),IF(COUNTIF($BI$62:$BP$62,2)=0,TRUE,SUMPRODUCT(($BI$62:$BP$62=2)*($AS$62:$AZ$62&lt;&gt;"")*IF(((UPPER($AS$62:$AZ$62)="BLANK")+(UPPER($AS$62:$AZ$62)="(BLANK)")+(UPPER($AS$62:$AZ$62)="EMPTY")+(UPPER($AS$62:$AZ$62)="(EMPTY)"))&gt;0,IFERROR(('Final Calculation Sheet'!$G$19)&amp;"","")="",ISNUMBER(SEARCH($AS$62:$AZ$62,IFERROR(('Final Calculation Sheet'!$G$19)&amp;"","")))))&gt;0),IF(COUNTIF($BI$62:$BP$62,3)=0,TRUE,SUMPRODUCT(($BI$62:$BP$62=3)*($AS$62:$AZ$62&lt;&gt;"")*IF(((UPPER($AS$62:$AZ$62)="BLANK")+(UPPER($AS$62:$AZ$62)="(BLANK)")+(UPPER($AS$62:$AZ$62)="EMPTY")+(UPPER($AS$62:$AZ$62)="(EMPTY)"))&gt;0,IFERROR(('Final Calculation Sheet'!$G$19)&amp;"","")="",ISNUMBER(SEARCH($AS$62:$AZ$62,IFERROR(('Final Calculation Sheet'!$G$19)&amp;"","")))))&gt;0),IF(COUNTIF($BI$62:$BP$62,4)=0,TRUE,SUMPRODUCT(($BI$62:$BP$62=4)*($AS$62:$AZ$62&lt;&gt;"")*IF(((UPPER($AS$62:$AZ$62)="BLANK")+(UPPER($AS$62:$AZ$62)="(BLANK)")+(UPPER($AS$62:$AZ$62)="EMPTY")+(UPPER($AS$62:$AZ$62)="(EMPTY)"))&gt;0,IFERROR(('Final Calculation Sheet'!$G$19)&amp;"","")="",ISNUMBER(SEARCH($AS$62:$AZ$62,IFERROR(('Final Calculation Sheet'!$G$19)&amp;"","")))))&gt;0),IF(COUNTIF($BI$62:$BP$62,5)=0,TRUE,SUMPRODUCT(($BI$62:$BP$62=5)*($AS$62:$AZ$62&lt;&gt;"")*IF(((UPPER($AS$62:$AZ$62)="BLANK")+(UPPER($AS$62:$AZ$62)="(BLANK)")+(UPPER($AS$62:$AZ$62)="EMPTY")+(UPPER($AS$62:$AZ$62)="(EMPTY)"))&gt;0,IFERROR(('Final Calculation Sheet'!$G$19)&amp;"","")="",ISNUMBER(SEARCH($AS$62:$AZ$62,IFERROR(('Final Calculation Sheet'!$G$19)&amp;"","")))))&gt;0),IF(COUNTIF($BI$62:$BP$62,6)=0,TRUE,SUMPRODUCT(($BI$62:$BP$62=6)*($AS$62:$AZ$62&lt;&gt;"")*IF(((UPPER($AS$62:$AZ$62)="BLANK")+(UPPER($AS$62:$AZ$62)="(BLANK)")+(UPPER($AS$62:$AZ$62)="EMPTY")+(UPPER($AS$62:$AZ$62)="(EMPTY)"))&gt;0,IFERROR(('Final Calculation Sheet'!$G$19)&amp;"","")="",ISNUMBER(SEARCH($AS$62:$AZ$62,IFERROR(('Final Calculation Sheet'!$G$19)&amp;"","")))))&gt;0),IF(COUNTIF($BI$62:$BP$62,7)=0,TRUE,SUMPRODUCT(($BI$62:$BP$62=7)*($AS$62:$AZ$62&lt;&gt;"")*IF(((UPPER($AS$62:$AZ$62)="BLANK")+(UPPER($AS$62:$AZ$62)="(BLANK)")+(UPPER($AS$62:$AZ$62)="EMPTY")+(UPPER($AS$62:$AZ$62)="(EMPTY)"))&gt;0,IFERROR(('Final Calculation Sheet'!$G$19)&amp;"","")="",ISNUMBER(SEARCH($AS$62:$AZ$62,IFERROR(('Final Calculation Sheet'!$G$19)&amp;"","")))))&gt;0),IF(COUNTIF($BI$62:$BP$62,8)=0,TRUE,SUMPRODUCT(($BI$62:$BP$62=8)*($AS$62:$AZ$62&lt;&gt;"")*IF(((UPPER($AS$62:$AZ$62)="BLANK")+(UPPER($AS$62:$AZ$62)="(BLANK)")+(UPPER($AS$62:$AZ$62)="EMPTY")+(UPPER($AS$62:$AZ$62)="(EMPTY)"))&gt;0,IFERROR(('Final Calculation Sheet'!$G$19)&amp;"","")="",ISNUMBER(SEARCH($AS$62:$AZ$62,IFERROR(('Final Calculation Sheet'!$G$19)&amp;"","")))))&gt;0))))</f>
        <v>1</v>
      </c>
      <c r="BP20">
        <f>IF($D$4="",1,--(AND(SUMPRODUCT(--($AS$63:$AZ$63&lt;&gt;""))&gt;0,IF(COUNTIF($BI$63:$BP$63,1)=0,TRUE,SUMPRODUCT(($BI$63:$BP$63=1)*($AS$63:$AZ$63&lt;&gt;"")*IF(((UPPER($AS$63:$AZ$63)="BLANK")+(UPPER($AS$63:$AZ$63)="(BLANK)")+(UPPER($AS$63:$AZ$63)="EMPTY")+(UPPER($AS$63:$AZ$63)="(EMPTY)"))&gt;0,IFERROR(('Final Calculation Sheet'!$B$19)&amp;"","")="",ISNUMBER(SEARCH($AS$63:$AZ$63,IFERROR(('Final Calculation Sheet'!$B$19)&amp;"","")))))&gt;0),IF(COUNTIF($BI$63:$BP$63,2)=0,TRUE,SUMPRODUCT(($BI$63:$BP$63=2)*($AS$63:$AZ$63&lt;&gt;"")*IF(((UPPER($AS$63:$AZ$63)="BLANK")+(UPPER($AS$63:$AZ$63)="(BLANK)")+(UPPER($AS$63:$AZ$63)="EMPTY")+(UPPER($AS$63:$AZ$63)="(EMPTY)"))&gt;0,IFERROR(('Final Calculation Sheet'!$B$19)&amp;"","")="",ISNUMBER(SEARCH($AS$63:$AZ$63,IFERROR(('Final Calculation Sheet'!$B$19)&amp;"","")))))&gt;0),IF(COUNTIF($BI$63:$BP$63,3)=0,TRUE,SUMPRODUCT(($BI$63:$BP$63=3)*($AS$63:$AZ$63&lt;&gt;"")*IF(((UPPER($AS$63:$AZ$63)="BLANK")+(UPPER($AS$63:$AZ$63)="(BLANK)")+(UPPER($AS$63:$AZ$63)="EMPTY")+(UPPER($AS$63:$AZ$63)="(EMPTY)"))&gt;0,IFERROR(('Final Calculation Sheet'!$B$19)&amp;"","")="",ISNUMBER(SEARCH($AS$63:$AZ$63,IFERROR(('Final Calculation Sheet'!$B$19)&amp;"","")))))&gt;0),IF(COUNTIF($BI$63:$BP$63,4)=0,TRUE,SUMPRODUCT(($BI$63:$BP$63=4)*($AS$63:$AZ$63&lt;&gt;"")*IF(((UPPER($AS$63:$AZ$63)="BLANK")+(UPPER($AS$63:$AZ$63)="(BLANK)")+(UPPER($AS$63:$AZ$63)="EMPTY")+(UPPER($AS$63:$AZ$63)="(EMPTY)"))&gt;0,IFERROR(('Final Calculation Sheet'!$B$19)&amp;"","")="",ISNUMBER(SEARCH($AS$63:$AZ$63,IFERROR(('Final Calculation Sheet'!$B$19)&amp;"","")))))&gt;0),IF(COUNTIF($BI$63:$BP$63,5)=0,TRUE,SUMPRODUCT(($BI$63:$BP$63=5)*($AS$63:$AZ$63&lt;&gt;"")*IF(((UPPER($AS$63:$AZ$63)="BLANK")+(UPPER($AS$63:$AZ$63)="(BLANK)")+(UPPER($AS$63:$AZ$63)="EMPTY")+(UPPER($AS$63:$AZ$63)="(EMPTY)"))&gt;0,IFERROR(('Final Calculation Sheet'!$B$19)&amp;"","")="",ISNUMBER(SEARCH($AS$63:$AZ$63,IFERROR(('Final Calculation Sheet'!$B$19)&amp;"","")))))&gt;0),IF(COUNTIF($BI$63:$BP$63,6)=0,TRUE,SUMPRODUCT(($BI$63:$BP$63=6)*($AS$63:$AZ$63&lt;&gt;"")*IF(((UPPER($AS$63:$AZ$63)="BLANK")+(UPPER($AS$63:$AZ$63)="(BLANK)")+(UPPER($AS$63:$AZ$63)="EMPTY")+(UPPER($AS$63:$AZ$63)="(EMPTY)"))&gt;0,IFERROR(('Final Calculation Sheet'!$B$19)&amp;"","")="",ISNUMBER(SEARCH($AS$63:$AZ$63,IFERROR(('Final Calculation Sheet'!$B$19)&amp;"","")))))&gt;0),IF(COUNTIF($BI$63:$BP$63,7)=0,TRUE,SUMPRODUCT(($BI$63:$BP$63=7)*($AS$63:$AZ$63&lt;&gt;"")*IF(((UPPER($AS$63:$AZ$63)="BLANK")+(UPPER($AS$63:$AZ$63)="(BLANK)")+(UPPER($AS$63:$AZ$63)="EMPTY")+(UPPER($AS$63:$AZ$63)="(EMPTY)"))&gt;0,IFERROR(('Final Calculation Sheet'!$B$19)&amp;"","")="",ISNUMBER(SEARCH($AS$63:$AZ$63,IFERROR(('Final Calculation Sheet'!$B$19)&amp;"","")))))&gt;0),IF(COUNTIF($BI$63:$BP$63,8)=0,TRUE,SUMPRODUCT(($BI$63:$BP$63=8)*($AS$63:$AZ$63&lt;&gt;"")*IF(((UPPER($AS$63:$AZ$63)="BLANK")+(UPPER($AS$63:$AZ$63)="(BLANK)")+(UPPER($AS$63:$AZ$63)="EMPTY")+(UPPER($AS$63:$AZ$63)="(EMPTY)"))&gt;0,IFERROR(('Final Calculation Sheet'!$B$19)&amp;"","")="",ISNUMBER(SEARCH($AS$63:$AZ$63,IFERROR(('Final Calculation Sheet'!$B$19)&amp;"","")))))&gt;0))))</f>
        <v>1</v>
      </c>
      <c r="BQ20">
        <f>IF($E$4="",1,--(AND(SUMPRODUCT(--($AS$64:$AZ$64&lt;&gt;""))&gt;0,IF(COUNTIF($BI$64:$BP$64,1)=0,TRUE,SUMPRODUCT(($BI$64:$BP$64=1)*($AS$64:$AZ$64&lt;&gt;"")*IF(((UPPER($AS$64:$AZ$64)="BLANK")+(UPPER($AS$64:$AZ$64)="(BLANK)")+(UPPER($AS$64:$AZ$64)="EMPTY")+(UPPER($AS$64:$AZ$64)="(EMPTY)"))&gt;0,IFERROR(('Final Calculation Sheet'!$D$19)&amp;"","")="",ISNUMBER(SEARCH($AS$64:$AZ$64,IFERROR(('Final Calculation Sheet'!$D$19)&amp;"","")))))&gt;0),IF(COUNTIF($BI$64:$BP$64,2)=0,TRUE,SUMPRODUCT(($BI$64:$BP$64=2)*($AS$64:$AZ$64&lt;&gt;"")*IF(((UPPER($AS$64:$AZ$64)="BLANK")+(UPPER($AS$64:$AZ$64)="(BLANK)")+(UPPER($AS$64:$AZ$64)="EMPTY")+(UPPER($AS$64:$AZ$64)="(EMPTY)"))&gt;0,IFERROR(('Final Calculation Sheet'!$D$19)&amp;"","")="",ISNUMBER(SEARCH($AS$64:$AZ$64,IFERROR(('Final Calculation Sheet'!$D$19)&amp;"","")))))&gt;0),IF(COUNTIF($BI$64:$BP$64,3)=0,TRUE,SUMPRODUCT(($BI$64:$BP$64=3)*($AS$64:$AZ$64&lt;&gt;"")*IF(((UPPER($AS$64:$AZ$64)="BLANK")+(UPPER($AS$64:$AZ$64)="(BLANK)")+(UPPER($AS$64:$AZ$64)="EMPTY")+(UPPER($AS$64:$AZ$64)="(EMPTY)"))&gt;0,IFERROR(('Final Calculation Sheet'!$D$19)&amp;"","")="",ISNUMBER(SEARCH($AS$64:$AZ$64,IFERROR(('Final Calculation Sheet'!$D$19)&amp;"","")))))&gt;0),IF(COUNTIF($BI$64:$BP$64,4)=0,TRUE,SUMPRODUCT(($BI$64:$BP$64=4)*($AS$64:$AZ$64&lt;&gt;"")*IF(((UPPER($AS$64:$AZ$64)="BLANK")+(UPPER($AS$64:$AZ$64)="(BLANK)")+(UPPER($AS$64:$AZ$64)="EMPTY")+(UPPER($AS$64:$AZ$64)="(EMPTY)"))&gt;0,IFERROR(('Final Calculation Sheet'!$D$19)&amp;"","")="",ISNUMBER(SEARCH($AS$64:$AZ$64,IFERROR(('Final Calculation Sheet'!$D$19)&amp;"","")))))&gt;0),IF(COUNTIF($BI$64:$BP$64,5)=0,TRUE,SUMPRODUCT(($BI$64:$BP$64=5)*($AS$64:$AZ$64&lt;&gt;"")*IF(((UPPER($AS$64:$AZ$64)="BLANK")+(UPPER($AS$64:$AZ$64)="(BLANK)")+(UPPER($AS$64:$AZ$64)="EMPTY")+(UPPER($AS$64:$AZ$64)="(EMPTY)"))&gt;0,IFERROR(('Final Calculation Sheet'!$D$19)&amp;"","")="",ISNUMBER(SEARCH($AS$64:$AZ$64,IFERROR(('Final Calculation Sheet'!$D$19)&amp;"","")))))&gt;0),IF(COUNTIF($BI$64:$BP$64,6)=0,TRUE,SUMPRODUCT(($BI$64:$BP$64=6)*($AS$64:$AZ$64&lt;&gt;"")*IF(((UPPER($AS$64:$AZ$64)="BLANK")+(UPPER($AS$64:$AZ$64)="(BLANK)")+(UPPER($AS$64:$AZ$64)="EMPTY")+(UPPER($AS$64:$AZ$64)="(EMPTY)"))&gt;0,IFERROR(('Final Calculation Sheet'!$D$19)&amp;"","")="",ISNUMBER(SEARCH($AS$64:$AZ$64,IFERROR(('Final Calculation Sheet'!$D$19)&amp;"","")))))&gt;0),IF(COUNTIF($BI$64:$BP$64,7)=0,TRUE,SUMPRODUCT(($BI$64:$BP$64=7)*($AS$64:$AZ$64&lt;&gt;"")*IF(((UPPER($AS$64:$AZ$64)="BLANK")+(UPPER($AS$64:$AZ$64)="(BLANK)")+(UPPER($AS$64:$AZ$64)="EMPTY")+(UPPER($AS$64:$AZ$64)="(EMPTY)"))&gt;0,IFERROR(('Final Calculation Sheet'!$D$19)&amp;"","")="",ISNUMBER(SEARCH($AS$64:$AZ$64,IFERROR(('Final Calculation Sheet'!$D$19)&amp;"","")))))&gt;0),IF(COUNTIF($BI$64:$BP$64,8)=0,TRUE,SUMPRODUCT(($BI$64:$BP$64=8)*($AS$64:$AZ$64&lt;&gt;"")*IF(((UPPER($AS$64:$AZ$64)="BLANK")+(UPPER($AS$64:$AZ$64)="(BLANK)")+(UPPER($AS$64:$AZ$64)="EMPTY")+(UPPER($AS$64:$AZ$64)="(EMPTY)"))&gt;0,IFERROR(('Final Calculation Sheet'!$D$19)&amp;"","")="",ISNUMBER(SEARCH($AS$64:$AZ$64,IFERROR(('Final Calculation Sheet'!$D$19)&amp;"","")))))&gt;0))))</f>
        <v>1</v>
      </c>
      <c r="BR20">
        <f>IF($F$4="",1,--(AND(SUMPRODUCT(--($AS$65:$AZ$65&lt;&gt;""))&gt;0,IF(COUNTIF($BI$65:$BP$65,1)=0,TRUE,SUMPRODUCT(($BI$65:$BP$65=1)*($AS$65:$AZ$65&lt;&gt;"")*IF(((UPPER($AS$65:$AZ$65)="BLANK")+(UPPER($AS$65:$AZ$65)="(BLANK)")+(UPPER($AS$65:$AZ$65)="EMPTY")+(UPPER($AS$65:$AZ$65)="(EMPTY)"))&gt;0,IFERROR(('Final Calculation Sheet'!$A$19)&amp;"","")="",ISNUMBER(SEARCH($AS$65:$AZ$65,IFERROR(('Final Calculation Sheet'!$A$19)&amp;"","")))))&gt;0),IF(COUNTIF($BI$65:$BP$65,2)=0,TRUE,SUMPRODUCT(($BI$65:$BP$65=2)*($AS$65:$AZ$65&lt;&gt;"")*IF(((UPPER($AS$65:$AZ$65)="BLANK")+(UPPER($AS$65:$AZ$65)="(BLANK)")+(UPPER($AS$65:$AZ$65)="EMPTY")+(UPPER($AS$65:$AZ$65)="(EMPTY)"))&gt;0,IFERROR(('Final Calculation Sheet'!$A$19)&amp;"","")="",ISNUMBER(SEARCH($AS$65:$AZ$65,IFERROR(('Final Calculation Sheet'!$A$19)&amp;"","")))))&gt;0),IF(COUNTIF($BI$65:$BP$65,3)=0,TRUE,SUMPRODUCT(($BI$65:$BP$65=3)*($AS$65:$AZ$65&lt;&gt;"")*IF(((UPPER($AS$65:$AZ$65)="BLANK")+(UPPER($AS$65:$AZ$65)="(BLANK)")+(UPPER($AS$65:$AZ$65)="EMPTY")+(UPPER($AS$65:$AZ$65)="(EMPTY)"))&gt;0,IFERROR(('Final Calculation Sheet'!$A$19)&amp;"","")="",ISNUMBER(SEARCH($AS$65:$AZ$65,IFERROR(('Final Calculation Sheet'!$A$19)&amp;"","")))))&gt;0),IF(COUNTIF($BI$65:$BP$65,4)=0,TRUE,SUMPRODUCT(($BI$65:$BP$65=4)*($AS$65:$AZ$65&lt;&gt;"")*IF(((UPPER($AS$65:$AZ$65)="BLANK")+(UPPER($AS$65:$AZ$65)="(BLANK)")+(UPPER($AS$65:$AZ$65)="EMPTY")+(UPPER($AS$65:$AZ$65)="(EMPTY)"))&gt;0,IFERROR(('Final Calculation Sheet'!$A$19)&amp;"","")="",ISNUMBER(SEARCH($AS$65:$AZ$65,IFERROR(('Final Calculation Sheet'!$A$19)&amp;"","")))))&gt;0),IF(COUNTIF($BI$65:$BP$65,5)=0,TRUE,SUMPRODUCT(($BI$65:$BP$65=5)*($AS$65:$AZ$65&lt;&gt;"")*IF(((UPPER($AS$65:$AZ$65)="BLANK")+(UPPER($AS$65:$AZ$65)="(BLANK)")+(UPPER($AS$65:$AZ$65)="EMPTY")+(UPPER($AS$65:$AZ$65)="(EMPTY)"))&gt;0,IFERROR(('Final Calculation Sheet'!$A$19)&amp;"","")="",ISNUMBER(SEARCH($AS$65:$AZ$65,IFERROR(('Final Calculation Sheet'!$A$19)&amp;"","")))))&gt;0),IF(COUNTIF($BI$65:$BP$65,6)=0,TRUE,SUMPRODUCT(($BI$65:$BP$65=6)*($AS$65:$AZ$65&lt;&gt;"")*IF(((UPPER($AS$65:$AZ$65)="BLANK")+(UPPER($AS$65:$AZ$65)="(BLANK)")+(UPPER($AS$65:$AZ$65)="EMPTY")+(UPPER($AS$65:$AZ$65)="(EMPTY)"))&gt;0,IFERROR(('Final Calculation Sheet'!$A$19)&amp;"","")="",ISNUMBER(SEARCH($AS$65:$AZ$65,IFERROR(('Final Calculation Sheet'!$A$19)&amp;"","")))))&gt;0),IF(COUNTIF($BI$65:$BP$65,7)=0,TRUE,SUMPRODUCT(($BI$65:$BP$65=7)*($AS$65:$AZ$65&lt;&gt;"")*IF(((UPPER($AS$65:$AZ$65)="BLANK")+(UPPER($AS$65:$AZ$65)="(BLANK)")+(UPPER($AS$65:$AZ$65)="EMPTY")+(UPPER($AS$65:$AZ$65)="(EMPTY)"))&gt;0,IFERROR(('Final Calculation Sheet'!$A$19)&amp;"","")="",ISNUMBER(SEARCH($AS$65:$AZ$65,IFERROR(('Final Calculation Sheet'!$A$19)&amp;"","")))))&gt;0),IF(COUNTIF($BI$65:$BP$65,8)=0,TRUE,SUMPRODUCT(($BI$65:$BP$65=8)*($AS$65:$AZ$65&lt;&gt;"")*IF(((UPPER($AS$65:$AZ$65)="BLANK")+(UPPER($AS$65:$AZ$65)="(BLANK)")+(UPPER($AS$65:$AZ$65)="EMPTY")+(UPPER($AS$65:$AZ$65)="(EMPTY)"))&gt;0,IFERROR(('Final Calculation Sheet'!$A$19)&amp;"","")="",ISNUMBER(SEARCH($AS$65:$AZ$65,IFERROR(('Final Calculation Sheet'!$A$19)&amp;"","")))))&gt;0))))</f>
        <v>1</v>
      </c>
      <c r="BS20">
        <f>IF($G$4="",1,--(AND(SUMPRODUCT(--($AS$66:$AZ$66&lt;&gt;""))&gt;0,IF(COUNTIF($BI$66:$BP$66,1)=0,TRUE,SUMPRODUCT(($BI$66:$BP$66=1)*($AS$66:$AZ$66&lt;&gt;"")*IF(((UPPER($AS$66:$AZ$66)="BLANK")+(UPPER($AS$66:$AZ$66)="(BLANK)")+(UPPER($AS$66:$AZ$66)="EMPTY")+(UPPER($AS$66:$AZ$66)="(EMPTY)"))&gt;0,IFERROR(('Final Calculation Sheet'!$E$19)&amp;"","")="",ISNUMBER(SEARCH($AS$66:$AZ$66,IFERROR(('Final Calculation Sheet'!$E$19)&amp;"","")))))&gt;0),IF(COUNTIF($BI$66:$BP$66,2)=0,TRUE,SUMPRODUCT(($BI$66:$BP$66=2)*($AS$66:$AZ$66&lt;&gt;"")*IF(((UPPER($AS$66:$AZ$66)="BLANK")+(UPPER($AS$66:$AZ$66)="(BLANK)")+(UPPER($AS$66:$AZ$66)="EMPTY")+(UPPER($AS$66:$AZ$66)="(EMPTY)"))&gt;0,IFERROR(('Final Calculation Sheet'!$E$19)&amp;"","")="",ISNUMBER(SEARCH($AS$66:$AZ$66,IFERROR(('Final Calculation Sheet'!$E$19)&amp;"","")))))&gt;0),IF(COUNTIF($BI$66:$BP$66,3)=0,TRUE,SUMPRODUCT(($BI$66:$BP$66=3)*($AS$66:$AZ$66&lt;&gt;"")*IF(((UPPER($AS$66:$AZ$66)="BLANK")+(UPPER($AS$66:$AZ$66)="(BLANK)")+(UPPER($AS$66:$AZ$66)="EMPTY")+(UPPER($AS$66:$AZ$66)="(EMPTY)"))&gt;0,IFERROR(('Final Calculation Sheet'!$E$19)&amp;"","")="",ISNUMBER(SEARCH($AS$66:$AZ$66,IFERROR(('Final Calculation Sheet'!$E$19)&amp;"","")))))&gt;0),IF(COUNTIF($BI$66:$BP$66,4)=0,TRUE,SUMPRODUCT(($BI$66:$BP$66=4)*($AS$66:$AZ$66&lt;&gt;"")*IF(((UPPER($AS$66:$AZ$66)="BLANK")+(UPPER($AS$66:$AZ$66)="(BLANK)")+(UPPER($AS$66:$AZ$66)="EMPTY")+(UPPER($AS$66:$AZ$66)="(EMPTY)"))&gt;0,IFERROR(('Final Calculation Sheet'!$E$19)&amp;"","")="",ISNUMBER(SEARCH($AS$66:$AZ$66,IFERROR(('Final Calculation Sheet'!$E$19)&amp;"","")))))&gt;0),IF(COUNTIF($BI$66:$BP$66,5)=0,TRUE,SUMPRODUCT(($BI$66:$BP$66=5)*($AS$66:$AZ$66&lt;&gt;"")*IF(((UPPER($AS$66:$AZ$66)="BLANK")+(UPPER($AS$66:$AZ$66)="(BLANK)")+(UPPER($AS$66:$AZ$66)="EMPTY")+(UPPER($AS$66:$AZ$66)="(EMPTY)"))&gt;0,IFERROR(('Final Calculation Sheet'!$E$19)&amp;"","")="",ISNUMBER(SEARCH($AS$66:$AZ$66,IFERROR(('Final Calculation Sheet'!$E$19)&amp;"","")))))&gt;0),IF(COUNTIF($BI$66:$BP$66,6)=0,TRUE,SUMPRODUCT(($BI$66:$BP$66=6)*($AS$66:$AZ$66&lt;&gt;"")*IF(((UPPER($AS$66:$AZ$66)="BLANK")+(UPPER($AS$66:$AZ$66)="(BLANK)")+(UPPER($AS$66:$AZ$66)="EMPTY")+(UPPER($AS$66:$AZ$66)="(EMPTY)"))&gt;0,IFERROR(('Final Calculation Sheet'!$E$19)&amp;"","")="",ISNUMBER(SEARCH($AS$66:$AZ$66,IFERROR(('Final Calculation Sheet'!$E$19)&amp;"","")))))&gt;0),IF(COUNTIF($BI$66:$BP$66,7)=0,TRUE,SUMPRODUCT(($BI$66:$BP$66=7)*($AS$66:$AZ$66&lt;&gt;"")*IF(((UPPER($AS$66:$AZ$66)="BLANK")+(UPPER($AS$66:$AZ$66)="(BLANK)")+(UPPER($AS$66:$AZ$66)="EMPTY")+(UPPER($AS$66:$AZ$66)="(EMPTY)"))&gt;0,IFERROR(('Final Calculation Sheet'!$E$19)&amp;"","")="",ISNUMBER(SEARCH($AS$66:$AZ$66,IFERROR(('Final Calculation Sheet'!$E$19)&amp;"","")))))&gt;0),IF(COUNTIF($BI$66:$BP$66,8)=0,TRUE,SUMPRODUCT(($BI$66:$BP$66=8)*($AS$66:$AZ$66&lt;&gt;"")*IF(((UPPER($AS$66:$AZ$66)="BLANK")+(UPPER($AS$66:$AZ$66)="(BLANK)")+(UPPER($AS$66:$AZ$66)="EMPTY")+(UPPER($AS$66:$AZ$66)="(EMPTY)"))&gt;0,IFERROR(('Final Calculation Sheet'!$E$19)&amp;"","")="",ISNUMBER(SEARCH($AS$66:$AZ$66,IFERROR(('Final Calculation Sheet'!$E$19)&amp;"","")))))&gt;0))))</f>
        <v>1</v>
      </c>
      <c r="BT20">
        <f>IF($H$4="",1,--(AND(SUMPRODUCT(--($AS$67:$AZ$67&lt;&gt;""))&gt;0,IF(COUNTIF($BI$67:$BP$67,1)=0,TRUE,SUMPRODUCT(($BI$67:$BP$67=1)*($AS$67:$AZ$67&lt;&gt;"")*IF(((UPPER($AS$67:$AZ$67)="BLANK")+(UPPER($AS$67:$AZ$67)="(BLANK)")+(UPPER($AS$67:$AZ$67)="EMPTY")+(UPPER($AS$67:$AZ$67)="(EMPTY)"))&gt;0,IFERROR(('Final Calculation Sheet'!$C$19)&amp;"","")="",ISNUMBER(SEARCH($AS$67:$AZ$67,IFERROR(('Final Calculation Sheet'!$C$19)&amp;"","")))))&gt;0),IF(COUNTIF($BI$67:$BP$67,2)=0,TRUE,SUMPRODUCT(($BI$67:$BP$67=2)*($AS$67:$AZ$67&lt;&gt;"")*IF(((UPPER($AS$67:$AZ$67)="BLANK")+(UPPER($AS$67:$AZ$67)="(BLANK)")+(UPPER($AS$67:$AZ$67)="EMPTY")+(UPPER($AS$67:$AZ$67)="(EMPTY)"))&gt;0,IFERROR(('Final Calculation Sheet'!$C$19)&amp;"","")="",ISNUMBER(SEARCH($AS$67:$AZ$67,IFERROR(('Final Calculation Sheet'!$C$19)&amp;"","")))))&gt;0),IF(COUNTIF($BI$67:$BP$67,3)=0,TRUE,SUMPRODUCT(($BI$67:$BP$67=3)*($AS$67:$AZ$67&lt;&gt;"")*IF(((UPPER($AS$67:$AZ$67)="BLANK")+(UPPER($AS$67:$AZ$67)="(BLANK)")+(UPPER($AS$67:$AZ$67)="EMPTY")+(UPPER($AS$67:$AZ$67)="(EMPTY)"))&gt;0,IFERROR(('Final Calculation Sheet'!$C$19)&amp;"","")="",ISNUMBER(SEARCH($AS$67:$AZ$67,IFERROR(('Final Calculation Sheet'!$C$19)&amp;"","")))))&gt;0),IF(COUNTIF($BI$67:$BP$67,4)=0,TRUE,SUMPRODUCT(($BI$67:$BP$67=4)*($AS$67:$AZ$67&lt;&gt;"")*IF(((UPPER($AS$67:$AZ$67)="BLANK")+(UPPER($AS$67:$AZ$67)="(BLANK)")+(UPPER($AS$67:$AZ$67)="EMPTY")+(UPPER($AS$67:$AZ$67)="(EMPTY)"))&gt;0,IFERROR(('Final Calculation Sheet'!$C$19)&amp;"","")="",ISNUMBER(SEARCH($AS$67:$AZ$67,IFERROR(('Final Calculation Sheet'!$C$19)&amp;"","")))))&gt;0),IF(COUNTIF($BI$67:$BP$67,5)=0,TRUE,SUMPRODUCT(($BI$67:$BP$67=5)*($AS$67:$AZ$67&lt;&gt;"")*IF(((UPPER($AS$67:$AZ$67)="BLANK")+(UPPER($AS$67:$AZ$67)="(BLANK)")+(UPPER($AS$67:$AZ$67)="EMPTY")+(UPPER($AS$67:$AZ$67)="(EMPTY)"))&gt;0,IFERROR(('Final Calculation Sheet'!$C$19)&amp;"","")="",ISNUMBER(SEARCH($AS$67:$AZ$67,IFERROR(('Final Calculation Sheet'!$C$19)&amp;"","")))))&gt;0),IF(COUNTIF($BI$67:$BP$67,6)=0,TRUE,SUMPRODUCT(($BI$67:$BP$67=6)*($AS$67:$AZ$67&lt;&gt;"")*IF(((UPPER($AS$67:$AZ$67)="BLANK")+(UPPER($AS$67:$AZ$67)="(BLANK)")+(UPPER($AS$67:$AZ$67)="EMPTY")+(UPPER($AS$67:$AZ$67)="(EMPTY)"))&gt;0,IFERROR(('Final Calculation Sheet'!$C$19)&amp;"","")="",ISNUMBER(SEARCH($AS$67:$AZ$67,IFERROR(('Final Calculation Sheet'!$C$19)&amp;"","")))))&gt;0),IF(COUNTIF($BI$67:$BP$67,7)=0,TRUE,SUMPRODUCT(($BI$67:$BP$67=7)*($AS$67:$AZ$67&lt;&gt;"")*IF(((UPPER($AS$67:$AZ$67)="BLANK")+(UPPER($AS$67:$AZ$67)="(BLANK)")+(UPPER($AS$67:$AZ$67)="EMPTY")+(UPPER($AS$67:$AZ$67)="(EMPTY)"))&gt;0,IFERROR(('Final Calculation Sheet'!$C$19)&amp;"","")="",ISNUMBER(SEARCH($AS$67:$AZ$67,IFERROR(('Final Calculation Sheet'!$C$19)&amp;"","")))))&gt;0),IF(COUNTIF($BI$67:$BP$67,8)=0,TRUE,SUMPRODUCT(($BI$67:$BP$67=8)*($AS$67:$AZ$67&lt;&gt;"")*IF(((UPPER($AS$67:$AZ$67)="BLANK")+(UPPER($AS$67:$AZ$67)="(BLANK)")+(UPPER($AS$67:$AZ$67)="EMPTY")+(UPPER($AS$67:$AZ$67)="(EMPTY)"))&gt;0,IFERROR(('Final Calculation Sheet'!$C$19)&amp;"","")="",ISNUMBER(SEARCH($AS$67:$AZ$67,IFERROR(('Final Calculation Sheet'!$C$19)&amp;"","")))))&gt;0))))</f>
        <v>1</v>
      </c>
      <c r="BU20">
        <f>IF($I$4="",1,--(AND(SUMPRODUCT(--($AS$68:$AZ$68&lt;&gt;""))&gt;0,IF(COUNTIF($BI$68:$BP$68,1)=0,TRUE,SUMPRODUCT(($BI$68:$BP$68=1)*($AS$68:$AZ$68&lt;&gt;"")*IF(((UPPER($AS$68:$AZ$68)="BLANK")+(UPPER($AS$68:$AZ$68)="(BLANK)")+(UPPER($AS$68:$AZ$68)="EMPTY")+(UPPER($AS$68:$AZ$68)="(EMPTY)"))&gt;0,IFERROR(('Final Calculation Sheet'!$H$19)&amp;"","")="",ISNUMBER(SEARCH($AS$68:$AZ$68,IFERROR(('Final Calculation Sheet'!$H$19)&amp;"","")))))&gt;0),IF(COUNTIF($BI$68:$BP$68,2)=0,TRUE,SUMPRODUCT(($BI$68:$BP$68=2)*($AS$68:$AZ$68&lt;&gt;"")*IF(((UPPER($AS$68:$AZ$68)="BLANK")+(UPPER($AS$68:$AZ$68)="(BLANK)")+(UPPER($AS$68:$AZ$68)="EMPTY")+(UPPER($AS$68:$AZ$68)="(EMPTY)"))&gt;0,IFERROR(('Final Calculation Sheet'!$H$19)&amp;"","")="",ISNUMBER(SEARCH($AS$68:$AZ$68,IFERROR(('Final Calculation Sheet'!$H$19)&amp;"","")))))&gt;0),IF(COUNTIF($BI$68:$BP$68,3)=0,TRUE,SUMPRODUCT(($BI$68:$BP$68=3)*($AS$68:$AZ$68&lt;&gt;"")*IF(((UPPER($AS$68:$AZ$68)="BLANK")+(UPPER($AS$68:$AZ$68)="(BLANK)")+(UPPER($AS$68:$AZ$68)="EMPTY")+(UPPER($AS$68:$AZ$68)="(EMPTY)"))&gt;0,IFERROR(('Final Calculation Sheet'!$H$19)&amp;"","")="",ISNUMBER(SEARCH($AS$68:$AZ$68,IFERROR(('Final Calculation Sheet'!$H$19)&amp;"","")))))&gt;0),IF(COUNTIF($BI$68:$BP$68,4)=0,TRUE,SUMPRODUCT(($BI$68:$BP$68=4)*($AS$68:$AZ$68&lt;&gt;"")*IF(((UPPER($AS$68:$AZ$68)="BLANK")+(UPPER($AS$68:$AZ$68)="(BLANK)")+(UPPER($AS$68:$AZ$68)="EMPTY")+(UPPER($AS$68:$AZ$68)="(EMPTY)"))&gt;0,IFERROR(('Final Calculation Sheet'!$H$19)&amp;"","")="",ISNUMBER(SEARCH($AS$68:$AZ$68,IFERROR(('Final Calculation Sheet'!$H$19)&amp;"","")))))&gt;0),IF(COUNTIF($BI$68:$BP$68,5)=0,TRUE,SUMPRODUCT(($BI$68:$BP$68=5)*($AS$68:$AZ$68&lt;&gt;"")*IF(((UPPER($AS$68:$AZ$68)="BLANK")+(UPPER($AS$68:$AZ$68)="(BLANK)")+(UPPER($AS$68:$AZ$68)="EMPTY")+(UPPER($AS$68:$AZ$68)="(EMPTY)"))&gt;0,IFERROR(('Final Calculation Sheet'!$H$19)&amp;"","")="",ISNUMBER(SEARCH($AS$68:$AZ$68,IFERROR(('Final Calculation Sheet'!$H$19)&amp;"","")))))&gt;0),IF(COUNTIF($BI$68:$BP$68,6)=0,TRUE,SUMPRODUCT(($BI$68:$BP$68=6)*($AS$68:$AZ$68&lt;&gt;"")*IF(((UPPER($AS$68:$AZ$68)="BLANK")+(UPPER($AS$68:$AZ$68)="(BLANK)")+(UPPER($AS$68:$AZ$68)="EMPTY")+(UPPER($AS$68:$AZ$68)="(EMPTY)"))&gt;0,IFERROR(('Final Calculation Sheet'!$H$19)&amp;"","")="",ISNUMBER(SEARCH($AS$68:$AZ$68,IFERROR(('Final Calculation Sheet'!$H$19)&amp;"","")))))&gt;0),IF(COUNTIF($BI$68:$BP$68,7)=0,TRUE,SUMPRODUCT(($BI$68:$BP$68=7)*($AS$68:$AZ$68&lt;&gt;"")*IF(((UPPER($AS$68:$AZ$68)="BLANK")+(UPPER($AS$68:$AZ$68)="(BLANK)")+(UPPER($AS$68:$AZ$68)="EMPTY")+(UPPER($AS$68:$AZ$68)="(EMPTY)"))&gt;0,IFERROR(('Final Calculation Sheet'!$H$19)&amp;"","")="",ISNUMBER(SEARCH($AS$68:$AZ$68,IFERROR(('Final Calculation Sheet'!$H$19)&amp;"","")))))&gt;0),IF(COUNTIF($BI$68:$BP$68,8)=0,TRUE,SUMPRODUCT(($BI$68:$BP$68=8)*($AS$68:$AZ$68&lt;&gt;"")*IF(((UPPER($AS$68:$AZ$68)="BLANK")+(UPPER($AS$68:$AZ$68)="(BLANK)")+(UPPER($AS$68:$AZ$68)="EMPTY")+(UPPER($AS$68:$AZ$68)="(EMPTY)"))&gt;0,IFERROR(('Final Calculation Sheet'!$H$19)&amp;"","")="",ISNUMBER(SEARCH($AS$68:$AZ$68,IFERROR(('Final Calculation Sheet'!$H$19)&amp;"","")))))&gt;0))))</f>
        <v>1</v>
      </c>
      <c r="BV20">
        <f>IF($J$4="",1,--(AND(SUMPRODUCT(--($AS$69:$AZ$69&lt;&gt;""))&gt;0,IF(COUNTIF($BI$69:$BP$69,1)=0,TRUE,SUMPRODUCT(($BI$69:$BP$69=1)*($AS$69:$AZ$69&lt;&gt;"")*IF(((UPPER($AS$69:$AZ$69)="BLANK")+(UPPER($AS$69:$AZ$69)="(BLANK)")+(UPPER($AS$69:$AZ$69)="EMPTY")+(UPPER($AS$69:$AZ$69)="(EMPTY)"))&gt;0,IFERROR(('Final Calculation Sheet'!$I$19)&amp;"","")="",ISNUMBER(SEARCH($AS$69:$AZ$69,IFERROR(('Final Calculation Sheet'!$I$19)&amp;"","")))))&gt;0),IF(COUNTIF($BI$69:$BP$69,2)=0,TRUE,SUMPRODUCT(($BI$69:$BP$69=2)*($AS$69:$AZ$69&lt;&gt;"")*IF(((UPPER($AS$69:$AZ$69)="BLANK")+(UPPER($AS$69:$AZ$69)="(BLANK)")+(UPPER($AS$69:$AZ$69)="EMPTY")+(UPPER($AS$69:$AZ$69)="(EMPTY)"))&gt;0,IFERROR(('Final Calculation Sheet'!$I$19)&amp;"","")="",ISNUMBER(SEARCH($AS$69:$AZ$69,IFERROR(('Final Calculation Sheet'!$I$19)&amp;"","")))))&gt;0),IF(COUNTIF($BI$69:$BP$69,3)=0,TRUE,SUMPRODUCT(($BI$69:$BP$69=3)*($AS$69:$AZ$69&lt;&gt;"")*IF(((UPPER($AS$69:$AZ$69)="BLANK")+(UPPER($AS$69:$AZ$69)="(BLANK)")+(UPPER($AS$69:$AZ$69)="EMPTY")+(UPPER($AS$69:$AZ$69)="(EMPTY)"))&gt;0,IFERROR(('Final Calculation Sheet'!$I$19)&amp;"","")="",ISNUMBER(SEARCH($AS$69:$AZ$69,IFERROR(('Final Calculation Sheet'!$I$19)&amp;"","")))))&gt;0),IF(COUNTIF($BI$69:$BP$69,4)=0,TRUE,SUMPRODUCT(($BI$69:$BP$69=4)*($AS$69:$AZ$69&lt;&gt;"")*IF(((UPPER($AS$69:$AZ$69)="BLANK")+(UPPER($AS$69:$AZ$69)="(BLANK)")+(UPPER($AS$69:$AZ$69)="EMPTY")+(UPPER($AS$69:$AZ$69)="(EMPTY)"))&gt;0,IFERROR(('Final Calculation Sheet'!$I$19)&amp;"","")="",ISNUMBER(SEARCH($AS$69:$AZ$69,IFERROR(('Final Calculation Sheet'!$I$19)&amp;"","")))))&gt;0),IF(COUNTIF($BI$69:$BP$69,5)=0,TRUE,SUMPRODUCT(($BI$69:$BP$69=5)*($AS$69:$AZ$69&lt;&gt;"")*IF(((UPPER($AS$69:$AZ$69)="BLANK")+(UPPER($AS$69:$AZ$69)="(BLANK)")+(UPPER($AS$69:$AZ$69)="EMPTY")+(UPPER($AS$69:$AZ$69)="(EMPTY)"))&gt;0,IFERROR(('Final Calculation Sheet'!$I$19)&amp;"","")="",ISNUMBER(SEARCH($AS$69:$AZ$69,IFERROR(('Final Calculation Sheet'!$I$19)&amp;"","")))))&gt;0),IF(COUNTIF($BI$69:$BP$69,6)=0,TRUE,SUMPRODUCT(($BI$69:$BP$69=6)*($AS$69:$AZ$69&lt;&gt;"")*IF(((UPPER($AS$69:$AZ$69)="BLANK")+(UPPER($AS$69:$AZ$69)="(BLANK)")+(UPPER($AS$69:$AZ$69)="EMPTY")+(UPPER($AS$69:$AZ$69)="(EMPTY)"))&gt;0,IFERROR(('Final Calculation Sheet'!$I$19)&amp;"","")="",ISNUMBER(SEARCH($AS$69:$AZ$69,IFERROR(('Final Calculation Sheet'!$I$19)&amp;"","")))))&gt;0),IF(COUNTIF($BI$69:$BP$69,7)=0,TRUE,SUMPRODUCT(($BI$69:$BP$69=7)*($AS$69:$AZ$69&lt;&gt;"")*IF(((UPPER($AS$69:$AZ$69)="BLANK")+(UPPER($AS$69:$AZ$69)="(BLANK)")+(UPPER($AS$69:$AZ$69)="EMPTY")+(UPPER($AS$69:$AZ$69)="(EMPTY)"))&gt;0,IFERROR(('Final Calculation Sheet'!$I$19)&amp;"","")="",ISNUMBER(SEARCH($AS$69:$AZ$69,IFERROR(('Final Calculation Sheet'!$I$19)&amp;"","")))))&gt;0),IF(COUNTIF($BI$69:$BP$69,8)=0,TRUE,SUMPRODUCT(($BI$69:$BP$69=8)*($AS$69:$AZ$69&lt;&gt;"")*IF(((UPPER($AS$69:$AZ$69)="BLANK")+(UPPER($AS$69:$AZ$69)="(BLANK)")+(UPPER($AS$69:$AZ$69)="EMPTY")+(UPPER($AS$69:$AZ$69)="(EMPTY)"))&gt;0,IFERROR(('Final Calculation Sheet'!$I$19)&amp;"","")="",ISNUMBER(SEARCH($AS$69:$AZ$69,IFERROR(('Final Calculation Sheet'!$I$19)&amp;"","")))))&gt;0))))</f>
        <v>1</v>
      </c>
      <c r="BW20">
        <f>IF($K$4="",1,--(AND(SUMPRODUCT(--($AS$70:$AZ$70&lt;&gt;""))&gt;0,IF(COUNTIF($BI$70:$BP$70,1)=0,TRUE,SUMPRODUCT(($BI$70:$BP$70=1)*($AS$70:$AZ$70&lt;&gt;"")*IF(((UPPER($AS$70:$AZ$70)="BLANK")+(UPPER($AS$70:$AZ$70)="(BLANK)")+(UPPER($AS$70:$AZ$70)="EMPTY")+(UPPER($AS$70:$AZ$70)="(EMPTY)"))&gt;0,IFERROR(('Final Calculation Sheet'!$J$19)&amp;"","")="",ISNUMBER(SEARCH($AS$70:$AZ$70,IFERROR(('Final Calculation Sheet'!$J$19)&amp;"","")))))&gt;0),IF(COUNTIF($BI$70:$BP$70,2)=0,TRUE,SUMPRODUCT(($BI$70:$BP$70=2)*($AS$70:$AZ$70&lt;&gt;"")*IF(((UPPER($AS$70:$AZ$70)="BLANK")+(UPPER($AS$70:$AZ$70)="(BLANK)")+(UPPER($AS$70:$AZ$70)="EMPTY")+(UPPER($AS$70:$AZ$70)="(EMPTY)"))&gt;0,IFERROR(('Final Calculation Sheet'!$J$19)&amp;"","")="",ISNUMBER(SEARCH($AS$70:$AZ$70,IFERROR(('Final Calculation Sheet'!$J$19)&amp;"","")))))&gt;0),IF(COUNTIF($BI$70:$BP$70,3)=0,TRUE,SUMPRODUCT(($BI$70:$BP$70=3)*($AS$70:$AZ$70&lt;&gt;"")*IF(((UPPER($AS$70:$AZ$70)="BLANK")+(UPPER($AS$70:$AZ$70)="(BLANK)")+(UPPER($AS$70:$AZ$70)="EMPTY")+(UPPER($AS$70:$AZ$70)="(EMPTY)"))&gt;0,IFERROR(('Final Calculation Sheet'!$J$19)&amp;"","")="",ISNUMBER(SEARCH($AS$70:$AZ$70,IFERROR(('Final Calculation Sheet'!$J$19)&amp;"","")))))&gt;0),IF(COUNTIF($BI$70:$BP$70,4)=0,TRUE,SUMPRODUCT(($BI$70:$BP$70=4)*($AS$70:$AZ$70&lt;&gt;"")*IF(((UPPER($AS$70:$AZ$70)="BLANK")+(UPPER($AS$70:$AZ$70)="(BLANK)")+(UPPER($AS$70:$AZ$70)="EMPTY")+(UPPER($AS$70:$AZ$70)="(EMPTY)"))&gt;0,IFERROR(('Final Calculation Sheet'!$J$19)&amp;"","")="",ISNUMBER(SEARCH($AS$70:$AZ$70,IFERROR(('Final Calculation Sheet'!$J$19)&amp;"","")))))&gt;0),IF(COUNTIF($BI$70:$BP$70,5)=0,TRUE,SUMPRODUCT(($BI$70:$BP$70=5)*($AS$70:$AZ$70&lt;&gt;"")*IF(((UPPER($AS$70:$AZ$70)="BLANK")+(UPPER($AS$70:$AZ$70)="(BLANK)")+(UPPER($AS$70:$AZ$70)="EMPTY")+(UPPER($AS$70:$AZ$70)="(EMPTY)"))&gt;0,IFERROR(('Final Calculation Sheet'!$J$19)&amp;"","")="",ISNUMBER(SEARCH($AS$70:$AZ$70,IFERROR(('Final Calculation Sheet'!$J$19)&amp;"","")))))&gt;0),IF(COUNTIF($BI$70:$BP$70,6)=0,TRUE,SUMPRODUCT(($BI$70:$BP$70=6)*($AS$70:$AZ$70&lt;&gt;"")*IF(((UPPER($AS$70:$AZ$70)="BLANK")+(UPPER($AS$70:$AZ$70)="(BLANK)")+(UPPER($AS$70:$AZ$70)="EMPTY")+(UPPER($AS$70:$AZ$70)="(EMPTY)"))&gt;0,IFERROR(('Final Calculation Sheet'!$J$19)&amp;"","")="",ISNUMBER(SEARCH($AS$70:$AZ$70,IFERROR(('Final Calculation Sheet'!$J$19)&amp;"","")))))&gt;0),IF(COUNTIF($BI$70:$BP$70,7)=0,TRUE,SUMPRODUCT(($BI$70:$BP$70=7)*($AS$70:$AZ$70&lt;&gt;"")*IF(((UPPER($AS$70:$AZ$70)="BLANK")+(UPPER($AS$70:$AZ$70)="(BLANK)")+(UPPER($AS$70:$AZ$70)="EMPTY")+(UPPER($AS$70:$AZ$70)="(EMPTY)"))&gt;0,IFERROR(('Final Calculation Sheet'!$J$19)&amp;"","")="",ISNUMBER(SEARCH($AS$70:$AZ$70,IFERROR(('Final Calculation Sheet'!$J$19)&amp;"","")))))&gt;0),IF(COUNTIF($BI$70:$BP$70,8)=0,TRUE,SUMPRODUCT(($BI$70:$BP$70=8)*($AS$70:$AZ$70&lt;&gt;"")*IF(((UPPER($AS$70:$AZ$70)="BLANK")+(UPPER($AS$70:$AZ$70)="(BLANK)")+(UPPER($AS$70:$AZ$70)="EMPTY")+(UPPER($AS$70:$AZ$70)="(EMPTY)"))&gt;0,IFERROR(('Final Calculation Sheet'!$J$19)&amp;"","")="",ISNUMBER(SEARCH($AS$70:$AZ$70,IFERROR(('Final Calculation Sheet'!$J$19)&amp;"","")))))&gt;0))))</f>
        <v>1</v>
      </c>
      <c r="BX20">
        <f>IF($L$4="",1,--(AND(SUMPRODUCT(--($AS$71:$AZ$71&lt;&gt;""))&gt;0,IF(COUNTIF($BI$71:$BP$71,1)=0,TRUE,SUMPRODUCT(($BI$71:$BP$71=1)*($AS$71:$AZ$71&lt;&gt;"")*IF(((UPPER($AS$71:$AZ$71)="BLANK")+(UPPER($AS$71:$AZ$71)="(BLANK)")+(UPPER($AS$71:$AZ$71)="EMPTY")+(UPPER($AS$71:$AZ$71)="(EMPTY)"))&gt;0,IFERROR(('Final Calculation Sheet'!$K$19)&amp;"","")="",ISNUMBER(SEARCH($AS$71:$AZ$71,IFERROR(('Final Calculation Sheet'!$K$19)&amp;"","")))))&gt;0),IF(COUNTIF($BI$71:$BP$71,2)=0,TRUE,SUMPRODUCT(($BI$71:$BP$71=2)*($AS$71:$AZ$71&lt;&gt;"")*IF(((UPPER($AS$71:$AZ$71)="BLANK")+(UPPER($AS$71:$AZ$71)="(BLANK)")+(UPPER($AS$71:$AZ$71)="EMPTY")+(UPPER($AS$71:$AZ$71)="(EMPTY)"))&gt;0,IFERROR(('Final Calculation Sheet'!$K$19)&amp;"","")="",ISNUMBER(SEARCH($AS$71:$AZ$71,IFERROR(('Final Calculation Sheet'!$K$19)&amp;"","")))))&gt;0),IF(COUNTIF($BI$71:$BP$71,3)=0,TRUE,SUMPRODUCT(($BI$71:$BP$71=3)*($AS$71:$AZ$71&lt;&gt;"")*IF(((UPPER($AS$71:$AZ$71)="BLANK")+(UPPER($AS$71:$AZ$71)="(BLANK)")+(UPPER($AS$71:$AZ$71)="EMPTY")+(UPPER($AS$71:$AZ$71)="(EMPTY)"))&gt;0,IFERROR(('Final Calculation Sheet'!$K$19)&amp;"","")="",ISNUMBER(SEARCH($AS$71:$AZ$71,IFERROR(('Final Calculation Sheet'!$K$19)&amp;"","")))))&gt;0),IF(COUNTIF($BI$71:$BP$71,4)=0,TRUE,SUMPRODUCT(($BI$71:$BP$71=4)*($AS$71:$AZ$71&lt;&gt;"")*IF(((UPPER($AS$71:$AZ$71)="BLANK")+(UPPER($AS$71:$AZ$71)="(BLANK)")+(UPPER($AS$71:$AZ$71)="EMPTY")+(UPPER($AS$71:$AZ$71)="(EMPTY)"))&gt;0,IFERROR(('Final Calculation Sheet'!$K$19)&amp;"","")="",ISNUMBER(SEARCH($AS$71:$AZ$71,IFERROR(('Final Calculation Sheet'!$K$19)&amp;"","")))))&gt;0),IF(COUNTIF($BI$71:$BP$71,5)=0,TRUE,SUMPRODUCT(($BI$71:$BP$71=5)*($AS$71:$AZ$71&lt;&gt;"")*IF(((UPPER($AS$71:$AZ$71)="BLANK")+(UPPER($AS$71:$AZ$71)="(BLANK)")+(UPPER($AS$71:$AZ$71)="EMPTY")+(UPPER($AS$71:$AZ$71)="(EMPTY)"))&gt;0,IFERROR(('Final Calculation Sheet'!$K$19)&amp;"","")="",ISNUMBER(SEARCH($AS$71:$AZ$71,IFERROR(('Final Calculation Sheet'!$K$19)&amp;"","")))))&gt;0),IF(COUNTIF($BI$71:$BP$71,6)=0,TRUE,SUMPRODUCT(($BI$71:$BP$71=6)*($AS$71:$AZ$71&lt;&gt;"")*IF(((UPPER($AS$71:$AZ$71)="BLANK")+(UPPER($AS$71:$AZ$71)="(BLANK)")+(UPPER($AS$71:$AZ$71)="EMPTY")+(UPPER($AS$71:$AZ$71)="(EMPTY)"))&gt;0,IFERROR(('Final Calculation Sheet'!$K$19)&amp;"","")="",ISNUMBER(SEARCH($AS$71:$AZ$71,IFERROR(('Final Calculation Sheet'!$K$19)&amp;"","")))))&gt;0),IF(COUNTIF($BI$71:$BP$71,7)=0,TRUE,SUMPRODUCT(($BI$71:$BP$71=7)*($AS$71:$AZ$71&lt;&gt;"")*IF(((UPPER($AS$71:$AZ$71)="BLANK")+(UPPER($AS$71:$AZ$71)="(BLANK)")+(UPPER($AS$71:$AZ$71)="EMPTY")+(UPPER($AS$71:$AZ$71)="(EMPTY)"))&gt;0,IFERROR(('Final Calculation Sheet'!$K$19)&amp;"","")="",ISNUMBER(SEARCH($AS$71:$AZ$71,IFERROR(('Final Calculation Sheet'!$K$19)&amp;"","")))))&gt;0),IF(COUNTIF($BI$71:$BP$71,8)=0,TRUE,SUMPRODUCT(($BI$71:$BP$71=8)*($AS$71:$AZ$71&lt;&gt;"")*IF(((UPPER($AS$71:$AZ$71)="BLANK")+(UPPER($AS$71:$AZ$71)="(BLANK)")+(UPPER($AS$71:$AZ$71)="EMPTY")+(UPPER($AS$71:$AZ$71)="(EMPTY)"))&gt;0,IFERROR(('Final Calculation Sheet'!$K$19)&amp;"","")="",ISNUMBER(SEARCH($AS$71:$AZ$71,IFERROR(('Final Calculation Sheet'!$K$19)&amp;"","")))))&gt;0))))</f>
        <v>1</v>
      </c>
      <c r="BY20">
        <f>IF($M$4="",1,--(AND(SUMPRODUCT(--($AS$72:$AZ$72&lt;&gt;""))&gt;0,IF(COUNTIF($BI$72:$BP$72,1)=0,TRUE,SUMPRODUCT(($BI$72:$BP$72=1)*($AS$72:$AZ$72&lt;&gt;"")*IF(((UPPER($AS$72:$AZ$72)="BLANK")+(UPPER($AS$72:$AZ$72)="(BLANK)")+(UPPER($AS$72:$AZ$72)="EMPTY")+(UPPER($AS$72:$AZ$72)="(EMPTY)"))&gt;0,IFERROR(('Final Calculation Sheet'!$L$19)&amp;"","")="",ISNUMBER(SEARCH($AS$72:$AZ$72,IFERROR(('Final Calculation Sheet'!$L$19)&amp;"","")))))&gt;0),IF(COUNTIF($BI$72:$BP$72,2)=0,TRUE,SUMPRODUCT(($BI$72:$BP$72=2)*($AS$72:$AZ$72&lt;&gt;"")*IF(((UPPER($AS$72:$AZ$72)="BLANK")+(UPPER($AS$72:$AZ$72)="(BLANK)")+(UPPER($AS$72:$AZ$72)="EMPTY")+(UPPER($AS$72:$AZ$72)="(EMPTY)"))&gt;0,IFERROR(('Final Calculation Sheet'!$L$19)&amp;"","")="",ISNUMBER(SEARCH($AS$72:$AZ$72,IFERROR(('Final Calculation Sheet'!$L$19)&amp;"","")))))&gt;0),IF(COUNTIF($BI$72:$BP$72,3)=0,TRUE,SUMPRODUCT(($BI$72:$BP$72=3)*($AS$72:$AZ$72&lt;&gt;"")*IF(((UPPER($AS$72:$AZ$72)="BLANK")+(UPPER($AS$72:$AZ$72)="(BLANK)")+(UPPER($AS$72:$AZ$72)="EMPTY")+(UPPER($AS$72:$AZ$72)="(EMPTY)"))&gt;0,IFERROR(('Final Calculation Sheet'!$L$19)&amp;"","")="",ISNUMBER(SEARCH($AS$72:$AZ$72,IFERROR(('Final Calculation Sheet'!$L$19)&amp;"","")))))&gt;0),IF(COUNTIF($BI$72:$BP$72,4)=0,TRUE,SUMPRODUCT(($BI$72:$BP$72=4)*($AS$72:$AZ$72&lt;&gt;"")*IF(((UPPER($AS$72:$AZ$72)="BLANK")+(UPPER($AS$72:$AZ$72)="(BLANK)")+(UPPER($AS$72:$AZ$72)="EMPTY")+(UPPER($AS$72:$AZ$72)="(EMPTY)"))&gt;0,IFERROR(('Final Calculation Sheet'!$L$19)&amp;"","")="",ISNUMBER(SEARCH($AS$72:$AZ$72,IFERROR(('Final Calculation Sheet'!$L$19)&amp;"","")))))&gt;0),IF(COUNTIF($BI$72:$BP$72,5)=0,TRUE,SUMPRODUCT(($BI$72:$BP$72=5)*($AS$72:$AZ$72&lt;&gt;"")*IF(((UPPER($AS$72:$AZ$72)="BLANK")+(UPPER($AS$72:$AZ$72)="(BLANK)")+(UPPER($AS$72:$AZ$72)="EMPTY")+(UPPER($AS$72:$AZ$72)="(EMPTY)"))&gt;0,IFERROR(('Final Calculation Sheet'!$L$19)&amp;"","")="",ISNUMBER(SEARCH($AS$72:$AZ$72,IFERROR(('Final Calculation Sheet'!$L$19)&amp;"","")))))&gt;0),IF(COUNTIF($BI$72:$BP$72,6)=0,TRUE,SUMPRODUCT(($BI$72:$BP$72=6)*($AS$72:$AZ$72&lt;&gt;"")*IF(((UPPER($AS$72:$AZ$72)="BLANK")+(UPPER($AS$72:$AZ$72)="(BLANK)")+(UPPER($AS$72:$AZ$72)="EMPTY")+(UPPER($AS$72:$AZ$72)="(EMPTY)"))&gt;0,IFERROR(('Final Calculation Sheet'!$L$19)&amp;"","")="",ISNUMBER(SEARCH($AS$72:$AZ$72,IFERROR(('Final Calculation Sheet'!$L$19)&amp;"","")))))&gt;0),IF(COUNTIF($BI$72:$BP$72,7)=0,TRUE,SUMPRODUCT(($BI$72:$BP$72=7)*($AS$72:$AZ$72&lt;&gt;"")*IF(((UPPER($AS$72:$AZ$72)="BLANK")+(UPPER($AS$72:$AZ$72)="(BLANK)")+(UPPER($AS$72:$AZ$72)="EMPTY")+(UPPER($AS$72:$AZ$72)="(EMPTY)"))&gt;0,IFERROR(('Final Calculation Sheet'!$L$19)&amp;"","")="",ISNUMBER(SEARCH($AS$72:$AZ$72,IFERROR(('Final Calculation Sheet'!$L$19)&amp;"","")))))&gt;0),IF(COUNTIF($BI$72:$BP$72,8)=0,TRUE,SUMPRODUCT(($BI$72:$BP$72=8)*($AS$72:$AZ$72&lt;&gt;"")*IF(((UPPER($AS$72:$AZ$72)="BLANK")+(UPPER($AS$72:$AZ$72)="(BLANK)")+(UPPER($AS$72:$AZ$72)="EMPTY")+(UPPER($AS$72:$AZ$72)="(EMPTY)"))&gt;0,IFERROR(('Final Calculation Sheet'!$L$19)&amp;"","")="",ISNUMBER(SEARCH($AS$72:$AZ$72,IFERROR(('Final Calculation Sheet'!$L$19)&amp;"","")))))&gt;0))))</f>
        <v>1</v>
      </c>
      <c r="BZ20">
        <f>IF($N$4="",1,--(AND(SUMPRODUCT(--($AS$73:$AZ$73&lt;&gt;""))&gt;0,IF(COUNTIF($BI$73:$BP$73,1)=0,TRUE,SUMPRODUCT(($BI$73:$BP$73=1)*($AS$73:$AZ$73&lt;&gt;"")*IF(((UPPER($AS$73:$AZ$73)="BLANK")+(UPPER($AS$73:$AZ$73)="(BLANK)")+(UPPER($AS$73:$AZ$73)="EMPTY")+(UPPER($AS$73:$AZ$73)="(EMPTY)"))&gt;0,IFERROR(('Final Calculation Sheet'!$M$19)&amp;"","")="",ISNUMBER(SEARCH($AS$73:$AZ$73,IFERROR(('Final Calculation Sheet'!$M$19)&amp;"","")))))&gt;0),IF(COUNTIF($BI$73:$BP$73,2)=0,TRUE,SUMPRODUCT(($BI$73:$BP$73=2)*($AS$73:$AZ$73&lt;&gt;"")*IF(((UPPER($AS$73:$AZ$73)="BLANK")+(UPPER($AS$73:$AZ$73)="(BLANK)")+(UPPER($AS$73:$AZ$73)="EMPTY")+(UPPER($AS$73:$AZ$73)="(EMPTY)"))&gt;0,IFERROR(('Final Calculation Sheet'!$M$19)&amp;"","")="",ISNUMBER(SEARCH($AS$73:$AZ$73,IFERROR(('Final Calculation Sheet'!$M$19)&amp;"","")))))&gt;0),IF(COUNTIF($BI$73:$BP$73,3)=0,TRUE,SUMPRODUCT(($BI$73:$BP$73=3)*($AS$73:$AZ$73&lt;&gt;"")*IF(((UPPER($AS$73:$AZ$73)="BLANK")+(UPPER($AS$73:$AZ$73)="(BLANK)")+(UPPER($AS$73:$AZ$73)="EMPTY")+(UPPER($AS$73:$AZ$73)="(EMPTY)"))&gt;0,IFERROR(('Final Calculation Sheet'!$M$19)&amp;"","")="",ISNUMBER(SEARCH($AS$73:$AZ$73,IFERROR(('Final Calculation Sheet'!$M$19)&amp;"","")))))&gt;0),IF(COUNTIF($BI$73:$BP$73,4)=0,TRUE,SUMPRODUCT(($BI$73:$BP$73=4)*($AS$73:$AZ$73&lt;&gt;"")*IF(((UPPER($AS$73:$AZ$73)="BLANK")+(UPPER($AS$73:$AZ$73)="(BLANK)")+(UPPER($AS$73:$AZ$73)="EMPTY")+(UPPER($AS$73:$AZ$73)="(EMPTY)"))&gt;0,IFERROR(('Final Calculation Sheet'!$M$19)&amp;"","")="",ISNUMBER(SEARCH($AS$73:$AZ$73,IFERROR(('Final Calculation Sheet'!$M$19)&amp;"","")))))&gt;0),IF(COUNTIF($BI$73:$BP$73,5)=0,TRUE,SUMPRODUCT(($BI$73:$BP$73=5)*($AS$73:$AZ$73&lt;&gt;"")*IF(((UPPER($AS$73:$AZ$73)="BLANK")+(UPPER($AS$73:$AZ$73)="(BLANK)")+(UPPER($AS$73:$AZ$73)="EMPTY")+(UPPER($AS$73:$AZ$73)="(EMPTY)"))&gt;0,IFERROR(('Final Calculation Sheet'!$M$19)&amp;"","")="",ISNUMBER(SEARCH($AS$73:$AZ$73,IFERROR(('Final Calculation Sheet'!$M$19)&amp;"","")))))&gt;0),IF(COUNTIF($BI$73:$BP$73,6)=0,TRUE,SUMPRODUCT(($BI$73:$BP$73=6)*($AS$73:$AZ$73&lt;&gt;"")*IF(((UPPER($AS$73:$AZ$73)="BLANK")+(UPPER($AS$73:$AZ$73)="(BLANK)")+(UPPER($AS$73:$AZ$73)="EMPTY")+(UPPER($AS$73:$AZ$73)="(EMPTY)"))&gt;0,IFERROR(('Final Calculation Sheet'!$M$19)&amp;"","")="",ISNUMBER(SEARCH($AS$73:$AZ$73,IFERROR(('Final Calculation Sheet'!$M$19)&amp;"","")))))&gt;0),IF(COUNTIF($BI$73:$BP$73,7)=0,TRUE,SUMPRODUCT(($BI$73:$BP$73=7)*($AS$73:$AZ$73&lt;&gt;"")*IF(((UPPER($AS$73:$AZ$73)="BLANK")+(UPPER($AS$73:$AZ$73)="(BLANK)")+(UPPER($AS$73:$AZ$73)="EMPTY")+(UPPER($AS$73:$AZ$73)="(EMPTY)"))&gt;0,IFERROR(('Final Calculation Sheet'!$M$19)&amp;"","")="",ISNUMBER(SEARCH($AS$73:$AZ$73,IFERROR(('Final Calculation Sheet'!$M$19)&amp;"","")))))&gt;0),IF(COUNTIF($BI$73:$BP$73,8)=0,TRUE,SUMPRODUCT(($BI$73:$BP$73=8)*($AS$73:$AZ$73&lt;&gt;"")*IF(((UPPER($AS$73:$AZ$73)="BLANK")+(UPPER($AS$73:$AZ$73)="(BLANK)")+(UPPER($AS$73:$AZ$73)="EMPTY")+(UPPER($AS$73:$AZ$73)="(EMPTY)"))&gt;0,IFERROR(('Final Calculation Sheet'!$M$19)&amp;"","")="",ISNUMBER(SEARCH($AS$73:$AZ$73,IFERROR(('Final Calculation Sheet'!$M$19)&amp;"","")))))&gt;0))))</f>
        <v>1</v>
      </c>
      <c r="CA20">
        <f>IF($O$4="",1,--(AND(SUMPRODUCT(--($AS$74:$AZ$74&lt;&gt;""))&gt;0,IF(COUNTIF($BI$74:$BP$74,1)=0,TRUE,SUMPRODUCT(($BI$74:$BP$74=1)*($AS$74:$AZ$74&lt;&gt;"")*IF(((UPPER($AS$74:$AZ$74)="BLANK")+(UPPER($AS$74:$AZ$74)="(BLANK)")+(UPPER($AS$74:$AZ$74)="EMPTY")+(UPPER($AS$74:$AZ$74)="(EMPTY)"))&gt;0,IFERROR(('Final Calculation Sheet'!$N$19)&amp;"","")="",ISNUMBER(SEARCH($AS$74:$AZ$74,IFERROR(('Final Calculation Sheet'!$N$19)&amp;"","")))))&gt;0),IF(COUNTIF($BI$74:$BP$74,2)=0,TRUE,SUMPRODUCT(($BI$74:$BP$74=2)*($AS$74:$AZ$74&lt;&gt;"")*IF(((UPPER($AS$74:$AZ$74)="BLANK")+(UPPER($AS$74:$AZ$74)="(BLANK)")+(UPPER($AS$74:$AZ$74)="EMPTY")+(UPPER($AS$74:$AZ$74)="(EMPTY)"))&gt;0,IFERROR(('Final Calculation Sheet'!$N$19)&amp;"","")="",ISNUMBER(SEARCH($AS$74:$AZ$74,IFERROR(('Final Calculation Sheet'!$N$19)&amp;"","")))))&gt;0),IF(COUNTIF($BI$74:$BP$74,3)=0,TRUE,SUMPRODUCT(($BI$74:$BP$74=3)*($AS$74:$AZ$74&lt;&gt;"")*IF(((UPPER($AS$74:$AZ$74)="BLANK")+(UPPER($AS$74:$AZ$74)="(BLANK)")+(UPPER($AS$74:$AZ$74)="EMPTY")+(UPPER($AS$74:$AZ$74)="(EMPTY)"))&gt;0,IFERROR(('Final Calculation Sheet'!$N$19)&amp;"","")="",ISNUMBER(SEARCH($AS$74:$AZ$74,IFERROR(('Final Calculation Sheet'!$N$19)&amp;"","")))))&gt;0),IF(COUNTIF($BI$74:$BP$74,4)=0,TRUE,SUMPRODUCT(($BI$74:$BP$74=4)*($AS$74:$AZ$74&lt;&gt;"")*IF(((UPPER($AS$74:$AZ$74)="BLANK")+(UPPER($AS$74:$AZ$74)="(BLANK)")+(UPPER($AS$74:$AZ$74)="EMPTY")+(UPPER($AS$74:$AZ$74)="(EMPTY)"))&gt;0,IFERROR(('Final Calculation Sheet'!$N$19)&amp;"","")="",ISNUMBER(SEARCH($AS$74:$AZ$74,IFERROR(('Final Calculation Sheet'!$N$19)&amp;"","")))))&gt;0),IF(COUNTIF($BI$74:$BP$74,5)=0,TRUE,SUMPRODUCT(($BI$74:$BP$74=5)*($AS$74:$AZ$74&lt;&gt;"")*IF(((UPPER($AS$74:$AZ$74)="BLANK")+(UPPER($AS$74:$AZ$74)="(BLANK)")+(UPPER($AS$74:$AZ$74)="EMPTY")+(UPPER($AS$74:$AZ$74)="(EMPTY)"))&gt;0,IFERROR(('Final Calculation Sheet'!$N$19)&amp;"","")="",ISNUMBER(SEARCH($AS$74:$AZ$74,IFERROR(('Final Calculation Sheet'!$N$19)&amp;"","")))))&gt;0),IF(COUNTIF($BI$74:$BP$74,6)=0,TRUE,SUMPRODUCT(($BI$74:$BP$74=6)*($AS$74:$AZ$74&lt;&gt;"")*IF(((UPPER($AS$74:$AZ$74)="BLANK")+(UPPER($AS$74:$AZ$74)="(BLANK)")+(UPPER($AS$74:$AZ$74)="EMPTY")+(UPPER($AS$74:$AZ$74)="(EMPTY)"))&gt;0,IFERROR(('Final Calculation Sheet'!$N$19)&amp;"","")="",ISNUMBER(SEARCH($AS$74:$AZ$74,IFERROR(('Final Calculation Sheet'!$N$19)&amp;"","")))))&gt;0),IF(COUNTIF($BI$74:$BP$74,7)=0,TRUE,SUMPRODUCT(($BI$74:$BP$74=7)*($AS$74:$AZ$74&lt;&gt;"")*IF(((UPPER($AS$74:$AZ$74)="BLANK")+(UPPER($AS$74:$AZ$74)="(BLANK)")+(UPPER($AS$74:$AZ$74)="EMPTY")+(UPPER($AS$74:$AZ$74)="(EMPTY)"))&gt;0,IFERROR(('Final Calculation Sheet'!$N$19)&amp;"","")="",ISNUMBER(SEARCH($AS$74:$AZ$74,IFERROR(('Final Calculation Sheet'!$N$19)&amp;"","")))))&gt;0),IF(COUNTIF($BI$74:$BP$74,8)=0,TRUE,SUMPRODUCT(($BI$74:$BP$74=8)*($AS$74:$AZ$74&lt;&gt;"")*IF(((UPPER($AS$74:$AZ$74)="BLANK")+(UPPER($AS$74:$AZ$74)="(BLANK)")+(UPPER($AS$74:$AZ$74)="EMPTY")+(UPPER($AS$74:$AZ$74)="(EMPTY)"))&gt;0,IFERROR(('Final Calculation Sheet'!$N$19)&amp;"","")="",ISNUMBER(SEARCH($AS$74:$AZ$74,IFERROR(('Final Calculation Sheet'!$N$19)&amp;"","")))))&gt;0))))</f>
        <v>1</v>
      </c>
      <c r="CB20">
        <f>IF($P$4="",1,--(AND(SUMPRODUCT(--($AS$75:$AZ$75&lt;&gt;""))&gt;0,IF(COUNTIF($BI$75:$BP$75,1)=0,TRUE,SUMPRODUCT(($BI$75:$BP$75=1)*($AS$75:$AZ$75&lt;&gt;"")*IF(((UPPER($AS$75:$AZ$75)="BLANK")+(UPPER($AS$75:$AZ$75)="(BLANK)")+(UPPER($AS$75:$AZ$75)="EMPTY")+(UPPER($AS$75:$AZ$75)="(EMPTY)"))&gt;0,IFERROR(('Final Calculation Sheet'!$O$19)&amp;"","")="",ISNUMBER(SEARCH($AS$75:$AZ$75,IFERROR(('Final Calculation Sheet'!$O$19)&amp;"","")))))&gt;0),IF(COUNTIF($BI$75:$BP$75,2)=0,TRUE,SUMPRODUCT(($BI$75:$BP$75=2)*($AS$75:$AZ$75&lt;&gt;"")*IF(((UPPER($AS$75:$AZ$75)="BLANK")+(UPPER($AS$75:$AZ$75)="(BLANK)")+(UPPER($AS$75:$AZ$75)="EMPTY")+(UPPER($AS$75:$AZ$75)="(EMPTY)"))&gt;0,IFERROR(('Final Calculation Sheet'!$O$19)&amp;"","")="",ISNUMBER(SEARCH($AS$75:$AZ$75,IFERROR(('Final Calculation Sheet'!$O$19)&amp;"","")))))&gt;0),IF(COUNTIF($BI$75:$BP$75,3)=0,TRUE,SUMPRODUCT(($BI$75:$BP$75=3)*($AS$75:$AZ$75&lt;&gt;"")*IF(((UPPER($AS$75:$AZ$75)="BLANK")+(UPPER($AS$75:$AZ$75)="(BLANK)")+(UPPER($AS$75:$AZ$75)="EMPTY")+(UPPER($AS$75:$AZ$75)="(EMPTY)"))&gt;0,IFERROR(('Final Calculation Sheet'!$O$19)&amp;"","")="",ISNUMBER(SEARCH($AS$75:$AZ$75,IFERROR(('Final Calculation Sheet'!$O$19)&amp;"","")))))&gt;0),IF(COUNTIF($BI$75:$BP$75,4)=0,TRUE,SUMPRODUCT(($BI$75:$BP$75=4)*($AS$75:$AZ$75&lt;&gt;"")*IF(((UPPER($AS$75:$AZ$75)="BLANK")+(UPPER($AS$75:$AZ$75)="(BLANK)")+(UPPER($AS$75:$AZ$75)="EMPTY")+(UPPER($AS$75:$AZ$75)="(EMPTY)"))&gt;0,IFERROR(('Final Calculation Sheet'!$O$19)&amp;"","")="",ISNUMBER(SEARCH($AS$75:$AZ$75,IFERROR(('Final Calculation Sheet'!$O$19)&amp;"","")))))&gt;0),IF(COUNTIF($BI$75:$BP$75,5)=0,TRUE,SUMPRODUCT(($BI$75:$BP$75=5)*($AS$75:$AZ$75&lt;&gt;"")*IF(((UPPER($AS$75:$AZ$75)="BLANK")+(UPPER($AS$75:$AZ$75)="(BLANK)")+(UPPER($AS$75:$AZ$75)="EMPTY")+(UPPER($AS$75:$AZ$75)="(EMPTY)"))&gt;0,IFERROR(('Final Calculation Sheet'!$O$19)&amp;"","")="",ISNUMBER(SEARCH($AS$75:$AZ$75,IFERROR(('Final Calculation Sheet'!$O$19)&amp;"","")))))&gt;0),IF(COUNTIF($BI$75:$BP$75,6)=0,TRUE,SUMPRODUCT(($BI$75:$BP$75=6)*($AS$75:$AZ$75&lt;&gt;"")*IF(((UPPER($AS$75:$AZ$75)="BLANK")+(UPPER($AS$75:$AZ$75)="(BLANK)")+(UPPER($AS$75:$AZ$75)="EMPTY")+(UPPER($AS$75:$AZ$75)="(EMPTY)"))&gt;0,IFERROR(('Final Calculation Sheet'!$O$19)&amp;"","")="",ISNUMBER(SEARCH($AS$75:$AZ$75,IFERROR(('Final Calculation Sheet'!$O$19)&amp;"","")))))&gt;0),IF(COUNTIF($BI$75:$BP$75,7)=0,TRUE,SUMPRODUCT(($BI$75:$BP$75=7)*($AS$75:$AZ$75&lt;&gt;"")*IF(((UPPER($AS$75:$AZ$75)="BLANK")+(UPPER($AS$75:$AZ$75)="(BLANK)")+(UPPER($AS$75:$AZ$75)="EMPTY")+(UPPER($AS$75:$AZ$75)="(EMPTY)"))&gt;0,IFERROR(('Final Calculation Sheet'!$O$19)&amp;"","")="",ISNUMBER(SEARCH($AS$75:$AZ$75,IFERROR(('Final Calculation Sheet'!$O$19)&amp;"","")))))&gt;0),IF(COUNTIF($BI$75:$BP$75,8)=0,TRUE,SUMPRODUCT(($BI$75:$BP$75=8)*($AS$75:$AZ$75&lt;&gt;"")*IF(((UPPER($AS$75:$AZ$75)="BLANK")+(UPPER($AS$75:$AZ$75)="(BLANK)")+(UPPER($AS$75:$AZ$75)="EMPTY")+(UPPER($AS$75:$AZ$75)="(EMPTY)"))&gt;0,IFERROR(('Final Calculation Sheet'!$O$19)&amp;"","")="",ISNUMBER(SEARCH($AS$75:$AZ$75,IFERROR(('Final Calculation Sheet'!$O$19)&amp;"","")))))&gt;0))))</f>
        <v>1</v>
      </c>
      <c r="CC20">
        <f>IF($Q$4="",1,--(AND(SUMPRODUCT(--($AS$76:$AZ$76&lt;&gt;""))&gt;0,IF(COUNTIF($BI$76:$BP$76,1)=0,TRUE,SUMPRODUCT(($BI$76:$BP$76=1)*($AS$76:$AZ$76&lt;&gt;"")*IF(((UPPER($AS$76:$AZ$76)="BLANK")+(UPPER($AS$76:$AZ$76)="(BLANK)")+(UPPER($AS$76:$AZ$76)="EMPTY")+(UPPER($AS$76:$AZ$76)="(EMPTY)"))&gt;0,IFERROR(('Final Calculation Sheet'!$P$19)&amp;"","")="",ISNUMBER(SEARCH($AS$76:$AZ$76,IFERROR(('Final Calculation Sheet'!$P$19)&amp;"","")))))&gt;0),IF(COUNTIF($BI$76:$BP$76,2)=0,TRUE,SUMPRODUCT(($BI$76:$BP$76=2)*($AS$76:$AZ$76&lt;&gt;"")*IF(((UPPER($AS$76:$AZ$76)="BLANK")+(UPPER($AS$76:$AZ$76)="(BLANK)")+(UPPER($AS$76:$AZ$76)="EMPTY")+(UPPER($AS$76:$AZ$76)="(EMPTY)"))&gt;0,IFERROR(('Final Calculation Sheet'!$P$19)&amp;"","")="",ISNUMBER(SEARCH($AS$76:$AZ$76,IFERROR(('Final Calculation Sheet'!$P$19)&amp;"","")))))&gt;0),IF(COUNTIF($BI$76:$BP$76,3)=0,TRUE,SUMPRODUCT(($BI$76:$BP$76=3)*($AS$76:$AZ$76&lt;&gt;"")*IF(((UPPER($AS$76:$AZ$76)="BLANK")+(UPPER($AS$76:$AZ$76)="(BLANK)")+(UPPER($AS$76:$AZ$76)="EMPTY")+(UPPER($AS$76:$AZ$76)="(EMPTY)"))&gt;0,IFERROR(('Final Calculation Sheet'!$P$19)&amp;"","")="",ISNUMBER(SEARCH($AS$76:$AZ$76,IFERROR(('Final Calculation Sheet'!$P$19)&amp;"","")))))&gt;0),IF(COUNTIF($BI$76:$BP$76,4)=0,TRUE,SUMPRODUCT(($BI$76:$BP$76=4)*($AS$76:$AZ$76&lt;&gt;"")*IF(((UPPER($AS$76:$AZ$76)="BLANK")+(UPPER($AS$76:$AZ$76)="(BLANK)")+(UPPER($AS$76:$AZ$76)="EMPTY")+(UPPER($AS$76:$AZ$76)="(EMPTY)"))&gt;0,IFERROR(('Final Calculation Sheet'!$P$19)&amp;"","")="",ISNUMBER(SEARCH($AS$76:$AZ$76,IFERROR(('Final Calculation Sheet'!$P$19)&amp;"","")))))&gt;0),IF(COUNTIF($BI$76:$BP$76,5)=0,TRUE,SUMPRODUCT(($BI$76:$BP$76=5)*($AS$76:$AZ$76&lt;&gt;"")*IF(((UPPER($AS$76:$AZ$76)="BLANK")+(UPPER($AS$76:$AZ$76)="(BLANK)")+(UPPER($AS$76:$AZ$76)="EMPTY")+(UPPER($AS$76:$AZ$76)="(EMPTY)"))&gt;0,IFERROR(('Final Calculation Sheet'!$P$19)&amp;"","")="",ISNUMBER(SEARCH($AS$76:$AZ$76,IFERROR(('Final Calculation Sheet'!$P$19)&amp;"","")))))&gt;0),IF(COUNTIF($BI$76:$BP$76,6)=0,TRUE,SUMPRODUCT(($BI$76:$BP$76=6)*($AS$76:$AZ$76&lt;&gt;"")*IF(((UPPER($AS$76:$AZ$76)="BLANK")+(UPPER($AS$76:$AZ$76)="(BLANK)")+(UPPER($AS$76:$AZ$76)="EMPTY")+(UPPER($AS$76:$AZ$76)="(EMPTY)"))&gt;0,IFERROR(('Final Calculation Sheet'!$P$19)&amp;"","")="",ISNUMBER(SEARCH($AS$76:$AZ$76,IFERROR(('Final Calculation Sheet'!$P$19)&amp;"","")))))&gt;0),IF(COUNTIF($BI$76:$BP$76,7)=0,TRUE,SUMPRODUCT(($BI$76:$BP$76=7)*($AS$76:$AZ$76&lt;&gt;"")*IF(((UPPER($AS$76:$AZ$76)="BLANK")+(UPPER($AS$76:$AZ$76)="(BLANK)")+(UPPER($AS$76:$AZ$76)="EMPTY")+(UPPER($AS$76:$AZ$76)="(EMPTY)"))&gt;0,IFERROR(('Final Calculation Sheet'!$P$19)&amp;"","")="",ISNUMBER(SEARCH($AS$76:$AZ$76,IFERROR(('Final Calculation Sheet'!$P$19)&amp;"","")))))&gt;0),IF(COUNTIF($BI$76:$BP$76,8)=0,TRUE,SUMPRODUCT(($BI$76:$BP$76=8)*($AS$76:$AZ$76&lt;&gt;"")*IF(((UPPER($AS$76:$AZ$76)="BLANK")+(UPPER($AS$76:$AZ$76)="(BLANK)")+(UPPER($AS$76:$AZ$76)="EMPTY")+(UPPER($AS$76:$AZ$76)="(EMPTY)"))&gt;0,IFERROR(('Final Calculation Sheet'!$P$19)&amp;"","")="",ISNUMBER(SEARCH($AS$76:$AZ$76,IFERROR(('Final Calculation Sheet'!$P$19)&amp;"","")))))&gt;0))))</f>
        <v>1</v>
      </c>
      <c r="CD20">
        <f>IF($R$4="",1,--(AND(SUMPRODUCT(--($AS$77:$AZ$77&lt;&gt;""))&gt;0,IF(COUNTIF($BI$77:$BP$77,1)=0,TRUE,SUMPRODUCT(($BI$77:$BP$77=1)*($AS$77:$AZ$77&lt;&gt;"")*IF(((UPPER($AS$77:$AZ$77)="BLANK")+(UPPER($AS$77:$AZ$77)="(BLANK)")+(UPPER($AS$77:$AZ$77)="EMPTY")+(UPPER($AS$77:$AZ$77)="(EMPTY)"))&gt;0,IFERROR(('Final Calculation Sheet'!$Q$19)&amp;"","")="",ISNUMBER(SEARCH($AS$77:$AZ$77,IFERROR(('Final Calculation Sheet'!$Q$19)&amp;"","")))))&gt;0),IF(COUNTIF($BI$77:$BP$77,2)=0,TRUE,SUMPRODUCT(($BI$77:$BP$77=2)*($AS$77:$AZ$77&lt;&gt;"")*IF(((UPPER($AS$77:$AZ$77)="BLANK")+(UPPER($AS$77:$AZ$77)="(BLANK)")+(UPPER($AS$77:$AZ$77)="EMPTY")+(UPPER($AS$77:$AZ$77)="(EMPTY)"))&gt;0,IFERROR(('Final Calculation Sheet'!$Q$19)&amp;"","")="",ISNUMBER(SEARCH($AS$77:$AZ$77,IFERROR(('Final Calculation Sheet'!$Q$19)&amp;"","")))))&gt;0),IF(COUNTIF($BI$77:$BP$77,3)=0,TRUE,SUMPRODUCT(($BI$77:$BP$77=3)*($AS$77:$AZ$77&lt;&gt;"")*IF(((UPPER($AS$77:$AZ$77)="BLANK")+(UPPER($AS$77:$AZ$77)="(BLANK)")+(UPPER($AS$77:$AZ$77)="EMPTY")+(UPPER($AS$77:$AZ$77)="(EMPTY)"))&gt;0,IFERROR(('Final Calculation Sheet'!$Q$19)&amp;"","")="",ISNUMBER(SEARCH($AS$77:$AZ$77,IFERROR(('Final Calculation Sheet'!$Q$19)&amp;"","")))))&gt;0),IF(COUNTIF($BI$77:$BP$77,4)=0,TRUE,SUMPRODUCT(($BI$77:$BP$77=4)*($AS$77:$AZ$77&lt;&gt;"")*IF(((UPPER($AS$77:$AZ$77)="BLANK")+(UPPER($AS$77:$AZ$77)="(BLANK)")+(UPPER($AS$77:$AZ$77)="EMPTY")+(UPPER($AS$77:$AZ$77)="(EMPTY)"))&gt;0,IFERROR(('Final Calculation Sheet'!$Q$19)&amp;"","")="",ISNUMBER(SEARCH($AS$77:$AZ$77,IFERROR(('Final Calculation Sheet'!$Q$19)&amp;"","")))))&gt;0),IF(COUNTIF($BI$77:$BP$77,5)=0,TRUE,SUMPRODUCT(($BI$77:$BP$77=5)*($AS$77:$AZ$77&lt;&gt;"")*IF(((UPPER($AS$77:$AZ$77)="BLANK")+(UPPER($AS$77:$AZ$77)="(BLANK)")+(UPPER($AS$77:$AZ$77)="EMPTY")+(UPPER($AS$77:$AZ$77)="(EMPTY)"))&gt;0,IFERROR(('Final Calculation Sheet'!$Q$19)&amp;"","")="",ISNUMBER(SEARCH($AS$77:$AZ$77,IFERROR(('Final Calculation Sheet'!$Q$19)&amp;"","")))))&gt;0),IF(COUNTIF($BI$77:$BP$77,6)=0,TRUE,SUMPRODUCT(($BI$77:$BP$77=6)*($AS$77:$AZ$77&lt;&gt;"")*IF(((UPPER($AS$77:$AZ$77)="BLANK")+(UPPER($AS$77:$AZ$77)="(BLANK)")+(UPPER($AS$77:$AZ$77)="EMPTY")+(UPPER($AS$77:$AZ$77)="(EMPTY)"))&gt;0,IFERROR(('Final Calculation Sheet'!$Q$19)&amp;"","")="",ISNUMBER(SEARCH($AS$77:$AZ$77,IFERROR(('Final Calculation Sheet'!$Q$19)&amp;"","")))))&gt;0),IF(COUNTIF($BI$77:$BP$77,7)=0,TRUE,SUMPRODUCT(($BI$77:$BP$77=7)*($AS$77:$AZ$77&lt;&gt;"")*IF(((UPPER($AS$77:$AZ$77)="BLANK")+(UPPER($AS$77:$AZ$77)="(BLANK)")+(UPPER($AS$77:$AZ$77)="EMPTY")+(UPPER($AS$77:$AZ$77)="(EMPTY)"))&gt;0,IFERROR(('Final Calculation Sheet'!$Q$19)&amp;"","")="",ISNUMBER(SEARCH($AS$77:$AZ$77,IFERROR(('Final Calculation Sheet'!$Q$19)&amp;"","")))))&gt;0),IF(COUNTIF($BI$77:$BP$77,8)=0,TRUE,SUMPRODUCT(($BI$77:$BP$77=8)*($AS$77:$AZ$77&lt;&gt;"")*IF(((UPPER($AS$77:$AZ$77)="BLANK")+(UPPER($AS$77:$AZ$77)="(BLANK)")+(UPPER($AS$77:$AZ$77)="EMPTY")+(UPPER($AS$77:$AZ$77)="(EMPTY)"))&gt;0,IFERROR(('Final Calculation Sheet'!$Q$19)&amp;"","")="",ISNUMBER(SEARCH($AS$77:$AZ$77,IFERROR(('Final Calculation Sheet'!$Q$19)&amp;"","")))))&gt;0))))</f>
        <v>1</v>
      </c>
      <c r="CE20">
        <f>IF($S$4="",1,--(AND(SUMPRODUCT(--($AS$78:$AZ$78&lt;&gt;""))&gt;0,IF(COUNTIF($BI$78:$BP$78,1)=0,TRUE,SUMPRODUCT(($BI$78:$BP$78=1)*($AS$78:$AZ$78&lt;&gt;"")*IF(((UPPER($AS$78:$AZ$78)="BLANK")+(UPPER($AS$78:$AZ$78)="(BLANK)")+(UPPER($AS$78:$AZ$78)="EMPTY")+(UPPER($AS$78:$AZ$78)="(EMPTY)"))&gt;0,IFERROR(('Final Calculation Sheet'!$R$19)&amp;"","")="",ISNUMBER(SEARCH($AS$78:$AZ$78,IFERROR(('Final Calculation Sheet'!$R$19)&amp;"","")))))&gt;0),IF(COUNTIF($BI$78:$BP$78,2)=0,TRUE,SUMPRODUCT(($BI$78:$BP$78=2)*($AS$78:$AZ$78&lt;&gt;"")*IF(((UPPER($AS$78:$AZ$78)="BLANK")+(UPPER($AS$78:$AZ$78)="(BLANK)")+(UPPER($AS$78:$AZ$78)="EMPTY")+(UPPER($AS$78:$AZ$78)="(EMPTY)"))&gt;0,IFERROR(('Final Calculation Sheet'!$R$19)&amp;"","")="",ISNUMBER(SEARCH($AS$78:$AZ$78,IFERROR(('Final Calculation Sheet'!$R$19)&amp;"","")))))&gt;0),IF(COUNTIF($BI$78:$BP$78,3)=0,TRUE,SUMPRODUCT(($BI$78:$BP$78=3)*($AS$78:$AZ$78&lt;&gt;"")*IF(((UPPER($AS$78:$AZ$78)="BLANK")+(UPPER($AS$78:$AZ$78)="(BLANK)")+(UPPER($AS$78:$AZ$78)="EMPTY")+(UPPER($AS$78:$AZ$78)="(EMPTY)"))&gt;0,IFERROR(('Final Calculation Sheet'!$R$19)&amp;"","")="",ISNUMBER(SEARCH($AS$78:$AZ$78,IFERROR(('Final Calculation Sheet'!$R$19)&amp;"","")))))&gt;0),IF(COUNTIF($BI$78:$BP$78,4)=0,TRUE,SUMPRODUCT(($BI$78:$BP$78=4)*($AS$78:$AZ$78&lt;&gt;"")*IF(((UPPER($AS$78:$AZ$78)="BLANK")+(UPPER($AS$78:$AZ$78)="(BLANK)")+(UPPER($AS$78:$AZ$78)="EMPTY")+(UPPER($AS$78:$AZ$78)="(EMPTY)"))&gt;0,IFERROR(('Final Calculation Sheet'!$R$19)&amp;"","")="",ISNUMBER(SEARCH($AS$78:$AZ$78,IFERROR(('Final Calculation Sheet'!$R$19)&amp;"","")))))&gt;0),IF(COUNTIF($BI$78:$BP$78,5)=0,TRUE,SUMPRODUCT(($BI$78:$BP$78=5)*($AS$78:$AZ$78&lt;&gt;"")*IF(((UPPER($AS$78:$AZ$78)="BLANK")+(UPPER($AS$78:$AZ$78)="(BLANK)")+(UPPER($AS$78:$AZ$78)="EMPTY")+(UPPER($AS$78:$AZ$78)="(EMPTY)"))&gt;0,IFERROR(('Final Calculation Sheet'!$R$19)&amp;"","")="",ISNUMBER(SEARCH($AS$78:$AZ$78,IFERROR(('Final Calculation Sheet'!$R$19)&amp;"","")))))&gt;0),IF(COUNTIF($BI$78:$BP$78,6)=0,TRUE,SUMPRODUCT(($BI$78:$BP$78=6)*($AS$78:$AZ$78&lt;&gt;"")*IF(((UPPER($AS$78:$AZ$78)="BLANK")+(UPPER($AS$78:$AZ$78)="(BLANK)")+(UPPER($AS$78:$AZ$78)="EMPTY")+(UPPER($AS$78:$AZ$78)="(EMPTY)"))&gt;0,IFERROR(('Final Calculation Sheet'!$R$19)&amp;"","")="",ISNUMBER(SEARCH($AS$78:$AZ$78,IFERROR(('Final Calculation Sheet'!$R$19)&amp;"","")))))&gt;0),IF(COUNTIF($BI$78:$BP$78,7)=0,TRUE,SUMPRODUCT(($BI$78:$BP$78=7)*($AS$78:$AZ$78&lt;&gt;"")*IF(((UPPER($AS$78:$AZ$78)="BLANK")+(UPPER($AS$78:$AZ$78)="(BLANK)")+(UPPER($AS$78:$AZ$78)="EMPTY")+(UPPER($AS$78:$AZ$78)="(EMPTY)"))&gt;0,IFERROR(('Final Calculation Sheet'!$R$19)&amp;"","")="",ISNUMBER(SEARCH($AS$78:$AZ$78,IFERROR(('Final Calculation Sheet'!$R$19)&amp;"","")))))&gt;0),IF(COUNTIF($BI$78:$BP$78,8)=0,TRUE,SUMPRODUCT(($BI$78:$BP$78=8)*($AS$78:$AZ$78&lt;&gt;"")*IF(((UPPER($AS$78:$AZ$78)="BLANK")+(UPPER($AS$78:$AZ$78)="(BLANK)")+(UPPER($AS$78:$AZ$78)="EMPTY")+(UPPER($AS$78:$AZ$78)="(EMPTY)"))&gt;0,IFERROR(('Final Calculation Sheet'!$R$19)&amp;"","")="",ISNUMBER(SEARCH($AS$78:$AZ$78,IFERROR(('Final Calculation Sheet'!$R$19)&amp;"","")))))&gt;0))))</f>
        <v>1</v>
      </c>
      <c r="CF20">
        <f>IF($T$4="",1,--(AND(SUMPRODUCT(--($AS$79:$AZ$79&lt;&gt;""))&gt;0,IF(COUNTIF($BI$79:$BP$79,1)=0,TRUE,SUMPRODUCT(($BI$79:$BP$79=1)*($AS$79:$AZ$79&lt;&gt;"")*IF(((UPPER($AS$79:$AZ$79)="BLANK")+(UPPER($AS$79:$AZ$79)="(BLANK)")+(UPPER($AS$79:$AZ$79)="EMPTY")+(UPPER($AS$79:$AZ$79)="(EMPTY)"))&gt;0,IFERROR(('Final Calculation Sheet'!$S$19)&amp;"","")="",ISNUMBER(SEARCH($AS$79:$AZ$79,IFERROR(('Final Calculation Sheet'!$S$19)&amp;"","")))))&gt;0),IF(COUNTIF($BI$79:$BP$79,2)=0,TRUE,SUMPRODUCT(($BI$79:$BP$79=2)*($AS$79:$AZ$79&lt;&gt;"")*IF(((UPPER($AS$79:$AZ$79)="BLANK")+(UPPER($AS$79:$AZ$79)="(BLANK)")+(UPPER($AS$79:$AZ$79)="EMPTY")+(UPPER($AS$79:$AZ$79)="(EMPTY)"))&gt;0,IFERROR(('Final Calculation Sheet'!$S$19)&amp;"","")="",ISNUMBER(SEARCH($AS$79:$AZ$79,IFERROR(('Final Calculation Sheet'!$S$19)&amp;"","")))))&gt;0),IF(COUNTIF($BI$79:$BP$79,3)=0,TRUE,SUMPRODUCT(($BI$79:$BP$79=3)*($AS$79:$AZ$79&lt;&gt;"")*IF(((UPPER($AS$79:$AZ$79)="BLANK")+(UPPER($AS$79:$AZ$79)="(BLANK)")+(UPPER($AS$79:$AZ$79)="EMPTY")+(UPPER($AS$79:$AZ$79)="(EMPTY)"))&gt;0,IFERROR(('Final Calculation Sheet'!$S$19)&amp;"","")="",ISNUMBER(SEARCH($AS$79:$AZ$79,IFERROR(('Final Calculation Sheet'!$S$19)&amp;"","")))))&gt;0),IF(COUNTIF($BI$79:$BP$79,4)=0,TRUE,SUMPRODUCT(($BI$79:$BP$79=4)*($AS$79:$AZ$79&lt;&gt;"")*IF(((UPPER($AS$79:$AZ$79)="BLANK")+(UPPER($AS$79:$AZ$79)="(BLANK)")+(UPPER($AS$79:$AZ$79)="EMPTY")+(UPPER($AS$79:$AZ$79)="(EMPTY)"))&gt;0,IFERROR(('Final Calculation Sheet'!$S$19)&amp;"","")="",ISNUMBER(SEARCH($AS$79:$AZ$79,IFERROR(('Final Calculation Sheet'!$S$19)&amp;"","")))))&gt;0),IF(COUNTIF($BI$79:$BP$79,5)=0,TRUE,SUMPRODUCT(($BI$79:$BP$79=5)*($AS$79:$AZ$79&lt;&gt;"")*IF(((UPPER($AS$79:$AZ$79)="BLANK")+(UPPER($AS$79:$AZ$79)="(BLANK)")+(UPPER($AS$79:$AZ$79)="EMPTY")+(UPPER($AS$79:$AZ$79)="(EMPTY)"))&gt;0,IFERROR(('Final Calculation Sheet'!$S$19)&amp;"","")="",ISNUMBER(SEARCH($AS$79:$AZ$79,IFERROR(('Final Calculation Sheet'!$S$19)&amp;"","")))))&gt;0),IF(COUNTIF($BI$79:$BP$79,6)=0,TRUE,SUMPRODUCT(($BI$79:$BP$79=6)*($AS$79:$AZ$79&lt;&gt;"")*IF(((UPPER($AS$79:$AZ$79)="BLANK")+(UPPER($AS$79:$AZ$79)="(BLANK)")+(UPPER($AS$79:$AZ$79)="EMPTY")+(UPPER($AS$79:$AZ$79)="(EMPTY)"))&gt;0,IFERROR(('Final Calculation Sheet'!$S$19)&amp;"","")="",ISNUMBER(SEARCH($AS$79:$AZ$79,IFERROR(('Final Calculation Sheet'!$S$19)&amp;"","")))))&gt;0),IF(COUNTIF($BI$79:$BP$79,7)=0,TRUE,SUMPRODUCT(($BI$79:$BP$79=7)*($AS$79:$AZ$79&lt;&gt;"")*IF(((UPPER($AS$79:$AZ$79)="BLANK")+(UPPER($AS$79:$AZ$79)="(BLANK)")+(UPPER($AS$79:$AZ$79)="EMPTY")+(UPPER($AS$79:$AZ$79)="(EMPTY)"))&gt;0,IFERROR(('Final Calculation Sheet'!$S$19)&amp;"","")="",ISNUMBER(SEARCH($AS$79:$AZ$79,IFERROR(('Final Calculation Sheet'!$S$19)&amp;"","")))))&gt;0),IF(COUNTIF($BI$79:$BP$79,8)=0,TRUE,SUMPRODUCT(($BI$79:$BP$79=8)*($AS$79:$AZ$79&lt;&gt;"")*IF(((UPPER($AS$79:$AZ$79)="BLANK")+(UPPER($AS$79:$AZ$79)="(BLANK)")+(UPPER($AS$79:$AZ$79)="EMPTY")+(UPPER($AS$79:$AZ$79)="(EMPTY)"))&gt;0,IFERROR(('Final Calculation Sheet'!$S$19)&amp;"","")="",ISNUMBER(SEARCH($AS$79:$AZ$79,IFERROR(('Final Calculation Sheet'!$S$19)&amp;"","")))))&gt;0))))</f>
        <v>1</v>
      </c>
      <c r="CG20">
        <f>IF($U$4="",1,--(AND(SUMPRODUCT(--($AS$80:$AZ$80&lt;&gt;""))&gt;0,IF(COUNTIF($BI$80:$BP$80,1)=0,TRUE,SUMPRODUCT(($BI$80:$BP$80=1)*($AS$80:$AZ$80&lt;&gt;"")*IF(((UPPER($AS$80:$AZ$80)="BLANK")+(UPPER($AS$80:$AZ$80)="(BLANK)")+(UPPER($AS$80:$AZ$80)="EMPTY")+(UPPER($AS$80:$AZ$80)="(EMPTY)"))&gt;0,IFERROR(('Final Calculation Sheet'!$T$19)&amp;"","")="",ISNUMBER(SEARCH($AS$80:$AZ$80,IFERROR(('Final Calculation Sheet'!$T$19)&amp;"","")))))&gt;0),IF(COUNTIF($BI$80:$BP$80,2)=0,TRUE,SUMPRODUCT(($BI$80:$BP$80=2)*($AS$80:$AZ$80&lt;&gt;"")*IF(((UPPER($AS$80:$AZ$80)="BLANK")+(UPPER($AS$80:$AZ$80)="(BLANK)")+(UPPER($AS$80:$AZ$80)="EMPTY")+(UPPER($AS$80:$AZ$80)="(EMPTY)"))&gt;0,IFERROR(('Final Calculation Sheet'!$T$19)&amp;"","")="",ISNUMBER(SEARCH($AS$80:$AZ$80,IFERROR(('Final Calculation Sheet'!$T$19)&amp;"","")))))&gt;0),IF(COUNTIF($BI$80:$BP$80,3)=0,TRUE,SUMPRODUCT(($BI$80:$BP$80=3)*($AS$80:$AZ$80&lt;&gt;"")*IF(((UPPER($AS$80:$AZ$80)="BLANK")+(UPPER($AS$80:$AZ$80)="(BLANK)")+(UPPER($AS$80:$AZ$80)="EMPTY")+(UPPER($AS$80:$AZ$80)="(EMPTY)"))&gt;0,IFERROR(('Final Calculation Sheet'!$T$19)&amp;"","")="",ISNUMBER(SEARCH($AS$80:$AZ$80,IFERROR(('Final Calculation Sheet'!$T$19)&amp;"","")))))&gt;0),IF(COUNTIF($BI$80:$BP$80,4)=0,TRUE,SUMPRODUCT(($BI$80:$BP$80=4)*($AS$80:$AZ$80&lt;&gt;"")*IF(((UPPER($AS$80:$AZ$80)="BLANK")+(UPPER($AS$80:$AZ$80)="(BLANK)")+(UPPER($AS$80:$AZ$80)="EMPTY")+(UPPER($AS$80:$AZ$80)="(EMPTY)"))&gt;0,IFERROR(('Final Calculation Sheet'!$T$19)&amp;"","")="",ISNUMBER(SEARCH($AS$80:$AZ$80,IFERROR(('Final Calculation Sheet'!$T$19)&amp;"","")))))&gt;0),IF(COUNTIF($BI$80:$BP$80,5)=0,TRUE,SUMPRODUCT(($BI$80:$BP$80=5)*($AS$80:$AZ$80&lt;&gt;"")*IF(((UPPER($AS$80:$AZ$80)="BLANK")+(UPPER($AS$80:$AZ$80)="(BLANK)")+(UPPER($AS$80:$AZ$80)="EMPTY")+(UPPER($AS$80:$AZ$80)="(EMPTY)"))&gt;0,IFERROR(('Final Calculation Sheet'!$T$19)&amp;"","")="",ISNUMBER(SEARCH($AS$80:$AZ$80,IFERROR(('Final Calculation Sheet'!$T$19)&amp;"","")))))&gt;0),IF(COUNTIF($BI$80:$BP$80,6)=0,TRUE,SUMPRODUCT(($BI$80:$BP$80=6)*($AS$80:$AZ$80&lt;&gt;"")*IF(((UPPER($AS$80:$AZ$80)="BLANK")+(UPPER($AS$80:$AZ$80)="(BLANK)")+(UPPER($AS$80:$AZ$80)="EMPTY")+(UPPER($AS$80:$AZ$80)="(EMPTY)"))&gt;0,IFERROR(('Final Calculation Sheet'!$T$19)&amp;"","")="",ISNUMBER(SEARCH($AS$80:$AZ$80,IFERROR(('Final Calculation Sheet'!$T$19)&amp;"","")))))&gt;0),IF(COUNTIF($BI$80:$BP$80,7)=0,TRUE,SUMPRODUCT(($BI$80:$BP$80=7)*($AS$80:$AZ$80&lt;&gt;"")*IF(((UPPER($AS$80:$AZ$80)="BLANK")+(UPPER($AS$80:$AZ$80)="(BLANK)")+(UPPER($AS$80:$AZ$80)="EMPTY")+(UPPER($AS$80:$AZ$80)="(EMPTY)"))&gt;0,IFERROR(('Final Calculation Sheet'!$T$19)&amp;"","")="",ISNUMBER(SEARCH($AS$80:$AZ$80,IFERROR(('Final Calculation Sheet'!$T$19)&amp;"","")))))&gt;0),IF(COUNTIF($BI$80:$BP$80,8)=0,TRUE,SUMPRODUCT(($BI$80:$BP$80=8)*($AS$80:$AZ$80&lt;&gt;"")*IF(((UPPER($AS$80:$AZ$80)="BLANK")+(UPPER($AS$80:$AZ$80)="(BLANK)")+(UPPER($AS$80:$AZ$80)="EMPTY")+(UPPER($AS$80:$AZ$80)="(EMPTY)"))&gt;0,IFERROR(('Final Calculation Sheet'!$T$19)&amp;"","")="",ISNUMBER(SEARCH($AS$80:$AZ$80,IFERROR(('Final Calculation Sheet'!$T$19)&amp;"","")))))&gt;0))))</f>
        <v>1</v>
      </c>
      <c r="CH20">
        <f>IF($V$4="",1,--(AND(SUMPRODUCT(--($AS$81:$AZ$81&lt;&gt;""))&gt;0,IF(COUNTIF($BI$81:$BP$81,1)=0,TRUE,SUMPRODUCT(($BI$81:$BP$81=1)*($AS$81:$AZ$81&lt;&gt;"")*IF(((UPPER($AS$81:$AZ$81)="BLANK")+(UPPER($AS$81:$AZ$81)="(BLANK)")+(UPPER($AS$81:$AZ$81)="EMPTY")+(UPPER($AS$81:$AZ$81)="(EMPTY)"))&gt;0,IFERROR(('Final Calculation Sheet'!$U$19)&amp;"","")="",ISNUMBER(SEARCH($AS$81:$AZ$81,IFERROR(('Final Calculation Sheet'!$U$19)&amp;"","")))))&gt;0),IF(COUNTIF($BI$81:$BP$81,2)=0,TRUE,SUMPRODUCT(($BI$81:$BP$81=2)*($AS$81:$AZ$81&lt;&gt;"")*IF(((UPPER($AS$81:$AZ$81)="BLANK")+(UPPER($AS$81:$AZ$81)="(BLANK)")+(UPPER($AS$81:$AZ$81)="EMPTY")+(UPPER($AS$81:$AZ$81)="(EMPTY)"))&gt;0,IFERROR(('Final Calculation Sheet'!$U$19)&amp;"","")="",ISNUMBER(SEARCH($AS$81:$AZ$81,IFERROR(('Final Calculation Sheet'!$U$19)&amp;"","")))))&gt;0),IF(COUNTIF($BI$81:$BP$81,3)=0,TRUE,SUMPRODUCT(($BI$81:$BP$81=3)*($AS$81:$AZ$81&lt;&gt;"")*IF(((UPPER($AS$81:$AZ$81)="BLANK")+(UPPER($AS$81:$AZ$81)="(BLANK)")+(UPPER($AS$81:$AZ$81)="EMPTY")+(UPPER($AS$81:$AZ$81)="(EMPTY)"))&gt;0,IFERROR(('Final Calculation Sheet'!$U$19)&amp;"","")="",ISNUMBER(SEARCH($AS$81:$AZ$81,IFERROR(('Final Calculation Sheet'!$U$19)&amp;"","")))))&gt;0),IF(COUNTIF($BI$81:$BP$81,4)=0,TRUE,SUMPRODUCT(($BI$81:$BP$81=4)*($AS$81:$AZ$81&lt;&gt;"")*IF(((UPPER($AS$81:$AZ$81)="BLANK")+(UPPER($AS$81:$AZ$81)="(BLANK)")+(UPPER($AS$81:$AZ$81)="EMPTY")+(UPPER($AS$81:$AZ$81)="(EMPTY)"))&gt;0,IFERROR(('Final Calculation Sheet'!$U$19)&amp;"","")="",ISNUMBER(SEARCH($AS$81:$AZ$81,IFERROR(('Final Calculation Sheet'!$U$19)&amp;"","")))))&gt;0),IF(COUNTIF($BI$81:$BP$81,5)=0,TRUE,SUMPRODUCT(($BI$81:$BP$81=5)*($AS$81:$AZ$81&lt;&gt;"")*IF(((UPPER($AS$81:$AZ$81)="BLANK")+(UPPER($AS$81:$AZ$81)="(BLANK)")+(UPPER($AS$81:$AZ$81)="EMPTY")+(UPPER($AS$81:$AZ$81)="(EMPTY)"))&gt;0,IFERROR(('Final Calculation Sheet'!$U$19)&amp;"","")="",ISNUMBER(SEARCH($AS$81:$AZ$81,IFERROR(('Final Calculation Sheet'!$U$19)&amp;"","")))))&gt;0),IF(COUNTIF($BI$81:$BP$81,6)=0,TRUE,SUMPRODUCT(($BI$81:$BP$81=6)*($AS$81:$AZ$81&lt;&gt;"")*IF(((UPPER($AS$81:$AZ$81)="BLANK")+(UPPER($AS$81:$AZ$81)="(BLANK)")+(UPPER($AS$81:$AZ$81)="EMPTY")+(UPPER($AS$81:$AZ$81)="(EMPTY)"))&gt;0,IFERROR(('Final Calculation Sheet'!$U$19)&amp;"","")="",ISNUMBER(SEARCH($AS$81:$AZ$81,IFERROR(('Final Calculation Sheet'!$U$19)&amp;"","")))))&gt;0),IF(COUNTIF($BI$81:$BP$81,7)=0,TRUE,SUMPRODUCT(($BI$81:$BP$81=7)*($AS$81:$AZ$81&lt;&gt;"")*IF(((UPPER($AS$81:$AZ$81)="BLANK")+(UPPER($AS$81:$AZ$81)="(BLANK)")+(UPPER($AS$81:$AZ$81)="EMPTY")+(UPPER($AS$81:$AZ$81)="(EMPTY)"))&gt;0,IFERROR(('Final Calculation Sheet'!$U$19)&amp;"","")="",ISNUMBER(SEARCH($AS$81:$AZ$81,IFERROR(('Final Calculation Sheet'!$U$19)&amp;"","")))))&gt;0),IF(COUNTIF($BI$81:$BP$81,8)=0,TRUE,SUMPRODUCT(($BI$81:$BP$81=8)*($AS$81:$AZ$81&lt;&gt;"")*IF(((UPPER($AS$81:$AZ$81)="BLANK")+(UPPER($AS$81:$AZ$81)="(BLANK)")+(UPPER($AS$81:$AZ$81)="EMPTY")+(UPPER($AS$81:$AZ$81)="(EMPTY)"))&gt;0,IFERROR(('Final Calculation Sheet'!$U$19)&amp;"","")="",ISNUMBER(SEARCH($AS$81:$AZ$81,IFERROR(('Final Calculation Sheet'!$U$19)&amp;"","")))))&gt;0))))</f>
        <v>1</v>
      </c>
      <c r="CI20">
        <f>IF($W$4="",1,--(AND(SUMPRODUCT(--($AS$82:$AZ$82&lt;&gt;""))&gt;0,IF(COUNTIF($BI$82:$BP$82,1)=0,TRUE,SUMPRODUCT(($BI$82:$BP$82=1)*($AS$82:$AZ$82&lt;&gt;"")*IF(((UPPER($AS$82:$AZ$82)="BLANK")+(UPPER($AS$82:$AZ$82)="(BLANK)")+(UPPER($AS$82:$AZ$82)="EMPTY")+(UPPER($AS$82:$AZ$82)="(EMPTY)"))&gt;0,IFERROR(('Final Calculation Sheet'!$V$19)&amp;"","")="",ISNUMBER(SEARCH($AS$82:$AZ$82,IFERROR(('Final Calculation Sheet'!$V$19)&amp;"","")))))&gt;0),IF(COUNTIF($BI$82:$BP$82,2)=0,TRUE,SUMPRODUCT(($BI$82:$BP$82=2)*($AS$82:$AZ$82&lt;&gt;"")*IF(((UPPER($AS$82:$AZ$82)="BLANK")+(UPPER($AS$82:$AZ$82)="(BLANK)")+(UPPER($AS$82:$AZ$82)="EMPTY")+(UPPER($AS$82:$AZ$82)="(EMPTY)"))&gt;0,IFERROR(('Final Calculation Sheet'!$V$19)&amp;"","")="",ISNUMBER(SEARCH($AS$82:$AZ$82,IFERROR(('Final Calculation Sheet'!$V$19)&amp;"","")))))&gt;0),IF(COUNTIF($BI$82:$BP$82,3)=0,TRUE,SUMPRODUCT(($BI$82:$BP$82=3)*($AS$82:$AZ$82&lt;&gt;"")*IF(((UPPER($AS$82:$AZ$82)="BLANK")+(UPPER($AS$82:$AZ$82)="(BLANK)")+(UPPER($AS$82:$AZ$82)="EMPTY")+(UPPER($AS$82:$AZ$82)="(EMPTY)"))&gt;0,IFERROR(('Final Calculation Sheet'!$V$19)&amp;"","")="",ISNUMBER(SEARCH($AS$82:$AZ$82,IFERROR(('Final Calculation Sheet'!$V$19)&amp;"","")))))&gt;0),IF(COUNTIF($BI$82:$BP$82,4)=0,TRUE,SUMPRODUCT(($BI$82:$BP$82=4)*($AS$82:$AZ$82&lt;&gt;"")*IF(((UPPER($AS$82:$AZ$82)="BLANK")+(UPPER($AS$82:$AZ$82)="(BLANK)")+(UPPER($AS$82:$AZ$82)="EMPTY")+(UPPER($AS$82:$AZ$82)="(EMPTY)"))&gt;0,IFERROR(('Final Calculation Sheet'!$V$19)&amp;"","")="",ISNUMBER(SEARCH($AS$82:$AZ$82,IFERROR(('Final Calculation Sheet'!$V$19)&amp;"","")))))&gt;0),IF(COUNTIF($BI$82:$BP$82,5)=0,TRUE,SUMPRODUCT(($BI$82:$BP$82=5)*($AS$82:$AZ$82&lt;&gt;"")*IF(((UPPER($AS$82:$AZ$82)="BLANK")+(UPPER($AS$82:$AZ$82)="(BLANK)")+(UPPER($AS$82:$AZ$82)="EMPTY")+(UPPER($AS$82:$AZ$82)="(EMPTY)"))&gt;0,IFERROR(('Final Calculation Sheet'!$V$19)&amp;"","")="",ISNUMBER(SEARCH($AS$82:$AZ$82,IFERROR(('Final Calculation Sheet'!$V$19)&amp;"","")))))&gt;0),IF(COUNTIF($BI$82:$BP$82,6)=0,TRUE,SUMPRODUCT(($BI$82:$BP$82=6)*($AS$82:$AZ$82&lt;&gt;"")*IF(((UPPER($AS$82:$AZ$82)="BLANK")+(UPPER($AS$82:$AZ$82)="(BLANK)")+(UPPER($AS$82:$AZ$82)="EMPTY")+(UPPER($AS$82:$AZ$82)="(EMPTY)"))&gt;0,IFERROR(('Final Calculation Sheet'!$V$19)&amp;"","")="",ISNUMBER(SEARCH($AS$82:$AZ$82,IFERROR(('Final Calculation Sheet'!$V$19)&amp;"","")))))&gt;0),IF(COUNTIF($BI$82:$BP$82,7)=0,TRUE,SUMPRODUCT(($BI$82:$BP$82=7)*($AS$82:$AZ$82&lt;&gt;"")*IF(((UPPER($AS$82:$AZ$82)="BLANK")+(UPPER($AS$82:$AZ$82)="(BLANK)")+(UPPER($AS$82:$AZ$82)="EMPTY")+(UPPER($AS$82:$AZ$82)="(EMPTY)"))&gt;0,IFERROR(('Final Calculation Sheet'!$V$19)&amp;"","")="",ISNUMBER(SEARCH($AS$82:$AZ$82,IFERROR(('Final Calculation Sheet'!$V$19)&amp;"","")))))&gt;0),IF(COUNTIF($BI$82:$BP$82,8)=0,TRUE,SUMPRODUCT(($BI$82:$BP$82=8)*($AS$82:$AZ$82&lt;&gt;"")*IF(((UPPER($AS$82:$AZ$82)="BLANK")+(UPPER($AS$82:$AZ$82)="(BLANK)")+(UPPER($AS$82:$AZ$82)="EMPTY")+(UPPER($AS$82:$AZ$82)="(EMPTY)"))&gt;0,IFERROR(('Final Calculation Sheet'!$V$19)&amp;"","")="",ISNUMBER(SEARCH($AS$82:$AZ$82,IFERROR(('Final Calculation Sheet'!$V$19)&amp;"","")))))&gt;0))))</f>
        <v>1</v>
      </c>
      <c r="CJ20">
        <f>IF($X$4="",1,--(AND(SUMPRODUCT(--($AS$83:$AZ$83&lt;&gt;""))&gt;0,IF(COUNTIF($BI$83:$BP$83,1)=0,TRUE,SUMPRODUCT(($BI$83:$BP$83=1)*($AS$83:$AZ$83&lt;&gt;"")*IF(((UPPER($AS$83:$AZ$83)="BLANK")+(UPPER($AS$83:$AZ$83)="(BLANK)")+(UPPER($AS$83:$AZ$83)="EMPTY")+(UPPER($AS$83:$AZ$83)="(EMPTY)"))&gt;0,IFERROR(('Final Calculation Sheet'!$W$19)&amp;"","")="",ISNUMBER(SEARCH($AS$83:$AZ$83,IFERROR(('Final Calculation Sheet'!$W$19)&amp;"","")))))&gt;0),IF(COUNTIF($BI$83:$BP$83,2)=0,TRUE,SUMPRODUCT(($BI$83:$BP$83=2)*($AS$83:$AZ$83&lt;&gt;"")*IF(((UPPER($AS$83:$AZ$83)="BLANK")+(UPPER($AS$83:$AZ$83)="(BLANK)")+(UPPER($AS$83:$AZ$83)="EMPTY")+(UPPER($AS$83:$AZ$83)="(EMPTY)"))&gt;0,IFERROR(('Final Calculation Sheet'!$W$19)&amp;"","")="",ISNUMBER(SEARCH($AS$83:$AZ$83,IFERROR(('Final Calculation Sheet'!$W$19)&amp;"","")))))&gt;0),IF(COUNTIF($BI$83:$BP$83,3)=0,TRUE,SUMPRODUCT(($BI$83:$BP$83=3)*($AS$83:$AZ$83&lt;&gt;"")*IF(((UPPER($AS$83:$AZ$83)="BLANK")+(UPPER($AS$83:$AZ$83)="(BLANK)")+(UPPER($AS$83:$AZ$83)="EMPTY")+(UPPER($AS$83:$AZ$83)="(EMPTY)"))&gt;0,IFERROR(('Final Calculation Sheet'!$W$19)&amp;"","")="",ISNUMBER(SEARCH($AS$83:$AZ$83,IFERROR(('Final Calculation Sheet'!$W$19)&amp;"","")))))&gt;0),IF(COUNTIF($BI$83:$BP$83,4)=0,TRUE,SUMPRODUCT(($BI$83:$BP$83=4)*($AS$83:$AZ$83&lt;&gt;"")*IF(((UPPER($AS$83:$AZ$83)="BLANK")+(UPPER($AS$83:$AZ$83)="(BLANK)")+(UPPER($AS$83:$AZ$83)="EMPTY")+(UPPER($AS$83:$AZ$83)="(EMPTY)"))&gt;0,IFERROR(('Final Calculation Sheet'!$W$19)&amp;"","")="",ISNUMBER(SEARCH($AS$83:$AZ$83,IFERROR(('Final Calculation Sheet'!$W$19)&amp;"","")))))&gt;0),IF(COUNTIF($BI$83:$BP$83,5)=0,TRUE,SUMPRODUCT(($BI$83:$BP$83=5)*($AS$83:$AZ$83&lt;&gt;"")*IF(((UPPER($AS$83:$AZ$83)="BLANK")+(UPPER($AS$83:$AZ$83)="(BLANK)")+(UPPER($AS$83:$AZ$83)="EMPTY")+(UPPER($AS$83:$AZ$83)="(EMPTY)"))&gt;0,IFERROR(('Final Calculation Sheet'!$W$19)&amp;"","")="",ISNUMBER(SEARCH($AS$83:$AZ$83,IFERROR(('Final Calculation Sheet'!$W$19)&amp;"","")))))&gt;0),IF(COUNTIF($BI$83:$BP$83,6)=0,TRUE,SUMPRODUCT(($BI$83:$BP$83=6)*($AS$83:$AZ$83&lt;&gt;"")*IF(((UPPER($AS$83:$AZ$83)="BLANK")+(UPPER($AS$83:$AZ$83)="(BLANK)")+(UPPER($AS$83:$AZ$83)="EMPTY")+(UPPER($AS$83:$AZ$83)="(EMPTY)"))&gt;0,IFERROR(('Final Calculation Sheet'!$W$19)&amp;"","")="",ISNUMBER(SEARCH($AS$83:$AZ$83,IFERROR(('Final Calculation Sheet'!$W$19)&amp;"","")))))&gt;0),IF(COUNTIF($BI$83:$BP$83,7)=0,TRUE,SUMPRODUCT(($BI$83:$BP$83=7)*($AS$83:$AZ$83&lt;&gt;"")*IF(((UPPER($AS$83:$AZ$83)="BLANK")+(UPPER($AS$83:$AZ$83)="(BLANK)")+(UPPER($AS$83:$AZ$83)="EMPTY")+(UPPER($AS$83:$AZ$83)="(EMPTY)"))&gt;0,IFERROR(('Final Calculation Sheet'!$W$19)&amp;"","")="",ISNUMBER(SEARCH($AS$83:$AZ$83,IFERROR(('Final Calculation Sheet'!$W$19)&amp;"","")))))&gt;0),IF(COUNTIF($BI$83:$BP$83,8)=0,TRUE,SUMPRODUCT(($BI$83:$BP$83=8)*($AS$83:$AZ$83&lt;&gt;"")*IF(((UPPER($AS$83:$AZ$83)="BLANK")+(UPPER($AS$83:$AZ$83)="(BLANK)")+(UPPER($AS$83:$AZ$83)="EMPTY")+(UPPER($AS$83:$AZ$83)="(EMPTY)"))&gt;0,IFERROR(('Final Calculation Sheet'!$W$19)&amp;"","")="",ISNUMBER(SEARCH($AS$83:$AZ$83,IFERROR(('Final Calculation Sheet'!$W$19)&amp;"","")))))&gt;0))))</f>
        <v>1</v>
      </c>
      <c r="CK20">
        <f>IF($Y$4="",1,--(AND(SUMPRODUCT(--($AS$84:$AZ$84&lt;&gt;""))&gt;0,IF(COUNTIF($BI$84:$BP$84,1)=0,TRUE,SUMPRODUCT(($BI$84:$BP$84=1)*($AS$84:$AZ$84&lt;&gt;"")*IF(((UPPER($AS$84:$AZ$84)="BLANK")+(UPPER($AS$84:$AZ$84)="(BLANK)")+(UPPER($AS$84:$AZ$84)="EMPTY")+(UPPER($AS$84:$AZ$84)="(EMPTY)"))&gt;0,IFERROR(('Final Calculation Sheet'!$X$19)&amp;"","")="",ISNUMBER(SEARCH($AS$84:$AZ$84,IFERROR(('Final Calculation Sheet'!$X$19)&amp;"","")))))&gt;0),IF(COUNTIF($BI$84:$BP$84,2)=0,TRUE,SUMPRODUCT(($BI$84:$BP$84=2)*($AS$84:$AZ$84&lt;&gt;"")*IF(((UPPER($AS$84:$AZ$84)="BLANK")+(UPPER($AS$84:$AZ$84)="(BLANK)")+(UPPER($AS$84:$AZ$84)="EMPTY")+(UPPER($AS$84:$AZ$84)="(EMPTY)"))&gt;0,IFERROR(('Final Calculation Sheet'!$X$19)&amp;"","")="",ISNUMBER(SEARCH($AS$84:$AZ$84,IFERROR(('Final Calculation Sheet'!$X$19)&amp;"","")))))&gt;0),IF(COUNTIF($BI$84:$BP$84,3)=0,TRUE,SUMPRODUCT(($BI$84:$BP$84=3)*($AS$84:$AZ$84&lt;&gt;"")*IF(((UPPER($AS$84:$AZ$84)="BLANK")+(UPPER($AS$84:$AZ$84)="(BLANK)")+(UPPER($AS$84:$AZ$84)="EMPTY")+(UPPER($AS$84:$AZ$84)="(EMPTY)"))&gt;0,IFERROR(('Final Calculation Sheet'!$X$19)&amp;"","")="",ISNUMBER(SEARCH($AS$84:$AZ$84,IFERROR(('Final Calculation Sheet'!$X$19)&amp;"","")))))&gt;0),IF(COUNTIF($BI$84:$BP$84,4)=0,TRUE,SUMPRODUCT(($BI$84:$BP$84=4)*($AS$84:$AZ$84&lt;&gt;"")*IF(((UPPER($AS$84:$AZ$84)="BLANK")+(UPPER($AS$84:$AZ$84)="(BLANK)")+(UPPER($AS$84:$AZ$84)="EMPTY")+(UPPER($AS$84:$AZ$84)="(EMPTY)"))&gt;0,IFERROR(('Final Calculation Sheet'!$X$19)&amp;"","")="",ISNUMBER(SEARCH($AS$84:$AZ$84,IFERROR(('Final Calculation Sheet'!$X$19)&amp;"","")))))&gt;0),IF(COUNTIF($BI$84:$BP$84,5)=0,TRUE,SUMPRODUCT(($BI$84:$BP$84=5)*($AS$84:$AZ$84&lt;&gt;"")*IF(((UPPER($AS$84:$AZ$84)="BLANK")+(UPPER($AS$84:$AZ$84)="(BLANK)")+(UPPER($AS$84:$AZ$84)="EMPTY")+(UPPER($AS$84:$AZ$84)="(EMPTY)"))&gt;0,IFERROR(('Final Calculation Sheet'!$X$19)&amp;"","")="",ISNUMBER(SEARCH($AS$84:$AZ$84,IFERROR(('Final Calculation Sheet'!$X$19)&amp;"","")))))&gt;0),IF(COUNTIF($BI$84:$BP$84,6)=0,TRUE,SUMPRODUCT(($BI$84:$BP$84=6)*($AS$84:$AZ$84&lt;&gt;"")*IF(((UPPER($AS$84:$AZ$84)="BLANK")+(UPPER($AS$84:$AZ$84)="(BLANK)")+(UPPER($AS$84:$AZ$84)="EMPTY")+(UPPER($AS$84:$AZ$84)="(EMPTY)"))&gt;0,IFERROR(('Final Calculation Sheet'!$X$19)&amp;"","")="",ISNUMBER(SEARCH($AS$84:$AZ$84,IFERROR(('Final Calculation Sheet'!$X$19)&amp;"","")))))&gt;0),IF(COUNTIF($BI$84:$BP$84,7)=0,TRUE,SUMPRODUCT(($BI$84:$BP$84=7)*($AS$84:$AZ$84&lt;&gt;"")*IF(((UPPER($AS$84:$AZ$84)="BLANK")+(UPPER($AS$84:$AZ$84)="(BLANK)")+(UPPER($AS$84:$AZ$84)="EMPTY")+(UPPER($AS$84:$AZ$84)="(EMPTY)"))&gt;0,IFERROR(('Final Calculation Sheet'!$X$19)&amp;"","")="",ISNUMBER(SEARCH($AS$84:$AZ$84,IFERROR(('Final Calculation Sheet'!$X$19)&amp;"","")))))&gt;0),IF(COUNTIF($BI$84:$BP$84,8)=0,TRUE,SUMPRODUCT(($BI$84:$BP$84=8)*($AS$84:$AZ$84&lt;&gt;"")*IF(((UPPER($AS$84:$AZ$84)="BLANK")+(UPPER($AS$84:$AZ$84)="(BLANK)")+(UPPER($AS$84:$AZ$84)="EMPTY")+(UPPER($AS$84:$AZ$84)="(EMPTY)"))&gt;0,IFERROR(('Final Calculation Sheet'!$X$19)&amp;"","")="",ISNUMBER(SEARCH($AS$84:$AZ$84,IFERROR(('Final Calculation Sheet'!$X$19)&amp;"","")))))&gt;0))))</f>
        <v>1</v>
      </c>
      <c r="CL20">
        <f>IF($Z$4="",1,--(AND(SUMPRODUCT(--($AS$85:$AZ$85&lt;&gt;""))&gt;0,IF(COUNTIF($BI$85:$BP$85,1)=0,TRUE,SUMPRODUCT(($BI$85:$BP$85=1)*($AS$85:$AZ$85&lt;&gt;"")*IF(((UPPER($AS$85:$AZ$85)="BLANK")+(UPPER($AS$85:$AZ$85)="(BLANK)")+(UPPER($AS$85:$AZ$85)="EMPTY")+(UPPER($AS$85:$AZ$85)="(EMPTY)"))&gt;0,IFERROR(('Final Calculation Sheet'!$Y$19)&amp;"","")="",ISNUMBER(SEARCH($AS$85:$AZ$85,IFERROR(('Final Calculation Sheet'!$Y$19)&amp;"","")))))&gt;0),IF(COUNTIF($BI$85:$BP$85,2)=0,TRUE,SUMPRODUCT(($BI$85:$BP$85=2)*($AS$85:$AZ$85&lt;&gt;"")*IF(((UPPER($AS$85:$AZ$85)="BLANK")+(UPPER($AS$85:$AZ$85)="(BLANK)")+(UPPER($AS$85:$AZ$85)="EMPTY")+(UPPER($AS$85:$AZ$85)="(EMPTY)"))&gt;0,IFERROR(('Final Calculation Sheet'!$Y$19)&amp;"","")="",ISNUMBER(SEARCH($AS$85:$AZ$85,IFERROR(('Final Calculation Sheet'!$Y$19)&amp;"","")))))&gt;0),IF(COUNTIF($BI$85:$BP$85,3)=0,TRUE,SUMPRODUCT(($BI$85:$BP$85=3)*($AS$85:$AZ$85&lt;&gt;"")*IF(((UPPER($AS$85:$AZ$85)="BLANK")+(UPPER($AS$85:$AZ$85)="(BLANK)")+(UPPER($AS$85:$AZ$85)="EMPTY")+(UPPER($AS$85:$AZ$85)="(EMPTY)"))&gt;0,IFERROR(('Final Calculation Sheet'!$Y$19)&amp;"","")="",ISNUMBER(SEARCH($AS$85:$AZ$85,IFERROR(('Final Calculation Sheet'!$Y$19)&amp;"","")))))&gt;0),IF(COUNTIF($BI$85:$BP$85,4)=0,TRUE,SUMPRODUCT(($BI$85:$BP$85=4)*($AS$85:$AZ$85&lt;&gt;"")*IF(((UPPER($AS$85:$AZ$85)="BLANK")+(UPPER($AS$85:$AZ$85)="(BLANK)")+(UPPER($AS$85:$AZ$85)="EMPTY")+(UPPER($AS$85:$AZ$85)="(EMPTY)"))&gt;0,IFERROR(('Final Calculation Sheet'!$Y$19)&amp;"","")="",ISNUMBER(SEARCH($AS$85:$AZ$85,IFERROR(('Final Calculation Sheet'!$Y$19)&amp;"","")))))&gt;0),IF(COUNTIF($BI$85:$BP$85,5)=0,TRUE,SUMPRODUCT(($BI$85:$BP$85=5)*($AS$85:$AZ$85&lt;&gt;"")*IF(((UPPER($AS$85:$AZ$85)="BLANK")+(UPPER($AS$85:$AZ$85)="(BLANK)")+(UPPER($AS$85:$AZ$85)="EMPTY")+(UPPER($AS$85:$AZ$85)="(EMPTY)"))&gt;0,IFERROR(('Final Calculation Sheet'!$Y$19)&amp;"","")="",ISNUMBER(SEARCH($AS$85:$AZ$85,IFERROR(('Final Calculation Sheet'!$Y$19)&amp;"","")))))&gt;0),IF(COUNTIF($BI$85:$BP$85,6)=0,TRUE,SUMPRODUCT(($BI$85:$BP$85=6)*($AS$85:$AZ$85&lt;&gt;"")*IF(((UPPER($AS$85:$AZ$85)="BLANK")+(UPPER($AS$85:$AZ$85)="(BLANK)")+(UPPER($AS$85:$AZ$85)="EMPTY")+(UPPER($AS$85:$AZ$85)="(EMPTY)"))&gt;0,IFERROR(('Final Calculation Sheet'!$Y$19)&amp;"","")="",ISNUMBER(SEARCH($AS$85:$AZ$85,IFERROR(('Final Calculation Sheet'!$Y$19)&amp;"","")))))&gt;0),IF(COUNTIF($BI$85:$BP$85,7)=0,TRUE,SUMPRODUCT(($BI$85:$BP$85=7)*($AS$85:$AZ$85&lt;&gt;"")*IF(((UPPER($AS$85:$AZ$85)="BLANK")+(UPPER($AS$85:$AZ$85)="(BLANK)")+(UPPER($AS$85:$AZ$85)="EMPTY")+(UPPER($AS$85:$AZ$85)="(EMPTY)"))&gt;0,IFERROR(('Final Calculation Sheet'!$Y$19)&amp;"","")="",ISNUMBER(SEARCH($AS$85:$AZ$85,IFERROR(('Final Calculation Sheet'!$Y$19)&amp;"","")))))&gt;0),IF(COUNTIF($BI$85:$BP$85,8)=0,TRUE,SUMPRODUCT(($BI$85:$BP$85=8)*($AS$85:$AZ$85&lt;&gt;"")*IF(((UPPER($AS$85:$AZ$85)="BLANK")+(UPPER($AS$85:$AZ$85)="(BLANK)")+(UPPER($AS$85:$AZ$85)="EMPTY")+(UPPER($AS$85:$AZ$85)="(EMPTY)"))&gt;0,IFERROR(('Final Calculation Sheet'!$Y$19)&amp;"","")="",ISNUMBER(SEARCH($AS$85:$AZ$85,IFERROR(('Final Calculation Sheet'!$Y$19)&amp;"","")))))&gt;0))))</f>
        <v>1</v>
      </c>
      <c r="CM20">
        <f>IF($AA$4="",1,--(AND(SUMPRODUCT(--($AS$86:$AZ$86&lt;&gt;""))&gt;0,IF(COUNTIF($BI$86:$BP$86,1)=0,TRUE,SUMPRODUCT(($BI$86:$BP$86=1)*($AS$86:$AZ$86&lt;&gt;"")*IF(((UPPER($AS$86:$AZ$86)="BLANK")+(UPPER($AS$86:$AZ$86)="(BLANK)")+(UPPER($AS$86:$AZ$86)="EMPTY")+(UPPER($AS$86:$AZ$86)="(EMPTY)"))&gt;0,IFERROR(('Final Calculation Sheet'!$Z$19)&amp;"","")="",ISNUMBER(SEARCH($AS$86:$AZ$86,IFERROR(('Final Calculation Sheet'!$Z$19)&amp;"","")))))&gt;0),IF(COUNTIF($BI$86:$BP$86,2)=0,TRUE,SUMPRODUCT(($BI$86:$BP$86=2)*($AS$86:$AZ$86&lt;&gt;"")*IF(((UPPER($AS$86:$AZ$86)="BLANK")+(UPPER($AS$86:$AZ$86)="(BLANK)")+(UPPER($AS$86:$AZ$86)="EMPTY")+(UPPER($AS$86:$AZ$86)="(EMPTY)"))&gt;0,IFERROR(('Final Calculation Sheet'!$Z$19)&amp;"","")="",ISNUMBER(SEARCH($AS$86:$AZ$86,IFERROR(('Final Calculation Sheet'!$Z$19)&amp;"","")))))&gt;0),IF(COUNTIF($BI$86:$BP$86,3)=0,TRUE,SUMPRODUCT(($BI$86:$BP$86=3)*($AS$86:$AZ$86&lt;&gt;"")*IF(((UPPER($AS$86:$AZ$86)="BLANK")+(UPPER($AS$86:$AZ$86)="(BLANK)")+(UPPER($AS$86:$AZ$86)="EMPTY")+(UPPER($AS$86:$AZ$86)="(EMPTY)"))&gt;0,IFERROR(('Final Calculation Sheet'!$Z$19)&amp;"","")="",ISNUMBER(SEARCH($AS$86:$AZ$86,IFERROR(('Final Calculation Sheet'!$Z$19)&amp;"","")))))&gt;0),IF(COUNTIF($BI$86:$BP$86,4)=0,TRUE,SUMPRODUCT(($BI$86:$BP$86=4)*($AS$86:$AZ$86&lt;&gt;"")*IF(((UPPER($AS$86:$AZ$86)="BLANK")+(UPPER($AS$86:$AZ$86)="(BLANK)")+(UPPER($AS$86:$AZ$86)="EMPTY")+(UPPER($AS$86:$AZ$86)="(EMPTY)"))&gt;0,IFERROR(('Final Calculation Sheet'!$Z$19)&amp;"","")="",ISNUMBER(SEARCH($AS$86:$AZ$86,IFERROR(('Final Calculation Sheet'!$Z$19)&amp;"","")))))&gt;0),IF(COUNTIF($BI$86:$BP$86,5)=0,TRUE,SUMPRODUCT(($BI$86:$BP$86=5)*($AS$86:$AZ$86&lt;&gt;"")*IF(((UPPER($AS$86:$AZ$86)="BLANK")+(UPPER($AS$86:$AZ$86)="(BLANK)")+(UPPER($AS$86:$AZ$86)="EMPTY")+(UPPER($AS$86:$AZ$86)="(EMPTY)"))&gt;0,IFERROR(('Final Calculation Sheet'!$Z$19)&amp;"","")="",ISNUMBER(SEARCH($AS$86:$AZ$86,IFERROR(('Final Calculation Sheet'!$Z$19)&amp;"","")))))&gt;0),IF(COUNTIF($BI$86:$BP$86,6)=0,TRUE,SUMPRODUCT(($BI$86:$BP$86=6)*($AS$86:$AZ$86&lt;&gt;"")*IF(((UPPER($AS$86:$AZ$86)="BLANK")+(UPPER($AS$86:$AZ$86)="(BLANK)")+(UPPER($AS$86:$AZ$86)="EMPTY")+(UPPER($AS$86:$AZ$86)="(EMPTY)"))&gt;0,IFERROR(('Final Calculation Sheet'!$Z$19)&amp;"","")="",ISNUMBER(SEARCH($AS$86:$AZ$86,IFERROR(('Final Calculation Sheet'!$Z$19)&amp;"","")))))&gt;0),IF(COUNTIF($BI$86:$BP$86,7)=0,TRUE,SUMPRODUCT(($BI$86:$BP$86=7)*($AS$86:$AZ$86&lt;&gt;"")*IF(((UPPER($AS$86:$AZ$86)="BLANK")+(UPPER($AS$86:$AZ$86)="(BLANK)")+(UPPER($AS$86:$AZ$86)="EMPTY")+(UPPER($AS$86:$AZ$86)="(EMPTY)"))&gt;0,IFERROR(('Final Calculation Sheet'!$Z$19)&amp;"","")="",ISNUMBER(SEARCH($AS$86:$AZ$86,IFERROR(('Final Calculation Sheet'!$Z$19)&amp;"","")))))&gt;0),IF(COUNTIF($BI$86:$BP$86,8)=0,TRUE,SUMPRODUCT(($BI$86:$BP$86=8)*($AS$86:$AZ$86&lt;&gt;"")*IF(((UPPER($AS$86:$AZ$86)="BLANK")+(UPPER($AS$86:$AZ$86)="(BLANK)")+(UPPER($AS$86:$AZ$86)="EMPTY")+(UPPER($AS$86:$AZ$86)="(EMPTY)"))&gt;0,IFERROR(('Final Calculation Sheet'!$Z$19)&amp;"","")="",ISNUMBER(SEARCH($AS$86:$AZ$86,IFERROR(('Final Calculation Sheet'!$Z$19)&amp;"","")))))&gt;0))))</f>
        <v>1</v>
      </c>
      <c r="CN20">
        <f>IF($AB$4="",1,--(AND(SUMPRODUCT(--($AS$87:$AZ$87&lt;&gt;""))&gt;0,IF(COUNTIF($BI$87:$BP$87,1)=0,TRUE,SUMPRODUCT(($BI$87:$BP$87=1)*($AS$87:$AZ$87&lt;&gt;"")*IF(((UPPER($AS$87:$AZ$87)="BLANK")+(UPPER($AS$87:$AZ$87)="(BLANK)")+(UPPER($AS$87:$AZ$87)="EMPTY")+(UPPER($AS$87:$AZ$87)="(EMPTY)"))&gt;0,IFERROR(('Final Calculation Sheet'!$AA$19)&amp;"","")="",ISNUMBER(SEARCH($AS$87:$AZ$87,IFERROR(('Final Calculation Sheet'!$AA$19)&amp;"","")))))&gt;0),IF(COUNTIF($BI$87:$BP$87,2)=0,TRUE,SUMPRODUCT(($BI$87:$BP$87=2)*($AS$87:$AZ$87&lt;&gt;"")*IF(((UPPER($AS$87:$AZ$87)="BLANK")+(UPPER($AS$87:$AZ$87)="(BLANK)")+(UPPER($AS$87:$AZ$87)="EMPTY")+(UPPER($AS$87:$AZ$87)="(EMPTY)"))&gt;0,IFERROR(('Final Calculation Sheet'!$AA$19)&amp;"","")="",ISNUMBER(SEARCH($AS$87:$AZ$87,IFERROR(('Final Calculation Sheet'!$AA$19)&amp;"","")))))&gt;0),IF(COUNTIF($BI$87:$BP$87,3)=0,TRUE,SUMPRODUCT(($BI$87:$BP$87=3)*($AS$87:$AZ$87&lt;&gt;"")*IF(((UPPER($AS$87:$AZ$87)="BLANK")+(UPPER($AS$87:$AZ$87)="(BLANK)")+(UPPER($AS$87:$AZ$87)="EMPTY")+(UPPER($AS$87:$AZ$87)="(EMPTY)"))&gt;0,IFERROR(('Final Calculation Sheet'!$AA$19)&amp;"","")="",ISNUMBER(SEARCH($AS$87:$AZ$87,IFERROR(('Final Calculation Sheet'!$AA$19)&amp;"","")))))&gt;0),IF(COUNTIF($BI$87:$BP$87,4)=0,TRUE,SUMPRODUCT(($BI$87:$BP$87=4)*($AS$87:$AZ$87&lt;&gt;"")*IF(((UPPER($AS$87:$AZ$87)="BLANK")+(UPPER($AS$87:$AZ$87)="(BLANK)")+(UPPER($AS$87:$AZ$87)="EMPTY")+(UPPER($AS$87:$AZ$87)="(EMPTY)"))&gt;0,IFERROR(('Final Calculation Sheet'!$AA$19)&amp;"","")="",ISNUMBER(SEARCH($AS$87:$AZ$87,IFERROR(('Final Calculation Sheet'!$AA$19)&amp;"","")))))&gt;0),IF(COUNTIF($BI$87:$BP$87,5)=0,TRUE,SUMPRODUCT(($BI$87:$BP$87=5)*($AS$87:$AZ$87&lt;&gt;"")*IF(((UPPER($AS$87:$AZ$87)="BLANK")+(UPPER($AS$87:$AZ$87)="(BLANK)")+(UPPER($AS$87:$AZ$87)="EMPTY")+(UPPER($AS$87:$AZ$87)="(EMPTY)"))&gt;0,IFERROR(('Final Calculation Sheet'!$AA$19)&amp;"","")="",ISNUMBER(SEARCH($AS$87:$AZ$87,IFERROR(('Final Calculation Sheet'!$AA$19)&amp;"","")))))&gt;0),IF(COUNTIF($BI$87:$BP$87,6)=0,TRUE,SUMPRODUCT(($BI$87:$BP$87=6)*($AS$87:$AZ$87&lt;&gt;"")*IF(((UPPER($AS$87:$AZ$87)="BLANK")+(UPPER($AS$87:$AZ$87)="(BLANK)")+(UPPER($AS$87:$AZ$87)="EMPTY")+(UPPER($AS$87:$AZ$87)="(EMPTY)"))&gt;0,IFERROR(('Final Calculation Sheet'!$AA$19)&amp;"","")="",ISNUMBER(SEARCH($AS$87:$AZ$87,IFERROR(('Final Calculation Sheet'!$AA$19)&amp;"","")))))&gt;0),IF(COUNTIF($BI$87:$BP$87,7)=0,TRUE,SUMPRODUCT(($BI$87:$BP$87=7)*($AS$87:$AZ$87&lt;&gt;"")*IF(((UPPER($AS$87:$AZ$87)="BLANK")+(UPPER($AS$87:$AZ$87)="(BLANK)")+(UPPER($AS$87:$AZ$87)="EMPTY")+(UPPER($AS$87:$AZ$87)="(EMPTY)"))&gt;0,IFERROR(('Final Calculation Sheet'!$AA$19)&amp;"","")="",ISNUMBER(SEARCH($AS$87:$AZ$87,IFERROR(('Final Calculation Sheet'!$AA$19)&amp;"","")))))&gt;0),IF(COUNTIF($BI$87:$BP$87,8)=0,TRUE,SUMPRODUCT(($BI$87:$BP$87=8)*($AS$87:$AZ$87&lt;&gt;"")*IF(((UPPER($AS$87:$AZ$87)="BLANK")+(UPPER($AS$87:$AZ$87)="(BLANK)")+(UPPER($AS$87:$AZ$87)="EMPTY")+(UPPER($AS$87:$AZ$87)="(EMPTY)"))&gt;0,IFERROR(('Final Calculation Sheet'!$AA$19)&amp;"","")="",ISNUMBER(SEARCH($AS$87:$AZ$87,IFERROR(('Final Calculation Sheet'!$AA$19)&amp;"","")))))&gt;0))))</f>
        <v>1</v>
      </c>
      <c r="CO20">
        <f>IF($AC$4="",1,--(AND(SUMPRODUCT(--($AS$88:$AZ$88&lt;&gt;""))&gt;0,IF(COUNTIF($BI$88:$BP$88,1)=0,TRUE,SUMPRODUCT(($BI$88:$BP$88=1)*($AS$88:$AZ$88&lt;&gt;"")*IF(((UPPER($AS$88:$AZ$88)="BLANK")+(UPPER($AS$88:$AZ$88)="(BLANK)")+(UPPER($AS$88:$AZ$88)="EMPTY")+(UPPER($AS$88:$AZ$88)="(EMPTY)"))&gt;0,IFERROR(('Final Calculation Sheet'!$AB$19)&amp;"","")="",ISNUMBER(SEARCH($AS$88:$AZ$88,IFERROR(('Final Calculation Sheet'!$AB$19)&amp;"","")))))&gt;0),IF(COUNTIF($BI$88:$BP$88,2)=0,TRUE,SUMPRODUCT(($BI$88:$BP$88=2)*($AS$88:$AZ$88&lt;&gt;"")*IF(((UPPER($AS$88:$AZ$88)="BLANK")+(UPPER($AS$88:$AZ$88)="(BLANK)")+(UPPER($AS$88:$AZ$88)="EMPTY")+(UPPER($AS$88:$AZ$88)="(EMPTY)"))&gt;0,IFERROR(('Final Calculation Sheet'!$AB$19)&amp;"","")="",ISNUMBER(SEARCH($AS$88:$AZ$88,IFERROR(('Final Calculation Sheet'!$AB$19)&amp;"","")))))&gt;0),IF(COUNTIF($BI$88:$BP$88,3)=0,TRUE,SUMPRODUCT(($BI$88:$BP$88=3)*($AS$88:$AZ$88&lt;&gt;"")*IF(((UPPER($AS$88:$AZ$88)="BLANK")+(UPPER($AS$88:$AZ$88)="(BLANK)")+(UPPER($AS$88:$AZ$88)="EMPTY")+(UPPER($AS$88:$AZ$88)="(EMPTY)"))&gt;0,IFERROR(('Final Calculation Sheet'!$AB$19)&amp;"","")="",ISNUMBER(SEARCH($AS$88:$AZ$88,IFERROR(('Final Calculation Sheet'!$AB$19)&amp;"","")))))&gt;0),IF(COUNTIF($BI$88:$BP$88,4)=0,TRUE,SUMPRODUCT(($BI$88:$BP$88=4)*($AS$88:$AZ$88&lt;&gt;"")*IF(((UPPER($AS$88:$AZ$88)="BLANK")+(UPPER($AS$88:$AZ$88)="(BLANK)")+(UPPER($AS$88:$AZ$88)="EMPTY")+(UPPER($AS$88:$AZ$88)="(EMPTY)"))&gt;0,IFERROR(('Final Calculation Sheet'!$AB$19)&amp;"","")="",ISNUMBER(SEARCH($AS$88:$AZ$88,IFERROR(('Final Calculation Sheet'!$AB$19)&amp;"","")))))&gt;0),IF(COUNTIF($BI$88:$BP$88,5)=0,TRUE,SUMPRODUCT(($BI$88:$BP$88=5)*($AS$88:$AZ$88&lt;&gt;"")*IF(((UPPER($AS$88:$AZ$88)="BLANK")+(UPPER($AS$88:$AZ$88)="(BLANK)")+(UPPER($AS$88:$AZ$88)="EMPTY")+(UPPER($AS$88:$AZ$88)="(EMPTY)"))&gt;0,IFERROR(('Final Calculation Sheet'!$AB$19)&amp;"","")="",ISNUMBER(SEARCH($AS$88:$AZ$88,IFERROR(('Final Calculation Sheet'!$AB$19)&amp;"","")))))&gt;0),IF(COUNTIF($BI$88:$BP$88,6)=0,TRUE,SUMPRODUCT(($BI$88:$BP$88=6)*($AS$88:$AZ$88&lt;&gt;"")*IF(((UPPER($AS$88:$AZ$88)="BLANK")+(UPPER($AS$88:$AZ$88)="(BLANK)")+(UPPER($AS$88:$AZ$88)="EMPTY")+(UPPER($AS$88:$AZ$88)="(EMPTY)"))&gt;0,IFERROR(('Final Calculation Sheet'!$AB$19)&amp;"","")="",ISNUMBER(SEARCH($AS$88:$AZ$88,IFERROR(('Final Calculation Sheet'!$AB$19)&amp;"","")))))&gt;0),IF(COUNTIF($BI$88:$BP$88,7)=0,TRUE,SUMPRODUCT(($BI$88:$BP$88=7)*($AS$88:$AZ$88&lt;&gt;"")*IF(((UPPER($AS$88:$AZ$88)="BLANK")+(UPPER($AS$88:$AZ$88)="(BLANK)")+(UPPER($AS$88:$AZ$88)="EMPTY")+(UPPER($AS$88:$AZ$88)="(EMPTY)"))&gt;0,IFERROR(('Final Calculation Sheet'!$AB$19)&amp;"","")="",ISNUMBER(SEARCH($AS$88:$AZ$88,IFERROR(('Final Calculation Sheet'!$AB$19)&amp;"","")))))&gt;0),IF(COUNTIF($BI$88:$BP$88,8)=0,TRUE,SUMPRODUCT(($BI$88:$BP$88=8)*($AS$88:$AZ$88&lt;&gt;"")*IF(((UPPER($AS$88:$AZ$88)="BLANK")+(UPPER($AS$88:$AZ$88)="(BLANK)")+(UPPER($AS$88:$AZ$88)="EMPTY")+(UPPER($AS$88:$AZ$88)="(EMPTY)"))&gt;0,IFERROR(('Final Calculation Sheet'!$AB$19)&amp;"","")="",ISNUMBER(SEARCH($AS$88:$AZ$88,IFERROR(('Final Calculation Sheet'!$AB$19)&amp;"","")))))&gt;0))))</f>
        <v>1</v>
      </c>
      <c r="CP20">
        <f>IF($AD$4="",1,--(AND(SUMPRODUCT(--($AS$89:$AZ$89&lt;&gt;""))&gt;0,IF(COUNTIF($BI$89:$BP$89,1)=0,TRUE,SUMPRODUCT(($BI$89:$BP$89=1)*($AS$89:$AZ$89&lt;&gt;"")*IF(((UPPER($AS$89:$AZ$89)="BLANK")+(UPPER($AS$89:$AZ$89)="(BLANK)")+(UPPER($AS$89:$AZ$89)="EMPTY")+(UPPER($AS$89:$AZ$89)="(EMPTY)"))&gt;0,IFERROR(('Final Calculation Sheet'!$AC$19)&amp;"","")="",ISNUMBER(SEARCH($AS$89:$AZ$89,IFERROR(('Final Calculation Sheet'!$AC$19)&amp;"","")))))&gt;0),IF(COUNTIF($BI$89:$BP$89,2)=0,TRUE,SUMPRODUCT(($BI$89:$BP$89=2)*($AS$89:$AZ$89&lt;&gt;"")*IF(((UPPER($AS$89:$AZ$89)="BLANK")+(UPPER($AS$89:$AZ$89)="(BLANK)")+(UPPER($AS$89:$AZ$89)="EMPTY")+(UPPER($AS$89:$AZ$89)="(EMPTY)"))&gt;0,IFERROR(('Final Calculation Sheet'!$AC$19)&amp;"","")="",ISNUMBER(SEARCH($AS$89:$AZ$89,IFERROR(('Final Calculation Sheet'!$AC$19)&amp;"","")))))&gt;0),IF(COUNTIF($BI$89:$BP$89,3)=0,TRUE,SUMPRODUCT(($BI$89:$BP$89=3)*($AS$89:$AZ$89&lt;&gt;"")*IF(((UPPER($AS$89:$AZ$89)="BLANK")+(UPPER($AS$89:$AZ$89)="(BLANK)")+(UPPER($AS$89:$AZ$89)="EMPTY")+(UPPER($AS$89:$AZ$89)="(EMPTY)"))&gt;0,IFERROR(('Final Calculation Sheet'!$AC$19)&amp;"","")="",ISNUMBER(SEARCH($AS$89:$AZ$89,IFERROR(('Final Calculation Sheet'!$AC$19)&amp;"","")))))&gt;0),IF(COUNTIF($BI$89:$BP$89,4)=0,TRUE,SUMPRODUCT(($BI$89:$BP$89=4)*($AS$89:$AZ$89&lt;&gt;"")*IF(((UPPER($AS$89:$AZ$89)="BLANK")+(UPPER($AS$89:$AZ$89)="(BLANK)")+(UPPER($AS$89:$AZ$89)="EMPTY")+(UPPER($AS$89:$AZ$89)="(EMPTY)"))&gt;0,IFERROR(('Final Calculation Sheet'!$AC$19)&amp;"","")="",ISNUMBER(SEARCH($AS$89:$AZ$89,IFERROR(('Final Calculation Sheet'!$AC$19)&amp;"","")))))&gt;0),IF(COUNTIF($BI$89:$BP$89,5)=0,TRUE,SUMPRODUCT(($BI$89:$BP$89=5)*($AS$89:$AZ$89&lt;&gt;"")*IF(((UPPER($AS$89:$AZ$89)="BLANK")+(UPPER($AS$89:$AZ$89)="(BLANK)")+(UPPER($AS$89:$AZ$89)="EMPTY")+(UPPER($AS$89:$AZ$89)="(EMPTY)"))&gt;0,IFERROR(('Final Calculation Sheet'!$AC$19)&amp;"","")="",ISNUMBER(SEARCH($AS$89:$AZ$89,IFERROR(('Final Calculation Sheet'!$AC$19)&amp;"","")))))&gt;0),IF(COUNTIF($BI$89:$BP$89,6)=0,TRUE,SUMPRODUCT(($BI$89:$BP$89=6)*($AS$89:$AZ$89&lt;&gt;"")*IF(((UPPER($AS$89:$AZ$89)="BLANK")+(UPPER($AS$89:$AZ$89)="(BLANK)")+(UPPER($AS$89:$AZ$89)="EMPTY")+(UPPER($AS$89:$AZ$89)="(EMPTY)"))&gt;0,IFERROR(('Final Calculation Sheet'!$AC$19)&amp;"","")="",ISNUMBER(SEARCH($AS$89:$AZ$89,IFERROR(('Final Calculation Sheet'!$AC$19)&amp;"","")))))&gt;0),IF(COUNTIF($BI$89:$BP$89,7)=0,TRUE,SUMPRODUCT(($BI$89:$BP$89=7)*($AS$89:$AZ$89&lt;&gt;"")*IF(((UPPER($AS$89:$AZ$89)="BLANK")+(UPPER($AS$89:$AZ$89)="(BLANK)")+(UPPER($AS$89:$AZ$89)="EMPTY")+(UPPER($AS$89:$AZ$89)="(EMPTY)"))&gt;0,IFERROR(('Final Calculation Sheet'!$AC$19)&amp;"","")="",ISNUMBER(SEARCH($AS$89:$AZ$89,IFERROR(('Final Calculation Sheet'!$AC$19)&amp;"","")))))&gt;0),IF(COUNTIF($BI$89:$BP$89,8)=0,TRUE,SUMPRODUCT(($BI$89:$BP$89=8)*($AS$89:$AZ$89&lt;&gt;"")*IF(((UPPER($AS$89:$AZ$89)="BLANK")+(UPPER($AS$89:$AZ$89)="(BLANK)")+(UPPER($AS$89:$AZ$89)="EMPTY")+(UPPER($AS$89:$AZ$89)="(EMPTY)"))&gt;0,IFERROR(('Final Calculation Sheet'!$AC$19)&amp;"","")="",ISNUMBER(SEARCH($AS$89:$AZ$89,IFERROR(('Final Calculation Sheet'!$AC$19)&amp;"","")))))&gt;0))))</f>
        <v>1</v>
      </c>
      <c r="CQ20">
        <f>IF($AE$4="",1,--(AND(SUMPRODUCT(--($AS$90:$AZ$90&lt;&gt;""))&gt;0,IF(COUNTIF($BI$90:$BP$90,1)=0,TRUE,SUMPRODUCT(($BI$90:$BP$90=1)*($AS$90:$AZ$90&lt;&gt;"")*IF(((UPPER($AS$90:$AZ$90)="BLANK")+(UPPER($AS$90:$AZ$90)="(BLANK)")+(UPPER($AS$90:$AZ$90)="EMPTY")+(UPPER($AS$90:$AZ$90)="(EMPTY)"))&gt;0,IFERROR(('Final Calculation Sheet'!$AD$19)&amp;"","")="",ISNUMBER(SEARCH($AS$90:$AZ$90,IFERROR(('Final Calculation Sheet'!$AD$19)&amp;"","")))))&gt;0),IF(COUNTIF($BI$90:$BP$90,2)=0,TRUE,SUMPRODUCT(($BI$90:$BP$90=2)*($AS$90:$AZ$90&lt;&gt;"")*IF(((UPPER($AS$90:$AZ$90)="BLANK")+(UPPER($AS$90:$AZ$90)="(BLANK)")+(UPPER($AS$90:$AZ$90)="EMPTY")+(UPPER($AS$90:$AZ$90)="(EMPTY)"))&gt;0,IFERROR(('Final Calculation Sheet'!$AD$19)&amp;"","")="",ISNUMBER(SEARCH($AS$90:$AZ$90,IFERROR(('Final Calculation Sheet'!$AD$19)&amp;"","")))))&gt;0),IF(COUNTIF($BI$90:$BP$90,3)=0,TRUE,SUMPRODUCT(($BI$90:$BP$90=3)*($AS$90:$AZ$90&lt;&gt;"")*IF(((UPPER($AS$90:$AZ$90)="BLANK")+(UPPER($AS$90:$AZ$90)="(BLANK)")+(UPPER($AS$90:$AZ$90)="EMPTY")+(UPPER($AS$90:$AZ$90)="(EMPTY)"))&gt;0,IFERROR(('Final Calculation Sheet'!$AD$19)&amp;"","")="",ISNUMBER(SEARCH($AS$90:$AZ$90,IFERROR(('Final Calculation Sheet'!$AD$19)&amp;"","")))))&gt;0),IF(COUNTIF($BI$90:$BP$90,4)=0,TRUE,SUMPRODUCT(($BI$90:$BP$90=4)*($AS$90:$AZ$90&lt;&gt;"")*IF(((UPPER($AS$90:$AZ$90)="BLANK")+(UPPER($AS$90:$AZ$90)="(BLANK)")+(UPPER($AS$90:$AZ$90)="EMPTY")+(UPPER($AS$90:$AZ$90)="(EMPTY)"))&gt;0,IFERROR(('Final Calculation Sheet'!$AD$19)&amp;"","")="",ISNUMBER(SEARCH($AS$90:$AZ$90,IFERROR(('Final Calculation Sheet'!$AD$19)&amp;"","")))))&gt;0),IF(COUNTIF($BI$90:$BP$90,5)=0,TRUE,SUMPRODUCT(($BI$90:$BP$90=5)*($AS$90:$AZ$90&lt;&gt;"")*IF(((UPPER($AS$90:$AZ$90)="BLANK")+(UPPER($AS$90:$AZ$90)="(BLANK)")+(UPPER($AS$90:$AZ$90)="EMPTY")+(UPPER($AS$90:$AZ$90)="(EMPTY)"))&gt;0,IFERROR(('Final Calculation Sheet'!$AD$19)&amp;"","")="",ISNUMBER(SEARCH($AS$90:$AZ$90,IFERROR(('Final Calculation Sheet'!$AD$19)&amp;"","")))))&gt;0),IF(COUNTIF($BI$90:$BP$90,6)=0,TRUE,SUMPRODUCT(($BI$90:$BP$90=6)*($AS$90:$AZ$90&lt;&gt;"")*IF(((UPPER($AS$90:$AZ$90)="BLANK")+(UPPER($AS$90:$AZ$90)="(BLANK)")+(UPPER($AS$90:$AZ$90)="EMPTY")+(UPPER($AS$90:$AZ$90)="(EMPTY)"))&gt;0,IFERROR(('Final Calculation Sheet'!$AD$19)&amp;"","")="",ISNUMBER(SEARCH($AS$90:$AZ$90,IFERROR(('Final Calculation Sheet'!$AD$19)&amp;"","")))))&gt;0),IF(COUNTIF($BI$90:$BP$90,7)=0,TRUE,SUMPRODUCT(($BI$90:$BP$90=7)*($AS$90:$AZ$90&lt;&gt;"")*IF(((UPPER($AS$90:$AZ$90)="BLANK")+(UPPER($AS$90:$AZ$90)="(BLANK)")+(UPPER($AS$90:$AZ$90)="EMPTY")+(UPPER($AS$90:$AZ$90)="(EMPTY)"))&gt;0,IFERROR(('Final Calculation Sheet'!$AD$19)&amp;"","")="",ISNUMBER(SEARCH($AS$90:$AZ$90,IFERROR(('Final Calculation Sheet'!$AD$19)&amp;"","")))))&gt;0),IF(COUNTIF($BI$90:$BP$90,8)=0,TRUE,SUMPRODUCT(($BI$90:$BP$90=8)*($AS$90:$AZ$90&lt;&gt;"")*IF(((UPPER($AS$90:$AZ$90)="BLANK")+(UPPER($AS$90:$AZ$90)="(BLANK)")+(UPPER($AS$90:$AZ$90)="EMPTY")+(UPPER($AS$90:$AZ$90)="(EMPTY)"))&gt;0,IFERROR(('Final Calculation Sheet'!$AD$19)&amp;"","")="",ISNUMBER(SEARCH($AS$90:$AZ$90,IFERROR(('Final Calculation Sheet'!$AD$19)&amp;"","")))))&gt;0))))</f>
        <v>1</v>
      </c>
      <c r="CR20">
        <f>IF($AF$4="",1,--(AND(SUMPRODUCT(--($AS$91:$AZ$91&lt;&gt;""))&gt;0,IF(COUNTIF($BI$91:$BP$91,1)=0,TRUE,SUMPRODUCT(($BI$91:$BP$91=1)*($AS$91:$AZ$91&lt;&gt;"")*IF(((UPPER($AS$91:$AZ$91)="BLANK")+(UPPER($AS$91:$AZ$91)="(BLANK)")+(UPPER($AS$91:$AZ$91)="EMPTY")+(UPPER($AS$91:$AZ$91)="(EMPTY)"))&gt;0,IFERROR(('Final Calculation Sheet'!$AE$19)&amp;"","")="",ISNUMBER(SEARCH($AS$91:$AZ$91,IFERROR(('Final Calculation Sheet'!$AE$19)&amp;"","")))))&gt;0),IF(COUNTIF($BI$91:$BP$91,2)=0,TRUE,SUMPRODUCT(($BI$91:$BP$91=2)*($AS$91:$AZ$91&lt;&gt;"")*IF(((UPPER($AS$91:$AZ$91)="BLANK")+(UPPER($AS$91:$AZ$91)="(BLANK)")+(UPPER($AS$91:$AZ$91)="EMPTY")+(UPPER($AS$91:$AZ$91)="(EMPTY)"))&gt;0,IFERROR(('Final Calculation Sheet'!$AE$19)&amp;"","")="",ISNUMBER(SEARCH($AS$91:$AZ$91,IFERROR(('Final Calculation Sheet'!$AE$19)&amp;"","")))))&gt;0),IF(COUNTIF($BI$91:$BP$91,3)=0,TRUE,SUMPRODUCT(($BI$91:$BP$91=3)*($AS$91:$AZ$91&lt;&gt;"")*IF(((UPPER($AS$91:$AZ$91)="BLANK")+(UPPER($AS$91:$AZ$91)="(BLANK)")+(UPPER($AS$91:$AZ$91)="EMPTY")+(UPPER($AS$91:$AZ$91)="(EMPTY)"))&gt;0,IFERROR(('Final Calculation Sheet'!$AE$19)&amp;"","")="",ISNUMBER(SEARCH($AS$91:$AZ$91,IFERROR(('Final Calculation Sheet'!$AE$19)&amp;"","")))))&gt;0),IF(COUNTIF($BI$91:$BP$91,4)=0,TRUE,SUMPRODUCT(($BI$91:$BP$91=4)*($AS$91:$AZ$91&lt;&gt;"")*IF(((UPPER($AS$91:$AZ$91)="BLANK")+(UPPER($AS$91:$AZ$91)="(BLANK)")+(UPPER($AS$91:$AZ$91)="EMPTY")+(UPPER($AS$91:$AZ$91)="(EMPTY)"))&gt;0,IFERROR(('Final Calculation Sheet'!$AE$19)&amp;"","")="",ISNUMBER(SEARCH($AS$91:$AZ$91,IFERROR(('Final Calculation Sheet'!$AE$19)&amp;"","")))))&gt;0),IF(COUNTIF($BI$91:$BP$91,5)=0,TRUE,SUMPRODUCT(($BI$91:$BP$91=5)*($AS$91:$AZ$91&lt;&gt;"")*IF(((UPPER($AS$91:$AZ$91)="BLANK")+(UPPER($AS$91:$AZ$91)="(BLANK)")+(UPPER($AS$91:$AZ$91)="EMPTY")+(UPPER($AS$91:$AZ$91)="(EMPTY)"))&gt;0,IFERROR(('Final Calculation Sheet'!$AE$19)&amp;"","")="",ISNUMBER(SEARCH($AS$91:$AZ$91,IFERROR(('Final Calculation Sheet'!$AE$19)&amp;"","")))))&gt;0),IF(COUNTIF($BI$91:$BP$91,6)=0,TRUE,SUMPRODUCT(($BI$91:$BP$91=6)*($AS$91:$AZ$91&lt;&gt;"")*IF(((UPPER($AS$91:$AZ$91)="BLANK")+(UPPER($AS$91:$AZ$91)="(BLANK)")+(UPPER($AS$91:$AZ$91)="EMPTY")+(UPPER($AS$91:$AZ$91)="(EMPTY)"))&gt;0,IFERROR(('Final Calculation Sheet'!$AE$19)&amp;"","")="",ISNUMBER(SEARCH($AS$91:$AZ$91,IFERROR(('Final Calculation Sheet'!$AE$19)&amp;"","")))))&gt;0),IF(COUNTIF($BI$91:$BP$91,7)=0,TRUE,SUMPRODUCT(($BI$91:$BP$91=7)*($AS$91:$AZ$91&lt;&gt;"")*IF(((UPPER($AS$91:$AZ$91)="BLANK")+(UPPER($AS$91:$AZ$91)="(BLANK)")+(UPPER($AS$91:$AZ$91)="EMPTY")+(UPPER($AS$91:$AZ$91)="(EMPTY)"))&gt;0,IFERROR(('Final Calculation Sheet'!$AE$19)&amp;"","")="",ISNUMBER(SEARCH($AS$91:$AZ$91,IFERROR(('Final Calculation Sheet'!$AE$19)&amp;"","")))))&gt;0),IF(COUNTIF($BI$91:$BP$91,8)=0,TRUE,SUMPRODUCT(($BI$91:$BP$91=8)*($AS$91:$AZ$91&lt;&gt;"")*IF(((UPPER($AS$91:$AZ$91)="BLANK")+(UPPER($AS$91:$AZ$91)="(BLANK)")+(UPPER($AS$91:$AZ$91)="EMPTY")+(UPPER($AS$91:$AZ$91)="(EMPTY)"))&gt;0,IFERROR(('Final Calculation Sheet'!$AE$19)&amp;"","")="",ISNUMBER(SEARCH($AS$91:$AZ$91,IFERROR(('Final Calculation Sheet'!$AE$19)&amp;"","")))))&gt;0))))</f>
        <v>1</v>
      </c>
      <c r="CS20">
        <f>IF($AG$4="",1,--(AND(SUMPRODUCT(--($AS$92:$AZ$92&lt;&gt;""))&gt;0,IF(COUNTIF($BI$92:$BP$92,1)=0,TRUE,SUMPRODUCT(($BI$92:$BP$92=1)*($AS$92:$AZ$92&lt;&gt;"")*IF(((UPPER($AS$92:$AZ$92)="BLANK")+(UPPER($AS$92:$AZ$92)="(BLANK)")+(UPPER($AS$92:$AZ$92)="EMPTY")+(UPPER($AS$92:$AZ$92)="(EMPTY)"))&gt;0,IFERROR(('Final Calculation Sheet'!$AF$19)&amp;"","")="",ISNUMBER(SEARCH($AS$92:$AZ$92,IFERROR(('Final Calculation Sheet'!$AF$19)&amp;"","")))))&gt;0),IF(COUNTIF($BI$92:$BP$92,2)=0,TRUE,SUMPRODUCT(($BI$92:$BP$92=2)*($AS$92:$AZ$92&lt;&gt;"")*IF(((UPPER($AS$92:$AZ$92)="BLANK")+(UPPER($AS$92:$AZ$92)="(BLANK)")+(UPPER($AS$92:$AZ$92)="EMPTY")+(UPPER($AS$92:$AZ$92)="(EMPTY)"))&gt;0,IFERROR(('Final Calculation Sheet'!$AF$19)&amp;"","")="",ISNUMBER(SEARCH($AS$92:$AZ$92,IFERROR(('Final Calculation Sheet'!$AF$19)&amp;"","")))))&gt;0),IF(COUNTIF($BI$92:$BP$92,3)=0,TRUE,SUMPRODUCT(($BI$92:$BP$92=3)*($AS$92:$AZ$92&lt;&gt;"")*IF(((UPPER($AS$92:$AZ$92)="BLANK")+(UPPER($AS$92:$AZ$92)="(BLANK)")+(UPPER($AS$92:$AZ$92)="EMPTY")+(UPPER($AS$92:$AZ$92)="(EMPTY)"))&gt;0,IFERROR(('Final Calculation Sheet'!$AF$19)&amp;"","")="",ISNUMBER(SEARCH($AS$92:$AZ$92,IFERROR(('Final Calculation Sheet'!$AF$19)&amp;"","")))))&gt;0),IF(COUNTIF($BI$92:$BP$92,4)=0,TRUE,SUMPRODUCT(($BI$92:$BP$92=4)*($AS$92:$AZ$92&lt;&gt;"")*IF(((UPPER($AS$92:$AZ$92)="BLANK")+(UPPER($AS$92:$AZ$92)="(BLANK)")+(UPPER($AS$92:$AZ$92)="EMPTY")+(UPPER($AS$92:$AZ$92)="(EMPTY)"))&gt;0,IFERROR(('Final Calculation Sheet'!$AF$19)&amp;"","")="",ISNUMBER(SEARCH($AS$92:$AZ$92,IFERROR(('Final Calculation Sheet'!$AF$19)&amp;"","")))))&gt;0),IF(COUNTIF($BI$92:$BP$92,5)=0,TRUE,SUMPRODUCT(($BI$92:$BP$92=5)*($AS$92:$AZ$92&lt;&gt;"")*IF(((UPPER($AS$92:$AZ$92)="BLANK")+(UPPER($AS$92:$AZ$92)="(BLANK)")+(UPPER($AS$92:$AZ$92)="EMPTY")+(UPPER($AS$92:$AZ$92)="(EMPTY)"))&gt;0,IFERROR(('Final Calculation Sheet'!$AF$19)&amp;"","")="",ISNUMBER(SEARCH($AS$92:$AZ$92,IFERROR(('Final Calculation Sheet'!$AF$19)&amp;"","")))))&gt;0),IF(COUNTIF($BI$92:$BP$92,6)=0,TRUE,SUMPRODUCT(($BI$92:$BP$92=6)*($AS$92:$AZ$92&lt;&gt;"")*IF(((UPPER($AS$92:$AZ$92)="BLANK")+(UPPER($AS$92:$AZ$92)="(BLANK)")+(UPPER($AS$92:$AZ$92)="EMPTY")+(UPPER($AS$92:$AZ$92)="(EMPTY)"))&gt;0,IFERROR(('Final Calculation Sheet'!$AF$19)&amp;"","")="",ISNUMBER(SEARCH($AS$92:$AZ$92,IFERROR(('Final Calculation Sheet'!$AF$19)&amp;"","")))))&gt;0),IF(COUNTIF($BI$92:$BP$92,7)=0,TRUE,SUMPRODUCT(($BI$92:$BP$92=7)*($AS$92:$AZ$92&lt;&gt;"")*IF(((UPPER($AS$92:$AZ$92)="BLANK")+(UPPER($AS$92:$AZ$92)="(BLANK)")+(UPPER($AS$92:$AZ$92)="EMPTY")+(UPPER($AS$92:$AZ$92)="(EMPTY)"))&gt;0,IFERROR(('Final Calculation Sheet'!$AF$19)&amp;"","")="",ISNUMBER(SEARCH($AS$92:$AZ$92,IFERROR(('Final Calculation Sheet'!$AF$19)&amp;"","")))))&gt;0),IF(COUNTIF($BI$92:$BP$92,8)=0,TRUE,SUMPRODUCT(($BI$92:$BP$92=8)*($AS$92:$AZ$92&lt;&gt;"")*IF(((UPPER($AS$92:$AZ$92)="BLANK")+(UPPER($AS$92:$AZ$92)="(BLANK)")+(UPPER($AS$92:$AZ$92)="EMPTY")+(UPPER($AS$92:$AZ$92)="(EMPTY)"))&gt;0,IFERROR(('Final Calculation Sheet'!$AF$19)&amp;"","")="",ISNUMBER(SEARCH($AS$92:$AZ$92,IFERROR(('Final Calculation Sheet'!$AF$19)&amp;"","")))))&gt;0))))</f>
        <v>1</v>
      </c>
      <c r="CT20">
        <f>IF($AH$4="",1,--(AND(SUMPRODUCT(--($AS$93:$AZ$93&lt;&gt;""))&gt;0,IF(COUNTIF($BI$93:$BP$93,1)=0,TRUE,SUMPRODUCT(($BI$93:$BP$93=1)*($AS$93:$AZ$93&lt;&gt;"")*IF(((UPPER($AS$93:$AZ$93)="BLANK")+(UPPER($AS$93:$AZ$93)="(BLANK)")+(UPPER($AS$93:$AZ$93)="EMPTY")+(UPPER($AS$93:$AZ$93)="(EMPTY)"))&gt;0,IFERROR(('Final Calculation Sheet'!$AG$19)&amp;"","")="",ISNUMBER(SEARCH($AS$93:$AZ$93,IFERROR(('Final Calculation Sheet'!$AG$19)&amp;"","")))))&gt;0),IF(COUNTIF($BI$93:$BP$93,2)=0,TRUE,SUMPRODUCT(($BI$93:$BP$93=2)*($AS$93:$AZ$93&lt;&gt;"")*IF(((UPPER($AS$93:$AZ$93)="BLANK")+(UPPER($AS$93:$AZ$93)="(BLANK)")+(UPPER($AS$93:$AZ$93)="EMPTY")+(UPPER($AS$93:$AZ$93)="(EMPTY)"))&gt;0,IFERROR(('Final Calculation Sheet'!$AG$19)&amp;"","")="",ISNUMBER(SEARCH($AS$93:$AZ$93,IFERROR(('Final Calculation Sheet'!$AG$19)&amp;"","")))))&gt;0),IF(COUNTIF($BI$93:$BP$93,3)=0,TRUE,SUMPRODUCT(($BI$93:$BP$93=3)*($AS$93:$AZ$93&lt;&gt;"")*IF(((UPPER($AS$93:$AZ$93)="BLANK")+(UPPER($AS$93:$AZ$93)="(BLANK)")+(UPPER($AS$93:$AZ$93)="EMPTY")+(UPPER($AS$93:$AZ$93)="(EMPTY)"))&gt;0,IFERROR(('Final Calculation Sheet'!$AG$19)&amp;"","")="",ISNUMBER(SEARCH($AS$93:$AZ$93,IFERROR(('Final Calculation Sheet'!$AG$19)&amp;"","")))))&gt;0),IF(COUNTIF($BI$93:$BP$93,4)=0,TRUE,SUMPRODUCT(($BI$93:$BP$93=4)*($AS$93:$AZ$93&lt;&gt;"")*IF(((UPPER($AS$93:$AZ$93)="BLANK")+(UPPER($AS$93:$AZ$93)="(BLANK)")+(UPPER($AS$93:$AZ$93)="EMPTY")+(UPPER($AS$93:$AZ$93)="(EMPTY)"))&gt;0,IFERROR(('Final Calculation Sheet'!$AG$19)&amp;"","")="",ISNUMBER(SEARCH($AS$93:$AZ$93,IFERROR(('Final Calculation Sheet'!$AG$19)&amp;"","")))))&gt;0),IF(COUNTIF($BI$93:$BP$93,5)=0,TRUE,SUMPRODUCT(($BI$93:$BP$93=5)*($AS$93:$AZ$93&lt;&gt;"")*IF(((UPPER($AS$93:$AZ$93)="BLANK")+(UPPER($AS$93:$AZ$93)="(BLANK)")+(UPPER($AS$93:$AZ$93)="EMPTY")+(UPPER($AS$93:$AZ$93)="(EMPTY)"))&gt;0,IFERROR(('Final Calculation Sheet'!$AG$19)&amp;"","")="",ISNUMBER(SEARCH($AS$93:$AZ$93,IFERROR(('Final Calculation Sheet'!$AG$19)&amp;"","")))))&gt;0),IF(COUNTIF($BI$93:$BP$93,6)=0,TRUE,SUMPRODUCT(($BI$93:$BP$93=6)*($AS$93:$AZ$93&lt;&gt;"")*IF(((UPPER($AS$93:$AZ$93)="BLANK")+(UPPER($AS$93:$AZ$93)="(BLANK)")+(UPPER($AS$93:$AZ$93)="EMPTY")+(UPPER($AS$93:$AZ$93)="(EMPTY)"))&gt;0,IFERROR(('Final Calculation Sheet'!$AG$19)&amp;"","")="",ISNUMBER(SEARCH($AS$93:$AZ$93,IFERROR(('Final Calculation Sheet'!$AG$19)&amp;"","")))))&gt;0),IF(COUNTIF($BI$93:$BP$93,7)=0,TRUE,SUMPRODUCT(($BI$93:$BP$93=7)*($AS$93:$AZ$93&lt;&gt;"")*IF(((UPPER($AS$93:$AZ$93)="BLANK")+(UPPER($AS$93:$AZ$93)="(BLANK)")+(UPPER($AS$93:$AZ$93)="EMPTY")+(UPPER($AS$93:$AZ$93)="(EMPTY)"))&gt;0,IFERROR(('Final Calculation Sheet'!$AG$19)&amp;"","")="",ISNUMBER(SEARCH($AS$93:$AZ$93,IFERROR(('Final Calculation Sheet'!$AG$19)&amp;"","")))))&gt;0),IF(COUNTIF($BI$93:$BP$93,8)=0,TRUE,SUMPRODUCT(($BI$93:$BP$93=8)*($AS$93:$AZ$93&lt;&gt;"")*IF(((UPPER($AS$93:$AZ$93)="BLANK")+(UPPER($AS$93:$AZ$93)="(BLANK)")+(UPPER($AS$93:$AZ$93)="EMPTY")+(UPPER($AS$93:$AZ$93)="(EMPTY)"))&gt;0,IFERROR(('Final Calculation Sheet'!$AG$19)&amp;"","")="",ISNUMBER(SEARCH($AS$93:$AZ$93,IFERROR(('Final Calculation Sheet'!$AG$19)&amp;"","")))))&gt;0))))</f>
        <v>1</v>
      </c>
      <c r="CU20">
        <f>IF($AI$4="",1,--(AND(SUMPRODUCT(--($AS$94:$AZ$94&lt;&gt;""))&gt;0,IF(COUNTIF($BI$94:$BP$94,1)=0,TRUE,SUMPRODUCT(($BI$94:$BP$94=1)*($AS$94:$AZ$94&lt;&gt;"")*IF(((UPPER($AS$94:$AZ$94)="BLANK")+(UPPER($AS$94:$AZ$94)="(BLANK)")+(UPPER($AS$94:$AZ$94)="EMPTY")+(UPPER($AS$94:$AZ$94)="(EMPTY)"))&gt;0,IFERROR((IF('Final Calculation Sheet'!$AD$19&lt;=0,"SETTLED","OUTSTANDING"))&amp;"","")="",ISNUMBER(SEARCH($AS$94:$AZ$94,IFERROR((IF('Final Calculation Sheet'!$AD$19&lt;=0,"SETTLED","OUTSTANDING"))&amp;"","")))))&gt;0),IF(COUNTIF($BI$94:$BP$94,2)=0,TRUE,SUMPRODUCT(($BI$94:$BP$94=2)*($AS$94:$AZ$94&lt;&gt;"")*IF(((UPPER($AS$94:$AZ$94)="BLANK")+(UPPER($AS$94:$AZ$94)="(BLANK)")+(UPPER($AS$94:$AZ$94)="EMPTY")+(UPPER($AS$94:$AZ$94)="(EMPTY)"))&gt;0,IFERROR((IF('Final Calculation Sheet'!$AD$19&lt;=0,"SETTLED","OUTSTANDING"))&amp;"","")="",ISNUMBER(SEARCH($AS$94:$AZ$94,IFERROR((IF('Final Calculation Sheet'!$AD$19&lt;=0,"SETTLED","OUTSTANDING"))&amp;"","")))))&gt;0),IF(COUNTIF($BI$94:$BP$94,3)=0,TRUE,SUMPRODUCT(($BI$94:$BP$94=3)*($AS$94:$AZ$94&lt;&gt;"")*IF(((UPPER($AS$94:$AZ$94)="BLANK")+(UPPER($AS$94:$AZ$94)="(BLANK)")+(UPPER($AS$94:$AZ$94)="EMPTY")+(UPPER($AS$94:$AZ$94)="(EMPTY)"))&gt;0,IFERROR((IF('Final Calculation Sheet'!$AD$19&lt;=0,"SETTLED","OUTSTANDING"))&amp;"","")="",ISNUMBER(SEARCH($AS$94:$AZ$94,IFERROR((IF('Final Calculation Sheet'!$AD$19&lt;=0,"SETTLED","OUTSTANDING"))&amp;"","")))))&gt;0),IF(COUNTIF($BI$94:$BP$94,4)=0,TRUE,SUMPRODUCT(($BI$94:$BP$94=4)*($AS$94:$AZ$94&lt;&gt;"")*IF(((UPPER($AS$94:$AZ$94)="BLANK")+(UPPER($AS$94:$AZ$94)="(BLANK)")+(UPPER($AS$94:$AZ$94)="EMPTY")+(UPPER($AS$94:$AZ$94)="(EMPTY)"))&gt;0,IFERROR((IF('Final Calculation Sheet'!$AD$19&lt;=0,"SETTLED","OUTSTANDING"))&amp;"","")="",ISNUMBER(SEARCH($AS$94:$AZ$94,IFERROR((IF('Final Calculation Sheet'!$AD$19&lt;=0,"SETTLED","OUTSTANDING"))&amp;"","")))))&gt;0),IF(COUNTIF($BI$94:$BP$94,5)=0,TRUE,SUMPRODUCT(($BI$94:$BP$94=5)*($AS$94:$AZ$94&lt;&gt;"")*IF(((UPPER($AS$94:$AZ$94)="BLANK")+(UPPER($AS$94:$AZ$94)="(BLANK)")+(UPPER($AS$94:$AZ$94)="EMPTY")+(UPPER($AS$94:$AZ$94)="(EMPTY)"))&gt;0,IFERROR((IF('Final Calculation Sheet'!$AD$19&lt;=0,"SETTLED","OUTSTANDING"))&amp;"","")="",ISNUMBER(SEARCH($AS$94:$AZ$94,IFERROR((IF('Final Calculation Sheet'!$AD$19&lt;=0,"SETTLED","OUTSTANDING"))&amp;"","")))))&gt;0),IF(COUNTIF($BI$94:$BP$94,6)=0,TRUE,SUMPRODUCT(($BI$94:$BP$94=6)*($AS$94:$AZ$94&lt;&gt;"")*IF(((UPPER($AS$94:$AZ$94)="BLANK")+(UPPER($AS$94:$AZ$94)="(BLANK)")+(UPPER($AS$94:$AZ$94)="EMPTY")+(UPPER($AS$94:$AZ$94)="(EMPTY)"))&gt;0,IFERROR((IF('Final Calculation Sheet'!$AD$19&lt;=0,"SETTLED","OUTSTANDING"))&amp;"","")="",ISNUMBER(SEARCH($AS$94:$AZ$94,IFERROR((IF('Final Calculation Sheet'!$AD$19&lt;=0,"SETTLED","OUTSTANDING"))&amp;"","")))))&gt;0),IF(COUNTIF($BI$94:$BP$94,7)=0,TRUE,SUMPRODUCT(($BI$94:$BP$94=7)*($AS$94:$AZ$94&lt;&gt;"")*IF(((UPPER($AS$94:$AZ$94)="BLANK")+(UPPER($AS$94:$AZ$94)="(BLANK)")+(UPPER($AS$94:$AZ$94)="EMPTY")+(UPPER($AS$94:$AZ$94)="(EMPTY)"))&gt;0,IFERROR((IF('Final Calculation Sheet'!$AD$19&lt;=0,"SETTLED","OUTSTANDING"))&amp;"","")="",ISNUMBER(SEARCH($AS$94:$AZ$94,IFERROR((IF('Final Calculation Sheet'!$AD$19&lt;=0,"SETTLED","OUTSTANDING"))&amp;"","")))))&gt;0),IF(COUNTIF($BI$94:$BP$94,8)=0,TRUE,SUMPRODUCT(($BI$94:$BP$94=8)*($AS$94:$AZ$94&lt;&gt;"")*IF(((UPPER($AS$94:$AZ$94)="BLANK")+(UPPER($AS$94:$AZ$94)="(BLANK)")+(UPPER($AS$94:$AZ$94)="EMPTY")+(UPPER($AS$94:$AZ$94)="(EMPTY)"))&gt;0,IFERROR((IF('Final Calculation Sheet'!$AD$19&lt;=0,"SETTLED","OUTSTANDING"))&amp;"","")="",ISNUMBER(SEARCH($AS$94:$AZ$94,IFERROR((IF('Final Calculation Sheet'!$AD$19&lt;=0,"SETTLED","OUTSTANDING"))&amp;"","")))))&gt;0))))</f>
        <v>1</v>
      </c>
    </row>
    <row r="21" spans="1:99" ht="15" customHeight="1" x14ac:dyDescent="0.25">
      <c r="A21" s="67">
        <f>IF($BJ20&gt;0,INDEX($BA$5:$BA$41,MATCH(20,$BB$5:$BB$41,0)),IF(OR($BI20=1,$BL20=1,$BH20&gt;0),"∑",""))</f>
        <v>4</v>
      </c>
      <c r="B21" s="68">
        <f>IF($BJ20&gt;0,IF(INDEX('Final Calculation Sheet'!$F$4:$F$40,$BJ20-3)="","",INDEX('Final Calculation Sheet'!$F$4:$F$40,$BJ20-3)),"")</f>
        <v>1923</v>
      </c>
      <c r="C21" s="68" t="str">
        <f>IF($BJ20&gt;0,IF(INDEX('Final Calculation Sheet'!$G$4:$G$40,$BJ20-3)="","",INDEX('Final Calculation Sheet'!$G$4:$G$40,$BJ20-3)),IF(OR($BI20=1,$BL20=1,$BH20&gt;0),IF($BI20=1,37,IF($BL20=1,37-INDEX($BD$4:$BD$13,10),INDEX($BD$4:$BD$13,$BH20)))&amp;" lot(s)",""))</f>
        <v>OMKAR STEELS</v>
      </c>
      <c r="D21" s="69" t="str">
        <f>IF($BJ20&gt;0,IF(INDEX('Final Calculation Sheet'!$B$4:$B$40,$BJ20-3)="","",INDEX('Final Calculation Sheet'!$B$4:$B$40,$BJ20-3)),IF(OR($BI20=1,$BL20=1,$BH20&gt;0),IF($BI20=1,"GRAND TOTAL  —  matching + remaining",IF($BL20=1,"TOTAL MATCHED  —  every group together",IF($BH20=10,"REMAINING  —  did not match the search",IF($BH20=9,IF(COUNTIF($A$4:$AI$4,"&lt;&gt;")&gt;0,"FILTERED LOTS  —  column fields","ALL LOTS  —  nothing typed in the box"),"GROUP "&amp;$BH20&amp;" TOTAL  —  lots matching  "&amp;INDEX($AR$6:$AY$6,$BH20))))),""))</f>
        <v>SCRAP ACSR CONDUCTORS (Conductor Pieces)</v>
      </c>
      <c r="E21" s="69">
        <f>IF($BJ20&gt;0,IF(INDEX('Final Calculation Sheet'!$D$4:$D$40,$BJ20-3)="","",INDEX('Final Calculation Sheet'!$D$4:$D$40,$BJ20-3)),IF(OR($BI20=1,$BL20=1,$BH20&gt;0),"–",""))</f>
        <v>21980</v>
      </c>
      <c r="F21" s="69">
        <f>IF($BJ20&gt;0,IF(INDEX('Final Calculation Sheet'!$A$4:$A$40,$BJ20-3)="","",INDEX('Final Calculation Sheet'!$A$4:$A$40,$BJ20-3)),IF(OR($BI20=1,$BL20=1,$BH20&gt;0),IF($BI20=1,SUM('Final Calculation Sheet'!$A$4:$A$40),IF($BL20=1,SUM('Final Calculation Sheet'!$A$4:$A$40)-SUMIFS('Final Calculation Sheet'!$A$4:$A$40,$AZ$5:$AZ$41,10),SUMIFS('Final Calculation Sheet'!$A$4:$A$40,$AZ$5:$AZ$41,$BH20))),""))</f>
        <v>7253</v>
      </c>
      <c r="G21" s="69" t="str">
        <f>IF($BJ20&gt;0,IF(INDEX('Final Calculation Sheet'!$E$4:$E$40,$BJ20-3)="","",INDEX('Final Calculation Sheet'!$E$4:$E$40,$BJ20-3)),IF(OR($BI20=1,$BL20=1,$BH20&gt;0),"–",""))</f>
        <v>KG</v>
      </c>
      <c r="H21" s="70">
        <f>IF($BJ20&gt;0,IF(INDEX('Final Calculation Sheet'!$C$4:$C$40,$BJ20-3)="","",INDEX('Final Calculation Sheet'!$C$4:$C$40,$BJ20-3)),IF(OR($BI20=1,$BL20=1,$BH20&gt;0),"–",""))</f>
        <v>227</v>
      </c>
      <c r="I21" s="70">
        <f>IF($BJ20&gt;0,IF(INDEX('Final Calculation Sheet'!$H$4:$H$40,$BJ20-3)="","",INDEX('Final Calculation Sheet'!$H$4:$H$40,$BJ20-3)),IF(OR($BI20=1,$BL20=1,$BH20&gt;0),IF($BI20=1,SUM('Final Calculation Sheet'!$H$4:$H$40),IF($BL20=1,SUM('Final Calculation Sheet'!$H$4:$H$40)-SUMIFS('Final Calculation Sheet'!$H$4:$H$40,$AZ$5:$AZ$41,10),SUMIFS('Final Calculation Sheet'!$H$4:$H$40,$AZ$5:$AZ$41,$BH20))),""))</f>
        <v>1646431</v>
      </c>
      <c r="J21" s="70">
        <f>IF($BJ20&gt;0,IF(INDEX('Final Calculation Sheet'!$I$4:$I$40,$BJ20-3)="","",INDEX('Final Calculation Sheet'!$I$4:$I$40,$BJ20-3)),IF(OR($BI20=1,$BL20=1,$BH20&gt;0),IF($BI20=1,SUM('Final Calculation Sheet'!$I$4:$I$40),IF($BL20=1,SUM('Final Calculation Sheet'!$I$4:$I$40)-SUMIFS('Final Calculation Sheet'!$I$4:$I$40,$AZ$5:$AZ$41,10),SUMIFS('Final Calculation Sheet'!$I$4:$I$40,$AZ$5:$AZ$41,$BH20))),""))</f>
        <v>296358</v>
      </c>
      <c r="K21" s="70">
        <f>IF($BJ20&gt;0,IF(INDEX('Final Calculation Sheet'!$J$4:$J$40,$BJ20-3)="","",INDEX('Final Calculation Sheet'!$J$4:$J$40,$BJ20-3)),IF(OR($BI20=1,$BL20=1,$BH20&gt;0),IF($BI20=1,SUM('Final Calculation Sheet'!$J$4:$J$40),IF($BL20=1,SUM('Final Calculation Sheet'!$J$4:$J$40)-SUMIFS('Final Calculation Sheet'!$J$4:$J$40,$AZ$5:$AZ$41,10),SUMIFS('Final Calculation Sheet'!$J$4:$J$40,$AZ$5:$AZ$41,$BH20))),""))</f>
        <v>1942789</v>
      </c>
      <c r="L21" s="70">
        <f>IF($BJ20&gt;0,IF(INDEX('Final Calculation Sheet'!$K$4:$K$40,$BJ20-3)="","",INDEX('Final Calculation Sheet'!$K$4:$K$40,$BJ20-3)),IF(OR($BI20=1,$BL20=1,$BH20&gt;0),IF($BI20=1,SUM('Final Calculation Sheet'!$K$4:$K$40),IF($BL20=1,SUM('Final Calculation Sheet'!$K$4:$K$40)-SUMIFS('Final Calculation Sheet'!$K$4:$K$40,$AZ$5:$AZ$41,10),SUMIFS('Final Calculation Sheet'!$K$4:$K$40,$AZ$5:$AZ$41,$BH20))),""))</f>
        <v>38856</v>
      </c>
      <c r="M21" s="70">
        <f>IF($BJ20&gt;0,IF(INDEX('Final Calculation Sheet'!$L$4:$L$40,$BJ20-3)="","",INDEX('Final Calculation Sheet'!$L$4:$L$40,$BJ20-3)),IF(OR($BI20=1,$BL20=1,$BH20&gt;0),IF($BI20=1,SUM('Final Calculation Sheet'!$L$4:$L$40),IF($BL20=1,SUM('Final Calculation Sheet'!$L$4:$L$40)-SUMIFS('Final Calculation Sheet'!$L$4:$L$40,$AZ$5:$AZ$41,10),SUMIFS('Final Calculation Sheet'!$L$4:$L$40,$AZ$5:$AZ$41,$BH20))),""))</f>
        <v>1646.431</v>
      </c>
      <c r="N21" s="70">
        <f>IF($BJ20&gt;0,IF(INDEX('Final Calculation Sheet'!$M$4:$M$40,$BJ20-3)="","",INDEX('Final Calculation Sheet'!$M$4:$M$40,$BJ20-3)),IF(OR($BI20=1,$BL20=1,$BH20&gt;0),IF($BI20=1,SUM('Final Calculation Sheet'!$M$4:$M$40),IF($BL20=1,SUM('Final Calculation Sheet'!$M$4:$M$40)-SUMIFS('Final Calculation Sheet'!$M$4:$M$40,$AZ$5:$AZ$41,10),SUMIFS('Final Calculation Sheet'!$M$4:$M$40,$AZ$5:$AZ$41,$BH20))),""))</f>
        <v>43712.743049999997</v>
      </c>
      <c r="O21" s="71">
        <f>IF($BJ20&gt;0,IF(INDEX('Final Calculation Sheet'!$N$4:$N$40,$BJ20-3)="","",INDEX('Final Calculation Sheet'!$N$4:$N$40,$BJ20-3)),IF(OR($BI20=1,$BL20=1,$BH20&gt;0),IF($BI20=1,SUM('Final Calculation Sheet'!$N$4:$N$40),IF($BL20=1,SUM('Final Calculation Sheet'!$N$4:$N$40)-SUMIFS('Final Calculation Sheet'!$N$4:$N$40,$AZ$5:$AZ$41,10),SUMIFS('Final Calculation Sheet'!$N$4:$N$40,$AZ$5:$AZ$41,$BH20))),""))</f>
        <v>740.89395000000002</v>
      </c>
      <c r="P21" s="70">
        <f>IF($BJ20&gt;0,IF(INDEX('Final Calculation Sheet'!$O$4:$O$40,$BJ20-3)="","",INDEX('Final Calculation Sheet'!$O$4:$O$40,$BJ20-3)),IF(OR($BI20=1,$BL20=1,$BH20&gt;0),IF($BI20=1,SUM('Final Calculation Sheet'!$O$4:$O$40),IF($BL20=1,SUM('Final Calculation Sheet'!$O$4:$O$40)-SUMIFS('Final Calculation Sheet'!$O$4:$O$40,$AZ$5:$AZ$41,10),SUMIFS('Final Calculation Sheet'!$O$4:$O$40,$AZ$5:$AZ$41,$BH20))),""))</f>
        <v>42971.849099999999</v>
      </c>
      <c r="Q21" s="70">
        <f>IF($BJ20&gt;0,IF(INDEX('Final Calculation Sheet'!$P$4:$P$40,$BJ20-3)="","",INDEX('Final Calculation Sheet'!$P$4:$P$40,$BJ20-3)),IF(OR($BI20=1,$BL20=1,$BH20&gt;0),IF($BI20=1,SUM('Final Calculation Sheet'!$P$4:$P$40),IF($BL20=1,SUM('Final Calculation Sheet'!$P$4:$P$40)-SUMIFS('Final Calculation Sheet'!$P$4:$P$40,$AZ$5:$AZ$41,10),SUMIFS('Final Calculation Sheet'!$P$4:$P$40,$AZ$5:$AZ$41,$BH20))),""))</f>
        <v>44618</v>
      </c>
      <c r="R21" s="72">
        <f>IF($BJ20&gt;0,IF(INDEX('Final Calculation Sheet'!$Q$4:$Q$40,$BJ20-3)="","",INDEX('Final Calculation Sheet'!$Q$4:$Q$40,$BJ20-3)),IF(OR($BI20=1,$BL20=1,$BH20&gt;0),"–",""))</f>
        <v>0.02</v>
      </c>
      <c r="S21" s="70">
        <f>IF($BJ20&gt;0,IF(INDEX('Final Calculation Sheet'!$R$4:$R$40,$BJ20-3)="","",INDEX('Final Calculation Sheet'!$R$4:$R$40,$BJ20-3)),IF(OR($BI20=1,$BL20=1,$BH20&gt;0),IF($BI20=1,SUM('Final Calculation Sheet'!$R$4:$R$40),IF($BL20=1,SUM('Final Calculation Sheet'!$R$4:$R$40)-SUMIFS('Final Calculation Sheet'!$R$4:$R$40,$AZ$5:$AZ$41,10),SUMIFS('Final Calculation Sheet'!$R$4:$R$40,$AZ$5:$AZ$41,$BH20))),""))</f>
        <v>32929</v>
      </c>
      <c r="T21" s="70">
        <f>IF($BJ20&gt;0,IF(INDEX('Final Calculation Sheet'!$S$4:$S$40,$BJ20-3)="","",INDEX('Final Calculation Sheet'!$S$4:$S$40,$BJ20-3)),IF(OR($BI20=1,$BL20=1,$BH20&gt;0),IF($BI20=1,SUM('Final Calculation Sheet'!$S$4:$S$40),IF($BL20=1,SUM('Final Calculation Sheet'!$S$4:$S$40)-SUMIFS('Final Calculation Sheet'!$S$4:$S$40,$AZ$5:$AZ$41,10),SUMIFS('Final Calculation Sheet'!$S$4:$S$40,$AZ$5:$AZ$41,$BH20))),""))</f>
        <v>1904097</v>
      </c>
      <c r="U21" s="70">
        <f>IF($BJ20&gt;0,IF(INDEX('Final Calculation Sheet'!$T$4:$T$40,$BJ20-3)="","",INDEX('Final Calculation Sheet'!$T$4:$T$40,$BJ20-3)),IF(OR($BI20=1,$BL20=1,$BH20&gt;0),IF($BI20=1,SUM('Final Calculation Sheet'!$T$4:$T$40),IF($BL20=1,SUM('Final Calculation Sheet'!$T$4:$T$40)-SUMIFS('Final Calculation Sheet'!$T$4:$T$40,$AZ$5:$AZ$41,10),SUMIFS('Final Calculation Sheet'!$T$4:$T$40,$AZ$5:$AZ$41,$BH20))),""))</f>
        <v>411608</v>
      </c>
      <c r="V21" s="73">
        <f>IF($BJ20&gt;0,IF(INDEX('Final Calculation Sheet'!$U$4:$U$40,$BJ20-3)="","",INDEX('Final Calculation Sheet'!$U$4:$U$40,$BJ20-3)),IF(OR($BI20=1,$BL20=1,$BH20&gt;0),IF($BI20=1,SUM('Final Calculation Sheet'!$U$4:$U$40),IF($BL20=1,SUM('Final Calculation Sheet'!$U$4:$U$40)-SUMIFS('Final Calculation Sheet'!$U$4:$U$40,$AZ$5:$AZ$41,10),SUMIFS('Final Calculation Sheet'!$U$4:$U$40,$AZ$5:$AZ$41,$BH20))),""))</f>
        <v>411608</v>
      </c>
      <c r="W21" s="70" t="str">
        <f>IF($BJ20&gt;0,IF(INDEX('Final Calculation Sheet'!$V$4:$V$40,$BJ20-3)="","",INDEX('Final Calculation Sheet'!$V$4:$V$40,$BJ20-3)),IF(OR($BI20=1,$BL20=1,$BH20&gt;0),"–",""))</f>
        <v>14.08.2026</v>
      </c>
      <c r="X21" s="70">
        <f>IF($BJ20&gt;0,IF(INDEX('Final Calculation Sheet'!$W$4:$W$40,$BJ20-3)="","",INDEX('Final Calculation Sheet'!$W$4:$W$40,$BJ20-3)),IF(OR($BI20=1,$BL20=1,$BH20&gt;0),IF($BI20=1,SUM('Final Calculation Sheet'!$W$4:$W$40),IF($BL20=1,SUM('Final Calculation Sheet'!$W$4:$W$40)-SUMIFS('Final Calculation Sheet'!$W$4:$W$40,$AZ$5:$AZ$41,10),SUMIFS('Final Calculation Sheet'!$W$4:$W$40,$AZ$5:$AZ$41,$BH20))),""))</f>
        <v>1492489</v>
      </c>
      <c r="Y21" s="70">
        <f>IF($BJ20&gt;0,IF(INDEX('Final Calculation Sheet'!$X$4:$X$40,$BJ20-3)="","",INDEX('Final Calculation Sheet'!$X$4:$X$40,$BJ20-3)),IF(OR($BI20=1,$BL20=1,$BH20&gt;0),IF($BI20=1,SUM('Final Calculation Sheet'!$X$4:$X$40),IF($BL20=1,SUM('Final Calculation Sheet'!$X$4:$X$40)-SUMIFS('Final Calculation Sheet'!$X$4:$X$40,$AZ$5:$AZ$41,10),SUMIFS('Final Calculation Sheet'!$X$4:$X$40,$AZ$5:$AZ$41,$BH20))),""))</f>
        <v>1492490</v>
      </c>
      <c r="Z21" s="70" t="str">
        <f>IF($BJ20&gt;0,IF(INDEX('Final Calculation Sheet'!$Y$4:$Y$40,$BJ20-3)="","",INDEX('Final Calculation Sheet'!$Y$4:$Y$40,$BJ20-3)),IF(OR($BI20=1,$BL20=1,$BH20&gt;0),"–",""))</f>
        <v>24.08.2026</v>
      </c>
      <c r="AA21" s="70">
        <f ca="1">IF($BJ20&gt;0,IF(INDEX('Final Calculation Sheet'!$Z$4:$Z$40,$BJ20-3)="","",INDEX('Final Calculation Sheet'!$Z$4:$Z$40,$BJ20-3)),IF(OR($BI20=1,$BL20=1,$BH20&gt;0),IF($BI20=1,SUM('Final Calculation Sheet'!$Z$4:$Z$40),IF($BL20=1,SUM('Final Calculation Sheet'!$Z$4:$Z$40)-SUMIFS('Final Calculation Sheet'!$Z$4:$Z$40,$AZ$5:$AZ$41,10),SUMIFS('Final Calculation Sheet'!$Z$4:$Z$40,$AZ$5:$AZ$41,$BH20))),""))</f>
        <v>0</v>
      </c>
      <c r="AB21" s="70" t="str">
        <f>IF($BJ20&gt;0,IF(INDEX('Final Calculation Sheet'!$AA$4:$AA$40,$BJ20-3)="","",INDEX('Final Calculation Sheet'!$AA$4:$AA$40,$BJ20-3)),IF(OR($BI20=1,$BL20=1,$BH20&gt;0),IF($BI20=1,SUM('Final Calculation Sheet'!$AA$4:$AA$40),IF($BL20=1,SUM('Final Calculation Sheet'!$AA$4:$AA$40)-SUMIFS('Final Calculation Sheet'!$AA$4:$AA$40,$AZ$5:$AZ$41,10),SUMIFS('Final Calculation Sheet'!$AA$4:$AA$40,$AZ$5:$AZ$41,$BH20))),""))</f>
        <v/>
      </c>
      <c r="AC21" s="70" t="str">
        <f>IF($BJ20&gt;0,IF(INDEX('Final Calculation Sheet'!$AB$4:$AB$40,$BJ20-3)="","",INDEX('Final Calculation Sheet'!$AB$4:$AB$40,$BJ20-3)),IF(OR($BI20=1,$BL20=1,$BH20&gt;0),"–",""))</f>
        <v/>
      </c>
      <c r="AD21" s="70">
        <f>IF($BJ20&gt;0,IF(INDEX('Final Calculation Sheet'!$AC$4:$AC$40,$BJ20-3)="","",INDEX('Final Calculation Sheet'!$AC$4:$AC$40,$BJ20-3)),IF(OR($BI20=1,$BL20=1,$BH20&gt;0),IF($BI20=1,SUM('Final Calculation Sheet'!$AC$4:$AC$40),IF($BL20=1,SUM('Final Calculation Sheet'!$AC$4:$AC$40)-SUMIFS('Final Calculation Sheet'!$AC$4:$AC$40,$AZ$5:$AZ$41,10),SUMIFS('Final Calculation Sheet'!$AC$4:$AC$40,$AZ$5:$AZ$41,$BH20))),""))</f>
        <v>1904098</v>
      </c>
      <c r="AE21" s="70">
        <f>IF($BJ20&gt;0,IF(INDEX('Final Calculation Sheet'!$AD$4:$AD$40,$BJ20-3)="","",INDEX('Final Calculation Sheet'!$AD$4:$AD$40,$BJ20-3)),IF(OR($BI20=1,$BL20=1,$BH20&gt;0),IF($BI20=1,SUM('Final Calculation Sheet'!$AD$4:$AD$40),IF($BL20=1,SUM('Final Calculation Sheet'!$AD$4:$AD$40)-SUMIFS('Final Calculation Sheet'!$AD$4:$AD$40,$AZ$5:$AZ$41,10),SUMIFS('Final Calculation Sheet'!$AD$4:$AD$40,$AZ$5:$AZ$41,$BH20))),""))</f>
        <v>-1</v>
      </c>
      <c r="AF21" s="70" t="str">
        <f>IF($BJ20&gt;0,IF(INDEX('Final Calculation Sheet'!$AE$4:$AE$40,$BJ20-3)="","",INDEX('Final Calculation Sheet'!$AE$4:$AE$40,$BJ20-3)),IF(OR($BI20=1,$BL20=1,$BH20&gt;0),"–",""))</f>
        <v>DR2640100045</v>
      </c>
      <c r="AG21" s="74">
        <f>IF($BJ20&gt;0,IF(INDEX('Final Calculation Sheet'!$AF$4:$AF$40,$BJ20-3)="","",INDEX('Final Calculation Sheet'!$AF$4:$AF$40,$BJ20-3)),IF(OR($BI20=1,$BL20=1,$BH20&gt;0),"–",""))</f>
        <v>1800003315</v>
      </c>
      <c r="AH21" s="70" t="str">
        <f>IF($BJ20&gt;0,IF(INDEX('Final Calculation Sheet'!$AG$4:$AG$40,$BJ20-3)="","",INDEX('Final Calculation Sheet'!$AG$4:$AG$40,$BJ20-3)),IF(OR($BI20=1,$BL20=1,$BH20&gt;0),"–",""))</f>
        <v>27.08.2026</v>
      </c>
      <c r="AI21" s="75" t="str">
        <f>IF($BJ20&gt;0,IF(INDEX('Final Calculation Sheet'!$AD$4:$AD$40,$BJ20-3)="","",IF(INDEX('Final Calculation Sheet'!$AD$4:$AD$40,$BJ20-3)&lt;=0,"SETTLED","OUTSTANDING")),IF(OR($BI20=1,$BL20=1,$BH20&gt;0),IF(IF($BI20=1,SUM('Final Calculation Sheet'!$AD$4:$AD$40),IF($BL20=1,SUM('Final Calculation Sheet'!$AD$4:$AD$40)-SUMIFS('Final Calculation Sheet'!$AD$4:$AD$40,$AZ$5:$AZ$41,10),SUMIFS('Final Calculation Sheet'!$AD$4:$AD$40,$AZ$5:$AZ$41,$BH20)))&lt;=0,"ALL SETTLED","OUTSTANDING"),""))</f>
        <v>SETTLED</v>
      </c>
      <c r="AK21" t="str">
        <f>IF($F$3="Lot No.",'Final Calculation Sheet'!$F$20,IF($F$3="Buyer",'Final Calculation Sheet'!$G$20,IF($F$3="Lot Name",'Final Calculation Sheet'!$B$20,IF($F$3="Bid Sheet",'Final Calculation Sheet'!$D$20,IF($F$3="Unit",'Final Calculation Sheet'!$E$20,'Final Calculation Sheet'!$F$20&amp;" "&amp;'Final Calculation Sheet'!$G$20&amp;" "&amp;'Final Calculation Sheet'!$B$20)))))</f>
        <v>2020 OMKAR STEELS SCRAP 80MM² AAAC EARTHWIRE</v>
      </c>
      <c r="AM21">
        <f t="shared" si="1"/>
        <v>0</v>
      </c>
      <c r="AZ21">
        <f t="shared" si="2"/>
        <v>10</v>
      </c>
      <c r="BA21">
        <f t="shared" si="3"/>
        <v>13</v>
      </c>
      <c r="BB21">
        <f t="shared" si="4"/>
        <v>29</v>
      </c>
      <c r="BC21">
        <v>20</v>
      </c>
      <c r="BH21">
        <f>IFERROR(MATCH(21,$BF$4:$BF$13,0),0)</f>
        <v>0</v>
      </c>
      <c r="BI21">
        <f>IF(21=$BG$5,1,0)</f>
        <v>0</v>
      </c>
      <c r="BJ21">
        <f>IF(OR($BH21&gt;0,$BI21=1,$BL21=1),0,IFERROR(INDEX($BC$5:$BC$41,MATCH(21,$BB$5:$BB$41,0)),0))</f>
        <v>9</v>
      </c>
      <c r="BK21">
        <f>IF($BJ21&gt;0,IF(INDEX($AZ$5:$AZ$41,MATCH(21,$BB$5:$BB$41,0))=10,1,0),IF($BH21=10,1,0))</f>
        <v>1</v>
      </c>
      <c r="BL21">
        <f>IF(21=$BG$4,1,0)</f>
        <v>0</v>
      </c>
      <c r="BM21">
        <f>IF($A$4="",1,--(AND(SUMPRODUCT(--($AS$60:$AZ$60&lt;&gt;""))&gt;0,IF(COUNTIF($BI$60:$BP$60,1)=0,TRUE,SUMPRODUCT(($BI$60:$BP$60=1)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$60,2)=0,TRUE,SUMPRODUCT(($BI$60:$BP$60=2)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$60,3)=0,TRUE,SUMPRODUCT(($BI$60:$BP$60=3)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$60,4)=0,TRUE,SUMPRODUCT(($BI$60:$BP$60=4)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$60,5)=0,TRUE,SUMPRODUCT(($BI$60:$BP$60=5)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$60,6)=0,TRUE,SUMPRODUCT(($BI$60:$BP$60=6)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$60,7)=0,TRUE,SUMPRODUCT(($BI$60:$BP$60=7)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$60,8)=0,TRUE,SUMPRODUCT(($BI$60:$BP$60=8)*($AS$60:$AZ$60&lt;&gt;"")*IF(((UPPER($AS$60:$AZ$60)="BLANK")+(UPPER($AS$60:$AZ$60)="(BLANK)")+(UPPER($AS$60:$AZ$60)="EMPTY")+(UPPER($AS$60:$AZ$60)="(EMPTY)"))&gt;0,IFERROR((ROW()-4)&amp;"","")="",ISNUMBER(SEARCH($AS$60:$AZ$60,IFERROR((ROW()-4)&amp;"","")))))&gt;0))))</f>
        <v>1</v>
      </c>
      <c r="BN21">
        <f>IF($B$4="",1,--(AND(SUMPRODUCT(--($AS$61:$AZ$61&lt;&gt;""))&gt;0,IF(COUNTIF($BI$61:$BP$61,1)=0,TRUE,SUMPRODUCT(($BI$61:$BP$61=1)*($AS$61:$AZ$61&lt;&gt;"")*IF(((UPPER($AS$61:$AZ$61)="BLANK")+(UPPER($AS$61:$AZ$61)="(BLANK)")+(UPPER($AS$61:$AZ$61)="EMPTY")+(UPPER($AS$61:$AZ$61)="(EMPTY)"))&gt;0,IFERROR(('Final Calculation Sheet'!$F$20)&amp;"","")="",ISNUMBER(SEARCH($AS$61:$AZ$61,IFERROR(('Final Calculation Sheet'!$F$20)&amp;"","")))))&gt;0),IF(COUNTIF($BI$61:$BP$61,2)=0,TRUE,SUMPRODUCT(($BI$61:$BP$61=2)*($AS$61:$AZ$61&lt;&gt;"")*IF(((UPPER($AS$61:$AZ$61)="BLANK")+(UPPER($AS$61:$AZ$61)="(BLANK)")+(UPPER($AS$61:$AZ$61)="EMPTY")+(UPPER($AS$61:$AZ$61)="(EMPTY)"))&gt;0,IFERROR(('Final Calculation Sheet'!$F$20)&amp;"","")="",ISNUMBER(SEARCH($AS$61:$AZ$61,IFERROR(('Final Calculation Sheet'!$F$20)&amp;"","")))))&gt;0),IF(COUNTIF($BI$61:$BP$61,3)=0,TRUE,SUMPRODUCT(($BI$61:$BP$61=3)*($AS$61:$AZ$61&lt;&gt;"")*IF(((UPPER($AS$61:$AZ$61)="BLANK")+(UPPER($AS$61:$AZ$61)="(BLANK)")+(UPPER($AS$61:$AZ$61)="EMPTY")+(UPPER($AS$61:$AZ$61)="(EMPTY)"))&gt;0,IFERROR(('Final Calculation Sheet'!$F$20)&amp;"","")="",ISNUMBER(SEARCH($AS$61:$AZ$61,IFERROR(('Final Calculation Sheet'!$F$20)&amp;"","")))))&gt;0),IF(COUNTIF($BI$61:$BP$61,4)=0,TRUE,SUMPRODUCT(($BI$61:$BP$61=4)*($AS$61:$AZ$61&lt;&gt;"")*IF(((UPPER($AS$61:$AZ$61)="BLANK")+(UPPER($AS$61:$AZ$61)="(BLANK)")+(UPPER($AS$61:$AZ$61)="EMPTY")+(UPPER($AS$61:$AZ$61)="(EMPTY)"))&gt;0,IFERROR(('Final Calculation Sheet'!$F$20)&amp;"","")="",ISNUMBER(SEARCH($AS$61:$AZ$61,IFERROR(('Final Calculation Sheet'!$F$20)&amp;"","")))))&gt;0),IF(COUNTIF($BI$61:$BP$61,5)=0,TRUE,SUMPRODUCT(($BI$61:$BP$61=5)*($AS$61:$AZ$61&lt;&gt;"")*IF(((UPPER($AS$61:$AZ$61)="BLANK")+(UPPER($AS$61:$AZ$61)="(BLANK)")+(UPPER($AS$61:$AZ$61)="EMPTY")+(UPPER($AS$61:$AZ$61)="(EMPTY)"))&gt;0,IFERROR(('Final Calculation Sheet'!$F$20)&amp;"","")="",ISNUMBER(SEARCH($AS$61:$AZ$61,IFERROR(('Final Calculation Sheet'!$F$20)&amp;"","")))))&gt;0),IF(COUNTIF($BI$61:$BP$61,6)=0,TRUE,SUMPRODUCT(($BI$61:$BP$61=6)*($AS$61:$AZ$61&lt;&gt;"")*IF(((UPPER($AS$61:$AZ$61)="BLANK")+(UPPER($AS$61:$AZ$61)="(BLANK)")+(UPPER($AS$61:$AZ$61)="EMPTY")+(UPPER($AS$61:$AZ$61)="(EMPTY)"))&gt;0,IFERROR(('Final Calculation Sheet'!$F$20)&amp;"","")="",ISNUMBER(SEARCH($AS$61:$AZ$61,IFERROR(('Final Calculation Sheet'!$F$20)&amp;"","")))))&gt;0),IF(COUNTIF($BI$61:$BP$61,7)=0,TRUE,SUMPRODUCT(($BI$61:$BP$61=7)*($AS$61:$AZ$61&lt;&gt;"")*IF(((UPPER($AS$61:$AZ$61)="BLANK")+(UPPER($AS$61:$AZ$61)="(BLANK)")+(UPPER($AS$61:$AZ$61)="EMPTY")+(UPPER($AS$61:$AZ$61)="(EMPTY)"))&gt;0,IFERROR(('Final Calculation Sheet'!$F$20)&amp;"","")="",ISNUMBER(SEARCH($AS$61:$AZ$61,IFERROR(('Final Calculation Sheet'!$F$20)&amp;"","")))))&gt;0),IF(COUNTIF($BI$61:$BP$61,8)=0,TRUE,SUMPRODUCT(($BI$61:$BP$61=8)*($AS$61:$AZ$61&lt;&gt;"")*IF(((UPPER($AS$61:$AZ$61)="BLANK")+(UPPER($AS$61:$AZ$61)="(BLANK)")+(UPPER($AS$61:$AZ$61)="EMPTY")+(UPPER($AS$61:$AZ$61)="(EMPTY)"))&gt;0,IFERROR(('Final Calculation Sheet'!$F$20)&amp;"","")="",ISNUMBER(SEARCH($AS$61:$AZ$61,IFERROR(('Final Calculation Sheet'!$F$20)&amp;"","")))))&gt;0))))</f>
        <v>1</v>
      </c>
      <c r="BO21">
        <f>IF($C$4="",1,--(AND(SUMPRODUCT(--($AS$62:$AZ$62&lt;&gt;""))&gt;0,IF(COUNTIF($BI$62:$BP$62,1)=0,TRUE,SUMPRODUCT(($BI$62:$BP$62=1)*($AS$62:$AZ$62&lt;&gt;"")*IF(((UPPER($AS$62:$AZ$62)="BLANK")+(UPPER($AS$62:$AZ$62)="(BLANK)")+(UPPER($AS$62:$AZ$62)="EMPTY")+(UPPER($AS$62:$AZ$62)="(EMPTY)"))&gt;0,IFERROR(('Final Calculation Sheet'!$G$20)&amp;"","")="",ISNUMBER(SEARCH($AS$62:$AZ$62,IFERROR(('Final Calculation Sheet'!$G$20)&amp;"","")))))&gt;0),IF(COUNTIF($BI$62:$BP$62,2)=0,TRUE,SUMPRODUCT(($BI$62:$BP$62=2)*($AS$62:$AZ$62&lt;&gt;"")*IF(((UPPER($AS$62:$AZ$62)="BLANK")+(UPPER($AS$62:$AZ$62)="(BLANK)")+(UPPER($AS$62:$AZ$62)="EMPTY")+(UPPER($AS$62:$AZ$62)="(EMPTY)"))&gt;0,IFERROR(('Final Calculation Sheet'!$G$20)&amp;"","")="",ISNUMBER(SEARCH($AS$62:$AZ$62,IFERROR(('Final Calculation Sheet'!$G$20)&amp;"","")))))&gt;0),IF(COUNTIF($BI$62:$BP$62,3)=0,TRUE,SUMPRODUCT(($BI$62:$BP$62=3)*($AS$62:$AZ$62&lt;&gt;"")*IF(((UPPER($AS$62:$AZ$62)="BLANK")+(UPPER($AS$62:$AZ$62)="(BLANK)")+(UPPER($AS$62:$AZ$62)="EMPTY")+(UPPER($AS$62:$AZ$62)="(EMPTY)"))&gt;0,IFERROR(('Final Calculation Sheet'!$G$20)&amp;"","")="",ISNUMBER(SEARCH($AS$62:$AZ$62,IFERROR(('Final Calculation Sheet'!$G$20)&amp;"","")))))&gt;0),IF(COUNTIF($BI$62:$BP$62,4)=0,TRUE,SUMPRODUCT(($BI$62:$BP$62=4)*($AS$62:$AZ$62&lt;&gt;"")*IF(((UPPER($AS$62:$AZ$62)="BLANK")+(UPPER($AS$62:$AZ$62)="(BLANK)")+(UPPER($AS$62:$AZ$62)="EMPTY")+(UPPER($AS$62:$AZ$62)="(EMPTY)"))&gt;0,IFERROR(('Final Calculation Sheet'!$G$20)&amp;"","")="",ISNUMBER(SEARCH($AS$62:$AZ$62,IFERROR(('Final Calculation Sheet'!$G$20)&amp;"","")))))&gt;0),IF(COUNTIF($BI$62:$BP$62,5)=0,TRUE,SUMPRODUCT(($BI$62:$BP$62=5)*($AS$62:$AZ$62&lt;&gt;"")*IF(((UPPER($AS$62:$AZ$62)="BLANK")+(UPPER($AS$62:$AZ$62)="(BLANK)")+(UPPER($AS$62:$AZ$62)="EMPTY")+(UPPER($AS$62:$AZ$62)="(EMPTY)"))&gt;0,IFERROR(('Final Calculation Sheet'!$G$20)&amp;"","")="",ISNUMBER(SEARCH($AS$62:$AZ$62,IFERROR(('Final Calculation Sheet'!$G$20)&amp;"","")))))&gt;0),IF(COUNTIF($BI$62:$BP$62,6)=0,TRUE,SUMPRODUCT(($BI$62:$BP$62=6)*($AS$62:$AZ$62&lt;&gt;"")*IF(((UPPER($AS$62:$AZ$62)="BLANK")+(UPPER($AS$62:$AZ$62)="(BLANK)")+(UPPER($AS$62:$AZ$62)="EMPTY")+(UPPER($AS$62:$AZ$62)="(EMPTY)"))&gt;0,IFERROR(('Final Calculation Sheet'!$G$20)&amp;"","")="",ISNUMBER(SEARCH($AS$62:$AZ$62,IFERROR(('Final Calculation Sheet'!$G$20)&amp;"","")))))&gt;0),IF(COUNTIF($BI$62:$BP$62,7)=0,TRUE,SUMPRODUCT(($BI$62:$BP$62=7)*($AS$62:$AZ$62&lt;&gt;"")*IF(((UPPER($AS$62:$AZ$62)="BLANK")+(UPPER($AS$62:$AZ$62)="(BLANK)")+(UPPER($AS$62:$AZ$62)="EMPTY")+(UPPER($AS$62:$AZ$62)="(EMPTY)"))&gt;0,IFERROR(('Final Calculation Sheet'!$G$20)&amp;"","")="",ISNUMBER(SEARCH($AS$62:$AZ$62,IFERROR(('Final Calculation Sheet'!$G$20)&amp;"","")))))&gt;0),IF(COUNTIF($BI$62:$BP$62,8)=0,TRUE,SUMPRODUCT(($BI$62:$BP$62=8)*($AS$62:$AZ$62&lt;&gt;"")*IF(((UPPER($AS$62:$AZ$62)="BLANK")+(UPPER($AS$62:$AZ$62)="(BLANK)")+(UPPER($AS$62:$AZ$62)="EMPTY")+(UPPER($AS$62:$AZ$62)="(EMPTY)"))&gt;0,IFERROR(('Final Calculation Sheet'!$G$20)&amp;"","")="",ISNUMBER(SEARCH($AS$62:$AZ$62,IFERROR(('Final Calculation Sheet'!$G$20)&amp;"","")))))&gt;0))))</f>
        <v>1</v>
      </c>
      <c r="BP21">
        <f>IF($D$4="",1,--(AND(SUMPRODUCT(--($AS$63:$AZ$63&lt;&gt;""))&gt;0,IF(COUNTIF($BI$63:$BP$63,1)=0,TRUE,SUMPRODUCT(($BI$63:$BP$63=1)*($AS$63:$AZ$63&lt;&gt;"")*IF(((UPPER($AS$63:$AZ$63)="BLANK")+(UPPER($AS$63:$AZ$63)="(BLANK)")+(UPPER($AS$63:$AZ$63)="EMPTY")+(UPPER($AS$63:$AZ$63)="(EMPTY)"))&gt;0,IFERROR(('Final Calculation Sheet'!$B$20)&amp;"","")="",ISNUMBER(SEARCH($AS$63:$AZ$63,IFERROR(('Final Calculation Sheet'!$B$20)&amp;"","")))))&gt;0),IF(COUNTIF($BI$63:$BP$63,2)=0,TRUE,SUMPRODUCT(($BI$63:$BP$63=2)*($AS$63:$AZ$63&lt;&gt;"")*IF(((UPPER($AS$63:$AZ$63)="BLANK")+(UPPER($AS$63:$AZ$63)="(BLANK)")+(UPPER($AS$63:$AZ$63)="EMPTY")+(UPPER($AS$63:$AZ$63)="(EMPTY)"))&gt;0,IFERROR(('Final Calculation Sheet'!$B$20)&amp;"","")="",ISNUMBER(SEARCH($AS$63:$AZ$63,IFERROR(('Final Calculation Sheet'!$B$20)&amp;"","")))))&gt;0),IF(COUNTIF($BI$63:$BP$63,3)=0,TRUE,SUMPRODUCT(($BI$63:$BP$63=3)*($AS$63:$AZ$63&lt;&gt;"")*IF(((UPPER($AS$63:$AZ$63)="BLANK")+(UPPER($AS$63:$AZ$63)="(BLANK)")+(UPPER($AS$63:$AZ$63)="EMPTY")+(UPPER($AS$63:$AZ$63)="(EMPTY)"))&gt;0,IFERROR(('Final Calculation Sheet'!$B$20)&amp;"","")="",ISNUMBER(SEARCH($AS$63:$AZ$63,IFERROR(('Final Calculation Sheet'!$B$20)&amp;"","")))))&gt;0),IF(COUNTIF($BI$63:$BP$63,4)=0,TRUE,SUMPRODUCT(($BI$63:$BP$63=4)*($AS$63:$AZ$63&lt;&gt;"")*IF(((UPPER($AS$63:$AZ$63)="BLANK")+(UPPER($AS$63:$AZ$63)="(BLANK)")+(UPPER($AS$63:$AZ$63)="EMPTY")+(UPPER($AS$63:$AZ$63)="(EMPTY)"))&gt;0,IFERROR(('Final Calculation Sheet'!$B$20)&amp;"","")="",ISNUMBER(SEARCH($AS$63:$AZ$63,IFERROR(('Final Calculation Sheet'!$B$20)&amp;"","")))))&gt;0),IF(COUNTIF($BI$63:$BP$63,5)=0,TRUE,SUMPRODUCT(($BI$63:$BP$63=5)*($AS$63:$AZ$63&lt;&gt;"")*IF(((UPPER($AS$63:$AZ$63)="BLANK")+(UPPER($AS$63:$AZ$63)="(BLANK)")+(UPPER($AS$63:$AZ$63)="EMPTY")+(UPPER($AS$63:$AZ$63)="(EMPTY)"))&gt;0,IFERROR(('Final Calculation Sheet'!$B$20)&amp;"","")="",ISNUMBER(SEARCH($AS$63:$AZ$63,IFERROR(('Final Calculation Sheet'!$B$20)&amp;"","")))))&gt;0),IF(COUNTIF($BI$63:$BP$63,6)=0,TRUE,SUMPRODUCT(($BI$63:$BP$63=6)*($AS$63:$AZ$63&lt;&gt;"")*IF(((UPPER($AS$63:$AZ$63)="BLANK")+(UPPER($AS$63:$AZ$63)="(BLANK)")+(UPPER($AS$63:$AZ$63)="EMPTY")+(UPPER($AS$63:$AZ$63)="(EMPTY)"))&gt;0,IFERROR(('Final Calculation Sheet'!$B$20)&amp;"","")="",ISNUMBER(SEARCH($AS$63:$AZ$63,IFERROR(('Final Calculation Sheet'!$B$20)&amp;"","")))))&gt;0),IF(COUNTIF($BI$63:$BP$63,7)=0,TRUE,SUMPRODUCT(($BI$63:$BP$63=7)*($AS$63:$AZ$63&lt;&gt;"")*IF(((UPPER($AS$63:$AZ$63)="BLANK")+(UPPER($AS$63:$AZ$63)="(BLANK)")+(UPPER($AS$63:$AZ$63)="EMPTY")+(UPPER($AS$63:$AZ$63)="(EMPTY)"))&gt;0,IFERROR(('Final Calculation Sheet'!$B$20)&amp;"","")="",ISNUMBER(SEARCH($AS$63:$AZ$63,IFERROR(('Final Calculation Sheet'!$B$20)&amp;"","")))))&gt;0),IF(COUNTIF($BI$63:$BP$63,8)=0,TRUE,SUMPRODUCT(($BI$63:$BP$63=8)*($AS$63:$AZ$63&lt;&gt;"")*IF(((UPPER($AS$63:$AZ$63)="BLANK")+(UPPER($AS$63:$AZ$63)="(BLANK)")+(UPPER($AS$63:$AZ$63)="EMPTY")+(UPPER($AS$63:$AZ$63)="(EMPTY)"))&gt;0,IFERROR(('Final Calculation Sheet'!$B$20)&amp;"","")="",ISNUMBER(SEARCH($AS$63:$AZ$63,IFERROR(('Final Calculation Sheet'!$B$20)&amp;"","")))))&gt;0))))</f>
        <v>1</v>
      </c>
      <c r="BQ21">
        <f>IF($E$4="",1,--(AND(SUMPRODUCT(--($AS$64:$AZ$64&lt;&gt;""))&gt;0,IF(COUNTIF($BI$64:$BP$64,1)=0,TRUE,SUMPRODUCT(($BI$64:$BP$64=1)*($AS$64:$AZ$64&lt;&gt;"")*IF(((UPPER($AS$64:$AZ$64)="BLANK")+(UPPER($AS$64:$AZ$64)="(BLANK)")+(UPPER($AS$64:$AZ$64)="EMPTY")+(UPPER($AS$64:$AZ$64)="(EMPTY)"))&gt;0,IFERROR(('Final Calculation Sheet'!$D$20)&amp;"","")="",ISNUMBER(SEARCH($AS$64:$AZ$64,IFERROR(('Final Calculation Sheet'!$D$20)&amp;"","")))))&gt;0),IF(COUNTIF($BI$64:$BP$64,2)=0,TRUE,SUMPRODUCT(($BI$64:$BP$64=2)*($AS$64:$AZ$64&lt;&gt;"")*IF(((UPPER($AS$64:$AZ$64)="BLANK")+(UPPER($AS$64:$AZ$64)="(BLANK)")+(UPPER($AS$64:$AZ$64)="EMPTY")+(UPPER($AS$64:$AZ$64)="(EMPTY)"))&gt;0,IFERROR(('Final Calculation Sheet'!$D$20)&amp;"","")="",ISNUMBER(SEARCH($AS$64:$AZ$64,IFERROR(('Final Calculation Sheet'!$D$20)&amp;"","")))))&gt;0),IF(COUNTIF($BI$64:$BP$64,3)=0,TRUE,SUMPRODUCT(($BI$64:$BP$64=3)*($AS$64:$AZ$64&lt;&gt;"")*IF(((UPPER($AS$64:$AZ$64)="BLANK")+(UPPER($AS$64:$AZ$64)="(BLANK)")+(UPPER($AS$64:$AZ$64)="EMPTY")+(UPPER($AS$64:$AZ$64)="(EMPTY)"))&gt;0,IFERROR(('Final Calculation Sheet'!$D$20)&amp;"","")="",ISNUMBER(SEARCH($AS$64:$AZ$64,IFERROR(('Final Calculation Sheet'!$D$20)&amp;"","")))))&gt;0),IF(COUNTIF($BI$64:$BP$64,4)=0,TRUE,SUMPRODUCT(($BI$64:$BP$64=4)*($AS$64:$AZ$64&lt;&gt;"")*IF(((UPPER($AS$64:$AZ$64)="BLANK")+(UPPER($AS$64:$AZ$64)="(BLANK)")+(UPPER($AS$64:$AZ$64)="EMPTY")+(UPPER($AS$64:$AZ$64)="(EMPTY)"))&gt;0,IFERROR(('Final Calculation Sheet'!$D$20)&amp;"","")="",ISNUMBER(SEARCH($AS$64:$AZ$64,IFERROR(('Final Calculation Sheet'!$D$20)&amp;"","")))))&gt;0),IF(COUNTIF($BI$64:$BP$64,5)=0,TRUE,SUMPRODUCT(($BI$64:$BP$64=5)*($AS$64:$AZ$64&lt;&gt;"")*IF(((UPPER($AS$64:$AZ$64)="BLANK")+(UPPER($AS$64:$AZ$64)="(BLANK)")+(UPPER($AS$64:$AZ$64)="EMPTY")+(UPPER($AS$64:$AZ$64)="(EMPTY)"))&gt;0,IFERROR(('Final Calculation Sheet'!$D$20)&amp;"","")="",ISNUMBER(SEARCH($AS$64:$AZ$64,IFERROR(('Final Calculation Sheet'!$D$20)&amp;"","")))))&gt;0),IF(COUNTIF($BI$64:$BP$64,6)=0,TRUE,SUMPRODUCT(($BI$64:$BP$64=6)*($AS$64:$AZ$64&lt;&gt;"")*IF(((UPPER($AS$64:$AZ$64)="BLANK")+(UPPER($AS$64:$AZ$64)="(BLANK)")+(UPPER($AS$64:$AZ$64)="EMPTY")+(UPPER($AS$64:$AZ$64)="(EMPTY)"))&gt;0,IFERROR(('Final Calculation Sheet'!$D$20)&amp;"","")="",ISNUMBER(SEARCH($AS$64:$AZ$64,IFERROR(('Final Calculation Sheet'!$D$20)&amp;"","")))))&gt;0),IF(COUNTIF($BI$64:$BP$64,7)=0,TRUE,SUMPRODUCT(($BI$64:$BP$64=7)*($AS$64:$AZ$64&lt;&gt;"")*IF(((UPPER($AS$64:$AZ$64)="BLANK")+(UPPER($AS$64:$AZ$64)="(BLANK)")+(UPPER($AS$64:$AZ$64)="EMPTY")+(UPPER($AS$64:$AZ$64)="(EMPTY)"))&gt;0,IFERROR(('Final Calculation Sheet'!$D$20)&amp;"","")="",ISNUMBER(SEARCH($AS$64:$AZ$64,IFERROR(('Final Calculation Sheet'!$D$20)&amp;"","")))))&gt;0),IF(COUNTIF($BI$64:$BP$64,8)=0,TRUE,SUMPRODUCT(($BI$64:$BP$64=8)*($AS$64:$AZ$64&lt;&gt;"")*IF(((UPPER($AS$64:$AZ$64)="BLANK")+(UPPER($AS$64:$AZ$64)="(BLANK)")+(UPPER($AS$64:$AZ$64)="EMPTY")+(UPPER($AS$64:$AZ$64)="(EMPTY)"))&gt;0,IFERROR(('Final Calculation Sheet'!$D$20)&amp;"","")="",ISNUMBER(SEARCH($AS$64:$AZ$64,IFERROR(('Final Calculation Sheet'!$D$20)&amp;"","")))))&gt;0))))</f>
        <v>1</v>
      </c>
      <c r="BR21">
        <f>IF($F$4="",1,--(AND(SUMPRODUCT(--($AS$65:$AZ$65&lt;&gt;""))&gt;0,IF(COUNTIF($BI$65:$BP$65,1)=0,TRUE,SUMPRODUCT(($BI$65:$BP$65=1)*($AS$65:$AZ$65&lt;&gt;"")*IF(((UPPER($AS$65:$AZ$65)="BLANK")+(UPPER($AS$65:$AZ$65)="(BLANK)")+(UPPER($AS$65:$AZ$65)="EMPTY")+(UPPER($AS$65:$AZ$65)="(EMPTY)"))&gt;0,IFERROR(('Final Calculation Sheet'!$A$20)&amp;"","")="",ISNUMBER(SEARCH($AS$65:$AZ$65,IFERROR(('Final Calculation Sheet'!$A$20)&amp;"","")))))&gt;0),IF(COUNTIF($BI$65:$BP$65,2)=0,TRUE,SUMPRODUCT(($BI$65:$BP$65=2)*($AS$65:$AZ$65&lt;&gt;"")*IF(((UPPER($AS$65:$AZ$65)="BLANK")+(UPPER($AS$65:$AZ$65)="(BLANK)")+(UPPER($AS$65:$AZ$65)="EMPTY")+(UPPER($AS$65:$AZ$65)="(EMPTY)"))&gt;0,IFERROR(('Final Calculation Sheet'!$A$20)&amp;"","")="",ISNUMBER(SEARCH($AS$65:$AZ$65,IFERROR(('Final Calculation Sheet'!$A$20)&amp;"","")))))&gt;0),IF(COUNTIF($BI$65:$BP$65,3)=0,TRUE,SUMPRODUCT(($BI$65:$BP$65=3)*($AS$65:$AZ$65&lt;&gt;"")*IF(((UPPER($AS$65:$AZ$65)="BLANK")+(UPPER($AS$65:$AZ$65)="(BLANK)")+(UPPER($AS$65:$AZ$65)="EMPTY")+(UPPER($AS$65:$AZ$65)="(EMPTY)"))&gt;0,IFERROR(('Final Calculation Sheet'!$A$20)&amp;"","")="",ISNUMBER(SEARCH($AS$65:$AZ$65,IFERROR(('Final Calculation Sheet'!$A$20)&amp;"","")))))&gt;0),IF(COUNTIF($BI$65:$BP$65,4)=0,TRUE,SUMPRODUCT(($BI$65:$BP$65=4)*($AS$65:$AZ$65&lt;&gt;"")*IF(((UPPER($AS$65:$AZ$65)="BLANK")+(UPPER($AS$65:$AZ$65)="(BLANK)")+(UPPER($AS$65:$AZ$65)="EMPTY")+(UPPER($AS$65:$AZ$65)="(EMPTY)"))&gt;0,IFERROR(('Final Calculation Sheet'!$A$20)&amp;"","")="",ISNUMBER(SEARCH($AS$65:$AZ$65,IFERROR(('Final Calculation Sheet'!$A$20)&amp;"","")))))&gt;0),IF(COUNTIF($BI$65:$BP$65,5)=0,TRUE,SUMPRODUCT(($BI$65:$BP$65=5)*($AS$65:$AZ$65&lt;&gt;"")*IF(((UPPER($AS$65:$AZ$65)="BLANK")+(UPPER($AS$65:$AZ$65)="(BLANK)")+(UPPER($AS$65:$AZ$65)="EMPTY")+(UPPER($AS$65:$AZ$65)="(EMPTY)"))&gt;0,IFERROR(('Final Calculation Sheet'!$A$20)&amp;"","")="",ISNUMBER(SEARCH($AS$65:$AZ$65,IFERROR(('Final Calculation Sheet'!$A$20)&amp;"","")))))&gt;0),IF(COUNTIF($BI$65:$BP$65,6)=0,TRUE,SUMPRODUCT(($BI$65:$BP$65=6)*($AS$65:$AZ$65&lt;&gt;"")*IF(((UPPER($AS$65:$AZ$65)="BLANK")+(UPPER($AS$65:$AZ$65)="(BLANK)")+(UPPER($AS$65:$AZ$65)="EMPTY")+(UPPER($AS$65:$AZ$65)="(EMPTY)"))&gt;0,IFERROR(('Final Calculation Sheet'!$A$20)&amp;"","")="",ISNUMBER(SEARCH($AS$65:$AZ$65,IFERROR(('Final Calculation Sheet'!$A$20)&amp;"","")))))&gt;0),IF(COUNTIF($BI$65:$BP$65,7)=0,TRUE,SUMPRODUCT(($BI$65:$BP$65=7)*($AS$65:$AZ$65&lt;&gt;"")*IF(((UPPER($AS$65:$AZ$65)="BLANK")+(UPPER($AS$65:$AZ$65)="(BLANK)")+(UPPER($AS$65:$AZ$65)="EMPTY")+(UPPER($AS$65:$AZ$65)="(EMPTY)"))&gt;0,IFERROR(('Final Calculation Sheet'!$A$20)&amp;"","")="",ISNUMBER(SEARCH($AS$65:$AZ$65,IFERROR(('Final Calculation Sheet'!$A$20)&amp;"","")))))&gt;0),IF(COUNTIF($BI$65:$BP$65,8)=0,TRUE,SUMPRODUCT(($BI$65:$BP$65=8)*($AS$65:$AZ$65&lt;&gt;"")*IF(((UPPER($AS$65:$AZ$65)="BLANK")+(UPPER($AS$65:$AZ$65)="(BLANK)")+(UPPER($AS$65:$AZ$65)="EMPTY")+(UPPER($AS$65:$AZ$65)="(EMPTY)"))&gt;0,IFERROR(('Final Calculation Sheet'!$A$20)&amp;"","")="",ISNUMBER(SEARCH($AS$65:$AZ$65,IFERROR(('Final Calculation Sheet'!$A$20)&amp;"","")))))&gt;0))))</f>
        <v>1</v>
      </c>
      <c r="BS21">
        <f>IF($G$4="",1,--(AND(SUMPRODUCT(--($AS$66:$AZ$66&lt;&gt;""))&gt;0,IF(COUNTIF($BI$66:$BP$66,1)=0,TRUE,SUMPRODUCT(($BI$66:$BP$66=1)*($AS$66:$AZ$66&lt;&gt;"")*IF(((UPPER($AS$66:$AZ$66)="BLANK")+(UPPER($AS$66:$AZ$66)="(BLANK)")+(UPPER($AS$66:$AZ$66)="EMPTY")+(UPPER($AS$66:$AZ$66)="(EMPTY)"))&gt;0,IFERROR(('Final Calculation Sheet'!$E$20)&amp;"","")="",ISNUMBER(SEARCH($AS$66:$AZ$66,IFERROR(('Final Calculation Sheet'!$E$20)&amp;"","")))))&gt;0),IF(COUNTIF($BI$66:$BP$66,2)=0,TRUE,SUMPRODUCT(($BI$66:$BP$66=2)*($AS$66:$AZ$66&lt;&gt;"")*IF(((UPPER($AS$66:$AZ$66)="BLANK")+(UPPER($AS$66:$AZ$66)="(BLANK)")+(UPPER($AS$66:$AZ$66)="EMPTY")+(UPPER($AS$66:$AZ$66)="(EMPTY)"))&gt;0,IFERROR(('Final Calculation Sheet'!$E$20)&amp;"","")="",ISNUMBER(SEARCH($AS$66:$AZ$66,IFERROR(('Final Calculation Sheet'!$E$20)&amp;"","")))))&gt;0),IF(COUNTIF($BI$66:$BP$66,3)=0,TRUE,SUMPRODUCT(($BI$66:$BP$66=3)*($AS$66:$AZ$66&lt;&gt;"")*IF(((UPPER($AS$66:$AZ$66)="BLANK")+(UPPER($AS$66:$AZ$66)="(BLANK)")+(UPPER($AS$66:$AZ$66)="EMPTY")+(UPPER($AS$66:$AZ$66)="(EMPTY)"))&gt;0,IFERROR(('Final Calculation Sheet'!$E$20)&amp;"","")="",ISNUMBER(SEARCH($AS$66:$AZ$66,IFERROR(('Final Calculation Sheet'!$E$20)&amp;"","")))))&gt;0),IF(COUNTIF($BI$66:$BP$66,4)=0,TRUE,SUMPRODUCT(($BI$66:$BP$66=4)*($AS$66:$AZ$66&lt;&gt;"")*IF(((UPPER($AS$66:$AZ$66)="BLANK")+(UPPER($AS$66:$AZ$66)="(BLANK)")+(UPPER($AS$66:$AZ$66)="EMPTY")+(UPPER($AS$66:$AZ$66)="(EMPTY)"))&gt;0,IFERROR(('Final Calculation Sheet'!$E$20)&amp;"","")="",ISNUMBER(SEARCH($AS$66:$AZ$66,IFERROR(('Final Calculation Sheet'!$E$20)&amp;"","")))))&gt;0),IF(COUNTIF($BI$66:$BP$66,5)=0,TRUE,SUMPRODUCT(($BI$66:$BP$66=5)*($AS$66:$AZ$66&lt;&gt;"")*IF(((UPPER($AS$66:$AZ$66)="BLANK")+(UPPER($AS$66:$AZ$66)="(BLANK)")+(UPPER($AS$66:$AZ$66)="EMPTY")+(UPPER($AS$66:$AZ$66)="(EMPTY)"))&gt;0,IFERROR(('Final Calculation Sheet'!$E$20)&amp;"","")="",ISNUMBER(SEARCH($AS$66:$AZ$66,IFERROR(('Final Calculation Sheet'!$E$20)&amp;"","")))))&gt;0),IF(COUNTIF($BI$66:$BP$66,6)=0,TRUE,SUMPRODUCT(($BI$66:$BP$66=6)*($AS$66:$AZ$66&lt;&gt;"")*IF(((UPPER($AS$66:$AZ$66)="BLANK")+(UPPER($AS$66:$AZ$66)="(BLANK)")+(UPPER($AS$66:$AZ$66)="EMPTY")+(UPPER($AS$66:$AZ$66)="(EMPTY)"))&gt;0,IFERROR(('Final Calculation Sheet'!$E$20)&amp;"","")="",ISNUMBER(SEARCH($AS$66:$AZ$66,IFERROR(('Final Calculation Sheet'!$E$20)&amp;"","")))))&gt;0),IF(COUNTIF($BI$66:$BP$66,7)=0,TRUE,SUMPRODUCT(($BI$66:$BP$66=7)*($AS$66:$AZ$66&lt;&gt;"")*IF(((UPPER($AS$66:$AZ$66)="BLANK")+(UPPER($AS$66:$AZ$66)="(BLANK)")+(UPPER($AS$66:$AZ$66)="EMPTY")+(UPPER($AS$66:$AZ$66)="(EMPTY)"))&gt;0,IFERROR(('Final Calculation Sheet'!$E$20)&amp;"","")="",ISNUMBER(SEARCH($AS$66:$AZ$66,IFERROR(('Final Calculation Sheet'!$E$20)&amp;"","")))))&gt;0),IF(COUNTIF($BI$66:$BP$66,8)=0,TRUE,SUMPRODUCT(($BI$66:$BP$66=8)*($AS$66:$AZ$66&lt;&gt;"")*IF(((UPPER($AS$66:$AZ$66)="BLANK")+(UPPER($AS$66:$AZ$66)="(BLANK)")+(UPPER($AS$66:$AZ$66)="EMPTY")+(UPPER($AS$66:$AZ$66)="(EMPTY)"))&gt;0,IFERROR(('Final Calculation Sheet'!$E$20)&amp;"","")="",ISNUMBER(SEARCH($AS$66:$AZ$66,IFERROR(('Final Calculation Sheet'!$E$20)&amp;"","")))))&gt;0))))</f>
        <v>1</v>
      </c>
      <c r="BT21">
        <f>IF($H$4="",1,--(AND(SUMPRODUCT(--($AS$67:$AZ$67&lt;&gt;""))&gt;0,IF(COUNTIF($BI$67:$BP$67,1)=0,TRUE,SUMPRODUCT(($BI$67:$BP$67=1)*($AS$67:$AZ$67&lt;&gt;"")*IF(((UPPER($AS$67:$AZ$67)="BLANK")+(UPPER($AS$67:$AZ$67)="(BLANK)")+(UPPER($AS$67:$AZ$67)="EMPTY")+(UPPER($AS$67:$AZ$67)="(EMPTY)"))&gt;0,IFERROR(('Final Calculation Sheet'!$C$20)&amp;"","")="",ISNUMBER(SEARCH($AS$67:$AZ$67,IFERROR(('Final Calculation Sheet'!$C$20)&amp;"","")))))&gt;0),IF(COUNTIF($BI$67:$BP$67,2)=0,TRUE,SUMPRODUCT(($BI$67:$BP$67=2)*($AS$67:$AZ$67&lt;&gt;"")*IF(((UPPER($AS$67:$AZ$67)="BLANK")+(UPPER($AS$67:$AZ$67)="(BLANK)")+(UPPER($AS$67:$AZ$67)="EMPTY")+(UPPER($AS$67:$AZ$67)="(EMPTY)"))&gt;0,IFERROR(('Final Calculation Sheet'!$C$20)&amp;"","")="",ISNUMBER(SEARCH($AS$67:$AZ$67,IFERROR(('Final Calculation Sheet'!$C$20)&amp;"","")))))&gt;0),IF(COUNTIF($BI$67:$BP$67,3)=0,TRUE,SUMPRODUCT(($BI$67:$BP$67=3)*($AS$67:$AZ$67&lt;&gt;"")*IF(((UPPER($AS$67:$AZ$67)="BLANK")+(UPPER($AS$67:$AZ$67)="(BLANK)")+(UPPER($AS$67:$AZ$67)="EMPTY")+(UPPER($AS$67:$AZ$67)="(EMPTY)"))&gt;0,IFERROR(('Final Calculation Sheet'!$C$20)&amp;"","")="",ISNUMBER(SEARCH($AS$67:$AZ$67,IFERROR(('Final Calculation Sheet'!$C$20)&amp;"","")))))&gt;0),IF(COUNTIF($BI$67:$BP$67,4)=0,TRUE,SUMPRODUCT(($BI$67:$BP$67=4)*($AS$67:$AZ$67&lt;&gt;"")*IF(((UPPER($AS$67:$AZ$67)="BLANK")+(UPPER($AS$67:$AZ$67)="(BLANK)")+(UPPER($AS$67:$AZ$67)="EMPTY")+(UPPER($AS$67:$AZ$67)="(EMPTY)"))&gt;0,IFERROR(('Final Calculation Sheet'!$C$20)&amp;"","")="",ISNUMBER(SEARCH($AS$67:$AZ$67,IFERROR(('Final Calculation Sheet'!$C$20)&amp;"","")))))&gt;0),IF(COUNTIF($BI$67:$BP$67,5)=0,TRUE,SUMPRODUCT(($BI$67:$BP$67=5)*($AS$67:$AZ$67&lt;&gt;"")*IF(((UPPER($AS$67:$AZ$67)="BLANK")+(UPPER($AS$67:$AZ$67)="(BLANK)")+(UPPER($AS$67:$AZ$67)="EMPTY")+(UPPER($AS$67:$AZ$67)="(EMPTY)"))&gt;0,IFERROR(('Final Calculation Sheet'!$C$20)&amp;"","")="",ISNUMBER(SEARCH($AS$67:$AZ$67,IFERROR(('Final Calculation Sheet'!$C$20)&amp;"","")))))&gt;0),IF(COUNTIF($BI$67:$BP$67,6)=0,TRUE,SUMPRODUCT(($BI$67:$BP$67=6)*($AS$67:$AZ$67&lt;&gt;"")*IF(((UPPER($AS$67:$AZ$67)="BLANK")+(UPPER($AS$67:$AZ$67)="(BLANK)")+(UPPER($AS$67:$AZ$67)="EMPTY")+(UPPER($AS$67:$AZ$67)="(EMPTY)"))&gt;0,IFERROR(('Final Calculation Sheet'!$C$20)&amp;"","")="",ISNUMBER(SEARCH($AS$67:$AZ$67,IFERROR(('Final Calculation Sheet'!$C$20)&amp;"","")))))&gt;0),IF(COUNTIF($BI$67:$BP$67,7)=0,TRUE,SUMPRODUCT(($BI$67:$BP$67=7)*($AS$67:$AZ$67&lt;&gt;"")*IF(((UPPER($AS$67:$AZ$67)="BLANK")+(UPPER($AS$67:$AZ$67)="(BLANK)")+(UPPER($AS$67:$AZ$67)="EMPTY")+(UPPER($AS$67:$AZ$67)="(EMPTY)"))&gt;0,IFERROR(('Final Calculation Sheet'!$C$20)&amp;"","")="",ISNUMBER(SEARCH($AS$67:$AZ$67,IFERROR(('Final Calculation Sheet'!$C$20)&amp;"","")))))&gt;0),IF(COUNTIF($BI$67:$BP$67,8)=0,TRUE,SUMPRODUCT(($BI$67:$BP$67=8)*($AS$67:$AZ$67&lt;&gt;"")*IF(((UPPER($AS$67:$AZ$67)="BLANK")+(UPPER($AS$67:$AZ$67)="(BLANK)")+(UPPER($AS$67:$AZ$67)="EMPTY")+(UPPER($AS$67:$AZ$67)="(EMPTY)"))&gt;0,IFERROR(('Final Calculation Sheet'!$C$20)&amp;"","")="",ISNUMBER(SEARCH($AS$67:$AZ$67,IFERROR(('Final Calculation Sheet'!$C$20)&amp;"","")))))&gt;0))))</f>
        <v>1</v>
      </c>
      <c r="BU21">
        <f>IF($I$4="",1,--(AND(SUMPRODUCT(--($AS$68:$AZ$68&lt;&gt;""))&gt;0,IF(COUNTIF($BI$68:$BP$68,1)=0,TRUE,SUMPRODUCT(($BI$68:$BP$68=1)*($AS$68:$AZ$68&lt;&gt;"")*IF(((UPPER($AS$68:$AZ$68)="BLANK")+(UPPER($AS$68:$AZ$68)="(BLANK)")+(UPPER($AS$68:$AZ$68)="EMPTY")+(UPPER($AS$68:$AZ$68)="(EMPTY)"))&gt;0,IFERROR(('Final Calculation Sheet'!$H$20)&amp;"","")="",ISNUMBER(SEARCH($AS$68:$AZ$68,IFERROR(('Final Calculation Sheet'!$H$20)&amp;"","")))))&gt;0),IF(COUNTIF($BI$68:$BP$68,2)=0,TRUE,SUMPRODUCT(($BI$68:$BP$68=2)*($AS$68:$AZ$68&lt;&gt;"")*IF(((UPPER($AS$68:$AZ$68)="BLANK")+(UPPER($AS$68:$AZ$68)="(BLANK)")+(UPPER($AS$68:$AZ$68)="EMPTY")+(UPPER($AS$68:$AZ$68)="(EMPTY)"))&gt;0,IFERROR(('Final Calculation Sheet'!$H$20)&amp;"","")="",ISNUMBER(SEARCH($AS$68:$AZ$68,IFERROR(('Final Calculation Sheet'!$H$20)&amp;"","")))))&gt;0),IF(COUNTIF($BI$68:$BP$68,3)=0,TRUE,SUMPRODUCT(($BI$68:$BP$68=3)*($AS$68:$AZ$68&lt;&gt;"")*IF(((UPPER($AS$68:$AZ$68)="BLANK")+(UPPER($AS$68:$AZ$68)="(BLANK)")+(UPPER($AS$68:$AZ$68)="EMPTY")+(UPPER($AS$68:$AZ$68)="(EMPTY)"))&gt;0,IFERROR(('Final Calculation Sheet'!$H$20)&amp;"","")="",ISNUMBER(SEARCH($AS$68:$AZ$68,IFERROR(('Final Calculation Sheet'!$H$20)&amp;"","")))))&gt;0),IF(COUNTIF($BI$68:$BP$68,4)=0,TRUE,SUMPRODUCT(($BI$68:$BP$68=4)*($AS$68:$AZ$68&lt;&gt;"")*IF(((UPPER($AS$68:$AZ$68)="BLANK")+(UPPER($AS$68:$AZ$68)="(BLANK)")+(UPPER($AS$68:$AZ$68)="EMPTY")+(UPPER($AS$68:$AZ$68)="(EMPTY)"))&gt;0,IFERROR(('Final Calculation Sheet'!$H$20)&amp;"","")="",ISNUMBER(SEARCH($AS$68:$AZ$68,IFERROR(('Final Calculation Sheet'!$H$20)&amp;"","")))))&gt;0),IF(COUNTIF($BI$68:$BP$68,5)=0,TRUE,SUMPRODUCT(($BI$68:$BP$68=5)*($AS$68:$AZ$68&lt;&gt;"")*IF(((UPPER($AS$68:$AZ$68)="BLANK")+(UPPER($AS$68:$AZ$68)="(BLANK)")+(UPPER($AS$68:$AZ$68)="EMPTY")+(UPPER($AS$68:$AZ$68)="(EMPTY)"))&gt;0,IFERROR(('Final Calculation Sheet'!$H$20)&amp;"","")="",ISNUMBER(SEARCH($AS$68:$AZ$68,IFERROR(('Final Calculation Sheet'!$H$20)&amp;"","")))))&gt;0),IF(COUNTIF($BI$68:$BP$68,6)=0,TRUE,SUMPRODUCT(($BI$68:$BP$68=6)*($AS$68:$AZ$68&lt;&gt;"")*IF(((UPPER($AS$68:$AZ$68)="BLANK")+(UPPER($AS$68:$AZ$68)="(BLANK)")+(UPPER($AS$68:$AZ$68)="EMPTY")+(UPPER($AS$68:$AZ$68)="(EMPTY)"))&gt;0,IFERROR(('Final Calculation Sheet'!$H$20)&amp;"","")="",ISNUMBER(SEARCH($AS$68:$AZ$68,IFERROR(('Final Calculation Sheet'!$H$20)&amp;"","")))))&gt;0),IF(COUNTIF($BI$68:$BP$68,7)=0,TRUE,SUMPRODUCT(($BI$68:$BP$68=7)*($AS$68:$AZ$68&lt;&gt;"")*IF(((UPPER($AS$68:$AZ$68)="BLANK")+(UPPER($AS$68:$AZ$68)="(BLANK)")+(UPPER($AS$68:$AZ$68)="EMPTY")+(UPPER($AS$68:$AZ$68)="(EMPTY)"))&gt;0,IFERROR(('Final Calculation Sheet'!$H$20)&amp;"","")="",ISNUMBER(SEARCH($AS$68:$AZ$68,IFERROR(('Final Calculation Sheet'!$H$20)&amp;"","")))))&gt;0),IF(COUNTIF($BI$68:$BP$68,8)=0,TRUE,SUMPRODUCT(($BI$68:$BP$68=8)*($AS$68:$AZ$68&lt;&gt;"")*IF(((UPPER($AS$68:$AZ$68)="BLANK")+(UPPER($AS$68:$AZ$68)="(BLANK)")+(UPPER($AS$68:$AZ$68)="EMPTY")+(UPPER($AS$68:$AZ$68)="(EMPTY)"))&gt;0,IFERROR(('Final Calculation Sheet'!$H$20)&amp;"","")="",ISNUMBER(SEARCH($AS$68:$AZ$68,IFERROR(('Final Calculation Sheet'!$H$20)&amp;"","")))))&gt;0))))</f>
        <v>1</v>
      </c>
      <c r="BV21">
        <f>IF($J$4="",1,--(AND(SUMPRODUCT(--($AS$69:$AZ$69&lt;&gt;""))&gt;0,IF(COUNTIF($BI$69:$BP$69,1)=0,TRUE,SUMPRODUCT(($BI$69:$BP$69=1)*($AS$69:$AZ$69&lt;&gt;"")*IF(((UPPER($AS$69:$AZ$69)="BLANK")+(UPPER($AS$69:$AZ$69)="(BLANK)")+(UPPER($AS$69:$AZ$69)="EMPTY")+(UPPER($AS$69:$AZ$69)="(EMPTY)"))&gt;0,IFERROR(('Final Calculation Sheet'!$I$20)&amp;"","")="",ISNUMBER(SEARCH($AS$69:$AZ$69,IFERROR(('Final Calculation Sheet'!$I$20)&amp;"","")))))&gt;0),IF(COUNTIF($BI$69:$BP$69,2)=0,TRUE,SUMPRODUCT(($BI$69:$BP$69=2)*($AS$69:$AZ$69&lt;&gt;"")*IF(((UPPER($AS$69:$AZ$69)="BLANK")+(UPPER($AS$69:$AZ$69)="(BLANK)")+(UPPER($AS$69:$AZ$69)="EMPTY")+(UPPER($AS$69:$AZ$69)="(EMPTY)"))&gt;0,IFERROR(('Final Calculation Sheet'!$I$20)&amp;"","")="",ISNUMBER(SEARCH($AS$69:$AZ$69,IFERROR(('Final Calculation Sheet'!$I$20)&amp;"","")))))&gt;0),IF(COUNTIF($BI$69:$BP$69,3)=0,TRUE,SUMPRODUCT(($BI$69:$BP$69=3)*($AS$69:$AZ$69&lt;&gt;"")*IF(((UPPER($AS$69:$AZ$69)="BLANK")+(UPPER($AS$69:$AZ$69)="(BLANK)")+(UPPER($AS$69:$AZ$69)="EMPTY")+(UPPER($AS$69:$AZ$69)="(EMPTY)"))&gt;0,IFERROR(('Final Calculation Sheet'!$I$20)&amp;"","")="",ISNUMBER(SEARCH($AS$69:$AZ$69,IFERROR(('Final Calculation Sheet'!$I$20)&amp;"","")))))&gt;0),IF(COUNTIF($BI$69:$BP$69,4)=0,TRUE,SUMPRODUCT(($BI$69:$BP$69=4)*($AS$69:$AZ$69&lt;&gt;"")*IF(((UPPER($AS$69:$AZ$69)="BLANK")+(UPPER($AS$69:$AZ$69)="(BLANK)")+(UPPER($AS$69:$AZ$69)="EMPTY")+(UPPER($AS$69:$AZ$69)="(EMPTY)"))&gt;0,IFERROR(('Final Calculation Sheet'!$I$20)&amp;"","")="",ISNUMBER(SEARCH($AS$69:$AZ$69,IFERROR(('Final Calculation Sheet'!$I$20)&amp;"","")))))&gt;0),IF(COUNTIF($BI$69:$BP$69,5)=0,TRUE,SUMPRODUCT(($BI$69:$BP$69=5)*($AS$69:$AZ$69&lt;&gt;"")*IF(((UPPER($AS$69:$AZ$69)="BLANK")+(UPPER($AS$69:$AZ$69)="(BLANK)")+(UPPER($AS$69:$AZ$69)="EMPTY")+(UPPER($AS$69:$AZ$69)="(EMPTY)"))&gt;0,IFERROR(('Final Calculation Sheet'!$I$20)&amp;"","")="",ISNUMBER(SEARCH($AS$69:$AZ$69,IFERROR(('Final Calculation Sheet'!$I$20)&amp;"","")))))&gt;0),IF(COUNTIF($BI$69:$BP$69,6)=0,TRUE,SUMPRODUCT(($BI$69:$BP$69=6)*($AS$69:$AZ$69&lt;&gt;"")*IF(((UPPER($AS$69:$AZ$69)="BLANK")+(UPPER($AS$69:$AZ$69)="(BLANK)")+(UPPER($AS$69:$AZ$69)="EMPTY")+(UPPER($AS$69:$AZ$69)="(EMPTY)"))&gt;0,IFERROR(('Final Calculation Sheet'!$I$20)&amp;"","")="",ISNUMBER(SEARCH($AS$69:$AZ$69,IFERROR(('Final Calculation Sheet'!$I$20)&amp;"","")))))&gt;0),IF(COUNTIF($BI$69:$BP$69,7)=0,TRUE,SUMPRODUCT(($BI$69:$BP$69=7)*($AS$69:$AZ$69&lt;&gt;"")*IF(((UPPER($AS$69:$AZ$69)="BLANK")+(UPPER($AS$69:$AZ$69)="(BLANK)")+(UPPER($AS$69:$AZ$69)="EMPTY")+(UPPER($AS$69:$AZ$69)="(EMPTY)"))&gt;0,IFERROR(('Final Calculation Sheet'!$I$20)&amp;"","")="",ISNUMBER(SEARCH($AS$69:$AZ$69,IFERROR(('Final Calculation Sheet'!$I$20)&amp;"","")))))&gt;0),IF(COUNTIF($BI$69:$BP$69,8)=0,TRUE,SUMPRODUCT(($BI$69:$BP$69=8)*($AS$69:$AZ$69&lt;&gt;"")*IF(((UPPER($AS$69:$AZ$69)="BLANK")+(UPPER($AS$69:$AZ$69)="(BLANK)")+(UPPER($AS$69:$AZ$69)="EMPTY")+(UPPER($AS$69:$AZ$69)="(EMPTY)"))&gt;0,IFERROR(('Final Calculation Sheet'!$I$20)&amp;"","")="",ISNUMBER(SEARCH($AS$69:$AZ$69,IFERROR(('Final Calculation Sheet'!$I$20)&amp;"","")))))&gt;0))))</f>
        <v>1</v>
      </c>
      <c r="BW21">
        <f>IF($K$4="",1,--(AND(SUMPRODUCT(--($AS$70:$AZ$70&lt;&gt;""))&gt;0,IF(COUNTIF($BI$70:$BP$70,1)=0,TRUE,SUMPRODUCT(($BI$70:$BP$70=1)*($AS$70:$AZ$70&lt;&gt;"")*IF(((UPPER($AS$70:$AZ$70)="BLANK")+(UPPER($AS$70:$AZ$70)="(BLANK)")+(UPPER($AS$70:$AZ$70)="EMPTY")+(UPPER($AS$70:$AZ$70)="(EMPTY)"))&gt;0,IFERROR(('Final Calculation Sheet'!$J$20)&amp;"","")="",ISNUMBER(SEARCH($AS$70:$AZ$70,IFERROR(('Final Calculation Sheet'!$J$20)&amp;"","")))))&gt;0),IF(COUNTIF($BI$70:$BP$70,2)=0,TRUE,SUMPRODUCT(($BI$70:$BP$70=2)*($AS$70:$AZ$70&lt;&gt;"")*IF(((UPPER($AS$70:$AZ$70)="BLANK")+(UPPER($AS$70:$AZ$70)="(BLANK)")+(UPPER($AS$70:$AZ$70)="EMPTY")+(UPPER($AS$70:$AZ$70)="(EMPTY)"))&gt;0,IFERROR(('Final Calculation Sheet'!$J$20)&amp;"","")="",ISNUMBER(SEARCH($AS$70:$AZ$70,IFERROR(('Final Calculation Sheet'!$J$20)&amp;"","")))))&gt;0),IF(COUNTIF($BI$70:$BP$70,3)=0,TRUE,SUMPRODUCT(($BI$70:$BP$70=3)*($AS$70:$AZ$70&lt;&gt;"")*IF(((UPPER($AS$70:$AZ$70)="BLANK")+(UPPER($AS$70:$AZ$70)="(BLANK)")+(UPPER($AS$70:$AZ$70)="EMPTY")+(UPPER($AS$70:$AZ$70)="(EMPTY)"))&gt;0,IFERROR(('Final Calculation Sheet'!$J$20)&amp;"","")="",ISNUMBER(SEARCH($AS$70:$AZ$70,IFERROR(('Final Calculation Sheet'!$J$20)&amp;"","")))))&gt;0),IF(COUNTIF($BI$70:$BP$70,4)=0,TRUE,SUMPRODUCT(($BI$70:$BP$70=4)*($AS$70:$AZ$70&lt;&gt;"")*IF(((UPPER($AS$70:$AZ$70)="BLANK")+(UPPER($AS$70:$AZ$70)="(BLANK)")+(UPPER($AS$70:$AZ$70)="EMPTY")+(UPPER($AS$70:$AZ$70)="(EMPTY)"))&gt;0,IFERROR(('Final Calculation Sheet'!$J$20)&amp;"","")="",ISNUMBER(SEARCH($AS$70:$AZ$70,IFERROR(('Final Calculation Sheet'!$J$20)&amp;"","")))))&gt;0),IF(COUNTIF($BI$70:$BP$70,5)=0,TRUE,SUMPRODUCT(($BI$70:$BP$70=5)*($AS$70:$AZ$70&lt;&gt;"")*IF(((UPPER($AS$70:$AZ$70)="BLANK")+(UPPER($AS$70:$AZ$70)="(BLANK)")+(UPPER($AS$70:$AZ$70)="EMPTY")+(UPPER($AS$70:$AZ$70)="(EMPTY)"))&gt;0,IFERROR(('Final Calculation Sheet'!$J$20)&amp;"","")="",ISNUMBER(SEARCH($AS$70:$AZ$70,IFERROR(('Final Calculation Sheet'!$J$20)&amp;"","")))))&gt;0),IF(COUNTIF($BI$70:$BP$70,6)=0,TRUE,SUMPRODUCT(($BI$70:$BP$70=6)*($AS$70:$AZ$70&lt;&gt;"")*IF(((UPPER($AS$70:$AZ$70)="BLANK")+(UPPER($AS$70:$AZ$70)="(BLANK)")+(UPPER($AS$70:$AZ$70)="EMPTY")+(UPPER($AS$70:$AZ$70)="(EMPTY)"))&gt;0,IFERROR(('Final Calculation Sheet'!$J$20)&amp;"","")="",ISNUMBER(SEARCH($AS$70:$AZ$70,IFERROR(('Final Calculation Sheet'!$J$20)&amp;"","")))))&gt;0),IF(COUNTIF($BI$70:$BP$70,7)=0,TRUE,SUMPRODUCT(($BI$70:$BP$70=7)*($AS$70:$AZ$70&lt;&gt;"")*IF(((UPPER($AS$70:$AZ$70)="BLANK")+(UPPER($AS$70:$AZ$70)="(BLANK)")+(UPPER($AS$70:$AZ$70)="EMPTY")+(UPPER($AS$70:$AZ$70)="(EMPTY)"))&gt;0,IFERROR(('Final Calculation Sheet'!$J$20)&amp;"","")="",ISNUMBER(SEARCH($AS$70:$AZ$70,IFERROR(('Final Calculation Sheet'!$J$20)&amp;"","")))))&gt;0),IF(COUNTIF($BI$70:$BP$70,8)=0,TRUE,SUMPRODUCT(($BI$70:$BP$70=8)*($AS$70:$AZ$70&lt;&gt;"")*IF(((UPPER($AS$70:$AZ$70)="BLANK")+(UPPER($AS$70:$AZ$70)="(BLANK)")+(UPPER($AS$70:$AZ$70)="EMPTY")+(UPPER($AS$70:$AZ$70)="(EMPTY)"))&gt;0,IFERROR(('Final Calculation Sheet'!$J$20)&amp;"","")="",ISNUMBER(SEARCH($AS$70:$AZ$70,IFERROR(('Final Calculation Sheet'!$J$20)&amp;"","")))))&gt;0))))</f>
        <v>1</v>
      </c>
      <c r="BX21">
        <f>IF($L$4="",1,--(AND(SUMPRODUCT(--($AS$71:$AZ$71&lt;&gt;""))&gt;0,IF(COUNTIF($BI$71:$BP$71,1)=0,TRUE,SUMPRODUCT(($BI$71:$BP$71=1)*($AS$71:$AZ$71&lt;&gt;"")*IF(((UPPER($AS$71:$AZ$71)="BLANK")+(UPPER($AS$71:$AZ$71)="(BLANK)")+(UPPER($AS$71:$AZ$71)="EMPTY")+(UPPER($AS$71:$AZ$71)="(EMPTY)"))&gt;0,IFERROR(('Final Calculation Sheet'!$K$20)&amp;"","")="",ISNUMBER(SEARCH($AS$71:$AZ$71,IFERROR(('Final Calculation Sheet'!$K$20)&amp;"","")))))&gt;0),IF(COUNTIF($BI$71:$BP$71,2)=0,TRUE,SUMPRODUCT(($BI$71:$BP$71=2)*($AS$71:$AZ$71&lt;&gt;"")*IF(((UPPER($AS$71:$AZ$71)="BLANK")+(UPPER($AS$71:$AZ$71)="(BLANK)")+(UPPER($AS$71:$AZ$71)="EMPTY")+(UPPER($AS$71:$AZ$71)="(EMPTY)"))&gt;0,IFERROR(('Final Calculation Sheet'!$K$20)&amp;"","")="",ISNUMBER(SEARCH($AS$71:$AZ$71,IFERROR(('Final Calculation Sheet'!$K$20)&amp;"","")))))&gt;0),IF(COUNTIF($BI$71:$BP$71,3)=0,TRUE,SUMPRODUCT(($BI$71:$BP$71=3)*($AS$71:$AZ$71&lt;&gt;"")*IF(((UPPER($AS$71:$AZ$71)="BLANK")+(UPPER($AS$71:$AZ$71)="(BLANK)")+(UPPER($AS$71:$AZ$71)="EMPTY")+(UPPER($AS$71:$AZ$71)="(EMPTY)"))&gt;0,IFERROR(('Final Calculation Sheet'!$K$20)&amp;"","")="",ISNUMBER(SEARCH($AS$71:$AZ$71,IFERROR(('Final Calculation Sheet'!$K$20)&amp;"","")))))&gt;0),IF(COUNTIF($BI$71:$BP$71,4)=0,TRUE,SUMPRODUCT(($BI$71:$BP$71=4)*($AS$71:$AZ$71&lt;&gt;"")*IF(((UPPER($AS$71:$AZ$71)="BLANK")+(UPPER($AS$71:$AZ$71)="(BLANK)")+(UPPER($AS$71:$AZ$71)="EMPTY")+(UPPER($AS$71:$AZ$71)="(EMPTY)"))&gt;0,IFERROR(('Final Calculation Sheet'!$K$20)&amp;"","")="",ISNUMBER(SEARCH($AS$71:$AZ$71,IFERROR(('Final Calculation Sheet'!$K$20)&amp;"","")))))&gt;0),IF(COUNTIF($BI$71:$BP$71,5)=0,TRUE,SUMPRODUCT(($BI$71:$BP$71=5)*($AS$71:$AZ$71&lt;&gt;"")*IF(((UPPER($AS$71:$AZ$71)="BLANK")+(UPPER($AS$71:$AZ$71)="(BLANK)")+(UPPER($AS$71:$AZ$71)="EMPTY")+(UPPER($AS$71:$AZ$71)="(EMPTY)"))&gt;0,IFERROR(('Final Calculation Sheet'!$K$20)&amp;"","")="",ISNUMBER(SEARCH($AS$71:$AZ$71,IFERROR(('Final Calculation Sheet'!$K$20)&amp;"","")))))&gt;0),IF(COUNTIF($BI$71:$BP$71,6)=0,TRUE,SUMPRODUCT(($BI$71:$BP$71=6)*($AS$71:$AZ$71&lt;&gt;"")*IF(((UPPER($AS$71:$AZ$71)="BLANK")+(UPPER($AS$71:$AZ$71)="(BLANK)")+(UPPER($AS$71:$AZ$71)="EMPTY")+(UPPER($AS$71:$AZ$71)="(EMPTY)"))&gt;0,IFERROR(('Final Calculation Sheet'!$K$20)&amp;"","")="",ISNUMBER(SEARCH($AS$71:$AZ$71,IFERROR(('Final Calculation Sheet'!$K$20)&amp;"","")))))&gt;0),IF(COUNTIF($BI$71:$BP$71,7)=0,TRUE,SUMPRODUCT(($BI$71:$BP$71=7)*($AS$71:$AZ$71&lt;&gt;"")*IF(((UPPER($AS$71:$AZ$71)="BLANK")+(UPPER($AS$71:$AZ$71)="(BLANK)")+(UPPER($AS$71:$AZ$71)="EMPTY")+(UPPER($AS$71:$AZ$71)="(EMPTY)"))&gt;0,IFERROR(('Final Calculation Sheet'!$K$20)&amp;"","")="",ISNUMBER(SEARCH($AS$71:$AZ$71,IFERROR(('Final Calculation Sheet'!$K$20)&amp;"","")))))&gt;0),IF(COUNTIF($BI$71:$BP$71,8)=0,TRUE,SUMPRODUCT(($BI$71:$BP$71=8)*($AS$71:$AZ$71&lt;&gt;"")*IF(((UPPER($AS$71:$AZ$71)="BLANK")+(UPPER($AS$71:$AZ$71)="(BLANK)")+(UPPER($AS$71:$AZ$71)="EMPTY")+(UPPER($AS$71:$AZ$71)="(EMPTY)"))&gt;0,IFERROR(('Final Calculation Sheet'!$K$20)&amp;"","")="",ISNUMBER(SEARCH($AS$71:$AZ$71,IFERROR(('Final Calculation Sheet'!$K$20)&amp;"","")))))&gt;0))))</f>
        <v>1</v>
      </c>
      <c r="BY21">
        <f>IF($M$4="",1,--(AND(SUMPRODUCT(--($AS$72:$AZ$72&lt;&gt;""))&gt;0,IF(COUNTIF($BI$72:$BP$72,1)=0,TRUE,SUMPRODUCT(($BI$72:$BP$72=1)*($AS$72:$AZ$72&lt;&gt;"")*IF(((UPPER($AS$72:$AZ$72)="BLANK")+(UPPER($AS$72:$AZ$72)="(BLANK)")+(UPPER($AS$72:$AZ$72)="EMPTY")+(UPPER($AS$72:$AZ$72)="(EMPTY)"))&gt;0,IFERROR(('Final Calculation Sheet'!$L$20)&amp;"","")="",ISNUMBER(SEARCH($AS$72:$AZ$72,IFERROR(('Final Calculation Sheet'!$L$20)&amp;"","")))))&gt;0),IF(COUNTIF($BI$72:$BP$72,2)=0,TRUE,SUMPRODUCT(($BI$72:$BP$72=2)*($AS$72:$AZ$72&lt;&gt;"")*IF(((UPPER($AS$72:$AZ$72)="BLANK")+(UPPER($AS$72:$AZ$72)="(BLANK)")+(UPPER($AS$72:$AZ$72)="EMPTY")+(UPPER($AS$72:$AZ$72)="(EMPTY)"))&gt;0,IFERROR(('Final Calculation Sheet'!$L$20)&amp;"","")="",ISNUMBER(SEARCH($AS$72:$AZ$72,IFERROR(('Final Calculation Sheet'!$L$20)&amp;"","")))))&gt;0),IF(COUNTIF($BI$72:$BP$72,3)=0,TRUE,SUMPRODUCT(($BI$72:$BP$72=3)*($AS$72:$AZ$72&lt;&gt;"")*IF(((UPPER($AS$72:$AZ$72)="BLANK")+(UPPER($AS$72:$AZ$72)="(BLANK)")+(UPPER($AS$72:$AZ$72)="EMPTY")+(UPPER($AS$72:$AZ$72)="(EMPTY)"))&gt;0,IFERROR(('Final Calculation Sheet'!$L$20)&amp;"","")="",ISNUMBER(SEARCH($AS$72:$AZ$72,IFERROR(('Final Calculation Sheet'!$L$20)&amp;"","")))))&gt;0),IF(COUNTIF($BI$72:$BP$72,4)=0,TRUE,SUMPRODUCT(($BI$72:$BP$72=4)*($AS$72:$AZ$72&lt;&gt;"")*IF(((UPPER($AS$72:$AZ$72)="BLANK")+(UPPER($AS$72:$AZ$72)="(BLANK)")+(UPPER($AS$72:$AZ$72)="EMPTY")+(UPPER($AS$72:$AZ$72)="(EMPTY)"))&gt;0,IFERROR(('Final Calculation Sheet'!$L$20)&amp;"","")="",ISNUMBER(SEARCH($AS$72:$AZ$72,IFERROR(('Final Calculation Sheet'!$L$20)&amp;"","")))))&gt;0),IF(COUNTIF($BI$72:$BP$72,5)=0,TRUE,SUMPRODUCT(($BI$72:$BP$72=5)*($AS$72:$AZ$72&lt;&gt;"")*IF(((UPPER($AS$72:$AZ$72)="BLANK")+(UPPER($AS$72:$AZ$72)="(BLANK)")+(UPPER($AS$72:$AZ$72)="EMPTY")+(UPPER($AS$72:$AZ$72)="(EMPTY)"))&gt;0,IFERROR(('Final Calculation Sheet'!$L$20)&amp;"","")="",ISNUMBER(SEARCH($AS$72:$AZ$72,IFERROR(('Final Calculation Sheet'!$L$20)&amp;"","")))))&gt;0),IF(COUNTIF($BI$72:$BP$72,6)=0,TRUE,SUMPRODUCT(($BI$72:$BP$72=6)*($AS$72:$AZ$72&lt;&gt;"")*IF(((UPPER($AS$72:$AZ$72)="BLANK")+(UPPER($AS$72:$AZ$72)="(BLANK)")+(UPPER($AS$72:$AZ$72)="EMPTY")+(UPPER($AS$72:$AZ$72)="(EMPTY)"))&gt;0,IFERROR(('Final Calculation Sheet'!$L$20)&amp;"","")="",ISNUMBER(SEARCH($AS$72:$AZ$72,IFERROR(('Final Calculation Sheet'!$L$20)&amp;"","")))))&gt;0),IF(COUNTIF($BI$72:$BP$72,7)=0,TRUE,SUMPRODUCT(($BI$72:$BP$72=7)*($AS$72:$AZ$72&lt;&gt;"")*IF(((UPPER($AS$72:$AZ$72)="BLANK")+(UPPER($AS$72:$AZ$72)="(BLANK)")+(UPPER($AS$72:$AZ$72)="EMPTY")+(UPPER($AS$72:$AZ$72)="(EMPTY)"))&gt;0,IFERROR(('Final Calculation Sheet'!$L$20)&amp;"","")="",ISNUMBER(SEARCH($AS$72:$AZ$72,IFERROR(('Final Calculation Sheet'!$L$20)&amp;"","")))))&gt;0),IF(COUNTIF($BI$72:$BP$72,8)=0,TRUE,SUMPRODUCT(($BI$72:$BP$72=8)*($AS$72:$AZ$72&lt;&gt;"")*IF(((UPPER($AS$72:$AZ$72)="BLANK")+(UPPER($AS$72:$AZ$72)="(BLANK)")+(UPPER($AS$72:$AZ$72)="EMPTY")+(UPPER($AS$72:$AZ$72)="(EMPTY)"))&gt;0,IFERROR(('Final Calculation Sheet'!$L$20)&amp;"","")="",ISNUMBER(SEARCH($AS$72:$AZ$72,IFERROR(('Final Calculation Sheet'!$L$20)&amp;"","")))))&gt;0))))</f>
        <v>1</v>
      </c>
      <c r="BZ21">
        <f>IF($N$4="",1,--(AND(SUMPRODUCT(--($AS$73:$AZ$73&lt;&gt;""))&gt;0,IF(COUNTIF($BI$73:$BP$73,1)=0,TRUE,SUMPRODUCT(($BI$73:$BP$73=1)*($AS$73:$AZ$73&lt;&gt;"")*IF(((UPPER($AS$73:$AZ$73)="BLANK")+(UPPER($AS$73:$AZ$73)="(BLANK)")+(UPPER($AS$73:$AZ$73)="EMPTY")+(UPPER($AS$73:$AZ$73)="(EMPTY)"))&gt;0,IFERROR(('Final Calculation Sheet'!$M$20)&amp;"","")="",ISNUMBER(SEARCH($AS$73:$AZ$73,IFERROR(('Final Calculation Sheet'!$M$20)&amp;"","")))))&gt;0),IF(COUNTIF($BI$73:$BP$73,2)=0,TRUE,SUMPRODUCT(($BI$73:$BP$73=2)*($AS$73:$AZ$73&lt;&gt;"")*IF(((UPPER($AS$73:$AZ$73)="BLANK")+(UPPER($AS$73:$AZ$73)="(BLANK)")+(UPPER($AS$73:$AZ$73)="EMPTY")+(UPPER($AS$73:$AZ$73)="(EMPTY)"))&gt;0,IFERROR(('Final Calculation Sheet'!$M$20)&amp;"","")="",ISNUMBER(SEARCH($AS$73:$AZ$73,IFERROR(('Final Calculation Sheet'!$M$20)&amp;"","")))))&gt;0),IF(COUNTIF($BI$73:$BP$73,3)=0,TRUE,SUMPRODUCT(($BI$73:$BP$73=3)*($AS$73:$AZ$73&lt;&gt;"")*IF(((UPPER($AS$73:$AZ$73)="BLANK")+(UPPER($AS$73:$AZ$73)="(BLANK)")+(UPPER($AS$73:$AZ$73)="EMPTY")+(UPPER($AS$73:$AZ$73)="(EMPTY)"))&gt;0,IFERROR(('Final Calculation Sheet'!$M$20)&amp;"","")="",ISNUMBER(SEARCH($AS$73:$AZ$73,IFERROR(('Final Calculation Sheet'!$M$20)&amp;"","")))))&gt;0),IF(COUNTIF($BI$73:$BP$73,4)=0,TRUE,SUMPRODUCT(($BI$73:$BP$73=4)*($AS$73:$AZ$73&lt;&gt;"")*IF(((UPPER($AS$73:$AZ$73)="BLANK")+(UPPER($AS$73:$AZ$73)="(BLANK)")+(UPPER($AS$73:$AZ$73)="EMPTY")+(UPPER($AS$73:$AZ$73)="(EMPTY)"))&gt;0,IFERROR(('Final Calculation Sheet'!$M$20)&amp;"","")="",ISNUMBER(SEARCH($AS$73:$AZ$73,IFERROR(('Final Calculation Sheet'!$M$20)&amp;"","")))))&gt;0),IF(COUNTIF($BI$73:$BP$73,5)=0,TRUE,SUMPRODUCT(($BI$73:$BP$73=5)*($AS$73:$AZ$73&lt;&gt;"")*IF(((UPPER($AS$73:$AZ$73)="BLANK")+(UPPER($AS$73:$AZ$73)="(BLANK)")+(UPPER($AS$73:$AZ$73)="EMPTY")+(UPPER($AS$73:$AZ$73)="(EMPTY)"))&gt;0,IFERROR(('Final Calculation Sheet'!$M$20)&amp;"","")="",ISNUMBER(SEARCH($AS$73:$AZ$73,IFERROR(('Final Calculation Sheet'!$M$20)&amp;"","")))))&gt;0),IF(COUNTIF($BI$73:$BP$73,6)=0,TRUE,SUMPRODUCT(($BI$73:$BP$73=6)*($AS$73:$AZ$73&lt;&gt;"")*IF(((UPPER($AS$73:$AZ$73)="BLANK")+(UPPER($AS$73:$AZ$73)="(BLANK)")+(UPPER($AS$73:$AZ$73)="EMPTY")+(UPPER($AS$73:$AZ$73)="(EMPTY)"))&gt;0,IFERROR(('Final Calculation Sheet'!$M$20)&amp;"","")="",ISNUMBER(SEARCH($AS$73:$AZ$73,IFERROR(('Final Calculation Sheet'!$M$20)&amp;"","")))))&gt;0),IF(COUNTIF($BI$73:$BP$73,7)=0,TRUE,SUMPRODUCT(($BI$73:$BP$73=7)*($AS$73:$AZ$73&lt;&gt;"")*IF(((UPPER($AS$73:$AZ$73)="BLANK")+(UPPER($AS$73:$AZ$73)="(BLANK)")+(UPPER($AS$73:$AZ$73)="EMPTY")+(UPPER($AS$73:$AZ$73)="(EMPTY)"))&gt;0,IFERROR(('Final Calculation Sheet'!$M$20)&amp;"","")="",ISNUMBER(SEARCH($AS$73:$AZ$73,IFERROR(('Final Calculation Sheet'!$M$20)&amp;"","")))))&gt;0),IF(COUNTIF($BI$73:$BP$73,8)=0,TRUE,SUMPRODUCT(($BI$73:$BP$73=8)*($AS$73:$AZ$73&lt;&gt;"")*IF(((UPPER($AS$73:$AZ$73)="BLANK")+(UPPER($AS$73:$AZ$73)="(BLANK)")+(UPPER($AS$73:$AZ$73)="EMPTY")+(UPPER($AS$73:$AZ$73)="(EMPTY)"))&gt;0,IFERROR(('Final Calculation Sheet'!$M$20)&amp;"","")="",ISNUMBER(SEARCH($AS$73:$AZ$73,IFERROR(('Final Calculation Sheet'!$M$20)&amp;"","")))))&gt;0))))</f>
        <v>1</v>
      </c>
      <c r="CA21">
        <f>IF($O$4="",1,--(AND(SUMPRODUCT(--($AS$74:$AZ$74&lt;&gt;""))&gt;0,IF(COUNTIF($BI$74:$BP$74,1)=0,TRUE,SUMPRODUCT(($BI$74:$BP$74=1)*($AS$74:$AZ$74&lt;&gt;"")*IF(((UPPER($AS$74:$AZ$74)="BLANK")+(UPPER($AS$74:$AZ$74)="(BLANK)")+(UPPER($AS$74:$AZ$74)="EMPTY")+(UPPER($AS$74:$AZ$74)="(EMPTY)"))&gt;0,IFERROR(('Final Calculation Sheet'!$N$20)&amp;"","")="",ISNUMBER(SEARCH($AS$74:$AZ$74,IFERROR(('Final Calculation Sheet'!$N$20)&amp;"","")))))&gt;0),IF(COUNTIF($BI$74:$BP$74,2)=0,TRUE,SUMPRODUCT(($BI$74:$BP$74=2)*($AS$74:$AZ$74&lt;&gt;"")*IF(((UPPER($AS$74:$AZ$74)="BLANK")+(UPPER($AS$74:$AZ$74)="(BLANK)")+(UPPER($AS$74:$AZ$74)="EMPTY")+(UPPER($AS$74:$AZ$74)="(EMPTY)"))&gt;0,IFERROR(('Final Calculation Sheet'!$N$20)&amp;"","")="",ISNUMBER(SEARCH($AS$74:$AZ$74,IFERROR(('Final Calculation Sheet'!$N$20)&amp;"","")))))&gt;0),IF(COUNTIF($BI$74:$BP$74,3)=0,TRUE,SUMPRODUCT(($BI$74:$BP$74=3)*($AS$74:$AZ$74&lt;&gt;"")*IF(((UPPER($AS$74:$AZ$74)="BLANK")+(UPPER($AS$74:$AZ$74)="(BLANK)")+(UPPER($AS$74:$AZ$74)="EMPTY")+(UPPER($AS$74:$AZ$74)="(EMPTY)"))&gt;0,IFERROR(('Final Calculation Sheet'!$N$20)&amp;"","")="",ISNUMBER(SEARCH($AS$74:$AZ$74,IFERROR(('Final Calculation Sheet'!$N$20)&amp;"","")))))&gt;0),IF(COUNTIF($BI$74:$BP$74,4)=0,TRUE,SUMPRODUCT(($BI$74:$BP$74=4)*($AS$74:$AZ$74&lt;&gt;"")*IF(((UPPER($AS$74:$AZ$74)="BLANK")+(UPPER($AS$74:$AZ$74)="(BLANK)")+(UPPER($AS$74:$AZ$74)="EMPTY")+(UPPER($AS$74:$AZ$74)="(EMPTY)"))&gt;0,IFERROR(('Final Calculation Sheet'!$N$20)&amp;"","")="",ISNUMBER(SEARCH($AS$74:$AZ$74,IFERROR(('Final Calculation Sheet'!$N$20)&amp;"","")))))&gt;0),IF(COUNTIF($BI$74:$BP$74,5)=0,TRUE,SUMPRODUCT(($BI$74:$BP$74=5)*($AS$74:$AZ$74&lt;&gt;"")*IF(((UPPER($AS$74:$AZ$74)="BLANK")+(UPPER($AS$74:$AZ$74)="(BLANK)")+(UPPER($AS$74:$AZ$74)="EMPTY")+(UPPER($AS$74:$AZ$74)="(EMPTY)"))&gt;0,IFERROR(('Final Calculation Sheet'!$N$20)&amp;"","")="",ISNUMBER(SEARCH($AS$74:$AZ$74,IFERROR(('Final Calculation Sheet'!$N$20)&amp;"","")))))&gt;0),IF(COUNTIF($BI$74:$BP$74,6)=0,TRUE,SUMPRODUCT(($BI$74:$BP$74=6)*($AS$74:$AZ$74&lt;&gt;"")*IF(((UPPER($AS$74:$AZ$74)="BLANK")+(UPPER($AS$74:$AZ$74)="(BLANK)")+(UPPER($AS$74:$AZ$74)="EMPTY")+(UPPER($AS$74:$AZ$74)="(EMPTY)"))&gt;0,IFERROR(('Final Calculation Sheet'!$N$20)&amp;"","")="",ISNUMBER(SEARCH($AS$74:$AZ$74,IFERROR(('Final Calculation Sheet'!$N$20)&amp;"","")))))&gt;0),IF(COUNTIF($BI$74:$BP$74,7)=0,TRUE,SUMPRODUCT(($BI$74:$BP$74=7)*($AS$74:$AZ$74&lt;&gt;"")*IF(((UPPER($AS$74:$AZ$74)="BLANK")+(UPPER($AS$74:$AZ$74)="(BLANK)")+(UPPER($AS$74:$AZ$74)="EMPTY")+(UPPER($AS$74:$AZ$74)="(EMPTY)"))&gt;0,IFERROR(('Final Calculation Sheet'!$N$20)&amp;"","")="",ISNUMBER(SEARCH($AS$74:$AZ$74,IFERROR(('Final Calculation Sheet'!$N$20)&amp;"","")))))&gt;0),IF(COUNTIF($BI$74:$BP$74,8)=0,TRUE,SUMPRODUCT(($BI$74:$BP$74=8)*($AS$74:$AZ$74&lt;&gt;"")*IF(((UPPER($AS$74:$AZ$74)="BLANK")+(UPPER($AS$74:$AZ$74)="(BLANK)")+(UPPER($AS$74:$AZ$74)="EMPTY")+(UPPER($AS$74:$AZ$74)="(EMPTY)"))&gt;0,IFERROR(('Final Calculation Sheet'!$N$20)&amp;"","")="",ISNUMBER(SEARCH($AS$74:$AZ$74,IFERROR(('Final Calculation Sheet'!$N$20)&amp;"","")))))&gt;0))))</f>
        <v>1</v>
      </c>
      <c r="CB21">
        <f>IF($P$4="",1,--(AND(SUMPRODUCT(--($AS$75:$AZ$75&lt;&gt;""))&gt;0,IF(COUNTIF($BI$75:$BP$75,1)=0,TRUE,SUMPRODUCT(($BI$75:$BP$75=1)*($AS$75:$AZ$75&lt;&gt;"")*IF(((UPPER($AS$75:$AZ$75)="BLANK")+(UPPER($AS$75:$AZ$75)="(BLANK)")+(UPPER($AS$75:$AZ$75)="EMPTY")+(UPPER($AS$75:$AZ$75)="(EMPTY)"))&gt;0,IFERROR(('Final Calculation Sheet'!$O$20)&amp;"","")="",ISNUMBER(SEARCH($AS$75:$AZ$75,IFERROR(('Final Calculation Sheet'!$O$20)&amp;"","")))))&gt;0),IF(COUNTIF($BI$75:$BP$75,2)=0,TRUE,SUMPRODUCT(($BI$75:$BP$75=2)*($AS$75:$AZ$75&lt;&gt;"")*IF(((UPPER($AS$75:$AZ$75)="BLANK")+(UPPER($AS$75:$AZ$75)="(BLANK)")+(UPPER($AS$75:$AZ$75)="EMPTY")+(UPPER($AS$75:$AZ$75)="(EMPTY)"))&gt;0,IFERROR(('Final Calculation Sheet'!$O$20)&amp;"","")="",ISNUMBER(SEARCH($AS$75:$AZ$75,IFERROR(('Final Calculation Sheet'!$O$20)&amp;"","")))))&gt;0),IF(COUNTIF($BI$75:$BP$75,3)=0,TRUE,SUMPRODUCT(($BI$75:$BP$75=3)*($AS$75:$AZ$75&lt;&gt;"")*IF(((UPPER($AS$75:$AZ$75)="BLANK")+(UPPER($AS$75:$AZ$75)="(BLANK)")+(UPPER($AS$75:$AZ$75)="EMPTY")+(UPPER($AS$75:$AZ$75)="(EMPTY)"))&gt;0,IFERROR(('Final Calculation Sheet'!$O$20)&amp;"","")="",ISNUMBER(SEARCH($AS$75:$AZ$75,IFERROR(('Final Calculation Sheet'!$O$20)&amp;"","")))))&gt;0),IF(COUNTIF($BI$75:$BP$75,4)=0,TRUE,SUMPRODUCT(($BI$75:$BP$75=4)*($AS$75:$AZ$75&lt;&gt;"")*IF(((UPPER($AS$75:$AZ$75)="BLANK")+(UPPER($AS$75:$AZ$75)="(BLANK)")+(UPPER($AS$75:$AZ$75)="EMPTY")+(UPPER($AS$75:$AZ$75)="(EMPTY)"))&gt;0,IFERROR(('Final Calculation Sheet'!$O$20)&amp;"","")="",ISNUMBER(SEARCH($AS$75:$AZ$75,IFERROR(('Final Calculation Sheet'!$O$20)&amp;"","")))))&gt;0),IF(COUNTIF($BI$75:$BP$75,5)=0,TRUE,SUMPRODUCT(($BI$75:$BP$75=5)*($AS$75:$AZ$75&lt;&gt;"")*IF(((UPPER($AS$75:$AZ$75)="BLANK")+(UPPER($AS$75:$AZ$75)="(BLANK)")+(UPPER($AS$75:$AZ$75)="EMPTY")+(UPPER($AS$75:$AZ$75)="(EMPTY)"))&gt;0,IFERROR(('Final Calculation Sheet'!$O$20)&amp;"","")="",ISNUMBER(SEARCH($AS$75:$AZ$75,IFERROR(('Final Calculation Sheet'!$O$20)&amp;"","")))))&gt;0),IF(COUNTIF($BI$75:$BP$75,6)=0,TRUE,SUMPRODUCT(($BI$75:$BP$75=6)*($AS$75:$AZ$75&lt;&gt;"")*IF(((UPPER($AS$75:$AZ$75)="BLANK")+(UPPER($AS$75:$AZ$75)="(BLANK)")+(UPPER($AS$75:$AZ$75)="EMPTY")+(UPPER($AS$75:$AZ$75)="(EMPTY)"))&gt;0,IFERROR(('Final Calculation Sheet'!$O$20)&amp;"","")="",ISNUMBER(SEARCH($AS$75:$AZ$75,IFERROR(('Final Calculation Sheet'!$O$20)&amp;"","")))))&gt;0),IF(COUNTIF($BI$75:$BP$75,7)=0,TRUE,SUMPRODUCT(($BI$75:$BP$75=7)*($AS$75:$AZ$75&lt;&gt;"")*IF(((UPPER($AS$75:$AZ$75)="BLANK")+(UPPER($AS$75:$AZ$75)="(BLANK)")+(UPPER($AS$75:$AZ$75)="EMPTY")+(UPPER($AS$75:$AZ$75)="(EMPTY)"))&gt;0,IFERROR(('Final Calculation Sheet'!$O$20)&amp;"","")="",ISNUMBER(SEARCH($AS$75:$AZ$75,IFERROR(('Final Calculation Sheet'!$O$20)&amp;"","")))))&gt;0),IF(COUNTIF($BI$75:$BP$75,8)=0,TRUE,SUMPRODUCT(($BI$75:$BP$75=8)*($AS$75:$AZ$75&lt;&gt;"")*IF(((UPPER($AS$75:$AZ$75)="BLANK")+(UPPER($AS$75:$AZ$75)="(BLANK)")+(UPPER($AS$75:$AZ$75)="EMPTY")+(UPPER($AS$75:$AZ$75)="(EMPTY)"))&gt;0,IFERROR(('Final Calculation Sheet'!$O$20)&amp;"","")="",ISNUMBER(SEARCH($AS$75:$AZ$75,IFERROR(('Final Calculation Sheet'!$O$20)&amp;"","")))))&gt;0))))</f>
        <v>1</v>
      </c>
      <c r="CC21">
        <f>IF($Q$4="",1,--(AND(SUMPRODUCT(--($AS$76:$AZ$76&lt;&gt;""))&gt;0,IF(COUNTIF($BI$76:$BP$76,1)=0,TRUE,SUMPRODUCT(($BI$76:$BP$76=1)*($AS$76:$AZ$76&lt;&gt;"")*IF(((UPPER($AS$76:$AZ$76)="BLANK")+(UPPER($AS$76:$AZ$76)="(BLANK)")+(UPPER($AS$76:$AZ$76)="EMPTY")+(UPPER($AS$76:$AZ$76)="(EMPTY)"))&gt;0,IFERROR(('Final Calculation Sheet'!$P$20)&amp;"","")="",ISNUMBER(SEARCH($AS$76:$AZ$76,IFERROR(('Final Calculation Sheet'!$P$20)&amp;"","")))))&gt;0),IF(COUNTIF($BI$76:$BP$76,2)=0,TRUE,SUMPRODUCT(($BI$76:$BP$76=2)*($AS$76:$AZ$76&lt;&gt;"")*IF(((UPPER($AS$76:$AZ$76)="BLANK")+(UPPER($AS$76:$AZ$76)="(BLANK)")+(UPPER($AS$76:$AZ$76)="EMPTY")+(UPPER($AS$76:$AZ$76)="(EMPTY)"))&gt;0,IFERROR(('Final Calculation Sheet'!$P$20)&amp;"","")="",ISNUMBER(SEARCH($AS$76:$AZ$76,IFERROR(('Final Calculation Sheet'!$P$20)&amp;"","")))))&gt;0),IF(COUNTIF($BI$76:$BP$76,3)=0,TRUE,SUMPRODUCT(($BI$76:$BP$76=3)*($AS$76:$AZ$76&lt;&gt;"")*IF(((UPPER($AS$76:$AZ$76)="BLANK")+(UPPER($AS$76:$AZ$76)="(BLANK)")+(UPPER($AS$76:$AZ$76)="EMPTY")+(UPPER($AS$76:$AZ$76)="(EMPTY)"))&gt;0,IFERROR(('Final Calculation Sheet'!$P$20)&amp;"","")="",ISNUMBER(SEARCH($AS$76:$AZ$76,IFERROR(('Final Calculation Sheet'!$P$20)&amp;"","")))))&gt;0),IF(COUNTIF($BI$76:$BP$76,4)=0,TRUE,SUMPRODUCT(($BI$76:$BP$76=4)*($AS$76:$AZ$76&lt;&gt;"")*IF(((UPPER($AS$76:$AZ$76)="BLANK")+(UPPER($AS$76:$AZ$76)="(BLANK)")+(UPPER($AS$76:$AZ$76)="EMPTY")+(UPPER($AS$76:$AZ$76)="(EMPTY)"))&gt;0,IFERROR(('Final Calculation Sheet'!$P$20)&amp;"","")="",ISNUMBER(SEARCH($AS$76:$AZ$76,IFERROR(('Final Calculation Sheet'!$P$20)&amp;"","")))))&gt;0),IF(COUNTIF($BI$76:$BP$76,5)=0,TRUE,SUMPRODUCT(($BI$76:$BP$76=5)*($AS$76:$AZ$76&lt;&gt;"")*IF(((UPPER($AS$76:$AZ$76)="BLANK")+(UPPER($AS$76:$AZ$76)="(BLANK)")+(UPPER($AS$76:$AZ$76)="EMPTY")+(UPPER($AS$76:$AZ$76)="(EMPTY)"))&gt;0,IFERROR(('Final Calculation Sheet'!$P$20)&amp;"","")="",ISNUMBER(SEARCH($AS$76:$AZ$76,IFERROR(('Final Calculation Sheet'!$P$20)&amp;"","")))))&gt;0),IF(COUNTIF($BI$76:$BP$76,6)=0,TRUE,SUMPRODUCT(($BI$76:$BP$76=6)*($AS$76:$AZ$76&lt;&gt;"")*IF(((UPPER($AS$76:$AZ$76)="BLANK")+(UPPER($AS$76:$AZ$76)="(BLANK)")+(UPPER($AS$76:$AZ$76)="EMPTY")+(UPPER($AS$76:$AZ$76)="(EMPTY)"))&gt;0,IFERROR(('Final Calculation Sheet'!$P$20)&amp;"","")="",ISNUMBER(SEARCH($AS$76:$AZ$76,IFERROR(('Final Calculation Sheet'!$P$20)&amp;"","")))))&gt;0),IF(COUNTIF($BI$76:$BP$76,7)=0,TRUE,SUMPRODUCT(($BI$76:$BP$76=7)*($AS$76:$AZ$76&lt;&gt;"")*IF(((UPPER($AS$76:$AZ$76)="BLANK")+(UPPER($AS$76:$AZ$76)="(BLANK)")+(UPPER($AS$76:$AZ$76)="EMPTY")+(UPPER($AS$76:$AZ$76)="(EMPTY)"))&gt;0,IFERROR(('Final Calculation Sheet'!$P$20)&amp;"","")="",ISNUMBER(SEARCH($AS$76:$AZ$76,IFERROR(('Final Calculation Sheet'!$P$20)&amp;"","")))))&gt;0),IF(COUNTIF($BI$76:$BP$76,8)=0,TRUE,SUMPRODUCT(($BI$76:$BP$76=8)*($AS$76:$AZ$76&lt;&gt;"")*IF(((UPPER($AS$76:$AZ$76)="BLANK")+(UPPER($AS$76:$AZ$76)="(BLANK)")+(UPPER($AS$76:$AZ$76)="EMPTY")+(UPPER($AS$76:$AZ$76)="(EMPTY)"))&gt;0,IFERROR(('Final Calculation Sheet'!$P$20)&amp;"","")="",ISNUMBER(SEARCH($AS$76:$AZ$76,IFERROR(('Final Calculation Sheet'!$P$20)&amp;"","")))))&gt;0))))</f>
        <v>1</v>
      </c>
      <c r="CD21">
        <f>IF($R$4="",1,--(AND(SUMPRODUCT(--($AS$77:$AZ$77&lt;&gt;""))&gt;0,IF(COUNTIF($BI$77:$BP$77,1)=0,TRUE,SUMPRODUCT(($BI$77:$BP$77=1)*($AS$77:$AZ$77&lt;&gt;"")*IF(((UPPER($AS$77:$AZ$77)="BLANK")+(UPPER($AS$77:$AZ$77)="(BLANK)")+(UPPER($AS$77:$AZ$77)="EMPTY")+(UPPER($AS$77:$AZ$77)="(EMPTY)"))&gt;0,IFERROR(('Final Calculation Sheet'!$Q$20)&amp;"","")="",ISNUMBER(SEARCH($AS$77:$AZ$77,IFERROR(('Final Calculation Sheet'!$Q$20)&amp;"","")))))&gt;0),IF(COUNTIF($BI$77:$BP$77,2)=0,TRUE,SUMPRODUCT(($BI$77:$BP$77=2)*($AS$77:$AZ$77&lt;&gt;"")*IF(((UPPER($AS$77:$AZ$77)="BLANK")+(UPPER($AS$77:$AZ$77)="(BLANK)")+(UPPER($AS$77:$AZ$77)="EMPTY")+(UPPER($AS$77:$AZ$77)="(EMPTY)"))&gt;0,IFERROR(('Final Calculation Sheet'!$Q$20)&amp;"","")="",ISNUMBER(SEARCH($AS$77:$AZ$77,IFERROR(('Final Calculation Sheet'!$Q$20)&amp;"","")))))&gt;0),IF(COUNTIF($BI$77:$BP$77,3)=0,TRUE,SUMPRODUCT(($BI$77:$BP$77=3)*($AS$77:$AZ$77&lt;&gt;"")*IF(((UPPER($AS$77:$AZ$77)="BLANK")+(UPPER($AS$77:$AZ$77)="(BLANK)")+(UPPER($AS$77:$AZ$77)="EMPTY")+(UPPER($AS$77:$AZ$77)="(EMPTY)"))&gt;0,IFERROR(('Final Calculation Sheet'!$Q$20)&amp;"","")="",ISNUMBER(SEARCH($AS$77:$AZ$77,IFERROR(('Final Calculation Sheet'!$Q$20)&amp;"","")))))&gt;0),IF(COUNTIF($BI$77:$BP$77,4)=0,TRUE,SUMPRODUCT(($BI$77:$BP$77=4)*($AS$77:$AZ$77&lt;&gt;"")*IF(((UPPER($AS$77:$AZ$77)="BLANK")+(UPPER($AS$77:$AZ$77)="(BLANK)")+(UPPER($AS$77:$AZ$77)="EMPTY")+(UPPER($AS$77:$AZ$77)="(EMPTY)"))&gt;0,IFERROR(('Final Calculation Sheet'!$Q$20)&amp;"","")="",ISNUMBER(SEARCH($AS$77:$AZ$77,IFERROR(('Final Calculation Sheet'!$Q$20)&amp;"","")))))&gt;0),IF(COUNTIF($BI$77:$BP$77,5)=0,TRUE,SUMPRODUCT(($BI$77:$BP$77=5)*($AS$77:$AZ$77&lt;&gt;"")*IF(((UPPER($AS$77:$AZ$77)="BLANK")+(UPPER($AS$77:$AZ$77)="(BLANK)")+(UPPER($AS$77:$AZ$77)="EMPTY")+(UPPER($AS$77:$AZ$77)="(EMPTY)"))&gt;0,IFERROR(('Final Calculation Sheet'!$Q$20)&amp;"","")="",ISNUMBER(SEARCH($AS$77:$AZ$77,IFERROR(('Final Calculation Sheet'!$Q$20)&amp;"","")))))&gt;0),IF(COUNTIF($BI$77:$BP$77,6)=0,TRUE,SUMPRODUCT(($BI$77:$BP$77=6)*($AS$77:$AZ$77&lt;&gt;"")*IF(((UPPER($AS$77:$AZ$77)="BLANK")+(UPPER($AS$77:$AZ$77)="(BLANK)")+(UPPER($AS$77:$AZ$77)="EMPTY")+(UPPER($AS$77:$AZ$77)="(EMPTY)"))&gt;0,IFERROR(('Final Calculation Sheet'!$Q$20)&amp;"","")="",ISNUMBER(SEARCH($AS$77:$AZ$77,IFERROR(('Final Calculation Sheet'!$Q$20)&amp;"","")))))&gt;0),IF(COUNTIF($BI$77:$BP$77,7)=0,TRUE,SUMPRODUCT(($BI$77:$BP$77=7)*($AS$77:$AZ$77&lt;&gt;"")*IF(((UPPER($AS$77:$AZ$77)="BLANK")+(UPPER($AS$77:$AZ$77)="(BLANK)")+(UPPER($AS$77:$AZ$77)="EMPTY")+(UPPER($AS$77:$AZ$77)="(EMPTY)"))&gt;0,IFERROR(('Final Calculation Sheet'!$Q$20)&amp;"","")="",ISNUMBER(SEARCH($AS$77:$AZ$77,IFERROR(('Final Calculation Sheet'!$Q$20)&amp;"","")))))&gt;0),IF(COUNTIF($BI$77:$BP$77,8)=0,TRUE,SUMPRODUCT(($BI$77:$BP$77=8)*($AS$77:$AZ$77&lt;&gt;"")*IF(((UPPER($AS$77:$AZ$77)="BLANK")+(UPPER($AS$77:$AZ$77)="(BLANK)")+(UPPER($AS$77:$AZ$77)="EMPTY")+(UPPER($AS$77:$AZ$77)="(EMPTY)"))&gt;0,IFERROR(('Final Calculation Sheet'!$Q$20)&amp;"","")="",ISNUMBER(SEARCH($AS$77:$AZ$77,IFERROR(('Final Calculation Sheet'!$Q$20)&amp;"","")))))&gt;0))))</f>
        <v>1</v>
      </c>
      <c r="CE21">
        <f>IF($S$4="",1,--(AND(SUMPRODUCT(--($AS$78:$AZ$78&lt;&gt;""))&gt;0,IF(COUNTIF($BI$78:$BP$78,1)=0,TRUE,SUMPRODUCT(($BI$78:$BP$78=1)*($AS$78:$AZ$78&lt;&gt;"")*IF(((UPPER($AS$78:$AZ$78)="BLANK")+(UPPER($AS$78:$AZ$78)="(BLANK)")+(UPPER($AS$78:$AZ$78)="EMPTY")+(UPPER($AS$78:$AZ$78)="(EMPTY)"))&gt;0,IFERROR(('Final Calculation Sheet'!$R$20)&amp;"","")="",ISNUMBER(SEARCH($AS$78:$AZ$78,IFERROR(('Final Calculation Sheet'!$R$20)&amp;"","")))))&gt;0),IF(COUNTIF($BI$78:$BP$78,2)=0,TRUE,SUMPRODUCT(($BI$78:$BP$78=2)*($AS$78:$AZ$78&lt;&gt;"")*IF(((UPPER($AS$78:$AZ$78)="BLANK")+(UPPER($AS$78:$AZ$78)="(BLANK)")+(UPPER($AS$78:$AZ$78)="EMPTY")+(UPPER($AS$78:$AZ$78)="(EMPTY)"))&gt;0,IFERROR(('Final Calculation Sheet'!$R$20)&amp;"","")="",ISNUMBER(SEARCH($AS$78:$AZ$78,IFERROR(('Final Calculation Sheet'!$R$20)&amp;"","")))))&gt;0),IF(COUNTIF($BI$78:$BP$78,3)=0,TRUE,SUMPRODUCT(($BI$78:$BP$78=3)*($AS$78:$AZ$78&lt;&gt;"")*IF(((UPPER($AS$78:$AZ$78)="BLANK")+(UPPER($AS$78:$AZ$78)="(BLANK)")+(UPPER($AS$78:$AZ$78)="EMPTY")+(UPPER($AS$78:$AZ$78)="(EMPTY)"))&gt;0,IFERROR(('Final Calculation Sheet'!$R$20)&amp;"","")="",ISNUMBER(SEARCH($AS$78:$AZ$78,IFERROR(('Final Calculation Sheet'!$R$20)&amp;"","")))))&gt;0),IF(COUNTIF($BI$78:$BP$78,4)=0,TRUE,SUMPRODUCT(($BI$78:$BP$78=4)*($AS$78:$AZ$78&lt;&gt;"")*IF(((UPPER($AS$78:$AZ$78)="BLANK")+(UPPER($AS$78:$AZ$78)="(BLANK)")+(UPPER($AS$78:$AZ$78)="EMPTY")+(UPPER($AS$78:$AZ$78)="(EMPTY)"))&gt;0,IFERROR(('Final Calculation Sheet'!$R$20)&amp;"","")="",ISNUMBER(SEARCH($AS$78:$AZ$78,IFERROR(('Final Calculation Sheet'!$R$20)&amp;"","")))))&gt;0),IF(COUNTIF($BI$78:$BP$78,5)=0,TRUE,SUMPRODUCT(($BI$78:$BP$78=5)*($AS$78:$AZ$78&lt;&gt;"")*IF(((UPPER($AS$78:$AZ$78)="BLANK")+(UPPER($AS$78:$AZ$78)="(BLANK)")+(UPPER($AS$78:$AZ$78)="EMPTY")+(UPPER($AS$78:$AZ$78)="(EMPTY)"))&gt;0,IFERROR(('Final Calculation Sheet'!$R$20)&amp;"","")="",ISNUMBER(SEARCH($AS$78:$AZ$78,IFERROR(('Final Calculation Sheet'!$R$20)&amp;"","")))))&gt;0),IF(COUNTIF($BI$78:$BP$78,6)=0,TRUE,SUMPRODUCT(($BI$78:$BP$78=6)*($AS$78:$AZ$78&lt;&gt;"")*IF(((UPPER($AS$78:$AZ$78)="BLANK")+(UPPER($AS$78:$AZ$78)="(BLANK)")+(UPPER($AS$78:$AZ$78)="EMPTY")+(UPPER($AS$78:$AZ$78)="(EMPTY)"))&gt;0,IFERROR(('Final Calculation Sheet'!$R$20)&amp;"","")="",ISNUMBER(SEARCH($AS$78:$AZ$78,IFERROR(('Final Calculation Sheet'!$R$20)&amp;"","")))))&gt;0),IF(COUNTIF($BI$78:$BP$78,7)=0,TRUE,SUMPRODUCT(($BI$78:$BP$78=7)*($AS$78:$AZ$78&lt;&gt;"")*IF(((UPPER($AS$78:$AZ$78)="BLANK")+(UPPER($AS$78:$AZ$78)="(BLANK)")+(UPPER($AS$78:$AZ$78)="EMPTY")+(UPPER($AS$78:$AZ$78)="(EMPTY)"))&gt;0,IFERROR(('Final Calculation Sheet'!$R$20)&amp;"","")="",ISNUMBER(SEARCH($AS$78:$AZ$78,IFERROR(('Final Calculation Sheet'!$R$20)&amp;"","")))))&gt;0),IF(COUNTIF($BI$78:$BP$78,8)=0,TRUE,SUMPRODUCT(($BI$78:$BP$78=8)*($AS$78:$AZ$78&lt;&gt;"")*IF(((UPPER($AS$78:$AZ$78)="BLANK")+(UPPER($AS$78:$AZ$78)="(BLANK)")+(UPPER($AS$78:$AZ$78)="EMPTY")+(UPPER($AS$78:$AZ$78)="(EMPTY)"))&gt;0,IFERROR(('Final Calculation Sheet'!$R$20)&amp;"","")="",ISNUMBER(SEARCH($AS$78:$AZ$78,IFERROR(('Final Calculation Sheet'!$R$20)&amp;"","")))))&gt;0))))</f>
        <v>1</v>
      </c>
      <c r="CF21">
        <f>IF($T$4="",1,--(AND(SUMPRODUCT(--($AS$79:$AZ$79&lt;&gt;""))&gt;0,IF(COUNTIF($BI$79:$BP$79,1)=0,TRUE,SUMPRODUCT(($BI$79:$BP$79=1)*($AS$79:$AZ$79&lt;&gt;"")*IF(((UPPER($AS$79:$AZ$79)="BLANK")+(UPPER($AS$79:$AZ$79)="(BLANK)")+(UPPER($AS$79:$AZ$79)="EMPTY")+(UPPER($AS$79:$AZ$79)="(EMPTY)"))&gt;0,IFERROR(('Final Calculation Sheet'!$S$20)&amp;"","")="",ISNUMBER(SEARCH($AS$79:$AZ$79,IFERROR(('Final Calculation Sheet'!$S$20)&amp;"","")))))&gt;0),IF(COUNTIF($BI$79:$BP$79,2)=0,TRUE,SUMPRODUCT(($BI$79:$BP$79=2)*($AS$79:$AZ$79&lt;&gt;"")*IF(((UPPER($AS$79:$AZ$79)="BLANK")+(UPPER($AS$79:$AZ$79)="(BLANK)")+(UPPER($AS$79:$AZ$79)="EMPTY")+(UPPER($AS$79:$AZ$79)="(EMPTY)"))&gt;0,IFERROR(('Final Calculation Sheet'!$S$20)&amp;"","")="",ISNUMBER(SEARCH($AS$79:$AZ$79,IFERROR(('Final Calculation Sheet'!$S$20)&amp;"","")))))&gt;0),IF(COUNTIF($BI$79:$BP$79,3)=0,TRUE,SUMPRODUCT(($BI$79:$BP$79=3)*($AS$79:$AZ$79&lt;&gt;"")*IF(((UPPER($AS$79:$AZ$79)="BLANK")+(UPPER($AS$79:$AZ$79)="(BLANK)")+(UPPER($AS$79:$AZ$79)="EMPTY")+(UPPER($AS$79:$AZ$79)="(EMPTY)"))&gt;0,IFERROR(('Final Calculation Sheet'!$S$20)&amp;"","")="",ISNUMBER(SEARCH($AS$79:$AZ$79,IFERROR(('Final Calculation Sheet'!$S$20)&amp;"","")))))&gt;0),IF(COUNTIF($BI$79:$BP$79,4)=0,TRUE,SUMPRODUCT(($BI$79:$BP$79=4)*($AS$79:$AZ$79&lt;&gt;"")*IF(((UPPER($AS$79:$AZ$79)="BLANK")+(UPPER($AS$79:$AZ$79)="(BLANK)")+(UPPER($AS$79:$AZ$79)="EMPTY")+(UPPER($AS$79:$AZ$79)="(EMPTY)"))&gt;0,IFERROR(('Final Calculation Sheet'!$S$20)&amp;"","")="",ISNUMBER(SEARCH($AS$79:$AZ$79,IFERROR(('Final Calculation Sheet'!$S$20)&amp;"","")))))&gt;0),IF(COUNTIF($BI$79:$BP$79,5)=0,TRUE,SUMPRODUCT(($BI$79:$BP$79=5)*($AS$79:$AZ$79&lt;&gt;"")*IF(((UPPER($AS$79:$AZ$79)="BLANK")+(UPPER($AS$79:$AZ$79)="(BLANK)")+(UPPER($AS$79:$AZ$79)="EMPTY")+(UPPER($AS$79:$AZ$79)="(EMPTY)"))&gt;0,IFERROR(('Final Calculation Sheet'!$S$20)&amp;"","")="",ISNUMBER(SEARCH($AS$79:$AZ$79,IFERROR(('Final Calculation Sheet'!$S$20)&amp;"","")))))&gt;0),IF(COUNTIF($BI$79:$BP$79,6)=0,TRUE,SUMPRODUCT(($BI$79:$BP$79=6)*($AS$79:$AZ$79&lt;&gt;"")*IF(((UPPER($AS$79:$AZ$79)="BLANK")+(UPPER($AS$79:$AZ$79)="(BLANK)")+(UPPER($AS$79:$AZ$79)="EMPTY")+(UPPER($AS$79:$AZ$79)="(EMPTY)"))&gt;0,IFERROR(('Final Calculation Sheet'!$S$20)&amp;"","")="",ISNUMBER(SEARCH($AS$79:$AZ$79,IFERROR(('Final Calculation Sheet'!$S$20)&amp;"","")))))&gt;0),IF(COUNTIF($BI$79:$BP$79,7)=0,TRUE,SUMPRODUCT(($BI$79:$BP$79=7)*($AS$79:$AZ$79&lt;&gt;"")*IF(((UPPER($AS$79:$AZ$79)="BLANK")+(UPPER($AS$79:$AZ$79)="(BLANK)")+(UPPER($AS$79:$AZ$79)="EMPTY")+(UPPER($AS$79:$AZ$79)="(EMPTY)"))&gt;0,IFERROR(('Final Calculation Sheet'!$S$20)&amp;"","")="",ISNUMBER(SEARCH($AS$79:$AZ$79,IFERROR(('Final Calculation Sheet'!$S$20)&amp;"","")))))&gt;0),IF(COUNTIF($BI$79:$BP$79,8)=0,TRUE,SUMPRODUCT(($BI$79:$BP$79=8)*($AS$79:$AZ$79&lt;&gt;"")*IF(((UPPER($AS$79:$AZ$79)="BLANK")+(UPPER($AS$79:$AZ$79)="(BLANK)")+(UPPER($AS$79:$AZ$79)="EMPTY")+(UPPER($AS$79:$AZ$79)="(EMPTY)"))&gt;0,IFERROR(('Final Calculation Sheet'!$S$20)&amp;"","")="",ISNUMBER(SEARCH($AS$79:$AZ$79,IFERROR(('Final Calculation Sheet'!$S$20)&amp;"","")))))&gt;0))))</f>
        <v>1</v>
      </c>
      <c r="CG21">
        <f>IF($U$4="",1,--(AND(SUMPRODUCT(--($AS$80:$AZ$80&lt;&gt;""))&gt;0,IF(COUNTIF($BI$80:$BP$80,1)=0,TRUE,SUMPRODUCT(($BI$80:$BP$80=1)*($AS$80:$AZ$80&lt;&gt;"")*IF(((UPPER($AS$80:$AZ$80)="BLANK")+(UPPER($AS$80:$AZ$80)="(BLANK)")+(UPPER($AS$80:$AZ$80)="EMPTY")+(UPPER($AS$80:$AZ$80)="(EMPTY)"))&gt;0,IFERROR(('Final Calculation Sheet'!$T$20)&amp;"","")="",ISNUMBER(SEARCH($AS$80:$AZ$80,IFERROR(('Final Calculation Sheet'!$T$20)&amp;"","")))))&gt;0),IF(COUNTIF($BI$80:$BP$80,2)=0,TRUE,SUMPRODUCT(($BI$80:$BP$80=2)*($AS$80:$AZ$80&lt;&gt;"")*IF(((UPPER($AS$80:$AZ$80)="BLANK")+(UPPER($AS$80:$AZ$80)="(BLANK)")+(UPPER($AS$80:$AZ$80)="EMPTY")+(UPPER($AS$80:$AZ$80)="(EMPTY)"))&gt;0,IFERROR(('Final Calculation Sheet'!$T$20)&amp;"","")="",ISNUMBER(SEARCH($AS$80:$AZ$80,IFERROR(('Final Calculation Sheet'!$T$20)&amp;"","")))))&gt;0),IF(COUNTIF($BI$80:$BP$80,3)=0,TRUE,SUMPRODUCT(($BI$80:$BP$80=3)*($AS$80:$AZ$80&lt;&gt;"")*IF(((UPPER($AS$80:$AZ$80)="BLANK")+(UPPER($AS$80:$AZ$80)="(BLANK)")+(UPPER($AS$80:$AZ$80)="EMPTY")+(UPPER($AS$80:$AZ$80)="(EMPTY)"))&gt;0,IFERROR(('Final Calculation Sheet'!$T$20)&amp;"","")="",ISNUMBER(SEARCH($AS$80:$AZ$80,IFERROR(('Final Calculation Sheet'!$T$20)&amp;"","")))))&gt;0),IF(COUNTIF($BI$80:$BP$80,4)=0,TRUE,SUMPRODUCT(($BI$80:$BP$80=4)*($AS$80:$AZ$80&lt;&gt;"")*IF(((UPPER($AS$80:$AZ$80)="BLANK")+(UPPER($AS$80:$AZ$80)="(BLANK)")+(UPPER($AS$80:$AZ$80)="EMPTY")+(UPPER($AS$80:$AZ$80)="(EMPTY)"))&gt;0,IFERROR(('Final Calculation Sheet'!$T$20)&amp;"","")="",ISNUMBER(SEARCH($AS$80:$AZ$80,IFERROR(('Final Calculation Sheet'!$T$20)&amp;"","")))))&gt;0),IF(COUNTIF($BI$80:$BP$80,5)=0,TRUE,SUMPRODUCT(($BI$80:$BP$80=5)*($AS$80:$AZ$80&lt;&gt;"")*IF(((UPPER($AS$80:$AZ$80)="BLANK")+(UPPER($AS$80:$AZ$80)="(BLANK)")+(UPPER($AS$80:$AZ$80)="EMPTY")+(UPPER($AS$80:$AZ$80)="(EMPTY)"))&gt;0,IFERROR(('Final Calculation Sheet'!$T$20)&amp;"","")="",ISNUMBER(SEARCH($AS$80:$AZ$80,IFERROR(('Final Calculation Sheet'!$T$20)&amp;"","")))))&gt;0),IF(COUNTIF($BI$80:$BP$80,6)=0,TRUE,SUMPRODUCT(($BI$80:$BP$80=6)*($AS$80:$AZ$80&lt;&gt;"")*IF(((UPPER($AS$80:$AZ$80)="BLANK")+(UPPER($AS$80:$AZ$80)="(BLANK)")+(UPPER($AS$80:$AZ$80)="EMPTY")+(UPPER($AS$80:$AZ$80)="(EMPTY)"))&gt;0,IFERROR(('Final Calculation Sheet'!$T$20)&amp;"","")="",ISNUMBER(SEARCH($AS$80:$AZ$80,IFERROR(('Final Calculation Sheet'!$T$20)&amp;"","")))))&gt;0),IF(COUNTIF($BI$80:$BP$80,7)=0,TRUE,SUMPRODUCT(($BI$80:$BP$80=7)*($AS$80:$AZ$80&lt;&gt;"")*IF(((UPPER($AS$80:$AZ$80)="BLANK")+(UPPER($AS$80:$AZ$80)="(BLANK)")+(UPPER($AS$80:$AZ$80)="EMPTY")+(UPPER($AS$80:$AZ$80)="(EMPTY)"))&gt;0,IFERROR(('Final Calculation Sheet'!$T$20)&amp;"","")="",ISNUMBER(SEARCH($AS$80:$AZ$80,IFERROR(('Final Calculation Sheet'!$T$20)&amp;"","")))))&gt;0),IF(COUNTIF($BI$80:$BP$80,8)=0,TRUE,SUMPRODUCT(($BI$80:$BP$80=8)*($AS$80:$AZ$80&lt;&gt;"")*IF(((UPPER($AS$80:$AZ$80)="BLANK")+(UPPER($AS$80:$AZ$80)="(BLANK)")+(UPPER($AS$80:$AZ$80)="EMPTY")+(UPPER($AS$80:$AZ$80)="(EMPTY)"))&gt;0,IFERROR(('Final Calculation Sheet'!$T$20)&amp;"","")="",ISNUMBER(SEARCH($AS$80:$AZ$80,IFERROR(('Final Calculation Sheet'!$T$20)&amp;"","")))))&gt;0))))</f>
        <v>1</v>
      </c>
      <c r="CH21">
        <f>IF($V$4="",1,--(AND(SUMPRODUCT(--($AS$81:$AZ$81&lt;&gt;""))&gt;0,IF(COUNTIF($BI$81:$BP$81,1)=0,TRUE,SUMPRODUCT(($BI$81:$BP$81=1)*($AS$81:$AZ$81&lt;&gt;"")*IF(((UPPER($AS$81:$AZ$81)="BLANK")+(UPPER($AS$81:$AZ$81)="(BLANK)")+(UPPER($AS$81:$AZ$81)="EMPTY")+(UPPER($AS$81:$AZ$81)="(EMPTY)"))&gt;0,IFERROR(('Final Calculation Sheet'!$U$20)&amp;"","")="",ISNUMBER(SEARCH($AS$81:$AZ$81,IFERROR(('Final Calculation Sheet'!$U$20)&amp;"","")))))&gt;0),IF(COUNTIF($BI$81:$BP$81,2)=0,TRUE,SUMPRODUCT(($BI$81:$BP$81=2)*($AS$81:$AZ$81&lt;&gt;"")*IF(((UPPER($AS$81:$AZ$81)="BLANK")+(UPPER($AS$81:$AZ$81)="(BLANK)")+(UPPER($AS$81:$AZ$81)="EMPTY")+(UPPER($AS$81:$AZ$81)="(EMPTY)"))&gt;0,IFERROR(('Final Calculation Sheet'!$U$20)&amp;"","")="",ISNUMBER(SEARCH($AS$81:$AZ$81,IFERROR(('Final Calculation Sheet'!$U$20)&amp;"","")))))&gt;0),IF(COUNTIF($BI$81:$BP$81,3)=0,TRUE,SUMPRODUCT(($BI$81:$BP$81=3)*($AS$81:$AZ$81&lt;&gt;"")*IF(((UPPER($AS$81:$AZ$81)="BLANK")+(UPPER($AS$81:$AZ$81)="(BLANK)")+(UPPER($AS$81:$AZ$81)="EMPTY")+(UPPER($AS$81:$AZ$81)="(EMPTY)"))&gt;0,IFERROR(('Final Calculation Sheet'!$U$20)&amp;"","")="",ISNUMBER(SEARCH($AS$81:$AZ$81,IFERROR(('Final Calculation Sheet'!$U$20)&amp;"","")))))&gt;0),IF(COUNTIF($BI$81:$BP$81,4)=0,TRUE,SUMPRODUCT(($BI$81:$BP$81=4)*($AS$81:$AZ$81&lt;&gt;"")*IF(((UPPER($AS$81:$AZ$81)="BLANK")+(UPPER($AS$81:$AZ$81)="(BLANK)")+(UPPER($AS$81:$AZ$81)="EMPTY")+(UPPER($AS$81:$AZ$81)="(EMPTY)"))&gt;0,IFERROR(('Final Calculation Sheet'!$U$20)&amp;"","")="",ISNUMBER(SEARCH($AS$81:$AZ$81,IFERROR(('Final Calculation Sheet'!$U$20)&amp;"","")))))&gt;0),IF(COUNTIF($BI$81:$BP$81,5)=0,TRUE,SUMPRODUCT(($BI$81:$BP$81=5)*($AS$81:$AZ$81&lt;&gt;"")*IF(((UPPER($AS$81:$AZ$81)="BLANK")+(UPPER($AS$81:$AZ$81)="(BLANK)")+(UPPER($AS$81:$AZ$81)="EMPTY")+(UPPER($AS$81:$AZ$81)="(EMPTY)"))&gt;0,IFERROR(('Final Calculation Sheet'!$U$20)&amp;"","")="",ISNUMBER(SEARCH($AS$81:$AZ$81,IFERROR(('Final Calculation Sheet'!$U$20)&amp;"","")))))&gt;0),IF(COUNTIF($BI$81:$BP$81,6)=0,TRUE,SUMPRODUCT(($BI$81:$BP$81=6)*($AS$81:$AZ$81&lt;&gt;"")*IF(((UPPER($AS$81:$AZ$81)="BLANK")+(UPPER($AS$81:$AZ$81)="(BLANK)")+(UPPER($AS$81:$AZ$81)="EMPTY")+(UPPER($AS$81:$AZ$81)="(EMPTY)"))&gt;0,IFERROR(('Final Calculation Sheet'!$U$20)&amp;"","")="",ISNUMBER(SEARCH($AS$81:$AZ$81,IFERROR(('Final Calculation Sheet'!$U$20)&amp;"","")))))&gt;0),IF(COUNTIF($BI$81:$BP$81,7)=0,TRUE,SUMPRODUCT(($BI$81:$BP$81=7)*($AS$81:$AZ$81&lt;&gt;"")*IF(((UPPER($AS$81:$AZ$81)="BLANK")+(UPPER($AS$81:$AZ$81)="(BLANK)")+(UPPER($AS$81:$AZ$81)="EMPTY")+(UPPER($AS$81:$AZ$81)="(EMPTY)"))&gt;0,IFERROR(('Final Calculation Sheet'!$U$20)&amp;"","")="",ISNUMBER(SEARCH($AS$81:$AZ$81,IFERROR(('Final Calculation Sheet'!$U$20)&amp;"","")))))&gt;0),IF(COUNTIF($BI$81:$BP$81,8)=0,TRUE,SUMPRODUCT(($BI$81:$BP$81=8)*($AS$81:$AZ$81&lt;&gt;"")*IF(((UPPER($AS$81:$AZ$81)="BLANK")+(UPPER($AS$81:$AZ$81)="(BLANK)")+(UPPER($AS$81:$AZ$81)="EMPTY")+(UPPER($AS$81:$AZ$81)="(EMPTY)"))&gt;0,IFERROR(('Final Calculation Sheet'!$U$20)&amp;"","")="",ISNUMBER(SEARCH($AS$81:$AZ$81,IFERROR(('Final Calculation Sheet'!$U$20)&amp;"","")))))&gt;0))))</f>
        <v>1</v>
      </c>
      <c r="CI21">
        <f>IF($W$4="",1,--(AND(SUMPRODUCT(--($AS$82:$AZ$82&lt;&gt;""))&gt;0,IF(COUNTIF($BI$82:$BP$82,1)=0,TRUE,SUMPRODUCT(($BI$82:$BP$82=1)*($AS$82:$AZ$82&lt;&gt;"")*IF(((UPPER($AS$82:$AZ$82)="BLANK")+(UPPER($AS$82:$AZ$82)="(BLANK)")+(UPPER($AS$82:$AZ$82)="EMPTY")+(UPPER($AS$82:$AZ$82)="(EMPTY)"))&gt;0,IFERROR(('Final Calculation Sheet'!$V$20)&amp;"","")="",ISNUMBER(SEARCH($AS$82:$AZ$82,IFERROR(('Final Calculation Sheet'!$V$20)&amp;"","")))))&gt;0),IF(COUNTIF($BI$82:$BP$82,2)=0,TRUE,SUMPRODUCT(($BI$82:$BP$82=2)*($AS$82:$AZ$82&lt;&gt;"")*IF(((UPPER($AS$82:$AZ$82)="BLANK")+(UPPER($AS$82:$AZ$82)="(BLANK)")+(UPPER($AS$82:$AZ$82)="EMPTY")+(UPPER($AS$82:$AZ$82)="(EMPTY)"))&gt;0,IFERROR(('Final Calculation Sheet'!$V$20)&amp;"","")="",ISNUMBER(SEARCH($AS$82:$AZ$82,IFERROR(('Final Calculation Sheet'!$V$20)&amp;"","")))))&gt;0),IF(COUNTIF($BI$82:$BP$82,3)=0,TRUE,SUMPRODUCT(($BI$82:$BP$82=3)*($AS$82:$AZ$82&lt;&gt;"")*IF(((UPPER($AS$82:$AZ$82)="BLANK")+(UPPER($AS$82:$AZ$82)="(BLANK)")+(UPPER($AS$82:$AZ$82)="EMPTY")+(UPPER($AS$82:$AZ$82)="(EMPTY)"))&gt;0,IFERROR(('Final Calculation Sheet'!$V$20)&amp;"","")="",ISNUMBER(SEARCH($AS$82:$AZ$82,IFERROR(('Final Calculation Sheet'!$V$20)&amp;"","")))))&gt;0),IF(COUNTIF($BI$82:$BP$82,4)=0,TRUE,SUMPRODUCT(($BI$82:$BP$82=4)*($AS$82:$AZ$82&lt;&gt;"")*IF(((UPPER($AS$82:$AZ$82)="BLANK")+(UPPER($AS$82:$AZ$82)="(BLANK)")+(UPPER($AS$82:$AZ$82)="EMPTY")+(UPPER($AS$82:$AZ$82)="(EMPTY)"))&gt;0,IFERROR(('Final Calculation Sheet'!$V$20)&amp;"","")="",ISNUMBER(SEARCH($AS$82:$AZ$82,IFERROR(('Final Calculation Sheet'!$V$20)&amp;"","")))))&gt;0),IF(COUNTIF($BI$82:$BP$82,5)=0,TRUE,SUMPRODUCT(($BI$82:$BP$82=5)*($AS$82:$AZ$82&lt;&gt;"")*IF(((UPPER($AS$82:$AZ$82)="BLANK")+(UPPER($AS$82:$AZ$82)="(BLANK)")+(UPPER($AS$82:$AZ$82)="EMPTY")+(UPPER($AS$82:$AZ$82)="(EMPTY)"))&gt;0,IFERROR(('Final Calculation Sheet'!$V$20)&amp;"","")="",ISNUMBER(SEARCH($AS$82:$AZ$82,IFERROR(('Final Calculation Sheet'!$V$20)&amp;"","")))))&gt;0),IF(COUNTIF($BI$82:$BP$82,6)=0,TRUE,SUMPRODUCT(($BI$82:$BP$82=6)*($AS$82:$AZ$82&lt;&gt;"")*IF(((UPPER($AS$82:$AZ$82)="BLANK")+(UPPER($AS$82:$AZ$82)="(BLANK)")+(UPPER($AS$82:$AZ$82)="EMPTY")+(UPPER($AS$82:$AZ$82)="(EMPTY)"))&gt;0,IFERROR(('Final Calculation Sheet'!$V$20)&amp;"","")="",ISNUMBER(SEARCH($AS$82:$AZ$82,IFERROR(('Final Calculation Sheet'!$V$20)&amp;"","")))))&gt;0),IF(COUNTIF($BI$82:$BP$82,7)=0,TRUE,SUMPRODUCT(($BI$82:$BP$82=7)*($AS$82:$AZ$82&lt;&gt;"")*IF(((UPPER($AS$82:$AZ$82)="BLANK")+(UPPER($AS$82:$AZ$82)="(BLANK)")+(UPPER($AS$82:$AZ$82)="EMPTY")+(UPPER($AS$82:$AZ$82)="(EMPTY)"))&gt;0,IFERROR(('Final Calculation Sheet'!$V$20)&amp;"","")="",ISNUMBER(SEARCH($AS$82:$AZ$82,IFERROR(('Final Calculation Sheet'!$V$20)&amp;"","")))))&gt;0),IF(COUNTIF($BI$82:$BP$82,8)=0,TRUE,SUMPRODUCT(($BI$82:$BP$82=8)*($AS$82:$AZ$82&lt;&gt;"")*IF(((UPPER($AS$82:$AZ$82)="BLANK")+(UPPER($AS$82:$AZ$82)="(BLANK)")+(UPPER($AS$82:$AZ$82)="EMPTY")+(UPPER($AS$82:$AZ$82)="(EMPTY)"))&gt;0,IFERROR(('Final Calculation Sheet'!$V$20)&amp;"","")="",ISNUMBER(SEARCH($AS$82:$AZ$82,IFERROR(('Final Calculation Sheet'!$V$20)&amp;"","")))))&gt;0))))</f>
        <v>1</v>
      </c>
      <c r="CJ21">
        <f>IF($X$4="",1,--(AND(SUMPRODUCT(--($AS$83:$AZ$83&lt;&gt;""))&gt;0,IF(COUNTIF($BI$83:$BP$83,1)=0,TRUE,SUMPRODUCT(($BI$83:$BP$83=1)*($AS$83:$AZ$83&lt;&gt;"")*IF(((UPPER($AS$83:$AZ$83)="BLANK")+(UPPER($AS$83:$AZ$83)="(BLANK)")+(UPPER($AS$83:$AZ$83)="EMPTY")+(UPPER($AS$83:$AZ$83)="(EMPTY)"))&gt;0,IFERROR(('Final Calculation Sheet'!$W$20)&amp;"","")="",ISNUMBER(SEARCH($AS$83:$AZ$83,IFERROR(('Final Calculation Sheet'!$W$20)&amp;"","")))))&gt;0),IF(COUNTIF($BI$83:$BP$83,2)=0,TRUE,SUMPRODUCT(($BI$83:$BP$83=2)*($AS$83:$AZ$83&lt;&gt;"")*IF(((UPPER($AS$83:$AZ$83)="BLANK")+(UPPER($AS$83:$AZ$83)="(BLANK)")+(UPPER($AS$83:$AZ$83)="EMPTY")+(UPPER($AS$83:$AZ$83)="(EMPTY)"))&gt;0,IFERROR(('Final Calculation Sheet'!$W$20)&amp;"","")="",ISNUMBER(SEARCH($AS$83:$AZ$83,IFERROR(('Final Calculation Sheet'!$W$20)&amp;"","")))))&gt;0),IF(COUNTIF($BI$83:$BP$83,3)=0,TRUE,SUMPRODUCT(($BI$83:$BP$83=3)*($AS$83:$AZ$83&lt;&gt;"")*IF(((UPPER($AS$83:$AZ$83)="BLANK")+(UPPER($AS$83:$AZ$83)="(BLANK)")+(UPPER($AS$83:$AZ$83)="EMPTY")+(UPPER($AS$83:$AZ$83)="(EMPTY)"))&gt;0,IFERROR(('Final Calculation Sheet'!$W$20)&amp;"","")="",ISNUMBER(SEARCH($AS$83:$AZ$83,IFERROR(('Final Calculation Sheet'!$W$20)&amp;"","")))))&gt;0),IF(COUNTIF($BI$83:$BP$83,4)=0,TRUE,SUMPRODUCT(($BI$83:$BP$83=4)*($AS$83:$AZ$83&lt;&gt;"")*IF(((UPPER($AS$83:$AZ$83)="BLANK")+(UPPER($AS$83:$AZ$83)="(BLANK)")+(UPPER($AS$83:$AZ$83)="EMPTY")+(UPPER($AS$83:$AZ$83)="(EMPTY)"))&gt;0,IFERROR(('Final Calculation Sheet'!$W$20)&amp;"","")="",ISNUMBER(SEARCH($AS$83:$AZ$83,IFERROR(('Final Calculation Sheet'!$W$20)&amp;"","")))))&gt;0),IF(COUNTIF($BI$83:$BP$83,5)=0,TRUE,SUMPRODUCT(($BI$83:$BP$83=5)*($AS$83:$AZ$83&lt;&gt;"")*IF(((UPPER($AS$83:$AZ$83)="BLANK")+(UPPER($AS$83:$AZ$83)="(BLANK)")+(UPPER($AS$83:$AZ$83)="EMPTY")+(UPPER($AS$83:$AZ$83)="(EMPTY)"))&gt;0,IFERROR(('Final Calculation Sheet'!$W$20)&amp;"","")="",ISNUMBER(SEARCH($AS$83:$AZ$83,IFERROR(('Final Calculation Sheet'!$W$20)&amp;"","")))))&gt;0),IF(COUNTIF($BI$83:$BP$83,6)=0,TRUE,SUMPRODUCT(($BI$83:$BP$83=6)*($AS$83:$AZ$83&lt;&gt;"")*IF(((UPPER($AS$83:$AZ$83)="BLANK")+(UPPER($AS$83:$AZ$83)="(BLANK)")+(UPPER($AS$83:$AZ$83)="EMPTY")+(UPPER($AS$83:$AZ$83)="(EMPTY)"))&gt;0,IFERROR(('Final Calculation Sheet'!$W$20)&amp;"","")="",ISNUMBER(SEARCH($AS$83:$AZ$83,IFERROR(('Final Calculation Sheet'!$W$20)&amp;"","")))))&gt;0),IF(COUNTIF($BI$83:$BP$83,7)=0,TRUE,SUMPRODUCT(($BI$83:$BP$83=7)*($AS$83:$AZ$83&lt;&gt;"")*IF(((UPPER($AS$83:$AZ$83)="BLANK")+(UPPER($AS$83:$AZ$83)="(BLANK)")+(UPPER($AS$83:$AZ$83)="EMPTY")+(UPPER($AS$83:$AZ$83)="(EMPTY)"))&gt;0,IFERROR(('Final Calculation Sheet'!$W$20)&amp;"","")="",ISNUMBER(SEARCH($AS$83:$AZ$83,IFERROR(('Final Calculation Sheet'!$W$20)&amp;"","")))))&gt;0),IF(COUNTIF($BI$83:$BP$83,8)=0,TRUE,SUMPRODUCT(($BI$83:$BP$83=8)*($AS$83:$AZ$83&lt;&gt;"")*IF(((UPPER($AS$83:$AZ$83)="BLANK")+(UPPER($AS$83:$AZ$83)="(BLANK)")+(UPPER($AS$83:$AZ$83)="EMPTY")+(UPPER($AS$83:$AZ$83)="(EMPTY)"))&gt;0,IFERROR(('Final Calculation Sheet'!$W$20)&amp;"","")="",ISNUMBER(SEARCH($AS$83:$AZ$83,IFERROR(('Final Calculation Sheet'!$W$20)&amp;"","")))))&gt;0))))</f>
        <v>1</v>
      </c>
      <c r="CK21">
        <f>IF($Y$4="",1,--(AND(SUMPRODUCT(--($AS$84:$AZ$84&lt;&gt;""))&gt;0,IF(COUNTIF($BI$84:$BP$84,1)=0,TRUE,SUMPRODUCT(($BI$84:$BP$84=1)*($AS$84:$AZ$84&lt;&gt;"")*IF(((UPPER($AS$84:$AZ$84)="BLANK")+(UPPER($AS$84:$AZ$84)="(BLANK)")+(UPPER($AS$84:$AZ$84)="EMPTY")+(UPPER($AS$84:$AZ$84)="(EMPTY)"))&gt;0,IFERROR(('Final Calculation Sheet'!$X$20)&amp;"","")="",ISNUMBER(SEARCH($AS$84:$AZ$84,IFERROR(('Final Calculation Sheet'!$X$20)&amp;"","")))))&gt;0),IF(COUNTIF($BI$84:$BP$84,2)=0,TRUE,SUMPRODUCT(($BI$84:$BP$84=2)*($AS$84:$AZ$84&lt;&gt;"")*IF(((UPPER($AS$84:$AZ$84)="BLANK")+(UPPER($AS$84:$AZ$84)="(BLANK)")+(UPPER($AS$84:$AZ$84)="EMPTY")+(UPPER($AS$84:$AZ$84)="(EMPTY)"))&gt;0,IFERROR(('Final Calculation Sheet'!$X$20)&amp;"","")="",ISNUMBER(SEARCH($AS$84:$AZ$84,IFERROR(('Final Calculation Sheet'!$X$20)&amp;"","")))))&gt;0),IF(COUNTIF($BI$84:$BP$84,3)=0,TRUE,SUMPRODUCT(($BI$84:$BP$84=3)*($AS$84:$AZ$84&lt;&gt;"")*IF(((UPPER($AS$84:$AZ$84)="BLANK")+(UPPER($AS$84:$AZ$84)="(BLANK)")+(UPPER($AS$84:$AZ$84)="EMPTY")+(UPPER($AS$84:$AZ$84)="(EMPTY)"))&gt;0,IFERROR(('Final Calculation Sheet'!$X$20)&amp;"","")="",ISNUMBER(SEARCH($AS$84:$AZ$84,IFERROR(('Final Calculation Sheet'!$X$20)&amp;"","")))))&gt;0),IF(COUNTIF($BI$84:$BP$84,4)=0,TRUE,SUMPRODUCT(($BI$84:$BP$84=4)*($AS$84:$AZ$84&lt;&gt;"")*IF(((UPPER($AS$84:$AZ$84)="BLANK")+(UPPER($AS$84:$AZ$84)="(BLANK)")+(UPPER($AS$84:$AZ$84)="EMPTY")+(UPPER($AS$84:$AZ$84)="(EMPTY)"))&gt;0,IFERROR(('Final Calculation Sheet'!$X$20)&amp;"","")="",ISNUMBER(SEARCH($AS$84:$AZ$84,IFERROR(('Final Calculation Sheet'!$X$20)&amp;"","")))))&gt;0),IF(COUNTIF($BI$84:$BP$84,5)=0,TRUE,SUMPRODUCT(($BI$84:$BP$84=5)*($AS$84:$AZ$84&lt;&gt;"")*IF(((UPPER($AS$84:$AZ$84)="BLANK")+(UPPER($AS$84:$AZ$84)="(BLANK)")+(UPPER($AS$84:$AZ$84)="EMPTY")+(UPPER($AS$84:$AZ$84)="(EMPTY)"))&gt;0,IFERROR(('Final Calculation Sheet'!$X$20)&amp;"","")="",ISNUMBER(SEARCH($AS$84:$AZ$84,IFERROR(('Final Calculation Sheet'!$X$20)&amp;"","")))))&gt;0),IF(COUNTIF($BI$84:$BP$84,6)=0,TRUE,SUMPRODUCT(($BI$84:$BP$84=6)*($AS$84:$AZ$84&lt;&gt;"")*IF(((UPPER($AS$84:$AZ$84)="BLANK")+(UPPER($AS$84:$AZ$84)="(BLANK)")+(UPPER($AS$84:$AZ$84)="EMPTY")+(UPPER($AS$84:$AZ$84)="(EMPTY)"))&gt;0,IFERROR(('Final Calculation Sheet'!$X$20)&amp;"","")="",ISNUMBER(SEARCH($AS$84:$AZ$84,IFERROR(('Final Calculation Sheet'!$X$20)&amp;"","")))))&gt;0),IF(COUNTIF($BI$84:$BP$84,7)=0,TRUE,SUMPRODUCT(($BI$84:$BP$84=7)*($AS$84:$AZ$84&lt;&gt;"")*IF(((UPPER($AS$84:$AZ$84)="BLANK")+(UPPER($AS$84:$AZ$84)="(BLANK)")+(UPPER($AS$84:$AZ$84)="EMPTY")+(UPPER($AS$84:$AZ$84)="(EMPTY)"))&gt;0,IFERROR(('Final Calculation Sheet'!$X$20)&amp;"","")="",ISNUMBER(SEARCH($AS$84:$AZ$84,IFERROR(('Final Calculation Sheet'!$X$20)&amp;"","")))))&gt;0),IF(COUNTIF($BI$84:$BP$84,8)=0,TRUE,SUMPRODUCT(($BI$84:$BP$84=8)*($AS$84:$AZ$84&lt;&gt;"")*IF(((UPPER($AS$84:$AZ$84)="BLANK")+(UPPER($AS$84:$AZ$84)="(BLANK)")+(UPPER($AS$84:$AZ$84)="EMPTY")+(UPPER($AS$84:$AZ$84)="(EMPTY)"))&gt;0,IFERROR(('Final Calculation Sheet'!$X$20)&amp;"","")="",ISNUMBER(SEARCH($AS$84:$AZ$84,IFERROR(('Final Calculation Sheet'!$X$20)&amp;"","")))))&gt;0))))</f>
        <v>1</v>
      </c>
      <c r="CL21">
        <f>IF($Z$4="",1,--(AND(SUMPRODUCT(--($AS$85:$AZ$85&lt;&gt;""))&gt;0,IF(COUNTIF($BI$85:$BP$85,1)=0,TRUE,SUMPRODUCT(($BI$85:$BP$85=1)*($AS$85:$AZ$85&lt;&gt;"")*IF(((UPPER($AS$85:$AZ$85)="BLANK")+(UPPER($AS$85:$AZ$85)="(BLANK)")+(UPPER($AS$85:$AZ$85)="EMPTY")+(UPPER($AS$85:$AZ$85)="(EMPTY)"))&gt;0,IFERROR(('Final Calculation Sheet'!$Y$20)&amp;"","")="",ISNUMBER(SEARCH($AS$85:$AZ$85,IFERROR(('Final Calculation Sheet'!$Y$20)&amp;"","")))))&gt;0),IF(COUNTIF($BI$85:$BP$85,2)=0,TRUE,SUMPRODUCT(($BI$85:$BP$85=2)*($AS$85:$AZ$85&lt;&gt;"")*IF(((UPPER($AS$85:$AZ$85)="BLANK")+(UPPER($AS$85:$AZ$85)="(BLANK)")+(UPPER($AS$85:$AZ$85)="EMPTY")+(UPPER($AS$85:$AZ$85)="(EMPTY)"))&gt;0,IFERROR(('Final Calculation Sheet'!$Y$20)&amp;"","")="",ISNUMBER(SEARCH($AS$85:$AZ$85,IFERROR(('Final Calculation Sheet'!$Y$20)&amp;"","")))))&gt;0),IF(COUNTIF($BI$85:$BP$85,3)=0,TRUE,SUMPRODUCT(($BI$85:$BP$85=3)*($AS$85:$AZ$85&lt;&gt;"")*IF(((UPPER($AS$85:$AZ$85)="BLANK")+(UPPER($AS$85:$AZ$85)="(BLANK)")+(UPPER($AS$85:$AZ$85)="EMPTY")+(UPPER($AS$85:$AZ$85)="(EMPTY)"))&gt;0,IFERROR(('Final Calculation Sheet'!$Y$20)&amp;"","")="",ISNUMBER(SEARCH($AS$85:$AZ$85,IFERROR(('Final Calculation Sheet'!$Y$20)&amp;"","")))))&gt;0),IF(COUNTIF($BI$85:$BP$85,4)=0,TRUE,SUMPRODUCT(($BI$85:$BP$85=4)*($AS$85:$AZ$85&lt;&gt;"")*IF(((UPPER($AS$85:$AZ$85)="BLANK")+(UPPER($AS$85:$AZ$85)="(BLANK)")+(UPPER($AS$85:$AZ$85)="EMPTY")+(UPPER($AS$85:$AZ$85)="(EMPTY)"))&gt;0,IFERROR(('Final Calculation Sheet'!$Y$20)&amp;"","")="",ISNUMBER(SEARCH($AS$85:$AZ$85,IFERROR(('Final Calculation Sheet'!$Y$20)&amp;"","")))))&gt;0),IF(COUNTIF($BI$85:$BP$85,5)=0,TRUE,SUMPRODUCT(($BI$85:$BP$85=5)*($AS$85:$AZ$85&lt;&gt;"")*IF(((UPPER($AS$85:$AZ$85)="BLANK")+(UPPER($AS$85:$AZ$85)="(BLANK)")+(UPPER($AS$85:$AZ$85)="EMPTY")+(UPPER($AS$85:$AZ$85)="(EMPTY)"))&gt;0,IFERROR(('Final Calculation Sheet'!$Y$20)&amp;"","")="",ISNUMBER(SEARCH($AS$85:$AZ$85,IFERROR(('Final Calculation Sheet'!$Y$20)&amp;"","")))))&gt;0),IF(COUNTIF($BI$85:$BP$85,6)=0,TRUE,SUMPRODUCT(($BI$85:$BP$85=6)*($AS$85:$AZ$85&lt;&gt;"")*IF(((UPPER($AS$85:$AZ$85)="BLANK")+(UPPER($AS$85:$AZ$85)="(BLANK)")+(UPPER($AS$85:$AZ$85)="EMPTY")+(UPPER($AS$85:$AZ$85)="(EMPTY)"))&gt;0,IFERROR(('Final Calculation Sheet'!$Y$20)&amp;"","")="",ISNUMBER(SEARCH($AS$85:$AZ$85,IFERROR(('Final Calculation Sheet'!$Y$20)&amp;"","")))))&gt;0),IF(COUNTIF($BI$85:$BP$85,7)=0,TRUE,SUMPRODUCT(($BI$85:$BP$85=7)*($AS$85:$AZ$85&lt;&gt;"")*IF(((UPPER($AS$85:$AZ$85)="BLANK")+(UPPER($AS$85:$AZ$85)="(BLANK)")+(UPPER($AS$85:$AZ$85)="EMPTY")+(UPPER($AS$85:$AZ$85)="(EMPTY)"))&gt;0,IFERROR(('Final Calculation Sheet'!$Y$20)&amp;"","")="",ISNUMBER(SEARCH($AS$85:$AZ$85,IFERROR(('Final Calculation Sheet'!$Y$20)&amp;"","")))))&gt;0),IF(COUNTIF($BI$85:$BP$85,8)=0,TRUE,SUMPRODUCT(($BI$85:$BP$85=8)*($AS$85:$AZ$85&lt;&gt;"")*IF(((UPPER($AS$85:$AZ$85)="BLANK")+(UPPER($AS$85:$AZ$85)="(BLANK)")+(UPPER($AS$85:$AZ$85)="EMPTY")+(UPPER($AS$85:$AZ$85)="(EMPTY)"))&gt;0,IFERROR(('Final Calculation Sheet'!$Y$20)&amp;"","")="",ISNUMBER(SEARCH($AS$85:$AZ$85,IFERROR(('Final Calculation Sheet'!$Y$20)&amp;"","")))))&gt;0))))</f>
        <v>1</v>
      </c>
      <c r="CM21">
        <f>IF($AA$4="",1,--(AND(SUMPRODUCT(--($AS$86:$AZ$86&lt;&gt;""))&gt;0,IF(COUNTIF($BI$86:$BP$86,1)=0,TRUE,SUMPRODUCT(($BI$86:$BP$86=1)*($AS$86:$AZ$86&lt;&gt;"")*IF(((UPPER($AS$86:$AZ$86)="BLANK")+(UPPER($AS$86:$AZ$86)="(BLANK)")+(UPPER($AS$86:$AZ$86)="EMPTY")+(UPPER($AS$86:$AZ$86)="(EMPTY)"))&gt;0,IFERROR(('Final Calculation Sheet'!$Z$20)&amp;"","")="",ISNUMBER(SEARCH($AS$86:$AZ$86,IFERROR(('Final Calculation Sheet'!$Z$20)&amp;"","")))))&gt;0),IF(COUNTIF($BI$86:$BP$86,2)=0,TRUE,SUMPRODUCT(($BI$86:$BP$86=2)*($AS$86:$AZ$86&lt;&gt;"")*IF(((UPPER($AS$86:$AZ$86)="BLANK")+(UPPER($AS$86:$AZ$86)="(BLANK)")+(UPPER($AS$86:$AZ$86)="EMPTY")+(UPPER($AS$86:$AZ$86)="(EMPTY)"))&gt;0,IFERROR(('Final Calculation Sheet'!$Z$20)&amp;"","")="",ISNUMBER(SEARCH($AS$86:$AZ$86,IFERROR(('Final Calculation Sheet'!$Z$20)&amp;"","")))))&gt;0),IF(COUNTIF($BI$86:$BP$86,3)=0,TRUE,SUMPRODUCT(($BI$86:$BP$86=3)*($AS$86:$AZ$86&lt;&gt;"")*IF(((UPPER($AS$86:$AZ$86)="BLANK")+(UPPER($AS$86:$AZ$86)="(BLANK)")+(UPPER($AS$86:$AZ$86)="EMPTY")+(UPPER($AS$86:$AZ$86)="(EMPTY)"))&gt;0,IFERROR(('Final Calculation Sheet'!$Z$20)&amp;"","")="",ISNUMBER(SEARCH($AS$86:$AZ$86,IFERROR(('Final Calculation Sheet'!$Z$20)&amp;"","")))))&gt;0),IF(COUNTIF($BI$86:$BP$86,4)=0,TRUE,SUMPRODUCT(($BI$86:$BP$86=4)*($AS$86:$AZ$86&lt;&gt;"")*IF(((UPPER($AS$86:$AZ$86)="BLANK")+(UPPER($AS$86:$AZ$86)="(BLANK)")+(UPPER($AS$86:$AZ$86)="EMPTY")+(UPPER($AS$86:$AZ$86)="(EMPTY)"))&gt;0,IFERROR(('Final Calculation Sheet'!$Z$20)&amp;"","")="",ISNUMBER(SEARCH($AS$86:$AZ$86,IFERROR(('Final Calculation Sheet'!$Z$20)&amp;"","")))))&gt;0),IF(COUNTIF($BI$86:$BP$86,5)=0,TRUE,SUMPRODUCT(($BI$86:$BP$86=5)*($AS$86:$AZ$86&lt;&gt;"")*IF(((UPPER($AS$86:$AZ$86)="BLANK")+(UPPER($AS$86:$AZ$86)="(BLANK)")+(UPPER($AS$86:$AZ$86)="EMPTY")+(UPPER($AS$86:$AZ$86)="(EMPTY)"))&gt;0,IFERROR(('Final Calculation Sheet'!$Z$20)&amp;"","")="",ISNUMBER(SEARCH($AS$86:$AZ$86,IFERROR(('Final Calculation Sheet'!$Z$20)&amp;"","")))))&gt;0),IF(COUNTIF($BI$86:$BP$86,6)=0,TRUE,SUMPRODUCT(($BI$86:$BP$86=6)*($AS$86:$AZ$86&lt;&gt;"")*IF(((UPPER($AS$86:$AZ$86)="BLANK")+(UPPER($AS$86:$AZ$86)="(BLANK)")+(UPPER($AS$86:$AZ$86)="EMPTY")+(UPPER($AS$86:$AZ$86)="(EMPTY)"))&gt;0,IFERROR(('Final Calculation Sheet'!$Z$20)&amp;"","")="",ISNUMBER(SEARCH($AS$86:$AZ$86,IFERROR(('Final Calculation Sheet'!$Z$20)&amp;"","")))))&gt;0),IF(COUNTIF($BI$86:$BP$86,7)=0,TRUE,SUMPRODUCT(($BI$86:$BP$86=7)*($AS$86:$AZ$86&lt;&gt;"")*IF(((UPPER($AS$86:$AZ$86)="BLANK")+(UPPER($AS$86:$AZ$86)="(BLANK)")+(UPPER($AS$86:$AZ$86)="EMPTY")+(UPPER($AS$86:$AZ$86)="(EMPTY)"))&gt;0,IFERROR(('Final Calculation Sheet'!$Z$20)&amp;"","")="",ISNUMBER(SEARCH($AS$86:$AZ$86,IFERROR(('Final Calculation Sheet'!$Z$20)&amp;"","")))))&gt;0),IF(COUNTIF($BI$86:$BP$86,8)=0,TRUE,SUMPRODUCT(($BI$86:$BP$86=8)*($AS$86:$AZ$86&lt;&gt;"")*IF(((UPPER($AS$86:$AZ$86)="BLANK")+(UPPER($AS$86:$AZ$86)="(BLANK)")+(UPPER($AS$86:$AZ$86)="EMPTY")+(UPPER($AS$86:$AZ$86)="(EMPTY)"))&gt;0,IFERROR(('Final Calculation Sheet'!$Z$20)&amp;"","")="",ISNUMBER(SEARCH($AS$86:$AZ$86,IFERROR(('Final Calculation Sheet'!$Z$20)&amp;"","")))))&gt;0))))</f>
        <v>1</v>
      </c>
      <c r="CN21">
        <f>IF($AB$4="",1,--(AND(SUMPRODUCT(--($AS$87:$AZ$87&lt;&gt;""))&gt;0,IF(COUNTIF($BI$87:$BP$87,1)=0,TRUE,SUMPRODUCT(($BI$87:$BP$87=1)*($AS$87:$AZ$87&lt;&gt;"")*IF(((UPPER($AS$87:$AZ$87)="BLANK")+(UPPER($AS$87:$AZ$87)="(BLANK)")+(UPPER($AS$87:$AZ$87)="EMPTY")+(UPPER($AS$87:$AZ$87)="(EMPTY)"))&gt;0,IFERROR(('Final Calculation Sheet'!$AA$20)&amp;"","")="",ISNUMBER(SEARCH($AS$87:$AZ$87,IFERROR(('Final Calculation Sheet'!$AA$20)&amp;"","")))))&gt;0),IF(COUNTIF($BI$87:$BP$87,2)=0,TRUE,SUMPRODUCT(($BI$87:$BP$87=2)*($AS$87:$AZ$87&lt;&gt;"")*IF(((UPPER($AS$87:$AZ$87)="BLANK")+(UPPER($AS$87:$AZ$87)="(BLANK)")+(UPPER($AS$87:$AZ$87)="EMPTY")+(UPPER($AS$87:$AZ$87)="(EMPTY)"))&gt;0,IFERROR(('Final Calculation Sheet'!$AA$20)&amp;"","")="",ISNUMBER(SEARCH($AS$87:$AZ$87,IFERROR(('Final Calculation Sheet'!$AA$20)&amp;"","")))))&gt;0),IF(COUNTIF($BI$87:$BP$87,3)=0,TRUE,SUMPRODUCT(($BI$87:$BP$87=3)*($AS$87:$AZ$87&lt;&gt;"")*IF(((UPPER($AS$87:$AZ$87)="BLANK")+(UPPER($AS$87:$AZ$87)="(BLANK)")+(UPPER($AS$87:$AZ$87)="EMPTY")+(UPPER($AS$87:$AZ$87)="(EMPTY)"))&gt;0,IFERROR(('Final Calculation Sheet'!$AA$20)&amp;"","")="",ISNUMBER(SEARCH($AS$87:$AZ$87,IFERROR(('Final Calculation Sheet'!$AA$20)&amp;"","")))))&gt;0),IF(COUNTIF($BI$87:$BP$87,4)=0,TRUE,SUMPRODUCT(($BI$87:$BP$87=4)*($AS$87:$AZ$87&lt;&gt;"")*IF(((UPPER($AS$87:$AZ$87)="BLANK")+(UPPER($AS$87:$AZ$87)="(BLANK)")+(UPPER($AS$87:$AZ$87)="EMPTY")+(UPPER($AS$87:$AZ$87)="(EMPTY)"))&gt;0,IFERROR(('Final Calculation Sheet'!$AA$20)&amp;"","")="",ISNUMBER(SEARCH($AS$87:$AZ$87,IFERROR(('Final Calculation Sheet'!$AA$20)&amp;"","")))))&gt;0),IF(COUNTIF($BI$87:$BP$87,5)=0,TRUE,SUMPRODUCT(($BI$87:$BP$87=5)*($AS$87:$AZ$87&lt;&gt;"")*IF(((UPPER($AS$87:$AZ$87)="BLANK")+(UPPER($AS$87:$AZ$87)="(BLANK)")+(UPPER($AS$87:$AZ$87)="EMPTY")+(UPPER($AS$87:$AZ$87)="(EMPTY)"))&gt;0,IFERROR(('Final Calculation Sheet'!$AA$20)&amp;"","")="",ISNUMBER(SEARCH($AS$87:$AZ$87,IFERROR(('Final Calculation Sheet'!$AA$20)&amp;"","")))))&gt;0),IF(COUNTIF($BI$87:$BP$87,6)=0,TRUE,SUMPRODUCT(($BI$87:$BP$87=6)*($AS$87:$AZ$87&lt;&gt;"")*IF(((UPPER($AS$87:$AZ$87)="BLANK")+(UPPER($AS$87:$AZ$87)="(BLANK)")+(UPPER($AS$87:$AZ$87)="EMPTY")+(UPPER($AS$87:$AZ$87)="(EMPTY)"))&gt;0,IFERROR(('Final Calculation Sheet'!$AA$20)&amp;"","")="",ISNUMBER(SEARCH($AS$87:$AZ$87,IFERROR(('Final Calculation Sheet'!$AA$20)&amp;"","")))))&gt;0),IF(COUNTIF($BI$87:$BP$87,7)=0,TRUE,SUMPRODUCT(($BI$87:$BP$87=7)*($AS$87:$AZ$87&lt;&gt;"")*IF(((UPPER($AS$87:$AZ$87)="BLANK")+(UPPER($AS$87:$AZ$87)="(BLANK)")+(UPPER($AS$87:$AZ$87)="EMPTY")+(UPPER($AS$87:$AZ$87)="(EMPTY)"))&gt;0,IFERROR(('Final Calculation Sheet'!$AA$20)&amp;"","")="",ISNUMBER(SEARCH($AS$87:$AZ$87,IFERROR(('Final Calculation Sheet'!$AA$20)&amp;"","")))))&gt;0),IF(COUNTIF($BI$87:$BP$87,8)=0,TRUE,SUMPRODUCT(($BI$87:$BP$87=8)*($AS$87:$AZ$87&lt;&gt;"")*IF(((UPPER($AS$87:$AZ$87)="BLANK")+(UPPER($AS$87:$AZ$87)="(BLANK)")+(UPPER($AS$87:$AZ$87)="EMPTY")+(UPPER($AS$87:$AZ$87)="(EMPTY)"))&gt;0,IFERROR(('Final Calculation Sheet'!$AA$20)&amp;"","")="",ISNUMBER(SEARCH($AS$87:$AZ$87,IFERROR(('Final Calculation Sheet'!$AA$20)&amp;"","")))))&gt;0))))</f>
        <v>1</v>
      </c>
      <c r="CO21">
        <f>IF($AC$4="",1,--(AND(SUMPRODUCT(--($AS$88:$AZ$88&lt;&gt;""))&gt;0,IF(COUNTIF($BI$88:$BP$88,1)=0,TRUE,SUMPRODUCT(($BI$88:$BP$88=1)*($AS$88:$AZ$88&lt;&gt;"")*IF(((UPPER($AS$88:$AZ$88)="BLANK")+(UPPER($AS$88:$AZ$88)="(BLANK)")+(UPPER($AS$88:$AZ$88)="EMPTY")+(UPPER($AS$88:$AZ$88)="(EMPTY)"))&gt;0,IFERROR(('Final Calculation Sheet'!$AB$20)&amp;"","")="",ISNUMBER(SEARCH($AS$88:$AZ$88,IFERROR(('Final Calculation Sheet'!$AB$20)&amp;"","")))))&gt;0),IF(COUNTIF($BI$88:$BP$88,2)=0,TRUE,SUMPRODUCT(($BI$88:$BP$88=2)*($AS$88:$AZ$88&lt;&gt;"")*IF(((UPPER($AS$88:$AZ$88)="BLANK")+(UPPER($AS$88:$AZ$88)="(BLANK)")+(UPPER($AS$88:$AZ$88)="EMPTY")+(UPPER($AS$88:$AZ$88)="(EMPTY)"))&gt;0,IFERROR(('Final Calculation Sheet'!$AB$20)&amp;"","")="",ISNUMBER(SEARCH($AS$88:$AZ$88,IFERROR(('Final Calculation Sheet'!$AB$20)&amp;"","")))))&gt;0),IF(COUNTIF($BI$88:$BP$88,3)=0,TRUE,SUMPRODUCT(($BI$88:$BP$88=3)*($AS$88:$AZ$88&lt;&gt;"")*IF(((UPPER($AS$88:$AZ$88)="BLANK")+(UPPER($AS$88:$AZ$88)="(BLANK)")+(UPPER($AS$88:$AZ$88)="EMPTY")+(UPPER($AS$88:$AZ$88)="(EMPTY)"))&gt;0,IFERROR(('Final Calculation Sheet'!$AB$20)&amp;"","")="",ISNUMBER(SEARCH($AS$88:$AZ$88,IFERROR(('Final Calculation Sheet'!$AB$20)&amp;"","")))))&gt;0),IF(COUNTIF($BI$88:$BP$88,4)=0,TRUE,SUMPRODUCT(($BI$88:$BP$88=4)*($AS$88:$AZ$88&lt;&gt;"")*IF(((UPPER($AS$88:$AZ$88)="BLANK")+(UPPER($AS$88:$AZ$88)="(BLANK)")+(UPPER($AS$88:$AZ$88)="EMPTY")+(UPPER($AS$88:$AZ$88)="(EMPTY)"))&gt;0,IFERROR(('Final Calculation Sheet'!$AB$20)&amp;"","")="",ISNUMBER(SEARCH($AS$88:$AZ$88,IFERROR(('Final Calculation Sheet'!$AB$20)&amp;"","")))))&gt;0),IF(COUNTIF($BI$88:$BP$88,5)=0,TRUE,SUMPRODUCT(($BI$88:$BP$88=5)*($AS$88:$AZ$88&lt;&gt;"")*IF(((UPPER($AS$88:$AZ$88)="BLANK")+(UPPER($AS$88:$AZ$88)="(BLANK)")+(UPPER($AS$88:$AZ$88)="EMPTY")+(UPPER($AS$88:$AZ$88)="(EMPTY)"))&gt;0,IFERROR(('Final Calculation Sheet'!$AB$20)&amp;"","")="",ISNUMBER(SEARCH($AS$88:$AZ$88,IFERROR(('Final Calculation Sheet'!$AB$20)&amp;"","")))))&gt;0),IF(COUNTIF($BI$88:$BP$88,6)=0,TRUE,SUMPRODUCT(($BI$88:$BP$88=6)*($AS$88:$AZ$88&lt;&gt;"")*IF(((UPPER($AS$88:$AZ$88)="BLANK")+(UPPER($AS$88:$AZ$88)="(BLANK)")+(UPPER($AS$88:$AZ$88)="EMPTY")+(UPPER($AS$88:$AZ$88)="(EMPTY)"))&gt;0,IFERROR(('Final Calculation Sheet'!$AB$20)&amp;"","")="",ISNUMBER(SEARCH($AS$88:$AZ$88,IFERROR(('Final Calculation Sheet'!$AB$20)&amp;"","")))))&gt;0),IF(COUNTIF($BI$88:$BP$88,7)=0,TRUE,SUMPRODUCT(($BI$88:$BP$88=7)*($AS$88:$AZ$88&lt;&gt;"")*IF(((UPPER($AS$88:$AZ$88)="BLANK")+(UPPER($AS$88:$AZ$88)="(BLANK)")+(UPPER($AS$88:$AZ$88)="EMPTY")+(UPPER($AS$88:$AZ$88)="(EMPTY)"))&gt;0,IFERROR(('Final Calculation Sheet'!$AB$20)&amp;"","")="",ISNUMBER(SEARCH($AS$88:$AZ$88,IFERROR(('Final Calculation Sheet'!$AB$20)&amp;"","")))))&gt;0),IF(COUNTIF($BI$88:$BP$88,8)=0,TRUE,SUMPRODUCT(($BI$88:$BP$88=8)*($AS$88:$AZ$88&lt;&gt;"")*IF(((UPPER($AS$88:$AZ$88)="BLANK")+(UPPER($AS$88:$AZ$88)="(BLANK)")+(UPPER($AS$88:$AZ$88)="EMPTY")+(UPPER($AS$88:$AZ$88)="(EMPTY)"))&gt;0,IFERROR(('Final Calculation Sheet'!$AB$20)&amp;"","")="",ISNUMBER(SEARCH($AS$88:$AZ$88,IFERROR(('Final Calculation Sheet'!$AB$20)&amp;"","")))))&gt;0))))</f>
        <v>1</v>
      </c>
      <c r="CP21">
        <f>IF($AD$4="",1,--(AND(SUMPRODUCT(--($AS$89:$AZ$89&lt;&gt;""))&gt;0,IF(COUNTIF($BI$89:$BP$89,1)=0,TRUE,SUMPRODUCT(($BI$89:$BP$89=1)*($AS$89:$AZ$89&lt;&gt;"")*IF(((UPPER($AS$89:$AZ$89)="BLANK")+(UPPER($AS$89:$AZ$89)="(BLANK)")+(UPPER($AS$89:$AZ$89)="EMPTY")+(UPPER($AS$89:$AZ$89)="(EMPTY)"))&gt;0,IFERROR(('Final Calculation Sheet'!$AC$20)&amp;"","")="",ISNUMBER(SEARCH($AS$89:$AZ$89,IFERROR(('Final Calculation Sheet'!$AC$20)&amp;"","")))))&gt;0),IF(COUNTIF($BI$89:$BP$89,2)=0,TRUE,SUMPRODUCT(($BI$89:$BP$89=2)*($AS$89:$AZ$89&lt;&gt;"")*IF(((UPPER($AS$89:$AZ$89)="BLANK")+(UPPER($AS$89:$AZ$89)="(BLANK)")+(UPPER($AS$89:$AZ$89)="EMPTY")+(UPPER($AS$89:$AZ$89)="(EMPTY)"))&gt;0,IFERROR(('Final Calculation Sheet'!$AC$20)&amp;"","")="",ISNUMBER(SEARCH($AS$89:$AZ$89,IFERROR(('Final Calculation Sheet'!$AC$20)&amp;"","")))))&gt;0),IF(COUNTIF($BI$89:$BP$89,3)=0,TRUE,SUMPRODUCT(($BI$89:$BP$89=3)*($AS$89:$AZ$89&lt;&gt;"")*IF(((UPPER($AS$89:$AZ$89)="BLANK")+(UPPER($AS$89:$AZ$89)="(BLANK)")+(UPPER($AS$89:$AZ$89)="EMPTY")+(UPPER($AS$89:$AZ$89)="(EMPTY)"))&gt;0,IFERROR(('Final Calculation Sheet'!$AC$20)&amp;"","")="",ISNUMBER(SEARCH($AS$89:$AZ$89,IFERROR(('Final Calculation Sheet'!$AC$20)&amp;"","")))))&gt;0),IF(COUNTIF($BI$89:$BP$89,4)=0,TRUE,SUMPRODUCT(($BI$89:$BP$89=4)*($AS$89:$AZ$89&lt;&gt;"")*IF(((UPPER($AS$89:$AZ$89)="BLANK")+(UPPER($AS$89:$AZ$89)="(BLANK)")+(UPPER($AS$89:$AZ$89)="EMPTY")+(UPPER($AS$89:$AZ$89)="(EMPTY)"))&gt;0,IFERROR(('Final Calculation Sheet'!$AC$20)&amp;"","")="",ISNUMBER(SEARCH($AS$89:$AZ$89,IFERROR(('Final Calculation Sheet'!$AC$20)&amp;"","")))))&gt;0),IF(COUNTIF($BI$89:$BP$89,5)=0,TRUE,SUMPRODUCT(($BI$89:$BP$89=5)*($AS$89:$AZ$89&lt;&gt;"")*IF(((UPPER($AS$89:$AZ$89)="BLANK")+(UPPER($AS$89:$AZ$89)="(BLANK)")+(UPPER($AS$89:$AZ$89)="EMPTY")+(UPPER($AS$89:$AZ$89)="(EMPTY)"))&gt;0,IFERROR(('Final Calculation Sheet'!$AC$20)&amp;"","")="",ISNUMBER(SEARCH($AS$89:$AZ$89,IFERROR(('Final Calculation Sheet'!$AC$20)&amp;"","")))))&gt;0),IF(COUNTIF($BI$89:$BP$89,6)=0,TRUE,SUMPRODUCT(($BI$89:$BP$89=6)*($AS$89:$AZ$89&lt;&gt;"")*IF(((UPPER($AS$89:$AZ$89)="BLANK")+(UPPER($AS$89:$AZ$89)="(BLANK)")+(UPPER($AS$89:$AZ$89)="EMPTY")+(UPPER($AS$89:$AZ$89)="(EMPTY)"))&gt;0,IFERROR(('Final Calculation Sheet'!$AC$20)&amp;"","")="",ISNUMBER(SEARCH($AS$89:$AZ$89,IFERROR(('Final Calculation Sheet'!$AC$20)&amp;"","")))))&gt;0),IF(COUNTIF($BI$89:$BP$89,7)=0,TRUE,SUMPRODUCT(($BI$89:$BP$89=7)*($AS$89:$AZ$89&lt;&gt;"")*IF(((UPPER($AS$89:$AZ$89)="BLANK")+(UPPER($AS$89:$AZ$89)="(BLANK)")+(UPPER($AS$89:$AZ$89)="EMPTY")+(UPPER($AS$89:$AZ$89)="(EMPTY)"))&gt;0,IFERROR(('Final Calculation Sheet'!$AC$20)&amp;"","")="",ISNUMBER(SEARCH($AS$89:$AZ$89,IFERROR(('Final Calculation Sheet'!$AC$20)&amp;"","")))))&gt;0),IF(COUNTIF($BI$89:$BP$89,8)=0,TRUE,SUMPRODUCT(($BI$89:$BP$89=8)*($AS$89:$AZ$89&lt;&gt;"")*IF(((UPPER($AS$89:$AZ$89)="BLANK")+(UPPER($AS$89:$AZ$89)="(BLANK)")+(UPPER($AS$89:$AZ$89)="EMPTY")+(UPPER($AS$89:$AZ$89)="(EMPTY)"))&gt;0,IFERROR(('Final Calculation Sheet'!$AC$20)&amp;"","")="",ISNUMBER(SEARCH($AS$89:$AZ$89,IFERROR(('Final Calculation Sheet'!$AC$20)&amp;"","")))))&gt;0))))</f>
        <v>1</v>
      </c>
      <c r="CQ21">
        <f>IF($AE$4="",1,--(AND(SUMPRODUCT(--($AS$90:$AZ$90&lt;&gt;""))&gt;0,IF(COUNTIF($BI$90:$BP$90,1)=0,TRUE,SUMPRODUCT(($BI$90:$BP$90=1)*($AS$90:$AZ$90&lt;&gt;"")*IF(((UPPER($AS$90:$AZ$90)="BLANK")+(UPPER($AS$90:$AZ$90)="(BLANK)")+(UPPER($AS$90:$AZ$90)="EMPTY")+(UPPER($AS$90:$AZ$90)="(EMPTY)"))&gt;0,IFERROR(('Final Calculation Sheet'!$AD$20)&amp;"","")="",ISNUMBER(SEARCH($AS$90:$AZ$90,IFERROR(('Final Calculation Sheet'!$AD$20)&amp;"","")))))&gt;0),IF(COUNTIF($BI$90:$BP$90,2)=0,TRUE,SUMPRODUCT(($BI$90:$BP$90=2)*($AS$90:$AZ$90&lt;&gt;"")*IF(((UPPER($AS$90:$AZ$90)="BLANK")+(UPPER($AS$90:$AZ$90)="(BLANK)")+(UPPER($AS$90:$AZ$90)="EMPTY")+(UPPER($AS$90:$AZ$90)="(EMPTY)"))&gt;0,IFERROR(('Final Calculation Sheet'!$AD$20)&amp;"","")="",ISNUMBER(SEARCH($AS$90:$AZ$90,IFERROR(('Final Calculation Sheet'!$AD$20)&amp;"","")))))&gt;0),IF(COUNTIF($BI$90:$BP$90,3)=0,TRUE,SUMPRODUCT(($BI$90:$BP$90=3)*($AS$90:$AZ$90&lt;&gt;"")*IF(((UPPER($AS$90:$AZ$90)="BLANK")+(UPPER($AS$90:$AZ$90)="(BLANK)")+(UPPER($AS$90:$AZ$90)="EMPTY")+(UPPER($AS$90:$AZ$90)="(EMPTY)"))&gt;0,IFERROR(('Final Calculation Sheet'!$AD$20)&amp;"","")="",ISNUMBER(SEARCH($AS$90:$AZ$90,IFERROR(('Final Calculation Sheet'!$AD$20)&amp;"","")))))&gt;0),IF(COUNTIF($BI$90:$BP$90,4)=0,TRUE,SUMPRODUCT(($BI$90:$BP$90=4)*($AS$90:$AZ$90&lt;&gt;"")*IF(((UPPER($AS$90:$AZ$90)="BLANK")+(UPPER($AS$90:$AZ$90)="(BLANK)")+(UPPER($AS$90:$AZ$90)="EMPTY")+(UPPER($AS$90:$AZ$90)="(EMPTY)"))&gt;0,IFERROR(('Final Calculation Sheet'!$AD$20)&amp;"","")="",ISNUMBER(SEARCH($AS$90:$AZ$90,IFERROR(('Final Calculation Sheet'!$AD$20)&amp;"","")))))&gt;0),IF(COUNTIF($BI$90:$BP$90,5)=0,TRUE,SUMPRODUCT(($BI$90:$BP$90=5)*($AS$90:$AZ$90&lt;&gt;"")*IF(((UPPER($AS$90:$AZ$90)="BLANK")+(UPPER($AS$90:$AZ$90)="(BLANK)")+(UPPER($AS$90:$AZ$90)="EMPTY")+(UPPER($AS$90:$AZ$90)="(EMPTY)"))&gt;0,IFERROR(('Final Calculation Sheet'!$AD$20)&amp;"","")="",ISNUMBER(SEARCH($AS$90:$AZ$90,IFERROR(('Final Calculation Sheet'!$AD$20)&amp;"","")))))&gt;0),IF(COUNTIF($BI$90:$BP$90,6)=0,TRUE,SUMPRODUCT(($BI$90:$BP$90=6)*($AS$90:$AZ$90&lt;&gt;"")*IF(((UPPER($AS$90:$AZ$90)="BLANK")+(UPPER($AS$90:$AZ$90)="(BLANK)")+(UPPER($AS$90:$AZ$90)="EMPTY")+(UPPER($AS$90:$AZ$90)="(EMPTY)"))&gt;0,IFERROR(('Final Calculation Sheet'!$AD$20)&amp;"","")="",ISNUMBER(SEARCH($AS$90:$AZ$90,IFERROR(('Final Calculation Sheet'!$AD$20)&amp;"","")))))&gt;0),IF(COUNTIF($BI$90:$BP$90,7)=0,TRUE,SUMPRODUCT(($BI$90:$BP$90=7)*($AS$90:$AZ$90&lt;&gt;"")*IF(((UPPER($AS$90:$AZ$90)="BLANK")+(UPPER($AS$90:$AZ$90)="(BLANK)")+(UPPER($AS$90:$AZ$90)="EMPTY")+(UPPER($AS$90:$AZ$90)="(EMPTY)"))&gt;0,IFERROR(('Final Calculation Sheet'!$AD$20)&amp;"","")="",ISNUMBER(SEARCH($AS$90:$AZ$90,IFERROR(('Final Calculation Sheet'!$AD$20)&amp;"","")))))&gt;0),IF(COUNTIF($BI$90:$BP$90,8)=0,TRUE,SUMPRODUCT(($BI$90:$BP$90=8)*($AS$90:$AZ$90&lt;&gt;"")*IF(((UPPER($AS$90:$AZ$90)="BLANK")+(UPPER($AS$90:$AZ$90)="(BLANK)")+(UPPER($AS$90:$AZ$90)="EMPTY")+(UPPER($AS$90:$AZ$90)="(EMPTY)"))&gt;0,IFERROR(('Final Calculation Sheet'!$AD$20)&amp;"","")="",ISNUMBER(SEARCH($AS$90:$AZ$90,IFERROR(('Final Calculation Sheet'!$AD$20)&amp;"","")))))&gt;0))))</f>
        <v>1</v>
      </c>
      <c r="CR21">
        <f>IF($AF$4="",1,--(AND(SUMPRODUCT(--($AS$91:$AZ$91&lt;&gt;""))&gt;0,IF(COUNTIF($BI$91:$BP$91,1)=0,TRUE,SUMPRODUCT(($BI$91:$BP$91=1)*($AS$91:$AZ$91&lt;&gt;"")*IF(((UPPER($AS$91:$AZ$91)="BLANK")+(UPPER($AS$91:$AZ$91)="(BLANK)")+(UPPER($AS$91:$AZ$91)="EMPTY")+(UPPER($AS$91:$AZ$91)="(EMPTY)"))&gt;0,IFERROR(('Final Calculation Sheet'!$AE$20)&amp;"","")="",ISNUMBER(SEARCH($AS$91:$AZ$91,IFERROR(('Final Calculation Sheet'!$AE$20)&amp;"","")))))&gt;0),IF(COUNTIF($BI$91:$BP$91,2)=0,TRUE,SUMPRODUCT(($BI$91:$BP$91=2)*($AS$91:$AZ$91&lt;&gt;"")*IF(((UPPER($AS$91:$AZ$91)="BLANK")+(UPPER($AS$91:$AZ$91)="(BLANK)")+(UPPER($AS$91:$AZ$91)="EMPTY")+(UPPER($AS$91:$AZ$91)="(EMPTY)"))&gt;0,IFERROR(('Final Calculation Sheet'!$AE$20)&amp;"","")="",ISNUMBER(SEARCH($AS$91:$AZ$91,IFERROR(('Final Calculation Sheet'!$AE$20)&amp;"","")))))&gt;0),IF(COUNTIF($BI$91:$BP$91,3)=0,TRUE,SUMPRODUCT(($BI$91:$BP$91=3)*($AS$91:$AZ$91&lt;&gt;"")*IF(((UPPER($AS$91:$AZ$91)="BLANK")+(UPPER($AS$91:$AZ$91)="(BLANK)")+(UPPER($AS$91:$AZ$91)="EMPTY")+(UPPER($AS$91:$AZ$91)="(EMPTY)"))&gt;0,IFERROR(('Final Calculation Sheet'!$AE$20)&amp;"","")="",ISNUMBER(SEARCH($AS$91:$AZ$91,IFERROR(('Final Calculation Sheet'!$AE$20)&amp;"","")))))&gt;0),IF(COUNTIF($BI$91:$BP$91,4)=0,TRUE,SUMPRODUCT(($BI$91:$BP$91=4)*($AS$91:$AZ$91&lt;&gt;"")*IF(((UPPER($AS$91:$AZ$91)="BLANK")+(UPPER($AS$91:$AZ$91)="(BLANK)")+(UPPER($AS$91:$AZ$91)="EMPTY")+(UPPER($AS$91:$AZ$91)="(EMPTY)"))&gt;0,IFERROR(('Final Calculation Sheet'!$AE$20)&amp;"","")="",ISNUMBER(SEARCH($AS$91:$AZ$91,IFERROR(('Final Calculation Sheet'!$AE$20)&amp;"","")))))&gt;0),IF(COUNTIF($BI$91:$BP$91,5)=0,TRUE,SUMPRODUCT(($BI$91:$BP$91=5)*($AS$91:$AZ$91&lt;&gt;"")*IF(((UPPER($AS$91:$AZ$91)="BLANK")+(UPPER($AS$91:$AZ$91)="(BLANK)")+(UPPER($AS$91:$AZ$91)="EMPTY")+(UPPER($AS$91:$AZ$91)="(EMPTY)"))&gt;0,IFERROR(('Final Calculation Sheet'!$AE$20)&amp;"","")="",ISNUMBER(SEARCH($AS$91:$AZ$91,IFERROR(('Final Calculation Sheet'!$AE$20)&amp;"","")))))&gt;0),IF(COUNTIF($BI$91:$BP$91,6)=0,TRUE,SUMPRODUCT(($BI$91:$BP$91=6)*($AS$91:$AZ$91&lt;&gt;"")*IF(((UPPER($AS$91:$AZ$91)="BLANK")+(UPPER($AS$91:$AZ$91)="(BLANK)")+(UPPER($AS$91:$AZ$91)="EMPTY")+(UPPER($AS$91:$AZ$91)="(EMPTY)"))&gt;0,IFERROR(('Final Calculation Sheet'!$AE$20)&amp;"","")="",ISNUMBER(SEARCH($AS$91:$AZ$91,IFERROR(('Final Calculation Sheet'!$AE$20)&amp;"","")))))&gt;0),IF(COUNTIF($BI$91:$BP$91,7)=0,TRUE,SUMPRODUCT(($BI$91:$BP$91=7)*($AS$91:$AZ$91&lt;&gt;"")*IF(((UPPER($AS$91:$AZ$91)="BLANK")+(UPPER($AS$91:$AZ$91)="(BLANK)")+(UPPER($AS$91:$AZ$91)="EMPTY")+(UPPER($AS$91:$AZ$91)="(EMPTY)"))&gt;0,IFERROR(('Final Calculation Sheet'!$AE$20)&amp;"","")="",ISNUMBER(SEARCH($AS$91:$AZ$91,IFERROR(('Final Calculation Sheet'!$AE$20)&amp;"","")))))&gt;0),IF(COUNTIF($BI$91:$BP$91,8)=0,TRUE,SUMPRODUCT(($BI$91:$BP$91=8)*($AS$91:$AZ$91&lt;&gt;"")*IF(((UPPER($AS$91:$AZ$91)="BLANK")+(UPPER($AS$91:$AZ$91)="(BLANK)")+(UPPER($AS$91:$AZ$91)="EMPTY")+(UPPER($AS$91:$AZ$91)="(EMPTY)"))&gt;0,IFERROR(('Final Calculation Sheet'!$AE$20)&amp;"","")="",ISNUMBER(SEARCH($AS$91:$AZ$91,IFERROR(('Final Calculation Sheet'!$AE$20)&amp;"","")))))&gt;0))))</f>
        <v>1</v>
      </c>
      <c r="CS21">
        <f>IF($AG$4="",1,--(AND(SUMPRODUCT(--($AS$92:$AZ$92&lt;&gt;""))&gt;0,IF(COUNTIF($BI$92:$BP$92,1)=0,TRUE,SUMPRODUCT(($BI$92:$BP$92=1)*($AS$92:$AZ$92&lt;&gt;"")*IF(((UPPER($AS$92:$AZ$92)="BLANK")+(UPPER($AS$92:$AZ$92)="(BLANK)")+(UPPER($AS$92:$AZ$92)="EMPTY")+(UPPER($AS$92:$AZ$92)="(EMPTY)"))&gt;0,IFERROR(('Final Calculation Sheet'!$AF$20)&amp;"","")="",ISNUMBER(SEARCH($AS$92:$AZ$92,IFERROR(('Final Calculation Sheet'!$AF$20)&amp;"","")))))&gt;0),IF(COUNTIF($BI$92:$BP$92,2)=0,TRUE,SUMPRODUCT(($BI$92:$BP$92=2)*($AS$92:$AZ$92&lt;&gt;"")*IF(((UPPER($AS$92:$AZ$92)="BLANK")+(UPPER($AS$92:$AZ$92)="(BLANK)")+(UPPER($AS$92:$AZ$92)="EMPTY")+(UPPER($AS$92:$AZ$92)="(EMPTY)"))&gt;0,IFERROR(('Final Calculation Sheet'!$AF$20)&amp;"","")="",ISNUMBER(SEARCH($AS$92:$AZ$92,IFERROR(('Final Calculation Sheet'!$AF$20)&amp;"","")))))&gt;0),IF(COUNTIF($BI$92:$BP$92,3)=0,TRUE,SUMPRODUCT(($BI$92:$BP$92=3)*($AS$92:$AZ$92&lt;&gt;"")*IF(((UPPER($AS$92:$AZ$92)="BLANK")+(UPPER($AS$92:$AZ$92)="(BLANK)")+(UPPER($AS$92:$AZ$92)="EMPTY")+(UPPER($AS$92:$AZ$92)="(EMPTY)"))&gt;0,IFERROR(('Final Calculation Sheet'!$AF$20)&amp;"","")="",ISNUMBER(SEARCH($AS$92:$AZ$92,IFERROR(('Final Calculation Sheet'!$AF$20)&amp;"","")))))&gt;0),IF(COUNTIF($BI$92:$BP$92,4)=0,TRUE,SUMPRODUCT(($BI$92:$BP$92=4)*($AS$92:$AZ$92&lt;&gt;"")*IF(((UPPER($AS$92:$AZ$92)="BLANK")+(UPPER($AS$92:$AZ$92)="(BLANK)")+(UPPER($AS$92:$AZ$92)="EMPTY")+(UPPER($AS$92:$AZ$92)="(EMPTY)"))&gt;0,IFERROR(('Final Calculation Sheet'!$AF$20)&amp;"","")="",ISNUMBER(SEARCH($AS$92:$AZ$92,IFERROR(('Final Calculation Sheet'!$AF$20)&amp;"","")))))&gt;0),IF(COUNTIF($BI$92:$BP$92,5)=0,TRUE,SUMPRODUCT(($BI$92:$BP$92=5)*($AS$92:$AZ$92&lt;&gt;"")*IF(((UPPER($AS$92:$AZ$92)="BLANK")+(UPPER($AS$92:$AZ$92)="(BLANK)")+(UPPER($AS$92:$AZ$92)="EMPTY")+(UPPER($AS$92:$AZ$92)="(EMPTY)"))&gt;0,IFERROR(('Final Calculation Sheet'!$AF$20)&amp;"","")="",ISNUMBER(SEARCH($AS$92:$AZ$92,IFERROR(('Final Calculation Sheet'!$AF$20)&amp;"","")))))&gt;0),IF(COUNTIF($BI$92:$BP$92,6)=0,TRUE,SUMPRODUCT(($BI$92:$BP$92=6)*($AS$92:$AZ$92&lt;&gt;"")*IF(((UPPER($AS$92:$AZ$92)="BLANK")+(UPPER($AS$92:$AZ$92)="(BLANK)")+(UPPER($AS$92:$AZ$92)="EMPTY")+(UPPER($AS$92:$AZ$92)="(EMPTY)"))&gt;0,IFERROR(('Final Calculation Sheet'!$AF$20)&amp;"","")="",ISNUMBER(SEARCH($AS$92:$AZ$92,IFERROR(('Final Calculation Sheet'!$AF$20)&amp;"","")))))&gt;0),IF(COUNTIF($BI$92:$BP$92,7)=0,TRUE,SUMPRODUCT(($BI$92:$BP$92=7)*($AS$92:$AZ$92&lt;&gt;"")*IF(((UPPER($AS$92:$AZ$92)="BLANK")+(UPPER($AS$92:$AZ$92)="(BLANK)")+(UPPER($AS$92:$AZ$92)="EMPTY")+(UPPER($AS$92:$AZ$92)="(EMPTY)"))&gt;0,IFERROR(('Final Calculation Sheet'!$AF$20)&amp;"","")="",ISNUMBER(SEARCH($AS$92:$AZ$92,IFERROR(('Final Calculation Sheet'!$AF$20)&amp;"","")))))&gt;0),IF(COUNTIF($BI$92:$BP$92,8)=0,TRUE,SUMPRODUCT(($BI$92:$BP$92=8)*($AS$92:$AZ$92&lt;&gt;"")*IF(((UPPER($AS$92:$AZ$92)="BLANK")+(UPPER($AS$92:$AZ$92)="(BLANK)")+(UPPER($AS$92:$AZ$92)="EMPTY")+(UPPER($AS$92:$AZ$92)="(EMPTY)"))&gt;0,IFERROR(('Final Calculation Sheet'!$AF$20)&amp;"","")="",ISNUMBER(SEARCH($AS$92:$AZ$92,IFERROR(('Final Calculation Sheet'!$AF$20)&amp;"","")))))&gt;0))))</f>
        <v>1</v>
      </c>
      <c r="CT21">
        <f>IF($AH$4="",1,--(AND(SUMPRODUCT(--($AS$93:$AZ$93&lt;&gt;""))&gt;0,IF(COUNTIF($BI$93:$BP$93,1)=0,TRUE,SUMPRODUCT(($BI$93:$BP$93=1)*($AS$93:$AZ$93&lt;&gt;"")*IF(((UPPER($AS$93:$AZ$93)="BLANK")+(UPPER($AS$93:$AZ$93)="(BLANK)")+(UPPER($AS$93:$AZ$93)="EMPTY")+(UPPER($AS$93:$AZ$93)="(EMPTY)"))&gt;0,IFERROR(('Final Calculation Sheet'!$AG$20)&amp;"","")="",ISNUMBER(SEARCH($AS$93:$AZ$93,IFERROR(('Final Calculation Sheet'!$AG$20)&amp;"","")))))&gt;0),IF(COUNTIF($BI$93:$BP$93,2)=0,TRUE,SUMPRODUCT(($BI$93:$BP$93=2)*($AS$93:$AZ$93&lt;&gt;"")*IF(((UPPER($AS$93:$AZ$93)="BLANK")+(UPPER($AS$93:$AZ$93)="(BLANK)")+(UPPER($AS$93:$AZ$93)="EMPTY")+(UPPER($AS$93:$AZ$93)="(EMPTY)"))&gt;0,IFERROR(('Final Calculation Sheet'!$AG$20)&amp;"","")="",ISNUMBER(SEARCH($AS$93:$AZ$93,IFERROR(('Final Calculation Sheet'!$AG$20)&amp;"","")))))&gt;0),IF(COUNTIF($BI$93:$BP$93,3)=0,TRUE,SUMPRODUCT(($BI$93:$BP$93=3)*($AS$93:$AZ$93&lt;&gt;"")*IF(((UPPER($AS$93:$AZ$93)="BLANK")+(UPPER($AS$93:$AZ$93)="(BLANK)")+(UPPER($AS$93:$AZ$93)="EMPTY")+(UPPER($AS$93:$AZ$93)="(EMPTY)"))&gt;0,IFERROR(('Final Calculation Sheet'!$AG$20)&amp;"","")="",ISNUMBER(SEARCH($AS$93:$AZ$93,IFERROR(('Final Calculation Sheet'!$AG$20)&amp;"","")))))&gt;0),IF(COUNTIF($BI$93:$BP$93,4)=0,TRUE,SUMPRODUCT(($BI$93:$BP$93=4)*($AS$93:$AZ$93&lt;&gt;"")*IF(((UPPER($AS$93:$AZ$93)="BLANK")+(UPPER($AS$93:$AZ$93)="(BLANK)")+(UPPER($AS$93:$AZ$93)="EMPTY")+(UPPER($AS$93:$AZ$93)="(EMPTY)"))&gt;0,IFERROR(('Final Calculation Sheet'!$AG$20)&amp;"","")="",ISNUMBER(SEARCH($AS$93:$AZ$93,IFERROR(('Final Calculation Sheet'!$AG$20)&amp;"","")))))&gt;0),IF(COUNTIF($BI$93:$BP$93,5)=0,TRUE,SUMPRODUCT(($BI$93:$BP$93=5)*($AS$93:$AZ$93&lt;&gt;"")*IF(((UPPER($AS$93:$AZ$93)="BLANK")+(UPPER($AS$93:$AZ$93)="(BLANK)")+(UPPER($AS$93:$AZ$93)="EMPTY")+(UPPER($AS$93:$AZ$93)="(EMPTY)"))&gt;0,IFERROR(('Final Calculation Sheet'!$AG$20)&amp;"","")="",ISNUMBER(SEARCH($AS$93:$AZ$93,IFERROR(('Final Calculation Sheet'!$AG$20)&amp;"","")))))&gt;0),IF(COUNTIF($BI$93:$BP$93,6)=0,TRUE,SUMPRODUCT(($BI$93:$BP$93=6)*($AS$93:$AZ$93&lt;&gt;"")*IF(((UPPER($AS$93:$AZ$93)="BLANK")+(UPPER($AS$93:$AZ$93)="(BLANK)")+(UPPER($AS$93:$AZ$93)="EMPTY")+(UPPER($AS$93:$AZ$93)="(EMPTY)"))&gt;0,IFERROR(('Final Calculation Sheet'!$AG$20)&amp;"","")="",ISNUMBER(SEARCH($AS$93:$AZ$93,IFERROR(('Final Calculation Sheet'!$AG$20)&amp;"","")))))&gt;0),IF(COUNTIF($BI$93:$BP$93,7)=0,TRUE,SUMPRODUCT(($BI$93:$BP$93=7)*($AS$93:$AZ$93&lt;&gt;"")*IF(((UPPER($AS$93:$AZ$93)="BLANK")+(UPPER($AS$93:$AZ$93)="(BLANK)")+(UPPER($AS$93:$AZ$93)="EMPTY")+(UPPER($AS$93:$AZ$93)="(EMPTY)"))&gt;0,IFERROR(('Final Calculation Sheet'!$AG$20)&amp;"","")="",ISNUMBER(SEARCH($AS$93:$AZ$93,IFERROR(('Final Calculation Sheet'!$AG$20)&amp;"","")))))&gt;0),IF(COUNTIF($BI$93:$BP$93,8)=0,TRUE,SUMPRODUCT(($BI$93:$BP$93=8)*($AS$93:$AZ$93&lt;&gt;"")*IF(((UPPER($AS$93:$AZ$93)="BLANK")+(UPPER($AS$93:$AZ$93)="(BLANK)")+(UPPER($AS$93:$AZ$93)="EMPTY")+(UPPER($AS$93:$AZ$93)="(EMPTY)"))&gt;0,IFERROR(('Final Calculation Sheet'!$AG$20)&amp;"","")="",ISNUMBER(SEARCH($AS$93:$AZ$93,IFERROR(('Final Calculation Sheet'!$AG$20)&amp;"","")))))&gt;0))))</f>
        <v>1</v>
      </c>
      <c r="CU21">
        <f>IF($AI$4="",1,--(AND(SUMPRODUCT(--($AS$94:$AZ$94&lt;&gt;""))&gt;0,IF(COUNTIF($BI$94:$BP$94,1)=0,TRUE,SUMPRODUCT(($BI$94:$BP$94=1)*($AS$94:$AZ$94&lt;&gt;"")*IF(((UPPER($AS$94:$AZ$94)="BLANK")+(UPPER($AS$94:$AZ$94)="(BLANK)")+(UPPER($AS$94:$AZ$94)="EMPTY")+(UPPER($AS$94:$AZ$94)="(EMPTY)"))&gt;0,IFERROR((IF('Final Calculation Sheet'!$AD$20&lt;=0,"SETTLED","OUTSTANDING"))&amp;"","")="",ISNUMBER(SEARCH($AS$94:$AZ$94,IFERROR((IF('Final Calculation Sheet'!$AD$20&lt;=0,"SETTLED","OUTSTANDING"))&amp;"","")))))&gt;0),IF(COUNTIF($BI$94:$BP$94,2)=0,TRUE,SUMPRODUCT(($BI$94:$BP$94=2)*($AS$94:$AZ$94&lt;&gt;"")*IF(((UPPER($AS$94:$AZ$94)="BLANK")+(UPPER($AS$94:$AZ$94)="(BLANK)")+(UPPER($AS$94:$AZ$94)="EMPTY")+(UPPER($AS$94:$AZ$94)="(EMPTY)"))&gt;0,IFERROR((IF('Final Calculation Sheet'!$AD$20&lt;=0,"SETTLED","OUTSTANDING"))&amp;"","")="",ISNUMBER(SEARCH($AS$94:$AZ$94,IFERROR((IF('Final Calculation Sheet'!$AD$20&lt;=0,"SETTLED","OUTSTANDING"))&amp;"","")))))&gt;0),IF(COUNTIF($BI$94:$BP$94,3)=0,TRUE,SUMPRODUCT(($BI$94:$BP$94=3)*($AS$94:$AZ$94&lt;&gt;"")*IF(((UPPER($AS$94:$AZ$94)="BLANK")+(UPPER($AS$94:$AZ$94)="(BLANK)")+(UPPER($AS$94:$AZ$94)="EMPTY")+(UPPER($AS$94:$AZ$94)="(EMPTY)"))&gt;0,IFERROR((IF('Final Calculation Sheet'!$AD$20&lt;=0,"SETTLED","OUTSTANDING"))&amp;"","")="",ISNUMBER(SEARCH($AS$94:$AZ$94,IFERROR((IF('Final Calculation Sheet'!$AD$20&lt;=0,"SETTLED","OUTSTANDING"))&amp;"","")))))&gt;0),IF(COUNTIF($BI$94:$BP$94,4)=0,TRUE,SUMPRODUCT(($BI$94:$BP$94=4)*($AS$94:$AZ$94&lt;&gt;"")*IF(((UPPER($AS$94:$AZ$94)="BLANK")+(UPPER($AS$94:$AZ$94)="(BLANK)")+(UPPER($AS$94:$AZ$94)="EMPTY")+(UPPER($AS$94:$AZ$94)="(EMPTY)"))&gt;0,IFERROR((IF('Final Calculation Sheet'!$AD$20&lt;=0,"SETTLED","OUTSTANDING"))&amp;"","")="",ISNUMBER(SEARCH($AS$94:$AZ$94,IFERROR((IF('Final Calculation Sheet'!$AD$20&lt;=0,"SETTLED","OUTSTANDING"))&amp;"","")))))&gt;0),IF(COUNTIF($BI$94:$BP$94,5)=0,TRUE,SUMPRODUCT(($BI$94:$BP$94=5)*($AS$94:$AZ$94&lt;&gt;"")*IF(((UPPER($AS$94:$AZ$94)="BLANK")+(UPPER($AS$94:$AZ$94)="(BLANK)")+(UPPER($AS$94:$AZ$94)="EMPTY")+(UPPER($AS$94:$AZ$94)="(EMPTY)"))&gt;0,IFERROR((IF('Final Calculation Sheet'!$AD$20&lt;=0,"SETTLED","OUTSTANDING"))&amp;"","")="",ISNUMBER(SEARCH($AS$94:$AZ$94,IFERROR((IF('Final Calculation Sheet'!$AD$20&lt;=0,"SETTLED","OUTSTANDING"))&amp;"","")))))&gt;0),IF(COUNTIF($BI$94:$BP$94,6)=0,TRUE,SUMPRODUCT(($BI$94:$BP$94=6)*($AS$94:$AZ$94&lt;&gt;"")*IF(((UPPER($AS$94:$AZ$94)="BLANK")+(UPPER($AS$94:$AZ$94)="(BLANK)")+(UPPER($AS$94:$AZ$94)="EMPTY")+(UPPER($AS$94:$AZ$94)="(EMPTY)"))&gt;0,IFERROR((IF('Final Calculation Sheet'!$AD$20&lt;=0,"SETTLED","OUTSTANDING"))&amp;"","")="",ISNUMBER(SEARCH($AS$94:$AZ$94,IFERROR((IF('Final Calculation Sheet'!$AD$20&lt;=0,"SETTLED","OUTSTANDING"))&amp;"","")))))&gt;0),IF(COUNTIF($BI$94:$BP$94,7)=0,TRUE,SUMPRODUCT(($BI$94:$BP$94=7)*($AS$94:$AZ$94&lt;&gt;"")*IF(((UPPER($AS$94:$AZ$94)="BLANK")+(UPPER($AS$94:$AZ$94)="(BLANK)")+(UPPER($AS$94:$AZ$94)="EMPTY")+(UPPER($AS$94:$AZ$94)="(EMPTY)"))&gt;0,IFERROR((IF('Final Calculation Sheet'!$AD$20&lt;=0,"SETTLED","OUTSTANDING"))&amp;"","")="",ISNUMBER(SEARCH($AS$94:$AZ$94,IFERROR((IF('Final Calculation Sheet'!$AD$20&lt;=0,"SETTLED","OUTSTANDING"))&amp;"","")))))&gt;0),IF(COUNTIF($BI$94:$BP$94,8)=0,TRUE,SUMPRODUCT(($BI$94:$BP$94=8)*($AS$94:$AZ$94&lt;&gt;"")*IF(((UPPER($AS$94:$AZ$94)="BLANK")+(UPPER($AS$94:$AZ$94)="(BLANK)")+(UPPER($AS$94:$AZ$94)="EMPTY")+(UPPER($AS$94:$AZ$94)="(EMPTY)"))&gt;0,IFERROR((IF('Final Calculation Sheet'!$AD$20&lt;=0,"SETTLED","OUTSTANDING"))&amp;"","")="",ISNUMBER(SEARCH($AS$94:$AZ$94,IFERROR((IF('Final Calculation Sheet'!$AD$20&lt;=0,"SETTLED","OUTSTANDING"))&amp;"","")))))&gt;0))))</f>
        <v>1</v>
      </c>
    </row>
    <row r="22" spans="1:99" ht="15" customHeight="1" x14ac:dyDescent="0.25">
      <c r="A22" s="67">
        <f>IF($BJ21&gt;0,INDEX($BA$5:$BA$41,MATCH(21,$BB$5:$BB$41,0)),IF(OR($BI21=1,$BL21=1,$BH21&gt;0),"∑",""))</f>
        <v>5</v>
      </c>
      <c r="B22" s="68">
        <f>IF($BJ21&gt;0,IF(INDEX('Final Calculation Sheet'!$F$4:$F$40,$BJ21-3)="","",INDEX('Final Calculation Sheet'!$F$4:$F$40,$BJ21-3)),"")</f>
        <v>1976</v>
      </c>
      <c r="C22" s="68" t="str">
        <f>IF($BJ21&gt;0,IF(INDEX('Final Calculation Sheet'!$G$4:$G$40,$BJ21-3)="","",INDEX('Final Calculation Sheet'!$G$4:$G$40,$BJ21-3)),IF(OR($BI21=1,$BL21=1,$BH21&gt;0),IF($BI21=1,37,IF($BL21=1,37-INDEX($BD$4:$BD$13,10),INDEX($BD$4:$BD$13,$BH21)))&amp;" lot(s)",""))</f>
        <v>SHAR JAHAN TRADERS</v>
      </c>
      <c r="D22" s="69" t="str">
        <f>IF($BJ21&gt;0,IF(INDEX('Final Calculation Sheet'!$B$4:$B$40,$BJ21-3)="","",INDEX('Final Calculation Sheet'!$B$4:$B$40,$BJ21-3)),IF(OR($BI21=1,$BL21=1,$BH21&gt;0),IF($BI21=1,"GRAND TOTAL  —  matching + remaining",IF($BL21=1,"TOTAL MATCHED  —  every group together",IF($BH21=10,"REMAINING  —  did not match the search",IF($BH21=9,IF(COUNTIF($A$4:$AI$4,"&lt;&gt;")&gt;0,"FILTERED LOTS  —  column fields","ALL LOTS  —  nothing typed in the box"),"GROUP "&amp;$BH21&amp;" TOTAL  —  lots matching  "&amp;INDEX($AR$6:$AY$6,$BH21))))),""))</f>
        <v>Scrap Power Transformer</v>
      </c>
      <c r="E22" s="69">
        <f>IF($BJ21&gt;0,IF(INDEX('Final Calculation Sheet'!$D$4:$D$40,$BJ21-3)="","",INDEX('Final Calculation Sheet'!$D$4:$D$40,$BJ21-3)),IF(OR($BI21=1,$BL21=1,$BH21&gt;0),"–",""))</f>
        <v>21977</v>
      </c>
      <c r="F22" s="69">
        <f>IF($BJ21&gt;0,IF(INDEX('Final Calculation Sheet'!$A$4:$A$40,$BJ21-3)="","",INDEX('Final Calculation Sheet'!$A$4:$A$40,$BJ21-3)),IF(OR($BI21=1,$BL21=1,$BH21&gt;0),IF($BI21=1,SUM('Final Calculation Sheet'!$A$4:$A$40),IF($BL21=1,SUM('Final Calculation Sheet'!$A$4:$A$40)-SUMIFS('Final Calculation Sheet'!$A$4:$A$40,$AZ$5:$AZ$41,10),SUMIFS('Final Calculation Sheet'!$A$4:$A$40,$AZ$5:$AZ$41,$BH21))),""))</f>
        <v>1</v>
      </c>
      <c r="G22" s="69" t="str">
        <f>IF($BJ21&gt;0,IF(INDEX('Final Calculation Sheet'!$E$4:$E$40,$BJ21-3)="","",INDEX('Final Calculation Sheet'!$E$4:$E$40,$BJ21-3)),IF(OR($BI21=1,$BL21=1,$BH21&gt;0),"–",""))</f>
        <v>NO</v>
      </c>
      <c r="H22" s="70">
        <f>IF($BJ21&gt;0,IF(INDEX('Final Calculation Sheet'!$C$4:$C$40,$BJ21-3)="","",INDEX('Final Calculation Sheet'!$C$4:$C$40,$BJ21-3)),IF(OR($BI21=1,$BL21=1,$BH21&gt;0),"–",""))</f>
        <v>2787314</v>
      </c>
      <c r="I22" s="70">
        <f>IF($BJ21&gt;0,IF(INDEX('Final Calculation Sheet'!$H$4:$H$40,$BJ21-3)="","",INDEX('Final Calculation Sheet'!$H$4:$H$40,$BJ21-3)),IF(OR($BI21=1,$BL21=1,$BH21&gt;0),IF($BI21=1,SUM('Final Calculation Sheet'!$H$4:$H$40),IF($BL21=1,SUM('Final Calculation Sheet'!$H$4:$H$40)-SUMIFS('Final Calculation Sheet'!$H$4:$H$40,$AZ$5:$AZ$41,10),SUMIFS('Final Calculation Sheet'!$H$4:$H$40,$AZ$5:$AZ$41,$BH21))),""))</f>
        <v>2787314</v>
      </c>
      <c r="J22" s="70">
        <f>IF($BJ21&gt;0,IF(INDEX('Final Calculation Sheet'!$I$4:$I$40,$BJ21-3)="","",INDEX('Final Calculation Sheet'!$I$4:$I$40,$BJ21-3)),IF(OR($BI21=1,$BL21=1,$BH21&gt;0),IF($BI21=1,SUM('Final Calculation Sheet'!$I$4:$I$40),IF($BL21=1,SUM('Final Calculation Sheet'!$I$4:$I$40)-SUMIFS('Final Calculation Sheet'!$I$4:$I$40,$AZ$5:$AZ$41,10),SUMIFS('Final Calculation Sheet'!$I$4:$I$40,$AZ$5:$AZ$41,$BH21))),""))</f>
        <v>501717</v>
      </c>
      <c r="K22" s="70">
        <f>IF($BJ21&gt;0,IF(INDEX('Final Calculation Sheet'!$J$4:$J$40,$BJ21-3)="","",INDEX('Final Calculation Sheet'!$J$4:$J$40,$BJ21-3)),IF(OR($BI21=1,$BL21=1,$BH21&gt;0),IF($BI21=1,SUM('Final Calculation Sheet'!$J$4:$J$40),IF($BL21=1,SUM('Final Calculation Sheet'!$J$4:$J$40)-SUMIFS('Final Calculation Sheet'!$J$4:$J$40,$AZ$5:$AZ$41,10),SUMIFS('Final Calculation Sheet'!$J$4:$J$40,$AZ$5:$AZ$41,$BH21))),""))</f>
        <v>3289031</v>
      </c>
      <c r="L22" s="70">
        <f>IF($BJ21&gt;0,IF(INDEX('Final Calculation Sheet'!$K$4:$K$40,$BJ21-3)="","",INDEX('Final Calculation Sheet'!$K$4:$K$40,$BJ21-3)),IF(OR($BI21=1,$BL21=1,$BH21&gt;0),IF($BI21=1,SUM('Final Calculation Sheet'!$K$4:$K$40),IF($BL21=1,SUM('Final Calculation Sheet'!$K$4:$K$40)-SUMIFS('Final Calculation Sheet'!$K$4:$K$40,$AZ$5:$AZ$41,10),SUMIFS('Final Calculation Sheet'!$K$4:$K$40,$AZ$5:$AZ$41,$BH21))),""))</f>
        <v>65781</v>
      </c>
      <c r="M22" s="70">
        <f>IF($BJ21&gt;0,IF(INDEX('Final Calculation Sheet'!$L$4:$L$40,$BJ21-3)="","",INDEX('Final Calculation Sheet'!$L$4:$L$40,$BJ21-3)),IF(OR($BI21=1,$BL21=1,$BH21&gt;0),IF($BI21=1,SUM('Final Calculation Sheet'!$L$4:$L$40),IF($BL21=1,SUM('Final Calculation Sheet'!$L$4:$L$40)-SUMIFS('Final Calculation Sheet'!$L$4:$L$40,$AZ$5:$AZ$41,10),SUMIFS('Final Calculation Sheet'!$L$4:$L$40,$AZ$5:$AZ$41,$BH21))),""))</f>
        <v>2787.3139999999999</v>
      </c>
      <c r="N22" s="70">
        <f>IF($BJ21&gt;0,IF(INDEX('Final Calculation Sheet'!$M$4:$M$40,$BJ21-3)="","",INDEX('Final Calculation Sheet'!$M$4:$M$40,$BJ21-3)),IF(OR($BI21=1,$BL21=1,$BH21&gt;0),IF($BI21=1,SUM('Final Calculation Sheet'!$M$4:$M$40),IF($BL21=1,SUM('Final Calculation Sheet'!$M$4:$M$40)-SUMIFS('Final Calculation Sheet'!$M$4:$M$40,$AZ$5:$AZ$41,10),SUMIFS('Final Calculation Sheet'!$M$4:$M$40,$AZ$5:$AZ$41,$BH21))),""))</f>
        <v>74003.186699999991</v>
      </c>
      <c r="O22" s="71">
        <f>IF($BJ21&gt;0,IF(INDEX('Final Calculation Sheet'!$N$4:$N$40,$BJ21-3)="","",INDEX('Final Calculation Sheet'!$N$4:$N$40,$BJ21-3)),IF(OR($BI21=1,$BL21=1,$BH21&gt;0),IF($BI21=1,SUM('Final Calculation Sheet'!$N$4:$N$40),IF($BL21=1,SUM('Final Calculation Sheet'!$N$4:$N$40)-SUMIFS('Final Calculation Sheet'!$N$4:$N$40,$AZ$5:$AZ$41,10),SUMIFS('Final Calculation Sheet'!$N$4:$N$40,$AZ$5:$AZ$41,$BH21))),""))</f>
        <v>1254.2912999999999</v>
      </c>
      <c r="P22" s="70">
        <f>IF($BJ21&gt;0,IF(INDEX('Final Calculation Sheet'!$O$4:$O$40,$BJ21-3)="","",INDEX('Final Calculation Sheet'!$O$4:$O$40,$BJ21-3)),IF(OR($BI21=1,$BL21=1,$BH21&gt;0),IF($BI21=1,SUM('Final Calculation Sheet'!$O$4:$O$40),IF($BL21=1,SUM('Final Calculation Sheet'!$O$4:$O$40)-SUMIFS('Final Calculation Sheet'!$O$4:$O$40,$AZ$5:$AZ$41,10),SUMIFS('Final Calculation Sheet'!$O$4:$O$40,$AZ$5:$AZ$41,$BH21))),""))</f>
        <v>72748.895399999994</v>
      </c>
      <c r="Q22" s="70">
        <f>IF($BJ21&gt;0,IF(INDEX('Final Calculation Sheet'!$P$4:$P$40,$BJ21-3)="","",INDEX('Final Calculation Sheet'!$P$4:$P$40,$BJ21-3)),IF(OR($BI21=1,$BL21=1,$BH21&gt;0),IF($BI21=1,SUM('Final Calculation Sheet'!$P$4:$P$40),IF($BL21=1,SUM('Final Calculation Sheet'!$P$4:$P$40)-SUMIFS('Final Calculation Sheet'!$P$4:$P$40,$AZ$5:$AZ$41,10),SUMIFS('Final Calculation Sheet'!$P$4:$P$40,$AZ$5:$AZ$41,$BH21))),""))</f>
        <v>75536</v>
      </c>
      <c r="R22" s="72">
        <f>IF($BJ21&gt;0,IF(INDEX('Final Calculation Sheet'!$Q$4:$Q$40,$BJ21-3)="","",INDEX('Final Calculation Sheet'!$Q$4:$Q$40,$BJ21-3)),IF(OR($BI21=1,$BL21=1,$BH21&gt;0),"–",""))</f>
        <v>0</v>
      </c>
      <c r="S22" s="70">
        <f>IF($BJ21&gt;0,IF(INDEX('Final Calculation Sheet'!$R$4:$R$40,$BJ21-3)="","",INDEX('Final Calculation Sheet'!$R$4:$R$40,$BJ21-3)),IF(OR($BI21=1,$BL21=1,$BH21&gt;0),IF($BI21=1,SUM('Final Calculation Sheet'!$R$4:$R$40),IF($BL21=1,SUM('Final Calculation Sheet'!$R$4:$R$40)-SUMIFS('Final Calculation Sheet'!$R$4:$R$40,$AZ$5:$AZ$41,10),SUMIFS('Final Calculation Sheet'!$R$4:$R$40,$AZ$5:$AZ$41,$BH21))),""))</f>
        <v>0</v>
      </c>
      <c r="T22" s="70">
        <f>IF($BJ21&gt;0,IF(INDEX('Final Calculation Sheet'!$S$4:$S$40,$BJ21-3)="","",INDEX('Final Calculation Sheet'!$S$4:$S$40,$BJ21-3)),IF(OR($BI21=1,$BL21=1,$BH21&gt;0),IF($BI21=1,SUM('Final Calculation Sheet'!$S$4:$S$40),IF($BL21=1,SUM('Final Calculation Sheet'!$S$4:$S$40)-SUMIFS('Final Calculation Sheet'!$S$4:$S$40,$AZ$5:$AZ$41,10),SUMIFS('Final Calculation Sheet'!$S$4:$S$40,$AZ$5:$AZ$41,$BH21))),""))</f>
        <v>3279275</v>
      </c>
      <c r="U22" s="70">
        <f>IF($BJ21&gt;0,IF(INDEX('Final Calculation Sheet'!$T$4:$T$40,$BJ21-3)="","",INDEX('Final Calculation Sheet'!$T$4:$T$40,$BJ21-3)),IF(OR($BI21=1,$BL21=1,$BH21&gt;0),IF($BI21=1,SUM('Final Calculation Sheet'!$T$4:$T$40),IF($BL21=1,SUM('Final Calculation Sheet'!$T$4:$T$40)-SUMIFS('Final Calculation Sheet'!$T$4:$T$40,$AZ$5:$AZ$41,10),SUMIFS('Final Calculation Sheet'!$T$4:$T$40,$AZ$5:$AZ$41,$BH21))),""))</f>
        <v>696829</v>
      </c>
      <c r="V22" s="73">
        <f>IF($BJ21&gt;0,IF(INDEX('Final Calculation Sheet'!$U$4:$U$40,$BJ21-3)="","",INDEX('Final Calculation Sheet'!$U$4:$U$40,$BJ21-3)),IF(OR($BI21=1,$BL21=1,$BH21&gt;0),IF($BI21=1,SUM('Final Calculation Sheet'!$U$4:$U$40),IF($BL21=1,SUM('Final Calculation Sheet'!$U$4:$U$40)-SUMIFS('Final Calculation Sheet'!$U$4:$U$40,$AZ$5:$AZ$41,10),SUMIFS('Final Calculation Sheet'!$U$4:$U$40,$AZ$5:$AZ$41,$BH21))),""))</f>
        <v>696829</v>
      </c>
      <c r="W22" s="70" t="str">
        <f>IF($BJ21&gt;0,IF(INDEX('Final Calculation Sheet'!$V$4:$V$40,$BJ21-3)="","",INDEX('Final Calculation Sheet'!$V$4:$V$40,$BJ21-3)),IF(OR($BI21=1,$BL21=1,$BH21&gt;0),"–",""))</f>
        <v>13.08.2026</v>
      </c>
      <c r="X22" s="70">
        <f>IF($BJ21&gt;0,IF(INDEX('Final Calculation Sheet'!$W$4:$W$40,$BJ21-3)="","",INDEX('Final Calculation Sheet'!$W$4:$W$40,$BJ21-3)),IF(OR($BI21=1,$BL21=1,$BH21&gt;0),IF($BI21=1,SUM('Final Calculation Sheet'!$W$4:$W$40),IF($BL21=1,SUM('Final Calculation Sheet'!$W$4:$W$40)-SUMIFS('Final Calculation Sheet'!$W$4:$W$40,$AZ$5:$AZ$41,10),SUMIFS('Final Calculation Sheet'!$W$4:$W$40,$AZ$5:$AZ$41,$BH21))),""))</f>
        <v>2582446</v>
      </c>
      <c r="Y22" s="70">
        <f>IF($BJ21&gt;0,IF(INDEX('Final Calculation Sheet'!$X$4:$X$40,$BJ21-3)="","",INDEX('Final Calculation Sheet'!$X$4:$X$40,$BJ21-3)),IF(OR($BI21=1,$BL21=1,$BH21&gt;0),IF($BI21=1,SUM('Final Calculation Sheet'!$X$4:$X$40),IF($BL21=1,SUM('Final Calculation Sheet'!$X$4:$X$40)-SUMIFS('Final Calculation Sheet'!$X$4:$X$40,$AZ$5:$AZ$41,10),SUMIFS('Final Calculation Sheet'!$X$4:$X$40,$AZ$5:$AZ$41,$BH21))),""))</f>
        <v>2582447.0942916102</v>
      </c>
      <c r="Z22" s="70" t="str">
        <f>IF($BJ21&gt;0,IF(INDEX('Final Calculation Sheet'!$Y$4:$Y$40,$BJ21-3)="","",INDEX('Final Calculation Sheet'!$Y$4:$Y$40,$BJ21-3)),IF(OR($BI21=1,$BL21=1,$BH21&gt;0),"–",""))</f>
        <v>13.08.2026</v>
      </c>
      <c r="AA22" s="70">
        <f ca="1">IF($BJ21&gt;0,IF(INDEX('Final Calculation Sheet'!$Z$4:$Z$40,$BJ21-3)="","",INDEX('Final Calculation Sheet'!$Z$4:$Z$40,$BJ21-3)),IF(OR($BI21=1,$BL21=1,$BH21&gt;0),IF($BI21=1,SUM('Final Calculation Sheet'!$Z$4:$Z$40),IF($BL21=1,SUM('Final Calculation Sheet'!$Z$4:$Z$40)-SUMIFS('Final Calculation Sheet'!$Z$4:$Z$40,$AZ$5:$AZ$41,10),SUMIFS('Final Calculation Sheet'!$Z$4:$Z$40,$AZ$5:$AZ$41,$BH21))),""))</f>
        <v>0</v>
      </c>
      <c r="AB22" s="70" t="str">
        <f>IF($BJ21&gt;0,IF(INDEX('Final Calculation Sheet'!$AA$4:$AA$40,$BJ21-3)="","",INDEX('Final Calculation Sheet'!$AA$4:$AA$40,$BJ21-3)),IF(OR($BI21=1,$BL21=1,$BH21&gt;0),IF($BI21=1,SUM('Final Calculation Sheet'!$AA$4:$AA$40),IF($BL21=1,SUM('Final Calculation Sheet'!$AA$4:$AA$40)-SUMIFS('Final Calculation Sheet'!$AA$4:$AA$40,$AZ$5:$AZ$41,10),SUMIFS('Final Calculation Sheet'!$AA$4:$AA$40,$AZ$5:$AZ$41,$BH21))),""))</f>
        <v/>
      </c>
      <c r="AC22" s="70" t="str">
        <f>IF($BJ21&gt;0,IF(INDEX('Final Calculation Sheet'!$AB$4:$AB$40,$BJ21-3)="","",INDEX('Final Calculation Sheet'!$AB$4:$AB$40,$BJ21-3)),IF(OR($BI21=1,$BL21=1,$BH21&gt;0),"–",""))</f>
        <v/>
      </c>
      <c r="AD22" s="70">
        <f>IF($BJ21&gt;0,IF(INDEX('Final Calculation Sheet'!$AC$4:$AC$40,$BJ21-3)="","",INDEX('Final Calculation Sheet'!$AC$4:$AC$40,$BJ21-3)),IF(OR($BI21=1,$BL21=1,$BH21&gt;0),IF($BI21=1,SUM('Final Calculation Sheet'!$AC$4:$AC$40),IF($BL21=1,SUM('Final Calculation Sheet'!$AC$4:$AC$40)-SUMIFS('Final Calculation Sheet'!$AC$4:$AC$40,$AZ$5:$AZ$41,10),SUMIFS('Final Calculation Sheet'!$AC$4:$AC$40,$AZ$5:$AZ$41,$BH21))),""))</f>
        <v>3279276.0942916102</v>
      </c>
      <c r="AE22" s="70">
        <f>IF($BJ21&gt;0,IF(INDEX('Final Calculation Sheet'!$AD$4:$AD$40,$BJ21-3)="","",INDEX('Final Calculation Sheet'!$AD$4:$AD$40,$BJ21-3)),IF(OR($BI21=1,$BL21=1,$BH21&gt;0),IF($BI21=1,SUM('Final Calculation Sheet'!$AD$4:$AD$40),IF($BL21=1,SUM('Final Calculation Sheet'!$AD$4:$AD$40)-SUMIFS('Final Calculation Sheet'!$AD$4:$AD$40,$AZ$5:$AZ$41,10),SUMIFS('Final Calculation Sheet'!$AD$4:$AD$40,$AZ$5:$AZ$41,$BH21))),""))</f>
        <v>-1.0942916101776063</v>
      </c>
      <c r="AF22" s="70" t="str">
        <f>IF($BJ21&gt;0,IF(INDEX('Final Calculation Sheet'!$AE$4:$AE$40,$BJ21-3)="","",INDEX('Final Calculation Sheet'!$AE$4:$AE$40,$BJ21-3)),IF(OR($BI21=1,$BL21=1,$BH21&gt;0),"–",""))</f>
        <v>DR2640100023</v>
      </c>
      <c r="AG22" s="74">
        <f>IF($BJ21&gt;0,IF(INDEX('Final Calculation Sheet'!$AF$4:$AF$40,$BJ21-3)="","",INDEX('Final Calculation Sheet'!$AF$4:$AF$40,$BJ21-3)),IF(OR($BI21=1,$BL21=1,$BH21&gt;0),"–",""))</f>
        <v>1800003194</v>
      </c>
      <c r="AH22" s="70" t="str">
        <f>IF($BJ21&gt;0,IF(INDEX('Final Calculation Sheet'!$AG$4:$AG$40,$BJ21-3)="","",INDEX('Final Calculation Sheet'!$AG$4:$AG$40,$BJ21-3)),IF(OR($BI21=1,$BL21=1,$BH21&gt;0),"–",""))</f>
        <v>17.08.2026</v>
      </c>
      <c r="AI22" s="75" t="str">
        <f>IF($BJ21&gt;0,IF(INDEX('Final Calculation Sheet'!$AD$4:$AD$40,$BJ21-3)="","",IF(INDEX('Final Calculation Sheet'!$AD$4:$AD$40,$BJ21-3)&lt;=0,"SETTLED","OUTSTANDING")),IF(OR($BI21=1,$BL21=1,$BH21&gt;0),IF(IF($BI21=1,SUM('Final Calculation Sheet'!$AD$4:$AD$40),IF($BL21=1,SUM('Final Calculation Sheet'!$AD$4:$AD$40)-SUMIFS('Final Calculation Sheet'!$AD$4:$AD$40,$AZ$5:$AZ$41,10),SUMIFS('Final Calculation Sheet'!$AD$4:$AD$40,$AZ$5:$AZ$41,$BH21)))&lt;=0,"ALL SETTLED","OUTSTANDING"),""))</f>
        <v>SETTLED</v>
      </c>
      <c r="AK22" t="str">
        <f>IF($F$3="Lot No.",'Final Calculation Sheet'!$F$21,IF($F$3="Buyer",'Final Calculation Sheet'!$G$21,IF($F$3="Lot Name",'Final Calculation Sheet'!$B$21,IF($F$3="Bid Sheet",'Final Calculation Sheet'!$D$21,IF($F$3="Unit",'Final Calculation Sheet'!$E$21,'Final Calculation Sheet'!$F$21&amp;" "&amp;'Final Calculation Sheet'!$G$21&amp;" "&amp;'Final Calculation Sheet'!$B$21)))))</f>
        <v>2022 NATIONAL SCRAP AND BUILDING MATERIAL SUPPLIER Scrap of 132 KV CT</v>
      </c>
      <c r="AM22">
        <f t="shared" si="1"/>
        <v>0</v>
      </c>
      <c r="AZ22">
        <f t="shared" si="2"/>
        <v>10</v>
      </c>
      <c r="BA22">
        <f t="shared" si="3"/>
        <v>14</v>
      </c>
      <c r="BB22">
        <f t="shared" si="4"/>
        <v>30</v>
      </c>
      <c r="BC22">
        <v>21</v>
      </c>
      <c r="BH22">
        <f>IFERROR(MATCH(22,$BF$4:$BF$13,0),0)</f>
        <v>0</v>
      </c>
      <c r="BI22">
        <f>IF(22=$BG$5,1,0)</f>
        <v>0</v>
      </c>
      <c r="BJ22">
        <f>IF(OR($BH22&gt;0,$BI22=1,$BL22=1),0,IFERROR(INDEX($BC$5:$BC$41,MATCH(22,$BB$5:$BB$41,0)),0))</f>
        <v>10</v>
      </c>
      <c r="BK22">
        <f>IF($BJ22&gt;0,IF(INDEX($AZ$5:$AZ$41,MATCH(22,$BB$5:$BB$41,0))=10,1,0),IF($BH22=10,1,0))</f>
        <v>1</v>
      </c>
      <c r="BL22">
        <f>IF(22=$BG$4,1,0)</f>
        <v>0</v>
      </c>
      <c r="BM22">
        <f>IF($A$4="",1,--(AND(SUMPRODUCT(--($AS$60:$AZ$60&lt;&gt;""))&gt;0,IF(COUNTIF($BI$60:$BP$60,1)=0,TRUE,SUMPRODUCT(($BI$60:$BP$60=1)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$60,2)=0,TRUE,SUMPRODUCT(($BI$60:$BP$60=2)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$60,3)=0,TRUE,SUMPRODUCT(($BI$60:$BP$60=3)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$60,4)=0,TRUE,SUMPRODUCT(($BI$60:$BP$60=4)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$60,5)=0,TRUE,SUMPRODUCT(($BI$60:$BP$60=5)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$60,6)=0,TRUE,SUMPRODUCT(($BI$60:$BP$60=6)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$60,7)=0,TRUE,SUMPRODUCT(($BI$60:$BP$60=7)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$60,8)=0,TRUE,SUMPRODUCT(($BI$60:$BP$60=8)*($AS$60:$AZ$60&lt;&gt;"")*IF(((UPPER($AS$60:$AZ$60)="BLANK")+(UPPER($AS$60:$AZ$60)="(BLANK)")+(UPPER($AS$60:$AZ$60)="EMPTY")+(UPPER($AS$60:$AZ$60)="(EMPTY)"))&gt;0,IFERROR((ROW()-4)&amp;"","")="",ISNUMBER(SEARCH($AS$60:$AZ$60,IFERROR((ROW()-4)&amp;"","")))))&gt;0))))</f>
        <v>1</v>
      </c>
      <c r="BN22">
        <f>IF($B$4="",1,--(AND(SUMPRODUCT(--($AS$61:$AZ$61&lt;&gt;""))&gt;0,IF(COUNTIF($BI$61:$BP$61,1)=0,TRUE,SUMPRODUCT(($BI$61:$BP$61=1)*($AS$61:$AZ$61&lt;&gt;"")*IF(((UPPER($AS$61:$AZ$61)="BLANK")+(UPPER($AS$61:$AZ$61)="(BLANK)")+(UPPER($AS$61:$AZ$61)="EMPTY")+(UPPER($AS$61:$AZ$61)="(EMPTY)"))&gt;0,IFERROR(('Final Calculation Sheet'!$F$21)&amp;"","")="",ISNUMBER(SEARCH($AS$61:$AZ$61,IFERROR(('Final Calculation Sheet'!$F$21)&amp;"","")))))&gt;0),IF(COUNTIF($BI$61:$BP$61,2)=0,TRUE,SUMPRODUCT(($BI$61:$BP$61=2)*($AS$61:$AZ$61&lt;&gt;"")*IF(((UPPER($AS$61:$AZ$61)="BLANK")+(UPPER($AS$61:$AZ$61)="(BLANK)")+(UPPER($AS$61:$AZ$61)="EMPTY")+(UPPER($AS$61:$AZ$61)="(EMPTY)"))&gt;0,IFERROR(('Final Calculation Sheet'!$F$21)&amp;"","")="",ISNUMBER(SEARCH($AS$61:$AZ$61,IFERROR(('Final Calculation Sheet'!$F$21)&amp;"","")))))&gt;0),IF(COUNTIF($BI$61:$BP$61,3)=0,TRUE,SUMPRODUCT(($BI$61:$BP$61=3)*($AS$61:$AZ$61&lt;&gt;"")*IF(((UPPER($AS$61:$AZ$61)="BLANK")+(UPPER($AS$61:$AZ$61)="(BLANK)")+(UPPER($AS$61:$AZ$61)="EMPTY")+(UPPER($AS$61:$AZ$61)="(EMPTY)"))&gt;0,IFERROR(('Final Calculation Sheet'!$F$21)&amp;"","")="",ISNUMBER(SEARCH($AS$61:$AZ$61,IFERROR(('Final Calculation Sheet'!$F$21)&amp;"","")))))&gt;0),IF(COUNTIF($BI$61:$BP$61,4)=0,TRUE,SUMPRODUCT(($BI$61:$BP$61=4)*($AS$61:$AZ$61&lt;&gt;"")*IF(((UPPER($AS$61:$AZ$61)="BLANK")+(UPPER($AS$61:$AZ$61)="(BLANK)")+(UPPER($AS$61:$AZ$61)="EMPTY")+(UPPER($AS$61:$AZ$61)="(EMPTY)"))&gt;0,IFERROR(('Final Calculation Sheet'!$F$21)&amp;"","")="",ISNUMBER(SEARCH($AS$61:$AZ$61,IFERROR(('Final Calculation Sheet'!$F$21)&amp;"","")))))&gt;0),IF(COUNTIF($BI$61:$BP$61,5)=0,TRUE,SUMPRODUCT(($BI$61:$BP$61=5)*($AS$61:$AZ$61&lt;&gt;"")*IF(((UPPER($AS$61:$AZ$61)="BLANK")+(UPPER($AS$61:$AZ$61)="(BLANK)")+(UPPER($AS$61:$AZ$61)="EMPTY")+(UPPER($AS$61:$AZ$61)="(EMPTY)"))&gt;0,IFERROR(('Final Calculation Sheet'!$F$21)&amp;"","")="",ISNUMBER(SEARCH($AS$61:$AZ$61,IFERROR(('Final Calculation Sheet'!$F$21)&amp;"","")))))&gt;0),IF(COUNTIF($BI$61:$BP$61,6)=0,TRUE,SUMPRODUCT(($BI$61:$BP$61=6)*($AS$61:$AZ$61&lt;&gt;"")*IF(((UPPER($AS$61:$AZ$61)="BLANK")+(UPPER($AS$61:$AZ$61)="(BLANK)")+(UPPER($AS$61:$AZ$61)="EMPTY")+(UPPER($AS$61:$AZ$61)="(EMPTY)"))&gt;0,IFERROR(('Final Calculation Sheet'!$F$21)&amp;"","")="",ISNUMBER(SEARCH($AS$61:$AZ$61,IFERROR(('Final Calculation Sheet'!$F$21)&amp;"","")))))&gt;0),IF(COUNTIF($BI$61:$BP$61,7)=0,TRUE,SUMPRODUCT(($BI$61:$BP$61=7)*($AS$61:$AZ$61&lt;&gt;"")*IF(((UPPER($AS$61:$AZ$61)="BLANK")+(UPPER($AS$61:$AZ$61)="(BLANK)")+(UPPER($AS$61:$AZ$61)="EMPTY")+(UPPER($AS$61:$AZ$61)="(EMPTY)"))&gt;0,IFERROR(('Final Calculation Sheet'!$F$21)&amp;"","")="",ISNUMBER(SEARCH($AS$61:$AZ$61,IFERROR(('Final Calculation Sheet'!$F$21)&amp;"","")))))&gt;0),IF(COUNTIF($BI$61:$BP$61,8)=0,TRUE,SUMPRODUCT(($BI$61:$BP$61=8)*($AS$61:$AZ$61&lt;&gt;"")*IF(((UPPER($AS$61:$AZ$61)="BLANK")+(UPPER($AS$61:$AZ$61)="(BLANK)")+(UPPER($AS$61:$AZ$61)="EMPTY")+(UPPER($AS$61:$AZ$61)="(EMPTY)"))&gt;0,IFERROR(('Final Calculation Sheet'!$F$21)&amp;"","")="",ISNUMBER(SEARCH($AS$61:$AZ$61,IFERROR(('Final Calculation Sheet'!$F$21)&amp;"","")))))&gt;0))))</f>
        <v>1</v>
      </c>
      <c r="BO22">
        <f>IF($C$4="",1,--(AND(SUMPRODUCT(--($AS$62:$AZ$62&lt;&gt;""))&gt;0,IF(COUNTIF($BI$62:$BP$62,1)=0,TRUE,SUMPRODUCT(($BI$62:$BP$62=1)*($AS$62:$AZ$62&lt;&gt;"")*IF(((UPPER($AS$62:$AZ$62)="BLANK")+(UPPER($AS$62:$AZ$62)="(BLANK)")+(UPPER($AS$62:$AZ$62)="EMPTY")+(UPPER($AS$62:$AZ$62)="(EMPTY)"))&gt;0,IFERROR(('Final Calculation Sheet'!$G$21)&amp;"","")="",ISNUMBER(SEARCH($AS$62:$AZ$62,IFERROR(('Final Calculation Sheet'!$G$21)&amp;"","")))))&gt;0),IF(COUNTIF($BI$62:$BP$62,2)=0,TRUE,SUMPRODUCT(($BI$62:$BP$62=2)*($AS$62:$AZ$62&lt;&gt;"")*IF(((UPPER($AS$62:$AZ$62)="BLANK")+(UPPER($AS$62:$AZ$62)="(BLANK)")+(UPPER($AS$62:$AZ$62)="EMPTY")+(UPPER($AS$62:$AZ$62)="(EMPTY)"))&gt;0,IFERROR(('Final Calculation Sheet'!$G$21)&amp;"","")="",ISNUMBER(SEARCH($AS$62:$AZ$62,IFERROR(('Final Calculation Sheet'!$G$21)&amp;"","")))))&gt;0),IF(COUNTIF($BI$62:$BP$62,3)=0,TRUE,SUMPRODUCT(($BI$62:$BP$62=3)*($AS$62:$AZ$62&lt;&gt;"")*IF(((UPPER($AS$62:$AZ$62)="BLANK")+(UPPER($AS$62:$AZ$62)="(BLANK)")+(UPPER($AS$62:$AZ$62)="EMPTY")+(UPPER($AS$62:$AZ$62)="(EMPTY)"))&gt;0,IFERROR(('Final Calculation Sheet'!$G$21)&amp;"","")="",ISNUMBER(SEARCH($AS$62:$AZ$62,IFERROR(('Final Calculation Sheet'!$G$21)&amp;"","")))))&gt;0),IF(COUNTIF($BI$62:$BP$62,4)=0,TRUE,SUMPRODUCT(($BI$62:$BP$62=4)*($AS$62:$AZ$62&lt;&gt;"")*IF(((UPPER($AS$62:$AZ$62)="BLANK")+(UPPER($AS$62:$AZ$62)="(BLANK)")+(UPPER($AS$62:$AZ$62)="EMPTY")+(UPPER($AS$62:$AZ$62)="(EMPTY)"))&gt;0,IFERROR(('Final Calculation Sheet'!$G$21)&amp;"","")="",ISNUMBER(SEARCH($AS$62:$AZ$62,IFERROR(('Final Calculation Sheet'!$G$21)&amp;"","")))))&gt;0),IF(COUNTIF($BI$62:$BP$62,5)=0,TRUE,SUMPRODUCT(($BI$62:$BP$62=5)*($AS$62:$AZ$62&lt;&gt;"")*IF(((UPPER($AS$62:$AZ$62)="BLANK")+(UPPER($AS$62:$AZ$62)="(BLANK)")+(UPPER($AS$62:$AZ$62)="EMPTY")+(UPPER($AS$62:$AZ$62)="(EMPTY)"))&gt;0,IFERROR(('Final Calculation Sheet'!$G$21)&amp;"","")="",ISNUMBER(SEARCH($AS$62:$AZ$62,IFERROR(('Final Calculation Sheet'!$G$21)&amp;"","")))))&gt;0),IF(COUNTIF($BI$62:$BP$62,6)=0,TRUE,SUMPRODUCT(($BI$62:$BP$62=6)*($AS$62:$AZ$62&lt;&gt;"")*IF(((UPPER($AS$62:$AZ$62)="BLANK")+(UPPER($AS$62:$AZ$62)="(BLANK)")+(UPPER($AS$62:$AZ$62)="EMPTY")+(UPPER($AS$62:$AZ$62)="(EMPTY)"))&gt;0,IFERROR(('Final Calculation Sheet'!$G$21)&amp;"","")="",ISNUMBER(SEARCH($AS$62:$AZ$62,IFERROR(('Final Calculation Sheet'!$G$21)&amp;"","")))))&gt;0),IF(COUNTIF($BI$62:$BP$62,7)=0,TRUE,SUMPRODUCT(($BI$62:$BP$62=7)*($AS$62:$AZ$62&lt;&gt;"")*IF(((UPPER($AS$62:$AZ$62)="BLANK")+(UPPER($AS$62:$AZ$62)="(BLANK)")+(UPPER($AS$62:$AZ$62)="EMPTY")+(UPPER($AS$62:$AZ$62)="(EMPTY)"))&gt;0,IFERROR(('Final Calculation Sheet'!$G$21)&amp;"","")="",ISNUMBER(SEARCH($AS$62:$AZ$62,IFERROR(('Final Calculation Sheet'!$G$21)&amp;"","")))))&gt;0),IF(COUNTIF($BI$62:$BP$62,8)=0,TRUE,SUMPRODUCT(($BI$62:$BP$62=8)*($AS$62:$AZ$62&lt;&gt;"")*IF(((UPPER($AS$62:$AZ$62)="BLANK")+(UPPER($AS$62:$AZ$62)="(BLANK)")+(UPPER($AS$62:$AZ$62)="EMPTY")+(UPPER($AS$62:$AZ$62)="(EMPTY)"))&gt;0,IFERROR(('Final Calculation Sheet'!$G$21)&amp;"","")="",ISNUMBER(SEARCH($AS$62:$AZ$62,IFERROR(('Final Calculation Sheet'!$G$21)&amp;"","")))))&gt;0))))</f>
        <v>1</v>
      </c>
      <c r="BP22">
        <f>IF($D$4="",1,--(AND(SUMPRODUCT(--($AS$63:$AZ$63&lt;&gt;""))&gt;0,IF(COUNTIF($BI$63:$BP$63,1)=0,TRUE,SUMPRODUCT(($BI$63:$BP$63=1)*($AS$63:$AZ$63&lt;&gt;"")*IF(((UPPER($AS$63:$AZ$63)="BLANK")+(UPPER($AS$63:$AZ$63)="(BLANK)")+(UPPER($AS$63:$AZ$63)="EMPTY")+(UPPER($AS$63:$AZ$63)="(EMPTY)"))&gt;0,IFERROR(('Final Calculation Sheet'!$B$21)&amp;"","")="",ISNUMBER(SEARCH($AS$63:$AZ$63,IFERROR(('Final Calculation Sheet'!$B$21)&amp;"","")))))&gt;0),IF(COUNTIF($BI$63:$BP$63,2)=0,TRUE,SUMPRODUCT(($BI$63:$BP$63=2)*($AS$63:$AZ$63&lt;&gt;"")*IF(((UPPER($AS$63:$AZ$63)="BLANK")+(UPPER($AS$63:$AZ$63)="(BLANK)")+(UPPER($AS$63:$AZ$63)="EMPTY")+(UPPER($AS$63:$AZ$63)="(EMPTY)"))&gt;0,IFERROR(('Final Calculation Sheet'!$B$21)&amp;"","")="",ISNUMBER(SEARCH($AS$63:$AZ$63,IFERROR(('Final Calculation Sheet'!$B$21)&amp;"","")))))&gt;0),IF(COUNTIF($BI$63:$BP$63,3)=0,TRUE,SUMPRODUCT(($BI$63:$BP$63=3)*($AS$63:$AZ$63&lt;&gt;"")*IF(((UPPER($AS$63:$AZ$63)="BLANK")+(UPPER($AS$63:$AZ$63)="(BLANK)")+(UPPER($AS$63:$AZ$63)="EMPTY")+(UPPER($AS$63:$AZ$63)="(EMPTY)"))&gt;0,IFERROR(('Final Calculation Sheet'!$B$21)&amp;"","")="",ISNUMBER(SEARCH($AS$63:$AZ$63,IFERROR(('Final Calculation Sheet'!$B$21)&amp;"","")))))&gt;0),IF(COUNTIF($BI$63:$BP$63,4)=0,TRUE,SUMPRODUCT(($BI$63:$BP$63=4)*($AS$63:$AZ$63&lt;&gt;"")*IF(((UPPER($AS$63:$AZ$63)="BLANK")+(UPPER($AS$63:$AZ$63)="(BLANK)")+(UPPER($AS$63:$AZ$63)="EMPTY")+(UPPER($AS$63:$AZ$63)="(EMPTY)"))&gt;0,IFERROR(('Final Calculation Sheet'!$B$21)&amp;"","")="",ISNUMBER(SEARCH($AS$63:$AZ$63,IFERROR(('Final Calculation Sheet'!$B$21)&amp;"","")))))&gt;0),IF(COUNTIF($BI$63:$BP$63,5)=0,TRUE,SUMPRODUCT(($BI$63:$BP$63=5)*($AS$63:$AZ$63&lt;&gt;"")*IF(((UPPER($AS$63:$AZ$63)="BLANK")+(UPPER($AS$63:$AZ$63)="(BLANK)")+(UPPER($AS$63:$AZ$63)="EMPTY")+(UPPER($AS$63:$AZ$63)="(EMPTY)"))&gt;0,IFERROR(('Final Calculation Sheet'!$B$21)&amp;"","")="",ISNUMBER(SEARCH($AS$63:$AZ$63,IFERROR(('Final Calculation Sheet'!$B$21)&amp;"","")))))&gt;0),IF(COUNTIF($BI$63:$BP$63,6)=0,TRUE,SUMPRODUCT(($BI$63:$BP$63=6)*($AS$63:$AZ$63&lt;&gt;"")*IF(((UPPER($AS$63:$AZ$63)="BLANK")+(UPPER($AS$63:$AZ$63)="(BLANK)")+(UPPER($AS$63:$AZ$63)="EMPTY")+(UPPER($AS$63:$AZ$63)="(EMPTY)"))&gt;0,IFERROR(('Final Calculation Sheet'!$B$21)&amp;"","")="",ISNUMBER(SEARCH($AS$63:$AZ$63,IFERROR(('Final Calculation Sheet'!$B$21)&amp;"","")))))&gt;0),IF(COUNTIF($BI$63:$BP$63,7)=0,TRUE,SUMPRODUCT(($BI$63:$BP$63=7)*($AS$63:$AZ$63&lt;&gt;"")*IF(((UPPER($AS$63:$AZ$63)="BLANK")+(UPPER($AS$63:$AZ$63)="(BLANK)")+(UPPER($AS$63:$AZ$63)="EMPTY")+(UPPER($AS$63:$AZ$63)="(EMPTY)"))&gt;0,IFERROR(('Final Calculation Sheet'!$B$21)&amp;"","")="",ISNUMBER(SEARCH($AS$63:$AZ$63,IFERROR(('Final Calculation Sheet'!$B$21)&amp;"","")))))&gt;0),IF(COUNTIF($BI$63:$BP$63,8)=0,TRUE,SUMPRODUCT(($BI$63:$BP$63=8)*($AS$63:$AZ$63&lt;&gt;"")*IF(((UPPER($AS$63:$AZ$63)="BLANK")+(UPPER($AS$63:$AZ$63)="(BLANK)")+(UPPER($AS$63:$AZ$63)="EMPTY")+(UPPER($AS$63:$AZ$63)="(EMPTY)"))&gt;0,IFERROR(('Final Calculation Sheet'!$B$21)&amp;"","")="",ISNUMBER(SEARCH($AS$63:$AZ$63,IFERROR(('Final Calculation Sheet'!$B$21)&amp;"","")))))&gt;0))))</f>
        <v>1</v>
      </c>
      <c r="BQ22">
        <f>IF($E$4="",1,--(AND(SUMPRODUCT(--($AS$64:$AZ$64&lt;&gt;""))&gt;0,IF(COUNTIF($BI$64:$BP$64,1)=0,TRUE,SUMPRODUCT(($BI$64:$BP$64=1)*($AS$64:$AZ$64&lt;&gt;"")*IF(((UPPER($AS$64:$AZ$64)="BLANK")+(UPPER($AS$64:$AZ$64)="(BLANK)")+(UPPER($AS$64:$AZ$64)="EMPTY")+(UPPER($AS$64:$AZ$64)="(EMPTY)"))&gt;0,IFERROR(('Final Calculation Sheet'!$D$21)&amp;"","")="",ISNUMBER(SEARCH($AS$64:$AZ$64,IFERROR(('Final Calculation Sheet'!$D$21)&amp;"","")))))&gt;0),IF(COUNTIF($BI$64:$BP$64,2)=0,TRUE,SUMPRODUCT(($BI$64:$BP$64=2)*($AS$64:$AZ$64&lt;&gt;"")*IF(((UPPER($AS$64:$AZ$64)="BLANK")+(UPPER($AS$64:$AZ$64)="(BLANK)")+(UPPER($AS$64:$AZ$64)="EMPTY")+(UPPER($AS$64:$AZ$64)="(EMPTY)"))&gt;0,IFERROR(('Final Calculation Sheet'!$D$21)&amp;"","")="",ISNUMBER(SEARCH($AS$64:$AZ$64,IFERROR(('Final Calculation Sheet'!$D$21)&amp;"","")))))&gt;0),IF(COUNTIF($BI$64:$BP$64,3)=0,TRUE,SUMPRODUCT(($BI$64:$BP$64=3)*($AS$64:$AZ$64&lt;&gt;"")*IF(((UPPER($AS$64:$AZ$64)="BLANK")+(UPPER($AS$64:$AZ$64)="(BLANK)")+(UPPER($AS$64:$AZ$64)="EMPTY")+(UPPER($AS$64:$AZ$64)="(EMPTY)"))&gt;0,IFERROR(('Final Calculation Sheet'!$D$21)&amp;"","")="",ISNUMBER(SEARCH($AS$64:$AZ$64,IFERROR(('Final Calculation Sheet'!$D$21)&amp;"","")))))&gt;0),IF(COUNTIF($BI$64:$BP$64,4)=0,TRUE,SUMPRODUCT(($BI$64:$BP$64=4)*($AS$64:$AZ$64&lt;&gt;"")*IF(((UPPER($AS$64:$AZ$64)="BLANK")+(UPPER($AS$64:$AZ$64)="(BLANK)")+(UPPER($AS$64:$AZ$64)="EMPTY")+(UPPER($AS$64:$AZ$64)="(EMPTY)"))&gt;0,IFERROR(('Final Calculation Sheet'!$D$21)&amp;"","")="",ISNUMBER(SEARCH($AS$64:$AZ$64,IFERROR(('Final Calculation Sheet'!$D$21)&amp;"","")))))&gt;0),IF(COUNTIF($BI$64:$BP$64,5)=0,TRUE,SUMPRODUCT(($BI$64:$BP$64=5)*($AS$64:$AZ$64&lt;&gt;"")*IF(((UPPER($AS$64:$AZ$64)="BLANK")+(UPPER($AS$64:$AZ$64)="(BLANK)")+(UPPER($AS$64:$AZ$64)="EMPTY")+(UPPER($AS$64:$AZ$64)="(EMPTY)"))&gt;0,IFERROR(('Final Calculation Sheet'!$D$21)&amp;"","")="",ISNUMBER(SEARCH($AS$64:$AZ$64,IFERROR(('Final Calculation Sheet'!$D$21)&amp;"","")))))&gt;0),IF(COUNTIF($BI$64:$BP$64,6)=0,TRUE,SUMPRODUCT(($BI$64:$BP$64=6)*($AS$64:$AZ$64&lt;&gt;"")*IF(((UPPER($AS$64:$AZ$64)="BLANK")+(UPPER($AS$64:$AZ$64)="(BLANK)")+(UPPER($AS$64:$AZ$64)="EMPTY")+(UPPER($AS$64:$AZ$64)="(EMPTY)"))&gt;0,IFERROR(('Final Calculation Sheet'!$D$21)&amp;"","")="",ISNUMBER(SEARCH($AS$64:$AZ$64,IFERROR(('Final Calculation Sheet'!$D$21)&amp;"","")))))&gt;0),IF(COUNTIF($BI$64:$BP$64,7)=0,TRUE,SUMPRODUCT(($BI$64:$BP$64=7)*($AS$64:$AZ$64&lt;&gt;"")*IF(((UPPER($AS$64:$AZ$64)="BLANK")+(UPPER($AS$64:$AZ$64)="(BLANK)")+(UPPER($AS$64:$AZ$64)="EMPTY")+(UPPER($AS$64:$AZ$64)="(EMPTY)"))&gt;0,IFERROR(('Final Calculation Sheet'!$D$21)&amp;"","")="",ISNUMBER(SEARCH($AS$64:$AZ$64,IFERROR(('Final Calculation Sheet'!$D$21)&amp;"","")))))&gt;0),IF(COUNTIF($BI$64:$BP$64,8)=0,TRUE,SUMPRODUCT(($BI$64:$BP$64=8)*($AS$64:$AZ$64&lt;&gt;"")*IF(((UPPER($AS$64:$AZ$64)="BLANK")+(UPPER($AS$64:$AZ$64)="(BLANK)")+(UPPER($AS$64:$AZ$64)="EMPTY")+(UPPER($AS$64:$AZ$64)="(EMPTY)"))&gt;0,IFERROR(('Final Calculation Sheet'!$D$21)&amp;"","")="",ISNUMBER(SEARCH($AS$64:$AZ$64,IFERROR(('Final Calculation Sheet'!$D$21)&amp;"","")))))&gt;0))))</f>
        <v>1</v>
      </c>
      <c r="BR22">
        <f>IF($F$4="",1,--(AND(SUMPRODUCT(--($AS$65:$AZ$65&lt;&gt;""))&gt;0,IF(COUNTIF($BI$65:$BP$65,1)=0,TRUE,SUMPRODUCT(($BI$65:$BP$65=1)*($AS$65:$AZ$65&lt;&gt;"")*IF(((UPPER($AS$65:$AZ$65)="BLANK")+(UPPER($AS$65:$AZ$65)="(BLANK)")+(UPPER($AS$65:$AZ$65)="EMPTY")+(UPPER($AS$65:$AZ$65)="(EMPTY)"))&gt;0,IFERROR(('Final Calculation Sheet'!$A$21)&amp;"","")="",ISNUMBER(SEARCH($AS$65:$AZ$65,IFERROR(('Final Calculation Sheet'!$A$21)&amp;"","")))))&gt;0),IF(COUNTIF($BI$65:$BP$65,2)=0,TRUE,SUMPRODUCT(($BI$65:$BP$65=2)*($AS$65:$AZ$65&lt;&gt;"")*IF(((UPPER($AS$65:$AZ$65)="BLANK")+(UPPER($AS$65:$AZ$65)="(BLANK)")+(UPPER($AS$65:$AZ$65)="EMPTY")+(UPPER($AS$65:$AZ$65)="(EMPTY)"))&gt;0,IFERROR(('Final Calculation Sheet'!$A$21)&amp;"","")="",ISNUMBER(SEARCH($AS$65:$AZ$65,IFERROR(('Final Calculation Sheet'!$A$21)&amp;"","")))))&gt;0),IF(COUNTIF($BI$65:$BP$65,3)=0,TRUE,SUMPRODUCT(($BI$65:$BP$65=3)*($AS$65:$AZ$65&lt;&gt;"")*IF(((UPPER($AS$65:$AZ$65)="BLANK")+(UPPER($AS$65:$AZ$65)="(BLANK)")+(UPPER($AS$65:$AZ$65)="EMPTY")+(UPPER($AS$65:$AZ$65)="(EMPTY)"))&gt;0,IFERROR(('Final Calculation Sheet'!$A$21)&amp;"","")="",ISNUMBER(SEARCH($AS$65:$AZ$65,IFERROR(('Final Calculation Sheet'!$A$21)&amp;"","")))))&gt;0),IF(COUNTIF($BI$65:$BP$65,4)=0,TRUE,SUMPRODUCT(($BI$65:$BP$65=4)*($AS$65:$AZ$65&lt;&gt;"")*IF(((UPPER($AS$65:$AZ$65)="BLANK")+(UPPER($AS$65:$AZ$65)="(BLANK)")+(UPPER($AS$65:$AZ$65)="EMPTY")+(UPPER($AS$65:$AZ$65)="(EMPTY)"))&gt;0,IFERROR(('Final Calculation Sheet'!$A$21)&amp;"","")="",ISNUMBER(SEARCH($AS$65:$AZ$65,IFERROR(('Final Calculation Sheet'!$A$21)&amp;"","")))))&gt;0),IF(COUNTIF($BI$65:$BP$65,5)=0,TRUE,SUMPRODUCT(($BI$65:$BP$65=5)*($AS$65:$AZ$65&lt;&gt;"")*IF(((UPPER($AS$65:$AZ$65)="BLANK")+(UPPER($AS$65:$AZ$65)="(BLANK)")+(UPPER($AS$65:$AZ$65)="EMPTY")+(UPPER($AS$65:$AZ$65)="(EMPTY)"))&gt;0,IFERROR(('Final Calculation Sheet'!$A$21)&amp;"","")="",ISNUMBER(SEARCH($AS$65:$AZ$65,IFERROR(('Final Calculation Sheet'!$A$21)&amp;"","")))))&gt;0),IF(COUNTIF($BI$65:$BP$65,6)=0,TRUE,SUMPRODUCT(($BI$65:$BP$65=6)*($AS$65:$AZ$65&lt;&gt;"")*IF(((UPPER($AS$65:$AZ$65)="BLANK")+(UPPER($AS$65:$AZ$65)="(BLANK)")+(UPPER($AS$65:$AZ$65)="EMPTY")+(UPPER($AS$65:$AZ$65)="(EMPTY)"))&gt;0,IFERROR(('Final Calculation Sheet'!$A$21)&amp;"","")="",ISNUMBER(SEARCH($AS$65:$AZ$65,IFERROR(('Final Calculation Sheet'!$A$21)&amp;"","")))))&gt;0),IF(COUNTIF($BI$65:$BP$65,7)=0,TRUE,SUMPRODUCT(($BI$65:$BP$65=7)*($AS$65:$AZ$65&lt;&gt;"")*IF(((UPPER($AS$65:$AZ$65)="BLANK")+(UPPER($AS$65:$AZ$65)="(BLANK)")+(UPPER($AS$65:$AZ$65)="EMPTY")+(UPPER($AS$65:$AZ$65)="(EMPTY)"))&gt;0,IFERROR(('Final Calculation Sheet'!$A$21)&amp;"","")="",ISNUMBER(SEARCH($AS$65:$AZ$65,IFERROR(('Final Calculation Sheet'!$A$21)&amp;"","")))))&gt;0),IF(COUNTIF($BI$65:$BP$65,8)=0,TRUE,SUMPRODUCT(($BI$65:$BP$65=8)*($AS$65:$AZ$65&lt;&gt;"")*IF(((UPPER($AS$65:$AZ$65)="BLANK")+(UPPER($AS$65:$AZ$65)="(BLANK)")+(UPPER($AS$65:$AZ$65)="EMPTY")+(UPPER($AS$65:$AZ$65)="(EMPTY)"))&gt;0,IFERROR(('Final Calculation Sheet'!$A$21)&amp;"","")="",ISNUMBER(SEARCH($AS$65:$AZ$65,IFERROR(('Final Calculation Sheet'!$A$21)&amp;"","")))))&gt;0))))</f>
        <v>1</v>
      </c>
      <c r="BS22">
        <f>IF($G$4="",1,--(AND(SUMPRODUCT(--($AS$66:$AZ$66&lt;&gt;""))&gt;0,IF(COUNTIF($BI$66:$BP$66,1)=0,TRUE,SUMPRODUCT(($BI$66:$BP$66=1)*($AS$66:$AZ$66&lt;&gt;"")*IF(((UPPER($AS$66:$AZ$66)="BLANK")+(UPPER($AS$66:$AZ$66)="(BLANK)")+(UPPER($AS$66:$AZ$66)="EMPTY")+(UPPER($AS$66:$AZ$66)="(EMPTY)"))&gt;0,IFERROR(('Final Calculation Sheet'!$E$21)&amp;"","")="",ISNUMBER(SEARCH($AS$66:$AZ$66,IFERROR(('Final Calculation Sheet'!$E$21)&amp;"","")))))&gt;0),IF(COUNTIF($BI$66:$BP$66,2)=0,TRUE,SUMPRODUCT(($BI$66:$BP$66=2)*($AS$66:$AZ$66&lt;&gt;"")*IF(((UPPER($AS$66:$AZ$66)="BLANK")+(UPPER($AS$66:$AZ$66)="(BLANK)")+(UPPER($AS$66:$AZ$66)="EMPTY")+(UPPER($AS$66:$AZ$66)="(EMPTY)"))&gt;0,IFERROR(('Final Calculation Sheet'!$E$21)&amp;"","")="",ISNUMBER(SEARCH($AS$66:$AZ$66,IFERROR(('Final Calculation Sheet'!$E$21)&amp;"","")))))&gt;0),IF(COUNTIF($BI$66:$BP$66,3)=0,TRUE,SUMPRODUCT(($BI$66:$BP$66=3)*($AS$66:$AZ$66&lt;&gt;"")*IF(((UPPER($AS$66:$AZ$66)="BLANK")+(UPPER($AS$66:$AZ$66)="(BLANK)")+(UPPER($AS$66:$AZ$66)="EMPTY")+(UPPER($AS$66:$AZ$66)="(EMPTY)"))&gt;0,IFERROR(('Final Calculation Sheet'!$E$21)&amp;"","")="",ISNUMBER(SEARCH($AS$66:$AZ$66,IFERROR(('Final Calculation Sheet'!$E$21)&amp;"","")))))&gt;0),IF(COUNTIF($BI$66:$BP$66,4)=0,TRUE,SUMPRODUCT(($BI$66:$BP$66=4)*($AS$66:$AZ$66&lt;&gt;"")*IF(((UPPER($AS$66:$AZ$66)="BLANK")+(UPPER($AS$66:$AZ$66)="(BLANK)")+(UPPER($AS$66:$AZ$66)="EMPTY")+(UPPER($AS$66:$AZ$66)="(EMPTY)"))&gt;0,IFERROR(('Final Calculation Sheet'!$E$21)&amp;"","")="",ISNUMBER(SEARCH($AS$66:$AZ$66,IFERROR(('Final Calculation Sheet'!$E$21)&amp;"","")))))&gt;0),IF(COUNTIF($BI$66:$BP$66,5)=0,TRUE,SUMPRODUCT(($BI$66:$BP$66=5)*($AS$66:$AZ$66&lt;&gt;"")*IF(((UPPER($AS$66:$AZ$66)="BLANK")+(UPPER($AS$66:$AZ$66)="(BLANK)")+(UPPER($AS$66:$AZ$66)="EMPTY")+(UPPER($AS$66:$AZ$66)="(EMPTY)"))&gt;0,IFERROR(('Final Calculation Sheet'!$E$21)&amp;"","")="",ISNUMBER(SEARCH($AS$66:$AZ$66,IFERROR(('Final Calculation Sheet'!$E$21)&amp;"","")))))&gt;0),IF(COUNTIF($BI$66:$BP$66,6)=0,TRUE,SUMPRODUCT(($BI$66:$BP$66=6)*($AS$66:$AZ$66&lt;&gt;"")*IF(((UPPER($AS$66:$AZ$66)="BLANK")+(UPPER($AS$66:$AZ$66)="(BLANK)")+(UPPER($AS$66:$AZ$66)="EMPTY")+(UPPER($AS$66:$AZ$66)="(EMPTY)"))&gt;0,IFERROR(('Final Calculation Sheet'!$E$21)&amp;"","")="",ISNUMBER(SEARCH($AS$66:$AZ$66,IFERROR(('Final Calculation Sheet'!$E$21)&amp;"","")))))&gt;0),IF(COUNTIF($BI$66:$BP$66,7)=0,TRUE,SUMPRODUCT(($BI$66:$BP$66=7)*($AS$66:$AZ$66&lt;&gt;"")*IF(((UPPER($AS$66:$AZ$66)="BLANK")+(UPPER($AS$66:$AZ$66)="(BLANK)")+(UPPER($AS$66:$AZ$66)="EMPTY")+(UPPER($AS$66:$AZ$66)="(EMPTY)"))&gt;0,IFERROR(('Final Calculation Sheet'!$E$21)&amp;"","")="",ISNUMBER(SEARCH($AS$66:$AZ$66,IFERROR(('Final Calculation Sheet'!$E$21)&amp;"","")))))&gt;0),IF(COUNTIF($BI$66:$BP$66,8)=0,TRUE,SUMPRODUCT(($BI$66:$BP$66=8)*($AS$66:$AZ$66&lt;&gt;"")*IF(((UPPER($AS$66:$AZ$66)="BLANK")+(UPPER($AS$66:$AZ$66)="(BLANK)")+(UPPER($AS$66:$AZ$66)="EMPTY")+(UPPER($AS$66:$AZ$66)="(EMPTY)"))&gt;0,IFERROR(('Final Calculation Sheet'!$E$21)&amp;"","")="",ISNUMBER(SEARCH($AS$66:$AZ$66,IFERROR(('Final Calculation Sheet'!$E$21)&amp;"","")))))&gt;0))))</f>
        <v>1</v>
      </c>
      <c r="BT22">
        <f>IF($H$4="",1,--(AND(SUMPRODUCT(--($AS$67:$AZ$67&lt;&gt;""))&gt;0,IF(COUNTIF($BI$67:$BP$67,1)=0,TRUE,SUMPRODUCT(($BI$67:$BP$67=1)*($AS$67:$AZ$67&lt;&gt;"")*IF(((UPPER($AS$67:$AZ$67)="BLANK")+(UPPER($AS$67:$AZ$67)="(BLANK)")+(UPPER($AS$67:$AZ$67)="EMPTY")+(UPPER($AS$67:$AZ$67)="(EMPTY)"))&gt;0,IFERROR(('Final Calculation Sheet'!$C$21)&amp;"","")="",ISNUMBER(SEARCH($AS$67:$AZ$67,IFERROR(('Final Calculation Sheet'!$C$21)&amp;"","")))))&gt;0),IF(COUNTIF($BI$67:$BP$67,2)=0,TRUE,SUMPRODUCT(($BI$67:$BP$67=2)*($AS$67:$AZ$67&lt;&gt;"")*IF(((UPPER($AS$67:$AZ$67)="BLANK")+(UPPER($AS$67:$AZ$67)="(BLANK)")+(UPPER($AS$67:$AZ$67)="EMPTY")+(UPPER($AS$67:$AZ$67)="(EMPTY)"))&gt;0,IFERROR(('Final Calculation Sheet'!$C$21)&amp;"","")="",ISNUMBER(SEARCH($AS$67:$AZ$67,IFERROR(('Final Calculation Sheet'!$C$21)&amp;"","")))))&gt;0),IF(COUNTIF($BI$67:$BP$67,3)=0,TRUE,SUMPRODUCT(($BI$67:$BP$67=3)*($AS$67:$AZ$67&lt;&gt;"")*IF(((UPPER($AS$67:$AZ$67)="BLANK")+(UPPER($AS$67:$AZ$67)="(BLANK)")+(UPPER($AS$67:$AZ$67)="EMPTY")+(UPPER($AS$67:$AZ$67)="(EMPTY)"))&gt;0,IFERROR(('Final Calculation Sheet'!$C$21)&amp;"","")="",ISNUMBER(SEARCH($AS$67:$AZ$67,IFERROR(('Final Calculation Sheet'!$C$21)&amp;"","")))))&gt;0),IF(COUNTIF($BI$67:$BP$67,4)=0,TRUE,SUMPRODUCT(($BI$67:$BP$67=4)*($AS$67:$AZ$67&lt;&gt;"")*IF(((UPPER($AS$67:$AZ$67)="BLANK")+(UPPER($AS$67:$AZ$67)="(BLANK)")+(UPPER($AS$67:$AZ$67)="EMPTY")+(UPPER($AS$67:$AZ$67)="(EMPTY)"))&gt;0,IFERROR(('Final Calculation Sheet'!$C$21)&amp;"","")="",ISNUMBER(SEARCH($AS$67:$AZ$67,IFERROR(('Final Calculation Sheet'!$C$21)&amp;"","")))))&gt;0),IF(COUNTIF($BI$67:$BP$67,5)=0,TRUE,SUMPRODUCT(($BI$67:$BP$67=5)*($AS$67:$AZ$67&lt;&gt;"")*IF(((UPPER($AS$67:$AZ$67)="BLANK")+(UPPER($AS$67:$AZ$67)="(BLANK)")+(UPPER($AS$67:$AZ$67)="EMPTY")+(UPPER($AS$67:$AZ$67)="(EMPTY)"))&gt;0,IFERROR(('Final Calculation Sheet'!$C$21)&amp;"","")="",ISNUMBER(SEARCH($AS$67:$AZ$67,IFERROR(('Final Calculation Sheet'!$C$21)&amp;"","")))))&gt;0),IF(COUNTIF($BI$67:$BP$67,6)=0,TRUE,SUMPRODUCT(($BI$67:$BP$67=6)*($AS$67:$AZ$67&lt;&gt;"")*IF(((UPPER($AS$67:$AZ$67)="BLANK")+(UPPER($AS$67:$AZ$67)="(BLANK)")+(UPPER($AS$67:$AZ$67)="EMPTY")+(UPPER($AS$67:$AZ$67)="(EMPTY)"))&gt;0,IFERROR(('Final Calculation Sheet'!$C$21)&amp;"","")="",ISNUMBER(SEARCH($AS$67:$AZ$67,IFERROR(('Final Calculation Sheet'!$C$21)&amp;"","")))))&gt;0),IF(COUNTIF($BI$67:$BP$67,7)=0,TRUE,SUMPRODUCT(($BI$67:$BP$67=7)*($AS$67:$AZ$67&lt;&gt;"")*IF(((UPPER($AS$67:$AZ$67)="BLANK")+(UPPER($AS$67:$AZ$67)="(BLANK)")+(UPPER($AS$67:$AZ$67)="EMPTY")+(UPPER($AS$67:$AZ$67)="(EMPTY)"))&gt;0,IFERROR(('Final Calculation Sheet'!$C$21)&amp;"","")="",ISNUMBER(SEARCH($AS$67:$AZ$67,IFERROR(('Final Calculation Sheet'!$C$21)&amp;"","")))))&gt;0),IF(COUNTIF($BI$67:$BP$67,8)=0,TRUE,SUMPRODUCT(($BI$67:$BP$67=8)*($AS$67:$AZ$67&lt;&gt;"")*IF(((UPPER($AS$67:$AZ$67)="BLANK")+(UPPER($AS$67:$AZ$67)="(BLANK)")+(UPPER($AS$67:$AZ$67)="EMPTY")+(UPPER($AS$67:$AZ$67)="(EMPTY)"))&gt;0,IFERROR(('Final Calculation Sheet'!$C$21)&amp;"","")="",ISNUMBER(SEARCH($AS$67:$AZ$67,IFERROR(('Final Calculation Sheet'!$C$21)&amp;"","")))))&gt;0))))</f>
        <v>1</v>
      </c>
      <c r="BU22">
        <f>IF($I$4="",1,--(AND(SUMPRODUCT(--($AS$68:$AZ$68&lt;&gt;""))&gt;0,IF(COUNTIF($BI$68:$BP$68,1)=0,TRUE,SUMPRODUCT(($BI$68:$BP$68=1)*($AS$68:$AZ$68&lt;&gt;"")*IF(((UPPER($AS$68:$AZ$68)="BLANK")+(UPPER($AS$68:$AZ$68)="(BLANK)")+(UPPER($AS$68:$AZ$68)="EMPTY")+(UPPER($AS$68:$AZ$68)="(EMPTY)"))&gt;0,IFERROR(('Final Calculation Sheet'!$H$21)&amp;"","")="",ISNUMBER(SEARCH($AS$68:$AZ$68,IFERROR(('Final Calculation Sheet'!$H$21)&amp;"","")))))&gt;0),IF(COUNTIF($BI$68:$BP$68,2)=0,TRUE,SUMPRODUCT(($BI$68:$BP$68=2)*($AS$68:$AZ$68&lt;&gt;"")*IF(((UPPER($AS$68:$AZ$68)="BLANK")+(UPPER($AS$68:$AZ$68)="(BLANK)")+(UPPER($AS$68:$AZ$68)="EMPTY")+(UPPER($AS$68:$AZ$68)="(EMPTY)"))&gt;0,IFERROR(('Final Calculation Sheet'!$H$21)&amp;"","")="",ISNUMBER(SEARCH($AS$68:$AZ$68,IFERROR(('Final Calculation Sheet'!$H$21)&amp;"","")))))&gt;0),IF(COUNTIF($BI$68:$BP$68,3)=0,TRUE,SUMPRODUCT(($BI$68:$BP$68=3)*($AS$68:$AZ$68&lt;&gt;"")*IF(((UPPER($AS$68:$AZ$68)="BLANK")+(UPPER($AS$68:$AZ$68)="(BLANK)")+(UPPER($AS$68:$AZ$68)="EMPTY")+(UPPER($AS$68:$AZ$68)="(EMPTY)"))&gt;0,IFERROR(('Final Calculation Sheet'!$H$21)&amp;"","")="",ISNUMBER(SEARCH($AS$68:$AZ$68,IFERROR(('Final Calculation Sheet'!$H$21)&amp;"","")))))&gt;0),IF(COUNTIF($BI$68:$BP$68,4)=0,TRUE,SUMPRODUCT(($BI$68:$BP$68=4)*($AS$68:$AZ$68&lt;&gt;"")*IF(((UPPER($AS$68:$AZ$68)="BLANK")+(UPPER($AS$68:$AZ$68)="(BLANK)")+(UPPER($AS$68:$AZ$68)="EMPTY")+(UPPER($AS$68:$AZ$68)="(EMPTY)"))&gt;0,IFERROR(('Final Calculation Sheet'!$H$21)&amp;"","")="",ISNUMBER(SEARCH($AS$68:$AZ$68,IFERROR(('Final Calculation Sheet'!$H$21)&amp;"","")))))&gt;0),IF(COUNTIF($BI$68:$BP$68,5)=0,TRUE,SUMPRODUCT(($BI$68:$BP$68=5)*($AS$68:$AZ$68&lt;&gt;"")*IF(((UPPER($AS$68:$AZ$68)="BLANK")+(UPPER($AS$68:$AZ$68)="(BLANK)")+(UPPER($AS$68:$AZ$68)="EMPTY")+(UPPER($AS$68:$AZ$68)="(EMPTY)"))&gt;0,IFERROR(('Final Calculation Sheet'!$H$21)&amp;"","")="",ISNUMBER(SEARCH($AS$68:$AZ$68,IFERROR(('Final Calculation Sheet'!$H$21)&amp;"","")))))&gt;0),IF(COUNTIF($BI$68:$BP$68,6)=0,TRUE,SUMPRODUCT(($BI$68:$BP$68=6)*($AS$68:$AZ$68&lt;&gt;"")*IF(((UPPER($AS$68:$AZ$68)="BLANK")+(UPPER($AS$68:$AZ$68)="(BLANK)")+(UPPER($AS$68:$AZ$68)="EMPTY")+(UPPER($AS$68:$AZ$68)="(EMPTY)"))&gt;0,IFERROR(('Final Calculation Sheet'!$H$21)&amp;"","")="",ISNUMBER(SEARCH($AS$68:$AZ$68,IFERROR(('Final Calculation Sheet'!$H$21)&amp;"","")))))&gt;0),IF(COUNTIF($BI$68:$BP$68,7)=0,TRUE,SUMPRODUCT(($BI$68:$BP$68=7)*($AS$68:$AZ$68&lt;&gt;"")*IF(((UPPER($AS$68:$AZ$68)="BLANK")+(UPPER($AS$68:$AZ$68)="(BLANK)")+(UPPER($AS$68:$AZ$68)="EMPTY")+(UPPER($AS$68:$AZ$68)="(EMPTY)"))&gt;0,IFERROR(('Final Calculation Sheet'!$H$21)&amp;"","")="",ISNUMBER(SEARCH($AS$68:$AZ$68,IFERROR(('Final Calculation Sheet'!$H$21)&amp;"","")))))&gt;0),IF(COUNTIF($BI$68:$BP$68,8)=0,TRUE,SUMPRODUCT(($BI$68:$BP$68=8)*($AS$68:$AZ$68&lt;&gt;"")*IF(((UPPER($AS$68:$AZ$68)="BLANK")+(UPPER($AS$68:$AZ$68)="(BLANK)")+(UPPER($AS$68:$AZ$68)="EMPTY")+(UPPER($AS$68:$AZ$68)="(EMPTY)"))&gt;0,IFERROR(('Final Calculation Sheet'!$H$21)&amp;"","")="",ISNUMBER(SEARCH($AS$68:$AZ$68,IFERROR(('Final Calculation Sheet'!$H$21)&amp;"","")))))&gt;0))))</f>
        <v>1</v>
      </c>
      <c r="BV22">
        <f>IF($J$4="",1,--(AND(SUMPRODUCT(--($AS$69:$AZ$69&lt;&gt;""))&gt;0,IF(COUNTIF($BI$69:$BP$69,1)=0,TRUE,SUMPRODUCT(($BI$69:$BP$69=1)*($AS$69:$AZ$69&lt;&gt;"")*IF(((UPPER($AS$69:$AZ$69)="BLANK")+(UPPER($AS$69:$AZ$69)="(BLANK)")+(UPPER($AS$69:$AZ$69)="EMPTY")+(UPPER($AS$69:$AZ$69)="(EMPTY)"))&gt;0,IFERROR(('Final Calculation Sheet'!$I$21)&amp;"","")="",ISNUMBER(SEARCH($AS$69:$AZ$69,IFERROR(('Final Calculation Sheet'!$I$21)&amp;"","")))))&gt;0),IF(COUNTIF($BI$69:$BP$69,2)=0,TRUE,SUMPRODUCT(($BI$69:$BP$69=2)*($AS$69:$AZ$69&lt;&gt;"")*IF(((UPPER($AS$69:$AZ$69)="BLANK")+(UPPER($AS$69:$AZ$69)="(BLANK)")+(UPPER($AS$69:$AZ$69)="EMPTY")+(UPPER($AS$69:$AZ$69)="(EMPTY)"))&gt;0,IFERROR(('Final Calculation Sheet'!$I$21)&amp;"","")="",ISNUMBER(SEARCH($AS$69:$AZ$69,IFERROR(('Final Calculation Sheet'!$I$21)&amp;"","")))))&gt;0),IF(COUNTIF($BI$69:$BP$69,3)=0,TRUE,SUMPRODUCT(($BI$69:$BP$69=3)*($AS$69:$AZ$69&lt;&gt;"")*IF(((UPPER($AS$69:$AZ$69)="BLANK")+(UPPER($AS$69:$AZ$69)="(BLANK)")+(UPPER($AS$69:$AZ$69)="EMPTY")+(UPPER($AS$69:$AZ$69)="(EMPTY)"))&gt;0,IFERROR(('Final Calculation Sheet'!$I$21)&amp;"","")="",ISNUMBER(SEARCH($AS$69:$AZ$69,IFERROR(('Final Calculation Sheet'!$I$21)&amp;"","")))))&gt;0),IF(COUNTIF($BI$69:$BP$69,4)=0,TRUE,SUMPRODUCT(($BI$69:$BP$69=4)*($AS$69:$AZ$69&lt;&gt;"")*IF(((UPPER($AS$69:$AZ$69)="BLANK")+(UPPER($AS$69:$AZ$69)="(BLANK)")+(UPPER($AS$69:$AZ$69)="EMPTY")+(UPPER($AS$69:$AZ$69)="(EMPTY)"))&gt;0,IFERROR(('Final Calculation Sheet'!$I$21)&amp;"","")="",ISNUMBER(SEARCH($AS$69:$AZ$69,IFERROR(('Final Calculation Sheet'!$I$21)&amp;"","")))))&gt;0),IF(COUNTIF($BI$69:$BP$69,5)=0,TRUE,SUMPRODUCT(($BI$69:$BP$69=5)*($AS$69:$AZ$69&lt;&gt;"")*IF(((UPPER($AS$69:$AZ$69)="BLANK")+(UPPER($AS$69:$AZ$69)="(BLANK)")+(UPPER($AS$69:$AZ$69)="EMPTY")+(UPPER($AS$69:$AZ$69)="(EMPTY)"))&gt;0,IFERROR(('Final Calculation Sheet'!$I$21)&amp;"","")="",ISNUMBER(SEARCH($AS$69:$AZ$69,IFERROR(('Final Calculation Sheet'!$I$21)&amp;"","")))))&gt;0),IF(COUNTIF($BI$69:$BP$69,6)=0,TRUE,SUMPRODUCT(($BI$69:$BP$69=6)*($AS$69:$AZ$69&lt;&gt;"")*IF(((UPPER($AS$69:$AZ$69)="BLANK")+(UPPER($AS$69:$AZ$69)="(BLANK)")+(UPPER($AS$69:$AZ$69)="EMPTY")+(UPPER($AS$69:$AZ$69)="(EMPTY)"))&gt;0,IFERROR(('Final Calculation Sheet'!$I$21)&amp;"","")="",ISNUMBER(SEARCH($AS$69:$AZ$69,IFERROR(('Final Calculation Sheet'!$I$21)&amp;"","")))))&gt;0),IF(COUNTIF($BI$69:$BP$69,7)=0,TRUE,SUMPRODUCT(($BI$69:$BP$69=7)*($AS$69:$AZ$69&lt;&gt;"")*IF(((UPPER($AS$69:$AZ$69)="BLANK")+(UPPER($AS$69:$AZ$69)="(BLANK)")+(UPPER($AS$69:$AZ$69)="EMPTY")+(UPPER($AS$69:$AZ$69)="(EMPTY)"))&gt;0,IFERROR(('Final Calculation Sheet'!$I$21)&amp;"","")="",ISNUMBER(SEARCH($AS$69:$AZ$69,IFERROR(('Final Calculation Sheet'!$I$21)&amp;"","")))))&gt;0),IF(COUNTIF($BI$69:$BP$69,8)=0,TRUE,SUMPRODUCT(($BI$69:$BP$69=8)*($AS$69:$AZ$69&lt;&gt;"")*IF(((UPPER($AS$69:$AZ$69)="BLANK")+(UPPER($AS$69:$AZ$69)="(BLANK)")+(UPPER($AS$69:$AZ$69)="EMPTY")+(UPPER($AS$69:$AZ$69)="(EMPTY)"))&gt;0,IFERROR(('Final Calculation Sheet'!$I$21)&amp;"","")="",ISNUMBER(SEARCH($AS$69:$AZ$69,IFERROR(('Final Calculation Sheet'!$I$21)&amp;"","")))))&gt;0))))</f>
        <v>1</v>
      </c>
      <c r="BW22">
        <f>IF($K$4="",1,--(AND(SUMPRODUCT(--($AS$70:$AZ$70&lt;&gt;""))&gt;0,IF(COUNTIF($BI$70:$BP$70,1)=0,TRUE,SUMPRODUCT(($BI$70:$BP$70=1)*($AS$70:$AZ$70&lt;&gt;"")*IF(((UPPER($AS$70:$AZ$70)="BLANK")+(UPPER($AS$70:$AZ$70)="(BLANK)")+(UPPER($AS$70:$AZ$70)="EMPTY")+(UPPER($AS$70:$AZ$70)="(EMPTY)"))&gt;0,IFERROR(('Final Calculation Sheet'!$J$21)&amp;"","")="",ISNUMBER(SEARCH($AS$70:$AZ$70,IFERROR(('Final Calculation Sheet'!$J$21)&amp;"","")))))&gt;0),IF(COUNTIF($BI$70:$BP$70,2)=0,TRUE,SUMPRODUCT(($BI$70:$BP$70=2)*($AS$70:$AZ$70&lt;&gt;"")*IF(((UPPER($AS$70:$AZ$70)="BLANK")+(UPPER($AS$70:$AZ$70)="(BLANK)")+(UPPER($AS$70:$AZ$70)="EMPTY")+(UPPER($AS$70:$AZ$70)="(EMPTY)"))&gt;0,IFERROR(('Final Calculation Sheet'!$J$21)&amp;"","")="",ISNUMBER(SEARCH($AS$70:$AZ$70,IFERROR(('Final Calculation Sheet'!$J$21)&amp;"","")))))&gt;0),IF(COUNTIF($BI$70:$BP$70,3)=0,TRUE,SUMPRODUCT(($BI$70:$BP$70=3)*($AS$70:$AZ$70&lt;&gt;"")*IF(((UPPER($AS$70:$AZ$70)="BLANK")+(UPPER($AS$70:$AZ$70)="(BLANK)")+(UPPER($AS$70:$AZ$70)="EMPTY")+(UPPER($AS$70:$AZ$70)="(EMPTY)"))&gt;0,IFERROR(('Final Calculation Sheet'!$J$21)&amp;"","")="",ISNUMBER(SEARCH($AS$70:$AZ$70,IFERROR(('Final Calculation Sheet'!$J$21)&amp;"","")))))&gt;0),IF(COUNTIF($BI$70:$BP$70,4)=0,TRUE,SUMPRODUCT(($BI$70:$BP$70=4)*($AS$70:$AZ$70&lt;&gt;"")*IF(((UPPER($AS$70:$AZ$70)="BLANK")+(UPPER($AS$70:$AZ$70)="(BLANK)")+(UPPER($AS$70:$AZ$70)="EMPTY")+(UPPER($AS$70:$AZ$70)="(EMPTY)"))&gt;0,IFERROR(('Final Calculation Sheet'!$J$21)&amp;"","")="",ISNUMBER(SEARCH($AS$70:$AZ$70,IFERROR(('Final Calculation Sheet'!$J$21)&amp;"","")))))&gt;0),IF(COUNTIF($BI$70:$BP$70,5)=0,TRUE,SUMPRODUCT(($BI$70:$BP$70=5)*($AS$70:$AZ$70&lt;&gt;"")*IF(((UPPER($AS$70:$AZ$70)="BLANK")+(UPPER($AS$70:$AZ$70)="(BLANK)")+(UPPER($AS$70:$AZ$70)="EMPTY")+(UPPER($AS$70:$AZ$70)="(EMPTY)"))&gt;0,IFERROR(('Final Calculation Sheet'!$J$21)&amp;"","")="",ISNUMBER(SEARCH($AS$70:$AZ$70,IFERROR(('Final Calculation Sheet'!$J$21)&amp;"","")))))&gt;0),IF(COUNTIF($BI$70:$BP$70,6)=0,TRUE,SUMPRODUCT(($BI$70:$BP$70=6)*($AS$70:$AZ$70&lt;&gt;"")*IF(((UPPER($AS$70:$AZ$70)="BLANK")+(UPPER($AS$70:$AZ$70)="(BLANK)")+(UPPER($AS$70:$AZ$70)="EMPTY")+(UPPER($AS$70:$AZ$70)="(EMPTY)"))&gt;0,IFERROR(('Final Calculation Sheet'!$J$21)&amp;"","")="",ISNUMBER(SEARCH($AS$70:$AZ$70,IFERROR(('Final Calculation Sheet'!$J$21)&amp;"","")))))&gt;0),IF(COUNTIF($BI$70:$BP$70,7)=0,TRUE,SUMPRODUCT(($BI$70:$BP$70=7)*($AS$70:$AZ$70&lt;&gt;"")*IF(((UPPER($AS$70:$AZ$70)="BLANK")+(UPPER($AS$70:$AZ$70)="(BLANK)")+(UPPER($AS$70:$AZ$70)="EMPTY")+(UPPER($AS$70:$AZ$70)="(EMPTY)"))&gt;0,IFERROR(('Final Calculation Sheet'!$J$21)&amp;"","")="",ISNUMBER(SEARCH($AS$70:$AZ$70,IFERROR(('Final Calculation Sheet'!$J$21)&amp;"","")))))&gt;0),IF(COUNTIF($BI$70:$BP$70,8)=0,TRUE,SUMPRODUCT(($BI$70:$BP$70=8)*($AS$70:$AZ$70&lt;&gt;"")*IF(((UPPER($AS$70:$AZ$70)="BLANK")+(UPPER($AS$70:$AZ$70)="(BLANK)")+(UPPER($AS$70:$AZ$70)="EMPTY")+(UPPER($AS$70:$AZ$70)="(EMPTY)"))&gt;0,IFERROR(('Final Calculation Sheet'!$J$21)&amp;"","")="",ISNUMBER(SEARCH($AS$70:$AZ$70,IFERROR(('Final Calculation Sheet'!$J$21)&amp;"","")))))&gt;0))))</f>
        <v>1</v>
      </c>
      <c r="BX22">
        <f>IF($L$4="",1,--(AND(SUMPRODUCT(--($AS$71:$AZ$71&lt;&gt;""))&gt;0,IF(COUNTIF($BI$71:$BP$71,1)=0,TRUE,SUMPRODUCT(($BI$71:$BP$71=1)*($AS$71:$AZ$71&lt;&gt;"")*IF(((UPPER($AS$71:$AZ$71)="BLANK")+(UPPER($AS$71:$AZ$71)="(BLANK)")+(UPPER($AS$71:$AZ$71)="EMPTY")+(UPPER($AS$71:$AZ$71)="(EMPTY)"))&gt;0,IFERROR(('Final Calculation Sheet'!$K$21)&amp;"","")="",ISNUMBER(SEARCH($AS$71:$AZ$71,IFERROR(('Final Calculation Sheet'!$K$21)&amp;"","")))))&gt;0),IF(COUNTIF($BI$71:$BP$71,2)=0,TRUE,SUMPRODUCT(($BI$71:$BP$71=2)*($AS$71:$AZ$71&lt;&gt;"")*IF(((UPPER($AS$71:$AZ$71)="BLANK")+(UPPER($AS$71:$AZ$71)="(BLANK)")+(UPPER($AS$71:$AZ$71)="EMPTY")+(UPPER($AS$71:$AZ$71)="(EMPTY)"))&gt;0,IFERROR(('Final Calculation Sheet'!$K$21)&amp;"","")="",ISNUMBER(SEARCH($AS$71:$AZ$71,IFERROR(('Final Calculation Sheet'!$K$21)&amp;"","")))))&gt;0),IF(COUNTIF($BI$71:$BP$71,3)=0,TRUE,SUMPRODUCT(($BI$71:$BP$71=3)*($AS$71:$AZ$71&lt;&gt;"")*IF(((UPPER($AS$71:$AZ$71)="BLANK")+(UPPER($AS$71:$AZ$71)="(BLANK)")+(UPPER($AS$71:$AZ$71)="EMPTY")+(UPPER($AS$71:$AZ$71)="(EMPTY)"))&gt;0,IFERROR(('Final Calculation Sheet'!$K$21)&amp;"","")="",ISNUMBER(SEARCH($AS$71:$AZ$71,IFERROR(('Final Calculation Sheet'!$K$21)&amp;"","")))))&gt;0),IF(COUNTIF($BI$71:$BP$71,4)=0,TRUE,SUMPRODUCT(($BI$71:$BP$71=4)*($AS$71:$AZ$71&lt;&gt;"")*IF(((UPPER($AS$71:$AZ$71)="BLANK")+(UPPER($AS$71:$AZ$71)="(BLANK)")+(UPPER($AS$71:$AZ$71)="EMPTY")+(UPPER($AS$71:$AZ$71)="(EMPTY)"))&gt;0,IFERROR(('Final Calculation Sheet'!$K$21)&amp;"","")="",ISNUMBER(SEARCH($AS$71:$AZ$71,IFERROR(('Final Calculation Sheet'!$K$21)&amp;"","")))))&gt;0),IF(COUNTIF($BI$71:$BP$71,5)=0,TRUE,SUMPRODUCT(($BI$71:$BP$71=5)*($AS$71:$AZ$71&lt;&gt;"")*IF(((UPPER($AS$71:$AZ$71)="BLANK")+(UPPER($AS$71:$AZ$71)="(BLANK)")+(UPPER($AS$71:$AZ$71)="EMPTY")+(UPPER($AS$71:$AZ$71)="(EMPTY)"))&gt;0,IFERROR(('Final Calculation Sheet'!$K$21)&amp;"","")="",ISNUMBER(SEARCH($AS$71:$AZ$71,IFERROR(('Final Calculation Sheet'!$K$21)&amp;"","")))))&gt;0),IF(COUNTIF($BI$71:$BP$71,6)=0,TRUE,SUMPRODUCT(($BI$71:$BP$71=6)*($AS$71:$AZ$71&lt;&gt;"")*IF(((UPPER($AS$71:$AZ$71)="BLANK")+(UPPER($AS$71:$AZ$71)="(BLANK)")+(UPPER($AS$71:$AZ$71)="EMPTY")+(UPPER($AS$71:$AZ$71)="(EMPTY)"))&gt;0,IFERROR(('Final Calculation Sheet'!$K$21)&amp;"","")="",ISNUMBER(SEARCH($AS$71:$AZ$71,IFERROR(('Final Calculation Sheet'!$K$21)&amp;"","")))))&gt;0),IF(COUNTIF($BI$71:$BP$71,7)=0,TRUE,SUMPRODUCT(($BI$71:$BP$71=7)*($AS$71:$AZ$71&lt;&gt;"")*IF(((UPPER($AS$71:$AZ$71)="BLANK")+(UPPER($AS$71:$AZ$71)="(BLANK)")+(UPPER($AS$71:$AZ$71)="EMPTY")+(UPPER($AS$71:$AZ$71)="(EMPTY)"))&gt;0,IFERROR(('Final Calculation Sheet'!$K$21)&amp;"","")="",ISNUMBER(SEARCH($AS$71:$AZ$71,IFERROR(('Final Calculation Sheet'!$K$21)&amp;"","")))))&gt;0),IF(COUNTIF($BI$71:$BP$71,8)=0,TRUE,SUMPRODUCT(($BI$71:$BP$71=8)*($AS$71:$AZ$71&lt;&gt;"")*IF(((UPPER($AS$71:$AZ$71)="BLANK")+(UPPER($AS$71:$AZ$71)="(BLANK)")+(UPPER($AS$71:$AZ$71)="EMPTY")+(UPPER($AS$71:$AZ$71)="(EMPTY)"))&gt;0,IFERROR(('Final Calculation Sheet'!$K$21)&amp;"","")="",ISNUMBER(SEARCH($AS$71:$AZ$71,IFERROR(('Final Calculation Sheet'!$K$21)&amp;"","")))))&gt;0))))</f>
        <v>1</v>
      </c>
      <c r="BY22">
        <f>IF($M$4="",1,--(AND(SUMPRODUCT(--($AS$72:$AZ$72&lt;&gt;""))&gt;0,IF(COUNTIF($BI$72:$BP$72,1)=0,TRUE,SUMPRODUCT(($BI$72:$BP$72=1)*($AS$72:$AZ$72&lt;&gt;"")*IF(((UPPER($AS$72:$AZ$72)="BLANK")+(UPPER($AS$72:$AZ$72)="(BLANK)")+(UPPER($AS$72:$AZ$72)="EMPTY")+(UPPER($AS$72:$AZ$72)="(EMPTY)"))&gt;0,IFERROR(('Final Calculation Sheet'!$L$21)&amp;"","")="",ISNUMBER(SEARCH($AS$72:$AZ$72,IFERROR(('Final Calculation Sheet'!$L$21)&amp;"","")))))&gt;0),IF(COUNTIF($BI$72:$BP$72,2)=0,TRUE,SUMPRODUCT(($BI$72:$BP$72=2)*($AS$72:$AZ$72&lt;&gt;"")*IF(((UPPER($AS$72:$AZ$72)="BLANK")+(UPPER($AS$72:$AZ$72)="(BLANK)")+(UPPER($AS$72:$AZ$72)="EMPTY")+(UPPER($AS$72:$AZ$72)="(EMPTY)"))&gt;0,IFERROR(('Final Calculation Sheet'!$L$21)&amp;"","")="",ISNUMBER(SEARCH($AS$72:$AZ$72,IFERROR(('Final Calculation Sheet'!$L$21)&amp;"","")))))&gt;0),IF(COUNTIF($BI$72:$BP$72,3)=0,TRUE,SUMPRODUCT(($BI$72:$BP$72=3)*($AS$72:$AZ$72&lt;&gt;"")*IF(((UPPER($AS$72:$AZ$72)="BLANK")+(UPPER($AS$72:$AZ$72)="(BLANK)")+(UPPER($AS$72:$AZ$72)="EMPTY")+(UPPER($AS$72:$AZ$72)="(EMPTY)"))&gt;0,IFERROR(('Final Calculation Sheet'!$L$21)&amp;"","")="",ISNUMBER(SEARCH($AS$72:$AZ$72,IFERROR(('Final Calculation Sheet'!$L$21)&amp;"","")))))&gt;0),IF(COUNTIF($BI$72:$BP$72,4)=0,TRUE,SUMPRODUCT(($BI$72:$BP$72=4)*($AS$72:$AZ$72&lt;&gt;"")*IF(((UPPER($AS$72:$AZ$72)="BLANK")+(UPPER($AS$72:$AZ$72)="(BLANK)")+(UPPER($AS$72:$AZ$72)="EMPTY")+(UPPER($AS$72:$AZ$72)="(EMPTY)"))&gt;0,IFERROR(('Final Calculation Sheet'!$L$21)&amp;"","")="",ISNUMBER(SEARCH($AS$72:$AZ$72,IFERROR(('Final Calculation Sheet'!$L$21)&amp;"","")))))&gt;0),IF(COUNTIF($BI$72:$BP$72,5)=0,TRUE,SUMPRODUCT(($BI$72:$BP$72=5)*($AS$72:$AZ$72&lt;&gt;"")*IF(((UPPER($AS$72:$AZ$72)="BLANK")+(UPPER($AS$72:$AZ$72)="(BLANK)")+(UPPER($AS$72:$AZ$72)="EMPTY")+(UPPER($AS$72:$AZ$72)="(EMPTY)"))&gt;0,IFERROR(('Final Calculation Sheet'!$L$21)&amp;"","")="",ISNUMBER(SEARCH($AS$72:$AZ$72,IFERROR(('Final Calculation Sheet'!$L$21)&amp;"","")))))&gt;0),IF(COUNTIF($BI$72:$BP$72,6)=0,TRUE,SUMPRODUCT(($BI$72:$BP$72=6)*($AS$72:$AZ$72&lt;&gt;"")*IF(((UPPER($AS$72:$AZ$72)="BLANK")+(UPPER($AS$72:$AZ$72)="(BLANK)")+(UPPER($AS$72:$AZ$72)="EMPTY")+(UPPER($AS$72:$AZ$72)="(EMPTY)"))&gt;0,IFERROR(('Final Calculation Sheet'!$L$21)&amp;"","")="",ISNUMBER(SEARCH($AS$72:$AZ$72,IFERROR(('Final Calculation Sheet'!$L$21)&amp;"","")))))&gt;0),IF(COUNTIF($BI$72:$BP$72,7)=0,TRUE,SUMPRODUCT(($BI$72:$BP$72=7)*($AS$72:$AZ$72&lt;&gt;"")*IF(((UPPER($AS$72:$AZ$72)="BLANK")+(UPPER($AS$72:$AZ$72)="(BLANK)")+(UPPER($AS$72:$AZ$72)="EMPTY")+(UPPER($AS$72:$AZ$72)="(EMPTY)"))&gt;0,IFERROR(('Final Calculation Sheet'!$L$21)&amp;"","")="",ISNUMBER(SEARCH($AS$72:$AZ$72,IFERROR(('Final Calculation Sheet'!$L$21)&amp;"","")))))&gt;0),IF(COUNTIF($BI$72:$BP$72,8)=0,TRUE,SUMPRODUCT(($BI$72:$BP$72=8)*($AS$72:$AZ$72&lt;&gt;"")*IF(((UPPER($AS$72:$AZ$72)="BLANK")+(UPPER($AS$72:$AZ$72)="(BLANK)")+(UPPER($AS$72:$AZ$72)="EMPTY")+(UPPER($AS$72:$AZ$72)="(EMPTY)"))&gt;0,IFERROR(('Final Calculation Sheet'!$L$21)&amp;"","")="",ISNUMBER(SEARCH($AS$72:$AZ$72,IFERROR(('Final Calculation Sheet'!$L$21)&amp;"","")))))&gt;0))))</f>
        <v>1</v>
      </c>
      <c r="BZ22">
        <f>IF($N$4="",1,--(AND(SUMPRODUCT(--($AS$73:$AZ$73&lt;&gt;""))&gt;0,IF(COUNTIF($BI$73:$BP$73,1)=0,TRUE,SUMPRODUCT(($BI$73:$BP$73=1)*($AS$73:$AZ$73&lt;&gt;"")*IF(((UPPER($AS$73:$AZ$73)="BLANK")+(UPPER($AS$73:$AZ$73)="(BLANK)")+(UPPER($AS$73:$AZ$73)="EMPTY")+(UPPER($AS$73:$AZ$73)="(EMPTY)"))&gt;0,IFERROR(('Final Calculation Sheet'!$M$21)&amp;"","")="",ISNUMBER(SEARCH($AS$73:$AZ$73,IFERROR(('Final Calculation Sheet'!$M$21)&amp;"","")))))&gt;0),IF(COUNTIF($BI$73:$BP$73,2)=0,TRUE,SUMPRODUCT(($BI$73:$BP$73=2)*($AS$73:$AZ$73&lt;&gt;"")*IF(((UPPER($AS$73:$AZ$73)="BLANK")+(UPPER($AS$73:$AZ$73)="(BLANK)")+(UPPER($AS$73:$AZ$73)="EMPTY")+(UPPER($AS$73:$AZ$73)="(EMPTY)"))&gt;0,IFERROR(('Final Calculation Sheet'!$M$21)&amp;"","")="",ISNUMBER(SEARCH($AS$73:$AZ$73,IFERROR(('Final Calculation Sheet'!$M$21)&amp;"","")))))&gt;0),IF(COUNTIF($BI$73:$BP$73,3)=0,TRUE,SUMPRODUCT(($BI$73:$BP$73=3)*($AS$73:$AZ$73&lt;&gt;"")*IF(((UPPER($AS$73:$AZ$73)="BLANK")+(UPPER($AS$73:$AZ$73)="(BLANK)")+(UPPER($AS$73:$AZ$73)="EMPTY")+(UPPER($AS$73:$AZ$73)="(EMPTY)"))&gt;0,IFERROR(('Final Calculation Sheet'!$M$21)&amp;"","")="",ISNUMBER(SEARCH($AS$73:$AZ$73,IFERROR(('Final Calculation Sheet'!$M$21)&amp;"","")))))&gt;0),IF(COUNTIF($BI$73:$BP$73,4)=0,TRUE,SUMPRODUCT(($BI$73:$BP$73=4)*($AS$73:$AZ$73&lt;&gt;"")*IF(((UPPER($AS$73:$AZ$73)="BLANK")+(UPPER($AS$73:$AZ$73)="(BLANK)")+(UPPER($AS$73:$AZ$73)="EMPTY")+(UPPER($AS$73:$AZ$73)="(EMPTY)"))&gt;0,IFERROR(('Final Calculation Sheet'!$M$21)&amp;"","")="",ISNUMBER(SEARCH($AS$73:$AZ$73,IFERROR(('Final Calculation Sheet'!$M$21)&amp;"","")))))&gt;0),IF(COUNTIF($BI$73:$BP$73,5)=0,TRUE,SUMPRODUCT(($BI$73:$BP$73=5)*($AS$73:$AZ$73&lt;&gt;"")*IF(((UPPER($AS$73:$AZ$73)="BLANK")+(UPPER($AS$73:$AZ$73)="(BLANK)")+(UPPER($AS$73:$AZ$73)="EMPTY")+(UPPER($AS$73:$AZ$73)="(EMPTY)"))&gt;0,IFERROR(('Final Calculation Sheet'!$M$21)&amp;"","")="",ISNUMBER(SEARCH($AS$73:$AZ$73,IFERROR(('Final Calculation Sheet'!$M$21)&amp;"","")))))&gt;0),IF(COUNTIF($BI$73:$BP$73,6)=0,TRUE,SUMPRODUCT(($BI$73:$BP$73=6)*($AS$73:$AZ$73&lt;&gt;"")*IF(((UPPER($AS$73:$AZ$73)="BLANK")+(UPPER($AS$73:$AZ$73)="(BLANK)")+(UPPER($AS$73:$AZ$73)="EMPTY")+(UPPER($AS$73:$AZ$73)="(EMPTY)"))&gt;0,IFERROR(('Final Calculation Sheet'!$M$21)&amp;"","")="",ISNUMBER(SEARCH($AS$73:$AZ$73,IFERROR(('Final Calculation Sheet'!$M$21)&amp;"","")))))&gt;0),IF(COUNTIF($BI$73:$BP$73,7)=0,TRUE,SUMPRODUCT(($BI$73:$BP$73=7)*($AS$73:$AZ$73&lt;&gt;"")*IF(((UPPER($AS$73:$AZ$73)="BLANK")+(UPPER($AS$73:$AZ$73)="(BLANK)")+(UPPER($AS$73:$AZ$73)="EMPTY")+(UPPER($AS$73:$AZ$73)="(EMPTY)"))&gt;0,IFERROR(('Final Calculation Sheet'!$M$21)&amp;"","")="",ISNUMBER(SEARCH($AS$73:$AZ$73,IFERROR(('Final Calculation Sheet'!$M$21)&amp;"","")))))&gt;0),IF(COUNTIF($BI$73:$BP$73,8)=0,TRUE,SUMPRODUCT(($BI$73:$BP$73=8)*($AS$73:$AZ$73&lt;&gt;"")*IF(((UPPER($AS$73:$AZ$73)="BLANK")+(UPPER($AS$73:$AZ$73)="(BLANK)")+(UPPER($AS$73:$AZ$73)="EMPTY")+(UPPER($AS$73:$AZ$73)="(EMPTY)"))&gt;0,IFERROR(('Final Calculation Sheet'!$M$21)&amp;"","")="",ISNUMBER(SEARCH($AS$73:$AZ$73,IFERROR(('Final Calculation Sheet'!$M$21)&amp;"","")))))&gt;0))))</f>
        <v>1</v>
      </c>
      <c r="CA22">
        <f>IF($O$4="",1,--(AND(SUMPRODUCT(--($AS$74:$AZ$74&lt;&gt;""))&gt;0,IF(COUNTIF($BI$74:$BP$74,1)=0,TRUE,SUMPRODUCT(($BI$74:$BP$74=1)*($AS$74:$AZ$74&lt;&gt;"")*IF(((UPPER($AS$74:$AZ$74)="BLANK")+(UPPER($AS$74:$AZ$74)="(BLANK)")+(UPPER($AS$74:$AZ$74)="EMPTY")+(UPPER($AS$74:$AZ$74)="(EMPTY)"))&gt;0,IFERROR(('Final Calculation Sheet'!$N$21)&amp;"","")="",ISNUMBER(SEARCH($AS$74:$AZ$74,IFERROR(('Final Calculation Sheet'!$N$21)&amp;"","")))))&gt;0),IF(COUNTIF($BI$74:$BP$74,2)=0,TRUE,SUMPRODUCT(($BI$74:$BP$74=2)*($AS$74:$AZ$74&lt;&gt;"")*IF(((UPPER($AS$74:$AZ$74)="BLANK")+(UPPER($AS$74:$AZ$74)="(BLANK)")+(UPPER($AS$74:$AZ$74)="EMPTY")+(UPPER($AS$74:$AZ$74)="(EMPTY)"))&gt;0,IFERROR(('Final Calculation Sheet'!$N$21)&amp;"","")="",ISNUMBER(SEARCH($AS$74:$AZ$74,IFERROR(('Final Calculation Sheet'!$N$21)&amp;"","")))))&gt;0),IF(COUNTIF($BI$74:$BP$74,3)=0,TRUE,SUMPRODUCT(($BI$74:$BP$74=3)*($AS$74:$AZ$74&lt;&gt;"")*IF(((UPPER($AS$74:$AZ$74)="BLANK")+(UPPER($AS$74:$AZ$74)="(BLANK)")+(UPPER($AS$74:$AZ$74)="EMPTY")+(UPPER($AS$74:$AZ$74)="(EMPTY)"))&gt;0,IFERROR(('Final Calculation Sheet'!$N$21)&amp;"","")="",ISNUMBER(SEARCH($AS$74:$AZ$74,IFERROR(('Final Calculation Sheet'!$N$21)&amp;"","")))))&gt;0),IF(COUNTIF($BI$74:$BP$74,4)=0,TRUE,SUMPRODUCT(($BI$74:$BP$74=4)*($AS$74:$AZ$74&lt;&gt;"")*IF(((UPPER($AS$74:$AZ$74)="BLANK")+(UPPER($AS$74:$AZ$74)="(BLANK)")+(UPPER($AS$74:$AZ$74)="EMPTY")+(UPPER($AS$74:$AZ$74)="(EMPTY)"))&gt;0,IFERROR(('Final Calculation Sheet'!$N$21)&amp;"","")="",ISNUMBER(SEARCH($AS$74:$AZ$74,IFERROR(('Final Calculation Sheet'!$N$21)&amp;"","")))))&gt;0),IF(COUNTIF($BI$74:$BP$74,5)=0,TRUE,SUMPRODUCT(($BI$74:$BP$74=5)*($AS$74:$AZ$74&lt;&gt;"")*IF(((UPPER($AS$74:$AZ$74)="BLANK")+(UPPER($AS$74:$AZ$74)="(BLANK)")+(UPPER($AS$74:$AZ$74)="EMPTY")+(UPPER($AS$74:$AZ$74)="(EMPTY)"))&gt;0,IFERROR(('Final Calculation Sheet'!$N$21)&amp;"","")="",ISNUMBER(SEARCH($AS$74:$AZ$74,IFERROR(('Final Calculation Sheet'!$N$21)&amp;"","")))))&gt;0),IF(COUNTIF($BI$74:$BP$74,6)=0,TRUE,SUMPRODUCT(($BI$74:$BP$74=6)*($AS$74:$AZ$74&lt;&gt;"")*IF(((UPPER($AS$74:$AZ$74)="BLANK")+(UPPER($AS$74:$AZ$74)="(BLANK)")+(UPPER($AS$74:$AZ$74)="EMPTY")+(UPPER($AS$74:$AZ$74)="(EMPTY)"))&gt;0,IFERROR(('Final Calculation Sheet'!$N$21)&amp;"","")="",ISNUMBER(SEARCH($AS$74:$AZ$74,IFERROR(('Final Calculation Sheet'!$N$21)&amp;"","")))))&gt;0),IF(COUNTIF($BI$74:$BP$74,7)=0,TRUE,SUMPRODUCT(($BI$74:$BP$74=7)*($AS$74:$AZ$74&lt;&gt;"")*IF(((UPPER($AS$74:$AZ$74)="BLANK")+(UPPER($AS$74:$AZ$74)="(BLANK)")+(UPPER($AS$74:$AZ$74)="EMPTY")+(UPPER($AS$74:$AZ$74)="(EMPTY)"))&gt;0,IFERROR(('Final Calculation Sheet'!$N$21)&amp;"","")="",ISNUMBER(SEARCH($AS$74:$AZ$74,IFERROR(('Final Calculation Sheet'!$N$21)&amp;"","")))))&gt;0),IF(COUNTIF($BI$74:$BP$74,8)=0,TRUE,SUMPRODUCT(($BI$74:$BP$74=8)*($AS$74:$AZ$74&lt;&gt;"")*IF(((UPPER($AS$74:$AZ$74)="BLANK")+(UPPER($AS$74:$AZ$74)="(BLANK)")+(UPPER($AS$74:$AZ$74)="EMPTY")+(UPPER($AS$74:$AZ$74)="(EMPTY)"))&gt;0,IFERROR(('Final Calculation Sheet'!$N$21)&amp;"","")="",ISNUMBER(SEARCH($AS$74:$AZ$74,IFERROR(('Final Calculation Sheet'!$N$21)&amp;"","")))))&gt;0))))</f>
        <v>1</v>
      </c>
      <c r="CB22">
        <f>IF($P$4="",1,--(AND(SUMPRODUCT(--($AS$75:$AZ$75&lt;&gt;""))&gt;0,IF(COUNTIF($BI$75:$BP$75,1)=0,TRUE,SUMPRODUCT(($BI$75:$BP$75=1)*($AS$75:$AZ$75&lt;&gt;"")*IF(((UPPER($AS$75:$AZ$75)="BLANK")+(UPPER($AS$75:$AZ$75)="(BLANK)")+(UPPER($AS$75:$AZ$75)="EMPTY")+(UPPER($AS$75:$AZ$75)="(EMPTY)"))&gt;0,IFERROR(('Final Calculation Sheet'!$O$21)&amp;"","")="",ISNUMBER(SEARCH($AS$75:$AZ$75,IFERROR(('Final Calculation Sheet'!$O$21)&amp;"","")))))&gt;0),IF(COUNTIF($BI$75:$BP$75,2)=0,TRUE,SUMPRODUCT(($BI$75:$BP$75=2)*($AS$75:$AZ$75&lt;&gt;"")*IF(((UPPER($AS$75:$AZ$75)="BLANK")+(UPPER($AS$75:$AZ$75)="(BLANK)")+(UPPER($AS$75:$AZ$75)="EMPTY")+(UPPER($AS$75:$AZ$75)="(EMPTY)"))&gt;0,IFERROR(('Final Calculation Sheet'!$O$21)&amp;"","")="",ISNUMBER(SEARCH($AS$75:$AZ$75,IFERROR(('Final Calculation Sheet'!$O$21)&amp;"","")))))&gt;0),IF(COUNTIF($BI$75:$BP$75,3)=0,TRUE,SUMPRODUCT(($BI$75:$BP$75=3)*($AS$75:$AZ$75&lt;&gt;"")*IF(((UPPER($AS$75:$AZ$75)="BLANK")+(UPPER($AS$75:$AZ$75)="(BLANK)")+(UPPER($AS$75:$AZ$75)="EMPTY")+(UPPER($AS$75:$AZ$75)="(EMPTY)"))&gt;0,IFERROR(('Final Calculation Sheet'!$O$21)&amp;"","")="",ISNUMBER(SEARCH($AS$75:$AZ$75,IFERROR(('Final Calculation Sheet'!$O$21)&amp;"","")))))&gt;0),IF(COUNTIF($BI$75:$BP$75,4)=0,TRUE,SUMPRODUCT(($BI$75:$BP$75=4)*($AS$75:$AZ$75&lt;&gt;"")*IF(((UPPER($AS$75:$AZ$75)="BLANK")+(UPPER($AS$75:$AZ$75)="(BLANK)")+(UPPER($AS$75:$AZ$75)="EMPTY")+(UPPER($AS$75:$AZ$75)="(EMPTY)"))&gt;0,IFERROR(('Final Calculation Sheet'!$O$21)&amp;"","")="",ISNUMBER(SEARCH($AS$75:$AZ$75,IFERROR(('Final Calculation Sheet'!$O$21)&amp;"","")))))&gt;0),IF(COUNTIF($BI$75:$BP$75,5)=0,TRUE,SUMPRODUCT(($BI$75:$BP$75=5)*($AS$75:$AZ$75&lt;&gt;"")*IF(((UPPER($AS$75:$AZ$75)="BLANK")+(UPPER($AS$75:$AZ$75)="(BLANK)")+(UPPER($AS$75:$AZ$75)="EMPTY")+(UPPER($AS$75:$AZ$75)="(EMPTY)"))&gt;0,IFERROR(('Final Calculation Sheet'!$O$21)&amp;"","")="",ISNUMBER(SEARCH($AS$75:$AZ$75,IFERROR(('Final Calculation Sheet'!$O$21)&amp;"","")))))&gt;0),IF(COUNTIF($BI$75:$BP$75,6)=0,TRUE,SUMPRODUCT(($BI$75:$BP$75=6)*($AS$75:$AZ$75&lt;&gt;"")*IF(((UPPER($AS$75:$AZ$75)="BLANK")+(UPPER($AS$75:$AZ$75)="(BLANK)")+(UPPER($AS$75:$AZ$75)="EMPTY")+(UPPER($AS$75:$AZ$75)="(EMPTY)"))&gt;0,IFERROR(('Final Calculation Sheet'!$O$21)&amp;"","")="",ISNUMBER(SEARCH($AS$75:$AZ$75,IFERROR(('Final Calculation Sheet'!$O$21)&amp;"","")))))&gt;0),IF(COUNTIF($BI$75:$BP$75,7)=0,TRUE,SUMPRODUCT(($BI$75:$BP$75=7)*($AS$75:$AZ$75&lt;&gt;"")*IF(((UPPER($AS$75:$AZ$75)="BLANK")+(UPPER($AS$75:$AZ$75)="(BLANK)")+(UPPER($AS$75:$AZ$75)="EMPTY")+(UPPER($AS$75:$AZ$75)="(EMPTY)"))&gt;0,IFERROR(('Final Calculation Sheet'!$O$21)&amp;"","")="",ISNUMBER(SEARCH($AS$75:$AZ$75,IFERROR(('Final Calculation Sheet'!$O$21)&amp;"","")))))&gt;0),IF(COUNTIF($BI$75:$BP$75,8)=0,TRUE,SUMPRODUCT(($BI$75:$BP$75=8)*($AS$75:$AZ$75&lt;&gt;"")*IF(((UPPER($AS$75:$AZ$75)="BLANK")+(UPPER($AS$75:$AZ$75)="(BLANK)")+(UPPER($AS$75:$AZ$75)="EMPTY")+(UPPER($AS$75:$AZ$75)="(EMPTY)"))&gt;0,IFERROR(('Final Calculation Sheet'!$O$21)&amp;"","")="",ISNUMBER(SEARCH($AS$75:$AZ$75,IFERROR(('Final Calculation Sheet'!$O$21)&amp;"","")))))&gt;0))))</f>
        <v>1</v>
      </c>
      <c r="CC22">
        <f>IF($Q$4="",1,--(AND(SUMPRODUCT(--($AS$76:$AZ$76&lt;&gt;""))&gt;0,IF(COUNTIF($BI$76:$BP$76,1)=0,TRUE,SUMPRODUCT(($BI$76:$BP$76=1)*($AS$76:$AZ$76&lt;&gt;"")*IF(((UPPER($AS$76:$AZ$76)="BLANK")+(UPPER($AS$76:$AZ$76)="(BLANK)")+(UPPER($AS$76:$AZ$76)="EMPTY")+(UPPER($AS$76:$AZ$76)="(EMPTY)"))&gt;0,IFERROR(('Final Calculation Sheet'!$P$21)&amp;"","")="",ISNUMBER(SEARCH($AS$76:$AZ$76,IFERROR(('Final Calculation Sheet'!$P$21)&amp;"","")))))&gt;0),IF(COUNTIF($BI$76:$BP$76,2)=0,TRUE,SUMPRODUCT(($BI$76:$BP$76=2)*($AS$76:$AZ$76&lt;&gt;"")*IF(((UPPER($AS$76:$AZ$76)="BLANK")+(UPPER($AS$76:$AZ$76)="(BLANK)")+(UPPER($AS$76:$AZ$76)="EMPTY")+(UPPER($AS$76:$AZ$76)="(EMPTY)"))&gt;0,IFERROR(('Final Calculation Sheet'!$P$21)&amp;"","")="",ISNUMBER(SEARCH($AS$76:$AZ$76,IFERROR(('Final Calculation Sheet'!$P$21)&amp;"","")))))&gt;0),IF(COUNTIF($BI$76:$BP$76,3)=0,TRUE,SUMPRODUCT(($BI$76:$BP$76=3)*($AS$76:$AZ$76&lt;&gt;"")*IF(((UPPER($AS$76:$AZ$76)="BLANK")+(UPPER($AS$76:$AZ$76)="(BLANK)")+(UPPER($AS$76:$AZ$76)="EMPTY")+(UPPER($AS$76:$AZ$76)="(EMPTY)"))&gt;0,IFERROR(('Final Calculation Sheet'!$P$21)&amp;"","")="",ISNUMBER(SEARCH($AS$76:$AZ$76,IFERROR(('Final Calculation Sheet'!$P$21)&amp;"","")))))&gt;0),IF(COUNTIF($BI$76:$BP$76,4)=0,TRUE,SUMPRODUCT(($BI$76:$BP$76=4)*($AS$76:$AZ$76&lt;&gt;"")*IF(((UPPER($AS$76:$AZ$76)="BLANK")+(UPPER($AS$76:$AZ$76)="(BLANK)")+(UPPER($AS$76:$AZ$76)="EMPTY")+(UPPER($AS$76:$AZ$76)="(EMPTY)"))&gt;0,IFERROR(('Final Calculation Sheet'!$P$21)&amp;"","")="",ISNUMBER(SEARCH($AS$76:$AZ$76,IFERROR(('Final Calculation Sheet'!$P$21)&amp;"","")))))&gt;0),IF(COUNTIF($BI$76:$BP$76,5)=0,TRUE,SUMPRODUCT(($BI$76:$BP$76=5)*($AS$76:$AZ$76&lt;&gt;"")*IF(((UPPER($AS$76:$AZ$76)="BLANK")+(UPPER($AS$76:$AZ$76)="(BLANK)")+(UPPER($AS$76:$AZ$76)="EMPTY")+(UPPER($AS$76:$AZ$76)="(EMPTY)"))&gt;0,IFERROR(('Final Calculation Sheet'!$P$21)&amp;"","")="",ISNUMBER(SEARCH($AS$76:$AZ$76,IFERROR(('Final Calculation Sheet'!$P$21)&amp;"","")))))&gt;0),IF(COUNTIF($BI$76:$BP$76,6)=0,TRUE,SUMPRODUCT(($BI$76:$BP$76=6)*($AS$76:$AZ$76&lt;&gt;"")*IF(((UPPER($AS$76:$AZ$76)="BLANK")+(UPPER($AS$76:$AZ$76)="(BLANK)")+(UPPER($AS$76:$AZ$76)="EMPTY")+(UPPER($AS$76:$AZ$76)="(EMPTY)"))&gt;0,IFERROR(('Final Calculation Sheet'!$P$21)&amp;"","")="",ISNUMBER(SEARCH($AS$76:$AZ$76,IFERROR(('Final Calculation Sheet'!$P$21)&amp;"","")))))&gt;0),IF(COUNTIF($BI$76:$BP$76,7)=0,TRUE,SUMPRODUCT(($BI$76:$BP$76=7)*($AS$76:$AZ$76&lt;&gt;"")*IF(((UPPER($AS$76:$AZ$76)="BLANK")+(UPPER($AS$76:$AZ$76)="(BLANK)")+(UPPER($AS$76:$AZ$76)="EMPTY")+(UPPER($AS$76:$AZ$76)="(EMPTY)"))&gt;0,IFERROR(('Final Calculation Sheet'!$P$21)&amp;"","")="",ISNUMBER(SEARCH($AS$76:$AZ$76,IFERROR(('Final Calculation Sheet'!$P$21)&amp;"","")))))&gt;0),IF(COUNTIF($BI$76:$BP$76,8)=0,TRUE,SUMPRODUCT(($BI$76:$BP$76=8)*($AS$76:$AZ$76&lt;&gt;"")*IF(((UPPER($AS$76:$AZ$76)="BLANK")+(UPPER($AS$76:$AZ$76)="(BLANK)")+(UPPER($AS$76:$AZ$76)="EMPTY")+(UPPER($AS$76:$AZ$76)="(EMPTY)"))&gt;0,IFERROR(('Final Calculation Sheet'!$P$21)&amp;"","")="",ISNUMBER(SEARCH($AS$76:$AZ$76,IFERROR(('Final Calculation Sheet'!$P$21)&amp;"","")))))&gt;0))))</f>
        <v>1</v>
      </c>
      <c r="CD22">
        <f>IF($R$4="",1,--(AND(SUMPRODUCT(--($AS$77:$AZ$77&lt;&gt;""))&gt;0,IF(COUNTIF($BI$77:$BP$77,1)=0,TRUE,SUMPRODUCT(($BI$77:$BP$77=1)*($AS$77:$AZ$77&lt;&gt;"")*IF(((UPPER($AS$77:$AZ$77)="BLANK")+(UPPER($AS$77:$AZ$77)="(BLANK)")+(UPPER($AS$77:$AZ$77)="EMPTY")+(UPPER($AS$77:$AZ$77)="(EMPTY)"))&gt;0,IFERROR(('Final Calculation Sheet'!$Q$21)&amp;"","")="",ISNUMBER(SEARCH($AS$77:$AZ$77,IFERROR(('Final Calculation Sheet'!$Q$21)&amp;"","")))))&gt;0),IF(COUNTIF($BI$77:$BP$77,2)=0,TRUE,SUMPRODUCT(($BI$77:$BP$77=2)*($AS$77:$AZ$77&lt;&gt;"")*IF(((UPPER($AS$77:$AZ$77)="BLANK")+(UPPER($AS$77:$AZ$77)="(BLANK)")+(UPPER($AS$77:$AZ$77)="EMPTY")+(UPPER($AS$77:$AZ$77)="(EMPTY)"))&gt;0,IFERROR(('Final Calculation Sheet'!$Q$21)&amp;"","")="",ISNUMBER(SEARCH($AS$77:$AZ$77,IFERROR(('Final Calculation Sheet'!$Q$21)&amp;"","")))))&gt;0),IF(COUNTIF($BI$77:$BP$77,3)=0,TRUE,SUMPRODUCT(($BI$77:$BP$77=3)*($AS$77:$AZ$77&lt;&gt;"")*IF(((UPPER($AS$77:$AZ$77)="BLANK")+(UPPER($AS$77:$AZ$77)="(BLANK)")+(UPPER($AS$77:$AZ$77)="EMPTY")+(UPPER($AS$77:$AZ$77)="(EMPTY)"))&gt;0,IFERROR(('Final Calculation Sheet'!$Q$21)&amp;"","")="",ISNUMBER(SEARCH($AS$77:$AZ$77,IFERROR(('Final Calculation Sheet'!$Q$21)&amp;"","")))))&gt;0),IF(COUNTIF($BI$77:$BP$77,4)=0,TRUE,SUMPRODUCT(($BI$77:$BP$77=4)*($AS$77:$AZ$77&lt;&gt;"")*IF(((UPPER($AS$77:$AZ$77)="BLANK")+(UPPER($AS$77:$AZ$77)="(BLANK)")+(UPPER($AS$77:$AZ$77)="EMPTY")+(UPPER($AS$77:$AZ$77)="(EMPTY)"))&gt;0,IFERROR(('Final Calculation Sheet'!$Q$21)&amp;"","")="",ISNUMBER(SEARCH($AS$77:$AZ$77,IFERROR(('Final Calculation Sheet'!$Q$21)&amp;"","")))))&gt;0),IF(COUNTIF($BI$77:$BP$77,5)=0,TRUE,SUMPRODUCT(($BI$77:$BP$77=5)*($AS$77:$AZ$77&lt;&gt;"")*IF(((UPPER($AS$77:$AZ$77)="BLANK")+(UPPER($AS$77:$AZ$77)="(BLANK)")+(UPPER($AS$77:$AZ$77)="EMPTY")+(UPPER($AS$77:$AZ$77)="(EMPTY)"))&gt;0,IFERROR(('Final Calculation Sheet'!$Q$21)&amp;"","")="",ISNUMBER(SEARCH($AS$77:$AZ$77,IFERROR(('Final Calculation Sheet'!$Q$21)&amp;"","")))))&gt;0),IF(COUNTIF($BI$77:$BP$77,6)=0,TRUE,SUMPRODUCT(($BI$77:$BP$77=6)*($AS$77:$AZ$77&lt;&gt;"")*IF(((UPPER($AS$77:$AZ$77)="BLANK")+(UPPER($AS$77:$AZ$77)="(BLANK)")+(UPPER($AS$77:$AZ$77)="EMPTY")+(UPPER($AS$77:$AZ$77)="(EMPTY)"))&gt;0,IFERROR(('Final Calculation Sheet'!$Q$21)&amp;"","")="",ISNUMBER(SEARCH($AS$77:$AZ$77,IFERROR(('Final Calculation Sheet'!$Q$21)&amp;"","")))))&gt;0),IF(COUNTIF($BI$77:$BP$77,7)=0,TRUE,SUMPRODUCT(($BI$77:$BP$77=7)*($AS$77:$AZ$77&lt;&gt;"")*IF(((UPPER($AS$77:$AZ$77)="BLANK")+(UPPER($AS$77:$AZ$77)="(BLANK)")+(UPPER($AS$77:$AZ$77)="EMPTY")+(UPPER($AS$77:$AZ$77)="(EMPTY)"))&gt;0,IFERROR(('Final Calculation Sheet'!$Q$21)&amp;"","")="",ISNUMBER(SEARCH($AS$77:$AZ$77,IFERROR(('Final Calculation Sheet'!$Q$21)&amp;"","")))))&gt;0),IF(COUNTIF($BI$77:$BP$77,8)=0,TRUE,SUMPRODUCT(($BI$77:$BP$77=8)*($AS$77:$AZ$77&lt;&gt;"")*IF(((UPPER($AS$77:$AZ$77)="BLANK")+(UPPER($AS$77:$AZ$77)="(BLANK)")+(UPPER($AS$77:$AZ$77)="EMPTY")+(UPPER($AS$77:$AZ$77)="(EMPTY)"))&gt;0,IFERROR(('Final Calculation Sheet'!$Q$21)&amp;"","")="",ISNUMBER(SEARCH($AS$77:$AZ$77,IFERROR(('Final Calculation Sheet'!$Q$21)&amp;"","")))))&gt;0))))</f>
        <v>1</v>
      </c>
      <c r="CE22">
        <f>IF($S$4="",1,--(AND(SUMPRODUCT(--($AS$78:$AZ$78&lt;&gt;""))&gt;0,IF(COUNTIF($BI$78:$BP$78,1)=0,TRUE,SUMPRODUCT(($BI$78:$BP$78=1)*($AS$78:$AZ$78&lt;&gt;"")*IF(((UPPER($AS$78:$AZ$78)="BLANK")+(UPPER($AS$78:$AZ$78)="(BLANK)")+(UPPER($AS$78:$AZ$78)="EMPTY")+(UPPER($AS$78:$AZ$78)="(EMPTY)"))&gt;0,IFERROR(('Final Calculation Sheet'!$R$21)&amp;"","")="",ISNUMBER(SEARCH($AS$78:$AZ$78,IFERROR(('Final Calculation Sheet'!$R$21)&amp;"","")))))&gt;0),IF(COUNTIF($BI$78:$BP$78,2)=0,TRUE,SUMPRODUCT(($BI$78:$BP$78=2)*($AS$78:$AZ$78&lt;&gt;"")*IF(((UPPER($AS$78:$AZ$78)="BLANK")+(UPPER($AS$78:$AZ$78)="(BLANK)")+(UPPER($AS$78:$AZ$78)="EMPTY")+(UPPER($AS$78:$AZ$78)="(EMPTY)"))&gt;0,IFERROR(('Final Calculation Sheet'!$R$21)&amp;"","")="",ISNUMBER(SEARCH($AS$78:$AZ$78,IFERROR(('Final Calculation Sheet'!$R$21)&amp;"","")))))&gt;0),IF(COUNTIF($BI$78:$BP$78,3)=0,TRUE,SUMPRODUCT(($BI$78:$BP$78=3)*($AS$78:$AZ$78&lt;&gt;"")*IF(((UPPER($AS$78:$AZ$78)="BLANK")+(UPPER($AS$78:$AZ$78)="(BLANK)")+(UPPER($AS$78:$AZ$78)="EMPTY")+(UPPER($AS$78:$AZ$78)="(EMPTY)"))&gt;0,IFERROR(('Final Calculation Sheet'!$R$21)&amp;"","")="",ISNUMBER(SEARCH($AS$78:$AZ$78,IFERROR(('Final Calculation Sheet'!$R$21)&amp;"","")))))&gt;0),IF(COUNTIF($BI$78:$BP$78,4)=0,TRUE,SUMPRODUCT(($BI$78:$BP$78=4)*($AS$78:$AZ$78&lt;&gt;"")*IF(((UPPER($AS$78:$AZ$78)="BLANK")+(UPPER($AS$78:$AZ$78)="(BLANK)")+(UPPER($AS$78:$AZ$78)="EMPTY")+(UPPER($AS$78:$AZ$78)="(EMPTY)"))&gt;0,IFERROR(('Final Calculation Sheet'!$R$21)&amp;"","")="",ISNUMBER(SEARCH($AS$78:$AZ$78,IFERROR(('Final Calculation Sheet'!$R$21)&amp;"","")))))&gt;0),IF(COUNTIF($BI$78:$BP$78,5)=0,TRUE,SUMPRODUCT(($BI$78:$BP$78=5)*($AS$78:$AZ$78&lt;&gt;"")*IF(((UPPER($AS$78:$AZ$78)="BLANK")+(UPPER($AS$78:$AZ$78)="(BLANK)")+(UPPER($AS$78:$AZ$78)="EMPTY")+(UPPER($AS$78:$AZ$78)="(EMPTY)"))&gt;0,IFERROR(('Final Calculation Sheet'!$R$21)&amp;"","")="",ISNUMBER(SEARCH($AS$78:$AZ$78,IFERROR(('Final Calculation Sheet'!$R$21)&amp;"","")))))&gt;0),IF(COUNTIF($BI$78:$BP$78,6)=0,TRUE,SUMPRODUCT(($BI$78:$BP$78=6)*($AS$78:$AZ$78&lt;&gt;"")*IF(((UPPER($AS$78:$AZ$78)="BLANK")+(UPPER($AS$78:$AZ$78)="(BLANK)")+(UPPER($AS$78:$AZ$78)="EMPTY")+(UPPER($AS$78:$AZ$78)="(EMPTY)"))&gt;0,IFERROR(('Final Calculation Sheet'!$R$21)&amp;"","")="",ISNUMBER(SEARCH($AS$78:$AZ$78,IFERROR(('Final Calculation Sheet'!$R$21)&amp;"","")))))&gt;0),IF(COUNTIF($BI$78:$BP$78,7)=0,TRUE,SUMPRODUCT(($BI$78:$BP$78=7)*($AS$78:$AZ$78&lt;&gt;"")*IF(((UPPER($AS$78:$AZ$78)="BLANK")+(UPPER($AS$78:$AZ$78)="(BLANK)")+(UPPER($AS$78:$AZ$78)="EMPTY")+(UPPER($AS$78:$AZ$78)="(EMPTY)"))&gt;0,IFERROR(('Final Calculation Sheet'!$R$21)&amp;"","")="",ISNUMBER(SEARCH($AS$78:$AZ$78,IFERROR(('Final Calculation Sheet'!$R$21)&amp;"","")))))&gt;0),IF(COUNTIF($BI$78:$BP$78,8)=0,TRUE,SUMPRODUCT(($BI$78:$BP$78=8)*($AS$78:$AZ$78&lt;&gt;"")*IF(((UPPER($AS$78:$AZ$78)="BLANK")+(UPPER($AS$78:$AZ$78)="(BLANK)")+(UPPER($AS$78:$AZ$78)="EMPTY")+(UPPER($AS$78:$AZ$78)="(EMPTY)"))&gt;0,IFERROR(('Final Calculation Sheet'!$R$21)&amp;"","")="",ISNUMBER(SEARCH($AS$78:$AZ$78,IFERROR(('Final Calculation Sheet'!$R$21)&amp;"","")))))&gt;0))))</f>
        <v>1</v>
      </c>
      <c r="CF22">
        <f>IF($T$4="",1,--(AND(SUMPRODUCT(--($AS$79:$AZ$79&lt;&gt;""))&gt;0,IF(COUNTIF($BI$79:$BP$79,1)=0,TRUE,SUMPRODUCT(($BI$79:$BP$79=1)*($AS$79:$AZ$79&lt;&gt;"")*IF(((UPPER($AS$79:$AZ$79)="BLANK")+(UPPER($AS$79:$AZ$79)="(BLANK)")+(UPPER($AS$79:$AZ$79)="EMPTY")+(UPPER($AS$79:$AZ$79)="(EMPTY)"))&gt;0,IFERROR(('Final Calculation Sheet'!$S$21)&amp;"","")="",ISNUMBER(SEARCH($AS$79:$AZ$79,IFERROR(('Final Calculation Sheet'!$S$21)&amp;"","")))))&gt;0),IF(COUNTIF($BI$79:$BP$79,2)=0,TRUE,SUMPRODUCT(($BI$79:$BP$79=2)*($AS$79:$AZ$79&lt;&gt;"")*IF(((UPPER($AS$79:$AZ$79)="BLANK")+(UPPER($AS$79:$AZ$79)="(BLANK)")+(UPPER($AS$79:$AZ$79)="EMPTY")+(UPPER($AS$79:$AZ$79)="(EMPTY)"))&gt;0,IFERROR(('Final Calculation Sheet'!$S$21)&amp;"","")="",ISNUMBER(SEARCH($AS$79:$AZ$79,IFERROR(('Final Calculation Sheet'!$S$21)&amp;"","")))))&gt;0),IF(COUNTIF($BI$79:$BP$79,3)=0,TRUE,SUMPRODUCT(($BI$79:$BP$79=3)*($AS$79:$AZ$79&lt;&gt;"")*IF(((UPPER($AS$79:$AZ$79)="BLANK")+(UPPER($AS$79:$AZ$79)="(BLANK)")+(UPPER($AS$79:$AZ$79)="EMPTY")+(UPPER($AS$79:$AZ$79)="(EMPTY)"))&gt;0,IFERROR(('Final Calculation Sheet'!$S$21)&amp;"","")="",ISNUMBER(SEARCH($AS$79:$AZ$79,IFERROR(('Final Calculation Sheet'!$S$21)&amp;"","")))))&gt;0),IF(COUNTIF($BI$79:$BP$79,4)=0,TRUE,SUMPRODUCT(($BI$79:$BP$79=4)*($AS$79:$AZ$79&lt;&gt;"")*IF(((UPPER($AS$79:$AZ$79)="BLANK")+(UPPER($AS$79:$AZ$79)="(BLANK)")+(UPPER($AS$79:$AZ$79)="EMPTY")+(UPPER($AS$79:$AZ$79)="(EMPTY)"))&gt;0,IFERROR(('Final Calculation Sheet'!$S$21)&amp;"","")="",ISNUMBER(SEARCH($AS$79:$AZ$79,IFERROR(('Final Calculation Sheet'!$S$21)&amp;"","")))))&gt;0),IF(COUNTIF($BI$79:$BP$79,5)=0,TRUE,SUMPRODUCT(($BI$79:$BP$79=5)*($AS$79:$AZ$79&lt;&gt;"")*IF(((UPPER($AS$79:$AZ$79)="BLANK")+(UPPER($AS$79:$AZ$79)="(BLANK)")+(UPPER($AS$79:$AZ$79)="EMPTY")+(UPPER($AS$79:$AZ$79)="(EMPTY)"))&gt;0,IFERROR(('Final Calculation Sheet'!$S$21)&amp;"","")="",ISNUMBER(SEARCH($AS$79:$AZ$79,IFERROR(('Final Calculation Sheet'!$S$21)&amp;"","")))))&gt;0),IF(COUNTIF($BI$79:$BP$79,6)=0,TRUE,SUMPRODUCT(($BI$79:$BP$79=6)*($AS$79:$AZ$79&lt;&gt;"")*IF(((UPPER($AS$79:$AZ$79)="BLANK")+(UPPER($AS$79:$AZ$79)="(BLANK)")+(UPPER($AS$79:$AZ$79)="EMPTY")+(UPPER($AS$79:$AZ$79)="(EMPTY)"))&gt;0,IFERROR(('Final Calculation Sheet'!$S$21)&amp;"","")="",ISNUMBER(SEARCH($AS$79:$AZ$79,IFERROR(('Final Calculation Sheet'!$S$21)&amp;"","")))))&gt;0),IF(COUNTIF($BI$79:$BP$79,7)=0,TRUE,SUMPRODUCT(($BI$79:$BP$79=7)*($AS$79:$AZ$79&lt;&gt;"")*IF(((UPPER($AS$79:$AZ$79)="BLANK")+(UPPER($AS$79:$AZ$79)="(BLANK)")+(UPPER($AS$79:$AZ$79)="EMPTY")+(UPPER($AS$79:$AZ$79)="(EMPTY)"))&gt;0,IFERROR(('Final Calculation Sheet'!$S$21)&amp;"","")="",ISNUMBER(SEARCH($AS$79:$AZ$79,IFERROR(('Final Calculation Sheet'!$S$21)&amp;"","")))))&gt;0),IF(COUNTIF($BI$79:$BP$79,8)=0,TRUE,SUMPRODUCT(($BI$79:$BP$79=8)*($AS$79:$AZ$79&lt;&gt;"")*IF(((UPPER($AS$79:$AZ$79)="BLANK")+(UPPER($AS$79:$AZ$79)="(BLANK)")+(UPPER($AS$79:$AZ$79)="EMPTY")+(UPPER($AS$79:$AZ$79)="(EMPTY)"))&gt;0,IFERROR(('Final Calculation Sheet'!$S$21)&amp;"","")="",ISNUMBER(SEARCH($AS$79:$AZ$79,IFERROR(('Final Calculation Sheet'!$S$21)&amp;"","")))))&gt;0))))</f>
        <v>1</v>
      </c>
      <c r="CG22">
        <f>IF($U$4="",1,--(AND(SUMPRODUCT(--($AS$80:$AZ$80&lt;&gt;""))&gt;0,IF(COUNTIF($BI$80:$BP$80,1)=0,TRUE,SUMPRODUCT(($BI$80:$BP$80=1)*($AS$80:$AZ$80&lt;&gt;"")*IF(((UPPER($AS$80:$AZ$80)="BLANK")+(UPPER($AS$80:$AZ$80)="(BLANK)")+(UPPER($AS$80:$AZ$80)="EMPTY")+(UPPER($AS$80:$AZ$80)="(EMPTY)"))&gt;0,IFERROR(('Final Calculation Sheet'!$T$21)&amp;"","")="",ISNUMBER(SEARCH($AS$80:$AZ$80,IFERROR(('Final Calculation Sheet'!$T$21)&amp;"","")))))&gt;0),IF(COUNTIF($BI$80:$BP$80,2)=0,TRUE,SUMPRODUCT(($BI$80:$BP$80=2)*($AS$80:$AZ$80&lt;&gt;"")*IF(((UPPER($AS$80:$AZ$80)="BLANK")+(UPPER($AS$80:$AZ$80)="(BLANK)")+(UPPER($AS$80:$AZ$80)="EMPTY")+(UPPER($AS$80:$AZ$80)="(EMPTY)"))&gt;0,IFERROR(('Final Calculation Sheet'!$T$21)&amp;"","")="",ISNUMBER(SEARCH($AS$80:$AZ$80,IFERROR(('Final Calculation Sheet'!$T$21)&amp;"","")))))&gt;0),IF(COUNTIF($BI$80:$BP$80,3)=0,TRUE,SUMPRODUCT(($BI$80:$BP$80=3)*($AS$80:$AZ$80&lt;&gt;"")*IF(((UPPER($AS$80:$AZ$80)="BLANK")+(UPPER($AS$80:$AZ$80)="(BLANK)")+(UPPER($AS$80:$AZ$80)="EMPTY")+(UPPER($AS$80:$AZ$80)="(EMPTY)"))&gt;0,IFERROR(('Final Calculation Sheet'!$T$21)&amp;"","")="",ISNUMBER(SEARCH($AS$80:$AZ$80,IFERROR(('Final Calculation Sheet'!$T$21)&amp;"","")))))&gt;0),IF(COUNTIF($BI$80:$BP$80,4)=0,TRUE,SUMPRODUCT(($BI$80:$BP$80=4)*($AS$80:$AZ$80&lt;&gt;"")*IF(((UPPER($AS$80:$AZ$80)="BLANK")+(UPPER($AS$80:$AZ$80)="(BLANK)")+(UPPER($AS$80:$AZ$80)="EMPTY")+(UPPER($AS$80:$AZ$80)="(EMPTY)"))&gt;0,IFERROR(('Final Calculation Sheet'!$T$21)&amp;"","")="",ISNUMBER(SEARCH($AS$80:$AZ$80,IFERROR(('Final Calculation Sheet'!$T$21)&amp;"","")))))&gt;0),IF(COUNTIF($BI$80:$BP$80,5)=0,TRUE,SUMPRODUCT(($BI$80:$BP$80=5)*($AS$80:$AZ$80&lt;&gt;"")*IF(((UPPER($AS$80:$AZ$80)="BLANK")+(UPPER($AS$80:$AZ$80)="(BLANK)")+(UPPER($AS$80:$AZ$80)="EMPTY")+(UPPER($AS$80:$AZ$80)="(EMPTY)"))&gt;0,IFERROR(('Final Calculation Sheet'!$T$21)&amp;"","")="",ISNUMBER(SEARCH($AS$80:$AZ$80,IFERROR(('Final Calculation Sheet'!$T$21)&amp;"","")))))&gt;0),IF(COUNTIF($BI$80:$BP$80,6)=0,TRUE,SUMPRODUCT(($BI$80:$BP$80=6)*($AS$80:$AZ$80&lt;&gt;"")*IF(((UPPER($AS$80:$AZ$80)="BLANK")+(UPPER($AS$80:$AZ$80)="(BLANK)")+(UPPER($AS$80:$AZ$80)="EMPTY")+(UPPER($AS$80:$AZ$80)="(EMPTY)"))&gt;0,IFERROR(('Final Calculation Sheet'!$T$21)&amp;"","")="",ISNUMBER(SEARCH($AS$80:$AZ$80,IFERROR(('Final Calculation Sheet'!$T$21)&amp;"","")))))&gt;0),IF(COUNTIF($BI$80:$BP$80,7)=0,TRUE,SUMPRODUCT(($BI$80:$BP$80=7)*($AS$80:$AZ$80&lt;&gt;"")*IF(((UPPER($AS$80:$AZ$80)="BLANK")+(UPPER($AS$80:$AZ$80)="(BLANK)")+(UPPER($AS$80:$AZ$80)="EMPTY")+(UPPER($AS$80:$AZ$80)="(EMPTY)"))&gt;0,IFERROR(('Final Calculation Sheet'!$T$21)&amp;"","")="",ISNUMBER(SEARCH($AS$80:$AZ$80,IFERROR(('Final Calculation Sheet'!$T$21)&amp;"","")))))&gt;0),IF(COUNTIF($BI$80:$BP$80,8)=0,TRUE,SUMPRODUCT(($BI$80:$BP$80=8)*($AS$80:$AZ$80&lt;&gt;"")*IF(((UPPER($AS$80:$AZ$80)="BLANK")+(UPPER($AS$80:$AZ$80)="(BLANK)")+(UPPER($AS$80:$AZ$80)="EMPTY")+(UPPER($AS$80:$AZ$80)="(EMPTY)"))&gt;0,IFERROR(('Final Calculation Sheet'!$T$21)&amp;"","")="",ISNUMBER(SEARCH($AS$80:$AZ$80,IFERROR(('Final Calculation Sheet'!$T$21)&amp;"","")))))&gt;0))))</f>
        <v>1</v>
      </c>
      <c r="CH22">
        <f>IF($V$4="",1,--(AND(SUMPRODUCT(--($AS$81:$AZ$81&lt;&gt;""))&gt;0,IF(COUNTIF($BI$81:$BP$81,1)=0,TRUE,SUMPRODUCT(($BI$81:$BP$81=1)*($AS$81:$AZ$81&lt;&gt;"")*IF(((UPPER($AS$81:$AZ$81)="BLANK")+(UPPER($AS$81:$AZ$81)="(BLANK)")+(UPPER($AS$81:$AZ$81)="EMPTY")+(UPPER($AS$81:$AZ$81)="(EMPTY)"))&gt;0,IFERROR(('Final Calculation Sheet'!$U$21)&amp;"","")="",ISNUMBER(SEARCH($AS$81:$AZ$81,IFERROR(('Final Calculation Sheet'!$U$21)&amp;"","")))))&gt;0),IF(COUNTIF($BI$81:$BP$81,2)=0,TRUE,SUMPRODUCT(($BI$81:$BP$81=2)*($AS$81:$AZ$81&lt;&gt;"")*IF(((UPPER($AS$81:$AZ$81)="BLANK")+(UPPER($AS$81:$AZ$81)="(BLANK)")+(UPPER($AS$81:$AZ$81)="EMPTY")+(UPPER($AS$81:$AZ$81)="(EMPTY)"))&gt;0,IFERROR(('Final Calculation Sheet'!$U$21)&amp;"","")="",ISNUMBER(SEARCH($AS$81:$AZ$81,IFERROR(('Final Calculation Sheet'!$U$21)&amp;"","")))))&gt;0),IF(COUNTIF($BI$81:$BP$81,3)=0,TRUE,SUMPRODUCT(($BI$81:$BP$81=3)*($AS$81:$AZ$81&lt;&gt;"")*IF(((UPPER($AS$81:$AZ$81)="BLANK")+(UPPER($AS$81:$AZ$81)="(BLANK)")+(UPPER($AS$81:$AZ$81)="EMPTY")+(UPPER($AS$81:$AZ$81)="(EMPTY)"))&gt;0,IFERROR(('Final Calculation Sheet'!$U$21)&amp;"","")="",ISNUMBER(SEARCH($AS$81:$AZ$81,IFERROR(('Final Calculation Sheet'!$U$21)&amp;"","")))))&gt;0),IF(COUNTIF($BI$81:$BP$81,4)=0,TRUE,SUMPRODUCT(($BI$81:$BP$81=4)*($AS$81:$AZ$81&lt;&gt;"")*IF(((UPPER($AS$81:$AZ$81)="BLANK")+(UPPER($AS$81:$AZ$81)="(BLANK)")+(UPPER($AS$81:$AZ$81)="EMPTY")+(UPPER($AS$81:$AZ$81)="(EMPTY)"))&gt;0,IFERROR(('Final Calculation Sheet'!$U$21)&amp;"","")="",ISNUMBER(SEARCH($AS$81:$AZ$81,IFERROR(('Final Calculation Sheet'!$U$21)&amp;"","")))))&gt;0),IF(COUNTIF($BI$81:$BP$81,5)=0,TRUE,SUMPRODUCT(($BI$81:$BP$81=5)*($AS$81:$AZ$81&lt;&gt;"")*IF(((UPPER($AS$81:$AZ$81)="BLANK")+(UPPER($AS$81:$AZ$81)="(BLANK)")+(UPPER($AS$81:$AZ$81)="EMPTY")+(UPPER($AS$81:$AZ$81)="(EMPTY)"))&gt;0,IFERROR(('Final Calculation Sheet'!$U$21)&amp;"","")="",ISNUMBER(SEARCH($AS$81:$AZ$81,IFERROR(('Final Calculation Sheet'!$U$21)&amp;"","")))))&gt;0),IF(COUNTIF($BI$81:$BP$81,6)=0,TRUE,SUMPRODUCT(($BI$81:$BP$81=6)*($AS$81:$AZ$81&lt;&gt;"")*IF(((UPPER($AS$81:$AZ$81)="BLANK")+(UPPER($AS$81:$AZ$81)="(BLANK)")+(UPPER($AS$81:$AZ$81)="EMPTY")+(UPPER($AS$81:$AZ$81)="(EMPTY)"))&gt;0,IFERROR(('Final Calculation Sheet'!$U$21)&amp;"","")="",ISNUMBER(SEARCH($AS$81:$AZ$81,IFERROR(('Final Calculation Sheet'!$U$21)&amp;"","")))))&gt;0),IF(COUNTIF($BI$81:$BP$81,7)=0,TRUE,SUMPRODUCT(($BI$81:$BP$81=7)*($AS$81:$AZ$81&lt;&gt;"")*IF(((UPPER($AS$81:$AZ$81)="BLANK")+(UPPER($AS$81:$AZ$81)="(BLANK)")+(UPPER($AS$81:$AZ$81)="EMPTY")+(UPPER($AS$81:$AZ$81)="(EMPTY)"))&gt;0,IFERROR(('Final Calculation Sheet'!$U$21)&amp;"","")="",ISNUMBER(SEARCH($AS$81:$AZ$81,IFERROR(('Final Calculation Sheet'!$U$21)&amp;"","")))))&gt;0),IF(COUNTIF($BI$81:$BP$81,8)=0,TRUE,SUMPRODUCT(($BI$81:$BP$81=8)*($AS$81:$AZ$81&lt;&gt;"")*IF(((UPPER($AS$81:$AZ$81)="BLANK")+(UPPER($AS$81:$AZ$81)="(BLANK)")+(UPPER($AS$81:$AZ$81)="EMPTY")+(UPPER($AS$81:$AZ$81)="(EMPTY)"))&gt;0,IFERROR(('Final Calculation Sheet'!$U$21)&amp;"","")="",ISNUMBER(SEARCH($AS$81:$AZ$81,IFERROR(('Final Calculation Sheet'!$U$21)&amp;"","")))))&gt;0))))</f>
        <v>1</v>
      </c>
      <c r="CI22">
        <f>IF($W$4="",1,--(AND(SUMPRODUCT(--($AS$82:$AZ$82&lt;&gt;""))&gt;0,IF(COUNTIF($BI$82:$BP$82,1)=0,TRUE,SUMPRODUCT(($BI$82:$BP$82=1)*($AS$82:$AZ$82&lt;&gt;"")*IF(((UPPER($AS$82:$AZ$82)="BLANK")+(UPPER($AS$82:$AZ$82)="(BLANK)")+(UPPER($AS$82:$AZ$82)="EMPTY")+(UPPER($AS$82:$AZ$82)="(EMPTY)"))&gt;0,IFERROR(('Final Calculation Sheet'!$V$21)&amp;"","")="",ISNUMBER(SEARCH($AS$82:$AZ$82,IFERROR(('Final Calculation Sheet'!$V$21)&amp;"","")))))&gt;0),IF(COUNTIF($BI$82:$BP$82,2)=0,TRUE,SUMPRODUCT(($BI$82:$BP$82=2)*($AS$82:$AZ$82&lt;&gt;"")*IF(((UPPER($AS$82:$AZ$82)="BLANK")+(UPPER($AS$82:$AZ$82)="(BLANK)")+(UPPER($AS$82:$AZ$82)="EMPTY")+(UPPER($AS$82:$AZ$82)="(EMPTY)"))&gt;0,IFERROR(('Final Calculation Sheet'!$V$21)&amp;"","")="",ISNUMBER(SEARCH($AS$82:$AZ$82,IFERROR(('Final Calculation Sheet'!$V$21)&amp;"","")))))&gt;0),IF(COUNTIF($BI$82:$BP$82,3)=0,TRUE,SUMPRODUCT(($BI$82:$BP$82=3)*($AS$82:$AZ$82&lt;&gt;"")*IF(((UPPER($AS$82:$AZ$82)="BLANK")+(UPPER($AS$82:$AZ$82)="(BLANK)")+(UPPER($AS$82:$AZ$82)="EMPTY")+(UPPER($AS$82:$AZ$82)="(EMPTY)"))&gt;0,IFERROR(('Final Calculation Sheet'!$V$21)&amp;"","")="",ISNUMBER(SEARCH($AS$82:$AZ$82,IFERROR(('Final Calculation Sheet'!$V$21)&amp;"","")))))&gt;0),IF(COUNTIF($BI$82:$BP$82,4)=0,TRUE,SUMPRODUCT(($BI$82:$BP$82=4)*($AS$82:$AZ$82&lt;&gt;"")*IF(((UPPER($AS$82:$AZ$82)="BLANK")+(UPPER($AS$82:$AZ$82)="(BLANK)")+(UPPER($AS$82:$AZ$82)="EMPTY")+(UPPER($AS$82:$AZ$82)="(EMPTY)"))&gt;0,IFERROR(('Final Calculation Sheet'!$V$21)&amp;"","")="",ISNUMBER(SEARCH($AS$82:$AZ$82,IFERROR(('Final Calculation Sheet'!$V$21)&amp;"","")))))&gt;0),IF(COUNTIF($BI$82:$BP$82,5)=0,TRUE,SUMPRODUCT(($BI$82:$BP$82=5)*($AS$82:$AZ$82&lt;&gt;"")*IF(((UPPER($AS$82:$AZ$82)="BLANK")+(UPPER($AS$82:$AZ$82)="(BLANK)")+(UPPER($AS$82:$AZ$82)="EMPTY")+(UPPER($AS$82:$AZ$82)="(EMPTY)"))&gt;0,IFERROR(('Final Calculation Sheet'!$V$21)&amp;"","")="",ISNUMBER(SEARCH($AS$82:$AZ$82,IFERROR(('Final Calculation Sheet'!$V$21)&amp;"","")))))&gt;0),IF(COUNTIF($BI$82:$BP$82,6)=0,TRUE,SUMPRODUCT(($BI$82:$BP$82=6)*($AS$82:$AZ$82&lt;&gt;"")*IF(((UPPER($AS$82:$AZ$82)="BLANK")+(UPPER($AS$82:$AZ$82)="(BLANK)")+(UPPER($AS$82:$AZ$82)="EMPTY")+(UPPER($AS$82:$AZ$82)="(EMPTY)"))&gt;0,IFERROR(('Final Calculation Sheet'!$V$21)&amp;"","")="",ISNUMBER(SEARCH($AS$82:$AZ$82,IFERROR(('Final Calculation Sheet'!$V$21)&amp;"","")))))&gt;0),IF(COUNTIF($BI$82:$BP$82,7)=0,TRUE,SUMPRODUCT(($BI$82:$BP$82=7)*($AS$82:$AZ$82&lt;&gt;"")*IF(((UPPER($AS$82:$AZ$82)="BLANK")+(UPPER($AS$82:$AZ$82)="(BLANK)")+(UPPER($AS$82:$AZ$82)="EMPTY")+(UPPER($AS$82:$AZ$82)="(EMPTY)"))&gt;0,IFERROR(('Final Calculation Sheet'!$V$21)&amp;"","")="",ISNUMBER(SEARCH($AS$82:$AZ$82,IFERROR(('Final Calculation Sheet'!$V$21)&amp;"","")))))&gt;0),IF(COUNTIF($BI$82:$BP$82,8)=0,TRUE,SUMPRODUCT(($BI$82:$BP$82=8)*($AS$82:$AZ$82&lt;&gt;"")*IF(((UPPER($AS$82:$AZ$82)="BLANK")+(UPPER($AS$82:$AZ$82)="(BLANK)")+(UPPER($AS$82:$AZ$82)="EMPTY")+(UPPER($AS$82:$AZ$82)="(EMPTY)"))&gt;0,IFERROR(('Final Calculation Sheet'!$V$21)&amp;"","")="",ISNUMBER(SEARCH($AS$82:$AZ$82,IFERROR(('Final Calculation Sheet'!$V$21)&amp;"","")))))&gt;0))))</f>
        <v>1</v>
      </c>
      <c r="CJ22">
        <f>IF($X$4="",1,--(AND(SUMPRODUCT(--($AS$83:$AZ$83&lt;&gt;""))&gt;0,IF(COUNTIF($BI$83:$BP$83,1)=0,TRUE,SUMPRODUCT(($BI$83:$BP$83=1)*($AS$83:$AZ$83&lt;&gt;"")*IF(((UPPER($AS$83:$AZ$83)="BLANK")+(UPPER($AS$83:$AZ$83)="(BLANK)")+(UPPER($AS$83:$AZ$83)="EMPTY")+(UPPER($AS$83:$AZ$83)="(EMPTY)"))&gt;0,IFERROR(('Final Calculation Sheet'!$W$21)&amp;"","")="",ISNUMBER(SEARCH($AS$83:$AZ$83,IFERROR(('Final Calculation Sheet'!$W$21)&amp;"","")))))&gt;0),IF(COUNTIF($BI$83:$BP$83,2)=0,TRUE,SUMPRODUCT(($BI$83:$BP$83=2)*($AS$83:$AZ$83&lt;&gt;"")*IF(((UPPER($AS$83:$AZ$83)="BLANK")+(UPPER($AS$83:$AZ$83)="(BLANK)")+(UPPER($AS$83:$AZ$83)="EMPTY")+(UPPER($AS$83:$AZ$83)="(EMPTY)"))&gt;0,IFERROR(('Final Calculation Sheet'!$W$21)&amp;"","")="",ISNUMBER(SEARCH($AS$83:$AZ$83,IFERROR(('Final Calculation Sheet'!$W$21)&amp;"","")))))&gt;0),IF(COUNTIF($BI$83:$BP$83,3)=0,TRUE,SUMPRODUCT(($BI$83:$BP$83=3)*($AS$83:$AZ$83&lt;&gt;"")*IF(((UPPER($AS$83:$AZ$83)="BLANK")+(UPPER($AS$83:$AZ$83)="(BLANK)")+(UPPER($AS$83:$AZ$83)="EMPTY")+(UPPER($AS$83:$AZ$83)="(EMPTY)"))&gt;0,IFERROR(('Final Calculation Sheet'!$W$21)&amp;"","")="",ISNUMBER(SEARCH($AS$83:$AZ$83,IFERROR(('Final Calculation Sheet'!$W$21)&amp;"","")))))&gt;0),IF(COUNTIF($BI$83:$BP$83,4)=0,TRUE,SUMPRODUCT(($BI$83:$BP$83=4)*($AS$83:$AZ$83&lt;&gt;"")*IF(((UPPER($AS$83:$AZ$83)="BLANK")+(UPPER($AS$83:$AZ$83)="(BLANK)")+(UPPER($AS$83:$AZ$83)="EMPTY")+(UPPER($AS$83:$AZ$83)="(EMPTY)"))&gt;0,IFERROR(('Final Calculation Sheet'!$W$21)&amp;"","")="",ISNUMBER(SEARCH($AS$83:$AZ$83,IFERROR(('Final Calculation Sheet'!$W$21)&amp;"","")))))&gt;0),IF(COUNTIF($BI$83:$BP$83,5)=0,TRUE,SUMPRODUCT(($BI$83:$BP$83=5)*($AS$83:$AZ$83&lt;&gt;"")*IF(((UPPER($AS$83:$AZ$83)="BLANK")+(UPPER($AS$83:$AZ$83)="(BLANK)")+(UPPER($AS$83:$AZ$83)="EMPTY")+(UPPER($AS$83:$AZ$83)="(EMPTY)"))&gt;0,IFERROR(('Final Calculation Sheet'!$W$21)&amp;"","")="",ISNUMBER(SEARCH($AS$83:$AZ$83,IFERROR(('Final Calculation Sheet'!$W$21)&amp;"","")))))&gt;0),IF(COUNTIF($BI$83:$BP$83,6)=0,TRUE,SUMPRODUCT(($BI$83:$BP$83=6)*($AS$83:$AZ$83&lt;&gt;"")*IF(((UPPER($AS$83:$AZ$83)="BLANK")+(UPPER($AS$83:$AZ$83)="(BLANK)")+(UPPER($AS$83:$AZ$83)="EMPTY")+(UPPER($AS$83:$AZ$83)="(EMPTY)"))&gt;0,IFERROR(('Final Calculation Sheet'!$W$21)&amp;"","")="",ISNUMBER(SEARCH($AS$83:$AZ$83,IFERROR(('Final Calculation Sheet'!$W$21)&amp;"","")))))&gt;0),IF(COUNTIF($BI$83:$BP$83,7)=0,TRUE,SUMPRODUCT(($BI$83:$BP$83=7)*($AS$83:$AZ$83&lt;&gt;"")*IF(((UPPER($AS$83:$AZ$83)="BLANK")+(UPPER($AS$83:$AZ$83)="(BLANK)")+(UPPER($AS$83:$AZ$83)="EMPTY")+(UPPER($AS$83:$AZ$83)="(EMPTY)"))&gt;0,IFERROR(('Final Calculation Sheet'!$W$21)&amp;"","")="",ISNUMBER(SEARCH($AS$83:$AZ$83,IFERROR(('Final Calculation Sheet'!$W$21)&amp;"","")))))&gt;0),IF(COUNTIF($BI$83:$BP$83,8)=0,TRUE,SUMPRODUCT(($BI$83:$BP$83=8)*($AS$83:$AZ$83&lt;&gt;"")*IF(((UPPER($AS$83:$AZ$83)="BLANK")+(UPPER($AS$83:$AZ$83)="(BLANK)")+(UPPER($AS$83:$AZ$83)="EMPTY")+(UPPER($AS$83:$AZ$83)="(EMPTY)"))&gt;0,IFERROR(('Final Calculation Sheet'!$W$21)&amp;"","")="",ISNUMBER(SEARCH($AS$83:$AZ$83,IFERROR(('Final Calculation Sheet'!$W$21)&amp;"","")))))&gt;0))))</f>
        <v>1</v>
      </c>
      <c r="CK22">
        <f>IF($Y$4="",1,--(AND(SUMPRODUCT(--($AS$84:$AZ$84&lt;&gt;""))&gt;0,IF(COUNTIF($BI$84:$BP$84,1)=0,TRUE,SUMPRODUCT(($BI$84:$BP$84=1)*($AS$84:$AZ$84&lt;&gt;"")*IF(((UPPER($AS$84:$AZ$84)="BLANK")+(UPPER($AS$84:$AZ$84)="(BLANK)")+(UPPER($AS$84:$AZ$84)="EMPTY")+(UPPER($AS$84:$AZ$84)="(EMPTY)"))&gt;0,IFERROR(('Final Calculation Sheet'!$X$21)&amp;"","")="",ISNUMBER(SEARCH($AS$84:$AZ$84,IFERROR(('Final Calculation Sheet'!$X$21)&amp;"","")))))&gt;0),IF(COUNTIF($BI$84:$BP$84,2)=0,TRUE,SUMPRODUCT(($BI$84:$BP$84=2)*($AS$84:$AZ$84&lt;&gt;"")*IF(((UPPER($AS$84:$AZ$84)="BLANK")+(UPPER($AS$84:$AZ$84)="(BLANK)")+(UPPER($AS$84:$AZ$84)="EMPTY")+(UPPER($AS$84:$AZ$84)="(EMPTY)"))&gt;0,IFERROR(('Final Calculation Sheet'!$X$21)&amp;"","")="",ISNUMBER(SEARCH($AS$84:$AZ$84,IFERROR(('Final Calculation Sheet'!$X$21)&amp;"","")))))&gt;0),IF(COUNTIF($BI$84:$BP$84,3)=0,TRUE,SUMPRODUCT(($BI$84:$BP$84=3)*($AS$84:$AZ$84&lt;&gt;"")*IF(((UPPER($AS$84:$AZ$84)="BLANK")+(UPPER($AS$84:$AZ$84)="(BLANK)")+(UPPER($AS$84:$AZ$84)="EMPTY")+(UPPER($AS$84:$AZ$84)="(EMPTY)"))&gt;0,IFERROR(('Final Calculation Sheet'!$X$21)&amp;"","")="",ISNUMBER(SEARCH($AS$84:$AZ$84,IFERROR(('Final Calculation Sheet'!$X$21)&amp;"","")))))&gt;0),IF(COUNTIF($BI$84:$BP$84,4)=0,TRUE,SUMPRODUCT(($BI$84:$BP$84=4)*($AS$84:$AZ$84&lt;&gt;"")*IF(((UPPER($AS$84:$AZ$84)="BLANK")+(UPPER($AS$84:$AZ$84)="(BLANK)")+(UPPER($AS$84:$AZ$84)="EMPTY")+(UPPER($AS$84:$AZ$84)="(EMPTY)"))&gt;0,IFERROR(('Final Calculation Sheet'!$X$21)&amp;"","")="",ISNUMBER(SEARCH($AS$84:$AZ$84,IFERROR(('Final Calculation Sheet'!$X$21)&amp;"","")))))&gt;0),IF(COUNTIF($BI$84:$BP$84,5)=0,TRUE,SUMPRODUCT(($BI$84:$BP$84=5)*($AS$84:$AZ$84&lt;&gt;"")*IF(((UPPER($AS$84:$AZ$84)="BLANK")+(UPPER($AS$84:$AZ$84)="(BLANK)")+(UPPER($AS$84:$AZ$84)="EMPTY")+(UPPER($AS$84:$AZ$84)="(EMPTY)"))&gt;0,IFERROR(('Final Calculation Sheet'!$X$21)&amp;"","")="",ISNUMBER(SEARCH($AS$84:$AZ$84,IFERROR(('Final Calculation Sheet'!$X$21)&amp;"","")))))&gt;0),IF(COUNTIF($BI$84:$BP$84,6)=0,TRUE,SUMPRODUCT(($BI$84:$BP$84=6)*($AS$84:$AZ$84&lt;&gt;"")*IF(((UPPER($AS$84:$AZ$84)="BLANK")+(UPPER($AS$84:$AZ$84)="(BLANK)")+(UPPER($AS$84:$AZ$84)="EMPTY")+(UPPER($AS$84:$AZ$84)="(EMPTY)"))&gt;0,IFERROR(('Final Calculation Sheet'!$X$21)&amp;"","")="",ISNUMBER(SEARCH($AS$84:$AZ$84,IFERROR(('Final Calculation Sheet'!$X$21)&amp;"","")))))&gt;0),IF(COUNTIF($BI$84:$BP$84,7)=0,TRUE,SUMPRODUCT(($BI$84:$BP$84=7)*($AS$84:$AZ$84&lt;&gt;"")*IF(((UPPER($AS$84:$AZ$84)="BLANK")+(UPPER($AS$84:$AZ$84)="(BLANK)")+(UPPER($AS$84:$AZ$84)="EMPTY")+(UPPER($AS$84:$AZ$84)="(EMPTY)"))&gt;0,IFERROR(('Final Calculation Sheet'!$X$21)&amp;"","")="",ISNUMBER(SEARCH($AS$84:$AZ$84,IFERROR(('Final Calculation Sheet'!$X$21)&amp;"","")))))&gt;0),IF(COUNTIF($BI$84:$BP$84,8)=0,TRUE,SUMPRODUCT(($BI$84:$BP$84=8)*($AS$84:$AZ$84&lt;&gt;"")*IF(((UPPER($AS$84:$AZ$84)="BLANK")+(UPPER($AS$84:$AZ$84)="(BLANK)")+(UPPER($AS$84:$AZ$84)="EMPTY")+(UPPER($AS$84:$AZ$84)="(EMPTY)"))&gt;0,IFERROR(('Final Calculation Sheet'!$X$21)&amp;"","")="",ISNUMBER(SEARCH($AS$84:$AZ$84,IFERROR(('Final Calculation Sheet'!$X$21)&amp;"","")))))&gt;0))))</f>
        <v>1</v>
      </c>
      <c r="CL22">
        <f>IF($Z$4="",1,--(AND(SUMPRODUCT(--($AS$85:$AZ$85&lt;&gt;""))&gt;0,IF(COUNTIF($BI$85:$BP$85,1)=0,TRUE,SUMPRODUCT(($BI$85:$BP$85=1)*($AS$85:$AZ$85&lt;&gt;"")*IF(((UPPER($AS$85:$AZ$85)="BLANK")+(UPPER($AS$85:$AZ$85)="(BLANK)")+(UPPER($AS$85:$AZ$85)="EMPTY")+(UPPER($AS$85:$AZ$85)="(EMPTY)"))&gt;0,IFERROR(('Final Calculation Sheet'!$Y$21)&amp;"","")="",ISNUMBER(SEARCH($AS$85:$AZ$85,IFERROR(('Final Calculation Sheet'!$Y$21)&amp;"","")))))&gt;0),IF(COUNTIF($BI$85:$BP$85,2)=0,TRUE,SUMPRODUCT(($BI$85:$BP$85=2)*($AS$85:$AZ$85&lt;&gt;"")*IF(((UPPER($AS$85:$AZ$85)="BLANK")+(UPPER($AS$85:$AZ$85)="(BLANK)")+(UPPER($AS$85:$AZ$85)="EMPTY")+(UPPER($AS$85:$AZ$85)="(EMPTY)"))&gt;0,IFERROR(('Final Calculation Sheet'!$Y$21)&amp;"","")="",ISNUMBER(SEARCH($AS$85:$AZ$85,IFERROR(('Final Calculation Sheet'!$Y$21)&amp;"","")))))&gt;0),IF(COUNTIF($BI$85:$BP$85,3)=0,TRUE,SUMPRODUCT(($BI$85:$BP$85=3)*($AS$85:$AZ$85&lt;&gt;"")*IF(((UPPER($AS$85:$AZ$85)="BLANK")+(UPPER($AS$85:$AZ$85)="(BLANK)")+(UPPER($AS$85:$AZ$85)="EMPTY")+(UPPER($AS$85:$AZ$85)="(EMPTY)"))&gt;0,IFERROR(('Final Calculation Sheet'!$Y$21)&amp;"","")="",ISNUMBER(SEARCH($AS$85:$AZ$85,IFERROR(('Final Calculation Sheet'!$Y$21)&amp;"","")))))&gt;0),IF(COUNTIF($BI$85:$BP$85,4)=0,TRUE,SUMPRODUCT(($BI$85:$BP$85=4)*($AS$85:$AZ$85&lt;&gt;"")*IF(((UPPER($AS$85:$AZ$85)="BLANK")+(UPPER($AS$85:$AZ$85)="(BLANK)")+(UPPER($AS$85:$AZ$85)="EMPTY")+(UPPER($AS$85:$AZ$85)="(EMPTY)"))&gt;0,IFERROR(('Final Calculation Sheet'!$Y$21)&amp;"","")="",ISNUMBER(SEARCH($AS$85:$AZ$85,IFERROR(('Final Calculation Sheet'!$Y$21)&amp;"","")))))&gt;0),IF(COUNTIF($BI$85:$BP$85,5)=0,TRUE,SUMPRODUCT(($BI$85:$BP$85=5)*($AS$85:$AZ$85&lt;&gt;"")*IF(((UPPER($AS$85:$AZ$85)="BLANK")+(UPPER($AS$85:$AZ$85)="(BLANK)")+(UPPER($AS$85:$AZ$85)="EMPTY")+(UPPER($AS$85:$AZ$85)="(EMPTY)"))&gt;0,IFERROR(('Final Calculation Sheet'!$Y$21)&amp;"","")="",ISNUMBER(SEARCH($AS$85:$AZ$85,IFERROR(('Final Calculation Sheet'!$Y$21)&amp;"","")))))&gt;0),IF(COUNTIF($BI$85:$BP$85,6)=0,TRUE,SUMPRODUCT(($BI$85:$BP$85=6)*($AS$85:$AZ$85&lt;&gt;"")*IF(((UPPER($AS$85:$AZ$85)="BLANK")+(UPPER($AS$85:$AZ$85)="(BLANK)")+(UPPER($AS$85:$AZ$85)="EMPTY")+(UPPER($AS$85:$AZ$85)="(EMPTY)"))&gt;0,IFERROR(('Final Calculation Sheet'!$Y$21)&amp;"","")="",ISNUMBER(SEARCH($AS$85:$AZ$85,IFERROR(('Final Calculation Sheet'!$Y$21)&amp;"","")))))&gt;0),IF(COUNTIF($BI$85:$BP$85,7)=0,TRUE,SUMPRODUCT(($BI$85:$BP$85=7)*($AS$85:$AZ$85&lt;&gt;"")*IF(((UPPER($AS$85:$AZ$85)="BLANK")+(UPPER($AS$85:$AZ$85)="(BLANK)")+(UPPER($AS$85:$AZ$85)="EMPTY")+(UPPER($AS$85:$AZ$85)="(EMPTY)"))&gt;0,IFERROR(('Final Calculation Sheet'!$Y$21)&amp;"","")="",ISNUMBER(SEARCH($AS$85:$AZ$85,IFERROR(('Final Calculation Sheet'!$Y$21)&amp;"","")))))&gt;0),IF(COUNTIF($BI$85:$BP$85,8)=0,TRUE,SUMPRODUCT(($BI$85:$BP$85=8)*($AS$85:$AZ$85&lt;&gt;"")*IF(((UPPER($AS$85:$AZ$85)="BLANK")+(UPPER($AS$85:$AZ$85)="(BLANK)")+(UPPER($AS$85:$AZ$85)="EMPTY")+(UPPER($AS$85:$AZ$85)="(EMPTY)"))&gt;0,IFERROR(('Final Calculation Sheet'!$Y$21)&amp;"","")="",ISNUMBER(SEARCH($AS$85:$AZ$85,IFERROR(('Final Calculation Sheet'!$Y$21)&amp;"","")))))&gt;0))))</f>
        <v>1</v>
      </c>
      <c r="CM22">
        <f>IF($AA$4="",1,--(AND(SUMPRODUCT(--($AS$86:$AZ$86&lt;&gt;""))&gt;0,IF(COUNTIF($BI$86:$BP$86,1)=0,TRUE,SUMPRODUCT(($BI$86:$BP$86=1)*($AS$86:$AZ$86&lt;&gt;"")*IF(((UPPER($AS$86:$AZ$86)="BLANK")+(UPPER($AS$86:$AZ$86)="(BLANK)")+(UPPER($AS$86:$AZ$86)="EMPTY")+(UPPER($AS$86:$AZ$86)="(EMPTY)"))&gt;0,IFERROR(('Final Calculation Sheet'!$Z$21)&amp;"","")="",ISNUMBER(SEARCH($AS$86:$AZ$86,IFERROR(('Final Calculation Sheet'!$Z$21)&amp;"","")))))&gt;0),IF(COUNTIF($BI$86:$BP$86,2)=0,TRUE,SUMPRODUCT(($BI$86:$BP$86=2)*($AS$86:$AZ$86&lt;&gt;"")*IF(((UPPER($AS$86:$AZ$86)="BLANK")+(UPPER($AS$86:$AZ$86)="(BLANK)")+(UPPER($AS$86:$AZ$86)="EMPTY")+(UPPER($AS$86:$AZ$86)="(EMPTY)"))&gt;0,IFERROR(('Final Calculation Sheet'!$Z$21)&amp;"","")="",ISNUMBER(SEARCH($AS$86:$AZ$86,IFERROR(('Final Calculation Sheet'!$Z$21)&amp;"","")))))&gt;0),IF(COUNTIF($BI$86:$BP$86,3)=0,TRUE,SUMPRODUCT(($BI$86:$BP$86=3)*($AS$86:$AZ$86&lt;&gt;"")*IF(((UPPER($AS$86:$AZ$86)="BLANK")+(UPPER($AS$86:$AZ$86)="(BLANK)")+(UPPER($AS$86:$AZ$86)="EMPTY")+(UPPER($AS$86:$AZ$86)="(EMPTY)"))&gt;0,IFERROR(('Final Calculation Sheet'!$Z$21)&amp;"","")="",ISNUMBER(SEARCH($AS$86:$AZ$86,IFERROR(('Final Calculation Sheet'!$Z$21)&amp;"","")))))&gt;0),IF(COUNTIF($BI$86:$BP$86,4)=0,TRUE,SUMPRODUCT(($BI$86:$BP$86=4)*($AS$86:$AZ$86&lt;&gt;"")*IF(((UPPER($AS$86:$AZ$86)="BLANK")+(UPPER($AS$86:$AZ$86)="(BLANK)")+(UPPER($AS$86:$AZ$86)="EMPTY")+(UPPER($AS$86:$AZ$86)="(EMPTY)"))&gt;0,IFERROR(('Final Calculation Sheet'!$Z$21)&amp;"","")="",ISNUMBER(SEARCH($AS$86:$AZ$86,IFERROR(('Final Calculation Sheet'!$Z$21)&amp;"","")))))&gt;0),IF(COUNTIF($BI$86:$BP$86,5)=0,TRUE,SUMPRODUCT(($BI$86:$BP$86=5)*($AS$86:$AZ$86&lt;&gt;"")*IF(((UPPER($AS$86:$AZ$86)="BLANK")+(UPPER($AS$86:$AZ$86)="(BLANK)")+(UPPER($AS$86:$AZ$86)="EMPTY")+(UPPER($AS$86:$AZ$86)="(EMPTY)"))&gt;0,IFERROR(('Final Calculation Sheet'!$Z$21)&amp;"","")="",ISNUMBER(SEARCH($AS$86:$AZ$86,IFERROR(('Final Calculation Sheet'!$Z$21)&amp;"","")))))&gt;0),IF(COUNTIF($BI$86:$BP$86,6)=0,TRUE,SUMPRODUCT(($BI$86:$BP$86=6)*($AS$86:$AZ$86&lt;&gt;"")*IF(((UPPER($AS$86:$AZ$86)="BLANK")+(UPPER($AS$86:$AZ$86)="(BLANK)")+(UPPER($AS$86:$AZ$86)="EMPTY")+(UPPER($AS$86:$AZ$86)="(EMPTY)"))&gt;0,IFERROR(('Final Calculation Sheet'!$Z$21)&amp;"","")="",ISNUMBER(SEARCH($AS$86:$AZ$86,IFERROR(('Final Calculation Sheet'!$Z$21)&amp;"","")))))&gt;0),IF(COUNTIF($BI$86:$BP$86,7)=0,TRUE,SUMPRODUCT(($BI$86:$BP$86=7)*($AS$86:$AZ$86&lt;&gt;"")*IF(((UPPER($AS$86:$AZ$86)="BLANK")+(UPPER($AS$86:$AZ$86)="(BLANK)")+(UPPER($AS$86:$AZ$86)="EMPTY")+(UPPER($AS$86:$AZ$86)="(EMPTY)"))&gt;0,IFERROR(('Final Calculation Sheet'!$Z$21)&amp;"","")="",ISNUMBER(SEARCH($AS$86:$AZ$86,IFERROR(('Final Calculation Sheet'!$Z$21)&amp;"","")))))&gt;0),IF(COUNTIF($BI$86:$BP$86,8)=0,TRUE,SUMPRODUCT(($BI$86:$BP$86=8)*($AS$86:$AZ$86&lt;&gt;"")*IF(((UPPER($AS$86:$AZ$86)="BLANK")+(UPPER($AS$86:$AZ$86)="(BLANK)")+(UPPER($AS$86:$AZ$86)="EMPTY")+(UPPER($AS$86:$AZ$86)="(EMPTY)"))&gt;0,IFERROR(('Final Calculation Sheet'!$Z$21)&amp;"","")="",ISNUMBER(SEARCH($AS$86:$AZ$86,IFERROR(('Final Calculation Sheet'!$Z$21)&amp;"","")))))&gt;0))))</f>
        <v>1</v>
      </c>
      <c r="CN22">
        <f>IF($AB$4="",1,--(AND(SUMPRODUCT(--($AS$87:$AZ$87&lt;&gt;""))&gt;0,IF(COUNTIF($BI$87:$BP$87,1)=0,TRUE,SUMPRODUCT(($BI$87:$BP$87=1)*($AS$87:$AZ$87&lt;&gt;"")*IF(((UPPER($AS$87:$AZ$87)="BLANK")+(UPPER($AS$87:$AZ$87)="(BLANK)")+(UPPER($AS$87:$AZ$87)="EMPTY")+(UPPER($AS$87:$AZ$87)="(EMPTY)"))&gt;0,IFERROR(('Final Calculation Sheet'!$AA$21)&amp;"","")="",ISNUMBER(SEARCH($AS$87:$AZ$87,IFERROR(('Final Calculation Sheet'!$AA$21)&amp;"","")))))&gt;0),IF(COUNTIF($BI$87:$BP$87,2)=0,TRUE,SUMPRODUCT(($BI$87:$BP$87=2)*($AS$87:$AZ$87&lt;&gt;"")*IF(((UPPER($AS$87:$AZ$87)="BLANK")+(UPPER($AS$87:$AZ$87)="(BLANK)")+(UPPER($AS$87:$AZ$87)="EMPTY")+(UPPER($AS$87:$AZ$87)="(EMPTY)"))&gt;0,IFERROR(('Final Calculation Sheet'!$AA$21)&amp;"","")="",ISNUMBER(SEARCH($AS$87:$AZ$87,IFERROR(('Final Calculation Sheet'!$AA$21)&amp;"","")))))&gt;0),IF(COUNTIF($BI$87:$BP$87,3)=0,TRUE,SUMPRODUCT(($BI$87:$BP$87=3)*($AS$87:$AZ$87&lt;&gt;"")*IF(((UPPER($AS$87:$AZ$87)="BLANK")+(UPPER($AS$87:$AZ$87)="(BLANK)")+(UPPER($AS$87:$AZ$87)="EMPTY")+(UPPER($AS$87:$AZ$87)="(EMPTY)"))&gt;0,IFERROR(('Final Calculation Sheet'!$AA$21)&amp;"","")="",ISNUMBER(SEARCH($AS$87:$AZ$87,IFERROR(('Final Calculation Sheet'!$AA$21)&amp;"","")))))&gt;0),IF(COUNTIF($BI$87:$BP$87,4)=0,TRUE,SUMPRODUCT(($BI$87:$BP$87=4)*($AS$87:$AZ$87&lt;&gt;"")*IF(((UPPER($AS$87:$AZ$87)="BLANK")+(UPPER($AS$87:$AZ$87)="(BLANK)")+(UPPER($AS$87:$AZ$87)="EMPTY")+(UPPER($AS$87:$AZ$87)="(EMPTY)"))&gt;0,IFERROR(('Final Calculation Sheet'!$AA$21)&amp;"","")="",ISNUMBER(SEARCH($AS$87:$AZ$87,IFERROR(('Final Calculation Sheet'!$AA$21)&amp;"","")))))&gt;0),IF(COUNTIF($BI$87:$BP$87,5)=0,TRUE,SUMPRODUCT(($BI$87:$BP$87=5)*($AS$87:$AZ$87&lt;&gt;"")*IF(((UPPER($AS$87:$AZ$87)="BLANK")+(UPPER($AS$87:$AZ$87)="(BLANK)")+(UPPER($AS$87:$AZ$87)="EMPTY")+(UPPER($AS$87:$AZ$87)="(EMPTY)"))&gt;0,IFERROR(('Final Calculation Sheet'!$AA$21)&amp;"","")="",ISNUMBER(SEARCH($AS$87:$AZ$87,IFERROR(('Final Calculation Sheet'!$AA$21)&amp;"","")))))&gt;0),IF(COUNTIF($BI$87:$BP$87,6)=0,TRUE,SUMPRODUCT(($BI$87:$BP$87=6)*($AS$87:$AZ$87&lt;&gt;"")*IF(((UPPER($AS$87:$AZ$87)="BLANK")+(UPPER($AS$87:$AZ$87)="(BLANK)")+(UPPER($AS$87:$AZ$87)="EMPTY")+(UPPER($AS$87:$AZ$87)="(EMPTY)"))&gt;0,IFERROR(('Final Calculation Sheet'!$AA$21)&amp;"","")="",ISNUMBER(SEARCH($AS$87:$AZ$87,IFERROR(('Final Calculation Sheet'!$AA$21)&amp;"","")))))&gt;0),IF(COUNTIF($BI$87:$BP$87,7)=0,TRUE,SUMPRODUCT(($BI$87:$BP$87=7)*($AS$87:$AZ$87&lt;&gt;"")*IF(((UPPER($AS$87:$AZ$87)="BLANK")+(UPPER($AS$87:$AZ$87)="(BLANK)")+(UPPER($AS$87:$AZ$87)="EMPTY")+(UPPER($AS$87:$AZ$87)="(EMPTY)"))&gt;0,IFERROR(('Final Calculation Sheet'!$AA$21)&amp;"","")="",ISNUMBER(SEARCH($AS$87:$AZ$87,IFERROR(('Final Calculation Sheet'!$AA$21)&amp;"","")))))&gt;0),IF(COUNTIF($BI$87:$BP$87,8)=0,TRUE,SUMPRODUCT(($BI$87:$BP$87=8)*($AS$87:$AZ$87&lt;&gt;"")*IF(((UPPER($AS$87:$AZ$87)="BLANK")+(UPPER($AS$87:$AZ$87)="(BLANK)")+(UPPER($AS$87:$AZ$87)="EMPTY")+(UPPER($AS$87:$AZ$87)="(EMPTY)"))&gt;0,IFERROR(('Final Calculation Sheet'!$AA$21)&amp;"","")="",ISNUMBER(SEARCH($AS$87:$AZ$87,IFERROR(('Final Calculation Sheet'!$AA$21)&amp;"","")))))&gt;0))))</f>
        <v>1</v>
      </c>
      <c r="CO22">
        <f>IF($AC$4="",1,--(AND(SUMPRODUCT(--($AS$88:$AZ$88&lt;&gt;""))&gt;0,IF(COUNTIF($BI$88:$BP$88,1)=0,TRUE,SUMPRODUCT(($BI$88:$BP$88=1)*($AS$88:$AZ$88&lt;&gt;"")*IF(((UPPER($AS$88:$AZ$88)="BLANK")+(UPPER($AS$88:$AZ$88)="(BLANK)")+(UPPER($AS$88:$AZ$88)="EMPTY")+(UPPER($AS$88:$AZ$88)="(EMPTY)"))&gt;0,IFERROR(('Final Calculation Sheet'!$AB$21)&amp;"","")="",ISNUMBER(SEARCH($AS$88:$AZ$88,IFERROR(('Final Calculation Sheet'!$AB$21)&amp;"","")))))&gt;0),IF(COUNTIF($BI$88:$BP$88,2)=0,TRUE,SUMPRODUCT(($BI$88:$BP$88=2)*($AS$88:$AZ$88&lt;&gt;"")*IF(((UPPER($AS$88:$AZ$88)="BLANK")+(UPPER($AS$88:$AZ$88)="(BLANK)")+(UPPER($AS$88:$AZ$88)="EMPTY")+(UPPER($AS$88:$AZ$88)="(EMPTY)"))&gt;0,IFERROR(('Final Calculation Sheet'!$AB$21)&amp;"","")="",ISNUMBER(SEARCH($AS$88:$AZ$88,IFERROR(('Final Calculation Sheet'!$AB$21)&amp;"","")))))&gt;0),IF(COUNTIF($BI$88:$BP$88,3)=0,TRUE,SUMPRODUCT(($BI$88:$BP$88=3)*($AS$88:$AZ$88&lt;&gt;"")*IF(((UPPER($AS$88:$AZ$88)="BLANK")+(UPPER($AS$88:$AZ$88)="(BLANK)")+(UPPER($AS$88:$AZ$88)="EMPTY")+(UPPER($AS$88:$AZ$88)="(EMPTY)"))&gt;0,IFERROR(('Final Calculation Sheet'!$AB$21)&amp;"","")="",ISNUMBER(SEARCH($AS$88:$AZ$88,IFERROR(('Final Calculation Sheet'!$AB$21)&amp;"","")))))&gt;0),IF(COUNTIF($BI$88:$BP$88,4)=0,TRUE,SUMPRODUCT(($BI$88:$BP$88=4)*($AS$88:$AZ$88&lt;&gt;"")*IF(((UPPER($AS$88:$AZ$88)="BLANK")+(UPPER($AS$88:$AZ$88)="(BLANK)")+(UPPER($AS$88:$AZ$88)="EMPTY")+(UPPER($AS$88:$AZ$88)="(EMPTY)"))&gt;0,IFERROR(('Final Calculation Sheet'!$AB$21)&amp;"","")="",ISNUMBER(SEARCH($AS$88:$AZ$88,IFERROR(('Final Calculation Sheet'!$AB$21)&amp;"","")))))&gt;0),IF(COUNTIF($BI$88:$BP$88,5)=0,TRUE,SUMPRODUCT(($BI$88:$BP$88=5)*($AS$88:$AZ$88&lt;&gt;"")*IF(((UPPER($AS$88:$AZ$88)="BLANK")+(UPPER($AS$88:$AZ$88)="(BLANK)")+(UPPER($AS$88:$AZ$88)="EMPTY")+(UPPER($AS$88:$AZ$88)="(EMPTY)"))&gt;0,IFERROR(('Final Calculation Sheet'!$AB$21)&amp;"","")="",ISNUMBER(SEARCH($AS$88:$AZ$88,IFERROR(('Final Calculation Sheet'!$AB$21)&amp;"","")))))&gt;0),IF(COUNTIF($BI$88:$BP$88,6)=0,TRUE,SUMPRODUCT(($BI$88:$BP$88=6)*($AS$88:$AZ$88&lt;&gt;"")*IF(((UPPER($AS$88:$AZ$88)="BLANK")+(UPPER($AS$88:$AZ$88)="(BLANK)")+(UPPER($AS$88:$AZ$88)="EMPTY")+(UPPER($AS$88:$AZ$88)="(EMPTY)"))&gt;0,IFERROR(('Final Calculation Sheet'!$AB$21)&amp;"","")="",ISNUMBER(SEARCH($AS$88:$AZ$88,IFERROR(('Final Calculation Sheet'!$AB$21)&amp;"","")))))&gt;0),IF(COUNTIF($BI$88:$BP$88,7)=0,TRUE,SUMPRODUCT(($BI$88:$BP$88=7)*($AS$88:$AZ$88&lt;&gt;"")*IF(((UPPER($AS$88:$AZ$88)="BLANK")+(UPPER($AS$88:$AZ$88)="(BLANK)")+(UPPER($AS$88:$AZ$88)="EMPTY")+(UPPER($AS$88:$AZ$88)="(EMPTY)"))&gt;0,IFERROR(('Final Calculation Sheet'!$AB$21)&amp;"","")="",ISNUMBER(SEARCH($AS$88:$AZ$88,IFERROR(('Final Calculation Sheet'!$AB$21)&amp;"","")))))&gt;0),IF(COUNTIF($BI$88:$BP$88,8)=0,TRUE,SUMPRODUCT(($BI$88:$BP$88=8)*($AS$88:$AZ$88&lt;&gt;"")*IF(((UPPER($AS$88:$AZ$88)="BLANK")+(UPPER($AS$88:$AZ$88)="(BLANK)")+(UPPER($AS$88:$AZ$88)="EMPTY")+(UPPER($AS$88:$AZ$88)="(EMPTY)"))&gt;0,IFERROR(('Final Calculation Sheet'!$AB$21)&amp;"","")="",ISNUMBER(SEARCH($AS$88:$AZ$88,IFERROR(('Final Calculation Sheet'!$AB$21)&amp;"","")))))&gt;0))))</f>
        <v>1</v>
      </c>
      <c r="CP22">
        <f>IF($AD$4="",1,--(AND(SUMPRODUCT(--($AS$89:$AZ$89&lt;&gt;""))&gt;0,IF(COUNTIF($BI$89:$BP$89,1)=0,TRUE,SUMPRODUCT(($BI$89:$BP$89=1)*($AS$89:$AZ$89&lt;&gt;"")*IF(((UPPER($AS$89:$AZ$89)="BLANK")+(UPPER($AS$89:$AZ$89)="(BLANK)")+(UPPER($AS$89:$AZ$89)="EMPTY")+(UPPER($AS$89:$AZ$89)="(EMPTY)"))&gt;0,IFERROR(('Final Calculation Sheet'!$AC$21)&amp;"","")="",ISNUMBER(SEARCH($AS$89:$AZ$89,IFERROR(('Final Calculation Sheet'!$AC$21)&amp;"","")))))&gt;0),IF(COUNTIF($BI$89:$BP$89,2)=0,TRUE,SUMPRODUCT(($BI$89:$BP$89=2)*($AS$89:$AZ$89&lt;&gt;"")*IF(((UPPER($AS$89:$AZ$89)="BLANK")+(UPPER($AS$89:$AZ$89)="(BLANK)")+(UPPER($AS$89:$AZ$89)="EMPTY")+(UPPER($AS$89:$AZ$89)="(EMPTY)"))&gt;0,IFERROR(('Final Calculation Sheet'!$AC$21)&amp;"","")="",ISNUMBER(SEARCH($AS$89:$AZ$89,IFERROR(('Final Calculation Sheet'!$AC$21)&amp;"","")))))&gt;0),IF(COUNTIF($BI$89:$BP$89,3)=0,TRUE,SUMPRODUCT(($BI$89:$BP$89=3)*($AS$89:$AZ$89&lt;&gt;"")*IF(((UPPER($AS$89:$AZ$89)="BLANK")+(UPPER($AS$89:$AZ$89)="(BLANK)")+(UPPER($AS$89:$AZ$89)="EMPTY")+(UPPER($AS$89:$AZ$89)="(EMPTY)"))&gt;0,IFERROR(('Final Calculation Sheet'!$AC$21)&amp;"","")="",ISNUMBER(SEARCH($AS$89:$AZ$89,IFERROR(('Final Calculation Sheet'!$AC$21)&amp;"","")))))&gt;0),IF(COUNTIF($BI$89:$BP$89,4)=0,TRUE,SUMPRODUCT(($BI$89:$BP$89=4)*($AS$89:$AZ$89&lt;&gt;"")*IF(((UPPER($AS$89:$AZ$89)="BLANK")+(UPPER($AS$89:$AZ$89)="(BLANK)")+(UPPER($AS$89:$AZ$89)="EMPTY")+(UPPER($AS$89:$AZ$89)="(EMPTY)"))&gt;0,IFERROR(('Final Calculation Sheet'!$AC$21)&amp;"","")="",ISNUMBER(SEARCH($AS$89:$AZ$89,IFERROR(('Final Calculation Sheet'!$AC$21)&amp;"","")))))&gt;0),IF(COUNTIF($BI$89:$BP$89,5)=0,TRUE,SUMPRODUCT(($BI$89:$BP$89=5)*($AS$89:$AZ$89&lt;&gt;"")*IF(((UPPER($AS$89:$AZ$89)="BLANK")+(UPPER($AS$89:$AZ$89)="(BLANK)")+(UPPER($AS$89:$AZ$89)="EMPTY")+(UPPER($AS$89:$AZ$89)="(EMPTY)"))&gt;0,IFERROR(('Final Calculation Sheet'!$AC$21)&amp;"","")="",ISNUMBER(SEARCH($AS$89:$AZ$89,IFERROR(('Final Calculation Sheet'!$AC$21)&amp;"","")))))&gt;0),IF(COUNTIF($BI$89:$BP$89,6)=0,TRUE,SUMPRODUCT(($BI$89:$BP$89=6)*($AS$89:$AZ$89&lt;&gt;"")*IF(((UPPER($AS$89:$AZ$89)="BLANK")+(UPPER($AS$89:$AZ$89)="(BLANK)")+(UPPER($AS$89:$AZ$89)="EMPTY")+(UPPER($AS$89:$AZ$89)="(EMPTY)"))&gt;0,IFERROR(('Final Calculation Sheet'!$AC$21)&amp;"","")="",ISNUMBER(SEARCH($AS$89:$AZ$89,IFERROR(('Final Calculation Sheet'!$AC$21)&amp;"","")))))&gt;0),IF(COUNTIF($BI$89:$BP$89,7)=0,TRUE,SUMPRODUCT(($BI$89:$BP$89=7)*($AS$89:$AZ$89&lt;&gt;"")*IF(((UPPER($AS$89:$AZ$89)="BLANK")+(UPPER($AS$89:$AZ$89)="(BLANK)")+(UPPER($AS$89:$AZ$89)="EMPTY")+(UPPER($AS$89:$AZ$89)="(EMPTY)"))&gt;0,IFERROR(('Final Calculation Sheet'!$AC$21)&amp;"","")="",ISNUMBER(SEARCH($AS$89:$AZ$89,IFERROR(('Final Calculation Sheet'!$AC$21)&amp;"","")))))&gt;0),IF(COUNTIF($BI$89:$BP$89,8)=0,TRUE,SUMPRODUCT(($BI$89:$BP$89=8)*($AS$89:$AZ$89&lt;&gt;"")*IF(((UPPER($AS$89:$AZ$89)="BLANK")+(UPPER($AS$89:$AZ$89)="(BLANK)")+(UPPER($AS$89:$AZ$89)="EMPTY")+(UPPER($AS$89:$AZ$89)="(EMPTY)"))&gt;0,IFERROR(('Final Calculation Sheet'!$AC$21)&amp;"","")="",ISNUMBER(SEARCH($AS$89:$AZ$89,IFERROR(('Final Calculation Sheet'!$AC$21)&amp;"","")))))&gt;0))))</f>
        <v>1</v>
      </c>
      <c r="CQ22">
        <f>IF($AE$4="",1,--(AND(SUMPRODUCT(--($AS$90:$AZ$90&lt;&gt;""))&gt;0,IF(COUNTIF($BI$90:$BP$90,1)=0,TRUE,SUMPRODUCT(($BI$90:$BP$90=1)*($AS$90:$AZ$90&lt;&gt;"")*IF(((UPPER($AS$90:$AZ$90)="BLANK")+(UPPER($AS$90:$AZ$90)="(BLANK)")+(UPPER($AS$90:$AZ$90)="EMPTY")+(UPPER($AS$90:$AZ$90)="(EMPTY)"))&gt;0,IFERROR(('Final Calculation Sheet'!$AD$21)&amp;"","")="",ISNUMBER(SEARCH($AS$90:$AZ$90,IFERROR(('Final Calculation Sheet'!$AD$21)&amp;"","")))))&gt;0),IF(COUNTIF($BI$90:$BP$90,2)=0,TRUE,SUMPRODUCT(($BI$90:$BP$90=2)*($AS$90:$AZ$90&lt;&gt;"")*IF(((UPPER($AS$90:$AZ$90)="BLANK")+(UPPER($AS$90:$AZ$90)="(BLANK)")+(UPPER($AS$90:$AZ$90)="EMPTY")+(UPPER($AS$90:$AZ$90)="(EMPTY)"))&gt;0,IFERROR(('Final Calculation Sheet'!$AD$21)&amp;"","")="",ISNUMBER(SEARCH($AS$90:$AZ$90,IFERROR(('Final Calculation Sheet'!$AD$21)&amp;"","")))))&gt;0),IF(COUNTIF($BI$90:$BP$90,3)=0,TRUE,SUMPRODUCT(($BI$90:$BP$90=3)*($AS$90:$AZ$90&lt;&gt;"")*IF(((UPPER($AS$90:$AZ$90)="BLANK")+(UPPER($AS$90:$AZ$90)="(BLANK)")+(UPPER($AS$90:$AZ$90)="EMPTY")+(UPPER($AS$90:$AZ$90)="(EMPTY)"))&gt;0,IFERROR(('Final Calculation Sheet'!$AD$21)&amp;"","")="",ISNUMBER(SEARCH($AS$90:$AZ$90,IFERROR(('Final Calculation Sheet'!$AD$21)&amp;"","")))))&gt;0),IF(COUNTIF($BI$90:$BP$90,4)=0,TRUE,SUMPRODUCT(($BI$90:$BP$90=4)*($AS$90:$AZ$90&lt;&gt;"")*IF(((UPPER($AS$90:$AZ$90)="BLANK")+(UPPER($AS$90:$AZ$90)="(BLANK)")+(UPPER($AS$90:$AZ$90)="EMPTY")+(UPPER($AS$90:$AZ$90)="(EMPTY)"))&gt;0,IFERROR(('Final Calculation Sheet'!$AD$21)&amp;"","")="",ISNUMBER(SEARCH($AS$90:$AZ$90,IFERROR(('Final Calculation Sheet'!$AD$21)&amp;"","")))))&gt;0),IF(COUNTIF($BI$90:$BP$90,5)=0,TRUE,SUMPRODUCT(($BI$90:$BP$90=5)*($AS$90:$AZ$90&lt;&gt;"")*IF(((UPPER($AS$90:$AZ$90)="BLANK")+(UPPER($AS$90:$AZ$90)="(BLANK)")+(UPPER($AS$90:$AZ$90)="EMPTY")+(UPPER($AS$90:$AZ$90)="(EMPTY)"))&gt;0,IFERROR(('Final Calculation Sheet'!$AD$21)&amp;"","")="",ISNUMBER(SEARCH($AS$90:$AZ$90,IFERROR(('Final Calculation Sheet'!$AD$21)&amp;"","")))))&gt;0),IF(COUNTIF($BI$90:$BP$90,6)=0,TRUE,SUMPRODUCT(($BI$90:$BP$90=6)*($AS$90:$AZ$90&lt;&gt;"")*IF(((UPPER($AS$90:$AZ$90)="BLANK")+(UPPER($AS$90:$AZ$90)="(BLANK)")+(UPPER($AS$90:$AZ$90)="EMPTY")+(UPPER($AS$90:$AZ$90)="(EMPTY)"))&gt;0,IFERROR(('Final Calculation Sheet'!$AD$21)&amp;"","")="",ISNUMBER(SEARCH($AS$90:$AZ$90,IFERROR(('Final Calculation Sheet'!$AD$21)&amp;"","")))))&gt;0),IF(COUNTIF($BI$90:$BP$90,7)=0,TRUE,SUMPRODUCT(($BI$90:$BP$90=7)*($AS$90:$AZ$90&lt;&gt;"")*IF(((UPPER($AS$90:$AZ$90)="BLANK")+(UPPER($AS$90:$AZ$90)="(BLANK)")+(UPPER($AS$90:$AZ$90)="EMPTY")+(UPPER($AS$90:$AZ$90)="(EMPTY)"))&gt;0,IFERROR(('Final Calculation Sheet'!$AD$21)&amp;"","")="",ISNUMBER(SEARCH($AS$90:$AZ$90,IFERROR(('Final Calculation Sheet'!$AD$21)&amp;"","")))))&gt;0),IF(COUNTIF($BI$90:$BP$90,8)=0,TRUE,SUMPRODUCT(($BI$90:$BP$90=8)*($AS$90:$AZ$90&lt;&gt;"")*IF(((UPPER($AS$90:$AZ$90)="BLANK")+(UPPER($AS$90:$AZ$90)="(BLANK)")+(UPPER($AS$90:$AZ$90)="EMPTY")+(UPPER($AS$90:$AZ$90)="(EMPTY)"))&gt;0,IFERROR(('Final Calculation Sheet'!$AD$21)&amp;"","")="",ISNUMBER(SEARCH($AS$90:$AZ$90,IFERROR(('Final Calculation Sheet'!$AD$21)&amp;"","")))))&gt;0))))</f>
        <v>1</v>
      </c>
      <c r="CR22">
        <f>IF($AF$4="",1,--(AND(SUMPRODUCT(--($AS$91:$AZ$91&lt;&gt;""))&gt;0,IF(COUNTIF($BI$91:$BP$91,1)=0,TRUE,SUMPRODUCT(($BI$91:$BP$91=1)*($AS$91:$AZ$91&lt;&gt;"")*IF(((UPPER($AS$91:$AZ$91)="BLANK")+(UPPER($AS$91:$AZ$91)="(BLANK)")+(UPPER($AS$91:$AZ$91)="EMPTY")+(UPPER($AS$91:$AZ$91)="(EMPTY)"))&gt;0,IFERROR(('Final Calculation Sheet'!$AE$21)&amp;"","")="",ISNUMBER(SEARCH($AS$91:$AZ$91,IFERROR(('Final Calculation Sheet'!$AE$21)&amp;"","")))))&gt;0),IF(COUNTIF($BI$91:$BP$91,2)=0,TRUE,SUMPRODUCT(($BI$91:$BP$91=2)*($AS$91:$AZ$91&lt;&gt;"")*IF(((UPPER($AS$91:$AZ$91)="BLANK")+(UPPER($AS$91:$AZ$91)="(BLANK)")+(UPPER($AS$91:$AZ$91)="EMPTY")+(UPPER($AS$91:$AZ$91)="(EMPTY)"))&gt;0,IFERROR(('Final Calculation Sheet'!$AE$21)&amp;"","")="",ISNUMBER(SEARCH($AS$91:$AZ$91,IFERROR(('Final Calculation Sheet'!$AE$21)&amp;"","")))))&gt;0),IF(COUNTIF($BI$91:$BP$91,3)=0,TRUE,SUMPRODUCT(($BI$91:$BP$91=3)*($AS$91:$AZ$91&lt;&gt;"")*IF(((UPPER($AS$91:$AZ$91)="BLANK")+(UPPER($AS$91:$AZ$91)="(BLANK)")+(UPPER($AS$91:$AZ$91)="EMPTY")+(UPPER($AS$91:$AZ$91)="(EMPTY)"))&gt;0,IFERROR(('Final Calculation Sheet'!$AE$21)&amp;"","")="",ISNUMBER(SEARCH($AS$91:$AZ$91,IFERROR(('Final Calculation Sheet'!$AE$21)&amp;"","")))))&gt;0),IF(COUNTIF($BI$91:$BP$91,4)=0,TRUE,SUMPRODUCT(($BI$91:$BP$91=4)*($AS$91:$AZ$91&lt;&gt;"")*IF(((UPPER($AS$91:$AZ$91)="BLANK")+(UPPER($AS$91:$AZ$91)="(BLANK)")+(UPPER($AS$91:$AZ$91)="EMPTY")+(UPPER($AS$91:$AZ$91)="(EMPTY)"))&gt;0,IFERROR(('Final Calculation Sheet'!$AE$21)&amp;"","")="",ISNUMBER(SEARCH($AS$91:$AZ$91,IFERROR(('Final Calculation Sheet'!$AE$21)&amp;"","")))))&gt;0),IF(COUNTIF($BI$91:$BP$91,5)=0,TRUE,SUMPRODUCT(($BI$91:$BP$91=5)*($AS$91:$AZ$91&lt;&gt;"")*IF(((UPPER($AS$91:$AZ$91)="BLANK")+(UPPER($AS$91:$AZ$91)="(BLANK)")+(UPPER($AS$91:$AZ$91)="EMPTY")+(UPPER($AS$91:$AZ$91)="(EMPTY)"))&gt;0,IFERROR(('Final Calculation Sheet'!$AE$21)&amp;"","")="",ISNUMBER(SEARCH($AS$91:$AZ$91,IFERROR(('Final Calculation Sheet'!$AE$21)&amp;"","")))))&gt;0),IF(COUNTIF($BI$91:$BP$91,6)=0,TRUE,SUMPRODUCT(($BI$91:$BP$91=6)*($AS$91:$AZ$91&lt;&gt;"")*IF(((UPPER($AS$91:$AZ$91)="BLANK")+(UPPER($AS$91:$AZ$91)="(BLANK)")+(UPPER($AS$91:$AZ$91)="EMPTY")+(UPPER($AS$91:$AZ$91)="(EMPTY)"))&gt;0,IFERROR(('Final Calculation Sheet'!$AE$21)&amp;"","")="",ISNUMBER(SEARCH($AS$91:$AZ$91,IFERROR(('Final Calculation Sheet'!$AE$21)&amp;"","")))))&gt;0),IF(COUNTIF($BI$91:$BP$91,7)=0,TRUE,SUMPRODUCT(($BI$91:$BP$91=7)*($AS$91:$AZ$91&lt;&gt;"")*IF(((UPPER($AS$91:$AZ$91)="BLANK")+(UPPER($AS$91:$AZ$91)="(BLANK)")+(UPPER($AS$91:$AZ$91)="EMPTY")+(UPPER($AS$91:$AZ$91)="(EMPTY)"))&gt;0,IFERROR(('Final Calculation Sheet'!$AE$21)&amp;"","")="",ISNUMBER(SEARCH($AS$91:$AZ$91,IFERROR(('Final Calculation Sheet'!$AE$21)&amp;"","")))))&gt;0),IF(COUNTIF($BI$91:$BP$91,8)=0,TRUE,SUMPRODUCT(($BI$91:$BP$91=8)*($AS$91:$AZ$91&lt;&gt;"")*IF(((UPPER($AS$91:$AZ$91)="BLANK")+(UPPER($AS$91:$AZ$91)="(BLANK)")+(UPPER($AS$91:$AZ$91)="EMPTY")+(UPPER($AS$91:$AZ$91)="(EMPTY)"))&gt;0,IFERROR(('Final Calculation Sheet'!$AE$21)&amp;"","")="",ISNUMBER(SEARCH($AS$91:$AZ$91,IFERROR(('Final Calculation Sheet'!$AE$21)&amp;"","")))))&gt;0))))</f>
        <v>1</v>
      </c>
      <c r="CS22">
        <f>IF($AG$4="",1,--(AND(SUMPRODUCT(--($AS$92:$AZ$92&lt;&gt;""))&gt;0,IF(COUNTIF($BI$92:$BP$92,1)=0,TRUE,SUMPRODUCT(($BI$92:$BP$92=1)*($AS$92:$AZ$92&lt;&gt;"")*IF(((UPPER($AS$92:$AZ$92)="BLANK")+(UPPER($AS$92:$AZ$92)="(BLANK)")+(UPPER($AS$92:$AZ$92)="EMPTY")+(UPPER($AS$92:$AZ$92)="(EMPTY)"))&gt;0,IFERROR(('Final Calculation Sheet'!$AF$21)&amp;"","")="",ISNUMBER(SEARCH($AS$92:$AZ$92,IFERROR(('Final Calculation Sheet'!$AF$21)&amp;"","")))))&gt;0),IF(COUNTIF($BI$92:$BP$92,2)=0,TRUE,SUMPRODUCT(($BI$92:$BP$92=2)*($AS$92:$AZ$92&lt;&gt;"")*IF(((UPPER($AS$92:$AZ$92)="BLANK")+(UPPER($AS$92:$AZ$92)="(BLANK)")+(UPPER($AS$92:$AZ$92)="EMPTY")+(UPPER($AS$92:$AZ$92)="(EMPTY)"))&gt;0,IFERROR(('Final Calculation Sheet'!$AF$21)&amp;"","")="",ISNUMBER(SEARCH($AS$92:$AZ$92,IFERROR(('Final Calculation Sheet'!$AF$21)&amp;"","")))))&gt;0),IF(COUNTIF($BI$92:$BP$92,3)=0,TRUE,SUMPRODUCT(($BI$92:$BP$92=3)*($AS$92:$AZ$92&lt;&gt;"")*IF(((UPPER($AS$92:$AZ$92)="BLANK")+(UPPER($AS$92:$AZ$92)="(BLANK)")+(UPPER($AS$92:$AZ$92)="EMPTY")+(UPPER($AS$92:$AZ$92)="(EMPTY)"))&gt;0,IFERROR(('Final Calculation Sheet'!$AF$21)&amp;"","")="",ISNUMBER(SEARCH($AS$92:$AZ$92,IFERROR(('Final Calculation Sheet'!$AF$21)&amp;"","")))))&gt;0),IF(COUNTIF($BI$92:$BP$92,4)=0,TRUE,SUMPRODUCT(($BI$92:$BP$92=4)*($AS$92:$AZ$92&lt;&gt;"")*IF(((UPPER($AS$92:$AZ$92)="BLANK")+(UPPER($AS$92:$AZ$92)="(BLANK)")+(UPPER($AS$92:$AZ$92)="EMPTY")+(UPPER($AS$92:$AZ$92)="(EMPTY)"))&gt;0,IFERROR(('Final Calculation Sheet'!$AF$21)&amp;"","")="",ISNUMBER(SEARCH($AS$92:$AZ$92,IFERROR(('Final Calculation Sheet'!$AF$21)&amp;"","")))))&gt;0),IF(COUNTIF($BI$92:$BP$92,5)=0,TRUE,SUMPRODUCT(($BI$92:$BP$92=5)*($AS$92:$AZ$92&lt;&gt;"")*IF(((UPPER($AS$92:$AZ$92)="BLANK")+(UPPER($AS$92:$AZ$92)="(BLANK)")+(UPPER($AS$92:$AZ$92)="EMPTY")+(UPPER($AS$92:$AZ$92)="(EMPTY)"))&gt;0,IFERROR(('Final Calculation Sheet'!$AF$21)&amp;"","")="",ISNUMBER(SEARCH($AS$92:$AZ$92,IFERROR(('Final Calculation Sheet'!$AF$21)&amp;"","")))))&gt;0),IF(COUNTIF($BI$92:$BP$92,6)=0,TRUE,SUMPRODUCT(($BI$92:$BP$92=6)*($AS$92:$AZ$92&lt;&gt;"")*IF(((UPPER($AS$92:$AZ$92)="BLANK")+(UPPER($AS$92:$AZ$92)="(BLANK)")+(UPPER($AS$92:$AZ$92)="EMPTY")+(UPPER($AS$92:$AZ$92)="(EMPTY)"))&gt;0,IFERROR(('Final Calculation Sheet'!$AF$21)&amp;"","")="",ISNUMBER(SEARCH($AS$92:$AZ$92,IFERROR(('Final Calculation Sheet'!$AF$21)&amp;"","")))))&gt;0),IF(COUNTIF($BI$92:$BP$92,7)=0,TRUE,SUMPRODUCT(($BI$92:$BP$92=7)*($AS$92:$AZ$92&lt;&gt;"")*IF(((UPPER($AS$92:$AZ$92)="BLANK")+(UPPER($AS$92:$AZ$92)="(BLANK)")+(UPPER($AS$92:$AZ$92)="EMPTY")+(UPPER($AS$92:$AZ$92)="(EMPTY)"))&gt;0,IFERROR(('Final Calculation Sheet'!$AF$21)&amp;"","")="",ISNUMBER(SEARCH($AS$92:$AZ$92,IFERROR(('Final Calculation Sheet'!$AF$21)&amp;"","")))))&gt;0),IF(COUNTIF($BI$92:$BP$92,8)=0,TRUE,SUMPRODUCT(($BI$92:$BP$92=8)*($AS$92:$AZ$92&lt;&gt;"")*IF(((UPPER($AS$92:$AZ$92)="BLANK")+(UPPER($AS$92:$AZ$92)="(BLANK)")+(UPPER($AS$92:$AZ$92)="EMPTY")+(UPPER($AS$92:$AZ$92)="(EMPTY)"))&gt;0,IFERROR(('Final Calculation Sheet'!$AF$21)&amp;"","")="",ISNUMBER(SEARCH($AS$92:$AZ$92,IFERROR(('Final Calculation Sheet'!$AF$21)&amp;"","")))))&gt;0))))</f>
        <v>1</v>
      </c>
      <c r="CT22">
        <f>IF($AH$4="",1,--(AND(SUMPRODUCT(--($AS$93:$AZ$93&lt;&gt;""))&gt;0,IF(COUNTIF($BI$93:$BP$93,1)=0,TRUE,SUMPRODUCT(($BI$93:$BP$93=1)*($AS$93:$AZ$93&lt;&gt;"")*IF(((UPPER($AS$93:$AZ$93)="BLANK")+(UPPER($AS$93:$AZ$93)="(BLANK)")+(UPPER($AS$93:$AZ$93)="EMPTY")+(UPPER($AS$93:$AZ$93)="(EMPTY)"))&gt;0,IFERROR(('Final Calculation Sheet'!$AG$21)&amp;"","")="",ISNUMBER(SEARCH($AS$93:$AZ$93,IFERROR(('Final Calculation Sheet'!$AG$21)&amp;"","")))))&gt;0),IF(COUNTIF($BI$93:$BP$93,2)=0,TRUE,SUMPRODUCT(($BI$93:$BP$93=2)*($AS$93:$AZ$93&lt;&gt;"")*IF(((UPPER($AS$93:$AZ$93)="BLANK")+(UPPER($AS$93:$AZ$93)="(BLANK)")+(UPPER($AS$93:$AZ$93)="EMPTY")+(UPPER($AS$93:$AZ$93)="(EMPTY)"))&gt;0,IFERROR(('Final Calculation Sheet'!$AG$21)&amp;"","")="",ISNUMBER(SEARCH($AS$93:$AZ$93,IFERROR(('Final Calculation Sheet'!$AG$21)&amp;"","")))))&gt;0),IF(COUNTIF($BI$93:$BP$93,3)=0,TRUE,SUMPRODUCT(($BI$93:$BP$93=3)*($AS$93:$AZ$93&lt;&gt;"")*IF(((UPPER($AS$93:$AZ$93)="BLANK")+(UPPER($AS$93:$AZ$93)="(BLANK)")+(UPPER($AS$93:$AZ$93)="EMPTY")+(UPPER($AS$93:$AZ$93)="(EMPTY)"))&gt;0,IFERROR(('Final Calculation Sheet'!$AG$21)&amp;"","")="",ISNUMBER(SEARCH($AS$93:$AZ$93,IFERROR(('Final Calculation Sheet'!$AG$21)&amp;"","")))))&gt;0),IF(COUNTIF($BI$93:$BP$93,4)=0,TRUE,SUMPRODUCT(($BI$93:$BP$93=4)*($AS$93:$AZ$93&lt;&gt;"")*IF(((UPPER($AS$93:$AZ$93)="BLANK")+(UPPER($AS$93:$AZ$93)="(BLANK)")+(UPPER($AS$93:$AZ$93)="EMPTY")+(UPPER($AS$93:$AZ$93)="(EMPTY)"))&gt;0,IFERROR(('Final Calculation Sheet'!$AG$21)&amp;"","")="",ISNUMBER(SEARCH($AS$93:$AZ$93,IFERROR(('Final Calculation Sheet'!$AG$21)&amp;"","")))))&gt;0),IF(COUNTIF($BI$93:$BP$93,5)=0,TRUE,SUMPRODUCT(($BI$93:$BP$93=5)*($AS$93:$AZ$93&lt;&gt;"")*IF(((UPPER($AS$93:$AZ$93)="BLANK")+(UPPER($AS$93:$AZ$93)="(BLANK)")+(UPPER($AS$93:$AZ$93)="EMPTY")+(UPPER($AS$93:$AZ$93)="(EMPTY)"))&gt;0,IFERROR(('Final Calculation Sheet'!$AG$21)&amp;"","")="",ISNUMBER(SEARCH($AS$93:$AZ$93,IFERROR(('Final Calculation Sheet'!$AG$21)&amp;"","")))))&gt;0),IF(COUNTIF($BI$93:$BP$93,6)=0,TRUE,SUMPRODUCT(($BI$93:$BP$93=6)*($AS$93:$AZ$93&lt;&gt;"")*IF(((UPPER($AS$93:$AZ$93)="BLANK")+(UPPER($AS$93:$AZ$93)="(BLANK)")+(UPPER($AS$93:$AZ$93)="EMPTY")+(UPPER($AS$93:$AZ$93)="(EMPTY)"))&gt;0,IFERROR(('Final Calculation Sheet'!$AG$21)&amp;"","")="",ISNUMBER(SEARCH($AS$93:$AZ$93,IFERROR(('Final Calculation Sheet'!$AG$21)&amp;"","")))))&gt;0),IF(COUNTIF($BI$93:$BP$93,7)=0,TRUE,SUMPRODUCT(($BI$93:$BP$93=7)*($AS$93:$AZ$93&lt;&gt;"")*IF(((UPPER($AS$93:$AZ$93)="BLANK")+(UPPER($AS$93:$AZ$93)="(BLANK)")+(UPPER($AS$93:$AZ$93)="EMPTY")+(UPPER($AS$93:$AZ$93)="(EMPTY)"))&gt;0,IFERROR(('Final Calculation Sheet'!$AG$21)&amp;"","")="",ISNUMBER(SEARCH($AS$93:$AZ$93,IFERROR(('Final Calculation Sheet'!$AG$21)&amp;"","")))))&gt;0),IF(COUNTIF($BI$93:$BP$93,8)=0,TRUE,SUMPRODUCT(($BI$93:$BP$93=8)*($AS$93:$AZ$93&lt;&gt;"")*IF(((UPPER($AS$93:$AZ$93)="BLANK")+(UPPER($AS$93:$AZ$93)="(BLANK)")+(UPPER($AS$93:$AZ$93)="EMPTY")+(UPPER($AS$93:$AZ$93)="(EMPTY)"))&gt;0,IFERROR(('Final Calculation Sheet'!$AG$21)&amp;"","")="",ISNUMBER(SEARCH($AS$93:$AZ$93,IFERROR(('Final Calculation Sheet'!$AG$21)&amp;"","")))))&gt;0))))</f>
        <v>1</v>
      </c>
      <c r="CU22">
        <f>IF($AI$4="",1,--(AND(SUMPRODUCT(--($AS$94:$AZ$94&lt;&gt;""))&gt;0,IF(COUNTIF($BI$94:$BP$94,1)=0,TRUE,SUMPRODUCT(($BI$94:$BP$94=1)*($AS$94:$AZ$94&lt;&gt;"")*IF(((UPPER($AS$94:$AZ$94)="BLANK")+(UPPER($AS$94:$AZ$94)="(BLANK)")+(UPPER($AS$94:$AZ$94)="EMPTY")+(UPPER($AS$94:$AZ$94)="(EMPTY)"))&gt;0,IFERROR((IF('Final Calculation Sheet'!$AD$21&lt;=0,"SETTLED","OUTSTANDING"))&amp;"","")="",ISNUMBER(SEARCH($AS$94:$AZ$94,IFERROR((IF('Final Calculation Sheet'!$AD$21&lt;=0,"SETTLED","OUTSTANDING"))&amp;"","")))))&gt;0),IF(COUNTIF($BI$94:$BP$94,2)=0,TRUE,SUMPRODUCT(($BI$94:$BP$94=2)*($AS$94:$AZ$94&lt;&gt;"")*IF(((UPPER($AS$94:$AZ$94)="BLANK")+(UPPER($AS$94:$AZ$94)="(BLANK)")+(UPPER($AS$94:$AZ$94)="EMPTY")+(UPPER($AS$94:$AZ$94)="(EMPTY)"))&gt;0,IFERROR((IF('Final Calculation Sheet'!$AD$21&lt;=0,"SETTLED","OUTSTANDING"))&amp;"","")="",ISNUMBER(SEARCH($AS$94:$AZ$94,IFERROR((IF('Final Calculation Sheet'!$AD$21&lt;=0,"SETTLED","OUTSTANDING"))&amp;"","")))))&gt;0),IF(COUNTIF($BI$94:$BP$94,3)=0,TRUE,SUMPRODUCT(($BI$94:$BP$94=3)*($AS$94:$AZ$94&lt;&gt;"")*IF(((UPPER($AS$94:$AZ$94)="BLANK")+(UPPER($AS$94:$AZ$94)="(BLANK)")+(UPPER($AS$94:$AZ$94)="EMPTY")+(UPPER($AS$94:$AZ$94)="(EMPTY)"))&gt;0,IFERROR((IF('Final Calculation Sheet'!$AD$21&lt;=0,"SETTLED","OUTSTANDING"))&amp;"","")="",ISNUMBER(SEARCH($AS$94:$AZ$94,IFERROR((IF('Final Calculation Sheet'!$AD$21&lt;=0,"SETTLED","OUTSTANDING"))&amp;"","")))))&gt;0),IF(COUNTIF($BI$94:$BP$94,4)=0,TRUE,SUMPRODUCT(($BI$94:$BP$94=4)*($AS$94:$AZ$94&lt;&gt;"")*IF(((UPPER($AS$94:$AZ$94)="BLANK")+(UPPER($AS$94:$AZ$94)="(BLANK)")+(UPPER($AS$94:$AZ$94)="EMPTY")+(UPPER($AS$94:$AZ$94)="(EMPTY)"))&gt;0,IFERROR((IF('Final Calculation Sheet'!$AD$21&lt;=0,"SETTLED","OUTSTANDING"))&amp;"","")="",ISNUMBER(SEARCH($AS$94:$AZ$94,IFERROR((IF('Final Calculation Sheet'!$AD$21&lt;=0,"SETTLED","OUTSTANDING"))&amp;"","")))))&gt;0),IF(COUNTIF($BI$94:$BP$94,5)=0,TRUE,SUMPRODUCT(($BI$94:$BP$94=5)*($AS$94:$AZ$94&lt;&gt;"")*IF(((UPPER($AS$94:$AZ$94)="BLANK")+(UPPER($AS$94:$AZ$94)="(BLANK)")+(UPPER($AS$94:$AZ$94)="EMPTY")+(UPPER($AS$94:$AZ$94)="(EMPTY)"))&gt;0,IFERROR((IF('Final Calculation Sheet'!$AD$21&lt;=0,"SETTLED","OUTSTANDING"))&amp;"","")="",ISNUMBER(SEARCH($AS$94:$AZ$94,IFERROR((IF('Final Calculation Sheet'!$AD$21&lt;=0,"SETTLED","OUTSTANDING"))&amp;"","")))))&gt;0),IF(COUNTIF($BI$94:$BP$94,6)=0,TRUE,SUMPRODUCT(($BI$94:$BP$94=6)*($AS$94:$AZ$94&lt;&gt;"")*IF(((UPPER($AS$94:$AZ$94)="BLANK")+(UPPER($AS$94:$AZ$94)="(BLANK)")+(UPPER($AS$94:$AZ$94)="EMPTY")+(UPPER($AS$94:$AZ$94)="(EMPTY)"))&gt;0,IFERROR((IF('Final Calculation Sheet'!$AD$21&lt;=0,"SETTLED","OUTSTANDING"))&amp;"","")="",ISNUMBER(SEARCH($AS$94:$AZ$94,IFERROR((IF('Final Calculation Sheet'!$AD$21&lt;=0,"SETTLED","OUTSTANDING"))&amp;"","")))))&gt;0),IF(COUNTIF($BI$94:$BP$94,7)=0,TRUE,SUMPRODUCT(($BI$94:$BP$94=7)*($AS$94:$AZ$94&lt;&gt;"")*IF(((UPPER($AS$94:$AZ$94)="BLANK")+(UPPER($AS$94:$AZ$94)="(BLANK)")+(UPPER($AS$94:$AZ$94)="EMPTY")+(UPPER($AS$94:$AZ$94)="(EMPTY)"))&gt;0,IFERROR((IF('Final Calculation Sheet'!$AD$21&lt;=0,"SETTLED","OUTSTANDING"))&amp;"","")="",ISNUMBER(SEARCH($AS$94:$AZ$94,IFERROR((IF('Final Calculation Sheet'!$AD$21&lt;=0,"SETTLED","OUTSTANDING"))&amp;"","")))))&gt;0),IF(COUNTIF($BI$94:$BP$94,8)=0,TRUE,SUMPRODUCT(($BI$94:$BP$94=8)*($AS$94:$AZ$94&lt;&gt;"")*IF(((UPPER($AS$94:$AZ$94)="BLANK")+(UPPER($AS$94:$AZ$94)="(BLANK)")+(UPPER($AS$94:$AZ$94)="EMPTY")+(UPPER($AS$94:$AZ$94)="(EMPTY)"))&gt;0,IFERROR((IF('Final Calculation Sheet'!$AD$21&lt;=0,"SETTLED","OUTSTANDING"))&amp;"","")="",ISNUMBER(SEARCH($AS$94:$AZ$94,IFERROR((IF('Final Calculation Sheet'!$AD$21&lt;=0,"SETTLED","OUTSTANDING"))&amp;"","")))))&gt;0))))</f>
        <v>1</v>
      </c>
    </row>
    <row r="23" spans="1:99" ht="15" customHeight="1" x14ac:dyDescent="0.25">
      <c r="A23" s="67">
        <f>IF($BJ22&gt;0,INDEX($BA$5:$BA$41,MATCH(22,$BB$5:$BB$41,0)),IF(OR($BI22=1,$BL22=1,$BH22&gt;0),"∑",""))</f>
        <v>6</v>
      </c>
      <c r="B23" s="68">
        <f>IF($BJ22&gt;0,IF(INDEX('Final Calculation Sheet'!$F$4:$F$40,$BJ22-3)="","",INDEX('Final Calculation Sheet'!$F$4:$F$40,$BJ22-3)),"")</f>
        <v>2002</v>
      </c>
      <c r="C23" s="68" t="str">
        <f>IF($BJ22&gt;0,IF(INDEX('Final Calculation Sheet'!$G$4:$G$40,$BJ22-3)="","",INDEX('Final Calculation Sheet'!$G$4:$G$40,$BJ22-3)),IF(OR($BI22=1,$BL22=1,$BH22&gt;0),IF($BI22=1,37,IF($BL22=1,37-INDEX($BD$4:$BD$13,10),INDEX($BD$4:$BD$13,$BH22)))&amp;" lot(s)",""))</f>
        <v>NATIONAL ENTERPRISES</v>
      </c>
      <c r="D23" s="69" t="str">
        <f>IF($BJ22&gt;0,IF(INDEX('Final Calculation Sheet'!$B$4:$B$40,$BJ22-3)="","",INDEX('Final Calculation Sheet'!$B$4:$B$40,$BJ22-3)),IF(OR($BI22=1,$BL22=1,$BH22&gt;0),IF($BI22=1,"GRAND TOTAL  —  matching + remaining",IF($BL22=1,"TOTAL MATCHED  —  every group together",IF($BH22=10,"REMAINING  —  did not match the search",IF($BH22=9,IF(COUNTIF($A$4:$AI$4,"&lt;&gt;")&gt;0,"FILTERED LOTS  —  column fields","ALL LOTS  —  nothing typed in the box"),"GROUP "&amp;$BH22&amp;" TOTAL  —  lots matching  "&amp;INDEX($AR$6:$AY$6,$BH22))))),""))</f>
        <v>Scrap of 132 KV CT</v>
      </c>
      <c r="E23" s="69">
        <f>IF($BJ22&gt;0,IF(INDEX('Final Calculation Sheet'!$D$4:$D$40,$BJ22-3)="","",INDEX('Final Calculation Sheet'!$D$4:$D$40,$BJ22-3)),IF(OR($BI22=1,$BL22=1,$BH22&gt;0),"–",""))</f>
        <v>21977</v>
      </c>
      <c r="F23" s="69">
        <f>IF($BJ22&gt;0,IF(INDEX('Final Calculation Sheet'!$A$4:$A$40,$BJ22-3)="","",INDEX('Final Calculation Sheet'!$A$4:$A$40,$BJ22-3)),IF(OR($BI22=1,$BL22=1,$BH22&gt;0),IF($BI22=1,SUM('Final Calculation Sheet'!$A$4:$A$40),IF($BL22=1,SUM('Final Calculation Sheet'!$A$4:$A$40)-SUMIFS('Final Calculation Sheet'!$A$4:$A$40,$AZ$5:$AZ$41,10),SUMIFS('Final Calculation Sheet'!$A$4:$A$40,$AZ$5:$AZ$41,$BH22))),""))</f>
        <v>4</v>
      </c>
      <c r="G23" s="69" t="str">
        <f>IF($BJ22&gt;0,IF(INDEX('Final Calculation Sheet'!$E$4:$E$40,$BJ22-3)="","",INDEX('Final Calculation Sheet'!$E$4:$E$40,$BJ22-3)),IF(OR($BI22=1,$BL22=1,$BH22&gt;0),"–",""))</f>
        <v>NO</v>
      </c>
      <c r="H23" s="70">
        <f>IF($BJ22&gt;0,IF(INDEX('Final Calculation Sheet'!$C$4:$C$40,$BJ22-3)="","",INDEX('Final Calculation Sheet'!$C$4:$C$40,$BJ22-3)),IF(OR($BI22=1,$BL22=1,$BH22&gt;0),"–",""))</f>
        <v>51511</v>
      </c>
      <c r="I23" s="70">
        <f>IF($BJ22&gt;0,IF(INDEX('Final Calculation Sheet'!$H$4:$H$40,$BJ22-3)="","",INDEX('Final Calculation Sheet'!$H$4:$H$40,$BJ22-3)),IF(OR($BI22=1,$BL22=1,$BH22&gt;0),IF($BI22=1,SUM('Final Calculation Sheet'!$H$4:$H$40),IF($BL22=1,SUM('Final Calculation Sheet'!$H$4:$H$40)-SUMIFS('Final Calculation Sheet'!$H$4:$H$40,$AZ$5:$AZ$41,10),SUMIFS('Final Calculation Sheet'!$H$4:$H$40,$AZ$5:$AZ$41,$BH22))),""))</f>
        <v>206044</v>
      </c>
      <c r="J23" s="70">
        <f>IF($BJ22&gt;0,IF(INDEX('Final Calculation Sheet'!$I$4:$I$40,$BJ22-3)="","",INDEX('Final Calculation Sheet'!$I$4:$I$40,$BJ22-3)),IF(OR($BI22=1,$BL22=1,$BH22&gt;0),IF($BI22=1,SUM('Final Calculation Sheet'!$I$4:$I$40),IF($BL22=1,SUM('Final Calculation Sheet'!$I$4:$I$40)-SUMIFS('Final Calculation Sheet'!$I$4:$I$40,$AZ$5:$AZ$41,10),SUMIFS('Final Calculation Sheet'!$I$4:$I$40,$AZ$5:$AZ$41,$BH22))),""))</f>
        <v>37088</v>
      </c>
      <c r="K23" s="70">
        <f>IF($BJ22&gt;0,IF(INDEX('Final Calculation Sheet'!$J$4:$J$40,$BJ22-3)="","",INDEX('Final Calculation Sheet'!$J$4:$J$40,$BJ22-3)),IF(OR($BI22=1,$BL22=1,$BH22&gt;0),IF($BI22=1,SUM('Final Calculation Sheet'!$J$4:$J$40),IF($BL22=1,SUM('Final Calculation Sheet'!$J$4:$J$40)-SUMIFS('Final Calculation Sheet'!$J$4:$J$40,$AZ$5:$AZ$41,10),SUMIFS('Final Calculation Sheet'!$J$4:$J$40,$AZ$5:$AZ$41,$BH22))),""))</f>
        <v>243132</v>
      </c>
      <c r="L23" s="70">
        <f>IF($BJ22&gt;0,IF(INDEX('Final Calculation Sheet'!$K$4:$K$40,$BJ22-3)="","",INDEX('Final Calculation Sheet'!$K$4:$K$40,$BJ22-3)),IF(OR($BI22=1,$BL22=1,$BH22&gt;0),IF($BI22=1,SUM('Final Calculation Sheet'!$K$4:$K$40),IF($BL22=1,SUM('Final Calculation Sheet'!$K$4:$K$40)-SUMIFS('Final Calculation Sheet'!$K$4:$K$40,$AZ$5:$AZ$41,10),SUMIFS('Final Calculation Sheet'!$K$4:$K$40,$AZ$5:$AZ$41,$BH22))),""))</f>
        <v>4863</v>
      </c>
      <c r="M23" s="70">
        <f>IF($BJ22&gt;0,IF(INDEX('Final Calculation Sheet'!$L$4:$L$40,$BJ22-3)="","",INDEX('Final Calculation Sheet'!$L$4:$L$40,$BJ22-3)),IF(OR($BI22=1,$BL22=1,$BH22&gt;0),IF($BI22=1,SUM('Final Calculation Sheet'!$L$4:$L$40),IF($BL22=1,SUM('Final Calculation Sheet'!$L$4:$L$40)-SUMIFS('Final Calculation Sheet'!$L$4:$L$40,$AZ$5:$AZ$41,10),SUMIFS('Final Calculation Sheet'!$L$4:$L$40,$AZ$5:$AZ$41,$BH22))),""))</f>
        <v>206.04400000000001</v>
      </c>
      <c r="N23" s="70">
        <f>IF($BJ22&gt;0,IF(INDEX('Final Calculation Sheet'!$M$4:$M$40,$BJ22-3)="","",INDEX('Final Calculation Sheet'!$M$4:$M$40,$BJ22-3)),IF(OR($BI22=1,$BL22=1,$BH22&gt;0),IF($BI22=1,SUM('Final Calculation Sheet'!$M$4:$M$40),IF($BL22=1,SUM('Final Calculation Sheet'!$M$4:$M$40)-SUMIFS('Final Calculation Sheet'!$M$4:$M$40,$AZ$5:$AZ$41,10),SUMIFS('Final Calculation Sheet'!$M$4:$M$40,$AZ$5:$AZ$41,$BH22))),""))</f>
        <v>5470.4681999999993</v>
      </c>
      <c r="O23" s="71">
        <f>IF($BJ22&gt;0,IF(INDEX('Final Calculation Sheet'!$N$4:$N$40,$BJ22-3)="","",INDEX('Final Calculation Sheet'!$N$4:$N$40,$BJ22-3)),IF(OR($BI22=1,$BL22=1,$BH22&gt;0),IF($BI22=1,SUM('Final Calculation Sheet'!$N$4:$N$40),IF($BL22=1,SUM('Final Calculation Sheet'!$N$4:$N$40)-SUMIFS('Final Calculation Sheet'!$N$4:$N$40,$AZ$5:$AZ$41,10),SUMIFS('Final Calculation Sheet'!$N$4:$N$40,$AZ$5:$AZ$41,$BH22))),""))</f>
        <v>92.719799999999992</v>
      </c>
      <c r="P23" s="70">
        <f>IF($BJ22&gt;0,IF(INDEX('Final Calculation Sheet'!$O$4:$O$40,$BJ22-3)="","",INDEX('Final Calculation Sheet'!$O$4:$O$40,$BJ22-3)),IF(OR($BI22=1,$BL22=1,$BH22&gt;0),IF($BI22=1,SUM('Final Calculation Sheet'!$O$4:$O$40),IF($BL22=1,SUM('Final Calculation Sheet'!$O$4:$O$40)-SUMIFS('Final Calculation Sheet'!$O$4:$O$40,$AZ$5:$AZ$41,10),SUMIFS('Final Calculation Sheet'!$O$4:$O$40,$AZ$5:$AZ$41,$BH22))),""))</f>
        <v>5377.7483999999995</v>
      </c>
      <c r="Q23" s="70">
        <f>IF($BJ22&gt;0,IF(INDEX('Final Calculation Sheet'!$P$4:$P$40,$BJ22-3)="","",INDEX('Final Calculation Sheet'!$P$4:$P$40,$BJ22-3)),IF(OR($BI22=1,$BL22=1,$BH22&gt;0),IF($BI22=1,SUM('Final Calculation Sheet'!$P$4:$P$40),IF($BL22=1,SUM('Final Calculation Sheet'!$P$4:$P$40)-SUMIFS('Final Calculation Sheet'!$P$4:$P$40,$AZ$5:$AZ$41,10),SUMIFS('Final Calculation Sheet'!$P$4:$P$40,$AZ$5:$AZ$41,$BH22))),""))</f>
        <v>5584</v>
      </c>
      <c r="R23" s="72">
        <f>IF($BJ22&gt;0,IF(INDEX('Final Calculation Sheet'!$Q$4:$Q$40,$BJ22-3)="","",INDEX('Final Calculation Sheet'!$Q$4:$Q$40,$BJ22-3)),IF(OR($BI22=1,$BL22=1,$BH22&gt;0),"–",""))</f>
        <v>0</v>
      </c>
      <c r="S23" s="70">
        <f>IF($BJ22&gt;0,IF(INDEX('Final Calculation Sheet'!$R$4:$R$40,$BJ22-3)="","",INDEX('Final Calculation Sheet'!$R$4:$R$40,$BJ22-3)),IF(OR($BI22=1,$BL22=1,$BH22&gt;0),IF($BI22=1,SUM('Final Calculation Sheet'!$R$4:$R$40),IF($BL22=1,SUM('Final Calculation Sheet'!$R$4:$R$40)-SUMIFS('Final Calculation Sheet'!$R$4:$R$40,$AZ$5:$AZ$41,10),SUMIFS('Final Calculation Sheet'!$R$4:$R$40,$AZ$5:$AZ$41,$BH22))),""))</f>
        <v>0</v>
      </c>
      <c r="T23" s="70">
        <f>IF($BJ22&gt;0,IF(INDEX('Final Calculation Sheet'!$S$4:$S$40,$BJ22-3)="","",INDEX('Final Calculation Sheet'!$S$4:$S$40,$BJ22-3)),IF(OR($BI22=1,$BL22=1,$BH22&gt;0),IF($BI22=1,SUM('Final Calculation Sheet'!$S$4:$S$40),IF($BL22=1,SUM('Final Calculation Sheet'!$S$4:$S$40)-SUMIFS('Final Calculation Sheet'!$S$4:$S$40,$AZ$5:$AZ$41,10),SUMIFS('Final Calculation Sheet'!$S$4:$S$40,$AZ$5:$AZ$41,$BH22))),""))</f>
        <v>242411</v>
      </c>
      <c r="U23" s="70">
        <f>IF($BJ22&gt;0,IF(INDEX('Final Calculation Sheet'!$T$4:$T$40,$BJ22-3)="","",INDEX('Final Calculation Sheet'!$T$4:$T$40,$BJ22-3)),IF(OR($BI22=1,$BL22=1,$BH22&gt;0),IF($BI22=1,SUM('Final Calculation Sheet'!$T$4:$T$40),IF($BL22=1,SUM('Final Calculation Sheet'!$T$4:$T$40)-SUMIFS('Final Calculation Sheet'!$T$4:$T$40,$AZ$5:$AZ$41,10),SUMIFS('Final Calculation Sheet'!$T$4:$T$40,$AZ$5:$AZ$41,$BH22))),""))</f>
        <v>51511</v>
      </c>
      <c r="V23" s="73">
        <f>IF($BJ22&gt;0,IF(INDEX('Final Calculation Sheet'!$U$4:$U$40,$BJ22-3)="","",INDEX('Final Calculation Sheet'!$U$4:$U$40,$BJ22-3)),IF(OR($BI22=1,$BL22=1,$BH22&gt;0),IF($BI22=1,SUM('Final Calculation Sheet'!$U$4:$U$40),IF($BL22=1,SUM('Final Calculation Sheet'!$U$4:$U$40)-SUMIFS('Final Calculation Sheet'!$U$4:$U$40,$AZ$5:$AZ$41,10),SUMIFS('Final Calculation Sheet'!$U$4:$U$40,$AZ$5:$AZ$41,$BH22))),""))</f>
        <v>51511</v>
      </c>
      <c r="W23" s="70" t="str">
        <f>IF($BJ22&gt;0,IF(INDEX('Final Calculation Sheet'!$V$4:$V$40,$BJ22-3)="","",INDEX('Final Calculation Sheet'!$V$4:$V$40,$BJ22-3)),IF(OR($BI22=1,$BL22=1,$BH22&gt;0),"–",""))</f>
        <v>13.08.2026</v>
      </c>
      <c r="X23" s="70">
        <f>IF($BJ22&gt;0,IF(INDEX('Final Calculation Sheet'!$W$4:$W$40,$BJ22-3)="","",INDEX('Final Calculation Sheet'!$W$4:$W$40,$BJ22-3)),IF(OR($BI22=1,$BL22=1,$BH22&gt;0),IF($BI22=1,SUM('Final Calculation Sheet'!$W$4:$W$40),IF($BL22=1,SUM('Final Calculation Sheet'!$W$4:$W$40)-SUMIFS('Final Calculation Sheet'!$W$4:$W$40,$AZ$5:$AZ$41,10),SUMIFS('Final Calculation Sheet'!$W$4:$W$40,$AZ$5:$AZ$41,$BH22))),""))</f>
        <v>190900</v>
      </c>
      <c r="Y23" s="70">
        <f>IF($BJ22&gt;0,IF(INDEX('Final Calculation Sheet'!$X$4:$X$40,$BJ22-3)="","",INDEX('Final Calculation Sheet'!$X$4:$X$40,$BJ22-3)),IF(OR($BI22=1,$BL22=1,$BH22&gt;0),IF($BI22=1,SUM('Final Calculation Sheet'!$X$4:$X$40),IF($BL22=1,SUM('Final Calculation Sheet'!$X$4:$X$40)-SUMIFS('Final Calculation Sheet'!$X$4:$X$40,$AZ$5:$AZ$41,10),SUMIFS('Final Calculation Sheet'!$X$4:$X$40,$AZ$5:$AZ$41,$BH22))),""))</f>
        <v>190900</v>
      </c>
      <c r="Z23" s="70" t="str">
        <f>IF($BJ22&gt;0,IF(INDEX('Final Calculation Sheet'!$Y$4:$Y$40,$BJ22-3)="","",INDEX('Final Calculation Sheet'!$Y$4:$Y$40,$BJ22-3)),IF(OR($BI22=1,$BL22=1,$BH22&gt;0),"–",""))</f>
        <v>24.08.2026</v>
      </c>
      <c r="AA23" s="70">
        <f ca="1">IF($BJ22&gt;0,IF(INDEX('Final Calculation Sheet'!$Z$4:$Z$40,$BJ22-3)="","",INDEX('Final Calculation Sheet'!$Z$4:$Z$40,$BJ22-3)),IF(OR($BI22=1,$BL22=1,$BH22&gt;0),IF($BI22=1,SUM('Final Calculation Sheet'!$Z$4:$Z$40),IF($BL22=1,SUM('Final Calculation Sheet'!$Z$4:$Z$40)-SUMIFS('Final Calculation Sheet'!$Z$4:$Z$40,$AZ$5:$AZ$41,10),SUMIFS('Final Calculation Sheet'!$Z$4:$Z$40,$AZ$5:$AZ$41,$BH22))),""))</f>
        <v>0</v>
      </c>
      <c r="AB23" s="70" t="str">
        <f>IF($BJ22&gt;0,IF(INDEX('Final Calculation Sheet'!$AA$4:$AA$40,$BJ22-3)="","",INDEX('Final Calculation Sheet'!$AA$4:$AA$40,$BJ22-3)),IF(OR($BI22=1,$BL22=1,$BH22&gt;0),IF($BI22=1,SUM('Final Calculation Sheet'!$AA$4:$AA$40),IF($BL22=1,SUM('Final Calculation Sheet'!$AA$4:$AA$40)-SUMIFS('Final Calculation Sheet'!$AA$4:$AA$40,$AZ$5:$AZ$41,10),SUMIFS('Final Calculation Sheet'!$AA$4:$AA$40,$AZ$5:$AZ$41,$BH22))),""))</f>
        <v/>
      </c>
      <c r="AC23" s="70" t="str">
        <f>IF($BJ22&gt;0,IF(INDEX('Final Calculation Sheet'!$AB$4:$AB$40,$BJ22-3)="","",INDEX('Final Calculation Sheet'!$AB$4:$AB$40,$BJ22-3)),IF(OR($BI22=1,$BL22=1,$BH22&gt;0),"–",""))</f>
        <v/>
      </c>
      <c r="AD23" s="70">
        <f>IF($BJ22&gt;0,IF(INDEX('Final Calculation Sheet'!$AC$4:$AC$40,$BJ22-3)="","",INDEX('Final Calculation Sheet'!$AC$4:$AC$40,$BJ22-3)),IF(OR($BI22=1,$BL22=1,$BH22&gt;0),IF($BI22=1,SUM('Final Calculation Sheet'!$AC$4:$AC$40),IF($BL22=1,SUM('Final Calculation Sheet'!$AC$4:$AC$40)-SUMIFS('Final Calculation Sheet'!$AC$4:$AC$40,$AZ$5:$AZ$41,10),SUMIFS('Final Calculation Sheet'!$AC$4:$AC$40,$AZ$5:$AZ$41,$BH22))),""))</f>
        <v>242411</v>
      </c>
      <c r="AE23" s="70">
        <f>IF($BJ22&gt;0,IF(INDEX('Final Calculation Sheet'!$AD$4:$AD$40,$BJ22-3)="","",INDEX('Final Calculation Sheet'!$AD$4:$AD$40,$BJ22-3)),IF(OR($BI22=1,$BL22=1,$BH22&gt;0),IF($BI22=1,SUM('Final Calculation Sheet'!$AD$4:$AD$40),IF($BL22=1,SUM('Final Calculation Sheet'!$AD$4:$AD$40)-SUMIFS('Final Calculation Sheet'!$AD$4:$AD$40,$AZ$5:$AZ$41,10),SUMIFS('Final Calculation Sheet'!$AD$4:$AD$40,$AZ$5:$AZ$41,$BH22))),""))</f>
        <v>0</v>
      </c>
      <c r="AF23" s="70" t="str">
        <f>IF($BJ22&gt;0,IF(INDEX('Final Calculation Sheet'!$AE$4:$AE$40,$BJ22-3)="","",INDEX('Final Calculation Sheet'!$AE$4:$AE$40,$BJ22-3)),IF(OR($BI22=1,$BL22=1,$BH22&gt;0),"–",""))</f>
        <v>DR2640100031</v>
      </c>
      <c r="AG23" s="74">
        <f>IF($BJ22&gt;0,IF(INDEX('Final Calculation Sheet'!$AF$4:$AF$40,$BJ22-3)="","",INDEX('Final Calculation Sheet'!$AF$4:$AF$40,$BJ22-3)),IF(OR($BI22=1,$BL22=1,$BH22&gt;0),"–",""))</f>
        <v>1800003303</v>
      </c>
      <c r="AH23" s="70" t="str">
        <f>IF($BJ22&gt;0,IF(INDEX('Final Calculation Sheet'!$AG$4:$AG$40,$BJ22-3)="","",INDEX('Final Calculation Sheet'!$AG$4:$AG$40,$BJ22-3)),IF(OR($BI22=1,$BL22=1,$BH22&gt;0),"–",""))</f>
        <v>27.08.2026</v>
      </c>
      <c r="AI23" s="75" t="str">
        <f>IF($BJ22&gt;0,IF(INDEX('Final Calculation Sheet'!$AD$4:$AD$40,$BJ22-3)="","",IF(INDEX('Final Calculation Sheet'!$AD$4:$AD$40,$BJ22-3)&lt;=0,"SETTLED","OUTSTANDING")),IF(OR($BI22=1,$BL22=1,$BH22&gt;0),IF(IF($BI22=1,SUM('Final Calculation Sheet'!$AD$4:$AD$40),IF($BL22=1,SUM('Final Calculation Sheet'!$AD$4:$AD$40)-SUMIFS('Final Calculation Sheet'!$AD$4:$AD$40,$AZ$5:$AZ$41,10),SUMIFS('Final Calculation Sheet'!$AD$4:$AD$40,$AZ$5:$AZ$41,$BH22)))&lt;=0,"ALL SETTLED","OUTSTANDING"),""))</f>
        <v>SETTLED</v>
      </c>
      <c r="AK23" t="str">
        <f>IF($F$3="Lot No.",'Final Calculation Sheet'!$F$22,IF($F$3="Buyer",'Final Calculation Sheet'!$G$22,IF($F$3="Lot Name",'Final Calculation Sheet'!$B$22,IF($F$3="Bid Sheet",'Final Calculation Sheet'!$D$22,IF($F$3="Unit",'Final Calculation Sheet'!$E$22,'Final Calculation Sheet'!$F$22&amp;" "&amp;'Final Calculation Sheet'!$G$22&amp;" "&amp;'Final Calculation Sheet'!$B$22)))))</f>
        <v>2023 NATIONAL ENTERPRISES Scrap of 132 KV CT</v>
      </c>
      <c r="AM23">
        <f t="shared" si="1"/>
        <v>0</v>
      </c>
      <c r="AZ23">
        <f t="shared" si="2"/>
        <v>10</v>
      </c>
      <c r="BA23">
        <f t="shared" si="3"/>
        <v>15</v>
      </c>
      <c r="BB23">
        <f t="shared" si="4"/>
        <v>31</v>
      </c>
      <c r="BC23">
        <v>22</v>
      </c>
      <c r="BH23">
        <f>IFERROR(MATCH(23,$BF$4:$BF$13,0),0)</f>
        <v>0</v>
      </c>
      <c r="BI23">
        <f>IF(23=$BG$5,1,0)</f>
        <v>0</v>
      </c>
      <c r="BJ23">
        <f>IF(OR($BH23&gt;0,$BI23=1,$BL23=1),0,IFERROR(INDEX($BC$5:$BC$41,MATCH(23,$BB$5:$BB$41,0)),0))</f>
        <v>11</v>
      </c>
      <c r="BK23">
        <f>IF($BJ23&gt;0,IF(INDEX($AZ$5:$AZ$41,MATCH(23,$BB$5:$BB$41,0))=10,1,0),IF($BH23=10,1,0))</f>
        <v>1</v>
      </c>
      <c r="BL23">
        <f>IF(23=$BG$4,1,0)</f>
        <v>0</v>
      </c>
      <c r="BM23">
        <f>IF($A$4="",1,--(AND(SUMPRODUCT(--($AS$60:$AZ$60&lt;&gt;""))&gt;0,IF(COUNTIF($BI$60:$BP$60,1)=0,TRUE,SUMPRODUCT(($BI$60:$BP$60=1)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$60,2)=0,TRUE,SUMPRODUCT(($BI$60:$BP$60=2)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$60,3)=0,TRUE,SUMPRODUCT(($BI$60:$BP$60=3)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$60,4)=0,TRUE,SUMPRODUCT(($BI$60:$BP$60=4)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$60,5)=0,TRUE,SUMPRODUCT(($BI$60:$BP$60=5)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$60,6)=0,TRUE,SUMPRODUCT(($BI$60:$BP$60=6)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$60,7)=0,TRUE,SUMPRODUCT(($BI$60:$BP$60=7)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$60,8)=0,TRUE,SUMPRODUCT(($BI$60:$BP$60=8)*($AS$60:$AZ$60&lt;&gt;"")*IF(((UPPER($AS$60:$AZ$60)="BLANK")+(UPPER($AS$60:$AZ$60)="(BLANK)")+(UPPER($AS$60:$AZ$60)="EMPTY")+(UPPER($AS$60:$AZ$60)="(EMPTY)"))&gt;0,IFERROR((ROW()-4)&amp;"","")="",ISNUMBER(SEARCH($AS$60:$AZ$60,IFERROR((ROW()-4)&amp;"","")))))&gt;0))))</f>
        <v>1</v>
      </c>
      <c r="BN23">
        <f>IF($B$4="",1,--(AND(SUMPRODUCT(--($AS$61:$AZ$61&lt;&gt;""))&gt;0,IF(COUNTIF($BI$61:$BP$61,1)=0,TRUE,SUMPRODUCT(($BI$61:$BP$61=1)*($AS$61:$AZ$61&lt;&gt;"")*IF(((UPPER($AS$61:$AZ$61)="BLANK")+(UPPER($AS$61:$AZ$61)="(BLANK)")+(UPPER($AS$61:$AZ$61)="EMPTY")+(UPPER($AS$61:$AZ$61)="(EMPTY)"))&gt;0,IFERROR(('Final Calculation Sheet'!$F$22)&amp;"","")="",ISNUMBER(SEARCH($AS$61:$AZ$61,IFERROR(('Final Calculation Sheet'!$F$22)&amp;"","")))))&gt;0),IF(COUNTIF($BI$61:$BP$61,2)=0,TRUE,SUMPRODUCT(($BI$61:$BP$61=2)*($AS$61:$AZ$61&lt;&gt;"")*IF(((UPPER($AS$61:$AZ$61)="BLANK")+(UPPER($AS$61:$AZ$61)="(BLANK)")+(UPPER($AS$61:$AZ$61)="EMPTY")+(UPPER($AS$61:$AZ$61)="(EMPTY)"))&gt;0,IFERROR(('Final Calculation Sheet'!$F$22)&amp;"","")="",ISNUMBER(SEARCH($AS$61:$AZ$61,IFERROR(('Final Calculation Sheet'!$F$22)&amp;"","")))))&gt;0),IF(COUNTIF($BI$61:$BP$61,3)=0,TRUE,SUMPRODUCT(($BI$61:$BP$61=3)*($AS$61:$AZ$61&lt;&gt;"")*IF(((UPPER($AS$61:$AZ$61)="BLANK")+(UPPER($AS$61:$AZ$61)="(BLANK)")+(UPPER($AS$61:$AZ$61)="EMPTY")+(UPPER($AS$61:$AZ$61)="(EMPTY)"))&gt;0,IFERROR(('Final Calculation Sheet'!$F$22)&amp;"","")="",ISNUMBER(SEARCH($AS$61:$AZ$61,IFERROR(('Final Calculation Sheet'!$F$22)&amp;"","")))))&gt;0),IF(COUNTIF($BI$61:$BP$61,4)=0,TRUE,SUMPRODUCT(($BI$61:$BP$61=4)*($AS$61:$AZ$61&lt;&gt;"")*IF(((UPPER($AS$61:$AZ$61)="BLANK")+(UPPER($AS$61:$AZ$61)="(BLANK)")+(UPPER($AS$61:$AZ$61)="EMPTY")+(UPPER($AS$61:$AZ$61)="(EMPTY)"))&gt;0,IFERROR(('Final Calculation Sheet'!$F$22)&amp;"","")="",ISNUMBER(SEARCH($AS$61:$AZ$61,IFERROR(('Final Calculation Sheet'!$F$22)&amp;"","")))))&gt;0),IF(COUNTIF($BI$61:$BP$61,5)=0,TRUE,SUMPRODUCT(($BI$61:$BP$61=5)*($AS$61:$AZ$61&lt;&gt;"")*IF(((UPPER($AS$61:$AZ$61)="BLANK")+(UPPER($AS$61:$AZ$61)="(BLANK)")+(UPPER($AS$61:$AZ$61)="EMPTY")+(UPPER($AS$61:$AZ$61)="(EMPTY)"))&gt;0,IFERROR(('Final Calculation Sheet'!$F$22)&amp;"","")="",ISNUMBER(SEARCH($AS$61:$AZ$61,IFERROR(('Final Calculation Sheet'!$F$22)&amp;"","")))))&gt;0),IF(COUNTIF($BI$61:$BP$61,6)=0,TRUE,SUMPRODUCT(($BI$61:$BP$61=6)*($AS$61:$AZ$61&lt;&gt;"")*IF(((UPPER($AS$61:$AZ$61)="BLANK")+(UPPER($AS$61:$AZ$61)="(BLANK)")+(UPPER($AS$61:$AZ$61)="EMPTY")+(UPPER($AS$61:$AZ$61)="(EMPTY)"))&gt;0,IFERROR(('Final Calculation Sheet'!$F$22)&amp;"","")="",ISNUMBER(SEARCH($AS$61:$AZ$61,IFERROR(('Final Calculation Sheet'!$F$22)&amp;"","")))))&gt;0),IF(COUNTIF($BI$61:$BP$61,7)=0,TRUE,SUMPRODUCT(($BI$61:$BP$61=7)*($AS$61:$AZ$61&lt;&gt;"")*IF(((UPPER($AS$61:$AZ$61)="BLANK")+(UPPER($AS$61:$AZ$61)="(BLANK)")+(UPPER($AS$61:$AZ$61)="EMPTY")+(UPPER($AS$61:$AZ$61)="(EMPTY)"))&gt;0,IFERROR(('Final Calculation Sheet'!$F$22)&amp;"","")="",ISNUMBER(SEARCH($AS$61:$AZ$61,IFERROR(('Final Calculation Sheet'!$F$22)&amp;"","")))))&gt;0),IF(COUNTIF($BI$61:$BP$61,8)=0,TRUE,SUMPRODUCT(($BI$61:$BP$61=8)*($AS$61:$AZ$61&lt;&gt;"")*IF(((UPPER($AS$61:$AZ$61)="BLANK")+(UPPER($AS$61:$AZ$61)="(BLANK)")+(UPPER($AS$61:$AZ$61)="EMPTY")+(UPPER($AS$61:$AZ$61)="(EMPTY)"))&gt;0,IFERROR(('Final Calculation Sheet'!$F$22)&amp;"","")="",ISNUMBER(SEARCH($AS$61:$AZ$61,IFERROR(('Final Calculation Sheet'!$F$22)&amp;"","")))))&gt;0))))</f>
        <v>1</v>
      </c>
      <c r="BO23">
        <f>IF($C$4="",1,--(AND(SUMPRODUCT(--($AS$62:$AZ$62&lt;&gt;""))&gt;0,IF(COUNTIF($BI$62:$BP$62,1)=0,TRUE,SUMPRODUCT(($BI$62:$BP$62=1)*($AS$62:$AZ$62&lt;&gt;"")*IF(((UPPER($AS$62:$AZ$62)="BLANK")+(UPPER($AS$62:$AZ$62)="(BLANK)")+(UPPER($AS$62:$AZ$62)="EMPTY")+(UPPER($AS$62:$AZ$62)="(EMPTY)"))&gt;0,IFERROR(('Final Calculation Sheet'!$G$22)&amp;"","")="",ISNUMBER(SEARCH($AS$62:$AZ$62,IFERROR(('Final Calculation Sheet'!$G$22)&amp;"","")))))&gt;0),IF(COUNTIF($BI$62:$BP$62,2)=0,TRUE,SUMPRODUCT(($BI$62:$BP$62=2)*($AS$62:$AZ$62&lt;&gt;"")*IF(((UPPER($AS$62:$AZ$62)="BLANK")+(UPPER($AS$62:$AZ$62)="(BLANK)")+(UPPER($AS$62:$AZ$62)="EMPTY")+(UPPER($AS$62:$AZ$62)="(EMPTY)"))&gt;0,IFERROR(('Final Calculation Sheet'!$G$22)&amp;"","")="",ISNUMBER(SEARCH($AS$62:$AZ$62,IFERROR(('Final Calculation Sheet'!$G$22)&amp;"","")))))&gt;0),IF(COUNTIF($BI$62:$BP$62,3)=0,TRUE,SUMPRODUCT(($BI$62:$BP$62=3)*($AS$62:$AZ$62&lt;&gt;"")*IF(((UPPER($AS$62:$AZ$62)="BLANK")+(UPPER($AS$62:$AZ$62)="(BLANK)")+(UPPER($AS$62:$AZ$62)="EMPTY")+(UPPER($AS$62:$AZ$62)="(EMPTY)"))&gt;0,IFERROR(('Final Calculation Sheet'!$G$22)&amp;"","")="",ISNUMBER(SEARCH($AS$62:$AZ$62,IFERROR(('Final Calculation Sheet'!$G$22)&amp;"","")))))&gt;0),IF(COUNTIF($BI$62:$BP$62,4)=0,TRUE,SUMPRODUCT(($BI$62:$BP$62=4)*($AS$62:$AZ$62&lt;&gt;"")*IF(((UPPER($AS$62:$AZ$62)="BLANK")+(UPPER($AS$62:$AZ$62)="(BLANK)")+(UPPER($AS$62:$AZ$62)="EMPTY")+(UPPER($AS$62:$AZ$62)="(EMPTY)"))&gt;0,IFERROR(('Final Calculation Sheet'!$G$22)&amp;"","")="",ISNUMBER(SEARCH($AS$62:$AZ$62,IFERROR(('Final Calculation Sheet'!$G$22)&amp;"","")))))&gt;0),IF(COUNTIF($BI$62:$BP$62,5)=0,TRUE,SUMPRODUCT(($BI$62:$BP$62=5)*($AS$62:$AZ$62&lt;&gt;"")*IF(((UPPER($AS$62:$AZ$62)="BLANK")+(UPPER($AS$62:$AZ$62)="(BLANK)")+(UPPER($AS$62:$AZ$62)="EMPTY")+(UPPER($AS$62:$AZ$62)="(EMPTY)"))&gt;0,IFERROR(('Final Calculation Sheet'!$G$22)&amp;"","")="",ISNUMBER(SEARCH($AS$62:$AZ$62,IFERROR(('Final Calculation Sheet'!$G$22)&amp;"","")))))&gt;0),IF(COUNTIF($BI$62:$BP$62,6)=0,TRUE,SUMPRODUCT(($BI$62:$BP$62=6)*($AS$62:$AZ$62&lt;&gt;"")*IF(((UPPER($AS$62:$AZ$62)="BLANK")+(UPPER($AS$62:$AZ$62)="(BLANK)")+(UPPER($AS$62:$AZ$62)="EMPTY")+(UPPER($AS$62:$AZ$62)="(EMPTY)"))&gt;0,IFERROR(('Final Calculation Sheet'!$G$22)&amp;"","")="",ISNUMBER(SEARCH($AS$62:$AZ$62,IFERROR(('Final Calculation Sheet'!$G$22)&amp;"","")))))&gt;0),IF(COUNTIF($BI$62:$BP$62,7)=0,TRUE,SUMPRODUCT(($BI$62:$BP$62=7)*($AS$62:$AZ$62&lt;&gt;"")*IF(((UPPER($AS$62:$AZ$62)="BLANK")+(UPPER($AS$62:$AZ$62)="(BLANK)")+(UPPER($AS$62:$AZ$62)="EMPTY")+(UPPER($AS$62:$AZ$62)="(EMPTY)"))&gt;0,IFERROR(('Final Calculation Sheet'!$G$22)&amp;"","")="",ISNUMBER(SEARCH($AS$62:$AZ$62,IFERROR(('Final Calculation Sheet'!$G$22)&amp;"","")))))&gt;0),IF(COUNTIF($BI$62:$BP$62,8)=0,TRUE,SUMPRODUCT(($BI$62:$BP$62=8)*($AS$62:$AZ$62&lt;&gt;"")*IF(((UPPER($AS$62:$AZ$62)="BLANK")+(UPPER($AS$62:$AZ$62)="(BLANK)")+(UPPER($AS$62:$AZ$62)="EMPTY")+(UPPER($AS$62:$AZ$62)="(EMPTY)"))&gt;0,IFERROR(('Final Calculation Sheet'!$G$22)&amp;"","")="",ISNUMBER(SEARCH($AS$62:$AZ$62,IFERROR(('Final Calculation Sheet'!$G$22)&amp;"","")))))&gt;0))))</f>
        <v>1</v>
      </c>
      <c r="BP23">
        <f>IF($D$4="",1,--(AND(SUMPRODUCT(--($AS$63:$AZ$63&lt;&gt;""))&gt;0,IF(COUNTIF($BI$63:$BP$63,1)=0,TRUE,SUMPRODUCT(($BI$63:$BP$63=1)*($AS$63:$AZ$63&lt;&gt;"")*IF(((UPPER($AS$63:$AZ$63)="BLANK")+(UPPER($AS$63:$AZ$63)="(BLANK)")+(UPPER($AS$63:$AZ$63)="EMPTY")+(UPPER($AS$63:$AZ$63)="(EMPTY)"))&gt;0,IFERROR(('Final Calculation Sheet'!$B$22)&amp;"","")="",ISNUMBER(SEARCH($AS$63:$AZ$63,IFERROR(('Final Calculation Sheet'!$B$22)&amp;"","")))))&gt;0),IF(COUNTIF($BI$63:$BP$63,2)=0,TRUE,SUMPRODUCT(($BI$63:$BP$63=2)*($AS$63:$AZ$63&lt;&gt;"")*IF(((UPPER($AS$63:$AZ$63)="BLANK")+(UPPER($AS$63:$AZ$63)="(BLANK)")+(UPPER($AS$63:$AZ$63)="EMPTY")+(UPPER($AS$63:$AZ$63)="(EMPTY)"))&gt;0,IFERROR(('Final Calculation Sheet'!$B$22)&amp;"","")="",ISNUMBER(SEARCH($AS$63:$AZ$63,IFERROR(('Final Calculation Sheet'!$B$22)&amp;"","")))))&gt;0),IF(COUNTIF($BI$63:$BP$63,3)=0,TRUE,SUMPRODUCT(($BI$63:$BP$63=3)*($AS$63:$AZ$63&lt;&gt;"")*IF(((UPPER($AS$63:$AZ$63)="BLANK")+(UPPER($AS$63:$AZ$63)="(BLANK)")+(UPPER($AS$63:$AZ$63)="EMPTY")+(UPPER($AS$63:$AZ$63)="(EMPTY)"))&gt;0,IFERROR(('Final Calculation Sheet'!$B$22)&amp;"","")="",ISNUMBER(SEARCH($AS$63:$AZ$63,IFERROR(('Final Calculation Sheet'!$B$22)&amp;"","")))))&gt;0),IF(COUNTIF($BI$63:$BP$63,4)=0,TRUE,SUMPRODUCT(($BI$63:$BP$63=4)*($AS$63:$AZ$63&lt;&gt;"")*IF(((UPPER($AS$63:$AZ$63)="BLANK")+(UPPER($AS$63:$AZ$63)="(BLANK)")+(UPPER($AS$63:$AZ$63)="EMPTY")+(UPPER($AS$63:$AZ$63)="(EMPTY)"))&gt;0,IFERROR(('Final Calculation Sheet'!$B$22)&amp;"","")="",ISNUMBER(SEARCH($AS$63:$AZ$63,IFERROR(('Final Calculation Sheet'!$B$22)&amp;"","")))))&gt;0),IF(COUNTIF($BI$63:$BP$63,5)=0,TRUE,SUMPRODUCT(($BI$63:$BP$63=5)*($AS$63:$AZ$63&lt;&gt;"")*IF(((UPPER($AS$63:$AZ$63)="BLANK")+(UPPER($AS$63:$AZ$63)="(BLANK)")+(UPPER($AS$63:$AZ$63)="EMPTY")+(UPPER($AS$63:$AZ$63)="(EMPTY)"))&gt;0,IFERROR(('Final Calculation Sheet'!$B$22)&amp;"","")="",ISNUMBER(SEARCH($AS$63:$AZ$63,IFERROR(('Final Calculation Sheet'!$B$22)&amp;"","")))))&gt;0),IF(COUNTIF($BI$63:$BP$63,6)=0,TRUE,SUMPRODUCT(($BI$63:$BP$63=6)*($AS$63:$AZ$63&lt;&gt;"")*IF(((UPPER($AS$63:$AZ$63)="BLANK")+(UPPER($AS$63:$AZ$63)="(BLANK)")+(UPPER($AS$63:$AZ$63)="EMPTY")+(UPPER($AS$63:$AZ$63)="(EMPTY)"))&gt;0,IFERROR(('Final Calculation Sheet'!$B$22)&amp;"","")="",ISNUMBER(SEARCH($AS$63:$AZ$63,IFERROR(('Final Calculation Sheet'!$B$22)&amp;"","")))))&gt;0),IF(COUNTIF($BI$63:$BP$63,7)=0,TRUE,SUMPRODUCT(($BI$63:$BP$63=7)*($AS$63:$AZ$63&lt;&gt;"")*IF(((UPPER($AS$63:$AZ$63)="BLANK")+(UPPER($AS$63:$AZ$63)="(BLANK)")+(UPPER($AS$63:$AZ$63)="EMPTY")+(UPPER($AS$63:$AZ$63)="(EMPTY)"))&gt;0,IFERROR(('Final Calculation Sheet'!$B$22)&amp;"","")="",ISNUMBER(SEARCH($AS$63:$AZ$63,IFERROR(('Final Calculation Sheet'!$B$22)&amp;"","")))))&gt;0),IF(COUNTIF($BI$63:$BP$63,8)=0,TRUE,SUMPRODUCT(($BI$63:$BP$63=8)*($AS$63:$AZ$63&lt;&gt;"")*IF(((UPPER($AS$63:$AZ$63)="BLANK")+(UPPER($AS$63:$AZ$63)="(BLANK)")+(UPPER($AS$63:$AZ$63)="EMPTY")+(UPPER($AS$63:$AZ$63)="(EMPTY)"))&gt;0,IFERROR(('Final Calculation Sheet'!$B$22)&amp;"","")="",ISNUMBER(SEARCH($AS$63:$AZ$63,IFERROR(('Final Calculation Sheet'!$B$22)&amp;"","")))))&gt;0))))</f>
        <v>1</v>
      </c>
      <c r="BQ23">
        <f>IF($E$4="",1,--(AND(SUMPRODUCT(--($AS$64:$AZ$64&lt;&gt;""))&gt;0,IF(COUNTIF($BI$64:$BP$64,1)=0,TRUE,SUMPRODUCT(($BI$64:$BP$64=1)*($AS$64:$AZ$64&lt;&gt;"")*IF(((UPPER($AS$64:$AZ$64)="BLANK")+(UPPER($AS$64:$AZ$64)="(BLANK)")+(UPPER($AS$64:$AZ$64)="EMPTY")+(UPPER($AS$64:$AZ$64)="(EMPTY)"))&gt;0,IFERROR(('Final Calculation Sheet'!$D$22)&amp;"","")="",ISNUMBER(SEARCH($AS$64:$AZ$64,IFERROR(('Final Calculation Sheet'!$D$22)&amp;"","")))))&gt;0),IF(COUNTIF($BI$64:$BP$64,2)=0,TRUE,SUMPRODUCT(($BI$64:$BP$64=2)*($AS$64:$AZ$64&lt;&gt;"")*IF(((UPPER($AS$64:$AZ$64)="BLANK")+(UPPER($AS$64:$AZ$64)="(BLANK)")+(UPPER($AS$64:$AZ$64)="EMPTY")+(UPPER($AS$64:$AZ$64)="(EMPTY)"))&gt;0,IFERROR(('Final Calculation Sheet'!$D$22)&amp;"","")="",ISNUMBER(SEARCH($AS$64:$AZ$64,IFERROR(('Final Calculation Sheet'!$D$22)&amp;"","")))))&gt;0),IF(COUNTIF($BI$64:$BP$64,3)=0,TRUE,SUMPRODUCT(($BI$64:$BP$64=3)*($AS$64:$AZ$64&lt;&gt;"")*IF(((UPPER($AS$64:$AZ$64)="BLANK")+(UPPER($AS$64:$AZ$64)="(BLANK)")+(UPPER($AS$64:$AZ$64)="EMPTY")+(UPPER($AS$64:$AZ$64)="(EMPTY)"))&gt;0,IFERROR(('Final Calculation Sheet'!$D$22)&amp;"","")="",ISNUMBER(SEARCH($AS$64:$AZ$64,IFERROR(('Final Calculation Sheet'!$D$22)&amp;"","")))))&gt;0),IF(COUNTIF($BI$64:$BP$64,4)=0,TRUE,SUMPRODUCT(($BI$64:$BP$64=4)*($AS$64:$AZ$64&lt;&gt;"")*IF(((UPPER($AS$64:$AZ$64)="BLANK")+(UPPER($AS$64:$AZ$64)="(BLANK)")+(UPPER($AS$64:$AZ$64)="EMPTY")+(UPPER($AS$64:$AZ$64)="(EMPTY)"))&gt;0,IFERROR(('Final Calculation Sheet'!$D$22)&amp;"","")="",ISNUMBER(SEARCH($AS$64:$AZ$64,IFERROR(('Final Calculation Sheet'!$D$22)&amp;"","")))))&gt;0),IF(COUNTIF($BI$64:$BP$64,5)=0,TRUE,SUMPRODUCT(($BI$64:$BP$64=5)*($AS$64:$AZ$64&lt;&gt;"")*IF(((UPPER($AS$64:$AZ$64)="BLANK")+(UPPER($AS$64:$AZ$64)="(BLANK)")+(UPPER($AS$64:$AZ$64)="EMPTY")+(UPPER($AS$64:$AZ$64)="(EMPTY)"))&gt;0,IFERROR(('Final Calculation Sheet'!$D$22)&amp;"","")="",ISNUMBER(SEARCH($AS$64:$AZ$64,IFERROR(('Final Calculation Sheet'!$D$22)&amp;"","")))))&gt;0),IF(COUNTIF($BI$64:$BP$64,6)=0,TRUE,SUMPRODUCT(($BI$64:$BP$64=6)*($AS$64:$AZ$64&lt;&gt;"")*IF(((UPPER($AS$64:$AZ$64)="BLANK")+(UPPER($AS$64:$AZ$64)="(BLANK)")+(UPPER($AS$64:$AZ$64)="EMPTY")+(UPPER($AS$64:$AZ$64)="(EMPTY)"))&gt;0,IFERROR(('Final Calculation Sheet'!$D$22)&amp;"","")="",ISNUMBER(SEARCH($AS$64:$AZ$64,IFERROR(('Final Calculation Sheet'!$D$22)&amp;"","")))))&gt;0),IF(COUNTIF($BI$64:$BP$64,7)=0,TRUE,SUMPRODUCT(($BI$64:$BP$64=7)*($AS$64:$AZ$64&lt;&gt;"")*IF(((UPPER($AS$64:$AZ$64)="BLANK")+(UPPER($AS$64:$AZ$64)="(BLANK)")+(UPPER($AS$64:$AZ$64)="EMPTY")+(UPPER($AS$64:$AZ$64)="(EMPTY)"))&gt;0,IFERROR(('Final Calculation Sheet'!$D$22)&amp;"","")="",ISNUMBER(SEARCH($AS$64:$AZ$64,IFERROR(('Final Calculation Sheet'!$D$22)&amp;"","")))))&gt;0),IF(COUNTIF($BI$64:$BP$64,8)=0,TRUE,SUMPRODUCT(($BI$64:$BP$64=8)*($AS$64:$AZ$64&lt;&gt;"")*IF(((UPPER($AS$64:$AZ$64)="BLANK")+(UPPER($AS$64:$AZ$64)="(BLANK)")+(UPPER($AS$64:$AZ$64)="EMPTY")+(UPPER($AS$64:$AZ$64)="(EMPTY)"))&gt;0,IFERROR(('Final Calculation Sheet'!$D$22)&amp;"","")="",ISNUMBER(SEARCH($AS$64:$AZ$64,IFERROR(('Final Calculation Sheet'!$D$22)&amp;"","")))))&gt;0))))</f>
        <v>1</v>
      </c>
      <c r="BR23">
        <f>IF($F$4="",1,--(AND(SUMPRODUCT(--($AS$65:$AZ$65&lt;&gt;""))&gt;0,IF(COUNTIF($BI$65:$BP$65,1)=0,TRUE,SUMPRODUCT(($BI$65:$BP$65=1)*($AS$65:$AZ$65&lt;&gt;"")*IF(((UPPER($AS$65:$AZ$65)="BLANK")+(UPPER($AS$65:$AZ$65)="(BLANK)")+(UPPER($AS$65:$AZ$65)="EMPTY")+(UPPER($AS$65:$AZ$65)="(EMPTY)"))&gt;0,IFERROR(('Final Calculation Sheet'!$A$22)&amp;"","")="",ISNUMBER(SEARCH($AS$65:$AZ$65,IFERROR(('Final Calculation Sheet'!$A$22)&amp;"","")))))&gt;0),IF(COUNTIF($BI$65:$BP$65,2)=0,TRUE,SUMPRODUCT(($BI$65:$BP$65=2)*($AS$65:$AZ$65&lt;&gt;"")*IF(((UPPER($AS$65:$AZ$65)="BLANK")+(UPPER($AS$65:$AZ$65)="(BLANK)")+(UPPER($AS$65:$AZ$65)="EMPTY")+(UPPER($AS$65:$AZ$65)="(EMPTY)"))&gt;0,IFERROR(('Final Calculation Sheet'!$A$22)&amp;"","")="",ISNUMBER(SEARCH($AS$65:$AZ$65,IFERROR(('Final Calculation Sheet'!$A$22)&amp;"","")))))&gt;0),IF(COUNTIF($BI$65:$BP$65,3)=0,TRUE,SUMPRODUCT(($BI$65:$BP$65=3)*($AS$65:$AZ$65&lt;&gt;"")*IF(((UPPER($AS$65:$AZ$65)="BLANK")+(UPPER($AS$65:$AZ$65)="(BLANK)")+(UPPER($AS$65:$AZ$65)="EMPTY")+(UPPER($AS$65:$AZ$65)="(EMPTY)"))&gt;0,IFERROR(('Final Calculation Sheet'!$A$22)&amp;"","")="",ISNUMBER(SEARCH($AS$65:$AZ$65,IFERROR(('Final Calculation Sheet'!$A$22)&amp;"","")))))&gt;0),IF(COUNTIF($BI$65:$BP$65,4)=0,TRUE,SUMPRODUCT(($BI$65:$BP$65=4)*($AS$65:$AZ$65&lt;&gt;"")*IF(((UPPER($AS$65:$AZ$65)="BLANK")+(UPPER($AS$65:$AZ$65)="(BLANK)")+(UPPER($AS$65:$AZ$65)="EMPTY")+(UPPER($AS$65:$AZ$65)="(EMPTY)"))&gt;0,IFERROR(('Final Calculation Sheet'!$A$22)&amp;"","")="",ISNUMBER(SEARCH($AS$65:$AZ$65,IFERROR(('Final Calculation Sheet'!$A$22)&amp;"","")))))&gt;0),IF(COUNTIF($BI$65:$BP$65,5)=0,TRUE,SUMPRODUCT(($BI$65:$BP$65=5)*($AS$65:$AZ$65&lt;&gt;"")*IF(((UPPER($AS$65:$AZ$65)="BLANK")+(UPPER($AS$65:$AZ$65)="(BLANK)")+(UPPER($AS$65:$AZ$65)="EMPTY")+(UPPER($AS$65:$AZ$65)="(EMPTY)"))&gt;0,IFERROR(('Final Calculation Sheet'!$A$22)&amp;"","")="",ISNUMBER(SEARCH($AS$65:$AZ$65,IFERROR(('Final Calculation Sheet'!$A$22)&amp;"","")))))&gt;0),IF(COUNTIF($BI$65:$BP$65,6)=0,TRUE,SUMPRODUCT(($BI$65:$BP$65=6)*($AS$65:$AZ$65&lt;&gt;"")*IF(((UPPER($AS$65:$AZ$65)="BLANK")+(UPPER($AS$65:$AZ$65)="(BLANK)")+(UPPER($AS$65:$AZ$65)="EMPTY")+(UPPER($AS$65:$AZ$65)="(EMPTY)"))&gt;0,IFERROR(('Final Calculation Sheet'!$A$22)&amp;"","")="",ISNUMBER(SEARCH($AS$65:$AZ$65,IFERROR(('Final Calculation Sheet'!$A$22)&amp;"","")))))&gt;0),IF(COUNTIF($BI$65:$BP$65,7)=0,TRUE,SUMPRODUCT(($BI$65:$BP$65=7)*($AS$65:$AZ$65&lt;&gt;"")*IF(((UPPER($AS$65:$AZ$65)="BLANK")+(UPPER($AS$65:$AZ$65)="(BLANK)")+(UPPER($AS$65:$AZ$65)="EMPTY")+(UPPER($AS$65:$AZ$65)="(EMPTY)"))&gt;0,IFERROR(('Final Calculation Sheet'!$A$22)&amp;"","")="",ISNUMBER(SEARCH($AS$65:$AZ$65,IFERROR(('Final Calculation Sheet'!$A$22)&amp;"","")))))&gt;0),IF(COUNTIF($BI$65:$BP$65,8)=0,TRUE,SUMPRODUCT(($BI$65:$BP$65=8)*($AS$65:$AZ$65&lt;&gt;"")*IF(((UPPER($AS$65:$AZ$65)="BLANK")+(UPPER($AS$65:$AZ$65)="(BLANK)")+(UPPER($AS$65:$AZ$65)="EMPTY")+(UPPER($AS$65:$AZ$65)="(EMPTY)"))&gt;0,IFERROR(('Final Calculation Sheet'!$A$22)&amp;"","")="",ISNUMBER(SEARCH($AS$65:$AZ$65,IFERROR(('Final Calculation Sheet'!$A$22)&amp;"","")))))&gt;0))))</f>
        <v>1</v>
      </c>
      <c r="BS23">
        <f>IF($G$4="",1,--(AND(SUMPRODUCT(--($AS$66:$AZ$66&lt;&gt;""))&gt;0,IF(COUNTIF($BI$66:$BP$66,1)=0,TRUE,SUMPRODUCT(($BI$66:$BP$66=1)*($AS$66:$AZ$66&lt;&gt;"")*IF(((UPPER($AS$66:$AZ$66)="BLANK")+(UPPER($AS$66:$AZ$66)="(BLANK)")+(UPPER($AS$66:$AZ$66)="EMPTY")+(UPPER($AS$66:$AZ$66)="(EMPTY)"))&gt;0,IFERROR(('Final Calculation Sheet'!$E$22)&amp;"","")="",ISNUMBER(SEARCH($AS$66:$AZ$66,IFERROR(('Final Calculation Sheet'!$E$22)&amp;"","")))))&gt;0),IF(COUNTIF($BI$66:$BP$66,2)=0,TRUE,SUMPRODUCT(($BI$66:$BP$66=2)*($AS$66:$AZ$66&lt;&gt;"")*IF(((UPPER($AS$66:$AZ$66)="BLANK")+(UPPER($AS$66:$AZ$66)="(BLANK)")+(UPPER($AS$66:$AZ$66)="EMPTY")+(UPPER($AS$66:$AZ$66)="(EMPTY)"))&gt;0,IFERROR(('Final Calculation Sheet'!$E$22)&amp;"","")="",ISNUMBER(SEARCH($AS$66:$AZ$66,IFERROR(('Final Calculation Sheet'!$E$22)&amp;"","")))))&gt;0),IF(COUNTIF($BI$66:$BP$66,3)=0,TRUE,SUMPRODUCT(($BI$66:$BP$66=3)*($AS$66:$AZ$66&lt;&gt;"")*IF(((UPPER($AS$66:$AZ$66)="BLANK")+(UPPER($AS$66:$AZ$66)="(BLANK)")+(UPPER($AS$66:$AZ$66)="EMPTY")+(UPPER($AS$66:$AZ$66)="(EMPTY)"))&gt;0,IFERROR(('Final Calculation Sheet'!$E$22)&amp;"","")="",ISNUMBER(SEARCH($AS$66:$AZ$66,IFERROR(('Final Calculation Sheet'!$E$22)&amp;"","")))))&gt;0),IF(COUNTIF($BI$66:$BP$66,4)=0,TRUE,SUMPRODUCT(($BI$66:$BP$66=4)*($AS$66:$AZ$66&lt;&gt;"")*IF(((UPPER($AS$66:$AZ$66)="BLANK")+(UPPER($AS$66:$AZ$66)="(BLANK)")+(UPPER($AS$66:$AZ$66)="EMPTY")+(UPPER($AS$66:$AZ$66)="(EMPTY)"))&gt;0,IFERROR(('Final Calculation Sheet'!$E$22)&amp;"","")="",ISNUMBER(SEARCH($AS$66:$AZ$66,IFERROR(('Final Calculation Sheet'!$E$22)&amp;"","")))))&gt;0),IF(COUNTIF($BI$66:$BP$66,5)=0,TRUE,SUMPRODUCT(($BI$66:$BP$66=5)*($AS$66:$AZ$66&lt;&gt;"")*IF(((UPPER($AS$66:$AZ$66)="BLANK")+(UPPER($AS$66:$AZ$66)="(BLANK)")+(UPPER($AS$66:$AZ$66)="EMPTY")+(UPPER($AS$66:$AZ$66)="(EMPTY)"))&gt;0,IFERROR(('Final Calculation Sheet'!$E$22)&amp;"","")="",ISNUMBER(SEARCH($AS$66:$AZ$66,IFERROR(('Final Calculation Sheet'!$E$22)&amp;"","")))))&gt;0),IF(COUNTIF($BI$66:$BP$66,6)=0,TRUE,SUMPRODUCT(($BI$66:$BP$66=6)*($AS$66:$AZ$66&lt;&gt;"")*IF(((UPPER($AS$66:$AZ$66)="BLANK")+(UPPER($AS$66:$AZ$66)="(BLANK)")+(UPPER($AS$66:$AZ$66)="EMPTY")+(UPPER($AS$66:$AZ$66)="(EMPTY)"))&gt;0,IFERROR(('Final Calculation Sheet'!$E$22)&amp;"","")="",ISNUMBER(SEARCH($AS$66:$AZ$66,IFERROR(('Final Calculation Sheet'!$E$22)&amp;"","")))))&gt;0),IF(COUNTIF($BI$66:$BP$66,7)=0,TRUE,SUMPRODUCT(($BI$66:$BP$66=7)*($AS$66:$AZ$66&lt;&gt;"")*IF(((UPPER($AS$66:$AZ$66)="BLANK")+(UPPER($AS$66:$AZ$66)="(BLANK)")+(UPPER($AS$66:$AZ$66)="EMPTY")+(UPPER($AS$66:$AZ$66)="(EMPTY)"))&gt;0,IFERROR(('Final Calculation Sheet'!$E$22)&amp;"","")="",ISNUMBER(SEARCH($AS$66:$AZ$66,IFERROR(('Final Calculation Sheet'!$E$22)&amp;"","")))))&gt;0),IF(COUNTIF($BI$66:$BP$66,8)=0,TRUE,SUMPRODUCT(($BI$66:$BP$66=8)*($AS$66:$AZ$66&lt;&gt;"")*IF(((UPPER($AS$66:$AZ$66)="BLANK")+(UPPER($AS$66:$AZ$66)="(BLANK)")+(UPPER($AS$66:$AZ$66)="EMPTY")+(UPPER($AS$66:$AZ$66)="(EMPTY)"))&gt;0,IFERROR(('Final Calculation Sheet'!$E$22)&amp;"","")="",ISNUMBER(SEARCH($AS$66:$AZ$66,IFERROR(('Final Calculation Sheet'!$E$22)&amp;"","")))))&gt;0))))</f>
        <v>1</v>
      </c>
      <c r="BT23">
        <f>IF($H$4="",1,--(AND(SUMPRODUCT(--($AS$67:$AZ$67&lt;&gt;""))&gt;0,IF(COUNTIF($BI$67:$BP$67,1)=0,TRUE,SUMPRODUCT(($BI$67:$BP$67=1)*($AS$67:$AZ$67&lt;&gt;"")*IF(((UPPER($AS$67:$AZ$67)="BLANK")+(UPPER($AS$67:$AZ$67)="(BLANK)")+(UPPER($AS$67:$AZ$67)="EMPTY")+(UPPER($AS$67:$AZ$67)="(EMPTY)"))&gt;0,IFERROR(('Final Calculation Sheet'!$C$22)&amp;"","")="",ISNUMBER(SEARCH($AS$67:$AZ$67,IFERROR(('Final Calculation Sheet'!$C$22)&amp;"","")))))&gt;0),IF(COUNTIF($BI$67:$BP$67,2)=0,TRUE,SUMPRODUCT(($BI$67:$BP$67=2)*($AS$67:$AZ$67&lt;&gt;"")*IF(((UPPER($AS$67:$AZ$67)="BLANK")+(UPPER($AS$67:$AZ$67)="(BLANK)")+(UPPER($AS$67:$AZ$67)="EMPTY")+(UPPER($AS$67:$AZ$67)="(EMPTY)"))&gt;0,IFERROR(('Final Calculation Sheet'!$C$22)&amp;"","")="",ISNUMBER(SEARCH($AS$67:$AZ$67,IFERROR(('Final Calculation Sheet'!$C$22)&amp;"","")))))&gt;0),IF(COUNTIF($BI$67:$BP$67,3)=0,TRUE,SUMPRODUCT(($BI$67:$BP$67=3)*($AS$67:$AZ$67&lt;&gt;"")*IF(((UPPER($AS$67:$AZ$67)="BLANK")+(UPPER($AS$67:$AZ$67)="(BLANK)")+(UPPER($AS$67:$AZ$67)="EMPTY")+(UPPER($AS$67:$AZ$67)="(EMPTY)"))&gt;0,IFERROR(('Final Calculation Sheet'!$C$22)&amp;"","")="",ISNUMBER(SEARCH($AS$67:$AZ$67,IFERROR(('Final Calculation Sheet'!$C$22)&amp;"","")))))&gt;0),IF(COUNTIF($BI$67:$BP$67,4)=0,TRUE,SUMPRODUCT(($BI$67:$BP$67=4)*($AS$67:$AZ$67&lt;&gt;"")*IF(((UPPER($AS$67:$AZ$67)="BLANK")+(UPPER($AS$67:$AZ$67)="(BLANK)")+(UPPER($AS$67:$AZ$67)="EMPTY")+(UPPER($AS$67:$AZ$67)="(EMPTY)"))&gt;0,IFERROR(('Final Calculation Sheet'!$C$22)&amp;"","")="",ISNUMBER(SEARCH($AS$67:$AZ$67,IFERROR(('Final Calculation Sheet'!$C$22)&amp;"","")))))&gt;0),IF(COUNTIF($BI$67:$BP$67,5)=0,TRUE,SUMPRODUCT(($BI$67:$BP$67=5)*($AS$67:$AZ$67&lt;&gt;"")*IF(((UPPER($AS$67:$AZ$67)="BLANK")+(UPPER($AS$67:$AZ$67)="(BLANK)")+(UPPER($AS$67:$AZ$67)="EMPTY")+(UPPER($AS$67:$AZ$67)="(EMPTY)"))&gt;0,IFERROR(('Final Calculation Sheet'!$C$22)&amp;"","")="",ISNUMBER(SEARCH($AS$67:$AZ$67,IFERROR(('Final Calculation Sheet'!$C$22)&amp;"","")))))&gt;0),IF(COUNTIF($BI$67:$BP$67,6)=0,TRUE,SUMPRODUCT(($BI$67:$BP$67=6)*($AS$67:$AZ$67&lt;&gt;"")*IF(((UPPER($AS$67:$AZ$67)="BLANK")+(UPPER($AS$67:$AZ$67)="(BLANK)")+(UPPER($AS$67:$AZ$67)="EMPTY")+(UPPER($AS$67:$AZ$67)="(EMPTY)"))&gt;0,IFERROR(('Final Calculation Sheet'!$C$22)&amp;"","")="",ISNUMBER(SEARCH($AS$67:$AZ$67,IFERROR(('Final Calculation Sheet'!$C$22)&amp;"","")))))&gt;0),IF(COUNTIF($BI$67:$BP$67,7)=0,TRUE,SUMPRODUCT(($BI$67:$BP$67=7)*($AS$67:$AZ$67&lt;&gt;"")*IF(((UPPER($AS$67:$AZ$67)="BLANK")+(UPPER($AS$67:$AZ$67)="(BLANK)")+(UPPER($AS$67:$AZ$67)="EMPTY")+(UPPER($AS$67:$AZ$67)="(EMPTY)"))&gt;0,IFERROR(('Final Calculation Sheet'!$C$22)&amp;"","")="",ISNUMBER(SEARCH($AS$67:$AZ$67,IFERROR(('Final Calculation Sheet'!$C$22)&amp;"","")))))&gt;0),IF(COUNTIF($BI$67:$BP$67,8)=0,TRUE,SUMPRODUCT(($BI$67:$BP$67=8)*($AS$67:$AZ$67&lt;&gt;"")*IF(((UPPER($AS$67:$AZ$67)="BLANK")+(UPPER($AS$67:$AZ$67)="(BLANK)")+(UPPER($AS$67:$AZ$67)="EMPTY")+(UPPER($AS$67:$AZ$67)="(EMPTY)"))&gt;0,IFERROR(('Final Calculation Sheet'!$C$22)&amp;"","")="",ISNUMBER(SEARCH($AS$67:$AZ$67,IFERROR(('Final Calculation Sheet'!$C$22)&amp;"","")))))&gt;0))))</f>
        <v>1</v>
      </c>
      <c r="BU23">
        <f>IF($I$4="",1,--(AND(SUMPRODUCT(--($AS$68:$AZ$68&lt;&gt;""))&gt;0,IF(COUNTIF($BI$68:$BP$68,1)=0,TRUE,SUMPRODUCT(($BI$68:$BP$68=1)*($AS$68:$AZ$68&lt;&gt;"")*IF(((UPPER($AS$68:$AZ$68)="BLANK")+(UPPER($AS$68:$AZ$68)="(BLANK)")+(UPPER($AS$68:$AZ$68)="EMPTY")+(UPPER($AS$68:$AZ$68)="(EMPTY)"))&gt;0,IFERROR(('Final Calculation Sheet'!$H$22)&amp;"","")="",ISNUMBER(SEARCH($AS$68:$AZ$68,IFERROR(('Final Calculation Sheet'!$H$22)&amp;"","")))))&gt;0),IF(COUNTIF($BI$68:$BP$68,2)=0,TRUE,SUMPRODUCT(($BI$68:$BP$68=2)*($AS$68:$AZ$68&lt;&gt;"")*IF(((UPPER($AS$68:$AZ$68)="BLANK")+(UPPER($AS$68:$AZ$68)="(BLANK)")+(UPPER($AS$68:$AZ$68)="EMPTY")+(UPPER($AS$68:$AZ$68)="(EMPTY)"))&gt;0,IFERROR(('Final Calculation Sheet'!$H$22)&amp;"","")="",ISNUMBER(SEARCH($AS$68:$AZ$68,IFERROR(('Final Calculation Sheet'!$H$22)&amp;"","")))))&gt;0),IF(COUNTIF($BI$68:$BP$68,3)=0,TRUE,SUMPRODUCT(($BI$68:$BP$68=3)*($AS$68:$AZ$68&lt;&gt;"")*IF(((UPPER($AS$68:$AZ$68)="BLANK")+(UPPER($AS$68:$AZ$68)="(BLANK)")+(UPPER($AS$68:$AZ$68)="EMPTY")+(UPPER($AS$68:$AZ$68)="(EMPTY)"))&gt;0,IFERROR(('Final Calculation Sheet'!$H$22)&amp;"","")="",ISNUMBER(SEARCH($AS$68:$AZ$68,IFERROR(('Final Calculation Sheet'!$H$22)&amp;"","")))))&gt;0),IF(COUNTIF($BI$68:$BP$68,4)=0,TRUE,SUMPRODUCT(($BI$68:$BP$68=4)*($AS$68:$AZ$68&lt;&gt;"")*IF(((UPPER($AS$68:$AZ$68)="BLANK")+(UPPER($AS$68:$AZ$68)="(BLANK)")+(UPPER($AS$68:$AZ$68)="EMPTY")+(UPPER($AS$68:$AZ$68)="(EMPTY)"))&gt;0,IFERROR(('Final Calculation Sheet'!$H$22)&amp;"","")="",ISNUMBER(SEARCH($AS$68:$AZ$68,IFERROR(('Final Calculation Sheet'!$H$22)&amp;"","")))))&gt;0),IF(COUNTIF($BI$68:$BP$68,5)=0,TRUE,SUMPRODUCT(($BI$68:$BP$68=5)*($AS$68:$AZ$68&lt;&gt;"")*IF(((UPPER($AS$68:$AZ$68)="BLANK")+(UPPER($AS$68:$AZ$68)="(BLANK)")+(UPPER($AS$68:$AZ$68)="EMPTY")+(UPPER($AS$68:$AZ$68)="(EMPTY)"))&gt;0,IFERROR(('Final Calculation Sheet'!$H$22)&amp;"","")="",ISNUMBER(SEARCH($AS$68:$AZ$68,IFERROR(('Final Calculation Sheet'!$H$22)&amp;"","")))))&gt;0),IF(COUNTIF($BI$68:$BP$68,6)=0,TRUE,SUMPRODUCT(($BI$68:$BP$68=6)*($AS$68:$AZ$68&lt;&gt;"")*IF(((UPPER($AS$68:$AZ$68)="BLANK")+(UPPER($AS$68:$AZ$68)="(BLANK)")+(UPPER($AS$68:$AZ$68)="EMPTY")+(UPPER($AS$68:$AZ$68)="(EMPTY)"))&gt;0,IFERROR(('Final Calculation Sheet'!$H$22)&amp;"","")="",ISNUMBER(SEARCH($AS$68:$AZ$68,IFERROR(('Final Calculation Sheet'!$H$22)&amp;"","")))))&gt;0),IF(COUNTIF($BI$68:$BP$68,7)=0,TRUE,SUMPRODUCT(($BI$68:$BP$68=7)*($AS$68:$AZ$68&lt;&gt;"")*IF(((UPPER($AS$68:$AZ$68)="BLANK")+(UPPER($AS$68:$AZ$68)="(BLANK)")+(UPPER($AS$68:$AZ$68)="EMPTY")+(UPPER($AS$68:$AZ$68)="(EMPTY)"))&gt;0,IFERROR(('Final Calculation Sheet'!$H$22)&amp;"","")="",ISNUMBER(SEARCH($AS$68:$AZ$68,IFERROR(('Final Calculation Sheet'!$H$22)&amp;"","")))))&gt;0),IF(COUNTIF($BI$68:$BP$68,8)=0,TRUE,SUMPRODUCT(($BI$68:$BP$68=8)*($AS$68:$AZ$68&lt;&gt;"")*IF(((UPPER($AS$68:$AZ$68)="BLANK")+(UPPER($AS$68:$AZ$68)="(BLANK)")+(UPPER($AS$68:$AZ$68)="EMPTY")+(UPPER($AS$68:$AZ$68)="(EMPTY)"))&gt;0,IFERROR(('Final Calculation Sheet'!$H$22)&amp;"","")="",ISNUMBER(SEARCH($AS$68:$AZ$68,IFERROR(('Final Calculation Sheet'!$H$22)&amp;"","")))))&gt;0))))</f>
        <v>1</v>
      </c>
      <c r="BV23">
        <f>IF($J$4="",1,--(AND(SUMPRODUCT(--($AS$69:$AZ$69&lt;&gt;""))&gt;0,IF(COUNTIF($BI$69:$BP$69,1)=0,TRUE,SUMPRODUCT(($BI$69:$BP$69=1)*($AS$69:$AZ$69&lt;&gt;"")*IF(((UPPER($AS$69:$AZ$69)="BLANK")+(UPPER($AS$69:$AZ$69)="(BLANK)")+(UPPER($AS$69:$AZ$69)="EMPTY")+(UPPER($AS$69:$AZ$69)="(EMPTY)"))&gt;0,IFERROR(('Final Calculation Sheet'!$I$22)&amp;"","")="",ISNUMBER(SEARCH($AS$69:$AZ$69,IFERROR(('Final Calculation Sheet'!$I$22)&amp;"","")))))&gt;0),IF(COUNTIF($BI$69:$BP$69,2)=0,TRUE,SUMPRODUCT(($BI$69:$BP$69=2)*($AS$69:$AZ$69&lt;&gt;"")*IF(((UPPER($AS$69:$AZ$69)="BLANK")+(UPPER($AS$69:$AZ$69)="(BLANK)")+(UPPER($AS$69:$AZ$69)="EMPTY")+(UPPER($AS$69:$AZ$69)="(EMPTY)"))&gt;0,IFERROR(('Final Calculation Sheet'!$I$22)&amp;"","")="",ISNUMBER(SEARCH($AS$69:$AZ$69,IFERROR(('Final Calculation Sheet'!$I$22)&amp;"","")))))&gt;0),IF(COUNTIF($BI$69:$BP$69,3)=0,TRUE,SUMPRODUCT(($BI$69:$BP$69=3)*($AS$69:$AZ$69&lt;&gt;"")*IF(((UPPER($AS$69:$AZ$69)="BLANK")+(UPPER($AS$69:$AZ$69)="(BLANK)")+(UPPER($AS$69:$AZ$69)="EMPTY")+(UPPER($AS$69:$AZ$69)="(EMPTY)"))&gt;0,IFERROR(('Final Calculation Sheet'!$I$22)&amp;"","")="",ISNUMBER(SEARCH($AS$69:$AZ$69,IFERROR(('Final Calculation Sheet'!$I$22)&amp;"","")))))&gt;0),IF(COUNTIF($BI$69:$BP$69,4)=0,TRUE,SUMPRODUCT(($BI$69:$BP$69=4)*($AS$69:$AZ$69&lt;&gt;"")*IF(((UPPER($AS$69:$AZ$69)="BLANK")+(UPPER($AS$69:$AZ$69)="(BLANK)")+(UPPER($AS$69:$AZ$69)="EMPTY")+(UPPER($AS$69:$AZ$69)="(EMPTY)"))&gt;0,IFERROR(('Final Calculation Sheet'!$I$22)&amp;"","")="",ISNUMBER(SEARCH($AS$69:$AZ$69,IFERROR(('Final Calculation Sheet'!$I$22)&amp;"","")))))&gt;0),IF(COUNTIF($BI$69:$BP$69,5)=0,TRUE,SUMPRODUCT(($BI$69:$BP$69=5)*($AS$69:$AZ$69&lt;&gt;"")*IF(((UPPER($AS$69:$AZ$69)="BLANK")+(UPPER($AS$69:$AZ$69)="(BLANK)")+(UPPER($AS$69:$AZ$69)="EMPTY")+(UPPER($AS$69:$AZ$69)="(EMPTY)"))&gt;0,IFERROR(('Final Calculation Sheet'!$I$22)&amp;"","")="",ISNUMBER(SEARCH($AS$69:$AZ$69,IFERROR(('Final Calculation Sheet'!$I$22)&amp;"","")))))&gt;0),IF(COUNTIF($BI$69:$BP$69,6)=0,TRUE,SUMPRODUCT(($BI$69:$BP$69=6)*($AS$69:$AZ$69&lt;&gt;"")*IF(((UPPER($AS$69:$AZ$69)="BLANK")+(UPPER($AS$69:$AZ$69)="(BLANK)")+(UPPER($AS$69:$AZ$69)="EMPTY")+(UPPER($AS$69:$AZ$69)="(EMPTY)"))&gt;0,IFERROR(('Final Calculation Sheet'!$I$22)&amp;"","")="",ISNUMBER(SEARCH($AS$69:$AZ$69,IFERROR(('Final Calculation Sheet'!$I$22)&amp;"","")))))&gt;0),IF(COUNTIF($BI$69:$BP$69,7)=0,TRUE,SUMPRODUCT(($BI$69:$BP$69=7)*($AS$69:$AZ$69&lt;&gt;"")*IF(((UPPER($AS$69:$AZ$69)="BLANK")+(UPPER($AS$69:$AZ$69)="(BLANK)")+(UPPER($AS$69:$AZ$69)="EMPTY")+(UPPER($AS$69:$AZ$69)="(EMPTY)"))&gt;0,IFERROR(('Final Calculation Sheet'!$I$22)&amp;"","")="",ISNUMBER(SEARCH($AS$69:$AZ$69,IFERROR(('Final Calculation Sheet'!$I$22)&amp;"","")))))&gt;0),IF(COUNTIF($BI$69:$BP$69,8)=0,TRUE,SUMPRODUCT(($BI$69:$BP$69=8)*($AS$69:$AZ$69&lt;&gt;"")*IF(((UPPER($AS$69:$AZ$69)="BLANK")+(UPPER($AS$69:$AZ$69)="(BLANK)")+(UPPER($AS$69:$AZ$69)="EMPTY")+(UPPER($AS$69:$AZ$69)="(EMPTY)"))&gt;0,IFERROR(('Final Calculation Sheet'!$I$22)&amp;"","")="",ISNUMBER(SEARCH($AS$69:$AZ$69,IFERROR(('Final Calculation Sheet'!$I$22)&amp;"","")))))&gt;0))))</f>
        <v>1</v>
      </c>
      <c r="BW23">
        <f>IF($K$4="",1,--(AND(SUMPRODUCT(--($AS$70:$AZ$70&lt;&gt;""))&gt;0,IF(COUNTIF($BI$70:$BP$70,1)=0,TRUE,SUMPRODUCT(($BI$70:$BP$70=1)*($AS$70:$AZ$70&lt;&gt;"")*IF(((UPPER($AS$70:$AZ$70)="BLANK")+(UPPER($AS$70:$AZ$70)="(BLANK)")+(UPPER($AS$70:$AZ$70)="EMPTY")+(UPPER($AS$70:$AZ$70)="(EMPTY)"))&gt;0,IFERROR(('Final Calculation Sheet'!$J$22)&amp;"","")="",ISNUMBER(SEARCH($AS$70:$AZ$70,IFERROR(('Final Calculation Sheet'!$J$22)&amp;"","")))))&gt;0),IF(COUNTIF($BI$70:$BP$70,2)=0,TRUE,SUMPRODUCT(($BI$70:$BP$70=2)*($AS$70:$AZ$70&lt;&gt;"")*IF(((UPPER($AS$70:$AZ$70)="BLANK")+(UPPER($AS$70:$AZ$70)="(BLANK)")+(UPPER($AS$70:$AZ$70)="EMPTY")+(UPPER($AS$70:$AZ$70)="(EMPTY)"))&gt;0,IFERROR(('Final Calculation Sheet'!$J$22)&amp;"","")="",ISNUMBER(SEARCH($AS$70:$AZ$70,IFERROR(('Final Calculation Sheet'!$J$22)&amp;"","")))))&gt;0),IF(COUNTIF($BI$70:$BP$70,3)=0,TRUE,SUMPRODUCT(($BI$70:$BP$70=3)*($AS$70:$AZ$70&lt;&gt;"")*IF(((UPPER($AS$70:$AZ$70)="BLANK")+(UPPER($AS$70:$AZ$70)="(BLANK)")+(UPPER($AS$70:$AZ$70)="EMPTY")+(UPPER($AS$70:$AZ$70)="(EMPTY)"))&gt;0,IFERROR(('Final Calculation Sheet'!$J$22)&amp;"","")="",ISNUMBER(SEARCH($AS$70:$AZ$70,IFERROR(('Final Calculation Sheet'!$J$22)&amp;"","")))))&gt;0),IF(COUNTIF($BI$70:$BP$70,4)=0,TRUE,SUMPRODUCT(($BI$70:$BP$70=4)*($AS$70:$AZ$70&lt;&gt;"")*IF(((UPPER($AS$70:$AZ$70)="BLANK")+(UPPER($AS$70:$AZ$70)="(BLANK)")+(UPPER($AS$70:$AZ$70)="EMPTY")+(UPPER($AS$70:$AZ$70)="(EMPTY)"))&gt;0,IFERROR(('Final Calculation Sheet'!$J$22)&amp;"","")="",ISNUMBER(SEARCH($AS$70:$AZ$70,IFERROR(('Final Calculation Sheet'!$J$22)&amp;"","")))))&gt;0),IF(COUNTIF($BI$70:$BP$70,5)=0,TRUE,SUMPRODUCT(($BI$70:$BP$70=5)*($AS$70:$AZ$70&lt;&gt;"")*IF(((UPPER($AS$70:$AZ$70)="BLANK")+(UPPER($AS$70:$AZ$70)="(BLANK)")+(UPPER($AS$70:$AZ$70)="EMPTY")+(UPPER($AS$70:$AZ$70)="(EMPTY)"))&gt;0,IFERROR(('Final Calculation Sheet'!$J$22)&amp;"","")="",ISNUMBER(SEARCH($AS$70:$AZ$70,IFERROR(('Final Calculation Sheet'!$J$22)&amp;"","")))))&gt;0),IF(COUNTIF($BI$70:$BP$70,6)=0,TRUE,SUMPRODUCT(($BI$70:$BP$70=6)*($AS$70:$AZ$70&lt;&gt;"")*IF(((UPPER($AS$70:$AZ$70)="BLANK")+(UPPER($AS$70:$AZ$70)="(BLANK)")+(UPPER($AS$70:$AZ$70)="EMPTY")+(UPPER($AS$70:$AZ$70)="(EMPTY)"))&gt;0,IFERROR(('Final Calculation Sheet'!$J$22)&amp;"","")="",ISNUMBER(SEARCH($AS$70:$AZ$70,IFERROR(('Final Calculation Sheet'!$J$22)&amp;"","")))))&gt;0),IF(COUNTIF($BI$70:$BP$70,7)=0,TRUE,SUMPRODUCT(($BI$70:$BP$70=7)*($AS$70:$AZ$70&lt;&gt;"")*IF(((UPPER($AS$70:$AZ$70)="BLANK")+(UPPER($AS$70:$AZ$70)="(BLANK)")+(UPPER($AS$70:$AZ$70)="EMPTY")+(UPPER($AS$70:$AZ$70)="(EMPTY)"))&gt;0,IFERROR(('Final Calculation Sheet'!$J$22)&amp;"","")="",ISNUMBER(SEARCH($AS$70:$AZ$70,IFERROR(('Final Calculation Sheet'!$J$22)&amp;"","")))))&gt;0),IF(COUNTIF($BI$70:$BP$70,8)=0,TRUE,SUMPRODUCT(($BI$70:$BP$70=8)*($AS$70:$AZ$70&lt;&gt;"")*IF(((UPPER($AS$70:$AZ$70)="BLANK")+(UPPER($AS$70:$AZ$70)="(BLANK)")+(UPPER($AS$70:$AZ$70)="EMPTY")+(UPPER($AS$70:$AZ$70)="(EMPTY)"))&gt;0,IFERROR(('Final Calculation Sheet'!$J$22)&amp;"","")="",ISNUMBER(SEARCH($AS$70:$AZ$70,IFERROR(('Final Calculation Sheet'!$J$22)&amp;"","")))))&gt;0))))</f>
        <v>1</v>
      </c>
      <c r="BX23">
        <f>IF($L$4="",1,--(AND(SUMPRODUCT(--($AS$71:$AZ$71&lt;&gt;""))&gt;0,IF(COUNTIF($BI$71:$BP$71,1)=0,TRUE,SUMPRODUCT(($BI$71:$BP$71=1)*($AS$71:$AZ$71&lt;&gt;"")*IF(((UPPER($AS$71:$AZ$71)="BLANK")+(UPPER($AS$71:$AZ$71)="(BLANK)")+(UPPER($AS$71:$AZ$71)="EMPTY")+(UPPER($AS$71:$AZ$71)="(EMPTY)"))&gt;0,IFERROR(('Final Calculation Sheet'!$K$22)&amp;"","")="",ISNUMBER(SEARCH($AS$71:$AZ$71,IFERROR(('Final Calculation Sheet'!$K$22)&amp;"","")))))&gt;0),IF(COUNTIF($BI$71:$BP$71,2)=0,TRUE,SUMPRODUCT(($BI$71:$BP$71=2)*($AS$71:$AZ$71&lt;&gt;"")*IF(((UPPER($AS$71:$AZ$71)="BLANK")+(UPPER($AS$71:$AZ$71)="(BLANK)")+(UPPER($AS$71:$AZ$71)="EMPTY")+(UPPER($AS$71:$AZ$71)="(EMPTY)"))&gt;0,IFERROR(('Final Calculation Sheet'!$K$22)&amp;"","")="",ISNUMBER(SEARCH($AS$71:$AZ$71,IFERROR(('Final Calculation Sheet'!$K$22)&amp;"","")))))&gt;0),IF(COUNTIF($BI$71:$BP$71,3)=0,TRUE,SUMPRODUCT(($BI$71:$BP$71=3)*($AS$71:$AZ$71&lt;&gt;"")*IF(((UPPER($AS$71:$AZ$71)="BLANK")+(UPPER($AS$71:$AZ$71)="(BLANK)")+(UPPER($AS$71:$AZ$71)="EMPTY")+(UPPER($AS$71:$AZ$71)="(EMPTY)"))&gt;0,IFERROR(('Final Calculation Sheet'!$K$22)&amp;"","")="",ISNUMBER(SEARCH($AS$71:$AZ$71,IFERROR(('Final Calculation Sheet'!$K$22)&amp;"","")))))&gt;0),IF(COUNTIF($BI$71:$BP$71,4)=0,TRUE,SUMPRODUCT(($BI$71:$BP$71=4)*($AS$71:$AZ$71&lt;&gt;"")*IF(((UPPER($AS$71:$AZ$71)="BLANK")+(UPPER($AS$71:$AZ$71)="(BLANK)")+(UPPER($AS$71:$AZ$71)="EMPTY")+(UPPER($AS$71:$AZ$71)="(EMPTY)"))&gt;0,IFERROR(('Final Calculation Sheet'!$K$22)&amp;"","")="",ISNUMBER(SEARCH($AS$71:$AZ$71,IFERROR(('Final Calculation Sheet'!$K$22)&amp;"","")))))&gt;0),IF(COUNTIF($BI$71:$BP$71,5)=0,TRUE,SUMPRODUCT(($BI$71:$BP$71=5)*($AS$71:$AZ$71&lt;&gt;"")*IF(((UPPER($AS$71:$AZ$71)="BLANK")+(UPPER($AS$71:$AZ$71)="(BLANK)")+(UPPER($AS$71:$AZ$71)="EMPTY")+(UPPER($AS$71:$AZ$71)="(EMPTY)"))&gt;0,IFERROR(('Final Calculation Sheet'!$K$22)&amp;"","")="",ISNUMBER(SEARCH($AS$71:$AZ$71,IFERROR(('Final Calculation Sheet'!$K$22)&amp;"","")))))&gt;0),IF(COUNTIF($BI$71:$BP$71,6)=0,TRUE,SUMPRODUCT(($BI$71:$BP$71=6)*($AS$71:$AZ$71&lt;&gt;"")*IF(((UPPER($AS$71:$AZ$71)="BLANK")+(UPPER($AS$71:$AZ$71)="(BLANK)")+(UPPER($AS$71:$AZ$71)="EMPTY")+(UPPER($AS$71:$AZ$71)="(EMPTY)"))&gt;0,IFERROR(('Final Calculation Sheet'!$K$22)&amp;"","")="",ISNUMBER(SEARCH($AS$71:$AZ$71,IFERROR(('Final Calculation Sheet'!$K$22)&amp;"","")))))&gt;0),IF(COUNTIF($BI$71:$BP$71,7)=0,TRUE,SUMPRODUCT(($BI$71:$BP$71=7)*($AS$71:$AZ$71&lt;&gt;"")*IF(((UPPER($AS$71:$AZ$71)="BLANK")+(UPPER($AS$71:$AZ$71)="(BLANK)")+(UPPER($AS$71:$AZ$71)="EMPTY")+(UPPER($AS$71:$AZ$71)="(EMPTY)"))&gt;0,IFERROR(('Final Calculation Sheet'!$K$22)&amp;"","")="",ISNUMBER(SEARCH($AS$71:$AZ$71,IFERROR(('Final Calculation Sheet'!$K$22)&amp;"","")))))&gt;0),IF(COUNTIF($BI$71:$BP$71,8)=0,TRUE,SUMPRODUCT(($BI$71:$BP$71=8)*($AS$71:$AZ$71&lt;&gt;"")*IF(((UPPER($AS$71:$AZ$71)="BLANK")+(UPPER($AS$71:$AZ$71)="(BLANK)")+(UPPER($AS$71:$AZ$71)="EMPTY")+(UPPER($AS$71:$AZ$71)="(EMPTY)"))&gt;0,IFERROR(('Final Calculation Sheet'!$K$22)&amp;"","")="",ISNUMBER(SEARCH($AS$71:$AZ$71,IFERROR(('Final Calculation Sheet'!$K$22)&amp;"","")))))&gt;0))))</f>
        <v>1</v>
      </c>
      <c r="BY23">
        <f>IF($M$4="",1,--(AND(SUMPRODUCT(--($AS$72:$AZ$72&lt;&gt;""))&gt;0,IF(COUNTIF($BI$72:$BP$72,1)=0,TRUE,SUMPRODUCT(($BI$72:$BP$72=1)*($AS$72:$AZ$72&lt;&gt;"")*IF(((UPPER($AS$72:$AZ$72)="BLANK")+(UPPER($AS$72:$AZ$72)="(BLANK)")+(UPPER($AS$72:$AZ$72)="EMPTY")+(UPPER($AS$72:$AZ$72)="(EMPTY)"))&gt;0,IFERROR(('Final Calculation Sheet'!$L$22)&amp;"","")="",ISNUMBER(SEARCH($AS$72:$AZ$72,IFERROR(('Final Calculation Sheet'!$L$22)&amp;"","")))))&gt;0),IF(COUNTIF($BI$72:$BP$72,2)=0,TRUE,SUMPRODUCT(($BI$72:$BP$72=2)*($AS$72:$AZ$72&lt;&gt;"")*IF(((UPPER($AS$72:$AZ$72)="BLANK")+(UPPER($AS$72:$AZ$72)="(BLANK)")+(UPPER($AS$72:$AZ$72)="EMPTY")+(UPPER($AS$72:$AZ$72)="(EMPTY)"))&gt;0,IFERROR(('Final Calculation Sheet'!$L$22)&amp;"","")="",ISNUMBER(SEARCH($AS$72:$AZ$72,IFERROR(('Final Calculation Sheet'!$L$22)&amp;"","")))))&gt;0),IF(COUNTIF($BI$72:$BP$72,3)=0,TRUE,SUMPRODUCT(($BI$72:$BP$72=3)*($AS$72:$AZ$72&lt;&gt;"")*IF(((UPPER($AS$72:$AZ$72)="BLANK")+(UPPER($AS$72:$AZ$72)="(BLANK)")+(UPPER($AS$72:$AZ$72)="EMPTY")+(UPPER($AS$72:$AZ$72)="(EMPTY)"))&gt;0,IFERROR(('Final Calculation Sheet'!$L$22)&amp;"","")="",ISNUMBER(SEARCH($AS$72:$AZ$72,IFERROR(('Final Calculation Sheet'!$L$22)&amp;"","")))))&gt;0),IF(COUNTIF($BI$72:$BP$72,4)=0,TRUE,SUMPRODUCT(($BI$72:$BP$72=4)*($AS$72:$AZ$72&lt;&gt;"")*IF(((UPPER($AS$72:$AZ$72)="BLANK")+(UPPER($AS$72:$AZ$72)="(BLANK)")+(UPPER($AS$72:$AZ$72)="EMPTY")+(UPPER($AS$72:$AZ$72)="(EMPTY)"))&gt;0,IFERROR(('Final Calculation Sheet'!$L$22)&amp;"","")="",ISNUMBER(SEARCH($AS$72:$AZ$72,IFERROR(('Final Calculation Sheet'!$L$22)&amp;"","")))))&gt;0),IF(COUNTIF($BI$72:$BP$72,5)=0,TRUE,SUMPRODUCT(($BI$72:$BP$72=5)*($AS$72:$AZ$72&lt;&gt;"")*IF(((UPPER($AS$72:$AZ$72)="BLANK")+(UPPER($AS$72:$AZ$72)="(BLANK)")+(UPPER($AS$72:$AZ$72)="EMPTY")+(UPPER($AS$72:$AZ$72)="(EMPTY)"))&gt;0,IFERROR(('Final Calculation Sheet'!$L$22)&amp;"","")="",ISNUMBER(SEARCH($AS$72:$AZ$72,IFERROR(('Final Calculation Sheet'!$L$22)&amp;"","")))))&gt;0),IF(COUNTIF($BI$72:$BP$72,6)=0,TRUE,SUMPRODUCT(($BI$72:$BP$72=6)*($AS$72:$AZ$72&lt;&gt;"")*IF(((UPPER($AS$72:$AZ$72)="BLANK")+(UPPER($AS$72:$AZ$72)="(BLANK)")+(UPPER($AS$72:$AZ$72)="EMPTY")+(UPPER($AS$72:$AZ$72)="(EMPTY)"))&gt;0,IFERROR(('Final Calculation Sheet'!$L$22)&amp;"","")="",ISNUMBER(SEARCH($AS$72:$AZ$72,IFERROR(('Final Calculation Sheet'!$L$22)&amp;"","")))))&gt;0),IF(COUNTIF($BI$72:$BP$72,7)=0,TRUE,SUMPRODUCT(($BI$72:$BP$72=7)*($AS$72:$AZ$72&lt;&gt;"")*IF(((UPPER($AS$72:$AZ$72)="BLANK")+(UPPER($AS$72:$AZ$72)="(BLANK)")+(UPPER($AS$72:$AZ$72)="EMPTY")+(UPPER($AS$72:$AZ$72)="(EMPTY)"))&gt;0,IFERROR(('Final Calculation Sheet'!$L$22)&amp;"","")="",ISNUMBER(SEARCH($AS$72:$AZ$72,IFERROR(('Final Calculation Sheet'!$L$22)&amp;"","")))))&gt;0),IF(COUNTIF($BI$72:$BP$72,8)=0,TRUE,SUMPRODUCT(($BI$72:$BP$72=8)*($AS$72:$AZ$72&lt;&gt;"")*IF(((UPPER($AS$72:$AZ$72)="BLANK")+(UPPER($AS$72:$AZ$72)="(BLANK)")+(UPPER($AS$72:$AZ$72)="EMPTY")+(UPPER($AS$72:$AZ$72)="(EMPTY)"))&gt;0,IFERROR(('Final Calculation Sheet'!$L$22)&amp;"","")="",ISNUMBER(SEARCH($AS$72:$AZ$72,IFERROR(('Final Calculation Sheet'!$L$22)&amp;"","")))))&gt;0))))</f>
        <v>1</v>
      </c>
      <c r="BZ23">
        <f>IF($N$4="",1,--(AND(SUMPRODUCT(--($AS$73:$AZ$73&lt;&gt;""))&gt;0,IF(COUNTIF($BI$73:$BP$73,1)=0,TRUE,SUMPRODUCT(($BI$73:$BP$73=1)*($AS$73:$AZ$73&lt;&gt;"")*IF(((UPPER($AS$73:$AZ$73)="BLANK")+(UPPER($AS$73:$AZ$73)="(BLANK)")+(UPPER($AS$73:$AZ$73)="EMPTY")+(UPPER($AS$73:$AZ$73)="(EMPTY)"))&gt;0,IFERROR(('Final Calculation Sheet'!$M$22)&amp;"","")="",ISNUMBER(SEARCH($AS$73:$AZ$73,IFERROR(('Final Calculation Sheet'!$M$22)&amp;"","")))))&gt;0),IF(COUNTIF($BI$73:$BP$73,2)=0,TRUE,SUMPRODUCT(($BI$73:$BP$73=2)*($AS$73:$AZ$73&lt;&gt;"")*IF(((UPPER($AS$73:$AZ$73)="BLANK")+(UPPER($AS$73:$AZ$73)="(BLANK)")+(UPPER($AS$73:$AZ$73)="EMPTY")+(UPPER($AS$73:$AZ$73)="(EMPTY)"))&gt;0,IFERROR(('Final Calculation Sheet'!$M$22)&amp;"","")="",ISNUMBER(SEARCH($AS$73:$AZ$73,IFERROR(('Final Calculation Sheet'!$M$22)&amp;"","")))))&gt;0),IF(COUNTIF($BI$73:$BP$73,3)=0,TRUE,SUMPRODUCT(($BI$73:$BP$73=3)*($AS$73:$AZ$73&lt;&gt;"")*IF(((UPPER($AS$73:$AZ$73)="BLANK")+(UPPER($AS$73:$AZ$73)="(BLANK)")+(UPPER($AS$73:$AZ$73)="EMPTY")+(UPPER($AS$73:$AZ$73)="(EMPTY)"))&gt;0,IFERROR(('Final Calculation Sheet'!$M$22)&amp;"","")="",ISNUMBER(SEARCH($AS$73:$AZ$73,IFERROR(('Final Calculation Sheet'!$M$22)&amp;"","")))))&gt;0),IF(COUNTIF($BI$73:$BP$73,4)=0,TRUE,SUMPRODUCT(($BI$73:$BP$73=4)*($AS$73:$AZ$73&lt;&gt;"")*IF(((UPPER($AS$73:$AZ$73)="BLANK")+(UPPER($AS$73:$AZ$73)="(BLANK)")+(UPPER($AS$73:$AZ$73)="EMPTY")+(UPPER($AS$73:$AZ$73)="(EMPTY)"))&gt;0,IFERROR(('Final Calculation Sheet'!$M$22)&amp;"","")="",ISNUMBER(SEARCH($AS$73:$AZ$73,IFERROR(('Final Calculation Sheet'!$M$22)&amp;"","")))))&gt;0),IF(COUNTIF($BI$73:$BP$73,5)=0,TRUE,SUMPRODUCT(($BI$73:$BP$73=5)*($AS$73:$AZ$73&lt;&gt;"")*IF(((UPPER($AS$73:$AZ$73)="BLANK")+(UPPER($AS$73:$AZ$73)="(BLANK)")+(UPPER($AS$73:$AZ$73)="EMPTY")+(UPPER($AS$73:$AZ$73)="(EMPTY)"))&gt;0,IFERROR(('Final Calculation Sheet'!$M$22)&amp;"","")="",ISNUMBER(SEARCH($AS$73:$AZ$73,IFERROR(('Final Calculation Sheet'!$M$22)&amp;"","")))))&gt;0),IF(COUNTIF($BI$73:$BP$73,6)=0,TRUE,SUMPRODUCT(($BI$73:$BP$73=6)*($AS$73:$AZ$73&lt;&gt;"")*IF(((UPPER($AS$73:$AZ$73)="BLANK")+(UPPER($AS$73:$AZ$73)="(BLANK)")+(UPPER($AS$73:$AZ$73)="EMPTY")+(UPPER($AS$73:$AZ$73)="(EMPTY)"))&gt;0,IFERROR(('Final Calculation Sheet'!$M$22)&amp;"","")="",ISNUMBER(SEARCH($AS$73:$AZ$73,IFERROR(('Final Calculation Sheet'!$M$22)&amp;"","")))))&gt;0),IF(COUNTIF($BI$73:$BP$73,7)=0,TRUE,SUMPRODUCT(($BI$73:$BP$73=7)*($AS$73:$AZ$73&lt;&gt;"")*IF(((UPPER($AS$73:$AZ$73)="BLANK")+(UPPER($AS$73:$AZ$73)="(BLANK)")+(UPPER($AS$73:$AZ$73)="EMPTY")+(UPPER($AS$73:$AZ$73)="(EMPTY)"))&gt;0,IFERROR(('Final Calculation Sheet'!$M$22)&amp;"","")="",ISNUMBER(SEARCH($AS$73:$AZ$73,IFERROR(('Final Calculation Sheet'!$M$22)&amp;"","")))))&gt;0),IF(COUNTIF($BI$73:$BP$73,8)=0,TRUE,SUMPRODUCT(($BI$73:$BP$73=8)*($AS$73:$AZ$73&lt;&gt;"")*IF(((UPPER($AS$73:$AZ$73)="BLANK")+(UPPER($AS$73:$AZ$73)="(BLANK)")+(UPPER($AS$73:$AZ$73)="EMPTY")+(UPPER($AS$73:$AZ$73)="(EMPTY)"))&gt;0,IFERROR(('Final Calculation Sheet'!$M$22)&amp;"","")="",ISNUMBER(SEARCH($AS$73:$AZ$73,IFERROR(('Final Calculation Sheet'!$M$22)&amp;"","")))))&gt;0))))</f>
        <v>1</v>
      </c>
      <c r="CA23">
        <f>IF($O$4="",1,--(AND(SUMPRODUCT(--($AS$74:$AZ$74&lt;&gt;""))&gt;0,IF(COUNTIF($BI$74:$BP$74,1)=0,TRUE,SUMPRODUCT(($BI$74:$BP$74=1)*($AS$74:$AZ$74&lt;&gt;"")*IF(((UPPER($AS$74:$AZ$74)="BLANK")+(UPPER($AS$74:$AZ$74)="(BLANK)")+(UPPER($AS$74:$AZ$74)="EMPTY")+(UPPER($AS$74:$AZ$74)="(EMPTY)"))&gt;0,IFERROR(('Final Calculation Sheet'!$N$22)&amp;"","")="",ISNUMBER(SEARCH($AS$74:$AZ$74,IFERROR(('Final Calculation Sheet'!$N$22)&amp;"","")))))&gt;0),IF(COUNTIF($BI$74:$BP$74,2)=0,TRUE,SUMPRODUCT(($BI$74:$BP$74=2)*($AS$74:$AZ$74&lt;&gt;"")*IF(((UPPER($AS$74:$AZ$74)="BLANK")+(UPPER($AS$74:$AZ$74)="(BLANK)")+(UPPER($AS$74:$AZ$74)="EMPTY")+(UPPER($AS$74:$AZ$74)="(EMPTY)"))&gt;0,IFERROR(('Final Calculation Sheet'!$N$22)&amp;"","")="",ISNUMBER(SEARCH($AS$74:$AZ$74,IFERROR(('Final Calculation Sheet'!$N$22)&amp;"","")))))&gt;0),IF(COUNTIF($BI$74:$BP$74,3)=0,TRUE,SUMPRODUCT(($BI$74:$BP$74=3)*($AS$74:$AZ$74&lt;&gt;"")*IF(((UPPER($AS$74:$AZ$74)="BLANK")+(UPPER($AS$74:$AZ$74)="(BLANK)")+(UPPER($AS$74:$AZ$74)="EMPTY")+(UPPER($AS$74:$AZ$74)="(EMPTY)"))&gt;0,IFERROR(('Final Calculation Sheet'!$N$22)&amp;"","")="",ISNUMBER(SEARCH($AS$74:$AZ$74,IFERROR(('Final Calculation Sheet'!$N$22)&amp;"","")))))&gt;0),IF(COUNTIF($BI$74:$BP$74,4)=0,TRUE,SUMPRODUCT(($BI$74:$BP$74=4)*($AS$74:$AZ$74&lt;&gt;"")*IF(((UPPER($AS$74:$AZ$74)="BLANK")+(UPPER($AS$74:$AZ$74)="(BLANK)")+(UPPER($AS$74:$AZ$74)="EMPTY")+(UPPER($AS$74:$AZ$74)="(EMPTY)"))&gt;0,IFERROR(('Final Calculation Sheet'!$N$22)&amp;"","")="",ISNUMBER(SEARCH($AS$74:$AZ$74,IFERROR(('Final Calculation Sheet'!$N$22)&amp;"","")))))&gt;0),IF(COUNTIF($BI$74:$BP$74,5)=0,TRUE,SUMPRODUCT(($BI$74:$BP$74=5)*($AS$74:$AZ$74&lt;&gt;"")*IF(((UPPER($AS$74:$AZ$74)="BLANK")+(UPPER($AS$74:$AZ$74)="(BLANK)")+(UPPER($AS$74:$AZ$74)="EMPTY")+(UPPER($AS$74:$AZ$74)="(EMPTY)"))&gt;0,IFERROR(('Final Calculation Sheet'!$N$22)&amp;"","")="",ISNUMBER(SEARCH($AS$74:$AZ$74,IFERROR(('Final Calculation Sheet'!$N$22)&amp;"","")))))&gt;0),IF(COUNTIF($BI$74:$BP$74,6)=0,TRUE,SUMPRODUCT(($BI$74:$BP$74=6)*($AS$74:$AZ$74&lt;&gt;"")*IF(((UPPER($AS$74:$AZ$74)="BLANK")+(UPPER($AS$74:$AZ$74)="(BLANK)")+(UPPER($AS$74:$AZ$74)="EMPTY")+(UPPER($AS$74:$AZ$74)="(EMPTY)"))&gt;0,IFERROR(('Final Calculation Sheet'!$N$22)&amp;"","")="",ISNUMBER(SEARCH($AS$74:$AZ$74,IFERROR(('Final Calculation Sheet'!$N$22)&amp;"","")))))&gt;0),IF(COUNTIF($BI$74:$BP$74,7)=0,TRUE,SUMPRODUCT(($BI$74:$BP$74=7)*($AS$74:$AZ$74&lt;&gt;"")*IF(((UPPER($AS$74:$AZ$74)="BLANK")+(UPPER($AS$74:$AZ$74)="(BLANK)")+(UPPER($AS$74:$AZ$74)="EMPTY")+(UPPER($AS$74:$AZ$74)="(EMPTY)"))&gt;0,IFERROR(('Final Calculation Sheet'!$N$22)&amp;"","")="",ISNUMBER(SEARCH($AS$74:$AZ$74,IFERROR(('Final Calculation Sheet'!$N$22)&amp;"","")))))&gt;0),IF(COUNTIF($BI$74:$BP$74,8)=0,TRUE,SUMPRODUCT(($BI$74:$BP$74=8)*($AS$74:$AZ$74&lt;&gt;"")*IF(((UPPER($AS$74:$AZ$74)="BLANK")+(UPPER($AS$74:$AZ$74)="(BLANK)")+(UPPER($AS$74:$AZ$74)="EMPTY")+(UPPER($AS$74:$AZ$74)="(EMPTY)"))&gt;0,IFERROR(('Final Calculation Sheet'!$N$22)&amp;"","")="",ISNUMBER(SEARCH($AS$74:$AZ$74,IFERROR(('Final Calculation Sheet'!$N$22)&amp;"","")))))&gt;0))))</f>
        <v>1</v>
      </c>
      <c r="CB23">
        <f>IF($P$4="",1,--(AND(SUMPRODUCT(--($AS$75:$AZ$75&lt;&gt;""))&gt;0,IF(COUNTIF($BI$75:$BP$75,1)=0,TRUE,SUMPRODUCT(($BI$75:$BP$75=1)*($AS$75:$AZ$75&lt;&gt;"")*IF(((UPPER($AS$75:$AZ$75)="BLANK")+(UPPER($AS$75:$AZ$75)="(BLANK)")+(UPPER($AS$75:$AZ$75)="EMPTY")+(UPPER($AS$75:$AZ$75)="(EMPTY)"))&gt;0,IFERROR(('Final Calculation Sheet'!$O$22)&amp;"","")="",ISNUMBER(SEARCH($AS$75:$AZ$75,IFERROR(('Final Calculation Sheet'!$O$22)&amp;"","")))))&gt;0),IF(COUNTIF($BI$75:$BP$75,2)=0,TRUE,SUMPRODUCT(($BI$75:$BP$75=2)*($AS$75:$AZ$75&lt;&gt;"")*IF(((UPPER($AS$75:$AZ$75)="BLANK")+(UPPER($AS$75:$AZ$75)="(BLANK)")+(UPPER($AS$75:$AZ$75)="EMPTY")+(UPPER($AS$75:$AZ$75)="(EMPTY)"))&gt;0,IFERROR(('Final Calculation Sheet'!$O$22)&amp;"","")="",ISNUMBER(SEARCH($AS$75:$AZ$75,IFERROR(('Final Calculation Sheet'!$O$22)&amp;"","")))))&gt;0),IF(COUNTIF($BI$75:$BP$75,3)=0,TRUE,SUMPRODUCT(($BI$75:$BP$75=3)*($AS$75:$AZ$75&lt;&gt;"")*IF(((UPPER($AS$75:$AZ$75)="BLANK")+(UPPER($AS$75:$AZ$75)="(BLANK)")+(UPPER($AS$75:$AZ$75)="EMPTY")+(UPPER($AS$75:$AZ$75)="(EMPTY)"))&gt;0,IFERROR(('Final Calculation Sheet'!$O$22)&amp;"","")="",ISNUMBER(SEARCH($AS$75:$AZ$75,IFERROR(('Final Calculation Sheet'!$O$22)&amp;"","")))))&gt;0),IF(COUNTIF($BI$75:$BP$75,4)=0,TRUE,SUMPRODUCT(($BI$75:$BP$75=4)*($AS$75:$AZ$75&lt;&gt;"")*IF(((UPPER($AS$75:$AZ$75)="BLANK")+(UPPER($AS$75:$AZ$75)="(BLANK)")+(UPPER($AS$75:$AZ$75)="EMPTY")+(UPPER($AS$75:$AZ$75)="(EMPTY)"))&gt;0,IFERROR(('Final Calculation Sheet'!$O$22)&amp;"","")="",ISNUMBER(SEARCH($AS$75:$AZ$75,IFERROR(('Final Calculation Sheet'!$O$22)&amp;"","")))))&gt;0),IF(COUNTIF($BI$75:$BP$75,5)=0,TRUE,SUMPRODUCT(($BI$75:$BP$75=5)*($AS$75:$AZ$75&lt;&gt;"")*IF(((UPPER($AS$75:$AZ$75)="BLANK")+(UPPER($AS$75:$AZ$75)="(BLANK)")+(UPPER($AS$75:$AZ$75)="EMPTY")+(UPPER($AS$75:$AZ$75)="(EMPTY)"))&gt;0,IFERROR(('Final Calculation Sheet'!$O$22)&amp;"","")="",ISNUMBER(SEARCH($AS$75:$AZ$75,IFERROR(('Final Calculation Sheet'!$O$22)&amp;"","")))))&gt;0),IF(COUNTIF($BI$75:$BP$75,6)=0,TRUE,SUMPRODUCT(($BI$75:$BP$75=6)*($AS$75:$AZ$75&lt;&gt;"")*IF(((UPPER($AS$75:$AZ$75)="BLANK")+(UPPER($AS$75:$AZ$75)="(BLANK)")+(UPPER($AS$75:$AZ$75)="EMPTY")+(UPPER($AS$75:$AZ$75)="(EMPTY)"))&gt;0,IFERROR(('Final Calculation Sheet'!$O$22)&amp;"","")="",ISNUMBER(SEARCH($AS$75:$AZ$75,IFERROR(('Final Calculation Sheet'!$O$22)&amp;"","")))))&gt;0),IF(COUNTIF($BI$75:$BP$75,7)=0,TRUE,SUMPRODUCT(($BI$75:$BP$75=7)*($AS$75:$AZ$75&lt;&gt;"")*IF(((UPPER($AS$75:$AZ$75)="BLANK")+(UPPER($AS$75:$AZ$75)="(BLANK)")+(UPPER($AS$75:$AZ$75)="EMPTY")+(UPPER($AS$75:$AZ$75)="(EMPTY)"))&gt;0,IFERROR(('Final Calculation Sheet'!$O$22)&amp;"","")="",ISNUMBER(SEARCH($AS$75:$AZ$75,IFERROR(('Final Calculation Sheet'!$O$22)&amp;"","")))))&gt;0),IF(COUNTIF($BI$75:$BP$75,8)=0,TRUE,SUMPRODUCT(($BI$75:$BP$75=8)*($AS$75:$AZ$75&lt;&gt;"")*IF(((UPPER($AS$75:$AZ$75)="BLANK")+(UPPER($AS$75:$AZ$75)="(BLANK)")+(UPPER($AS$75:$AZ$75)="EMPTY")+(UPPER($AS$75:$AZ$75)="(EMPTY)"))&gt;0,IFERROR(('Final Calculation Sheet'!$O$22)&amp;"","")="",ISNUMBER(SEARCH($AS$75:$AZ$75,IFERROR(('Final Calculation Sheet'!$O$22)&amp;"","")))))&gt;0))))</f>
        <v>1</v>
      </c>
      <c r="CC23">
        <f>IF($Q$4="",1,--(AND(SUMPRODUCT(--($AS$76:$AZ$76&lt;&gt;""))&gt;0,IF(COUNTIF($BI$76:$BP$76,1)=0,TRUE,SUMPRODUCT(($BI$76:$BP$76=1)*($AS$76:$AZ$76&lt;&gt;"")*IF(((UPPER($AS$76:$AZ$76)="BLANK")+(UPPER($AS$76:$AZ$76)="(BLANK)")+(UPPER($AS$76:$AZ$76)="EMPTY")+(UPPER($AS$76:$AZ$76)="(EMPTY)"))&gt;0,IFERROR(('Final Calculation Sheet'!$P$22)&amp;"","")="",ISNUMBER(SEARCH($AS$76:$AZ$76,IFERROR(('Final Calculation Sheet'!$P$22)&amp;"","")))))&gt;0),IF(COUNTIF($BI$76:$BP$76,2)=0,TRUE,SUMPRODUCT(($BI$76:$BP$76=2)*($AS$76:$AZ$76&lt;&gt;"")*IF(((UPPER($AS$76:$AZ$76)="BLANK")+(UPPER($AS$76:$AZ$76)="(BLANK)")+(UPPER($AS$76:$AZ$76)="EMPTY")+(UPPER($AS$76:$AZ$76)="(EMPTY)"))&gt;0,IFERROR(('Final Calculation Sheet'!$P$22)&amp;"","")="",ISNUMBER(SEARCH($AS$76:$AZ$76,IFERROR(('Final Calculation Sheet'!$P$22)&amp;"","")))))&gt;0),IF(COUNTIF($BI$76:$BP$76,3)=0,TRUE,SUMPRODUCT(($BI$76:$BP$76=3)*($AS$76:$AZ$76&lt;&gt;"")*IF(((UPPER($AS$76:$AZ$76)="BLANK")+(UPPER($AS$76:$AZ$76)="(BLANK)")+(UPPER($AS$76:$AZ$76)="EMPTY")+(UPPER($AS$76:$AZ$76)="(EMPTY)"))&gt;0,IFERROR(('Final Calculation Sheet'!$P$22)&amp;"","")="",ISNUMBER(SEARCH($AS$76:$AZ$76,IFERROR(('Final Calculation Sheet'!$P$22)&amp;"","")))))&gt;0),IF(COUNTIF($BI$76:$BP$76,4)=0,TRUE,SUMPRODUCT(($BI$76:$BP$76=4)*($AS$76:$AZ$76&lt;&gt;"")*IF(((UPPER($AS$76:$AZ$76)="BLANK")+(UPPER($AS$76:$AZ$76)="(BLANK)")+(UPPER($AS$76:$AZ$76)="EMPTY")+(UPPER($AS$76:$AZ$76)="(EMPTY)"))&gt;0,IFERROR(('Final Calculation Sheet'!$P$22)&amp;"","")="",ISNUMBER(SEARCH($AS$76:$AZ$76,IFERROR(('Final Calculation Sheet'!$P$22)&amp;"","")))))&gt;0),IF(COUNTIF($BI$76:$BP$76,5)=0,TRUE,SUMPRODUCT(($BI$76:$BP$76=5)*($AS$76:$AZ$76&lt;&gt;"")*IF(((UPPER($AS$76:$AZ$76)="BLANK")+(UPPER($AS$76:$AZ$76)="(BLANK)")+(UPPER($AS$76:$AZ$76)="EMPTY")+(UPPER($AS$76:$AZ$76)="(EMPTY)"))&gt;0,IFERROR(('Final Calculation Sheet'!$P$22)&amp;"","")="",ISNUMBER(SEARCH($AS$76:$AZ$76,IFERROR(('Final Calculation Sheet'!$P$22)&amp;"","")))))&gt;0),IF(COUNTIF($BI$76:$BP$76,6)=0,TRUE,SUMPRODUCT(($BI$76:$BP$76=6)*($AS$76:$AZ$76&lt;&gt;"")*IF(((UPPER($AS$76:$AZ$76)="BLANK")+(UPPER($AS$76:$AZ$76)="(BLANK)")+(UPPER($AS$76:$AZ$76)="EMPTY")+(UPPER($AS$76:$AZ$76)="(EMPTY)"))&gt;0,IFERROR(('Final Calculation Sheet'!$P$22)&amp;"","")="",ISNUMBER(SEARCH($AS$76:$AZ$76,IFERROR(('Final Calculation Sheet'!$P$22)&amp;"","")))))&gt;0),IF(COUNTIF($BI$76:$BP$76,7)=0,TRUE,SUMPRODUCT(($BI$76:$BP$76=7)*($AS$76:$AZ$76&lt;&gt;"")*IF(((UPPER($AS$76:$AZ$76)="BLANK")+(UPPER($AS$76:$AZ$76)="(BLANK)")+(UPPER($AS$76:$AZ$76)="EMPTY")+(UPPER($AS$76:$AZ$76)="(EMPTY)"))&gt;0,IFERROR(('Final Calculation Sheet'!$P$22)&amp;"","")="",ISNUMBER(SEARCH($AS$76:$AZ$76,IFERROR(('Final Calculation Sheet'!$P$22)&amp;"","")))))&gt;0),IF(COUNTIF($BI$76:$BP$76,8)=0,TRUE,SUMPRODUCT(($BI$76:$BP$76=8)*($AS$76:$AZ$76&lt;&gt;"")*IF(((UPPER($AS$76:$AZ$76)="BLANK")+(UPPER($AS$76:$AZ$76)="(BLANK)")+(UPPER($AS$76:$AZ$76)="EMPTY")+(UPPER($AS$76:$AZ$76)="(EMPTY)"))&gt;0,IFERROR(('Final Calculation Sheet'!$P$22)&amp;"","")="",ISNUMBER(SEARCH($AS$76:$AZ$76,IFERROR(('Final Calculation Sheet'!$P$22)&amp;"","")))))&gt;0))))</f>
        <v>1</v>
      </c>
      <c r="CD23">
        <f>IF($R$4="",1,--(AND(SUMPRODUCT(--($AS$77:$AZ$77&lt;&gt;""))&gt;0,IF(COUNTIF($BI$77:$BP$77,1)=0,TRUE,SUMPRODUCT(($BI$77:$BP$77=1)*($AS$77:$AZ$77&lt;&gt;"")*IF(((UPPER($AS$77:$AZ$77)="BLANK")+(UPPER($AS$77:$AZ$77)="(BLANK)")+(UPPER($AS$77:$AZ$77)="EMPTY")+(UPPER($AS$77:$AZ$77)="(EMPTY)"))&gt;0,IFERROR(('Final Calculation Sheet'!$Q$22)&amp;"","")="",ISNUMBER(SEARCH($AS$77:$AZ$77,IFERROR(('Final Calculation Sheet'!$Q$22)&amp;"","")))))&gt;0),IF(COUNTIF($BI$77:$BP$77,2)=0,TRUE,SUMPRODUCT(($BI$77:$BP$77=2)*($AS$77:$AZ$77&lt;&gt;"")*IF(((UPPER($AS$77:$AZ$77)="BLANK")+(UPPER($AS$77:$AZ$77)="(BLANK)")+(UPPER($AS$77:$AZ$77)="EMPTY")+(UPPER($AS$77:$AZ$77)="(EMPTY)"))&gt;0,IFERROR(('Final Calculation Sheet'!$Q$22)&amp;"","")="",ISNUMBER(SEARCH($AS$77:$AZ$77,IFERROR(('Final Calculation Sheet'!$Q$22)&amp;"","")))))&gt;0),IF(COUNTIF($BI$77:$BP$77,3)=0,TRUE,SUMPRODUCT(($BI$77:$BP$77=3)*($AS$77:$AZ$77&lt;&gt;"")*IF(((UPPER($AS$77:$AZ$77)="BLANK")+(UPPER($AS$77:$AZ$77)="(BLANK)")+(UPPER($AS$77:$AZ$77)="EMPTY")+(UPPER($AS$77:$AZ$77)="(EMPTY)"))&gt;0,IFERROR(('Final Calculation Sheet'!$Q$22)&amp;"","")="",ISNUMBER(SEARCH($AS$77:$AZ$77,IFERROR(('Final Calculation Sheet'!$Q$22)&amp;"","")))))&gt;0),IF(COUNTIF($BI$77:$BP$77,4)=0,TRUE,SUMPRODUCT(($BI$77:$BP$77=4)*($AS$77:$AZ$77&lt;&gt;"")*IF(((UPPER($AS$77:$AZ$77)="BLANK")+(UPPER($AS$77:$AZ$77)="(BLANK)")+(UPPER($AS$77:$AZ$77)="EMPTY")+(UPPER($AS$77:$AZ$77)="(EMPTY)"))&gt;0,IFERROR(('Final Calculation Sheet'!$Q$22)&amp;"","")="",ISNUMBER(SEARCH($AS$77:$AZ$77,IFERROR(('Final Calculation Sheet'!$Q$22)&amp;"","")))))&gt;0),IF(COUNTIF($BI$77:$BP$77,5)=0,TRUE,SUMPRODUCT(($BI$77:$BP$77=5)*($AS$77:$AZ$77&lt;&gt;"")*IF(((UPPER($AS$77:$AZ$77)="BLANK")+(UPPER($AS$77:$AZ$77)="(BLANK)")+(UPPER($AS$77:$AZ$77)="EMPTY")+(UPPER($AS$77:$AZ$77)="(EMPTY)"))&gt;0,IFERROR(('Final Calculation Sheet'!$Q$22)&amp;"","")="",ISNUMBER(SEARCH($AS$77:$AZ$77,IFERROR(('Final Calculation Sheet'!$Q$22)&amp;"","")))))&gt;0),IF(COUNTIF($BI$77:$BP$77,6)=0,TRUE,SUMPRODUCT(($BI$77:$BP$77=6)*($AS$77:$AZ$77&lt;&gt;"")*IF(((UPPER($AS$77:$AZ$77)="BLANK")+(UPPER($AS$77:$AZ$77)="(BLANK)")+(UPPER($AS$77:$AZ$77)="EMPTY")+(UPPER($AS$77:$AZ$77)="(EMPTY)"))&gt;0,IFERROR(('Final Calculation Sheet'!$Q$22)&amp;"","")="",ISNUMBER(SEARCH($AS$77:$AZ$77,IFERROR(('Final Calculation Sheet'!$Q$22)&amp;"","")))))&gt;0),IF(COUNTIF($BI$77:$BP$77,7)=0,TRUE,SUMPRODUCT(($BI$77:$BP$77=7)*($AS$77:$AZ$77&lt;&gt;"")*IF(((UPPER($AS$77:$AZ$77)="BLANK")+(UPPER($AS$77:$AZ$77)="(BLANK)")+(UPPER($AS$77:$AZ$77)="EMPTY")+(UPPER($AS$77:$AZ$77)="(EMPTY)"))&gt;0,IFERROR(('Final Calculation Sheet'!$Q$22)&amp;"","")="",ISNUMBER(SEARCH($AS$77:$AZ$77,IFERROR(('Final Calculation Sheet'!$Q$22)&amp;"","")))))&gt;0),IF(COUNTIF($BI$77:$BP$77,8)=0,TRUE,SUMPRODUCT(($BI$77:$BP$77=8)*($AS$77:$AZ$77&lt;&gt;"")*IF(((UPPER($AS$77:$AZ$77)="BLANK")+(UPPER($AS$77:$AZ$77)="(BLANK)")+(UPPER($AS$77:$AZ$77)="EMPTY")+(UPPER($AS$77:$AZ$77)="(EMPTY)"))&gt;0,IFERROR(('Final Calculation Sheet'!$Q$22)&amp;"","")="",ISNUMBER(SEARCH($AS$77:$AZ$77,IFERROR(('Final Calculation Sheet'!$Q$22)&amp;"","")))))&gt;0))))</f>
        <v>1</v>
      </c>
      <c r="CE23">
        <f>IF($S$4="",1,--(AND(SUMPRODUCT(--($AS$78:$AZ$78&lt;&gt;""))&gt;0,IF(COUNTIF($BI$78:$BP$78,1)=0,TRUE,SUMPRODUCT(($BI$78:$BP$78=1)*($AS$78:$AZ$78&lt;&gt;"")*IF(((UPPER($AS$78:$AZ$78)="BLANK")+(UPPER($AS$78:$AZ$78)="(BLANK)")+(UPPER($AS$78:$AZ$78)="EMPTY")+(UPPER($AS$78:$AZ$78)="(EMPTY)"))&gt;0,IFERROR(('Final Calculation Sheet'!$R$22)&amp;"","")="",ISNUMBER(SEARCH($AS$78:$AZ$78,IFERROR(('Final Calculation Sheet'!$R$22)&amp;"","")))))&gt;0),IF(COUNTIF($BI$78:$BP$78,2)=0,TRUE,SUMPRODUCT(($BI$78:$BP$78=2)*($AS$78:$AZ$78&lt;&gt;"")*IF(((UPPER($AS$78:$AZ$78)="BLANK")+(UPPER($AS$78:$AZ$78)="(BLANK)")+(UPPER($AS$78:$AZ$78)="EMPTY")+(UPPER($AS$78:$AZ$78)="(EMPTY)"))&gt;0,IFERROR(('Final Calculation Sheet'!$R$22)&amp;"","")="",ISNUMBER(SEARCH($AS$78:$AZ$78,IFERROR(('Final Calculation Sheet'!$R$22)&amp;"","")))))&gt;0),IF(COUNTIF($BI$78:$BP$78,3)=0,TRUE,SUMPRODUCT(($BI$78:$BP$78=3)*($AS$78:$AZ$78&lt;&gt;"")*IF(((UPPER($AS$78:$AZ$78)="BLANK")+(UPPER($AS$78:$AZ$78)="(BLANK)")+(UPPER($AS$78:$AZ$78)="EMPTY")+(UPPER($AS$78:$AZ$78)="(EMPTY)"))&gt;0,IFERROR(('Final Calculation Sheet'!$R$22)&amp;"","")="",ISNUMBER(SEARCH($AS$78:$AZ$78,IFERROR(('Final Calculation Sheet'!$R$22)&amp;"","")))))&gt;0),IF(COUNTIF($BI$78:$BP$78,4)=0,TRUE,SUMPRODUCT(($BI$78:$BP$78=4)*($AS$78:$AZ$78&lt;&gt;"")*IF(((UPPER($AS$78:$AZ$78)="BLANK")+(UPPER($AS$78:$AZ$78)="(BLANK)")+(UPPER($AS$78:$AZ$78)="EMPTY")+(UPPER($AS$78:$AZ$78)="(EMPTY)"))&gt;0,IFERROR(('Final Calculation Sheet'!$R$22)&amp;"","")="",ISNUMBER(SEARCH($AS$78:$AZ$78,IFERROR(('Final Calculation Sheet'!$R$22)&amp;"","")))))&gt;0),IF(COUNTIF($BI$78:$BP$78,5)=0,TRUE,SUMPRODUCT(($BI$78:$BP$78=5)*($AS$78:$AZ$78&lt;&gt;"")*IF(((UPPER($AS$78:$AZ$78)="BLANK")+(UPPER($AS$78:$AZ$78)="(BLANK)")+(UPPER($AS$78:$AZ$78)="EMPTY")+(UPPER($AS$78:$AZ$78)="(EMPTY)"))&gt;0,IFERROR(('Final Calculation Sheet'!$R$22)&amp;"","")="",ISNUMBER(SEARCH($AS$78:$AZ$78,IFERROR(('Final Calculation Sheet'!$R$22)&amp;"","")))))&gt;0),IF(COUNTIF($BI$78:$BP$78,6)=0,TRUE,SUMPRODUCT(($BI$78:$BP$78=6)*($AS$78:$AZ$78&lt;&gt;"")*IF(((UPPER($AS$78:$AZ$78)="BLANK")+(UPPER($AS$78:$AZ$78)="(BLANK)")+(UPPER($AS$78:$AZ$78)="EMPTY")+(UPPER($AS$78:$AZ$78)="(EMPTY)"))&gt;0,IFERROR(('Final Calculation Sheet'!$R$22)&amp;"","")="",ISNUMBER(SEARCH($AS$78:$AZ$78,IFERROR(('Final Calculation Sheet'!$R$22)&amp;"","")))))&gt;0),IF(COUNTIF($BI$78:$BP$78,7)=0,TRUE,SUMPRODUCT(($BI$78:$BP$78=7)*($AS$78:$AZ$78&lt;&gt;"")*IF(((UPPER($AS$78:$AZ$78)="BLANK")+(UPPER($AS$78:$AZ$78)="(BLANK)")+(UPPER($AS$78:$AZ$78)="EMPTY")+(UPPER($AS$78:$AZ$78)="(EMPTY)"))&gt;0,IFERROR(('Final Calculation Sheet'!$R$22)&amp;"","")="",ISNUMBER(SEARCH($AS$78:$AZ$78,IFERROR(('Final Calculation Sheet'!$R$22)&amp;"","")))))&gt;0),IF(COUNTIF($BI$78:$BP$78,8)=0,TRUE,SUMPRODUCT(($BI$78:$BP$78=8)*($AS$78:$AZ$78&lt;&gt;"")*IF(((UPPER($AS$78:$AZ$78)="BLANK")+(UPPER($AS$78:$AZ$78)="(BLANK)")+(UPPER($AS$78:$AZ$78)="EMPTY")+(UPPER($AS$78:$AZ$78)="(EMPTY)"))&gt;0,IFERROR(('Final Calculation Sheet'!$R$22)&amp;"","")="",ISNUMBER(SEARCH($AS$78:$AZ$78,IFERROR(('Final Calculation Sheet'!$R$22)&amp;"","")))))&gt;0))))</f>
        <v>1</v>
      </c>
      <c r="CF23">
        <f>IF($T$4="",1,--(AND(SUMPRODUCT(--($AS$79:$AZ$79&lt;&gt;""))&gt;0,IF(COUNTIF($BI$79:$BP$79,1)=0,TRUE,SUMPRODUCT(($BI$79:$BP$79=1)*($AS$79:$AZ$79&lt;&gt;"")*IF(((UPPER($AS$79:$AZ$79)="BLANK")+(UPPER($AS$79:$AZ$79)="(BLANK)")+(UPPER($AS$79:$AZ$79)="EMPTY")+(UPPER($AS$79:$AZ$79)="(EMPTY)"))&gt;0,IFERROR(('Final Calculation Sheet'!$S$22)&amp;"","")="",ISNUMBER(SEARCH($AS$79:$AZ$79,IFERROR(('Final Calculation Sheet'!$S$22)&amp;"","")))))&gt;0),IF(COUNTIF($BI$79:$BP$79,2)=0,TRUE,SUMPRODUCT(($BI$79:$BP$79=2)*($AS$79:$AZ$79&lt;&gt;"")*IF(((UPPER($AS$79:$AZ$79)="BLANK")+(UPPER($AS$79:$AZ$79)="(BLANK)")+(UPPER($AS$79:$AZ$79)="EMPTY")+(UPPER($AS$79:$AZ$79)="(EMPTY)"))&gt;0,IFERROR(('Final Calculation Sheet'!$S$22)&amp;"","")="",ISNUMBER(SEARCH($AS$79:$AZ$79,IFERROR(('Final Calculation Sheet'!$S$22)&amp;"","")))))&gt;0),IF(COUNTIF($BI$79:$BP$79,3)=0,TRUE,SUMPRODUCT(($BI$79:$BP$79=3)*($AS$79:$AZ$79&lt;&gt;"")*IF(((UPPER($AS$79:$AZ$79)="BLANK")+(UPPER($AS$79:$AZ$79)="(BLANK)")+(UPPER($AS$79:$AZ$79)="EMPTY")+(UPPER($AS$79:$AZ$79)="(EMPTY)"))&gt;0,IFERROR(('Final Calculation Sheet'!$S$22)&amp;"","")="",ISNUMBER(SEARCH($AS$79:$AZ$79,IFERROR(('Final Calculation Sheet'!$S$22)&amp;"","")))))&gt;0),IF(COUNTIF($BI$79:$BP$79,4)=0,TRUE,SUMPRODUCT(($BI$79:$BP$79=4)*($AS$79:$AZ$79&lt;&gt;"")*IF(((UPPER($AS$79:$AZ$79)="BLANK")+(UPPER($AS$79:$AZ$79)="(BLANK)")+(UPPER($AS$79:$AZ$79)="EMPTY")+(UPPER($AS$79:$AZ$79)="(EMPTY)"))&gt;0,IFERROR(('Final Calculation Sheet'!$S$22)&amp;"","")="",ISNUMBER(SEARCH($AS$79:$AZ$79,IFERROR(('Final Calculation Sheet'!$S$22)&amp;"","")))))&gt;0),IF(COUNTIF($BI$79:$BP$79,5)=0,TRUE,SUMPRODUCT(($BI$79:$BP$79=5)*($AS$79:$AZ$79&lt;&gt;"")*IF(((UPPER($AS$79:$AZ$79)="BLANK")+(UPPER($AS$79:$AZ$79)="(BLANK)")+(UPPER($AS$79:$AZ$79)="EMPTY")+(UPPER($AS$79:$AZ$79)="(EMPTY)"))&gt;0,IFERROR(('Final Calculation Sheet'!$S$22)&amp;"","")="",ISNUMBER(SEARCH($AS$79:$AZ$79,IFERROR(('Final Calculation Sheet'!$S$22)&amp;"","")))))&gt;0),IF(COUNTIF($BI$79:$BP$79,6)=0,TRUE,SUMPRODUCT(($BI$79:$BP$79=6)*($AS$79:$AZ$79&lt;&gt;"")*IF(((UPPER($AS$79:$AZ$79)="BLANK")+(UPPER($AS$79:$AZ$79)="(BLANK)")+(UPPER($AS$79:$AZ$79)="EMPTY")+(UPPER($AS$79:$AZ$79)="(EMPTY)"))&gt;0,IFERROR(('Final Calculation Sheet'!$S$22)&amp;"","")="",ISNUMBER(SEARCH($AS$79:$AZ$79,IFERROR(('Final Calculation Sheet'!$S$22)&amp;"","")))))&gt;0),IF(COUNTIF($BI$79:$BP$79,7)=0,TRUE,SUMPRODUCT(($BI$79:$BP$79=7)*($AS$79:$AZ$79&lt;&gt;"")*IF(((UPPER($AS$79:$AZ$79)="BLANK")+(UPPER($AS$79:$AZ$79)="(BLANK)")+(UPPER($AS$79:$AZ$79)="EMPTY")+(UPPER($AS$79:$AZ$79)="(EMPTY)"))&gt;0,IFERROR(('Final Calculation Sheet'!$S$22)&amp;"","")="",ISNUMBER(SEARCH($AS$79:$AZ$79,IFERROR(('Final Calculation Sheet'!$S$22)&amp;"","")))))&gt;0),IF(COUNTIF($BI$79:$BP$79,8)=0,TRUE,SUMPRODUCT(($BI$79:$BP$79=8)*($AS$79:$AZ$79&lt;&gt;"")*IF(((UPPER($AS$79:$AZ$79)="BLANK")+(UPPER($AS$79:$AZ$79)="(BLANK)")+(UPPER($AS$79:$AZ$79)="EMPTY")+(UPPER($AS$79:$AZ$79)="(EMPTY)"))&gt;0,IFERROR(('Final Calculation Sheet'!$S$22)&amp;"","")="",ISNUMBER(SEARCH($AS$79:$AZ$79,IFERROR(('Final Calculation Sheet'!$S$22)&amp;"","")))))&gt;0))))</f>
        <v>1</v>
      </c>
      <c r="CG23">
        <f>IF($U$4="",1,--(AND(SUMPRODUCT(--($AS$80:$AZ$80&lt;&gt;""))&gt;0,IF(COUNTIF($BI$80:$BP$80,1)=0,TRUE,SUMPRODUCT(($BI$80:$BP$80=1)*($AS$80:$AZ$80&lt;&gt;"")*IF(((UPPER($AS$80:$AZ$80)="BLANK")+(UPPER($AS$80:$AZ$80)="(BLANK)")+(UPPER($AS$80:$AZ$80)="EMPTY")+(UPPER($AS$80:$AZ$80)="(EMPTY)"))&gt;0,IFERROR(('Final Calculation Sheet'!$T$22)&amp;"","")="",ISNUMBER(SEARCH($AS$80:$AZ$80,IFERROR(('Final Calculation Sheet'!$T$22)&amp;"","")))))&gt;0),IF(COUNTIF($BI$80:$BP$80,2)=0,TRUE,SUMPRODUCT(($BI$80:$BP$80=2)*($AS$80:$AZ$80&lt;&gt;"")*IF(((UPPER($AS$80:$AZ$80)="BLANK")+(UPPER($AS$80:$AZ$80)="(BLANK)")+(UPPER($AS$80:$AZ$80)="EMPTY")+(UPPER($AS$80:$AZ$80)="(EMPTY)"))&gt;0,IFERROR(('Final Calculation Sheet'!$T$22)&amp;"","")="",ISNUMBER(SEARCH($AS$80:$AZ$80,IFERROR(('Final Calculation Sheet'!$T$22)&amp;"","")))))&gt;0),IF(COUNTIF($BI$80:$BP$80,3)=0,TRUE,SUMPRODUCT(($BI$80:$BP$80=3)*($AS$80:$AZ$80&lt;&gt;"")*IF(((UPPER($AS$80:$AZ$80)="BLANK")+(UPPER($AS$80:$AZ$80)="(BLANK)")+(UPPER($AS$80:$AZ$80)="EMPTY")+(UPPER($AS$80:$AZ$80)="(EMPTY)"))&gt;0,IFERROR(('Final Calculation Sheet'!$T$22)&amp;"","")="",ISNUMBER(SEARCH($AS$80:$AZ$80,IFERROR(('Final Calculation Sheet'!$T$22)&amp;"","")))))&gt;0),IF(COUNTIF($BI$80:$BP$80,4)=0,TRUE,SUMPRODUCT(($BI$80:$BP$80=4)*($AS$80:$AZ$80&lt;&gt;"")*IF(((UPPER($AS$80:$AZ$80)="BLANK")+(UPPER($AS$80:$AZ$80)="(BLANK)")+(UPPER($AS$80:$AZ$80)="EMPTY")+(UPPER($AS$80:$AZ$80)="(EMPTY)"))&gt;0,IFERROR(('Final Calculation Sheet'!$T$22)&amp;"","")="",ISNUMBER(SEARCH($AS$80:$AZ$80,IFERROR(('Final Calculation Sheet'!$T$22)&amp;"","")))))&gt;0),IF(COUNTIF($BI$80:$BP$80,5)=0,TRUE,SUMPRODUCT(($BI$80:$BP$80=5)*($AS$80:$AZ$80&lt;&gt;"")*IF(((UPPER($AS$80:$AZ$80)="BLANK")+(UPPER($AS$80:$AZ$80)="(BLANK)")+(UPPER($AS$80:$AZ$80)="EMPTY")+(UPPER($AS$80:$AZ$80)="(EMPTY)"))&gt;0,IFERROR(('Final Calculation Sheet'!$T$22)&amp;"","")="",ISNUMBER(SEARCH($AS$80:$AZ$80,IFERROR(('Final Calculation Sheet'!$T$22)&amp;"","")))))&gt;0),IF(COUNTIF($BI$80:$BP$80,6)=0,TRUE,SUMPRODUCT(($BI$80:$BP$80=6)*($AS$80:$AZ$80&lt;&gt;"")*IF(((UPPER($AS$80:$AZ$80)="BLANK")+(UPPER($AS$80:$AZ$80)="(BLANK)")+(UPPER($AS$80:$AZ$80)="EMPTY")+(UPPER($AS$80:$AZ$80)="(EMPTY)"))&gt;0,IFERROR(('Final Calculation Sheet'!$T$22)&amp;"","")="",ISNUMBER(SEARCH($AS$80:$AZ$80,IFERROR(('Final Calculation Sheet'!$T$22)&amp;"","")))))&gt;0),IF(COUNTIF($BI$80:$BP$80,7)=0,TRUE,SUMPRODUCT(($BI$80:$BP$80=7)*($AS$80:$AZ$80&lt;&gt;"")*IF(((UPPER($AS$80:$AZ$80)="BLANK")+(UPPER($AS$80:$AZ$80)="(BLANK)")+(UPPER($AS$80:$AZ$80)="EMPTY")+(UPPER($AS$80:$AZ$80)="(EMPTY)"))&gt;0,IFERROR(('Final Calculation Sheet'!$T$22)&amp;"","")="",ISNUMBER(SEARCH($AS$80:$AZ$80,IFERROR(('Final Calculation Sheet'!$T$22)&amp;"","")))))&gt;0),IF(COUNTIF($BI$80:$BP$80,8)=0,TRUE,SUMPRODUCT(($BI$80:$BP$80=8)*($AS$80:$AZ$80&lt;&gt;"")*IF(((UPPER($AS$80:$AZ$80)="BLANK")+(UPPER($AS$80:$AZ$80)="(BLANK)")+(UPPER($AS$80:$AZ$80)="EMPTY")+(UPPER($AS$80:$AZ$80)="(EMPTY)"))&gt;0,IFERROR(('Final Calculation Sheet'!$T$22)&amp;"","")="",ISNUMBER(SEARCH($AS$80:$AZ$80,IFERROR(('Final Calculation Sheet'!$T$22)&amp;"","")))))&gt;0))))</f>
        <v>1</v>
      </c>
      <c r="CH23">
        <f>IF($V$4="",1,--(AND(SUMPRODUCT(--($AS$81:$AZ$81&lt;&gt;""))&gt;0,IF(COUNTIF($BI$81:$BP$81,1)=0,TRUE,SUMPRODUCT(($BI$81:$BP$81=1)*($AS$81:$AZ$81&lt;&gt;"")*IF(((UPPER($AS$81:$AZ$81)="BLANK")+(UPPER($AS$81:$AZ$81)="(BLANK)")+(UPPER($AS$81:$AZ$81)="EMPTY")+(UPPER($AS$81:$AZ$81)="(EMPTY)"))&gt;0,IFERROR(('Final Calculation Sheet'!$U$22)&amp;"","")="",ISNUMBER(SEARCH($AS$81:$AZ$81,IFERROR(('Final Calculation Sheet'!$U$22)&amp;"","")))))&gt;0),IF(COUNTIF($BI$81:$BP$81,2)=0,TRUE,SUMPRODUCT(($BI$81:$BP$81=2)*($AS$81:$AZ$81&lt;&gt;"")*IF(((UPPER($AS$81:$AZ$81)="BLANK")+(UPPER($AS$81:$AZ$81)="(BLANK)")+(UPPER($AS$81:$AZ$81)="EMPTY")+(UPPER($AS$81:$AZ$81)="(EMPTY)"))&gt;0,IFERROR(('Final Calculation Sheet'!$U$22)&amp;"","")="",ISNUMBER(SEARCH($AS$81:$AZ$81,IFERROR(('Final Calculation Sheet'!$U$22)&amp;"","")))))&gt;0),IF(COUNTIF($BI$81:$BP$81,3)=0,TRUE,SUMPRODUCT(($BI$81:$BP$81=3)*($AS$81:$AZ$81&lt;&gt;"")*IF(((UPPER($AS$81:$AZ$81)="BLANK")+(UPPER($AS$81:$AZ$81)="(BLANK)")+(UPPER($AS$81:$AZ$81)="EMPTY")+(UPPER($AS$81:$AZ$81)="(EMPTY)"))&gt;0,IFERROR(('Final Calculation Sheet'!$U$22)&amp;"","")="",ISNUMBER(SEARCH($AS$81:$AZ$81,IFERROR(('Final Calculation Sheet'!$U$22)&amp;"","")))))&gt;0),IF(COUNTIF($BI$81:$BP$81,4)=0,TRUE,SUMPRODUCT(($BI$81:$BP$81=4)*($AS$81:$AZ$81&lt;&gt;"")*IF(((UPPER($AS$81:$AZ$81)="BLANK")+(UPPER($AS$81:$AZ$81)="(BLANK)")+(UPPER($AS$81:$AZ$81)="EMPTY")+(UPPER($AS$81:$AZ$81)="(EMPTY)"))&gt;0,IFERROR(('Final Calculation Sheet'!$U$22)&amp;"","")="",ISNUMBER(SEARCH($AS$81:$AZ$81,IFERROR(('Final Calculation Sheet'!$U$22)&amp;"","")))))&gt;0),IF(COUNTIF($BI$81:$BP$81,5)=0,TRUE,SUMPRODUCT(($BI$81:$BP$81=5)*($AS$81:$AZ$81&lt;&gt;"")*IF(((UPPER($AS$81:$AZ$81)="BLANK")+(UPPER($AS$81:$AZ$81)="(BLANK)")+(UPPER($AS$81:$AZ$81)="EMPTY")+(UPPER($AS$81:$AZ$81)="(EMPTY)"))&gt;0,IFERROR(('Final Calculation Sheet'!$U$22)&amp;"","")="",ISNUMBER(SEARCH($AS$81:$AZ$81,IFERROR(('Final Calculation Sheet'!$U$22)&amp;"","")))))&gt;0),IF(COUNTIF($BI$81:$BP$81,6)=0,TRUE,SUMPRODUCT(($BI$81:$BP$81=6)*($AS$81:$AZ$81&lt;&gt;"")*IF(((UPPER($AS$81:$AZ$81)="BLANK")+(UPPER($AS$81:$AZ$81)="(BLANK)")+(UPPER($AS$81:$AZ$81)="EMPTY")+(UPPER($AS$81:$AZ$81)="(EMPTY)"))&gt;0,IFERROR(('Final Calculation Sheet'!$U$22)&amp;"","")="",ISNUMBER(SEARCH($AS$81:$AZ$81,IFERROR(('Final Calculation Sheet'!$U$22)&amp;"","")))))&gt;0),IF(COUNTIF($BI$81:$BP$81,7)=0,TRUE,SUMPRODUCT(($BI$81:$BP$81=7)*($AS$81:$AZ$81&lt;&gt;"")*IF(((UPPER($AS$81:$AZ$81)="BLANK")+(UPPER($AS$81:$AZ$81)="(BLANK)")+(UPPER($AS$81:$AZ$81)="EMPTY")+(UPPER($AS$81:$AZ$81)="(EMPTY)"))&gt;0,IFERROR(('Final Calculation Sheet'!$U$22)&amp;"","")="",ISNUMBER(SEARCH($AS$81:$AZ$81,IFERROR(('Final Calculation Sheet'!$U$22)&amp;"","")))))&gt;0),IF(COUNTIF($BI$81:$BP$81,8)=0,TRUE,SUMPRODUCT(($BI$81:$BP$81=8)*($AS$81:$AZ$81&lt;&gt;"")*IF(((UPPER($AS$81:$AZ$81)="BLANK")+(UPPER($AS$81:$AZ$81)="(BLANK)")+(UPPER($AS$81:$AZ$81)="EMPTY")+(UPPER($AS$81:$AZ$81)="(EMPTY)"))&gt;0,IFERROR(('Final Calculation Sheet'!$U$22)&amp;"","")="",ISNUMBER(SEARCH($AS$81:$AZ$81,IFERROR(('Final Calculation Sheet'!$U$22)&amp;"","")))))&gt;0))))</f>
        <v>1</v>
      </c>
      <c r="CI23">
        <f>IF($W$4="",1,--(AND(SUMPRODUCT(--($AS$82:$AZ$82&lt;&gt;""))&gt;0,IF(COUNTIF($BI$82:$BP$82,1)=0,TRUE,SUMPRODUCT(($BI$82:$BP$82=1)*($AS$82:$AZ$82&lt;&gt;"")*IF(((UPPER($AS$82:$AZ$82)="BLANK")+(UPPER($AS$82:$AZ$82)="(BLANK)")+(UPPER($AS$82:$AZ$82)="EMPTY")+(UPPER($AS$82:$AZ$82)="(EMPTY)"))&gt;0,IFERROR(('Final Calculation Sheet'!$V$22)&amp;"","")="",ISNUMBER(SEARCH($AS$82:$AZ$82,IFERROR(('Final Calculation Sheet'!$V$22)&amp;"","")))))&gt;0),IF(COUNTIF($BI$82:$BP$82,2)=0,TRUE,SUMPRODUCT(($BI$82:$BP$82=2)*($AS$82:$AZ$82&lt;&gt;"")*IF(((UPPER($AS$82:$AZ$82)="BLANK")+(UPPER($AS$82:$AZ$82)="(BLANK)")+(UPPER($AS$82:$AZ$82)="EMPTY")+(UPPER($AS$82:$AZ$82)="(EMPTY)"))&gt;0,IFERROR(('Final Calculation Sheet'!$V$22)&amp;"","")="",ISNUMBER(SEARCH($AS$82:$AZ$82,IFERROR(('Final Calculation Sheet'!$V$22)&amp;"","")))))&gt;0),IF(COUNTIF($BI$82:$BP$82,3)=0,TRUE,SUMPRODUCT(($BI$82:$BP$82=3)*($AS$82:$AZ$82&lt;&gt;"")*IF(((UPPER($AS$82:$AZ$82)="BLANK")+(UPPER($AS$82:$AZ$82)="(BLANK)")+(UPPER($AS$82:$AZ$82)="EMPTY")+(UPPER($AS$82:$AZ$82)="(EMPTY)"))&gt;0,IFERROR(('Final Calculation Sheet'!$V$22)&amp;"","")="",ISNUMBER(SEARCH($AS$82:$AZ$82,IFERROR(('Final Calculation Sheet'!$V$22)&amp;"","")))))&gt;0),IF(COUNTIF($BI$82:$BP$82,4)=0,TRUE,SUMPRODUCT(($BI$82:$BP$82=4)*($AS$82:$AZ$82&lt;&gt;"")*IF(((UPPER($AS$82:$AZ$82)="BLANK")+(UPPER($AS$82:$AZ$82)="(BLANK)")+(UPPER($AS$82:$AZ$82)="EMPTY")+(UPPER($AS$82:$AZ$82)="(EMPTY)"))&gt;0,IFERROR(('Final Calculation Sheet'!$V$22)&amp;"","")="",ISNUMBER(SEARCH($AS$82:$AZ$82,IFERROR(('Final Calculation Sheet'!$V$22)&amp;"","")))))&gt;0),IF(COUNTIF($BI$82:$BP$82,5)=0,TRUE,SUMPRODUCT(($BI$82:$BP$82=5)*($AS$82:$AZ$82&lt;&gt;"")*IF(((UPPER($AS$82:$AZ$82)="BLANK")+(UPPER($AS$82:$AZ$82)="(BLANK)")+(UPPER($AS$82:$AZ$82)="EMPTY")+(UPPER($AS$82:$AZ$82)="(EMPTY)"))&gt;0,IFERROR(('Final Calculation Sheet'!$V$22)&amp;"","")="",ISNUMBER(SEARCH($AS$82:$AZ$82,IFERROR(('Final Calculation Sheet'!$V$22)&amp;"","")))))&gt;0),IF(COUNTIF($BI$82:$BP$82,6)=0,TRUE,SUMPRODUCT(($BI$82:$BP$82=6)*($AS$82:$AZ$82&lt;&gt;"")*IF(((UPPER($AS$82:$AZ$82)="BLANK")+(UPPER($AS$82:$AZ$82)="(BLANK)")+(UPPER($AS$82:$AZ$82)="EMPTY")+(UPPER($AS$82:$AZ$82)="(EMPTY)"))&gt;0,IFERROR(('Final Calculation Sheet'!$V$22)&amp;"","")="",ISNUMBER(SEARCH($AS$82:$AZ$82,IFERROR(('Final Calculation Sheet'!$V$22)&amp;"","")))))&gt;0),IF(COUNTIF($BI$82:$BP$82,7)=0,TRUE,SUMPRODUCT(($BI$82:$BP$82=7)*($AS$82:$AZ$82&lt;&gt;"")*IF(((UPPER($AS$82:$AZ$82)="BLANK")+(UPPER($AS$82:$AZ$82)="(BLANK)")+(UPPER($AS$82:$AZ$82)="EMPTY")+(UPPER($AS$82:$AZ$82)="(EMPTY)"))&gt;0,IFERROR(('Final Calculation Sheet'!$V$22)&amp;"","")="",ISNUMBER(SEARCH($AS$82:$AZ$82,IFERROR(('Final Calculation Sheet'!$V$22)&amp;"","")))))&gt;0),IF(COUNTIF($BI$82:$BP$82,8)=0,TRUE,SUMPRODUCT(($BI$82:$BP$82=8)*($AS$82:$AZ$82&lt;&gt;"")*IF(((UPPER($AS$82:$AZ$82)="BLANK")+(UPPER($AS$82:$AZ$82)="(BLANK)")+(UPPER($AS$82:$AZ$82)="EMPTY")+(UPPER($AS$82:$AZ$82)="(EMPTY)"))&gt;0,IFERROR(('Final Calculation Sheet'!$V$22)&amp;"","")="",ISNUMBER(SEARCH($AS$82:$AZ$82,IFERROR(('Final Calculation Sheet'!$V$22)&amp;"","")))))&gt;0))))</f>
        <v>1</v>
      </c>
      <c r="CJ23">
        <f>IF($X$4="",1,--(AND(SUMPRODUCT(--($AS$83:$AZ$83&lt;&gt;""))&gt;0,IF(COUNTIF($BI$83:$BP$83,1)=0,TRUE,SUMPRODUCT(($BI$83:$BP$83=1)*($AS$83:$AZ$83&lt;&gt;"")*IF(((UPPER($AS$83:$AZ$83)="BLANK")+(UPPER($AS$83:$AZ$83)="(BLANK)")+(UPPER($AS$83:$AZ$83)="EMPTY")+(UPPER($AS$83:$AZ$83)="(EMPTY)"))&gt;0,IFERROR(('Final Calculation Sheet'!$W$22)&amp;"","")="",ISNUMBER(SEARCH($AS$83:$AZ$83,IFERROR(('Final Calculation Sheet'!$W$22)&amp;"","")))))&gt;0),IF(COUNTIF($BI$83:$BP$83,2)=0,TRUE,SUMPRODUCT(($BI$83:$BP$83=2)*($AS$83:$AZ$83&lt;&gt;"")*IF(((UPPER($AS$83:$AZ$83)="BLANK")+(UPPER($AS$83:$AZ$83)="(BLANK)")+(UPPER($AS$83:$AZ$83)="EMPTY")+(UPPER($AS$83:$AZ$83)="(EMPTY)"))&gt;0,IFERROR(('Final Calculation Sheet'!$W$22)&amp;"","")="",ISNUMBER(SEARCH($AS$83:$AZ$83,IFERROR(('Final Calculation Sheet'!$W$22)&amp;"","")))))&gt;0),IF(COUNTIF($BI$83:$BP$83,3)=0,TRUE,SUMPRODUCT(($BI$83:$BP$83=3)*($AS$83:$AZ$83&lt;&gt;"")*IF(((UPPER($AS$83:$AZ$83)="BLANK")+(UPPER($AS$83:$AZ$83)="(BLANK)")+(UPPER($AS$83:$AZ$83)="EMPTY")+(UPPER($AS$83:$AZ$83)="(EMPTY)"))&gt;0,IFERROR(('Final Calculation Sheet'!$W$22)&amp;"","")="",ISNUMBER(SEARCH($AS$83:$AZ$83,IFERROR(('Final Calculation Sheet'!$W$22)&amp;"","")))))&gt;0),IF(COUNTIF($BI$83:$BP$83,4)=0,TRUE,SUMPRODUCT(($BI$83:$BP$83=4)*($AS$83:$AZ$83&lt;&gt;"")*IF(((UPPER($AS$83:$AZ$83)="BLANK")+(UPPER($AS$83:$AZ$83)="(BLANK)")+(UPPER($AS$83:$AZ$83)="EMPTY")+(UPPER($AS$83:$AZ$83)="(EMPTY)"))&gt;0,IFERROR(('Final Calculation Sheet'!$W$22)&amp;"","")="",ISNUMBER(SEARCH($AS$83:$AZ$83,IFERROR(('Final Calculation Sheet'!$W$22)&amp;"","")))))&gt;0),IF(COUNTIF($BI$83:$BP$83,5)=0,TRUE,SUMPRODUCT(($BI$83:$BP$83=5)*($AS$83:$AZ$83&lt;&gt;"")*IF(((UPPER($AS$83:$AZ$83)="BLANK")+(UPPER($AS$83:$AZ$83)="(BLANK)")+(UPPER($AS$83:$AZ$83)="EMPTY")+(UPPER($AS$83:$AZ$83)="(EMPTY)"))&gt;0,IFERROR(('Final Calculation Sheet'!$W$22)&amp;"","")="",ISNUMBER(SEARCH($AS$83:$AZ$83,IFERROR(('Final Calculation Sheet'!$W$22)&amp;"","")))))&gt;0),IF(COUNTIF($BI$83:$BP$83,6)=0,TRUE,SUMPRODUCT(($BI$83:$BP$83=6)*($AS$83:$AZ$83&lt;&gt;"")*IF(((UPPER($AS$83:$AZ$83)="BLANK")+(UPPER($AS$83:$AZ$83)="(BLANK)")+(UPPER($AS$83:$AZ$83)="EMPTY")+(UPPER($AS$83:$AZ$83)="(EMPTY)"))&gt;0,IFERROR(('Final Calculation Sheet'!$W$22)&amp;"","")="",ISNUMBER(SEARCH($AS$83:$AZ$83,IFERROR(('Final Calculation Sheet'!$W$22)&amp;"","")))))&gt;0),IF(COUNTIF($BI$83:$BP$83,7)=0,TRUE,SUMPRODUCT(($BI$83:$BP$83=7)*($AS$83:$AZ$83&lt;&gt;"")*IF(((UPPER($AS$83:$AZ$83)="BLANK")+(UPPER($AS$83:$AZ$83)="(BLANK)")+(UPPER($AS$83:$AZ$83)="EMPTY")+(UPPER($AS$83:$AZ$83)="(EMPTY)"))&gt;0,IFERROR(('Final Calculation Sheet'!$W$22)&amp;"","")="",ISNUMBER(SEARCH($AS$83:$AZ$83,IFERROR(('Final Calculation Sheet'!$W$22)&amp;"","")))))&gt;0),IF(COUNTIF($BI$83:$BP$83,8)=0,TRUE,SUMPRODUCT(($BI$83:$BP$83=8)*($AS$83:$AZ$83&lt;&gt;"")*IF(((UPPER($AS$83:$AZ$83)="BLANK")+(UPPER($AS$83:$AZ$83)="(BLANK)")+(UPPER($AS$83:$AZ$83)="EMPTY")+(UPPER($AS$83:$AZ$83)="(EMPTY)"))&gt;0,IFERROR(('Final Calculation Sheet'!$W$22)&amp;"","")="",ISNUMBER(SEARCH($AS$83:$AZ$83,IFERROR(('Final Calculation Sheet'!$W$22)&amp;"","")))))&gt;0))))</f>
        <v>1</v>
      </c>
      <c r="CK23">
        <f>IF($Y$4="",1,--(AND(SUMPRODUCT(--($AS$84:$AZ$84&lt;&gt;""))&gt;0,IF(COUNTIF($BI$84:$BP$84,1)=0,TRUE,SUMPRODUCT(($BI$84:$BP$84=1)*($AS$84:$AZ$84&lt;&gt;"")*IF(((UPPER($AS$84:$AZ$84)="BLANK")+(UPPER($AS$84:$AZ$84)="(BLANK)")+(UPPER($AS$84:$AZ$84)="EMPTY")+(UPPER($AS$84:$AZ$84)="(EMPTY)"))&gt;0,IFERROR(('Final Calculation Sheet'!$X$22)&amp;"","")="",ISNUMBER(SEARCH($AS$84:$AZ$84,IFERROR(('Final Calculation Sheet'!$X$22)&amp;"","")))))&gt;0),IF(COUNTIF($BI$84:$BP$84,2)=0,TRUE,SUMPRODUCT(($BI$84:$BP$84=2)*($AS$84:$AZ$84&lt;&gt;"")*IF(((UPPER($AS$84:$AZ$84)="BLANK")+(UPPER($AS$84:$AZ$84)="(BLANK)")+(UPPER($AS$84:$AZ$84)="EMPTY")+(UPPER($AS$84:$AZ$84)="(EMPTY)"))&gt;0,IFERROR(('Final Calculation Sheet'!$X$22)&amp;"","")="",ISNUMBER(SEARCH($AS$84:$AZ$84,IFERROR(('Final Calculation Sheet'!$X$22)&amp;"","")))))&gt;0),IF(COUNTIF($BI$84:$BP$84,3)=0,TRUE,SUMPRODUCT(($BI$84:$BP$84=3)*($AS$84:$AZ$84&lt;&gt;"")*IF(((UPPER($AS$84:$AZ$84)="BLANK")+(UPPER($AS$84:$AZ$84)="(BLANK)")+(UPPER($AS$84:$AZ$84)="EMPTY")+(UPPER($AS$84:$AZ$84)="(EMPTY)"))&gt;0,IFERROR(('Final Calculation Sheet'!$X$22)&amp;"","")="",ISNUMBER(SEARCH($AS$84:$AZ$84,IFERROR(('Final Calculation Sheet'!$X$22)&amp;"","")))))&gt;0),IF(COUNTIF($BI$84:$BP$84,4)=0,TRUE,SUMPRODUCT(($BI$84:$BP$84=4)*($AS$84:$AZ$84&lt;&gt;"")*IF(((UPPER($AS$84:$AZ$84)="BLANK")+(UPPER($AS$84:$AZ$84)="(BLANK)")+(UPPER($AS$84:$AZ$84)="EMPTY")+(UPPER($AS$84:$AZ$84)="(EMPTY)"))&gt;0,IFERROR(('Final Calculation Sheet'!$X$22)&amp;"","")="",ISNUMBER(SEARCH($AS$84:$AZ$84,IFERROR(('Final Calculation Sheet'!$X$22)&amp;"","")))))&gt;0),IF(COUNTIF($BI$84:$BP$84,5)=0,TRUE,SUMPRODUCT(($BI$84:$BP$84=5)*($AS$84:$AZ$84&lt;&gt;"")*IF(((UPPER($AS$84:$AZ$84)="BLANK")+(UPPER($AS$84:$AZ$84)="(BLANK)")+(UPPER($AS$84:$AZ$84)="EMPTY")+(UPPER($AS$84:$AZ$84)="(EMPTY)"))&gt;0,IFERROR(('Final Calculation Sheet'!$X$22)&amp;"","")="",ISNUMBER(SEARCH($AS$84:$AZ$84,IFERROR(('Final Calculation Sheet'!$X$22)&amp;"","")))))&gt;0),IF(COUNTIF($BI$84:$BP$84,6)=0,TRUE,SUMPRODUCT(($BI$84:$BP$84=6)*($AS$84:$AZ$84&lt;&gt;"")*IF(((UPPER($AS$84:$AZ$84)="BLANK")+(UPPER($AS$84:$AZ$84)="(BLANK)")+(UPPER($AS$84:$AZ$84)="EMPTY")+(UPPER($AS$84:$AZ$84)="(EMPTY)"))&gt;0,IFERROR(('Final Calculation Sheet'!$X$22)&amp;"","")="",ISNUMBER(SEARCH($AS$84:$AZ$84,IFERROR(('Final Calculation Sheet'!$X$22)&amp;"","")))))&gt;0),IF(COUNTIF($BI$84:$BP$84,7)=0,TRUE,SUMPRODUCT(($BI$84:$BP$84=7)*($AS$84:$AZ$84&lt;&gt;"")*IF(((UPPER($AS$84:$AZ$84)="BLANK")+(UPPER($AS$84:$AZ$84)="(BLANK)")+(UPPER($AS$84:$AZ$84)="EMPTY")+(UPPER($AS$84:$AZ$84)="(EMPTY)"))&gt;0,IFERROR(('Final Calculation Sheet'!$X$22)&amp;"","")="",ISNUMBER(SEARCH($AS$84:$AZ$84,IFERROR(('Final Calculation Sheet'!$X$22)&amp;"","")))))&gt;0),IF(COUNTIF($BI$84:$BP$84,8)=0,TRUE,SUMPRODUCT(($BI$84:$BP$84=8)*($AS$84:$AZ$84&lt;&gt;"")*IF(((UPPER($AS$84:$AZ$84)="BLANK")+(UPPER($AS$84:$AZ$84)="(BLANK)")+(UPPER($AS$84:$AZ$84)="EMPTY")+(UPPER($AS$84:$AZ$84)="(EMPTY)"))&gt;0,IFERROR(('Final Calculation Sheet'!$X$22)&amp;"","")="",ISNUMBER(SEARCH($AS$84:$AZ$84,IFERROR(('Final Calculation Sheet'!$X$22)&amp;"","")))))&gt;0))))</f>
        <v>1</v>
      </c>
      <c r="CL23">
        <f>IF($Z$4="",1,--(AND(SUMPRODUCT(--($AS$85:$AZ$85&lt;&gt;""))&gt;0,IF(COUNTIF($BI$85:$BP$85,1)=0,TRUE,SUMPRODUCT(($BI$85:$BP$85=1)*($AS$85:$AZ$85&lt;&gt;"")*IF(((UPPER($AS$85:$AZ$85)="BLANK")+(UPPER($AS$85:$AZ$85)="(BLANK)")+(UPPER($AS$85:$AZ$85)="EMPTY")+(UPPER($AS$85:$AZ$85)="(EMPTY)"))&gt;0,IFERROR(('Final Calculation Sheet'!$Y$22)&amp;"","")="",ISNUMBER(SEARCH($AS$85:$AZ$85,IFERROR(('Final Calculation Sheet'!$Y$22)&amp;"","")))))&gt;0),IF(COUNTIF($BI$85:$BP$85,2)=0,TRUE,SUMPRODUCT(($BI$85:$BP$85=2)*($AS$85:$AZ$85&lt;&gt;"")*IF(((UPPER($AS$85:$AZ$85)="BLANK")+(UPPER($AS$85:$AZ$85)="(BLANK)")+(UPPER($AS$85:$AZ$85)="EMPTY")+(UPPER($AS$85:$AZ$85)="(EMPTY)"))&gt;0,IFERROR(('Final Calculation Sheet'!$Y$22)&amp;"","")="",ISNUMBER(SEARCH($AS$85:$AZ$85,IFERROR(('Final Calculation Sheet'!$Y$22)&amp;"","")))))&gt;0),IF(COUNTIF($BI$85:$BP$85,3)=0,TRUE,SUMPRODUCT(($BI$85:$BP$85=3)*($AS$85:$AZ$85&lt;&gt;"")*IF(((UPPER($AS$85:$AZ$85)="BLANK")+(UPPER($AS$85:$AZ$85)="(BLANK)")+(UPPER($AS$85:$AZ$85)="EMPTY")+(UPPER($AS$85:$AZ$85)="(EMPTY)"))&gt;0,IFERROR(('Final Calculation Sheet'!$Y$22)&amp;"","")="",ISNUMBER(SEARCH($AS$85:$AZ$85,IFERROR(('Final Calculation Sheet'!$Y$22)&amp;"","")))))&gt;0),IF(COUNTIF($BI$85:$BP$85,4)=0,TRUE,SUMPRODUCT(($BI$85:$BP$85=4)*($AS$85:$AZ$85&lt;&gt;"")*IF(((UPPER($AS$85:$AZ$85)="BLANK")+(UPPER($AS$85:$AZ$85)="(BLANK)")+(UPPER($AS$85:$AZ$85)="EMPTY")+(UPPER($AS$85:$AZ$85)="(EMPTY)"))&gt;0,IFERROR(('Final Calculation Sheet'!$Y$22)&amp;"","")="",ISNUMBER(SEARCH($AS$85:$AZ$85,IFERROR(('Final Calculation Sheet'!$Y$22)&amp;"","")))))&gt;0),IF(COUNTIF($BI$85:$BP$85,5)=0,TRUE,SUMPRODUCT(($BI$85:$BP$85=5)*($AS$85:$AZ$85&lt;&gt;"")*IF(((UPPER($AS$85:$AZ$85)="BLANK")+(UPPER($AS$85:$AZ$85)="(BLANK)")+(UPPER($AS$85:$AZ$85)="EMPTY")+(UPPER($AS$85:$AZ$85)="(EMPTY)"))&gt;0,IFERROR(('Final Calculation Sheet'!$Y$22)&amp;"","")="",ISNUMBER(SEARCH($AS$85:$AZ$85,IFERROR(('Final Calculation Sheet'!$Y$22)&amp;"","")))))&gt;0),IF(COUNTIF($BI$85:$BP$85,6)=0,TRUE,SUMPRODUCT(($BI$85:$BP$85=6)*($AS$85:$AZ$85&lt;&gt;"")*IF(((UPPER($AS$85:$AZ$85)="BLANK")+(UPPER($AS$85:$AZ$85)="(BLANK)")+(UPPER($AS$85:$AZ$85)="EMPTY")+(UPPER($AS$85:$AZ$85)="(EMPTY)"))&gt;0,IFERROR(('Final Calculation Sheet'!$Y$22)&amp;"","")="",ISNUMBER(SEARCH($AS$85:$AZ$85,IFERROR(('Final Calculation Sheet'!$Y$22)&amp;"","")))))&gt;0),IF(COUNTIF($BI$85:$BP$85,7)=0,TRUE,SUMPRODUCT(($BI$85:$BP$85=7)*($AS$85:$AZ$85&lt;&gt;"")*IF(((UPPER($AS$85:$AZ$85)="BLANK")+(UPPER($AS$85:$AZ$85)="(BLANK)")+(UPPER($AS$85:$AZ$85)="EMPTY")+(UPPER($AS$85:$AZ$85)="(EMPTY)"))&gt;0,IFERROR(('Final Calculation Sheet'!$Y$22)&amp;"","")="",ISNUMBER(SEARCH($AS$85:$AZ$85,IFERROR(('Final Calculation Sheet'!$Y$22)&amp;"","")))))&gt;0),IF(COUNTIF($BI$85:$BP$85,8)=0,TRUE,SUMPRODUCT(($BI$85:$BP$85=8)*($AS$85:$AZ$85&lt;&gt;"")*IF(((UPPER($AS$85:$AZ$85)="BLANK")+(UPPER($AS$85:$AZ$85)="(BLANK)")+(UPPER($AS$85:$AZ$85)="EMPTY")+(UPPER($AS$85:$AZ$85)="(EMPTY)"))&gt;0,IFERROR(('Final Calculation Sheet'!$Y$22)&amp;"","")="",ISNUMBER(SEARCH($AS$85:$AZ$85,IFERROR(('Final Calculation Sheet'!$Y$22)&amp;"","")))))&gt;0))))</f>
        <v>1</v>
      </c>
      <c r="CM23">
        <f>IF($AA$4="",1,--(AND(SUMPRODUCT(--($AS$86:$AZ$86&lt;&gt;""))&gt;0,IF(COUNTIF($BI$86:$BP$86,1)=0,TRUE,SUMPRODUCT(($BI$86:$BP$86=1)*($AS$86:$AZ$86&lt;&gt;"")*IF(((UPPER($AS$86:$AZ$86)="BLANK")+(UPPER($AS$86:$AZ$86)="(BLANK)")+(UPPER($AS$86:$AZ$86)="EMPTY")+(UPPER($AS$86:$AZ$86)="(EMPTY)"))&gt;0,IFERROR(('Final Calculation Sheet'!$Z$22)&amp;"","")="",ISNUMBER(SEARCH($AS$86:$AZ$86,IFERROR(('Final Calculation Sheet'!$Z$22)&amp;"","")))))&gt;0),IF(COUNTIF($BI$86:$BP$86,2)=0,TRUE,SUMPRODUCT(($BI$86:$BP$86=2)*($AS$86:$AZ$86&lt;&gt;"")*IF(((UPPER($AS$86:$AZ$86)="BLANK")+(UPPER($AS$86:$AZ$86)="(BLANK)")+(UPPER($AS$86:$AZ$86)="EMPTY")+(UPPER($AS$86:$AZ$86)="(EMPTY)"))&gt;0,IFERROR(('Final Calculation Sheet'!$Z$22)&amp;"","")="",ISNUMBER(SEARCH($AS$86:$AZ$86,IFERROR(('Final Calculation Sheet'!$Z$22)&amp;"","")))))&gt;0),IF(COUNTIF($BI$86:$BP$86,3)=0,TRUE,SUMPRODUCT(($BI$86:$BP$86=3)*($AS$86:$AZ$86&lt;&gt;"")*IF(((UPPER($AS$86:$AZ$86)="BLANK")+(UPPER($AS$86:$AZ$86)="(BLANK)")+(UPPER($AS$86:$AZ$86)="EMPTY")+(UPPER($AS$86:$AZ$86)="(EMPTY)"))&gt;0,IFERROR(('Final Calculation Sheet'!$Z$22)&amp;"","")="",ISNUMBER(SEARCH($AS$86:$AZ$86,IFERROR(('Final Calculation Sheet'!$Z$22)&amp;"","")))))&gt;0),IF(COUNTIF($BI$86:$BP$86,4)=0,TRUE,SUMPRODUCT(($BI$86:$BP$86=4)*($AS$86:$AZ$86&lt;&gt;"")*IF(((UPPER($AS$86:$AZ$86)="BLANK")+(UPPER($AS$86:$AZ$86)="(BLANK)")+(UPPER($AS$86:$AZ$86)="EMPTY")+(UPPER($AS$86:$AZ$86)="(EMPTY)"))&gt;0,IFERROR(('Final Calculation Sheet'!$Z$22)&amp;"","")="",ISNUMBER(SEARCH($AS$86:$AZ$86,IFERROR(('Final Calculation Sheet'!$Z$22)&amp;"","")))))&gt;0),IF(COUNTIF($BI$86:$BP$86,5)=0,TRUE,SUMPRODUCT(($BI$86:$BP$86=5)*($AS$86:$AZ$86&lt;&gt;"")*IF(((UPPER($AS$86:$AZ$86)="BLANK")+(UPPER($AS$86:$AZ$86)="(BLANK)")+(UPPER($AS$86:$AZ$86)="EMPTY")+(UPPER($AS$86:$AZ$86)="(EMPTY)"))&gt;0,IFERROR(('Final Calculation Sheet'!$Z$22)&amp;"","")="",ISNUMBER(SEARCH($AS$86:$AZ$86,IFERROR(('Final Calculation Sheet'!$Z$22)&amp;"","")))))&gt;0),IF(COUNTIF($BI$86:$BP$86,6)=0,TRUE,SUMPRODUCT(($BI$86:$BP$86=6)*($AS$86:$AZ$86&lt;&gt;"")*IF(((UPPER($AS$86:$AZ$86)="BLANK")+(UPPER($AS$86:$AZ$86)="(BLANK)")+(UPPER($AS$86:$AZ$86)="EMPTY")+(UPPER($AS$86:$AZ$86)="(EMPTY)"))&gt;0,IFERROR(('Final Calculation Sheet'!$Z$22)&amp;"","")="",ISNUMBER(SEARCH($AS$86:$AZ$86,IFERROR(('Final Calculation Sheet'!$Z$22)&amp;"","")))))&gt;0),IF(COUNTIF($BI$86:$BP$86,7)=0,TRUE,SUMPRODUCT(($BI$86:$BP$86=7)*($AS$86:$AZ$86&lt;&gt;"")*IF(((UPPER($AS$86:$AZ$86)="BLANK")+(UPPER($AS$86:$AZ$86)="(BLANK)")+(UPPER($AS$86:$AZ$86)="EMPTY")+(UPPER($AS$86:$AZ$86)="(EMPTY)"))&gt;0,IFERROR(('Final Calculation Sheet'!$Z$22)&amp;"","")="",ISNUMBER(SEARCH($AS$86:$AZ$86,IFERROR(('Final Calculation Sheet'!$Z$22)&amp;"","")))))&gt;0),IF(COUNTIF($BI$86:$BP$86,8)=0,TRUE,SUMPRODUCT(($BI$86:$BP$86=8)*($AS$86:$AZ$86&lt;&gt;"")*IF(((UPPER($AS$86:$AZ$86)="BLANK")+(UPPER($AS$86:$AZ$86)="(BLANK)")+(UPPER($AS$86:$AZ$86)="EMPTY")+(UPPER($AS$86:$AZ$86)="(EMPTY)"))&gt;0,IFERROR(('Final Calculation Sheet'!$Z$22)&amp;"","")="",ISNUMBER(SEARCH($AS$86:$AZ$86,IFERROR(('Final Calculation Sheet'!$Z$22)&amp;"","")))))&gt;0))))</f>
        <v>1</v>
      </c>
      <c r="CN23">
        <f>IF($AB$4="",1,--(AND(SUMPRODUCT(--($AS$87:$AZ$87&lt;&gt;""))&gt;0,IF(COUNTIF($BI$87:$BP$87,1)=0,TRUE,SUMPRODUCT(($BI$87:$BP$87=1)*($AS$87:$AZ$87&lt;&gt;"")*IF(((UPPER($AS$87:$AZ$87)="BLANK")+(UPPER($AS$87:$AZ$87)="(BLANK)")+(UPPER($AS$87:$AZ$87)="EMPTY")+(UPPER($AS$87:$AZ$87)="(EMPTY)"))&gt;0,IFERROR(('Final Calculation Sheet'!$AA$22)&amp;"","")="",ISNUMBER(SEARCH($AS$87:$AZ$87,IFERROR(('Final Calculation Sheet'!$AA$22)&amp;"","")))))&gt;0),IF(COUNTIF($BI$87:$BP$87,2)=0,TRUE,SUMPRODUCT(($BI$87:$BP$87=2)*($AS$87:$AZ$87&lt;&gt;"")*IF(((UPPER($AS$87:$AZ$87)="BLANK")+(UPPER($AS$87:$AZ$87)="(BLANK)")+(UPPER($AS$87:$AZ$87)="EMPTY")+(UPPER($AS$87:$AZ$87)="(EMPTY)"))&gt;0,IFERROR(('Final Calculation Sheet'!$AA$22)&amp;"","")="",ISNUMBER(SEARCH($AS$87:$AZ$87,IFERROR(('Final Calculation Sheet'!$AA$22)&amp;"","")))))&gt;0),IF(COUNTIF($BI$87:$BP$87,3)=0,TRUE,SUMPRODUCT(($BI$87:$BP$87=3)*($AS$87:$AZ$87&lt;&gt;"")*IF(((UPPER($AS$87:$AZ$87)="BLANK")+(UPPER($AS$87:$AZ$87)="(BLANK)")+(UPPER($AS$87:$AZ$87)="EMPTY")+(UPPER($AS$87:$AZ$87)="(EMPTY)"))&gt;0,IFERROR(('Final Calculation Sheet'!$AA$22)&amp;"","")="",ISNUMBER(SEARCH($AS$87:$AZ$87,IFERROR(('Final Calculation Sheet'!$AA$22)&amp;"","")))))&gt;0),IF(COUNTIF($BI$87:$BP$87,4)=0,TRUE,SUMPRODUCT(($BI$87:$BP$87=4)*($AS$87:$AZ$87&lt;&gt;"")*IF(((UPPER($AS$87:$AZ$87)="BLANK")+(UPPER($AS$87:$AZ$87)="(BLANK)")+(UPPER($AS$87:$AZ$87)="EMPTY")+(UPPER($AS$87:$AZ$87)="(EMPTY)"))&gt;0,IFERROR(('Final Calculation Sheet'!$AA$22)&amp;"","")="",ISNUMBER(SEARCH($AS$87:$AZ$87,IFERROR(('Final Calculation Sheet'!$AA$22)&amp;"","")))))&gt;0),IF(COUNTIF($BI$87:$BP$87,5)=0,TRUE,SUMPRODUCT(($BI$87:$BP$87=5)*($AS$87:$AZ$87&lt;&gt;"")*IF(((UPPER($AS$87:$AZ$87)="BLANK")+(UPPER($AS$87:$AZ$87)="(BLANK)")+(UPPER($AS$87:$AZ$87)="EMPTY")+(UPPER($AS$87:$AZ$87)="(EMPTY)"))&gt;0,IFERROR(('Final Calculation Sheet'!$AA$22)&amp;"","")="",ISNUMBER(SEARCH($AS$87:$AZ$87,IFERROR(('Final Calculation Sheet'!$AA$22)&amp;"","")))))&gt;0),IF(COUNTIF($BI$87:$BP$87,6)=0,TRUE,SUMPRODUCT(($BI$87:$BP$87=6)*($AS$87:$AZ$87&lt;&gt;"")*IF(((UPPER($AS$87:$AZ$87)="BLANK")+(UPPER($AS$87:$AZ$87)="(BLANK)")+(UPPER($AS$87:$AZ$87)="EMPTY")+(UPPER($AS$87:$AZ$87)="(EMPTY)"))&gt;0,IFERROR(('Final Calculation Sheet'!$AA$22)&amp;"","")="",ISNUMBER(SEARCH($AS$87:$AZ$87,IFERROR(('Final Calculation Sheet'!$AA$22)&amp;"","")))))&gt;0),IF(COUNTIF($BI$87:$BP$87,7)=0,TRUE,SUMPRODUCT(($BI$87:$BP$87=7)*($AS$87:$AZ$87&lt;&gt;"")*IF(((UPPER($AS$87:$AZ$87)="BLANK")+(UPPER($AS$87:$AZ$87)="(BLANK)")+(UPPER($AS$87:$AZ$87)="EMPTY")+(UPPER($AS$87:$AZ$87)="(EMPTY)"))&gt;0,IFERROR(('Final Calculation Sheet'!$AA$22)&amp;"","")="",ISNUMBER(SEARCH($AS$87:$AZ$87,IFERROR(('Final Calculation Sheet'!$AA$22)&amp;"","")))))&gt;0),IF(COUNTIF($BI$87:$BP$87,8)=0,TRUE,SUMPRODUCT(($BI$87:$BP$87=8)*($AS$87:$AZ$87&lt;&gt;"")*IF(((UPPER($AS$87:$AZ$87)="BLANK")+(UPPER($AS$87:$AZ$87)="(BLANK)")+(UPPER($AS$87:$AZ$87)="EMPTY")+(UPPER($AS$87:$AZ$87)="(EMPTY)"))&gt;0,IFERROR(('Final Calculation Sheet'!$AA$22)&amp;"","")="",ISNUMBER(SEARCH($AS$87:$AZ$87,IFERROR(('Final Calculation Sheet'!$AA$22)&amp;"","")))))&gt;0))))</f>
        <v>1</v>
      </c>
      <c r="CO23">
        <f>IF($AC$4="",1,--(AND(SUMPRODUCT(--($AS$88:$AZ$88&lt;&gt;""))&gt;0,IF(COUNTIF($BI$88:$BP$88,1)=0,TRUE,SUMPRODUCT(($BI$88:$BP$88=1)*($AS$88:$AZ$88&lt;&gt;"")*IF(((UPPER($AS$88:$AZ$88)="BLANK")+(UPPER($AS$88:$AZ$88)="(BLANK)")+(UPPER($AS$88:$AZ$88)="EMPTY")+(UPPER($AS$88:$AZ$88)="(EMPTY)"))&gt;0,IFERROR(('Final Calculation Sheet'!$AB$22)&amp;"","")="",ISNUMBER(SEARCH($AS$88:$AZ$88,IFERROR(('Final Calculation Sheet'!$AB$22)&amp;"","")))))&gt;0),IF(COUNTIF($BI$88:$BP$88,2)=0,TRUE,SUMPRODUCT(($BI$88:$BP$88=2)*($AS$88:$AZ$88&lt;&gt;"")*IF(((UPPER($AS$88:$AZ$88)="BLANK")+(UPPER($AS$88:$AZ$88)="(BLANK)")+(UPPER($AS$88:$AZ$88)="EMPTY")+(UPPER($AS$88:$AZ$88)="(EMPTY)"))&gt;0,IFERROR(('Final Calculation Sheet'!$AB$22)&amp;"","")="",ISNUMBER(SEARCH($AS$88:$AZ$88,IFERROR(('Final Calculation Sheet'!$AB$22)&amp;"","")))))&gt;0),IF(COUNTIF($BI$88:$BP$88,3)=0,TRUE,SUMPRODUCT(($BI$88:$BP$88=3)*($AS$88:$AZ$88&lt;&gt;"")*IF(((UPPER($AS$88:$AZ$88)="BLANK")+(UPPER($AS$88:$AZ$88)="(BLANK)")+(UPPER($AS$88:$AZ$88)="EMPTY")+(UPPER($AS$88:$AZ$88)="(EMPTY)"))&gt;0,IFERROR(('Final Calculation Sheet'!$AB$22)&amp;"","")="",ISNUMBER(SEARCH($AS$88:$AZ$88,IFERROR(('Final Calculation Sheet'!$AB$22)&amp;"","")))))&gt;0),IF(COUNTIF($BI$88:$BP$88,4)=0,TRUE,SUMPRODUCT(($BI$88:$BP$88=4)*($AS$88:$AZ$88&lt;&gt;"")*IF(((UPPER($AS$88:$AZ$88)="BLANK")+(UPPER($AS$88:$AZ$88)="(BLANK)")+(UPPER($AS$88:$AZ$88)="EMPTY")+(UPPER($AS$88:$AZ$88)="(EMPTY)"))&gt;0,IFERROR(('Final Calculation Sheet'!$AB$22)&amp;"","")="",ISNUMBER(SEARCH($AS$88:$AZ$88,IFERROR(('Final Calculation Sheet'!$AB$22)&amp;"","")))))&gt;0),IF(COUNTIF($BI$88:$BP$88,5)=0,TRUE,SUMPRODUCT(($BI$88:$BP$88=5)*($AS$88:$AZ$88&lt;&gt;"")*IF(((UPPER($AS$88:$AZ$88)="BLANK")+(UPPER($AS$88:$AZ$88)="(BLANK)")+(UPPER($AS$88:$AZ$88)="EMPTY")+(UPPER($AS$88:$AZ$88)="(EMPTY)"))&gt;0,IFERROR(('Final Calculation Sheet'!$AB$22)&amp;"","")="",ISNUMBER(SEARCH($AS$88:$AZ$88,IFERROR(('Final Calculation Sheet'!$AB$22)&amp;"","")))))&gt;0),IF(COUNTIF($BI$88:$BP$88,6)=0,TRUE,SUMPRODUCT(($BI$88:$BP$88=6)*($AS$88:$AZ$88&lt;&gt;"")*IF(((UPPER($AS$88:$AZ$88)="BLANK")+(UPPER($AS$88:$AZ$88)="(BLANK)")+(UPPER($AS$88:$AZ$88)="EMPTY")+(UPPER($AS$88:$AZ$88)="(EMPTY)"))&gt;0,IFERROR(('Final Calculation Sheet'!$AB$22)&amp;"","")="",ISNUMBER(SEARCH($AS$88:$AZ$88,IFERROR(('Final Calculation Sheet'!$AB$22)&amp;"","")))))&gt;0),IF(COUNTIF($BI$88:$BP$88,7)=0,TRUE,SUMPRODUCT(($BI$88:$BP$88=7)*($AS$88:$AZ$88&lt;&gt;"")*IF(((UPPER($AS$88:$AZ$88)="BLANK")+(UPPER($AS$88:$AZ$88)="(BLANK)")+(UPPER($AS$88:$AZ$88)="EMPTY")+(UPPER($AS$88:$AZ$88)="(EMPTY)"))&gt;0,IFERROR(('Final Calculation Sheet'!$AB$22)&amp;"","")="",ISNUMBER(SEARCH($AS$88:$AZ$88,IFERROR(('Final Calculation Sheet'!$AB$22)&amp;"","")))))&gt;0),IF(COUNTIF($BI$88:$BP$88,8)=0,TRUE,SUMPRODUCT(($BI$88:$BP$88=8)*($AS$88:$AZ$88&lt;&gt;"")*IF(((UPPER($AS$88:$AZ$88)="BLANK")+(UPPER($AS$88:$AZ$88)="(BLANK)")+(UPPER($AS$88:$AZ$88)="EMPTY")+(UPPER($AS$88:$AZ$88)="(EMPTY)"))&gt;0,IFERROR(('Final Calculation Sheet'!$AB$22)&amp;"","")="",ISNUMBER(SEARCH($AS$88:$AZ$88,IFERROR(('Final Calculation Sheet'!$AB$22)&amp;"","")))))&gt;0))))</f>
        <v>1</v>
      </c>
      <c r="CP23">
        <f>IF($AD$4="",1,--(AND(SUMPRODUCT(--($AS$89:$AZ$89&lt;&gt;""))&gt;0,IF(COUNTIF($BI$89:$BP$89,1)=0,TRUE,SUMPRODUCT(($BI$89:$BP$89=1)*($AS$89:$AZ$89&lt;&gt;"")*IF(((UPPER($AS$89:$AZ$89)="BLANK")+(UPPER($AS$89:$AZ$89)="(BLANK)")+(UPPER($AS$89:$AZ$89)="EMPTY")+(UPPER($AS$89:$AZ$89)="(EMPTY)"))&gt;0,IFERROR(('Final Calculation Sheet'!$AC$22)&amp;"","")="",ISNUMBER(SEARCH($AS$89:$AZ$89,IFERROR(('Final Calculation Sheet'!$AC$22)&amp;"","")))))&gt;0),IF(COUNTIF($BI$89:$BP$89,2)=0,TRUE,SUMPRODUCT(($BI$89:$BP$89=2)*($AS$89:$AZ$89&lt;&gt;"")*IF(((UPPER($AS$89:$AZ$89)="BLANK")+(UPPER($AS$89:$AZ$89)="(BLANK)")+(UPPER($AS$89:$AZ$89)="EMPTY")+(UPPER($AS$89:$AZ$89)="(EMPTY)"))&gt;0,IFERROR(('Final Calculation Sheet'!$AC$22)&amp;"","")="",ISNUMBER(SEARCH($AS$89:$AZ$89,IFERROR(('Final Calculation Sheet'!$AC$22)&amp;"","")))))&gt;0),IF(COUNTIF($BI$89:$BP$89,3)=0,TRUE,SUMPRODUCT(($BI$89:$BP$89=3)*($AS$89:$AZ$89&lt;&gt;"")*IF(((UPPER($AS$89:$AZ$89)="BLANK")+(UPPER($AS$89:$AZ$89)="(BLANK)")+(UPPER($AS$89:$AZ$89)="EMPTY")+(UPPER($AS$89:$AZ$89)="(EMPTY)"))&gt;0,IFERROR(('Final Calculation Sheet'!$AC$22)&amp;"","")="",ISNUMBER(SEARCH($AS$89:$AZ$89,IFERROR(('Final Calculation Sheet'!$AC$22)&amp;"","")))))&gt;0),IF(COUNTIF($BI$89:$BP$89,4)=0,TRUE,SUMPRODUCT(($BI$89:$BP$89=4)*($AS$89:$AZ$89&lt;&gt;"")*IF(((UPPER($AS$89:$AZ$89)="BLANK")+(UPPER($AS$89:$AZ$89)="(BLANK)")+(UPPER($AS$89:$AZ$89)="EMPTY")+(UPPER($AS$89:$AZ$89)="(EMPTY)"))&gt;0,IFERROR(('Final Calculation Sheet'!$AC$22)&amp;"","")="",ISNUMBER(SEARCH($AS$89:$AZ$89,IFERROR(('Final Calculation Sheet'!$AC$22)&amp;"","")))))&gt;0),IF(COUNTIF($BI$89:$BP$89,5)=0,TRUE,SUMPRODUCT(($BI$89:$BP$89=5)*($AS$89:$AZ$89&lt;&gt;"")*IF(((UPPER($AS$89:$AZ$89)="BLANK")+(UPPER($AS$89:$AZ$89)="(BLANK)")+(UPPER($AS$89:$AZ$89)="EMPTY")+(UPPER($AS$89:$AZ$89)="(EMPTY)"))&gt;0,IFERROR(('Final Calculation Sheet'!$AC$22)&amp;"","")="",ISNUMBER(SEARCH($AS$89:$AZ$89,IFERROR(('Final Calculation Sheet'!$AC$22)&amp;"","")))))&gt;0),IF(COUNTIF($BI$89:$BP$89,6)=0,TRUE,SUMPRODUCT(($BI$89:$BP$89=6)*($AS$89:$AZ$89&lt;&gt;"")*IF(((UPPER($AS$89:$AZ$89)="BLANK")+(UPPER($AS$89:$AZ$89)="(BLANK)")+(UPPER($AS$89:$AZ$89)="EMPTY")+(UPPER($AS$89:$AZ$89)="(EMPTY)"))&gt;0,IFERROR(('Final Calculation Sheet'!$AC$22)&amp;"","")="",ISNUMBER(SEARCH($AS$89:$AZ$89,IFERROR(('Final Calculation Sheet'!$AC$22)&amp;"","")))))&gt;0),IF(COUNTIF($BI$89:$BP$89,7)=0,TRUE,SUMPRODUCT(($BI$89:$BP$89=7)*($AS$89:$AZ$89&lt;&gt;"")*IF(((UPPER($AS$89:$AZ$89)="BLANK")+(UPPER($AS$89:$AZ$89)="(BLANK)")+(UPPER($AS$89:$AZ$89)="EMPTY")+(UPPER($AS$89:$AZ$89)="(EMPTY)"))&gt;0,IFERROR(('Final Calculation Sheet'!$AC$22)&amp;"","")="",ISNUMBER(SEARCH($AS$89:$AZ$89,IFERROR(('Final Calculation Sheet'!$AC$22)&amp;"","")))))&gt;0),IF(COUNTIF($BI$89:$BP$89,8)=0,TRUE,SUMPRODUCT(($BI$89:$BP$89=8)*($AS$89:$AZ$89&lt;&gt;"")*IF(((UPPER($AS$89:$AZ$89)="BLANK")+(UPPER($AS$89:$AZ$89)="(BLANK)")+(UPPER($AS$89:$AZ$89)="EMPTY")+(UPPER($AS$89:$AZ$89)="(EMPTY)"))&gt;0,IFERROR(('Final Calculation Sheet'!$AC$22)&amp;"","")="",ISNUMBER(SEARCH($AS$89:$AZ$89,IFERROR(('Final Calculation Sheet'!$AC$22)&amp;"","")))))&gt;0))))</f>
        <v>1</v>
      </c>
      <c r="CQ23">
        <f>IF($AE$4="",1,--(AND(SUMPRODUCT(--($AS$90:$AZ$90&lt;&gt;""))&gt;0,IF(COUNTIF($BI$90:$BP$90,1)=0,TRUE,SUMPRODUCT(($BI$90:$BP$90=1)*($AS$90:$AZ$90&lt;&gt;"")*IF(((UPPER($AS$90:$AZ$90)="BLANK")+(UPPER($AS$90:$AZ$90)="(BLANK)")+(UPPER($AS$90:$AZ$90)="EMPTY")+(UPPER($AS$90:$AZ$90)="(EMPTY)"))&gt;0,IFERROR(('Final Calculation Sheet'!$AD$22)&amp;"","")="",ISNUMBER(SEARCH($AS$90:$AZ$90,IFERROR(('Final Calculation Sheet'!$AD$22)&amp;"","")))))&gt;0),IF(COUNTIF($BI$90:$BP$90,2)=0,TRUE,SUMPRODUCT(($BI$90:$BP$90=2)*($AS$90:$AZ$90&lt;&gt;"")*IF(((UPPER($AS$90:$AZ$90)="BLANK")+(UPPER($AS$90:$AZ$90)="(BLANK)")+(UPPER($AS$90:$AZ$90)="EMPTY")+(UPPER($AS$90:$AZ$90)="(EMPTY)"))&gt;0,IFERROR(('Final Calculation Sheet'!$AD$22)&amp;"","")="",ISNUMBER(SEARCH($AS$90:$AZ$90,IFERROR(('Final Calculation Sheet'!$AD$22)&amp;"","")))))&gt;0),IF(COUNTIF($BI$90:$BP$90,3)=0,TRUE,SUMPRODUCT(($BI$90:$BP$90=3)*($AS$90:$AZ$90&lt;&gt;"")*IF(((UPPER($AS$90:$AZ$90)="BLANK")+(UPPER($AS$90:$AZ$90)="(BLANK)")+(UPPER($AS$90:$AZ$90)="EMPTY")+(UPPER($AS$90:$AZ$90)="(EMPTY)"))&gt;0,IFERROR(('Final Calculation Sheet'!$AD$22)&amp;"","")="",ISNUMBER(SEARCH($AS$90:$AZ$90,IFERROR(('Final Calculation Sheet'!$AD$22)&amp;"","")))))&gt;0),IF(COUNTIF($BI$90:$BP$90,4)=0,TRUE,SUMPRODUCT(($BI$90:$BP$90=4)*($AS$90:$AZ$90&lt;&gt;"")*IF(((UPPER($AS$90:$AZ$90)="BLANK")+(UPPER($AS$90:$AZ$90)="(BLANK)")+(UPPER($AS$90:$AZ$90)="EMPTY")+(UPPER($AS$90:$AZ$90)="(EMPTY)"))&gt;0,IFERROR(('Final Calculation Sheet'!$AD$22)&amp;"","")="",ISNUMBER(SEARCH($AS$90:$AZ$90,IFERROR(('Final Calculation Sheet'!$AD$22)&amp;"","")))))&gt;0),IF(COUNTIF($BI$90:$BP$90,5)=0,TRUE,SUMPRODUCT(($BI$90:$BP$90=5)*($AS$90:$AZ$90&lt;&gt;"")*IF(((UPPER($AS$90:$AZ$90)="BLANK")+(UPPER($AS$90:$AZ$90)="(BLANK)")+(UPPER($AS$90:$AZ$90)="EMPTY")+(UPPER($AS$90:$AZ$90)="(EMPTY)"))&gt;0,IFERROR(('Final Calculation Sheet'!$AD$22)&amp;"","")="",ISNUMBER(SEARCH($AS$90:$AZ$90,IFERROR(('Final Calculation Sheet'!$AD$22)&amp;"","")))))&gt;0),IF(COUNTIF($BI$90:$BP$90,6)=0,TRUE,SUMPRODUCT(($BI$90:$BP$90=6)*($AS$90:$AZ$90&lt;&gt;"")*IF(((UPPER($AS$90:$AZ$90)="BLANK")+(UPPER($AS$90:$AZ$90)="(BLANK)")+(UPPER($AS$90:$AZ$90)="EMPTY")+(UPPER($AS$90:$AZ$90)="(EMPTY)"))&gt;0,IFERROR(('Final Calculation Sheet'!$AD$22)&amp;"","")="",ISNUMBER(SEARCH($AS$90:$AZ$90,IFERROR(('Final Calculation Sheet'!$AD$22)&amp;"","")))))&gt;0),IF(COUNTIF($BI$90:$BP$90,7)=0,TRUE,SUMPRODUCT(($BI$90:$BP$90=7)*($AS$90:$AZ$90&lt;&gt;"")*IF(((UPPER($AS$90:$AZ$90)="BLANK")+(UPPER($AS$90:$AZ$90)="(BLANK)")+(UPPER($AS$90:$AZ$90)="EMPTY")+(UPPER($AS$90:$AZ$90)="(EMPTY)"))&gt;0,IFERROR(('Final Calculation Sheet'!$AD$22)&amp;"","")="",ISNUMBER(SEARCH($AS$90:$AZ$90,IFERROR(('Final Calculation Sheet'!$AD$22)&amp;"","")))))&gt;0),IF(COUNTIF($BI$90:$BP$90,8)=0,TRUE,SUMPRODUCT(($BI$90:$BP$90=8)*($AS$90:$AZ$90&lt;&gt;"")*IF(((UPPER($AS$90:$AZ$90)="BLANK")+(UPPER($AS$90:$AZ$90)="(BLANK)")+(UPPER($AS$90:$AZ$90)="EMPTY")+(UPPER($AS$90:$AZ$90)="(EMPTY)"))&gt;0,IFERROR(('Final Calculation Sheet'!$AD$22)&amp;"","")="",ISNUMBER(SEARCH($AS$90:$AZ$90,IFERROR(('Final Calculation Sheet'!$AD$22)&amp;"","")))))&gt;0))))</f>
        <v>1</v>
      </c>
      <c r="CR23">
        <f>IF($AF$4="",1,--(AND(SUMPRODUCT(--($AS$91:$AZ$91&lt;&gt;""))&gt;0,IF(COUNTIF($BI$91:$BP$91,1)=0,TRUE,SUMPRODUCT(($BI$91:$BP$91=1)*($AS$91:$AZ$91&lt;&gt;"")*IF(((UPPER($AS$91:$AZ$91)="BLANK")+(UPPER($AS$91:$AZ$91)="(BLANK)")+(UPPER($AS$91:$AZ$91)="EMPTY")+(UPPER($AS$91:$AZ$91)="(EMPTY)"))&gt;0,IFERROR(('Final Calculation Sheet'!$AE$22)&amp;"","")="",ISNUMBER(SEARCH($AS$91:$AZ$91,IFERROR(('Final Calculation Sheet'!$AE$22)&amp;"","")))))&gt;0),IF(COUNTIF($BI$91:$BP$91,2)=0,TRUE,SUMPRODUCT(($BI$91:$BP$91=2)*($AS$91:$AZ$91&lt;&gt;"")*IF(((UPPER($AS$91:$AZ$91)="BLANK")+(UPPER($AS$91:$AZ$91)="(BLANK)")+(UPPER($AS$91:$AZ$91)="EMPTY")+(UPPER($AS$91:$AZ$91)="(EMPTY)"))&gt;0,IFERROR(('Final Calculation Sheet'!$AE$22)&amp;"","")="",ISNUMBER(SEARCH($AS$91:$AZ$91,IFERROR(('Final Calculation Sheet'!$AE$22)&amp;"","")))))&gt;0),IF(COUNTIF($BI$91:$BP$91,3)=0,TRUE,SUMPRODUCT(($BI$91:$BP$91=3)*($AS$91:$AZ$91&lt;&gt;"")*IF(((UPPER($AS$91:$AZ$91)="BLANK")+(UPPER($AS$91:$AZ$91)="(BLANK)")+(UPPER($AS$91:$AZ$91)="EMPTY")+(UPPER($AS$91:$AZ$91)="(EMPTY)"))&gt;0,IFERROR(('Final Calculation Sheet'!$AE$22)&amp;"","")="",ISNUMBER(SEARCH($AS$91:$AZ$91,IFERROR(('Final Calculation Sheet'!$AE$22)&amp;"","")))))&gt;0),IF(COUNTIF($BI$91:$BP$91,4)=0,TRUE,SUMPRODUCT(($BI$91:$BP$91=4)*($AS$91:$AZ$91&lt;&gt;"")*IF(((UPPER($AS$91:$AZ$91)="BLANK")+(UPPER($AS$91:$AZ$91)="(BLANK)")+(UPPER($AS$91:$AZ$91)="EMPTY")+(UPPER($AS$91:$AZ$91)="(EMPTY)"))&gt;0,IFERROR(('Final Calculation Sheet'!$AE$22)&amp;"","")="",ISNUMBER(SEARCH($AS$91:$AZ$91,IFERROR(('Final Calculation Sheet'!$AE$22)&amp;"","")))))&gt;0),IF(COUNTIF($BI$91:$BP$91,5)=0,TRUE,SUMPRODUCT(($BI$91:$BP$91=5)*($AS$91:$AZ$91&lt;&gt;"")*IF(((UPPER($AS$91:$AZ$91)="BLANK")+(UPPER($AS$91:$AZ$91)="(BLANK)")+(UPPER($AS$91:$AZ$91)="EMPTY")+(UPPER($AS$91:$AZ$91)="(EMPTY)"))&gt;0,IFERROR(('Final Calculation Sheet'!$AE$22)&amp;"","")="",ISNUMBER(SEARCH($AS$91:$AZ$91,IFERROR(('Final Calculation Sheet'!$AE$22)&amp;"","")))))&gt;0),IF(COUNTIF($BI$91:$BP$91,6)=0,TRUE,SUMPRODUCT(($BI$91:$BP$91=6)*($AS$91:$AZ$91&lt;&gt;"")*IF(((UPPER($AS$91:$AZ$91)="BLANK")+(UPPER($AS$91:$AZ$91)="(BLANK)")+(UPPER($AS$91:$AZ$91)="EMPTY")+(UPPER($AS$91:$AZ$91)="(EMPTY)"))&gt;0,IFERROR(('Final Calculation Sheet'!$AE$22)&amp;"","")="",ISNUMBER(SEARCH($AS$91:$AZ$91,IFERROR(('Final Calculation Sheet'!$AE$22)&amp;"","")))))&gt;0),IF(COUNTIF($BI$91:$BP$91,7)=0,TRUE,SUMPRODUCT(($BI$91:$BP$91=7)*($AS$91:$AZ$91&lt;&gt;"")*IF(((UPPER($AS$91:$AZ$91)="BLANK")+(UPPER($AS$91:$AZ$91)="(BLANK)")+(UPPER($AS$91:$AZ$91)="EMPTY")+(UPPER($AS$91:$AZ$91)="(EMPTY)"))&gt;0,IFERROR(('Final Calculation Sheet'!$AE$22)&amp;"","")="",ISNUMBER(SEARCH($AS$91:$AZ$91,IFERROR(('Final Calculation Sheet'!$AE$22)&amp;"","")))))&gt;0),IF(COUNTIF($BI$91:$BP$91,8)=0,TRUE,SUMPRODUCT(($BI$91:$BP$91=8)*($AS$91:$AZ$91&lt;&gt;"")*IF(((UPPER($AS$91:$AZ$91)="BLANK")+(UPPER($AS$91:$AZ$91)="(BLANK)")+(UPPER($AS$91:$AZ$91)="EMPTY")+(UPPER($AS$91:$AZ$91)="(EMPTY)"))&gt;0,IFERROR(('Final Calculation Sheet'!$AE$22)&amp;"","")="",ISNUMBER(SEARCH($AS$91:$AZ$91,IFERROR(('Final Calculation Sheet'!$AE$22)&amp;"","")))))&gt;0))))</f>
        <v>1</v>
      </c>
      <c r="CS23">
        <f>IF($AG$4="",1,--(AND(SUMPRODUCT(--($AS$92:$AZ$92&lt;&gt;""))&gt;0,IF(COUNTIF($BI$92:$BP$92,1)=0,TRUE,SUMPRODUCT(($BI$92:$BP$92=1)*($AS$92:$AZ$92&lt;&gt;"")*IF(((UPPER($AS$92:$AZ$92)="BLANK")+(UPPER($AS$92:$AZ$92)="(BLANK)")+(UPPER($AS$92:$AZ$92)="EMPTY")+(UPPER($AS$92:$AZ$92)="(EMPTY)"))&gt;0,IFERROR(('Final Calculation Sheet'!$AF$22)&amp;"","")="",ISNUMBER(SEARCH($AS$92:$AZ$92,IFERROR(('Final Calculation Sheet'!$AF$22)&amp;"","")))))&gt;0),IF(COUNTIF($BI$92:$BP$92,2)=0,TRUE,SUMPRODUCT(($BI$92:$BP$92=2)*($AS$92:$AZ$92&lt;&gt;"")*IF(((UPPER($AS$92:$AZ$92)="BLANK")+(UPPER($AS$92:$AZ$92)="(BLANK)")+(UPPER($AS$92:$AZ$92)="EMPTY")+(UPPER($AS$92:$AZ$92)="(EMPTY)"))&gt;0,IFERROR(('Final Calculation Sheet'!$AF$22)&amp;"","")="",ISNUMBER(SEARCH($AS$92:$AZ$92,IFERROR(('Final Calculation Sheet'!$AF$22)&amp;"","")))))&gt;0),IF(COUNTIF($BI$92:$BP$92,3)=0,TRUE,SUMPRODUCT(($BI$92:$BP$92=3)*($AS$92:$AZ$92&lt;&gt;"")*IF(((UPPER($AS$92:$AZ$92)="BLANK")+(UPPER($AS$92:$AZ$92)="(BLANK)")+(UPPER($AS$92:$AZ$92)="EMPTY")+(UPPER($AS$92:$AZ$92)="(EMPTY)"))&gt;0,IFERROR(('Final Calculation Sheet'!$AF$22)&amp;"","")="",ISNUMBER(SEARCH($AS$92:$AZ$92,IFERROR(('Final Calculation Sheet'!$AF$22)&amp;"","")))))&gt;0),IF(COUNTIF($BI$92:$BP$92,4)=0,TRUE,SUMPRODUCT(($BI$92:$BP$92=4)*($AS$92:$AZ$92&lt;&gt;"")*IF(((UPPER($AS$92:$AZ$92)="BLANK")+(UPPER($AS$92:$AZ$92)="(BLANK)")+(UPPER($AS$92:$AZ$92)="EMPTY")+(UPPER($AS$92:$AZ$92)="(EMPTY)"))&gt;0,IFERROR(('Final Calculation Sheet'!$AF$22)&amp;"","")="",ISNUMBER(SEARCH($AS$92:$AZ$92,IFERROR(('Final Calculation Sheet'!$AF$22)&amp;"","")))))&gt;0),IF(COUNTIF($BI$92:$BP$92,5)=0,TRUE,SUMPRODUCT(($BI$92:$BP$92=5)*($AS$92:$AZ$92&lt;&gt;"")*IF(((UPPER($AS$92:$AZ$92)="BLANK")+(UPPER($AS$92:$AZ$92)="(BLANK)")+(UPPER($AS$92:$AZ$92)="EMPTY")+(UPPER($AS$92:$AZ$92)="(EMPTY)"))&gt;0,IFERROR(('Final Calculation Sheet'!$AF$22)&amp;"","")="",ISNUMBER(SEARCH($AS$92:$AZ$92,IFERROR(('Final Calculation Sheet'!$AF$22)&amp;"","")))))&gt;0),IF(COUNTIF($BI$92:$BP$92,6)=0,TRUE,SUMPRODUCT(($BI$92:$BP$92=6)*($AS$92:$AZ$92&lt;&gt;"")*IF(((UPPER($AS$92:$AZ$92)="BLANK")+(UPPER($AS$92:$AZ$92)="(BLANK)")+(UPPER($AS$92:$AZ$92)="EMPTY")+(UPPER($AS$92:$AZ$92)="(EMPTY)"))&gt;0,IFERROR(('Final Calculation Sheet'!$AF$22)&amp;"","")="",ISNUMBER(SEARCH($AS$92:$AZ$92,IFERROR(('Final Calculation Sheet'!$AF$22)&amp;"","")))))&gt;0),IF(COUNTIF($BI$92:$BP$92,7)=0,TRUE,SUMPRODUCT(($BI$92:$BP$92=7)*($AS$92:$AZ$92&lt;&gt;"")*IF(((UPPER($AS$92:$AZ$92)="BLANK")+(UPPER($AS$92:$AZ$92)="(BLANK)")+(UPPER($AS$92:$AZ$92)="EMPTY")+(UPPER($AS$92:$AZ$92)="(EMPTY)"))&gt;0,IFERROR(('Final Calculation Sheet'!$AF$22)&amp;"","")="",ISNUMBER(SEARCH($AS$92:$AZ$92,IFERROR(('Final Calculation Sheet'!$AF$22)&amp;"","")))))&gt;0),IF(COUNTIF($BI$92:$BP$92,8)=0,TRUE,SUMPRODUCT(($BI$92:$BP$92=8)*($AS$92:$AZ$92&lt;&gt;"")*IF(((UPPER($AS$92:$AZ$92)="BLANK")+(UPPER($AS$92:$AZ$92)="(BLANK)")+(UPPER($AS$92:$AZ$92)="EMPTY")+(UPPER($AS$92:$AZ$92)="(EMPTY)"))&gt;0,IFERROR(('Final Calculation Sheet'!$AF$22)&amp;"","")="",ISNUMBER(SEARCH($AS$92:$AZ$92,IFERROR(('Final Calculation Sheet'!$AF$22)&amp;"","")))))&gt;0))))</f>
        <v>1</v>
      </c>
      <c r="CT23">
        <f>IF($AH$4="",1,--(AND(SUMPRODUCT(--($AS$93:$AZ$93&lt;&gt;""))&gt;0,IF(COUNTIF($BI$93:$BP$93,1)=0,TRUE,SUMPRODUCT(($BI$93:$BP$93=1)*($AS$93:$AZ$93&lt;&gt;"")*IF(((UPPER($AS$93:$AZ$93)="BLANK")+(UPPER($AS$93:$AZ$93)="(BLANK)")+(UPPER($AS$93:$AZ$93)="EMPTY")+(UPPER($AS$93:$AZ$93)="(EMPTY)"))&gt;0,IFERROR(('Final Calculation Sheet'!$AG$22)&amp;"","")="",ISNUMBER(SEARCH($AS$93:$AZ$93,IFERROR(('Final Calculation Sheet'!$AG$22)&amp;"","")))))&gt;0),IF(COUNTIF($BI$93:$BP$93,2)=0,TRUE,SUMPRODUCT(($BI$93:$BP$93=2)*($AS$93:$AZ$93&lt;&gt;"")*IF(((UPPER($AS$93:$AZ$93)="BLANK")+(UPPER($AS$93:$AZ$93)="(BLANK)")+(UPPER($AS$93:$AZ$93)="EMPTY")+(UPPER($AS$93:$AZ$93)="(EMPTY)"))&gt;0,IFERROR(('Final Calculation Sheet'!$AG$22)&amp;"","")="",ISNUMBER(SEARCH($AS$93:$AZ$93,IFERROR(('Final Calculation Sheet'!$AG$22)&amp;"","")))))&gt;0),IF(COUNTIF($BI$93:$BP$93,3)=0,TRUE,SUMPRODUCT(($BI$93:$BP$93=3)*($AS$93:$AZ$93&lt;&gt;"")*IF(((UPPER($AS$93:$AZ$93)="BLANK")+(UPPER($AS$93:$AZ$93)="(BLANK)")+(UPPER($AS$93:$AZ$93)="EMPTY")+(UPPER($AS$93:$AZ$93)="(EMPTY)"))&gt;0,IFERROR(('Final Calculation Sheet'!$AG$22)&amp;"","")="",ISNUMBER(SEARCH($AS$93:$AZ$93,IFERROR(('Final Calculation Sheet'!$AG$22)&amp;"","")))))&gt;0),IF(COUNTIF($BI$93:$BP$93,4)=0,TRUE,SUMPRODUCT(($BI$93:$BP$93=4)*($AS$93:$AZ$93&lt;&gt;"")*IF(((UPPER($AS$93:$AZ$93)="BLANK")+(UPPER($AS$93:$AZ$93)="(BLANK)")+(UPPER($AS$93:$AZ$93)="EMPTY")+(UPPER($AS$93:$AZ$93)="(EMPTY)"))&gt;0,IFERROR(('Final Calculation Sheet'!$AG$22)&amp;"","")="",ISNUMBER(SEARCH($AS$93:$AZ$93,IFERROR(('Final Calculation Sheet'!$AG$22)&amp;"","")))))&gt;0),IF(COUNTIF($BI$93:$BP$93,5)=0,TRUE,SUMPRODUCT(($BI$93:$BP$93=5)*($AS$93:$AZ$93&lt;&gt;"")*IF(((UPPER($AS$93:$AZ$93)="BLANK")+(UPPER($AS$93:$AZ$93)="(BLANK)")+(UPPER($AS$93:$AZ$93)="EMPTY")+(UPPER($AS$93:$AZ$93)="(EMPTY)"))&gt;0,IFERROR(('Final Calculation Sheet'!$AG$22)&amp;"","")="",ISNUMBER(SEARCH($AS$93:$AZ$93,IFERROR(('Final Calculation Sheet'!$AG$22)&amp;"","")))))&gt;0),IF(COUNTIF($BI$93:$BP$93,6)=0,TRUE,SUMPRODUCT(($BI$93:$BP$93=6)*($AS$93:$AZ$93&lt;&gt;"")*IF(((UPPER($AS$93:$AZ$93)="BLANK")+(UPPER($AS$93:$AZ$93)="(BLANK)")+(UPPER($AS$93:$AZ$93)="EMPTY")+(UPPER($AS$93:$AZ$93)="(EMPTY)"))&gt;0,IFERROR(('Final Calculation Sheet'!$AG$22)&amp;"","")="",ISNUMBER(SEARCH($AS$93:$AZ$93,IFERROR(('Final Calculation Sheet'!$AG$22)&amp;"","")))))&gt;0),IF(COUNTIF($BI$93:$BP$93,7)=0,TRUE,SUMPRODUCT(($BI$93:$BP$93=7)*($AS$93:$AZ$93&lt;&gt;"")*IF(((UPPER($AS$93:$AZ$93)="BLANK")+(UPPER($AS$93:$AZ$93)="(BLANK)")+(UPPER($AS$93:$AZ$93)="EMPTY")+(UPPER($AS$93:$AZ$93)="(EMPTY)"))&gt;0,IFERROR(('Final Calculation Sheet'!$AG$22)&amp;"","")="",ISNUMBER(SEARCH($AS$93:$AZ$93,IFERROR(('Final Calculation Sheet'!$AG$22)&amp;"","")))))&gt;0),IF(COUNTIF($BI$93:$BP$93,8)=0,TRUE,SUMPRODUCT(($BI$93:$BP$93=8)*($AS$93:$AZ$93&lt;&gt;"")*IF(((UPPER($AS$93:$AZ$93)="BLANK")+(UPPER($AS$93:$AZ$93)="(BLANK)")+(UPPER($AS$93:$AZ$93)="EMPTY")+(UPPER($AS$93:$AZ$93)="(EMPTY)"))&gt;0,IFERROR(('Final Calculation Sheet'!$AG$22)&amp;"","")="",ISNUMBER(SEARCH($AS$93:$AZ$93,IFERROR(('Final Calculation Sheet'!$AG$22)&amp;"","")))))&gt;0))))</f>
        <v>1</v>
      </c>
      <c r="CU23">
        <f>IF($AI$4="",1,--(AND(SUMPRODUCT(--($AS$94:$AZ$94&lt;&gt;""))&gt;0,IF(COUNTIF($BI$94:$BP$94,1)=0,TRUE,SUMPRODUCT(($BI$94:$BP$94=1)*($AS$94:$AZ$94&lt;&gt;"")*IF(((UPPER($AS$94:$AZ$94)="BLANK")+(UPPER($AS$94:$AZ$94)="(BLANK)")+(UPPER($AS$94:$AZ$94)="EMPTY")+(UPPER($AS$94:$AZ$94)="(EMPTY)"))&gt;0,IFERROR((IF('Final Calculation Sheet'!$AD$22&lt;=0,"SETTLED","OUTSTANDING"))&amp;"","")="",ISNUMBER(SEARCH($AS$94:$AZ$94,IFERROR((IF('Final Calculation Sheet'!$AD$22&lt;=0,"SETTLED","OUTSTANDING"))&amp;"","")))))&gt;0),IF(COUNTIF($BI$94:$BP$94,2)=0,TRUE,SUMPRODUCT(($BI$94:$BP$94=2)*($AS$94:$AZ$94&lt;&gt;"")*IF(((UPPER($AS$94:$AZ$94)="BLANK")+(UPPER($AS$94:$AZ$94)="(BLANK)")+(UPPER($AS$94:$AZ$94)="EMPTY")+(UPPER($AS$94:$AZ$94)="(EMPTY)"))&gt;0,IFERROR((IF('Final Calculation Sheet'!$AD$22&lt;=0,"SETTLED","OUTSTANDING"))&amp;"","")="",ISNUMBER(SEARCH($AS$94:$AZ$94,IFERROR((IF('Final Calculation Sheet'!$AD$22&lt;=0,"SETTLED","OUTSTANDING"))&amp;"","")))))&gt;0),IF(COUNTIF($BI$94:$BP$94,3)=0,TRUE,SUMPRODUCT(($BI$94:$BP$94=3)*($AS$94:$AZ$94&lt;&gt;"")*IF(((UPPER($AS$94:$AZ$94)="BLANK")+(UPPER($AS$94:$AZ$94)="(BLANK)")+(UPPER($AS$94:$AZ$94)="EMPTY")+(UPPER($AS$94:$AZ$94)="(EMPTY)"))&gt;0,IFERROR((IF('Final Calculation Sheet'!$AD$22&lt;=0,"SETTLED","OUTSTANDING"))&amp;"","")="",ISNUMBER(SEARCH($AS$94:$AZ$94,IFERROR((IF('Final Calculation Sheet'!$AD$22&lt;=0,"SETTLED","OUTSTANDING"))&amp;"","")))))&gt;0),IF(COUNTIF($BI$94:$BP$94,4)=0,TRUE,SUMPRODUCT(($BI$94:$BP$94=4)*($AS$94:$AZ$94&lt;&gt;"")*IF(((UPPER($AS$94:$AZ$94)="BLANK")+(UPPER($AS$94:$AZ$94)="(BLANK)")+(UPPER($AS$94:$AZ$94)="EMPTY")+(UPPER($AS$94:$AZ$94)="(EMPTY)"))&gt;0,IFERROR((IF('Final Calculation Sheet'!$AD$22&lt;=0,"SETTLED","OUTSTANDING"))&amp;"","")="",ISNUMBER(SEARCH($AS$94:$AZ$94,IFERROR((IF('Final Calculation Sheet'!$AD$22&lt;=0,"SETTLED","OUTSTANDING"))&amp;"","")))))&gt;0),IF(COUNTIF($BI$94:$BP$94,5)=0,TRUE,SUMPRODUCT(($BI$94:$BP$94=5)*($AS$94:$AZ$94&lt;&gt;"")*IF(((UPPER($AS$94:$AZ$94)="BLANK")+(UPPER($AS$94:$AZ$94)="(BLANK)")+(UPPER($AS$94:$AZ$94)="EMPTY")+(UPPER($AS$94:$AZ$94)="(EMPTY)"))&gt;0,IFERROR((IF('Final Calculation Sheet'!$AD$22&lt;=0,"SETTLED","OUTSTANDING"))&amp;"","")="",ISNUMBER(SEARCH($AS$94:$AZ$94,IFERROR((IF('Final Calculation Sheet'!$AD$22&lt;=0,"SETTLED","OUTSTANDING"))&amp;"","")))))&gt;0),IF(COUNTIF($BI$94:$BP$94,6)=0,TRUE,SUMPRODUCT(($BI$94:$BP$94=6)*($AS$94:$AZ$94&lt;&gt;"")*IF(((UPPER($AS$94:$AZ$94)="BLANK")+(UPPER($AS$94:$AZ$94)="(BLANK)")+(UPPER($AS$94:$AZ$94)="EMPTY")+(UPPER($AS$94:$AZ$94)="(EMPTY)"))&gt;0,IFERROR((IF('Final Calculation Sheet'!$AD$22&lt;=0,"SETTLED","OUTSTANDING"))&amp;"","")="",ISNUMBER(SEARCH($AS$94:$AZ$94,IFERROR((IF('Final Calculation Sheet'!$AD$22&lt;=0,"SETTLED","OUTSTANDING"))&amp;"","")))))&gt;0),IF(COUNTIF($BI$94:$BP$94,7)=0,TRUE,SUMPRODUCT(($BI$94:$BP$94=7)*($AS$94:$AZ$94&lt;&gt;"")*IF(((UPPER($AS$94:$AZ$94)="BLANK")+(UPPER($AS$94:$AZ$94)="(BLANK)")+(UPPER($AS$94:$AZ$94)="EMPTY")+(UPPER($AS$94:$AZ$94)="(EMPTY)"))&gt;0,IFERROR((IF('Final Calculation Sheet'!$AD$22&lt;=0,"SETTLED","OUTSTANDING"))&amp;"","")="",ISNUMBER(SEARCH($AS$94:$AZ$94,IFERROR((IF('Final Calculation Sheet'!$AD$22&lt;=0,"SETTLED","OUTSTANDING"))&amp;"","")))))&gt;0),IF(COUNTIF($BI$94:$BP$94,8)=0,TRUE,SUMPRODUCT(($BI$94:$BP$94=8)*($AS$94:$AZ$94&lt;&gt;"")*IF(((UPPER($AS$94:$AZ$94)="BLANK")+(UPPER($AS$94:$AZ$94)="(BLANK)")+(UPPER($AS$94:$AZ$94)="EMPTY")+(UPPER($AS$94:$AZ$94)="(EMPTY)"))&gt;0,IFERROR((IF('Final Calculation Sheet'!$AD$22&lt;=0,"SETTLED","OUTSTANDING"))&amp;"","")="",ISNUMBER(SEARCH($AS$94:$AZ$94,IFERROR((IF('Final Calculation Sheet'!$AD$22&lt;=0,"SETTLED","OUTSTANDING"))&amp;"","")))))&gt;0))))</f>
        <v>1</v>
      </c>
    </row>
    <row r="24" spans="1:99" ht="15" customHeight="1" x14ac:dyDescent="0.25">
      <c r="A24" s="67">
        <f>IF($BJ23&gt;0,INDEX($BA$5:$BA$41,MATCH(23,$BB$5:$BB$41,0)),IF(OR($BI23=1,$BL23=1,$BH23&gt;0),"∑",""))</f>
        <v>7</v>
      </c>
      <c r="B24" s="68">
        <f>IF($BJ23&gt;0,IF(INDEX('Final Calculation Sheet'!$F$4:$F$40,$BJ23-3)="","",INDEX('Final Calculation Sheet'!$F$4:$F$40,$BJ23-3)),"")</f>
        <v>2003</v>
      </c>
      <c r="C24" s="68" t="str">
        <f>IF($BJ23&gt;0,IF(INDEX('Final Calculation Sheet'!$G$4:$G$40,$BJ23-3)="","",INDEX('Final Calculation Sheet'!$G$4:$G$40,$BJ23-3)),IF(OR($BI23=1,$BL23=1,$BH23&gt;0),IF($BI23=1,37,IF($BL23=1,37-INDEX($BD$4:$BD$13,10),INDEX($BD$4:$BD$13,$BH23)))&amp;" lot(s)",""))</f>
        <v>NATIONAL ENTERPRISES</v>
      </c>
      <c r="D24" s="69" t="str">
        <f>IF($BJ23&gt;0,IF(INDEX('Final Calculation Sheet'!$B$4:$B$40,$BJ23-3)="","",INDEX('Final Calculation Sheet'!$B$4:$B$40,$BJ23-3)),IF(OR($BI23=1,$BL23=1,$BH23&gt;0),IF($BI23=1,"GRAND TOTAL  —  matching + remaining",IF($BL23=1,"TOTAL MATCHED  —  every group together",IF($BH23=10,"REMAINING  —  did not match the search",IF($BH23=9,IF(COUNTIF($A$4:$AI$4,"&lt;&gt;")&gt;0,"FILTERED LOTS  —  column fields","ALL LOTS  —  nothing typed in the box"),"GROUP "&amp;$BH23&amp;" TOTAL  —  lots matching  "&amp;INDEX($AR$6:$AY$6,$BH23))))),""))</f>
        <v>Scrap of 145 KV CB</v>
      </c>
      <c r="E24" s="69">
        <f>IF($BJ23&gt;0,IF(INDEX('Final Calculation Sheet'!$D$4:$D$40,$BJ23-3)="","",INDEX('Final Calculation Sheet'!$D$4:$D$40,$BJ23-3)),IF(OR($BI23=1,$BL23=1,$BH23&gt;0),"–",""))</f>
        <v>21977</v>
      </c>
      <c r="F24" s="69">
        <f>IF($BJ23&gt;0,IF(INDEX('Final Calculation Sheet'!$A$4:$A$40,$BJ23-3)="","",INDEX('Final Calculation Sheet'!$A$4:$A$40,$BJ23-3)),IF(OR($BI23=1,$BL23=1,$BH23&gt;0),IF($BI23=1,SUM('Final Calculation Sheet'!$A$4:$A$40),IF($BL23=1,SUM('Final Calculation Sheet'!$A$4:$A$40)-SUMIFS('Final Calculation Sheet'!$A$4:$A$40,$AZ$5:$AZ$41,10),SUMIFS('Final Calculation Sheet'!$A$4:$A$40,$AZ$5:$AZ$41,$BH23))),""))</f>
        <v>1</v>
      </c>
      <c r="G24" s="69" t="str">
        <f>IF($BJ23&gt;0,IF(INDEX('Final Calculation Sheet'!$E$4:$E$40,$BJ23-3)="","",INDEX('Final Calculation Sheet'!$E$4:$E$40,$BJ23-3)),IF(OR($BI23=1,$BL23=1,$BH23&gt;0),"–",""))</f>
        <v>NO</v>
      </c>
      <c r="H24" s="70">
        <f>IF($BJ23&gt;0,IF(INDEX('Final Calculation Sheet'!$C$4:$C$40,$BJ23-3)="","",INDEX('Final Calculation Sheet'!$C$4:$C$40,$BJ23-3)),IF(OR($BI23=1,$BL23=1,$BH23&gt;0),"–",""))</f>
        <v>65007</v>
      </c>
      <c r="I24" s="70">
        <f>IF($BJ23&gt;0,IF(INDEX('Final Calculation Sheet'!$H$4:$H$40,$BJ23-3)="","",INDEX('Final Calculation Sheet'!$H$4:$H$40,$BJ23-3)),IF(OR($BI23=1,$BL23=1,$BH23&gt;0),IF($BI23=1,SUM('Final Calculation Sheet'!$H$4:$H$40),IF($BL23=1,SUM('Final Calculation Sheet'!$H$4:$H$40)-SUMIFS('Final Calculation Sheet'!$H$4:$H$40,$AZ$5:$AZ$41,10),SUMIFS('Final Calculation Sheet'!$H$4:$H$40,$AZ$5:$AZ$41,$BH23))),""))</f>
        <v>65007</v>
      </c>
      <c r="J24" s="70">
        <f>IF($BJ23&gt;0,IF(INDEX('Final Calculation Sheet'!$I$4:$I$40,$BJ23-3)="","",INDEX('Final Calculation Sheet'!$I$4:$I$40,$BJ23-3)),IF(OR($BI23=1,$BL23=1,$BH23&gt;0),IF($BI23=1,SUM('Final Calculation Sheet'!$I$4:$I$40),IF($BL23=1,SUM('Final Calculation Sheet'!$I$4:$I$40)-SUMIFS('Final Calculation Sheet'!$I$4:$I$40,$AZ$5:$AZ$41,10),SUMIFS('Final Calculation Sheet'!$I$4:$I$40,$AZ$5:$AZ$41,$BH23))),""))</f>
        <v>11701</v>
      </c>
      <c r="K24" s="70">
        <f>IF($BJ23&gt;0,IF(INDEX('Final Calculation Sheet'!$J$4:$J$40,$BJ23-3)="","",INDEX('Final Calculation Sheet'!$J$4:$J$40,$BJ23-3)),IF(OR($BI23=1,$BL23=1,$BH23&gt;0),IF($BI23=1,SUM('Final Calculation Sheet'!$J$4:$J$40),IF($BL23=1,SUM('Final Calculation Sheet'!$J$4:$J$40)-SUMIFS('Final Calculation Sheet'!$J$4:$J$40,$AZ$5:$AZ$41,10),SUMIFS('Final Calculation Sheet'!$J$4:$J$40,$AZ$5:$AZ$41,$BH23))),""))</f>
        <v>76708</v>
      </c>
      <c r="L24" s="70">
        <f>IF($BJ23&gt;0,IF(INDEX('Final Calculation Sheet'!$K$4:$K$40,$BJ23-3)="","",INDEX('Final Calculation Sheet'!$K$4:$K$40,$BJ23-3)),IF(OR($BI23=1,$BL23=1,$BH23&gt;0),IF($BI23=1,SUM('Final Calculation Sheet'!$K$4:$K$40),IF($BL23=1,SUM('Final Calculation Sheet'!$K$4:$K$40)-SUMIFS('Final Calculation Sheet'!$K$4:$K$40,$AZ$5:$AZ$41,10),SUMIFS('Final Calculation Sheet'!$K$4:$K$40,$AZ$5:$AZ$41,$BH23))),""))</f>
        <v>1534</v>
      </c>
      <c r="M24" s="70">
        <f>IF($BJ23&gt;0,IF(INDEX('Final Calculation Sheet'!$L$4:$L$40,$BJ23-3)="","",INDEX('Final Calculation Sheet'!$L$4:$L$40,$BJ23-3)),IF(OR($BI23=1,$BL23=1,$BH23&gt;0),IF($BI23=1,SUM('Final Calculation Sheet'!$L$4:$L$40),IF($BL23=1,SUM('Final Calculation Sheet'!$L$4:$L$40)-SUMIFS('Final Calculation Sheet'!$L$4:$L$40,$AZ$5:$AZ$41,10),SUMIFS('Final Calculation Sheet'!$L$4:$L$40,$AZ$5:$AZ$41,$BH23))),""))</f>
        <v>65.007000000000005</v>
      </c>
      <c r="N24" s="70">
        <f>IF($BJ23&gt;0,IF(INDEX('Final Calculation Sheet'!$M$4:$M$40,$BJ23-3)="","",INDEX('Final Calculation Sheet'!$M$4:$M$40,$BJ23-3)),IF(OR($BI23=1,$BL23=1,$BH23&gt;0),IF($BI23=1,SUM('Final Calculation Sheet'!$M$4:$M$40),IF($BL23=1,SUM('Final Calculation Sheet'!$M$4:$M$40)-SUMIFS('Final Calculation Sheet'!$M$4:$M$40,$AZ$5:$AZ$41,10),SUMIFS('Final Calculation Sheet'!$M$4:$M$40,$AZ$5:$AZ$41,$BH23))),""))</f>
        <v>1725.9358499999998</v>
      </c>
      <c r="O24" s="71">
        <f>IF($BJ23&gt;0,IF(INDEX('Final Calculation Sheet'!$N$4:$N$40,$BJ23-3)="","",INDEX('Final Calculation Sheet'!$N$4:$N$40,$BJ23-3)),IF(OR($BI23=1,$BL23=1,$BH23&gt;0),IF($BI23=1,SUM('Final Calculation Sheet'!$N$4:$N$40),IF($BL23=1,SUM('Final Calculation Sheet'!$N$4:$N$40)-SUMIFS('Final Calculation Sheet'!$N$4:$N$40,$AZ$5:$AZ$41,10),SUMIFS('Final Calculation Sheet'!$N$4:$N$40,$AZ$5:$AZ$41,$BH23))),""))</f>
        <v>29.253150000000002</v>
      </c>
      <c r="P24" s="70">
        <f>IF($BJ23&gt;0,IF(INDEX('Final Calculation Sheet'!$O$4:$O$40,$BJ23-3)="","",INDEX('Final Calculation Sheet'!$O$4:$O$40,$BJ23-3)),IF(OR($BI23=1,$BL23=1,$BH23&gt;0),IF($BI23=1,SUM('Final Calculation Sheet'!$O$4:$O$40),IF($BL23=1,SUM('Final Calculation Sheet'!$O$4:$O$40)-SUMIFS('Final Calculation Sheet'!$O$4:$O$40,$AZ$5:$AZ$41,10),SUMIFS('Final Calculation Sheet'!$O$4:$O$40,$AZ$5:$AZ$41,$BH23))),""))</f>
        <v>1696.6826999999998</v>
      </c>
      <c r="Q24" s="70">
        <f>IF($BJ23&gt;0,IF(INDEX('Final Calculation Sheet'!$P$4:$P$40,$BJ23-3)="","",INDEX('Final Calculation Sheet'!$P$4:$P$40,$BJ23-3)),IF(OR($BI23=1,$BL23=1,$BH23&gt;0),IF($BI23=1,SUM('Final Calculation Sheet'!$P$4:$P$40),IF($BL23=1,SUM('Final Calculation Sheet'!$P$4:$P$40)-SUMIFS('Final Calculation Sheet'!$P$4:$P$40,$AZ$5:$AZ$41,10),SUMIFS('Final Calculation Sheet'!$P$4:$P$40,$AZ$5:$AZ$41,$BH23))),""))</f>
        <v>1762</v>
      </c>
      <c r="R24" s="72">
        <f>IF($BJ23&gt;0,IF(INDEX('Final Calculation Sheet'!$Q$4:$Q$40,$BJ23-3)="","",INDEX('Final Calculation Sheet'!$Q$4:$Q$40,$BJ23-3)),IF(OR($BI23=1,$BL23=1,$BH23&gt;0),"–",""))</f>
        <v>0</v>
      </c>
      <c r="S24" s="70">
        <f>IF($BJ23&gt;0,IF(INDEX('Final Calculation Sheet'!$R$4:$R$40,$BJ23-3)="","",INDEX('Final Calculation Sheet'!$R$4:$R$40,$BJ23-3)),IF(OR($BI23=1,$BL23=1,$BH23&gt;0),IF($BI23=1,SUM('Final Calculation Sheet'!$R$4:$R$40),IF($BL23=1,SUM('Final Calculation Sheet'!$R$4:$R$40)-SUMIFS('Final Calculation Sheet'!$R$4:$R$40,$AZ$5:$AZ$41,10),SUMIFS('Final Calculation Sheet'!$R$4:$R$40,$AZ$5:$AZ$41,$BH23))),""))</f>
        <v>0</v>
      </c>
      <c r="T24" s="70">
        <f>IF($BJ23&gt;0,IF(INDEX('Final Calculation Sheet'!$S$4:$S$40,$BJ23-3)="","",INDEX('Final Calculation Sheet'!$S$4:$S$40,$BJ23-3)),IF(OR($BI23=1,$BL23=1,$BH23&gt;0),IF($BI23=1,SUM('Final Calculation Sheet'!$S$4:$S$40),IF($BL23=1,SUM('Final Calculation Sheet'!$S$4:$S$40)-SUMIFS('Final Calculation Sheet'!$S$4:$S$40,$AZ$5:$AZ$41,10),SUMIFS('Final Calculation Sheet'!$S$4:$S$40,$AZ$5:$AZ$41,$BH23))),""))</f>
        <v>76481</v>
      </c>
      <c r="U24" s="70">
        <f>IF($BJ23&gt;0,IF(INDEX('Final Calculation Sheet'!$T$4:$T$40,$BJ23-3)="","",INDEX('Final Calculation Sheet'!$T$4:$T$40,$BJ23-3)),IF(OR($BI23=1,$BL23=1,$BH23&gt;0),IF($BI23=1,SUM('Final Calculation Sheet'!$T$4:$T$40),IF($BL23=1,SUM('Final Calculation Sheet'!$T$4:$T$40)-SUMIFS('Final Calculation Sheet'!$T$4:$T$40,$AZ$5:$AZ$41,10),SUMIFS('Final Calculation Sheet'!$T$4:$T$40,$AZ$5:$AZ$41,$BH23))),""))</f>
        <v>16252</v>
      </c>
      <c r="V24" s="73">
        <f>IF($BJ23&gt;0,IF(INDEX('Final Calculation Sheet'!$U$4:$U$40,$BJ23-3)="","",INDEX('Final Calculation Sheet'!$U$4:$U$40,$BJ23-3)),IF(OR($BI23=1,$BL23=1,$BH23&gt;0),IF($BI23=1,SUM('Final Calculation Sheet'!$U$4:$U$40),IF($BL23=1,SUM('Final Calculation Sheet'!$U$4:$U$40)-SUMIFS('Final Calculation Sheet'!$U$4:$U$40,$AZ$5:$AZ$41,10),SUMIFS('Final Calculation Sheet'!$U$4:$U$40,$AZ$5:$AZ$41,$BH23))),""))</f>
        <v>16252</v>
      </c>
      <c r="W24" s="70" t="str">
        <f>IF($BJ23&gt;0,IF(INDEX('Final Calculation Sheet'!$V$4:$V$40,$BJ23-3)="","",INDEX('Final Calculation Sheet'!$V$4:$V$40,$BJ23-3)),IF(OR($BI23=1,$BL23=1,$BH23&gt;0),"–",""))</f>
        <v>13.08.2026</v>
      </c>
      <c r="X24" s="70">
        <f>IF($BJ23&gt;0,IF(INDEX('Final Calculation Sheet'!$W$4:$W$40,$BJ23-3)="","",INDEX('Final Calculation Sheet'!$W$4:$W$40,$BJ23-3)),IF(OR($BI23=1,$BL23=1,$BH23&gt;0),IF($BI23=1,SUM('Final Calculation Sheet'!$W$4:$W$40),IF($BL23=1,SUM('Final Calculation Sheet'!$W$4:$W$40)-SUMIFS('Final Calculation Sheet'!$W$4:$W$40,$AZ$5:$AZ$41,10),SUMIFS('Final Calculation Sheet'!$W$4:$W$40,$AZ$5:$AZ$41,$BH23))),""))</f>
        <v>60229</v>
      </c>
      <c r="Y24" s="70">
        <f>IF($BJ23&gt;0,IF(INDEX('Final Calculation Sheet'!$X$4:$X$40,$BJ23-3)="","",INDEX('Final Calculation Sheet'!$X$4:$X$40,$BJ23-3)),IF(OR($BI23=1,$BL23=1,$BH23&gt;0),IF($BI23=1,SUM('Final Calculation Sheet'!$X$4:$X$40),IF($BL23=1,SUM('Final Calculation Sheet'!$X$4:$X$40)-SUMIFS('Final Calculation Sheet'!$X$4:$X$40,$AZ$5:$AZ$41,10),SUMIFS('Final Calculation Sheet'!$X$4:$X$40,$AZ$5:$AZ$41,$BH23))),""))</f>
        <v>60229</v>
      </c>
      <c r="Z24" s="70" t="str">
        <f>IF($BJ23&gt;0,IF(INDEX('Final Calculation Sheet'!$Y$4:$Y$40,$BJ23-3)="","",INDEX('Final Calculation Sheet'!$Y$4:$Y$40,$BJ23-3)),IF(OR($BI23=1,$BL23=1,$BH23&gt;0),"–",""))</f>
        <v>24.08.2026</v>
      </c>
      <c r="AA24" s="70">
        <f ca="1">IF($BJ23&gt;0,IF(INDEX('Final Calculation Sheet'!$Z$4:$Z$40,$BJ23-3)="","",INDEX('Final Calculation Sheet'!$Z$4:$Z$40,$BJ23-3)),IF(OR($BI23=1,$BL23=1,$BH23&gt;0),IF($BI23=1,SUM('Final Calculation Sheet'!$Z$4:$Z$40),IF($BL23=1,SUM('Final Calculation Sheet'!$Z$4:$Z$40)-SUMIFS('Final Calculation Sheet'!$Z$4:$Z$40,$AZ$5:$AZ$41,10),SUMIFS('Final Calculation Sheet'!$Z$4:$Z$40,$AZ$5:$AZ$41,$BH23))),""))</f>
        <v>0</v>
      </c>
      <c r="AB24" s="70" t="str">
        <f>IF($BJ23&gt;0,IF(INDEX('Final Calculation Sheet'!$AA$4:$AA$40,$BJ23-3)="","",INDEX('Final Calculation Sheet'!$AA$4:$AA$40,$BJ23-3)),IF(OR($BI23=1,$BL23=1,$BH23&gt;0),IF($BI23=1,SUM('Final Calculation Sheet'!$AA$4:$AA$40),IF($BL23=1,SUM('Final Calculation Sheet'!$AA$4:$AA$40)-SUMIFS('Final Calculation Sheet'!$AA$4:$AA$40,$AZ$5:$AZ$41,10),SUMIFS('Final Calculation Sheet'!$AA$4:$AA$40,$AZ$5:$AZ$41,$BH23))),""))</f>
        <v/>
      </c>
      <c r="AC24" s="70" t="str">
        <f>IF($BJ23&gt;0,IF(INDEX('Final Calculation Sheet'!$AB$4:$AB$40,$BJ23-3)="","",INDEX('Final Calculation Sheet'!$AB$4:$AB$40,$BJ23-3)),IF(OR($BI23=1,$BL23=1,$BH23&gt;0),"–",""))</f>
        <v/>
      </c>
      <c r="AD24" s="70">
        <f>IF($BJ23&gt;0,IF(INDEX('Final Calculation Sheet'!$AC$4:$AC$40,$BJ23-3)="","",INDEX('Final Calculation Sheet'!$AC$4:$AC$40,$BJ23-3)),IF(OR($BI23=1,$BL23=1,$BH23&gt;0),IF($BI23=1,SUM('Final Calculation Sheet'!$AC$4:$AC$40),IF($BL23=1,SUM('Final Calculation Sheet'!$AC$4:$AC$40)-SUMIFS('Final Calculation Sheet'!$AC$4:$AC$40,$AZ$5:$AZ$41,10),SUMIFS('Final Calculation Sheet'!$AC$4:$AC$40,$AZ$5:$AZ$41,$BH23))),""))</f>
        <v>76481</v>
      </c>
      <c r="AE24" s="70">
        <f>IF($BJ23&gt;0,IF(INDEX('Final Calculation Sheet'!$AD$4:$AD$40,$BJ23-3)="","",INDEX('Final Calculation Sheet'!$AD$4:$AD$40,$BJ23-3)),IF(OR($BI23=1,$BL23=1,$BH23&gt;0),IF($BI23=1,SUM('Final Calculation Sheet'!$AD$4:$AD$40),IF($BL23=1,SUM('Final Calculation Sheet'!$AD$4:$AD$40)-SUMIFS('Final Calculation Sheet'!$AD$4:$AD$40,$AZ$5:$AZ$41,10),SUMIFS('Final Calculation Sheet'!$AD$4:$AD$40,$AZ$5:$AZ$41,$BH23))),""))</f>
        <v>0</v>
      </c>
      <c r="AF24" s="70" t="str">
        <f>IF($BJ23&gt;0,IF(INDEX('Final Calculation Sheet'!$AE$4:$AE$40,$BJ23-3)="","",INDEX('Final Calculation Sheet'!$AE$4:$AE$40,$BJ23-3)),IF(OR($BI23=1,$BL23=1,$BH23&gt;0),"–",""))</f>
        <v>DR2640100032</v>
      </c>
      <c r="AG24" s="74">
        <f>IF($BJ23&gt;0,IF(INDEX('Final Calculation Sheet'!$AF$4:$AF$40,$BJ23-3)="","",INDEX('Final Calculation Sheet'!$AF$4:$AF$40,$BJ23-3)),IF(OR($BI23=1,$BL23=1,$BH23&gt;0),"–",""))</f>
        <v>1800003304</v>
      </c>
      <c r="AH24" s="70" t="str">
        <f>IF($BJ23&gt;0,IF(INDEX('Final Calculation Sheet'!$AG$4:$AG$40,$BJ23-3)="","",INDEX('Final Calculation Sheet'!$AG$4:$AG$40,$BJ23-3)),IF(OR($BI23=1,$BL23=1,$BH23&gt;0),"–",""))</f>
        <v>27.08.2026</v>
      </c>
      <c r="AI24" s="75" t="str">
        <f>IF($BJ23&gt;0,IF(INDEX('Final Calculation Sheet'!$AD$4:$AD$40,$BJ23-3)="","",IF(INDEX('Final Calculation Sheet'!$AD$4:$AD$40,$BJ23-3)&lt;=0,"SETTLED","OUTSTANDING")),IF(OR($BI23=1,$BL23=1,$BH23&gt;0),IF(IF($BI23=1,SUM('Final Calculation Sheet'!$AD$4:$AD$40),IF($BL23=1,SUM('Final Calculation Sheet'!$AD$4:$AD$40)-SUMIFS('Final Calculation Sheet'!$AD$4:$AD$40,$AZ$5:$AZ$41,10),SUMIFS('Final Calculation Sheet'!$AD$4:$AD$40,$AZ$5:$AZ$41,$BH23)))&lt;=0,"ALL SETTLED","OUTSTANDING"),""))</f>
        <v>SETTLED</v>
      </c>
      <c r="AK24" t="str">
        <f>IF($F$3="Lot No.",'Final Calculation Sheet'!$F$23,IF($F$3="Buyer",'Final Calculation Sheet'!$G$23,IF($F$3="Lot Name",'Final Calculation Sheet'!$B$23,IF($F$3="Bid Sheet",'Final Calculation Sheet'!$D$23,IF($F$3="Unit",'Final Calculation Sheet'!$E$23,'Final Calculation Sheet'!$F$23&amp;" "&amp;'Final Calculation Sheet'!$G$23&amp;" "&amp;'Final Calculation Sheet'!$B$23)))))</f>
        <v>2025 STERLING ENTERPRISES Scrap of empty oil Barrels</v>
      </c>
      <c r="AM24">
        <f t="shared" si="1"/>
        <v>1</v>
      </c>
      <c r="AZ24">
        <f t="shared" si="2"/>
        <v>2</v>
      </c>
      <c r="BA24">
        <f t="shared" si="3"/>
        <v>3</v>
      </c>
      <c r="BB24">
        <f t="shared" si="4"/>
        <v>12</v>
      </c>
      <c r="BC24">
        <v>23</v>
      </c>
      <c r="BH24">
        <f>IFERROR(MATCH(24,$BF$4:$BF$13,0),0)</f>
        <v>0</v>
      </c>
      <c r="BI24">
        <f>IF(24=$BG$5,1,0)</f>
        <v>0</v>
      </c>
      <c r="BJ24">
        <f>IF(OR($BH24&gt;0,$BI24=1,$BL24=1),0,IFERROR(INDEX($BC$5:$BC$41,MATCH(24,$BB$5:$BB$41,0)),0))</f>
        <v>12</v>
      </c>
      <c r="BK24">
        <f>IF($BJ24&gt;0,IF(INDEX($AZ$5:$AZ$41,MATCH(24,$BB$5:$BB$41,0))=10,1,0),IF($BH24=10,1,0))</f>
        <v>1</v>
      </c>
      <c r="BL24">
        <f>IF(24=$BG$4,1,0)</f>
        <v>0</v>
      </c>
      <c r="BM24">
        <f>IF($A$4="",1,--(AND(SUMPRODUCT(--($AS$60:$AZ$60&lt;&gt;""))&gt;0,IF(COUNTIF($BI$60:$BP$60,1)=0,TRUE,SUMPRODUCT(($BI$60:$BP$60=1)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$60,2)=0,TRUE,SUMPRODUCT(($BI$60:$BP$60=2)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$60,3)=0,TRUE,SUMPRODUCT(($BI$60:$BP$60=3)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$60,4)=0,TRUE,SUMPRODUCT(($BI$60:$BP$60=4)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$60,5)=0,TRUE,SUMPRODUCT(($BI$60:$BP$60=5)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$60,6)=0,TRUE,SUMPRODUCT(($BI$60:$BP$60=6)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$60,7)=0,TRUE,SUMPRODUCT(($BI$60:$BP$60=7)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$60,8)=0,TRUE,SUMPRODUCT(($BI$60:$BP$60=8)*($AS$60:$AZ$60&lt;&gt;"")*IF(((UPPER($AS$60:$AZ$60)="BLANK")+(UPPER($AS$60:$AZ$60)="(BLANK)")+(UPPER($AS$60:$AZ$60)="EMPTY")+(UPPER($AS$60:$AZ$60)="(EMPTY)"))&gt;0,IFERROR((ROW()-4)&amp;"","")="",ISNUMBER(SEARCH($AS$60:$AZ$60,IFERROR((ROW()-4)&amp;"","")))))&gt;0))))</f>
        <v>1</v>
      </c>
      <c r="BN24">
        <f>IF($B$4="",1,--(AND(SUMPRODUCT(--($AS$61:$AZ$61&lt;&gt;""))&gt;0,IF(COUNTIF($BI$61:$BP$61,1)=0,TRUE,SUMPRODUCT(($BI$61:$BP$61=1)*($AS$61:$AZ$61&lt;&gt;"")*IF(((UPPER($AS$61:$AZ$61)="BLANK")+(UPPER($AS$61:$AZ$61)="(BLANK)")+(UPPER($AS$61:$AZ$61)="EMPTY")+(UPPER($AS$61:$AZ$61)="(EMPTY)"))&gt;0,IFERROR(('Final Calculation Sheet'!$F$23)&amp;"","")="",ISNUMBER(SEARCH($AS$61:$AZ$61,IFERROR(('Final Calculation Sheet'!$F$23)&amp;"","")))))&gt;0),IF(COUNTIF($BI$61:$BP$61,2)=0,TRUE,SUMPRODUCT(($BI$61:$BP$61=2)*($AS$61:$AZ$61&lt;&gt;"")*IF(((UPPER($AS$61:$AZ$61)="BLANK")+(UPPER($AS$61:$AZ$61)="(BLANK)")+(UPPER($AS$61:$AZ$61)="EMPTY")+(UPPER($AS$61:$AZ$61)="(EMPTY)"))&gt;0,IFERROR(('Final Calculation Sheet'!$F$23)&amp;"","")="",ISNUMBER(SEARCH($AS$61:$AZ$61,IFERROR(('Final Calculation Sheet'!$F$23)&amp;"","")))))&gt;0),IF(COUNTIF($BI$61:$BP$61,3)=0,TRUE,SUMPRODUCT(($BI$61:$BP$61=3)*($AS$61:$AZ$61&lt;&gt;"")*IF(((UPPER($AS$61:$AZ$61)="BLANK")+(UPPER($AS$61:$AZ$61)="(BLANK)")+(UPPER($AS$61:$AZ$61)="EMPTY")+(UPPER($AS$61:$AZ$61)="(EMPTY)"))&gt;0,IFERROR(('Final Calculation Sheet'!$F$23)&amp;"","")="",ISNUMBER(SEARCH($AS$61:$AZ$61,IFERROR(('Final Calculation Sheet'!$F$23)&amp;"","")))))&gt;0),IF(COUNTIF($BI$61:$BP$61,4)=0,TRUE,SUMPRODUCT(($BI$61:$BP$61=4)*($AS$61:$AZ$61&lt;&gt;"")*IF(((UPPER($AS$61:$AZ$61)="BLANK")+(UPPER($AS$61:$AZ$61)="(BLANK)")+(UPPER($AS$61:$AZ$61)="EMPTY")+(UPPER($AS$61:$AZ$61)="(EMPTY)"))&gt;0,IFERROR(('Final Calculation Sheet'!$F$23)&amp;"","")="",ISNUMBER(SEARCH($AS$61:$AZ$61,IFERROR(('Final Calculation Sheet'!$F$23)&amp;"","")))))&gt;0),IF(COUNTIF($BI$61:$BP$61,5)=0,TRUE,SUMPRODUCT(($BI$61:$BP$61=5)*($AS$61:$AZ$61&lt;&gt;"")*IF(((UPPER($AS$61:$AZ$61)="BLANK")+(UPPER($AS$61:$AZ$61)="(BLANK)")+(UPPER($AS$61:$AZ$61)="EMPTY")+(UPPER($AS$61:$AZ$61)="(EMPTY)"))&gt;0,IFERROR(('Final Calculation Sheet'!$F$23)&amp;"","")="",ISNUMBER(SEARCH($AS$61:$AZ$61,IFERROR(('Final Calculation Sheet'!$F$23)&amp;"","")))))&gt;0),IF(COUNTIF($BI$61:$BP$61,6)=0,TRUE,SUMPRODUCT(($BI$61:$BP$61=6)*($AS$61:$AZ$61&lt;&gt;"")*IF(((UPPER($AS$61:$AZ$61)="BLANK")+(UPPER($AS$61:$AZ$61)="(BLANK)")+(UPPER($AS$61:$AZ$61)="EMPTY")+(UPPER($AS$61:$AZ$61)="(EMPTY)"))&gt;0,IFERROR(('Final Calculation Sheet'!$F$23)&amp;"","")="",ISNUMBER(SEARCH($AS$61:$AZ$61,IFERROR(('Final Calculation Sheet'!$F$23)&amp;"","")))))&gt;0),IF(COUNTIF($BI$61:$BP$61,7)=0,TRUE,SUMPRODUCT(($BI$61:$BP$61=7)*($AS$61:$AZ$61&lt;&gt;"")*IF(((UPPER($AS$61:$AZ$61)="BLANK")+(UPPER($AS$61:$AZ$61)="(BLANK)")+(UPPER($AS$61:$AZ$61)="EMPTY")+(UPPER($AS$61:$AZ$61)="(EMPTY)"))&gt;0,IFERROR(('Final Calculation Sheet'!$F$23)&amp;"","")="",ISNUMBER(SEARCH($AS$61:$AZ$61,IFERROR(('Final Calculation Sheet'!$F$23)&amp;"","")))))&gt;0),IF(COUNTIF($BI$61:$BP$61,8)=0,TRUE,SUMPRODUCT(($BI$61:$BP$61=8)*($AS$61:$AZ$61&lt;&gt;"")*IF(((UPPER($AS$61:$AZ$61)="BLANK")+(UPPER($AS$61:$AZ$61)="(BLANK)")+(UPPER($AS$61:$AZ$61)="EMPTY")+(UPPER($AS$61:$AZ$61)="(EMPTY)"))&gt;0,IFERROR(('Final Calculation Sheet'!$F$23)&amp;"","")="",ISNUMBER(SEARCH($AS$61:$AZ$61,IFERROR(('Final Calculation Sheet'!$F$23)&amp;"","")))))&gt;0))))</f>
        <v>1</v>
      </c>
      <c r="BO24">
        <f>IF($C$4="",1,--(AND(SUMPRODUCT(--($AS$62:$AZ$62&lt;&gt;""))&gt;0,IF(COUNTIF($BI$62:$BP$62,1)=0,TRUE,SUMPRODUCT(($BI$62:$BP$62=1)*($AS$62:$AZ$62&lt;&gt;"")*IF(((UPPER($AS$62:$AZ$62)="BLANK")+(UPPER($AS$62:$AZ$62)="(BLANK)")+(UPPER($AS$62:$AZ$62)="EMPTY")+(UPPER($AS$62:$AZ$62)="(EMPTY)"))&gt;0,IFERROR(('Final Calculation Sheet'!$G$23)&amp;"","")="",ISNUMBER(SEARCH($AS$62:$AZ$62,IFERROR(('Final Calculation Sheet'!$G$23)&amp;"","")))))&gt;0),IF(COUNTIF($BI$62:$BP$62,2)=0,TRUE,SUMPRODUCT(($BI$62:$BP$62=2)*($AS$62:$AZ$62&lt;&gt;"")*IF(((UPPER($AS$62:$AZ$62)="BLANK")+(UPPER($AS$62:$AZ$62)="(BLANK)")+(UPPER($AS$62:$AZ$62)="EMPTY")+(UPPER($AS$62:$AZ$62)="(EMPTY)"))&gt;0,IFERROR(('Final Calculation Sheet'!$G$23)&amp;"","")="",ISNUMBER(SEARCH($AS$62:$AZ$62,IFERROR(('Final Calculation Sheet'!$G$23)&amp;"","")))))&gt;0),IF(COUNTIF($BI$62:$BP$62,3)=0,TRUE,SUMPRODUCT(($BI$62:$BP$62=3)*($AS$62:$AZ$62&lt;&gt;"")*IF(((UPPER($AS$62:$AZ$62)="BLANK")+(UPPER($AS$62:$AZ$62)="(BLANK)")+(UPPER($AS$62:$AZ$62)="EMPTY")+(UPPER($AS$62:$AZ$62)="(EMPTY)"))&gt;0,IFERROR(('Final Calculation Sheet'!$G$23)&amp;"","")="",ISNUMBER(SEARCH($AS$62:$AZ$62,IFERROR(('Final Calculation Sheet'!$G$23)&amp;"","")))))&gt;0),IF(COUNTIF($BI$62:$BP$62,4)=0,TRUE,SUMPRODUCT(($BI$62:$BP$62=4)*($AS$62:$AZ$62&lt;&gt;"")*IF(((UPPER($AS$62:$AZ$62)="BLANK")+(UPPER($AS$62:$AZ$62)="(BLANK)")+(UPPER($AS$62:$AZ$62)="EMPTY")+(UPPER($AS$62:$AZ$62)="(EMPTY)"))&gt;0,IFERROR(('Final Calculation Sheet'!$G$23)&amp;"","")="",ISNUMBER(SEARCH($AS$62:$AZ$62,IFERROR(('Final Calculation Sheet'!$G$23)&amp;"","")))))&gt;0),IF(COUNTIF($BI$62:$BP$62,5)=0,TRUE,SUMPRODUCT(($BI$62:$BP$62=5)*($AS$62:$AZ$62&lt;&gt;"")*IF(((UPPER($AS$62:$AZ$62)="BLANK")+(UPPER($AS$62:$AZ$62)="(BLANK)")+(UPPER($AS$62:$AZ$62)="EMPTY")+(UPPER($AS$62:$AZ$62)="(EMPTY)"))&gt;0,IFERROR(('Final Calculation Sheet'!$G$23)&amp;"","")="",ISNUMBER(SEARCH($AS$62:$AZ$62,IFERROR(('Final Calculation Sheet'!$G$23)&amp;"","")))))&gt;0),IF(COUNTIF($BI$62:$BP$62,6)=0,TRUE,SUMPRODUCT(($BI$62:$BP$62=6)*($AS$62:$AZ$62&lt;&gt;"")*IF(((UPPER($AS$62:$AZ$62)="BLANK")+(UPPER($AS$62:$AZ$62)="(BLANK)")+(UPPER($AS$62:$AZ$62)="EMPTY")+(UPPER($AS$62:$AZ$62)="(EMPTY)"))&gt;0,IFERROR(('Final Calculation Sheet'!$G$23)&amp;"","")="",ISNUMBER(SEARCH($AS$62:$AZ$62,IFERROR(('Final Calculation Sheet'!$G$23)&amp;"","")))))&gt;0),IF(COUNTIF($BI$62:$BP$62,7)=0,TRUE,SUMPRODUCT(($BI$62:$BP$62=7)*($AS$62:$AZ$62&lt;&gt;"")*IF(((UPPER($AS$62:$AZ$62)="BLANK")+(UPPER($AS$62:$AZ$62)="(BLANK)")+(UPPER($AS$62:$AZ$62)="EMPTY")+(UPPER($AS$62:$AZ$62)="(EMPTY)"))&gt;0,IFERROR(('Final Calculation Sheet'!$G$23)&amp;"","")="",ISNUMBER(SEARCH($AS$62:$AZ$62,IFERROR(('Final Calculation Sheet'!$G$23)&amp;"","")))))&gt;0),IF(COUNTIF($BI$62:$BP$62,8)=0,TRUE,SUMPRODUCT(($BI$62:$BP$62=8)*($AS$62:$AZ$62&lt;&gt;"")*IF(((UPPER($AS$62:$AZ$62)="BLANK")+(UPPER($AS$62:$AZ$62)="(BLANK)")+(UPPER($AS$62:$AZ$62)="EMPTY")+(UPPER($AS$62:$AZ$62)="(EMPTY)"))&gt;0,IFERROR(('Final Calculation Sheet'!$G$23)&amp;"","")="",ISNUMBER(SEARCH($AS$62:$AZ$62,IFERROR(('Final Calculation Sheet'!$G$23)&amp;"","")))))&gt;0))))</f>
        <v>1</v>
      </c>
      <c r="BP24">
        <f>IF($D$4="",1,--(AND(SUMPRODUCT(--($AS$63:$AZ$63&lt;&gt;""))&gt;0,IF(COUNTIF($BI$63:$BP$63,1)=0,TRUE,SUMPRODUCT(($BI$63:$BP$63=1)*($AS$63:$AZ$63&lt;&gt;"")*IF(((UPPER($AS$63:$AZ$63)="BLANK")+(UPPER($AS$63:$AZ$63)="(BLANK)")+(UPPER($AS$63:$AZ$63)="EMPTY")+(UPPER($AS$63:$AZ$63)="(EMPTY)"))&gt;0,IFERROR(('Final Calculation Sheet'!$B$23)&amp;"","")="",ISNUMBER(SEARCH($AS$63:$AZ$63,IFERROR(('Final Calculation Sheet'!$B$23)&amp;"","")))))&gt;0),IF(COUNTIF($BI$63:$BP$63,2)=0,TRUE,SUMPRODUCT(($BI$63:$BP$63=2)*($AS$63:$AZ$63&lt;&gt;"")*IF(((UPPER($AS$63:$AZ$63)="BLANK")+(UPPER($AS$63:$AZ$63)="(BLANK)")+(UPPER($AS$63:$AZ$63)="EMPTY")+(UPPER($AS$63:$AZ$63)="(EMPTY)"))&gt;0,IFERROR(('Final Calculation Sheet'!$B$23)&amp;"","")="",ISNUMBER(SEARCH($AS$63:$AZ$63,IFERROR(('Final Calculation Sheet'!$B$23)&amp;"","")))))&gt;0),IF(COUNTIF($BI$63:$BP$63,3)=0,TRUE,SUMPRODUCT(($BI$63:$BP$63=3)*($AS$63:$AZ$63&lt;&gt;"")*IF(((UPPER($AS$63:$AZ$63)="BLANK")+(UPPER($AS$63:$AZ$63)="(BLANK)")+(UPPER($AS$63:$AZ$63)="EMPTY")+(UPPER($AS$63:$AZ$63)="(EMPTY)"))&gt;0,IFERROR(('Final Calculation Sheet'!$B$23)&amp;"","")="",ISNUMBER(SEARCH($AS$63:$AZ$63,IFERROR(('Final Calculation Sheet'!$B$23)&amp;"","")))))&gt;0),IF(COUNTIF($BI$63:$BP$63,4)=0,TRUE,SUMPRODUCT(($BI$63:$BP$63=4)*($AS$63:$AZ$63&lt;&gt;"")*IF(((UPPER($AS$63:$AZ$63)="BLANK")+(UPPER($AS$63:$AZ$63)="(BLANK)")+(UPPER($AS$63:$AZ$63)="EMPTY")+(UPPER($AS$63:$AZ$63)="(EMPTY)"))&gt;0,IFERROR(('Final Calculation Sheet'!$B$23)&amp;"","")="",ISNUMBER(SEARCH($AS$63:$AZ$63,IFERROR(('Final Calculation Sheet'!$B$23)&amp;"","")))))&gt;0),IF(COUNTIF($BI$63:$BP$63,5)=0,TRUE,SUMPRODUCT(($BI$63:$BP$63=5)*($AS$63:$AZ$63&lt;&gt;"")*IF(((UPPER($AS$63:$AZ$63)="BLANK")+(UPPER($AS$63:$AZ$63)="(BLANK)")+(UPPER($AS$63:$AZ$63)="EMPTY")+(UPPER($AS$63:$AZ$63)="(EMPTY)"))&gt;0,IFERROR(('Final Calculation Sheet'!$B$23)&amp;"","")="",ISNUMBER(SEARCH($AS$63:$AZ$63,IFERROR(('Final Calculation Sheet'!$B$23)&amp;"","")))))&gt;0),IF(COUNTIF($BI$63:$BP$63,6)=0,TRUE,SUMPRODUCT(($BI$63:$BP$63=6)*($AS$63:$AZ$63&lt;&gt;"")*IF(((UPPER($AS$63:$AZ$63)="BLANK")+(UPPER($AS$63:$AZ$63)="(BLANK)")+(UPPER($AS$63:$AZ$63)="EMPTY")+(UPPER($AS$63:$AZ$63)="(EMPTY)"))&gt;0,IFERROR(('Final Calculation Sheet'!$B$23)&amp;"","")="",ISNUMBER(SEARCH($AS$63:$AZ$63,IFERROR(('Final Calculation Sheet'!$B$23)&amp;"","")))))&gt;0),IF(COUNTIF($BI$63:$BP$63,7)=0,TRUE,SUMPRODUCT(($BI$63:$BP$63=7)*($AS$63:$AZ$63&lt;&gt;"")*IF(((UPPER($AS$63:$AZ$63)="BLANK")+(UPPER($AS$63:$AZ$63)="(BLANK)")+(UPPER($AS$63:$AZ$63)="EMPTY")+(UPPER($AS$63:$AZ$63)="(EMPTY)"))&gt;0,IFERROR(('Final Calculation Sheet'!$B$23)&amp;"","")="",ISNUMBER(SEARCH($AS$63:$AZ$63,IFERROR(('Final Calculation Sheet'!$B$23)&amp;"","")))))&gt;0),IF(COUNTIF($BI$63:$BP$63,8)=0,TRUE,SUMPRODUCT(($BI$63:$BP$63=8)*($AS$63:$AZ$63&lt;&gt;"")*IF(((UPPER($AS$63:$AZ$63)="BLANK")+(UPPER($AS$63:$AZ$63)="(BLANK)")+(UPPER($AS$63:$AZ$63)="EMPTY")+(UPPER($AS$63:$AZ$63)="(EMPTY)"))&gt;0,IFERROR(('Final Calculation Sheet'!$B$23)&amp;"","")="",ISNUMBER(SEARCH($AS$63:$AZ$63,IFERROR(('Final Calculation Sheet'!$B$23)&amp;"","")))))&gt;0))))</f>
        <v>1</v>
      </c>
      <c r="BQ24">
        <f>IF($E$4="",1,--(AND(SUMPRODUCT(--($AS$64:$AZ$64&lt;&gt;""))&gt;0,IF(COUNTIF($BI$64:$BP$64,1)=0,TRUE,SUMPRODUCT(($BI$64:$BP$64=1)*($AS$64:$AZ$64&lt;&gt;"")*IF(((UPPER($AS$64:$AZ$64)="BLANK")+(UPPER($AS$64:$AZ$64)="(BLANK)")+(UPPER($AS$64:$AZ$64)="EMPTY")+(UPPER($AS$64:$AZ$64)="(EMPTY)"))&gt;0,IFERROR(('Final Calculation Sheet'!$D$23)&amp;"","")="",ISNUMBER(SEARCH($AS$64:$AZ$64,IFERROR(('Final Calculation Sheet'!$D$23)&amp;"","")))))&gt;0),IF(COUNTIF($BI$64:$BP$64,2)=0,TRUE,SUMPRODUCT(($BI$64:$BP$64=2)*($AS$64:$AZ$64&lt;&gt;"")*IF(((UPPER($AS$64:$AZ$64)="BLANK")+(UPPER($AS$64:$AZ$64)="(BLANK)")+(UPPER($AS$64:$AZ$64)="EMPTY")+(UPPER($AS$64:$AZ$64)="(EMPTY)"))&gt;0,IFERROR(('Final Calculation Sheet'!$D$23)&amp;"","")="",ISNUMBER(SEARCH($AS$64:$AZ$64,IFERROR(('Final Calculation Sheet'!$D$23)&amp;"","")))))&gt;0),IF(COUNTIF($BI$64:$BP$64,3)=0,TRUE,SUMPRODUCT(($BI$64:$BP$64=3)*($AS$64:$AZ$64&lt;&gt;"")*IF(((UPPER($AS$64:$AZ$64)="BLANK")+(UPPER($AS$64:$AZ$64)="(BLANK)")+(UPPER($AS$64:$AZ$64)="EMPTY")+(UPPER($AS$64:$AZ$64)="(EMPTY)"))&gt;0,IFERROR(('Final Calculation Sheet'!$D$23)&amp;"","")="",ISNUMBER(SEARCH($AS$64:$AZ$64,IFERROR(('Final Calculation Sheet'!$D$23)&amp;"","")))))&gt;0),IF(COUNTIF($BI$64:$BP$64,4)=0,TRUE,SUMPRODUCT(($BI$64:$BP$64=4)*($AS$64:$AZ$64&lt;&gt;"")*IF(((UPPER($AS$64:$AZ$64)="BLANK")+(UPPER($AS$64:$AZ$64)="(BLANK)")+(UPPER($AS$64:$AZ$64)="EMPTY")+(UPPER($AS$64:$AZ$64)="(EMPTY)"))&gt;0,IFERROR(('Final Calculation Sheet'!$D$23)&amp;"","")="",ISNUMBER(SEARCH($AS$64:$AZ$64,IFERROR(('Final Calculation Sheet'!$D$23)&amp;"","")))))&gt;0),IF(COUNTIF($BI$64:$BP$64,5)=0,TRUE,SUMPRODUCT(($BI$64:$BP$64=5)*($AS$64:$AZ$64&lt;&gt;"")*IF(((UPPER($AS$64:$AZ$64)="BLANK")+(UPPER($AS$64:$AZ$64)="(BLANK)")+(UPPER($AS$64:$AZ$64)="EMPTY")+(UPPER($AS$64:$AZ$64)="(EMPTY)"))&gt;0,IFERROR(('Final Calculation Sheet'!$D$23)&amp;"","")="",ISNUMBER(SEARCH($AS$64:$AZ$64,IFERROR(('Final Calculation Sheet'!$D$23)&amp;"","")))))&gt;0),IF(COUNTIF($BI$64:$BP$64,6)=0,TRUE,SUMPRODUCT(($BI$64:$BP$64=6)*($AS$64:$AZ$64&lt;&gt;"")*IF(((UPPER($AS$64:$AZ$64)="BLANK")+(UPPER($AS$64:$AZ$64)="(BLANK)")+(UPPER($AS$64:$AZ$64)="EMPTY")+(UPPER($AS$64:$AZ$64)="(EMPTY)"))&gt;0,IFERROR(('Final Calculation Sheet'!$D$23)&amp;"","")="",ISNUMBER(SEARCH($AS$64:$AZ$64,IFERROR(('Final Calculation Sheet'!$D$23)&amp;"","")))))&gt;0),IF(COUNTIF($BI$64:$BP$64,7)=0,TRUE,SUMPRODUCT(($BI$64:$BP$64=7)*($AS$64:$AZ$64&lt;&gt;"")*IF(((UPPER($AS$64:$AZ$64)="BLANK")+(UPPER($AS$64:$AZ$64)="(BLANK)")+(UPPER($AS$64:$AZ$64)="EMPTY")+(UPPER($AS$64:$AZ$64)="(EMPTY)"))&gt;0,IFERROR(('Final Calculation Sheet'!$D$23)&amp;"","")="",ISNUMBER(SEARCH($AS$64:$AZ$64,IFERROR(('Final Calculation Sheet'!$D$23)&amp;"","")))))&gt;0),IF(COUNTIF($BI$64:$BP$64,8)=0,TRUE,SUMPRODUCT(($BI$64:$BP$64=8)*($AS$64:$AZ$64&lt;&gt;"")*IF(((UPPER($AS$64:$AZ$64)="BLANK")+(UPPER($AS$64:$AZ$64)="(BLANK)")+(UPPER($AS$64:$AZ$64)="EMPTY")+(UPPER($AS$64:$AZ$64)="(EMPTY)"))&gt;0,IFERROR(('Final Calculation Sheet'!$D$23)&amp;"","")="",ISNUMBER(SEARCH($AS$64:$AZ$64,IFERROR(('Final Calculation Sheet'!$D$23)&amp;"","")))))&gt;0))))</f>
        <v>1</v>
      </c>
      <c r="BR24">
        <f>IF($F$4="",1,--(AND(SUMPRODUCT(--($AS$65:$AZ$65&lt;&gt;""))&gt;0,IF(COUNTIF($BI$65:$BP$65,1)=0,TRUE,SUMPRODUCT(($BI$65:$BP$65=1)*($AS$65:$AZ$65&lt;&gt;"")*IF(((UPPER($AS$65:$AZ$65)="BLANK")+(UPPER($AS$65:$AZ$65)="(BLANK)")+(UPPER($AS$65:$AZ$65)="EMPTY")+(UPPER($AS$65:$AZ$65)="(EMPTY)"))&gt;0,IFERROR(('Final Calculation Sheet'!$A$23)&amp;"","")="",ISNUMBER(SEARCH($AS$65:$AZ$65,IFERROR(('Final Calculation Sheet'!$A$23)&amp;"","")))))&gt;0),IF(COUNTIF($BI$65:$BP$65,2)=0,TRUE,SUMPRODUCT(($BI$65:$BP$65=2)*($AS$65:$AZ$65&lt;&gt;"")*IF(((UPPER($AS$65:$AZ$65)="BLANK")+(UPPER($AS$65:$AZ$65)="(BLANK)")+(UPPER($AS$65:$AZ$65)="EMPTY")+(UPPER($AS$65:$AZ$65)="(EMPTY)"))&gt;0,IFERROR(('Final Calculation Sheet'!$A$23)&amp;"","")="",ISNUMBER(SEARCH($AS$65:$AZ$65,IFERROR(('Final Calculation Sheet'!$A$23)&amp;"","")))))&gt;0),IF(COUNTIF($BI$65:$BP$65,3)=0,TRUE,SUMPRODUCT(($BI$65:$BP$65=3)*($AS$65:$AZ$65&lt;&gt;"")*IF(((UPPER($AS$65:$AZ$65)="BLANK")+(UPPER($AS$65:$AZ$65)="(BLANK)")+(UPPER($AS$65:$AZ$65)="EMPTY")+(UPPER($AS$65:$AZ$65)="(EMPTY)"))&gt;0,IFERROR(('Final Calculation Sheet'!$A$23)&amp;"","")="",ISNUMBER(SEARCH($AS$65:$AZ$65,IFERROR(('Final Calculation Sheet'!$A$23)&amp;"","")))))&gt;0),IF(COUNTIF($BI$65:$BP$65,4)=0,TRUE,SUMPRODUCT(($BI$65:$BP$65=4)*($AS$65:$AZ$65&lt;&gt;"")*IF(((UPPER($AS$65:$AZ$65)="BLANK")+(UPPER($AS$65:$AZ$65)="(BLANK)")+(UPPER($AS$65:$AZ$65)="EMPTY")+(UPPER($AS$65:$AZ$65)="(EMPTY)"))&gt;0,IFERROR(('Final Calculation Sheet'!$A$23)&amp;"","")="",ISNUMBER(SEARCH($AS$65:$AZ$65,IFERROR(('Final Calculation Sheet'!$A$23)&amp;"","")))))&gt;0),IF(COUNTIF($BI$65:$BP$65,5)=0,TRUE,SUMPRODUCT(($BI$65:$BP$65=5)*($AS$65:$AZ$65&lt;&gt;"")*IF(((UPPER($AS$65:$AZ$65)="BLANK")+(UPPER($AS$65:$AZ$65)="(BLANK)")+(UPPER($AS$65:$AZ$65)="EMPTY")+(UPPER($AS$65:$AZ$65)="(EMPTY)"))&gt;0,IFERROR(('Final Calculation Sheet'!$A$23)&amp;"","")="",ISNUMBER(SEARCH($AS$65:$AZ$65,IFERROR(('Final Calculation Sheet'!$A$23)&amp;"","")))))&gt;0),IF(COUNTIF($BI$65:$BP$65,6)=0,TRUE,SUMPRODUCT(($BI$65:$BP$65=6)*($AS$65:$AZ$65&lt;&gt;"")*IF(((UPPER($AS$65:$AZ$65)="BLANK")+(UPPER($AS$65:$AZ$65)="(BLANK)")+(UPPER($AS$65:$AZ$65)="EMPTY")+(UPPER($AS$65:$AZ$65)="(EMPTY)"))&gt;0,IFERROR(('Final Calculation Sheet'!$A$23)&amp;"","")="",ISNUMBER(SEARCH($AS$65:$AZ$65,IFERROR(('Final Calculation Sheet'!$A$23)&amp;"","")))))&gt;0),IF(COUNTIF($BI$65:$BP$65,7)=0,TRUE,SUMPRODUCT(($BI$65:$BP$65=7)*($AS$65:$AZ$65&lt;&gt;"")*IF(((UPPER($AS$65:$AZ$65)="BLANK")+(UPPER($AS$65:$AZ$65)="(BLANK)")+(UPPER($AS$65:$AZ$65)="EMPTY")+(UPPER($AS$65:$AZ$65)="(EMPTY)"))&gt;0,IFERROR(('Final Calculation Sheet'!$A$23)&amp;"","")="",ISNUMBER(SEARCH($AS$65:$AZ$65,IFERROR(('Final Calculation Sheet'!$A$23)&amp;"","")))))&gt;0),IF(COUNTIF($BI$65:$BP$65,8)=0,TRUE,SUMPRODUCT(($BI$65:$BP$65=8)*($AS$65:$AZ$65&lt;&gt;"")*IF(((UPPER($AS$65:$AZ$65)="BLANK")+(UPPER($AS$65:$AZ$65)="(BLANK)")+(UPPER($AS$65:$AZ$65)="EMPTY")+(UPPER($AS$65:$AZ$65)="(EMPTY)"))&gt;0,IFERROR(('Final Calculation Sheet'!$A$23)&amp;"","")="",ISNUMBER(SEARCH($AS$65:$AZ$65,IFERROR(('Final Calculation Sheet'!$A$23)&amp;"","")))))&gt;0))))</f>
        <v>1</v>
      </c>
      <c r="BS24">
        <f>IF($G$4="",1,--(AND(SUMPRODUCT(--($AS$66:$AZ$66&lt;&gt;""))&gt;0,IF(COUNTIF($BI$66:$BP$66,1)=0,TRUE,SUMPRODUCT(($BI$66:$BP$66=1)*($AS$66:$AZ$66&lt;&gt;"")*IF(((UPPER($AS$66:$AZ$66)="BLANK")+(UPPER($AS$66:$AZ$66)="(BLANK)")+(UPPER($AS$66:$AZ$66)="EMPTY")+(UPPER($AS$66:$AZ$66)="(EMPTY)"))&gt;0,IFERROR(('Final Calculation Sheet'!$E$23)&amp;"","")="",ISNUMBER(SEARCH($AS$66:$AZ$66,IFERROR(('Final Calculation Sheet'!$E$23)&amp;"","")))))&gt;0),IF(COUNTIF($BI$66:$BP$66,2)=0,TRUE,SUMPRODUCT(($BI$66:$BP$66=2)*($AS$66:$AZ$66&lt;&gt;"")*IF(((UPPER($AS$66:$AZ$66)="BLANK")+(UPPER($AS$66:$AZ$66)="(BLANK)")+(UPPER($AS$66:$AZ$66)="EMPTY")+(UPPER($AS$66:$AZ$66)="(EMPTY)"))&gt;0,IFERROR(('Final Calculation Sheet'!$E$23)&amp;"","")="",ISNUMBER(SEARCH($AS$66:$AZ$66,IFERROR(('Final Calculation Sheet'!$E$23)&amp;"","")))))&gt;0),IF(COUNTIF($BI$66:$BP$66,3)=0,TRUE,SUMPRODUCT(($BI$66:$BP$66=3)*($AS$66:$AZ$66&lt;&gt;"")*IF(((UPPER($AS$66:$AZ$66)="BLANK")+(UPPER($AS$66:$AZ$66)="(BLANK)")+(UPPER($AS$66:$AZ$66)="EMPTY")+(UPPER($AS$66:$AZ$66)="(EMPTY)"))&gt;0,IFERROR(('Final Calculation Sheet'!$E$23)&amp;"","")="",ISNUMBER(SEARCH($AS$66:$AZ$66,IFERROR(('Final Calculation Sheet'!$E$23)&amp;"","")))))&gt;0),IF(COUNTIF($BI$66:$BP$66,4)=0,TRUE,SUMPRODUCT(($BI$66:$BP$66=4)*($AS$66:$AZ$66&lt;&gt;"")*IF(((UPPER($AS$66:$AZ$66)="BLANK")+(UPPER($AS$66:$AZ$66)="(BLANK)")+(UPPER($AS$66:$AZ$66)="EMPTY")+(UPPER($AS$66:$AZ$66)="(EMPTY)"))&gt;0,IFERROR(('Final Calculation Sheet'!$E$23)&amp;"","")="",ISNUMBER(SEARCH($AS$66:$AZ$66,IFERROR(('Final Calculation Sheet'!$E$23)&amp;"","")))))&gt;0),IF(COUNTIF($BI$66:$BP$66,5)=0,TRUE,SUMPRODUCT(($BI$66:$BP$66=5)*($AS$66:$AZ$66&lt;&gt;"")*IF(((UPPER($AS$66:$AZ$66)="BLANK")+(UPPER($AS$66:$AZ$66)="(BLANK)")+(UPPER($AS$66:$AZ$66)="EMPTY")+(UPPER($AS$66:$AZ$66)="(EMPTY)"))&gt;0,IFERROR(('Final Calculation Sheet'!$E$23)&amp;"","")="",ISNUMBER(SEARCH($AS$66:$AZ$66,IFERROR(('Final Calculation Sheet'!$E$23)&amp;"","")))))&gt;0),IF(COUNTIF($BI$66:$BP$66,6)=0,TRUE,SUMPRODUCT(($BI$66:$BP$66=6)*($AS$66:$AZ$66&lt;&gt;"")*IF(((UPPER($AS$66:$AZ$66)="BLANK")+(UPPER($AS$66:$AZ$66)="(BLANK)")+(UPPER($AS$66:$AZ$66)="EMPTY")+(UPPER($AS$66:$AZ$66)="(EMPTY)"))&gt;0,IFERROR(('Final Calculation Sheet'!$E$23)&amp;"","")="",ISNUMBER(SEARCH($AS$66:$AZ$66,IFERROR(('Final Calculation Sheet'!$E$23)&amp;"","")))))&gt;0),IF(COUNTIF($BI$66:$BP$66,7)=0,TRUE,SUMPRODUCT(($BI$66:$BP$66=7)*($AS$66:$AZ$66&lt;&gt;"")*IF(((UPPER($AS$66:$AZ$66)="BLANK")+(UPPER($AS$66:$AZ$66)="(BLANK)")+(UPPER($AS$66:$AZ$66)="EMPTY")+(UPPER($AS$66:$AZ$66)="(EMPTY)"))&gt;0,IFERROR(('Final Calculation Sheet'!$E$23)&amp;"","")="",ISNUMBER(SEARCH($AS$66:$AZ$66,IFERROR(('Final Calculation Sheet'!$E$23)&amp;"","")))))&gt;0),IF(COUNTIF($BI$66:$BP$66,8)=0,TRUE,SUMPRODUCT(($BI$66:$BP$66=8)*($AS$66:$AZ$66&lt;&gt;"")*IF(((UPPER($AS$66:$AZ$66)="BLANK")+(UPPER($AS$66:$AZ$66)="(BLANK)")+(UPPER($AS$66:$AZ$66)="EMPTY")+(UPPER($AS$66:$AZ$66)="(EMPTY)"))&gt;0,IFERROR(('Final Calculation Sheet'!$E$23)&amp;"","")="",ISNUMBER(SEARCH($AS$66:$AZ$66,IFERROR(('Final Calculation Sheet'!$E$23)&amp;"","")))))&gt;0))))</f>
        <v>1</v>
      </c>
      <c r="BT24">
        <f>IF($H$4="",1,--(AND(SUMPRODUCT(--($AS$67:$AZ$67&lt;&gt;""))&gt;0,IF(COUNTIF($BI$67:$BP$67,1)=0,TRUE,SUMPRODUCT(($BI$67:$BP$67=1)*($AS$67:$AZ$67&lt;&gt;"")*IF(((UPPER($AS$67:$AZ$67)="BLANK")+(UPPER($AS$67:$AZ$67)="(BLANK)")+(UPPER($AS$67:$AZ$67)="EMPTY")+(UPPER($AS$67:$AZ$67)="(EMPTY)"))&gt;0,IFERROR(('Final Calculation Sheet'!$C$23)&amp;"","")="",ISNUMBER(SEARCH($AS$67:$AZ$67,IFERROR(('Final Calculation Sheet'!$C$23)&amp;"","")))))&gt;0),IF(COUNTIF($BI$67:$BP$67,2)=0,TRUE,SUMPRODUCT(($BI$67:$BP$67=2)*($AS$67:$AZ$67&lt;&gt;"")*IF(((UPPER($AS$67:$AZ$67)="BLANK")+(UPPER($AS$67:$AZ$67)="(BLANK)")+(UPPER($AS$67:$AZ$67)="EMPTY")+(UPPER($AS$67:$AZ$67)="(EMPTY)"))&gt;0,IFERROR(('Final Calculation Sheet'!$C$23)&amp;"","")="",ISNUMBER(SEARCH($AS$67:$AZ$67,IFERROR(('Final Calculation Sheet'!$C$23)&amp;"","")))))&gt;0),IF(COUNTIF($BI$67:$BP$67,3)=0,TRUE,SUMPRODUCT(($BI$67:$BP$67=3)*($AS$67:$AZ$67&lt;&gt;"")*IF(((UPPER($AS$67:$AZ$67)="BLANK")+(UPPER($AS$67:$AZ$67)="(BLANK)")+(UPPER($AS$67:$AZ$67)="EMPTY")+(UPPER($AS$67:$AZ$67)="(EMPTY)"))&gt;0,IFERROR(('Final Calculation Sheet'!$C$23)&amp;"","")="",ISNUMBER(SEARCH($AS$67:$AZ$67,IFERROR(('Final Calculation Sheet'!$C$23)&amp;"","")))))&gt;0),IF(COUNTIF($BI$67:$BP$67,4)=0,TRUE,SUMPRODUCT(($BI$67:$BP$67=4)*($AS$67:$AZ$67&lt;&gt;"")*IF(((UPPER($AS$67:$AZ$67)="BLANK")+(UPPER($AS$67:$AZ$67)="(BLANK)")+(UPPER($AS$67:$AZ$67)="EMPTY")+(UPPER($AS$67:$AZ$67)="(EMPTY)"))&gt;0,IFERROR(('Final Calculation Sheet'!$C$23)&amp;"","")="",ISNUMBER(SEARCH($AS$67:$AZ$67,IFERROR(('Final Calculation Sheet'!$C$23)&amp;"","")))))&gt;0),IF(COUNTIF($BI$67:$BP$67,5)=0,TRUE,SUMPRODUCT(($BI$67:$BP$67=5)*($AS$67:$AZ$67&lt;&gt;"")*IF(((UPPER($AS$67:$AZ$67)="BLANK")+(UPPER($AS$67:$AZ$67)="(BLANK)")+(UPPER($AS$67:$AZ$67)="EMPTY")+(UPPER($AS$67:$AZ$67)="(EMPTY)"))&gt;0,IFERROR(('Final Calculation Sheet'!$C$23)&amp;"","")="",ISNUMBER(SEARCH($AS$67:$AZ$67,IFERROR(('Final Calculation Sheet'!$C$23)&amp;"","")))))&gt;0),IF(COUNTIF($BI$67:$BP$67,6)=0,TRUE,SUMPRODUCT(($BI$67:$BP$67=6)*($AS$67:$AZ$67&lt;&gt;"")*IF(((UPPER($AS$67:$AZ$67)="BLANK")+(UPPER($AS$67:$AZ$67)="(BLANK)")+(UPPER($AS$67:$AZ$67)="EMPTY")+(UPPER($AS$67:$AZ$67)="(EMPTY)"))&gt;0,IFERROR(('Final Calculation Sheet'!$C$23)&amp;"","")="",ISNUMBER(SEARCH($AS$67:$AZ$67,IFERROR(('Final Calculation Sheet'!$C$23)&amp;"","")))))&gt;0),IF(COUNTIF($BI$67:$BP$67,7)=0,TRUE,SUMPRODUCT(($BI$67:$BP$67=7)*($AS$67:$AZ$67&lt;&gt;"")*IF(((UPPER($AS$67:$AZ$67)="BLANK")+(UPPER($AS$67:$AZ$67)="(BLANK)")+(UPPER($AS$67:$AZ$67)="EMPTY")+(UPPER($AS$67:$AZ$67)="(EMPTY)"))&gt;0,IFERROR(('Final Calculation Sheet'!$C$23)&amp;"","")="",ISNUMBER(SEARCH($AS$67:$AZ$67,IFERROR(('Final Calculation Sheet'!$C$23)&amp;"","")))))&gt;0),IF(COUNTIF($BI$67:$BP$67,8)=0,TRUE,SUMPRODUCT(($BI$67:$BP$67=8)*($AS$67:$AZ$67&lt;&gt;"")*IF(((UPPER($AS$67:$AZ$67)="BLANK")+(UPPER($AS$67:$AZ$67)="(BLANK)")+(UPPER($AS$67:$AZ$67)="EMPTY")+(UPPER($AS$67:$AZ$67)="(EMPTY)"))&gt;0,IFERROR(('Final Calculation Sheet'!$C$23)&amp;"","")="",ISNUMBER(SEARCH($AS$67:$AZ$67,IFERROR(('Final Calculation Sheet'!$C$23)&amp;"","")))))&gt;0))))</f>
        <v>1</v>
      </c>
      <c r="BU24">
        <f>IF($I$4="",1,--(AND(SUMPRODUCT(--($AS$68:$AZ$68&lt;&gt;""))&gt;0,IF(COUNTIF($BI$68:$BP$68,1)=0,TRUE,SUMPRODUCT(($BI$68:$BP$68=1)*($AS$68:$AZ$68&lt;&gt;"")*IF(((UPPER($AS$68:$AZ$68)="BLANK")+(UPPER($AS$68:$AZ$68)="(BLANK)")+(UPPER($AS$68:$AZ$68)="EMPTY")+(UPPER($AS$68:$AZ$68)="(EMPTY)"))&gt;0,IFERROR(('Final Calculation Sheet'!$H$23)&amp;"","")="",ISNUMBER(SEARCH($AS$68:$AZ$68,IFERROR(('Final Calculation Sheet'!$H$23)&amp;"","")))))&gt;0),IF(COUNTIF($BI$68:$BP$68,2)=0,TRUE,SUMPRODUCT(($BI$68:$BP$68=2)*($AS$68:$AZ$68&lt;&gt;"")*IF(((UPPER($AS$68:$AZ$68)="BLANK")+(UPPER($AS$68:$AZ$68)="(BLANK)")+(UPPER($AS$68:$AZ$68)="EMPTY")+(UPPER($AS$68:$AZ$68)="(EMPTY)"))&gt;0,IFERROR(('Final Calculation Sheet'!$H$23)&amp;"","")="",ISNUMBER(SEARCH($AS$68:$AZ$68,IFERROR(('Final Calculation Sheet'!$H$23)&amp;"","")))))&gt;0),IF(COUNTIF($BI$68:$BP$68,3)=0,TRUE,SUMPRODUCT(($BI$68:$BP$68=3)*($AS$68:$AZ$68&lt;&gt;"")*IF(((UPPER($AS$68:$AZ$68)="BLANK")+(UPPER($AS$68:$AZ$68)="(BLANK)")+(UPPER($AS$68:$AZ$68)="EMPTY")+(UPPER($AS$68:$AZ$68)="(EMPTY)"))&gt;0,IFERROR(('Final Calculation Sheet'!$H$23)&amp;"","")="",ISNUMBER(SEARCH($AS$68:$AZ$68,IFERROR(('Final Calculation Sheet'!$H$23)&amp;"","")))))&gt;0),IF(COUNTIF($BI$68:$BP$68,4)=0,TRUE,SUMPRODUCT(($BI$68:$BP$68=4)*($AS$68:$AZ$68&lt;&gt;"")*IF(((UPPER($AS$68:$AZ$68)="BLANK")+(UPPER($AS$68:$AZ$68)="(BLANK)")+(UPPER($AS$68:$AZ$68)="EMPTY")+(UPPER($AS$68:$AZ$68)="(EMPTY)"))&gt;0,IFERROR(('Final Calculation Sheet'!$H$23)&amp;"","")="",ISNUMBER(SEARCH($AS$68:$AZ$68,IFERROR(('Final Calculation Sheet'!$H$23)&amp;"","")))))&gt;0),IF(COUNTIF($BI$68:$BP$68,5)=0,TRUE,SUMPRODUCT(($BI$68:$BP$68=5)*($AS$68:$AZ$68&lt;&gt;"")*IF(((UPPER($AS$68:$AZ$68)="BLANK")+(UPPER($AS$68:$AZ$68)="(BLANK)")+(UPPER($AS$68:$AZ$68)="EMPTY")+(UPPER($AS$68:$AZ$68)="(EMPTY)"))&gt;0,IFERROR(('Final Calculation Sheet'!$H$23)&amp;"","")="",ISNUMBER(SEARCH($AS$68:$AZ$68,IFERROR(('Final Calculation Sheet'!$H$23)&amp;"","")))))&gt;0),IF(COUNTIF($BI$68:$BP$68,6)=0,TRUE,SUMPRODUCT(($BI$68:$BP$68=6)*($AS$68:$AZ$68&lt;&gt;"")*IF(((UPPER($AS$68:$AZ$68)="BLANK")+(UPPER($AS$68:$AZ$68)="(BLANK)")+(UPPER($AS$68:$AZ$68)="EMPTY")+(UPPER($AS$68:$AZ$68)="(EMPTY)"))&gt;0,IFERROR(('Final Calculation Sheet'!$H$23)&amp;"","")="",ISNUMBER(SEARCH($AS$68:$AZ$68,IFERROR(('Final Calculation Sheet'!$H$23)&amp;"","")))))&gt;0),IF(COUNTIF($BI$68:$BP$68,7)=0,TRUE,SUMPRODUCT(($BI$68:$BP$68=7)*($AS$68:$AZ$68&lt;&gt;"")*IF(((UPPER($AS$68:$AZ$68)="BLANK")+(UPPER($AS$68:$AZ$68)="(BLANK)")+(UPPER($AS$68:$AZ$68)="EMPTY")+(UPPER($AS$68:$AZ$68)="(EMPTY)"))&gt;0,IFERROR(('Final Calculation Sheet'!$H$23)&amp;"","")="",ISNUMBER(SEARCH($AS$68:$AZ$68,IFERROR(('Final Calculation Sheet'!$H$23)&amp;"","")))))&gt;0),IF(COUNTIF($BI$68:$BP$68,8)=0,TRUE,SUMPRODUCT(($BI$68:$BP$68=8)*($AS$68:$AZ$68&lt;&gt;"")*IF(((UPPER($AS$68:$AZ$68)="BLANK")+(UPPER($AS$68:$AZ$68)="(BLANK)")+(UPPER($AS$68:$AZ$68)="EMPTY")+(UPPER($AS$68:$AZ$68)="(EMPTY)"))&gt;0,IFERROR(('Final Calculation Sheet'!$H$23)&amp;"","")="",ISNUMBER(SEARCH($AS$68:$AZ$68,IFERROR(('Final Calculation Sheet'!$H$23)&amp;"","")))))&gt;0))))</f>
        <v>1</v>
      </c>
      <c r="BV24">
        <f>IF($J$4="",1,--(AND(SUMPRODUCT(--($AS$69:$AZ$69&lt;&gt;""))&gt;0,IF(COUNTIF($BI$69:$BP$69,1)=0,TRUE,SUMPRODUCT(($BI$69:$BP$69=1)*($AS$69:$AZ$69&lt;&gt;"")*IF(((UPPER($AS$69:$AZ$69)="BLANK")+(UPPER($AS$69:$AZ$69)="(BLANK)")+(UPPER($AS$69:$AZ$69)="EMPTY")+(UPPER($AS$69:$AZ$69)="(EMPTY)"))&gt;0,IFERROR(('Final Calculation Sheet'!$I$23)&amp;"","")="",ISNUMBER(SEARCH($AS$69:$AZ$69,IFERROR(('Final Calculation Sheet'!$I$23)&amp;"","")))))&gt;0),IF(COUNTIF($BI$69:$BP$69,2)=0,TRUE,SUMPRODUCT(($BI$69:$BP$69=2)*($AS$69:$AZ$69&lt;&gt;"")*IF(((UPPER($AS$69:$AZ$69)="BLANK")+(UPPER($AS$69:$AZ$69)="(BLANK)")+(UPPER($AS$69:$AZ$69)="EMPTY")+(UPPER($AS$69:$AZ$69)="(EMPTY)"))&gt;0,IFERROR(('Final Calculation Sheet'!$I$23)&amp;"","")="",ISNUMBER(SEARCH($AS$69:$AZ$69,IFERROR(('Final Calculation Sheet'!$I$23)&amp;"","")))))&gt;0),IF(COUNTIF($BI$69:$BP$69,3)=0,TRUE,SUMPRODUCT(($BI$69:$BP$69=3)*($AS$69:$AZ$69&lt;&gt;"")*IF(((UPPER($AS$69:$AZ$69)="BLANK")+(UPPER($AS$69:$AZ$69)="(BLANK)")+(UPPER($AS$69:$AZ$69)="EMPTY")+(UPPER($AS$69:$AZ$69)="(EMPTY)"))&gt;0,IFERROR(('Final Calculation Sheet'!$I$23)&amp;"","")="",ISNUMBER(SEARCH($AS$69:$AZ$69,IFERROR(('Final Calculation Sheet'!$I$23)&amp;"","")))))&gt;0),IF(COUNTIF($BI$69:$BP$69,4)=0,TRUE,SUMPRODUCT(($BI$69:$BP$69=4)*($AS$69:$AZ$69&lt;&gt;"")*IF(((UPPER($AS$69:$AZ$69)="BLANK")+(UPPER($AS$69:$AZ$69)="(BLANK)")+(UPPER($AS$69:$AZ$69)="EMPTY")+(UPPER($AS$69:$AZ$69)="(EMPTY)"))&gt;0,IFERROR(('Final Calculation Sheet'!$I$23)&amp;"","")="",ISNUMBER(SEARCH($AS$69:$AZ$69,IFERROR(('Final Calculation Sheet'!$I$23)&amp;"","")))))&gt;0),IF(COUNTIF($BI$69:$BP$69,5)=0,TRUE,SUMPRODUCT(($BI$69:$BP$69=5)*($AS$69:$AZ$69&lt;&gt;"")*IF(((UPPER($AS$69:$AZ$69)="BLANK")+(UPPER($AS$69:$AZ$69)="(BLANK)")+(UPPER($AS$69:$AZ$69)="EMPTY")+(UPPER($AS$69:$AZ$69)="(EMPTY)"))&gt;0,IFERROR(('Final Calculation Sheet'!$I$23)&amp;"","")="",ISNUMBER(SEARCH($AS$69:$AZ$69,IFERROR(('Final Calculation Sheet'!$I$23)&amp;"","")))))&gt;0),IF(COUNTIF($BI$69:$BP$69,6)=0,TRUE,SUMPRODUCT(($BI$69:$BP$69=6)*($AS$69:$AZ$69&lt;&gt;"")*IF(((UPPER($AS$69:$AZ$69)="BLANK")+(UPPER($AS$69:$AZ$69)="(BLANK)")+(UPPER($AS$69:$AZ$69)="EMPTY")+(UPPER($AS$69:$AZ$69)="(EMPTY)"))&gt;0,IFERROR(('Final Calculation Sheet'!$I$23)&amp;"","")="",ISNUMBER(SEARCH($AS$69:$AZ$69,IFERROR(('Final Calculation Sheet'!$I$23)&amp;"","")))))&gt;0),IF(COUNTIF($BI$69:$BP$69,7)=0,TRUE,SUMPRODUCT(($BI$69:$BP$69=7)*($AS$69:$AZ$69&lt;&gt;"")*IF(((UPPER($AS$69:$AZ$69)="BLANK")+(UPPER($AS$69:$AZ$69)="(BLANK)")+(UPPER($AS$69:$AZ$69)="EMPTY")+(UPPER($AS$69:$AZ$69)="(EMPTY)"))&gt;0,IFERROR(('Final Calculation Sheet'!$I$23)&amp;"","")="",ISNUMBER(SEARCH($AS$69:$AZ$69,IFERROR(('Final Calculation Sheet'!$I$23)&amp;"","")))))&gt;0),IF(COUNTIF($BI$69:$BP$69,8)=0,TRUE,SUMPRODUCT(($BI$69:$BP$69=8)*($AS$69:$AZ$69&lt;&gt;"")*IF(((UPPER($AS$69:$AZ$69)="BLANK")+(UPPER($AS$69:$AZ$69)="(BLANK)")+(UPPER($AS$69:$AZ$69)="EMPTY")+(UPPER($AS$69:$AZ$69)="(EMPTY)"))&gt;0,IFERROR(('Final Calculation Sheet'!$I$23)&amp;"","")="",ISNUMBER(SEARCH($AS$69:$AZ$69,IFERROR(('Final Calculation Sheet'!$I$23)&amp;"","")))))&gt;0))))</f>
        <v>1</v>
      </c>
      <c r="BW24">
        <f>IF($K$4="",1,--(AND(SUMPRODUCT(--($AS$70:$AZ$70&lt;&gt;""))&gt;0,IF(COUNTIF($BI$70:$BP$70,1)=0,TRUE,SUMPRODUCT(($BI$70:$BP$70=1)*($AS$70:$AZ$70&lt;&gt;"")*IF(((UPPER($AS$70:$AZ$70)="BLANK")+(UPPER($AS$70:$AZ$70)="(BLANK)")+(UPPER($AS$70:$AZ$70)="EMPTY")+(UPPER($AS$70:$AZ$70)="(EMPTY)"))&gt;0,IFERROR(('Final Calculation Sheet'!$J$23)&amp;"","")="",ISNUMBER(SEARCH($AS$70:$AZ$70,IFERROR(('Final Calculation Sheet'!$J$23)&amp;"","")))))&gt;0),IF(COUNTIF($BI$70:$BP$70,2)=0,TRUE,SUMPRODUCT(($BI$70:$BP$70=2)*($AS$70:$AZ$70&lt;&gt;"")*IF(((UPPER($AS$70:$AZ$70)="BLANK")+(UPPER($AS$70:$AZ$70)="(BLANK)")+(UPPER($AS$70:$AZ$70)="EMPTY")+(UPPER($AS$70:$AZ$70)="(EMPTY)"))&gt;0,IFERROR(('Final Calculation Sheet'!$J$23)&amp;"","")="",ISNUMBER(SEARCH($AS$70:$AZ$70,IFERROR(('Final Calculation Sheet'!$J$23)&amp;"","")))))&gt;0),IF(COUNTIF($BI$70:$BP$70,3)=0,TRUE,SUMPRODUCT(($BI$70:$BP$70=3)*($AS$70:$AZ$70&lt;&gt;"")*IF(((UPPER($AS$70:$AZ$70)="BLANK")+(UPPER($AS$70:$AZ$70)="(BLANK)")+(UPPER($AS$70:$AZ$70)="EMPTY")+(UPPER($AS$70:$AZ$70)="(EMPTY)"))&gt;0,IFERROR(('Final Calculation Sheet'!$J$23)&amp;"","")="",ISNUMBER(SEARCH($AS$70:$AZ$70,IFERROR(('Final Calculation Sheet'!$J$23)&amp;"","")))))&gt;0),IF(COUNTIF($BI$70:$BP$70,4)=0,TRUE,SUMPRODUCT(($BI$70:$BP$70=4)*($AS$70:$AZ$70&lt;&gt;"")*IF(((UPPER($AS$70:$AZ$70)="BLANK")+(UPPER($AS$70:$AZ$70)="(BLANK)")+(UPPER($AS$70:$AZ$70)="EMPTY")+(UPPER($AS$70:$AZ$70)="(EMPTY)"))&gt;0,IFERROR(('Final Calculation Sheet'!$J$23)&amp;"","")="",ISNUMBER(SEARCH($AS$70:$AZ$70,IFERROR(('Final Calculation Sheet'!$J$23)&amp;"","")))))&gt;0),IF(COUNTIF($BI$70:$BP$70,5)=0,TRUE,SUMPRODUCT(($BI$70:$BP$70=5)*($AS$70:$AZ$70&lt;&gt;"")*IF(((UPPER($AS$70:$AZ$70)="BLANK")+(UPPER($AS$70:$AZ$70)="(BLANK)")+(UPPER($AS$70:$AZ$70)="EMPTY")+(UPPER($AS$70:$AZ$70)="(EMPTY)"))&gt;0,IFERROR(('Final Calculation Sheet'!$J$23)&amp;"","")="",ISNUMBER(SEARCH($AS$70:$AZ$70,IFERROR(('Final Calculation Sheet'!$J$23)&amp;"","")))))&gt;0),IF(COUNTIF($BI$70:$BP$70,6)=0,TRUE,SUMPRODUCT(($BI$70:$BP$70=6)*($AS$70:$AZ$70&lt;&gt;"")*IF(((UPPER($AS$70:$AZ$70)="BLANK")+(UPPER($AS$70:$AZ$70)="(BLANK)")+(UPPER($AS$70:$AZ$70)="EMPTY")+(UPPER($AS$70:$AZ$70)="(EMPTY)"))&gt;0,IFERROR(('Final Calculation Sheet'!$J$23)&amp;"","")="",ISNUMBER(SEARCH($AS$70:$AZ$70,IFERROR(('Final Calculation Sheet'!$J$23)&amp;"","")))))&gt;0),IF(COUNTIF($BI$70:$BP$70,7)=0,TRUE,SUMPRODUCT(($BI$70:$BP$70=7)*($AS$70:$AZ$70&lt;&gt;"")*IF(((UPPER($AS$70:$AZ$70)="BLANK")+(UPPER($AS$70:$AZ$70)="(BLANK)")+(UPPER($AS$70:$AZ$70)="EMPTY")+(UPPER($AS$70:$AZ$70)="(EMPTY)"))&gt;0,IFERROR(('Final Calculation Sheet'!$J$23)&amp;"","")="",ISNUMBER(SEARCH($AS$70:$AZ$70,IFERROR(('Final Calculation Sheet'!$J$23)&amp;"","")))))&gt;0),IF(COUNTIF($BI$70:$BP$70,8)=0,TRUE,SUMPRODUCT(($BI$70:$BP$70=8)*($AS$70:$AZ$70&lt;&gt;"")*IF(((UPPER($AS$70:$AZ$70)="BLANK")+(UPPER($AS$70:$AZ$70)="(BLANK)")+(UPPER($AS$70:$AZ$70)="EMPTY")+(UPPER($AS$70:$AZ$70)="(EMPTY)"))&gt;0,IFERROR(('Final Calculation Sheet'!$J$23)&amp;"","")="",ISNUMBER(SEARCH($AS$70:$AZ$70,IFERROR(('Final Calculation Sheet'!$J$23)&amp;"","")))))&gt;0))))</f>
        <v>1</v>
      </c>
      <c r="BX24">
        <f>IF($L$4="",1,--(AND(SUMPRODUCT(--($AS$71:$AZ$71&lt;&gt;""))&gt;0,IF(COUNTIF($BI$71:$BP$71,1)=0,TRUE,SUMPRODUCT(($BI$71:$BP$71=1)*($AS$71:$AZ$71&lt;&gt;"")*IF(((UPPER($AS$71:$AZ$71)="BLANK")+(UPPER($AS$71:$AZ$71)="(BLANK)")+(UPPER($AS$71:$AZ$71)="EMPTY")+(UPPER($AS$71:$AZ$71)="(EMPTY)"))&gt;0,IFERROR(('Final Calculation Sheet'!$K$23)&amp;"","")="",ISNUMBER(SEARCH($AS$71:$AZ$71,IFERROR(('Final Calculation Sheet'!$K$23)&amp;"","")))))&gt;0),IF(COUNTIF($BI$71:$BP$71,2)=0,TRUE,SUMPRODUCT(($BI$71:$BP$71=2)*($AS$71:$AZ$71&lt;&gt;"")*IF(((UPPER($AS$71:$AZ$71)="BLANK")+(UPPER($AS$71:$AZ$71)="(BLANK)")+(UPPER($AS$71:$AZ$71)="EMPTY")+(UPPER($AS$71:$AZ$71)="(EMPTY)"))&gt;0,IFERROR(('Final Calculation Sheet'!$K$23)&amp;"","")="",ISNUMBER(SEARCH($AS$71:$AZ$71,IFERROR(('Final Calculation Sheet'!$K$23)&amp;"","")))))&gt;0),IF(COUNTIF($BI$71:$BP$71,3)=0,TRUE,SUMPRODUCT(($BI$71:$BP$71=3)*($AS$71:$AZ$71&lt;&gt;"")*IF(((UPPER($AS$71:$AZ$71)="BLANK")+(UPPER($AS$71:$AZ$71)="(BLANK)")+(UPPER($AS$71:$AZ$71)="EMPTY")+(UPPER($AS$71:$AZ$71)="(EMPTY)"))&gt;0,IFERROR(('Final Calculation Sheet'!$K$23)&amp;"","")="",ISNUMBER(SEARCH($AS$71:$AZ$71,IFERROR(('Final Calculation Sheet'!$K$23)&amp;"","")))))&gt;0),IF(COUNTIF($BI$71:$BP$71,4)=0,TRUE,SUMPRODUCT(($BI$71:$BP$71=4)*($AS$71:$AZ$71&lt;&gt;"")*IF(((UPPER($AS$71:$AZ$71)="BLANK")+(UPPER($AS$71:$AZ$71)="(BLANK)")+(UPPER($AS$71:$AZ$71)="EMPTY")+(UPPER($AS$71:$AZ$71)="(EMPTY)"))&gt;0,IFERROR(('Final Calculation Sheet'!$K$23)&amp;"","")="",ISNUMBER(SEARCH($AS$71:$AZ$71,IFERROR(('Final Calculation Sheet'!$K$23)&amp;"","")))))&gt;0),IF(COUNTIF($BI$71:$BP$71,5)=0,TRUE,SUMPRODUCT(($BI$71:$BP$71=5)*($AS$71:$AZ$71&lt;&gt;"")*IF(((UPPER($AS$71:$AZ$71)="BLANK")+(UPPER($AS$71:$AZ$71)="(BLANK)")+(UPPER($AS$71:$AZ$71)="EMPTY")+(UPPER($AS$71:$AZ$71)="(EMPTY)"))&gt;0,IFERROR(('Final Calculation Sheet'!$K$23)&amp;"","")="",ISNUMBER(SEARCH($AS$71:$AZ$71,IFERROR(('Final Calculation Sheet'!$K$23)&amp;"","")))))&gt;0),IF(COUNTIF($BI$71:$BP$71,6)=0,TRUE,SUMPRODUCT(($BI$71:$BP$71=6)*($AS$71:$AZ$71&lt;&gt;"")*IF(((UPPER($AS$71:$AZ$71)="BLANK")+(UPPER($AS$71:$AZ$71)="(BLANK)")+(UPPER($AS$71:$AZ$71)="EMPTY")+(UPPER($AS$71:$AZ$71)="(EMPTY)"))&gt;0,IFERROR(('Final Calculation Sheet'!$K$23)&amp;"","")="",ISNUMBER(SEARCH($AS$71:$AZ$71,IFERROR(('Final Calculation Sheet'!$K$23)&amp;"","")))))&gt;0),IF(COUNTIF($BI$71:$BP$71,7)=0,TRUE,SUMPRODUCT(($BI$71:$BP$71=7)*($AS$71:$AZ$71&lt;&gt;"")*IF(((UPPER($AS$71:$AZ$71)="BLANK")+(UPPER($AS$71:$AZ$71)="(BLANK)")+(UPPER($AS$71:$AZ$71)="EMPTY")+(UPPER($AS$71:$AZ$71)="(EMPTY)"))&gt;0,IFERROR(('Final Calculation Sheet'!$K$23)&amp;"","")="",ISNUMBER(SEARCH($AS$71:$AZ$71,IFERROR(('Final Calculation Sheet'!$K$23)&amp;"","")))))&gt;0),IF(COUNTIF($BI$71:$BP$71,8)=0,TRUE,SUMPRODUCT(($BI$71:$BP$71=8)*($AS$71:$AZ$71&lt;&gt;"")*IF(((UPPER($AS$71:$AZ$71)="BLANK")+(UPPER($AS$71:$AZ$71)="(BLANK)")+(UPPER($AS$71:$AZ$71)="EMPTY")+(UPPER($AS$71:$AZ$71)="(EMPTY)"))&gt;0,IFERROR(('Final Calculation Sheet'!$K$23)&amp;"","")="",ISNUMBER(SEARCH($AS$71:$AZ$71,IFERROR(('Final Calculation Sheet'!$K$23)&amp;"","")))))&gt;0))))</f>
        <v>1</v>
      </c>
      <c r="BY24">
        <f>IF($M$4="",1,--(AND(SUMPRODUCT(--($AS$72:$AZ$72&lt;&gt;""))&gt;0,IF(COUNTIF($BI$72:$BP$72,1)=0,TRUE,SUMPRODUCT(($BI$72:$BP$72=1)*($AS$72:$AZ$72&lt;&gt;"")*IF(((UPPER($AS$72:$AZ$72)="BLANK")+(UPPER($AS$72:$AZ$72)="(BLANK)")+(UPPER($AS$72:$AZ$72)="EMPTY")+(UPPER($AS$72:$AZ$72)="(EMPTY)"))&gt;0,IFERROR(('Final Calculation Sheet'!$L$23)&amp;"","")="",ISNUMBER(SEARCH($AS$72:$AZ$72,IFERROR(('Final Calculation Sheet'!$L$23)&amp;"","")))))&gt;0),IF(COUNTIF($BI$72:$BP$72,2)=0,TRUE,SUMPRODUCT(($BI$72:$BP$72=2)*($AS$72:$AZ$72&lt;&gt;"")*IF(((UPPER($AS$72:$AZ$72)="BLANK")+(UPPER($AS$72:$AZ$72)="(BLANK)")+(UPPER($AS$72:$AZ$72)="EMPTY")+(UPPER($AS$72:$AZ$72)="(EMPTY)"))&gt;0,IFERROR(('Final Calculation Sheet'!$L$23)&amp;"","")="",ISNUMBER(SEARCH($AS$72:$AZ$72,IFERROR(('Final Calculation Sheet'!$L$23)&amp;"","")))))&gt;0),IF(COUNTIF($BI$72:$BP$72,3)=0,TRUE,SUMPRODUCT(($BI$72:$BP$72=3)*($AS$72:$AZ$72&lt;&gt;"")*IF(((UPPER($AS$72:$AZ$72)="BLANK")+(UPPER($AS$72:$AZ$72)="(BLANK)")+(UPPER($AS$72:$AZ$72)="EMPTY")+(UPPER($AS$72:$AZ$72)="(EMPTY)"))&gt;0,IFERROR(('Final Calculation Sheet'!$L$23)&amp;"","")="",ISNUMBER(SEARCH($AS$72:$AZ$72,IFERROR(('Final Calculation Sheet'!$L$23)&amp;"","")))))&gt;0),IF(COUNTIF($BI$72:$BP$72,4)=0,TRUE,SUMPRODUCT(($BI$72:$BP$72=4)*($AS$72:$AZ$72&lt;&gt;"")*IF(((UPPER($AS$72:$AZ$72)="BLANK")+(UPPER($AS$72:$AZ$72)="(BLANK)")+(UPPER($AS$72:$AZ$72)="EMPTY")+(UPPER($AS$72:$AZ$72)="(EMPTY)"))&gt;0,IFERROR(('Final Calculation Sheet'!$L$23)&amp;"","")="",ISNUMBER(SEARCH($AS$72:$AZ$72,IFERROR(('Final Calculation Sheet'!$L$23)&amp;"","")))))&gt;0),IF(COUNTIF($BI$72:$BP$72,5)=0,TRUE,SUMPRODUCT(($BI$72:$BP$72=5)*($AS$72:$AZ$72&lt;&gt;"")*IF(((UPPER($AS$72:$AZ$72)="BLANK")+(UPPER($AS$72:$AZ$72)="(BLANK)")+(UPPER($AS$72:$AZ$72)="EMPTY")+(UPPER($AS$72:$AZ$72)="(EMPTY)"))&gt;0,IFERROR(('Final Calculation Sheet'!$L$23)&amp;"","")="",ISNUMBER(SEARCH($AS$72:$AZ$72,IFERROR(('Final Calculation Sheet'!$L$23)&amp;"","")))))&gt;0),IF(COUNTIF($BI$72:$BP$72,6)=0,TRUE,SUMPRODUCT(($BI$72:$BP$72=6)*($AS$72:$AZ$72&lt;&gt;"")*IF(((UPPER($AS$72:$AZ$72)="BLANK")+(UPPER($AS$72:$AZ$72)="(BLANK)")+(UPPER($AS$72:$AZ$72)="EMPTY")+(UPPER($AS$72:$AZ$72)="(EMPTY)"))&gt;0,IFERROR(('Final Calculation Sheet'!$L$23)&amp;"","")="",ISNUMBER(SEARCH($AS$72:$AZ$72,IFERROR(('Final Calculation Sheet'!$L$23)&amp;"","")))))&gt;0),IF(COUNTIF($BI$72:$BP$72,7)=0,TRUE,SUMPRODUCT(($BI$72:$BP$72=7)*($AS$72:$AZ$72&lt;&gt;"")*IF(((UPPER($AS$72:$AZ$72)="BLANK")+(UPPER($AS$72:$AZ$72)="(BLANK)")+(UPPER($AS$72:$AZ$72)="EMPTY")+(UPPER($AS$72:$AZ$72)="(EMPTY)"))&gt;0,IFERROR(('Final Calculation Sheet'!$L$23)&amp;"","")="",ISNUMBER(SEARCH($AS$72:$AZ$72,IFERROR(('Final Calculation Sheet'!$L$23)&amp;"","")))))&gt;0),IF(COUNTIF($BI$72:$BP$72,8)=0,TRUE,SUMPRODUCT(($BI$72:$BP$72=8)*($AS$72:$AZ$72&lt;&gt;"")*IF(((UPPER($AS$72:$AZ$72)="BLANK")+(UPPER($AS$72:$AZ$72)="(BLANK)")+(UPPER($AS$72:$AZ$72)="EMPTY")+(UPPER($AS$72:$AZ$72)="(EMPTY)"))&gt;0,IFERROR(('Final Calculation Sheet'!$L$23)&amp;"","")="",ISNUMBER(SEARCH($AS$72:$AZ$72,IFERROR(('Final Calculation Sheet'!$L$23)&amp;"","")))))&gt;0))))</f>
        <v>1</v>
      </c>
      <c r="BZ24">
        <f>IF($N$4="",1,--(AND(SUMPRODUCT(--($AS$73:$AZ$73&lt;&gt;""))&gt;0,IF(COUNTIF($BI$73:$BP$73,1)=0,TRUE,SUMPRODUCT(($BI$73:$BP$73=1)*($AS$73:$AZ$73&lt;&gt;"")*IF(((UPPER($AS$73:$AZ$73)="BLANK")+(UPPER($AS$73:$AZ$73)="(BLANK)")+(UPPER($AS$73:$AZ$73)="EMPTY")+(UPPER($AS$73:$AZ$73)="(EMPTY)"))&gt;0,IFERROR(('Final Calculation Sheet'!$M$23)&amp;"","")="",ISNUMBER(SEARCH($AS$73:$AZ$73,IFERROR(('Final Calculation Sheet'!$M$23)&amp;"","")))))&gt;0),IF(COUNTIF($BI$73:$BP$73,2)=0,TRUE,SUMPRODUCT(($BI$73:$BP$73=2)*($AS$73:$AZ$73&lt;&gt;"")*IF(((UPPER($AS$73:$AZ$73)="BLANK")+(UPPER($AS$73:$AZ$73)="(BLANK)")+(UPPER($AS$73:$AZ$73)="EMPTY")+(UPPER($AS$73:$AZ$73)="(EMPTY)"))&gt;0,IFERROR(('Final Calculation Sheet'!$M$23)&amp;"","")="",ISNUMBER(SEARCH($AS$73:$AZ$73,IFERROR(('Final Calculation Sheet'!$M$23)&amp;"","")))))&gt;0),IF(COUNTIF($BI$73:$BP$73,3)=0,TRUE,SUMPRODUCT(($BI$73:$BP$73=3)*($AS$73:$AZ$73&lt;&gt;"")*IF(((UPPER($AS$73:$AZ$73)="BLANK")+(UPPER($AS$73:$AZ$73)="(BLANK)")+(UPPER($AS$73:$AZ$73)="EMPTY")+(UPPER($AS$73:$AZ$73)="(EMPTY)"))&gt;0,IFERROR(('Final Calculation Sheet'!$M$23)&amp;"","")="",ISNUMBER(SEARCH($AS$73:$AZ$73,IFERROR(('Final Calculation Sheet'!$M$23)&amp;"","")))))&gt;0),IF(COUNTIF($BI$73:$BP$73,4)=0,TRUE,SUMPRODUCT(($BI$73:$BP$73=4)*($AS$73:$AZ$73&lt;&gt;"")*IF(((UPPER($AS$73:$AZ$73)="BLANK")+(UPPER($AS$73:$AZ$73)="(BLANK)")+(UPPER($AS$73:$AZ$73)="EMPTY")+(UPPER($AS$73:$AZ$73)="(EMPTY)"))&gt;0,IFERROR(('Final Calculation Sheet'!$M$23)&amp;"","")="",ISNUMBER(SEARCH($AS$73:$AZ$73,IFERROR(('Final Calculation Sheet'!$M$23)&amp;"","")))))&gt;0),IF(COUNTIF($BI$73:$BP$73,5)=0,TRUE,SUMPRODUCT(($BI$73:$BP$73=5)*($AS$73:$AZ$73&lt;&gt;"")*IF(((UPPER($AS$73:$AZ$73)="BLANK")+(UPPER($AS$73:$AZ$73)="(BLANK)")+(UPPER($AS$73:$AZ$73)="EMPTY")+(UPPER($AS$73:$AZ$73)="(EMPTY)"))&gt;0,IFERROR(('Final Calculation Sheet'!$M$23)&amp;"","")="",ISNUMBER(SEARCH($AS$73:$AZ$73,IFERROR(('Final Calculation Sheet'!$M$23)&amp;"","")))))&gt;0),IF(COUNTIF($BI$73:$BP$73,6)=0,TRUE,SUMPRODUCT(($BI$73:$BP$73=6)*($AS$73:$AZ$73&lt;&gt;"")*IF(((UPPER($AS$73:$AZ$73)="BLANK")+(UPPER($AS$73:$AZ$73)="(BLANK)")+(UPPER($AS$73:$AZ$73)="EMPTY")+(UPPER($AS$73:$AZ$73)="(EMPTY)"))&gt;0,IFERROR(('Final Calculation Sheet'!$M$23)&amp;"","")="",ISNUMBER(SEARCH($AS$73:$AZ$73,IFERROR(('Final Calculation Sheet'!$M$23)&amp;"","")))))&gt;0),IF(COUNTIF($BI$73:$BP$73,7)=0,TRUE,SUMPRODUCT(($BI$73:$BP$73=7)*($AS$73:$AZ$73&lt;&gt;"")*IF(((UPPER($AS$73:$AZ$73)="BLANK")+(UPPER($AS$73:$AZ$73)="(BLANK)")+(UPPER($AS$73:$AZ$73)="EMPTY")+(UPPER($AS$73:$AZ$73)="(EMPTY)"))&gt;0,IFERROR(('Final Calculation Sheet'!$M$23)&amp;"","")="",ISNUMBER(SEARCH($AS$73:$AZ$73,IFERROR(('Final Calculation Sheet'!$M$23)&amp;"","")))))&gt;0),IF(COUNTIF($BI$73:$BP$73,8)=0,TRUE,SUMPRODUCT(($BI$73:$BP$73=8)*($AS$73:$AZ$73&lt;&gt;"")*IF(((UPPER($AS$73:$AZ$73)="BLANK")+(UPPER($AS$73:$AZ$73)="(BLANK)")+(UPPER($AS$73:$AZ$73)="EMPTY")+(UPPER($AS$73:$AZ$73)="(EMPTY)"))&gt;0,IFERROR(('Final Calculation Sheet'!$M$23)&amp;"","")="",ISNUMBER(SEARCH($AS$73:$AZ$73,IFERROR(('Final Calculation Sheet'!$M$23)&amp;"","")))))&gt;0))))</f>
        <v>1</v>
      </c>
      <c r="CA24">
        <f>IF($O$4="",1,--(AND(SUMPRODUCT(--($AS$74:$AZ$74&lt;&gt;""))&gt;0,IF(COUNTIF($BI$74:$BP$74,1)=0,TRUE,SUMPRODUCT(($BI$74:$BP$74=1)*($AS$74:$AZ$74&lt;&gt;"")*IF(((UPPER($AS$74:$AZ$74)="BLANK")+(UPPER($AS$74:$AZ$74)="(BLANK)")+(UPPER($AS$74:$AZ$74)="EMPTY")+(UPPER($AS$74:$AZ$74)="(EMPTY)"))&gt;0,IFERROR(('Final Calculation Sheet'!$N$23)&amp;"","")="",ISNUMBER(SEARCH($AS$74:$AZ$74,IFERROR(('Final Calculation Sheet'!$N$23)&amp;"","")))))&gt;0),IF(COUNTIF($BI$74:$BP$74,2)=0,TRUE,SUMPRODUCT(($BI$74:$BP$74=2)*($AS$74:$AZ$74&lt;&gt;"")*IF(((UPPER($AS$74:$AZ$74)="BLANK")+(UPPER($AS$74:$AZ$74)="(BLANK)")+(UPPER($AS$74:$AZ$74)="EMPTY")+(UPPER($AS$74:$AZ$74)="(EMPTY)"))&gt;0,IFERROR(('Final Calculation Sheet'!$N$23)&amp;"","")="",ISNUMBER(SEARCH($AS$74:$AZ$74,IFERROR(('Final Calculation Sheet'!$N$23)&amp;"","")))))&gt;0),IF(COUNTIF($BI$74:$BP$74,3)=0,TRUE,SUMPRODUCT(($BI$74:$BP$74=3)*($AS$74:$AZ$74&lt;&gt;"")*IF(((UPPER($AS$74:$AZ$74)="BLANK")+(UPPER($AS$74:$AZ$74)="(BLANK)")+(UPPER($AS$74:$AZ$74)="EMPTY")+(UPPER($AS$74:$AZ$74)="(EMPTY)"))&gt;0,IFERROR(('Final Calculation Sheet'!$N$23)&amp;"","")="",ISNUMBER(SEARCH($AS$74:$AZ$74,IFERROR(('Final Calculation Sheet'!$N$23)&amp;"","")))))&gt;0),IF(COUNTIF($BI$74:$BP$74,4)=0,TRUE,SUMPRODUCT(($BI$74:$BP$74=4)*($AS$74:$AZ$74&lt;&gt;"")*IF(((UPPER($AS$74:$AZ$74)="BLANK")+(UPPER($AS$74:$AZ$74)="(BLANK)")+(UPPER($AS$74:$AZ$74)="EMPTY")+(UPPER($AS$74:$AZ$74)="(EMPTY)"))&gt;0,IFERROR(('Final Calculation Sheet'!$N$23)&amp;"","")="",ISNUMBER(SEARCH($AS$74:$AZ$74,IFERROR(('Final Calculation Sheet'!$N$23)&amp;"","")))))&gt;0),IF(COUNTIF($BI$74:$BP$74,5)=0,TRUE,SUMPRODUCT(($BI$74:$BP$74=5)*($AS$74:$AZ$74&lt;&gt;"")*IF(((UPPER($AS$74:$AZ$74)="BLANK")+(UPPER($AS$74:$AZ$74)="(BLANK)")+(UPPER($AS$74:$AZ$74)="EMPTY")+(UPPER($AS$74:$AZ$74)="(EMPTY)"))&gt;0,IFERROR(('Final Calculation Sheet'!$N$23)&amp;"","")="",ISNUMBER(SEARCH($AS$74:$AZ$74,IFERROR(('Final Calculation Sheet'!$N$23)&amp;"","")))))&gt;0),IF(COUNTIF($BI$74:$BP$74,6)=0,TRUE,SUMPRODUCT(($BI$74:$BP$74=6)*($AS$74:$AZ$74&lt;&gt;"")*IF(((UPPER($AS$74:$AZ$74)="BLANK")+(UPPER($AS$74:$AZ$74)="(BLANK)")+(UPPER($AS$74:$AZ$74)="EMPTY")+(UPPER($AS$74:$AZ$74)="(EMPTY)"))&gt;0,IFERROR(('Final Calculation Sheet'!$N$23)&amp;"","")="",ISNUMBER(SEARCH($AS$74:$AZ$74,IFERROR(('Final Calculation Sheet'!$N$23)&amp;"","")))))&gt;0),IF(COUNTIF($BI$74:$BP$74,7)=0,TRUE,SUMPRODUCT(($BI$74:$BP$74=7)*($AS$74:$AZ$74&lt;&gt;"")*IF(((UPPER($AS$74:$AZ$74)="BLANK")+(UPPER($AS$74:$AZ$74)="(BLANK)")+(UPPER($AS$74:$AZ$74)="EMPTY")+(UPPER($AS$74:$AZ$74)="(EMPTY)"))&gt;0,IFERROR(('Final Calculation Sheet'!$N$23)&amp;"","")="",ISNUMBER(SEARCH($AS$74:$AZ$74,IFERROR(('Final Calculation Sheet'!$N$23)&amp;"","")))))&gt;0),IF(COUNTIF($BI$74:$BP$74,8)=0,TRUE,SUMPRODUCT(($BI$74:$BP$74=8)*($AS$74:$AZ$74&lt;&gt;"")*IF(((UPPER($AS$74:$AZ$74)="BLANK")+(UPPER($AS$74:$AZ$74)="(BLANK)")+(UPPER($AS$74:$AZ$74)="EMPTY")+(UPPER($AS$74:$AZ$74)="(EMPTY)"))&gt;0,IFERROR(('Final Calculation Sheet'!$N$23)&amp;"","")="",ISNUMBER(SEARCH($AS$74:$AZ$74,IFERROR(('Final Calculation Sheet'!$N$23)&amp;"","")))))&gt;0))))</f>
        <v>1</v>
      </c>
      <c r="CB24">
        <f>IF($P$4="",1,--(AND(SUMPRODUCT(--($AS$75:$AZ$75&lt;&gt;""))&gt;0,IF(COUNTIF($BI$75:$BP$75,1)=0,TRUE,SUMPRODUCT(($BI$75:$BP$75=1)*($AS$75:$AZ$75&lt;&gt;"")*IF(((UPPER($AS$75:$AZ$75)="BLANK")+(UPPER($AS$75:$AZ$75)="(BLANK)")+(UPPER($AS$75:$AZ$75)="EMPTY")+(UPPER($AS$75:$AZ$75)="(EMPTY)"))&gt;0,IFERROR(('Final Calculation Sheet'!$O$23)&amp;"","")="",ISNUMBER(SEARCH($AS$75:$AZ$75,IFERROR(('Final Calculation Sheet'!$O$23)&amp;"","")))))&gt;0),IF(COUNTIF($BI$75:$BP$75,2)=0,TRUE,SUMPRODUCT(($BI$75:$BP$75=2)*($AS$75:$AZ$75&lt;&gt;"")*IF(((UPPER($AS$75:$AZ$75)="BLANK")+(UPPER($AS$75:$AZ$75)="(BLANK)")+(UPPER($AS$75:$AZ$75)="EMPTY")+(UPPER($AS$75:$AZ$75)="(EMPTY)"))&gt;0,IFERROR(('Final Calculation Sheet'!$O$23)&amp;"","")="",ISNUMBER(SEARCH($AS$75:$AZ$75,IFERROR(('Final Calculation Sheet'!$O$23)&amp;"","")))))&gt;0),IF(COUNTIF($BI$75:$BP$75,3)=0,TRUE,SUMPRODUCT(($BI$75:$BP$75=3)*($AS$75:$AZ$75&lt;&gt;"")*IF(((UPPER($AS$75:$AZ$75)="BLANK")+(UPPER($AS$75:$AZ$75)="(BLANK)")+(UPPER($AS$75:$AZ$75)="EMPTY")+(UPPER($AS$75:$AZ$75)="(EMPTY)"))&gt;0,IFERROR(('Final Calculation Sheet'!$O$23)&amp;"","")="",ISNUMBER(SEARCH($AS$75:$AZ$75,IFERROR(('Final Calculation Sheet'!$O$23)&amp;"","")))))&gt;0),IF(COUNTIF($BI$75:$BP$75,4)=0,TRUE,SUMPRODUCT(($BI$75:$BP$75=4)*($AS$75:$AZ$75&lt;&gt;"")*IF(((UPPER($AS$75:$AZ$75)="BLANK")+(UPPER($AS$75:$AZ$75)="(BLANK)")+(UPPER($AS$75:$AZ$75)="EMPTY")+(UPPER($AS$75:$AZ$75)="(EMPTY)"))&gt;0,IFERROR(('Final Calculation Sheet'!$O$23)&amp;"","")="",ISNUMBER(SEARCH($AS$75:$AZ$75,IFERROR(('Final Calculation Sheet'!$O$23)&amp;"","")))))&gt;0),IF(COUNTIF($BI$75:$BP$75,5)=0,TRUE,SUMPRODUCT(($BI$75:$BP$75=5)*($AS$75:$AZ$75&lt;&gt;"")*IF(((UPPER($AS$75:$AZ$75)="BLANK")+(UPPER($AS$75:$AZ$75)="(BLANK)")+(UPPER($AS$75:$AZ$75)="EMPTY")+(UPPER($AS$75:$AZ$75)="(EMPTY)"))&gt;0,IFERROR(('Final Calculation Sheet'!$O$23)&amp;"","")="",ISNUMBER(SEARCH($AS$75:$AZ$75,IFERROR(('Final Calculation Sheet'!$O$23)&amp;"","")))))&gt;0),IF(COUNTIF($BI$75:$BP$75,6)=0,TRUE,SUMPRODUCT(($BI$75:$BP$75=6)*($AS$75:$AZ$75&lt;&gt;"")*IF(((UPPER($AS$75:$AZ$75)="BLANK")+(UPPER($AS$75:$AZ$75)="(BLANK)")+(UPPER($AS$75:$AZ$75)="EMPTY")+(UPPER($AS$75:$AZ$75)="(EMPTY)"))&gt;0,IFERROR(('Final Calculation Sheet'!$O$23)&amp;"","")="",ISNUMBER(SEARCH($AS$75:$AZ$75,IFERROR(('Final Calculation Sheet'!$O$23)&amp;"","")))))&gt;0),IF(COUNTIF($BI$75:$BP$75,7)=0,TRUE,SUMPRODUCT(($BI$75:$BP$75=7)*($AS$75:$AZ$75&lt;&gt;"")*IF(((UPPER($AS$75:$AZ$75)="BLANK")+(UPPER($AS$75:$AZ$75)="(BLANK)")+(UPPER($AS$75:$AZ$75)="EMPTY")+(UPPER($AS$75:$AZ$75)="(EMPTY)"))&gt;0,IFERROR(('Final Calculation Sheet'!$O$23)&amp;"","")="",ISNUMBER(SEARCH($AS$75:$AZ$75,IFERROR(('Final Calculation Sheet'!$O$23)&amp;"","")))))&gt;0),IF(COUNTIF($BI$75:$BP$75,8)=0,TRUE,SUMPRODUCT(($BI$75:$BP$75=8)*($AS$75:$AZ$75&lt;&gt;"")*IF(((UPPER($AS$75:$AZ$75)="BLANK")+(UPPER($AS$75:$AZ$75)="(BLANK)")+(UPPER($AS$75:$AZ$75)="EMPTY")+(UPPER($AS$75:$AZ$75)="(EMPTY)"))&gt;0,IFERROR(('Final Calculation Sheet'!$O$23)&amp;"","")="",ISNUMBER(SEARCH($AS$75:$AZ$75,IFERROR(('Final Calculation Sheet'!$O$23)&amp;"","")))))&gt;0))))</f>
        <v>1</v>
      </c>
      <c r="CC24">
        <f>IF($Q$4="",1,--(AND(SUMPRODUCT(--($AS$76:$AZ$76&lt;&gt;""))&gt;0,IF(COUNTIF($BI$76:$BP$76,1)=0,TRUE,SUMPRODUCT(($BI$76:$BP$76=1)*($AS$76:$AZ$76&lt;&gt;"")*IF(((UPPER($AS$76:$AZ$76)="BLANK")+(UPPER($AS$76:$AZ$76)="(BLANK)")+(UPPER($AS$76:$AZ$76)="EMPTY")+(UPPER($AS$76:$AZ$76)="(EMPTY)"))&gt;0,IFERROR(('Final Calculation Sheet'!$P$23)&amp;"","")="",ISNUMBER(SEARCH($AS$76:$AZ$76,IFERROR(('Final Calculation Sheet'!$P$23)&amp;"","")))))&gt;0),IF(COUNTIF($BI$76:$BP$76,2)=0,TRUE,SUMPRODUCT(($BI$76:$BP$76=2)*($AS$76:$AZ$76&lt;&gt;"")*IF(((UPPER($AS$76:$AZ$76)="BLANK")+(UPPER($AS$76:$AZ$76)="(BLANK)")+(UPPER($AS$76:$AZ$76)="EMPTY")+(UPPER($AS$76:$AZ$76)="(EMPTY)"))&gt;0,IFERROR(('Final Calculation Sheet'!$P$23)&amp;"","")="",ISNUMBER(SEARCH($AS$76:$AZ$76,IFERROR(('Final Calculation Sheet'!$P$23)&amp;"","")))))&gt;0),IF(COUNTIF($BI$76:$BP$76,3)=0,TRUE,SUMPRODUCT(($BI$76:$BP$76=3)*($AS$76:$AZ$76&lt;&gt;"")*IF(((UPPER($AS$76:$AZ$76)="BLANK")+(UPPER($AS$76:$AZ$76)="(BLANK)")+(UPPER($AS$76:$AZ$76)="EMPTY")+(UPPER($AS$76:$AZ$76)="(EMPTY)"))&gt;0,IFERROR(('Final Calculation Sheet'!$P$23)&amp;"","")="",ISNUMBER(SEARCH($AS$76:$AZ$76,IFERROR(('Final Calculation Sheet'!$P$23)&amp;"","")))))&gt;0),IF(COUNTIF($BI$76:$BP$76,4)=0,TRUE,SUMPRODUCT(($BI$76:$BP$76=4)*($AS$76:$AZ$76&lt;&gt;"")*IF(((UPPER($AS$76:$AZ$76)="BLANK")+(UPPER($AS$76:$AZ$76)="(BLANK)")+(UPPER($AS$76:$AZ$76)="EMPTY")+(UPPER($AS$76:$AZ$76)="(EMPTY)"))&gt;0,IFERROR(('Final Calculation Sheet'!$P$23)&amp;"","")="",ISNUMBER(SEARCH($AS$76:$AZ$76,IFERROR(('Final Calculation Sheet'!$P$23)&amp;"","")))))&gt;0),IF(COUNTIF($BI$76:$BP$76,5)=0,TRUE,SUMPRODUCT(($BI$76:$BP$76=5)*($AS$76:$AZ$76&lt;&gt;"")*IF(((UPPER($AS$76:$AZ$76)="BLANK")+(UPPER($AS$76:$AZ$76)="(BLANK)")+(UPPER($AS$76:$AZ$76)="EMPTY")+(UPPER($AS$76:$AZ$76)="(EMPTY)"))&gt;0,IFERROR(('Final Calculation Sheet'!$P$23)&amp;"","")="",ISNUMBER(SEARCH($AS$76:$AZ$76,IFERROR(('Final Calculation Sheet'!$P$23)&amp;"","")))))&gt;0),IF(COUNTIF($BI$76:$BP$76,6)=0,TRUE,SUMPRODUCT(($BI$76:$BP$76=6)*($AS$76:$AZ$76&lt;&gt;"")*IF(((UPPER($AS$76:$AZ$76)="BLANK")+(UPPER($AS$76:$AZ$76)="(BLANK)")+(UPPER($AS$76:$AZ$76)="EMPTY")+(UPPER($AS$76:$AZ$76)="(EMPTY)"))&gt;0,IFERROR(('Final Calculation Sheet'!$P$23)&amp;"","")="",ISNUMBER(SEARCH($AS$76:$AZ$76,IFERROR(('Final Calculation Sheet'!$P$23)&amp;"","")))))&gt;0),IF(COUNTIF($BI$76:$BP$76,7)=0,TRUE,SUMPRODUCT(($BI$76:$BP$76=7)*($AS$76:$AZ$76&lt;&gt;"")*IF(((UPPER($AS$76:$AZ$76)="BLANK")+(UPPER($AS$76:$AZ$76)="(BLANK)")+(UPPER($AS$76:$AZ$76)="EMPTY")+(UPPER($AS$76:$AZ$76)="(EMPTY)"))&gt;0,IFERROR(('Final Calculation Sheet'!$P$23)&amp;"","")="",ISNUMBER(SEARCH($AS$76:$AZ$76,IFERROR(('Final Calculation Sheet'!$P$23)&amp;"","")))))&gt;0),IF(COUNTIF($BI$76:$BP$76,8)=0,TRUE,SUMPRODUCT(($BI$76:$BP$76=8)*($AS$76:$AZ$76&lt;&gt;"")*IF(((UPPER($AS$76:$AZ$76)="BLANK")+(UPPER($AS$76:$AZ$76)="(BLANK)")+(UPPER($AS$76:$AZ$76)="EMPTY")+(UPPER($AS$76:$AZ$76)="(EMPTY)"))&gt;0,IFERROR(('Final Calculation Sheet'!$P$23)&amp;"","")="",ISNUMBER(SEARCH($AS$76:$AZ$76,IFERROR(('Final Calculation Sheet'!$P$23)&amp;"","")))))&gt;0))))</f>
        <v>1</v>
      </c>
      <c r="CD24">
        <f>IF($R$4="",1,--(AND(SUMPRODUCT(--($AS$77:$AZ$77&lt;&gt;""))&gt;0,IF(COUNTIF($BI$77:$BP$77,1)=0,TRUE,SUMPRODUCT(($BI$77:$BP$77=1)*($AS$77:$AZ$77&lt;&gt;"")*IF(((UPPER($AS$77:$AZ$77)="BLANK")+(UPPER($AS$77:$AZ$77)="(BLANK)")+(UPPER($AS$77:$AZ$77)="EMPTY")+(UPPER($AS$77:$AZ$77)="(EMPTY)"))&gt;0,IFERROR(('Final Calculation Sheet'!$Q$23)&amp;"","")="",ISNUMBER(SEARCH($AS$77:$AZ$77,IFERROR(('Final Calculation Sheet'!$Q$23)&amp;"","")))))&gt;0),IF(COUNTIF($BI$77:$BP$77,2)=0,TRUE,SUMPRODUCT(($BI$77:$BP$77=2)*($AS$77:$AZ$77&lt;&gt;"")*IF(((UPPER($AS$77:$AZ$77)="BLANK")+(UPPER($AS$77:$AZ$77)="(BLANK)")+(UPPER($AS$77:$AZ$77)="EMPTY")+(UPPER($AS$77:$AZ$77)="(EMPTY)"))&gt;0,IFERROR(('Final Calculation Sheet'!$Q$23)&amp;"","")="",ISNUMBER(SEARCH($AS$77:$AZ$77,IFERROR(('Final Calculation Sheet'!$Q$23)&amp;"","")))))&gt;0),IF(COUNTIF($BI$77:$BP$77,3)=0,TRUE,SUMPRODUCT(($BI$77:$BP$77=3)*($AS$77:$AZ$77&lt;&gt;"")*IF(((UPPER($AS$77:$AZ$77)="BLANK")+(UPPER($AS$77:$AZ$77)="(BLANK)")+(UPPER($AS$77:$AZ$77)="EMPTY")+(UPPER($AS$77:$AZ$77)="(EMPTY)"))&gt;0,IFERROR(('Final Calculation Sheet'!$Q$23)&amp;"","")="",ISNUMBER(SEARCH($AS$77:$AZ$77,IFERROR(('Final Calculation Sheet'!$Q$23)&amp;"","")))))&gt;0),IF(COUNTIF($BI$77:$BP$77,4)=0,TRUE,SUMPRODUCT(($BI$77:$BP$77=4)*($AS$77:$AZ$77&lt;&gt;"")*IF(((UPPER($AS$77:$AZ$77)="BLANK")+(UPPER($AS$77:$AZ$77)="(BLANK)")+(UPPER($AS$77:$AZ$77)="EMPTY")+(UPPER($AS$77:$AZ$77)="(EMPTY)"))&gt;0,IFERROR(('Final Calculation Sheet'!$Q$23)&amp;"","")="",ISNUMBER(SEARCH($AS$77:$AZ$77,IFERROR(('Final Calculation Sheet'!$Q$23)&amp;"","")))))&gt;0),IF(COUNTIF($BI$77:$BP$77,5)=0,TRUE,SUMPRODUCT(($BI$77:$BP$77=5)*($AS$77:$AZ$77&lt;&gt;"")*IF(((UPPER($AS$77:$AZ$77)="BLANK")+(UPPER($AS$77:$AZ$77)="(BLANK)")+(UPPER($AS$77:$AZ$77)="EMPTY")+(UPPER($AS$77:$AZ$77)="(EMPTY)"))&gt;0,IFERROR(('Final Calculation Sheet'!$Q$23)&amp;"","")="",ISNUMBER(SEARCH($AS$77:$AZ$77,IFERROR(('Final Calculation Sheet'!$Q$23)&amp;"","")))))&gt;0),IF(COUNTIF($BI$77:$BP$77,6)=0,TRUE,SUMPRODUCT(($BI$77:$BP$77=6)*($AS$77:$AZ$77&lt;&gt;"")*IF(((UPPER($AS$77:$AZ$77)="BLANK")+(UPPER($AS$77:$AZ$77)="(BLANK)")+(UPPER($AS$77:$AZ$77)="EMPTY")+(UPPER($AS$77:$AZ$77)="(EMPTY)"))&gt;0,IFERROR(('Final Calculation Sheet'!$Q$23)&amp;"","")="",ISNUMBER(SEARCH($AS$77:$AZ$77,IFERROR(('Final Calculation Sheet'!$Q$23)&amp;"","")))))&gt;0),IF(COUNTIF($BI$77:$BP$77,7)=0,TRUE,SUMPRODUCT(($BI$77:$BP$77=7)*($AS$77:$AZ$77&lt;&gt;"")*IF(((UPPER($AS$77:$AZ$77)="BLANK")+(UPPER($AS$77:$AZ$77)="(BLANK)")+(UPPER($AS$77:$AZ$77)="EMPTY")+(UPPER($AS$77:$AZ$77)="(EMPTY)"))&gt;0,IFERROR(('Final Calculation Sheet'!$Q$23)&amp;"","")="",ISNUMBER(SEARCH($AS$77:$AZ$77,IFERROR(('Final Calculation Sheet'!$Q$23)&amp;"","")))))&gt;0),IF(COUNTIF($BI$77:$BP$77,8)=0,TRUE,SUMPRODUCT(($BI$77:$BP$77=8)*($AS$77:$AZ$77&lt;&gt;"")*IF(((UPPER($AS$77:$AZ$77)="BLANK")+(UPPER($AS$77:$AZ$77)="(BLANK)")+(UPPER($AS$77:$AZ$77)="EMPTY")+(UPPER($AS$77:$AZ$77)="(EMPTY)"))&gt;0,IFERROR(('Final Calculation Sheet'!$Q$23)&amp;"","")="",ISNUMBER(SEARCH($AS$77:$AZ$77,IFERROR(('Final Calculation Sheet'!$Q$23)&amp;"","")))))&gt;0))))</f>
        <v>1</v>
      </c>
      <c r="CE24">
        <f>IF($S$4="",1,--(AND(SUMPRODUCT(--($AS$78:$AZ$78&lt;&gt;""))&gt;0,IF(COUNTIF($BI$78:$BP$78,1)=0,TRUE,SUMPRODUCT(($BI$78:$BP$78=1)*($AS$78:$AZ$78&lt;&gt;"")*IF(((UPPER($AS$78:$AZ$78)="BLANK")+(UPPER($AS$78:$AZ$78)="(BLANK)")+(UPPER($AS$78:$AZ$78)="EMPTY")+(UPPER($AS$78:$AZ$78)="(EMPTY)"))&gt;0,IFERROR(('Final Calculation Sheet'!$R$23)&amp;"","")="",ISNUMBER(SEARCH($AS$78:$AZ$78,IFERROR(('Final Calculation Sheet'!$R$23)&amp;"","")))))&gt;0),IF(COUNTIF($BI$78:$BP$78,2)=0,TRUE,SUMPRODUCT(($BI$78:$BP$78=2)*($AS$78:$AZ$78&lt;&gt;"")*IF(((UPPER($AS$78:$AZ$78)="BLANK")+(UPPER($AS$78:$AZ$78)="(BLANK)")+(UPPER($AS$78:$AZ$78)="EMPTY")+(UPPER($AS$78:$AZ$78)="(EMPTY)"))&gt;0,IFERROR(('Final Calculation Sheet'!$R$23)&amp;"","")="",ISNUMBER(SEARCH($AS$78:$AZ$78,IFERROR(('Final Calculation Sheet'!$R$23)&amp;"","")))))&gt;0),IF(COUNTIF($BI$78:$BP$78,3)=0,TRUE,SUMPRODUCT(($BI$78:$BP$78=3)*($AS$78:$AZ$78&lt;&gt;"")*IF(((UPPER($AS$78:$AZ$78)="BLANK")+(UPPER($AS$78:$AZ$78)="(BLANK)")+(UPPER($AS$78:$AZ$78)="EMPTY")+(UPPER($AS$78:$AZ$78)="(EMPTY)"))&gt;0,IFERROR(('Final Calculation Sheet'!$R$23)&amp;"","")="",ISNUMBER(SEARCH($AS$78:$AZ$78,IFERROR(('Final Calculation Sheet'!$R$23)&amp;"","")))))&gt;0),IF(COUNTIF($BI$78:$BP$78,4)=0,TRUE,SUMPRODUCT(($BI$78:$BP$78=4)*($AS$78:$AZ$78&lt;&gt;"")*IF(((UPPER($AS$78:$AZ$78)="BLANK")+(UPPER($AS$78:$AZ$78)="(BLANK)")+(UPPER($AS$78:$AZ$78)="EMPTY")+(UPPER($AS$78:$AZ$78)="(EMPTY)"))&gt;0,IFERROR(('Final Calculation Sheet'!$R$23)&amp;"","")="",ISNUMBER(SEARCH($AS$78:$AZ$78,IFERROR(('Final Calculation Sheet'!$R$23)&amp;"","")))))&gt;0),IF(COUNTIF($BI$78:$BP$78,5)=0,TRUE,SUMPRODUCT(($BI$78:$BP$78=5)*($AS$78:$AZ$78&lt;&gt;"")*IF(((UPPER($AS$78:$AZ$78)="BLANK")+(UPPER($AS$78:$AZ$78)="(BLANK)")+(UPPER($AS$78:$AZ$78)="EMPTY")+(UPPER($AS$78:$AZ$78)="(EMPTY)"))&gt;0,IFERROR(('Final Calculation Sheet'!$R$23)&amp;"","")="",ISNUMBER(SEARCH($AS$78:$AZ$78,IFERROR(('Final Calculation Sheet'!$R$23)&amp;"","")))))&gt;0),IF(COUNTIF($BI$78:$BP$78,6)=0,TRUE,SUMPRODUCT(($BI$78:$BP$78=6)*($AS$78:$AZ$78&lt;&gt;"")*IF(((UPPER($AS$78:$AZ$78)="BLANK")+(UPPER($AS$78:$AZ$78)="(BLANK)")+(UPPER($AS$78:$AZ$78)="EMPTY")+(UPPER($AS$78:$AZ$78)="(EMPTY)"))&gt;0,IFERROR(('Final Calculation Sheet'!$R$23)&amp;"","")="",ISNUMBER(SEARCH($AS$78:$AZ$78,IFERROR(('Final Calculation Sheet'!$R$23)&amp;"","")))))&gt;0),IF(COUNTIF($BI$78:$BP$78,7)=0,TRUE,SUMPRODUCT(($BI$78:$BP$78=7)*($AS$78:$AZ$78&lt;&gt;"")*IF(((UPPER($AS$78:$AZ$78)="BLANK")+(UPPER($AS$78:$AZ$78)="(BLANK)")+(UPPER($AS$78:$AZ$78)="EMPTY")+(UPPER($AS$78:$AZ$78)="(EMPTY)"))&gt;0,IFERROR(('Final Calculation Sheet'!$R$23)&amp;"","")="",ISNUMBER(SEARCH($AS$78:$AZ$78,IFERROR(('Final Calculation Sheet'!$R$23)&amp;"","")))))&gt;0),IF(COUNTIF($BI$78:$BP$78,8)=0,TRUE,SUMPRODUCT(($BI$78:$BP$78=8)*($AS$78:$AZ$78&lt;&gt;"")*IF(((UPPER($AS$78:$AZ$78)="BLANK")+(UPPER($AS$78:$AZ$78)="(BLANK)")+(UPPER($AS$78:$AZ$78)="EMPTY")+(UPPER($AS$78:$AZ$78)="(EMPTY)"))&gt;0,IFERROR(('Final Calculation Sheet'!$R$23)&amp;"","")="",ISNUMBER(SEARCH($AS$78:$AZ$78,IFERROR(('Final Calculation Sheet'!$R$23)&amp;"","")))))&gt;0))))</f>
        <v>1</v>
      </c>
      <c r="CF24">
        <f>IF($T$4="",1,--(AND(SUMPRODUCT(--($AS$79:$AZ$79&lt;&gt;""))&gt;0,IF(COUNTIF($BI$79:$BP$79,1)=0,TRUE,SUMPRODUCT(($BI$79:$BP$79=1)*($AS$79:$AZ$79&lt;&gt;"")*IF(((UPPER($AS$79:$AZ$79)="BLANK")+(UPPER($AS$79:$AZ$79)="(BLANK)")+(UPPER($AS$79:$AZ$79)="EMPTY")+(UPPER($AS$79:$AZ$79)="(EMPTY)"))&gt;0,IFERROR(('Final Calculation Sheet'!$S$23)&amp;"","")="",ISNUMBER(SEARCH($AS$79:$AZ$79,IFERROR(('Final Calculation Sheet'!$S$23)&amp;"","")))))&gt;0),IF(COUNTIF($BI$79:$BP$79,2)=0,TRUE,SUMPRODUCT(($BI$79:$BP$79=2)*($AS$79:$AZ$79&lt;&gt;"")*IF(((UPPER($AS$79:$AZ$79)="BLANK")+(UPPER($AS$79:$AZ$79)="(BLANK)")+(UPPER($AS$79:$AZ$79)="EMPTY")+(UPPER($AS$79:$AZ$79)="(EMPTY)"))&gt;0,IFERROR(('Final Calculation Sheet'!$S$23)&amp;"","")="",ISNUMBER(SEARCH($AS$79:$AZ$79,IFERROR(('Final Calculation Sheet'!$S$23)&amp;"","")))))&gt;0),IF(COUNTIF($BI$79:$BP$79,3)=0,TRUE,SUMPRODUCT(($BI$79:$BP$79=3)*($AS$79:$AZ$79&lt;&gt;"")*IF(((UPPER($AS$79:$AZ$79)="BLANK")+(UPPER($AS$79:$AZ$79)="(BLANK)")+(UPPER($AS$79:$AZ$79)="EMPTY")+(UPPER($AS$79:$AZ$79)="(EMPTY)"))&gt;0,IFERROR(('Final Calculation Sheet'!$S$23)&amp;"","")="",ISNUMBER(SEARCH($AS$79:$AZ$79,IFERROR(('Final Calculation Sheet'!$S$23)&amp;"","")))))&gt;0),IF(COUNTIF($BI$79:$BP$79,4)=0,TRUE,SUMPRODUCT(($BI$79:$BP$79=4)*($AS$79:$AZ$79&lt;&gt;"")*IF(((UPPER($AS$79:$AZ$79)="BLANK")+(UPPER($AS$79:$AZ$79)="(BLANK)")+(UPPER($AS$79:$AZ$79)="EMPTY")+(UPPER($AS$79:$AZ$79)="(EMPTY)"))&gt;0,IFERROR(('Final Calculation Sheet'!$S$23)&amp;"","")="",ISNUMBER(SEARCH($AS$79:$AZ$79,IFERROR(('Final Calculation Sheet'!$S$23)&amp;"","")))))&gt;0),IF(COUNTIF($BI$79:$BP$79,5)=0,TRUE,SUMPRODUCT(($BI$79:$BP$79=5)*($AS$79:$AZ$79&lt;&gt;"")*IF(((UPPER($AS$79:$AZ$79)="BLANK")+(UPPER($AS$79:$AZ$79)="(BLANK)")+(UPPER($AS$79:$AZ$79)="EMPTY")+(UPPER($AS$79:$AZ$79)="(EMPTY)"))&gt;0,IFERROR(('Final Calculation Sheet'!$S$23)&amp;"","")="",ISNUMBER(SEARCH($AS$79:$AZ$79,IFERROR(('Final Calculation Sheet'!$S$23)&amp;"","")))))&gt;0),IF(COUNTIF($BI$79:$BP$79,6)=0,TRUE,SUMPRODUCT(($BI$79:$BP$79=6)*($AS$79:$AZ$79&lt;&gt;"")*IF(((UPPER($AS$79:$AZ$79)="BLANK")+(UPPER($AS$79:$AZ$79)="(BLANK)")+(UPPER($AS$79:$AZ$79)="EMPTY")+(UPPER($AS$79:$AZ$79)="(EMPTY)"))&gt;0,IFERROR(('Final Calculation Sheet'!$S$23)&amp;"","")="",ISNUMBER(SEARCH($AS$79:$AZ$79,IFERROR(('Final Calculation Sheet'!$S$23)&amp;"","")))))&gt;0),IF(COUNTIF($BI$79:$BP$79,7)=0,TRUE,SUMPRODUCT(($BI$79:$BP$79=7)*($AS$79:$AZ$79&lt;&gt;"")*IF(((UPPER($AS$79:$AZ$79)="BLANK")+(UPPER($AS$79:$AZ$79)="(BLANK)")+(UPPER($AS$79:$AZ$79)="EMPTY")+(UPPER($AS$79:$AZ$79)="(EMPTY)"))&gt;0,IFERROR(('Final Calculation Sheet'!$S$23)&amp;"","")="",ISNUMBER(SEARCH($AS$79:$AZ$79,IFERROR(('Final Calculation Sheet'!$S$23)&amp;"","")))))&gt;0),IF(COUNTIF($BI$79:$BP$79,8)=0,TRUE,SUMPRODUCT(($BI$79:$BP$79=8)*($AS$79:$AZ$79&lt;&gt;"")*IF(((UPPER($AS$79:$AZ$79)="BLANK")+(UPPER($AS$79:$AZ$79)="(BLANK)")+(UPPER($AS$79:$AZ$79)="EMPTY")+(UPPER($AS$79:$AZ$79)="(EMPTY)"))&gt;0,IFERROR(('Final Calculation Sheet'!$S$23)&amp;"","")="",ISNUMBER(SEARCH($AS$79:$AZ$79,IFERROR(('Final Calculation Sheet'!$S$23)&amp;"","")))))&gt;0))))</f>
        <v>1</v>
      </c>
      <c r="CG24">
        <f>IF($U$4="",1,--(AND(SUMPRODUCT(--($AS$80:$AZ$80&lt;&gt;""))&gt;0,IF(COUNTIF($BI$80:$BP$80,1)=0,TRUE,SUMPRODUCT(($BI$80:$BP$80=1)*($AS$80:$AZ$80&lt;&gt;"")*IF(((UPPER($AS$80:$AZ$80)="BLANK")+(UPPER($AS$80:$AZ$80)="(BLANK)")+(UPPER($AS$80:$AZ$80)="EMPTY")+(UPPER($AS$80:$AZ$80)="(EMPTY)"))&gt;0,IFERROR(('Final Calculation Sheet'!$T$23)&amp;"","")="",ISNUMBER(SEARCH($AS$80:$AZ$80,IFERROR(('Final Calculation Sheet'!$T$23)&amp;"","")))))&gt;0),IF(COUNTIF($BI$80:$BP$80,2)=0,TRUE,SUMPRODUCT(($BI$80:$BP$80=2)*($AS$80:$AZ$80&lt;&gt;"")*IF(((UPPER($AS$80:$AZ$80)="BLANK")+(UPPER($AS$80:$AZ$80)="(BLANK)")+(UPPER($AS$80:$AZ$80)="EMPTY")+(UPPER($AS$80:$AZ$80)="(EMPTY)"))&gt;0,IFERROR(('Final Calculation Sheet'!$T$23)&amp;"","")="",ISNUMBER(SEARCH($AS$80:$AZ$80,IFERROR(('Final Calculation Sheet'!$T$23)&amp;"","")))))&gt;0),IF(COUNTIF($BI$80:$BP$80,3)=0,TRUE,SUMPRODUCT(($BI$80:$BP$80=3)*($AS$80:$AZ$80&lt;&gt;"")*IF(((UPPER($AS$80:$AZ$80)="BLANK")+(UPPER($AS$80:$AZ$80)="(BLANK)")+(UPPER($AS$80:$AZ$80)="EMPTY")+(UPPER($AS$80:$AZ$80)="(EMPTY)"))&gt;0,IFERROR(('Final Calculation Sheet'!$T$23)&amp;"","")="",ISNUMBER(SEARCH($AS$80:$AZ$80,IFERROR(('Final Calculation Sheet'!$T$23)&amp;"","")))))&gt;0),IF(COUNTIF($BI$80:$BP$80,4)=0,TRUE,SUMPRODUCT(($BI$80:$BP$80=4)*($AS$80:$AZ$80&lt;&gt;"")*IF(((UPPER($AS$80:$AZ$80)="BLANK")+(UPPER($AS$80:$AZ$80)="(BLANK)")+(UPPER($AS$80:$AZ$80)="EMPTY")+(UPPER($AS$80:$AZ$80)="(EMPTY)"))&gt;0,IFERROR(('Final Calculation Sheet'!$T$23)&amp;"","")="",ISNUMBER(SEARCH($AS$80:$AZ$80,IFERROR(('Final Calculation Sheet'!$T$23)&amp;"","")))))&gt;0),IF(COUNTIF($BI$80:$BP$80,5)=0,TRUE,SUMPRODUCT(($BI$80:$BP$80=5)*($AS$80:$AZ$80&lt;&gt;"")*IF(((UPPER($AS$80:$AZ$80)="BLANK")+(UPPER($AS$80:$AZ$80)="(BLANK)")+(UPPER($AS$80:$AZ$80)="EMPTY")+(UPPER($AS$80:$AZ$80)="(EMPTY)"))&gt;0,IFERROR(('Final Calculation Sheet'!$T$23)&amp;"","")="",ISNUMBER(SEARCH($AS$80:$AZ$80,IFERROR(('Final Calculation Sheet'!$T$23)&amp;"","")))))&gt;0),IF(COUNTIF($BI$80:$BP$80,6)=0,TRUE,SUMPRODUCT(($BI$80:$BP$80=6)*($AS$80:$AZ$80&lt;&gt;"")*IF(((UPPER($AS$80:$AZ$80)="BLANK")+(UPPER($AS$80:$AZ$80)="(BLANK)")+(UPPER($AS$80:$AZ$80)="EMPTY")+(UPPER($AS$80:$AZ$80)="(EMPTY)"))&gt;0,IFERROR(('Final Calculation Sheet'!$T$23)&amp;"","")="",ISNUMBER(SEARCH($AS$80:$AZ$80,IFERROR(('Final Calculation Sheet'!$T$23)&amp;"","")))))&gt;0),IF(COUNTIF($BI$80:$BP$80,7)=0,TRUE,SUMPRODUCT(($BI$80:$BP$80=7)*($AS$80:$AZ$80&lt;&gt;"")*IF(((UPPER($AS$80:$AZ$80)="BLANK")+(UPPER($AS$80:$AZ$80)="(BLANK)")+(UPPER($AS$80:$AZ$80)="EMPTY")+(UPPER($AS$80:$AZ$80)="(EMPTY)"))&gt;0,IFERROR(('Final Calculation Sheet'!$T$23)&amp;"","")="",ISNUMBER(SEARCH($AS$80:$AZ$80,IFERROR(('Final Calculation Sheet'!$T$23)&amp;"","")))))&gt;0),IF(COUNTIF($BI$80:$BP$80,8)=0,TRUE,SUMPRODUCT(($BI$80:$BP$80=8)*($AS$80:$AZ$80&lt;&gt;"")*IF(((UPPER($AS$80:$AZ$80)="BLANK")+(UPPER($AS$80:$AZ$80)="(BLANK)")+(UPPER($AS$80:$AZ$80)="EMPTY")+(UPPER($AS$80:$AZ$80)="(EMPTY)"))&gt;0,IFERROR(('Final Calculation Sheet'!$T$23)&amp;"","")="",ISNUMBER(SEARCH($AS$80:$AZ$80,IFERROR(('Final Calculation Sheet'!$T$23)&amp;"","")))))&gt;0))))</f>
        <v>1</v>
      </c>
      <c r="CH24">
        <f>IF($V$4="",1,--(AND(SUMPRODUCT(--($AS$81:$AZ$81&lt;&gt;""))&gt;0,IF(COUNTIF($BI$81:$BP$81,1)=0,TRUE,SUMPRODUCT(($BI$81:$BP$81=1)*($AS$81:$AZ$81&lt;&gt;"")*IF(((UPPER($AS$81:$AZ$81)="BLANK")+(UPPER($AS$81:$AZ$81)="(BLANK)")+(UPPER($AS$81:$AZ$81)="EMPTY")+(UPPER($AS$81:$AZ$81)="(EMPTY)"))&gt;0,IFERROR(('Final Calculation Sheet'!$U$23)&amp;"","")="",ISNUMBER(SEARCH($AS$81:$AZ$81,IFERROR(('Final Calculation Sheet'!$U$23)&amp;"","")))))&gt;0),IF(COUNTIF($BI$81:$BP$81,2)=0,TRUE,SUMPRODUCT(($BI$81:$BP$81=2)*($AS$81:$AZ$81&lt;&gt;"")*IF(((UPPER($AS$81:$AZ$81)="BLANK")+(UPPER($AS$81:$AZ$81)="(BLANK)")+(UPPER($AS$81:$AZ$81)="EMPTY")+(UPPER($AS$81:$AZ$81)="(EMPTY)"))&gt;0,IFERROR(('Final Calculation Sheet'!$U$23)&amp;"","")="",ISNUMBER(SEARCH($AS$81:$AZ$81,IFERROR(('Final Calculation Sheet'!$U$23)&amp;"","")))))&gt;0),IF(COUNTIF($BI$81:$BP$81,3)=0,TRUE,SUMPRODUCT(($BI$81:$BP$81=3)*($AS$81:$AZ$81&lt;&gt;"")*IF(((UPPER($AS$81:$AZ$81)="BLANK")+(UPPER($AS$81:$AZ$81)="(BLANK)")+(UPPER($AS$81:$AZ$81)="EMPTY")+(UPPER($AS$81:$AZ$81)="(EMPTY)"))&gt;0,IFERROR(('Final Calculation Sheet'!$U$23)&amp;"","")="",ISNUMBER(SEARCH($AS$81:$AZ$81,IFERROR(('Final Calculation Sheet'!$U$23)&amp;"","")))))&gt;0),IF(COUNTIF($BI$81:$BP$81,4)=0,TRUE,SUMPRODUCT(($BI$81:$BP$81=4)*($AS$81:$AZ$81&lt;&gt;"")*IF(((UPPER($AS$81:$AZ$81)="BLANK")+(UPPER($AS$81:$AZ$81)="(BLANK)")+(UPPER($AS$81:$AZ$81)="EMPTY")+(UPPER($AS$81:$AZ$81)="(EMPTY)"))&gt;0,IFERROR(('Final Calculation Sheet'!$U$23)&amp;"","")="",ISNUMBER(SEARCH($AS$81:$AZ$81,IFERROR(('Final Calculation Sheet'!$U$23)&amp;"","")))))&gt;0),IF(COUNTIF($BI$81:$BP$81,5)=0,TRUE,SUMPRODUCT(($BI$81:$BP$81=5)*($AS$81:$AZ$81&lt;&gt;"")*IF(((UPPER($AS$81:$AZ$81)="BLANK")+(UPPER($AS$81:$AZ$81)="(BLANK)")+(UPPER($AS$81:$AZ$81)="EMPTY")+(UPPER($AS$81:$AZ$81)="(EMPTY)"))&gt;0,IFERROR(('Final Calculation Sheet'!$U$23)&amp;"","")="",ISNUMBER(SEARCH($AS$81:$AZ$81,IFERROR(('Final Calculation Sheet'!$U$23)&amp;"","")))))&gt;0),IF(COUNTIF($BI$81:$BP$81,6)=0,TRUE,SUMPRODUCT(($BI$81:$BP$81=6)*($AS$81:$AZ$81&lt;&gt;"")*IF(((UPPER($AS$81:$AZ$81)="BLANK")+(UPPER($AS$81:$AZ$81)="(BLANK)")+(UPPER($AS$81:$AZ$81)="EMPTY")+(UPPER($AS$81:$AZ$81)="(EMPTY)"))&gt;0,IFERROR(('Final Calculation Sheet'!$U$23)&amp;"","")="",ISNUMBER(SEARCH($AS$81:$AZ$81,IFERROR(('Final Calculation Sheet'!$U$23)&amp;"","")))))&gt;0),IF(COUNTIF($BI$81:$BP$81,7)=0,TRUE,SUMPRODUCT(($BI$81:$BP$81=7)*($AS$81:$AZ$81&lt;&gt;"")*IF(((UPPER($AS$81:$AZ$81)="BLANK")+(UPPER($AS$81:$AZ$81)="(BLANK)")+(UPPER($AS$81:$AZ$81)="EMPTY")+(UPPER($AS$81:$AZ$81)="(EMPTY)"))&gt;0,IFERROR(('Final Calculation Sheet'!$U$23)&amp;"","")="",ISNUMBER(SEARCH($AS$81:$AZ$81,IFERROR(('Final Calculation Sheet'!$U$23)&amp;"","")))))&gt;0),IF(COUNTIF($BI$81:$BP$81,8)=0,TRUE,SUMPRODUCT(($BI$81:$BP$81=8)*($AS$81:$AZ$81&lt;&gt;"")*IF(((UPPER($AS$81:$AZ$81)="BLANK")+(UPPER($AS$81:$AZ$81)="(BLANK)")+(UPPER($AS$81:$AZ$81)="EMPTY")+(UPPER($AS$81:$AZ$81)="(EMPTY)"))&gt;0,IFERROR(('Final Calculation Sheet'!$U$23)&amp;"","")="",ISNUMBER(SEARCH($AS$81:$AZ$81,IFERROR(('Final Calculation Sheet'!$U$23)&amp;"","")))))&gt;0))))</f>
        <v>1</v>
      </c>
      <c r="CI24">
        <f>IF($W$4="",1,--(AND(SUMPRODUCT(--($AS$82:$AZ$82&lt;&gt;""))&gt;0,IF(COUNTIF($BI$82:$BP$82,1)=0,TRUE,SUMPRODUCT(($BI$82:$BP$82=1)*($AS$82:$AZ$82&lt;&gt;"")*IF(((UPPER($AS$82:$AZ$82)="BLANK")+(UPPER($AS$82:$AZ$82)="(BLANK)")+(UPPER($AS$82:$AZ$82)="EMPTY")+(UPPER($AS$82:$AZ$82)="(EMPTY)"))&gt;0,IFERROR(('Final Calculation Sheet'!$V$23)&amp;"","")="",ISNUMBER(SEARCH($AS$82:$AZ$82,IFERROR(('Final Calculation Sheet'!$V$23)&amp;"","")))))&gt;0),IF(COUNTIF($BI$82:$BP$82,2)=0,TRUE,SUMPRODUCT(($BI$82:$BP$82=2)*($AS$82:$AZ$82&lt;&gt;"")*IF(((UPPER($AS$82:$AZ$82)="BLANK")+(UPPER($AS$82:$AZ$82)="(BLANK)")+(UPPER($AS$82:$AZ$82)="EMPTY")+(UPPER($AS$82:$AZ$82)="(EMPTY)"))&gt;0,IFERROR(('Final Calculation Sheet'!$V$23)&amp;"","")="",ISNUMBER(SEARCH($AS$82:$AZ$82,IFERROR(('Final Calculation Sheet'!$V$23)&amp;"","")))))&gt;0),IF(COUNTIF($BI$82:$BP$82,3)=0,TRUE,SUMPRODUCT(($BI$82:$BP$82=3)*($AS$82:$AZ$82&lt;&gt;"")*IF(((UPPER($AS$82:$AZ$82)="BLANK")+(UPPER($AS$82:$AZ$82)="(BLANK)")+(UPPER($AS$82:$AZ$82)="EMPTY")+(UPPER($AS$82:$AZ$82)="(EMPTY)"))&gt;0,IFERROR(('Final Calculation Sheet'!$V$23)&amp;"","")="",ISNUMBER(SEARCH($AS$82:$AZ$82,IFERROR(('Final Calculation Sheet'!$V$23)&amp;"","")))))&gt;0),IF(COUNTIF($BI$82:$BP$82,4)=0,TRUE,SUMPRODUCT(($BI$82:$BP$82=4)*($AS$82:$AZ$82&lt;&gt;"")*IF(((UPPER($AS$82:$AZ$82)="BLANK")+(UPPER($AS$82:$AZ$82)="(BLANK)")+(UPPER($AS$82:$AZ$82)="EMPTY")+(UPPER($AS$82:$AZ$82)="(EMPTY)"))&gt;0,IFERROR(('Final Calculation Sheet'!$V$23)&amp;"","")="",ISNUMBER(SEARCH($AS$82:$AZ$82,IFERROR(('Final Calculation Sheet'!$V$23)&amp;"","")))))&gt;0),IF(COUNTIF($BI$82:$BP$82,5)=0,TRUE,SUMPRODUCT(($BI$82:$BP$82=5)*($AS$82:$AZ$82&lt;&gt;"")*IF(((UPPER($AS$82:$AZ$82)="BLANK")+(UPPER($AS$82:$AZ$82)="(BLANK)")+(UPPER($AS$82:$AZ$82)="EMPTY")+(UPPER($AS$82:$AZ$82)="(EMPTY)"))&gt;0,IFERROR(('Final Calculation Sheet'!$V$23)&amp;"","")="",ISNUMBER(SEARCH($AS$82:$AZ$82,IFERROR(('Final Calculation Sheet'!$V$23)&amp;"","")))))&gt;0),IF(COUNTIF($BI$82:$BP$82,6)=0,TRUE,SUMPRODUCT(($BI$82:$BP$82=6)*($AS$82:$AZ$82&lt;&gt;"")*IF(((UPPER($AS$82:$AZ$82)="BLANK")+(UPPER($AS$82:$AZ$82)="(BLANK)")+(UPPER($AS$82:$AZ$82)="EMPTY")+(UPPER($AS$82:$AZ$82)="(EMPTY)"))&gt;0,IFERROR(('Final Calculation Sheet'!$V$23)&amp;"","")="",ISNUMBER(SEARCH($AS$82:$AZ$82,IFERROR(('Final Calculation Sheet'!$V$23)&amp;"","")))))&gt;0),IF(COUNTIF($BI$82:$BP$82,7)=0,TRUE,SUMPRODUCT(($BI$82:$BP$82=7)*($AS$82:$AZ$82&lt;&gt;"")*IF(((UPPER($AS$82:$AZ$82)="BLANK")+(UPPER($AS$82:$AZ$82)="(BLANK)")+(UPPER($AS$82:$AZ$82)="EMPTY")+(UPPER($AS$82:$AZ$82)="(EMPTY)"))&gt;0,IFERROR(('Final Calculation Sheet'!$V$23)&amp;"","")="",ISNUMBER(SEARCH($AS$82:$AZ$82,IFERROR(('Final Calculation Sheet'!$V$23)&amp;"","")))))&gt;0),IF(COUNTIF($BI$82:$BP$82,8)=0,TRUE,SUMPRODUCT(($BI$82:$BP$82=8)*($AS$82:$AZ$82&lt;&gt;"")*IF(((UPPER($AS$82:$AZ$82)="BLANK")+(UPPER($AS$82:$AZ$82)="(BLANK)")+(UPPER($AS$82:$AZ$82)="EMPTY")+(UPPER($AS$82:$AZ$82)="(EMPTY)"))&gt;0,IFERROR(('Final Calculation Sheet'!$V$23)&amp;"","")="",ISNUMBER(SEARCH($AS$82:$AZ$82,IFERROR(('Final Calculation Sheet'!$V$23)&amp;"","")))))&gt;0))))</f>
        <v>1</v>
      </c>
      <c r="CJ24">
        <f>IF($X$4="",1,--(AND(SUMPRODUCT(--($AS$83:$AZ$83&lt;&gt;""))&gt;0,IF(COUNTIF($BI$83:$BP$83,1)=0,TRUE,SUMPRODUCT(($BI$83:$BP$83=1)*($AS$83:$AZ$83&lt;&gt;"")*IF(((UPPER($AS$83:$AZ$83)="BLANK")+(UPPER($AS$83:$AZ$83)="(BLANK)")+(UPPER($AS$83:$AZ$83)="EMPTY")+(UPPER($AS$83:$AZ$83)="(EMPTY)"))&gt;0,IFERROR(('Final Calculation Sheet'!$W$23)&amp;"","")="",ISNUMBER(SEARCH($AS$83:$AZ$83,IFERROR(('Final Calculation Sheet'!$W$23)&amp;"","")))))&gt;0),IF(COUNTIF($BI$83:$BP$83,2)=0,TRUE,SUMPRODUCT(($BI$83:$BP$83=2)*($AS$83:$AZ$83&lt;&gt;"")*IF(((UPPER($AS$83:$AZ$83)="BLANK")+(UPPER($AS$83:$AZ$83)="(BLANK)")+(UPPER($AS$83:$AZ$83)="EMPTY")+(UPPER($AS$83:$AZ$83)="(EMPTY)"))&gt;0,IFERROR(('Final Calculation Sheet'!$W$23)&amp;"","")="",ISNUMBER(SEARCH($AS$83:$AZ$83,IFERROR(('Final Calculation Sheet'!$W$23)&amp;"","")))))&gt;0),IF(COUNTIF($BI$83:$BP$83,3)=0,TRUE,SUMPRODUCT(($BI$83:$BP$83=3)*($AS$83:$AZ$83&lt;&gt;"")*IF(((UPPER($AS$83:$AZ$83)="BLANK")+(UPPER($AS$83:$AZ$83)="(BLANK)")+(UPPER($AS$83:$AZ$83)="EMPTY")+(UPPER($AS$83:$AZ$83)="(EMPTY)"))&gt;0,IFERROR(('Final Calculation Sheet'!$W$23)&amp;"","")="",ISNUMBER(SEARCH($AS$83:$AZ$83,IFERROR(('Final Calculation Sheet'!$W$23)&amp;"","")))))&gt;0),IF(COUNTIF($BI$83:$BP$83,4)=0,TRUE,SUMPRODUCT(($BI$83:$BP$83=4)*($AS$83:$AZ$83&lt;&gt;"")*IF(((UPPER($AS$83:$AZ$83)="BLANK")+(UPPER($AS$83:$AZ$83)="(BLANK)")+(UPPER($AS$83:$AZ$83)="EMPTY")+(UPPER($AS$83:$AZ$83)="(EMPTY)"))&gt;0,IFERROR(('Final Calculation Sheet'!$W$23)&amp;"","")="",ISNUMBER(SEARCH($AS$83:$AZ$83,IFERROR(('Final Calculation Sheet'!$W$23)&amp;"","")))))&gt;0),IF(COUNTIF($BI$83:$BP$83,5)=0,TRUE,SUMPRODUCT(($BI$83:$BP$83=5)*($AS$83:$AZ$83&lt;&gt;"")*IF(((UPPER($AS$83:$AZ$83)="BLANK")+(UPPER($AS$83:$AZ$83)="(BLANK)")+(UPPER($AS$83:$AZ$83)="EMPTY")+(UPPER($AS$83:$AZ$83)="(EMPTY)"))&gt;0,IFERROR(('Final Calculation Sheet'!$W$23)&amp;"","")="",ISNUMBER(SEARCH($AS$83:$AZ$83,IFERROR(('Final Calculation Sheet'!$W$23)&amp;"","")))))&gt;0),IF(COUNTIF($BI$83:$BP$83,6)=0,TRUE,SUMPRODUCT(($BI$83:$BP$83=6)*($AS$83:$AZ$83&lt;&gt;"")*IF(((UPPER($AS$83:$AZ$83)="BLANK")+(UPPER($AS$83:$AZ$83)="(BLANK)")+(UPPER($AS$83:$AZ$83)="EMPTY")+(UPPER($AS$83:$AZ$83)="(EMPTY)"))&gt;0,IFERROR(('Final Calculation Sheet'!$W$23)&amp;"","")="",ISNUMBER(SEARCH($AS$83:$AZ$83,IFERROR(('Final Calculation Sheet'!$W$23)&amp;"","")))))&gt;0),IF(COUNTIF($BI$83:$BP$83,7)=0,TRUE,SUMPRODUCT(($BI$83:$BP$83=7)*($AS$83:$AZ$83&lt;&gt;"")*IF(((UPPER($AS$83:$AZ$83)="BLANK")+(UPPER($AS$83:$AZ$83)="(BLANK)")+(UPPER($AS$83:$AZ$83)="EMPTY")+(UPPER($AS$83:$AZ$83)="(EMPTY)"))&gt;0,IFERROR(('Final Calculation Sheet'!$W$23)&amp;"","")="",ISNUMBER(SEARCH($AS$83:$AZ$83,IFERROR(('Final Calculation Sheet'!$W$23)&amp;"","")))))&gt;0),IF(COUNTIF($BI$83:$BP$83,8)=0,TRUE,SUMPRODUCT(($BI$83:$BP$83=8)*($AS$83:$AZ$83&lt;&gt;"")*IF(((UPPER($AS$83:$AZ$83)="BLANK")+(UPPER($AS$83:$AZ$83)="(BLANK)")+(UPPER($AS$83:$AZ$83)="EMPTY")+(UPPER($AS$83:$AZ$83)="(EMPTY)"))&gt;0,IFERROR(('Final Calculation Sheet'!$W$23)&amp;"","")="",ISNUMBER(SEARCH($AS$83:$AZ$83,IFERROR(('Final Calculation Sheet'!$W$23)&amp;"","")))))&gt;0))))</f>
        <v>1</v>
      </c>
      <c r="CK24">
        <f>IF($Y$4="",1,--(AND(SUMPRODUCT(--($AS$84:$AZ$84&lt;&gt;""))&gt;0,IF(COUNTIF($BI$84:$BP$84,1)=0,TRUE,SUMPRODUCT(($BI$84:$BP$84=1)*($AS$84:$AZ$84&lt;&gt;"")*IF(((UPPER($AS$84:$AZ$84)="BLANK")+(UPPER($AS$84:$AZ$84)="(BLANK)")+(UPPER($AS$84:$AZ$84)="EMPTY")+(UPPER($AS$84:$AZ$84)="(EMPTY)"))&gt;0,IFERROR(('Final Calculation Sheet'!$X$23)&amp;"","")="",ISNUMBER(SEARCH($AS$84:$AZ$84,IFERROR(('Final Calculation Sheet'!$X$23)&amp;"","")))))&gt;0),IF(COUNTIF($BI$84:$BP$84,2)=0,TRUE,SUMPRODUCT(($BI$84:$BP$84=2)*($AS$84:$AZ$84&lt;&gt;"")*IF(((UPPER($AS$84:$AZ$84)="BLANK")+(UPPER($AS$84:$AZ$84)="(BLANK)")+(UPPER($AS$84:$AZ$84)="EMPTY")+(UPPER($AS$84:$AZ$84)="(EMPTY)"))&gt;0,IFERROR(('Final Calculation Sheet'!$X$23)&amp;"","")="",ISNUMBER(SEARCH($AS$84:$AZ$84,IFERROR(('Final Calculation Sheet'!$X$23)&amp;"","")))))&gt;0),IF(COUNTIF($BI$84:$BP$84,3)=0,TRUE,SUMPRODUCT(($BI$84:$BP$84=3)*($AS$84:$AZ$84&lt;&gt;"")*IF(((UPPER($AS$84:$AZ$84)="BLANK")+(UPPER($AS$84:$AZ$84)="(BLANK)")+(UPPER($AS$84:$AZ$84)="EMPTY")+(UPPER($AS$84:$AZ$84)="(EMPTY)"))&gt;0,IFERROR(('Final Calculation Sheet'!$X$23)&amp;"","")="",ISNUMBER(SEARCH($AS$84:$AZ$84,IFERROR(('Final Calculation Sheet'!$X$23)&amp;"","")))))&gt;0),IF(COUNTIF($BI$84:$BP$84,4)=0,TRUE,SUMPRODUCT(($BI$84:$BP$84=4)*($AS$84:$AZ$84&lt;&gt;"")*IF(((UPPER($AS$84:$AZ$84)="BLANK")+(UPPER($AS$84:$AZ$84)="(BLANK)")+(UPPER($AS$84:$AZ$84)="EMPTY")+(UPPER($AS$84:$AZ$84)="(EMPTY)"))&gt;0,IFERROR(('Final Calculation Sheet'!$X$23)&amp;"","")="",ISNUMBER(SEARCH($AS$84:$AZ$84,IFERROR(('Final Calculation Sheet'!$X$23)&amp;"","")))))&gt;0),IF(COUNTIF($BI$84:$BP$84,5)=0,TRUE,SUMPRODUCT(($BI$84:$BP$84=5)*($AS$84:$AZ$84&lt;&gt;"")*IF(((UPPER($AS$84:$AZ$84)="BLANK")+(UPPER($AS$84:$AZ$84)="(BLANK)")+(UPPER($AS$84:$AZ$84)="EMPTY")+(UPPER($AS$84:$AZ$84)="(EMPTY)"))&gt;0,IFERROR(('Final Calculation Sheet'!$X$23)&amp;"","")="",ISNUMBER(SEARCH($AS$84:$AZ$84,IFERROR(('Final Calculation Sheet'!$X$23)&amp;"","")))))&gt;0),IF(COUNTIF($BI$84:$BP$84,6)=0,TRUE,SUMPRODUCT(($BI$84:$BP$84=6)*($AS$84:$AZ$84&lt;&gt;"")*IF(((UPPER($AS$84:$AZ$84)="BLANK")+(UPPER($AS$84:$AZ$84)="(BLANK)")+(UPPER($AS$84:$AZ$84)="EMPTY")+(UPPER($AS$84:$AZ$84)="(EMPTY)"))&gt;0,IFERROR(('Final Calculation Sheet'!$X$23)&amp;"","")="",ISNUMBER(SEARCH($AS$84:$AZ$84,IFERROR(('Final Calculation Sheet'!$X$23)&amp;"","")))))&gt;0),IF(COUNTIF($BI$84:$BP$84,7)=0,TRUE,SUMPRODUCT(($BI$84:$BP$84=7)*($AS$84:$AZ$84&lt;&gt;"")*IF(((UPPER($AS$84:$AZ$84)="BLANK")+(UPPER($AS$84:$AZ$84)="(BLANK)")+(UPPER($AS$84:$AZ$84)="EMPTY")+(UPPER($AS$84:$AZ$84)="(EMPTY)"))&gt;0,IFERROR(('Final Calculation Sheet'!$X$23)&amp;"","")="",ISNUMBER(SEARCH($AS$84:$AZ$84,IFERROR(('Final Calculation Sheet'!$X$23)&amp;"","")))))&gt;0),IF(COUNTIF($BI$84:$BP$84,8)=0,TRUE,SUMPRODUCT(($BI$84:$BP$84=8)*($AS$84:$AZ$84&lt;&gt;"")*IF(((UPPER($AS$84:$AZ$84)="BLANK")+(UPPER($AS$84:$AZ$84)="(BLANK)")+(UPPER($AS$84:$AZ$84)="EMPTY")+(UPPER($AS$84:$AZ$84)="(EMPTY)"))&gt;0,IFERROR(('Final Calculation Sheet'!$X$23)&amp;"","")="",ISNUMBER(SEARCH($AS$84:$AZ$84,IFERROR(('Final Calculation Sheet'!$X$23)&amp;"","")))))&gt;0))))</f>
        <v>1</v>
      </c>
      <c r="CL24">
        <f>IF($Z$4="",1,--(AND(SUMPRODUCT(--($AS$85:$AZ$85&lt;&gt;""))&gt;0,IF(COUNTIF($BI$85:$BP$85,1)=0,TRUE,SUMPRODUCT(($BI$85:$BP$85=1)*($AS$85:$AZ$85&lt;&gt;"")*IF(((UPPER($AS$85:$AZ$85)="BLANK")+(UPPER($AS$85:$AZ$85)="(BLANK)")+(UPPER($AS$85:$AZ$85)="EMPTY")+(UPPER($AS$85:$AZ$85)="(EMPTY)"))&gt;0,IFERROR(('Final Calculation Sheet'!$Y$23)&amp;"","")="",ISNUMBER(SEARCH($AS$85:$AZ$85,IFERROR(('Final Calculation Sheet'!$Y$23)&amp;"","")))))&gt;0),IF(COUNTIF($BI$85:$BP$85,2)=0,TRUE,SUMPRODUCT(($BI$85:$BP$85=2)*($AS$85:$AZ$85&lt;&gt;"")*IF(((UPPER($AS$85:$AZ$85)="BLANK")+(UPPER($AS$85:$AZ$85)="(BLANK)")+(UPPER($AS$85:$AZ$85)="EMPTY")+(UPPER($AS$85:$AZ$85)="(EMPTY)"))&gt;0,IFERROR(('Final Calculation Sheet'!$Y$23)&amp;"","")="",ISNUMBER(SEARCH($AS$85:$AZ$85,IFERROR(('Final Calculation Sheet'!$Y$23)&amp;"","")))))&gt;0),IF(COUNTIF($BI$85:$BP$85,3)=0,TRUE,SUMPRODUCT(($BI$85:$BP$85=3)*($AS$85:$AZ$85&lt;&gt;"")*IF(((UPPER($AS$85:$AZ$85)="BLANK")+(UPPER($AS$85:$AZ$85)="(BLANK)")+(UPPER($AS$85:$AZ$85)="EMPTY")+(UPPER($AS$85:$AZ$85)="(EMPTY)"))&gt;0,IFERROR(('Final Calculation Sheet'!$Y$23)&amp;"","")="",ISNUMBER(SEARCH($AS$85:$AZ$85,IFERROR(('Final Calculation Sheet'!$Y$23)&amp;"","")))))&gt;0),IF(COUNTIF($BI$85:$BP$85,4)=0,TRUE,SUMPRODUCT(($BI$85:$BP$85=4)*($AS$85:$AZ$85&lt;&gt;"")*IF(((UPPER($AS$85:$AZ$85)="BLANK")+(UPPER($AS$85:$AZ$85)="(BLANK)")+(UPPER($AS$85:$AZ$85)="EMPTY")+(UPPER($AS$85:$AZ$85)="(EMPTY)"))&gt;0,IFERROR(('Final Calculation Sheet'!$Y$23)&amp;"","")="",ISNUMBER(SEARCH($AS$85:$AZ$85,IFERROR(('Final Calculation Sheet'!$Y$23)&amp;"","")))))&gt;0),IF(COUNTIF($BI$85:$BP$85,5)=0,TRUE,SUMPRODUCT(($BI$85:$BP$85=5)*($AS$85:$AZ$85&lt;&gt;"")*IF(((UPPER($AS$85:$AZ$85)="BLANK")+(UPPER($AS$85:$AZ$85)="(BLANK)")+(UPPER($AS$85:$AZ$85)="EMPTY")+(UPPER($AS$85:$AZ$85)="(EMPTY)"))&gt;0,IFERROR(('Final Calculation Sheet'!$Y$23)&amp;"","")="",ISNUMBER(SEARCH($AS$85:$AZ$85,IFERROR(('Final Calculation Sheet'!$Y$23)&amp;"","")))))&gt;0),IF(COUNTIF($BI$85:$BP$85,6)=0,TRUE,SUMPRODUCT(($BI$85:$BP$85=6)*($AS$85:$AZ$85&lt;&gt;"")*IF(((UPPER($AS$85:$AZ$85)="BLANK")+(UPPER($AS$85:$AZ$85)="(BLANK)")+(UPPER($AS$85:$AZ$85)="EMPTY")+(UPPER($AS$85:$AZ$85)="(EMPTY)"))&gt;0,IFERROR(('Final Calculation Sheet'!$Y$23)&amp;"","")="",ISNUMBER(SEARCH($AS$85:$AZ$85,IFERROR(('Final Calculation Sheet'!$Y$23)&amp;"","")))))&gt;0),IF(COUNTIF($BI$85:$BP$85,7)=0,TRUE,SUMPRODUCT(($BI$85:$BP$85=7)*($AS$85:$AZ$85&lt;&gt;"")*IF(((UPPER($AS$85:$AZ$85)="BLANK")+(UPPER($AS$85:$AZ$85)="(BLANK)")+(UPPER($AS$85:$AZ$85)="EMPTY")+(UPPER($AS$85:$AZ$85)="(EMPTY)"))&gt;0,IFERROR(('Final Calculation Sheet'!$Y$23)&amp;"","")="",ISNUMBER(SEARCH($AS$85:$AZ$85,IFERROR(('Final Calculation Sheet'!$Y$23)&amp;"","")))))&gt;0),IF(COUNTIF($BI$85:$BP$85,8)=0,TRUE,SUMPRODUCT(($BI$85:$BP$85=8)*($AS$85:$AZ$85&lt;&gt;"")*IF(((UPPER($AS$85:$AZ$85)="BLANK")+(UPPER($AS$85:$AZ$85)="(BLANK)")+(UPPER($AS$85:$AZ$85)="EMPTY")+(UPPER($AS$85:$AZ$85)="(EMPTY)"))&gt;0,IFERROR(('Final Calculation Sheet'!$Y$23)&amp;"","")="",ISNUMBER(SEARCH($AS$85:$AZ$85,IFERROR(('Final Calculation Sheet'!$Y$23)&amp;"","")))))&gt;0))))</f>
        <v>1</v>
      </c>
      <c r="CM24">
        <f>IF($AA$4="",1,--(AND(SUMPRODUCT(--($AS$86:$AZ$86&lt;&gt;""))&gt;0,IF(COUNTIF($BI$86:$BP$86,1)=0,TRUE,SUMPRODUCT(($BI$86:$BP$86=1)*($AS$86:$AZ$86&lt;&gt;"")*IF(((UPPER($AS$86:$AZ$86)="BLANK")+(UPPER($AS$86:$AZ$86)="(BLANK)")+(UPPER($AS$86:$AZ$86)="EMPTY")+(UPPER($AS$86:$AZ$86)="(EMPTY)"))&gt;0,IFERROR(('Final Calculation Sheet'!$Z$23)&amp;"","")="",ISNUMBER(SEARCH($AS$86:$AZ$86,IFERROR(('Final Calculation Sheet'!$Z$23)&amp;"","")))))&gt;0),IF(COUNTIF($BI$86:$BP$86,2)=0,TRUE,SUMPRODUCT(($BI$86:$BP$86=2)*($AS$86:$AZ$86&lt;&gt;"")*IF(((UPPER($AS$86:$AZ$86)="BLANK")+(UPPER($AS$86:$AZ$86)="(BLANK)")+(UPPER($AS$86:$AZ$86)="EMPTY")+(UPPER($AS$86:$AZ$86)="(EMPTY)"))&gt;0,IFERROR(('Final Calculation Sheet'!$Z$23)&amp;"","")="",ISNUMBER(SEARCH($AS$86:$AZ$86,IFERROR(('Final Calculation Sheet'!$Z$23)&amp;"","")))))&gt;0),IF(COUNTIF($BI$86:$BP$86,3)=0,TRUE,SUMPRODUCT(($BI$86:$BP$86=3)*($AS$86:$AZ$86&lt;&gt;"")*IF(((UPPER($AS$86:$AZ$86)="BLANK")+(UPPER($AS$86:$AZ$86)="(BLANK)")+(UPPER($AS$86:$AZ$86)="EMPTY")+(UPPER($AS$86:$AZ$86)="(EMPTY)"))&gt;0,IFERROR(('Final Calculation Sheet'!$Z$23)&amp;"","")="",ISNUMBER(SEARCH($AS$86:$AZ$86,IFERROR(('Final Calculation Sheet'!$Z$23)&amp;"","")))))&gt;0),IF(COUNTIF($BI$86:$BP$86,4)=0,TRUE,SUMPRODUCT(($BI$86:$BP$86=4)*($AS$86:$AZ$86&lt;&gt;"")*IF(((UPPER($AS$86:$AZ$86)="BLANK")+(UPPER($AS$86:$AZ$86)="(BLANK)")+(UPPER($AS$86:$AZ$86)="EMPTY")+(UPPER($AS$86:$AZ$86)="(EMPTY)"))&gt;0,IFERROR(('Final Calculation Sheet'!$Z$23)&amp;"","")="",ISNUMBER(SEARCH($AS$86:$AZ$86,IFERROR(('Final Calculation Sheet'!$Z$23)&amp;"","")))))&gt;0),IF(COUNTIF($BI$86:$BP$86,5)=0,TRUE,SUMPRODUCT(($BI$86:$BP$86=5)*($AS$86:$AZ$86&lt;&gt;"")*IF(((UPPER($AS$86:$AZ$86)="BLANK")+(UPPER($AS$86:$AZ$86)="(BLANK)")+(UPPER($AS$86:$AZ$86)="EMPTY")+(UPPER($AS$86:$AZ$86)="(EMPTY)"))&gt;0,IFERROR(('Final Calculation Sheet'!$Z$23)&amp;"","")="",ISNUMBER(SEARCH($AS$86:$AZ$86,IFERROR(('Final Calculation Sheet'!$Z$23)&amp;"","")))))&gt;0),IF(COUNTIF($BI$86:$BP$86,6)=0,TRUE,SUMPRODUCT(($BI$86:$BP$86=6)*($AS$86:$AZ$86&lt;&gt;"")*IF(((UPPER($AS$86:$AZ$86)="BLANK")+(UPPER($AS$86:$AZ$86)="(BLANK)")+(UPPER($AS$86:$AZ$86)="EMPTY")+(UPPER($AS$86:$AZ$86)="(EMPTY)"))&gt;0,IFERROR(('Final Calculation Sheet'!$Z$23)&amp;"","")="",ISNUMBER(SEARCH($AS$86:$AZ$86,IFERROR(('Final Calculation Sheet'!$Z$23)&amp;"","")))))&gt;0),IF(COUNTIF($BI$86:$BP$86,7)=0,TRUE,SUMPRODUCT(($BI$86:$BP$86=7)*($AS$86:$AZ$86&lt;&gt;"")*IF(((UPPER($AS$86:$AZ$86)="BLANK")+(UPPER($AS$86:$AZ$86)="(BLANK)")+(UPPER($AS$86:$AZ$86)="EMPTY")+(UPPER($AS$86:$AZ$86)="(EMPTY)"))&gt;0,IFERROR(('Final Calculation Sheet'!$Z$23)&amp;"","")="",ISNUMBER(SEARCH($AS$86:$AZ$86,IFERROR(('Final Calculation Sheet'!$Z$23)&amp;"","")))))&gt;0),IF(COUNTIF($BI$86:$BP$86,8)=0,TRUE,SUMPRODUCT(($BI$86:$BP$86=8)*($AS$86:$AZ$86&lt;&gt;"")*IF(((UPPER($AS$86:$AZ$86)="BLANK")+(UPPER($AS$86:$AZ$86)="(BLANK)")+(UPPER($AS$86:$AZ$86)="EMPTY")+(UPPER($AS$86:$AZ$86)="(EMPTY)"))&gt;0,IFERROR(('Final Calculation Sheet'!$Z$23)&amp;"","")="",ISNUMBER(SEARCH($AS$86:$AZ$86,IFERROR(('Final Calculation Sheet'!$Z$23)&amp;"","")))))&gt;0))))</f>
        <v>1</v>
      </c>
      <c r="CN24">
        <f>IF($AB$4="",1,--(AND(SUMPRODUCT(--($AS$87:$AZ$87&lt;&gt;""))&gt;0,IF(COUNTIF($BI$87:$BP$87,1)=0,TRUE,SUMPRODUCT(($BI$87:$BP$87=1)*($AS$87:$AZ$87&lt;&gt;"")*IF(((UPPER($AS$87:$AZ$87)="BLANK")+(UPPER($AS$87:$AZ$87)="(BLANK)")+(UPPER($AS$87:$AZ$87)="EMPTY")+(UPPER($AS$87:$AZ$87)="(EMPTY)"))&gt;0,IFERROR(('Final Calculation Sheet'!$AA$23)&amp;"","")="",ISNUMBER(SEARCH($AS$87:$AZ$87,IFERROR(('Final Calculation Sheet'!$AA$23)&amp;"","")))))&gt;0),IF(COUNTIF($BI$87:$BP$87,2)=0,TRUE,SUMPRODUCT(($BI$87:$BP$87=2)*($AS$87:$AZ$87&lt;&gt;"")*IF(((UPPER($AS$87:$AZ$87)="BLANK")+(UPPER($AS$87:$AZ$87)="(BLANK)")+(UPPER($AS$87:$AZ$87)="EMPTY")+(UPPER($AS$87:$AZ$87)="(EMPTY)"))&gt;0,IFERROR(('Final Calculation Sheet'!$AA$23)&amp;"","")="",ISNUMBER(SEARCH($AS$87:$AZ$87,IFERROR(('Final Calculation Sheet'!$AA$23)&amp;"","")))))&gt;0),IF(COUNTIF($BI$87:$BP$87,3)=0,TRUE,SUMPRODUCT(($BI$87:$BP$87=3)*($AS$87:$AZ$87&lt;&gt;"")*IF(((UPPER($AS$87:$AZ$87)="BLANK")+(UPPER($AS$87:$AZ$87)="(BLANK)")+(UPPER($AS$87:$AZ$87)="EMPTY")+(UPPER($AS$87:$AZ$87)="(EMPTY)"))&gt;0,IFERROR(('Final Calculation Sheet'!$AA$23)&amp;"","")="",ISNUMBER(SEARCH($AS$87:$AZ$87,IFERROR(('Final Calculation Sheet'!$AA$23)&amp;"","")))))&gt;0),IF(COUNTIF($BI$87:$BP$87,4)=0,TRUE,SUMPRODUCT(($BI$87:$BP$87=4)*($AS$87:$AZ$87&lt;&gt;"")*IF(((UPPER($AS$87:$AZ$87)="BLANK")+(UPPER($AS$87:$AZ$87)="(BLANK)")+(UPPER($AS$87:$AZ$87)="EMPTY")+(UPPER($AS$87:$AZ$87)="(EMPTY)"))&gt;0,IFERROR(('Final Calculation Sheet'!$AA$23)&amp;"","")="",ISNUMBER(SEARCH($AS$87:$AZ$87,IFERROR(('Final Calculation Sheet'!$AA$23)&amp;"","")))))&gt;0),IF(COUNTIF($BI$87:$BP$87,5)=0,TRUE,SUMPRODUCT(($BI$87:$BP$87=5)*($AS$87:$AZ$87&lt;&gt;"")*IF(((UPPER($AS$87:$AZ$87)="BLANK")+(UPPER($AS$87:$AZ$87)="(BLANK)")+(UPPER($AS$87:$AZ$87)="EMPTY")+(UPPER($AS$87:$AZ$87)="(EMPTY)"))&gt;0,IFERROR(('Final Calculation Sheet'!$AA$23)&amp;"","")="",ISNUMBER(SEARCH($AS$87:$AZ$87,IFERROR(('Final Calculation Sheet'!$AA$23)&amp;"","")))))&gt;0),IF(COUNTIF($BI$87:$BP$87,6)=0,TRUE,SUMPRODUCT(($BI$87:$BP$87=6)*($AS$87:$AZ$87&lt;&gt;"")*IF(((UPPER($AS$87:$AZ$87)="BLANK")+(UPPER($AS$87:$AZ$87)="(BLANK)")+(UPPER($AS$87:$AZ$87)="EMPTY")+(UPPER($AS$87:$AZ$87)="(EMPTY)"))&gt;0,IFERROR(('Final Calculation Sheet'!$AA$23)&amp;"","")="",ISNUMBER(SEARCH($AS$87:$AZ$87,IFERROR(('Final Calculation Sheet'!$AA$23)&amp;"","")))))&gt;0),IF(COUNTIF($BI$87:$BP$87,7)=0,TRUE,SUMPRODUCT(($BI$87:$BP$87=7)*($AS$87:$AZ$87&lt;&gt;"")*IF(((UPPER($AS$87:$AZ$87)="BLANK")+(UPPER($AS$87:$AZ$87)="(BLANK)")+(UPPER($AS$87:$AZ$87)="EMPTY")+(UPPER($AS$87:$AZ$87)="(EMPTY)"))&gt;0,IFERROR(('Final Calculation Sheet'!$AA$23)&amp;"","")="",ISNUMBER(SEARCH($AS$87:$AZ$87,IFERROR(('Final Calculation Sheet'!$AA$23)&amp;"","")))))&gt;0),IF(COUNTIF($BI$87:$BP$87,8)=0,TRUE,SUMPRODUCT(($BI$87:$BP$87=8)*($AS$87:$AZ$87&lt;&gt;"")*IF(((UPPER($AS$87:$AZ$87)="BLANK")+(UPPER($AS$87:$AZ$87)="(BLANK)")+(UPPER($AS$87:$AZ$87)="EMPTY")+(UPPER($AS$87:$AZ$87)="(EMPTY)"))&gt;0,IFERROR(('Final Calculation Sheet'!$AA$23)&amp;"","")="",ISNUMBER(SEARCH($AS$87:$AZ$87,IFERROR(('Final Calculation Sheet'!$AA$23)&amp;"","")))))&gt;0))))</f>
        <v>1</v>
      </c>
      <c r="CO24">
        <f>IF($AC$4="",1,--(AND(SUMPRODUCT(--($AS$88:$AZ$88&lt;&gt;""))&gt;0,IF(COUNTIF($BI$88:$BP$88,1)=0,TRUE,SUMPRODUCT(($BI$88:$BP$88=1)*($AS$88:$AZ$88&lt;&gt;"")*IF(((UPPER($AS$88:$AZ$88)="BLANK")+(UPPER($AS$88:$AZ$88)="(BLANK)")+(UPPER($AS$88:$AZ$88)="EMPTY")+(UPPER($AS$88:$AZ$88)="(EMPTY)"))&gt;0,IFERROR(('Final Calculation Sheet'!$AB$23)&amp;"","")="",ISNUMBER(SEARCH($AS$88:$AZ$88,IFERROR(('Final Calculation Sheet'!$AB$23)&amp;"","")))))&gt;0),IF(COUNTIF($BI$88:$BP$88,2)=0,TRUE,SUMPRODUCT(($BI$88:$BP$88=2)*($AS$88:$AZ$88&lt;&gt;"")*IF(((UPPER($AS$88:$AZ$88)="BLANK")+(UPPER($AS$88:$AZ$88)="(BLANK)")+(UPPER($AS$88:$AZ$88)="EMPTY")+(UPPER($AS$88:$AZ$88)="(EMPTY)"))&gt;0,IFERROR(('Final Calculation Sheet'!$AB$23)&amp;"","")="",ISNUMBER(SEARCH($AS$88:$AZ$88,IFERROR(('Final Calculation Sheet'!$AB$23)&amp;"","")))))&gt;0),IF(COUNTIF($BI$88:$BP$88,3)=0,TRUE,SUMPRODUCT(($BI$88:$BP$88=3)*($AS$88:$AZ$88&lt;&gt;"")*IF(((UPPER($AS$88:$AZ$88)="BLANK")+(UPPER($AS$88:$AZ$88)="(BLANK)")+(UPPER($AS$88:$AZ$88)="EMPTY")+(UPPER($AS$88:$AZ$88)="(EMPTY)"))&gt;0,IFERROR(('Final Calculation Sheet'!$AB$23)&amp;"","")="",ISNUMBER(SEARCH($AS$88:$AZ$88,IFERROR(('Final Calculation Sheet'!$AB$23)&amp;"","")))))&gt;0),IF(COUNTIF($BI$88:$BP$88,4)=0,TRUE,SUMPRODUCT(($BI$88:$BP$88=4)*($AS$88:$AZ$88&lt;&gt;"")*IF(((UPPER($AS$88:$AZ$88)="BLANK")+(UPPER($AS$88:$AZ$88)="(BLANK)")+(UPPER($AS$88:$AZ$88)="EMPTY")+(UPPER($AS$88:$AZ$88)="(EMPTY)"))&gt;0,IFERROR(('Final Calculation Sheet'!$AB$23)&amp;"","")="",ISNUMBER(SEARCH($AS$88:$AZ$88,IFERROR(('Final Calculation Sheet'!$AB$23)&amp;"","")))))&gt;0),IF(COUNTIF($BI$88:$BP$88,5)=0,TRUE,SUMPRODUCT(($BI$88:$BP$88=5)*($AS$88:$AZ$88&lt;&gt;"")*IF(((UPPER($AS$88:$AZ$88)="BLANK")+(UPPER($AS$88:$AZ$88)="(BLANK)")+(UPPER($AS$88:$AZ$88)="EMPTY")+(UPPER($AS$88:$AZ$88)="(EMPTY)"))&gt;0,IFERROR(('Final Calculation Sheet'!$AB$23)&amp;"","")="",ISNUMBER(SEARCH($AS$88:$AZ$88,IFERROR(('Final Calculation Sheet'!$AB$23)&amp;"","")))))&gt;0),IF(COUNTIF($BI$88:$BP$88,6)=0,TRUE,SUMPRODUCT(($BI$88:$BP$88=6)*($AS$88:$AZ$88&lt;&gt;"")*IF(((UPPER($AS$88:$AZ$88)="BLANK")+(UPPER($AS$88:$AZ$88)="(BLANK)")+(UPPER($AS$88:$AZ$88)="EMPTY")+(UPPER($AS$88:$AZ$88)="(EMPTY)"))&gt;0,IFERROR(('Final Calculation Sheet'!$AB$23)&amp;"","")="",ISNUMBER(SEARCH($AS$88:$AZ$88,IFERROR(('Final Calculation Sheet'!$AB$23)&amp;"","")))))&gt;0),IF(COUNTIF($BI$88:$BP$88,7)=0,TRUE,SUMPRODUCT(($BI$88:$BP$88=7)*($AS$88:$AZ$88&lt;&gt;"")*IF(((UPPER($AS$88:$AZ$88)="BLANK")+(UPPER($AS$88:$AZ$88)="(BLANK)")+(UPPER($AS$88:$AZ$88)="EMPTY")+(UPPER($AS$88:$AZ$88)="(EMPTY)"))&gt;0,IFERROR(('Final Calculation Sheet'!$AB$23)&amp;"","")="",ISNUMBER(SEARCH($AS$88:$AZ$88,IFERROR(('Final Calculation Sheet'!$AB$23)&amp;"","")))))&gt;0),IF(COUNTIF($BI$88:$BP$88,8)=0,TRUE,SUMPRODUCT(($BI$88:$BP$88=8)*($AS$88:$AZ$88&lt;&gt;"")*IF(((UPPER($AS$88:$AZ$88)="BLANK")+(UPPER($AS$88:$AZ$88)="(BLANK)")+(UPPER($AS$88:$AZ$88)="EMPTY")+(UPPER($AS$88:$AZ$88)="(EMPTY)"))&gt;0,IFERROR(('Final Calculation Sheet'!$AB$23)&amp;"","")="",ISNUMBER(SEARCH($AS$88:$AZ$88,IFERROR(('Final Calculation Sheet'!$AB$23)&amp;"","")))))&gt;0))))</f>
        <v>1</v>
      </c>
      <c r="CP24">
        <f>IF($AD$4="",1,--(AND(SUMPRODUCT(--($AS$89:$AZ$89&lt;&gt;""))&gt;0,IF(COUNTIF($BI$89:$BP$89,1)=0,TRUE,SUMPRODUCT(($BI$89:$BP$89=1)*($AS$89:$AZ$89&lt;&gt;"")*IF(((UPPER($AS$89:$AZ$89)="BLANK")+(UPPER($AS$89:$AZ$89)="(BLANK)")+(UPPER($AS$89:$AZ$89)="EMPTY")+(UPPER($AS$89:$AZ$89)="(EMPTY)"))&gt;0,IFERROR(('Final Calculation Sheet'!$AC$23)&amp;"","")="",ISNUMBER(SEARCH($AS$89:$AZ$89,IFERROR(('Final Calculation Sheet'!$AC$23)&amp;"","")))))&gt;0),IF(COUNTIF($BI$89:$BP$89,2)=0,TRUE,SUMPRODUCT(($BI$89:$BP$89=2)*($AS$89:$AZ$89&lt;&gt;"")*IF(((UPPER($AS$89:$AZ$89)="BLANK")+(UPPER($AS$89:$AZ$89)="(BLANK)")+(UPPER($AS$89:$AZ$89)="EMPTY")+(UPPER($AS$89:$AZ$89)="(EMPTY)"))&gt;0,IFERROR(('Final Calculation Sheet'!$AC$23)&amp;"","")="",ISNUMBER(SEARCH($AS$89:$AZ$89,IFERROR(('Final Calculation Sheet'!$AC$23)&amp;"","")))))&gt;0),IF(COUNTIF($BI$89:$BP$89,3)=0,TRUE,SUMPRODUCT(($BI$89:$BP$89=3)*($AS$89:$AZ$89&lt;&gt;"")*IF(((UPPER($AS$89:$AZ$89)="BLANK")+(UPPER($AS$89:$AZ$89)="(BLANK)")+(UPPER($AS$89:$AZ$89)="EMPTY")+(UPPER($AS$89:$AZ$89)="(EMPTY)"))&gt;0,IFERROR(('Final Calculation Sheet'!$AC$23)&amp;"","")="",ISNUMBER(SEARCH($AS$89:$AZ$89,IFERROR(('Final Calculation Sheet'!$AC$23)&amp;"","")))))&gt;0),IF(COUNTIF($BI$89:$BP$89,4)=0,TRUE,SUMPRODUCT(($BI$89:$BP$89=4)*($AS$89:$AZ$89&lt;&gt;"")*IF(((UPPER($AS$89:$AZ$89)="BLANK")+(UPPER($AS$89:$AZ$89)="(BLANK)")+(UPPER($AS$89:$AZ$89)="EMPTY")+(UPPER($AS$89:$AZ$89)="(EMPTY)"))&gt;0,IFERROR(('Final Calculation Sheet'!$AC$23)&amp;"","")="",ISNUMBER(SEARCH($AS$89:$AZ$89,IFERROR(('Final Calculation Sheet'!$AC$23)&amp;"","")))))&gt;0),IF(COUNTIF($BI$89:$BP$89,5)=0,TRUE,SUMPRODUCT(($BI$89:$BP$89=5)*($AS$89:$AZ$89&lt;&gt;"")*IF(((UPPER($AS$89:$AZ$89)="BLANK")+(UPPER($AS$89:$AZ$89)="(BLANK)")+(UPPER($AS$89:$AZ$89)="EMPTY")+(UPPER($AS$89:$AZ$89)="(EMPTY)"))&gt;0,IFERROR(('Final Calculation Sheet'!$AC$23)&amp;"","")="",ISNUMBER(SEARCH($AS$89:$AZ$89,IFERROR(('Final Calculation Sheet'!$AC$23)&amp;"","")))))&gt;0),IF(COUNTIF($BI$89:$BP$89,6)=0,TRUE,SUMPRODUCT(($BI$89:$BP$89=6)*($AS$89:$AZ$89&lt;&gt;"")*IF(((UPPER($AS$89:$AZ$89)="BLANK")+(UPPER($AS$89:$AZ$89)="(BLANK)")+(UPPER($AS$89:$AZ$89)="EMPTY")+(UPPER($AS$89:$AZ$89)="(EMPTY)"))&gt;0,IFERROR(('Final Calculation Sheet'!$AC$23)&amp;"","")="",ISNUMBER(SEARCH($AS$89:$AZ$89,IFERROR(('Final Calculation Sheet'!$AC$23)&amp;"","")))))&gt;0),IF(COUNTIF($BI$89:$BP$89,7)=0,TRUE,SUMPRODUCT(($BI$89:$BP$89=7)*($AS$89:$AZ$89&lt;&gt;"")*IF(((UPPER($AS$89:$AZ$89)="BLANK")+(UPPER($AS$89:$AZ$89)="(BLANK)")+(UPPER($AS$89:$AZ$89)="EMPTY")+(UPPER($AS$89:$AZ$89)="(EMPTY)"))&gt;0,IFERROR(('Final Calculation Sheet'!$AC$23)&amp;"","")="",ISNUMBER(SEARCH($AS$89:$AZ$89,IFERROR(('Final Calculation Sheet'!$AC$23)&amp;"","")))))&gt;0),IF(COUNTIF($BI$89:$BP$89,8)=0,TRUE,SUMPRODUCT(($BI$89:$BP$89=8)*($AS$89:$AZ$89&lt;&gt;"")*IF(((UPPER($AS$89:$AZ$89)="BLANK")+(UPPER($AS$89:$AZ$89)="(BLANK)")+(UPPER($AS$89:$AZ$89)="EMPTY")+(UPPER($AS$89:$AZ$89)="(EMPTY)"))&gt;0,IFERROR(('Final Calculation Sheet'!$AC$23)&amp;"","")="",ISNUMBER(SEARCH($AS$89:$AZ$89,IFERROR(('Final Calculation Sheet'!$AC$23)&amp;"","")))))&gt;0))))</f>
        <v>1</v>
      </c>
      <c r="CQ24">
        <f>IF($AE$4="",1,--(AND(SUMPRODUCT(--($AS$90:$AZ$90&lt;&gt;""))&gt;0,IF(COUNTIF($BI$90:$BP$90,1)=0,TRUE,SUMPRODUCT(($BI$90:$BP$90=1)*($AS$90:$AZ$90&lt;&gt;"")*IF(((UPPER($AS$90:$AZ$90)="BLANK")+(UPPER($AS$90:$AZ$90)="(BLANK)")+(UPPER($AS$90:$AZ$90)="EMPTY")+(UPPER($AS$90:$AZ$90)="(EMPTY)"))&gt;0,IFERROR(('Final Calculation Sheet'!$AD$23)&amp;"","")="",ISNUMBER(SEARCH($AS$90:$AZ$90,IFERROR(('Final Calculation Sheet'!$AD$23)&amp;"","")))))&gt;0),IF(COUNTIF($BI$90:$BP$90,2)=0,TRUE,SUMPRODUCT(($BI$90:$BP$90=2)*($AS$90:$AZ$90&lt;&gt;"")*IF(((UPPER($AS$90:$AZ$90)="BLANK")+(UPPER($AS$90:$AZ$90)="(BLANK)")+(UPPER($AS$90:$AZ$90)="EMPTY")+(UPPER($AS$90:$AZ$90)="(EMPTY)"))&gt;0,IFERROR(('Final Calculation Sheet'!$AD$23)&amp;"","")="",ISNUMBER(SEARCH($AS$90:$AZ$90,IFERROR(('Final Calculation Sheet'!$AD$23)&amp;"","")))))&gt;0),IF(COUNTIF($BI$90:$BP$90,3)=0,TRUE,SUMPRODUCT(($BI$90:$BP$90=3)*($AS$90:$AZ$90&lt;&gt;"")*IF(((UPPER($AS$90:$AZ$90)="BLANK")+(UPPER($AS$90:$AZ$90)="(BLANK)")+(UPPER($AS$90:$AZ$90)="EMPTY")+(UPPER($AS$90:$AZ$90)="(EMPTY)"))&gt;0,IFERROR(('Final Calculation Sheet'!$AD$23)&amp;"","")="",ISNUMBER(SEARCH($AS$90:$AZ$90,IFERROR(('Final Calculation Sheet'!$AD$23)&amp;"","")))))&gt;0),IF(COUNTIF($BI$90:$BP$90,4)=0,TRUE,SUMPRODUCT(($BI$90:$BP$90=4)*($AS$90:$AZ$90&lt;&gt;"")*IF(((UPPER($AS$90:$AZ$90)="BLANK")+(UPPER($AS$90:$AZ$90)="(BLANK)")+(UPPER($AS$90:$AZ$90)="EMPTY")+(UPPER($AS$90:$AZ$90)="(EMPTY)"))&gt;0,IFERROR(('Final Calculation Sheet'!$AD$23)&amp;"","")="",ISNUMBER(SEARCH($AS$90:$AZ$90,IFERROR(('Final Calculation Sheet'!$AD$23)&amp;"","")))))&gt;0),IF(COUNTIF($BI$90:$BP$90,5)=0,TRUE,SUMPRODUCT(($BI$90:$BP$90=5)*($AS$90:$AZ$90&lt;&gt;"")*IF(((UPPER($AS$90:$AZ$90)="BLANK")+(UPPER($AS$90:$AZ$90)="(BLANK)")+(UPPER($AS$90:$AZ$90)="EMPTY")+(UPPER($AS$90:$AZ$90)="(EMPTY)"))&gt;0,IFERROR(('Final Calculation Sheet'!$AD$23)&amp;"","")="",ISNUMBER(SEARCH($AS$90:$AZ$90,IFERROR(('Final Calculation Sheet'!$AD$23)&amp;"","")))))&gt;0),IF(COUNTIF($BI$90:$BP$90,6)=0,TRUE,SUMPRODUCT(($BI$90:$BP$90=6)*($AS$90:$AZ$90&lt;&gt;"")*IF(((UPPER($AS$90:$AZ$90)="BLANK")+(UPPER($AS$90:$AZ$90)="(BLANK)")+(UPPER($AS$90:$AZ$90)="EMPTY")+(UPPER($AS$90:$AZ$90)="(EMPTY)"))&gt;0,IFERROR(('Final Calculation Sheet'!$AD$23)&amp;"","")="",ISNUMBER(SEARCH($AS$90:$AZ$90,IFERROR(('Final Calculation Sheet'!$AD$23)&amp;"","")))))&gt;0),IF(COUNTIF($BI$90:$BP$90,7)=0,TRUE,SUMPRODUCT(($BI$90:$BP$90=7)*($AS$90:$AZ$90&lt;&gt;"")*IF(((UPPER($AS$90:$AZ$90)="BLANK")+(UPPER($AS$90:$AZ$90)="(BLANK)")+(UPPER($AS$90:$AZ$90)="EMPTY")+(UPPER($AS$90:$AZ$90)="(EMPTY)"))&gt;0,IFERROR(('Final Calculation Sheet'!$AD$23)&amp;"","")="",ISNUMBER(SEARCH($AS$90:$AZ$90,IFERROR(('Final Calculation Sheet'!$AD$23)&amp;"","")))))&gt;0),IF(COUNTIF($BI$90:$BP$90,8)=0,TRUE,SUMPRODUCT(($BI$90:$BP$90=8)*($AS$90:$AZ$90&lt;&gt;"")*IF(((UPPER($AS$90:$AZ$90)="BLANK")+(UPPER($AS$90:$AZ$90)="(BLANK)")+(UPPER($AS$90:$AZ$90)="EMPTY")+(UPPER($AS$90:$AZ$90)="(EMPTY)"))&gt;0,IFERROR(('Final Calculation Sheet'!$AD$23)&amp;"","")="",ISNUMBER(SEARCH($AS$90:$AZ$90,IFERROR(('Final Calculation Sheet'!$AD$23)&amp;"","")))))&gt;0))))</f>
        <v>1</v>
      </c>
      <c r="CR24">
        <f>IF($AF$4="",1,--(AND(SUMPRODUCT(--($AS$91:$AZ$91&lt;&gt;""))&gt;0,IF(COUNTIF($BI$91:$BP$91,1)=0,TRUE,SUMPRODUCT(($BI$91:$BP$91=1)*($AS$91:$AZ$91&lt;&gt;"")*IF(((UPPER($AS$91:$AZ$91)="BLANK")+(UPPER($AS$91:$AZ$91)="(BLANK)")+(UPPER($AS$91:$AZ$91)="EMPTY")+(UPPER($AS$91:$AZ$91)="(EMPTY)"))&gt;0,IFERROR(('Final Calculation Sheet'!$AE$23)&amp;"","")="",ISNUMBER(SEARCH($AS$91:$AZ$91,IFERROR(('Final Calculation Sheet'!$AE$23)&amp;"","")))))&gt;0),IF(COUNTIF($BI$91:$BP$91,2)=0,TRUE,SUMPRODUCT(($BI$91:$BP$91=2)*($AS$91:$AZ$91&lt;&gt;"")*IF(((UPPER($AS$91:$AZ$91)="BLANK")+(UPPER($AS$91:$AZ$91)="(BLANK)")+(UPPER($AS$91:$AZ$91)="EMPTY")+(UPPER($AS$91:$AZ$91)="(EMPTY)"))&gt;0,IFERROR(('Final Calculation Sheet'!$AE$23)&amp;"","")="",ISNUMBER(SEARCH($AS$91:$AZ$91,IFERROR(('Final Calculation Sheet'!$AE$23)&amp;"","")))))&gt;0),IF(COUNTIF($BI$91:$BP$91,3)=0,TRUE,SUMPRODUCT(($BI$91:$BP$91=3)*($AS$91:$AZ$91&lt;&gt;"")*IF(((UPPER($AS$91:$AZ$91)="BLANK")+(UPPER($AS$91:$AZ$91)="(BLANK)")+(UPPER($AS$91:$AZ$91)="EMPTY")+(UPPER($AS$91:$AZ$91)="(EMPTY)"))&gt;0,IFERROR(('Final Calculation Sheet'!$AE$23)&amp;"","")="",ISNUMBER(SEARCH($AS$91:$AZ$91,IFERROR(('Final Calculation Sheet'!$AE$23)&amp;"","")))))&gt;0),IF(COUNTIF($BI$91:$BP$91,4)=0,TRUE,SUMPRODUCT(($BI$91:$BP$91=4)*($AS$91:$AZ$91&lt;&gt;"")*IF(((UPPER($AS$91:$AZ$91)="BLANK")+(UPPER($AS$91:$AZ$91)="(BLANK)")+(UPPER($AS$91:$AZ$91)="EMPTY")+(UPPER($AS$91:$AZ$91)="(EMPTY)"))&gt;0,IFERROR(('Final Calculation Sheet'!$AE$23)&amp;"","")="",ISNUMBER(SEARCH($AS$91:$AZ$91,IFERROR(('Final Calculation Sheet'!$AE$23)&amp;"","")))))&gt;0),IF(COUNTIF($BI$91:$BP$91,5)=0,TRUE,SUMPRODUCT(($BI$91:$BP$91=5)*($AS$91:$AZ$91&lt;&gt;"")*IF(((UPPER($AS$91:$AZ$91)="BLANK")+(UPPER($AS$91:$AZ$91)="(BLANK)")+(UPPER($AS$91:$AZ$91)="EMPTY")+(UPPER($AS$91:$AZ$91)="(EMPTY)"))&gt;0,IFERROR(('Final Calculation Sheet'!$AE$23)&amp;"","")="",ISNUMBER(SEARCH($AS$91:$AZ$91,IFERROR(('Final Calculation Sheet'!$AE$23)&amp;"","")))))&gt;0),IF(COUNTIF($BI$91:$BP$91,6)=0,TRUE,SUMPRODUCT(($BI$91:$BP$91=6)*($AS$91:$AZ$91&lt;&gt;"")*IF(((UPPER($AS$91:$AZ$91)="BLANK")+(UPPER($AS$91:$AZ$91)="(BLANK)")+(UPPER($AS$91:$AZ$91)="EMPTY")+(UPPER($AS$91:$AZ$91)="(EMPTY)"))&gt;0,IFERROR(('Final Calculation Sheet'!$AE$23)&amp;"","")="",ISNUMBER(SEARCH($AS$91:$AZ$91,IFERROR(('Final Calculation Sheet'!$AE$23)&amp;"","")))))&gt;0),IF(COUNTIF($BI$91:$BP$91,7)=0,TRUE,SUMPRODUCT(($BI$91:$BP$91=7)*($AS$91:$AZ$91&lt;&gt;"")*IF(((UPPER($AS$91:$AZ$91)="BLANK")+(UPPER($AS$91:$AZ$91)="(BLANK)")+(UPPER($AS$91:$AZ$91)="EMPTY")+(UPPER($AS$91:$AZ$91)="(EMPTY)"))&gt;0,IFERROR(('Final Calculation Sheet'!$AE$23)&amp;"","")="",ISNUMBER(SEARCH($AS$91:$AZ$91,IFERROR(('Final Calculation Sheet'!$AE$23)&amp;"","")))))&gt;0),IF(COUNTIF($BI$91:$BP$91,8)=0,TRUE,SUMPRODUCT(($BI$91:$BP$91=8)*($AS$91:$AZ$91&lt;&gt;"")*IF(((UPPER($AS$91:$AZ$91)="BLANK")+(UPPER($AS$91:$AZ$91)="(BLANK)")+(UPPER($AS$91:$AZ$91)="EMPTY")+(UPPER($AS$91:$AZ$91)="(EMPTY)"))&gt;0,IFERROR(('Final Calculation Sheet'!$AE$23)&amp;"","")="",ISNUMBER(SEARCH($AS$91:$AZ$91,IFERROR(('Final Calculation Sheet'!$AE$23)&amp;"","")))))&gt;0))))</f>
        <v>1</v>
      </c>
      <c r="CS24">
        <f>IF($AG$4="",1,--(AND(SUMPRODUCT(--($AS$92:$AZ$92&lt;&gt;""))&gt;0,IF(COUNTIF($BI$92:$BP$92,1)=0,TRUE,SUMPRODUCT(($BI$92:$BP$92=1)*($AS$92:$AZ$92&lt;&gt;"")*IF(((UPPER($AS$92:$AZ$92)="BLANK")+(UPPER($AS$92:$AZ$92)="(BLANK)")+(UPPER($AS$92:$AZ$92)="EMPTY")+(UPPER($AS$92:$AZ$92)="(EMPTY)"))&gt;0,IFERROR(('Final Calculation Sheet'!$AF$23)&amp;"","")="",ISNUMBER(SEARCH($AS$92:$AZ$92,IFERROR(('Final Calculation Sheet'!$AF$23)&amp;"","")))))&gt;0),IF(COUNTIF($BI$92:$BP$92,2)=0,TRUE,SUMPRODUCT(($BI$92:$BP$92=2)*($AS$92:$AZ$92&lt;&gt;"")*IF(((UPPER($AS$92:$AZ$92)="BLANK")+(UPPER($AS$92:$AZ$92)="(BLANK)")+(UPPER($AS$92:$AZ$92)="EMPTY")+(UPPER($AS$92:$AZ$92)="(EMPTY)"))&gt;0,IFERROR(('Final Calculation Sheet'!$AF$23)&amp;"","")="",ISNUMBER(SEARCH($AS$92:$AZ$92,IFERROR(('Final Calculation Sheet'!$AF$23)&amp;"","")))))&gt;0),IF(COUNTIF($BI$92:$BP$92,3)=0,TRUE,SUMPRODUCT(($BI$92:$BP$92=3)*($AS$92:$AZ$92&lt;&gt;"")*IF(((UPPER($AS$92:$AZ$92)="BLANK")+(UPPER($AS$92:$AZ$92)="(BLANK)")+(UPPER($AS$92:$AZ$92)="EMPTY")+(UPPER($AS$92:$AZ$92)="(EMPTY)"))&gt;0,IFERROR(('Final Calculation Sheet'!$AF$23)&amp;"","")="",ISNUMBER(SEARCH($AS$92:$AZ$92,IFERROR(('Final Calculation Sheet'!$AF$23)&amp;"","")))))&gt;0),IF(COUNTIF($BI$92:$BP$92,4)=0,TRUE,SUMPRODUCT(($BI$92:$BP$92=4)*($AS$92:$AZ$92&lt;&gt;"")*IF(((UPPER($AS$92:$AZ$92)="BLANK")+(UPPER($AS$92:$AZ$92)="(BLANK)")+(UPPER($AS$92:$AZ$92)="EMPTY")+(UPPER($AS$92:$AZ$92)="(EMPTY)"))&gt;0,IFERROR(('Final Calculation Sheet'!$AF$23)&amp;"","")="",ISNUMBER(SEARCH($AS$92:$AZ$92,IFERROR(('Final Calculation Sheet'!$AF$23)&amp;"","")))))&gt;0),IF(COUNTIF($BI$92:$BP$92,5)=0,TRUE,SUMPRODUCT(($BI$92:$BP$92=5)*($AS$92:$AZ$92&lt;&gt;"")*IF(((UPPER($AS$92:$AZ$92)="BLANK")+(UPPER($AS$92:$AZ$92)="(BLANK)")+(UPPER($AS$92:$AZ$92)="EMPTY")+(UPPER($AS$92:$AZ$92)="(EMPTY)"))&gt;0,IFERROR(('Final Calculation Sheet'!$AF$23)&amp;"","")="",ISNUMBER(SEARCH($AS$92:$AZ$92,IFERROR(('Final Calculation Sheet'!$AF$23)&amp;"","")))))&gt;0),IF(COUNTIF($BI$92:$BP$92,6)=0,TRUE,SUMPRODUCT(($BI$92:$BP$92=6)*($AS$92:$AZ$92&lt;&gt;"")*IF(((UPPER($AS$92:$AZ$92)="BLANK")+(UPPER($AS$92:$AZ$92)="(BLANK)")+(UPPER($AS$92:$AZ$92)="EMPTY")+(UPPER($AS$92:$AZ$92)="(EMPTY)"))&gt;0,IFERROR(('Final Calculation Sheet'!$AF$23)&amp;"","")="",ISNUMBER(SEARCH($AS$92:$AZ$92,IFERROR(('Final Calculation Sheet'!$AF$23)&amp;"","")))))&gt;0),IF(COUNTIF($BI$92:$BP$92,7)=0,TRUE,SUMPRODUCT(($BI$92:$BP$92=7)*($AS$92:$AZ$92&lt;&gt;"")*IF(((UPPER($AS$92:$AZ$92)="BLANK")+(UPPER($AS$92:$AZ$92)="(BLANK)")+(UPPER($AS$92:$AZ$92)="EMPTY")+(UPPER($AS$92:$AZ$92)="(EMPTY)"))&gt;0,IFERROR(('Final Calculation Sheet'!$AF$23)&amp;"","")="",ISNUMBER(SEARCH($AS$92:$AZ$92,IFERROR(('Final Calculation Sheet'!$AF$23)&amp;"","")))))&gt;0),IF(COUNTIF($BI$92:$BP$92,8)=0,TRUE,SUMPRODUCT(($BI$92:$BP$92=8)*($AS$92:$AZ$92&lt;&gt;"")*IF(((UPPER($AS$92:$AZ$92)="BLANK")+(UPPER($AS$92:$AZ$92)="(BLANK)")+(UPPER($AS$92:$AZ$92)="EMPTY")+(UPPER($AS$92:$AZ$92)="(EMPTY)"))&gt;0,IFERROR(('Final Calculation Sheet'!$AF$23)&amp;"","")="",ISNUMBER(SEARCH($AS$92:$AZ$92,IFERROR(('Final Calculation Sheet'!$AF$23)&amp;"","")))))&gt;0))))</f>
        <v>1</v>
      </c>
      <c r="CT24">
        <f>IF($AH$4="",1,--(AND(SUMPRODUCT(--($AS$93:$AZ$93&lt;&gt;""))&gt;0,IF(COUNTIF($BI$93:$BP$93,1)=0,TRUE,SUMPRODUCT(($BI$93:$BP$93=1)*($AS$93:$AZ$93&lt;&gt;"")*IF(((UPPER($AS$93:$AZ$93)="BLANK")+(UPPER($AS$93:$AZ$93)="(BLANK)")+(UPPER($AS$93:$AZ$93)="EMPTY")+(UPPER($AS$93:$AZ$93)="(EMPTY)"))&gt;0,IFERROR(('Final Calculation Sheet'!$AG$23)&amp;"","")="",ISNUMBER(SEARCH($AS$93:$AZ$93,IFERROR(('Final Calculation Sheet'!$AG$23)&amp;"","")))))&gt;0),IF(COUNTIF($BI$93:$BP$93,2)=0,TRUE,SUMPRODUCT(($BI$93:$BP$93=2)*($AS$93:$AZ$93&lt;&gt;"")*IF(((UPPER($AS$93:$AZ$93)="BLANK")+(UPPER($AS$93:$AZ$93)="(BLANK)")+(UPPER($AS$93:$AZ$93)="EMPTY")+(UPPER($AS$93:$AZ$93)="(EMPTY)"))&gt;0,IFERROR(('Final Calculation Sheet'!$AG$23)&amp;"","")="",ISNUMBER(SEARCH($AS$93:$AZ$93,IFERROR(('Final Calculation Sheet'!$AG$23)&amp;"","")))))&gt;0),IF(COUNTIF($BI$93:$BP$93,3)=0,TRUE,SUMPRODUCT(($BI$93:$BP$93=3)*($AS$93:$AZ$93&lt;&gt;"")*IF(((UPPER($AS$93:$AZ$93)="BLANK")+(UPPER($AS$93:$AZ$93)="(BLANK)")+(UPPER($AS$93:$AZ$93)="EMPTY")+(UPPER($AS$93:$AZ$93)="(EMPTY)"))&gt;0,IFERROR(('Final Calculation Sheet'!$AG$23)&amp;"","")="",ISNUMBER(SEARCH($AS$93:$AZ$93,IFERROR(('Final Calculation Sheet'!$AG$23)&amp;"","")))))&gt;0),IF(COUNTIF($BI$93:$BP$93,4)=0,TRUE,SUMPRODUCT(($BI$93:$BP$93=4)*($AS$93:$AZ$93&lt;&gt;"")*IF(((UPPER($AS$93:$AZ$93)="BLANK")+(UPPER($AS$93:$AZ$93)="(BLANK)")+(UPPER($AS$93:$AZ$93)="EMPTY")+(UPPER($AS$93:$AZ$93)="(EMPTY)"))&gt;0,IFERROR(('Final Calculation Sheet'!$AG$23)&amp;"","")="",ISNUMBER(SEARCH($AS$93:$AZ$93,IFERROR(('Final Calculation Sheet'!$AG$23)&amp;"","")))))&gt;0),IF(COUNTIF($BI$93:$BP$93,5)=0,TRUE,SUMPRODUCT(($BI$93:$BP$93=5)*($AS$93:$AZ$93&lt;&gt;"")*IF(((UPPER($AS$93:$AZ$93)="BLANK")+(UPPER($AS$93:$AZ$93)="(BLANK)")+(UPPER($AS$93:$AZ$93)="EMPTY")+(UPPER($AS$93:$AZ$93)="(EMPTY)"))&gt;0,IFERROR(('Final Calculation Sheet'!$AG$23)&amp;"","")="",ISNUMBER(SEARCH($AS$93:$AZ$93,IFERROR(('Final Calculation Sheet'!$AG$23)&amp;"","")))))&gt;0),IF(COUNTIF($BI$93:$BP$93,6)=0,TRUE,SUMPRODUCT(($BI$93:$BP$93=6)*($AS$93:$AZ$93&lt;&gt;"")*IF(((UPPER($AS$93:$AZ$93)="BLANK")+(UPPER($AS$93:$AZ$93)="(BLANK)")+(UPPER($AS$93:$AZ$93)="EMPTY")+(UPPER($AS$93:$AZ$93)="(EMPTY)"))&gt;0,IFERROR(('Final Calculation Sheet'!$AG$23)&amp;"","")="",ISNUMBER(SEARCH($AS$93:$AZ$93,IFERROR(('Final Calculation Sheet'!$AG$23)&amp;"","")))))&gt;0),IF(COUNTIF($BI$93:$BP$93,7)=0,TRUE,SUMPRODUCT(($BI$93:$BP$93=7)*($AS$93:$AZ$93&lt;&gt;"")*IF(((UPPER($AS$93:$AZ$93)="BLANK")+(UPPER($AS$93:$AZ$93)="(BLANK)")+(UPPER($AS$93:$AZ$93)="EMPTY")+(UPPER($AS$93:$AZ$93)="(EMPTY)"))&gt;0,IFERROR(('Final Calculation Sheet'!$AG$23)&amp;"","")="",ISNUMBER(SEARCH($AS$93:$AZ$93,IFERROR(('Final Calculation Sheet'!$AG$23)&amp;"","")))))&gt;0),IF(COUNTIF($BI$93:$BP$93,8)=0,TRUE,SUMPRODUCT(($BI$93:$BP$93=8)*($AS$93:$AZ$93&lt;&gt;"")*IF(((UPPER($AS$93:$AZ$93)="BLANK")+(UPPER($AS$93:$AZ$93)="(BLANK)")+(UPPER($AS$93:$AZ$93)="EMPTY")+(UPPER($AS$93:$AZ$93)="(EMPTY)"))&gt;0,IFERROR(('Final Calculation Sheet'!$AG$23)&amp;"","")="",ISNUMBER(SEARCH($AS$93:$AZ$93,IFERROR(('Final Calculation Sheet'!$AG$23)&amp;"","")))))&gt;0))))</f>
        <v>1</v>
      </c>
      <c r="CU24">
        <f>IF($AI$4="",1,--(AND(SUMPRODUCT(--($AS$94:$AZ$94&lt;&gt;""))&gt;0,IF(COUNTIF($BI$94:$BP$94,1)=0,TRUE,SUMPRODUCT(($BI$94:$BP$94=1)*($AS$94:$AZ$94&lt;&gt;"")*IF(((UPPER($AS$94:$AZ$94)="BLANK")+(UPPER($AS$94:$AZ$94)="(BLANK)")+(UPPER($AS$94:$AZ$94)="EMPTY")+(UPPER($AS$94:$AZ$94)="(EMPTY)"))&gt;0,IFERROR((IF('Final Calculation Sheet'!$AD$23&lt;=0,"SETTLED","OUTSTANDING"))&amp;"","")="",ISNUMBER(SEARCH($AS$94:$AZ$94,IFERROR((IF('Final Calculation Sheet'!$AD$23&lt;=0,"SETTLED","OUTSTANDING"))&amp;"","")))))&gt;0),IF(COUNTIF($BI$94:$BP$94,2)=0,TRUE,SUMPRODUCT(($BI$94:$BP$94=2)*($AS$94:$AZ$94&lt;&gt;"")*IF(((UPPER($AS$94:$AZ$94)="BLANK")+(UPPER($AS$94:$AZ$94)="(BLANK)")+(UPPER($AS$94:$AZ$94)="EMPTY")+(UPPER($AS$94:$AZ$94)="(EMPTY)"))&gt;0,IFERROR((IF('Final Calculation Sheet'!$AD$23&lt;=0,"SETTLED","OUTSTANDING"))&amp;"","")="",ISNUMBER(SEARCH($AS$94:$AZ$94,IFERROR((IF('Final Calculation Sheet'!$AD$23&lt;=0,"SETTLED","OUTSTANDING"))&amp;"","")))))&gt;0),IF(COUNTIF($BI$94:$BP$94,3)=0,TRUE,SUMPRODUCT(($BI$94:$BP$94=3)*($AS$94:$AZ$94&lt;&gt;"")*IF(((UPPER($AS$94:$AZ$94)="BLANK")+(UPPER($AS$94:$AZ$94)="(BLANK)")+(UPPER($AS$94:$AZ$94)="EMPTY")+(UPPER($AS$94:$AZ$94)="(EMPTY)"))&gt;0,IFERROR((IF('Final Calculation Sheet'!$AD$23&lt;=0,"SETTLED","OUTSTANDING"))&amp;"","")="",ISNUMBER(SEARCH($AS$94:$AZ$94,IFERROR((IF('Final Calculation Sheet'!$AD$23&lt;=0,"SETTLED","OUTSTANDING"))&amp;"","")))))&gt;0),IF(COUNTIF($BI$94:$BP$94,4)=0,TRUE,SUMPRODUCT(($BI$94:$BP$94=4)*($AS$94:$AZ$94&lt;&gt;"")*IF(((UPPER($AS$94:$AZ$94)="BLANK")+(UPPER($AS$94:$AZ$94)="(BLANK)")+(UPPER($AS$94:$AZ$94)="EMPTY")+(UPPER($AS$94:$AZ$94)="(EMPTY)"))&gt;0,IFERROR((IF('Final Calculation Sheet'!$AD$23&lt;=0,"SETTLED","OUTSTANDING"))&amp;"","")="",ISNUMBER(SEARCH($AS$94:$AZ$94,IFERROR((IF('Final Calculation Sheet'!$AD$23&lt;=0,"SETTLED","OUTSTANDING"))&amp;"","")))))&gt;0),IF(COUNTIF($BI$94:$BP$94,5)=0,TRUE,SUMPRODUCT(($BI$94:$BP$94=5)*($AS$94:$AZ$94&lt;&gt;"")*IF(((UPPER($AS$94:$AZ$94)="BLANK")+(UPPER($AS$94:$AZ$94)="(BLANK)")+(UPPER($AS$94:$AZ$94)="EMPTY")+(UPPER($AS$94:$AZ$94)="(EMPTY)"))&gt;0,IFERROR((IF('Final Calculation Sheet'!$AD$23&lt;=0,"SETTLED","OUTSTANDING"))&amp;"","")="",ISNUMBER(SEARCH($AS$94:$AZ$94,IFERROR((IF('Final Calculation Sheet'!$AD$23&lt;=0,"SETTLED","OUTSTANDING"))&amp;"","")))))&gt;0),IF(COUNTIF($BI$94:$BP$94,6)=0,TRUE,SUMPRODUCT(($BI$94:$BP$94=6)*($AS$94:$AZ$94&lt;&gt;"")*IF(((UPPER($AS$94:$AZ$94)="BLANK")+(UPPER($AS$94:$AZ$94)="(BLANK)")+(UPPER($AS$94:$AZ$94)="EMPTY")+(UPPER($AS$94:$AZ$94)="(EMPTY)"))&gt;0,IFERROR((IF('Final Calculation Sheet'!$AD$23&lt;=0,"SETTLED","OUTSTANDING"))&amp;"","")="",ISNUMBER(SEARCH($AS$94:$AZ$94,IFERROR((IF('Final Calculation Sheet'!$AD$23&lt;=0,"SETTLED","OUTSTANDING"))&amp;"","")))))&gt;0),IF(COUNTIF($BI$94:$BP$94,7)=0,TRUE,SUMPRODUCT(($BI$94:$BP$94=7)*($AS$94:$AZ$94&lt;&gt;"")*IF(((UPPER($AS$94:$AZ$94)="BLANK")+(UPPER($AS$94:$AZ$94)="(BLANK)")+(UPPER($AS$94:$AZ$94)="EMPTY")+(UPPER($AS$94:$AZ$94)="(EMPTY)"))&gt;0,IFERROR((IF('Final Calculation Sheet'!$AD$23&lt;=0,"SETTLED","OUTSTANDING"))&amp;"","")="",ISNUMBER(SEARCH($AS$94:$AZ$94,IFERROR((IF('Final Calculation Sheet'!$AD$23&lt;=0,"SETTLED","OUTSTANDING"))&amp;"","")))))&gt;0),IF(COUNTIF($BI$94:$BP$94,8)=0,TRUE,SUMPRODUCT(($BI$94:$BP$94=8)*($AS$94:$AZ$94&lt;&gt;"")*IF(((UPPER($AS$94:$AZ$94)="BLANK")+(UPPER($AS$94:$AZ$94)="(BLANK)")+(UPPER($AS$94:$AZ$94)="EMPTY")+(UPPER($AS$94:$AZ$94)="(EMPTY)"))&gt;0,IFERROR((IF('Final Calculation Sheet'!$AD$23&lt;=0,"SETTLED","OUTSTANDING"))&amp;"","")="",ISNUMBER(SEARCH($AS$94:$AZ$94,IFERROR((IF('Final Calculation Sheet'!$AD$23&lt;=0,"SETTLED","OUTSTANDING"))&amp;"","")))))&gt;0))))</f>
        <v>1</v>
      </c>
    </row>
    <row r="25" spans="1:99" ht="15" customHeight="1" x14ac:dyDescent="0.25">
      <c r="A25" s="67">
        <f>IF($BJ24&gt;0,INDEX($BA$5:$BA$41,MATCH(24,$BB$5:$BB$41,0)),IF(OR($BI24=1,$BL24=1,$BH24&gt;0),"∑",""))</f>
        <v>8</v>
      </c>
      <c r="B25" s="68">
        <f>IF($BJ24&gt;0,IF(INDEX('Final Calculation Sheet'!$F$4:$F$40,$BJ24-3)="","",INDEX('Final Calculation Sheet'!$F$4:$F$40,$BJ24-3)),"")</f>
        <v>2005</v>
      </c>
      <c r="C25" s="68" t="str">
        <f>IF($BJ24&gt;0,IF(INDEX('Final Calculation Sheet'!$G$4:$G$40,$BJ24-3)="","",INDEX('Final Calculation Sheet'!$G$4:$G$40,$BJ24-3)),IF(OR($BI24=1,$BL24=1,$BH24&gt;0),IF($BI24=1,37,IF($BL24=1,37-INDEX($BD$4:$BD$13,10),INDEX($BD$4:$BD$13,$BH24)))&amp;" lot(s)",""))</f>
        <v>NATIONAL ENTERPRISES</v>
      </c>
      <c r="D25" s="69" t="str">
        <f>IF($BJ24&gt;0,IF(INDEX('Final Calculation Sheet'!$B$4:$B$40,$BJ24-3)="","",INDEX('Final Calculation Sheet'!$B$4:$B$40,$BJ24-3)),IF(OR($BI24=1,$BL24=1,$BH24&gt;0),IF($BI24=1,"GRAND TOTAL  —  matching + remaining",IF($BL24=1,"TOTAL MATCHED  —  every group together",IF($BH24=10,"REMAINING  —  did not match the search",IF($BH24=9,IF(COUNTIF($A$4:$AI$4,"&lt;&gt;")&gt;0,"FILTERED LOTS  —  column fields","ALL LOTS  —  nothing typed in the box"),"GROUP "&amp;$BH24&amp;" TOTAL  —  lots matching  "&amp;INDEX($AR$6:$AY$6,$BH24))))),""))</f>
        <v>Scrap of 220KV CT</v>
      </c>
      <c r="E25" s="69">
        <f>IF($BJ24&gt;0,IF(INDEX('Final Calculation Sheet'!$D$4:$D$40,$BJ24-3)="","",INDEX('Final Calculation Sheet'!$D$4:$D$40,$BJ24-3)),IF(OR($BI24=1,$BL24=1,$BH24&gt;0),"–",""))</f>
        <v>21977</v>
      </c>
      <c r="F25" s="69">
        <f>IF($BJ24&gt;0,IF(INDEX('Final Calculation Sheet'!$A$4:$A$40,$BJ24-3)="","",INDEX('Final Calculation Sheet'!$A$4:$A$40,$BJ24-3)),IF(OR($BI24=1,$BL24=1,$BH24&gt;0),IF($BI24=1,SUM('Final Calculation Sheet'!$A$4:$A$40),IF($BL24=1,SUM('Final Calculation Sheet'!$A$4:$A$40)-SUMIFS('Final Calculation Sheet'!$A$4:$A$40,$AZ$5:$AZ$41,10),SUMIFS('Final Calculation Sheet'!$A$4:$A$40,$AZ$5:$AZ$41,$BH24))),""))</f>
        <v>1</v>
      </c>
      <c r="G25" s="69" t="str">
        <f>IF($BJ24&gt;0,IF(INDEX('Final Calculation Sheet'!$E$4:$E$40,$BJ24-3)="","",INDEX('Final Calculation Sheet'!$E$4:$E$40,$BJ24-3)),IF(OR($BI24=1,$BL24=1,$BH24&gt;0),"–",""))</f>
        <v>NO</v>
      </c>
      <c r="H25" s="70">
        <f>IF($BJ24&gt;0,IF(INDEX('Final Calculation Sheet'!$C$4:$C$40,$BJ24-3)="","",INDEX('Final Calculation Sheet'!$C$4:$C$40,$BJ24-3)),IF(OR($BI24=1,$BL24=1,$BH24&gt;0),"–",""))</f>
        <v>70006</v>
      </c>
      <c r="I25" s="70">
        <f>IF($BJ24&gt;0,IF(INDEX('Final Calculation Sheet'!$H$4:$H$40,$BJ24-3)="","",INDEX('Final Calculation Sheet'!$H$4:$H$40,$BJ24-3)),IF(OR($BI24=1,$BL24=1,$BH24&gt;0),IF($BI24=1,SUM('Final Calculation Sheet'!$H$4:$H$40),IF($BL24=1,SUM('Final Calculation Sheet'!$H$4:$H$40)-SUMIFS('Final Calculation Sheet'!$H$4:$H$40,$AZ$5:$AZ$41,10),SUMIFS('Final Calculation Sheet'!$H$4:$H$40,$AZ$5:$AZ$41,$BH24))),""))</f>
        <v>70006</v>
      </c>
      <c r="J25" s="70">
        <f>IF($BJ24&gt;0,IF(INDEX('Final Calculation Sheet'!$I$4:$I$40,$BJ24-3)="","",INDEX('Final Calculation Sheet'!$I$4:$I$40,$BJ24-3)),IF(OR($BI24=1,$BL24=1,$BH24&gt;0),IF($BI24=1,SUM('Final Calculation Sheet'!$I$4:$I$40),IF($BL24=1,SUM('Final Calculation Sheet'!$I$4:$I$40)-SUMIFS('Final Calculation Sheet'!$I$4:$I$40,$AZ$5:$AZ$41,10),SUMIFS('Final Calculation Sheet'!$I$4:$I$40,$AZ$5:$AZ$41,$BH24))),""))</f>
        <v>12601</v>
      </c>
      <c r="K25" s="70">
        <f>IF($BJ24&gt;0,IF(INDEX('Final Calculation Sheet'!$J$4:$J$40,$BJ24-3)="","",INDEX('Final Calculation Sheet'!$J$4:$J$40,$BJ24-3)),IF(OR($BI24=1,$BL24=1,$BH24&gt;0),IF($BI24=1,SUM('Final Calculation Sheet'!$J$4:$J$40),IF($BL24=1,SUM('Final Calculation Sheet'!$J$4:$J$40)-SUMIFS('Final Calculation Sheet'!$J$4:$J$40,$AZ$5:$AZ$41,10),SUMIFS('Final Calculation Sheet'!$J$4:$J$40,$AZ$5:$AZ$41,$BH24))),""))</f>
        <v>82607</v>
      </c>
      <c r="L25" s="70">
        <f>IF($BJ24&gt;0,IF(INDEX('Final Calculation Sheet'!$K$4:$K$40,$BJ24-3)="","",INDEX('Final Calculation Sheet'!$K$4:$K$40,$BJ24-3)),IF(OR($BI24=1,$BL24=1,$BH24&gt;0),IF($BI24=1,SUM('Final Calculation Sheet'!$K$4:$K$40),IF($BL24=1,SUM('Final Calculation Sheet'!$K$4:$K$40)-SUMIFS('Final Calculation Sheet'!$K$4:$K$40,$AZ$5:$AZ$41,10),SUMIFS('Final Calculation Sheet'!$K$4:$K$40,$AZ$5:$AZ$41,$BH24))),""))</f>
        <v>1652</v>
      </c>
      <c r="M25" s="70">
        <f>IF($BJ24&gt;0,IF(INDEX('Final Calculation Sheet'!$L$4:$L$40,$BJ24-3)="","",INDEX('Final Calculation Sheet'!$L$4:$L$40,$BJ24-3)),IF(OR($BI24=1,$BL24=1,$BH24&gt;0),IF($BI24=1,SUM('Final Calculation Sheet'!$L$4:$L$40),IF($BL24=1,SUM('Final Calculation Sheet'!$L$4:$L$40)-SUMIFS('Final Calculation Sheet'!$L$4:$L$40,$AZ$5:$AZ$41,10),SUMIFS('Final Calculation Sheet'!$L$4:$L$40,$AZ$5:$AZ$41,$BH24))),""))</f>
        <v>70.006</v>
      </c>
      <c r="N25" s="70">
        <f>IF($BJ24&gt;0,IF(INDEX('Final Calculation Sheet'!$M$4:$M$40,$BJ24-3)="","",INDEX('Final Calculation Sheet'!$M$4:$M$40,$BJ24-3)),IF(OR($BI24=1,$BL24=1,$BH24&gt;0),IF($BI24=1,SUM('Final Calculation Sheet'!$M$4:$M$40),IF($BL24=1,SUM('Final Calculation Sheet'!$M$4:$M$40)-SUMIFS('Final Calculation Sheet'!$M$4:$M$40,$AZ$5:$AZ$41,10),SUMIFS('Final Calculation Sheet'!$M$4:$M$40,$AZ$5:$AZ$41,$BH24))),""))</f>
        <v>1858.6592999999998</v>
      </c>
      <c r="O25" s="71">
        <f>IF($BJ24&gt;0,IF(INDEX('Final Calculation Sheet'!$N$4:$N$40,$BJ24-3)="","",INDEX('Final Calculation Sheet'!$N$4:$N$40,$BJ24-3)),IF(OR($BI24=1,$BL24=1,$BH24&gt;0),IF($BI24=1,SUM('Final Calculation Sheet'!$N$4:$N$40),IF($BL24=1,SUM('Final Calculation Sheet'!$N$4:$N$40)-SUMIFS('Final Calculation Sheet'!$N$4:$N$40,$AZ$5:$AZ$41,10),SUMIFS('Final Calculation Sheet'!$N$4:$N$40,$AZ$5:$AZ$41,$BH24))),""))</f>
        <v>31.502700000000001</v>
      </c>
      <c r="P25" s="70">
        <f>IF($BJ24&gt;0,IF(INDEX('Final Calculation Sheet'!$O$4:$O$40,$BJ24-3)="","",INDEX('Final Calculation Sheet'!$O$4:$O$40,$BJ24-3)),IF(OR($BI24=1,$BL24=1,$BH24&gt;0),IF($BI24=1,SUM('Final Calculation Sheet'!$O$4:$O$40),IF($BL24=1,SUM('Final Calculation Sheet'!$O$4:$O$40)-SUMIFS('Final Calculation Sheet'!$O$4:$O$40,$AZ$5:$AZ$41,10),SUMIFS('Final Calculation Sheet'!$O$4:$O$40,$AZ$5:$AZ$41,$BH24))),""))</f>
        <v>1827.1565999999998</v>
      </c>
      <c r="Q25" s="70">
        <f>IF($BJ24&gt;0,IF(INDEX('Final Calculation Sheet'!$P$4:$P$40,$BJ24-3)="","",INDEX('Final Calculation Sheet'!$P$4:$P$40,$BJ24-3)),IF(OR($BI24=1,$BL24=1,$BH24&gt;0),IF($BI24=1,SUM('Final Calculation Sheet'!$P$4:$P$40),IF($BL24=1,SUM('Final Calculation Sheet'!$P$4:$P$40)-SUMIFS('Final Calculation Sheet'!$P$4:$P$40,$AZ$5:$AZ$41,10),SUMIFS('Final Calculation Sheet'!$P$4:$P$40,$AZ$5:$AZ$41,$BH24))),""))</f>
        <v>1897</v>
      </c>
      <c r="R25" s="72">
        <f>IF($BJ24&gt;0,IF(INDEX('Final Calculation Sheet'!$Q$4:$Q$40,$BJ24-3)="","",INDEX('Final Calculation Sheet'!$Q$4:$Q$40,$BJ24-3)),IF(OR($BI24=1,$BL24=1,$BH24&gt;0),"–",""))</f>
        <v>0</v>
      </c>
      <c r="S25" s="70">
        <f>IF($BJ24&gt;0,IF(INDEX('Final Calculation Sheet'!$R$4:$R$40,$BJ24-3)="","",INDEX('Final Calculation Sheet'!$R$4:$R$40,$BJ24-3)),IF(OR($BI24=1,$BL24=1,$BH24&gt;0),IF($BI24=1,SUM('Final Calculation Sheet'!$R$4:$R$40),IF($BL24=1,SUM('Final Calculation Sheet'!$R$4:$R$40)-SUMIFS('Final Calculation Sheet'!$R$4:$R$40,$AZ$5:$AZ$41,10),SUMIFS('Final Calculation Sheet'!$R$4:$R$40,$AZ$5:$AZ$41,$BH24))),""))</f>
        <v>0</v>
      </c>
      <c r="T25" s="70">
        <f>IF($BJ24&gt;0,IF(INDEX('Final Calculation Sheet'!$S$4:$S$40,$BJ24-3)="","",INDEX('Final Calculation Sheet'!$S$4:$S$40,$BJ24-3)),IF(OR($BI24=1,$BL24=1,$BH24&gt;0),IF($BI24=1,SUM('Final Calculation Sheet'!$S$4:$S$40),IF($BL24=1,SUM('Final Calculation Sheet'!$S$4:$S$40)-SUMIFS('Final Calculation Sheet'!$S$4:$S$40,$AZ$5:$AZ$41,10),SUMIFS('Final Calculation Sheet'!$S$4:$S$40,$AZ$5:$AZ$41,$BH24))),""))</f>
        <v>82362</v>
      </c>
      <c r="U25" s="70">
        <f>IF($BJ24&gt;0,IF(INDEX('Final Calculation Sheet'!$T$4:$T$40,$BJ24-3)="","",INDEX('Final Calculation Sheet'!$T$4:$T$40,$BJ24-3)),IF(OR($BI24=1,$BL24=1,$BH24&gt;0),IF($BI24=1,SUM('Final Calculation Sheet'!$T$4:$T$40),IF($BL24=1,SUM('Final Calculation Sheet'!$T$4:$T$40)-SUMIFS('Final Calculation Sheet'!$T$4:$T$40,$AZ$5:$AZ$41,10),SUMIFS('Final Calculation Sheet'!$T$4:$T$40,$AZ$5:$AZ$41,$BH24))),""))</f>
        <v>17502</v>
      </c>
      <c r="V25" s="73">
        <f>IF($BJ24&gt;0,IF(INDEX('Final Calculation Sheet'!$U$4:$U$40,$BJ24-3)="","",INDEX('Final Calculation Sheet'!$U$4:$U$40,$BJ24-3)),IF(OR($BI24=1,$BL24=1,$BH24&gt;0),IF($BI24=1,SUM('Final Calculation Sheet'!$U$4:$U$40),IF($BL24=1,SUM('Final Calculation Sheet'!$U$4:$U$40)-SUMIFS('Final Calculation Sheet'!$U$4:$U$40,$AZ$5:$AZ$41,10),SUMIFS('Final Calculation Sheet'!$U$4:$U$40,$AZ$5:$AZ$41,$BH24))),""))</f>
        <v>17502</v>
      </c>
      <c r="W25" s="70" t="str">
        <f>IF($BJ24&gt;0,IF(INDEX('Final Calculation Sheet'!$V$4:$V$40,$BJ24-3)="","",INDEX('Final Calculation Sheet'!$V$4:$V$40,$BJ24-3)),IF(OR($BI24=1,$BL24=1,$BH24&gt;0),"–",""))</f>
        <v>13.08.2026</v>
      </c>
      <c r="X25" s="70">
        <f>IF($BJ24&gt;0,IF(INDEX('Final Calculation Sheet'!$W$4:$W$40,$BJ24-3)="","",INDEX('Final Calculation Sheet'!$W$4:$W$40,$BJ24-3)),IF(OR($BI24=1,$BL24=1,$BH24&gt;0),IF($BI24=1,SUM('Final Calculation Sheet'!$W$4:$W$40),IF($BL24=1,SUM('Final Calculation Sheet'!$W$4:$W$40)-SUMIFS('Final Calculation Sheet'!$W$4:$W$40,$AZ$5:$AZ$41,10),SUMIFS('Final Calculation Sheet'!$W$4:$W$40,$AZ$5:$AZ$41,$BH24))),""))</f>
        <v>64861</v>
      </c>
      <c r="Y25" s="70">
        <f>IF($BJ24&gt;0,IF(INDEX('Final Calculation Sheet'!$X$4:$X$40,$BJ24-3)="","",INDEX('Final Calculation Sheet'!$X$4:$X$40,$BJ24-3)),IF(OR($BI24=1,$BL24=1,$BH24&gt;0),IF($BI24=1,SUM('Final Calculation Sheet'!$X$4:$X$40),IF($BL24=1,SUM('Final Calculation Sheet'!$X$4:$X$40)-SUMIFS('Final Calculation Sheet'!$X$4:$X$40,$AZ$5:$AZ$41,10),SUMIFS('Final Calculation Sheet'!$X$4:$X$40,$AZ$5:$AZ$41,$BH24))),""))</f>
        <v>64859</v>
      </c>
      <c r="Z25" s="70" t="str">
        <f>IF($BJ24&gt;0,IF(INDEX('Final Calculation Sheet'!$Y$4:$Y$40,$BJ24-3)="","",INDEX('Final Calculation Sheet'!$Y$4:$Y$40,$BJ24-3)),IF(OR($BI24=1,$BL24=1,$BH24&gt;0),"–",""))</f>
        <v>24.08.2026</v>
      </c>
      <c r="AA25" s="70">
        <f ca="1">IF($BJ24&gt;0,IF(INDEX('Final Calculation Sheet'!$Z$4:$Z$40,$BJ24-3)="","",INDEX('Final Calculation Sheet'!$Z$4:$Z$40,$BJ24-3)),IF(OR($BI24=1,$BL24=1,$BH24&gt;0),IF($BI24=1,SUM('Final Calculation Sheet'!$Z$4:$Z$40),IF($BL24=1,SUM('Final Calculation Sheet'!$Z$4:$Z$40)-SUMIFS('Final Calculation Sheet'!$Z$4:$Z$40,$AZ$5:$AZ$41,10),SUMIFS('Final Calculation Sheet'!$Z$4:$Z$40,$AZ$5:$AZ$41,$BH24))),""))</f>
        <v>0</v>
      </c>
      <c r="AB25" s="70" t="str">
        <f>IF($BJ24&gt;0,IF(INDEX('Final Calculation Sheet'!$AA$4:$AA$40,$BJ24-3)="","",INDEX('Final Calculation Sheet'!$AA$4:$AA$40,$BJ24-3)),IF(OR($BI24=1,$BL24=1,$BH24&gt;0),IF($BI24=1,SUM('Final Calculation Sheet'!$AA$4:$AA$40),IF($BL24=1,SUM('Final Calculation Sheet'!$AA$4:$AA$40)-SUMIFS('Final Calculation Sheet'!$AA$4:$AA$40,$AZ$5:$AZ$41,10),SUMIFS('Final Calculation Sheet'!$AA$4:$AA$40,$AZ$5:$AZ$41,$BH24))),""))</f>
        <v/>
      </c>
      <c r="AC25" s="70" t="str">
        <f>IF($BJ24&gt;0,IF(INDEX('Final Calculation Sheet'!$AB$4:$AB$40,$BJ24-3)="","",INDEX('Final Calculation Sheet'!$AB$4:$AB$40,$BJ24-3)),IF(OR($BI24=1,$BL24=1,$BH24&gt;0),"–",""))</f>
        <v/>
      </c>
      <c r="AD25" s="70">
        <f>IF($BJ24&gt;0,IF(INDEX('Final Calculation Sheet'!$AC$4:$AC$40,$BJ24-3)="","",INDEX('Final Calculation Sheet'!$AC$4:$AC$40,$BJ24-3)),IF(OR($BI24=1,$BL24=1,$BH24&gt;0),IF($BI24=1,SUM('Final Calculation Sheet'!$AC$4:$AC$40),IF($BL24=1,SUM('Final Calculation Sheet'!$AC$4:$AC$40)-SUMIFS('Final Calculation Sheet'!$AC$4:$AC$40,$AZ$5:$AZ$41,10),SUMIFS('Final Calculation Sheet'!$AC$4:$AC$40,$AZ$5:$AZ$41,$BH24))),""))</f>
        <v>82361</v>
      </c>
      <c r="AE25" s="70">
        <f>IF($BJ24&gt;0,IF(INDEX('Final Calculation Sheet'!$AD$4:$AD$40,$BJ24-3)="","",INDEX('Final Calculation Sheet'!$AD$4:$AD$40,$BJ24-3)),IF(OR($BI24=1,$BL24=1,$BH24&gt;0),IF($BI24=1,SUM('Final Calculation Sheet'!$AD$4:$AD$40),IF($BL24=1,SUM('Final Calculation Sheet'!$AD$4:$AD$40)-SUMIFS('Final Calculation Sheet'!$AD$4:$AD$40,$AZ$5:$AZ$41,10),SUMIFS('Final Calculation Sheet'!$AD$4:$AD$40,$AZ$5:$AZ$41,$BH24))),""))</f>
        <v>1</v>
      </c>
      <c r="AF25" s="70" t="str">
        <f>IF($BJ24&gt;0,IF(INDEX('Final Calculation Sheet'!$AE$4:$AE$40,$BJ24-3)="","",INDEX('Final Calculation Sheet'!$AE$4:$AE$40,$BJ24-3)),IF(OR($BI24=1,$BL24=1,$BH24&gt;0),"–",""))</f>
        <v>DR2640100033</v>
      </c>
      <c r="AG25" s="74">
        <f>IF($BJ24&gt;0,IF(INDEX('Final Calculation Sheet'!$AF$4:$AF$40,$BJ24-3)="","",INDEX('Final Calculation Sheet'!$AF$4:$AF$40,$BJ24-3)),IF(OR($BI24=1,$BL24=1,$BH24&gt;0),"–",""))</f>
        <v>1800003305</v>
      </c>
      <c r="AH25" s="70" t="str">
        <f>IF($BJ24&gt;0,IF(INDEX('Final Calculation Sheet'!$AG$4:$AG$40,$BJ24-3)="","",INDEX('Final Calculation Sheet'!$AG$4:$AG$40,$BJ24-3)),IF(OR($BI24=1,$BL24=1,$BH24&gt;0),"–",""))</f>
        <v>27.08.2026</v>
      </c>
      <c r="AI25" s="75" t="str">
        <f>IF($BJ24&gt;0,IF(INDEX('Final Calculation Sheet'!$AD$4:$AD$40,$BJ24-3)="","",IF(INDEX('Final Calculation Sheet'!$AD$4:$AD$40,$BJ24-3)&lt;=0,"SETTLED","OUTSTANDING")),IF(OR($BI24=1,$BL24=1,$BH24&gt;0),IF(IF($BI24=1,SUM('Final Calculation Sheet'!$AD$4:$AD$40),IF($BL24=1,SUM('Final Calculation Sheet'!$AD$4:$AD$40)-SUMIFS('Final Calculation Sheet'!$AD$4:$AD$40,$AZ$5:$AZ$41,10),SUMIFS('Final Calculation Sheet'!$AD$4:$AD$40,$AZ$5:$AZ$41,$BH24)))&lt;=0,"ALL SETTLED","OUTSTANDING"),""))</f>
        <v>OUTSTANDING</v>
      </c>
      <c r="AK25" t="str">
        <f>IF($F$3="Lot No.",'Final Calculation Sheet'!$F$24,IF($F$3="Buyer",'Final Calculation Sheet'!$G$24,IF($F$3="Lot Name",'Final Calculation Sheet'!$B$24,IF($F$3="Bid Sheet",'Final Calculation Sheet'!$D$24,IF($F$3="Unit",'Final Calculation Sheet'!$E$24,'Final Calculation Sheet'!$F$24&amp;" "&amp;'Final Calculation Sheet'!$G$24&amp;" "&amp;'Final Calculation Sheet'!$B$24)))))</f>
        <v>2027 NATIONAL ENTERPRISES Scrap of 132 KV CT</v>
      </c>
      <c r="AM25">
        <f t="shared" si="1"/>
        <v>0</v>
      </c>
      <c r="AZ25">
        <f t="shared" si="2"/>
        <v>10</v>
      </c>
      <c r="BA25">
        <f t="shared" si="3"/>
        <v>16</v>
      </c>
      <c r="BB25">
        <f t="shared" si="4"/>
        <v>32</v>
      </c>
      <c r="BC25">
        <v>24</v>
      </c>
      <c r="BH25">
        <f>IFERROR(MATCH(25,$BF$4:$BF$13,0),0)</f>
        <v>0</v>
      </c>
      <c r="BI25">
        <f>IF(25=$BG$5,1,0)</f>
        <v>0</v>
      </c>
      <c r="BJ25">
        <f>IF(OR($BH25&gt;0,$BI25=1,$BL25=1),0,IFERROR(INDEX($BC$5:$BC$41,MATCH(25,$BB$5:$BB$41,0)),0))</f>
        <v>14</v>
      </c>
      <c r="BK25">
        <f>IF($BJ25&gt;0,IF(INDEX($AZ$5:$AZ$41,MATCH(25,$BB$5:$BB$41,0))=10,1,0),IF($BH25=10,1,0))</f>
        <v>1</v>
      </c>
      <c r="BL25">
        <f>IF(25=$BG$4,1,0)</f>
        <v>0</v>
      </c>
      <c r="BM25">
        <f>IF($A$4="",1,--(AND(SUMPRODUCT(--($AS$60:$AZ$60&lt;&gt;""))&gt;0,IF(COUNTIF($BI$60:$BP$60,1)=0,TRUE,SUMPRODUCT(($BI$60:$BP$60=1)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$60,2)=0,TRUE,SUMPRODUCT(($BI$60:$BP$60=2)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$60,3)=0,TRUE,SUMPRODUCT(($BI$60:$BP$60=3)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$60,4)=0,TRUE,SUMPRODUCT(($BI$60:$BP$60=4)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$60,5)=0,TRUE,SUMPRODUCT(($BI$60:$BP$60=5)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$60,6)=0,TRUE,SUMPRODUCT(($BI$60:$BP$60=6)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$60,7)=0,TRUE,SUMPRODUCT(($BI$60:$BP$60=7)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$60,8)=0,TRUE,SUMPRODUCT(($BI$60:$BP$60=8)*($AS$60:$AZ$60&lt;&gt;"")*IF(((UPPER($AS$60:$AZ$60)="BLANK")+(UPPER($AS$60:$AZ$60)="(BLANK)")+(UPPER($AS$60:$AZ$60)="EMPTY")+(UPPER($AS$60:$AZ$60)="(EMPTY)"))&gt;0,IFERROR((ROW()-4)&amp;"","")="",ISNUMBER(SEARCH($AS$60:$AZ$60,IFERROR((ROW()-4)&amp;"","")))))&gt;0))))</f>
        <v>1</v>
      </c>
      <c r="BN25">
        <f>IF($B$4="",1,--(AND(SUMPRODUCT(--($AS$61:$AZ$61&lt;&gt;""))&gt;0,IF(COUNTIF($BI$61:$BP$61,1)=0,TRUE,SUMPRODUCT(($BI$61:$BP$61=1)*($AS$61:$AZ$61&lt;&gt;"")*IF(((UPPER($AS$61:$AZ$61)="BLANK")+(UPPER($AS$61:$AZ$61)="(BLANK)")+(UPPER($AS$61:$AZ$61)="EMPTY")+(UPPER($AS$61:$AZ$61)="(EMPTY)"))&gt;0,IFERROR(('Final Calculation Sheet'!$F$24)&amp;"","")="",ISNUMBER(SEARCH($AS$61:$AZ$61,IFERROR(('Final Calculation Sheet'!$F$24)&amp;"","")))))&gt;0),IF(COUNTIF($BI$61:$BP$61,2)=0,TRUE,SUMPRODUCT(($BI$61:$BP$61=2)*($AS$61:$AZ$61&lt;&gt;"")*IF(((UPPER($AS$61:$AZ$61)="BLANK")+(UPPER($AS$61:$AZ$61)="(BLANK)")+(UPPER($AS$61:$AZ$61)="EMPTY")+(UPPER($AS$61:$AZ$61)="(EMPTY)"))&gt;0,IFERROR(('Final Calculation Sheet'!$F$24)&amp;"","")="",ISNUMBER(SEARCH($AS$61:$AZ$61,IFERROR(('Final Calculation Sheet'!$F$24)&amp;"","")))))&gt;0),IF(COUNTIF($BI$61:$BP$61,3)=0,TRUE,SUMPRODUCT(($BI$61:$BP$61=3)*($AS$61:$AZ$61&lt;&gt;"")*IF(((UPPER($AS$61:$AZ$61)="BLANK")+(UPPER($AS$61:$AZ$61)="(BLANK)")+(UPPER($AS$61:$AZ$61)="EMPTY")+(UPPER($AS$61:$AZ$61)="(EMPTY)"))&gt;0,IFERROR(('Final Calculation Sheet'!$F$24)&amp;"","")="",ISNUMBER(SEARCH($AS$61:$AZ$61,IFERROR(('Final Calculation Sheet'!$F$24)&amp;"","")))))&gt;0),IF(COUNTIF($BI$61:$BP$61,4)=0,TRUE,SUMPRODUCT(($BI$61:$BP$61=4)*($AS$61:$AZ$61&lt;&gt;"")*IF(((UPPER($AS$61:$AZ$61)="BLANK")+(UPPER($AS$61:$AZ$61)="(BLANK)")+(UPPER($AS$61:$AZ$61)="EMPTY")+(UPPER($AS$61:$AZ$61)="(EMPTY)"))&gt;0,IFERROR(('Final Calculation Sheet'!$F$24)&amp;"","")="",ISNUMBER(SEARCH($AS$61:$AZ$61,IFERROR(('Final Calculation Sheet'!$F$24)&amp;"","")))))&gt;0),IF(COUNTIF($BI$61:$BP$61,5)=0,TRUE,SUMPRODUCT(($BI$61:$BP$61=5)*($AS$61:$AZ$61&lt;&gt;"")*IF(((UPPER($AS$61:$AZ$61)="BLANK")+(UPPER($AS$61:$AZ$61)="(BLANK)")+(UPPER($AS$61:$AZ$61)="EMPTY")+(UPPER($AS$61:$AZ$61)="(EMPTY)"))&gt;0,IFERROR(('Final Calculation Sheet'!$F$24)&amp;"","")="",ISNUMBER(SEARCH($AS$61:$AZ$61,IFERROR(('Final Calculation Sheet'!$F$24)&amp;"","")))))&gt;0),IF(COUNTIF($BI$61:$BP$61,6)=0,TRUE,SUMPRODUCT(($BI$61:$BP$61=6)*($AS$61:$AZ$61&lt;&gt;"")*IF(((UPPER($AS$61:$AZ$61)="BLANK")+(UPPER($AS$61:$AZ$61)="(BLANK)")+(UPPER($AS$61:$AZ$61)="EMPTY")+(UPPER($AS$61:$AZ$61)="(EMPTY)"))&gt;0,IFERROR(('Final Calculation Sheet'!$F$24)&amp;"","")="",ISNUMBER(SEARCH($AS$61:$AZ$61,IFERROR(('Final Calculation Sheet'!$F$24)&amp;"","")))))&gt;0),IF(COUNTIF($BI$61:$BP$61,7)=0,TRUE,SUMPRODUCT(($BI$61:$BP$61=7)*($AS$61:$AZ$61&lt;&gt;"")*IF(((UPPER($AS$61:$AZ$61)="BLANK")+(UPPER($AS$61:$AZ$61)="(BLANK)")+(UPPER($AS$61:$AZ$61)="EMPTY")+(UPPER($AS$61:$AZ$61)="(EMPTY)"))&gt;0,IFERROR(('Final Calculation Sheet'!$F$24)&amp;"","")="",ISNUMBER(SEARCH($AS$61:$AZ$61,IFERROR(('Final Calculation Sheet'!$F$24)&amp;"","")))))&gt;0),IF(COUNTIF($BI$61:$BP$61,8)=0,TRUE,SUMPRODUCT(($BI$61:$BP$61=8)*($AS$61:$AZ$61&lt;&gt;"")*IF(((UPPER($AS$61:$AZ$61)="BLANK")+(UPPER($AS$61:$AZ$61)="(BLANK)")+(UPPER($AS$61:$AZ$61)="EMPTY")+(UPPER($AS$61:$AZ$61)="(EMPTY)"))&gt;0,IFERROR(('Final Calculation Sheet'!$F$24)&amp;"","")="",ISNUMBER(SEARCH($AS$61:$AZ$61,IFERROR(('Final Calculation Sheet'!$F$24)&amp;"","")))))&gt;0))))</f>
        <v>1</v>
      </c>
      <c r="BO25">
        <f>IF($C$4="",1,--(AND(SUMPRODUCT(--($AS$62:$AZ$62&lt;&gt;""))&gt;0,IF(COUNTIF($BI$62:$BP$62,1)=0,TRUE,SUMPRODUCT(($BI$62:$BP$62=1)*($AS$62:$AZ$62&lt;&gt;"")*IF(((UPPER($AS$62:$AZ$62)="BLANK")+(UPPER($AS$62:$AZ$62)="(BLANK)")+(UPPER($AS$62:$AZ$62)="EMPTY")+(UPPER($AS$62:$AZ$62)="(EMPTY)"))&gt;0,IFERROR(('Final Calculation Sheet'!$G$24)&amp;"","")="",ISNUMBER(SEARCH($AS$62:$AZ$62,IFERROR(('Final Calculation Sheet'!$G$24)&amp;"","")))))&gt;0),IF(COUNTIF($BI$62:$BP$62,2)=0,TRUE,SUMPRODUCT(($BI$62:$BP$62=2)*($AS$62:$AZ$62&lt;&gt;"")*IF(((UPPER($AS$62:$AZ$62)="BLANK")+(UPPER($AS$62:$AZ$62)="(BLANK)")+(UPPER($AS$62:$AZ$62)="EMPTY")+(UPPER($AS$62:$AZ$62)="(EMPTY)"))&gt;0,IFERROR(('Final Calculation Sheet'!$G$24)&amp;"","")="",ISNUMBER(SEARCH($AS$62:$AZ$62,IFERROR(('Final Calculation Sheet'!$G$24)&amp;"","")))))&gt;0),IF(COUNTIF($BI$62:$BP$62,3)=0,TRUE,SUMPRODUCT(($BI$62:$BP$62=3)*($AS$62:$AZ$62&lt;&gt;"")*IF(((UPPER($AS$62:$AZ$62)="BLANK")+(UPPER($AS$62:$AZ$62)="(BLANK)")+(UPPER($AS$62:$AZ$62)="EMPTY")+(UPPER($AS$62:$AZ$62)="(EMPTY)"))&gt;0,IFERROR(('Final Calculation Sheet'!$G$24)&amp;"","")="",ISNUMBER(SEARCH($AS$62:$AZ$62,IFERROR(('Final Calculation Sheet'!$G$24)&amp;"","")))))&gt;0),IF(COUNTIF($BI$62:$BP$62,4)=0,TRUE,SUMPRODUCT(($BI$62:$BP$62=4)*($AS$62:$AZ$62&lt;&gt;"")*IF(((UPPER($AS$62:$AZ$62)="BLANK")+(UPPER($AS$62:$AZ$62)="(BLANK)")+(UPPER($AS$62:$AZ$62)="EMPTY")+(UPPER($AS$62:$AZ$62)="(EMPTY)"))&gt;0,IFERROR(('Final Calculation Sheet'!$G$24)&amp;"","")="",ISNUMBER(SEARCH($AS$62:$AZ$62,IFERROR(('Final Calculation Sheet'!$G$24)&amp;"","")))))&gt;0),IF(COUNTIF($BI$62:$BP$62,5)=0,TRUE,SUMPRODUCT(($BI$62:$BP$62=5)*($AS$62:$AZ$62&lt;&gt;"")*IF(((UPPER($AS$62:$AZ$62)="BLANK")+(UPPER($AS$62:$AZ$62)="(BLANK)")+(UPPER($AS$62:$AZ$62)="EMPTY")+(UPPER($AS$62:$AZ$62)="(EMPTY)"))&gt;0,IFERROR(('Final Calculation Sheet'!$G$24)&amp;"","")="",ISNUMBER(SEARCH($AS$62:$AZ$62,IFERROR(('Final Calculation Sheet'!$G$24)&amp;"","")))))&gt;0),IF(COUNTIF($BI$62:$BP$62,6)=0,TRUE,SUMPRODUCT(($BI$62:$BP$62=6)*($AS$62:$AZ$62&lt;&gt;"")*IF(((UPPER($AS$62:$AZ$62)="BLANK")+(UPPER($AS$62:$AZ$62)="(BLANK)")+(UPPER($AS$62:$AZ$62)="EMPTY")+(UPPER($AS$62:$AZ$62)="(EMPTY)"))&gt;0,IFERROR(('Final Calculation Sheet'!$G$24)&amp;"","")="",ISNUMBER(SEARCH($AS$62:$AZ$62,IFERROR(('Final Calculation Sheet'!$G$24)&amp;"","")))))&gt;0),IF(COUNTIF($BI$62:$BP$62,7)=0,TRUE,SUMPRODUCT(($BI$62:$BP$62=7)*($AS$62:$AZ$62&lt;&gt;"")*IF(((UPPER($AS$62:$AZ$62)="BLANK")+(UPPER($AS$62:$AZ$62)="(BLANK)")+(UPPER($AS$62:$AZ$62)="EMPTY")+(UPPER($AS$62:$AZ$62)="(EMPTY)"))&gt;0,IFERROR(('Final Calculation Sheet'!$G$24)&amp;"","")="",ISNUMBER(SEARCH($AS$62:$AZ$62,IFERROR(('Final Calculation Sheet'!$G$24)&amp;"","")))))&gt;0),IF(COUNTIF($BI$62:$BP$62,8)=0,TRUE,SUMPRODUCT(($BI$62:$BP$62=8)*($AS$62:$AZ$62&lt;&gt;"")*IF(((UPPER($AS$62:$AZ$62)="BLANK")+(UPPER($AS$62:$AZ$62)="(BLANK)")+(UPPER($AS$62:$AZ$62)="EMPTY")+(UPPER($AS$62:$AZ$62)="(EMPTY)"))&gt;0,IFERROR(('Final Calculation Sheet'!$G$24)&amp;"","")="",ISNUMBER(SEARCH($AS$62:$AZ$62,IFERROR(('Final Calculation Sheet'!$G$24)&amp;"","")))))&gt;0))))</f>
        <v>1</v>
      </c>
      <c r="BP25">
        <f>IF($D$4="",1,--(AND(SUMPRODUCT(--($AS$63:$AZ$63&lt;&gt;""))&gt;0,IF(COUNTIF($BI$63:$BP$63,1)=0,TRUE,SUMPRODUCT(($BI$63:$BP$63=1)*($AS$63:$AZ$63&lt;&gt;"")*IF(((UPPER($AS$63:$AZ$63)="BLANK")+(UPPER($AS$63:$AZ$63)="(BLANK)")+(UPPER($AS$63:$AZ$63)="EMPTY")+(UPPER($AS$63:$AZ$63)="(EMPTY)"))&gt;0,IFERROR(('Final Calculation Sheet'!$B$24)&amp;"","")="",ISNUMBER(SEARCH($AS$63:$AZ$63,IFERROR(('Final Calculation Sheet'!$B$24)&amp;"","")))))&gt;0),IF(COUNTIF($BI$63:$BP$63,2)=0,TRUE,SUMPRODUCT(($BI$63:$BP$63=2)*($AS$63:$AZ$63&lt;&gt;"")*IF(((UPPER($AS$63:$AZ$63)="BLANK")+(UPPER($AS$63:$AZ$63)="(BLANK)")+(UPPER($AS$63:$AZ$63)="EMPTY")+(UPPER($AS$63:$AZ$63)="(EMPTY)"))&gt;0,IFERROR(('Final Calculation Sheet'!$B$24)&amp;"","")="",ISNUMBER(SEARCH($AS$63:$AZ$63,IFERROR(('Final Calculation Sheet'!$B$24)&amp;"","")))))&gt;0),IF(COUNTIF($BI$63:$BP$63,3)=0,TRUE,SUMPRODUCT(($BI$63:$BP$63=3)*($AS$63:$AZ$63&lt;&gt;"")*IF(((UPPER($AS$63:$AZ$63)="BLANK")+(UPPER($AS$63:$AZ$63)="(BLANK)")+(UPPER($AS$63:$AZ$63)="EMPTY")+(UPPER($AS$63:$AZ$63)="(EMPTY)"))&gt;0,IFERROR(('Final Calculation Sheet'!$B$24)&amp;"","")="",ISNUMBER(SEARCH($AS$63:$AZ$63,IFERROR(('Final Calculation Sheet'!$B$24)&amp;"","")))))&gt;0),IF(COUNTIF($BI$63:$BP$63,4)=0,TRUE,SUMPRODUCT(($BI$63:$BP$63=4)*($AS$63:$AZ$63&lt;&gt;"")*IF(((UPPER($AS$63:$AZ$63)="BLANK")+(UPPER($AS$63:$AZ$63)="(BLANK)")+(UPPER($AS$63:$AZ$63)="EMPTY")+(UPPER($AS$63:$AZ$63)="(EMPTY)"))&gt;0,IFERROR(('Final Calculation Sheet'!$B$24)&amp;"","")="",ISNUMBER(SEARCH($AS$63:$AZ$63,IFERROR(('Final Calculation Sheet'!$B$24)&amp;"","")))))&gt;0),IF(COUNTIF($BI$63:$BP$63,5)=0,TRUE,SUMPRODUCT(($BI$63:$BP$63=5)*($AS$63:$AZ$63&lt;&gt;"")*IF(((UPPER($AS$63:$AZ$63)="BLANK")+(UPPER($AS$63:$AZ$63)="(BLANK)")+(UPPER($AS$63:$AZ$63)="EMPTY")+(UPPER($AS$63:$AZ$63)="(EMPTY)"))&gt;0,IFERROR(('Final Calculation Sheet'!$B$24)&amp;"","")="",ISNUMBER(SEARCH($AS$63:$AZ$63,IFERROR(('Final Calculation Sheet'!$B$24)&amp;"","")))))&gt;0),IF(COUNTIF($BI$63:$BP$63,6)=0,TRUE,SUMPRODUCT(($BI$63:$BP$63=6)*($AS$63:$AZ$63&lt;&gt;"")*IF(((UPPER($AS$63:$AZ$63)="BLANK")+(UPPER($AS$63:$AZ$63)="(BLANK)")+(UPPER($AS$63:$AZ$63)="EMPTY")+(UPPER($AS$63:$AZ$63)="(EMPTY)"))&gt;0,IFERROR(('Final Calculation Sheet'!$B$24)&amp;"","")="",ISNUMBER(SEARCH($AS$63:$AZ$63,IFERROR(('Final Calculation Sheet'!$B$24)&amp;"","")))))&gt;0),IF(COUNTIF($BI$63:$BP$63,7)=0,TRUE,SUMPRODUCT(($BI$63:$BP$63=7)*($AS$63:$AZ$63&lt;&gt;"")*IF(((UPPER($AS$63:$AZ$63)="BLANK")+(UPPER($AS$63:$AZ$63)="(BLANK)")+(UPPER($AS$63:$AZ$63)="EMPTY")+(UPPER($AS$63:$AZ$63)="(EMPTY)"))&gt;0,IFERROR(('Final Calculation Sheet'!$B$24)&amp;"","")="",ISNUMBER(SEARCH($AS$63:$AZ$63,IFERROR(('Final Calculation Sheet'!$B$24)&amp;"","")))))&gt;0),IF(COUNTIF($BI$63:$BP$63,8)=0,TRUE,SUMPRODUCT(($BI$63:$BP$63=8)*($AS$63:$AZ$63&lt;&gt;"")*IF(((UPPER($AS$63:$AZ$63)="BLANK")+(UPPER($AS$63:$AZ$63)="(BLANK)")+(UPPER($AS$63:$AZ$63)="EMPTY")+(UPPER($AS$63:$AZ$63)="(EMPTY)"))&gt;0,IFERROR(('Final Calculation Sheet'!$B$24)&amp;"","")="",ISNUMBER(SEARCH($AS$63:$AZ$63,IFERROR(('Final Calculation Sheet'!$B$24)&amp;"","")))))&gt;0))))</f>
        <v>1</v>
      </c>
      <c r="BQ25">
        <f>IF($E$4="",1,--(AND(SUMPRODUCT(--($AS$64:$AZ$64&lt;&gt;""))&gt;0,IF(COUNTIF($BI$64:$BP$64,1)=0,TRUE,SUMPRODUCT(($BI$64:$BP$64=1)*($AS$64:$AZ$64&lt;&gt;"")*IF(((UPPER($AS$64:$AZ$64)="BLANK")+(UPPER($AS$64:$AZ$64)="(BLANK)")+(UPPER($AS$64:$AZ$64)="EMPTY")+(UPPER($AS$64:$AZ$64)="(EMPTY)"))&gt;0,IFERROR(('Final Calculation Sheet'!$D$24)&amp;"","")="",ISNUMBER(SEARCH($AS$64:$AZ$64,IFERROR(('Final Calculation Sheet'!$D$24)&amp;"","")))))&gt;0),IF(COUNTIF($BI$64:$BP$64,2)=0,TRUE,SUMPRODUCT(($BI$64:$BP$64=2)*($AS$64:$AZ$64&lt;&gt;"")*IF(((UPPER($AS$64:$AZ$64)="BLANK")+(UPPER($AS$64:$AZ$64)="(BLANK)")+(UPPER($AS$64:$AZ$64)="EMPTY")+(UPPER($AS$64:$AZ$64)="(EMPTY)"))&gt;0,IFERROR(('Final Calculation Sheet'!$D$24)&amp;"","")="",ISNUMBER(SEARCH($AS$64:$AZ$64,IFERROR(('Final Calculation Sheet'!$D$24)&amp;"","")))))&gt;0),IF(COUNTIF($BI$64:$BP$64,3)=0,TRUE,SUMPRODUCT(($BI$64:$BP$64=3)*($AS$64:$AZ$64&lt;&gt;"")*IF(((UPPER($AS$64:$AZ$64)="BLANK")+(UPPER($AS$64:$AZ$64)="(BLANK)")+(UPPER($AS$64:$AZ$64)="EMPTY")+(UPPER($AS$64:$AZ$64)="(EMPTY)"))&gt;0,IFERROR(('Final Calculation Sheet'!$D$24)&amp;"","")="",ISNUMBER(SEARCH($AS$64:$AZ$64,IFERROR(('Final Calculation Sheet'!$D$24)&amp;"","")))))&gt;0),IF(COUNTIF($BI$64:$BP$64,4)=0,TRUE,SUMPRODUCT(($BI$64:$BP$64=4)*($AS$64:$AZ$64&lt;&gt;"")*IF(((UPPER($AS$64:$AZ$64)="BLANK")+(UPPER($AS$64:$AZ$64)="(BLANK)")+(UPPER($AS$64:$AZ$64)="EMPTY")+(UPPER($AS$64:$AZ$64)="(EMPTY)"))&gt;0,IFERROR(('Final Calculation Sheet'!$D$24)&amp;"","")="",ISNUMBER(SEARCH($AS$64:$AZ$64,IFERROR(('Final Calculation Sheet'!$D$24)&amp;"","")))))&gt;0),IF(COUNTIF($BI$64:$BP$64,5)=0,TRUE,SUMPRODUCT(($BI$64:$BP$64=5)*($AS$64:$AZ$64&lt;&gt;"")*IF(((UPPER($AS$64:$AZ$64)="BLANK")+(UPPER($AS$64:$AZ$64)="(BLANK)")+(UPPER($AS$64:$AZ$64)="EMPTY")+(UPPER($AS$64:$AZ$64)="(EMPTY)"))&gt;0,IFERROR(('Final Calculation Sheet'!$D$24)&amp;"","")="",ISNUMBER(SEARCH($AS$64:$AZ$64,IFERROR(('Final Calculation Sheet'!$D$24)&amp;"","")))))&gt;0),IF(COUNTIF($BI$64:$BP$64,6)=0,TRUE,SUMPRODUCT(($BI$64:$BP$64=6)*($AS$64:$AZ$64&lt;&gt;"")*IF(((UPPER($AS$64:$AZ$64)="BLANK")+(UPPER($AS$64:$AZ$64)="(BLANK)")+(UPPER($AS$64:$AZ$64)="EMPTY")+(UPPER($AS$64:$AZ$64)="(EMPTY)"))&gt;0,IFERROR(('Final Calculation Sheet'!$D$24)&amp;"","")="",ISNUMBER(SEARCH($AS$64:$AZ$64,IFERROR(('Final Calculation Sheet'!$D$24)&amp;"","")))))&gt;0),IF(COUNTIF($BI$64:$BP$64,7)=0,TRUE,SUMPRODUCT(($BI$64:$BP$64=7)*($AS$64:$AZ$64&lt;&gt;"")*IF(((UPPER($AS$64:$AZ$64)="BLANK")+(UPPER($AS$64:$AZ$64)="(BLANK)")+(UPPER($AS$64:$AZ$64)="EMPTY")+(UPPER($AS$64:$AZ$64)="(EMPTY)"))&gt;0,IFERROR(('Final Calculation Sheet'!$D$24)&amp;"","")="",ISNUMBER(SEARCH($AS$64:$AZ$64,IFERROR(('Final Calculation Sheet'!$D$24)&amp;"","")))))&gt;0),IF(COUNTIF($BI$64:$BP$64,8)=0,TRUE,SUMPRODUCT(($BI$64:$BP$64=8)*($AS$64:$AZ$64&lt;&gt;"")*IF(((UPPER($AS$64:$AZ$64)="BLANK")+(UPPER($AS$64:$AZ$64)="(BLANK)")+(UPPER($AS$64:$AZ$64)="EMPTY")+(UPPER($AS$64:$AZ$64)="(EMPTY)"))&gt;0,IFERROR(('Final Calculation Sheet'!$D$24)&amp;"","")="",ISNUMBER(SEARCH($AS$64:$AZ$64,IFERROR(('Final Calculation Sheet'!$D$24)&amp;"","")))))&gt;0))))</f>
        <v>1</v>
      </c>
      <c r="BR25">
        <f>IF($F$4="",1,--(AND(SUMPRODUCT(--($AS$65:$AZ$65&lt;&gt;""))&gt;0,IF(COUNTIF($BI$65:$BP$65,1)=0,TRUE,SUMPRODUCT(($BI$65:$BP$65=1)*($AS$65:$AZ$65&lt;&gt;"")*IF(((UPPER($AS$65:$AZ$65)="BLANK")+(UPPER($AS$65:$AZ$65)="(BLANK)")+(UPPER($AS$65:$AZ$65)="EMPTY")+(UPPER($AS$65:$AZ$65)="(EMPTY)"))&gt;0,IFERROR(('Final Calculation Sheet'!$A$24)&amp;"","")="",ISNUMBER(SEARCH($AS$65:$AZ$65,IFERROR(('Final Calculation Sheet'!$A$24)&amp;"","")))))&gt;0),IF(COUNTIF($BI$65:$BP$65,2)=0,TRUE,SUMPRODUCT(($BI$65:$BP$65=2)*($AS$65:$AZ$65&lt;&gt;"")*IF(((UPPER($AS$65:$AZ$65)="BLANK")+(UPPER($AS$65:$AZ$65)="(BLANK)")+(UPPER($AS$65:$AZ$65)="EMPTY")+(UPPER($AS$65:$AZ$65)="(EMPTY)"))&gt;0,IFERROR(('Final Calculation Sheet'!$A$24)&amp;"","")="",ISNUMBER(SEARCH($AS$65:$AZ$65,IFERROR(('Final Calculation Sheet'!$A$24)&amp;"","")))))&gt;0),IF(COUNTIF($BI$65:$BP$65,3)=0,TRUE,SUMPRODUCT(($BI$65:$BP$65=3)*($AS$65:$AZ$65&lt;&gt;"")*IF(((UPPER($AS$65:$AZ$65)="BLANK")+(UPPER($AS$65:$AZ$65)="(BLANK)")+(UPPER($AS$65:$AZ$65)="EMPTY")+(UPPER($AS$65:$AZ$65)="(EMPTY)"))&gt;0,IFERROR(('Final Calculation Sheet'!$A$24)&amp;"","")="",ISNUMBER(SEARCH($AS$65:$AZ$65,IFERROR(('Final Calculation Sheet'!$A$24)&amp;"","")))))&gt;0),IF(COUNTIF($BI$65:$BP$65,4)=0,TRUE,SUMPRODUCT(($BI$65:$BP$65=4)*($AS$65:$AZ$65&lt;&gt;"")*IF(((UPPER($AS$65:$AZ$65)="BLANK")+(UPPER($AS$65:$AZ$65)="(BLANK)")+(UPPER($AS$65:$AZ$65)="EMPTY")+(UPPER($AS$65:$AZ$65)="(EMPTY)"))&gt;0,IFERROR(('Final Calculation Sheet'!$A$24)&amp;"","")="",ISNUMBER(SEARCH($AS$65:$AZ$65,IFERROR(('Final Calculation Sheet'!$A$24)&amp;"","")))))&gt;0),IF(COUNTIF($BI$65:$BP$65,5)=0,TRUE,SUMPRODUCT(($BI$65:$BP$65=5)*($AS$65:$AZ$65&lt;&gt;"")*IF(((UPPER($AS$65:$AZ$65)="BLANK")+(UPPER($AS$65:$AZ$65)="(BLANK)")+(UPPER($AS$65:$AZ$65)="EMPTY")+(UPPER($AS$65:$AZ$65)="(EMPTY)"))&gt;0,IFERROR(('Final Calculation Sheet'!$A$24)&amp;"","")="",ISNUMBER(SEARCH($AS$65:$AZ$65,IFERROR(('Final Calculation Sheet'!$A$24)&amp;"","")))))&gt;0),IF(COUNTIF($BI$65:$BP$65,6)=0,TRUE,SUMPRODUCT(($BI$65:$BP$65=6)*($AS$65:$AZ$65&lt;&gt;"")*IF(((UPPER($AS$65:$AZ$65)="BLANK")+(UPPER($AS$65:$AZ$65)="(BLANK)")+(UPPER($AS$65:$AZ$65)="EMPTY")+(UPPER($AS$65:$AZ$65)="(EMPTY)"))&gt;0,IFERROR(('Final Calculation Sheet'!$A$24)&amp;"","")="",ISNUMBER(SEARCH($AS$65:$AZ$65,IFERROR(('Final Calculation Sheet'!$A$24)&amp;"","")))))&gt;0),IF(COUNTIF($BI$65:$BP$65,7)=0,TRUE,SUMPRODUCT(($BI$65:$BP$65=7)*($AS$65:$AZ$65&lt;&gt;"")*IF(((UPPER($AS$65:$AZ$65)="BLANK")+(UPPER($AS$65:$AZ$65)="(BLANK)")+(UPPER($AS$65:$AZ$65)="EMPTY")+(UPPER($AS$65:$AZ$65)="(EMPTY)"))&gt;0,IFERROR(('Final Calculation Sheet'!$A$24)&amp;"","")="",ISNUMBER(SEARCH($AS$65:$AZ$65,IFERROR(('Final Calculation Sheet'!$A$24)&amp;"","")))))&gt;0),IF(COUNTIF($BI$65:$BP$65,8)=0,TRUE,SUMPRODUCT(($BI$65:$BP$65=8)*($AS$65:$AZ$65&lt;&gt;"")*IF(((UPPER($AS$65:$AZ$65)="BLANK")+(UPPER($AS$65:$AZ$65)="(BLANK)")+(UPPER($AS$65:$AZ$65)="EMPTY")+(UPPER($AS$65:$AZ$65)="(EMPTY)"))&gt;0,IFERROR(('Final Calculation Sheet'!$A$24)&amp;"","")="",ISNUMBER(SEARCH($AS$65:$AZ$65,IFERROR(('Final Calculation Sheet'!$A$24)&amp;"","")))))&gt;0))))</f>
        <v>1</v>
      </c>
      <c r="BS25">
        <f>IF($G$4="",1,--(AND(SUMPRODUCT(--($AS$66:$AZ$66&lt;&gt;""))&gt;0,IF(COUNTIF($BI$66:$BP$66,1)=0,TRUE,SUMPRODUCT(($BI$66:$BP$66=1)*($AS$66:$AZ$66&lt;&gt;"")*IF(((UPPER($AS$66:$AZ$66)="BLANK")+(UPPER($AS$66:$AZ$66)="(BLANK)")+(UPPER($AS$66:$AZ$66)="EMPTY")+(UPPER($AS$66:$AZ$66)="(EMPTY)"))&gt;0,IFERROR(('Final Calculation Sheet'!$E$24)&amp;"","")="",ISNUMBER(SEARCH($AS$66:$AZ$66,IFERROR(('Final Calculation Sheet'!$E$24)&amp;"","")))))&gt;0),IF(COUNTIF($BI$66:$BP$66,2)=0,TRUE,SUMPRODUCT(($BI$66:$BP$66=2)*($AS$66:$AZ$66&lt;&gt;"")*IF(((UPPER($AS$66:$AZ$66)="BLANK")+(UPPER($AS$66:$AZ$66)="(BLANK)")+(UPPER($AS$66:$AZ$66)="EMPTY")+(UPPER($AS$66:$AZ$66)="(EMPTY)"))&gt;0,IFERROR(('Final Calculation Sheet'!$E$24)&amp;"","")="",ISNUMBER(SEARCH($AS$66:$AZ$66,IFERROR(('Final Calculation Sheet'!$E$24)&amp;"","")))))&gt;0),IF(COUNTIF($BI$66:$BP$66,3)=0,TRUE,SUMPRODUCT(($BI$66:$BP$66=3)*($AS$66:$AZ$66&lt;&gt;"")*IF(((UPPER($AS$66:$AZ$66)="BLANK")+(UPPER($AS$66:$AZ$66)="(BLANK)")+(UPPER($AS$66:$AZ$66)="EMPTY")+(UPPER($AS$66:$AZ$66)="(EMPTY)"))&gt;0,IFERROR(('Final Calculation Sheet'!$E$24)&amp;"","")="",ISNUMBER(SEARCH($AS$66:$AZ$66,IFERROR(('Final Calculation Sheet'!$E$24)&amp;"","")))))&gt;0),IF(COUNTIF($BI$66:$BP$66,4)=0,TRUE,SUMPRODUCT(($BI$66:$BP$66=4)*($AS$66:$AZ$66&lt;&gt;"")*IF(((UPPER($AS$66:$AZ$66)="BLANK")+(UPPER($AS$66:$AZ$66)="(BLANK)")+(UPPER($AS$66:$AZ$66)="EMPTY")+(UPPER($AS$66:$AZ$66)="(EMPTY)"))&gt;0,IFERROR(('Final Calculation Sheet'!$E$24)&amp;"","")="",ISNUMBER(SEARCH($AS$66:$AZ$66,IFERROR(('Final Calculation Sheet'!$E$24)&amp;"","")))))&gt;0),IF(COUNTIF($BI$66:$BP$66,5)=0,TRUE,SUMPRODUCT(($BI$66:$BP$66=5)*($AS$66:$AZ$66&lt;&gt;"")*IF(((UPPER($AS$66:$AZ$66)="BLANK")+(UPPER($AS$66:$AZ$66)="(BLANK)")+(UPPER($AS$66:$AZ$66)="EMPTY")+(UPPER($AS$66:$AZ$66)="(EMPTY)"))&gt;0,IFERROR(('Final Calculation Sheet'!$E$24)&amp;"","")="",ISNUMBER(SEARCH($AS$66:$AZ$66,IFERROR(('Final Calculation Sheet'!$E$24)&amp;"","")))))&gt;0),IF(COUNTIF($BI$66:$BP$66,6)=0,TRUE,SUMPRODUCT(($BI$66:$BP$66=6)*($AS$66:$AZ$66&lt;&gt;"")*IF(((UPPER($AS$66:$AZ$66)="BLANK")+(UPPER($AS$66:$AZ$66)="(BLANK)")+(UPPER($AS$66:$AZ$66)="EMPTY")+(UPPER($AS$66:$AZ$66)="(EMPTY)"))&gt;0,IFERROR(('Final Calculation Sheet'!$E$24)&amp;"","")="",ISNUMBER(SEARCH($AS$66:$AZ$66,IFERROR(('Final Calculation Sheet'!$E$24)&amp;"","")))))&gt;0),IF(COUNTIF($BI$66:$BP$66,7)=0,TRUE,SUMPRODUCT(($BI$66:$BP$66=7)*($AS$66:$AZ$66&lt;&gt;"")*IF(((UPPER($AS$66:$AZ$66)="BLANK")+(UPPER($AS$66:$AZ$66)="(BLANK)")+(UPPER($AS$66:$AZ$66)="EMPTY")+(UPPER($AS$66:$AZ$66)="(EMPTY)"))&gt;0,IFERROR(('Final Calculation Sheet'!$E$24)&amp;"","")="",ISNUMBER(SEARCH($AS$66:$AZ$66,IFERROR(('Final Calculation Sheet'!$E$24)&amp;"","")))))&gt;0),IF(COUNTIF($BI$66:$BP$66,8)=0,TRUE,SUMPRODUCT(($BI$66:$BP$66=8)*($AS$66:$AZ$66&lt;&gt;"")*IF(((UPPER($AS$66:$AZ$66)="BLANK")+(UPPER($AS$66:$AZ$66)="(BLANK)")+(UPPER($AS$66:$AZ$66)="EMPTY")+(UPPER($AS$66:$AZ$66)="(EMPTY)"))&gt;0,IFERROR(('Final Calculation Sheet'!$E$24)&amp;"","")="",ISNUMBER(SEARCH($AS$66:$AZ$66,IFERROR(('Final Calculation Sheet'!$E$24)&amp;"","")))))&gt;0))))</f>
        <v>1</v>
      </c>
      <c r="BT25">
        <f>IF($H$4="",1,--(AND(SUMPRODUCT(--($AS$67:$AZ$67&lt;&gt;""))&gt;0,IF(COUNTIF($BI$67:$BP$67,1)=0,TRUE,SUMPRODUCT(($BI$67:$BP$67=1)*($AS$67:$AZ$67&lt;&gt;"")*IF(((UPPER($AS$67:$AZ$67)="BLANK")+(UPPER($AS$67:$AZ$67)="(BLANK)")+(UPPER($AS$67:$AZ$67)="EMPTY")+(UPPER($AS$67:$AZ$67)="(EMPTY)"))&gt;0,IFERROR(('Final Calculation Sheet'!$C$24)&amp;"","")="",ISNUMBER(SEARCH($AS$67:$AZ$67,IFERROR(('Final Calculation Sheet'!$C$24)&amp;"","")))))&gt;0),IF(COUNTIF($BI$67:$BP$67,2)=0,TRUE,SUMPRODUCT(($BI$67:$BP$67=2)*($AS$67:$AZ$67&lt;&gt;"")*IF(((UPPER($AS$67:$AZ$67)="BLANK")+(UPPER($AS$67:$AZ$67)="(BLANK)")+(UPPER($AS$67:$AZ$67)="EMPTY")+(UPPER($AS$67:$AZ$67)="(EMPTY)"))&gt;0,IFERROR(('Final Calculation Sheet'!$C$24)&amp;"","")="",ISNUMBER(SEARCH($AS$67:$AZ$67,IFERROR(('Final Calculation Sheet'!$C$24)&amp;"","")))))&gt;0),IF(COUNTIF($BI$67:$BP$67,3)=0,TRUE,SUMPRODUCT(($BI$67:$BP$67=3)*($AS$67:$AZ$67&lt;&gt;"")*IF(((UPPER($AS$67:$AZ$67)="BLANK")+(UPPER($AS$67:$AZ$67)="(BLANK)")+(UPPER($AS$67:$AZ$67)="EMPTY")+(UPPER($AS$67:$AZ$67)="(EMPTY)"))&gt;0,IFERROR(('Final Calculation Sheet'!$C$24)&amp;"","")="",ISNUMBER(SEARCH($AS$67:$AZ$67,IFERROR(('Final Calculation Sheet'!$C$24)&amp;"","")))))&gt;0),IF(COUNTIF($BI$67:$BP$67,4)=0,TRUE,SUMPRODUCT(($BI$67:$BP$67=4)*($AS$67:$AZ$67&lt;&gt;"")*IF(((UPPER($AS$67:$AZ$67)="BLANK")+(UPPER($AS$67:$AZ$67)="(BLANK)")+(UPPER($AS$67:$AZ$67)="EMPTY")+(UPPER($AS$67:$AZ$67)="(EMPTY)"))&gt;0,IFERROR(('Final Calculation Sheet'!$C$24)&amp;"","")="",ISNUMBER(SEARCH($AS$67:$AZ$67,IFERROR(('Final Calculation Sheet'!$C$24)&amp;"","")))))&gt;0),IF(COUNTIF($BI$67:$BP$67,5)=0,TRUE,SUMPRODUCT(($BI$67:$BP$67=5)*($AS$67:$AZ$67&lt;&gt;"")*IF(((UPPER($AS$67:$AZ$67)="BLANK")+(UPPER($AS$67:$AZ$67)="(BLANK)")+(UPPER($AS$67:$AZ$67)="EMPTY")+(UPPER($AS$67:$AZ$67)="(EMPTY)"))&gt;0,IFERROR(('Final Calculation Sheet'!$C$24)&amp;"","")="",ISNUMBER(SEARCH($AS$67:$AZ$67,IFERROR(('Final Calculation Sheet'!$C$24)&amp;"","")))))&gt;0),IF(COUNTIF($BI$67:$BP$67,6)=0,TRUE,SUMPRODUCT(($BI$67:$BP$67=6)*($AS$67:$AZ$67&lt;&gt;"")*IF(((UPPER($AS$67:$AZ$67)="BLANK")+(UPPER($AS$67:$AZ$67)="(BLANK)")+(UPPER($AS$67:$AZ$67)="EMPTY")+(UPPER($AS$67:$AZ$67)="(EMPTY)"))&gt;0,IFERROR(('Final Calculation Sheet'!$C$24)&amp;"","")="",ISNUMBER(SEARCH($AS$67:$AZ$67,IFERROR(('Final Calculation Sheet'!$C$24)&amp;"","")))))&gt;0),IF(COUNTIF($BI$67:$BP$67,7)=0,TRUE,SUMPRODUCT(($BI$67:$BP$67=7)*($AS$67:$AZ$67&lt;&gt;"")*IF(((UPPER($AS$67:$AZ$67)="BLANK")+(UPPER($AS$67:$AZ$67)="(BLANK)")+(UPPER($AS$67:$AZ$67)="EMPTY")+(UPPER($AS$67:$AZ$67)="(EMPTY)"))&gt;0,IFERROR(('Final Calculation Sheet'!$C$24)&amp;"","")="",ISNUMBER(SEARCH($AS$67:$AZ$67,IFERROR(('Final Calculation Sheet'!$C$24)&amp;"","")))))&gt;0),IF(COUNTIF($BI$67:$BP$67,8)=0,TRUE,SUMPRODUCT(($BI$67:$BP$67=8)*($AS$67:$AZ$67&lt;&gt;"")*IF(((UPPER($AS$67:$AZ$67)="BLANK")+(UPPER($AS$67:$AZ$67)="(BLANK)")+(UPPER($AS$67:$AZ$67)="EMPTY")+(UPPER($AS$67:$AZ$67)="(EMPTY)"))&gt;0,IFERROR(('Final Calculation Sheet'!$C$24)&amp;"","")="",ISNUMBER(SEARCH($AS$67:$AZ$67,IFERROR(('Final Calculation Sheet'!$C$24)&amp;"","")))))&gt;0))))</f>
        <v>1</v>
      </c>
      <c r="BU25">
        <f>IF($I$4="",1,--(AND(SUMPRODUCT(--($AS$68:$AZ$68&lt;&gt;""))&gt;0,IF(COUNTIF($BI$68:$BP$68,1)=0,TRUE,SUMPRODUCT(($BI$68:$BP$68=1)*($AS$68:$AZ$68&lt;&gt;"")*IF(((UPPER($AS$68:$AZ$68)="BLANK")+(UPPER($AS$68:$AZ$68)="(BLANK)")+(UPPER($AS$68:$AZ$68)="EMPTY")+(UPPER($AS$68:$AZ$68)="(EMPTY)"))&gt;0,IFERROR(('Final Calculation Sheet'!$H$24)&amp;"","")="",ISNUMBER(SEARCH($AS$68:$AZ$68,IFERROR(('Final Calculation Sheet'!$H$24)&amp;"","")))))&gt;0),IF(COUNTIF($BI$68:$BP$68,2)=0,TRUE,SUMPRODUCT(($BI$68:$BP$68=2)*($AS$68:$AZ$68&lt;&gt;"")*IF(((UPPER($AS$68:$AZ$68)="BLANK")+(UPPER($AS$68:$AZ$68)="(BLANK)")+(UPPER($AS$68:$AZ$68)="EMPTY")+(UPPER($AS$68:$AZ$68)="(EMPTY)"))&gt;0,IFERROR(('Final Calculation Sheet'!$H$24)&amp;"","")="",ISNUMBER(SEARCH($AS$68:$AZ$68,IFERROR(('Final Calculation Sheet'!$H$24)&amp;"","")))))&gt;0),IF(COUNTIF($BI$68:$BP$68,3)=0,TRUE,SUMPRODUCT(($BI$68:$BP$68=3)*($AS$68:$AZ$68&lt;&gt;"")*IF(((UPPER($AS$68:$AZ$68)="BLANK")+(UPPER($AS$68:$AZ$68)="(BLANK)")+(UPPER($AS$68:$AZ$68)="EMPTY")+(UPPER($AS$68:$AZ$68)="(EMPTY)"))&gt;0,IFERROR(('Final Calculation Sheet'!$H$24)&amp;"","")="",ISNUMBER(SEARCH($AS$68:$AZ$68,IFERROR(('Final Calculation Sheet'!$H$24)&amp;"","")))))&gt;0),IF(COUNTIF($BI$68:$BP$68,4)=0,TRUE,SUMPRODUCT(($BI$68:$BP$68=4)*($AS$68:$AZ$68&lt;&gt;"")*IF(((UPPER($AS$68:$AZ$68)="BLANK")+(UPPER($AS$68:$AZ$68)="(BLANK)")+(UPPER($AS$68:$AZ$68)="EMPTY")+(UPPER($AS$68:$AZ$68)="(EMPTY)"))&gt;0,IFERROR(('Final Calculation Sheet'!$H$24)&amp;"","")="",ISNUMBER(SEARCH($AS$68:$AZ$68,IFERROR(('Final Calculation Sheet'!$H$24)&amp;"","")))))&gt;0),IF(COUNTIF($BI$68:$BP$68,5)=0,TRUE,SUMPRODUCT(($BI$68:$BP$68=5)*($AS$68:$AZ$68&lt;&gt;"")*IF(((UPPER($AS$68:$AZ$68)="BLANK")+(UPPER($AS$68:$AZ$68)="(BLANK)")+(UPPER($AS$68:$AZ$68)="EMPTY")+(UPPER($AS$68:$AZ$68)="(EMPTY)"))&gt;0,IFERROR(('Final Calculation Sheet'!$H$24)&amp;"","")="",ISNUMBER(SEARCH($AS$68:$AZ$68,IFERROR(('Final Calculation Sheet'!$H$24)&amp;"","")))))&gt;0),IF(COUNTIF($BI$68:$BP$68,6)=0,TRUE,SUMPRODUCT(($BI$68:$BP$68=6)*($AS$68:$AZ$68&lt;&gt;"")*IF(((UPPER($AS$68:$AZ$68)="BLANK")+(UPPER($AS$68:$AZ$68)="(BLANK)")+(UPPER($AS$68:$AZ$68)="EMPTY")+(UPPER($AS$68:$AZ$68)="(EMPTY)"))&gt;0,IFERROR(('Final Calculation Sheet'!$H$24)&amp;"","")="",ISNUMBER(SEARCH($AS$68:$AZ$68,IFERROR(('Final Calculation Sheet'!$H$24)&amp;"","")))))&gt;0),IF(COUNTIF($BI$68:$BP$68,7)=0,TRUE,SUMPRODUCT(($BI$68:$BP$68=7)*($AS$68:$AZ$68&lt;&gt;"")*IF(((UPPER($AS$68:$AZ$68)="BLANK")+(UPPER($AS$68:$AZ$68)="(BLANK)")+(UPPER($AS$68:$AZ$68)="EMPTY")+(UPPER($AS$68:$AZ$68)="(EMPTY)"))&gt;0,IFERROR(('Final Calculation Sheet'!$H$24)&amp;"","")="",ISNUMBER(SEARCH($AS$68:$AZ$68,IFERROR(('Final Calculation Sheet'!$H$24)&amp;"","")))))&gt;0),IF(COUNTIF($BI$68:$BP$68,8)=0,TRUE,SUMPRODUCT(($BI$68:$BP$68=8)*($AS$68:$AZ$68&lt;&gt;"")*IF(((UPPER($AS$68:$AZ$68)="BLANK")+(UPPER($AS$68:$AZ$68)="(BLANK)")+(UPPER($AS$68:$AZ$68)="EMPTY")+(UPPER($AS$68:$AZ$68)="(EMPTY)"))&gt;0,IFERROR(('Final Calculation Sheet'!$H$24)&amp;"","")="",ISNUMBER(SEARCH($AS$68:$AZ$68,IFERROR(('Final Calculation Sheet'!$H$24)&amp;"","")))))&gt;0))))</f>
        <v>1</v>
      </c>
      <c r="BV25">
        <f>IF($J$4="",1,--(AND(SUMPRODUCT(--($AS$69:$AZ$69&lt;&gt;""))&gt;0,IF(COUNTIF($BI$69:$BP$69,1)=0,TRUE,SUMPRODUCT(($BI$69:$BP$69=1)*($AS$69:$AZ$69&lt;&gt;"")*IF(((UPPER($AS$69:$AZ$69)="BLANK")+(UPPER($AS$69:$AZ$69)="(BLANK)")+(UPPER($AS$69:$AZ$69)="EMPTY")+(UPPER($AS$69:$AZ$69)="(EMPTY)"))&gt;0,IFERROR(('Final Calculation Sheet'!$I$24)&amp;"","")="",ISNUMBER(SEARCH($AS$69:$AZ$69,IFERROR(('Final Calculation Sheet'!$I$24)&amp;"","")))))&gt;0),IF(COUNTIF($BI$69:$BP$69,2)=0,TRUE,SUMPRODUCT(($BI$69:$BP$69=2)*($AS$69:$AZ$69&lt;&gt;"")*IF(((UPPER($AS$69:$AZ$69)="BLANK")+(UPPER($AS$69:$AZ$69)="(BLANK)")+(UPPER($AS$69:$AZ$69)="EMPTY")+(UPPER($AS$69:$AZ$69)="(EMPTY)"))&gt;0,IFERROR(('Final Calculation Sheet'!$I$24)&amp;"","")="",ISNUMBER(SEARCH($AS$69:$AZ$69,IFERROR(('Final Calculation Sheet'!$I$24)&amp;"","")))))&gt;0),IF(COUNTIF($BI$69:$BP$69,3)=0,TRUE,SUMPRODUCT(($BI$69:$BP$69=3)*($AS$69:$AZ$69&lt;&gt;"")*IF(((UPPER($AS$69:$AZ$69)="BLANK")+(UPPER($AS$69:$AZ$69)="(BLANK)")+(UPPER($AS$69:$AZ$69)="EMPTY")+(UPPER($AS$69:$AZ$69)="(EMPTY)"))&gt;0,IFERROR(('Final Calculation Sheet'!$I$24)&amp;"","")="",ISNUMBER(SEARCH($AS$69:$AZ$69,IFERROR(('Final Calculation Sheet'!$I$24)&amp;"","")))))&gt;0),IF(COUNTIF($BI$69:$BP$69,4)=0,TRUE,SUMPRODUCT(($BI$69:$BP$69=4)*($AS$69:$AZ$69&lt;&gt;"")*IF(((UPPER($AS$69:$AZ$69)="BLANK")+(UPPER($AS$69:$AZ$69)="(BLANK)")+(UPPER($AS$69:$AZ$69)="EMPTY")+(UPPER($AS$69:$AZ$69)="(EMPTY)"))&gt;0,IFERROR(('Final Calculation Sheet'!$I$24)&amp;"","")="",ISNUMBER(SEARCH($AS$69:$AZ$69,IFERROR(('Final Calculation Sheet'!$I$24)&amp;"","")))))&gt;0),IF(COUNTIF($BI$69:$BP$69,5)=0,TRUE,SUMPRODUCT(($BI$69:$BP$69=5)*($AS$69:$AZ$69&lt;&gt;"")*IF(((UPPER($AS$69:$AZ$69)="BLANK")+(UPPER($AS$69:$AZ$69)="(BLANK)")+(UPPER($AS$69:$AZ$69)="EMPTY")+(UPPER($AS$69:$AZ$69)="(EMPTY)"))&gt;0,IFERROR(('Final Calculation Sheet'!$I$24)&amp;"","")="",ISNUMBER(SEARCH($AS$69:$AZ$69,IFERROR(('Final Calculation Sheet'!$I$24)&amp;"","")))))&gt;0),IF(COUNTIF($BI$69:$BP$69,6)=0,TRUE,SUMPRODUCT(($BI$69:$BP$69=6)*($AS$69:$AZ$69&lt;&gt;"")*IF(((UPPER($AS$69:$AZ$69)="BLANK")+(UPPER($AS$69:$AZ$69)="(BLANK)")+(UPPER($AS$69:$AZ$69)="EMPTY")+(UPPER($AS$69:$AZ$69)="(EMPTY)"))&gt;0,IFERROR(('Final Calculation Sheet'!$I$24)&amp;"","")="",ISNUMBER(SEARCH($AS$69:$AZ$69,IFERROR(('Final Calculation Sheet'!$I$24)&amp;"","")))))&gt;0),IF(COUNTIF($BI$69:$BP$69,7)=0,TRUE,SUMPRODUCT(($BI$69:$BP$69=7)*($AS$69:$AZ$69&lt;&gt;"")*IF(((UPPER($AS$69:$AZ$69)="BLANK")+(UPPER($AS$69:$AZ$69)="(BLANK)")+(UPPER($AS$69:$AZ$69)="EMPTY")+(UPPER($AS$69:$AZ$69)="(EMPTY)"))&gt;0,IFERROR(('Final Calculation Sheet'!$I$24)&amp;"","")="",ISNUMBER(SEARCH($AS$69:$AZ$69,IFERROR(('Final Calculation Sheet'!$I$24)&amp;"","")))))&gt;0),IF(COUNTIF($BI$69:$BP$69,8)=0,TRUE,SUMPRODUCT(($BI$69:$BP$69=8)*($AS$69:$AZ$69&lt;&gt;"")*IF(((UPPER($AS$69:$AZ$69)="BLANK")+(UPPER($AS$69:$AZ$69)="(BLANK)")+(UPPER($AS$69:$AZ$69)="EMPTY")+(UPPER($AS$69:$AZ$69)="(EMPTY)"))&gt;0,IFERROR(('Final Calculation Sheet'!$I$24)&amp;"","")="",ISNUMBER(SEARCH($AS$69:$AZ$69,IFERROR(('Final Calculation Sheet'!$I$24)&amp;"","")))))&gt;0))))</f>
        <v>1</v>
      </c>
      <c r="BW25">
        <f>IF($K$4="",1,--(AND(SUMPRODUCT(--($AS$70:$AZ$70&lt;&gt;""))&gt;0,IF(COUNTIF($BI$70:$BP$70,1)=0,TRUE,SUMPRODUCT(($BI$70:$BP$70=1)*($AS$70:$AZ$70&lt;&gt;"")*IF(((UPPER($AS$70:$AZ$70)="BLANK")+(UPPER($AS$70:$AZ$70)="(BLANK)")+(UPPER($AS$70:$AZ$70)="EMPTY")+(UPPER($AS$70:$AZ$70)="(EMPTY)"))&gt;0,IFERROR(('Final Calculation Sheet'!$J$24)&amp;"","")="",ISNUMBER(SEARCH($AS$70:$AZ$70,IFERROR(('Final Calculation Sheet'!$J$24)&amp;"","")))))&gt;0),IF(COUNTIF($BI$70:$BP$70,2)=0,TRUE,SUMPRODUCT(($BI$70:$BP$70=2)*($AS$70:$AZ$70&lt;&gt;"")*IF(((UPPER($AS$70:$AZ$70)="BLANK")+(UPPER($AS$70:$AZ$70)="(BLANK)")+(UPPER($AS$70:$AZ$70)="EMPTY")+(UPPER($AS$70:$AZ$70)="(EMPTY)"))&gt;0,IFERROR(('Final Calculation Sheet'!$J$24)&amp;"","")="",ISNUMBER(SEARCH($AS$70:$AZ$70,IFERROR(('Final Calculation Sheet'!$J$24)&amp;"","")))))&gt;0),IF(COUNTIF($BI$70:$BP$70,3)=0,TRUE,SUMPRODUCT(($BI$70:$BP$70=3)*($AS$70:$AZ$70&lt;&gt;"")*IF(((UPPER($AS$70:$AZ$70)="BLANK")+(UPPER($AS$70:$AZ$70)="(BLANK)")+(UPPER($AS$70:$AZ$70)="EMPTY")+(UPPER($AS$70:$AZ$70)="(EMPTY)"))&gt;0,IFERROR(('Final Calculation Sheet'!$J$24)&amp;"","")="",ISNUMBER(SEARCH($AS$70:$AZ$70,IFERROR(('Final Calculation Sheet'!$J$24)&amp;"","")))))&gt;0),IF(COUNTIF($BI$70:$BP$70,4)=0,TRUE,SUMPRODUCT(($BI$70:$BP$70=4)*($AS$70:$AZ$70&lt;&gt;"")*IF(((UPPER($AS$70:$AZ$70)="BLANK")+(UPPER($AS$70:$AZ$70)="(BLANK)")+(UPPER($AS$70:$AZ$70)="EMPTY")+(UPPER($AS$70:$AZ$70)="(EMPTY)"))&gt;0,IFERROR(('Final Calculation Sheet'!$J$24)&amp;"","")="",ISNUMBER(SEARCH($AS$70:$AZ$70,IFERROR(('Final Calculation Sheet'!$J$24)&amp;"","")))))&gt;0),IF(COUNTIF($BI$70:$BP$70,5)=0,TRUE,SUMPRODUCT(($BI$70:$BP$70=5)*($AS$70:$AZ$70&lt;&gt;"")*IF(((UPPER($AS$70:$AZ$70)="BLANK")+(UPPER($AS$70:$AZ$70)="(BLANK)")+(UPPER($AS$70:$AZ$70)="EMPTY")+(UPPER($AS$70:$AZ$70)="(EMPTY)"))&gt;0,IFERROR(('Final Calculation Sheet'!$J$24)&amp;"","")="",ISNUMBER(SEARCH($AS$70:$AZ$70,IFERROR(('Final Calculation Sheet'!$J$24)&amp;"","")))))&gt;0),IF(COUNTIF($BI$70:$BP$70,6)=0,TRUE,SUMPRODUCT(($BI$70:$BP$70=6)*($AS$70:$AZ$70&lt;&gt;"")*IF(((UPPER($AS$70:$AZ$70)="BLANK")+(UPPER($AS$70:$AZ$70)="(BLANK)")+(UPPER($AS$70:$AZ$70)="EMPTY")+(UPPER($AS$70:$AZ$70)="(EMPTY)"))&gt;0,IFERROR(('Final Calculation Sheet'!$J$24)&amp;"","")="",ISNUMBER(SEARCH($AS$70:$AZ$70,IFERROR(('Final Calculation Sheet'!$J$24)&amp;"","")))))&gt;0),IF(COUNTIF($BI$70:$BP$70,7)=0,TRUE,SUMPRODUCT(($BI$70:$BP$70=7)*($AS$70:$AZ$70&lt;&gt;"")*IF(((UPPER($AS$70:$AZ$70)="BLANK")+(UPPER($AS$70:$AZ$70)="(BLANK)")+(UPPER($AS$70:$AZ$70)="EMPTY")+(UPPER($AS$70:$AZ$70)="(EMPTY)"))&gt;0,IFERROR(('Final Calculation Sheet'!$J$24)&amp;"","")="",ISNUMBER(SEARCH($AS$70:$AZ$70,IFERROR(('Final Calculation Sheet'!$J$24)&amp;"","")))))&gt;0),IF(COUNTIF($BI$70:$BP$70,8)=0,TRUE,SUMPRODUCT(($BI$70:$BP$70=8)*($AS$70:$AZ$70&lt;&gt;"")*IF(((UPPER($AS$70:$AZ$70)="BLANK")+(UPPER($AS$70:$AZ$70)="(BLANK)")+(UPPER($AS$70:$AZ$70)="EMPTY")+(UPPER($AS$70:$AZ$70)="(EMPTY)"))&gt;0,IFERROR(('Final Calculation Sheet'!$J$24)&amp;"","")="",ISNUMBER(SEARCH($AS$70:$AZ$70,IFERROR(('Final Calculation Sheet'!$J$24)&amp;"","")))))&gt;0))))</f>
        <v>1</v>
      </c>
      <c r="BX25">
        <f>IF($L$4="",1,--(AND(SUMPRODUCT(--($AS$71:$AZ$71&lt;&gt;""))&gt;0,IF(COUNTIF($BI$71:$BP$71,1)=0,TRUE,SUMPRODUCT(($BI$71:$BP$71=1)*($AS$71:$AZ$71&lt;&gt;"")*IF(((UPPER($AS$71:$AZ$71)="BLANK")+(UPPER($AS$71:$AZ$71)="(BLANK)")+(UPPER($AS$71:$AZ$71)="EMPTY")+(UPPER($AS$71:$AZ$71)="(EMPTY)"))&gt;0,IFERROR(('Final Calculation Sheet'!$K$24)&amp;"","")="",ISNUMBER(SEARCH($AS$71:$AZ$71,IFERROR(('Final Calculation Sheet'!$K$24)&amp;"","")))))&gt;0),IF(COUNTIF($BI$71:$BP$71,2)=0,TRUE,SUMPRODUCT(($BI$71:$BP$71=2)*($AS$71:$AZ$71&lt;&gt;"")*IF(((UPPER($AS$71:$AZ$71)="BLANK")+(UPPER($AS$71:$AZ$71)="(BLANK)")+(UPPER($AS$71:$AZ$71)="EMPTY")+(UPPER($AS$71:$AZ$71)="(EMPTY)"))&gt;0,IFERROR(('Final Calculation Sheet'!$K$24)&amp;"","")="",ISNUMBER(SEARCH($AS$71:$AZ$71,IFERROR(('Final Calculation Sheet'!$K$24)&amp;"","")))))&gt;0),IF(COUNTIF($BI$71:$BP$71,3)=0,TRUE,SUMPRODUCT(($BI$71:$BP$71=3)*($AS$71:$AZ$71&lt;&gt;"")*IF(((UPPER($AS$71:$AZ$71)="BLANK")+(UPPER($AS$71:$AZ$71)="(BLANK)")+(UPPER($AS$71:$AZ$71)="EMPTY")+(UPPER($AS$71:$AZ$71)="(EMPTY)"))&gt;0,IFERROR(('Final Calculation Sheet'!$K$24)&amp;"","")="",ISNUMBER(SEARCH($AS$71:$AZ$71,IFERROR(('Final Calculation Sheet'!$K$24)&amp;"","")))))&gt;0),IF(COUNTIF($BI$71:$BP$71,4)=0,TRUE,SUMPRODUCT(($BI$71:$BP$71=4)*($AS$71:$AZ$71&lt;&gt;"")*IF(((UPPER($AS$71:$AZ$71)="BLANK")+(UPPER($AS$71:$AZ$71)="(BLANK)")+(UPPER($AS$71:$AZ$71)="EMPTY")+(UPPER($AS$71:$AZ$71)="(EMPTY)"))&gt;0,IFERROR(('Final Calculation Sheet'!$K$24)&amp;"","")="",ISNUMBER(SEARCH($AS$71:$AZ$71,IFERROR(('Final Calculation Sheet'!$K$24)&amp;"","")))))&gt;0),IF(COUNTIF($BI$71:$BP$71,5)=0,TRUE,SUMPRODUCT(($BI$71:$BP$71=5)*($AS$71:$AZ$71&lt;&gt;"")*IF(((UPPER($AS$71:$AZ$71)="BLANK")+(UPPER($AS$71:$AZ$71)="(BLANK)")+(UPPER($AS$71:$AZ$71)="EMPTY")+(UPPER($AS$71:$AZ$71)="(EMPTY)"))&gt;0,IFERROR(('Final Calculation Sheet'!$K$24)&amp;"","")="",ISNUMBER(SEARCH($AS$71:$AZ$71,IFERROR(('Final Calculation Sheet'!$K$24)&amp;"","")))))&gt;0),IF(COUNTIF($BI$71:$BP$71,6)=0,TRUE,SUMPRODUCT(($BI$71:$BP$71=6)*($AS$71:$AZ$71&lt;&gt;"")*IF(((UPPER($AS$71:$AZ$71)="BLANK")+(UPPER($AS$71:$AZ$71)="(BLANK)")+(UPPER($AS$71:$AZ$71)="EMPTY")+(UPPER($AS$71:$AZ$71)="(EMPTY)"))&gt;0,IFERROR(('Final Calculation Sheet'!$K$24)&amp;"","")="",ISNUMBER(SEARCH($AS$71:$AZ$71,IFERROR(('Final Calculation Sheet'!$K$24)&amp;"","")))))&gt;0),IF(COUNTIF($BI$71:$BP$71,7)=0,TRUE,SUMPRODUCT(($BI$71:$BP$71=7)*($AS$71:$AZ$71&lt;&gt;"")*IF(((UPPER($AS$71:$AZ$71)="BLANK")+(UPPER($AS$71:$AZ$71)="(BLANK)")+(UPPER($AS$71:$AZ$71)="EMPTY")+(UPPER($AS$71:$AZ$71)="(EMPTY)"))&gt;0,IFERROR(('Final Calculation Sheet'!$K$24)&amp;"","")="",ISNUMBER(SEARCH($AS$71:$AZ$71,IFERROR(('Final Calculation Sheet'!$K$24)&amp;"","")))))&gt;0),IF(COUNTIF($BI$71:$BP$71,8)=0,TRUE,SUMPRODUCT(($BI$71:$BP$71=8)*($AS$71:$AZ$71&lt;&gt;"")*IF(((UPPER($AS$71:$AZ$71)="BLANK")+(UPPER($AS$71:$AZ$71)="(BLANK)")+(UPPER($AS$71:$AZ$71)="EMPTY")+(UPPER($AS$71:$AZ$71)="(EMPTY)"))&gt;0,IFERROR(('Final Calculation Sheet'!$K$24)&amp;"","")="",ISNUMBER(SEARCH($AS$71:$AZ$71,IFERROR(('Final Calculation Sheet'!$K$24)&amp;"","")))))&gt;0))))</f>
        <v>1</v>
      </c>
      <c r="BY25">
        <f>IF($M$4="",1,--(AND(SUMPRODUCT(--($AS$72:$AZ$72&lt;&gt;""))&gt;0,IF(COUNTIF($BI$72:$BP$72,1)=0,TRUE,SUMPRODUCT(($BI$72:$BP$72=1)*($AS$72:$AZ$72&lt;&gt;"")*IF(((UPPER($AS$72:$AZ$72)="BLANK")+(UPPER($AS$72:$AZ$72)="(BLANK)")+(UPPER($AS$72:$AZ$72)="EMPTY")+(UPPER($AS$72:$AZ$72)="(EMPTY)"))&gt;0,IFERROR(('Final Calculation Sheet'!$L$24)&amp;"","")="",ISNUMBER(SEARCH($AS$72:$AZ$72,IFERROR(('Final Calculation Sheet'!$L$24)&amp;"","")))))&gt;0),IF(COUNTIF($BI$72:$BP$72,2)=0,TRUE,SUMPRODUCT(($BI$72:$BP$72=2)*($AS$72:$AZ$72&lt;&gt;"")*IF(((UPPER($AS$72:$AZ$72)="BLANK")+(UPPER($AS$72:$AZ$72)="(BLANK)")+(UPPER($AS$72:$AZ$72)="EMPTY")+(UPPER($AS$72:$AZ$72)="(EMPTY)"))&gt;0,IFERROR(('Final Calculation Sheet'!$L$24)&amp;"","")="",ISNUMBER(SEARCH($AS$72:$AZ$72,IFERROR(('Final Calculation Sheet'!$L$24)&amp;"","")))))&gt;0),IF(COUNTIF($BI$72:$BP$72,3)=0,TRUE,SUMPRODUCT(($BI$72:$BP$72=3)*($AS$72:$AZ$72&lt;&gt;"")*IF(((UPPER($AS$72:$AZ$72)="BLANK")+(UPPER($AS$72:$AZ$72)="(BLANK)")+(UPPER($AS$72:$AZ$72)="EMPTY")+(UPPER($AS$72:$AZ$72)="(EMPTY)"))&gt;0,IFERROR(('Final Calculation Sheet'!$L$24)&amp;"","")="",ISNUMBER(SEARCH($AS$72:$AZ$72,IFERROR(('Final Calculation Sheet'!$L$24)&amp;"","")))))&gt;0),IF(COUNTIF($BI$72:$BP$72,4)=0,TRUE,SUMPRODUCT(($BI$72:$BP$72=4)*($AS$72:$AZ$72&lt;&gt;"")*IF(((UPPER($AS$72:$AZ$72)="BLANK")+(UPPER($AS$72:$AZ$72)="(BLANK)")+(UPPER($AS$72:$AZ$72)="EMPTY")+(UPPER($AS$72:$AZ$72)="(EMPTY)"))&gt;0,IFERROR(('Final Calculation Sheet'!$L$24)&amp;"","")="",ISNUMBER(SEARCH($AS$72:$AZ$72,IFERROR(('Final Calculation Sheet'!$L$24)&amp;"","")))))&gt;0),IF(COUNTIF($BI$72:$BP$72,5)=0,TRUE,SUMPRODUCT(($BI$72:$BP$72=5)*($AS$72:$AZ$72&lt;&gt;"")*IF(((UPPER($AS$72:$AZ$72)="BLANK")+(UPPER($AS$72:$AZ$72)="(BLANK)")+(UPPER($AS$72:$AZ$72)="EMPTY")+(UPPER($AS$72:$AZ$72)="(EMPTY)"))&gt;0,IFERROR(('Final Calculation Sheet'!$L$24)&amp;"","")="",ISNUMBER(SEARCH($AS$72:$AZ$72,IFERROR(('Final Calculation Sheet'!$L$24)&amp;"","")))))&gt;0),IF(COUNTIF($BI$72:$BP$72,6)=0,TRUE,SUMPRODUCT(($BI$72:$BP$72=6)*($AS$72:$AZ$72&lt;&gt;"")*IF(((UPPER($AS$72:$AZ$72)="BLANK")+(UPPER($AS$72:$AZ$72)="(BLANK)")+(UPPER($AS$72:$AZ$72)="EMPTY")+(UPPER($AS$72:$AZ$72)="(EMPTY)"))&gt;0,IFERROR(('Final Calculation Sheet'!$L$24)&amp;"","")="",ISNUMBER(SEARCH($AS$72:$AZ$72,IFERROR(('Final Calculation Sheet'!$L$24)&amp;"","")))))&gt;0),IF(COUNTIF($BI$72:$BP$72,7)=0,TRUE,SUMPRODUCT(($BI$72:$BP$72=7)*($AS$72:$AZ$72&lt;&gt;"")*IF(((UPPER($AS$72:$AZ$72)="BLANK")+(UPPER($AS$72:$AZ$72)="(BLANK)")+(UPPER($AS$72:$AZ$72)="EMPTY")+(UPPER($AS$72:$AZ$72)="(EMPTY)"))&gt;0,IFERROR(('Final Calculation Sheet'!$L$24)&amp;"","")="",ISNUMBER(SEARCH($AS$72:$AZ$72,IFERROR(('Final Calculation Sheet'!$L$24)&amp;"","")))))&gt;0),IF(COUNTIF($BI$72:$BP$72,8)=0,TRUE,SUMPRODUCT(($BI$72:$BP$72=8)*($AS$72:$AZ$72&lt;&gt;"")*IF(((UPPER($AS$72:$AZ$72)="BLANK")+(UPPER($AS$72:$AZ$72)="(BLANK)")+(UPPER($AS$72:$AZ$72)="EMPTY")+(UPPER($AS$72:$AZ$72)="(EMPTY)"))&gt;0,IFERROR(('Final Calculation Sheet'!$L$24)&amp;"","")="",ISNUMBER(SEARCH($AS$72:$AZ$72,IFERROR(('Final Calculation Sheet'!$L$24)&amp;"","")))))&gt;0))))</f>
        <v>1</v>
      </c>
      <c r="BZ25">
        <f>IF($N$4="",1,--(AND(SUMPRODUCT(--($AS$73:$AZ$73&lt;&gt;""))&gt;0,IF(COUNTIF($BI$73:$BP$73,1)=0,TRUE,SUMPRODUCT(($BI$73:$BP$73=1)*($AS$73:$AZ$73&lt;&gt;"")*IF(((UPPER($AS$73:$AZ$73)="BLANK")+(UPPER($AS$73:$AZ$73)="(BLANK)")+(UPPER($AS$73:$AZ$73)="EMPTY")+(UPPER($AS$73:$AZ$73)="(EMPTY)"))&gt;0,IFERROR(('Final Calculation Sheet'!$M$24)&amp;"","")="",ISNUMBER(SEARCH($AS$73:$AZ$73,IFERROR(('Final Calculation Sheet'!$M$24)&amp;"","")))))&gt;0),IF(COUNTIF($BI$73:$BP$73,2)=0,TRUE,SUMPRODUCT(($BI$73:$BP$73=2)*($AS$73:$AZ$73&lt;&gt;"")*IF(((UPPER($AS$73:$AZ$73)="BLANK")+(UPPER($AS$73:$AZ$73)="(BLANK)")+(UPPER($AS$73:$AZ$73)="EMPTY")+(UPPER($AS$73:$AZ$73)="(EMPTY)"))&gt;0,IFERROR(('Final Calculation Sheet'!$M$24)&amp;"","")="",ISNUMBER(SEARCH($AS$73:$AZ$73,IFERROR(('Final Calculation Sheet'!$M$24)&amp;"","")))))&gt;0),IF(COUNTIF($BI$73:$BP$73,3)=0,TRUE,SUMPRODUCT(($BI$73:$BP$73=3)*($AS$73:$AZ$73&lt;&gt;"")*IF(((UPPER($AS$73:$AZ$73)="BLANK")+(UPPER($AS$73:$AZ$73)="(BLANK)")+(UPPER($AS$73:$AZ$73)="EMPTY")+(UPPER($AS$73:$AZ$73)="(EMPTY)"))&gt;0,IFERROR(('Final Calculation Sheet'!$M$24)&amp;"","")="",ISNUMBER(SEARCH($AS$73:$AZ$73,IFERROR(('Final Calculation Sheet'!$M$24)&amp;"","")))))&gt;0),IF(COUNTIF($BI$73:$BP$73,4)=0,TRUE,SUMPRODUCT(($BI$73:$BP$73=4)*($AS$73:$AZ$73&lt;&gt;"")*IF(((UPPER($AS$73:$AZ$73)="BLANK")+(UPPER($AS$73:$AZ$73)="(BLANK)")+(UPPER($AS$73:$AZ$73)="EMPTY")+(UPPER($AS$73:$AZ$73)="(EMPTY)"))&gt;0,IFERROR(('Final Calculation Sheet'!$M$24)&amp;"","")="",ISNUMBER(SEARCH($AS$73:$AZ$73,IFERROR(('Final Calculation Sheet'!$M$24)&amp;"","")))))&gt;0),IF(COUNTIF($BI$73:$BP$73,5)=0,TRUE,SUMPRODUCT(($BI$73:$BP$73=5)*($AS$73:$AZ$73&lt;&gt;"")*IF(((UPPER($AS$73:$AZ$73)="BLANK")+(UPPER($AS$73:$AZ$73)="(BLANK)")+(UPPER($AS$73:$AZ$73)="EMPTY")+(UPPER($AS$73:$AZ$73)="(EMPTY)"))&gt;0,IFERROR(('Final Calculation Sheet'!$M$24)&amp;"","")="",ISNUMBER(SEARCH($AS$73:$AZ$73,IFERROR(('Final Calculation Sheet'!$M$24)&amp;"","")))))&gt;0),IF(COUNTIF($BI$73:$BP$73,6)=0,TRUE,SUMPRODUCT(($BI$73:$BP$73=6)*($AS$73:$AZ$73&lt;&gt;"")*IF(((UPPER($AS$73:$AZ$73)="BLANK")+(UPPER($AS$73:$AZ$73)="(BLANK)")+(UPPER($AS$73:$AZ$73)="EMPTY")+(UPPER($AS$73:$AZ$73)="(EMPTY)"))&gt;0,IFERROR(('Final Calculation Sheet'!$M$24)&amp;"","")="",ISNUMBER(SEARCH($AS$73:$AZ$73,IFERROR(('Final Calculation Sheet'!$M$24)&amp;"","")))))&gt;0),IF(COUNTIF($BI$73:$BP$73,7)=0,TRUE,SUMPRODUCT(($BI$73:$BP$73=7)*($AS$73:$AZ$73&lt;&gt;"")*IF(((UPPER($AS$73:$AZ$73)="BLANK")+(UPPER($AS$73:$AZ$73)="(BLANK)")+(UPPER($AS$73:$AZ$73)="EMPTY")+(UPPER($AS$73:$AZ$73)="(EMPTY)"))&gt;0,IFERROR(('Final Calculation Sheet'!$M$24)&amp;"","")="",ISNUMBER(SEARCH($AS$73:$AZ$73,IFERROR(('Final Calculation Sheet'!$M$24)&amp;"","")))))&gt;0),IF(COUNTIF($BI$73:$BP$73,8)=0,TRUE,SUMPRODUCT(($BI$73:$BP$73=8)*($AS$73:$AZ$73&lt;&gt;"")*IF(((UPPER($AS$73:$AZ$73)="BLANK")+(UPPER($AS$73:$AZ$73)="(BLANK)")+(UPPER($AS$73:$AZ$73)="EMPTY")+(UPPER($AS$73:$AZ$73)="(EMPTY)"))&gt;0,IFERROR(('Final Calculation Sheet'!$M$24)&amp;"","")="",ISNUMBER(SEARCH($AS$73:$AZ$73,IFERROR(('Final Calculation Sheet'!$M$24)&amp;"","")))))&gt;0))))</f>
        <v>1</v>
      </c>
      <c r="CA25">
        <f>IF($O$4="",1,--(AND(SUMPRODUCT(--($AS$74:$AZ$74&lt;&gt;""))&gt;0,IF(COUNTIF($BI$74:$BP$74,1)=0,TRUE,SUMPRODUCT(($BI$74:$BP$74=1)*($AS$74:$AZ$74&lt;&gt;"")*IF(((UPPER($AS$74:$AZ$74)="BLANK")+(UPPER($AS$74:$AZ$74)="(BLANK)")+(UPPER($AS$74:$AZ$74)="EMPTY")+(UPPER($AS$74:$AZ$74)="(EMPTY)"))&gt;0,IFERROR(('Final Calculation Sheet'!$N$24)&amp;"","")="",ISNUMBER(SEARCH($AS$74:$AZ$74,IFERROR(('Final Calculation Sheet'!$N$24)&amp;"","")))))&gt;0),IF(COUNTIF($BI$74:$BP$74,2)=0,TRUE,SUMPRODUCT(($BI$74:$BP$74=2)*($AS$74:$AZ$74&lt;&gt;"")*IF(((UPPER($AS$74:$AZ$74)="BLANK")+(UPPER($AS$74:$AZ$74)="(BLANK)")+(UPPER($AS$74:$AZ$74)="EMPTY")+(UPPER($AS$74:$AZ$74)="(EMPTY)"))&gt;0,IFERROR(('Final Calculation Sheet'!$N$24)&amp;"","")="",ISNUMBER(SEARCH($AS$74:$AZ$74,IFERROR(('Final Calculation Sheet'!$N$24)&amp;"","")))))&gt;0),IF(COUNTIF($BI$74:$BP$74,3)=0,TRUE,SUMPRODUCT(($BI$74:$BP$74=3)*($AS$74:$AZ$74&lt;&gt;"")*IF(((UPPER($AS$74:$AZ$74)="BLANK")+(UPPER($AS$74:$AZ$74)="(BLANK)")+(UPPER($AS$74:$AZ$74)="EMPTY")+(UPPER($AS$74:$AZ$74)="(EMPTY)"))&gt;0,IFERROR(('Final Calculation Sheet'!$N$24)&amp;"","")="",ISNUMBER(SEARCH($AS$74:$AZ$74,IFERROR(('Final Calculation Sheet'!$N$24)&amp;"","")))))&gt;0),IF(COUNTIF($BI$74:$BP$74,4)=0,TRUE,SUMPRODUCT(($BI$74:$BP$74=4)*($AS$74:$AZ$74&lt;&gt;"")*IF(((UPPER($AS$74:$AZ$74)="BLANK")+(UPPER($AS$74:$AZ$74)="(BLANK)")+(UPPER($AS$74:$AZ$74)="EMPTY")+(UPPER($AS$74:$AZ$74)="(EMPTY)"))&gt;0,IFERROR(('Final Calculation Sheet'!$N$24)&amp;"","")="",ISNUMBER(SEARCH($AS$74:$AZ$74,IFERROR(('Final Calculation Sheet'!$N$24)&amp;"","")))))&gt;0),IF(COUNTIF($BI$74:$BP$74,5)=0,TRUE,SUMPRODUCT(($BI$74:$BP$74=5)*($AS$74:$AZ$74&lt;&gt;"")*IF(((UPPER($AS$74:$AZ$74)="BLANK")+(UPPER($AS$74:$AZ$74)="(BLANK)")+(UPPER($AS$74:$AZ$74)="EMPTY")+(UPPER($AS$74:$AZ$74)="(EMPTY)"))&gt;0,IFERROR(('Final Calculation Sheet'!$N$24)&amp;"","")="",ISNUMBER(SEARCH($AS$74:$AZ$74,IFERROR(('Final Calculation Sheet'!$N$24)&amp;"","")))))&gt;0),IF(COUNTIF($BI$74:$BP$74,6)=0,TRUE,SUMPRODUCT(($BI$74:$BP$74=6)*($AS$74:$AZ$74&lt;&gt;"")*IF(((UPPER($AS$74:$AZ$74)="BLANK")+(UPPER($AS$74:$AZ$74)="(BLANK)")+(UPPER($AS$74:$AZ$74)="EMPTY")+(UPPER($AS$74:$AZ$74)="(EMPTY)"))&gt;0,IFERROR(('Final Calculation Sheet'!$N$24)&amp;"","")="",ISNUMBER(SEARCH($AS$74:$AZ$74,IFERROR(('Final Calculation Sheet'!$N$24)&amp;"","")))))&gt;0),IF(COUNTIF($BI$74:$BP$74,7)=0,TRUE,SUMPRODUCT(($BI$74:$BP$74=7)*($AS$74:$AZ$74&lt;&gt;"")*IF(((UPPER($AS$74:$AZ$74)="BLANK")+(UPPER($AS$74:$AZ$74)="(BLANK)")+(UPPER($AS$74:$AZ$74)="EMPTY")+(UPPER($AS$74:$AZ$74)="(EMPTY)"))&gt;0,IFERROR(('Final Calculation Sheet'!$N$24)&amp;"","")="",ISNUMBER(SEARCH($AS$74:$AZ$74,IFERROR(('Final Calculation Sheet'!$N$24)&amp;"","")))))&gt;0),IF(COUNTIF($BI$74:$BP$74,8)=0,TRUE,SUMPRODUCT(($BI$74:$BP$74=8)*($AS$74:$AZ$74&lt;&gt;"")*IF(((UPPER($AS$74:$AZ$74)="BLANK")+(UPPER($AS$74:$AZ$74)="(BLANK)")+(UPPER($AS$74:$AZ$74)="EMPTY")+(UPPER($AS$74:$AZ$74)="(EMPTY)"))&gt;0,IFERROR(('Final Calculation Sheet'!$N$24)&amp;"","")="",ISNUMBER(SEARCH($AS$74:$AZ$74,IFERROR(('Final Calculation Sheet'!$N$24)&amp;"","")))))&gt;0))))</f>
        <v>1</v>
      </c>
      <c r="CB25">
        <f>IF($P$4="",1,--(AND(SUMPRODUCT(--($AS$75:$AZ$75&lt;&gt;""))&gt;0,IF(COUNTIF($BI$75:$BP$75,1)=0,TRUE,SUMPRODUCT(($BI$75:$BP$75=1)*($AS$75:$AZ$75&lt;&gt;"")*IF(((UPPER($AS$75:$AZ$75)="BLANK")+(UPPER($AS$75:$AZ$75)="(BLANK)")+(UPPER($AS$75:$AZ$75)="EMPTY")+(UPPER($AS$75:$AZ$75)="(EMPTY)"))&gt;0,IFERROR(('Final Calculation Sheet'!$O$24)&amp;"","")="",ISNUMBER(SEARCH($AS$75:$AZ$75,IFERROR(('Final Calculation Sheet'!$O$24)&amp;"","")))))&gt;0),IF(COUNTIF($BI$75:$BP$75,2)=0,TRUE,SUMPRODUCT(($BI$75:$BP$75=2)*($AS$75:$AZ$75&lt;&gt;"")*IF(((UPPER($AS$75:$AZ$75)="BLANK")+(UPPER($AS$75:$AZ$75)="(BLANK)")+(UPPER($AS$75:$AZ$75)="EMPTY")+(UPPER($AS$75:$AZ$75)="(EMPTY)"))&gt;0,IFERROR(('Final Calculation Sheet'!$O$24)&amp;"","")="",ISNUMBER(SEARCH($AS$75:$AZ$75,IFERROR(('Final Calculation Sheet'!$O$24)&amp;"","")))))&gt;0),IF(COUNTIF($BI$75:$BP$75,3)=0,TRUE,SUMPRODUCT(($BI$75:$BP$75=3)*($AS$75:$AZ$75&lt;&gt;"")*IF(((UPPER($AS$75:$AZ$75)="BLANK")+(UPPER($AS$75:$AZ$75)="(BLANK)")+(UPPER($AS$75:$AZ$75)="EMPTY")+(UPPER($AS$75:$AZ$75)="(EMPTY)"))&gt;0,IFERROR(('Final Calculation Sheet'!$O$24)&amp;"","")="",ISNUMBER(SEARCH($AS$75:$AZ$75,IFERROR(('Final Calculation Sheet'!$O$24)&amp;"","")))))&gt;0),IF(COUNTIF($BI$75:$BP$75,4)=0,TRUE,SUMPRODUCT(($BI$75:$BP$75=4)*($AS$75:$AZ$75&lt;&gt;"")*IF(((UPPER($AS$75:$AZ$75)="BLANK")+(UPPER($AS$75:$AZ$75)="(BLANK)")+(UPPER($AS$75:$AZ$75)="EMPTY")+(UPPER($AS$75:$AZ$75)="(EMPTY)"))&gt;0,IFERROR(('Final Calculation Sheet'!$O$24)&amp;"","")="",ISNUMBER(SEARCH($AS$75:$AZ$75,IFERROR(('Final Calculation Sheet'!$O$24)&amp;"","")))))&gt;0),IF(COUNTIF($BI$75:$BP$75,5)=0,TRUE,SUMPRODUCT(($BI$75:$BP$75=5)*($AS$75:$AZ$75&lt;&gt;"")*IF(((UPPER($AS$75:$AZ$75)="BLANK")+(UPPER($AS$75:$AZ$75)="(BLANK)")+(UPPER($AS$75:$AZ$75)="EMPTY")+(UPPER($AS$75:$AZ$75)="(EMPTY)"))&gt;0,IFERROR(('Final Calculation Sheet'!$O$24)&amp;"","")="",ISNUMBER(SEARCH($AS$75:$AZ$75,IFERROR(('Final Calculation Sheet'!$O$24)&amp;"","")))))&gt;0),IF(COUNTIF($BI$75:$BP$75,6)=0,TRUE,SUMPRODUCT(($BI$75:$BP$75=6)*($AS$75:$AZ$75&lt;&gt;"")*IF(((UPPER($AS$75:$AZ$75)="BLANK")+(UPPER($AS$75:$AZ$75)="(BLANK)")+(UPPER($AS$75:$AZ$75)="EMPTY")+(UPPER($AS$75:$AZ$75)="(EMPTY)"))&gt;0,IFERROR(('Final Calculation Sheet'!$O$24)&amp;"","")="",ISNUMBER(SEARCH($AS$75:$AZ$75,IFERROR(('Final Calculation Sheet'!$O$24)&amp;"","")))))&gt;0),IF(COUNTIF($BI$75:$BP$75,7)=0,TRUE,SUMPRODUCT(($BI$75:$BP$75=7)*($AS$75:$AZ$75&lt;&gt;"")*IF(((UPPER($AS$75:$AZ$75)="BLANK")+(UPPER($AS$75:$AZ$75)="(BLANK)")+(UPPER($AS$75:$AZ$75)="EMPTY")+(UPPER($AS$75:$AZ$75)="(EMPTY)"))&gt;0,IFERROR(('Final Calculation Sheet'!$O$24)&amp;"","")="",ISNUMBER(SEARCH($AS$75:$AZ$75,IFERROR(('Final Calculation Sheet'!$O$24)&amp;"","")))))&gt;0),IF(COUNTIF($BI$75:$BP$75,8)=0,TRUE,SUMPRODUCT(($BI$75:$BP$75=8)*($AS$75:$AZ$75&lt;&gt;"")*IF(((UPPER($AS$75:$AZ$75)="BLANK")+(UPPER($AS$75:$AZ$75)="(BLANK)")+(UPPER($AS$75:$AZ$75)="EMPTY")+(UPPER($AS$75:$AZ$75)="(EMPTY)"))&gt;0,IFERROR(('Final Calculation Sheet'!$O$24)&amp;"","")="",ISNUMBER(SEARCH($AS$75:$AZ$75,IFERROR(('Final Calculation Sheet'!$O$24)&amp;"","")))))&gt;0))))</f>
        <v>1</v>
      </c>
      <c r="CC25">
        <f>IF($Q$4="",1,--(AND(SUMPRODUCT(--($AS$76:$AZ$76&lt;&gt;""))&gt;0,IF(COUNTIF($BI$76:$BP$76,1)=0,TRUE,SUMPRODUCT(($BI$76:$BP$76=1)*($AS$76:$AZ$76&lt;&gt;"")*IF(((UPPER($AS$76:$AZ$76)="BLANK")+(UPPER($AS$76:$AZ$76)="(BLANK)")+(UPPER($AS$76:$AZ$76)="EMPTY")+(UPPER($AS$76:$AZ$76)="(EMPTY)"))&gt;0,IFERROR(('Final Calculation Sheet'!$P$24)&amp;"","")="",ISNUMBER(SEARCH($AS$76:$AZ$76,IFERROR(('Final Calculation Sheet'!$P$24)&amp;"","")))))&gt;0),IF(COUNTIF($BI$76:$BP$76,2)=0,TRUE,SUMPRODUCT(($BI$76:$BP$76=2)*($AS$76:$AZ$76&lt;&gt;"")*IF(((UPPER($AS$76:$AZ$76)="BLANK")+(UPPER($AS$76:$AZ$76)="(BLANK)")+(UPPER($AS$76:$AZ$76)="EMPTY")+(UPPER($AS$76:$AZ$76)="(EMPTY)"))&gt;0,IFERROR(('Final Calculation Sheet'!$P$24)&amp;"","")="",ISNUMBER(SEARCH($AS$76:$AZ$76,IFERROR(('Final Calculation Sheet'!$P$24)&amp;"","")))))&gt;0),IF(COUNTIF($BI$76:$BP$76,3)=0,TRUE,SUMPRODUCT(($BI$76:$BP$76=3)*($AS$76:$AZ$76&lt;&gt;"")*IF(((UPPER($AS$76:$AZ$76)="BLANK")+(UPPER($AS$76:$AZ$76)="(BLANK)")+(UPPER($AS$76:$AZ$76)="EMPTY")+(UPPER($AS$76:$AZ$76)="(EMPTY)"))&gt;0,IFERROR(('Final Calculation Sheet'!$P$24)&amp;"","")="",ISNUMBER(SEARCH($AS$76:$AZ$76,IFERROR(('Final Calculation Sheet'!$P$24)&amp;"","")))))&gt;0),IF(COUNTIF($BI$76:$BP$76,4)=0,TRUE,SUMPRODUCT(($BI$76:$BP$76=4)*($AS$76:$AZ$76&lt;&gt;"")*IF(((UPPER($AS$76:$AZ$76)="BLANK")+(UPPER($AS$76:$AZ$76)="(BLANK)")+(UPPER($AS$76:$AZ$76)="EMPTY")+(UPPER($AS$76:$AZ$76)="(EMPTY)"))&gt;0,IFERROR(('Final Calculation Sheet'!$P$24)&amp;"","")="",ISNUMBER(SEARCH($AS$76:$AZ$76,IFERROR(('Final Calculation Sheet'!$P$24)&amp;"","")))))&gt;0),IF(COUNTIF($BI$76:$BP$76,5)=0,TRUE,SUMPRODUCT(($BI$76:$BP$76=5)*($AS$76:$AZ$76&lt;&gt;"")*IF(((UPPER($AS$76:$AZ$76)="BLANK")+(UPPER($AS$76:$AZ$76)="(BLANK)")+(UPPER($AS$76:$AZ$76)="EMPTY")+(UPPER($AS$76:$AZ$76)="(EMPTY)"))&gt;0,IFERROR(('Final Calculation Sheet'!$P$24)&amp;"","")="",ISNUMBER(SEARCH($AS$76:$AZ$76,IFERROR(('Final Calculation Sheet'!$P$24)&amp;"","")))))&gt;0),IF(COUNTIF($BI$76:$BP$76,6)=0,TRUE,SUMPRODUCT(($BI$76:$BP$76=6)*($AS$76:$AZ$76&lt;&gt;"")*IF(((UPPER($AS$76:$AZ$76)="BLANK")+(UPPER($AS$76:$AZ$76)="(BLANK)")+(UPPER($AS$76:$AZ$76)="EMPTY")+(UPPER($AS$76:$AZ$76)="(EMPTY)"))&gt;0,IFERROR(('Final Calculation Sheet'!$P$24)&amp;"","")="",ISNUMBER(SEARCH($AS$76:$AZ$76,IFERROR(('Final Calculation Sheet'!$P$24)&amp;"","")))))&gt;0),IF(COUNTIF($BI$76:$BP$76,7)=0,TRUE,SUMPRODUCT(($BI$76:$BP$76=7)*($AS$76:$AZ$76&lt;&gt;"")*IF(((UPPER($AS$76:$AZ$76)="BLANK")+(UPPER($AS$76:$AZ$76)="(BLANK)")+(UPPER($AS$76:$AZ$76)="EMPTY")+(UPPER($AS$76:$AZ$76)="(EMPTY)"))&gt;0,IFERROR(('Final Calculation Sheet'!$P$24)&amp;"","")="",ISNUMBER(SEARCH($AS$76:$AZ$76,IFERROR(('Final Calculation Sheet'!$P$24)&amp;"","")))))&gt;0),IF(COUNTIF($BI$76:$BP$76,8)=0,TRUE,SUMPRODUCT(($BI$76:$BP$76=8)*($AS$76:$AZ$76&lt;&gt;"")*IF(((UPPER($AS$76:$AZ$76)="BLANK")+(UPPER($AS$76:$AZ$76)="(BLANK)")+(UPPER($AS$76:$AZ$76)="EMPTY")+(UPPER($AS$76:$AZ$76)="(EMPTY)"))&gt;0,IFERROR(('Final Calculation Sheet'!$P$24)&amp;"","")="",ISNUMBER(SEARCH($AS$76:$AZ$76,IFERROR(('Final Calculation Sheet'!$P$24)&amp;"","")))))&gt;0))))</f>
        <v>1</v>
      </c>
      <c r="CD25">
        <f>IF($R$4="",1,--(AND(SUMPRODUCT(--($AS$77:$AZ$77&lt;&gt;""))&gt;0,IF(COUNTIF($BI$77:$BP$77,1)=0,TRUE,SUMPRODUCT(($BI$77:$BP$77=1)*($AS$77:$AZ$77&lt;&gt;"")*IF(((UPPER($AS$77:$AZ$77)="BLANK")+(UPPER($AS$77:$AZ$77)="(BLANK)")+(UPPER($AS$77:$AZ$77)="EMPTY")+(UPPER($AS$77:$AZ$77)="(EMPTY)"))&gt;0,IFERROR(('Final Calculation Sheet'!$Q$24)&amp;"","")="",ISNUMBER(SEARCH($AS$77:$AZ$77,IFERROR(('Final Calculation Sheet'!$Q$24)&amp;"","")))))&gt;0),IF(COUNTIF($BI$77:$BP$77,2)=0,TRUE,SUMPRODUCT(($BI$77:$BP$77=2)*($AS$77:$AZ$77&lt;&gt;"")*IF(((UPPER($AS$77:$AZ$77)="BLANK")+(UPPER($AS$77:$AZ$77)="(BLANK)")+(UPPER($AS$77:$AZ$77)="EMPTY")+(UPPER($AS$77:$AZ$77)="(EMPTY)"))&gt;0,IFERROR(('Final Calculation Sheet'!$Q$24)&amp;"","")="",ISNUMBER(SEARCH($AS$77:$AZ$77,IFERROR(('Final Calculation Sheet'!$Q$24)&amp;"","")))))&gt;0),IF(COUNTIF($BI$77:$BP$77,3)=0,TRUE,SUMPRODUCT(($BI$77:$BP$77=3)*($AS$77:$AZ$77&lt;&gt;"")*IF(((UPPER($AS$77:$AZ$77)="BLANK")+(UPPER($AS$77:$AZ$77)="(BLANK)")+(UPPER($AS$77:$AZ$77)="EMPTY")+(UPPER($AS$77:$AZ$77)="(EMPTY)"))&gt;0,IFERROR(('Final Calculation Sheet'!$Q$24)&amp;"","")="",ISNUMBER(SEARCH($AS$77:$AZ$77,IFERROR(('Final Calculation Sheet'!$Q$24)&amp;"","")))))&gt;0),IF(COUNTIF($BI$77:$BP$77,4)=0,TRUE,SUMPRODUCT(($BI$77:$BP$77=4)*($AS$77:$AZ$77&lt;&gt;"")*IF(((UPPER($AS$77:$AZ$77)="BLANK")+(UPPER($AS$77:$AZ$77)="(BLANK)")+(UPPER($AS$77:$AZ$77)="EMPTY")+(UPPER($AS$77:$AZ$77)="(EMPTY)"))&gt;0,IFERROR(('Final Calculation Sheet'!$Q$24)&amp;"","")="",ISNUMBER(SEARCH($AS$77:$AZ$77,IFERROR(('Final Calculation Sheet'!$Q$24)&amp;"","")))))&gt;0),IF(COUNTIF($BI$77:$BP$77,5)=0,TRUE,SUMPRODUCT(($BI$77:$BP$77=5)*($AS$77:$AZ$77&lt;&gt;"")*IF(((UPPER($AS$77:$AZ$77)="BLANK")+(UPPER($AS$77:$AZ$77)="(BLANK)")+(UPPER($AS$77:$AZ$77)="EMPTY")+(UPPER($AS$77:$AZ$77)="(EMPTY)"))&gt;0,IFERROR(('Final Calculation Sheet'!$Q$24)&amp;"","")="",ISNUMBER(SEARCH($AS$77:$AZ$77,IFERROR(('Final Calculation Sheet'!$Q$24)&amp;"","")))))&gt;0),IF(COUNTIF($BI$77:$BP$77,6)=0,TRUE,SUMPRODUCT(($BI$77:$BP$77=6)*($AS$77:$AZ$77&lt;&gt;"")*IF(((UPPER($AS$77:$AZ$77)="BLANK")+(UPPER($AS$77:$AZ$77)="(BLANK)")+(UPPER($AS$77:$AZ$77)="EMPTY")+(UPPER($AS$77:$AZ$77)="(EMPTY)"))&gt;0,IFERROR(('Final Calculation Sheet'!$Q$24)&amp;"","")="",ISNUMBER(SEARCH($AS$77:$AZ$77,IFERROR(('Final Calculation Sheet'!$Q$24)&amp;"","")))))&gt;0),IF(COUNTIF($BI$77:$BP$77,7)=0,TRUE,SUMPRODUCT(($BI$77:$BP$77=7)*($AS$77:$AZ$77&lt;&gt;"")*IF(((UPPER($AS$77:$AZ$77)="BLANK")+(UPPER($AS$77:$AZ$77)="(BLANK)")+(UPPER($AS$77:$AZ$77)="EMPTY")+(UPPER($AS$77:$AZ$77)="(EMPTY)"))&gt;0,IFERROR(('Final Calculation Sheet'!$Q$24)&amp;"","")="",ISNUMBER(SEARCH($AS$77:$AZ$77,IFERROR(('Final Calculation Sheet'!$Q$24)&amp;"","")))))&gt;0),IF(COUNTIF($BI$77:$BP$77,8)=0,TRUE,SUMPRODUCT(($BI$77:$BP$77=8)*($AS$77:$AZ$77&lt;&gt;"")*IF(((UPPER($AS$77:$AZ$77)="BLANK")+(UPPER($AS$77:$AZ$77)="(BLANK)")+(UPPER($AS$77:$AZ$77)="EMPTY")+(UPPER($AS$77:$AZ$77)="(EMPTY)"))&gt;0,IFERROR(('Final Calculation Sheet'!$Q$24)&amp;"","")="",ISNUMBER(SEARCH($AS$77:$AZ$77,IFERROR(('Final Calculation Sheet'!$Q$24)&amp;"","")))))&gt;0))))</f>
        <v>1</v>
      </c>
      <c r="CE25">
        <f>IF($S$4="",1,--(AND(SUMPRODUCT(--($AS$78:$AZ$78&lt;&gt;""))&gt;0,IF(COUNTIF($BI$78:$BP$78,1)=0,TRUE,SUMPRODUCT(($BI$78:$BP$78=1)*($AS$78:$AZ$78&lt;&gt;"")*IF(((UPPER($AS$78:$AZ$78)="BLANK")+(UPPER($AS$78:$AZ$78)="(BLANK)")+(UPPER($AS$78:$AZ$78)="EMPTY")+(UPPER($AS$78:$AZ$78)="(EMPTY)"))&gt;0,IFERROR(('Final Calculation Sheet'!$R$24)&amp;"","")="",ISNUMBER(SEARCH($AS$78:$AZ$78,IFERROR(('Final Calculation Sheet'!$R$24)&amp;"","")))))&gt;0),IF(COUNTIF($BI$78:$BP$78,2)=0,TRUE,SUMPRODUCT(($BI$78:$BP$78=2)*($AS$78:$AZ$78&lt;&gt;"")*IF(((UPPER($AS$78:$AZ$78)="BLANK")+(UPPER($AS$78:$AZ$78)="(BLANK)")+(UPPER($AS$78:$AZ$78)="EMPTY")+(UPPER($AS$78:$AZ$78)="(EMPTY)"))&gt;0,IFERROR(('Final Calculation Sheet'!$R$24)&amp;"","")="",ISNUMBER(SEARCH($AS$78:$AZ$78,IFERROR(('Final Calculation Sheet'!$R$24)&amp;"","")))))&gt;0),IF(COUNTIF($BI$78:$BP$78,3)=0,TRUE,SUMPRODUCT(($BI$78:$BP$78=3)*($AS$78:$AZ$78&lt;&gt;"")*IF(((UPPER($AS$78:$AZ$78)="BLANK")+(UPPER($AS$78:$AZ$78)="(BLANK)")+(UPPER($AS$78:$AZ$78)="EMPTY")+(UPPER($AS$78:$AZ$78)="(EMPTY)"))&gt;0,IFERROR(('Final Calculation Sheet'!$R$24)&amp;"","")="",ISNUMBER(SEARCH($AS$78:$AZ$78,IFERROR(('Final Calculation Sheet'!$R$24)&amp;"","")))))&gt;0),IF(COUNTIF($BI$78:$BP$78,4)=0,TRUE,SUMPRODUCT(($BI$78:$BP$78=4)*($AS$78:$AZ$78&lt;&gt;"")*IF(((UPPER($AS$78:$AZ$78)="BLANK")+(UPPER($AS$78:$AZ$78)="(BLANK)")+(UPPER($AS$78:$AZ$78)="EMPTY")+(UPPER($AS$78:$AZ$78)="(EMPTY)"))&gt;0,IFERROR(('Final Calculation Sheet'!$R$24)&amp;"","")="",ISNUMBER(SEARCH($AS$78:$AZ$78,IFERROR(('Final Calculation Sheet'!$R$24)&amp;"","")))))&gt;0),IF(COUNTIF($BI$78:$BP$78,5)=0,TRUE,SUMPRODUCT(($BI$78:$BP$78=5)*($AS$78:$AZ$78&lt;&gt;"")*IF(((UPPER($AS$78:$AZ$78)="BLANK")+(UPPER($AS$78:$AZ$78)="(BLANK)")+(UPPER($AS$78:$AZ$78)="EMPTY")+(UPPER($AS$78:$AZ$78)="(EMPTY)"))&gt;0,IFERROR(('Final Calculation Sheet'!$R$24)&amp;"","")="",ISNUMBER(SEARCH($AS$78:$AZ$78,IFERROR(('Final Calculation Sheet'!$R$24)&amp;"","")))))&gt;0),IF(COUNTIF($BI$78:$BP$78,6)=0,TRUE,SUMPRODUCT(($BI$78:$BP$78=6)*($AS$78:$AZ$78&lt;&gt;"")*IF(((UPPER($AS$78:$AZ$78)="BLANK")+(UPPER($AS$78:$AZ$78)="(BLANK)")+(UPPER($AS$78:$AZ$78)="EMPTY")+(UPPER($AS$78:$AZ$78)="(EMPTY)"))&gt;0,IFERROR(('Final Calculation Sheet'!$R$24)&amp;"","")="",ISNUMBER(SEARCH($AS$78:$AZ$78,IFERROR(('Final Calculation Sheet'!$R$24)&amp;"","")))))&gt;0),IF(COUNTIF($BI$78:$BP$78,7)=0,TRUE,SUMPRODUCT(($BI$78:$BP$78=7)*($AS$78:$AZ$78&lt;&gt;"")*IF(((UPPER($AS$78:$AZ$78)="BLANK")+(UPPER($AS$78:$AZ$78)="(BLANK)")+(UPPER($AS$78:$AZ$78)="EMPTY")+(UPPER($AS$78:$AZ$78)="(EMPTY)"))&gt;0,IFERROR(('Final Calculation Sheet'!$R$24)&amp;"","")="",ISNUMBER(SEARCH($AS$78:$AZ$78,IFERROR(('Final Calculation Sheet'!$R$24)&amp;"","")))))&gt;0),IF(COUNTIF($BI$78:$BP$78,8)=0,TRUE,SUMPRODUCT(($BI$78:$BP$78=8)*($AS$78:$AZ$78&lt;&gt;"")*IF(((UPPER($AS$78:$AZ$78)="BLANK")+(UPPER($AS$78:$AZ$78)="(BLANK)")+(UPPER($AS$78:$AZ$78)="EMPTY")+(UPPER($AS$78:$AZ$78)="(EMPTY)"))&gt;0,IFERROR(('Final Calculation Sheet'!$R$24)&amp;"","")="",ISNUMBER(SEARCH($AS$78:$AZ$78,IFERROR(('Final Calculation Sheet'!$R$24)&amp;"","")))))&gt;0))))</f>
        <v>1</v>
      </c>
      <c r="CF25">
        <f>IF($T$4="",1,--(AND(SUMPRODUCT(--($AS$79:$AZ$79&lt;&gt;""))&gt;0,IF(COUNTIF($BI$79:$BP$79,1)=0,TRUE,SUMPRODUCT(($BI$79:$BP$79=1)*($AS$79:$AZ$79&lt;&gt;"")*IF(((UPPER($AS$79:$AZ$79)="BLANK")+(UPPER($AS$79:$AZ$79)="(BLANK)")+(UPPER($AS$79:$AZ$79)="EMPTY")+(UPPER($AS$79:$AZ$79)="(EMPTY)"))&gt;0,IFERROR(('Final Calculation Sheet'!$S$24)&amp;"","")="",ISNUMBER(SEARCH($AS$79:$AZ$79,IFERROR(('Final Calculation Sheet'!$S$24)&amp;"","")))))&gt;0),IF(COUNTIF($BI$79:$BP$79,2)=0,TRUE,SUMPRODUCT(($BI$79:$BP$79=2)*($AS$79:$AZ$79&lt;&gt;"")*IF(((UPPER($AS$79:$AZ$79)="BLANK")+(UPPER($AS$79:$AZ$79)="(BLANK)")+(UPPER($AS$79:$AZ$79)="EMPTY")+(UPPER($AS$79:$AZ$79)="(EMPTY)"))&gt;0,IFERROR(('Final Calculation Sheet'!$S$24)&amp;"","")="",ISNUMBER(SEARCH($AS$79:$AZ$79,IFERROR(('Final Calculation Sheet'!$S$24)&amp;"","")))))&gt;0),IF(COUNTIF($BI$79:$BP$79,3)=0,TRUE,SUMPRODUCT(($BI$79:$BP$79=3)*($AS$79:$AZ$79&lt;&gt;"")*IF(((UPPER($AS$79:$AZ$79)="BLANK")+(UPPER($AS$79:$AZ$79)="(BLANK)")+(UPPER($AS$79:$AZ$79)="EMPTY")+(UPPER($AS$79:$AZ$79)="(EMPTY)"))&gt;0,IFERROR(('Final Calculation Sheet'!$S$24)&amp;"","")="",ISNUMBER(SEARCH($AS$79:$AZ$79,IFERROR(('Final Calculation Sheet'!$S$24)&amp;"","")))))&gt;0),IF(COUNTIF($BI$79:$BP$79,4)=0,TRUE,SUMPRODUCT(($BI$79:$BP$79=4)*($AS$79:$AZ$79&lt;&gt;"")*IF(((UPPER($AS$79:$AZ$79)="BLANK")+(UPPER($AS$79:$AZ$79)="(BLANK)")+(UPPER($AS$79:$AZ$79)="EMPTY")+(UPPER($AS$79:$AZ$79)="(EMPTY)"))&gt;0,IFERROR(('Final Calculation Sheet'!$S$24)&amp;"","")="",ISNUMBER(SEARCH($AS$79:$AZ$79,IFERROR(('Final Calculation Sheet'!$S$24)&amp;"","")))))&gt;0),IF(COUNTIF($BI$79:$BP$79,5)=0,TRUE,SUMPRODUCT(($BI$79:$BP$79=5)*($AS$79:$AZ$79&lt;&gt;"")*IF(((UPPER($AS$79:$AZ$79)="BLANK")+(UPPER($AS$79:$AZ$79)="(BLANK)")+(UPPER($AS$79:$AZ$79)="EMPTY")+(UPPER($AS$79:$AZ$79)="(EMPTY)"))&gt;0,IFERROR(('Final Calculation Sheet'!$S$24)&amp;"","")="",ISNUMBER(SEARCH($AS$79:$AZ$79,IFERROR(('Final Calculation Sheet'!$S$24)&amp;"","")))))&gt;0),IF(COUNTIF($BI$79:$BP$79,6)=0,TRUE,SUMPRODUCT(($BI$79:$BP$79=6)*($AS$79:$AZ$79&lt;&gt;"")*IF(((UPPER($AS$79:$AZ$79)="BLANK")+(UPPER($AS$79:$AZ$79)="(BLANK)")+(UPPER($AS$79:$AZ$79)="EMPTY")+(UPPER($AS$79:$AZ$79)="(EMPTY)"))&gt;0,IFERROR(('Final Calculation Sheet'!$S$24)&amp;"","")="",ISNUMBER(SEARCH($AS$79:$AZ$79,IFERROR(('Final Calculation Sheet'!$S$24)&amp;"","")))))&gt;0),IF(COUNTIF($BI$79:$BP$79,7)=0,TRUE,SUMPRODUCT(($BI$79:$BP$79=7)*($AS$79:$AZ$79&lt;&gt;"")*IF(((UPPER($AS$79:$AZ$79)="BLANK")+(UPPER($AS$79:$AZ$79)="(BLANK)")+(UPPER($AS$79:$AZ$79)="EMPTY")+(UPPER($AS$79:$AZ$79)="(EMPTY)"))&gt;0,IFERROR(('Final Calculation Sheet'!$S$24)&amp;"","")="",ISNUMBER(SEARCH($AS$79:$AZ$79,IFERROR(('Final Calculation Sheet'!$S$24)&amp;"","")))))&gt;0),IF(COUNTIF($BI$79:$BP$79,8)=0,TRUE,SUMPRODUCT(($BI$79:$BP$79=8)*($AS$79:$AZ$79&lt;&gt;"")*IF(((UPPER($AS$79:$AZ$79)="BLANK")+(UPPER($AS$79:$AZ$79)="(BLANK)")+(UPPER($AS$79:$AZ$79)="EMPTY")+(UPPER($AS$79:$AZ$79)="(EMPTY)"))&gt;0,IFERROR(('Final Calculation Sheet'!$S$24)&amp;"","")="",ISNUMBER(SEARCH($AS$79:$AZ$79,IFERROR(('Final Calculation Sheet'!$S$24)&amp;"","")))))&gt;0))))</f>
        <v>1</v>
      </c>
      <c r="CG25">
        <f>IF($U$4="",1,--(AND(SUMPRODUCT(--($AS$80:$AZ$80&lt;&gt;""))&gt;0,IF(COUNTIF($BI$80:$BP$80,1)=0,TRUE,SUMPRODUCT(($BI$80:$BP$80=1)*($AS$80:$AZ$80&lt;&gt;"")*IF(((UPPER($AS$80:$AZ$80)="BLANK")+(UPPER($AS$80:$AZ$80)="(BLANK)")+(UPPER($AS$80:$AZ$80)="EMPTY")+(UPPER($AS$80:$AZ$80)="(EMPTY)"))&gt;0,IFERROR(('Final Calculation Sheet'!$T$24)&amp;"","")="",ISNUMBER(SEARCH($AS$80:$AZ$80,IFERROR(('Final Calculation Sheet'!$T$24)&amp;"","")))))&gt;0),IF(COUNTIF($BI$80:$BP$80,2)=0,TRUE,SUMPRODUCT(($BI$80:$BP$80=2)*($AS$80:$AZ$80&lt;&gt;"")*IF(((UPPER($AS$80:$AZ$80)="BLANK")+(UPPER($AS$80:$AZ$80)="(BLANK)")+(UPPER($AS$80:$AZ$80)="EMPTY")+(UPPER($AS$80:$AZ$80)="(EMPTY)"))&gt;0,IFERROR(('Final Calculation Sheet'!$T$24)&amp;"","")="",ISNUMBER(SEARCH($AS$80:$AZ$80,IFERROR(('Final Calculation Sheet'!$T$24)&amp;"","")))))&gt;0),IF(COUNTIF($BI$80:$BP$80,3)=0,TRUE,SUMPRODUCT(($BI$80:$BP$80=3)*($AS$80:$AZ$80&lt;&gt;"")*IF(((UPPER($AS$80:$AZ$80)="BLANK")+(UPPER($AS$80:$AZ$80)="(BLANK)")+(UPPER($AS$80:$AZ$80)="EMPTY")+(UPPER($AS$80:$AZ$80)="(EMPTY)"))&gt;0,IFERROR(('Final Calculation Sheet'!$T$24)&amp;"","")="",ISNUMBER(SEARCH($AS$80:$AZ$80,IFERROR(('Final Calculation Sheet'!$T$24)&amp;"","")))))&gt;0),IF(COUNTIF($BI$80:$BP$80,4)=0,TRUE,SUMPRODUCT(($BI$80:$BP$80=4)*($AS$80:$AZ$80&lt;&gt;"")*IF(((UPPER($AS$80:$AZ$80)="BLANK")+(UPPER($AS$80:$AZ$80)="(BLANK)")+(UPPER($AS$80:$AZ$80)="EMPTY")+(UPPER($AS$80:$AZ$80)="(EMPTY)"))&gt;0,IFERROR(('Final Calculation Sheet'!$T$24)&amp;"","")="",ISNUMBER(SEARCH($AS$80:$AZ$80,IFERROR(('Final Calculation Sheet'!$T$24)&amp;"","")))))&gt;0),IF(COUNTIF($BI$80:$BP$80,5)=0,TRUE,SUMPRODUCT(($BI$80:$BP$80=5)*($AS$80:$AZ$80&lt;&gt;"")*IF(((UPPER($AS$80:$AZ$80)="BLANK")+(UPPER($AS$80:$AZ$80)="(BLANK)")+(UPPER($AS$80:$AZ$80)="EMPTY")+(UPPER($AS$80:$AZ$80)="(EMPTY)"))&gt;0,IFERROR(('Final Calculation Sheet'!$T$24)&amp;"","")="",ISNUMBER(SEARCH($AS$80:$AZ$80,IFERROR(('Final Calculation Sheet'!$T$24)&amp;"","")))))&gt;0),IF(COUNTIF($BI$80:$BP$80,6)=0,TRUE,SUMPRODUCT(($BI$80:$BP$80=6)*($AS$80:$AZ$80&lt;&gt;"")*IF(((UPPER($AS$80:$AZ$80)="BLANK")+(UPPER($AS$80:$AZ$80)="(BLANK)")+(UPPER($AS$80:$AZ$80)="EMPTY")+(UPPER($AS$80:$AZ$80)="(EMPTY)"))&gt;0,IFERROR(('Final Calculation Sheet'!$T$24)&amp;"","")="",ISNUMBER(SEARCH($AS$80:$AZ$80,IFERROR(('Final Calculation Sheet'!$T$24)&amp;"","")))))&gt;0),IF(COUNTIF($BI$80:$BP$80,7)=0,TRUE,SUMPRODUCT(($BI$80:$BP$80=7)*($AS$80:$AZ$80&lt;&gt;"")*IF(((UPPER($AS$80:$AZ$80)="BLANK")+(UPPER($AS$80:$AZ$80)="(BLANK)")+(UPPER($AS$80:$AZ$80)="EMPTY")+(UPPER($AS$80:$AZ$80)="(EMPTY)"))&gt;0,IFERROR(('Final Calculation Sheet'!$T$24)&amp;"","")="",ISNUMBER(SEARCH($AS$80:$AZ$80,IFERROR(('Final Calculation Sheet'!$T$24)&amp;"","")))))&gt;0),IF(COUNTIF($BI$80:$BP$80,8)=0,TRUE,SUMPRODUCT(($BI$80:$BP$80=8)*($AS$80:$AZ$80&lt;&gt;"")*IF(((UPPER($AS$80:$AZ$80)="BLANK")+(UPPER($AS$80:$AZ$80)="(BLANK)")+(UPPER($AS$80:$AZ$80)="EMPTY")+(UPPER($AS$80:$AZ$80)="(EMPTY)"))&gt;0,IFERROR(('Final Calculation Sheet'!$T$24)&amp;"","")="",ISNUMBER(SEARCH($AS$80:$AZ$80,IFERROR(('Final Calculation Sheet'!$T$24)&amp;"","")))))&gt;0))))</f>
        <v>1</v>
      </c>
      <c r="CH25">
        <f>IF($V$4="",1,--(AND(SUMPRODUCT(--($AS$81:$AZ$81&lt;&gt;""))&gt;0,IF(COUNTIF($BI$81:$BP$81,1)=0,TRUE,SUMPRODUCT(($BI$81:$BP$81=1)*($AS$81:$AZ$81&lt;&gt;"")*IF(((UPPER($AS$81:$AZ$81)="BLANK")+(UPPER($AS$81:$AZ$81)="(BLANK)")+(UPPER($AS$81:$AZ$81)="EMPTY")+(UPPER($AS$81:$AZ$81)="(EMPTY)"))&gt;0,IFERROR(('Final Calculation Sheet'!$U$24)&amp;"","")="",ISNUMBER(SEARCH($AS$81:$AZ$81,IFERROR(('Final Calculation Sheet'!$U$24)&amp;"","")))))&gt;0),IF(COUNTIF($BI$81:$BP$81,2)=0,TRUE,SUMPRODUCT(($BI$81:$BP$81=2)*($AS$81:$AZ$81&lt;&gt;"")*IF(((UPPER($AS$81:$AZ$81)="BLANK")+(UPPER($AS$81:$AZ$81)="(BLANK)")+(UPPER($AS$81:$AZ$81)="EMPTY")+(UPPER($AS$81:$AZ$81)="(EMPTY)"))&gt;0,IFERROR(('Final Calculation Sheet'!$U$24)&amp;"","")="",ISNUMBER(SEARCH($AS$81:$AZ$81,IFERROR(('Final Calculation Sheet'!$U$24)&amp;"","")))))&gt;0),IF(COUNTIF($BI$81:$BP$81,3)=0,TRUE,SUMPRODUCT(($BI$81:$BP$81=3)*($AS$81:$AZ$81&lt;&gt;"")*IF(((UPPER($AS$81:$AZ$81)="BLANK")+(UPPER($AS$81:$AZ$81)="(BLANK)")+(UPPER($AS$81:$AZ$81)="EMPTY")+(UPPER($AS$81:$AZ$81)="(EMPTY)"))&gt;0,IFERROR(('Final Calculation Sheet'!$U$24)&amp;"","")="",ISNUMBER(SEARCH($AS$81:$AZ$81,IFERROR(('Final Calculation Sheet'!$U$24)&amp;"","")))))&gt;0),IF(COUNTIF($BI$81:$BP$81,4)=0,TRUE,SUMPRODUCT(($BI$81:$BP$81=4)*($AS$81:$AZ$81&lt;&gt;"")*IF(((UPPER($AS$81:$AZ$81)="BLANK")+(UPPER($AS$81:$AZ$81)="(BLANK)")+(UPPER($AS$81:$AZ$81)="EMPTY")+(UPPER($AS$81:$AZ$81)="(EMPTY)"))&gt;0,IFERROR(('Final Calculation Sheet'!$U$24)&amp;"","")="",ISNUMBER(SEARCH($AS$81:$AZ$81,IFERROR(('Final Calculation Sheet'!$U$24)&amp;"","")))))&gt;0),IF(COUNTIF($BI$81:$BP$81,5)=0,TRUE,SUMPRODUCT(($BI$81:$BP$81=5)*($AS$81:$AZ$81&lt;&gt;"")*IF(((UPPER($AS$81:$AZ$81)="BLANK")+(UPPER($AS$81:$AZ$81)="(BLANK)")+(UPPER($AS$81:$AZ$81)="EMPTY")+(UPPER($AS$81:$AZ$81)="(EMPTY)"))&gt;0,IFERROR(('Final Calculation Sheet'!$U$24)&amp;"","")="",ISNUMBER(SEARCH($AS$81:$AZ$81,IFERROR(('Final Calculation Sheet'!$U$24)&amp;"","")))))&gt;0),IF(COUNTIF($BI$81:$BP$81,6)=0,TRUE,SUMPRODUCT(($BI$81:$BP$81=6)*($AS$81:$AZ$81&lt;&gt;"")*IF(((UPPER($AS$81:$AZ$81)="BLANK")+(UPPER($AS$81:$AZ$81)="(BLANK)")+(UPPER($AS$81:$AZ$81)="EMPTY")+(UPPER($AS$81:$AZ$81)="(EMPTY)"))&gt;0,IFERROR(('Final Calculation Sheet'!$U$24)&amp;"","")="",ISNUMBER(SEARCH($AS$81:$AZ$81,IFERROR(('Final Calculation Sheet'!$U$24)&amp;"","")))))&gt;0),IF(COUNTIF($BI$81:$BP$81,7)=0,TRUE,SUMPRODUCT(($BI$81:$BP$81=7)*($AS$81:$AZ$81&lt;&gt;"")*IF(((UPPER($AS$81:$AZ$81)="BLANK")+(UPPER($AS$81:$AZ$81)="(BLANK)")+(UPPER($AS$81:$AZ$81)="EMPTY")+(UPPER($AS$81:$AZ$81)="(EMPTY)"))&gt;0,IFERROR(('Final Calculation Sheet'!$U$24)&amp;"","")="",ISNUMBER(SEARCH($AS$81:$AZ$81,IFERROR(('Final Calculation Sheet'!$U$24)&amp;"","")))))&gt;0),IF(COUNTIF($BI$81:$BP$81,8)=0,TRUE,SUMPRODUCT(($BI$81:$BP$81=8)*($AS$81:$AZ$81&lt;&gt;"")*IF(((UPPER($AS$81:$AZ$81)="BLANK")+(UPPER($AS$81:$AZ$81)="(BLANK)")+(UPPER($AS$81:$AZ$81)="EMPTY")+(UPPER($AS$81:$AZ$81)="(EMPTY)"))&gt;0,IFERROR(('Final Calculation Sheet'!$U$24)&amp;"","")="",ISNUMBER(SEARCH($AS$81:$AZ$81,IFERROR(('Final Calculation Sheet'!$U$24)&amp;"","")))))&gt;0))))</f>
        <v>1</v>
      </c>
      <c r="CI25">
        <f>IF($W$4="",1,--(AND(SUMPRODUCT(--($AS$82:$AZ$82&lt;&gt;""))&gt;0,IF(COUNTIF($BI$82:$BP$82,1)=0,TRUE,SUMPRODUCT(($BI$82:$BP$82=1)*($AS$82:$AZ$82&lt;&gt;"")*IF(((UPPER($AS$82:$AZ$82)="BLANK")+(UPPER($AS$82:$AZ$82)="(BLANK)")+(UPPER($AS$82:$AZ$82)="EMPTY")+(UPPER($AS$82:$AZ$82)="(EMPTY)"))&gt;0,IFERROR(('Final Calculation Sheet'!$V$24)&amp;"","")="",ISNUMBER(SEARCH($AS$82:$AZ$82,IFERROR(('Final Calculation Sheet'!$V$24)&amp;"","")))))&gt;0),IF(COUNTIF($BI$82:$BP$82,2)=0,TRUE,SUMPRODUCT(($BI$82:$BP$82=2)*($AS$82:$AZ$82&lt;&gt;"")*IF(((UPPER($AS$82:$AZ$82)="BLANK")+(UPPER($AS$82:$AZ$82)="(BLANK)")+(UPPER($AS$82:$AZ$82)="EMPTY")+(UPPER($AS$82:$AZ$82)="(EMPTY)"))&gt;0,IFERROR(('Final Calculation Sheet'!$V$24)&amp;"","")="",ISNUMBER(SEARCH($AS$82:$AZ$82,IFERROR(('Final Calculation Sheet'!$V$24)&amp;"","")))))&gt;0),IF(COUNTIF($BI$82:$BP$82,3)=0,TRUE,SUMPRODUCT(($BI$82:$BP$82=3)*($AS$82:$AZ$82&lt;&gt;"")*IF(((UPPER($AS$82:$AZ$82)="BLANK")+(UPPER($AS$82:$AZ$82)="(BLANK)")+(UPPER($AS$82:$AZ$82)="EMPTY")+(UPPER($AS$82:$AZ$82)="(EMPTY)"))&gt;0,IFERROR(('Final Calculation Sheet'!$V$24)&amp;"","")="",ISNUMBER(SEARCH($AS$82:$AZ$82,IFERROR(('Final Calculation Sheet'!$V$24)&amp;"","")))))&gt;0),IF(COUNTIF($BI$82:$BP$82,4)=0,TRUE,SUMPRODUCT(($BI$82:$BP$82=4)*($AS$82:$AZ$82&lt;&gt;"")*IF(((UPPER($AS$82:$AZ$82)="BLANK")+(UPPER($AS$82:$AZ$82)="(BLANK)")+(UPPER($AS$82:$AZ$82)="EMPTY")+(UPPER($AS$82:$AZ$82)="(EMPTY)"))&gt;0,IFERROR(('Final Calculation Sheet'!$V$24)&amp;"","")="",ISNUMBER(SEARCH($AS$82:$AZ$82,IFERROR(('Final Calculation Sheet'!$V$24)&amp;"","")))))&gt;0),IF(COUNTIF($BI$82:$BP$82,5)=0,TRUE,SUMPRODUCT(($BI$82:$BP$82=5)*($AS$82:$AZ$82&lt;&gt;"")*IF(((UPPER($AS$82:$AZ$82)="BLANK")+(UPPER($AS$82:$AZ$82)="(BLANK)")+(UPPER($AS$82:$AZ$82)="EMPTY")+(UPPER($AS$82:$AZ$82)="(EMPTY)"))&gt;0,IFERROR(('Final Calculation Sheet'!$V$24)&amp;"","")="",ISNUMBER(SEARCH($AS$82:$AZ$82,IFERROR(('Final Calculation Sheet'!$V$24)&amp;"","")))))&gt;0),IF(COUNTIF($BI$82:$BP$82,6)=0,TRUE,SUMPRODUCT(($BI$82:$BP$82=6)*($AS$82:$AZ$82&lt;&gt;"")*IF(((UPPER($AS$82:$AZ$82)="BLANK")+(UPPER($AS$82:$AZ$82)="(BLANK)")+(UPPER($AS$82:$AZ$82)="EMPTY")+(UPPER($AS$82:$AZ$82)="(EMPTY)"))&gt;0,IFERROR(('Final Calculation Sheet'!$V$24)&amp;"","")="",ISNUMBER(SEARCH($AS$82:$AZ$82,IFERROR(('Final Calculation Sheet'!$V$24)&amp;"","")))))&gt;0),IF(COUNTIF($BI$82:$BP$82,7)=0,TRUE,SUMPRODUCT(($BI$82:$BP$82=7)*($AS$82:$AZ$82&lt;&gt;"")*IF(((UPPER($AS$82:$AZ$82)="BLANK")+(UPPER($AS$82:$AZ$82)="(BLANK)")+(UPPER($AS$82:$AZ$82)="EMPTY")+(UPPER($AS$82:$AZ$82)="(EMPTY)"))&gt;0,IFERROR(('Final Calculation Sheet'!$V$24)&amp;"","")="",ISNUMBER(SEARCH($AS$82:$AZ$82,IFERROR(('Final Calculation Sheet'!$V$24)&amp;"","")))))&gt;0),IF(COUNTIF($BI$82:$BP$82,8)=0,TRUE,SUMPRODUCT(($BI$82:$BP$82=8)*($AS$82:$AZ$82&lt;&gt;"")*IF(((UPPER($AS$82:$AZ$82)="BLANK")+(UPPER($AS$82:$AZ$82)="(BLANK)")+(UPPER($AS$82:$AZ$82)="EMPTY")+(UPPER($AS$82:$AZ$82)="(EMPTY)"))&gt;0,IFERROR(('Final Calculation Sheet'!$V$24)&amp;"","")="",ISNUMBER(SEARCH($AS$82:$AZ$82,IFERROR(('Final Calculation Sheet'!$V$24)&amp;"","")))))&gt;0))))</f>
        <v>1</v>
      </c>
      <c r="CJ25">
        <f>IF($X$4="",1,--(AND(SUMPRODUCT(--($AS$83:$AZ$83&lt;&gt;""))&gt;0,IF(COUNTIF($BI$83:$BP$83,1)=0,TRUE,SUMPRODUCT(($BI$83:$BP$83=1)*($AS$83:$AZ$83&lt;&gt;"")*IF(((UPPER($AS$83:$AZ$83)="BLANK")+(UPPER($AS$83:$AZ$83)="(BLANK)")+(UPPER($AS$83:$AZ$83)="EMPTY")+(UPPER($AS$83:$AZ$83)="(EMPTY)"))&gt;0,IFERROR(('Final Calculation Sheet'!$W$24)&amp;"","")="",ISNUMBER(SEARCH($AS$83:$AZ$83,IFERROR(('Final Calculation Sheet'!$W$24)&amp;"","")))))&gt;0),IF(COUNTIF($BI$83:$BP$83,2)=0,TRUE,SUMPRODUCT(($BI$83:$BP$83=2)*($AS$83:$AZ$83&lt;&gt;"")*IF(((UPPER($AS$83:$AZ$83)="BLANK")+(UPPER($AS$83:$AZ$83)="(BLANK)")+(UPPER($AS$83:$AZ$83)="EMPTY")+(UPPER($AS$83:$AZ$83)="(EMPTY)"))&gt;0,IFERROR(('Final Calculation Sheet'!$W$24)&amp;"","")="",ISNUMBER(SEARCH($AS$83:$AZ$83,IFERROR(('Final Calculation Sheet'!$W$24)&amp;"","")))))&gt;0),IF(COUNTIF($BI$83:$BP$83,3)=0,TRUE,SUMPRODUCT(($BI$83:$BP$83=3)*($AS$83:$AZ$83&lt;&gt;"")*IF(((UPPER($AS$83:$AZ$83)="BLANK")+(UPPER($AS$83:$AZ$83)="(BLANK)")+(UPPER($AS$83:$AZ$83)="EMPTY")+(UPPER($AS$83:$AZ$83)="(EMPTY)"))&gt;0,IFERROR(('Final Calculation Sheet'!$W$24)&amp;"","")="",ISNUMBER(SEARCH($AS$83:$AZ$83,IFERROR(('Final Calculation Sheet'!$W$24)&amp;"","")))))&gt;0),IF(COUNTIF($BI$83:$BP$83,4)=0,TRUE,SUMPRODUCT(($BI$83:$BP$83=4)*($AS$83:$AZ$83&lt;&gt;"")*IF(((UPPER($AS$83:$AZ$83)="BLANK")+(UPPER($AS$83:$AZ$83)="(BLANK)")+(UPPER($AS$83:$AZ$83)="EMPTY")+(UPPER($AS$83:$AZ$83)="(EMPTY)"))&gt;0,IFERROR(('Final Calculation Sheet'!$W$24)&amp;"","")="",ISNUMBER(SEARCH($AS$83:$AZ$83,IFERROR(('Final Calculation Sheet'!$W$24)&amp;"","")))))&gt;0),IF(COUNTIF($BI$83:$BP$83,5)=0,TRUE,SUMPRODUCT(($BI$83:$BP$83=5)*($AS$83:$AZ$83&lt;&gt;"")*IF(((UPPER($AS$83:$AZ$83)="BLANK")+(UPPER($AS$83:$AZ$83)="(BLANK)")+(UPPER($AS$83:$AZ$83)="EMPTY")+(UPPER($AS$83:$AZ$83)="(EMPTY)"))&gt;0,IFERROR(('Final Calculation Sheet'!$W$24)&amp;"","")="",ISNUMBER(SEARCH($AS$83:$AZ$83,IFERROR(('Final Calculation Sheet'!$W$24)&amp;"","")))))&gt;0),IF(COUNTIF($BI$83:$BP$83,6)=0,TRUE,SUMPRODUCT(($BI$83:$BP$83=6)*($AS$83:$AZ$83&lt;&gt;"")*IF(((UPPER($AS$83:$AZ$83)="BLANK")+(UPPER($AS$83:$AZ$83)="(BLANK)")+(UPPER($AS$83:$AZ$83)="EMPTY")+(UPPER($AS$83:$AZ$83)="(EMPTY)"))&gt;0,IFERROR(('Final Calculation Sheet'!$W$24)&amp;"","")="",ISNUMBER(SEARCH($AS$83:$AZ$83,IFERROR(('Final Calculation Sheet'!$W$24)&amp;"","")))))&gt;0),IF(COUNTIF($BI$83:$BP$83,7)=0,TRUE,SUMPRODUCT(($BI$83:$BP$83=7)*($AS$83:$AZ$83&lt;&gt;"")*IF(((UPPER($AS$83:$AZ$83)="BLANK")+(UPPER($AS$83:$AZ$83)="(BLANK)")+(UPPER($AS$83:$AZ$83)="EMPTY")+(UPPER($AS$83:$AZ$83)="(EMPTY)"))&gt;0,IFERROR(('Final Calculation Sheet'!$W$24)&amp;"","")="",ISNUMBER(SEARCH($AS$83:$AZ$83,IFERROR(('Final Calculation Sheet'!$W$24)&amp;"","")))))&gt;0),IF(COUNTIF($BI$83:$BP$83,8)=0,TRUE,SUMPRODUCT(($BI$83:$BP$83=8)*($AS$83:$AZ$83&lt;&gt;"")*IF(((UPPER($AS$83:$AZ$83)="BLANK")+(UPPER($AS$83:$AZ$83)="(BLANK)")+(UPPER($AS$83:$AZ$83)="EMPTY")+(UPPER($AS$83:$AZ$83)="(EMPTY)"))&gt;0,IFERROR(('Final Calculation Sheet'!$W$24)&amp;"","")="",ISNUMBER(SEARCH($AS$83:$AZ$83,IFERROR(('Final Calculation Sheet'!$W$24)&amp;"","")))))&gt;0))))</f>
        <v>1</v>
      </c>
      <c r="CK25">
        <f>IF($Y$4="",1,--(AND(SUMPRODUCT(--($AS$84:$AZ$84&lt;&gt;""))&gt;0,IF(COUNTIF($BI$84:$BP$84,1)=0,TRUE,SUMPRODUCT(($BI$84:$BP$84=1)*($AS$84:$AZ$84&lt;&gt;"")*IF(((UPPER($AS$84:$AZ$84)="BLANK")+(UPPER($AS$84:$AZ$84)="(BLANK)")+(UPPER($AS$84:$AZ$84)="EMPTY")+(UPPER($AS$84:$AZ$84)="(EMPTY)"))&gt;0,IFERROR(('Final Calculation Sheet'!$X$24)&amp;"","")="",ISNUMBER(SEARCH($AS$84:$AZ$84,IFERROR(('Final Calculation Sheet'!$X$24)&amp;"","")))))&gt;0),IF(COUNTIF($BI$84:$BP$84,2)=0,TRUE,SUMPRODUCT(($BI$84:$BP$84=2)*($AS$84:$AZ$84&lt;&gt;"")*IF(((UPPER($AS$84:$AZ$84)="BLANK")+(UPPER($AS$84:$AZ$84)="(BLANK)")+(UPPER($AS$84:$AZ$84)="EMPTY")+(UPPER($AS$84:$AZ$84)="(EMPTY)"))&gt;0,IFERROR(('Final Calculation Sheet'!$X$24)&amp;"","")="",ISNUMBER(SEARCH($AS$84:$AZ$84,IFERROR(('Final Calculation Sheet'!$X$24)&amp;"","")))))&gt;0),IF(COUNTIF($BI$84:$BP$84,3)=0,TRUE,SUMPRODUCT(($BI$84:$BP$84=3)*($AS$84:$AZ$84&lt;&gt;"")*IF(((UPPER($AS$84:$AZ$84)="BLANK")+(UPPER($AS$84:$AZ$84)="(BLANK)")+(UPPER($AS$84:$AZ$84)="EMPTY")+(UPPER($AS$84:$AZ$84)="(EMPTY)"))&gt;0,IFERROR(('Final Calculation Sheet'!$X$24)&amp;"","")="",ISNUMBER(SEARCH($AS$84:$AZ$84,IFERROR(('Final Calculation Sheet'!$X$24)&amp;"","")))))&gt;0),IF(COUNTIF($BI$84:$BP$84,4)=0,TRUE,SUMPRODUCT(($BI$84:$BP$84=4)*($AS$84:$AZ$84&lt;&gt;"")*IF(((UPPER($AS$84:$AZ$84)="BLANK")+(UPPER($AS$84:$AZ$84)="(BLANK)")+(UPPER($AS$84:$AZ$84)="EMPTY")+(UPPER($AS$84:$AZ$84)="(EMPTY)"))&gt;0,IFERROR(('Final Calculation Sheet'!$X$24)&amp;"","")="",ISNUMBER(SEARCH($AS$84:$AZ$84,IFERROR(('Final Calculation Sheet'!$X$24)&amp;"","")))))&gt;0),IF(COUNTIF($BI$84:$BP$84,5)=0,TRUE,SUMPRODUCT(($BI$84:$BP$84=5)*($AS$84:$AZ$84&lt;&gt;"")*IF(((UPPER($AS$84:$AZ$84)="BLANK")+(UPPER($AS$84:$AZ$84)="(BLANK)")+(UPPER($AS$84:$AZ$84)="EMPTY")+(UPPER($AS$84:$AZ$84)="(EMPTY)"))&gt;0,IFERROR(('Final Calculation Sheet'!$X$24)&amp;"","")="",ISNUMBER(SEARCH($AS$84:$AZ$84,IFERROR(('Final Calculation Sheet'!$X$24)&amp;"","")))))&gt;0),IF(COUNTIF($BI$84:$BP$84,6)=0,TRUE,SUMPRODUCT(($BI$84:$BP$84=6)*($AS$84:$AZ$84&lt;&gt;"")*IF(((UPPER($AS$84:$AZ$84)="BLANK")+(UPPER($AS$84:$AZ$84)="(BLANK)")+(UPPER($AS$84:$AZ$84)="EMPTY")+(UPPER($AS$84:$AZ$84)="(EMPTY)"))&gt;0,IFERROR(('Final Calculation Sheet'!$X$24)&amp;"","")="",ISNUMBER(SEARCH($AS$84:$AZ$84,IFERROR(('Final Calculation Sheet'!$X$24)&amp;"","")))))&gt;0),IF(COUNTIF($BI$84:$BP$84,7)=0,TRUE,SUMPRODUCT(($BI$84:$BP$84=7)*($AS$84:$AZ$84&lt;&gt;"")*IF(((UPPER($AS$84:$AZ$84)="BLANK")+(UPPER($AS$84:$AZ$84)="(BLANK)")+(UPPER($AS$84:$AZ$84)="EMPTY")+(UPPER($AS$84:$AZ$84)="(EMPTY)"))&gt;0,IFERROR(('Final Calculation Sheet'!$X$24)&amp;"","")="",ISNUMBER(SEARCH($AS$84:$AZ$84,IFERROR(('Final Calculation Sheet'!$X$24)&amp;"","")))))&gt;0),IF(COUNTIF($BI$84:$BP$84,8)=0,TRUE,SUMPRODUCT(($BI$84:$BP$84=8)*($AS$84:$AZ$84&lt;&gt;"")*IF(((UPPER($AS$84:$AZ$84)="BLANK")+(UPPER($AS$84:$AZ$84)="(BLANK)")+(UPPER($AS$84:$AZ$84)="EMPTY")+(UPPER($AS$84:$AZ$84)="(EMPTY)"))&gt;0,IFERROR(('Final Calculation Sheet'!$X$24)&amp;"","")="",ISNUMBER(SEARCH($AS$84:$AZ$84,IFERROR(('Final Calculation Sheet'!$X$24)&amp;"","")))))&gt;0))))</f>
        <v>1</v>
      </c>
      <c r="CL25">
        <f>IF($Z$4="",1,--(AND(SUMPRODUCT(--($AS$85:$AZ$85&lt;&gt;""))&gt;0,IF(COUNTIF($BI$85:$BP$85,1)=0,TRUE,SUMPRODUCT(($BI$85:$BP$85=1)*($AS$85:$AZ$85&lt;&gt;"")*IF(((UPPER($AS$85:$AZ$85)="BLANK")+(UPPER($AS$85:$AZ$85)="(BLANK)")+(UPPER($AS$85:$AZ$85)="EMPTY")+(UPPER($AS$85:$AZ$85)="(EMPTY)"))&gt;0,IFERROR(('Final Calculation Sheet'!$Y$24)&amp;"","")="",ISNUMBER(SEARCH($AS$85:$AZ$85,IFERROR(('Final Calculation Sheet'!$Y$24)&amp;"","")))))&gt;0),IF(COUNTIF($BI$85:$BP$85,2)=0,TRUE,SUMPRODUCT(($BI$85:$BP$85=2)*($AS$85:$AZ$85&lt;&gt;"")*IF(((UPPER($AS$85:$AZ$85)="BLANK")+(UPPER($AS$85:$AZ$85)="(BLANK)")+(UPPER($AS$85:$AZ$85)="EMPTY")+(UPPER($AS$85:$AZ$85)="(EMPTY)"))&gt;0,IFERROR(('Final Calculation Sheet'!$Y$24)&amp;"","")="",ISNUMBER(SEARCH($AS$85:$AZ$85,IFERROR(('Final Calculation Sheet'!$Y$24)&amp;"","")))))&gt;0),IF(COUNTIF($BI$85:$BP$85,3)=0,TRUE,SUMPRODUCT(($BI$85:$BP$85=3)*($AS$85:$AZ$85&lt;&gt;"")*IF(((UPPER($AS$85:$AZ$85)="BLANK")+(UPPER($AS$85:$AZ$85)="(BLANK)")+(UPPER($AS$85:$AZ$85)="EMPTY")+(UPPER($AS$85:$AZ$85)="(EMPTY)"))&gt;0,IFERROR(('Final Calculation Sheet'!$Y$24)&amp;"","")="",ISNUMBER(SEARCH($AS$85:$AZ$85,IFERROR(('Final Calculation Sheet'!$Y$24)&amp;"","")))))&gt;0),IF(COUNTIF($BI$85:$BP$85,4)=0,TRUE,SUMPRODUCT(($BI$85:$BP$85=4)*($AS$85:$AZ$85&lt;&gt;"")*IF(((UPPER($AS$85:$AZ$85)="BLANK")+(UPPER($AS$85:$AZ$85)="(BLANK)")+(UPPER($AS$85:$AZ$85)="EMPTY")+(UPPER($AS$85:$AZ$85)="(EMPTY)"))&gt;0,IFERROR(('Final Calculation Sheet'!$Y$24)&amp;"","")="",ISNUMBER(SEARCH($AS$85:$AZ$85,IFERROR(('Final Calculation Sheet'!$Y$24)&amp;"","")))))&gt;0),IF(COUNTIF($BI$85:$BP$85,5)=0,TRUE,SUMPRODUCT(($BI$85:$BP$85=5)*($AS$85:$AZ$85&lt;&gt;"")*IF(((UPPER($AS$85:$AZ$85)="BLANK")+(UPPER($AS$85:$AZ$85)="(BLANK)")+(UPPER($AS$85:$AZ$85)="EMPTY")+(UPPER($AS$85:$AZ$85)="(EMPTY)"))&gt;0,IFERROR(('Final Calculation Sheet'!$Y$24)&amp;"","")="",ISNUMBER(SEARCH($AS$85:$AZ$85,IFERROR(('Final Calculation Sheet'!$Y$24)&amp;"","")))))&gt;0),IF(COUNTIF($BI$85:$BP$85,6)=0,TRUE,SUMPRODUCT(($BI$85:$BP$85=6)*($AS$85:$AZ$85&lt;&gt;"")*IF(((UPPER($AS$85:$AZ$85)="BLANK")+(UPPER($AS$85:$AZ$85)="(BLANK)")+(UPPER($AS$85:$AZ$85)="EMPTY")+(UPPER($AS$85:$AZ$85)="(EMPTY)"))&gt;0,IFERROR(('Final Calculation Sheet'!$Y$24)&amp;"","")="",ISNUMBER(SEARCH($AS$85:$AZ$85,IFERROR(('Final Calculation Sheet'!$Y$24)&amp;"","")))))&gt;0),IF(COUNTIF($BI$85:$BP$85,7)=0,TRUE,SUMPRODUCT(($BI$85:$BP$85=7)*($AS$85:$AZ$85&lt;&gt;"")*IF(((UPPER($AS$85:$AZ$85)="BLANK")+(UPPER($AS$85:$AZ$85)="(BLANK)")+(UPPER($AS$85:$AZ$85)="EMPTY")+(UPPER($AS$85:$AZ$85)="(EMPTY)"))&gt;0,IFERROR(('Final Calculation Sheet'!$Y$24)&amp;"","")="",ISNUMBER(SEARCH($AS$85:$AZ$85,IFERROR(('Final Calculation Sheet'!$Y$24)&amp;"","")))))&gt;0),IF(COUNTIF($BI$85:$BP$85,8)=0,TRUE,SUMPRODUCT(($BI$85:$BP$85=8)*($AS$85:$AZ$85&lt;&gt;"")*IF(((UPPER($AS$85:$AZ$85)="BLANK")+(UPPER($AS$85:$AZ$85)="(BLANK)")+(UPPER($AS$85:$AZ$85)="EMPTY")+(UPPER($AS$85:$AZ$85)="(EMPTY)"))&gt;0,IFERROR(('Final Calculation Sheet'!$Y$24)&amp;"","")="",ISNUMBER(SEARCH($AS$85:$AZ$85,IFERROR(('Final Calculation Sheet'!$Y$24)&amp;"","")))))&gt;0))))</f>
        <v>1</v>
      </c>
      <c r="CM25">
        <f>IF($AA$4="",1,--(AND(SUMPRODUCT(--($AS$86:$AZ$86&lt;&gt;""))&gt;0,IF(COUNTIF($BI$86:$BP$86,1)=0,TRUE,SUMPRODUCT(($BI$86:$BP$86=1)*($AS$86:$AZ$86&lt;&gt;"")*IF(((UPPER($AS$86:$AZ$86)="BLANK")+(UPPER($AS$86:$AZ$86)="(BLANK)")+(UPPER($AS$86:$AZ$86)="EMPTY")+(UPPER($AS$86:$AZ$86)="(EMPTY)"))&gt;0,IFERROR(('Final Calculation Sheet'!$Z$24)&amp;"","")="",ISNUMBER(SEARCH($AS$86:$AZ$86,IFERROR(('Final Calculation Sheet'!$Z$24)&amp;"","")))))&gt;0),IF(COUNTIF($BI$86:$BP$86,2)=0,TRUE,SUMPRODUCT(($BI$86:$BP$86=2)*($AS$86:$AZ$86&lt;&gt;"")*IF(((UPPER($AS$86:$AZ$86)="BLANK")+(UPPER($AS$86:$AZ$86)="(BLANK)")+(UPPER($AS$86:$AZ$86)="EMPTY")+(UPPER($AS$86:$AZ$86)="(EMPTY)"))&gt;0,IFERROR(('Final Calculation Sheet'!$Z$24)&amp;"","")="",ISNUMBER(SEARCH($AS$86:$AZ$86,IFERROR(('Final Calculation Sheet'!$Z$24)&amp;"","")))))&gt;0),IF(COUNTIF($BI$86:$BP$86,3)=0,TRUE,SUMPRODUCT(($BI$86:$BP$86=3)*($AS$86:$AZ$86&lt;&gt;"")*IF(((UPPER($AS$86:$AZ$86)="BLANK")+(UPPER($AS$86:$AZ$86)="(BLANK)")+(UPPER($AS$86:$AZ$86)="EMPTY")+(UPPER($AS$86:$AZ$86)="(EMPTY)"))&gt;0,IFERROR(('Final Calculation Sheet'!$Z$24)&amp;"","")="",ISNUMBER(SEARCH($AS$86:$AZ$86,IFERROR(('Final Calculation Sheet'!$Z$24)&amp;"","")))))&gt;0),IF(COUNTIF($BI$86:$BP$86,4)=0,TRUE,SUMPRODUCT(($BI$86:$BP$86=4)*($AS$86:$AZ$86&lt;&gt;"")*IF(((UPPER($AS$86:$AZ$86)="BLANK")+(UPPER($AS$86:$AZ$86)="(BLANK)")+(UPPER($AS$86:$AZ$86)="EMPTY")+(UPPER($AS$86:$AZ$86)="(EMPTY)"))&gt;0,IFERROR(('Final Calculation Sheet'!$Z$24)&amp;"","")="",ISNUMBER(SEARCH($AS$86:$AZ$86,IFERROR(('Final Calculation Sheet'!$Z$24)&amp;"","")))))&gt;0),IF(COUNTIF($BI$86:$BP$86,5)=0,TRUE,SUMPRODUCT(($BI$86:$BP$86=5)*($AS$86:$AZ$86&lt;&gt;"")*IF(((UPPER($AS$86:$AZ$86)="BLANK")+(UPPER($AS$86:$AZ$86)="(BLANK)")+(UPPER($AS$86:$AZ$86)="EMPTY")+(UPPER($AS$86:$AZ$86)="(EMPTY)"))&gt;0,IFERROR(('Final Calculation Sheet'!$Z$24)&amp;"","")="",ISNUMBER(SEARCH($AS$86:$AZ$86,IFERROR(('Final Calculation Sheet'!$Z$24)&amp;"","")))))&gt;0),IF(COUNTIF($BI$86:$BP$86,6)=0,TRUE,SUMPRODUCT(($BI$86:$BP$86=6)*($AS$86:$AZ$86&lt;&gt;"")*IF(((UPPER($AS$86:$AZ$86)="BLANK")+(UPPER($AS$86:$AZ$86)="(BLANK)")+(UPPER($AS$86:$AZ$86)="EMPTY")+(UPPER($AS$86:$AZ$86)="(EMPTY)"))&gt;0,IFERROR(('Final Calculation Sheet'!$Z$24)&amp;"","")="",ISNUMBER(SEARCH($AS$86:$AZ$86,IFERROR(('Final Calculation Sheet'!$Z$24)&amp;"","")))))&gt;0),IF(COUNTIF($BI$86:$BP$86,7)=0,TRUE,SUMPRODUCT(($BI$86:$BP$86=7)*($AS$86:$AZ$86&lt;&gt;"")*IF(((UPPER($AS$86:$AZ$86)="BLANK")+(UPPER($AS$86:$AZ$86)="(BLANK)")+(UPPER($AS$86:$AZ$86)="EMPTY")+(UPPER($AS$86:$AZ$86)="(EMPTY)"))&gt;0,IFERROR(('Final Calculation Sheet'!$Z$24)&amp;"","")="",ISNUMBER(SEARCH($AS$86:$AZ$86,IFERROR(('Final Calculation Sheet'!$Z$24)&amp;"","")))))&gt;0),IF(COUNTIF($BI$86:$BP$86,8)=0,TRUE,SUMPRODUCT(($BI$86:$BP$86=8)*($AS$86:$AZ$86&lt;&gt;"")*IF(((UPPER($AS$86:$AZ$86)="BLANK")+(UPPER($AS$86:$AZ$86)="(BLANK)")+(UPPER($AS$86:$AZ$86)="EMPTY")+(UPPER($AS$86:$AZ$86)="(EMPTY)"))&gt;0,IFERROR(('Final Calculation Sheet'!$Z$24)&amp;"","")="",ISNUMBER(SEARCH($AS$86:$AZ$86,IFERROR(('Final Calculation Sheet'!$Z$24)&amp;"","")))))&gt;0))))</f>
        <v>1</v>
      </c>
      <c r="CN25">
        <f>IF($AB$4="",1,--(AND(SUMPRODUCT(--($AS$87:$AZ$87&lt;&gt;""))&gt;0,IF(COUNTIF($BI$87:$BP$87,1)=0,TRUE,SUMPRODUCT(($BI$87:$BP$87=1)*($AS$87:$AZ$87&lt;&gt;"")*IF(((UPPER($AS$87:$AZ$87)="BLANK")+(UPPER($AS$87:$AZ$87)="(BLANK)")+(UPPER($AS$87:$AZ$87)="EMPTY")+(UPPER($AS$87:$AZ$87)="(EMPTY)"))&gt;0,IFERROR(('Final Calculation Sheet'!$AA$24)&amp;"","")="",ISNUMBER(SEARCH($AS$87:$AZ$87,IFERROR(('Final Calculation Sheet'!$AA$24)&amp;"","")))))&gt;0),IF(COUNTIF($BI$87:$BP$87,2)=0,TRUE,SUMPRODUCT(($BI$87:$BP$87=2)*($AS$87:$AZ$87&lt;&gt;"")*IF(((UPPER($AS$87:$AZ$87)="BLANK")+(UPPER($AS$87:$AZ$87)="(BLANK)")+(UPPER($AS$87:$AZ$87)="EMPTY")+(UPPER($AS$87:$AZ$87)="(EMPTY)"))&gt;0,IFERROR(('Final Calculation Sheet'!$AA$24)&amp;"","")="",ISNUMBER(SEARCH($AS$87:$AZ$87,IFERROR(('Final Calculation Sheet'!$AA$24)&amp;"","")))))&gt;0),IF(COUNTIF($BI$87:$BP$87,3)=0,TRUE,SUMPRODUCT(($BI$87:$BP$87=3)*($AS$87:$AZ$87&lt;&gt;"")*IF(((UPPER($AS$87:$AZ$87)="BLANK")+(UPPER($AS$87:$AZ$87)="(BLANK)")+(UPPER($AS$87:$AZ$87)="EMPTY")+(UPPER($AS$87:$AZ$87)="(EMPTY)"))&gt;0,IFERROR(('Final Calculation Sheet'!$AA$24)&amp;"","")="",ISNUMBER(SEARCH($AS$87:$AZ$87,IFERROR(('Final Calculation Sheet'!$AA$24)&amp;"","")))))&gt;0),IF(COUNTIF($BI$87:$BP$87,4)=0,TRUE,SUMPRODUCT(($BI$87:$BP$87=4)*($AS$87:$AZ$87&lt;&gt;"")*IF(((UPPER($AS$87:$AZ$87)="BLANK")+(UPPER($AS$87:$AZ$87)="(BLANK)")+(UPPER($AS$87:$AZ$87)="EMPTY")+(UPPER($AS$87:$AZ$87)="(EMPTY)"))&gt;0,IFERROR(('Final Calculation Sheet'!$AA$24)&amp;"","")="",ISNUMBER(SEARCH($AS$87:$AZ$87,IFERROR(('Final Calculation Sheet'!$AA$24)&amp;"","")))))&gt;0),IF(COUNTIF($BI$87:$BP$87,5)=0,TRUE,SUMPRODUCT(($BI$87:$BP$87=5)*($AS$87:$AZ$87&lt;&gt;"")*IF(((UPPER($AS$87:$AZ$87)="BLANK")+(UPPER($AS$87:$AZ$87)="(BLANK)")+(UPPER($AS$87:$AZ$87)="EMPTY")+(UPPER($AS$87:$AZ$87)="(EMPTY)"))&gt;0,IFERROR(('Final Calculation Sheet'!$AA$24)&amp;"","")="",ISNUMBER(SEARCH($AS$87:$AZ$87,IFERROR(('Final Calculation Sheet'!$AA$24)&amp;"","")))))&gt;0),IF(COUNTIF($BI$87:$BP$87,6)=0,TRUE,SUMPRODUCT(($BI$87:$BP$87=6)*($AS$87:$AZ$87&lt;&gt;"")*IF(((UPPER($AS$87:$AZ$87)="BLANK")+(UPPER($AS$87:$AZ$87)="(BLANK)")+(UPPER($AS$87:$AZ$87)="EMPTY")+(UPPER($AS$87:$AZ$87)="(EMPTY)"))&gt;0,IFERROR(('Final Calculation Sheet'!$AA$24)&amp;"","")="",ISNUMBER(SEARCH($AS$87:$AZ$87,IFERROR(('Final Calculation Sheet'!$AA$24)&amp;"","")))))&gt;0),IF(COUNTIF($BI$87:$BP$87,7)=0,TRUE,SUMPRODUCT(($BI$87:$BP$87=7)*($AS$87:$AZ$87&lt;&gt;"")*IF(((UPPER($AS$87:$AZ$87)="BLANK")+(UPPER($AS$87:$AZ$87)="(BLANK)")+(UPPER($AS$87:$AZ$87)="EMPTY")+(UPPER($AS$87:$AZ$87)="(EMPTY)"))&gt;0,IFERROR(('Final Calculation Sheet'!$AA$24)&amp;"","")="",ISNUMBER(SEARCH($AS$87:$AZ$87,IFERROR(('Final Calculation Sheet'!$AA$24)&amp;"","")))))&gt;0),IF(COUNTIF($BI$87:$BP$87,8)=0,TRUE,SUMPRODUCT(($BI$87:$BP$87=8)*($AS$87:$AZ$87&lt;&gt;"")*IF(((UPPER($AS$87:$AZ$87)="BLANK")+(UPPER($AS$87:$AZ$87)="(BLANK)")+(UPPER($AS$87:$AZ$87)="EMPTY")+(UPPER($AS$87:$AZ$87)="(EMPTY)"))&gt;0,IFERROR(('Final Calculation Sheet'!$AA$24)&amp;"","")="",ISNUMBER(SEARCH($AS$87:$AZ$87,IFERROR(('Final Calculation Sheet'!$AA$24)&amp;"","")))))&gt;0))))</f>
        <v>1</v>
      </c>
      <c r="CO25">
        <f>IF($AC$4="",1,--(AND(SUMPRODUCT(--($AS$88:$AZ$88&lt;&gt;""))&gt;0,IF(COUNTIF($BI$88:$BP$88,1)=0,TRUE,SUMPRODUCT(($BI$88:$BP$88=1)*($AS$88:$AZ$88&lt;&gt;"")*IF(((UPPER($AS$88:$AZ$88)="BLANK")+(UPPER($AS$88:$AZ$88)="(BLANK)")+(UPPER($AS$88:$AZ$88)="EMPTY")+(UPPER($AS$88:$AZ$88)="(EMPTY)"))&gt;0,IFERROR(('Final Calculation Sheet'!$AB$24)&amp;"","")="",ISNUMBER(SEARCH($AS$88:$AZ$88,IFERROR(('Final Calculation Sheet'!$AB$24)&amp;"","")))))&gt;0),IF(COUNTIF($BI$88:$BP$88,2)=0,TRUE,SUMPRODUCT(($BI$88:$BP$88=2)*($AS$88:$AZ$88&lt;&gt;"")*IF(((UPPER($AS$88:$AZ$88)="BLANK")+(UPPER($AS$88:$AZ$88)="(BLANK)")+(UPPER($AS$88:$AZ$88)="EMPTY")+(UPPER($AS$88:$AZ$88)="(EMPTY)"))&gt;0,IFERROR(('Final Calculation Sheet'!$AB$24)&amp;"","")="",ISNUMBER(SEARCH($AS$88:$AZ$88,IFERROR(('Final Calculation Sheet'!$AB$24)&amp;"","")))))&gt;0),IF(COUNTIF($BI$88:$BP$88,3)=0,TRUE,SUMPRODUCT(($BI$88:$BP$88=3)*($AS$88:$AZ$88&lt;&gt;"")*IF(((UPPER($AS$88:$AZ$88)="BLANK")+(UPPER($AS$88:$AZ$88)="(BLANK)")+(UPPER($AS$88:$AZ$88)="EMPTY")+(UPPER($AS$88:$AZ$88)="(EMPTY)"))&gt;0,IFERROR(('Final Calculation Sheet'!$AB$24)&amp;"","")="",ISNUMBER(SEARCH($AS$88:$AZ$88,IFERROR(('Final Calculation Sheet'!$AB$24)&amp;"","")))))&gt;0),IF(COUNTIF($BI$88:$BP$88,4)=0,TRUE,SUMPRODUCT(($BI$88:$BP$88=4)*($AS$88:$AZ$88&lt;&gt;"")*IF(((UPPER($AS$88:$AZ$88)="BLANK")+(UPPER($AS$88:$AZ$88)="(BLANK)")+(UPPER($AS$88:$AZ$88)="EMPTY")+(UPPER($AS$88:$AZ$88)="(EMPTY)"))&gt;0,IFERROR(('Final Calculation Sheet'!$AB$24)&amp;"","")="",ISNUMBER(SEARCH($AS$88:$AZ$88,IFERROR(('Final Calculation Sheet'!$AB$24)&amp;"","")))))&gt;0),IF(COUNTIF($BI$88:$BP$88,5)=0,TRUE,SUMPRODUCT(($BI$88:$BP$88=5)*($AS$88:$AZ$88&lt;&gt;"")*IF(((UPPER($AS$88:$AZ$88)="BLANK")+(UPPER($AS$88:$AZ$88)="(BLANK)")+(UPPER($AS$88:$AZ$88)="EMPTY")+(UPPER($AS$88:$AZ$88)="(EMPTY)"))&gt;0,IFERROR(('Final Calculation Sheet'!$AB$24)&amp;"","")="",ISNUMBER(SEARCH($AS$88:$AZ$88,IFERROR(('Final Calculation Sheet'!$AB$24)&amp;"","")))))&gt;0),IF(COUNTIF($BI$88:$BP$88,6)=0,TRUE,SUMPRODUCT(($BI$88:$BP$88=6)*($AS$88:$AZ$88&lt;&gt;"")*IF(((UPPER($AS$88:$AZ$88)="BLANK")+(UPPER($AS$88:$AZ$88)="(BLANK)")+(UPPER($AS$88:$AZ$88)="EMPTY")+(UPPER($AS$88:$AZ$88)="(EMPTY)"))&gt;0,IFERROR(('Final Calculation Sheet'!$AB$24)&amp;"","")="",ISNUMBER(SEARCH($AS$88:$AZ$88,IFERROR(('Final Calculation Sheet'!$AB$24)&amp;"","")))))&gt;0),IF(COUNTIF($BI$88:$BP$88,7)=0,TRUE,SUMPRODUCT(($BI$88:$BP$88=7)*($AS$88:$AZ$88&lt;&gt;"")*IF(((UPPER($AS$88:$AZ$88)="BLANK")+(UPPER($AS$88:$AZ$88)="(BLANK)")+(UPPER($AS$88:$AZ$88)="EMPTY")+(UPPER($AS$88:$AZ$88)="(EMPTY)"))&gt;0,IFERROR(('Final Calculation Sheet'!$AB$24)&amp;"","")="",ISNUMBER(SEARCH($AS$88:$AZ$88,IFERROR(('Final Calculation Sheet'!$AB$24)&amp;"","")))))&gt;0),IF(COUNTIF($BI$88:$BP$88,8)=0,TRUE,SUMPRODUCT(($BI$88:$BP$88=8)*($AS$88:$AZ$88&lt;&gt;"")*IF(((UPPER($AS$88:$AZ$88)="BLANK")+(UPPER($AS$88:$AZ$88)="(BLANK)")+(UPPER($AS$88:$AZ$88)="EMPTY")+(UPPER($AS$88:$AZ$88)="(EMPTY)"))&gt;0,IFERROR(('Final Calculation Sheet'!$AB$24)&amp;"","")="",ISNUMBER(SEARCH($AS$88:$AZ$88,IFERROR(('Final Calculation Sheet'!$AB$24)&amp;"","")))))&gt;0))))</f>
        <v>1</v>
      </c>
      <c r="CP25">
        <f>IF($AD$4="",1,--(AND(SUMPRODUCT(--($AS$89:$AZ$89&lt;&gt;""))&gt;0,IF(COUNTIF($BI$89:$BP$89,1)=0,TRUE,SUMPRODUCT(($BI$89:$BP$89=1)*($AS$89:$AZ$89&lt;&gt;"")*IF(((UPPER($AS$89:$AZ$89)="BLANK")+(UPPER($AS$89:$AZ$89)="(BLANK)")+(UPPER($AS$89:$AZ$89)="EMPTY")+(UPPER($AS$89:$AZ$89)="(EMPTY)"))&gt;0,IFERROR(('Final Calculation Sheet'!$AC$24)&amp;"","")="",ISNUMBER(SEARCH($AS$89:$AZ$89,IFERROR(('Final Calculation Sheet'!$AC$24)&amp;"","")))))&gt;0),IF(COUNTIF($BI$89:$BP$89,2)=0,TRUE,SUMPRODUCT(($BI$89:$BP$89=2)*($AS$89:$AZ$89&lt;&gt;"")*IF(((UPPER($AS$89:$AZ$89)="BLANK")+(UPPER($AS$89:$AZ$89)="(BLANK)")+(UPPER($AS$89:$AZ$89)="EMPTY")+(UPPER($AS$89:$AZ$89)="(EMPTY)"))&gt;0,IFERROR(('Final Calculation Sheet'!$AC$24)&amp;"","")="",ISNUMBER(SEARCH($AS$89:$AZ$89,IFERROR(('Final Calculation Sheet'!$AC$24)&amp;"","")))))&gt;0),IF(COUNTIF($BI$89:$BP$89,3)=0,TRUE,SUMPRODUCT(($BI$89:$BP$89=3)*($AS$89:$AZ$89&lt;&gt;"")*IF(((UPPER($AS$89:$AZ$89)="BLANK")+(UPPER($AS$89:$AZ$89)="(BLANK)")+(UPPER($AS$89:$AZ$89)="EMPTY")+(UPPER($AS$89:$AZ$89)="(EMPTY)"))&gt;0,IFERROR(('Final Calculation Sheet'!$AC$24)&amp;"","")="",ISNUMBER(SEARCH($AS$89:$AZ$89,IFERROR(('Final Calculation Sheet'!$AC$24)&amp;"","")))))&gt;0),IF(COUNTIF($BI$89:$BP$89,4)=0,TRUE,SUMPRODUCT(($BI$89:$BP$89=4)*($AS$89:$AZ$89&lt;&gt;"")*IF(((UPPER($AS$89:$AZ$89)="BLANK")+(UPPER($AS$89:$AZ$89)="(BLANK)")+(UPPER($AS$89:$AZ$89)="EMPTY")+(UPPER($AS$89:$AZ$89)="(EMPTY)"))&gt;0,IFERROR(('Final Calculation Sheet'!$AC$24)&amp;"","")="",ISNUMBER(SEARCH($AS$89:$AZ$89,IFERROR(('Final Calculation Sheet'!$AC$24)&amp;"","")))))&gt;0),IF(COUNTIF($BI$89:$BP$89,5)=0,TRUE,SUMPRODUCT(($BI$89:$BP$89=5)*($AS$89:$AZ$89&lt;&gt;"")*IF(((UPPER($AS$89:$AZ$89)="BLANK")+(UPPER($AS$89:$AZ$89)="(BLANK)")+(UPPER($AS$89:$AZ$89)="EMPTY")+(UPPER($AS$89:$AZ$89)="(EMPTY)"))&gt;0,IFERROR(('Final Calculation Sheet'!$AC$24)&amp;"","")="",ISNUMBER(SEARCH($AS$89:$AZ$89,IFERROR(('Final Calculation Sheet'!$AC$24)&amp;"","")))))&gt;0),IF(COUNTIF($BI$89:$BP$89,6)=0,TRUE,SUMPRODUCT(($BI$89:$BP$89=6)*($AS$89:$AZ$89&lt;&gt;"")*IF(((UPPER($AS$89:$AZ$89)="BLANK")+(UPPER($AS$89:$AZ$89)="(BLANK)")+(UPPER($AS$89:$AZ$89)="EMPTY")+(UPPER($AS$89:$AZ$89)="(EMPTY)"))&gt;0,IFERROR(('Final Calculation Sheet'!$AC$24)&amp;"","")="",ISNUMBER(SEARCH($AS$89:$AZ$89,IFERROR(('Final Calculation Sheet'!$AC$24)&amp;"","")))))&gt;0),IF(COUNTIF($BI$89:$BP$89,7)=0,TRUE,SUMPRODUCT(($BI$89:$BP$89=7)*($AS$89:$AZ$89&lt;&gt;"")*IF(((UPPER($AS$89:$AZ$89)="BLANK")+(UPPER($AS$89:$AZ$89)="(BLANK)")+(UPPER($AS$89:$AZ$89)="EMPTY")+(UPPER($AS$89:$AZ$89)="(EMPTY)"))&gt;0,IFERROR(('Final Calculation Sheet'!$AC$24)&amp;"","")="",ISNUMBER(SEARCH($AS$89:$AZ$89,IFERROR(('Final Calculation Sheet'!$AC$24)&amp;"","")))))&gt;0),IF(COUNTIF($BI$89:$BP$89,8)=0,TRUE,SUMPRODUCT(($BI$89:$BP$89=8)*($AS$89:$AZ$89&lt;&gt;"")*IF(((UPPER($AS$89:$AZ$89)="BLANK")+(UPPER($AS$89:$AZ$89)="(BLANK)")+(UPPER($AS$89:$AZ$89)="EMPTY")+(UPPER($AS$89:$AZ$89)="(EMPTY)"))&gt;0,IFERROR(('Final Calculation Sheet'!$AC$24)&amp;"","")="",ISNUMBER(SEARCH($AS$89:$AZ$89,IFERROR(('Final Calculation Sheet'!$AC$24)&amp;"","")))))&gt;0))))</f>
        <v>1</v>
      </c>
      <c r="CQ25">
        <f>IF($AE$4="",1,--(AND(SUMPRODUCT(--($AS$90:$AZ$90&lt;&gt;""))&gt;0,IF(COUNTIF($BI$90:$BP$90,1)=0,TRUE,SUMPRODUCT(($BI$90:$BP$90=1)*($AS$90:$AZ$90&lt;&gt;"")*IF(((UPPER($AS$90:$AZ$90)="BLANK")+(UPPER($AS$90:$AZ$90)="(BLANK)")+(UPPER($AS$90:$AZ$90)="EMPTY")+(UPPER($AS$90:$AZ$90)="(EMPTY)"))&gt;0,IFERROR(('Final Calculation Sheet'!$AD$24)&amp;"","")="",ISNUMBER(SEARCH($AS$90:$AZ$90,IFERROR(('Final Calculation Sheet'!$AD$24)&amp;"","")))))&gt;0),IF(COUNTIF($BI$90:$BP$90,2)=0,TRUE,SUMPRODUCT(($BI$90:$BP$90=2)*($AS$90:$AZ$90&lt;&gt;"")*IF(((UPPER($AS$90:$AZ$90)="BLANK")+(UPPER($AS$90:$AZ$90)="(BLANK)")+(UPPER($AS$90:$AZ$90)="EMPTY")+(UPPER($AS$90:$AZ$90)="(EMPTY)"))&gt;0,IFERROR(('Final Calculation Sheet'!$AD$24)&amp;"","")="",ISNUMBER(SEARCH($AS$90:$AZ$90,IFERROR(('Final Calculation Sheet'!$AD$24)&amp;"","")))))&gt;0),IF(COUNTIF($BI$90:$BP$90,3)=0,TRUE,SUMPRODUCT(($BI$90:$BP$90=3)*($AS$90:$AZ$90&lt;&gt;"")*IF(((UPPER($AS$90:$AZ$90)="BLANK")+(UPPER($AS$90:$AZ$90)="(BLANK)")+(UPPER($AS$90:$AZ$90)="EMPTY")+(UPPER($AS$90:$AZ$90)="(EMPTY)"))&gt;0,IFERROR(('Final Calculation Sheet'!$AD$24)&amp;"","")="",ISNUMBER(SEARCH($AS$90:$AZ$90,IFERROR(('Final Calculation Sheet'!$AD$24)&amp;"","")))))&gt;0),IF(COUNTIF($BI$90:$BP$90,4)=0,TRUE,SUMPRODUCT(($BI$90:$BP$90=4)*($AS$90:$AZ$90&lt;&gt;"")*IF(((UPPER($AS$90:$AZ$90)="BLANK")+(UPPER($AS$90:$AZ$90)="(BLANK)")+(UPPER($AS$90:$AZ$90)="EMPTY")+(UPPER($AS$90:$AZ$90)="(EMPTY)"))&gt;0,IFERROR(('Final Calculation Sheet'!$AD$24)&amp;"","")="",ISNUMBER(SEARCH($AS$90:$AZ$90,IFERROR(('Final Calculation Sheet'!$AD$24)&amp;"","")))))&gt;0),IF(COUNTIF($BI$90:$BP$90,5)=0,TRUE,SUMPRODUCT(($BI$90:$BP$90=5)*($AS$90:$AZ$90&lt;&gt;"")*IF(((UPPER($AS$90:$AZ$90)="BLANK")+(UPPER($AS$90:$AZ$90)="(BLANK)")+(UPPER($AS$90:$AZ$90)="EMPTY")+(UPPER($AS$90:$AZ$90)="(EMPTY)"))&gt;0,IFERROR(('Final Calculation Sheet'!$AD$24)&amp;"","")="",ISNUMBER(SEARCH($AS$90:$AZ$90,IFERROR(('Final Calculation Sheet'!$AD$24)&amp;"","")))))&gt;0),IF(COUNTIF($BI$90:$BP$90,6)=0,TRUE,SUMPRODUCT(($BI$90:$BP$90=6)*($AS$90:$AZ$90&lt;&gt;"")*IF(((UPPER($AS$90:$AZ$90)="BLANK")+(UPPER($AS$90:$AZ$90)="(BLANK)")+(UPPER($AS$90:$AZ$90)="EMPTY")+(UPPER($AS$90:$AZ$90)="(EMPTY)"))&gt;0,IFERROR(('Final Calculation Sheet'!$AD$24)&amp;"","")="",ISNUMBER(SEARCH($AS$90:$AZ$90,IFERROR(('Final Calculation Sheet'!$AD$24)&amp;"","")))))&gt;0),IF(COUNTIF($BI$90:$BP$90,7)=0,TRUE,SUMPRODUCT(($BI$90:$BP$90=7)*($AS$90:$AZ$90&lt;&gt;"")*IF(((UPPER($AS$90:$AZ$90)="BLANK")+(UPPER($AS$90:$AZ$90)="(BLANK)")+(UPPER($AS$90:$AZ$90)="EMPTY")+(UPPER($AS$90:$AZ$90)="(EMPTY)"))&gt;0,IFERROR(('Final Calculation Sheet'!$AD$24)&amp;"","")="",ISNUMBER(SEARCH($AS$90:$AZ$90,IFERROR(('Final Calculation Sheet'!$AD$24)&amp;"","")))))&gt;0),IF(COUNTIF($BI$90:$BP$90,8)=0,TRUE,SUMPRODUCT(($BI$90:$BP$90=8)*($AS$90:$AZ$90&lt;&gt;"")*IF(((UPPER($AS$90:$AZ$90)="BLANK")+(UPPER($AS$90:$AZ$90)="(BLANK)")+(UPPER($AS$90:$AZ$90)="EMPTY")+(UPPER($AS$90:$AZ$90)="(EMPTY)"))&gt;0,IFERROR(('Final Calculation Sheet'!$AD$24)&amp;"","")="",ISNUMBER(SEARCH($AS$90:$AZ$90,IFERROR(('Final Calculation Sheet'!$AD$24)&amp;"","")))))&gt;0))))</f>
        <v>1</v>
      </c>
      <c r="CR25">
        <f>IF($AF$4="",1,--(AND(SUMPRODUCT(--($AS$91:$AZ$91&lt;&gt;""))&gt;0,IF(COUNTIF($BI$91:$BP$91,1)=0,TRUE,SUMPRODUCT(($BI$91:$BP$91=1)*($AS$91:$AZ$91&lt;&gt;"")*IF(((UPPER($AS$91:$AZ$91)="BLANK")+(UPPER($AS$91:$AZ$91)="(BLANK)")+(UPPER($AS$91:$AZ$91)="EMPTY")+(UPPER($AS$91:$AZ$91)="(EMPTY)"))&gt;0,IFERROR(('Final Calculation Sheet'!$AE$24)&amp;"","")="",ISNUMBER(SEARCH($AS$91:$AZ$91,IFERROR(('Final Calculation Sheet'!$AE$24)&amp;"","")))))&gt;0),IF(COUNTIF($BI$91:$BP$91,2)=0,TRUE,SUMPRODUCT(($BI$91:$BP$91=2)*($AS$91:$AZ$91&lt;&gt;"")*IF(((UPPER($AS$91:$AZ$91)="BLANK")+(UPPER($AS$91:$AZ$91)="(BLANK)")+(UPPER($AS$91:$AZ$91)="EMPTY")+(UPPER($AS$91:$AZ$91)="(EMPTY)"))&gt;0,IFERROR(('Final Calculation Sheet'!$AE$24)&amp;"","")="",ISNUMBER(SEARCH($AS$91:$AZ$91,IFERROR(('Final Calculation Sheet'!$AE$24)&amp;"","")))))&gt;0),IF(COUNTIF($BI$91:$BP$91,3)=0,TRUE,SUMPRODUCT(($BI$91:$BP$91=3)*($AS$91:$AZ$91&lt;&gt;"")*IF(((UPPER($AS$91:$AZ$91)="BLANK")+(UPPER($AS$91:$AZ$91)="(BLANK)")+(UPPER($AS$91:$AZ$91)="EMPTY")+(UPPER($AS$91:$AZ$91)="(EMPTY)"))&gt;0,IFERROR(('Final Calculation Sheet'!$AE$24)&amp;"","")="",ISNUMBER(SEARCH($AS$91:$AZ$91,IFERROR(('Final Calculation Sheet'!$AE$24)&amp;"","")))))&gt;0),IF(COUNTIF($BI$91:$BP$91,4)=0,TRUE,SUMPRODUCT(($BI$91:$BP$91=4)*($AS$91:$AZ$91&lt;&gt;"")*IF(((UPPER($AS$91:$AZ$91)="BLANK")+(UPPER($AS$91:$AZ$91)="(BLANK)")+(UPPER($AS$91:$AZ$91)="EMPTY")+(UPPER($AS$91:$AZ$91)="(EMPTY)"))&gt;0,IFERROR(('Final Calculation Sheet'!$AE$24)&amp;"","")="",ISNUMBER(SEARCH($AS$91:$AZ$91,IFERROR(('Final Calculation Sheet'!$AE$24)&amp;"","")))))&gt;0),IF(COUNTIF($BI$91:$BP$91,5)=0,TRUE,SUMPRODUCT(($BI$91:$BP$91=5)*($AS$91:$AZ$91&lt;&gt;"")*IF(((UPPER($AS$91:$AZ$91)="BLANK")+(UPPER($AS$91:$AZ$91)="(BLANK)")+(UPPER($AS$91:$AZ$91)="EMPTY")+(UPPER($AS$91:$AZ$91)="(EMPTY)"))&gt;0,IFERROR(('Final Calculation Sheet'!$AE$24)&amp;"","")="",ISNUMBER(SEARCH($AS$91:$AZ$91,IFERROR(('Final Calculation Sheet'!$AE$24)&amp;"","")))))&gt;0),IF(COUNTIF($BI$91:$BP$91,6)=0,TRUE,SUMPRODUCT(($BI$91:$BP$91=6)*($AS$91:$AZ$91&lt;&gt;"")*IF(((UPPER($AS$91:$AZ$91)="BLANK")+(UPPER($AS$91:$AZ$91)="(BLANK)")+(UPPER($AS$91:$AZ$91)="EMPTY")+(UPPER($AS$91:$AZ$91)="(EMPTY)"))&gt;0,IFERROR(('Final Calculation Sheet'!$AE$24)&amp;"","")="",ISNUMBER(SEARCH($AS$91:$AZ$91,IFERROR(('Final Calculation Sheet'!$AE$24)&amp;"","")))))&gt;0),IF(COUNTIF($BI$91:$BP$91,7)=0,TRUE,SUMPRODUCT(($BI$91:$BP$91=7)*($AS$91:$AZ$91&lt;&gt;"")*IF(((UPPER($AS$91:$AZ$91)="BLANK")+(UPPER($AS$91:$AZ$91)="(BLANK)")+(UPPER($AS$91:$AZ$91)="EMPTY")+(UPPER($AS$91:$AZ$91)="(EMPTY)"))&gt;0,IFERROR(('Final Calculation Sheet'!$AE$24)&amp;"","")="",ISNUMBER(SEARCH($AS$91:$AZ$91,IFERROR(('Final Calculation Sheet'!$AE$24)&amp;"","")))))&gt;0),IF(COUNTIF($BI$91:$BP$91,8)=0,TRUE,SUMPRODUCT(($BI$91:$BP$91=8)*($AS$91:$AZ$91&lt;&gt;"")*IF(((UPPER($AS$91:$AZ$91)="BLANK")+(UPPER($AS$91:$AZ$91)="(BLANK)")+(UPPER($AS$91:$AZ$91)="EMPTY")+(UPPER($AS$91:$AZ$91)="(EMPTY)"))&gt;0,IFERROR(('Final Calculation Sheet'!$AE$24)&amp;"","")="",ISNUMBER(SEARCH($AS$91:$AZ$91,IFERROR(('Final Calculation Sheet'!$AE$24)&amp;"","")))))&gt;0))))</f>
        <v>1</v>
      </c>
      <c r="CS25">
        <f>IF($AG$4="",1,--(AND(SUMPRODUCT(--($AS$92:$AZ$92&lt;&gt;""))&gt;0,IF(COUNTIF($BI$92:$BP$92,1)=0,TRUE,SUMPRODUCT(($BI$92:$BP$92=1)*($AS$92:$AZ$92&lt;&gt;"")*IF(((UPPER($AS$92:$AZ$92)="BLANK")+(UPPER($AS$92:$AZ$92)="(BLANK)")+(UPPER($AS$92:$AZ$92)="EMPTY")+(UPPER($AS$92:$AZ$92)="(EMPTY)"))&gt;0,IFERROR(('Final Calculation Sheet'!$AF$24)&amp;"","")="",ISNUMBER(SEARCH($AS$92:$AZ$92,IFERROR(('Final Calculation Sheet'!$AF$24)&amp;"","")))))&gt;0),IF(COUNTIF($BI$92:$BP$92,2)=0,TRUE,SUMPRODUCT(($BI$92:$BP$92=2)*($AS$92:$AZ$92&lt;&gt;"")*IF(((UPPER($AS$92:$AZ$92)="BLANK")+(UPPER($AS$92:$AZ$92)="(BLANK)")+(UPPER($AS$92:$AZ$92)="EMPTY")+(UPPER($AS$92:$AZ$92)="(EMPTY)"))&gt;0,IFERROR(('Final Calculation Sheet'!$AF$24)&amp;"","")="",ISNUMBER(SEARCH($AS$92:$AZ$92,IFERROR(('Final Calculation Sheet'!$AF$24)&amp;"","")))))&gt;0),IF(COUNTIF($BI$92:$BP$92,3)=0,TRUE,SUMPRODUCT(($BI$92:$BP$92=3)*($AS$92:$AZ$92&lt;&gt;"")*IF(((UPPER($AS$92:$AZ$92)="BLANK")+(UPPER($AS$92:$AZ$92)="(BLANK)")+(UPPER($AS$92:$AZ$92)="EMPTY")+(UPPER($AS$92:$AZ$92)="(EMPTY)"))&gt;0,IFERROR(('Final Calculation Sheet'!$AF$24)&amp;"","")="",ISNUMBER(SEARCH($AS$92:$AZ$92,IFERROR(('Final Calculation Sheet'!$AF$24)&amp;"","")))))&gt;0),IF(COUNTIF($BI$92:$BP$92,4)=0,TRUE,SUMPRODUCT(($BI$92:$BP$92=4)*($AS$92:$AZ$92&lt;&gt;"")*IF(((UPPER($AS$92:$AZ$92)="BLANK")+(UPPER($AS$92:$AZ$92)="(BLANK)")+(UPPER($AS$92:$AZ$92)="EMPTY")+(UPPER($AS$92:$AZ$92)="(EMPTY)"))&gt;0,IFERROR(('Final Calculation Sheet'!$AF$24)&amp;"","")="",ISNUMBER(SEARCH($AS$92:$AZ$92,IFERROR(('Final Calculation Sheet'!$AF$24)&amp;"","")))))&gt;0),IF(COUNTIF($BI$92:$BP$92,5)=0,TRUE,SUMPRODUCT(($BI$92:$BP$92=5)*($AS$92:$AZ$92&lt;&gt;"")*IF(((UPPER($AS$92:$AZ$92)="BLANK")+(UPPER($AS$92:$AZ$92)="(BLANK)")+(UPPER($AS$92:$AZ$92)="EMPTY")+(UPPER($AS$92:$AZ$92)="(EMPTY)"))&gt;0,IFERROR(('Final Calculation Sheet'!$AF$24)&amp;"","")="",ISNUMBER(SEARCH($AS$92:$AZ$92,IFERROR(('Final Calculation Sheet'!$AF$24)&amp;"","")))))&gt;0),IF(COUNTIF($BI$92:$BP$92,6)=0,TRUE,SUMPRODUCT(($BI$92:$BP$92=6)*($AS$92:$AZ$92&lt;&gt;"")*IF(((UPPER($AS$92:$AZ$92)="BLANK")+(UPPER($AS$92:$AZ$92)="(BLANK)")+(UPPER($AS$92:$AZ$92)="EMPTY")+(UPPER($AS$92:$AZ$92)="(EMPTY)"))&gt;0,IFERROR(('Final Calculation Sheet'!$AF$24)&amp;"","")="",ISNUMBER(SEARCH($AS$92:$AZ$92,IFERROR(('Final Calculation Sheet'!$AF$24)&amp;"","")))))&gt;0),IF(COUNTIF($BI$92:$BP$92,7)=0,TRUE,SUMPRODUCT(($BI$92:$BP$92=7)*($AS$92:$AZ$92&lt;&gt;"")*IF(((UPPER($AS$92:$AZ$92)="BLANK")+(UPPER($AS$92:$AZ$92)="(BLANK)")+(UPPER($AS$92:$AZ$92)="EMPTY")+(UPPER($AS$92:$AZ$92)="(EMPTY)"))&gt;0,IFERROR(('Final Calculation Sheet'!$AF$24)&amp;"","")="",ISNUMBER(SEARCH($AS$92:$AZ$92,IFERROR(('Final Calculation Sheet'!$AF$24)&amp;"","")))))&gt;0),IF(COUNTIF($BI$92:$BP$92,8)=0,TRUE,SUMPRODUCT(($BI$92:$BP$92=8)*($AS$92:$AZ$92&lt;&gt;"")*IF(((UPPER($AS$92:$AZ$92)="BLANK")+(UPPER($AS$92:$AZ$92)="(BLANK)")+(UPPER($AS$92:$AZ$92)="EMPTY")+(UPPER($AS$92:$AZ$92)="(EMPTY)"))&gt;0,IFERROR(('Final Calculation Sheet'!$AF$24)&amp;"","")="",ISNUMBER(SEARCH($AS$92:$AZ$92,IFERROR(('Final Calculation Sheet'!$AF$24)&amp;"","")))))&gt;0))))</f>
        <v>1</v>
      </c>
      <c r="CT25">
        <f>IF($AH$4="",1,--(AND(SUMPRODUCT(--($AS$93:$AZ$93&lt;&gt;""))&gt;0,IF(COUNTIF($BI$93:$BP$93,1)=0,TRUE,SUMPRODUCT(($BI$93:$BP$93=1)*($AS$93:$AZ$93&lt;&gt;"")*IF(((UPPER($AS$93:$AZ$93)="BLANK")+(UPPER($AS$93:$AZ$93)="(BLANK)")+(UPPER($AS$93:$AZ$93)="EMPTY")+(UPPER($AS$93:$AZ$93)="(EMPTY)"))&gt;0,IFERROR(('Final Calculation Sheet'!$AG$24)&amp;"","")="",ISNUMBER(SEARCH($AS$93:$AZ$93,IFERROR(('Final Calculation Sheet'!$AG$24)&amp;"","")))))&gt;0),IF(COUNTIF($BI$93:$BP$93,2)=0,TRUE,SUMPRODUCT(($BI$93:$BP$93=2)*($AS$93:$AZ$93&lt;&gt;"")*IF(((UPPER($AS$93:$AZ$93)="BLANK")+(UPPER($AS$93:$AZ$93)="(BLANK)")+(UPPER($AS$93:$AZ$93)="EMPTY")+(UPPER($AS$93:$AZ$93)="(EMPTY)"))&gt;0,IFERROR(('Final Calculation Sheet'!$AG$24)&amp;"","")="",ISNUMBER(SEARCH($AS$93:$AZ$93,IFERROR(('Final Calculation Sheet'!$AG$24)&amp;"","")))))&gt;0),IF(COUNTIF($BI$93:$BP$93,3)=0,TRUE,SUMPRODUCT(($BI$93:$BP$93=3)*($AS$93:$AZ$93&lt;&gt;"")*IF(((UPPER($AS$93:$AZ$93)="BLANK")+(UPPER($AS$93:$AZ$93)="(BLANK)")+(UPPER($AS$93:$AZ$93)="EMPTY")+(UPPER($AS$93:$AZ$93)="(EMPTY)"))&gt;0,IFERROR(('Final Calculation Sheet'!$AG$24)&amp;"","")="",ISNUMBER(SEARCH($AS$93:$AZ$93,IFERROR(('Final Calculation Sheet'!$AG$24)&amp;"","")))))&gt;0),IF(COUNTIF($BI$93:$BP$93,4)=0,TRUE,SUMPRODUCT(($BI$93:$BP$93=4)*($AS$93:$AZ$93&lt;&gt;"")*IF(((UPPER($AS$93:$AZ$93)="BLANK")+(UPPER($AS$93:$AZ$93)="(BLANK)")+(UPPER($AS$93:$AZ$93)="EMPTY")+(UPPER($AS$93:$AZ$93)="(EMPTY)"))&gt;0,IFERROR(('Final Calculation Sheet'!$AG$24)&amp;"","")="",ISNUMBER(SEARCH($AS$93:$AZ$93,IFERROR(('Final Calculation Sheet'!$AG$24)&amp;"","")))))&gt;0),IF(COUNTIF($BI$93:$BP$93,5)=0,TRUE,SUMPRODUCT(($BI$93:$BP$93=5)*($AS$93:$AZ$93&lt;&gt;"")*IF(((UPPER($AS$93:$AZ$93)="BLANK")+(UPPER($AS$93:$AZ$93)="(BLANK)")+(UPPER($AS$93:$AZ$93)="EMPTY")+(UPPER($AS$93:$AZ$93)="(EMPTY)"))&gt;0,IFERROR(('Final Calculation Sheet'!$AG$24)&amp;"","")="",ISNUMBER(SEARCH($AS$93:$AZ$93,IFERROR(('Final Calculation Sheet'!$AG$24)&amp;"","")))))&gt;0),IF(COUNTIF($BI$93:$BP$93,6)=0,TRUE,SUMPRODUCT(($BI$93:$BP$93=6)*($AS$93:$AZ$93&lt;&gt;"")*IF(((UPPER($AS$93:$AZ$93)="BLANK")+(UPPER($AS$93:$AZ$93)="(BLANK)")+(UPPER($AS$93:$AZ$93)="EMPTY")+(UPPER($AS$93:$AZ$93)="(EMPTY)"))&gt;0,IFERROR(('Final Calculation Sheet'!$AG$24)&amp;"","")="",ISNUMBER(SEARCH($AS$93:$AZ$93,IFERROR(('Final Calculation Sheet'!$AG$24)&amp;"","")))))&gt;0),IF(COUNTIF($BI$93:$BP$93,7)=0,TRUE,SUMPRODUCT(($BI$93:$BP$93=7)*($AS$93:$AZ$93&lt;&gt;"")*IF(((UPPER($AS$93:$AZ$93)="BLANK")+(UPPER($AS$93:$AZ$93)="(BLANK)")+(UPPER($AS$93:$AZ$93)="EMPTY")+(UPPER($AS$93:$AZ$93)="(EMPTY)"))&gt;0,IFERROR(('Final Calculation Sheet'!$AG$24)&amp;"","")="",ISNUMBER(SEARCH($AS$93:$AZ$93,IFERROR(('Final Calculation Sheet'!$AG$24)&amp;"","")))))&gt;0),IF(COUNTIF($BI$93:$BP$93,8)=0,TRUE,SUMPRODUCT(($BI$93:$BP$93=8)*($AS$93:$AZ$93&lt;&gt;"")*IF(((UPPER($AS$93:$AZ$93)="BLANK")+(UPPER($AS$93:$AZ$93)="(BLANK)")+(UPPER($AS$93:$AZ$93)="EMPTY")+(UPPER($AS$93:$AZ$93)="(EMPTY)"))&gt;0,IFERROR(('Final Calculation Sheet'!$AG$24)&amp;"","")="",ISNUMBER(SEARCH($AS$93:$AZ$93,IFERROR(('Final Calculation Sheet'!$AG$24)&amp;"","")))))&gt;0))))</f>
        <v>1</v>
      </c>
      <c r="CU25">
        <f>IF($AI$4="",1,--(AND(SUMPRODUCT(--($AS$94:$AZ$94&lt;&gt;""))&gt;0,IF(COUNTIF($BI$94:$BP$94,1)=0,TRUE,SUMPRODUCT(($BI$94:$BP$94=1)*($AS$94:$AZ$94&lt;&gt;"")*IF(((UPPER($AS$94:$AZ$94)="BLANK")+(UPPER($AS$94:$AZ$94)="(BLANK)")+(UPPER($AS$94:$AZ$94)="EMPTY")+(UPPER($AS$94:$AZ$94)="(EMPTY)"))&gt;0,IFERROR((IF('Final Calculation Sheet'!$AD$24&lt;=0,"SETTLED","OUTSTANDING"))&amp;"","")="",ISNUMBER(SEARCH($AS$94:$AZ$94,IFERROR((IF('Final Calculation Sheet'!$AD$24&lt;=0,"SETTLED","OUTSTANDING"))&amp;"","")))))&gt;0),IF(COUNTIF($BI$94:$BP$94,2)=0,TRUE,SUMPRODUCT(($BI$94:$BP$94=2)*($AS$94:$AZ$94&lt;&gt;"")*IF(((UPPER($AS$94:$AZ$94)="BLANK")+(UPPER($AS$94:$AZ$94)="(BLANK)")+(UPPER($AS$94:$AZ$94)="EMPTY")+(UPPER($AS$94:$AZ$94)="(EMPTY)"))&gt;0,IFERROR((IF('Final Calculation Sheet'!$AD$24&lt;=0,"SETTLED","OUTSTANDING"))&amp;"","")="",ISNUMBER(SEARCH($AS$94:$AZ$94,IFERROR((IF('Final Calculation Sheet'!$AD$24&lt;=0,"SETTLED","OUTSTANDING"))&amp;"","")))))&gt;0),IF(COUNTIF($BI$94:$BP$94,3)=0,TRUE,SUMPRODUCT(($BI$94:$BP$94=3)*($AS$94:$AZ$94&lt;&gt;"")*IF(((UPPER($AS$94:$AZ$94)="BLANK")+(UPPER($AS$94:$AZ$94)="(BLANK)")+(UPPER($AS$94:$AZ$94)="EMPTY")+(UPPER($AS$94:$AZ$94)="(EMPTY)"))&gt;0,IFERROR((IF('Final Calculation Sheet'!$AD$24&lt;=0,"SETTLED","OUTSTANDING"))&amp;"","")="",ISNUMBER(SEARCH($AS$94:$AZ$94,IFERROR((IF('Final Calculation Sheet'!$AD$24&lt;=0,"SETTLED","OUTSTANDING"))&amp;"","")))))&gt;0),IF(COUNTIF($BI$94:$BP$94,4)=0,TRUE,SUMPRODUCT(($BI$94:$BP$94=4)*($AS$94:$AZ$94&lt;&gt;"")*IF(((UPPER($AS$94:$AZ$94)="BLANK")+(UPPER($AS$94:$AZ$94)="(BLANK)")+(UPPER($AS$94:$AZ$94)="EMPTY")+(UPPER($AS$94:$AZ$94)="(EMPTY)"))&gt;0,IFERROR((IF('Final Calculation Sheet'!$AD$24&lt;=0,"SETTLED","OUTSTANDING"))&amp;"","")="",ISNUMBER(SEARCH($AS$94:$AZ$94,IFERROR((IF('Final Calculation Sheet'!$AD$24&lt;=0,"SETTLED","OUTSTANDING"))&amp;"","")))))&gt;0),IF(COUNTIF($BI$94:$BP$94,5)=0,TRUE,SUMPRODUCT(($BI$94:$BP$94=5)*($AS$94:$AZ$94&lt;&gt;"")*IF(((UPPER($AS$94:$AZ$94)="BLANK")+(UPPER($AS$94:$AZ$94)="(BLANK)")+(UPPER($AS$94:$AZ$94)="EMPTY")+(UPPER($AS$94:$AZ$94)="(EMPTY)"))&gt;0,IFERROR((IF('Final Calculation Sheet'!$AD$24&lt;=0,"SETTLED","OUTSTANDING"))&amp;"","")="",ISNUMBER(SEARCH($AS$94:$AZ$94,IFERROR((IF('Final Calculation Sheet'!$AD$24&lt;=0,"SETTLED","OUTSTANDING"))&amp;"","")))))&gt;0),IF(COUNTIF($BI$94:$BP$94,6)=0,TRUE,SUMPRODUCT(($BI$94:$BP$94=6)*($AS$94:$AZ$94&lt;&gt;"")*IF(((UPPER($AS$94:$AZ$94)="BLANK")+(UPPER($AS$94:$AZ$94)="(BLANK)")+(UPPER($AS$94:$AZ$94)="EMPTY")+(UPPER($AS$94:$AZ$94)="(EMPTY)"))&gt;0,IFERROR((IF('Final Calculation Sheet'!$AD$24&lt;=0,"SETTLED","OUTSTANDING"))&amp;"","")="",ISNUMBER(SEARCH($AS$94:$AZ$94,IFERROR((IF('Final Calculation Sheet'!$AD$24&lt;=0,"SETTLED","OUTSTANDING"))&amp;"","")))))&gt;0),IF(COUNTIF($BI$94:$BP$94,7)=0,TRUE,SUMPRODUCT(($BI$94:$BP$94=7)*($AS$94:$AZ$94&lt;&gt;"")*IF(((UPPER($AS$94:$AZ$94)="BLANK")+(UPPER($AS$94:$AZ$94)="(BLANK)")+(UPPER($AS$94:$AZ$94)="EMPTY")+(UPPER($AS$94:$AZ$94)="(EMPTY)"))&gt;0,IFERROR((IF('Final Calculation Sheet'!$AD$24&lt;=0,"SETTLED","OUTSTANDING"))&amp;"","")="",ISNUMBER(SEARCH($AS$94:$AZ$94,IFERROR((IF('Final Calculation Sheet'!$AD$24&lt;=0,"SETTLED","OUTSTANDING"))&amp;"","")))))&gt;0),IF(COUNTIF($BI$94:$BP$94,8)=0,TRUE,SUMPRODUCT(($BI$94:$BP$94=8)*($AS$94:$AZ$94&lt;&gt;"")*IF(((UPPER($AS$94:$AZ$94)="BLANK")+(UPPER($AS$94:$AZ$94)="(BLANK)")+(UPPER($AS$94:$AZ$94)="EMPTY")+(UPPER($AS$94:$AZ$94)="(EMPTY)"))&gt;0,IFERROR((IF('Final Calculation Sheet'!$AD$24&lt;=0,"SETTLED","OUTSTANDING"))&amp;"","")="",ISNUMBER(SEARCH($AS$94:$AZ$94,IFERROR((IF('Final Calculation Sheet'!$AD$24&lt;=0,"SETTLED","OUTSTANDING"))&amp;"","")))))&gt;0))))</f>
        <v>1</v>
      </c>
    </row>
    <row r="26" spans="1:99" ht="15" customHeight="1" x14ac:dyDescent="0.25">
      <c r="A26" s="67">
        <f>IF($BJ25&gt;0,INDEX($BA$5:$BA$41,MATCH(25,$BB$5:$BB$41,0)),IF(OR($BI25=1,$BL25=1,$BH25&gt;0),"∑",""))</f>
        <v>9</v>
      </c>
      <c r="B26" s="68">
        <f>IF($BJ25&gt;0,IF(INDEX('Final Calculation Sheet'!$F$4:$F$40,$BJ25-3)="","",INDEX('Final Calculation Sheet'!$F$4:$F$40,$BJ25-3)),"")</f>
        <v>2007</v>
      </c>
      <c r="C26" s="68" t="str">
        <f>IF($BJ25&gt;0,IF(INDEX('Final Calculation Sheet'!$G$4:$G$40,$BJ25-3)="","",INDEX('Final Calculation Sheet'!$G$4:$G$40,$BJ25-3)),IF(OR($BI25=1,$BL25=1,$BH25&gt;0),IF($BI25=1,37,IF($BL25=1,37-INDEX($BD$4:$BD$13,10),INDEX($BD$4:$BD$13,$BH25)))&amp;" lot(s)",""))</f>
        <v>SHAR JAHAN TRADERS</v>
      </c>
      <c r="D26" s="69" t="str">
        <f>IF($BJ25&gt;0,IF(INDEX('Final Calculation Sheet'!$B$4:$B$40,$BJ25-3)="","",INDEX('Final Calculation Sheet'!$B$4:$B$40,$BJ25-3)),IF(OR($BI25=1,$BL25=1,$BH25&gt;0),IF($BI25=1,"GRAND TOTAL  —  matching + remaining",IF($BL25=1,"TOTAL MATCHED  —  every group together",IF($BH25=10,"REMAINING  —  did not match the search",IF($BH25=9,IF(COUNTIF($A$4:$AI$4,"&lt;&gt;")&gt;0,"FILTERED LOTS  —  column fields","ALL LOTS  —  nothing typed in the box"),"GROUP "&amp;$BH25&amp;" TOTAL  —  lots matching  "&amp;INDEX($AR$6:$AY$6,$BH25))))),""))</f>
        <v>SCRAP POWER TRANSFORMER</v>
      </c>
      <c r="E26" s="69">
        <f>IF($BJ25&gt;0,IF(INDEX('Final Calculation Sheet'!$D$4:$D$40,$BJ25-3)="","",INDEX('Final Calculation Sheet'!$D$4:$D$40,$BJ25-3)),IF(OR($BI25=1,$BL25=1,$BH25&gt;0),"–",""))</f>
        <v>21977</v>
      </c>
      <c r="F26" s="69">
        <f>IF($BJ25&gt;0,IF(INDEX('Final Calculation Sheet'!$A$4:$A$40,$BJ25-3)="","",INDEX('Final Calculation Sheet'!$A$4:$A$40,$BJ25-3)),IF(OR($BI25=1,$BL25=1,$BH25&gt;0),IF($BI25=1,SUM('Final Calculation Sheet'!$A$4:$A$40),IF($BL25=1,SUM('Final Calculation Sheet'!$A$4:$A$40)-SUMIFS('Final Calculation Sheet'!$A$4:$A$40,$AZ$5:$AZ$41,10),SUMIFS('Final Calculation Sheet'!$A$4:$A$40,$AZ$5:$AZ$41,$BH25))),""))</f>
        <v>1</v>
      </c>
      <c r="G26" s="69" t="str">
        <f>IF($BJ25&gt;0,IF(INDEX('Final Calculation Sheet'!$E$4:$E$40,$BJ25-3)="","",INDEX('Final Calculation Sheet'!$E$4:$E$40,$BJ25-3)),IF(OR($BI25=1,$BL25=1,$BH25&gt;0),"–",""))</f>
        <v>NO</v>
      </c>
      <c r="H26" s="70">
        <f>IF($BJ25&gt;0,IF(INDEX('Final Calculation Sheet'!$C$4:$C$40,$BJ25-3)="","",INDEX('Final Calculation Sheet'!$C$4:$C$40,$BJ25-3)),IF(OR($BI25=1,$BL25=1,$BH25&gt;0),"–",""))</f>
        <v>3857116</v>
      </c>
      <c r="I26" s="70">
        <f>IF($BJ25&gt;0,IF(INDEX('Final Calculation Sheet'!$H$4:$H$40,$BJ25-3)="","",INDEX('Final Calculation Sheet'!$H$4:$H$40,$BJ25-3)),IF(OR($BI25=1,$BL25=1,$BH25&gt;0),IF($BI25=1,SUM('Final Calculation Sheet'!$H$4:$H$40),IF($BL25=1,SUM('Final Calculation Sheet'!$H$4:$H$40)-SUMIFS('Final Calculation Sheet'!$H$4:$H$40,$AZ$5:$AZ$41,10),SUMIFS('Final Calculation Sheet'!$H$4:$H$40,$AZ$5:$AZ$41,$BH25))),""))</f>
        <v>3857116</v>
      </c>
      <c r="J26" s="70">
        <f>IF($BJ25&gt;0,IF(INDEX('Final Calculation Sheet'!$I$4:$I$40,$BJ25-3)="","",INDEX('Final Calculation Sheet'!$I$4:$I$40,$BJ25-3)),IF(OR($BI25=1,$BL25=1,$BH25&gt;0),IF($BI25=1,SUM('Final Calculation Sheet'!$I$4:$I$40),IF($BL25=1,SUM('Final Calculation Sheet'!$I$4:$I$40)-SUMIFS('Final Calculation Sheet'!$I$4:$I$40,$AZ$5:$AZ$41,10),SUMIFS('Final Calculation Sheet'!$I$4:$I$40,$AZ$5:$AZ$41,$BH25))),""))</f>
        <v>694281</v>
      </c>
      <c r="K26" s="70">
        <f>IF($BJ25&gt;0,IF(INDEX('Final Calculation Sheet'!$J$4:$J$40,$BJ25-3)="","",INDEX('Final Calculation Sheet'!$J$4:$J$40,$BJ25-3)),IF(OR($BI25=1,$BL25=1,$BH25&gt;0),IF($BI25=1,SUM('Final Calculation Sheet'!$J$4:$J$40),IF($BL25=1,SUM('Final Calculation Sheet'!$J$4:$J$40)-SUMIFS('Final Calculation Sheet'!$J$4:$J$40,$AZ$5:$AZ$41,10),SUMIFS('Final Calculation Sheet'!$J$4:$J$40,$AZ$5:$AZ$41,$BH25))),""))</f>
        <v>4551397</v>
      </c>
      <c r="L26" s="70">
        <f>IF($BJ25&gt;0,IF(INDEX('Final Calculation Sheet'!$K$4:$K$40,$BJ25-3)="","",INDEX('Final Calculation Sheet'!$K$4:$K$40,$BJ25-3)),IF(OR($BI25=1,$BL25=1,$BH25&gt;0),IF($BI25=1,SUM('Final Calculation Sheet'!$K$4:$K$40),IF($BL25=1,SUM('Final Calculation Sheet'!$K$4:$K$40)-SUMIFS('Final Calculation Sheet'!$K$4:$K$40,$AZ$5:$AZ$41,10),SUMIFS('Final Calculation Sheet'!$K$4:$K$40,$AZ$5:$AZ$41,$BH25))),""))</f>
        <v>91028</v>
      </c>
      <c r="M26" s="70">
        <f>IF($BJ25&gt;0,IF(INDEX('Final Calculation Sheet'!$L$4:$L$40,$BJ25-3)="","",INDEX('Final Calculation Sheet'!$L$4:$L$40,$BJ25-3)),IF(OR($BI25=1,$BL25=1,$BH25&gt;0),IF($BI25=1,SUM('Final Calculation Sheet'!$L$4:$L$40),IF($BL25=1,SUM('Final Calculation Sheet'!$L$4:$L$40)-SUMIFS('Final Calculation Sheet'!$L$4:$L$40,$AZ$5:$AZ$41,10),SUMIFS('Final Calculation Sheet'!$L$4:$L$40,$AZ$5:$AZ$41,$BH25))),""))</f>
        <v>3857.116</v>
      </c>
      <c r="N26" s="70">
        <f>IF($BJ25&gt;0,IF(INDEX('Final Calculation Sheet'!$M$4:$M$40,$BJ25-3)="","",INDEX('Final Calculation Sheet'!$M$4:$M$40,$BJ25-3)),IF(OR($BI25=1,$BL25=1,$BH25&gt;0),IF($BI25=1,SUM('Final Calculation Sheet'!$M$4:$M$40),IF($BL25=1,SUM('Final Calculation Sheet'!$M$4:$M$40)-SUMIFS('Final Calculation Sheet'!$M$4:$M$40,$AZ$5:$AZ$41,10),SUMIFS('Final Calculation Sheet'!$M$4:$M$40,$AZ$5:$AZ$41,$BH25))),""))</f>
        <v>102406.4298</v>
      </c>
      <c r="O26" s="71">
        <f>IF($BJ25&gt;0,IF(INDEX('Final Calculation Sheet'!$N$4:$N$40,$BJ25-3)="","",INDEX('Final Calculation Sheet'!$N$4:$N$40,$BJ25-3)),IF(OR($BI25=1,$BL25=1,$BH25&gt;0),IF($BI25=1,SUM('Final Calculation Sheet'!$N$4:$N$40),IF($BL25=1,SUM('Final Calculation Sheet'!$N$4:$N$40)-SUMIFS('Final Calculation Sheet'!$N$4:$N$40,$AZ$5:$AZ$41,10),SUMIFS('Final Calculation Sheet'!$N$4:$N$40,$AZ$5:$AZ$41,$BH25))),""))</f>
        <v>1735.7021999999999</v>
      </c>
      <c r="P26" s="70">
        <f>IF($BJ25&gt;0,IF(INDEX('Final Calculation Sheet'!$O$4:$O$40,$BJ25-3)="","",INDEX('Final Calculation Sheet'!$O$4:$O$40,$BJ25-3)),IF(OR($BI25=1,$BL25=1,$BH25&gt;0),IF($BI25=1,SUM('Final Calculation Sheet'!$O$4:$O$40),IF($BL25=1,SUM('Final Calculation Sheet'!$O$4:$O$40)-SUMIFS('Final Calculation Sheet'!$O$4:$O$40,$AZ$5:$AZ$41,10),SUMIFS('Final Calculation Sheet'!$O$4:$O$40,$AZ$5:$AZ$41,$BH25))),""))</f>
        <v>100670.7276</v>
      </c>
      <c r="Q26" s="70">
        <f>IF($BJ25&gt;0,IF(INDEX('Final Calculation Sheet'!$P$4:$P$40,$BJ25-3)="","",INDEX('Final Calculation Sheet'!$P$4:$P$40,$BJ25-3)),IF(OR($BI25=1,$BL25=1,$BH25&gt;0),IF($BI25=1,SUM('Final Calculation Sheet'!$P$4:$P$40),IF($BL25=1,SUM('Final Calculation Sheet'!$P$4:$P$40)-SUMIFS('Final Calculation Sheet'!$P$4:$P$40,$AZ$5:$AZ$41,10),SUMIFS('Final Calculation Sheet'!$P$4:$P$40,$AZ$5:$AZ$41,$BH25))),""))</f>
        <v>104528</v>
      </c>
      <c r="R26" s="72">
        <f>IF($BJ25&gt;0,IF(INDEX('Final Calculation Sheet'!$Q$4:$Q$40,$BJ25-3)="","",INDEX('Final Calculation Sheet'!$Q$4:$Q$40,$BJ25-3)),IF(OR($BI25=1,$BL25=1,$BH25&gt;0),"–",""))</f>
        <v>0</v>
      </c>
      <c r="S26" s="70">
        <f>IF($BJ25&gt;0,IF(INDEX('Final Calculation Sheet'!$R$4:$R$40,$BJ25-3)="","",INDEX('Final Calculation Sheet'!$R$4:$R$40,$BJ25-3)),IF(OR($BI25=1,$BL25=1,$BH25&gt;0),IF($BI25=1,SUM('Final Calculation Sheet'!$R$4:$R$40),IF($BL25=1,SUM('Final Calculation Sheet'!$R$4:$R$40)-SUMIFS('Final Calculation Sheet'!$R$4:$R$40,$AZ$5:$AZ$41,10),SUMIFS('Final Calculation Sheet'!$R$4:$R$40,$AZ$5:$AZ$41,$BH25))),""))</f>
        <v>0</v>
      </c>
      <c r="T26" s="70">
        <f>IF($BJ25&gt;0,IF(INDEX('Final Calculation Sheet'!$S$4:$S$40,$BJ25-3)="","",INDEX('Final Calculation Sheet'!$S$4:$S$40,$BJ25-3)),IF(OR($BI25=1,$BL25=1,$BH25&gt;0),IF($BI25=1,SUM('Final Calculation Sheet'!$S$4:$S$40),IF($BL25=1,SUM('Final Calculation Sheet'!$S$4:$S$40)-SUMIFS('Final Calculation Sheet'!$S$4:$S$40,$AZ$5:$AZ$41,10),SUMIFS('Final Calculation Sheet'!$S$4:$S$40,$AZ$5:$AZ$41,$BH25))),""))</f>
        <v>4537897</v>
      </c>
      <c r="U26" s="70">
        <f>IF($BJ25&gt;0,IF(INDEX('Final Calculation Sheet'!$T$4:$T$40,$BJ25-3)="","",INDEX('Final Calculation Sheet'!$T$4:$T$40,$BJ25-3)),IF(OR($BI25=1,$BL25=1,$BH25&gt;0),IF($BI25=1,SUM('Final Calculation Sheet'!$T$4:$T$40),IF($BL25=1,SUM('Final Calculation Sheet'!$T$4:$T$40)-SUMIFS('Final Calculation Sheet'!$T$4:$T$40,$AZ$5:$AZ$41,10),SUMIFS('Final Calculation Sheet'!$T$4:$T$40,$AZ$5:$AZ$41,$BH25))),""))</f>
        <v>964279</v>
      </c>
      <c r="V26" s="73">
        <f>IF($BJ25&gt;0,IF(INDEX('Final Calculation Sheet'!$U$4:$U$40,$BJ25-3)="","",INDEX('Final Calculation Sheet'!$U$4:$U$40,$BJ25-3)),IF(OR($BI25=1,$BL25=1,$BH25&gt;0),IF($BI25=1,SUM('Final Calculation Sheet'!$U$4:$U$40),IF($BL25=1,SUM('Final Calculation Sheet'!$U$4:$U$40)-SUMIFS('Final Calculation Sheet'!$U$4:$U$40,$AZ$5:$AZ$41,10),SUMIFS('Final Calculation Sheet'!$U$4:$U$40,$AZ$5:$AZ$41,$BH25))),""))</f>
        <v>964279</v>
      </c>
      <c r="W26" s="70" t="str">
        <f>IF($BJ25&gt;0,IF(INDEX('Final Calculation Sheet'!$V$4:$V$40,$BJ25-3)="","",INDEX('Final Calculation Sheet'!$V$4:$V$40,$BJ25-3)),IF(OR($BI25=1,$BL25=1,$BH25&gt;0),"–",""))</f>
        <v>13.08.2026</v>
      </c>
      <c r="X26" s="70">
        <f>IF($BJ25&gt;0,IF(INDEX('Final Calculation Sheet'!$W$4:$W$40,$BJ25-3)="","",INDEX('Final Calculation Sheet'!$W$4:$W$40,$BJ25-3)),IF(OR($BI25=1,$BL25=1,$BH25&gt;0),IF($BI25=1,SUM('Final Calculation Sheet'!$W$4:$W$40),IF($BL25=1,SUM('Final Calculation Sheet'!$W$4:$W$40)-SUMIFS('Final Calculation Sheet'!$W$4:$W$40,$AZ$5:$AZ$41,10),SUMIFS('Final Calculation Sheet'!$W$4:$W$40,$AZ$5:$AZ$41,$BH25))),""))</f>
        <v>3573618</v>
      </c>
      <c r="Y26" s="70">
        <f>IF($BJ25&gt;0,IF(INDEX('Final Calculation Sheet'!$X$4:$X$40,$BJ25-3)="","",INDEX('Final Calculation Sheet'!$X$4:$X$40,$BJ25-3)),IF(OR($BI25=1,$BL25=1,$BH25&gt;0),IF($BI25=1,SUM('Final Calculation Sheet'!$X$4:$X$40),IF($BL25=1,SUM('Final Calculation Sheet'!$X$4:$X$40)-SUMIFS('Final Calculation Sheet'!$X$4:$X$40,$AZ$5:$AZ$41,10),SUMIFS('Final Calculation Sheet'!$X$4:$X$40,$AZ$5:$AZ$41,$BH25))),""))</f>
        <v>3573618.9057083898</v>
      </c>
      <c r="Z26" s="70" t="str">
        <f>IF($BJ25&gt;0,IF(INDEX('Final Calculation Sheet'!$Y$4:$Y$40,$BJ25-3)="","",INDEX('Final Calculation Sheet'!$Y$4:$Y$40,$BJ25-3)),IF(OR($BI25=1,$BL25=1,$BH25&gt;0),"–",""))</f>
        <v>13.08.2026</v>
      </c>
      <c r="AA26" s="70">
        <f ca="1">IF($BJ25&gt;0,IF(INDEX('Final Calculation Sheet'!$Z$4:$Z$40,$BJ25-3)="","",INDEX('Final Calculation Sheet'!$Z$4:$Z$40,$BJ25-3)),IF(OR($BI25=1,$BL25=1,$BH25&gt;0),IF($BI25=1,SUM('Final Calculation Sheet'!$Z$4:$Z$40),IF($BL25=1,SUM('Final Calculation Sheet'!$Z$4:$Z$40)-SUMIFS('Final Calculation Sheet'!$Z$4:$Z$40,$AZ$5:$AZ$41,10),SUMIFS('Final Calculation Sheet'!$Z$4:$Z$40,$AZ$5:$AZ$41,$BH25))),""))</f>
        <v>0</v>
      </c>
      <c r="AB26" s="70" t="str">
        <f>IF($BJ25&gt;0,IF(INDEX('Final Calculation Sheet'!$AA$4:$AA$40,$BJ25-3)="","",INDEX('Final Calculation Sheet'!$AA$4:$AA$40,$BJ25-3)),IF(OR($BI25=1,$BL25=1,$BH25&gt;0),IF($BI25=1,SUM('Final Calculation Sheet'!$AA$4:$AA$40),IF($BL25=1,SUM('Final Calculation Sheet'!$AA$4:$AA$40)-SUMIFS('Final Calculation Sheet'!$AA$4:$AA$40,$AZ$5:$AZ$41,10),SUMIFS('Final Calculation Sheet'!$AA$4:$AA$40,$AZ$5:$AZ$41,$BH25))),""))</f>
        <v/>
      </c>
      <c r="AC26" s="70" t="str">
        <f>IF($BJ25&gt;0,IF(INDEX('Final Calculation Sheet'!$AB$4:$AB$40,$BJ25-3)="","",INDEX('Final Calculation Sheet'!$AB$4:$AB$40,$BJ25-3)),IF(OR($BI25=1,$BL25=1,$BH25&gt;0),"–",""))</f>
        <v/>
      </c>
      <c r="AD26" s="70">
        <f>IF($BJ25&gt;0,IF(INDEX('Final Calculation Sheet'!$AC$4:$AC$40,$BJ25-3)="","",INDEX('Final Calculation Sheet'!$AC$4:$AC$40,$BJ25-3)),IF(OR($BI25=1,$BL25=1,$BH25&gt;0),IF($BI25=1,SUM('Final Calculation Sheet'!$AC$4:$AC$40),IF($BL25=1,SUM('Final Calculation Sheet'!$AC$4:$AC$40)-SUMIFS('Final Calculation Sheet'!$AC$4:$AC$40,$AZ$5:$AZ$41,10),SUMIFS('Final Calculation Sheet'!$AC$4:$AC$40,$AZ$5:$AZ$41,$BH25))),""))</f>
        <v>4537897.9057083894</v>
      </c>
      <c r="AE26" s="70">
        <f>IF($BJ25&gt;0,IF(INDEX('Final Calculation Sheet'!$AD$4:$AD$40,$BJ25-3)="","",INDEX('Final Calculation Sheet'!$AD$4:$AD$40,$BJ25-3)),IF(OR($BI25=1,$BL25=1,$BH25&gt;0),IF($BI25=1,SUM('Final Calculation Sheet'!$AD$4:$AD$40),IF($BL25=1,SUM('Final Calculation Sheet'!$AD$4:$AD$40)-SUMIFS('Final Calculation Sheet'!$AD$4:$AD$40,$AZ$5:$AZ$41,10),SUMIFS('Final Calculation Sheet'!$AD$4:$AD$40,$AZ$5:$AZ$41,$BH25))),""))</f>
        <v>-0.90570838935673237</v>
      </c>
      <c r="AF26" s="70" t="str">
        <f>IF($BJ25&gt;0,IF(INDEX('Final Calculation Sheet'!$AE$4:$AE$40,$BJ25-3)="","",INDEX('Final Calculation Sheet'!$AE$4:$AE$40,$BJ25-3)),IF(OR($BI25=1,$BL25=1,$BH25&gt;0),"–",""))</f>
        <v>DR2640100024</v>
      </c>
      <c r="AG26" s="74">
        <f>IF($BJ25&gt;0,IF(INDEX('Final Calculation Sheet'!$AF$4:$AF$40,$BJ25-3)="","",INDEX('Final Calculation Sheet'!$AF$4:$AF$40,$BJ25-3)),IF(OR($BI25=1,$BL25=1,$BH25&gt;0),"–",""))</f>
        <v>1800003196</v>
      </c>
      <c r="AH26" s="70" t="str">
        <f>IF($BJ25&gt;0,IF(INDEX('Final Calculation Sheet'!$AG$4:$AG$40,$BJ25-3)="","",INDEX('Final Calculation Sheet'!$AG$4:$AG$40,$BJ25-3)),IF(OR($BI25=1,$BL25=1,$BH25&gt;0),"–",""))</f>
        <v>17.08.2026</v>
      </c>
      <c r="AI26" s="75" t="str">
        <f>IF($BJ25&gt;0,IF(INDEX('Final Calculation Sheet'!$AD$4:$AD$40,$BJ25-3)="","",IF(INDEX('Final Calculation Sheet'!$AD$4:$AD$40,$BJ25-3)&lt;=0,"SETTLED","OUTSTANDING")),IF(OR($BI25=1,$BL25=1,$BH25&gt;0),IF(IF($BI25=1,SUM('Final Calculation Sheet'!$AD$4:$AD$40),IF($BL25=1,SUM('Final Calculation Sheet'!$AD$4:$AD$40)-SUMIFS('Final Calculation Sheet'!$AD$4:$AD$40,$AZ$5:$AZ$41,10),SUMIFS('Final Calculation Sheet'!$AD$4:$AD$40,$AZ$5:$AZ$41,$BH25)))&lt;=0,"ALL SETTLED","OUTSTANDING"),""))</f>
        <v>SETTLED</v>
      </c>
      <c r="AK26" t="str">
        <f>IF($F$3="Lot No.",'Final Calculation Sheet'!$F$25,IF($F$3="Buyer",'Final Calculation Sheet'!$G$25,IF($F$3="Lot Name",'Final Calculation Sheet'!$B$25,IF($F$3="Bid Sheet",'Final Calculation Sheet'!$D$25,IF($F$3="Unit",'Final Calculation Sheet'!$E$25,'Final Calculation Sheet'!$F$25&amp;" "&amp;'Final Calculation Sheet'!$G$25&amp;" "&amp;'Final Calculation Sheet'!$B$25)))))</f>
        <v>2033 WATAN SCRAP TRADERS Scrap Empty Oil Drum/ Barrel</v>
      </c>
      <c r="AM26">
        <f t="shared" si="1"/>
        <v>1</v>
      </c>
      <c r="AZ26">
        <f t="shared" si="2"/>
        <v>1</v>
      </c>
      <c r="BA26">
        <f t="shared" si="3"/>
        <v>3</v>
      </c>
      <c r="BB26">
        <f t="shared" si="4"/>
        <v>7</v>
      </c>
      <c r="BC26">
        <v>25</v>
      </c>
      <c r="BH26">
        <f>IFERROR(MATCH(26,$BF$4:$BF$13,0),0)</f>
        <v>0</v>
      </c>
      <c r="BI26">
        <f>IF(26=$BG$5,1,0)</f>
        <v>0</v>
      </c>
      <c r="BJ26">
        <f>IF(OR($BH26&gt;0,$BI26=1,$BL26=1),0,IFERROR(INDEX($BC$5:$BC$41,MATCH(26,$BB$5:$BB$41,0)),0))</f>
        <v>15</v>
      </c>
      <c r="BK26">
        <f>IF($BJ26&gt;0,IF(INDEX($AZ$5:$AZ$41,MATCH(26,$BB$5:$BB$41,0))=10,1,0),IF($BH26=10,1,0))</f>
        <v>1</v>
      </c>
      <c r="BL26">
        <f>IF(26=$BG$4,1,0)</f>
        <v>0</v>
      </c>
      <c r="BM26">
        <f>IF($A$4="",1,--(AND(SUMPRODUCT(--($AS$60:$AZ$60&lt;&gt;""))&gt;0,IF(COUNTIF($BI$60:$BP$60,1)=0,TRUE,SUMPRODUCT(($BI$60:$BP$60=1)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$60,2)=0,TRUE,SUMPRODUCT(($BI$60:$BP$60=2)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$60,3)=0,TRUE,SUMPRODUCT(($BI$60:$BP$60=3)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$60,4)=0,TRUE,SUMPRODUCT(($BI$60:$BP$60=4)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$60,5)=0,TRUE,SUMPRODUCT(($BI$60:$BP$60=5)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$60,6)=0,TRUE,SUMPRODUCT(($BI$60:$BP$60=6)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$60,7)=0,TRUE,SUMPRODUCT(($BI$60:$BP$60=7)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$60,8)=0,TRUE,SUMPRODUCT(($BI$60:$BP$60=8)*($AS$60:$AZ$60&lt;&gt;"")*IF(((UPPER($AS$60:$AZ$60)="BLANK")+(UPPER($AS$60:$AZ$60)="(BLANK)")+(UPPER($AS$60:$AZ$60)="EMPTY")+(UPPER($AS$60:$AZ$60)="(EMPTY)"))&gt;0,IFERROR((ROW()-4)&amp;"","")="",ISNUMBER(SEARCH($AS$60:$AZ$60,IFERROR((ROW()-4)&amp;"","")))))&gt;0))))</f>
        <v>1</v>
      </c>
      <c r="BN26">
        <f>IF($B$4="",1,--(AND(SUMPRODUCT(--($AS$61:$AZ$61&lt;&gt;""))&gt;0,IF(COUNTIF($BI$61:$BP$61,1)=0,TRUE,SUMPRODUCT(($BI$61:$BP$61=1)*($AS$61:$AZ$61&lt;&gt;"")*IF(((UPPER($AS$61:$AZ$61)="BLANK")+(UPPER($AS$61:$AZ$61)="(BLANK)")+(UPPER($AS$61:$AZ$61)="EMPTY")+(UPPER($AS$61:$AZ$61)="(EMPTY)"))&gt;0,IFERROR(('Final Calculation Sheet'!$F$25)&amp;"","")="",ISNUMBER(SEARCH($AS$61:$AZ$61,IFERROR(('Final Calculation Sheet'!$F$25)&amp;"","")))))&gt;0),IF(COUNTIF($BI$61:$BP$61,2)=0,TRUE,SUMPRODUCT(($BI$61:$BP$61=2)*($AS$61:$AZ$61&lt;&gt;"")*IF(((UPPER($AS$61:$AZ$61)="BLANK")+(UPPER($AS$61:$AZ$61)="(BLANK)")+(UPPER($AS$61:$AZ$61)="EMPTY")+(UPPER($AS$61:$AZ$61)="(EMPTY)"))&gt;0,IFERROR(('Final Calculation Sheet'!$F$25)&amp;"","")="",ISNUMBER(SEARCH($AS$61:$AZ$61,IFERROR(('Final Calculation Sheet'!$F$25)&amp;"","")))))&gt;0),IF(COUNTIF($BI$61:$BP$61,3)=0,TRUE,SUMPRODUCT(($BI$61:$BP$61=3)*($AS$61:$AZ$61&lt;&gt;"")*IF(((UPPER($AS$61:$AZ$61)="BLANK")+(UPPER($AS$61:$AZ$61)="(BLANK)")+(UPPER($AS$61:$AZ$61)="EMPTY")+(UPPER($AS$61:$AZ$61)="(EMPTY)"))&gt;0,IFERROR(('Final Calculation Sheet'!$F$25)&amp;"","")="",ISNUMBER(SEARCH($AS$61:$AZ$61,IFERROR(('Final Calculation Sheet'!$F$25)&amp;"","")))))&gt;0),IF(COUNTIF($BI$61:$BP$61,4)=0,TRUE,SUMPRODUCT(($BI$61:$BP$61=4)*($AS$61:$AZ$61&lt;&gt;"")*IF(((UPPER($AS$61:$AZ$61)="BLANK")+(UPPER($AS$61:$AZ$61)="(BLANK)")+(UPPER($AS$61:$AZ$61)="EMPTY")+(UPPER($AS$61:$AZ$61)="(EMPTY)"))&gt;0,IFERROR(('Final Calculation Sheet'!$F$25)&amp;"","")="",ISNUMBER(SEARCH($AS$61:$AZ$61,IFERROR(('Final Calculation Sheet'!$F$25)&amp;"","")))))&gt;0),IF(COUNTIF($BI$61:$BP$61,5)=0,TRUE,SUMPRODUCT(($BI$61:$BP$61=5)*($AS$61:$AZ$61&lt;&gt;"")*IF(((UPPER($AS$61:$AZ$61)="BLANK")+(UPPER($AS$61:$AZ$61)="(BLANK)")+(UPPER($AS$61:$AZ$61)="EMPTY")+(UPPER($AS$61:$AZ$61)="(EMPTY)"))&gt;0,IFERROR(('Final Calculation Sheet'!$F$25)&amp;"","")="",ISNUMBER(SEARCH($AS$61:$AZ$61,IFERROR(('Final Calculation Sheet'!$F$25)&amp;"","")))))&gt;0),IF(COUNTIF($BI$61:$BP$61,6)=0,TRUE,SUMPRODUCT(($BI$61:$BP$61=6)*($AS$61:$AZ$61&lt;&gt;"")*IF(((UPPER($AS$61:$AZ$61)="BLANK")+(UPPER($AS$61:$AZ$61)="(BLANK)")+(UPPER($AS$61:$AZ$61)="EMPTY")+(UPPER($AS$61:$AZ$61)="(EMPTY)"))&gt;0,IFERROR(('Final Calculation Sheet'!$F$25)&amp;"","")="",ISNUMBER(SEARCH($AS$61:$AZ$61,IFERROR(('Final Calculation Sheet'!$F$25)&amp;"","")))))&gt;0),IF(COUNTIF($BI$61:$BP$61,7)=0,TRUE,SUMPRODUCT(($BI$61:$BP$61=7)*($AS$61:$AZ$61&lt;&gt;"")*IF(((UPPER($AS$61:$AZ$61)="BLANK")+(UPPER($AS$61:$AZ$61)="(BLANK)")+(UPPER($AS$61:$AZ$61)="EMPTY")+(UPPER($AS$61:$AZ$61)="(EMPTY)"))&gt;0,IFERROR(('Final Calculation Sheet'!$F$25)&amp;"","")="",ISNUMBER(SEARCH($AS$61:$AZ$61,IFERROR(('Final Calculation Sheet'!$F$25)&amp;"","")))))&gt;0),IF(COUNTIF($BI$61:$BP$61,8)=0,TRUE,SUMPRODUCT(($BI$61:$BP$61=8)*($AS$61:$AZ$61&lt;&gt;"")*IF(((UPPER($AS$61:$AZ$61)="BLANK")+(UPPER($AS$61:$AZ$61)="(BLANK)")+(UPPER($AS$61:$AZ$61)="EMPTY")+(UPPER($AS$61:$AZ$61)="(EMPTY)"))&gt;0,IFERROR(('Final Calculation Sheet'!$F$25)&amp;"","")="",ISNUMBER(SEARCH($AS$61:$AZ$61,IFERROR(('Final Calculation Sheet'!$F$25)&amp;"","")))))&gt;0))))</f>
        <v>1</v>
      </c>
      <c r="BO26">
        <f>IF($C$4="",1,--(AND(SUMPRODUCT(--($AS$62:$AZ$62&lt;&gt;""))&gt;0,IF(COUNTIF($BI$62:$BP$62,1)=0,TRUE,SUMPRODUCT(($BI$62:$BP$62=1)*($AS$62:$AZ$62&lt;&gt;"")*IF(((UPPER($AS$62:$AZ$62)="BLANK")+(UPPER($AS$62:$AZ$62)="(BLANK)")+(UPPER($AS$62:$AZ$62)="EMPTY")+(UPPER($AS$62:$AZ$62)="(EMPTY)"))&gt;0,IFERROR(('Final Calculation Sheet'!$G$25)&amp;"","")="",ISNUMBER(SEARCH($AS$62:$AZ$62,IFERROR(('Final Calculation Sheet'!$G$25)&amp;"","")))))&gt;0),IF(COUNTIF($BI$62:$BP$62,2)=0,TRUE,SUMPRODUCT(($BI$62:$BP$62=2)*($AS$62:$AZ$62&lt;&gt;"")*IF(((UPPER($AS$62:$AZ$62)="BLANK")+(UPPER($AS$62:$AZ$62)="(BLANK)")+(UPPER($AS$62:$AZ$62)="EMPTY")+(UPPER($AS$62:$AZ$62)="(EMPTY)"))&gt;0,IFERROR(('Final Calculation Sheet'!$G$25)&amp;"","")="",ISNUMBER(SEARCH($AS$62:$AZ$62,IFERROR(('Final Calculation Sheet'!$G$25)&amp;"","")))))&gt;0),IF(COUNTIF($BI$62:$BP$62,3)=0,TRUE,SUMPRODUCT(($BI$62:$BP$62=3)*($AS$62:$AZ$62&lt;&gt;"")*IF(((UPPER($AS$62:$AZ$62)="BLANK")+(UPPER($AS$62:$AZ$62)="(BLANK)")+(UPPER($AS$62:$AZ$62)="EMPTY")+(UPPER($AS$62:$AZ$62)="(EMPTY)"))&gt;0,IFERROR(('Final Calculation Sheet'!$G$25)&amp;"","")="",ISNUMBER(SEARCH($AS$62:$AZ$62,IFERROR(('Final Calculation Sheet'!$G$25)&amp;"","")))))&gt;0),IF(COUNTIF($BI$62:$BP$62,4)=0,TRUE,SUMPRODUCT(($BI$62:$BP$62=4)*($AS$62:$AZ$62&lt;&gt;"")*IF(((UPPER($AS$62:$AZ$62)="BLANK")+(UPPER($AS$62:$AZ$62)="(BLANK)")+(UPPER($AS$62:$AZ$62)="EMPTY")+(UPPER($AS$62:$AZ$62)="(EMPTY)"))&gt;0,IFERROR(('Final Calculation Sheet'!$G$25)&amp;"","")="",ISNUMBER(SEARCH($AS$62:$AZ$62,IFERROR(('Final Calculation Sheet'!$G$25)&amp;"","")))))&gt;0),IF(COUNTIF($BI$62:$BP$62,5)=0,TRUE,SUMPRODUCT(($BI$62:$BP$62=5)*($AS$62:$AZ$62&lt;&gt;"")*IF(((UPPER($AS$62:$AZ$62)="BLANK")+(UPPER($AS$62:$AZ$62)="(BLANK)")+(UPPER($AS$62:$AZ$62)="EMPTY")+(UPPER($AS$62:$AZ$62)="(EMPTY)"))&gt;0,IFERROR(('Final Calculation Sheet'!$G$25)&amp;"","")="",ISNUMBER(SEARCH($AS$62:$AZ$62,IFERROR(('Final Calculation Sheet'!$G$25)&amp;"","")))))&gt;0),IF(COUNTIF($BI$62:$BP$62,6)=0,TRUE,SUMPRODUCT(($BI$62:$BP$62=6)*($AS$62:$AZ$62&lt;&gt;"")*IF(((UPPER($AS$62:$AZ$62)="BLANK")+(UPPER($AS$62:$AZ$62)="(BLANK)")+(UPPER($AS$62:$AZ$62)="EMPTY")+(UPPER($AS$62:$AZ$62)="(EMPTY)"))&gt;0,IFERROR(('Final Calculation Sheet'!$G$25)&amp;"","")="",ISNUMBER(SEARCH($AS$62:$AZ$62,IFERROR(('Final Calculation Sheet'!$G$25)&amp;"","")))))&gt;0),IF(COUNTIF($BI$62:$BP$62,7)=0,TRUE,SUMPRODUCT(($BI$62:$BP$62=7)*($AS$62:$AZ$62&lt;&gt;"")*IF(((UPPER($AS$62:$AZ$62)="BLANK")+(UPPER($AS$62:$AZ$62)="(BLANK)")+(UPPER($AS$62:$AZ$62)="EMPTY")+(UPPER($AS$62:$AZ$62)="(EMPTY)"))&gt;0,IFERROR(('Final Calculation Sheet'!$G$25)&amp;"","")="",ISNUMBER(SEARCH($AS$62:$AZ$62,IFERROR(('Final Calculation Sheet'!$G$25)&amp;"","")))))&gt;0),IF(COUNTIF($BI$62:$BP$62,8)=0,TRUE,SUMPRODUCT(($BI$62:$BP$62=8)*($AS$62:$AZ$62&lt;&gt;"")*IF(((UPPER($AS$62:$AZ$62)="BLANK")+(UPPER($AS$62:$AZ$62)="(BLANK)")+(UPPER($AS$62:$AZ$62)="EMPTY")+(UPPER($AS$62:$AZ$62)="(EMPTY)"))&gt;0,IFERROR(('Final Calculation Sheet'!$G$25)&amp;"","")="",ISNUMBER(SEARCH($AS$62:$AZ$62,IFERROR(('Final Calculation Sheet'!$G$25)&amp;"","")))))&gt;0))))</f>
        <v>1</v>
      </c>
      <c r="BP26">
        <f>IF($D$4="",1,--(AND(SUMPRODUCT(--($AS$63:$AZ$63&lt;&gt;""))&gt;0,IF(COUNTIF($BI$63:$BP$63,1)=0,TRUE,SUMPRODUCT(($BI$63:$BP$63=1)*($AS$63:$AZ$63&lt;&gt;"")*IF(((UPPER($AS$63:$AZ$63)="BLANK")+(UPPER($AS$63:$AZ$63)="(BLANK)")+(UPPER($AS$63:$AZ$63)="EMPTY")+(UPPER($AS$63:$AZ$63)="(EMPTY)"))&gt;0,IFERROR(('Final Calculation Sheet'!$B$25)&amp;"","")="",ISNUMBER(SEARCH($AS$63:$AZ$63,IFERROR(('Final Calculation Sheet'!$B$25)&amp;"","")))))&gt;0),IF(COUNTIF($BI$63:$BP$63,2)=0,TRUE,SUMPRODUCT(($BI$63:$BP$63=2)*($AS$63:$AZ$63&lt;&gt;"")*IF(((UPPER($AS$63:$AZ$63)="BLANK")+(UPPER($AS$63:$AZ$63)="(BLANK)")+(UPPER($AS$63:$AZ$63)="EMPTY")+(UPPER($AS$63:$AZ$63)="(EMPTY)"))&gt;0,IFERROR(('Final Calculation Sheet'!$B$25)&amp;"","")="",ISNUMBER(SEARCH($AS$63:$AZ$63,IFERROR(('Final Calculation Sheet'!$B$25)&amp;"","")))))&gt;0),IF(COUNTIF($BI$63:$BP$63,3)=0,TRUE,SUMPRODUCT(($BI$63:$BP$63=3)*($AS$63:$AZ$63&lt;&gt;"")*IF(((UPPER($AS$63:$AZ$63)="BLANK")+(UPPER($AS$63:$AZ$63)="(BLANK)")+(UPPER($AS$63:$AZ$63)="EMPTY")+(UPPER($AS$63:$AZ$63)="(EMPTY)"))&gt;0,IFERROR(('Final Calculation Sheet'!$B$25)&amp;"","")="",ISNUMBER(SEARCH($AS$63:$AZ$63,IFERROR(('Final Calculation Sheet'!$B$25)&amp;"","")))))&gt;0),IF(COUNTIF($BI$63:$BP$63,4)=0,TRUE,SUMPRODUCT(($BI$63:$BP$63=4)*($AS$63:$AZ$63&lt;&gt;"")*IF(((UPPER($AS$63:$AZ$63)="BLANK")+(UPPER($AS$63:$AZ$63)="(BLANK)")+(UPPER($AS$63:$AZ$63)="EMPTY")+(UPPER($AS$63:$AZ$63)="(EMPTY)"))&gt;0,IFERROR(('Final Calculation Sheet'!$B$25)&amp;"","")="",ISNUMBER(SEARCH($AS$63:$AZ$63,IFERROR(('Final Calculation Sheet'!$B$25)&amp;"","")))))&gt;0),IF(COUNTIF($BI$63:$BP$63,5)=0,TRUE,SUMPRODUCT(($BI$63:$BP$63=5)*($AS$63:$AZ$63&lt;&gt;"")*IF(((UPPER($AS$63:$AZ$63)="BLANK")+(UPPER($AS$63:$AZ$63)="(BLANK)")+(UPPER($AS$63:$AZ$63)="EMPTY")+(UPPER($AS$63:$AZ$63)="(EMPTY)"))&gt;0,IFERROR(('Final Calculation Sheet'!$B$25)&amp;"","")="",ISNUMBER(SEARCH($AS$63:$AZ$63,IFERROR(('Final Calculation Sheet'!$B$25)&amp;"","")))))&gt;0),IF(COUNTIF($BI$63:$BP$63,6)=0,TRUE,SUMPRODUCT(($BI$63:$BP$63=6)*($AS$63:$AZ$63&lt;&gt;"")*IF(((UPPER($AS$63:$AZ$63)="BLANK")+(UPPER($AS$63:$AZ$63)="(BLANK)")+(UPPER($AS$63:$AZ$63)="EMPTY")+(UPPER($AS$63:$AZ$63)="(EMPTY)"))&gt;0,IFERROR(('Final Calculation Sheet'!$B$25)&amp;"","")="",ISNUMBER(SEARCH($AS$63:$AZ$63,IFERROR(('Final Calculation Sheet'!$B$25)&amp;"","")))))&gt;0),IF(COUNTIF($BI$63:$BP$63,7)=0,TRUE,SUMPRODUCT(($BI$63:$BP$63=7)*($AS$63:$AZ$63&lt;&gt;"")*IF(((UPPER($AS$63:$AZ$63)="BLANK")+(UPPER($AS$63:$AZ$63)="(BLANK)")+(UPPER($AS$63:$AZ$63)="EMPTY")+(UPPER($AS$63:$AZ$63)="(EMPTY)"))&gt;0,IFERROR(('Final Calculation Sheet'!$B$25)&amp;"","")="",ISNUMBER(SEARCH($AS$63:$AZ$63,IFERROR(('Final Calculation Sheet'!$B$25)&amp;"","")))))&gt;0),IF(COUNTIF($BI$63:$BP$63,8)=0,TRUE,SUMPRODUCT(($BI$63:$BP$63=8)*($AS$63:$AZ$63&lt;&gt;"")*IF(((UPPER($AS$63:$AZ$63)="BLANK")+(UPPER($AS$63:$AZ$63)="(BLANK)")+(UPPER($AS$63:$AZ$63)="EMPTY")+(UPPER($AS$63:$AZ$63)="(EMPTY)"))&gt;0,IFERROR(('Final Calculation Sheet'!$B$25)&amp;"","")="",ISNUMBER(SEARCH($AS$63:$AZ$63,IFERROR(('Final Calculation Sheet'!$B$25)&amp;"","")))))&gt;0))))</f>
        <v>1</v>
      </c>
      <c r="BQ26">
        <f>IF($E$4="",1,--(AND(SUMPRODUCT(--($AS$64:$AZ$64&lt;&gt;""))&gt;0,IF(COUNTIF($BI$64:$BP$64,1)=0,TRUE,SUMPRODUCT(($BI$64:$BP$64=1)*($AS$64:$AZ$64&lt;&gt;"")*IF(((UPPER($AS$64:$AZ$64)="BLANK")+(UPPER($AS$64:$AZ$64)="(BLANK)")+(UPPER($AS$64:$AZ$64)="EMPTY")+(UPPER($AS$64:$AZ$64)="(EMPTY)"))&gt;0,IFERROR(('Final Calculation Sheet'!$D$25)&amp;"","")="",ISNUMBER(SEARCH($AS$64:$AZ$64,IFERROR(('Final Calculation Sheet'!$D$25)&amp;"","")))))&gt;0),IF(COUNTIF($BI$64:$BP$64,2)=0,TRUE,SUMPRODUCT(($BI$64:$BP$64=2)*($AS$64:$AZ$64&lt;&gt;"")*IF(((UPPER($AS$64:$AZ$64)="BLANK")+(UPPER($AS$64:$AZ$64)="(BLANK)")+(UPPER($AS$64:$AZ$64)="EMPTY")+(UPPER($AS$64:$AZ$64)="(EMPTY)"))&gt;0,IFERROR(('Final Calculation Sheet'!$D$25)&amp;"","")="",ISNUMBER(SEARCH($AS$64:$AZ$64,IFERROR(('Final Calculation Sheet'!$D$25)&amp;"","")))))&gt;0),IF(COUNTIF($BI$64:$BP$64,3)=0,TRUE,SUMPRODUCT(($BI$64:$BP$64=3)*($AS$64:$AZ$64&lt;&gt;"")*IF(((UPPER($AS$64:$AZ$64)="BLANK")+(UPPER($AS$64:$AZ$64)="(BLANK)")+(UPPER($AS$64:$AZ$64)="EMPTY")+(UPPER($AS$64:$AZ$64)="(EMPTY)"))&gt;0,IFERROR(('Final Calculation Sheet'!$D$25)&amp;"","")="",ISNUMBER(SEARCH($AS$64:$AZ$64,IFERROR(('Final Calculation Sheet'!$D$25)&amp;"","")))))&gt;0),IF(COUNTIF($BI$64:$BP$64,4)=0,TRUE,SUMPRODUCT(($BI$64:$BP$64=4)*($AS$64:$AZ$64&lt;&gt;"")*IF(((UPPER($AS$64:$AZ$64)="BLANK")+(UPPER($AS$64:$AZ$64)="(BLANK)")+(UPPER($AS$64:$AZ$64)="EMPTY")+(UPPER($AS$64:$AZ$64)="(EMPTY)"))&gt;0,IFERROR(('Final Calculation Sheet'!$D$25)&amp;"","")="",ISNUMBER(SEARCH($AS$64:$AZ$64,IFERROR(('Final Calculation Sheet'!$D$25)&amp;"","")))))&gt;0),IF(COUNTIF($BI$64:$BP$64,5)=0,TRUE,SUMPRODUCT(($BI$64:$BP$64=5)*($AS$64:$AZ$64&lt;&gt;"")*IF(((UPPER($AS$64:$AZ$64)="BLANK")+(UPPER($AS$64:$AZ$64)="(BLANK)")+(UPPER($AS$64:$AZ$64)="EMPTY")+(UPPER($AS$64:$AZ$64)="(EMPTY)"))&gt;0,IFERROR(('Final Calculation Sheet'!$D$25)&amp;"","")="",ISNUMBER(SEARCH($AS$64:$AZ$64,IFERROR(('Final Calculation Sheet'!$D$25)&amp;"","")))))&gt;0),IF(COUNTIF($BI$64:$BP$64,6)=0,TRUE,SUMPRODUCT(($BI$64:$BP$64=6)*($AS$64:$AZ$64&lt;&gt;"")*IF(((UPPER($AS$64:$AZ$64)="BLANK")+(UPPER($AS$64:$AZ$64)="(BLANK)")+(UPPER($AS$64:$AZ$64)="EMPTY")+(UPPER($AS$64:$AZ$64)="(EMPTY)"))&gt;0,IFERROR(('Final Calculation Sheet'!$D$25)&amp;"","")="",ISNUMBER(SEARCH($AS$64:$AZ$64,IFERROR(('Final Calculation Sheet'!$D$25)&amp;"","")))))&gt;0),IF(COUNTIF($BI$64:$BP$64,7)=0,TRUE,SUMPRODUCT(($BI$64:$BP$64=7)*($AS$64:$AZ$64&lt;&gt;"")*IF(((UPPER($AS$64:$AZ$64)="BLANK")+(UPPER($AS$64:$AZ$64)="(BLANK)")+(UPPER($AS$64:$AZ$64)="EMPTY")+(UPPER($AS$64:$AZ$64)="(EMPTY)"))&gt;0,IFERROR(('Final Calculation Sheet'!$D$25)&amp;"","")="",ISNUMBER(SEARCH($AS$64:$AZ$64,IFERROR(('Final Calculation Sheet'!$D$25)&amp;"","")))))&gt;0),IF(COUNTIF($BI$64:$BP$64,8)=0,TRUE,SUMPRODUCT(($BI$64:$BP$64=8)*($AS$64:$AZ$64&lt;&gt;"")*IF(((UPPER($AS$64:$AZ$64)="BLANK")+(UPPER($AS$64:$AZ$64)="(BLANK)")+(UPPER($AS$64:$AZ$64)="EMPTY")+(UPPER($AS$64:$AZ$64)="(EMPTY)"))&gt;0,IFERROR(('Final Calculation Sheet'!$D$25)&amp;"","")="",ISNUMBER(SEARCH($AS$64:$AZ$64,IFERROR(('Final Calculation Sheet'!$D$25)&amp;"","")))))&gt;0))))</f>
        <v>1</v>
      </c>
      <c r="BR26">
        <f>IF($F$4="",1,--(AND(SUMPRODUCT(--($AS$65:$AZ$65&lt;&gt;""))&gt;0,IF(COUNTIF($BI$65:$BP$65,1)=0,TRUE,SUMPRODUCT(($BI$65:$BP$65=1)*($AS$65:$AZ$65&lt;&gt;"")*IF(((UPPER($AS$65:$AZ$65)="BLANK")+(UPPER($AS$65:$AZ$65)="(BLANK)")+(UPPER($AS$65:$AZ$65)="EMPTY")+(UPPER($AS$65:$AZ$65)="(EMPTY)"))&gt;0,IFERROR(('Final Calculation Sheet'!$A$25)&amp;"","")="",ISNUMBER(SEARCH($AS$65:$AZ$65,IFERROR(('Final Calculation Sheet'!$A$25)&amp;"","")))))&gt;0),IF(COUNTIF($BI$65:$BP$65,2)=0,TRUE,SUMPRODUCT(($BI$65:$BP$65=2)*($AS$65:$AZ$65&lt;&gt;"")*IF(((UPPER($AS$65:$AZ$65)="BLANK")+(UPPER($AS$65:$AZ$65)="(BLANK)")+(UPPER($AS$65:$AZ$65)="EMPTY")+(UPPER($AS$65:$AZ$65)="(EMPTY)"))&gt;0,IFERROR(('Final Calculation Sheet'!$A$25)&amp;"","")="",ISNUMBER(SEARCH($AS$65:$AZ$65,IFERROR(('Final Calculation Sheet'!$A$25)&amp;"","")))))&gt;0),IF(COUNTIF($BI$65:$BP$65,3)=0,TRUE,SUMPRODUCT(($BI$65:$BP$65=3)*($AS$65:$AZ$65&lt;&gt;"")*IF(((UPPER($AS$65:$AZ$65)="BLANK")+(UPPER($AS$65:$AZ$65)="(BLANK)")+(UPPER($AS$65:$AZ$65)="EMPTY")+(UPPER($AS$65:$AZ$65)="(EMPTY)"))&gt;0,IFERROR(('Final Calculation Sheet'!$A$25)&amp;"","")="",ISNUMBER(SEARCH($AS$65:$AZ$65,IFERROR(('Final Calculation Sheet'!$A$25)&amp;"","")))))&gt;0),IF(COUNTIF($BI$65:$BP$65,4)=0,TRUE,SUMPRODUCT(($BI$65:$BP$65=4)*($AS$65:$AZ$65&lt;&gt;"")*IF(((UPPER($AS$65:$AZ$65)="BLANK")+(UPPER($AS$65:$AZ$65)="(BLANK)")+(UPPER($AS$65:$AZ$65)="EMPTY")+(UPPER($AS$65:$AZ$65)="(EMPTY)"))&gt;0,IFERROR(('Final Calculation Sheet'!$A$25)&amp;"","")="",ISNUMBER(SEARCH($AS$65:$AZ$65,IFERROR(('Final Calculation Sheet'!$A$25)&amp;"","")))))&gt;0),IF(COUNTIF($BI$65:$BP$65,5)=0,TRUE,SUMPRODUCT(($BI$65:$BP$65=5)*($AS$65:$AZ$65&lt;&gt;"")*IF(((UPPER($AS$65:$AZ$65)="BLANK")+(UPPER($AS$65:$AZ$65)="(BLANK)")+(UPPER($AS$65:$AZ$65)="EMPTY")+(UPPER($AS$65:$AZ$65)="(EMPTY)"))&gt;0,IFERROR(('Final Calculation Sheet'!$A$25)&amp;"","")="",ISNUMBER(SEARCH($AS$65:$AZ$65,IFERROR(('Final Calculation Sheet'!$A$25)&amp;"","")))))&gt;0),IF(COUNTIF($BI$65:$BP$65,6)=0,TRUE,SUMPRODUCT(($BI$65:$BP$65=6)*($AS$65:$AZ$65&lt;&gt;"")*IF(((UPPER($AS$65:$AZ$65)="BLANK")+(UPPER($AS$65:$AZ$65)="(BLANK)")+(UPPER($AS$65:$AZ$65)="EMPTY")+(UPPER($AS$65:$AZ$65)="(EMPTY)"))&gt;0,IFERROR(('Final Calculation Sheet'!$A$25)&amp;"","")="",ISNUMBER(SEARCH($AS$65:$AZ$65,IFERROR(('Final Calculation Sheet'!$A$25)&amp;"","")))))&gt;0),IF(COUNTIF($BI$65:$BP$65,7)=0,TRUE,SUMPRODUCT(($BI$65:$BP$65=7)*($AS$65:$AZ$65&lt;&gt;"")*IF(((UPPER($AS$65:$AZ$65)="BLANK")+(UPPER($AS$65:$AZ$65)="(BLANK)")+(UPPER($AS$65:$AZ$65)="EMPTY")+(UPPER($AS$65:$AZ$65)="(EMPTY)"))&gt;0,IFERROR(('Final Calculation Sheet'!$A$25)&amp;"","")="",ISNUMBER(SEARCH($AS$65:$AZ$65,IFERROR(('Final Calculation Sheet'!$A$25)&amp;"","")))))&gt;0),IF(COUNTIF($BI$65:$BP$65,8)=0,TRUE,SUMPRODUCT(($BI$65:$BP$65=8)*($AS$65:$AZ$65&lt;&gt;"")*IF(((UPPER($AS$65:$AZ$65)="BLANK")+(UPPER($AS$65:$AZ$65)="(BLANK)")+(UPPER($AS$65:$AZ$65)="EMPTY")+(UPPER($AS$65:$AZ$65)="(EMPTY)"))&gt;0,IFERROR(('Final Calculation Sheet'!$A$25)&amp;"","")="",ISNUMBER(SEARCH($AS$65:$AZ$65,IFERROR(('Final Calculation Sheet'!$A$25)&amp;"","")))))&gt;0))))</f>
        <v>1</v>
      </c>
      <c r="BS26">
        <f>IF($G$4="",1,--(AND(SUMPRODUCT(--($AS$66:$AZ$66&lt;&gt;""))&gt;0,IF(COUNTIF($BI$66:$BP$66,1)=0,TRUE,SUMPRODUCT(($BI$66:$BP$66=1)*($AS$66:$AZ$66&lt;&gt;"")*IF(((UPPER($AS$66:$AZ$66)="BLANK")+(UPPER($AS$66:$AZ$66)="(BLANK)")+(UPPER($AS$66:$AZ$66)="EMPTY")+(UPPER($AS$66:$AZ$66)="(EMPTY)"))&gt;0,IFERROR(('Final Calculation Sheet'!$E$25)&amp;"","")="",ISNUMBER(SEARCH($AS$66:$AZ$66,IFERROR(('Final Calculation Sheet'!$E$25)&amp;"","")))))&gt;0),IF(COUNTIF($BI$66:$BP$66,2)=0,TRUE,SUMPRODUCT(($BI$66:$BP$66=2)*($AS$66:$AZ$66&lt;&gt;"")*IF(((UPPER($AS$66:$AZ$66)="BLANK")+(UPPER($AS$66:$AZ$66)="(BLANK)")+(UPPER($AS$66:$AZ$66)="EMPTY")+(UPPER($AS$66:$AZ$66)="(EMPTY)"))&gt;0,IFERROR(('Final Calculation Sheet'!$E$25)&amp;"","")="",ISNUMBER(SEARCH($AS$66:$AZ$66,IFERROR(('Final Calculation Sheet'!$E$25)&amp;"","")))))&gt;0),IF(COUNTIF($BI$66:$BP$66,3)=0,TRUE,SUMPRODUCT(($BI$66:$BP$66=3)*($AS$66:$AZ$66&lt;&gt;"")*IF(((UPPER($AS$66:$AZ$66)="BLANK")+(UPPER($AS$66:$AZ$66)="(BLANK)")+(UPPER($AS$66:$AZ$66)="EMPTY")+(UPPER($AS$66:$AZ$66)="(EMPTY)"))&gt;0,IFERROR(('Final Calculation Sheet'!$E$25)&amp;"","")="",ISNUMBER(SEARCH($AS$66:$AZ$66,IFERROR(('Final Calculation Sheet'!$E$25)&amp;"","")))))&gt;0),IF(COUNTIF($BI$66:$BP$66,4)=0,TRUE,SUMPRODUCT(($BI$66:$BP$66=4)*($AS$66:$AZ$66&lt;&gt;"")*IF(((UPPER($AS$66:$AZ$66)="BLANK")+(UPPER($AS$66:$AZ$66)="(BLANK)")+(UPPER($AS$66:$AZ$66)="EMPTY")+(UPPER($AS$66:$AZ$66)="(EMPTY)"))&gt;0,IFERROR(('Final Calculation Sheet'!$E$25)&amp;"","")="",ISNUMBER(SEARCH($AS$66:$AZ$66,IFERROR(('Final Calculation Sheet'!$E$25)&amp;"","")))))&gt;0),IF(COUNTIF($BI$66:$BP$66,5)=0,TRUE,SUMPRODUCT(($BI$66:$BP$66=5)*($AS$66:$AZ$66&lt;&gt;"")*IF(((UPPER($AS$66:$AZ$66)="BLANK")+(UPPER($AS$66:$AZ$66)="(BLANK)")+(UPPER($AS$66:$AZ$66)="EMPTY")+(UPPER($AS$66:$AZ$66)="(EMPTY)"))&gt;0,IFERROR(('Final Calculation Sheet'!$E$25)&amp;"","")="",ISNUMBER(SEARCH($AS$66:$AZ$66,IFERROR(('Final Calculation Sheet'!$E$25)&amp;"","")))))&gt;0),IF(COUNTIF($BI$66:$BP$66,6)=0,TRUE,SUMPRODUCT(($BI$66:$BP$66=6)*($AS$66:$AZ$66&lt;&gt;"")*IF(((UPPER($AS$66:$AZ$66)="BLANK")+(UPPER($AS$66:$AZ$66)="(BLANK)")+(UPPER($AS$66:$AZ$66)="EMPTY")+(UPPER($AS$66:$AZ$66)="(EMPTY)"))&gt;0,IFERROR(('Final Calculation Sheet'!$E$25)&amp;"","")="",ISNUMBER(SEARCH($AS$66:$AZ$66,IFERROR(('Final Calculation Sheet'!$E$25)&amp;"","")))))&gt;0),IF(COUNTIF($BI$66:$BP$66,7)=0,TRUE,SUMPRODUCT(($BI$66:$BP$66=7)*($AS$66:$AZ$66&lt;&gt;"")*IF(((UPPER($AS$66:$AZ$66)="BLANK")+(UPPER($AS$66:$AZ$66)="(BLANK)")+(UPPER($AS$66:$AZ$66)="EMPTY")+(UPPER($AS$66:$AZ$66)="(EMPTY)"))&gt;0,IFERROR(('Final Calculation Sheet'!$E$25)&amp;"","")="",ISNUMBER(SEARCH($AS$66:$AZ$66,IFERROR(('Final Calculation Sheet'!$E$25)&amp;"","")))))&gt;0),IF(COUNTIF($BI$66:$BP$66,8)=0,TRUE,SUMPRODUCT(($BI$66:$BP$66=8)*($AS$66:$AZ$66&lt;&gt;"")*IF(((UPPER($AS$66:$AZ$66)="BLANK")+(UPPER($AS$66:$AZ$66)="(BLANK)")+(UPPER($AS$66:$AZ$66)="EMPTY")+(UPPER($AS$66:$AZ$66)="(EMPTY)"))&gt;0,IFERROR(('Final Calculation Sheet'!$E$25)&amp;"","")="",ISNUMBER(SEARCH($AS$66:$AZ$66,IFERROR(('Final Calculation Sheet'!$E$25)&amp;"","")))))&gt;0))))</f>
        <v>1</v>
      </c>
      <c r="BT26">
        <f>IF($H$4="",1,--(AND(SUMPRODUCT(--($AS$67:$AZ$67&lt;&gt;""))&gt;0,IF(COUNTIF($BI$67:$BP$67,1)=0,TRUE,SUMPRODUCT(($BI$67:$BP$67=1)*($AS$67:$AZ$67&lt;&gt;"")*IF(((UPPER($AS$67:$AZ$67)="BLANK")+(UPPER($AS$67:$AZ$67)="(BLANK)")+(UPPER($AS$67:$AZ$67)="EMPTY")+(UPPER($AS$67:$AZ$67)="(EMPTY)"))&gt;0,IFERROR(('Final Calculation Sheet'!$C$25)&amp;"","")="",ISNUMBER(SEARCH($AS$67:$AZ$67,IFERROR(('Final Calculation Sheet'!$C$25)&amp;"","")))))&gt;0),IF(COUNTIF($BI$67:$BP$67,2)=0,TRUE,SUMPRODUCT(($BI$67:$BP$67=2)*($AS$67:$AZ$67&lt;&gt;"")*IF(((UPPER($AS$67:$AZ$67)="BLANK")+(UPPER($AS$67:$AZ$67)="(BLANK)")+(UPPER($AS$67:$AZ$67)="EMPTY")+(UPPER($AS$67:$AZ$67)="(EMPTY)"))&gt;0,IFERROR(('Final Calculation Sheet'!$C$25)&amp;"","")="",ISNUMBER(SEARCH($AS$67:$AZ$67,IFERROR(('Final Calculation Sheet'!$C$25)&amp;"","")))))&gt;0),IF(COUNTIF($BI$67:$BP$67,3)=0,TRUE,SUMPRODUCT(($BI$67:$BP$67=3)*($AS$67:$AZ$67&lt;&gt;"")*IF(((UPPER($AS$67:$AZ$67)="BLANK")+(UPPER($AS$67:$AZ$67)="(BLANK)")+(UPPER($AS$67:$AZ$67)="EMPTY")+(UPPER($AS$67:$AZ$67)="(EMPTY)"))&gt;0,IFERROR(('Final Calculation Sheet'!$C$25)&amp;"","")="",ISNUMBER(SEARCH($AS$67:$AZ$67,IFERROR(('Final Calculation Sheet'!$C$25)&amp;"","")))))&gt;0),IF(COUNTIF($BI$67:$BP$67,4)=0,TRUE,SUMPRODUCT(($BI$67:$BP$67=4)*($AS$67:$AZ$67&lt;&gt;"")*IF(((UPPER($AS$67:$AZ$67)="BLANK")+(UPPER($AS$67:$AZ$67)="(BLANK)")+(UPPER($AS$67:$AZ$67)="EMPTY")+(UPPER($AS$67:$AZ$67)="(EMPTY)"))&gt;0,IFERROR(('Final Calculation Sheet'!$C$25)&amp;"","")="",ISNUMBER(SEARCH($AS$67:$AZ$67,IFERROR(('Final Calculation Sheet'!$C$25)&amp;"","")))))&gt;0),IF(COUNTIF($BI$67:$BP$67,5)=0,TRUE,SUMPRODUCT(($BI$67:$BP$67=5)*($AS$67:$AZ$67&lt;&gt;"")*IF(((UPPER($AS$67:$AZ$67)="BLANK")+(UPPER($AS$67:$AZ$67)="(BLANK)")+(UPPER($AS$67:$AZ$67)="EMPTY")+(UPPER($AS$67:$AZ$67)="(EMPTY)"))&gt;0,IFERROR(('Final Calculation Sheet'!$C$25)&amp;"","")="",ISNUMBER(SEARCH($AS$67:$AZ$67,IFERROR(('Final Calculation Sheet'!$C$25)&amp;"","")))))&gt;0),IF(COUNTIF($BI$67:$BP$67,6)=0,TRUE,SUMPRODUCT(($BI$67:$BP$67=6)*($AS$67:$AZ$67&lt;&gt;"")*IF(((UPPER($AS$67:$AZ$67)="BLANK")+(UPPER($AS$67:$AZ$67)="(BLANK)")+(UPPER($AS$67:$AZ$67)="EMPTY")+(UPPER($AS$67:$AZ$67)="(EMPTY)"))&gt;0,IFERROR(('Final Calculation Sheet'!$C$25)&amp;"","")="",ISNUMBER(SEARCH($AS$67:$AZ$67,IFERROR(('Final Calculation Sheet'!$C$25)&amp;"","")))))&gt;0),IF(COUNTIF($BI$67:$BP$67,7)=0,TRUE,SUMPRODUCT(($BI$67:$BP$67=7)*($AS$67:$AZ$67&lt;&gt;"")*IF(((UPPER($AS$67:$AZ$67)="BLANK")+(UPPER($AS$67:$AZ$67)="(BLANK)")+(UPPER($AS$67:$AZ$67)="EMPTY")+(UPPER($AS$67:$AZ$67)="(EMPTY)"))&gt;0,IFERROR(('Final Calculation Sheet'!$C$25)&amp;"","")="",ISNUMBER(SEARCH($AS$67:$AZ$67,IFERROR(('Final Calculation Sheet'!$C$25)&amp;"","")))))&gt;0),IF(COUNTIF($BI$67:$BP$67,8)=0,TRUE,SUMPRODUCT(($BI$67:$BP$67=8)*($AS$67:$AZ$67&lt;&gt;"")*IF(((UPPER($AS$67:$AZ$67)="BLANK")+(UPPER($AS$67:$AZ$67)="(BLANK)")+(UPPER($AS$67:$AZ$67)="EMPTY")+(UPPER($AS$67:$AZ$67)="(EMPTY)"))&gt;0,IFERROR(('Final Calculation Sheet'!$C$25)&amp;"","")="",ISNUMBER(SEARCH($AS$67:$AZ$67,IFERROR(('Final Calculation Sheet'!$C$25)&amp;"","")))))&gt;0))))</f>
        <v>1</v>
      </c>
      <c r="BU26">
        <f>IF($I$4="",1,--(AND(SUMPRODUCT(--($AS$68:$AZ$68&lt;&gt;""))&gt;0,IF(COUNTIF($BI$68:$BP$68,1)=0,TRUE,SUMPRODUCT(($BI$68:$BP$68=1)*($AS$68:$AZ$68&lt;&gt;"")*IF(((UPPER($AS$68:$AZ$68)="BLANK")+(UPPER($AS$68:$AZ$68)="(BLANK)")+(UPPER($AS$68:$AZ$68)="EMPTY")+(UPPER($AS$68:$AZ$68)="(EMPTY)"))&gt;0,IFERROR(('Final Calculation Sheet'!$H$25)&amp;"","")="",ISNUMBER(SEARCH($AS$68:$AZ$68,IFERROR(('Final Calculation Sheet'!$H$25)&amp;"","")))))&gt;0),IF(COUNTIF($BI$68:$BP$68,2)=0,TRUE,SUMPRODUCT(($BI$68:$BP$68=2)*($AS$68:$AZ$68&lt;&gt;"")*IF(((UPPER($AS$68:$AZ$68)="BLANK")+(UPPER($AS$68:$AZ$68)="(BLANK)")+(UPPER($AS$68:$AZ$68)="EMPTY")+(UPPER($AS$68:$AZ$68)="(EMPTY)"))&gt;0,IFERROR(('Final Calculation Sheet'!$H$25)&amp;"","")="",ISNUMBER(SEARCH($AS$68:$AZ$68,IFERROR(('Final Calculation Sheet'!$H$25)&amp;"","")))))&gt;0),IF(COUNTIF($BI$68:$BP$68,3)=0,TRUE,SUMPRODUCT(($BI$68:$BP$68=3)*($AS$68:$AZ$68&lt;&gt;"")*IF(((UPPER($AS$68:$AZ$68)="BLANK")+(UPPER($AS$68:$AZ$68)="(BLANK)")+(UPPER($AS$68:$AZ$68)="EMPTY")+(UPPER($AS$68:$AZ$68)="(EMPTY)"))&gt;0,IFERROR(('Final Calculation Sheet'!$H$25)&amp;"","")="",ISNUMBER(SEARCH($AS$68:$AZ$68,IFERROR(('Final Calculation Sheet'!$H$25)&amp;"","")))))&gt;0),IF(COUNTIF($BI$68:$BP$68,4)=0,TRUE,SUMPRODUCT(($BI$68:$BP$68=4)*($AS$68:$AZ$68&lt;&gt;"")*IF(((UPPER($AS$68:$AZ$68)="BLANK")+(UPPER($AS$68:$AZ$68)="(BLANK)")+(UPPER($AS$68:$AZ$68)="EMPTY")+(UPPER($AS$68:$AZ$68)="(EMPTY)"))&gt;0,IFERROR(('Final Calculation Sheet'!$H$25)&amp;"","")="",ISNUMBER(SEARCH($AS$68:$AZ$68,IFERROR(('Final Calculation Sheet'!$H$25)&amp;"","")))))&gt;0),IF(COUNTIF($BI$68:$BP$68,5)=0,TRUE,SUMPRODUCT(($BI$68:$BP$68=5)*($AS$68:$AZ$68&lt;&gt;"")*IF(((UPPER($AS$68:$AZ$68)="BLANK")+(UPPER($AS$68:$AZ$68)="(BLANK)")+(UPPER($AS$68:$AZ$68)="EMPTY")+(UPPER($AS$68:$AZ$68)="(EMPTY)"))&gt;0,IFERROR(('Final Calculation Sheet'!$H$25)&amp;"","")="",ISNUMBER(SEARCH($AS$68:$AZ$68,IFERROR(('Final Calculation Sheet'!$H$25)&amp;"","")))))&gt;0),IF(COUNTIF($BI$68:$BP$68,6)=0,TRUE,SUMPRODUCT(($BI$68:$BP$68=6)*($AS$68:$AZ$68&lt;&gt;"")*IF(((UPPER($AS$68:$AZ$68)="BLANK")+(UPPER($AS$68:$AZ$68)="(BLANK)")+(UPPER($AS$68:$AZ$68)="EMPTY")+(UPPER($AS$68:$AZ$68)="(EMPTY)"))&gt;0,IFERROR(('Final Calculation Sheet'!$H$25)&amp;"","")="",ISNUMBER(SEARCH($AS$68:$AZ$68,IFERROR(('Final Calculation Sheet'!$H$25)&amp;"","")))))&gt;0),IF(COUNTIF($BI$68:$BP$68,7)=0,TRUE,SUMPRODUCT(($BI$68:$BP$68=7)*($AS$68:$AZ$68&lt;&gt;"")*IF(((UPPER($AS$68:$AZ$68)="BLANK")+(UPPER($AS$68:$AZ$68)="(BLANK)")+(UPPER($AS$68:$AZ$68)="EMPTY")+(UPPER($AS$68:$AZ$68)="(EMPTY)"))&gt;0,IFERROR(('Final Calculation Sheet'!$H$25)&amp;"","")="",ISNUMBER(SEARCH($AS$68:$AZ$68,IFERROR(('Final Calculation Sheet'!$H$25)&amp;"","")))))&gt;0),IF(COUNTIF($BI$68:$BP$68,8)=0,TRUE,SUMPRODUCT(($BI$68:$BP$68=8)*($AS$68:$AZ$68&lt;&gt;"")*IF(((UPPER($AS$68:$AZ$68)="BLANK")+(UPPER($AS$68:$AZ$68)="(BLANK)")+(UPPER($AS$68:$AZ$68)="EMPTY")+(UPPER($AS$68:$AZ$68)="(EMPTY)"))&gt;0,IFERROR(('Final Calculation Sheet'!$H$25)&amp;"","")="",ISNUMBER(SEARCH($AS$68:$AZ$68,IFERROR(('Final Calculation Sheet'!$H$25)&amp;"","")))))&gt;0))))</f>
        <v>1</v>
      </c>
      <c r="BV26">
        <f>IF($J$4="",1,--(AND(SUMPRODUCT(--($AS$69:$AZ$69&lt;&gt;""))&gt;0,IF(COUNTIF($BI$69:$BP$69,1)=0,TRUE,SUMPRODUCT(($BI$69:$BP$69=1)*($AS$69:$AZ$69&lt;&gt;"")*IF(((UPPER($AS$69:$AZ$69)="BLANK")+(UPPER($AS$69:$AZ$69)="(BLANK)")+(UPPER($AS$69:$AZ$69)="EMPTY")+(UPPER($AS$69:$AZ$69)="(EMPTY)"))&gt;0,IFERROR(('Final Calculation Sheet'!$I$25)&amp;"","")="",ISNUMBER(SEARCH($AS$69:$AZ$69,IFERROR(('Final Calculation Sheet'!$I$25)&amp;"","")))))&gt;0),IF(COUNTIF($BI$69:$BP$69,2)=0,TRUE,SUMPRODUCT(($BI$69:$BP$69=2)*($AS$69:$AZ$69&lt;&gt;"")*IF(((UPPER($AS$69:$AZ$69)="BLANK")+(UPPER($AS$69:$AZ$69)="(BLANK)")+(UPPER($AS$69:$AZ$69)="EMPTY")+(UPPER($AS$69:$AZ$69)="(EMPTY)"))&gt;0,IFERROR(('Final Calculation Sheet'!$I$25)&amp;"","")="",ISNUMBER(SEARCH($AS$69:$AZ$69,IFERROR(('Final Calculation Sheet'!$I$25)&amp;"","")))))&gt;0),IF(COUNTIF($BI$69:$BP$69,3)=0,TRUE,SUMPRODUCT(($BI$69:$BP$69=3)*($AS$69:$AZ$69&lt;&gt;"")*IF(((UPPER($AS$69:$AZ$69)="BLANK")+(UPPER($AS$69:$AZ$69)="(BLANK)")+(UPPER($AS$69:$AZ$69)="EMPTY")+(UPPER($AS$69:$AZ$69)="(EMPTY)"))&gt;0,IFERROR(('Final Calculation Sheet'!$I$25)&amp;"","")="",ISNUMBER(SEARCH($AS$69:$AZ$69,IFERROR(('Final Calculation Sheet'!$I$25)&amp;"","")))))&gt;0),IF(COUNTIF($BI$69:$BP$69,4)=0,TRUE,SUMPRODUCT(($BI$69:$BP$69=4)*($AS$69:$AZ$69&lt;&gt;"")*IF(((UPPER($AS$69:$AZ$69)="BLANK")+(UPPER($AS$69:$AZ$69)="(BLANK)")+(UPPER($AS$69:$AZ$69)="EMPTY")+(UPPER($AS$69:$AZ$69)="(EMPTY)"))&gt;0,IFERROR(('Final Calculation Sheet'!$I$25)&amp;"","")="",ISNUMBER(SEARCH($AS$69:$AZ$69,IFERROR(('Final Calculation Sheet'!$I$25)&amp;"","")))))&gt;0),IF(COUNTIF($BI$69:$BP$69,5)=0,TRUE,SUMPRODUCT(($BI$69:$BP$69=5)*($AS$69:$AZ$69&lt;&gt;"")*IF(((UPPER($AS$69:$AZ$69)="BLANK")+(UPPER($AS$69:$AZ$69)="(BLANK)")+(UPPER($AS$69:$AZ$69)="EMPTY")+(UPPER($AS$69:$AZ$69)="(EMPTY)"))&gt;0,IFERROR(('Final Calculation Sheet'!$I$25)&amp;"","")="",ISNUMBER(SEARCH($AS$69:$AZ$69,IFERROR(('Final Calculation Sheet'!$I$25)&amp;"","")))))&gt;0),IF(COUNTIF($BI$69:$BP$69,6)=0,TRUE,SUMPRODUCT(($BI$69:$BP$69=6)*($AS$69:$AZ$69&lt;&gt;"")*IF(((UPPER($AS$69:$AZ$69)="BLANK")+(UPPER($AS$69:$AZ$69)="(BLANK)")+(UPPER($AS$69:$AZ$69)="EMPTY")+(UPPER($AS$69:$AZ$69)="(EMPTY)"))&gt;0,IFERROR(('Final Calculation Sheet'!$I$25)&amp;"","")="",ISNUMBER(SEARCH($AS$69:$AZ$69,IFERROR(('Final Calculation Sheet'!$I$25)&amp;"","")))))&gt;0),IF(COUNTIF($BI$69:$BP$69,7)=0,TRUE,SUMPRODUCT(($BI$69:$BP$69=7)*($AS$69:$AZ$69&lt;&gt;"")*IF(((UPPER($AS$69:$AZ$69)="BLANK")+(UPPER($AS$69:$AZ$69)="(BLANK)")+(UPPER($AS$69:$AZ$69)="EMPTY")+(UPPER($AS$69:$AZ$69)="(EMPTY)"))&gt;0,IFERROR(('Final Calculation Sheet'!$I$25)&amp;"","")="",ISNUMBER(SEARCH($AS$69:$AZ$69,IFERROR(('Final Calculation Sheet'!$I$25)&amp;"","")))))&gt;0),IF(COUNTIF($BI$69:$BP$69,8)=0,TRUE,SUMPRODUCT(($BI$69:$BP$69=8)*($AS$69:$AZ$69&lt;&gt;"")*IF(((UPPER($AS$69:$AZ$69)="BLANK")+(UPPER($AS$69:$AZ$69)="(BLANK)")+(UPPER($AS$69:$AZ$69)="EMPTY")+(UPPER($AS$69:$AZ$69)="(EMPTY)"))&gt;0,IFERROR(('Final Calculation Sheet'!$I$25)&amp;"","")="",ISNUMBER(SEARCH($AS$69:$AZ$69,IFERROR(('Final Calculation Sheet'!$I$25)&amp;"","")))))&gt;0))))</f>
        <v>1</v>
      </c>
      <c r="BW26">
        <f>IF($K$4="",1,--(AND(SUMPRODUCT(--($AS$70:$AZ$70&lt;&gt;""))&gt;0,IF(COUNTIF($BI$70:$BP$70,1)=0,TRUE,SUMPRODUCT(($BI$70:$BP$70=1)*($AS$70:$AZ$70&lt;&gt;"")*IF(((UPPER($AS$70:$AZ$70)="BLANK")+(UPPER($AS$70:$AZ$70)="(BLANK)")+(UPPER($AS$70:$AZ$70)="EMPTY")+(UPPER($AS$70:$AZ$70)="(EMPTY)"))&gt;0,IFERROR(('Final Calculation Sheet'!$J$25)&amp;"","")="",ISNUMBER(SEARCH($AS$70:$AZ$70,IFERROR(('Final Calculation Sheet'!$J$25)&amp;"","")))))&gt;0),IF(COUNTIF($BI$70:$BP$70,2)=0,TRUE,SUMPRODUCT(($BI$70:$BP$70=2)*($AS$70:$AZ$70&lt;&gt;"")*IF(((UPPER($AS$70:$AZ$70)="BLANK")+(UPPER($AS$70:$AZ$70)="(BLANK)")+(UPPER($AS$70:$AZ$70)="EMPTY")+(UPPER($AS$70:$AZ$70)="(EMPTY)"))&gt;0,IFERROR(('Final Calculation Sheet'!$J$25)&amp;"","")="",ISNUMBER(SEARCH($AS$70:$AZ$70,IFERROR(('Final Calculation Sheet'!$J$25)&amp;"","")))))&gt;0),IF(COUNTIF($BI$70:$BP$70,3)=0,TRUE,SUMPRODUCT(($BI$70:$BP$70=3)*($AS$70:$AZ$70&lt;&gt;"")*IF(((UPPER($AS$70:$AZ$70)="BLANK")+(UPPER($AS$70:$AZ$70)="(BLANK)")+(UPPER($AS$70:$AZ$70)="EMPTY")+(UPPER($AS$70:$AZ$70)="(EMPTY)"))&gt;0,IFERROR(('Final Calculation Sheet'!$J$25)&amp;"","")="",ISNUMBER(SEARCH($AS$70:$AZ$70,IFERROR(('Final Calculation Sheet'!$J$25)&amp;"","")))))&gt;0),IF(COUNTIF($BI$70:$BP$70,4)=0,TRUE,SUMPRODUCT(($BI$70:$BP$70=4)*($AS$70:$AZ$70&lt;&gt;"")*IF(((UPPER($AS$70:$AZ$70)="BLANK")+(UPPER($AS$70:$AZ$70)="(BLANK)")+(UPPER($AS$70:$AZ$70)="EMPTY")+(UPPER($AS$70:$AZ$70)="(EMPTY)"))&gt;0,IFERROR(('Final Calculation Sheet'!$J$25)&amp;"","")="",ISNUMBER(SEARCH($AS$70:$AZ$70,IFERROR(('Final Calculation Sheet'!$J$25)&amp;"","")))))&gt;0),IF(COUNTIF($BI$70:$BP$70,5)=0,TRUE,SUMPRODUCT(($BI$70:$BP$70=5)*($AS$70:$AZ$70&lt;&gt;"")*IF(((UPPER($AS$70:$AZ$70)="BLANK")+(UPPER($AS$70:$AZ$70)="(BLANK)")+(UPPER($AS$70:$AZ$70)="EMPTY")+(UPPER($AS$70:$AZ$70)="(EMPTY)"))&gt;0,IFERROR(('Final Calculation Sheet'!$J$25)&amp;"","")="",ISNUMBER(SEARCH($AS$70:$AZ$70,IFERROR(('Final Calculation Sheet'!$J$25)&amp;"","")))))&gt;0),IF(COUNTIF($BI$70:$BP$70,6)=0,TRUE,SUMPRODUCT(($BI$70:$BP$70=6)*($AS$70:$AZ$70&lt;&gt;"")*IF(((UPPER($AS$70:$AZ$70)="BLANK")+(UPPER($AS$70:$AZ$70)="(BLANK)")+(UPPER($AS$70:$AZ$70)="EMPTY")+(UPPER($AS$70:$AZ$70)="(EMPTY)"))&gt;0,IFERROR(('Final Calculation Sheet'!$J$25)&amp;"","")="",ISNUMBER(SEARCH($AS$70:$AZ$70,IFERROR(('Final Calculation Sheet'!$J$25)&amp;"","")))))&gt;0),IF(COUNTIF($BI$70:$BP$70,7)=0,TRUE,SUMPRODUCT(($BI$70:$BP$70=7)*($AS$70:$AZ$70&lt;&gt;"")*IF(((UPPER($AS$70:$AZ$70)="BLANK")+(UPPER($AS$70:$AZ$70)="(BLANK)")+(UPPER($AS$70:$AZ$70)="EMPTY")+(UPPER($AS$70:$AZ$70)="(EMPTY)"))&gt;0,IFERROR(('Final Calculation Sheet'!$J$25)&amp;"","")="",ISNUMBER(SEARCH($AS$70:$AZ$70,IFERROR(('Final Calculation Sheet'!$J$25)&amp;"","")))))&gt;0),IF(COUNTIF($BI$70:$BP$70,8)=0,TRUE,SUMPRODUCT(($BI$70:$BP$70=8)*($AS$70:$AZ$70&lt;&gt;"")*IF(((UPPER($AS$70:$AZ$70)="BLANK")+(UPPER($AS$70:$AZ$70)="(BLANK)")+(UPPER($AS$70:$AZ$70)="EMPTY")+(UPPER($AS$70:$AZ$70)="(EMPTY)"))&gt;0,IFERROR(('Final Calculation Sheet'!$J$25)&amp;"","")="",ISNUMBER(SEARCH($AS$70:$AZ$70,IFERROR(('Final Calculation Sheet'!$J$25)&amp;"","")))))&gt;0))))</f>
        <v>1</v>
      </c>
      <c r="BX26">
        <f>IF($L$4="",1,--(AND(SUMPRODUCT(--($AS$71:$AZ$71&lt;&gt;""))&gt;0,IF(COUNTIF($BI$71:$BP$71,1)=0,TRUE,SUMPRODUCT(($BI$71:$BP$71=1)*($AS$71:$AZ$71&lt;&gt;"")*IF(((UPPER($AS$71:$AZ$71)="BLANK")+(UPPER($AS$71:$AZ$71)="(BLANK)")+(UPPER($AS$71:$AZ$71)="EMPTY")+(UPPER($AS$71:$AZ$71)="(EMPTY)"))&gt;0,IFERROR(('Final Calculation Sheet'!$K$25)&amp;"","")="",ISNUMBER(SEARCH($AS$71:$AZ$71,IFERROR(('Final Calculation Sheet'!$K$25)&amp;"","")))))&gt;0),IF(COUNTIF($BI$71:$BP$71,2)=0,TRUE,SUMPRODUCT(($BI$71:$BP$71=2)*($AS$71:$AZ$71&lt;&gt;"")*IF(((UPPER($AS$71:$AZ$71)="BLANK")+(UPPER($AS$71:$AZ$71)="(BLANK)")+(UPPER($AS$71:$AZ$71)="EMPTY")+(UPPER($AS$71:$AZ$71)="(EMPTY)"))&gt;0,IFERROR(('Final Calculation Sheet'!$K$25)&amp;"","")="",ISNUMBER(SEARCH($AS$71:$AZ$71,IFERROR(('Final Calculation Sheet'!$K$25)&amp;"","")))))&gt;0),IF(COUNTIF($BI$71:$BP$71,3)=0,TRUE,SUMPRODUCT(($BI$71:$BP$71=3)*($AS$71:$AZ$71&lt;&gt;"")*IF(((UPPER($AS$71:$AZ$71)="BLANK")+(UPPER($AS$71:$AZ$71)="(BLANK)")+(UPPER($AS$71:$AZ$71)="EMPTY")+(UPPER($AS$71:$AZ$71)="(EMPTY)"))&gt;0,IFERROR(('Final Calculation Sheet'!$K$25)&amp;"","")="",ISNUMBER(SEARCH($AS$71:$AZ$71,IFERROR(('Final Calculation Sheet'!$K$25)&amp;"","")))))&gt;0),IF(COUNTIF($BI$71:$BP$71,4)=0,TRUE,SUMPRODUCT(($BI$71:$BP$71=4)*($AS$71:$AZ$71&lt;&gt;"")*IF(((UPPER($AS$71:$AZ$71)="BLANK")+(UPPER($AS$71:$AZ$71)="(BLANK)")+(UPPER($AS$71:$AZ$71)="EMPTY")+(UPPER($AS$71:$AZ$71)="(EMPTY)"))&gt;0,IFERROR(('Final Calculation Sheet'!$K$25)&amp;"","")="",ISNUMBER(SEARCH($AS$71:$AZ$71,IFERROR(('Final Calculation Sheet'!$K$25)&amp;"","")))))&gt;0),IF(COUNTIF($BI$71:$BP$71,5)=0,TRUE,SUMPRODUCT(($BI$71:$BP$71=5)*($AS$71:$AZ$71&lt;&gt;"")*IF(((UPPER($AS$71:$AZ$71)="BLANK")+(UPPER($AS$71:$AZ$71)="(BLANK)")+(UPPER($AS$71:$AZ$71)="EMPTY")+(UPPER($AS$71:$AZ$71)="(EMPTY)"))&gt;0,IFERROR(('Final Calculation Sheet'!$K$25)&amp;"","")="",ISNUMBER(SEARCH($AS$71:$AZ$71,IFERROR(('Final Calculation Sheet'!$K$25)&amp;"","")))))&gt;0),IF(COUNTIF($BI$71:$BP$71,6)=0,TRUE,SUMPRODUCT(($BI$71:$BP$71=6)*($AS$71:$AZ$71&lt;&gt;"")*IF(((UPPER($AS$71:$AZ$71)="BLANK")+(UPPER($AS$71:$AZ$71)="(BLANK)")+(UPPER($AS$71:$AZ$71)="EMPTY")+(UPPER($AS$71:$AZ$71)="(EMPTY)"))&gt;0,IFERROR(('Final Calculation Sheet'!$K$25)&amp;"","")="",ISNUMBER(SEARCH($AS$71:$AZ$71,IFERROR(('Final Calculation Sheet'!$K$25)&amp;"","")))))&gt;0),IF(COUNTIF($BI$71:$BP$71,7)=0,TRUE,SUMPRODUCT(($BI$71:$BP$71=7)*($AS$71:$AZ$71&lt;&gt;"")*IF(((UPPER($AS$71:$AZ$71)="BLANK")+(UPPER($AS$71:$AZ$71)="(BLANK)")+(UPPER($AS$71:$AZ$71)="EMPTY")+(UPPER($AS$71:$AZ$71)="(EMPTY)"))&gt;0,IFERROR(('Final Calculation Sheet'!$K$25)&amp;"","")="",ISNUMBER(SEARCH($AS$71:$AZ$71,IFERROR(('Final Calculation Sheet'!$K$25)&amp;"","")))))&gt;0),IF(COUNTIF($BI$71:$BP$71,8)=0,TRUE,SUMPRODUCT(($BI$71:$BP$71=8)*($AS$71:$AZ$71&lt;&gt;"")*IF(((UPPER($AS$71:$AZ$71)="BLANK")+(UPPER($AS$71:$AZ$71)="(BLANK)")+(UPPER($AS$71:$AZ$71)="EMPTY")+(UPPER($AS$71:$AZ$71)="(EMPTY)"))&gt;0,IFERROR(('Final Calculation Sheet'!$K$25)&amp;"","")="",ISNUMBER(SEARCH($AS$71:$AZ$71,IFERROR(('Final Calculation Sheet'!$K$25)&amp;"","")))))&gt;0))))</f>
        <v>1</v>
      </c>
      <c r="BY26">
        <f>IF($M$4="",1,--(AND(SUMPRODUCT(--($AS$72:$AZ$72&lt;&gt;""))&gt;0,IF(COUNTIF($BI$72:$BP$72,1)=0,TRUE,SUMPRODUCT(($BI$72:$BP$72=1)*($AS$72:$AZ$72&lt;&gt;"")*IF(((UPPER($AS$72:$AZ$72)="BLANK")+(UPPER($AS$72:$AZ$72)="(BLANK)")+(UPPER($AS$72:$AZ$72)="EMPTY")+(UPPER($AS$72:$AZ$72)="(EMPTY)"))&gt;0,IFERROR(('Final Calculation Sheet'!$L$25)&amp;"","")="",ISNUMBER(SEARCH($AS$72:$AZ$72,IFERROR(('Final Calculation Sheet'!$L$25)&amp;"","")))))&gt;0),IF(COUNTIF($BI$72:$BP$72,2)=0,TRUE,SUMPRODUCT(($BI$72:$BP$72=2)*($AS$72:$AZ$72&lt;&gt;"")*IF(((UPPER($AS$72:$AZ$72)="BLANK")+(UPPER($AS$72:$AZ$72)="(BLANK)")+(UPPER($AS$72:$AZ$72)="EMPTY")+(UPPER($AS$72:$AZ$72)="(EMPTY)"))&gt;0,IFERROR(('Final Calculation Sheet'!$L$25)&amp;"","")="",ISNUMBER(SEARCH($AS$72:$AZ$72,IFERROR(('Final Calculation Sheet'!$L$25)&amp;"","")))))&gt;0),IF(COUNTIF($BI$72:$BP$72,3)=0,TRUE,SUMPRODUCT(($BI$72:$BP$72=3)*($AS$72:$AZ$72&lt;&gt;"")*IF(((UPPER($AS$72:$AZ$72)="BLANK")+(UPPER($AS$72:$AZ$72)="(BLANK)")+(UPPER($AS$72:$AZ$72)="EMPTY")+(UPPER($AS$72:$AZ$72)="(EMPTY)"))&gt;0,IFERROR(('Final Calculation Sheet'!$L$25)&amp;"","")="",ISNUMBER(SEARCH($AS$72:$AZ$72,IFERROR(('Final Calculation Sheet'!$L$25)&amp;"","")))))&gt;0),IF(COUNTIF($BI$72:$BP$72,4)=0,TRUE,SUMPRODUCT(($BI$72:$BP$72=4)*($AS$72:$AZ$72&lt;&gt;"")*IF(((UPPER($AS$72:$AZ$72)="BLANK")+(UPPER($AS$72:$AZ$72)="(BLANK)")+(UPPER($AS$72:$AZ$72)="EMPTY")+(UPPER($AS$72:$AZ$72)="(EMPTY)"))&gt;0,IFERROR(('Final Calculation Sheet'!$L$25)&amp;"","")="",ISNUMBER(SEARCH($AS$72:$AZ$72,IFERROR(('Final Calculation Sheet'!$L$25)&amp;"","")))))&gt;0),IF(COUNTIF($BI$72:$BP$72,5)=0,TRUE,SUMPRODUCT(($BI$72:$BP$72=5)*($AS$72:$AZ$72&lt;&gt;"")*IF(((UPPER($AS$72:$AZ$72)="BLANK")+(UPPER($AS$72:$AZ$72)="(BLANK)")+(UPPER($AS$72:$AZ$72)="EMPTY")+(UPPER($AS$72:$AZ$72)="(EMPTY)"))&gt;0,IFERROR(('Final Calculation Sheet'!$L$25)&amp;"","")="",ISNUMBER(SEARCH($AS$72:$AZ$72,IFERROR(('Final Calculation Sheet'!$L$25)&amp;"","")))))&gt;0),IF(COUNTIF($BI$72:$BP$72,6)=0,TRUE,SUMPRODUCT(($BI$72:$BP$72=6)*($AS$72:$AZ$72&lt;&gt;"")*IF(((UPPER($AS$72:$AZ$72)="BLANK")+(UPPER($AS$72:$AZ$72)="(BLANK)")+(UPPER($AS$72:$AZ$72)="EMPTY")+(UPPER($AS$72:$AZ$72)="(EMPTY)"))&gt;0,IFERROR(('Final Calculation Sheet'!$L$25)&amp;"","")="",ISNUMBER(SEARCH($AS$72:$AZ$72,IFERROR(('Final Calculation Sheet'!$L$25)&amp;"","")))))&gt;0),IF(COUNTIF($BI$72:$BP$72,7)=0,TRUE,SUMPRODUCT(($BI$72:$BP$72=7)*($AS$72:$AZ$72&lt;&gt;"")*IF(((UPPER($AS$72:$AZ$72)="BLANK")+(UPPER($AS$72:$AZ$72)="(BLANK)")+(UPPER($AS$72:$AZ$72)="EMPTY")+(UPPER($AS$72:$AZ$72)="(EMPTY)"))&gt;0,IFERROR(('Final Calculation Sheet'!$L$25)&amp;"","")="",ISNUMBER(SEARCH($AS$72:$AZ$72,IFERROR(('Final Calculation Sheet'!$L$25)&amp;"","")))))&gt;0),IF(COUNTIF($BI$72:$BP$72,8)=0,TRUE,SUMPRODUCT(($BI$72:$BP$72=8)*($AS$72:$AZ$72&lt;&gt;"")*IF(((UPPER($AS$72:$AZ$72)="BLANK")+(UPPER($AS$72:$AZ$72)="(BLANK)")+(UPPER($AS$72:$AZ$72)="EMPTY")+(UPPER($AS$72:$AZ$72)="(EMPTY)"))&gt;0,IFERROR(('Final Calculation Sheet'!$L$25)&amp;"","")="",ISNUMBER(SEARCH($AS$72:$AZ$72,IFERROR(('Final Calculation Sheet'!$L$25)&amp;"","")))))&gt;0))))</f>
        <v>1</v>
      </c>
      <c r="BZ26">
        <f>IF($N$4="",1,--(AND(SUMPRODUCT(--($AS$73:$AZ$73&lt;&gt;""))&gt;0,IF(COUNTIF($BI$73:$BP$73,1)=0,TRUE,SUMPRODUCT(($BI$73:$BP$73=1)*($AS$73:$AZ$73&lt;&gt;"")*IF(((UPPER($AS$73:$AZ$73)="BLANK")+(UPPER($AS$73:$AZ$73)="(BLANK)")+(UPPER($AS$73:$AZ$73)="EMPTY")+(UPPER($AS$73:$AZ$73)="(EMPTY)"))&gt;0,IFERROR(('Final Calculation Sheet'!$M$25)&amp;"","")="",ISNUMBER(SEARCH($AS$73:$AZ$73,IFERROR(('Final Calculation Sheet'!$M$25)&amp;"","")))))&gt;0),IF(COUNTIF($BI$73:$BP$73,2)=0,TRUE,SUMPRODUCT(($BI$73:$BP$73=2)*($AS$73:$AZ$73&lt;&gt;"")*IF(((UPPER($AS$73:$AZ$73)="BLANK")+(UPPER($AS$73:$AZ$73)="(BLANK)")+(UPPER($AS$73:$AZ$73)="EMPTY")+(UPPER($AS$73:$AZ$73)="(EMPTY)"))&gt;0,IFERROR(('Final Calculation Sheet'!$M$25)&amp;"","")="",ISNUMBER(SEARCH($AS$73:$AZ$73,IFERROR(('Final Calculation Sheet'!$M$25)&amp;"","")))))&gt;0),IF(COUNTIF($BI$73:$BP$73,3)=0,TRUE,SUMPRODUCT(($BI$73:$BP$73=3)*($AS$73:$AZ$73&lt;&gt;"")*IF(((UPPER($AS$73:$AZ$73)="BLANK")+(UPPER($AS$73:$AZ$73)="(BLANK)")+(UPPER($AS$73:$AZ$73)="EMPTY")+(UPPER($AS$73:$AZ$73)="(EMPTY)"))&gt;0,IFERROR(('Final Calculation Sheet'!$M$25)&amp;"","")="",ISNUMBER(SEARCH($AS$73:$AZ$73,IFERROR(('Final Calculation Sheet'!$M$25)&amp;"","")))))&gt;0),IF(COUNTIF($BI$73:$BP$73,4)=0,TRUE,SUMPRODUCT(($BI$73:$BP$73=4)*($AS$73:$AZ$73&lt;&gt;"")*IF(((UPPER($AS$73:$AZ$73)="BLANK")+(UPPER($AS$73:$AZ$73)="(BLANK)")+(UPPER($AS$73:$AZ$73)="EMPTY")+(UPPER($AS$73:$AZ$73)="(EMPTY)"))&gt;0,IFERROR(('Final Calculation Sheet'!$M$25)&amp;"","")="",ISNUMBER(SEARCH($AS$73:$AZ$73,IFERROR(('Final Calculation Sheet'!$M$25)&amp;"","")))))&gt;0),IF(COUNTIF($BI$73:$BP$73,5)=0,TRUE,SUMPRODUCT(($BI$73:$BP$73=5)*($AS$73:$AZ$73&lt;&gt;"")*IF(((UPPER($AS$73:$AZ$73)="BLANK")+(UPPER($AS$73:$AZ$73)="(BLANK)")+(UPPER($AS$73:$AZ$73)="EMPTY")+(UPPER($AS$73:$AZ$73)="(EMPTY)"))&gt;0,IFERROR(('Final Calculation Sheet'!$M$25)&amp;"","")="",ISNUMBER(SEARCH($AS$73:$AZ$73,IFERROR(('Final Calculation Sheet'!$M$25)&amp;"","")))))&gt;0),IF(COUNTIF($BI$73:$BP$73,6)=0,TRUE,SUMPRODUCT(($BI$73:$BP$73=6)*($AS$73:$AZ$73&lt;&gt;"")*IF(((UPPER($AS$73:$AZ$73)="BLANK")+(UPPER($AS$73:$AZ$73)="(BLANK)")+(UPPER($AS$73:$AZ$73)="EMPTY")+(UPPER($AS$73:$AZ$73)="(EMPTY)"))&gt;0,IFERROR(('Final Calculation Sheet'!$M$25)&amp;"","")="",ISNUMBER(SEARCH($AS$73:$AZ$73,IFERROR(('Final Calculation Sheet'!$M$25)&amp;"","")))))&gt;0),IF(COUNTIF($BI$73:$BP$73,7)=0,TRUE,SUMPRODUCT(($BI$73:$BP$73=7)*($AS$73:$AZ$73&lt;&gt;"")*IF(((UPPER($AS$73:$AZ$73)="BLANK")+(UPPER($AS$73:$AZ$73)="(BLANK)")+(UPPER($AS$73:$AZ$73)="EMPTY")+(UPPER($AS$73:$AZ$73)="(EMPTY)"))&gt;0,IFERROR(('Final Calculation Sheet'!$M$25)&amp;"","")="",ISNUMBER(SEARCH($AS$73:$AZ$73,IFERROR(('Final Calculation Sheet'!$M$25)&amp;"","")))))&gt;0),IF(COUNTIF($BI$73:$BP$73,8)=0,TRUE,SUMPRODUCT(($BI$73:$BP$73=8)*($AS$73:$AZ$73&lt;&gt;"")*IF(((UPPER($AS$73:$AZ$73)="BLANK")+(UPPER($AS$73:$AZ$73)="(BLANK)")+(UPPER($AS$73:$AZ$73)="EMPTY")+(UPPER($AS$73:$AZ$73)="(EMPTY)"))&gt;0,IFERROR(('Final Calculation Sheet'!$M$25)&amp;"","")="",ISNUMBER(SEARCH($AS$73:$AZ$73,IFERROR(('Final Calculation Sheet'!$M$25)&amp;"","")))))&gt;0))))</f>
        <v>1</v>
      </c>
      <c r="CA26">
        <f>IF($O$4="",1,--(AND(SUMPRODUCT(--($AS$74:$AZ$74&lt;&gt;""))&gt;0,IF(COUNTIF($BI$74:$BP$74,1)=0,TRUE,SUMPRODUCT(($BI$74:$BP$74=1)*($AS$74:$AZ$74&lt;&gt;"")*IF(((UPPER($AS$74:$AZ$74)="BLANK")+(UPPER($AS$74:$AZ$74)="(BLANK)")+(UPPER($AS$74:$AZ$74)="EMPTY")+(UPPER($AS$74:$AZ$74)="(EMPTY)"))&gt;0,IFERROR(('Final Calculation Sheet'!$N$25)&amp;"","")="",ISNUMBER(SEARCH($AS$74:$AZ$74,IFERROR(('Final Calculation Sheet'!$N$25)&amp;"","")))))&gt;0),IF(COUNTIF($BI$74:$BP$74,2)=0,TRUE,SUMPRODUCT(($BI$74:$BP$74=2)*($AS$74:$AZ$74&lt;&gt;"")*IF(((UPPER($AS$74:$AZ$74)="BLANK")+(UPPER($AS$74:$AZ$74)="(BLANK)")+(UPPER($AS$74:$AZ$74)="EMPTY")+(UPPER($AS$74:$AZ$74)="(EMPTY)"))&gt;0,IFERROR(('Final Calculation Sheet'!$N$25)&amp;"","")="",ISNUMBER(SEARCH($AS$74:$AZ$74,IFERROR(('Final Calculation Sheet'!$N$25)&amp;"","")))))&gt;0),IF(COUNTIF($BI$74:$BP$74,3)=0,TRUE,SUMPRODUCT(($BI$74:$BP$74=3)*($AS$74:$AZ$74&lt;&gt;"")*IF(((UPPER($AS$74:$AZ$74)="BLANK")+(UPPER($AS$74:$AZ$74)="(BLANK)")+(UPPER($AS$74:$AZ$74)="EMPTY")+(UPPER($AS$74:$AZ$74)="(EMPTY)"))&gt;0,IFERROR(('Final Calculation Sheet'!$N$25)&amp;"","")="",ISNUMBER(SEARCH($AS$74:$AZ$74,IFERROR(('Final Calculation Sheet'!$N$25)&amp;"","")))))&gt;0),IF(COUNTIF($BI$74:$BP$74,4)=0,TRUE,SUMPRODUCT(($BI$74:$BP$74=4)*($AS$74:$AZ$74&lt;&gt;"")*IF(((UPPER($AS$74:$AZ$74)="BLANK")+(UPPER($AS$74:$AZ$74)="(BLANK)")+(UPPER($AS$74:$AZ$74)="EMPTY")+(UPPER($AS$74:$AZ$74)="(EMPTY)"))&gt;0,IFERROR(('Final Calculation Sheet'!$N$25)&amp;"","")="",ISNUMBER(SEARCH($AS$74:$AZ$74,IFERROR(('Final Calculation Sheet'!$N$25)&amp;"","")))))&gt;0),IF(COUNTIF($BI$74:$BP$74,5)=0,TRUE,SUMPRODUCT(($BI$74:$BP$74=5)*($AS$74:$AZ$74&lt;&gt;"")*IF(((UPPER($AS$74:$AZ$74)="BLANK")+(UPPER($AS$74:$AZ$74)="(BLANK)")+(UPPER($AS$74:$AZ$74)="EMPTY")+(UPPER($AS$74:$AZ$74)="(EMPTY)"))&gt;0,IFERROR(('Final Calculation Sheet'!$N$25)&amp;"","")="",ISNUMBER(SEARCH($AS$74:$AZ$74,IFERROR(('Final Calculation Sheet'!$N$25)&amp;"","")))))&gt;0),IF(COUNTIF($BI$74:$BP$74,6)=0,TRUE,SUMPRODUCT(($BI$74:$BP$74=6)*($AS$74:$AZ$74&lt;&gt;"")*IF(((UPPER($AS$74:$AZ$74)="BLANK")+(UPPER($AS$74:$AZ$74)="(BLANK)")+(UPPER($AS$74:$AZ$74)="EMPTY")+(UPPER($AS$74:$AZ$74)="(EMPTY)"))&gt;0,IFERROR(('Final Calculation Sheet'!$N$25)&amp;"","")="",ISNUMBER(SEARCH($AS$74:$AZ$74,IFERROR(('Final Calculation Sheet'!$N$25)&amp;"","")))))&gt;0),IF(COUNTIF($BI$74:$BP$74,7)=0,TRUE,SUMPRODUCT(($BI$74:$BP$74=7)*($AS$74:$AZ$74&lt;&gt;"")*IF(((UPPER($AS$74:$AZ$74)="BLANK")+(UPPER($AS$74:$AZ$74)="(BLANK)")+(UPPER($AS$74:$AZ$74)="EMPTY")+(UPPER($AS$74:$AZ$74)="(EMPTY)"))&gt;0,IFERROR(('Final Calculation Sheet'!$N$25)&amp;"","")="",ISNUMBER(SEARCH($AS$74:$AZ$74,IFERROR(('Final Calculation Sheet'!$N$25)&amp;"","")))))&gt;0),IF(COUNTIF($BI$74:$BP$74,8)=0,TRUE,SUMPRODUCT(($BI$74:$BP$74=8)*($AS$74:$AZ$74&lt;&gt;"")*IF(((UPPER($AS$74:$AZ$74)="BLANK")+(UPPER($AS$74:$AZ$74)="(BLANK)")+(UPPER($AS$74:$AZ$74)="EMPTY")+(UPPER($AS$74:$AZ$74)="(EMPTY)"))&gt;0,IFERROR(('Final Calculation Sheet'!$N$25)&amp;"","")="",ISNUMBER(SEARCH($AS$74:$AZ$74,IFERROR(('Final Calculation Sheet'!$N$25)&amp;"","")))))&gt;0))))</f>
        <v>1</v>
      </c>
      <c r="CB26">
        <f>IF($P$4="",1,--(AND(SUMPRODUCT(--($AS$75:$AZ$75&lt;&gt;""))&gt;0,IF(COUNTIF($BI$75:$BP$75,1)=0,TRUE,SUMPRODUCT(($BI$75:$BP$75=1)*($AS$75:$AZ$75&lt;&gt;"")*IF(((UPPER($AS$75:$AZ$75)="BLANK")+(UPPER($AS$75:$AZ$75)="(BLANK)")+(UPPER($AS$75:$AZ$75)="EMPTY")+(UPPER($AS$75:$AZ$75)="(EMPTY)"))&gt;0,IFERROR(('Final Calculation Sheet'!$O$25)&amp;"","")="",ISNUMBER(SEARCH($AS$75:$AZ$75,IFERROR(('Final Calculation Sheet'!$O$25)&amp;"","")))))&gt;0),IF(COUNTIF($BI$75:$BP$75,2)=0,TRUE,SUMPRODUCT(($BI$75:$BP$75=2)*($AS$75:$AZ$75&lt;&gt;"")*IF(((UPPER($AS$75:$AZ$75)="BLANK")+(UPPER($AS$75:$AZ$75)="(BLANK)")+(UPPER($AS$75:$AZ$75)="EMPTY")+(UPPER($AS$75:$AZ$75)="(EMPTY)"))&gt;0,IFERROR(('Final Calculation Sheet'!$O$25)&amp;"","")="",ISNUMBER(SEARCH($AS$75:$AZ$75,IFERROR(('Final Calculation Sheet'!$O$25)&amp;"","")))))&gt;0),IF(COUNTIF($BI$75:$BP$75,3)=0,TRUE,SUMPRODUCT(($BI$75:$BP$75=3)*($AS$75:$AZ$75&lt;&gt;"")*IF(((UPPER($AS$75:$AZ$75)="BLANK")+(UPPER($AS$75:$AZ$75)="(BLANK)")+(UPPER($AS$75:$AZ$75)="EMPTY")+(UPPER($AS$75:$AZ$75)="(EMPTY)"))&gt;0,IFERROR(('Final Calculation Sheet'!$O$25)&amp;"","")="",ISNUMBER(SEARCH($AS$75:$AZ$75,IFERROR(('Final Calculation Sheet'!$O$25)&amp;"","")))))&gt;0),IF(COUNTIF($BI$75:$BP$75,4)=0,TRUE,SUMPRODUCT(($BI$75:$BP$75=4)*($AS$75:$AZ$75&lt;&gt;"")*IF(((UPPER($AS$75:$AZ$75)="BLANK")+(UPPER($AS$75:$AZ$75)="(BLANK)")+(UPPER($AS$75:$AZ$75)="EMPTY")+(UPPER($AS$75:$AZ$75)="(EMPTY)"))&gt;0,IFERROR(('Final Calculation Sheet'!$O$25)&amp;"","")="",ISNUMBER(SEARCH($AS$75:$AZ$75,IFERROR(('Final Calculation Sheet'!$O$25)&amp;"","")))))&gt;0),IF(COUNTIF($BI$75:$BP$75,5)=0,TRUE,SUMPRODUCT(($BI$75:$BP$75=5)*($AS$75:$AZ$75&lt;&gt;"")*IF(((UPPER($AS$75:$AZ$75)="BLANK")+(UPPER($AS$75:$AZ$75)="(BLANK)")+(UPPER($AS$75:$AZ$75)="EMPTY")+(UPPER($AS$75:$AZ$75)="(EMPTY)"))&gt;0,IFERROR(('Final Calculation Sheet'!$O$25)&amp;"","")="",ISNUMBER(SEARCH($AS$75:$AZ$75,IFERROR(('Final Calculation Sheet'!$O$25)&amp;"","")))))&gt;0),IF(COUNTIF($BI$75:$BP$75,6)=0,TRUE,SUMPRODUCT(($BI$75:$BP$75=6)*($AS$75:$AZ$75&lt;&gt;"")*IF(((UPPER($AS$75:$AZ$75)="BLANK")+(UPPER($AS$75:$AZ$75)="(BLANK)")+(UPPER($AS$75:$AZ$75)="EMPTY")+(UPPER($AS$75:$AZ$75)="(EMPTY)"))&gt;0,IFERROR(('Final Calculation Sheet'!$O$25)&amp;"","")="",ISNUMBER(SEARCH($AS$75:$AZ$75,IFERROR(('Final Calculation Sheet'!$O$25)&amp;"","")))))&gt;0),IF(COUNTIF($BI$75:$BP$75,7)=0,TRUE,SUMPRODUCT(($BI$75:$BP$75=7)*($AS$75:$AZ$75&lt;&gt;"")*IF(((UPPER($AS$75:$AZ$75)="BLANK")+(UPPER($AS$75:$AZ$75)="(BLANK)")+(UPPER($AS$75:$AZ$75)="EMPTY")+(UPPER($AS$75:$AZ$75)="(EMPTY)"))&gt;0,IFERROR(('Final Calculation Sheet'!$O$25)&amp;"","")="",ISNUMBER(SEARCH($AS$75:$AZ$75,IFERROR(('Final Calculation Sheet'!$O$25)&amp;"","")))))&gt;0),IF(COUNTIF($BI$75:$BP$75,8)=0,TRUE,SUMPRODUCT(($BI$75:$BP$75=8)*($AS$75:$AZ$75&lt;&gt;"")*IF(((UPPER($AS$75:$AZ$75)="BLANK")+(UPPER($AS$75:$AZ$75)="(BLANK)")+(UPPER($AS$75:$AZ$75)="EMPTY")+(UPPER($AS$75:$AZ$75)="(EMPTY)"))&gt;0,IFERROR(('Final Calculation Sheet'!$O$25)&amp;"","")="",ISNUMBER(SEARCH($AS$75:$AZ$75,IFERROR(('Final Calculation Sheet'!$O$25)&amp;"","")))))&gt;0))))</f>
        <v>1</v>
      </c>
      <c r="CC26">
        <f>IF($Q$4="",1,--(AND(SUMPRODUCT(--($AS$76:$AZ$76&lt;&gt;""))&gt;0,IF(COUNTIF($BI$76:$BP$76,1)=0,TRUE,SUMPRODUCT(($BI$76:$BP$76=1)*($AS$76:$AZ$76&lt;&gt;"")*IF(((UPPER($AS$76:$AZ$76)="BLANK")+(UPPER($AS$76:$AZ$76)="(BLANK)")+(UPPER($AS$76:$AZ$76)="EMPTY")+(UPPER($AS$76:$AZ$76)="(EMPTY)"))&gt;0,IFERROR(('Final Calculation Sheet'!$P$25)&amp;"","")="",ISNUMBER(SEARCH($AS$76:$AZ$76,IFERROR(('Final Calculation Sheet'!$P$25)&amp;"","")))))&gt;0),IF(COUNTIF($BI$76:$BP$76,2)=0,TRUE,SUMPRODUCT(($BI$76:$BP$76=2)*($AS$76:$AZ$76&lt;&gt;"")*IF(((UPPER($AS$76:$AZ$76)="BLANK")+(UPPER($AS$76:$AZ$76)="(BLANK)")+(UPPER($AS$76:$AZ$76)="EMPTY")+(UPPER($AS$76:$AZ$76)="(EMPTY)"))&gt;0,IFERROR(('Final Calculation Sheet'!$P$25)&amp;"","")="",ISNUMBER(SEARCH($AS$76:$AZ$76,IFERROR(('Final Calculation Sheet'!$P$25)&amp;"","")))))&gt;0),IF(COUNTIF($BI$76:$BP$76,3)=0,TRUE,SUMPRODUCT(($BI$76:$BP$76=3)*($AS$76:$AZ$76&lt;&gt;"")*IF(((UPPER($AS$76:$AZ$76)="BLANK")+(UPPER($AS$76:$AZ$76)="(BLANK)")+(UPPER($AS$76:$AZ$76)="EMPTY")+(UPPER($AS$76:$AZ$76)="(EMPTY)"))&gt;0,IFERROR(('Final Calculation Sheet'!$P$25)&amp;"","")="",ISNUMBER(SEARCH($AS$76:$AZ$76,IFERROR(('Final Calculation Sheet'!$P$25)&amp;"","")))))&gt;0),IF(COUNTIF($BI$76:$BP$76,4)=0,TRUE,SUMPRODUCT(($BI$76:$BP$76=4)*($AS$76:$AZ$76&lt;&gt;"")*IF(((UPPER($AS$76:$AZ$76)="BLANK")+(UPPER($AS$76:$AZ$76)="(BLANK)")+(UPPER($AS$76:$AZ$76)="EMPTY")+(UPPER($AS$76:$AZ$76)="(EMPTY)"))&gt;0,IFERROR(('Final Calculation Sheet'!$P$25)&amp;"","")="",ISNUMBER(SEARCH($AS$76:$AZ$76,IFERROR(('Final Calculation Sheet'!$P$25)&amp;"","")))))&gt;0),IF(COUNTIF($BI$76:$BP$76,5)=0,TRUE,SUMPRODUCT(($BI$76:$BP$76=5)*($AS$76:$AZ$76&lt;&gt;"")*IF(((UPPER($AS$76:$AZ$76)="BLANK")+(UPPER($AS$76:$AZ$76)="(BLANK)")+(UPPER($AS$76:$AZ$76)="EMPTY")+(UPPER($AS$76:$AZ$76)="(EMPTY)"))&gt;0,IFERROR(('Final Calculation Sheet'!$P$25)&amp;"","")="",ISNUMBER(SEARCH($AS$76:$AZ$76,IFERROR(('Final Calculation Sheet'!$P$25)&amp;"","")))))&gt;0),IF(COUNTIF($BI$76:$BP$76,6)=0,TRUE,SUMPRODUCT(($BI$76:$BP$76=6)*($AS$76:$AZ$76&lt;&gt;"")*IF(((UPPER($AS$76:$AZ$76)="BLANK")+(UPPER($AS$76:$AZ$76)="(BLANK)")+(UPPER($AS$76:$AZ$76)="EMPTY")+(UPPER($AS$76:$AZ$76)="(EMPTY)"))&gt;0,IFERROR(('Final Calculation Sheet'!$P$25)&amp;"","")="",ISNUMBER(SEARCH($AS$76:$AZ$76,IFERROR(('Final Calculation Sheet'!$P$25)&amp;"","")))))&gt;0),IF(COUNTIF($BI$76:$BP$76,7)=0,TRUE,SUMPRODUCT(($BI$76:$BP$76=7)*($AS$76:$AZ$76&lt;&gt;"")*IF(((UPPER($AS$76:$AZ$76)="BLANK")+(UPPER($AS$76:$AZ$76)="(BLANK)")+(UPPER($AS$76:$AZ$76)="EMPTY")+(UPPER($AS$76:$AZ$76)="(EMPTY)"))&gt;0,IFERROR(('Final Calculation Sheet'!$P$25)&amp;"","")="",ISNUMBER(SEARCH($AS$76:$AZ$76,IFERROR(('Final Calculation Sheet'!$P$25)&amp;"","")))))&gt;0),IF(COUNTIF($BI$76:$BP$76,8)=0,TRUE,SUMPRODUCT(($BI$76:$BP$76=8)*($AS$76:$AZ$76&lt;&gt;"")*IF(((UPPER($AS$76:$AZ$76)="BLANK")+(UPPER($AS$76:$AZ$76)="(BLANK)")+(UPPER($AS$76:$AZ$76)="EMPTY")+(UPPER($AS$76:$AZ$76)="(EMPTY)"))&gt;0,IFERROR(('Final Calculation Sheet'!$P$25)&amp;"","")="",ISNUMBER(SEARCH($AS$76:$AZ$76,IFERROR(('Final Calculation Sheet'!$P$25)&amp;"","")))))&gt;0))))</f>
        <v>1</v>
      </c>
      <c r="CD26">
        <f>IF($R$4="",1,--(AND(SUMPRODUCT(--($AS$77:$AZ$77&lt;&gt;""))&gt;0,IF(COUNTIF($BI$77:$BP$77,1)=0,TRUE,SUMPRODUCT(($BI$77:$BP$77=1)*($AS$77:$AZ$77&lt;&gt;"")*IF(((UPPER($AS$77:$AZ$77)="BLANK")+(UPPER($AS$77:$AZ$77)="(BLANK)")+(UPPER($AS$77:$AZ$77)="EMPTY")+(UPPER($AS$77:$AZ$77)="(EMPTY)"))&gt;0,IFERROR(('Final Calculation Sheet'!$Q$25)&amp;"","")="",ISNUMBER(SEARCH($AS$77:$AZ$77,IFERROR(('Final Calculation Sheet'!$Q$25)&amp;"","")))))&gt;0),IF(COUNTIF($BI$77:$BP$77,2)=0,TRUE,SUMPRODUCT(($BI$77:$BP$77=2)*($AS$77:$AZ$77&lt;&gt;"")*IF(((UPPER($AS$77:$AZ$77)="BLANK")+(UPPER($AS$77:$AZ$77)="(BLANK)")+(UPPER($AS$77:$AZ$77)="EMPTY")+(UPPER($AS$77:$AZ$77)="(EMPTY)"))&gt;0,IFERROR(('Final Calculation Sheet'!$Q$25)&amp;"","")="",ISNUMBER(SEARCH($AS$77:$AZ$77,IFERROR(('Final Calculation Sheet'!$Q$25)&amp;"","")))))&gt;0),IF(COUNTIF($BI$77:$BP$77,3)=0,TRUE,SUMPRODUCT(($BI$77:$BP$77=3)*($AS$77:$AZ$77&lt;&gt;"")*IF(((UPPER($AS$77:$AZ$77)="BLANK")+(UPPER($AS$77:$AZ$77)="(BLANK)")+(UPPER($AS$77:$AZ$77)="EMPTY")+(UPPER($AS$77:$AZ$77)="(EMPTY)"))&gt;0,IFERROR(('Final Calculation Sheet'!$Q$25)&amp;"","")="",ISNUMBER(SEARCH($AS$77:$AZ$77,IFERROR(('Final Calculation Sheet'!$Q$25)&amp;"","")))))&gt;0),IF(COUNTIF($BI$77:$BP$77,4)=0,TRUE,SUMPRODUCT(($BI$77:$BP$77=4)*($AS$77:$AZ$77&lt;&gt;"")*IF(((UPPER($AS$77:$AZ$77)="BLANK")+(UPPER($AS$77:$AZ$77)="(BLANK)")+(UPPER($AS$77:$AZ$77)="EMPTY")+(UPPER($AS$77:$AZ$77)="(EMPTY)"))&gt;0,IFERROR(('Final Calculation Sheet'!$Q$25)&amp;"","")="",ISNUMBER(SEARCH($AS$77:$AZ$77,IFERROR(('Final Calculation Sheet'!$Q$25)&amp;"","")))))&gt;0),IF(COUNTIF($BI$77:$BP$77,5)=0,TRUE,SUMPRODUCT(($BI$77:$BP$77=5)*($AS$77:$AZ$77&lt;&gt;"")*IF(((UPPER($AS$77:$AZ$77)="BLANK")+(UPPER($AS$77:$AZ$77)="(BLANK)")+(UPPER($AS$77:$AZ$77)="EMPTY")+(UPPER($AS$77:$AZ$77)="(EMPTY)"))&gt;0,IFERROR(('Final Calculation Sheet'!$Q$25)&amp;"","")="",ISNUMBER(SEARCH($AS$77:$AZ$77,IFERROR(('Final Calculation Sheet'!$Q$25)&amp;"","")))))&gt;0),IF(COUNTIF($BI$77:$BP$77,6)=0,TRUE,SUMPRODUCT(($BI$77:$BP$77=6)*($AS$77:$AZ$77&lt;&gt;"")*IF(((UPPER($AS$77:$AZ$77)="BLANK")+(UPPER($AS$77:$AZ$77)="(BLANK)")+(UPPER($AS$77:$AZ$77)="EMPTY")+(UPPER($AS$77:$AZ$77)="(EMPTY)"))&gt;0,IFERROR(('Final Calculation Sheet'!$Q$25)&amp;"","")="",ISNUMBER(SEARCH($AS$77:$AZ$77,IFERROR(('Final Calculation Sheet'!$Q$25)&amp;"","")))))&gt;0),IF(COUNTIF($BI$77:$BP$77,7)=0,TRUE,SUMPRODUCT(($BI$77:$BP$77=7)*($AS$77:$AZ$77&lt;&gt;"")*IF(((UPPER($AS$77:$AZ$77)="BLANK")+(UPPER($AS$77:$AZ$77)="(BLANK)")+(UPPER($AS$77:$AZ$77)="EMPTY")+(UPPER($AS$77:$AZ$77)="(EMPTY)"))&gt;0,IFERROR(('Final Calculation Sheet'!$Q$25)&amp;"","")="",ISNUMBER(SEARCH($AS$77:$AZ$77,IFERROR(('Final Calculation Sheet'!$Q$25)&amp;"","")))))&gt;0),IF(COUNTIF($BI$77:$BP$77,8)=0,TRUE,SUMPRODUCT(($BI$77:$BP$77=8)*($AS$77:$AZ$77&lt;&gt;"")*IF(((UPPER($AS$77:$AZ$77)="BLANK")+(UPPER($AS$77:$AZ$77)="(BLANK)")+(UPPER($AS$77:$AZ$77)="EMPTY")+(UPPER($AS$77:$AZ$77)="(EMPTY)"))&gt;0,IFERROR(('Final Calculation Sheet'!$Q$25)&amp;"","")="",ISNUMBER(SEARCH($AS$77:$AZ$77,IFERROR(('Final Calculation Sheet'!$Q$25)&amp;"","")))))&gt;0))))</f>
        <v>1</v>
      </c>
      <c r="CE26">
        <f>IF($S$4="",1,--(AND(SUMPRODUCT(--($AS$78:$AZ$78&lt;&gt;""))&gt;0,IF(COUNTIF($BI$78:$BP$78,1)=0,TRUE,SUMPRODUCT(($BI$78:$BP$78=1)*($AS$78:$AZ$78&lt;&gt;"")*IF(((UPPER($AS$78:$AZ$78)="BLANK")+(UPPER($AS$78:$AZ$78)="(BLANK)")+(UPPER($AS$78:$AZ$78)="EMPTY")+(UPPER($AS$78:$AZ$78)="(EMPTY)"))&gt;0,IFERROR(('Final Calculation Sheet'!$R$25)&amp;"","")="",ISNUMBER(SEARCH($AS$78:$AZ$78,IFERROR(('Final Calculation Sheet'!$R$25)&amp;"","")))))&gt;0),IF(COUNTIF($BI$78:$BP$78,2)=0,TRUE,SUMPRODUCT(($BI$78:$BP$78=2)*($AS$78:$AZ$78&lt;&gt;"")*IF(((UPPER($AS$78:$AZ$78)="BLANK")+(UPPER($AS$78:$AZ$78)="(BLANK)")+(UPPER($AS$78:$AZ$78)="EMPTY")+(UPPER($AS$78:$AZ$78)="(EMPTY)"))&gt;0,IFERROR(('Final Calculation Sheet'!$R$25)&amp;"","")="",ISNUMBER(SEARCH($AS$78:$AZ$78,IFERROR(('Final Calculation Sheet'!$R$25)&amp;"","")))))&gt;0),IF(COUNTIF($BI$78:$BP$78,3)=0,TRUE,SUMPRODUCT(($BI$78:$BP$78=3)*($AS$78:$AZ$78&lt;&gt;"")*IF(((UPPER($AS$78:$AZ$78)="BLANK")+(UPPER($AS$78:$AZ$78)="(BLANK)")+(UPPER($AS$78:$AZ$78)="EMPTY")+(UPPER($AS$78:$AZ$78)="(EMPTY)"))&gt;0,IFERROR(('Final Calculation Sheet'!$R$25)&amp;"","")="",ISNUMBER(SEARCH($AS$78:$AZ$78,IFERROR(('Final Calculation Sheet'!$R$25)&amp;"","")))))&gt;0),IF(COUNTIF($BI$78:$BP$78,4)=0,TRUE,SUMPRODUCT(($BI$78:$BP$78=4)*($AS$78:$AZ$78&lt;&gt;"")*IF(((UPPER($AS$78:$AZ$78)="BLANK")+(UPPER($AS$78:$AZ$78)="(BLANK)")+(UPPER($AS$78:$AZ$78)="EMPTY")+(UPPER($AS$78:$AZ$78)="(EMPTY)"))&gt;0,IFERROR(('Final Calculation Sheet'!$R$25)&amp;"","")="",ISNUMBER(SEARCH($AS$78:$AZ$78,IFERROR(('Final Calculation Sheet'!$R$25)&amp;"","")))))&gt;0),IF(COUNTIF($BI$78:$BP$78,5)=0,TRUE,SUMPRODUCT(($BI$78:$BP$78=5)*($AS$78:$AZ$78&lt;&gt;"")*IF(((UPPER($AS$78:$AZ$78)="BLANK")+(UPPER($AS$78:$AZ$78)="(BLANK)")+(UPPER($AS$78:$AZ$78)="EMPTY")+(UPPER($AS$78:$AZ$78)="(EMPTY)"))&gt;0,IFERROR(('Final Calculation Sheet'!$R$25)&amp;"","")="",ISNUMBER(SEARCH($AS$78:$AZ$78,IFERROR(('Final Calculation Sheet'!$R$25)&amp;"","")))))&gt;0),IF(COUNTIF($BI$78:$BP$78,6)=0,TRUE,SUMPRODUCT(($BI$78:$BP$78=6)*($AS$78:$AZ$78&lt;&gt;"")*IF(((UPPER($AS$78:$AZ$78)="BLANK")+(UPPER($AS$78:$AZ$78)="(BLANK)")+(UPPER($AS$78:$AZ$78)="EMPTY")+(UPPER($AS$78:$AZ$78)="(EMPTY)"))&gt;0,IFERROR(('Final Calculation Sheet'!$R$25)&amp;"","")="",ISNUMBER(SEARCH($AS$78:$AZ$78,IFERROR(('Final Calculation Sheet'!$R$25)&amp;"","")))))&gt;0),IF(COUNTIF($BI$78:$BP$78,7)=0,TRUE,SUMPRODUCT(($BI$78:$BP$78=7)*($AS$78:$AZ$78&lt;&gt;"")*IF(((UPPER($AS$78:$AZ$78)="BLANK")+(UPPER($AS$78:$AZ$78)="(BLANK)")+(UPPER($AS$78:$AZ$78)="EMPTY")+(UPPER($AS$78:$AZ$78)="(EMPTY)"))&gt;0,IFERROR(('Final Calculation Sheet'!$R$25)&amp;"","")="",ISNUMBER(SEARCH($AS$78:$AZ$78,IFERROR(('Final Calculation Sheet'!$R$25)&amp;"","")))))&gt;0),IF(COUNTIF($BI$78:$BP$78,8)=0,TRUE,SUMPRODUCT(($BI$78:$BP$78=8)*($AS$78:$AZ$78&lt;&gt;"")*IF(((UPPER($AS$78:$AZ$78)="BLANK")+(UPPER($AS$78:$AZ$78)="(BLANK)")+(UPPER($AS$78:$AZ$78)="EMPTY")+(UPPER($AS$78:$AZ$78)="(EMPTY)"))&gt;0,IFERROR(('Final Calculation Sheet'!$R$25)&amp;"","")="",ISNUMBER(SEARCH($AS$78:$AZ$78,IFERROR(('Final Calculation Sheet'!$R$25)&amp;"","")))))&gt;0))))</f>
        <v>1</v>
      </c>
      <c r="CF26">
        <f>IF($T$4="",1,--(AND(SUMPRODUCT(--($AS$79:$AZ$79&lt;&gt;""))&gt;0,IF(COUNTIF($BI$79:$BP$79,1)=0,TRUE,SUMPRODUCT(($BI$79:$BP$79=1)*($AS$79:$AZ$79&lt;&gt;"")*IF(((UPPER($AS$79:$AZ$79)="BLANK")+(UPPER($AS$79:$AZ$79)="(BLANK)")+(UPPER($AS$79:$AZ$79)="EMPTY")+(UPPER($AS$79:$AZ$79)="(EMPTY)"))&gt;0,IFERROR(('Final Calculation Sheet'!$S$25)&amp;"","")="",ISNUMBER(SEARCH($AS$79:$AZ$79,IFERROR(('Final Calculation Sheet'!$S$25)&amp;"","")))))&gt;0),IF(COUNTIF($BI$79:$BP$79,2)=0,TRUE,SUMPRODUCT(($BI$79:$BP$79=2)*($AS$79:$AZ$79&lt;&gt;"")*IF(((UPPER($AS$79:$AZ$79)="BLANK")+(UPPER($AS$79:$AZ$79)="(BLANK)")+(UPPER($AS$79:$AZ$79)="EMPTY")+(UPPER($AS$79:$AZ$79)="(EMPTY)"))&gt;0,IFERROR(('Final Calculation Sheet'!$S$25)&amp;"","")="",ISNUMBER(SEARCH($AS$79:$AZ$79,IFERROR(('Final Calculation Sheet'!$S$25)&amp;"","")))))&gt;0),IF(COUNTIF($BI$79:$BP$79,3)=0,TRUE,SUMPRODUCT(($BI$79:$BP$79=3)*($AS$79:$AZ$79&lt;&gt;"")*IF(((UPPER($AS$79:$AZ$79)="BLANK")+(UPPER($AS$79:$AZ$79)="(BLANK)")+(UPPER($AS$79:$AZ$79)="EMPTY")+(UPPER($AS$79:$AZ$79)="(EMPTY)"))&gt;0,IFERROR(('Final Calculation Sheet'!$S$25)&amp;"","")="",ISNUMBER(SEARCH($AS$79:$AZ$79,IFERROR(('Final Calculation Sheet'!$S$25)&amp;"","")))))&gt;0),IF(COUNTIF($BI$79:$BP$79,4)=0,TRUE,SUMPRODUCT(($BI$79:$BP$79=4)*($AS$79:$AZ$79&lt;&gt;"")*IF(((UPPER($AS$79:$AZ$79)="BLANK")+(UPPER($AS$79:$AZ$79)="(BLANK)")+(UPPER($AS$79:$AZ$79)="EMPTY")+(UPPER($AS$79:$AZ$79)="(EMPTY)"))&gt;0,IFERROR(('Final Calculation Sheet'!$S$25)&amp;"","")="",ISNUMBER(SEARCH($AS$79:$AZ$79,IFERROR(('Final Calculation Sheet'!$S$25)&amp;"","")))))&gt;0),IF(COUNTIF($BI$79:$BP$79,5)=0,TRUE,SUMPRODUCT(($BI$79:$BP$79=5)*($AS$79:$AZ$79&lt;&gt;"")*IF(((UPPER($AS$79:$AZ$79)="BLANK")+(UPPER($AS$79:$AZ$79)="(BLANK)")+(UPPER($AS$79:$AZ$79)="EMPTY")+(UPPER($AS$79:$AZ$79)="(EMPTY)"))&gt;0,IFERROR(('Final Calculation Sheet'!$S$25)&amp;"","")="",ISNUMBER(SEARCH($AS$79:$AZ$79,IFERROR(('Final Calculation Sheet'!$S$25)&amp;"","")))))&gt;0),IF(COUNTIF($BI$79:$BP$79,6)=0,TRUE,SUMPRODUCT(($BI$79:$BP$79=6)*($AS$79:$AZ$79&lt;&gt;"")*IF(((UPPER($AS$79:$AZ$79)="BLANK")+(UPPER($AS$79:$AZ$79)="(BLANK)")+(UPPER($AS$79:$AZ$79)="EMPTY")+(UPPER($AS$79:$AZ$79)="(EMPTY)"))&gt;0,IFERROR(('Final Calculation Sheet'!$S$25)&amp;"","")="",ISNUMBER(SEARCH($AS$79:$AZ$79,IFERROR(('Final Calculation Sheet'!$S$25)&amp;"","")))))&gt;0),IF(COUNTIF($BI$79:$BP$79,7)=0,TRUE,SUMPRODUCT(($BI$79:$BP$79=7)*($AS$79:$AZ$79&lt;&gt;"")*IF(((UPPER($AS$79:$AZ$79)="BLANK")+(UPPER($AS$79:$AZ$79)="(BLANK)")+(UPPER($AS$79:$AZ$79)="EMPTY")+(UPPER($AS$79:$AZ$79)="(EMPTY)"))&gt;0,IFERROR(('Final Calculation Sheet'!$S$25)&amp;"","")="",ISNUMBER(SEARCH($AS$79:$AZ$79,IFERROR(('Final Calculation Sheet'!$S$25)&amp;"","")))))&gt;0),IF(COUNTIF($BI$79:$BP$79,8)=0,TRUE,SUMPRODUCT(($BI$79:$BP$79=8)*($AS$79:$AZ$79&lt;&gt;"")*IF(((UPPER($AS$79:$AZ$79)="BLANK")+(UPPER($AS$79:$AZ$79)="(BLANK)")+(UPPER($AS$79:$AZ$79)="EMPTY")+(UPPER($AS$79:$AZ$79)="(EMPTY)"))&gt;0,IFERROR(('Final Calculation Sheet'!$S$25)&amp;"","")="",ISNUMBER(SEARCH($AS$79:$AZ$79,IFERROR(('Final Calculation Sheet'!$S$25)&amp;"","")))))&gt;0))))</f>
        <v>1</v>
      </c>
      <c r="CG26">
        <f>IF($U$4="",1,--(AND(SUMPRODUCT(--($AS$80:$AZ$80&lt;&gt;""))&gt;0,IF(COUNTIF($BI$80:$BP$80,1)=0,TRUE,SUMPRODUCT(($BI$80:$BP$80=1)*($AS$80:$AZ$80&lt;&gt;"")*IF(((UPPER($AS$80:$AZ$80)="BLANK")+(UPPER($AS$80:$AZ$80)="(BLANK)")+(UPPER($AS$80:$AZ$80)="EMPTY")+(UPPER($AS$80:$AZ$80)="(EMPTY)"))&gt;0,IFERROR(('Final Calculation Sheet'!$T$25)&amp;"","")="",ISNUMBER(SEARCH($AS$80:$AZ$80,IFERROR(('Final Calculation Sheet'!$T$25)&amp;"","")))))&gt;0),IF(COUNTIF($BI$80:$BP$80,2)=0,TRUE,SUMPRODUCT(($BI$80:$BP$80=2)*($AS$80:$AZ$80&lt;&gt;"")*IF(((UPPER($AS$80:$AZ$80)="BLANK")+(UPPER($AS$80:$AZ$80)="(BLANK)")+(UPPER($AS$80:$AZ$80)="EMPTY")+(UPPER($AS$80:$AZ$80)="(EMPTY)"))&gt;0,IFERROR(('Final Calculation Sheet'!$T$25)&amp;"","")="",ISNUMBER(SEARCH($AS$80:$AZ$80,IFERROR(('Final Calculation Sheet'!$T$25)&amp;"","")))))&gt;0),IF(COUNTIF($BI$80:$BP$80,3)=0,TRUE,SUMPRODUCT(($BI$80:$BP$80=3)*($AS$80:$AZ$80&lt;&gt;"")*IF(((UPPER($AS$80:$AZ$80)="BLANK")+(UPPER($AS$80:$AZ$80)="(BLANK)")+(UPPER($AS$80:$AZ$80)="EMPTY")+(UPPER($AS$80:$AZ$80)="(EMPTY)"))&gt;0,IFERROR(('Final Calculation Sheet'!$T$25)&amp;"","")="",ISNUMBER(SEARCH($AS$80:$AZ$80,IFERROR(('Final Calculation Sheet'!$T$25)&amp;"","")))))&gt;0),IF(COUNTIF($BI$80:$BP$80,4)=0,TRUE,SUMPRODUCT(($BI$80:$BP$80=4)*($AS$80:$AZ$80&lt;&gt;"")*IF(((UPPER($AS$80:$AZ$80)="BLANK")+(UPPER($AS$80:$AZ$80)="(BLANK)")+(UPPER($AS$80:$AZ$80)="EMPTY")+(UPPER($AS$80:$AZ$80)="(EMPTY)"))&gt;0,IFERROR(('Final Calculation Sheet'!$T$25)&amp;"","")="",ISNUMBER(SEARCH($AS$80:$AZ$80,IFERROR(('Final Calculation Sheet'!$T$25)&amp;"","")))))&gt;0),IF(COUNTIF($BI$80:$BP$80,5)=0,TRUE,SUMPRODUCT(($BI$80:$BP$80=5)*($AS$80:$AZ$80&lt;&gt;"")*IF(((UPPER($AS$80:$AZ$80)="BLANK")+(UPPER($AS$80:$AZ$80)="(BLANK)")+(UPPER($AS$80:$AZ$80)="EMPTY")+(UPPER($AS$80:$AZ$80)="(EMPTY)"))&gt;0,IFERROR(('Final Calculation Sheet'!$T$25)&amp;"","")="",ISNUMBER(SEARCH($AS$80:$AZ$80,IFERROR(('Final Calculation Sheet'!$T$25)&amp;"","")))))&gt;0),IF(COUNTIF($BI$80:$BP$80,6)=0,TRUE,SUMPRODUCT(($BI$80:$BP$80=6)*($AS$80:$AZ$80&lt;&gt;"")*IF(((UPPER($AS$80:$AZ$80)="BLANK")+(UPPER($AS$80:$AZ$80)="(BLANK)")+(UPPER($AS$80:$AZ$80)="EMPTY")+(UPPER($AS$80:$AZ$80)="(EMPTY)"))&gt;0,IFERROR(('Final Calculation Sheet'!$T$25)&amp;"","")="",ISNUMBER(SEARCH($AS$80:$AZ$80,IFERROR(('Final Calculation Sheet'!$T$25)&amp;"","")))))&gt;0),IF(COUNTIF($BI$80:$BP$80,7)=0,TRUE,SUMPRODUCT(($BI$80:$BP$80=7)*($AS$80:$AZ$80&lt;&gt;"")*IF(((UPPER($AS$80:$AZ$80)="BLANK")+(UPPER($AS$80:$AZ$80)="(BLANK)")+(UPPER($AS$80:$AZ$80)="EMPTY")+(UPPER($AS$80:$AZ$80)="(EMPTY)"))&gt;0,IFERROR(('Final Calculation Sheet'!$T$25)&amp;"","")="",ISNUMBER(SEARCH($AS$80:$AZ$80,IFERROR(('Final Calculation Sheet'!$T$25)&amp;"","")))))&gt;0),IF(COUNTIF($BI$80:$BP$80,8)=0,TRUE,SUMPRODUCT(($BI$80:$BP$80=8)*($AS$80:$AZ$80&lt;&gt;"")*IF(((UPPER($AS$80:$AZ$80)="BLANK")+(UPPER($AS$80:$AZ$80)="(BLANK)")+(UPPER($AS$80:$AZ$80)="EMPTY")+(UPPER($AS$80:$AZ$80)="(EMPTY)"))&gt;0,IFERROR(('Final Calculation Sheet'!$T$25)&amp;"","")="",ISNUMBER(SEARCH($AS$80:$AZ$80,IFERROR(('Final Calculation Sheet'!$T$25)&amp;"","")))))&gt;0))))</f>
        <v>1</v>
      </c>
      <c r="CH26">
        <f>IF($V$4="",1,--(AND(SUMPRODUCT(--($AS$81:$AZ$81&lt;&gt;""))&gt;0,IF(COUNTIF($BI$81:$BP$81,1)=0,TRUE,SUMPRODUCT(($BI$81:$BP$81=1)*($AS$81:$AZ$81&lt;&gt;"")*IF(((UPPER($AS$81:$AZ$81)="BLANK")+(UPPER($AS$81:$AZ$81)="(BLANK)")+(UPPER($AS$81:$AZ$81)="EMPTY")+(UPPER($AS$81:$AZ$81)="(EMPTY)"))&gt;0,IFERROR(('Final Calculation Sheet'!$U$25)&amp;"","")="",ISNUMBER(SEARCH($AS$81:$AZ$81,IFERROR(('Final Calculation Sheet'!$U$25)&amp;"","")))))&gt;0),IF(COUNTIF($BI$81:$BP$81,2)=0,TRUE,SUMPRODUCT(($BI$81:$BP$81=2)*($AS$81:$AZ$81&lt;&gt;"")*IF(((UPPER($AS$81:$AZ$81)="BLANK")+(UPPER($AS$81:$AZ$81)="(BLANK)")+(UPPER($AS$81:$AZ$81)="EMPTY")+(UPPER($AS$81:$AZ$81)="(EMPTY)"))&gt;0,IFERROR(('Final Calculation Sheet'!$U$25)&amp;"","")="",ISNUMBER(SEARCH($AS$81:$AZ$81,IFERROR(('Final Calculation Sheet'!$U$25)&amp;"","")))))&gt;0),IF(COUNTIF($BI$81:$BP$81,3)=0,TRUE,SUMPRODUCT(($BI$81:$BP$81=3)*($AS$81:$AZ$81&lt;&gt;"")*IF(((UPPER($AS$81:$AZ$81)="BLANK")+(UPPER($AS$81:$AZ$81)="(BLANK)")+(UPPER($AS$81:$AZ$81)="EMPTY")+(UPPER($AS$81:$AZ$81)="(EMPTY)"))&gt;0,IFERROR(('Final Calculation Sheet'!$U$25)&amp;"","")="",ISNUMBER(SEARCH($AS$81:$AZ$81,IFERROR(('Final Calculation Sheet'!$U$25)&amp;"","")))))&gt;0),IF(COUNTIF($BI$81:$BP$81,4)=0,TRUE,SUMPRODUCT(($BI$81:$BP$81=4)*($AS$81:$AZ$81&lt;&gt;"")*IF(((UPPER($AS$81:$AZ$81)="BLANK")+(UPPER($AS$81:$AZ$81)="(BLANK)")+(UPPER($AS$81:$AZ$81)="EMPTY")+(UPPER($AS$81:$AZ$81)="(EMPTY)"))&gt;0,IFERROR(('Final Calculation Sheet'!$U$25)&amp;"","")="",ISNUMBER(SEARCH($AS$81:$AZ$81,IFERROR(('Final Calculation Sheet'!$U$25)&amp;"","")))))&gt;0),IF(COUNTIF($BI$81:$BP$81,5)=0,TRUE,SUMPRODUCT(($BI$81:$BP$81=5)*($AS$81:$AZ$81&lt;&gt;"")*IF(((UPPER($AS$81:$AZ$81)="BLANK")+(UPPER($AS$81:$AZ$81)="(BLANK)")+(UPPER($AS$81:$AZ$81)="EMPTY")+(UPPER($AS$81:$AZ$81)="(EMPTY)"))&gt;0,IFERROR(('Final Calculation Sheet'!$U$25)&amp;"","")="",ISNUMBER(SEARCH($AS$81:$AZ$81,IFERROR(('Final Calculation Sheet'!$U$25)&amp;"","")))))&gt;0),IF(COUNTIF($BI$81:$BP$81,6)=0,TRUE,SUMPRODUCT(($BI$81:$BP$81=6)*($AS$81:$AZ$81&lt;&gt;"")*IF(((UPPER($AS$81:$AZ$81)="BLANK")+(UPPER($AS$81:$AZ$81)="(BLANK)")+(UPPER($AS$81:$AZ$81)="EMPTY")+(UPPER($AS$81:$AZ$81)="(EMPTY)"))&gt;0,IFERROR(('Final Calculation Sheet'!$U$25)&amp;"","")="",ISNUMBER(SEARCH($AS$81:$AZ$81,IFERROR(('Final Calculation Sheet'!$U$25)&amp;"","")))))&gt;0),IF(COUNTIF($BI$81:$BP$81,7)=0,TRUE,SUMPRODUCT(($BI$81:$BP$81=7)*($AS$81:$AZ$81&lt;&gt;"")*IF(((UPPER($AS$81:$AZ$81)="BLANK")+(UPPER($AS$81:$AZ$81)="(BLANK)")+(UPPER($AS$81:$AZ$81)="EMPTY")+(UPPER($AS$81:$AZ$81)="(EMPTY)"))&gt;0,IFERROR(('Final Calculation Sheet'!$U$25)&amp;"","")="",ISNUMBER(SEARCH($AS$81:$AZ$81,IFERROR(('Final Calculation Sheet'!$U$25)&amp;"","")))))&gt;0),IF(COUNTIF($BI$81:$BP$81,8)=0,TRUE,SUMPRODUCT(($BI$81:$BP$81=8)*($AS$81:$AZ$81&lt;&gt;"")*IF(((UPPER($AS$81:$AZ$81)="BLANK")+(UPPER($AS$81:$AZ$81)="(BLANK)")+(UPPER($AS$81:$AZ$81)="EMPTY")+(UPPER($AS$81:$AZ$81)="(EMPTY)"))&gt;0,IFERROR(('Final Calculation Sheet'!$U$25)&amp;"","")="",ISNUMBER(SEARCH($AS$81:$AZ$81,IFERROR(('Final Calculation Sheet'!$U$25)&amp;"","")))))&gt;0))))</f>
        <v>1</v>
      </c>
      <c r="CI26">
        <f>IF($W$4="",1,--(AND(SUMPRODUCT(--($AS$82:$AZ$82&lt;&gt;""))&gt;0,IF(COUNTIF($BI$82:$BP$82,1)=0,TRUE,SUMPRODUCT(($BI$82:$BP$82=1)*($AS$82:$AZ$82&lt;&gt;"")*IF(((UPPER($AS$82:$AZ$82)="BLANK")+(UPPER($AS$82:$AZ$82)="(BLANK)")+(UPPER($AS$82:$AZ$82)="EMPTY")+(UPPER($AS$82:$AZ$82)="(EMPTY)"))&gt;0,IFERROR(('Final Calculation Sheet'!$V$25)&amp;"","")="",ISNUMBER(SEARCH($AS$82:$AZ$82,IFERROR(('Final Calculation Sheet'!$V$25)&amp;"","")))))&gt;0),IF(COUNTIF($BI$82:$BP$82,2)=0,TRUE,SUMPRODUCT(($BI$82:$BP$82=2)*($AS$82:$AZ$82&lt;&gt;"")*IF(((UPPER($AS$82:$AZ$82)="BLANK")+(UPPER($AS$82:$AZ$82)="(BLANK)")+(UPPER($AS$82:$AZ$82)="EMPTY")+(UPPER($AS$82:$AZ$82)="(EMPTY)"))&gt;0,IFERROR(('Final Calculation Sheet'!$V$25)&amp;"","")="",ISNUMBER(SEARCH($AS$82:$AZ$82,IFERROR(('Final Calculation Sheet'!$V$25)&amp;"","")))))&gt;0),IF(COUNTIF($BI$82:$BP$82,3)=0,TRUE,SUMPRODUCT(($BI$82:$BP$82=3)*($AS$82:$AZ$82&lt;&gt;"")*IF(((UPPER($AS$82:$AZ$82)="BLANK")+(UPPER($AS$82:$AZ$82)="(BLANK)")+(UPPER($AS$82:$AZ$82)="EMPTY")+(UPPER($AS$82:$AZ$82)="(EMPTY)"))&gt;0,IFERROR(('Final Calculation Sheet'!$V$25)&amp;"","")="",ISNUMBER(SEARCH($AS$82:$AZ$82,IFERROR(('Final Calculation Sheet'!$V$25)&amp;"","")))))&gt;0),IF(COUNTIF($BI$82:$BP$82,4)=0,TRUE,SUMPRODUCT(($BI$82:$BP$82=4)*($AS$82:$AZ$82&lt;&gt;"")*IF(((UPPER($AS$82:$AZ$82)="BLANK")+(UPPER($AS$82:$AZ$82)="(BLANK)")+(UPPER($AS$82:$AZ$82)="EMPTY")+(UPPER($AS$82:$AZ$82)="(EMPTY)"))&gt;0,IFERROR(('Final Calculation Sheet'!$V$25)&amp;"","")="",ISNUMBER(SEARCH($AS$82:$AZ$82,IFERROR(('Final Calculation Sheet'!$V$25)&amp;"","")))))&gt;0),IF(COUNTIF($BI$82:$BP$82,5)=0,TRUE,SUMPRODUCT(($BI$82:$BP$82=5)*($AS$82:$AZ$82&lt;&gt;"")*IF(((UPPER($AS$82:$AZ$82)="BLANK")+(UPPER($AS$82:$AZ$82)="(BLANK)")+(UPPER($AS$82:$AZ$82)="EMPTY")+(UPPER($AS$82:$AZ$82)="(EMPTY)"))&gt;0,IFERROR(('Final Calculation Sheet'!$V$25)&amp;"","")="",ISNUMBER(SEARCH($AS$82:$AZ$82,IFERROR(('Final Calculation Sheet'!$V$25)&amp;"","")))))&gt;0),IF(COUNTIF($BI$82:$BP$82,6)=0,TRUE,SUMPRODUCT(($BI$82:$BP$82=6)*($AS$82:$AZ$82&lt;&gt;"")*IF(((UPPER($AS$82:$AZ$82)="BLANK")+(UPPER($AS$82:$AZ$82)="(BLANK)")+(UPPER($AS$82:$AZ$82)="EMPTY")+(UPPER($AS$82:$AZ$82)="(EMPTY)"))&gt;0,IFERROR(('Final Calculation Sheet'!$V$25)&amp;"","")="",ISNUMBER(SEARCH($AS$82:$AZ$82,IFERROR(('Final Calculation Sheet'!$V$25)&amp;"","")))))&gt;0),IF(COUNTIF($BI$82:$BP$82,7)=0,TRUE,SUMPRODUCT(($BI$82:$BP$82=7)*($AS$82:$AZ$82&lt;&gt;"")*IF(((UPPER($AS$82:$AZ$82)="BLANK")+(UPPER($AS$82:$AZ$82)="(BLANK)")+(UPPER($AS$82:$AZ$82)="EMPTY")+(UPPER($AS$82:$AZ$82)="(EMPTY)"))&gt;0,IFERROR(('Final Calculation Sheet'!$V$25)&amp;"","")="",ISNUMBER(SEARCH($AS$82:$AZ$82,IFERROR(('Final Calculation Sheet'!$V$25)&amp;"","")))))&gt;0),IF(COUNTIF($BI$82:$BP$82,8)=0,TRUE,SUMPRODUCT(($BI$82:$BP$82=8)*($AS$82:$AZ$82&lt;&gt;"")*IF(((UPPER($AS$82:$AZ$82)="BLANK")+(UPPER($AS$82:$AZ$82)="(BLANK)")+(UPPER($AS$82:$AZ$82)="EMPTY")+(UPPER($AS$82:$AZ$82)="(EMPTY)"))&gt;0,IFERROR(('Final Calculation Sheet'!$V$25)&amp;"","")="",ISNUMBER(SEARCH($AS$82:$AZ$82,IFERROR(('Final Calculation Sheet'!$V$25)&amp;"","")))))&gt;0))))</f>
        <v>1</v>
      </c>
      <c r="CJ26">
        <f>IF($X$4="",1,--(AND(SUMPRODUCT(--($AS$83:$AZ$83&lt;&gt;""))&gt;0,IF(COUNTIF($BI$83:$BP$83,1)=0,TRUE,SUMPRODUCT(($BI$83:$BP$83=1)*($AS$83:$AZ$83&lt;&gt;"")*IF(((UPPER($AS$83:$AZ$83)="BLANK")+(UPPER($AS$83:$AZ$83)="(BLANK)")+(UPPER($AS$83:$AZ$83)="EMPTY")+(UPPER($AS$83:$AZ$83)="(EMPTY)"))&gt;0,IFERROR(('Final Calculation Sheet'!$W$25)&amp;"","")="",ISNUMBER(SEARCH($AS$83:$AZ$83,IFERROR(('Final Calculation Sheet'!$W$25)&amp;"","")))))&gt;0),IF(COUNTIF($BI$83:$BP$83,2)=0,TRUE,SUMPRODUCT(($BI$83:$BP$83=2)*($AS$83:$AZ$83&lt;&gt;"")*IF(((UPPER($AS$83:$AZ$83)="BLANK")+(UPPER($AS$83:$AZ$83)="(BLANK)")+(UPPER($AS$83:$AZ$83)="EMPTY")+(UPPER($AS$83:$AZ$83)="(EMPTY)"))&gt;0,IFERROR(('Final Calculation Sheet'!$W$25)&amp;"","")="",ISNUMBER(SEARCH($AS$83:$AZ$83,IFERROR(('Final Calculation Sheet'!$W$25)&amp;"","")))))&gt;0),IF(COUNTIF($BI$83:$BP$83,3)=0,TRUE,SUMPRODUCT(($BI$83:$BP$83=3)*($AS$83:$AZ$83&lt;&gt;"")*IF(((UPPER($AS$83:$AZ$83)="BLANK")+(UPPER($AS$83:$AZ$83)="(BLANK)")+(UPPER($AS$83:$AZ$83)="EMPTY")+(UPPER($AS$83:$AZ$83)="(EMPTY)"))&gt;0,IFERROR(('Final Calculation Sheet'!$W$25)&amp;"","")="",ISNUMBER(SEARCH($AS$83:$AZ$83,IFERROR(('Final Calculation Sheet'!$W$25)&amp;"","")))))&gt;0),IF(COUNTIF($BI$83:$BP$83,4)=0,TRUE,SUMPRODUCT(($BI$83:$BP$83=4)*($AS$83:$AZ$83&lt;&gt;"")*IF(((UPPER($AS$83:$AZ$83)="BLANK")+(UPPER($AS$83:$AZ$83)="(BLANK)")+(UPPER($AS$83:$AZ$83)="EMPTY")+(UPPER($AS$83:$AZ$83)="(EMPTY)"))&gt;0,IFERROR(('Final Calculation Sheet'!$W$25)&amp;"","")="",ISNUMBER(SEARCH($AS$83:$AZ$83,IFERROR(('Final Calculation Sheet'!$W$25)&amp;"","")))))&gt;0),IF(COUNTIF($BI$83:$BP$83,5)=0,TRUE,SUMPRODUCT(($BI$83:$BP$83=5)*($AS$83:$AZ$83&lt;&gt;"")*IF(((UPPER($AS$83:$AZ$83)="BLANK")+(UPPER($AS$83:$AZ$83)="(BLANK)")+(UPPER($AS$83:$AZ$83)="EMPTY")+(UPPER($AS$83:$AZ$83)="(EMPTY)"))&gt;0,IFERROR(('Final Calculation Sheet'!$W$25)&amp;"","")="",ISNUMBER(SEARCH($AS$83:$AZ$83,IFERROR(('Final Calculation Sheet'!$W$25)&amp;"","")))))&gt;0),IF(COUNTIF($BI$83:$BP$83,6)=0,TRUE,SUMPRODUCT(($BI$83:$BP$83=6)*($AS$83:$AZ$83&lt;&gt;"")*IF(((UPPER($AS$83:$AZ$83)="BLANK")+(UPPER($AS$83:$AZ$83)="(BLANK)")+(UPPER($AS$83:$AZ$83)="EMPTY")+(UPPER($AS$83:$AZ$83)="(EMPTY)"))&gt;0,IFERROR(('Final Calculation Sheet'!$W$25)&amp;"","")="",ISNUMBER(SEARCH($AS$83:$AZ$83,IFERROR(('Final Calculation Sheet'!$W$25)&amp;"","")))))&gt;0),IF(COUNTIF($BI$83:$BP$83,7)=0,TRUE,SUMPRODUCT(($BI$83:$BP$83=7)*($AS$83:$AZ$83&lt;&gt;"")*IF(((UPPER($AS$83:$AZ$83)="BLANK")+(UPPER($AS$83:$AZ$83)="(BLANK)")+(UPPER($AS$83:$AZ$83)="EMPTY")+(UPPER($AS$83:$AZ$83)="(EMPTY)"))&gt;0,IFERROR(('Final Calculation Sheet'!$W$25)&amp;"","")="",ISNUMBER(SEARCH($AS$83:$AZ$83,IFERROR(('Final Calculation Sheet'!$W$25)&amp;"","")))))&gt;0),IF(COUNTIF($BI$83:$BP$83,8)=0,TRUE,SUMPRODUCT(($BI$83:$BP$83=8)*($AS$83:$AZ$83&lt;&gt;"")*IF(((UPPER($AS$83:$AZ$83)="BLANK")+(UPPER($AS$83:$AZ$83)="(BLANK)")+(UPPER($AS$83:$AZ$83)="EMPTY")+(UPPER($AS$83:$AZ$83)="(EMPTY)"))&gt;0,IFERROR(('Final Calculation Sheet'!$W$25)&amp;"","")="",ISNUMBER(SEARCH($AS$83:$AZ$83,IFERROR(('Final Calculation Sheet'!$W$25)&amp;"","")))))&gt;0))))</f>
        <v>1</v>
      </c>
      <c r="CK26">
        <f>IF($Y$4="",1,--(AND(SUMPRODUCT(--($AS$84:$AZ$84&lt;&gt;""))&gt;0,IF(COUNTIF($BI$84:$BP$84,1)=0,TRUE,SUMPRODUCT(($BI$84:$BP$84=1)*($AS$84:$AZ$84&lt;&gt;"")*IF(((UPPER($AS$84:$AZ$84)="BLANK")+(UPPER($AS$84:$AZ$84)="(BLANK)")+(UPPER($AS$84:$AZ$84)="EMPTY")+(UPPER($AS$84:$AZ$84)="(EMPTY)"))&gt;0,IFERROR(('Final Calculation Sheet'!$X$25)&amp;"","")="",ISNUMBER(SEARCH($AS$84:$AZ$84,IFERROR(('Final Calculation Sheet'!$X$25)&amp;"","")))))&gt;0),IF(COUNTIF($BI$84:$BP$84,2)=0,TRUE,SUMPRODUCT(($BI$84:$BP$84=2)*($AS$84:$AZ$84&lt;&gt;"")*IF(((UPPER($AS$84:$AZ$84)="BLANK")+(UPPER($AS$84:$AZ$84)="(BLANK)")+(UPPER($AS$84:$AZ$84)="EMPTY")+(UPPER($AS$84:$AZ$84)="(EMPTY)"))&gt;0,IFERROR(('Final Calculation Sheet'!$X$25)&amp;"","")="",ISNUMBER(SEARCH($AS$84:$AZ$84,IFERROR(('Final Calculation Sheet'!$X$25)&amp;"","")))))&gt;0),IF(COUNTIF($BI$84:$BP$84,3)=0,TRUE,SUMPRODUCT(($BI$84:$BP$84=3)*($AS$84:$AZ$84&lt;&gt;"")*IF(((UPPER($AS$84:$AZ$84)="BLANK")+(UPPER($AS$84:$AZ$84)="(BLANK)")+(UPPER($AS$84:$AZ$84)="EMPTY")+(UPPER($AS$84:$AZ$84)="(EMPTY)"))&gt;0,IFERROR(('Final Calculation Sheet'!$X$25)&amp;"","")="",ISNUMBER(SEARCH($AS$84:$AZ$84,IFERROR(('Final Calculation Sheet'!$X$25)&amp;"","")))))&gt;0),IF(COUNTIF($BI$84:$BP$84,4)=0,TRUE,SUMPRODUCT(($BI$84:$BP$84=4)*($AS$84:$AZ$84&lt;&gt;"")*IF(((UPPER($AS$84:$AZ$84)="BLANK")+(UPPER($AS$84:$AZ$84)="(BLANK)")+(UPPER($AS$84:$AZ$84)="EMPTY")+(UPPER($AS$84:$AZ$84)="(EMPTY)"))&gt;0,IFERROR(('Final Calculation Sheet'!$X$25)&amp;"","")="",ISNUMBER(SEARCH($AS$84:$AZ$84,IFERROR(('Final Calculation Sheet'!$X$25)&amp;"","")))))&gt;0),IF(COUNTIF($BI$84:$BP$84,5)=0,TRUE,SUMPRODUCT(($BI$84:$BP$84=5)*($AS$84:$AZ$84&lt;&gt;"")*IF(((UPPER($AS$84:$AZ$84)="BLANK")+(UPPER($AS$84:$AZ$84)="(BLANK)")+(UPPER($AS$84:$AZ$84)="EMPTY")+(UPPER($AS$84:$AZ$84)="(EMPTY)"))&gt;0,IFERROR(('Final Calculation Sheet'!$X$25)&amp;"","")="",ISNUMBER(SEARCH($AS$84:$AZ$84,IFERROR(('Final Calculation Sheet'!$X$25)&amp;"","")))))&gt;0),IF(COUNTIF($BI$84:$BP$84,6)=0,TRUE,SUMPRODUCT(($BI$84:$BP$84=6)*($AS$84:$AZ$84&lt;&gt;"")*IF(((UPPER($AS$84:$AZ$84)="BLANK")+(UPPER($AS$84:$AZ$84)="(BLANK)")+(UPPER($AS$84:$AZ$84)="EMPTY")+(UPPER($AS$84:$AZ$84)="(EMPTY)"))&gt;0,IFERROR(('Final Calculation Sheet'!$X$25)&amp;"","")="",ISNUMBER(SEARCH($AS$84:$AZ$84,IFERROR(('Final Calculation Sheet'!$X$25)&amp;"","")))))&gt;0),IF(COUNTIF($BI$84:$BP$84,7)=0,TRUE,SUMPRODUCT(($BI$84:$BP$84=7)*($AS$84:$AZ$84&lt;&gt;"")*IF(((UPPER($AS$84:$AZ$84)="BLANK")+(UPPER($AS$84:$AZ$84)="(BLANK)")+(UPPER($AS$84:$AZ$84)="EMPTY")+(UPPER($AS$84:$AZ$84)="(EMPTY)"))&gt;0,IFERROR(('Final Calculation Sheet'!$X$25)&amp;"","")="",ISNUMBER(SEARCH($AS$84:$AZ$84,IFERROR(('Final Calculation Sheet'!$X$25)&amp;"","")))))&gt;0),IF(COUNTIF($BI$84:$BP$84,8)=0,TRUE,SUMPRODUCT(($BI$84:$BP$84=8)*($AS$84:$AZ$84&lt;&gt;"")*IF(((UPPER($AS$84:$AZ$84)="BLANK")+(UPPER($AS$84:$AZ$84)="(BLANK)")+(UPPER($AS$84:$AZ$84)="EMPTY")+(UPPER($AS$84:$AZ$84)="(EMPTY)"))&gt;0,IFERROR(('Final Calculation Sheet'!$X$25)&amp;"","")="",ISNUMBER(SEARCH($AS$84:$AZ$84,IFERROR(('Final Calculation Sheet'!$X$25)&amp;"","")))))&gt;0))))</f>
        <v>1</v>
      </c>
      <c r="CL26">
        <f>IF($Z$4="",1,--(AND(SUMPRODUCT(--($AS$85:$AZ$85&lt;&gt;""))&gt;0,IF(COUNTIF($BI$85:$BP$85,1)=0,TRUE,SUMPRODUCT(($BI$85:$BP$85=1)*($AS$85:$AZ$85&lt;&gt;"")*IF(((UPPER($AS$85:$AZ$85)="BLANK")+(UPPER($AS$85:$AZ$85)="(BLANK)")+(UPPER($AS$85:$AZ$85)="EMPTY")+(UPPER($AS$85:$AZ$85)="(EMPTY)"))&gt;0,IFERROR(('Final Calculation Sheet'!$Y$25)&amp;"","")="",ISNUMBER(SEARCH($AS$85:$AZ$85,IFERROR(('Final Calculation Sheet'!$Y$25)&amp;"","")))))&gt;0),IF(COUNTIF($BI$85:$BP$85,2)=0,TRUE,SUMPRODUCT(($BI$85:$BP$85=2)*($AS$85:$AZ$85&lt;&gt;"")*IF(((UPPER($AS$85:$AZ$85)="BLANK")+(UPPER($AS$85:$AZ$85)="(BLANK)")+(UPPER($AS$85:$AZ$85)="EMPTY")+(UPPER($AS$85:$AZ$85)="(EMPTY)"))&gt;0,IFERROR(('Final Calculation Sheet'!$Y$25)&amp;"","")="",ISNUMBER(SEARCH($AS$85:$AZ$85,IFERROR(('Final Calculation Sheet'!$Y$25)&amp;"","")))))&gt;0),IF(COUNTIF($BI$85:$BP$85,3)=0,TRUE,SUMPRODUCT(($BI$85:$BP$85=3)*($AS$85:$AZ$85&lt;&gt;"")*IF(((UPPER($AS$85:$AZ$85)="BLANK")+(UPPER($AS$85:$AZ$85)="(BLANK)")+(UPPER($AS$85:$AZ$85)="EMPTY")+(UPPER($AS$85:$AZ$85)="(EMPTY)"))&gt;0,IFERROR(('Final Calculation Sheet'!$Y$25)&amp;"","")="",ISNUMBER(SEARCH($AS$85:$AZ$85,IFERROR(('Final Calculation Sheet'!$Y$25)&amp;"","")))))&gt;0),IF(COUNTIF($BI$85:$BP$85,4)=0,TRUE,SUMPRODUCT(($BI$85:$BP$85=4)*($AS$85:$AZ$85&lt;&gt;"")*IF(((UPPER($AS$85:$AZ$85)="BLANK")+(UPPER($AS$85:$AZ$85)="(BLANK)")+(UPPER($AS$85:$AZ$85)="EMPTY")+(UPPER($AS$85:$AZ$85)="(EMPTY)"))&gt;0,IFERROR(('Final Calculation Sheet'!$Y$25)&amp;"","")="",ISNUMBER(SEARCH($AS$85:$AZ$85,IFERROR(('Final Calculation Sheet'!$Y$25)&amp;"","")))))&gt;0),IF(COUNTIF($BI$85:$BP$85,5)=0,TRUE,SUMPRODUCT(($BI$85:$BP$85=5)*($AS$85:$AZ$85&lt;&gt;"")*IF(((UPPER($AS$85:$AZ$85)="BLANK")+(UPPER($AS$85:$AZ$85)="(BLANK)")+(UPPER($AS$85:$AZ$85)="EMPTY")+(UPPER($AS$85:$AZ$85)="(EMPTY)"))&gt;0,IFERROR(('Final Calculation Sheet'!$Y$25)&amp;"","")="",ISNUMBER(SEARCH($AS$85:$AZ$85,IFERROR(('Final Calculation Sheet'!$Y$25)&amp;"","")))))&gt;0),IF(COUNTIF($BI$85:$BP$85,6)=0,TRUE,SUMPRODUCT(($BI$85:$BP$85=6)*($AS$85:$AZ$85&lt;&gt;"")*IF(((UPPER($AS$85:$AZ$85)="BLANK")+(UPPER($AS$85:$AZ$85)="(BLANK)")+(UPPER($AS$85:$AZ$85)="EMPTY")+(UPPER($AS$85:$AZ$85)="(EMPTY)"))&gt;0,IFERROR(('Final Calculation Sheet'!$Y$25)&amp;"","")="",ISNUMBER(SEARCH($AS$85:$AZ$85,IFERROR(('Final Calculation Sheet'!$Y$25)&amp;"","")))))&gt;0),IF(COUNTIF($BI$85:$BP$85,7)=0,TRUE,SUMPRODUCT(($BI$85:$BP$85=7)*($AS$85:$AZ$85&lt;&gt;"")*IF(((UPPER($AS$85:$AZ$85)="BLANK")+(UPPER($AS$85:$AZ$85)="(BLANK)")+(UPPER($AS$85:$AZ$85)="EMPTY")+(UPPER($AS$85:$AZ$85)="(EMPTY)"))&gt;0,IFERROR(('Final Calculation Sheet'!$Y$25)&amp;"","")="",ISNUMBER(SEARCH($AS$85:$AZ$85,IFERROR(('Final Calculation Sheet'!$Y$25)&amp;"","")))))&gt;0),IF(COUNTIF($BI$85:$BP$85,8)=0,TRUE,SUMPRODUCT(($BI$85:$BP$85=8)*($AS$85:$AZ$85&lt;&gt;"")*IF(((UPPER($AS$85:$AZ$85)="BLANK")+(UPPER($AS$85:$AZ$85)="(BLANK)")+(UPPER($AS$85:$AZ$85)="EMPTY")+(UPPER($AS$85:$AZ$85)="(EMPTY)"))&gt;0,IFERROR(('Final Calculation Sheet'!$Y$25)&amp;"","")="",ISNUMBER(SEARCH($AS$85:$AZ$85,IFERROR(('Final Calculation Sheet'!$Y$25)&amp;"","")))))&gt;0))))</f>
        <v>1</v>
      </c>
      <c r="CM26">
        <f>IF($AA$4="",1,--(AND(SUMPRODUCT(--($AS$86:$AZ$86&lt;&gt;""))&gt;0,IF(COUNTIF($BI$86:$BP$86,1)=0,TRUE,SUMPRODUCT(($BI$86:$BP$86=1)*($AS$86:$AZ$86&lt;&gt;"")*IF(((UPPER($AS$86:$AZ$86)="BLANK")+(UPPER($AS$86:$AZ$86)="(BLANK)")+(UPPER($AS$86:$AZ$86)="EMPTY")+(UPPER($AS$86:$AZ$86)="(EMPTY)"))&gt;0,IFERROR(('Final Calculation Sheet'!$Z$25)&amp;"","")="",ISNUMBER(SEARCH($AS$86:$AZ$86,IFERROR(('Final Calculation Sheet'!$Z$25)&amp;"","")))))&gt;0),IF(COUNTIF($BI$86:$BP$86,2)=0,TRUE,SUMPRODUCT(($BI$86:$BP$86=2)*($AS$86:$AZ$86&lt;&gt;"")*IF(((UPPER($AS$86:$AZ$86)="BLANK")+(UPPER($AS$86:$AZ$86)="(BLANK)")+(UPPER($AS$86:$AZ$86)="EMPTY")+(UPPER($AS$86:$AZ$86)="(EMPTY)"))&gt;0,IFERROR(('Final Calculation Sheet'!$Z$25)&amp;"","")="",ISNUMBER(SEARCH($AS$86:$AZ$86,IFERROR(('Final Calculation Sheet'!$Z$25)&amp;"","")))))&gt;0),IF(COUNTIF($BI$86:$BP$86,3)=0,TRUE,SUMPRODUCT(($BI$86:$BP$86=3)*($AS$86:$AZ$86&lt;&gt;"")*IF(((UPPER($AS$86:$AZ$86)="BLANK")+(UPPER($AS$86:$AZ$86)="(BLANK)")+(UPPER($AS$86:$AZ$86)="EMPTY")+(UPPER($AS$86:$AZ$86)="(EMPTY)"))&gt;0,IFERROR(('Final Calculation Sheet'!$Z$25)&amp;"","")="",ISNUMBER(SEARCH($AS$86:$AZ$86,IFERROR(('Final Calculation Sheet'!$Z$25)&amp;"","")))))&gt;0),IF(COUNTIF($BI$86:$BP$86,4)=0,TRUE,SUMPRODUCT(($BI$86:$BP$86=4)*($AS$86:$AZ$86&lt;&gt;"")*IF(((UPPER($AS$86:$AZ$86)="BLANK")+(UPPER($AS$86:$AZ$86)="(BLANK)")+(UPPER($AS$86:$AZ$86)="EMPTY")+(UPPER($AS$86:$AZ$86)="(EMPTY)"))&gt;0,IFERROR(('Final Calculation Sheet'!$Z$25)&amp;"","")="",ISNUMBER(SEARCH($AS$86:$AZ$86,IFERROR(('Final Calculation Sheet'!$Z$25)&amp;"","")))))&gt;0),IF(COUNTIF($BI$86:$BP$86,5)=0,TRUE,SUMPRODUCT(($BI$86:$BP$86=5)*($AS$86:$AZ$86&lt;&gt;"")*IF(((UPPER($AS$86:$AZ$86)="BLANK")+(UPPER($AS$86:$AZ$86)="(BLANK)")+(UPPER($AS$86:$AZ$86)="EMPTY")+(UPPER($AS$86:$AZ$86)="(EMPTY)"))&gt;0,IFERROR(('Final Calculation Sheet'!$Z$25)&amp;"","")="",ISNUMBER(SEARCH($AS$86:$AZ$86,IFERROR(('Final Calculation Sheet'!$Z$25)&amp;"","")))))&gt;0),IF(COUNTIF($BI$86:$BP$86,6)=0,TRUE,SUMPRODUCT(($BI$86:$BP$86=6)*($AS$86:$AZ$86&lt;&gt;"")*IF(((UPPER($AS$86:$AZ$86)="BLANK")+(UPPER($AS$86:$AZ$86)="(BLANK)")+(UPPER($AS$86:$AZ$86)="EMPTY")+(UPPER($AS$86:$AZ$86)="(EMPTY)"))&gt;0,IFERROR(('Final Calculation Sheet'!$Z$25)&amp;"","")="",ISNUMBER(SEARCH($AS$86:$AZ$86,IFERROR(('Final Calculation Sheet'!$Z$25)&amp;"","")))))&gt;0),IF(COUNTIF($BI$86:$BP$86,7)=0,TRUE,SUMPRODUCT(($BI$86:$BP$86=7)*($AS$86:$AZ$86&lt;&gt;"")*IF(((UPPER($AS$86:$AZ$86)="BLANK")+(UPPER($AS$86:$AZ$86)="(BLANK)")+(UPPER($AS$86:$AZ$86)="EMPTY")+(UPPER($AS$86:$AZ$86)="(EMPTY)"))&gt;0,IFERROR(('Final Calculation Sheet'!$Z$25)&amp;"","")="",ISNUMBER(SEARCH($AS$86:$AZ$86,IFERROR(('Final Calculation Sheet'!$Z$25)&amp;"","")))))&gt;0),IF(COUNTIF($BI$86:$BP$86,8)=0,TRUE,SUMPRODUCT(($BI$86:$BP$86=8)*($AS$86:$AZ$86&lt;&gt;"")*IF(((UPPER($AS$86:$AZ$86)="BLANK")+(UPPER($AS$86:$AZ$86)="(BLANK)")+(UPPER($AS$86:$AZ$86)="EMPTY")+(UPPER($AS$86:$AZ$86)="(EMPTY)"))&gt;0,IFERROR(('Final Calculation Sheet'!$Z$25)&amp;"","")="",ISNUMBER(SEARCH($AS$86:$AZ$86,IFERROR(('Final Calculation Sheet'!$Z$25)&amp;"","")))))&gt;0))))</f>
        <v>1</v>
      </c>
      <c r="CN26">
        <f>IF($AB$4="",1,--(AND(SUMPRODUCT(--($AS$87:$AZ$87&lt;&gt;""))&gt;0,IF(COUNTIF($BI$87:$BP$87,1)=0,TRUE,SUMPRODUCT(($BI$87:$BP$87=1)*($AS$87:$AZ$87&lt;&gt;"")*IF(((UPPER($AS$87:$AZ$87)="BLANK")+(UPPER($AS$87:$AZ$87)="(BLANK)")+(UPPER($AS$87:$AZ$87)="EMPTY")+(UPPER($AS$87:$AZ$87)="(EMPTY)"))&gt;0,IFERROR(('Final Calculation Sheet'!$AA$25)&amp;"","")="",ISNUMBER(SEARCH($AS$87:$AZ$87,IFERROR(('Final Calculation Sheet'!$AA$25)&amp;"","")))))&gt;0),IF(COUNTIF($BI$87:$BP$87,2)=0,TRUE,SUMPRODUCT(($BI$87:$BP$87=2)*($AS$87:$AZ$87&lt;&gt;"")*IF(((UPPER($AS$87:$AZ$87)="BLANK")+(UPPER($AS$87:$AZ$87)="(BLANK)")+(UPPER($AS$87:$AZ$87)="EMPTY")+(UPPER($AS$87:$AZ$87)="(EMPTY)"))&gt;0,IFERROR(('Final Calculation Sheet'!$AA$25)&amp;"","")="",ISNUMBER(SEARCH($AS$87:$AZ$87,IFERROR(('Final Calculation Sheet'!$AA$25)&amp;"","")))))&gt;0),IF(COUNTIF($BI$87:$BP$87,3)=0,TRUE,SUMPRODUCT(($BI$87:$BP$87=3)*($AS$87:$AZ$87&lt;&gt;"")*IF(((UPPER($AS$87:$AZ$87)="BLANK")+(UPPER($AS$87:$AZ$87)="(BLANK)")+(UPPER($AS$87:$AZ$87)="EMPTY")+(UPPER($AS$87:$AZ$87)="(EMPTY)"))&gt;0,IFERROR(('Final Calculation Sheet'!$AA$25)&amp;"","")="",ISNUMBER(SEARCH($AS$87:$AZ$87,IFERROR(('Final Calculation Sheet'!$AA$25)&amp;"","")))))&gt;0),IF(COUNTIF($BI$87:$BP$87,4)=0,TRUE,SUMPRODUCT(($BI$87:$BP$87=4)*($AS$87:$AZ$87&lt;&gt;"")*IF(((UPPER($AS$87:$AZ$87)="BLANK")+(UPPER($AS$87:$AZ$87)="(BLANK)")+(UPPER($AS$87:$AZ$87)="EMPTY")+(UPPER($AS$87:$AZ$87)="(EMPTY)"))&gt;0,IFERROR(('Final Calculation Sheet'!$AA$25)&amp;"","")="",ISNUMBER(SEARCH($AS$87:$AZ$87,IFERROR(('Final Calculation Sheet'!$AA$25)&amp;"","")))))&gt;0),IF(COUNTIF($BI$87:$BP$87,5)=0,TRUE,SUMPRODUCT(($BI$87:$BP$87=5)*($AS$87:$AZ$87&lt;&gt;"")*IF(((UPPER($AS$87:$AZ$87)="BLANK")+(UPPER($AS$87:$AZ$87)="(BLANK)")+(UPPER($AS$87:$AZ$87)="EMPTY")+(UPPER($AS$87:$AZ$87)="(EMPTY)"))&gt;0,IFERROR(('Final Calculation Sheet'!$AA$25)&amp;"","")="",ISNUMBER(SEARCH($AS$87:$AZ$87,IFERROR(('Final Calculation Sheet'!$AA$25)&amp;"","")))))&gt;0),IF(COUNTIF($BI$87:$BP$87,6)=0,TRUE,SUMPRODUCT(($BI$87:$BP$87=6)*($AS$87:$AZ$87&lt;&gt;"")*IF(((UPPER($AS$87:$AZ$87)="BLANK")+(UPPER($AS$87:$AZ$87)="(BLANK)")+(UPPER($AS$87:$AZ$87)="EMPTY")+(UPPER($AS$87:$AZ$87)="(EMPTY)"))&gt;0,IFERROR(('Final Calculation Sheet'!$AA$25)&amp;"","")="",ISNUMBER(SEARCH($AS$87:$AZ$87,IFERROR(('Final Calculation Sheet'!$AA$25)&amp;"","")))))&gt;0),IF(COUNTIF($BI$87:$BP$87,7)=0,TRUE,SUMPRODUCT(($BI$87:$BP$87=7)*($AS$87:$AZ$87&lt;&gt;"")*IF(((UPPER($AS$87:$AZ$87)="BLANK")+(UPPER($AS$87:$AZ$87)="(BLANK)")+(UPPER($AS$87:$AZ$87)="EMPTY")+(UPPER($AS$87:$AZ$87)="(EMPTY)"))&gt;0,IFERROR(('Final Calculation Sheet'!$AA$25)&amp;"","")="",ISNUMBER(SEARCH($AS$87:$AZ$87,IFERROR(('Final Calculation Sheet'!$AA$25)&amp;"","")))))&gt;0),IF(COUNTIF($BI$87:$BP$87,8)=0,TRUE,SUMPRODUCT(($BI$87:$BP$87=8)*($AS$87:$AZ$87&lt;&gt;"")*IF(((UPPER($AS$87:$AZ$87)="BLANK")+(UPPER($AS$87:$AZ$87)="(BLANK)")+(UPPER($AS$87:$AZ$87)="EMPTY")+(UPPER($AS$87:$AZ$87)="(EMPTY)"))&gt;0,IFERROR(('Final Calculation Sheet'!$AA$25)&amp;"","")="",ISNUMBER(SEARCH($AS$87:$AZ$87,IFERROR(('Final Calculation Sheet'!$AA$25)&amp;"","")))))&gt;0))))</f>
        <v>1</v>
      </c>
      <c r="CO26">
        <f>IF($AC$4="",1,--(AND(SUMPRODUCT(--($AS$88:$AZ$88&lt;&gt;""))&gt;0,IF(COUNTIF($BI$88:$BP$88,1)=0,TRUE,SUMPRODUCT(($BI$88:$BP$88=1)*($AS$88:$AZ$88&lt;&gt;"")*IF(((UPPER($AS$88:$AZ$88)="BLANK")+(UPPER($AS$88:$AZ$88)="(BLANK)")+(UPPER($AS$88:$AZ$88)="EMPTY")+(UPPER($AS$88:$AZ$88)="(EMPTY)"))&gt;0,IFERROR(('Final Calculation Sheet'!$AB$25)&amp;"","")="",ISNUMBER(SEARCH($AS$88:$AZ$88,IFERROR(('Final Calculation Sheet'!$AB$25)&amp;"","")))))&gt;0),IF(COUNTIF($BI$88:$BP$88,2)=0,TRUE,SUMPRODUCT(($BI$88:$BP$88=2)*($AS$88:$AZ$88&lt;&gt;"")*IF(((UPPER($AS$88:$AZ$88)="BLANK")+(UPPER($AS$88:$AZ$88)="(BLANK)")+(UPPER($AS$88:$AZ$88)="EMPTY")+(UPPER($AS$88:$AZ$88)="(EMPTY)"))&gt;0,IFERROR(('Final Calculation Sheet'!$AB$25)&amp;"","")="",ISNUMBER(SEARCH($AS$88:$AZ$88,IFERROR(('Final Calculation Sheet'!$AB$25)&amp;"","")))))&gt;0),IF(COUNTIF($BI$88:$BP$88,3)=0,TRUE,SUMPRODUCT(($BI$88:$BP$88=3)*($AS$88:$AZ$88&lt;&gt;"")*IF(((UPPER($AS$88:$AZ$88)="BLANK")+(UPPER($AS$88:$AZ$88)="(BLANK)")+(UPPER($AS$88:$AZ$88)="EMPTY")+(UPPER($AS$88:$AZ$88)="(EMPTY)"))&gt;0,IFERROR(('Final Calculation Sheet'!$AB$25)&amp;"","")="",ISNUMBER(SEARCH($AS$88:$AZ$88,IFERROR(('Final Calculation Sheet'!$AB$25)&amp;"","")))))&gt;0),IF(COUNTIF($BI$88:$BP$88,4)=0,TRUE,SUMPRODUCT(($BI$88:$BP$88=4)*($AS$88:$AZ$88&lt;&gt;"")*IF(((UPPER($AS$88:$AZ$88)="BLANK")+(UPPER($AS$88:$AZ$88)="(BLANK)")+(UPPER($AS$88:$AZ$88)="EMPTY")+(UPPER($AS$88:$AZ$88)="(EMPTY)"))&gt;0,IFERROR(('Final Calculation Sheet'!$AB$25)&amp;"","")="",ISNUMBER(SEARCH($AS$88:$AZ$88,IFERROR(('Final Calculation Sheet'!$AB$25)&amp;"","")))))&gt;0),IF(COUNTIF($BI$88:$BP$88,5)=0,TRUE,SUMPRODUCT(($BI$88:$BP$88=5)*($AS$88:$AZ$88&lt;&gt;"")*IF(((UPPER($AS$88:$AZ$88)="BLANK")+(UPPER($AS$88:$AZ$88)="(BLANK)")+(UPPER($AS$88:$AZ$88)="EMPTY")+(UPPER($AS$88:$AZ$88)="(EMPTY)"))&gt;0,IFERROR(('Final Calculation Sheet'!$AB$25)&amp;"","")="",ISNUMBER(SEARCH($AS$88:$AZ$88,IFERROR(('Final Calculation Sheet'!$AB$25)&amp;"","")))))&gt;0),IF(COUNTIF($BI$88:$BP$88,6)=0,TRUE,SUMPRODUCT(($BI$88:$BP$88=6)*($AS$88:$AZ$88&lt;&gt;"")*IF(((UPPER($AS$88:$AZ$88)="BLANK")+(UPPER($AS$88:$AZ$88)="(BLANK)")+(UPPER($AS$88:$AZ$88)="EMPTY")+(UPPER($AS$88:$AZ$88)="(EMPTY)"))&gt;0,IFERROR(('Final Calculation Sheet'!$AB$25)&amp;"","")="",ISNUMBER(SEARCH($AS$88:$AZ$88,IFERROR(('Final Calculation Sheet'!$AB$25)&amp;"","")))))&gt;0),IF(COUNTIF($BI$88:$BP$88,7)=0,TRUE,SUMPRODUCT(($BI$88:$BP$88=7)*($AS$88:$AZ$88&lt;&gt;"")*IF(((UPPER($AS$88:$AZ$88)="BLANK")+(UPPER($AS$88:$AZ$88)="(BLANK)")+(UPPER($AS$88:$AZ$88)="EMPTY")+(UPPER($AS$88:$AZ$88)="(EMPTY)"))&gt;0,IFERROR(('Final Calculation Sheet'!$AB$25)&amp;"","")="",ISNUMBER(SEARCH($AS$88:$AZ$88,IFERROR(('Final Calculation Sheet'!$AB$25)&amp;"","")))))&gt;0),IF(COUNTIF($BI$88:$BP$88,8)=0,TRUE,SUMPRODUCT(($BI$88:$BP$88=8)*($AS$88:$AZ$88&lt;&gt;"")*IF(((UPPER($AS$88:$AZ$88)="BLANK")+(UPPER($AS$88:$AZ$88)="(BLANK)")+(UPPER($AS$88:$AZ$88)="EMPTY")+(UPPER($AS$88:$AZ$88)="(EMPTY)"))&gt;0,IFERROR(('Final Calculation Sheet'!$AB$25)&amp;"","")="",ISNUMBER(SEARCH($AS$88:$AZ$88,IFERROR(('Final Calculation Sheet'!$AB$25)&amp;"","")))))&gt;0))))</f>
        <v>1</v>
      </c>
      <c r="CP26">
        <f>IF($AD$4="",1,--(AND(SUMPRODUCT(--($AS$89:$AZ$89&lt;&gt;""))&gt;0,IF(COUNTIF($BI$89:$BP$89,1)=0,TRUE,SUMPRODUCT(($BI$89:$BP$89=1)*($AS$89:$AZ$89&lt;&gt;"")*IF(((UPPER($AS$89:$AZ$89)="BLANK")+(UPPER($AS$89:$AZ$89)="(BLANK)")+(UPPER($AS$89:$AZ$89)="EMPTY")+(UPPER($AS$89:$AZ$89)="(EMPTY)"))&gt;0,IFERROR(('Final Calculation Sheet'!$AC$25)&amp;"","")="",ISNUMBER(SEARCH($AS$89:$AZ$89,IFERROR(('Final Calculation Sheet'!$AC$25)&amp;"","")))))&gt;0),IF(COUNTIF($BI$89:$BP$89,2)=0,TRUE,SUMPRODUCT(($BI$89:$BP$89=2)*($AS$89:$AZ$89&lt;&gt;"")*IF(((UPPER($AS$89:$AZ$89)="BLANK")+(UPPER($AS$89:$AZ$89)="(BLANK)")+(UPPER($AS$89:$AZ$89)="EMPTY")+(UPPER($AS$89:$AZ$89)="(EMPTY)"))&gt;0,IFERROR(('Final Calculation Sheet'!$AC$25)&amp;"","")="",ISNUMBER(SEARCH($AS$89:$AZ$89,IFERROR(('Final Calculation Sheet'!$AC$25)&amp;"","")))))&gt;0),IF(COUNTIF($BI$89:$BP$89,3)=0,TRUE,SUMPRODUCT(($BI$89:$BP$89=3)*($AS$89:$AZ$89&lt;&gt;"")*IF(((UPPER($AS$89:$AZ$89)="BLANK")+(UPPER($AS$89:$AZ$89)="(BLANK)")+(UPPER($AS$89:$AZ$89)="EMPTY")+(UPPER($AS$89:$AZ$89)="(EMPTY)"))&gt;0,IFERROR(('Final Calculation Sheet'!$AC$25)&amp;"","")="",ISNUMBER(SEARCH($AS$89:$AZ$89,IFERROR(('Final Calculation Sheet'!$AC$25)&amp;"","")))))&gt;0),IF(COUNTIF($BI$89:$BP$89,4)=0,TRUE,SUMPRODUCT(($BI$89:$BP$89=4)*($AS$89:$AZ$89&lt;&gt;"")*IF(((UPPER($AS$89:$AZ$89)="BLANK")+(UPPER($AS$89:$AZ$89)="(BLANK)")+(UPPER($AS$89:$AZ$89)="EMPTY")+(UPPER($AS$89:$AZ$89)="(EMPTY)"))&gt;0,IFERROR(('Final Calculation Sheet'!$AC$25)&amp;"","")="",ISNUMBER(SEARCH($AS$89:$AZ$89,IFERROR(('Final Calculation Sheet'!$AC$25)&amp;"","")))))&gt;0),IF(COUNTIF($BI$89:$BP$89,5)=0,TRUE,SUMPRODUCT(($BI$89:$BP$89=5)*($AS$89:$AZ$89&lt;&gt;"")*IF(((UPPER($AS$89:$AZ$89)="BLANK")+(UPPER($AS$89:$AZ$89)="(BLANK)")+(UPPER($AS$89:$AZ$89)="EMPTY")+(UPPER($AS$89:$AZ$89)="(EMPTY)"))&gt;0,IFERROR(('Final Calculation Sheet'!$AC$25)&amp;"","")="",ISNUMBER(SEARCH($AS$89:$AZ$89,IFERROR(('Final Calculation Sheet'!$AC$25)&amp;"","")))))&gt;0),IF(COUNTIF($BI$89:$BP$89,6)=0,TRUE,SUMPRODUCT(($BI$89:$BP$89=6)*($AS$89:$AZ$89&lt;&gt;"")*IF(((UPPER($AS$89:$AZ$89)="BLANK")+(UPPER($AS$89:$AZ$89)="(BLANK)")+(UPPER($AS$89:$AZ$89)="EMPTY")+(UPPER($AS$89:$AZ$89)="(EMPTY)"))&gt;0,IFERROR(('Final Calculation Sheet'!$AC$25)&amp;"","")="",ISNUMBER(SEARCH($AS$89:$AZ$89,IFERROR(('Final Calculation Sheet'!$AC$25)&amp;"","")))))&gt;0),IF(COUNTIF($BI$89:$BP$89,7)=0,TRUE,SUMPRODUCT(($BI$89:$BP$89=7)*($AS$89:$AZ$89&lt;&gt;"")*IF(((UPPER($AS$89:$AZ$89)="BLANK")+(UPPER($AS$89:$AZ$89)="(BLANK)")+(UPPER($AS$89:$AZ$89)="EMPTY")+(UPPER($AS$89:$AZ$89)="(EMPTY)"))&gt;0,IFERROR(('Final Calculation Sheet'!$AC$25)&amp;"","")="",ISNUMBER(SEARCH($AS$89:$AZ$89,IFERROR(('Final Calculation Sheet'!$AC$25)&amp;"","")))))&gt;0),IF(COUNTIF($BI$89:$BP$89,8)=0,TRUE,SUMPRODUCT(($BI$89:$BP$89=8)*($AS$89:$AZ$89&lt;&gt;"")*IF(((UPPER($AS$89:$AZ$89)="BLANK")+(UPPER($AS$89:$AZ$89)="(BLANK)")+(UPPER($AS$89:$AZ$89)="EMPTY")+(UPPER($AS$89:$AZ$89)="(EMPTY)"))&gt;0,IFERROR(('Final Calculation Sheet'!$AC$25)&amp;"","")="",ISNUMBER(SEARCH($AS$89:$AZ$89,IFERROR(('Final Calculation Sheet'!$AC$25)&amp;"","")))))&gt;0))))</f>
        <v>1</v>
      </c>
      <c r="CQ26">
        <f>IF($AE$4="",1,--(AND(SUMPRODUCT(--($AS$90:$AZ$90&lt;&gt;""))&gt;0,IF(COUNTIF($BI$90:$BP$90,1)=0,TRUE,SUMPRODUCT(($BI$90:$BP$90=1)*($AS$90:$AZ$90&lt;&gt;"")*IF(((UPPER($AS$90:$AZ$90)="BLANK")+(UPPER($AS$90:$AZ$90)="(BLANK)")+(UPPER($AS$90:$AZ$90)="EMPTY")+(UPPER($AS$90:$AZ$90)="(EMPTY)"))&gt;0,IFERROR(('Final Calculation Sheet'!$AD$25)&amp;"","")="",ISNUMBER(SEARCH($AS$90:$AZ$90,IFERROR(('Final Calculation Sheet'!$AD$25)&amp;"","")))))&gt;0),IF(COUNTIF($BI$90:$BP$90,2)=0,TRUE,SUMPRODUCT(($BI$90:$BP$90=2)*($AS$90:$AZ$90&lt;&gt;"")*IF(((UPPER($AS$90:$AZ$90)="BLANK")+(UPPER($AS$90:$AZ$90)="(BLANK)")+(UPPER($AS$90:$AZ$90)="EMPTY")+(UPPER($AS$90:$AZ$90)="(EMPTY)"))&gt;0,IFERROR(('Final Calculation Sheet'!$AD$25)&amp;"","")="",ISNUMBER(SEARCH($AS$90:$AZ$90,IFERROR(('Final Calculation Sheet'!$AD$25)&amp;"","")))))&gt;0),IF(COUNTIF($BI$90:$BP$90,3)=0,TRUE,SUMPRODUCT(($BI$90:$BP$90=3)*($AS$90:$AZ$90&lt;&gt;"")*IF(((UPPER($AS$90:$AZ$90)="BLANK")+(UPPER($AS$90:$AZ$90)="(BLANK)")+(UPPER($AS$90:$AZ$90)="EMPTY")+(UPPER($AS$90:$AZ$90)="(EMPTY)"))&gt;0,IFERROR(('Final Calculation Sheet'!$AD$25)&amp;"","")="",ISNUMBER(SEARCH($AS$90:$AZ$90,IFERROR(('Final Calculation Sheet'!$AD$25)&amp;"","")))))&gt;0),IF(COUNTIF($BI$90:$BP$90,4)=0,TRUE,SUMPRODUCT(($BI$90:$BP$90=4)*($AS$90:$AZ$90&lt;&gt;"")*IF(((UPPER($AS$90:$AZ$90)="BLANK")+(UPPER($AS$90:$AZ$90)="(BLANK)")+(UPPER($AS$90:$AZ$90)="EMPTY")+(UPPER($AS$90:$AZ$90)="(EMPTY)"))&gt;0,IFERROR(('Final Calculation Sheet'!$AD$25)&amp;"","")="",ISNUMBER(SEARCH($AS$90:$AZ$90,IFERROR(('Final Calculation Sheet'!$AD$25)&amp;"","")))))&gt;0),IF(COUNTIF($BI$90:$BP$90,5)=0,TRUE,SUMPRODUCT(($BI$90:$BP$90=5)*($AS$90:$AZ$90&lt;&gt;"")*IF(((UPPER($AS$90:$AZ$90)="BLANK")+(UPPER($AS$90:$AZ$90)="(BLANK)")+(UPPER($AS$90:$AZ$90)="EMPTY")+(UPPER($AS$90:$AZ$90)="(EMPTY)"))&gt;0,IFERROR(('Final Calculation Sheet'!$AD$25)&amp;"","")="",ISNUMBER(SEARCH($AS$90:$AZ$90,IFERROR(('Final Calculation Sheet'!$AD$25)&amp;"","")))))&gt;0),IF(COUNTIF($BI$90:$BP$90,6)=0,TRUE,SUMPRODUCT(($BI$90:$BP$90=6)*($AS$90:$AZ$90&lt;&gt;"")*IF(((UPPER($AS$90:$AZ$90)="BLANK")+(UPPER($AS$90:$AZ$90)="(BLANK)")+(UPPER($AS$90:$AZ$90)="EMPTY")+(UPPER($AS$90:$AZ$90)="(EMPTY)"))&gt;0,IFERROR(('Final Calculation Sheet'!$AD$25)&amp;"","")="",ISNUMBER(SEARCH($AS$90:$AZ$90,IFERROR(('Final Calculation Sheet'!$AD$25)&amp;"","")))))&gt;0),IF(COUNTIF($BI$90:$BP$90,7)=0,TRUE,SUMPRODUCT(($BI$90:$BP$90=7)*($AS$90:$AZ$90&lt;&gt;"")*IF(((UPPER($AS$90:$AZ$90)="BLANK")+(UPPER($AS$90:$AZ$90)="(BLANK)")+(UPPER($AS$90:$AZ$90)="EMPTY")+(UPPER($AS$90:$AZ$90)="(EMPTY)"))&gt;0,IFERROR(('Final Calculation Sheet'!$AD$25)&amp;"","")="",ISNUMBER(SEARCH($AS$90:$AZ$90,IFERROR(('Final Calculation Sheet'!$AD$25)&amp;"","")))))&gt;0),IF(COUNTIF($BI$90:$BP$90,8)=0,TRUE,SUMPRODUCT(($BI$90:$BP$90=8)*($AS$90:$AZ$90&lt;&gt;"")*IF(((UPPER($AS$90:$AZ$90)="BLANK")+(UPPER($AS$90:$AZ$90)="(BLANK)")+(UPPER($AS$90:$AZ$90)="EMPTY")+(UPPER($AS$90:$AZ$90)="(EMPTY)"))&gt;0,IFERROR(('Final Calculation Sheet'!$AD$25)&amp;"","")="",ISNUMBER(SEARCH($AS$90:$AZ$90,IFERROR(('Final Calculation Sheet'!$AD$25)&amp;"","")))))&gt;0))))</f>
        <v>1</v>
      </c>
      <c r="CR26">
        <f>IF($AF$4="",1,--(AND(SUMPRODUCT(--($AS$91:$AZ$91&lt;&gt;""))&gt;0,IF(COUNTIF($BI$91:$BP$91,1)=0,TRUE,SUMPRODUCT(($BI$91:$BP$91=1)*($AS$91:$AZ$91&lt;&gt;"")*IF(((UPPER($AS$91:$AZ$91)="BLANK")+(UPPER($AS$91:$AZ$91)="(BLANK)")+(UPPER($AS$91:$AZ$91)="EMPTY")+(UPPER($AS$91:$AZ$91)="(EMPTY)"))&gt;0,IFERROR(('Final Calculation Sheet'!$AE$25)&amp;"","")="",ISNUMBER(SEARCH($AS$91:$AZ$91,IFERROR(('Final Calculation Sheet'!$AE$25)&amp;"","")))))&gt;0),IF(COUNTIF($BI$91:$BP$91,2)=0,TRUE,SUMPRODUCT(($BI$91:$BP$91=2)*($AS$91:$AZ$91&lt;&gt;"")*IF(((UPPER($AS$91:$AZ$91)="BLANK")+(UPPER($AS$91:$AZ$91)="(BLANK)")+(UPPER($AS$91:$AZ$91)="EMPTY")+(UPPER($AS$91:$AZ$91)="(EMPTY)"))&gt;0,IFERROR(('Final Calculation Sheet'!$AE$25)&amp;"","")="",ISNUMBER(SEARCH($AS$91:$AZ$91,IFERROR(('Final Calculation Sheet'!$AE$25)&amp;"","")))))&gt;0),IF(COUNTIF($BI$91:$BP$91,3)=0,TRUE,SUMPRODUCT(($BI$91:$BP$91=3)*($AS$91:$AZ$91&lt;&gt;"")*IF(((UPPER($AS$91:$AZ$91)="BLANK")+(UPPER($AS$91:$AZ$91)="(BLANK)")+(UPPER($AS$91:$AZ$91)="EMPTY")+(UPPER($AS$91:$AZ$91)="(EMPTY)"))&gt;0,IFERROR(('Final Calculation Sheet'!$AE$25)&amp;"","")="",ISNUMBER(SEARCH($AS$91:$AZ$91,IFERROR(('Final Calculation Sheet'!$AE$25)&amp;"","")))))&gt;0),IF(COUNTIF($BI$91:$BP$91,4)=0,TRUE,SUMPRODUCT(($BI$91:$BP$91=4)*($AS$91:$AZ$91&lt;&gt;"")*IF(((UPPER($AS$91:$AZ$91)="BLANK")+(UPPER($AS$91:$AZ$91)="(BLANK)")+(UPPER($AS$91:$AZ$91)="EMPTY")+(UPPER($AS$91:$AZ$91)="(EMPTY)"))&gt;0,IFERROR(('Final Calculation Sheet'!$AE$25)&amp;"","")="",ISNUMBER(SEARCH($AS$91:$AZ$91,IFERROR(('Final Calculation Sheet'!$AE$25)&amp;"","")))))&gt;0),IF(COUNTIF($BI$91:$BP$91,5)=0,TRUE,SUMPRODUCT(($BI$91:$BP$91=5)*($AS$91:$AZ$91&lt;&gt;"")*IF(((UPPER($AS$91:$AZ$91)="BLANK")+(UPPER($AS$91:$AZ$91)="(BLANK)")+(UPPER($AS$91:$AZ$91)="EMPTY")+(UPPER($AS$91:$AZ$91)="(EMPTY)"))&gt;0,IFERROR(('Final Calculation Sheet'!$AE$25)&amp;"","")="",ISNUMBER(SEARCH($AS$91:$AZ$91,IFERROR(('Final Calculation Sheet'!$AE$25)&amp;"","")))))&gt;0),IF(COUNTIF($BI$91:$BP$91,6)=0,TRUE,SUMPRODUCT(($BI$91:$BP$91=6)*($AS$91:$AZ$91&lt;&gt;"")*IF(((UPPER($AS$91:$AZ$91)="BLANK")+(UPPER($AS$91:$AZ$91)="(BLANK)")+(UPPER($AS$91:$AZ$91)="EMPTY")+(UPPER($AS$91:$AZ$91)="(EMPTY)"))&gt;0,IFERROR(('Final Calculation Sheet'!$AE$25)&amp;"","")="",ISNUMBER(SEARCH($AS$91:$AZ$91,IFERROR(('Final Calculation Sheet'!$AE$25)&amp;"","")))))&gt;0),IF(COUNTIF($BI$91:$BP$91,7)=0,TRUE,SUMPRODUCT(($BI$91:$BP$91=7)*($AS$91:$AZ$91&lt;&gt;"")*IF(((UPPER($AS$91:$AZ$91)="BLANK")+(UPPER($AS$91:$AZ$91)="(BLANK)")+(UPPER($AS$91:$AZ$91)="EMPTY")+(UPPER($AS$91:$AZ$91)="(EMPTY)"))&gt;0,IFERROR(('Final Calculation Sheet'!$AE$25)&amp;"","")="",ISNUMBER(SEARCH($AS$91:$AZ$91,IFERROR(('Final Calculation Sheet'!$AE$25)&amp;"","")))))&gt;0),IF(COUNTIF($BI$91:$BP$91,8)=0,TRUE,SUMPRODUCT(($BI$91:$BP$91=8)*($AS$91:$AZ$91&lt;&gt;"")*IF(((UPPER($AS$91:$AZ$91)="BLANK")+(UPPER($AS$91:$AZ$91)="(BLANK)")+(UPPER($AS$91:$AZ$91)="EMPTY")+(UPPER($AS$91:$AZ$91)="(EMPTY)"))&gt;0,IFERROR(('Final Calculation Sheet'!$AE$25)&amp;"","")="",ISNUMBER(SEARCH($AS$91:$AZ$91,IFERROR(('Final Calculation Sheet'!$AE$25)&amp;"","")))))&gt;0))))</f>
        <v>1</v>
      </c>
      <c r="CS26">
        <f>IF($AG$4="",1,--(AND(SUMPRODUCT(--($AS$92:$AZ$92&lt;&gt;""))&gt;0,IF(COUNTIF($BI$92:$BP$92,1)=0,TRUE,SUMPRODUCT(($BI$92:$BP$92=1)*($AS$92:$AZ$92&lt;&gt;"")*IF(((UPPER($AS$92:$AZ$92)="BLANK")+(UPPER($AS$92:$AZ$92)="(BLANK)")+(UPPER($AS$92:$AZ$92)="EMPTY")+(UPPER($AS$92:$AZ$92)="(EMPTY)"))&gt;0,IFERROR(('Final Calculation Sheet'!$AF$25)&amp;"","")="",ISNUMBER(SEARCH($AS$92:$AZ$92,IFERROR(('Final Calculation Sheet'!$AF$25)&amp;"","")))))&gt;0),IF(COUNTIF($BI$92:$BP$92,2)=0,TRUE,SUMPRODUCT(($BI$92:$BP$92=2)*($AS$92:$AZ$92&lt;&gt;"")*IF(((UPPER($AS$92:$AZ$92)="BLANK")+(UPPER($AS$92:$AZ$92)="(BLANK)")+(UPPER($AS$92:$AZ$92)="EMPTY")+(UPPER($AS$92:$AZ$92)="(EMPTY)"))&gt;0,IFERROR(('Final Calculation Sheet'!$AF$25)&amp;"","")="",ISNUMBER(SEARCH($AS$92:$AZ$92,IFERROR(('Final Calculation Sheet'!$AF$25)&amp;"","")))))&gt;0),IF(COUNTIF($BI$92:$BP$92,3)=0,TRUE,SUMPRODUCT(($BI$92:$BP$92=3)*($AS$92:$AZ$92&lt;&gt;"")*IF(((UPPER($AS$92:$AZ$92)="BLANK")+(UPPER($AS$92:$AZ$92)="(BLANK)")+(UPPER($AS$92:$AZ$92)="EMPTY")+(UPPER($AS$92:$AZ$92)="(EMPTY)"))&gt;0,IFERROR(('Final Calculation Sheet'!$AF$25)&amp;"","")="",ISNUMBER(SEARCH($AS$92:$AZ$92,IFERROR(('Final Calculation Sheet'!$AF$25)&amp;"","")))))&gt;0),IF(COUNTIF($BI$92:$BP$92,4)=0,TRUE,SUMPRODUCT(($BI$92:$BP$92=4)*($AS$92:$AZ$92&lt;&gt;"")*IF(((UPPER($AS$92:$AZ$92)="BLANK")+(UPPER($AS$92:$AZ$92)="(BLANK)")+(UPPER($AS$92:$AZ$92)="EMPTY")+(UPPER($AS$92:$AZ$92)="(EMPTY)"))&gt;0,IFERROR(('Final Calculation Sheet'!$AF$25)&amp;"","")="",ISNUMBER(SEARCH($AS$92:$AZ$92,IFERROR(('Final Calculation Sheet'!$AF$25)&amp;"","")))))&gt;0),IF(COUNTIF($BI$92:$BP$92,5)=0,TRUE,SUMPRODUCT(($BI$92:$BP$92=5)*($AS$92:$AZ$92&lt;&gt;"")*IF(((UPPER($AS$92:$AZ$92)="BLANK")+(UPPER($AS$92:$AZ$92)="(BLANK)")+(UPPER($AS$92:$AZ$92)="EMPTY")+(UPPER($AS$92:$AZ$92)="(EMPTY)"))&gt;0,IFERROR(('Final Calculation Sheet'!$AF$25)&amp;"","")="",ISNUMBER(SEARCH($AS$92:$AZ$92,IFERROR(('Final Calculation Sheet'!$AF$25)&amp;"","")))))&gt;0),IF(COUNTIF($BI$92:$BP$92,6)=0,TRUE,SUMPRODUCT(($BI$92:$BP$92=6)*($AS$92:$AZ$92&lt;&gt;"")*IF(((UPPER($AS$92:$AZ$92)="BLANK")+(UPPER($AS$92:$AZ$92)="(BLANK)")+(UPPER($AS$92:$AZ$92)="EMPTY")+(UPPER($AS$92:$AZ$92)="(EMPTY)"))&gt;0,IFERROR(('Final Calculation Sheet'!$AF$25)&amp;"","")="",ISNUMBER(SEARCH($AS$92:$AZ$92,IFERROR(('Final Calculation Sheet'!$AF$25)&amp;"","")))))&gt;0),IF(COUNTIF($BI$92:$BP$92,7)=0,TRUE,SUMPRODUCT(($BI$92:$BP$92=7)*($AS$92:$AZ$92&lt;&gt;"")*IF(((UPPER($AS$92:$AZ$92)="BLANK")+(UPPER($AS$92:$AZ$92)="(BLANK)")+(UPPER($AS$92:$AZ$92)="EMPTY")+(UPPER($AS$92:$AZ$92)="(EMPTY)"))&gt;0,IFERROR(('Final Calculation Sheet'!$AF$25)&amp;"","")="",ISNUMBER(SEARCH($AS$92:$AZ$92,IFERROR(('Final Calculation Sheet'!$AF$25)&amp;"","")))))&gt;0),IF(COUNTIF($BI$92:$BP$92,8)=0,TRUE,SUMPRODUCT(($BI$92:$BP$92=8)*($AS$92:$AZ$92&lt;&gt;"")*IF(((UPPER($AS$92:$AZ$92)="BLANK")+(UPPER($AS$92:$AZ$92)="(BLANK)")+(UPPER($AS$92:$AZ$92)="EMPTY")+(UPPER($AS$92:$AZ$92)="(EMPTY)"))&gt;0,IFERROR(('Final Calculation Sheet'!$AF$25)&amp;"","")="",ISNUMBER(SEARCH($AS$92:$AZ$92,IFERROR(('Final Calculation Sheet'!$AF$25)&amp;"","")))))&gt;0))))</f>
        <v>1</v>
      </c>
      <c r="CT26">
        <f>IF($AH$4="",1,--(AND(SUMPRODUCT(--($AS$93:$AZ$93&lt;&gt;""))&gt;0,IF(COUNTIF($BI$93:$BP$93,1)=0,TRUE,SUMPRODUCT(($BI$93:$BP$93=1)*($AS$93:$AZ$93&lt;&gt;"")*IF(((UPPER($AS$93:$AZ$93)="BLANK")+(UPPER($AS$93:$AZ$93)="(BLANK)")+(UPPER($AS$93:$AZ$93)="EMPTY")+(UPPER($AS$93:$AZ$93)="(EMPTY)"))&gt;0,IFERROR(('Final Calculation Sheet'!$AG$25)&amp;"","")="",ISNUMBER(SEARCH($AS$93:$AZ$93,IFERROR(('Final Calculation Sheet'!$AG$25)&amp;"","")))))&gt;0),IF(COUNTIF($BI$93:$BP$93,2)=0,TRUE,SUMPRODUCT(($BI$93:$BP$93=2)*($AS$93:$AZ$93&lt;&gt;"")*IF(((UPPER($AS$93:$AZ$93)="BLANK")+(UPPER($AS$93:$AZ$93)="(BLANK)")+(UPPER($AS$93:$AZ$93)="EMPTY")+(UPPER($AS$93:$AZ$93)="(EMPTY)"))&gt;0,IFERROR(('Final Calculation Sheet'!$AG$25)&amp;"","")="",ISNUMBER(SEARCH($AS$93:$AZ$93,IFERROR(('Final Calculation Sheet'!$AG$25)&amp;"","")))))&gt;0),IF(COUNTIF($BI$93:$BP$93,3)=0,TRUE,SUMPRODUCT(($BI$93:$BP$93=3)*($AS$93:$AZ$93&lt;&gt;"")*IF(((UPPER($AS$93:$AZ$93)="BLANK")+(UPPER($AS$93:$AZ$93)="(BLANK)")+(UPPER($AS$93:$AZ$93)="EMPTY")+(UPPER($AS$93:$AZ$93)="(EMPTY)"))&gt;0,IFERROR(('Final Calculation Sheet'!$AG$25)&amp;"","")="",ISNUMBER(SEARCH($AS$93:$AZ$93,IFERROR(('Final Calculation Sheet'!$AG$25)&amp;"","")))))&gt;0),IF(COUNTIF($BI$93:$BP$93,4)=0,TRUE,SUMPRODUCT(($BI$93:$BP$93=4)*($AS$93:$AZ$93&lt;&gt;"")*IF(((UPPER($AS$93:$AZ$93)="BLANK")+(UPPER($AS$93:$AZ$93)="(BLANK)")+(UPPER($AS$93:$AZ$93)="EMPTY")+(UPPER($AS$93:$AZ$93)="(EMPTY)"))&gt;0,IFERROR(('Final Calculation Sheet'!$AG$25)&amp;"","")="",ISNUMBER(SEARCH($AS$93:$AZ$93,IFERROR(('Final Calculation Sheet'!$AG$25)&amp;"","")))))&gt;0),IF(COUNTIF($BI$93:$BP$93,5)=0,TRUE,SUMPRODUCT(($BI$93:$BP$93=5)*($AS$93:$AZ$93&lt;&gt;"")*IF(((UPPER($AS$93:$AZ$93)="BLANK")+(UPPER($AS$93:$AZ$93)="(BLANK)")+(UPPER($AS$93:$AZ$93)="EMPTY")+(UPPER($AS$93:$AZ$93)="(EMPTY)"))&gt;0,IFERROR(('Final Calculation Sheet'!$AG$25)&amp;"","")="",ISNUMBER(SEARCH($AS$93:$AZ$93,IFERROR(('Final Calculation Sheet'!$AG$25)&amp;"","")))))&gt;0),IF(COUNTIF($BI$93:$BP$93,6)=0,TRUE,SUMPRODUCT(($BI$93:$BP$93=6)*($AS$93:$AZ$93&lt;&gt;"")*IF(((UPPER($AS$93:$AZ$93)="BLANK")+(UPPER($AS$93:$AZ$93)="(BLANK)")+(UPPER($AS$93:$AZ$93)="EMPTY")+(UPPER($AS$93:$AZ$93)="(EMPTY)"))&gt;0,IFERROR(('Final Calculation Sheet'!$AG$25)&amp;"","")="",ISNUMBER(SEARCH($AS$93:$AZ$93,IFERROR(('Final Calculation Sheet'!$AG$25)&amp;"","")))))&gt;0),IF(COUNTIF($BI$93:$BP$93,7)=0,TRUE,SUMPRODUCT(($BI$93:$BP$93=7)*($AS$93:$AZ$93&lt;&gt;"")*IF(((UPPER($AS$93:$AZ$93)="BLANK")+(UPPER($AS$93:$AZ$93)="(BLANK)")+(UPPER($AS$93:$AZ$93)="EMPTY")+(UPPER($AS$93:$AZ$93)="(EMPTY)"))&gt;0,IFERROR(('Final Calculation Sheet'!$AG$25)&amp;"","")="",ISNUMBER(SEARCH($AS$93:$AZ$93,IFERROR(('Final Calculation Sheet'!$AG$25)&amp;"","")))))&gt;0),IF(COUNTIF($BI$93:$BP$93,8)=0,TRUE,SUMPRODUCT(($BI$93:$BP$93=8)*($AS$93:$AZ$93&lt;&gt;"")*IF(((UPPER($AS$93:$AZ$93)="BLANK")+(UPPER($AS$93:$AZ$93)="(BLANK)")+(UPPER($AS$93:$AZ$93)="EMPTY")+(UPPER($AS$93:$AZ$93)="(EMPTY)"))&gt;0,IFERROR(('Final Calculation Sheet'!$AG$25)&amp;"","")="",ISNUMBER(SEARCH($AS$93:$AZ$93,IFERROR(('Final Calculation Sheet'!$AG$25)&amp;"","")))))&gt;0))))</f>
        <v>1</v>
      </c>
      <c r="CU26">
        <f>IF($AI$4="",1,--(AND(SUMPRODUCT(--($AS$94:$AZ$94&lt;&gt;""))&gt;0,IF(COUNTIF($BI$94:$BP$94,1)=0,TRUE,SUMPRODUCT(($BI$94:$BP$94=1)*($AS$94:$AZ$94&lt;&gt;"")*IF(((UPPER($AS$94:$AZ$94)="BLANK")+(UPPER($AS$94:$AZ$94)="(BLANK)")+(UPPER($AS$94:$AZ$94)="EMPTY")+(UPPER($AS$94:$AZ$94)="(EMPTY)"))&gt;0,IFERROR((IF('Final Calculation Sheet'!$AD$25&lt;=0,"SETTLED","OUTSTANDING"))&amp;"","")="",ISNUMBER(SEARCH($AS$94:$AZ$94,IFERROR((IF('Final Calculation Sheet'!$AD$25&lt;=0,"SETTLED","OUTSTANDING"))&amp;"","")))))&gt;0),IF(COUNTIF($BI$94:$BP$94,2)=0,TRUE,SUMPRODUCT(($BI$94:$BP$94=2)*($AS$94:$AZ$94&lt;&gt;"")*IF(((UPPER($AS$94:$AZ$94)="BLANK")+(UPPER($AS$94:$AZ$94)="(BLANK)")+(UPPER($AS$94:$AZ$94)="EMPTY")+(UPPER($AS$94:$AZ$94)="(EMPTY)"))&gt;0,IFERROR((IF('Final Calculation Sheet'!$AD$25&lt;=0,"SETTLED","OUTSTANDING"))&amp;"","")="",ISNUMBER(SEARCH($AS$94:$AZ$94,IFERROR((IF('Final Calculation Sheet'!$AD$25&lt;=0,"SETTLED","OUTSTANDING"))&amp;"","")))))&gt;0),IF(COUNTIF($BI$94:$BP$94,3)=0,TRUE,SUMPRODUCT(($BI$94:$BP$94=3)*($AS$94:$AZ$94&lt;&gt;"")*IF(((UPPER($AS$94:$AZ$94)="BLANK")+(UPPER($AS$94:$AZ$94)="(BLANK)")+(UPPER($AS$94:$AZ$94)="EMPTY")+(UPPER($AS$94:$AZ$94)="(EMPTY)"))&gt;0,IFERROR((IF('Final Calculation Sheet'!$AD$25&lt;=0,"SETTLED","OUTSTANDING"))&amp;"","")="",ISNUMBER(SEARCH($AS$94:$AZ$94,IFERROR((IF('Final Calculation Sheet'!$AD$25&lt;=0,"SETTLED","OUTSTANDING"))&amp;"","")))))&gt;0),IF(COUNTIF($BI$94:$BP$94,4)=0,TRUE,SUMPRODUCT(($BI$94:$BP$94=4)*($AS$94:$AZ$94&lt;&gt;"")*IF(((UPPER($AS$94:$AZ$94)="BLANK")+(UPPER($AS$94:$AZ$94)="(BLANK)")+(UPPER($AS$94:$AZ$94)="EMPTY")+(UPPER($AS$94:$AZ$94)="(EMPTY)"))&gt;0,IFERROR((IF('Final Calculation Sheet'!$AD$25&lt;=0,"SETTLED","OUTSTANDING"))&amp;"","")="",ISNUMBER(SEARCH($AS$94:$AZ$94,IFERROR((IF('Final Calculation Sheet'!$AD$25&lt;=0,"SETTLED","OUTSTANDING"))&amp;"","")))))&gt;0),IF(COUNTIF($BI$94:$BP$94,5)=0,TRUE,SUMPRODUCT(($BI$94:$BP$94=5)*($AS$94:$AZ$94&lt;&gt;"")*IF(((UPPER($AS$94:$AZ$94)="BLANK")+(UPPER($AS$94:$AZ$94)="(BLANK)")+(UPPER($AS$94:$AZ$94)="EMPTY")+(UPPER($AS$94:$AZ$94)="(EMPTY)"))&gt;0,IFERROR((IF('Final Calculation Sheet'!$AD$25&lt;=0,"SETTLED","OUTSTANDING"))&amp;"","")="",ISNUMBER(SEARCH($AS$94:$AZ$94,IFERROR((IF('Final Calculation Sheet'!$AD$25&lt;=0,"SETTLED","OUTSTANDING"))&amp;"","")))))&gt;0),IF(COUNTIF($BI$94:$BP$94,6)=0,TRUE,SUMPRODUCT(($BI$94:$BP$94=6)*($AS$94:$AZ$94&lt;&gt;"")*IF(((UPPER($AS$94:$AZ$94)="BLANK")+(UPPER($AS$94:$AZ$94)="(BLANK)")+(UPPER($AS$94:$AZ$94)="EMPTY")+(UPPER($AS$94:$AZ$94)="(EMPTY)"))&gt;0,IFERROR((IF('Final Calculation Sheet'!$AD$25&lt;=0,"SETTLED","OUTSTANDING"))&amp;"","")="",ISNUMBER(SEARCH($AS$94:$AZ$94,IFERROR((IF('Final Calculation Sheet'!$AD$25&lt;=0,"SETTLED","OUTSTANDING"))&amp;"","")))))&gt;0),IF(COUNTIF($BI$94:$BP$94,7)=0,TRUE,SUMPRODUCT(($BI$94:$BP$94=7)*($AS$94:$AZ$94&lt;&gt;"")*IF(((UPPER($AS$94:$AZ$94)="BLANK")+(UPPER($AS$94:$AZ$94)="(BLANK)")+(UPPER($AS$94:$AZ$94)="EMPTY")+(UPPER($AS$94:$AZ$94)="(EMPTY)"))&gt;0,IFERROR((IF('Final Calculation Sheet'!$AD$25&lt;=0,"SETTLED","OUTSTANDING"))&amp;"","")="",ISNUMBER(SEARCH($AS$94:$AZ$94,IFERROR((IF('Final Calculation Sheet'!$AD$25&lt;=0,"SETTLED","OUTSTANDING"))&amp;"","")))))&gt;0),IF(COUNTIF($BI$94:$BP$94,8)=0,TRUE,SUMPRODUCT(($BI$94:$BP$94=8)*($AS$94:$AZ$94&lt;&gt;"")*IF(((UPPER($AS$94:$AZ$94)="BLANK")+(UPPER($AS$94:$AZ$94)="(BLANK)")+(UPPER($AS$94:$AZ$94)="EMPTY")+(UPPER($AS$94:$AZ$94)="(EMPTY)"))&gt;0,IFERROR((IF('Final Calculation Sheet'!$AD$25&lt;=0,"SETTLED","OUTSTANDING"))&amp;"","")="",ISNUMBER(SEARCH($AS$94:$AZ$94,IFERROR((IF('Final Calculation Sheet'!$AD$25&lt;=0,"SETTLED","OUTSTANDING"))&amp;"","")))))&gt;0))))</f>
        <v>1</v>
      </c>
    </row>
    <row r="27" spans="1:99" ht="15" customHeight="1" x14ac:dyDescent="0.25">
      <c r="A27" s="67">
        <f>IF($BJ26&gt;0,INDEX($BA$5:$BA$41,MATCH(26,$BB$5:$BB$41,0)),IF(OR($BI26=1,$BL26=1,$BH26&gt;0),"∑",""))</f>
        <v>10</v>
      </c>
      <c r="B27" s="68">
        <f>IF($BJ26&gt;0,IF(INDEX('Final Calculation Sheet'!$F$4:$F$40,$BJ26-3)="","",INDEX('Final Calculation Sheet'!$F$4:$F$40,$BJ26-3)),"")</f>
        <v>2008</v>
      </c>
      <c r="C27" s="68" t="str">
        <f>IF($BJ26&gt;0,IF(INDEX('Final Calculation Sheet'!$G$4:$G$40,$BJ26-3)="","",INDEX('Final Calculation Sheet'!$G$4:$G$40,$BJ26-3)),IF(OR($BI26=1,$BL26=1,$BH26&gt;0),IF($BI26=1,37,IF($BL26=1,37-INDEX($BD$4:$BD$13,10),INDEX($BD$4:$BD$13,$BH26)))&amp;" lot(s)",""))</f>
        <v>HIND TRADERS</v>
      </c>
      <c r="D27" s="69" t="str">
        <f>IF($BJ26&gt;0,IF(INDEX('Final Calculation Sheet'!$B$4:$B$40,$BJ26-3)="","",INDEX('Final Calculation Sheet'!$B$4:$B$40,$BJ26-3)),IF(OR($BI26=1,$BL26=1,$BH26&gt;0),IF($BI26=1,"GRAND TOTAL  —  matching + remaining",IF($BL26=1,"TOTAL MATCHED  —  every group together",IF($BH26=10,"REMAINING  —  did not match the search",IF($BH26=9,IF(COUNTIF($A$4:$AI$4,"&lt;&gt;")&gt;0,"FILTERED LOTS  —  column fields","ALL LOTS  —  nothing typed in the box"),"GROUP "&amp;$BH26&amp;" TOTAL  —  lots matching  "&amp;INDEX($AR$6:$AY$6,$BH26))))),""))</f>
        <v>Scrap of empty oil Druam</v>
      </c>
      <c r="E27" s="69">
        <f>IF($BJ26&gt;0,IF(INDEX('Final Calculation Sheet'!$D$4:$D$40,$BJ26-3)="","",INDEX('Final Calculation Sheet'!$D$4:$D$40,$BJ26-3)),IF(OR($BI26=1,$BL26=1,$BH26&gt;0),"–",""))</f>
        <v>21977</v>
      </c>
      <c r="F27" s="69">
        <f>IF($BJ26&gt;0,IF(INDEX('Final Calculation Sheet'!$A$4:$A$40,$BJ26-3)="","",INDEX('Final Calculation Sheet'!$A$4:$A$40,$BJ26-3)),IF(OR($BI26=1,$BL26=1,$BH26&gt;0),IF($BI26=1,SUM('Final Calculation Sheet'!$A$4:$A$40),IF($BL26=1,SUM('Final Calculation Sheet'!$A$4:$A$40)-SUMIFS('Final Calculation Sheet'!$A$4:$A$40,$AZ$5:$AZ$41,10),SUMIFS('Final Calculation Sheet'!$A$4:$A$40,$AZ$5:$AZ$41,$BH26))),""))</f>
        <v>250</v>
      </c>
      <c r="G27" s="69" t="str">
        <f>IF($BJ26&gt;0,IF(INDEX('Final Calculation Sheet'!$E$4:$E$40,$BJ26-3)="","",INDEX('Final Calculation Sheet'!$E$4:$E$40,$BJ26-3)),IF(OR($BI26=1,$BL26=1,$BH26&gt;0),"–",""))</f>
        <v>NO</v>
      </c>
      <c r="H27" s="70">
        <f>IF($BJ26&gt;0,IF(INDEX('Final Calculation Sheet'!$C$4:$C$40,$BJ26-3)="","",INDEX('Final Calculation Sheet'!$C$4:$C$40,$BJ26-3)),IF(OR($BI26=1,$BL26=1,$BH26&gt;0),"–",""))</f>
        <v>543</v>
      </c>
      <c r="I27" s="70">
        <f>IF($BJ26&gt;0,IF(INDEX('Final Calculation Sheet'!$H$4:$H$40,$BJ26-3)="","",INDEX('Final Calculation Sheet'!$H$4:$H$40,$BJ26-3)),IF(OR($BI26=1,$BL26=1,$BH26&gt;0),IF($BI26=1,SUM('Final Calculation Sheet'!$H$4:$H$40),IF($BL26=1,SUM('Final Calculation Sheet'!$H$4:$H$40)-SUMIFS('Final Calculation Sheet'!$H$4:$H$40,$AZ$5:$AZ$41,10),SUMIFS('Final Calculation Sheet'!$H$4:$H$40,$AZ$5:$AZ$41,$BH26))),""))</f>
        <v>135750</v>
      </c>
      <c r="J27" s="70">
        <f>IF($BJ26&gt;0,IF(INDEX('Final Calculation Sheet'!$I$4:$I$40,$BJ26-3)="","",INDEX('Final Calculation Sheet'!$I$4:$I$40,$BJ26-3)),IF(OR($BI26=1,$BL26=1,$BH26&gt;0),IF($BI26=1,SUM('Final Calculation Sheet'!$I$4:$I$40),IF($BL26=1,SUM('Final Calculation Sheet'!$I$4:$I$40)-SUMIFS('Final Calculation Sheet'!$I$4:$I$40,$AZ$5:$AZ$41,10),SUMIFS('Final Calculation Sheet'!$I$4:$I$40,$AZ$5:$AZ$41,$BH26))),""))</f>
        <v>24435</v>
      </c>
      <c r="K27" s="70">
        <f>IF($BJ26&gt;0,IF(INDEX('Final Calculation Sheet'!$J$4:$J$40,$BJ26-3)="","",INDEX('Final Calculation Sheet'!$J$4:$J$40,$BJ26-3)),IF(OR($BI26=1,$BL26=1,$BH26&gt;0),IF($BI26=1,SUM('Final Calculation Sheet'!$J$4:$J$40),IF($BL26=1,SUM('Final Calculation Sheet'!$J$4:$J$40)-SUMIFS('Final Calculation Sheet'!$J$4:$J$40,$AZ$5:$AZ$41,10),SUMIFS('Final Calculation Sheet'!$J$4:$J$40,$AZ$5:$AZ$41,$BH26))),""))</f>
        <v>160185</v>
      </c>
      <c r="L27" s="70">
        <f>IF($BJ26&gt;0,IF(INDEX('Final Calculation Sheet'!$K$4:$K$40,$BJ26-3)="","",INDEX('Final Calculation Sheet'!$K$4:$K$40,$BJ26-3)),IF(OR($BI26=1,$BL26=1,$BH26&gt;0),IF($BI26=1,SUM('Final Calculation Sheet'!$K$4:$K$40),IF($BL26=1,SUM('Final Calculation Sheet'!$K$4:$K$40)-SUMIFS('Final Calculation Sheet'!$K$4:$K$40,$AZ$5:$AZ$41,10),SUMIFS('Final Calculation Sheet'!$K$4:$K$40,$AZ$5:$AZ$41,$BH26))),""))</f>
        <v>3204</v>
      </c>
      <c r="M27" s="70">
        <f>IF($BJ26&gt;0,IF(INDEX('Final Calculation Sheet'!$L$4:$L$40,$BJ26-3)="","",INDEX('Final Calculation Sheet'!$L$4:$L$40,$BJ26-3)),IF(OR($BI26=1,$BL26=1,$BH26&gt;0),IF($BI26=1,SUM('Final Calculation Sheet'!$L$4:$L$40),IF($BL26=1,SUM('Final Calculation Sheet'!$L$4:$L$40)-SUMIFS('Final Calculation Sheet'!$L$4:$L$40,$AZ$5:$AZ$41,10),SUMIFS('Final Calculation Sheet'!$L$4:$L$40,$AZ$5:$AZ$41,$BH26))),""))</f>
        <v>135.75</v>
      </c>
      <c r="N27" s="70">
        <f>IF($BJ26&gt;0,IF(INDEX('Final Calculation Sheet'!$M$4:$M$40,$BJ26-3)="","",INDEX('Final Calculation Sheet'!$M$4:$M$40,$BJ26-3)),IF(OR($BI26=1,$BL26=1,$BH26&gt;0),IF($BI26=1,SUM('Final Calculation Sheet'!$M$4:$M$40),IF($BL26=1,SUM('Final Calculation Sheet'!$M$4:$M$40)-SUMIFS('Final Calculation Sheet'!$M$4:$M$40,$AZ$5:$AZ$41,10),SUMIFS('Final Calculation Sheet'!$M$4:$M$40,$AZ$5:$AZ$41,$BH26))),""))</f>
        <v>3604.1624999999999</v>
      </c>
      <c r="O27" s="71">
        <f>IF($BJ26&gt;0,IF(INDEX('Final Calculation Sheet'!$N$4:$N$40,$BJ26-3)="","",INDEX('Final Calculation Sheet'!$N$4:$N$40,$BJ26-3)),IF(OR($BI26=1,$BL26=1,$BH26&gt;0),IF($BI26=1,SUM('Final Calculation Sheet'!$N$4:$N$40),IF($BL26=1,SUM('Final Calculation Sheet'!$N$4:$N$40)-SUMIFS('Final Calculation Sheet'!$N$4:$N$40,$AZ$5:$AZ$41,10),SUMIFS('Final Calculation Sheet'!$N$4:$N$40,$AZ$5:$AZ$41,$BH26))),""))</f>
        <v>61.087499999999999</v>
      </c>
      <c r="P27" s="70">
        <f>IF($BJ26&gt;0,IF(INDEX('Final Calculation Sheet'!$O$4:$O$40,$BJ26-3)="","",INDEX('Final Calculation Sheet'!$O$4:$O$40,$BJ26-3)),IF(OR($BI26=1,$BL26=1,$BH26&gt;0),IF($BI26=1,SUM('Final Calculation Sheet'!$O$4:$O$40),IF($BL26=1,SUM('Final Calculation Sheet'!$O$4:$O$40)-SUMIFS('Final Calculation Sheet'!$O$4:$O$40,$AZ$5:$AZ$41,10),SUMIFS('Final Calculation Sheet'!$O$4:$O$40,$AZ$5:$AZ$41,$BH26))),""))</f>
        <v>3543.0749999999998</v>
      </c>
      <c r="Q27" s="70">
        <f>IF($BJ26&gt;0,IF(INDEX('Final Calculation Sheet'!$P$4:$P$40,$BJ26-3)="","",INDEX('Final Calculation Sheet'!$P$4:$P$40,$BJ26-3)),IF(OR($BI26=1,$BL26=1,$BH26&gt;0),IF($BI26=1,SUM('Final Calculation Sheet'!$P$4:$P$40),IF($BL26=1,SUM('Final Calculation Sheet'!$P$4:$P$40)-SUMIFS('Final Calculation Sheet'!$P$4:$P$40,$AZ$5:$AZ$41,10),SUMIFS('Final Calculation Sheet'!$P$4:$P$40,$AZ$5:$AZ$41,$BH26))),""))</f>
        <v>3679</v>
      </c>
      <c r="R27" s="72">
        <f>IF($BJ26&gt;0,IF(INDEX('Final Calculation Sheet'!$Q$4:$Q$40,$BJ26-3)="","",INDEX('Final Calculation Sheet'!$Q$4:$Q$40,$BJ26-3)),IF(OR($BI26=1,$BL26=1,$BH26&gt;0),"–",""))</f>
        <v>0</v>
      </c>
      <c r="S27" s="70">
        <f>IF($BJ26&gt;0,IF(INDEX('Final Calculation Sheet'!$R$4:$R$40,$BJ26-3)="","",INDEX('Final Calculation Sheet'!$R$4:$R$40,$BJ26-3)),IF(OR($BI26=1,$BL26=1,$BH26&gt;0),IF($BI26=1,SUM('Final Calculation Sheet'!$R$4:$R$40),IF($BL26=1,SUM('Final Calculation Sheet'!$R$4:$R$40)-SUMIFS('Final Calculation Sheet'!$R$4:$R$40,$AZ$5:$AZ$41,10),SUMIFS('Final Calculation Sheet'!$R$4:$R$40,$AZ$5:$AZ$41,$BH26))),""))</f>
        <v>0</v>
      </c>
      <c r="T27" s="70">
        <f>IF($BJ26&gt;0,IF(INDEX('Final Calculation Sheet'!$S$4:$S$40,$BJ26-3)="","",INDEX('Final Calculation Sheet'!$S$4:$S$40,$BJ26-3)),IF(OR($BI26=1,$BL26=1,$BH26&gt;0),IF($BI26=1,SUM('Final Calculation Sheet'!$S$4:$S$40),IF($BL26=1,SUM('Final Calculation Sheet'!$S$4:$S$40)-SUMIFS('Final Calculation Sheet'!$S$4:$S$40,$AZ$5:$AZ$41,10),SUMIFS('Final Calculation Sheet'!$S$4:$S$40,$AZ$5:$AZ$41,$BH26))),""))</f>
        <v>159710</v>
      </c>
      <c r="U27" s="70">
        <f>IF($BJ26&gt;0,IF(INDEX('Final Calculation Sheet'!$T$4:$T$40,$BJ26-3)="","",INDEX('Final Calculation Sheet'!$T$4:$T$40,$BJ26-3)),IF(OR($BI26=1,$BL26=1,$BH26&gt;0),IF($BI26=1,SUM('Final Calculation Sheet'!$T$4:$T$40),IF($BL26=1,SUM('Final Calculation Sheet'!$T$4:$T$40)-SUMIFS('Final Calculation Sheet'!$T$4:$T$40,$AZ$5:$AZ$41,10),SUMIFS('Final Calculation Sheet'!$T$4:$T$40,$AZ$5:$AZ$41,$BH26))),""))</f>
        <v>33938</v>
      </c>
      <c r="V27" s="73">
        <f>IF($BJ26&gt;0,IF(INDEX('Final Calculation Sheet'!$U$4:$U$40,$BJ26-3)="","",INDEX('Final Calculation Sheet'!$U$4:$U$40,$BJ26-3)),IF(OR($BI26=1,$BL26=1,$BH26&gt;0),IF($BI26=1,SUM('Final Calculation Sheet'!$U$4:$U$40),IF($BL26=1,SUM('Final Calculation Sheet'!$U$4:$U$40)-SUMIFS('Final Calculation Sheet'!$U$4:$U$40,$AZ$5:$AZ$41,10),SUMIFS('Final Calculation Sheet'!$U$4:$U$40,$AZ$5:$AZ$41,$BH26))),""))</f>
        <v>33938</v>
      </c>
      <c r="W27" s="70" t="str">
        <f>IF($BJ26&gt;0,IF(INDEX('Final Calculation Sheet'!$V$4:$V$40,$BJ26-3)="","",INDEX('Final Calculation Sheet'!$V$4:$V$40,$BJ26-3)),IF(OR($BI26=1,$BL26=1,$BH26&gt;0),"–",""))</f>
        <v>14.08.2026</v>
      </c>
      <c r="X27" s="70">
        <f>IF($BJ26&gt;0,IF(INDEX('Final Calculation Sheet'!$W$4:$W$40,$BJ26-3)="","",INDEX('Final Calculation Sheet'!$W$4:$W$40,$BJ26-3)),IF(OR($BI26=1,$BL26=1,$BH26&gt;0),IF($BI26=1,SUM('Final Calculation Sheet'!$W$4:$W$40),IF($BL26=1,SUM('Final Calculation Sheet'!$W$4:$W$40)-SUMIFS('Final Calculation Sheet'!$W$4:$W$40,$AZ$5:$AZ$41,10),SUMIFS('Final Calculation Sheet'!$W$4:$W$40,$AZ$5:$AZ$41,$BH26))),""))</f>
        <v>125772</v>
      </c>
      <c r="Y27" s="70">
        <f>IF($BJ26&gt;0,IF(INDEX('Final Calculation Sheet'!$X$4:$X$40,$BJ26-3)="","",INDEX('Final Calculation Sheet'!$X$4:$X$40,$BJ26-3)),IF(OR($BI26=1,$BL26=1,$BH26&gt;0),IF($BI26=1,SUM('Final Calculation Sheet'!$X$4:$X$40),IF($BL26=1,SUM('Final Calculation Sheet'!$X$4:$X$40)-SUMIFS('Final Calculation Sheet'!$X$4:$X$40,$AZ$5:$AZ$41,10),SUMIFS('Final Calculation Sheet'!$X$4:$X$40,$AZ$5:$AZ$41,$BH26))),""))</f>
        <v>125772</v>
      </c>
      <c r="Z27" s="70" t="str">
        <f>IF($BJ26&gt;0,IF(INDEX('Final Calculation Sheet'!$Y$4:$Y$40,$BJ26-3)="","",INDEX('Final Calculation Sheet'!$Y$4:$Y$40,$BJ26-3)),IF(OR($BI26=1,$BL26=1,$BH26&gt;0),"–",""))</f>
        <v>18.08.2026</v>
      </c>
      <c r="AA27" s="70">
        <f ca="1">IF($BJ26&gt;0,IF(INDEX('Final Calculation Sheet'!$Z$4:$Z$40,$BJ26-3)="","",INDEX('Final Calculation Sheet'!$Z$4:$Z$40,$BJ26-3)),IF(OR($BI26=1,$BL26=1,$BH26&gt;0),IF($BI26=1,SUM('Final Calculation Sheet'!$Z$4:$Z$40),IF($BL26=1,SUM('Final Calculation Sheet'!$Z$4:$Z$40)-SUMIFS('Final Calculation Sheet'!$Z$4:$Z$40,$AZ$5:$AZ$41,10),SUMIFS('Final Calculation Sheet'!$Z$4:$Z$40,$AZ$5:$AZ$41,$BH26))),""))</f>
        <v>0</v>
      </c>
      <c r="AB27" s="70" t="str">
        <f>IF($BJ26&gt;0,IF(INDEX('Final Calculation Sheet'!$AA$4:$AA$40,$BJ26-3)="","",INDEX('Final Calculation Sheet'!$AA$4:$AA$40,$BJ26-3)),IF(OR($BI26=1,$BL26=1,$BH26&gt;0),IF($BI26=1,SUM('Final Calculation Sheet'!$AA$4:$AA$40),IF($BL26=1,SUM('Final Calculation Sheet'!$AA$4:$AA$40)-SUMIFS('Final Calculation Sheet'!$AA$4:$AA$40,$AZ$5:$AZ$41,10),SUMIFS('Final Calculation Sheet'!$AA$4:$AA$40,$AZ$5:$AZ$41,$BH26))),""))</f>
        <v/>
      </c>
      <c r="AC27" s="70" t="str">
        <f>IF($BJ26&gt;0,IF(INDEX('Final Calculation Sheet'!$AB$4:$AB$40,$BJ26-3)="","",INDEX('Final Calculation Sheet'!$AB$4:$AB$40,$BJ26-3)),IF(OR($BI26=1,$BL26=1,$BH26&gt;0),"–",""))</f>
        <v/>
      </c>
      <c r="AD27" s="70">
        <f>IF($BJ26&gt;0,IF(INDEX('Final Calculation Sheet'!$AC$4:$AC$40,$BJ26-3)="","",INDEX('Final Calculation Sheet'!$AC$4:$AC$40,$BJ26-3)),IF(OR($BI26=1,$BL26=1,$BH26&gt;0),IF($BI26=1,SUM('Final Calculation Sheet'!$AC$4:$AC$40),IF($BL26=1,SUM('Final Calculation Sheet'!$AC$4:$AC$40)-SUMIFS('Final Calculation Sheet'!$AC$4:$AC$40,$AZ$5:$AZ$41,10),SUMIFS('Final Calculation Sheet'!$AC$4:$AC$40,$AZ$5:$AZ$41,$BH26))),""))</f>
        <v>159710</v>
      </c>
      <c r="AE27" s="70">
        <f>IF($BJ26&gt;0,IF(INDEX('Final Calculation Sheet'!$AD$4:$AD$40,$BJ26-3)="","",INDEX('Final Calculation Sheet'!$AD$4:$AD$40,$BJ26-3)),IF(OR($BI26=1,$BL26=1,$BH26&gt;0),IF($BI26=1,SUM('Final Calculation Sheet'!$AD$4:$AD$40),IF($BL26=1,SUM('Final Calculation Sheet'!$AD$4:$AD$40)-SUMIFS('Final Calculation Sheet'!$AD$4:$AD$40,$AZ$5:$AZ$41,10),SUMIFS('Final Calculation Sheet'!$AD$4:$AD$40,$AZ$5:$AZ$41,$BH26))),""))</f>
        <v>0</v>
      </c>
      <c r="AF27" s="70" t="str">
        <f>IF($BJ26&gt;0,IF(INDEX('Final Calculation Sheet'!$AE$4:$AE$40,$BJ26-3)="","",INDEX('Final Calculation Sheet'!$AE$4:$AE$40,$BJ26-3)),IF(OR($BI26=1,$BL26=1,$BH26&gt;0),"–",""))</f>
        <v>DR2640100026</v>
      </c>
      <c r="AG27" s="74">
        <f>IF($BJ26&gt;0,IF(INDEX('Final Calculation Sheet'!$AF$4:$AF$40,$BJ26-3)="","",INDEX('Final Calculation Sheet'!$AF$4:$AF$40,$BJ26-3)),IF(OR($BI26=1,$BL26=1,$BH26&gt;0),"–",""))</f>
        <v>1800003247</v>
      </c>
      <c r="AH27" s="70" t="str">
        <f>IF($BJ26&gt;0,IF(INDEX('Final Calculation Sheet'!$AG$4:$AG$40,$BJ26-3)="","",INDEX('Final Calculation Sheet'!$AG$4:$AG$40,$BJ26-3)),IF(OR($BI26=1,$BL26=1,$BH26&gt;0),"–",""))</f>
        <v>20.08.2026</v>
      </c>
      <c r="AI27" s="75" t="str">
        <f>IF($BJ26&gt;0,IF(INDEX('Final Calculation Sheet'!$AD$4:$AD$40,$BJ26-3)="","",IF(INDEX('Final Calculation Sheet'!$AD$4:$AD$40,$BJ26-3)&lt;=0,"SETTLED","OUTSTANDING")),IF(OR($BI26=1,$BL26=1,$BH26&gt;0),IF(IF($BI26=1,SUM('Final Calculation Sheet'!$AD$4:$AD$40),IF($BL26=1,SUM('Final Calculation Sheet'!$AD$4:$AD$40)-SUMIFS('Final Calculation Sheet'!$AD$4:$AD$40,$AZ$5:$AZ$41,10),SUMIFS('Final Calculation Sheet'!$AD$4:$AD$40,$AZ$5:$AZ$41,$BH26)))&lt;=0,"ALL SETTLED","OUTSTANDING"),""))</f>
        <v>SETTLED</v>
      </c>
      <c r="AK27" t="str">
        <f>IF($F$3="Lot No.",'Final Calculation Sheet'!$F$26,IF($F$3="Buyer",'Final Calculation Sheet'!$G$26,IF($F$3="Lot Name",'Final Calculation Sheet'!$B$26,IF($F$3="Bid Sheet",'Final Calculation Sheet'!$D$26,IF($F$3="Unit",'Final Calculation Sheet'!$E$26,'Final Calculation Sheet'!$F$26&amp;" "&amp;'Final Calculation Sheet'!$G$26&amp;" "&amp;'Final Calculation Sheet'!$B$26)))))</f>
        <v>2035 NATIONAL ENTERPRISES Scrap of 132 KV Wave Trap</v>
      </c>
      <c r="AM27">
        <f t="shared" si="1"/>
        <v>0</v>
      </c>
      <c r="AZ27">
        <f t="shared" si="2"/>
        <v>10</v>
      </c>
      <c r="BA27">
        <f t="shared" si="3"/>
        <v>17</v>
      </c>
      <c r="BB27">
        <f t="shared" si="4"/>
        <v>33</v>
      </c>
      <c r="BC27">
        <v>26</v>
      </c>
      <c r="BH27">
        <f>IFERROR(MATCH(27,$BF$4:$BF$13,0),0)</f>
        <v>0</v>
      </c>
      <c r="BI27">
        <f>IF(27=$BG$5,1,0)</f>
        <v>0</v>
      </c>
      <c r="BJ27">
        <f>IF(OR($BH27&gt;0,$BI27=1,$BL27=1),0,IFERROR(INDEX($BC$5:$BC$41,MATCH(27,$BB$5:$BB$41,0)),0))</f>
        <v>18</v>
      </c>
      <c r="BK27">
        <f>IF($BJ27&gt;0,IF(INDEX($AZ$5:$AZ$41,MATCH(27,$BB$5:$BB$41,0))=10,1,0),IF($BH27=10,1,0))</f>
        <v>1</v>
      </c>
      <c r="BL27">
        <f>IF(27=$BG$4,1,0)</f>
        <v>0</v>
      </c>
      <c r="BM27">
        <f>IF($A$4="",1,--(AND(SUMPRODUCT(--($AS$60:$AZ$60&lt;&gt;""))&gt;0,IF(COUNTIF($BI$60:$BP$60,1)=0,TRUE,SUMPRODUCT(($BI$60:$BP$60=1)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$60,2)=0,TRUE,SUMPRODUCT(($BI$60:$BP$60=2)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$60,3)=0,TRUE,SUMPRODUCT(($BI$60:$BP$60=3)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$60,4)=0,TRUE,SUMPRODUCT(($BI$60:$BP$60=4)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$60,5)=0,TRUE,SUMPRODUCT(($BI$60:$BP$60=5)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$60,6)=0,TRUE,SUMPRODUCT(($BI$60:$BP$60=6)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$60,7)=0,TRUE,SUMPRODUCT(($BI$60:$BP$60=7)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$60,8)=0,TRUE,SUMPRODUCT(($BI$60:$BP$60=8)*($AS$60:$AZ$60&lt;&gt;"")*IF(((UPPER($AS$60:$AZ$60)="BLANK")+(UPPER($AS$60:$AZ$60)="(BLANK)")+(UPPER($AS$60:$AZ$60)="EMPTY")+(UPPER($AS$60:$AZ$60)="(EMPTY)"))&gt;0,IFERROR((ROW()-4)&amp;"","")="",ISNUMBER(SEARCH($AS$60:$AZ$60,IFERROR((ROW()-4)&amp;"","")))))&gt;0))))</f>
        <v>1</v>
      </c>
      <c r="BN27">
        <f>IF($B$4="",1,--(AND(SUMPRODUCT(--($AS$61:$AZ$61&lt;&gt;""))&gt;0,IF(COUNTIF($BI$61:$BP$61,1)=0,TRUE,SUMPRODUCT(($BI$61:$BP$61=1)*($AS$61:$AZ$61&lt;&gt;"")*IF(((UPPER($AS$61:$AZ$61)="BLANK")+(UPPER($AS$61:$AZ$61)="(BLANK)")+(UPPER($AS$61:$AZ$61)="EMPTY")+(UPPER($AS$61:$AZ$61)="(EMPTY)"))&gt;0,IFERROR(('Final Calculation Sheet'!$F$26)&amp;"","")="",ISNUMBER(SEARCH($AS$61:$AZ$61,IFERROR(('Final Calculation Sheet'!$F$26)&amp;"","")))))&gt;0),IF(COUNTIF($BI$61:$BP$61,2)=0,TRUE,SUMPRODUCT(($BI$61:$BP$61=2)*($AS$61:$AZ$61&lt;&gt;"")*IF(((UPPER($AS$61:$AZ$61)="BLANK")+(UPPER($AS$61:$AZ$61)="(BLANK)")+(UPPER($AS$61:$AZ$61)="EMPTY")+(UPPER($AS$61:$AZ$61)="(EMPTY)"))&gt;0,IFERROR(('Final Calculation Sheet'!$F$26)&amp;"","")="",ISNUMBER(SEARCH($AS$61:$AZ$61,IFERROR(('Final Calculation Sheet'!$F$26)&amp;"","")))))&gt;0),IF(COUNTIF($BI$61:$BP$61,3)=0,TRUE,SUMPRODUCT(($BI$61:$BP$61=3)*($AS$61:$AZ$61&lt;&gt;"")*IF(((UPPER($AS$61:$AZ$61)="BLANK")+(UPPER($AS$61:$AZ$61)="(BLANK)")+(UPPER($AS$61:$AZ$61)="EMPTY")+(UPPER($AS$61:$AZ$61)="(EMPTY)"))&gt;0,IFERROR(('Final Calculation Sheet'!$F$26)&amp;"","")="",ISNUMBER(SEARCH($AS$61:$AZ$61,IFERROR(('Final Calculation Sheet'!$F$26)&amp;"","")))))&gt;0),IF(COUNTIF($BI$61:$BP$61,4)=0,TRUE,SUMPRODUCT(($BI$61:$BP$61=4)*($AS$61:$AZ$61&lt;&gt;"")*IF(((UPPER($AS$61:$AZ$61)="BLANK")+(UPPER($AS$61:$AZ$61)="(BLANK)")+(UPPER($AS$61:$AZ$61)="EMPTY")+(UPPER($AS$61:$AZ$61)="(EMPTY)"))&gt;0,IFERROR(('Final Calculation Sheet'!$F$26)&amp;"","")="",ISNUMBER(SEARCH($AS$61:$AZ$61,IFERROR(('Final Calculation Sheet'!$F$26)&amp;"","")))))&gt;0),IF(COUNTIF($BI$61:$BP$61,5)=0,TRUE,SUMPRODUCT(($BI$61:$BP$61=5)*($AS$61:$AZ$61&lt;&gt;"")*IF(((UPPER($AS$61:$AZ$61)="BLANK")+(UPPER($AS$61:$AZ$61)="(BLANK)")+(UPPER($AS$61:$AZ$61)="EMPTY")+(UPPER($AS$61:$AZ$61)="(EMPTY)"))&gt;0,IFERROR(('Final Calculation Sheet'!$F$26)&amp;"","")="",ISNUMBER(SEARCH($AS$61:$AZ$61,IFERROR(('Final Calculation Sheet'!$F$26)&amp;"","")))))&gt;0),IF(COUNTIF($BI$61:$BP$61,6)=0,TRUE,SUMPRODUCT(($BI$61:$BP$61=6)*($AS$61:$AZ$61&lt;&gt;"")*IF(((UPPER($AS$61:$AZ$61)="BLANK")+(UPPER($AS$61:$AZ$61)="(BLANK)")+(UPPER($AS$61:$AZ$61)="EMPTY")+(UPPER($AS$61:$AZ$61)="(EMPTY)"))&gt;0,IFERROR(('Final Calculation Sheet'!$F$26)&amp;"","")="",ISNUMBER(SEARCH($AS$61:$AZ$61,IFERROR(('Final Calculation Sheet'!$F$26)&amp;"","")))))&gt;0),IF(COUNTIF($BI$61:$BP$61,7)=0,TRUE,SUMPRODUCT(($BI$61:$BP$61=7)*($AS$61:$AZ$61&lt;&gt;"")*IF(((UPPER($AS$61:$AZ$61)="BLANK")+(UPPER($AS$61:$AZ$61)="(BLANK)")+(UPPER($AS$61:$AZ$61)="EMPTY")+(UPPER($AS$61:$AZ$61)="(EMPTY)"))&gt;0,IFERROR(('Final Calculation Sheet'!$F$26)&amp;"","")="",ISNUMBER(SEARCH($AS$61:$AZ$61,IFERROR(('Final Calculation Sheet'!$F$26)&amp;"","")))))&gt;0),IF(COUNTIF($BI$61:$BP$61,8)=0,TRUE,SUMPRODUCT(($BI$61:$BP$61=8)*($AS$61:$AZ$61&lt;&gt;"")*IF(((UPPER($AS$61:$AZ$61)="BLANK")+(UPPER($AS$61:$AZ$61)="(BLANK)")+(UPPER($AS$61:$AZ$61)="EMPTY")+(UPPER($AS$61:$AZ$61)="(EMPTY)"))&gt;0,IFERROR(('Final Calculation Sheet'!$F$26)&amp;"","")="",ISNUMBER(SEARCH($AS$61:$AZ$61,IFERROR(('Final Calculation Sheet'!$F$26)&amp;"","")))))&gt;0))))</f>
        <v>1</v>
      </c>
      <c r="BO27">
        <f>IF($C$4="",1,--(AND(SUMPRODUCT(--($AS$62:$AZ$62&lt;&gt;""))&gt;0,IF(COUNTIF($BI$62:$BP$62,1)=0,TRUE,SUMPRODUCT(($BI$62:$BP$62=1)*($AS$62:$AZ$62&lt;&gt;"")*IF(((UPPER($AS$62:$AZ$62)="BLANK")+(UPPER($AS$62:$AZ$62)="(BLANK)")+(UPPER($AS$62:$AZ$62)="EMPTY")+(UPPER($AS$62:$AZ$62)="(EMPTY)"))&gt;0,IFERROR(('Final Calculation Sheet'!$G$26)&amp;"","")="",ISNUMBER(SEARCH($AS$62:$AZ$62,IFERROR(('Final Calculation Sheet'!$G$26)&amp;"","")))))&gt;0),IF(COUNTIF($BI$62:$BP$62,2)=0,TRUE,SUMPRODUCT(($BI$62:$BP$62=2)*($AS$62:$AZ$62&lt;&gt;"")*IF(((UPPER($AS$62:$AZ$62)="BLANK")+(UPPER($AS$62:$AZ$62)="(BLANK)")+(UPPER($AS$62:$AZ$62)="EMPTY")+(UPPER($AS$62:$AZ$62)="(EMPTY)"))&gt;0,IFERROR(('Final Calculation Sheet'!$G$26)&amp;"","")="",ISNUMBER(SEARCH($AS$62:$AZ$62,IFERROR(('Final Calculation Sheet'!$G$26)&amp;"","")))))&gt;0),IF(COUNTIF($BI$62:$BP$62,3)=0,TRUE,SUMPRODUCT(($BI$62:$BP$62=3)*($AS$62:$AZ$62&lt;&gt;"")*IF(((UPPER($AS$62:$AZ$62)="BLANK")+(UPPER($AS$62:$AZ$62)="(BLANK)")+(UPPER($AS$62:$AZ$62)="EMPTY")+(UPPER($AS$62:$AZ$62)="(EMPTY)"))&gt;0,IFERROR(('Final Calculation Sheet'!$G$26)&amp;"","")="",ISNUMBER(SEARCH($AS$62:$AZ$62,IFERROR(('Final Calculation Sheet'!$G$26)&amp;"","")))))&gt;0),IF(COUNTIF($BI$62:$BP$62,4)=0,TRUE,SUMPRODUCT(($BI$62:$BP$62=4)*($AS$62:$AZ$62&lt;&gt;"")*IF(((UPPER($AS$62:$AZ$62)="BLANK")+(UPPER($AS$62:$AZ$62)="(BLANK)")+(UPPER($AS$62:$AZ$62)="EMPTY")+(UPPER($AS$62:$AZ$62)="(EMPTY)"))&gt;0,IFERROR(('Final Calculation Sheet'!$G$26)&amp;"","")="",ISNUMBER(SEARCH($AS$62:$AZ$62,IFERROR(('Final Calculation Sheet'!$G$26)&amp;"","")))))&gt;0),IF(COUNTIF($BI$62:$BP$62,5)=0,TRUE,SUMPRODUCT(($BI$62:$BP$62=5)*($AS$62:$AZ$62&lt;&gt;"")*IF(((UPPER($AS$62:$AZ$62)="BLANK")+(UPPER($AS$62:$AZ$62)="(BLANK)")+(UPPER($AS$62:$AZ$62)="EMPTY")+(UPPER($AS$62:$AZ$62)="(EMPTY)"))&gt;0,IFERROR(('Final Calculation Sheet'!$G$26)&amp;"","")="",ISNUMBER(SEARCH($AS$62:$AZ$62,IFERROR(('Final Calculation Sheet'!$G$26)&amp;"","")))))&gt;0),IF(COUNTIF($BI$62:$BP$62,6)=0,TRUE,SUMPRODUCT(($BI$62:$BP$62=6)*($AS$62:$AZ$62&lt;&gt;"")*IF(((UPPER($AS$62:$AZ$62)="BLANK")+(UPPER($AS$62:$AZ$62)="(BLANK)")+(UPPER($AS$62:$AZ$62)="EMPTY")+(UPPER($AS$62:$AZ$62)="(EMPTY)"))&gt;0,IFERROR(('Final Calculation Sheet'!$G$26)&amp;"","")="",ISNUMBER(SEARCH($AS$62:$AZ$62,IFERROR(('Final Calculation Sheet'!$G$26)&amp;"","")))))&gt;0),IF(COUNTIF($BI$62:$BP$62,7)=0,TRUE,SUMPRODUCT(($BI$62:$BP$62=7)*($AS$62:$AZ$62&lt;&gt;"")*IF(((UPPER($AS$62:$AZ$62)="BLANK")+(UPPER($AS$62:$AZ$62)="(BLANK)")+(UPPER($AS$62:$AZ$62)="EMPTY")+(UPPER($AS$62:$AZ$62)="(EMPTY)"))&gt;0,IFERROR(('Final Calculation Sheet'!$G$26)&amp;"","")="",ISNUMBER(SEARCH($AS$62:$AZ$62,IFERROR(('Final Calculation Sheet'!$G$26)&amp;"","")))))&gt;0),IF(COUNTIF($BI$62:$BP$62,8)=0,TRUE,SUMPRODUCT(($BI$62:$BP$62=8)*($AS$62:$AZ$62&lt;&gt;"")*IF(((UPPER($AS$62:$AZ$62)="BLANK")+(UPPER($AS$62:$AZ$62)="(BLANK)")+(UPPER($AS$62:$AZ$62)="EMPTY")+(UPPER($AS$62:$AZ$62)="(EMPTY)"))&gt;0,IFERROR(('Final Calculation Sheet'!$G$26)&amp;"","")="",ISNUMBER(SEARCH($AS$62:$AZ$62,IFERROR(('Final Calculation Sheet'!$G$26)&amp;"","")))))&gt;0))))</f>
        <v>1</v>
      </c>
      <c r="BP27">
        <f>IF($D$4="",1,--(AND(SUMPRODUCT(--($AS$63:$AZ$63&lt;&gt;""))&gt;0,IF(COUNTIF($BI$63:$BP$63,1)=0,TRUE,SUMPRODUCT(($BI$63:$BP$63=1)*($AS$63:$AZ$63&lt;&gt;"")*IF(((UPPER($AS$63:$AZ$63)="BLANK")+(UPPER($AS$63:$AZ$63)="(BLANK)")+(UPPER($AS$63:$AZ$63)="EMPTY")+(UPPER($AS$63:$AZ$63)="(EMPTY)"))&gt;0,IFERROR(('Final Calculation Sheet'!$B$26)&amp;"","")="",ISNUMBER(SEARCH($AS$63:$AZ$63,IFERROR(('Final Calculation Sheet'!$B$26)&amp;"","")))))&gt;0),IF(COUNTIF($BI$63:$BP$63,2)=0,TRUE,SUMPRODUCT(($BI$63:$BP$63=2)*($AS$63:$AZ$63&lt;&gt;"")*IF(((UPPER($AS$63:$AZ$63)="BLANK")+(UPPER($AS$63:$AZ$63)="(BLANK)")+(UPPER($AS$63:$AZ$63)="EMPTY")+(UPPER($AS$63:$AZ$63)="(EMPTY)"))&gt;0,IFERROR(('Final Calculation Sheet'!$B$26)&amp;"","")="",ISNUMBER(SEARCH($AS$63:$AZ$63,IFERROR(('Final Calculation Sheet'!$B$26)&amp;"","")))))&gt;0),IF(COUNTIF($BI$63:$BP$63,3)=0,TRUE,SUMPRODUCT(($BI$63:$BP$63=3)*($AS$63:$AZ$63&lt;&gt;"")*IF(((UPPER($AS$63:$AZ$63)="BLANK")+(UPPER($AS$63:$AZ$63)="(BLANK)")+(UPPER($AS$63:$AZ$63)="EMPTY")+(UPPER($AS$63:$AZ$63)="(EMPTY)"))&gt;0,IFERROR(('Final Calculation Sheet'!$B$26)&amp;"","")="",ISNUMBER(SEARCH($AS$63:$AZ$63,IFERROR(('Final Calculation Sheet'!$B$26)&amp;"","")))))&gt;0),IF(COUNTIF($BI$63:$BP$63,4)=0,TRUE,SUMPRODUCT(($BI$63:$BP$63=4)*($AS$63:$AZ$63&lt;&gt;"")*IF(((UPPER($AS$63:$AZ$63)="BLANK")+(UPPER($AS$63:$AZ$63)="(BLANK)")+(UPPER($AS$63:$AZ$63)="EMPTY")+(UPPER($AS$63:$AZ$63)="(EMPTY)"))&gt;0,IFERROR(('Final Calculation Sheet'!$B$26)&amp;"","")="",ISNUMBER(SEARCH($AS$63:$AZ$63,IFERROR(('Final Calculation Sheet'!$B$26)&amp;"","")))))&gt;0),IF(COUNTIF($BI$63:$BP$63,5)=0,TRUE,SUMPRODUCT(($BI$63:$BP$63=5)*($AS$63:$AZ$63&lt;&gt;"")*IF(((UPPER($AS$63:$AZ$63)="BLANK")+(UPPER($AS$63:$AZ$63)="(BLANK)")+(UPPER($AS$63:$AZ$63)="EMPTY")+(UPPER($AS$63:$AZ$63)="(EMPTY)"))&gt;0,IFERROR(('Final Calculation Sheet'!$B$26)&amp;"","")="",ISNUMBER(SEARCH($AS$63:$AZ$63,IFERROR(('Final Calculation Sheet'!$B$26)&amp;"","")))))&gt;0),IF(COUNTIF($BI$63:$BP$63,6)=0,TRUE,SUMPRODUCT(($BI$63:$BP$63=6)*($AS$63:$AZ$63&lt;&gt;"")*IF(((UPPER($AS$63:$AZ$63)="BLANK")+(UPPER($AS$63:$AZ$63)="(BLANK)")+(UPPER($AS$63:$AZ$63)="EMPTY")+(UPPER($AS$63:$AZ$63)="(EMPTY)"))&gt;0,IFERROR(('Final Calculation Sheet'!$B$26)&amp;"","")="",ISNUMBER(SEARCH($AS$63:$AZ$63,IFERROR(('Final Calculation Sheet'!$B$26)&amp;"","")))))&gt;0),IF(COUNTIF($BI$63:$BP$63,7)=0,TRUE,SUMPRODUCT(($BI$63:$BP$63=7)*($AS$63:$AZ$63&lt;&gt;"")*IF(((UPPER($AS$63:$AZ$63)="BLANK")+(UPPER($AS$63:$AZ$63)="(BLANK)")+(UPPER($AS$63:$AZ$63)="EMPTY")+(UPPER($AS$63:$AZ$63)="(EMPTY)"))&gt;0,IFERROR(('Final Calculation Sheet'!$B$26)&amp;"","")="",ISNUMBER(SEARCH($AS$63:$AZ$63,IFERROR(('Final Calculation Sheet'!$B$26)&amp;"","")))))&gt;0),IF(COUNTIF($BI$63:$BP$63,8)=0,TRUE,SUMPRODUCT(($BI$63:$BP$63=8)*($AS$63:$AZ$63&lt;&gt;"")*IF(((UPPER($AS$63:$AZ$63)="BLANK")+(UPPER($AS$63:$AZ$63)="(BLANK)")+(UPPER($AS$63:$AZ$63)="EMPTY")+(UPPER($AS$63:$AZ$63)="(EMPTY)"))&gt;0,IFERROR(('Final Calculation Sheet'!$B$26)&amp;"","")="",ISNUMBER(SEARCH($AS$63:$AZ$63,IFERROR(('Final Calculation Sheet'!$B$26)&amp;"","")))))&gt;0))))</f>
        <v>1</v>
      </c>
      <c r="BQ27">
        <f>IF($E$4="",1,--(AND(SUMPRODUCT(--($AS$64:$AZ$64&lt;&gt;""))&gt;0,IF(COUNTIF($BI$64:$BP$64,1)=0,TRUE,SUMPRODUCT(($BI$64:$BP$64=1)*($AS$64:$AZ$64&lt;&gt;"")*IF(((UPPER($AS$64:$AZ$64)="BLANK")+(UPPER($AS$64:$AZ$64)="(BLANK)")+(UPPER($AS$64:$AZ$64)="EMPTY")+(UPPER($AS$64:$AZ$64)="(EMPTY)"))&gt;0,IFERROR(('Final Calculation Sheet'!$D$26)&amp;"","")="",ISNUMBER(SEARCH($AS$64:$AZ$64,IFERROR(('Final Calculation Sheet'!$D$26)&amp;"","")))))&gt;0),IF(COUNTIF($BI$64:$BP$64,2)=0,TRUE,SUMPRODUCT(($BI$64:$BP$64=2)*($AS$64:$AZ$64&lt;&gt;"")*IF(((UPPER($AS$64:$AZ$64)="BLANK")+(UPPER($AS$64:$AZ$64)="(BLANK)")+(UPPER($AS$64:$AZ$64)="EMPTY")+(UPPER($AS$64:$AZ$64)="(EMPTY)"))&gt;0,IFERROR(('Final Calculation Sheet'!$D$26)&amp;"","")="",ISNUMBER(SEARCH($AS$64:$AZ$64,IFERROR(('Final Calculation Sheet'!$D$26)&amp;"","")))))&gt;0),IF(COUNTIF($BI$64:$BP$64,3)=0,TRUE,SUMPRODUCT(($BI$64:$BP$64=3)*($AS$64:$AZ$64&lt;&gt;"")*IF(((UPPER($AS$64:$AZ$64)="BLANK")+(UPPER($AS$64:$AZ$64)="(BLANK)")+(UPPER($AS$64:$AZ$64)="EMPTY")+(UPPER($AS$64:$AZ$64)="(EMPTY)"))&gt;0,IFERROR(('Final Calculation Sheet'!$D$26)&amp;"","")="",ISNUMBER(SEARCH($AS$64:$AZ$64,IFERROR(('Final Calculation Sheet'!$D$26)&amp;"","")))))&gt;0),IF(COUNTIF($BI$64:$BP$64,4)=0,TRUE,SUMPRODUCT(($BI$64:$BP$64=4)*($AS$64:$AZ$64&lt;&gt;"")*IF(((UPPER($AS$64:$AZ$64)="BLANK")+(UPPER($AS$64:$AZ$64)="(BLANK)")+(UPPER($AS$64:$AZ$64)="EMPTY")+(UPPER($AS$64:$AZ$64)="(EMPTY)"))&gt;0,IFERROR(('Final Calculation Sheet'!$D$26)&amp;"","")="",ISNUMBER(SEARCH($AS$64:$AZ$64,IFERROR(('Final Calculation Sheet'!$D$26)&amp;"","")))))&gt;0),IF(COUNTIF($BI$64:$BP$64,5)=0,TRUE,SUMPRODUCT(($BI$64:$BP$64=5)*($AS$64:$AZ$64&lt;&gt;"")*IF(((UPPER($AS$64:$AZ$64)="BLANK")+(UPPER($AS$64:$AZ$64)="(BLANK)")+(UPPER($AS$64:$AZ$64)="EMPTY")+(UPPER($AS$64:$AZ$64)="(EMPTY)"))&gt;0,IFERROR(('Final Calculation Sheet'!$D$26)&amp;"","")="",ISNUMBER(SEARCH($AS$64:$AZ$64,IFERROR(('Final Calculation Sheet'!$D$26)&amp;"","")))))&gt;0),IF(COUNTIF($BI$64:$BP$64,6)=0,TRUE,SUMPRODUCT(($BI$64:$BP$64=6)*($AS$64:$AZ$64&lt;&gt;"")*IF(((UPPER($AS$64:$AZ$64)="BLANK")+(UPPER($AS$64:$AZ$64)="(BLANK)")+(UPPER($AS$64:$AZ$64)="EMPTY")+(UPPER($AS$64:$AZ$64)="(EMPTY)"))&gt;0,IFERROR(('Final Calculation Sheet'!$D$26)&amp;"","")="",ISNUMBER(SEARCH($AS$64:$AZ$64,IFERROR(('Final Calculation Sheet'!$D$26)&amp;"","")))))&gt;0),IF(COUNTIF($BI$64:$BP$64,7)=0,TRUE,SUMPRODUCT(($BI$64:$BP$64=7)*($AS$64:$AZ$64&lt;&gt;"")*IF(((UPPER($AS$64:$AZ$64)="BLANK")+(UPPER($AS$64:$AZ$64)="(BLANK)")+(UPPER($AS$64:$AZ$64)="EMPTY")+(UPPER($AS$64:$AZ$64)="(EMPTY)"))&gt;0,IFERROR(('Final Calculation Sheet'!$D$26)&amp;"","")="",ISNUMBER(SEARCH($AS$64:$AZ$64,IFERROR(('Final Calculation Sheet'!$D$26)&amp;"","")))))&gt;0),IF(COUNTIF($BI$64:$BP$64,8)=0,TRUE,SUMPRODUCT(($BI$64:$BP$64=8)*($AS$64:$AZ$64&lt;&gt;"")*IF(((UPPER($AS$64:$AZ$64)="BLANK")+(UPPER($AS$64:$AZ$64)="(BLANK)")+(UPPER($AS$64:$AZ$64)="EMPTY")+(UPPER($AS$64:$AZ$64)="(EMPTY)"))&gt;0,IFERROR(('Final Calculation Sheet'!$D$26)&amp;"","")="",ISNUMBER(SEARCH($AS$64:$AZ$64,IFERROR(('Final Calculation Sheet'!$D$26)&amp;"","")))))&gt;0))))</f>
        <v>1</v>
      </c>
      <c r="BR27">
        <f>IF($F$4="",1,--(AND(SUMPRODUCT(--($AS$65:$AZ$65&lt;&gt;""))&gt;0,IF(COUNTIF($BI$65:$BP$65,1)=0,TRUE,SUMPRODUCT(($BI$65:$BP$65=1)*($AS$65:$AZ$65&lt;&gt;"")*IF(((UPPER($AS$65:$AZ$65)="BLANK")+(UPPER($AS$65:$AZ$65)="(BLANK)")+(UPPER($AS$65:$AZ$65)="EMPTY")+(UPPER($AS$65:$AZ$65)="(EMPTY)"))&gt;0,IFERROR(('Final Calculation Sheet'!$A$26)&amp;"","")="",ISNUMBER(SEARCH($AS$65:$AZ$65,IFERROR(('Final Calculation Sheet'!$A$26)&amp;"","")))))&gt;0),IF(COUNTIF($BI$65:$BP$65,2)=0,TRUE,SUMPRODUCT(($BI$65:$BP$65=2)*($AS$65:$AZ$65&lt;&gt;"")*IF(((UPPER($AS$65:$AZ$65)="BLANK")+(UPPER($AS$65:$AZ$65)="(BLANK)")+(UPPER($AS$65:$AZ$65)="EMPTY")+(UPPER($AS$65:$AZ$65)="(EMPTY)"))&gt;0,IFERROR(('Final Calculation Sheet'!$A$26)&amp;"","")="",ISNUMBER(SEARCH($AS$65:$AZ$65,IFERROR(('Final Calculation Sheet'!$A$26)&amp;"","")))))&gt;0),IF(COUNTIF($BI$65:$BP$65,3)=0,TRUE,SUMPRODUCT(($BI$65:$BP$65=3)*($AS$65:$AZ$65&lt;&gt;"")*IF(((UPPER($AS$65:$AZ$65)="BLANK")+(UPPER($AS$65:$AZ$65)="(BLANK)")+(UPPER($AS$65:$AZ$65)="EMPTY")+(UPPER($AS$65:$AZ$65)="(EMPTY)"))&gt;0,IFERROR(('Final Calculation Sheet'!$A$26)&amp;"","")="",ISNUMBER(SEARCH($AS$65:$AZ$65,IFERROR(('Final Calculation Sheet'!$A$26)&amp;"","")))))&gt;0),IF(COUNTIF($BI$65:$BP$65,4)=0,TRUE,SUMPRODUCT(($BI$65:$BP$65=4)*($AS$65:$AZ$65&lt;&gt;"")*IF(((UPPER($AS$65:$AZ$65)="BLANK")+(UPPER($AS$65:$AZ$65)="(BLANK)")+(UPPER($AS$65:$AZ$65)="EMPTY")+(UPPER($AS$65:$AZ$65)="(EMPTY)"))&gt;0,IFERROR(('Final Calculation Sheet'!$A$26)&amp;"","")="",ISNUMBER(SEARCH($AS$65:$AZ$65,IFERROR(('Final Calculation Sheet'!$A$26)&amp;"","")))))&gt;0),IF(COUNTIF($BI$65:$BP$65,5)=0,TRUE,SUMPRODUCT(($BI$65:$BP$65=5)*($AS$65:$AZ$65&lt;&gt;"")*IF(((UPPER($AS$65:$AZ$65)="BLANK")+(UPPER($AS$65:$AZ$65)="(BLANK)")+(UPPER($AS$65:$AZ$65)="EMPTY")+(UPPER($AS$65:$AZ$65)="(EMPTY)"))&gt;0,IFERROR(('Final Calculation Sheet'!$A$26)&amp;"","")="",ISNUMBER(SEARCH($AS$65:$AZ$65,IFERROR(('Final Calculation Sheet'!$A$26)&amp;"","")))))&gt;0),IF(COUNTIF($BI$65:$BP$65,6)=0,TRUE,SUMPRODUCT(($BI$65:$BP$65=6)*($AS$65:$AZ$65&lt;&gt;"")*IF(((UPPER($AS$65:$AZ$65)="BLANK")+(UPPER($AS$65:$AZ$65)="(BLANK)")+(UPPER($AS$65:$AZ$65)="EMPTY")+(UPPER($AS$65:$AZ$65)="(EMPTY)"))&gt;0,IFERROR(('Final Calculation Sheet'!$A$26)&amp;"","")="",ISNUMBER(SEARCH($AS$65:$AZ$65,IFERROR(('Final Calculation Sheet'!$A$26)&amp;"","")))))&gt;0),IF(COUNTIF($BI$65:$BP$65,7)=0,TRUE,SUMPRODUCT(($BI$65:$BP$65=7)*($AS$65:$AZ$65&lt;&gt;"")*IF(((UPPER($AS$65:$AZ$65)="BLANK")+(UPPER($AS$65:$AZ$65)="(BLANK)")+(UPPER($AS$65:$AZ$65)="EMPTY")+(UPPER($AS$65:$AZ$65)="(EMPTY)"))&gt;0,IFERROR(('Final Calculation Sheet'!$A$26)&amp;"","")="",ISNUMBER(SEARCH($AS$65:$AZ$65,IFERROR(('Final Calculation Sheet'!$A$26)&amp;"","")))))&gt;0),IF(COUNTIF($BI$65:$BP$65,8)=0,TRUE,SUMPRODUCT(($BI$65:$BP$65=8)*($AS$65:$AZ$65&lt;&gt;"")*IF(((UPPER($AS$65:$AZ$65)="BLANK")+(UPPER($AS$65:$AZ$65)="(BLANK)")+(UPPER($AS$65:$AZ$65)="EMPTY")+(UPPER($AS$65:$AZ$65)="(EMPTY)"))&gt;0,IFERROR(('Final Calculation Sheet'!$A$26)&amp;"","")="",ISNUMBER(SEARCH($AS$65:$AZ$65,IFERROR(('Final Calculation Sheet'!$A$26)&amp;"","")))))&gt;0))))</f>
        <v>1</v>
      </c>
      <c r="BS27">
        <f>IF($G$4="",1,--(AND(SUMPRODUCT(--($AS$66:$AZ$66&lt;&gt;""))&gt;0,IF(COUNTIF($BI$66:$BP$66,1)=0,TRUE,SUMPRODUCT(($BI$66:$BP$66=1)*($AS$66:$AZ$66&lt;&gt;"")*IF(((UPPER($AS$66:$AZ$66)="BLANK")+(UPPER($AS$66:$AZ$66)="(BLANK)")+(UPPER($AS$66:$AZ$66)="EMPTY")+(UPPER($AS$66:$AZ$66)="(EMPTY)"))&gt;0,IFERROR(('Final Calculation Sheet'!$E$26)&amp;"","")="",ISNUMBER(SEARCH($AS$66:$AZ$66,IFERROR(('Final Calculation Sheet'!$E$26)&amp;"","")))))&gt;0),IF(COUNTIF($BI$66:$BP$66,2)=0,TRUE,SUMPRODUCT(($BI$66:$BP$66=2)*($AS$66:$AZ$66&lt;&gt;"")*IF(((UPPER($AS$66:$AZ$66)="BLANK")+(UPPER($AS$66:$AZ$66)="(BLANK)")+(UPPER($AS$66:$AZ$66)="EMPTY")+(UPPER($AS$66:$AZ$66)="(EMPTY)"))&gt;0,IFERROR(('Final Calculation Sheet'!$E$26)&amp;"","")="",ISNUMBER(SEARCH($AS$66:$AZ$66,IFERROR(('Final Calculation Sheet'!$E$26)&amp;"","")))))&gt;0),IF(COUNTIF($BI$66:$BP$66,3)=0,TRUE,SUMPRODUCT(($BI$66:$BP$66=3)*($AS$66:$AZ$66&lt;&gt;"")*IF(((UPPER($AS$66:$AZ$66)="BLANK")+(UPPER($AS$66:$AZ$66)="(BLANK)")+(UPPER($AS$66:$AZ$66)="EMPTY")+(UPPER($AS$66:$AZ$66)="(EMPTY)"))&gt;0,IFERROR(('Final Calculation Sheet'!$E$26)&amp;"","")="",ISNUMBER(SEARCH($AS$66:$AZ$66,IFERROR(('Final Calculation Sheet'!$E$26)&amp;"","")))))&gt;0),IF(COUNTIF($BI$66:$BP$66,4)=0,TRUE,SUMPRODUCT(($BI$66:$BP$66=4)*($AS$66:$AZ$66&lt;&gt;"")*IF(((UPPER($AS$66:$AZ$66)="BLANK")+(UPPER($AS$66:$AZ$66)="(BLANK)")+(UPPER($AS$66:$AZ$66)="EMPTY")+(UPPER($AS$66:$AZ$66)="(EMPTY)"))&gt;0,IFERROR(('Final Calculation Sheet'!$E$26)&amp;"","")="",ISNUMBER(SEARCH($AS$66:$AZ$66,IFERROR(('Final Calculation Sheet'!$E$26)&amp;"","")))))&gt;0),IF(COUNTIF($BI$66:$BP$66,5)=0,TRUE,SUMPRODUCT(($BI$66:$BP$66=5)*($AS$66:$AZ$66&lt;&gt;"")*IF(((UPPER($AS$66:$AZ$66)="BLANK")+(UPPER($AS$66:$AZ$66)="(BLANK)")+(UPPER($AS$66:$AZ$66)="EMPTY")+(UPPER($AS$66:$AZ$66)="(EMPTY)"))&gt;0,IFERROR(('Final Calculation Sheet'!$E$26)&amp;"","")="",ISNUMBER(SEARCH($AS$66:$AZ$66,IFERROR(('Final Calculation Sheet'!$E$26)&amp;"","")))))&gt;0),IF(COUNTIF($BI$66:$BP$66,6)=0,TRUE,SUMPRODUCT(($BI$66:$BP$66=6)*($AS$66:$AZ$66&lt;&gt;"")*IF(((UPPER($AS$66:$AZ$66)="BLANK")+(UPPER($AS$66:$AZ$66)="(BLANK)")+(UPPER($AS$66:$AZ$66)="EMPTY")+(UPPER($AS$66:$AZ$66)="(EMPTY)"))&gt;0,IFERROR(('Final Calculation Sheet'!$E$26)&amp;"","")="",ISNUMBER(SEARCH($AS$66:$AZ$66,IFERROR(('Final Calculation Sheet'!$E$26)&amp;"","")))))&gt;0),IF(COUNTIF($BI$66:$BP$66,7)=0,TRUE,SUMPRODUCT(($BI$66:$BP$66=7)*($AS$66:$AZ$66&lt;&gt;"")*IF(((UPPER($AS$66:$AZ$66)="BLANK")+(UPPER($AS$66:$AZ$66)="(BLANK)")+(UPPER($AS$66:$AZ$66)="EMPTY")+(UPPER($AS$66:$AZ$66)="(EMPTY)"))&gt;0,IFERROR(('Final Calculation Sheet'!$E$26)&amp;"","")="",ISNUMBER(SEARCH($AS$66:$AZ$66,IFERROR(('Final Calculation Sheet'!$E$26)&amp;"","")))))&gt;0),IF(COUNTIF($BI$66:$BP$66,8)=0,TRUE,SUMPRODUCT(($BI$66:$BP$66=8)*($AS$66:$AZ$66&lt;&gt;"")*IF(((UPPER($AS$66:$AZ$66)="BLANK")+(UPPER($AS$66:$AZ$66)="(BLANK)")+(UPPER($AS$66:$AZ$66)="EMPTY")+(UPPER($AS$66:$AZ$66)="(EMPTY)"))&gt;0,IFERROR(('Final Calculation Sheet'!$E$26)&amp;"","")="",ISNUMBER(SEARCH($AS$66:$AZ$66,IFERROR(('Final Calculation Sheet'!$E$26)&amp;"","")))))&gt;0))))</f>
        <v>1</v>
      </c>
      <c r="BT27">
        <f>IF($H$4="",1,--(AND(SUMPRODUCT(--($AS$67:$AZ$67&lt;&gt;""))&gt;0,IF(COUNTIF($BI$67:$BP$67,1)=0,TRUE,SUMPRODUCT(($BI$67:$BP$67=1)*($AS$67:$AZ$67&lt;&gt;"")*IF(((UPPER($AS$67:$AZ$67)="BLANK")+(UPPER($AS$67:$AZ$67)="(BLANK)")+(UPPER($AS$67:$AZ$67)="EMPTY")+(UPPER($AS$67:$AZ$67)="(EMPTY)"))&gt;0,IFERROR(('Final Calculation Sheet'!$C$26)&amp;"","")="",ISNUMBER(SEARCH($AS$67:$AZ$67,IFERROR(('Final Calculation Sheet'!$C$26)&amp;"","")))))&gt;0),IF(COUNTIF($BI$67:$BP$67,2)=0,TRUE,SUMPRODUCT(($BI$67:$BP$67=2)*($AS$67:$AZ$67&lt;&gt;"")*IF(((UPPER($AS$67:$AZ$67)="BLANK")+(UPPER($AS$67:$AZ$67)="(BLANK)")+(UPPER($AS$67:$AZ$67)="EMPTY")+(UPPER($AS$67:$AZ$67)="(EMPTY)"))&gt;0,IFERROR(('Final Calculation Sheet'!$C$26)&amp;"","")="",ISNUMBER(SEARCH($AS$67:$AZ$67,IFERROR(('Final Calculation Sheet'!$C$26)&amp;"","")))))&gt;0),IF(COUNTIF($BI$67:$BP$67,3)=0,TRUE,SUMPRODUCT(($BI$67:$BP$67=3)*($AS$67:$AZ$67&lt;&gt;"")*IF(((UPPER($AS$67:$AZ$67)="BLANK")+(UPPER($AS$67:$AZ$67)="(BLANK)")+(UPPER($AS$67:$AZ$67)="EMPTY")+(UPPER($AS$67:$AZ$67)="(EMPTY)"))&gt;0,IFERROR(('Final Calculation Sheet'!$C$26)&amp;"","")="",ISNUMBER(SEARCH($AS$67:$AZ$67,IFERROR(('Final Calculation Sheet'!$C$26)&amp;"","")))))&gt;0),IF(COUNTIF($BI$67:$BP$67,4)=0,TRUE,SUMPRODUCT(($BI$67:$BP$67=4)*($AS$67:$AZ$67&lt;&gt;"")*IF(((UPPER($AS$67:$AZ$67)="BLANK")+(UPPER($AS$67:$AZ$67)="(BLANK)")+(UPPER($AS$67:$AZ$67)="EMPTY")+(UPPER($AS$67:$AZ$67)="(EMPTY)"))&gt;0,IFERROR(('Final Calculation Sheet'!$C$26)&amp;"","")="",ISNUMBER(SEARCH($AS$67:$AZ$67,IFERROR(('Final Calculation Sheet'!$C$26)&amp;"","")))))&gt;0),IF(COUNTIF($BI$67:$BP$67,5)=0,TRUE,SUMPRODUCT(($BI$67:$BP$67=5)*($AS$67:$AZ$67&lt;&gt;"")*IF(((UPPER($AS$67:$AZ$67)="BLANK")+(UPPER($AS$67:$AZ$67)="(BLANK)")+(UPPER($AS$67:$AZ$67)="EMPTY")+(UPPER($AS$67:$AZ$67)="(EMPTY)"))&gt;0,IFERROR(('Final Calculation Sheet'!$C$26)&amp;"","")="",ISNUMBER(SEARCH($AS$67:$AZ$67,IFERROR(('Final Calculation Sheet'!$C$26)&amp;"","")))))&gt;0),IF(COUNTIF($BI$67:$BP$67,6)=0,TRUE,SUMPRODUCT(($BI$67:$BP$67=6)*($AS$67:$AZ$67&lt;&gt;"")*IF(((UPPER($AS$67:$AZ$67)="BLANK")+(UPPER($AS$67:$AZ$67)="(BLANK)")+(UPPER($AS$67:$AZ$67)="EMPTY")+(UPPER($AS$67:$AZ$67)="(EMPTY)"))&gt;0,IFERROR(('Final Calculation Sheet'!$C$26)&amp;"","")="",ISNUMBER(SEARCH($AS$67:$AZ$67,IFERROR(('Final Calculation Sheet'!$C$26)&amp;"","")))))&gt;0),IF(COUNTIF($BI$67:$BP$67,7)=0,TRUE,SUMPRODUCT(($BI$67:$BP$67=7)*($AS$67:$AZ$67&lt;&gt;"")*IF(((UPPER($AS$67:$AZ$67)="BLANK")+(UPPER($AS$67:$AZ$67)="(BLANK)")+(UPPER($AS$67:$AZ$67)="EMPTY")+(UPPER($AS$67:$AZ$67)="(EMPTY)"))&gt;0,IFERROR(('Final Calculation Sheet'!$C$26)&amp;"","")="",ISNUMBER(SEARCH($AS$67:$AZ$67,IFERROR(('Final Calculation Sheet'!$C$26)&amp;"","")))))&gt;0),IF(COUNTIF($BI$67:$BP$67,8)=0,TRUE,SUMPRODUCT(($BI$67:$BP$67=8)*($AS$67:$AZ$67&lt;&gt;"")*IF(((UPPER($AS$67:$AZ$67)="BLANK")+(UPPER($AS$67:$AZ$67)="(BLANK)")+(UPPER($AS$67:$AZ$67)="EMPTY")+(UPPER($AS$67:$AZ$67)="(EMPTY)"))&gt;0,IFERROR(('Final Calculation Sheet'!$C$26)&amp;"","")="",ISNUMBER(SEARCH($AS$67:$AZ$67,IFERROR(('Final Calculation Sheet'!$C$26)&amp;"","")))))&gt;0))))</f>
        <v>1</v>
      </c>
      <c r="BU27">
        <f>IF($I$4="",1,--(AND(SUMPRODUCT(--($AS$68:$AZ$68&lt;&gt;""))&gt;0,IF(COUNTIF($BI$68:$BP$68,1)=0,TRUE,SUMPRODUCT(($BI$68:$BP$68=1)*($AS$68:$AZ$68&lt;&gt;"")*IF(((UPPER($AS$68:$AZ$68)="BLANK")+(UPPER($AS$68:$AZ$68)="(BLANK)")+(UPPER($AS$68:$AZ$68)="EMPTY")+(UPPER($AS$68:$AZ$68)="(EMPTY)"))&gt;0,IFERROR(('Final Calculation Sheet'!$H$26)&amp;"","")="",ISNUMBER(SEARCH($AS$68:$AZ$68,IFERROR(('Final Calculation Sheet'!$H$26)&amp;"","")))))&gt;0),IF(COUNTIF($BI$68:$BP$68,2)=0,TRUE,SUMPRODUCT(($BI$68:$BP$68=2)*($AS$68:$AZ$68&lt;&gt;"")*IF(((UPPER($AS$68:$AZ$68)="BLANK")+(UPPER($AS$68:$AZ$68)="(BLANK)")+(UPPER($AS$68:$AZ$68)="EMPTY")+(UPPER($AS$68:$AZ$68)="(EMPTY)"))&gt;0,IFERROR(('Final Calculation Sheet'!$H$26)&amp;"","")="",ISNUMBER(SEARCH($AS$68:$AZ$68,IFERROR(('Final Calculation Sheet'!$H$26)&amp;"","")))))&gt;0),IF(COUNTIF($BI$68:$BP$68,3)=0,TRUE,SUMPRODUCT(($BI$68:$BP$68=3)*($AS$68:$AZ$68&lt;&gt;"")*IF(((UPPER($AS$68:$AZ$68)="BLANK")+(UPPER($AS$68:$AZ$68)="(BLANK)")+(UPPER($AS$68:$AZ$68)="EMPTY")+(UPPER($AS$68:$AZ$68)="(EMPTY)"))&gt;0,IFERROR(('Final Calculation Sheet'!$H$26)&amp;"","")="",ISNUMBER(SEARCH($AS$68:$AZ$68,IFERROR(('Final Calculation Sheet'!$H$26)&amp;"","")))))&gt;0),IF(COUNTIF($BI$68:$BP$68,4)=0,TRUE,SUMPRODUCT(($BI$68:$BP$68=4)*($AS$68:$AZ$68&lt;&gt;"")*IF(((UPPER($AS$68:$AZ$68)="BLANK")+(UPPER($AS$68:$AZ$68)="(BLANK)")+(UPPER($AS$68:$AZ$68)="EMPTY")+(UPPER($AS$68:$AZ$68)="(EMPTY)"))&gt;0,IFERROR(('Final Calculation Sheet'!$H$26)&amp;"","")="",ISNUMBER(SEARCH($AS$68:$AZ$68,IFERROR(('Final Calculation Sheet'!$H$26)&amp;"","")))))&gt;0),IF(COUNTIF($BI$68:$BP$68,5)=0,TRUE,SUMPRODUCT(($BI$68:$BP$68=5)*($AS$68:$AZ$68&lt;&gt;"")*IF(((UPPER($AS$68:$AZ$68)="BLANK")+(UPPER($AS$68:$AZ$68)="(BLANK)")+(UPPER($AS$68:$AZ$68)="EMPTY")+(UPPER($AS$68:$AZ$68)="(EMPTY)"))&gt;0,IFERROR(('Final Calculation Sheet'!$H$26)&amp;"","")="",ISNUMBER(SEARCH($AS$68:$AZ$68,IFERROR(('Final Calculation Sheet'!$H$26)&amp;"","")))))&gt;0),IF(COUNTIF($BI$68:$BP$68,6)=0,TRUE,SUMPRODUCT(($BI$68:$BP$68=6)*($AS$68:$AZ$68&lt;&gt;"")*IF(((UPPER($AS$68:$AZ$68)="BLANK")+(UPPER($AS$68:$AZ$68)="(BLANK)")+(UPPER($AS$68:$AZ$68)="EMPTY")+(UPPER($AS$68:$AZ$68)="(EMPTY)"))&gt;0,IFERROR(('Final Calculation Sheet'!$H$26)&amp;"","")="",ISNUMBER(SEARCH($AS$68:$AZ$68,IFERROR(('Final Calculation Sheet'!$H$26)&amp;"","")))))&gt;0),IF(COUNTIF($BI$68:$BP$68,7)=0,TRUE,SUMPRODUCT(($BI$68:$BP$68=7)*($AS$68:$AZ$68&lt;&gt;"")*IF(((UPPER($AS$68:$AZ$68)="BLANK")+(UPPER($AS$68:$AZ$68)="(BLANK)")+(UPPER($AS$68:$AZ$68)="EMPTY")+(UPPER($AS$68:$AZ$68)="(EMPTY)"))&gt;0,IFERROR(('Final Calculation Sheet'!$H$26)&amp;"","")="",ISNUMBER(SEARCH($AS$68:$AZ$68,IFERROR(('Final Calculation Sheet'!$H$26)&amp;"","")))))&gt;0),IF(COUNTIF($BI$68:$BP$68,8)=0,TRUE,SUMPRODUCT(($BI$68:$BP$68=8)*($AS$68:$AZ$68&lt;&gt;"")*IF(((UPPER($AS$68:$AZ$68)="BLANK")+(UPPER($AS$68:$AZ$68)="(BLANK)")+(UPPER($AS$68:$AZ$68)="EMPTY")+(UPPER($AS$68:$AZ$68)="(EMPTY)"))&gt;0,IFERROR(('Final Calculation Sheet'!$H$26)&amp;"","")="",ISNUMBER(SEARCH($AS$68:$AZ$68,IFERROR(('Final Calculation Sheet'!$H$26)&amp;"","")))))&gt;0))))</f>
        <v>1</v>
      </c>
      <c r="BV27">
        <f>IF($J$4="",1,--(AND(SUMPRODUCT(--($AS$69:$AZ$69&lt;&gt;""))&gt;0,IF(COUNTIF($BI$69:$BP$69,1)=0,TRUE,SUMPRODUCT(($BI$69:$BP$69=1)*($AS$69:$AZ$69&lt;&gt;"")*IF(((UPPER($AS$69:$AZ$69)="BLANK")+(UPPER($AS$69:$AZ$69)="(BLANK)")+(UPPER($AS$69:$AZ$69)="EMPTY")+(UPPER($AS$69:$AZ$69)="(EMPTY)"))&gt;0,IFERROR(('Final Calculation Sheet'!$I$26)&amp;"","")="",ISNUMBER(SEARCH($AS$69:$AZ$69,IFERROR(('Final Calculation Sheet'!$I$26)&amp;"","")))))&gt;0),IF(COUNTIF($BI$69:$BP$69,2)=0,TRUE,SUMPRODUCT(($BI$69:$BP$69=2)*($AS$69:$AZ$69&lt;&gt;"")*IF(((UPPER($AS$69:$AZ$69)="BLANK")+(UPPER($AS$69:$AZ$69)="(BLANK)")+(UPPER($AS$69:$AZ$69)="EMPTY")+(UPPER($AS$69:$AZ$69)="(EMPTY)"))&gt;0,IFERROR(('Final Calculation Sheet'!$I$26)&amp;"","")="",ISNUMBER(SEARCH($AS$69:$AZ$69,IFERROR(('Final Calculation Sheet'!$I$26)&amp;"","")))))&gt;0),IF(COUNTIF($BI$69:$BP$69,3)=0,TRUE,SUMPRODUCT(($BI$69:$BP$69=3)*($AS$69:$AZ$69&lt;&gt;"")*IF(((UPPER($AS$69:$AZ$69)="BLANK")+(UPPER($AS$69:$AZ$69)="(BLANK)")+(UPPER($AS$69:$AZ$69)="EMPTY")+(UPPER($AS$69:$AZ$69)="(EMPTY)"))&gt;0,IFERROR(('Final Calculation Sheet'!$I$26)&amp;"","")="",ISNUMBER(SEARCH($AS$69:$AZ$69,IFERROR(('Final Calculation Sheet'!$I$26)&amp;"","")))))&gt;0),IF(COUNTIF($BI$69:$BP$69,4)=0,TRUE,SUMPRODUCT(($BI$69:$BP$69=4)*($AS$69:$AZ$69&lt;&gt;"")*IF(((UPPER($AS$69:$AZ$69)="BLANK")+(UPPER($AS$69:$AZ$69)="(BLANK)")+(UPPER($AS$69:$AZ$69)="EMPTY")+(UPPER($AS$69:$AZ$69)="(EMPTY)"))&gt;0,IFERROR(('Final Calculation Sheet'!$I$26)&amp;"","")="",ISNUMBER(SEARCH($AS$69:$AZ$69,IFERROR(('Final Calculation Sheet'!$I$26)&amp;"","")))))&gt;0),IF(COUNTIF($BI$69:$BP$69,5)=0,TRUE,SUMPRODUCT(($BI$69:$BP$69=5)*($AS$69:$AZ$69&lt;&gt;"")*IF(((UPPER($AS$69:$AZ$69)="BLANK")+(UPPER($AS$69:$AZ$69)="(BLANK)")+(UPPER($AS$69:$AZ$69)="EMPTY")+(UPPER($AS$69:$AZ$69)="(EMPTY)"))&gt;0,IFERROR(('Final Calculation Sheet'!$I$26)&amp;"","")="",ISNUMBER(SEARCH($AS$69:$AZ$69,IFERROR(('Final Calculation Sheet'!$I$26)&amp;"","")))))&gt;0),IF(COUNTIF($BI$69:$BP$69,6)=0,TRUE,SUMPRODUCT(($BI$69:$BP$69=6)*($AS$69:$AZ$69&lt;&gt;"")*IF(((UPPER($AS$69:$AZ$69)="BLANK")+(UPPER($AS$69:$AZ$69)="(BLANK)")+(UPPER($AS$69:$AZ$69)="EMPTY")+(UPPER($AS$69:$AZ$69)="(EMPTY)"))&gt;0,IFERROR(('Final Calculation Sheet'!$I$26)&amp;"","")="",ISNUMBER(SEARCH($AS$69:$AZ$69,IFERROR(('Final Calculation Sheet'!$I$26)&amp;"","")))))&gt;0),IF(COUNTIF($BI$69:$BP$69,7)=0,TRUE,SUMPRODUCT(($BI$69:$BP$69=7)*($AS$69:$AZ$69&lt;&gt;"")*IF(((UPPER($AS$69:$AZ$69)="BLANK")+(UPPER($AS$69:$AZ$69)="(BLANK)")+(UPPER($AS$69:$AZ$69)="EMPTY")+(UPPER($AS$69:$AZ$69)="(EMPTY)"))&gt;0,IFERROR(('Final Calculation Sheet'!$I$26)&amp;"","")="",ISNUMBER(SEARCH($AS$69:$AZ$69,IFERROR(('Final Calculation Sheet'!$I$26)&amp;"","")))))&gt;0),IF(COUNTIF($BI$69:$BP$69,8)=0,TRUE,SUMPRODUCT(($BI$69:$BP$69=8)*($AS$69:$AZ$69&lt;&gt;"")*IF(((UPPER($AS$69:$AZ$69)="BLANK")+(UPPER($AS$69:$AZ$69)="(BLANK)")+(UPPER($AS$69:$AZ$69)="EMPTY")+(UPPER($AS$69:$AZ$69)="(EMPTY)"))&gt;0,IFERROR(('Final Calculation Sheet'!$I$26)&amp;"","")="",ISNUMBER(SEARCH($AS$69:$AZ$69,IFERROR(('Final Calculation Sheet'!$I$26)&amp;"","")))))&gt;0))))</f>
        <v>1</v>
      </c>
      <c r="BW27">
        <f>IF($K$4="",1,--(AND(SUMPRODUCT(--($AS$70:$AZ$70&lt;&gt;""))&gt;0,IF(COUNTIF($BI$70:$BP$70,1)=0,TRUE,SUMPRODUCT(($BI$70:$BP$70=1)*($AS$70:$AZ$70&lt;&gt;"")*IF(((UPPER($AS$70:$AZ$70)="BLANK")+(UPPER($AS$70:$AZ$70)="(BLANK)")+(UPPER($AS$70:$AZ$70)="EMPTY")+(UPPER($AS$70:$AZ$70)="(EMPTY)"))&gt;0,IFERROR(('Final Calculation Sheet'!$J$26)&amp;"","")="",ISNUMBER(SEARCH($AS$70:$AZ$70,IFERROR(('Final Calculation Sheet'!$J$26)&amp;"","")))))&gt;0),IF(COUNTIF($BI$70:$BP$70,2)=0,TRUE,SUMPRODUCT(($BI$70:$BP$70=2)*($AS$70:$AZ$70&lt;&gt;"")*IF(((UPPER($AS$70:$AZ$70)="BLANK")+(UPPER($AS$70:$AZ$70)="(BLANK)")+(UPPER($AS$70:$AZ$70)="EMPTY")+(UPPER($AS$70:$AZ$70)="(EMPTY)"))&gt;0,IFERROR(('Final Calculation Sheet'!$J$26)&amp;"","")="",ISNUMBER(SEARCH($AS$70:$AZ$70,IFERROR(('Final Calculation Sheet'!$J$26)&amp;"","")))))&gt;0),IF(COUNTIF($BI$70:$BP$70,3)=0,TRUE,SUMPRODUCT(($BI$70:$BP$70=3)*($AS$70:$AZ$70&lt;&gt;"")*IF(((UPPER($AS$70:$AZ$70)="BLANK")+(UPPER($AS$70:$AZ$70)="(BLANK)")+(UPPER($AS$70:$AZ$70)="EMPTY")+(UPPER($AS$70:$AZ$70)="(EMPTY)"))&gt;0,IFERROR(('Final Calculation Sheet'!$J$26)&amp;"","")="",ISNUMBER(SEARCH($AS$70:$AZ$70,IFERROR(('Final Calculation Sheet'!$J$26)&amp;"","")))))&gt;0),IF(COUNTIF($BI$70:$BP$70,4)=0,TRUE,SUMPRODUCT(($BI$70:$BP$70=4)*($AS$70:$AZ$70&lt;&gt;"")*IF(((UPPER($AS$70:$AZ$70)="BLANK")+(UPPER($AS$70:$AZ$70)="(BLANK)")+(UPPER($AS$70:$AZ$70)="EMPTY")+(UPPER($AS$70:$AZ$70)="(EMPTY)"))&gt;0,IFERROR(('Final Calculation Sheet'!$J$26)&amp;"","")="",ISNUMBER(SEARCH($AS$70:$AZ$70,IFERROR(('Final Calculation Sheet'!$J$26)&amp;"","")))))&gt;0),IF(COUNTIF($BI$70:$BP$70,5)=0,TRUE,SUMPRODUCT(($BI$70:$BP$70=5)*($AS$70:$AZ$70&lt;&gt;"")*IF(((UPPER($AS$70:$AZ$70)="BLANK")+(UPPER($AS$70:$AZ$70)="(BLANK)")+(UPPER($AS$70:$AZ$70)="EMPTY")+(UPPER($AS$70:$AZ$70)="(EMPTY)"))&gt;0,IFERROR(('Final Calculation Sheet'!$J$26)&amp;"","")="",ISNUMBER(SEARCH($AS$70:$AZ$70,IFERROR(('Final Calculation Sheet'!$J$26)&amp;"","")))))&gt;0),IF(COUNTIF($BI$70:$BP$70,6)=0,TRUE,SUMPRODUCT(($BI$70:$BP$70=6)*($AS$70:$AZ$70&lt;&gt;"")*IF(((UPPER($AS$70:$AZ$70)="BLANK")+(UPPER($AS$70:$AZ$70)="(BLANK)")+(UPPER($AS$70:$AZ$70)="EMPTY")+(UPPER($AS$70:$AZ$70)="(EMPTY)"))&gt;0,IFERROR(('Final Calculation Sheet'!$J$26)&amp;"","")="",ISNUMBER(SEARCH($AS$70:$AZ$70,IFERROR(('Final Calculation Sheet'!$J$26)&amp;"","")))))&gt;0),IF(COUNTIF($BI$70:$BP$70,7)=0,TRUE,SUMPRODUCT(($BI$70:$BP$70=7)*($AS$70:$AZ$70&lt;&gt;"")*IF(((UPPER($AS$70:$AZ$70)="BLANK")+(UPPER($AS$70:$AZ$70)="(BLANK)")+(UPPER($AS$70:$AZ$70)="EMPTY")+(UPPER($AS$70:$AZ$70)="(EMPTY)"))&gt;0,IFERROR(('Final Calculation Sheet'!$J$26)&amp;"","")="",ISNUMBER(SEARCH($AS$70:$AZ$70,IFERROR(('Final Calculation Sheet'!$J$26)&amp;"","")))))&gt;0),IF(COUNTIF($BI$70:$BP$70,8)=0,TRUE,SUMPRODUCT(($BI$70:$BP$70=8)*($AS$70:$AZ$70&lt;&gt;"")*IF(((UPPER($AS$70:$AZ$70)="BLANK")+(UPPER($AS$70:$AZ$70)="(BLANK)")+(UPPER($AS$70:$AZ$70)="EMPTY")+(UPPER($AS$70:$AZ$70)="(EMPTY)"))&gt;0,IFERROR(('Final Calculation Sheet'!$J$26)&amp;"","")="",ISNUMBER(SEARCH($AS$70:$AZ$70,IFERROR(('Final Calculation Sheet'!$J$26)&amp;"","")))))&gt;0))))</f>
        <v>1</v>
      </c>
      <c r="BX27">
        <f>IF($L$4="",1,--(AND(SUMPRODUCT(--($AS$71:$AZ$71&lt;&gt;""))&gt;0,IF(COUNTIF($BI$71:$BP$71,1)=0,TRUE,SUMPRODUCT(($BI$71:$BP$71=1)*($AS$71:$AZ$71&lt;&gt;"")*IF(((UPPER($AS$71:$AZ$71)="BLANK")+(UPPER($AS$71:$AZ$71)="(BLANK)")+(UPPER($AS$71:$AZ$71)="EMPTY")+(UPPER($AS$71:$AZ$71)="(EMPTY)"))&gt;0,IFERROR(('Final Calculation Sheet'!$K$26)&amp;"","")="",ISNUMBER(SEARCH($AS$71:$AZ$71,IFERROR(('Final Calculation Sheet'!$K$26)&amp;"","")))))&gt;0),IF(COUNTIF($BI$71:$BP$71,2)=0,TRUE,SUMPRODUCT(($BI$71:$BP$71=2)*($AS$71:$AZ$71&lt;&gt;"")*IF(((UPPER($AS$71:$AZ$71)="BLANK")+(UPPER($AS$71:$AZ$71)="(BLANK)")+(UPPER($AS$71:$AZ$71)="EMPTY")+(UPPER($AS$71:$AZ$71)="(EMPTY)"))&gt;0,IFERROR(('Final Calculation Sheet'!$K$26)&amp;"","")="",ISNUMBER(SEARCH($AS$71:$AZ$71,IFERROR(('Final Calculation Sheet'!$K$26)&amp;"","")))))&gt;0),IF(COUNTIF($BI$71:$BP$71,3)=0,TRUE,SUMPRODUCT(($BI$71:$BP$71=3)*($AS$71:$AZ$71&lt;&gt;"")*IF(((UPPER($AS$71:$AZ$71)="BLANK")+(UPPER($AS$71:$AZ$71)="(BLANK)")+(UPPER($AS$71:$AZ$71)="EMPTY")+(UPPER($AS$71:$AZ$71)="(EMPTY)"))&gt;0,IFERROR(('Final Calculation Sheet'!$K$26)&amp;"","")="",ISNUMBER(SEARCH($AS$71:$AZ$71,IFERROR(('Final Calculation Sheet'!$K$26)&amp;"","")))))&gt;0),IF(COUNTIF($BI$71:$BP$71,4)=0,TRUE,SUMPRODUCT(($BI$71:$BP$71=4)*($AS$71:$AZ$71&lt;&gt;"")*IF(((UPPER($AS$71:$AZ$71)="BLANK")+(UPPER($AS$71:$AZ$71)="(BLANK)")+(UPPER($AS$71:$AZ$71)="EMPTY")+(UPPER($AS$71:$AZ$71)="(EMPTY)"))&gt;0,IFERROR(('Final Calculation Sheet'!$K$26)&amp;"","")="",ISNUMBER(SEARCH($AS$71:$AZ$71,IFERROR(('Final Calculation Sheet'!$K$26)&amp;"","")))))&gt;0),IF(COUNTIF($BI$71:$BP$71,5)=0,TRUE,SUMPRODUCT(($BI$71:$BP$71=5)*($AS$71:$AZ$71&lt;&gt;"")*IF(((UPPER($AS$71:$AZ$71)="BLANK")+(UPPER($AS$71:$AZ$71)="(BLANK)")+(UPPER($AS$71:$AZ$71)="EMPTY")+(UPPER($AS$71:$AZ$71)="(EMPTY)"))&gt;0,IFERROR(('Final Calculation Sheet'!$K$26)&amp;"","")="",ISNUMBER(SEARCH($AS$71:$AZ$71,IFERROR(('Final Calculation Sheet'!$K$26)&amp;"","")))))&gt;0),IF(COUNTIF($BI$71:$BP$71,6)=0,TRUE,SUMPRODUCT(($BI$71:$BP$71=6)*($AS$71:$AZ$71&lt;&gt;"")*IF(((UPPER($AS$71:$AZ$71)="BLANK")+(UPPER($AS$71:$AZ$71)="(BLANK)")+(UPPER($AS$71:$AZ$71)="EMPTY")+(UPPER($AS$71:$AZ$71)="(EMPTY)"))&gt;0,IFERROR(('Final Calculation Sheet'!$K$26)&amp;"","")="",ISNUMBER(SEARCH($AS$71:$AZ$71,IFERROR(('Final Calculation Sheet'!$K$26)&amp;"","")))))&gt;0),IF(COUNTIF($BI$71:$BP$71,7)=0,TRUE,SUMPRODUCT(($BI$71:$BP$71=7)*($AS$71:$AZ$71&lt;&gt;"")*IF(((UPPER($AS$71:$AZ$71)="BLANK")+(UPPER($AS$71:$AZ$71)="(BLANK)")+(UPPER($AS$71:$AZ$71)="EMPTY")+(UPPER($AS$71:$AZ$71)="(EMPTY)"))&gt;0,IFERROR(('Final Calculation Sheet'!$K$26)&amp;"","")="",ISNUMBER(SEARCH($AS$71:$AZ$71,IFERROR(('Final Calculation Sheet'!$K$26)&amp;"","")))))&gt;0),IF(COUNTIF($BI$71:$BP$71,8)=0,TRUE,SUMPRODUCT(($BI$71:$BP$71=8)*($AS$71:$AZ$71&lt;&gt;"")*IF(((UPPER($AS$71:$AZ$71)="BLANK")+(UPPER($AS$71:$AZ$71)="(BLANK)")+(UPPER($AS$71:$AZ$71)="EMPTY")+(UPPER($AS$71:$AZ$71)="(EMPTY)"))&gt;0,IFERROR(('Final Calculation Sheet'!$K$26)&amp;"","")="",ISNUMBER(SEARCH($AS$71:$AZ$71,IFERROR(('Final Calculation Sheet'!$K$26)&amp;"","")))))&gt;0))))</f>
        <v>1</v>
      </c>
      <c r="BY27">
        <f>IF($M$4="",1,--(AND(SUMPRODUCT(--($AS$72:$AZ$72&lt;&gt;""))&gt;0,IF(COUNTIF($BI$72:$BP$72,1)=0,TRUE,SUMPRODUCT(($BI$72:$BP$72=1)*($AS$72:$AZ$72&lt;&gt;"")*IF(((UPPER($AS$72:$AZ$72)="BLANK")+(UPPER($AS$72:$AZ$72)="(BLANK)")+(UPPER($AS$72:$AZ$72)="EMPTY")+(UPPER($AS$72:$AZ$72)="(EMPTY)"))&gt;0,IFERROR(('Final Calculation Sheet'!$L$26)&amp;"","")="",ISNUMBER(SEARCH($AS$72:$AZ$72,IFERROR(('Final Calculation Sheet'!$L$26)&amp;"","")))))&gt;0),IF(COUNTIF($BI$72:$BP$72,2)=0,TRUE,SUMPRODUCT(($BI$72:$BP$72=2)*($AS$72:$AZ$72&lt;&gt;"")*IF(((UPPER($AS$72:$AZ$72)="BLANK")+(UPPER($AS$72:$AZ$72)="(BLANK)")+(UPPER($AS$72:$AZ$72)="EMPTY")+(UPPER($AS$72:$AZ$72)="(EMPTY)"))&gt;0,IFERROR(('Final Calculation Sheet'!$L$26)&amp;"","")="",ISNUMBER(SEARCH($AS$72:$AZ$72,IFERROR(('Final Calculation Sheet'!$L$26)&amp;"","")))))&gt;0),IF(COUNTIF($BI$72:$BP$72,3)=0,TRUE,SUMPRODUCT(($BI$72:$BP$72=3)*($AS$72:$AZ$72&lt;&gt;"")*IF(((UPPER($AS$72:$AZ$72)="BLANK")+(UPPER($AS$72:$AZ$72)="(BLANK)")+(UPPER($AS$72:$AZ$72)="EMPTY")+(UPPER($AS$72:$AZ$72)="(EMPTY)"))&gt;0,IFERROR(('Final Calculation Sheet'!$L$26)&amp;"","")="",ISNUMBER(SEARCH($AS$72:$AZ$72,IFERROR(('Final Calculation Sheet'!$L$26)&amp;"","")))))&gt;0),IF(COUNTIF($BI$72:$BP$72,4)=0,TRUE,SUMPRODUCT(($BI$72:$BP$72=4)*($AS$72:$AZ$72&lt;&gt;"")*IF(((UPPER($AS$72:$AZ$72)="BLANK")+(UPPER($AS$72:$AZ$72)="(BLANK)")+(UPPER($AS$72:$AZ$72)="EMPTY")+(UPPER($AS$72:$AZ$72)="(EMPTY)"))&gt;0,IFERROR(('Final Calculation Sheet'!$L$26)&amp;"","")="",ISNUMBER(SEARCH($AS$72:$AZ$72,IFERROR(('Final Calculation Sheet'!$L$26)&amp;"","")))))&gt;0),IF(COUNTIF($BI$72:$BP$72,5)=0,TRUE,SUMPRODUCT(($BI$72:$BP$72=5)*($AS$72:$AZ$72&lt;&gt;"")*IF(((UPPER($AS$72:$AZ$72)="BLANK")+(UPPER($AS$72:$AZ$72)="(BLANK)")+(UPPER($AS$72:$AZ$72)="EMPTY")+(UPPER($AS$72:$AZ$72)="(EMPTY)"))&gt;0,IFERROR(('Final Calculation Sheet'!$L$26)&amp;"","")="",ISNUMBER(SEARCH($AS$72:$AZ$72,IFERROR(('Final Calculation Sheet'!$L$26)&amp;"","")))))&gt;0),IF(COUNTIF($BI$72:$BP$72,6)=0,TRUE,SUMPRODUCT(($BI$72:$BP$72=6)*($AS$72:$AZ$72&lt;&gt;"")*IF(((UPPER($AS$72:$AZ$72)="BLANK")+(UPPER($AS$72:$AZ$72)="(BLANK)")+(UPPER($AS$72:$AZ$72)="EMPTY")+(UPPER($AS$72:$AZ$72)="(EMPTY)"))&gt;0,IFERROR(('Final Calculation Sheet'!$L$26)&amp;"","")="",ISNUMBER(SEARCH($AS$72:$AZ$72,IFERROR(('Final Calculation Sheet'!$L$26)&amp;"","")))))&gt;0),IF(COUNTIF($BI$72:$BP$72,7)=0,TRUE,SUMPRODUCT(($BI$72:$BP$72=7)*($AS$72:$AZ$72&lt;&gt;"")*IF(((UPPER($AS$72:$AZ$72)="BLANK")+(UPPER($AS$72:$AZ$72)="(BLANK)")+(UPPER($AS$72:$AZ$72)="EMPTY")+(UPPER($AS$72:$AZ$72)="(EMPTY)"))&gt;0,IFERROR(('Final Calculation Sheet'!$L$26)&amp;"","")="",ISNUMBER(SEARCH($AS$72:$AZ$72,IFERROR(('Final Calculation Sheet'!$L$26)&amp;"","")))))&gt;0),IF(COUNTIF($BI$72:$BP$72,8)=0,TRUE,SUMPRODUCT(($BI$72:$BP$72=8)*($AS$72:$AZ$72&lt;&gt;"")*IF(((UPPER($AS$72:$AZ$72)="BLANK")+(UPPER($AS$72:$AZ$72)="(BLANK)")+(UPPER($AS$72:$AZ$72)="EMPTY")+(UPPER($AS$72:$AZ$72)="(EMPTY)"))&gt;0,IFERROR(('Final Calculation Sheet'!$L$26)&amp;"","")="",ISNUMBER(SEARCH($AS$72:$AZ$72,IFERROR(('Final Calculation Sheet'!$L$26)&amp;"","")))))&gt;0))))</f>
        <v>1</v>
      </c>
      <c r="BZ27">
        <f>IF($N$4="",1,--(AND(SUMPRODUCT(--($AS$73:$AZ$73&lt;&gt;""))&gt;0,IF(COUNTIF($BI$73:$BP$73,1)=0,TRUE,SUMPRODUCT(($BI$73:$BP$73=1)*($AS$73:$AZ$73&lt;&gt;"")*IF(((UPPER($AS$73:$AZ$73)="BLANK")+(UPPER($AS$73:$AZ$73)="(BLANK)")+(UPPER($AS$73:$AZ$73)="EMPTY")+(UPPER($AS$73:$AZ$73)="(EMPTY)"))&gt;0,IFERROR(('Final Calculation Sheet'!$M$26)&amp;"","")="",ISNUMBER(SEARCH($AS$73:$AZ$73,IFERROR(('Final Calculation Sheet'!$M$26)&amp;"","")))))&gt;0),IF(COUNTIF($BI$73:$BP$73,2)=0,TRUE,SUMPRODUCT(($BI$73:$BP$73=2)*($AS$73:$AZ$73&lt;&gt;"")*IF(((UPPER($AS$73:$AZ$73)="BLANK")+(UPPER($AS$73:$AZ$73)="(BLANK)")+(UPPER($AS$73:$AZ$73)="EMPTY")+(UPPER($AS$73:$AZ$73)="(EMPTY)"))&gt;0,IFERROR(('Final Calculation Sheet'!$M$26)&amp;"","")="",ISNUMBER(SEARCH($AS$73:$AZ$73,IFERROR(('Final Calculation Sheet'!$M$26)&amp;"","")))))&gt;0),IF(COUNTIF($BI$73:$BP$73,3)=0,TRUE,SUMPRODUCT(($BI$73:$BP$73=3)*($AS$73:$AZ$73&lt;&gt;"")*IF(((UPPER($AS$73:$AZ$73)="BLANK")+(UPPER($AS$73:$AZ$73)="(BLANK)")+(UPPER($AS$73:$AZ$73)="EMPTY")+(UPPER($AS$73:$AZ$73)="(EMPTY)"))&gt;0,IFERROR(('Final Calculation Sheet'!$M$26)&amp;"","")="",ISNUMBER(SEARCH($AS$73:$AZ$73,IFERROR(('Final Calculation Sheet'!$M$26)&amp;"","")))))&gt;0),IF(COUNTIF($BI$73:$BP$73,4)=0,TRUE,SUMPRODUCT(($BI$73:$BP$73=4)*($AS$73:$AZ$73&lt;&gt;"")*IF(((UPPER($AS$73:$AZ$73)="BLANK")+(UPPER($AS$73:$AZ$73)="(BLANK)")+(UPPER($AS$73:$AZ$73)="EMPTY")+(UPPER($AS$73:$AZ$73)="(EMPTY)"))&gt;0,IFERROR(('Final Calculation Sheet'!$M$26)&amp;"","")="",ISNUMBER(SEARCH($AS$73:$AZ$73,IFERROR(('Final Calculation Sheet'!$M$26)&amp;"","")))))&gt;0),IF(COUNTIF($BI$73:$BP$73,5)=0,TRUE,SUMPRODUCT(($BI$73:$BP$73=5)*($AS$73:$AZ$73&lt;&gt;"")*IF(((UPPER($AS$73:$AZ$73)="BLANK")+(UPPER($AS$73:$AZ$73)="(BLANK)")+(UPPER($AS$73:$AZ$73)="EMPTY")+(UPPER($AS$73:$AZ$73)="(EMPTY)"))&gt;0,IFERROR(('Final Calculation Sheet'!$M$26)&amp;"","")="",ISNUMBER(SEARCH($AS$73:$AZ$73,IFERROR(('Final Calculation Sheet'!$M$26)&amp;"","")))))&gt;0),IF(COUNTIF($BI$73:$BP$73,6)=0,TRUE,SUMPRODUCT(($BI$73:$BP$73=6)*($AS$73:$AZ$73&lt;&gt;"")*IF(((UPPER($AS$73:$AZ$73)="BLANK")+(UPPER($AS$73:$AZ$73)="(BLANK)")+(UPPER($AS$73:$AZ$73)="EMPTY")+(UPPER($AS$73:$AZ$73)="(EMPTY)"))&gt;0,IFERROR(('Final Calculation Sheet'!$M$26)&amp;"","")="",ISNUMBER(SEARCH($AS$73:$AZ$73,IFERROR(('Final Calculation Sheet'!$M$26)&amp;"","")))))&gt;0),IF(COUNTIF($BI$73:$BP$73,7)=0,TRUE,SUMPRODUCT(($BI$73:$BP$73=7)*($AS$73:$AZ$73&lt;&gt;"")*IF(((UPPER($AS$73:$AZ$73)="BLANK")+(UPPER($AS$73:$AZ$73)="(BLANK)")+(UPPER($AS$73:$AZ$73)="EMPTY")+(UPPER($AS$73:$AZ$73)="(EMPTY)"))&gt;0,IFERROR(('Final Calculation Sheet'!$M$26)&amp;"","")="",ISNUMBER(SEARCH($AS$73:$AZ$73,IFERROR(('Final Calculation Sheet'!$M$26)&amp;"","")))))&gt;0),IF(COUNTIF($BI$73:$BP$73,8)=0,TRUE,SUMPRODUCT(($BI$73:$BP$73=8)*($AS$73:$AZ$73&lt;&gt;"")*IF(((UPPER($AS$73:$AZ$73)="BLANK")+(UPPER($AS$73:$AZ$73)="(BLANK)")+(UPPER($AS$73:$AZ$73)="EMPTY")+(UPPER($AS$73:$AZ$73)="(EMPTY)"))&gt;0,IFERROR(('Final Calculation Sheet'!$M$26)&amp;"","")="",ISNUMBER(SEARCH($AS$73:$AZ$73,IFERROR(('Final Calculation Sheet'!$M$26)&amp;"","")))))&gt;0))))</f>
        <v>1</v>
      </c>
      <c r="CA27">
        <f>IF($O$4="",1,--(AND(SUMPRODUCT(--($AS$74:$AZ$74&lt;&gt;""))&gt;0,IF(COUNTIF($BI$74:$BP$74,1)=0,TRUE,SUMPRODUCT(($BI$74:$BP$74=1)*($AS$74:$AZ$74&lt;&gt;"")*IF(((UPPER($AS$74:$AZ$74)="BLANK")+(UPPER($AS$74:$AZ$74)="(BLANK)")+(UPPER($AS$74:$AZ$74)="EMPTY")+(UPPER($AS$74:$AZ$74)="(EMPTY)"))&gt;0,IFERROR(('Final Calculation Sheet'!$N$26)&amp;"","")="",ISNUMBER(SEARCH($AS$74:$AZ$74,IFERROR(('Final Calculation Sheet'!$N$26)&amp;"","")))))&gt;0),IF(COUNTIF($BI$74:$BP$74,2)=0,TRUE,SUMPRODUCT(($BI$74:$BP$74=2)*($AS$74:$AZ$74&lt;&gt;"")*IF(((UPPER($AS$74:$AZ$74)="BLANK")+(UPPER($AS$74:$AZ$74)="(BLANK)")+(UPPER($AS$74:$AZ$74)="EMPTY")+(UPPER($AS$74:$AZ$74)="(EMPTY)"))&gt;0,IFERROR(('Final Calculation Sheet'!$N$26)&amp;"","")="",ISNUMBER(SEARCH($AS$74:$AZ$74,IFERROR(('Final Calculation Sheet'!$N$26)&amp;"","")))))&gt;0),IF(COUNTIF($BI$74:$BP$74,3)=0,TRUE,SUMPRODUCT(($BI$74:$BP$74=3)*($AS$74:$AZ$74&lt;&gt;"")*IF(((UPPER($AS$74:$AZ$74)="BLANK")+(UPPER($AS$74:$AZ$74)="(BLANK)")+(UPPER($AS$74:$AZ$74)="EMPTY")+(UPPER($AS$74:$AZ$74)="(EMPTY)"))&gt;0,IFERROR(('Final Calculation Sheet'!$N$26)&amp;"","")="",ISNUMBER(SEARCH($AS$74:$AZ$74,IFERROR(('Final Calculation Sheet'!$N$26)&amp;"","")))))&gt;0),IF(COUNTIF($BI$74:$BP$74,4)=0,TRUE,SUMPRODUCT(($BI$74:$BP$74=4)*($AS$74:$AZ$74&lt;&gt;"")*IF(((UPPER($AS$74:$AZ$74)="BLANK")+(UPPER($AS$74:$AZ$74)="(BLANK)")+(UPPER($AS$74:$AZ$74)="EMPTY")+(UPPER($AS$74:$AZ$74)="(EMPTY)"))&gt;0,IFERROR(('Final Calculation Sheet'!$N$26)&amp;"","")="",ISNUMBER(SEARCH($AS$74:$AZ$74,IFERROR(('Final Calculation Sheet'!$N$26)&amp;"","")))))&gt;0),IF(COUNTIF($BI$74:$BP$74,5)=0,TRUE,SUMPRODUCT(($BI$74:$BP$74=5)*($AS$74:$AZ$74&lt;&gt;"")*IF(((UPPER($AS$74:$AZ$74)="BLANK")+(UPPER($AS$74:$AZ$74)="(BLANK)")+(UPPER($AS$74:$AZ$74)="EMPTY")+(UPPER($AS$74:$AZ$74)="(EMPTY)"))&gt;0,IFERROR(('Final Calculation Sheet'!$N$26)&amp;"","")="",ISNUMBER(SEARCH($AS$74:$AZ$74,IFERROR(('Final Calculation Sheet'!$N$26)&amp;"","")))))&gt;0),IF(COUNTIF($BI$74:$BP$74,6)=0,TRUE,SUMPRODUCT(($BI$74:$BP$74=6)*($AS$74:$AZ$74&lt;&gt;"")*IF(((UPPER($AS$74:$AZ$74)="BLANK")+(UPPER($AS$74:$AZ$74)="(BLANK)")+(UPPER($AS$74:$AZ$74)="EMPTY")+(UPPER($AS$74:$AZ$74)="(EMPTY)"))&gt;0,IFERROR(('Final Calculation Sheet'!$N$26)&amp;"","")="",ISNUMBER(SEARCH($AS$74:$AZ$74,IFERROR(('Final Calculation Sheet'!$N$26)&amp;"","")))))&gt;0),IF(COUNTIF($BI$74:$BP$74,7)=0,TRUE,SUMPRODUCT(($BI$74:$BP$74=7)*($AS$74:$AZ$74&lt;&gt;"")*IF(((UPPER($AS$74:$AZ$74)="BLANK")+(UPPER($AS$74:$AZ$74)="(BLANK)")+(UPPER($AS$74:$AZ$74)="EMPTY")+(UPPER($AS$74:$AZ$74)="(EMPTY)"))&gt;0,IFERROR(('Final Calculation Sheet'!$N$26)&amp;"","")="",ISNUMBER(SEARCH($AS$74:$AZ$74,IFERROR(('Final Calculation Sheet'!$N$26)&amp;"","")))))&gt;0),IF(COUNTIF($BI$74:$BP$74,8)=0,TRUE,SUMPRODUCT(($BI$74:$BP$74=8)*($AS$74:$AZ$74&lt;&gt;"")*IF(((UPPER($AS$74:$AZ$74)="BLANK")+(UPPER($AS$74:$AZ$74)="(BLANK)")+(UPPER($AS$74:$AZ$74)="EMPTY")+(UPPER($AS$74:$AZ$74)="(EMPTY)"))&gt;0,IFERROR(('Final Calculation Sheet'!$N$26)&amp;"","")="",ISNUMBER(SEARCH($AS$74:$AZ$74,IFERROR(('Final Calculation Sheet'!$N$26)&amp;"","")))))&gt;0))))</f>
        <v>1</v>
      </c>
      <c r="CB27">
        <f>IF($P$4="",1,--(AND(SUMPRODUCT(--($AS$75:$AZ$75&lt;&gt;""))&gt;0,IF(COUNTIF($BI$75:$BP$75,1)=0,TRUE,SUMPRODUCT(($BI$75:$BP$75=1)*($AS$75:$AZ$75&lt;&gt;"")*IF(((UPPER($AS$75:$AZ$75)="BLANK")+(UPPER($AS$75:$AZ$75)="(BLANK)")+(UPPER($AS$75:$AZ$75)="EMPTY")+(UPPER($AS$75:$AZ$75)="(EMPTY)"))&gt;0,IFERROR(('Final Calculation Sheet'!$O$26)&amp;"","")="",ISNUMBER(SEARCH($AS$75:$AZ$75,IFERROR(('Final Calculation Sheet'!$O$26)&amp;"","")))))&gt;0),IF(COUNTIF($BI$75:$BP$75,2)=0,TRUE,SUMPRODUCT(($BI$75:$BP$75=2)*($AS$75:$AZ$75&lt;&gt;"")*IF(((UPPER($AS$75:$AZ$75)="BLANK")+(UPPER($AS$75:$AZ$75)="(BLANK)")+(UPPER($AS$75:$AZ$75)="EMPTY")+(UPPER($AS$75:$AZ$75)="(EMPTY)"))&gt;0,IFERROR(('Final Calculation Sheet'!$O$26)&amp;"","")="",ISNUMBER(SEARCH($AS$75:$AZ$75,IFERROR(('Final Calculation Sheet'!$O$26)&amp;"","")))))&gt;0),IF(COUNTIF($BI$75:$BP$75,3)=0,TRUE,SUMPRODUCT(($BI$75:$BP$75=3)*($AS$75:$AZ$75&lt;&gt;"")*IF(((UPPER($AS$75:$AZ$75)="BLANK")+(UPPER($AS$75:$AZ$75)="(BLANK)")+(UPPER($AS$75:$AZ$75)="EMPTY")+(UPPER($AS$75:$AZ$75)="(EMPTY)"))&gt;0,IFERROR(('Final Calculation Sheet'!$O$26)&amp;"","")="",ISNUMBER(SEARCH($AS$75:$AZ$75,IFERROR(('Final Calculation Sheet'!$O$26)&amp;"","")))))&gt;0),IF(COUNTIF($BI$75:$BP$75,4)=0,TRUE,SUMPRODUCT(($BI$75:$BP$75=4)*($AS$75:$AZ$75&lt;&gt;"")*IF(((UPPER($AS$75:$AZ$75)="BLANK")+(UPPER($AS$75:$AZ$75)="(BLANK)")+(UPPER($AS$75:$AZ$75)="EMPTY")+(UPPER($AS$75:$AZ$75)="(EMPTY)"))&gt;0,IFERROR(('Final Calculation Sheet'!$O$26)&amp;"","")="",ISNUMBER(SEARCH($AS$75:$AZ$75,IFERROR(('Final Calculation Sheet'!$O$26)&amp;"","")))))&gt;0),IF(COUNTIF($BI$75:$BP$75,5)=0,TRUE,SUMPRODUCT(($BI$75:$BP$75=5)*($AS$75:$AZ$75&lt;&gt;"")*IF(((UPPER($AS$75:$AZ$75)="BLANK")+(UPPER($AS$75:$AZ$75)="(BLANK)")+(UPPER($AS$75:$AZ$75)="EMPTY")+(UPPER($AS$75:$AZ$75)="(EMPTY)"))&gt;0,IFERROR(('Final Calculation Sheet'!$O$26)&amp;"","")="",ISNUMBER(SEARCH($AS$75:$AZ$75,IFERROR(('Final Calculation Sheet'!$O$26)&amp;"","")))))&gt;0),IF(COUNTIF($BI$75:$BP$75,6)=0,TRUE,SUMPRODUCT(($BI$75:$BP$75=6)*($AS$75:$AZ$75&lt;&gt;"")*IF(((UPPER($AS$75:$AZ$75)="BLANK")+(UPPER($AS$75:$AZ$75)="(BLANK)")+(UPPER($AS$75:$AZ$75)="EMPTY")+(UPPER($AS$75:$AZ$75)="(EMPTY)"))&gt;0,IFERROR(('Final Calculation Sheet'!$O$26)&amp;"","")="",ISNUMBER(SEARCH($AS$75:$AZ$75,IFERROR(('Final Calculation Sheet'!$O$26)&amp;"","")))))&gt;0),IF(COUNTIF($BI$75:$BP$75,7)=0,TRUE,SUMPRODUCT(($BI$75:$BP$75=7)*($AS$75:$AZ$75&lt;&gt;"")*IF(((UPPER($AS$75:$AZ$75)="BLANK")+(UPPER($AS$75:$AZ$75)="(BLANK)")+(UPPER($AS$75:$AZ$75)="EMPTY")+(UPPER($AS$75:$AZ$75)="(EMPTY)"))&gt;0,IFERROR(('Final Calculation Sheet'!$O$26)&amp;"","")="",ISNUMBER(SEARCH($AS$75:$AZ$75,IFERROR(('Final Calculation Sheet'!$O$26)&amp;"","")))))&gt;0),IF(COUNTIF($BI$75:$BP$75,8)=0,TRUE,SUMPRODUCT(($BI$75:$BP$75=8)*($AS$75:$AZ$75&lt;&gt;"")*IF(((UPPER($AS$75:$AZ$75)="BLANK")+(UPPER($AS$75:$AZ$75)="(BLANK)")+(UPPER($AS$75:$AZ$75)="EMPTY")+(UPPER($AS$75:$AZ$75)="(EMPTY)"))&gt;0,IFERROR(('Final Calculation Sheet'!$O$26)&amp;"","")="",ISNUMBER(SEARCH($AS$75:$AZ$75,IFERROR(('Final Calculation Sheet'!$O$26)&amp;"","")))))&gt;0))))</f>
        <v>1</v>
      </c>
      <c r="CC27">
        <f>IF($Q$4="",1,--(AND(SUMPRODUCT(--($AS$76:$AZ$76&lt;&gt;""))&gt;0,IF(COUNTIF($BI$76:$BP$76,1)=0,TRUE,SUMPRODUCT(($BI$76:$BP$76=1)*($AS$76:$AZ$76&lt;&gt;"")*IF(((UPPER($AS$76:$AZ$76)="BLANK")+(UPPER($AS$76:$AZ$76)="(BLANK)")+(UPPER($AS$76:$AZ$76)="EMPTY")+(UPPER($AS$76:$AZ$76)="(EMPTY)"))&gt;0,IFERROR(('Final Calculation Sheet'!$P$26)&amp;"","")="",ISNUMBER(SEARCH($AS$76:$AZ$76,IFERROR(('Final Calculation Sheet'!$P$26)&amp;"","")))))&gt;0),IF(COUNTIF($BI$76:$BP$76,2)=0,TRUE,SUMPRODUCT(($BI$76:$BP$76=2)*($AS$76:$AZ$76&lt;&gt;"")*IF(((UPPER($AS$76:$AZ$76)="BLANK")+(UPPER($AS$76:$AZ$76)="(BLANK)")+(UPPER($AS$76:$AZ$76)="EMPTY")+(UPPER($AS$76:$AZ$76)="(EMPTY)"))&gt;0,IFERROR(('Final Calculation Sheet'!$P$26)&amp;"","")="",ISNUMBER(SEARCH($AS$76:$AZ$76,IFERROR(('Final Calculation Sheet'!$P$26)&amp;"","")))))&gt;0),IF(COUNTIF($BI$76:$BP$76,3)=0,TRUE,SUMPRODUCT(($BI$76:$BP$76=3)*($AS$76:$AZ$76&lt;&gt;"")*IF(((UPPER($AS$76:$AZ$76)="BLANK")+(UPPER($AS$76:$AZ$76)="(BLANK)")+(UPPER($AS$76:$AZ$76)="EMPTY")+(UPPER($AS$76:$AZ$76)="(EMPTY)"))&gt;0,IFERROR(('Final Calculation Sheet'!$P$26)&amp;"","")="",ISNUMBER(SEARCH($AS$76:$AZ$76,IFERROR(('Final Calculation Sheet'!$P$26)&amp;"","")))))&gt;0),IF(COUNTIF($BI$76:$BP$76,4)=0,TRUE,SUMPRODUCT(($BI$76:$BP$76=4)*($AS$76:$AZ$76&lt;&gt;"")*IF(((UPPER($AS$76:$AZ$76)="BLANK")+(UPPER($AS$76:$AZ$76)="(BLANK)")+(UPPER($AS$76:$AZ$76)="EMPTY")+(UPPER($AS$76:$AZ$76)="(EMPTY)"))&gt;0,IFERROR(('Final Calculation Sheet'!$P$26)&amp;"","")="",ISNUMBER(SEARCH($AS$76:$AZ$76,IFERROR(('Final Calculation Sheet'!$P$26)&amp;"","")))))&gt;0),IF(COUNTIF($BI$76:$BP$76,5)=0,TRUE,SUMPRODUCT(($BI$76:$BP$76=5)*($AS$76:$AZ$76&lt;&gt;"")*IF(((UPPER($AS$76:$AZ$76)="BLANK")+(UPPER($AS$76:$AZ$76)="(BLANK)")+(UPPER($AS$76:$AZ$76)="EMPTY")+(UPPER($AS$76:$AZ$76)="(EMPTY)"))&gt;0,IFERROR(('Final Calculation Sheet'!$P$26)&amp;"","")="",ISNUMBER(SEARCH($AS$76:$AZ$76,IFERROR(('Final Calculation Sheet'!$P$26)&amp;"","")))))&gt;0),IF(COUNTIF($BI$76:$BP$76,6)=0,TRUE,SUMPRODUCT(($BI$76:$BP$76=6)*($AS$76:$AZ$76&lt;&gt;"")*IF(((UPPER($AS$76:$AZ$76)="BLANK")+(UPPER($AS$76:$AZ$76)="(BLANK)")+(UPPER($AS$76:$AZ$76)="EMPTY")+(UPPER($AS$76:$AZ$76)="(EMPTY)"))&gt;0,IFERROR(('Final Calculation Sheet'!$P$26)&amp;"","")="",ISNUMBER(SEARCH($AS$76:$AZ$76,IFERROR(('Final Calculation Sheet'!$P$26)&amp;"","")))))&gt;0),IF(COUNTIF($BI$76:$BP$76,7)=0,TRUE,SUMPRODUCT(($BI$76:$BP$76=7)*($AS$76:$AZ$76&lt;&gt;"")*IF(((UPPER($AS$76:$AZ$76)="BLANK")+(UPPER($AS$76:$AZ$76)="(BLANK)")+(UPPER($AS$76:$AZ$76)="EMPTY")+(UPPER($AS$76:$AZ$76)="(EMPTY)"))&gt;0,IFERROR(('Final Calculation Sheet'!$P$26)&amp;"","")="",ISNUMBER(SEARCH($AS$76:$AZ$76,IFERROR(('Final Calculation Sheet'!$P$26)&amp;"","")))))&gt;0),IF(COUNTIF($BI$76:$BP$76,8)=0,TRUE,SUMPRODUCT(($BI$76:$BP$76=8)*($AS$76:$AZ$76&lt;&gt;"")*IF(((UPPER($AS$76:$AZ$76)="BLANK")+(UPPER($AS$76:$AZ$76)="(BLANK)")+(UPPER($AS$76:$AZ$76)="EMPTY")+(UPPER($AS$76:$AZ$76)="(EMPTY)"))&gt;0,IFERROR(('Final Calculation Sheet'!$P$26)&amp;"","")="",ISNUMBER(SEARCH($AS$76:$AZ$76,IFERROR(('Final Calculation Sheet'!$P$26)&amp;"","")))))&gt;0))))</f>
        <v>1</v>
      </c>
      <c r="CD27">
        <f>IF($R$4="",1,--(AND(SUMPRODUCT(--($AS$77:$AZ$77&lt;&gt;""))&gt;0,IF(COUNTIF($BI$77:$BP$77,1)=0,TRUE,SUMPRODUCT(($BI$77:$BP$77=1)*($AS$77:$AZ$77&lt;&gt;"")*IF(((UPPER($AS$77:$AZ$77)="BLANK")+(UPPER($AS$77:$AZ$77)="(BLANK)")+(UPPER($AS$77:$AZ$77)="EMPTY")+(UPPER($AS$77:$AZ$77)="(EMPTY)"))&gt;0,IFERROR(('Final Calculation Sheet'!$Q$26)&amp;"","")="",ISNUMBER(SEARCH($AS$77:$AZ$77,IFERROR(('Final Calculation Sheet'!$Q$26)&amp;"","")))))&gt;0),IF(COUNTIF($BI$77:$BP$77,2)=0,TRUE,SUMPRODUCT(($BI$77:$BP$77=2)*($AS$77:$AZ$77&lt;&gt;"")*IF(((UPPER($AS$77:$AZ$77)="BLANK")+(UPPER($AS$77:$AZ$77)="(BLANK)")+(UPPER($AS$77:$AZ$77)="EMPTY")+(UPPER($AS$77:$AZ$77)="(EMPTY)"))&gt;0,IFERROR(('Final Calculation Sheet'!$Q$26)&amp;"","")="",ISNUMBER(SEARCH($AS$77:$AZ$77,IFERROR(('Final Calculation Sheet'!$Q$26)&amp;"","")))))&gt;0),IF(COUNTIF($BI$77:$BP$77,3)=0,TRUE,SUMPRODUCT(($BI$77:$BP$77=3)*($AS$77:$AZ$77&lt;&gt;"")*IF(((UPPER($AS$77:$AZ$77)="BLANK")+(UPPER($AS$77:$AZ$77)="(BLANK)")+(UPPER($AS$77:$AZ$77)="EMPTY")+(UPPER($AS$77:$AZ$77)="(EMPTY)"))&gt;0,IFERROR(('Final Calculation Sheet'!$Q$26)&amp;"","")="",ISNUMBER(SEARCH($AS$77:$AZ$77,IFERROR(('Final Calculation Sheet'!$Q$26)&amp;"","")))))&gt;0),IF(COUNTIF($BI$77:$BP$77,4)=0,TRUE,SUMPRODUCT(($BI$77:$BP$77=4)*($AS$77:$AZ$77&lt;&gt;"")*IF(((UPPER($AS$77:$AZ$77)="BLANK")+(UPPER($AS$77:$AZ$77)="(BLANK)")+(UPPER($AS$77:$AZ$77)="EMPTY")+(UPPER($AS$77:$AZ$77)="(EMPTY)"))&gt;0,IFERROR(('Final Calculation Sheet'!$Q$26)&amp;"","")="",ISNUMBER(SEARCH($AS$77:$AZ$77,IFERROR(('Final Calculation Sheet'!$Q$26)&amp;"","")))))&gt;0),IF(COUNTIF($BI$77:$BP$77,5)=0,TRUE,SUMPRODUCT(($BI$77:$BP$77=5)*($AS$77:$AZ$77&lt;&gt;"")*IF(((UPPER($AS$77:$AZ$77)="BLANK")+(UPPER($AS$77:$AZ$77)="(BLANK)")+(UPPER($AS$77:$AZ$77)="EMPTY")+(UPPER($AS$77:$AZ$77)="(EMPTY)"))&gt;0,IFERROR(('Final Calculation Sheet'!$Q$26)&amp;"","")="",ISNUMBER(SEARCH($AS$77:$AZ$77,IFERROR(('Final Calculation Sheet'!$Q$26)&amp;"","")))))&gt;0),IF(COUNTIF($BI$77:$BP$77,6)=0,TRUE,SUMPRODUCT(($BI$77:$BP$77=6)*($AS$77:$AZ$77&lt;&gt;"")*IF(((UPPER($AS$77:$AZ$77)="BLANK")+(UPPER($AS$77:$AZ$77)="(BLANK)")+(UPPER($AS$77:$AZ$77)="EMPTY")+(UPPER($AS$77:$AZ$77)="(EMPTY)"))&gt;0,IFERROR(('Final Calculation Sheet'!$Q$26)&amp;"","")="",ISNUMBER(SEARCH($AS$77:$AZ$77,IFERROR(('Final Calculation Sheet'!$Q$26)&amp;"","")))))&gt;0),IF(COUNTIF($BI$77:$BP$77,7)=0,TRUE,SUMPRODUCT(($BI$77:$BP$77=7)*($AS$77:$AZ$77&lt;&gt;"")*IF(((UPPER($AS$77:$AZ$77)="BLANK")+(UPPER($AS$77:$AZ$77)="(BLANK)")+(UPPER($AS$77:$AZ$77)="EMPTY")+(UPPER($AS$77:$AZ$77)="(EMPTY)"))&gt;0,IFERROR(('Final Calculation Sheet'!$Q$26)&amp;"","")="",ISNUMBER(SEARCH($AS$77:$AZ$77,IFERROR(('Final Calculation Sheet'!$Q$26)&amp;"","")))))&gt;0),IF(COUNTIF($BI$77:$BP$77,8)=0,TRUE,SUMPRODUCT(($BI$77:$BP$77=8)*($AS$77:$AZ$77&lt;&gt;"")*IF(((UPPER($AS$77:$AZ$77)="BLANK")+(UPPER($AS$77:$AZ$77)="(BLANK)")+(UPPER($AS$77:$AZ$77)="EMPTY")+(UPPER($AS$77:$AZ$77)="(EMPTY)"))&gt;0,IFERROR(('Final Calculation Sheet'!$Q$26)&amp;"","")="",ISNUMBER(SEARCH($AS$77:$AZ$77,IFERROR(('Final Calculation Sheet'!$Q$26)&amp;"","")))))&gt;0))))</f>
        <v>1</v>
      </c>
      <c r="CE27">
        <f>IF($S$4="",1,--(AND(SUMPRODUCT(--($AS$78:$AZ$78&lt;&gt;""))&gt;0,IF(COUNTIF($BI$78:$BP$78,1)=0,TRUE,SUMPRODUCT(($BI$78:$BP$78=1)*($AS$78:$AZ$78&lt;&gt;"")*IF(((UPPER($AS$78:$AZ$78)="BLANK")+(UPPER($AS$78:$AZ$78)="(BLANK)")+(UPPER($AS$78:$AZ$78)="EMPTY")+(UPPER($AS$78:$AZ$78)="(EMPTY)"))&gt;0,IFERROR(('Final Calculation Sheet'!$R$26)&amp;"","")="",ISNUMBER(SEARCH($AS$78:$AZ$78,IFERROR(('Final Calculation Sheet'!$R$26)&amp;"","")))))&gt;0),IF(COUNTIF($BI$78:$BP$78,2)=0,TRUE,SUMPRODUCT(($BI$78:$BP$78=2)*($AS$78:$AZ$78&lt;&gt;"")*IF(((UPPER($AS$78:$AZ$78)="BLANK")+(UPPER($AS$78:$AZ$78)="(BLANK)")+(UPPER($AS$78:$AZ$78)="EMPTY")+(UPPER($AS$78:$AZ$78)="(EMPTY)"))&gt;0,IFERROR(('Final Calculation Sheet'!$R$26)&amp;"","")="",ISNUMBER(SEARCH($AS$78:$AZ$78,IFERROR(('Final Calculation Sheet'!$R$26)&amp;"","")))))&gt;0),IF(COUNTIF($BI$78:$BP$78,3)=0,TRUE,SUMPRODUCT(($BI$78:$BP$78=3)*($AS$78:$AZ$78&lt;&gt;"")*IF(((UPPER($AS$78:$AZ$78)="BLANK")+(UPPER($AS$78:$AZ$78)="(BLANK)")+(UPPER($AS$78:$AZ$78)="EMPTY")+(UPPER($AS$78:$AZ$78)="(EMPTY)"))&gt;0,IFERROR(('Final Calculation Sheet'!$R$26)&amp;"","")="",ISNUMBER(SEARCH($AS$78:$AZ$78,IFERROR(('Final Calculation Sheet'!$R$26)&amp;"","")))))&gt;0),IF(COUNTIF($BI$78:$BP$78,4)=0,TRUE,SUMPRODUCT(($BI$78:$BP$78=4)*($AS$78:$AZ$78&lt;&gt;"")*IF(((UPPER($AS$78:$AZ$78)="BLANK")+(UPPER($AS$78:$AZ$78)="(BLANK)")+(UPPER($AS$78:$AZ$78)="EMPTY")+(UPPER($AS$78:$AZ$78)="(EMPTY)"))&gt;0,IFERROR(('Final Calculation Sheet'!$R$26)&amp;"","")="",ISNUMBER(SEARCH($AS$78:$AZ$78,IFERROR(('Final Calculation Sheet'!$R$26)&amp;"","")))))&gt;0),IF(COUNTIF($BI$78:$BP$78,5)=0,TRUE,SUMPRODUCT(($BI$78:$BP$78=5)*($AS$78:$AZ$78&lt;&gt;"")*IF(((UPPER($AS$78:$AZ$78)="BLANK")+(UPPER($AS$78:$AZ$78)="(BLANK)")+(UPPER($AS$78:$AZ$78)="EMPTY")+(UPPER($AS$78:$AZ$78)="(EMPTY)"))&gt;0,IFERROR(('Final Calculation Sheet'!$R$26)&amp;"","")="",ISNUMBER(SEARCH($AS$78:$AZ$78,IFERROR(('Final Calculation Sheet'!$R$26)&amp;"","")))))&gt;0),IF(COUNTIF($BI$78:$BP$78,6)=0,TRUE,SUMPRODUCT(($BI$78:$BP$78=6)*($AS$78:$AZ$78&lt;&gt;"")*IF(((UPPER($AS$78:$AZ$78)="BLANK")+(UPPER($AS$78:$AZ$78)="(BLANK)")+(UPPER($AS$78:$AZ$78)="EMPTY")+(UPPER($AS$78:$AZ$78)="(EMPTY)"))&gt;0,IFERROR(('Final Calculation Sheet'!$R$26)&amp;"","")="",ISNUMBER(SEARCH($AS$78:$AZ$78,IFERROR(('Final Calculation Sheet'!$R$26)&amp;"","")))))&gt;0),IF(COUNTIF($BI$78:$BP$78,7)=0,TRUE,SUMPRODUCT(($BI$78:$BP$78=7)*($AS$78:$AZ$78&lt;&gt;"")*IF(((UPPER($AS$78:$AZ$78)="BLANK")+(UPPER($AS$78:$AZ$78)="(BLANK)")+(UPPER($AS$78:$AZ$78)="EMPTY")+(UPPER($AS$78:$AZ$78)="(EMPTY)"))&gt;0,IFERROR(('Final Calculation Sheet'!$R$26)&amp;"","")="",ISNUMBER(SEARCH($AS$78:$AZ$78,IFERROR(('Final Calculation Sheet'!$R$26)&amp;"","")))))&gt;0),IF(COUNTIF($BI$78:$BP$78,8)=0,TRUE,SUMPRODUCT(($BI$78:$BP$78=8)*($AS$78:$AZ$78&lt;&gt;"")*IF(((UPPER($AS$78:$AZ$78)="BLANK")+(UPPER($AS$78:$AZ$78)="(BLANK)")+(UPPER($AS$78:$AZ$78)="EMPTY")+(UPPER($AS$78:$AZ$78)="(EMPTY)"))&gt;0,IFERROR(('Final Calculation Sheet'!$R$26)&amp;"","")="",ISNUMBER(SEARCH($AS$78:$AZ$78,IFERROR(('Final Calculation Sheet'!$R$26)&amp;"","")))))&gt;0))))</f>
        <v>1</v>
      </c>
      <c r="CF27">
        <f>IF($T$4="",1,--(AND(SUMPRODUCT(--($AS$79:$AZ$79&lt;&gt;""))&gt;0,IF(COUNTIF($BI$79:$BP$79,1)=0,TRUE,SUMPRODUCT(($BI$79:$BP$79=1)*($AS$79:$AZ$79&lt;&gt;"")*IF(((UPPER($AS$79:$AZ$79)="BLANK")+(UPPER($AS$79:$AZ$79)="(BLANK)")+(UPPER($AS$79:$AZ$79)="EMPTY")+(UPPER($AS$79:$AZ$79)="(EMPTY)"))&gt;0,IFERROR(('Final Calculation Sheet'!$S$26)&amp;"","")="",ISNUMBER(SEARCH($AS$79:$AZ$79,IFERROR(('Final Calculation Sheet'!$S$26)&amp;"","")))))&gt;0),IF(COUNTIF($BI$79:$BP$79,2)=0,TRUE,SUMPRODUCT(($BI$79:$BP$79=2)*($AS$79:$AZ$79&lt;&gt;"")*IF(((UPPER($AS$79:$AZ$79)="BLANK")+(UPPER($AS$79:$AZ$79)="(BLANK)")+(UPPER($AS$79:$AZ$79)="EMPTY")+(UPPER($AS$79:$AZ$79)="(EMPTY)"))&gt;0,IFERROR(('Final Calculation Sheet'!$S$26)&amp;"","")="",ISNUMBER(SEARCH($AS$79:$AZ$79,IFERROR(('Final Calculation Sheet'!$S$26)&amp;"","")))))&gt;0),IF(COUNTIF($BI$79:$BP$79,3)=0,TRUE,SUMPRODUCT(($BI$79:$BP$79=3)*($AS$79:$AZ$79&lt;&gt;"")*IF(((UPPER($AS$79:$AZ$79)="BLANK")+(UPPER($AS$79:$AZ$79)="(BLANK)")+(UPPER($AS$79:$AZ$79)="EMPTY")+(UPPER($AS$79:$AZ$79)="(EMPTY)"))&gt;0,IFERROR(('Final Calculation Sheet'!$S$26)&amp;"","")="",ISNUMBER(SEARCH($AS$79:$AZ$79,IFERROR(('Final Calculation Sheet'!$S$26)&amp;"","")))))&gt;0),IF(COUNTIF($BI$79:$BP$79,4)=0,TRUE,SUMPRODUCT(($BI$79:$BP$79=4)*($AS$79:$AZ$79&lt;&gt;"")*IF(((UPPER($AS$79:$AZ$79)="BLANK")+(UPPER($AS$79:$AZ$79)="(BLANK)")+(UPPER($AS$79:$AZ$79)="EMPTY")+(UPPER($AS$79:$AZ$79)="(EMPTY)"))&gt;0,IFERROR(('Final Calculation Sheet'!$S$26)&amp;"","")="",ISNUMBER(SEARCH($AS$79:$AZ$79,IFERROR(('Final Calculation Sheet'!$S$26)&amp;"","")))))&gt;0),IF(COUNTIF($BI$79:$BP$79,5)=0,TRUE,SUMPRODUCT(($BI$79:$BP$79=5)*($AS$79:$AZ$79&lt;&gt;"")*IF(((UPPER($AS$79:$AZ$79)="BLANK")+(UPPER($AS$79:$AZ$79)="(BLANK)")+(UPPER($AS$79:$AZ$79)="EMPTY")+(UPPER($AS$79:$AZ$79)="(EMPTY)"))&gt;0,IFERROR(('Final Calculation Sheet'!$S$26)&amp;"","")="",ISNUMBER(SEARCH($AS$79:$AZ$79,IFERROR(('Final Calculation Sheet'!$S$26)&amp;"","")))))&gt;0),IF(COUNTIF($BI$79:$BP$79,6)=0,TRUE,SUMPRODUCT(($BI$79:$BP$79=6)*($AS$79:$AZ$79&lt;&gt;"")*IF(((UPPER($AS$79:$AZ$79)="BLANK")+(UPPER($AS$79:$AZ$79)="(BLANK)")+(UPPER($AS$79:$AZ$79)="EMPTY")+(UPPER($AS$79:$AZ$79)="(EMPTY)"))&gt;0,IFERROR(('Final Calculation Sheet'!$S$26)&amp;"","")="",ISNUMBER(SEARCH($AS$79:$AZ$79,IFERROR(('Final Calculation Sheet'!$S$26)&amp;"","")))))&gt;0),IF(COUNTIF($BI$79:$BP$79,7)=0,TRUE,SUMPRODUCT(($BI$79:$BP$79=7)*($AS$79:$AZ$79&lt;&gt;"")*IF(((UPPER($AS$79:$AZ$79)="BLANK")+(UPPER($AS$79:$AZ$79)="(BLANK)")+(UPPER($AS$79:$AZ$79)="EMPTY")+(UPPER($AS$79:$AZ$79)="(EMPTY)"))&gt;0,IFERROR(('Final Calculation Sheet'!$S$26)&amp;"","")="",ISNUMBER(SEARCH($AS$79:$AZ$79,IFERROR(('Final Calculation Sheet'!$S$26)&amp;"","")))))&gt;0),IF(COUNTIF($BI$79:$BP$79,8)=0,TRUE,SUMPRODUCT(($BI$79:$BP$79=8)*($AS$79:$AZ$79&lt;&gt;"")*IF(((UPPER($AS$79:$AZ$79)="BLANK")+(UPPER($AS$79:$AZ$79)="(BLANK)")+(UPPER($AS$79:$AZ$79)="EMPTY")+(UPPER($AS$79:$AZ$79)="(EMPTY)"))&gt;0,IFERROR(('Final Calculation Sheet'!$S$26)&amp;"","")="",ISNUMBER(SEARCH($AS$79:$AZ$79,IFERROR(('Final Calculation Sheet'!$S$26)&amp;"","")))))&gt;0))))</f>
        <v>1</v>
      </c>
      <c r="CG27">
        <f>IF($U$4="",1,--(AND(SUMPRODUCT(--($AS$80:$AZ$80&lt;&gt;""))&gt;0,IF(COUNTIF($BI$80:$BP$80,1)=0,TRUE,SUMPRODUCT(($BI$80:$BP$80=1)*($AS$80:$AZ$80&lt;&gt;"")*IF(((UPPER($AS$80:$AZ$80)="BLANK")+(UPPER($AS$80:$AZ$80)="(BLANK)")+(UPPER($AS$80:$AZ$80)="EMPTY")+(UPPER($AS$80:$AZ$80)="(EMPTY)"))&gt;0,IFERROR(('Final Calculation Sheet'!$T$26)&amp;"","")="",ISNUMBER(SEARCH($AS$80:$AZ$80,IFERROR(('Final Calculation Sheet'!$T$26)&amp;"","")))))&gt;0),IF(COUNTIF($BI$80:$BP$80,2)=0,TRUE,SUMPRODUCT(($BI$80:$BP$80=2)*($AS$80:$AZ$80&lt;&gt;"")*IF(((UPPER($AS$80:$AZ$80)="BLANK")+(UPPER($AS$80:$AZ$80)="(BLANK)")+(UPPER($AS$80:$AZ$80)="EMPTY")+(UPPER($AS$80:$AZ$80)="(EMPTY)"))&gt;0,IFERROR(('Final Calculation Sheet'!$T$26)&amp;"","")="",ISNUMBER(SEARCH($AS$80:$AZ$80,IFERROR(('Final Calculation Sheet'!$T$26)&amp;"","")))))&gt;0),IF(COUNTIF($BI$80:$BP$80,3)=0,TRUE,SUMPRODUCT(($BI$80:$BP$80=3)*($AS$80:$AZ$80&lt;&gt;"")*IF(((UPPER($AS$80:$AZ$80)="BLANK")+(UPPER($AS$80:$AZ$80)="(BLANK)")+(UPPER($AS$80:$AZ$80)="EMPTY")+(UPPER($AS$80:$AZ$80)="(EMPTY)"))&gt;0,IFERROR(('Final Calculation Sheet'!$T$26)&amp;"","")="",ISNUMBER(SEARCH($AS$80:$AZ$80,IFERROR(('Final Calculation Sheet'!$T$26)&amp;"","")))))&gt;0),IF(COUNTIF($BI$80:$BP$80,4)=0,TRUE,SUMPRODUCT(($BI$80:$BP$80=4)*($AS$80:$AZ$80&lt;&gt;"")*IF(((UPPER($AS$80:$AZ$80)="BLANK")+(UPPER($AS$80:$AZ$80)="(BLANK)")+(UPPER($AS$80:$AZ$80)="EMPTY")+(UPPER($AS$80:$AZ$80)="(EMPTY)"))&gt;0,IFERROR(('Final Calculation Sheet'!$T$26)&amp;"","")="",ISNUMBER(SEARCH($AS$80:$AZ$80,IFERROR(('Final Calculation Sheet'!$T$26)&amp;"","")))))&gt;0),IF(COUNTIF($BI$80:$BP$80,5)=0,TRUE,SUMPRODUCT(($BI$80:$BP$80=5)*($AS$80:$AZ$80&lt;&gt;"")*IF(((UPPER($AS$80:$AZ$80)="BLANK")+(UPPER($AS$80:$AZ$80)="(BLANK)")+(UPPER($AS$80:$AZ$80)="EMPTY")+(UPPER($AS$80:$AZ$80)="(EMPTY)"))&gt;0,IFERROR(('Final Calculation Sheet'!$T$26)&amp;"","")="",ISNUMBER(SEARCH($AS$80:$AZ$80,IFERROR(('Final Calculation Sheet'!$T$26)&amp;"","")))))&gt;0),IF(COUNTIF($BI$80:$BP$80,6)=0,TRUE,SUMPRODUCT(($BI$80:$BP$80=6)*($AS$80:$AZ$80&lt;&gt;"")*IF(((UPPER($AS$80:$AZ$80)="BLANK")+(UPPER($AS$80:$AZ$80)="(BLANK)")+(UPPER($AS$80:$AZ$80)="EMPTY")+(UPPER($AS$80:$AZ$80)="(EMPTY)"))&gt;0,IFERROR(('Final Calculation Sheet'!$T$26)&amp;"","")="",ISNUMBER(SEARCH($AS$80:$AZ$80,IFERROR(('Final Calculation Sheet'!$T$26)&amp;"","")))))&gt;0),IF(COUNTIF($BI$80:$BP$80,7)=0,TRUE,SUMPRODUCT(($BI$80:$BP$80=7)*($AS$80:$AZ$80&lt;&gt;"")*IF(((UPPER($AS$80:$AZ$80)="BLANK")+(UPPER($AS$80:$AZ$80)="(BLANK)")+(UPPER($AS$80:$AZ$80)="EMPTY")+(UPPER($AS$80:$AZ$80)="(EMPTY)"))&gt;0,IFERROR(('Final Calculation Sheet'!$T$26)&amp;"","")="",ISNUMBER(SEARCH($AS$80:$AZ$80,IFERROR(('Final Calculation Sheet'!$T$26)&amp;"","")))))&gt;0),IF(COUNTIF($BI$80:$BP$80,8)=0,TRUE,SUMPRODUCT(($BI$80:$BP$80=8)*($AS$80:$AZ$80&lt;&gt;"")*IF(((UPPER($AS$80:$AZ$80)="BLANK")+(UPPER($AS$80:$AZ$80)="(BLANK)")+(UPPER($AS$80:$AZ$80)="EMPTY")+(UPPER($AS$80:$AZ$80)="(EMPTY)"))&gt;0,IFERROR(('Final Calculation Sheet'!$T$26)&amp;"","")="",ISNUMBER(SEARCH($AS$80:$AZ$80,IFERROR(('Final Calculation Sheet'!$T$26)&amp;"","")))))&gt;0))))</f>
        <v>1</v>
      </c>
      <c r="CH27">
        <f>IF($V$4="",1,--(AND(SUMPRODUCT(--($AS$81:$AZ$81&lt;&gt;""))&gt;0,IF(COUNTIF($BI$81:$BP$81,1)=0,TRUE,SUMPRODUCT(($BI$81:$BP$81=1)*($AS$81:$AZ$81&lt;&gt;"")*IF(((UPPER($AS$81:$AZ$81)="BLANK")+(UPPER($AS$81:$AZ$81)="(BLANK)")+(UPPER($AS$81:$AZ$81)="EMPTY")+(UPPER($AS$81:$AZ$81)="(EMPTY)"))&gt;0,IFERROR(('Final Calculation Sheet'!$U$26)&amp;"","")="",ISNUMBER(SEARCH($AS$81:$AZ$81,IFERROR(('Final Calculation Sheet'!$U$26)&amp;"","")))))&gt;0),IF(COUNTIF($BI$81:$BP$81,2)=0,TRUE,SUMPRODUCT(($BI$81:$BP$81=2)*($AS$81:$AZ$81&lt;&gt;"")*IF(((UPPER($AS$81:$AZ$81)="BLANK")+(UPPER($AS$81:$AZ$81)="(BLANK)")+(UPPER($AS$81:$AZ$81)="EMPTY")+(UPPER($AS$81:$AZ$81)="(EMPTY)"))&gt;0,IFERROR(('Final Calculation Sheet'!$U$26)&amp;"","")="",ISNUMBER(SEARCH($AS$81:$AZ$81,IFERROR(('Final Calculation Sheet'!$U$26)&amp;"","")))))&gt;0),IF(COUNTIF($BI$81:$BP$81,3)=0,TRUE,SUMPRODUCT(($BI$81:$BP$81=3)*($AS$81:$AZ$81&lt;&gt;"")*IF(((UPPER($AS$81:$AZ$81)="BLANK")+(UPPER($AS$81:$AZ$81)="(BLANK)")+(UPPER($AS$81:$AZ$81)="EMPTY")+(UPPER($AS$81:$AZ$81)="(EMPTY)"))&gt;0,IFERROR(('Final Calculation Sheet'!$U$26)&amp;"","")="",ISNUMBER(SEARCH($AS$81:$AZ$81,IFERROR(('Final Calculation Sheet'!$U$26)&amp;"","")))))&gt;0),IF(COUNTIF($BI$81:$BP$81,4)=0,TRUE,SUMPRODUCT(($BI$81:$BP$81=4)*($AS$81:$AZ$81&lt;&gt;"")*IF(((UPPER($AS$81:$AZ$81)="BLANK")+(UPPER($AS$81:$AZ$81)="(BLANK)")+(UPPER($AS$81:$AZ$81)="EMPTY")+(UPPER($AS$81:$AZ$81)="(EMPTY)"))&gt;0,IFERROR(('Final Calculation Sheet'!$U$26)&amp;"","")="",ISNUMBER(SEARCH($AS$81:$AZ$81,IFERROR(('Final Calculation Sheet'!$U$26)&amp;"","")))))&gt;0),IF(COUNTIF($BI$81:$BP$81,5)=0,TRUE,SUMPRODUCT(($BI$81:$BP$81=5)*($AS$81:$AZ$81&lt;&gt;"")*IF(((UPPER($AS$81:$AZ$81)="BLANK")+(UPPER($AS$81:$AZ$81)="(BLANK)")+(UPPER($AS$81:$AZ$81)="EMPTY")+(UPPER($AS$81:$AZ$81)="(EMPTY)"))&gt;0,IFERROR(('Final Calculation Sheet'!$U$26)&amp;"","")="",ISNUMBER(SEARCH($AS$81:$AZ$81,IFERROR(('Final Calculation Sheet'!$U$26)&amp;"","")))))&gt;0),IF(COUNTIF($BI$81:$BP$81,6)=0,TRUE,SUMPRODUCT(($BI$81:$BP$81=6)*($AS$81:$AZ$81&lt;&gt;"")*IF(((UPPER($AS$81:$AZ$81)="BLANK")+(UPPER($AS$81:$AZ$81)="(BLANK)")+(UPPER($AS$81:$AZ$81)="EMPTY")+(UPPER($AS$81:$AZ$81)="(EMPTY)"))&gt;0,IFERROR(('Final Calculation Sheet'!$U$26)&amp;"","")="",ISNUMBER(SEARCH($AS$81:$AZ$81,IFERROR(('Final Calculation Sheet'!$U$26)&amp;"","")))))&gt;0),IF(COUNTIF($BI$81:$BP$81,7)=0,TRUE,SUMPRODUCT(($BI$81:$BP$81=7)*($AS$81:$AZ$81&lt;&gt;"")*IF(((UPPER($AS$81:$AZ$81)="BLANK")+(UPPER($AS$81:$AZ$81)="(BLANK)")+(UPPER($AS$81:$AZ$81)="EMPTY")+(UPPER($AS$81:$AZ$81)="(EMPTY)"))&gt;0,IFERROR(('Final Calculation Sheet'!$U$26)&amp;"","")="",ISNUMBER(SEARCH($AS$81:$AZ$81,IFERROR(('Final Calculation Sheet'!$U$26)&amp;"","")))))&gt;0),IF(COUNTIF($BI$81:$BP$81,8)=0,TRUE,SUMPRODUCT(($BI$81:$BP$81=8)*($AS$81:$AZ$81&lt;&gt;"")*IF(((UPPER($AS$81:$AZ$81)="BLANK")+(UPPER($AS$81:$AZ$81)="(BLANK)")+(UPPER($AS$81:$AZ$81)="EMPTY")+(UPPER($AS$81:$AZ$81)="(EMPTY)"))&gt;0,IFERROR(('Final Calculation Sheet'!$U$26)&amp;"","")="",ISNUMBER(SEARCH($AS$81:$AZ$81,IFERROR(('Final Calculation Sheet'!$U$26)&amp;"","")))))&gt;0))))</f>
        <v>1</v>
      </c>
      <c r="CI27">
        <f>IF($W$4="",1,--(AND(SUMPRODUCT(--($AS$82:$AZ$82&lt;&gt;""))&gt;0,IF(COUNTIF($BI$82:$BP$82,1)=0,TRUE,SUMPRODUCT(($BI$82:$BP$82=1)*($AS$82:$AZ$82&lt;&gt;"")*IF(((UPPER($AS$82:$AZ$82)="BLANK")+(UPPER($AS$82:$AZ$82)="(BLANK)")+(UPPER($AS$82:$AZ$82)="EMPTY")+(UPPER($AS$82:$AZ$82)="(EMPTY)"))&gt;0,IFERROR(('Final Calculation Sheet'!$V$26)&amp;"","")="",ISNUMBER(SEARCH($AS$82:$AZ$82,IFERROR(('Final Calculation Sheet'!$V$26)&amp;"","")))))&gt;0),IF(COUNTIF($BI$82:$BP$82,2)=0,TRUE,SUMPRODUCT(($BI$82:$BP$82=2)*($AS$82:$AZ$82&lt;&gt;"")*IF(((UPPER($AS$82:$AZ$82)="BLANK")+(UPPER($AS$82:$AZ$82)="(BLANK)")+(UPPER($AS$82:$AZ$82)="EMPTY")+(UPPER($AS$82:$AZ$82)="(EMPTY)"))&gt;0,IFERROR(('Final Calculation Sheet'!$V$26)&amp;"","")="",ISNUMBER(SEARCH($AS$82:$AZ$82,IFERROR(('Final Calculation Sheet'!$V$26)&amp;"","")))))&gt;0),IF(COUNTIF($BI$82:$BP$82,3)=0,TRUE,SUMPRODUCT(($BI$82:$BP$82=3)*($AS$82:$AZ$82&lt;&gt;"")*IF(((UPPER($AS$82:$AZ$82)="BLANK")+(UPPER($AS$82:$AZ$82)="(BLANK)")+(UPPER($AS$82:$AZ$82)="EMPTY")+(UPPER($AS$82:$AZ$82)="(EMPTY)"))&gt;0,IFERROR(('Final Calculation Sheet'!$V$26)&amp;"","")="",ISNUMBER(SEARCH($AS$82:$AZ$82,IFERROR(('Final Calculation Sheet'!$V$26)&amp;"","")))))&gt;0),IF(COUNTIF($BI$82:$BP$82,4)=0,TRUE,SUMPRODUCT(($BI$82:$BP$82=4)*($AS$82:$AZ$82&lt;&gt;"")*IF(((UPPER($AS$82:$AZ$82)="BLANK")+(UPPER($AS$82:$AZ$82)="(BLANK)")+(UPPER($AS$82:$AZ$82)="EMPTY")+(UPPER($AS$82:$AZ$82)="(EMPTY)"))&gt;0,IFERROR(('Final Calculation Sheet'!$V$26)&amp;"","")="",ISNUMBER(SEARCH($AS$82:$AZ$82,IFERROR(('Final Calculation Sheet'!$V$26)&amp;"","")))))&gt;0),IF(COUNTIF($BI$82:$BP$82,5)=0,TRUE,SUMPRODUCT(($BI$82:$BP$82=5)*($AS$82:$AZ$82&lt;&gt;"")*IF(((UPPER($AS$82:$AZ$82)="BLANK")+(UPPER($AS$82:$AZ$82)="(BLANK)")+(UPPER($AS$82:$AZ$82)="EMPTY")+(UPPER($AS$82:$AZ$82)="(EMPTY)"))&gt;0,IFERROR(('Final Calculation Sheet'!$V$26)&amp;"","")="",ISNUMBER(SEARCH($AS$82:$AZ$82,IFERROR(('Final Calculation Sheet'!$V$26)&amp;"","")))))&gt;0),IF(COUNTIF($BI$82:$BP$82,6)=0,TRUE,SUMPRODUCT(($BI$82:$BP$82=6)*($AS$82:$AZ$82&lt;&gt;"")*IF(((UPPER($AS$82:$AZ$82)="BLANK")+(UPPER($AS$82:$AZ$82)="(BLANK)")+(UPPER($AS$82:$AZ$82)="EMPTY")+(UPPER($AS$82:$AZ$82)="(EMPTY)"))&gt;0,IFERROR(('Final Calculation Sheet'!$V$26)&amp;"","")="",ISNUMBER(SEARCH($AS$82:$AZ$82,IFERROR(('Final Calculation Sheet'!$V$26)&amp;"","")))))&gt;0),IF(COUNTIF($BI$82:$BP$82,7)=0,TRUE,SUMPRODUCT(($BI$82:$BP$82=7)*($AS$82:$AZ$82&lt;&gt;"")*IF(((UPPER($AS$82:$AZ$82)="BLANK")+(UPPER($AS$82:$AZ$82)="(BLANK)")+(UPPER($AS$82:$AZ$82)="EMPTY")+(UPPER($AS$82:$AZ$82)="(EMPTY)"))&gt;0,IFERROR(('Final Calculation Sheet'!$V$26)&amp;"","")="",ISNUMBER(SEARCH($AS$82:$AZ$82,IFERROR(('Final Calculation Sheet'!$V$26)&amp;"","")))))&gt;0),IF(COUNTIF($BI$82:$BP$82,8)=0,TRUE,SUMPRODUCT(($BI$82:$BP$82=8)*($AS$82:$AZ$82&lt;&gt;"")*IF(((UPPER($AS$82:$AZ$82)="BLANK")+(UPPER($AS$82:$AZ$82)="(BLANK)")+(UPPER($AS$82:$AZ$82)="EMPTY")+(UPPER($AS$82:$AZ$82)="(EMPTY)"))&gt;0,IFERROR(('Final Calculation Sheet'!$V$26)&amp;"","")="",ISNUMBER(SEARCH($AS$82:$AZ$82,IFERROR(('Final Calculation Sheet'!$V$26)&amp;"","")))))&gt;0))))</f>
        <v>1</v>
      </c>
      <c r="CJ27">
        <f>IF($X$4="",1,--(AND(SUMPRODUCT(--($AS$83:$AZ$83&lt;&gt;""))&gt;0,IF(COUNTIF($BI$83:$BP$83,1)=0,TRUE,SUMPRODUCT(($BI$83:$BP$83=1)*($AS$83:$AZ$83&lt;&gt;"")*IF(((UPPER($AS$83:$AZ$83)="BLANK")+(UPPER($AS$83:$AZ$83)="(BLANK)")+(UPPER($AS$83:$AZ$83)="EMPTY")+(UPPER($AS$83:$AZ$83)="(EMPTY)"))&gt;0,IFERROR(('Final Calculation Sheet'!$W$26)&amp;"","")="",ISNUMBER(SEARCH($AS$83:$AZ$83,IFERROR(('Final Calculation Sheet'!$W$26)&amp;"","")))))&gt;0),IF(COUNTIF($BI$83:$BP$83,2)=0,TRUE,SUMPRODUCT(($BI$83:$BP$83=2)*($AS$83:$AZ$83&lt;&gt;"")*IF(((UPPER($AS$83:$AZ$83)="BLANK")+(UPPER($AS$83:$AZ$83)="(BLANK)")+(UPPER($AS$83:$AZ$83)="EMPTY")+(UPPER($AS$83:$AZ$83)="(EMPTY)"))&gt;0,IFERROR(('Final Calculation Sheet'!$W$26)&amp;"","")="",ISNUMBER(SEARCH($AS$83:$AZ$83,IFERROR(('Final Calculation Sheet'!$W$26)&amp;"","")))))&gt;0),IF(COUNTIF($BI$83:$BP$83,3)=0,TRUE,SUMPRODUCT(($BI$83:$BP$83=3)*($AS$83:$AZ$83&lt;&gt;"")*IF(((UPPER($AS$83:$AZ$83)="BLANK")+(UPPER($AS$83:$AZ$83)="(BLANK)")+(UPPER($AS$83:$AZ$83)="EMPTY")+(UPPER($AS$83:$AZ$83)="(EMPTY)"))&gt;0,IFERROR(('Final Calculation Sheet'!$W$26)&amp;"","")="",ISNUMBER(SEARCH($AS$83:$AZ$83,IFERROR(('Final Calculation Sheet'!$W$26)&amp;"","")))))&gt;0),IF(COUNTIF($BI$83:$BP$83,4)=0,TRUE,SUMPRODUCT(($BI$83:$BP$83=4)*($AS$83:$AZ$83&lt;&gt;"")*IF(((UPPER($AS$83:$AZ$83)="BLANK")+(UPPER($AS$83:$AZ$83)="(BLANK)")+(UPPER($AS$83:$AZ$83)="EMPTY")+(UPPER($AS$83:$AZ$83)="(EMPTY)"))&gt;0,IFERROR(('Final Calculation Sheet'!$W$26)&amp;"","")="",ISNUMBER(SEARCH($AS$83:$AZ$83,IFERROR(('Final Calculation Sheet'!$W$26)&amp;"","")))))&gt;0),IF(COUNTIF($BI$83:$BP$83,5)=0,TRUE,SUMPRODUCT(($BI$83:$BP$83=5)*($AS$83:$AZ$83&lt;&gt;"")*IF(((UPPER($AS$83:$AZ$83)="BLANK")+(UPPER($AS$83:$AZ$83)="(BLANK)")+(UPPER($AS$83:$AZ$83)="EMPTY")+(UPPER($AS$83:$AZ$83)="(EMPTY)"))&gt;0,IFERROR(('Final Calculation Sheet'!$W$26)&amp;"","")="",ISNUMBER(SEARCH($AS$83:$AZ$83,IFERROR(('Final Calculation Sheet'!$W$26)&amp;"","")))))&gt;0),IF(COUNTIF($BI$83:$BP$83,6)=0,TRUE,SUMPRODUCT(($BI$83:$BP$83=6)*($AS$83:$AZ$83&lt;&gt;"")*IF(((UPPER($AS$83:$AZ$83)="BLANK")+(UPPER($AS$83:$AZ$83)="(BLANK)")+(UPPER($AS$83:$AZ$83)="EMPTY")+(UPPER($AS$83:$AZ$83)="(EMPTY)"))&gt;0,IFERROR(('Final Calculation Sheet'!$W$26)&amp;"","")="",ISNUMBER(SEARCH($AS$83:$AZ$83,IFERROR(('Final Calculation Sheet'!$W$26)&amp;"","")))))&gt;0),IF(COUNTIF($BI$83:$BP$83,7)=0,TRUE,SUMPRODUCT(($BI$83:$BP$83=7)*($AS$83:$AZ$83&lt;&gt;"")*IF(((UPPER($AS$83:$AZ$83)="BLANK")+(UPPER($AS$83:$AZ$83)="(BLANK)")+(UPPER($AS$83:$AZ$83)="EMPTY")+(UPPER($AS$83:$AZ$83)="(EMPTY)"))&gt;0,IFERROR(('Final Calculation Sheet'!$W$26)&amp;"","")="",ISNUMBER(SEARCH($AS$83:$AZ$83,IFERROR(('Final Calculation Sheet'!$W$26)&amp;"","")))))&gt;0),IF(COUNTIF($BI$83:$BP$83,8)=0,TRUE,SUMPRODUCT(($BI$83:$BP$83=8)*($AS$83:$AZ$83&lt;&gt;"")*IF(((UPPER($AS$83:$AZ$83)="BLANK")+(UPPER($AS$83:$AZ$83)="(BLANK)")+(UPPER($AS$83:$AZ$83)="EMPTY")+(UPPER($AS$83:$AZ$83)="(EMPTY)"))&gt;0,IFERROR(('Final Calculation Sheet'!$W$26)&amp;"","")="",ISNUMBER(SEARCH($AS$83:$AZ$83,IFERROR(('Final Calculation Sheet'!$W$26)&amp;"","")))))&gt;0))))</f>
        <v>1</v>
      </c>
      <c r="CK27">
        <f>IF($Y$4="",1,--(AND(SUMPRODUCT(--($AS$84:$AZ$84&lt;&gt;""))&gt;0,IF(COUNTIF($BI$84:$BP$84,1)=0,TRUE,SUMPRODUCT(($BI$84:$BP$84=1)*($AS$84:$AZ$84&lt;&gt;"")*IF(((UPPER($AS$84:$AZ$84)="BLANK")+(UPPER($AS$84:$AZ$84)="(BLANK)")+(UPPER($AS$84:$AZ$84)="EMPTY")+(UPPER($AS$84:$AZ$84)="(EMPTY)"))&gt;0,IFERROR(('Final Calculation Sheet'!$X$26)&amp;"","")="",ISNUMBER(SEARCH($AS$84:$AZ$84,IFERROR(('Final Calculation Sheet'!$X$26)&amp;"","")))))&gt;0),IF(COUNTIF($BI$84:$BP$84,2)=0,TRUE,SUMPRODUCT(($BI$84:$BP$84=2)*($AS$84:$AZ$84&lt;&gt;"")*IF(((UPPER($AS$84:$AZ$84)="BLANK")+(UPPER($AS$84:$AZ$84)="(BLANK)")+(UPPER($AS$84:$AZ$84)="EMPTY")+(UPPER($AS$84:$AZ$84)="(EMPTY)"))&gt;0,IFERROR(('Final Calculation Sheet'!$X$26)&amp;"","")="",ISNUMBER(SEARCH($AS$84:$AZ$84,IFERROR(('Final Calculation Sheet'!$X$26)&amp;"","")))))&gt;0),IF(COUNTIF($BI$84:$BP$84,3)=0,TRUE,SUMPRODUCT(($BI$84:$BP$84=3)*($AS$84:$AZ$84&lt;&gt;"")*IF(((UPPER($AS$84:$AZ$84)="BLANK")+(UPPER($AS$84:$AZ$84)="(BLANK)")+(UPPER($AS$84:$AZ$84)="EMPTY")+(UPPER($AS$84:$AZ$84)="(EMPTY)"))&gt;0,IFERROR(('Final Calculation Sheet'!$X$26)&amp;"","")="",ISNUMBER(SEARCH($AS$84:$AZ$84,IFERROR(('Final Calculation Sheet'!$X$26)&amp;"","")))))&gt;0),IF(COUNTIF($BI$84:$BP$84,4)=0,TRUE,SUMPRODUCT(($BI$84:$BP$84=4)*($AS$84:$AZ$84&lt;&gt;"")*IF(((UPPER($AS$84:$AZ$84)="BLANK")+(UPPER($AS$84:$AZ$84)="(BLANK)")+(UPPER($AS$84:$AZ$84)="EMPTY")+(UPPER($AS$84:$AZ$84)="(EMPTY)"))&gt;0,IFERROR(('Final Calculation Sheet'!$X$26)&amp;"","")="",ISNUMBER(SEARCH($AS$84:$AZ$84,IFERROR(('Final Calculation Sheet'!$X$26)&amp;"","")))))&gt;0),IF(COUNTIF($BI$84:$BP$84,5)=0,TRUE,SUMPRODUCT(($BI$84:$BP$84=5)*($AS$84:$AZ$84&lt;&gt;"")*IF(((UPPER($AS$84:$AZ$84)="BLANK")+(UPPER($AS$84:$AZ$84)="(BLANK)")+(UPPER($AS$84:$AZ$84)="EMPTY")+(UPPER($AS$84:$AZ$84)="(EMPTY)"))&gt;0,IFERROR(('Final Calculation Sheet'!$X$26)&amp;"","")="",ISNUMBER(SEARCH($AS$84:$AZ$84,IFERROR(('Final Calculation Sheet'!$X$26)&amp;"","")))))&gt;0),IF(COUNTIF($BI$84:$BP$84,6)=0,TRUE,SUMPRODUCT(($BI$84:$BP$84=6)*($AS$84:$AZ$84&lt;&gt;"")*IF(((UPPER($AS$84:$AZ$84)="BLANK")+(UPPER($AS$84:$AZ$84)="(BLANK)")+(UPPER($AS$84:$AZ$84)="EMPTY")+(UPPER($AS$84:$AZ$84)="(EMPTY)"))&gt;0,IFERROR(('Final Calculation Sheet'!$X$26)&amp;"","")="",ISNUMBER(SEARCH($AS$84:$AZ$84,IFERROR(('Final Calculation Sheet'!$X$26)&amp;"","")))))&gt;0),IF(COUNTIF($BI$84:$BP$84,7)=0,TRUE,SUMPRODUCT(($BI$84:$BP$84=7)*($AS$84:$AZ$84&lt;&gt;"")*IF(((UPPER($AS$84:$AZ$84)="BLANK")+(UPPER($AS$84:$AZ$84)="(BLANK)")+(UPPER($AS$84:$AZ$84)="EMPTY")+(UPPER($AS$84:$AZ$84)="(EMPTY)"))&gt;0,IFERROR(('Final Calculation Sheet'!$X$26)&amp;"","")="",ISNUMBER(SEARCH($AS$84:$AZ$84,IFERROR(('Final Calculation Sheet'!$X$26)&amp;"","")))))&gt;0),IF(COUNTIF($BI$84:$BP$84,8)=0,TRUE,SUMPRODUCT(($BI$84:$BP$84=8)*($AS$84:$AZ$84&lt;&gt;"")*IF(((UPPER($AS$84:$AZ$84)="BLANK")+(UPPER($AS$84:$AZ$84)="(BLANK)")+(UPPER($AS$84:$AZ$84)="EMPTY")+(UPPER($AS$84:$AZ$84)="(EMPTY)"))&gt;0,IFERROR(('Final Calculation Sheet'!$X$26)&amp;"","")="",ISNUMBER(SEARCH($AS$84:$AZ$84,IFERROR(('Final Calculation Sheet'!$X$26)&amp;"","")))))&gt;0))))</f>
        <v>1</v>
      </c>
      <c r="CL27">
        <f>IF($Z$4="",1,--(AND(SUMPRODUCT(--($AS$85:$AZ$85&lt;&gt;""))&gt;0,IF(COUNTIF($BI$85:$BP$85,1)=0,TRUE,SUMPRODUCT(($BI$85:$BP$85=1)*($AS$85:$AZ$85&lt;&gt;"")*IF(((UPPER($AS$85:$AZ$85)="BLANK")+(UPPER($AS$85:$AZ$85)="(BLANK)")+(UPPER($AS$85:$AZ$85)="EMPTY")+(UPPER($AS$85:$AZ$85)="(EMPTY)"))&gt;0,IFERROR(('Final Calculation Sheet'!$Y$26)&amp;"","")="",ISNUMBER(SEARCH($AS$85:$AZ$85,IFERROR(('Final Calculation Sheet'!$Y$26)&amp;"","")))))&gt;0),IF(COUNTIF($BI$85:$BP$85,2)=0,TRUE,SUMPRODUCT(($BI$85:$BP$85=2)*($AS$85:$AZ$85&lt;&gt;"")*IF(((UPPER($AS$85:$AZ$85)="BLANK")+(UPPER($AS$85:$AZ$85)="(BLANK)")+(UPPER($AS$85:$AZ$85)="EMPTY")+(UPPER($AS$85:$AZ$85)="(EMPTY)"))&gt;0,IFERROR(('Final Calculation Sheet'!$Y$26)&amp;"","")="",ISNUMBER(SEARCH($AS$85:$AZ$85,IFERROR(('Final Calculation Sheet'!$Y$26)&amp;"","")))))&gt;0),IF(COUNTIF($BI$85:$BP$85,3)=0,TRUE,SUMPRODUCT(($BI$85:$BP$85=3)*($AS$85:$AZ$85&lt;&gt;"")*IF(((UPPER($AS$85:$AZ$85)="BLANK")+(UPPER($AS$85:$AZ$85)="(BLANK)")+(UPPER($AS$85:$AZ$85)="EMPTY")+(UPPER($AS$85:$AZ$85)="(EMPTY)"))&gt;0,IFERROR(('Final Calculation Sheet'!$Y$26)&amp;"","")="",ISNUMBER(SEARCH($AS$85:$AZ$85,IFERROR(('Final Calculation Sheet'!$Y$26)&amp;"","")))))&gt;0),IF(COUNTIF($BI$85:$BP$85,4)=0,TRUE,SUMPRODUCT(($BI$85:$BP$85=4)*($AS$85:$AZ$85&lt;&gt;"")*IF(((UPPER($AS$85:$AZ$85)="BLANK")+(UPPER($AS$85:$AZ$85)="(BLANK)")+(UPPER($AS$85:$AZ$85)="EMPTY")+(UPPER($AS$85:$AZ$85)="(EMPTY)"))&gt;0,IFERROR(('Final Calculation Sheet'!$Y$26)&amp;"","")="",ISNUMBER(SEARCH($AS$85:$AZ$85,IFERROR(('Final Calculation Sheet'!$Y$26)&amp;"","")))))&gt;0),IF(COUNTIF($BI$85:$BP$85,5)=0,TRUE,SUMPRODUCT(($BI$85:$BP$85=5)*($AS$85:$AZ$85&lt;&gt;"")*IF(((UPPER($AS$85:$AZ$85)="BLANK")+(UPPER($AS$85:$AZ$85)="(BLANK)")+(UPPER($AS$85:$AZ$85)="EMPTY")+(UPPER($AS$85:$AZ$85)="(EMPTY)"))&gt;0,IFERROR(('Final Calculation Sheet'!$Y$26)&amp;"","")="",ISNUMBER(SEARCH($AS$85:$AZ$85,IFERROR(('Final Calculation Sheet'!$Y$26)&amp;"","")))))&gt;0),IF(COUNTIF($BI$85:$BP$85,6)=0,TRUE,SUMPRODUCT(($BI$85:$BP$85=6)*($AS$85:$AZ$85&lt;&gt;"")*IF(((UPPER($AS$85:$AZ$85)="BLANK")+(UPPER($AS$85:$AZ$85)="(BLANK)")+(UPPER($AS$85:$AZ$85)="EMPTY")+(UPPER($AS$85:$AZ$85)="(EMPTY)"))&gt;0,IFERROR(('Final Calculation Sheet'!$Y$26)&amp;"","")="",ISNUMBER(SEARCH($AS$85:$AZ$85,IFERROR(('Final Calculation Sheet'!$Y$26)&amp;"","")))))&gt;0),IF(COUNTIF($BI$85:$BP$85,7)=0,TRUE,SUMPRODUCT(($BI$85:$BP$85=7)*($AS$85:$AZ$85&lt;&gt;"")*IF(((UPPER($AS$85:$AZ$85)="BLANK")+(UPPER($AS$85:$AZ$85)="(BLANK)")+(UPPER($AS$85:$AZ$85)="EMPTY")+(UPPER($AS$85:$AZ$85)="(EMPTY)"))&gt;0,IFERROR(('Final Calculation Sheet'!$Y$26)&amp;"","")="",ISNUMBER(SEARCH($AS$85:$AZ$85,IFERROR(('Final Calculation Sheet'!$Y$26)&amp;"","")))))&gt;0),IF(COUNTIF($BI$85:$BP$85,8)=0,TRUE,SUMPRODUCT(($BI$85:$BP$85=8)*($AS$85:$AZ$85&lt;&gt;"")*IF(((UPPER($AS$85:$AZ$85)="BLANK")+(UPPER($AS$85:$AZ$85)="(BLANK)")+(UPPER($AS$85:$AZ$85)="EMPTY")+(UPPER($AS$85:$AZ$85)="(EMPTY)"))&gt;0,IFERROR(('Final Calculation Sheet'!$Y$26)&amp;"","")="",ISNUMBER(SEARCH($AS$85:$AZ$85,IFERROR(('Final Calculation Sheet'!$Y$26)&amp;"","")))))&gt;0))))</f>
        <v>1</v>
      </c>
      <c r="CM27">
        <f>IF($AA$4="",1,--(AND(SUMPRODUCT(--($AS$86:$AZ$86&lt;&gt;""))&gt;0,IF(COUNTIF($BI$86:$BP$86,1)=0,TRUE,SUMPRODUCT(($BI$86:$BP$86=1)*($AS$86:$AZ$86&lt;&gt;"")*IF(((UPPER($AS$86:$AZ$86)="BLANK")+(UPPER($AS$86:$AZ$86)="(BLANK)")+(UPPER($AS$86:$AZ$86)="EMPTY")+(UPPER($AS$86:$AZ$86)="(EMPTY)"))&gt;0,IFERROR(('Final Calculation Sheet'!$Z$26)&amp;"","")="",ISNUMBER(SEARCH($AS$86:$AZ$86,IFERROR(('Final Calculation Sheet'!$Z$26)&amp;"","")))))&gt;0),IF(COUNTIF($BI$86:$BP$86,2)=0,TRUE,SUMPRODUCT(($BI$86:$BP$86=2)*($AS$86:$AZ$86&lt;&gt;"")*IF(((UPPER($AS$86:$AZ$86)="BLANK")+(UPPER($AS$86:$AZ$86)="(BLANK)")+(UPPER($AS$86:$AZ$86)="EMPTY")+(UPPER($AS$86:$AZ$86)="(EMPTY)"))&gt;0,IFERROR(('Final Calculation Sheet'!$Z$26)&amp;"","")="",ISNUMBER(SEARCH($AS$86:$AZ$86,IFERROR(('Final Calculation Sheet'!$Z$26)&amp;"","")))))&gt;0),IF(COUNTIF($BI$86:$BP$86,3)=0,TRUE,SUMPRODUCT(($BI$86:$BP$86=3)*($AS$86:$AZ$86&lt;&gt;"")*IF(((UPPER($AS$86:$AZ$86)="BLANK")+(UPPER($AS$86:$AZ$86)="(BLANK)")+(UPPER($AS$86:$AZ$86)="EMPTY")+(UPPER($AS$86:$AZ$86)="(EMPTY)"))&gt;0,IFERROR(('Final Calculation Sheet'!$Z$26)&amp;"","")="",ISNUMBER(SEARCH($AS$86:$AZ$86,IFERROR(('Final Calculation Sheet'!$Z$26)&amp;"","")))))&gt;0),IF(COUNTIF($BI$86:$BP$86,4)=0,TRUE,SUMPRODUCT(($BI$86:$BP$86=4)*($AS$86:$AZ$86&lt;&gt;"")*IF(((UPPER($AS$86:$AZ$86)="BLANK")+(UPPER($AS$86:$AZ$86)="(BLANK)")+(UPPER($AS$86:$AZ$86)="EMPTY")+(UPPER($AS$86:$AZ$86)="(EMPTY)"))&gt;0,IFERROR(('Final Calculation Sheet'!$Z$26)&amp;"","")="",ISNUMBER(SEARCH($AS$86:$AZ$86,IFERROR(('Final Calculation Sheet'!$Z$26)&amp;"","")))))&gt;0),IF(COUNTIF($BI$86:$BP$86,5)=0,TRUE,SUMPRODUCT(($BI$86:$BP$86=5)*($AS$86:$AZ$86&lt;&gt;"")*IF(((UPPER($AS$86:$AZ$86)="BLANK")+(UPPER($AS$86:$AZ$86)="(BLANK)")+(UPPER($AS$86:$AZ$86)="EMPTY")+(UPPER($AS$86:$AZ$86)="(EMPTY)"))&gt;0,IFERROR(('Final Calculation Sheet'!$Z$26)&amp;"","")="",ISNUMBER(SEARCH($AS$86:$AZ$86,IFERROR(('Final Calculation Sheet'!$Z$26)&amp;"","")))))&gt;0),IF(COUNTIF($BI$86:$BP$86,6)=0,TRUE,SUMPRODUCT(($BI$86:$BP$86=6)*($AS$86:$AZ$86&lt;&gt;"")*IF(((UPPER($AS$86:$AZ$86)="BLANK")+(UPPER($AS$86:$AZ$86)="(BLANK)")+(UPPER($AS$86:$AZ$86)="EMPTY")+(UPPER($AS$86:$AZ$86)="(EMPTY)"))&gt;0,IFERROR(('Final Calculation Sheet'!$Z$26)&amp;"","")="",ISNUMBER(SEARCH($AS$86:$AZ$86,IFERROR(('Final Calculation Sheet'!$Z$26)&amp;"","")))))&gt;0),IF(COUNTIF($BI$86:$BP$86,7)=0,TRUE,SUMPRODUCT(($BI$86:$BP$86=7)*($AS$86:$AZ$86&lt;&gt;"")*IF(((UPPER($AS$86:$AZ$86)="BLANK")+(UPPER($AS$86:$AZ$86)="(BLANK)")+(UPPER($AS$86:$AZ$86)="EMPTY")+(UPPER($AS$86:$AZ$86)="(EMPTY)"))&gt;0,IFERROR(('Final Calculation Sheet'!$Z$26)&amp;"","")="",ISNUMBER(SEARCH($AS$86:$AZ$86,IFERROR(('Final Calculation Sheet'!$Z$26)&amp;"","")))))&gt;0),IF(COUNTIF($BI$86:$BP$86,8)=0,TRUE,SUMPRODUCT(($BI$86:$BP$86=8)*($AS$86:$AZ$86&lt;&gt;"")*IF(((UPPER($AS$86:$AZ$86)="BLANK")+(UPPER($AS$86:$AZ$86)="(BLANK)")+(UPPER($AS$86:$AZ$86)="EMPTY")+(UPPER($AS$86:$AZ$86)="(EMPTY)"))&gt;0,IFERROR(('Final Calculation Sheet'!$Z$26)&amp;"","")="",ISNUMBER(SEARCH($AS$86:$AZ$86,IFERROR(('Final Calculation Sheet'!$Z$26)&amp;"","")))))&gt;0))))</f>
        <v>1</v>
      </c>
      <c r="CN27">
        <f>IF($AB$4="",1,--(AND(SUMPRODUCT(--($AS$87:$AZ$87&lt;&gt;""))&gt;0,IF(COUNTIF($BI$87:$BP$87,1)=0,TRUE,SUMPRODUCT(($BI$87:$BP$87=1)*($AS$87:$AZ$87&lt;&gt;"")*IF(((UPPER($AS$87:$AZ$87)="BLANK")+(UPPER($AS$87:$AZ$87)="(BLANK)")+(UPPER($AS$87:$AZ$87)="EMPTY")+(UPPER($AS$87:$AZ$87)="(EMPTY)"))&gt;0,IFERROR(('Final Calculation Sheet'!$AA$26)&amp;"","")="",ISNUMBER(SEARCH($AS$87:$AZ$87,IFERROR(('Final Calculation Sheet'!$AA$26)&amp;"","")))))&gt;0),IF(COUNTIF($BI$87:$BP$87,2)=0,TRUE,SUMPRODUCT(($BI$87:$BP$87=2)*($AS$87:$AZ$87&lt;&gt;"")*IF(((UPPER($AS$87:$AZ$87)="BLANK")+(UPPER($AS$87:$AZ$87)="(BLANK)")+(UPPER($AS$87:$AZ$87)="EMPTY")+(UPPER($AS$87:$AZ$87)="(EMPTY)"))&gt;0,IFERROR(('Final Calculation Sheet'!$AA$26)&amp;"","")="",ISNUMBER(SEARCH($AS$87:$AZ$87,IFERROR(('Final Calculation Sheet'!$AA$26)&amp;"","")))))&gt;0),IF(COUNTIF($BI$87:$BP$87,3)=0,TRUE,SUMPRODUCT(($BI$87:$BP$87=3)*($AS$87:$AZ$87&lt;&gt;"")*IF(((UPPER($AS$87:$AZ$87)="BLANK")+(UPPER($AS$87:$AZ$87)="(BLANK)")+(UPPER($AS$87:$AZ$87)="EMPTY")+(UPPER($AS$87:$AZ$87)="(EMPTY)"))&gt;0,IFERROR(('Final Calculation Sheet'!$AA$26)&amp;"","")="",ISNUMBER(SEARCH($AS$87:$AZ$87,IFERROR(('Final Calculation Sheet'!$AA$26)&amp;"","")))))&gt;0),IF(COUNTIF($BI$87:$BP$87,4)=0,TRUE,SUMPRODUCT(($BI$87:$BP$87=4)*($AS$87:$AZ$87&lt;&gt;"")*IF(((UPPER($AS$87:$AZ$87)="BLANK")+(UPPER($AS$87:$AZ$87)="(BLANK)")+(UPPER($AS$87:$AZ$87)="EMPTY")+(UPPER($AS$87:$AZ$87)="(EMPTY)"))&gt;0,IFERROR(('Final Calculation Sheet'!$AA$26)&amp;"","")="",ISNUMBER(SEARCH($AS$87:$AZ$87,IFERROR(('Final Calculation Sheet'!$AA$26)&amp;"","")))))&gt;0),IF(COUNTIF($BI$87:$BP$87,5)=0,TRUE,SUMPRODUCT(($BI$87:$BP$87=5)*($AS$87:$AZ$87&lt;&gt;"")*IF(((UPPER($AS$87:$AZ$87)="BLANK")+(UPPER($AS$87:$AZ$87)="(BLANK)")+(UPPER($AS$87:$AZ$87)="EMPTY")+(UPPER($AS$87:$AZ$87)="(EMPTY)"))&gt;0,IFERROR(('Final Calculation Sheet'!$AA$26)&amp;"","")="",ISNUMBER(SEARCH($AS$87:$AZ$87,IFERROR(('Final Calculation Sheet'!$AA$26)&amp;"","")))))&gt;0),IF(COUNTIF($BI$87:$BP$87,6)=0,TRUE,SUMPRODUCT(($BI$87:$BP$87=6)*($AS$87:$AZ$87&lt;&gt;"")*IF(((UPPER($AS$87:$AZ$87)="BLANK")+(UPPER($AS$87:$AZ$87)="(BLANK)")+(UPPER($AS$87:$AZ$87)="EMPTY")+(UPPER($AS$87:$AZ$87)="(EMPTY)"))&gt;0,IFERROR(('Final Calculation Sheet'!$AA$26)&amp;"","")="",ISNUMBER(SEARCH($AS$87:$AZ$87,IFERROR(('Final Calculation Sheet'!$AA$26)&amp;"","")))))&gt;0),IF(COUNTIF($BI$87:$BP$87,7)=0,TRUE,SUMPRODUCT(($BI$87:$BP$87=7)*($AS$87:$AZ$87&lt;&gt;"")*IF(((UPPER($AS$87:$AZ$87)="BLANK")+(UPPER($AS$87:$AZ$87)="(BLANK)")+(UPPER($AS$87:$AZ$87)="EMPTY")+(UPPER($AS$87:$AZ$87)="(EMPTY)"))&gt;0,IFERROR(('Final Calculation Sheet'!$AA$26)&amp;"","")="",ISNUMBER(SEARCH($AS$87:$AZ$87,IFERROR(('Final Calculation Sheet'!$AA$26)&amp;"","")))))&gt;0),IF(COUNTIF($BI$87:$BP$87,8)=0,TRUE,SUMPRODUCT(($BI$87:$BP$87=8)*($AS$87:$AZ$87&lt;&gt;"")*IF(((UPPER($AS$87:$AZ$87)="BLANK")+(UPPER($AS$87:$AZ$87)="(BLANK)")+(UPPER($AS$87:$AZ$87)="EMPTY")+(UPPER($AS$87:$AZ$87)="(EMPTY)"))&gt;0,IFERROR(('Final Calculation Sheet'!$AA$26)&amp;"","")="",ISNUMBER(SEARCH($AS$87:$AZ$87,IFERROR(('Final Calculation Sheet'!$AA$26)&amp;"","")))))&gt;0))))</f>
        <v>1</v>
      </c>
      <c r="CO27">
        <f>IF($AC$4="",1,--(AND(SUMPRODUCT(--($AS$88:$AZ$88&lt;&gt;""))&gt;0,IF(COUNTIF($BI$88:$BP$88,1)=0,TRUE,SUMPRODUCT(($BI$88:$BP$88=1)*($AS$88:$AZ$88&lt;&gt;"")*IF(((UPPER($AS$88:$AZ$88)="BLANK")+(UPPER($AS$88:$AZ$88)="(BLANK)")+(UPPER($AS$88:$AZ$88)="EMPTY")+(UPPER($AS$88:$AZ$88)="(EMPTY)"))&gt;0,IFERROR(('Final Calculation Sheet'!$AB$26)&amp;"","")="",ISNUMBER(SEARCH($AS$88:$AZ$88,IFERROR(('Final Calculation Sheet'!$AB$26)&amp;"","")))))&gt;0),IF(COUNTIF($BI$88:$BP$88,2)=0,TRUE,SUMPRODUCT(($BI$88:$BP$88=2)*($AS$88:$AZ$88&lt;&gt;"")*IF(((UPPER($AS$88:$AZ$88)="BLANK")+(UPPER($AS$88:$AZ$88)="(BLANK)")+(UPPER($AS$88:$AZ$88)="EMPTY")+(UPPER($AS$88:$AZ$88)="(EMPTY)"))&gt;0,IFERROR(('Final Calculation Sheet'!$AB$26)&amp;"","")="",ISNUMBER(SEARCH($AS$88:$AZ$88,IFERROR(('Final Calculation Sheet'!$AB$26)&amp;"","")))))&gt;0),IF(COUNTIF($BI$88:$BP$88,3)=0,TRUE,SUMPRODUCT(($BI$88:$BP$88=3)*($AS$88:$AZ$88&lt;&gt;"")*IF(((UPPER($AS$88:$AZ$88)="BLANK")+(UPPER($AS$88:$AZ$88)="(BLANK)")+(UPPER($AS$88:$AZ$88)="EMPTY")+(UPPER($AS$88:$AZ$88)="(EMPTY)"))&gt;0,IFERROR(('Final Calculation Sheet'!$AB$26)&amp;"","")="",ISNUMBER(SEARCH($AS$88:$AZ$88,IFERROR(('Final Calculation Sheet'!$AB$26)&amp;"","")))))&gt;0),IF(COUNTIF($BI$88:$BP$88,4)=0,TRUE,SUMPRODUCT(($BI$88:$BP$88=4)*($AS$88:$AZ$88&lt;&gt;"")*IF(((UPPER($AS$88:$AZ$88)="BLANK")+(UPPER($AS$88:$AZ$88)="(BLANK)")+(UPPER($AS$88:$AZ$88)="EMPTY")+(UPPER($AS$88:$AZ$88)="(EMPTY)"))&gt;0,IFERROR(('Final Calculation Sheet'!$AB$26)&amp;"","")="",ISNUMBER(SEARCH($AS$88:$AZ$88,IFERROR(('Final Calculation Sheet'!$AB$26)&amp;"","")))))&gt;0),IF(COUNTIF($BI$88:$BP$88,5)=0,TRUE,SUMPRODUCT(($BI$88:$BP$88=5)*($AS$88:$AZ$88&lt;&gt;"")*IF(((UPPER($AS$88:$AZ$88)="BLANK")+(UPPER($AS$88:$AZ$88)="(BLANK)")+(UPPER($AS$88:$AZ$88)="EMPTY")+(UPPER($AS$88:$AZ$88)="(EMPTY)"))&gt;0,IFERROR(('Final Calculation Sheet'!$AB$26)&amp;"","")="",ISNUMBER(SEARCH($AS$88:$AZ$88,IFERROR(('Final Calculation Sheet'!$AB$26)&amp;"","")))))&gt;0),IF(COUNTIF($BI$88:$BP$88,6)=0,TRUE,SUMPRODUCT(($BI$88:$BP$88=6)*($AS$88:$AZ$88&lt;&gt;"")*IF(((UPPER($AS$88:$AZ$88)="BLANK")+(UPPER($AS$88:$AZ$88)="(BLANK)")+(UPPER($AS$88:$AZ$88)="EMPTY")+(UPPER($AS$88:$AZ$88)="(EMPTY)"))&gt;0,IFERROR(('Final Calculation Sheet'!$AB$26)&amp;"","")="",ISNUMBER(SEARCH($AS$88:$AZ$88,IFERROR(('Final Calculation Sheet'!$AB$26)&amp;"","")))))&gt;0),IF(COUNTIF($BI$88:$BP$88,7)=0,TRUE,SUMPRODUCT(($BI$88:$BP$88=7)*($AS$88:$AZ$88&lt;&gt;"")*IF(((UPPER($AS$88:$AZ$88)="BLANK")+(UPPER($AS$88:$AZ$88)="(BLANK)")+(UPPER($AS$88:$AZ$88)="EMPTY")+(UPPER($AS$88:$AZ$88)="(EMPTY)"))&gt;0,IFERROR(('Final Calculation Sheet'!$AB$26)&amp;"","")="",ISNUMBER(SEARCH($AS$88:$AZ$88,IFERROR(('Final Calculation Sheet'!$AB$26)&amp;"","")))))&gt;0),IF(COUNTIF($BI$88:$BP$88,8)=0,TRUE,SUMPRODUCT(($BI$88:$BP$88=8)*($AS$88:$AZ$88&lt;&gt;"")*IF(((UPPER($AS$88:$AZ$88)="BLANK")+(UPPER($AS$88:$AZ$88)="(BLANK)")+(UPPER($AS$88:$AZ$88)="EMPTY")+(UPPER($AS$88:$AZ$88)="(EMPTY)"))&gt;0,IFERROR(('Final Calculation Sheet'!$AB$26)&amp;"","")="",ISNUMBER(SEARCH($AS$88:$AZ$88,IFERROR(('Final Calculation Sheet'!$AB$26)&amp;"","")))))&gt;0))))</f>
        <v>1</v>
      </c>
      <c r="CP27">
        <f>IF($AD$4="",1,--(AND(SUMPRODUCT(--($AS$89:$AZ$89&lt;&gt;""))&gt;0,IF(COUNTIF($BI$89:$BP$89,1)=0,TRUE,SUMPRODUCT(($BI$89:$BP$89=1)*($AS$89:$AZ$89&lt;&gt;"")*IF(((UPPER($AS$89:$AZ$89)="BLANK")+(UPPER($AS$89:$AZ$89)="(BLANK)")+(UPPER($AS$89:$AZ$89)="EMPTY")+(UPPER($AS$89:$AZ$89)="(EMPTY)"))&gt;0,IFERROR(('Final Calculation Sheet'!$AC$26)&amp;"","")="",ISNUMBER(SEARCH($AS$89:$AZ$89,IFERROR(('Final Calculation Sheet'!$AC$26)&amp;"","")))))&gt;0),IF(COUNTIF($BI$89:$BP$89,2)=0,TRUE,SUMPRODUCT(($BI$89:$BP$89=2)*($AS$89:$AZ$89&lt;&gt;"")*IF(((UPPER($AS$89:$AZ$89)="BLANK")+(UPPER($AS$89:$AZ$89)="(BLANK)")+(UPPER($AS$89:$AZ$89)="EMPTY")+(UPPER($AS$89:$AZ$89)="(EMPTY)"))&gt;0,IFERROR(('Final Calculation Sheet'!$AC$26)&amp;"","")="",ISNUMBER(SEARCH($AS$89:$AZ$89,IFERROR(('Final Calculation Sheet'!$AC$26)&amp;"","")))))&gt;0),IF(COUNTIF($BI$89:$BP$89,3)=0,TRUE,SUMPRODUCT(($BI$89:$BP$89=3)*($AS$89:$AZ$89&lt;&gt;"")*IF(((UPPER($AS$89:$AZ$89)="BLANK")+(UPPER($AS$89:$AZ$89)="(BLANK)")+(UPPER($AS$89:$AZ$89)="EMPTY")+(UPPER($AS$89:$AZ$89)="(EMPTY)"))&gt;0,IFERROR(('Final Calculation Sheet'!$AC$26)&amp;"","")="",ISNUMBER(SEARCH($AS$89:$AZ$89,IFERROR(('Final Calculation Sheet'!$AC$26)&amp;"","")))))&gt;0),IF(COUNTIF($BI$89:$BP$89,4)=0,TRUE,SUMPRODUCT(($BI$89:$BP$89=4)*($AS$89:$AZ$89&lt;&gt;"")*IF(((UPPER($AS$89:$AZ$89)="BLANK")+(UPPER($AS$89:$AZ$89)="(BLANK)")+(UPPER($AS$89:$AZ$89)="EMPTY")+(UPPER($AS$89:$AZ$89)="(EMPTY)"))&gt;0,IFERROR(('Final Calculation Sheet'!$AC$26)&amp;"","")="",ISNUMBER(SEARCH($AS$89:$AZ$89,IFERROR(('Final Calculation Sheet'!$AC$26)&amp;"","")))))&gt;0),IF(COUNTIF($BI$89:$BP$89,5)=0,TRUE,SUMPRODUCT(($BI$89:$BP$89=5)*($AS$89:$AZ$89&lt;&gt;"")*IF(((UPPER($AS$89:$AZ$89)="BLANK")+(UPPER($AS$89:$AZ$89)="(BLANK)")+(UPPER($AS$89:$AZ$89)="EMPTY")+(UPPER($AS$89:$AZ$89)="(EMPTY)"))&gt;0,IFERROR(('Final Calculation Sheet'!$AC$26)&amp;"","")="",ISNUMBER(SEARCH($AS$89:$AZ$89,IFERROR(('Final Calculation Sheet'!$AC$26)&amp;"","")))))&gt;0),IF(COUNTIF($BI$89:$BP$89,6)=0,TRUE,SUMPRODUCT(($BI$89:$BP$89=6)*($AS$89:$AZ$89&lt;&gt;"")*IF(((UPPER($AS$89:$AZ$89)="BLANK")+(UPPER($AS$89:$AZ$89)="(BLANK)")+(UPPER($AS$89:$AZ$89)="EMPTY")+(UPPER($AS$89:$AZ$89)="(EMPTY)"))&gt;0,IFERROR(('Final Calculation Sheet'!$AC$26)&amp;"","")="",ISNUMBER(SEARCH($AS$89:$AZ$89,IFERROR(('Final Calculation Sheet'!$AC$26)&amp;"","")))))&gt;0),IF(COUNTIF($BI$89:$BP$89,7)=0,TRUE,SUMPRODUCT(($BI$89:$BP$89=7)*($AS$89:$AZ$89&lt;&gt;"")*IF(((UPPER($AS$89:$AZ$89)="BLANK")+(UPPER($AS$89:$AZ$89)="(BLANK)")+(UPPER($AS$89:$AZ$89)="EMPTY")+(UPPER($AS$89:$AZ$89)="(EMPTY)"))&gt;0,IFERROR(('Final Calculation Sheet'!$AC$26)&amp;"","")="",ISNUMBER(SEARCH($AS$89:$AZ$89,IFERROR(('Final Calculation Sheet'!$AC$26)&amp;"","")))))&gt;0),IF(COUNTIF($BI$89:$BP$89,8)=0,TRUE,SUMPRODUCT(($BI$89:$BP$89=8)*($AS$89:$AZ$89&lt;&gt;"")*IF(((UPPER($AS$89:$AZ$89)="BLANK")+(UPPER($AS$89:$AZ$89)="(BLANK)")+(UPPER($AS$89:$AZ$89)="EMPTY")+(UPPER($AS$89:$AZ$89)="(EMPTY)"))&gt;0,IFERROR(('Final Calculation Sheet'!$AC$26)&amp;"","")="",ISNUMBER(SEARCH($AS$89:$AZ$89,IFERROR(('Final Calculation Sheet'!$AC$26)&amp;"","")))))&gt;0))))</f>
        <v>1</v>
      </c>
      <c r="CQ27">
        <f>IF($AE$4="",1,--(AND(SUMPRODUCT(--($AS$90:$AZ$90&lt;&gt;""))&gt;0,IF(COUNTIF($BI$90:$BP$90,1)=0,TRUE,SUMPRODUCT(($BI$90:$BP$90=1)*($AS$90:$AZ$90&lt;&gt;"")*IF(((UPPER($AS$90:$AZ$90)="BLANK")+(UPPER($AS$90:$AZ$90)="(BLANK)")+(UPPER($AS$90:$AZ$90)="EMPTY")+(UPPER($AS$90:$AZ$90)="(EMPTY)"))&gt;0,IFERROR(('Final Calculation Sheet'!$AD$26)&amp;"","")="",ISNUMBER(SEARCH($AS$90:$AZ$90,IFERROR(('Final Calculation Sheet'!$AD$26)&amp;"","")))))&gt;0),IF(COUNTIF($BI$90:$BP$90,2)=0,TRUE,SUMPRODUCT(($BI$90:$BP$90=2)*($AS$90:$AZ$90&lt;&gt;"")*IF(((UPPER($AS$90:$AZ$90)="BLANK")+(UPPER($AS$90:$AZ$90)="(BLANK)")+(UPPER($AS$90:$AZ$90)="EMPTY")+(UPPER($AS$90:$AZ$90)="(EMPTY)"))&gt;0,IFERROR(('Final Calculation Sheet'!$AD$26)&amp;"","")="",ISNUMBER(SEARCH($AS$90:$AZ$90,IFERROR(('Final Calculation Sheet'!$AD$26)&amp;"","")))))&gt;0),IF(COUNTIF($BI$90:$BP$90,3)=0,TRUE,SUMPRODUCT(($BI$90:$BP$90=3)*($AS$90:$AZ$90&lt;&gt;"")*IF(((UPPER($AS$90:$AZ$90)="BLANK")+(UPPER($AS$90:$AZ$90)="(BLANK)")+(UPPER($AS$90:$AZ$90)="EMPTY")+(UPPER($AS$90:$AZ$90)="(EMPTY)"))&gt;0,IFERROR(('Final Calculation Sheet'!$AD$26)&amp;"","")="",ISNUMBER(SEARCH($AS$90:$AZ$90,IFERROR(('Final Calculation Sheet'!$AD$26)&amp;"","")))))&gt;0),IF(COUNTIF($BI$90:$BP$90,4)=0,TRUE,SUMPRODUCT(($BI$90:$BP$90=4)*($AS$90:$AZ$90&lt;&gt;"")*IF(((UPPER($AS$90:$AZ$90)="BLANK")+(UPPER($AS$90:$AZ$90)="(BLANK)")+(UPPER($AS$90:$AZ$90)="EMPTY")+(UPPER($AS$90:$AZ$90)="(EMPTY)"))&gt;0,IFERROR(('Final Calculation Sheet'!$AD$26)&amp;"","")="",ISNUMBER(SEARCH($AS$90:$AZ$90,IFERROR(('Final Calculation Sheet'!$AD$26)&amp;"","")))))&gt;0),IF(COUNTIF($BI$90:$BP$90,5)=0,TRUE,SUMPRODUCT(($BI$90:$BP$90=5)*($AS$90:$AZ$90&lt;&gt;"")*IF(((UPPER($AS$90:$AZ$90)="BLANK")+(UPPER($AS$90:$AZ$90)="(BLANK)")+(UPPER($AS$90:$AZ$90)="EMPTY")+(UPPER($AS$90:$AZ$90)="(EMPTY)"))&gt;0,IFERROR(('Final Calculation Sheet'!$AD$26)&amp;"","")="",ISNUMBER(SEARCH($AS$90:$AZ$90,IFERROR(('Final Calculation Sheet'!$AD$26)&amp;"","")))))&gt;0),IF(COUNTIF($BI$90:$BP$90,6)=0,TRUE,SUMPRODUCT(($BI$90:$BP$90=6)*($AS$90:$AZ$90&lt;&gt;"")*IF(((UPPER($AS$90:$AZ$90)="BLANK")+(UPPER($AS$90:$AZ$90)="(BLANK)")+(UPPER($AS$90:$AZ$90)="EMPTY")+(UPPER($AS$90:$AZ$90)="(EMPTY)"))&gt;0,IFERROR(('Final Calculation Sheet'!$AD$26)&amp;"","")="",ISNUMBER(SEARCH($AS$90:$AZ$90,IFERROR(('Final Calculation Sheet'!$AD$26)&amp;"","")))))&gt;0),IF(COUNTIF($BI$90:$BP$90,7)=0,TRUE,SUMPRODUCT(($BI$90:$BP$90=7)*($AS$90:$AZ$90&lt;&gt;"")*IF(((UPPER($AS$90:$AZ$90)="BLANK")+(UPPER($AS$90:$AZ$90)="(BLANK)")+(UPPER($AS$90:$AZ$90)="EMPTY")+(UPPER($AS$90:$AZ$90)="(EMPTY)"))&gt;0,IFERROR(('Final Calculation Sheet'!$AD$26)&amp;"","")="",ISNUMBER(SEARCH($AS$90:$AZ$90,IFERROR(('Final Calculation Sheet'!$AD$26)&amp;"","")))))&gt;0),IF(COUNTIF($BI$90:$BP$90,8)=0,TRUE,SUMPRODUCT(($BI$90:$BP$90=8)*($AS$90:$AZ$90&lt;&gt;"")*IF(((UPPER($AS$90:$AZ$90)="BLANK")+(UPPER($AS$90:$AZ$90)="(BLANK)")+(UPPER($AS$90:$AZ$90)="EMPTY")+(UPPER($AS$90:$AZ$90)="(EMPTY)"))&gt;0,IFERROR(('Final Calculation Sheet'!$AD$26)&amp;"","")="",ISNUMBER(SEARCH($AS$90:$AZ$90,IFERROR(('Final Calculation Sheet'!$AD$26)&amp;"","")))))&gt;0))))</f>
        <v>1</v>
      </c>
      <c r="CR27">
        <f>IF($AF$4="",1,--(AND(SUMPRODUCT(--($AS$91:$AZ$91&lt;&gt;""))&gt;0,IF(COUNTIF($BI$91:$BP$91,1)=0,TRUE,SUMPRODUCT(($BI$91:$BP$91=1)*($AS$91:$AZ$91&lt;&gt;"")*IF(((UPPER($AS$91:$AZ$91)="BLANK")+(UPPER($AS$91:$AZ$91)="(BLANK)")+(UPPER($AS$91:$AZ$91)="EMPTY")+(UPPER($AS$91:$AZ$91)="(EMPTY)"))&gt;0,IFERROR(('Final Calculation Sheet'!$AE$26)&amp;"","")="",ISNUMBER(SEARCH($AS$91:$AZ$91,IFERROR(('Final Calculation Sheet'!$AE$26)&amp;"","")))))&gt;0),IF(COUNTIF($BI$91:$BP$91,2)=0,TRUE,SUMPRODUCT(($BI$91:$BP$91=2)*($AS$91:$AZ$91&lt;&gt;"")*IF(((UPPER($AS$91:$AZ$91)="BLANK")+(UPPER($AS$91:$AZ$91)="(BLANK)")+(UPPER($AS$91:$AZ$91)="EMPTY")+(UPPER($AS$91:$AZ$91)="(EMPTY)"))&gt;0,IFERROR(('Final Calculation Sheet'!$AE$26)&amp;"","")="",ISNUMBER(SEARCH($AS$91:$AZ$91,IFERROR(('Final Calculation Sheet'!$AE$26)&amp;"","")))))&gt;0),IF(COUNTIF($BI$91:$BP$91,3)=0,TRUE,SUMPRODUCT(($BI$91:$BP$91=3)*($AS$91:$AZ$91&lt;&gt;"")*IF(((UPPER($AS$91:$AZ$91)="BLANK")+(UPPER($AS$91:$AZ$91)="(BLANK)")+(UPPER($AS$91:$AZ$91)="EMPTY")+(UPPER($AS$91:$AZ$91)="(EMPTY)"))&gt;0,IFERROR(('Final Calculation Sheet'!$AE$26)&amp;"","")="",ISNUMBER(SEARCH($AS$91:$AZ$91,IFERROR(('Final Calculation Sheet'!$AE$26)&amp;"","")))))&gt;0),IF(COUNTIF($BI$91:$BP$91,4)=0,TRUE,SUMPRODUCT(($BI$91:$BP$91=4)*($AS$91:$AZ$91&lt;&gt;"")*IF(((UPPER($AS$91:$AZ$91)="BLANK")+(UPPER($AS$91:$AZ$91)="(BLANK)")+(UPPER($AS$91:$AZ$91)="EMPTY")+(UPPER($AS$91:$AZ$91)="(EMPTY)"))&gt;0,IFERROR(('Final Calculation Sheet'!$AE$26)&amp;"","")="",ISNUMBER(SEARCH($AS$91:$AZ$91,IFERROR(('Final Calculation Sheet'!$AE$26)&amp;"","")))))&gt;0),IF(COUNTIF($BI$91:$BP$91,5)=0,TRUE,SUMPRODUCT(($BI$91:$BP$91=5)*($AS$91:$AZ$91&lt;&gt;"")*IF(((UPPER($AS$91:$AZ$91)="BLANK")+(UPPER($AS$91:$AZ$91)="(BLANK)")+(UPPER($AS$91:$AZ$91)="EMPTY")+(UPPER($AS$91:$AZ$91)="(EMPTY)"))&gt;0,IFERROR(('Final Calculation Sheet'!$AE$26)&amp;"","")="",ISNUMBER(SEARCH($AS$91:$AZ$91,IFERROR(('Final Calculation Sheet'!$AE$26)&amp;"","")))))&gt;0),IF(COUNTIF($BI$91:$BP$91,6)=0,TRUE,SUMPRODUCT(($BI$91:$BP$91=6)*($AS$91:$AZ$91&lt;&gt;"")*IF(((UPPER($AS$91:$AZ$91)="BLANK")+(UPPER($AS$91:$AZ$91)="(BLANK)")+(UPPER($AS$91:$AZ$91)="EMPTY")+(UPPER($AS$91:$AZ$91)="(EMPTY)"))&gt;0,IFERROR(('Final Calculation Sheet'!$AE$26)&amp;"","")="",ISNUMBER(SEARCH($AS$91:$AZ$91,IFERROR(('Final Calculation Sheet'!$AE$26)&amp;"","")))))&gt;0),IF(COUNTIF($BI$91:$BP$91,7)=0,TRUE,SUMPRODUCT(($BI$91:$BP$91=7)*($AS$91:$AZ$91&lt;&gt;"")*IF(((UPPER($AS$91:$AZ$91)="BLANK")+(UPPER($AS$91:$AZ$91)="(BLANK)")+(UPPER($AS$91:$AZ$91)="EMPTY")+(UPPER($AS$91:$AZ$91)="(EMPTY)"))&gt;0,IFERROR(('Final Calculation Sheet'!$AE$26)&amp;"","")="",ISNUMBER(SEARCH($AS$91:$AZ$91,IFERROR(('Final Calculation Sheet'!$AE$26)&amp;"","")))))&gt;0),IF(COUNTIF($BI$91:$BP$91,8)=0,TRUE,SUMPRODUCT(($BI$91:$BP$91=8)*($AS$91:$AZ$91&lt;&gt;"")*IF(((UPPER($AS$91:$AZ$91)="BLANK")+(UPPER($AS$91:$AZ$91)="(BLANK)")+(UPPER($AS$91:$AZ$91)="EMPTY")+(UPPER($AS$91:$AZ$91)="(EMPTY)"))&gt;0,IFERROR(('Final Calculation Sheet'!$AE$26)&amp;"","")="",ISNUMBER(SEARCH($AS$91:$AZ$91,IFERROR(('Final Calculation Sheet'!$AE$26)&amp;"","")))))&gt;0))))</f>
        <v>1</v>
      </c>
      <c r="CS27">
        <f>IF($AG$4="",1,--(AND(SUMPRODUCT(--($AS$92:$AZ$92&lt;&gt;""))&gt;0,IF(COUNTIF($BI$92:$BP$92,1)=0,TRUE,SUMPRODUCT(($BI$92:$BP$92=1)*($AS$92:$AZ$92&lt;&gt;"")*IF(((UPPER($AS$92:$AZ$92)="BLANK")+(UPPER($AS$92:$AZ$92)="(BLANK)")+(UPPER($AS$92:$AZ$92)="EMPTY")+(UPPER($AS$92:$AZ$92)="(EMPTY)"))&gt;0,IFERROR(('Final Calculation Sheet'!$AF$26)&amp;"","")="",ISNUMBER(SEARCH($AS$92:$AZ$92,IFERROR(('Final Calculation Sheet'!$AF$26)&amp;"","")))))&gt;0),IF(COUNTIF($BI$92:$BP$92,2)=0,TRUE,SUMPRODUCT(($BI$92:$BP$92=2)*($AS$92:$AZ$92&lt;&gt;"")*IF(((UPPER($AS$92:$AZ$92)="BLANK")+(UPPER($AS$92:$AZ$92)="(BLANK)")+(UPPER($AS$92:$AZ$92)="EMPTY")+(UPPER($AS$92:$AZ$92)="(EMPTY)"))&gt;0,IFERROR(('Final Calculation Sheet'!$AF$26)&amp;"","")="",ISNUMBER(SEARCH($AS$92:$AZ$92,IFERROR(('Final Calculation Sheet'!$AF$26)&amp;"","")))))&gt;0),IF(COUNTIF($BI$92:$BP$92,3)=0,TRUE,SUMPRODUCT(($BI$92:$BP$92=3)*($AS$92:$AZ$92&lt;&gt;"")*IF(((UPPER($AS$92:$AZ$92)="BLANK")+(UPPER($AS$92:$AZ$92)="(BLANK)")+(UPPER($AS$92:$AZ$92)="EMPTY")+(UPPER($AS$92:$AZ$92)="(EMPTY)"))&gt;0,IFERROR(('Final Calculation Sheet'!$AF$26)&amp;"","")="",ISNUMBER(SEARCH($AS$92:$AZ$92,IFERROR(('Final Calculation Sheet'!$AF$26)&amp;"","")))))&gt;0),IF(COUNTIF($BI$92:$BP$92,4)=0,TRUE,SUMPRODUCT(($BI$92:$BP$92=4)*($AS$92:$AZ$92&lt;&gt;"")*IF(((UPPER($AS$92:$AZ$92)="BLANK")+(UPPER($AS$92:$AZ$92)="(BLANK)")+(UPPER($AS$92:$AZ$92)="EMPTY")+(UPPER($AS$92:$AZ$92)="(EMPTY)"))&gt;0,IFERROR(('Final Calculation Sheet'!$AF$26)&amp;"","")="",ISNUMBER(SEARCH($AS$92:$AZ$92,IFERROR(('Final Calculation Sheet'!$AF$26)&amp;"","")))))&gt;0),IF(COUNTIF($BI$92:$BP$92,5)=0,TRUE,SUMPRODUCT(($BI$92:$BP$92=5)*($AS$92:$AZ$92&lt;&gt;"")*IF(((UPPER($AS$92:$AZ$92)="BLANK")+(UPPER($AS$92:$AZ$92)="(BLANK)")+(UPPER($AS$92:$AZ$92)="EMPTY")+(UPPER($AS$92:$AZ$92)="(EMPTY)"))&gt;0,IFERROR(('Final Calculation Sheet'!$AF$26)&amp;"","")="",ISNUMBER(SEARCH($AS$92:$AZ$92,IFERROR(('Final Calculation Sheet'!$AF$26)&amp;"","")))))&gt;0),IF(COUNTIF($BI$92:$BP$92,6)=0,TRUE,SUMPRODUCT(($BI$92:$BP$92=6)*($AS$92:$AZ$92&lt;&gt;"")*IF(((UPPER($AS$92:$AZ$92)="BLANK")+(UPPER($AS$92:$AZ$92)="(BLANK)")+(UPPER($AS$92:$AZ$92)="EMPTY")+(UPPER($AS$92:$AZ$92)="(EMPTY)"))&gt;0,IFERROR(('Final Calculation Sheet'!$AF$26)&amp;"","")="",ISNUMBER(SEARCH($AS$92:$AZ$92,IFERROR(('Final Calculation Sheet'!$AF$26)&amp;"","")))))&gt;0),IF(COUNTIF($BI$92:$BP$92,7)=0,TRUE,SUMPRODUCT(($BI$92:$BP$92=7)*($AS$92:$AZ$92&lt;&gt;"")*IF(((UPPER($AS$92:$AZ$92)="BLANK")+(UPPER($AS$92:$AZ$92)="(BLANK)")+(UPPER($AS$92:$AZ$92)="EMPTY")+(UPPER($AS$92:$AZ$92)="(EMPTY)"))&gt;0,IFERROR(('Final Calculation Sheet'!$AF$26)&amp;"","")="",ISNUMBER(SEARCH($AS$92:$AZ$92,IFERROR(('Final Calculation Sheet'!$AF$26)&amp;"","")))))&gt;0),IF(COUNTIF($BI$92:$BP$92,8)=0,TRUE,SUMPRODUCT(($BI$92:$BP$92=8)*($AS$92:$AZ$92&lt;&gt;"")*IF(((UPPER($AS$92:$AZ$92)="BLANK")+(UPPER($AS$92:$AZ$92)="(BLANK)")+(UPPER($AS$92:$AZ$92)="EMPTY")+(UPPER($AS$92:$AZ$92)="(EMPTY)"))&gt;0,IFERROR(('Final Calculation Sheet'!$AF$26)&amp;"","")="",ISNUMBER(SEARCH($AS$92:$AZ$92,IFERROR(('Final Calculation Sheet'!$AF$26)&amp;"","")))))&gt;0))))</f>
        <v>1</v>
      </c>
      <c r="CT27">
        <f>IF($AH$4="",1,--(AND(SUMPRODUCT(--($AS$93:$AZ$93&lt;&gt;""))&gt;0,IF(COUNTIF($BI$93:$BP$93,1)=0,TRUE,SUMPRODUCT(($BI$93:$BP$93=1)*($AS$93:$AZ$93&lt;&gt;"")*IF(((UPPER($AS$93:$AZ$93)="BLANK")+(UPPER($AS$93:$AZ$93)="(BLANK)")+(UPPER($AS$93:$AZ$93)="EMPTY")+(UPPER($AS$93:$AZ$93)="(EMPTY)"))&gt;0,IFERROR(('Final Calculation Sheet'!$AG$26)&amp;"","")="",ISNUMBER(SEARCH($AS$93:$AZ$93,IFERROR(('Final Calculation Sheet'!$AG$26)&amp;"","")))))&gt;0),IF(COUNTIF($BI$93:$BP$93,2)=0,TRUE,SUMPRODUCT(($BI$93:$BP$93=2)*($AS$93:$AZ$93&lt;&gt;"")*IF(((UPPER($AS$93:$AZ$93)="BLANK")+(UPPER($AS$93:$AZ$93)="(BLANK)")+(UPPER($AS$93:$AZ$93)="EMPTY")+(UPPER($AS$93:$AZ$93)="(EMPTY)"))&gt;0,IFERROR(('Final Calculation Sheet'!$AG$26)&amp;"","")="",ISNUMBER(SEARCH($AS$93:$AZ$93,IFERROR(('Final Calculation Sheet'!$AG$26)&amp;"","")))))&gt;0),IF(COUNTIF($BI$93:$BP$93,3)=0,TRUE,SUMPRODUCT(($BI$93:$BP$93=3)*($AS$93:$AZ$93&lt;&gt;"")*IF(((UPPER($AS$93:$AZ$93)="BLANK")+(UPPER($AS$93:$AZ$93)="(BLANK)")+(UPPER($AS$93:$AZ$93)="EMPTY")+(UPPER($AS$93:$AZ$93)="(EMPTY)"))&gt;0,IFERROR(('Final Calculation Sheet'!$AG$26)&amp;"","")="",ISNUMBER(SEARCH($AS$93:$AZ$93,IFERROR(('Final Calculation Sheet'!$AG$26)&amp;"","")))))&gt;0),IF(COUNTIF($BI$93:$BP$93,4)=0,TRUE,SUMPRODUCT(($BI$93:$BP$93=4)*($AS$93:$AZ$93&lt;&gt;"")*IF(((UPPER($AS$93:$AZ$93)="BLANK")+(UPPER($AS$93:$AZ$93)="(BLANK)")+(UPPER($AS$93:$AZ$93)="EMPTY")+(UPPER($AS$93:$AZ$93)="(EMPTY)"))&gt;0,IFERROR(('Final Calculation Sheet'!$AG$26)&amp;"","")="",ISNUMBER(SEARCH($AS$93:$AZ$93,IFERROR(('Final Calculation Sheet'!$AG$26)&amp;"","")))))&gt;0),IF(COUNTIF($BI$93:$BP$93,5)=0,TRUE,SUMPRODUCT(($BI$93:$BP$93=5)*($AS$93:$AZ$93&lt;&gt;"")*IF(((UPPER($AS$93:$AZ$93)="BLANK")+(UPPER($AS$93:$AZ$93)="(BLANK)")+(UPPER($AS$93:$AZ$93)="EMPTY")+(UPPER($AS$93:$AZ$93)="(EMPTY)"))&gt;0,IFERROR(('Final Calculation Sheet'!$AG$26)&amp;"","")="",ISNUMBER(SEARCH($AS$93:$AZ$93,IFERROR(('Final Calculation Sheet'!$AG$26)&amp;"","")))))&gt;0),IF(COUNTIF($BI$93:$BP$93,6)=0,TRUE,SUMPRODUCT(($BI$93:$BP$93=6)*($AS$93:$AZ$93&lt;&gt;"")*IF(((UPPER($AS$93:$AZ$93)="BLANK")+(UPPER($AS$93:$AZ$93)="(BLANK)")+(UPPER($AS$93:$AZ$93)="EMPTY")+(UPPER($AS$93:$AZ$93)="(EMPTY)"))&gt;0,IFERROR(('Final Calculation Sheet'!$AG$26)&amp;"","")="",ISNUMBER(SEARCH($AS$93:$AZ$93,IFERROR(('Final Calculation Sheet'!$AG$26)&amp;"","")))))&gt;0),IF(COUNTIF($BI$93:$BP$93,7)=0,TRUE,SUMPRODUCT(($BI$93:$BP$93=7)*($AS$93:$AZ$93&lt;&gt;"")*IF(((UPPER($AS$93:$AZ$93)="BLANK")+(UPPER($AS$93:$AZ$93)="(BLANK)")+(UPPER($AS$93:$AZ$93)="EMPTY")+(UPPER($AS$93:$AZ$93)="(EMPTY)"))&gt;0,IFERROR(('Final Calculation Sheet'!$AG$26)&amp;"","")="",ISNUMBER(SEARCH($AS$93:$AZ$93,IFERROR(('Final Calculation Sheet'!$AG$26)&amp;"","")))))&gt;0),IF(COUNTIF($BI$93:$BP$93,8)=0,TRUE,SUMPRODUCT(($BI$93:$BP$93=8)*($AS$93:$AZ$93&lt;&gt;"")*IF(((UPPER($AS$93:$AZ$93)="BLANK")+(UPPER($AS$93:$AZ$93)="(BLANK)")+(UPPER($AS$93:$AZ$93)="EMPTY")+(UPPER($AS$93:$AZ$93)="(EMPTY)"))&gt;0,IFERROR(('Final Calculation Sheet'!$AG$26)&amp;"","")="",ISNUMBER(SEARCH($AS$93:$AZ$93,IFERROR(('Final Calculation Sheet'!$AG$26)&amp;"","")))))&gt;0))))</f>
        <v>1</v>
      </c>
      <c r="CU27">
        <f>IF($AI$4="",1,--(AND(SUMPRODUCT(--($AS$94:$AZ$94&lt;&gt;""))&gt;0,IF(COUNTIF($BI$94:$BP$94,1)=0,TRUE,SUMPRODUCT(($BI$94:$BP$94=1)*($AS$94:$AZ$94&lt;&gt;"")*IF(((UPPER($AS$94:$AZ$94)="BLANK")+(UPPER($AS$94:$AZ$94)="(BLANK)")+(UPPER($AS$94:$AZ$94)="EMPTY")+(UPPER($AS$94:$AZ$94)="(EMPTY)"))&gt;0,IFERROR((IF('Final Calculation Sheet'!$AD$26&lt;=0,"SETTLED","OUTSTANDING"))&amp;"","")="",ISNUMBER(SEARCH($AS$94:$AZ$94,IFERROR((IF('Final Calculation Sheet'!$AD$26&lt;=0,"SETTLED","OUTSTANDING"))&amp;"","")))))&gt;0),IF(COUNTIF($BI$94:$BP$94,2)=0,TRUE,SUMPRODUCT(($BI$94:$BP$94=2)*($AS$94:$AZ$94&lt;&gt;"")*IF(((UPPER($AS$94:$AZ$94)="BLANK")+(UPPER($AS$94:$AZ$94)="(BLANK)")+(UPPER($AS$94:$AZ$94)="EMPTY")+(UPPER($AS$94:$AZ$94)="(EMPTY)"))&gt;0,IFERROR((IF('Final Calculation Sheet'!$AD$26&lt;=0,"SETTLED","OUTSTANDING"))&amp;"","")="",ISNUMBER(SEARCH($AS$94:$AZ$94,IFERROR((IF('Final Calculation Sheet'!$AD$26&lt;=0,"SETTLED","OUTSTANDING"))&amp;"","")))))&gt;0),IF(COUNTIF($BI$94:$BP$94,3)=0,TRUE,SUMPRODUCT(($BI$94:$BP$94=3)*($AS$94:$AZ$94&lt;&gt;"")*IF(((UPPER($AS$94:$AZ$94)="BLANK")+(UPPER($AS$94:$AZ$94)="(BLANK)")+(UPPER($AS$94:$AZ$94)="EMPTY")+(UPPER($AS$94:$AZ$94)="(EMPTY)"))&gt;0,IFERROR((IF('Final Calculation Sheet'!$AD$26&lt;=0,"SETTLED","OUTSTANDING"))&amp;"","")="",ISNUMBER(SEARCH($AS$94:$AZ$94,IFERROR((IF('Final Calculation Sheet'!$AD$26&lt;=0,"SETTLED","OUTSTANDING"))&amp;"","")))))&gt;0),IF(COUNTIF($BI$94:$BP$94,4)=0,TRUE,SUMPRODUCT(($BI$94:$BP$94=4)*($AS$94:$AZ$94&lt;&gt;"")*IF(((UPPER($AS$94:$AZ$94)="BLANK")+(UPPER($AS$94:$AZ$94)="(BLANK)")+(UPPER($AS$94:$AZ$94)="EMPTY")+(UPPER($AS$94:$AZ$94)="(EMPTY)"))&gt;0,IFERROR((IF('Final Calculation Sheet'!$AD$26&lt;=0,"SETTLED","OUTSTANDING"))&amp;"","")="",ISNUMBER(SEARCH($AS$94:$AZ$94,IFERROR((IF('Final Calculation Sheet'!$AD$26&lt;=0,"SETTLED","OUTSTANDING"))&amp;"","")))))&gt;0),IF(COUNTIF($BI$94:$BP$94,5)=0,TRUE,SUMPRODUCT(($BI$94:$BP$94=5)*($AS$94:$AZ$94&lt;&gt;"")*IF(((UPPER($AS$94:$AZ$94)="BLANK")+(UPPER($AS$94:$AZ$94)="(BLANK)")+(UPPER($AS$94:$AZ$94)="EMPTY")+(UPPER($AS$94:$AZ$94)="(EMPTY)"))&gt;0,IFERROR((IF('Final Calculation Sheet'!$AD$26&lt;=0,"SETTLED","OUTSTANDING"))&amp;"","")="",ISNUMBER(SEARCH($AS$94:$AZ$94,IFERROR((IF('Final Calculation Sheet'!$AD$26&lt;=0,"SETTLED","OUTSTANDING"))&amp;"","")))))&gt;0),IF(COUNTIF($BI$94:$BP$94,6)=0,TRUE,SUMPRODUCT(($BI$94:$BP$94=6)*($AS$94:$AZ$94&lt;&gt;"")*IF(((UPPER($AS$94:$AZ$94)="BLANK")+(UPPER($AS$94:$AZ$94)="(BLANK)")+(UPPER($AS$94:$AZ$94)="EMPTY")+(UPPER($AS$94:$AZ$94)="(EMPTY)"))&gt;0,IFERROR((IF('Final Calculation Sheet'!$AD$26&lt;=0,"SETTLED","OUTSTANDING"))&amp;"","")="",ISNUMBER(SEARCH($AS$94:$AZ$94,IFERROR((IF('Final Calculation Sheet'!$AD$26&lt;=0,"SETTLED","OUTSTANDING"))&amp;"","")))))&gt;0),IF(COUNTIF($BI$94:$BP$94,7)=0,TRUE,SUMPRODUCT(($BI$94:$BP$94=7)*($AS$94:$AZ$94&lt;&gt;"")*IF(((UPPER($AS$94:$AZ$94)="BLANK")+(UPPER($AS$94:$AZ$94)="(BLANK)")+(UPPER($AS$94:$AZ$94)="EMPTY")+(UPPER($AS$94:$AZ$94)="(EMPTY)"))&gt;0,IFERROR((IF('Final Calculation Sheet'!$AD$26&lt;=0,"SETTLED","OUTSTANDING"))&amp;"","")="",ISNUMBER(SEARCH($AS$94:$AZ$94,IFERROR((IF('Final Calculation Sheet'!$AD$26&lt;=0,"SETTLED","OUTSTANDING"))&amp;"","")))))&gt;0),IF(COUNTIF($BI$94:$BP$94,8)=0,TRUE,SUMPRODUCT(($BI$94:$BP$94=8)*($AS$94:$AZ$94&lt;&gt;"")*IF(((UPPER($AS$94:$AZ$94)="BLANK")+(UPPER($AS$94:$AZ$94)="(BLANK)")+(UPPER($AS$94:$AZ$94)="EMPTY")+(UPPER($AS$94:$AZ$94)="(EMPTY)"))&gt;0,IFERROR((IF('Final Calculation Sheet'!$AD$26&lt;=0,"SETTLED","OUTSTANDING"))&amp;"","")="",ISNUMBER(SEARCH($AS$94:$AZ$94,IFERROR((IF('Final Calculation Sheet'!$AD$26&lt;=0,"SETTLED","OUTSTANDING"))&amp;"","")))))&gt;0))))</f>
        <v>1</v>
      </c>
    </row>
    <row r="28" spans="1:99" ht="15" customHeight="1" x14ac:dyDescent="0.25">
      <c r="A28" s="67">
        <f>IF($BJ27&gt;0,INDEX($BA$5:$BA$41,MATCH(27,$BB$5:$BB$41,0)),IF(OR($BI27=1,$BL27=1,$BH27&gt;0),"∑",""))</f>
        <v>11</v>
      </c>
      <c r="B28" s="68">
        <f>IF($BJ27&gt;0,IF(INDEX('Final Calculation Sheet'!$F$4:$F$40,$BJ27-3)="","",INDEX('Final Calculation Sheet'!$F$4:$F$40,$BJ27-3)),"")</f>
        <v>2018</v>
      </c>
      <c r="C28" s="68" t="str">
        <f>IF($BJ27&gt;0,IF(INDEX('Final Calculation Sheet'!$G$4:$G$40,$BJ27-3)="","",INDEX('Final Calculation Sheet'!$G$4:$G$40,$BJ27-3)),IF(OR($BI27=1,$BL27=1,$BH27&gt;0),IF($BI27=1,37,IF($BL27=1,37-INDEX($BD$4:$BD$13,10),INDEX($BD$4:$BD$13,$BH27)))&amp;" lot(s)",""))</f>
        <v>NATIONAL ENTERPRISES</v>
      </c>
      <c r="D28" s="69" t="str">
        <f>IF($BJ27&gt;0,IF(INDEX('Final Calculation Sheet'!$B$4:$B$40,$BJ27-3)="","",INDEX('Final Calculation Sheet'!$B$4:$B$40,$BJ27-3)),IF(OR($BI27=1,$BL27=1,$BH27&gt;0),IF($BI27=1,"GRAND TOTAL  —  matching + remaining",IF($BL27=1,"TOTAL MATCHED  —  every group together",IF($BH27=10,"REMAINING  —  did not match the search",IF($BH27=9,IF(COUNTIF($A$4:$AI$4,"&lt;&gt;")&gt;0,"FILTERED LOTS  —  column fields","ALL LOTS  —  nothing typed in the box"),"GROUP "&amp;$BH27&amp;" TOTAL  —  lots matching  "&amp;INDEX($AR$6:$AY$6,$BH27))))),""))</f>
        <v>Scrap of 220 KV Circuit Breaker</v>
      </c>
      <c r="E28" s="69">
        <f>IF($BJ27&gt;0,IF(INDEX('Final Calculation Sheet'!$D$4:$D$40,$BJ27-3)="","",INDEX('Final Calculation Sheet'!$D$4:$D$40,$BJ27-3)),IF(OR($BI27=1,$BL27=1,$BH27&gt;0),"–",""))</f>
        <v>21978</v>
      </c>
      <c r="F28" s="69">
        <f>IF($BJ27&gt;0,IF(INDEX('Final Calculation Sheet'!$A$4:$A$40,$BJ27-3)="","",INDEX('Final Calculation Sheet'!$A$4:$A$40,$BJ27-3)),IF(OR($BI27=1,$BL27=1,$BH27&gt;0),IF($BI27=1,SUM('Final Calculation Sheet'!$A$4:$A$40),IF($BL27=1,SUM('Final Calculation Sheet'!$A$4:$A$40)-SUMIFS('Final Calculation Sheet'!$A$4:$A$40,$AZ$5:$AZ$41,10),SUMIFS('Final Calculation Sheet'!$A$4:$A$40,$AZ$5:$AZ$41,$BH27))),""))</f>
        <v>1</v>
      </c>
      <c r="G28" s="69" t="str">
        <f>IF($BJ27&gt;0,IF(INDEX('Final Calculation Sheet'!$E$4:$E$40,$BJ27-3)="","",INDEX('Final Calculation Sheet'!$E$4:$E$40,$BJ27-3)),IF(OR($BI27=1,$BL27=1,$BH27&gt;0),"–",""))</f>
        <v>NO</v>
      </c>
      <c r="H28" s="70">
        <f>IF($BJ27&gt;0,IF(INDEX('Final Calculation Sheet'!$C$4:$C$40,$BJ27-3)="","",INDEX('Final Calculation Sheet'!$C$4:$C$40,$BJ27-3)),IF(OR($BI27=1,$BL27=1,$BH27&gt;0),"–",""))</f>
        <v>220001</v>
      </c>
      <c r="I28" s="70">
        <f>IF($BJ27&gt;0,IF(INDEX('Final Calculation Sheet'!$H$4:$H$40,$BJ27-3)="","",INDEX('Final Calculation Sheet'!$H$4:$H$40,$BJ27-3)),IF(OR($BI27=1,$BL27=1,$BH27&gt;0),IF($BI27=1,SUM('Final Calculation Sheet'!$H$4:$H$40),IF($BL27=1,SUM('Final Calculation Sheet'!$H$4:$H$40)-SUMIFS('Final Calculation Sheet'!$H$4:$H$40,$AZ$5:$AZ$41,10),SUMIFS('Final Calculation Sheet'!$H$4:$H$40,$AZ$5:$AZ$41,$BH27))),""))</f>
        <v>220001</v>
      </c>
      <c r="J28" s="70">
        <f>IF($BJ27&gt;0,IF(INDEX('Final Calculation Sheet'!$I$4:$I$40,$BJ27-3)="","",INDEX('Final Calculation Sheet'!$I$4:$I$40,$BJ27-3)),IF(OR($BI27=1,$BL27=1,$BH27&gt;0),IF($BI27=1,SUM('Final Calculation Sheet'!$I$4:$I$40),IF($BL27=1,SUM('Final Calculation Sheet'!$I$4:$I$40)-SUMIFS('Final Calculation Sheet'!$I$4:$I$40,$AZ$5:$AZ$41,10),SUMIFS('Final Calculation Sheet'!$I$4:$I$40,$AZ$5:$AZ$41,$BH27))),""))</f>
        <v>39600</v>
      </c>
      <c r="K28" s="70">
        <f>IF($BJ27&gt;0,IF(INDEX('Final Calculation Sheet'!$J$4:$J$40,$BJ27-3)="","",INDEX('Final Calculation Sheet'!$J$4:$J$40,$BJ27-3)),IF(OR($BI27=1,$BL27=1,$BH27&gt;0),IF($BI27=1,SUM('Final Calculation Sheet'!$J$4:$J$40),IF($BL27=1,SUM('Final Calculation Sheet'!$J$4:$J$40)-SUMIFS('Final Calculation Sheet'!$J$4:$J$40,$AZ$5:$AZ$41,10),SUMIFS('Final Calculation Sheet'!$J$4:$J$40,$AZ$5:$AZ$41,$BH27))),""))</f>
        <v>259601</v>
      </c>
      <c r="L28" s="70">
        <f>IF($BJ27&gt;0,IF(INDEX('Final Calculation Sheet'!$K$4:$K$40,$BJ27-3)="","",INDEX('Final Calculation Sheet'!$K$4:$K$40,$BJ27-3)),IF(OR($BI27=1,$BL27=1,$BH27&gt;0),IF($BI27=1,SUM('Final Calculation Sheet'!$K$4:$K$40),IF($BL27=1,SUM('Final Calculation Sheet'!$K$4:$K$40)-SUMIFS('Final Calculation Sheet'!$K$4:$K$40,$AZ$5:$AZ$41,10),SUMIFS('Final Calculation Sheet'!$K$4:$K$40,$AZ$5:$AZ$41,$BH27))),""))</f>
        <v>5192</v>
      </c>
      <c r="M28" s="70">
        <f>IF($BJ27&gt;0,IF(INDEX('Final Calculation Sheet'!$L$4:$L$40,$BJ27-3)="","",INDEX('Final Calculation Sheet'!$L$4:$L$40,$BJ27-3)),IF(OR($BI27=1,$BL27=1,$BH27&gt;0),IF($BI27=1,SUM('Final Calculation Sheet'!$L$4:$L$40),IF($BL27=1,SUM('Final Calculation Sheet'!$L$4:$L$40)-SUMIFS('Final Calculation Sheet'!$L$4:$L$40,$AZ$5:$AZ$41,10),SUMIFS('Final Calculation Sheet'!$L$4:$L$40,$AZ$5:$AZ$41,$BH27))),""))</f>
        <v>220.001</v>
      </c>
      <c r="N28" s="70">
        <f>IF($BJ27&gt;0,IF(INDEX('Final Calculation Sheet'!$M$4:$M$40,$BJ27-3)="","",INDEX('Final Calculation Sheet'!$M$4:$M$40,$BJ27-3)),IF(OR($BI27=1,$BL27=1,$BH27&gt;0),IF($BI27=1,SUM('Final Calculation Sheet'!$M$4:$M$40),IF($BL27=1,SUM('Final Calculation Sheet'!$M$4:$M$40)-SUMIFS('Final Calculation Sheet'!$M$4:$M$40,$AZ$5:$AZ$41,10),SUMIFS('Final Calculation Sheet'!$M$4:$M$40,$AZ$5:$AZ$41,$BH27))),""))</f>
        <v>5841.0265499999996</v>
      </c>
      <c r="O28" s="71">
        <f>IF($BJ27&gt;0,IF(INDEX('Final Calculation Sheet'!$N$4:$N$40,$BJ27-3)="","",INDEX('Final Calculation Sheet'!$N$4:$N$40,$BJ27-3)),IF(OR($BI27=1,$BL27=1,$BH27&gt;0),IF($BI27=1,SUM('Final Calculation Sheet'!$N$4:$N$40),IF($BL27=1,SUM('Final Calculation Sheet'!$N$4:$N$40)-SUMIFS('Final Calculation Sheet'!$N$4:$N$40,$AZ$5:$AZ$41,10),SUMIFS('Final Calculation Sheet'!$N$4:$N$40,$AZ$5:$AZ$41,$BH27))),""))</f>
        <v>99.000450000000001</v>
      </c>
      <c r="P28" s="70">
        <f>IF($BJ27&gt;0,IF(INDEX('Final Calculation Sheet'!$O$4:$O$40,$BJ27-3)="","",INDEX('Final Calculation Sheet'!$O$4:$O$40,$BJ27-3)),IF(OR($BI27=1,$BL27=1,$BH27&gt;0),IF($BI27=1,SUM('Final Calculation Sheet'!$O$4:$O$40),IF($BL27=1,SUM('Final Calculation Sheet'!$O$4:$O$40)-SUMIFS('Final Calculation Sheet'!$O$4:$O$40,$AZ$5:$AZ$41,10),SUMIFS('Final Calculation Sheet'!$O$4:$O$40,$AZ$5:$AZ$41,$BH27))),""))</f>
        <v>5742.0260999999991</v>
      </c>
      <c r="Q28" s="70">
        <f>IF($BJ27&gt;0,IF(INDEX('Final Calculation Sheet'!$P$4:$P$40,$BJ27-3)="","",INDEX('Final Calculation Sheet'!$P$4:$P$40,$BJ27-3)),IF(OR($BI27=1,$BL27=1,$BH27&gt;0),IF($BI27=1,SUM('Final Calculation Sheet'!$P$4:$P$40),IF($BL27=1,SUM('Final Calculation Sheet'!$P$4:$P$40)-SUMIFS('Final Calculation Sheet'!$P$4:$P$40,$AZ$5:$AZ$41,10),SUMIFS('Final Calculation Sheet'!$P$4:$P$40,$AZ$5:$AZ$41,$BH27))),""))</f>
        <v>5962</v>
      </c>
      <c r="R28" s="72">
        <f>IF($BJ27&gt;0,IF(INDEX('Final Calculation Sheet'!$Q$4:$Q$40,$BJ27-3)="","",INDEX('Final Calculation Sheet'!$Q$4:$Q$40,$BJ27-3)),IF(OR($BI27=1,$BL27=1,$BH27&gt;0),"–",""))</f>
        <v>0</v>
      </c>
      <c r="S28" s="70">
        <f>IF($BJ27&gt;0,IF(INDEX('Final Calculation Sheet'!$R$4:$R$40,$BJ27-3)="","",INDEX('Final Calculation Sheet'!$R$4:$R$40,$BJ27-3)),IF(OR($BI27=1,$BL27=1,$BH27&gt;0),IF($BI27=1,SUM('Final Calculation Sheet'!$R$4:$R$40),IF($BL27=1,SUM('Final Calculation Sheet'!$R$4:$R$40)-SUMIFS('Final Calculation Sheet'!$R$4:$R$40,$AZ$5:$AZ$41,10),SUMIFS('Final Calculation Sheet'!$R$4:$R$40,$AZ$5:$AZ$41,$BH27))),""))</f>
        <v>0</v>
      </c>
      <c r="T28" s="70">
        <f>IF($BJ27&gt;0,IF(INDEX('Final Calculation Sheet'!$S$4:$S$40,$BJ27-3)="","",INDEX('Final Calculation Sheet'!$S$4:$S$40,$BJ27-3)),IF(OR($BI27=1,$BL27=1,$BH27&gt;0),IF($BI27=1,SUM('Final Calculation Sheet'!$S$4:$S$40),IF($BL27=1,SUM('Final Calculation Sheet'!$S$4:$S$40)-SUMIFS('Final Calculation Sheet'!$S$4:$S$40,$AZ$5:$AZ$41,10),SUMIFS('Final Calculation Sheet'!$S$4:$S$40,$AZ$5:$AZ$41,$BH27))),""))</f>
        <v>258831</v>
      </c>
      <c r="U28" s="70">
        <f>IF($BJ27&gt;0,IF(INDEX('Final Calculation Sheet'!$T$4:$T$40,$BJ27-3)="","",INDEX('Final Calculation Sheet'!$T$4:$T$40,$BJ27-3)),IF(OR($BI27=1,$BL27=1,$BH27&gt;0),IF($BI27=1,SUM('Final Calculation Sheet'!$T$4:$T$40),IF($BL27=1,SUM('Final Calculation Sheet'!$T$4:$T$40)-SUMIFS('Final Calculation Sheet'!$T$4:$T$40,$AZ$5:$AZ$41,10),SUMIFS('Final Calculation Sheet'!$T$4:$T$40,$AZ$5:$AZ$41,$BH27))),""))</f>
        <v>55000</v>
      </c>
      <c r="V28" s="73">
        <f>IF($BJ27&gt;0,IF(INDEX('Final Calculation Sheet'!$U$4:$U$40,$BJ27-3)="","",INDEX('Final Calculation Sheet'!$U$4:$U$40,$BJ27-3)),IF(OR($BI27=1,$BL27=1,$BH27&gt;0),IF($BI27=1,SUM('Final Calculation Sheet'!$U$4:$U$40),IF($BL27=1,SUM('Final Calculation Sheet'!$U$4:$U$40)-SUMIFS('Final Calculation Sheet'!$U$4:$U$40,$AZ$5:$AZ$41,10),SUMIFS('Final Calculation Sheet'!$U$4:$U$40,$AZ$5:$AZ$41,$BH27))),""))</f>
        <v>55000</v>
      </c>
      <c r="W28" s="70" t="str">
        <f>IF($BJ27&gt;0,IF(INDEX('Final Calculation Sheet'!$V$4:$V$40,$BJ27-3)="","",INDEX('Final Calculation Sheet'!$V$4:$V$40,$BJ27-3)),IF(OR($BI27=1,$BL27=1,$BH27&gt;0),"–",""))</f>
        <v>13.08.2026</v>
      </c>
      <c r="X28" s="70">
        <f>IF($BJ27&gt;0,IF(INDEX('Final Calculation Sheet'!$W$4:$W$40,$BJ27-3)="","",INDEX('Final Calculation Sheet'!$W$4:$W$40,$BJ27-3)),IF(OR($BI27=1,$BL27=1,$BH27&gt;0),IF($BI27=1,SUM('Final Calculation Sheet'!$W$4:$W$40),IF($BL27=1,SUM('Final Calculation Sheet'!$W$4:$W$40)-SUMIFS('Final Calculation Sheet'!$W$4:$W$40,$AZ$5:$AZ$41,10),SUMIFS('Final Calculation Sheet'!$W$4:$W$40,$AZ$5:$AZ$41,$BH27))),""))</f>
        <v>203831</v>
      </c>
      <c r="Y28" s="70">
        <f>IF($BJ27&gt;0,IF(INDEX('Final Calculation Sheet'!$X$4:$X$40,$BJ27-3)="","",INDEX('Final Calculation Sheet'!$X$4:$X$40,$BJ27-3)),IF(OR($BI27=1,$BL27=1,$BH27&gt;0),IF($BI27=1,SUM('Final Calculation Sheet'!$X$4:$X$40),IF($BL27=1,SUM('Final Calculation Sheet'!$X$4:$X$40)-SUMIFS('Final Calculation Sheet'!$X$4:$X$40,$AZ$5:$AZ$41,10),SUMIFS('Final Calculation Sheet'!$X$4:$X$40,$AZ$5:$AZ$41,$BH27))),""))</f>
        <v>203831</v>
      </c>
      <c r="Z28" s="70" t="str">
        <f>IF($BJ27&gt;0,IF(INDEX('Final Calculation Sheet'!$Y$4:$Y$40,$BJ27-3)="","",INDEX('Final Calculation Sheet'!$Y$4:$Y$40,$BJ27-3)),IF(OR($BI27=1,$BL27=1,$BH27&gt;0),"–",""))</f>
        <v>24.08.2026</v>
      </c>
      <c r="AA28" s="70">
        <f ca="1">IF($BJ27&gt;0,IF(INDEX('Final Calculation Sheet'!$Z$4:$Z$40,$BJ27-3)="","",INDEX('Final Calculation Sheet'!$Z$4:$Z$40,$BJ27-3)),IF(OR($BI27=1,$BL27=1,$BH27&gt;0),IF($BI27=1,SUM('Final Calculation Sheet'!$Z$4:$Z$40),IF($BL27=1,SUM('Final Calculation Sheet'!$Z$4:$Z$40)-SUMIFS('Final Calculation Sheet'!$Z$4:$Z$40,$AZ$5:$AZ$41,10),SUMIFS('Final Calculation Sheet'!$Z$4:$Z$40,$AZ$5:$AZ$41,$BH27))),""))</f>
        <v>0</v>
      </c>
      <c r="AB28" s="70" t="str">
        <f>IF($BJ27&gt;0,IF(INDEX('Final Calculation Sheet'!$AA$4:$AA$40,$BJ27-3)="","",INDEX('Final Calculation Sheet'!$AA$4:$AA$40,$BJ27-3)),IF(OR($BI27=1,$BL27=1,$BH27&gt;0),IF($BI27=1,SUM('Final Calculation Sheet'!$AA$4:$AA$40),IF($BL27=1,SUM('Final Calculation Sheet'!$AA$4:$AA$40)-SUMIFS('Final Calculation Sheet'!$AA$4:$AA$40,$AZ$5:$AZ$41,10),SUMIFS('Final Calculation Sheet'!$AA$4:$AA$40,$AZ$5:$AZ$41,$BH27))),""))</f>
        <v/>
      </c>
      <c r="AC28" s="70" t="str">
        <f>IF($BJ27&gt;0,IF(INDEX('Final Calculation Sheet'!$AB$4:$AB$40,$BJ27-3)="","",INDEX('Final Calculation Sheet'!$AB$4:$AB$40,$BJ27-3)),IF(OR($BI27=1,$BL27=1,$BH27&gt;0),"–",""))</f>
        <v/>
      </c>
      <c r="AD28" s="70">
        <f>IF($BJ27&gt;0,IF(INDEX('Final Calculation Sheet'!$AC$4:$AC$40,$BJ27-3)="","",INDEX('Final Calculation Sheet'!$AC$4:$AC$40,$BJ27-3)),IF(OR($BI27=1,$BL27=1,$BH27&gt;0),IF($BI27=1,SUM('Final Calculation Sheet'!$AC$4:$AC$40),IF($BL27=1,SUM('Final Calculation Sheet'!$AC$4:$AC$40)-SUMIFS('Final Calculation Sheet'!$AC$4:$AC$40,$AZ$5:$AZ$41,10),SUMIFS('Final Calculation Sheet'!$AC$4:$AC$40,$AZ$5:$AZ$41,$BH27))),""))</f>
        <v>258831</v>
      </c>
      <c r="AE28" s="70">
        <f>IF($BJ27&gt;0,IF(INDEX('Final Calculation Sheet'!$AD$4:$AD$40,$BJ27-3)="","",INDEX('Final Calculation Sheet'!$AD$4:$AD$40,$BJ27-3)),IF(OR($BI27=1,$BL27=1,$BH27&gt;0),IF($BI27=1,SUM('Final Calculation Sheet'!$AD$4:$AD$40),IF($BL27=1,SUM('Final Calculation Sheet'!$AD$4:$AD$40)-SUMIFS('Final Calculation Sheet'!$AD$4:$AD$40,$AZ$5:$AZ$41,10),SUMIFS('Final Calculation Sheet'!$AD$4:$AD$40,$AZ$5:$AZ$41,$BH27))),""))</f>
        <v>0</v>
      </c>
      <c r="AF28" s="70" t="str">
        <f>IF($BJ27&gt;0,IF(INDEX('Final Calculation Sheet'!$AE$4:$AE$40,$BJ27-3)="","",INDEX('Final Calculation Sheet'!$AE$4:$AE$40,$BJ27-3)),IF(OR($BI27=1,$BL27=1,$BH27&gt;0),"–",""))</f>
        <v>DR2640100034</v>
      </c>
      <c r="AG28" s="74">
        <f>IF($BJ27&gt;0,IF(INDEX('Final Calculation Sheet'!$AF$4:$AF$40,$BJ27-3)="","",INDEX('Final Calculation Sheet'!$AF$4:$AF$40,$BJ27-3)),IF(OR($BI27=1,$BL27=1,$BH27&gt;0),"–",""))</f>
        <v>1800003306</v>
      </c>
      <c r="AH28" s="70" t="str">
        <f>IF($BJ27&gt;0,IF(INDEX('Final Calculation Sheet'!$AG$4:$AG$40,$BJ27-3)="","",INDEX('Final Calculation Sheet'!$AG$4:$AG$40,$BJ27-3)),IF(OR($BI27=1,$BL27=1,$BH27&gt;0),"–",""))</f>
        <v>27.08.2026</v>
      </c>
      <c r="AI28" s="75" t="str">
        <f>IF($BJ27&gt;0,IF(INDEX('Final Calculation Sheet'!$AD$4:$AD$40,$BJ27-3)="","",IF(INDEX('Final Calculation Sheet'!$AD$4:$AD$40,$BJ27-3)&lt;=0,"SETTLED","OUTSTANDING")),IF(OR($BI27=1,$BL27=1,$BH27&gt;0),IF(IF($BI27=1,SUM('Final Calculation Sheet'!$AD$4:$AD$40),IF($BL27=1,SUM('Final Calculation Sheet'!$AD$4:$AD$40)-SUMIFS('Final Calculation Sheet'!$AD$4:$AD$40,$AZ$5:$AZ$41,10),SUMIFS('Final Calculation Sheet'!$AD$4:$AD$40,$AZ$5:$AZ$41,$BH27)))&lt;=0,"ALL SETTLED","OUTSTANDING"),""))</f>
        <v>SETTLED</v>
      </c>
      <c r="AK28" t="str">
        <f>IF($F$3="Lot No.",'Final Calculation Sheet'!$F$27,IF($F$3="Buyer",'Final Calculation Sheet'!$G$27,IF($F$3="Lot Name",'Final Calculation Sheet'!$B$27,IF($F$3="Bid Sheet",'Final Calculation Sheet'!$D$27,IF($F$3="Unit",'Final Calculation Sheet'!$E$27,'Final Calculation Sheet'!$F$27&amp;" "&amp;'Final Calculation Sheet'!$G$27&amp;" "&amp;'Final Calculation Sheet'!$B$27)))))</f>
        <v>2036 M I SCRAP TRADERS Mix Scrap (Tower angles &amp; 0.2 ACSR Condutor pieces)</v>
      </c>
      <c r="AM28">
        <f t="shared" si="1"/>
        <v>0</v>
      </c>
      <c r="AZ28">
        <f t="shared" si="2"/>
        <v>10</v>
      </c>
      <c r="BA28">
        <f t="shared" si="3"/>
        <v>18</v>
      </c>
      <c r="BB28">
        <f t="shared" si="4"/>
        <v>34</v>
      </c>
      <c r="BC28">
        <v>27</v>
      </c>
      <c r="BH28">
        <f>IFERROR(MATCH(28,$BF$4:$BF$13,0),0)</f>
        <v>0</v>
      </c>
      <c r="BI28">
        <f>IF(28=$BG$5,1,0)</f>
        <v>0</v>
      </c>
      <c r="BJ28">
        <f>IF(OR($BH28&gt;0,$BI28=1,$BL28=1),0,IFERROR(INDEX($BC$5:$BC$41,MATCH(28,$BB$5:$BB$41,0)),0))</f>
        <v>19</v>
      </c>
      <c r="BK28">
        <f>IF($BJ28&gt;0,IF(INDEX($AZ$5:$AZ$41,MATCH(28,$BB$5:$BB$41,0))=10,1,0),IF($BH28=10,1,0))</f>
        <v>1</v>
      </c>
      <c r="BL28">
        <f>IF(28=$BG$4,1,0)</f>
        <v>0</v>
      </c>
      <c r="BM28">
        <f>IF($A$4="",1,--(AND(SUMPRODUCT(--($AS$60:$AZ$60&lt;&gt;""))&gt;0,IF(COUNTIF($BI$60:$BP$60,1)=0,TRUE,SUMPRODUCT(($BI$60:$BP$60=1)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$60,2)=0,TRUE,SUMPRODUCT(($BI$60:$BP$60=2)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$60,3)=0,TRUE,SUMPRODUCT(($BI$60:$BP$60=3)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$60,4)=0,TRUE,SUMPRODUCT(($BI$60:$BP$60=4)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$60,5)=0,TRUE,SUMPRODUCT(($BI$60:$BP$60=5)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$60,6)=0,TRUE,SUMPRODUCT(($BI$60:$BP$60=6)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$60,7)=0,TRUE,SUMPRODUCT(($BI$60:$BP$60=7)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$60,8)=0,TRUE,SUMPRODUCT(($BI$60:$BP$60=8)*($AS$60:$AZ$60&lt;&gt;"")*IF(((UPPER($AS$60:$AZ$60)="BLANK")+(UPPER($AS$60:$AZ$60)="(BLANK)")+(UPPER($AS$60:$AZ$60)="EMPTY")+(UPPER($AS$60:$AZ$60)="(EMPTY)"))&gt;0,IFERROR((ROW()-4)&amp;"","")="",ISNUMBER(SEARCH($AS$60:$AZ$60,IFERROR((ROW()-4)&amp;"","")))))&gt;0))))</f>
        <v>1</v>
      </c>
      <c r="BN28">
        <f>IF($B$4="",1,--(AND(SUMPRODUCT(--($AS$61:$AZ$61&lt;&gt;""))&gt;0,IF(COUNTIF($BI$61:$BP$61,1)=0,TRUE,SUMPRODUCT(($BI$61:$BP$61=1)*($AS$61:$AZ$61&lt;&gt;"")*IF(((UPPER($AS$61:$AZ$61)="BLANK")+(UPPER($AS$61:$AZ$61)="(BLANK)")+(UPPER($AS$61:$AZ$61)="EMPTY")+(UPPER($AS$61:$AZ$61)="(EMPTY)"))&gt;0,IFERROR(('Final Calculation Sheet'!$F$27)&amp;"","")="",ISNUMBER(SEARCH($AS$61:$AZ$61,IFERROR(('Final Calculation Sheet'!$F$27)&amp;"","")))))&gt;0),IF(COUNTIF($BI$61:$BP$61,2)=0,TRUE,SUMPRODUCT(($BI$61:$BP$61=2)*($AS$61:$AZ$61&lt;&gt;"")*IF(((UPPER($AS$61:$AZ$61)="BLANK")+(UPPER($AS$61:$AZ$61)="(BLANK)")+(UPPER($AS$61:$AZ$61)="EMPTY")+(UPPER($AS$61:$AZ$61)="(EMPTY)"))&gt;0,IFERROR(('Final Calculation Sheet'!$F$27)&amp;"","")="",ISNUMBER(SEARCH($AS$61:$AZ$61,IFERROR(('Final Calculation Sheet'!$F$27)&amp;"","")))))&gt;0),IF(COUNTIF($BI$61:$BP$61,3)=0,TRUE,SUMPRODUCT(($BI$61:$BP$61=3)*($AS$61:$AZ$61&lt;&gt;"")*IF(((UPPER($AS$61:$AZ$61)="BLANK")+(UPPER($AS$61:$AZ$61)="(BLANK)")+(UPPER($AS$61:$AZ$61)="EMPTY")+(UPPER($AS$61:$AZ$61)="(EMPTY)"))&gt;0,IFERROR(('Final Calculation Sheet'!$F$27)&amp;"","")="",ISNUMBER(SEARCH($AS$61:$AZ$61,IFERROR(('Final Calculation Sheet'!$F$27)&amp;"","")))))&gt;0),IF(COUNTIF($BI$61:$BP$61,4)=0,TRUE,SUMPRODUCT(($BI$61:$BP$61=4)*($AS$61:$AZ$61&lt;&gt;"")*IF(((UPPER($AS$61:$AZ$61)="BLANK")+(UPPER($AS$61:$AZ$61)="(BLANK)")+(UPPER($AS$61:$AZ$61)="EMPTY")+(UPPER($AS$61:$AZ$61)="(EMPTY)"))&gt;0,IFERROR(('Final Calculation Sheet'!$F$27)&amp;"","")="",ISNUMBER(SEARCH($AS$61:$AZ$61,IFERROR(('Final Calculation Sheet'!$F$27)&amp;"","")))))&gt;0),IF(COUNTIF($BI$61:$BP$61,5)=0,TRUE,SUMPRODUCT(($BI$61:$BP$61=5)*($AS$61:$AZ$61&lt;&gt;"")*IF(((UPPER($AS$61:$AZ$61)="BLANK")+(UPPER($AS$61:$AZ$61)="(BLANK)")+(UPPER($AS$61:$AZ$61)="EMPTY")+(UPPER($AS$61:$AZ$61)="(EMPTY)"))&gt;0,IFERROR(('Final Calculation Sheet'!$F$27)&amp;"","")="",ISNUMBER(SEARCH($AS$61:$AZ$61,IFERROR(('Final Calculation Sheet'!$F$27)&amp;"","")))))&gt;0),IF(COUNTIF($BI$61:$BP$61,6)=0,TRUE,SUMPRODUCT(($BI$61:$BP$61=6)*($AS$61:$AZ$61&lt;&gt;"")*IF(((UPPER($AS$61:$AZ$61)="BLANK")+(UPPER($AS$61:$AZ$61)="(BLANK)")+(UPPER($AS$61:$AZ$61)="EMPTY")+(UPPER($AS$61:$AZ$61)="(EMPTY)"))&gt;0,IFERROR(('Final Calculation Sheet'!$F$27)&amp;"","")="",ISNUMBER(SEARCH($AS$61:$AZ$61,IFERROR(('Final Calculation Sheet'!$F$27)&amp;"","")))))&gt;0),IF(COUNTIF($BI$61:$BP$61,7)=0,TRUE,SUMPRODUCT(($BI$61:$BP$61=7)*($AS$61:$AZ$61&lt;&gt;"")*IF(((UPPER($AS$61:$AZ$61)="BLANK")+(UPPER($AS$61:$AZ$61)="(BLANK)")+(UPPER($AS$61:$AZ$61)="EMPTY")+(UPPER($AS$61:$AZ$61)="(EMPTY)"))&gt;0,IFERROR(('Final Calculation Sheet'!$F$27)&amp;"","")="",ISNUMBER(SEARCH($AS$61:$AZ$61,IFERROR(('Final Calculation Sheet'!$F$27)&amp;"","")))))&gt;0),IF(COUNTIF($BI$61:$BP$61,8)=0,TRUE,SUMPRODUCT(($BI$61:$BP$61=8)*($AS$61:$AZ$61&lt;&gt;"")*IF(((UPPER($AS$61:$AZ$61)="BLANK")+(UPPER($AS$61:$AZ$61)="(BLANK)")+(UPPER($AS$61:$AZ$61)="EMPTY")+(UPPER($AS$61:$AZ$61)="(EMPTY)"))&gt;0,IFERROR(('Final Calculation Sheet'!$F$27)&amp;"","")="",ISNUMBER(SEARCH($AS$61:$AZ$61,IFERROR(('Final Calculation Sheet'!$F$27)&amp;"","")))))&gt;0))))</f>
        <v>1</v>
      </c>
      <c r="BO28">
        <f>IF($C$4="",1,--(AND(SUMPRODUCT(--($AS$62:$AZ$62&lt;&gt;""))&gt;0,IF(COUNTIF($BI$62:$BP$62,1)=0,TRUE,SUMPRODUCT(($BI$62:$BP$62=1)*($AS$62:$AZ$62&lt;&gt;"")*IF(((UPPER($AS$62:$AZ$62)="BLANK")+(UPPER($AS$62:$AZ$62)="(BLANK)")+(UPPER($AS$62:$AZ$62)="EMPTY")+(UPPER($AS$62:$AZ$62)="(EMPTY)"))&gt;0,IFERROR(('Final Calculation Sheet'!$G$27)&amp;"","")="",ISNUMBER(SEARCH($AS$62:$AZ$62,IFERROR(('Final Calculation Sheet'!$G$27)&amp;"","")))))&gt;0),IF(COUNTIF($BI$62:$BP$62,2)=0,TRUE,SUMPRODUCT(($BI$62:$BP$62=2)*($AS$62:$AZ$62&lt;&gt;"")*IF(((UPPER($AS$62:$AZ$62)="BLANK")+(UPPER($AS$62:$AZ$62)="(BLANK)")+(UPPER($AS$62:$AZ$62)="EMPTY")+(UPPER($AS$62:$AZ$62)="(EMPTY)"))&gt;0,IFERROR(('Final Calculation Sheet'!$G$27)&amp;"","")="",ISNUMBER(SEARCH($AS$62:$AZ$62,IFERROR(('Final Calculation Sheet'!$G$27)&amp;"","")))))&gt;0),IF(COUNTIF($BI$62:$BP$62,3)=0,TRUE,SUMPRODUCT(($BI$62:$BP$62=3)*($AS$62:$AZ$62&lt;&gt;"")*IF(((UPPER($AS$62:$AZ$62)="BLANK")+(UPPER($AS$62:$AZ$62)="(BLANK)")+(UPPER($AS$62:$AZ$62)="EMPTY")+(UPPER($AS$62:$AZ$62)="(EMPTY)"))&gt;0,IFERROR(('Final Calculation Sheet'!$G$27)&amp;"","")="",ISNUMBER(SEARCH($AS$62:$AZ$62,IFERROR(('Final Calculation Sheet'!$G$27)&amp;"","")))))&gt;0),IF(COUNTIF($BI$62:$BP$62,4)=0,TRUE,SUMPRODUCT(($BI$62:$BP$62=4)*($AS$62:$AZ$62&lt;&gt;"")*IF(((UPPER($AS$62:$AZ$62)="BLANK")+(UPPER($AS$62:$AZ$62)="(BLANK)")+(UPPER($AS$62:$AZ$62)="EMPTY")+(UPPER($AS$62:$AZ$62)="(EMPTY)"))&gt;0,IFERROR(('Final Calculation Sheet'!$G$27)&amp;"","")="",ISNUMBER(SEARCH($AS$62:$AZ$62,IFERROR(('Final Calculation Sheet'!$G$27)&amp;"","")))))&gt;0),IF(COUNTIF($BI$62:$BP$62,5)=0,TRUE,SUMPRODUCT(($BI$62:$BP$62=5)*($AS$62:$AZ$62&lt;&gt;"")*IF(((UPPER($AS$62:$AZ$62)="BLANK")+(UPPER($AS$62:$AZ$62)="(BLANK)")+(UPPER($AS$62:$AZ$62)="EMPTY")+(UPPER($AS$62:$AZ$62)="(EMPTY)"))&gt;0,IFERROR(('Final Calculation Sheet'!$G$27)&amp;"","")="",ISNUMBER(SEARCH($AS$62:$AZ$62,IFERROR(('Final Calculation Sheet'!$G$27)&amp;"","")))))&gt;0),IF(COUNTIF($BI$62:$BP$62,6)=0,TRUE,SUMPRODUCT(($BI$62:$BP$62=6)*($AS$62:$AZ$62&lt;&gt;"")*IF(((UPPER($AS$62:$AZ$62)="BLANK")+(UPPER($AS$62:$AZ$62)="(BLANK)")+(UPPER($AS$62:$AZ$62)="EMPTY")+(UPPER($AS$62:$AZ$62)="(EMPTY)"))&gt;0,IFERROR(('Final Calculation Sheet'!$G$27)&amp;"","")="",ISNUMBER(SEARCH($AS$62:$AZ$62,IFERROR(('Final Calculation Sheet'!$G$27)&amp;"","")))))&gt;0),IF(COUNTIF($BI$62:$BP$62,7)=0,TRUE,SUMPRODUCT(($BI$62:$BP$62=7)*($AS$62:$AZ$62&lt;&gt;"")*IF(((UPPER($AS$62:$AZ$62)="BLANK")+(UPPER($AS$62:$AZ$62)="(BLANK)")+(UPPER($AS$62:$AZ$62)="EMPTY")+(UPPER($AS$62:$AZ$62)="(EMPTY)"))&gt;0,IFERROR(('Final Calculation Sheet'!$G$27)&amp;"","")="",ISNUMBER(SEARCH($AS$62:$AZ$62,IFERROR(('Final Calculation Sheet'!$G$27)&amp;"","")))))&gt;0),IF(COUNTIF($BI$62:$BP$62,8)=0,TRUE,SUMPRODUCT(($BI$62:$BP$62=8)*($AS$62:$AZ$62&lt;&gt;"")*IF(((UPPER($AS$62:$AZ$62)="BLANK")+(UPPER($AS$62:$AZ$62)="(BLANK)")+(UPPER($AS$62:$AZ$62)="EMPTY")+(UPPER($AS$62:$AZ$62)="(EMPTY)"))&gt;0,IFERROR(('Final Calculation Sheet'!$G$27)&amp;"","")="",ISNUMBER(SEARCH($AS$62:$AZ$62,IFERROR(('Final Calculation Sheet'!$G$27)&amp;"","")))))&gt;0))))</f>
        <v>1</v>
      </c>
      <c r="BP28">
        <f>IF($D$4="",1,--(AND(SUMPRODUCT(--($AS$63:$AZ$63&lt;&gt;""))&gt;0,IF(COUNTIF($BI$63:$BP$63,1)=0,TRUE,SUMPRODUCT(($BI$63:$BP$63=1)*($AS$63:$AZ$63&lt;&gt;"")*IF(((UPPER($AS$63:$AZ$63)="BLANK")+(UPPER($AS$63:$AZ$63)="(BLANK)")+(UPPER($AS$63:$AZ$63)="EMPTY")+(UPPER($AS$63:$AZ$63)="(EMPTY)"))&gt;0,IFERROR(('Final Calculation Sheet'!$B$27)&amp;"","")="",ISNUMBER(SEARCH($AS$63:$AZ$63,IFERROR(('Final Calculation Sheet'!$B$27)&amp;"","")))))&gt;0),IF(COUNTIF($BI$63:$BP$63,2)=0,TRUE,SUMPRODUCT(($BI$63:$BP$63=2)*($AS$63:$AZ$63&lt;&gt;"")*IF(((UPPER($AS$63:$AZ$63)="BLANK")+(UPPER($AS$63:$AZ$63)="(BLANK)")+(UPPER($AS$63:$AZ$63)="EMPTY")+(UPPER($AS$63:$AZ$63)="(EMPTY)"))&gt;0,IFERROR(('Final Calculation Sheet'!$B$27)&amp;"","")="",ISNUMBER(SEARCH($AS$63:$AZ$63,IFERROR(('Final Calculation Sheet'!$B$27)&amp;"","")))))&gt;0),IF(COUNTIF($BI$63:$BP$63,3)=0,TRUE,SUMPRODUCT(($BI$63:$BP$63=3)*($AS$63:$AZ$63&lt;&gt;"")*IF(((UPPER($AS$63:$AZ$63)="BLANK")+(UPPER($AS$63:$AZ$63)="(BLANK)")+(UPPER($AS$63:$AZ$63)="EMPTY")+(UPPER($AS$63:$AZ$63)="(EMPTY)"))&gt;0,IFERROR(('Final Calculation Sheet'!$B$27)&amp;"","")="",ISNUMBER(SEARCH($AS$63:$AZ$63,IFERROR(('Final Calculation Sheet'!$B$27)&amp;"","")))))&gt;0),IF(COUNTIF($BI$63:$BP$63,4)=0,TRUE,SUMPRODUCT(($BI$63:$BP$63=4)*($AS$63:$AZ$63&lt;&gt;"")*IF(((UPPER($AS$63:$AZ$63)="BLANK")+(UPPER($AS$63:$AZ$63)="(BLANK)")+(UPPER($AS$63:$AZ$63)="EMPTY")+(UPPER($AS$63:$AZ$63)="(EMPTY)"))&gt;0,IFERROR(('Final Calculation Sheet'!$B$27)&amp;"","")="",ISNUMBER(SEARCH($AS$63:$AZ$63,IFERROR(('Final Calculation Sheet'!$B$27)&amp;"","")))))&gt;0),IF(COUNTIF($BI$63:$BP$63,5)=0,TRUE,SUMPRODUCT(($BI$63:$BP$63=5)*($AS$63:$AZ$63&lt;&gt;"")*IF(((UPPER($AS$63:$AZ$63)="BLANK")+(UPPER($AS$63:$AZ$63)="(BLANK)")+(UPPER($AS$63:$AZ$63)="EMPTY")+(UPPER($AS$63:$AZ$63)="(EMPTY)"))&gt;0,IFERROR(('Final Calculation Sheet'!$B$27)&amp;"","")="",ISNUMBER(SEARCH($AS$63:$AZ$63,IFERROR(('Final Calculation Sheet'!$B$27)&amp;"","")))))&gt;0),IF(COUNTIF($BI$63:$BP$63,6)=0,TRUE,SUMPRODUCT(($BI$63:$BP$63=6)*($AS$63:$AZ$63&lt;&gt;"")*IF(((UPPER($AS$63:$AZ$63)="BLANK")+(UPPER($AS$63:$AZ$63)="(BLANK)")+(UPPER($AS$63:$AZ$63)="EMPTY")+(UPPER($AS$63:$AZ$63)="(EMPTY)"))&gt;0,IFERROR(('Final Calculation Sheet'!$B$27)&amp;"","")="",ISNUMBER(SEARCH($AS$63:$AZ$63,IFERROR(('Final Calculation Sheet'!$B$27)&amp;"","")))))&gt;0),IF(COUNTIF($BI$63:$BP$63,7)=0,TRUE,SUMPRODUCT(($BI$63:$BP$63=7)*($AS$63:$AZ$63&lt;&gt;"")*IF(((UPPER($AS$63:$AZ$63)="BLANK")+(UPPER($AS$63:$AZ$63)="(BLANK)")+(UPPER($AS$63:$AZ$63)="EMPTY")+(UPPER($AS$63:$AZ$63)="(EMPTY)"))&gt;0,IFERROR(('Final Calculation Sheet'!$B$27)&amp;"","")="",ISNUMBER(SEARCH($AS$63:$AZ$63,IFERROR(('Final Calculation Sheet'!$B$27)&amp;"","")))))&gt;0),IF(COUNTIF($BI$63:$BP$63,8)=0,TRUE,SUMPRODUCT(($BI$63:$BP$63=8)*($AS$63:$AZ$63&lt;&gt;"")*IF(((UPPER($AS$63:$AZ$63)="BLANK")+(UPPER($AS$63:$AZ$63)="(BLANK)")+(UPPER($AS$63:$AZ$63)="EMPTY")+(UPPER($AS$63:$AZ$63)="(EMPTY)"))&gt;0,IFERROR(('Final Calculation Sheet'!$B$27)&amp;"","")="",ISNUMBER(SEARCH($AS$63:$AZ$63,IFERROR(('Final Calculation Sheet'!$B$27)&amp;"","")))))&gt;0))))</f>
        <v>1</v>
      </c>
      <c r="BQ28">
        <f>IF($E$4="",1,--(AND(SUMPRODUCT(--($AS$64:$AZ$64&lt;&gt;""))&gt;0,IF(COUNTIF($BI$64:$BP$64,1)=0,TRUE,SUMPRODUCT(($BI$64:$BP$64=1)*($AS$64:$AZ$64&lt;&gt;"")*IF(((UPPER($AS$64:$AZ$64)="BLANK")+(UPPER($AS$64:$AZ$64)="(BLANK)")+(UPPER($AS$64:$AZ$64)="EMPTY")+(UPPER($AS$64:$AZ$64)="(EMPTY)"))&gt;0,IFERROR(('Final Calculation Sheet'!$D$27)&amp;"","")="",ISNUMBER(SEARCH($AS$64:$AZ$64,IFERROR(('Final Calculation Sheet'!$D$27)&amp;"","")))))&gt;0),IF(COUNTIF($BI$64:$BP$64,2)=0,TRUE,SUMPRODUCT(($BI$64:$BP$64=2)*($AS$64:$AZ$64&lt;&gt;"")*IF(((UPPER($AS$64:$AZ$64)="BLANK")+(UPPER($AS$64:$AZ$64)="(BLANK)")+(UPPER($AS$64:$AZ$64)="EMPTY")+(UPPER($AS$64:$AZ$64)="(EMPTY)"))&gt;0,IFERROR(('Final Calculation Sheet'!$D$27)&amp;"","")="",ISNUMBER(SEARCH($AS$64:$AZ$64,IFERROR(('Final Calculation Sheet'!$D$27)&amp;"","")))))&gt;0),IF(COUNTIF($BI$64:$BP$64,3)=0,TRUE,SUMPRODUCT(($BI$64:$BP$64=3)*($AS$64:$AZ$64&lt;&gt;"")*IF(((UPPER($AS$64:$AZ$64)="BLANK")+(UPPER($AS$64:$AZ$64)="(BLANK)")+(UPPER($AS$64:$AZ$64)="EMPTY")+(UPPER($AS$64:$AZ$64)="(EMPTY)"))&gt;0,IFERROR(('Final Calculation Sheet'!$D$27)&amp;"","")="",ISNUMBER(SEARCH($AS$64:$AZ$64,IFERROR(('Final Calculation Sheet'!$D$27)&amp;"","")))))&gt;0),IF(COUNTIF($BI$64:$BP$64,4)=0,TRUE,SUMPRODUCT(($BI$64:$BP$64=4)*($AS$64:$AZ$64&lt;&gt;"")*IF(((UPPER($AS$64:$AZ$64)="BLANK")+(UPPER($AS$64:$AZ$64)="(BLANK)")+(UPPER($AS$64:$AZ$64)="EMPTY")+(UPPER($AS$64:$AZ$64)="(EMPTY)"))&gt;0,IFERROR(('Final Calculation Sheet'!$D$27)&amp;"","")="",ISNUMBER(SEARCH($AS$64:$AZ$64,IFERROR(('Final Calculation Sheet'!$D$27)&amp;"","")))))&gt;0),IF(COUNTIF($BI$64:$BP$64,5)=0,TRUE,SUMPRODUCT(($BI$64:$BP$64=5)*($AS$64:$AZ$64&lt;&gt;"")*IF(((UPPER($AS$64:$AZ$64)="BLANK")+(UPPER($AS$64:$AZ$64)="(BLANK)")+(UPPER($AS$64:$AZ$64)="EMPTY")+(UPPER($AS$64:$AZ$64)="(EMPTY)"))&gt;0,IFERROR(('Final Calculation Sheet'!$D$27)&amp;"","")="",ISNUMBER(SEARCH($AS$64:$AZ$64,IFERROR(('Final Calculation Sheet'!$D$27)&amp;"","")))))&gt;0),IF(COUNTIF($BI$64:$BP$64,6)=0,TRUE,SUMPRODUCT(($BI$64:$BP$64=6)*($AS$64:$AZ$64&lt;&gt;"")*IF(((UPPER($AS$64:$AZ$64)="BLANK")+(UPPER($AS$64:$AZ$64)="(BLANK)")+(UPPER($AS$64:$AZ$64)="EMPTY")+(UPPER($AS$64:$AZ$64)="(EMPTY)"))&gt;0,IFERROR(('Final Calculation Sheet'!$D$27)&amp;"","")="",ISNUMBER(SEARCH($AS$64:$AZ$64,IFERROR(('Final Calculation Sheet'!$D$27)&amp;"","")))))&gt;0),IF(COUNTIF($BI$64:$BP$64,7)=0,TRUE,SUMPRODUCT(($BI$64:$BP$64=7)*($AS$64:$AZ$64&lt;&gt;"")*IF(((UPPER($AS$64:$AZ$64)="BLANK")+(UPPER($AS$64:$AZ$64)="(BLANK)")+(UPPER($AS$64:$AZ$64)="EMPTY")+(UPPER($AS$64:$AZ$64)="(EMPTY)"))&gt;0,IFERROR(('Final Calculation Sheet'!$D$27)&amp;"","")="",ISNUMBER(SEARCH($AS$64:$AZ$64,IFERROR(('Final Calculation Sheet'!$D$27)&amp;"","")))))&gt;0),IF(COUNTIF($BI$64:$BP$64,8)=0,TRUE,SUMPRODUCT(($BI$64:$BP$64=8)*($AS$64:$AZ$64&lt;&gt;"")*IF(((UPPER($AS$64:$AZ$64)="BLANK")+(UPPER($AS$64:$AZ$64)="(BLANK)")+(UPPER($AS$64:$AZ$64)="EMPTY")+(UPPER($AS$64:$AZ$64)="(EMPTY)"))&gt;0,IFERROR(('Final Calculation Sheet'!$D$27)&amp;"","")="",ISNUMBER(SEARCH($AS$64:$AZ$64,IFERROR(('Final Calculation Sheet'!$D$27)&amp;"","")))))&gt;0))))</f>
        <v>1</v>
      </c>
      <c r="BR28">
        <f>IF($F$4="",1,--(AND(SUMPRODUCT(--($AS$65:$AZ$65&lt;&gt;""))&gt;0,IF(COUNTIF($BI$65:$BP$65,1)=0,TRUE,SUMPRODUCT(($BI$65:$BP$65=1)*($AS$65:$AZ$65&lt;&gt;"")*IF(((UPPER($AS$65:$AZ$65)="BLANK")+(UPPER($AS$65:$AZ$65)="(BLANK)")+(UPPER($AS$65:$AZ$65)="EMPTY")+(UPPER($AS$65:$AZ$65)="(EMPTY)"))&gt;0,IFERROR(('Final Calculation Sheet'!$A$27)&amp;"","")="",ISNUMBER(SEARCH($AS$65:$AZ$65,IFERROR(('Final Calculation Sheet'!$A$27)&amp;"","")))))&gt;0),IF(COUNTIF($BI$65:$BP$65,2)=0,TRUE,SUMPRODUCT(($BI$65:$BP$65=2)*($AS$65:$AZ$65&lt;&gt;"")*IF(((UPPER($AS$65:$AZ$65)="BLANK")+(UPPER($AS$65:$AZ$65)="(BLANK)")+(UPPER($AS$65:$AZ$65)="EMPTY")+(UPPER($AS$65:$AZ$65)="(EMPTY)"))&gt;0,IFERROR(('Final Calculation Sheet'!$A$27)&amp;"","")="",ISNUMBER(SEARCH($AS$65:$AZ$65,IFERROR(('Final Calculation Sheet'!$A$27)&amp;"","")))))&gt;0),IF(COUNTIF($BI$65:$BP$65,3)=0,TRUE,SUMPRODUCT(($BI$65:$BP$65=3)*($AS$65:$AZ$65&lt;&gt;"")*IF(((UPPER($AS$65:$AZ$65)="BLANK")+(UPPER($AS$65:$AZ$65)="(BLANK)")+(UPPER($AS$65:$AZ$65)="EMPTY")+(UPPER($AS$65:$AZ$65)="(EMPTY)"))&gt;0,IFERROR(('Final Calculation Sheet'!$A$27)&amp;"","")="",ISNUMBER(SEARCH($AS$65:$AZ$65,IFERROR(('Final Calculation Sheet'!$A$27)&amp;"","")))))&gt;0),IF(COUNTIF($BI$65:$BP$65,4)=0,TRUE,SUMPRODUCT(($BI$65:$BP$65=4)*($AS$65:$AZ$65&lt;&gt;"")*IF(((UPPER($AS$65:$AZ$65)="BLANK")+(UPPER($AS$65:$AZ$65)="(BLANK)")+(UPPER($AS$65:$AZ$65)="EMPTY")+(UPPER($AS$65:$AZ$65)="(EMPTY)"))&gt;0,IFERROR(('Final Calculation Sheet'!$A$27)&amp;"","")="",ISNUMBER(SEARCH($AS$65:$AZ$65,IFERROR(('Final Calculation Sheet'!$A$27)&amp;"","")))))&gt;0),IF(COUNTIF($BI$65:$BP$65,5)=0,TRUE,SUMPRODUCT(($BI$65:$BP$65=5)*($AS$65:$AZ$65&lt;&gt;"")*IF(((UPPER($AS$65:$AZ$65)="BLANK")+(UPPER($AS$65:$AZ$65)="(BLANK)")+(UPPER($AS$65:$AZ$65)="EMPTY")+(UPPER($AS$65:$AZ$65)="(EMPTY)"))&gt;0,IFERROR(('Final Calculation Sheet'!$A$27)&amp;"","")="",ISNUMBER(SEARCH($AS$65:$AZ$65,IFERROR(('Final Calculation Sheet'!$A$27)&amp;"","")))))&gt;0),IF(COUNTIF($BI$65:$BP$65,6)=0,TRUE,SUMPRODUCT(($BI$65:$BP$65=6)*($AS$65:$AZ$65&lt;&gt;"")*IF(((UPPER($AS$65:$AZ$65)="BLANK")+(UPPER($AS$65:$AZ$65)="(BLANK)")+(UPPER($AS$65:$AZ$65)="EMPTY")+(UPPER($AS$65:$AZ$65)="(EMPTY)"))&gt;0,IFERROR(('Final Calculation Sheet'!$A$27)&amp;"","")="",ISNUMBER(SEARCH($AS$65:$AZ$65,IFERROR(('Final Calculation Sheet'!$A$27)&amp;"","")))))&gt;0),IF(COUNTIF($BI$65:$BP$65,7)=0,TRUE,SUMPRODUCT(($BI$65:$BP$65=7)*($AS$65:$AZ$65&lt;&gt;"")*IF(((UPPER($AS$65:$AZ$65)="BLANK")+(UPPER($AS$65:$AZ$65)="(BLANK)")+(UPPER($AS$65:$AZ$65)="EMPTY")+(UPPER($AS$65:$AZ$65)="(EMPTY)"))&gt;0,IFERROR(('Final Calculation Sheet'!$A$27)&amp;"","")="",ISNUMBER(SEARCH($AS$65:$AZ$65,IFERROR(('Final Calculation Sheet'!$A$27)&amp;"","")))))&gt;0),IF(COUNTIF($BI$65:$BP$65,8)=0,TRUE,SUMPRODUCT(($BI$65:$BP$65=8)*($AS$65:$AZ$65&lt;&gt;"")*IF(((UPPER($AS$65:$AZ$65)="BLANK")+(UPPER($AS$65:$AZ$65)="(BLANK)")+(UPPER($AS$65:$AZ$65)="EMPTY")+(UPPER($AS$65:$AZ$65)="(EMPTY)"))&gt;0,IFERROR(('Final Calculation Sheet'!$A$27)&amp;"","")="",ISNUMBER(SEARCH($AS$65:$AZ$65,IFERROR(('Final Calculation Sheet'!$A$27)&amp;"","")))))&gt;0))))</f>
        <v>1</v>
      </c>
      <c r="BS28">
        <f>IF($G$4="",1,--(AND(SUMPRODUCT(--($AS$66:$AZ$66&lt;&gt;""))&gt;0,IF(COUNTIF($BI$66:$BP$66,1)=0,TRUE,SUMPRODUCT(($BI$66:$BP$66=1)*($AS$66:$AZ$66&lt;&gt;"")*IF(((UPPER($AS$66:$AZ$66)="BLANK")+(UPPER($AS$66:$AZ$66)="(BLANK)")+(UPPER($AS$66:$AZ$66)="EMPTY")+(UPPER($AS$66:$AZ$66)="(EMPTY)"))&gt;0,IFERROR(('Final Calculation Sheet'!$E$27)&amp;"","")="",ISNUMBER(SEARCH($AS$66:$AZ$66,IFERROR(('Final Calculation Sheet'!$E$27)&amp;"","")))))&gt;0),IF(COUNTIF($BI$66:$BP$66,2)=0,TRUE,SUMPRODUCT(($BI$66:$BP$66=2)*($AS$66:$AZ$66&lt;&gt;"")*IF(((UPPER($AS$66:$AZ$66)="BLANK")+(UPPER($AS$66:$AZ$66)="(BLANK)")+(UPPER($AS$66:$AZ$66)="EMPTY")+(UPPER($AS$66:$AZ$66)="(EMPTY)"))&gt;0,IFERROR(('Final Calculation Sheet'!$E$27)&amp;"","")="",ISNUMBER(SEARCH($AS$66:$AZ$66,IFERROR(('Final Calculation Sheet'!$E$27)&amp;"","")))))&gt;0),IF(COUNTIF($BI$66:$BP$66,3)=0,TRUE,SUMPRODUCT(($BI$66:$BP$66=3)*($AS$66:$AZ$66&lt;&gt;"")*IF(((UPPER($AS$66:$AZ$66)="BLANK")+(UPPER($AS$66:$AZ$66)="(BLANK)")+(UPPER($AS$66:$AZ$66)="EMPTY")+(UPPER($AS$66:$AZ$66)="(EMPTY)"))&gt;0,IFERROR(('Final Calculation Sheet'!$E$27)&amp;"","")="",ISNUMBER(SEARCH($AS$66:$AZ$66,IFERROR(('Final Calculation Sheet'!$E$27)&amp;"","")))))&gt;0),IF(COUNTIF($BI$66:$BP$66,4)=0,TRUE,SUMPRODUCT(($BI$66:$BP$66=4)*($AS$66:$AZ$66&lt;&gt;"")*IF(((UPPER($AS$66:$AZ$66)="BLANK")+(UPPER($AS$66:$AZ$66)="(BLANK)")+(UPPER($AS$66:$AZ$66)="EMPTY")+(UPPER($AS$66:$AZ$66)="(EMPTY)"))&gt;0,IFERROR(('Final Calculation Sheet'!$E$27)&amp;"","")="",ISNUMBER(SEARCH($AS$66:$AZ$66,IFERROR(('Final Calculation Sheet'!$E$27)&amp;"","")))))&gt;0),IF(COUNTIF($BI$66:$BP$66,5)=0,TRUE,SUMPRODUCT(($BI$66:$BP$66=5)*($AS$66:$AZ$66&lt;&gt;"")*IF(((UPPER($AS$66:$AZ$66)="BLANK")+(UPPER($AS$66:$AZ$66)="(BLANK)")+(UPPER($AS$66:$AZ$66)="EMPTY")+(UPPER($AS$66:$AZ$66)="(EMPTY)"))&gt;0,IFERROR(('Final Calculation Sheet'!$E$27)&amp;"","")="",ISNUMBER(SEARCH($AS$66:$AZ$66,IFERROR(('Final Calculation Sheet'!$E$27)&amp;"","")))))&gt;0),IF(COUNTIF($BI$66:$BP$66,6)=0,TRUE,SUMPRODUCT(($BI$66:$BP$66=6)*($AS$66:$AZ$66&lt;&gt;"")*IF(((UPPER($AS$66:$AZ$66)="BLANK")+(UPPER($AS$66:$AZ$66)="(BLANK)")+(UPPER($AS$66:$AZ$66)="EMPTY")+(UPPER($AS$66:$AZ$66)="(EMPTY)"))&gt;0,IFERROR(('Final Calculation Sheet'!$E$27)&amp;"","")="",ISNUMBER(SEARCH($AS$66:$AZ$66,IFERROR(('Final Calculation Sheet'!$E$27)&amp;"","")))))&gt;0),IF(COUNTIF($BI$66:$BP$66,7)=0,TRUE,SUMPRODUCT(($BI$66:$BP$66=7)*($AS$66:$AZ$66&lt;&gt;"")*IF(((UPPER($AS$66:$AZ$66)="BLANK")+(UPPER($AS$66:$AZ$66)="(BLANK)")+(UPPER($AS$66:$AZ$66)="EMPTY")+(UPPER($AS$66:$AZ$66)="(EMPTY)"))&gt;0,IFERROR(('Final Calculation Sheet'!$E$27)&amp;"","")="",ISNUMBER(SEARCH($AS$66:$AZ$66,IFERROR(('Final Calculation Sheet'!$E$27)&amp;"","")))))&gt;0),IF(COUNTIF($BI$66:$BP$66,8)=0,TRUE,SUMPRODUCT(($BI$66:$BP$66=8)*($AS$66:$AZ$66&lt;&gt;"")*IF(((UPPER($AS$66:$AZ$66)="BLANK")+(UPPER($AS$66:$AZ$66)="(BLANK)")+(UPPER($AS$66:$AZ$66)="EMPTY")+(UPPER($AS$66:$AZ$66)="(EMPTY)"))&gt;0,IFERROR(('Final Calculation Sheet'!$E$27)&amp;"","")="",ISNUMBER(SEARCH($AS$66:$AZ$66,IFERROR(('Final Calculation Sheet'!$E$27)&amp;"","")))))&gt;0))))</f>
        <v>1</v>
      </c>
      <c r="BT28">
        <f>IF($H$4="",1,--(AND(SUMPRODUCT(--($AS$67:$AZ$67&lt;&gt;""))&gt;0,IF(COUNTIF($BI$67:$BP$67,1)=0,TRUE,SUMPRODUCT(($BI$67:$BP$67=1)*($AS$67:$AZ$67&lt;&gt;"")*IF(((UPPER($AS$67:$AZ$67)="BLANK")+(UPPER($AS$67:$AZ$67)="(BLANK)")+(UPPER($AS$67:$AZ$67)="EMPTY")+(UPPER($AS$67:$AZ$67)="(EMPTY)"))&gt;0,IFERROR(('Final Calculation Sheet'!$C$27)&amp;"","")="",ISNUMBER(SEARCH($AS$67:$AZ$67,IFERROR(('Final Calculation Sheet'!$C$27)&amp;"","")))))&gt;0),IF(COUNTIF($BI$67:$BP$67,2)=0,TRUE,SUMPRODUCT(($BI$67:$BP$67=2)*($AS$67:$AZ$67&lt;&gt;"")*IF(((UPPER($AS$67:$AZ$67)="BLANK")+(UPPER($AS$67:$AZ$67)="(BLANK)")+(UPPER($AS$67:$AZ$67)="EMPTY")+(UPPER($AS$67:$AZ$67)="(EMPTY)"))&gt;0,IFERROR(('Final Calculation Sheet'!$C$27)&amp;"","")="",ISNUMBER(SEARCH($AS$67:$AZ$67,IFERROR(('Final Calculation Sheet'!$C$27)&amp;"","")))))&gt;0),IF(COUNTIF($BI$67:$BP$67,3)=0,TRUE,SUMPRODUCT(($BI$67:$BP$67=3)*($AS$67:$AZ$67&lt;&gt;"")*IF(((UPPER($AS$67:$AZ$67)="BLANK")+(UPPER($AS$67:$AZ$67)="(BLANK)")+(UPPER($AS$67:$AZ$67)="EMPTY")+(UPPER($AS$67:$AZ$67)="(EMPTY)"))&gt;0,IFERROR(('Final Calculation Sheet'!$C$27)&amp;"","")="",ISNUMBER(SEARCH($AS$67:$AZ$67,IFERROR(('Final Calculation Sheet'!$C$27)&amp;"","")))))&gt;0),IF(COUNTIF($BI$67:$BP$67,4)=0,TRUE,SUMPRODUCT(($BI$67:$BP$67=4)*($AS$67:$AZ$67&lt;&gt;"")*IF(((UPPER($AS$67:$AZ$67)="BLANK")+(UPPER($AS$67:$AZ$67)="(BLANK)")+(UPPER($AS$67:$AZ$67)="EMPTY")+(UPPER($AS$67:$AZ$67)="(EMPTY)"))&gt;0,IFERROR(('Final Calculation Sheet'!$C$27)&amp;"","")="",ISNUMBER(SEARCH($AS$67:$AZ$67,IFERROR(('Final Calculation Sheet'!$C$27)&amp;"","")))))&gt;0),IF(COUNTIF($BI$67:$BP$67,5)=0,TRUE,SUMPRODUCT(($BI$67:$BP$67=5)*($AS$67:$AZ$67&lt;&gt;"")*IF(((UPPER($AS$67:$AZ$67)="BLANK")+(UPPER($AS$67:$AZ$67)="(BLANK)")+(UPPER($AS$67:$AZ$67)="EMPTY")+(UPPER($AS$67:$AZ$67)="(EMPTY)"))&gt;0,IFERROR(('Final Calculation Sheet'!$C$27)&amp;"","")="",ISNUMBER(SEARCH($AS$67:$AZ$67,IFERROR(('Final Calculation Sheet'!$C$27)&amp;"","")))))&gt;0),IF(COUNTIF($BI$67:$BP$67,6)=0,TRUE,SUMPRODUCT(($BI$67:$BP$67=6)*($AS$67:$AZ$67&lt;&gt;"")*IF(((UPPER($AS$67:$AZ$67)="BLANK")+(UPPER($AS$67:$AZ$67)="(BLANK)")+(UPPER($AS$67:$AZ$67)="EMPTY")+(UPPER($AS$67:$AZ$67)="(EMPTY)"))&gt;0,IFERROR(('Final Calculation Sheet'!$C$27)&amp;"","")="",ISNUMBER(SEARCH($AS$67:$AZ$67,IFERROR(('Final Calculation Sheet'!$C$27)&amp;"","")))))&gt;0),IF(COUNTIF($BI$67:$BP$67,7)=0,TRUE,SUMPRODUCT(($BI$67:$BP$67=7)*($AS$67:$AZ$67&lt;&gt;"")*IF(((UPPER($AS$67:$AZ$67)="BLANK")+(UPPER($AS$67:$AZ$67)="(BLANK)")+(UPPER($AS$67:$AZ$67)="EMPTY")+(UPPER($AS$67:$AZ$67)="(EMPTY)"))&gt;0,IFERROR(('Final Calculation Sheet'!$C$27)&amp;"","")="",ISNUMBER(SEARCH($AS$67:$AZ$67,IFERROR(('Final Calculation Sheet'!$C$27)&amp;"","")))))&gt;0),IF(COUNTIF($BI$67:$BP$67,8)=0,TRUE,SUMPRODUCT(($BI$67:$BP$67=8)*($AS$67:$AZ$67&lt;&gt;"")*IF(((UPPER($AS$67:$AZ$67)="BLANK")+(UPPER($AS$67:$AZ$67)="(BLANK)")+(UPPER($AS$67:$AZ$67)="EMPTY")+(UPPER($AS$67:$AZ$67)="(EMPTY)"))&gt;0,IFERROR(('Final Calculation Sheet'!$C$27)&amp;"","")="",ISNUMBER(SEARCH($AS$67:$AZ$67,IFERROR(('Final Calculation Sheet'!$C$27)&amp;"","")))))&gt;0))))</f>
        <v>1</v>
      </c>
      <c r="BU28">
        <f>IF($I$4="",1,--(AND(SUMPRODUCT(--($AS$68:$AZ$68&lt;&gt;""))&gt;0,IF(COUNTIF($BI$68:$BP$68,1)=0,TRUE,SUMPRODUCT(($BI$68:$BP$68=1)*($AS$68:$AZ$68&lt;&gt;"")*IF(((UPPER($AS$68:$AZ$68)="BLANK")+(UPPER($AS$68:$AZ$68)="(BLANK)")+(UPPER($AS$68:$AZ$68)="EMPTY")+(UPPER($AS$68:$AZ$68)="(EMPTY)"))&gt;0,IFERROR(('Final Calculation Sheet'!$H$27)&amp;"","")="",ISNUMBER(SEARCH($AS$68:$AZ$68,IFERROR(('Final Calculation Sheet'!$H$27)&amp;"","")))))&gt;0),IF(COUNTIF($BI$68:$BP$68,2)=0,TRUE,SUMPRODUCT(($BI$68:$BP$68=2)*($AS$68:$AZ$68&lt;&gt;"")*IF(((UPPER($AS$68:$AZ$68)="BLANK")+(UPPER($AS$68:$AZ$68)="(BLANK)")+(UPPER($AS$68:$AZ$68)="EMPTY")+(UPPER($AS$68:$AZ$68)="(EMPTY)"))&gt;0,IFERROR(('Final Calculation Sheet'!$H$27)&amp;"","")="",ISNUMBER(SEARCH($AS$68:$AZ$68,IFERROR(('Final Calculation Sheet'!$H$27)&amp;"","")))))&gt;0),IF(COUNTIF($BI$68:$BP$68,3)=0,TRUE,SUMPRODUCT(($BI$68:$BP$68=3)*($AS$68:$AZ$68&lt;&gt;"")*IF(((UPPER($AS$68:$AZ$68)="BLANK")+(UPPER($AS$68:$AZ$68)="(BLANK)")+(UPPER($AS$68:$AZ$68)="EMPTY")+(UPPER($AS$68:$AZ$68)="(EMPTY)"))&gt;0,IFERROR(('Final Calculation Sheet'!$H$27)&amp;"","")="",ISNUMBER(SEARCH($AS$68:$AZ$68,IFERROR(('Final Calculation Sheet'!$H$27)&amp;"","")))))&gt;0),IF(COUNTIF($BI$68:$BP$68,4)=0,TRUE,SUMPRODUCT(($BI$68:$BP$68=4)*($AS$68:$AZ$68&lt;&gt;"")*IF(((UPPER($AS$68:$AZ$68)="BLANK")+(UPPER($AS$68:$AZ$68)="(BLANK)")+(UPPER($AS$68:$AZ$68)="EMPTY")+(UPPER($AS$68:$AZ$68)="(EMPTY)"))&gt;0,IFERROR(('Final Calculation Sheet'!$H$27)&amp;"","")="",ISNUMBER(SEARCH($AS$68:$AZ$68,IFERROR(('Final Calculation Sheet'!$H$27)&amp;"","")))))&gt;0),IF(COUNTIF($BI$68:$BP$68,5)=0,TRUE,SUMPRODUCT(($BI$68:$BP$68=5)*($AS$68:$AZ$68&lt;&gt;"")*IF(((UPPER($AS$68:$AZ$68)="BLANK")+(UPPER($AS$68:$AZ$68)="(BLANK)")+(UPPER($AS$68:$AZ$68)="EMPTY")+(UPPER($AS$68:$AZ$68)="(EMPTY)"))&gt;0,IFERROR(('Final Calculation Sheet'!$H$27)&amp;"","")="",ISNUMBER(SEARCH($AS$68:$AZ$68,IFERROR(('Final Calculation Sheet'!$H$27)&amp;"","")))))&gt;0),IF(COUNTIF($BI$68:$BP$68,6)=0,TRUE,SUMPRODUCT(($BI$68:$BP$68=6)*($AS$68:$AZ$68&lt;&gt;"")*IF(((UPPER($AS$68:$AZ$68)="BLANK")+(UPPER($AS$68:$AZ$68)="(BLANK)")+(UPPER($AS$68:$AZ$68)="EMPTY")+(UPPER($AS$68:$AZ$68)="(EMPTY)"))&gt;0,IFERROR(('Final Calculation Sheet'!$H$27)&amp;"","")="",ISNUMBER(SEARCH($AS$68:$AZ$68,IFERROR(('Final Calculation Sheet'!$H$27)&amp;"","")))))&gt;0),IF(COUNTIF($BI$68:$BP$68,7)=0,TRUE,SUMPRODUCT(($BI$68:$BP$68=7)*($AS$68:$AZ$68&lt;&gt;"")*IF(((UPPER($AS$68:$AZ$68)="BLANK")+(UPPER($AS$68:$AZ$68)="(BLANK)")+(UPPER($AS$68:$AZ$68)="EMPTY")+(UPPER($AS$68:$AZ$68)="(EMPTY)"))&gt;0,IFERROR(('Final Calculation Sheet'!$H$27)&amp;"","")="",ISNUMBER(SEARCH($AS$68:$AZ$68,IFERROR(('Final Calculation Sheet'!$H$27)&amp;"","")))))&gt;0),IF(COUNTIF($BI$68:$BP$68,8)=0,TRUE,SUMPRODUCT(($BI$68:$BP$68=8)*($AS$68:$AZ$68&lt;&gt;"")*IF(((UPPER($AS$68:$AZ$68)="BLANK")+(UPPER($AS$68:$AZ$68)="(BLANK)")+(UPPER($AS$68:$AZ$68)="EMPTY")+(UPPER($AS$68:$AZ$68)="(EMPTY)"))&gt;0,IFERROR(('Final Calculation Sheet'!$H$27)&amp;"","")="",ISNUMBER(SEARCH($AS$68:$AZ$68,IFERROR(('Final Calculation Sheet'!$H$27)&amp;"","")))))&gt;0))))</f>
        <v>1</v>
      </c>
      <c r="BV28">
        <f>IF($J$4="",1,--(AND(SUMPRODUCT(--($AS$69:$AZ$69&lt;&gt;""))&gt;0,IF(COUNTIF($BI$69:$BP$69,1)=0,TRUE,SUMPRODUCT(($BI$69:$BP$69=1)*($AS$69:$AZ$69&lt;&gt;"")*IF(((UPPER($AS$69:$AZ$69)="BLANK")+(UPPER($AS$69:$AZ$69)="(BLANK)")+(UPPER($AS$69:$AZ$69)="EMPTY")+(UPPER($AS$69:$AZ$69)="(EMPTY)"))&gt;0,IFERROR(('Final Calculation Sheet'!$I$27)&amp;"","")="",ISNUMBER(SEARCH($AS$69:$AZ$69,IFERROR(('Final Calculation Sheet'!$I$27)&amp;"","")))))&gt;0),IF(COUNTIF($BI$69:$BP$69,2)=0,TRUE,SUMPRODUCT(($BI$69:$BP$69=2)*($AS$69:$AZ$69&lt;&gt;"")*IF(((UPPER($AS$69:$AZ$69)="BLANK")+(UPPER($AS$69:$AZ$69)="(BLANK)")+(UPPER($AS$69:$AZ$69)="EMPTY")+(UPPER($AS$69:$AZ$69)="(EMPTY)"))&gt;0,IFERROR(('Final Calculation Sheet'!$I$27)&amp;"","")="",ISNUMBER(SEARCH($AS$69:$AZ$69,IFERROR(('Final Calculation Sheet'!$I$27)&amp;"","")))))&gt;0),IF(COUNTIF($BI$69:$BP$69,3)=0,TRUE,SUMPRODUCT(($BI$69:$BP$69=3)*($AS$69:$AZ$69&lt;&gt;"")*IF(((UPPER($AS$69:$AZ$69)="BLANK")+(UPPER($AS$69:$AZ$69)="(BLANK)")+(UPPER($AS$69:$AZ$69)="EMPTY")+(UPPER($AS$69:$AZ$69)="(EMPTY)"))&gt;0,IFERROR(('Final Calculation Sheet'!$I$27)&amp;"","")="",ISNUMBER(SEARCH($AS$69:$AZ$69,IFERROR(('Final Calculation Sheet'!$I$27)&amp;"","")))))&gt;0),IF(COUNTIF($BI$69:$BP$69,4)=0,TRUE,SUMPRODUCT(($BI$69:$BP$69=4)*($AS$69:$AZ$69&lt;&gt;"")*IF(((UPPER($AS$69:$AZ$69)="BLANK")+(UPPER($AS$69:$AZ$69)="(BLANK)")+(UPPER($AS$69:$AZ$69)="EMPTY")+(UPPER($AS$69:$AZ$69)="(EMPTY)"))&gt;0,IFERROR(('Final Calculation Sheet'!$I$27)&amp;"","")="",ISNUMBER(SEARCH($AS$69:$AZ$69,IFERROR(('Final Calculation Sheet'!$I$27)&amp;"","")))))&gt;0),IF(COUNTIF($BI$69:$BP$69,5)=0,TRUE,SUMPRODUCT(($BI$69:$BP$69=5)*($AS$69:$AZ$69&lt;&gt;"")*IF(((UPPER($AS$69:$AZ$69)="BLANK")+(UPPER($AS$69:$AZ$69)="(BLANK)")+(UPPER($AS$69:$AZ$69)="EMPTY")+(UPPER($AS$69:$AZ$69)="(EMPTY)"))&gt;0,IFERROR(('Final Calculation Sheet'!$I$27)&amp;"","")="",ISNUMBER(SEARCH($AS$69:$AZ$69,IFERROR(('Final Calculation Sheet'!$I$27)&amp;"","")))))&gt;0),IF(COUNTIF($BI$69:$BP$69,6)=0,TRUE,SUMPRODUCT(($BI$69:$BP$69=6)*($AS$69:$AZ$69&lt;&gt;"")*IF(((UPPER($AS$69:$AZ$69)="BLANK")+(UPPER($AS$69:$AZ$69)="(BLANK)")+(UPPER($AS$69:$AZ$69)="EMPTY")+(UPPER($AS$69:$AZ$69)="(EMPTY)"))&gt;0,IFERROR(('Final Calculation Sheet'!$I$27)&amp;"","")="",ISNUMBER(SEARCH($AS$69:$AZ$69,IFERROR(('Final Calculation Sheet'!$I$27)&amp;"","")))))&gt;0),IF(COUNTIF($BI$69:$BP$69,7)=0,TRUE,SUMPRODUCT(($BI$69:$BP$69=7)*($AS$69:$AZ$69&lt;&gt;"")*IF(((UPPER($AS$69:$AZ$69)="BLANK")+(UPPER($AS$69:$AZ$69)="(BLANK)")+(UPPER($AS$69:$AZ$69)="EMPTY")+(UPPER($AS$69:$AZ$69)="(EMPTY)"))&gt;0,IFERROR(('Final Calculation Sheet'!$I$27)&amp;"","")="",ISNUMBER(SEARCH($AS$69:$AZ$69,IFERROR(('Final Calculation Sheet'!$I$27)&amp;"","")))))&gt;0),IF(COUNTIF($BI$69:$BP$69,8)=0,TRUE,SUMPRODUCT(($BI$69:$BP$69=8)*($AS$69:$AZ$69&lt;&gt;"")*IF(((UPPER($AS$69:$AZ$69)="BLANK")+(UPPER($AS$69:$AZ$69)="(BLANK)")+(UPPER($AS$69:$AZ$69)="EMPTY")+(UPPER($AS$69:$AZ$69)="(EMPTY)"))&gt;0,IFERROR(('Final Calculation Sheet'!$I$27)&amp;"","")="",ISNUMBER(SEARCH($AS$69:$AZ$69,IFERROR(('Final Calculation Sheet'!$I$27)&amp;"","")))))&gt;0))))</f>
        <v>1</v>
      </c>
      <c r="BW28">
        <f>IF($K$4="",1,--(AND(SUMPRODUCT(--($AS$70:$AZ$70&lt;&gt;""))&gt;0,IF(COUNTIF($BI$70:$BP$70,1)=0,TRUE,SUMPRODUCT(($BI$70:$BP$70=1)*($AS$70:$AZ$70&lt;&gt;"")*IF(((UPPER($AS$70:$AZ$70)="BLANK")+(UPPER($AS$70:$AZ$70)="(BLANK)")+(UPPER($AS$70:$AZ$70)="EMPTY")+(UPPER($AS$70:$AZ$70)="(EMPTY)"))&gt;0,IFERROR(('Final Calculation Sheet'!$J$27)&amp;"","")="",ISNUMBER(SEARCH($AS$70:$AZ$70,IFERROR(('Final Calculation Sheet'!$J$27)&amp;"","")))))&gt;0),IF(COUNTIF($BI$70:$BP$70,2)=0,TRUE,SUMPRODUCT(($BI$70:$BP$70=2)*($AS$70:$AZ$70&lt;&gt;"")*IF(((UPPER($AS$70:$AZ$70)="BLANK")+(UPPER($AS$70:$AZ$70)="(BLANK)")+(UPPER($AS$70:$AZ$70)="EMPTY")+(UPPER($AS$70:$AZ$70)="(EMPTY)"))&gt;0,IFERROR(('Final Calculation Sheet'!$J$27)&amp;"","")="",ISNUMBER(SEARCH($AS$70:$AZ$70,IFERROR(('Final Calculation Sheet'!$J$27)&amp;"","")))))&gt;0),IF(COUNTIF($BI$70:$BP$70,3)=0,TRUE,SUMPRODUCT(($BI$70:$BP$70=3)*($AS$70:$AZ$70&lt;&gt;"")*IF(((UPPER($AS$70:$AZ$70)="BLANK")+(UPPER($AS$70:$AZ$70)="(BLANK)")+(UPPER($AS$70:$AZ$70)="EMPTY")+(UPPER($AS$70:$AZ$70)="(EMPTY)"))&gt;0,IFERROR(('Final Calculation Sheet'!$J$27)&amp;"","")="",ISNUMBER(SEARCH($AS$70:$AZ$70,IFERROR(('Final Calculation Sheet'!$J$27)&amp;"","")))))&gt;0),IF(COUNTIF($BI$70:$BP$70,4)=0,TRUE,SUMPRODUCT(($BI$70:$BP$70=4)*($AS$70:$AZ$70&lt;&gt;"")*IF(((UPPER($AS$70:$AZ$70)="BLANK")+(UPPER($AS$70:$AZ$70)="(BLANK)")+(UPPER($AS$70:$AZ$70)="EMPTY")+(UPPER($AS$70:$AZ$70)="(EMPTY)"))&gt;0,IFERROR(('Final Calculation Sheet'!$J$27)&amp;"","")="",ISNUMBER(SEARCH($AS$70:$AZ$70,IFERROR(('Final Calculation Sheet'!$J$27)&amp;"","")))))&gt;0),IF(COUNTIF($BI$70:$BP$70,5)=0,TRUE,SUMPRODUCT(($BI$70:$BP$70=5)*($AS$70:$AZ$70&lt;&gt;"")*IF(((UPPER($AS$70:$AZ$70)="BLANK")+(UPPER($AS$70:$AZ$70)="(BLANK)")+(UPPER($AS$70:$AZ$70)="EMPTY")+(UPPER($AS$70:$AZ$70)="(EMPTY)"))&gt;0,IFERROR(('Final Calculation Sheet'!$J$27)&amp;"","")="",ISNUMBER(SEARCH($AS$70:$AZ$70,IFERROR(('Final Calculation Sheet'!$J$27)&amp;"","")))))&gt;0),IF(COUNTIF($BI$70:$BP$70,6)=0,TRUE,SUMPRODUCT(($BI$70:$BP$70=6)*($AS$70:$AZ$70&lt;&gt;"")*IF(((UPPER($AS$70:$AZ$70)="BLANK")+(UPPER($AS$70:$AZ$70)="(BLANK)")+(UPPER($AS$70:$AZ$70)="EMPTY")+(UPPER($AS$70:$AZ$70)="(EMPTY)"))&gt;0,IFERROR(('Final Calculation Sheet'!$J$27)&amp;"","")="",ISNUMBER(SEARCH($AS$70:$AZ$70,IFERROR(('Final Calculation Sheet'!$J$27)&amp;"","")))))&gt;0),IF(COUNTIF($BI$70:$BP$70,7)=0,TRUE,SUMPRODUCT(($BI$70:$BP$70=7)*($AS$70:$AZ$70&lt;&gt;"")*IF(((UPPER($AS$70:$AZ$70)="BLANK")+(UPPER($AS$70:$AZ$70)="(BLANK)")+(UPPER($AS$70:$AZ$70)="EMPTY")+(UPPER($AS$70:$AZ$70)="(EMPTY)"))&gt;0,IFERROR(('Final Calculation Sheet'!$J$27)&amp;"","")="",ISNUMBER(SEARCH($AS$70:$AZ$70,IFERROR(('Final Calculation Sheet'!$J$27)&amp;"","")))))&gt;0),IF(COUNTIF($BI$70:$BP$70,8)=0,TRUE,SUMPRODUCT(($BI$70:$BP$70=8)*($AS$70:$AZ$70&lt;&gt;"")*IF(((UPPER($AS$70:$AZ$70)="BLANK")+(UPPER($AS$70:$AZ$70)="(BLANK)")+(UPPER($AS$70:$AZ$70)="EMPTY")+(UPPER($AS$70:$AZ$70)="(EMPTY)"))&gt;0,IFERROR(('Final Calculation Sheet'!$J$27)&amp;"","")="",ISNUMBER(SEARCH($AS$70:$AZ$70,IFERROR(('Final Calculation Sheet'!$J$27)&amp;"","")))))&gt;0))))</f>
        <v>1</v>
      </c>
      <c r="BX28">
        <f>IF($L$4="",1,--(AND(SUMPRODUCT(--($AS$71:$AZ$71&lt;&gt;""))&gt;0,IF(COUNTIF($BI$71:$BP$71,1)=0,TRUE,SUMPRODUCT(($BI$71:$BP$71=1)*($AS$71:$AZ$71&lt;&gt;"")*IF(((UPPER($AS$71:$AZ$71)="BLANK")+(UPPER($AS$71:$AZ$71)="(BLANK)")+(UPPER($AS$71:$AZ$71)="EMPTY")+(UPPER($AS$71:$AZ$71)="(EMPTY)"))&gt;0,IFERROR(('Final Calculation Sheet'!$K$27)&amp;"","")="",ISNUMBER(SEARCH($AS$71:$AZ$71,IFERROR(('Final Calculation Sheet'!$K$27)&amp;"","")))))&gt;0),IF(COUNTIF($BI$71:$BP$71,2)=0,TRUE,SUMPRODUCT(($BI$71:$BP$71=2)*($AS$71:$AZ$71&lt;&gt;"")*IF(((UPPER($AS$71:$AZ$71)="BLANK")+(UPPER($AS$71:$AZ$71)="(BLANK)")+(UPPER($AS$71:$AZ$71)="EMPTY")+(UPPER($AS$71:$AZ$71)="(EMPTY)"))&gt;0,IFERROR(('Final Calculation Sheet'!$K$27)&amp;"","")="",ISNUMBER(SEARCH($AS$71:$AZ$71,IFERROR(('Final Calculation Sheet'!$K$27)&amp;"","")))))&gt;0),IF(COUNTIF($BI$71:$BP$71,3)=0,TRUE,SUMPRODUCT(($BI$71:$BP$71=3)*($AS$71:$AZ$71&lt;&gt;"")*IF(((UPPER($AS$71:$AZ$71)="BLANK")+(UPPER($AS$71:$AZ$71)="(BLANK)")+(UPPER($AS$71:$AZ$71)="EMPTY")+(UPPER($AS$71:$AZ$71)="(EMPTY)"))&gt;0,IFERROR(('Final Calculation Sheet'!$K$27)&amp;"","")="",ISNUMBER(SEARCH($AS$71:$AZ$71,IFERROR(('Final Calculation Sheet'!$K$27)&amp;"","")))))&gt;0),IF(COUNTIF($BI$71:$BP$71,4)=0,TRUE,SUMPRODUCT(($BI$71:$BP$71=4)*($AS$71:$AZ$71&lt;&gt;"")*IF(((UPPER($AS$71:$AZ$71)="BLANK")+(UPPER($AS$71:$AZ$71)="(BLANK)")+(UPPER($AS$71:$AZ$71)="EMPTY")+(UPPER($AS$71:$AZ$71)="(EMPTY)"))&gt;0,IFERROR(('Final Calculation Sheet'!$K$27)&amp;"","")="",ISNUMBER(SEARCH($AS$71:$AZ$71,IFERROR(('Final Calculation Sheet'!$K$27)&amp;"","")))))&gt;0),IF(COUNTIF($BI$71:$BP$71,5)=0,TRUE,SUMPRODUCT(($BI$71:$BP$71=5)*($AS$71:$AZ$71&lt;&gt;"")*IF(((UPPER($AS$71:$AZ$71)="BLANK")+(UPPER($AS$71:$AZ$71)="(BLANK)")+(UPPER($AS$71:$AZ$71)="EMPTY")+(UPPER($AS$71:$AZ$71)="(EMPTY)"))&gt;0,IFERROR(('Final Calculation Sheet'!$K$27)&amp;"","")="",ISNUMBER(SEARCH($AS$71:$AZ$71,IFERROR(('Final Calculation Sheet'!$K$27)&amp;"","")))))&gt;0),IF(COUNTIF($BI$71:$BP$71,6)=0,TRUE,SUMPRODUCT(($BI$71:$BP$71=6)*($AS$71:$AZ$71&lt;&gt;"")*IF(((UPPER($AS$71:$AZ$71)="BLANK")+(UPPER($AS$71:$AZ$71)="(BLANK)")+(UPPER($AS$71:$AZ$71)="EMPTY")+(UPPER($AS$71:$AZ$71)="(EMPTY)"))&gt;0,IFERROR(('Final Calculation Sheet'!$K$27)&amp;"","")="",ISNUMBER(SEARCH($AS$71:$AZ$71,IFERROR(('Final Calculation Sheet'!$K$27)&amp;"","")))))&gt;0),IF(COUNTIF($BI$71:$BP$71,7)=0,TRUE,SUMPRODUCT(($BI$71:$BP$71=7)*($AS$71:$AZ$71&lt;&gt;"")*IF(((UPPER($AS$71:$AZ$71)="BLANK")+(UPPER($AS$71:$AZ$71)="(BLANK)")+(UPPER($AS$71:$AZ$71)="EMPTY")+(UPPER($AS$71:$AZ$71)="(EMPTY)"))&gt;0,IFERROR(('Final Calculation Sheet'!$K$27)&amp;"","")="",ISNUMBER(SEARCH($AS$71:$AZ$71,IFERROR(('Final Calculation Sheet'!$K$27)&amp;"","")))))&gt;0),IF(COUNTIF($BI$71:$BP$71,8)=0,TRUE,SUMPRODUCT(($BI$71:$BP$71=8)*($AS$71:$AZ$71&lt;&gt;"")*IF(((UPPER($AS$71:$AZ$71)="BLANK")+(UPPER($AS$71:$AZ$71)="(BLANK)")+(UPPER($AS$71:$AZ$71)="EMPTY")+(UPPER($AS$71:$AZ$71)="(EMPTY)"))&gt;0,IFERROR(('Final Calculation Sheet'!$K$27)&amp;"","")="",ISNUMBER(SEARCH($AS$71:$AZ$71,IFERROR(('Final Calculation Sheet'!$K$27)&amp;"","")))))&gt;0))))</f>
        <v>1</v>
      </c>
      <c r="BY28">
        <f>IF($M$4="",1,--(AND(SUMPRODUCT(--($AS$72:$AZ$72&lt;&gt;""))&gt;0,IF(COUNTIF($BI$72:$BP$72,1)=0,TRUE,SUMPRODUCT(($BI$72:$BP$72=1)*($AS$72:$AZ$72&lt;&gt;"")*IF(((UPPER($AS$72:$AZ$72)="BLANK")+(UPPER($AS$72:$AZ$72)="(BLANK)")+(UPPER($AS$72:$AZ$72)="EMPTY")+(UPPER($AS$72:$AZ$72)="(EMPTY)"))&gt;0,IFERROR(('Final Calculation Sheet'!$L$27)&amp;"","")="",ISNUMBER(SEARCH($AS$72:$AZ$72,IFERROR(('Final Calculation Sheet'!$L$27)&amp;"","")))))&gt;0),IF(COUNTIF($BI$72:$BP$72,2)=0,TRUE,SUMPRODUCT(($BI$72:$BP$72=2)*($AS$72:$AZ$72&lt;&gt;"")*IF(((UPPER($AS$72:$AZ$72)="BLANK")+(UPPER($AS$72:$AZ$72)="(BLANK)")+(UPPER($AS$72:$AZ$72)="EMPTY")+(UPPER($AS$72:$AZ$72)="(EMPTY)"))&gt;0,IFERROR(('Final Calculation Sheet'!$L$27)&amp;"","")="",ISNUMBER(SEARCH($AS$72:$AZ$72,IFERROR(('Final Calculation Sheet'!$L$27)&amp;"","")))))&gt;0),IF(COUNTIF($BI$72:$BP$72,3)=0,TRUE,SUMPRODUCT(($BI$72:$BP$72=3)*($AS$72:$AZ$72&lt;&gt;"")*IF(((UPPER($AS$72:$AZ$72)="BLANK")+(UPPER($AS$72:$AZ$72)="(BLANK)")+(UPPER($AS$72:$AZ$72)="EMPTY")+(UPPER($AS$72:$AZ$72)="(EMPTY)"))&gt;0,IFERROR(('Final Calculation Sheet'!$L$27)&amp;"","")="",ISNUMBER(SEARCH($AS$72:$AZ$72,IFERROR(('Final Calculation Sheet'!$L$27)&amp;"","")))))&gt;0),IF(COUNTIF($BI$72:$BP$72,4)=0,TRUE,SUMPRODUCT(($BI$72:$BP$72=4)*($AS$72:$AZ$72&lt;&gt;"")*IF(((UPPER($AS$72:$AZ$72)="BLANK")+(UPPER($AS$72:$AZ$72)="(BLANK)")+(UPPER($AS$72:$AZ$72)="EMPTY")+(UPPER($AS$72:$AZ$72)="(EMPTY)"))&gt;0,IFERROR(('Final Calculation Sheet'!$L$27)&amp;"","")="",ISNUMBER(SEARCH($AS$72:$AZ$72,IFERROR(('Final Calculation Sheet'!$L$27)&amp;"","")))))&gt;0),IF(COUNTIF($BI$72:$BP$72,5)=0,TRUE,SUMPRODUCT(($BI$72:$BP$72=5)*($AS$72:$AZ$72&lt;&gt;"")*IF(((UPPER($AS$72:$AZ$72)="BLANK")+(UPPER($AS$72:$AZ$72)="(BLANK)")+(UPPER($AS$72:$AZ$72)="EMPTY")+(UPPER($AS$72:$AZ$72)="(EMPTY)"))&gt;0,IFERROR(('Final Calculation Sheet'!$L$27)&amp;"","")="",ISNUMBER(SEARCH($AS$72:$AZ$72,IFERROR(('Final Calculation Sheet'!$L$27)&amp;"","")))))&gt;0),IF(COUNTIF($BI$72:$BP$72,6)=0,TRUE,SUMPRODUCT(($BI$72:$BP$72=6)*($AS$72:$AZ$72&lt;&gt;"")*IF(((UPPER($AS$72:$AZ$72)="BLANK")+(UPPER($AS$72:$AZ$72)="(BLANK)")+(UPPER($AS$72:$AZ$72)="EMPTY")+(UPPER($AS$72:$AZ$72)="(EMPTY)"))&gt;0,IFERROR(('Final Calculation Sheet'!$L$27)&amp;"","")="",ISNUMBER(SEARCH($AS$72:$AZ$72,IFERROR(('Final Calculation Sheet'!$L$27)&amp;"","")))))&gt;0),IF(COUNTIF($BI$72:$BP$72,7)=0,TRUE,SUMPRODUCT(($BI$72:$BP$72=7)*($AS$72:$AZ$72&lt;&gt;"")*IF(((UPPER($AS$72:$AZ$72)="BLANK")+(UPPER($AS$72:$AZ$72)="(BLANK)")+(UPPER($AS$72:$AZ$72)="EMPTY")+(UPPER($AS$72:$AZ$72)="(EMPTY)"))&gt;0,IFERROR(('Final Calculation Sheet'!$L$27)&amp;"","")="",ISNUMBER(SEARCH($AS$72:$AZ$72,IFERROR(('Final Calculation Sheet'!$L$27)&amp;"","")))))&gt;0),IF(COUNTIF($BI$72:$BP$72,8)=0,TRUE,SUMPRODUCT(($BI$72:$BP$72=8)*($AS$72:$AZ$72&lt;&gt;"")*IF(((UPPER($AS$72:$AZ$72)="BLANK")+(UPPER($AS$72:$AZ$72)="(BLANK)")+(UPPER($AS$72:$AZ$72)="EMPTY")+(UPPER($AS$72:$AZ$72)="(EMPTY)"))&gt;0,IFERROR(('Final Calculation Sheet'!$L$27)&amp;"","")="",ISNUMBER(SEARCH($AS$72:$AZ$72,IFERROR(('Final Calculation Sheet'!$L$27)&amp;"","")))))&gt;0))))</f>
        <v>1</v>
      </c>
      <c r="BZ28">
        <f>IF($N$4="",1,--(AND(SUMPRODUCT(--($AS$73:$AZ$73&lt;&gt;""))&gt;0,IF(COUNTIF($BI$73:$BP$73,1)=0,TRUE,SUMPRODUCT(($BI$73:$BP$73=1)*($AS$73:$AZ$73&lt;&gt;"")*IF(((UPPER($AS$73:$AZ$73)="BLANK")+(UPPER($AS$73:$AZ$73)="(BLANK)")+(UPPER($AS$73:$AZ$73)="EMPTY")+(UPPER($AS$73:$AZ$73)="(EMPTY)"))&gt;0,IFERROR(('Final Calculation Sheet'!$M$27)&amp;"","")="",ISNUMBER(SEARCH($AS$73:$AZ$73,IFERROR(('Final Calculation Sheet'!$M$27)&amp;"","")))))&gt;0),IF(COUNTIF($BI$73:$BP$73,2)=0,TRUE,SUMPRODUCT(($BI$73:$BP$73=2)*($AS$73:$AZ$73&lt;&gt;"")*IF(((UPPER($AS$73:$AZ$73)="BLANK")+(UPPER($AS$73:$AZ$73)="(BLANK)")+(UPPER($AS$73:$AZ$73)="EMPTY")+(UPPER($AS$73:$AZ$73)="(EMPTY)"))&gt;0,IFERROR(('Final Calculation Sheet'!$M$27)&amp;"","")="",ISNUMBER(SEARCH($AS$73:$AZ$73,IFERROR(('Final Calculation Sheet'!$M$27)&amp;"","")))))&gt;0),IF(COUNTIF($BI$73:$BP$73,3)=0,TRUE,SUMPRODUCT(($BI$73:$BP$73=3)*($AS$73:$AZ$73&lt;&gt;"")*IF(((UPPER($AS$73:$AZ$73)="BLANK")+(UPPER($AS$73:$AZ$73)="(BLANK)")+(UPPER($AS$73:$AZ$73)="EMPTY")+(UPPER($AS$73:$AZ$73)="(EMPTY)"))&gt;0,IFERROR(('Final Calculation Sheet'!$M$27)&amp;"","")="",ISNUMBER(SEARCH($AS$73:$AZ$73,IFERROR(('Final Calculation Sheet'!$M$27)&amp;"","")))))&gt;0),IF(COUNTIF($BI$73:$BP$73,4)=0,TRUE,SUMPRODUCT(($BI$73:$BP$73=4)*($AS$73:$AZ$73&lt;&gt;"")*IF(((UPPER($AS$73:$AZ$73)="BLANK")+(UPPER($AS$73:$AZ$73)="(BLANK)")+(UPPER($AS$73:$AZ$73)="EMPTY")+(UPPER($AS$73:$AZ$73)="(EMPTY)"))&gt;0,IFERROR(('Final Calculation Sheet'!$M$27)&amp;"","")="",ISNUMBER(SEARCH($AS$73:$AZ$73,IFERROR(('Final Calculation Sheet'!$M$27)&amp;"","")))))&gt;0),IF(COUNTIF($BI$73:$BP$73,5)=0,TRUE,SUMPRODUCT(($BI$73:$BP$73=5)*($AS$73:$AZ$73&lt;&gt;"")*IF(((UPPER($AS$73:$AZ$73)="BLANK")+(UPPER($AS$73:$AZ$73)="(BLANK)")+(UPPER($AS$73:$AZ$73)="EMPTY")+(UPPER($AS$73:$AZ$73)="(EMPTY)"))&gt;0,IFERROR(('Final Calculation Sheet'!$M$27)&amp;"","")="",ISNUMBER(SEARCH($AS$73:$AZ$73,IFERROR(('Final Calculation Sheet'!$M$27)&amp;"","")))))&gt;0),IF(COUNTIF($BI$73:$BP$73,6)=0,TRUE,SUMPRODUCT(($BI$73:$BP$73=6)*($AS$73:$AZ$73&lt;&gt;"")*IF(((UPPER($AS$73:$AZ$73)="BLANK")+(UPPER($AS$73:$AZ$73)="(BLANK)")+(UPPER($AS$73:$AZ$73)="EMPTY")+(UPPER($AS$73:$AZ$73)="(EMPTY)"))&gt;0,IFERROR(('Final Calculation Sheet'!$M$27)&amp;"","")="",ISNUMBER(SEARCH($AS$73:$AZ$73,IFERROR(('Final Calculation Sheet'!$M$27)&amp;"","")))))&gt;0),IF(COUNTIF($BI$73:$BP$73,7)=0,TRUE,SUMPRODUCT(($BI$73:$BP$73=7)*($AS$73:$AZ$73&lt;&gt;"")*IF(((UPPER($AS$73:$AZ$73)="BLANK")+(UPPER($AS$73:$AZ$73)="(BLANK)")+(UPPER($AS$73:$AZ$73)="EMPTY")+(UPPER($AS$73:$AZ$73)="(EMPTY)"))&gt;0,IFERROR(('Final Calculation Sheet'!$M$27)&amp;"","")="",ISNUMBER(SEARCH($AS$73:$AZ$73,IFERROR(('Final Calculation Sheet'!$M$27)&amp;"","")))))&gt;0),IF(COUNTIF($BI$73:$BP$73,8)=0,TRUE,SUMPRODUCT(($BI$73:$BP$73=8)*($AS$73:$AZ$73&lt;&gt;"")*IF(((UPPER($AS$73:$AZ$73)="BLANK")+(UPPER($AS$73:$AZ$73)="(BLANK)")+(UPPER($AS$73:$AZ$73)="EMPTY")+(UPPER($AS$73:$AZ$73)="(EMPTY)"))&gt;0,IFERROR(('Final Calculation Sheet'!$M$27)&amp;"","")="",ISNUMBER(SEARCH($AS$73:$AZ$73,IFERROR(('Final Calculation Sheet'!$M$27)&amp;"","")))))&gt;0))))</f>
        <v>1</v>
      </c>
      <c r="CA28">
        <f>IF($O$4="",1,--(AND(SUMPRODUCT(--($AS$74:$AZ$74&lt;&gt;""))&gt;0,IF(COUNTIF($BI$74:$BP$74,1)=0,TRUE,SUMPRODUCT(($BI$74:$BP$74=1)*($AS$74:$AZ$74&lt;&gt;"")*IF(((UPPER($AS$74:$AZ$74)="BLANK")+(UPPER($AS$74:$AZ$74)="(BLANK)")+(UPPER($AS$74:$AZ$74)="EMPTY")+(UPPER($AS$74:$AZ$74)="(EMPTY)"))&gt;0,IFERROR(('Final Calculation Sheet'!$N$27)&amp;"","")="",ISNUMBER(SEARCH($AS$74:$AZ$74,IFERROR(('Final Calculation Sheet'!$N$27)&amp;"","")))))&gt;0),IF(COUNTIF($BI$74:$BP$74,2)=0,TRUE,SUMPRODUCT(($BI$74:$BP$74=2)*($AS$74:$AZ$74&lt;&gt;"")*IF(((UPPER($AS$74:$AZ$74)="BLANK")+(UPPER($AS$74:$AZ$74)="(BLANK)")+(UPPER($AS$74:$AZ$74)="EMPTY")+(UPPER($AS$74:$AZ$74)="(EMPTY)"))&gt;0,IFERROR(('Final Calculation Sheet'!$N$27)&amp;"","")="",ISNUMBER(SEARCH($AS$74:$AZ$74,IFERROR(('Final Calculation Sheet'!$N$27)&amp;"","")))))&gt;0),IF(COUNTIF($BI$74:$BP$74,3)=0,TRUE,SUMPRODUCT(($BI$74:$BP$74=3)*($AS$74:$AZ$74&lt;&gt;"")*IF(((UPPER($AS$74:$AZ$74)="BLANK")+(UPPER($AS$74:$AZ$74)="(BLANK)")+(UPPER($AS$74:$AZ$74)="EMPTY")+(UPPER($AS$74:$AZ$74)="(EMPTY)"))&gt;0,IFERROR(('Final Calculation Sheet'!$N$27)&amp;"","")="",ISNUMBER(SEARCH($AS$74:$AZ$74,IFERROR(('Final Calculation Sheet'!$N$27)&amp;"","")))))&gt;0),IF(COUNTIF($BI$74:$BP$74,4)=0,TRUE,SUMPRODUCT(($BI$74:$BP$74=4)*($AS$74:$AZ$74&lt;&gt;"")*IF(((UPPER($AS$74:$AZ$74)="BLANK")+(UPPER($AS$74:$AZ$74)="(BLANK)")+(UPPER($AS$74:$AZ$74)="EMPTY")+(UPPER($AS$74:$AZ$74)="(EMPTY)"))&gt;0,IFERROR(('Final Calculation Sheet'!$N$27)&amp;"","")="",ISNUMBER(SEARCH($AS$74:$AZ$74,IFERROR(('Final Calculation Sheet'!$N$27)&amp;"","")))))&gt;0),IF(COUNTIF($BI$74:$BP$74,5)=0,TRUE,SUMPRODUCT(($BI$74:$BP$74=5)*($AS$74:$AZ$74&lt;&gt;"")*IF(((UPPER($AS$74:$AZ$74)="BLANK")+(UPPER($AS$74:$AZ$74)="(BLANK)")+(UPPER($AS$74:$AZ$74)="EMPTY")+(UPPER($AS$74:$AZ$74)="(EMPTY)"))&gt;0,IFERROR(('Final Calculation Sheet'!$N$27)&amp;"","")="",ISNUMBER(SEARCH($AS$74:$AZ$74,IFERROR(('Final Calculation Sheet'!$N$27)&amp;"","")))))&gt;0),IF(COUNTIF($BI$74:$BP$74,6)=0,TRUE,SUMPRODUCT(($BI$74:$BP$74=6)*($AS$74:$AZ$74&lt;&gt;"")*IF(((UPPER($AS$74:$AZ$74)="BLANK")+(UPPER($AS$74:$AZ$74)="(BLANK)")+(UPPER($AS$74:$AZ$74)="EMPTY")+(UPPER($AS$74:$AZ$74)="(EMPTY)"))&gt;0,IFERROR(('Final Calculation Sheet'!$N$27)&amp;"","")="",ISNUMBER(SEARCH($AS$74:$AZ$74,IFERROR(('Final Calculation Sheet'!$N$27)&amp;"","")))))&gt;0),IF(COUNTIF($BI$74:$BP$74,7)=0,TRUE,SUMPRODUCT(($BI$74:$BP$74=7)*($AS$74:$AZ$74&lt;&gt;"")*IF(((UPPER($AS$74:$AZ$74)="BLANK")+(UPPER($AS$74:$AZ$74)="(BLANK)")+(UPPER($AS$74:$AZ$74)="EMPTY")+(UPPER($AS$74:$AZ$74)="(EMPTY)"))&gt;0,IFERROR(('Final Calculation Sheet'!$N$27)&amp;"","")="",ISNUMBER(SEARCH($AS$74:$AZ$74,IFERROR(('Final Calculation Sheet'!$N$27)&amp;"","")))))&gt;0),IF(COUNTIF($BI$74:$BP$74,8)=0,TRUE,SUMPRODUCT(($BI$74:$BP$74=8)*($AS$74:$AZ$74&lt;&gt;"")*IF(((UPPER($AS$74:$AZ$74)="BLANK")+(UPPER($AS$74:$AZ$74)="(BLANK)")+(UPPER($AS$74:$AZ$74)="EMPTY")+(UPPER($AS$74:$AZ$74)="(EMPTY)"))&gt;0,IFERROR(('Final Calculation Sheet'!$N$27)&amp;"","")="",ISNUMBER(SEARCH($AS$74:$AZ$74,IFERROR(('Final Calculation Sheet'!$N$27)&amp;"","")))))&gt;0))))</f>
        <v>1</v>
      </c>
      <c r="CB28">
        <f>IF($P$4="",1,--(AND(SUMPRODUCT(--($AS$75:$AZ$75&lt;&gt;""))&gt;0,IF(COUNTIF($BI$75:$BP$75,1)=0,TRUE,SUMPRODUCT(($BI$75:$BP$75=1)*($AS$75:$AZ$75&lt;&gt;"")*IF(((UPPER($AS$75:$AZ$75)="BLANK")+(UPPER($AS$75:$AZ$75)="(BLANK)")+(UPPER($AS$75:$AZ$75)="EMPTY")+(UPPER($AS$75:$AZ$75)="(EMPTY)"))&gt;0,IFERROR(('Final Calculation Sheet'!$O$27)&amp;"","")="",ISNUMBER(SEARCH($AS$75:$AZ$75,IFERROR(('Final Calculation Sheet'!$O$27)&amp;"","")))))&gt;0),IF(COUNTIF($BI$75:$BP$75,2)=0,TRUE,SUMPRODUCT(($BI$75:$BP$75=2)*($AS$75:$AZ$75&lt;&gt;"")*IF(((UPPER($AS$75:$AZ$75)="BLANK")+(UPPER($AS$75:$AZ$75)="(BLANK)")+(UPPER($AS$75:$AZ$75)="EMPTY")+(UPPER($AS$75:$AZ$75)="(EMPTY)"))&gt;0,IFERROR(('Final Calculation Sheet'!$O$27)&amp;"","")="",ISNUMBER(SEARCH($AS$75:$AZ$75,IFERROR(('Final Calculation Sheet'!$O$27)&amp;"","")))))&gt;0),IF(COUNTIF($BI$75:$BP$75,3)=0,TRUE,SUMPRODUCT(($BI$75:$BP$75=3)*($AS$75:$AZ$75&lt;&gt;"")*IF(((UPPER($AS$75:$AZ$75)="BLANK")+(UPPER($AS$75:$AZ$75)="(BLANK)")+(UPPER($AS$75:$AZ$75)="EMPTY")+(UPPER($AS$75:$AZ$75)="(EMPTY)"))&gt;0,IFERROR(('Final Calculation Sheet'!$O$27)&amp;"","")="",ISNUMBER(SEARCH($AS$75:$AZ$75,IFERROR(('Final Calculation Sheet'!$O$27)&amp;"","")))))&gt;0),IF(COUNTIF($BI$75:$BP$75,4)=0,TRUE,SUMPRODUCT(($BI$75:$BP$75=4)*($AS$75:$AZ$75&lt;&gt;"")*IF(((UPPER($AS$75:$AZ$75)="BLANK")+(UPPER($AS$75:$AZ$75)="(BLANK)")+(UPPER($AS$75:$AZ$75)="EMPTY")+(UPPER($AS$75:$AZ$75)="(EMPTY)"))&gt;0,IFERROR(('Final Calculation Sheet'!$O$27)&amp;"","")="",ISNUMBER(SEARCH($AS$75:$AZ$75,IFERROR(('Final Calculation Sheet'!$O$27)&amp;"","")))))&gt;0),IF(COUNTIF($BI$75:$BP$75,5)=0,TRUE,SUMPRODUCT(($BI$75:$BP$75=5)*($AS$75:$AZ$75&lt;&gt;"")*IF(((UPPER($AS$75:$AZ$75)="BLANK")+(UPPER($AS$75:$AZ$75)="(BLANK)")+(UPPER($AS$75:$AZ$75)="EMPTY")+(UPPER($AS$75:$AZ$75)="(EMPTY)"))&gt;0,IFERROR(('Final Calculation Sheet'!$O$27)&amp;"","")="",ISNUMBER(SEARCH($AS$75:$AZ$75,IFERROR(('Final Calculation Sheet'!$O$27)&amp;"","")))))&gt;0),IF(COUNTIF($BI$75:$BP$75,6)=0,TRUE,SUMPRODUCT(($BI$75:$BP$75=6)*($AS$75:$AZ$75&lt;&gt;"")*IF(((UPPER($AS$75:$AZ$75)="BLANK")+(UPPER($AS$75:$AZ$75)="(BLANK)")+(UPPER($AS$75:$AZ$75)="EMPTY")+(UPPER($AS$75:$AZ$75)="(EMPTY)"))&gt;0,IFERROR(('Final Calculation Sheet'!$O$27)&amp;"","")="",ISNUMBER(SEARCH($AS$75:$AZ$75,IFERROR(('Final Calculation Sheet'!$O$27)&amp;"","")))))&gt;0),IF(COUNTIF($BI$75:$BP$75,7)=0,TRUE,SUMPRODUCT(($BI$75:$BP$75=7)*($AS$75:$AZ$75&lt;&gt;"")*IF(((UPPER($AS$75:$AZ$75)="BLANK")+(UPPER($AS$75:$AZ$75)="(BLANK)")+(UPPER($AS$75:$AZ$75)="EMPTY")+(UPPER($AS$75:$AZ$75)="(EMPTY)"))&gt;0,IFERROR(('Final Calculation Sheet'!$O$27)&amp;"","")="",ISNUMBER(SEARCH($AS$75:$AZ$75,IFERROR(('Final Calculation Sheet'!$O$27)&amp;"","")))))&gt;0),IF(COUNTIF($BI$75:$BP$75,8)=0,TRUE,SUMPRODUCT(($BI$75:$BP$75=8)*($AS$75:$AZ$75&lt;&gt;"")*IF(((UPPER($AS$75:$AZ$75)="BLANK")+(UPPER($AS$75:$AZ$75)="(BLANK)")+(UPPER($AS$75:$AZ$75)="EMPTY")+(UPPER($AS$75:$AZ$75)="(EMPTY)"))&gt;0,IFERROR(('Final Calculation Sheet'!$O$27)&amp;"","")="",ISNUMBER(SEARCH($AS$75:$AZ$75,IFERROR(('Final Calculation Sheet'!$O$27)&amp;"","")))))&gt;0))))</f>
        <v>1</v>
      </c>
      <c r="CC28">
        <f>IF($Q$4="",1,--(AND(SUMPRODUCT(--($AS$76:$AZ$76&lt;&gt;""))&gt;0,IF(COUNTIF($BI$76:$BP$76,1)=0,TRUE,SUMPRODUCT(($BI$76:$BP$76=1)*($AS$76:$AZ$76&lt;&gt;"")*IF(((UPPER($AS$76:$AZ$76)="BLANK")+(UPPER($AS$76:$AZ$76)="(BLANK)")+(UPPER($AS$76:$AZ$76)="EMPTY")+(UPPER($AS$76:$AZ$76)="(EMPTY)"))&gt;0,IFERROR(('Final Calculation Sheet'!$P$27)&amp;"","")="",ISNUMBER(SEARCH($AS$76:$AZ$76,IFERROR(('Final Calculation Sheet'!$P$27)&amp;"","")))))&gt;0),IF(COUNTIF($BI$76:$BP$76,2)=0,TRUE,SUMPRODUCT(($BI$76:$BP$76=2)*($AS$76:$AZ$76&lt;&gt;"")*IF(((UPPER($AS$76:$AZ$76)="BLANK")+(UPPER($AS$76:$AZ$76)="(BLANK)")+(UPPER($AS$76:$AZ$76)="EMPTY")+(UPPER($AS$76:$AZ$76)="(EMPTY)"))&gt;0,IFERROR(('Final Calculation Sheet'!$P$27)&amp;"","")="",ISNUMBER(SEARCH($AS$76:$AZ$76,IFERROR(('Final Calculation Sheet'!$P$27)&amp;"","")))))&gt;0),IF(COUNTIF($BI$76:$BP$76,3)=0,TRUE,SUMPRODUCT(($BI$76:$BP$76=3)*($AS$76:$AZ$76&lt;&gt;"")*IF(((UPPER($AS$76:$AZ$76)="BLANK")+(UPPER($AS$76:$AZ$76)="(BLANK)")+(UPPER($AS$76:$AZ$76)="EMPTY")+(UPPER($AS$76:$AZ$76)="(EMPTY)"))&gt;0,IFERROR(('Final Calculation Sheet'!$P$27)&amp;"","")="",ISNUMBER(SEARCH($AS$76:$AZ$76,IFERROR(('Final Calculation Sheet'!$P$27)&amp;"","")))))&gt;0),IF(COUNTIF($BI$76:$BP$76,4)=0,TRUE,SUMPRODUCT(($BI$76:$BP$76=4)*($AS$76:$AZ$76&lt;&gt;"")*IF(((UPPER($AS$76:$AZ$76)="BLANK")+(UPPER($AS$76:$AZ$76)="(BLANK)")+(UPPER($AS$76:$AZ$76)="EMPTY")+(UPPER($AS$76:$AZ$76)="(EMPTY)"))&gt;0,IFERROR(('Final Calculation Sheet'!$P$27)&amp;"","")="",ISNUMBER(SEARCH($AS$76:$AZ$76,IFERROR(('Final Calculation Sheet'!$P$27)&amp;"","")))))&gt;0),IF(COUNTIF($BI$76:$BP$76,5)=0,TRUE,SUMPRODUCT(($BI$76:$BP$76=5)*($AS$76:$AZ$76&lt;&gt;"")*IF(((UPPER($AS$76:$AZ$76)="BLANK")+(UPPER($AS$76:$AZ$76)="(BLANK)")+(UPPER($AS$76:$AZ$76)="EMPTY")+(UPPER($AS$76:$AZ$76)="(EMPTY)"))&gt;0,IFERROR(('Final Calculation Sheet'!$P$27)&amp;"","")="",ISNUMBER(SEARCH($AS$76:$AZ$76,IFERROR(('Final Calculation Sheet'!$P$27)&amp;"","")))))&gt;0),IF(COUNTIF($BI$76:$BP$76,6)=0,TRUE,SUMPRODUCT(($BI$76:$BP$76=6)*($AS$76:$AZ$76&lt;&gt;"")*IF(((UPPER($AS$76:$AZ$76)="BLANK")+(UPPER($AS$76:$AZ$76)="(BLANK)")+(UPPER($AS$76:$AZ$76)="EMPTY")+(UPPER($AS$76:$AZ$76)="(EMPTY)"))&gt;0,IFERROR(('Final Calculation Sheet'!$P$27)&amp;"","")="",ISNUMBER(SEARCH($AS$76:$AZ$76,IFERROR(('Final Calculation Sheet'!$P$27)&amp;"","")))))&gt;0),IF(COUNTIF($BI$76:$BP$76,7)=0,TRUE,SUMPRODUCT(($BI$76:$BP$76=7)*($AS$76:$AZ$76&lt;&gt;"")*IF(((UPPER($AS$76:$AZ$76)="BLANK")+(UPPER($AS$76:$AZ$76)="(BLANK)")+(UPPER($AS$76:$AZ$76)="EMPTY")+(UPPER($AS$76:$AZ$76)="(EMPTY)"))&gt;0,IFERROR(('Final Calculation Sheet'!$P$27)&amp;"","")="",ISNUMBER(SEARCH($AS$76:$AZ$76,IFERROR(('Final Calculation Sheet'!$P$27)&amp;"","")))))&gt;0),IF(COUNTIF($BI$76:$BP$76,8)=0,TRUE,SUMPRODUCT(($BI$76:$BP$76=8)*($AS$76:$AZ$76&lt;&gt;"")*IF(((UPPER($AS$76:$AZ$76)="BLANK")+(UPPER($AS$76:$AZ$76)="(BLANK)")+(UPPER($AS$76:$AZ$76)="EMPTY")+(UPPER($AS$76:$AZ$76)="(EMPTY)"))&gt;0,IFERROR(('Final Calculation Sheet'!$P$27)&amp;"","")="",ISNUMBER(SEARCH($AS$76:$AZ$76,IFERROR(('Final Calculation Sheet'!$P$27)&amp;"","")))))&gt;0))))</f>
        <v>1</v>
      </c>
      <c r="CD28">
        <f>IF($R$4="",1,--(AND(SUMPRODUCT(--($AS$77:$AZ$77&lt;&gt;""))&gt;0,IF(COUNTIF($BI$77:$BP$77,1)=0,TRUE,SUMPRODUCT(($BI$77:$BP$77=1)*($AS$77:$AZ$77&lt;&gt;"")*IF(((UPPER($AS$77:$AZ$77)="BLANK")+(UPPER($AS$77:$AZ$77)="(BLANK)")+(UPPER($AS$77:$AZ$77)="EMPTY")+(UPPER($AS$77:$AZ$77)="(EMPTY)"))&gt;0,IFERROR(('Final Calculation Sheet'!$Q$27)&amp;"","")="",ISNUMBER(SEARCH($AS$77:$AZ$77,IFERROR(('Final Calculation Sheet'!$Q$27)&amp;"","")))))&gt;0),IF(COUNTIF($BI$77:$BP$77,2)=0,TRUE,SUMPRODUCT(($BI$77:$BP$77=2)*($AS$77:$AZ$77&lt;&gt;"")*IF(((UPPER($AS$77:$AZ$77)="BLANK")+(UPPER($AS$77:$AZ$77)="(BLANK)")+(UPPER($AS$77:$AZ$77)="EMPTY")+(UPPER($AS$77:$AZ$77)="(EMPTY)"))&gt;0,IFERROR(('Final Calculation Sheet'!$Q$27)&amp;"","")="",ISNUMBER(SEARCH($AS$77:$AZ$77,IFERROR(('Final Calculation Sheet'!$Q$27)&amp;"","")))))&gt;0),IF(COUNTIF($BI$77:$BP$77,3)=0,TRUE,SUMPRODUCT(($BI$77:$BP$77=3)*($AS$77:$AZ$77&lt;&gt;"")*IF(((UPPER($AS$77:$AZ$77)="BLANK")+(UPPER($AS$77:$AZ$77)="(BLANK)")+(UPPER($AS$77:$AZ$77)="EMPTY")+(UPPER($AS$77:$AZ$77)="(EMPTY)"))&gt;0,IFERROR(('Final Calculation Sheet'!$Q$27)&amp;"","")="",ISNUMBER(SEARCH($AS$77:$AZ$77,IFERROR(('Final Calculation Sheet'!$Q$27)&amp;"","")))))&gt;0),IF(COUNTIF($BI$77:$BP$77,4)=0,TRUE,SUMPRODUCT(($BI$77:$BP$77=4)*($AS$77:$AZ$77&lt;&gt;"")*IF(((UPPER($AS$77:$AZ$77)="BLANK")+(UPPER($AS$77:$AZ$77)="(BLANK)")+(UPPER($AS$77:$AZ$77)="EMPTY")+(UPPER($AS$77:$AZ$77)="(EMPTY)"))&gt;0,IFERROR(('Final Calculation Sheet'!$Q$27)&amp;"","")="",ISNUMBER(SEARCH($AS$77:$AZ$77,IFERROR(('Final Calculation Sheet'!$Q$27)&amp;"","")))))&gt;0),IF(COUNTIF($BI$77:$BP$77,5)=0,TRUE,SUMPRODUCT(($BI$77:$BP$77=5)*($AS$77:$AZ$77&lt;&gt;"")*IF(((UPPER($AS$77:$AZ$77)="BLANK")+(UPPER($AS$77:$AZ$77)="(BLANK)")+(UPPER($AS$77:$AZ$77)="EMPTY")+(UPPER($AS$77:$AZ$77)="(EMPTY)"))&gt;0,IFERROR(('Final Calculation Sheet'!$Q$27)&amp;"","")="",ISNUMBER(SEARCH($AS$77:$AZ$77,IFERROR(('Final Calculation Sheet'!$Q$27)&amp;"","")))))&gt;0),IF(COUNTIF($BI$77:$BP$77,6)=0,TRUE,SUMPRODUCT(($BI$77:$BP$77=6)*($AS$77:$AZ$77&lt;&gt;"")*IF(((UPPER($AS$77:$AZ$77)="BLANK")+(UPPER($AS$77:$AZ$77)="(BLANK)")+(UPPER($AS$77:$AZ$77)="EMPTY")+(UPPER($AS$77:$AZ$77)="(EMPTY)"))&gt;0,IFERROR(('Final Calculation Sheet'!$Q$27)&amp;"","")="",ISNUMBER(SEARCH($AS$77:$AZ$77,IFERROR(('Final Calculation Sheet'!$Q$27)&amp;"","")))))&gt;0),IF(COUNTIF($BI$77:$BP$77,7)=0,TRUE,SUMPRODUCT(($BI$77:$BP$77=7)*($AS$77:$AZ$77&lt;&gt;"")*IF(((UPPER($AS$77:$AZ$77)="BLANK")+(UPPER($AS$77:$AZ$77)="(BLANK)")+(UPPER($AS$77:$AZ$77)="EMPTY")+(UPPER($AS$77:$AZ$77)="(EMPTY)"))&gt;0,IFERROR(('Final Calculation Sheet'!$Q$27)&amp;"","")="",ISNUMBER(SEARCH($AS$77:$AZ$77,IFERROR(('Final Calculation Sheet'!$Q$27)&amp;"","")))))&gt;0),IF(COUNTIF($BI$77:$BP$77,8)=0,TRUE,SUMPRODUCT(($BI$77:$BP$77=8)*($AS$77:$AZ$77&lt;&gt;"")*IF(((UPPER($AS$77:$AZ$77)="BLANK")+(UPPER($AS$77:$AZ$77)="(BLANK)")+(UPPER($AS$77:$AZ$77)="EMPTY")+(UPPER($AS$77:$AZ$77)="(EMPTY)"))&gt;0,IFERROR(('Final Calculation Sheet'!$Q$27)&amp;"","")="",ISNUMBER(SEARCH($AS$77:$AZ$77,IFERROR(('Final Calculation Sheet'!$Q$27)&amp;"","")))))&gt;0))))</f>
        <v>1</v>
      </c>
      <c r="CE28">
        <f>IF($S$4="",1,--(AND(SUMPRODUCT(--($AS$78:$AZ$78&lt;&gt;""))&gt;0,IF(COUNTIF($BI$78:$BP$78,1)=0,TRUE,SUMPRODUCT(($BI$78:$BP$78=1)*($AS$78:$AZ$78&lt;&gt;"")*IF(((UPPER($AS$78:$AZ$78)="BLANK")+(UPPER($AS$78:$AZ$78)="(BLANK)")+(UPPER($AS$78:$AZ$78)="EMPTY")+(UPPER($AS$78:$AZ$78)="(EMPTY)"))&gt;0,IFERROR(('Final Calculation Sheet'!$R$27)&amp;"","")="",ISNUMBER(SEARCH($AS$78:$AZ$78,IFERROR(('Final Calculation Sheet'!$R$27)&amp;"","")))))&gt;0),IF(COUNTIF($BI$78:$BP$78,2)=0,TRUE,SUMPRODUCT(($BI$78:$BP$78=2)*($AS$78:$AZ$78&lt;&gt;"")*IF(((UPPER($AS$78:$AZ$78)="BLANK")+(UPPER($AS$78:$AZ$78)="(BLANK)")+(UPPER($AS$78:$AZ$78)="EMPTY")+(UPPER($AS$78:$AZ$78)="(EMPTY)"))&gt;0,IFERROR(('Final Calculation Sheet'!$R$27)&amp;"","")="",ISNUMBER(SEARCH($AS$78:$AZ$78,IFERROR(('Final Calculation Sheet'!$R$27)&amp;"","")))))&gt;0),IF(COUNTIF($BI$78:$BP$78,3)=0,TRUE,SUMPRODUCT(($BI$78:$BP$78=3)*($AS$78:$AZ$78&lt;&gt;"")*IF(((UPPER($AS$78:$AZ$78)="BLANK")+(UPPER($AS$78:$AZ$78)="(BLANK)")+(UPPER($AS$78:$AZ$78)="EMPTY")+(UPPER($AS$78:$AZ$78)="(EMPTY)"))&gt;0,IFERROR(('Final Calculation Sheet'!$R$27)&amp;"","")="",ISNUMBER(SEARCH($AS$78:$AZ$78,IFERROR(('Final Calculation Sheet'!$R$27)&amp;"","")))))&gt;0),IF(COUNTIF($BI$78:$BP$78,4)=0,TRUE,SUMPRODUCT(($BI$78:$BP$78=4)*($AS$78:$AZ$78&lt;&gt;"")*IF(((UPPER($AS$78:$AZ$78)="BLANK")+(UPPER($AS$78:$AZ$78)="(BLANK)")+(UPPER($AS$78:$AZ$78)="EMPTY")+(UPPER($AS$78:$AZ$78)="(EMPTY)"))&gt;0,IFERROR(('Final Calculation Sheet'!$R$27)&amp;"","")="",ISNUMBER(SEARCH($AS$78:$AZ$78,IFERROR(('Final Calculation Sheet'!$R$27)&amp;"","")))))&gt;0),IF(COUNTIF($BI$78:$BP$78,5)=0,TRUE,SUMPRODUCT(($BI$78:$BP$78=5)*($AS$78:$AZ$78&lt;&gt;"")*IF(((UPPER($AS$78:$AZ$78)="BLANK")+(UPPER($AS$78:$AZ$78)="(BLANK)")+(UPPER($AS$78:$AZ$78)="EMPTY")+(UPPER($AS$78:$AZ$78)="(EMPTY)"))&gt;0,IFERROR(('Final Calculation Sheet'!$R$27)&amp;"","")="",ISNUMBER(SEARCH($AS$78:$AZ$78,IFERROR(('Final Calculation Sheet'!$R$27)&amp;"","")))))&gt;0),IF(COUNTIF($BI$78:$BP$78,6)=0,TRUE,SUMPRODUCT(($BI$78:$BP$78=6)*($AS$78:$AZ$78&lt;&gt;"")*IF(((UPPER($AS$78:$AZ$78)="BLANK")+(UPPER($AS$78:$AZ$78)="(BLANK)")+(UPPER($AS$78:$AZ$78)="EMPTY")+(UPPER($AS$78:$AZ$78)="(EMPTY)"))&gt;0,IFERROR(('Final Calculation Sheet'!$R$27)&amp;"","")="",ISNUMBER(SEARCH($AS$78:$AZ$78,IFERROR(('Final Calculation Sheet'!$R$27)&amp;"","")))))&gt;0),IF(COUNTIF($BI$78:$BP$78,7)=0,TRUE,SUMPRODUCT(($BI$78:$BP$78=7)*($AS$78:$AZ$78&lt;&gt;"")*IF(((UPPER($AS$78:$AZ$78)="BLANK")+(UPPER($AS$78:$AZ$78)="(BLANK)")+(UPPER($AS$78:$AZ$78)="EMPTY")+(UPPER($AS$78:$AZ$78)="(EMPTY)"))&gt;0,IFERROR(('Final Calculation Sheet'!$R$27)&amp;"","")="",ISNUMBER(SEARCH($AS$78:$AZ$78,IFERROR(('Final Calculation Sheet'!$R$27)&amp;"","")))))&gt;0),IF(COUNTIF($BI$78:$BP$78,8)=0,TRUE,SUMPRODUCT(($BI$78:$BP$78=8)*($AS$78:$AZ$78&lt;&gt;"")*IF(((UPPER($AS$78:$AZ$78)="BLANK")+(UPPER($AS$78:$AZ$78)="(BLANK)")+(UPPER($AS$78:$AZ$78)="EMPTY")+(UPPER($AS$78:$AZ$78)="(EMPTY)"))&gt;0,IFERROR(('Final Calculation Sheet'!$R$27)&amp;"","")="",ISNUMBER(SEARCH($AS$78:$AZ$78,IFERROR(('Final Calculation Sheet'!$R$27)&amp;"","")))))&gt;0))))</f>
        <v>1</v>
      </c>
      <c r="CF28">
        <f>IF($T$4="",1,--(AND(SUMPRODUCT(--($AS$79:$AZ$79&lt;&gt;""))&gt;0,IF(COUNTIF($BI$79:$BP$79,1)=0,TRUE,SUMPRODUCT(($BI$79:$BP$79=1)*($AS$79:$AZ$79&lt;&gt;"")*IF(((UPPER($AS$79:$AZ$79)="BLANK")+(UPPER($AS$79:$AZ$79)="(BLANK)")+(UPPER($AS$79:$AZ$79)="EMPTY")+(UPPER($AS$79:$AZ$79)="(EMPTY)"))&gt;0,IFERROR(('Final Calculation Sheet'!$S$27)&amp;"","")="",ISNUMBER(SEARCH($AS$79:$AZ$79,IFERROR(('Final Calculation Sheet'!$S$27)&amp;"","")))))&gt;0),IF(COUNTIF($BI$79:$BP$79,2)=0,TRUE,SUMPRODUCT(($BI$79:$BP$79=2)*($AS$79:$AZ$79&lt;&gt;"")*IF(((UPPER($AS$79:$AZ$79)="BLANK")+(UPPER($AS$79:$AZ$79)="(BLANK)")+(UPPER($AS$79:$AZ$79)="EMPTY")+(UPPER($AS$79:$AZ$79)="(EMPTY)"))&gt;0,IFERROR(('Final Calculation Sheet'!$S$27)&amp;"","")="",ISNUMBER(SEARCH($AS$79:$AZ$79,IFERROR(('Final Calculation Sheet'!$S$27)&amp;"","")))))&gt;0),IF(COUNTIF($BI$79:$BP$79,3)=0,TRUE,SUMPRODUCT(($BI$79:$BP$79=3)*($AS$79:$AZ$79&lt;&gt;"")*IF(((UPPER($AS$79:$AZ$79)="BLANK")+(UPPER($AS$79:$AZ$79)="(BLANK)")+(UPPER($AS$79:$AZ$79)="EMPTY")+(UPPER($AS$79:$AZ$79)="(EMPTY)"))&gt;0,IFERROR(('Final Calculation Sheet'!$S$27)&amp;"","")="",ISNUMBER(SEARCH($AS$79:$AZ$79,IFERROR(('Final Calculation Sheet'!$S$27)&amp;"","")))))&gt;0),IF(COUNTIF($BI$79:$BP$79,4)=0,TRUE,SUMPRODUCT(($BI$79:$BP$79=4)*($AS$79:$AZ$79&lt;&gt;"")*IF(((UPPER($AS$79:$AZ$79)="BLANK")+(UPPER($AS$79:$AZ$79)="(BLANK)")+(UPPER($AS$79:$AZ$79)="EMPTY")+(UPPER($AS$79:$AZ$79)="(EMPTY)"))&gt;0,IFERROR(('Final Calculation Sheet'!$S$27)&amp;"","")="",ISNUMBER(SEARCH($AS$79:$AZ$79,IFERROR(('Final Calculation Sheet'!$S$27)&amp;"","")))))&gt;0),IF(COUNTIF($BI$79:$BP$79,5)=0,TRUE,SUMPRODUCT(($BI$79:$BP$79=5)*($AS$79:$AZ$79&lt;&gt;"")*IF(((UPPER($AS$79:$AZ$79)="BLANK")+(UPPER($AS$79:$AZ$79)="(BLANK)")+(UPPER($AS$79:$AZ$79)="EMPTY")+(UPPER($AS$79:$AZ$79)="(EMPTY)"))&gt;0,IFERROR(('Final Calculation Sheet'!$S$27)&amp;"","")="",ISNUMBER(SEARCH($AS$79:$AZ$79,IFERROR(('Final Calculation Sheet'!$S$27)&amp;"","")))))&gt;0),IF(COUNTIF($BI$79:$BP$79,6)=0,TRUE,SUMPRODUCT(($BI$79:$BP$79=6)*($AS$79:$AZ$79&lt;&gt;"")*IF(((UPPER($AS$79:$AZ$79)="BLANK")+(UPPER($AS$79:$AZ$79)="(BLANK)")+(UPPER($AS$79:$AZ$79)="EMPTY")+(UPPER($AS$79:$AZ$79)="(EMPTY)"))&gt;0,IFERROR(('Final Calculation Sheet'!$S$27)&amp;"","")="",ISNUMBER(SEARCH($AS$79:$AZ$79,IFERROR(('Final Calculation Sheet'!$S$27)&amp;"","")))))&gt;0),IF(COUNTIF($BI$79:$BP$79,7)=0,TRUE,SUMPRODUCT(($BI$79:$BP$79=7)*($AS$79:$AZ$79&lt;&gt;"")*IF(((UPPER($AS$79:$AZ$79)="BLANK")+(UPPER($AS$79:$AZ$79)="(BLANK)")+(UPPER($AS$79:$AZ$79)="EMPTY")+(UPPER($AS$79:$AZ$79)="(EMPTY)"))&gt;0,IFERROR(('Final Calculation Sheet'!$S$27)&amp;"","")="",ISNUMBER(SEARCH($AS$79:$AZ$79,IFERROR(('Final Calculation Sheet'!$S$27)&amp;"","")))))&gt;0),IF(COUNTIF($BI$79:$BP$79,8)=0,TRUE,SUMPRODUCT(($BI$79:$BP$79=8)*($AS$79:$AZ$79&lt;&gt;"")*IF(((UPPER($AS$79:$AZ$79)="BLANK")+(UPPER($AS$79:$AZ$79)="(BLANK)")+(UPPER($AS$79:$AZ$79)="EMPTY")+(UPPER($AS$79:$AZ$79)="(EMPTY)"))&gt;0,IFERROR(('Final Calculation Sheet'!$S$27)&amp;"","")="",ISNUMBER(SEARCH($AS$79:$AZ$79,IFERROR(('Final Calculation Sheet'!$S$27)&amp;"","")))))&gt;0))))</f>
        <v>1</v>
      </c>
      <c r="CG28">
        <f>IF($U$4="",1,--(AND(SUMPRODUCT(--($AS$80:$AZ$80&lt;&gt;""))&gt;0,IF(COUNTIF($BI$80:$BP$80,1)=0,TRUE,SUMPRODUCT(($BI$80:$BP$80=1)*($AS$80:$AZ$80&lt;&gt;"")*IF(((UPPER($AS$80:$AZ$80)="BLANK")+(UPPER($AS$80:$AZ$80)="(BLANK)")+(UPPER($AS$80:$AZ$80)="EMPTY")+(UPPER($AS$80:$AZ$80)="(EMPTY)"))&gt;0,IFERROR(('Final Calculation Sheet'!$T$27)&amp;"","")="",ISNUMBER(SEARCH($AS$80:$AZ$80,IFERROR(('Final Calculation Sheet'!$T$27)&amp;"","")))))&gt;0),IF(COUNTIF($BI$80:$BP$80,2)=0,TRUE,SUMPRODUCT(($BI$80:$BP$80=2)*($AS$80:$AZ$80&lt;&gt;"")*IF(((UPPER($AS$80:$AZ$80)="BLANK")+(UPPER($AS$80:$AZ$80)="(BLANK)")+(UPPER($AS$80:$AZ$80)="EMPTY")+(UPPER($AS$80:$AZ$80)="(EMPTY)"))&gt;0,IFERROR(('Final Calculation Sheet'!$T$27)&amp;"","")="",ISNUMBER(SEARCH($AS$80:$AZ$80,IFERROR(('Final Calculation Sheet'!$T$27)&amp;"","")))))&gt;0),IF(COUNTIF($BI$80:$BP$80,3)=0,TRUE,SUMPRODUCT(($BI$80:$BP$80=3)*($AS$80:$AZ$80&lt;&gt;"")*IF(((UPPER($AS$80:$AZ$80)="BLANK")+(UPPER($AS$80:$AZ$80)="(BLANK)")+(UPPER($AS$80:$AZ$80)="EMPTY")+(UPPER($AS$80:$AZ$80)="(EMPTY)"))&gt;0,IFERROR(('Final Calculation Sheet'!$T$27)&amp;"","")="",ISNUMBER(SEARCH($AS$80:$AZ$80,IFERROR(('Final Calculation Sheet'!$T$27)&amp;"","")))))&gt;0),IF(COUNTIF($BI$80:$BP$80,4)=0,TRUE,SUMPRODUCT(($BI$80:$BP$80=4)*($AS$80:$AZ$80&lt;&gt;"")*IF(((UPPER($AS$80:$AZ$80)="BLANK")+(UPPER($AS$80:$AZ$80)="(BLANK)")+(UPPER($AS$80:$AZ$80)="EMPTY")+(UPPER($AS$80:$AZ$80)="(EMPTY)"))&gt;0,IFERROR(('Final Calculation Sheet'!$T$27)&amp;"","")="",ISNUMBER(SEARCH($AS$80:$AZ$80,IFERROR(('Final Calculation Sheet'!$T$27)&amp;"","")))))&gt;0),IF(COUNTIF($BI$80:$BP$80,5)=0,TRUE,SUMPRODUCT(($BI$80:$BP$80=5)*($AS$80:$AZ$80&lt;&gt;"")*IF(((UPPER($AS$80:$AZ$80)="BLANK")+(UPPER($AS$80:$AZ$80)="(BLANK)")+(UPPER($AS$80:$AZ$80)="EMPTY")+(UPPER($AS$80:$AZ$80)="(EMPTY)"))&gt;0,IFERROR(('Final Calculation Sheet'!$T$27)&amp;"","")="",ISNUMBER(SEARCH($AS$80:$AZ$80,IFERROR(('Final Calculation Sheet'!$T$27)&amp;"","")))))&gt;0),IF(COUNTIF($BI$80:$BP$80,6)=0,TRUE,SUMPRODUCT(($BI$80:$BP$80=6)*($AS$80:$AZ$80&lt;&gt;"")*IF(((UPPER($AS$80:$AZ$80)="BLANK")+(UPPER($AS$80:$AZ$80)="(BLANK)")+(UPPER($AS$80:$AZ$80)="EMPTY")+(UPPER($AS$80:$AZ$80)="(EMPTY)"))&gt;0,IFERROR(('Final Calculation Sheet'!$T$27)&amp;"","")="",ISNUMBER(SEARCH($AS$80:$AZ$80,IFERROR(('Final Calculation Sheet'!$T$27)&amp;"","")))))&gt;0),IF(COUNTIF($BI$80:$BP$80,7)=0,TRUE,SUMPRODUCT(($BI$80:$BP$80=7)*($AS$80:$AZ$80&lt;&gt;"")*IF(((UPPER($AS$80:$AZ$80)="BLANK")+(UPPER($AS$80:$AZ$80)="(BLANK)")+(UPPER($AS$80:$AZ$80)="EMPTY")+(UPPER($AS$80:$AZ$80)="(EMPTY)"))&gt;0,IFERROR(('Final Calculation Sheet'!$T$27)&amp;"","")="",ISNUMBER(SEARCH($AS$80:$AZ$80,IFERROR(('Final Calculation Sheet'!$T$27)&amp;"","")))))&gt;0),IF(COUNTIF($BI$80:$BP$80,8)=0,TRUE,SUMPRODUCT(($BI$80:$BP$80=8)*($AS$80:$AZ$80&lt;&gt;"")*IF(((UPPER($AS$80:$AZ$80)="BLANK")+(UPPER($AS$80:$AZ$80)="(BLANK)")+(UPPER($AS$80:$AZ$80)="EMPTY")+(UPPER($AS$80:$AZ$80)="(EMPTY)"))&gt;0,IFERROR(('Final Calculation Sheet'!$T$27)&amp;"","")="",ISNUMBER(SEARCH($AS$80:$AZ$80,IFERROR(('Final Calculation Sheet'!$T$27)&amp;"","")))))&gt;0))))</f>
        <v>1</v>
      </c>
      <c r="CH28">
        <f>IF($V$4="",1,--(AND(SUMPRODUCT(--($AS$81:$AZ$81&lt;&gt;""))&gt;0,IF(COUNTIF($BI$81:$BP$81,1)=0,TRUE,SUMPRODUCT(($BI$81:$BP$81=1)*($AS$81:$AZ$81&lt;&gt;"")*IF(((UPPER($AS$81:$AZ$81)="BLANK")+(UPPER($AS$81:$AZ$81)="(BLANK)")+(UPPER($AS$81:$AZ$81)="EMPTY")+(UPPER($AS$81:$AZ$81)="(EMPTY)"))&gt;0,IFERROR(('Final Calculation Sheet'!$U$27)&amp;"","")="",ISNUMBER(SEARCH($AS$81:$AZ$81,IFERROR(('Final Calculation Sheet'!$U$27)&amp;"","")))))&gt;0),IF(COUNTIF($BI$81:$BP$81,2)=0,TRUE,SUMPRODUCT(($BI$81:$BP$81=2)*($AS$81:$AZ$81&lt;&gt;"")*IF(((UPPER($AS$81:$AZ$81)="BLANK")+(UPPER($AS$81:$AZ$81)="(BLANK)")+(UPPER($AS$81:$AZ$81)="EMPTY")+(UPPER($AS$81:$AZ$81)="(EMPTY)"))&gt;0,IFERROR(('Final Calculation Sheet'!$U$27)&amp;"","")="",ISNUMBER(SEARCH($AS$81:$AZ$81,IFERROR(('Final Calculation Sheet'!$U$27)&amp;"","")))))&gt;0),IF(COUNTIF($BI$81:$BP$81,3)=0,TRUE,SUMPRODUCT(($BI$81:$BP$81=3)*($AS$81:$AZ$81&lt;&gt;"")*IF(((UPPER($AS$81:$AZ$81)="BLANK")+(UPPER($AS$81:$AZ$81)="(BLANK)")+(UPPER($AS$81:$AZ$81)="EMPTY")+(UPPER($AS$81:$AZ$81)="(EMPTY)"))&gt;0,IFERROR(('Final Calculation Sheet'!$U$27)&amp;"","")="",ISNUMBER(SEARCH($AS$81:$AZ$81,IFERROR(('Final Calculation Sheet'!$U$27)&amp;"","")))))&gt;0),IF(COUNTIF($BI$81:$BP$81,4)=0,TRUE,SUMPRODUCT(($BI$81:$BP$81=4)*($AS$81:$AZ$81&lt;&gt;"")*IF(((UPPER($AS$81:$AZ$81)="BLANK")+(UPPER($AS$81:$AZ$81)="(BLANK)")+(UPPER($AS$81:$AZ$81)="EMPTY")+(UPPER($AS$81:$AZ$81)="(EMPTY)"))&gt;0,IFERROR(('Final Calculation Sheet'!$U$27)&amp;"","")="",ISNUMBER(SEARCH($AS$81:$AZ$81,IFERROR(('Final Calculation Sheet'!$U$27)&amp;"","")))))&gt;0),IF(COUNTIF($BI$81:$BP$81,5)=0,TRUE,SUMPRODUCT(($BI$81:$BP$81=5)*($AS$81:$AZ$81&lt;&gt;"")*IF(((UPPER($AS$81:$AZ$81)="BLANK")+(UPPER($AS$81:$AZ$81)="(BLANK)")+(UPPER($AS$81:$AZ$81)="EMPTY")+(UPPER($AS$81:$AZ$81)="(EMPTY)"))&gt;0,IFERROR(('Final Calculation Sheet'!$U$27)&amp;"","")="",ISNUMBER(SEARCH($AS$81:$AZ$81,IFERROR(('Final Calculation Sheet'!$U$27)&amp;"","")))))&gt;0),IF(COUNTIF($BI$81:$BP$81,6)=0,TRUE,SUMPRODUCT(($BI$81:$BP$81=6)*($AS$81:$AZ$81&lt;&gt;"")*IF(((UPPER($AS$81:$AZ$81)="BLANK")+(UPPER($AS$81:$AZ$81)="(BLANK)")+(UPPER($AS$81:$AZ$81)="EMPTY")+(UPPER($AS$81:$AZ$81)="(EMPTY)"))&gt;0,IFERROR(('Final Calculation Sheet'!$U$27)&amp;"","")="",ISNUMBER(SEARCH($AS$81:$AZ$81,IFERROR(('Final Calculation Sheet'!$U$27)&amp;"","")))))&gt;0),IF(COUNTIF($BI$81:$BP$81,7)=0,TRUE,SUMPRODUCT(($BI$81:$BP$81=7)*($AS$81:$AZ$81&lt;&gt;"")*IF(((UPPER($AS$81:$AZ$81)="BLANK")+(UPPER($AS$81:$AZ$81)="(BLANK)")+(UPPER($AS$81:$AZ$81)="EMPTY")+(UPPER($AS$81:$AZ$81)="(EMPTY)"))&gt;0,IFERROR(('Final Calculation Sheet'!$U$27)&amp;"","")="",ISNUMBER(SEARCH($AS$81:$AZ$81,IFERROR(('Final Calculation Sheet'!$U$27)&amp;"","")))))&gt;0),IF(COUNTIF($BI$81:$BP$81,8)=0,TRUE,SUMPRODUCT(($BI$81:$BP$81=8)*($AS$81:$AZ$81&lt;&gt;"")*IF(((UPPER($AS$81:$AZ$81)="BLANK")+(UPPER($AS$81:$AZ$81)="(BLANK)")+(UPPER($AS$81:$AZ$81)="EMPTY")+(UPPER($AS$81:$AZ$81)="(EMPTY)"))&gt;0,IFERROR(('Final Calculation Sheet'!$U$27)&amp;"","")="",ISNUMBER(SEARCH($AS$81:$AZ$81,IFERROR(('Final Calculation Sheet'!$U$27)&amp;"","")))))&gt;0))))</f>
        <v>1</v>
      </c>
      <c r="CI28">
        <f>IF($W$4="",1,--(AND(SUMPRODUCT(--($AS$82:$AZ$82&lt;&gt;""))&gt;0,IF(COUNTIF($BI$82:$BP$82,1)=0,TRUE,SUMPRODUCT(($BI$82:$BP$82=1)*($AS$82:$AZ$82&lt;&gt;"")*IF(((UPPER($AS$82:$AZ$82)="BLANK")+(UPPER($AS$82:$AZ$82)="(BLANK)")+(UPPER($AS$82:$AZ$82)="EMPTY")+(UPPER($AS$82:$AZ$82)="(EMPTY)"))&gt;0,IFERROR(('Final Calculation Sheet'!$V$27)&amp;"","")="",ISNUMBER(SEARCH($AS$82:$AZ$82,IFERROR(('Final Calculation Sheet'!$V$27)&amp;"","")))))&gt;0),IF(COUNTIF($BI$82:$BP$82,2)=0,TRUE,SUMPRODUCT(($BI$82:$BP$82=2)*($AS$82:$AZ$82&lt;&gt;"")*IF(((UPPER($AS$82:$AZ$82)="BLANK")+(UPPER($AS$82:$AZ$82)="(BLANK)")+(UPPER($AS$82:$AZ$82)="EMPTY")+(UPPER($AS$82:$AZ$82)="(EMPTY)"))&gt;0,IFERROR(('Final Calculation Sheet'!$V$27)&amp;"","")="",ISNUMBER(SEARCH($AS$82:$AZ$82,IFERROR(('Final Calculation Sheet'!$V$27)&amp;"","")))))&gt;0),IF(COUNTIF($BI$82:$BP$82,3)=0,TRUE,SUMPRODUCT(($BI$82:$BP$82=3)*($AS$82:$AZ$82&lt;&gt;"")*IF(((UPPER($AS$82:$AZ$82)="BLANK")+(UPPER($AS$82:$AZ$82)="(BLANK)")+(UPPER($AS$82:$AZ$82)="EMPTY")+(UPPER($AS$82:$AZ$82)="(EMPTY)"))&gt;0,IFERROR(('Final Calculation Sheet'!$V$27)&amp;"","")="",ISNUMBER(SEARCH($AS$82:$AZ$82,IFERROR(('Final Calculation Sheet'!$V$27)&amp;"","")))))&gt;0),IF(COUNTIF($BI$82:$BP$82,4)=0,TRUE,SUMPRODUCT(($BI$82:$BP$82=4)*($AS$82:$AZ$82&lt;&gt;"")*IF(((UPPER($AS$82:$AZ$82)="BLANK")+(UPPER($AS$82:$AZ$82)="(BLANK)")+(UPPER($AS$82:$AZ$82)="EMPTY")+(UPPER($AS$82:$AZ$82)="(EMPTY)"))&gt;0,IFERROR(('Final Calculation Sheet'!$V$27)&amp;"","")="",ISNUMBER(SEARCH($AS$82:$AZ$82,IFERROR(('Final Calculation Sheet'!$V$27)&amp;"","")))))&gt;0),IF(COUNTIF($BI$82:$BP$82,5)=0,TRUE,SUMPRODUCT(($BI$82:$BP$82=5)*($AS$82:$AZ$82&lt;&gt;"")*IF(((UPPER($AS$82:$AZ$82)="BLANK")+(UPPER($AS$82:$AZ$82)="(BLANK)")+(UPPER($AS$82:$AZ$82)="EMPTY")+(UPPER($AS$82:$AZ$82)="(EMPTY)"))&gt;0,IFERROR(('Final Calculation Sheet'!$V$27)&amp;"","")="",ISNUMBER(SEARCH($AS$82:$AZ$82,IFERROR(('Final Calculation Sheet'!$V$27)&amp;"","")))))&gt;0),IF(COUNTIF($BI$82:$BP$82,6)=0,TRUE,SUMPRODUCT(($BI$82:$BP$82=6)*($AS$82:$AZ$82&lt;&gt;"")*IF(((UPPER($AS$82:$AZ$82)="BLANK")+(UPPER($AS$82:$AZ$82)="(BLANK)")+(UPPER($AS$82:$AZ$82)="EMPTY")+(UPPER($AS$82:$AZ$82)="(EMPTY)"))&gt;0,IFERROR(('Final Calculation Sheet'!$V$27)&amp;"","")="",ISNUMBER(SEARCH($AS$82:$AZ$82,IFERROR(('Final Calculation Sheet'!$V$27)&amp;"","")))))&gt;0),IF(COUNTIF($BI$82:$BP$82,7)=0,TRUE,SUMPRODUCT(($BI$82:$BP$82=7)*($AS$82:$AZ$82&lt;&gt;"")*IF(((UPPER($AS$82:$AZ$82)="BLANK")+(UPPER($AS$82:$AZ$82)="(BLANK)")+(UPPER($AS$82:$AZ$82)="EMPTY")+(UPPER($AS$82:$AZ$82)="(EMPTY)"))&gt;0,IFERROR(('Final Calculation Sheet'!$V$27)&amp;"","")="",ISNUMBER(SEARCH($AS$82:$AZ$82,IFERROR(('Final Calculation Sheet'!$V$27)&amp;"","")))))&gt;0),IF(COUNTIF($BI$82:$BP$82,8)=0,TRUE,SUMPRODUCT(($BI$82:$BP$82=8)*($AS$82:$AZ$82&lt;&gt;"")*IF(((UPPER($AS$82:$AZ$82)="BLANK")+(UPPER($AS$82:$AZ$82)="(BLANK)")+(UPPER($AS$82:$AZ$82)="EMPTY")+(UPPER($AS$82:$AZ$82)="(EMPTY)"))&gt;0,IFERROR(('Final Calculation Sheet'!$V$27)&amp;"","")="",ISNUMBER(SEARCH($AS$82:$AZ$82,IFERROR(('Final Calculation Sheet'!$V$27)&amp;"","")))))&gt;0))))</f>
        <v>1</v>
      </c>
      <c r="CJ28">
        <f>IF($X$4="",1,--(AND(SUMPRODUCT(--($AS$83:$AZ$83&lt;&gt;""))&gt;0,IF(COUNTIF($BI$83:$BP$83,1)=0,TRUE,SUMPRODUCT(($BI$83:$BP$83=1)*($AS$83:$AZ$83&lt;&gt;"")*IF(((UPPER($AS$83:$AZ$83)="BLANK")+(UPPER($AS$83:$AZ$83)="(BLANK)")+(UPPER($AS$83:$AZ$83)="EMPTY")+(UPPER($AS$83:$AZ$83)="(EMPTY)"))&gt;0,IFERROR(('Final Calculation Sheet'!$W$27)&amp;"","")="",ISNUMBER(SEARCH($AS$83:$AZ$83,IFERROR(('Final Calculation Sheet'!$W$27)&amp;"","")))))&gt;0),IF(COUNTIF($BI$83:$BP$83,2)=0,TRUE,SUMPRODUCT(($BI$83:$BP$83=2)*($AS$83:$AZ$83&lt;&gt;"")*IF(((UPPER($AS$83:$AZ$83)="BLANK")+(UPPER($AS$83:$AZ$83)="(BLANK)")+(UPPER($AS$83:$AZ$83)="EMPTY")+(UPPER($AS$83:$AZ$83)="(EMPTY)"))&gt;0,IFERROR(('Final Calculation Sheet'!$W$27)&amp;"","")="",ISNUMBER(SEARCH($AS$83:$AZ$83,IFERROR(('Final Calculation Sheet'!$W$27)&amp;"","")))))&gt;0),IF(COUNTIF($BI$83:$BP$83,3)=0,TRUE,SUMPRODUCT(($BI$83:$BP$83=3)*($AS$83:$AZ$83&lt;&gt;"")*IF(((UPPER($AS$83:$AZ$83)="BLANK")+(UPPER($AS$83:$AZ$83)="(BLANK)")+(UPPER($AS$83:$AZ$83)="EMPTY")+(UPPER($AS$83:$AZ$83)="(EMPTY)"))&gt;0,IFERROR(('Final Calculation Sheet'!$W$27)&amp;"","")="",ISNUMBER(SEARCH($AS$83:$AZ$83,IFERROR(('Final Calculation Sheet'!$W$27)&amp;"","")))))&gt;0),IF(COUNTIF($BI$83:$BP$83,4)=0,TRUE,SUMPRODUCT(($BI$83:$BP$83=4)*($AS$83:$AZ$83&lt;&gt;"")*IF(((UPPER($AS$83:$AZ$83)="BLANK")+(UPPER($AS$83:$AZ$83)="(BLANK)")+(UPPER($AS$83:$AZ$83)="EMPTY")+(UPPER($AS$83:$AZ$83)="(EMPTY)"))&gt;0,IFERROR(('Final Calculation Sheet'!$W$27)&amp;"","")="",ISNUMBER(SEARCH($AS$83:$AZ$83,IFERROR(('Final Calculation Sheet'!$W$27)&amp;"","")))))&gt;0),IF(COUNTIF($BI$83:$BP$83,5)=0,TRUE,SUMPRODUCT(($BI$83:$BP$83=5)*($AS$83:$AZ$83&lt;&gt;"")*IF(((UPPER($AS$83:$AZ$83)="BLANK")+(UPPER($AS$83:$AZ$83)="(BLANK)")+(UPPER($AS$83:$AZ$83)="EMPTY")+(UPPER($AS$83:$AZ$83)="(EMPTY)"))&gt;0,IFERROR(('Final Calculation Sheet'!$W$27)&amp;"","")="",ISNUMBER(SEARCH($AS$83:$AZ$83,IFERROR(('Final Calculation Sheet'!$W$27)&amp;"","")))))&gt;0),IF(COUNTIF($BI$83:$BP$83,6)=0,TRUE,SUMPRODUCT(($BI$83:$BP$83=6)*($AS$83:$AZ$83&lt;&gt;"")*IF(((UPPER($AS$83:$AZ$83)="BLANK")+(UPPER($AS$83:$AZ$83)="(BLANK)")+(UPPER($AS$83:$AZ$83)="EMPTY")+(UPPER($AS$83:$AZ$83)="(EMPTY)"))&gt;0,IFERROR(('Final Calculation Sheet'!$W$27)&amp;"","")="",ISNUMBER(SEARCH($AS$83:$AZ$83,IFERROR(('Final Calculation Sheet'!$W$27)&amp;"","")))))&gt;0),IF(COUNTIF($BI$83:$BP$83,7)=0,TRUE,SUMPRODUCT(($BI$83:$BP$83=7)*($AS$83:$AZ$83&lt;&gt;"")*IF(((UPPER($AS$83:$AZ$83)="BLANK")+(UPPER($AS$83:$AZ$83)="(BLANK)")+(UPPER($AS$83:$AZ$83)="EMPTY")+(UPPER($AS$83:$AZ$83)="(EMPTY)"))&gt;0,IFERROR(('Final Calculation Sheet'!$W$27)&amp;"","")="",ISNUMBER(SEARCH($AS$83:$AZ$83,IFERROR(('Final Calculation Sheet'!$W$27)&amp;"","")))))&gt;0),IF(COUNTIF($BI$83:$BP$83,8)=0,TRUE,SUMPRODUCT(($BI$83:$BP$83=8)*($AS$83:$AZ$83&lt;&gt;"")*IF(((UPPER($AS$83:$AZ$83)="BLANK")+(UPPER($AS$83:$AZ$83)="(BLANK)")+(UPPER($AS$83:$AZ$83)="EMPTY")+(UPPER($AS$83:$AZ$83)="(EMPTY)"))&gt;0,IFERROR(('Final Calculation Sheet'!$W$27)&amp;"","")="",ISNUMBER(SEARCH($AS$83:$AZ$83,IFERROR(('Final Calculation Sheet'!$W$27)&amp;"","")))))&gt;0))))</f>
        <v>1</v>
      </c>
      <c r="CK28">
        <f>IF($Y$4="",1,--(AND(SUMPRODUCT(--($AS$84:$AZ$84&lt;&gt;""))&gt;0,IF(COUNTIF($BI$84:$BP$84,1)=0,TRUE,SUMPRODUCT(($BI$84:$BP$84=1)*($AS$84:$AZ$84&lt;&gt;"")*IF(((UPPER($AS$84:$AZ$84)="BLANK")+(UPPER($AS$84:$AZ$84)="(BLANK)")+(UPPER($AS$84:$AZ$84)="EMPTY")+(UPPER($AS$84:$AZ$84)="(EMPTY)"))&gt;0,IFERROR(('Final Calculation Sheet'!$X$27)&amp;"","")="",ISNUMBER(SEARCH($AS$84:$AZ$84,IFERROR(('Final Calculation Sheet'!$X$27)&amp;"","")))))&gt;0),IF(COUNTIF($BI$84:$BP$84,2)=0,TRUE,SUMPRODUCT(($BI$84:$BP$84=2)*($AS$84:$AZ$84&lt;&gt;"")*IF(((UPPER($AS$84:$AZ$84)="BLANK")+(UPPER($AS$84:$AZ$84)="(BLANK)")+(UPPER($AS$84:$AZ$84)="EMPTY")+(UPPER($AS$84:$AZ$84)="(EMPTY)"))&gt;0,IFERROR(('Final Calculation Sheet'!$X$27)&amp;"","")="",ISNUMBER(SEARCH($AS$84:$AZ$84,IFERROR(('Final Calculation Sheet'!$X$27)&amp;"","")))))&gt;0),IF(COUNTIF($BI$84:$BP$84,3)=0,TRUE,SUMPRODUCT(($BI$84:$BP$84=3)*($AS$84:$AZ$84&lt;&gt;"")*IF(((UPPER($AS$84:$AZ$84)="BLANK")+(UPPER($AS$84:$AZ$84)="(BLANK)")+(UPPER($AS$84:$AZ$84)="EMPTY")+(UPPER($AS$84:$AZ$84)="(EMPTY)"))&gt;0,IFERROR(('Final Calculation Sheet'!$X$27)&amp;"","")="",ISNUMBER(SEARCH($AS$84:$AZ$84,IFERROR(('Final Calculation Sheet'!$X$27)&amp;"","")))))&gt;0),IF(COUNTIF($BI$84:$BP$84,4)=0,TRUE,SUMPRODUCT(($BI$84:$BP$84=4)*($AS$84:$AZ$84&lt;&gt;"")*IF(((UPPER($AS$84:$AZ$84)="BLANK")+(UPPER($AS$84:$AZ$84)="(BLANK)")+(UPPER($AS$84:$AZ$84)="EMPTY")+(UPPER($AS$84:$AZ$84)="(EMPTY)"))&gt;0,IFERROR(('Final Calculation Sheet'!$X$27)&amp;"","")="",ISNUMBER(SEARCH($AS$84:$AZ$84,IFERROR(('Final Calculation Sheet'!$X$27)&amp;"","")))))&gt;0),IF(COUNTIF($BI$84:$BP$84,5)=0,TRUE,SUMPRODUCT(($BI$84:$BP$84=5)*($AS$84:$AZ$84&lt;&gt;"")*IF(((UPPER($AS$84:$AZ$84)="BLANK")+(UPPER($AS$84:$AZ$84)="(BLANK)")+(UPPER($AS$84:$AZ$84)="EMPTY")+(UPPER($AS$84:$AZ$84)="(EMPTY)"))&gt;0,IFERROR(('Final Calculation Sheet'!$X$27)&amp;"","")="",ISNUMBER(SEARCH($AS$84:$AZ$84,IFERROR(('Final Calculation Sheet'!$X$27)&amp;"","")))))&gt;0),IF(COUNTIF($BI$84:$BP$84,6)=0,TRUE,SUMPRODUCT(($BI$84:$BP$84=6)*($AS$84:$AZ$84&lt;&gt;"")*IF(((UPPER($AS$84:$AZ$84)="BLANK")+(UPPER($AS$84:$AZ$84)="(BLANK)")+(UPPER($AS$84:$AZ$84)="EMPTY")+(UPPER($AS$84:$AZ$84)="(EMPTY)"))&gt;0,IFERROR(('Final Calculation Sheet'!$X$27)&amp;"","")="",ISNUMBER(SEARCH($AS$84:$AZ$84,IFERROR(('Final Calculation Sheet'!$X$27)&amp;"","")))))&gt;0),IF(COUNTIF($BI$84:$BP$84,7)=0,TRUE,SUMPRODUCT(($BI$84:$BP$84=7)*($AS$84:$AZ$84&lt;&gt;"")*IF(((UPPER($AS$84:$AZ$84)="BLANK")+(UPPER($AS$84:$AZ$84)="(BLANK)")+(UPPER($AS$84:$AZ$84)="EMPTY")+(UPPER($AS$84:$AZ$84)="(EMPTY)"))&gt;0,IFERROR(('Final Calculation Sheet'!$X$27)&amp;"","")="",ISNUMBER(SEARCH($AS$84:$AZ$84,IFERROR(('Final Calculation Sheet'!$X$27)&amp;"","")))))&gt;0),IF(COUNTIF($BI$84:$BP$84,8)=0,TRUE,SUMPRODUCT(($BI$84:$BP$84=8)*($AS$84:$AZ$84&lt;&gt;"")*IF(((UPPER($AS$84:$AZ$84)="BLANK")+(UPPER($AS$84:$AZ$84)="(BLANK)")+(UPPER($AS$84:$AZ$84)="EMPTY")+(UPPER($AS$84:$AZ$84)="(EMPTY)"))&gt;0,IFERROR(('Final Calculation Sheet'!$X$27)&amp;"","")="",ISNUMBER(SEARCH($AS$84:$AZ$84,IFERROR(('Final Calculation Sheet'!$X$27)&amp;"","")))))&gt;0))))</f>
        <v>1</v>
      </c>
      <c r="CL28">
        <f>IF($Z$4="",1,--(AND(SUMPRODUCT(--($AS$85:$AZ$85&lt;&gt;""))&gt;0,IF(COUNTIF($BI$85:$BP$85,1)=0,TRUE,SUMPRODUCT(($BI$85:$BP$85=1)*($AS$85:$AZ$85&lt;&gt;"")*IF(((UPPER($AS$85:$AZ$85)="BLANK")+(UPPER($AS$85:$AZ$85)="(BLANK)")+(UPPER($AS$85:$AZ$85)="EMPTY")+(UPPER($AS$85:$AZ$85)="(EMPTY)"))&gt;0,IFERROR(('Final Calculation Sheet'!$Y$27)&amp;"","")="",ISNUMBER(SEARCH($AS$85:$AZ$85,IFERROR(('Final Calculation Sheet'!$Y$27)&amp;"","")))))&gt;0),IF(COUNTIF($BI$85:$BP$85,2)=0,TRUE,SUMPRODUCT(($BI$85:$BP$85=2)*($AS$85:$AZ$85&lt;&gt;"")*IF(((UPPER($AS$85:$AZ$85)="BLANK")+(UPPER($AS$85:$AZ$85)="(BLANK)")+(UPPER($AS$85:$AZ$85)="EMPTY")+(UPPER($AS$85:$AZ$85)="(EMPTY)"))&gt;0,IFERROR(('Final Calculation Sheet'!$Y$27)&amp;"","")="",ISNUMBER(SEARCH($AS$85:$AZ$85,IFERROR(('Final Calculation Sheet'!$Y$27)&amp;"","")))))&gt;0),IF(COUNTIF($BI$85:$BP$85,3)=0,TRUE,SUMPRODUCT(($BI$85:$BP$85=3)*($AS$85:$AZ$85&lt;&gt;"")*IF(((UPPER($AS$85:$AZ$85)="BLANK")+(UPPER($AS$85:$AZ$85)="(BLANK)")+(UPPER($AS$85:$AZ$85)="EMPTY")+(UPPER($AS$85:$AZ$85)="(EMPTY)"))&gt;0,IFERROR(('Final Calculation Sheet'!$Y$27)&amp;"","")="",ISNUMBER(SEARCH($AS$85:$AZ$85,IFERROR(('Final Calculation Sheet'!$Y$27)&amp;"","")))))&gt;0),IF(COUNTIF($BI$85:$BP$85,4)=0,TRUE,SUMPRODUCT(($BI$85:$BP$85=4)*($AS$85:$AZ$85&lt;&gt;"")*IF(((UPPER($AS$85:$AZ$85)="BLANK")+(UPPER($AS$85:$AZ$85)="(BLANK)")+(UPPER($AS$85:$AZ$85)="EMPTY")+(UPPER($AS$85:$AZ$85)="(EMPTY)"))&gt;0,IFERROR(('Final Calculation Sheet'!$Y$27)&amp;"","")="",ISNUMBER(SEARCH($AS$85:$AZ$85,IFERROR(('Final Calculation Sheet'!$Y$27)&amp;"","")))))&gt;0),IF(COUNTIF($BI$85:$BP$85,5)=0,TRUE,SUMPRODUCT(($BI$85:$BP$85=5)*($AS$85:$AZ$85&lt;&gt;"")*IF(((UPPER($AS$85:$AZ$85)="BLANK")+(UPPER($AS$85:$AZ$85)="(BLANK)")+(UPPER($AS$85:$AZ$85)="EMPTY")+(UPPER($AS$85:$AZ$85)="(EMPTY)"))&gt;0,IFERROR(('Final Calculation Sheet'!$Y$27)&amp;"","")="",ISNUMBER(SEARCH($AS$85:$AZ$85,IFERROR(('Final Calculation Sheet'!$Y$27)&amp;"","")))))&gt;0),IF(COUNTIF($BI$85:$BP$85,6)=0,TRUE,SUMPRODUCT(($BI$85:$BP$85=6)*($AS$85:$AZ$85&lt;&gt;"")*IF(((UPPER($AS$85:$AZ$85)="BLANK")+(UPPER($AS$85:$AZ$85)="(BLANK)")+(UPPER($AS$85:$AZ$85)="EMPTY")+(UPPER($AS$85:$AZ$85)="(EMPTY)"))&gt;0,IFERROR(('Final Calculation Sheet'!$Y$27)&amp;"","")="",ISNUMBER(SEARCH($AS$85:$AZ$85,IFERROR(('Final Calculation Sheet'!$Y$27)&amp;"","")))))&gt;0),IF(COUNTIF($BI$85:$BP$85,7)=0,TRUE,SUMPRODUCT(($BI$85:$BP$85=7)*($AS$85:$AZ$85&lt;&gt;"")*IF(((UPPER($AS$85:$AZ$85)="BLANK")+(UPPER($AS$85:$AZ$85)="(BLANK)")+(UPPER($AS$85:$AZ$85)="EMPTY")+(UPPER($AS$85:$AZ$85)="(EMPTY)"))&gt;0,IFERROR(('Final Calculation Sheet'!$Y$27)&amp;"","")="",ISNUMBER(SEARCH($AS$85:$AZ$85,IFERROR(('Final Calculation Sheet'!$Y$27)&amp;"","")))))&gt;0),IF(COUNTIF($BI$85:$BP$85,8)=0,TRUE,SUMPRODUCT(($BI$85:$BP$85=8)*($AS$85:$AZ$85&lt;&gt;"")*IF(((UPPER($AS$85:$AZ$85)="BLANK")+(UPPER($AS$85:$AZ$85)="(BLANK)")+(UPPER($AS$85:$AZ$85)="EMPTY")+(UPPER($AS$85:$AZ$85)="(EMPTY)"))&gt;0,IFERROR(('Final Calculation Sheet'!$Y$27)&amp;"","")="",ISNUMBER(SEARCH($AS$85:$AZ$85,IFERROR(('Final Calculation Sheet'!$Y$27)&amp;"","")))))&gt;0))))</f>
        <v>1</v>
      </c>
      <c r="CM28">
        <f>IF($AA$4="",1,--(AND(SUMPRODUCT(--($AS$86:$AZ$86&lt;&gt;""))&gt;0,IF(COUNTIF($BI$86:$BP$86,1)=0,TRUE,SUMPRODUCT(($BI$86:$BP$86=1)*($AS$86:$AZ$86&lt;&gt;"")*IF(((UPPER($AS$86:$AZ$86)="BLANK")+(UPPER($AS$86:$AZ$86)="(BLANK)")+(UPPER($AS$86:$AZ$86)="EMPTY")+(UPPER($AS$86:$AZ$86)="(EMPTY)"))&gt;0,IFERROR(('Final Calculation Sheet'!$Z$27)&amp;"","")="",ISNUMBER(SEARCH($AS$86:$AZ$86,IFERROR(('Final Calculation Sheet'!$Z$27)&amp;"","")))))&gt;0),IF(COUNTIF($BI$86:$BP$86,2)=0,TRUE,SUMPRODUCT(($BI$86:$BP$86=2)*($AS$86:$AZ$86&lt;&gt;"")*IF(((UPPER($AS$86:$AZ$86)="BLANK")+(UPPER($AS$86:$AZ$86)="(BLANK)")+(UPPER($AS$86:$AZ$86)="EMPTY")+(UPPER($AS$86:$AZ$86)="(EMPTY)"))&gt;0,IFERROR(('Final Calculation Sheet'!$Z$27)&amp;"","")="",ISNUMBER(SEARCH($AS$86:$AZ$86,IFERROR(('Final Calculation Sheet'!$Z$27)&amp;"","")))))&gt;0),IF(COUNTIF($BI$86:$BP$86,3)=0,TRUE,SUMPRODUCT(($BI$86:$BP$86=3)*($AS$86:$AZ$86&lt;&gt;"")*IF(((UPPER($AS$86:$AZ$86)="BLANK")+(UPPER($AS$86:$AZ$86)="(BLANK)")+(UPPER($AS$86:$AZ$86)="EMPTY")+(UPPER($AS$86:$AZ$86)="(EMPTY)"))&gt;0,IFERROR(('Final Calculation Sheet'!$Z$27)&amp;"","")="",ISNUMBER(SEARCH($AS$86:$AZ$86,IFERROR(('Final Calculation Sheet'!$Z$27)&amp;"","")))))&gt;0),IF(COUNTIF($BI$86:$BP$86,4)=0,TRUE,SUMPRODUCT(($BI$86:$BP$86=4)*($AS$86:$AZ$86&lt;&gt;"")*IF(((UPPER($AS$86:$AZ$86)="BLANK")+(UPPER($AS$86:$AZ$86)="(BLANK)")+(UPPER($AS$86:$AZ$86)="EMPTY")+(UPPER($AS$86:$AZ$86)="(EMPTY)"))&gt;0,IFERROR(('Final Calculation Sheet'!$Z$27)&amp;"","")="",ISNUMBER(SEARCH($AS$86:$AZ$86,IFERROR(('Final Calculation Sheet'!$Z$27)&amp;"","")))))&gt;0),IF(COUNTIF($BI$86:$BP$86,5)=0,TRUE,SUMPRODUCT(($BI$86:$BP$86=5)*($AS$86:$AZ$86&lt;&gt;"")*IF(((UPPER($AS$86:$AZ$86)="BLANK")+(UPPER($AS$86:$AZ$86)="(BLANK)")+(UPPER($AS$86:$AZ$86)="EMPTY")+(UPPER($AS$86:$AZ$86)="(EMPTY)"))&gt;0,IFERROR(('Final Calculation Sheet'!$Z$27)&amp;"","")="",ISNUMBER(SEARCH($AS$86:$AZ$86,IFERROR(('Final Calculation Sheet'!$Z$27)&amp;"","")))))&gt;0),IF(COUNTIF($BI$86:$BP$86,6)=0,TRUE,SUMPRODUCT(($BI$86:$BP$86=6)*($AS$86:$AZ$86&lt;&gt;"")*IF(((UPPER($AS$86:$AZ$86)="BLANK")+(UPPER($AS$86:$AZ$86)="(BLANK)")+(UPPER($AS$86:$AZ$86)="EMPTY")+(UPPER($AS$86:$AZ$86)="(EMPTY)"))&gt;0,IFERROR(('Final Calculation Sheet'!$Z$27)&amp;"","")="",ISNUMBER(SEARCH($AS$86:$AZ$86,IFERROR(('Final Calculation Sheet'!$Z$27)&amp;"","")))))&gt;0),IF(COUNTIF($BI$86:$BP$86,7)=0,TRUE,SUMPRODUCT(($BI$86:$BP$86=7)*($AS$86:$AZ$86&lt;&gt;"")*IF(((UPPER($AS$86:$AZ$86)="BLANK")+(UPPER($AS$86:$AZ$86)="(BLANK)")+(UPPER($AS$86:$AZ$86)="EMPTY")+(UPPER($AS$86:$AZ$86)="(EMPTY)"))&gt;0,IFERROR(('Final Calculation Sheet'!$Z$27)&amp;"","")="",ISNUMBER(SEARCH($AS$86:$AZ$86,IFERROR(('Final Calculation Sheet'!$Z$27)&amp;"","")))))&gt;0),IF(COUNTIF($BI$86:$BP$86,8)=0,TRUE,SUMPRODUCT(($BI$86:$BP$86=8)*($AS$86:$AZ$86&lt;&gt;"")*IF(((UPPER($AS$86:$AZ$86)="BLANK")+(UPPER($AS$86:$AZ$86)="(BLANK)")+(UPPER($AS$86:$AZ$86)="EMPTY")+(UPPER($AS$86:$AZ$86)="(EMPTY)"))&gt;0,IFERROR(('Final Calculation Sheet'!$Z$27)&amp;"","")="",ISNUMBER(SEARCH($AS$86:$AZ$86,IFERROR(('Final Calculation Sheet'!$Z$27)&amp;"","")))))&gt;0))))</f>
        <v>1</v>
      </c>
      <c r="CN28">
        <f>IF($AB$4="",1,--(AND(SUMPRODUCT(--($AS$87:$AZ$87&lt;&gt;""))&gt;0,IF(COUNTIF($BI$87:$BP$87,1)=0,TRUE,SUMPRODUCT(($BI$87:$BP$87=1)*($AS$87:$AZ$87&lt;&gt;"")*IF(((UPPER($AS$87:$AZ$87)="BLANK")+(UPPER($AS$87:$AZ$87)="(BLANK)")+(UPPER($AS$87:$AZ$87)="EMPTY")+(UPPER($AS$87:$AZ$87)="(EMPTY)"))&gt;0,IFERROR(('Final Calculation Sheet'!$AA$27)&amp;"","")="",ISNUMBER(SEARCH($AS$87:$AZ$87,IFERROR(('Final Calculation Sheet'!$AA$27)&amp;"","")))))&gt;0),IF(COUNTIF($BI$87:$BP$87,2)=0,TRUE,SUMPRODUCT(($BI$87:$BP$87=2)*($AS$87:$AZ$87&lt;&gt;"")*IF(((UPPER($AS$87:$AZ$87)="BLANK")+(UPPER($AS$87:$AZ$87)="(BLANK)")+(UPPER($AS$87:$AZ$87)="EMPTY")+(UPPER($AS$87:$AZ$87)="(EMPTY)"))&gt;0,IFERROR(('Final Calculation Sheet'!$AA$27)&amp;"","")="",ISNUMBER(SEARCH($AS$87:$AZ$87,IFERROR(('Final Calculation Sheet'!$AA$27)&amp;"","")))))&gt;0),IF(COUNTIF($BI$87:$BP$87,3)=0,TRUE,SUMPRODUCT(($BI$87:$BP$87=3)*($AS$87:$AZ$87&lt;&gt;"")*IF(((UPPER($AS$87:$AZ$87)="BLANK")+(UPPER($AS$87:$AZ$87)="(BLANK)")+(UPPER($AS$87:$AZ$87)="EMPTY")+(UPPER($AS$87:$AZ$87)="(EMPTY)"))&gt;0,IFERROR(('Final Calculation Sheet'!$AA$27)&amp;"","")="",ISNUMBER(SEARCH($AS$87:$AZ$87,IFERROR(('Final Calculation Sheet'!$AA$27)&amp;"","")))))&gt;0),IF(COUNTIF($BI$87:$BP$87,4)=0,TRUE,SUMPRODUCT(($BI$87:$BP$87=4)*($AS$87:$AZ$87&lt;&gt;"")*IF(((UPPER($AS$87:$AZ$87)="BLANK")+(UPPER($AS$87:$AZ$87)="(BLANK)")+(UPPER($AS$87:$AZ$87)="EMPTY")+(UPPER($AS$87:$AZ$87)="(EMPTY)"))&gt;0,IFERROR(('Final Calculation Sheet'!$AA$27)&amp;"","")="",ISNUMBER(SEARCH($AS$87:$AZ$87,IFERROR(('Final Calculation Sheet'!$AA$27)&amp;"","")))))&gt;0),IF(COUNTIF($BI$87:$BP$87,5)=0,TRUE,SUMPRODUCT(($BI$87:$BP$87=5)*($AS$87:$AZ$87&lt;&gt;"")*IF(((UPPER($AS$87:$AZ$87)="BLANK")+(UPPER($AS$87:$AZ$87)="(BLANK)")+(UPPER($AS$87:$AZ$87)="EMPTY")+(UPPER($AS$87:$AZ$87)="(EMPTY)"))&gt;0,IFERROR(('Final Calculation Sheet'!$AA$27)&amp;"","")="",ISNUMBER(SEARCH($AS$87:$AZ$87,IFERROR(('Final Calculation Sheet'!$AA$27)&amp;"","")))))&gt;0),IF(COUNTIF($BI$87:$BP$87,6)=0,TRUE,SUMPRODUCT(($BI$87:$BP$87=6)*($AS$87:$AZ$87&lt;&gt;"")*IF(((UPPER($AS$87:$AZ$87)="BLANK")+(UPPER($AS$87:$AZ$87)="(BLANK)")+(UPPER($AS$87:$AZ$87)="EMPTY")+(UPPER($AS$87:$AZ$87)="(EMPTY)"))&gt;0,IFERROR(('Final Calculation Sheet'!$AA$27)&amp;"","")="",ISNUMBER(SEARCH($AS$87:$AZ$87,IFERROR(('Final Calculation Sheet'!$AA$27)&amp;"","")))))&gt;0),IF(COUNTIF($BI$87:$BP$87,7)=0,TRUE,SUMPRODUCT(($BI$87:$BP$87=7)*($AS$87:$AZ$87&lt;&gt;"")*IF(((UPPER($AS$87:$AZ$87)="BLANK")+(UPPER($AS$87:$AZ$87)="(BLANK)")+(UPPER($AS$87:$AZ$87)="EMPTY")+(UPPER($AS$87:$AZ$87)="(EMPTY)"))&gt;0,IFERROR(('Final Calculation Sheet'!$AA$27)&amp;"","")="",ISNUMBER(SEARCH($AS$87:$AZ$87,IFERROR(('Final Calculation Sheet'!$AA$27)&amp;"","")))))&gt;0),IF(COUNTIF($BI$87:$BP$87,8)=0,TRUE,SUMPRODUCT(($BI$87:$BP$87=8)*($AS$87:$AZ$87&lt;&gt;"")*IF(((UPPER($AS$87:$AZ$87)="BLANK")+(UPPER($AS$87:$AZ$87)="(BLANK)")+(UPPER($AS$87:$AZ$87)="EMPTY")+(UPPER($AS$87:$AZ$87)="(EMPTY)"))&gt;0,IFERROR(('Final Calculation Sheet'!$AA$27)&amp;"","")="",ISNUMBER(SEARCH($AS$87:$AZ$87,IFERROR(('Final Calculation Sheet'!$AA$27)&amp;"","")))))&gt;0))))</f>
        <v>1</v>
      </c>
      <c r="CO28">
        <f>IF($AC$4="",1,--(AND(SUMPRODUCT(--($AS$88:$AZ$88&lt;&gt;""))&gt;0,IF(COUNTIF($BI$88:$BP$88,1)=0,TRUE,SUMPRODUCT(($BI$88:$BP$88=1)*($AS$88:$AZ$88&lt;&gt;"")*IF(((UPPER($AS$88:$AZ$88)="BLANK")+(UPPER($AS$88:$AZ$88)="(BLANK)")+(UPPER($AS$88:$AZ$88)="EMPTY")+(UPPER($AS$88:$AZ$88)="(EMPTY)"))&gt;0,IFERROR(('Final Calculation Sheet'!$AB$27)&amp;"","")="",ISNUMBER(SEARCH($AS$88:$AZ$88,IFERROR(('Final Calculation Sheet'!$AB$27)&amp;"","")))))&gt;0),IF(COUNTIF($BI$88:$BP$88,2)=0,TRUE,SUMPRODUCT(($BI$88:$BP$88=2)*($AS$88:$AZ$88&lt;&gt;"")*IF(((UPPER($AS$88:$AZ$88)="BLANK")+(UPPER($AS$88:$AZ$88)="(BLANK)")+(UPPER($AS$88:$AZ$88)="EMPTY")+(UPPER($AS$88:$AZ$88)="(EMPTY)"))&gt;0,IFERROR(('Final Calculation Sheet'!$AB$27)&amp;"","")="",ISNUMBER(SEARCH($AS$88:$AZ$88,IFERROR(('Final Calculation Sheet'!$AB$27)&amp;"","")))))&gt;0),IF(COUNTIF($BI$88:$BP$88,3)=0,TRUE,SUMPRODUCT(($BI$88:$BP$88=3)*($AS$88:$AZ$88&lt;&gt;"")*IF(((UPPER($AS$88:$AZ$88)="BLANK")+(UPPER($AS$88:$AZ$88)="(BLANK)")+(UPPER($AS$88:$AZ$88)="EMPTY")+(UPPER($AS$88:$AZ$88)="(EMPTY)"))&gt;0,IFERROR(('Final Calculation Sheet'!$AB$27)&amp;"","")="",ISNUMBER(SEARCH($AS$88:$AZ$88,IFERROR(('Final Calculation Sheet'!$AB$27)&amp;"","")))))&gt;0),IF(COUNTIF($BI$88:$BP$88,4)=0,TRUE,SUMPRODUCT(($BI$88:$BP$88=4)*($AS$88:$AZ$88&lt;&gt;"")*IF(((UPPER($AS$88:$AZ$88)="BLANK")+(UPPER($AS$88:$AZ$88)="(BLANK)")+(UPPER($AS$88:$AZ$88)="EMPTY")+(UPPER($AS$88:$AZ$88)="(EMPTY)"))&gt;0,IFERROR(('Final Calculation Sheet'!$AB$27)&amp;"","")="",ISNUMBER(SEARCH($AS$88:$AZ$88,IFERROR(('Final Calculation Sheet'!$AB$27)&amp;"","")))))&gt;0),IF(COUNTIF($BI$88:$BP$88,5)=0,TRUE,SUMPRODUCT(($BI$88:$BP$88=5)*($AS$88:$AZ$88&lt;&gt;"")*IF(((UPPER($AS$88:$AZ$88)="BLANK")+(UPPER($AS$88:$AZ$88)="(BLANK)")+(UPPER($AS$88:$AZ$88)="EMPTY")+(UPPER($AS$88:$AZ$88)="(EMPTY)"))&gt;0,IFERROR(('Final Calculation Sheet'!$AB$27)&amp;"","")="",ISNUMBER(SEARCH($AS$88:$AZ$88,IFERROR(('Final Calculation Sheet'!$AB$27)&amp;"","")))))&gt;0),IF(COUNTIF($BI$88:$BP$88,6)=0,TRUE,SUMPRODUCT(($BI$88:$BP$88=6)*($AS$88:$AZ$88&lt;&gt;"")*IF(((UPPER($AS$88:$AZ$88)="BLANK")+(UPPER($AS$88:$AZ$88)="(BLANK)")+(UPPER($AS$88:$AZ$88)="EMPTY")+(UPPER($AS$88:$AZ$88)="(EMPTY)"))&gt;0,IFERROR(('Final Calculation Sheet'!$AB$27)&amp;"","")="",ISNUMBER(SEARCH($AS$88:$AZ$88,IFERROR(('Final Calculation Sheet'!$AB$27)&amp;"","")))))&gt;0),IF(COUNTIF($BI$88:$BP$88,7)=0,TRUE,SUMPRODUCT(($BI$88:$BP$88=7)*($AS$88:$AZ$88&lt;&gt;"")*IF(((UPPER($AS$88:$AZ$88)="BLANK")+(UPPER($AS$88:$AZ$88)="(BLANK)")+(UPPER($AS$88:$AZ$88)="EMPTY")+(UPPER($AS$88:$AZ$88)="(EMPTY)"))&gt;0,IFERROR(('Final Calculation Sheet'!$AB$27)&amp;"","")="",ISNUMBER(SEARCH($AS$88:$AZ$88,IFERROR(('Final Calculation Sheet'!$AB$27)&amp;"","")))))&gt;0),IF(COUNTIF($BI$88:$BP$88,8)=0,TRUE,SUMPRODUCT(($BI$88:$BP$88=8)*($AS$88:$AZ$88&lt;&gt;"")*IF(((UPPER($AS$88:$AZ$88)="BLANK")+(UPPER($AS$88:$AZ$88)="(BLANK)")+(UPPER($AS$88:$AZ$88)="EMPTY")+(UPPER($AS$88:$AZ$88)="(EMPTY)"))&gt;0,IFERROR(('Final Calculation Sheet'!$AB$27)&amp;"","")="",ISNUMBER(SEARCH($AS$88:$AZ$88,IFERROR(('Final Calculation Sheet'!$AB$27)&amp;"","")))))&gt;0))))</f>
        <v>1</v>
      </c>
      <c r="CP28">
        <f>IF($AD$4="",1,--(AND(SUMPRODUCT(--($AS$89:$AZ$89&lt;&gt;""))&gt;0,IF(COUNTIF($BI$89:$BP$89,1)=0,TRUE,SUMPRODUCT(($BI$89:$BP$89=1)*($AS$89:$AZ$89&lt;&gt;"")*IF(((UPPER($AS$89:$AZ$89)="BLANK")+(UPPER($AS$89:$AZ$89)="(BLANK)")+(UPPER($AS$89:$AZ$89)="EMPTY")+(UPPER($AS$89:$AZ$89)="(EMPTY)"))&gt;0,IFERROR(('Final Calculation Sheet'!$AC$27)&amp;"","")="",ISNUMBER(SEARCH($AS$89:$AZ$89,IFERROR(('Final Calculation Sheet'!$AC$27)&amp;"","")))))&gt;0),IF(COUNTIF($BI$89:$BP$89,2)=0,TRUE,SUMPRODUCT(($BI$89:$BP$89=2)*($AS$89:$AZ$89&lt;&gt;"")*IF(((UPPER($AS$89:$AZ$89)="BLANK")+(UPPER($AS$89:$AZ$89)="(BLANK)")+(UPPER($AS$89:$AZ$89)="EMPTY")+(UPPER($AS$89:$AZ$89)="(EMPTY)"))&gt;0,IFERROR(('Final Calculation Sheet'!$AC$27)&amp;"","")="",ISNUMBER(SEARCH($AS$89:$AZ$89,IFERROR(('Final Calculation Sheet'!$AC$27)&amp;"","")))))&gt;0),IF(COUNTIF($BI$89:$BP$89,3)=0,TRUE,SUMPRODUCT(($BI$89:$BP$89=3)*($AS$89:$AZ$89&lt;&gt;"")*IF(((UPPER($AS$89:$AZ$89)="BLANK")+(UPPER($AS$89:$AZ$89)="(BLANK)")+(UPPER($AS$89:$AZ$89)="EMPTY")+(UPPER($AS$89:$AZ$89)="(EMPTY)"))&gt;0,IFERROR(('Final Calculation Sheet'!$AC$27)&amp;"","")="",ISNUMBER(SEARCH($AS$89:$AZ$89,IFERROR(('Final Calculation Sheet'!$AC$27)&amp;"","")))))&gt;0),IF(COUNTIF($BI$89:$BP$89,4)=0,TRUE,SUMPRODUCT(($BI$89:$BP$89=4)*($AS$89:$AZ$89&lt;&gt;"")*IF(((UPPER($AS$89:$AZ$89)="BLANK")+(UPPER($AS$89:$AZ$89)="(BLANK)")+(UPPER($AS$89:$AZ$89)="EMPTY")+(UPPER($AS$89:$AZ$89)="(EMPTY)"))&gt;0,IFERROR(('Final Calculation Sheet'!$AC$27)&amp;"","")="",ISNUMBER(SEARCH($AS$89:$AZ$89,IFERROR(('Final Calculation Sheet'!$AC$27)&amp;"","")))))&gt;0),IF(COUNTIF($BI$89:$BP$89,5)=0,TRUE,SUMPRODUCT(($BI$89:$BP$89=5)*($AS$89:$AZ$89&lt;&gt;"")*IF(((UPPER($AS$89:$AZ$89)="BLANK")+(UPPER($AS$89:$AZ$89)="(BLANK)")+(UPPER($AS$89:$AZ$89)="EMPTY")+(UPPER($AS$89:$AZ$89)="(EMPTY)"))&gt;0,IFERROR(('Final Calculation Sheet'!$AC$27)&amp;"","")="",ISNUMBER(SEARCH($AS$89:$AZ$89,IFERROR(('Final Calculation Sheet'!$AC$27)&amp;"","")))))&gt;0),IF(COUNTIF($BI$89:$BP$89,6)=0,TRUE,SUMPRODUCT(($BI$89:$BP$89=6)*($AS$89:$AZ$89&lt;&gt;"")*IF(((UPPER($AS$89:$AZ$89)="BLANK")+(UPPER($AS$89:$AZ$89)="(BLANK)")+(UPPER($AS$89:$AZ$89)="EMPTY")+(UPPER($AS$89:$AZ$89)="(EMPTY)"))&gt;0,IFERROR(('Final Calculation Sheet'!$AC$27)&amp;"","")="",ISNUMBER(SEARCH($AS$89:$AZ$89,IFERROR(('Final Calculation Sheet'!$AC$27)&amp;"","")))))&gt;0),IF(COUNTIF($BI$89:$BP$89,7)=0,TRUE,SUMPRODUCT(($BI$89:$BP$89=7)*($AS$89:$AZ$89&lt;&gt;"")*IF(((UPPER($AS$89:$AZ$89)="BLANK")+(UPPER($AS$89:$AZ$89)="(BLANK)")+(UPPER($AS$89:$AZ$89)="EMPTY")+(UPPER($AS$89:$AZ$89)="(EMPTY)"))&gt;0,IFERROR(('Final Calculation Sheet'!$AC$27)&amp;"","")="",ISNUMBER(SEARCH($AS$89:$AZ$89,IFERROR(('Final Calculation Sheet'!$AC$27)&amp;"","")))))&gt;0),IF(COUNTIF($BI$89:$BP$89,8)=0,TRUE,SUMPRODUCT(($BI$89:$BP$89=8)*($AS$89:$AZ$89&lt;&gt;"")*IF(((UPPER($AS$89:$AZ$89)="BLANK")+(UPPER($AS$89:$AZ$89)="(BLANK)")+(UPPER($AS$89:$AZ$89)="EMPTY")+(UPPER($AS$89:$AZ$89)="(EMPTY)"))&gt;0,IFERROR(('Final Calculation Sheet'!$AC$27)&amp;"","")="",ISNUMBER(SEARCH($AS$89:$AZ$89,IFERROR(('Final Calculation Sheet'!$AC$27)&amp;"","")))))&gt;0))))</f>
        <v>1</v>
      </c>
      <c r="CQ28">
        <f>IF($AE$4="",1,--(AND(SUMPRODUCT(--($AS$90:$AZ$90&lt;&gt;""))&gt;0,IF(COUNTIF($BI$90:$BP$90,1)=0,TRUE,SUMPRODUCT(($BI$90:$BP$90=1)*($AS$90:$AZ$90&lt;&gt;"")*IF(((UPPER($AS$90:$AZ$90)="BLANK")+(UPPER($AS$90:$AZ$90)="(BLANK)")+(UPPER($AS$90:$AZ$90)="EMPTY")+(UPPER($AS$90:$AZ$90)="(EMPTY)"))&gt;0,IFERROR(('Final Calculation Sheet'!$AD$27)&amp;"","")="",ISNUMBER(SEARCH($AS$90:$AZ$90,IFERROR(('Final Calculation Sheet'!$AD$27)&amp;"","")))))&gt;0),IF(COUNTIF($BI$90:$BP$90,2)=0,TRUE,SUMPRODUCT(($BI$90:$BP$90=2)*($AS$90:$AZ$90&lt;&gt;"")*IF(((UPPER($AS$90:$AZ$90)="BLANK")+(UPPER($AS$90:$AZ$90)="(BLANK)")+(UPPER($AS$90:$AZ$90)="EMPTY")+(UPPER($AS$90:$AZ$90)="(EMPTY)"))&gt;0,IFERROR(('Final Calculation Sheet'!$AD$27)&amp;"","")="",ISNUMBER(SEARCH($AS$90:$AZ$90,IFERROR(('Final Calculation Sheet'!$AD$27)&amp;"","")))))&gt;0),IF(COUNTIF($BI$90:$BP$90,3)=0,TRUE,SUMPRODUCT(($BI$90:$BP$90=3)*($AS$90:$AZ$90&lt;&gt;"")*IF(((UPPER($AS$90:$AZ$90)="BLANK")+(UPPER($AS$90:$AZ$90)="(BLANK)")+(UPPER($AS$90:$AZ$90)="EMPTY")+(UPPER($AS$90:$AZ$90)="(EMPTY)"))&gt;0,IFERROR(('Final Calculation Sheet'!$AD$27)&amp;"","")="",ISNUMBER(SEARCH($AS$90:$AZ$90,IFERROR(('Final Calculation Sheet'!$AD$27)&amp;"","")))))&gt;0),IF(COUNTIF($BI$90:$BP$90,4)=0,TRUE,SUMPRODUCT(($BI$90:$BP$90=4)*($AS$90:$AZ$90&lt;&gt;"")*IF(((UPPER($AS$90:$AZ$90)="BLANK")+(UPPER($AS$90:$AZ$90)="(BLANK)")+(UPPER($AS$90:$AZ$90)="EMPTY")+(UPPER($AS$90:$AZ$90)="(EMPTY)"))&gt;0,IFERROR(('Final Calculation Sheet'!$AD$27)&amp;"","")="",ISNUMBER(SEARCH($AS$90:$AZ$90,IFERROR(('Final Calculation Sheet'!$AD$27)&amp;"","")))))&gt;0),IF(COUNTIF($BI$90:$BP$90,5)=0,TRUE,SUMPRODUCT(($BI$90:$BP$90=5)*($AS$90:$AZ$90&lt;&gt;"")*IF(((UPPER($AS$90:$AZ$90)="BLANK")+(UPPER($AS$90:$AZ$90)="(BLANK)")+(UPPER($AS$90:$AZ$90)="EMPTY")+(UPPER($AS$90:$AZ$90)="(EMPTY)"))&gt;0,IFERROR(('Final Calculation Sheet'!$AD$27)&amp;"","")="",ISNUMBER(SEARCH($AS$90:$AZ$90,IFERROR(('Final Calculation Sheet'!$AD$27)&amp;"","")))))&gt;0),IF(COUNTIF($BI$90:$BP$90,6)=0,TRUE,SUMPRODUCT(($BI$90:$BP$90=6)*($AS$90:$AZ$90&lt;&gt;"")*IF(((UPPER($AS$90:$AZ$90)="BLANK")+(UPPER($AS$90:$AZ$90)="(BLANK)")+(UPPER($AS$90:$AZ$90)="EMPTY")+(UPPER($AS$90:$AZ$90)="(EMPTY)"))&gt;0,IFERROR(('Final Calculation Sheet'!$AD$27)&amp;"","")="",ISNUMBER(SEARCH($AS$90:$AZ$90,IFERROR(('Final Calculation Sheet'!$AD$27)&amp;"","")))))&gt;0),IF(COUNTIF($BI$90:$BP$90,7)=0,TRUE,SUMPRODUCT(($BI$90:$BP$90=7)*($AS$90:$AZ$90&lt;&gt;"")*IF(((UPPER($AS$90:$AZ$90)="BLANK")+(UPPER($AS$90:$AZ$90)="(BLANK)")+(UPPER($AS$90:$AZ$90)="EMPTY")+(UPPER($AS$90:$AZ$90)="(EMPTY)"))&gt;0,IFERROR(('Final Calculation Sheet'!$AD$27)&amp;"","")="",ISNUMBER(SEARCH($AS$90:$AZ$90,IFERROR(('Final Calculation Sheet'!$AD$27)&amp;"","")))))&gt;0),IF(COUNTIF($BI$90:$BP$90,8)=0,TRUE,SUMPRODUCT(($BI$90:$BP$90=8)*($AS$90:$AZ$90&lt;&gt;"")*IF(((UPPER($AS$90:$AZ$90)="BLANK")+(UPPER($AS$90:$AZ$90)="(BLANK)")+(UPPER($AS$90:$AZ$90)="EMPTY")+(UPPER($AS$90:$AZ$90)="(EMPTY)"))&gt;0,IFERROR(('Final Calculation Sheet'!$AD$27)&amp;"","")="",ISNUMBER(SEARCH($AS$90:$AZ$90,IFERROR(('Final Calculation Sheet'!$AD$27)&amp;"","")))))&gt;0))))</f>
        <v>1</v>
      </c>
      <c r="CR28">
        <f>IF($AF$4="",1,--(AND(SUMPRODUCT(--($AS$91:$AZ$91&lt;&gt;""))&gt;0,IF(COUNTIF($BI$91:$BP$91,1)=0,TRUE,SUMPRODUCT(($BI$91:$BP$91=1)*($AS$91:$AZ$91&lt;&gt;"")*IF(((UPPER($AS$91:$AZ$91)="BLANK")+(UPPER($AS$91:$AZ$91)="(BLANK)")+(UPPER($AS$91:$AZ$91)="EMPTY")+(UPPER($AS$91:$AZ$91)="(EMPTY)"))&gt;0,IFERROR(('Final Calculation Sheet'!$AE$27)&amp;"","")="",ISNUMBER(SEARCH($AS$91:$AZ$91,IFERROR(('Final Calculation Sheet'!$AE$27)&amp;"","")))))&gt;0),IF(COUNTIF($BI$91:$BP$91,2)=0,TRUE,SUMPRODUCT(($BI$91:$BP$91=2)*($AS$91:$AZ$91&lt;&gt;"")*IF(((UPPER($AS$91:$AZ$91)="BLANK")+(UPPER($AS$91:$AZ$91)="(BLANK)")+(UPPER($AS$91:$AZ$91)="EMPTY")+(UPPER($AS$91:$AZ$91)="(EMPTY)"))&gt;0,IFERROR(('Final Calculation Sheet'!$AE$27)&amp;"","")="",ISNUMBER(SEARCH($AS$91:$AZ$91,IFERROR(('Final Calculation Sheet'!$AE$27)&amp;"","")))))&gt;0),IF(COUNTIF($BI$91:$BP$91,3)=0,TRUE,SUMPRODUCT(($BI$91:$BP$91=3)*($AS$91:$AZ$91&lt;&gt;"")*IF(((UPPER($AS$91:$AZ$91)="BLANK")+(UPPER($AS$91:$AZ$91)="(BLANK)")+(UPPER($AS$91:$AZ$91)="EMPTY")+(UPPER($AS$91:$AZ$91)="(EMPTY)"))&gt;0,IFERROR(('Final Calculation Sheet'!$AE$27)&amp;"","")="",ISNUMBER(SEARCH($AS$91:$AZ$91,IFERROR(('Final Calculation Sheet'!$AE$27)&amp;"","")))))&gt;0),IF(COUNTIF($BI$91:$BP$91,4)=0,TRUE,SUMPRODUCT(($BI$91:$BP$91=4)*($AS$91:$AZ$91&lt;&gt;"")*IF(((UPPER($AS$91:$AZ$91)="BLANK")+(UPPER($AS$91:$AZ$91)="(BLANK)")+(UPPER($AS$91:$AZ$91)="EMPTY")+(UPPER($AS$91:$AZ$91)="(EMPTY)"))&gt;0,IFERROR(('Final Calculation Sheet'!$AE$27)&amp;"","")="",ISNUMBER(SEARCH($AS$91:$AZ$91,IFERROR(('Final Calculation Sheet'!$AE$27)&amp;"","")))))&gt;0),IF(COUNTIF($BI$91:$BP$91,5)=0,TRUE,SUMPRODUCT(($BI$91:$BP$91=5)*($AS$91:$AZ$91&lt;&gt;"")*IF(((UPPER($AS$91:$AZ$91)="BLANK")+(UPPER($AS$91:$AZ$91)="(BLANK)")+(UPPER($AS$91:$AZ$91)="EMPTY")+(UPPER($AS$91:$AZ$91)="(EMPTY)"))&gt;0,IFERROR(('Final Calculation Sheet'!$AE$27)&amp;"","")="",ISNUMBER(SEARCH($AS$91:$AZ$91,IFERROR(('Final Calculation Sheet'!$AE$27)&amp;"","")))))&gt;0),IF(COUNTIF($BI$91:$BP$91,6)=0,TRUE,SUMPRODUCT(($BI$91:$BP$91=6)*($AS$91:$AZ$91&lt;&gt;"")*IF(((UPPER($AS$91:$AZ$91)="BLANK")+(UPPER($AS$91:$AZ$91)="(BLANK)")+(UPPER($AS$91:$AZ$91)="EMPTY")+(UPPER($AS$91:$AZ$91)="(EMPTY)"))&gt;0,IFERROR(('Final Calculation Sheet'!$AE$27)&amp;"","")="",ISNUMBER(SEARCH($AS$91:$AZ$91,IFERROR(('Final Calculation Sheet'!$AE$27)&amp;"","")))))&gt;0),IF(COUNTIF($BI$91:$BP$91,7)=0,TRUE,SUMPRODUCT(($BI$91:$BP$91=7)*($AS$91:$AZ$91&lt;&gt;"")*IF(((UPPER($AS$91:$AZ$91)="BLANK")+(UPPER($AS$91:$AZ$91)="(BLANK)")+(UPPER($AS$91:$AZ$91)="EMPTY")+(UPPER($AS$91:$AZ$91)="(EMPTY)"))&gt;0,IFERROR(('Final Calculation Sheet'!$AE$27)&amp;"","")="",ISNUMBER(SEARCH($AS$91:$AZ$91,IFERROR(('Final Calculation Sheet'!$AE$27)&amp;"","")))))&gt;0),IF(COUNTIF($BI$91:$BP$91,8)=0,TRUE,SUMPRODUCT(($BI$91:$BP$91=8)*($AS$91:$AZ$91&lt;&gt;"")*IF(((UPPER($AS$91:$AZ$91)="BLANK")+(UPPER($AS$91:$AZ$91)="(BLANK)")+(UPPER($AS$91:$AZ$91)="EMPTY")+(UPPER($AS$91:$AZ$91)="(EMPTY)"))&gt;0,IFERROR(('Final Calculation Sheet'!$AE$27)&amp;"","")="",ISNUMBER(SEARCH($AS$91:$AZ$91,IFERROR(('Final Calculation Sheet'!$AE$27)&amp;"","")))))&gt;0))))</f>
        <v>1</v>
      </c>
      <c r="CS28">
        <f>IF($AG$4="",1,--(AND(SUMPRODUCT(--($AS$92:$AZ$92&lt;&gt;""))&gt;0,IF(COUNTIF($BI$92:$BP$92,1)=0,TRUE,SUMPRODUCT(($BI$92:$BP$92=1)*($AS$92:$AZ$92&lt;&gt;"")*IF(((UPPER($AS$92:$AZ$92)="BLANK")+(UPPER($AS$92:$AZ$92)="(BLANK)")+(UPPER($AS$92:$AZ$92)="EMPTY")+(UPPER($AS$92:$AZ$92)="(EMPTY)"))&gt;0,IFERROR(('Final Calculation Sheet'!$AF$27)&amp;"","")="",ISNUMBER(SEARCH($AS$92:$AZ$92,IFERROR(('Final Calculation Sheet'!$AF$27)&amp;"","")))))&gt;0),IF(COUNTIF($BI$92:$BP$92,2)=0,TRUE,SUMPRODUCT(($BI$92:$BP$92=2)*($AS$92:$AZ$92&lt;&gt;"")*IF(((UPPER($AS$92:$AZ$92)="BLANK")+(UPPER($AS$92:$AZ$92)="(BLANK)")+(UPPER($AS$92:$AZ$92)="EMPTY")+(UPPER($AS$92:$AZ$92)="(EMPTY)"))&gt;0,IFERROR(('Final Calculation Sheet'!$AF$27)&amp;"","")="",ISNUMBER(SEARCH($AS$92:$AZ$92,IFERROR(('Final Calculation Sheet'!$AF$27)&amp;"","")))))&gt;0),IF(COUNTIF($BI$92:$BP$92,3)=0,TRUE,SUMPRODUCT(($BI$92:$BP$92=3)*($AS$92:$AZ$92&lt;&gt;"")*IF(((UPPER($AS$92:$AZ$92)="BLANK")+(UPPER($AS$92:$AZ$92)="(BLANK)")+(UPPER($AS$92:$AZ$92)="EMPTY")+(UPPER($AS$92:$AZ$92)="(EMPTY)"))&gt;0,IFERROR(('Final Calculation Sheet'!$AF$27)&amp;"","")="",ISNUMBER(SEARCH($AS$92:$AZ$92,IFERROR(('Final Calculation Sheet'!$AF$27)&amp;"","")))))&gt;0),IF(COUNTIF($BI$92:$BP$92,4)=0,TRUE,SUMPRODUCT(($BI$92:$BP$92=4)*($AS$92:$AZ$92&lt;&gt;"")*IF(((UPPER($AS$92:$AZ$92)="BLANK")+(UPPER($AS$92:$AZ$92)="(BLANK)")+(UPPER($AS$92:$AZ$92)="EMPTY")+(UPPER($AS$92:$AZ$92)="(EMPTY)"))&gt;0,IFERROR(('Final Calculation Sheet'!$AF$27)&amp;"","")="",ISNUMBER(SEARCH($AS$92:$AZ$92,IFERROR(('Final Calculation Sheet'!$AF$27)&amp;"","")))))&gt;0),IF(COUNTIF($BI$92:$BP$92,5)=0,TRUE,SUMPRODUCT(($BI$92:$BP$92=5)*($AS$92:$AZ$92&lt;&gt;"")*IF(((UPPER($AS$92:$AZ$92)="BLANK")+(UPPER($AS$92:$AZ$92)="(BLANK)")+(UPPER($AS$92:$AZ$92)="EMPTY")+(UPPER($AS$92:$AZ$92)="(EMPTY)"))&gt;0,IFERROR(('Final Calculation Sheet'!$AF$27)&amp;"","")="",ISNUMBER(SEARCH($AS$92:$AZ$92,IFERROR(('Final Calculation Sheet'!$AF$27)&amp;"","")))))&gt;0),IF(COUNTIF($BI$92:$BP$92,6)=0,TRUE,SUMPRODUCT(($BI$92:$BP$92=6)*($AS$92:$AZ$92&lt;&gt;"")*IF(((UPPER($AS$92:$AZ$92)="BLANK")+(UPPER($AS$92:$AZ$92)="(BLANK)")+(UPPER($AS$92:$AZ$92)="EMPTY")+(UPPER($AS$92:$AZ$92)="(EMPTY)"))&gt;0,IFERROR(('Final Calculation Sheet'!$AF$27)&amp;"","")="",ISNUMBER(SEARCH($AS$92:$AZ$92,IFERROR(('Final Calculation Sheet'!$AF$27)&amp;"","")))))&gt;0),IF(COUNTIF($BI$92:$BP$92,7)=0,TRUE,SUMPRODUCT(($BI$92:$BP$92=7)*($AS$92:$AZ$92&lt;&gt;"")*IF(((UPPER($AS$92:$AZ$92)="BLANK")+(UPPER($AS$92:$AZ$92)="(BLANK)")+(UPPER($AS$92:$AZ$92)="EMPTY")+(UPPER($AS$92:$AZ$92)="(EMPTY)"))&gt;0,IFERROR(('Final Calculation Sheet'!$AF$27)&amp;"","")="",ISNUMBER(SEARCH($AS$92:$AZ$92,IFERROR(('Final Calculation Sheet'!$AF$27)&amp;"","")))))&gt;0),IF(COUNTIF($BI$92:$BP$92,8)=0,TRUE,SUMPRODUCT(($BI$92:$BP$92=8)*($AS$92:$AZ$92&lt;&gt;"")*IF(((UPPER($AS$92:$AZ$92)="BLANK")+(UPPER($AS$92:$AZ$92)="(BLANK)")+(UPPER($AS$92:$AZ$92)="EMPTY")+(UPPER($AS$92:$AZ$92)="(EMPTY)"))&gt;0,IFERROR(('Final Calculation Sheet'!$AF$27)&amp;"","")="",ISNUMBER(SEARCH($AS$92:$AZ$92,IFERROR(('Final Calculation Sheet'!$AF$27)&amp;"","")))))&gt;0))))</f>
        <v>1</v>
      </c>
      <c r="CT28">
        <f>IF($AH$4="",1,--(AND(SUMPRODUCT(--($AS$93:$AZ$93&lt;&gt;""))&gt;0,IF(COUNTIF($BI$93:$BP$93,1)=0,TRUE,SUMPRODUCT(($BI$93:$BP$93=1)*($AS$93:$AZ$93&lt;&gt;"")*IF(((UPPER($AS$93:$AZ$93)="BLANK")+(UPPER($AS$93:$AZ$93)="(BLANK)")+(UPPER($AS$93:$AZ$93)="EMPTY")+(UPPER($AS$93:$AZ$93)="(EMPTY)"))&gt;0,IFERROR(('Final Calculation Sheet'!$AG$27)&amp;"","")="",ISNUMBER(SEARCH($AS$93:$AZ$93,IFERROR(('Final Calculation Sheet'!$AG$27)&amp;"","")))))&gt;0),IF(COUNTIF($BI$93:$BP$93,2)=0,TRUE,SUMPRODUCT(($BI$93:$BP$93=2)*($AS$93:$AZ$93&lt;&gt;"")*IF(((UPPER($AS$93:$AZ$93)="BLANK")+(UPPER($AS$93:$AZ$93)="(BLANK)")+(UPPER($AS$93:$AZ$93)="EMPTY")+(UPPER($AS$93:$AZ$93)="(EMPTY)"))&gt;0,IFERROR(('Final Calculation Sheet'!$AG$27)&amp;"","")="",ISNUMBER(SEARCH($AS$93:$AZ$93,IFERROR(('Final Calculation Sheet'!$AG$27)&amp;"","")))))&gt;0),IF(COUNTIF($BI$93:$BP$93,3)=0,TRUE,SUMPRODUCT(($BI$93:$BP$93=3)*($AS$93:$AZ$93&lt;&gt;"")*IF(((UPPER($AS$93:$AZ$93)="BLANK")+(UPPER($AS$93:$AZ$93)="(BLANK)")+(UPPER($AS$93:$AZ$93)="EMPTY")+(UPPER($AS$93:$AZ$93)="(EMPTY)"))&gt;0,IFERROR(('Final Calculation Sheet'!$AG$27)&amp;"","")="",ISNUMBER(SEARCH($AS$93:$AZ$93,IFERROR(('Final Calculation Sheet'!$AG$27)&amp;"","")))))&gt;0),IF(COUNTIF($BI$93:$BP$93,4)=0,TRUE,SUMPRODUCT(($BI$93:$BP$93=4)*($AS$93:$AZ$93&lt;&gt;"")*IF(((UPPER($AS$93:$AZ$93)="BLANK")+(UPPER($AS$93:$AZ$93)="(BLANK)")+(UPPER($AS$93:$AZ$93)="EMPTY")+(UPPER($AS$93:$AZ$93)="(EMPTY)"))&gt;0,IFERROR(('Final Calculation Sheet'!$AG$27)&amp;"","")="",ISNUMBER(SEARCH($AS$93:$AZ$93,IFERROR(('Final Calculation Sheet'!$AG$27)&amp;"","")))))&gt;0),IF(COUNTIF($BI$93:$BP$93,5)=0,TRUE,SUMPRODUCT(($BI$93:$BP$93=5)*($AS$93:$AZ$93&lt;&gt;"")*IF(((UPPER($AS$93:$AZ$93)="BLANK")+(UPPER($AS$93:$AZ$93)="(BLANK)")+(UPPER($AS$93:$AZ$93)="EMPTY")+(UPPER($AS$93:$AZ$93)="(EMPTY)"))&gt;0,IFERROR(('Final Calculation Sheet'!$AG$27)&amp;"","")="",ISNUMBER(SEARCH($AS$93:$AZ$93,IFERROR(('Final Calculation Sheet'!$AG$27)&amp;"","")))))&gt;0),IF(COUNTIF($BI$93:$BP$93,6)=0,TRUE,SUMPRODUCT(($BI$93:$BP$93=6)*($AS$93:$AZ$93&lt;&gt;"")*IF(((UPPER($AS$93:$AZ$93)="BLANK")+(UPPER($AS$93:$AZ$93)="(BLANK)")+(UPPER($AS$93:$AZ$93)="EMPTY")+(UPPER($AS$93:$AZ$93)="(EMPTY)"))&gt;0,IFERROR(('Final Calculation Sheet'!$AG$27)&amp;"","")="",ISNUMBER(SEARCH($AS$93:$AZ$93,IFERROR(('Final Calculation Sheet'!$AG$27)&amp;"","")))))&gt;0),IF(COUNTIF($BI$93:$BP$93,7)=0,TRUE,SUMPRODUCT(($BI$93:$BP$93=7)*($AS$93:$AZ$93&lt;&gt;"")*IF(((UPPER($AS$93:$AZ$93)="BLANK")+(UPPER($AS$93:$AZ$93)="(BLANK)")+(UPPER($AS$93:$AZ$93)="EMPTY")+(UPPER($AS$93:$AZ$93)="(EMPTY)"))&gt;0,IFERROR(('Final Calculation Sheet'!$AG$27)&amp;"","")="",ISNUMBER(SEARCH($AS$93:$AZ$93,IFERROR(('Final Calculation Sheet'!$AG$27)&amp;"","")))))&gt;0),IF(COUNTIF($BI$93:$BP$93,8)=0,TRUE,SUMPRODUCT(($BI$93:$BP$93=8)*($AS$93:$AZ$93&lt;&gt;"")*IF(((UPPER($AS$93:$AZ$93)="BLANK")+(UPPER($AS$93:$AZ$93)="(BLANK)")+(UPPER($AS$93:$AZ$93)="EMPTY")+(UPPER($AS$93:$AZ$93)="(EMPTY)"))&gt;0,IFERROR(('Final Calculation Sheet'!$AG$27)&amp;"","")="",ISNUMBER(SEARCH($AS$93:$AZ$93,IFERROR(('Final Calculation Sheet'!$AG$27)&amp;"","")))))&gt;0))))</f>
        <v>1</v>
      </c>
      <c r="CU28">
        <f>IF($AI$4="",1,--(AND(SUMPRODUCT(--($AS$94:$AZ$94&lt;&gt;""))&gt;0,IF(COUNTIF($BI$94:$BP$94,1)=0,TRUE,SUMPRODUCT(($BI$94:$BP$94=1)*($AS$94:$AZ$94&lt;&gt;"")*IF(((UPPER($AS$94:$AZ$94)="BLANK")+(UPPER($AS$94:$AZ$94)="(BLANK)")+(UPPER($AS$94:$AZ$94)="EMPTY")+(UPPER($AS$94:$AZ$94)="(EMPTY)"))&gt;0,IFERROR((IF('Final Calculation Sheet'!$AD$27&lt;=0,"SETTLED","OUTSTANDING"))&amp;"","")="",ISNUMBER(SEARCH($AS$94:$AZ$94,IFERROR((IF('Final Calculation Sheet'!$AD$27&lt;=0,"SETTLED","OUTSTANDING"))&amp;"","")))))&gt;0),IF(COUNTIF($BI$94:$BP$94,2)=0,TRUE,SUMPRODUCT(($BI$94:$BP$94=2)*($AS$94:$AZ$94&lt;&gt;"")*IF(((UPPER($AS$94:$AZ$94)="BLANK")+(UPPER($AS$94:$AZ$94)="(BLANK)")+(UPPER($AS$94:$AZ$94)="EMPTY")+(UPPER($AS$94:$AZ$94)="(EMPTY)"))&gt;0,IFERROR((IF('Final Calculation Sheet'!$AD$27&lt;=0,"SETTLED","OUTSTANDING"))&amp;"","")="",ISNUMBER(SEARCH($AS$94:$AZ$94,IFERROR((IF('Final Calculation Sheet'!$AD$27&lt;=0,"SETTLED","OUTSTANDING"))&amp;"","")))))&gt;0),IF(COUNTIF($BI$94:$BP$94,3)=0,TRUE,SUMPRODUCT(($BI$94:$BP$94=3)*($AS$94:$AZ$94&lt;&gt;"")*IF(((UPPER($AS$94:$AZ$94)="BLANK")+(UPPER($AS$94:$AZ$94)="(BLANK)")+(UPPER($AS$94:$AZ$94)="EMPTY")+(UPPER($AS$94:$AZ$94)="(EMPTY)"))&gt;0,IFERROR((IF('Final Calculation Sheet'!$AD$27&lt;=0,"SETTLED","OUTSTANDING"))&amp;"","")="",ISNUMBER(SEARCH($AS$94:$AZ$94,IFERROR((IF('Final Calculation Sheet'!$AD$27&lt;=0,"SETTLED","OUTSTANDING"))&amp;"","")))))&gt;0),IF(COUNTIF($BI$94:$BP$94,4)=0,TRUE,SUMPRODUCT(($BI$94:$BP$94=4)*($AS$94:$AZ$94&lt;&gt;"")*IF(((UPPER($AS$94:$AZ$94)="BLANK")+(UPPER($AS$94:$AZ$94)="(BLANK)")+(UPPER($AS$94:$AZ$94)="EMPTY")+(UPPER($AS$94:$AZ$94)="(EMPTY)"))&gt;0,IFERROR((IF('Final Calculation Sheet'!$AD$27&lt;=0,"SETTLED","OUTSTANDING"))&amp;"","")="",ISNUMBER(SEARCH($AS$94:$AZ$94,IFERROR((IF('Final Calculation Sheet'!$AD$27&lt;=0,"SETTLED","OUTSTANDING"))&amp;"","")))))&gt;0),IF(COUNTIF($BI$94:$BP$94,5)=0,TRUE,SUMPRODUCT(($BI$94:$BP$94=5)*($AS$94:$AZ$94&lt;&gt;"")*IF(((UPPER($AS$94:$AZ$94)="BLANK")+(UPPER($AS$94:$AZ$94)="(BLANK)")+(UPPER($AS$94:$AZ$94)="EMPTY")+(UPPER($AS$94:$AZ$94)="(EMPTY)"))&gt;0,IFERROR((IF('Final Calculation Sheet'!$AD$27&lt;=0,"SETTLED","OUTSTANDING"))&amp;"","")="",ISNUMBER(SEARCH($AS$94:$AZ$94,IFERROR((IF('Final Calculation Sheet'!$AD$27&lt;=0,"SETTLED","OUTSTANDING"))&amp;"","")))))&gt;0),IF(COUNTIF($BI$94:$BP$94,6)=0,TRUE,SUMPRODUCT(($BI$94:$BP$94=6)*($AS$94:$AZ$94&lt;&gt;"")*IF(((UPPER($AS$94:$AZ$94)="BLANK")+(UPPER($AS$94:$AZ$94)="(BLANK)")+(UPPER($AS$94:$AZ$94)="EMPTY")+(UPPER($AS$94:$AZ$94)="(EMPTY)"))&gt;0,IFERROR((IF('Final Calculation Sheet'!$AD$27&lt;=0,"SETTLED","OUTSTANDING"))&amp;"","")="",ISNUMBER(SEARCH($AS$94:$AZ$94,IFERROR((IF('Final Calculation Sheet'!$AD$27&lt;=0,"SETTLED","OUTSTANDING"))&amp;"","")))))&gt;0),IF(COUNTIF($BI$94:$BP$94,7)=0,TRUE,SUMPRODUCT(($BI$94:$BP$94=7)*($AS$94:$AZ$94&lt;&gt;"")*IF(((UPPER($AS$94:$AZ$94)="BLANK")+(UPPER($AS$94:$AZ$94)="(BLANK)")+(UPPER($AS$94:$AZ$94)="EMPTY")+(UPPER($AS$94:$AZ$94)="(EMPTY)"))&gt;0,IFERROR((IF('Final Calculation Sheet'!$AD$27&lt;=0,"SETTLED","OUTSTANDING"))&amp;"","")="",ISNUMBER(SEARCH($AS$94:$AZ$94,IFERROR((IF('Final Calculation Sheet'!$AD$27&lt;=0,"SETTLED","OUTSTANDING"))&amp;"","")))))&gt;0),IF(COUNTIF($BI$94:$BP$94,8)=0,TRUE,SUMPRODUCT(($BI$94:$BP$94=8)*($AS$94:$AZ$94&lt;&gt;"")*IF(((UPPER($AS$94:$AZ$94)="BLANK")+(UPPER($AS$94:$AZ$94)="(BLANK)")+(UPPER($AS$94:$AZ$94)="EMPTY")+(UPPER($AS$94:$AZ$94)="(EMPTY)"))&gt;0,IFERROR((IF('Final Calculation Sheet'!$AD$27&lt;=0,"SETTLED","OUTSTANDING"))&amp;"","")="",ISNUMBER(SEARCH($AS$94:$AZ$94,IFERROR((IF('Final Calculation Sheet'!$AD$27&lt;=0,"SETTLED","OUTSTANDING"))&amp;"","")))))&gt;0))))</f>
        <v>1</v>
      </c>
    </row>
    <row r="29" spans="1:99" ht="15" customHeight="1" x14ac:dyDescent="0.25">
      <c r="A29" s="67">
        <f>IF($BJ28&gt;0,INDEX($BA$5:$BA$41,MATCH(28,$BB$5:$BB$41,0)),IF(OR($BI28=1,$BL28=1,$BH28&gt;0),"∑",""))</f>
        <v>12</v>
      </c>
      <c r="B29" s="68">
        <f>IF($BJ28&gt;0,IF(INDEX('Final Calculation Sheet'!$F$4:$F$40,$BJ28-3)="","",INDEX('Final Calculation Sheet'!$F$4:$F$40,$BJ28-3)),"")</f>
        <v>2019</v>
      </c>
      <c r="C29" s="68" t="str">
        <f>IF($BJ28&gt;0,IF(INDEX('Final Calculation Sheet'!$G$4:$G$40,$BJ28-3)="","",INDEX('Final Calculation Sheet'!$G$4:$G$40,$BJ28-3)),IF(OR($BI28=1,$BL28=1,$BH28&gt;0),IF($BI28=1,37,IF($BL28=1,37-INDEX($BD$4:$BD$13,10),INDEX($BD$4:$BD$13,$BH28)))&amp;" lot(s)",""))</f>
        <v>NATIONAL ENTERPRISES</v>
      </c>
      <c r="D29" s="69" t="str">
        <f>IF($BJ28&gt;0,IF(INDEX('Final Calculation Sheet'!$B$4:$B$40,$BJ28-3)="","",INDEX('Final Calculation Sheet'!$B$4:$B$40,$BJ28-3)),IF(OR($BI28=1,$BL28=1,$BH28&gt;0),IF($BI28=1,"GRAND TOTAL  —  matching + remaining",IF($BL28=1,"TOTAL MATCHED  —  every group together",IF($BH28=10,"REMAINING  —  did not match the search",IF($BH28=9,IF(COUNTIF($A$4:$AI$4,"&lt;&gt;")&gt;0,"FILTERED LOTS  —  column fields","ALL LOTS  —  nothing typed in the box"),"GROUP "&amp;$BH28&amp;" TOTAL  —  lots matching  "&amp;INDEX($AR$6:$AY$6,$BH28))))),""))</f>
        <v>Scrap of 220 KV Circuit Breaker</v>
      </c>
      <c r="E29" s="69">
        <f>IF($BJ28&gt;0,IF(INDEX('Final Calculation Sheet'!$D$4:$D$40,$BJ28-3)="","",INDEX('Final Calculation Sheet'!$D$4:$D$40,$BJ28-3)),IF(OR($BI28=1,$BL28=1,$BH28&gt;0),"–",""))</f>
        <v>21978</v>
      </c>
      <c r="F29" s="69">
        <f>IF($BJ28&gt;0,IF(INDEX('Final Calculation Sheet'!$A$4:$A$40,$BJ28-3)="","",INDEX('Final Calculation Sheet'!$A$4:$A$40,$BJ28-3)),IF(OR($BI28=1,$BL28=1,$BH28&gt;0),IF($BI28=1,SUM('Final Calculation Sheet'!$A$4:$A$40),IF($BL28=1,SUM('Final Calculation Sheet'!$A$4:$A$40)-SUMIFS('Final Calculation Sheet'!$A$4:$A$40,$AZ$5:$AZ$41,10),SUMIFS('Final Calculation Sheet'!$A$4:$A$40,$AZ$5:$AZ$41,$BH28))),""))</f>
        <v>1</v>
      </c>
      <c r="G29" s="69" t="str">
        <f>IF($BJ28&gt;0,IF(INDEX('Final Calculation Sheet'!$E$4:$E$40,$BJ28-3)="","",INDEX('Final Calculation Sheet'!$E$4:$E$40,$BJ28-3)),IF(OR($BI28=1,$BL28=1,$BH28&gt;0),"–",""))</f>
        <v>NO</v>
      </c>
      <c r="H29" s="70">
        <f>IF($BJ28&gt;0,IF(INDEX('Final Calculation Sheet'!$C$4:$C$40,$BJ28-3)="","",INDEX('Final Calculation Sheet'!$C$4:$C$40,$BJ28-3)),IF(OR($BI28=1,$BL28=1,$BH28&gt;0),"–",""))</f>
        <v>210001</v>
      </c>
      <c r="I29" s="70">
        <f>IF($BJ28&gt;0,IF(INDEX('Final Calculation Sheet'!$H$4:$H$40,$BJ28-3)="","",INDEX('Final Calculation Sheet'!$H$4:$H$40,$BJ28-3)),IF(OR($BI28=1,$BL28=1,$BH28&gt;0),IF($BI28=1,SUM('Final Calculation Sheet'!$H$4:$H$40),IF($BL28=1,SUM('Final Calculation Sheet'!$H$4:$H$40)-SUMIFS('Final Calculation Sheet'!$H$4:$H$40,$AZ$5:$AZ$41,10),SUMIFS('Final Calculation Sheet'!$H$4:$H$40,$AZ$5:$AZ$41,$BH28))),""))</f>
        <v>210001</v>
      </c>
      <c r="J29" s="70">
        <f>IF($BJ28&gt;0,IF(INDEX('Final Calculation Sheet'!$I$4:$I$40,$BJ28-3)="","",INDEX('Final Calculation Sheet'!$I$4:$I$40,$BJ28-3)),IF(OR($BI28=1,$BL28=1,$BH28&gt;0),IF($BI28=1,SUM('Final Calculation Sheet'!$I$4:$I$40),IF($BL28=1,SUM('Final Calculation Sheet'!$I$4:$I$40)-SUMIFS('Final Calculation Sheet'!$I$4:$I$40,$AZ$5:$AZ$41,10),SUMIFS('Final Calculation Sheet'!$I$4:$I$40,$AZ$5:$AZ$41,$BH28))),""))</f>
        <v>37800</v>
      </c>
      <c r="K29" s="70">
        <f>IF($BJ28&gt;0,IF(INDEX('Final Calculation Sheet'!$J$4:$J$40,$BJ28-3)="","",INDEX('Final Calculation Sheet'!$J$4:$J$40,$BJ28-3)),IF(OR($BI28=1,$BL28=1,$BH28&gt;0),IF($BI28=1,SUM('Final Calculation Sheet'!$J$4:$J$40),IF($BL28=1,SUM('Final Calculation Sheet'!$J$4:$J$40)-SUMIFS('Final Calculation Sheet'!$J$4:$J$40,$AZ$5:$AZ$41,10),SUMIFS('Final Calculation Sheet'!$J$4:$J$40,$AZ$5:$AZ$41,$BH28))),""))</f>
        <v>247801</v>
      </c>
      <c r="L29" s="70">
        <f>IF($BJ28&gt;0,IF(INDEX('Final Calculation Sheet'!$K$4:$K$40,$BJ28-3)="","",INDEX('Final Calculation Sheet'!$K$4:$K$40,$BJ28-3)),IF(OR($BI28=1,$BL28=1,$BH28&gt;0),IF($BI28=1,SUM('Final Calculation Sheet'!$K$4:$K$40),IF($BL28=1,SUM('Final Calculation Sheet'!$K$4:$K$40)-SUMIFS('Final Calculation Sheet'!$K$4:$K$40,$AZ$5:$AZ$41,10),SUMIFS('Final Calculation Sheet'!$K$4:$K$40,$AZ$5:$AZ$41,$BH28))),""))</f>
        <v>4956</v>
      </c>
      <c r="M29" s="70">
        <f>IF($BJ28&gt;0,IF(INDEX('Final Calculation Sheet'!$L$4:$L$40,$BJ28-3)="","",INDEX('Final Calculation Sheet'!$L$4:$L$40,$BJ28-3)),IF(OR($BI28=1,$BL28=1,$BH28&gt;0),IF($BI28=1,SUM('Final Calculation Sheet'!$L$4:$L$40),IF($BL28=1,SUM('Final Calculation Sheet'!$L$4:$L$40)-SUMIFS('Final Calculation Sheet'!$L$4:$L$40,$AZ$5:$AZ$41,10),SUMIFS('Final Calculation Sheet'!$L$4:$L$40,$AZ$5:$AZ$41,$BH28))),""))</f>
        <v>210.001</v>
      </c>
      <c r="N29" s="70">
        <f>IF($BJ28&gt;0,IF(INDEX('Final Calculation Sheet'!$M$4:$M$40,$BJ28-3)="","",INDEX('Final Calculation Sheet'!$M$4:$M$40,$BJ28-3)),IF(OR($BI28=1,$BL28=1,$BH28&gt;0),IF($BI28=1,SUM('Final Calculation Sheet'!$M$4:$M$40),IF($BL28=1,SUM('Final Calculation Sheet'!$M$4:$M$40)-SUMIFS('Final Calculation Sheet'!$M$4:$M$40,$AZ$5:$AZ$41,10),SUMIFS('Final Calculation Sheet'!$M$4:$M$40,$AZ$5:$AZ$41,$BH28))),""))</f>
        <v>5575.5265499999996</v>
      </c>
      <c r="O29" s="71">
        <f>IF($BJ28&gt;0,IF(INDEX('Final Calculation Sheet'!$N$4:$N$40,$BJ28-3)="","",INDEX('Final Calculation Sheet'!$N$4:$N$40,$BJ28-3)),IF(OR($BI28=1,$BL28=1,$BH28&gt;0),IF($BI28=1,SUM('Final Calculation Sheet'!$N$4:$N$40),IF($BL28=1,SUM('Final Calculation Sheet'!$N$4:$N$40)-SUMIFS('Final Calculation Sheet'!$N$4:$N$40,$AZ$5:$AZ$41,10),SUMIFS('Final Calculation Sheet'!$N$4:$N$40,$AZ$5:$AZ$41,$BH28))),""))</f>
        <v>94.500450000000001</v>
      </c>
      <c r="P29" s="70">
        <f>IF($BJ28&gt;0,IF(INDEX('Final Calculation Sheet'!$O$4:$O$40,$BJ28-3)="","",INDEX('Final Calculation Sheet'!$O$4:$O$40,$BJ28-3)),IF(OR($BI28=1,$BL28=1,$BH28&gt;0),IF($BI28=1,SUM('Final Calculation Sheet'!$O$4:$O$40),IF($BL28=1,SUM('Final Calculation Sheet'!$O$4:$O$40)-SUMIFS('Final Calculation Sheet'!$O$4:$O$40,$AZ$5:$AZ$41,10),SUMIFS('Final Calculation Sheet'!$O$4:$O$40,$AZ$5:$AZ$41,$BH28))),""))</f>
        <v>5481.0260999999991</v>
      </c>
      <c r="Q29" s="70">
        <f>IF($BJ28&gt;0,IF(INDEX('Final Calculation Sheet'!$P$4:$P$40,$BJ28-3)="","",INDEX('Final Calculation Sheet'!$P$4:$P$40,$BJ28-3)),IF(OR($BI28=1,$BL28=1,$BH28&gt;0),IF($BI28=1,SUM('Final Calculation Sheet'!$P$4:$P$40),IF($BL28=1,SUM('Final Calculation Sheet'!$P$4:$P$40)-SUMIFS('Final Calculation Sheet'!$P$4:$P$40,$AZ$5:$AZ$41,10),SUMIFS('Final Calculation Sheet'!$P$4:$P$40,$AZ$5:$AZ$41,$BH28))),""))</f>
        <v>5691</v>
      </c>
      <c r="R29" s="72">
        <f>IF($BJ28&gt;0,IF(INDEX('Final Calculation Sheet'!$Q$4:$Q$40,$BJ28-3)="","",INDEX('Final Calculation Sheet'!$Q$4:$Q$40,$BJ28-3)),IF(OR($BI28=1,$BL28=1,$BH28&gt;0),"–",""))</f>
        <v>0</v>
      </c>
      <c r="S29" s="70">
        <f>IF($BJ28&gt;0,IF(INDEX('Final Calculation Sheet'!$R$4:$R$40,$BJ28-3)="","",INDEX('Final Calculation Sheet'!$R$4:$R$40,$BJ28-3)),IF(OR($BI28=1,$BL28=1,$BH28&gt;0),IF($BI28=1,SUM('Final Calculation Sheet'!$R$4:$R$40),IF($BL28=1,SUM('Final Calculation Sheet'!$R$4:$R$40)-SUMIFS('Final Calculation Sheet'!$R$4:$R$40,$AZ$5:$AZ$41,10),SUMIFS('Final Calculation Sheet'!$R$4:$R$40,$AZ$5:$AZ$41,$BH28))),""))</f>
        <v>0</v>
      </c>
      <c r="T29" s="70">
        <f>IF($BJ28&gt;0,IF(INDEX('Final Calculation Sheet'!$S$4:$S$40,$BJ28-3)="","",INDEX('Final Calculation Sheet'!$S$4:$S$40,$BJ28-3)),IF(OR($BI28=1,$BL28=1,$BH28&gt;0),IF($BI28=1,SUM('Final Calculation Sheet'!$S$4:$S$40),IF($BL28=1,SUM('Final Calculation Sheet'!$S$4:$S$40)-SUMIFS('Final Calculation Sheet'!$S$4:$S$40,$AZ$5:$AZ$41,10),SUMIFS('Final Calculation Sheet'!$S$4:$S$40,$AZ$5:$AZ$41,$BH28))),""))</f>
        <v>247066</v>
      </c>
      <c r="U29" s="70">
        <f>IF($BJ28&gt;0,IF(INDEX('Final Calculation Sheet'!$T$4:$T$40,$BJ28-3)="","",INDEX('Final Calculation Sheet'!$T$4:$T$40,$BJ28-3)),IF(OR($BI28=1,$BL28=1,$BH28&gt;0),IF($BI28=1,SUM('Final Calculation Sheet'!$T$4:$T$40),IF($BL28=1,SUM('Final Calculation Sheet'!$T$4:$T$40)-SUMIFS('Final Calculation Sheet'!$T$4:$T$40,$AZ$5:$AZ$41,10),SUMIFS('Final Calculation Sheet'!$T$4:$T$40,$AZ$5:$AZ$41,$BH28))),""))</f>
        <v>52500</v>
      </c>
      <c r="V29" s="73">
        <f>IF($BJ28&gt;0,IF(INDEX('Final Calculation Sheet'!$U$4:$U$40,$BJ28-3)="","",INDEX('Final Calculation Sheet'!$U$4:$U$40,$BJ28-3)),IF(OR($BI28=1,$BL28=1,$BH28&gt;0),IF($BI28=1,SUM('Final Calculation Sheet'!$U$4:$U$40),IF($BL28=1,SUM('Final Calculation Sheet'!$U$4:$U$40)-SUMIFS('Final Calculation Sheet'!$U$4:$U$40,$AZ$5:$AZ$41,10),SUMIFS('Final Calculation Sheet'!$U$4:$U$40,$AZ$5:$AZ$41,$BH28))),""))</f>
        <v>52500</v>
      </c>
      <c r="W29" s="70" t="str">
        <f>IF($BJ28&gt;0,IF(INDEX('Final Calculation Sheet'!$V$4:$V$40,$BJ28-3)="","",INDEX('Final Calculation Sheet'!$V$4:$V$40,$BJ28-3)),IF(OR($BI28=1,$BL28=1,$BH28&gt;0),"–",""))</f>
        <v>13.08.2026</v>
      </c>
      <c r="X29" s="70">
        <f>IF($BJ28&gt;0,IF(INDEX('Final Calculation Sheet'!$W$4:$W$40,$BJ28-3)="","",INDEX('Final Calculation Sheet'!$W$4:$W$40,$BJ28-3)),IF(OR($BI28=1,$BL28=1,$BH28&gt;0),IF($BI28=1,SUM('Final Calculation Sheet'!$W$4:$W$40),IF($BL28=1,SUM('Final Calculation Sheet'!$W$4:$W$40)-SUMIFS('Final Calculation Sheet'!$W$4:$W$40,$AZ$5:$AZ$41,10),SUMIFS('Final Calculation Sheet'!$W$4:$W$40,$AZ$5:$AZ$41,$BH28))),""))</f>
        <v>194566</v>
      </c>
      <c r="Y29" s="70">
        <f>IF($BJ28&gt;0,IF(INDEX('Final Calculation Sheet'!$X$4:$X$40,$BJ28-3)="","",INDEX('Final Calculation Sheet'!$X$4:$X$40,$BJ28-3)),IF(OR($BI28=1,$BL28=1,$BH28&gt;0),IF($BI28=1,SUM('Final Calculation Sheet'!$X$4:$X$40),IF($BL28=1,SUM('Final Calculation Sheet'!$X$4:$X$40)-SUMIFS('Final Calculation Sheet'!$X$4:$X$40,$AZ$5:$AZ$41,10),SUMIFS('Final Calculation Sheet'!$X$4:$X$40,$AZ$5:$AZ$41,$BH28))),""))</f>
        <v>194566</v>
      </c>
      <c r="Z29" s="70" t="str">
        <f>IF($BJ28&gt;0,IF(INDEX('Final Calculation Sheet'!$Y$4:$Y$40,$BJ28-3)="","",INDEX('Final Calculation Sheet'!$Y$4:$Y$40,$BJ28-3)),IF(OR($BI28=1,$BL28=1,$BH28&gt;0),"–",""))</f>
        <v>24.08.2026</v>
      </c>
      <c r="AA29" s="70">
        <f ca="1">IF($BJ28&gt;0,IF(INDEX('Final Calculation Sheet'!$Z$4:$Z$40,$BJ28-3)="","",INDEX('Final Calculation Sheet'!$Z$4:$Z$40,$BJ28-3)),IF(OR($BI28=1,$BL28=1,$BH28&gt;0),IF($BI28=1,SUM('Final Calculation Sheet'!$Z$4:$Z$40),IF($BL28=1,SUM('Final Calculation Sheet'!$Z$4:$Z$40)-SUMIFS('Final Calculation Sheet'!$Z$4:$Z$40,$AZ$5:$AZ$41,10),SUMIFS('Final Calculation Sheet'!$Z$4:$Z$40,$AZ$5:$AZ$41,$BH28))),""))</f>
        <v>0</v>
      </c>
      <c r="AB29" s="70" t="str">
        <f>IF($BJ28&gt;0,IF(INDEX('Final Calculation Sheet'!$AA$4:$AA$40,$BJ28-3)="","",INDEX('Final Calculation Sheet'!$AA$4:$AA$40,$BJ28-3)),IF(OR($BI28=1,$BL28=1,$BH28&gt;0),IF($BI28=1,SUM('Final Calculation Sheet'!$AA$4:$AA$40),IF($BL28=1,SUM('Final Calculation Sheet'!$AA$4:$AA$40)-SUMIFS('Final Calculation Sheet'!$AA$4:$AA$40,$AZ$5:$AZ$41,10),SUMIFS('Final Calculation Sheet'!$AA$4:$AA$40,$AZ$5:$AZ$41,$BH28))),""))</f>
        <v/>
      </c>
      <c r="AC29" s="70" t="str">
        <f>IF($BJ28&gt;0,IF(INDEX('Final Calculation Sheet'!$AB$4:$AB$40,$BJ28-3)="","",INDEX('Final Calculation Sheet'!$AB$4:$AB$40,$BJ28-3)),IF(OR($BI28=1,$BL28=1,$BH28&gt;0),"–",""))</f>
        <v/>
      </c>
      <c r="AD29" s="70">
        <f>IF($BJ28&gt;0,IF(INDEX('Final Calculation Sheet'!$AC$4:$AC$40,$BJ28-3)="","",INDEX('Final Calculation Sheet'!$AC$4:$AC$40,$BJ28-3)),IF(OR($BI28=1,$BL28=1,$BH28&gt;0),IF($BI28=1,SUM('Final Calculation Sheet'!$AC$4:$AC$40),IF($BL28=1,SUM('Final Calculation Sheet'!$AC$4:$AC$40)-SUMIFS('Final Calculation Sheet'!$AC$4:$AC$40,$AZ$5:$AZ$41,10),SUMIFS('Final Calculation Sheet'!$AC$4:$AC$40,$AZ$5:$AZ$41,$BH28))),""))</f>
        <v>247066</v>
      </c>
      <c r="AE29" s="70">
        <f>IF($BJ28&gt;0,IF(INDEX('Final Calculation Sheet'!$AD$4:$AD$40,$BJ28-3)="","",INDEX('Final Calculation Sheet'!$AD$4:$AD$40,$BJ28-3)),IF(OR($BI28=1,$BL28=1,$BH28&gt;0),IF($BI28=1,SUM('Final Calculation Sheet'!$AD$4:$AD$40),IF($BL28=1,SUM('Final Calculation Sheet'!$AD$4:$AD$40)-SUMIFS('Final Calculation Sheet'!$AD$4:$AD$40,$AZ$5:$AZ$41,10),SUMIFS('Final Calculation Sheet'!$AD$4:$AD$40,$AZ$5:$AZ$41,$BH28))),""))</f>
        <v>0</v>
      </c>
      <c r="AF29" s="70" t="str">
        <f>IF($BJ28&gt;0,IF(INDEX('Final Calculation Sheet'!$AE$4:$AE$40,$BJ28-3)="","",INDEX('Final Calculation Sheet'!$AE$4:$AE$40,$BJ28-3)),IF(OR($BI28=1,$BL28=1,$BH28&gt;0),"–",""))</f>
        <v>DR2640100035</v>
      </c>
      <c r="AG29" s="74">
        <f>IF($BJ28&gt;0,IF(INDEX('Final Calculation Sheet'!$AF$4:$AF$40,$BJ28-3)="","",INDEX('Final Calculation Sheet'!$AF$4:$AF$40,$BJ28-3)),IF(OR($BI28=1,$BL28=1,$BH28&gt;0),"–",""))</f>
        <v>1800003307</v>
      </c>
      <c r="AH29" s="70" t="str">
        <f>IF($BJ28&gt;0,IF(INDEX('Final Calculation Sheet'!$AG$4:$AG$40,$BJ28-3)="","",INDEX('Final Calculation Sheet'!$AG$4:$AG$40,$BJ28-3)),IF(OR($BI28=1,$BL28=1,$BH28&gt;0),"–",""))</f>
        <v>27.08.2026</v>
      </c>
      <c r="AI29" s="75" t="str">
        <f>IF($BJ28&gt;0,IF(INDEX('Final Calculation Sheet'!$AD$4:$AD$40,$BJ28-3)="","",IF(INDEX('Final Calculation Sheet'!$AD$4:$AD$40,$BJ28-3)&lt;=0,"SETTLED","OUTSTANDING")),IF(OR($BI28=1,$BL28=1,$BH28&gt;0),IF(IF($BI28=1,SUM('Final Calculation Sheet'!$AD$4:$AD$40),IF($BL28=1,SUM('Final Calculation Sheet'!$AD$4:$AD$40)-SUMIFS('Final Calculation Sheet'!$AD$4:$AD$40,$AZ$5:$AZ$41,10),SUMIFS('Final Calculation Sheet'!$AD$4:$AD$40,$AZ$5:$AZ$41,$BH28)))&lt;=0,"ALL SETTLED","OUTSTANDING"),""))</f>
        <v>SETTLED</v>
      </c>
      <c r="AK29" t="str">
        <f>IF($F$3="Lot No.",'Final Calculation Sheet'!$F$28,IF($F$3="Buyer",'Final Calculation Sheet'!$G$28,IF($F$3="Lot Name",'Final Calculation Sheet'!$B$28,IF($F$3="Bid Sheet",'Final Calculation Sheet'!$D$28,IF($F$3="Unit",'Final Calculation Sheet'!$E$28,'Final Calculation Sheet'!$F$28&amp;" "&amp;'Final Calculation Sheet'!$G$28&amp;" "&amp;'Final Calculation Sheet'!$B$28)))))</f>
        <v>2037 WATAN SCRAP TRADERS Scrap of empty oil Barrels</v>
      </c>
      <c r="AM29">
        <f t="shared" si="1"/>
        <v>1</v>
      </c>
      <c r="AZ29">
        <f t="shared" si="2"/>
        <v>2</v>
      </c>
      <c r="BA29">
        <f t="shared" si="3"/>
        <v>4</v>
      </c>
      <c r="BB29">
        <f t="shared" si="4"/>
        <v>13</v>
      </c>
      <c r="BC29">
        <v>28</v>
      </c>
      <c r="BH29">
        <f>IFERROR(MATCH(29,$BF$4:$BF$13,0),0)</f>
        <v>0</v>
      </c>
      <c r="BI29">
        <f>IF(29=$BG$5,1,0)</f>
        <v>0</v>
      </c>
      <c r="BJ29">
        <f>IF(OR($BH29&gt;0,$BI29=1,$BL29=1),0,IFERROR(INDEX($BC$5:$BC$41,MATCH(29,$BB$5:$BB$41,0)),0))</f>
        <v>20</v>
      </c>
      <c r="BK29">
        <f>IF($BJ29&gt;0,IF(INDEX($AZ$5:$AZ$41,MATCH(29,$BB$5:$BB$41,0))=10,1,0),IF($BH29=10,1,0))</f>
        <v>1</v>
      </c>
      <c r="BL29">
        <f>IF(29=$BG$4,1,0)</f>
        <v>0</v>
      </c>
      <c r="BM29">
        <f>IF($A$4="",1,--(AND(SUMPRODUCT(--($AS$60:$AZ$60&lt;&gt;""))&gt;0,IF(COUNTIF($BI$60:$BP$60,1)=0,TRUE,SUMPRODUCT(($BI$60:$BP$60=1)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$60,2)=0,TRUE,SUMPRODUCT(($BI$60:$BP$60=2)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$60,3)=0,TRUE,SUMPRODUCT(($BI$60:$BP$60=3)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$60,4)=0,TRUE,SUMPRODUCT(($BI$60:$BP$60=4)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$60,5)=0,TRUE,SUMPRODUCT(($BI$60:$BP$60=5)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$60,6)=0,TRUE,SUMPRODUCT(($BI$60:$BP$60=6)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$60,7)=0,TRUE,SUMPRODUCT(($BI$60:$BP$60=7)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$60,8)=0,TRUE,SUMPRODUCT(($BI$60:$BP$60=8)*($AS$60:$AZ$60&lt;&gt;"")*IF(((UPPER($AS$60:$AZ$60)="BLANK")+(UPPER($AS$60:$AZ$60)="(BLANK)")+(UPPER($AS$60:$AZ$60)="EMPTY")+(UPPER($AS$60:$AZ$60)="(EMPTY)"))&gt;0,IFERROR((ROW()-4)&amp;"","")="",ISNUMBER(SEARCH($AS$60:$AZ$60,IFERROR((ROW()-4)&amp;"","")))))&gt;0))))</f>
        <v>1</v>
      </c>
      <c r="BN29">
        <f>IF($B$4="",1,--(AND(SUMPRODUCT(--($AS$61:$AZ$61&lt;&gt;""))&gt;0,IF(COUNTIF($BI$61:$BP$61,1)=0,TRUE,SUMPRODUCT(($BI$61:$BP$61=1)*($AS$61:$AZ$61&lt;&gt;"")*IF(((UPPER($AS$61:$AZ$61)="BLANK")+(UPPER($AS$61:$AZ$61)="(BLANK)")+(UPPER($AS$61:$AZ$61)="EMPTY")+(UPPER($AS$61:$AZ$61)="(EMPTY)"))&gt;0,IFERROR(('Final Calculation Sheet'!$F$28)&amp;"","")="",ISNUMBER(SEARCH($AS$61:$AZ$61,IFERROR(('Final Calculation Sheet'!$F$28)&amp;"","")))))&gt;0),IF(COUNTIF($BI$61:$BP$61,2)=0,TRUE,SUMPRODUCT(($BI$61:$BP$61=2)*($AS$61:$AZ$61&lt;&gt;"")*IF(((UPPER($AS$61:$AZ$61)="BLANK")+(UPPER($AS$61:$AZ$61)="(BLANK)")+(UPPER($AS$61:$AZ$61)="EMPTY")+(UPPER($AS$61:$AZ$61)="(EMPTY)"))&gt;0,IFERROR(('Final Calculation Sheet'!$F$28)&amp;"","")="",ISNUMBER(SEARCH($AS$61:$AZ$61,IFERROR(('Final Calculation Sheet'!$F$28)&amp;"","")))))&gt;0),IF(COUNTIF($BI$61:$BP$61,3)=0,TRUE,SUMPRODUCT(($BI$61:$BP$61=3)*($AS$61:$AZ$61&lt;&gt;"")*IF(((UPPER($AS$61:$AZ$61)="BLANK")+(UPPER($AS$61:$AZ$61)="(BLANK)")+(UPPER($AS$61:$AZ$61)="EMPTY")+(UPPER($AS$61:$AZ$61)="(EMPTY)"))&gt;0,IFERROR(('Final Calculation Sheet'!$F$28)&amp;"","")="",ISNUMBER(SEARCH($AS$61:$AZ$61,IFERROR(('Final Calculation Sheet'!$F$28)&amp;"","")))))&gt;0),IF(COUNTIF($BI$61:$BP$61,4)=0,TRUE,SUMPRODUCT(($BI$61:$BP$61=4)*($AS$61:$AZ$61&lt;&gt;"")*IF(((UPPER($AS$61:$AZ$61)="BLANK")+(UPPER($AS$61:$AZ$61)="(BLANK)")+(UPPER($AS$61:$AZ$61)="EMPTY")+(UPPER($AS$61:$AZ$61)="(EMPTY)"))&gt;0,IFERROR(('Final Calculation Sheet'!$F$28)&amp;"","")="",ISNUMBER(SEARCH($AS$61:$AZ$61,IFERROR(('Final Calculation Sheet'!$F$28)&amp;"","")))))&gt;0),IF(COUNTIF($BI$61:$BP$61,5)=0,TRUE,SUMPRODUCT(($BI$61:$BP$61=5)*($AS$61:$AZ$61&lt;&gt;"")*IF(((UPPER($AS$61:$AZ$61)="BLANK")+(UPPER($AS$61:$AZ$61)="(BLANK)")+(UPPER($AS$61:$AZ$61)="EMPTY")+(UPPER($AS$61:$AZ$61)="(EMPTY)"))&gt;0,IFERROR(('Final Calculation Sheet'!$F$28)&amp;"","")="",ISNUMBER(SEARCH($AS$61:$AZ$61,IFERROR(('Final Calculation Sheet'!$F$28)&amp;"","")))))&gt;0),IF(COUNTIF($BI$61:$BP$61,6)=0,TRUE,SUMPRODUCT(($BI$61:$BP$61=6)*($AS$61:$AZ$61&lt;&gt;"")*IF(((UPPER($AS$61:$AZ$61)="BLANK")+(UPPER($AS$61:$AZ$61)="(BLANK)")+(UPPER($AS$61:$AZ$61)="EMPTY")+(UPPER($AS$61:$AZ$61)="(EMPTY)"))&gt;0,IFERROR(('Final Calculation Sheet'!$F$28)&amp;"","")="",ISNUMBER(SEARCH($AS$61:$AZ$61,IFERROR(('Final Calculation Sheet'!$F$28)&amp;"","")))))&gt;0),IF(COUNTIF($BI$61:$BP$61,7)=0,TRUE,SUMPRODUCT(($BI$61:$BP$61=7)*($AS$61:$AZ$61&lt;&gt;"")*IF(((UPPER($AS$61:$AZ$61)="BLANK")+(UPPER($AS$61:$AZ$61)="(BLANK)")+(UPPER($AS$61:$AZ$61)="EMPTY")+(UPPER($AS$61:$AZ$61)="(EMPTY)"))&gt;0,IFERROR(('Final Calculation Sheet'!$F$28)&amp;"","")="",ISNUMBER(SEARCH($AS$61:$AZ$61,IFERROR(('Final Calculation Sheet'!$F$28)&amp;"","")))))&gt;0),IF(COUNTIF($BI$61:$BP$61,8)=0,TRUE,SUMPRODUCT(($BI$61:$BP$61=8)*($AS$61:$AZ$61&lt;&gt;"")*IF(((UPPER($AS$61:$AZ$61)="BLANK")+(UPPER($AS$61:$AZ$61)="(BLANK)")+(UPPER($AS$61:$AZ$61)="EMPTY")+(UPPER($AS$61:$AZ$61)="(EMPTY)"))&gt;0,IFERROR(('Final Calculation Sheet'!$F$28)&amp;"","")="",ISNUMBER(SEARCH($AS$61:$AZ$61,IFERROR(('Final Calculation Sheet'!$F$28)&amp;"","")))))&gt;0))))</f>
        <v>1</v>
      </c>
      <c r="BO29">
        <f>IF($C$4="",1,--(AND(SUMPRODUCT(--($AS$62:$AZ$62&lt;&gt;""))&gt;0,IF(COUNTIF($BI$62:$BP$62,1)=0,TRUE,SUMPRODUCT(($BI$62:$BP$62=1)*($AS$62:$AZ$62&lt;&gt;"")*IF(((UPPER($AS$62:$AZ$62)="BLANK")+(UPPER($AS$62:$AZ$62)="(BLANK)")+(UPPER($AS$62:$AZ$62)="EMPTY")+(UPPER($AS$62:$AZ$62)="(EMPTY)"))&gt;0,IFERROR(('Final Calculation Sheet'!$G$28)&amp;"","")="",ISNUMBER(SEARCH($AS$62:$AZ$62,IFERROR(('Final Calculation Sheet'!$G$28)&amp;"","")))))&gt;0),IF(COUNTIF($BI$62:$BP$62,2)=0,TRUE,SUMPRODUCT(($BI$62:$BP$62=2)*($AS$62:$AZ$62&lt;&gt;"")*IF(((UPPER($AS$62:$AZ$62)="BLANK")+(UPPER($AS$62:$AZ$62)="(BLANK)")+(UPPER($AS$62:$AZ$62)="EMPTY")+(UPPER($AS$62:$AZ$62)="(EMPTY)"))&gt;0,IFERROR(('Final Calculation Sheet'!$G$28)&amp;"","")="",ISNUMBER(SEARCH($AS$62:$AZ$62,IFERROR(('Final Calculation Sheet'!$G$28)&amp;"","")))))&gt;0),IF(COUNTIF($BI$62:$BP$62,3)=0,TRUE,SUMPRODUCT(($BI$62:$BP$62=3)*($AS$62:$AZ$62&lt;&gt;"")*IF(((UPPER($AS$62:$AZ$62)="BLANK")+(UPPER($AS$62:$AZ$62)="(BLANK)")+(UPPER($AS$62:$AZ$62)="EMPTY")+(UPPER($AS$62:$AZ$62)="(EMPTY)"))&gt;0,IFERROR(('Final Calculation Sheet'!$G$28)&amp;"","")="",ISNUMBER(SEARCH($AS$62:$AZ$62,IFERROR(('Final Calculation Sheet'!$G$28)&amp;"","")))))&gt;0),IF(COUNTIF($BI$62:$BP$62,4)=0,TRUE,SUMPRODUCT(($BI$62:$BP$62=4)*($AS$62:$AZ$62&lt;&gt;"")*IF(((UPPER($AS$62:$AZ$62)="BLANK")+(UPPER($AS$62:$AZ$62)="(BLANK)")+(UPPER($AS$62:$AZ$62)="EMPTY")+(UPPER($AS$62:$AZ$62)="(EMPTY)"))&gt;0,IFERROR(('Final Calculation Sheet'!$G$28)&amp;"","")="",ISNUMBER(SEARCH($AS$62:$AZ$62,IFERROR(('Final Calculation Sheet'!$G$28)&amp;"","")))))&gt;0),IF(COUNTIF($BI$62:$BP$62,5)=0,TRUE,SUMPRODUCT(($BI$62:$BP$62=5)*($AS$62:$AZ$62&lt;&gt;"")*IF(((UPPER($AS$62:$AZ$62)="BLANK")+(UPPER($AS$62:$AZ$62)="(BLANK)")+(UPPER($AS$62:$AZ$62)="EMPTY")+(UPPER($AS$62:$AZ$62)="(EMPTY)"))&gt;0,IFERROR(('Final Calculation Sheet'!$G$28)&amp;"","")="",ISNUMBER(SEARCH($AS$62:$AZ$62,IFERROR(('Final Calculation Sheet'!$G$28)&amp;"","")))))&gt;0),IF(COUNTIF($BI$62:$BP$62,6)=0,TRUE,SUMPRODUCT(($BI$62:$BP$62=6)*($AS$62:$AZ$62&lt;&gt;"")*IF(((UPPER($AS$62:$AZ$62)="BLANK")+(UPPER($AS$62:$AZ$62)="(BLANK)")+(UPPER($AS$62:$AZ$62)="EMPTY")+(UPPER($AS$62:$AZ$62)="(EMPTY)"))&gt;0,IFERROR(('Final Calculation Sheet'!$G$28)&amp;"","")="",ISNUMBER(SEARCH($AS$62:$AZ$62,IFERROR(('Final Calculation Sheet'!$G$28)&amp;"","")))))&gt;0),IF(COUNTIF($BI$62:$BP$62,7)=0,TRUE,SUMPRODUCT(($BI$62:$BP$62=7)*($AS$62:$AZ$62&lt;&gt;"")*IF(((UPPER($AS$62:$AZ$62)="BLANK")+(UPPER($AS$62:$AZ$62)="(BLANK)")+(UPPER($AS$62:$AZ$62)="EMPTY")+(UPPER($AS$62:$AZ$62)="(EMPTY)"))&gt;0,IFERROR(('Final Calculation Sheet'!$G$28)&amp;"","")="",ISNUMBER(SEARCH($AS$62:$AZ$62,IFERROR(('Final Calculation Sheet'!$G$28)&amp;"","")))))&gt;0),IF(COUNTIF($BI$62:$BP$62,8)=0,TRUE,SUMPRODUCT(($BI$62:$BP$62=8)*($AS$62:$AZ$62&lt;&gt;"")*IF(((UPPER($AS$62:$AZ$62)="BLANK")+(UPPER($AS$62:$AZ$62)="(BLANK)")+(UPPER($AS$62:$AZ$62)="EMPTY")+(UPPER($AS$62:$AZ$62)="(EMPTY)"))&gt;0,IFERROR(('Final Calculation Sheet'!$G$28)&amp;"","")="",ISNUMBER(SEARCH($AS$62:$AZ$62,IFERROR(('Final Calculation Sheet'!$G$28)&amp;"","")))))&gt;0))))</f>
        <v>1</v>
      </c>
      <c r="BP29">
        <f>IF($D$4="",1,--(AND(SUMPRODUCT(--($AS$63:$AZ$63&lt;&gt;""))&gt;0,IF(COUNTIF($BI$63:$BP$63,1)=0,TRUE,SUMPRODUCT(($BI$63:$BP$63=1)*($AS$63:$AZ$63&lt;&gt;"")*IF(((UPPER($AS$63:$AZ$63)="BLANK")+(UPPER($AS$63:$AZ$63)="(BLANK)")+(UPPER($AS$63:$AZ$63)="EMPTY")+(UPPER($AS$63:$AZ$63)="(EMPTY)"))&gt;0,IFERROR(('Final Calculation Sheet'!$B$28)&amp;"","")="",ISNUMBER(SEARCH($AS$63:$AZ$63,IFERROR(('Final Calculation Sheet'!$B$28)&amp;"","")))))&gt;0),IF(COUNTIF($BI$63:$BP$63,2)=0,TRUE,SUMPRODUCT(($BI$63:$BP$63=2)*($AS$63:$AZ$63&lt;&gt;"")*IF(((UPPER($AS$63:$AZ$63)="BLANK")+(UPPER($AS$63:$AZ$63)="(BLANK)")+(UPPER($AS$63:$AZ$63)="EMPTY")+(UPPER($AS$63:$AZ$63)="(EMPTY)"))&gt;0,IFERROR(('Final Calculation Sheet'!$B$28)&amp;"","")="",ISNUMBER(SEARCH($AS$63:$AZ$63,IFERROR(('Final Calculation Sheet'!$B$28)&amp;"","")))))&gt;0),IF(COUNTIF($BI$63:$BP$63,3)=0,TRUE,SUMPRODUCT(($BI$63:$BP$63=3)*($AS$63:$AZ$63&lt;&gt;"")*IF(((UPPER($AS$63:$AZ$63)="BLANK")+(UPPER($AS$63:$AZ$63)="(BLANK)")+(UPPER($AS$63:$AZ$63)="EMPTY")+(UPPER($AS$63:$AZ$63)="(EMPTY)"))&gt;0,IFERROR(('Final Calculation Sheet'!$B$28)&amp;"","")="",ISNUMBER(SEARCH($AS$63:$AZ$63,IFERROR(('Final Calculation Sheet'!$B$28)&amp;"","")))))&gt;0),IF(COUNTIF($BI$63:$BP$63,4)=0,TRUE,SUMPRODUCT(($BI$63:$BP$63=4)*($AS$63:$AZ$63&lt;&gt;"")*IF(((UPPER($AS$63:$AZ$63)="BLANK")+(UPPER($AS$63:$AZ$63)="(BLANK)")+(UPPER($AS$63:$AZ$63)="EMPTY")+(UPPER($AS$63:$AZ$63)="(EMPTY)"))&gt;0,IFERROR(('Final Calculation Sheet'!$B$28)&amp;"","")="",ISNUMBER(SEARCH($AS$63:$AZ$63,IFERROR(('Final Calculation Sheet'!$B$28)&amp;"","")))))&gt;0),IF(COUNTIF($BI$63:$BP$63,5)=0,TRUE,SUMPRODUCT(($BI$63:$BP$63=5)*($AS$63:$AZ$63&lt;&gt;"")*IF(((UPPER($AS$63:$AZ$63)="BLANK")+(UPPER($AS$63:$AZ$63)="(BLANK)")+(UPPER($AS$63:$AZ$63)="EMPTY")+(UPPER($AS$63:$AZ$63)="(EMPTY)"))&gt;0,IFERROR(('Final Calculation Sheet'!$B$28)&amp;"","")="",ISNUMBER(SEARCH($AS$63:$AZ$63,IFERROR(('Final Calculation Sheet'!$B$28)&amp;"","")))))&gt;0),IF(COUNTIF($BI$63:$BP$63,6)=0,TRUE,SUMPRODUCT(($BI$63:$BP$63=6)*($AS$63:$AZ$63&lt;&gt;"")*IF(((UPPER($AS$63:$AZ$63)="BLANK")+(UPPER($AS$63:$AZ$63)="(BLANK)")+(UPPER($AS$63:$AZ$63)="EMPTY")+(UPPER($AS$63:$AZ$63)="(EMPTY)"))&gt;0,IFERROR(('Final Calculation Sheet'!$B$28)&amp;"","")="",ISNUMBER(SEARCH($AS$63:$AZ$63,IFERROR(('Final Calculation Sheet'!$B$28)&amp;"","")))))&gt;0),IF(COUNTIF($BI$63:$BP$63,7)=0,TRUE,SUMPRODUCT(($BI$63:$BP$63=7)*($AS$63:$AZ$63&lt;&gt;"")*IF(((UPPER($AS$63:$AZ$63)="BLANK")+(UPPER($AS$63:$AZ$63)="(BLANK)")+(UPPER($AS$63:$AZ$63)="EMPTY")+(UPPER($AS$63:$AZ$63)="(EMPTY)"))&gt;0,IFERROR(('Final Calculation Sheet'!$B$28)&amp;"","")="",ISNUMBER(SEARCH($AS$63:$AZ$63,IFERROR(('Final Calculation Sheet'!$B$28)&amp;"","")))))&gt;0),IF(COUNTIF($BI$63:$BP$63,8)=0,TRUE,SUMPRODUCT(($BI$63:$BP$63=8)*($AS$63:$AZ$63&lt;&gt;"")*IF(((UPPER($AS$63:$AZ$63)="BLANK")+(UPPER($AS$63:$AZ$63)="(BLANK)")+(UPPER($AS$63:$AZ$63)="EMPTY")+(UPPER($AS$63:$AZ$63)="(EMPTY)"))&gt;0,IFERROR(('Final Calculation Sheet'!$B$28)&amp;"","")="",ISNUMBER(SEARCH($AS$63:$AZ$63,IFERROR(('Final Calculation Sheet'!$B$28)&amp;"","")))))&gt;0))))</f>
        <v>1</v>
      </c>
      <c r="BQ29">
        <f>IF($E$4="",1,--(AND(SUMPRODUCT(--($AS$64:$AZ$64&lt;&gt;""))&gt;0,IF(COUNTIF($BI$64:$BP$64,1)=0,TRUE,SUMPRODUCT(($BI$64:$BP$64=1)*($AS$64:$AZ$64&lt;&gt;"")*IF(((UPPER($AS$64:$AZ$64)="BLANK")+(UPPER($AS$64:$AZ$64)="(BLANK)")+(UPPER($AS$64:$AZ$64)="EMPTY")+(UPPER($AS$64:$AZ$64)="(EMPTY)"))&gt;0,IFERROR(('Final Calculation Sheet'!$D$28)&amp;"","")="",ISNUMBER(SEARCH($AS$64:$AZ$64,IFERROR(('Final Calculation Sheet'!$D$28)&amp;"","")))))&gt;0),IF(COUNTIF($BI$64:$BP$64,2)=0,TRUE,SUMPRODUCT(($BI$64:$BP$64=2)*($AS$64:$AZ$64&lt;&gt;"")*IF(((UPPER($AS$64:$AZ$64)="BLANK")+(UPPER($AS$64:$AZ$64)="(BLANK)")+(UPPER($AS$64:$AZ$64)="EMPTY")+(UPPER($AS$64:$AZ$64)="(EMPTY)"))&gt;0,IFERROR(('Final Calculation Sheet'!$D$28)&amp;"","")="",ISNUMBER(SEARCH($AS$64:$AZ$64,IFERROR(('Final Calculation Sheet'!$D$28)&amp;"","")))))&gt;0),IF(COUNTIF($BI$64:$BP$64,3)=0,TRUE,SUMPRODUCT(($BI$64:$BP$64=3)*($AS$64:$AZ$64&lt;&gt;"")*IF(((UPPER($AS$64:$AZ$64)="BLANK")+(UPPER($AS$64:$AZ$64)="(BLANK)")+(UPPER($AS$64:$AZ$64)="EMPTY")+(UPPER($AS$64:$AZ$64)="(EMPTY)"))&gt;0,IFERROR(('Final Calculation Sheet'!$D$28)&amp;"","")="",ISNUMBER(SEARCH($AS$64:$AZ$64,IFERROR(('Final Calculation Sheet'!$D$28)&amp;"","")))))&gt;0),IF(COUNTIF($BI$64:$BP$64,4)=0,TRUE,SUMPRODUCT(($BI$64:$BP$64=4)*($AS$64:$AZ$64&lt;&gt;"")*IF(((UPPER($AS$64:$AZ$64)="BLANK")+(UPPER($AS$64:$AZ$64)="(BLANK)")+(UPPER($AS$64:$AZ$64)="EMPTY")+(UPPER($AS$64:$AZ$64)="(EMPTY)"))&gt;0,IFERROR(('Final Calculation Sheet'!$D$28)&amp;"","")="",ISNUMBER(SEARCH($AS$64:$AZ$64,IFERROR(('Final Calculation Sheet'!$D$28)&amp;"","")))))&gt;0),IF(COUNTIF($BI$64:$BP$64,5)=0,TRUE,SUMPRODUCT(($BI$64:$BP$64=5)*($AS$64:$AZ$64&lt;&gt;"")*IF(((UPPER($AS$64:$AZ$64)="BLANK")+(UPPER($AS$64:$AZ$64)="(BLANK)")+(UPPER($AS$64:$AZ$64)="EMPTY")+(UPPER($AS$64:$AZ$64)="(EMPTY)"))&gt;0,IFERROR(('Final Calculation Sheet'!$D$28)&amp;"","")="",ISNUMBER(SEARCH($AS$64:$AZ$64,IFERROR(('Final Calculation Sheet'!$D$28)&amp;"","")))))&gt;0),IF(COUNTIF($BI$64:$BP$64,6)=0,TRUE,SUMPRODUCT(($BI$64:$BP$64=6)*($AS$64:$AZ$64&lt;&gt;"")*IF(((UPPER($AS$64:$AZ$64)="BLANK")+(UPPER($AS$64:$AZ$64)="(BLANK)")+(UPPER($AS$64:$AZ$64)="EMPTY")+(UPPER($AS$64:$AZ$64)="(EMPTY)"))&gt;0,IFERROR(('Final Calculation Sheet'!$D$28)&amp;"","")="",ISNUMBER(SEARCH($AS$64:$AZ$64,IFERROR(('Final Calculation Sheet'!$D$28)&amp;"","")))))&gt;0),IF(COUNTIF($BI$64:$BP$64,7)=0,TRUE,SUMPRODUCT(($BI$64:$BP$64=7)*($AS$64:$AZ$64&lt;&gt;"")*IF(((UPPER($AS$64:$AZ$64)="BLANK")+(UPPER($AS$64:$AZ$64)="(BLANK)")+(UPPER($AS$64:$AZ$64)="EMPTY")+(UPPER($AS$64:$AZ$64)="(EMPTY)"))&gt;0,IFERROR(('Final Calculation Sheet'!$D$28)&amp;"","")="",ISNUMBER(SEARCH($AS$64:$AZ$64,IFERROR(('Final Calculation Sheet'!$D$28)&amp;"","")))))&gt;0),IF(COUNTIF($BI$64:$BP$64,8)=0,TRUE,SUMPRODUCT(($BI$64:$BP$64=8)*($AS$64:$AZ$64&lt;&gt;"")*IF(((UPPER($AS$64:$AZ$64)="BLANK")+(UPPER($AS$64:$AZ$64)="(BLANK)")+(UPPER($AS$64:$AZ$64)="EMPTY")+(UPPER($AS$64:$AZ$64)="(EMPTY)"))&gt;0,IFERROR(('Final Calculation Sheet'!$D$28)&amp;"","")="",ISNUMBER(SEARCH($AS$64:$AZ$64,IFERROR(('Final Calculation Sheet'!$D$28)&amp;"","")))))&gt;0))))</f>
        <v>1</v>
      </c>
      <c r="BR29">
        <f>IF($F$4="",1,--(AND(SUMPRODUCT(--($AS$65:$AZ$65&lt;&gt;""))&gt;0,IF(COUNTIF($BI$65:$BP$65,1)=0,TRUE,SUMPRODUCT(($BI$65:$BP$65=1)*($AS$65:$AZ$65&lt;&gt;"")*IF(((UPPER($AS$65:$AZ$65)="BLANK")+(UPPER($AS$65:$AZ$65)="(BLANK)")+(UPPER($AS$65:$AZ$65)="EMPTY")+(UPPER($AS$65:$AZ$65)="(EMPTY)"))&gt;0,IFERROR(('Final Calculation Sheet'!$A$28)&amp;"","")="",ISNUMBER(SEARCH($AS$65:$AZ$65,IFERROR(('Final Calculation Sheet'!$A$28)&amp;"","")))))&gt;0),IF(COUNTIF($BI$65:$BP$65,2)=0,TRUE,SUMPRODUCT(($BI$65:$BP$65=2)*($AS$65:$AZ$65&lt;&gt;"")*IF(((UPPER($AS$65:$AZ$65)="BLANK")+(UPPER($AS$65:$AZ$65)="(BLANK)")+(UPPER($AS$65:$AZ$65)="EMPTY")+(UPPER($AS$65:$AZ$65)="(EMPTY)"))&gt;0,IFERROR(('Final Calculation Sheet'!$A$28)&amp;"","")="",ISNUMBER(SEARCH($AS$65:$AZ$65,IFERROR(('Final Calculation Sheet'!$A$28)&amp;"","")))))&gt;0),IF(COUNTIF($BI$65:$BP$65,3)=0,TRUE,SUMPRODUCT(($BI$65:$BP$65=3)*($AS$65:$AZ$65&lt;&gt;"")*IF(((UPPER($AS$65:$AZ$65)="BLANK")+(UPPER($AS$65:$AZ$65)="(BLANK)")+(UPPER($AS$65:$AZ$65)="EMPTY")+(UPPER($AS$65:$AZ$65)="(EMPTY)"))&gt;0,IFERROR(('Final Calculation Sheet'!$A$28)&amp;"","")="",ISNUMBER(SEARCH($AS$65:$AZ$65,IFERROR(('Final Calculation Sheet'!$A$28)&amp;"","")))))&gt;0),IF(COUNTIF($BI$65:$BP$65,4)=0,TRUE,SUMPRODUCT(($BI$65:$BP$65=4)*($AS$65:$AZ$65&lt;&gt;"")*IF(((UPPER($AS$65:$AZ$65)="BLANK")+(UPPER($AS$65:$AZ$65)="(BLANK)")+(UPPER($AS$65:$AZ$65)="EMPTY")+(UPPER($AS$65:$AZ$65)="(EMPTY)"))&gt;0,IFERROR(('Final Calculation Sheet'!$A$28)&amp;"","")="",ISNUMBER(SEARCH($AS$65:$AZ$65,IFERROR(('Final Calculation Sheet'!$A$28)&amp;"","")))))&gt;0),IF(COUNTIF($BI$65:$BP$65,5)=0,TRUE,SUMPRODUCT(($BI$65:$BP$65=5)*($AS$65:$AZ$65&lt;&gt;"")*IF(((UPPER($AS$65:$AZ$65)="BLANK")+(UPPER($AS$65:$AZ$65)="(BLANK)")+(UPPER($AS$65:$AZ$65)="EMPTY")+(UPPER($AS$65:$AZ$65)="(EMPTY)"))&gt;0,IFERROR(('Final Calculation Sheet'!$A$28)&amp;"","")="",ISNUMBER(SEARCH($AS$65:$AZ$65,IFERROR(('Final Calculation Sheet'!$A$28)&amp;"","")))))&gt;0),IF(COUNTIF($BI$65:$BP$65,6)=0,TRUE,SUMPRODUCT(($BI$65:$BP$65=6)*($AS$65:$AZ$65&lt;&gt;"")*IF(((UPPER($AS$65:$AZ$65)="BLANK")+(UPPER($AS$65:$AZ$65)="(BLANK)")+(UPPER($AS$65:$AZ$65)="EMPTY")+(UPPER($AS$65:$AZ$65)="(EMPTY)"))&gt;0,IFERROR(('Final Calculation Sheet'!$A$28)&amp;"","")="",ISNUMBER(SEARCH($AS$65:$AZ$65,IFERROR(('Final Calculation Sheet'!$A$28)&amp;"","")))))&gt;0),IF(COUNTIF($BI$65:$BP$65,7)=0,TRUE,SUMPRODUCT(($BI$65:$BP$65=7)*($AS$65:$AZ$65&lt;&gt;"")*IF(((UPPER($AS$65:$AZ$65)="BLANK")+(UPPER($AS$65:$AZ$65)="(BLANK)")+(UPPER($AS$65:$AZ$65)="EMPTY")+(UPPER($AS$65:$AZ$65)="(EMPTY)"))&gt;0,IFERROR(('Final Calculation Sheet'!$A$28)&amp;"","")="",ISNUMBER(SEARCH($AS$65:$AZ$65,IFERROR(('Final Calculation Sheet'!$A$28)&amp;"","")))))&gt;0),IF(COUNTIF($BI$65:$BP$65,8)=0,TRUE,SUMPRODUCT(($BI$65:$BP$65=8)*($AS$65:$AZ$65&lt;&gt;"")*IF(((UPPER($AS$65:$AZ$65)="BLANK")+(UPPER($AS$65:$AZ$65)="(BLANK)")+(UPPER($AS$65:$AZ$65)="EMPTY")+(UPPER($AS$65:$AZ$65)="(EMPTY)"))&gt;0,IFERROR(('Final Calculation Sheet'!$A$28)&amp;"","")="",ISNUMBER(SEARCH($AS$65:$AZ$65,IFERROR(('Final Calculation Sheet'!$A$28)&amp;"","")))))&gt;0))))</f>
        <v>1</v>
      </c>
      <c r="BS29">
        <f>IF($G$4="",1,--(AND(SUMPRODUCT(--($AS$66:$AZ$66&lt;&gt;""))&gt;0,IF(COUNTIF($BI$66:$BP$66,1)=0,TRUE,SUMPRODUCT(($BI$66:$BP$66=1)*($AS$66:$AZ$66&lt;&gt;"")*IF(((UPPER($AS$66:$AZ$66)="BLANK")+(UPPER($AS$66:$AZ$66)="(BLANK)")+(UPPER($AS$66:$AZ$66)="EMPTY")+(UPPER($AS$66:$AZ$66)="(EMPTY)"))&gt;0,IFERROR(('Final Calculation Sheet'!$E$28)&amp;"","")="",ISNUMBER(SEARCH($AS$66:$AZ$66,IFERROR(('Final Calculation Sheet'!$E$28)&amp;"","")))))&gt;0),IF(COUNTIF($BI$66:$BP$66,2)=0,TRUE,SUMPRODUCT(($BI$66:$BP$66=2)*($AS$66:$AZ$66&lt;&gt;"")*IF(((UPPER($AS$66:$AZ$66)="BLANK")+(UPPER($AS$66:$AZ$66)="(BLANK)")+(UPPER($AS$66:$AZ$66)="EMPTY")+(UPPER($AS$66:$AZ$66)="(EMPTY)"))&gt;0,IFERROR(('Final Calculation Sheet'!$E$28)&amp;"","")="",ISNUMBER(SEARCH($AS$66:$AZ$66,IFERROR(('Final Calculation Sheet'!$E$28)&amp;"","")))))&gt;0),IF(COUNTIF($BI$66:$BP$66,3)=0,TRUE,SUMPRODUCT(($BI$66:$BP$66=3)*($AS$66:$AZ$66&lt;&gt;"")*IF(((UPPER($AS$66:$AZ$66)="BLANK")+(UPPER($AS$66:$AZ$66)="(BLANK)")+(UPPER($AS$66:$AZ$66)="EMPTY")+(UPPER($AS$66:$AZ$66)="(EMPTY)"))&gt;0,IFERROR(('Final Calculation Sheet'!$E$28)&amp;"","")="",ISNUMBER(SEARCH($AS$66:$AZ$66,IFERROR(('Final Calculation Sheet'!$E$28)&amp;"","")))))&gt;0),IF(COUNTIF($BI$66:$BP$66,4)=0,TRUE,SUMPRODUCT(($BI$66:$BP$66=4)*($AS$66:$AZ$66&lt;&gt;"")*IF(((UPPER($AS$66:$AZ$66)="BLANK")+(UPPER($AS$66:$AZ$66)="(BLANK)")+(UPPER($AS$66:$AZ$66)="EMPTY")+(UPPER($AS$66:$AZ$66)="(EMPTY)"))&gt;0,IFERROR(('Final Calculation Sheet'!$E$28)&amp;"","")="",ISNUMBER(SEARCH($AS$66:$AZ$66,IFERROR(('Final Calculation Sheet'!$E$28)&amp;"","")))))&gt;0),IF(COUNTIF($BI$66:$BP$66,5)=0,TRUE,SUMPRODUCT(($BI$66:$BP$66=5)*($AS$66:$AZ$66&lt;&gt;"")*IF(((UPPER($AS$66:$AZ$66)="BLANK")+(UPPER($AS$66:$AZ$66)="(BLANK)")+(UPPER($AS$66:$AZ$66)="EMPTY")+(UPPER($AS$66:$AZ$66)="(EMPTY)"))&gt;0,IFERROR(('Final Calculation Sheet'!$E$28)&amp;"","")="",ISNUMBER(SEARCH($AS$66:$AZ$66,IFERROR(('Final Calculation Sheet'!$E$28)&amp;"","")))))&gt;0),IF(COUNTIF($BI$66:$BP$66,6)=0,TRUE,SUMPRODUCT(($BI$66:$BP$66=6)*($AS$66:$AZ$66&lt;&gt;"")*IF(((UPPER($AS$66:$AZ$66)="BLANK")+(UPPER($AS$66:$AZ$66)="(BLANK)")+(UPPER($AS$66:$AZ$66)="EMPTY")+(UPPER($AS$66:$AZ$66)="(EMPTY)"))&gt;0,IFERROR(('Final Calculation Sheet'!$E$28)&amp;"","")="",ISNUMBER(SEARCH($AS$66:$AZ$66,IFERROR(('Final Calculation Sheet'!$E$28)&amp;"","")))))&gt;0),IF(COUNTIF($BI$66:$BP$66,7)=0,TRUE,SUMPRODUCT(($BI$66:$BP$66=7)*($AS$66:$AZ$66&lt;&gt;"")*IF(((UPPER($AS$66:$AZ$66)="BLANK")+(UPPER($AS$66:$AZ$66)="(BLANK)")+(UPPER($AS$66:$AZ$66)="EMPTY")+(UPPER($AS$66:$AZ$66)="(EMPTY)"))&gt;0,IFERROR(('Final Calculation Sheet'!$E$28)&amp;"","")="",ISNUMBER(SEARCH($AS$66:$AZ$66,IFERROR(('Final Calculation Sheet'!$E$28)&amp;"","")))))&gt;0),IF(COUNTIF($BI$66:$BP$66,8)=0,TRUE,SUMPRODUCT(($BI$66:$BP$66=8)*($AS$66:$AZ$66&lt;&gt;"")*IF(((UPPER($AS$66:$AZ$66)="BLANK")+(UPPER($AS$66:$AZ$66)="(BLANK)")+(UPPER($AS$66:$AZ$66)="EMPTY")+(UPPER($AS$66:$AZ$66)="(EMPTY)"))&gt;0,IFERROR(('Final Calculation Sheet'!$E$28)&amp;"","")="",ISNUMBER(SEARCH($AS$66:$AZ$66,IFERROR(('Final Calculation Sheet'!$E$28)&amp;"","")))))&gt;0))))</f>
        <v>1</v>
      </c>
      <c r="BT29">
        <f>IF($H$4="",1,--(AND(SUMPRODUCT(--($AS$67:$AZ$67&lt;&gt;""))&gt;0,IF(COUNTIF($BI$67:$BP$67,1)=0,TRUE,SUMPRODUCT(($BI$67:$BP$67=1)*($AS$67:$AZ$67&lt;&gt;"")*IF(((UPPER($AS$67:$AZ$67)="BLANK")+(UPPER($AS$67:$AZ$67)="(BLANK)")+(UPPER($AS$67:$AZ$67)="EMPTY")+(UPPER($AS$67:$AZ$67)="(EMPTY)"))&gt;0,IFERROR(('Final Calculation Sheet'!$C$28)&amp;"","")="",ISNUMBER(SEARCH($AS$67:$AZ$67,IFERROR(('Final Calculation Sheet'!$C$28)&amp;"","")))))&gt;0),IF(COUNTIF($BI$67:$BP$67,2)=0,TRUE,SUMPRODUCT(($BI$67:$BP$67=2)*($AS$67:$AZ$67&lt;&gt;"")*IF(((UPPER($AS$67:$AZ$67)="BLANK")+(UPPER($AS$67:$AZ$67)="(BLANK)")+(UPPER($AS$67:$AZ$67)="EMPTY")+(UPPER($AS$67:$AZ$67)="(EMPTY)"))&gt;0,IFERROR(('Final Calculation Sheet'!$C$28)&amp;"","")="",ISNUMBER(SEARCH($AS$67:$AZ$67,IFERROR(('Final Calculation Sheet'!$C$28)&amp;"","")))))&gt;0),IF(COUNTIF($BI$67:$BP$67,3)=0,TRUE,SUMPRODUCT(($BI$67:$BP$67=3)*($AS$67:$AZ$67&lt;&gt;"")*IF(((UPPER($AS$67:$AZ$67)="BLANK")+(UPPER($AS$67:$AZ$67)="(BLANK)")+(UPPER($AS$67:$AZ$67)="EMPTY")+(UPPER($AS$67:$AZ$67)="(EMPTY)"))&gt;0,IFERROR(('Final Calculation Sheet'!$C$28)&amp;"","")="",ISNUMBER(SEARCH($AS$67:$AZ$67,IFERROR(('Final Calculation Sheet'!$C$28)&amp;"","")))))&gt;0),IF(COUNTIF($BI$67:$BP$67,4)=0,TRUE,SUMPRODUCT(($BI$67:$BP$67=4)*($AS$67:$AZ$67&lt;&gt;"")*IF(((UPPER($AS$67:$AZ$67)="BLANK")+(UPPER($AS$67:$AZ$67)="(BLANK)")+(UPPER($AS$67:$AZ$67)="EMPTY")+(UPPER($AS$67:$AZ$67)="(EMPTY)"))&gt;0,IFERROR(('Final Calculation Sheet'!$C$28)&amp;"","")="",ISNUMBER(SEARCH($AS$67:$AZ$67,IFERROR(('Final Calculation Sheet'!$C$28)&amp;"","")))))&gt;0),IF(COUNTIF($BI$67:$BP$67,5)=0,TRUE,SUMPRODUCT(($BI$67:$BP$67=5)*($AS$67:$AZ$67&lt;&gt;"")*IF(((UPPER($AS$67:$AZ$67)="BLANK")+(UPPER($AS$67:$AZ$67)="(BLANK)")+(UPPER($AS$67:$AZ$67)="EMPTY")+(UPPER($AS$67:$AZ$67)="(EMPTY)"))&gt;0,IFERROR(('Final Calculation Sheet'!$C$28)&amp;"","")="",ISNUMBER(SEARCH($AS$67:$AZ$67,IFERROR(('Final Calculation Sheet'!$C$28)&amp;"","")))))&gt;0),IF(COUNTIF($BI$67:$BP$67,6)=0,TRUE,SUMPRODUCT(($BI$67:$BP$67=6)*($AS$67:$AZ$67&lt;&gt;"")*IF(((UPPER($AS$67:$AZ$67)="BLANK")+(UPPER($AS$67:$AZ$67)="(BLANK)")+(UPPER($AS$67:$AZ$67)="EMPTY")+(UPPER($AS$67:$AZ$67)="(EMPTY)"))&gt;0,IFERROR(('Final Calculation Sheet'!$C$28)&amp;"","")="",ISNUMBER(SEARCH($AS$67:$AZ$67,IFERROR(('Final Calculation Sheet'!$C$28)&amp;"","")))))&gt;0),IF(COUNTIF($BI$67:$BP$67,7)=0,TRUE,SUMPRODUCT(($BI$67:$BP$67=7)*($AS$67:$AZ$67&lt;&gt;"")*IF(((UPPER($AS$67:$AZ$67)="BLANK")+(UPPER($AS$67:$AZ$67)="(BLANK)")+(UPPER($AS$67:$AZ$67)="EMPTY")+(UPPER($AS$67:$AZ$67)="(EMPTY)"))&gt;0,IFERROR(('Final Calculation Sheet'!$C$28)&amp;"","")="",ISNUMBER(SEARCH($AS$67:$AZ$67,IFERROR(('Final Calculation Sheet'!$C$28)&amp;"","")))))&gt;0),IF(COUNTIF($BI$67:$BP$67,8)=0,TRUE,SUMPRODUCT(($BI$67:$BP$67=8)*($AS$67:$AZ$67&lt;&gt;"")*IF(((UPPER($AS$67:$AZ$67)="BLANK")+(UPPER($AS$67:$AZ$67)="(BLANK)")+(UPPER($AS$67:$AZ$67)="EMPTY")+(UPPER($AS$67:$AZ$67)="(EMPTY)"))&gt;0,IFERROR(('Final Calculation Sheet'!$C$28)&amp;"","")="",ISNUMBER(SEARCH($AS$67:$AZ$67,IFERROR(('Final Calculation Sheet'!$C$28)&amp;"","")))))&gt;0))))</f>
        <v>1</v>
      </c>
      <c r="BU29">
        <f>IF($I$4="",1,--(AND(SUMPRODUCT(--($AS$68:$AZ$68&lt;&gt;""))&gt;0,IF(COUNTIF($BI$68:$BP$68,1)=0,TRUE,SUMPRODUCT(($BI$68:$BP$68=1)*($AS$68:$AZ$68&lt;&gt;"")*IF(((UPPER($AS$68:$AZ$68)="BLANK")+(UPPER($AS$68:$AZ$68)="(BLANK)")+(UPPER($AS$68:$AZ$68)="EMPTY")+(UPPER($AS$68:$AZ$68)="(EMPTY)"))&gt;0,IFERROR(('Final Calculation Sheet'!$H$28)&amp;"","")="",ISNUMBER(SEARCH($AS$68:$AZ$68,IFERROR(('Final Calculation Sheet'!$H$28)&amp;"","")))))&gt;0),IF(COUNTIF($BI$68:$BP$68,2)=0,TRUE,SUMPRODUCT(($BI$68:$BP$68=2)*($AS$68:$AZ$68&lt;&gt;"")*IF(((UPPER($AS$68:$AZ$68)="BLANK")+(UPPER($AS$68:$AZ$68)="(BLANK)")+(UPPER($AS$68:$AZ$68)="EMPTY")+(UPPER($AS$68:$AZ$68)="(EMPTY)"))&gt;0,IFERROR(('Final Calculation Sheet'!$H$28)&amp;"","")="",ISNUMBER(SEARCH($AS$68:$AZ$68,IFERROR(('Final Calculation Sheet'!$H$28)&amp;"","")))))&gt;0),IF(COUNTIF($BI$68:$BP$68,3)=0,TRUE,SUMPRODUCT(($BI$68:$BP$68=3)*($AS$68:$AZ$68&lt;&gt;"")*IF(((UPPER($AS$68:$AZ$68)="BLANK")+(UPPER($AS$68:$AZ$68)="(BLANK)")+(UPPER($AS$68:$AZ$68)="EMPTY")+(UPPER($AS$68:$AZ$68)="(EMPTY)"))&gt;0,IFERROR(('Final Calculation Sheet'!$H$28)&amp;"","")="",ISNUMBER(SEARCH($AS$68:$AZ$68,IFERROR(('Final Calculation Sheet'!$H$28)&amp;"","")))))&gt;0),IF(COUNTIF($BI$68:$BP$68,4)=0,TRUE,SUMPRODUCT(($BI$68:$BP$68=4)*($AS$68:$AZ$68&lt;&gt;"")*IF(((UPPER($AS$68:$AZ$68)="BLANK")+(UPPER($AS$68:$AZ$68)="(BLANK)")+(UPPER($AS$68:$AZ$68)="EMPTY")+(UPPER($AS$68:$AZ$68)="(EMPTY)"))&gt;0,IFERROR(('Final Calculation Sheet'!$H$28)&amp;"","")="",ISNUMBER(SEARCH($AS$68:$AZ$68,IFERROR(('Final Calculation Sheet'!$H$28)&amp;"","")))))&gt;0),IF(COUNTIF($BI$68:$BP$68,5)=0,TRUE,SUMPRODUCT(($BI$68:$BP$68=5)*($AS$68:$AZ$68&lt;&gt;"")*IF(((UPPER($AS$68:$AZ$68)="BLANK")+(UPPER($AS$68:$AZ$68)="(BLANK)")+(UPPER($AS$68:$AZ$68)="EMPTY")+(UPPER($AS$68:$AZ$68)="(EMPTY)"))&gt;0,IFERROR(('Final Calculation Sheet'!$H$28)&amp;"","")="",ISNUMBER(SEARCH($AS$68:$AZ$68,IFERROR(('Final Calculation Sheet'!$H$28)&amp;"","")))))&gt;0),IF(COUNTIF($BI$68:$BP$68,6)=0,TRUE,SUMPRODUCT(($BI$68:$BP$68=6)*($AS$68:$AZ$68&lt;&gt;"")*IF(((UPPER($AS$68:$AZ$68)="BLANK")+(UPPER($AS$68:$AZ$68)="(BLANK)")+(UPPER($AS$68:$AZ$68)="EMPTY")+(UPPER($AS$68:$AZ$68)="(EMPTY)"))&gt;0,IFERROR(('Final Calculation Sheet'!$H$28)&amp;"","")="",ISNUMBER(SEARCH($AS$68:$AZ$68,IFERROR(('Final Calculation Sheet'!$H$28)&amp;"","")))))&gt;0),IF(COUNTIF($BI$68:$BP$68,7)=0,TRUE,SUMPRODUCT(($BI$68:$BP$68=7)*($AS$68:$AZ$68&lt;&gt;"")*IF(((UPPER($AS$68:$AZ$68)="BLANK")+(UPPER($AS$68:$AZ$68)="(BLANK)")+(UPPER($AS$68:$AZ$68)="EMPTY")+(UPPER($AS$68:$AZ$68)="(EMPTY)"))&gt;0,IFERROR(('Final Calculation Sheet'!$H$28)&amp;"","")="",ISNUMBER(SEARCH($AS$68:$AZ$68,IFERROR(('Final Calculation Sheet'!$H$28)&amp;"","")))))&gt;0),IF(COUNTIF($BI$68:$BP$68,8)=0,TRUE,SUMPRODUCT(($BI$68:$BP$68=8)*($AS$68:$AZ$68&lt;&gt;"")*IF(((UPPER($AS$68:$AZ$68)="BLANK")+(UPPER($AS$68:$AZ$68)="(BLANK)")+(UPPER($AS$68:$AZ$68)="EMPTY")+(UPPER($AS$68:$AZ$68)="(EMPTY)"))&gt;0,IFERROR(('Final Calculation Sheet'!$H$28)&amp;"","")="",ISNUMBER(SEARCH($AS$68:$AZ$68,IFERROR(('Final Calculation Sheet'!$H$28)&amp;"","")))))&gt;0))))</f>
        <v>1</v>
      </c>
      <c r="BV29">
        <f>IF($J$4="",1,--(AND(SUMPRODUCT(--($AS$69:$AZ$69&lt;&gt;""))&gt;0,IF(COUNTIF($BI$69:$BP$69,1)=0,TRUE,SUMPRODUCT(($BI$69:$BP$69=1)*($AS$69:$AZ$69&lt;&gt;"")*IF(((UPPER($AS$69:$AZ$69)="BLANK")+(UPPER($AS$69:$AZ$69)="(BLANK)")+(UPPER($AS$69:$AZ$69)="EMPTY")+(UPPER($AS$69:$AZ$69)="(EMPTY)"))&gt;0,IFERROR(('Final Calculation Sheet'!$I$28)&amp;"","")="",ISNUMBER(SEARCH($AS$69:$AZ$69,IFERROR(('Final Calculation Sheet'!$I$28)&amp;"","")))))&gt;0),IF(COUNTIF($BI$69:$BP$69,2)=0,TRUE,SUMPRODUCT(($BI$69:$BP$69=2)*($AS$69:$AZ$69&lt;&gt;"")*IF(((UPPER($AS$69:$AZ$69)="BLANK")+(UPPER($AS$69:$AZ$69)="(BLANK)")+(UPPER($AS$69:$AZ$69)="EMPTY")+(UPPER($AS$69:$AZ$69)="(EMPTY)"))&gt;0,IFERROR(('Final Calculation Sheet'!$I$28)&amp;"","")="",ISNUMBER(SEARCH($AS$69:$AZ$69,IFERROR(('Final Calculation Sheet'!$I$28)&amp;"","")))))&gt;0),IF(COUNTIF($BI$69:$BP$69,3)=0,TRUE,SUMPRODUCT(($BI$69:$BP$69=3)*($AS$69:$AZ$69&lt;&gt;"")*IF(((UPPER($AS$69:$AZ$69)="BLANK")+(UPPER($AS$69:$AZ$69)="(BLANK)")+(UPPER($AS$69:$AZ$69)="EMPTY")+(UPPER($AS$69:$AZ$69)="(EMPTY)"))&gt;0,IFERROR(('Final Calculation Sheet'!$I$28)&amp;"","")="",ISNUMBER(SEARCH($AS$69:$AZ$69,IFERROR(('Final Calculation Sheet'!$I$28)&amp;"","")))))&gt;0),IF(COUNTIF($BI$69:$BP$69,4)=0,TRUE,SUMPRODUCT(($BI$69:$BP$69=4)*($AS$69:$AZ$69&lt;&gt;"")*IF(((UPPER($AS$69:$AZ$69)="BLANK")+(UPPER($AS$69:$AZ$69)="(BLANK)")+(UPPER($AS$69:$AZ$69)="EMPTY")+(UPPER($AS$69:$AZ$69)="(EMPTY)"))&gt;0,IFERROR(('Final Calculation Sheet'!$I$28)&amp;"","")="",ISNUMBER(SEARCH($AS$69:$AZ$69,IFERROR(('Final Calculation Sheet'!$I$28)&amp;"","")))))&gt;0),IF(COUNTIF($BI$69:$BP$69,5)=0,TRUE,SUMPRODUCT(($BI$69:$BP$69=5)*($AS$69:$AZ$69&lt;&gt;"")*IF(((UPPER($AS$69:$AZ$69)="BLANK")+(UPPER($AS$69:$AZ$69)="(BLANK)")+(UPPER($AS$69:$AZ$69)="EMPTY")+(UPPER($AS$69:$AZ$69)="(EMPTY)"))&gt;0,IFERROR(('Final Calculation Sheet'!$I$28)&amp;"","")="",ISNUMBER(SEARCH($AS$69:$AZ$69,IFERROR(('Final Calculation Sheet'!$I$28)&amp;"","")))))&gt;0),IF(COUNTIF($BI$69:$BP$69,6)=0,TRUE,SUMPRODUCT(($BI$69:$BP$69=6)*($AS$69:$AZ$69&lt;&gt;"")*IF(((UPPER($AS$69:$AZ$69)="BLANK")+(UPPER($AS$69:$AZ$69)="(BLANK)")+(UPPER($AS$69:$AZ$69)="EMPTY")+(UPPER($AS$69:$AZ$69)="(EMPTY)"))&gt;0,IFERROR(('Final Calculation Sheet'!$I$28)&amp;"","")="",ISNUMBER(SEARCH($AS$69:$AZ$69,IFERROR(('Final Calculation Sheet'!$I$28)&amp;"","")))))&gt;0),IF(COUNTIF($BI$69:$BP$69,7)=0,TRUE,SUMPRODUCT(($BI$69:$BP$69=7)*($AS$69:$AZ$69&lt;&gt;"")*IF(((UPPER($AS$69:$AZ$69)="BLANK")+(UPPER($AS$69:$AZ$69)="(BLANK)")+(UPPER($AS$69:$AZ$69)="EMPTY")+(UPPER($AS$69:$AZ$69)="(EMPTY)"))&gt;0,IFERROR(('Final Calculation Sheet'!$I$28)&amp;"","")="",ISNUMBER(SEARCH($AS$69:$AZ$69,IFERROR(('Final Calculation Sheet'!$I$28)&amp;"","")))))&gt;0),IF(COUNTIF($BI$69:$BP$69,8)=0,TRUE,SUMPRODUCT(($BI$69:$BP$69=8)*($AS$69:$AZ$69&lt;&gt;"")*IF(((UPPER($AS$69:$AZ$69)="BLANK")+(UPPER($AS$69:$AZ$69)="(BLANK)")+(UPPER($AS$69:$AZ$69)="EMPTY")+(UPPER($AS$69:$AZ$69)="(EMPTY)"))&gt;0,IFERROR(('Final Calculation Sheet'!$I$28)&amp;"","")="",ISNUMBER(SEARCH($AS$69:$AZ$69,IFERROR(('Final Calculation Sheet'!$I$28)&amp;"","")))))&gt;0))))</f>
        <v>1</v>
      </c>
      <c r="BW29">
        <f>IF($K$4="",1,--(AND(SUMPRODUCT(--($AS$70:$AZ$70&lt;&gt;""))&gt;0,IF(COUNTIF($BI$70:$BP$70,1)=0,TRUE,SUMPRODUCT(($BI$70:$BP$70=1)*($AS$70:$AZ$70&lt;&gt;"")*IF(((UPPER($AS$70:$AZ$70)="BLANK")+(UPPER($AS$70:$AZ$70)="(BLANK)")+(UPPER($AS$70:$AZ$70)="EMPTY")+(UPPER($AS$70:$AZ$70)="(EMPTY)"))&gt;0,IFERROR(('Final Calculation Sheet'!$J$28)&amp;"","")="",ISNUMBER(SEARCH($AS$70:$AZ$70,IFERROR(('Final Calculation Sheet'!$J$28)&amp;"","")))))&gt;0),IF(COUNTIF($BI$70:$BP$70,2)=0,TRUE,SUMPRODUCT(($BI$70:$BP$70=2)*($AS$70:$AZ$70&lt;&gt;"")*IF(((UPPER($AS$70:$AZ$70)="BLANK")+(UPPER($AS$70:$AZ$70)="(BLANK)")+(UPPER($AS$70:$AZ$70)="EMPTY")+(UPPER($AS$70:$AZ$70)="(EMPTY)"))&gt;0,IFERROR(('Final Calculation Sheet'!$J$28)&amp;"","")="",ISNUMBER(SEARCH($AS$70:$AZ$70,IFERROR(('Final Calculation Sheet'!$J$28)&amp;"","")))))&gt;0),IF(COUNTIF($BI$70:$BP$70,3)=0,TRUE,SUMPRODUCT(($BI$70:$BP$70=3)*($AS$70:$AZ$70&lt;&gt;"")*IF(((UPPER($AS$70:$AZ$70)="BLANK")+(UPPER($AS$70:$AZ$70)="(BLANK)")+(UPPER($AS$70:$AZ$70)="EMPTY")+(UPPER($AS$70:$AZ$70)="(EMPTY)"))&gt;0,IFERROR(('Final Calculation Sheet'!$J$28)&amp;"","")="",ISNUMBER(SEARCH($AS$70:$AZ$70,IFERROR(('Final Calculation Sheet'!$J$28)&amp;"","")))))&gt;0),IF(COUNTIF($BI$70:$BP$70,4)=0,TRUE,SUMPRODUCT(($BI$70:$BP$70=4)*($AS$70:$AZ$70&lt;&gt;"")*IF(((UPPER($AS$70:$AZ$70)="BLANK")+(UPPER($AS$70:$AZ$70)="(BLANK)")+(UPPER($AS$70:$AZ$70)="EMPTY")+(UPPER($AS$70:$AZ$70)="(EMPTY)"))&gt;0,IFERROR(('Final Calculation Sheet'!$J$28)&amp;"","")="",ISNUMBER(SEARCH($AS$70:$AZ$70,IFERROR(('Final Calculation Sheet'!$J$28)&amp;"","")))))&gt;0),IF(COUNTIF($BI$70:$BP$70,5)=0,TRUE,SUMPRODUCT(($BI$70:$BP$70=5)*($AS$70:$AZ$70&lt;&gt;"")*IF(((UPPER($AS$70:$AZ$70)="BLANK")+(UPPER($AS$70:$AZ$70)="(BLANK)")+(UPPER($AS$70:$AZ$70)="EMPTY")+(UPPER($AS$70:$AZ$70)="(EMPTY)"))&gt;0,IFERROR(('Final Calculation Sheet'!$J$28)&amp;"","")="",ISNUMBER(SEARCH($AS$70:$AZ$70,IFERROR(('Final Calculation Sheet'!$J$28)&amp;"","")))))&gt;0),IF(COUNTIF($BI$70:$BP$70,6)=0,TRUE,SUMPRODUCT(($BI$70:$BP$70=6)*($AS$70:$AZ$70&lt;&gt;"")*IF(((UPPER($AS$70:$AZ$70)="BLANK")+(UPPER($AS$70:$AZ$70)="(BLANK)")+(UPPER($AS$70:$AZ$70)="EMPTY")+(UPPER($AS$70:$AZ$70)="(EMPTY)"))&gt;0,IFERROR(('Final Calculation Sheet'!$J$28)&amp;"","")="",ISNUMBER(SEARCH($AS$70:$AZ$70,IFERROR(('Final Calculation Sheet'!$J$28)&amp;"","")))))&gt;0),IF(COUNTIF($BI$70:$BP$70,7)=0,TRUE,SUMPRODUCT(($BI$70:$BP$70=7)*($AS$70:$AZ$70&lt;&gt;"")*IF(((UPPER($AS$70:$AZ$70)="BLANK")+(UPPER($AS$70:$AZ$70)="(BLANK)")+(UPPER($AS$70:$AZ$70)="EMPTY")+(UPPER($AS$70:$AZ$70)="(EMPTY)"))&gt;0,IFERROR(('Final Calculation Sheet'!$J$28)&amp;"","")="",ISNUMBER(SEARCH($AS$70:$AZ$70,IFERROR(('Final Calculation Sheet'!$J$28)&amp;"","")))))&gt;0),IF(COUNTIF($BI$70:$BP$70,8)=0,TRUE,SUMPRODUCT(($BI$70:$BP$70=8)*($AS$70:$AZ$70&lt;&gt;"")*IF(((UPPER($AS$70:$AZ$70)="BLANK")+(UPPER($AS$70:$AZ$70)="(BLANK)")+(UPPER($AS$70:$AZ$70)="EMPTY")+(UPPER($AS$70:$AZ$70)="(EMPTY)"))&gt;0,IFERROR(('Final Calculation Sheet'!$J$28)&amp;"","")="",ISNUMBER(SEARCH($AS$70:$AZ$70,IFERROR(('Final Calculation Sheet'!$J$28)&amp;"","")))))&gt;0))))</f>
        <v>1</v>
      </c>
      <c r="BX29">
        <f>IF($L$4="",1,--(AND(SUMPRODUCT(--($AS$71:$AZ$71&lt;&gt;""))&gt;0,IF(COUNTIF($BI$71:$BP$71,1)=0,TRUE,SUMPRODUCT(($BI$71:$BP$71=1)*($AS$71:$AZ$71&lt;&gt;"")*IF(((UPPER($AS$71:$AZ$71)="BLANK")+(UPPER($AS$71:$AZ$71)="(BLANK)")+(UPPER($AS$71:$AZ$71)="EMPTY")+(UPPER($AS$71:$AZ$71)="(EMPTY)"))&gt;0,IFERROR(('Final Calculation Sheet'!$K$28)&amp;"","")="",ISNUMBER(SEARCH($AS$71:$AZ$71,IFERROR(('Final Calculation Sheet'!$K$28)&amp;"","")))))&gt;0),IF(COUNTIF($BI$71:$BP$71,2)=0,TRUE,SUMPRODUCT(($BI$71:$BP$71=2)*($AS$71:$AZ$71&lt;&gt;"")*IF(((UPPER($AS$71:$AZ$71)="BLANK")+(UPPER($AS$71:$AZ$71)="(BLANK)")+(UPPER($AS$71:$AZ$71)="EMPTY")+(UPPER($AS$71:$AZ$71)="(EMPTY)"))&gt;0,IFERROR(('Final Calculation Sheet'!$K$28)&amp;"","")="",ISNUMBER(SEARCH($AS$71:$AZ$71,IFERROR(('Final Calculation Sheet'!$K$28)&amp;"","")))))&gt;0),IF(COUNTIF($BI$71:$BP$71,3)=0,TRUE,SUMPRODUCT(($BI$71:$BP$71=3)*($AS$71:$AZ$71&lt;&gt;"")*IF(((UPPER($AS$71:$AZ$71)="BLANK")+(UPPER($AS$71:$AZ$71)="(BLANK)")+(UPPER($AS$71:$AZ$71)="EMPTY")+(UPPER($AS$71:$AZ$71)="(EMPTY)"))&gt;0,IFERROR(('Final Calculation Sheet'!$K$28)&amp;"","")="",ISNUMBER(SEARCH($AS$71:$AZ$71,IFERROR(('Final Calculation Sheet'!$K$28)&amp;"","")))))&gt;0),IF(COUNTIF($BI$71:$BP$71,4)=0,TRUE,SUMPRODUCT(($BI$71:$BP$71=4)*($AS$71:$AZ$71&lt;&gt;"")*IF(((UPPER($AS$71:$AZ$71)="BLANK")+(UPPER($AS$71:$AZ$71)="(BLANK)")+(UPPER($AS$71:$AZ$71)="EMPTY")+(UPPER($AS$71:$AZ$71)="(EMPTY)"))&gt;0,IFERROR(('Final Calculation Sheet'!$K$28)&amp;"","")="",ISNUMBER(SEARCH($AS$71:$AZ$71,IFERROR(('Final Calculation Sheet'!$K$28)&amp;"","")))))&gt;0),IF(COUNTIF($BI$71:$BP$71,5)=0,TRUE,SUMPRODUCT(($BI$71:$BP$71=5)*($AS$71:$AZ$71&lt;&gt;"")*IF(((UPPER($AS$71:$AZ$71)="BLANK")+(UPPER($AS$71:$AZ$71)="(BLANK)")+(UPPER($AS$71:$AZ$71)="EMPTY")+(UPPER($AS$71:$AZ$71)="(EMPTY)"))&gt;0,IFERROR(('Final Calculation Sheet'!$K$28)&amp;"","")="",ISNUMBER(SEARCH($AS$71:$AZ$71,IFERROR(('Final Calculation Sheet'!$K$28)&amp;"","")))))&gt;0),IF(COUNTIF($BI$71:$BP$71,6)=0,TRUE,SUMPRODUCT(($BI$71:$BP$71=6)*($AS$71:$AZ$71&lt;&gt;"")*IF(((UPPER($AS$71:$AZ$71)="BLANK")+(UPPER($AS$71:$AZ$71)="(BLANK)")+(UPPER($AS$71:$AZ$71)="EMPTY")+(UPPER($AS$71:$AZ$71)="(EMPTY)"))&gt;0,IFERROR(('Final Calculation Sheet'!$K$28)&amp;"","")="",ISNUMBER(SEARCH($AS$71:$AZ$71,IFERROR(('Final Calculation Sheet'!$K$28)&amp;"","")))))&gt;0),IF(COUNTIF($BI$71:$BP$71,7)=0,TRUE,SUMPRODUCT(($BI$71:$BP$71=7)*($AS$71:$AZ$71&lt;&gt;"")*IF(((UPPER($AS$71:$AZ$71)="BLANK")+(UPPER($AS$71:$AZ$71)="(BLANK)")+(UPPER($AS$71:$AZ$71)="EMPTY")+(UPPER($AS$71:$AZ$71)="(EMPTY)"))&gt;0,IFERROR(('Final Calculation Sheet'!$K$28)&amp;"","")="",ISNUMBER(SEARCH($AS$71:$AZ$71,IFERROR(('Final Calculation Sheet'!$K$28)&amp;"","")))))&gt;0),IF(COUNTIF($BI$71:$BP$71,8)=0,TRUE,SUMPRODUCT(($BI$71:$BP$71=8)*($AS$71:$AZ$71&lt;&gt;"")*IF(((UPPER($AS$71:$AZ$71)="BLANK")+(UPPER($AS$71:$AZ$71)="(BLANK)")+(UPPER($AS$71:$AZ$71)="EMPTY")+(UPPER($AS$71:$AZ$71)="(EMPTY)"))&gt;0,IFERROR(('Final Calculation Sheet'!$K$28)&amp;"","")="",ISNUMBER(SEARCH($AS$71:$AZ$71,IFERROR(('Final Calculation Sheet'!$K$28)&amp;"","")))))&gt;0))))</f>
        <v>1</v>
      </c>
      <c r="BY29">
        <f>IF($M$4="",1,--(AND(SUMPRODUCT(--($AS$72:$AZ$72&lt;&gt;""))&gt;0,IF(COUNTIF($BI$72:$BP$72,1)=0,TRUE,SUMPRODUCT(($BI$72:$BP$72=1)*($AS$72:$AZ$72&lt;&gt;"")*IF(((UPPER($AS$72:$AZ$72)="BLANK")+(UPPER($AS$72:$AZ$72)="(BLANK)")+(UPPER($AS$72:$AZ$72)="EMPTY")+(UPPER($AS$72:$AZ$72)="(EMPTY)"))&gt;0,IFERROR(('Final Calculation Sheet'!$L$28)&amp;"","")="",ISNUMBER(SEARCH($AS$72:$AZ$72,IFERROR(('Final Calculation Sheet'!$L$28)&amp;"","")))))&gt;0),IF(COUNTIF($BI$72:$BP$72,2)=0,TRUE,SUMPRODUCT(($BI$72:$BP$72=2)*($AS$72:$AZ$72&lt;&gt;"")*IF(((UPPER($AS$72:$AZ$72)="BLANK")+(UPPER($AS$72:$AZ$72)="(BLANK)")+(UPPER($AS$72:$AZ$72)="EMPTY")+(UPPER($AS$72:$AZ$72)="(EMPTY)"))&gt;0,IFERROR(('Final Calculation Sheet'!$L$28)&amp;"","")="",ISNUMBER(SEARCH($AS$72:$AZ$72,IFERROR(('Final Calculation Sheet'!$L$28)&amp;"","")))))&gt;0),IF(COUNTIF($BI$72:$BP$72,3)=0,TRUE,SUMPRODUCT(($BI$72:$BP$72=3)*($AS$72:$AZ$72&lt;&gt;"")*IF(((UPPER($AS$72:$AZ$72)="BLANK")+(UPPER($AS$72:$AZ$72)="(BLANK)")+(UPPER($AS$72:$AZ$72)="EMPTY")+(UPPER($AS$72:$AZ$72)="(EMPTY)"))&gt;0,IFERROR(('Final Calculation Sheet'!$L$28)&amp;"","")="",ISNUMBER(SEARCH($AS$72:$AZ$72,IFERROR(('Final Calculation Sheet'!$L$28)&amp;"","")))))&gt;0),IF(COUNTIF($BI$72:$BP$72,4)=0,TRUE,SUMPRODUCT(($BI$72:$BP$72=4)*($AS$72:$AZ$72&lt;&gt;"")*IF(((UPPER($AS$72:$AZ$72)="BLANK")+(UPPER($AS$72:$AZ$72)="(BLANK)")+(UPPER($AS$72:$AZ$72)="EMPTY")+(UPPER($AS$72:$AZ$72)="(EMPTY)"))&gt;0,IFERROR(('Final Calculation Sheet'!$L$28)&amp;"","")="",ISNUMBER(SEARCH($AS$72:$AZ$72,IFERROR(('Final Calculation Sheet'!$L$28)&amp;"","")))))&gt;0),IF(COUNTIF($BI$72:$BP$72,5)=0,TRUE,SUMPRODUCT(($BI$72:$BP$72=5)*($AS$72:$AZ$72&lt;&gt;"")*IF(((UPPER($AS$72:$AZ$72)="BLANK")+(UPPER($AS$72:$AZ$72)="(BLANK)")+(UPPER($AS$72:$AZ$72)="EMPTY")+(UPPER($AS$72:$AZ$72)="(EMPTY)"))&gt;0,IFERROR(('Final Calculation Sheet'!$L$28)&amp;"","")="",ISNUMBER(SEARCH($AS$72:$AZ$72,IFERROR(('Final Calculation Sheet'!$L$28)&amp;"","")))))&gt;0),IF(COUNTIF($BI$72:$BP$72,6)=0,TRUE,SUMPRODUCT(($BI$72:$BP$72=6)*($AS$72:$AZ$72&lt;&gt;"")*IF(((UPPER($AS$72:$AZ$72)="BLANK")+(UPPER($AS$72:$AZ$72)="(BLANK)")+(UPPER($AS$72:$AZ$72)="EMPTY")+(UPPER($AS$72:$AZ$72)="(EMPTY)"))&gt;0,IFERROR(('Final Calculation Sheet'!$L$28)&amp;"","")="",ISNUMBER(SEARCH($AS$72:$AZ$72,IFERROR(('Final Calculation Sheet'!$L$28)&amp;"","")))))&gt;0),IF(COUNTIF($BI$72:$BP$72,7)=0,TRUE,SUMPRODUCT(($BI$72:$BP$72=7)*($AS$72:$AZ$72&lt;&gt;"")*IF(((UPPER($AS$72:$AZ$72)="BLANK")+(UPPER($AS$72:$AZ$72)="(BLANK)")+(UPPER($AS$72:$AZ$72)="EMPTY")+(UPPER($AS$72:$AZ$72)="(EMPTY)"))&gt;0,IFERROR(('Final Calculation Sheet'!$L$28)&amp;"","")="",ISNUMBER(SEARCH($AS$72:$AZ$72,IFERROR(('Final Calculation Sheet'!$L$28)&amp;"","")))))&gt;0),IF(COUNTIF($BI$72:$BP$72,8)=0,TRUE,SUMPRODUCT(($BI$72:$BP$72=8)*($AS$72:$AZ$72&lt;&gt;"")*IF(((UPPER($AS$72:$AZ$72)="BLANK")+(UPPER($AS$72:$AZ$72)="(BLANK)")+(UPPER($AS$72:$AZ$72)="EMPTY")+(UPPER($AS$72:$AZ$72)="(EMPTY)"))&gt;0,IFERROR(('Final Calculation Sheet'!$L$28)&amp;"","")="",ISNUMBER(SEARCH($AS$72:$AZ$72,IFERROR(('Final Calculation Sheet'!$L$28)&amp;"","")))))&gt;0))))</f>
        <v>1</v>
      </c>
      <c r="BZ29">
        <f>IF($N$4="",1,--(AND(SUMPRODUCT(--($AS$73:$AZ$73&lt;&gt;""))&gt;0,IF(COUNTIF($BI$73:$BP$73,1)=0,TRUE,SUMPRODUCT(($BI$73:$BP$73=1)*($AS$73:$AZ$73&lt;&gt;"")*IF(((UPPER($AS$73:$AZ$73)="BLANK")+(UPPER($AS$73:$AZ$73)="(BLANK)")+(UPPER($AS$73:$AZ$73)="EMPTY")+(UPPER($AS$73:$AZ$73)="(EMPTY)"))&gt;0,IFERROR(('Final Calculation Sheet'!$M$28)&amp;"","")="",ISNUMBER(SEARCH($AS$73:$AZ$73,IFERROR(('Final Calculation Sheet'!$M$28)&amp;"","")))))&gt;0),IF(COUNTIF($BI$73:$BP$73,2)=0,TRUE,SUMPRODUCT(($BI$73:$BP$73=2)*($AS$73:$AZ$73&lt;&gt;"")*IF(((UPPER($AS$73:$AZ$73)="BLANK")+(UPPER($AS$73:$AZ$73)="(BLANK)")+(UPPER($AS$73:$AZ$73)="EMPTY")+(UPPER($AS$73:$AZ$73)="(EMPTY)"))&gt;0,IFERROR(('Final Calculation Sheet'!$M$28)&amp;"","")="",ISNUMBER(SEARCH($AS$73:$AZ$73,IFERROR(('Final Calculation Sheet'!$M$28)&amp;"","")))))&gt;0),IF(COUNTIF($BI$73:$BP$73,3)=0,TRUE,SUMPRODUCT(($BI$73:$BP$73=3)*($AS$73:$AZ$73&lt;&gt;"")*IF(((UPPER($AS$73:$AZ$73)="BLANK")+(UPPER($AS$73:$AZ$73)="(BLANK)")+(UPPER($AS$73:$AZ$73)="EMPTY")+(UPPER($AS$73:$AZ$73)="(EMPTY)"))&gt;0,IFERROR(('Final Calculation Sheet'!$M$28)&amp;"","")="",ISNUMBER(SEARCH($AS$73:$AZ$73,IFERROR(('Final Calculation Sheet'!$M$28)&amp;"","")))))&gt;0),IF(COUNTIF($BI$73:$BP$73,4)=0,TRUE,SUMPRODUCT(($BI$73:$BP$73=4)*($AS$73:$AZ$73&lt;&gt;"")*IF(((UPPER($AS$73:$AZ$73)="BLANK")+(UPPER($AS$73:$AZ$73)="(BLANK)")+(UPPER($AS$73:$AZ$73)="EMPTY")+(UPPER($AS$73:$AZ$73)="(EMPTY)"))&gt;0,IFERROR(('Final Calculation Sheet'!$M$28)&amp;"","")="",ISNUMBER(SEARCH($AS$73:$AZ$73,IFERROR(('Final Calculation Sheet'!$M$28)&amp;"","")))))&gt;0),IF(COUNTIF($BI$73:$BP$73,5)=0,TRUE,SUMPRODUCT(($BI$73:$BP$73=5)*($AS$73:$AZ$73&lt;&gt;"")*IF(((UPPER($AS$73:$AZ$73)="BLANK")+(UPPER($AS$73:$AZ$73)="(BLANK)")+(UPPER($AS$73:$AZ$73)="EMPTY")+(UPPER($AS$73:$AZ$73)="(EMPTY)"))&gt;0,IFERROR(('Final Calculation Sheet'!$M$28)&amp;"","")="",ISNUMBER(SEARCH($AS$73:$AZ$73,IFERROR(('Final Calculation Sheet'!$M$28)&amp;"","")))))&gt;0),IF(COUNTIF($BI$73:$BP$73,6)=0,TRUE,SUMPRODUCT(($BI$73:$BP$73=6)*($AS$73:$AZ$73&lt;&gt;"")*IF(((UPPER($AS$73:$AZ$73)="BLANK")+(UPPER($AS$73:$AZ$73)="(BLANK)")+(UPPER($AS$73:$AZ$73)="EMPTY")+(UPPER($AS$73:$AZ$73)="(EMPTY)"))&gt;0,IFERROR(('Final Calculation Sheet'!$M$28)&amp;"","")="",ISNUMBER(SEARCH($AS$73:$AZ$73,IFERROR(('Final Calculation Sheet'!$M$28)&amp;"","")))))&gt;0),IF(COUNTIF($BI$73:$BP$73,7)=0,TRUE,SUMPRODUCT(($BI$73:$BP$73=7)*($AS$73:$AZ$73&lt;&gt;"")*IF(((UPPER($AS$73:$AZ$73)="BLANK")+(UPPER($AS$73:$AZ$73)="(BLANK)")+(UPPER($AS$73:$AZ$73)="EMPTY")+(UPPER($AS$73:$AZ$73)="(EMPTY)"))&gt;0,IFERROR(('Final Calculation Sheet'!$M$28)&amp;"","")="",ISNUMBER(SEARCH($AS$73:$AZ$73,IFERROR(('Final Calculation Sheet'!$M$28)&amp;"","")))))&gt;0),IF(COUNTIF($BI$73:$BP$73,8)=0,TRUE,SUMPRODUCT(($BI$73:$BP$73=8)*($AS$73:$AZ$73&lt;&gt;"")*IF(((UPPER($AS$73:$AZ$73)="BLANK")+(UPPER($AS$73:$AZ$73)="(BLANK)")+(UPPER($AS$73:$AZ$73)="EMPTY")+(UPPER($AS$73:$AZ$73)="(EMPTY)"))&gt;0,IFERROR(('Final Calculation Sheet'!$M$28)&amp;"","")="",ISNUMBER(SEARCH($AS$73:$AZ$73,IFERROR(('Final Calculation Sheet'!$M$28)&amp;"","")))))&gt;0))))</f>
        <v>1</v>
      </c>
      <c r="CA29">
        <f>IF($O$4="",1,--(AND(SUMPRODUCT(--($AS$74:$AZ$74&lt;&gt;""))&gt;0,IF(COUNTIF($BI$74:$BP$74,1)=0,TRUE,SUMPRODUCT(($BI$74:$BP$74=1)*($AS$74:$AZ$74&lt;&gt;"")*IF(((UPPER($AS$74:$AZ$74)="BLANK")+(UPPER($AS$74:$AZ$74)="(BLANK)")+(UPPER($AS$74:$AZ$74)="EMPTY")+(UPPER($AS$74:$AZ$74)="(EMPTY)"))&gt;0,IFERROR(('Final Calculation Sheet'!$N$28)&amp;"","")="",ISNUMBER(SEARCH($AS$74:$AZ$74,IFERROR(('Final Calculation Sheet'!$N$28)&amp;"","")))))&gt;0),IF(COUNTIF($BI$74:$BP$74,2)=0,TRUE,SUMPRODUCT(($BI$74:$BP$74=2)*($AS$74:$AZ$74&lt;&gt;"")*IF(((UPPER($AS$74:$AZ$74)="BLANK")+(UPPER($AS$74:$AZ$74)="(BLANK)")+(UPPER($AS$74:$AZ$74)="EMPTY")+(UPPER($AS$74:$AZ$74)="(EMPTY)"))&gt;0,IFERROR(('Final Calculation Sheet'!$N$28)&amp;"","")="",ISNUMBER(SEARCH($AS$74:$AZ$74,IFERROR(('Final Calculation Sheet'!$N$28)&amp;"","")))))&gt;0),IF(COUNTIF($BI$74:$BP$74,3)=0,TRUE,SUMPRODUCT(($BI$74:$BP$74=3)*($AS$74:$AZ$74&lt;&gt;"")*IF(((UPPER($AS$74:$AZ$74)="BLANK")+(UPPER($AS$74:$AZ$74)="(BLANK)")+(UPPER($AS$74:$AZ$74)="EMPTY")+(UPPER($AS$74:$AZ$74)="(EMPTY)"))&gt;0,IFERROR(('Final Calculation Sheet'!$N$28)&amp;"","")="",ISNUMBER(SEARCH($AS$74:$AZ$74,IFERROR(('Final Calculation Sheet'!$N$28)&amp;"","")))))&gt;0),IF(COUNTIF($BI$74:$BP$74,4)=0,TRUE,SUMPRODUCT(($BI$74:$BP$74=4)*($AS$74:$AZ$74&lt;&gt;"")*IF(((UPPER($AS$74:$AZ$74)="BLANK")+(UPPER($AS$74:$AZ$74)="(BLANK)")+(UPPER($AS$74:$AZ$74)="EMPTY")+(UPPER($AS$74:$AZ$74)="(EMPTY)"))&gt;0,IFERROR(('Final Calculation Sheet'!$N$28)&amp;"","")="",ISNUMBER(SEARCH($AS$74:$AZ$74,IFERROR(('Final Calculation Sheet'!$N$28)&amp;"","")))))&gt;0),IF(COUNTIF($BI$74:$BP$74,5)=0,TRUE,SUMPRODUCT(($BI$74:$BP$74=5)*($AS$74:$AZ$74&lt;&gt;"")*IF(((UPPER($AS$74:$AZ$74)="BLANK")+(UPPER($AS$74:$AZ$74)="(BLANK)")+(UPPER($AS$74:$AZ$74)="EMPTY")+(UPPER($AS$74:$AZ$74)="(EMPTY)"))&gt;0,IFERROR(('Final Calculation Sheet'!$N$28)&amp;"","")="",ISNUMBER(SEARCH($AS$74:$AZ$74,IFERROR(('Final Calculation Sheet'!$N$28)&amp;"","")))))&gt;0),IF(COUNTIF($BI$74:$BP$74,6)=0,TRUE,SUMPRODUCT(($BI$74:$BP$74=6)*($AS$74:$AZ$74&lt;&gt;"")*IF(((UPPER($AS$74:$AZ$74)="BLANK")+(UPPER($AS$74:$AZ$74)="(BLANK)")+(UPPER($AS$74:$AZ$74)="EMPTY")+(UPPER($AS$74:$AZ$74)="(EMPTY)"))&gt;0,IFERROR(('Final Calculation Sheet'!$N$28)&amp;"","")="",ISNUMBER(SEARCH($AS$74:$AZ$74,IFERROR(('Final Calculation Sheet'!$N$28)&amp;"","")))))&gt;0),IF(COUNTIF($BI$74:$BP$74,7)=0,TRUE,SUMPRODUCT(($BI$74:$BP$74=7)*($AS$74:$AZ$74&lt;&gt;"")*IF(((UPPER($AS$74:$AZ$74)="BLANK")+(UPPER($AS$74:$AZ$74)="(BLANK)")+(UPPER($AS$74:$AZ$74)="EMPTY")+(UPPER($AS$74:$AZ$74)="(EMPTY)"))&gt;0,IFERROR(('Final Calculation Sheet'!$N$28)&amp;"","")="",ISNUMBER(SEARCH($AS$74:$AZ$74,IFERROR(('Final Calculation Sheet'!$N$28)&amp;"","")))))&gt;0),IF(COUNTIF($BI$74:$BP$74,8)=0,TRUE,SUMPRODUCT(($BI$74:$BP$74=8)*($AS$74:$AZ$74&lt;&gt;"")*IF(((UPPER($AS$74:$AZ$74)="BLANK")+(UPPER($AS$74:$AZ$74)="(BLANK)")+(UPPER($AS$74:$AZ$74)="EMPTY")+(UPPER($AS$74:$AZ$74)="(EMPTY)"))&gt;0,IFERROR(('Final Calculation Sheet'!$N$28)&amp;"","")="",ISNUMBER(SEARCH($AS$74:$AZ$74,IFERROR(('Final Calculation Sheet'!$N$28)&amp;"","")))))&gt;0))))</f>
        <v>1</v>
      </c>
      <c r="CB29">
        <f>IF($P$4="",1,--(AND(SUMPRODUCT(--($AS$75:$AZ$75&lt;&gt;""))&gt;0,IF(COUNTIF($BI$75:$BP$75,1)=0,TRUE,SUMPRODUCT(($BI$75:$BP$75=1)*($AS$75:$AZ$75&lt;&gt;"")*IF(((UPPER($AS$75:$AZ$75)="BLANK")+(UPPER($AS$75:$AZ$75)="(BLANK)")+(UPPER($AS$75:$AZ$75)="EMPTY")+(UPPER($AS$75:$AZ$75)="(EMPTY)"))&gt;0,IFERROR(('Final Calculation Sheet'!$O$28)&amp;"","")="",ISNUMBER(SEARCH($AS$75:$AZ$75,IFERROR(('Final Calculation Sheet'!$O$28)&amp;"","")))))&gt;0),IF(COUNTIF($BI$75:$BP$75,2)=0,TRUE,SUMPRODUCT(($BI$75:$BP$75=2)*($AS$75:$AZ$75&lt;&gt;"")*IF(((UPPER($AS$75:$AZ$75)="BLANK")+(UPPER($AS$75:$AZ$75)="(BLANK)")+(UPPER($AS$75:$AZ$75)="EMPTY")+(UPPER($AS$75:$AZ$75)="(EMPTY)"))&gt;0,IFERROR(('Final Calculation Sheet'!$O$28)&amp;"","")="",ISNUMBER(SEARCH($AS$75:$AZ$75,IFERROR(('Final Calculation Sheet'!$O$28)&amp;"","")))))&gt;0),IF(COUNTIF($BI$75:$BP$75,3)=0,TRUE,SUMPRODUCT(($BI$75:$BP$75=3)*($AS$75:$AZ$75&lt;&gt;"")*IF(((UPPER($AS$75:$AZ$75)="BLANK")+(UPPER($AS$75:$AZ$75)="(BLANK)")+(UPPER($AS$75:$AZ$75)="EMPTY")+(UPPER($AS$75:$AZ$75)="(EMPTY)"))&gt;0,IFERROR(('Final Calculation Sheet'!$O$28)&amp;"","")="",ISNUMBER(SEARCH($AS$75:$AZ$75,IFERROR(('Final Calculation Sheet'!$O$28)&amp;"","")))))&gt;0),IF(COUNTIF($BI$75:$BP$75,4)=0,TRUE,SUMPRODUCT(($BI$75:$BP$75=4)*($AS$75:$AZ$75&lt;&gt;"")*IF(((UPPER($AS$75:$AZ$75)="BLANK")+(UPPER($AS$75:$AZ$75)="(BLANK)")+(UPPER($AS$75:$AZ$75)="EMPTY")+(UPPER($AS$75:$AZ$75)="(EMPTY)"))&gt;0,IFERROR(('Final Calculation Sheet'!$O$28)&amp;"","")="",ISNUMBER(SEARCH($AS$75:$AZ$75,IFERROR(('Final Calculation Sheet'!$O$28)&amp;"","")))))&gt;0),IF(COUNTIF($BI$75:$BP$75,5)=0,TRUE,SUMPRODUCT(($BI$75:$BP$75=5)*($AS$75:$AZ$75&lt;&gt;"")*IF(((UPPER($AS$75:$AZ$75)="BLANK")+(UPPER($AS$75:$AZ$75)="(BLANK)")+(UPPER($AS$75:$AZ$75)="EMPTY")+(UPPER($AS$75:$AZ$75)="(EMPTY)"))&gt;0,IFERROR(('Final Calculation Sheet'!$O$28)&amp;"","")="",ISNUMBER(SEARCH($AS$75:$AZ$75,IFERROR(('Final Calculation Sheet'!$O$28)&amp;"","")))))&gt;0),IF(COUNTIF($BI$75:$BP$75,6)=0,TRUE,SUMPRODUCT(($BI$75:$BP$75=6)*($AS$75:$AZ$75&lt;&gt;"")*IF(((UPPER($AS$75:$AZ$75)="BLANK")+(UPPER($AS$75:$AZ$75)="(BLANK)")+(UPPER($AS$75:$AZ$75)="EMPTY")+(UPPER($AS$75:$AZ$75)="(EMPTY)"))&gt;0,IFERROR(('Final Calculation Sheet'!$O$28)&amp;"","")="",ISNUMBER(SEARCH($AS$75:$AZ$75,IFERROR(('Final Calculation Sheet'!$O$28)&amp;"","")))))&gt;0),IF(COUNTIF($BI$75:$BP$75,7)=0,TRUE,SUMPRODUCT(($BI$75:$BP$75=7)*($AS$75:$AZ$75&lt;&gt;"")*IF(((UPPER($AS$75:$AZ$75)="BLANK")+(UPPER($AS$75:$AZ$75)="(BLANK)")+(UPPER($AS$75:$AZ$75)="EMPTY")+(UPPER($AS$75:$AZ$75)="(EMPTY)"))&gt;0,IFERROR(('Final Calculation Sheet'!$O$28)&amp;"","")="",ISNUMBER(SEARCH($AS$75:$AZ$75,IFERROR(('Final Calculation Sheet'!$O$28)&amp;"","")))))&gt;0),IF(COUNTIF($BI$75:$BP$75,8)=0,TRUE,SUMPRODUCT(($BI$75:$BP$75=8)*($AS$75:$AZ$75&lt;&gt;"")*IF(((UPPER($AS$75:$AZ$75)="BLANK")+(UPPER($AS$75:$AZ$75)="(BLANK)")+(UPPER($AS$75:$AZ$75)="EMPTY")+(UPPER($AS$75:$AZ$75)="(EMPTY)"))&gt;0,IFERROR(('Final Calculation Sheet'!$O$28)&amp;"","")="",ISNUMBER(SEARCH($AS$75:$AZ$75,IFERROR(('Final Calculation Sheet'!$O$28)&amp;"","")))))&gt;0))))</f>
        <v>1</v>
      </c>
      <c r="CC29">
        <f>IF($Q$4="",1,--(AND(SUMPRODUCT(--($AS$76:$AZ$76&lt;&gt;""))&gt;0,IF(COUNTIF($BI$76:$BP$76,1)=0,TRUE,SUMPRODUCT(($BI$76:$BP$76=1)*($AS$76:$AZ$76&lt;&gt;"")*IF(((UPPER($AS$76:$AZ$76)="BLANK")+(UPPER($AS$76:$AZ$76)="(BLANK)")+(UPPER($AS$76:$AZ$76)="EMPTY")+(UPPER($AS$76:$AZ$76)="(EMPTY)"))&gt;0,IFERROR(('Final Calculation Sheet'!$P$28)&amp;"","")="",ISNUMBER(SEARCH($AS$76:$AZ$76,IFERROR(('Final Calculation Sheet'!$P$28)&amp;"","")))))&gt;0),IF(COUNTIF($BI$76:$BP$76,2)=0,TRUE,SUMPRODUCT(($BI$76:$BP$76=2)*($AS$76:$AZ$76&lt;&gt;"")*IF(((UPPER($AS$76:$AZ$76)="BLANK")+(UPPER($AS$76:$AZ$76)="(BLANK)")+(UPPER($AS$76:$AZ$76)="EMPTY")+(UPPER($AS$76:$AZ$76)="(EMPTY)"))&gt;0,IFERROR(('Final Calculation Sheet'!$P$28)&amp;"","")="",ISNUMBER(SEARCH($AS$76:$AZ$76,IFERROR(('Final Calculation Sheet'!$P$28)&amp;"","")))))&gt;0),IF(COUNTIF($BI$76:$BP$76,3)=0,TRUE,SUMPRODUCT(($BI$76:$BP$76=3)*($AS$76:$AZ$76&lt;&gt;"")*IF(((UPPER($AS$76:$AZ$76)="BLANK")+(UPPER($AS$76:$AZ$76)="(BLANK)")+(UPPER($AS$76:$AZ$76)="EMPTY")+(UPPER($AS$76:$AZ$76)="(EMPTY)"))&gt;0,IFERROR(('Final Calculation Sheet'!$P$28)&amp;"","")="",ISNUMBER(SEARCH($AS$76:$AZ$76,IFERROR(('Final Calculation Sheet'!$P$28)&amp;"","")))))&gt;0),IF(COUNTIF($BI$76:$BP$76,4)=0,TRUE,SUMPRODUCT(($BI$76:$BP$76=4)*($AS$76:$AZ$76&lt;&gt;"")*IF(((UPPER($AS$76:$AZ$76)="BLANK")+(UPPER($AS$76:$AZ$76)="(BLANK)")+(UPPER($AS$76:$AZ$76)="EMPTY")+(UPPER($AS$76:$AZ$76)="(EMPTY)"))&gt;0,IFERROR(('Final Calculation Sheet'!$P$28)&amp;"","")="",ISNUMBER(SEARCH($AS$76:$AZ$76,IFERROR(('Final Calculation Sheet'!$P$28)&amp;"","")))))&gt;0),IF(COUNTIF($BI$76:$BP$76,5)=0,TRUE,SUMPRODUCT(($BI$76:$BP$76=5)*($AS$76:$AZ$76&lt;&gt;"")*IF(((UPPER($AS$76:$AZ$76)="BLANK")+(UPPER($AS$76:$AZ$76)="(BLANK)")+(UPPER($AS$76:$AZ$76)="EMPTY")+(UPPER($AS$76:$AZ$76)="(EMPTY)"))&gt;0,IFERROR(('Final Calculation Sheet'!$P$28)&amp;"","")="",ISNUMBER(SEARCH($AS$76:$AZ$76,IFERROR(('Final Calculation Sheet'!$P$28)&amp;"","")))))&gt;0),IF(COUNTIF($BI$76:$BP$76,6)=0,TRUE,SUMPRODUCT(($BI$76:$BP$76=6)*($AS$76:$AZ$76&lt;&gt;"")*IF(((UPPER($AS$76:$AZ$76)="BLANK")+(UPPER($AS$76:$AZ$76)="(BLANK)")+(UPPER($AS$76:$AZ$76)="EMPTY")+(UPPER($AS$76:$AZ$76)="(EMPTY)"))&gt;0,IFERROR(('Final Calculation Sheet'!$P$28)&amp;"","")="",ISNUMBER(SEARCH($AS$76:$AZ$76,IFERROR(('Final Calculation Sheet'!$P$28)&amp;"","")))))&gt;0),IF(COUNTIF($BI$76:$BP$76,7)=0,TRUE,SUMPRODUCT(($BI$76:$BP$76=7)*($AS$76:$AZ$76&lt;&gt;"")*IF(((UPPER($AS$76:$AZ$76)="BLANK")+(UPPER($AS$76:$AZ$76)="(BLANK)")+(UPPER($AS$76:$AZ$76)="EMPTY")+(UPPER($AS$76:$AZ$76)="(EMPTY)"))&gt;0,IFERROR(('Final Calculation Sheet'!$P$28)&amp;"","")="",ISNUMBER(SEARCH($AS$76:$AZ$76,IFERROR(('Final Calculation Sheet'!$P$28)&amp;"","")))))&gt;0),IF(COUNTIF($BI$76:$BP$76,8)=0,TRUE,SUMPRODUCT(($BI$76:$BP$76=8)*($AS$76:$AZ$76&lt;&gt;"")*IF(((UPPER($AS$76:$AZ$76)="BLANK")+(UPPER($AS$76:$AZ$76)="(BLANK)")+(UPPER($AS$76:$AZ$76)="EMPTY")+(UPPER($AS$76:$AZ$76)="(EMPTY)"))&gt;0,IFERROR(('Final Calculation Sheet'!$P$28)&amp;"","")="",ISNUMBER(SEARCH($AS$76:$AZ$76,IFERROR(('Final Calculation Sheet'!$P$28)&amp;"","")))))&gt;0))))</f>
        <v>1</v>
      </c>
      <c r="CD29">
        <f>IF($R$4="",1,--(AND(SUMPRODUCT(--($AS$77:$AZ$77&lt;&gt;""))&gt;0,IF(COUNTIF($BI$77:$BP$77,1)=0,TRUE,SUMPRODUCT(($BI$77:$BP$77=1)*($AS$77:$AZ$77&lt;&gt;"")*IF(((UPPER($AS$77:$AZ$77)="BLANK")+(UPPER($AS$77:$AZ$77)="(BLANK)")+(UPPER($AS$77:$AZ$77)="EMPTY")+(UPPER($AS$77:$AZ$77)="(EMPTY)"))&gt;0,IFERROR(('Final Calculation Sheet'!$Q$28)&amp;"","")="",ISNUMBER(SEARCH($AS$77:$AZ$77,IFERROR(('Final Calculation Sheet'!$Q$28)&amp;"","")))))&gt;0),IF(COUNTIF($BI$77:$BP$77,2)=0,TRUE,SUMPRODUCT(($BI$77:$BP$77=2)*($AS$77:$AZ$77&lt;&gt;"")*IF(((UPPER($AS$77:$AZ$77)="BLANK")+(UPPER($AS$77:$AZ$77)="(BLANK)")+(UPPER($AS$77:$AZ$77)="EMPTY")+(UPPER($AS$77:$AZ$77)="(EMPTY)"))&gt;0,IFERROR(('Final Calculation Sheet'!$Q$28)&amp;"","")="",ISNUMBER(SEARCH($AS$77:$AZ$77,IFERROR(('Final Calculation Sheet'!$Q$28)&amp;"","")))))&gt;0),IF(COUNTIF($BI$77:$BP$77,3)=0,TRUE,SUMPRODUCT(($BI$77:$BP$77=3)*($AS$77:$AZ$77&lt;&gt;"")*IF(((UPPER($AS$77:$AZ$77)="BLANK")+(UPPER($AS$77:$AZ$77)="(BLANK)")+(UPPER($AS$77:$AZ$77)="EMPTY")+(UPPER($AS$77:$AZ$77)="(EMPTY)"))&gt;0,IFERROR(('Final Calculation Sheet'!$Q$28)&amp;"","")="",ISNUMBER(SEARCH($AS$77:$AZ$77,IFERROR(('Final Calculation Sheet'!$Q$28)&amp;"","")))))&gt;0),IF(COUNTIF($BI$77:$BP$77,4)=0,TRUE,SUMPRODUCT(($BI$77:$BP$77=4)*($AS$77:$AZ$77&lt;&gt;"")*IF(((UPPER($AS$77:$AZ$77)="BLANK")+(UPPER($AS$77:$AZ$77)="(BLANK)")+(UPPER($AS$77:$AZ$77)="EMPTY")+(UPPER($AS$77:$AZ$77)="(EMPTY)"))&gt;0,IFERROR(('Final Calculation Sheet'!$Q$28)&amp;"","")="",ISNUMBER(SEARCH($AS$77:$AZ$77,IFERROR(('Final Calculation Sheet'!$Q$28)&amp;"","")))))&gt;0),IF(COUNTIF($BI$77:$BP$77,5)=0,TRUE,SUMPRODUCT(($BI$77:$BP$77=5)*($AS$77:$AZ$77&lt;&gt;"")*IF(((UPPER($AS$77:$AZ$77)="BLANK")+(UPPER($AS$77:$AZ$77)="(BLANK)")+(UPPER($AS$77:$AZ$77)="EMPTY")+(UPPER($AS$77:$AZ$77)="(EMPTY)"))&gt;0,IFERROR(('Final Calculation Sheet'!$Q$28)&amp;"","")="",ISNUMBER(SEARCH($AS$77:$AZ$77,IFERROR(('Final Calculation Sheet'!$Q$28)&amp;"","")))))&gt;0),IF(COUNTIF($BI$77:$BP$77,6)=0,TRUE,SUMPRODUCT(($BI$77:$BP$77=6)*($AS$77:$AZ$77&lt;&gt;"")*IF(((UPPER($AS$77:$AZ$77)="BLANK")+(UPPER($AS$77:$AZ$77)="(BLANK)")+(UPPER($AS$77:$AZ$77)="EMPTY")+(UPPER($AS$77:$AZ$77)="(EMPTY)"))&gt;0,IFERROR(('Final Calculation Sheet'!$Q$28)&amp;"","")="",ISNUMBER(SEARCH($AS$77:$AZ$77,IFERROR(('Final Calculation Sheet'!$Q$28)&amp;"","")))))&gt;0),IF(COUNTIF($BI$77:$BP$77,7)=0,TRUE,SUMPRODUCT(($BI$77:$BP$77=7)*($AS$77:$AZ$77&lt;&gt;"")*IF(((UPPER($AS$77:$AZ$77)="BLANK")+(UPPER($AS$77:$AZ$77)="(BLANK)")+(UPPER($AS$77:$AZ$77)="EMPTY")+(UPPER($AS$77:$AZ$77)="(EMPTY)"))&gt;0,IFERROR(('Final Calculation Sheet'!$Q$28)&amp;"","")="",ISNUMBER(SEARCH($AS$77:$AZ$77,IFERROR(('Final Calculation Sheet'!$Q$28)&amp;"","")))))&gt;0),IF(COUNTIF($BI$77:$BP$77,8)=0,TRUE,SUMPRODUCT(($BI$77:$BP$77=8)*($AS$77:$AZ$77&lt;&gt;"")*IF(((UPPER($AS$77:$AZ$77)="BLANK")+(UPPER($AS$77:$AZ$77)="(BLANK)")+(UPPER($AS$77:$AZ$77)="EMPTY")+(UPPER($AS$77:$AZ$77)="(EMPTY)"))&gt;0,IFERROR(('Final Calculation Sheet'!$Q$28)&amp;"","")="",ISNUMBER(SEARCH($AS$77:$AZ$77,IFERROR(('Final Calculation Sheet'!$Q$28)&amp;"","")))))&gt;0))))</f>
        <v>1</v>
      </c>
      <c r="CE29">
        <f>IF($S$4="",1,--(AND(SUMPRODUCT(--($AS$78:$AZ$78&lt;&gt;""))&gt;0,IF(COUNTIF($BI$78:$BP$78,1)=0,TRUE,SUMPRODUCT(($BI$78:$BP$78=1)*($AS$78:$AZ$78&lt;&gt;"")*IF(((UPPER($AS$78:$AZ$78)="BLANK")+(UPPER($AS$78:$AZ$78)="(BLANK)")+(UPPER($AS$78:$AZ$78)="EMPTY")+(UPPER($AS$78:$AZ$78)="(EMPTY)"))&gt;0,IFERROR(('Final Calculation Sheet'!$R$28)&amp;"","")="",ISNUMBER(SEARCH($AS$78:$AZ$78,IFERROR(('Final Calculation Sheet'!$R$28)&amp;"","")))))&gt;0),IF(COUNTIF($BI$78:$BP$78,2)=0,TRUE,SUMPRODUCT(($BI$78:$BP$78=2)*($AS$78:$AZ$78&lt;&gt;"")*IF(((UPPER($AS$78:$AZ$78)="BLANK")+(UPPER($AS$78:$AZ$78)="(BLANK)")+(UPPER($AS$78:$AZ$78)="EMPTY")+(UPPER($AS$78:$AZ$78)="(EMPTY)"))&gt;0,IFERROR(('Final Calculation Sheet'!$R$28)&amp;"","")="",ISNUMBER(SEARCH($AS$78:$AZ$78,IFERROR(('Final Calculation Sheet'!$R$28)&amp;"","")))))&gt;0),IF(COUNTIF($BI$78:$BP$78,3)=0,TRUE,SUMPRODUCT(($BI$78:$BP$78=3)*($AS$78:$AZ$78&lt;&gt;"")*IF(((UPPER($AS$78:$AZ$78)="BLANK")+(UPPER($AS$78:$AZ$78)="(BLANK)")+(UPPER($AS$78:$AZ$78)="EMPTY")+(UPPER($AS$78:$AZ$78)="(EMPTY)"))&gt;0,IFERROR(('Final Calculation Sheet'!$R$28)&amp;"","")="",ISNUMBER(SEARCH($AS$78:$AZ$78,IFERROR(('Final Calculation Sheet'!$R$28)&amp;"","")))))&gt;0),IF(COUNTIF($BI$78:$BP$78,4)=0,TRUE,SUMPRODUCT(($BI$78:$BP$78=4)*($AS$78:$AZ$78&lt;&gt;"")*IF(((UPPER($AS$78:$AZ$78)="BLANK")+(UPPER($AS$78:$AZ$78)="(BLANK)")+(UPPER($AS$78:$AZ$78)="EMPTY")+(UPPER($AS$78:$AZ$78)="(EMPTY)"))&gt;0,IFERROR(('Final Calculation Sheet'!$R$28)&amp;"","")="",ISNUMBER(SEARCH($AS$78:$AZ$78,IFERROR(('Final Calculation Sheet'!$R$28)&amp;"","")))))&gt;0),IF(COUNTIF($BI$78:$BP$78,5)=0,TRUE,SUMPRODUCT(($BI$78:$BP$78=5)*($AS$78:$AZ$78&lt;&gt;"")*IF(((UPPER($AS$78:$AZ$78)="BLANK")+(UPPER($AS$78:$AZ$78)="(BLANK)")+(UPPER($AS$78:$AZ$78)="EMPTY")+(UPPER($AS$78:$AZ$78)="(EMPTY)"))&gt;0,IFERROR(('Final Calculation Sheet'!$R$28)&amp;"","")="",ISNUMBER(SEARCH($AS$78:$AZ$78,IFERROR(('Final Calculation Sheet'!$R$28)&amp;"","")))))&gt;0),IF(COUNTIF($BI$78:$BP$78,6)=0,TRUE,SUMPRODUCT(($BI$78:$BP$78=6)*($AS$78:$AZ$78&lt;&gt;"")*IF(((UPPER($AS$78:$AZ$78)="BLANK")+(UPPER($AS$78:$AZ$78)="(BLANK)")+(UPPER($AS$78:$AZ$78)="EMPTY")+(UPPER($AS$78:$AZ$78)="(EMPTY)"))&gt;0,IFERROR(('Final Calculation Sheet'!$R$28)&amp;"","")="",ISNUMBER(SEARCH($AS$78:$AZ$78,IFERROR(('Final Calculation Sheet'!$R$28)&amp;"","")))))&gt;0),IF(COUNTIF($BI$78:$BP$78,7)=0,TRUE,SUMPRODUCT(($BI$78:$BP$78=7)*($AS$78:$AZ$78&lt;&gt;"")*IF(((UPPER($AS$78:$AZ$78)="BLANK")+(UPPER($AS$78:$AZ$78)="(BLANK)")+(UPPER($AS$78:$AZ$78)="EMPTY")+(UPPER($AS$78:$AZ$78)="(EMPTY)"))&gt;0,IFERROR(('Final Calculation Sheet'!$R$28)&amp;"","")="",ISNUMBER(SEARCH($AS$78:$AZ$78,IFERROR(('Final Calculation Sheet'!$R$28)&amp;"","")))))&gt;0),IF(COUNTIF($BI$78:$BP$78,8)=0,TRUE,SUMPRODUCT(($BI$78:$BP$78=8)*($AS$78:$AZ$78&lt;&gt;"")*IF(((UPPER($AS$78:$AZ$78)="BLANK")+(UPPER($AS$78:$AZ$78)="(BLANK)")+(UPPER($AS$78:$AZ$78)="EMPTY")+(UPPER($AS$78:$AZ$78)="(EMPTY)"))&gt;0,IFERROR(('Final Calculation Sheet'!$R$28)&amp;"","")="",ISNUMBER(SEARCH($AS$78:$AZ$78,IFERROR(('Final Calculation Sheet'!$R$28)&amp;"","")))))&gt;0))))</f>
        <v>1</v>
      </c>
      <c r="CF29">
        <f>IF($T$4="",1,--(AND(SUMPRODUCT(--($AS$79:$AZ$79&lt;&gt;""))&gt;0,IF(COUNTIF($BI$79:$BP$79,1)=0,TRUE,SUMPRODUCT(($BI$79:$BP$79=1)*($AS$79:$AZ$79&lt;&gt;"")*IF(((UPPER($AS$79:$AZ$79)="BLANK")+(UPPER($AS$79:$AZ$79)="(BLANK)")+(UPPER($AS$79:$AZ$79)="EMPTY")+(UPPER($AS$79:$AZ$79)="(EMPTY)"))&gt;0,IFERROR(('Final Calculation Sheet'!$S$28)&amp;"","")="",ISNUMBER(SEARCH($AS$79:$AZ$79,IFERROR(('Final Calculation Sheet'!$S$28)&amp;"","")))))&gt;0),IF(COUNTIF($BI$79:$BP$79,2)=0,TRUE,SUMPRODUCT(($BI$79:$BP$79=2)*($AS$79:$AZ$79&lt;&gt;"")*IF(((UPPER($AS$79:$AZ$79)="BLANK")+(UPPER($AS$79:$AZ$79)="(BLANK)")+(UPPER($AS$79:$AZ$79)="EMPTY")+(UPPER($AS$79:$AZ$79)="(EMPTY)"))&gt;0,IFERROR(('Final Calculation Sheet'!$S$28)&amp;"","")="",ISNUMBER(SEARCH($AS$79:$AZ$79,IFERROR(('Final Calculation Sheet'!$S$28)&amp;"","")))))&gt;0),IF(COUNTIF($BI$79:$BP$79,3)=0,TRUE,SUMPRODUCT(($BI$79:$BP$79=3)*($AS$79:$AZ$79&lt;&gt;"")*IF(((UPPER($AS$79:$AZ$79)="BLANK")+(UPPER($AS$79:$AZ$79)="(BLANK)")+(UPPER($AS$79:$AZ$79)="EMPTY")+(UPPER($AS$79:$AZ$79)="(EMPTY)"))&gt;0,IFERROR(('Final Calculation Sheet'!$S$28)&amp;"","")="",ISNUMBER(SEARCH($AS$79:$AZ$79,IFERROR(('Final Calculation Sheet'!$S$28)&amp;"","")))))&gt;0),IF(COUNTIF($BI$79:$BP$79,4)=0,TRUE,SUMPRODUCT(($BI$79:$BP$79=4)*($AS$79:$AZ$79&lt;&gt;"")*IF(((UPPER($AS$79:$AZ$79)="BLANK")+(UPPER($AS$79:$AZ$79)="(BLANK)")+(UPPER($AS$79:$AZ$79)="EMPTY")+(UPPER($AS$79:$AZ$79)="(EMPTY)"))&gt;0,IFERROR(('Final Calculation Sheet'!$S$28)&amp;"","")="",ISNUMBER(SEARCH($AS$79:$AZ$79,IFERROR(('Final Calculation Sheet'!$S$28)&amp;"","")))))&gt;0),IF(COUNTIF($BI$79:$BP$79,5)=0,TRUE,SUMPRODUCT(($BI$79:$BP$79=5)*($AS$79:$AZ$79&lt;&gt;"")*IF(((UPPER($AS$79:$AZ$79)="BLANK")+(UPPER($AS$79:$AZ$79)="(BLANK)")+(UPPER($AS$79:$AZ$79)="EMPTY")+(UPPER($AS$79:$AZ$79)="(EMPTY)"))&gt;0,IFERROR(('Final Calculation Sheet'!$S$28)&amp;"","")="",ISNUMBER(SEARCH($AS$79:$AZ$79,IFERROR(('Final Calculation Sheet'!$S$28)&amp;"","")))))&gt;0),IF(COUNTIF($BI$79:$BP$79,6)=0,TRUE,SUMPRODUCT(($BI$79:$BP$79=6)*($AS$79:$AZ$79&lt;&gt;"")*IF(((UPPER($AS$79:$AZ$79)="BLANK")+(UPPER($AS$79:$AZ$79)="(BLANK)")+(UPPER($AS$79:$AZ$79)="EMPTY")+(UPPER($AS$79:$AZ$79)="(EMPTY)"))&gt;0,IFERROR(('Final Calculation Sheet'!$S$28)&amp;"","")="",ISNUMBER(SEARCH($AS$79:$AZ$79,IFERROR(('Final Calculation Sheet'!$S$28)&amp;"","")))))&gt;0),IF(COUNTIF($BI$79:$BP$79,7)=0,TRUE,SUMPRODUCT(($BI$79:$BP$79=7)*($AS$79:$AZ$79&lt;&gt;"")*IF(((UPPER($AS$79:$AZ$79)="BLANK")+(UPPER($AS$79:$AZ$79)="(BLANK)")+(UPPER($AS$79:$AZ$79)="EMPTY")+(UPPER($AS$79:$AZ$79)="(EMPTY)"))&gt;0,IFERROR(('Final Calculation Sheet'!$S$28)&amp;"","")="",ISNUMBER(SEARCH($AS$79:$AZ$79,IFERROR(('Final Calculation Sheet'!$S$28)&amp;"","")))))&gt;0),IF(COUNTIF($BI$79:$BP$79,8)=0,TRUE,SUMPRODUCT(($BI$79:$BP$79=8)*($AS$79:$AZ$79&lt;&gt;"")*IF(((UPPER($AS$79:$AZ$79)="BLANK")+(UPPER($AS$79:$AZ$79)="(BLANK)")+(UPPER($AS$79:$AZ$79)="EMPTY")+(UPPER($AS$79:$AZ$79)="(EMPTY)"))&gt;0,IFERROR(('Final Calculation Sheet'!$S$28)&amp;"","")="",ISNUMBER(SEARCH($AS$79:$AZ$79,IFERROR(('Final Calculation Sheet'!$S$28)&amp;"","")))))&gt;0))))</f>
        <v>1</v>
      </c>
      <c r="CG29">
        <f>IF($U$4="",1,--(AND(SUMPRODUCT(--($AS$80:$AZ$80&lt;&gt;""))&gt;0,IF(COUNTIF($BI$80:$BP$80,1)=0,TRUE,SUMPRODUCT(($BI$80:$BP$80=1)*($AS$80:$AZ$80&lt;&gt;"")*IF(((UPPER($AS$80:$AZ$80)="BLANK")+(UPPER($AS$80:$AZ$80)="(BLANK)")+(UPPER($AS$80:$AZ$80)="EMPTY")+(UPPER($AS$80:$AZ$80)="(EMPTY)"))&gt;0,IFERROR(('Final Calculation Sheet'!$T$28)&amp;"","")="",ISNUMBER(SEARCH($AS$80:$AZ$80,IFERROR(('Final Calculation Sheet'!$T$28)&amp;"","")))))&gt;0),IF(COUNTIF($BI$80:$BP$80,2)=0,TRUE,SUMPRODUCT(($BI$80:$BP$80=2)*($AS$80:$AZ$80&lt;&gt;"")*IF(((UPPER($AS$80:$AZ$80)="BLANK")+(UPPER($AS$80:$AZ$80)="(BLANK)")+(UPPER($AS$80:$AZ$80)="EMPTY")+(UPPER($AS$80:$AZ$80)="(EMPTY)"))&gt;0,IFERROR(('Final Calculation Sheet'!$T$28)&amp;"","")="",ISNUMBER(SEARCH($AS$80:$AZ$80,IFERROR(('Final Calculation Sheet'!$T$28)&amp;"","")))))&gt;0),IF(COUNTIF($BI$80:$BP$80,3)=0,TRUE,SUMPRODUCT(($BI$80:$BP$80=3)*($AS$80:$AZ$80&lt;&gt;"")*IF(((UPPER($AS$80:$AZ$80)="BLANK")+(UPPER($AS$80:$AZ$80)="(BLANK)")+(UPPER($AS$80:$AZ$80)="EMPTY")+(UPPER($AS$80:$AZ$80)="(EMPTY)"))&gt;0,IFERROR(('Final Calculation Sheet'!$T$28)&amp;"","")="",ISNUMBER(SEARCH($AS$80:$AZ$80,IFERROR(('Final Calculation Sheet'!$T$28)&amp;"","")))))&gt;0),IF(COUNTIF($BI$80:$BP$80,4)=0,TRUE,SUMPRODUCT(($BI$80:$BP$80=4)*($AS$80:$AZ$80&lt;&gt;"")*IF(((UPPER($AS$80:$AZ$80)="BLANK")+(UPPER($AS$80:$AZ$80)="(BLANK)")+(UPPER($AS$80:$AZ$80)="EMPTY")+(UPPER($AS$80:$AZ$80)="(EMPTY)"))&gt;0,IFERROR(('Final Calculation Sheet'!$T$28)&amp;"","")="",ISNUMBER(SEARCH($AS$80:$AZ$80,IFERROR(('Final Calculation Sheet'!$T$28)&amp;"","")))))&gt;0),IF(COUNTIF($BI$80:$BP$80,5)=0,TRUE,SUMPRODUCT(($BI$80:$BP$80=5)*($AS$80:$AZ$80&lt;&gt;"")*IF(((UPPER($AS$80:$AZ$80)="BLANK")+(UPPER($AS$80:$AZ$80)="(BLANK)")+(UPPER($AS$80:$AZ$80)="EMPTY")+(UPPER($AS$80:$AZ$80)="(EMPTY)"))&gt;0,IFERROR(('Final Calculation Sheet'!$T$28)&amp;"","")="",ISNUMBER(SEARCH($AS$80:$AZ$80,IFERROR(('Final Calculation Sheet'!$T$28)&amp;"","")))))&gt;0),IF(COUNTIF($BI$80:$BP$80,6)=0,TRUE,SUMPRODUCT(($BI$80:$BP$80=6)*($AS$80:$AZ$80&lt;&gt;"")*IF(((UPPER($AS$80:$AZ$80)="BLANK")+(UPPER($AS$80:$AZ$80)="(BLANK)")+(UPPER($AS$80:$AZ$80)="EMPTY")+(UPPER($AS$80:$AZ$80)="(EMPTY)"))&gt;0,IFERROR(('Final Calculation Sheet'!$T$28)&amp;"","")="",ISNUMBER(SEARCH($AS$80:$AZ$80,IFERROR(('Final Calculation Sheet'!$T$28)&amp;"","")))))&gt;0),IF(COUNTIF($BI$80:$BP$80,7)=0,TRUE,SUMPRODUCT(($BI$80:$BP$80=7)*($AS$80:$AZ$80&lt;&gt;"")*IF(((UPPER($AS$80:$AZ$80)="BLANK")+(UPPER($AS$80:$AZ$80)="(BLANK)")+(UPPER($AS$80:$AZ$80)="EMPTY")+(UPPER($AS$80:$AZ$80)="(EMPTY)"))&gt;0,IFERROR(('Final Calculation Sheet'!$T$28)&amp;"","")="",ISNUMBER(SEARCH($AS$80:$AZ$80,IFERROR(('Final Calculation Sheet'!$T$28)&amp;"","")))))&gt;0),IF(COUNTIF($BI$80:$BP$80,8)=0,TRUE,SUMPRODUCT(($BI$80:$BP$80=8)*($AS$80:$AZ$80&lt;&gt;"")*IF(((UPPER($AS$80:$AZ$80)="BLANK")+(UPPER($AS$80:$AZ$80)="(BLANK)")+(UPPER($AS$80:$AZ$80)="EMPTY")+(UPPER($AS$80:$AZ$80)="(EMPTY)"))&gt;0,IFERROR(('Final Calculation Sheet'!$T$28)&amp;"","")="",ISNUMBER(SEARCH($AS$80:$AZ$80,IFERROR(('Final Calculation Sheet'!$T$28)&amp;"","")))))&gt;0))))</f>
        <v>1</v>
      </c>
      <c r="CH29">
        <f>IF($V$4="",1,--(AND(SUMPRODUCT(--($AS$81:$AZ$81&lt;&gt;""))&gt;0,IF(COUNTIF($BI$81:$BP$81,1)=0,TRUE,SUMPRODUCT(($BI$81:$BP$81=1)*($AS$81:$AZ$81&lt;&gt;"")*IF(((UPPER($AS$81:$AZ$81)="BLANK")+(UPPER($AS$81:$AZ$81)="(BLANK)")+(UPPER($AS$81:$AZ$81)="EMPTY")+(UPPER($AS$81:$AZ$81)="(EMPTY)"))&gt;0,IFERROR(('Final Calculation Sheet'!$U$28)&amp;"","")="",ISNUMBER(SEARCH($AS$81:$AZ$81,IFERROR(('Final Calculation Sheet'!$U$28)&amp;"","")))))&gt;0),IF(COUNTIF($BI$81:$BP$81,2)=0,TRUE,SUMPRODUCT(($BI$81:$BP$81=2)*($AS$81:$AZ$81&lt;&gt;"")*IF(((UPPER($AS$81:$AZ$81)="BLANK")+(UPPER($AS$81:$AZ$81)="(BLANK)")+(UPPER($AS$81:$AZ$81)="EMPTY")+(UPPER($AS$81:$AZ$81)="(EMPTY)"))&gt;0,IFERROR(('Final Calculation Sheet'!$U$28)&amp;"","")="",ISNUMBER(SEARCH($AS$81:$AZ$81,IFERROR(('Final Calculation Sheet'!$U$28)&amp;"","")))))&gt;0),IF(COUNTIF($BI$81:$BP$81,3)=0,TRUE,SUMPRODUCT(($BI$81:$BP$81=3)*($AS$81:$AZ$81&lt;&gt;"")*IF(((UPPER($AS$81:$AZ$81)="BLANK")+(UPPER($AS$81:$AZ$81)="(BLANK)")+(UPPER($AS$81:$AZ$81)="EMPTY")+(UPPER($AS$81:$AZ$81)="(EMPTY)"))&gt;0,IFERROR(('Final Calculation Sheet'!$U$28)&amp;"","")="",ISNUMBER(SEARCH($AS$81:$AZ$81,IFERROR(('Final Calculation Sheet'!$U$28)&amp;"","")))))&gt;0),IF(COUNTIF($BI$81:$BP$81,4)=0,TRUE,SUMPRODUCT(($BI$81:$BP$81=4)*($AS$81:$AZ$81&lt;&gt;"")*IF(((UPPER($AS$81:$AZ$81)="BLANK")+(UPPER($AS$81:$AZ$81)="(BLANK)")+(UPPER($AS$81:$AZ$81)="EMPTY")+(UPPER($AS$81:$AZ$81)="(EMPTY)"))&gt;0,IFERROR(('Final Calculation Sheet'!$U$28)&amp;"","")="",ISNUMBER(SEARCH($AS$81:$AZ$81,IFERROR(('Final Calculation Sheet'!$U$28)&amp;"","")))))&gt;0),IF(COUNTIF($BI$81:$BP$81,5)=0,TRUE,SUMPRODUCT(($BI$81:$BP$81=5)*($AS$81:$AZ$81&lt;&gt;"")*IF(((UPPER($AS$81:$AZ$81)="BLANK")+(UPPER($AS$81:$AZ$81)="(BLANK)")+(UPPER($AS$81:$AZ$81)="EMPTY")+(UPPER($AS$81:$AZ$81)="(EMPTY)"))&gt;0,IFERROR(('Final Calculation Sheet'!$U$28)&amp;"","")="",ISNUMBER(SEARCH($AS$81:$AZ$81,IFERROR(('Final Calculation Sheet'!$U$28)&amp;"","")))))&gt;0),IF(COUNTIF($BI$81:$BP$81,6)=0,TRUE,SUMPRODUCT(($BI$81:$BP$81=6)*($AS$81:$AZ$81&lt;&gt;"")*IF(((UPPER($AS$81:$AZ$81)="BLANK")+(UPPER($AS$81:$AZ$81)="(BLANK)")+(UPPER($AS$81:$AZ$81)="EMPTY")+(UPPER($AS$81:$AZ$81)="(EMPTY)"))&gt;0,IFERROR(('Final Calculation Sheet'!$U$28)&amp;"","")="",ISNUMBER(SEARCH($AS$81:$AZ$81,IFERROR(('Final Calculation Sheet'!$U$28)&amp;"","")))))&gt;0),IF(COUNTIF($BI$81:$BP$81,7)=0,TRUE,SUMPRODUCT(($BI$81:$BP$81=7)*($AS$81:$AZ$81&lt;&gt;"")*IF(((UPPER($AS$81:$AZ$81)="BLANK")+(UPPER($AS$81:$AZ$81)="(BLANK)")+(UPPER($AS$81:$AZ$81)="EMPTY")+(UPPER($AS$81:$AZ$81)="(EMPTY)"))&gt;0,IFERROR(('Final Calculation Sheet'!$U$28)&amp;"","")="",ISNUMBER(SEARCH($AS$81:$AZ$81,IFERROR(('Final Calculation Sheet'!$U$28)&amp;"","")))))&gt;0),IF(COUNTIF($BI$81:$BP$81,8)=0,TRUE,SUMPRODUCT(($BI$81:$BP$81=8)*($AS$81:$AZ$81&lt;&gt;"")*IF(((UPPER($AS$81:$AZ$81)="BLANK")+(UPPER($AS$81:$AZ$81)="(BLANK)")+(UPPER($AS$81:$AZ$81)="EMPTY")+(UPPER($AS$81:$AZ$81)="(EMPTY)"))&gt;0,IFERROR(('Final Calculation Sheet'!$U$28)&amp;"","")="",ISNUMBER(SEARCH($AS$81:$AZ$81,IFERROR(('Final Calculation Sheet'!$U$28)&amp;"","")))))&gt;0))))</f>
        <v>1</v>
      </c>
      <c r="CI29">
        <f>IF($W$4="",1,--(AND(SUMPRODUCT(--($AS$82:$AZ$82&lt;&gt;""))&gt;0,IF(COUNTIF($BI$82:$BP$82,1)=0,TRUE,SUMPRODUCT(($BI$82:$BP$82=1)*($AS$82:$AZ$82&lt;&gt;"")*IF(((UPPER($AS$82:$AZ$82)="BLANK")+(UPPER($AS$82:$AZ$82)="(BLANK)")+(UPPER($AS$82:$AZ$82)="EMPTY")+(UPPER($AS$82:$AZ$82)="(EMPTY)"))&gt;0,IFERROR(('Final Calculation Sheet'!$V$28)&amp;"","")="",ISNUMBER(SEARCH($AS$82:$AZ$82,IFERROR(('Final Calculation Sheet'!$V$28)&amp;"","")))))&gt;0),IF(COUNTIF($BI$82:$BP$82,2)=0,TRUE,SUMPRODUCT(($BI$82:$BP$82=2)*($AS$82:$AZ$82&lt;&gt;"")*IF(((UPPER($AS$82:$AZ$82)="BLANK")+(UPPER($AS$82:$AZ$82)="(BLANK)")+(UPPER($AS$82:$AZ$82)="EMPTY")+(UPPER($AS$82:$AZ$82)="(EMPTY)"))&gt;0,IFERROR(('Final Calculation Sheet'!$V$28)&amp;"","")="",ISNUMBER(SEARCH($AS$82:$AZ$82,IFERROR(('Final Calculation Sheet'!$V$28)&amp;"","")))))&gt;0),IF(COUNTIF($BI$82:$BP$82,3)=0,TRUE,SUMPRODUCT(($BI$82:$BP$82=3)*($AS$82:$AZ$82&lt;&gt;"")*IF(((UPPER($AS$82:$AZ$82)="BLANK")+(UPPER($AS$82:$AZ$82)="(BLANK)")+(UPPER($AS$82:$AZ$82)="EMPTY")+(UPPER($AS$82:$AZ$82)="(EMPTY)"))&gt;0,IFERROR(('Final Calculation Sheet'!$V$28)&amp;"","")="",ISNUMBER(SEARCH($AS$82:$AZ$82,IFERROR(('Final Calculation Sheet'!$V$28)&amp;"","")))))&gt;0),IF(COUNTIF($BI$82:$BP$82,4)=0,TRUE,SUMPRODUCT(($BI$82:$BP$82=4)*($AS$82:$AZ$82&lt;&gt;"")*IF(((UPPER($AS$82:$AZ$82)="BLANK")+(UPPER($AS$82:$AZ$82)="(BLANK)")+(UPPER($AS$82:$AZ$82)="EMPTY")+(UPPER($AS$82:$AZ$82)="(EMPTY)"))&gt;0,IFERROR(('Final Calculation Sheet'!$V$28)&amp;"","")="",ISNUMBER(SEARCH($AS$82:$AZ$82,IFERROR(('Final Calculation Sheet'!$V$28)&amp;"","")))))&gt;0),IF(COUNTIF($BI$82:$BP$82,5)=0,TRUE,SUMPRODUCT(($BI$82:$BP$82=5)*($AS$82:$AZ$82&lt;&gt;"")*IF(((UPPER($AS$82:$AZ$82)="BLANK")+(UPPER($AS$82:$AZ$82)="(BLANK)")+(UPPER($AS$82:$AZ$82)="EMPTY")+(UPPER($AS$82:$AZ$82)="(EMPTY)"))&gt;0,IFERROR(('Final Calculation Sheet'!$V$28)&amp;"","")="",ISNUMBER(SEARCH($AS$82:$AZ$82,IFERROR(('Final Calculation Sheet'!$V$28)&amp;"","")))))&gt;0),IF(COUNTIF($BI$82:$BP$82,6)=0,TRUE,SUMPRODUCT(($BI$82:$BP$82=6)*($AS$82:$AZ$82&lt;&gt;"")*IF(((UPPER($AS$82:$AZ$82)="BLANK")+(UPPER($AS$82:$AZ$82)="(BLANK)")+(UPPER($AS$82:$AZ$82)="EMPTY")+(UPPER($AS$82:$AZ$82)="(EMPTY)"))&gt;0,IFERROR(('Final Calculation Sheet'!$V$28)&amp;"","")="",ISNUMBER(SEARCH($AS$82:$AZ$82,IFERROR(('Final Calculation Sheet'!$V$28)&amp;"","")))))&gt;0),IF(COUNTIF($BI$82:$BP$82,7)=0,TRUE,SUMPRODUCT(($BI$82:$BP$82=7)*($AS$82:$AZ$82&lt;&gt;"")*IF(((UPPER($AS$82:$AZ$82)="BLANK")+(UPPER($AS$82:$AZ$82)="(BLANK)")+(UPPER($AS$82:$AZ$82)="EMPTY")+(UPPER($AS$82:$AZ$82)="(EMPTY)"))&gt;0,IFERROR(('Final Calculation Sheet'!$V$28)&amp;"","")="",ISNUMBER(SEARCH($AS$82:$AZ$82,IFERROR(('Final Calculation Sheet'!$V$28)&amp;"","")))))&gt;0),IF(COUNTIF($BI$82:$BP$82,8)=0,TRUE,SUMPRODUCT(($BI$82:$BP$82=8)*($AS$82:$AZ$82&lt;&gt;"")*IF(((UPPER($AS$82:$AZ$82)="BLANK")+(UPPER($AS$82:$AZ$82)="(BLANK)")+(UPPER($AS$82:$AZ$82)="EMPTY")+(UPPER($AS$82:$AZ$82)="(EMPTY)"))&gt;0,IFERROR(('Final Calculation Sheet'!$V$28)&amp;"","")="",ISNUMBER(SEARCH($AS$82:$AZ$82,IFERROR(('Final Calculation Sheet'!$V$28)&amp;"","")))))&gt;0))))</f>
        <v>1</v>
      </c>
      <c r="CJ29">
        <f>IF($X$4="",1,--(AND(SUMPRODUCT(--($AS$83:$AZ$83&lt;&gt;""))&gt;0,IF(COUNTIF($BI$83:$BP$83,1)=0,TRUE,SUMPRODUCT(($BI$83:$BP$83=1)*($AS$83:$AZ$83&lt;&gt;"")*IF(((UPPER($AS$83:$AZ$83)="BLANK")+(UPPER($AS$83:$AZ$83)="(BLANK)")+(UPPER($AS$83:$AZ$83)="EMPTY")+(UPPER($AS$83:$AZ$83)="(EMPTY)"))&gt;0,IFERROR(('Final Calculation Sheet'!$W$28)&amp;"","")="",ISNUMBER(SEARCH($AS$83:$AZ$83,IFERROR(('Final Calculation Sheet'!$W$28)&amp;"","")))))&gt;0),IF(COUNTIF($BI$83:$BP$83,2)=0,TRUE,SUMPRODUCT(($BI$83:$BP$83=2)*($AS$83:$AZ$83&lt;&gt;"")*IF(((UPPER($AS$83:$AZ$83)="BLANK")+(UPPER($AS$83:$AZ$83)="(BLANK)")+(UPPER($AS$83:$AZ$83)="EMPTY")+(UPPER($AS$83:$AZ$83)="(EMPTY)"))&gt;0,IFERROR(('Final Calculation Sheet'!$W$28)&amp;"","")="",ISNUMBER(SEARCH($AS$83:$AZ$83,IFERROR(('Final Calculation Sheet'!$W$28)&amp;"","")))))&gt;0),IF(COUNTIF($BI$83:$BP$83,3)=0,TRUE,SUMPRODUCT(($BI$83:$BP$83=3)*($AS$83:$AZ$83&lt;&gt;"")*IF(((UPPER($AS$83:$AZ$83)="BLANK")+(UPPER($AS$83:$AZ$83)="(BLANK)")+(UPPER($AS$83:$AZ$83)="EMPTY")+(UPPER($AS$83:$AZ$83)="(EMPTY)"))&gt;0,IFERROR(('Final Calculation Sheet'!$W$28)&amp;"","")="",ISNUMBER(SEARCH($AS$83:$AZ$83,IFERROR(('Final Calculation Sheet'!$W$28)&amp;"","")))))&gt;0),IF(COUNTIF($BI$83:$BP$83,4)=0,TRUE,SUMPRODUCT(($BI$83:$BP$83=4)*($AS$83:$AZ$83&lt;&gt;"")*IF(((UPPER($AS$83:$AZ$83)="BLANK")+(UPPER($AS$83:$AZ$83)="(BLANK)")+(UPPER($AS$83:$AZ$83)="EMPTY")+(UPPER($AS$83:$AZ$83)="(EMPTY)"))&gt;0,IFERROR(('Final Calculation Sheet'!$W$28)&amp;"","")="",ISNUMBER(SEARCH($AS$83:$AZ$83,IFERROR(('Final Calculation Sheet'!$W$28)&amp;"","")))))&gt;0),IF(COUNTIF($BI$83:$BP$83,5)=0,TRUE,SUMPRODUCT(($BI$83:$BP$83=5)*($AS$83:$AZ$83&lt;&gt;"")*IF(((UPPER($AS$83:$AZ$83)="BLANK")+(UPPER($AS$83:$AZ$83)="(BLANK)")+(UPPER($AS$83:$AZ$83)="EMPTY")+(UPPER($AS$83:$AZ$83)="(EMPTY)"))&gt;0,IFERROR(('Final Calculation Sheet'!$W$28)&amp;"","")="",ISNUMBER(SEARCH($AS$83:$AZ$83,IFERROR(('Final Calculation Sheet'!$W$28)&amp;"","")))))&gt;0),IF(COUNTIF($BI$83:$BP$83,6)=0,TRUE,SUMPRODUCT(($BI$83:$BP$83=6)*($AS$83:$AZ$83&lt;&gt;"")*IF(((UPPER($AS$83:$AZ$83)="BLANK")+(UPPER($AS$83:$AZ$83)="(BLANK)")+(UPPER($AS$83:$AZ$83)="EMPTY")+(UPPER($AS$83:$AZ$83)="(EMPTY)"))&gt;0,IFERROR(('Final Calculation Sheet'!$W$28)&amp;"","")="",ISNUMBER(SEARCH($AS$83:$AZ$83,IFERROR(('Final Calculation Sheet'!$W$28)&amp;"","")))))&gt;0),IF(COUNTIF($BI$83:$BP$83,7)=0,TRUE,SUMPRODUCT(($BI$83:$BP$83=7)*($AS$83:$AZ$83&lt;&gt;"")*IF(((UPPER($AS$83:$AZ$83)="BLANK")+(UPPER($AS$83:$AZ$83)="(BLANK)")+(UPPER($AS$83:$AZ$83)="EMPTY")+(UPPER($AS$83:$AZ$83)="(EMPTY)"))&gt;0,IFERROR(('Final Calculation Sheet'!$W$28)&amp;"","")="",ISNUMBER(SEARCH($AS$83:$AZ$83,IFERROR(('Final Calculation Sheet'!$W$28)&amp;"","")))))&gt;0),IF(COUNTIF($BI$83:$BP$83,8)=0,TRUE,SUMPRODUCT(($BI$83:$BP$83=8)*($AS$83:$AZ$83&lt;&gt;"")*IF(((UPPER($AS$83:$AZ$83)="BLANK")+(UPPER($AS$83:$AZ$83)="(BLANK)")+(UPPER($AS$83:$AZ$83)="EMPTY")+(UPPER($AS$83:$AZ$83)="(EMPTY)"))&gt;0,IFERROR(('Final Calculation Sheet'!$W$28)&amp;"","")="",ISNUMBER(SEARCH($AS$83:$AZ$83,IFERROR(('Final Calculation Sheet'!$W$28)&amp;"","")))))&gt;0))))</f>
        <v>1</v>
      </c>
      <c r="CK29">
        <f>IF($Y$4="",1,--(AND(SUMPRODUCT(--($AS$84:$AZ$84&lt;&gt;""))&gt;0,IF(COUNTIF($BI$84:$BP$84,1)=0,TRUE,SUMPRODUCT(($BI$84:$BP$84=1)*($AS$84:$AZ$84&lt;&gt;"")*IF(((UPPER($AS$84:$AZ$84)="BLANK")+(UPPER($AS$84:$AZ$84)="(BLANK)")+(UPPER($AS$84:$AZ$84)="EMPTY")+(UPPER($AS$84:$AZ$84)="(EMPTY)"))&gt;0,IFERROR(('Final Calculation Sheet'!$X$28)&amp;"","")="",ISNUMBER(SEARCH($AS$84:$AZ$84,IFERROR(('Final Calculation Sheet'!$X$28)&amp;"","")))))&gt;0),IF(COUNTIF($BI$84:$BP$84,2)=0,TRUE,SUMPRODUCT(($BI$84:$BP$84=2)*($AS$84:$AZ$84&lt;&gt;"")*IF(((UPPER($AS$84:$AZ$84)="BLANK")+(UPPER($AS$84:$AZ$84)="(BLANK)")+(UPPER($AS$84:$AZ$84)="EMPTY")+(UPPER($AS$84:$AZ$84)="(EMPTY)"))&gt;0,IFERROR(('Final Calculation Sheet'!$X$28)&amp;"","")="",ISNUMBER(SEARCH($AS$84:$AZ$84,IFERROR(('Final Calculation Sheet'!$X$28)&amp;"","")))))&gt;0),IF(COUNTIF($BI$84:$BP$84,3)=0,TRUE,SUMPRODUCT(($BI$84:$BP$84=3)*($AS$84:$AZ$84&lt;&gt;"")*IF(((UPPER($AS$84:$AZ$84)="BLANK")+(UPPER($AS$84:$AZ$84)="(BLANK)")+(UPPER($AS$84:$AZ$84)="EMPTY")+(UPPER($AS$84:$AZ$84)="(EMPTY)"))&gt;0,IFERROR(('Final Calculation Sheet'!$X$28)&amp;"","")="",ISNUMBER(SEARCH($AS$84:$AZ$84,IFERROR(('Final Calculation Sheet'!$X$28)&amp;"","")))))&gt;0),IF(COUNTIF($BI$84:$BP$84,4)=0,TRUE,SUMPRODUCT(($BI$84:$BP$84=4)*($AS$84:$AZ$84&lt;&gt;"")*IF(((UPPER($AS$84:$AZ$84)="BLANK")+(UPPER($AS$84:$AZ$84)="(BLANK)")+(UPPER($AS$84:$AZ$84)="EMPTY")+(UPPER($AS$84:$AZ$84)="(EMPTY)"))&gt;0,IFERROR(('Final Calculation Sheet'!$X$28)&amp;"","")="",ISNUMBER(SEARCH($AS$84:$AZ$84,IFERROR(('Final Calculation Sheet'!$X$28)&amp;"","")))))&gt;0),IF(COUNTIF($BI$84:$BP$84,5)=0,TRUE,SUMPRODUCT(($BI$84:$BP$84=5)*($AS$84:$AZ$84&lt;&gt;"")*IF(((UPPER($AS$84:$AZ$84)="BLANK")+(UPPER($AS$84:$AZ$84)="(BLANK)")+(UPPER($AS$84:$AZ$84)="EMPTY")+(UPPER($AS$84:$AZ$84)="(EMPTY)"))&gt;0,IFERROR(('Final Calculation Sheet'!$X$28)&amp;"","")="",ISNUMBER(SEARCH($AS$84:$AZ$84,IFERROR(('Final Calculation Sheet'!$X$28)&amp;"","")))))&gt;0),IF(COUNTIF($BI$84:$BP$84,6)=0,TRUE,SUMPRODUCT(($BI$84:$BP$84=6)*($AS$84:$AZ$84&lt;&gt;"")*IF(((UPPER($AS$84:$AZ$84)="BLANK")+(UPPER($AS$84:$AZ$84)="(BLANK)")+(UPPER($AS$84:$AZ$84)="EMPTY")+(UPPER($AS$84:$AZ$84)="(EMPTY)"))&gt;0,IFERROR(('Final Calculation Sheet'!$X$28)&amp;"","")="",ISNUMBER(SEARCH($AS$84:$AZ$84,IFERROR(('Final Calculation Sheet'!$X$28)&amp;"","")))))&gt;0),IF(COUNTIF($BI$84:$BP$84,7)=0,TRUE,SUMPRODUCT(($BI$84:$BP$84=7)*($AS$84:$AZ$84&lt;&gt;"")*IF(((UPPER($AS$84:$AZ$84)="BLANK")+(UPPER($AS$84:$AZ$84)="(BLANK)")+(UPPER($AS$84:$AZ$84)="EMPTY")+(UPPER($AS$84:$AZ$84)="(EMPTY)"))&gt;0,IFERROR(('Final Calculation Sheet'!$X$28)&amp;"","")="",ISNUMBER(SEARCH($AS$84:$AZ$84,IFERROR(('Final Calculation Sheet'!$X$28)&amp;"","")))))&gt;0),IF(COUNTIF($BI$84:$BP$84,8)=0,TRUE,SUMPRODUCT(($BI$84:$BP$84=8)*($AS$84:$AZ$84&lt;&gt;"")*IF(((UPPER($AS$84:$AZ$84)="BLANK")+(UPPER($AS$84:$AZ$84)="(BLANK)")+(UPPER($AS$84:$AZ$84)="EMPTY")+(UPPER($AS$84:$AZ$84)="(EMPTY)"))&gt;0,IFERROR(('Final Calculation Sheet'!$X$28)&amp;"","")="",ISNUMBER(SEARCH($AS$84:$AZ$84,IFERROR(('Final Calculation Sheet'!$X$28)&amp;"","")))))&gt;0))))</f>
        <v>1</v>
      </c>
      <c r="CL29">
        <f>IF($Z$4="",1,--(AND(SUMPRODUCT(--($AS$85:$AZ$85&lt;&gt;""))&gt;0,IF(COUNTIF($BI$85:$BP$85,1)=0,TRUE,SUMPRODUCT(($BI$85:$BP$85=1)*($AS$85:$AZ$85&lt;&gt;"")*IF(((UPPER($AS$85:$AZ$85)="BLANK")+(UPPER($AS$85:$AZ$85)="(BLANK)")+(UPPER($AS$85:$AZ$85)="EMPTY")+(UPPER($AS$85:$AZ$85)="(EMPTY)"))&gt;0,IFERROR(('Final Calculation Sheet'!$Y$28)&amp;"","")="",ISNUMBER(SEARCH($AS$85:$AZ$85,IFERROR(('Final Calculation Sheet'!$Y$28)&amp;"","")))))&gt;0),IF(COUNTIF($BI$85:$BP$85,2)=0,TRUE,SUMPRODUCT(($BI$85:$BP$85=2)*($AS$85:$AZ$85&lt;&gt;"")*IF(((UPPER($AS$85:$AZ$85)="BLANK")+(UPPER($AS$85:$AZ$85)="(BLANK)")+(UPPER($AS$85:$AZ$85)="EMPTY")+(UPPER($AS$85:$AZ$85)="(EMPTY)"))&gt;0,IFERROR(('Final Calculation Sheet'!$Y$28)&amp;"","")="",ISNUMBER(SEARCH($AS$85:$AZ$85,IFERROR(('Final Calculation Sheet'!$Y$28)&amp;"","")))))&gt;0),IF(COUNTIF($BI$85:$BP$85,3)=0,TRUE,SUMPRODUCT(($BI$85:$BP$85=3)*($AS$85:$AZ$85&lt;&gt;"")*IF(((UPPER($AS$85:$AZ$85)="BLANK")+(UPPER($AS$85:$AZ$85)="(BLANK)")+(UPPER($AS$85:$AZ$85)="EMPTY")+(UPPER($AS$85:$AZ$85)="(EMPTY)"))&gt;0,IFERROR(('Final Calculation Sheet'!$Y$28)&amp;"","")="",ISNUMBER(SEARCH($AS$85:$AZ$85,IFERROR(('Final Calculation Sheet'!$Y$28)&amp;"","")))))&gt;0),IF(COUNTIF($BI$85:$BP$85,4)=0,TRUE,SUMPRODUCT(($BI$85:$BP$85=4)*($AS$85:$AZ$85&lt;&gt;"")*IF(((UPPER($AS$85:$AZ$85)="BLANK")+(UPPER($AS$85:$AZ$85)="(BLANK)")+(UPPER($AS$85:$AZ$85)="EMPTY")+(UPPER($AS$85:$AZ$85)="(EMPTY)"))&gt;0,IFERROR(('Final Calculation Sheet'!$Y$28)&amp;"","")="",ISNUMBER(SEARCH($AS$85:$AZ$85,IFERROR(('Final Calculation Sheet'!$Y$28)&amp;"","")))))&gt;0),IF(COUNTIF($BI$85:$BP$85,5)=0,TRUE,SUMPRODUCT(($BI$85:$BP$85=5)*($AS$85:$AZ$85&lt;&gt;"")*IF(((UPPER($AS$85:$AZ$85)="BLANK")+(UPPER($AS$85:$AZ$85)="(BLANK)")+(UPPER($AS$85:$AZ$85)="EMPTY")+(UPPER($AS$85:$AZ$85)="(EMPTY)"))&gt;0,IFERROR(('Final Calculation Sheet'!$Y$28)&amp;"","")="",ISNUMBER(SEARCH($AS$85:$AZ$85,IFERROR(('Final Calculation Sheet'!$Y$28)&amp;"","")))))&gt;0),IF(COUNTIF($BI$85:$BP$85,6)=0,TRUE,SUMPRODUCT(($BI$85:$BP$85=6)*($AS$85:$AZ$85&lt;&gt;"")*IF(((UPPER($AS$85:$AZ$85)="BLANK")+(UPPER($AS$85:$AZ$85)="(BLANK)")+(UPPER($AS$85:$AZ$85)="EMPTY")+(UPPER($AS$85:$AZ$85)="(EMPTY)"))&gt;0,IFERROR(('Final Calculation Sheet'!$Y$28)&amp;"","")="",ISNUMBER(SEARCH($AS$85:$AZ$85,IFERROR(('Final Calculation Sheet'!$Y$28)&amp;"","")))))&gt;0),IF(COUNTIF($BI$85:$BP$85,7)=0,TRUE,SUMPRODUCT(($BI$85:$BP$85=7)*($AS$85:$AZ$85&lt;&gt;"")*IF(((UPPER($AS$85:$AZ$85)="BLANK")+(UPPER($AS$85:$AZ$85)="(BLANK)")+(UPPER($AS$85:$AZ$85)="EMPTY")+(UPPER($AS$85:$AZ$85)="(EMPTY)"))&gt;0,IFERROR(('Final Calculation Sheet'!$Y$28)&amp;"","")="",ISNUMBER(SEARCH($AS$85:$AZ$85,IFERROR(('Final Calculation Sheet'!$Y$28)&amp;"","")))))&gt;0),IF(COUNTIF($BI$85:$BP$85,8)=0,TRUE,SUMPRODUCT(($BI$85:$BP$85=8)*($AS$85:$AZ$85&lt;&gt;"")*IF(((UPPER($AS$85:$AZ$85)="BLANK")+(UPPER($AS$85:$AZ$85)="(BLANK)")+(UPPER($AS$85:$AZ$85)="EMPTY")+(UPPER($AS$85:$AZ$85)="(EMPTY)"))&gt;0,IFERROR(('Final Calculation Sheet'!$Y$28)&amp;"","")="",ISNUMBER(SEARCH($AS$85:$AZ$85,IFERROR(('Final Calculation Sheet'!$Y$28)&amp;"","")))))&gt;0))))</f>
        <v>1</v>
      </c>
      <c r="CM29">
        <f>IF($AA$4="",1,--(AND(SUMPRODUCT(--($AS$86:$AZ$86&lt;&gt;""))&gt;0,IF(COUNTIF($BI$86:$BP$86,1)=0,TRUE,SUMPRODUCT(($BI$86:$BP$86=1)*($AS$86:$AZ$86&lt;&gt;"")*IF(((UPPER($AS$86:$AZ$86)="BLANK")+(UPPER($AS$86:$AZ$86)="(BLANK)")+(UPPER($AS$86:$AZ$86)="EMPTY")+(UPPER($AS$86:$AZ$86)="(EMPTY)"))&gt;0,IFERROR(('Final Calculation Sheet'!$Z$28)&amp;"","")="",ISNUMBER(SEARCH($AS$86:$AZ$86,IFERROR(('Final Calculation Sheet'!$Z$28)&amp;"","")))))&gt;0),IF(COUNTIF($BI$86:$BP$86,2)=0,TRUE,SUMPRODUCT(($BI$86:$BP$86=2)*($AS$86:$AZ$86&lt;&gt;"")*IF(((UPPER($AS$86:$AZ$86)="BLANK")+(UPPER($AS$86:$AZ$86)="(BLANK)")+(UPPER($AS$86:$AZ$86)="EMPTY")+(UPPER($AS$86:$AZ$86)="(EMPTY)"))&gt;0,IFERROR(('Final Calculation Sheet'!$Z$28)&amp;"","")="",ISNUMBER(SEARCH($AS$86:$AZ$86,IFERROR(('Final Calculation Sheet'!$Z$28)&amp;"","")))))&gt;0),IF(COUNTIF($BI$86:$BP$86,3)=0,TRUE,SUMPRODUCT(($BI$86:$BP$86=3)*($AS$86:$AZ$86&lt;&gt;"")*IF(((UPPER($AS$86:$AZ$86)="BLANK")+(UPPER($AS$86:$AZ$86)="(BLANK)")+(UPPER($AS$86:$AZ$86)="EMPTY")+(UPPER($AS$86:$AZ$86)="(EMPTY)"))&gt;0,IFERROR(('Final Calculation Sheet'!$Z$28)&amp;"","")="",ISNUMBER(SEARCH($AS$86:$AZ$86,IFERROR(('Final Calculation Sheet'!$Z$28)&amp;"","")))))&gt;0),IF(COUNTIF($BI$86:$BP$86,4)=0,TRUE,SUMPRODUCT(($BI$86:$BP$86=4)*($AS$86:$AZ$86&lt;&gt;"")*IF(((UPPER($AS$86:$AZ$86)="BLANK")+(UPPER($AS$86:$AZ$86)="(BLANK)")+(UPPER($AS$86:$AZ$86)="EMPTY")+(UPPER($AS$86:$AZ$86)="(EMPTY)"))&gt;0,IFERROR(('Final Calculation Sheet'!$Z$28)&amp;"","")="",ISNUMBER(SEARCH($AS$86:$AZ$86,IFERROR(('Final Calculation Sheet'!$Z$28)&amp;"","")))))&gt;0),IF(COUNTIF($BI$86:$BP$86,5)=0,TRUE,SUMPRODUCT(($BI$86:$BP$86=5)*($AS$86:$AZ$86&lt;&gt;"")*IF(((UPPER($AS$86:$AZ$86)="BLANK")+(UPPER($AS$86:$AZ$86)="(BLANK)")+(UPPER($AS$86:$AZ$86)="EMPTY")+(UPPER($AS$86:$AZ$86)="(EMPTY)"))&gt;0,IFERROR(('Final Calculation Sheet'!$Z$28)&amp;"","")="",ISNUMBER(SEARCH($AS$86:$AZ$86,IFERROR(('Final Calculation Sheet'!$Z$28)&amp;"","")))))&gt;0),IF(COUNTIF($BI$86:$BP$86,6)=0,TRUE,SUMPRODUCT(($BI$86:$BP$86=6)*($AS$86:$AZ$86&lt;&gt;"")*IF(((UPPER($AS$86:$AZ$86)="BLANK")+(UPPER($AS$86:$AZ$86)="(BLANK)")+(UPPER($AS$86:$AZ$86)="EMPTY")+(UPPER($AS$86:$AZ$86)="(EMPTY)"))&gt;0,IFERROR(('Final Calculation Sheet'!$Z$28)&amp;"","")="",ISNUMBER(SEARCH($AS$86:$AZ$86,IFERROR(('Final Calculation Sheet'!$Z$28)&amp;"","")))))&gt;0),IF(COUNTIF($BI$86:$BP$86,7)=0,TRUE,SUMPRODUCT(($BI$86:$BP$86=7)*($AS$86:$AZ$86&lt;&gt;"")*IF(((UPPER($AS$86:$AZ$86)="BLANK")+(UPPER($AS$86:$AZ$86)="(BLANK)")+(UPPER($AS$86:$AZ$86)="EMPTY")+(UPPER($AS$86:$AZ$86)="(EMPTY)"))&gt;0,IFERROR(('Final Calculation Sheet'!$Z$28)&amp;"","")="",ISNUMBER(SEARCH($AS$86:$AZ$86,IFERROR(('Final Calculation Sheet'!$Z$28)&amp;"","")))))&gt;0),IF(COUNTIF($BI$86:$BP$86,8)=0,TRUE,SUMPRODUCT(($BI$86:$BP$86=8)*($AS$86:$AZ$86&lt;&gt;"")*IF(((UPPER($AS$86:$AZ$86)="BLANK")+(UPPER($AS$86:$AZ$86)="(BLANK)")+(UPPER($AS$86:$AZ$86)="EMPTY")+(UPPER($AS$86:$AZ$86)="(EMPTY)"))&gt;0,IFERROR(('Final Calculation Sheet'!$Z$28)&amp;"","")="",ISNUMBER(SEARCH($AS$86:$AZ$86,IFERROR(('Final Calculation Sheet'!$Z$28)&amp;"","")))))&gt;0))))</f>
        <v>1</v>
      </c>
      <c r="CN29">
        <f>IF($AB$4="",1,--(AND(SUMPRODUCT(--($AS$87:$AZ$87&lt;&gt;""))&gt;0,IF(COUNTIF($BI$87:$BP$87,1)=0,TRUE,SUMPRODUCT(($BI$87:$BP$87=1)*($AS$87:$AZ$87&lt;&gt;"")*IF(((UPPER($AS$87:$AZ$87)="BLANK")+(UPPER($AS$87:$AZ$87)="(BLANK)")+(UPPER($AS$87:$AZ$87)="EMPTY")+(UPPER($AS$87:$AZ$87)="(EMPTY)"))&gt;0,IFERROR(('Final Calculation Sheet'!$AA$28)&amp;"","")="",ISNUMBER(SEARCH($AS$87:$AZ$87,IFERROR(('Final Calculation Sheet'!$AA$28)&amp;"","")))))&gt;0),IF(COUNTIF($BI$87:$BP$87,2)=0,TRUE,SUMPRODUCT(($BI$87:$BP$87=2)*($AS$87:$AZ$87&lt;&gt;"")*IF(((UPPER($AS$87:$AZ$87)="BLANK")+(UPPER($AS$87:$AZ$87)="(BLANK)")+(UPPER($AS$87:$AZ$87)="EMPTY")+(UPPER($AS$87:$AZ$87)="(EMPTY)"))&gt;0,IFERROR(('Final Calculation Sheet'!$AA$28)&amp;"","")="",ISNUMBER(SEARCH($AS$87:$AZ$87,IFERROR(('Final Calculation Sheet'!$AA$28)&amp;"","")))))&gt;0),IF(COUNTIF($BI$87:$BP$87,3)=0,TRUE,SUMPRODUCT(($BI$87:$BP$87=3)*($AS$87:$AZ$87&lt;&gt;"")*IF(((UPPER($AS$87:$AZ$87)="BLANK")+(UPPER($AS$87:$AZ$87)="(BLANK)")+(UPPER($AS$87:$AZ$87)="EMPTY")+(UPPER($AS$87:$AZ$87)="(EMPTY)"))&gt;0,IFERROR(('Final Calculation Sheet'!$AA$28)&amp;"","")="",ISNUMBER(SEARCH($AS$87:$AZ$87,IFERROR(('Final Calculation Sheet'!$AA$28)&amp;"","")))))&gt;0),IF(COUNTIF($BI$87:$BP$87,4)=0,TRUE,SUMPRODUCT(($BI$87:$BP$87=4)*($AS$87:$AZ$87&lt;&gt;"")*IF(((UPPER($AS$87:$AZ$87)="BLANK")+(UPPER($AS$87:$AZ$87)="(BLANK)")+(UPPER($AS$87:$AZ$87)="EMPTY")+(UPPER($AS$87:$AZ$87)="(EMPTY)"))&gt;0,IFERROR(('Final Calculation Sheet'!$AA$28)&amp;"","")="",ISNUMBER(SEARCH($AS$87:$AZ$87,IFERROR(('Final Calculation Sheet'!$AA$28)&amp;"","")))))&gt;0),IF(COUNTIF($BI$87:$BP$87,5)=0,TRUE,SUMPRODUCT(($BI$87:$BP$87=5)*($AS$87:$AZ$87&lt;&gt;"")*IF(((UPPER($AS$87:$AZ$87)="BLANK")+(UPPER($AS$87:$AZ$87)="(BLANK)")+(UPPER($AS$87:$AZ$87)="EMPTY")+(UPPER($AS$87:$AZ$87)="(EMPTY)"))&gt;0,IFERROR(('Final Calculation Sheet'!$AA$28)&amp;"","")="",ISNUMBER(SEARCH($AS$87:$AZ$87,IFERROR(('Final Calculation Sheet'!$AA$28)&amp;"","")))))&gt;0),IF(COUNTIF($BI$87:$BP$87,6)=0,TRUE,SUMPRODUCT(($BI$87:$BP$87=6)*($AS$87:$AZ$87&lt;&gt;"")*IF(((UPPER($AS$87:$AZ$87)="BLANK")+(UPPER($AS$87:$AZ$87)="(BLANK)")+(UPPER($AS$87:$AZ$87)="EMPTY")+(UPPER($AS$87:$AZ$87)="(EMPTY)"))&gt;0,IFERROR(('Final Calculation Sheet'!$AA$28)&amp;"","")="",ISNUMBER(SEARCH($AS$87:$AZ$87,IFERROR(('Final Calculation Sheet'!$AA$28)&amp;"","")))))&gt;0),IF(COUNTIF($BI$87:$BP$87,7)=0,TRUE,SUMPRODUCT(($BI$87:$BP$87=7)*($AS$87:$AZ$87&lt;&gt;"")*IF(((UPPER($AS$87:$AZ$87)="BLANK")+(UPPER($AS$87:$AZ$87)="(BLANK)")+(UPPER($AS$87:$AZ$87)="EMPTY")+(UPPER($AS$87:$AZ$87)="(EMPTY)"))&gt;0,IFERROR(('Final Calculation Sheet'!$AA$28)&amp;"","")="",ISNUMBER(SEARCH($AS$87:$AZ$87,IFERROR(('Final Calculation Sheet'!$AA$28)&amp;"","")))))&gt;0),IF(COUNTIF($BI$87:$BP$87,8)=0,TRUE,SUMPRODUCT(($BI$87:$BP$87=8)*($AS$87:$AZ$87&lt;&gt;"")*IF(((UPPER($AS$87:$AZ$87)="BLANK")+(UPPER($AS$87:$AZ$87)="(BLANK)")+(UPPER($AS$87:$AZ$87)="EMPTY")+(UPPER($AS$87:$AZ$87)="(EMPTY)"))&gt;0,IFERROR(('Final Calculation Sheet'!$AA$28)&amp;"","")="",ISNUMBER(SEARCH($AS$87:$AZ$87,IFERROR(('Final Calculation Sheet'!$AA$28)&amp;"","")))))&gt;0))))</f>
        <v>1</v>
      </c>
      <c r="CO29">
        <f>IF($AC$4="",1,--(AND(SUMPRODUCT(--($AS$88:$AZ$88&lt;&gt;""))&gt;0,IF(COUNTIF($BI$88:$BP$88,1)=0,TRUE,SUMPRODUCT(($BI$88:$BP$88=1)*($AS$88:$AZ$88&lt;&gt;"")*IF(((UPPER($AS$88:$AZ$88)="BLANK")+(UPPER($AS$88:$AZ$88)="(BLANK)")+(UPPER($AS$88:$AZ$88)="EMPTY")+(UPPER($AS$88:$AZ$88)="(EMPTY)"))&gt;0,IFERROR(('Final Calculation Sheet'!$AB$28)&amp;"","")="",ISNUMBER(SEARCH($AS$88:$AZ$88,IFERROR(('Final Calculation Sheet'!$AB$28)&amp;"","")))))&gt;0),IF(COUNTIF($BI$88:$BP$88,2)=0,TRUE,SUMPRODUCT(($BI$88:$BP$88=2)*($AS$88:$AZ$88&lt;&gt;"")*IF(((UPPER($AS$88:$AZ$88)="BLANK")+(UPPER($AS$88:$AZ$88)="(BLANK)")+(UPPER($AS$88:$AZ$88)="EMPTY")+(UPPER($AS$88:$AZ$88)="(EMPTY)"))&gt;0,IFERROR(('Final Calculation Sheet'!$AB$28)&amp;"","")="",ISNUMBER(SEARCH($AS$88:$AZ$88,IFERROR(('Final Calculation Sheet'!$AB$28)&amp;"","")))))&gt;0),IF(COUNTIF($BI$88:$BP$88,3)=0,TRUE,SUMPRODUCT(($BI$88:$BP$88=3)*($AS$88:$AZ$88&lt;&gt;"")*IF(((UPPER($AS$88:$AZ$88)="BLANK")+(UPPER($AS$88:$AZ$88)="(BLANK)")+(UPPER($AS$88:$AZ$88)="EMPTY")+(UPPER($AS$88:$AZ$88)="(EMPTY)"))&gt;0,IFERROR(('Final Calculation Sheet'!$AB$28)&amp;"","")="",ISNUMBER(SEARCH($AS$88:$AZ$88,IFERROR(('Final Calculation Sheet'!$AB$28)&amp;"","")))))&gt;0),IF(COUNTIF($BI$88:$BP$88,4)=0,TRUE,SUMPRODUCT(($BI$88:$BP$88=4)*($AS$88:$AZ$88&lt;&gt;"")*IF(((UPPER($AS$88:$AZ$88)="BLANK")+(UPPER($AS$88:$AZ$88)="(BLANK)")+(UPPER($AS$88:$AZ$88)="EMPTY")+(UPPER($AS$88:$AZ$88)="(EMPTY)"))&gt;0,IFERROR(('Final Calculation Sheet'!$AB$28)&amp;"","")="",ISNUMBER(SEARCH($AS$88:$AZ$88,IFERROR(('Final Calculation Sheet'!$AB$28)&amp;"","")))))&gt;0),IF(COUNTIF($BI$88:$BP$88,5)=0,TRUE,SUMPRODUCT(($BI$88:$BP$88=5)*($AS$88:$AZ$88&lt;&gt;"")*IF(((UPPER($AS$88:$AZ$88)="BLANK")+(UPPER($AS$88:$AZ$88)="(BLANK)")+(UPPER($AS$88:$AZ$88)="EMPTY")+(UPPER($AS$88:$AZ$88)="(EMPTY)"))&gt;0,IFERROR(('Final Calculation Sheet'!$AB$28)&amp;"","")="",ISNUMBER(SEARCH($AS$88:$AZ$88,IFERROR(('Final Calculation Sheet'!$AB$28)&amp;"","")))))&gt;0),IF(COUNTIF($BI$88:$BP$88,6)=0,TRUE,SUMPRODUCT(($BI$88:$BP$88=6)*($AS$88:$AZ$88&lt;&gt;"")*IF(((UPPER($AS$88:$AZ$88)="BLANK")+(UPPER($AS$88:$AZ$88)="(BLANK)")+(UPPER($AS$88:$AZ$88)="EMPTY")+(UPPER($AS$88:$AZ$88)="(EMPTY)"))&gt;0,IFERROR(('Final Calculation Sheet'!$AB$28)&amp;"","")="",ISNUMBER(SEARCH($AS$88:$AZ$88,IFERROR(('Final Calculation Sheet'!$AB$28)&amp;"","")))))&gt;0),IF(COUNTIF($BI$88:$BP$88,7)=0,TRUE,SUMPRODUCT(($BI$88:$BP$88=7)*($AS$88:$AZ$88&lt;&gt;"")*IF(((UPPER($AS$88:$AZ$88)="BLANK")+(UPPER($AS$88:$AZ$88)="(BLANK)")+(UPPER($AS$88:$AZ$88)="EMPTY")+(UPPER($AS$88:$AZ$88)="(EMPTY)"))&gt;0,IFERROR(('Final Calculation Sheet'!$AB$28)&amp;"","")="",ISNUMBER(SEARCH($AS$88:$AZ$88,IFERROR(('Final Calculation Sheet'!$AB$28)&amp;"","")))))&gt;0),IF(COUNTIF($BI$88:$BP$88,8)=0,TRUE,SUMPRODUCT(($BI$88:$BP$88=8)*($AS$88:$AZ$88&lt;&gt;"")*IF(((UPPER($AS$88:$AZ$88)="BLANK")+(UPPER($AS$88:$AZ$88)="(BLANK)")+(UPPER($AS$88:$AZ$88)="EMPTY")+(UPPER($AS$88:$AZ$88)="(EMPTY)"))&gt;0,IFERROR(('Final Calculation Sheet'!$AB$28)&amp;"","")="",ISNUMBER(SEARCH($AS$88:$AZ$88,IFERROR(('Final Calculation Sheet'!$AB$28)&amp;"","")))))&gt;0))))</f>
        <v>1</v>
      </c>
      <c r="CP29">
        <f>IF($AD$4="",1,--(AND(SUMPRODUCT(--($AS$89:$AZ$89&lt;&gt;""))&gt;0,IF(COUNTIF($BI$89:$BP$89,1)=0,TRUE,SUMPRODUCT(($BI$89:$BP$89=1)*($AS$89:$AZ$89&lt;&gt;"")*IF(((UPPER($AS$89:$AZ$89)="BLANK")+(UPPER($AS$89:$AZ$89)="(BLANK)")+(UPPER($AS$89:$AZ$89)="EMPTY")+(UPPER($AS$89:$AZ$89)="(EMPTY)"))&gt;0,IFERROR(('Final Calculation Sheet'!$AC$28)&amp;"","")="",ISNUMBER(SEARCH($AS$89:$AZ$89,IFERROR(('Final Calculation Sheet'!$AC$28)&amp;"","")))))&gt;0),IF(COUNTIF($BI$89:$BP$89,2)=0,TRUE,SUMPRODUCT(($BI$89:$BP$89=2)*($AS$89:$AZ$89&lt;&gt;"")*IF(((UPPER($AS$89:$AZ$89)="BLANK")+(UPPER($AS$89:$AZ$89)="(BLANK)")+(UPPER($AS$89:$AZ$89)="EMPTY")+(UPPER($AS$89:$AZ$89)="(EMPTY)"))&gt;0,IFERROR(('Final Calculation Sheet'!$AC$28)&amp;"","")="",ISNUMBER(SEARCH($AS$89:$AZ$89,IFERROR(('Final Calculation Sheet'!$AC$28)&amp;"","")))))&gt;0),IF(COUNTIF($BI$89:$BP$89,3)=0,TRUE,SUMPRODUCT(($BI$89:$BP$89=3)*($AS$89:$AZ$89&lt;&gt;"")*IF(((UPPER($AS$89:$AZ$89)="BLANK")+(UPPER($AS$89:$AZ$89)="(BLANK)")+(UPPER($AS$89:$AZ$89)="EMPTY")+(UPPER($AS$89:$AZ$89)="(EMPTY)"))&gt;0,IFERROR(('Final Calculation Sheet'!$AC$28)&amp;"","")="",ISNUMBER(SEARCH($AS$89:$AZ$89,IFERROR(('Final Calculation Sheet'!$AC$28)&amp;"","")))))&gt;0),IF(COUNTIF($BI$89:$BP$89,4)=0,TRUE,SUMPRODUCT(($BI$89:$BP$89=4)*($AS$89:$AZ$89&lt;&gt;"")*IF(((UPPER($AS$89:$AZ$89)="BLANK")+(UPPER($AS$89:$AZ$89)="(BLANK)")+(UPPER($AS$89:$AZ$89)="EMPTY")+(UPPER($AS$89:$AZ$89)="(EMPTY)"))&gt;0,IFERROR(('Final Calculation Sheet'!$AC$28)&amp;"","")="",ISNUMBER(SEARCH($AS$89:$AZ$89,IFERROR(('Final Calculation Sheet'!$AC$28)&amp;"","")))))&gt;0),IF(COUNTIF($BI$89:$BP$89,5)=0,TRUE,SUMPRODUCT(($BI$89:$BP$89=5)*($AS$89:$AZ$89&lt;&gt;"")*IF(((UPPER($AS$89:$AZ$89)="BLANK")+(UPPER($AS$89:$AZ$89)="(BLANK)")+(UPPER($AS$89:$AZ$89)="EMPTY")+(UPPER($AS$89:$AZ$89)="(EMPTY)"))&gt;0,IFERROR(('Final Calculation Sheet'!$AC$28)&amp;"","")="",ISNUMBER(SEARCH($AS$89:$AZ$89,IFERROR(('Final Calculation Sheet'!$AC$28)&amp;"","")))))&gt;0),IF(COUNTIF($BI$89:$BP$89,6)=0,TRUE,SUMPRODUCT(($BI$89:$BP$89=6)*($AS$89:$AZ$89&lt;&gt;"")*IF(((UPPER($AS$89:$AZ$89)="BLANK")+(UPPER($AS$89:$AZ$89)="(BLANK)")+(UPPER($AS$89:$AZ$89)="EMPTY")+(UPPER($AS$89:$AZ$89)="(EMPTY)"))&gt;0,IFERROR(('Final Calculation Sheet'!$AC$28)&amp;"","")="",ISNUMBER(SEARCH($AS$89:$AZ$89,IFERROR(('Final Calculation Sheet'!$AC$28)&amp;"","")))))&gt;0),IF(COUNTIF($BI$89:$BP$89,7)=0,TRUE,SUMPRODUCT(($BI$89:$BP$89=7)*($AS$89:$AZ$89&lt;&gt;"")*IF(((UPPER($AS$89:$AZ$89)="BLANK")+(UPPER($AS$89:$AZ$89)="(BLANK)")+(UPPER($AS$89:$AZ$89)="EMPTY")+(UPPER($AS$89:$AZ$89)="(EMPTY)"))&gt;0,IFERROR(('Final Calculation Sheet'!$AC$28)&amp;"","")="",ISNUMBER(SEARCH($AS$89:$AZ$89,IFERROR(('Final Calculation Sheet'!$AC$28)&amp;"","")))))&gt;0),IF(COUNTIF($BI$89:$BP$89,8)=0,TRUE,SUMPRODUCT(($BI$89:$BP$89=8)*($AS$89:$AZ$89&lt;&gt;"")*IF(((UPPER($AS$89:$AZ$89)="BLANK")+(UPPER($AS$89:$AZ$89)="(BLANK)")+(UPPER($AS$89:$AZ$89)="EMPTY")+(UPPER($AS$89:$AZ$89)="(EMPTY)"))&gt;0,IFERROR(('Final Calculation Sheet'!$AC$28)&amp;"","")="",ISNUMBER(SEARCH($AS$89:$AZ$89,IFERROR(('Final Calculation Sheet'!$AC$28)&amp;"","")))))&gt;0))))</f>
        <v>1</v>
      </c>
      <c r="CQ29">
        <f>IF($AE$4="",1,--(AND(SUMPRODUCT(--($AS$90:$AZ$90&lt;&gt;""))&gt;0,IF(COUNTIF($BI$90:$BP$90,1)=0,TRUE,SUMPRODUCT(($BI$90:$BP$90=1)*($AS$90:$AZ$90&lt;&gt;"")*IF(((UPPER($AS$90:$AZ$90)="BLANK")+(UPPER($AS$90:$AZ$90)="(BLANK)")+(UPPER($AS$90:$AZ$90)="EMPTY")+(UPPER($AS$90:$AZ$90)="(EMPTY)"))&gt;0,IFERROR(('Final Calculation Sheet'!$AD$28)&amp;"","")="",ISNUMBER(SEARCH($AS$90:$AZ$90,IFERROR(('Final Calculation Sheet'!$AD$28)&amp;"","")))))&gt;0),IF(COUNTIF($BI$90:$BP$90,2)=0,TRUE,SUMPRODUCT(($BI$90:$BP$90=2)*($AS$90:$AZ$90&lt;&gt;"")*IF(((UPPER($AS$90:$AZ$90)="BLANK")+(UPPER($AS$90:$AZ$90)="(BLANK)")+(UPPER($AS$90:$AZ$90)="EMPTY")+(UPPER($AS$90:$AZ$90)="(EMPTY)"))&gt;0,IFERROR(('Final Calculation Sheet'!$AD$28)&amp;"","")="",ISNUMBER(SEARCH($AS$90:$AZ$90,IFERROR(('Final Calculation Sheet'!$AD$28)&amp;"","")))))&gt;0),IF(COUNTIF($BI$90:$BP$90,3)=0,TRUE,SUMPRODUCT(($BI$90:$BP$90=3)*($AS$90:$AZ$90&lt;&gt;"")*IF(((UPPER($AS$90:$AZ$90)="BLANK")+(UPPER($AS$90:$AZ$90)="(BLANK)")+(UPPER($AS$90:$AZ$90)="EMPTY")+(UPPER($AS$90:$AZ$90)="(EMPTY)"))&gt;0,IFERROR(('Final Calculation Sheet'!$AD$28)&amp;"","")="",ISNUMBER(SEARCH($AS$90:$AZ$90,IFERROR(('Final Calculation Sheet'!$AD$28)&amp;"","")))))&gt;0),IF(COUNTIF($BI$90:$BP$90,4)=0,TRUE,SUMPRODUCT(($BI$90:$BP$90=4)*($AS$90:$AZ$90&lt;&gt;"")*IF(((UPPER($AS$90:$AZ$90)="BLANK")+(UPPER($AS$90:$AZ$90)="(BLANK)")+(UPPER($AS$90:$AZ$90)="EMPTY")+(UPPER($AS$90:$AZ$90)="(EMPTY)"))&gt;0,IFERROR(('Final Calculation Sheet'!$AD$28)&amp;"","")="",ISNUMBER(SEARCH($AS$90:$AZ$90,IFERROR(('Final Calculation Sheet'!$AD$28)&amp;"","")))))&gt;0),IF(COUNTIF($BI$90:$BP$90,5)=0,TRUE,SUMPRODUCT(($BI$90:$BP$90=5)*($AS$90:$AZ$90&lt;&gt;"")*IF(((UPPER($AS$90:$AZ$90)="BLANK")+(UPPER($AS$90:$AZ$90)="(BLANK)")+(UPPER($AS$90:$AZ$90)="EMPTY")+(UPPER($AS$90:$AZ$90)="(EMPTY)"))&gt;0,IFERROR(('Final Calculation Sheet'!$AD$28)&amp;"","")="",ISNUMBER(SEARCH($AS$90:$AZ$90,IFERROR(('Final Calculation Sheet'!$AD$28)&amp;"","")))))&gt;0),IF(COUNTIF($BI$90:$BP$90,6)=0,TRUE,SUMPRODUCT(($BI$90:$BP$90=6)*($AS$90:$AZ$90&lt;&gt;"")*IF(((UPPER($AS$90:$AZ$90)="BLANK")+(UPPER($AS$90:$AZ$90)="(BLANK)")+(UPPER($AS$90:$AZ$90)="EMPTY")+(UPPER($AS$90:$AZ$90)="(EMPTY)"))&gt;0,IFERROR(('Final Calculation Sheet'!$AD$28)&amp;"","")="",ISNUMBER(SEARCH($AS$90:$AZ$90,IFERROR(('Final Calculation Sheet'!$AD$28)&amp;"","")))))&gt;0),IF(COUNTIF($BI$90:$BP$90,7)=0,TRUE,SUMPRODUCT(($BI$90:$BP$90=7)*($AS$90:$AZ$90&lt;&gt;"")*IF(((UPPER($AS$90:$AZ$90)="BLANK")+(UPPER($AS$90:$AZ$90)="(BLANK)")+(UPPER($AS$90:$AZ$90)="EMPTY")+(UPPER($AS$90:$AZ$90)="(EMPTY)"))&gt;0,IFERROR(('Final Calculation Sheet'!$AD$28)&amp;"","")="",ISNUMBER(SEARCH($AS$90:$AZ$90,IFERROR(('Final Calculation Sheet'!$AD$28)&amp;"","")))))&gt;0),IF(COUNTIF($BI$90:$BP$90,8)=0,TRUE,SUMPRODUCT(($BI$90:$BP$90=8)*($AS$90:$AZ$90&lt;&gt;"")*IF(((UPPER($AS$90:$AZ$90)="BLANK")+(UPPER($AS$90:$AZ$90)="(BLANK)")+(UPPER($AS$90:$AZ$90)="EMPTY")+(UPPER($AS$90:$AZ$90)="(EMPTY)"))&gt;0,IFERROR(('Final Calculation Sheet'!$AD$28)&amp;"","")="",ISNUMBER(SEARCH($AS$90:$AZ$90,IFERROR(('Final Calculation Sheet'!$AD$28)&amp;"","")))))&gt;0))))</f>
        <v>1</v>
      </c>
      <c r="CR29">
        <f>IF($AF$4="",1,--(AND(SUMPRODUCT(--($AS$91:$AZ$91&lt;&gt;""))&gt;0,IF(COUNTIF($BI$91:$BP$91,1)=0,TRUE,SUMPRODUCT(($BI$91:$BP$91=1)*($AS$91:$AZ$91&lt;&gt;"")*IF(((UPPER($AS$91:$AZ$91)="BLANK")+(UPPER($AS$91:$AZ$91)="(BLANK)")+(UPPER($AS$91:$AZ$91)="EMPTY")+(UPPER($AS$91:$AZ$91)="(EMPTY)"))&gt;0,IFERROR(('Final Calculation Sheet'!$AE$28)&amp;"","")="",ISNUMBER(SEARCH($AS$91:$AZ$91,IFERROR(('Final Calculation Sheet'!$AE$28)&amp;"","")))))&gt;0),IF(COUNTIF($BI$91:$BP$91,2)=0,TRUE,SUMPRODUCT(($BI$91:$BP$91=2)*($AS$91:$AZ$91&lt;&gt;"")*IF(((UPPER($AS$91:$AZ$91)="BLANK")+(UPPER($AS$91:$AZ$91)="(BLANK)")+(UPPER($AS$91:$AZ$91)="EMPTY")+(UPPER($AS$91:$AZ$91)="(EMPTY)"))&gt;0,IFERROR(('Final Calculation Sheet'!$AE$28)&amp;"","")="",ISNUMBER(SEARCH($AS$91:$AZ$91,IFERROR(('Final Calculation Sheet'!$AE$28)&amp;"","")))))&gt;0),IF(COUNTIF($BI$91:$BP$91,3)=0,TRUE,SUMPRODUCT(($BI$91:$BP$91=3)*($AS$91:$AZ$91&lt;&gt;"")*IF(((UPPER($AS$91:$AZ$91)="BLANK")+(UPPER($AS$91:$AZ$91)="(BLANK)")+(UPPER($AS$91:$AZ$91)="EMPTY")+(UPPER($AS$91:$AZ$91)="(EMPTY)"))&gt;0,IFERROR(('Final Calculation Sheet'!$AE$28)&amp;"","")="",ISNUMBER(SEARCH($AS$91:$AZ$91,IFERROR(('Final Calculation Sheet'!$AE$28)&amp;"","")))))&gt;0),IF(COUNTIF($BI$91:$BP$91,4)=0,TRUE,SUMPRODUCT(($BI$91:$BP$91=4)*($AS$91:$AZ$91&lt;&gt;"")*IF(((UPPER($AS$91:$AZ$91)="BLANK")+(UPPER($AS$91:$AZ$91)="(BLANK)")+(UPPER($AS$91:$AZ$91)="EMPTY")+(UPPER($AS$91:$AZ$91)="(EMPTY)"))&gt;0,IFERROR(('Final Calculation Sheet'!$AE$28)&amp;"","")="",ISNUMBER(SEARCH($AS$91:$AZ$91,IFERROR(('Final Calculation Sheet'!$AE$28)&amp;"","")))))&gt;0),IF(COUNTIF($BI$91:$BP$91,5)=0,TRUE,SUMPRODUCT(($BI$91:$BP$91=5)*($AS$91:$AZ$91&lt;&gt;"")*IF(((UPPER($AS$91:$AZ$91)="BLANK")+(UPPER($AS$91:$AZ$91)="(BLANK)")+(UPPER($AS$91:$AZ$91)="EMPTY")+(UPPER($AS$91:$AZ$91)="(EMPTY)"))&gt;0,IFERROR(('Final Calculation Sheet'!$AE$28)&amp;"","")="",ISNUMBER(SEARCH($AS$91:$AZ$91,IFERROR(('Final Calculation Sheet'!$AE$28)&amp;"","")))))&gt;0),IF(COUNTIF($BI$91:$BP$91,6)=0,TRUE,SUMPRODUCT(($BI$91:$BP$91=6)*($AS$91:$AZ$91&lt;&gt;"")*IF(((UPPER($AS$91:$AZ$91)="BLANK")+(UPPER($AS$91:$AZ$91)="(BLANK)")+(UPPER($AS$91:$AZ$91)="EMPTY")+(UPPER($AS$91:$AZ$91)="(EMPTY)"))&gt;0,IFERROR(('Final Calculation Sheet'!$AE$28)&amp;"","")="",ISNUMBER(SEARCH($AS$91:$AZ$91,IFERROR(('Final Calculation Sheet'!$AE$28)&amp;"","")))))&gt;0),IF(COUNTIF($BI$91:$BP$91,7)=0,TRUE,SUMPRODUCT(($BI$91:$BP$91=7)*($AS$91:$AZ$91&lt;&gt;"")*IF(((UPPER($AS$91:$AZ$91)="BLANK")+(UPPER($AS$91:$AZ$91)="(BLANK)")+(UPPER($AS$91:$AZ$91)="EMPTY")+(UPPER($AS$91:$AZ$91)="(EMPTY)"))&gt;0,IFERROR(('Final Calculation Sheet'!$AE$28)&amp;"","")="",ISNUMBER(SEARCH($AS$91:$AZ$91,IFERROR(('Final Calculation Sheet'!$AE$28)&amp;"","")))))&gt;0),IF(COUNTIF($BI$91:$BP$91,8)=0,TRUE,SUMPRODUCT(($BI$91:$BP$91=8)*($AS$91:$AZ$91&lt;&gt;"")*IF(((UPPER($AS$91:$AZ$91)="BLANK")+(UPPER($AS$91:$AZ$91)="(BLANK)")+(UPPER($AS$91:$AZ$91)="EMPTY")+(UPPER($AS$91:$AZ$91)="(EMPTY)"))&gt;0,IFERROR(('Final Calculation Sheet'!$AE$28)&amp;"","")="",ISNUMBER(SEARCH($AS$91:$AZ$91,IFERROR(('Final Calculation Sheet'!$AE$28)&amp;"","")))))&gt;0))))</f>
        <v>1</v>
      </c>
      <c r="CS29">
        <f>IF($AG$4="",1,--(AND(SUMPRODUCT(--($AS$92:$AZ$92&lt;&gt;""))&gt;0,IF(COUNTIF($BI$92:$BP$92,1)=0,TRUE,SUMPRODUCT(($BI$92:$BP$92=1)*($AS$92:$AZ$92&lt;&gt;"")*IF(((UPPER($AS$92:$AZ$92)="BLANK")+(UPPER($AS$92:$AZ$92)="(BLANK)")+(UPPER($AS$92:$AZ$92)="EMPTY")+(UPPER($AS$92:$AZ$92)="(EMPTY)"))&gt;0,IFERROR(('Final Calculation Sheet'!$AF$28)&amp;"","")="",ISNUMBER(SEARCH($AS$92:$AZ$92,IFERROR(('Final Calculation Sheet'!$AF$28)&amp;"","")))))&gt;0),IF(COUNTIF($BI$92:$BP$92,2)=0,TRUE,SUMPRODUCT(($BI$92:$BP$92=2)*($AS$92:$AZ$92&lt;&gt;"")*IF(((UPPER($AS$92:$AZ$92)="BLANK")+(UPPER($AS$92:$AZ$92)="(BLANK)")+(UPPER($AS$92:$AZ$92)="EMPTY")+(UPPER($AS$92:$AZ$92)="(EMPTY)"))&gt;0,IFERROR(('Final Calculation Sheet'!$AF$28)&amp;"","")="",ISNUMBER(SEARCH($AS$92:$AZ$92,IFERROR(('Final Calculation Sheet'!$AF$28)&amp;"","")))))&gt;0),IF(COUNTIF($BI$92:$BP$92,3)=0,TRUE,SUMPRODUCT(($BI$92:$BP$92=3)*($AS$92:$AZ$92&lt;&gt;"")*IF(((UPPER($AS$92:$AZ$92)="BLANK")+(UPPER($AS$92:$AZ$92)="(BLANK)")+(UPPER($AS$92:$AZ$92)="EMPTY")+(UPPER($AS$92:$AZ$92)="(EMPTY)"))&gt;0,IFERROR(('Final Calculation Sheet'!$AF$28)&amp;"","")="",ISNUMBER(SEARCH($AS$92:$AZ$92,IFERROR(('Final Calculation Sheet'!$AF$28)&amp;"","")))))&gt;0),IF(COUNTIF($BI$92:$BP$92,4)=0,TRUE,SUMPRODUCT(($BI$92:$BP$92=4)*($AS$92:$AZ$92&lt;&gt;"")*IF(((UPPER($AS$92:$AZ$92)="BLANK")+(UPPER($AS$92:$AZ$92)="(BLANK)")+(UPPER($AS$92:$AZ$92)="EMPTY")+(UPPER($AS$92:$AZ$92)="(EMPTY)"))&gt;0,IFERROR(('Final Calculation Sheet'!$AF$28)&amp;"","")="",ISNUMBER(SEARCH($AS$92:$AZ$92,IFERROR(('Final Calculation Sheet'!$AF$28)&amp;"","")))))&gt;0),IF(COUNTIF($BI$92:$BP$92,5)=0,TRUE,SUMPRODUCT(($BI$92:$BP$92=5)*($AS$92:$AZ$92&lt;&gt;"")*IF(((UPPER($AS$92:$AZ$92)="BLANK")+(UPPER($AS$92:$AZ$92)="(BLANK)")+(UPPER($AS$92:$AZ$92)="EMPTY")+(UPPER($AS$92:$AZ$92)="(EMPTY)"))&gt;0,IFERROR(('Final Calculation Sheet'!$AF$28)&amp;"","")="",ISNUMBER(SEARCH($AS$92:$AZ$92,IFERROR(('Final Calculation Sheet'!$AF$28)&amp;"","")))))&gt;0),IF(COUNTIF($BI$92:$BP$92,6)=0,TRUE,SUMPRODUCT(($BI$92:$BP$92=6)*($AS$92:$AZ$92&lt;&gt;"")*IF(((UPPER($AS$92:$AZ$92)="BLANK")+(UPPER($AS$92:$AZ$92)="(BLANK)")+(UPPER($AS$92:$AZ$92)="EMPTY")+(UPPER($AS$92:$AZ$92)="(EMPTY)"))&gt;0,IFERROR(('Final Calculation Sheet'!$AF$28)&amp;"","")="",ISNUMBER(SEARCH($AS$92:$AZ$92,IFERROR(('Final Calculation Sheet'!$AF$28)&amp;"","")))))&gt;0),IF(COUNTIF($BI$92:$BP$92,7)=0,TRUE,SUMPRODUCT(($BI$92:$BP$92=7)*($AS$92:$AZ$92&lt;&gt;"")*IF(((UPPER($AS$92:$AZ$92)="BLANK")+(UPPER($AS$92:$AZ$92)="(BLANK)")+(UPPER($AS$92:$AZ$92)="EMPTY")+(UPPER($AS$92:$AZ$92)="(EMPTY)"))&gt;0,IFERROR(('Final Calculation Sheet'!$AF$28)&amp;"","")="",ISNUMBER(SEARCH($AS$92:$AZ$92,IFERROR(('Final Calculation Sheet'!$AF$28)&amp;"","")))))&gt;0),IF(COUNTIF($BI$92:$BP$92,8)=0,TRUE,SUMPRODUCT(($BI$92:$BP$92=8)*($AS$92:$AZ$92&lt;&gt;"")*IF(((UPPER($AS$92:$AZ$92)="BLANK")+(UPPER($AS$92:$AZ$92)="(BLANK)")+(UPPER($AS$92:$AZ$92)="EMPTY")+(UPPER($AS$92:$AZ$92)="(EMPTY)"))&gt;0,IFERROR(('Final Calculation Sheet'!$AF$28)&amp;"","")="",ISNUMBER(SEARCH($AS$92:$AZ$92,IFERROR(('Final Calculation Sheet'!$AF$28)&amp;"","")))))&gt;0))))</f>
        <v>1</v>
      </c>
      <c r="CT29">
        <f>IF($AH$4="",1,--(AND(SUMPRODUCT(--($AS$93:$AZ$93&lt;&gt;""))&gt;0,IF(COUNTIF($BI$93:$BP$93,1)=0,TRUE,SUMPRODUCT(($BI$93:$BP$93=1)*($AS$93:$AZ$93&lt;&gt;"")*IF(((UPPER($AS$93:$AZ$93)="BLANK")+(UPPER($AS$93:$AZ$93)="(BLANK)")+(UPPER($AS$93:$AZ$93)="EMPTY")+(UPPER($AS$93:$AZ$93)="(EMPTY)"))&gt;0,IFERROR(('Final Calculation Sheet'!$AG$28)&amp;"","")="",ISNUMBER(SEARCH($AS$93:$AZ$93,IFERROR(('Final Calculation Sheet'!$AG$28)&amp;"","")))))&gt;0),IF(COUNTIF($BI$93:$BP$93,2)=0,TRUE,SUMPRODUCT(($BI$93:$BP$93=2)*($AS$93:$AZ$93&lt;&gt;"")*IF(((UPPER($AS$93:$AZ$93)="BLANK")+(UPPER($AS$93:$AZ$93)="(BLANK)")+(UPPER($AS$93:$AZ$93)="EMPTY")+(UPPER($AS$93:$AZ$93)="(EMPTY)"))&gt;0,IFERROR(('Final Calculation Sheet'!$AG$28)&amp;"","")="",ISNUMBER(SEARCH($AS$93:$AZ$93,IFERROR(('Final Calculation Sheet'!$AG$28)&amp;"","")))))&gt;0),IF(COUNTIF($BI$93:$BP$93,3)=0,TRUE,SUMPRODUCT(($BI$93:$BP$93=3)*($AS$93:$AZ$93&lt;&gt;"")*IF(((UPPER($AS$93:$AZ$93)="BLANK")+(UPPER($AS$93:$AZ$93)="(BLANK)")+(UPPER($AS$93:$AZ$93)="EMPTY")+(UPPER($AS$93:$AZ$93)="(EMPTY)"))&gt;0,IFERROR(('Final Calculation Sheet'!$AG$28)&amp;"","")="",ISNUMBER(SEARCH($AS$93:$AZ$93,IFERROR(('Final Calculation Sheet'!$AG$28)&amp;"","")))))&gt;0),IF(COUNTIF($BI$93:$BP$93,4)=0,TRUE,SUMPRODUCT(($BI$93:$BP$93=4)*($AS$93:$AZ$93&lt;&gt;"")*IF(((UPPER($AS$93:$AZ$93)="BLANK")+(UPPER($AS$93:$AZ$93)="(BLANK)")+(UPPER($AS$93:$AZ$93)="EMPTY")+(UPPER($AS$93:$AZ$93)="(EMPTY)"))&gt;0,IFERROR(('Final Calculation Sheet'!$AG$28)&amp;"","")="",ISNUMBER(SEARCH($AS$93:$AZ$93,IFERROR(('Final Calculation Sheet'!$AG$28)&amp;"","")))))&gt;0),IF(COUNTIF($BI$93:$BP$93,5)=0,TRUE,SUMPRODUCT(($BI$93:$BP$93=5)*($AS$93:$AZ$93&lt;&gt;"")*IF(((UPPER($AS$93:$AZ$93)="BLANK")+(UPPER($AS$93:$AZ$93)="(BLANK)")+(UPPER($AS$93:$AZ$93)="EMPTY")+(UPPER($AS$93:$AZ$93)="(EMPTY)"))&gt;0,IFERROR(('Final Calculation Sheet'!$AG$28)&amp;"","")="",ISNUMBER(SEARCH($AS$93:$AZ$93,IFERROR(('Final Calculation Sheet'!$AG$28)&amp;"","")))))&gt;0),IF(COUNTIF($BI$93:$BP$93,6)=0,TRUE,SUMPRODUCT(($BI$93:$BP$93=6)*($AS$93:$AZ$93&lt;&gt;"")*IF(((UPPER($AS$93:$AZ$93)="BLANK")+(UPPER($AS$93:$AZ$93)="(BLANK)")+(UPPER($AS$93:$AZ$93)="EMPTY")+(UPPER($AS$93:$AZ$93)="(EMPTY)"))&gt;0,IFERROR(('Final Calculation Sheet'!$AG$28)&amp;"","")="",ISNUMBER(SEARCH($AS$93:$AZ$93,IFERROR(('Final Calculation Sheet'!$AG$28)&amp;"","")))))&gt;0),IF(COUNTIF($BI$93:$BP$93,7)=0,TRUE,SUMPRODUCT(($BI$93:$BP$93=7)*($AS$93:$AZ$93&lt;&gt;"")*IF(((UPPER($AS$93:$AZ$93)="BLANK")+(UPPER($AS$93:$AZ$93)="(BLANK)")+(UPPER($AS$93:$AZ$93)="EMPTY")+(UPPER($AS$93:$AZ$93)="(EMPTY)"))&gt;0,IFERROR(('Final Calculation Sheet'!$AG$28)&amp;"","")="",ISNUMBER(SEARCH($AS$93:$AZ$93,IFERROR(('Final Calculation Sheet'!$AG$28)&amp;"","")))))&gt;0),IF(COUNTIF($BI$93:$BP$93,8)=0,TRUE,SUMPRODUCT(($BI$93:$BP$93=8)*($AS$93:$AZ$93&lt;&gt;"")*IF(((UPPER($AS$93:$AZ$93)="BLANK")+(UPPER($AS$93:$AZ$93)="(BLANK)")+(UPPER($AS$93:$AZ$93)="EMPTY")+(UPPER($AS$93:$AZ$93)="(EMPTY)"))&gt;0,IFERROR(('Final Calculation Sheet'!$AG$28)&amp;"","")="",ISNUMBER(SEARCH($AS$93:$AZ$93,IFERROR(('Final Calculation Sheet'!$AG$28)&amp;"","")))))&gt;0))))</f>
        <v>1</v>
      </c>
      <c r="CU29">
        <f>IF($AI$4="",1,--(AND(SUMPRODUCT(--($AS$94:$AZ$94&lt;&gt;""))&gt;0,IF(COUNTIF($BI$94:$BP$94,1)=0,TRUE,SUMPRODUCT(($BI$94:$BP$94=1)*($AS$94:$AZ$94&lt;&gt;"")*IF(((UPPER($AS$94:$AZ$94)="BLANK")+(UPPER($AS$94:$AZ$94)="(BLANK)")+(UPPER($AS$94:$AZ$94)="EMPTY")+(UPPER($AS$94:$AZ$94)="(EMPTY)"))&gt;0,IFERROR((IF('Final Calculation Sheet'!$AD$28&lt;=0,"SETTLED","OUTSTANDING"))&amp;"","")="",ISNUMBER(SEARCH($AS$94:$AZ$94,IFERROR((IF('Final Calculation Sheet'!$AD$28&lt;=0,"SETTLED","OUTSTANDING"))&amp;"","")))))&gt;0),IF(COUNTIF($BI$94:$BP$94,2)=0,TRUE,SUMPRODUCT(($BI$94:$BP$94=2)*($AS$94:$AZ$94&lt;&gt;"")*IF(((UPPER($AS$94:$AZ$94)="BLANK")+(UPPER($AS$94:$AZ$94)="(BLANK)")+(UPPER($AS$94:$AZ$94)="EMPTY")+(UPPER($AS$94:$AZ$94)="(EMPTY)"))&gt;0,IFERROR((IF('Final Calculation Sheet'!$AD$28&lt;=0,"SETTLED","OUTSTANDING"))&amp;"","")="",ISNUMBER(SEARCH($AS$94:$AZ$94,IFERROR((IF('Final Calculation Sheet'!$AD$28&lt;=0,"SETTLED","OUTSTANDING"))&amp;"","")))))&gt;0),IF(COUNTIF($BI$94:$BP$94,3)=0,TRUE,SUMPRODUCT(($BI$94:$BP$94=3)*($AS$94:$AZ$94&lt;&gt;"")*IF(((UPPER($AS$94:$AZ$94)="BLANK")+(UPPER($AS$94:$AZ$94)="(BLANK)")+(UPPER($AS$94:$AZ$94)="EMPTY")+(UPPER($AS$94:$AZ$94)="(EMPTY)"))&gt;0,IFERROR((IF('Final Calculation Sheet'!$AD$28&lt;=0,"SETTLED","OUTSTANDING"))&amp;"","")="",ISNUMBER(SEARCH($AS$94:$AZ$94,IFERROR((IF('Final Calculation Sheet'!$AD$28&lt;=0,"SETTLED","OUTSTANDING"))&amp;"","")))))&gt;0),IF(COUNTIF($BI$94:$BP$94,4)=0,TRUE,SUMPRODUCT(($BI$94:$BP$94=4)*($AS$94:$AZ$94&lt;&gt;"")*IF(((UPPER($AS$94:$AZ$94)="BLANK")+(UPPER($AS$94:$AZ$94)="(BLANK)")+(UPPER($AS$94:$AZ$94)="EMPTY")+(UPPER($AS$94:$AZ$94)="(EMPTY)"))&gt;0,IFERROR((IF('Final Calculation Sheet'!$AD$28&lt;=0,"SETTLED","OUTSTANDING"))&amp;"","")="",ISNUMBER(SEARCH($AS$94:$AZ$94,IFERROR((IF('Final Calculation Sheet'!$AD$28&lt;=0,"SETTLED","OUTSTANDING"))&amp;"","")))))&gt;0),IF(COUNTIF($BI$94:$BP$94,5)=0,TRUE,SUMPRODUCT(($BI$94:$BP$94=5)*($AS$94:$AZ$94&lt;&gt;"")*IF(((UPPER($AS$94:$AZ$94)="BLANK")+(UPPER($AS$94:$AZ$94)="(BLANK)")+(UPPER($AS$94:$AZ$94)="EMPTY")+(UPPER($AS$94:$AZ$94)="(EMPTY)"))&gt;0,IFERROR((IF('Final Calculation Sheet'!$AD$28&lt;=0,"SETTLED","OUTSTANDING"))&amp;"","")="",ISNUMBER(SEARCH($AS$94:$AZ$94,IFERROR((IF('Final Calculation Sheet'!$AD$28&lt;=0,"SETTLED","OUTSTANDING"))&amp;"","")))))&gt;0),IF(COUNTIF($BI$94:$BP$94,6)=0,TRUE,SUMPRODUCT(($BI$94:$BP$94=6)*($AS$94:$AZ$94&lt;&gt;"")*IF(((UPPER($AS$94:$AZ$94)="BLANK")+(UPPER($AS$94:$AZ$94)="(BLANK)")+(UPPER($AS$94:$AZ$94)="EMPTY")+(UPPER($AS$94:$AZ$94)="(EMPTY)"))&gt;0,IFERROR((IF('Final Calculation Sheet'!$AD$28&lt;=0,"SETTLED","OUTSTANDING"))&amp;"","")="",ISNUMBER(SEARCH($AS$94:$AZ$94,IFERROR((IF('Final Calculation Sheet'!$AD$28&lt;=0,"SETTLED","OUTSTANDING"))&amp;"","")))))&gt;0),IF(COUNTIF($BI$94:$BP$94,7)=0,TRUE,SUMPRODUCT(($BI$94:$BP$94=7)*($AS$94:$AZ$94&lt;&gt;"")*IF(((UPPER($AS$94:$AZ$94)="BLANK")+(UPPER($AS$94:$AZ$94)="(BLANK)")+(UPPER($AS$94:$AZ$94)="EMPTY")+(UPPER($AS$94:$AZ$94)="(EMPTY)"))&gt;0,IFERROR((IF('Final Calculation Sheet'!$AD$28&lt;=0,"SETTLED","OUTSTANDING"))&amp;"","")="",ISNUMBER(SEARCH($AS$94:$AZ$94,IFERROR((IF('Final Calculation Sheet'!$AD$28&lt;=0,"SETTLED","OUTSTANDING"))&amp;"","")))))&gt;0),IF(COUNTIF($BI$94:$BP$94,8)=0,TRUE,SUMPRODUCT(($BI$94:$BP$94=8)*($AS$94:$AZ$94&lt;&gt;"")*IF(((UPPER($AS$94:$AZ$94)="BLANK")+(UPPER($AS$94:$AZ$94)="(BLANK)")+(UPPER($AS$94:$AZ$94)="EMPTY")+(UPPER($AS$94:$AZ$94)="(EMPTY)"))&gt;0,IFERROR((IF('Final Calculation Sheet'!$AD$28&lt;=0,"SETTLED","OUTSTANDING"))&amp;"","")="",ISNUMBER(SEARCH($AS$94:$AZ$94,IFERROR((IF('Final Calculation Sheet'!$AD$28&lt;=0,"SETTLED","OUTSTANDING"))&amp;"","")))))&gt;0))))</f>
        <v>1</v>
      </c>
    </row>
    <row r="30" spans="1:99" ht="15" customHeight="1" x14ac:dyDescent="0.25">
      <c r="A30" s="67">
        <f>IF($BJ29&gt;0,INDEX($BA$5:$BA$41,MATCH(29,$BB$5:$BB$41,0)),IF(OR($BI29=1,$BL29=1,$BH29&gt;0),"∑",""))</f>
        <v>13</v>
      </c>
      <c r="B30" s="68">
        <f>IF($BJ29&gt;0,IF(INDEX('Final Calculation Sheet'!$F$4:$F$40,$BJ29-3)="","",INDEX('Final Calculation Sheet'!$F$4:$F$40,$BJ29-3)),"")</f>
        <v>2020</v>
      </c>
      <c r="C30" s="68" t="str">
        <f>IF($BJ29&gt;0,IF(INDEX('Final Calculation Sheet'!$G$4:$G$40,$BJ29-3)="","",INDEX('Final Calculation Sheet'!$G$4:$G$40,$BJ29-3)),IF(OR($BI29=1,$BL29=1,$BH29&gt;0),IF($BI29=1,37,IF($BL29=1,37-INDEX($BD$4:$BD$13,10),INDEX($BD$4:$BD$13,$BH29)))&amp;" lot(s)",""))</f>
        <v>OMKAR STEELS</v>
      </c>
      <c r="D30" s="69" t="str">
        <f>IF($BJ29&gt;0,IF(INDEX('Final Calculation Sheet'!$B$4:$B$40,$BJ29-3)="","",INDEX('Final Calculation Sheet'!$B$4:$B$40,$BJ29-3)),IF(OR($BI29=1,$BL29=1,$BH29&gt;0),IF($BI29=1,"GRAND TOTAL  —  matching + remaining",IF($BL29=1,"TOTAL MATCHED  —  every group together",IF($BH29=10,"REMAINING  —  did not match the search",IF($BH29=9,IF(COUNTIF($A$4:$AI$4,"&lt;&gt;")&gt;0,"FILTERED LOTS  —  column fields","ALL LOTS  —  nothing typed in the box"),"GROUP "&amp;$BH29&amp;" TOTAL  —  lots matching  "&amp;INDEX($AR$6:$AY$6,$BH29))))),""))</f>
        <v>SCRAP 80MM² AAAC EARTHWIRE</v>
      </c>
      <c r="E30" s="69">
        <f>IF($BJ29&gt;0,IF(INDEX('Final Calculation Sheet'!$D$4:$D$40,$BJ29-3)="","",INDEX('Final Calculation Sheet'!$D$4:$D$40,$BJ29-3)),IF(OR($BI29=1,$BL29=1,$BH29&gt;0),"–",""))</f>
        <v>21978</v>
      </c>
      <c r="F30" s="69">
        <f>IF($BJ29&gt;0,IF(INDEX('Final Calculation Sheet'!$A$4:$A$40,$BJ29-3)="","",INDEX('Final Calculation Sheet'!$A$4:$A$40,$BJ29-3)),IF(OR($BI29=1,$BL29=1,$BH29&gt;0),IF($BI29=1,SUM('Final Calculation Sheet'!$A$4:$A$40),IF($BL29=1,SUM('Final Calculation Sheet'!$A$4:$A$40)-SUMIFS('Final Calculation Sheet'!$A$4:$A$40,$AZ$5:$AZ$41,10),SUMIFS('Final Calculation Sheet'!$A$4:$A$40,$AZ$5:$AZ$41,$BH29))),""))</f>
        <v>3500</v>
      </c>
      <c r="G30" s="69" t="str">
        <f>IF($BJ29&gt;0,IF(INDEX('Final Calculation Sheet'!$E$4:$E$40,$BJ29-3)="","",INDEX('Final Calculation Sheet'!$E$4:$E$40,$BJ29-3)),IF(OR($BI29=1,$BL29=1,$BH29&gt;0),"–",""))</f>
        <v>KG</v>
      </c>
      <c r="H30" s="70">
        <f>IF($BJ29&gt;0,IF(INDEX('Final Calculation Sheet'!$C$4:$C$40,$BJ29-3)="","",INDEX('Final Calculation Sheet'!$C$4:$C$40,$BJ29-3)),IF(OR($BI29=1,$BL29=1,$BH29&gt;0),"–",""))</f>
        <v>333</v>
      </c>
      <c r="I30" s="70">
        <f>IF($BJ29&gt;0,IF(INDEX('Final Calculation Sheet'!$H$4:$H$40,$BJ29-3)="","",INDEX('Final Calculation Sheet'!$H$4:$H$40,$BJ29-3)),IF(OR($BI29=1,$BL29=1,$BH29&gt;0),IF($BI29=1,SUM('Final Calculation Sheet'!$H$4:$H$40),IF($BL29=1,SUM('Final Calculation Sheet'!$H$4:$H$40)-SUMIFS('Final Calculation Sheet'!$H$4:$H$40,$AZ$5:$AZ$41,10),SUMIFS('Final Calculation Sheet'!$H$4:$H$40,$AZ$5:$AZ$41,$BH29))),""))</f>
        <v>1165500</v>
      </c>
      <c r="J30" s="70">
        <f>IF($BJ29&gt;0,IF(INDEX('Final Calculation Sheet'!$I$4:$I$40,$BJ29-3)="","",INDEX('Final Calculation Sheet'!$I$4:$I$40,$BJ29-3)),IF(OR($BI29=1,$BL29=1,$BH29&gt;0),IF($BI29=1,SUM('Final Calculation Sheet'!$I$4:$I$40),IF($BL29=1,SUM('Final Calculation Sheet'!$I$4:$I$40)-SUMIFS('Final Calculation Sheet'!$I$4:$I$40,$AZ$5:$AZ$41,10),SUMIFS('Final Calculation Sheet'!$I$4:$I$40,$AZ$5:$AZ$41,$BH29))),""))</f>
        <v>209790</v>
      </c>
      <c r="K30" s="70">
        <f>IF($BJ29&gt;0,IF(INDEX('Final Calculation Sheet'!$J$4:$J$40,$BJ29-3)="","",INDEX('Final Calculation Sheet'!$J$4:$J$40,$BJ29-3)),IF(OR($BI29=1,$BL29=1,$BH29&gt;0),IF($BI29=1,SUM('Final Calculation Sheet'!$J$4:$J$40),IF($BL29=1,SUM('Final Calculation Sheet'!$J$4:$J$40)-SUMIFS('Final Calculation Sheet'!$J$4:$J$40,$AZ$5:$AZ$41,10),SUMIFS('Final Calculation Sheet'!$J$4:$J$40,$AZ$5:$AZ$41,$BH29))),""))</f>
        <v>1375290</v>
      </c>
      <c r="L30" s="70">
        <f>IF($BJ29&gt;0,IF(INDEX('Final Calculation Sheet'!$K$4:$K$40,$BJ29-3)="","",INDEX('Final Calculation Sheet'!$K$4:$K$40,$BJ29-3)),IF(OR($BI29=1,$BL29=1,$BH29&gt;0),IF($BI29=1,SUM('Final Calculation Sheet'!$K$4:$K$40),IF($BL29=1,SUM('Final Calculation Sheet'!$K$4:$K$40)-SUMIFS('Final Calculation Sheet'!$K$4:$K$40,$AZ$5:$AZ$41,10),SUMIFS('Final Calculation Sheet'!$K$4:$K$40,$AZ$5:$AZ$41,$BH29))),""))</f>
        <v>27506</v>
      </c>
      <c r="M30" s="70">
        <f>IF($BJ29&gt;0,IF(INDEX('Final Calculation Sheet'!$L$4:$L$40,$BJ29-3)="","",INDEX('Final Calculation Sheet'!$L$4:$L$40,$BJ29-3)),IF(OR($BI29=1,$BL29=1,$BH29&gt;0),IF($BI29=1,SUM('Final Calculation Sheet'!$L$4:$L$40),IF($BL29=1,SUM('Final Calculation Sheet'!$L$4:$L$40)-SUMIFS('Final Calculation Sheet'!$L$4:$L$40,$AZ$5:$AZ$41,10),SUMIFS('Final Calculation Sheet'!$L$4:$L$40,$AZ$5:$AZ$41,$BH29))),""))</f>
        <v>1165.5</v>
      </c>
      <c r="N30" s="70">
        <f>IF($BJ29&gt;0,IF(INDEX('Final Calculation Sheet'!$M$4:$M$40,$BJ29-3)="","",INDEX('Final Calculation Sheet'!$M$4:$M$40,$BJ29-3)),IF(OR($BI29=1,$BL29=1,$BH29&gt;0),IF($BI29=1,SUM('Final Calculation Sheet'!$M$4:$M$40),IF($BL29=1,SUM('Final Calculation Sheet'!$M$4:$M$40)-SUMIFS('Final Calculation Sheet'!$M$4:$M$40,$AZ$5:$AZ$41,10),SUMIFS('Final Calculation Sheet'!$M$4:$M$40,$AZ$5:$AZ$41,$BH29))),""))</f>
        <v>30944.024999999998</v>
      </c>
      <c r="O30" s="71">
        <f>IF($BJ29&gt;0,IF(INDEX('Final Calculation Sheet'!$N$4:$N$40,$BJ29-3)="","",INDEX('Final Calculation Sheet'!$N$4:$N$40,$BJ29-3)),IF(OR($BI29=1,$BL29=1,$BH29&gt;0),IF($BI29=1,SUM('Final Calculation Sheet'!$N$4:$N$40),IF($BL29=1,SUM('Final Calculation Sheet'!$N$4:$N$40)-SUMIFS('Final Calculation Sheet'!$N$4:$N$40,$AZ$5:$AZ$41,10),SUMIFS('Final Calculation Sheet'!$N$4:$N$40,$AZ$5:$AZ$41,$BH29))),""))</f>
        <v>524.47500000000002</v>
      </c>
      <c r="P30" s="70">
        <f>IF($BJ29&gt;0,IF(INDEX('Final Calculation Sheet'!$O$4:$O$40,$BJ29-3)="","",INDEX('Final Calculation Sheet'!$O$4:$O$40,$BJ29-3)),IF(OR($BI29=1,$BL29=1,$BH29&gt;0),IF($BI29=1,SUM('Final Calculation Sheet'!$O$4:$O$40),IF($BL29=1,SUM('Final Calculation Sheet'!$O$4:$O$40)-SUMIFS('Final Calculation Sheet'!$O$4:$O$40,$AZ$5:$AZ$41,10),SUMIFS('Final Calculation Sheet'!$O$4:$O$40,$AZ$5:$AZ$41,$BH29))),""))</f>
        <v>30419.55</v>
      </c>
      <c r="Q30" s="70">
        <f>IF($BJ29&gt;0,IF(INDEX('Final Calculation Sheet'!$P$4:$P$40,$BJ29-3)="","",INDEX('Final Calculation Sheet'!$P$4:$P$40,$BJ29-3)),IF(OR($BI29=1,$BL29=1,$BH29&gt;0),IF($BI29=1,SUM('Final Calculation Sheet'!$P$4:$P$40),IF($BL29=1,SUM('Final Calculation Sheet'!$P$4:$P$40)-SUMIFS('Final Calculation Sheet'!$P$4:$P$40,$AZ$5:$AZ$41,10),SUMIFS('Final Calculation Sheet'!$P$4:$P$40,$AZ$5:$AZ$41,$BH29))),""))</f>
        <v>31585</v>
      </c>
      <c r="R30" s="72">
        <f>IF($BJ29&gt;0,IF(INDEX('Final Calculation Sheet'!$Q$4:$Q$40,$BJ29-3)="","",INDEX('Final Calculation Sheet'!$Q$4:$Q$40,$BJ29-3)),IF(OR($BI29=1,$BL29=1,$BH29&gt;0),"–",""))</f>
        <v>0.02</v>
      </c>
      <c r="S30" s="70">
        <f>IF($BJ29&gt;0,IF(INDEX('Final Calculation Sheet'!$R$4:$R$40,$BJ29-3)="","",INDEX('Final Calculation Sheet'!$R$4:$R$40,$BJ29-3)),IF(OR($BI29=1,$BL29=1,$BH29&gt;0),IF($BI29=1,SUM('Final Calculation Sheet'!$R$4:$R$40),IF($BL29=1,SUM('Final Calculation Sheet'!$R$4:$R$40)-SUMIFS('Final Calculation Sheet'!$R$4:$R$40,$AZ$5:$AZ$41,10),SUMIFS('Final Calculation Sheet'!$R$4:$R$40,$AZ$5:$AZ$41,$BH29))),""))</f>
        <v>23310</v>
      </c>
      <c r="T30" s="70">
        <f>IF($BJ29&gt;0,IF(INDEX('Final Calculation Sheet'!$S$4:$S$40,$BJ29-3)="","",INDEX('Final Calculation Sheet'!$S$4:$S$40,$BJ29-3)),IF(OR($BI29=1,$BL29=1,$BH29&gt;0),IF($BI29=1,SUM('Final Calculation Sheet'!$S$4:$S$40),IF($BL29=1,SUM('Final Calculation Sheet'!$S$4:$S$40)-SUMIFS('Final Calculation Sheet'!$S$4:$S$40,$AZ$5:$AZ$41,10),SUMIFS('Final Calculation Sheet'!$S$4:$S$40,$AZ$5:$AZ$41,$BH29))),""))</f>
        <v>1347901</v>
      </c>
      <c r="U30" s="70">
        <f>IF($BJ29&gt;0,IF(INDEX('Final Calculation Sheet'!$T$4:$T$40,$BJ29-3)="","",INDEX('Final Calculation Sheet'!$T$4:$T$40,$BJ29-3)),IF(OR($BI29=1,$BL29=1,$BH29&gt;0),IF($BI29=1,SUM('Final Calculation Sheet'!$T$4:$T$40),IF($BL29=1,SUM('Final Calculation Sheet'!$T$4:$T$40)-SUMIFS('Final Calculation Sheet'!$T$4:$T$40,$AZ$5:$AZ$41,10),SUMIFS('Final Calculation Sheet'!$T$4:$T$40,$AZ$5:$AZ$41,$BH29))),""))</f>
        <v>291375</v>
      </c>
      <c r="V30" s="73">
        <f>IF($BJ29&gt;0,IF(INDEX('Final Calculation Sheet'!$U$4:$U$40,$BJ29-3)="","",INDEX('Final Calculation Sheet'!$U$4:$U$40,$BJ29-3)),IF(OR($BI29=1,$BL29=1,$BH29&gt;0),IF($BI29=1,SUM('Final Calculation Sheet'!$U$4:$U$40),IF($BL29=1,SUM('Final Calculation Sheet'!$U$4:$U$40)-SUMIFS('Final Calculation Sheet'!$U$4:$U$40,$AZ$5:$AZ$41,10),SUMIFS('Final Calculation Sheet'!$U$4:$U$40,$AZ$5:$AZ$41,$BH29))),""))</f>
        <v>291375</v>
      </c>
      <c r="W30" s="70" t="str">
        <f>IF($BJ29&gt;0,IF(INDEX('Final Calculation Sheet'!$V$4:$V$40,$BJ29-3)="","",INDEX('Final Calculation Sheet'!$V$4:$V$40,$BJ29-3)),IF(OR($BI29=1,$BL29=1,$BH29&gt;0),"–",""))</f>
        <v>10.08.2026</v>
      </c>
      <c r="X30" s="70">
        <f>IF($BJ29&gt;0,IF(INDEX('Final Calculation Sheet'!$W$4:$W$40,$BJ29-3)="","",INDEX('Final Calculation Sheet'!$W$4:$W$40,$BJ29-3)),IF(OR($BI29=1,$BL29=1,$BH29&gt;0),IF($BI29=1,SUM('Final Calculation Sheet'!$W$4:$W$40),IF($BL29=1,SUM('Final Calculation Sheet'!$W$4:$W$40)-SUMIFS('Final Calculation Sheet'!$W$4:$W$40,$AZ$5:$AZ$41,10),SUMIFS('Final Calculation Sheet'!$W$4:$W$40,$AZ$5:$AZ$41,$BH29))),""))</f>
        <v>1056526</v>
      </c>
      <c r="Y30" s="70">
        <f>IF($BJ29&gt;0,IF(INDEX('Final Calculation Sheet'!$X$4:$X$40,$BJ29-3)="","",INDEX('Final Calculation Sheet'!$X$4:$X$40,$BJ29-3)),IF(OR($BI29=1,$BL29=1,$BH29&gt;0),IF($BI29=1,SUM('Final Calculation Sheet'!$X$4:$X$40),IF($BL29=1,SUM('Final Calculation Sheet'!$X$4:$X$40)-SUMIFS('Final Calculation Sheet'!$X$4:$X$40,$AZ$5:$AZ$41,10),SUMIFS('Final Calculation Sheet'!$X$4:$X$40,$AZ$5:$AZ$41,$BH29))),""))</f>
        <v>1056525</v>
      </c>
      <c r="Z30" s="70" t="str">
        <f>IF($BJ29&gt;0,IF(INDEX('Final Calculation Sheet'!$Y$4:$Y$40,$BJ29-3)="","",INDEX('Final Calculation Sheet'!$Y$4:$Y$40,$BJ29-3)),IF(OR($BI29=1,$BL29=1,$BH29&gt;0),"–",""))</f>
        <v>10.08.2026</v>
      </c>
      <c r="AA30" s="70">
        <f ca="1">IF($BJ29&gt;0,IF(INDEX('Final Calculation Sheet'!$Z$4:$Z$40,$BJ29-3)="","",INDEX('Final Calculation Sheet'!$Z$4:$Z$40,$BJ29-3)),IF(OR($BI29=1,$BL29=1,$BH29&gt;0),IF($BI29=1,SUM('Final Calculation Sheet'!$Z$4:$Z$40),IF($BL29=1,SUM('Final Calculation Sheet'!$Z$4:$Z$40)-SUMIFS('Final Calculation Sheet'!$Z$4:$Z$40,$AZ$5:$AZ$41,10),SUMIFS('Final Calculation Sheet'!$Z$4:$Z$40,$AZ$5:$AZ$41,$BH29))),""))</f>
        <v>0</v>
      </c>
      <c r="AB30" s="70" t="str">
        <f>IF($BJ29&gt;0,IF(INDEX('Final Calculation Sheet'!$AA$4:$AA$40,$BJ29-3)="","",INDEX('Final Calculation Sheet'!$AA$4:$AA$40,$BJ29-3)),IF(OR($BI29=1,$BL29=1,$BH29&gt;0),IF($BI29=1,SUM('Final Calculation Sheet'!$AA$4:$AA$40),IF($BL29=1,SUM('Final Calculation Sheet'!$AA$4:$AA$40)-SUMIFS('Final Calculation Sheet'!$AA$4:$AA$40,$AZ$5:$AZ$41,10),SUMIFS('Final Calculation Sheet'!$AA$4:$AA$40,$AZ$5:$AZ$41,$BH29))),""))</f>
        <v/>
      </c>
      <c r="AC30" s="70" t="str">
        <f>IF($BJ29&gt;0,IF(INDEX('Final Calculation Sheet'!$AB$4:$AB$40,$BJ29-3)="","",INDEX('Final Calculation Sheet'!$AB$4:$AB$40,$BJ29-3)),IF(OR($BI29=1,$BL29=1,$BH29&gt;0),"–",""))</f>
        <v/>
      </c>
      <c r="AD30" s="70">
        <f>IF($BJ29&gt;0,IF(INDEX('Final Calculation Sheet'!$AC$4:$AC$40,$BJ29-3)="","",INDEX('Final Calculation Sheet'!$AC$4:$AC$40,$BJ29-3)),IF(OR($BI29=1,$BL29=1,$BH29&gt;0),IF($BI29=1,SUM('Final Calculation Sheet'!$AC$4:$AC$40),IF($BL29=1,SUM('Final Calculation Sheet'!$AC$4:$AC$40)-SUMIFS('Final Calculation Sheet'!$AC$4:$AC$40,$AZ$5:$AZ$41,10),SUMIFS('Final Calculation Sheet'!$AC$4:$AC$40,$AZ$5:$AZ$41,$BH29))),""))</f>
        <v>1347900</v>
      </c>
      <c r="AE30" s="70">
        <f>IF($BJ29&gt;0,IF(INDEX('Final Calculation Sheet'!$AD$4:$AD$40,$BJ29-3)="","",INDEX('Final Calculation Sheet'!$AD$4:$AD$40,$BJ29-3)),IF(OR($BI29=1,$BL29=1,$BH29&gt;0),IF($BI29=1,SUM('Final Calculation Sheet'!$AD$4:$AD$40),IF($BL29=1,SUM('Final Calculation Sheet'!$AD$4:$AD$40)-SUMIFS('Final Calculation Sheet'!$AD$4:$AD$40,$AZ$5:$AZ$41,10),SUMIFS('Final Calculation Sheet'!$AD$4:$AD$40,$AZ$5:$AZ$41,$BH29))),""))</f>
        <v>1</v>
      </c>
      <c r="AF30" s="70" t="str">
        <f>IF($BJ29&gt;0,IF(INDEX('Final Calculation Sheet'!$AE$4:$AE$40,$BJ29-3)="","",INDEX('Final Calculation Sheet'!$AE$4:$AE$40,$BJ29-3)),IF(OR($BI29=1,$BL29=1,$BH29&gt;0),"–",""))</f>
        <v>DR2640100017</v>
      </c>
      <c r="AG30" s="74">
        <f>IF($BJ29&gt;0,IF(INDEX('Final Calculation Sheet'!$AF$4:$AF$40,$BJ29-3)="","",INDEX('Final Calculation Sheet'!$AF$4:$AF$40,$BJ29-3)),IF(OR($BI29=1,$BL29=1,$BH29&gt;0),"–",""))</f>
        <v>1800003065</v>
      </c>
      <c r="AH30" s="70" t="str">
        <f>IF($BJ29&gt;0,IF(INDEX('Final Calculation Sheet'!$AG$4:$AG$40,$BJ29-3)="","",INDEX('Final Calculation Sheet'!$AG$4:$AG$40,$BJ29-3)),IF(OR($BI29=1,$BL29=1,$BH29&gt;0),"–",""))</f>
        <v>12.08.2026</v>
      </c>
      <c r="AI30" s="75" t="str">
        <f>IF($BJ29&gt;0,IF(INDEX('Final Calculation Sheet'!$AD$4:$AD$40,$BJ29-3)="","",IF(INDEX('Final Calculation Sheet'!$AD$4:$AD$40,$BJ29-3)&lt;=0,"SETTLED","OUTSTANDING")),IF(OR($BI29=1,$BL29=1,$BH29&gt;0),IF(IF($BI29=1,SUM('Final Calculation Sheet'!$AD$4:$AD$40),IF($BL29=1,SUM('Final Calculation Sheet'!$AD$4:$AD$40)-SUMIFS('Final Calculation Sheet'!$AD$4:$AD$40,$AZ$5:$AZ$41,10),SUMIFS('Final Calculation Sheet'!$AD$4:$AD$40,$AZ$5:$AZ$41,$BH29)))&lt;=0,"ALL SETTLED","OUTSTANDING"),""))</f>
        <v>OUTSTANDING</v>
      </c>
      <c r="AK30" t="str">
        <f>IF($F$3="Lot No.",'Final Calculation Sheet'!$F$29,IF($F$3="Buyer",'Final Calculation Sheet'!$G$29,IF($F$3="Lot Name",'Final Calculation Sheet'!$B$29,IF($F$3="Bid Sheet",'Final Calculation Sheet'!$D$29,IF($F$3="Unit",'Final Calculation Sheet'!$E$29,'Final Calculation Sheet'!$F$29&amp;" "&amp;'Final Calculation Sheet'!$G$29&amp;" "&amp;'Final Calculation Sheet'!$B$29)))))</f>
        <v>2040 STERLING ENTERPRISES Scrap of 33 KV CT</v>
      </c>
      <c r="AM30">
        <f t="shared" si="1"/>
        <v>0</v>
      </c>
      <c r="AZ30">
        <f t="shared" si="2"/>
        <v>10</v>
      </c>
      <c r="BA30">
        <f t="shared" si="3"/>
        <v>19</v>
      </c>
      <c r="BB30">
        <f t="shared" si="4"/>
        <v>35</v>
      </c>
      <c r="BC30">
        <v>29</v>
      </c>
      <c r="BH30">
        <f>IFERROR(MATCH(30,$BF$4:$BF$13,0),0)</f>
        <v>0</v>
      </c>
      <c r="BI30">
        <f>IF(30=$BG$5,1,0)</f>
        <v>0</v>
      </c>
      <c r="BJ30">
        <f>IF(OR($BH30&gt;0,$BI30=1,$BL30=1),0,IFERROR(INDEX($BC$5:$BC$41,MATCH(30,$BB$5:$BB$41,0)),0))</f>
        <v>21</v>
      </c>
      <c r="BK30">
        <f>IF($BJ30&gt;0,IF(INDEX($AZ$5:$AZ$41,MATCH(30,$BB$5:$BB$41,0))=10,1,0),IF($BH30=10,1,0))</f>
        <v>1</v>
      </c>
      <c r="BL30">
        <f>IF(30=$BG$4,1,0)</f>
        <v>0</v>
      </c>
      <c r="BM30">
        <f>IF($A$4="",1,--(AND(SUMPRODUCT(--($AS$60:$AZ$60&lt;&gt;""))&gt;0,IF(COUNTIF($BI$60:$BP$60,1)=0,TRUE,SUMPRODUCT(($BI$60:$BP$60=1)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$60,2)=0,TRUE,SUMPRODUCT(($BI$60:$BP$60=2)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$60,3)=0,TRUE,SUMPRODUCT(($BI$60:$BP$60=3)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$60,4)=0,TRUE,SUMPRODUCT(($BI$60:$BP$60=4)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$60,5)=0,TRUE,SUMPRODUCT(($BI$60:$BP$60=5)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$60,6)=0,TRUE,SUMPRODUCT(($BI$60:$BP$60=6)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$60,7)=0,TRUE,SUMPRODUCT(($BI$60:$BP$60=7)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$60,8)=0,TRUE,SUMPRODUCT(($BI$60:$BP$60=8)*($AS$60:$AZ$60&lt;&gt;"")*IF(((UPPER($AS$60:$AZ$60)="BLANK")+(UPPER($AS$60:$AZ$60)="(BLANK)")+(UPPER($AS$60:$AZ$60)="EMPTY")+(UPPER($AS$60:$AZ$60)="(EMPTY)"))&gt;0,IFERROR((ROW()-4)&amp;"","")="",ISNUMBER(SEARCH($AS$60:$AZ$60,IFERROR((ROW()-4)&amp;"","")))))&gt;0))))</f>
        <v>1</v>
      </c>
      <c r="BN30">
        <f>IF($B$4="",1,--(AND(SUMPRODUCT(--($AS$61:$AZ$61&lt;&gt;""))&gt;0,IF(COUNTIF($BI$61:$BP$61,1)=0,TRUE,SUMPRODUCT(($BI$61:$BP$61=1)*($AS$61:$AZ$61&lt;&gt;"")*IF(((UPPER($AS$61:$AZ$61)="BLANK")+(UPPER($AS$61:$AZ$61)="(BLANK)")+(UPPER($AS$61:$AZ$61)="EMPTY")+(UPPER($AS$61:$AZ$61)="(EMPTY)"))&gt;0,IFERROR(('Final Calculation Sheet'!$F$29)&amp;"","")="",ISNUMBER(SEARCH($AS$61:$AZ$61,IFERROR(('Final Calculation Sheet'!$F$29)&amp;"","")))))&gt;0),IF(COUNTIF($BI$61:$BP$61,2)=0,TRUE,SUMPRODUCT(($BI$61:$BP$61=2)*($AS$61:$AZ$61&lt;&gt;"")*IF(((UPPER($AS$61:$AZ$61)="BLANK")+(UPPER($AS$61:$AZ$61)="(BLANK)")+(UPPER($AS$61:$AZ$61)="EMPTY")+(UPPER($AS$61:$AZ$61)="(EMPTY)"))&gt;0,IFERROR(('Final Calculation Sheet'!$F$29)&amp;"","")="",ISNUMBER(SEARCH($AS$61:$AZ$61,IFERROR(('Final Calculation Sheet'!$F$29)&amp;"","")))))&gt;0),IF(COUNTIF($BI$61:$BP$61,3)=0,TRUE,SUMPRODUCT(($BI$61:$BP$61=3)*($AS$61:$AZ$61&lt;&gt;"")*IF(((UPPER($AS$61:$AZ$61)="BLANK")+(UPPER($AS$61:$AZ$61)="(BLANK)")+(UPPER($AS$61:$AZ$61)="EMPTY")+(UPPER($AS$61:$AZ$61)="(EMPTY)"))&gt;0,IFERROR(('Final Calculation Sheet'!$F$29)&amp;"","")="",ISNUMBER(SEARCH($AS$61:$AZ$61,IFERROR(('Final Calculation Sheet'!$F$29)&amp;"","")))))&gt;0),IF(COUNTIF($BI$61:$BP$61,4)=0,TRUE,SUMPRODUCT(($BI$61:$BP$61=4)*($AS$61:$AZ$61&lt;&gt;"")*IF(((UPPER($AS$61:$AZ$61)="BLANK")+(UPPER($AS$61:$AZ$61)="(BLANK)")+(UPPER($AS$61:$AZ$61)="EMPTY")+(UPPER($AS$61:$AZ$61)="(EMPTY)"))&gt;0,IFERROR(('Final Calculation Sheet'!$F$29)&amp;"","")="",ISNUMBER(SEARCH($AS$61:$AZ$61,IFERROR(('Final Calculation Sheet'!$F$29)&amp;"","")))))&gt;0),IF(COUNTIF($BI$61:$BP$61,5)=0,TRUE,SUMPRODUCT(($BI$61:$BP$61=5)*($AS$61:$AZ$61&lt;&gt;"")*IF(((UPPER($AS$61:$AZ$61)="BLANK")+(UPPER($AS$61:$AZ$61)="(BLANK)")+(UPPER($AS$61:$AZ$61)="EMPTY")+(UPPER($AS$61:$AZ$61)="(EMPTY)"))&gt;0,IFERROR(('Final Calculation Sheet'!$F$29)&amp;"","")="",ISNUMBER(SEARCH($AS$61:$AZ$61,IFERROR(('Final Calculation Sheet'!$F$29)&amp;"","")))))&gt;0),IF(COUNTIF($BI$61:$BP$61,6)=0,TRUE,SUMPRODUCT(($BI$61:$BP$61=6)*($AS$61:$AZ$61&lt;&gt;"")*IF(((UPPER($AS$61:$AZ$61)="BLANK")+(UPPER($AS$61:$AZ$61)="(BLANK)")+(UPPER($AS$61:$AZ$61)="EMPTY")+(UPPER($AS$61:$AZ$61)="(EMPTY)"))&gt;0,IFERROR(('Final Calculation Sheet'!$F$29)&amp;"","")="",ISNUMBER(SEARCH($AS$61:$AZ$61,IFERROR(('Final Calculation Sheet'!$F$29)&amp;"","")))))&gt;0),IF(COUNTIF($BI$61:$BP$61,7)=0,TRUE,SUMPRODUCT(($BI$61:$BP$61=7)*($AS$61:$AZ$61&lt;&gt;"")*IF(((UPPER($AS$61:$AZ$61)="BLANK")+(UPPER($AS$61:$AZ$61)="(BLANK)")+(UPPER($AS$61:$AZ$61)="EMPTY")+(UPPER($AS$61:$AZ$61)="(EMPTY)"))&gt;0,IFERROR(('Final Calculation Sheet'!$F$29)&amp;"","")="",ISNUMBER(SEARCH($AS$61:$AZ$61,IFERROR(('Final Calculation Sheet'!$F$29)&amp;"","")))))&gt;0),IF(COUNTIF($BI$61:$BP$61,8)=0,TRUE,SUMPRODUCT(($BI$61:$BP$61=8)*($AS$61:$AZ$61&lt;&gt;"")*IF(((UPPER($AS$61:$AZ$61)="BLANK")+(UPPER($AS$61:$AZ$61)="(BLANK)")+(UPPER($AS$61:$AZ$61)="EMPTY")+(UPPER($AS$61:$AZ$61)="(EMPTY)"))&gt;0,IFERROR(('Final Calculation Sheet'!$F$29)&amp;"","")="",ISNUMBER(SEARCH($AS$61:$AZ$61,IFERROR(('Final Calculation Sheet'!$F$29)&amp;"","")))))&gt;0))))</f>
        <v>1</v>
      </c>
      <c r="BO30">
        <f>IF($C$4="",1,--(AND(SUMPRODUCT(--($AS$62:$AZ$62&lt;&gt;""))&gt;0,IF(COUNTIF($BI$62:$BP$62,1)=0,TRUE,SUMPRODUCT(($BI$62:$BP$62=1)*($AS$62:$AZ$62&lt;&gt;"")*IF(((UPPER($AS$62:$AZ$62)="BLANK")+(UPPER($AS$62:$AZ$62)="(BLANK)")+(UPPER($AS$62:$AZ$62)="EMPTY")+(UPPER($AS$62:$AZ$62)="(EMPTY)"))&gt;0,IFERROR(('Final Calculation Sheet'!$G$29)&amp;"","")="",ISNUMBER(SEARCH($AS$62:$AZ$62,IFERROR(('Final Calculation Sheet'!$G$29)&amp;"","")))))&gt;0),IF(COUNTIF($BI$62:$BP$62,2)=0,TRUE,SUMPRODUCT(($BI$62:$BP$62=2)*($AS$62:$AZ$62&lt;&gt;"")*IF(((UPPER($AS$62:$AZ$62)="BLANK")+(UPPER($AS$62:$AZ$62)="(BLANK)")+(UPPER($AS$62:$AZ$62)="EMPTY")+(UPPER($AS$62:$AZ$62)="(EMPTY)"))&gt;0,IFERROR(('Final Calculation Sheet'!$G$29)&amp;"","")="",ISNUMBER(SEARCH($AS$62:$AZ$62,IFERROR(('Final Calculation Sheet'!$G$29)&amp;"","")))))&gt;0),IF(COUNTIF($BI$62:$BP$62,3)=0,TRUE,SUMPRODUCT(($BI$62:$BP$62=3)*($AS$62:$AZ$62&lt;&gt;"")*IF(((UPPER($AS$62:$AZ$62)="BLANK")+(UPPER($AS$62:$AZ$62)="(BLANK)")+(UPPER($AS$62:$AZ$62)="EMPTY")+(UPPER($AS$62:$AZ$62)="(EMPTY)"))&gt;0,IFERROR(('Final Calculation Sheet'!$G$29)&amp;"","")="",ISNUMBER(SEARCH($AS$62:$AZ$62,IFERROR(('Final Calculation Sheet'!$G$29)&amp;"","")))))&gt;0),IF(COUNTIF($BI$62:$BP$62,4)=0,TRUE,SUMPRODUCT(($BI$62:$BP$62=4)*($AS$62:$AZ$62&lt;&gt;"")*IF(((UPPER($AS$62:$AZ$62)="BLANK")+(UPPER($AS$62:$AZ$62)="(BLANK)")+(UPPER($AS$62:$AZ$62)="EMPTY")+(UPPER($AS$62:$AZ$62)="(EMPTY)"))&gt;0,IFERROR(('Final Calculation Sheet'!$G$29)&amp;"","")="",ISNUMBER(SEARCH($AS$62:$AZ$62,IFERROR(('Final Calculation Sheet'!$G$29)&amp;"","")))))&gt;0),IF(COUNTIF($BI$62:$BP$62,5)=0,TRUE,SUMPRODUCT(($BI$62:$BP$62=5)*($AS$62:$AZ$62&lt;&gt;"")*IF(((UPPER($AS$62:$AZ$62)="BLANK")+(UPPER($AS$62:$AZ$62)="(BLANK)")+(UPPER($AS$62:$AZ$62)="EMPTY")+(UPPER($AS$62:$AZ$62)="(EMPTY)"))&gt;0,IFERROR(('Final Calculation Sheet'!$G$29)&amp;"","")="",ISNUMBER(SEARCH($AS$62:$AZ$62,IFERROR(('Final Calculation Sheet'!$G$29)&amp;"","")))))&gt;0),IF(COUNTIF($BI$62:$BP$62,6)=0,TRUE,SUMPRODUCT(($BI$62:$BP$62=6)*($AS$62:$AZ$62&lt;&gt;"")*IF(((UPPER($AS$62:$AZ$62)="BLANK")+(UPPER($AS$62:$AZ$62)="(BLANK)")+(UPPER($AS$62:$AZ$62)="EMPTY")+(UPPER($AS$62:$AZ$62)="(EMPTY)"))&gt;0,IFERROR(('Final Calculation Sheet'!$G$29)&amp;"","")="",ISNUMBER(SEARCH($AS$62:$AZ$62,IFERROR(('Final Calculation Sheet'!$G$29)&amp;"","")))))&gt;0),IF(COUNTIF($BI$62:$BP$62,7)=0,TRUE,SUMPRODUCT(($BI$62:$BP$62=7)*($AS$62:$AZ$62&lt;&gt;"")*IF(((UPPER($AS$62:$AZ$62)="BLANK")+(UPPER($AS$62:$AZ$62)="(BLANK)")+(UPPER($AS$62:$AZ$62)="EMPTY")+(UPPER($AS$62:$AZ$62)="(EMPTY)"))&gt;0,IFERROR(('Final Calculation Sheet'!$G$29)&amp;"","")="",ISNUMBER(SEARCH($AS$62:$AZ$62,IFERROR(('Final Calculation Sheet'!$G$29)&amp;"","")))))&gt;0),IF(COUNTIF($BI$62:$BP$62,8)=0,TRUE,SUMPRODUCT(($BI$62:$BP$62=8)*($AS$62:$AZ$62&lt;&gt;"")*IF(((UPPER($AS$62:$AZ$62)="BLANK")+(UPPER($AS$62:$AZ$62)="(BLANK)")+(UPPER($AS$62:$AZ$62)="EMPTY")+(UPPER($AS$62:$AZ$62)="(EMPTY)"))&gt;0,IFERROR(('Final Calculation Sheet'!$G$29)&amp;"","")="",ISNUMBER(SEARCH($AS$62:$AZ$62,IFERROR(('Final Calculation Sheet'!$G$29)&amp;"","")))))&gt;0))))</f>
        <v>1</v>
      </c>
      <c r="BP30">
        <f>IF($D$4="",1,--(AND(SUMPRODUCT(--($AS$63:$AZ$63&lt;&gt;""))&gt;0,IF(COUNTIF($BI$63:$BP$63,1)=0,TRUE,SUMPRODUCT(($BI$63:$BP$63=1)*($AS$63:$AZ$63&lt;&gt;"")*IF(((UPPER($AS$63:$AZ$63)="BLANK")+(UPPER($AS$63:$AZ$63)="(BLANK)")+(UPPER($AS$63:$AZ$63)="EMPTY")+(UPPER($AS$63:$AZ$63)="(EMPTY)"))&gt;0,IFERROR(('Final Calculation Sheet'!$B$29)&amp;"","")="",ISNUMBER(SEARCH($AS$63:$AZ$63,IFERROR(('Final Calculation Sheet'!$B$29)&amp;"","")))))&gt;0),IF(COUNTIF($BI$63:$BP$63,2)=0,TRUE,SUMPRODUCT(($BI$63:$BP$63=2)*($AS$63:$AZ$63&lt;&gt;"")*IF(((UPPER($AS$63:$AZ$63)="BLANK")+(UPPER($AS$63:$AZ$63)="(BLANK)")+(UPPER($AS$63:$AZ$63)="EMPTY")+(UPPER($AS$63:$AZ$63)="(EMPTY)"))&gt;0,IFERROR(('Final Calculation Sheet'!$B$29)&amp;"","")="",ISNUMBER(SEARCH($AS$63:$AZ$63,IFERROR(('Final Calculation Sheet'!$B$29)&amp;"","")))))&gt;0),IF(COUNTIF($BI$63:$BP$63,3)=0,TRUE,SUMPRODUCT(($BI$63:$BP$63=3)*($AS$63:$AZ$63&lt;&gt;"")*IF(((UPPER($AS$63:$AZ$63)="BLANK")+(UPPER($AS$63:$AZ$63)="(BLANK)")+(UPPER($AS$63:$AZ$63)="EMPTY")+(UPPER($AS$63:$AZ$63)="(EMPTY)"))&gt;0,IFERROR(('Final Calculation Sheet'!$B$29)&amp;"","")="",ISNUMBER(SEARCH($AS$63:$AZ$63,IFERROR(('Final Calculation Sheet'!$B$29)&amp;"","")))))&gt;0),IF(COUNTIF($BI$63:$BP$63,4)=0,TRUE,SUMPRODUCT(($BI$63:$BP$63=4)*($AS$63:$AZ$63&lt;&gt;"")*IF(((UPPER($AS$63:$AZ$63)="BLANK")+(UPPER($AS$63:$AZ$63)="(BLANK)")+(UPPER($AS$63:$AZ$63)="EMPTY")+(UPPER($AS$63:$AZ$63)="(EMPTY)"))&gt;0,IFERROR(('Final Calculation Sheet'!$B$29)&amp;"","")="",ISNUMBER(SEARCH($AS$63:$AZ$63,IFERROR(('Final Calculation Sheet'!$B$29)&amp;"","")))))&gt;0),IF(COUNTIF($BI$63:$BP$63,5)=0,TRUE,SUMPRODUCT(($BI$63:$BP$63=5)*($AS$63:$AZ$63&lt;&gt;"")*IF(((UPPER($AS$63:$AZ$63)="BLANK")+(UPPER($AS$63:$AZ$63)="(BLANK)")+(UPPER($AS$63:$AZ$63)="EMPTY")+(UPPER($AS$63:$AZ$63)="(EMPTY)"))&gt;0,IFERROR(('Final Calculation Sheet'!$B$29)&amp;"","")="",ISNUMBER(SEARCH($AS$63:$AZ$63,IFERROR(('Final Calculation Sheet'!$B$29)&amp;"","")))))&gt;0),IF(COUNTIF($BI$63:$BP$63,6)=0,TRUE,SUMPRODUCT(($BI$63:$BP$63=6)*($AS$63:$AZ$63&lt;&gt;"")*IF(((UPPER($AS$63:$AZ$63)="BLANK")+(UPPER($AS$63:$AZ$63)="(BLANK)")+(UPPER($AS$63:$AZ$63)="EMPTY")+(UPPER($AS$63:$AZ$63)="(EMPTY)"))&gt;0,IFERROR(('Final Calculation Sheet'!$B$29)&amp;"","")="",ISNUMBER(SEARCH($AS$63:$AZ$63,IFERROR(('Final Calculation Sheet'!$B$29)&amp;"","")))))&gt;0),IF(COUNTIF($BI$63:$BP$63,7)=0,TRUE,SUMPRODUCT(($BI$63:$BP$63=7)*($AS$63:$AZ$63&lt;&gt;"")*IF(((UPPER($AS$63:$AZ$63)="BLANK")+(UPPER($AS$63:$AZ$63)="(BLANK)")+(UPPER($AS$63:$AZ$63)="EMPTY")+(UPPER($AS$63:$AZ$63)="(EMPTY)"))&gt;0,IFERROR(('Final Calculation Sheet'!$B$29)&amp;"","")="",ISNUMBER(SEARCH($AS$63:$AZ$63,IFERROR(('Final Calculation Sheet'!$B$29)&amp;"","")))))&gt;0),IF(COUNTIF($BI$63:$BP$63,8)=0,TRUE,SUMPRODUCT(($BI$63:$BP$63=8)*($AS$63:$AZ$63&lt;&gt;"")*IF(((UPPER($AS$63:$AZ$63)="BLANK")+(UPPER($AS$63:$AZ$63)="(BLANK)")+(UPPER($AS$63:$AZ$63)="EMPTY")+(UPPER($AS$63:$AZ$63)="(EMPTY)"))&gt;0,IFERROR(('Final Calculation Sheet'!$B$29)&amp;"","")="",ISNUMBER(SEARCH($AS$63:$AZ$63,IFERROR(('Final Calculation Sheet'!$B$29)&amp;"","")))))&gt;0))))</f>
        <v>1</v>
      </c>
      <c r="BQ30">
        <f>IF($E$4="",1,--(AND(SUMPRODUCT(--($AS$64:$AZ$64&lt;&gt;""))&gt;0,IF(COUNTIF($BI$64:$BP$64,1)=0,TRUE,SUMPRODUCT(($BI$64:$BP$64=1)*($AS$64:$AZ$64&lt;&gt;"")*IF(((UPPER($AS$64:$AZ$64)="BLANK")+(UPPER($AS$64:$AZ$64)="(BLANK)")+(UPPER($AS$64:$AZ$64)="EMPTY")+(UPPER($AS$64:$AZ$64)="(EMPTY)"))&gt;0,IFERROR(('Final Calculation Sheet'!$D$29)&amp;"","")="",ISNUMBER(SEARCH($AS$64:$AZ$64,IFERROR(('Final Calculation Sheet'!$D$29)&amp;"","")))))&gt;0),IF(COUNTIF($BI$64:$BP$64,2)=0,TRUE,SUMPRODUCT(($BI$64:$BP$64=2)*($AS$64:$AZ$64&lt;&gt;"")*IF(((UPPER($AS$64:$AZ$64)="BLANK")+(UPPER($AS$64:$AZ$64)="(BLANK)")+(UPPER($AS$64:$AZ$64)="EMPTY")+(UPPER($AS$64:$AZ$64)="(EMPTY)"))&gt;0,IFERROR(('Final Calculation Sheet'!$D$29)&amp;"","")="",ISNUMBER(SEARCH($AS$64:$AZ$64,IFERROR(('Final Calculation Sheet'!$D$29)&amp;"","")))))&gt;0),IF(COUNTIF($BI$64:$BP$64,3)=0,TRUE,SUMPRODUCT(($BI$64:$BP$64=3)*($AS$64:$AZ$64&lt;&gt;"")*IF(((UPPER($AS$64:$AZ$64)="BLANK")+(UPPER($AS$64:$AZ$64)="(BLANK)")+(UPPER($AS$64:$AZ$64)="EMPTY")+(UPPER($AS$64:$AZ$64)="(EMPTY)"))&gt;0,IFERROR(('Final Calculation Sheet'!$D$29)&amp;"","")="",ISNUMBER(SEARCH($AS$64:$AZ$64,IFERROR(('Final Calculation Sheet'!$D$29)&amp;"","")))))&gt;0),IF(COUNTIF($BI$64:$BP$64,4)=0,TRUE,SUMPRODUCT(($BI$64:$BP$64=4)*($AS$64:$AZ$64&lt;&gt;"")*IF(((UPPER($AS$64:$AZ$64)="BLANK")+(UPPER($AS$64:$AZ$64)="(BLANK)")+(UPPER($AS$64:$AZ$64)="EMPTY")+(UPPER($AS$64:$AZ$64)="(EMPTY)"))&gt;0,IFERROR(('Final Calculation Sheet'!$D$29)&amp;"","")="",ISNUMBER(SEARCH($AS$64:$AZ$64,IFERROR(('Final Calculation Sheet'!$D$29)&amp;"","")))))&gt;0),IF(COUNTIF($BI$64:$BP$64,5)=0,TRUE,SUMPRODUCT(($BI$64:$BP$64=5)*($AS$64:$AZ$64&lt;&gt;"")*IF(((UPPER($AS$64:$AZ$64)="BLANK")+(UPPER($AS$64:$AZ$64)="(BLANK)")+(UPPER($AS$64:$AZ$64)="EMPTY")+(UPPER($AS$64:$AZ$64)="(EMPTY)"))&gt;0,IFERROR(('Final Calculation Sheet'!$D$29)&amp;"","")="",ISNUMBER(SEARCH($AS$64:$AZ$64,IFERROR(('Final Calculation Sheet'!$D$29)&amp;"","")))))&gt;0),IF(COUNTIF($BI$64:$BP$64,6)=0,TRUE,SUMPRODUCT(($BI$64:$BP$64=6)*($AS$64:$AZ$64&lt;&gt;"")*IF(((UPPER($AS$64:$AZ$64)="BLANK")+(UPPER($AS$64:$AZ$64)="(BLANK)")+(UPPER($AS$64:$AZ$64)="EMPTY")+(UPPER($AS$64:$AZ$64)="(EMPTY)"))&gt;0,IFERROR(('Final Calculation Sheet'!$D$29)&amp;"","")="",ISNUMBER(SEARCH($AS$64:$AZ$64,IFERROR(('Final Calculation Sheet'!$D$29)&amp;"","")))))&gt;0),IF(COUNTIF($BI$64:$BP$64,7)=0,TRUE,SUMPRODUCT(($BI$64:$BP$64=7)*($AS$64:$AZ$64&lt;&gt;"")*IF(((UPPER($AS$64:$AZ$64)="BLANK")+(UPPER($AS$64:$AZ$64)="(BLANK)")+(UPPER($AS$64:$AZ$64)="EMPTY")+(UPPER($AS$64:$AZ$64)="(EMPTY)"))&gt;0,IFERROR(('Final Calculation Sheet'!$D$29)&amp;"","")="",ISNUMBER(SEARCH($AS$64:$AZ$64,IFERROR(('Final Calculation Sheet'!$D$29)&amp;"","")))))&gt;0),IF(COUNTIF($BI$64:$BP$64,8)=0,TRUE,SUMPRODUCT(($BI$64:$BP$64=8)*($AS$64:$AZ$64&lt;&gt;"")*IF(((UPPER($AS$64:$AZ$64)="BLANK")+(UPPER($AS$64:$AZ$64)="(BLANK)")+(UPPER($AS$64:$AZ$64)="EMPTY")+(UPPER($AS$64:$AZ$64)="(EMPTY)"))&gt;0,IFERROR(('Final Calculation Sheet'!$D$29)&amp;"","")="",ISNUMBER(SEARCH($AS$64:$AZ$64,IFERROR(('Final Calculation Sheet'!$D$29)&amp;"","")))))&gt;0))))</f>
        <v>1</v>
      </c>
      <c r="BR30">
        <f>IF($F$4="",1,--(AND(SUMPRODUCT(--($AS$65:$AZ$65&lt;&gt;""))&gt;0,IF(COUNTIF($BI$65:$BP$65,1)=0,TRUE,SUMPRODUCT(($BI$65:$BP$65=1)*($AS$65:$AZ$65&lt;&gt;"")*IF(((UPPER($AS$65:$AZ$65)="BLANK")+(UPPER($AS$65:$AZ$65)="(BLANK)")+(UPPER($AS$65:$AZ$65)="EMPTY")+(UPPER($AS$65:$AZ$65)="(EMPTY)"))&gt;0,IFERROR(('Final Calculation Sheet'!$A$29)&amp;"","")="",ISNUMBER(SEARCH($AS$65:$AZ$65,IFERROR(('Final Calculation Sheet'!$A$29)&amp;"","")))))&gt;0),IF(COUNTIF($BI$65:$BP$65,2)=0,TRUE,SUMPRODUCT(($BI$65:$BP$65=2)*($AS$65:$AZ$65&lt;&gt;"")*IF(((UPPER($AS$65:$AZ$65)="BLANK")+(UPPER($AS$65:$AZ$65)="(BLANK)")+(UPPER($AS$65:$AZ$65)="EMPTY")+(UPPER($AS$65:$AZ$65)="(EMPTY)"))&gt;0,IFERROR(('Final Calculation Sheet'!$A$29)&amp;"","")="",ISNUMBER(SEARCH($AS$65:$AZ$65,IFERROR(('Final Calculation Sheet'!$A$29)&amp;"","")))))&gt;0),IF(COUNTIF($BI$65:$BP$65,3)=0,TRUE,SUMPRODUCT(($BI$65:$BP$65=3)*($AS$65:$AZ$65&lt;&gt;"")*IF(((UPPER($AS$65:$AZ$65)="BLANK")+(UPPER($AS$65:$AZ$65)="(BLANK)")+(UPPER($AS$65:$AZ$65)="EMPTY")+(UPPER($AS$65:$AZ$65)="(EMPTY)"))&gt;0,IFERROR(('Final Calculation Sheet'!$A$29)&amp;"","")="",ISNUMBER(SEARCH($AS$65:$AZ$65,IFERROR(('Final Calculation Sheet'!$A$29)&amp;"","")))))&gt;0),IF(COUNTIF($BI$65:$BP$65,4)=0,TRUE,SUMPRODUCT(($BI$65:$BP$65=4)*($AS$65:$AZ$65&lt;&gt;"")*IF(((UPPER($AS$65:$AZ$65)="BLANK")+(UPPER($AS$65:$AZ$65)="(BLANK)")+(UPPER($AS$65:$AZ$65)="EMPTY")+(UPPER($AS$65:$AZ$65)="(EMPTY)"))&gt;0,IFERROR(('Final Calculation Sheet'!$A$29)&amp;"","")="",ISNUMBER(SEARCH($AS$65:$AZ$65,IFERROR(('Final Calculation Sheet'!$A$29)&amp;"","")))))&gt;0),IF(COUNTIF($BI$65:$BP$65,5)=0,TRUE,SUMPRODUCT(($BI$65:$BP$65=5)*($AS$65:$AZ$65&lt;&gt;"")*IF(((UPPER($AS$65:$AZ$65)="BLANK")+(UPPER($AS$65:$AZ$65)="(BLANK)")+(UPPER($AS$65:$AZ$65)="EMPTY")+(UPPER($AS$65:$AZ$65)="(EMPTY)"))&gt;0,IFERROR(('Final Calculation Sheet'!$A$29)&amp;"","")="",ISNUMBER(SEARCH($AS$65:$AZ$65,IFERROR(('Final Calculation Sheet'!$A$29)&amp;"","")))))&gt;0),IF(COUNTIF($BI$65:$BP$65,6)=0,TRUE,SUMPRODUCT(($BI$65:$BP$65=6)*($AS$65:$AZ$65&lt;&gt;"")*IF(((UPPER($AS$65:$AZ$65)="BLANK")+(UPPER($AS$65:$AZ$65)="(BLANK)")+(UPPER($AS$65:$AZ$65)="EMPTY")+(UPPER($AS$65:$AZ$65)="(EMPTY)"))&gt;0,IFERROR(('Final Calculation Sheet'!$A$29)&amp;"","")="",ISNUMBER(SEARCH($AS$65:$AZ$65,IFERROR(('Final Calculation Sheet'!$A$29)&amp;"","")))))&gt;0),IF(COUNTIF($BI$65:$BP$65,7)=0,TRUE,SUMPRODUCT(($BI$65:$BP$65=7)*($AS$65:$AZ$65&lt;&gt;"")*IF(((UPPER($AS$65:$AZ$65)="BLANK")+(UPPER($AS$65:$AZ$65)="(BLANK)")+(UPPER($AS$65:$AZ$65)="EMPTY")+(UPPER($AS$65:$AZ$65)="(EMPTY)"))&gt;0,IFERROR(('Final Calculation Sheet'!$A$29)&amp;"","")="",ISNUMBER(SEARCH($AS$65:$AZ$65,IFERROR(('Final Calculation Sheet'!$A$29)&amp;"","")))))&gt;0),IF(COUNTIF($BI$65:$BP$65,8)=0,TRUE,SUMPRODUCT(($BI$65:$BP$65=8)*($AS$65:$AZ$65&lt;&gt;"")*IF(((UPPER($AS$65:$AZ$65)="BLANK")+(UPPER($AS$65:$AZ$65)="(BLANK)")+(UPPER($AS$65:$AZ$65)="EMPTY")+(UPPER($AS$65:$AZ$65)="(EMPTY)"))&gt;0,IFERROR(('Final Calculation Sheet'!$A$29)&amp;"","")="",ISNUMBER(SEARCH($AS$65:$AZ$65,IFERROR(('Final Calculation Sheet'!$A$29)&amp;"","")))))&gt;0))))</f>
        <v>1</v>
      </c>
      <c r="BS30">
        <f>IF($G$4="",1,--(AND(SUMPRODUCT(--($AS$66:$AZ$66&lt;&gt;""))&gt;0,IF(COUNTIF($BI$66:$BP$66,1)=0,TRUE,SUMPRODUCT(($BI$66:$BP$66=1)*($AS$66:$AZ$66&lt;&gt;"")*IF(((UPPER($AS$66:$AZ$66)="BLANK")+(UPPER($AS$66:$AZ$66)="(BLANK)")+(UPPER($AS$66:$AZ$66)="EMPTY")+(UPPER($AS$66:$AZ$66)="(EMPTY)"))&gt;0,IFERROR(('Final Calculation Sheet'!$E$29)&amp;"","")="",ISNUMBER(SEARCH($AS$66:$AZ$66,IFERROR(('Final Calculation Sheet'!$E$29)&amp;"","")))))&gt;0),IF(COUNTIF($BI$66:$BP$66,2)=0,TRUE,SUMPRODUCT(($BI$66:$BP$66=2)*($AS$66:$AZ$66&lt;&gt;"")*IF(((UPPER($AS$66:$AZ$66)="BLANK")+(UPPER($AS$66:$AZ$66)="(BLANK)")+(UPPER($AS$66:$AZ$66)="EMPTY")+(UPPER($AS$66:$AZ$66)="(EMPTY)"))&gt;0,IFERROR(('Final Calculation Sheet'!$E$29)&amp;"","")="",ISNUMBER(SEARCH($AS$66:$AZ$66,IFERROR(('Final Calculation Sheet'!$E$29)&amp;"","")))))&gt;0),IF(COUNTIF($BI$66:$BP$66,3)=0,TRUE,SUMPRODUCT(($BI$66:$BP$66=3)*($AS$66:$AZ$66&lt;&gt;"")*IF(((UPPER($AS$66:$AZ$66)="BLANK")+(UPPER($AS$66:$AZ$66)="(BLANK)")+(UPPER($AS$66:$AZ$66)="EMPTY")+(UPPER($AS$66:$AZ$66)="(EMPTY)"))&gt;0,IFERROR(('Final Calculation Sheet'!$E$29)&amp;"","")="",ISNUMBER(SEARCH($AS$66:$AZ$66,IFERROR(('Final Calculation Sheet'!$E$29)&amp;"","")))))&gt;0),IF(COUNTIF($BI$66:$BP$66,4)=0,TRUE,SUMPRODUCT(($BI$66:$BP$66=4)*($AS$66:$AZ$66&lt;&gt;"")*IF(((UPPER($AS$66:$AZ$66)="BLANK")+(UPPER($AS$66:$AZ$66)="(BLANK)")+(UPPER($AS$66:$AZ$66)="EMPTY")+(UPPER($AS$66:$AZ$66)="(EMPTY)"))&gt;0,IFERROR(('Final Calculation Sheet'!$E$29)&amp;"","")="",ISNUMBER(SEARCH($AS$66:$AZ$66,IFERROR(('Final Calculation Sheet'!$E$29)&amp;"","")))))&gt;0),IF(COUNTIF($BI$66:$BP$66,5)=0,TRUE,SUMPRODUCT(($BI$66:$BP$66=5)*($AS$66:$AZ$66&lt;&gt;"")*IF(((UPPER($AS$66:$AZ$66)="BLANK")+(UPPER($AS$66:$AZ$66)="(BLANK)")+(UPPER($AS$66:$AZ$66)="EMPTY")+(UPPER($AS$66:$AZ$66)="(EMPTY)"))&gt;0,IFERROR(('Final Calculation Sheet'!$E$29)&amp;"","")="",ISNUMBER(SEARCH($AS$66:$AZ$66,IFERROR(('Final Calculation Sheet'!$E$29)&amp;"","")))))&gt;0),IF(COUNTIF($BI$66:$BP$66,6)=0,TRUE,SUMPRODUCT(($BI$66:$BP$66=6)*($AS$66:$AZ$66&lt;&gt;"")*IF(((UPPER($AS$66:$AZ$66)="BLANK")+(UPPER($AS$66:$AZ$66)="(BLANK)")+(UPPER($AS$66:$AZ$66)="EMPTY")+(UPPER($AS$66:$AZ$66)="(EMPTY)"))&gt;0,IFERROR(('Final Calculation Sheet'!$E$29)&amp;"","")="",ISNUMBER(SEARCH($AS$66:$AZ$66,IFERROR(('Final Calculation Sheet'!$E$29)&amp;"","")))))&gt;0),IF(COUNTIF($BI$66:$BP$66,7)=0,TRUE,SUMPRODUCT(($BI$66:$BP$66=7)*($AS$66:$AZ$66&lt;&gt;"")*IF(((UPPER($AS$66:$AZ$66)="BLANK")+(UPPER($AS$66:$AZ$66)="(BLANK)")+(UPPER($AS$66:$AZ$66)="EMPTY")+(UPPER($AS$66:$AZ$66)="(EMPTY)"))&gt;0,IFERROR(('Final Calculation Sheet'!$E$29)&amp;"","")="",ISNUMBER(SEARCH($AS$66:$AZ$66,IFERROR(('Final Calculation Sheet'!$E$29)&amp;"","")))))&gt;0),IF(COUNTIF($BI$66:$BP$66,8)=0,TRUE,SUMPRODUCT(($BI$66:$BP$66=8)*($AS$66:$AZ$66&lt;&gt;"")*IF(((UPPER($AS$66:$AZ$66)="BLANK")+(UPPER($AS$66:$AZ$66)="(BLANK)")+(UPPER($AS$66:$AZ$66)="EMPTY")+(UPPER($AS$66:$AZ$66)="(EMPTY)"))&gt;0,IFERROR(('Final Calculation Sheet'!$E$29)&amp;"","")="",ISNUMBER(SEARCH($AS$66:$AZ$66,IFERROR(('Final Calculation Sheet'!$E$29)&amp;"","")))))&gt;0))))</f>
        <v>1</v>
      </c>
      <c r="BT30">
        <f>IF($H$4="",1,--(AND(SUMPRODUCT(--($AS$67:$AZ$67&lt;&gt;""))&gt;0,IF(COUNTIF($BI$67:$BP$67,1)=0,TRUE,SUMPRODUCT(($BI$67:$BP$67=1)*($AS$67:$AZ$67&lt;&gt;"")*IF(((UPPER($AS$67:$AZ$67)="BLANK")+(UPPER($AS$67:$AZ$67)="(BLANK)")+(UPPER($AS$67:$AZ$67)="EMPTY")+(UPPER($AS$67:$AZ$67)="(EMPTY)"))&gt;0,IFERROR(('Final Calculation Sheet'!$C$29)&amp;"","")="",ISNUMBER(SEARCH($AS$67:$AZ$67,IFERROR(('Final Calculation Sheet'!$C$29)&amp;"","")))))&gt;0),IF(COUNTIF($BI$67:$BP$67,2)=0,TRUE,SUMPRODUCT(($BI$67:$BP$67=2)*($AS$67:$AZ$67&lt;&gt;"")*IF(((UPPER($AS$67:$AZ$67)="BLANK")+(UPPER($AS$67:$AZ$67)="(BLANK)")+(UPPER($AS$67:$AZ$67)="EMPTY")+(UPPER($AS$67:$AZ$67)="(EMPTY)"))&gt;0,IFERROR(('Final Calculation Sheet'!$C$29)&amp;"","")="",ISNUMBER(SEARCH($AS$67:$AZ$67,IFERROR(('Final Calculation Sheet'!$C$29)&amp;"","")))))&gt;0),IF(COUNTIF($BI$67:$BP$67,3)=0,TRUE,SUMPRODUCT(($BI$67:$BP$67=3)*($AS$67:$AZ$67&lt;&gt;"")*IF(((UPPER($AS$67:$AZ$67)="BLANK")+(UPPER($AS$67:$AZ$67)="(BLANK)")+(UPPER($AS$67:$AZ$67)="EMPTY")+(UPPER($AS$67:$AZ$67)="(EMPTY)"))&gt;0,IFERROR(('Final Calculation Sheet'!$C$29)&amp;"","")="",ISNUMBER(SEARCH($AS$67:$AZ$67,IFERROR(('Final Calculation Sheet'!$C$29)&amp;"","")))))&gt;0),IF(COUNTIF($BI$67:$BP$67,4)=0,TRUE,SUMPRODUCT(($BI$67:$BP$67=4)*($AS$67:$AZ$67&lt;&gt;"")*IF(((UPPER($AS$67:$AZ$67)="BLANK")+(UPPER($AS$67:$AZ$67)="(BLANK)")+(UPPER($AS$67:$AZ$67)="EMPTY")+(UPPER($AS$67:$AZ$67)="(EMPTY)"))&gt;0,IFERROR(('Final Calculation Sheet'!$C$29)&amp;"","")="",ISNUMBER(SEARCH($AS$67:$AZ$67,IFERROR(('Final Calculation Sheet'!$C$29)&amp;"","")))))&gt;0),IF(COUNTIF($BI$67:$BP$67,5)=0,TRUE,SUMPRODUCT(($BI$67:$BP$67=5)*($AS$67:$AZ$67&lt;&gt;"")*IF(((UPPER($AS$67:$AZ$67)="BLANK")+(UPPER($AS$67:$AZ$67)="(BLANK)")+(UPPER($AS$67:$AZ$67)="EMPTY")+(UPPER($AS$67:$AZ$67)="(EMPTY)"))&gt;0,IFERROR(('Final Calculation Sheet'!$C$29)&amp;"","")="",ISNUMBER(SEARCH($AS$67:$AZ$67,IFERROR(('Final Calculation Sheet'!$C$29)&amp;"","")))))&gt;0),IF(COUNTIF($BI$67:$BP$67,6)=0,TRUE,SUMPRODUCT(($BI$67:$BP$67=6)*($AS$67:$AZ$67&lt;&gt;"")*IF(((UPPER($AS$67:$AZ$67)="BLANK")+(UPPER($AS$67:$AZ$67)="(BLANK)")+(UPPER($AS$67:$AZ$67)="EMPTY")+(UPPER($AS$67:$AZ$67)="(EMPTY)"))&gt;0,IFERROR(('Final Calculation Sheet'!$C$29)&amp;"","")="",ISNUMBER(SEARCH($AS$67:$AZ$67,IFERROR(('Final Calculation Sheet'!$C$29)&amp;"","")))))&gt;0),IF(COUNTIF($BI$67:$BP$67,7)=0,TRUE,SUMPRODUCT(($BI$67:$BP$67=7)*($AS$67:$AZ$67&lt;&gt;"")*IF(((UPPER($AS$67:$AZ$67)="BLANK")+(UPPER($AS$67:$AZ$67)="(BLANK)")+(UPPER($AS$67:$AZ$67)="EMPTY")+(UPPER($AS$67:$AZ$67)="(EMPTY)"))&gt;0,IFERROR(('Final Calculation Sheet'!$C$29)&amp;"","")="",ISNUMBER(SEARCH($AS$67:$AZ$67,IFERROR(('Final Calculation Sheet'!$C$29)&amp;"","")))))&gt;0),IF(COUNTIF($BI$67:$BP$67,8)=0,TRUE,SUMPRODUCT(($BI$67:$BP$67=8)*($AS$67:$AZ$67&lt;&gt;"")*IF(((UPPER($AS$67:$AZ$67)="BLANK")+(UPPER($AS$67:$AZ$67)="(BLANK)")+(UPPER($AS$67:$AZ$67)="EMPTY")+(UPPER($AS$67:$AZ$67)="(EMPTY)"))&gt;0,IFERROR(('Final Calculation Sheet'!$C$29)&amp;"","")="",ISNUMBER(SEARCH($AS$67:$AZ$67,IFERROR(('Final Calculation Sheet'!$C$29)&amp;"","")))))&gt;0))))</f>
        <v>1</v>
      </c>
      <c r="BU30">
        <f>IF($I$4="",1,--(AND(SUMPRODUCT(--($AS$68:$AZ$68&lt;&gt;""))&gt;0,IF(COUNTIF($BI$68:$BP$68,1)=0,TRUE,SUMPRODUCT(($BI$68:$BP$68=1)*($AS$68:$AZ$68&lt;&gt;"")*IF(((UPPER($AS$68:$AZ$68)="BLANK")+(UPPER($AS$68:$AZ$68)="(BLANK)")+(UPPER($AS$68:$AZ$68)="EMPTY")+(UPPER($AS$68:$AZ$68)="(EMPTY)"))&gt;0,IFERROR(('Final Calculation Sheet'!$H$29)&amp;"","")="",ISNUMBER(SEARCH($AS$68:$AZ$68,IFERROR(('Final Calculation Sheet'!$H$29)&amp;"","")))))&gt;0),IF(COUNTIF($BI$68:$BP$68,2)=0,TRUE,SUMPRODUCT(($BI$68:$BP$68=2)*($AS$68:$AZ$68&lt;&gt;"")*IF(((UPPER($AS$68:$AZ$68)="BLANK")+(UPPER($AS$68:$AZ$68)="(BLANK)")+(UPPER($AS$68:$AZ$68)="EMPTY")+(UPPER($AS$68:$AZ$68)="(EMPTY)"))&gt;0,IFERROR(('Final Calculation Sheet'!$H$29)&amp;"","")="",ISNUMBER(SEARCH($AS$68:$AZ$68,IFERROR(('Final Calculation Sheet'!$H$29)&amp;"","")))))&gt;0),IF(COUNTIF($BI$68:$BP$68,3)=0,TRUE,SUMPRODUCT(($BI$68:$BP$68=3)*($AS$68:$AZ$68&lt;&gt;"")*IF(((UPPER($AS$68:$AZ$68)="BLANK")+(UPPER($AS$68:$AZ$68)="(BLANK)")+(UPPER($AS$68:$AZ$68)="EMPTY")+(UPPER($AS$68:$AZ$68)="(EMPTY)"))&gt;0,IFERROR(('Final Calculation Sheet'!$H$29)&amp;"","")="",ISNUMBER(SEARCH($AS$68:$AZ$68,IFERROR(('Final Calculation Sheet'!$H$29)&amp;"","")))))&gt;0),IF(COUNTIF($BI$68:$BP$68,4)=0,TRUE,SUMPRODUCT(($BI$68:$BP$68=4)*($AS$68:$AZ$68&lt;&gt;"")*IF(((UPPER($AS$68:$AZ$68)="BLANK")+(UPPER($AS$68:$AZ$68)="(BLANK)")+(UPPER($AS$68:$AZ$68)="EMPTY")+(UPPER($AS$68:$AZ$68)="(EMPTY)"))&gt;0,IFERROR(('Final Calculation Sheet'!$H$29)&amp;"","")="",ISNUMBER(SEARCH($AS$68:$AZ$68,IFERROR(('Final Calculation Sheet'!$H$29)&amp;"","")))))&gt;0),IF(COUNTIF($BI$68:$BP$68,5)=0,TRUE,SUMPRODUCT(($BI$68:$BP$68=5)*($AS$68:$AZ$68&lt;&gt;"")*IF(((UPPER($AS$68:$AZ$68)="BLANK")+(UPPER($AS$68:$AZ$68)="(BLANK)")+(UPPER($AS$68:$AZ$68)="EMPTY")+(UPPER($AS$68:$AZ$68)="(EMPTY)"))&gt;0,IFERROR(('Final Calculation Sheet'!$H$29)&amp;"","")="",ISNUMBER(SEARCH($AS$68:$AZ$68,IFERROR(('Final Calculation Sheet'!$H$29)&amp;"","")))))&gt;0),IF(COUNTIF($BI$68:$BP$68,6)=0,TRUE,SUMPRODUCT(($BI$68:$BP$68=6)*($AS$68:$AZ$68&lt;&gt;"")*IF(((UPPER($AS$68:$AZ$68)="BLANK")+(UPPER($AS$68:$AZ$68)="(BLANK)")+(UPPER($AS$68:$AZ$68)="EMPTY")+(UPPER($AS$68:$AZ$68)="(EMPTY)"))&gt;0,IFERROR(('Final Calculation Sheet'!$H$29)&amp;"","")="",ISNUMBER(SEARCH($AS$68:$AZ$68,IFERROR(('Final Calculation Sheet'!$H$29)&amp;"","")))))&gt;0),IF(COUNTIF($BI$68:$BP$68,7)=0,TRUE,SUMPRODUCT(($BI$68:$BP$68=7)*($AS$68:$AZ$68&lt;&gt;"")*IF(((UPPER($AS$68:$AZ$68)="BLANK")+(UPPER($AS$68:$AZ$68)="(BLANK)")+(UPPER($AS$68:$AZ$68)="EMPTY")+(UPPER($AS$68:$AZ$68)="(EMPTY)"))&gt;0,IFERROR(('Final Calculation Sheet'!$H$29)&amp;"","")="",ISNUMBER(SEARCH($AS$68:$AZ$68,IFERROR(('Final Calculation Sheet'!$H$29)&amp;"","")))))&gt;0),IF(COUNTIF($BI$68:$BP$68,8)=0,TRUE,SUMPRODUCT(($BI$68:$BP$68=8)*($AS$68:$AZ$68&lt;&gt;"")*IF(((UPPER($AS$68:$AZ$68)="BLANK")+(UPPER($AS$68:$AZ$68)="(BLANK)")+(UPPER($AS$68:$AZ$68)="EMPTY")+(UPPER($AS$68:$AZ$68)="(EMPTY)"))&gt;0,IFERROR(('Final Calculation Sheet'!$H$29)&amp;"","")="",ISNUMBER(SEARCH($AS$68:$AZ$68,IFERROR(('Final Calculation Sheet'!$H$29)&amp;"","")))))&gt;0))))</f>
        <v>1</v>
      </c>
      <c r="BV30">
        <f>IF($J$4="",1,--(AND(SUMPRODUCT(--($AS$69:$AZ$69&lt;&gt;""))&gt;0,IF(COUNTIF($BI$69:$BP$69,1)=0,TRUE,SUMPRODUCT(($BI$69:$BP$69=1)*($AS$69:$AZ$69&lt;&gt;"")*IF(((UPPER($AS$69:$AZ$69)="BLANK")+(UPPER($AS$69:$AZ$69)="(BLANK)")+(UPPER($AS$69:$AZ$69)="EMPTY")+(UPPER($AS$69:$AZ$69)="(EMPTY)"))&gt;0,IFERROR(('Final Calculation Sheet'!$I$29)&amp;"","")="",ISNUMBER(SEARCH($AS$69:$AZ$69,IFERROR(('Final Calculation Sheet'!$I$29)&amp;"","")))))&gt;0),IF(COUNTIF($BI$69:$BP$69,2)=0,TRUE,SUMPRODUCT(($BI$69:$BP$69=2)*($AS$69:$AZ$69&lt;&gt;"")*IF(((UPPER($AS$69:$AZ$69)="BLANK")+(UPPER($AS$69:$AZ$69)="(BLANK)")+(UPPER($AS$69:$AZ$69)="EMPTY")+(UPPER($AS$69:$AZ$69)="(EMPTY)"))&gt;0,IFERROR(('Final Calculation Sheet'!$I$29)&amp;"","")="",ISNUMBER(SEARCH($AS$69:$AZ$69,IFERROR(('Final Calculation Sheet'!$I$29)&amp;"","")))))&gt;0),IF(COUNTIF($BI$69:$BP$69,3)=0,TRUE,SUMPRODUCT(($BI$69:$BP$69=3)*($AS$69:$AZ$69&lt;&gt;"")*IF(((UPPER($AS$69:$AZ$69)="BLANK")+(UPPER($AS$69:$AZ$69)="(BLANK)")+(UPPER($AS$69:$AZ$69)="EMPTY")+(UPPER($AS$69:$AZ$69)="(EMPTY)"))&gt;0,IFERROR(('Final Calculation Sheet'!$I$29)&amp;"","")="",ISNUMBER(SEARCH($AS$69:$AZ$69,IFERROR(('Final Calculation Sheet'!$I$29)&amp;"","")))))&gt;0),IF(COUNTIF($BI$69:$BP$69,4)=0,TRUE,SUMPRODUCT(($BI$69:$BP$69=4)*($AS$69:$AZ$69&lt;&gt;"")*IF(((UPPER($AS$69:$AZ$69)="BLANK")+(UPPER($AS$69:$AZ$69)="(BLANK)")+(UPPER($AS$69:$AZ$69)="EMPTY")+(UPPER($AS$69:$AZ$69)="(EMPTY)"))&gt;0,IFERROR(('Final Calculation Sheet'!$I$29)&amp;"","")="",ISNUMBER(SEARCH($AS$69:$AZ$69,IFERROR(('Final Calculation Sheet'!$I$29)&amp;"","")))))&gt;0),IF(COUNTIF($BI$69:$BP$69,5)=0,TRUE,SUMPRODUCT(($BI$69:$BP$69=5)*($AS$69:$AZ$69&lt;&gt;"")*IF(((UPPER($AS$69:$AZ$69)="BLANK")+(UPPER($AS$69:$AZ$69)="(BLANK)")+(UPPER($AS$69:$AZ$69)="EMPTY")+(UPPER($AS$69:$AZ$69)="(EMPTY)"))&gt;0,IFERROR(('Final Calculation Sheet'!$I$29)&amp;"","")="",ISNUMBER(SEARCH($AS$69:$AZ$69,IFERROR(('Final Calculation Sheet'!$I$29)&amp;"","")))))&gt;0),IF(COUNTIF($BI$69:$BP$69,6)=0,TRUE,SUMPRODUCT(($BI$69:$BP$69=6)*($AS$69:$AZ$69&lt;&gt;"")*IF(((UPPER($AS$69:$AZ$69)="BLANK")+(UPPER($AS$69:$AZ$69)="(BLANK)")+(UPPER($AS$69:$AZ$69)="EMPTY")+(UPPER($AS$69:$AZ$69)="(EMPTY)"))&gt;0,IFERROR(('Final Calculation Sheet'!$I$29)&amp;"","")="",ISNUMBER(SEARCH($AS$69:$AZ$69,IFERROR(('Final Calculation Sheet'!$I$29)&amp;"","")))))&gt;0),IF(COUNTIF($BI$69:$BP$69,7)=0,TRUE,SUMPRODUCT(($BI$69:$BP$69=7)*($AS$69:$AZ$69&lt;&gt;"")*IF(((UPPER($AS$69:$AZ$69)="BLANK")+(UPPER($AS$69:$AZ$69)="(BLANK)")+(UPPER($AS$69:$AZ$69)="EMPTY")+(UPPER($AS$69:$AZ$69)="(EMPTY)"))&gt;0,IFERROR(('Final Calculation Sheet'!$I$29)&amp;"","")="",ISNUMBER(SEARCH($AS$69:$AZ$69,IFERROR(('Final Calculation Sheet'!$I$29)&amp;"","")))))&gt;0),IF(COUNTIF($BI$69:$BP$69,8)=0,TRUE,SUMPRODUCT(($BI$69:$BP$69=8)*($AS$69:$AZ$69&lt;&gt;"")*IF(((UPPER($AS$69:$AZ$69)="BLANK")+(UPPER($AS$69:$AZ$69)="(BLANK)")+(UPPER($AS$69:$AZ$69)="EMPTY")+(UPPER($AS$69:$AZ$69)="(EMPTY)"))&gt;0,IFERROR(('Final Calculation Sheet'!$I$29)&amp;"","")="",ISNUMBER(SEARCH($AS$69:$AZ$69,IFERROR(('Final Calculation Sheet'!$I$29)&amp;"","")))))&gt;0))))</f>
        <v>1</v>
      </c>
      <c r="BW30">
        <f>IF($K$4="",1,--(AND(SUMPRODUCT(--($AS$70:$AZ$70&lt;&gt;""))&gt;0,IF(COUNTIF($BI$70:$BP$70,1)=0,TRUE,SUMPRODUCT(($BI$70:$BP$70=1)*($AS$70:$AZ$70&lt;&gt;"")*IF(((UPPER($AS$70:$AZ$70)="BLANK")+(UPPER($AS$70:$AZ$70)="(BLANK)")+(UPPER($AS$70:$AZ$70)="EMPTY")+(UPPER($AS$70:$AZ$70)="(EMPTY)"))&gt;0,IFERROR(('Final Calculation Sheet'!$J$29)&amp;"","")="",ISNUMBER(SEARCH($AS$70:$AZ$70,IFERROR(('Final Calculation Sheet'!$J$29)&amp;"","")))))&gt;0),IF(COUNTIF($BI$70:$BP$70,2)=0,TRUE,SUMPRODUCT(($BI$70:$BP$70=2)*($AS$70:$AZ$70&lt;&gt;"")*IF(((UPPER($AS$70:$AZ$70)="BLANK")+(UPPER($AS$70:$AZ$70)="(BLANK)")+(UPPER($AS$70:$AZ$70)="EMPTY")+(UPPER($AS$70:$AZ$70)="(EMPTY)"))&gt;0,IFERROR(('Final Calculation Sheet'!$J$29)&amp;"","")="",ISNUMBER(SEARCH($AS$70:$AZ$70,IFERROR(('Final Calculation Sheet'!$J$29)&amp;"","")))))&gt;0),IF(COUNTIF($BI$70:$BP$70,3)=0,TRUE,SUMPRODUCT(($BI$70:$BP$70=3)*($AS$70:$AZ$70&lt;&gt;"")*IF(((UPPER($AS$70:$AZ$70)="BLANK")+(UPPER($AS$70:$AZ$70)="(BLANK)")+(UPPER($AS$70:$AZ$70)="EMPTY")+(UPPER($AS$70:$AZ$70)="(EMPTY)"))&gt;0,IFERROR(('Final Calculation Sheet'!$J$29)&amp;"","")="",ISNUMBER(SEARCH($AS$70:$AZ$70,IFERROR(('Final Calculation Sheet'!$J$29)&amp;"","")))))&gt;0),IF(COUNTIF($BI$70:$BP$70,4)=0,TRUE,SUMPRODUCT(($BI$70:$BP$70=4)*($AS$70:$AZ$70&lt;&gt;"")*IF(((UPPER($AS$70:$AZ$70)="BLANK")+(UPPER($AS$70:$AZ$70)="(BLANK)")+(UPPER($AS$70:$AZ$70)="EMPTY")+(UPPER($AS$70:$AZ$70)="(EMPTY)"))&gt;0,IFERROR(('Final Calculation Sheet'!$J$29)&amp;"","")="",ISNUMBER(SEARCH($AS$70:$AZ$70,IFERROR(('Final Calculation Sheet'!$J$29)&amp;"","")))))&gt;0),IF(COUNTIF($BI$70:$BP$70,5)=0,TRUE,SUMPRODUCT(($BI$70:$BP$70=5)*($AS$70:$AZ$70&lt;&gt;"")*IF(((UPPER($AS$70:$AZ$70)="BLANK")+(UPPER($AS$70:$AZ$70)="(BLANK)")+(UPPER($AS$70:$AZ$70)="EMPTY")+(UPPER($AS$70:$AZ$70)="(EMPTY)"))&gt;0,IFERROR(('Final Calculation Sheet'!$J$29)&amp;"","")="",ISNUMBER(SEARCH($AS$70:$AZ$70,IFERROR(('Final Calculation Sheet'!$J$29)&amp;"","")))))&gt;0),IF(COUNTIF($BI$70:$BP$70,6)=0,TRUE,SUMPRODUCT(($BI$70:$BP$70=6)*($AS$70:$AZ$70&lt;&gt;"")*IF(((UPPER($AS$70:$AZ$70)="BLANK")+(UPPER($AS$70:$AZ$70)="(BLANK)")+(UPPER($AS$70:$AZ$70)="EMPTY")+(UPPER($AS$70:$AZ$70)="(EMPTY)"))&gt;0,IFERROR(('Final Calculation Sheet'!$J$29)&amp;"","")="",ISNUMBER(SEARCH($AS$70:$AZ$70,IFERROR(('Final Calculation Sheet'!$J$29)&amp;"","")))))&gt;0),IF(COUNTIF($BI$70:$BP$70,7)=0,TRUE,SUMPRODUCT(($BI$70:$BP$70=7)*($AS$70:$AZ$70&lt;&gt;"")*IF(((UPPER($AS$70:$AZ$70)="BLANK")+(UPPER($AS$70:$AZ$70)="(BLANK)")+(UPPER($AS$70:$AZ$70)="EMPTY")+(UPPER($AS$70:$AZ$70)="(EMPTY)"))&gt;0,IFERROR(('Final Calculation Sheet'!$J$29)&amp;"","")="",ISNUMBER(SEARCH($AS$70:$AZ$70,IFERROR(('Final Calculation Sheet'!$J$29)&amp;"","")))))&gt;0),IF(COUNTIF($BI$70:$BP$70,8)=0,TRUE,SUMPRODUCT(($BI$70:$BP$70=8)*($AS$70:$AZ$70&lt;&gt;"")*IF(((UPPER($AS$70:$AZ$70)="BLANK")+(UPPER($AS$70:$AZ$70)="(BLANK)")+(UPPER($AS$70:$AZ$70)="EMPTY")+(UPPER($AS$70:$AZ$70)="(EMPTY)"))&gt;0,IFERROR(('Final Calculation Sheet'!$J$29)&amp;"","")="",ISNUMBER(SEARCH($AS$70:$AZ$70,IFERROR(('Final Calculation Sheet'!$J$29)&amp;"","")))))&gt;0))))</f>
        <v>1</v>
      </c>
      <c r="BX30">
        <f>IF($L$4="",1,--(AND(SUMPRODUCT(--($AS$71:$AZ$71&lt;&gt;""))&gt;0,IF(COUNTIF($BI$71:$BP$71,1)=0,TRUE,SUMPRODUCT(($BI$71:$BP$71=1)*($AS$71:$AZ$71&lt;&gt;"")*IF(((UPPER($AS$71:$AZ$71)="BLANK")+(UPPER($AS$71:$AZ$71)="(BLANK)")+(UPPER($AS$71:$AZ$71)="EMPTY")+(UPPER($AS$71:$AZ$71)="(EMPTY)"))&gt;0,IFERROR(('Final Calculation Sheet'!$K$29)&amp;"","")="",ISNUMBER(SEARCH($AS$71:$AZ$71,IFERROR(('Final Calculation Sheet'!$K$29)&amp;"","")))))&gt;0),IF(COUNTIF($BI$71:$BP$71,2)=0,TRUE,SUMPRODUCT(($BI$71:$BP$71=2)*($AS$71:$AZ$71&lt;&gt;"")*IF(((UPPER($AS$71:$AZ$71)="BLANK")+(UPPER($AS$71:$AZ$71)="(BLANK)")+(UPPER($AS$71:$AZ$71)="EMPTY")+(UPPER($AS$71:$AZ$71)="(EMPTY)"))&gt;0,IFERROR(('Final Calculation Sheet'!$K$29)&amp;"","")="",ISNUMBER(SEARCH($AS$71:$AZ$71,IFERROR(('Final Calculation Sheet'!$K$29)&amp;"","")))))&gt;0),IF(COUNTIF($BI$71:$BP$71,3)=0,TRUE,SUMPRODUCT(($BI$71:$BP$71=3)*($AS$71:$AZ$71&lt;&gt;"")*IF(((UPPER($AS$71:$AZ$71)="BLANK")+(UPPER($AS$71:$AZ$71)="(BLANK)")+(UPPER($AS$71:$AZ$71)="EMPTY")+(UPPER($AS$71:$AZ$71)="(EMPTY)"))&gt;0,IFERROR(('Final Calculation Sheet'!$K$29)&amp;"","")="",ISNUMBER(SEARCH($AS$71:$AZ$71,IFERROR(('Final Calculation Sheet'!$K$29)&amp;"","")))))&gt;0),IF(COUNTIF($BI$71:$BP$71,4)=0,TRUE,SUMPRODUCT(($BI$71:$BP$71=4)*($AS$71:$AZ$71&lt;&gt;"")*IF(((UPPER($AS$71:$AZ$71)="BLANK")+(UPPER($AS$71:$AZ$71)="(BLANK)")+(UPPER($AS$71:$AZ$71)="EMPTY")+(UPPER($AS$71:$AZ$71)="(EMPTY)"))&gt;0,IFERROR(('Final Calculation Sheet'!$K$29)&amp;"","")="",ISNUMBER(SEARCH($AS$71:$AZ$71,IFERROR(('Final Calculation Sheet'!$K$29)&amp;"","")))))&gt;0),IF(COUNTIF($BI$71:$BP$71,5)=0,TRUE,SUMPRODUCT(($BI$71:$BP$71=5)*($AS$71:$AZ$71&lt;&gt;"")*IF(((UPPER($AS$71:$AZ$71)="BLANK")+(UPPER($AS$71:$AZ$71)="(BLANK)")+(UPPER($AS$71:$AZ$71)="EMPTY")+(UPPER($AS$71:$AZ$71)="(EMPTY)"))&gt;0,IFERROR(('Final Calculation Sheet'!$K$29)&amp;"","")="",ISNUMBER(SEARCH($AS$71:$AZ$71,IFERROR(('Final Calculation Sheet'!$K$29)&amp;"","")))))&gt;0),IF(COUNTIF($BI$71:$BP$71,6)=0,TRUE,SUMPRODUCT(($BI$71:$BP$71=6)*($AS$71:$AZ$71&lt;&gt;"")*IF(((UPPER($AS$71:$AZ$71)="BLANK")+(UPPER($AS$71:$AZ$71)="(BLANK)")+(UPPER($AS$71:$AZ$71)="EMPTY")+(UPPER($AS$71:$AZ$71)="(EMPTY)"))&gt;0,IFERROR(('Final Calculation Sheet'!$K$29)&amp;"","")="",ISNUMBER(SEARCH($AS$71:$AZ$71,IFERROR(('Final Calculation Sheet'!$K$29)&amp;"","")))))&gt;0),IF(COUNTIF($BI$71:$BP$71,7)=0,TRUE,SUMPRODUCT(($BI$71:$BP$71=7)*($AS$71:$AZ$71&lt;&gt;"")*IF(((UPPER($AS$71:$AZ$71)="BLANK")+(UPPER($AS$71:$AZ$71)="(BLANK)")+(UPPER($AS$71:$AZ$71)="EMPTY")+(UPPER($AS$71:$AZ$71)="(EMPTY)"))&gt;0,IFERROR(('Final Calculation Sheet'!$K$29)&amp;"","")="",ISNUMBER(SEARCH($AS$71:$AZ$71,IFERROR(('Final Calculation Sheet'!$K$29)&amp;"","")))))&gt;0),IF(COUNTIF($BI$71:$BP$71,8)=0,TRUE,SUMPRODUCT(($BI$71:$BP$71=8)*($AS$71:$AZ$71&lt;&gt;"")*IF(((UPPER($AS$71:$AZ$71)="BLANK")+(UPPER($AS$71:$AZ$71)="(BLANK)")+(UPPER($AS$71:$AZ$71)="EMPTY")+(UPPER($AS$71:$AZ$71)="(EMPTY)"))&gt;0,IFERROR(('Final Calculation Sheet'!$K$29)&amp;"","")="",ISNUMBER(SEARCH($AS$71:$AZ$71,IFERROR(('Final Calculation Sheet'!$K$29)&amp;"","")))))&gt;0))))</f>
        <v>1</v>
      </c>
      <c r="BY30">
        <f>IF($M$4="",1,--(AND(SUMPRODUCT(--($AS$72:$AZ$72&lt;&gt;""))&gt;0,IF(COUNTIF($BI$72:$BP$72,1)=0,TRUE,SUMPRODUCT(($BI$72:$BP$72=1)*($AS$72:$AZ$72&lt;&gt;"")*IF(((UPPER($AS$72:$AZ$72)="BLANK")+(UPPER($AS$72:$AZ$72)="(BLANK)")+(UPPER($AS$72:$AZ$72)="EMPTY")+(UPPER($AS$72:$AZ$72)="(EMPTY)"))&gt;0,IFERROR(('Final Calculation Sheet'!$L$29)&amp;"","")="",ISNUMBER(SEARCH($AS$72:$AZ$72,IFERROR(('Final Calculation Sheet'!$L$29)&amp;"","")))))&gt;0),IF(COUNTIF($BI$72:$BP$72,2)=0,TRUE,SUMPRODUCT(($BI$72:$BP$72=2)*($AS$72:$AZ$72&lt;&gt;"")*IF(((UPPER($AS$72:$AZ$72)="BLANK")+(UPPER($AS$72:$AZ$72)="(BLANK)")+(UPPER($AS$72:$AZ$72)="EMPTY")+(UPPER($AS$72:$AZ$72)="(EMPTY)"))&gt;0,IFERROR(('Final Calculation Sheet'!$L$29)&amp;"","")="",ISNUMBER(SEARCH($AS$72:$AZ$72,IFERROR(('Final Calculation Sheet'!$L$29)&amp;"","")))))&gt;0),IF(COUNTIF($BI$72:$BP$72,3)=0,TRUE,SUMPRODUCT(($BI$72:$BP$72=3)*($AS$72:$AZ$72&lt;&gt;"")*IF(((UPPER($AS$72:$AZ$72)="BLANK")+(UPPER($AS$72:$AZ$72)="(BLANK)")+(UPPER($AS$72:$AZ$72)="EMPTY")+(UPPER($AS$72:$AZ$72)="(EMPTY)"))&gt;0,IFERROR(('Final Calculation Sheet'!$L$29)&amp;"","")="",ISNUMBER(SEARCH($AS$72:$AZ$72,IFERROR(('Final Calculation Sheet'!$L$29)&amp;"","")))))&gt;0),IF(COUNTIF($BI$72:$BP$72,4)=0,TRUE,SUMPRODUCT(($BI$72:$BP$72=4)*($AS$72:$AZ$72&lt;&gt;"")*IF(((UPPER($AS$72:$AZ$72)="BLANK")+(UPPER($AS$72:$AZ$72)="(BLANK)")+(UPPER($AS$72:$AZ$72)="EMPTY")+(UPPER($AS$72:$AZ$72)="(EMPTY)"))&gt;0,IFERROR(('Final Calculation Sheet'!$L$29)&amp;"","")="",ISNUMBER(SEARCH($AS$72:$AZ$72,IFERROR(('Final Calculation Sheet'!$L$29)&amp;"","")))))&gt;0),IF(COUNTIF($BI$72:$BP$72,5)=0,TRUE,SUMPRODUCT(($BI$72:$BP$72=5)*($AS$72:$AZ$72&lt;&gt;"")*IF(((UPPER($AS$72:$AZ$72)="BLANK")+(UPPER($AS$72:$AZ$72)="(BLANK)")+(UPPER($AS$72:$AZ$72)="EMPTY")+(UPPER($AS$72:$AZ$72)="(EMPTY)"))&gt;0,IFERROR(('Final Calculation Sheet'!$L$29)&amp;"","")="",ISNUMBER(SEARCH($AS$72:$AZ$72,IFERROR(('Final Calculation Sheet'!$L$29)&amp;"","")))))&gt;0),IF(COUNTIF($BI$72:$BP$72,6)=0,TRUE,SUMPRODUCT(($BI$72:$BP$72=6)*($AS$72:$AZ$72&lt;&gt;"")*IF(((UPPER($AS$72:$AZ$72)="BLANK")+(UPPER($AS$72:$AZ$72)="(BLANK)")+(UPPER($AS$72:$AZ$72)="EMPTY")+(UPPER($AS$72:$AZ$72)="(EMPTY)"))&gt;0,IFERROR(('Final Calculation Sheet'!$L$29)&amp;"","")="",ISNUMBER(SEARCH($AS$72:$AZ$72,IFERROR(('Final Calculation Sheet'!$L$29)&amp;"","")))))&gt;0),IF(COUNTIF($BI$72:$BP$72,7)=0,TRUE,SUMPRODUCT(($BI$72:$BP$72=7)*($AS$72:$AZ$72&lt;&gt;"")*IF(((UPPER($AS$72:$AZ$72)="BLANK")+(UPPER($AS$72:$AZ$72)="(BLANK)")+(UPPER($AS$72:$AZ$72)="EMPTY")+(UPPER($AS$72:$AZ$72)="(EMPTY)"))&gt;0,IFERROR(('Final Calculation Sheet'!$L$29)&amp;"","")="",ISNUMBER(SEARCH($AS$72:$AZ$72,IFERROR(('Final Calculation Sheet'!$L$29)&amp;"","")))))&gt;0),IF(COUNTIF($BI$72:$BP$72,8)=0,TRUE,SUMPRODUCT(($BI$72:$BP$72=8)*($AS$72:$AZ$72&lt;&gt;"")*IF(((UPPER($AS$72:$AZ$72)="BLANK")+(UPPER($AS$72:$AZ$72)="(BLANK)")+(UPPER($AS$72:$AZ$72)="EMPTY")+(UPPER($AS$72:$AZ$72)="(EMPTY)"))&gt;0,IFERROR(('Final Calculation Sheet'!$L$29)&amp;"","")="",ISNUMBER(SEARCH($AS$72:$AZ$72,IFERROR(('Final Calculation Sheet'!$L$29)&amp;"","")))))&gt;0))))</f>
        <v>1</v>
      </c>
      <c r="BZ30">
        <f>IF($N$4="",1,--(AND(SUMPRODUCT(--($AS$73:$AZ$73&lt;&gt;""))&gt;0,IF(COUNTIF($BI$73:$BP$73,1)=0,TRUE,SUMPRODUCT(($BI$73:$BP$73=1)*($AS$73:$AZ$73&lt;&gt;"")*IF(((UPPER($AS$73:$AZ$73)="BLANK")+(UPPER($AS$73:$AZ$73)="(BLANK)")+(UPPER($AS$73:$AZ$73)="EMPTY")+(UPPER($AS$73:$AZ$73)="(EMPTY)"))&gt;0,IFERROR(('Final Calculation Sheet'!$M$29)&amp;"","")="",ISNUMBER(SEARCH($AS$73:$AZ$73,IFERROR(('Final Calculation Sheet'!$M$29)&amp;"","")))))&gt;0),IF(COUNTIF($BI$73:$BP$73,2)=0,TRUE,SUMPRODUCT(($BI$73:$BP$73=2)*($AS$73:$AZ$73&lt;&gt;"")*IF(((UPPER($AS$73:$AZ$73)="BLANK")+(UPPER($AS$73:$AZ$73)="(BLANK)")+(UPPER($AS$73:$AZ$73)="EMPTY")+(UPPER($AS$73:$AZ$73)="(EMPTY)"))&gt;0,IFERROR(('Final Calculation Sheet'!$M$29)&amp;"","")="",ISNUMBER(SEARCH($AS$73:$AZ$73,IFERROR(('Final Calculation Sheet'!$M$29)&amp;"","")))))&gt;0),IF(COUNTIF($BI$73:$BP$73,3)=0,TRUE,SUMPRODUCT(($BI$73:$BP$73=3)*($AS$73:$AZ$73&lt;&gt;"")*IF(((UPPER($AS$73:$AZ$73)="BLANK")+(UPPER($AS$73:$AZ$73)="(BLANK)")+(UPPER($AS$73:$AZ$73)="EMPTY")+(UPPER($AS$73:$AZ$73)="(EMPTY)"))&gt;0,IFERROR(('Final Calculation Sheet'!$M$29)&amp;"","")="",ISNUMBER(SEARCH($AS$73:$AZ$73,IFERROR(('Final Calculation Sheet'!$M$29)&amp;"","")))))&gt;0),IF(COUNTIF($BI$73:$BP$73,4)=0,TRUE,SUMPRODUCT(($BI$73:$BP$73=4)*($AS$73:$AZ$73&lt;&gt;"")*IF(((UPPER($AS$73:$AZ$73)="BLANK")+(UPPER($AS$73:$AZ$73)="(BLANK)")+(UPPER($AS$73:$AZ$73)="EMPTY")+(UPPER($AS$73:$AZ$73)="(EMPTY)"))&gt;0,IFERROR(('Final Calculation Sheet'!$M$29)&amp;"","")="",ISNUMBER(SEARCH($AS$73:$AZ$73,IFERROR(('Final Calculation Sheet'!$M$29)&amp;"","")))))&gt;0),IF(COUNTIF($BI$73:$BP$73,5)=0,TRUE,SUMPRODUCT(($BI$73:$BP$73=5)*($AS$73:$AZ$73&lt;&gt;"")*IF(((UPPER($AS$73:$AZ$73)="BLANK")+(UPPER($AS$73:$AZ$73)="(BLANK)")+(UPPER($AS$73:$AZ$73)="EMPTY")+(UPPER($AS$73:$AZ$73)="(EMPTY)"))&gt;0,IFERROR(('Final Calculation Sheet'!$M$29)&amp;"","")="",ISNUMBER(SEARCH($AS$73:$AZ$73,IFERROR(('Final Calculation Sheet'!$M$29)&amp;"","")))))&gt;0),IF(COUNTIF($BI$73:$BP$73,6)=0,TRUE,SUMPRODUCT(($BI$73:$BP$73=6)*($AS$73:$AZ$73&lt;&gt;"")*IF(((UPPER($AS$73:$AZ$73)="BLANK")+(UPPER($AS$73:$AZ$73)="(BLANK)")+(UPPER($AS$73:$AZ$73)="EMPTY")+(UPPER($AS$73:$AZ$73)="(EMPTY)"))&gt;0,IFERROR(('Final Calculation Sheet'!$M$29)&amp;"","")="",ISNUMBER(SEARCH($AS$73:$AZ$73,IFERROR(('Final Calculation Sheet'!$M$29)&amp;"","")))))&gt;0),IF(COUNTIF($BI$73:$BP$73,7)=0,TRUE,SUMPRODUCT(($BI$73:$BP$73=7)*($AS$73:$AZ$73&lt;&gt;"")*IF(((UPPER($AS$73:$AZ$73)="BLANK")+(UPPER($AS$73:$AZ$73)="(BLANK)")+(UPPER($AS$73:$AZ$73)="EMPTY")+(UPPER($AS$73:$AZ$73)="(EMPTY)"))&gt;0,IFERROR(('Final Calculation Sheet'!$M$29)&amp;"","")="",ISNUMBER(SEARCH($AS$73:$AZ$73,IFERROR(('Final Calculation Sheet'!$M$29)&amp;"","")))))&gt;0),IF(COUNTIF($BI$73:$BP$73,8)=0,TRUE,SUMPRODUCT(($BI$73:$BP$73=8)*($AS$73:$AZ$73&lt;&gt;"")*IF(((UPPER($AS$73:$AZ$73)="BLANK")+(UPPER($AS$73:$AZ$73)="(BLANK)")+(UPPER($AS$73:$AZ$73)="EMPTY")+(UPPER($AS$73:$AZ$73)="(EMPTY)"))&gt;0,IFERROR(('Final Calculation Sheet'!$M$29)&amp;"","")="",ISNUMBER(SEARCH($AS$73:$AZ$73,IFERROR(('Final Calculation Sheet'!$M$29)&amp;"","")))))&gt;0))))</f>
        <v>1</v>
      </c>
      <c r="CA30">
        <f>IF($O$4="",1,--(AND(SUMPRODUCT(--($AS$74:$AZ$74&lt;&gt;""))&gt;0,IF(COUNTIF($BI$74:$BP$74,1)=0,TRUE,SUMPRODUCT(($BI$74:$BP$74=1)*($AS$74:$AZ$74&lt;&gt;"")*IF(((UPPER($AS$74:$AZ$74)="BLANK")+(UPPER($AS$74:$AZ$74)="(BLANK)")+(UPPER($AS$74:$AZ$74)="EMPTY")+(UPPER($AS$74:$AZ$74)="(EMPTY)"))&gt;0,IFERROR(('Final Calculation Sheet'!$N$29)&amp;"","")="",ISNUMBER(SEARCH($AS$74:$AZ$74,IFERROR(('Final Calculation Sheet'!$N$29)&amp;"","")))))&gt;0),IF(COUNTIF($BI$74:$BP$74,2)=0,TRUE,SUMPRODUCT(($BI$74:$BP$74=2)*($AS$74:$AZ$74&lt;&gt;"")*IF(((UPPER($AS$74:$AZ$74)="BLANK")+(UPPER($AS$74:$AZ$74)="(BLANK)")+(UPPER($AS$74:$AZ$74)="EMPTY")+(UPPER($AS$74:$AZ$74)="(EMPTY)"))&gt;0,IFERROR(('Final Calculation Sheet'!$N$29)&amp;"","")="",ISNUMBER(SEARCH($AS$74:$AZ$74,IFERROR(('Final Calculation Sheet'!$N$29)&amp;"","")))))&gt;0),IF(COUNTIF($BI$74:$BP$74,3)=0,TRUE,SUMPRODUCT(($BI$74:$BP$74=3)*($AS$74:$AZ$74&lt;&gt;"")*IF(((UPPER($AS$74:$AZ$74)="BLANK")+(UPPER($AS$74:$AZ$74)="(BLANK)")+(UPPER($AS$74:$AZ$74)="EMPTY")+(UPPER($AS$74:$AZ$74)="(EMPTY)"))&gt;0,IFERROR(('Final Calculation Sheet'!$N$29)&amp;"","")="",ISNUMBER(SEARCH($AS$74:$AZ$74,IFERROR(('Final Calculation Sheet'!$N$29)&amp;"","")))))&gt;0),IF(COUNTIF($BI$74:$BP$74,4)=0,TRUE,SUMPRODUCT(($BI$74:$BP$74=4)*($AS$74:$AZ$74&lt;&gt;"")*IF(((UPPER($AS$74:$AZ$74)="BLANK")+(UPPER($AS$74:$AZ$74)="(BLANK)")+(UPPER($AS$74:$AZ$74)="EMPTY")+(UPPER($AS$74:$AZ$74)="(EMPTY)"))&gt;0,IFERROR(('Final Calculation Sheet'!$N$29)&amp;"","")="",ISNUMBER(SEARCH($AS$74:$AZ$74,IFERROR(('Final Calculation Sheet'!$N$29)&amp;"","")))))&gt;0),IF(COUNTIF($BI$74:$BP$74,5)=0,TRUE,SUMPRODUCT(($BI$74:$BP$74=5)*($AS$74:$AZ$74&lt;&gt;"")*IF(((UPPER($AS$74:$AZ$74)="BLANK")+(UPPER($AS$74:$AZ$74)="(BLANK)")+(UPPER($AS$74:$AZ$74)="EMPTY")+(UPPER($AS$74:$AZ$74)="(EMPTY)"))&gt;0,IFERROR(('Final Calculation Sheet'!$N$29)&amp;"","")="",ISNUMBER(SEARCH($AS$74:$AZ$74,IFERROR(('Final Calculation Sheet'!$N$29)&amp;"","")))))&gt;0),IF(COUNTIF($BI$74:$BP$74,6)=0,TRUE,SUMPRODUCT(($BI$74:$BP$74=6)*($AS$74:$AZ$74&lt;&gt;"")*IF(((UPPER($AS$74:$AZ$74)="BLANK")+(UPPER($AS$74:$AZ$74)="(BLANK)")+(UPPER($AS$74:$AZ$74)="EMPTY")+(UPPER($AS$74:$AZ$74)="(EMPTY)"))&gt;0,IFERROR(('Final Calculation Sheet'!$N$29)&amp;"","")="",ISNUMBER(SEARCH($AS$74:$AZ$74,IFERROR(('Final Calculation Sheet'!$N$29)&amp;"","")))))&gt;0),IF(COUNTIF($BI$74:$BP$74,7)=0,TRUE,SUMPRODUCT(($BI$74:$BP$74=7)*($AS$74:$AZ$74&lt;&gt;"")*IF(((UPPER($AS$74:$AZ$74)="BLANK")+(UPPER($AS$74:$AZ$74)="(BLANK)")+(UPPER($AS$74:$AZ$74)="EMPTY")+(UPPER($AS$74:$AZ$74)="(EMPTY)"))&gt;0,IFERROR(('Final Calculation Sheet'!$N$29)&amp;"","")="",ISNUMBER(SEARCH($AS$74:$AZ$74,IFERROR(('Final Calculation Sheet'!$N$29)&amp;"","")))))&gt;0),IF(COUNTIF($BI$74:$BP$74,8)=0,TRUE,SUMPRODUCT(($BI$74:$BP$74=8)*($AS$74:$AZ$74&lt;&gt;"")*IF(((UPPER($AS$74:$AZ$74)="BLANK")+(UPPER($AS$74:$AZ$74)="(BLANK)")+(UPPER($AS$74:$AZ$74)="EMPTY")+(UPPER($AS$74:$AZ$74)="(EMPTY)"))&gt;0,IFERROR(('Final Calculation Sheet'!$N$29)&amp;"","")="",ISNUMBER(SEARCH($AS$74:$AZ$74,IFERROR(('Final Calculation Sheet'!$N$29)&amp;"","")))))&gt;0))))</f>
        <v>1</v>
      </c>
      <c r="CB30">
        <f>IF($P$4="",1,--(AND(SUMPRODUCT(--($AS$75:$AZ$75&lt;&gt;""))&gt;0,IF(COUNTIF($BI$75:$BP$75,1)=0,TRUE,SUMPRODUCT(($BI$75:$BP$75=1)*($AS$75:$AZ$75&lt;&gt;"")*IF(((UPPER($AS$75:$AZ$75)="BLANK")+(UPPER($AS$75:$AZ$75)="(BLANK)")+(UPPER($AS$75:$AZ$75)="EMPTY")+(UPPER($AS$75:$AZ$75)="(EMPTY)"))&gt;0,IFERROR(('Final Calculation Sheet'!$O$29)&amp;"","")="",ISNUMBER(SEARCH($AS$75:$AZ$75,IFERROR(('Final Calculation Sheet'!$O$29)&amp;"","")))))&gt;0),IF(COUNTIF($BI$75:$BP$75,2)=0,TRUE,SUMPRODUCT(($BI$75:$BP$75=2)*($AS$75:$AZ$75&lt;&gt;"")*IF(((UPPER($AS$75:$AZ$75)="BLANK")+(UPPER($AS$75:$AZ$75)="(BLANK)")+(UPPER($AS$75:$AZ$75)="EMPTY")+(UPPER($AS$75:$AZ$75)="(EMPTY)"))&gt;0,IFERROR(('Final Calculation Sheet'!$O$29)&amp;"","")="",ISNUMBER(SEARCH($AS$75:$AZ$75,IFERROR(('Final Calculation Sheet'!$O$29)&amp;"","")))))&gt;0),IF(COUNTIF($BI$75:$BP$75,3)=0,TRUE,SUMPRODUCT(($BI$75:$BP$75=3)*($AS$75:$AZ$75&lt;&gt;"")*IF(((UPPER($AS$75:$AZ$75)="BLANK")+(UPPER($AS$75:$AZ$75)="(BLANK)")+(UPPER($AS$75:$AZ$75)="EMPTY")+(UPPER($AS$75:$AZ$75)="(EMPTY)"))&gt;0,IFERROR(('Final Calculation Sheet'!$O$29)&amp;"","")="",ISNUMBER(SEARCH($AS$75:$AZ$75,IFERROR(('Final Calculation Sheet'!$O$29)&amp;"","")))))&gt;0),IF(COUNTIF($BI$75:$BP$75,4)=0,TRUE,SUMPRODUCT(($BI$75:$BP$75=4)*($AS$75:$AZ$75&lt;&gt;"")*IF(((UPPER($AS$75:$AZ$75)="BLANK")+(UPPER($AS$75:$AZ$75)="(BLANK)")+(UPPER($AS$75:$AZ$75)="EMPTY")+(UPPER($AS$75:$AZ$75)="(EMPTY)"))&gt;0,IFERROR(('Final Calculation Sheet'!$O$29)&amp;"","")="",ISNUMBER(SEARCH($AS$75:$AZ$75,IFERROR(('Final Calculation Sheet'!$O$29)&amp;"","")))))&gt;0),IF(COUNTIF($BI$75:$BP$75,5)=0,TRUE,SUMPRODUCT(($BI$75:$BP$75=5)*($AS$75:$AZ$75&lt;&gt;"")*IF(((UPPER($AS$75:$AZ$75)="BLANK")+(UPPER($AS$75:$AZ$75)="(BLANK)")+(UPPER($AS$75:$AZ$75)="EMPTY")+(UPPER($AS$75:$AZ$75)="(EMPTY)"))&gt;0,IFERROR(('Final Calculation Sheet'!$O$29)&amp;"","")="",ISNUMBER(SEARCH($AS$75:$AZ$75,IFERROR(('Final Calculation Sheet'!$O$29)&amp;"","")))))&gt;0),IF(COUNTIF($BI$75:$BP$75,6)=0,TRUE,SUMPRODUCT(($BI$75:$BP$75=6)*($AS$75:$AZ$75&lt;&gt;"")*IF(((UPPER($AS$75:$AZ$75)="BLANK")+(UPPER($AS$75:$AZ$75)="(BLANK)")+(UPPER($AS$75:$AZ$75)="EMPTY")+(UPPER($AS$75:$AZ$75)="(EMPTY)"))&gt;0,IFERROR(('Final Calculation Sheet'!$O$29)&amp;"","")="",ISNUMBER(SEARCH($AS$75:$AZ$75,IFERROR(('Final Calculation Sheet'!$O$29)&amp;"","")))))&gt;0),IF(COUNTIF($BI$75:$BP$75,7)=0,TRUE,SUMPRODUCT(($BI$75:$BP$75=7)*($AS$75:$AZ$75&lt;&gt;"")*IF(((UPPER($AS$75:$AZ$75)="BLANK")+(UPPER($AS$75:$AZ$75)="(BLANK)")+(UPPER($AS$75:$AZ$75)="EMPTY")+(UPPER($AS$75:$AZ$75)="(EMPTY)"))&gt;0,IFERROR(('Final Calculation Sheet'!$O$29)&amp;"","")="",ISNUMBER(SEARCH($AS$75:$AZ$75,IFERROR(('Final Calculation Sheet'!$O$29)&amp;"","")))))&gt;0),IF(COUNTIF($BI$75:$BP$75,8)=0,TRUE,SUMPRODUCT(($BI$75:$BP$75=8)*($AS$75:$AZ$75&lt;&gt;"")*IF(((UPPER($AS$75:$AZ$75)="BLANK")+(UPPER($AS$75:$AZ$75)="(BLANK)")+(UPPER($AS$75:$AZ$75)="EMPTY")+(UPPER($AS$75:$AZ$75)="(EMPTY)"))&gt;0,IFERROR(('Final Calculation Sheet'!$O$29)&amp;"","")="",ISNUMBER(SEARCH($AS$75:$AZ$75,IFERROR(('Final Calculation Sheet'!$O$29)&amp;"","")))))&gt;0))))</f>
        <v>1</v>
      </c>
      <c r="CC30">
        <f>IF($Q$4="",1,--(AND(SUMPRODUCT(--($AS$76:$AZ$76&lt;&gt;""))&gt;0,IF(COUNTIF($BI$76:$BP$76,1)=0,TRUE,SUMPRODUCT(($BI$76:$BP$76=1)*($AS$76:$AZ$76&lt;&gt;"")*IF(((UPPER($AS$76:$AZ$76)="BLANK")+(UPPER($AS$76:$AZ$76)="(BLANK)")+(UPPER($AS$76:$AZ$76)="EMPTY")+(UPPER($AS$76:$AZ$76)="(EMPTY)"))&gt;0,IFERROR(('Final Calculation Sheet'!$P$29)&amp;"","")="",ISNUMBER(SEARCH($AS$76:$AZ$76,IFERROR(('Final Calculation Sheet'!$P$29)&amp;"","")))))&gt;0),IF(COUNTIF($BI$76:$BP$76,2)=0,TRUE,SUMPRODUCT(($BI$76:$BP$76=2)*($AS$76:$AZ$76&lt;&gt;"")*IF(((UPPER($AS$76:$AZ$76)="BLANK")+(UPPER($AS$76:$AZ$76)="(BLANK)")+(UPPER($AS$76:$AZ$76)="EMPTY")+(UPPER($AS$76:$AZ$76)="(EMPTY)"))&gt;0,IFERROR(('Final Calculation Sheet'!$P$29)&amp;"","")="",ISNUMBER(SEARCH($AS$76:$AZ$76,IFERROR(('Final Calculation Sheet'!$P$29)&amp;"","")))))&gt;0),IF(COUNTIF($BI$76:$BP$76,3)=0,TRUE,SUMPRODUCT(($BI$76:$BP$76=3)*($AS$76:$AZ$76&lt;&gt;"")*IF(((UPPER($AS$76:$AZ$76)="BLANK")+(UPPER($AS$76:$AZ$76)="(BLANK)")+(UPPER($AS$76:$AZ$76)="EMPTY")+(UPPER($AS$76:$AZ$76)="(EMPTY)"))&gt;0,IFERROR(('Final Calculation Sheet'!$P$29)&amp;"","")="",ISNUMBER(SEARCH($AS$76:$AZ$76,IFERROR(('Final Calculation Sheet'!$P$29)&amp;"","")))))&gt;0),IF(COUNTIF($BI$76:$BP$76,4)=0,TRUE,SUMPRODUCT(($BI$76:$BP$76=4)*($AS$76:$AZ$76&lt;&gt;"")*IF(((UPPER($AS$76:$AZ$76)="BLANK")+(UPPER($AS$76:$AZ$76)="(BLANK)")+(UPPER($AS$76:$AZ$76)="EMPTY")+(UPPER($AS$76:$AZ$76)="(EMPTY)"))&gt;0,IFERROR(('Final Calculation Sheet'!$P$29)&amp;"","")="",ISNUMBER(SEARCH($AS$76:$AZ$76,IFERROR(('Final Calculation Sheet'!$P$29)&amp;"","")))))&gt;0),IF(COUNTIF($BI$76:$BP$76,5)=0,TRUE,SUMPRODUCT(($BI$76:$BP$76=5)*($AS$76:$AZ$76&lt;&gt;"")*IF(((UPPER($AS$76:$AZ$76)="BLANK")+(UPPER($AS$76:$AZ$76)="(BLANK)")+(UPPER($AS$76:$AZ$76)="EMPTY")+(UPPER($AS$76:$AZ$76)="(EMPTY)"))&gt;0,IFERROR(('Final Calculation Sheet'!$P$29)&amp;"","")="",ISNUMBER(SEARCH($AS$76:$AZ$76,IFERROR(('Final Calculation Sheet'!$P$29)&amp;"","")))))&gt;0),IF(COUNTIF($BI$76:$BP$76,6)=0,TRUE,SUMPRODUCT(($BI$76:$BP$76=6)*($AS$76:$AZ$76&lt;&gt;"")*IF(((UPPER($AS$76:$AZ$76)="BLANK")+(UPPER($AS$76:$AZ$76)="(BLANK)")+(UPPER($AS$76:$AZ$76)="EMPTY")+(UPPER($AS$76:$AZ$76)="(EMPTY)"))&gt;0,IFERROR(('Final Calculation Sheet'!$P$29)&amp;"","")="",ISNUMBER(SEARCH($AS$76:$AZ$76,IFERROR(('Final Calculation Sheet'!$P$29)&amp;"","")))))&gt;0),IF(COUNTIF($BI$76:$BP$76,7)=0,TRUE,SUMPRODUCT(($BI$76:$BP$76=7)*($AS$76:$AZ$76&lt;&gt;"")*IF(((UPPER($AS$76:$AZ$76)="BLANK")+(UPPER($AS$76:$AZ$76)="(BLANK)")+(UPPER($AS$76:$AZ$76)="EMPTY")+(UPPER($AS$76:$AZ$76)="(EMPTY)"))&gt;0,IFERROR(('Final Calculation Sheet'!$P$29)&amp;"","")="",ISNUMBER(SEARCH($AS$76:$AZ$76,IFERROR(('Final Calculation Sheet'!$P$29)&amp;"","")))))&gt;0),IF(COUNTIF($BI$76:$BP$76,8)=0,TRUE,SUMPRODUCT(($BI$76:$BP$76=8)*($AS$76:$AZ$76&lt;&gt;"")*IF(((UPPER($AS$76:$AZ$76)="BLANK")+(UPPER($AS$76:$AZ$76)="(BLANK)")+(UPPER($AS$76:$AZ$76)="EMPTY")+(UPPER($AS$76:$AZ$76)="(EMPTY)"))&gt;0,IFERROR(('Final Calculation Sheet'!$P$29)&amp;"","")="",ISNUMBER(SEARCH($AS$76:$AZ$76,IFERROR(('Final Calculation Sheet'!$P$29)&amp;"","")))))&gt;0))))</f>
        <v>1</v>
      </c>
      <c r="CD30">
        <f>IF($R$4="",1,--(AND(SUMPRODUCT(--($AS$77:$AZ$77&lt;&gt;""))&gt;0,IF(COUNTIF($BI$77:$BP$77,1)=0,TRUE,SUMPRODUCT(($BI$77:$BP$77=1)*($AS$77:$AZ$77&lt;&gt;"")*IF(((UPPER($AS$77:$AZ$77)="BLANK")+(UPPER($AS$77:$AZ$77)="(BLANK)")+(UPPER($AS$77:$AZ$77)="EMPTY")+(UPPER($AS$77:$AZ$77)="(EMPTY)"))&gt;0,IFERROR(('Final Calculation Sheet'!$Q$29)&amp;"","")="",ISNUMBER(SEARCH($AS$77:$AZ$77,IFERROR(('Final Calculation Sheet'!$Q$29)&amp;"","")))))&gt;0),IF(COUNTIF($BI$77:$BP$77,2)=0,TRUE,SUMPRODUCT(($BI$77:$BP$77=2)*($AS$77:$AZ$77&lt;&gt;"")*IF(((UPPER($AS$77:$AZ$77)="BLANK")+(UPPER($AS$77:$AZ$77)="(BLANK)")+(UPPER($AS$77:$AZ$77)="EMPTY")+(UPPER($AS$77:$AZ$77)="(EMPTY)"))&gt;0,IFERROR(('Final Calculation Sheet'!$Q$29)&amp;"","")="",ISNUMBER(SEARCH($AS$77:$AZ$77,IFERROR(('Final Calculation Sheet'!$Q$29)&amp;"","")))))&gt;0),IF(COUNTIF($BI$77:$BP$77,3)=0,TRUE,SUMPRODUCT(($BI$77:$BP$77=3)*($AS$77:$AZ$77&lt;&gt;"")*IF(((UPPER($AS$77:$AZ$77)="BLANK")+(UPPER($AS$77:$AZ$77)="(BLANK)")+(UPPER($AS$77:$AZ$77)="EMPTY")+(UPPER($AS$77:$AZ$77)="(EMPTY)"))&gt;0,IFERROR(('Final Calculation Sheet'!$Q$29)&amp;"","")="",ISNUMBER(SEARCH($AS$77:$AZ$77,IFERROR(('Final Calculation Sheet'!$Q$29)&amp;"","")))))&gt;0),IF(COUNTIF($BI$77:$BP$77,4)=0,TRUE,SUMPRODUCT(($BI$77:$BP$77=4)*($AS$77:$AZ$77&lt;&gt;"")*IF(((UPPER($AS$77:$AZ$77)="BLANK")+(UPPER($AS$77:$AZ$77)="(BLANK)")+(UPPER($AS$77:$AZ$77)="EMPTY")+(UPPER($AS$77:$AZ$77)="(EMPTY)"))&gt;0,IFERROR(('Final Calculation Sheet'!$Q$29)&amp;"","")="",ISNUMBER(SEARCH($AS$77:$AZ$77,IFERROR(('Final Calculation Sheet'!$Q$29)&amp;"","")))))&gt;0),IF(COUNTIF($BI$77:$BP$77,5)=0,TRUE,SUMPRODUCT(($BI$77:$BP$77=5)*($AS$77:$AZ$77&lt;&gt;"")*IF(((UPPER($AS$77:$AZ$77)="BLANK")+(UPPER($AS$77:$AZ$77)="(BLANK)")+(UPPER($AS$77:$AZ$77)="EMPTY")+(UPPER($AS$77:$AZ$77)="(EMPTY)"))&gt;0,IFERROR(('Final Calculation Sheet'!$Q$29)&amp;"","")="",ISNUMBER(SEARCH($AS$77:$AZ$77,IFERROR(('Final Calculation Sheet'!$Q$29)&amp;"","")))))&gt;0),IF(COUNTIF($BI$77:$BP$77,6)=0,TRUE,SUMPRODUCT(($BI$77:$BP$77=6)*($AS$77:$AZ$77&lt;&gt;"")*IF(((UPPER($AS$77:$AZ$77)="BLANK")+(UPPER($AS$77:$AZ$77)="(BLANK)")+(UPPER($AS$77:$AZ$77)="EMPTY")+(UPPER($AS$77:$AZ$77)="(EMPTY)"))&gt;0,IFERROR(('Final Calculation Sheet'!$Q$29)&amp;"","")="",ISNUMBER(SEARCH($AS$77:$AZ$77,IFERROR(('Final Calculation Sheet'!$Q$29)&amp;"","")))))&gt;0),IF(COUNTIF($BI$77:$BP$77,7)=0,TRUE,SUMPRODUCT(($BI$77:$BP$77=7)*($AS$77:$AZ$77&lt;&gt;"")*IF(((UPPER($AS$77:$AZ$77)="BLANK")+(UPPER($AS$77:$AZ$77)="(BLANK)")+(UPPER($AS$77:$AZ$77)="EMPTY")+(UPPER($AS$77:$AZ$77)="(EMPTY)"))&gt;0,IFERROR(('Final Calculation Sheet'!$Q$29)&amp;"","")="",ISNUMBER(SEARCH($AS$77:$AZ$77,IFERROR(('Final Calculation Sheet'!$Q$29)&amp;"","")))))&gt;0),IF(COUNTIF($BI$77:$BP$77,8)=0,TRUE,SUMPRODUCT(($BI$77:$BP$77=8)*($AS$77:$AZ$77&lt;&gt;"")*IF(((UPPER($AS$77:$AZ$77)="BLANK")+(UPPER($AS$77:$AZ$77)="(BLANK)")+(UPPER($AS$77:$AZ$77)="EMPTY")+(UPPER($AS$77:$AZ$77)="(EMPTY)"))&gt;0,IFERROR(('Final Calculation Sheet'!$Q$29)&amp;"","")="",ISNUMBER(SEARCH($AS$77:$AZ$77,IFERROR(('Final Calculation Sheet'!$Q$29)&amp;"","")))))&gt;0))))</f>
        <v>1</v>
      </c>
      <c r="CE30">
        <f>IF($S$4="",1,--(AND(SUMPRODUCT(--($AS$78:$AZ$78&lt;&gt;""))&gt;0,IF(COUNTIF($BI$78:$BP$78,1)=0,TRUE,SUMPRODUCT(($BI$78:$BP$78=1)*($AS$78:$AZ$78&lt;&gt;"")*IF(((UPPER($AS$78:$AZ$78)="BLANK")+(UPPER($AS$78:$AZ$78)="(BLANK)")+(UPPER($AS$78:$AZ$78)="EMPTY")+(UPPER($AS$78:$AZ$78)="(EMPTY)"))&gt;0,IFERROR(('Final Calculation Sheet'!$R$29)&amp;"","")="",ISNUMBER(SEARCH($AS$78:$AZ$78,IFERROR(('Final Calculation Sheet'!$R$29)&amp;"","")))))&gt;0),IF(COUNTIF($BI$78:$BP$78,2)=0,TRUE,SUMPRODUCT(($BI$78:$BP$78=2)*($AS$78:$AZ$78&lt;&gt;"")*IF(((UPPER($AS$78:$AZ$78)="BLANK")+(UPPER($AS$78:$AZ$78)="(BLANK)")+(UPPER($AS$78:$AZ$78)="EMPTY")+(UPPER($AS$78:$AZ$78)="(EMPTY)"))&gt;0,IFERROR(('Final Calculation Sheet'!$R$29)&amp;"","")="",ISNUMBER(SEARCH($AS$78:$AZ$78,IFERROR(('Final Calculation Sheet'!$R$29)&amp;"","")))))&gt;0),IF(COUNTIF($BI$78:$BP$78,3)=0,TRUE,SUMPRODUCT(($BI$78:$BP$78=3)*($AS$78:$AZ$78&lt;&gt;"")*IF(((UPPER($AS$78:$AZ$78)="BLANK")+(UPPER($AS$78:$AZ$78)="(BLANK)")+(UPPER($AS$78:$AZ$78)="EMPTY")+(UPPER($AS$78:$AZ$78)="(EMPTY)"))&gt;0,IFERROR(('Final Calculation Sheet'!$R$29)&amp;"","")="",ISNUMBER(SEARCH($AS$78:$AZ$78,IFERROR(('Final Calculation Sheet'!$R$29)&amp;"","")))))&gt;0),IF(COUNTIF($BI$78:$BP$78,4)=0,TRUE,SUMPRODUCT(($BI$78:$BP$78=4)*($AS$78:$AZ$78&lt;&gt;"")*IF(((UPPER($AS$78:$AZ$78)="BLANK")+(UPPER($AS$78:$AZ$78)="(BLANK)")+(UPPER($AS$78:$AZ$78)="EMPTY")+(UPPER($AS$78:$AZ$78)="(EMPTY)"))&gt;0,IFERROR(('Final Calculation Sheet'!$R$29)&amp;"","")="",ISNUMBER(SEARCH($AS$78:$AZ$78,IFERROR(('Final Calculation Sheet'!$R$29)&amp;"","")))))&gt;0),IF(COUNTIF($BI$78:$BP$78,5)=0,TRUE,SUMPRODUCT(($BI$78:$BP$78=5)*($AS$78:$AZ$78&lt;&gt;"")*IF(((UPPER($AS$78:$AZ$78)="BLANK")+(UPPER($AS$78:$AZ$78)="(BLANK)")+(UPPER($AS$78:$AZ$78)="EMPTY")+(UPPER($AS$78:$AZ$78)="(EMPTY)"))&gt;0,IFERROR(('Final Calculation Sheet'!$R$29)&amp;"","")="",ISNUMBER(SEARCH($AS$78:$AZ$78,IFERROR(('Final Calculation Sheet'!$R$29)&amp;"","")))))&gt;0),IF(COUNTIF($BI$78:$BP$78,6)=0,TRUE,SUMPRODUCT(($BI$78:$BP$78=6)*($AS$78:$AZ$78&lt;&gt;"")*IF(((UPPER($AS$78:$AZ$78)="BLANK")+(UPPER($AS$78:$AZ$78)="(BLANK)")+(UPPER($AS$78:$AZ$78)="EMPTY")+(UPPER($AS$78:$AZ$78)="(EMPTY)"))&gt;0,IFERROR(('Final Calculation Sheet'!$R$29)&amp;"","")="",ISNUMBER(SEARCH($AS$78:$AZ$78,IFERROR(('Final Calculation Sheet'!$R$29)&amp;"","")))))&gt;0),IF(COUNTIF($BI$78:$BP$78,7)=0,TRUE,SUMPRODUCT(($BI$78:$BP$78=7)*($AS$78:$AZ$78&lt;&gt;"")*IF(((UPPER($AS$78:$AZ$78)="BLANK")+(UPPER($AS$78:$AZ$78)="(BLANK)")+(UPPER($AS$78:$AZ$78)="EMPTY")+(UPPER($AS$78:$AZ$78)="(EMPTY)"))&gt;0,IFERROR(('Final Calculation Sheet'!$R$29)&amp;"","")="",ISNUMBER(SEARCH($AS$78:$AZ$78,IFERROR(('Final Calculation Sheet'!$R$29)&amp;"","")))))&gt;0),IF(COUNTIF($BI$78:$BP$78,8)=0,TRUE,SUMPRODUCT(($BI$78:$BP$78=8)*($AS$78:$AZ$78&lt;&gt;"")*IF(((UPPER($AS$78:$AZ$78)="BLANK")+(UPPER($AS$78:$AZ$78)="(BLANK)")+(UPPER($AS$78:$AZ$78)="EMPTY")+(UPPER($AS$78:$AZ$78)="(EMPTY)"))&gt;0,IFERROR(('Final Calculation Sheet'!$R$29)&amp;"","")="",ISNUMBER(SEARCH($AS$78:$AZ$78,IFERROR(('Final Calculation Sheet'!$R$29)&amp;"","")))))&gt;0))))</f>
        <v>1</v>
      </c>
      <c r="CF30">
        <f>IF($T$4="",1,--(AND(SUMPRODUCT(--($AS$79:$AZ$79&lt;&gt;""))&gt;0,IF(COUNTIF($BI$79:$BP$79,1)=0,TRUE,SUMPRODUCT(($BI$79:$BP$79=1)*($AS$79:$AZ$79&lt;&gt;"")*IF(((UPPER($AS$79:$AZ$79)="BLANK")+(UPPER($AS$79:$AZ$79)="(BLANK)")+(UPPER($AS$79:$AZ$79)="EMPTY")+(UPPER($AS$79:$AZ$79)="(EMPTY)"))&gt;0,IFERROR(('Final Calculation Sheet'!$S$29)&amp;"","")="",ISNUMBER(SEARCH($AS$79:$AZ$79,IFERROR(('Final Calculation Sheet'!$S$29)&amp;"","")))))&gt;0),IF(COUNTIF($BI$79:$BP$79,2)=0,TRUE,SUMPRODUCT(($BI$79:$BP$79=2)*($AS$79:$AZ$79&lt;&gt;"")*IF(((UPPER($AS$79:$AZ$79)="BLANK")+(UPPER($AS$79:$AZ$79)="(BLANK)")+(UPPER($AS$79:$AZ$79)="EMPTY")+(UPPER($AS$79:$AZ$79)="(EMPTY)"))&gt;0,IFERROR(('Final Calculation Sheet'!$S$29)&amp;"","")="",ISNUMBER(SEARCH($AS$79:$AZ$79,IFERROR(('Final Calculation Sheet'!$S$29)&amp;"","")))))&gt;0),IF(COUNTIF($BI$79:$BP$79,3)=0,TRUE,SUMPRODUCT(($BI$79:$BP$79=3)*($AS$79:$AZ$79&lt;&gt;"")*IF(((UPPER($AS$79:$AZ$79)="BLANK")+(UPPER($AS$79:$AZ$79)="(BLANK)")+(UPPER($AS$79:$AZ$79)="EMPTY")+(UPPER($AS$79:$AZ$79)="(EMPTY)"))&gt;0,IFERROR(('Final Calculation Sheet'!$S$29)&amp;"","")="",ISNUMBER(SEARCH($AS$79:$AZ$79,IFERROR(('Final Calculation Sheet'!$S$29)&amp;"","")))))&gt;0),IF(COUNTIF($BI$79:$BP$79,4)=0,TRUE,SUMPRODUCT(($BI$79:$BP$79=4)*($AS$79:$AZ$79&lt;&gt;"")*IF(((UPPER($AS$79:$AZ$79)="BLANK")+(UPPER($AS$79:$AZ$79)="(BLANK)")+(UPPER($AS$79:$AZ$79)="EMPTY")+(UPPER($AS$79:$AZ$79)="(EMPTY)"))&gt;0,IFERROR(('Final Calculation Sheet'!$S$29)&amp;"","")="",ISNUMBER(SEARCH($AS$79:$AZ$79,IFERROR(('Final Calculation Sheet'!$S$29)&amp;"","")))))&gt;0),IF(COUNTIF($BI$79:$BP$79,5)=0,TRUE,SUMPRODUCT(($BI$79:$BP$79=5)*($AS$79:$AZ$79&lt;&gt;"")*IF(((UPPER($AS$79:$AZ$79)="BLANK")+(UPPER($AS$79:$AZ$79)="(BLANK)")+(UPPER($AS$79:$AZ$79)="EMPTY")+(UPPER($AS$79:$AZ$79)="(EMPTY)"))&gt;0,IFERROR(('Final Calculation Sheet'!$S$29)&amp;"","")="",ISNUMBER(SEARCH($AS$79:$AZ$79,IFERROR(('Final Calculation Sheet'!$S$29)&amp;"","")))))&gt;0),IF(COUNTIF($BI$79:$BP$79,6)=0,TRUE,SUMPRODUCT(($BI$79:$BP$79=6)*($AS$79:$AZ$79&lt;&gt;"")*IF(((UPPER($AS$79:$AZ$79)="BLANK")+(UPPER($AS$79:$AZ$79)="(BLANK)")+(UPPER($AS$79:$AZ$79)="EMPTY")+(UPPER($AS$79:$AZ$79)="(EMPTY)"))&gt;0,IFERROR(('Final Calculation Sheet'!$S$29)&amp;"","")="",ISNUMBER(SEARCH($AS$79:$AZ$79,IFERROR(('Final Calculation Sheet'!$S$29)&amp;"","")))))&gt;0),IF(COUNTIF($BI$79:$BP$79,7)=0,TRUE,SUMPRODUCT(($BI$79:$BP$79=7)*($AS$79:$AZ$79&lt;&gt;"")*IF(((UPPER($AS$79:$AZ$79)="BLANK")+(UPPER($AS$79:$AZ$79)="(BLANK)")+(UPPER($AS$79:$AZ$79)="EMPTY")+(UPPER($AS$79:$AZ$79)="(EMPTY)"))&gt;0,IFERROR(('Final Calculation Sheet'!$S$29)&amp;"","")="",ISNUMBER(SEARCH($AS$79:$AZ$79,IFERROR(('Final Calculation Sheet'!$S$29)&amp;"","")))))&gt;0),IF(COUNTIF($BI$79:$BP$79,8)=0,TRUE,SUMPRODUCT(($BI$79:$BP$79=8)*($AS$79:$AZ$79&lt;&gt;"")*IF(((UPPER($AS$79:$AZ$79)="BLANK")+(UPPER($AS$79:$AZ$79)="(BLANK)")+(UPPER($AS$79:$AZ$79)="EMPTY")+(UPPER($AS$79:$AZ$79)="(EMPTY)"))&gt;0,IFERROR(('Final Calculation Sheet'!$S$29)&amp;"","")="",ISNUMBER(SEARCH($AS$79:$AZ$79,IFERROR(('Final Calculation Sheet'!$S$29)&amp;"","")))))&gt;0))))</f>
        <v>1</v>
      </c>
      <c r="CG30">
        <f>IF($U$4="",1,--(AND(SUMPRODUCT(--($AS$80:$AZ$80&lt;&gt;""))&gt;0,IF(COUNTIF($BI$80:$BP$80,1)=0,TRUE,SUMPRODUCT(($BI$80:$BP$80=1)*($AS$80:$AZ$80&lt;&gt;"")*IF(((UPPER($AS$80:$AZ$80)="BLANK")+(UPPER($AS$80:$AZ$80)="(BLANK)")+(UPPER($AS$80:$AZ$80)="EMPTY")+(UPPER($AS$80:$AZ$80)="(EMPTY)"))&gt;0,IFERROR(('Final Calculation Sheet'!$T$29)&amp;"","")="",ISNUMBER(SEARCH($AS$80:$AZ$80,IFERROR(('Final Calculation Sheet'!$T$29)&amp;"","")))))&gt;0),IF(COUNTIF($BI$80:$BP$80,2)=0,TRUE,SUMPRODUCT(($BI$80:$BP$80=2)*($AS$80:$AZ$80&lt;&gt;"")*IF(((UPPER($AS$80:$AZ$80)="BLANK")+(UPPER($AS$80:$AZ$80)="(BLANK)")+(UPPER($AS$80:$AZ$80)="EMPTY")+(UPPER($AS$80:$AZ$80)="(EMPTY)"))&gt;0,IFERROR(('Final Calculation Sheet'!$T$29)&amp;"","")="",ISNUMBER(SEARCH($AS$80:$AZ$80,IFERROR(('Final Calculation Sheet'!$T$29)&amp;"","")))))&gt;0),IF(COUNTIF($BI$80:$BP$80,3)=0,TRUE,SUMPRODUCT(($BI$80:$BP$80=3)*($AS$80:$AZ$80&lt;&gt;"")*IF(((UPPER($AS$80:$AZ$80)="BLANK")+(UPPER($AS$80:$AZ$80)="(BLANK)")+(UPPER($AS$80:$AZ$80)="EMPTY")+(UPPER($AS$80:$AZ$80)="(EMPTY)"))&gt;0,IFERROR(('Final Calculation Sheet'!$T$29)&amp;"","")="",ISNUMBER(SEARCH($AS$80:$AZ$80,IFERROR(('Final Calculation Sheet'!$T$29)&amp;"","")))))&gt;0),IF(COUNTIF($BI$80:$BP$80,4)=0,TRUE,SUMPRODUCT(($BI$80:$BP$80=4)*($AS$80:$AZ$80&lt;&gt;"")*IF(((UPPER($AS$80:$AZ$80)="BLANK")+(UPPER($AS$80:$AZ$80)="(BLANK)")+(UPPER($AS$80:$AZ$80)="EMPTY")+(UPPER($AS$80:$AZ$80)="(EMPTY)"))&gt;0,IFERROR(('Final Calculation Sheet'!$T$29)&amp;"","")="",ISNUMBER(SEARCH($AS$80:$AZ$80,IFERROR(('Final Calculation Sheet'!$T$29)&amp;"","")))))&gt;0),IF(COUNTIF($BI$80:$BP$80,5)=0,TRUE,SUMPRODUCT(($BI$80:$BP$80=5)*($AS$80:$AZ$80&lt;&gt;"")*IF(((UPPER($AS$80:$AZ$80)="BLANK")+(UPPER($AS$80:$AZ$80)="(BLANK)")+(UPPER($AS$80:$AZ$80)="EMPTY")+(UPPER($AS$80:$AZ$80)="(EMPTY)"))&gt;0,IFERROR(('Final Calculation Sheet'!$T$29)&amp;"","")="",ISNUMBER(SEARCH($AS$80:$AZ$80,IFERROR(('Final Calculation Sheet'!$T$29)&amp;"","")))))&gt;0),IF(COUNTIF($BI$80:$BP$80,6)=0,TRUE,SUMPRODUCT(($BI$80:$BP$80=6)*($AS$80:$AZ$80&lt;&gt;"")*IF(((UPPER($AS$80:$AZ$80)="BLANK")+(UPPER($AS$80:$AZ$80)="(BLANK)")+(UPPER($AS$80:$AZ$80)="EMPTY")+(UPPER($AS$80:$AZ$80)="(EMPTY)"))&gt;0,IFERROR(('Final Calculation Sheet'!$T$29)&amp;"","")="",ISNUMBER(SEARCH($AS$80:$AZ$80,IFERROR(('Final Calculation Sheet'!$T$29)&amp;"","")))))&gt;0),IF(COUNTIF($BI$80:$BP$80,7)=0,TRUE,SUMPRODUCT(($BI$80:$BP$80=7)*($AS$80:$AZ$80&lt;&gt;"")*IF(((UPPER($AS$80:$AZ$80)="BLANK")+(UPPER($AS$80:$AZ$80)="(BLANK)")+(UPPER($AS$80:$AZ$80)="EMPTY")+(UPPER($AS$80:$AZ$80)="(EMPTY)"))&gt;0,IFERROR(('Final Calculation Sheet'!$T$29)&amp;"","")="",ISNUMBER(SEARCH($AS$80:$AZ$80,IFERROR(('Final Calculation Sheet'!$T$29)&amp;"","")))))&gt;0),IF(COUNTIF($BI$80:$BP$80,8)=0,TRUE,SUMPRODUCT(($BI$80:$BP$80=8)*($AS$80:$AZ$80&lt;&gt;"")*IF(((UPPER($AS$80:$AZ$80)="BLANK")+(UPPER($AS$80:$AZ$80)="(BLANK)")+(UPPER($AS$80:$AZ$80)="EMPTY")+(UPPER($AS$80:$AZ$80)="(EMPTY)"))&gt;0,IFERROR(('Final Calculation Sheet'!$T$29)&amp;"","")="",ISNUMBER(SEARCH($AS$80:$AZ$80,IFERROR(('Final Calculation Sheet'!$T$29)&amp;"","")))))&gt;0))))</f>
        <v>1</v>
      </c>
      <c r="CH30">
        <f>IF($V$4="",1,--(AND(SUMPRODUCT(--($AS$81:$AZ$81&lt;&gt;""))&gt;0,IF(COUNTIF($BI$81:$BP$81,1)=0,TRUE,SUMPRODUCT(($BI$81:$BP$81=1)*($AS$81:$AZ$81&lt;&gt;"")*IF(((UPPER($AS$81:$AZ$81)="BLANK")+(UPPER($AS$81:$AZ$81)="(BLANK)")+(UPPER($AS$81:$AZ$81)="EMPTY")+(UPPER($AS$81:$AZ$81)="(EMPTY)"))&gt;0,IFERROR(('Final Calculation Sheet'!$U$29)&amp;"","")="",ISNUMBER(SEARCH($AS$81:$AZ$81,IFERROR(('Final Calculation Sheet'!$U$29)&amp;"","")))))&gt;0),IF(COUNTIF($BI$81:$BP$81,2)=0,TRUE,SUMPRODUCT(($BI$81:$BP$81=2)*($AS$81:$AZ$81&lt;&gt;"")*IF(((UPPER($AS$81:$AZ$81)="BLANK")+(UPPER($AS$81:$AZ$81)="(BLANK)")+(UPPER($AS$81:$AZ$81)="EMPTY")+(UPPER($AS$81:$AZ$81)="(EMPTY)"))&gt;0,IFERROR(('Final Calculation Sheet'!$U$29)&amp;"","")="",ISNUMBER(SEARCH($AS$81:$AZ$81,IFERROR(('Final Calculation Sheet'!$U$29)&amp;"","")))))&gt;0),IF(COUNTIF($BI$81:$BP$81,3)=0,TRUE,SUMPRODUCT(($BI$81:$BP$81=3)*($AS$81:$AZ$81&lt;&gt;"")*IF(((UPPER($AS$81:$AZ$81)="BLANK")+(UPPER($AS$81:$AZ$81)="(BLANK)")+(UPPER($AS$81:$AZ$81)="EMPTY")+(UPPER($AS$81:$AZ$81)="(EMPTY)"))&gt;0,IFERROR(('Final Calculation Sheet'!$U$29)&amp;"","")="",ISNUMBER(SEARCH($AS$81:$AZ$81,IFERROR(('Final Calculation Sheet'!$U$29)&amp;"","")))))&gt;0),IF(COUNTIF($BI$81:$BP$81,4)=0,TRUE,SUMPRODUCT(($BI$81:$BP$81=4)*($AS$81:$AZ$81&lt;&gt;"")*IF(((UPPER($AS$81:$AZ$81)="BLANK")+(UPPER($AS$81:$AZ$81)="(BLANK)")+(UPPER($AS$81:$AZ$81)="EMPTY")+(UPPER($AS$81:$AZ$81)="(EMPTY)"))&gt;0,IFERROR(('Final Calculation Sheet'!$U$29)&amp;"","")="",ISNUMBER(SEARCH($AS$81:$AZ$81,IFERROR(('Final Calculation Sheet'!$U$29)&amp;"","")))))&gt;0),IF(COUNTIF($BI$81:$BP$81,5)=0,TRUE,SUMPRODUCT(($BI$81:$BP$81=5)*($AS$81:$AZ$81&lt;&gt;"")*IF(((UPPER($AS$81:$AZ$81)="BLANK")+(UPPER($AS$81:$AZ$81)="(BLANK)")+(UPPER($AS$81:$AZ$81)="EMPTY")+(UPPER($AS$81:$AZ$81)="(EMPTY)"))&gt;0,IFERROR(('Final Calculation Sheet'!$U$29)&amp;"","")="",ISNUMBER(SEARCH($AS$81:$AZ$81,IFERROR(('Final Calculation Sheet'!$U$29)&amp;"","")))))&gt;0),IF(COUNTIF($BI$81:$BP$81,6)=0,TRUE,SUMPRODUCT(($BI$81:$BP$81=6)*($AS$81:$AZ$81&lt;&gt;"")*IF(((UPPER($AS$81:$AZ$81)="BLANK")+(UPPER($AS$81:$AZ$81)="(BLANK)")+(UPPER($AS$81:$AZ$81)="EMPTY")+(UPPER($AS$81:$AZ$81)="(EMPTY)"))&gt;0,IFERROR(('Final Calculation Sheet'!$U$29)&amp;"","")="",ISNUMBER(SEARCH($AS$81:$AZ$81,IFERROR(('Final Calculation Sheet'!$U$29)&amp;"","")))))&gt;0),IF(COUNTIF($BI$81:$BP$81,7)=0,TRUE,SUMPRODUCT(($BI$81:$BP$81=7)*($AS$81:$AZ$81&lt;&gt;"")*IF(((UPPER($AS$81:$AZ$81)="BLANK")+(UPPER($AS$81:$AZ$81)="(BLANK)")+(UPPER($AS$81:$AZ$81)="EMPTY")+(UPPER($AS$81:$AZ$81)="(EMPTY)"))&gt;0,IFERROR(('Final Calculation Sheet'!$U$29)&amp;"","")="",ISNUMBER(SEARCH($AS$81:$AZ$81,IFERROR(('Final Calculation Sheet'!$U$29)&amp;"","")))))&gt;0),IF(COUNTIF($BI$81:$BP$81,8)=0,TRUE,SUMPRODUCT(($BI$81:$BP$81=8)*($AS$81:$AZ$81&lt;&gt;"")*IF(((UPPER($AS$81:$AZ$81)="BLANK")+(UPPER($AS$81:$AZ$81)="(BLANK)")+(UPPER($AS$81:$AZ$81)="EMPTY")+(UPPER($AS$81:$AZ$81)="(EMPTY)"))&gt;0,IFERROR(('Final Calculation Sheet'!$U$29)&amp;"","")="",ISNUMBER(SEARCH($AS$81:$AZ$81,IFERROR(('Final Calculation Sheet'!$U$29)&amp;"","")))))&gt;0))))</f>
        <v>1</v>
      </c>
      <c r="CI30">
        <f>IF($W$4="",1,--(AND(SUMPRODUCT(--($AS$82:$AZ$82&lt;&gt;""))&gt;0,IF(COUNTIF($BI$82:$BP$82,1)=0,TRUE,SUMPRODUCT(($BI$82:$BP$82=1)*($AS$82:$AZ$82&lt;&gt;"")*IF(((UPPER($AS$82:$AZ$82)="BLANK")+(UPPER($AS$82:$AZ$82)="(BLANK)")+(UPPER($AS$82:$AZ$82)="EMPTY")+(UPPER($AS$82:$AZ$82)="(EMPTY)"))&gt;0,IFERROR(('Final Calculation Sheet'!$V$29)&amp;"","")="",ISNUMBER(SEARCH($AS$82:$AZ$82,IFERROR(('Final Calculation Sheet'!$V$29)&amp;"","")))))&gt;0),IF(COUNTIF($BI$82:$BP$82,2)=0,TRUE,SUMPRODUCT(($BI$82:$BP$82=2)*($AS$82:$AZ$82&lt;&gt;"")*IF(((UPPER($AS$82:$AZ$82)="BLANK")+(UPPER($AS$82:$AZ$82)="(BLANK)")+(UPPER($AS$82:$AZ$82)="EMPTY")+(UPPER($AS$82:$AZ$82)="(EMPTY)"))&gt;0,IFERROR(('Final Calculation Sheet'!$V$29)&amp;"","")="",ISNUMBER(SEARCH($AS$82:$AZ$82,IFERROR(('Final Calculation Sheet'!$V$29)&amp;"","")))))&gt;0),IF(COUNTIF($BI$82:$BP$82,3)=0,TRUE,SUMPRODUCT(($BI$82:$BP$82=3)*($AS$82:$AZ$82&lt;&gt;"")*IF(((UPPER($AS$82:$AZ$82)="BLANK")+(UPPER($AS$82:$AZ$82)="(BLANK)")+(UPPER($AS$82:$AZ$82)="EMPTY")+(UPPER($AS$82:$AZ$82)="(EMPTY)"))&gt;0,IFERROR(('Final Calculation Sheet'!$V$29)&amp;"","")="",ISNUMBER(SEARCH($AS$82:$AZ$82,IFERROR(('Final Calculation Sheet'!$V$29)&amp;"","")))))&gt;0),IF(COUNTIF($BI$82:$BP$82,4)=0,TRUE,SUMPRODUCT(($BI$82:$BP$82=4)*($AS$82:$AZ$82&lt;&gt;"")*IF(((UPPER($AS$82:$AZ$82)="BLANK")+(UPPER($AS$82:$AZ$82)="(BLANK)")+(UPPER($AS$82:$AZ$82)="EMPTY")+(UPPER($AS$82:$AZ$82)="(EMPTY)"))&gt;0,IFERROR(('Final Calculation Sheet'!$V$29)&amp;"","")="",ISNUMBER(SEARCH($AS$82:$AZ$82,IFERROR(('Final Calculation Sheet'!$V$29)&amp;"","")))))&gt;0),IF(COUNTIF($BI$82:$BP$82,5)=0,TRUE,SUMPRODUCT(($BI$82:$BP$82=5)*($AS$82:$AZ$82&lt;&gt;"")*IF(((UPPER($AS$82:$AZ$82)="BLANK")+(UPPER($AS$82:$AZ$82)="(BLANK)")+(UPPER($AS$82:$AZ$82)="EMPTY")+(UPPER($AS$82:$AZ$82)="(EMPTY)"))&gt;0,IFERROR(('Final Calculation Sheet'!$V$29)&amp;"","")="",ISNUMBER(SEARCH($AS$82:$AZ$82,IFERROR(('Final Calculation Sheet'!$V$29)&amp;"","")))))&gt;0),IF(COUNTIF($BI$82:$BP$82,6)=0,TRUE,SUMPRODUCT(($BI$82:$BP$82=6)*($AS$82:$AZ$82&lt;&gt;"")*IF(((UPPER($AS$82:$AZ$82)="BLANK")+(UPPER($AS$82:$AZ$82)="(BLANK)")+(UPPER($AS$82:$AZ$82)="EMPTY")+(UPPER($AS$82:$AZ$82)="(EMPTY)"))&gt;0,IFERROR(('Final Calculation Sheet'!$V$29)&amp;"","")="",ISNUMBER(SEARCH($AS$82:$AZ$82,IFERROR(('Final Calculation Sheet'!$V$29)&amp;"","")))))&gt;0),IF(COUNTIF($BI$82:$BP$82,7)=0,TRUE,SUMPRODUCT(($BI$82:$BP$82=7)*($AS$82:$AZ$82&lt;&gt;"")*IF(((UPPER($AS$82:$AZ$82)="BLANK")+(UPPER($AS$82:$AZ$82)="(BLANK)")+(UPPER($AS$82:$AZ$82)="EMPTY")+(UPPER($AS$82:$AZ$82)="(EMPTY)"))&gt;0,IFERROR(('Final Calculation Sheet'!$V$29)&amp;"","")="",ISNUMBER(SEARCH($AS$82:$AZ$82,IFERROR(('Final Calculation Sheet'!$V$29)&amp;"","")))))&gt;0),IF(COUNTIF($BI$82:$BP$82,8)=0,TRUE,SUMPRODUCT(($BI$82:$BP$82=8)*($AS$82:$AZ$82&lt;&gt;"")*IF(((UPPER($AS$82:$AZ$82)="BLANK")+(UPPER($AS$82:$AZ$82)="(BLANK)")+(UPPER($AS$82:$AZ$82)="EMPTY")+(UPPER($AS$82:$AZ$82)="(EMPTY)"))&gt;0,IFERROR(('Final Calculation Sheet'!$V$29)&amp;"","")="",ISNUMBER(SEARCH($AS$82:$AZ$82,IFERROR(('Final Calculation Sheet'!$V$29)&amp;"","")))))&gt;0))))</f>
        <v>1</v>
      </c>
      <c r="CJ30">
        <f>IF($X$4="",1,--(AND(SUMPRODUCT(--($AS$83:$AZ$83&lt;&gt;""))&gt;0,IF(COUNTIF($BI$83:$BP$83,1)=0,TRUE,SUMPRODUCT(($BI$83:$BP$83=1)*($AS$83:$AZ$83&lt;&gt;"")*IF(((UPPER($AS$83:$AZ$83)="BLANK")+(UPPER($AS$83:$AZ$83)="(BLANK)")+(UPPER($AS$83:$AZ$83)="EMPTY")+(UPPER($AS$83:$AZ$83)="(EMPTY)"))&gt;0,IFERROR(('Final Calculation Sheet'!$W$29)&amp;"","")="",ISNUMBER(SEARCH($AS$83:$AZ$83,IFERROR(('Final Calculation Sheet'!$W$29)&amp;"","")))))&gt;0),IF(COUNTIF($BI$83:$BP$83,2)=0,TRUE,SUMPRODUCT(($BI$83:$BP$83=2)*($AS$83:$AZ$83&lt;&gt;"")*IF(((UPPER($AS$83:$AZ$83)="BLANK")+(UPPER($AS$83:$AZ$83)="(BLANK)")+(UPPER($AS$83:$AZ$83)="EMPTY")+(UPPER($AS$83:$AZ$83)="(EMPTY)"))&gt;0,IFERROR(('Final Calculation Sheet'!$W$29)&amp;"","")="",ISNUMBER(SEARCH($AS$83:$AZ$83,IFERROR(('Final Calculation Sheet'!$W$29)&amp;"","")))))&gt;0),IF(COUNTIF($BI$83:$BP$83,3)=0,TRUE,SUMPRODUCT(($BI$83:$BP$83=3)*($AS$83:$AZ$83&lt;&gt;"")*IF(((UPPER($AS$83:$AZ$83)="BLANK")+(UPPER($AS$83:$AZ$83)="(BLANK)")+(UPPER($AS$83:$AZ$83)="EMPTY")+(UPPER($AS$83:$AZ$83)="(EMPTY)"))&gt;0,IFERROR(('Final Calculation Sheet'!$W$29)&amp;"","")="",ISNUMBER(SEARCH($AS$83:$AZ$83,IFERROR(('Final Calculation Sheet'!$W$29)&amp;"","")))))&gt;0),IF(COUNTIF($BI$83:$BP$83,4)=0,TRUE,SUMPRODUCT(($BI$83:$BP$83=4)*($AS$83:$AZ$83&lt;&gt;"")*IF(((UPPER($AS$83:$AZ$83)="BLANK")+(UPPER($AS$83:$AZ$83)="(BLANK)")+(UPPER($AS$83:$AZ$83)="EMPTY")+(UPPER($AS$83:$AZ$83)="(EMPTY)"))&gt;0,IFERROR(('Final Calculation Sheet'!$W$29)&amp;"","")="",ISNUMBER(SEARCH($AS$83:$AZ$83,IFERROR(('Final Calculation Sheet'!$W$29)&amp;"","")))))&gt;0),IF(COUNTIF($BI$83:$BP$83,5)=0,TRUE,SUMPRODUCT(($BI$83:$BP$83=5)*($AS$83:$AZ$83&lt;&gt;"")*IF(((UPPER($AS$83:$AZ$83)="BLANK")+(UPPER($AS$83:$AZ$83)="(BLANK)")+(UPPER($AS$83:$AZ$83)="EMPTY")+(UPPER($AS$83:$AZ$83)="(EMPTY)"))&gt;0,IFERROR(('Final Calculation Sheet'!$W$29)&amp;"","")="",ISNUMBER(SEARCH($AS$83:$AZ$83,IFERROR(('Final Calculation Sheet'!$W$29)&amp;"","")))))&gt;0),IF(COUNTIF($BI$83:$BP$83,6)=0,TRUE,SUMPRODUCT(($BI$83:$BP$83=6)*($AS$83:$AZ$83&lt;&gt;"")*IF(((UPPER($AS$83:$AZ$83)="BLANK")+(UPPER($AS$83:$AZ$83)="(BLANK)")+(UPPER($AS$83:$AZ$83)="EMPTY")+(UPPER($AS$83:$AZ$83)="(EMPTY)"))&gt;0,IFERROR(('Final Calculation Sheet'!$W$29)&amp;"","")="",ISNUMBER(SEARCH($AS$83:$AZ$83,IFERROR(('Final Calculation Sheet'!$W$29)&amp;"","")))))&gt;0),IF(COUNTIF($BI$83:$BP$83,7)=0,TRUE,SUMPRODUCT(($BI$83:$BP$83=7)*($AS$83:$AZ$83&lt;&gt;"")*IF(((UPPER($AS$83:$AZ$83)="BLANK")+(UPPER($AS$83:$AZ$83)="(BLANK)")+(UPPER($AS$83:$AZ$83)="EMPTY")+(UPPER($AS$83:$AZ$83)="(EMPTY)"))&gt;0,IFERROR(('Final Calculation Sheet'!$W$29)&amp;"","")="",ISNUMBER(SEARCH($AS$83:$AZ$83,IFERROR(('Final Calculation Sheet'!$W$29)&amp;"","")))))&gt;0),IF(COUNTIF($BI$83:$BP$83,8)=0,TRUE,SUMPRODUCT(($BI$83:$BP$83=8)*($AS$83:$AZ$83&lt;&gt;"")*IF(((UPPER($AS$83:$AZ$83)="BLANK")+(UPPER($AS$83:$AZ$83)="(BLANK)")+(UPPER($AS$83:$AZ$83)="EMPTY")+(UPPER($AS$83:$AZ$83)="(EMPTY)"))&gt;0,IFERROR(('Final Calculation Sheet'!$W$29)&amp;"","")="",ISNUMBER(SEARCH($AS$83:$AZ$83,IFERROR(('Final Calculation Sheet'!$W$29)&amp;"","")))))&gt;0))))</f>
        <v>1</v>
      </c>
      <c r="CK30">
        <f>IF($Y$4="",1,--(AND(SUMPRODUCT(--($AS$84:$AZ$84&lt;&gt;""))&gt;0,IF(COUNTIF($BI$84:$BP$84,1)=0,TRUE,SUMPRODUCT(($BI$84:$BP$84=1)*($AS$84:$AZ$84&lt;&gt;"")*IF(((UPPER($AS$84:$AZ$84)="BLANK")+(UPPER($AS$84:$AZ$84)="(BLANK)")+(UPPER($AS$84:$AZ$84)="EMPTY")+(UPPER($AS$84:$AZ$84)="(EMPTY)"))&gt;0,IFERROR(('Final Calculation Sheet'!$X$29)&amp;"","")="",ISNUMBER(SEARCH($AS$84:$AZ$84,IFERROR(('Final Calculation Sheet'!$X$29)&amp;"","")))))&gt;0),IF(COUNTIF($BI$84:$BP$84,2)=0,TRUE,SUMPRODUCT(($BI$84:$BP$84=2)*($AS$84:$AZ$84&lt;&gt;"")*IF(((UPPER($AS$84:$AZ$84)="BLANK")+(UPPER($AS$84:$AZ$84)="(BLANK)")+(UPPER($AS$84:$AZ$84)="EMPTY")+(UPPER($AS$84:$AZ$84)="(EMPTY)"))&gt;0,IFERROR(('Final Calculation Sheet'!$X$29)&amp;"","")="",ISNUMBER(SEARCH($AS$84:$AZ$84,IFERROR(('Final Calculation Sheet'!$X$29)&amp;"","")))))&gt;0),IF(COUNTIF($BI$84:$BP$84,3)=0,TRUE,SUMPRODUCT(($BI$84:$BP$84=3)*($AS$84:$AZ$84&lt;&gt;"")*IF(((UPPER($AS$84:$AZ$84)="BLANK")+(UPPER($AS$84:$AZ$84)="(BLANK)")+(UPPER($AS$84:$AZ$84)="EMPTY")+(UPPER($AS$84:$AZ$84)="(EMPTY)"))&gt;0,IFERROR(('Final Calculation Sheet'!$X$29)&amp;"","")="",ISNUMBER(SEARCH($AS$84:$AZ$84,IFERROR(('Final Calculation Sheet'!$X$29)&amp;"","")))))&gt;0),IF(COUNTIF($BI$84:$BP$84,4)=0,TRUE,SUMPRODUCT(($BI$84:$BP$84=4)*($AS$84:$AZ$84&lt;&gt;"")*IF(((UPPER($AS$84:$AZ$84)="BLANK")+(UPPER($AS$84:$AZ$84)="(BLANK)")+(UPPER($AS$84:$AZ$84)="EMPTY")+(UPPER($AS$84:$AZ$84)="(EMPTY)"))&gt;0,IFERROR(('Final Calculation Sheet'!$X$29)&amp;"","")="",ISNUMBER(SEARCH($AS$84:$AZ$84,IFERROR(('Final Calculation Sheet'!$X$29)&amp;"","")))))&gt;0),IF(COUNTIF($BI$84:$BP$84,5)=0,TRUE,SUMPRODUCT(($BI$84:$BP$84=5)*($AS$84:$AZ$84&lt;&gt;"")*IF(((UPPER($AS$84:$AZ$84)="BLANK")+(UPPER($AS$84:$AZ$84)="(BLANK)")+(UPPER($AS$84:$AZ$84)="EMPTY")+(UPPER($AS$84:$AZ$84)="(EMPTY)"))&gt;0,IFERROR(('Final Calculation Sheet'!$X$29)&amp;"","")="",ISNUMBER(SEARCH($AS$84:$AZ$84,IFERROR(('Final Calculation Sheet'!$X$29)&amp;"","")))))&gt;0),IF(COUNTIF($BI$84:$BP$84,6)=0,TRUE,SUMPRODUCT(($BI$84:$BP$84=6)*($AS$84:$AZ$84&lt;&gt;"")*IF(((UPPER($AS$84:$AZ$84)="BLANK")+(UPPER($AS$84:$AZ$84)="(BLANK)")+(UPPER($AS$84:$AZ$84)="EMPTY")+(UPPER($AS$84:$AZ$84)="(EMPTY)"))&gt;0,IFERROR(('Final Calculation Sheet'!$X$29)&amp;"","")="",ISNUMBER(SEARCH($AS$84:$AZ$84,IFERROR(('Final Calculation Sheet'!$X$29)&amp;"","")))))&gt;0),IF(COUNTIF($BI$84:$BP$84,7)=0,TRUE,SUMPRODUCT(($BI$84:$BP$84=7)*($AS$84:$AZ$84&lt;&gt;"")*IF(((UPPER($AS$84:$AZ$84)="BLANK")+(UPPER($AS$84:$AZ$84)="(BLANK)")+(UPPER($AS$84:$AZ$84)="EMPTY")+(UPPER($AS$84:$AZ$84)="(EMPTY)"))&gt;0,IFERROR(('Final Calculation Sheet'!$X$29)&amp;"","")="",ISNUMBER(SEARCH($AS$84:$AZ$84,IFERROR(('Final Calculation Sheet'!$X$29)&amp;"","")))))&gt;0),IF(COUNTIF($BI$84:$BP$84,8)=0,TRUE,SUMPRODUCT(($BI$84:$BP$84=8)*($AS$84:$AZ$84&lt;&gt;"")*IF(((UPPER($AS$84:$AZ$84)="BLANK")+(UPPER($AS$84:$AZ$84)="(BLANK)")+(UPPER($AS$84:$AZ$84)="EMPTY")+(UPPER($AS$84:$AZ$84)="(EMPTY)"))&gt;0,IFERROR(('Final Calculation Sheet'!$X$29)&amp;"","")="",ISNUMBER(SEARCH($AS$84:$AZ$84,IFERROR(('Final Calculation Sheet'!$X$29)&amp;"","")))))&gt;0))))</f>
        <v>1</v>
      </c>
      <c r="CL30">
        <f>IF($Z$4="",1,--(AND(SUMPRODUCT(--($AS$85:$AZ$85&lt;&gt;""))&gt;0,IF(COUNTIF($BI$85:$BP$85,1)=0,TRUE,SUMPRODUCT(($BI$85:$BP$85=1)*($AS$85:$AZ$85&lt;&gt;"")*IF(((UPPER($AS$85:$AZ$85)="BLANK")+(UPPER($AS$85:$AZ$85)="(BLANK)")+(UPPER($AS$85:$AZ$85)="EMPTY")+(UPPER($AS$85:$AZ$85)="(EMPTY)"))&gt;0,IFERROR(('Final Calculation Sheet'!$Y$29)&amp;"","")="",ISNUMBER(SEARCH($AS$85:$AZ$85,IFERROR(('Final Calculation Sheet'!$Y$29)&amp;"","")))))&gt;0),IF(COUNTIF($BI$85:$BP$85,2)=0,TRUE,SUMPRODUCT(($BI$85:$BP$85=2)*($AS$85:$AZ$85&lt;&gt;"")*IF(((UPPER($AS$85:$AZ$85)="BLANK")+(UPPER($AS$85:$AZ$85)="(BLANK)")+(UPPER($AS$85:$AZ$85)="EMPTY")+(UPPER($AS$85:$AZ$85)="(EMPTY)"))&gt;0,IFERROR(('Final Calculation Sheet'!$Y$29)&amp;"","")="",ISNUMBER(SEARCH($AS$85:$AZ$85,IFERROR(('Final Calculation Sheet'!$Y$29)&amp;"","")))))&gt;0),IF(COUNTIF($BI$85:$BP$85,3)=0,TRUE,SUMPRODUCT(($BI$85:$BP$85=3)*($AS$85:$AZ$85&lt;&gt;"")*IF(((UPPER($AS$85:$AZ$85)="BLANK")+(UPPER($AS$85:$AZ$85)="(BLANK)")+(UPPER($AS$85:$AZ$85)="EMPTY")+(UPPER($AS$85:$AZ$85)="(EMPTY)"))&gt;0,IFERROR(('Final Calculation Sheet'!$Y$29)&amp;"","")="",ISNUMBER(SEARCH($AS$85:$AZ$85,IFERROR(('Final Calculation Sheet'!$Y$29)&amp;"","")))))&gt;0),IF(COUNTIF($BI$85:$BP$85,4)=0,TRUE,SUMPRODUCT(($BI$85:$BP$85=4)*($AS$85:$AZ$85&lt;&gt;"")*IF(((UPPER($AS$85:$AZ$85)="BLANK")+(UPPER($AS$85:$AZ$85)="(BLANK)")+(UPPER($AS$85:$AZ$85)="EMPTY")+(UPPER($AS$85:$AZ$85)="(EMPTY)"))&gt;0,IFERROR(('Final Calculation Sheet'!$Y$29)&amp;"","")="",ISNUMBER(SEARCH($AS$85:$AZ$85,IFERROR(('Final Calculation Sheet'!$Y$29)&amp;"","")))))&gt;0),IF(COUNTIF($BI$85:$BP$85,5)=0,TRUE,SUMPRODUCT(($BI$85:$BP$85=5)*($AS$85:$AZ$85&lt;&gt;"")*IF(((UPPER($AS$85:$AZ$85)="BLANK")+(UPPER($AS$85:$AZ$85)="(BLANK)")+(UPPER($AS$85:$AZ$85)="EMPTY")+(UPPER($AS$85:$AZ$85)="(EMPTY)"))&gt;0,IFERROR(('Final Calculation Sheet'!$Y$29)&amp;"","")="",ISNUMBER(SEARCH($AS$85:$AZ$85,IFERROR(('Final Calculation Sheet'!$Y$29)&amp;"","")))))&gt;0),IF(COUNTIF($BI$85:$BP$85,6)=0,TRUE,SUMPRODUCT(($BI$85:$BP$85=6)*($AS$85:$AZ$85&lt;&gt;"")*IF(((UPPER($AS$85:$AZ$85)="BLANK")+(UPPER($AS$85:$AZ$85)="(BLANK)")+(UPPER($AS$85:$AZ$85)="EMPTY")+(UPPER($AS$85:$AZ$85)="(EMPTY)"))&gt;0,IFERROR(('Final Calculation Sheet'!$Y$29)&amp;"","")="",ISNUMBER(SEARCH($AS$85:$AZ$85,IFERROR(('Final Calculation Sheet'!$Y$29)&amp;"","")))))&gt;0),IF(COUNTIF($BI$85:$BP$85,7)=0,TRUE,SUMPRODUCT(($BI$85:$BP$85=7)*($AS$85:$AZ$85&lt;&gt;"")*IF(((UPPER($AS$85:$AZ$85)="BLANK")+(UPPER($AS$85:$AZ$85)="(BLANK)")+(UPPER($AS$85:$AZ$85)="EMPTY")+(UPPER($AS$85:$AZ$85)="(EMPTY)"))&gt;0,IFERROR(('Final Calculation Sheet'!$Y$29)&amp;"","")="",ISNUMBER(SEARCH($AS$85:$AZ$85,IFERROR(('Final Calculation Sheet'!$Y$29)&amp;"","")))))&gt;0),IF(COUNTIF($BI$85:$BP$85,8)=0,TRUE,SUMPRODUCT(($BI$85:$BP$85=8)*($AS$85:$AZ$85&lt;&gt;"")*IF(((UPPER($AS$85:$AZ$85)="BLANK")+(UPPER($AS$85:$AZ$85)="(BLANK)")+(UPPER($AS$85:$AZ$85)="EMPTY")+(UPPER($AS$85:$AZ$85)="(EMPTY)"))&gt;0,IFERROR(('Final Calculation Sheet'!$Y$29)&amp;"","")="",ISNUMBER(SEARCH($AS$85:$AZ$85,IFERROR(('Final Calculation Sheet'!$Y$29)&amp;"","")))))&gt;0))))</f>
        <v>1</v>
      </c>
      <c r="CM30">
        <f>IF($AA$4="",1,--(AND(SUMPRODUCT(--($AS$86:$AZ$86&lt;&gt;""))&gt;0,IF(COUNTIF($BI$86:$BP$86,1)=0,TRUE,SUMPRODUCT(($BI$86:$BP$86=1)*($AS$86:$AZ$86&lt;&gt;"")*IF(((UPPER($AS$86:$AZ$86)="BLANK")+(UPPER($AS$86:$AZ$86)="(BLANK)")+(UPPER($AS$86:$AZ$86)="EMPTY")+(UPPER($AS$86:$AZ$86)="(EMPTY)"))&gt;0,IFERROR(('Final Calculation Sheet'!$Z$29)&amp;"","")="",ISNUMBER(SEARCH($AS$86:$AZ$86,IFERROR(('Final Calculation Sheet'!$Z$29)&amp;"","")))))&gt;0),IF(COUNTIF($BI$86:$BP$86,2)=0,TRUE,SUMPRODUCT(($BI$86:$BP$86=2)*($AS$86:$AZ$86&lt;&gt;"")*IF(((UPPER($AS$86:$AZ$86)="BLANK")+(UPPER($AS$86:$AZ$86)="(BLANK)")+(UPPER($AS$86:$AZ$86)="EMPTY")+(UPPER($AS$86:$AZ$86)="(EMPTY)"))&gt;0,IFERROR(('Final Calculation Sheet'!$Z$29)&amp;"","")="",ISNUMBER(SEARCH($AS$86:$AZ$86,IFERROR(('Final Calculation Sheet'!$Z$29)&amp;"","")))))&gt;0),IF(COUNTIF($BI$86:$BP$86,3)=0,TRUE,SUMPRODUCT(($BI$86:$BP$86=3)*($AS$86:$AZ$86&lt;&gt;"")*IF(((UPPER($AS$86:$AZ$86)="BLANK")+(UPPER($AS$86:$AZ$86)="(BLANK)")+(UPPER($AS$86:$AZ$86)="EMPTY")+(UPPER($AS$86:$AZ$86)="(EMPTY)"))&gt;0,IFERROR(('Final Calculation Sheet'!$Z$29)&amp;"","")="",ISNUMBER(SEARCH($AS$86:$AZ$86,IFERROR(('Final Calculation Sheet'!$Z$29)&amp;"","")))))&gt;0),IF(COUNTIF($BI$86:$BP$86,4)=0,TRUE,SUMPRODUCT(($BI$86:$BP$86=4)*($AS$86:$AZ$86&lt;&gt;"")*IF(((UPPER($AS$86:$AZ$86)="BLANK")+(UPPER($AS$86:$AZ$86)="(BLANK)")+(UPPER($AS$86:$AZ$86)="EMPTY")+(UPPER($AS$86:$AZ$86)="(EMPTY)"))&gt;0,IFERROR(('Final Calculation Sheet'!$Z$29)&amp;"","")="",ISNUMBER(SEARCH($AS$86:$AZ$86,IFERROR(('Final Calculation Sheet'!$Z$29)&amp;"","")))))&gt;0),IF(COUNTIF($BI$86:$BP$86,5)=0,TRUE,SUMPRODUCT(($BI$86:$BP$86=5)*($AS$86:$AZ$86&lt;&gt;"")*IF(((UPPER($AS$86:$AZ$86)="BLANK")+(UPPER($AS$86:$AZ$86)="(BLANK)")+(UPPER($AS$86:$AZ$86)="EMPTY")+(UPPER($AS$86:$AZ$86)="(EMPTY)"))&gt;0,IFERROR(('Final Calculation Sheet'!$Z$29)&amp;"","")="",ISNUMBER(SEARCH($AS$86:$AZ$86,IFERROR(('Final Calculation Sheet'!$Z$29)&amp;"","")))))&gt;0),IF(COUNTIF($BI$86:$BP$86,6)=0,TRUE,SUMPRODUCT(($BI$86:$BP$86=6)*($AS$86:$AZ$86&lt;&gt;"")*IF(((UPPER($AS$86:$AZ$86)="BLANK")+(UPPER($AS$86:$AZ$86)="(BLANK)")+(UPPER($AS$86:$AZ$86)="EMPTY")+(UPPER($AS$86:$AZ$86)="(EMPTY)"))&gt;0,IFERROR(('Final Calculation Sheet'!$Z$29)&amp;"","")="",ISNUMBER(SEARCH($AS$86:$AZ$86,IFERROR(('Final Calculation Sheet'!$Z$29)&amp;"","")))))&gt;0),IF(COUNTIF($BI$86:$BP$86,7)=0,TRUE,SUMPRODUCT(($BI$86:$BP$86=7)*($AS$86:$AZ$86&lt;&gt;"")*IF(((UPPER($AS$86:$AZ$86)="BLANK")+(UPPER($AS$86:$AZ$86)="(BLANK)")+(UPPER($AS$86:$AZ$86)="EMPTY")+(UPPER($AS$86:$AZ$86)="(EMPTY)"))&gt;0,IFERROR(('Final Calculation Sheet'!$Z$29)&amp;"","")="",ISNUMBER(SEARCH($AS$86:$AZ$86,IFERROR(('Final Calculation Sheet'!$Z$29)&amp;"","")))))&gt;0),IF(COUNTIF($BI$86:$BP$86,8)=0,TRUE,SUMPRODUCT(($BI$86:$BP$86=8)*($AS$86:$AZ$86&lt;&gt;"")*IF(((UPPER($AS$86:$AZ$86)="BLANK")+(UPPER($AS$86:$AZ$86)="(BLANK)")+(UPPER($AS$86:$AZ$86)="EMPTY")+(UPPER($AS$86:$AZ$86)="(EMPTY)"))&gt;0,IFERROR(('Final Calculation Sheet'!$Z$29)&amp;"","")="",ISNUMBER(SEARCH($AS$86:$AZ$86,IFERROR(('Final Calculation Sheet'!$Z$29)&amp;"","")))))&gt;0))))</f>
        <v>1</v>
      </c>
      <c r="CN30">
        <f>IF($AB$4="",1,--(AND(SUMPRODUCT(--($AS$87:$AZ$87&lt;&gt;""))&gt;0,IF(COUNTIF($BI$87:$BP$87,1)=0,TRUE,SUMPRODUCT(($BI$87:$BP$87=1)*($AS$87:$AZ$87&lt;&gt;"")*IF(((UPPER($AS$87:$AZ$87)="BLANK")+(UPPER($AS$87:$AZ$87)="(BLANK)")+(UPPER($AS$87:$AZ$87)="EMPTY")+(UPPER($AS$87:$AZ$87)="(EMPTY)"))&gt;0,IFERROR(('Final Calculation Sheet'!$AA$29)&amp;"","")="",ISNUMBER(SEARCH($AS$87:$AZ$87,IFERROR(('Final Calculation Sheet'!$AA$29)&amp;"","")))))&gt;0),IF(COUNTIF($BI$87:$BP$87,2)=0,TRUE,SUMPRODUCT(($BI$87:$BP$87=2)*($AS$87:$AZ$87&lt;&gt;"")*IF(((UPPER($AS$87:$AZ$87)="BLANK")+(UPPER($AS$87:$AZ$87)="(BLANK)")+(UPPER($AS$87:$AZ$87)="EMPTY")+(UPPER($AS$87:$AZ$87)="(EMPTY)"))&gt;0,IFERROR(('Final Calculation Sheet'!$AA$29)&amp;"","")="",ISNUMBER(SEARCH($AS$87:$AZ$87,IFERROR(('Final Calculation Sheet'!$AA$29)&amp;"","")))))&gt;0),IF(COUNTIF($BI$87:$BP$87,3)=0,TRUE,SUMPRODUCT(($BI$87:$BP$87=3)*($AS$87:$AZ$87&lt;&gt;"")*IF(((UPPER($AS$87:$AZ$87)="BLANK")+(UPPER($AS$87:$AZ$87)="(BLANK)")+(UPPER($AS$87:$AZ$87)="EMPTY")+(UPPER($AS$87:$AZ$87)="(EMPTY)"))&gt;0,IFERROR(('Final Calculation Sheet'!$AA$29)&amp;"","")="",ISNUMBER(SEARCH($AS$87:$AZ$87,IFERROR(('Final Calculation Sheet'!$AA$29)&amp;"","")))))&gt;0),IF(COUNTIF($BI$87:$BP$87,4)=0,TRUE,SUMPRODUCT(($BI$87:$BP$87=4)*($AS$87:$AZ$87&lt;&gt;"")*IF(((UPPER($AS$87:$AZ$87)="BLANK")+(UPPER($AS$87:$AZ$87)="(BLANK)")+(UPPER($AS$87:$AZ$87)="EMPTY")+(UPPER($AS$87:$AZ$87)="(EMPTY)"))&gt;0,IFERROR(('Final Calculation Sheet'!$AA$29)&amp;"","")="",ISNUMBER(SEARCH($AS$87:$AZ$87,IFERROR(('Final Calculation Sheet'!$AA$29)&amp;"","")))))&gt;0),IF(COUNTIF($BI$87:$BP$87,5)=0,TRUE,SUMPRODUCT(($BI$87:$BP$87=5)*($AS$87:$AZ$87&lt;&gt;"")*IF(((UPPER($AS$87:$AZ$87)="BLANK")+(UPPER($AS$87:$AZ$87)="(BLANK)")+(UPPER($AS$87:$AZ$87)="EMPTY")+(UPPER($AS$87:$AZ$87)="(EMPTY)"))&gt;0,IFERROR(('Final Calculation Sheet'!$AA$29)&amp;"","")="",ISNUMBER(SEARCH($AS$87:$AZ$87,IFERROR(('Final Calculation Sheet'!$AA$29)&amp;"","")))))&gt;0),IF(COUNTIF($BI$87:$BP$87,6)=0,TRUE,SUMPRODUCT(($BI$87:$BP$87=6)*($AS$87:$AZ$87&lt;&gt;"")*IF(((UPPER($AS$87:$AZ$87)="BLANK")+(UPPER($AS$87:$AZ$87)="(BLANK)")+(UPPER($AS$87:$AZ$87)="EMPTY")+(UPPER($AS$87:$AZ$87)="(EMPTY)"))&gt;0,IFERROR(('Final Calculation Sheet'!$AA$29)&amp;"","")="",ISNUMBER(SEARCH($AS$87:$AZ$87,IFERROR(('Final Calculation Sheet'!$AA$29)&amp;"","")))))&gt;0),IF(COUNTIF($BI$87:$BP$87,7)=0,TRUE,SUMPRODUCT(($BI$87:$BP$87=7)*($AS$87:$AZ$87&lt;&gt;"")*IF(((UPPER($AS$87:$AZ$87)="BLANK")+(UPPER($AS$87:$AZ$87)="(BLANK)")+(UPPER($AS$87:$AZ$87)="EMPTY")+(UPPER($AS$87:$AZ$87)="(EMPTY)"))&gt;0,IFERROR(('Final Calculation Sheet'!$AA$29)&amp;"","")="",ISNUMBER(SEARCH($AS$87:$AZ$87,IFERROR(('Final Calculation Sheet'!$AA$29)&amp;"","")))))&gt;0),IF(COUNTIF($BI$87:$BP$87,8)=0,TRUE,SUMPRODUCT(($BI$87:$BP$87=8)*($AS$87:$AZ$87&lt;&gt;"")*IF(((UPPER($AS$87:$AZ$87)="BLANK")+(UPPER($AS$87:$AZ$87)="(BLANK)")+(UPPER($AS$87:$AZ$87)="EMPTY")+(UPPER($AS$87:$AZ$87)="(EMPTY)"))&gt;0,IFERROR(('Final Calculation Sheet'!$AA$29)&amp;"","")="",ISNUMBER(SEARCH($AS$87:$AZ$87,IFERROR(('Final Calculation Sheet'!$AA$29)&amp;"","")))))&gt;0))))</f>
        <v>1</v>
      </c>
      <c r="CO30">
        <f>IF($AC$4="",1,--(AND(SUMPRODUCT(--($AS$88:$AZ$88&lt;&gt;""))&gt;0,IF(COUNTIF($BI$88:$BP$88,1)=0,TRUE,SUMPRODUCT(($BI$88:$BP$88=1)*($AS$88:$AZ$88&lt;&gt;"")*IF(((UPPER($AS$88:$AZ$88)="BLANK")+(UPPER($AS$88:$AZ$88)="(BLANK)")+(UPPER($AS$88:$AZ$88)="EMPTY")+(UPPER($AS$88:$AZ$88)="(EMPTY)"))&gt;0,IFERROR(('Final Calculation Sheet'!$AB$29)&amp;"","")="",ISNUMBER(SEARCH($AS$88:$AZ$88,IFERROR(('Final Calculation Sheet'!$AB$29)&amp;"","")))))&gt;0),IF(COUNTIF($BI$88:$BP$88,2)=0,TRUE,SUMPRODUCT(($BI$88:$BP$88=2)*($AS$88:$AZ$88&lt;&gt;"")*IF(((UPPER($AS$88:$AZ$88)="BLANK")+(UPPER($AS$88:$AZ$88)="(BLANK)")+(UPPER($AS$88:$AZ$88)="EMPTY")+(UPPER($AS$88:$AZ$88)="(EMPTY)"))&gt;0,IFERROR(('Final Calculation Sheet'!$AB$29)&amp;"","")="",ISNUMBER(SEARCH($AS$88:$AZ$88,IFERROR(('Final Calculation Sheet'!$AB$29)&amp;"","")))))&gt;0),IF(COUNTIF($BI$88:$BP$88,3)=0,TRUE,SUMPRODUCT(($BI$88:$BP$88=3)*($AS$88:$AZ$88&lt;&gt;"")*IF(((UPPER($AS$88:$AZ$88)="BLANK")+(UPPER($AS$88:$AZ$88)="(BLANK)")+(UPPER($AS$88:$AZ$88)="EMPTY")+(UPPER($AS$88:$AZ$88)="(EMPTY)"))&gt;0,IFERROR(('Final Calculation Sheet'!$AB$29)&amp;"","")="",ISNUMBER(SEARCH($AS$88:$AZ$88,IFERROR(('Final Calculation Sheet'!$AB$29)&amp;"","")))))&gt;0),IF(COUNTIF($BI$88:$BP$88,4)=0,TRUE,SUMPRODUCT(($BI$88:$BP$88=4)*($AS$88:$AZ$88&lt;&gt;"")*IF(((UPPER($AS$88:$AZ$88)="BLANK")+(UPPER($AS$88:$AZ$88)="(BLANK)")+(UPPER($AS$88:$AZ$88)="EMPTY")+(UPPER($AS$88:$AZ$88)="(EMPTY)"))&gt;0,IFERROR(('Final Calculation Sheet'!$AB$29)&amp;"","")="",ISNUMBER(SEARCH($AS$88:$AZ$88,IFERROR(('Final Calculation Sheet'!$AB$29)&amp;"","")))))&gt;0),IF(COUNTIF($BI$88:$BP$88,5)=0,TRUE,SUMPRODUCT(($BI$88:$BP$88=5)*($AS$88:$AZ$88&lt;&gt;"")*IF(((UPPER($AS$88:$AZ$88)="BLANK")+(UPPER($AS$88:$AZ$88)="(BLANK)")+(UPPER($AS$88:$AZ$88)="EMPTY")+(UPPER($AS$88:$AZ$88)="(EMPTY)"))&gt;0,IFERROR(('Final Calculation Sheet'!$AB$29)&amp;"","")="",ISNUMBER(SEARCH($AS$88:$AZ$88,IFERROR(('Final Calculation Sheet'!$AB$29)&amp;"","")))))&gt;0),IF(COUNTIF($BI$88:$BP$88,6)=0,TRUE,SUMPRODUCT(($BI$88:$BP$88=6)*($AS$88:$AZ$88&lt;&gt;"")*IF(((UPPER($AS$88:$AZ$88)="BLANK")+(UPPER($AS$88:$AZ$88)="(BLANK)")+(UPPER($AS$88:$AZ$88)="EMPTY")+(UPPER($AS$88:$AZ$88)="(EMPTY)"))&gt;0,IFERROR(('Final Calculation Sheet'!$AB$29)&amp;"","")="",ISNUMBER(SEARCH($AS$88:$AZ$88,IFERROR(('Final Calculation Sheet'!$AB$29)&amp;"","")))))&gt;0),IF(COUNTIF($BI$88:$BP$88,7)=0,TRUE,SUMPRODUCT(($BI$88:$BP$88=7)*($AS$88:$AZ$88&lt;&gt;"")*IF(((UPPER($AS$88:$AZ$88)="BLANK")+(UPPER($AS$88:$AZ$88)="(BLANK)")+(UPPER($AS$88:$AZ$88)="EMPTY")+(UPPER($AS$88:$AZ$88)="(EMPTY)"))&gt;0,IFERROR(('Final Calculation Sheet'!$AB$29)&amp;"","")="",ISNUMBER(SEARCH($AS$88:$AZ$88,IFERROR(('Final Calculation Sheet'!$AB$29)&amp;"","")))))&gt;0),IF(COUNTIF($BI$88:$BP$88,8)=0,TRUE,SUMPRODUCT(($BI$88:$BP$88=8)*($AS$88:$AZ$88&lt;&gt;"")*IF(((UPPER($AS$88:$AZ$88)="BLANK")+(UPPER($AS$88:$AZ$88)="(BLANK)")+(UPPER($AS$88:$AZ$88)="EMPTY")+(UPPER($AS$88:$AZ$88)="(EMPTY)"))&gt;0,IFERROR(('Final Calculation Sheet'!$AB$29)&amp;"","")="",ISNUMBER(SEARCH($AS$88:$AZ$88,IFERROR(('Final Calculation Sheet'!$AB$29)&amp;"","")))))&gt;0))))</f>
        <v>1</v>
      </c>
      <c r="CP30">
        <f>IF($AD$4="",1,--(AND(SUMPRODUCT(--($AS$89:$AZ$89&lt;&gt;""))&gt;0,IF(COUNTIF($BI$89:$BP$89,1)=0,TRUE,SUMPRODUCT(($BI$89:$BP$89=1)*($AS$89:$AZ$89&lt;&gt;"")*IF(((UPPER($AS$89:$AZ$89)="BLANK")+(UPPER($AS$89:$AZ$89)="(BLANK)")+(UPPER($AS$89:$AZ$89)="EMPTY")+(UPPER($AS$89:$AZ$89)="(EMPTY)"))&gt;0,IFERROR(('Final Calculation Sheet'!$AC$29)&amp;"","")="",ISNUMBER(SEARCH($AS$89:$AZ$89,IFERROR(('Final Calculation Sheet'!$AC$29)&amp;"","")))))&gt;0),IF(COUNTIF($BI$89:$BP$89,2)=0,TRUE,SUMPRODUCT(($BI$89:$BP$89=2)*($AS$89:$AZ$89&lt;&gt;"")*IF(((UPPER($AS$89:$AZ$89)="BLANK")+(UPPER($AS$89:$AZ$89)="(BLANK)")+(UPPER($AS$89:$AZ$89)="EMPTY")+(UPPER($AS$89:$AZ$89)="(EMPTY)"))&gt;0,IFERROR(('Final Calculation Sheet'!$AC$29)&amp;"","")="",ISNUMBER(SEARCH($AS$89:$AZ$89,IFERROR(('Final Calculation Sheet'!$AC$29)&amp;"","")))))&gt;0),IF(COUNTIF($BI$89:$BP$89,3)=0,TRUE,SUMPRODUCT(($BI$89:$BP$89=3)*($AS$89:$AZ$89&lt;&gt;"")*IF(((UPPER($AS$89:$AZ$89)="BLANK")+(UPPER($AS$89:$AZ$89)="(BLANK)")+(UPPER($AS$89:$AZ$89)="EMPTY")+(UPPER($AS$89:$AZ$89)="(EMPTY)"))&gt;0,IFERROR(('Final Calculation Sheet'!$AC$29)&amp;"","")="",ISNUMBER(SEARCH($AS$89:$AZ$89,IFERROR(('Final Calculation Sheet'!$AC$29)&amp;"","")))))&gt;0),IF(COUNTIF($BI$89:$BP$89,4)=0,TRUE,SUMPRODUCT(($BI$89:$BP$89=4)*($AS$89:$AZ$89&lt;&gt;"")*IF(((UPPER($AS$89:$AZ$89)="BLANK")+(UPPER($AS$89:$AZ$89)="(BLANK)")+(UPPER($AS$89:$AZ$89)="EMPTY")+(UPPER($AS$89:$AZ$89)="(EMPTY)"))&gt;0,IFERROR(('Final Calculation Sheet'!$AC$29)&amp;"","")="",ISNUMBER(SEARCH($AS$89:$AZ$89,IFERROR(('Final Calculation Sheet'!$AC$29)&amp;"","")))))&gt;0),IF(COUNTIF($BI$89:$BP$89,5)=0,TRUE,SUMPRODUCT(($BI$89:$BP$89=5)*($AS$89:$AZ$89&lt;&gt;"")*IF(((UPPER($AS$89:$AZ$89)="BLANK")+(UPPER($AS$89:$AZ$89)="(BLANK)")+(UPPER($AS$89:$AZ$89)="EMPTY")+(UPPER($AS$89:$AZ$89)="(EMPTY)"))&gt;0,IFERROR(('Final Calculation Sheet'!$AC$29)&amp;"","")="",ISNUMBER(SEARCH($AS$89:$AZ$89,IFERROR(('Final Calculation Sheet'!$AC$29)&amp;"","")))))&gt;0),IF(COUNTIF($BI$89:$BP$89,6)=0,TRUE,SUMPRODUCT(($BI$89:$BP$89=6)*($AS$89:$AZ$89&lt;&gt;"")*IF(((UPPER($AS$89:$AZ$89)="BLANK")+(UPPER($AS$89:$AZ$89)="(BLANK)")+(UPPER($AS$89:$AZ$89)="EMPTY")+(UPPER($AS$89:$AZ$89)="(EMPTY)"))&gt;0,IFERROR(('Final Calculation Sheet'!$AC$29)&amp;"","")="",ISNUMBER(SEARCH($AS$89:$AZ$89,IFERROR(('Final Calculation Sheet'!$AC$29)&amp;"","")))))&gt;0),IF(COUNTIF($BI$89:$BP$89,7)=0,TRUE,SUMPRODUCT(($BI$89:$BP$89=7)*($AS$89:$AZ$89&lt;&gt;"")*IF(((UPPER($AS$89:$AZ$89)="BLANK")+(UPPER($AS$89:$AZ$89)="(BLANK)")+(UPPER($AS$89:$AZ$89)="EMPTY")+(UPPER($AS$89:$AZ$89)="(EMPTY)"))&gt;0,IFERROR(('Final Calculation Sheet'!$AC$29)&amp;"","")="",ISNUMBER(SEARCH($AS$89:$AZ$89,IFERROR(('Final Calculation Sheet'!$AC$29)&amp;"","")))))&gt;0),IF(COUNTIF($BI$89:$BP$89,8)=0,TRUE,SUMPRODUCT(($BI$89:$BP$89=8)*($AS$89:$AZ$89&lt;&gt;"")*IF(((UPPER($AS$89:$AZ$89)="BLANK")+(UPPER($AS$89:$AZ$89)="(BLANK)")+(UPPER($AS$89:$AZ$89)="EMPTY")+(UPPER($AS$89:$AZ$89)="(EMPTY)"))&gt;0,IFERROR(('Final Calculation Sheet'!$AC$29)&amp;"","")="",ISNUMBER(SEARCH($AS$89:$AZ$89,IFERROR(('Final Calculation Sheet'!$AC$29)&amp;"","")))))&gt;0))))</f>
        <v>1</v>
      </c>
      <c r="CQ30">
        <f>IF($AE$4="",1,--(AND(SUMPRODUCT(--($AS$90:$AZ$90&lt;&gt;""))&gt;0,IF(COUNTIF($BI$90:$BP$90,1)=0,TRUE,SUMPRODUCT(($BI$90:$BP$90=1)*($AS$90:$AZ$90&lt;&gt;"")*IF(((UPPER($AS$90:$AZ$90)="BLANK")+(UPPER($AS$90:$AZ$90)="(BLANK)")+(UPPER($AS$90:$AZ$90)="EMPTY")+(UPPER($AS$90:$AZ$90)="(EMPTY)"))&gt;0,IFERROR(('Final Calculation Sheet'!$AD$29)&amp;"","")="",ISNUMBER(SEARCH($AS$90:$AZ$90,IFERROR(('Final Calculation Sheet'!$AD$29)&amp;"","")))))&gt;0),IF(COUNTIF($BI$90:$BP$90,2)=0,TRUE,SUMPRODUCT(($BI$90:$BP$90=2)*($AS$90:$AZ$90&lt;&gt;"")*IF(((UPPER($AS$90:$AZ$90)="BLANK")+(UPPER($AS$90:$AZ$90)="(BLANK)")+(UPPER($AS$90:$AZ$90)="EMPTY")+(UPPER($AS$90:$AZ$90)="(EMPTY)"))&gt;0,IFERROR(('Final Calculation Sheet'!$AD$29)&amp;"","")="",ISNUMBER(SEARCH($AS$90:$AZ$90,IFERROR(('Final Calculation Sheet'!$AD$29)&amp;"","")))))&gt;0),IF(COUNTIF($BI$90:$BP$90,3)=0,TRUE,SUMPRODUCT(($BI$90:$BP$90=3)*($AS$90:$AZ$90&lt;&gt;"")*IF(((UPPER($AS$90:$AZ$90)="BLANK")+(UPPER($AS$90:$AZ$90)="(BLANK)")+(UPPER($AS$90:$AZ$90)="EMPTY")+(UPPER($AS$90:$AZ$90)="(EMPTY)"))&gt;0,IFERROR(('Final Calculation Sheet'!$AD$29)&amp;"","")="",ISNUMBER(SEARCH($AS$90:$AZ$90,IFERROR(('Final Calculation Sheet'!$AD$29)&amp;"","")))))&gt;0),IF(COUNTIF($BI$90:$BP$90,4)=0,TRUE,SUMPRODUCT(($BI$90:$BP$90=4)*($AS$90:$AZ$90&lt;&gt;"")*IF(((UPPER($AS$90:$AZ$90)="BLANK")+(UPPER($AS$90:$AZ$90)="(BLANK)")+(UPPER($AS$90:$AZ$90)="EMPTY")+(UPPER($AS$90:$AZ$90)="(EMPTY)"))&gt;0,IFERROR(('Final Calculation Sheet'!$AD$29)&amp;"","")="",ISNUMBER(SEARCH($AS$90:$AZ$90,IFERROR(('Final Calculation Sheet'!$AD$29)&amp;"","")))))&gt;0),IF(COUNTIF($BI$90:$BP$90,5)=0,TRUE,SUMPRODUCT(($BI$90:$BP$90=5)*($AS$90:$AZ$90&lt;&gt;"")*IF(((UPPER($AS$90:$AZ$90)="BLANK")+(UPPER($AS$90:$AZ$90)="(BLANK)")+(UPPER($AS$90:$AZ$90)="EMPTY")+(UPPER($AS$90:$AZ$90)="(EMPTY)"))&gt;0,IFERROR(('Final Calculation Sheet'!$AD$29)&amp;"","")="",ISNUMBER(SEARCH($AS$90:$AZ$90,IFERROR(('Final Calculation Sheet'!$AD$29)&amp;"","")))))&gt;0),IF(COUNTIF($BI$90:$BP$90,6)=0,TRUE,SUMPRODUCT(($BI$90:$BP$90=6)*($AS$90:$AZ$90&lt;&gt;"")*IF(((UPPER($AS$90:$AZ$90)="BLANK")+(UPPER($AS$90:$AZ$90)="(BLANK)")+(UPPER($AS$90:$AZ$90)="EMPTY")+(UPPER($AS$90:$AZ$90)="(EMPTY)"))&gt;0,IFERROR(('Final Calculation Sheet'!$AD$29)&amp;"","")="",ISNUMBER(SEARCH($AS$90:$AZ$90,IFERROR(('Final Calculation Sheet'!$AD$29)&amp;"","")))))&gt;0),IF(COUNTIF($BI$90:$BP$90,7)=0,TRUE,SUMPRODUCT(($BI$90:$BP$90=7)*($AS$90:$AZ$90&lt;&gt;"")*IF(((UPPER($AS$90:$AZ$90)="BLANK")+(UPPER($AS$90:$AZ$90)="(BLANK)")+(UPPER($AS$90:$AZ$90)="EMPTY")+(UPPER($AS$90:$AZ$90)="(EMPTY)"))&gt;0,IFERROR(('Final Calculation Sheet'!$AD$29)&amp;"","")="",ISNUMBER(SEARCH($AS$90:$AZ$90,IFERROR(('Final Calculation Sheet'!$AD$29)&amp;"","")))))&gt;0),IF(COUNTIF($BI$90:$BP$90,8)=0,TRUE,SUMPRODUCT(($BI$90:$BP$90=8)*($AS$90:$AZ$90&lt;&gt;"")*IF(((UPPER($AS$90:$AZ$90)="BLANK")+(UPPER($AS$90:$AZ$90)="(BLANK)")+(UPPER($AS$90:$AZ$90)="EMPTY")+(UPPER($AS$90:$AZ$90)="(EMPTY)"))&gt;0,IFERROR(('Final Calculation Sheet'!$AD$29)&amp;"","")="",ISNUMBER(SEARCH($AS$90:$AZ$90,IFERROR(('Final Calculation Sheet'!$AD$29)&amp;"","")))))&gt;0))))</f>
        <v>1</v>
      </c>
      <c r="CR30">
        <f>IF($AF$4="",1,--(AND(SUMPRODUCT(--($AS$91:$AZ$91&lt;&gt;""))&gt;0,IF(COUNTIF($BI$91:$BP$91,1)=0,TRUE,SUMPRODUCT(($BI$91:$BP$91=1)*($AS$91:$AZ$91&lt;&gt;"")*IF(((UPPER($AS$91:$AZ$91)="BLANK")+(UPPER($AS$91:$AZ$91)="(BLANK)")+(UPPER($AS$91:$AZ$91)="EMPTY")+(UPPER($AS$91:$AZ$91)="(EMPTY)"))&gt;0,IFERROR(('Final Calculation Sheet'!$AE$29)&amp;"","")="",ISNUMBER(SEARCH($AS$91:$AZ$91,IFERROR(('Final Calculation Sheet'!$AE$29)&amp;"","")))))&gt;0),IF(COUNTIF($BI$91:$BP$91,2)=0,TRUE,SUMPRODUCT(($BI$91:$BP$91=2)*($AS$91:$AZ$91&lt;&gt;"")*IF(((UPPER($AS$91:$AZ$91)="BLANK")+(UPPER($AS$91:$AZ$91)="(BLANK)")+(UPPER($AS$91:$AZ$91)="EMPTY")+(UPPER($AS$91:$AZ$91)="(EMPTY)"))&gt;0,IFERROR(('Final Calculation Sheet'!$AE$29)&amp;"","")="",ISNUMBER(SEARCH($AS$91:$AZ$91,IFERROR(('Final Calculation Sheet'!$AE$29)&amp;"","")))))&gt;0),IF(COUNTIF($BI$91:$BP$91,3)=0,TRUE,SUMPRODUCT(($BI$91:$BP$91=3)*($AS$91:$AZ$91&lt;&gt;"")*IF(((UPPER($AS$91:$AZ$91)="BLANK")+(UPPER($AS$91:$AZ$91)="(BLANK)")+(UPPER($AS$91:$AZ$91)="EMPTY")+(UPPER($AS$91:$AZ$91)="(EMPTY)"))&gt;0,IFERROR(('Final Calculation Sheet'!$AE$29)&amp;"","")="",ISNUMBER(SEARCH($AS$91:$AZ$91,IFERROR(('Final Calculation Sheet'!$AE$29)&amp;"","")))))&gt;0),IF(COUNTIF($BI$91:$BP$91,4)=0,TRUE,SUMPRODUCT(($BI$91:$BP$91=4)*($AS$91:$AZ$91&lt;&gt;"")*IF(((UPPER($AS$91:$AZ$91)="BLANK")+(UPPER($AS$91:$AZ$91)="(BLANK)")+(UPPER($AS$91:$AZ$91)="EMPTY")+(UPPER($AS$91:$AZ$91)="(EMPTY)"))&gt;0,IFERROR(('Final Calculation Sheet'!$AE$29)&amp;"","")="",ISNUMBER(SEARCH($AS$91:$AZ$91,IFERROR(('Final Calculation Sheet'!$AE$29)&amp;"","")))))&gt;0),IF(COUNTIF($BI$91:$BP$91,5)=0,TRUE,SUMPRODUCT(($BI$91:$BP$91=5)*($AS$91:$AZ$91&lt;&gt;"")*IF(((UPPER($AS$91:$AZ$91)="BLANK")+(UPPER($AS$91:$AZ$91)="(BLANK)")+(UPPER($AS$91:$AZ$91)="EMPTY")+(UPPER($AS$91:$AZ$91)="(EMPTY)"))&gt;0,IFERROR(('Final Calculation Sheet'!$AE$29)&amp;"","")="",ISNUMBER(SEARCH($AS$91:$AZ$91,IFERROR(('Final Calculation Sheet'!$AE$29)&amp;"","")))))&gt;0),IF(COUNTIF($BI$91:$BP$91,6)=0,TRUE,SUMPRODUCT(($BI$91:$BP$91=6)*($AS$91:$AZ$91&lt;&gt;"")*IF(((UPPER($AS$91:$AZ$91)="BLANK")+(UPPER($AS$91:$AZ$91)="(BLANK)")+(UPPER($AS$91:$AZ$91)="EMPTY")+(UPPER($AS$91:$AZ$91)="(EMPTY)"))&gt;0,IFERROR(('Final Calculation Sheet'!$AE$29)&amp;"","")="",ISNUMBER(SEARCH($AS$91:$AZ$91,IFERROR(('Final Calculation Sheet'!$AE$29)&amp;"","")))))&gt;0),IF(COUNTIF($BI$91:$BP$91,7)=0,TRUE,SUMPRODUCT(($BI$91:$BP$91=7)*($AS$91:$AZ$91&lt;&gt;"")*IF(((UPPER($AS$91:$AZ$91)="BLANK")+(UPPER($AS$91:$AZ$91)="(BLANK)")+(UPPER($AS$91:$AZ$91)="EMPTY")+(UPPER($AS$91:$AZ$91)="(EMPTY)"))&gt;0,IFERROR(('Final Calculation Sheet'!$AE$29)&amp;"","")="",ISNUMBER(SEARCH($AS$91:$AZ$91,IFERROR(('Final Calculation Sheet'!$AE$29)&amp;"","")))))&gt;0),IF(COUNTIF($BI$91:$BP$91,8)=0,TRUE,SUMPRODUCT(($BI$91:$BP$91=8)*($AS$91:$AZ$91&lt;&gt;"")*IF(((UPPER($AS$91:$AZ$91)="BLANK")+(UPPER($AS$91:$AZ$91)="(BLANK)")+(UPPER($AS$91:$AZ$91)="EMPTY")+(UPPER($AS$91:$AZ$91)="(EMPTY)"))&gt;0,IFERROR(('Final Calculation Sheet'!$AE$29)&amp;"","")="",ISNUMBER(SEARCH($AS$91:$AZ$91,IFERROR(('Final Calculation Sheet'!$AE$29)&amp;"","")))))&gt;0))))</f>
        <v>1</v>
      </c>
      <c r="CS30">
        <f>IF($AG$4="",1,--(AND(SUMPRODUCT(--($AS$92:$AZ$92&lt;&gt;""))&gt;0,IF(COUNTIF($BI$92:$BP$92,1)=0,TRUE,SUMPRODUCT(($BI$92:$BP$92=1)*($AS$92:$AZ$92&lt;&gt;"")*IF(((UPPER($AS$92:$AZ$92)="BLANK")+(UPPER($AS$92:$AZ$92)="(BLANK)")+(UPPER($AS$92:$AZ$92)="EMPTY")+(UPPER($AS$92:$AZ$92)="(EMPTY)"))&gt;0,IFERROR(('Final Calculation Sheet'!$AF$29)&amp;"","")="",ISNUMBER(SEARCH($AS$92:$AZ$92,IFERROR(('Final Calculation Sheet'!$AF$29)&amp;"","")))))&gt;0),IF(COUNTIF($BI$92:$BP$92,2)=0,TRUE,SUMPRODUCT(($BI$92:$BP$92=2)*($AS$92:$AZ$92&lt;&gt;"")*IF(((UPPER($AS$92:$AZ$92)="BLANK")+(UPPER($AS$92:$AZ$92)="(BLANK)")+(UPPER($AS$92:$AZ$92)="EMPTY")+(UPPER($AS$92:$AZ$92)="(EMPTY)"))&gt;0,IFERROR(('Final Calculation Sheet'!$AF$29)&amp;"","")="",ISNUMBER(SEARCH($AS$92:$AZ$92,IFERROR(('Final Calculation Sheet'!$AF$29)&amp;"","")))))&gt;0),IF(COUNTIF($BI$92:$BP$92,3)=0,TRUE,SUMPRODUCT(($BI$92:$BP$92=3)*($AS$92:$AZ$92&lt;&gt;"")*IF(((UPPER($AS$92:$AZ$92)="BLANK")+(UPPER($AS$92:$AZ$92)="(BLANK)")+(UPPER($AS$92:$AZ$92)="EMPTY")+(UPPER($AS$92:$AZ$92)="(EMPTY)"))&gt;0,IFERROR(('Final Calculation Sheet'!$AF$29)&amp;"","")="",ISNUMBER(SEARCH($AS$92:$AZ$92,IFERROR(('Final Calculation Sheet'!$AF$29)&amp;"","")))))&gt;0),IF(COUNTIF($BI$92:$BP$92,4)=0,TRUE,SUMPRODUCT(($BI$92:$BP$92=4)*($AS$92:$AZ$92&lt;&gt;"")*IF(((UPPER($AS$92:$AZ$92)="BLANK")+(UPPER($AS$92:$AZ$92)="(BLANK)")+(UPPER($AS$92:$AZ$92)="EMPTY")+(UPPER($AS$92:$AZ$92)="(EMPTY)"))&gt;0,IFERROR(('Final Calculation Sheet'!$AF$29)&amp;"","")="",ISNUMBER(SEARCH($AS$92:$AZ$92,IFERROR(('Final Calculation Sheet'!$AF$29)&amp;"","")))))&gt;0),IF(COUNTIF($BI$92:$BP$92,5)=0,TRUE,SUMPRODUCT(($BI$92:$BP$92=5)*($AS$92:$AZ$92&lt;&gt;"")*IF(((UPPER($AS$92:$AZ$92)="BLANK")+(UPPER($AS$92:$AZ$92)="(BLANK)")+(UPPER($AS$92:$AZ$92)="EMPTY")+(UPPER($AS$92:$AZ$92)="(EMPTY)"))&gt;0,IFERROR(('Final Calculation Sheet'!$AF$29)&amp;"","")="",ISNUMBER(SEARCH($AS$92:$AZ$92,IFERROR(('Final Calculation Sheet'!$AF$29)&amp;"","")))))&gt;0),IF(COUNTIF($BI$92:$BP$92,6)=0,TRUE,SUMPRODUCT(($BI$92:$BP$92=6)*($AS$92:$AZ$92&lt;&gt;"")*IF(((UPPER($AS$92:$AZ$92)="BLANK")+(UPPER($AS$92:$AZ$92)="(BLANK)")+(UPPER($AS$92:$AZ$92)="EMPTY")+(UPPER($AS$92:$AZ$92)="(EMPTY)"))&gt;0,IFERROR(('Final Calculation Sheet'!$AF$29)&amp;"","")="",ISNUMBER(SEARCH($AS$92:$AZ$92,IFERROR(('Final Calculation Sheet'!$AF$29)&amp;"","")))))&gt;0),IF(COUNTIF($BI$92:$BP$92,7)=0,TRUE,SUMPRODUCT(($BI$92:$BP$92=7)*($AS$92:$AZ$92&lt;&gt;"")*IF(((UPPER($AS$92:$AZ$92)="BLANK")+(UPPER($AS$92:$AZ$92)="(BLANK)")+(UPPER($AS$92:$AZ$92)="EMPTY")+(UPPER($AS$92:$AZ$92)="(EMPTY)"))&gt;0,IFERROR(('Final Calculation Sheet'!$AF$29)&amp;"","")="",ISNUMBER(SEARCH($AS$92:$AZ$92,IFERROR(('Final Calculation Sheet'!$AF$29)&amp;"","")))))&gt;0),IF(COUNTIF($BI$92:$BP$92,8)=0,TRUE,SUMPRODUCT(($BI$92:$BP$92=8)*($AS$92:$AZ$92&lt;&gt;"")*IF(((UPPER($AS$92:$AZ$92)="BLANK")+(UPPER($AS$92:$AZ$92)="(BLANK)")+(UPPER($AS$92:$AZ$92)="EMPTY")+(UPPER($AS$92:$AZ$92)="(EMPTY)"))&gt;0,IFERROR(('Final Calculation Sheet'!$AF$29)&amp;"","")="",ISNUMBER(SEARCH($AS$92:$AZ$92,IFERROR(('Final Calculation Sheet'!$AF$29)&amp;"","")))))&gt;0))))</f>
        <v>1</v>
      </c>
      <c r="CT30">
        <f>IF($AH$4="",1,--(AND(SUMPRODUCT(--($AS$93:$AZ$93&lt;&gt;""))&gt;0,IF(COUNTIF($BI$93:$BP$93,1)=0,TRUE,SUMPRODUCT(($BI$93:$BP$93=1)*($AS$93:$AZ$93&lt;&gt;"")*IF(((UPPER($AS$93:$AZ$93)="BLANK")+(UPPER($AS$93:$AZ$93)="(BLANK)")+(UPPER($AS$93:$AZ$93)="EMPTY")+(UPPER($AS$93:$AZ$93)="(EMPTY)"))&gt;0,IFERROR(('Final Calculation Sheet'!$AG$29)&amp;"","")="",ISNUMBER(SEARCH($AS$93:$AZ$93,IFERROR(('Final Calculation Sheet'!$AG$29)&amp;"","")))))&gt;0),IF(COUNTIF($BI$93:$BP$93,2)=0,TRUE,SUMPRODUCT(($BI$93:$BP$93=2)*($AS$93:$AZ$93&lt;&gt;"")*IF(((UPPER($AS$93:$AZ$93)="BLANK")+(UPPER($AS$93:$AZ$93)="(BLANK)")+(UPPER($AS$93:$AZ$93)="EMPTY")+(UPPER($AS$93:$AZ$93)="(EMPTY)"))&gt;0,IFERROR(('Final Calculation Sheet'!$AG$29)&amp;"","")="",ISNUMBER(SEARCH($AS$93:$AZ$93,IFERROR(('Final Calculation Sheet'!$AG$29)&amp;"","")))))&gt;0),IF(COUNTIF($BI$93:$BP$93,3)=0,TRUE,SUMPRODUCT(($BI$93:$BP$93=3)*($AS$93:$AZ$93&lt;&gt;"")*IF(((UPPER($AS$93:$AZ$93)="BLANK")+(UPPER($AS$93:$AZ$93)="(BLANK)")+(UPPER($AS$93:$AZ$93)="EMPTY")+(UPPER($AS$93:$AZ$93)="(EMPTY)"))&gt;0,IFERROR(('Final Calculation Sheet'!$AG$29)&amp;"","")="",ISNUMBER(SEARCH($AS$93:$AZ$93,IFERROR(('Final Calculation Sheet'!$AG$29)&amp;"","")))))&gt;0),IF(COUNTIF($BI$93:$BP$93,4)=0,TRUE,SUMPRODUCT(($BI$93:$BP$93=4)*($AS$93:$AZ$93&lt;&gt;"")*IF(((UPPER($AS$93:$AZ$93)="BLANK")+(UPPER($AS$93:$AZ$93)="(BLANK)")+(UPPER($AS$93:$AZ$93)="EMPTY")+(UPPER($AS$93:$AZ$93)="(EMPTY)"))&gt;0,IFERROR(('Final Calculation Sheet'!$AG$29)&amp;"","")="",ISNUMBER(SEARCH($AS$93:$AZ$93,IFERROR(('Final Calculation Sheet'!$AG$29)&amp;"","")))))&gt;0),IF(COUNTIF($BI$93:$BP$93,5)=0,TRUE,SUMPRODUCT(($BI$93:$BP$93=5)*($AS$93:$AZ$93&lt;&gt;"")*IF(((UPPER($AS$93:$AZ$93)="BLANK")+(UPPER($AS$93:$AZ$93)="(BLANK)")+(UPPER($AS$93:$AZ$93)="EMPTY")+(UPPER($AS$93:$AZ$93)="(EMPTY)"))&gt;0,IFERROR(('Final Calculation Sheet'!$AG$29)&amp;"","")="",ISNUMBER(SEARCH($AS$93:$AZ$93,IFERROR(('Final Calculation Sheet'!$AG$29)&amp;"","")))))&gt;0),IF(COUNTIF($BI$93:$BP$93,6)=0,TRUE,SUMPRODUCT(($BI$93:$BP$93=6)*($AS$93:$AZ$93&lt;&gt;"")*IF(((UPPER($AS$93:$AZ$93)="BLANK")+(UPPER($AS$93:$AZ$93)="(BLANK)")+(UPPER($AS$93:$AZ$93)="EMPTY")+(UPPER($AS$93:$AZ$93)="(EMPTY)"))&gt;0,IFERROR(('Final Calculation Sheet'!$AG$29)&amp;"","")="",ISNUMBER(SEARCH($AS$93:$AZ$93,IFERROR(('Final Calculation Sheet'!$AG$29)&amp;"","")))))&gt;0),IF(COUNTIF($BI$93:$BP$93,7)=0,TRUE,SUMPRODUCT(($BI$93:$BP$93=7)*($AS$93:$AZ$93&lt;&gt;"")*IF(((UPPER($AS$93:$AZ$93)="BLANK")+(UPPER($AS$93:$AZ$93)="(BLANK)")+(UPPER($AS$93:$AZ$93)="EMPTY")+(UPPER($AS$93:$AZ$93)="(EMPTY)"))&gt;0,IFERROR(('Final Calculation Sheet'!$AG$29)&amp;"","")="",ISNUMBER(SEARCH($AS$93:$AZ$93,IFERROR(('Final Calculation Sheet'!$AG$29)&amp;"","")))))&gt;0),IF(COUNTIF($BI$93:$BP$93,8)=0,TRUE,SUMPRODUCT(($BI$93:$BP$93=8)*($AS$93:$AZ$93&lt;&gt;"")*IF(((UPPER($AS$93:$AZ$93)="BLANK")+(UPPER($AS$93:$AZ$93)="(BLANK)")+(UPPER($AS$93:$AZ$93)="EMPTY")+(UPPER($AS$93:$AZ$93)="(EMPTY)"))&gt;0,IFERROR(('Final Calculation Sheet'!$AG$29)&amp;"","")="",ISNUMBER(SEARCH($AS$93:$AZ$93,IFERROR(('Final Calculation Sheet'!$AG$29)&amp;"","")))))&gt;0))))</f>
        <v>1</v>
      </c>
      <c r="CU30">
        <f>IF($AI$4="",1,--(AND(SUMPRODUCT(--($AS$94:$AZ$94&lt;&gt;""))&gt;0,IF(COUNTIF($BI$94:$BP$94,1)=0,TRUE,SUMPRODUCT(($BI$94:$BP$94=1)*($AS$94:$AZ$94&lt;&gt;"")*IF(((UPPER($AS$94:$AZ$94)="BLANK")+(UPPER($AS$94:$AZ$94)="(BLANK)")+(UPPER($AS$94:$AZ$94)="EMPTY")+(UPPER($AS$94:$AZ$94)="(EMPTY)"))&gt;0,IFERROR((IF('Final Calculation Sheet'!$AD$29&lt;=0,"SETTLED","OUTSTANDING"))&amp;"","")="",ISNUMBER(SEARCH($AS$94:$AZ$94,IFERROR((IF('Final Calculation Sheet'!$AD$29&lt;=0,"SETTLED","OUTSTANDING"))&amp;"","")))))&gt;0),IF(COUNTIF($BI$94:$BP$94,2)=0,TRUE,SUMPRODUCT(($BI$94:$BP$94=2)*($AS$94:$AZ$94&lt;&gt;"")*IF(((UPPER($AS$94:$AZ$94)="BLANK")+(UPPER($AS$94:$AZ$94)="(BLANK)")+(UPPER($AS$94:$AZ$94)="EMPTY")+(UPPER($AS$94:$AZ$94)="(EMPTY)"))&gt;0,IFERROR((IF('Final Calculation Sheet'!$AD$29&lt;=0,"SETTLED","OUTSTANDING"))&amp;"","")="",ISNUMBER(SEARCH($AS$94:$AZ$94,IFERROR((IF('Final Calculation Sheet'!$AD$29&lt;=0,"SETTLED","OUTSTANDING"))&amp;"","")))))&gt;0),IF(COUNTIF($BI$94:$BP$94,3)=0,TRUE,SUMPRODUCT(($BI$94:$BP$94=3)*($AS$94:$AZ$94&lt;&gt;"")*IF(((UPPER($AS$94:$AZ$94)="BLANK")+(UPPER($AS$94:$AZ$94)="(BLANK)")+(UPPER($AS$94:$AZ$94)="EMPTY")+(UPPER($AS$94:$AZ$94)="(EMPTY)"))&gt;0,IFERROR((IF('Final Calculation Sheet'!$AD$29&lt;=0,"SETTLED","OUTSTANDING"))&amp;"","")="",ISNUMBER(SEARCH($AS$94:$AZ$94,IFERROR((IF('Final Calculation Sheet'!$AD$29&lt;=0,"SETTLED","OUTSTANDING"))&amp;"","")))))&gt;0),IF(COUNTIF($BI$94:$BP$94,4)=0,TRUE,SUMPRODUCT(($BI$94:$BP$94=4)*($AS$94:$AZ$94&lt;&gt;"")*IF(((UPPER($AS$94:$AZ$94)="BLANK")+(UPPER($AS$94:$AZ$94)="(BLANK)")+(UPPER($AS$94:$AZ$94)="EMPTY")+(UPPER($AS$94:$AZ$94)="(EMPTY)"))&gt;0,IFERROR((IF('Final Calculation Sheet'!$AD$29&lt;=0,"SETTLED","OUTSTANDING"))&amp;"","")="",ISNUMBER(SEARCH($AS$94:$AZ$94,IFERROR((IF('Final Calculation Sheet'!$AD$29&lt;=0,"SETTLED","OUTSTANDING"))&amp;"","")))))&gt;0),IF(COUNTIF($BI$94:$BP$94,5)=0,TRUE,SUMPRODUCT(($BI$94:$BP$94=5)*($AS$94:$AZ$94&lt;&gt;"")*IF(((UPPER($AS$94:$AZ$94)="BLANK")+(UPPER($AS$94:$AZ$94)="(BLANK)")+(UPPER($AS$94:$AZ$94)="EMPTY")+(UPPER($AS$94:$AZ$94)="(EMPTY)"))&gt;0,IFERROR((IF('Final Calculation Sheet'!$AD$29&lt;=0,"SETTLED","OUTSTANDING"))&amp;"","")="",ISNUMBER(SEARCH($AS$94:$AZ$94,IFERROR((IF('Final Calculation Sheet'!$AD$29&lt;=0,"SETTLED","OUTSTANDING"))&amp;"","")))))&gt;0),IF(COUNTIF($BI$94:$BP$94,6)=0,TRUE,SUMPRODUCT(($BI$94:$BP$94=6)*($AS$94:$AZ$94&lt;&gt;"")*IF(((UPPER($AS$94:$AZ$94)="BLANK")+(UPPER($AS$94:$AZ$94)="(BLANK)")+(UPPER($AS$94:$AZ$94)="EMPTY")+(UPPER($AS$94:$AZ$94)="(EMPTY)"))&gt;0,IFERROR((IF('Final Calculation Sheet'!$AD$29&lt;=0,"SETTLED","OUTSTANDING"))&amp;"","")="",ISNUMBER(SEARCH($AS$94:$AZ$94,IFERROR((IF('Final Calculation Sheet'!$AD$29&lt;=0,"SETTLED","OUTSTANDING"))&amp;"","")))))&gt;0),IF(COUNTIF($BI$94:$BP$94,7)=0,TRUE,SUMPRODUCT(($BI$94:$BP$94=7)*($AS$94:$AZ$94&lt;&gt;"")*IF(((UPPER($AS$94:$AZ$94)="BLANK")+(UPPER($AS$94:$AZ$94)="(BLANK)")+(UPPER($AS$94:$AZ$94)="EMPTY")+(UPPER($AS$94:$AZ$94)="(EMPTY)"))&gt;0,IFERROR((IF('Final Calculation Sheet'!$AD$29&lt;=0,"SETTLED","OUTSTANDING"))&amp;"","")="",ISNUMBER(SEARCH($AS$94:$AZ$94,IFERROR((IF('Final Calculation Sheet'!$AD$29&lt;=0,"SETTLED","OUTSTANDING"))&amp;"","")))))&gt;0),IF(COUNTIF($BI$94:$BP$94,8)=0,TRUE,SUMPRODUCT(($BI$94:$BP$94=8)*($AS$94:$AZ$94&lt;&gt;"")*IF(((UPPER($AS$94:$AZ$94)="BLANK")+(UPPER($AS$94:$AZ$94)="(BLANK)")+(UPPER($AS$94:$AZ$94)="EMPTY")+(UPPER($AS$94:$AZ$94)="(EMPTY)"))&gt;0,IFERROR((IF('Final Calculation Sheet'!$AD$29&lt;=0,"SETTLED","OUTSTANDING"))&amp;"","")="",ISNUMBER(SEARCH($AS$94:$AZ$94,IFERROR((IF('Final Calculation Sheet'!$AD$29&lt;=0,"SETTLED","OUTSTANDING"))&amp;"","")))))&gt;0))))</f>
        <v>1</v>
      </c>
    </row>
    <row r="31" spans="1:99" ht="15" customHeight="1" x14ac:dyDescent="0.25">
      <c r="A31" s="67">
        <f>IF($BJ30&gt;0,INDEX($BA$5:$BA$41,MATCH(30,$BB$5:$BB$41,0)),IF(OR($BI30=1,$BL30=1,$BH30&gt;0),"∑",""))</f>
        <v>14</v>
      </c>
      <c r="B31" s="68">
        <f>IF($BJ30&gt;0,IF(INDEX('Final Calculation Sheet'!$F$4:$F$40,$BJ30-3)="","",INDEX('Final Calculation Sheet'!$F$4:$F$40,$BJ30-3)),"")</f>
        <v>2022</v>
      </c>
      <c r="C31" s="68" t="str">
        <f>IF($BJ30&gt;0,IF(INDEX('Final Calculation Sheet'!$G$4:$G$40,$BJ30-3)="","",INDEX('Final Calculation Sheet'!$G$4:$G$40,$BJ30-3)),IF(OR($BI30=1,$BL30=1,$BH30&gt;0),IF($BI30=1,37,IF($BL30=1,37-INDEX($BD$4:$BD$13,10),INDEX($BD$4:$BD$13,$BH30)))&amp;" lot(s)",""))</f>
        <v>NATIONAL SCRAP AND BUILDING MATERIAL SUPPLIER</v>
      </c>
      <c r="D31" s="69" t="str">
        <f>IF($BJ30&gt;0,IF(INDEX('Final Calculation Sheet'!$B$4:$B$40,$BJ30-3)="","",INDEX('Final Calculation Sheet'!$B$4:$B$40,$BJ30-3)),IF(OR($BI30=1,$BL30=1,$BH30&gt;0),IF($BI30=1,"GRAND TOTAL  —  matching + remaining",IF($BL30=1,"TOTAL MATCHED  —  every group together",IF($BH30=10,"REMAINING  —  did not match the search",IF($BH30=9,IF(COUNTIF($A$4:$AI$4,"&lt;&gt;")&gt;0,"FILTERED LOTS  —  column fields","ALL LOTS  —  nothing typed in the box"),"GROUP "&amp;$BH30&amp;" TOTAL  —  lots matching  "&amp;INDEX($AR$6:$AY$6,$BH30))))),""))</f>
        <v>Scrap of 132 KV CT</v>
      </c>
      <c r="E31" s="69">
        <f>IF($BJ30&gt;0,IF(INDEX('Final Calculation Sheet'!$D$4:$D$40,$BJ30-3)="","",INDEX('Final Calculation Sheet'!$D$4:$D$40,$BJ30-3)),IF(OR($BI30=1,$BL30=1,$BH30&gt;0),"–",""))</f>
        <v>21978</v>
      </c>
      <c r="F31" s="69">
        <f>IF($BJ30&gt;0,IF(INDEX('Final Calculation Sheet'!$A$4:$A$40,$BJ30-3)="","",INDEX('Final Calculation Sheet'!$A$4:$A$40,$BJ30-3)),IF(OR($BI30=1,$BL30=1,$BH30&gt;0),IF($BI30=1,SUM('Final Calculation Sheet'!$A$4:$A$40),IF($BL30=1,SUM('Final Calculation Sheet'!$A$4:$A$40)-SUMIFS('Final Calculation Sheet'!$A$4:$A$40,$AZ$5:$AZ$41,10),SUMIFS('Final Calculation Sheet'!$A$4:$A$40,$AZ$5:$AZ$41,$BH30))),""))</f>
        <v>3</v>
      </c>
      <c r="G31" s="69" t="str">
        <f>IF($BJ30&gt;0,IF(INDEX('Final Calculation Sheet'!$E$4:$E$40,$BJ30-3)="","",INDEX('Final Calculation Sheet'!$E$4:$E$40,$BJ30-3)),IF(OR($BI30=1,$BL30=1,$BH30&gt;0),"–",""))</f>
        <v>NO</v>
      </c>
      <c r="H31" s="70">
        <f>IF($BJ30&gt;0,IF(INDEX('Final Calculation Sheet'!$C$4:$C$40,$BJ30-3)="","",INDEX('Final Calculation Sheet'!$C$4:$C$40,$BJ30-3)),IF(OR($BI30=1,$BL30=1,$BH30&gt;0),"–",""))</f>
        <v>110200</v>
      </c>
      <c r="I31" s="70">
        <f>IF($BJ30&gt;0,IF(INDEX('Final Calculation Sheet'!$H$4:$H$40,$BJ30-3)="","",INDEX('Final Calculation Sheet'!$H$4:$H$40,$BJ30-3)),IF(OR($BI30=1,$BL30=1,$BH30&gt;0),IF($BI30=1,SUM('Final Calculation Sheet'!$H$4:$H$40),IF($BL30=1,SUM('Final Calculation Sheet'!$H$4:$H$40)-SUMIFS('Final Calculation Sheet'!$H$4:$H$40,$AZ$5:$AZ$41,10),SUMIFS('Final Calculation Sheet'!$H$4:$H$40,$AZ$5:$AZ$41,$BH30))),""))</f>
        <v>330600</v>
      </c>
      <c r="J31" s="70">
        <f>IF($BJ30&gt;0,IF(INDEX('Final Calculation Sheet'!$I$4:$I$40,$BJ30-3)="","",INDEX('Final Calculation Sheet'!$I$4:$I$40,$BJ30-3)),IF(OR($BI30=1,$BL30=1,$BH30&gt;0),IF($BI30=1,SUM('Final Calculation Sheet'!$I$4:$I$40),IF($BL30=1,SUM('Final Calculation Sheet'!$I$4:$I$40)-SUMIFS('Final Calculation Sheet'!$I$4:$I$40,$AZ$5:$AZ$41,10),SUMIFS('Final Calculation Sheet'!$I$4:$I$40,$AZ$5:$AZ$41,$BH30))),""))</f>
        <v>59508</v>
      </c>
      <c r="K31" s="70">
        <f>IF($BJ30&gt;0,IF(INDEX('Final Calculation Sheet'!$J$4:$J$40,$BJ30-3)="","",INDEX('Final Calculation Sheet'!$J$4:$J$40,$BJ30-3)),IF(OR($BI30=1,$BL30=1,$BH30&gt;0),IF($BI30=1,SUM('Final Calculation Sheet'!$J$4:$J$40),IF($BL30=1,SUM('Final Calculation Sheet'!$J$4:$J$40)-SUMIFS('Final Calculation Sheet'!$J$4:$J$40,$AZ$5:$AZ$41,10),SUMIFS('Final Calculation Sheet'!$J$4:$J$40,$AZ$5:$AZ$41,$BH30))),""))</f>
        <v>390108</v>
      </c>
      <c r="L31" s="70">
        <f>IF($BJ30&gt;0,IF(INDEX('Final Calculation Sheet'!$K$4:$K$40,$BJ30-3)="","",INDEX('Final Calculation Sheet'!$K$4:$K$40,$BJ30-3)),IF(OR($BI30=1,$BL30=1,$BH30&gt;0),IF($BI30=1,SUM('Final Calculation Sheet'!$K$4:$K$40),IF($BL30=1,SUM('Final Calculation Sheet'!$K$4:$K$40)-SUMIFS('Final Calculation Sheet'!$K$4:$K$40,$AZ$5:$AZ$41,10),SUMIFS('Final Calculation Sheet'!$K$4:$K$40,$AZ$5:$AZ$41,$BH30))),""))</f>
        <v>7802</v>
      </c>
      <c r="M31" s="70">
        <f>IF($BJ30&gt;0,IF(INDEX('Final Calculation Sheet'!$L$4:$L$40,$BJ30-3)="","",INDEX('Final Calculation Sheet'!$L$4:$L$40,$BJ30-3)),IF(OR($BI30=1,$BL30=1,$BH30&gt;0),IF($BI30=1,SUM('Final Calculation Sheet'!$L$4:$L$40),IF($BL30=1,SUM('Final Calculation Sheet'!$L$4:$L$40)-SUMIFS('Final Calculation Sheet'!$L$4:$L$40,$AZ$5:$AZ$41,10),SUMIFS('Final Calculation Sheet'!$L$4:$L$40,$AZ$5:$AZ$41,$BH30))),""))</f>
        <v>330.6</v>
      </c>
      <c r="N31" s="70">
        <f>IF($BJ30&gt;0,IF(INDEX('Final Calculation Sheet'!$M$4:$M$40,$BJ30-3)="","",INDEX('Final Calculation Sheet'!$M$4:$M$40,$BJ30-3)),IF(OR($BI30=1,$BL30=1,$BH30&gt;0),IF($BI30=1,SUM('Final Calculation Sheet'!$M$4:$M$40),IF($BL30=1,SUM('Final Calculation Sheet'!$M$4:$M$40)-SUMIFS('Final Calculation Sheet'!$M$4:$M$40,$AZ$5:$AZ$41,10),SUMIFS('Final Calculation Sheet'!$M$4:$M$40,$AZ$5:$AZ$41,$BH30))),""))</f>
        <v>8777.43</v>
      </c>
      <c r="O31" s="71">
        <f>IF($BJ30&gt;0,IF(INDEX('Final Calculation Sheet'!$N$4:$N$40,$BJ30-3)="","",INDEX('Final Calculation Sheet'!$N$4:$N$40,$BJ30-3)),IF(OR($BI30=1,$BL30=1,$BH30&gt;0),IF($BI30=1,SUM('Final Calculation Sheet'!$N$4:$N$40),IF($BL30=1,SUM('Final Calculation Sheet'!$N$4:$N$40)-SUMIFS('Final Calculation Sheet'!$N$4:$N$40,$AZ$5:$AZ$41,10),SUMIFS('Final Calculation Sheet'!$N$4:$N$40,$AZ$5:$AZ$41,$BH30))),""))</f>
        <v>148.77000000000001</v>
      </c>
      <c r="P31" s="70">
        <f>IF($BJ30&gt;0,IF(INDEX('Final Calculation Sheet'!$O$4:$O$40,$BJ30-3)="","",INDEX('Final Calculation Sheet'!$O$4:$O$40,$BJ30-3)),IF(OR($BI30=1,$BL30=1,$BH30&gt;0),IF($BI30=1,SUM('Final Calculation Sheet'!$O$4:$O$40),IF($BL30=1,SUM('Final Calculation Sheet'!$O$4:$O$40)-SUMIFS('Final Calculation Sheet'!$O$4:$O$40,$AZ$5:$AZ$41,10),SUMIFS('Final Calculation Sheet'!$O$4:$O$40,$AZ$5:$AZ$41,$BH30))),""))</f>
        <v>8628.66</v>
      </c>
      <c r="Q31" s="70">
        <f>IF($BJ30&gt;0,IF(INDEX('Final Calculation Sheet'!$P$4:$P$40,$BJ30-3)="","",INDEX('Final Calculation Sheet'!$P$4:$P$40,$BJ30-3)),IF(OR($BI30=1,$BL30=1,$BH30&gt;0),IF($BI30=1,SUM('Final Calculation Sheet'!$P$4:$P$40),IF($BL30=1,SUM('Final Calculation Sheet'!$P$4:$P$40)-SUMIFS('Final Calculation Sheet'!$P$4:$P$40,$AZ$5:$AZ$41,10),SUMIFS('Final Calculation Sheet'!$P$4:$P$40,$AZ$5:$AZ$41,$BH30))),""))</f>
        <v>8959</v>
      </c>
      <c r="R31" s="72">
        <f>IF($BJ30&gt;0,IF(INDEX('Final Calculation Sheet'!$Q$4:$Q$40,$BJ30-3)="","",INDEX('Final Calculation Sheet'!$Q$4:$Q$40,$BJ30-3)),IF(OR($BI30=1,$BL30=1,$BH30&gt;0),"–",""))</f>
        <v>0</v>
      </c>
      <c r="S31" s="70">
        <f>IF($BJ30&gt;0,IF(INDEX('Final Calculation Sheet'!$R$4:$R$40,$BJ30-3)="","",INDEX('Final Calculation Sheet'!$R$4:$R$40,$BJ30-3)),IF(OR($BI30=1,$BL30=1,$BH30&gt;0),IF($BI30=1,SUM('Final Calculation Sheet'!$R$4:$R$40),IF($BL30=1,SUM('Final Calculation Sheet'!$R$4:$R$40)-SUMIFS('Final Calculation Sheet'!$R$4:$R$40,$AZ$5:$AZ$41,10),SUMIFS('Final Calculation Sheet'!$R$4:$R$40,$AZ$5:$AZ$41,$BH30))),""))</f>
        <v>0</v>
      </c>
      <c r="T31" s="70">
        <f>IF($BJ30&gt;0,IF(INDEX('Final Calculation Sheet'!$S$4:$S$40,$BJ30-3)="","",INDEX('Final Calculation Sheet'!$S$4:$S$40,$BJ30-3)),IF(OR($BI30=1,$BL30=1,$BH30&gt;0),IF($BI30=1,SUM('Final Calculation Sheet'!$S$4:$S$40),IF($BL30=1,SUM('Final Calculation Sheet'!$S$4:$S$40)-SUMIFS('Final Calculation Sheet'!$S$4:$S$40,$AZ$5:$AZ$41,10),SUMIFS('Final Calculation Sheet'!$S$4:$S$40,$AZ$5:$AZ$41,$BH30))),""))</f>
        <v>388951</v>
      </c>
      <c r="U31" s="70">
        <f>IF($BJ30&gt;0,IF(INDEX('Final Calculation Sheet'!$T$4:$T$40,$BJ30-3)="","",INDEX('Final Calculation Sheet'!$T$4:$T$40,$BJ30-3)),IF(OR($BI30=1,$BL30=1,$BH30&gt;0),IF($BI30=1,SUM('Final Calculation Sheet'!$T$4:$T$40),IF($BL30=1,SUM('Final Calculation Sheet'!$T$4:$T$40)-SUMIFS('Final Calculation Sheet'!$T$4:$T$40,$AZ$5:$AZ$41,10),SUMIFS('Final Calculation Sheet'!$T$4:$T$40,$AZ$5:$AZ$41,$BH30))),""))</f>
        <v>82650</v>
      </c>
      <c r="V31" s="73">
        <f>IF($BJ30&gt;0,IF(INDEX('Final Calculation Sheet'!$U$4:$U$40,$BJ30-3)="","",INDEX('Final Calculation Sheet'!$U$4:$U$40,$BJ30-3)),IF(OR($BI30=1,$BL30=1,$BH30&gt;0),IF($BI30=1,SUM('Final Calculation Sheet'!$U$4:$U$40),IF($BL30=1,SUM('Final Calculation Sheet'!$U$4:$U$40)-SUMIFS('Final Calculation Sheet'!$U$4:$U$40,$AZ$5:$AZ$41,10),SUMIFS('Final Calculation Sheet'!$U$4:$U$40,$AZ$5:$AZ$41,$BH30))),""))</f>
        <v>82650</v>
      </c>
      <c r="W31" s="70" t="str">
        <f>IF($BJ30&gt;0,IF(INDEX('Final Calculation Sheet'!$V$4:$V$40,$BJ30-3)="","",INDEX('Final Calculation Sheet'!$V$4:$V$40,$BJ30-3)),IF(OR($BI30=1,$BL30=1,$BH30&gt;0),"–",""))</f>
        <v>14.08.2026</v>
      </c>
      <c r="X31" s="70">
        <f>IF($BJ30&gt;0,IF(INDEX('Final Calculation Sheet'!$W$4:$W$40,$BJ30-3)="","",INDEX('Final Calculation Sheet'!$W$4:$W$40,$BJ30-3)),IF(OR($BI30=1,$BL30=1,$BH30&gt;0),IF($BI30=1,SUM('Final Calculation Sheet'!$W$4:$W$40),IF($BL30=1,SUM('Final Calculation Sheet'!$W$4:$W$40)-SUMIFS('Final Calculation Sheet'!$W$4:$W$40,$AZ$5:$AZ$41,10),SUMIFS('Final Calculation Sheet'!$W$4:$W$40,$AZ$5:$AZ$41,$BH30))),""))</f>
        <v>306301</v>
      </c>
      <c r="Y31" s="70">
        <f>IF($BJ30&gt;0,IF(INDEX('Final Calculation Sheet'!$X$4:$X$40,$BJ30-3)="","",INDEX('Final Calculation Sheet'!$X$4:$X$40,$BJ30-3)),IF(OR($BI30=1,$BL30=1,$BH30&gt;0),IF($BI30=1,SUM('Final Calculation Sheet'!$X$4:$X$40),IF($BL30=1,SUM('Final Calculation Sheet'!$X$4:$X$40)-SUMIFS('Final Calculation Sheet'!$X$4:$X$40,$AZ$5:$AZ$41,10),SUMIFS('Final Calculation Sheet'!$X$4:$X$40,$AZ$5:$AZ$41,$BH30))),""))</f>
        <v>306301</v>
      </c>
      <c r="Z31" s="70" t="str">
        <f>IF($BJ30&gt;0,IF(INDEX('Final Calculation Sheet'!$Y$4:$Y$40,$BJ30-3)="","",INDEX('Final Calculation Sheet'!$Y$4:$Y$40,$BJ30-3)),IF(OR($BI30=1,$BL30=1,$BH30&gt;0),"–",""))</f>
        <v>21.08.2026</v>
      </c>
      <c r="AA31" s="70">
        <f ca="1">IF($BJ30&gt;0,IF(INDEX('Final Calculation Sheet'!$Z$4:$Z$40,$BJ30-3)="","",INDEX('Final Calculation Sheet'!$Z$4:$Z$40,$BJ30-3)),IF(OR($BI30=1,$BL30=1,$BH30&gt;0),IF($BI30=1,SUM('Final Calculation Sheet'!$Z$4:$Z$40),IF($BL30=1,SUM('Final Calculation Sheet'!$Z$4:$Z$40)-SUMIFS('Final Calculation Sheet'!$Z$4:$Z$40,$AZ$5:$AZ$41,10),SUMIFS('Final Calculation Sheet'!$Z$4:$Z$40,$AZ$5:$AZ$41,$BH30))),""))</f>
        <v>0</v>
      </c>
      <c r="AB31" s="70" t="str">
        <f>IF($BJ30&gt;0,IF(INDEX('Final Calculation Sheet'!$AA$4:$AA$40,$BJ30-3)="","",INDEX('Final Calculation Sheet'!$AA$4:$AA$40,$BJ30-3)),IF(OR($BI30=1,$BL30=1,$BH30&gt;0),IF($BI30=1,SUM('Final Calculation Sheet'!$AA$4:$AA$40),IF($BL30=1,SUM('Final Calculation Sheet'!$AA$4:$AA$40)-SUMIFS('Final Calculation Sheet'!$AA$4:$AA$40,$AZ$5:$AZ$41,10),SUMIFS('Final Calculation Sheet'!$AA$4:$AA$40,$AZ$5:$AZ$41,$BH30))),""))</f>
        <v/>
      </c>
      <c r="AC31" s="70" t="str">
        <f>IF($BJ30&gt;0,IF(INDEX('Final Calculation Sheet'!$AB$4:$AB$40,$BJ30-3)="","",INDEX('Final Calculation Sheet'!$AB$4:$AB$40,$BJ30-3)),IF(OR($BI30=1,$BL30=1,$BH30&gt;0),"–",""))</f>
        <v/>
      </c>
      <c r="AD31" s="70">
        <f>IF($BJ30&gt;0,IF(INDEX('Final Calculation Sheet'!$AC$4:$AC$40,$BJ30-3)="","",INDEX('Final Calculation Sheet'!$AC$4:$AC$40,$BJ30-3)),IF(OR($BI30=1,$BL30=1,$BH30&gt;0),IF($BI30=1,SUM('Final Calculation Sheet'!$AC$4:$AC$40),IF($BL30=1,SUM('Final Calculation Sheet'!$AC$4:$AC$40)-SUMIFS('Final Calculation Sheet'!$AC$4:$AC$40,$AZ$5:$AZ$41,10),SUMIFS('Final Calculation Sheet'!$AC$4:$AC$40,$AZ$5:$AZ$41,$BH30))),""))</f>
        <v>388951</v>
      </c>
      <c r="AE31" s="70">
        <f>IF($BJ30&gt;0,IF(INDEX('Final Calculation Sheet'!$AD$4:$AD$40,$BJ30-3)="","",INDEX('Final Calculation Sheet'!$AD$4:$AD$40,$BJ30-3)),IF(OR($BI30=1,$BL30=1,$BH30&gt;0),IF($BI30=1,SUM('Final Calculation Sheet'!$AD$4:$AD$40),IF($BL30=1,SUM('Final Calculation Sheet'!$AD$4:$AD$40)-SUMIFS('Final Calculation Sheet'!$AD$4:$AD$40,$AZ$5:$AZ$41,10),SUMIFS('Final Calculation Sheet'!$AD$4:$AD$40,$AZ$5:$AZ$41,$BH30))),""))</f>
        <v>0</v>
      </c>
      <c r="AF31" s="70" t="str">
        <f>IF($BJ30&gt;0,IF(INDEX('Final Calculation Sheet'!$AE$4:$AE$40,$BJ30-3)="","",INDEX('Final Calculation Sheet'!$AE$4:$AE$40,$BJ30-3)),IF(OR($BI30=1,$BL30=1,$BH30&gt;0),"–",""))</f>
        <v>DR2640100028</v>
      </c>
      <c r="AG31" s="74">
        <f>IF($BJ30&gt;0,IF(INDEX('Final Calculation Sheet'!$AF$4:$AF$40,$BJ30-3)="","",INDEX('Final Calculation Sheet'!$AF$4:$AF$40,$BJ30-3)),IF(OR($BI30=1,$BL30=1,$BH30&gt;0),"–",""))</f>
        <v>1800003269</v>
      </c>
      <c r="AH31" s="70" t="str">
        <f>IF($BJ30&gt;0,IF(INDEX('Final Calculation Sheet'!$AG$4:$AG$40,$BJ30-3)="","",INDEX('Final Calculation Sheet'!$AG$4:$AG$40,$BJ30-3)),IF(OR($BI30=1,$BL30=1,$BH30&gt;0),"–",""))</f>
        <v>24.08.2026</v>
      </c>
      <c r="AI31" s="75" t="str">
        <f>IF($BJ30&gt;0,IF(INDEX('Final Calculation Sheet'!$AD$4:$AD$40,$BJ30-3)="","",IF(INDEX('Final Calculation Sheet'!$AD$4:$AD$40,$BJ30-3)&lt;=0,"SETTLED","OUTSTANDING")),IF(OR($BI30=1,$BL30=1,$BH30&gt;0),IF(IF($BI30=1,SUM('Final Calculation Sheet'!$AD$4:$AD$40),IF($BL30=1,SUM('Final Calculation Sheet'!$AD$4:$AD$40)-SUMIFS('Final Calculation Sheet'!$AD$4:$AD$40,$AZ$5:$AZ$41,10),SUMIFS('Final Calculation Sheet'!$AD$4:$AD$40,$AZ$5:$AZ$41,$BH30)))&lt;=0,"ALL SETTLED","OUTSTANDING"),""))</f>
        <v>SETTLED</v>
      </c>
      <c r="AK31" t="str">
        <f>IF($F$3="Lot No.",'Final Calculation Sheet'!$F$30,IF($F$3="Buyer",'Final Calculation Sheet'!$G$30,IF($F$3="Lot Name",'Final Calculation Sheet'!$B$30,IF($F$3="Bid Sheet",'Final Calculation Sheet'!$D$30,IF($F$3="Unit",'Final Calculation Sheet'!$E$30,'Final Calculation Sheet'!$F$30&amp;" "&amp;'Final Calculation Sheet'!$G$30&amp;" "&amp;'Final Calculation Sheet'!$B$30)))))</f>
        <v>2043 NATIONAL ENTERPRISES Scrap of 132 KV CT</v>
      </c>
      <c r="AM31">
        <f t="shared" si="1"/>
        <v>0</v>
      </c>
      <c r="AZ31">
        <f t="shared" si="2"/>
        <v>10</v>
      </c>
      <c r="BA31">
        <f t="shared" si="3"/>
        <v>20</v>
      </c>
      <c r="BB31">
        <f t="shared" si="4"/>
        <v>36</v>
      </c>
      <c r="BC31">
        <v>30</v>
      </c>
      <c r="BH31">
        <f>IFERROR(MATCH(31,$BF$4:$BF$13,0),0)</f>
        <v>0</v>
      </c>
      <c r="BI31">
        <f>IF(31=$BG$5,1,0)</f>
        <v>0</v>
      </c>
      <c r="BJ31">
        <f>IF(OR($BH31&gt;0,$BI31=1,$BL31=1),0,IFERROR(INDEX($BC$5:$BC$41,MATCH(31,$BB$5:$BB$41,0)),0))</f>
        <v>22</v>
      </c>
      <c r="BK31">
        <f>IF($BJ31&gt;0,IF(INDEX($AZ$5:$AZ$41,MATCH(31,$BB$5:$BB$41,0))=10,1,0),IF($BH31=10,1,0))</f>
        <v>1</v>
      </c>
      <c r="BL31">
        <f>IF(31=$BG$4,1,0)</f>
        <v>0</v>
      </c>
      <c r="BM31">
        <f>IF($A$4="",1,--(AND(SUMPRODUCT(--($AS$60:$AZ$60&lt;&gt;""))&gt;0,IF(COUNTIF($BI$60:$BP$60,1)=0,TRUE,SUMPRODUCT(($BI$60:$BP$60=1)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$60,2)=0,TRUE,SUMPRODUCT(($BI$60:$BP$60=2)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$60,3)=0,TRUE,SUMPRODUCT(($BI$60:$BP$60=3)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$60,4)=0,TRUE,SUMPRODUCT(($BI$60:$BP$60=4)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$60,5)=0,TRUE,SUMPRODUCT(($BI$60:$BP$60=5)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$60,6)=0,TRUE,SUMPRODUCT(($BI$60:$BP$60=6)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$60,7)=0,TRUE,SUMPRODUCT(($BI$60:$BP$60=7)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$60,8)=0,TRUE,SUMPRODUCT(($BI$60:$BP$60=8)*($AS$60:$AZ$60&lt;&gt;"")*IF(((UPPER($AS$60:$AZ$60)="BLANK")+(UPPER($AS$60:$AZ$60)="(BLANK)")+(UPPER($AS$60:$AZ$60)="EMPTY")+(UPPER($AS$60:$AZ$60)="(EMPTY)"))&gt;0,IFERROR((ROW()-4)&amp;"","")="",ISNUMBER(SEARCH($AS$60:$AZ$60,IFERROR((ROW()-4)&amp;"","")))))&gt;0))))</f>
        <v>1</v>
      </c>
      <c r="BN31">
        <f>IF($B$4="",1,--(AND(SUMPRODUCT(--($AS$61:$AZ$61&lt;&gt;""))&gt;0,IF(COUNTIF($BI$61:$BP$61,1)=0,TRUE,SUMPRODUCT(($BI$61:$BP$61=1)*($AS$61:$AZ$61&lt;&gt;"")*IF(((UPPER($AS$61:$AZ$61)="BLANK")+(UPPER($AS$61:$AZ$61)="(BLANK)")+(UPPER($AS$61:$AZ$61)="EMPTY")+(UPPER($AS$61:$AZ$61)="(EMPTY)"))&gt;0,IFERROR(('Final Calculation Sheet'!$F$30)&amp;"","")="",ISNUMBER(SEARCH($AS$61:$AZ$61,IFERROR(('Final Calculation Sheet'!$F$30)&amp;"","")))))&gt;0),IF(COUNTIF($BI$61:$BP$61,2)=0,TRUE,SUMPRODUCT(($BI$61:$BP$61=2)*($AS$61:$AZ$61&lt;&gt;"")*IF(((UPPER($AS$61:$AZ$61)="BLANK")+(UPPER($AS$61:$AZ$61)="(BLANK)")+(UPPER($AS$61:$AZ$61)="EMPTY")+(UPPER($AS$61:$AZ$61)="(EMPTY)"))&gt;0,IFERROR(('Final Calculation Sheet'!$F$30)&amp;"","")="",ISNUMBER(SEARCH($AS$61:$AZ$61,IFERROR(('Final Calculation Sheet'!$F$30)&amp;"","")))))&gt;0),IF(COUNTIF($BI$61:$BP$61,3)=0,TRUE,SUMPRODUCT(($BI$61:$BP$61=3)*($AS$61:$AZ$61&lt;&gt;"")*IF(((UPPER($AS$61:$AZ$61)="BLANK")+(UPPER($AS$61:$AZ$61)="(BLANK)")+(UPPER($AS$61:$AZ$61)="EMPTY")+(UPPER($AS$61:$AZ$61)="(EMPTY)"))&gt;0,IFERROR(('Final Calculation Sheet'!$F$30)&amp;"","")="",ISNUMBER(SEARCH($AS$61:$AZ$61,IFERROR(('Final Calculation Sheet'!$F$30)&amp;"","")))))&gt;0),IF(COUNTIF($BI$61:$BP$61,4)=0,TRUE,SUMPRODUCT(($BI$61:$BP$61=4)*($AS$61:$AZ$61&lt;&gt;"")*IF(((UPPER($AS$61:$AZ$61)="BLANK")+(UPPER($AS$61:$AZ$61)="(BLANK)")+(UPPER($AS$61:$AZ$61)="EMPTY")+(UPPER($AS$61:$AZ$61)="(EMPTY)"))&gt;0,IFERROR(('Final Calculation Sheet'!$F$30)&amp;"","")="",ISNUMBER(SEARCH($AS$61:$AZ$61,IFERROR(('Final Calculation Sheet'!$F$30)&amp;"","")))))&gt;0),IF(COUNTIF($BI$61:$BP$61,5)=0,TRUE,SUMPRODUCT(($BI$61:$BP$61=5)*($AS$61:$AZ$61&lt;&gt;"")*IF(((UPPER($AS$61:$AZ$61)="BLANK")+(UPPER($AS$61:$AZ$61)="(BLANK)")+(UPPER($AS$61:$AZ$61)="EMPTY")+(UPPER($AS$61:$AZ$61)="(EMPTY)"))&gt;0,IFERROR(('Final Calculation Sheet'!$F$30)&amp;"","")="",ISNUMBER(SEARCH($AS$61:$AZ$61,IFERROR(('Final Calculation Sheet'!$F$30)&amp;"","")))))&gt;0),IF(COUNTIF($BI$61:$BP$61,6)=0,TRUE,SUMPRODUCT(($BI$61:$BP$61=6)*($AS$61:$AZ$61&lt;&gt;"")*IF(((UPPER($AS$61:$AZ$61)="BLANK")+(UPPER($AS$61:$AZ$61)="(BLANK)")+(UPPER($AS$61:$AZ$61)="EMPTY")+(UPPER($AS$61:$AZ$61)="(EMPTY)"))&gt;0,IFERROR(('Final Calculation Sheet'!$F$30)&amp;"","")="",ISNUMBER(SEARCH($AS$61:$AZ$61,IFERROR(('Final Calculation Sheet'!$F$30)&amp;"","")))))&gt;0),IF(COUNTIF($BI$61:$BP$61,7)=0,TRUE,SUMPRODUCT(($BI$61:$BP$61=7)*($AS$61:$AZ$61&lt;&gt;"")*IF(((UPPER($AS$61:$AZ$61)="BLANK")+(UPPER($AS$61:$AZ$61)="(BLANK)")+(UPPER($AS$61:$AZ$61)="EMPTY")+(UPPER($AS$61:$AZ$61)="(EMPTY)"))&gt;0,IFERROR(('Final Calculation Sheet'!$F$30)&amp;"","")="",ISNUMBER(SEARCH($AS$61:$AZ$61,IFERROR(('Final Calculation Sheet'!$F$30)&amp;"","")))))&gt;0),IF(COUNTIF($BI$61:$BP$61,8)=0,TRUE,SUMPRODUCT(($BI$61:$BP$61=8)*($AS$61:$AZ$61&lt;&gt;"")*IF(((UPPER($AS$61:$AZ$61)="BLANK")+(UPPER($AS$61:$AZ$61)="(BLANK)")+(UPPER($AS$61:$AZ$61)="EMPTY")+(UPPER($AS$61:$AZ$61)="(EMPTY)"))&gt;0,IFERROR(('Final Calculation Sheet'!$F$30)&amp;"","")="",ISNUMBER(SEARCH($AS$61:$AZ$61,IFERROR(('Final Calculation Sheet'!$F$30)&amp;"","")))))&gt;0))))</f>
        <v>1</v>
      </c>
      <c r="BO31">
        <f>IF($C$4="",1,--(AND(SUMPRODUCT(--($AS$62:$AZ$62&lt;&gt;""))&gt;0,IF(COUNTIF($BI$62:$BP$62,1)=0,TRUE,SUMPRODUCT(($BI$62:$BP$62=1)*($AS$62:$AZ$62&lt;&gt;"")*IF(((UPPER($AS$62:$AZ$62)="BLANK")+(UPPER($AS$62:$AZ$62)="(BLANK)")+(UPPER($AS$62:$AZ$62)="EMPTY")+(UPPER($AS$62:$AZ$62)="(EMPTY)"))&gt;0,IFERROR(('Final Calculation Sheet'!$G$30)&amp;"","")="",ISNUMBER(SEARCH($AS$62:$AZ$62,IFERROR(('Final Calculation Sheet'!$G$30)&amp;"","")))))&gt;0),IF(COUNTIF($BI$62:$BP$62,2)=0,TRUE,SUMPRODUCT(($BI$62:$BP$62=2)*($AS$62:$AZ$62&lt;&gt;"")*IF(((UPPER($AS$62:$AZ$62)="BLANK")+(UPPER($AS$62:$AZ$62)="(BLANK)")+(UPPER($AS$62:$AZ$62)="EMPTY")+(UPPER($AS$62:$AZ$62)="(EMPTY)"))&gt;0,IFERROR(('Final Calculation Sheet'!$G$30)&amp;"","")="",ISNUMBER(SEARCH($AS$62:$AZ$62,IFERROR(('Final Calculation Sheet'!$G$30)&amp;"","")))))&gt;0),IF(COUNTIF($BI$62:$BP$62,3)=0,TRUE,SUMPRODUCT(($BI$62:$BP$62=3)*($AS$62:$AZ$62&lt;&gt;"")*IF(((UPPER($AS$62:$AZ$62)="BLANK")+(UPPER($AS$62:$AZ$62)="(BLANK)")+(UPPER($AS$62:$AZ$62)="EMPTY")+(UPPER($AS$62:$AZ$62)="(EMPTY)"))&gt;0,IFERROR(('Final Calculation Sheet'!$G$30)&amp;"","")="",ISNUMBER(SEARCH($AS$62:$AZ$62,IFERROR(('Final Calculation Sheet'!$G$30)&amp;"","")))))&gt;0),IF(COUNTIF($BI$62:$BP$62,4)=0,TRUE,SUMPRODUCT(($BI$62:$BP$62=4)*($AS$62:$AZ$62&lt;&gt;"")*IF(((UPPER($AS$62:$AZ$62)="BLANK")+(UPPER($AS$62:$AZ$62)="(BLANK)")+(UPPER($AS$62:$AZ$62)="EMPTY")+(UPPER($AS$62:$AZ$62)="(EMPTY)"))&gt;0,IFERROR(('Final Calculation Sheet'!$G$30)&amp;"","")="",ISNUMBER(SEARCH($AS$62:$AZ$62,IFERROR(('Final Calculation Sheet'!$G$30)&amp;"","")))))&gt;0),IF(COUNTIF($BI$62:$BP$62,5)=0,TRUE,SUMPRODUCT(($BI$62:$BP$62=5)*($AS$62:$AZ$62&lt;&gt;"")*IF(((UPPER($AS$62:$AZ$62)="BLANK")+(UPPER($AS$62:$AZ$62)="(BLANK)")+(UPPER($AS$62:$AZ$62)="EMPTY")+(UPPER($AS$62:$AZ$62)="(EMPTY)"))&gt;0,IFERROR(('Final Calculation Sheet'!$G$30)&amp;"","")="",ISNUMBER(SEARCH($AS$62:$AZ$62,IFERROR(('Final Calculation Sheet'!$G$30)&amp;"","")))))&gt;0),IF(COUNTIF($BI$62:$BP$62,6)=0,TRUE,SUMPRODUCT(($BI$62:$BP$62=6)*($AS$62:$AZ$62&lt;&gt;"")*IF(((UPPER($AS$62:$AZ$62)="BLANK")+(UPPER($AS$62:$AZ$62)="(BLANK)")+(UPPER($AS$62:$AZ$62)="EMPTY")+(UPPER($AS$62:$AZ$62)="(EMPTY)"))&gt;0,IFERROR(('Final Calculation Sheet'!$G$30)&amp;"","")="",ISNUMBER(SEARCH($AS$62:$AZ$62,IFERROR(('Final Calculation Sheet'!$G$30)&amp;"","")))))&gt;0),IF(COUNTIF($BI$62:$BP$62,7)=0,TRUE,SUMPRODUCT(($BI$62:$BP$62=7)*($AS$62:$AZ$62&lt;&gt;"")*IF(((UPPER($AS$62:$AZ$62)="BLANK")+(UPPER($AS$62:$AZ$62)="(BLANK)")+(UPPER($AS$62:$AZ$62)="EMPTY")+(UPPER($AS$62:$AZ$62)="(EMPTY)"))&gt;0,IFERROR(('Final Calculation Sheet'!$G$30)&amp;"","")="",ISNUMBER(SEARCH($AS$62:$AZ$62,IFERROR(('Final Calculation Sheet'!$G$30)&amp;"","")))))&gt;0),IF(COUNTIF($BI$62:$BP$62,8)=0,TRUE,SUMPRODUCT(($BI$62:$BP$62=8)*($AS$62:$AZ$62&lt;&gt;"")*IF(((UPPER($AS$62:$AZ$62)="BLANK")+(UPPER($AS$62:$AZ$62)="(BLANK)")+(UPPER($AS$62:$AZ$62)="EMPTY")+(UPPER($AS$62:$AZ$62)="(EMPTY)"))&gt;0,IFERROR(('Final Calculation Sheet'!$G$30)&amp;"","")="",ISNUMBER(SEARCH($AS$62:$AZ$62,IFERROR(('Final Calculation Sheet'!$G$30)&amp;"","")))))&gt;0))))</f>
        <v>1</v>
      </c>
      <c r="BP31">
        <f>IF($D$4="",1,--(AND(SUMPRODUCT(--($AS$63:$AZ$63&lt;&gt;""))&gt;0,IF(COUNTIF($BI$63:$BP$63,1)=0,TRUE,SUMPRODUCT(($BI$63:$BP$63=1)*($AS$63:$AZ$63&lt;&gt;"")*IF(((UPPER($AS$63:$AZ$63)="BLANK")+(UPPER($AS$63:$AZ$63)="(BLANK)")+(UPPER($AS$63:$AZ$63)="EMPTY")+(UPPER($AS$63:$AZ$63)="(EMPTY)"))&gt;0,IFERROR(('Final Calculation Sheet'!$B$30)&amp;"","")="",ISNUMBER(SEARCH($AS$63:$AZ$63,IFERROR(('Final Calculation Sheet'!$B$30)&amp;"","")))))&gt;0),IF(COUNTIF($BI$63:$BP$63,2)=0,TRUE,SUMPRODUCT(($BI$63:$BP$63=2)*($AS$63:$AZ$63&lt;&gt;"")*IF(((UPPER($AS$63:$AZ$63)="BLANK")+(UPPER($AS$63:$AZ$63)="(BLANK)")+(UPPER($AS$63:$AZ$63)="EMPTY")+(UPPER($AS$63:$AZ$63)="(EMPTY)"))&gt;0,IFERROR(('Final Calculation Sheet'!$B$30)&amp;"","")="",ISNUMBER(SEARCH($AS$63:$AZ$63,IFERROR(('Final Calculation Sheet'!$B$30)&amp;"","")))))&gt;0),IF(COUNTIF($BI$63:$BP$63,3)=0,TRUE,SUMPRODUCT(($BI$63:$BP$63=3)*($AS$63:$AZ$63&lt;&gt;"")*IF(((UPPER($AS$63:$AZ$63)="BLANK")+(UPPER($AS$63:$AZ$63)="(BLANK)")+(UPPER($AS$63:$AZ$63)="EMPTY")+(UPPER($AS$63:$AZ$63)="(EMPTY)"))&gt;0,IFERROR(('Final Calculation Sheet'!$B$30)&amp;"","")="",ISNUMBER(SEARCH($AS$63:$AZ$63,IFERROR(('Final Calculation Sheet'!$B$30)&amp;"","")))))&gt;0),IF(COUNTIF($BI$63:$BP$63,4)=0,TRUE,SUMPRODUCT(($BI$63:$BP$63=4)*($AS$63:$AZ$63&lt;&gt;"")*IF(((UPPER($AS$63:$AZ$63)="BLANK")+(UPPER($AS$63:$AZ$63)="(BLANK)")+(UPPER($AS$63:$AZ$63)="EMPTY")+(UPPER($AS$63:$AZ$63)="(EMPTY)"))&gt;0,IFERROR(('Final Calculation Sheet'!$B$30)&amp;"","")="",ISNUMBER(SEARCH($AS$63:$AZ$63,IFERROR(('Final Calculation Sheet'!$B$30)&amp;"","")))))&gt;0),IF(COUNTIF($BI$63:$BP$63,5)=0,TRUE,SUMPRODUCT(($BI$63:$BP$63=5)*($AS$63:$AZ$63&lt;&gt;"")*IF(((UPPER($AS$63:$AZ$63)="BLANK")+(UPPER($AS$63:$AZ$63)="(BLANK)")+(UPPER($AS$63:$AZ$63)="EMPTY")+(UPPER($AS$63:$AZ$63)="(EMPTY)"))&gt;0,IFERROR(('Final Calculation Sheet'!$B$30)&amp;"","")="",ISNUMBER(SEARCH($AS$63:$AZ$63,IFERROR(('Final Calculation Sheet'!$B$30)&amp;"","")))))&gt;0),IF(COUNTIF($BI$63:$BP$63,6)=0,TRUE,SUMPRODUCT(($BI$63:$BP$63=6)*($AS$63:$AZ$63&lt;&gt;"")*IF(((UPPER($AS$63:$AZ$63)="BLANK")+(UPPER($AS$63:$AZ$63)="(BLANK)")+(UPPER($AS$63:$AZ$63)="EMPTY")+(UPPER($AS$63:$AZ$63)="(EMPTY)"))&gt;0,IFERROR(('Final Calculation Sheet'!$B$30)&amp;"","")="",ISNUMBER(SEARCH($AS$63:$AZ$63,IFERROR(('Final Calculation Sheet'!$B$30)&amp;"","")))))&gt;0),IF(COUNTIF($BI$63:$BP$63,7)=0,TRUE,SUMPRODUCT(($BI$63:$BP$63=7)*($AS$63:$AZ$63&lt;&gt;"")*IF(((UPPER($AS$63:$AZ$63)="BLANK")+(UPPER($AS$63:$AZ$63)="(BLANK)")+(UPPER($AS$63:$AZ$63)="EMPTY")+(UPPER($AS$63:$AZ$63)="(EMPTY)"))&gt;0,IFERROR(('Final Calculation Sheet'!$B$30)&amp;"","")="",ISNUMBER(SEARCH($AS$63:$AZ$63,IFERROR(('Final Calculation Sheet'!$B$30)&amp;"","")))))&gt;0),IF(COUNTIF($BI$63:$BP$63,8)=0,TRUE,SUMPRODUCT(($BI$63:$BP$63=8)*($AS$63:$AZ$63&lt;&gt;"")*IF(((UPPER($AS$63:$AZ$63)="BLANK")+(UPPER($AS$63:$AZ$63)="(BLANK)")+(UPPER($AS$63:$AZ$63)="EMPTY")+(UPPER($AS$63:$AZ$63)="(EMPTY)"))&gt;0,IFERROR(('Final Calculation Sheet'!$B$30)&amp;"","")="",ISNUMBER(SEARCH($AS$63:$AZ$63,IFERROR(('Final Calculation Sheet'!$B$30)&amp;"","")))))&gt;0))))</f>
        <v>1</v>
      </c>
      <c r="BQ31">
        <f>IF($E$4="",1,--(AND(SUMPRODUCT(--($AS$64:$AZ$64&lt;&gt;""))&gt;0,IF(COUNTIF($BI$64:$BP$64,1)=0,TRUE,SUMPRODUCT(($BI$64:$BP$64=1)*($AS$64:$AZ$64&lt;&gt;"")*IF(((UPPER($AS$64:$AZ$64)="BLANK")+(UPPER($AS$64:$AZ$64)="(BLANK)")+(UPPER($AS$64:$AZ$64)="EMPTY")+(UPPER($AS$64:$AZ$64)="(EMPTY)"))&gt;0,IFERROR(('Final Calculation Sheet'!$D$30)&amp;"","")="",ISNUMBER(SEARCH($AS$64:$AZ$64,IFERROR(('Final Calculation Sheet'!$D$30)&amp;"","")))))&gt;0),IF(COUNTIF($BI$64:$BP$64,2)=0,TRUE,SUMPRODUCT(($BI$64:$BP$64=2)*($AS$64:$AZ$64&lt;&gt;"")*IF(((UPPER($AS$64:$AZ$64)="BLANK")+(UPPER($AS$64:$AZ$64)="(BLANK)")+(UPPER($AS$64:$AZ$64)="EMPTY")+(UPPER($AS$64:$AZ$64)="(EMPTY)"))&gt;0,IFERROR(('Final Calculation Sheet'!$D$30)&amp;"","")="",ISNUMBER(SEARCH($AS$64:$AZ$64,IFERROR(('Final Calculation Sheet'!$D$30)&amp;"","")))))&gt;0),IF(COUNTIF($BI$64:$BP$64,3)=0,TRUE,SUMPRODUCT(($BI$64:$BP$64=3)*($AS$64:$AZ$64&lt;&gt;"")*IF(((UPPER($AS$64:$AZ$64)="BLANK")+(UPPER($AS$64:$AZ$64)="(BLANK)")+(UPPER($AS$64:$AZ$64)="EMPTY")+(UPPER($AS$64:$AZ$64)="(EMPTY)"))&gt;0,IFERROR(('Final Calculation Sheet'!$D$30)&amp;"","")="",ISNUMBER(SEARCH($AS$64:$AZ$64,IFERROR(('Final Calculation Sheet'!$D$30)&amp;"","")))))&gt;0),IF(COUNTIF($BI$64:$BP$64,4)=0,TRUE,SUMPRODUCT(($BI$64:$BP$64=4)*($AS$64:$AZ$64&lt;&gt;"")*IF(((UPPER($AS$64:$AZ$64)="BLANK")+(UPPER($AS$64:$AZ$64)="(BLANK)")+(UPPER($AS$64:$AZ$64)="EMPTY")+(UPPER($AS$64:$AZ$64)="(EMPTY)"))&gt;0,IFERROR(('Final Calculation Sheet'!$D$30)&amp;"","")="",ISNUMBER(SEARCH($AS$64:$AZ$64,IFERROR(('Final Calculation Sheet'!$D$30)&amp;"","")))))&gt;0),IF(COUNTIF($BI$64:$BP$64,5)=0,TRUE,SUMPRODUCT(($BI$64:$BP$64=5)*($AS$64:$AZ$64&lt;&gt;"")*IF(((UPPER($AS$64:$AZ$64)="BLANK")+(UPPER($AS$64:$AZ$64)="(BLANK)")+(UPPER($AS$64:$AZ$64)="EMPTY")+(UPPER($AS$64:$AZ$64)="(EMPTY)"))&gt;0,IFERROR(('Final Calculation Sheet'!$D$30)&amp;"","")="",ISNUMBER(SEARCH($AS$64:$AZ$64,IFERROR(('Final Calculation Sheet'!$D$30)&amp;"","")))))&gt;0),IF(COUNTIF($BI$64:$BP$64,6)=0,TRUE,SUMPRODUCT(($BI$64:$BP$64=6)*($AS$64:$AZ$64&lt;&gt;"")*IF(((UPPER($AS$64:$AZ$64)="BLANK")+(UPPER($AS$64:$AZ$64)="(BLANK)")+(UPPER($AS$64:$AZ$64)="EMPTY")+(UPPER($AS$64:$AZ$64)="(EMPTY)"))&gt;0,IFERROR(('Final Calculation Sheet'!$D$30)&amp;"","")="",ISNUMBER(SEARCH($AS$64:$AZ$64,IFERROR(('Final Calculation Sheet'!$D$30)&amp;"","")))))&gt;0),IF(COUNTIF($BI$64:$BP$64,7)=0,TRUE,SUMPRODUCT(($BI$64:$BP$64=7)*($AS$64:$AZ$64&lt;&gt;"")*IF(((UPPER($AS$64:$AZ$64)="BLANK")+(UPPER($AS$64:$AZ$64)="(BLANK)")+(UPPER($AS$64:$AZ$64)="EMPTY")+(UPPER($AS$64:$AZ$64)="(EMPTY)"))&gt;0,IFERROR(('Final Calculation Sheet'!$D$30)&amp;"","")="",ISNUMBER(SEARCH($AS$64:$AZ$64,IFERROR(('Final Calculation Sheet'!$D$30)&amp;"","")))))&gt;0),IF(COUNTIF($BI$64:$BP$64,8)=0,TRUE,SUMPRODUCT(($BI$64:$BP$64=8)*($AS$64:$AZ$64&lt;&gt;"")*IF(((UPPER($AS$64:$AZ$64)="BLANK")+(UPPER($AS$64:$AZ$64)="(BLANK)")+(UPPER($AS$64:$AZ$64)="EMPTY")+(UPPER($AS$64:$AZ$64)="(EMPTY)"))&gt;0,IFERROR(('Final Calculation Sheet'!$D$30)&amp;"","")="",ISNUMBER(SEARCH($AS$64:$AZ$64,IFERROR(('Final Calculation Sheet'!$D$30)&amp;"","")))))&gt;0))))</f>
        <v>1</v>
      </c>
      <c r="BR31">
        <f>IF($F$4="",1,--(AND(SUMPRODUCT(--($AS$65:$AZ$65&lt;&gt;""))&gt;0,IF(COUNTIF($BI$65:$BP$65,1)=0,TRUE,SUMPRODUCT(($BI$65:$BP$65=1)*($AS$65:$AZ$65&lt;&gt;"")*IF(((UPPER($AS$65:$AZ$65)="BLANK")+(UPPER($AS$65:$AZ$65)="(BLANK)")+(UPPER($AS$65:$AZ$65)="EMPTY")+(UPPER($AS$65:$AZ$65)="(EMPTY)"))&gt;0,IFERROR(('Final Calculation Sheet'!$A$30)&amp;"","")="",ISNUMBER(SEARCH($AS$65:$AZ$65,IFERROR(('Final Calculation Sheet'!$A$30)&amp;"","")))))&gt;0),IF(COUNTIF($BI$65:$BP$65,2)=0,TRUE,SUMPRODUCT(($BI$65:$BP$65=2)*($AS$65:$AZ$65&lt;&gt;"")*IF(((UPPER($AS$65:$AZ$65)="BLANK")+(UPPER($AS$65:$AZ$65)="(BLANK)")+(UPPER($AS$65:$AZ$65)="EMPTY")+(UPPER($AS$65:$AZ$65)="(EMPTY)"))&gt;0,IFERROR(('Final Calculation Sheet'!$A$30)&amp;"","")="",ISNUMBER(SEARCH($AS$65:$AZ$65,IFERROR(('Final Calculation Sheet'!$A$30)&amp;"","")))))&gt;0),IF(COUNTIF($BI$65:$BP$65,3)=0,TRUE,SUMPRODUCT(($BI$65:$BP$65=3)*($AS$65:$AZ$65&lt;&gt;"")*IF(((UPPER($AS$65:$AZ$65)="BLANK")+(UPPER($AS$65:$AZ$65)="(BLANK)")+(UPPER($AS$65:$AZ$65)="EMPTY")+(UPPER($AS$65:$AZ$65)="(EMPTY)"))&gt;0,IFERROR(('Final Calculation Sheet'!$A$30)&amp;"","")="",ISNUMBER(SEARCH($AS$65:$AZ$65,IFERROR(('Final Calculation Sheet'!$A$30)&amp;"","")))))&gt;0),IF(COUNTIF($BI$65:$BP$65,4)=0,TRUE,SUMPRODUCT(($BI$65:$BP$65=4)*($AS$65:$AZ$65&lt;&gt;"")*IF(((UPPER($AS$65:$AZ$65)="BLANK")+(UPPER($AS$65:$AZ$65)="(BLANK)")+(UPPER($AS$65:$AZ$65)="EMPTY")+(UPPER($AS$65:$AZ$65)="(EMPTY)"))&gt;0,IFERROR(('Final Calculation Sheet'!$A$30)&amp;"","")="",ISNUMBER(SEARCH($AS$65:$AZ$65,IFERROR(('Final Calculation Sheet'!$A$30)&amp;"","")))))&gt;0),IF(COUNTIF($BI$65:$BP$65,5)=0,TRUE,SUMPRODUCT(($BI$65:$BP$65=5)*($AS$65:$AZ$65&lt;&gt;"")*IF(((UPPER($AS$65:$AZ$65)="BLANK")+(UPPER($AS$65:$AZ$65)="(BLANK)")+(UPPER($AS$65:$AZ$65)="EMPTY")+(UPPER($AS$65:$AZ$65)="(EMPTY)"))&gt;0,IFERROR(('Final Calculation Sheet'!$A$30)&amp;"","")="",ISNUMBER(SEARCH($AS$65:$AZ$65,IFERROR(('Final Calculation Sheet'!$A$30)&amp;"","")))))&gt;0),IF(COUNTIF($BI$65:$BP$65,6)=0,TRUE,SUMPRODUCT(($BI$65:$BP$65=6)*($AS$65:$AZ$65&lt;&gt;"")*IF(((UPPER($AS$65:$AZ$65)="BLANK")+(UPPER($AS$65:$AZ$65)="(BLANK)")+(UPPER($AS$65:$AZ$65)="EMPTY")+(UPPER($AS$65:$AZ$65)="(EMPTY)"))&gt;0,IFERROR(('Final Calculation Sheet'!$A$30)&amp;"","")="",ISNUMBER(SEARCH($AS$65:$AZ$65,IFERROR(('Final Calculation Sheet'!$A$30)&amp;"","")))))&gt;0),IF(COUNTIF($BI$65:$BP$65,7)=0,TRUE,SUMPRODUCT(($BI$65:$BP$65=7)*($AS$65:$AZ$65&lt;&gt;"")*IF(((UPPER($AS$65:$AZ$65)="BLANK")+(UPPER($AS$65:$AZ$65)="(BLANK)")+(UPPER($AS$65:$AZ$65)="EMPTY")+(UPPER($AS$65:$AZ$65)="(EMPTY)"))&gt;0,IFERROR(('Final Calculation Sheet'!$A$30)&amp;"","")="",ISNUMBER(SEARCH($AS$65:$AZ$65,IFERROR(('Final Calculation Sheet'!$A$30)&amp;"","")))))&gt;0),IF(COUNTIF($BI$65:$BP$65,8)=0,TRUE,SUMPRODUCT(($BI$65:$BP$65=8)*($AS$65:$AZ$65&lt;&gt;"")*IF(((UPPER($AS$65:$AZ$65)="BLANK")+(UPPER($AS$65:$AZ$65)="(BLANK)")+(UPPER($AS$65:$AZ$65)="EMPTY")+(UPPER($AS$65:$AZ$65)="(EMPTY)"))&gt;0,IFERROR(('Final Calculation Sheet'!$A$30)&amp;"","")="",ISNUMBER(SEARCH($AS$65:$AZ$65,IFERROR(('Final Calculation Sheet'!$A$30)&amp;"","")))))&gt;0))))</f>
        <v>1</v>
      </c>
      <c r="BS31">
        <f>IF($G$4="",1,--(AND(SUMPRODUCT(--($AS$66:$AZ$66&lt;&gt;""))&gt;0,IF(COUNTIF($BI$66:$BP$66,1)=0,TRUE,SUMPRODUCT(($BI$66:$BP$66=1)*($AS$66:$AZ$66&lt;&gt;"")*IF(((UPPER($AS$66:$AZ$66)="BLANK")+(UPPER($AS$66:$AZ$66)="(BLANK)")+(UPPER($AS$66:$AZ$66)="EMPTY")+(UPPER($AS$66:$AZ$66)="(EMPTY)"))&gt;0,IFERROR(('Final Calculation Sheet'!$E$30)&amp;"","")="",ISNUMBER(SEARCH($AS$66:$AZ$66,IFERROR(('Final Calculation Sheet'!$E$30)&amp;"","")))))&gt;0),IF(COUNTIF($BI$66:$BP$66,2)=0,TRUE,SUMPRODUCT(($BI$66:$BP$66=2)*($AS$66:$AZ$66&lt;&gt;"")*IF(((UPPER($AS$66:$AZ$66)="BLANK")+(UPPER($AS$66:$AZ$66)="(BLANK)")+(UPPER($AS$66:$AZ$66)="EMPTY")+(UPPER($AS$66:$AZ$66)="(EMPTY)"))&gt;0,IFERROR(('Final Calculation Sheet'!$E$30)&amp;"","")="",ISNUMBER(SEARCH($AS$66:$AZ$66,IFERROR(('Final Calculation Sheet'!$E$30)&amp;"","")))))&gt;0),IF(COUNTIF($BI$66:$BP$66,3)=0,TRUE,SUMPRODUCT(($BI$66:$BP$66=3)*($AS$66:$AZ$66&lt;&gt;"")*IF(((UPPER($AS$66:$AZ$66)="BLANK")+(UPPER($AS$66:$AZ$66)="(BLANK)")+(UPPER($AS$66:$AZ$66)="EMPTY")+(UPPER($AS$66:$AZ$66)="(EMPTY)"))&gt;0,IFERROR(('Final Calculation Sheet'!$E$30)&amp;"","")="",ISNUMBER(SEARCH($AS$66:$AZ$66,IFERROR(('Final Calculation Sheet'!$E$30)&amp;"","")))))&gt;0),IF(COUNTIF($BI$66:$BP$66,4)=0,TRUE,SUMPRODUCT(($BI$66:$BP$66=4)*($AS$66:$AZ$66&lt;&gt;"")*IF(((UPPER($AS$66:$AZ$66)="BLANK")+(UPPER($AS$66:$AZ$66)="(BLANK)")+(UPPER($AS$66:$AZ$66)="EMPTY")+(UPPER($AS$66:$AZ$66)="(EMPTY)"))&gt;0,IFERROR(('Final Calculation Sheet'!$E$30)&amp;"","")="",ISNUMBER(SEARCH($AS$66:$AZ$66,IFERROR(('Final Calculation Sheet'!$E$30)&amp;"","")))))&gt;0),IF(COUNTIF($BI$66:$BP$66,5)=0,TRUE,SUMPRODUCT(($BI$66:$BP$66=5)*($AS$66:$AZ$66&lt;&gt;"")*IF(((UPPER($AS$66:$AZ$66)="BLANK")+(UPPER($AS$66:$AZ$66)="(BLANK)")+(UPPER($AS$66:$AZ$66)="EMPTY")+(UPPER($AS$66:$AZ$66)="(EMPTY)"))&gt;0,IFERROR(('Final Calculation Sheet'!$E$30)&amp;"","")="",ISNUMBER(SEARCH($AS$66:$AZ$66,IFERROR(('Final Calculation Sheet'!$E$30)&amp;"","")))))&gt;0),IF(COUNTIF($BI$66:$BP$66,6)=0,TRUE,SUMPRODUCT(($BI$66:$BP$66=6)*($AS$66:$AZ$66&lt;&gt;"")*IF(((UPPER($AS$66:$AZ$66)="BLANK")+(UPPER($AS$66:$AZ$66)="(BLANK)")+(UPPER($AS$66:$AZ$66)="EMPTY")+(UPPER($AS$66:$AZ$66)="(EMPTY)"))&gt;0,IFERROR(('Final Calculation Sheet'!$E$30)&amp;"","")="",ISNUMBER(SEARCH($AS$66:$AZ$66,IFERROR(('Final Calculation Sheet'!$E$30)&amp;"","")))))&gt;0),IF(COUNTIF($BI$66:$BP$66,7)=0,TRUE,SUMPRODUCT(($BI$66:$BP$66=7)*($AS$66:$AZ$66&lt;&gt;"")*IF(((UPPER($AS$66:$AZ$66)="BLANK")+(UPPER($AS$66:$AZ$66)="(BLANK)")+(UPPER($AS$66:$AZ$66)="EMPTY")+(UPPER($AS$66:$AZ$66)="(EMPTY)"))&gt;0,IFERROR(('Final Calculation Sheet'!$E$30)&amp;"","")="",ISNUMBER(SEARCH($AS$66:$AZ$66,IFERROR(('Final Calculation Sheet'!$E$30)&amp;"","")))))&gt;0),IF(COUNTIF($BI$66:$BP$66,8)=0,TRUE,SUMPRODUCT(($BI$66:$BP$66=8)*($AS$66:$AZ$66&lt;&gt;"")*IF(((UPPER($AS$66:$AZ$66)="BLANK")+(UPPER($AS$66:$AZ$66)="(BLANK)")+(UPPER($AS$66:$AZ$66)="EMPTY")+(UPPER($AS$66:$AZ$66)="(EMPTY)"))&gt;0,IFERROR(('Final Calculation Sheet'!$E$30)&amp;"","")="",ISNUMBER(SEARCH($AS$66:$AZ$66,IFERROR(('Final Calculation Sheet'!$E$30)&amp;"","")))))&gt;0))))</f>
        <v>1</v>
      </c>
      <c r="BT31">
        <f>IF($H$4="",1,--(AND(SUMPRODUCT(--($AS$67:$AZ$67&lt;&gt;""))&gt;0,IF(COUNTIF($BI$67:$BP$67,1)=0,TRUE,SUMPRODUCT(($BI$67:$BP$67=1)*($AS$67:$AZ$67&lt;&gt;"")*IF(((UPPER($AS$67:$AZ$67)="BLANK")+(UPPER($AS$67:$AZ$67)="(BLANK)")+(UPPER($AS$67:$AZ$67)="EMPTY")+(UPPER($AS$67:$AZ$67)="(EMPTY)"))&gt;0,IFERROR(('Final Calculation Sheet'!$C$30)&amp;"","")="",ISNUMBER(SEARCH($AS$67:$AZ$67,IFERROR(('Final Calculation Sheet'!$C$30)&amp;"","")))))&gt;0),IF(COUNTIF($BI$67:$BP$67,2)=0,TRUE,SUMPRODUCT(($BI$67:$BP$67=2)*($AS$67:$AZ$67&lt;&gt;"")*IF(((UPPER($AS$67:$AZ$67)="BLANK")+(UPPER($AS$67:$AZ$67)="(BLANK)")+(UPPER($AS$67:$AZ$67)="EMPTY")+(UPPER($AS$67:$AZ$67)="(EMPTY)"))&gt;0,IFERROR(('Final Calculation Sheet'!$C$30)&amp;"","")="",ISNUMBER(SEARCH($AS$67:$AZ$67,IFERROR(('Final Calculation Sheet'!$C$30)&amp;"","")))))&gt;0),IF(COUNTIF($BI$67:$BP$67,3)=0,TRUE,SUMPRODUCT(($BI$67:$BP$67=3)*($AS$67:$AZ$67&lt;&gt;"")*IF(((UPPER($AS$67:$AZ$67)="BLANK")+(UPPER($AS$67:$AZ$67)="(BLANK)")+(UPPER($AS$67:$AZ$67)="EMPTY")+(UPPER($AS$67:$AZ$67)="(EMPTY)"))&gt;0,IFERROR(('Final Calculation Sheet'!$C$30)&amp;"","")="",ISNUMBER(SEARCH($AS$67:$AZ$67,IFERROR(('Final Calculation Sheet'!$C$30)&amp;"","")))))&gt;0),IF(COUNTIF($BI$67:$BP$67,4)=0,TRUE,SUMPRODUCT(($BI$67:$BP$67=4)*($AS$67:$AZ$67&lt;&gt;"")*IF(((UPPER($AS$67:$AZ$67)="BLANK")+(UPPER($AS$67:$AZ$67)="(BLANK)")+(UPPER($AS$67:$AZ$67)="EMPTY")+(UPPER($AS$67:$AZ$67)="(EMPTY)"))&gt;0,IFERROR(('Final Calculation Sheet'!$C$30)&amp;"","")="",ISNUMBER(SEARCH($AS$67:$AZ$67,IFERROR(('Final Calculation Sheet'!$C$30)&amp;"","")))))&gt;0),IF(COUNTIF($BI$67:$BP$67,5)=0,TRUE,SUMPRODUCT(($BI$67:$BP$67=5)*($AS$67:$AZ$67&lt;&gt;"")*IF(((UPPER($AS$67:$AZ$67)="BLANK")+(UPPER($AS$67:$AZ$67)="(BLANK)")+(UPPER($AS$67:$AZ$67)="EMPTY")+(UPPER($AS$67:$AZ$67)="(EMPTY)"))&gt;0,IFERROR(('Final Calculation Sheet'!$C$30)&amp;"","")="",ISNUMBER(SEARCH($AS$67:$AZ$67,IFERROR(('Final Calculation Sheet'!$C$30)&amp;"","")))))&gt;0),IF(COUNTIF($BI$67:$BP$67,6)=0,TRUE,SUMPRODUCT(($BI$67:$BP$67=6)*($AS$67:$AZ$67&lt;&gt;"")*IF(((UPPER($AS$67:$AZ$67)="BLANK")+(UPPER($AS$67:$AZ$67)="(BLANK)")+(UPPER($AS$67:$AZ$67)="EMPTY")+(UPPER($AS$67:$AZ$67)="(EMPTY)"))&gt;0,IFERROR(('Final Calculation Sheet'!$C$30)&amp;"","")="",ISNUMBER(SEARCH($AS$67:$AZ$67,IFERROR(('Final Calculation Sheet'!$C$30)&amp;"","")))))&gt;0),IF(COUNTIF($BI$67:$BP$67,7)=0,TRUE,SUMPRODUCT(($BI$67:$BP$67=7)*($AS$67:$AZ$67&lt;&gt;"")*IF(((UPPER($AS$67:$AZ$67)="BLANK")+(UPPER($AS$67:$AZ$67)="(BLANK)")+(UPPER($AS$67:$AZ$67)="EMPTY")+(UPPER($AS$67:$AZ$67)="(EMPTY)"))&gt;0,IFERROR(('Final Calculation Sheet'!$C$30)&amp;"","")="",ISNUMBER(SEARCH($AS$67:$AZ$67,IFERROR(('Final Calculation Sheet'!$C$30)&amp;"","")))))&gt;0),IF(COUNTIF($BI$67:$BP$67,8)=0,TRUE,SUMPRODUCT(($BI$67:$BP$67=8)*($AS$67:$AZ$67&lt;&gt;"")*IF(((UPPER($AS$67:$AZ$67)="BLANK")+(UPPER($AS$67:$AZ$67)="(BLANK)")+(UPPER($AS$67:$AZ$67)="EMPTY")+(UPPER($AS$67:$AZ$67)="(EMPTY)"))&gt;0,IFERROR(('Final Calculation Sheet'!$C$30)&amp;"","")="",ISNUMBER(SEARCH($AS$67:$AZ$67,IFERROR(('Final Calculation Sheet'!$C$30)&amp;"","")))))&gt;0))))</f>
        <v>1</v>
      </c>
      <c r="BU31">
        <f>IF($I$4="",1,--(AND(SUMPRODUCT(--($AS$68:$AZ$68&lt;&gt;""))&gt;0,IF(COUNTIF($BI$68:$BP$68,1)=0,TRUE,SUMPRODUCT(($BI$68:$BP$68=1)*($AS$68:$AZ$68&lt;&gt;"")*IF(((UPPER($AS$68:$AZ$68)="BLANK")+(UPPER($AS$68:$AZ$68)="(BLANK)")+(UPPER($AS$68:$AZ$68)="EMPTY")+(UPPER($AS$68:$AZ$68)="(EMPTY)"))&gt;0,IFERROR(('Final Calculation Sheet'!$H$30)&amp;"","")="",ISNUMBER(SEARCH($AS$68:$AZ$68,IFERROR(('Final Calculation Sheet'!$H$30)&amp;"","")))))&gt;0),IF(COUNTIF($BI$68:$BP$68,2)=0,TRUE,SUMPRODUCT(($BI$68:$BP$68=2)*($AS$68:$AZ$68&lt;&gt;"")*IF(((UPPER($AS$68:$AZ$68)="BLANK")+(UPPER($AS$68:$AZ$68)="(BLANK)")+(UPPER($AS$68:$AZ$68)="EMPTY")+(UPPER($AS$68:$AZ$68)="(EMPTY)"))&gt;0,IFERROR(('Final Calculation Sheet'!$H$30)&amp;"","")="",ISNUMBER(SEARCH($AS$68:$AZ$68,IFERROR(('Final Calculation Sheet'!$H$30)&amp;"","")))))&gt;0),IF(COUNTIF($BI$68:$BP$68,3)=0,TRUE,SUMPRODUCT(($BI$68:$BP$68=3)*($AS$68:$AZ$68&lt;&gt;"")*IF(((UPPER($AS$68:$AZ$68)="BLANK")+(UPPER($AS$68:$AZ$68)="(BLANK)")+(UPPER($AS$68:$AZ$68)="EMPTY")+(UPPER($AS$68:$AZ$68)="(EMPTY)"))&gt;0,IFERROR(('Final Calculation Sheet'!$H$30)&amp;"","")="",ISNUMBER(SEARCH($AS$68:$AZ$68,IFERROR(('Final Calculation Sheet'!$H$30)&amp;"","")))))&gt;0),IF(COUNTIF($BI$68:$BP$68,4)=0,TRUE,SUMPRODUCT(($BI$68:$BP$68=4)*($AS$68:$AZ$68&lt;&gt;"")*IF(((UPPER($AS$68:$AZ$68)="BLANK")+(UPPER($AS$68:$AZ$68)="(BLANK)")+(UPPER($AS$68:$AZ$68)="EMPTY")+(UPPER($AS$68:$AZ$68)="(EMPTY)"))&gt;0,IFERROR(('Final Calculation Sheet'!$H$30)&amp;"","")="",ISNUMBER(SEARCH($AS$68:$AZ$68,IFERROR(('Final Calculation Sheet'!$H$30)&amp;"","")))))&gt;0),IF(COUNTIF($BI$68:$BP$68,5)=0,TRUE,SUMPRODUCT(($BI$68:$BP$68=5)*($AS$68:$AZ$68&lt;&gt;"")*IF(((UPPER($AS$68:$AZ$68)="BLANK")+(UPPER($AS$68:$AZ$68)="(BLANK)")+(UPPER($AS$68:$AZ$68)="EMPTY")+(UPPER($AS$68:$AZ$68)="(EMPTY)"))&gt;0,IFERROR(('Final Calculation Sheet'!$H$30)&amp;"","")="",ISNUMBER(SEARCH($AS$68:$AZ$68,IFERROR(('Final Calculation Sheet'!$H$30)&amp;"","")))))&gt;0),IF(COUNTIF($BI$68:$BP$68,6)=0,TRUE,SUMPRODUCT(($BI$68:$BP$68=6)*($AS$68:$AZ$68&lt;&gt;"")*IF(((UPPER($AS$68:$AZ$68)="BLANK")+(UPPER($AS$68:$AZ$68)="(BLANK)")+(UPPER($AS$68:$AZ$68)="EMPTY")+(UPPER($AS$68:$AZ$68)="(EMPTY)"))&gt;0,IFERROR(('Final Calculation Sheet'!$H$30)&amp;"","")="",ISNUMBER(SEARCH($AS$68:$AZ$68,IFERROR(('Final Calculation Sheet'!$H$30)&amp;"","")))))&gt;0),IF(COUNTIF($BI$68:$BP$68,7)=0,TRUE,SUMPRODUCT(($BI$68:$BP$68=7)*($AS$68:$AZ$68&lt;&gt;"")*IF(((UPPER($AS$68:$AZ$68)="BLANK")+(UPPER($AS$68:$AZ$68)="(BLANK)")+(UPPER($AS$68:$AZ$68)="EMPTY")+(UPPER($AS$68:$AZ$68)="(EMPTY)"))&gt;0,IFERROR(('Final Calculation Sheet'!$H$30)&amp;"","")="",ISNUMBER(SEARCH($AS$68:$AZ$68,IFERROR(('Final Calculation Sheet'!$H$30)&amp;"","")))))&gt;0),IF(COUNTIF($BI$68:$BP$68,8)=0,TRUE,SUMPRODUCT(($BI$68:$BP$68=8)*($AS$68:$AZ$68&lt;&gt;"")*IF(((UPPER($AS$68:$AZ$68)="BLANK")+(UPPER($AS$68:$AZ$68)="(BLANK)")+(UPPER($AS$68:$AZ$68)="EMPTY")+(UPPER($AS$68:$AZ$68)="(EMPTY)"))&gt;0,IFERROR(('Final Calculation Sheet'!$H$30)&amp;"","")="",ISNUMBER(SEARCH($AS$68:$AZ$68,IFERROR(('Final Calculation Sheet'!$H$30)&amp;"","")))))&gt;0))))</f>
        <v>1</v>
      </c>
      <c r="BV31">
        <f>IF($J$4="",1,--(AND(SUMPRODUCT(--($AS$69:$AZ$69&lt;&gt;""))&gt;0,IF(COUNTIF($BI$69:$BP$69,1)=0,TRUE,SUMPRODUCT(($BI$69:$BP$69=1)*($AS$69:$AZ$69&lt;&gt;"")*IF(((UPPER($AS$69:$AZ$69)="BLANK")+(UPPER($AS$69:$AZ$69)="(BLANK)")+(UPPER($AS$69:$AZ$69)="EMPTY")+(UPPER($AS$69:$AZ$69)="(EMPTY)"))&gt;0,IFERROR(('Final Calculation Sheet'!$I$30)&amp;"","")="",ISNUMBER(SEARCH($AS$69:$AZ$69,IFERROR(('Final Calculation Sheet'!$I$30)&amp;"","")))))&gt;0),IF(COUNTIF($BI$69:$BP$69,2)=0,TRUE,SUMPRODUCT(($BI$69:$BP$69=2)*($AS$69:$AZ$69&lt;&gt;"")*IF(((UPPER($AS$69:$AZ$69)="BLANK")+(UPPER($AS$69:$AZ$69)="(BLANK)")+(UPPER($AS$69:$AZ$69)="EMPTY")+(UPPER($AS$69:$AZ$69)="(EMPTY)"))&gt;0,IFERROR(('Final Calculation Sheet'!$I$30)&amp;"","")="",ISNUMBER(SEARCH($AS$69:$AZ$69,IFERROR(('Final Calculation Sheet'!$I$30)&amp;"","")))))&gt;0),IF(COUNTIF($BI$69:$BP$69,3)=0,TRUE,SUMPRODUCT(($BI$69:$BP$69=3)*($AS$69:$AZ$69&lt;&gt;"")*IF(((UPPER($AS$69:$AZ$69)="BLANK")+(UPPER($AS$69:$AZ$69)="(BLANK)")+(UPPER($AS$69:$AZ$69)="EMPTY")+(UPPER($AS$69:$AZ$69)="(EMPTY)"))&gt;0,IFERROR(('Final Calculation Sheet'!$I$30)&amp;"","")="",ISNUMBER(SEARCH($AS$69:$AZ$69,IFERROR(('Final Calculation Sheet'!$I$30)&amp;"","")))))&gt;0),IF(COUNTIF($BI$69:$BP$69,4)=0,TRUE,SUMPRODUCT(($BI$69:$BP$69=4)*($AS$69:$AZ$69&lt;&gt;"")*IF(((UPPER($AS$69:$AZ$69)="BLANK")+(UPPER($AS$69:$AZ$69)="(BLANK)")+(UPPER($AS$69:$AZ$69)="EMPTY")+(UPPER($AS$69:$AZ$69)="(EMPTY)"))&gt;0,IFERROR(('Final Calculation Sheet'!$I$30)&amp;"","")="",ISNUMBER(SEARCH($AS$69:$AZ$69,IFERROR(('Final Calculation Sheet'!$I$30)&amp;"","")))))&gt;0),IF(COUNTIF($BI$69:$BP$69,5)=0,TRUE,SUMPRODUCT(($BI$69:$BP$69=5)*($AS$69:$AZ$69&lt;&gt;"")*IF(((UPPER($AS$69:$AZ$69)="BLANK")+(UPPER($AS$69:$AZ$69)="(BLANK)")+(UPPER($AS$69:$AZ$69)="EMPTY")+(UPPER($AS$69:$AZ$69)="(EMPTY)"))&gt;0,IFERROR(('Final Calculation Sheet'!$I$30)&amp;"","")="",ISNUMBER(SEARCH($AS$69:$AZ$69,IFERROR(('Final Calculation Sheet'!$I$30)&amp;"","")))))&gt;0),IF(COUNTIF($BI$69:$BP$69,6)=0,TRUE,SUMPRODUCT(($BI$69:$BP$69=6)*($AS$69:$AZ$69&lt;&gt;"")*IF(((UPPER($AS$69:$AZ$69)="BLANK")+(UPPER($AS$69:$AZ$69)="(BLANK)")+(UPPER($AS$69:$AZ$69)="EMPTY")+(UPPER($AS$69:$AZ$69)="(EMPTY)"))&gt;0,IFERROR(('Final Calculation Sheet'!$I$30)&amp;"","")="",ISNUMBER(SEARCH($AS$69:$AZ$69,IFERROR(('Final Calculation Sheet'!$I$30)&amp;"","")))))&gt;0),IF(COUNTIF($BI$69:$BP$69,7)=0,TRUE,SUMPRODUCT(($BI$69:$BP$69=7)*($AS$69:$AZ$69&lt;&gt;"")*IF(((UPPER($AS$69:$AZ$69)="BLANK")+(UPPER($AS$69:$AZ$69)="(BLANK)")+(UPPER($AS$69:$AZ$69)="EMPTY")+(UPPER($AS$69:$AZ$69)="(EMPTY)"))&gt;0,IFERROR(('Final Calculation Sheet'!$I$30)&amp;"","")="",ISNUMBER(SEARCH($AS$69:$AZ$69,IFERROR(('Final Calculation Sheet'!$I$30)&amp;"","")))))&gt;0),IF(COUNTIF($BI$69:$BP$69,8)=0,TRUE,SUMPRODUCT(($BI$69:$BP$69=8)*($AS$69:$AZ$69&lt;&gt;"")*IF(((UPPER($AS$69:$AZ$69)="BLANK")+(UPPER($AS$69:$AZ$69)="(BLANK)")+(UPPER($AS$69:$AZ$69)="EMPTY")+(UPPER($AS$69:$AZ$69)="(EMPTY)"))&gt;0,IFERROR(('Final Calculation Sheet'!$I$30)&amp;"","")="",ISNUMBER(SEARCH($AS$69:$AZ$69,IFERROR(('Final Calculation Sheet'!$I$30)&amp;"","")))))&gt;0))))</f>
        <v>1</v>
      </c>
      <c r="BW31">
        <f>IF($K$4="",1,--(AND(SUMPRODUCT(--($AS$70:$AZ$70&lt;&gt;""))&gt;0,IF(COUNTIF($BI$70:$BP$70,1)=0,TRUE,SUMPRODUCT(($BI$70:$BP$70=1)*($AS$70:$AZ$70&lt;&gt;"")*IF(((UPPER($AS$70:$AZ$70)="BLANK")+(UPPER($AS$70:$AZ$70)="(BLANK)")+(UPPER($AS$70:$AZ$70)="EMPTY")+(UPPER($AS$70:$AZ$70)="(EMPTY)"))&gt;0,IFERROR(('Final Calculation Sheet'!$J$30)&amp;"","")="",ISNUMBER(SEARCH($AS$70:$AZ$70,IFERROR(('Final Calculation Sheet'!$J$30)&amp;"","")))))&gt;0),IF(COUNTIF($BI$70:$BP$70,2)=0,TRUE,SUMPRODUCT(($BI$70:$BP$70=2)*($AS$70:$AZ$70&lt;&gt;"")*IF(((UPPER($AS$70:$AZ$70)="BLANK")+(UPPER($AS$70:$AZ$70)="(BLANK)")+(UPPER($AS$70:$AZ$70)="EMPTY")+(UPPER($AS$70:$AZ$70)="(EMPTY)"))&gt;0,IFERROR(('Final Calculation Sheet'!$J$30)&amp;"","")="",ISNUMBER(SEARCH($AS$70:$AZ$70,IFERROR(('Final Calculation Sheet'!$J$30)&amp;"","")))))&gt;0),IF(COUNTIF($BI$70:$BP$70,3)=0,TRUE,SUMPRODUCT(($BI$70:$BP$70=3)*($AS$70:$AZ$70&lt;&gt;"")*IF(((UPPER($AS$70:$AZ$70)="BLANK")+(UPPER($AS$70:$AZ$70)="(BLANK)")+(UPPER($AS$70:$AZ$70)="EMPTY")+(UPPER($AS$70:$AZ$70)="(EMPTY)"))&gt;0,IFERROR(('Final Calculation Sheet'!$J$30)&amp;"","")="",ISNUMBER(SEARCH($AS$70:$AZ$70,IFERROR(('Final Calculation Sheet'!$J$30)&amp;"","")))))&gt;0),IF(COUNTIF($BI$70:$BP$70,4)=0,TRUE,SUMPRODUCT(($BI$70:$BP$70=4)*($AS$70:$AZ$70&lt;&gt;"")*IF(((UPPER($AS$70:$AZ$70)="BLANK")+(UPPER($AS$70:$AZ$70)="(BLANK)")+(UPPER($AS$70:$AZ$70)="EMPTY")+(UPPER($AS$70:$AZ$70)="(EMPTY)"))&gt;0,IFERROR(('Final Calculation Sheet'!$J$30)&amp;"","")="",ISNUMBER(SEARCH($AS$70:$AZ$70,IFERROR(('Final Calculation Sheet'!$J$30)&amp;"","")))))&gt;0),IF(COUNTIF($BI$70:$BP$70,5)=0,TRUE,SUMPRODUCT(($BI$70:$BP$70=5)*($AS$70:$AZ$70&lt;&gt;"")*IF(((UPPER($AS$70:$AZ$70)="BLANK")+(UPPER($AS$70:$AZ$70)="(BLANK)")+(UPPER($AS$70:$AZ$70)="EMPTY")+(UPPER($AS$70:$AZ$70)="(EMPTY)"))&gt;0,IFERROR(('Final Calculation Sheet'!$J$30)&amp;"","")="",ISNUMBER(SEARCH($AS$70:$AZ$70,IFERROR(('Final Calculation Sheet'!$J$30)&amp;"","")))))&gt;0),IF(COUNTIF($BI$70:$BP$70,6)=0,TRUE,SUMPRODUCT(($BI$70:$BP$70=6)*($AS$70:$AZ$70&lt;&gt;"")*IF(((UPPER($AS$70:$AZ$70)="BLANK")+(UPPER($AS$70:$AZ$70)="(BLANK)")+(UPPER($AS$70:$AZ$70)="EMPTY")+(UPPER($AS$70:$AZ$70)="(EMPTY)"))&gt;0,IFERROR(('Final Calculation Sheet'!$J$30)&amp;"","")="",ISNUMBER(SEARCH($AS$70:$AZ$70,IFERROR(('Final Calculation Sheet'!$J$30)&amp;"","")))))&gt;0),IF(COUNTIF($BI$70:$BP$70,7)=0,TRUE,SUMPRODUCT(($BI$70:$BP$70=7)*($AS$70:$AZ$70&lt;&gt;"")*IF(((UPPER($AS$70:$AZ$70)="BLANK")+(UPPER($AS$70:$AZ$70)="(BLANK)")+(UPPER($AS$70:$AZ$70)="EMPTY")+(UPPER($AS$70:$AZ$70)="(EMPTY)"))&gt;0,IFERROR(('Final Calculation Sheet'!$J$30)&amp;"","")="",ISNUMBER(SEARCH($AS$70:$AZ$70,IFERROR(('Final Calculation Sheet'!$J$30)&amp;"","")))))&gt;0),IF(COUNTIF($BI$70:$BP$70,8)=0,TRUE,SUMPRODUCT(($BI$70:$BP$70=8)*($AS$70:$AZ$70&lt;&gt;"")*IF(((UPPER($AS$70:$AZ$70)="BLANK")+(UPPER($AS$70:$AZ$70)="(BLANK)")+(UPPER($AS$70:$AZ$70)="EMPTY")+(UPPER($AS$70:$AZ$70)="(EMPTY)"))&gt;0,IFERROR(('Final Calculation Sheet'!$J$30)&amp;"","")="",ISNUMBER(SEARCH($AS$70:$AZ$70,IFERROR(('Final Calculation Sheet'!$J$30)&amp;"","")))))&gt;0))))</f>
        <v>1</v>
      </c>
      <c r="BX31">
        <f>IF($L$4="",1,--(AND(SUMPRODUCT(--($AS$71:$AZ$71&lt;&gt;""))&gt;0,IF(COUNTIF($BI$71:$BP$71,1)=0,TRUE,SUMPRODUCT(($BI$71:$BP$71=1)*($AS$71:$AZ$71&lt;&gt;"")*IF(((UPPER($AS$71:$AZ$71)="BLANK")+(UPPER($AS$71:$AZ$71)="(BLANK)")+(UPPER($AS$71:$AZ$71)="EMPTY")+(UPPER($AS$71:$AZ$71)="(EMPTY)"))&gt;0,IFERROR(('Final Calculation Sheet'!$K$30)&amp;"","")="",ISNUMBER(SEARCH($AS$71:$AZ$71,IFERROR(('Final Calculation Sheet'!$K$30)&amp;"","")))))&gt;0),IF(COUNTIF($BI$71:$BP$71,2)=0,TRUE,SUMPRODUCT(($BI$71:$BP$71=2)*($AS$71:$AZ$71&lt;&gt;"")*IF(((UPPER($AS$71:$AZ$71)="BLANK")+(UPPER($AS$71:$AZ$71)="(BLANK)")+(UPPER($AS$71:$AZ$71)="EMPTY")+(UPPER($AS$71:$AZ$71)="(EMPTY)"))&gt;0,IFERROR(('Final Calculation Sheet'!$K$30)&amp;"","")="",ISNUMBER(SEARCH($AS$71:$AZ$71,IFERROR(('Final Calculation Sheet'!$K$30)&amp;"","")))))&gt;0),IF(COUNTIF($BI$71:$BP$71,3)=0,TRUE,SUMPRODUCT(($BI$71:$BP$71=3)*($AS$71:$AZ$71&lt;&gt;"")*IF(((UPPER($AS$71:$AZ$71)="BLANK")+(UPPER($AS$71:$AZ$71)="(BLANK)")+(UPPER($AS$71:$AZ$71)="EMPTY")+(UPPER($AS$71:$AZ$71)="(EMPTY)"))&gt;0,IFERROR(('Final Calculation Sheet'!$K$30)&amp;"","")="",ISNUMBER(SEARCH($AS$71:$AZ$71,IFERROR(('Final Calculation Sheet'!$K$30)&amp;"","")))))&gt;0),IF(COUNTIF($BI$71:$BP$71,4)=0,TRUE,SUMPRODUCT(($BI$71:$BP$71=4)*($AS$71:$AZ$71&lt;&gt;"")*IF(((UPPER($AS$71:$AZ$71)="BLANK")+(UPPER($AS$71:$AZ$71)="(BLANK)")+(UPPER($AS$71:$AZ$71)="EMPTY")+(UPPER($AS$71:$AZ$71)="(EMPTY)"))&gt;0,IFERROR(('Final Calculation Sheet'!$K$30)&amp;"","")="",ISNUMBER(SEARCH($AS$71:$AZ$71,IFERROR(('Final Calculation Sheet'!$K$30)&amp;"","")))))&gt;0),IF(COUNTIF($BI$71:$BP$71,5)=0,TRUE,SUMPRODUCT(($BI$71:$BP$71=5)*($AS$71:$AZ$71&lt;&gt;"")*IF(((UPPER($AS$71:$AZ$71)="BLANK")+(UPPER($AS$71:$AZ$71)="(BLANK)")+(UPPER($AS$71:$AZ$71)="EMPTY")+(UPPER($AS$71:$AZ$71)="(EMPTY)"))&gt;0,IFERROR(('Final Calculation Sheet'!$K$30)&amp;"","")="",ISNUMBER(SEARCH($AS$71:$AZ$71,IFERROR(('Final Calculation Sheet'!$K$30)&amp;"","")))))&gt;0),IF(COUNTIF($BI$71:$BP$71,6)=0,TRUE,SUMPRODUCT(($BI$71:$BP$71=6)*($AS$71:$AZ$71&lt;&gt;"")*IF(((UPPER($AS$71:$AZ$71)="BLANK")+(UPPER($AS$71:$AZ$71)="(BLANK)")+(UPPER($AS$71:$AZ$71)="EMPTY")+(UPPER($AS$71:$AZ$71)="(EMPTY)"))&gt;0,IFERROR(('Final Calculation Sheet'!$K$30)&amp;"","")="",ISNUMBER(SEARCH($AS$71:$AZ$71,IFERROR(('Final Calculation Sheet'!$K$30)&amp;"","")))))&gt;0),IF(COUNTIF($BI$71:$BP$71,7)=0,TRUE,SUMPRODUCT(($BI$71:$BP$71=7)*($AS$71:$AZ$71&lt;&gt;"")*IF(((UPPER($AS$71:$AZ$71)="BLANK")+(UPPER($AS$71:$AZ$71)="(BLANK)")+(UPPER($AS$71:$AZ$71)="EMPTY")+(UPPER($AS$71:$AZ$71)="(EMPTY)"))&gt;0,IFERROR(('Final Calculation Sheet'!$K$30)&amp;"","")="",ISNUMBER(SEARCH($AS$71:$AZ$71,IFERROR(('Final Calculation Sheet'!$K$30)&amp;"","")))))&gt;0),IF(COUNTIF($BI$71:$BP$71,8)=0,TRUE,SUMPRODUCT(($BI$71:$BP$71=8)*($AS$71:$AZ$71&lt;&gt;"")*IF(((UPPER($AS$71:$AZ$71)="BLANK")+(UPPER($AS$71:$AZ$71)="(BLANK)")+(UPPER($AS$71:$AZ$71)="EMPTY")+(UPPER($AS$71:$AZ$71)="(EMPTY)"))&gt;0,IFERROR(('Final Calculation Sheet'!$K$30)&amp;"","")="",ISNUMBER(SEARCH($AS$71:$AZ$71,IFERROR(('Final Calculation Sheet'!$K$30)&amp;"","")))))&gt;0))))</f>
        <v>1</v>
      </c>
      <c r="BY31">
        <f>IF($M$4="",1,--(AND(SUMPRODUCT(--($AS$72:$AZ$72&lt;&gt;""))&gt;0,IF(COUNTIF($BI$72:$BP$72,1)=0,TRUE,SUMPRODUCT(($BI$72:$BP$72=1)*($AS$72:$AZ$72&lt;&gt;"")*IF(((UPPER($AS$72:$AZ$72)="BLANK")+(UPPER($AS$72:$AZ$72)="(BLANK)")+(UPPER($AS$72:$AZ$72)="EMPTY")+(UPPER($AS$72:$AZ$72)="(EMPTY)"))&gt;0,IFERROR(('Final Calculation Sheet'!$L$30)&amp;"","")="",ISNUMBER(SEARCH($AS$72:$AZ$72,IFERROR(('Final Calculation Sheet'!$L$30)&amp;"","")))))&gt;0),IF(COUNTIF($BI$72:$BP$72,2)=0,TRUE,SUMPRODUCT(($BI$72:$BP$72=2)*($AS$72:$AZ$72&lt;&gt;"")*IF(((UPPER($AS$72:$AZ$72)="BLANK")+(UPPER($AS$72:$AZ$72)="(BLANK)")+(UPPER($AS$72:$AZ$72)="EMPTY")+(UPPER($AS$72:$AZ$72)="(EMPTY)"))&gt;0,IFERROR(('Final Calculation Sheet'!$L$30)&amp;"","")="",ISNUMBER(SEARCH($AS$72:$AZ$72,IFERROR(('Final Calculation Sheet'!$L$30)&amp;"","")))))&gt;0),IF(COUNTIF($BI$72:$BP$72,3)=0,TRUE,SUMPRODUCT(($BI$72:$BP$72=3)*($AS$72:$AZ$72&lt;&gt;"")*IF(((UPPER($AS$72:$AZ$72)="BLANK")+(UPPER($AS$72:$AZ$72)="(BLANK)")+(UPPER($AS$72:$AZ$72)="EMPTY")+(UPPER($AS$72:$AZ$72)="(EMPTY)"))&gt;0,IFERROR(('Final Calculation Sheet'!$L$30)&amp;"","")="",ISNUMBER(SEARCH($AS$72:$AZ$72,IFERROR(('Final Calculation Sheet'!$L$30)&amp;"","")))))&gt;0),IF(COUNTIF($BI$72:$BP$72,4)=0,TRUE,SUMPRODUCT(($BI$72:$BP$72=4)*($AS$72:$AZ$72&lt;&gt;"")*IF(((UPPER($AS$72:$AZ$72)="BLANK")+(UPPER($AS$72:$AZ$72)="(BLANK)")+(UPPER($AS$72:$AZ$72)="EMPTY")+(UPPER($AS$72:$AZ$72)="(EMPTY)"))&gt;0,IFERROR(('Final Calculation Sheet'!$L$30)&amp;"","")="",ISNUMBER(SEARCH($AS$72:$AZ$72,IFERROR(('Final Calculation Sheet'!$L$30)&amp;"","")))))&gt;0),IF(COUNTIF($BI$72:$BP$72,5)=0,TRUE,SUMPRODUCT(($BI$72:$BP$72=5)*($AS$72:$AZ$72&lt;&gt;"")*IF(((UPPER($AS$72:$AZ$72)="BLANK")+(UPPER($AS$72:$AZ$72)="(BLANK)")+(UPPER($AS$72:$AZ$72)="EMPTY")+(UPPER($AS$72:$AZ$72)="(EMPTY)"))&gt;0,IFERROR(('Final Calculation Sheet'!$L$30)&amp;"","")="",ISNUMBER(SEARCH($AS$72:$AZ$72,IFERROR(('Final Calculation Sheet'!$L$30)&amp;"","")))))&gt;0),IF(COUNTIF($BI$72:$BP$72,6)=0,TRUE,SUMPRODUCT(($BI$72:$BP$72=6)*($AS$72:$AZ$72&lt;&gt;"")*IF(((UPPER($AS$72:$AZ$72)="BLANK")+(UPPER($AS$72:$AZ$72)="(BLANK)")+(UPPER($AS$72:$AZ$72)="EMPTY")+(UPPER($AS$72:$AZ$72)="(EMPTY)"))&gt;0,IFERROR(('Final Calculation Sheet'!$L$30)&amp;"","")="",ISNUMBER(SEARCH($AS$72:$AZ$72,IFERROR(('Final Calculation Sheet'!$L$30)&amp;"","")))))&gt;0),IF(COUNTIF($BI$72:$BP$72,7)=0,TRUE,SUMPRODUCT(($BI$72:$BP$72=7)*($AS$72:$AZ$72&lt;&gt;"")*IF(((UPPER($AS$72:$AZ$72)="BLANK")+(UPPER($AS$72:$AZ$72)="(BLANK)")+(UPPER($AS$72:$AZ$72)="EMPTY")+(UPPER($AS$72:$AZ$72)="(EMPTY)"))&gt;0,IFERROR(('Final Calculation Sheet'!$L$30)&amp;"","")="",ISNUMBER(SEARCH($AS$72:$AZ$72,IFERROR(('Final Calculation Sheet'!$L$30)&amp;"","")))))&gt;0),IF(COUNTIF($BI$72:$BP$72,8)=0,TRUE,SUMPRODUCT(($BI$72:$BP$72=8)*($AS$72:$AZ$72&lt;&gt;"")*IF(((UPPER($AS$72:$AZ$72)="BLANK")+(UPPER($AS$72:$AZ$72)="(BLANK)")+(UPPER($AS$72:$AZ$72)="EMPTY")+(UPPER($AS$72:$AZ$72)="(EMPTY)"))&gt;0,IFERROR(('Final Calculation Sheet'!$L$30)&amp;"","")="",ISNUMBER(SEARCH($AS$72:$AZ$72,IFERROR(('Final Calculation Sheet'!$L$30)&amp;"","")))))&gt;0))))</f>
        <v>1</v>
      </c>
      <c r="BZ31">
        <f>IF($N$4="",1,--(AND(SUMPRODUCT(--($AS$73:$AZ$73&lt;&gt;""))&gt;0,IF(COUNTIF($BI$73:$BP$73,1)=0,TRUE,SUMPRODUCT(($BI$73:$BP$73=1)*($AS$73:$AZ$73&lt;&gt;"")*IF(((UPPER($AS$73:$AZ$73)="BLANK")+(UPPER($AS$73:$AZ$73)="(BLANK)")+(UPPER($AS$73:$AZ$73)="EMPTY")+(UPPER($AS$73:$AZ$73)="(EMPTY)"))&gt;0,IFERROR(('Final Calculation Sheet'!$M$30)&amp;"","")="",ISNUMBER(SEARCH($AS$73:$AZ$73,IFERROR(('Final Calculation Sheet'!$M$30)&amp;"","")))))&gt;0),IF(COUNTIF($BI$73:$BP$73,2)=0,TRUE,SUMPRODUCT(($BI$73:$BP$73=2)*($AS$73:$AZ$73&lt;&gt;"")*IF(((UPPER($AS$73:$AZ$73)="BLANK")+(UPPER($AS$73:$AZ$73)="(BLANK)")+(UPPER($AS$73:$AZ$73)="EMPTY")+(UPPER($AS$73:$AZ$73)="(EMPTY)"))&gt;0,IFERROR(('Final Calculation Sheet'!$M$30)&amp;"","")="",ISNUMBER(SEARCH($AS$73:$AZ$73,IFERROR(('Final Calculation Sheet'!$M$30)&amp;"","")))))&gt;0),IF(COUNTIF($BI$73:$BP$73,3)=0,TRUE,SUMPRODUCT(($BI$73:$BP$73=3)*($AS$73:$AZ$73&lt;&gt;"")*IF(((UPPER($AS$73:$AZ$73)="BLANK")+(UPPER($AS$73:$AZ$73)="(BLANK)")+(UPPER($AS$73:$AZ$73)="EMPTY")+(UPPER($AS$73:$AZ$73)="(EMPTY)"))&gt;0,IFERROR(('Final Calculation Sheet'!$M$30)&amp;"","")="",ISNUMBER(SEARCH($AS$73:$AZ$73,IFERROR(('Final Calculation Sheet'!$M$30)&amp;"","")))))&gt;0),IF(COUNTIF($BI$73:$BP$73,4)=0,TRUE,SUMPRODUCT(($BI$73:$BP$73=4)*($AS$73:$AZ$73&lt;&gt;"")*IF(((UPPER($AS$73:$AZ$73)="BLANK")+(UPPER($AS$73:$AZ$73)="(BLANK)")+(UPPER($AS$73:$AZ$73)="EMPTY")+(UPPER($AS$73:$AZ$73)="(EMPTY)"))&gt;0,IFERROR(('Final Calculation Sheet'!$M$30)&amp;"","")="",ISNUMBER(SEARCH($AS$73:$AZ$73,IFERROR(('Final Calculation Sheet'!$M$30)&amp;"","")))))&gt;0),IF(COUNTIF($BI$73:$BP$73,5)=0,TRUE,SUMPRODUCT(($BI$73:$BP$73=5)*($AS$73:$AZ$73&lt;&gt;"")*IF(((UPPER($AS$73:$AZ$73)="BLANK")+(UPPER($AS$73:$AZ$73)="(BLANK)")+(UPPER($AS$73:$AZ$73)="EMPTY")+(UPPER($AS$73:$AZ$73)="(EMPTY)"))&gt;0,IFERROR(('Final Calculation Sheet'!$M$30)&amp;"","")="",ISNUMBER(SEARCH($AS$73:$AZ$73,IFERROR(('Final Calculation Sheet'!$M$30)&amp;"","")))))&gt;0),IF(COUNTIF($BI$73:$BP$73,6)=0,TRUE,SUMPRODUCT(($BI$73:$BP$73=6)*($AS$73:$AZ$73&lt;&gt;"")*IF(((UPPER($AS$73:$AZ$73)="BLANK")+(UPPER($AS$73:$AZ$73)="(BLANK)")+(UPPER($AS$73:$AZ$73)="EMPTY")+(UPPER($AS$73:$AZ$73)="(EMPTY)"))&gt;0,IFERROR(('Final Calculation Sheet'!$M$30)&amp;"","")="",ISNUMBER(SEARCH($AS$73:$AZ$73,IFERROR(('Final Calculation Sheet'!$M$30)&amp;"","")))))&gt;0),IF(COUNTIF($BI$73:$BP$73,7)=0,TRUE,SUMPRODUCT(($BI$73:$BP$73=7)*($AS$73:$AZ$73&lt;&gt;"")*IF(((UPPER($AS$73:$AZ$73)="BLANK")+(UPPER($AS$73:$AZ$73)="(BLANK)")+(UPPER($AS$73:$AZ$73)="EMPTY")+(UPPER($AS$73:$AZ$73)="(EMPTY)"))&gt;0,IFERROR(('Final Calculation Sheet'!$M$30)&amp;"","")="",ISNUMBER(SEARCH($AS$73:$AZ$73,IFERROR(('Final Calculation Sheet'!$M$30)&amp;"","")))))&gt;0),IF(COUNTIF($BI$73:$BP$73,8)=0,TRUE,SUMPRODUCT(($BI$73:$BP$73=8)*($AS$73:$AZ$73&lt;&gt;"")*IF(((UPPER($AS$73:$AZ$73)="BLANK")+(UPPER($AS$73:$AZ$73)="(BLANK)")+(UPPER($AS$73:$AZ$73)="EMPTY")+(UPPER($AS$73:$AZ$73)="(EMPTY)"))&gt;0,IFERROR(('Final Calculation Sheet'!$M$30)&amp;"","")="",ISNUMBER(SEARCH($AS$73:$AZ$73,IFERROR(('Final Calculation Sheet'!$M$30)&amp;"","")))))&gt;0))))</f>
        <v>1</v>
      </c>
      <c r="CA31">
        <f>IF($O$4="",1,--(AND(SUMPRODUCT(--($AS$74:$AZ$74&lt;&gt;""))&gt;0,IF(COUNTIF($BI$74:$BP$74,1)=0,TRUE,SUMPRODUCT(($BI$74:$BP$74=1)*($AS$74:$AZ$74&lt;&gt;"")*IF(((UPPER($AS$74:$AZ$74)="BLANK")+(UPPER($AS$74:$AZ$74)="(BLANK)")+(UPPER($AS$74:$AZ$74)="EMPTY")+(UPPER($AS$74:$AZ$74)="(EMPTY)"))&gt;0,IFERROR(('Final Calculation Sheet'!$N$30)&amp;"","")="",ISNUMBER(SEARCH($AS$74:$AZ$74,IFERROR(('Final Calculation Sheet'!$N$30)&amp;"","")))))&gt;0),IF(COUNTIF($BI$74:$BP$74,2)=0,TRUE,SUMPRODUCT(($BI$74:$BP$74=2)*($AS$74:$AZ$74&lt;&gt;"")*IF(((UPPER($AS$74:$AZ$74)="BLANK")+(UPPER($AS$74:$AZ$74)="(BLANK)")+(UPPER($AS$74:$AZ$74)="EMPTY")+(UPPER($AS$74:$AZ$74)="(EMPTY)"))&gt;0,IFERROR(('Final Calculation Sheet'!$N$30)&amp;"","")="",ISNUMBER(SEARCH($AS$74:$AZ$74,IFERROR(('Final Calculation Sheet'!$N$30)&amp;"","")))))&gt;0),IF(COUNTIF($BI$74:$BP$74,3)=0,TRUE,SUMPRODUCT(($BI$74:$BP$74=3)*($AS$74:$AZ$74&lt;&gt;"")*IF(((UPPER($AS$74:$AZ$74)="BLANK")+(UPPER($AS$74:$AZ$74)="(BLANK)")+(UPPER($AS$74:$AZ$74)="EMPTY")+(UPPER($AS$74:$AZ$74)="(EMPTY)"))&gt;0,IFERROR(('Final Calculation Sheet'!$N$30)&amp;"","")="",ISNUMBER(SEARCH($AS$74:$AZ$74,IFERROR(('Final Calculation Sheet'!$N$30)&amp;"","")))))&gt;0),IF(COUNTIF($BI$74:$BP$74,4)=0,TRUE,SUMPRODUCT(($BI$74:$BP$74=4)*($AS$74:$AZ$74&lt;&gt;"")*IF(((UPPER($AS$74:$AZ$74)="BLANK")+(UPPER($AS$74:$AZ$74)="(BLANK)")+(UPPER($AS$74:$AZ$74)="EMPTY")+(UPPER($AS$74:$AZ$74)="(EMPTY)"))&gt;0,IFERROR(('Final Calculation Sheet'!$N$30)&amp;"","")="",ISNUMBER(SEARCH($AS$74:$AZ$74,IFERROR(('Final Calculation Sheet'!$N$30)&amp;"","")))))&gt;0),IF(COUNTIF($BI$74:$BP$74,5)=0,TRUE,SUMPRODUCT(($BI$74:$BP$74=5)*($AS$74:$AZ$74&lt;&gt;"")*IF(((UPPER($AS$74:$AZ$74)="BLANK")+(UPPER($AS$74:$AZ$74)="(BLANK)")+(UPPER($AS$74:$AZ$74)="EMPTY")+(UPPER($AS$74:$AZ$74)="(EMPTY)"))&gt;0,IFERROR(('Final Calculation Sheet'!$N$30)&amp;"","")="",ISNUMBER(SEARCH($AS$74:$AZ$74,IFERROR(('Final Calculation Sheet'!$N$30)&amp;"","")))))&gt;0),IF(COUNTIF($BI$74:$BP$74,6)=0,TRUE,SUMPRODUCT(($BI$74:$BP$74=6)*($AS$74:$AZ$74&lt;&gt;"")*IF(((UPPER($AS$74:$AZ$74)="BLANK")+(UPPER($AS$74:$AZ$74)="(BLANK)")+(UPPER($AS$74:$AZ$74)="EMPTY")+(UPPER($AS$74:$AZ$74)="(EMPTY)"))&gt;0,IFERROR(('Final Calculation Sheet'!$N$30)&amp;"","")="",ISNUMBER(SEARCH($AS$74:$AZ$74,IFERROR(('Final Calculation Sheet'!$N$30)&amp;"","")))))&gt;0),IF(COUNTIF($BI$74:$BP$74,7)=0,TRUE,SUMPRODUCT(($BI$74:$BP$74=7)*($AS$74:$AZ$74&lt;&gt;"")*IF(((UPPER($AS$74:$AZ$74)="BLANK")+(UPPER($AS$74:$AZ$74)="(BLANK)")+(UPPER($AS$74:$AZ$74)="EMPTY")+(UPPER($AS$74:$AZ$74)="(EMPTY)"))&gt;0,IFERROR(('Final Calculation Sheet'!$N$30)&amp;"","")="",ISNUMBER(SEARCH($AS$74:$AZ$74,IFERROR(('Final Calculation Sheet'!$N$30)&amp;"","")))))&gt;0),IF(COUNTIF($BI$74:$BP$74,8)=0,TRUE,SUMPRODUCT(($BI$74:$BP$74=8)*($AS$74:$AZ$74&lt;&gt;"")*IF(((UPPER($AS$74:$AZ$74)="BLANK")+(UPPER($AS$74:$AZ$74)="(BLANK)")+(UPPER($AS$74:$AZ$74)="EMPTY")+(UPPER($AS$74:$AZ$74)="(EMPTY)"))&gt;0,IFERROR(('Final Calculation Sheet'!$N$30)&amp;"","")="",ISNUMBER(SEARCH($AS$74:$AZ$74,IFERROR(('Final Calculation Sheet'!$N$30)&amp;"","")))))&gt;0))))</f>
        <v>1</v>
      </c>
      <c r="CB31">
        <f>IF($P$4="",1,--(AND(SUMPRODUCT(--($AS$75:$AZ$75&lt;&gt;""))&gt;0,IF(COUNTIF($BI$75:$BP$75,1)=0,TRUE,SUMPRODUCT(($BI$75:$BP$75=1)*($AS$75:$AZ$75&lt;&gt;"")*IF(((UPPER($AS$75:$AZ$75)="BLANK")+(UPPER($AS$75:$AZ$75)="(BLANK)")+(UPPER($AS$75:$AZ$75)="EMPTY")+(UPPER($AS$75:$AZ$75)="(EMPTY)"))&gt;0,IFERROR(('Final Calculation Sheet'!$O$30)&amp;"","")="",ISNUMBER(SEARCH($AS$75:$AZ$75,IFERROR(('Final Calculation Sheet'!$O$30)&amp;"","")))))&gt;0),IF(COUNTIF($BI$75:$BP$75,2)=0,TRUE,SUMPRODUCT(($BI$75:$BP$75=2)*($AS$75:$AZ$75&lt;&gt;"")*IF(((UPPER($AS$75:$AZ$75)="BLANK")+(UPPER($AS$75:$AZ$75)="(BLANK)")+(UPPER($AS$75:$AZ$75)="EMPTY")+(UPPER($AS$75:$AZ$75)="(EMPTY)"))&gt;0,IFERROR(('Final Calculation Sheet'!$O$30)&amp;"","")="",ISNUMBER(SEARCH($AS$75:$AZ$75,IFERROR(('Final Calculation Sheet'!$O$30)&amp;"","")))))&gt;0),IF(COUNTIF($BI$75:$BP$75,3)=0,TRUE,SUMPRODUCT(($BI$75:$BP$75=3)*($AS$75:$AZ$75&lt;&gt;"")*IF(((UPPER($AS$75:$AZ$75)="BLANK")+(UPPER($AS$75:$AZ$75)="(BLANK)")+(UPPER($AS$75:$AZ$75)="EMPTY")+(UPPER($AS$75:$AZ$75)="(EMPTY)"))&gt;0,IFERROR(('Final Calculation Sheet'!$O$30)&amp;"","")="",ISNUMBER(SEARCH($AS$75:$AZ$75,IFERROR(('Final Calculation Sheet'!$O$30)&amp;"","")))))&gt;0),IF(COUNTIF($BI$75:$BP$75,4)=0,TRUE,SUMPRODUCT(($BI$75:$BP$75=4)*($AS$75:$AZ$75&lt;&gt;"")*IF(((UPPER($AS$75:$AZ$75)="BLANK")+(UPPER($AS$75:$AZ$75)="(BLANK)")+(UPPER($AS$75:$AZ$75)="EMPTY")+(UPPER($AS$75:$AZ$75)="(EMPTY)"))&gt;0,IFERROR(('Final Calculation Sheet'!$O$30)&amp;"","")="",ISNUMBER(SEARCH($AS$75:$AZ$75,IFERROR(('Final Calculation Sheet'!$O$30)&amp;"","")))))&gt;0),IF(COUNTIF($BI$75:$BP$75,5)=0,TRUE,SUMPRODUCT(($BI$75:$BP$75=5)*($AS$75:$AZ$75&lt;&gt;"")*IF(((UPPER($AS$75:$AZ$75)="BLANK")+(UPPER($AS$75:$AZ$75)="(BLANK)")+(UPPER($AS$75:$AZ$75)="EMPTY")+(UPPER($AS$75:$AZ$75)="(EMPTY)"))&gt;0,IFERROR(('Final Calculation Sheet'!$O$30)&amp;"","")="",ISNUMBER(SEARCH($AS$75:$AZ$75,IFERROR(('Final Calculation Sheet'!$O$30)&amp;"","")))))&gt;0),IF(COUNTIF($BI$75:$BP$75,6)=0,TRUE,SUMPRODUCT(($BI$75:$BP$75=6)*($AS$75:$AZ$75&lt;&gt;"")*IF(((UPPER($AS$75:$AZ$75)="BLANK")+(UPPER($AS$75:$AZ$75)="(BLANK)")+(UPPER($AS$75:$AZ$75)="EMPTY")+(UPPER($AS$75:$AZ$75)="(EMPTY)"))&gt;0,IFERROR(('Final Calculation Sheet'!$O$30)&amp;"","")="",ISNUMBER(SEARCH($AS$75:$AZ$75,IFERROR(('Final Calculation Sheet'!$O$30)&amp;"","")))))&gt;0),IF(COUNTIF($BI$75:$BP$75,7)=0,TRUE,SUMPRODUCT(($BI$75:$BP$75=7)*($AS$75:$AZ$75&lt;&gt;"")*IF(((UPPER($AS$75:$AZ$75)="BLANK")+(UPPER($AS$75:$AZ$75)="(BLANK)")+(UPPER($AS$75:$AZ$75)="EMPTY")+(UPPER($AS$75:$AZ$75)="(EMPTY)"))&gt;0,IFERROR(('Final Calculation Sheet'!$O$30)&amp;"","")="",ISNUMBER(SEARCH($AS$75:$AZ$75,IFERROR(('Final Calculation Sheet'!$O$30)&amp;"","")))))&gt;0),IF(COUNTIF($BI$75:$BP$75,8)=0,TRUE,SUMPRODUCT(($BI$75:$BP$75=8)*($AS$75:$AZ$75&lt;&gt;"")*IF(((UPPER($AS$75:$AZ$75)="BLANK")+(UPPER($AS$75:$AZ$75)="(BLANK)")+(UPPER($AS$75:$AZ$75)="EMPTY")+(UPPER($AS$75:$AZ$75)="(EMPTY)"))&gt;0,IFERROR(('Final Calculation Sheet'!$O$30)&amp;"","")="",ISNUMBER(SEARCH($AS$75:$AZ$75,IFERROR(('Final Calculation Sheet'!$O$30)&amp;"","")))))&gt;0))))</f>
        <v>1</v>
      </c>
      <c r="CC31">
        <f>IF($Q$4="",1,--(AND(SUMPRODUCT(--($AS$76:$AZ$76&lt;&gt;""))&gt;0,IF(COUNTIF($BI$76:$BP$76,1)=0,TRUE,SUMPRODUCT(($BI$76:$BP$76=1)*($AS$76:$AZ$76&lt;&gt;"")*IF(((UPPER($AS$76:$AZ$76)="BLANK")+(UPPER($AS$76:$AZ$76)="(BLANK)")+(UPPER($AS$76:$AZ$76)="EMPTY")+(UPPER($AS$76:$AZ$76)="(EMPTY)"))&gt;0,IFERROR(('Final Calculation Sheet'!$P$30)&amp;"","")="",ISNUMBER(SEARCH($AS$76:$AZ$76,IFERROR(('Final Calculation Sheet'!$P$30)&amp;"","")))))&gt;0),IF(COUNTIF($BI$76:$BP$76,2)=0,TRUE,SUMPRODUCT(($BI$76:$BP$76=2)*($AS$76:$AZ$76&lt;&gt;"")*IF(((UPPER($AS$76:$AZ$76)="BLANK")+(UPPER($AS$76:$AZ$76)="(BLANK)")+(UPPER($AS$76:$AZ$76)="EMPTY")+(UPPER($AS$76:$AZ$76)="(EMPTY)"))&gt;0,IFERROR(('Final Calculation Sheet'!$P$30)&amp;"","")="",ISNUMBER(SEARCH($AS$76:$AZ$76,IFERROR(('Final Calculation Sheet'!$P$30)&amp;"","")))))&gt;0),IF(COUNTIF($BI$76:$BP$76,3)=0,TRUE,SUMPRODUCT(($BI$76:$BP$76=3)*($AS$76:$AZ$76&lt;&gt;"")*IF(((UPPER($AS$76:$AZ$76)="BLANK")+(UPPER($AS$76:$AZ$76)="(BLANK)")+(UPPER($AS$76:$AZ$76)="EMPTY")+(UPPER($AS$76:$AZ$76)="(EMPTY)"))&gt;0,IFERROR(('Final Calculation Sheet'!$P$30)&amp;"","")="",ISNUMBER(SEARCH($AS$76:$AZ$76,IFERROR(('Final Calculation Sheet'!$P$30)&amp;"","")))))&gt;0),IF(COUNTIF($BI$76:$BP$76,4)=0,TRUE,SUMPRODUCT(($BI$76:$BP$76=4)*($AS$76:$AZ$76&lt;&gt;"")*IF(((UPPER($AS$76:$AZ$76)="BLANK")+(UPPER($AS$76:$AZ$76)="(BLANK)")+(UPPER($AS$76:$AZ$76)="EMPTY")+(UPPER($AS$76:$AZ$76)="(EMPTY)"))&gt;0,IFERROR(('Final Calculation Sheet'!$P$30)&amp;"","")="",ISNUMBER(SEARCH($AS$76:$AZ$76,IFERROR(('Final Calculation Sheet'!$P$30)&amp;"","")))))&gt;0),IF(COUNTIF($BI$76:$BP$76,5)=0,TRUE,SUMPRODUCT(($BI$76:$BP$76=5)*($AS$76:$AZ$76&lt;&gt;"")*IF(((UPPER($AS$76:$AZ$76)="BLANK")+(UPPER($AS$76:$AZ$76)="(BLANK)")+(UPPER($AS$76:$AZ$76)="EMPTY")+(UPPER($AS$76:$AZ$76)="(EMPTY)"))&gt;0,IFERROR(('Final Calculation Sheet'!$P$30)&amp;"","")="",ISNUMBER(SEARCH($AS$76:$AZ$76,IFERROR(('Final Calculation Sheet'!$P$30)&amp;"","")))))&gt;0),IF(COUNTIF($BI$76:$BP$76,6)=0,TRUE,SUMPRODUCT(($BI$76:$BP$76=6)*($AS$76:$AZ$76&lt;&gt;"")*IF(((UPPER($AS$76:$AZ$76)="BLANK")+(UPPER($AS$76:$AZ$76)="(BLANK)")+(UPPER($AS$76:$AZ$76)="EMPTY")+(UPPER($AS$76:$AZ$76)="(EMPTY)"))&gt;0,IFERROR(('Final Calculation Sheet'!$P$30)&amp;"","")="",ISNUMBER(SEARCH($AS$76:$AZ$76,IFERROR(('Final Calculation Sheet'!$P$30)&amp;"","")))))&gt;0),IF(COUNTIF($BI$76:$BP$76,7)=0,TRUE,SUMPRODUCT(($BI$76:$BP$76=7)*($AS$76:$AZ$76&lt;&gt;"")*IF(((UPPER($AS$76:$AZ$76)="BLANK")+(UPPER($AS$76:$AZ$76)="(BLANK)")+(UPPER($AS$76:$AZ$76)="EMPTY")+(UPPER($AS$76:$AZ$76)="(EMPTY)"))&gt;0,IFERROR(('Final Calculation Sheet'!$P$30)&amp;"","")="",ISNUMBER(SEARCH($AS$76:$AZ$76,IFERROR(('Final Calculation Sheet'!$P$30)&amp;"","")))))&gt;0),IF(COUNTIF($BI$76:$BP$76,8)=0,TRUE,SUMPRODUCT(($BI$76:$BP$76=8)*($AS$76:$AZ$76&lt;&gt;"")*IF(((UPPER($AS$76:$AZ$76)="BLANK")+(UPPER($AS$76:$AZ$76)="(BLANK)")+(UPPER($AS$76:$AZ$76)="EMPTY")+(UPPER($AS$76:$AZ$76)="(EMPTY)"))&gt;0,IFERROR(('Final Calculation Sheet'!$P$30)&amp;"","")="",ISNUMBER(SEARCH($AS$76:$AZ$76,IFERROR(('Final Calculation Sheet'!$P$30)&amp;"","")))))&gt;0))))</f>
        <v>1</v>
      </c>
      <c r="CD31">
        <f>IF($R$4="",1,--(AND(SUMPRODUCT(--($AS$77:$AZ$77&lt;&gt;""))&gt;0,IF(COUNTIF($BI$77:$BP$77,1)=0,TRUE,SUMPRODUCT(($BI$77:$BP$77=1)*($AS$77:$AZ$77&lt;&gt;"")*IF(((UPPER($AS$77:$AZ$77)="BLANK")+(UPPER($AS$77:$AZ$77)="(BLANK)")+(UPPER($AS$77:$AZ$77)="EMPTY")+(UPPER($AS$77:$AZ$77)="(EMPTY)"))&gt;0,IFERROR(('Final Calculation Sheet'!$Q$30)&amp;"","")="",ISNUMBER(SEARCH($AS$77:$AZ$77,IFERROR(('Final Calculation Sheet'!$Q$30)&amp;"","")))))&gt;0),IF(COUNTIF($BI$77:$BP$77,2)=0,TRUE,SUMPRODUCT(($BI$77:$BP$77=2)*($AS$77:$AZ$77&lt;&gt;"")*IF(((UPPER($AS$77:$AZ$77)="BLANK")+(UPPER($AS$77:$AZ$77)="(BLANK)")+(UPPER($AS$77:$AZ$77)="EMPTY")+(UPPER($AS$77:$AZ$77)="(EMPTY)"))&gt;0,IFERROR(('Final Calculation Sheet'!$Q$30)&amp;"","")="",ISNUMBER(SEARCH($AS$77:$AZ$77,IFERROR(('Final Calculation Sheet'!$Q$30)&amp;"","")))))&gt;0),IF(COUNTIF($BI$77:$BP$77,3)=0,TRUE,SUMPRODUCT(($BI$77:$BP$77=3)*($AS$77:$AZ$77&lt;&gt;"")*IF(((UPPER($AS$77:$AZ$77)="BLANK")+(UPPER($AS$77:$AZ$77)="(BLANK)")+(UPPER($AS$77:$AZ$77)="EMPTY")+(UPPER($AS$77:$AZ$77)="(EMPTY)"))&gt;0,IFERROR(('Final Calculation Sheet'!$Q$30)&amp;"","")="",ISNUMBER(SEARCH($AS$77:$AZ$77,IFERROR(('Final Calculation Sheet'!$Q$30)&amp;"","")))))&gt;0),IF(COUNTIF($BI$77:$BP$77,4)=0,TRUE,SUMPRODUCT(($BI$77:$BP$77=4)*($AS$77:$AZ$77&lt;&gt;"")*IF(((UPPER($AS$77:$AZ$77)="BLANK")+(UPPER($AS$77:$AZ$77)="(BLANK)")+(UPPER($AS$77:$AZ$77)="EMPTY")+(UPPER($AS$77:$AZ$77)="(EMPTY)"))&gt;0,IFERROR(('Final Calculation Sheet'!$Q$30)&amp;"","")="",ISNUMBER(SEARCH($AS$77:$AZ$77,IFERROR(('Final Calculation Sheet'!$Q$30)&amp;"","")))))&gt;0),IF(COUNTIF($BI$77:$BP$77,5)=0,TRUE,SUMPRODUCT(($BI$77:$BP$77=5)*($AS$77:$AZ$77&lt;&gt;"")*IF(((UPPER($AS$77:$AZ$77)="BLANK")+(UPPER($AS$77:$AZ$77)="(BLANK)")+(UPPER($AS$77:$AZ$77)="EMPTY")+(UPPER($AS$77:$AZ$77)="(EMPTY)"))&gt;0,IFERROR(('Final Calculation Sheet'!$Q$30)&amp;"","")="",ISNUMBER(SEARCH($AS$77:$AZ$77,IFERROR(('Final Calculation Sheet'!$Q$30)&amp;"","")))))&gt;0),IF(COUNTIF($BI$77:$BP$77,6)=0,TRUE,SUMPRODUCT(($BI$77:$BP$77=6)*($AS$77:$AZ$77&lt;&gt;"")*IF(((UPPER($AS$77:$AZ$77)="BLANK")+(UPPER($AS$77:$AZ$77)="(BLANK)")+(UPPER($AS$77:$AZ$77)="EMPTY")+(UPPER($AS$77:$AZ$77)="(EMPTY)"))&gt;0,IFERROR(('Final Calculation Sheet'!$Q$30)&amp;"","")="",ISNUMBER(SEARCH($AS$77:$AZ$77,IFERROR(('Final Calculation Sheet'!$Q$30)&amp;"","")))))&gt;0),IF(COUNTIF($BI$77:$BP$77,7)=0,TRUE,SUMPRODUCT(($BI$77:$BP$77=7)*($AS$77:$AZ$77&lt;&gt;"")*IF(((UPPER($AS$77:$AZ$77)="BLANK")+(UPPER($AS$77:$AZ$77)="(BLANK)")+(UPPER($AS$77:$AZ$77)="EMPTY")+(UPPER($AS$77:$AZ$77)="(EMPTY)"))&gt;0,IFERROR(('Final Calculation Sheet'!$Q$30)&amp;"","")="",ISNUMBER(SEARCH($AS$77:$AZ$77,IFERROR(('Final Calculation Sheet'!$Q$30)&amp;"","")))))&gt;0),IF(COUNTIF($BI$77:$BP$77,8)=0,TRUE,SUMPRODUCT(($BI$77:$BP$77=8)*($AS$77:$AZ$77&lt;&gt;"")*IF(((UPPER($AS$77:$AZ$77)="BLANK")+(UPPER($AS$77:$AZ$77)="(BLANK)")+(UPPER($AS$77:$AZ$77)="EMPTY")+(UPPER($AS$77:$AZ$77)="(EMPTY)"))&gt;0,IFERROR(('Final Calculation Sheet'!$Q$30)&amp;"","")="",ISNUMBER(SEARCH($AS$77:$AZ$77,IFERROR(('Final Calculation Sheet'!$Q$30)&amp;"","")))))&gt;0))))</f>
        <v>1</v>
      </c>
      <c r="CE31">
        <f>IF($S$4="",1,--(AND(SUMPRODUCT(--($AS$78:$AZ$78&lt;&gt;""))&gt;0,IF(COUNTIF($BI$78:$BP$78,1)=0,TRUE,SUMPRODUCT(($BI$78:$BP$78=1)*($AS$78:$AZ$78&lt;&gt;"")*IF(((UPPER($AS$78:$AZ$78)="BLANK")+(UPPER($AS$78:$AZ$78)="(BLANK)")+(UPPER($AS$78:$AZ$78)="EMPTY")+(UPPER($AS$78:$AZ$78)="(EMPTY)"))&gt;0,IFERROR(('Final Calculation Sheet'!$R$30)&amp;"","")="",ISNUMBER(SEARCH($AS$78:$AZ$78,IFERROR(('Final Calculation Sheet'!$R$30)&amp;"","")))))&gt;0),IF(COUNTIF($BI$78:$BP$78,2)=0,TRUE,SUMPRODUCT(($BI$78:$BP$78=2)*($AS$78:$AZ$78&lt;&gt;"")*IF(((UPPER($AS$78:$AZ$78)="BLANK")+(UPPER($AS$78:$AZ$78)="(BLANK)")+(UPPER($AS$78:$AZ$78)="EMPTY")+(UPPER($AS$78:$AZ$78)="(EMPTY)"))&gt;0,IFERROR(('Final Calculation Sheet'!$R$30)&amp;"","")="",ISNUMBER(SEARCH($AS$78:$AZ$78,IFERROR(('Final Calculation Sheet'!$R$30)&amp;"","")))))&gt;0),IF(COUNTIF($BI$78:$BP$78,3)=0,TRUE,SUMPRODUCT(($BI$78:$BP$78=3)*($AS$78:$AZ$78&lt;&gt;"")*IF(((UPPER($AS$78:$AZ$78)="BLANK")+(UPPER($AS$78:$AZ$78)="(BLANK)")+(UPPER($AS$78:$AZ$78)="EMPTY")+(UPPER($AS$78:$AZ$78)="(EMPTY)"))&gt;0,IFERROR(('Final Calculation Sheet'!$R$30)&amp;"","")="",ISNUMBER(SEARCH($AS$78:$AZ$78,IFERROR(('Final Calculation Sheet'!$R$30)&amp;"","")))))&gt;0),IF(COUNTIF($BI$78:$BP$78,4)=0,TRUE,SUMPRODUCT(($BI$78:$BP$78=4)*($AS$78:$AZ$78&lt;&gt;"")*IF(((UPPER($AS$78:$AZ$78)="BLANK")+(UPPER($AS$78:$AZ$78)="(BLANK)")+(UPPER($AS$78:$AZ$78)="EMPTY")+(UPPER($AS$78:$AZ$78)="(EMPTY)"))&gt;0,IFERROR(('Final Calculation Sheet'!$R$30)&amp;"","")="",ISNUMBER(SEARCH($AS$78:$AZ$78,IFERROR(('Final Calculation Sheet'!$R$30)&amp;"","")))))&gt;0),IF(COUNTIF($BI$78:$BP$78,5)=0,TRUE,SUMPRODUCT(($BI$78:$BP$78=5)*($AS$78:$AZ$78&lt;&gt;"")*IF(((UPPER($AS$78:$AZ$78)="BLANK")+(UPPER($AS$78:$AZ$78)="(BLANK)")+(UPPER($AS$78:$AZ$78)="EMPTY")+(UPPER($AS$78:$AZ$78)="(EMPTY)"))&gt;0,IFERROR(('Final Calculation Sheet'!$R$30)&amp;"","")="",ISNUMBER(SEARCH($AS$78:$AZ$78,IFERROR(('Final Calculation Sheet'!$R$30)&amp;"","")))))&gt;0),IF(COUNTIF($BI$78:$BP$78,6)=0,TRUE,SUMPRODUCT(($BI$78:$BP$78=6)*($AS$78:$AZ$78&lt;&gt;"")*IF(((UPPER($AS$78:$AZ$78)="BLANK")+(UPPER($AS$78:$AZ$78)="(BLANK)")+(UPPER($AS$78:$AZ$78)="EMPTY")+(UPPER($AS$78:$AZ$78)="(EMPTY)"))&gt;0,IFERROR(('Final Calculation Sheet'!$R$30)&amp;"","")="",ISNUMBER(SEARCH($AS$78:$AZ$78,IFERROR(('Final Calculation Sheet'!$R$30)&amp;"","")))))&gt;0),IF(COUNTIF($BI$78:$BP$78,7)=0,TRUE,SUMPRODUCT(($BI$78:$BP$78=7)*($AS$78:$AZ$78&lt;&gt;"")*IF(((UPPER($AS$78:$AZ$78)="BLANK")+(UPPER($AS$78:$AZ$78)="(BLANK)")+(UPPER($AS$78:$AZ$78)="EMPTY")+(UPPER($AS$78:$AZ$78)="(EMPTY)"))&gt;0,IFERROR(('Final Calculation Sheet'!$R$30)&amp;"","")="",ISNUMBER(SEARCH($AS$78:$AZ$78,IFERROR(('Final Calculation Sheet'!$R$30)&amp;"","")))))&gt;0),IF(COUNTIF($BI$78:$BP$78,8)=0,TRUE,SUMPRODUCT(($BI$78:$BP$78=8)*($AS$78:$AZ$78&lt;&gt;"")*IF(((UPPER($AS$78:$AZ$78)="BLANK")+(UPPER($AS$78:$AZ$78)="(BLANK)")+(UPPER($AS$78:$AZ$78)="EMPTY")+(UPPER($AS$78:$AZ$78)="(EMPTY)"))&gt;0,IFERROR(('Final Calculation Sheet'!$R$30)&amp;"","")="",ISNUMBER(SEARCH($AS$78:$AZ$78,IFERROR(('Final Calculation Sheet'!$R$30)&amp;"","")))))&gt;0))))</f>
        <v>1</v>
      </c>
      <c r="CF31">
        <f>IF($T$4="",1,--(AND(SUMPRODUCT(--($AS$79:$AZ$79&lt;&gt;""))&gt;0,IF(COUNTIF($BI$79:$BP$79,1)=0,TRUE,SUMPRODUCT(($BI$79:$BP$79=1)*($AS$79:$AZ$79&lt;&gt;"")*IF(((UPPER($AS$79:$AZ$79)="BLANK")+(UPPER($AS$79:$AZ$79)="(BLANK)")+(UPPER($AS$79:$AZ$79)="EMPTY")+(UPPER($AS$79:$AZ$79)="(EMPTY)"))&gt;0,IFERROR(('Final Calculation Sheet'!$S$30)&amp;"","")="",ISNUMBER(SEARCH($AS$79:$AZ$79,IFERROR(('Final Calculation Sheet'!$S$30)&amp;"","")))))&gt;0),IF(COUNTIF($BI$79:$BP$79,2)=0,TRUE,SUMPRODUCT(($BI$79:$BP$79=2)*($AS$79:$AZ$79&lt;&gt;"")*IF(((UPPER($AS$79:$AZ$79)="BLANK")+(UPPER($AS$79:$AZ$79)="(BLANK)")+(UPPER($AS$79:$AZ$79)="EMPTY")+(UPPER($AS$79:$AZ$79)="(EMPTY)"))&gt;0,IFERROR(('Final Calculation Sheet'!$S$30)&amp;"","")="",ISNUMBER(SEARCH($AS$79:$AZ$79,IFERROR(('Final Calculation Sheet'!$S$30)&amp;"","")))))&gt;0),IF(COUNTIF($BI$79:$BP$79,3)=0,TRUE,SUMPRODUCT(($BI$79:$BP$79=3)*($AS$79:$AZ$79&lt;&gt;"")*IF(((UPPER($AS$79:$AZ$79)="BLANK")+(UPPER($AS$79:$AZ$79)="(BLANK)")+(UPPER($AS$79:$AZ$79)="EMPTY")+(UPPER($AS$79:$AZ$79)="(EMPTY)"))&gt;0,IFERROR(('Final Calculation Sheet'!$S$30)&amp;"","")="",ISNUMBER(SEARCH($AS$79:$AZ$79,IFERROR(('Final Calculation Sheet'!$S$30)&amp;"","")))))&gt;0),IF(COUNTIF($BI$79:$BP$79,4)=0,TRUE,SUMPRODUCT(($BI$79:$BP$79=4)*($AS$79:$AZ$79&lt;&gt;"")*IF(((UPPER($AS$79:$AZ$79)="BLANK")+(UPPER($AS$79:$AZ$79)="(BLANK)")+(UPPER($AS$79:$AZ$79)="EMPTY")+(UPPER($AS$79:$AZ$79)="(EMPTY)"))&gt;0,IFERROR(('Final Calculation Sheet'!$S$30)&amp;"","")="",ISNUMBER(SEARCH($AS$79:$AZ$79,IFERROR(('Final Calculation Sheet'!$S$30)&amp;"","")))))&gt;0),IF(COUNTIF($BI$79:$BP$79,5)=0,TRUE,SUMPRODUCT(($BI$79:$BP$79=5)*($AS$79:$AZ$79&lt;&gt;"")*IF(((UPPER($AS$79:$AZ$79)="BLANK")+(UPPER($AS$79:$AZ$79)="(BLANK)")+(UPPER($AS$79:$AZ$79)="EMPTY")+(UPPER($AS$79:$AZ$79)="(EMPTY)"))&gt;0,IFERROR(('Final Calculation Sheet'!$S$30)&amp;"","")="",ISNUMBER(SEARCH($AS$79:$AZ$79,IFERROR(('Final Calculation Sheet'!$S$30)&amp;"","")))))&gt;0),IF(COUNTIF($BI$79:$BP$79,6)=0,TRUE,SUMPRODUCT(($BI$79:$BP$79=6)*($AS$79:$AZ$79&lt;&gt;"")*IF(((UPPER($AS$79:$AZ$79)="BLANK")+(UPPER($AS$79:$AZ$79)="(BLANK)")+(UPPER($AS$79:$AZ$79)="EMPTY")+(UPPER($AS$79:$AZ$79)="(EMPTY)"))&gt;0,IFERROR(('Final Calculation Sheet'!$S$30)&amp;"","")="",ISNUMBER(SEARCH($AS$79:$AZ$79,IFERROR(('Final Calculation Sheet'!$S$30)&amp;"","")))))&gt;0),IF(COUNTIF($BI$79:$BP$79,7)=0,TRUE,SUMPRODUCT(($BI$79:$BP$79=7)*($AS$79:$AZ$79&lt;&gt;"")*IF(((UPPER($AS$79:$AZ$79)="BLANK")+(UPPER($AS$79:$AZ$79)="(BLANK)")+(UPPER($AS$79:$AZ$79)="EMPTY")+(UPPER($AS$79:$AZ$79)="(EMPTY)"))&gt;0,IFERROR(('Final Calculation Sheet'!$S$30)&amp;"","")="",ISNUMBER(SEARCH($AS$79:$AZ$79,IFERROR(('Final Calculation Sheet'!$S$30)&amp;"","")))))&gt;0),IF(COUNTIF($BI$79:$BP$79,8)=0,TRUE,SUMPRODUCT(($BI$79:$BP$79=8)*($AS$79:$AZ$79&lt;&gt;"")*IF(((UPPER($AS$79:$AZ$79)="BLANK")+(UPPER($AS$79:$AZ$79)="(BLANK)")+(UPPER($AS$79:$AZ$79)="EMPTY")+(UPPER($AS$79:$AZ$79)="(EMPTY)"))&gt;0,IFERROR(('Final Calculation Sheet'!$S$30)&amp;"","")="",ISNUMBER(SEARCH($AS$79:$AZ$79,IFERROR(('Final Calculation Sheet'!$S$30)&amp;"","")))))&gt;0))))</f>
        <v>1</v>
      </c>
      <c r="CG31">
        <f>IF($U$4="",1,--(AND(SUMPRODUCT(--($AS$80:$AZ$80&lt;&gt;""))&gt;0,IF(COUNTIF($BI$80:$BP$80,1)=0,TRUE,SUMPRODUCT(($BI$80:$BP$80=1)*($AS$80:$AZ$80&lt;&gt;"")*IF(((UPPER($AS$80:$AZ$80)="BLANK")+(UPPER($AS$80:$AZ$80)="(BLANK)")+(UPPER($AS$80:$AZ$80)="EMPTY")+(UPPER($AS$80:$AZ$80)="(EMPTY)"))&gt;0,IFERROR(('Final Calculation Sheet'!$T$30)&amp;"","")="",ISNUMBER(SEARCH($AS$80:$AZ$80,IFERROR(('Final Calculation Sheet'!$T$30)&amp;"","")))))&gt;0),IF(COUNTIF($BI$80:$BP$80,2)=0,TRUE,SUMPRODUCT(($BI$80:$BP$80=2)*($AS$80:$AZ$80&lt;&gt;"")*IF(((UPPER($AS$80:$AZ$80)="BLANK")+(UPPER($AS$80:$AZ$80)="(BLANK)")+(UPPER($AS$80:$AZ$80)="EMPTY")+(UPPER($AS$80:$AZ$80)="(EMPTY)"))&gt;0,IFERROR(('Final Calculation Sheet'!$T$30)&amp;"","")="",ISNUMBER(SEARCH($AS$80:$AZ$80,IFERROR(('Final Calculation Sheet'!$T$30)&amp;"","")))))&gt;0),IF(COUNTIF($BI$80:$BP$80,3)=0,TRUE,SUMPRODUCT(($BI$80:$BP$80=3)*($AS$80:$AZ$80&lt;&gt;"")*IF(((UPPER($AS$80:$AZ$80)="BLANK")+(UPPER($AS$80:$AZ$80)="(BLANK)")+(UPPER($AS$80:$AZ$80)="EMPTY")+(UPPER($AS$80:$AZ$80)="(EMPTY)"))&gt;0,IFERROR(('Final Calculation Sheet'!$T$30)&amp;"","")="",ISNUMBER(SEARCH($AS$80:$AZ$80,IFERROR(('Final Calculation Sheet'!$T$30)&amp;"","")))))&gt;0),IF(COUNTIF($BI$80:$BP$80,4)=0,TRUE,SUMPRODUCT(($BI$80:$BP$80=4)*($AS$80:$AZ$80&lt;&gt;"")*IF(((UPPER($AS$80:$AZ$80)="BLANK")+(UPPER($AS$80:$AZ$80)="(BLANK)")+(UPPER($AS$80:$AZ$80)="EMPTY")+(UPPER($AS$80:$AZ$80)="(EMPTY)"))&gt;0,IFERROR(('Final Calculation Sheet'!$T$30)&amp;"","")="",ISNUMBER(SEARCH($AS$80:$AZ$80,IFERROR(('Final Calculation Sheet'!$T$30)&amp;"","")))))&gt;0),IF(COUNTIF($BI$80:$BP$80,5)=0,TRUE,SUMPRODUCT(($BI$80:$BP$80=5)*($AS$80:$AZ$80&lt;&gt;"")*IF(((UPPER($AS$80:$AZ$80)="BLANK")+(UPPER($AS$80:$AZ$80)="(BLANK)")+(UPPER($AS$80:$AZ$80)="EMPTY")+(UPPER($AS$80:$AZ$80)="(EMPTY)"))&gt;0,IFERROR(('Final Calculation Sheet'!$T$30)&amp;"","")="",ISNUMBER(SEARCH($AS$80:$AZ$80,IFERROR(('Final Calculation Sheet'!$T$30)&amp;"","")))))&gt;0),IF(COUNTIF($BI$80:$BP$80,6)=0,TRUE,SUMPRODUCT(($BI$80:$BP$80=6)*($AS$80:$AZ$80&lt;&gt;"")*IF(((UPPER($AS$80:$AZ$80)="BLANK")+(UPPER($AS$80:$AZ$80)="(BLANK)")+(UPPER($AS$80:$AZ$80)="EMPTY")+(UPPER($AS$80:$AZ$80)="(EMPTY)"))&gt;0,IFERROR(('Final Calculation Sheet'!$T$30)&amp;"","")="",ISNUMBER(SEARCH($AS$80:$AZ$80,IFERROR(('Final Calculation Sheet'!$T$30)&amp;"","")))))&gt;0),IF(COUNTIF($BI$80:$BP$80,7)=0,TRUE,SUMPRODUCT(($BI$80:$BP$80=7)*($AS$80:$AZ$80&lt;&gt;"")*IF(((UPPER($AS$80:$AZ$80)="BLANK")+(UPPER($AS$80:$AZ$80)="(BLANK)")+(UPPER($AS$80:$AZ$80)="EMPTY")+(UPPER($AS$80:$AZ$80)="(EMPTY)"))&gt;0,IFERROR(('Final Calculation Sheet'!$T$30)&amp;"","")="",ISNUMBER(SEARCH($AS$80:$AZ$80,IFERROR(('Final Calculation Sheet'!$T$30)&amp;"","")))))&gt;0),IF(COUNTIF($BI$80:$BP$80,8)=0,TRUE,SUMPRODUCT(($BI$80:$BP$80=8)*($AS$80:$AZ$80&lt;&gt;"")*IF(((UPPER($AS$80:$AZ$80)="BLANK")+(UPPER($AS$80:$AZ$80)="(BLANK)")+(UPPER($AS$80:$AZ$80)="EMPTY")+(UPPER($AS$80:$AZ$80)="(EMPTY)"))&gt;0,IFERROR(('Final Calculation Sheet'!$T$30)&amp;"","")="",ISNUMBER(SEARCH($AS$80:$AZ$80,IFERROR(('Final Calculation Sheet'!$T$30)&amp;"","")))))&gt;0))))</f>
        <v>1</v>
      </c>
      <c r="CH31">
        <f>IF($V$4="",1,--(AND(SUMPRODUCT(--($AS$81:$AZ$81&lt;&gt;""))&gt;0,IF(COUNTIF($BI$81:$BP$81,1)=0,TRUE,SUMPRODUCT(($BI$81:$BP$81=1)*($AS$81:$AZ$81&lt;&gt;"")*IF(((UPPER($AS$81:$AZ$81)="BLANK")+(UPPER($AS$81:$AZ$81)="(BLANK)")+(UPPER($AS$81:$AZ$81)="EMPTY")+(UPPER($AS$81:$AZ$81)="(EMPTY)"))&gt;0,IFERROR(('Final Calculation Sheet'!$U$30)&amp;"","")="",ISNUMBER(SEARCH($AS$81:$AZ$81,IFERROR(('Final Calculation Sheet'!$U$30)&amp;"","")))))&gt;0),IF(COUNTIF($BI$81:$BP$81,2)=0,TRUE,SUMPRODUCT(($BI$81:$BP$81=2)*($AS$81:$AZ$81&lt;&gt;"")*IF(((UPPER($AS$81:$AZ$81)="BLANK")+(UPPER($AS$81:$AZ$81)="(BLANK)")+(UPPER($AS$81:$AZ$81)="EMPTY")+(UPPER($AS$81:$AZ$81)="(EMPTY)"))&gt;0,IFERROR(('Final Calculation Sheet'!$U$30)&amp;"","")="",ISNUMBER(SEARCH($AS$81:$AZ$81,IFERROR(('Final Calculation Sheet'!$U$30)&amp;"","")))))&gt;0),IF(COUNTIF($BI$81:$BP$81,3)=0,TRUE,SUMPRODUCT(($BI$81:$BP$81=3)*($AS$81:$AZ$81&lt;&gt;"")*IF(((UPPER($AS$81:$AZ$81)="BLANK")+(UPPER($AS$81:$AZ$81)="(BLANK)")+(UPPER($AS$81:$AZ$81)="EMPTY")+(UPPER($AS$81:$AZ$81)="(EMPTY)"))&gt;0,IFERROR(('Final Calculation Sheet'!$U$30)&amp;"","")="",ISNUMBER(SEARCH($AS$81:$AZ$81,IFERROR(('Final Calculation Sheet'!$U$30)&amp;"","")))))&gt;0),IF(COUNTIF($BI$81:$BP$81,4)=0,TRUE,SUMPRODUCT(($BI$81:$BP$81=4)*($AS$81:$AZ$81&lt;&gt;"")*IF(((UPPER($AS$81:$AZ$81)="BLANK")+(UPPER($AS$81:$AZ$81)="(BLANK)")+(UPPER($AS$81:$AZ$81)="EMPTY")+(UPPER($AS$81:$AZ$81)="(EMPTY)"))&gt;0,IFERROR(('Final Calculation Sheet'!$U$30)&amp;"","")="",ISNUMBER(SEARCH($AS$81:$AZ$81,IFERROR(('Final Calculation Sheet'!$U$30)&amp;"","")))))&gt;0),IF(COUNTIF($BI$81:$BP$81,5)=0,TRUE,SUMPRODUCT(($BI$81:$BP$81=5)*($AS$81:$AZ$81&lt;&gt;"")*IF(((UPPER($AS$81:$AZ$81)="BLANK")+(UPPER($AS$81:$AZ$81)="(BLANK)")+(UPPER($AS$81:$AZ$81)="EMPTY")+(UPPER($AS$81:$AZ$81)="(EMPTY)"))&gt;0,IFERROR(('Final Calculation Sheet'!$U$30)&amp;"","")="",ISNUMBER(SEARCH($AS$81:$AZ$81,IFERROR(('Final Calculation Sheet'!$U$30)&amp;"","")))))&gt;0),IF(COUNTIF($BI$81:$BP$81,6)=0,TRUE,SUMPRODUCT(($BI$81:$BP$81=6)*($AS$81:$AZ$81&lt;&gt;"")*IF(((UPPER($AS$81:$AZ$81)="BLANK")+(UPPER($AS$81:$AZ$81)="(BLANK)")+(UPPER($AS$81:$AZ$81)="EMPTY")+(UPPER($AS$81:$AZ$81)="(EMPTY)"))&gt;0,IFERROR(('Final Calculation Sheet'!$U$30)&amp;"","")="",ISNUMBER(SEARCH($AS$81:$AZ$81,IFERROR(('Final Calculation Sheet'!$U$30)&amp;"","")))))&gt;0),IF(COUNTIF($BI$81:$BP$81,7)=0,TRUE,SUMPRODUCT(($BI$81:$BP$81=7)*($AS$81:$AZ$81&lt;&gt;"")*IF(((UPPER($AS$81:$AZ$81)="BLANK")+(UPPER($AS$81:$AZ$81)="(BLANK)")+(UPPER($AS$81:$AZ$81)="EMPTY")+(UPPER($AS$81:$AZ$81)="(EMPTY)"))&gt;0,IFERROR(('Final Calculation Sheet'!$U$30)&amp;"","")="",ISNUMBER(SEARCH($AS$81:$AZ$81,IFERROR(('Final Calculation Sheet'!$U$30)&amp;"","")))))&gt;0),IF(COUNTIF($BI$81:$BP$81,8)=0,TRUE,SUMPRODUCT(($BI$81:$BP$81=8)*($AS$81:$AZ$81&lt;&gt;"")*IF(((UPPER($AS$81:$AZ$81)="BLANK")+(UPPER($AS$81:$AZ$81)="(BLANK)")+(UPPER($AS$81:$AZ$81)="EMPTY")+(UPPER($AS$81:$AZ$81)="(EMPTY)"))&gt;0,IFERROR(('Final Calculation Sheet'!$U$30)&amp;"","")="",ISNUMBER(SEARCH($AS$81:$AZ$81,IFERROR(('Final Calculation Sheet'!$U$30)&amp;"","")))))&gt;0))))</f>
        <v>1</v>
      </c>
      <c r="CI31">
        <f>IF($W$4="",1,--(AND(SUMPRODUCT(--($AS$82:$AZ$82&lt;&gt;""))&gt;0,IF(COUNTIF($BI$82:$BP$82,1)=0,TRUE,SUMPRODUCT(($BI$82:$BP$82=1)*($AS$82:$AZ$82&lt;&gt;"")*IF(((UPPER($AS$82:$AZ$82)="BLANK")+(UPPER($AS$82:$AZ$82)="(BLANK)")+(UPPER($AS$82:$AZ$82)="EMPTY")+(UPPER($AS$82:$AZ$82)="(EMPTY)"))&gt;0,IFERROR(('Final Calculation Sheet'!$V$30)&amp;"","")="",ISNUMBER(SEARCH($AS$82:$AZ$82,IFERROR(('Final Calculation Sheet'!$V$30)&amp;"","")))))&gt;0),IF(COUNTIF($BI$82:$BP$82,2)=0,TRUE,SUMPRODUCT(($BI$82:$BP$82=2)*($AS$82:$AZ$82&lt;&gt;"")*IF(((UPPER($AS$82:$AZ$82)="BLANK")+(UPPER($AS$82:$AZ$82)="(BLANK)")+(UPPER($AS$82:$AZ$82)="EMPTY")+(UPPER($AS$82:$AZ$82)="(EMPTY)"))&gt;0,IFERROR(('Final Calculation Sheet'!$V$30)&amp;"","")="",ISNUMBER(SEARCH($AS$82:$AZ$82,IFERROR(('Final Calculation Sheet'!$V$30)&amp;"","")))))&gt;0),IF(COUNTIF($BI$82:$BP$82,3)=0,TRUE,SUMPRODUCT(($BI$82:$BP$82=3)*($AS$82:$AZ$82&lt;&gt;"")*IF(((UPPER($AS$82:$AZ$82)="BLANK")+(UPPER($AS$82:$AZ$82)="(BLANK)")+(UPPER($AS$82:$AZ$82)="EMPTY")+(UPPER($AS$82:$AZ$82)="(EMPTY)"))&gt;0,IFERROR(('Final Calculation Sheet'!$V$30)&amp;"","")="",ISNUMBER(SEARCH($AS$82:$AZ$82,IFERROR(('Final Calculation Sheet'!$V$30)&amp;"","")))))&gt;0),IF(COUNTIF($BI$82:$BP$82,4)=0,TRUE,SUMPRODUCT(($BI$82:$BP$82=4)*($AS$82:$AZ$82&lt;&gt;"")*IF(((UPPER($AS$82:$AZ$82)="BLANK")+(UPPER($AS$82:$AZ$82)="(BLANK)")+(UPPER($AS$82:$AZ$82)="EMPTY")+(UPPER($AS$82:$AZ$82)="(EMPTY)"))&gt;0,IFERROR(('Final Calculation Sheet'!$V$30)&amp;"","")="",ISNUMBER(SEARCH($AS$82:$AZ$82,IFERROR(('Final Calculation Sheet'!$V$30)&amp;"","")))))&gt;0),IF(COUNTIF($BI$82:$BP$82,5)=0,TRUE,SUMPRODUCT(($BI$82:$BP$82=5)*($AS$82:$AZ$82&lt;&gt;"")*IF(((UPPER($AS$82:$AZ$82)="BLANK")+(UPPER($AS$82:$AZ$82)="(BLANK)")+(UPPER($AS$82:$AZ$82)="EMPTY")+(UPPER($AS$82:$AZ$82)="(EMPTY)"))&gt;0,IFERROR(('Final Calculation Sheet'!$V$30)&amp;"","")="",ISNUMBER(SEARCH($AS$82:$AZ$82,IFERROR(('Final Calculation Sheet'!$V$30)&amp;"","")))))&gt;0),IF(COUNTIF($BI$82:$BP$82,6)=0,TRUE,SUMPRODUCT(($BI$82:$BP$82=6)*($AS$82:$AZ$82&lt;&gt;"")*IF(((UPPER($AS$82:$AZ$82)="BLANK")+(UPPER($AS$82:$AZ$82)="(BLANK)")+(UPPER($AS$82:$AZ$82)="EMPTY")+(UPPER($AS$82:$AZ$82)="(EMPTY)"))&gt;0,IFERROR(('Final Calculation Sheet'!$V$30)&amp;"","")="",ISNUMBER(SEARCH($AS$82:$AZ$82,IFERROR(('Final Calculation Sheet'!$V$30)&amp;"","")))))&gt;0),IF(COUNTIF($BI$82:$BP$82,7)=0,TRUE,SUMPRODUCT(($BI$82:$BP$82=7)*($AS$82:$AZ$82&lt;&gt;"")*IF(((UPPER($AS$82:$AZ$82)="BLANK")+(UPPER($AS$82:$AZ$82)="(BLANK)")+(UPPER($AS$82:$AZ$82)="EMPTY")+(UPPER($AS$82:$AZ$82)="(EMPTY)"))&gt;0,IFERROR(('Final Calculation Sheet'!$V$30)&amp;"","")="",ISNUMBER(SEARCH($AS$82:$AZ$82,IFERROR(('Final Calculation Sheet'!$V$30)&amp;"","")))))&gt;0),IF(COUNTIF($BI$82:$BP$82,8)=0,TRUE,SUMPRODUCT(($BI$82:$BP$82=8)*($AS$82:$AZ$82&lt;&gt;"")*IF(((UPPER($AS$82:$AZ$82)="BLANK")+(UPPER($AS$82:$AZ$82)="(BLANK)")+(UPPER($AS$82:$AZ$82)="EMPTY")+(UPPER($AS$82:$AZ$82)="(EMPTY)"))&gt;0,IFERROR(('Final Calculation Sheet'!$V$30)&amp;"","")="",ISNUMBER(SEARCH($AS$82:$AZ$82,IFERROR(('Final Calculation Sheet'!$V$30)&amp;"","")))))&gt;0))))</f>
        <v>1</v>
      </c>
      <c r="CJ31">
        <f>IF($X$4="",1,--(AND(SUMPRODUCT(--($AS$83:$AZ$83&lt;&gt;""))&gt;0,IF(COUNTIF($BI$83:$BP$83,1)=0,TRUE,SUMPRODUCT(($BI$83:$BP$83=1)*($AS$83:$AZ$83&lt;&gt;"")*IF(((UPPER($AS$83:$AZ$83)="BLANK")+(UPPER($AS$83:$AZ$83)="(BLANK)")+(UPPER($AS$83:$AZ$83)="EMPTY")+(UPPER($AS$83:$AZ$83)="(EMPTY)"))&gt;0,IFERROR(('Final Calculation Sheet'!$W$30)&amp;"","")="",ISNUMBER(SEARCH($AS$83:$AZ$83,IFERROR(('Final Calculation Sheet'!$W$30)&amp;"","")))))&gt;0),IF(COUNTIF($BI$83:$BP$83,2)=0,TRUE,SUMPRODUCT(($BI$83:$BP$83=2)*($AS$83:$AZ$83&lt;&gt;"")*IF(((UPPER($AS$83:$AZ$83)="BLANK")+(UPPER($AS$83:$AZ$83)="(BLANK)")+(UPPER($AS$83:$AZ$83)="EMPTY")+(UPPER($AS$83:$AZ$83)="(EMPTY)"))&gt;0,IFERROR(('Final Calculation Sheet'!$W$30)&amp;"","")="",ISNUMBER(SEARCH($AS$83:$AZ$83,IFERROR(('Final Calculation Sheet'!$W$30)&amp;"","")))))&gt;0),IF(COUNTIF($BI$83:$BP$83,3)=0,TRUE,SUMPRODUCT(($BI$83:$BP$83=3)*($AS$83:$AZ$83&lt;&gt;"")*IF(((UPPER($AS$83:$AZ$83)="BLANK")+(UPPER($AS$83:$AZ$83)="(BLANK)")+(UPPER($AS$83:$AZ$83)="EMPTY")+(UPPER($AS$83:$AZ$83)="(EMPTY)"))&gt;0,IFERROR(('Final Calculation Sheet'!$W$30)&amp;"","")="",ISNUMBER(SEARCH($AS$83:$AZ$83,IFERROR(('Final Calculation Sheet'!$W$30)&amp;"","")))))&gt;0),IF(COUNTIF($BI$83:$BP$83,4)=0,TRUE,SUMPRODUCT(($BI$83:$BP$83=4)*($AS$83:$AZ$83&lt;&gt;"")*IF(((UPPER($AS$83:$AZ$83)="BLANK")+(UPPER($AS$83:$AZ$83)="(BLANK)")+(UPPER($AS$83:$AZ$83)="EMPTY")+(UPPER($AS$83:$AZ$83)="(EMPTY)"))&gt;0,IFERROR(('Final Calculation Sheet'!$W$30)&amp;"","")="",ISNUMBER(SEARCH($AS$83:$AZ$83,IFERROR(('Final Calculation Sheet'!$W$30)&amp;"","")))))&gt;0),IF(COUNTIF($BI$83:$BP$83,5)=0,TRUE,SUMPRODUCT(($BI$83:$BP$83=5)*($AS$83:$AZ$83&lt;&gt;"")*IF(((UPPER($AS$83:$AZ$83)="BLANK")+(UPPER($AS$83:$AZ$83)="(BLANK)")+(UPPER($AS$83:$AZ$83)="EMPTY")+(UPPER($AS$83:$AZ$83)="(EMPTY)"))&gt;0,IFERROR(('Final Calculation Sheet'!$W$30)&amp;"","")="",ISNUMBER(SEARCH($AS$83:$AZ$83,IFERROR(('Final Calculation Sheet'!$W$30)&amp;"","")))))&gt;0),IF(COUNTIF($BI$83:$BP$83,6)=0,TRUE,SUMPRODUCT(($BI$83:$BP$83=6)*($AS$83:$AZ$83&lt;&gt;"")*IF(((UPPER($AS$83:$AZ$83)="BLANK")+(UPPER($AS$83:$AZ$83)="(BLANK)")+(UPPER($AS$83:$AZ$83)="EMPTY")+(UPPER($AS$83:$AZ$83)="(EMPTY)"))&gt;0,IFERROR(('Final Calculation Sheet'!$W$30)&amp;"","")="",ISNUMBER(SEARCH($AS$83:$AZ$83,IFERROR(('Final Calculation Sheet'!$W$30)&amp;"","")))))&gt;0),IF(COUNTIF($BI$83:$BP$83,7)=0,TRUE,SUMPRODUCT(($BI$83:$BP$83=7)*($AS$83:$AZ$83&lt;&gt;"")*IF(((UPPER($AS$83:$AZ$83)="BLANK")+(UPPER($AS$83:$AZ$83)="(BLANK)")+(UPPER($AS$83:$AZ$83)="EMPTY")+(UPPER($AS$83:$AZ$83)="(EMPTY)"))&gt;0,IFERROR(('Final Calculation Sheet'!$W$30)&amp;"","")="",ISNUMBER(SEARCH($AS$83:$AZ$83,IFERROR(('Final Calculation Sheet'!$W$30)&amp;"","")))))&gt;0),IF(COUNTIF($BI$83:$BP$83,8)=0,TRUE,SUMPRODUCT(($BI$83:$BP$83=8)*($AS$83:$AZ$83&lt;&gt;"")*IF(((UPPER($AS$83:$AZ$83)="BLANK")+(UPPER($AS$83:$AZ$83)="(BLANK)")+(UPPER($AS$83:$AZ$83)="EMPTY")+(UPPER($AS$83:$AZ$83)="(EMPTY)"))&gt;0,IFERROR(('Final Calculation Sheet'!$W$30)&amp;"","")="",ISNUMBER(SEARCH($AS$83:$AZ$83,IFERROR(('Final Calculation Sheet'!$W$30)&amp;"","")))))&gt;0))))</f>
        <v>1</v>
      </c>
      <c r="CK31">
        <f>IF($Y$4="",1,--(AND(SUMPRODUCT(--($AS$84:$AZ$84&lt;&gt;""))&gt;0,IF(COUNTIF($BI$84:$BP$84,1)=0,TRUE,SUMPRODUCT(($BI$84:$BP$84=1)*($AS$84:$AZ$84&lt;&gt;"")*IF(((UPPER($AS$84:$AZ$84)="BLANK")+(UPPER($AS$84:$AZ$84)="(BLANK)")+(UPPER($AS$84:$AZ$84)="EMPTY")+(UPPER($AS$84:$AZ$84)="(EMPTY)"))&gt;0,IFERROR(('Final Calculation Sheet'!$X$30)&amp;"","")="",ISNUMBER(SEARCH($AS$84:$AZ$84,IFERROR(('Final Calculation Sheet'!$X$30)&amp;"","")))))&gt;0),IF(COUNTIF($BI$84:$BP$84,2)=0,TRUE,SUMPRODUCT(($BI$84:$BP$84=2)*($AS$84:$AZ$84&lt;&gt;"")*IF(((UPPER($AS$84:$AZ$84)="BLANK")+(UPPER($AS$84:$AZ$84)="(BLANK)")+(UPPER($AS$84:$AZ$84)="EMPTY")+(UPPER($AS$84:$AZ$84)="(EMPTY)"))&gt;0,IFERROR(('Final Calculation Sheet'!$X$30)&amp;"","")="",ISNUMBER(SEARCH($AS$84:$AZ$84,IFERROR(('Final Calculation Sheet'!$X$30)&amp;"","")))))&gt;0),IF(COUNTIF($BI$84:$BP$84,3)=0,TRUE,SUMPRODUCT(($BI$84:$BP$84=3)*($AS$84:$AZ$84&lt;&gt;"")*IF(((UPPER($AS$84:$AZ$84)="BLANK")+(UPPER($AS$84:$AZ$84)="(BLANK)")+(UPPER($AS$84:$AZ$84)="EMPTY")+(UPPER($AS$84:$AZ$84)="(EMPTY)"))&gt;0,IFERROR(('Final Calculation Sheet'!$X$30)&amp;"","")="",ISNUMBER(SEARCH($AS$84:$AZ$84,IFERROR(('Final Calculation Sheet'!$X$30)&amp;"","")))))&gt;0),IF(COUNTIF($BI$84:$BP$84,4)=0,TRUE,SUMPRODUCT(($BI$84:$BP$84=4)*($AS$84:$AZ$84&lt;&gt;"")*IF(((UPPER($AS$84:$AZ$84)="BLANK")+(UPPER($AS$84:$AZ$84)="(BLANK)")+(UPPER($AS$84:$AZ$84)="EMPTY")+(UPPER($AS$84:$AZ$84)="(EMPTY)"))&gt;0,IFERROR(('Final Calculation Sheet'!$X$30)&amp;"","")="",ISNUMBER(SEARCH($AS$84:$AZ$84,IFERROR(('Final Calculation Sheet'!$X$30)&amp;"","")))))&gt;0),IF(COUNTIF($BI$84:$BP$84,5)=0,TRUE,SUMPRODUCT(($BI$84:$BP$84=5)*($AS$84:$AZ$84&lt;&gt;"")*IF(((UPPER($AS$84:$AZ$84)="BLANK")+(UPPER($AS$84:$AZ$84)="(BLANK)")+(UPPER($AS$84:$AZ$84)="EMPTY")+(UPPER($AS$84:$AZ$84)="(EMPTY)"))&gt;0,IFERROR(('Final Calculation Sheet'!$X$30)&amp;"","")="",ISNUMBER(SEARCH($AS$84:$AZ$84,IFERROR(('Final Calculation Sheet'!$X$30)&amp;"","")))))&gt;0),IF(COUNTIF($BI$84:$BP$84,6)=0,TRUE,SUMPRODUCT(($BI$84:$BP$84=6)*($AS$84:$AZ$84&lt;&gt;"")*IF(((UPPER($AS$84:$AZ$84)="BLANK")+(UPPER($AS$84:$AZ$84)="(BLANK)")+(UPPER($AS$84:$AZ$84)="EMPTY")+(UPPER($AS$84:$AZ$84)="(EMPTY)"))&gt;0,IFERROR(('Final Calculation Sheet'!$X$30)&amp;"","")="",ISNUMBER(SEARCH($AS$84:$AZ$84,IFERROR(('Final Calculation Sheet'!$X$30)&amp;"","")))))&gt;0),IF(COUNTIF($BI$84:$BP$84,7)=0,TRUE,SUMPRODUCT(($BI$84:$BP$84=7)*($AS$84:$AZ$84&lt;&gt;"")*IF(((UPPER($AS$84:$AZ$84)="BLANK")+(UPPER($AS$84:$AZ$84)="(BLANK)")+(UPPER($AS$84:$AZ$84)="EMPTY")+(UPPER($AS$84:$AZ$84)="(EMPTY)"))&gt;0,IFERROR(('Final Calculation Sheet'!$X$30)&amp;"","")="",ISNUMBER(SEARCH($AS$84:$AZ$84,IFERROR(('Final Calculation Sheet'!$X$30)&amp;"","")))))&gt;0),IF(COUNTIF($BI$84:$BP$84,8)=0,TRUE,SUMPRODUCT(($BI$84:$BP$84=8)*($AS$84:$AZ$84&lt;&gt;"")*IF(((UPPER($AS$84:$AZ$84)="BLANK")+(UPPER($AS$84:$AZ$84)="(BLANK)")+(UPPER($AS$84:$AZ$84)="EMPTY")+(UPPER($AS$84:$AZ$84)="(EMPTY)"))&gt;0,IFERROR(('Final Calculation Sheet'!$X$30)&amp;"","")="",ISNUMBER(SEARCH($AS$84:$AZ$84,IFERROR(('Final Calculation Sheet'!$X$30)&amp;"","")))))&gt;0))))</f>
        <v>1</v>
      </c>
      <c r="CL31">
        <f>IF($Z$4="",1,--(AND(SUMPRODUCT(--($AS$85:$AZ$85&lt;&gt;""))&gt;0,IF(COUNTIF($BI$85:$BP$85,1)=0,TRUE,SUMPRODUCT(($BI$85:$BP$85=1)*($AS$85:$AZ$85&lt;&gt;"")*IF(((UPPER($AS$85:$AZ$85)="BLANK")+(UPPER($AS$85:$AZ$85)="(BLANK)")+(UPPER($AS$85:$AZ$85)="EMPTY")+(UPPER($AS$85:$AZ$85)="(EMPTY)"))&gt;0,IFERROR(('Final Calculation Sheet'!$Y$30)&amp;"","")="",ISNUMBER(SEARCH($AS$85:$AZ$85,IFERROR(('Final Calculation Sheet'!$Y$30)&amp;"","")))))&gt;0),IF(COUNTIF($BI$85:$BP$85,2)=0,TRUE,SUMPRODUCT(($BI$85:$BP$85=2)*($AS$85:$AZ$85&lt;&gt;"")*IF(((UPPER($AS$85:$AZ$85)="BLANK")+(UPPER($AS$85:$AZ$85)="(BLANK)")+(UPPER($AS$85:$AZ$85)="EMPTY")+(UPPER($AS$85:$AZ$85)="(EMPTY)"))&gt;0,IFERROR(('Final Calculation Sheet'!$Y$30)&amp;"","")="",ISNUMBER(SEARCH($AS$85:$AZ$85,IFERROR(('Final Calculation Sheet'!$Y$30)&amp;"","")))))&gt;0),IF(COUNTIF($BI$85:$BP$85,3)=0,TRUE,SUMPRODUCT(($BI$85:$BP$85=3)*($AS$85:$AZ$85&lt;&gt;"")*IF(((UPPER($AS$85:$AZ$85)="BLANK")+(UPPER($AS$85:$AZ$85)="(BLANK)")+(UPPER($AS$85:$AZ$85)="EMPTY")+(UPPER($AS$85:$AZ$85)="(EMPTY)"))&gt;0,IFERROR(('Final Calculation Sheet'!$Y$30)&amp;"","")="",ISNUMBER(SEARCH($AS$85:$AZ$85,IFERROR(('Final Calculation Sheet'!$Y$30)&amp;"","")))))&gt;0),IF(COUNTIF($BI$85:$BP$85,4)=0,TRUE,SUMPRODUCT(($BI$85:$BP$85=4)*($AS$85:$AZ$85&lt;&gt;"")*IF(((UPPER($AS$85:$AZ$85)="BLANK")+(UPPER($AS$85:$AZ$85)="(BLANK)")+(UPPER($AS$85:$AZ$85)="EMPTY")+(UPPER($AS$85:$AZ$85)="(EMPTY)"))&gt;0,IFERROR(('Final Calculation Sheet'!$Y$30)&amp;"","")="",ISNUMBER(SEARCH($AS$85:$AZ$85,IFERROR(('Final Calculation Sheet'!$Y$30)&amp;"","")))))&gt;0),IF(COUNTIF($BI$85:$BP$85,5)=0,TRUE,SUMPRODUCT(($BI$85:$BP$85=5)*($AS$85:$AZ$85&lt;&gt;"")*IF(((UPPER($AS$85:$AZ$85)="BLANK")+(UPPER($AS$85:$AZ$85)="(BLANK)")+(UPPER($AS$85:$AZ$85)="EMPTY")+(UPPER($AS$85:$AZ$85)="(EMPTY)"))&gt;0,IFERROR(('Final Calculation Sheet'!$Y$30)&amp;"","")="",ISNUMBER(SEARCH($AS$85:$AZ$85,IFERROR(('Final Calculation Sheet'!$Y$30)&amp;"","")))))&gt;0),IF(COUNTIF($BI$85:$BP$85,6)=0,TRUE,SUMPRODUCT(($BI$85:$BP$85=6)*($AS$85:$AZ$85&lt;&gt;"")*IF(((UPPER($AS$85:$AZ$85)="BLANK")+(UPPER($AS$85:$AZ$85)="(BLANK)")+(UPPER($AS$85:$AZ$85)="EMPTY")+(UPPER($AS$85:$AZ$85)="(EMPTY)"))&gt;0,IFERROR(('Final Calculation Sheet'!$Y$30)&amp;"","")="",ISNUMBER(SEARCH($AS$85:$AZ$85,IFERROR(('Final Calculation Sheet'!$Y$30)&amp;"","")))))&gt;0),IF(COUNTIF($BI$85:$BP$85,7)=0,TRUE,SUMPRODUCT(($BI$85:$BP$85=7)*($AS$85:$AZ$85&lt;&gt;"")*IF(((UPPER($AS$85:$AZ$85)="BLANK")+(UPPER($AS$85:$AZ$85)="(BLANK)")+(UPPER($AS$85:$AZ$85)="EMPTY")+(UPPER($AS$85:$AZ$85)="(EMPTY)"))&gt;0,IFERROR(('Final Calculation Sheet'!$Y$30)&amp;"","")="",ISNUMBER(SEARCH($AS$85:$AZ$85,IFERROR(('Final Calculation Sheet'!$Y$30)&amp;"","")))))&gt;0),IF(COUNTIF($BI$85:$BP$85,8)=0,TRUE,SUMPRODUCT(($BI$85:$BP$85=8)*($AS$85:$AZ$85&lt;&gt;"")*IF(((UPPER($AS$85:$AZ$85)="BLANK")+(UPPER($AS$85:$AZ$85)="(BLANK)")+(UPPER($AS$85:$AZ$85)="EMPTY")+(UPPER($AS$85:$AZ$85)="(EMPTY)"))&gt;0,IFERROR(('Final Calculation Sheet'!$Y$30)&amp;"","")="",ISNUMBER(SEARCH($AS$85:$AZ$85,IFERROR(('Final Calculation Sheet'!$Y$30)&amp;"","")))))&gt;0))))</f>
        <v>1</v>
      </c>
      <c r="CM31">
        <f>IF($AA$4="",1,--(AND(SUMPRODUCT(--($AS$86:$AZ$86&lt;&gt;""))&gt;0,IF(COUNTIF($BI$86:$BP$86,1)=0,TRUE,SUMPRODUCT(($BI$86:$BP$86=1)*($AS$86:$AZ$86&lt;&gt;"")*IF(((UPPER($AS$86:$AZ$86)="BLANK")+(UPPER($AS$86:$AZ$86)="(BLANK)")+(UPPER($AS$86:$AZ$86)="EMPTY")+(UPPER($AS$86:$AZ$86)="(EMPTY)"))&gt;0,IFERROR(('Final Calculation Sheet'!$Z$30)&amp;"","")="",ISNUMBER(SEARCH($AS$86:$AZ$86,IFERROR(('Final Calculation Sheet'!$Z$30)&amp;"","")))))&gt;0),IF(COUNTIF($BI$86:$BP$86,2)=0,TRUE,SUMPRODUCT(($BI$86:$BP$86=2)*($AS$86:$AZ$86&lt;&gt;"")*IF(((UPPER($AS$86:$AZ$86)="BLANK")+(UPPER($AS$86:$AZ$86)="(BLANK)")+(UPPER($AS$86:$AZ$86)="EMPTY")+(UPPER($AS$86:$AZ$86)="(EMPTY)"))&gt;0,IFERROR(('Final Calculation Sheet'!$Z$30)&amp;"","")="",ISNUMBER(SEARCH($AS$86:$AZ$86,IFERROR(('Final Calculation Sheet'!$Z$30)&amp;"","")))))&gt;0),IF(COUNTIF($BI$86:$BP$86,3)=0,TRUE,SUMPRODUCT(($BI$86:$BP$86=3)*($AS$86:$AZ$86&lt;&gt;"")*IF(((UPPER($AS$86:$AZ$86)="BLANK")+(UPPER($AS$86:$AZ$86)="(BLANK)")+(UPPER($AS$86:$AZ$86)="EMPTY")+(UPPER($AS$86:$AZ$86)="(EMPTY)"))&gt;0,IFERROR(('Final Calculation Sheet'!$Z$30)&amp;"","")="",ISNUMBER(SEARCH($AS$86:$AZ$86,IFERROR(('Final Calculation Sheet'!$Z$30)&amp;"","")))))&gt;0),IF(COUNTIF($BI$86:$BP$86,4)=0,TRUE,SUMPRODUCT(($BI$86:$BP$86=4)*($AS$86:$AZ$86&lt;&gt;"")*IF(((UPPER($AS$86:$AZ$86)="BLANK")+(UPPER($AS$86:$AZ$86)="(BLANK)")+(UPPER($AS$86:$AZ$86)="EMPTY")+(UPPER($AS$86:$AZ$86)="(EMPTY)"))&gt;0,IFERROR(('Final Calculation Sheet'!$Z$30)&amp;"","")="",ISNUMBER(SEARCH($AS$86:$AZ$86,IFERROR(('Final Calculation Sheet'!$Z$30)&amp;"","")))))&gt;0),IF(COUNTIF($BI$86:$BP$86,5)=0,TRUE,SUMPRODUCT(($BI$86:$BP$86=5)*($AS$86:$AZ$86&lt;&gt;"")*IF(((UPPER($AS$86:$AZ$86)="BLANK")+(UPPER($AS$86:$AZ$86)="(BLANK)")+(UPPER($AS$86:$AZ$86)="EMPTY")+(UPPER($AS$86:$AZ$86)="(EMPTY)"))&gt;0,IFERROR(('Final Calculation Sheet'!$Z$30)&amp;"","")="",ISNUMBER(SEARCH($AS$86:$AZ$86,IFERROR(('Final Calculation Sheet'!$Z$30)&amp;"","")))))&gt;0),IF(COUNTIF($BI$86:$BP$86,6)=0,TRUE,SUMPRODUCT(($BI$86:$BP$86=6)*($AS$86:$AZ$86&lt;&gt;"")*IF(((UPPER($AS$86:$AZ$86)="BLANK")+(UPPER($AS$86:$AZ$86)="(BLANK)")+(UPPER($AS$86:$AZ$86)="EMPTY")+(UPPER($AS$86:$AZ$86)="(EMPTY)"))&gt;0,IFERROR(('Final Calculation Sheet'!$Z$30)&amp;"","")="",ISNUMBER(SEARCH($AS$86:$AZ$86,IFERROR(('Final Calculation Sheet'!$Z$30)&amp;"","")))))&gt;0),IF(COUNTIF($BI$86:$BP$86,7)=0,TRUE,SUMPRODUCT(($BI$86:$BP$86=7)*($AS$86:$AZ$86&lt;&gt;"")*IF(((UPPER($AS$86:$AZ$86)="BLANK")+(UPPER($AS$86:$AZ$86)="(BLANK)")+(UPPER($AS$86:$AZ$86)="EMPTY")+(UPPER($AS$86:$AZ$86)="(EMPTY)"))&gt;0,IFERROR(('Final Calculation Sheet'!$Z$30)&amp;"","")="",ISNUMBER(SEARCH($AS$86:$AZ$86,IFERROR(('Final Calculation Sheet'!$Z$30)&amp;"","")))))&gt;0),IF(COUNTIF($BI$86:$BP$86,8)=0,TRUE,SUMPRODUCT(($BI$86:$BP$86=8)*($AS$86:$AZ$86&lt;&gt;"")*IF(((UPPER($AS$86:$AZ$86)="BLANK")+(UPPER($AS$86:$AZ$86)="(BLANK)")+(UPPER($AS$86:$AZ$86)="EMPTY")+(UPPER($AS$86:$AZ$86)="(EMPTY)"))&gt;0,IFERROR(('Final Calculation Sheet'!$Z$30)&amp;"","")="",ISNUMBER(SEARCH($AS$86:$AZ$86,IFERROR(('Final Calculation Sheet'!$Z$30)&amp;"","")))))&gt;0))))</f>
        <v>1</v>
      </c>
      <c r="CN31">
        <f>IF($AB$4="",1,--(AND(SUMPRODUCT(--($AS$87:$AZ$87&lt;&gt;""))&gt;0,IF(COUNTIF($BI$87:$BP$87,1)=0,TRUE,SUMPRODUCT(($BI$87:$BP$87=1)*($AS$87:$AZ$87&lt;&gt;"")*IF(((UPPER($AS$87:$AZ$87)="BLANK")+(UPPER($AS$87:$AZ$87)="(BLANK)")+(UPPER($AS$87:$AZ$87)="EMPTY")+(UPPER($AS$87:$AZ$87)="(EMPTY)"))&gt;0,IFERROR(('Final Calculation Sheet'!$AA$30)&amp;"","")="",ISNUMBER(SEARCH($AS$87:$AZ$87,IFERROR(('Final Calculation Sheet'!$AA$30)&amp;"","")))))&gt;0),IF(COUNTIF($BI$87:$BP$87,2)=0,TRUE,SUMPRODUCT(($BI$87:$BP$87=2)*($AS$87:$AZ$87&lt;&gt;"")*IF(((UPPER($AS$87:$AZ$87)="BLANK")+(UPPER($AS$87:$AZ$87)="(BLANK)")+(UPPER($AS$87:$AZ$87)="EMPTY")+(UPPER($AS$87:$AZ$87)="(EMPTY)"))&gt;0,IFERROR(('Final Calculation Sheet'!$AA$30)&amp;"","")="",ISNUMBER(SEARCH($AS$87:$AZ$87,IFERROR(('Final Calculation Sheet'!$AA$30)&amp;"","")))))&gt;0),IF(COUNTIF($BI$87:$BP$87,3)=0,TRUE,SUMPRODUCT(($BI$87:$BP$87=3)*($AS$87:$AZ$87&lt;&gt;"")*IF(((UPPER($AS$87:$AZ$87)="BLANK")+(UPPER($AS$87:$AZ$87)="(BLANK)")+(UPPER($AS$87:$AZ$87)="EMPTY")+(UPPER($AS$87:$AZ$87)="(EMPTY)"))&gt;0,IFERROR(('Final Calculation Sheet'!$AA$30)&amp;"","")="",ISNUMBER(SEARCH($AS$87:$AZ$87,IFERROR(('Final Calculation Sheet'!$AA$30)&amp;"","")))))&gt;0),IF(COUNTIF($BI$87:$BP$87,4)=0,TRUE,SUMPRODUCT(($BI$87:$BP$87=4)*($AS$87:$AZ$87&lt;&gt;"")*IF(((UPPER($AS$87:$AZ$87)="BLANK")+(UPPER($AS$87:$AZ$87)="(BLANK)")+(UPPER($AS$87:$AZ$87)="EMPTY")+(UPPER($AS$87:$AZ$87)="(EMPTY)"))&gt;0,IFERROR(('Final Calculation Sheet'!$AA$30)&amp;"","")="",ISNUMBER(SEARCH($AS$87:$AZ$87,IFERROR(('Final Calculation Sheet'!$AA$30)&amp;"","")))))&gt;0),IF(COUNTIF($BI$87:$BP$87,5)=0,TRUE,SUMPRODUCT(($BI$87:$BP$87=5)*($AS$87:$AZ$87&lt;&gt;"")*IF(((UPPER($AS$87:$AZ$87)="BLANK")+(UPPER($AS$87:$AZ$87)="(BLANK)")+(UPPER($AS$87:$AZ$87)="EMPTY")+(UPPER($AS$87:$AZ$87)="(EMPTY)"))&gt;0,IFERROR(('Final Calculation Sheet'!$AA$30)&amp;"","")="",ISNUMBER(SEARCH($AS$87:$AZ$87,IFERROR(('Final Calculation Sheet'!$AA$30)&amp;"","")))))&gt;0),IF(COUNTIF($BI$87:$BP$87,6)=0,TRUE,SUMPRODUCT(($BI$87:$BP$87=6)*($AS$87:$AZ$87&lt;&gt;"")*IF(((UPPER($AS$87:$AZ$87)="BLANK")+(UPPER($AS$87:$AZ$87)="(BLANK)")+(UPPER($AS$87:$AZ$87)="EMPTY")+(UPPER($AS$87:$AZ$87)="(EMPTY)"))&gt;0,IFERROR(('Final Calculation Sheet'!$AA$30)&amp;"","")="",ISNUMBER(SEARCH($AS$87:$AZ$87,IFERROR(('Final Calculation Sheet'!$AA$30)&amp;"","")))))&gt;0),IF(COUNTIF($BI$87:$BP$87,7)=0,TRUE,SUMPRODUCT(($BI$87:$BP$87=7)*($AS$87:$AZ$87&lt;&gt;"")*IF(((UPPER($AS$87:$AZ$87)="BLANK")+(UPPER($AS$87:$AZ$87)="(BLANK)")+(UPPER($AS$87:$AZ$87)="EMPTY")+(UPPER($AS$87:$AZ$87)="(EMPTY)"))&gt;0,IFERROR(('Final Calculation Sheet'!$AA$30)&amp;"","")="",ISNUMBER(SEARCH($AS$87:$AZ$87,IFERROR(('Final Calculation Sheet'!$AA$30)&amp;"","")))))&gt;0),IF(COUNTIF($BI$87:$BP$87,8)=0,TRUE,SUMPRODUCT(($BI$87:$BP$87=8)*($AS$87:$AZ$87&lt;&gt;"")*IF(((UPPER($AS$87:$AZ$87)="BLANK")+(UPPER($AS$87:$AZ$87)="(BLANK)")+(UPPER($AS$87:$AZ$87)="EMPTY")+(UPPER($AS$87:$AZ$87)="(EMPTY)"))&gt;0,IFERROR(('Final Calculation Sheet'!$AA$30)&amp;"","")="",ISNUMBER(SEARCH($AS$87:$AZ$87,IFERROR(('Final Calculation Sheet'!$AA$30)&amp;"","")))))&gt;0))))</f>
        <v>1</v>
      </c>
      <c r="CO31">
        <f>IF($AC$4="",1,--(AND(SUMPRODUCT(--($AS$88:$AZ$88&lt;&gt;""))&gt;0,IF(COUNTIF($BI$88:$BP$88,1)=0,TRUE,SUMPRODUCT(($BI$88:$BP$88=1)*($AS$88:$AZ$88&lt;&gt;"")*IF(((UPPER($AS$88:$AZ$88)="BLANK")+(UPPER($AS$88:$AZ$88)="(BLANK)")+(UPPER($AS$88:$AZ$88)="EMPTY")+(UPPER($AS$88:$AZ$88)="(EMPTY)"))&gt;0,IFERROR(('Final Calculation Sheet'!$AB$30)&amp;"","")="",ISNUMBER(SEARCH($AS$88:$AZ$88,IFERROR(('Final Calculation Sheet'!$AB$30)&amp;"","")))))&gt;0),IF(COUNTIF($BI$88:$BP$88,2)=0,TRUE,SUMPRODUCT(($BI$88:$BP$88=2)*($AS$88:$AZ$88&lt;&gt;"")*IF(((UPPER($AS$88:$AZ$88)="BLANK")+(UPPER($AS$88:$AZ$88)="(BLANK)")+(UPPER($AS$88:$AZ$88)="EMPTY")+(UPPER($AS$88:$AZ$88)="(EMPTY)"))&gt;0,IFERROR(('Final Calculation Sheet'!$AB$30)&amp;"","")="",ISNUMBER(SEARCH($AS$88:$AZ$88,IFERROR(('Final Calculation Sheet'!$AB$30)&amp;"","")))))&gt;0),IF(COUNTIF($BI$88:$BP$88,3)=0,TRUE,SUMPRODUCT(($BI$88:$BP$88=3)*($AS$88:$AZ$88&lt;&gt;"")*IF(((UPPER($AS$88:$AZ$88)="BLANK")+(UPPER($AS$88:$AZ$88)="(BLANK)")+(UPPER($AS$88:$AZ$88)="EMPTY")+(UPPER($AS$88:$AZ$88)="(EMPTY)"))&gt;0,IFERROR(('Final Calculation Sheet'!$AB$30)&amp;"","")="",ISNUMBER(SEARCH($AS$88:$AZ$88,IFERROR(('Final Calculation Sheet'!$AB$30)&amp;"","")))))&gt;0),IF(COUNTIF($BI$88:$BP$88,4)=0,TRUE,SUMPRODUCT(($BI$88:$BP$88=4)*($AS$88:$AZ$88&lt;&gt;"")*IF(((UPPER($AS$88:$AZ$88)="BLANK")+(UPPER($AS$88:$AZ$88)="(BLANK)")+(UPPER($AS$88:$AZ$88)="EMPTY")+(UPPER($AS$88:$AZ$88)="(EMPTY)"))&gt;0,IFERROR(('Final Calculation Sheet'!$AB$30)&amp;"","")="",ISNUMBER(SEARCH($AS$88:$AZ$88,IFERROR(('Final Calculation Sheet'!$AB$30)&amp;"","")))))&gt;0),IF(COUNTIF($BI$88:$BP$88,5)=0,TRUE,SUMPRODUCT(($BI$88:$BP$88=5)*($AS$88:$AZ$88&lt;&gt;"")*IF(((UPPER($AS$88:$AZ$88)="BLANK")+(UPPER($AS$88:$AZ$88)="(BLANK)")+(UPPER($AS$88:$AZ$88)="EMPTY")+(UPPER($AS$88:$AZ$88)="(EMPTY)"))&gt;0,IFERROR(('Final Calculation Sheet'!$AB$30)&amp;"","")="",ISNUMBER(SEARCH($AS$88:$AZ$88,IFERROR(('Final Calculation Sheet'!$AB$30)&amp;"","")))))&gt;0),IF(COUNTIF($BI$88:$BP$88,6)=0,TRUE,SUMPRODUCT(($BI$88:$BP$88=6)*($AS$88:$AZ$88&lt;&gt;"")*IF(((UPPER($AS$88:$AZ$88)="BLANK")+(UPPER($AS$88:$AZ$88)="(BLANK)")+(UPPER($AS$88:$AZ$88)="EMPTY")+(UPPER($AS$88:$AZ$88)="(EMPTY)"))&gt;0,IFERROR(('Final Calculation Sheet'!$AB$30)&amp;"","")="",ISNUMBER(SEARCH($AS$88:$AZ$88,IFERROR(('Final Calculation Sheet'!$AB$30)&amp;"","")))))&gt;0),IF(COUNTIF($BI$88:$BP$88,7)=0,TRUE,SUMPRODUCT(($BI$88:$BP$88=7)*($AS$88:$AZ$88&lt;&gt;"")*IF(((UPPER($AS$88:$AZ$88)="BLANK")+(UPPER($AS$88:$AZ$88)="(BLANK)")+(UPPER($AS$88:$AZ$88)="EMPTY")+(UPPER($AS$88:$AZ$88)="(EMPTY)"))&gt;0,IFERROR(('Final Calculation Sheet'!$AB$30)&amp;"","")="",ISNUMBER(SEARCH($AS$88:$AZ$88,IFERROR(('Final Calculation Sheet'!$AB$30)&amp;"","")))))&gt;0),IF(COUNTIF($BI$88:$BP$88,8)=0,TRUE,SUMPRODUCT(($BI$88:$BP$88=8)*($AS$88:$AZ$88&lt;&gt;"")*IF(((UPPER($AS$88:$AZ$88)="BLANK")+(UPPER($AS$88:$AZ$88)="(BLANK)")+(UPPER($AS$88:$AZ$88)="EMPTY")+(UPPER($AS$88:$AZ$88)="(EMPTY)"))&gt;0,IFERROR(('Final Calculation Sheet'!$AB$30)&amp;"","")="",ISNUMBER(SEARCH($AS$88:$AZ$88,IFERROR(('Final Calculation Sheet'!$AB$30)&amp;"","")))))&gt;0))))</f>
        <v>1</v>
      </c>
      <c r="CP31">
        <f>IF($AD$4="",1,--(AND(SUMPRODUCT(--($AS$89:$AZ$89&lt;&gt;""))&gt;0,IF(COUNTIF($BI$89:$BP$89,1)=0,TRUE,SUMPRODUCT(($BI$89:$BP$89=1)*($AS$89:$AZ$89&lt;&gt;"")*IF(((UPPER($AS$89:$AZ$89)="BLANK")+(UPPER($AS$89:$AZ$89)="(BLANK)")+(UPPER($AS$89:$AZ$89)="EMPTY")+(UPPER($AS$89:$AZ$89)="(EMPTY)"))&gt;0,IFERROR(('Final Calculation Sheet'!$AC$30)&amp;"","")="",ISNUMBER(SEARCH($AS$89:$AZ$89,IFERROR(('Final Calculation Sheet'!$AC$30)&amp;"","")))))&gt;0),IF(COUNTIF($BI$89:$BP$89,2)=0,TRUE,SUMPRODUCT(($BI$89:$BP$89=2)*($AS$89:$AZ$89&lt;&gt;"")*IF(((UPPER($AS$89:$AZ$89)="BLANK")+(UPPER($AS$89:$AZ$89)="(BLANK)")+(UPPER($AS$89:$AZ$89)="EMPTY")+(UPPER($AS$89:$AZ$89)="(EMPTY)"))&gt;0,IFERROR(('Final Calculation Sheet'!$AC$30)&amp;"","")="",ISNUMBER(SEARCH($AS$89:$AZ$89,IFERROR(('Final Calculation Sheet'!$AC$30)&amp;"","")))))&gt;0),IF(COUNTIF($BI$89:$BP$89,3)=0,TRUE,SUMPRODUCT(($BI$89:$BP$89=3)*($AS$89:$AZ$89&lt;&gt;"")*IF(((UPPER($AS$89:$AZ$89)="BLANK")+(UPPER($AS$89:$AZ$89)="(BLANK)")+(UPPER($AS$89:$AZ$89)="EMPTY")+(UPPER($AS$89:$AZ$89)="(EMPTY)"))&gt;0,IFERROR(('Final Calculation Sheet'!$AC$30)&amp;"","")="",ISNUMBER(SEARCH($AS$89:$AZ$89,IFERROR(('Final Calculation Sheet'!$AC$30)&amp;"","")))))&gt;0),IF(COUNTIF($BI$89:$BP$89,4)=0,TRUE,SUMPRODUCT(($BI$89:$BP$89=4)*($AS$89:$AZ$89&lt;&gt;"")*IF(((UPPER($AS$89:$AZ$89)="BLANK")+(UPPER($AS$89:$AZ$89)="(BLANK)")+(UPPER($AS$89:$AZ$89)="EMPTY")+(UPPER($AS$89:$AZ$89)="(EMPTY)"))&gt;0,IFERROR(('Final Calculation Sheet'!$AC$30)&amp;"","")="",ISNUMBER(SEARCH($AS$89:$AZ$89,IFERROR(('Final Calculation Sheet'!$AC$30)&amp;"","")))))&gt;0),IF(COUNTIF($BI$89:$BP$89,5)=0,TRUE,SUMPRODUCT(($BI$89:$BP$89=5)*($AS$89:$AZ$89&lt;&gt;"")*IF(((UPPER($AS$89:$AZ$89)="BLANK")+(UPPER($AS$89:$AZ$89)="(BLANK)")+(UPPER($AS$89:$AZ$89)="EMPTY")+(UPPER($AS$89:$AZ$89)="(EMPTY)"))&gt;0,IFERROR(('Final Calculation Sheet'!$AC$30)&amp;"","")="",ISNUMBER(SEARCH($AS$89:$AZ$89,IFERROR(('Final Calculation Sheet'!$AC$30)&amp;"","")))))&gt;0),IF(COUNTIF($BI$89:$BP$89,6)=0,TRUE,SUMPRODUCT(($BI$89:$BP$89=6)*($AS$89:$AZ$89&lt;&gt;"")*IF(((UPPER($AS$89:$AZ$89)="BLANK")+(UPPER($AS$89:$AZ$89)="(BLANK)")+(UPPER($AS$89:$AZ$89)="EMPTY")+(UPPER($AS$89:$AZ$89)="(EMPTY)"))&gt;0,IFERROR(('Final Calculation Sheet'!$AC$30)&amp;"","")="",ISNUMBER(SEARCH($AS$89:$AZ$89,IFERROR(('Final Calculation Sheet'!$AC$30)&amp;"","")))))&gt;0),IF(COUNTIF($BI$89:$BP$89,7)=0,TRUE,SUMPRODUCT(($BI$89:$BP$89=7)*($AS$89:$AZ$89&lt;&gt;"")*IF(((UPPER($AS$89:$AZ$89)="BLANK")+(UPPER($AS$89:$AZ$89)="(BLANK)")+(UPPER($AS$89:$AZ$89)="EMPTY")+(UPPER($AS$89:$AZ$89)="(EMPTY)"))&gt;0,IFERROR(('Final Calculation Sheet'!$AC$30)&amp;"","")="",ISNUMBER(SEARCH($AS$89:$AZ$89,IFERROR(('Final Calculation Sheet'!$AC$30)&amp;"","")))))&gt;0),IF(COUNTIF($BI$89:$BP$89,8)=0,TRUE,SUMPRODUCT(($BI$89:$BP$89=8)*($AS$89:$AZ$89&lt;&gt;"")*IF(((UPPER($AS$89:$AZ$89)="BLANK")+(UPPER($AS$89:$AZ$89)="(BLANK)")+(UPPER($AS$89:$AZ$89)="EMPTY")+(UPPER($AS$89:$AZ$89)="(EMPTY)"))&gt;0,IFERROR(('Final Calculation Sheet'!$AC$30)&amp;"","")="",ISNUMBER(SEARCH($AS$89:$AZ$89,IFERROR(('Final Calculation Sheet'!$AC$30)&amp;"","")))))&gt;0))))</f>
        <v>1</v>
      </c>
      <c r="CQ31">
        <f>IF($AE$4="",1,--(AND(SUMPRODUCT(--($AS$90:$AZ$90&lt;&gt;""))&gt;0,IF(COUNTIF($BI$90:$BP$90,1)=0,TRUE,SUMPRODUCT(($BI$90:$BP$90=1)*($AS$90:$AZ$90&lt;&gt;"")*IF(((UPPER($AS$90:$AZ$90)="BLANK")+(UPPER($AS$90:$AZ$90)="(BLANK)")+(UPPER($AS$90:$AZ$90)="EMPTY")+(UPPER($AS$90:$AZ$90)="(EMPTY)"))&gt;0,IFERROR(('Final Calculation Sheet'!$AD$30)&amp;"","")="",ISNUMBER(SEARCH($AS$90:$AZ$90,IFERROR(('Final Calculation Sheet'!$AD$30)&amp;"","")))))&gt;0),IF(COUNTIF($BI$90:$BP$90,2)=0,TRUE,SUMPRODUCT(($BI$90:$BP$90=2)*($AS$90:$AZ$90&lt;&gt;"")*IF(((UPPER($AS$90:$AZ$90)="BLANK")+(UPPER($AS$90:$AZ$90)="(BLANK)")+(UPPER($AS$90:$AZ$90)="EMPTY")+(UPPER($AS$90:$AZ$90)="(EMPTY)"))&gt;0,IFERROR(('Final Calculation Sheet'!$AD$30)&amp;"","")="",ISNUMBER(SEARCH($AS$90:$AZ$90,IFERROR(('Final Calculation Sheet'!$AD$30)&amp;"","")))))&gt;0),IF(COUNTIF($BI$90:$BP$90,3)=0,TRUE,SUMPRODUCT(($BI$90:$BP$90=3)*($AS$90:$AZ$90&lt;&gt;"")*IF(((UPPER($AS$90:$AZ$90)="BLANK")+(UPPER($AS$90:$AZ$90)="(BLANK)")+(UPPER($AS$90:$AZ$90)="EMPTY")+(UPPER($AS$90:$AZ$90)="(EMPTY)"))&gt;0,IFERROR(('Final Calculation Sheet'!$AD$30)&amp;"","")="",ISNUMBER(SEARCH($AS$90:$AZ$90,IFERROR(('Final Calculation Sheet'!$AD$30)&amp;"","")))))&gt;0),IF(COUNTIF($BI$90:$BP$90,4)=0,TRUE,SUMPRODUCT(($BI$90:$BP$90=4)*($AS$90:$AZ$90&lt;&gt;"")*IF(((UPPER($AS$90:$AZ$90)="BLANK")+(UPPER($AS$90:$AZ$90)="(BLANK)")+(UPPER($AS$90:$AZ$90)="EMPTY")+(UPPER($AS$90:$AZ$90)="(EMPTY)"))&gt;0,IFERROR(('Final Calculation Sheet'!$AD$30)&amp;"","")="",ISNUMBER(SEARCH($AS$90:$AZ$90,IFERROR(('Final Calculation Sheet'!$AD$30)&amp;"","")))))&gt;0),IF(COUNTIF($BI$90:$BP$90,5)=0,TRUE,SUMPRODUCT(($BI$90:$BP$90=5)*($AS$90:$AZ$90&lt;&gt;"")*IF(((UPPER($AS$90:$AZ$90)="BLANK")+(UPPER($AS$90:$AZ$90)="(BLANK)")+(UPPER($AS$90:$AZ$90)="EMPTY")+(UPPER($AS$90:$AZ$90)="(EMPTY)"))&gt;0,IFERROR(('Final Calculation Sheet'!$AD$30)&amp;"","")="",ISNUMBER(SEARCH($AS$90:$AZ$90,IFERROR(('Final Calculation Sheet'!$AD$30)&amp;"","")))))&gt;0),IF(COUNTIF($BI$90:$BP$90,6)=0,TRUE,SUMPRODUCT(($BI$90:$BP$90=6)*($AS$90:$AZ$90&lt;&gt;"")*IF(((UPPER($AS$90:$AZ$90)="BLANK")+(UPPER($AS$90:$AZ$90)="(BLANK)")+(UPPER($AS$90:$AZ$90)="EMPTY")+(UPPER($AS$90:$AZ$90)="(EMPTY)"))&gt;0,IFERROR(('Final Calculation Sheet'!$AD$30)&amp;"","")="",ISNUMBER(SEARCH($AS$90:$AZ$90,IFERROR(('Final Calculation Sheet'!$AD$30)&amp;"","")))))&gt;0),IF(COUNTIF($BI$90:$BP$90,7)=0,TRUE,SUMPRODUCT(($BI$90:$BP$90=7)*($AS$90:$AZ$90&lt;&gt;"")*IF(((UPPER($AS$90:$AZ$90)="BLANK")+(UPPER($AS$90:$AZ$90)="(BLANK)")+(UPPER($AS$90:$AZ$90)="EMPTY")+(UPPER($AS$90:$AZ$90)="(EMPTY)"))&gt;0,IFERROR(('Final Calculation Sheet'!$AD$30)&amp;"","")="",ISNUMBER(SEARCH($AS$90:$AZ$90,IFERROR(('Final Calculation Sheet'!$AD$30)&amp;"","")))))&gt;0),IF(COUNTIF($BI$90:$BP$90,8)=0,TRUE,SUMPRODUCT(($BI$90:$BP$90=8)*($AS$90:$AZ$90&lt;&gt;"")*IF(((UPPER($AS$90:$AZ$90)="BLANK")+(UPPER($AS$90:$AZ$90)="(BLANK)")+(UPPER($AS$90:$AZ$90)="EMPTY")+(UPPER($AS$90:$AZ$90)="(EMPTY)"))&gt;0,IFERROR(('Final Calculation Sheet'!$AD$30)&amp;"","")="",ISNUMBER(SEARCH($AS$90:$AZ$90,IFERROR(('Final Calculation Sheet'!$AD$30)&amp;"","")))))&gt;0))))</f>
        <v>1</v>
      </c>
      <c r="CR31">
        <f>IF($AF$4="",1,--(AND(SUMPRODUCT(--($AS$91:$AZ$91&lt;&gt;""))&gt;0,IF(COUNTIF($BI$91:$BP$91,1)=0,TRUE,SUMPRODUCT(($BI$91:$BP$91=1)*($AS$91:$AZ$91&lt;&gt;"")*IF(((UPPER($AS$91:$AZ$91)="BLANK")+(UPPER($AS$91:$AZ$91)="(BLANK)")+(UPPER($AS$91:$AZ$91)="EMPTY")+(UPPER($AS$91:$AZ$91)="(EMPTY)"))&gt;0,IFERROR(('Final Calculation Sheet'!$AE$30)&amp;"","")="",ISNUMBER(SEARCH($AS$91:$AZ$91,IFERROR(('Final Calculation Sheet'!$AE$30)&amp;"","")))))&gt;0),IF(COUNTIF($BI$91:$BP$91,2)=0,TRUE,SUMPRODUCT(($BI$91:$BP$91=2)*($AS$91:$AZ$91&lt;&gt;"")*IF(((UPPER($AS$91:$AZ$91)="BLANK")+(UPPER($AS$91:$AZ$91)="(BLANK)")+(UPPER($AS$91:$AZ$91)="EMPTY")+(UPPER($AS$91:$AZ$91)="(EMPTY)"))&gt;0,IFERROR(('Final Calculation Sheet'!$AE$30)&amp;"","")="",ISNUMBER(SEARCH($AS$91:$AZ$91,IFERROR(('Final Calculation Sheet'!$AE$30)&amp;"","")))))&gt;0),IF(COUNTIF($BI$91:$BP$91,3)=0,TRUE,SUMPRODUCT(($BI$91:$BP$91=3)*($AS$91:$AZ$91&lt;&gt;"")*IF(((UPPER($AS$91:$AZ$91)="BLANK")+(UPPER($AS$91:$AZ$91)="(BLANK)")+(UPPER($AS$91:$AZ$91)="EMPTY")+(UPPER($AS$91:$AZ$91)="(EMPTY)"))&gt;0,IFERROR(('Final Calculation Sheet'!$AE$30)&amp;"","")="",ISNUMBER(SEARCH($AS$91:$AZ$91,IFERROR(('Final Calculation Sheet'!$AE$30)&amp;"","")))))&gt;0),IF(COUNTIF($BI$91:$BP$91,4)=0,TRUE,SUMPRODUCT(($BI$91:$BP$91=4)*($AS$91:$AZ$91&lt;&gt;"")*IF(((UPPER($AS$91:$AZ$91)="BLANK")+(UPPER($AS$91:$AZ$91)="(BLANK)")+(UPPER($AS$91:$AZ$91)="EMPTY")+(UPPER($AS$91:$AZ$91)="(EMPTY)"))&gt;0,IFERROR(('Final Calculation Sheet'!$AE$30)&amp;"","")="",ISNUMBER(SEARCH($AS$91:$AZ$91,IFERROR(('Final Calculation Sheet'!$AE$30)&amp;"","")))))&gt;0),IF(COUNTIF($BI$91:$BP$91,5)=0,TRUE,SUMPRODUCT(($BI$91:$BP$91=5)*($AS$91:$AZ$91&lt;&gt;"")*IF(((UPPER($AS$91:$AZ$91)="BLANK")+(UPPER($AS$91:$AZ$91)="(BLANK)")+(UPPER($AS$91:$AZ$91)="EMPTY")+(UPPER($AS$91:$AZ$91)="(EMPTY)"))&gt;0,IFERROR(('Final Calculation Sheet'!$AE$30)&amp;"","")="",ISNUMBER(SEARCH($AS$91:$AZ$91,IFERROR(('Final Calculation Sheet'!$AE$30)&amp;"","")))))&gt;0),IF(COUNTIF($BI$91:$BP$91,6)=0,TRUE,SUMPRODUCT(($BI$91:$BP$91=6)*($AS$91:$AZ$91&lt;&gt;"")*IF(((UPPER($AS$91:$AZ$91)="BLANK")+(UPPER($AS$91:$AZ$91)="(BLANK)")+(UPPER($AS$91:$AZ$91)="EMPTY")+(UPPER($AS$91:$AZ$91)="(EMPTY)"))&gt;0,IFERROR(('Final Calculation Sheet'!$AE$30)&amp;"","")="",ISNUMBER(SEARCH($AS$91:$AZ$91,IFERROR(('Final Calculation Sheet'!$AE$30)&amp;"","")))))&gt;0),IF(COUNTIF($BI$91:$BP$91,7)=0,TRUE,SUMPRODUCT(($BI$91:$BP$91=7)*($AS$91:$AZ$91&lt;&gt;"")*IF(((UPPER($AS$91:$AZ$91)="BLANK")+(UPPER($AS$91:$AZ$91)="(BLANK)")+(UPPER($AS$91:$AZ$91)="EMPTY")+(UPPER($AS$91:$AZ$91)="(EMPTY)"))&gt;0,IFERROR(('Final Calculation Sheet'!$AE$30)&amp;"","")="",ISNUMBER(SEARCH($AS$91:$AZ$91,IFERROR(('Final Calculation Sheet'!$AE$30)&amp;"","")))))&gt;0),IF(COUNTIF($BI$91:$BP$91,8)=0,TRUE,SUMPRODUCT(($BI$91:$BP$91=8)*($AS$91:$AZ$91&lt;&gt;"")*IF(((UPPER($AS$91:$AZ$91)="BLANK")+(UPPER($AS$91:$AZ$91)="(BLANK)")+(UPPER($AS$91:$AZ$91)="EMPTY")+(UPPER($AS$91:$AZ$91)="(EMPTY)"))&gt;0,IFERROR(('Final Calculation Sheet'!$AE$30)&amp;"","")="",ISNUMBER(SEARCH($AS$91:$AZ$91,IFERROR(('Final Calculation Sheet'!$AE$30)&amp;"","")))))&gt;0))))</f>
        <v>1</v>
      </c>
      <c r="CS31">
        <f>IF($AG$4="",1,--(AND(SUMPRODUCT(--($AS$92:$AZ$92&lt;&gt;""))&gt;0,IF(COUNTIF($BI$92:$BP$92,1)=0,TRUE,SUMPRODUCT(($BI$92:$BP$92=1)*($AS$92:$AZ$92&lt;&gt;"")*IF(((UPPER($AS$92:$AZ$92)="BLANK")+(UPPER($AS$92:$AZ$92)="(BLANK)")+(UPPER($AS$92:$AZ$92)="EMPTY")+(UPPER($AS$92:$AZ$92)="(EMPTY)"))&gt;0,IFERROR(('Final Calculation Sheet'!$AF$30)&amp;"","")="",ISNUMBER(SEARCH($AS$92:$AZ$92,IFERROR(('Final Calculation Sheet'!$AF$30)&amp;"","")))))&gt;0),IF(COUNTIF($BI$92:$BP$92,2)=0,TRUE,SUMPRODUCT(($BI$92:$BP$92=2)*($AS$92:$AZ$92&lt;&gt;"")*IF(((UPPER($AS$92:$AZ$92)="BLANK")+(UPPER($AS$92:$AZ$92)="(BLANK)")+(UPPER($AS$92:$AZ$92)="EMPTY")+(UPPER($AS$92:$AZ$92)="(EMPTY)"))&gt;0,IFERROR(('Final Calculation Sheet'!$AF$30)&amp;"","")="",ISNUMBER(SEARCH($AS$92:$AZ$92,IFERROR(('Final Calculation Sheet'!$AF$30)&amp;"","")))))&gt;0),IF(COUNTIF($BI$92:$BP$92,3)=0,TRUE,SUMPRODUCT(($BI$92:$BP$92=3)*($AS$92:$AZ$92&lt;&gt;"")*IF(((UPPER($AS$92:$AZ$92)="BLANK")+(UPPER($AS$92:$AZ$92)="(BLANK)")+(UPPER($AS$92:$AZ$92)="EMPTY")+(UPPER($AS$92:$AZ$92)="(EMPTY)"))&gt;0,IFERROR(('Final Calculation Sheet'!$AF$30)&amp;"","")="",ISNUMBER(SEARCH($AS$92:$AZ$92,IFERROR(('Final Calculation Sheet'!$AF$30)&amp;"","")))))&gt;0),IF(COUNTIF($BI$92:$BP$92,4)=0,TRUE,SUMPRODUCT(($BI$92:$BP$92=4)*($AS$92:$AZ$92&lt;&gt;"")*IF(((UPPER($AS$92:$AZ$92)="BLANK")+(UPPER($AS$92:$AZ$92)="(BLANK)")+(UPPER($AS$92:$AZ$92)="EMPTY")+(UPPER($AS$92:$AZ$92)="(EMPTY)"))&gt;0,IFERROR(('Final Calculation Sheet'!$AF$30)&amp;"","")="",ISNUMBER(SEARCH($AS$92:$AZ$92,IFERROR(('Final Calculation Sheet'!$AF$30)&amp;"","")))))&gt;0),IF(COUNTIF($BI$92:$BP$92,5)=0,TRUE,SUMPRODUCT(($BI$92:$BP$92=5)*($AS$92:$AZ$92&lt;&gt;"")*IF(((UPPER($AS$92:$AZ$92)="BLANK")+(UPPER($AS$92:$AZ$92)="(BLANK)")+(UPPER($AS$92:$AZ$92)="EMPTY")+(UPPER($AS$92:$AZ$92)="(EMPTY)"))&gt;0,IFERROR(('Final Calculation Sheet'!$AF$30)&amp;"","")="",ISNUMBER(SEARCH($AS$92:$AZ$92,IFERROR(('Final Calculation Sheet'!$AF$30)&amp;"","")))))&gt;0),IF(COUNTIF($BI$92:$BP$92,6)=0,TRUE,SUMPRODUCT(($BI$92:$BP$92=6)*($AS$92:$AZ$92&lt;&gt;"")*IF(((UPPER($AS$92:$AZ$92)="BLANK")+(UPPER($AS$92:$AZ$92)="(BLANK)")+(UPPER($AS$92:$AZ$92)="EMPTY")+(UPPER($AS$92:$AZ$92)="(EMPTY)"))&gt;0,IFERROR(('Final Calculation Sheet'!$AF$30)&amp;"","")="",ISNUMBER(SEARCH($AS$92:$AZ$92,IFERROR(('Final Calculation Sheet'!$AF$30)&amp;"","")))))&gt;0),IF(COUNTIF($BI$92:$BP$92,7)=0,TRUE,SUMPRODUCT(($BI$92:$BP$92=7)*($AS$92:$AZ$92&lt;&gt;"")*IF(((UPPER($AS$92:$AZ$92)="BLANK")+(UPPER($AS$92:$AZ$92)="(BLANK)")+(UPPER($AS$92:$AZ$92)="EMPTY")+(UPPER($AS$92:$AZ$92)="(EMPTY)"))&gt;0,IFERROR(('Final Calculation Sheet'!$AF$30)&amp;"","")="",ISNUMBER(SEARCH($AS$92:$AZ$92,IFERROR(('Final Calculation Sheet'!$AF$30)&amp;"","")))))&gt;0),IF(COUNTIF($BI$92:$BP$92,8)=0,TRUE,SUMPRODUCT(($BI$92:$BP$92=8)*($AS$92:$AZ$92&lt;&gt;"")*IF(((UPPER($AS$92:$AZ$92)="BLANK")+(UPPER($AS$92:$AZ$92)="(BLANK)")+(UPPER($AS$92:$AZ$92)="EMPTY")+(UPPER($AS$92:$AZ$92)="(EMPTY)"))&gt;0,IFERROR(('Final Calculation Sheet'!$AF$30)&amp;"","")="",ISNUMBER(SEARCH($AS$92:$AZ$92,IFERROR(('Final Calculation Sheet'!$AF$30)&amp;"","")))))&gt;0))))</f>
        <v>1</v>
      </c>
      <c r="CT31">
        <f>IF($AH$4="",1,--(AND(SUMPRODUCT(--($AS$93:$AZ$93&lt;&gt;""))&gt;0,IF(COUNTIF($BI$93:$BP$93,1)=0,TRUE,SUMPRODUCT(($BI$93:$BP$93=1)*($AS$93:$AZ$93&lt;&gt;"")*IF(((UPPER($AS$93:$AZ$93)="BLANK")+(UPPER($AS$93:$AZ$93)="(BLANK)")+(UPPER($AS$93:$AZ$93)="EMPTY")+(UPPER($AS$93:$AZ$93)="(EMPTY)"))&gt;0,IFERROR(('Final Calculation Sheet'!$AG$30)&amp;"","")="",ISNUMBER(SEARCH($AS$93:$AZ$93,IFERROR(('Final Calculation Sheet'!$AG$30)&amp;"","")))))&gt;0),IF(COUNTIF($BI$93:$BP$93,2)=0,TRUE,SUMPRODUCT(($BI$93:$BP$93=2)*($AS$93:$AZ$93&lt;&gt;"")*IF(((UPPER($AS$93:$AZ$93)="BLANK")+(UPPER($AS$93:$AZ$93)="(BLANK)")+(UPPER($AS$93:$AZ$93)="EMPTY")+(UPPER($AS$93:$AZ$93)="(EMPTY)"))&gt;0,IFERROR(('Final Calculation Sheet'!$AG$30)&amp;"","")="",ISNUMBER(SEARCH($AS$93:$AZ$93,IFERROR(('Final Calculation Sheet'!$AG$30)&amp;"","")))))&gt;0),IF(COUNTIF($BI$93:$BP$93,3)=0,TRUE,SUMPRODUCT(($BI$93:$BP$93=3)*($AS$93:$AZ$93&lt;&gt;"")*IF(((UPPER($AS$93:$AZ$93)="BLANK")+(UPPER($AS$93:$AZ$93)="(BLANK)")+(UPPER($AS$93:$AZ$93)="EMPTY")+(UPPER($AS$93:$AZ$93)="(EMPTY)"))&gt;0,IFERROR(('Final Calculation Sheet'!$AG$30)&amp;"","")="",ISNUMBER(SEARCH($AS$93:$AZ$93,IFERROR(('Final Calculation Sheet'!$AG$30)&amp;"","")))))&gt;0),IF(COUNTIF($BI$93:$BP$93,4)=0,TRUE,SUMPRODUCT(($BI$93:$BP$93=4)*($AS$93:$AZ$93&lt;&gt;"")*IF(((UPPER($AS$93:$AZ$93)="BLANK")+(UPPER($AS$93:$AZ$93)="(BLANK)")+(UPPER($AS$93:$AZ$93)="EMPTY")+(UPPER($AS$93:$AZ$93)="(EMPTY)"))&gt;0,IFERROR(('Final Calculation Sheet'!$AG$30)&amp;"","")="",ISNUMBER(SEARCH($AS$93:$AZ$93,IFERROR(('Final Calculation Sheet'!$AG$30)&amp;"","")))))&gt;0),IF(COUNTIF($BI$93:$BP$93,5)=0,TRUE,SUMPRODUCT(($BI$93:$BP$93=5)*($AS$93:$AZ$93&lt;&gt;"")*IF(((UPPER($AS$93:$AZ$93)="BLANK")+(UPPER($AS$93:$AZ$93)="(BLANK)")+(UPPER($AS$93:$AZ$93)="EMPTY")+(UPPER($AS$93:$AZ$93)="(EMPTY)"))&gt;0,IFERROR(('Final Calculation Sheet'!$AG$30)&amp;"","")="",ISNUMBER(SEARCH($AS$93:$AZ$93,IFERROR(('Final Calculation Sheet'!$AG$30)&amp;"","")))))&gt;0),IF(COUNTIF($BI$93:$BP$93,6)=0,TRUE,SUMPRODUCT(($BI$93:$BP$93=6)*($AS$93:$AZ$93&lt;&gt;"")*IF(((UPPER($AS$93:$AZ$93)="BLANK")+(UPPER($AS$93:$AZ$93)="(BLANK)")+(UPPER($AS$93:$AZ$93)="EMPTY")+(UPPER($AS$93:$AZ$93)="(EMPTY)"))&gt;0,IFERROR(('Final Calculation Sheet'!$AG$30)&amp;"","")="",ISNUMBER(SEARCH($AS$93:$AZ$93,IFERROR(('Final Calculation Sheet'!$AG$30)&amp;"","")))))&gt;0),IF(COUNTIF($BI$93:$BP$93,7)=0,TRUE,SUMPRODUCT(($BI$93:$BP$93=7)*($AS$93:$AZ$93&lt;&gt;"")*IF(((UPPER($AS$93:$AZ$93)="BLANK")+(UPPER($AS$93:$AZ$93)="(BLANK)")+(UPPER($AS$93:$AZ$93)="EMPTY")+(UPPER($AS$93:$AZ$93)="(EMPTY)"))&gt;0,IFERROR(('Final Calculation Sheet'!$AG$30)&amp;"","")="",ISNUMBER(SEARCH($AS$93:$AZ$93,IFERROR(('Final Calculation Sheet'!$AG$30)&amp;"","")))))&gt;0),IF(COUNTIF($BI$93:$BP$93,8)=0,TRUE,SUMPRODUCT(($BI$93:$BP$93=8)*($AS$93:$AZ$93&lt;&gt;"")*IF(((UPPER($AS$93:$AZ$93)="BLANK")+(UPPER($AS$93:$AZ$93)="(BLANK)")+(UPPER($AS$93:$AZ$93)="EMPTY")+(UPPER($AS$93:$AZ$93)="(EMPTY)"))&gt;0,IFERROR(('Final Calculation Sheet'!$AG$30)&amp;"","")="",ISNUMBER(SEARCH($AS$93:$AZ$93,IFERROR(('Final Calculation Sheet'!$AG$30)&amp;"","")))))&gt;0))))</f>
        <v>1</v>
      </c>
      <c r="CU31">
        <f>IF($AI$4="",1,--(AND(SUMPRODUCT(--($AS$94:$AZ$94&lt;&gt;""))&gt;0,IF(COUNTIF($BI$94:$BP$94,1)=0,TRUE,SUMPRODUCT(($BI$94:$BP$94=1)*($AS$94:$AZ$94&lt;&gt;"")*IF(((UPPER($AS$94:$AZ$94)="BLANK")+(UPPER($AS$94:$AZ$94)="(BLANK)")+(UPPER($AS$94:$AZ$94)="EMPTY")+(UPPER($AS$94:$AZ$94)="(EMPTY)"))&gt;0,IFERROR((IF('Final Calculation Sheet'!$AD$30&lt;=0,"SETTLED","OUTSTANDING"))&amp;"","")="",ISNUMBER(SEARCH($AS$94:$AZ$94,IFERROR((IF('Final Calculation Sheet'!$AD$30&lt;=0,"SETTLED","OUTSTANDING"))&amp;"","")))))&gt;0),IF(COUNTIF($BI$94:$BP$94,2)=0,TRUE,SUMPRODUCT(($BI$94:$BP$94=2)*($AS$94:$AZ$94&lt;&gt;"")*IF(((UPPER($AS$94:$AZ$94)="BLANK")+(UPPER($AS$94:$AZ$94)="(BLANK)")+(UPPER($AS$94:$AZ$94)="EMPTY")+(UPPER($AS$94:$AZ$94)="(EMPTY)"))&gt;0,IFERROR((IF('Final Calculation Sheet'!$AD$30&lt;=0,"SETTLED","OUTSTANDING"))&amp;"","")="",ISNUMBER(SEARCH($AS$94:$AZ$94,IFERROR((IF('Final Calculation Sheet'!$AD$30&lt;=0,"SETTLED","OUTSTANDING"))&amp;"","")))))&gt;0),IF(COUNTIF($BI$94:$BP$94,3)=0,TRUE,SUMPRODUCT(($BI$94:$BP$94=3)*($AS$94:$AZ$94&lt;&gt;"")*IF(((UPPER($AS$94:$AZ$94)="BLANK")+(UPPER($AS$94:$AZ$94)="(BLANK)")+(UPPER($AS$94:$AZ$94)="EMPTY")+(UPPER($AS$94:$AZ$94)="(EMPTY)"))&gt;0,IFERROR((IF('Final Calculation Sheet'!$AD$30&lt;=0,"SETTLED","OUTSTANDING"))&amp;"","")="",ISNUMBER(SEARCH($AS$94:$AZ$94,IFERROR((IF('Final Calculation Sheet'!$AD$30&lt;=0,"SETTLED","OUTSTANDING"))&amp;"","")))))&gt;0),IF(COUNTIF($BI$94:$BP$94,4)=0,TRUE,SUMPRODUCT(($BI$94:$BP$94=4)*($AS$94:$AZ$94&lt;&gt;"")*IF(((UPPER($AS$94:$AZ$94)="BLANK")+(UPPER($AS$94:$AZ$94)="(BLANK)")+(UPPER($AS$94:$AZ$94)="EMPTY")+(UPPER($AS$94:$AZ$94)="(EMPTY)"))&gt;0,IFERROR((IF('Final Calculation Sheet'!$AD$30&lt;=0,"SETTLED","OUTSTANDING"))&amp;"","")="",ISNUMBER(SEARCH($AS$94:$AZ$94,IFERROR((IF('Final Calculation Sheet'!$AD$30&lt;=0,"SETTLED","OUTSTANDING"))&amp;"","")))))&gt;0),IF(COUNTIF($BI$94:$BP$94,5)=0,TRUE,SUMPRODUCT(($BI$94:$BP$94=5)*($AS$94:$AZ$94&lt;&gt;"")*IF(((UPPER($AS$94:$AZ$94)="BLANK")+(UPPER($AS$94:$AZ$94)="(BLANK)")+(UPPER($AS$94:$AZ$94)="EMPTY")+(UPPER($AS$94:$AZ$94)="(EMPTY)"))&gt;0,IFERROR((IF('Final Calculation Sheet'!$AD$30&lt;=0,"SETTLED","OUTSTANDING"))&amp;"","")="",ISNUMBER(SEARCH($AS$94:$AZ$94,IFERROR((IF('Final Calculation Sheet'!$AD$30&lt;=0,"SETTLED","OUTSTANDING"))&amp;"","")))))&gt;0),IF(COUNTIF($BI$94:$BP$94,6)=0,TRUE,SUMPRODUCT(($BI$94:$BP$94=6)*($AS$94:$AZ$94&lt;&gt;"")*IF(((UPPER($AS$94:$AZ$94)="BLANK")+(UPPER($AS$94:$AZ$94)="(BLANK)")+(UPPER($AS$94:$AZ$94)="EMPTY")+(UPPER($AS$94:$AZ$94)="(EMPTY)"))&gt;0,IFERROR((IF('Final Calculation Sheet'!$AD$30&lt;=0,"SETTLED","OUTSTANDING"))&amp;"","")="",ISNUMBER(SEARCH($AS$94:$AZ$94,IFERROR((IF('Final Calculation Sheet'!$AD$30&lt;=0,"SETTLED","OUTSTANDING"))&amp;"","")))))&gt;0),IF(COUNTIF($BI$94:$BP$94,7)=0,TRUE,SUMPRODUCT(($BI$94:$BP$94=7)*($AS$94:$AZ$94&lt;&gt;"")*IF(((UPPER($AS$94:$AZ$94)="BLANK")+(UPPER($AS$94:$AZ$94)="(BLANK)")+(UPPER($AS$94:$AZ$94)="EMPTY")+(UPPER($AS$94:$AZ$94)="(EMPTY)"))&gt;0,IFERROR((IF('Final Calculation Sheet'!$AD$30&lt;=0,"SETTLED","OUTSTANDING"))&amp;"","")="",ISNUMBER(SEARCH($AS$94:$AZ$94,IFERROR((IF('Final Calculation Sheet'!$AD$30&lt;=0,"SETTLED","OUTSTANDING"))&amp;"","")))))&gt;0),IF(COUNTIF($BI$94:$BP$94,8)=0,TRUE,SUMPRODUCT(($BI$94:$BP$94=8)*($AS$94:$AZ$94&lt;&gt;"")*IF(((UPPER($AS$94:$AZ$94)="BLANK")+(UPPER($AS$94:$AZ$94)="(BLANK)")+(UPPER($AS$94:$AZ$94)="EMPTY")+(UPPER($AS$94:$AZ$94)="(EMPTY)"))&gt;0,IFERROR((IF('Final Calculation Sheet'!$AD$30&lt;=0,"SETTLED","OUTSTANDING"))&amp;"","")="",ISNUMBER(SEARCH($AS$94:$AZ$94,IFERROR((IF('Final Calculation Sheet'!$AD$30&lt;=0,"SETTLED","OUTSTANDING"))&amp;"","")))))&gt;0))))</f>
        <v>1</v>
      </c>
    </row>
    <row r="32" spans="1:99" ht="15" customHeight="1" x14ac:dyDescent="0.25">
      <c r="A32" s="67">
        <f>IF($BJ31&gt;0,INDEX($BA$5:$BA$41,MATCH(31,$BB$5:$BB$41,0)),IF(OR($BI31=1,$BL31=1,$BH31&gt;0),"∑",""))</f>
        <v>15</v>
      </c>
      <c r="B32" s="68">
        <f>IF($BJ31&gt;0,IF(INDEX('Final Calculation Sheet'!$F$4:$F$40,$BJ31-3)="","",INDEX('Final Calculation Sheet'!$F$4:$F$40,$BJ31-3)),"")</f>
        <v>2023</v>
      </c>
      <c r="C32" s="68" t="str">
        <f>IF($BJ31&gt;0,IF(INDEX('Final Calculation Sheet'!$G$4:$G$40,$BJ31-3)="","",INDEX('Final Calculation Sheet'!$G$4:$G$40,$BJ31-3)),IF(OR($BI31=1,$BL31=1,$BH31&gt;0),IF($BI31=1,37,IF($BL31=1,37-INDEX($BD$4:$BD$13,10),INDEX($BD$4:$BD$13,$BH31)))&amp;" lot(s)",""))</f>
        <v>NATIONAL ENTERPRISES</v>
      </c>
      <c r="D32" s="69" t="str">
        <f>IF($BJ31&gt;0,IF(INDEX('Final Calculation Sheet'!$B$4:$B$40,$BJ31-3)="","",INDEX('Final Calculation Sheet'!$B$4:$B$40,$BJ31-3)),IF(OR($BI31=1,$BL31=1,$BH31&gt;0),IF($BI31=1,"GRAND TOTAL  —  matching + remaining",IF($BL31=1,"TOTAL MATCHED  —  every group together",IF($BH31=10,"REMAINING  —  did not match the search",IF($BH31=9,IF(COUNTIF($A$4:$AI$4,"&lt;&gt;")&gt;0,"FILTERED LOTS  —  column fields","ALL LOTS  —  nothing typed in the box"),"GROUP "&amp;$BH31&amp;" TOTAL  —  lots matching  "&amp;INDEX($AR$6:$AY$6,$BH31))))),""))</f>
        <v>Scrap of 132 KV CT</v>
      </c>
      <c r="E32" s="69">
        <f>IF($BJ31&gt;0,IF(INDEX('Final Calculation Sheet'!$D$4:$D$40,$BJ31-3)="","",INDEX('Final Calculation Sheet'!$D$4:$D$40,$BJ31-3)),IF(OR($BI31=1,$BL31=1,$BH31&gt;0),"–",""))</f>
        <v>21978</v>
      </c>
      <c r="F32" s="69">
        <f>IF($BJ31&gt;0,IF(INDEX('Final Calculation Sheet'!$A$4:$A$40,$BJ31-3)="","",INDEX('Final Calculation Sheet'!$A$4:$A$40,$BJ31-3)),IF(OR($BI31=1,$BL31=1,$BH31&gt;0),IF($BI31=1,SUM('Final Calculation Sheet'!$A$4:$A$40),IF($BL31=1,SUM('Final Calculation Sheet'!$A$4:$A$40)-SUMIFS('Final Calculation Sheet'!$A$4:$A$40,$AZ$5:$AZ$41,10),SUMIFS('Final Calculation Sheet'!$A$4:$A$40,$AZ$5:$AZ$41,$BH31))),""))</f>
        <v>3</v>
      </c>
      <c r="G32" s="69" t="str">
        <f>IF($BJ31&gt;0,IF(INDEX('Final Calculation Sheet'!$E$4:$E$40,$BJ31-3)="","",INDEX('Final Calculation Sheet'!$E$4:$E$40,$BJ31-3)),IF(OR($BI31=1,$BL31=1,$BH31&gt;0),"–",""))</f>
        <v>NO</v>
      </c>
      <c r="H32" s="70">
        <f>IF($BJ31&gt;0,IF(INDEX('Final Calculation Sheet'!$C$4:$C$40,$BJ31-3)="","",INDEX('Final Calculation Sheet'!$C$4:$C$40,$BJ31-3)),IF(OR($BI31=1,$BL31=1,$BH31&gt;0),"–",""))</f>
        <v>83743</v>
      </c>
      <c r="I32" s="70">
        <f>IF($BJ31&gt;0,IF(INDEX('Final Calculation Sheet'!$H$4:$H$40,$BJ31-3)="","",INDEX('Final Calculation Sheet'!$H$4:$H$40,$BJ31-3)),IF(OR($BI31=1,$BL31=1,$BH31&gt;0),IF($BI31=1,SUM('Final Calculation Sheet'!$H$4:$H$40),IF($BL31=1,SUM('Final Calculation Sheet'!$H$4:$H$40)-SUMIFS('Final Calculation Sheet'!$H$4:$H$40,$AZ$5:$AZ$41,10),SUMIFS('Final Calculation Sheet'!$H$4:$H$40,$AZ$5:$AZ$41,$BH31))),""))</f>
        <v>251229</v>
      </c>
      <c r="J32" s="70">
        <f>IF($BJ31&gt;0,IF(INDEX('Final Calculation Sheet'!$I$4:$I$40,$BJ31-3)="","",INDEX('Final Calculation Sheet'!$I$4:$I$40,$BJ31-3)),IF(OR($BI31=1,$BL31=1,$BH31&gt;0),IF($BI31=1,SUM('Final Calculation Sheet'!$I$4:$I$40),IF($BL31=1,SUM('Final Calculation Sheet'!$I$4:$I$40)-SUMIFS('Final Calculation Sheet'!$I$4:$I$40,$AZ$5:$AZ$41,10),SUMIFS('Final Calculation Sheet'!$I$4:$I$40,$AZ$5:$AZ$41,$BH31))),""))</f>
        <v>45221</v>
      </c>
      <c r="K32" s="70">
        <f>IF($BJ31&gt;0,IF(INDEX('Final Calculation Sheet'!$J$4:$J$40,$BJ31-3)="","",INDEX('Final Calculation Sheet'!$J$4:$J$40,$BJ31-3)),IF(OR($BI31=1,$BL31=1,$BH31&gt;0),IF($BI31=1,SUM('Final Calculation Sheet'!$J$4:$J$40),IF($BL31=1,SUM('Final Calculation Sheet'!$J$4:$J$40)-SUMIFS('Final Calculation Sheet'!$J$4:$J$40,$AZ$5:$AZ$41,10),SUMIFS('Final Calculation Sheet'!$J$4:$J$40,$AZ$5:$AZ$41,$BH31))),""))</f>
        <v>296450</v>
      </c>
      <c r="L32" s="70">
        <f>IF($BJ31&gt;0,IF(INDEX('Final Calculation Sheet'!$K$4:$K$40,$BJ31-3)="","",INDEX('Final Calculation Sheet'!$K$4:$K$40,$BJ31-3)),IF(OR($BI31=1,$BL31=1,$BH31&gt;0),IF($BI31=1,SUM('Final Calculation Sheet'!$K$4:$K$40),IF($BL31=1,SUM('Final Calculation Sheet'!$K$4:$K$40)-SUMIFS('Final Calculation Sheet'!$K$4:$K$40,$AZ$5:$AZ$41,10),SUMIFS('Final Calculation Sheet'!$K$4:$K$40,$AZ$5:$AZ$41,$BH31))),""))</f>
        <v>5929</v>
      </c>
      <c r="M32" s="70">
        <f>IF($BJ31&gt;0,IF(INDEX('Final Calculation Sheet'!$L$4:$L$40,$BJ31-3)="","",INDEX('Final Calculation Sheet'!$L$4:$L$40,$BJ31-3)),IF(OR($BI31=1,$BL31=1,$BH31&gt;0),IF($BI31=1,SUM('Final Calculation Sheet'!$L$4:$L$40),IF($BL31=1,SUM('Final Calculation Sheet'!$L$4:$L$40)-SUMIFS('Final Calculation Sheet'!$L$4:$L$40,$AZ$5:$AZ$41,10),SUMIFS('Final Calculation Sheet'!$L$4:$L$40,$AZ$5:$AZ$41,$BH31))),""))</f>
        <v>251.22900000000001</v>
      </c>
      <c r="N32" s="70">
        <f>IF($BJ31&gt;0,IF(INDEX('Final Calculation Sheet'!$M$4:$M$40,$BJ31-3)="","",INDEX('Final Calculation Sheet'!$M$4:$M$40,$BJ31-3)),IF(OR($BI31=1,$BL31=1,$BH31&gt;0),IF($BI31=1,SUM('Final Calculation Sheet'!$M$4:$M$40),IF($BL31=1,SUM('Final Calculation Sheet'!$M$4:$M$40)-SUMIFS('Final Calculation Sheet'!$M$4:$M$40,$AZ$5:$AZ$41,10),SUMIFS('Final Calculation Sheet'!$M$4:$M$40,$AZ$5:$AZ$41,$BH31))),""))</f>
        <v>6670.1299499999996</v>
      </c>
      <c r="O32" s="71">
        <f>IF($BJ31&gt;0,IF(INDEX('Final Calculation Sheet'!$N$4:$N$40,$BJ31-3)="","",INDEX('Final Calculation Sheet'!$N$4:$N$40,$BJ31-3)),IF(OR($BI31=1,$BL31=1,$BH31&gt;0),IF($BI31=1,SUM('Final Calculation Sheet'!$N$4:$N$40),IF($BL31=1,SUM('Final Calculation Sheet'!$N$4:$N$40)-SUMIFS('Final Calculation Sheet'!$N$4:$N$40,$AZ$5:$AZ$41,10),SUMIFS('Final Calculation Sheet'!$N$4:$N$40,$AZ$5:$AZ$41,$BH31))),""))</f>
        <v>113.05305</v>
      </c>
      <c r="P32" s="70">
        <f>IF($BJ31&gt;0,IF(INDEX('Final Calculation Sheet'!$O$4:$O$40,$BJ31-3)="","",INDEX('Final Calculation Sheet'!$O$4:$O$40,$BJ31-3)),IF(OR($BI31=1,$BL31=1,$BH31&gt;0),IF($BI31=1,SUM('Final Calculation Sheet'!$O$4:$O$40),IF($BL31=1,SUM('Final Calculation Sheet'!$O$4:$O$40)-SUMIFS('Final Calculation Sheet'!$O$4:$O$40,$AZ$5:$AZ$41,10),SUMIFS('Final Calculation Sheet'!$O$4:$O$40,$AZ$5:$AZ$41,$BH31))),""))</f>
        <v>6557.0768999999991</v>
      </c>
      <c r="Q32" s="70">
        <f>IF($BJ31&gt;0,IF(INDEX('Final Calculation Sheet'!$P$4:$P$40,$BJ31-3)="","",INDEX('Final Calculation Sheet'!$P$4:$P$40,$BJ31-3)),IF(OR($BI31=1,$BL31=1,$BH31&gt;0),IF($BI31=1,SUM('Final Calculation Sheet'!$P$4:$P$40),IF($BL31=1,SUM('Final Calculation Sheet'!$P$4:$P$40)-SUMIFS('Final Calculation Sheet'!$P$4:$P$40,$AZ$5:$AZ$41,10),SUMIFS('Final Calculation Sheet'!$P$4:$P$40,$AZ$5:$AZ$41,$BH31))),""))</f>
        <v>6808</v>
      </c>
      <c r="R32" s="72">
        <f>IF($BJ31&gt;0,IF(INDEX('Final Calculation Sheet'!$Q$4:$Q$40,$BJ31-3)="","",INDEX('Final Calculation Sheet'!$Q$4:$Q$40,$BJ31-3)),IF(OR($BI31=1,$BL31=1,$BH31&gt;0),"–",""))</f>
        <v>0</v>
      </c>
      <c r="S32" s="70">
        <f>IF($BJ31&gt;0,IF(INDEX('Final Calculation Sheet'!$R$4:$R$40,$BJ31-3)="","",INDEX('Final Calculation Sheet'!$R$4:$R$40,$BJ31-3)),IF(OR($BI31=1,$BL31=1,$BH31&gt;0),IF($BI31=1,SUM('Final Calculation Sheet'!$R$4:$R$40),IF($BL31=1,SUM('Final Calculation Sheet'!$R$4:$R$40)-SUMIFS('Final Calculation Sheet'!$R$4:$R$40,$AZ$5:$AZ$41,10),SUMIFS('Final Calculation Sheet'!$R$4:$R$40,$AZ$5:$AZ$41,$BH31))),""))</f>
        <v>0</v>
      </c>
      <c r="T32" s="70">
        <f>IF($BJ31&gt;0,IF(INDEX('Final Calculation Sheet'!$S$4:$S$40,$BJ31-3)="","",INDEX('Final Calculation Sheet'!$S$4:$S$40,$BJ31-3)),IF(OR($BI31=1,$BL31=1,$BH31&gt;0),IF($BI31=1,SUM('Final Calculation Sheet'!$S$4:$S$40),IF($BL31=1,SUM('Final Calculation Sheet'!$S$4:$S$40)-SUMIFS('Final Calculation Sheet'!$S$4:$S$40,$AZ$5:$AZ$41,10),SUMIFS('Final Calculation Sheet'!$S$4:$S$40,$AZ$5:$AZ$41,$BH31))),""))</f>
        <v>295571</v>
      </c>
      <c r="U32" s="70">
        <f>IF($BJ31&gt;0,IF(INDEX('Final Calculation Sheet'!$T$4:$T$40,$BJ31-3)="","",INDEX('Final Calculation Sheet'!$T$4:$T$40,$BJ31-3)),IF(OR($BI31=1,$BL31=1,$BH31&gt;0),IF($BI31=1,SUM('Final Calculation Sheet'!$T$4:$T$40),IF($BL31=1,SUM('Final Calculation Sheet'!$T$4:$T$40)-SUMIFS('Final Calculation Sheet'!$T$4:$T$40,$AZ$5:$AZ$41,10),SUMIFS('Final Calculation Sheet'!$T$4:$T$40,$AZ$5:$AZ$41,$BH31))),""))</f>
        <v>62807</v>
      </c>
      <c r="V32" s="73">
        <f>IF($BJ31&gt;0,IF(INDEX('Final Calculation Sheet'!$U$4:$U$40,$BJ31-3)="","",INDEX('Final Calculation Sheet'!$U$4:$U$40,$BJ31-3)),IF(OR($BI31=1,$BL31=1,$BH31&gt;0),IF($BI31=1,SUM('Final Calculation Sheet'!$U$4:$U$40),IF($BL31=1,SUM('Final Calculation Sheet'!$U$4:$U$40)-SUMIFS('Final Calculation Sheet'!$U$4:$U$40,$AZ$5:$AZ$41,10),SUMIFS('Final Calculation Sheet'!$U$4:$U$40,$AZ$5:$AZ$41,$BH31))),""))</f>
        <v>62807</v>
      </c>
      <c r="W32" s="70" t="str">
        <f>IF($BJ31&gt;0,IF(INDEX('Final Calculation Sheet'!$V$4:$V$40,$BJ31-3)="","",INDEX('Final Calculation Sheet'!$V$4:$V$40,$BJ31-3)),IF(OR($BI31=1,$BL31=1,$BH31&gt;0),"–",""))</f>
        <v>13.08.2026</v>
      </c>
      <c r="X32" s="70">
        <f>IF($BJ31&gt;0,IF(INDEX('Final Calculation Sheet'!$W$4:$W$40,$BJ31-3)="","",INDEX('Final Calculation Sheet'!$W$4:$W$40,$BJ31-3)),IF(OR($BI31=1,$BL31=1,$BH31&gt;0),IF($BI31=1,SUM('Final Calculation Sheet'!$W$4:$W$40),IF($BL31=1,SUM('Final Calculation Sheet'!$W$4:$W$40)-SUMIFS('Final Calculation Sheet'!$W$4:$W$40,$AZ$5:$AZ$41,10),SUMIFS('Final Calculation Sheet'!$W$4:$W$40,$AZ$5:$AZ$41,$BH31))),""))</f>
        <v>232764</v>
      </c>
      <c r="Y32" s="70">
        <f>IF($BJ31&gt;0,IF(INDEX('Final Calculation Sheet'!$X$4:$X$40,$BJ31-3)="","",INDEX('Final Calculation Sheet'!$X$4:$X$40,$BJ31-3)),IF(OR($BI31=1,$BL31=1,$BH31&gt;0),IF($BI31=1,SUM('Final Calculation Sheet'!$X$4:$X$40),IF($BL31=1,SUM('Final Calculation Sheet'!$X$4:$X$40)-SUMIFS('Final Calculation Sheet'!$X$4:$X$40,$AZ$5:$AZ$41,10),SUMIFS('Final Calculation Sheet'!$X$4:$X$40,$AZ$5:$AZ$41,$BH31))),""))</f>
        <v>232764</v>
      </c>
      <c r="Z32" s="70" t="str">
        <f>IF($BJ31&gt;0,IF(INDEX('Final Calculation Sheet'!$Y$4:$Y$40,$BJ31-3)="","",INDEX('Final Calculation Sheet'!$Y$4:$Y$40,$BJ31-3)),IF(OR($BI31=1,$BL31=1,$BH31&gt;0),"–",""))</f>
        <v>24.08.2026</v>
      </c>
      <c r="AA32" s="70">
        <f ca="1">IF($BJ31&gt;0,IF(INDEX('Final Calculation Sheet'!$Z$4:$Z$40,$BJ31-3)="","",INDEX('Final Calculation Sheet'!$Z$4:$Z$40,$BJ31-3)),IF(OR($BI31=1,$BL31=1,$BH31&gt;0),IF($BI31=1,SUM('Final Calculation Sheet'!$Z$4:$Z$40),IF($BL31=1,SUM('Final Calculation Sheet'!$Z$4:$Z$40)-SUMIFS('Final Calculation Sheet'!$Z$4:$Z$40,$AZ$5:$AZ$41,10),SUMIFS('Final Calculation Sheet'!$Z$4:$Z$40,$AZ$5:$AZ$41,$BH31))),""))</f>
        <v>0</v>
      </c>
      <c r="AB32" s="70" t="str">
        <f>IF($BJ31&gt;0,IF(INDEX('Final Calculation Sheet'!$AA$4:$AA$40,$BJ31-3)="","",INDEX('Final Calculation Sheet'!$AA$4:$AA$40,$BJ31-3)),IF(OR($BI31=1,$BL31=1,$BH31&gt;0),IF($BI31=1,SUM('Final Calculation Sheet'!$AA$4:$AA$40),IF($BL31=1,SUM('Final Calculation Sheet'!$AA$4:$AA$40)-SUMIFS('Final Calculation Sheet'!$AA$4:$AA$40,$AZ$5:$AZ$41,10),SUMIFS('Final Calculation Sheet'!$AA$4:$AA$40,$AZ$5:$AZ$41,$BH31))),""))</f>
        <v/>
      </c>
      <c r="AC32" s="70" t="str">
        <f>IF($BJ31&gt;0,IF(INDEX('Final Calculation Sheet'!$AB$4:$AB$40,$BJ31-3)="","",INDEX('Final Calculation Sheet'!$AB$4:$AB$40,$BJ31-3)),IF(OR($BI31=1,$BL31=1,$BH31&gt;0),"–",""))</f>
        <v/>
      </c>
      <c r="AD32" s="70">
        <f>IF($BJ31&gt;0,IF(INDEX('Final Calculation Sheet'!$AC$4:$AC$40,$BJ31-3)="","",INDEX('Final Calculation Sheet'!$AC$4:$AC$40,$BJ31-3)),IF(OR($BI31=1,$BL31=1,$BH31&gt;0),IF($BI31=1,SUM('Final Calculation Sheet'!$AC$4:$AC$40),IF($BL31=1,SUM('Final Calculation Sheet'!$AC$4:$AC$40)-SUMIFS('Final Calculation Sheet'!$AC$4:$AC$40,$AZ$5:$AZ$41,10),SUMIFS('Final Calculation Sheet'!$AC$4:$AC$40,$AZ$5:$AZ$41,$BH31))),""))</f>
        <v>295571</v>
      </c>
      <c r="AE32" s="70">
        <f>IF($BJ31&gt;0,IF(INDEX('Final Calculation Sheet'!$AD$4:$AD$40,$BJ31-3)="","",INDEX('Final Calculation Sheet'!$AD$4:$AD$40,$BJ31-3)),IF(OR($BI31=1,$BL31=1,$BH31&gt;0),IF($BI31=1,SUM('Final Calculation Sheet'!$AD$4:$AD$40),IF($BL31=1,SUM('Final Calculation Sheet'!$AD$4:$AD$40)-SUMIFS('Final Calculation Sheet'!$AD$4:$AD$40,$AZ$5:$AZ$41,10),SUMIFS('Final Calculation Sheet'!$AD$4:$AD$40,$AZ$5:$AZ$41,$BH31))),""))</f>
        <v>0</v>
      </c>
      <c r="AF32" s="70" t="str">
        <f>IF($BJ31&gt;0,IF(INDEX('Final Calculation Sheet'!$AE$4:$AE$40,$BJ31-3)="","",INDEX('Final Calculation Sheet'!$AE$4:$AE$40,$BJ31-3)),IF(OR($BI31=1,$BL31=1,$BH31&gt;0),"–",""))</f>
        <v>DR2640100044</v>
      </c>
      <c r="AG32" s="74">
        <f>IF($BJ31&gt;0,IF(INDEX('Final Calculation Sheet'!$AF$4:$AF$40,$BJ31-3)="","",INDEX('Final Calculation Sheet'!$AF$4:$AF$40,$BJ31-3)),IF(OR($BI31=1,$BL31=1,$BH31&gt;0),"–",""))</f>
        <v>1800003308</v>
      </c>
      <c r="AH32" s="70" t="str">
        <f>IF($BJ31&gt;0,IF(INDEX('Final Calculation Sheet'!$AG$4:$AG$40,$BJ31-3)="","",INDEX('Final Calculation Sheet'!$AG$4:$AG$40,$BJ31-3)),IF(OR($BI31=1,$BL31=1,$BH31&gt;0),"–",""))</f>
        <v>27.08.2026</v>
      </c>
      <c r="AI32" s="75" t="str">
        <f>IF($BJ31&gt;0,IF(INDEX('Final Calculation Sheet'!$AD$4:$AD$40,$BJ31-3)="","",IF(INDEX('Final Calculation Sheet'!$AD$4:$AD$40,$BJ31-3)&lt;=0,"SETTLED","OUTSTANDING")),IF(OR($BI31=1,$BL31=1,$BH31&gt;0),IF(IF($BI31=1,SUM('Final Calculation Sheet'!$AD$4:$AD$40),IF($BL31=1,SUM('Final Calculation Sheet'!$AD$4:$AD$40)-SUMIFS('Final Calculation Sheet'!$AD$4:$AD$40,$AZ$5:$AZ$41,10),SUMIFS('Final Calculation Sheet'!$AD$4:$AD$40,$AZ$5:$AZ$41,$BH31)))&lt;=0,"ALL SETTLED","OUTSTANDING"),""))</f>
        <v>SETTLED</v>
      </c>
      <c r="AK32" t="str">
        <f>IF($F$3="Lot No.",'Final Calculation Sheet'!$F$31,IF($F$3="Buyer",'Final Calculation Sheet'!$G$31,IF($F$3="Lot Name",'Final Calculation Sheet'!$B$31,IF($F$3="Bid Sheet",'Final Calculation Sheet'!$D$31,IF($F$3="Unit",'Final Calculation Sheet'!$E$31,'Final Calculation Sheet'!$F$31&amp;" "&amp;'Final Calculation Sheet'!$G$31&amp;" "&amp;'Final Calculation Sheet'!$B$31)))))</f>
        <v>2046 SAHARA ENTERPRISES Scrap of AAAC Earth wire</v>
      </c>
      <c r="AM32">
        <f t="shared" si="1"/>
        <v>0</v>
      </c>
      <c r="AZ32">
        <f t="shared" si="2"/>
        <v>10</v>
      </c>
      <c r="BA32">
        <f t="shared" si="3"/>
        <v>21</v>
      </c>
      <c r="BB32">
        <f t="shared" si="4"/>
        <v>37</v>
      </c>
      <c r="BC32">
        <v>31</v>
      </c>
      <c r="BH32">
        <f>IFERROR(MATCH(32,$BF$4:$BF$13,0),0)</f>
        <v>0</v>
      </c>
      <c r="BI32">
        <f>IF(32=$BG$5,1,0)</f>
        <v>0</v>
      </c>
      <c r="BJ32">
        <f>IF(OR($BH32&gt;0,$BI32=1,$BL32=1),0,IFERROR(INDEX($BC$5:$BC$41,MATCH(32,$BB$5:$BB$41,0)),0))</f>
        <v>24</v>
      </c>
      <c r="BK32">
        <f>IF($BJ32&gt;0,IF(INDEX($AZ$5:$AZ$41,MATCH(32,$BB$5:$BB$41,0))=10,1,0),IF($BH32=10,1,0))</f>
        <v>1</v>
      </c>
      <c r="BL32">
        <f>IF(32=$BG$4,1,0)</f>
        <v>0</v>
      </c>
      <c r="BM32">
        <f>IF($A$4="",1,--(AND(SUMPRODUCT(--($AS$60:$AZ$60&lt;&gt;""))&gt;0,IF(COUNTIF($BI$60:$BP$60,1)=0,TRUE,SUMPRODUCT(($BI$60:$BP$60=1)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$60,2)=0,TRUE,SUMPRODUCT(($BI$60:$BP$60=2)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$60,3)=0,TRUE,SUMPRODUCT(($BI$60:$BP$60=3)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$60,4)=0,TRUE,SUMPRODUCT(($BI$60:$BP$60=4)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$60,5)=0,TRUE,SUMPRODUCT(($BI$60:$BP$60=5)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$60,6)=0,TRUE,SUMPRODUCT(($BI$60:$BP$60=6)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$60,7)=0,TRUE,SUMPRODUCT(($BI$60:$BP$60=7)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$60,8)=0,TRUE,SUMPRODUCT(($BI$60:$BP$60=8)*($AS$60:$AZ$60&lt;&gt;"")*IF(((UPPER($AS$60:$AZ$60)="BLANK")+(UPPER($AS$60:$AZ$60)="(BLANK)")+(UPPER($AS$60:$AZ$60)="EMPTY")+(UPPER($AS$60:$AZ$60)="(EMPTY)"))&gt;0,IFERROR((ROW()-4)&amp;"","")="",ISNUMBER(SEARCH($AS$60:$AZ$60,IFERROR((ROW()-4)&amp;"","")))))&gt;0))))</f>
        <v>1</v>
      </c>
      <c r="BN32">
        <f>IF($B$4="",1,--(AND(SUMPRODUCT(--($AS$61:$AZ$61&lt;&gt;""))&gt;0,IF(COUNTIF($BI$61:$BP$61,1)=0,TRUE,SUMPRODUCT(($BI$61:$BP$61=1)*($AS$61:$AZ$61&lt;&gt;"")*IF(((UPPER($AS$61:$AZ$61)="BLANK")+(UPPER($AS$61:$AZ$61)="(BLANK)")+(UPPER($AS$61:$AZ$61)="EMPTY")+(UPPER($AS$61:$AZ$61)="(EMPTY)"))&gt;0,IFERROR(('Final Calculation Sheet'!$F$31)&amp;"","")="",ISNUMBER(SEARCH($AS$61:$AZ$61,IFERROR(('Final Calculation Sheet'!$F$31)&amp;"","")))))&gt;0),IF(COUNTIF($BI$61:$BP$61,2)=0,TRUE,SUMPRODUCT(($BI$61:$BP$61=2)*($AS$61:$AZ$61&lt;&gt;"")*IF(((UPPER($AS$61:$AZ$61)="BLANK")+(UPPER($AS$61:$AZ$61)="(BLANK)")+(UPPER($AS$61:$AZ$61)="EMPTY")+(UPPER($AS$61:$AZ$61)="(EMPTY)"))&gt;0,IFERROR(('Final Calculation Sheet'!$F$31)&amp;"","")="",ISNUMBER(SEARCH($AS$61:$AZ$61,IFERROR(('Final Calculation Sheet'!$F$31)&amp;"","")))))&gt;0),IF(COUNTIF($BI$61:$BP$61,3)=0,TRUE,SUMPRODUCT(($BI$61:$BP$61=3)*($AS$61:$AZ$61&lt;&gt;"")*IF(((UPPER($AS$61:$AZ$61)="BLANK")+(UPPER($AS$61:$AZ$61)="(BLANK)")+(UPPER($AS$61:$AZ$61)="EMPTY")+(UPPER($AS$61:$AZ$61)="(EMPTY)"))&gt;0,IFERROR(('Final Calculation Sheet'!$F$31)&amp;"","")="",ISNUMBER(SEARCH($AS$61:$AZ$61,IFERROR(('Final Calculation Sheet'!$F$31)&amp;"","")))))&gt;0),IF(COUNTIF($BI$61:$BP$61,4)=0,TRUE,SUMPRODUCT(($BI$61:$BP$61=4)*($AS$61:$AZ$61&lt;&gt;"")*IF(((UPPER($AS$61:$AZ$61)="BLANK")+(UPPER($AS$61:$AZ$61)="(BLANK)")+(UPPER($AS$61:$AZ$61)="EMPTY")+(UPPER($AS$61:$AZ$61)="(EMPTY)"))&gt;0,IFERROR(('Final Calculation Sheet'!$F$31)&amp;"","")="",ISNUMBER(SEARCH($AS$61:$AZ$61,IFERROR(('Final Calculation Sheet'!$F$31)&amp;"","")))))&gt;0),IF(COUNTIF($BI$61:$BP$61,5)=0,TRUE,SUMPRODUCT(($BI$61:$BP$61=5)*($AS$61:$AZ$61&lt;&gt;"")*IF(((UPPER($AS$61:$AZ$61)="BLANK")+(UPPER($AS$61:$AZ$61)="(BLANK)")+(UPPER($AS$61:$AZ$61)="EMPTY")+(UPPER($AS$61:$AZ$61)="(EMPTY)"))&gt;0,IFERROR(('Final Calculation Sheet'!$F$31)&amp;"","")="",ISNUMBER(SEARCH($AS$61:$AZ$61,IFERROR(('Final Calculation Sheet'!$F$31)&amp;"","")))))&gt;0),IF(COUNTIF($BI$61:$BP$61,6)=0,TRUE,SUMPRODUCT(($BI$61:$BP$61=6)*($AS$61:$AZ$61&lt;&gt;"")*IF(((UPPER($AS$61:$AZ$61)="BLANK")+(UPPER($AS$61:$AZ$61)="(BLANK)")+(UPPER($AS$61:$AZ$61)="EMPTY")+(UPPER($AS$61:$AZ$61)="(EMPTY)"))&gt;0,IFERROR(('Final Calculation Sheet'!$F$31)&amp;"","")="",ISNUMBER(SEARCH($AS$61:$AZ$61,IFERROR(('Final Calculation Sheet'!$F$31)&amp;"","")))))&gt;0),IF(COUNTIF($BI$61:$BP$61,7)=0,TRUE,SUMPRODUCT(($BI$61:$BP$61=7)*($AS$61:$AZ$61&lt;&gt;"")*IF(((UPPER($AS$61:$AZ$61)="BLANK")+(UPPER($AS$61:$AZ$61)="(BLANK)")+(UPPER($AS$61:$AZ$61)="EMPTY")+(UPPER($AS$61:$AZ$61)="(EMPTY)"))&gt;0,IFERROR(('Final Calculation Sheet'!$F$31)&amp;"","")="",ISNUMBER(SEARCH($AS$61:$AZ$61,IFERROR(('Final Calculation Sheet'!$F$31)&amp;"","")))))&gt;0),IF(COUNTIF($BI$61:$BP$61,8)=0,TRUE,SUMPRODUCT(($BI$61:$BP$61=8)*($AS$61:$AZ$61&lt;&gt;"")*IF(((UPPER($AS$61:$AZ$61)="BLANK")+(UPPER($AS$61:$AZ$61)="(BLANK)")+(UPPER($AS$61:$AZ$61)="EMPTY")+(UPPER($AS$61:$AZ$61)="(EMPTY)"))&gt;0,IFERROR(('Final Calculation Sheet'!$F$31)&amp;"","")="",ISNUMBER(SEARCH($AS$61:$AZ$61,IFERROR(('Final Calculation Sheet'!$F$31)&amp;"","")))))&gt;0))))</f>
        <v>1</v>
      </c>
      <c r="BO32">
        <f>IF($C$4="",1,--(AND(SUMPRODUCT(--($AS$62:$AZ$62&lt;&gt;""))&gt;0,IF(COUNTIF($BI$62:$BP$62,1)=0,TRUE,SUMPRODUCT(($BI$62:$BP$62=1)*($AS$62:$AZ$62&lt;&gt;"")*IF(((UPPER($AS$62:$AZ$62)="BLANK")+(UPPER($AS$62:$AZ$62)="(BLANK)")+(UPPER($AS$62:$AZ$62)="EMPTY")+(UPPER($AS$62:$AZ$62)="(EMPTY)"))&gt;0,IFERROR(('Final Calculation Sheet'!$G$31)&amp;"","")="",ISNUMBER(SEARCH($AS$62:$AZ$62,IFERROR(('Final Calculation Sheet'!$G$31)&amp;"","")))))&gt;0),IF(COUNTIF($BI$62:$BP$62,2)=0,TRUE,SUMPRODUCT(($BI$62:$BP$62=2)*($AS$62:$AZ$62&lt;&gt;"")*IF(((UPPER($AS$62:$AZ$62)="BLANK")+(UPPER($AS$62:$AZ$62)="(BLANK)")+(UPPER($AS$62:$AZ$62)="EMPTY")+(UPPER($AS$62:$AZ$62)="(EMPTY)"))&gt;0,IFERROR(('Final Calculation Sheet'!$G$31)&amp;"","")="",ISNUMBER(SEARCH($AS$62:$AZ$62,IFERROR(('Final Calculation Sheet'!$G$31)&amp;"","")))))&gt;0),IF(COUNTIF($BI$62:$BP$62,3)=0,TRUE,SUMPRODUCT(($BI$62:$BP$62=3)*($AS$62:$AZ$62&lt;&gt;"")*IF(((UPPER($AS$62:$AZ$62)="BLANK")+(UPPER($AS$62:$AZ$62)="(BLANK)")+(UPPER($AS$62:$AZ$62)="EMPTY")+(UPPER($AS$62:$AZ$62)="(EMPTY)"))&gt;0,IFERROR(('Final Calculation Sheet'!$G$31)&amp;"","")="",ISNUMBER(SEARCH($AS$62:$AZ$62,IFERROR(('Final Calculation Sheet'!$G$31)&amp;"","")))))&gt;0),IF(COUNTIF($BI$62:$BP$62,4)=0,TRUE,SUMPRODUCT(($BI$62:$BP$62=4)*($AS$62:$AZ$62&lt;&gt;"")*IF(((UPPER($AS$62:$AZ$62)="BLANK")+(UPPER($AS$62:$AZ$62)="(BLANK)")+(UPPER($AS$62:$AZ$62)="EMPTY")+(UPPER($AS$62:$AZ$62)="(EMPTY)"))&gt;0,IFERROR(('Final Calculation Sheet'!$G$31)&amp;"","")="",ISNUMBER(SEARCH($AS$62:$AZ$62,IFERROR(('Final Calculation Sheet'!$G$31)&amp;"","")))))&gt;0),IF(COUNTIF($BI$62:$BP$62,5)=0,TRUE,SUMPRODUCT(($BI$62:$BP$62=5)*($AS$62:$AZ$62&lt;&gt;"")*IF(((UPPER($AS$62:$AZ$62)="BLANK")+(UPPER($AS$62:$AZ$62)="(BLANK)")+(UPPER($AS$62:$AZ$62)="EMPTY")+(UPPER($AS$62:$AZ$62)="(EMPTY)"))&gt;0,IFERROR(('Final Calculation Sheet'!$G$31)&amp;"","")="",ISNUMBER(SEARCH($AS$62:$AZ$62,IFERROR(('Final Calculation Sheet'!$G$31)&amp;"","")))))&gt;0),IF(COUNTIF($BI$62:$BP$62,6)=0,TRUE,SUMPRODUCT(($BI$62:$BP$62=6)*($AS$62:$AZ$62&lt;&gt;"")*IF(((UPPER($AS$62:$AZ$62)="BLANK")+(UPPER($AS$62:$AZ$62)="(BLANK)")+(UPPER($AS$62:$AZ$62)="EMPTY")+(UPPER($AS$62:$AZ$62)="(EMPTY)"))&gt;0,IFERROR(('Final Calculation Sheet'!$G$31)&amp;"","")="",ISNUMBER(SEARCH($AS$62:$AZ$62,IFERROR(('Final Calculation Sheet'!$G$31)&amp;"","")))))&gt;0),IF(COUNTIF($BI$62:$BP$62,7)=0,TRUE,SUMPRODUCT(($BI$62:$BP$62=7)*($AS$62:$AZ$62&lt;&gt;"")*IF(((UPPER($AS$62:$AZ$62)="BLANK")+(UPPER($AS$62:$AZ$62)="(BLANK)")+(UPPER($AS$62:$AZ$62)="EMPTY")+(UPPER($AS$62:$AZ$62)="(EMPTY)"))&gt;0,IFERROR(('Final Calculation Sheet'!$G$31)&amp;"","")="",ISNUMBER(SEARCH($AS$62:$AZ$62,IFERROR(('Final Calculation Sheet'!$G$31)&amp;"","")))))&gt;0),IF(COUNTIF($BI$62:$BP$62,8)=0,TRUE,SUMPRODUCT(($BI$62:$BP$62=8)*($AS$62:$AZ$62&lt;&gt;"")*IF(((UPPER($AS$62:$AZ$62)="BLANK")+(UPPER($AS$62:$AZ$62)="(BLANK)")+(UPPER($AS$62:$AZ$62)="EMPTY")+(UPPER($AS$62:$AZ$62)="(EMPTY)"))&gt;0,IFERROR(('Final Calculation Sheet'!$G$31)&amp;"","")="",ISNUMBER(SEARCH($AS$62:$AZ$62,IFERROR(('Final Calculation Sheet'!$G$31)&amp;"","")))))&gt;0))))</f>
        <v>1</v>
      </c>
      <c r="BP32">
        <f>IF($D$4="",1,--(AND(SUMPRODUCT(--($AS$63:$AZ$63&lt;&gt;""))&gt;0,IF(COUNTIF($BI$63:$BP$63,1)=0,TRUE,SUMPRODUCT(($BI$63:$BP$63=1)*($AS$63:$AZ$63&lt;&gt;"")*IF(((UPPER($AS$63:$AZ$63)="BLANK")+(UPPER($AS$63:$AZ$63)="(BLANK)")+(UPPER($AS$63:$AZ$63)="EMPTY")+(UPPER($AS$63:$AZ$63)="(EMPTY)"))&gt;0,IFERROR(('Final Calculation Sheet'!$B$31)&amp;"","")="",ISNUMBER(SEARCH($AS$63:$AZ$63,IFERROR(('Final Calculation Sheet'!$B$31)&amp;"","")))))&gt;0),IF(COUNTIF($BI$63:$BP$63,2)=0,TRUE,SUMPRODUCT(($BI$63:$BP$63=2)*($AS$63:$AZ$63&lt;&gt;"")*IF(((UPPER($AS$63:$AZ$63)="BLANK")+(UPPER($AS$63:$AZ$63)="(BLANK)")+(UPPER($AS$63:$AZ$63)="EMPTY")+(UPPER($AS$63:$AZ$63)="(EMPTY)"))&gt;0,IFERROR(('Final Calculation Sheet'!$B$31)&amp;"","")="",ISNUMBER(SEARCH($AS$63:$AZ$63,IFERROR(('Final Calculation Sheet'!$B$31)&amp;"","")))))&gt;0),IF(COUNTIF($BI$63:$BP$63,3)=0,TRUE,SUMPRODUCT(($BI$63:$BP$63=3)*($AS$63:$AZ$63&lt;&gt;"")*IF(((UPPER($AS$63:$AZ$63)="BLANK")+(UPPER($AS$63:$AZ$63)="(BLANK)")+(UPPER($AS$63:$AZ$63)="EMPTY")+(UPPER($AS$63:$AZ$63)="(EMPTY)"))&gt;0,IFERROR(('Final Calculation Sheet'!$B$31)&amp;"","")="",ISNUMBER(SEARCH($AS$63:$AZ$63,IFERROR(('Final Calculation Sheet'!$B$31)&amp;"","")))))&gt;0),IF(COUNTIF($BI$63:$BP$63,4)=0,TRUE,SUMPRODUCT(($BI$63:$BP$63=4)*($AS$63:$AZ$63&lt;&gt;"")*IF(((UPPER($AS$63:$AZ$63)="BLANK")+(UPPER($AS$63:$AZ$63)="(BLANK)")+(UPPER($AS$63:$AZ$63)="EMPTY")+(UPPER($AS$63:$AZ$63)="(EMPTY)"))&gt;0,IFERROR(('Final Calculation Sheet'!$B$31)&amp;"","")="",ISNUMBER(SEARCH($AS$63:$AZ$63,IFERROR(('Final Calculation Sheet'!$B$31)&amp;"","")))))&gt;0),IF(COUNTIF($BI$63:$BP$63,5)=0,TRUE,SUMPRODUCT(($BI$63:$BP$63=5)*($AS$63:$AZ$63&lt;&gt;"")*IF(((UPPER($AS$63:$AZ$63)="BLANK")+(UPPER($AS$63:$AZ$63)="(BLANK)")+(UPPER($AS$63:$AZ$63)="EMPTY")+(UPPER($AS$63:$AZ$63)="(EMPTY)"))&gt;0,IFERROR(('Final Calculation Sheet'!$B$31)&amp;"","")="",ISNUMBER(SEARCH($AS$63:$AZ$63,IFERROR(('Final Calculation Sheet'!$B$31)&amp;"","")))))&gt;0),IF(COUNTIF($BI$63:$BP$63,6)=0,TRUE,SUMPRODUCT(($BI$63:$BP$63=6)*($AS$63:$AZ$63&lt;&gt;"")*IF(((UPPER($AS$63:$AZ$63)="BLANK")+(UPPER($AS$63:$AZ$63)="(BLANK)")+(UPPER($AS$63:$AZ$63)="EMPTY")+(UPPER($AS$63:$AZ$63)="(EMPTY)"))&gt;0,IFERROR(('Final Calculation Sheet'!$B$31)&amp;"","")="",ISNUMBER(SEARCH($AS$63:$AZ$63,IFERROR(('Final Calculation Sheet'!$B$31)&amp;"","")))))&gt;0),IF(COUNTIF($BI$63:$BP$63,7)=0,TRUE,SUMPRODUCT(($BI$63:$BP$63=7)*($AS$63:$AZ$63&lt;&gt;"")*IF(((UPPER($AS$63:$AZ$63)="BLANK")+(UPPER($AS$63:$AZ$63)="(BLANK)")+(UPPER($AS$63:$AZ$63)="EMPTY")+(UPPER($AS$63:$AZ$63)="(EMPTY)"))&gt;0,IFERROR(('Final Calculation Sheet'!$B$31)&amp;"","")="",ISNUMBER(SEARCH($AS$63:$AZ$63,IFERROR(('Final Calculation Sheet'!$B$31)&amp;"","")))))&gt;0),IF(COUNTIF($BI$63:$BP$63,8)=0,TRUE,SUMPRODUCT(($BI$63:$BP$63=8)*($AS$63:$AZ$63&lt;&gt;"")*IF(((UPPER($AS$63:$AZ$63)="BLANK")+(UPPER($AS$63:$AZ$63)="(BLANK)")+(UPPER($AS$63:$AZ$63)="EMPTY")+(UPPER($AS$63:$AZ$63)="(EMPTY)"))&gt;0,IFERROR(('Final Calculation Sheet'!$B$31)&amp;"","")="",ISNUMBER(SEARCH($AS$63:$AZ$63,IFERROR(('Final Calculation Sheet'!$B$31)&amp;"","")))))&gt;0))))</f>
        <v>1</v>
      </c>
      <c r="BQ32">
        <f>IF($E$4="",1,--(AND(SUMPRODUCT(--($AS$64:$AZ$64&lt;&gt;""))&gt;0,IF(COUNTIF($BI$64:$BP$64,1)=0,TRUE,SUMPRODUCT(($BI$64:$BP$64=1)*($AS$64:$AZ$64&lt;&gt;"")*IF(((UPPER($AS$64:$AZ$64)="BLANK")+(UPPER($AS$64:$AZ$64)="(BLANK)")+(UPPER($AS$64:$AZ$64)="EMPTY")+(UPPER($AS$64:$AZ$64)="(EMPTY)"))&gt;0,IFERROR(('Final Calculation Sheet'!$D$31)&amp;"","")="",ISNUMBER(SEARCH($AS$64:$AZ$64,IFERROR(('Final Calculation Sheet'!$D$31)&amp;"","")))))&gt;0),IF(COUNTIF($BI$64:$BP$64,2)=0,TRUE,SUMPRODUCT(($BI$64:$BP$64=2)*($AS$64:$AZ$64&lt;&gt;"")*IF(((UPPER($AS$64:$AZ$64)="BLANK")+(UPPER($AS$64:$AZ$64)="(BLANK)")+(UPPER($AS$64:$AZ$64)="EMPTY")+(UPPER($AS$64:$AZ$64)="(EMPTY)"))&gt;0,IFERROR(('Final Calculation Sheet'!$D$31)&amp;"","")="",ISNUMBER(SEARCH($AS$64:$AZ$64,IFERROR(('Final Calculation Sheet'!$D$31)&amp;"","")))))&gt;0),IF(COUNTIF($BI$64:$BP$64,3)=0,TRUE,SUMPRODUCT(($BI$64:$BP$64=3)*($AS$64:$AZ$64&lt;&gt;"")*IF(((UPPER($AS$64:$AZ$64)="BLANK")+(UPPER($AS$64:$AZ$64)="(BLANK)")+(UPPER($AS$64:$AZ$64)="EMPTY")+(UPPER($AS$64:$AZ$64)="(EMPTY)"))&gt;0,IFERROR(('Final Calculation Sheet'!$D$31)&amp;"","")="",ISNUMBER(SEARCH($AS$64:$AZ$64,IFERROR(('Final Calculation Sheet'!$D$31)&amp;"","")))))&gt;0),IF(COUNTIF($BI$64:$BP$64,4)=0,TRUE,SUMPRODUCT(($BI$64:$BP$64=4)*($AS$64:$AZ$64&lt;&gt;"")*IF(((UPPER($AS$64:$AZ$64)="BLANK")+(UPPER($AS$64:$AZ$64)="(BLANK)")+(UPPER($AS$64:$AZ$64)="EMPTY")+(UPPER($AS$64:$AZ$64)="(EMPTY)"))&gt;0,IFERROR(('Final Calculation Sheet'!$D$31)&amp;"","")="",ISNUMBER(SEARCH($AS$64:$AZ$64,IFERROR(('Final Calculation Sheet'!$D$31)&amp;"","")))))&gt;0),IF(COUNTIF($BI$64:$BP$64,5)=0,TRUE,SUMPRODUCT(($BI$64:$BP$64=5)*($AS$64:$AZ$64&lt;&gt;"")*IF(((UPPER($AS$64:$AZ$64)="BLANK")+(UPPER($AS$64:$AZ$64)="(BLANK)")+(UPPER($AS$64:$AZ$64)="EMPTY")+(UPPER($AS$64:$AZ$64)="(EMPTY)"))&gt;0,IFERROR(('Final Calculation Sheet'!$D$31)&amp;"","")="",ISNUMBER(SEARCH($AS$64:$AZ$64,IFERROR(('Final Calculation Sheet'!$D$31)&amp;"","")))))&gt;0),IF(COUNTIF($BI$64:$BP$64,6)=0,TRUE,SUMPRODUCT(($BI$64:$BP$64=6)*($AS$64:$AZ$64&lt;&gt;"")*IF(((UPPER($AS$64:$AZ$64)="BLANK")+(UPPER($AS$64:$AZ$64)="(BLANK)")+(UPPER($AS$64:$AZ$64)="EMPTY")+(UPPER($AS$64:$AZ$64)="(EMPTY)"))&gt;0,IFERROR(('Final Calculation Sheet'!$D$31)&amp;"","")="",ISNUMBER(SEARCH($AS$64:$AZ$64,IFERROR(('Final Calculation Sheet'!$D$31)&amp;"","")))))&gt;0),IF(COUNTIF($BI$64:$BP$64,7)=0,TRUE,SUMPRODUCT(($BI$64:$BP$64=7)*($AS$64:$AZ$64&lt;&gt;"")*IF(((UPPER($AS$64:$AZ$64)="BLANK")+(UPPER($AS$64:$AZ$64)="(BLANK)")+(UPPER($AS$64:$AZ$64)="EMPTY")+(UPPER($AS$64:$AZ$64)="(EMPTY)"))&gt;0,IFERROR(('Final Calculation Sheet'!$D$31)&amp;"","")="",ISNUMBER(SEARCH($AS$64:$AZ$64,IFERROR(('Final Calculation Sheet'!$D$31)&amp;"","")))))&gt;0),IF(COUNTIF($BI$64:$BP$64,8)=0,TRUE,SUMPRODUCT(($BI$64:$BP$64=8)*($AS$64:$AZ$64&lt;&gt;"")*IF(((UPPER($AS$64:$AZ$64)="BLANK")+(UPPER($AS$64:$AZ$64)="(BLANK)")+(UPPER($AS$64:$AZ$64)="EMPTY")+(UPPER($AS$64:$AZ$64)="(EMPTY)"))&gt;0,IFERROR(('Final Calculation Sheet'!$D$31)&amp;"","")="",ISNUMBER(SEARCH($AS$64:$AZ$64,IFERROR(('Final Calculation Sheet'!$D$31)&amp;"","")))))&gt;0))))</f>
        <v>1</v>
      </c>
      <c r="BR32">
        <f>IF($F$4="",1,--(AND(SUMPRODUCT(--($AS$65:$AZ$65&lt;&gt;""))&gt;0,IF(COUNTIF($BI$65:$BP$65,1)=0,TRUE,SUMPRODUCT(($BI$65:$BP$65=1)*($AS$65:$AZ$65&lt;&gt;"")*IF(((UPPER($AS$65:$AZ$65)="BLANK")+(UPPER($AS$65:$AZ$65)="(BLANK)")+(UPPER($AS$65:$AZ$65)="EMPTY")+(UPPER($AS$65:$AZ$65)="(EMPTY)"))&gt;0,IFERROR(('Final Calculation Sheet'!$A$31)&amp;"","")="",ISNUMBER(SEARCH($AS$65:$AZ$65,IFERROR(('Final Calculation Sheet'!$A$31)&amp;"","")))))&gt;0),IF(COUNTIF($BI$65:$BP$65,2)=0,TRUE,SUMPRODUCT(($BI$65:$BP$65=2)*($AS$65:$AZ$65&lt;&gt;"")*IF(((UPPER($AS$65:$AZ$65)="BLANK")+(UPPER($AS$65:$AZ$65)="(BLANK)")+(UPPER($AS$65:$AZ$65)="EMPTY")+(UPPER($AS$65:$AZ$65)="(EMPTY)"))&gt;0,IFERROR(('Final Calculation Sheet'!$A$31)&amp;"","")="",ISNUMBER(SEARCH($AS$65:$AZ$65,IFERROR(('Final Calculation Sheet'!$A$31)&amp;"","")))))&gt;0),IF(COUNTIF($BI$65:$BP$65,3)=0,TRUE,SUMPRODUCT(($BI$65:$BP$65=3)*($AS$65:$AZ$65&lt;&gt;"")*IF(((UPPER($AS$65:$AZ$65)="BLANK")+(UPPER($AS$65:$AZ$65)="(BLANK)")+(UPPER($AS$65:$AZ$65)="EMPTY")+(UPPER($AS$65:$AZ$65)="(EMPTY)"))&gt;0,IFERROR(('Final Calculation Sheet'!$A$31)&amp;"","")="",ISNUMBER(SEARCH($AS$65:$AZ$65,IFERROR(('Final Calculation Sheet'!$A$31)&amp;"","")))))&gt;0),IF(COUNTIF($BI$65:$BP$65,4)=0,TRUE,SUMPRODUCT(($BI$65:$BP$65=4)*($AS$65:$AZ$65&lt;&gt;"")*IF(((UPPER($AS$65:$AZ$65)="BLANK")+(UPPER($AS$65:$AZ$65)="(BLANK)")+(UPPER($AS$65:$AZ$65)="EMPTY")+(UPPER($AS$65:$AZ$65)="(EMPTY)"))&gt;0,IFERROR(('Final Calculation Sheet'!$A$31)&amp;"","")="",ISNUMBER(SEARCH($AS$65:$AZ$65,IFERROR(('Final Calculation Sheet'!$A$31)&amp;"","")))))&gt;0),IF(COUNTIF($BI$65:$BP$65,5)=0,TRUE,SUMPRODUCT(($BI$65:$BP$65=5)*($AS$65:$AZ$65&lt;&gt;"")*IF(((UPPER($AS$65:$AZ$65)="BLANK")+(UPPER($AS$65:$AZ$65)="(BLANK)")+(UPPER($AS$65:$AZ$65)="EMPTY")+(UPPER($AS$65:$AZ$65)="(EMPTY)"))&gt;0,IFERROR(('Final Calculation Sheet'!$A$31)&amp;"","")="",ISNUMBER(SEARCH($AS$65:$AZ$65,IFERROR(('Final Calculation Sheet'!$A$31)&amp;"","")))))&gt;0),IF(COUNTIF($BI$65:$BP$65,6)=0,TRUE,SUMPRODUCT(($BI$65:$BP$65=6)*($AS$65:$AZ$65&lt;&gt;"")*IF(((UPPER($AS$65:$AZ$65)="BLANK")+(UPPER($AS$65:$AZ$65)="(BLANK)")+(UPPER($AS$65:$AZ$65)="EMPTY")+(UPPER($AS$65:$AZ$65)="(EMPTY)"))&gt;0,IFERROR(('Final Calculation Sheet'!$A$31)&amp;"","")="",ISNUMBER(SEARCH($AS$65:$AZ$65,IFERROR(('Final Calculation Sheet'!$A$31)&amp;"","")))))&gt;0),IF(COUNTIF($BI$65:$BP$65,7)=0,TRUE,SUMPRODUCT(($BI$65:$BP$65=7)*($AS$65:$AZ$65&lt;&gt;"")*IF(((UPPER($AS$65:$AZ$65)="BLANK")+(UPPER($AS$65:$AZ$65)="(BLANK)")+(UPPER($AS$65:$AZ$65)="EMPTY")+(UPPER($AS$65:$AZ$65)="(EMPTY)"))&gt;0,IFERROR(('Final Calculation Sheet'!$A$31)&amp;"","")="",ISNUMBER(SEARCH($AS$65:$AZ$65,IFERROR(('Final Calculation Sheet'!$A$31)&amp;"","")))))&gt;0),IF(COUNTIF($BI$65:$BP$65,8)=0,TRUE,SUMPRODUCT(($BI$65:$BP$65=8)*($AS$65:$AZ$65&lt;&gt;"")*IF(((UPPER($AS$65:$AZ$65)="BLANK")+(UPPER($AS$65:$AZ$65)="(BLANK)")+(UPPER($AS$65:$AZ$65)="EMPTY")+(UPPER($AS$65:$AZ$65)="(EMPTY)"))&gt;0,IFERROR(('Final Calculation Sheet'!$A$31)&amp;"","")="",ISNUMBER(SEARCH($AS$65:$AZ$65,IFERROR(('Final Calculation Sheet'!$A$31)&amp;"","")))))&gt;0))))</f>
        <v>1</v>
      </c>
      <c r="BS32">
        <f>IF($G$4="",1,--(AND(SUMPRODUCT(--($AS$66:$AZ$66&lt;&gt;""))&gt;0,IF(COUNTIF($BI$66:$BP$66,1)=0,TRUE,SUMPRODUCT(($BI$66:$BP$66=1)*($AS$66:$AZ$66&lt;&gt;"")*IF(((UPPER($AS$66:$AZ$66)="BLANK")+(UPPER($AS$66:$AZ$66)="(BLANK)")+(UPPER($AS$66:$AZ$66)="EMPTY")+(UPPER($AS$66:$AZ$66)="(EMPTY)"))&gt;0,IFERROR(('Final Calculation Sheet'!$E$31)&amp;"","")="",ISNUMBER(SEARCH($AS$66:$AZ$66,IFERROR(('Final Calculation Sheet'!$E$31)&amp;"","")))))&gt;0),IF(COUNTIF($BI$66:$BP$66,2)=0,TRUE,SUMPRODUCT(($BI$66:$BP$66=2)*($AS$66:$AZ$66&lt;&gt;"")*IF(((UPPER($AS$66:$AZ$66)="BLANK")+(UPPER($AS$66:$AZ$66)="(BLANK)")+(UPPER($AS$66:$AZ$66)="EMPTY")+(UPPER($AS$66:$AZ$66)="(EMPTY)"))&gt;0,IFERROR(('Final Calculation Sheet'!$E$31)&amp;"","")="",ISNUMBER(SEARCH($AS$66:$AZ$66,IFERROR(('Final Calculation Sheet'!$E$31)&amp;"","")))))&gt;0),IF(COUNTIF($BI$66:$BP$66,3)=0,TRUE,SUMPRODUCT(($BI$66:$BP$66=3)*($AS$66:$AZ$66&lt;&gt;"")*IF(((UPPER($AS$66:$AZ$66)="BLANK")+(UPPER($AS$66:$AZ$66)="(BLANK)")+(UPPER($AS$66:$AZ$66)="EMPTY")+(UPPER($AS$66:$AZ$66)="(EMPTY)"))&gt;0,IFERROR(('Final Calculation Sheet'!$E$31)&amp;"","")="",ISNUMBER(SEARCH($AS$66:$AZ$66,IFERROR(('Final Calculation Sheet'!$E$31)&amp;"","")))))&gt;0),IF(COUNTIF($BI$66:$BP$66,4)=0,TRUE,SUMPRODUCT(($BI$66:$BP$66=4)*($AS$66:$AZ$66&lt;&gt;"")*IF(((UPPER($AS$66:$AZ$66)="BLANK")+(UPPER($AS$66:$AZ$66)="(BLANK)")+(UPPER($AS$66:$AZ$66)="EMPTY")+(UPPER($AS$66:$AZ$66)="(EMPTY)"))&gt;0,IFERROR(('Final Calculation Sheet'!$E$31)&amp;"","")="",ISNUMBER(SEARCH($AS$66:$AZ$66,IFERROR(('Final Calculation Sheet'!$E$31)&amp;"","")))))&gt;0),IF(COUNTIF($BI$66:$BP$66,5)=0,TRUE,SUMPRODUCT(($BI$66:$BP$66=5)*($AS$66:$AZ$66&lt;&gt;"")*IF(((UPPER($AS$66:$AZ$66)="BLANK")+(UPPER($AS$66:$AZ$66)="(BLANK)")+(UPPER($AS$66:$AZ$66)="EMPTY")+(UPPER($AS$66:$AZ$66)="(EMPTY)"))&gt;0,IFERROR(('Final Calculation Sheet'!$E$31)&amp;"","")="",ISNUMBER(SEARCH($AS$66:$AZ$66,IFERROR(('Final Calculation Sheet'!$E$31)&amp;"","")))))&gt;0),IF(COUNTIF($BI$66:$BP$66,6)=0,TRUE,SUMPRODUCT(($BI$66:$BP$66=6)*($AS$66:$AZ$66&lt;&gt;"")*IF(((UPPER($AS$66:$AZ$66)="BLANK")+(UPPER($AS$66:$AZ$66)="(BLANK)")+(UPPER($AS$66:$AZ$66)="EMPTY")+(UPPER($AS$66:$AZ$66)="(EMPTY)"))&gt;0,IFERROR(('Final Calculation Sheet'!$E$31)&amp;"","")="",ISNUMBER(SEARCH($AS$66:$AZ$66,IFERROR(('Final Calculation Sheet'!$E$31)&amp;"","")))))&gt;0),IF(COUNTIF($BI$66:$BP$66,7)=0,TRUE,SUMPRODUCT(($BI$66:$BP$66=7)*($AS$66:$AZ$66&lt;&gt;"")*IF(((UPPER($AS$66:$AZ$66)="BLANK")+(UPPER($AS$66:$AZ$66)="(BLANK)")+(UPPER($AS$66:$AZ$66)="EMPTY")+(UPPER($AS$66:$AZ$66)="(EMPTY)"))&gt;0,IFERROR(('Final Calculation Sheet'!$E$31)&amp;"","")="",ISNUMBER(SEARCH($AS$66:$AZ$66,IFERROR(('Final Calculation Sheet'!$E$31)&amp;"","")))))&gt;0),IF(COUNTIF($BI$66:$BP$66,8)=0,TRUE,SUMPRODUCT(($BI$66:$BP$66=8)*($AS$66:$AZ$66&lt;&gt;"")*IF(((UPPER($AS$66:$AZ$66)="BLANK")+(UPPER($AS$66:$AZ$66)="(BLANK)")+(UPPER($AS$66:$AZ$66)="EMPTY")+(UPPER($AS$66:$AZ$66)="(EMPTY)"))&gt;0,IFERROR(('Final Calculation Sheet'!$E$31)&amp;"","")="",ISNUMBER(SEARCH($AS$66:$AZ$66,IFERROR(('Final Calculation Sheet'!$E$31)&amp;"","")))))&gt;0))))</f>
        <v>1</v>
      </c>
      <c r="BT32">
        <f>IF($H$4="",1,--(AND(SUMPRODUCT(--($AS$67:$AZ$67&lt;&gt;""))&gt;0,IF(COUNTIF($BI$67:$BP$67,1)=0,TRUE,SUMPRODUCT(($BI$67:$BP$67=1)*($AS$67:$AZ$67&lt;&gt;"")*IF(((UPPER($AS$67:$AZ$67)="BLANK")+(UPPER($AS$67:$AZ$67)="(BLANK)")+(UPPER($AS$67:$AZ$67)="EMPTY")+(UPPER($AS$67:$AZ$67)="(EMPTY)"))&gt;0,IFERROR(('Final Calculation Sheet'!$C$31)&amp;"","")="",ISNUMBER(SEARCH($AS$67:$AZ$67,IFERROR(('Final Calculation Sheet'!$C$31)&amp;"","")))))&gt;0),IF(COUNTIF($BI$67:$BP$67,2)=0,TRUE,SUMPRODUCT(($BI$67:$BP$67=2)*($AS$67:$AZ$67&lt;&gt;"")*IF(((UPPER($AS$67:$AZ$67)="BLANK")+(UPPER($AS$67:$AZ$67)="(BLANK)")+(UPPER($AS$67:$AZ$67)="EMPTY")+(UPPER($AS$67:$AZ$67)="(EMPTY)"))&gt;0,IFERROR(('Final Calculation Sheet'!$C$31)&amp;"","")="",ISNUMBER(SEARCH($AS$67:$AZ$67,IFERROR(('Final Calculation Sheet'!$C$31)&amp;"","")))))&gt;0),IF(COUNTIF($BI$67:$BP$67,3)=0,TRUE,SUMPRODUCT(($BI$67:$BP$67=3)*($AS$67:$AZ$67&lt;&gt;"")*IF(((UPPER($AS$67:$AZ$67)="BLANK")+(UPPER($AS$67:$AZ$67)="(BLANK)")+(UPPER($AS$67:$AZ$67)="EMPTY")+(UPPER($AS$67:$AZ$67)="(EMPTY)"))&gt;0,IFERROR(('Final Calculation Sheet'!$C$31)&amp;"","")="",ISNUMBER(SEARCH($AS$67:$AZ$67,IFERROR(('Final Calculation Sheet'!$C$31)&amp;"","")))))&gt;0),IF(COUNTIF($BI$67:$BP$67,4)=0,TRUE,SUMPRODUCT(($BI$67:$BP$67=4)*($AS$67:$AZ$67&lt;&gt;"")*IF(((UPPER($AS$67:$AZ$67)="BLANK")+(UPPER($AS$67:$AZ$67)="(BLANK)")+(UPPER($AS$67:$AZ$67)="EMPTY")+(UPPER($AS$67:$AZ$67)="(EMPTY)"))&gt;0,IFERROR(('Final Calculation Sheet'!$C$31)&amp;"","")="",ISNUMBER(SEARCH($AS$67:$AZ$67,IFERROR(('Final Calculation Sheet'!$C$31)&amp;"","")))))&gt;0),IF(COUNTIF($BI$67:$BP$67,5)=0,TRUE,SUMPRODUCT(($BI$67:$BP$67=5)*($AS$67:$AZ$67&lt;&gt;"")*IF(((UPPER($AS$67:$AZ$67)="BLANK")+(UPPER($AS$67:$AZ$67)="(BLANK)")+(UPPER($AS$67:$AZ$67)="EMPTY")+(UPPER($AS$67:$AZ$67)="(EMPTY)"))&gt;0,IFERROR(('Final Calculation Sheet'!$C$31)&amp;"","")="",ISNUMBER(SEARCH($AS$67:$AZ$67,IFERROR(('Final Calculation Sheet'!$C$31)&amp;"","")))))&gt;0),IF(COUNTIF($BI$67:$BP$67,6)=0,TRUE,SUMPRODUCT(($BI$67:$BP$67=6)*($AS$67:$AZ$67&lt;&gt;"")*IF(((UPPER($AS$67:$AZ$67)="BLANK")+(UPPER($AS$67:$AZ$67)="(BLANK)")+(UPPER($AS$67:$AZ$67)="EMPTY")+(UPPER($AS$67:$AZ$67)="(EMPTY)"))&gt;0,IFERROR(('Final Calculation Sheet'!$C$31)&amp;"","")="",ISNUMBER(SEARCH($AS$67:$AZ$67,IFERROR(('Final Calculation Sheet'!$C$31)&amp;"","")))))&gt;0),IF(COUNTIF($BI$67:$BP$67,7)=0,TRUE,SUMPRODUCT(($BI$67:$BP$67=7)*($AS$67:$AZ$67&lt;&gt;"")*IF(((UPPER($AS$67:$AZ$67)="BLANK")+(UPPER($AS$67:$AZ$67)="(BLANK)")+(UPPER($AS$67:$AZ$67)="EMPTY")+(UPPER($AS$67:$AZ$67)="(EMPTY)"))&gt;0,IFERROR(('Final Calculation Sheet'!$C$31)&amp;"","")="",ISNUMBER(SEARCH($AS$67:$AZ$67,IFERROR(('Final Calculation Sheet'!$C$31)&amp;"","")))))&gt;0),IF(COUNTIF($BI$67:$BP$67,8)=0,TRUE,SUMPRODUCT(($BI$67:$BP$67=8)*($AS$67:$AZ$67&lt;&gt;"")*IF(((UPPER($AS$67:$AZ$67)="BLANK")+(UPPER($AS$67:$AZ$67)="(BLANK)")+(UPPER($AS$67:$AZ$67)="EMPTY")+(UPPER($AS$67:$AZ$67)="(EMPTY)"))&gt;0,IFERROR(('Final Calculation Sheet'!$C$31)&amp;"","")="",ISNUMBER(SEARCH($AS$67:$AZ$67,IFERROR(('Final Calculation Sheet'!$C$31)&amp;"","")))))&gt;0))))</f>
        <v>1</v>
      </c>
      <c r="BU32">
        <f>IF($I$4="",1,--(AND(SUMPRODUCT(--($AS$68:$AZ$68&lt;&gt;""))&gt;0,IF(COUNTIF($BI$68:$BP$68,1)=0,TRUE,SUMPRODUCT(($BI$68:$BP$68=1)*($AS$68:$AZ$68&lt;&gt;"")*IF(((UPPER($AS$68:$AZ$68)="BLANK")+(UPPER($AS$68:$AZ$68)="(BLANK)")+(UPPER($AS$68:$AZ$68)="EMPTY")+(UPPER($AS$68:$AZ$68)="(EMPTY)"))&gt;0,IFERROR(('Final Calculation Sheet'!$H$31)&amp;"","")="",ISNUMBER(SEARCH($AS$68:$AZ$68,IFERROR(('Final Calculation Sheet'!$H$31)&amp;"","")))))&gt;0),IF(COUNTIF($BI$68:$BP$68,2)=0,TRUE,SUMPRODUCT(($BI$68:$BP$68=2)*($AS$68:$AZ$68&lt;&gt;"")*IF(((UPPER($AS$68:$AZ$68)="BLANK")+(UPPER($AS$68:$AZ$68)="(BLANK)")+(UPPER($AS$68:$AZ$68)="EMPTY")+(UPPER($AS$68:$AZ$68)="(EMPTY)"))&gt;0,IFERROR(('Final Calculation Sheet'!$H$31)&amp;"","")="",ISNUMBER(SEARCH($AS$68:$AZ$68,IFERROR(('Final Calculation Sheet'!$H$31)&amp;"","")))))&gt;0),IF(COUNTIF($BI$68:$BP$68,3)=0,TRUE,SUMPRODUCT(($BI$68:$BP$68=3)*($AS$68:$AZ$68&lt;&gt;"")*IF(((UPPER($AS$68:$AZ$68)="BLANK")+(UPPER($AS$68:$AZ$68)="(BLANK)")+(UPPER($AS$68:$AZ$68)="EMPTY")+(UPPER($AS$68:$AZ$68)="(EMPTY)"))&gt;0,IFERROR(('Final Calculation Sheet'!$H$31)&amp;"","")="",ISNUMBER(SEARCH($AS$68:$AZ$68,IFERROR(('Final Calculation Sheet'!$H$31)&amp;"","")))))&gt;0),IF(COUNTIF($BI$68:$BP$68,4)=0,TRUE,SUMPRODUCT(($BI$68:$BP$68=4)*($AS$68:$AZ$68&lt;&gt;"")*IF(((UPPER($AS$68:$AZ$68)="BLANK")+(UPPER($AS$68:$AZ$68)="(BLANK)")+(UPPER($AS$68:$AZ$68)="EMPTY")+(UPPER($AS$68:$AZ$68)="(EMPTY)"))&gt;0,IFERROR(('Final Calculation Sheet'!$H$31)&amp;"","")="",ISNUMBER(SEARCH($AS$68:$AZ$68,IFERROR(('Final Calculation Sheet'!$H$31)&amp;"","")))))&gt;0),IF(COUNTIF($BI$68:$BP$68,5)=0,TRUE,SUMPRODUCT(($BI$68:$BP$68=5)*($AS$68:$AZ$68&lt;&gt;"")*IF(((UPPER($AS$68:$AZ$68)="BLANK")+(UPPER($AS$68:$AZ$68)="(BLANK)")+(UPPER($AS$68:$AZ$68)="EMPTY")+(UPPER($AS$68:$AZ$68)="(EMPTY)"))&gt;0,IFERROR(('Final Calculation Sheet'!$H$31)&amp;"","")="",ISNUMBER(SEARCH($AS$68:$AZ$68,IFERROR(('Final Calculation Sheet'!$H$31)&amp;"","")))))&gt;0),IF(COUNTIF($BI$68:$BP$68,6)=0,TRUE,SUMPRODUCT(($BI$68:$BP$68=6)*($AS$68:$AZ$68&lt;&gt;"")*IF(((UPPER($AS$68:$AZ$68)="BLANK")+(UPPER($AS$68:$AZ$68)="(BLANK)")+(UPPER($AS$68:$AZ$68)="EMPTY")+(UPPER($AS$68:$AZ$68)="(EMPTY)"))&gt;0,IFERROR(('Final Calculation Sheet'!$H$31)&amp;"","")="",ISNUMBER(SEARCH($AS$68:$AZ$68,IFERROR(('Final Calculation Sheet'!$H$31)&amp;"","")))))&gt;0),IF(COUNTIF($BI$68:$BP$68,7)=0,TRUE,SUMPRODUCT(($BI$68:$BP$68=7)*($AS$68:$AZ$68&lt;&gt;"")*IF(((UPPER($AS$68:$AZ$68)="BLANK")+(UPPER($AS$68:$AZ$68)="(BLANK)")+(UPPER($AS$68:$AZ$68)="EMPTY")+(UPPER($AS$68:$AZ$68)="(EMPTY)"))&gt;0,IFERROR(('Final Calculation Sheet'!$H$31)&amp;"","")="",ISNUMBER(SEARCH($AS$68:$AZ$68,IFERROR(('Final Calculation Sheet'!$H$31)&amp;"","")))))&gt;0),IF(COUNTIF($BI$68:$BP$68,8)=0,TRUE,SUMPRODUCT(($BI$68:$BP$68=8)*($AS$68:$AZ$68&lt;&gt;"")*IF(((UPPER($AS$68:$AZ$68)="BLANK")+(UPPER($AS$68:$AZ$68)="(BLANK)")+(UPPER($AS$68:$AZ$68)="EMPTY")+(UPPER($AS$68:$AZ$68)="(EMPTY)"))&gt;0,IFERROR(('Final Calculation Sheet'!$H$31)&amp;"","")="",ISNUMBER(SEARCH($AS$68:$AZ$68,IFERROR(('Final Calculation Sheet'!$H$31)&amp;"","")))))&gt;0))))</f>
        <v>1</v>
      </c>
      <c r="BV32">
        <f>IF($J$4="",1,--(AND(SUMPRODUCT(--($AS$69:$AZ$69&lt;&gt;""))&gt;0,IF(COUNTIF($BI$69:$BP$69,1)=0,TRUE,SUMPRODUCT(($BI$69:$BP$69=1)*($AS$69:$AZ$69&lt;&gt;"")*IF(((UPPER($AS$69:$AZ$69)="BLANK")+(UPPER($AS$69:$AZ$69)="(BLANK)")+(UPPER($AS$69:$AZ$69)="EMPTY")+(UPPER($AS$69:$AZ$69)="(EMPTY)"))&gt;0,IFERROR(('Final Calculation Sheet'!$I$31)&amp;"","")="",ISNUMBER(SEARCH($AS$69:$AZ$69,IFERROR(('Final Calculation Sheet'!$I$31)&amp;"","")))))&gt;0),IF(COUNTIF($BI$69:$BP$69,2)=0,TRUE,SUMPRODUCT(($BI$69:$BP$69=2)*($AS$69:$AZ$69&lt;&gt;"")*IF(((UPPER($AS$69:$AZ$69)="BLANK")+(UPPER($AS$69:$AZ$69)="(BLANK)")+(UPPER($AS$69:$AZ$69)="EMPTY")+(UPPER($AS$69:$AZ$69)="(EMPTY)"))&gt;0,IFERROR(('Final Calculation Sheet'!$I$31)&amp;"","")="",ISNUMBER(SEARCH($AS$69:$AZ$69,IFERROR(('Final Calculation Sheet'!$I$31)&amp;"","")))))&gt;0),IF(COUNTIF($BI$69:$BP$69,3)=0,TRUE,SUMPRODUCT(($BI$69:$BP$69=3)*($AS$69:$AZ$69&lt;&gt;"")*IF(((UPPER($AS$69:$AZ$69)="BLANK")+(UPPER($AS$69:$AZ$69)="(BLANK)")+(UPPER($AS$69:$AZ$69)="EMPTY")+(UPPER($AS$69:$AZ$69)="(EMPTY)"))&gt;0,IFERROR(('Final Calculation Sheet'!$I$31)&amp;"","")="",ISNUMBER(SEARCH($AS$69:$AZ$69,IFERROR(('Final Calculation Sheet'!$I$31)&amp;"","")))))&gt;0),IF(COUNTIF($BI$69:$BP$69,4)=0,TRUE,SUMPRODUCT(($BI$69:$BP$69=4)*($AS$69:$AZ$69&lt;&gt;"")*IF(((UPPER($AS$69:$AZ$69)="BLANK")+(UPPER($AS$69:$AZ$69)="(BLANK)")+(UPPER($AS$69:$AZ$69)="EMPTY")+(UPPER($AS$69:$AZ$69)="(EMPTY)"))&gt;0,IFERROR(('Final Calculation Sheet'!$I$31)&amp;"","")="",ISNUMBER(SEARCH($AS$69:$AZ$69,IFERROR(('Final Calculation Sheet'!$I$31)&amp;"","")))))&gt;0),IF(COUNTIF($BI$69:$BP$69,5)=0,TRUE,SUMPRODUCT(($BI$69:$BP$69=5)*($AS$69:$AZ$69&lt;&gt;"")*IF(((UPPER($AS$69:$AZ$69)="BLANK")+(UPPER($AS$69:$AZ$69)="(BLANK)")+(UPPER($AS$69:$AZ$69)="EMPTY")+(UPPER($AS$69:$AZ$69)="(EMPTY)"))&gt;0,IFERROR(('Final Calculation Sheet'!$I$31)&amp;"","")="",ISNUMBER(SEARCH($AS$69:$AZ$69,IFERROR(('Final Calculation Sheet'!$I$31)&amp;"","")))))&gt;0),IF(COUNTIF($BI$69:$BP$69,6)=0,TRUE,SUMPRODUCT(($BI$69:$BP$69=6)*($AS$69:$AZ$69&lt;&gt;"")*IF(((UPPER($AS$69:$AZ$69)="BLANK")+(UPPER($AS$69:$AZ$69)="(BLANK)")+(UPPER($AS$69:$AZ$69)="EMPTY")+(UPPER($AS$69:$AZ$69)="(EMPTY)"))&gt;0,IFERROR(('Final Calculation Sheet'!$I$31)&amp;"","")="",ISNUMBER(SEARCH($AS$69:$AZ$69,IFERROR(('Final Calculation Sheet'!$I$31)&amp;"","")))))&gt;0),IF(COUNTIF($BI$69:$BP$69,7)=0,TRUE,SUMPRODUCT(($BI$69:$BP$69=7)*($AS$69:$AZ$69&lt;&gt;"")*IF(((UPPER($AS$69:$AZ$69)="BLANK")+(UPPER($AS$69:$AZ$69)="(BLANK)")+(UPPER($AS$69:$AZ$69)="EMPTY")+(UPPER($AS$69:$AZ$69)="(EMPTY)"))&gt;0,IFERROR(('Final Calculation Sheet'!$I$31)&amp;"","")="",ISNUMBER(SEARCH($AS$69:$AZ$69,IFERROR(('Final Calculation Sheet'!$I$31)&amp;"","")))))&gt;0),IF(COUNTIF($BI$69:$BP$69,8)=0,TRUE,SUMPRODUCT(($BI$69:$BP$69=8)*($AS$69:$AZ$69&lt;&gt;"")*IF(((UPPER($AS$69:$AZ$69)="BLANK")+(UPPER($AS$69:$AZ$69)="(BLANK)")+(UPPER($AS$69:$AZ$69)="EMPTY")+(UPPER($AS$69:$AZ$69)="(EMPTY)"))&gt;0,IFERROR(('Final Calculation Sheet'!$I$31)&amp;"","")="",ISNUMBER(SEARCH($AS$69:$AZ$69,IFERROR(('Final Calculation Sheet'!$I$31)&amp;"","")))))&gt;0))))</f>
        <v>1</v>
      </c>
      <c r="BW32">
        <f>IF($K$4="",1,--(AND(SUMPRODUCT(--($AS$70:$AZ$70&lt;&gt;""))&gt;0,IF(COUNTIF($BI$70:$BP$70,1)=0,TRUE,SUMPRODUCT(($BI$70:$BP$70=1)*($AS$70:$AZ$70&lt;&gt;"")*IF(((UPPER($AS$70:$AZ$70)="BLANK")+(UPPER($AS$70:$AZ$70)="(BLANK)")+(UPPER($AS$70:$AZ$70)="EMPTY")+(UPPER($AS$70:$AZ$70)="(EMPTY)"))&gt;0,IFERROR(('Final Calculation Sheet'!$J$31)&amp;"","")="",ISNUMBER(SEARCH($AS$70:$AZ$70,IFERROR(('Final Calculation Sheet'!$J$31)&amp;"","")))))&gt;0),IF(COUNTIF($BI$70:$BP$70,2)=0,TRUE,SUMPRODUCT(($BI$70:$BP$70=2)*($AS$70:$AZ$70&lt;&gt;"")*IF(((UPPER($AS$70:$AZ$70)="BLANK")+(UPPER($AS$70:$AZ$70)="(BLANK)")+(UPPER($AS$70:$AZ$70)="EMPTY")+(UPPER($AS$70:$AZ$70)="(EMPTY)"))&gt;0,IFERROR(('Final Calculation Sheet'!$J$31)&amp;"","")="",ISNUMBER(SEARCH($AS$70:$AZ$70,IFERROR(('Final Calculation Sheet'!$J$31)&amp;"","")))))&gt;0),IF(COUNTIF($BI$70:$BP$70,3)=0,TRUE,SUMPRODUCT(($BI$70:$BP$70=3)*($AS$70:$AZ$70&lt;&gt;"")*IF(((UPPER($AS$70:$AZ$70)="BLANK")+(UPPER($AS$70:$AZ$70)="(BLANK)")+(UPPER($AS$70:$AZ$70)="EMPTY")+(UPPER($AS$70:$AZ$70)="(EMPTY)"))&gt;0,IFERROR(('Final Calculation Sheet'!$J$31)&amp;"","")="",ISNUMBER(SEARCH($AS$70:$AZ$70,IFERROR(('Final Calculation Sheet'!$J$31)&amp;"","")))))&gt;0),IF(COUNTIF($BI$70:$BP$70,4)=0,TRUE,SUMPRODUCT(($BI$70:$BP$70=4)*($AS$70:$AZ$70&lt;&gt;"")*IF(((UPPER($AS$70:$AZ$70)="BLANK")+(UPPER($AS$70:$AZ$70)="(BLANK)")+(UPPER($AS$70:$AZ$70)="EMPTY")+(UPPER($AS$70:$AZ$70)="(EMPTY)"))&gt;0,IFERROR(('Final Calculation Sheet'!$J$31)&amp;"","")="",ISNUMBER(SEARCH($AS$70:$AZ$70,IFERROR(('Final Calculation Sheet'!$J$31)&amp;"","")))))&gt;0),IF(COUNTIF($BI$70:$BP$70,5)=0,TRUE,SUMPRODUCT(($BI$70:$BP$70=5)*($AS$70:$AZ$70&lt;&gt;"")*IF(((UPPER($AS$70:$AZ$70)="BLANK")+(UPPER($AS$70:$AZ$70)="(BLANK)")+(UPPER($AS$70:$AZ$70)="EMPTY")+(UPPER($AS$70:$AZ$70)="(EMPTY)"))&gt;0,IFERROR(('Final Calculation Sheet'!$J$31)&amp;"","")="",ISNUMBER(SEARCH($AS$70:$AZ$70,IFERROR(('Final Calculation Sheet'!$J$31)&amp;"","")))))&gt;0),IF(COUNTIF($BI$70:$BP$70,6)=0,TRUE,SUMPRODUCT(($BI$70:$BP$70=6)*($AS$70:$AZ$70&lt;&gt;"")*IF(((UPPER($AS$70:$AZ$70)="BLANK")+(UPPER($AS$70:$AZ$70)="(BLANK)")+(UPPER($AS$70:$AZ$70)="EMPTY")+(UPPER($AS$70:$AZ$70)="(EMPTY)"))&gt;0,IFERROR(('Final Calculation Sheet'!$J$31)&amp;"","")="",ISNUMBER(SEARCH($AS$70:$AZ$70,IFERROR(('Final Calculation Sheet'!$J$31)&amp;"","")))))&gt;0),IF(COUNTIF($BI$70:$BP$70,7)=0,TRUE,SUMPRODUCT(($BI$70:$BP$70=7)*($AS$70:$AZ$70&lt;&gt;"")*IF(((UPPER($AS$70:$AZ$70)="BLANK")+(UPPER($AS$70:$AZ$70)="(BLANK)")+(UPPER($AS$70:$AZ$70)="EMPTY")+(UPPER($AS$70:$AZ$70)="(EMPTY)"))&gt;0,IFERROR(('Final Calculation Sheet'!$J$31)&amp;"","")="",ISNUMBER(SEARCH($AS$70:$AZ$70,IFERROR(('Final Calculation Sheet'!$J$31)&amp;"","")))))&gt;0),IF(COUNTIF($BI$70:$BP$70,8)=0,TRUE,SUMPRODUCT(($BI$70:$BP$70=8)*($AS$70:$AZ$70&lt;&gt;"")*IF(((UPPER($AS$70:$AZ$70)="BLANK")+(UPPER($AS$70:$AZ$70)="(BLANK)")+(UPPER($AS$70:$AZ$70)="EMPTY")+(UPPER($AS$70:$AZ$70)="(EMPTY)"))&gt;0,IFERROR(('Final Calculation Sheet'!$J$31)&amp;"","")="",ISNUMBER(SEARCH($AS$70:$AZ$70,IFERROR(('Final Calculation Sheet'!$J$31)&amp;"","")))))&gt;0))))</f>
        <v>1</v>
      </c>
      <c r="BX32">
        <f>IF($L$4="",1,--(AND(SUMPRODUCT(--($AS$71:$AZ$71&lt;&gt;""))&gt;0,IF(COUNTIF($BI$71:$BP$71,1)=0,TRUE,SUMPRODUCT(($BI$71:$BP$71=1)*($AS$71:$AZ$71&lt;&gt;"")*IF(((UPPER($AS$71:$AZ$71)="BLANK")+(UPPER($AS$71:$AZ$71)="(BLANK)")+(UPPER($AS$71:$AZ$71)="EMPTY")+(UPPER($AS$71:$AZ$71)="(EMPTY)"))&gt;0,IFERROR(('Final Calculation Sheet'!$K$31)&amp;"","")="",ISNUMBER(SEARCH($AS$71:$AZ$71,IFERROR(('Final Calculation Sheet'!$K$31)&amp;"","")))))&gt;0),IF(COUNTIF($BI$71:$BP$71,2)=0,TRUE,SUMPRODUCT(($BI$71:$BP$71=2)*($AS$71:$AZ$71&lt;&gt;"")*IF(((UPPER($AS$71:$AZ$71)="BLANK")+(UPPER($AS$71:$AZ$71)="(BLANK)")+(UPPER($AS$71:$AZ$71)="EMPTY")+(UPPER($AS$71:$AZ$71)="(EMPTY)"))&gt;0,IFERROR(('Final Calculation Sheet'!$K$31)&amp;"","")="",ISNUMBER(SEARCH($AS$71:$AZ$71,IFERROR(('Final Calculation Sheet'!$K$31)&amp;"","")))))&gt;0),IF(COUNTIF($BI$71:$BP$71,3)=0,TRUE,SUMPRODUCT(($BI$71:$BP$71=3)*($AS$71:$AZ$71&lt;&gt;"")*IF(((UPPER($AS$71:$AZ$71)="BLANK")+(UPPER($AS$71:$AZ$71)="(BLANK)")+(UPPER($AS$71:$AZ$71)="EMPTY")+(UPPER($AS$71:$AZ$71)="(EMPTY)"))&gt;0,IFERROR(('Final Calculation Sheet'!$K$31)&amp;"","")="",ISNUMBER(SEARCH($AS$71:$AZ$71,IFERROR(('Final Calculation Sheet'!$K$31)&amp;"","")))))&gt;0),IF(COUNTIF($BI$71:$BP$71,4)=0,TRUE,SUMPRODUCT(($BI$71:$BP$71=4)*($AS$71:$AZ$71&lt;&gt;"")*IF(((UPPER($AS$71:$AZ$71)="BLANK")+(UPPER($AS$71:$AZ$71)="(BLANK)")+(UPPER($AS$71:$AZ$71)="EMPTY")+(UPPER($AS$71:$AZ$71)="(EMPTY)"))&gt;0,IFERROR(('Final Calculation Sheet'!$K$31)&amp;"","")="",ISNUMBER(SEARCH($AS$71:$AZ$71,IFERROR(('Final Calculation Sheet'!$K$31)&amp;"","")))))&gt;0),IF(COUNTIF($BI$71:$BP$71,5)=0,TRUE,SUMPRODUCT(($BI$71:$BP$71=5)*($AS$71:$AZ$71&lt;&gt;"")*IF(((UPPER($AS$71:$AZ$71)="BLANK")+(UPPER($AS$71:$AZ$71)="(BLANK)")+(UPPER($AS$71:$AZ$71)="EMPTY")+(UPPER($AS$71:$AZ$71)="(EMPTY)"))&gt;0,IFERROR(('Final Calculation Sheet'!$K$31)&amp;"","")="",ISNUMBER(SEARCH($AS$71:$AZ$71,IFERROR(('Final Calculation Sheet'!$K$31)&amp;"","")))))&gt;0),IF(COUNTIF($BI$71:$BP$71,6)=0,TRUE,SUMPRODUCT(($BI$71:$BP$71=6)*($AS$71:$AZ$71&lt;&gt;"")*IF(((UPPER($AS$71:$AZ$71)="BLANK")+(UPPER($AS$71:$AZ$71)="(BLANK)")+(UPPER($AS$71:$AZ$71)="EMPTY")+(UPPER($AS$71:$AZ$71)="(EMPTY)"))&gt;0,IFERROR(('Final Calculation Sheet'!$K$31)&amp;"","")="",ISNUMBER(SEARCH($AS$71:$AZ$71,IFERROR(('Final Calculation Sheet'!$K$31)&amp;"","")))))&gt;0),IF(COUNTIF($BI$71:$BP$71,7)=0,TRUE,SUMPRODUCT(($BI$71:$BP$71=7)*($AS$71:$AZ$71&lt;&gt;"")*IF(((UPPER($AS$71:$AZ$71)="BLANK")+(UPPER($AS$71:$AZ$71)="(BLANK)")+(UPPER($AS$71:$AZ$71)="EMPTY")+(UPPER($AS$71:$AZ$71)="(EMPTY)"))&gt;0,IFERROR(('Final Calculation Sheet'!$K$31)&amp;"","")="",ISNUMBER(SEARCH($AS$71:$AZ$71,IFERROR(('Final Calculation Sheet'!$K$31)&amp;"","")))))&gt;0),IF(COUNTIF($BI$71:$BP$71,8)=0,TRUE,SUMPRODUCT(($BI$71:$BP$71=8)*($AS$71:$AZ$71&lt;&gt;"")*IF(((UPPER($AS$71:$AZ$71)="BLANK")+(UPPER($AS$71:$AZ$71)="(BLANK)")+(UPPER($AS$71:$AZ$71)="EMPTY")+(UPPER($AS$71:$AZ$71)="(EMPTY)"))&gt;0,IFERROR(('Final Calculation Sheet'!$K$31)&amp;"","")="",ISNUMBER(SEARCH($AS$71:$AZ$71,IFERROR(('Final Calculation Sheet'!$K$31)&amp;"","")))))&gt;0))))</f>
        <v>1</v>
      </c>
      <c r="BY32">
        <f>IF($M$4="",1,--(AND(SUMPRODUCT(--($AS$72:$AZ$72&lt;&gt;""))&gt;0,IF(COUNTIF($BI$72:$BP$72,1)=0,TRUE,SUMPRODUCT(($BI$72:$BP$72=1)*($AS$72:$AZ$72&lt;&gt;"")*IF(((UPPER($AS$72:$AZ$72)="BLANK")+(UPPER($AS$72:$AZ$72)="(BLANK)")+(UPPER($AS$72:$AZ$72)="EMPTY")+(UPPER($AS$72:$AZ$72)="(EMPTY)"))&gt;0,IFERROR(('Final Calculation Sheet'!$L$31)&amp;"","")="",ISNUMBER(SEARCH($AS$72:$AZ$72,IFERROR(('Final Calculation Sheet'!$L$31)&amp;"","")))))&gt;0),IF(COUNTIF($BI$72:$BP$72,2)=0,TRUE,SUMPRODUCT(($BI$72:$BP$72=2)*($AS$72:$AZ$72&lt;&gt;"")*IF(((UPPER($AS$72:$AZ$72)="BLANK")+(UPPER($AS$72:$AZ$72)="(BLANK)")+(UPPER($AS$72:$AZ$72)="EMPTY")+(UPPER($AS$72:$AZ$72)="(EMPTY)"))&gt;0,IFERROR(('Final Calculation Sheet'!$L$31)&amp;"","")="",ISNUMBER(SEARCH($AS$72:$AZ$72,IFERROR(('Final Calculation Sheet'!$L$31)&amp;"","")))))&gt;0),IF(COUNTIF($BI$72:$BP$72,3)=0,TRUE,SUMPRODUCT(($BI$72:$BP$72=3)*($AS$72:$AZ$72&lt;&gt;"")*IF(((UPPER($AS$72:$AZ$72)="BLANK")+(UPPER($AS$72:$AZ$72)="(BLANK)")+(UPPER($AS$72:$AZ$72)="EMPTY")+(UPPER($AS$72:$AZ$72)="(EMPTY)"))&gt;0,IFERROR(('Final Calculation Sheet'!$L$31)&amp;"","")="",ISNUMBER(SEARCH($AS$72:$AZ$72,IFERROR(('Final Calculation Sheet'!$L$31)&amp;"","")))))&gt;0),IF(COUNTIF($BI$72:$BP$72,4)=0,TRUE,SUMPRODUCT(($BI$72:$BP$72=4)*($AS$72:$AZ$72&lt;&gt;"")*IF(((UPPER($AS$72:$AZ$72)="BLANK")+(UPPER($AS$72:$AZ$72)="(BLANK)")+(UPPER($AS$72:$AZ$72)="EMPTY")+(UPPER($AS$72:$AZ$72)="(EMPTY)"))&gt;0,IFERROR(('Final Calculation Sheet'!$L$31)&amp;"","")="",ISNUMBER(SEARCH($AS$72:$AZ$72,IFERROR(('Final Calculation Sheet'!$L$31)&amp;"","")))))&gt;0),IF(COUNTIF($BI$72:$BP$72,5)=0,TRUE,SUMPRODUCT(($BI$72:$BP$72=5)*($AS$72:$AZ$72&lt;&gt;"")*IF(((UPPER($AS$72:$AZ$72)="BLANK")+(UPPER($AS$72:$AZ$72)="(BLANK)")+(UPPER($AS$72:$AZ$72)="EMPTY")+(UPPER($AS$72:$AZ$72)="(EMPTY)"))&gt;0,IFERROR(('Final Calculation Sheet'!$L$31)&amp;"","")="",ISNUMBER(SEARCH($AS$72:$AZ$72,IFERROR(('Final Calculation Sheet'!$L$31)&amp;"","")))))&gt;0),IF(COUNTIF($BI$72:$BP$72,6)=0,TRUE,SUMPRODUCT(($BI$72:$BP$72=6)*($AS$72:$AZ$72&lt;&gt;"")*IF(((UPPER($AS$72:$AZ$72)="BLANK")+(UPPER($AS$72:$AZ$72)="(BLANK)")+(UPPER($AS$72:$AZ$72)="EMPTY")+(UPPER($AS$72:$AZ$72)="(EMPTY)"))&gt;0,IFERROR(('Final Calculation Sheet'!$L$31)&amp;"","")="",ISNUMBER(SEARCH($AS$72:$AZ$72,IFERROR(('Final Calculation Sheet'!$L$31)&amp;"","")))))&gt;0),IF(COUNTIF($BI$72:$BP$72,7)=0,TRUE,SUMPRODUCT(($BI$72:$BP$72=7)*($AS$72:$AZ$72&lt;&gt;"")*IF(((UPPER($AS$72:$AZ$72)="BLANK")+(UPPER($AS$72:$AZ$72)="(BLANK)")+(UPPER($AS$72:$AZ$72)="EMPTY")+(UPPER($AS$72:$AZ$72)="(EMPTY)"))&gt;0,IFERROR(('Final Calculation Sheet'!$L$31)&amp;"","")="",ISNUMBER(SEARCH($AS$72:$AZ$72,IFERROR(('Final Calculation Sheet'!$L$31)&amp;"","")))))&gt;0),IF(COUNTIF($BI$72:$BP$72,8)=0,TRUE,SUMPRODUCT(($BI$72:$BP$72=8)*($AS$72:$AZ$72&lt;&gt;"")*IF(((UPPER($AS$72:$AZ$72)="BLANK")+(UPPER($AS$72:$AZ$72)="(BLANK)")+(UPPER($AS$72:$AZ$72)="EMPTY")+(UPPER($AS$72:$AZ$72)="(EMPTY)"))&gt;0,IFERROR(('Final Calculation Sheet'!$L$31)&amp;"","")="",ISNUMBER(SEARCH($AS$72:$AZ$72,IFERROR(('Final Calculation Sheet'!$L$31)&amp;"","")))))&gt;0))))</f>
        <v>1</v>
      </c>
      <c r="BZ32">
        <f>IF($N$4="",1,--(AND(SUMPRODUCT(--($AS$73:$AZ$73&lt;&gt;""))&gt;0,IF(COUNTIF($BI$73:$BP$73,1)=0,TRUE,SUMPRODUCT(($BI$73:$BP$73=1)*($AS$73:$AZ$73&lt;&gt;"")*IF(((UPPER($AS$73:$AZ$73)="BLANK")+(UPPER($AS$73:$AZ$73)="(BLANK)")+(UPPER($AS$73:$AZ$73)="EMPTY")+(UPPER($AS$73:$AZ$73)="(EMPTY)"))&gt;0,IFERROR(('Final Calculation Sheet'!$M$31)&amp;"","")="",ISNUMBER(SEARCH($AS$73:$AZ$73,IFERROR(('Final Calculation Sheet'!$M$31)&amp;"","")))))&gt;0),IF(COUNTIF($BI$73:$BP$73,2)=0,TRUE,SUMPRODUCT(($BI$73:$BP$73=2)*($AS$73:$AZ$73&lt;&gt;"")*IF(((UPPER($AS$73:$AZ$73)="BLANK")+(UPPER($AS$73:$AZ$73)="(BLANK)")+(UPPER($AS$73:$AZ$73)="EMPTY")+(UPPER($AS$73:$AZ$73)="(EMPTY)"))&gt;0,IFERROR(('Final Calculation Sheet'!$M$31)&amp;"","")="",ISNUMBER(SEARCH($AS$73:$AZ$73,IFERROR(('Final Calculation Sheet'!$M$31)&amp;"","")))))&gt;0),IF(COUNTIF($BI$73:$BP$73,3)=0,TRUE,SUMPRODUCT(($BI$73:$BP$73=3)*($AS$73:$AZ$73&lt;&gt;"")*IF(((UPPER($AS$73:$AZ$73)="BLANK")+(UPPER($AS$73:$AZ$73)="(BLANK)")+(UPPER($AS$73:$AZ$73)="EMPTY")+(UPPER($AS$73:$AZ$73)="(EMPTY)"))&gt;0,IFERROR(('Final Calculation Sheet'!$M$31)&amp;"","")="",ISNUMBER(SEARCH($AS$73:$AZ$73,IFERROR(('Final Calculation Sheet'!$M$31)&amp;"","")))))&gt;0),IF(COUNTIF($BI$73:$BP$73,4)=0,TRUE,SUMPRODUCT(($BI$73:$BP$73=4)*($AS$73:$AZ$73&lt;&gt;"")*IF(((UPPER($AS$73:$AZ$73)="BLANK")+(UPPER($AS$73:$AZ$73)="(BLANK)")+(UPPER($AS$73:$AZ$73)="EMPTY")+(UPPER($AS$73:$AZ$73)="(EMPTY)"))&gt;0,IFERROR(('Final Calculation Sheet'!$M$31)&amp;"","")="",ISNUMBER(SEARCH($AS$73:$AZ$73,IFERROR(('Final Calculation Sheet'!$M$31)&amp;"","")))))&gt;0),IF(COUNTIF($BI$73:$BP$73,5)=0,TRUE,SUMPRODUCT(($BI$73:$BP$73=5)*($AS$73:$AZ$73&lt;&gt;"")*IF(((UPPER($AS$73:$AZ$73)="BLANK")+(UPPER($AS$73:$AZ$73)="(BLANK)")+(UPPER($AS$73:$AZ$73)="EMPTY")+(UPPER($AS$73:$AZ$73)="(EMPTY)"))&gt;0,IFERROR(('Final Calculation Sheet'!$M$31)&amp;"","")="",ISNUMBER(SEARCH($AS$73:$AZ$73,IFERROR(('Final Calculation Sheet'!$M$31)&amp;"","")))))&gt;0),IF(COUNTIF($BI$73:$BP$73,6)=0,TRUE,SUMPRODUCT(($BI$73:$BP$73=6)*($AS$73:$AZ$73&lt;&gt;"")*IF(((UPPER($AS$73:$AZ$73)="BLANK")+(UPPER($AS$73:$AZ$73)="(BLANK)")+(UPPER($AS$73:$AZ$73)="EMPTY")+(UPPER($AS$73:$AZ$73)="(EMPTY)"))&gt;0,IFERROR(('Final Calculation Sheet'!$M$31)&amp;"","")="",ISNUMBER(SEARCH($AS$73:$AZ$73,IFERROR(('Final Calculation Sheet'!$M$31)&amp;"","")))))&gt;0),IF(COUNTIF($BI$73:$BP$73,7)=0,TRUE,SUMPRODUCT(($BI$73:$BP$73=7)*($AS$73:$AZ$73&lt;&gt;"")*IF(((UPPER($AS$73:$AZ$73)="BLANK")+(UPPER($AS$73:$AZ$73)="(BLANK)")+(UPPER($AS$73:$AZ$73)="EMPTY")+(UPPER($AS$73:$AZ$73)="(EMPTY)"))&gt;0,IFERROR(('Final Calculation Sheet'!$M$31)&amp;"","")="",ISNUMBER(SEARCH($AS$73:$AZ$73,IFERROR(('Final Calculation Sheet'!$M$31)&amp;"","")))))&gt;0),IF(COUNTIF($BI$73:$BP$73,8)=0,TRUE,SUMPRODUCT(($BI$73:$BP$73=8)*($AS$73:$AZ$73&lt;&gt;"")*IF(((UPPER($AS$73:$AZ$73)="BLANK")+(UPPER($AS$73:$AZ$73)="(BLANK)")+(UPPER($AS$73:$AZ$73)="EMPTY")+(UPPER($AS$73:$AZ$73)="(EMPTY)"))&gt;0,IFERROR(('Final Calculation Sheet'!$M$31)&amp;"","")="",ISNUMBER(SEARCH($AS$73:$AZ$73,IFERROR(('Final Calculation Sheet'!$M$31)&amp;"","")))))&gt;0))))</f>
        <v>1</v>
      </c>
      <c r="CA32">
        <f>IF($O$4="",1,--(AND(SUMPRODUCT(--($AS$74:$AZ$74&lt;&gt;""))&gt;0,IF(COUNTIF($BI$74:$BP$74,1)=0,TRUE,SUMPRODUCT(($BI$74:$BP$74=1)*($AS$74:$AZ$74&lt;&gt;"")*IF(((UPPER($AS$74:$AZ$74)="BLANK")+(UPPER($AS$74:$AZ$74)="(BLANK)")+(UPPER($AS$74:$AZ$74)="EMPTY")+(UPPER($AS$74:$AZ$74)="(EMPTY)"))&gt;0,IFERROR(('Final Calculation Sheet'!$N$31)&amp;"","")="",ISNUMBER(SEARCH($AS$74:$AZ$74,IFERROR(('Final Calculation Sheet'!$N$31)&amp;"","")))))&gt;0),IF(COUNTIF($BI$74:$BP$74,2)=0,TRUE,SUMPRODUCT(($BI$74:$BP$74=2)*($AS$74:$AZ$74&lt;&gt;"")*IF(((UPPER($AS$74:$AZ$74)="BLANK")+(UPPER($AS$74:$AZ$74)="(BLANK)")+(UPPER($AS$74:$AZ$74)="EMPTY")+(UPPER($AS$74:$AZ$74)="(EMPTY)"))&gt;0,IFERROR(('Final Calculation Sheet'!$N$31)&amp;"","")="",ISNUMBER(SEARCH($AS$74:$AZ$74,IFERROR(('Final Calculation Sheet'!$N$31)&amp;"","")))))&gt;0),IF(COUNTIF($BI$74:$BP$74,3)=0,TRUE,SUMPRODUCT(($BI$74:$BP$74=3)*($AS$74:$AZ$74&lt;&gt;"")*IF(((UPPER($AS$74:$AZ$74)="BLANK")+(UPPER($AS$74:$AZ$74)="(BLANK)")+(UPPER($AS$74:$AZ$74)="EMPTY")+(UPPER($AS$74:$AZ$74)="(EMPTY)"))&gt;0,IFERROR(('Final Calculation Sheet'!$N$31)&amp;"","")="",ISNUMBER(SEARCH($AS$74:$AZ$74,IFERROR(('Final Calculation Sheet'!$N$31)&amp;"","")))))&gt;0),IF(COUNTIF($BI$74:$BP$74,4)=0,TRUE,SUMPRODUCT(($BI$74:$BP$74=4)*($AS$74:$AZ$74&lt;&gt;"")*IF(((UPPER($AS$74:$AZ$74)="BLANK")+(UPPER($AS$74:$AZ$74)="(BLANK)")+(UPPER($AS$74:$AZ$74)="EMPTY")+(UPPER($AS$74:$AZ$74)="(EMPTY)"))&gt;0,IFERROR(('Final Calculation Sheet'!$N$31)&amp;"","")="",ISNUMBER(SEARCH($AS$74:$AZ$74,IFERROR(('Final Calculation Sheet'!$N$31)&amp;"","")))))&gt;0),IF(COUNTIF($BI$74:$BP$74,5)=0,TRUE,SUMPRODUCT(($BI$74:$BP$74=5)*($AS$74:$AZ$74&lt;&gt;"")*IF(((UPPER($AS$74:$AZ$74)="BLANK")+(UPPER($AS$74:$AZ$74)="(BLANK)")+(UPPER($AS$74:$AZ$74)="EMPTY")+(UPPER($AS$74:$AZ$74)="(EMPTY)"))&gt;0,IFERROR(('Final Calculation Sheet'!$N$31)&amp;"","")="",ISNUMBER(SEARCH($AS$74:$AZ$74,IFERROR(('Final Calculation Sheet'!$N$31)&amp;"","")))))&gt;0),IF(COUNTIF($BI$74:$BP$74,6)=0,TRUE,SUMPRODUCT(($BI$74:$BP$74=6)*($AS$74:$AZ$74&lt;&gt;"")*IF(((UPPER($AS$74:$AZ$74)="BLANK")+(UPPER($AS$74:$AZ$74)="(BLANK)")+(UPPER($AS$74:$AZ$74)="EMPTY")+(UPPER($AS$74:$AZ$74)="(EMPTY)"))&gt;0,IFERROR(('Final Calculation Sheet'!$N$31)&amp;"","")="",ISNUMBER(SEARCH($AS$74:$AZ$74,IFERROR(('Final Calculation Sheet'!$N$31)&amp;"","")))))&gt;0),IF(COUNTIF($BI$74:$BP$74,7)=0,TRUE,SUMPRODUCT(($BI$74:$BP$74=7)*($AS$74:$AZ$74&lt;&gt;"")*IF(((UPPER($AS$74:$AZ$74)="BLANK")+(UPPER($AS$74:$AZ$74)="(BLANK)")+(UPPER($AS$74:$AZ$74)="EMPTY")+(UPPER($AS$74:$AZ$74)="(EMPTY)"))&gt;0,IFERROR(('Final Calculation Sheet'!$N$31)&amp;"","")="",ISNUMBER(SEARCH($AS$74:$AZ$74,IFERROR(('Final Calculation Sheet'!$N$31)&amp;"","")))))&gt;0),IF(COUNTIF($BI$74:$BP$74,8)=0,TRUE,SUMPRODUCT(($BI$74:$BP$74=8)*($AS$74:$AZ$74&lt;&gt;"")*IF(((UPPER($AS$74:$AZ$74)="BLANK")+(UPPER($AS$74:$AZ$74)="(BLANK)")+(UPPER($AS$74:$AZ$74)="EMPTY")+(UPPER($AS$74:$AZ$74)="(EMPTY)"))&gt;0,IFERROR(('Final Calculation Sheet'!$N$31)&amp;"","")="",ISNUMBER(SEARCH($AS$74:$AZ$74,IFERROR(('Final Calculation Sheet'!$N$31)&amp;"","")))))&gt;0))))</f>
        <v>1</v>
      </c>
      <c r="CB32">
        <f>IF($P$4="",1,--(AND(SUMPRODUCT(--($AS$75:$AZ$75&lt;&gt;""))&gt;0,IF(COUNTIF($BI$75:$BP$75,1)=0,TRUE,SUMPRODUCT(($BI$75:$BP$75=1)*($AS$75:$AZ$75&lt;&gt;"")*IF(((UPPER($AS$75:$AZ$75)="BLANK")+(UPPER($AS$75:$AZ$75)="(BLANK)")+(UPPER($AS$75:$AZ$75)="EMPTY")+(UPPER($AS$75:$AZ$75)="(EMPTY)"))&gt;0,IFERROR(('Final Calculation Sheet'!$O$31)&amp;"","")="",ISNUMBER(SEARCH($AS$75:$AZ$75,IFERROR(('Final Calculation Sheet'!$O$31)&amp;"","")))))&gt;0),IF(COUNTIF($BI$75:$BP$75,2)=0,TRUE,SUMPRODUCT(($BI$75:$BP$75=2)*($AS$75:$AZ$75&lt;&gt;"")*IF(((UPPER($AS$75:$AZ$75)="BLANK")+(UPPER($AS$75:$AZ$75)="(BLANK)")+(UPPER($AS$75:$AZ$75)="EMPTY")+(UPPER($AS$75:$AZ$75)="(EMPTY)"))&gt;0,IFERROR(('Final Calculation Sheet'!$O$31)&amp;"","")="",ISNUMBER(SEARCH($AS$75:$AZ$75,IFERROR(('Final Calculation Sheet'!$O$31)&amp;"","")))))&gt;0),IF(COUNTIF($BI$75:$BP$75,3)=0,TRUE,SUMPRODUCT(($BI$75:$BP$75=3)*($AS$75:$AZ$75&lt;&gt;"")*IF(((UPPER($AS$75:$AZ$75)="BLANK")+(UPPER($AS$75:$AZ$75)="(BLANK)")+(UPPER($AS$75:$AZ$75)="EMPTY")+(UPPER($AS$75:$AZ$75)="(EMPTY)"))&gt;0,IFERROR(('Final Calculation Sheet'!$O$31)&amp;"","")="",ISNUMBER(SEARCH($AS$75:$AZ$75,IFERROR(('Final Calculation Sheet'!$O$31)&amp;"","")))))&gt;0),IF(COUNTIF($BI$75:$BP$75,4)=0,TRUE,SUMPRODUCT(($BI$75:$BP$75=4)*($AS$75:$AZ$75&lt;&gt;"")*IF(((UPPER($AS$75:$AZ$75)="BLANK")+(UPPER($AS$75:$AZ$75)="(BLANK)")+(UPPER($AS$75:$AZ$75)="EMPTY")+(UPPER($AS$75:$AZ$75)="(EMPTY)"))&gt;0,IFERROR(('Final Calculation Sheet'!$O$31)&amp;"","")="",ISNUMBER(SEARCH($AS$75:$AZ$75,IFERROR(('Final Calculation Sheet'!$O$31)&amp;"","")))))&gt;0),IF(COUNTIF($BI$75:$BP$75,5)=0,TRUE,SUMPRODUCT(($BI$75:$BP$75=5)*($AS$75:$AZ$75&lt;&gt;"")*IF(((UPPER($AS$75:$AZ$75)="BLANK")+(UPPER($AS$75:$AZ$75)="(BLANK)")+(UPPER($AS$75:$AZ$75)="EMPTY")+(UPPER($AS$75:$AZ$75)="(EMPTY)"))&gt;0,IFERROR(('Final Calculation Sheet'!$O$31)&amp;"","")="",ISNUMBER(SEARCH($AS$75:$AZ$75,IFERROR(('Final Calculation Sheet'!$O$31)&amp;"","")))))&gt;0),IF(COUNTIF($BI$75:$BP$75,6)=0,TRUE,SUMPRODUCT(($BI$75:$BP$75=6)*($AS$75:$AZ$75&lt;&gt;"")*IF(((UPPER($AS$75:$AZ$75)="BLANK")+(UPPER($AS$75:$AZ$75)="(BLANK)")+(UPPER($AS$75:$AZ$75)="EMPTY")+(UPPER($AS$75:$AZ$75)="(EMPTY)"))&gt;0,IFERROR(('Final Calculation Sheet'!$O$31)&amp;"","")="",ISNUMBER(SEARCH($AS$75:$AZ$75,IFERROR(('Final Calculation Sheet'!$O$31)&amp;"","")))))&gt;0),IF(COUNTIF($BI$75:$BP$75,7)=0,TRUE,SUMPRODUCT(($BI$75:$BP$75=7)*($AS$75:$AZ$75&lt;&gt;"")*IF(((UPPER($AS$75:$AZ$75)="BLANK")+(UPPER($AS$75:$AZ$75)="(BLANK)")+(UPPER($AS$75:$AZ$75)="EMPTY")+(UPPER($AS$75:$AZ$75)="(EMPTY)"))&gt;0,IFERROR(('Final Calculation Sheet'!$O$31)&amp;"","")="",ISNUMBER(SEARCH($AS$75:$AZ$75,IFERROR(('Final Calculation Sheet'!$O$31)&amp;"","")))))&gt;0),IF(COUNTIF($BI$75:$BP$75,8)=0,TRUE,SUMPRODUCT(($BI$75:$BP$75=8)*($AS$75:$AZ$75&lt;&gt;"")*IF(((UPPER($AS$75:$AZ$75)="BLANK")+(UPPER($AS$75:$AZ$75)="(BLANK)")+(UPPER($AS$75:$AZ$75)="EMPTY")+(UPPER($AS$75:$AZ$75)="(EMPTY)"))&gt;0,IFERROR(('Final Calculation Sheet'!$O$31)&amp;"","")="",ISNUMBER(SEARCH($AS$75:$AZ$75,IFERROR(('Final Calculation Sheet'!$O$31)&amp;"","")))))&gt;0))))</f>
        <v>1</v>
      </c>
      <c r="CC32">
        <f>IF($Q$4="",1,--(AND(SUMPRODUCT(--($AS$76:$AZ$76&lt;&gt;""))&gt;0,IF(COUNTIF($BI$76:$BP$76,1)=0,TRUE,SUMPRODUCT(($BI$76:$BP$76=1)*($AS$76:$AZ$76&lt;&gt;"")*IF(((UPPER($AS$76:$AZ$76)="BLANK")+(UPPER($AS$76:$AZ$76)="(BLANK)")+(UPPER($AS$76:$AZ$76)="EMPTY")+(UPPER($AS$76:$AZ$76)="(EMPTY)"))&gt;0,IFERROR(('Final Calculation Sheet'!$P$31)&amp;"","")="",ISNUMBER(SEARCH($AS$76:$AZ$76,IFERROR(('Final Calculation Sheet'!$P$31)&amp;"","")))))&gt;0),IF(COUNTIF($BI$76:$BP$76,2)=0,TRUE,SUMPRODUCT(($BI$76:$BP$76=2)*($AS$76:$AZ$76&lt;&gt;"")*IF(((UPPER($AS$76:$AZ$76)="BLANK")+(UPPER($AS$76:$AZ$76)="(BLANK)")+(UPPER($AS$76:$AZ$76)="EMPTY")+(UPPER($AS$76:$AZ$76)="(EMPTY)"))&gt;0,IFERROR(('Final Calculation Sheet'!$P$31)&amp;"","")="",ISNUMBER(SEARCH($AS$76:$AZ$76,IFERROR(('Final Calculation Sheet'!$P$31)&amp;"","")))))&gt;0),IF(COUNTIF($BI$76:$BP$76,3)=0,TRUE,SUMPRODUCT(($BI$76:$BP$76=3)*($AS$76:$AZ$76&lt;&gt;"")*IF(((UPPER($AS$76:$AZ$76)="BLANK")+(UPPER($AS$76:$AZ$76)="(BLANK)")+(UPPER($AS$76:$AZ$76)="EMPTY")+(UPPER($AS$76:$AZ$76)="(EMPTY)"))&gt;0,IFERROR(('Final Calculation Sheet'!$P$31)&amp;"","")="",ISNUMBER(SEARCH($AS$76:$AZ$76,IFERROR(('Final Calculation Sheet'!$P$31)&amp;"","")))))&gt;0),IF(COUNTIF($BI$76:$BP$76,4)=0,TRUE,SUMPRODUCT(($BI$76:$BP$76=4)*($AS$76:$AZ$76&lt;&gt;"")*IF(((UPPER($AS$76:$AZ$76)="BLANK")+(UPPER($AS$76:$AZ$76)="(BLANK)")+(UPPER($AS$76:$AZ$76)="EMPTY")+(UPPER($AS$76:$AZ$76)="(EMPTY)"))&gt;0,IFERROR(('Final Calculation Sheet'!$P$31)&amp;"","")="",ISNUMBER(SEARCH($AS$76:$AZ$76,IFERROR(('Final Calculation Sheet'!$P$31)&amp;"","")))))&gt;0),IF(COUNTIF($BI$76:$BP$76,5)=0,TRUE,SUMPRODUCT(($BI$76:$BP$76=5)*($AS$76:$AZ$76&lt;&gt;"")*IF(((UPPER($AS$76:$AZ$76)="BLANK")+(UPPER($AS$76:$AZ$76)="(BLANK)")+(UPPER($AS$76:$AZ$76)="EMPTY")+(UPPER($AS$76:$AZ$76)="(EMPTY)"))&gt;0,IFERROR(('Final Calculation Sheet'!$P$31)&amp;"","")="",ISNUMBER(SEARCH($AS$76:$AZ$76,IFERROR(('Final Calculation Sheet'!$P$31)&amp;"","")))))&gt;0),IF(COUNTIF($BI$76:$BP$76,6)=0,TRUE,SUMPRODUCT(($BI$76:$BP$76=6)*($AS$76:$AZ$76&lt;&gt;"")*IF(((UPPER($AS$76:$AZ$76)="BLANK")+(UPPER($AS$76:$AZ$76)="(BLANK)")+(UPPER($AS$76:$AZ$76)="EMPTY")+(UPPER($AS$76:$AZ$76)="(EMPTY)"))&gt;0,IFERROR(('Final Calculation Sheet'!$P$31)&amp;"","")="",ISNUMBER(SEARCH($AS$76:$AZ$76,IFERROR(('Final Calculation Sheet'!$P$31)&amp;"","")))))&gt;0),IF(COUNTIF($BI$76:$BP$76,7)=0,TRUE,SUMPRODUCT(($BI$76:$BP$76=7)*($AS$76:$AZ$76&lt;&gt;"")*IF(((UPPER($AS$76:$AZ$76)="BLANK")+(UPPER($AS$76:$AZ$76)="(BLANK)")+(UPPER($AS$76:$AZ$76)="EMPTY")+(UPPER($AS$76:$AZ$76)="(EMPTY)"))&gt;0,IFERROR(('Final Calculation Sheet'!$P$31)&amp;"","")="",ISNUMBER(SEARCH($AS$76:$AZ$76,IFERROR(('Final Calculation Sheet'!$P$31)&amp;"","")))))&gt;0),IF(COUNTIF($BI$76:$BP$76,8)=0,TRUE,SUMPRODUCT(($BI$76:$BP$76=8)*($AS$76:$AZ$76&lt;&gt;"")*IF(((UPPER($AS$76:$AZ$76)="BLANK")+(UPPER($AS$76:$AZ$76)="(BLANK)")+(UPPER($AS$76:$AZ$76)="EMPTY")+(UPPER($AS$76:$AZ$76)="(EMPTY)"))&gt;0,IFERROR(('Final Calculation Sheet'!$P$31)&amp;"","")="",ISNUMBER(SEARCH($AS$76:$AZ$76,IFERROR(('Final Calculation Sheet'!$P$31)&amp;"","")))))&gt;0))))</f>
        <v>1</v>
      </c>
      <c r="CD32">
        <f>IF($R$4="",1,--(AND(SUMPRODUCT(--($AS$77:$AZ$77&lt;&gt;""))&gt;0,IF(COUNTIF($BI$77:$BP$77,1)=0,TRUE,SUMPRODUCT(($BI$77:$BP$77=1)*($AS$77:$AZ$77&lt;&gt;"")*IF(((UPPER($AS$77:$AZ$77)="BLANK")+(UPPER($AS$77:$AZ$77)="(BLANK)")+(UPPER($AS$77:$AZ$77)="EMPTY")+(UPPER($AS$77:$AZ$77)="(EMPTY)"))&gt;0,IFERROR(('Final Calculation Sheet'!$Q$31)&amp;"","")="",ISNUMBER(SEARCH($AS$77:$AZ$77,IFERROR(('Final Calculation Sheet'!$Q$31)&amp;"","")))))&gt;0),IF(COUNTIF($BI$77:$BP$77,2)=0,TRUE,SUMPRODUCT(($BI$77:$BP$77=2)*($AS$77:$AZ$77&lt;&gt;"")*IF(((UPPER($AS$77:$AZ$77)="BLANK")+(UPPER($AS$77:$AZ$77)="(BLANK)")+(UPPER($AS$77:$AZ$77)="EMPTY")+(UPPER($AS$77:$AZ$77)="(EMPTY)"))&gt;0,IFERROR(('Final Calculation Sheet'!$Q$31)&amp;"","")="",ISNUMBER(SEARCH($AS$77:$AZ$77,IFERROR(('Final Calculation Sheet'!$Q$31)&amp;"","")))))&gt;0),IF(COUNTIF($BI$77:$BP$77,3)=0,TRUE,SUMPRODUCT(($BI$77:$BP$77=3)*($AS$77:$AZ$77&lt;&gt;"")*IF(((UPPER($AS$77:$AZ$77)="BLANK")+(UPPER($AS$77:$AZ$77)="(BLANK)")+(UPPER($AS$77:$AZ$77)="EMPTY")+(UPPER($AS$77:$AZ$77)="(EMPTY)"))&gt;0,IFERROR(('Final Calculation Sheet'!$Q$31)&amp;"","")="",ISNUMBER(SEARCH($AS$77:$AZ$77,IFERROR(('Final Calculation Sheet'!$Q$31)&amp;"","")))))&gt;0),IF(COUNTIF($BI$77:$BP$77,4)=0,TRUE,SUMPRODUCT(($BI$77:$BP$77=4)*($AS$77:$AZ$77&lt;&gt;"")*IF(((UPPER($AS$77:$AZ$77)="BLANK")+(UPPER($AS$77:$AZ$77)="(BLANK)")+(UPPER($AS$77:$AZ$77)="EMPTY")+(UPPER($AS$77:$AZ$77)="(EMPTY)"))&gt;0,IFERROR(('Final Calculation Sheet'!$Q$31)&amp;"","")="",ISNUMBER(SEARCH($AS$77:$AZ$77,IFERROR(('Final Calculation Sheet'!$Q$31)&amp;"","")))))&gt;0),IF(COUNTIF($BI$77:$BP$77,5)=0,TRUE,SUMPRODUCT(($BI$77:$BP$77=5)*($AS$77:$AZ$77&lt;&gt;"")*IF(((UPPER($AS$77:$AZ$77)="BLANK")+(UPPER($AS$77:$AZ$77)="(BLANK)")+(UPPER($AS$77:$AZ$77)="EMPTY")+(UPPER($AS$77:$AZ$77)="(EMPTY)"))&gt;0,IFERROR(('Final Calculation Sheet'!$Q$31)&amp;"","")="",ISNUMBER(SEARCH($AS$77:$AZ$77,IFERROR(('Final Calculation Sheet'!$Q$31)&amp;"","")))))&gt;0),IF(COUNTIF($BI$77:$BP$77,6)=0,TRUE,SUMPRODUCT(($BI$77:$BP$77=6)*($AS$77:$AZ$77&lt;&gt;"")*IF(((UPPER($AS$77:$AZ$77)="BLANK")+(UPPER($AS$77:$AZ$77)="(BLANK)")+(UPPER($AS$77:$AZ$77)="EMPTY")+(UPPER($AS$77:$AZ$77)="(EMPTY)"))&gt;0,IFERROR(('Final Calculation Sheet'!$Q$31)&amp;"","")="",ISNUMBER(SEARCH($AS$77:$AZ$77,IFERROR(('Final Calculation Sheet'!$Q$31)&amp;"","")))))&gt;0),IF(COUNTIF($BI$77:$BP$77,7)=0,TRUE,SUMPRODUCT(($BI$77:$BP$77=7)*($AS$77:$AZ$77&lt;&gt;"")*IF(((UPPER($AS$77:$AZ$77)="BLANK")+(UPPER($AS$77:$AZ$77)="(BLANK)")+(UPPER($AS$77:$AZ$77)="EMPTY")+(UPPER($AS$77:$AZ$77)="(EMPTY)"))&gt;0,IFERROR(('Final Calculation Sheet'!$Q$31)&amp;"","")="",ISNUMBER(SEARCH($AS$77:$AZ$77,IFERROR(('Final Calculation Sheet'!$Q$31)&amp;"","")))))&gt;0),IF(COUNTIF($BI$77:$BP$77,8)=0,TRUE,SUMPRODUCT(($BI$77:$BP$77=8)*($AS$77:$AZ$77&lt;&gt;"")*IF(((UPPER($AS$77:$AZ$77)="BLANK")+(UPPER($AS$77:$AZ$77)="(BLANK)")+(UPPER($AS$77:$AZ$77)="EMPTY")+(UPPER($AS$77:$AZ$77)="(EMPTY)"))&gt;0,IFERROR(('Final Calculation Sheet'!$Q$31)&amp;"","")="",ISNUMBER(SEARCH($AS$77:$AZ$77,IFERROR(('Final Calculation Sheet'!$Q$31)&amp;"","")))))&gt;0))))</f>
        <v>1</v>
      </c>
      <c r="CE32">
        <f>IF($S$4="",1,--(AND(SUMPRODUCT(--($AS$78:$AZ$78&lt;&gt;""))&gt;0,IF(COUNTIF($BI$78:$BP$78,1)=0,TRUE,SUMPRODUCT(($BI$78:$BP$78=1)*($AS$78:$AZ$78&lt;&gt;"")*IF(((UPPER($AS$78:$AZ$78)="BLANK")+(UPPER($AS$78:$AZ$78)="(BLANK)")+(UPPER($AS$78:$AZ$78)="EMPTY")+(UPPER($AS$78:$AZ$78)="(EMPTY)"))&gt;0,IFERROR(('Final Calculation Sheet'!$R$31)&amp;"","")="",ISNUMBER(SEARCH($AS$78:$AZ$78,IFERROR(('Final Calculation Sheet'!$R$31)&amp;"","")))))&gt;0),IF(COUNTIF($BI$78:$BP$78,2)=0,TRUE,SUMPRODUCT(($BI$78:$BP$78=2)*($AS$78:$AZ$78&lt;&gt;"")*IF(((UPPER($AS$78:$AZ$78)="BLANK")+(UPPER($AS$78:$AZ$78)="(BLANK)")+(UPPER($AS$78:$AZ$78)="EMPTY")+(UPPER($AS$78:$AZ$78)="(EMPTY)"))&gt;0,IFERROR(('Final Calculation Sheet'!$R$31)&amp;"","")="",ISNUMBER(SEARCH($AS$78:$AZ$78,IFERROR(('Final Calculation Sheet'!$R$31)&amp;"","")))))&gt;0),IF(COUNTIF($BI$78:$BP$78,3)=0,TRUE,SUMPRODUCT(($BI$78:$BP$78=3)*($AS$78:$AZ$78&lt;&gt;"")*IF(((UPPER($AS$78:$AZ$78)="BLANK")+(UPPER($AS$78:$AZ$78)="(BLANK)")+(UPPER($AS$78:$AZ$78)="EMPTY")+(UPPER($AS$78:$AZ$78)="(EMPTY)"))&gt;0,IFERROR(('Final Calculation Sheet'!$R$31)&amp;"","")="",ISNUMBER(SEARCH($AS$78:$AZ$78,IFERROR(('Final Calculation Sheet'!$R$31)&amp;"","")))))&gt;0),IF(COUNTIF($BI$78:$BP$78,4)=0,TRUE,SUMPRODUCT(($BI$78:$BP$78=4)*($AS$78:$AZ$78&lt;&gt;"")*IF(((UPPER($AS$78:$AZ$78)="BLANK")+(UPPER($AS$78:$AZ$78)="(BLANK)")+(UPPER($AS$78:$AZ$78)="EMPTY")+(UPPER($AS$78:$AZ$78)="(EMPTY)"))&gt;0,IFERROR(('Final Calculation Sheet'!$R$31)&amp;"","")="",ISNUMBER(SEARCH($AS$78:$AZ$78,IFERROR(('Final Calculation Sheet'!$R$31)&amp;"","")))))&gt;0),IF(COUNTIF($BI$78:$BP$78,5)=0,TRUE,SUMPRODUCT(($BI$78:$BP$78=5)*($AS$78:$AZ$78&lt;&gt;"")*IF(((UPPER($AS$78:$AZ$78)="BLANK")+(UPPER($AS$78:$AZ$78)="(BLANK)")+(UPPER($AS$78:$AZ$78)="EMPTY")+(UPPER($AS$78:$AZ$78)="(EMPTY)"))&gt;0,IFERROR(('Final Calculation Sheet'!$R$31)&amp;"","")="",ISNUMBER(SEARCH($AS$78:$AZ$78,IFERROR(('Final Calculation Sheet'!$R$31)&amp;"","")))))&gt;0),IF(COUNTIF($BI$78:$BP$78,6)=0,TRUE,SUMPRODUCT(($BI$78:$BP$78=6)*($AS$78:$AZ$78&lt;&gt;"")*IF(((UPPER($AS$78:$AZ$78)="BLANK")+(UPPER($AS$78:$AZ$78)="(BLANK)")+(UPPER($AS$78:$AZ$78)="EMPTY")+(UPPER($AS$78:$AZ$78)="(EMPTY)"))&gt;0,IFERROR(('Final Calculation Sheet'!$R$31)&amp;"","")="",ISNUMBER(SEARCH($AS$78:$AZ$78,IFERROR(('Final Calculation Sheet'!$R$31)&amp;"","")))))&gt;0),IF(COUNTIF($BI$78:$BP$78,7)=0,TRUE,SUMPRODUCT(($BI$78:$BP$78=7)*($AS$78:$AZ$78&lt;&gt;"")*IF(((UPPER($AS$78:$AZ$78)="BLANK")+(UPPER($AS$78:$AZ$78)="(BLANK)")+(UPPER($AS$78:$AZ$78)="EMPTY")+(UPPER($AS$78:$AZ$78)="(EMPTY)"))&gt;0,IFERROR(('Final Calculation Sheet'!$R$31)&amp;"","")="",ISNUMBER(SEARCH($AS$78:$AZ$78,IFERROR(('Final Calculation Sheet'!$R$31)&amp;"","")))))&gt;0),IF(COUNTIF($BI$78:$BP$78,8)=0,TRUE,SUMPRODUCT(($BI$78:$BP$78=8)*($AS$78:$AZ$78&lt;&gt;"")*IF(((UPPER($AS$78:$AZ$78)="BLANK")+(UPPER($AS$78:$AZ$78)="(BLANK)")+(UPPER($AS$78:$AZ$78)="EMPTY")+(UPPER($AS$78:$AZ$78)="(EMPTY)"))&gt;0,IFERROR(('Final Calculation Sheet'!$R$31)&amp;"","")="",ISNUMBER(SEARCH($AS$78:$AZ$78,IFERROR(('Final Calculation Sheet'!$R$31)&amp;"","")))))&gt;0))))</f>
        <v>1</v>
      </c>
      <c r="CF32">
        <f>IF($T$4="",1,--(AND(SUMPRODUCT(--($AS$79:$AZ$79&lt;&gt;""))&gt;0,IF(COUNTIF($BI$79:$BP$79,1)=0,TRUE,SUMPRODUCT(($BI$79:$BP$79=1)*($AS$79:$AZ$79&lt;&gt;"")*IF(((UPPER($AS$79:$AZ$79)="BLANK")+(UPPER($AS$79:$AZ$79)="(BLANK)")+(UPPER($AS$79:$AZ$79)="EMPTY")+(UPPER($AS$79:$AZ$79)="(EMPTY)"))&gt;0,IFERROR(('Final Calculation Sheet'!$S$31)&amp;"","")="",ISNUMBER(SEARCH($AS$79:$AZ$79,IFERROR(('Final Calculation Sheet'!$S$31)&amp;"","")))))&gt;0),IF(COUNTIF($BI$79:$BP$79,2)=0,TRUE,SUMPRODUCT(($BI$79:$BP$79=2)*($AS$79:$AZ$79&lt;&gt;"")*IF(((UPPER($AS$79:$AZ$79)="BLANK")+(UPPER($AS$79:$AZ$79)="(BLANK)")+(UPPER($AS$79:$AZ$79)="EMPTY")+(UPPER($AS$79:$AZ$79)="(EMPTY)"))&gt;0,IFERROR(('Final Calculation Sheet'!$S$31)&amp;"","")="",ISNUMBER(SEARCH($AS$79:$AZ$79,IFERROR(('Final Calculation Sheet'!$S$31)&amp;"","")))))&gt;0),IF(COUNTIF($BI$79:$BP$79,3)=0,TRUE,SUMPRODUCT(($BI$79:$BP$79=3)*($AS$79:$AZ$79&lt;&gt;"")*IF(((UPPER($AS$79:$AZ$79)="BLANK")+(UPPER($AS$79:$AZ$79)="(BLANK)")+(UPPER($AS$79:$AZ$79)="EMPTY")+(UPPER($AS$79:$AZ$79)="(EMPTY)"))&gt;0,IFERROR(('Final Calculation Sheet'!$S$31)&amp;"","")="",ISNUMBER(SEARCH($AS$79:$AZ$79,IFERROR(('Final Calculation Sheet'!$S$31)&amp;"","")))))&gt;0),IF(COUNTIF($BI$79:$BP$79,4)=0,TRUE,SUMPRODUCT(($BI$79:$BP$79=4)*($AS$79:$AZ$79&lt;&gt;"")*IF(((UPPER($AS$79:$AZ$79)="BLANK")+(UPPER($AS$79:$AZ$79)="(BLANK)")+(UPPER($AS$79:$AZ$79)="EMPTY")+(UPPER($AS$79:$AZ$79)="(EMPTY)"))&gt;0,IFERROR(('Final Calculation Sheet'!$S$31)&amp;"","")="",ISNUMBER(SEARCH($AS$79:$AZ$79,IFERROR(('Final Calculation Sheet'!$S$31)&amp;"","")))))&gt;0),IF(COUNTIF($BI$79:$BP$79,5)=0,TRUE,SUMPRODUCT(($BI$79:$BP$79=5)*($AS$79:$AZ$79&lt;&gt;"")*IF(((UPPER($AS$79:$AZ$79)="BLANK")+(UPPER($AS$79:$AZ$79)="(BLANK)")+(UPPER($AS$79:$AZ$79)="EMPTY")+(UPPER($AS$79:$AZ$79)="(EMPTY)"))&gt;0,IFERROR(('Final Calculation Sheet'!$S$31)&amp;"","")="",ISNUMBER(SEARCH($AS$79:$AZ$79,IFERROR(('Final Calculation Sheet'!$S$31)&amp;"","")))))&gt;0),IF(COUNTIF($BI$79:$BP$79,6)=0,TRUE,SUMPRODUCT(($BI$79:$BP$79=6)*($AS$79:$AZ$79&lt;&gt;"")*IF(((UPPER($AS$79:$AZ$79)="BLANK")+(UPPER($AS$79:$AZ$79)="(BLANK)")+(UPPER($AS$79:$AZ$79)="EMPTY")+(UPPER($AS$79:$AZ$79)="(EMPTY)"))&gt;0,IFERROR(('Final Calculation Sheet'!$S$31)&amp;"","")="",ISNUMBER(SEARCH($AS$79:$AZ$79,IFERROR(('Final Calculation Sheet'!$S$31)&amp;"","")))))&gt;0),IF(COUNTIF($BI$79:$BP$79,7)=0,TRUE,SUMPRODUCT(($BI$79:$BP$79=7)*($AS$79:$AZ$79&lt;&gt;"")*IF(((UPPER($AS$79:$AZ$79)="BLANK")+(UPPER($AS$79:$AZ$79)="(BLANK)")+(UPPER($AS$79:$AZ$79)="EMPTY")+(UPPER($AS$79:$AZ$79)="(EMPTY)"))&gt;0,IFERROR(('Final Calculation Sheet'!$S$31)&amp;"","")="",ISNUMBER(SEARCH($AS$79:$AZ$79,IFERROR(('Final Calculation Sheet'!$S$31)&amp;"","")))))&gt;0),IF(COUNTIF($BI$79:$BP$79,8)=0,TRUE,SUMPRODUCT(($BI$79:$BP$79=8)*($AS$79:$AZ$79&lt;&gt;"")*IF(((UPPER($AS$79:$AZ$79)="BLANK")+(UPPER($AS$79:$AZ$79)="(BLANK)")+(UPPER($AS$79:$AZ$79)="EMPTY")+(UPPER($AS$79:$AZ$79)="(EMPTY)"))&gt;0,IFERROR(('Final Calculation Sheet'!$S$31)&amp;"","")="",ISNUMBER(SEARCH($AS$79:$AZ$79,IFERROR(('Final Calculation Sheet'!$S$31)&amp;"","")))))&gt;0))))</f>
        <v>1</v>
      </c>
      <c r="CG32">
        <f>IF($U$4="",1,--(AND(SUMPRODUCT(--($AS$80:$AZ$80&lt;&gt;""))&gt;0,IF(COUNTIF($BI$80:$BP$80,1)=0,TRUE,SUMPRODUCT(($BI$80:$BP$80=1)*($AS$80:$AZ$80&lt;&gt;"")*IF(((UPPER($AS$80:$AZ$80)="BLANK")+(UPPER($AS$80:$AZ$80)="(BLANK)")+(UPPER($AS$80:$AZ$80)="EMPTY")+(UPPER($AS$80:$AZ$80)="(EMPTY)"))&gt;0,IFERROR(('Final Calculation Sheet'!$T$31)&amp;"","")="",ISNUMBER(SEARCH($AS$80:$AZ$80,IFERROR(('Final Calculation Sheet'!$T$31)&amp;"","")))))&gt;0),IF(COUNTIF($BI$80:$BP$80,2)=0,TRUE,SUMPRODUCT(($BI$80:$BP$80=2)*($AS$80:$AZ$80&lt;&gt;"")*IF(((UPPER($AS$80:$AZ$80)="BLANK")+(UPPER($AS$80:$AZ$80)="(BLANK)")+(UPPER($AS$80:$AZ$80)="EMPTY")+(UPPER($AS$80:$AZ$80)="(EMPTY)"))&gt;0,IFERROR(('Final Calculation Sheet'!$T$31)&amp;"","")="",ISNUMBER(SEARCH($AS$80:$AZ$80,IFERROR(('Final Calculation Sheet'!$T$31)&amp;"","")))))&gt;0),IF(COUNTIF($BI$80:$BP$80,3)=0,TRUE,SUMPRODUCT(($BI$80:$BP$80=3)*($AS$80:$AZ$80&lt;&gt;"")*IF(((UPPER($AS$80:$AZ$80)="BLANK")+(UPPER($AS$80:$AZ$80)="(BLANK)")+(UPPER($AS$80:$AZ$80)="EMPTY")+(UPPER($AS$80:$AZ$80)="(EMPTY)"))&gt;0,IFERROR(('Final Calculation Sheet'!$T$31)&amp;"","")="",ISNUMBER(SEARCH($AS$80:$AZ$80,IFERROR(('Final Calculation Sheet'!$T$31)&amp;"","")))))&gt;0),IF(COUNTIF($BI$80:$BP$80,4)=0,TRUE,SUMPRODUCT(($BI$80:$BP$80=4)*($AS$80:$AZ$80&lt;&gt;"")*IF(((UPPER($AS$80:$AZ$80)="BLANK")+(UPPER($AS$80:$AZ$80)="(BLANK)")+(UPPER($AS$80:$AZ$80)="EMPTY")+(UPPER($AS$80:$AZ$80)="(EMPTY)"))&gt;0,IFERROR(('Final Calculation Sheet'!$T$31)&amp;"","")="",ISNUMBER(SEARCH($AS$80:$AZ$80,IFERROR(('Final Calculation Sheet'!$T$31)&amp;"","")))))&gt;0),IF(COUNTIF($BI$80:$BP$80,5)=0,TRUE,SUMPRODUCT(($BI$80:$BP$80=5)*($AS$80:$AZ$80&lt;&gt;"")*IF(((UPPER($AS$80:$AZ$80)="BLANK")+(UPPER($AS$80:$AZ$80)="(BLANK)")+(UPPER($AS$80:$AZ$80)="EMPTY")+(UPPER($AS$80:$AZ$80)="(EMPTY)"))&gt;0,IFERROR(('Final Calculation Sheet'!$T$31)&amp;"","")="",ISNUMBER(SEARCH($AS$80:$AZ$80,IFERROR(('Final Calculation Sheet'!$T$31)&amp;"","")))))&gt;0),IF(COUNTIF($BI$80:$BP$80,6)=0,TRUE,SUMPRODUCT(($BI$80:$BP$80=6)*($AS$80:$AZ$80&lt;&gt;"")*IF(((UPPER($AS$80:$AZ$80)="BLANK")+(UPPER($AS$80:$AZ$80)="(BLANK)")+(UPPER($AS$80:$AZ$80)="EMPTY")+(UPPER($AS$80:$AZ$80)="(EMPTY)"))&gt;0,IFERROR(('Final Calculation Sheet'!$T$31)&amp;"","")="",ISNUMBER(SEARCH($AS$80:$AZ$80,IFERROR(('Final Calculation Sheet'!$T$31)&amp;"","")))))&gt;0),IF(COUNTIF($BI$80:$BP$80,7)=0,TRUE,SUMPRODUCT(($BI$80:$BP$80=7)*($AS$80:$AZ$80&lt;&gt;"")*IF(((UPPER($AS$80:$AZ$80)="BLANK")+(UPPER($AS$80:$AZ$80)="(BLANK)")+(UPPER($AS$80:$AZ$80)="EMPTY")+(UPPER($AS$80:$AZ$80)="(EMPTY)"))&gt;0,IFERROR(('Final Calculation Sheet'!$T$31)&amp;"","")="",ISNUMBER(SEARCH($AS$80:$AZ$80,IFERROR(('Final Calculation Sheet'!$T$31)&amp;"","")))))&gt;0),IF(COUNTIF($BI$80:$BP$80,8)=0,TRUE,SUMPRODUCT(($BI$80:$BP$80=8)*($AS$80:$AZ$80&lt;&gt;"")*IF(((UPPER($AS$80:$AZ$80)="BLANK")+(UPPER($AS$80:$AZ$80)="(BLANK)")+(UPPER($AS$80:$AZ$80)="EMPTY")+(UPPER($AS$80:$AZ$80)="(EMPTY)"))&gt;0,IFERROR(('Final Calculation Sheet'!$T$31)&amp;"","")="",ISNUMBER(SEARCH($AS$80:$AZ$80,IFERROR(('Final Calculation Sheet'!$T$31)&amp;"","")))))&gt;0))))</f>
        <v>1</v>
      </c>
      <c r="CH32">
        <f>IF($V$4="",1,--(AND(SUMPRODUCT(--($AS$81:$AZ$81&lt;&gt;""))&gt;0,IF(COUNTIF($BI$81:$BP$81,1)=0,TRUE,SUMPRODUCT(($BI$81:$BP$81=1)*($AS$81:$AZ$81&lt;&gt;"")*IF(((UPPER($AS$81:$AZ$81)="BLANK")+(UPPER($AS$81:$AZ$81)="(BLANK)")+(UPPER($AS$81:$AZ$81)="EMPTY")+(UPPER($AS$81:$AZ$81)="(EMPTY)"))&gt;0,IFERROR(('Final Calculation Sheet'!$U$31)&amp;"","")="",ISNUMBER(SEARCH($AS$81:$AZ$81,IFERROR(('Final Calculation Sheet'!$U$31)&amp;"","")))))&gt;0),IF(COUNTIF($BI$81:$BP$81,2)=0,TRUE,SUMPRODUCT(($BI$81:$BP$81=2)*($AS$81:$AZ$81&lt;&gt;"")*IF(((UPPER($AS$81:$AZ$81)="BLANK")+(UPPER($AS$81:$AZ$81)="(BLANK)")+(UPPER($AS$81:$AZ$81)="EMPTY")+(UPPER($AS$81:$AZ$81)="(EMPTY)"))&gt;0,IFERROR(('Final Calculation Sheet'!$U$31)&amp;"","")="",ISNUMBER(SEARCH($AS$81:$AZ$81,IFERROR(('Final Calculation Sheet'!$U$31)&amp;"","")))))&gt;0),IF(COUNTIF($BI$81:$BP$81,3)=0,TRUE,SUMPRODUCT(($BI$81:$BP$81=3)*($AS$81:$AZ$81&lt;&gt;"")*IF(((UPPER($AS$81:$AZ$81)="BLANK")+(UPPER($AS$81:$AZ$81)="(BLANK)")+(UPPER($AS$81:$AZ$81)="EMPTY")+(UPPER($AS$81:$AZ$81)="(EMPTY)"))&gt;0,IFERROR(('Final Calculation Sheet'!$U$31)&amp;"","")="",ISNUMBER(SEARCH($AS$81:$AZ$81,IFERROR(('Final Calculation Sheet'!$U$31)&amp;"","")))))&gt;0),IF(COUNTIF($BI$81:$BP$81,4)=0,TRUE,SUMPRODUCT(($BI$81:$BP$81=4)*($AS$81:$AZ$81&lt;&gt;"")*IF(((UPPER($AS$81:$AZ$81)="BLANK")+(UPPER($AS$81:$AZ$81)="(BLANK)")+(UPPER($AS$81:$AZ$81)="EMPTY")+(UPPER($AS$81:$AZ$81)="(EMPTY)"))&gt;0,IFERROR(('Final Calculation Sheet'!$U$31)&amp;"","")="",ISNUMBER(SEARCH($AS$81:$AZ$81,IFERROR(('Final Calculation Sheet'!$U$31)&amp;"","")))))&gt;0),IF(COUNTIF($BI$81:$BP$81,5)=0,TRUE,SUMPRODUCT(($BI$81:$BP$81=5)*($AS$81:$AZ$81&lt;&gt;"")*IF(((UPPER($AS$81:$AZ$81)="BLANK")+(UPPER($AS$81:$AZ$81)="(BLANK)")+(UPPER($AS$81:$AZ$81)="EMPTY")+(UPPER($AS$81:$AZ$81)="(EMPTY)"))&gt;0,IFERROR(('Final Calculation Sheet'!$U$31)&amp;"","")="",ISNUMBER(SEARCH($AS$81:$AZ$81,IFERROR(('Final Calculation Sheet'!$U$31)&amp;"","")))))&gt;0),IF(COUNTIF($BI$81:$BP$81,6)=0,TRUE,SUMPRODUCT(($BI$81:$BP$81=6)*($AS$81:$AZ$81&lt;&gt;"")*IF(((UPPER($AS$81:$AZ$81)="BLANK")+(UPPER($AS$81:$AZ$81)="(BLANK)")+(UPPER($AS$81:$AZ$81)="EMPTY")+(UPPER($AS$81:$AZ$81)="(EMPTY)"))&gt;0,IFERROR(('Final Calculation Sheet'!$U$31)&amp;"","")="",ISNUMBER(SEARCH($AS$81:$AZ$81,IFERROR(('Final Calculation Sheet'!$U$31)&amp;"","")))))&gt;0),IF(COUNTIF($BI$81:$BP$81,7)=0,TRUE,SUMPRODUCT(($BI$81:$BP$81=7)*($AS$81:$AZ$81&lt;&gt;"")*IF(((UPPER($AS$81:$AZ$81)="BLANK")+(UPPER($AS$81:$AZ$81)="(BLANK)")+(UPPER($AS$81:$AZ$81)="EMPTY")+(UPPER($AS$81:$AZ$81)="(EMPTY)"))&gt;0,IFERROR(('Final Calculation Sheet'!$U$31)&amp;"","")="",ISNUMBER(SEARCH($AS$81:$AZ$81,IFERROR(('Final Calculation Sheet'!$U$31)&amp;"","")))))&gt;0),IF(COUNTIF($BI$81:$BP$81,8)=0,TRUE,SUMPRODUCT(($BI$81:$BP$81=8)*($AS$81:$AZ$81&lt;&gt;"")*IF(((UPPER($AS$81:$AZ$81)="BLANK")+(UPPER($AS$81:$AZ$81)="(BLANK)")+(UPPER($AS$81:$AZ$81)="EMPTY")+(UPPER($AS$81:$AZ$81)="(EMPTY)"))&gt;0,IFERROR(('Final Calculation Sheet'!$U$31)&amp;"","")="",ISNUMBER(SEARCH($AS$81:$AZ$81,IFERROR(('Final Calculation Sheet'!$U$31)&amp;"","")))))&gt;0))))</f>
        <v>1</v>
      </c>
      <c r="CI32">
        <f>IF($W$4="",1,--(AND(SUMPRODUCT(--($AS$82:$AZ$82&lt;&gt;""))&gt;0,IF(COUNTIF($BI$82:$BP$82,1)=0,TRUE,SUMPRODUCT(($BI$82:$BP$82=1)*($AS$82:$AZ$82&lt;&gt;"")*IF(((UPPER($AS$82:$AZ$82)="BLANK")+(UPPER($AS$82:$AZ$82)="(BLANK)")+(UPPER($AS$82:$AZ$82)="EMPTY")+(UPPER($AS$82:$AZ$82)="(EMPTY)"))&gt;0,IFERROR(('Final Calculation Sheet'!$V$31)&amp;"","")="",ISNUMBER(SEARCH($AS$82:$AZ$82,IFERROR(('Final Calculation Sheet'!$V$31)&amp;"","")))))&gt;0),IF(COUNTIF($BI$82:$BP$82,2)=0,TRUE,SUMPRODUCT(($BI$82:$BP$82=2)*($AS$82:$AZ$82&lt;&gt;"")*IF(((UPPER($AS$82:$AZ$82)="BLANK")+(UPPER($AS$82:$AZ$82)="(BLANK)")+(UPPER($AS$82:$AZ$82)="EMPTY")+(UPPER($AS$82:$AZ$82)="(EMPTY)"))&gt;0,IFERROR(('Final Calculation Sheet'!$V$31)&amp;"","")="",ISNUMBER(SEARCH($AS$82:$AZ$82,IFERROR(('Final Calculation Sheet'!$V$31)&amp;"","")))))&gt;0),IF(COUNTIF($BI$82:$BP$82,3)=0,TRUE,SUMPRODUCT(($BI$82:$BP$82=3)*($AS$82:$AZ$82&lt;&gt;"")*IF(((UPPER($AS$82:$AZ$82)="BLANK")+(UPPER($AS$82:$AZ$82)="(BLANK)")+(UPPER($AS$82:$AZ$82)="EMPTY")+(UPPER($AS$82:$AZ$82)="(EMPTY)"))&gt;0,IFERROR(('Final Calculation Sheet'!$V$31)&amp;"","")="",ISNUMBER(SEARCH($AS$82:$AZ$82,IFERROR(('Final Calculation Sheet'!$V$31)&amp;"","")))))&gt;0),IF(COUNTIF($BI$82:$BP$82,4)=0,TRUE,SUMPRODUCT(($BI$82:$BP$82=4)*($AS$82:$AZ$82&lt;&gt;"")*IF(((UPPER($AS$82:$AZ$82)="BLANK")+(UPPER($AS$82:$AZ$82)="(BLANK)")+(UPPER($AS$82:$AZ$82)="EMPTY")+(UPPER($AS$82:$AZ$82)="(EMPTY)"))&gt;0,IFERROR(('Final Calculation Sheet'!$V$31)&amp;"","")="",ISNUMBER(SEARCH($AS$82:$AZ$82,IFERROR(('Final Calculation Sheet'!$V$31)&amp;"","")))))&gt;0),IF(COUNTIF($BI$82:$BP$82,5)=0,TRUE,SUMPRODUCT(($BI$82:$BP$82=5)*($AS$82:$AZ$82&lt;&gt;"")*IF(((UPPER($AS$82:$AZ$82)="BLANK")+(UPPER($AS$82:$AZ$82)="(BLANK)")+(UPPER($AS$82:$AZ$82)="EMPTY")+(UPPER($AS$82:$AZ$82)="(EMPTY)"))&gt;0,IFERROR(('Final Calculation Sheet'!$V$31)&amp;"","")="",ISNUMBER(SEARCH($AS$82:$AZ$82,IFERROR(('Final Calculation Sheet'!$V$31)&amp;"","")))))&gt;0),IF(COUNTIF($BI$82:$BP$82,6)=0,TRUE,SUMPRODUCT(($BI$82:$BP$82=6)*($AS$82:$AZ$82&lt;&gt;"")*IF(((UPPER($AS$82:$AZ$82)="BLANK")+(UPPER($AS$82:$AZ$82)="(BLANK)")+(UPPER($AS$82:$AZ$82)="EMPTY")+(UPPER($AS$82:$AZ$82)="(EMPTY)"))&gt;0,IFERROR(('Final Calculation Sheet'!$V$31)&amp;"","")="",ISNUMBER(SEARCH($AS$82:$AZ$82,IFERROR(('Final Calculation Sheet'!$V$31)&amp;"","")))))&gt;0),IF(COUNTIF($BI$82:$BP$82,7)=0,TRUE,SUMPRODUCT(($BI$82:$BP$82=7)*($AS$82:$AZ$82&lt;&gt;"")*IF(((UPPER($AS$82:$AZ$82)="BLANK")+(UPPER($AS$82:$AZ$82)="(BLANK)")+(UPPER($AS$82:$AZ$82)="EMPTY")+(UPPER($AS$82:$AZ$82)="(EMPTY)"))&gt;0,IFERROR(('Final Calculation Sheet'!$V$31)&amp;"","")="",ISNUMBER(SEARCH($AS$82:$AZ$82,IFERROR(('Final Calculation Sheet'!$V$31)&amp;"","")))))&gt;0),IF(COUNTIF($BI$82:$BP$82,8)=0,TRUE,SUMPRODUCT(($BI$82:$BP$82=8)*($AS$82:$AZ$82&lt;&gt;"")*IF(((UPPER($AS$82:$AZ$82)="BLANK")+(UPPER($AS$82:$AZ$82)="(BLANK)")+(UPPER($AS$82:$AZ$82)="EMPTY")+(UPPER($AS$82:$AZ$82)="(EMPTY)"))&gt;0,IFERROR(('Final Calculation Sheet'!$V$31)&amp;"","")="",ISNUMBER(SEARCH($AS$82:$AZ$82,IFERROR(('Final Calculation Sheet'!$V$31)&amp;"","")))))&gt;0))))</f>
        <v>1</v>
      </c>
      <c r="CJ32">
        <f>IF($X$4="",1,--(AND(SUMPRODUCT(--($AS$83:$AZ$83&lt;&gt;""))&gt;0,IF(COUNTIF($BI$83:$BP$83,1)=0,TRUE,SUMPRODUCT(($BI$83:$BP$83=1)*($AS$83:$AZ$83&lt;&gt;"")*IF(((UPPER($AS$83:$AZ$83)="BLANK")+(UPPER($AS$83:$AZ$83)="(BLANK)")+(UPPER($AS$83:$AZ$83)="EMPTY")+(UPPER($AS$83:$AZ$83)="(EMPTY)"))&gt;0,IFERROR(('Final Calculation Sheet'!$W$31)&amp;"","")="",ISNUMBER(SEARCH($AS$83:$AZ$83,IFERROR(('Final Calculation Sheet'!$W$31)&amp;"","")))))&gt;0),IF(COUNTIF($BI$83:$BP$83,2)=0,TRUE,SUMPRODUCT(($BI$83:$BP$83=2)*($AS$83:$AZ$83&lt;&gt;"")*IF(((UPPER($AS$83:$AZ$83)="BLANK")+(UPPER($AS$83:$AZ$83)="(BLANK)")+(UPPER($AS$83:$AZ$83)="EMPTY")+(UPPER($AS$83:$AZ$83)="(EMPTY)"))&gt;0,IFERROR(('Final Calculation Sheet'!$W$31)&amp;"","")="",ISNUMBER(SEARCH($AS$83:$AZ$83,IFERROR(('Final Calculation Sheet'!$W$31)&amp;"","")))))&gt;0),IF(COUNTIF($BI$83:$BP$83,3)=0,TRUE,SUMPRODUCT(($BI$83:$BP$83=3)*($AS$83:$AZ$83&lt;&gt;"")*IF(((UPPER($AS$83:$AZ$83)="BLANK")+(UPPER($AS$83:$AZ$83)="(BLANK)")+(UPPER($AS$83:$AZ$83)="EMPTY")+(UPPER($AS$83:$AZ$83)="(EMPTY)"))&gt;0,IFERROR(('Final Calculation Sheet'!$W$31)&amp;"","")="",ISNUMBER(SEARCH($AS$83:$AZ$83,IFERROR(('Final Calculation Sheet'!$W$31)&amp;"","")))))&gt;0),IF(COUNTIF($BI$83:$BP$83,4)=0,TRUE,SUMPRODUCT(($BI$83:$BP$83=4)*($AS$83:$AZ$83&lt;&gt;"")*IF(((UPPER($AS$83:$AZ$83)="BLANK")+(UPPER($AS$83:$AZ$83)="(BLANK)")+(UPPER($AS$83:$AZ$83)="EMPTY")+(UPPER($AS$83:$AZ$83)="(EMPTY)"))&gt;0,IFERROR(('Final Calculation Sheet'!$W$31)&amp;"","")="",ISNUMBER(SEARCH($AS$83:$AZ$83,IFERROR(('Final Calculation Sheet'!$W$31)&amp;"","")))))&gt;0),IF(COUNTIF($BI$83:$BP$83,5)=0,TRUE,SUMPRODUCT(($BI$83:$BP$83=5)*($AS$83:$AZ$83&lt;&gt;"")*IF(((UPPER($AS$83:$AZ$83)="BLANK")+(UPPER($AS$83:$AZ$83)="(BLANK)")+(UPPER($AS$83:$AZ$83)="EMPTY")+(UPPER($AS$83:$AZ$83)="(EMPTY)"))&gt;0,IFERROR(('Final Calculation Sheet'!$W$31)&amp;"","")="",ISNUMBER(SEARCH($AS$83:$AZ$83,IFERROR(('Final Calculation Sheet'!$W$31)&amp;"","")))))&gt;0),IF(COUNTIF($BI$83:$BP$83,6)=0,TRUE,SUMPRODUCT(($BI$83:$BP$83=6)*($AS$83:$AZ$83&lt;&gt;"")*IF(((UPPER($AS$83:$AZ$83)="BLANK")+(UPPER($AS$83:$AZ$83)="(BLANK)")+(UPPER($AS$83:$AZ$83)="EMPTY")+(UPPER($AS$83:$AZ$83)="(EMPTY)"))&gt;0,IFERROR(('Final Calculation Sheet'!$W$31)&amp;"","")="",ISNUMBER(SEARCH($AS$83:$AZ$83,IFERROR(('Final Calculation Sheet'!$W$31)&amp;"","")))))&gt;0),IF(COUNTIF($BI$83:$BP$83,7)=0,TRUE,SUMPRODUCT(($BI$83:$BP$83=7)*($AS$83:$AZ$83&lt;&gt;"")*IF(((UPPER($AS$83:$AZ$83)="BLANK")+(UPPER($AS$83:$AZ$83)="(BLANK)")+(UPPER($AS$83:$AZ$83)="EMPTY")+(UPPER($AS$83:$AZ$83)="(EMPTY)"))&gt;0,IFERROR(('Final Calculation Sheet'!$W$31)&amp;"","")="",ISNUMBER(SEARCH($AS$83:$AZ$83,IFERROR(('Final Calculation Sheet'!$W$31)&amp;"","")))))&gt;0),IF(COUNTIF($BI$83:$BP$83,8)=0,TRUE,SUMPRODUCT(($BI$83:$BP$83=8)*($AS$83:$AZ$83&lt;&gt;"")*IF(((UPPER($AS$83:$AZ$83)="BLANK")+(UPPER($AS$83:$AZ$83)="(BLANK)")+(UPPER($AS$83:$AZ$83)="EMPTY")+(UPPER($AS$83:$AZ$83)="(EMPTY)"))&gt;0,IFERROR(('Final Calculation Sheet'!$W$31)&amp;"","")="",ISNUMBER(SEARCH($AS$83:$AZ$83,IFERROR(('Final Calculation Sheet'!$W$31)&amp;"","")))))&gt;0))))</f>
        <v>1</v>
      </c>
      <c r="CK32">
        <f>IF($Y$4="",1,--(AND(SUMPRODUCT(--($AS$84:$AZ$84&lt;&gt;""))&gt;0,IF(COUNTIF($BI$84:$BP$84,1)=0,TRUE,SUMPRODUCT(($BI$84:$BP$84=1)*($AS$84:$AZ$84&lt;&gt;"")*IF(((UPPER($AS$84:$AZ$84)="BLANK")+(UPPER($AS$84:$AZ$84)="(BLANK)")+(UPPER($AS$84:$AZ$84)="EMPTY")+(UPPER($AS$84:$AZ$84)="(EMPTY)"))&gt;0,IFERROR(('Final Calculation Sheet'!$X$31)&amp;"","")="",ISNUMBER(SEARCH($AS$84:$AZ$84,IFERROR(('Final Calculation Sheet'!$X$31)&amp;"","")))))&gt;0),IF(COUNTIF($BI$84:$BP$84,2)=0,TRUE,SUMPRODUCT(($BI$84:$BP$84=2)*($AS$84:$AZ$84&lt;&gt;"")*IF(((UPPER($AS$84:$AZ$84)="BLANK")+(UPPER($AS$84:$AZ$84)="(BLANK)")+(UPPER($AS$84:$AZ$84)="EMPTY")+(UPPER($AS$84:$AZ$84)="(EMPTY)"))&gt;0,IFERROR(('Final Calculation Sheet'!$X$31)&amp;"","")="",ISNUMBER(SEARCH($AS$84:$AZ$84,IFERROR(('Final Calculation Sheet'!$X$31)&amp;"","")))))&gt;0),IF(COUNTIF($BI$84:$BP$84,3)=0,TRUE,SUMPRODUCT(($BI$84:$BP$84=3)*($AS$84:$AZ$84&lt;&gt;"")*IF(((UPPER($AS$84:$AZ$84)="BLANK")+(UPPER($AS$84:$AZ$84)="(BLANK)")+(UPPER($AS$84:$AZ$84)="EMPTY")+(UPPER($AS$84:$AZ$84)="(EMPTY)"))&gt;0,IFERROR(('Final Calculation Sheet'!$X$31)&amp;"","")="",ISNUMBER(SEARCH($AS$84:$AZ$84,IFERROR(('Final Calculation Sheet'!$X$31)&amp;"","")))))&gt;0),IF(COUNTIF($BI$84:$BP$84,4)=0,TRUE,SUMPRODUCT(($BI$84:$BP$84=4)*($AS$84:$AZ$84&lt;&gt;"")*IF(((UPPER($AS$84:$AZ$84)="BLANK")+(UPPER($AS$84:$AZ$84)="(BLANK)")+(UPPER($AS$84:$AZ$84)="EMPTY")+(UPPER($AS$84:$AZ$84)="(EMPTY)"))&gt;0,IFERROR(('Final Calculation Sheet'!$X$31)&amp;"","")="",ISNUMBER(SEARCH($AS$84:$AZ$84,IFERROR(('Final Calculation Sheet'!$X$31)&amp;"","")))))&gt;0),IF(COUNTIF($BI$84:$BP$84,5)=0,TRUE,SUMPRODUCT(($BI$84:$BP$84=5)*($AS$84:$AZ$84&lt;&gt;"")*IF(((UPPER($AS$84:$AZ$84)="BLANK")+(UPPER($AS$84:$AZ$84)="(BLANK)")+(UPPER($AS$84:$AZ$84)="EMPTY")+(UPPER($AS$84:$AZ$84)="(EMPTY)"))&gt;0,IFERROR(('Final Calculation Sheet'!$X$31)&amp;"","")="",ISNUMBER(SEARCH($AS$84:$AZ$84,IFERROR(('Final Calculation Sheet'!$X$31)&amp;"","")))))&gt;0),IF(COUNTIF($BI$84:$BP$84,6)=0,TRUE,SUMPRODUCT(($BI$84:$BP$84=6)*($AS$84:$AZ$84&lt;&gt;"")*IF(((UPPER($AS$84:$AZ$84)="BLANK")+(UPPER($AS$84:$AZ$84)="(BLANK)")+(UPPER($AS$84:$AZ$84)="EMPTY")+(UPPER($AS$84:$AZ$84)="(EMPTY)"))&gt;0,IFERROR(('Final Calculation Sheet'!$X$31)&amp;"","")="",ISNUMBER(SEARCH($AS$84:$AZ$84,IFERROR(('Final Calculation Sheet'!$X$31)&amp;"","")))))&gt;0),IF(COUNTIF($BI$84:$BP$84,7)=0,TRUE,SUMPRODUCT(($BI$84:$BP$84=7)*($AS$84:$AZ$84&lt;&gt;"")*IF(((UPPER($AS$84:$AZ$84)="BLANK")+(UPPER($AS$84:$AZ$84)="(BLANK)")+(UPPER($AS$84:$AZ$84)="EMPTY")+(UPPER($AS$84:$AZ$84)="(EMPTY)"))&gt;0,IFERROR(('Final Calculation Sheet'!$X$31)&amp;"","")="",ISNUMBER(SEARCH($AS$84:$AZ$84,IFERROR(('Final Calculation Sheet'!$X$31)&amp;"","")))))&gt;0),IF(COUNTIF($BI$84:$BP$84,8)=0,TRUE,SUMPRODUCT(($BI$84:$BP$84=8)*($AS$84:$AZ$84&lt;&gt;"")*IF(((UPPER($AS$84:$AZ$84)="BLANK")+(UPPER($AS$84:$AZ$84)="(BLANK)")+(UPPER($AS$84:$AZ$84)="EMPTY")+(UPPER($AS$84:$AZ$84)="(EMPTY)"))&gt;0,IFERROR(('Final Calculation Sheet'!$X$31)&amp;"","")="",ISNUMBER(SEARCH($AS$84:$AZ$84,IFERROR(('Final Calculation Sheet'!$X$31)&amp;"","")))))&gt;0))))</f>
        <v>1</v>
      </c>
      <c r="CL32">
        <f>IF($Z$4="",1,--(AND(SUMPRODUCT(--($AS$85:$AZ$85&lt;&gt;""))&gt;0,IF(COUNTIF($BI$85:$BP$85,1)=0,TRUE,SUMPRODUCT(($BI$85:$BP$85=1)*($AS$85:$AZ$85&lt;&gt;"")*IF(((UPPER($AS$85:$AZ$85)="BLANK")+(UPPER($AS$85:$AZ$85)="(BLANK)")+(UPPER($AS$85:$AZ$85)="EMPTY")+(UPPER($AS$85:$AZ$85)="(EMPTY)"))&gt;0,IFERROR(('Final Calculation Sheet'!$Y$31)&amp;"","")="",ISNUMBER(SEARCH($AS$85:$AZ$85,IFERROR(('Final Calculation Sheet'!$Y$31)&amp;"","")))))&gt;0),IF(COUNTIF($BI$85:$BP$85,2)=0,TRUE,SUMPRODUCT(($BI$85:$BP$85=2)*($AS$85:$AZ$85&lt;&gt;"")*IF(((UPPER($AS$85:$AZ$85)="BLANK")+(UPPER($AS$85:$AZ$85)="(BLANK)")+(UPPER($AS$85:$AZ$85)="EMPTY")+(UPPER($AS$85:$AZ$85)="(EMPTY)"))&gt;0,IFERROR(('Final Calculation Sheet'!$Y$31)&amp;"","")="",ISNUMBER(SEARCH($AS$85:$AZ$85,IFERROR(('Final Calculation Sheet'!$Y$31)&amp;"","")))))&gt;0),IF(COUNTIF($BI$85:$BP$85,3)=0,TRUE,SUMPRODUCT(($BI$85:$BP$85=3)*($AS$85:$AZ$85&lt;&gt;"")*IF(((UPPER($AS$85:$AZ$85)="BLANK")+(UPPER($AS$85:$AZ$85)="(BLANK)")+(UPPER($AS$85:$AZ$85)="EMPTY")+(UPPER($AS$85:$AZ$85)="(EMPTY)"))&gt;0,IFERROR(('Final Calculation Sheet'!$Y$31)&amp;"","")="",ISNUMBER(SEARCH($AS$85:$AZ$85,IFERROR(('Final Calculation Sheet'!$Y$31)&amp;"","")))))&gt;0),IF(COUNTIF($BI$85:$BP$85,4)=0,TRUE,SUMPRODUCT(($BI$85:$BP$85=4)*($AS$85:$AZ$85&lt;&gt;"")*IF(((UPPER($AS$85:$AZ$85)="BLANK")+(UPPER($AS$85:$AZ$85)="(BLANK)")+(UPPER($AS$85:$AZ$85)="EMPTY")+(UPPER($AS$85:$AZ$85)="(EMPTY)"))&gt;0,IFERROR(('Final Calculation Sheet'!$Y$31)&amp;"","")="",ISNUMBER(SEARCH($AS$85:$AZ$85,IFERROR(('Final Calculation Sheet'!$Y$31)&amp;"","")))))&gt;0),IF(COUNTIF($BI$85:$BP$85,5)=0,TRUE,SUMPRODUCT(($BI$85:$BP$85=5)*($AS$85:$AZ$85&lt;&gt;"")*IF(((UPPER($AS$85:$AZ$85)="BLANK")+(UPPER($AS$85:$AZ$85)="(BLANK)")+(UPPER($AS$85:$AZ$85)="EMPTY")+(UPPER($AS$85:$AZ$85)="(EMPTY)"))&gt;0,IFERROR(('Final Calculation Sheet'!$Y$31)&amp;"","")="",ISNUMBER(SEARCH($AS$85:$AZ$85,IFERROR(('Final Calculation Sheet'!$Y$31)&amp;"","")))))&gt;0),IF(COUNTIF($BI$85:$BP$85,6)=0,TRUE,SUMPRODUCT(($BI$85:$BP$85=6)*($AS$85:$AZ$85&lt;&gt;"")*IF(((UPPER($AS$85:$AZ$85)="BLANK")+(UPPER($AS$85:$AZ$85)="(BLANK)")+(UPPER($AS$85:$AZ$85)="EMPTY")+(UPPER($AS$85:$AZ$85)="(EMPTY)"))&gt;0,IFERROR(('Final Calculation Sheet'!$Y$31)&amp;"","")="",ISNUMBER(SEARCH($AS$85:$AZ$85,IFERROR(('Final Calculation Sheet'!$Y$31)&amp;"","")))))&gt;0),IF(COUNTIF($BI$85:$BP$85,7)=0,TRUE,SUMPRODUCT(($BI$85:$BP$85=7)*($AS$85:$AZ$85&lt;&gt;"")*IF(((UPPER($AS$85:$AZ$85)="BLANK")+(UPPER($AS$85:$AZ$85)="(BLANK)")+(UPPER($AS$85:$AZ$85)="EMPTY")+(UPPER($AS$85:$AZ$85)="(EMPTY)"))&gt;0,IFERROR(('Final Calculation Sheet'!$Y$31)&amp;"","")="",ISNUMBER(SEARCH($AS$85:$AZ$85,IFERROR(('Final Calculation Sheet'!$Y$31)&amp;"","")))))&gt;0),IF(COUNTIF($BI$85:$BP$85,8)=0,TRUE,SUMPRODUCT(($BI$85:$BP$85=8)*($AS$85:$AZ$85&lt;&gt;"")*IF(((UPPER($AS$85:$AZ$85)="BLANK")+(UPPER($AS$85:$AZ$85)="(BLANK)")+(UPPER($AS$85:$AZ$85)="EMPTY")+(UPPER($AS$85:$AZ$85)="(EMPTY)"))&gt;0,IFERROR(('Final Calculation Sheet'!$Y$31)&amp;"","")="",ISNUMBER(SEARCH($AS$85:$AZ$85,IFERROR(('Final Calculation Sheet'!$Y$31)&amp;"","")))))&gt;0))))</f>
        <v>1</v>
      </c>
      <c r="CM32">
        <f>IF($AA$4="",1,--(AND(SUMPRODUCT(--($AS$86:$AZ$86&lt;&gt;""))&gt;0,IF(COUNTIF($BI$86:$BP$86,1)=0,TRUE,SUMPRODUCT(($BI$86:$BP$86=1)*($AS$86:$AZ$86&lt;&gt;"")*IF(((UPPER($AS$86:$AZ$86)="BLANK")+(UPPER($AS$86:$AZ$86)="(BLANK)")+(UPPER($AS$86:$AZ$86)="EMPTY")+(UPPER($AS$86:$AZ$86)="(EMPTY)"))&gt;0,IFERROR(('Final Calculation Sheet'!$Z$31)&amp;"","")="",ISNUMBER(SEARCH($AS$86:$AZ$86,IFERROR(('Final Calculation Sheet'!$Z$31)&amp;"","")))))&gt;0),IF(COUNTIF($BI$86:$BP$86,2)=0,TRUE,SUMPRODUCT(($BI$86:$BP$86=2)*($AS$86:$AZ$86&lt;&gt;"")*IF(((UPPER($AS$86:$AZ$86)="BLANK")+(UPPER($AS$86:$AZ$86)="(BLANK)")+(UPPER($AS$86:$AZ$86)="EMPTY")+(UPPER($AS$86:$AZ$86)="(EMPTY)"))&gt;0,IFERROR(('Final Calculation Sheet'!$Z$31)&amp;"","")="",ISNUMBER(SEARCH($AS$86:$AZ$86,IFERROR(('Final Calculation Sheet'!$Z$31)&amp;"","")))))&gt;0),IF(COUNTIF($BI$86:$BP$86,3)=0,TRUE,SUMPRODUCT(($BI$86:$BP$86=3)*($AS$86:$AZ$86&lt;&gt;"")*IF(((UPPER($AS$86:$AZ$86)="BLANK")+(UPPER($AS$86:$AZ$86)="(BLANK)")+(UPPER($AS$86:$AZ$86)="EMPTY")+(UPPER($AS$86:$AZ$86)="(EMPTY)"))&gt;0,IFERROR(('Final Calculation Sheet'!$Z$31)&amp;"","")="",ISNUMBER(SEARCH($AS$86:$AZ$86,IFERROR(('Final Calculation Sheet'!$Z$31)&amp;"","")))))&gt;0),IF(COUNTIF($BI$86:$BP$86,4)=0,TRUE,SUMPRODUCT(($BI$86:$BP$86=4)*($AS$86:$AZ$86&lt;&gt;"")*IF(((UPPER($AS$86:$AZ$86)="BLANK")+(UPPER($AS$86:$AZ$86)="(BLANK)")+(UPPER($AS$86:$AZ$86)="EMPTY")+(UPPER($AS$86:$AZ$86)="(EMPTY)"))&gt;0,IFERROR(('Final Calculation Sheet'!$Z$31)&amp;"","")="",ISNUMBER(SEARCH($AS$86:$AZ$86,IFERROR(('Final Calculation Sheet'!$Z$31)&amp;"","")))))&gt;0),IF(COUNTIF($BI$86:$BP$86,5)=0,TRUE,SUMPRODUCT(($BI$86:$BP$86=5)*($AS$86:$AZ$86&lt;&gt;"")*IF(((UPPER($AS$86:$AZ$86)="BLANK")+(UPPER($AS$86:$AZ$86)="(BLANK)")+(UPPER($AS$86:$AZ$86)="EMPTY")+(UPPER($AS$86:$AZ$86)="(EMPTY)"))&gt;0,IFERROR(('Final Calculation Sheet'!$Z$31)&amp;"","")="",ISNUMBER(SEARCH($AS$86:$AZ$86,IFERROR(('Final Calculation Sheet'!$Z$31)&amp;"","")))))&gt;0),IF(COUNTIF($BI$86:$BP$86,6)=0,TRUE,SUMPRODUCT(($BI$86:$BP$86=6)*($AS$86:$AZ$86&lt;&gt;"")*IF(((UPPER($AS$86:$AZ$86)="BLANK")+(UPPER($AS$86:$AZ$86)="(BLANK)")+(UPPER($AS$86:$AZ$86)="EMPTY")+(UPPER($AS$86:$AZ$86)="(EMPTY)"))&gt;0,IFERROR(('Final Calculation Sheet'!$Z$31)&amp;"","")="",ISNUMBER(SEARCH($AS$86:$AZ$86,IFERROR(('Final Calculation Sheet'!$Z$31)&amp;"","")))))&gt;0),IF(COUNTIF($BI$86:$BP$86,7)=0,TRUE,SUMPRODUCT(($BI$86:$BP$86=7)*($AS$86:$AZ$86&lt;&gt;"")*IF(((UPPER($AS$86:$AZ$86)="BLANK")+(UPPER($AS$86:$AZ$86)="(BLANK)")+(UPPER($AS$86:$AZ$86)="EMPTY")+(UPPER($AS$86:$AZ$86)="(EMPTY)"))&gt;0,IFERROR(('Final Calculation Sheet'!$Z$31)&amp;"","")="",ISNUMBER(SEARCH($AS$86:$AZ$86,IFERROR(('Final Calculation Sheet'!$Z$31)&amp;"","")))))&gt;0),IF(COUNTIF($BI$86:$BP$86,8)=0,TRUE,SUMPRODUCT(($BI$86:$BP$86=8)*($AS$86:$AZ$86&lt;&gt;"")*IF(((UPPER($AS$86:$AZ$86)="BLANK")+(UPPER($AS$86:$AZ$86)="(BLANK)")+(UPPER($AS$86:$AZ$86)="EMPTY")+(UPPER($AS$86:$AZ$86)="(EMPTY)"))&gt;0,IFERROR(('Final Calculation Sheet'!$Z$31)&amp;"","")="",ISNUMBER(SEARCH($AS$86:$AZ$86,IFERROR(('Final Calculation Sheet'!$Z$31)&amp;"","")))))&gt;0))))</f>
        <v>1</v>
      </c>
      <c r="CN32">
        <f>IF($AB$4="",1,--(AND(SUMPRODUCT(--($AS$87:$AZ$87&lt;&gt;""))&gt;0,IF(COUNTIF($BI$87:$BP$87,1)=0,TRUE,SUMPRODUCT(($BI$87:$BP$87=1)*($AS$87:$AZ$87&lt;&gt;"")*IF(((UPPER($AS$87:$AZ$87)="BLANK")+(UPPER($AS$87:$AZ$87)="(BLANK)")+(UPPER($AS$87:$AZ$87)="EMPTY")+(UPPER($AS$87:$AZ$87)="(EMPTY)"))&gt;0,IFERROR(('Final Calculation Sheet'!$AA$31)&amp;"","")="",ISNUMBER(SEARCH($AS$87:$AZ$87,IFERROR(('Final Calculation Sheet'!$AA$31)&amp;"","")))))&gt;0),IF(COUNTIF($BI$87:$BP$87,2)=0,TRUE,SUMPRODUCT(($BI$87:$BP$87=2)*($AS$87:$AZ$87&lt;&gt;"")*IF(((UPPER($AS$87:$AZ$87)="BLANK")+(UPPER($AS$87:$AZ$87)="(BLANK)")+(UPPER($AS$87:$AZ$87)="EMPTY")+(UPPER($AS$87:$AZ$87)="(EMPTY)"))&gt;0,IFERROR(('Final Calculation Sheet'!$AA$31)&amp;"","")="",ISNUMBER(SEARCH($AS$87:$AZ$87,IFERROR(('Final Calculation Sheet'!$AA$31)&amp;"","")))))&gt;0),IF(COUNTIF($BI$87:$BP$87,3)=0,TRUE,SUMPRODUCT(($BI$87:$BP$87=3)*($AS$87:$AZ$87&lt;&gt;"")*IF(((UPPER($AS$87:$AZ$87)="BLANK")+(UPPER($AS$87:$AZ$87)="(BLANK)")+(UPPER($AS$87:$AZ$87)="EMPTY")+(UPPER($AS$87:$AZ$87)="(EMPTY)"))&gt;0,IFERROR(('Final Calculation Sheet'!$AA$31)&amp;"","")="",ISNUMBER(SEARCH($AS$87:$AZ$87,IFERROR(('Final Calculation Sheet'!$AA$31)&amp;"","")))))&gt;0),IF(COUNTIF($BI$87:$BP$87,4)=0,TRUE,SUMPRODUCT(($BI$87:$BP$87=4)*($AS$87:$AZ$87&lt;&gt;"")*IF(((UPPER($AS$87:$AZ$87)="BLANK")+(UPPER($AS$87:$AZ$87)="(BLANK)")+(UPPER($AS$87:$AZ$87)="EMPTY")+(UPPER($AS$87:$AZ$87)="(EMPTY)"))&gt;0,IFERROR(('Final Calculation Sheet'!$AA$31)&amp;"","")="",ISNUMBER(SEARCH($AS$87:$AZ$87,IFERROR(('Final Calculation Sheet'!$AA$31)&amp;"","")))))&gt;0),IF(COUNTIF($BI$87:$BP$87,5)=0,TRUE,SUMPRODUCT(($BI$87:$BP$87=5)*($AS$87:$AZ$87&lt;&gt;"")*IF(((UPPER($AS$87:$AZ$87)="BLANK")+(UPPER($AS$87:$AZ$87)="(BLANK)")+(UPPER($AS$87:$AZ$87)="EMPTY")+(UPPER($AS$87:$AZ$87)="(EMPTY)"))&gt;0,IFERROR(('Final Calculation Sheet'!$AA$31)&amp;"","")="",ISNUMBER(SEARCH($AS$87:$AZ$87,IFERROR(('Final Calculation Sheet'!$AA$31)&amp;"","")))))&gt;0),IF(COUNTIF($BI$87:$BP$87,6)=0,TRUE,SUMPRODUCT(($BI$87:$BP$87=6)*($AS$87:$AZ$87&lt;&gt;"")*IF(((UPPER($AS$87:$AZ$87)="BLANK")+(UPPER($AS$87:$AZ$87)="(BLANK)")+(UPPER($AS$87:$AZ$87)="EMPTY")+(UPPER($AS$87:$AZ$87)="(EMPTY)"))&gt;0,IFERROR(('Final Calculation Sheet'!$AA$31)&amp;"","")="",ISNUMBER(SEARCH($AS$87:$AZ$87,IFERROR(('Final Calculation Sheet'!$AA$31)&amp;"","")))))&gt;0),IF(COUNTIF($BI$87:$BP$87,7)=0,TRUE,SUMPRODUCT(($BI$87:$BP$87=7)*($AS$87:$AZ$87&lt;&gt;"")*IF(((UPPER($AS$87:$AZ$87)="BLANK")+(UPPER($AS$87:$AZ$87)="(BLANK)")+(UPPER($AS$87:$AZ$87)="EMPTY")+(UPPER($AS$87:$AZ$87)="(EMPTY)"))&gt;0,IFERROR(('Final Calculation Sheet'!$AA$31)&amp;"","")="",ISNUMBER(SEARCH($AS$87:$AZ$87,IFERROR(('Final Calculation Sheet'!$AA$31)&amp;"","")))))&gt;0),IF(COUNTIF($BI$87:$BP$87,8)=0,TRUE,SUMPRODUCT(($BI$87:$BP$87=8)*($AS$87:$AZ$87&lt;&gt;"")*IF(((UPPER($AS$87:$AZ$87)="BLANK")+(UPPER($AS$87:$AZ$87)="(BLANK)")+(UPPER($AS$87:$AZ$87)="EMPTY")+(UPPER($AS$87:$AZ$87)="(EMPTY)"))&gt;0,IFERROR(('Final Calculation Sheet'!$AA$31)&amp;"","")="",ISNUMBER(SEARCH($AS$87:$AZ$87,IFERROR(('Final Calculation Sheet'!$AA$31)&amp;"","")))))&gt;0))))</f>
        <v>1</v>
      </c>
      <c r="CO32">
        <f>IF($AC$4="",1,--(AND(SUMPRODUCT(--($AS$88:$AZ$88&lt;&gt;""))&gt;0,IF(COUNTIF($BI$88:$BP$88,1)=0,TRUE,SUMPRODUCT(($BI$88:$BP$88=1)*($AS$88:$AZ$88&lt;&gt;"")*IF(((UPPER($AS$88:$AZ$88)="BLANK")+(UPPER($AS$88:$AZ$88)="(BLANK)")+(UPPER($AS$88:$AZ$88)="EMPTY")+(UPPER($AS$88:$AZ$88)="(EMPTY)"))&gt;0,IFERROR(('Final Calculation Sheet'!$AB$31)&amp;"","")="",ISNUMBER(SEARCH($AS$88:$AZ$88,IFERROR(('Final Calculation Sheet'!$AB$31)&amp;"","")))))&gt;0),IF(COUNTIF($BI$88:$BP$88,2)=0,TRUE,SUMPRODUCT(($BI$88:$BP$88=2)*($AS$88:$AZ$88&lt;&gt;"")*IF(((UPPER($AS$88:$AZ$88)="BLANK")+(UPPER($AS$88:$AZ$88)="(BLANK)")+(UPPER($AS$88:$AZ$88)="EMPTY")+(UPPER($AS$88:$AZ$88)="(EMPTY)"))&gt;0,IFERROR(('Final Calculation Sheet'!$AB$31)&amp;"","")="",ISNUMBER(SEARCH($AS$88:$AZ$88,IFERROR(('Final Calculation Sheet'!$AB$31)&amp;"","")))))&gt;0),IF(COUNTIF($BI$88:$BP$88,3)=0,TRUE,SUMPRODUCT(($BI$88:$BP$88=3)*($AS$88:$AZ$88&lt;&gt;"")*IF(((UPPER($AS$88:$AZ$88)="BLANK")+(UPPER($AS$88:$AZ$88)="(BLANK)")+(UPPER($AS$88:$AZ$88)="EMPTY")+(UPPER($AS$88:$AZ$88)="(EMPTY)"))&gt;0,IFERROR(('Final Calculation Sheet'!$AB$31)&amp;"","")="",ISNUMBER(SEARCH($AS$88:$AZ$88,IFERROR(('Final Calculation Sheet'!$AB$31)&amp;"","")))))&gt;0),IF(COUNTIF($BI$88:$BP$88,4)=0,TRUE,SUMPRODUCT(($BI$88:$BP$88=4)*($AS$88:$AZ$88&lt;&gt;"")*IF(((UPPER($AS$88:$AZ$88)="BLANK")+(UPPER($AS$88:$AZ$88)="(BLANK)")+(UPPER($AS$88:$AZ$88)="EMPTY")+(UPPER($AS$88:$AZ$88)="(EMPTY)"))&gt;0,IFERROR(('Final Calculation Sheet'!$AB$31)&amp;"","")="",ISNUMBER(SEARCH($AS$88:$AZ$88,IFERROR(('Final Calculation Sheet'!$AB$31)&amp;"","")))))&gt;0),IF(COUNTIF($BI$88:$BP$88,5)=0,TRUE,SUMPRODUCT(($BI$88:$BP$88=5)*($AS$88:$AZ$88&lt;&gt;"")*IF(((UPPER($AS$88:$AZ$88)="BLANK")+(UPPER($AS$88:$AZ$88)="(BLANK)")+(UPPER($AS$88:$AZ$88)="EMPTY")+(UPPER($AS$88:$AZ$88)="(EMPTY)"))&gt;0,IFERROR(('Final Calculation Sheet'!$AB$31)&amp;"","")="",ISNUMBER(SEARCH($AS$88:$AZ$88,IFERROR(('Final Calculation Sheet'!$AB$31)&amp;"","")))))&gt;0),IF(COUNTIF($BI$88:$BP$88,6)=0,TRUE,SUMPRODUCT(($BI$88:$BP$88=6)*($AS$88:$AZ$88&lt;&gt;"")*IF(((UPPER($AS$88:$AZ$88)="BLANK")+(UPPER($AS$88:$AZ$88)="(BLANK)")+(UPPER($AS$88:$AZ$88)="EMPTY")+(UPPER($AS$88:$AZ$88)="(EMPTY)"))&gt;0,IFERROR(('Final Calculation Sheet'!$AB$31)&amp;"","")="",ISNUMBER(SEARCH($AS$88:$AZ$88,IFERROR(('Final Calculation Sheet'!$AB$31)&amp;"","")))))&gt;0),IF(COUNTIF($BI$88:$BP$88,7)=0,TRUE,SUMPRODUCT(($BI$88:$BP$88=7)*($AS$88:$AZ$88&lt;&gt;"")*IF(((UPPER($AS$88:$AZ$88)="BLANK")+(UPPER($AS$88:$AZ$88)="(BLANK)")+(UPPER($AS$88:$AZ$88)="EMPTY")+(UPPER($AS$88:$AZ$88)="(EMPTY)"))&gt;0,IFERROR(('Final Calculation Sheet'!$AB$31)&amp;"","")="",ISNUMBER(SEARCH($AS$88:$AZ$88,IFERROR(('Final Calculation Sheet'!$AB$31)&amp;"","")))))&gt;0),IF(COUNTIF($BI$88:$BP$88,8)=0,TRUE,SUMPRODUCT(($BI$88:$BP$88=8)*($AS$88:$AZ$88&lt;&gt;"")*IF(((UPPER($AS$88:$AZ$88)="BLANK")+(UPPER($AS$88:$AZ$88)="(BLANK)")+(UPPER($AS$88:$AZ$88)="EMPTY")+(UPPER($AS$88:$AZ$88)="(EMPTY)"))&gt;0,IFERROR(('Final Calculation Sheet'!$AB$31)&amp;"","")="",ISNUMBER(SEARCH($AS$88:$AZ$88,IFERROR(('Final Calculation Sheet'!$AB$31)&amp;"","")))))&gt;0))))</f>
        <v>1</v>
      </c>
      <c r="CP32">
        <f>IF($AD$4="",1,--(AND(SUMPRODUCT(--($AS$89:$AZ$89&lt;&gt;""))&gt;0,IF(COUNTIF($BI$89:$BP$89,1)=0,TRUE,SUMPRODUCT(($BI$89:$BP$89=1)*($AS$89:$AZ$89&lt;&gt;"")*IF(((UPPER($AS$89:$AZ$89)="BLANK")+(UPPER($AS$89:$AZ$89)="(BLANK)")+(UPPER($AS$89:$AZ$89)="EMPTY")+(UPPER($AS$89:$AZ$89)="(EMPTY)"))&gt;0,IFERROR(('Final Calculation Sheet'!$AC$31)&amp;"","")="",ISNUMBER(SEARCH($AS$89:$AZ$89,IFERROR(('Final Calculation Sheet'!$AC$31)&amp;"","")))))&gt;0),IF(COUNTIF($BI$89:$BP$89,2)=0,TRUE,SUMPRODUCT(($BI$89:$BP$89=2)*($AS$89:$AZ$89&lt;&gt;"")*IF(((UPPER($AS$89:$AZ$89)="BLANK")+(UPPER($AS$89:$AZ$89)="(BLANK)")+(UPPER($AS$89:$AZ$89)="EMPTY")+(UPPER($AS$89:$AZ$89)="(EMPTY)"))&gt;0,IFERROR(('Final Calculation Sheet'!$AC$31)&amp;"","")="",ISNUMBER(SEARCH($AS$89:$AZ$89,IFERROR(('Final Calculation Sheet'!$AC$31)&amp;"","")))))&gt;0),IF(COUNTIF($BI$89:$BP$89,3)=0,TRUE,SUMPRODUCT(($BI$89:$BP$89=3)*($AS$89:$AZ$89&lt;&gt;"")*IF(((UPPER($AS$89:$AZ$89)="BLANK")+(UPPER($AS$89:$AZ$89)="(BLANK)")+(UPPER($AS$89:$AZ$89)="EMPTY")+(UPPER($AS$89:$AZ$89)="(EMPTY)"))&gt;0,IFERROR(('Final Calculation Sheet'!$AC$31)&amp;"","")="",ISNUMBER(SEARCH($AS$89:$AZ$89,IFERROR(('Final Calculation Sheet'!$AC$31)&amp;"","")))))&gt;0),IF(COUNTIF($BI$89:$BP$89,4)=0,TRUE,SUMPRODUCT(($BI$89:$BP$89=4)*($AS$89:$AZ$89&lt;&gt;"")*IF(((UPPER($AS$89:$AZ$89)="BLANK")+(UPPER($AS$89:$AZ$89)="(BLANK)")+(UPPER($AS$89:$AZ$89)="EMPTY")+(UPPER($AS$89:$AZ$89)="(EMPTY)"))&gt;0,IFERROR(('Final Calculation Sheet'!$AC$31)&amp;"","")="",ISNUMBER(SEARCH($AS$89:$AZ$89,IFERROR(('Final Calculation Sheet'!$AC$31)&amp;"","")))))&gt;0),IF(COUNTIF($BI$89:$BP$89,5)=0,TRUE,SUMPRODUCT(($BI$89:$BP$89=5)*($AS$89:$AZ$89&lt;&gt;"")*IF(((UPPER($AS$89:$AZ$89)="BLANK")+(UPPER($AS$89:$AZ$89)="(BLANK)")+(UPPER($AS$89:$AZ$89)="EMPTY")+(UPPER($AS$89:$AZ$89)="(EMPTY)"))&gt;0,IFERROR(('Final Calculation Sheet'!$AC$31)&amp;"","")="",ISNUMBER(SEARCH($AS$89:$AZ$89,IFERROR(('Final Calculation Sheet'!$AC$31)&amp;"","")))))&gt;0),IF(COUNTIF($BI$89:$BP$89,6)=0,TRUE,SUMPRODUCT(($BI$89:$BP$89=6)*($AS$89:$AZ$89&lt;&gt;"")*IF(((UPPER($AS$89:$AZ$89)="BLANK")+(UPPER($AS$89:$AZ$89)="(BLANK)")+(UPPER($AS$89:$AZ$89)="EMPTY")+(UPPER($AS$89:$AZ$89)="(EMPTY)"))&gt;0,IFERROR(('Final Calculation Sheet'!$AC$31)&amp;"","")="",ISNUMBER(SEARCH($AS$89:$AZ$89,IFERROR(('Final Calculation Sheet'!$AC$31)&amp;"","")))))&gt;0),IF(COUNTIF($BI$89:$BP$89,7)=0,TRUE,SUMPRODUCT(($BI$89:$BP$89=7)*($AS$89:$AZ$89&lt;&gt;"")*IF(((UPPER($AS$89:$AZ$89)="BLANK")+(UPPER($AS$89:$AZ$89)="(BLANK)")+(UPPER($AS$89:$AZ$89)="EMPTY")+(UPPER($AS$89:$AZ$89)="(EMPTY)"))&gt;0,IFERROR(('Final Calculation Sheet'!$AC$31)&amp;"","")="",ISNUMBER(SEARCH($AS$89:$AZ$89,IFERROR(('Final Calculation Sheet'!$AC$31)&amp;"","")))))&gt;0),IF(COUNTIF($BI$89:$BP$89,8)=0,TRUE,SUMPRODUCT(($BI$89:$BP$89=8)*($AS$89:$AZ$89&lt;&gt;"")*IF(((UPPER($AS$89:$AZ$89)="BLANK")+(UPPER($AS$89:$AZ$89)="(BLANK)")+(UPPER($AS$89:$AZ$89)="EMPTY")+(UPPER($AS$89:$AZ$89)="(EMPTY)"))&gt;0,IFERROR(('Final Calculation Sheet'!$AC$31)&amp;"","")="",ISNUMBER(SEARCH($AS$89:$AZ$89,IFERROR(('Final Calculation Sheet'!$AC$31)&amp;"","")))))&gt;0))))</f>
        <v>1</v>
      </c>
      <c r="CQ32">
        <f>IF($AE$4="",1,--(AND(SUMPRODUCT(--($AS$90:$AZ$90&lt;&gt;""))&gt;0,IF(COUNTIF($BI$90:$BP$90,1)=0,TRUE,SUMPRODUCT(($BI$90:$BP$90=1)*($AS$90:$AZ$90&lt;&gt;"")*IF(((UPPER($AS$90:$AZ$90)="BLANK")+(UPPER($AS$90:$AZ$90)="(BLANK)")+(UPPER($AS$90:$AZ$90)="EMPTY")+(UPPER($AS$90:$AZ$90)="(EMPTY)"))&gt;0,IFERROR(('Final Calculation Sheet'!$AD$31)&amp;"","")="",ISNUMBER(SEARCH($AS$90:$AZ$90,IFERROR(('Final Calculation Sheet'!$AD$31)&amp;"","")))))&gt;0),IF(COUNTIF($BI$90:$BP$90,2)=0,TRUE,SUMPRODUCT(($BI$90:$BP$90=2)*($AS$90:$AZ$90&lt;&gt;"")*IF(((UPPER($AS$90:$AZ$90)="BLANK")+(UPPER($AS$90:$AZ$90)="(BLANK)")+(UPPER($AS$90:$AZ$90)="EMPTY")+(UPPER($AS$90:$AZ$90)="(EMPTY)"))&gt;0,IFERROR(('Final Calculation Sheet'!$AD$31)&amp;"","")="",ISNUMBER(SEARCH($AS$90:$AZ$90,IFERROR(('Final Calculation Sheet'!$AD$31)&amp;"","")))))&gt;0),IF(COUNTIF($BI$90:$BP$90,3)=0,TRUE,SUMPRODUCT(($BI$90:$BP$90=3)*($AS$90:$AZ$90&lt;&gt;"")*IF(((UPPER($AS$90:$AZ$90)="BLANK")+(UPPER($AS$90:$AZ$90)="(BLANK)")+(UPPER($AS$90:$AZ$90)="EMPTY")+(UPPER($AS$90:$AZ$90)="(EMPTY)"))&gt;0,IFERROR(('Final Calculation Sheet'!$AD$31)&amp;"","")="",ISNUMBER(SEARCH($AS$90:$AZ$90,IFERROR(('Final Calculation Sheet'!$AD$31)&amp;"","")))))&gt;0),IF(COUNTIF($BI$90:$BP$90,4)=0,TRUE,SUMPRODUCT(($BI$90:$BP$90=4)*($AS$90:$AZ$90&lt;&gt;"")*IF(((UPPER($AS$90:$AZ$90)="BLANK")+(UPPER($AS$90:$AZ$90)="(BLANK)")+(UPPER($AS$90:$AZ$90)="EMPTY")+(UPPER($AS$90:$AZ$90)="(EMPTY)"))&gt;0,IFERROR(('Final Calculation Sheet'!$AD$31)&amp;"","")="",ISNUMBER(SEARCH($AS$90:$AZ$90,IFERROR(('Final Calculation Sheet'!$AD$31)&amp;"","")))))&gt;0),IF(COUNTIF($BI$90:$BP$90,5)=0,TRUE,SUMPRODUCT(($BI$90:$BP$90=5)*($AS$90:$AZ$90&lt;&gt;"")*IF(((UPPER($AS$90:$AZ$90)="BLANK")+(UPPER($AS$90:$AZ$90)="(BLANK)")+(UPPER($AS$90:$AZ$90)="EMPTY")+(UPPER($AS$90:$AZ$90)="(EMPTY)"))&gt;0,IFERROR(('Final Calculation Sheet'!$AD$31)&amp;"","")="",ISNUMBER(SEARCH($AS$90:$AZ$90,IFERROR(('Final Calculation Sheet'!$AD$31)&amp;"","")))))&gt;0),IF(COUNTIF($BI$90:$BP$90,6)=0,TRUE,SUMPRODUCT(($BI$90:$BP$90=6)*($AS$90:$AZ$90&lt;&gt;"")*IF(((UPPER($AS$90:$AZ$90)="BLANK")+(UPPER($AS$90:$AZ$90)="(BLANK)")+(UPPER($AS$90:$AZ$90)="EMPTY")+(UPPER($AS$90:$AZ$90)="(EMPTY)"))&gt;0,IFERROR(('Final Calculation Sheet'!$AD$31)&amp;"","")="",ISNUMBER(SEARCH($AS$90:$AZ$90,IFERROR(('Final Calculation Sheet'!$AD$31)&amp;"","")))))&gt;0),IF(COUNTIF($BI$90:$BP$90,7)=0,TRUE,SUMPRODUCT(($BI$90:$BP$90=7)*($AS$90:$AZ$90&lt;&gt;"")*IF(((UPPER($AS$90:$AZ$90)="BLANK")+(UPPER($AS$90:$AZ$90)="(BLANK)")+(UPPER($AS$90:$AZ$90)="EMPTY")+(UPPER($AS$90:$AZ$90)="(EMPTY)"))&gt;0,IFERROR(('Final Calculation Sheet'!$AD$31)&amp;"","")="",ISNUMBER(SEARCH($AS$90:$AZ$90,IFERROR(('Final Calculation Sheet'!$AD$31)&amp;"","")))))&gt;0),IF(COUNTIF($BI$90:$BP$90,8)=0,TRUE,SUMPRODUCT(($BI$90:$BP$90=8)*($AS$90:$AZ$90&lt;&gt;"")*IF(((UPPER($AS$90:$AZ$90)="BLANK")+(UPPER($AS$90:$AZ$90)="(BLANK)")+(UPPER($AS$90:$AZ$90)="EMPTY")+(UPPER($AS$90:$AZ$90)="(EMPTY)"))&gt;0,IFERROR(('Final Calculation Sheet'!$AD$31)&amp;"","")="",ISNUMBER(SEARCH($AS$90:$AZ$90,IFERROR(('Final Calculation Sheet'!$AD$31)&amp;"","")))))&gt;0))))</f>
        <v>1</v>
      </c>
      <c r="CR32">
        <f>IF($AF$4="",1,--(AND(SUMPRODUCT(--($AS$91:$AZ$91&lt;&gt;""))&gt;0,IF(COUNTIF($BI$91:$BP$91,1)=0,TRUE,SUMPRODUCT(($BI$91:$BP$91=1)*($AS$91:$AZ$91&lt;&gt;"")*IF(((UPPER($AS$91:$AZ$91)="BLANK")+(UPPER($AS$91:$AZ$91)="(BLANK)")+(UPPER($AS$91:$AZ$91)="EMPTY")+(UPPER($AS$91:$AZ$91)="(EMPTY)"))&gt;0,IFERROR(('Final Calculation Sheet'!$AE$31)&amp;"","")="",ISNUMBER(SEARCH($AS$91:$AZ$91,IFERROR(('Final Calculation Sheet'!$AE$31)&amp;"","")))))&gt;0),IF(COUNTIF($BI$91:$BP$91,2)=0,TRUE,SUMPRODUCT(($BI$91:$BP$91=2)*($AS$91:$AZ$91&lt;&gt;"")*IF(((UPPER($AS$91:$AZ$91)="BLANK")+(UPPER($AS$91:$AZ$91)="(BLANK)")+(UPPER($AS$91:$AZ$91)="EMPTY")+(UPPER($AS$91:$AZ$91)="(EMPTY)"))&gt;0,IFERROR(('Final Calculation Sheet'!$AE$31)&amp;"","")="",ISNUMBER(SEARCH($AS$91:$AZ$91,IFERROR(('Final Calculation Sheet'!$AE$31)&amp;"","")))))&gt;0),IF(COUNTIF($BI$91:$BP$91,3)=0,TRUE,SUMPRODUCT(($BI$91:$BP$91=3)*($AS$91:$AZ$91&lt;&gt;"")*IF(((UPPER($AS$91:$AZ$91)="BLANK")+(UPPER($AS$91:$AZ$91)="(BLANK)")+(UPPER($AS$91:$AZ$91)="EMPTY")+(UPPER($AS$91:$AZ$91)="(EMPTY)"))&gt;0,IFERROR(('Final Calculation Sheet'!$AE$31)&amp;"","")="",ISNUMBER(SEARCH($AS$91:$AZ$91,IFERROR(('Final Calculation Sheet'!$AE$31)&amp;"","")))))&gt;0),IF(COUNTIF($BI$91:$BP$91,4)=0,TRUE,SUMPRODUCT(($BI$91:$BP$91=4)*($AS$91:$AZ$91&lt;&gt;"")*IF(((UPPER($AS$91:$AZ$91)="BLANK")+(UPPER($AS$91:$AZ$91)="(BLANK)")+(UPPER($AS$91:$AZ$91)="EMPTY")+(UPPER($AS$91:$AZ$91)="(EMPTY)"))&gt;0,IFERROR(('Final Calculation Sheet'!$AE$31)&amp;"","")="",ISNUMBER(SEARCH($AS$91:$AZ$91,IFERROR(('Final Calculation Sheet'!$AE$31)&amp;"","")))))&gt;0),IF(COUNTIF($BI$91:$BP$91,5)=0,TRUE,SUMPRODUCT(($BI$91:$BP$91=5)*($AS$91:$AZ$91&lt;&gt;"")*IF(((UPPER($AS$91:$AZ$91)="BLANK")+(UPPER($AS$91:$AZ$91)="(BLANK)")+(UPPER($AS$91:$AZ$91)="EMPTY")+(UPPER($AS$91:$AZ$91)="(EMPTY)"))&gt;0,IFERROR(('Final Calculation Sheet'!$AE$31)&amp;"","")="",ISNUMBER(SEARCH($AS$91:$AZ$91,IFERROR(('Final Calculation Sheet'!$AE$31)&amp;"","")))))&gt;0),IF(COUNTIF($BI$91:$BP$91,6)=0,TRUE,SUMPRODUCT(($BI$91:$BP$91=6)*($AS$91:$AZ$91&lt;&gt;"")*IF(((UPPER($AS$91:$AZ$91)="BLANK")+(UPPER($AS$91:$AZ$91)="(BLANK)")+(UPPER($AS$91:$AZ$91)="EMPTY")+(UPPER($AS$91:$AZ$91)="(EMPTY)"))&gt;0,IFERROR(('Final Calculation Sheet'!$AE$31)&amp;"","")="",ISNUMBER(SEARCH($AS$91:$AZ$91,IFERROR(('Final Calculation Sheet'!$AE$31)&amp;"","")))))&gt;0),IF(COUNTIF($BI$91:$BP$91,7)=0,TRUE,SUMPRODUCT(($BI$91:$BP$91=7)*($AS$91:$AZ$91&lt;&gt;"")*IF(((UPPER($AS$91:$AZ$91)="BLANK")+(UPPER($AS$91:$AZ$91)="(BLANK)")+(UPPER($AS$91:$AZ$91)="EMPTY")+(UPPER($AS$91:$AZ$91)="(EMPTY)"))&gt;0,IFERROR(('Final Calculation Sheet'!$AE$31)&amp;"","")="",ISNUMBER(SEARCH($AS$91:$AZ$91,IFERROR(('Final Calculation Sheet'!$AE$31)&amp;"","")))))&gt;0),IF(COUNTIF($BI$91:$BP$91,8)=0,TRUE,SUMPRODUCT(($BI$91:$BP$91=8)*($AS$91:$AZ$91&lt;&gt;"")*IF(((UPPER($AS$91:$AZ$91)="BLANK")+(UPPER($AS$91:$AZ$91)="(BLANK)")+(UPPER($AS$91:$AZ$91)="EMPTY")+(UPPER($AS$91:$AZ$91)="(EMPTY)"))&gt;0,IFERROR(('Final Calculation Sheet'!$AE$31)&amp;"","")="",ISNUMBER(SEARCH($AS$91:$AZ$91,IFERROR(('Final Calculation Sheet'!$AE$31)&amp;"","")))))&gt;0))))</f>
        <v>1</v>
      </c>
      <c r="CS32">
        <f>IF($AG$4="",1,--(AND(SUMPRODUCT(--($AS$92:$AZ$92&lt;&gt;""))&gt;0,IF(COUNTIF($BI$92:$BP$92,1)=0,TRUE,SUMPRODUCT(($BI$92:$BP$92=1)*($AS$92:$AZ$92&lt;&gt;"")*IF(((UPPER($AS$92:$AZ$92)="BLANK")+(UPPER($AS$92:$AZ$92)="(BLANK)")+(UPPER($AS$92:$AZ$92)="EMPTY")+(UPPER($AS$92:$AZ$92)="(EMPTY)"))&gt;0,IFERROR(('Final Calculation Sheet'!$AF$31)&amp;"","")="",ISNUMBER(SEARCH($AS$92:$AZ$92,IFERROR(('Final Calculation Sheet'!$AF$31)&amp;"","")))))&gt;0),IF(COUNTIF($BI$92:$BP$92,2)=0,TRUE,SUMPRODUCT(($BI$92:$BP$92=2)*($AS$92:$AZ$92&lt;&gt;"")*IF(((UPPER($AS$92:$AZ$92)="BLANK")+(UPPER($AS$92:$AZ$92)="(BLANK)")+(UPPER($AS$92:$AZ$92)="EMPTY")+(UPPER($AS$92:$AZ$92)="(EMPTY)"))&gt;0,IFERROR(('Final Calculation Sheet'!$AF$31)&amp;"","")="",ISNUMBER(SEARCH($AS$92:$AZ$92,IFERROR(('Final Calculation Sheet'!$AF$31)&amp;"","")))))&gt;0),IF(COUNTIF($BI$92:$BP$92,3)=0,TRUE,SUMPRODUCT(($BI$92:$BP$92=3)*($AS$92:$AZ$92&lt;&gt;"")*IF(((UPPER($AS$92:$AZ$92)="BLANK")+(UPPER($AS$92:$AZ$92)="(BLANK)")+(UPPER($AS$92:$AZ$92)="EMPTY")+(UPPER($AS$92:$AZ$92)="(EMPTY)"))&gt;0,IFERROR(('Final Calculation Sheet'!$AF$31)&amp;"","")="",ISNUMBER(SEARCH($AS$92:$AZ$92,IFERROR(('Final Calculation Sheet'!$AF$31)&amp;"","")))))&gt;0),IF(COUNTIF($BI$92:$BP$92,4)=0,TRUE,SUMPRODUCT(($BI$92:$BP$92=4)*($AS$92:$AZ$92&lt;&gt;"")*IF(((UPPER($AS$92:$AZ$92)="BLANK")+(UPPER($AS$92:$AZ$92)="(BLANK)")+(UPPER($AS$92:$AZ$92)="EMPTY")+(UPPER($AS$92:$AZ$92)="(EMPTY)"))&gt;0,IFERROR(('Final Calculation Sheet'!$AF$31)&amp;"","")="",ISNUMBER(SEARCH($AS$92:$AZ$92,IFERROR(('Final Calculation Sheet'!$AF$31)&amp;"","")))))&gt;0),IF(COUNTIF($BI$92:$BP$92,5)=0,TRUE,SUMPRODUCT(($BI$92:$BP$92=5)*($AS$92:$AZ$92&lt;&gt;"")*IF(((UPPER($AS$92:$AZ$92)="BLANK")+(UPPER($AS$92:$AZ$92)="(BLANK)")+(UPPER($AS$92:$AZ$92)="EMPTY")+(UPPER($AS$92:$AZ$92)="(EMPTY)"))&gt;0,IFERROR(('Final Calculation Sheet'!$AF$31)&amp;"","")="",ISNUMBER(SEARCH($AS$92:$AZ$92,IFERROR(('Final Calculation Sheet'!$AF$31)&amp;"","")))))&gt;0),IF(COUNTIF($BI$92:$BP$92,6)=0,TRUE,SUMPRODUCT(($BI$92:$BP$92=6)*($AS$92:$AZ$92&lt;&gt;"")*IF(((UPPER($AS$92:$AZ$92)="BLANK")+(UPPER($AS$92:$AZ$92)="(BLANK)")+(UPPER($AS$92:$AZ$92)="EMPTY")+(UPPER($AS$92:$AZ$92)="(EMPTY)"))&gt;0,IFERROR(('Final Calculation Sheet'!$AF$31)&amp;"","")="",ISNUMBER(SEARCH($AS$92:$AZ$92,IFERROR(('Final Calculation Sheet'!$AF$31)&amp;"","")))))&gt;0),IF(COUNTIF($BI$92:$BP$92,7)=0,TRUE,SUMPRODUCT(($BI$92:$BP$92=7)*($AS$92:$AZ$92&lt;&gt;"")*IF(((UPPER($AS$92:$AZ$92)="BLANK")+(UPPER($AS$92:$AZ$92)="(BLANK)")+(UPPER($AS$92:$AZ$92)="EMPTY")+(UPPER($AS$92:$AZ$92)="(EMPTY)"))&gt;0,IFERROR(('Final Calculation Sheet'!$AF$31)&amp;"","")="",ISNUMBER(SEARCH($AS$92:$AZ$92,IFERROR(('Final Calculation Sheet'!$AF$31)&amp;"","")))))&gt;0),IF(COUNTIF($BI$92:$BP$92,8)=0,TRUE,SUMPRODUCT(($BI$92:$BP$92=8)*($AS$92:$AZ$92&lt;&gt;"")*IF(((UPPER($AS$92:$AZ$92)="BLANK")+(UPPER($AS$92:$AZ$92)="(BLANK)")+(UPPER($AS$92:$AZ$92)="EMPTY")+(UPPER($AS$92:$AZ$92)="(EMPTY)"))&gt;0,IFERROR(('Final Calculation Sheet'!$AF$31)&amp;"","")="",ISNUMBER(SEARCH($AS$92:$AZ$92,IFERROR(('Final Calculation Sheet'!$AF$31)&amp;"","")))))&gt;0))))</f>
        <v>1</v>
      </c>
      <c r="CT32">
        <f>IF($AH$4="",1,--(AND(SUMPRODUCT(--($AS$93:$AZ$93&lt;&gt;""))&gt;0,IF(COUNTIF($BI$93:$BP$93,1)=0,TRUE,SUMPRODUCT(($BI$93:$BP$93=1)*($AS$93:$AZ$93&lt;&gt;"")*IF(((UPPER($AS$93:$AZ$93)="BLANK")+(UPPER($AS$93:$AZ$93)="(BLANK)")+(UPPER($AS$93:$AZ$93)="EMPTY")+(UPPER($AS$93:$AZ$93)="(EMPTY)"))&gt;0,IFERROR(('Final Calculation Sheet'!$AG$31)&amp;"","")="",ISNUMBER(SEARCH($AS$93:$AZ$93,IFERROR(('Final Calculation Sheet'!$AG$31)&amp;"","")))))&gt;0),IF(COUNTIF($BI$93:$BP$93,2)=0,TRUE,SUMPRODUCT(($BI$93:$BP$93=2)*($AS$93:$AZ$93&lt;&gt;"")*IF(((UPPER($AS$93:$AZ$93)="BLANK")+(UPPER($AS$93:$AZ$93)="(BLANK)")+(UPPER($AS$93:$AZ$93)="EMPTY")+(UPPER($AS$93:$AZ$93)="(EMPTY)"))&gt;0,IFERROR(('Final Calculation Sheet'!$AG$31)&amp;"","")="",ISNUMBER(SEARCH($AS$93:$AZ$93,IFERROR(('Final Calculation Sheet'!$AG$31)&amp;"","")))))&gt;0),IF(COUNTIF($BI$93:$BP$93,3)=0,TRUE,SUMPRODUCT(($BI$93:$BP$93=3)*($AS$93:$AZ$93&lt;&gt;"")*IF(((UPPER($AS$93:$AZ$93)="BLANK")+(UPPER($AS$93:$AZ$93)="(BLANK)")+(UPPER($AS$93:$AZ$93)="EMPTY")+(UPPER($AS$93:$AZ$93)="(EMPTY)"))&gt;0,IFERROR(('Final Calculation Sheet'!$AG$31)&amp;"","")="",ISNUMBER(SEARCH($AS$93:$AZ$93,IFERROR(('Final Calculation Sheet'!$AG$31)&amp;"","")))))&gt;0),IF(COUNTIF($BI$93:$BP$93,4)=0,TRUE,SUMPRODUCT(($BI$93:$BP$93=4)*($AS$93:$AZ$93&lt;&gt;"")*IF(((UPPER($AS$93:$AZ$93)="BLANK")+(UPPER($AS$93:$AZ$93)="(BLANK)")+(UPPER($AS$93:$AZ$93)="EMPTY")+(UPPER($AS$93:$AZ$93)="(EMPTY)"))&gt;0,IFERROR(('Final Calculation Sheet'!$AG$31)&amp;"","")="",ISNUMBER(SEARCH($AS$93:$AZ$93,IFERROR(('Final Calculation Sheet'!$AG$31)&amp;"","")))))&gt;0),IF(COUNTIF($BI$93:$BP$93,5)=0,TRUE,SUMPRODUCT(($BI$93:$BP$93=5)*($AS$93:$AZ$93&lt;&gt;"")*IF(((UPPER($AS$93:$AZ$93)="BLANK")+(UPPER($AS$93:$AZ$93)="(BLANK)")+(UPPER($AS$93:$AZ$93)="EMPTY")+(UPPER($AS$93:$AZ$93)="(EMPTY)"))&gt;0,IFERROR(('Final Calculation Sheet'!$AG$31)&amp;"","")="",ISNUMBER(SEARCH($AS$93:$AZ$93,IFERROR(('Final Calculation Sheet'!$AG$31)&amp;"","")))))&gt;0),IF(COUNTIF($BI$93:$BP$93,6)=0,TRUE,SUMPRODUCT(($BI$93:$BP$93=6)*($AS$93:$AZ$93&lt;&gt;"")*IF(((UPPER($AS$93:$AZ$93)="BLANK")+(UPPER($AS$93:$AZ$93)="(BLANK)")+(UPPER($AS$93:$AZ$93)="EMPTY")+(UPPER($AS$93:$AZ$93)="(EMPTY)"))&gt;0,IFERROR(('Final Calculation Sheet'!$AG$31)&amp;"","")="",ISNUMBER(SEARCH($AS$93:$AZ$93,IFERROR(('Final Calculation Sheet'!$AG$31)&amp;"","")))))&gt;0),IF(COUNTIF($BI$93:$BP$93,7)=0,TRUE,SUMPRODUCT(($BI$93:$BP$93=7)*($AS$93:$AZ$93&lt;&gt;"")*IF(((UPPER($AS$93:$AZ$93)="BLANK")+(UPPER($AS$93:$AZ$93)="(BLANK)")+(UPPER($AS$93:$AZ$93)="EMPTY")+(UPPER($AS$93:$AZ$93)="(EMPTY)"))&gt;0,IFERROR(('Final Calculation Sheet'!$AG$31)&amp;"","")="",ISNUMBER(SEARCH($AS$93:$AZ$93,IFERROR(('Final Calculation Sheet'!$AG$31)&amp;"","")))))&gt;0),IF(COUNTIF($BI$93:$BP$93,8)=0,TRUE,SUMPRODUCT(($BI$93:$BP$93=8)*($AS$93:$AZ$93&lt;&gt;"")*IF(((UPPER($AS$93:$AZ$93)="BLANK")+(UPPER($AS$93:$AZ$93)="(BLANK)")+(UPPER($AS$93:$AZ$93)="EMPTY")+(UPPER($AS$93:$AZ$93)="(EMPTY)"))&gt;0,IFERROR(('Final Calculation Sheet'!$AG$31)&amp;"","")="",ISNUMBER(SEARCH($AS$93:$AZ$93,IFERROR(('Final Calculation Sheet'!$AG$31)&amp;"","")))))&gt;0))))</f>
        <v>1</v>
      </c>
      <c r="CU32">
        <f>IF($AI$4="",1,--(AND(SUMPRODUCT(--($AS$94:$AZ$94&lt;&gt;""))&gt;0,IF(COUNTIF($BI$94:$BP$94,1)=0,TRUE,SUMPRODUCT(($BI$94:$BP$94=1)*($AS$94:$AZ$94&lt;&gt;"")*IF(((UPPER($AS$94:$AZ$94)="BLANK")+(UPPER($AS$94:$AZ$94)="(BLANK)")+(UPPER($AS$94:$AZ$94)="EMPTY")+(UPPER($AS$94:$AZ$94)="(EMPTY)"))&gt;0,IFERROR((IF('Final Calculation Sheet'!$AD$31&lt;=0,"SETTLED","OUTSTANDING"))&amp;"","")="",ISNUMBER(SEARCH($AS$94:$AZ$94,IFERROR((IF('Final Calculation Sheet'!$AD$31&lt;=0,"SETTLED","OUTSTANDING"))&amp;"","")))))&gt;0),IF(COUNTIF($BI$94:$BP$94,2)=0,TRUE,SUMPRODUCT(($BI$94:$BP$94=2)*($AS$94:$AZ$94&lt;&gt;"")*IF(((UPPER($AS$94:$AZ$94)="BLANK")+(UPPER($AS$94:$AZ$94)="(BLANK)")+(UPPER($AS$94:$AZ$94)="EMPTY")+(UPPER($AS$94:$AZ$94)="(EMPTY)"))&gt;0,IFERROR((IF('Final Calculation Sheet'!$AD$31&lt;=0,"SETTLED","OUTSTANDING"))&amp;"","")="",ISNUMBER(SEARCH($AS$94:$AZ$94,IFERROR((IF('Final Calculation Sheet'!$AD$31&lt;=0,"SETTLED","OUTSTANDING"))&amp;"","")))))&gt;0),IF(COUNTIF($BI$94:$BP$94,3)=0,TRUE,SUMPRODUCT(($BI$94:$BP$94=3)*($AS$94:$AZ$94&lt;&gt;"")*IF(((UPPER($AS$94:$AZ$94)="BLANK")+(UPPER($AS$94:$AZ$94)="(BLANK)")+(UPPER($AS$94:$AZ$94)="EMPTY")+(UPPER($AS$94:$AZ$94)="(EMPTY)"))&gt;0,IFERROR((IF('Final Calculation Sheet'!$AD$31&lt;=0,"SETTLED","OUTSTANDING"))&amp;"","")="",ISNUMBER(SEARCH($AS$94:$AZ$94,IFERROR((IF('Final Calculation Sheet'!$AD$31&lt;=0,"SETTLED","OUTSTANDING"))&amp;"","")))))&gt;0),IF(COUNTIF($BI$94:$BP$94,4)=0,TRUE,SUMPRODUCT(($BI$94:$BP$94=4)*($AS$94:$AZ$94&lt;&gt;"")*IF(((UPPER($AS$94:$AZ$94)="BLANK")+(UPPER($AS$94:$AZ$94)="(BLANK)")+(UPPER($AS$94:$AZ$94)="EMPTY")+(UPPER($AS$94:$AZ$94)="(EMPTY)"))&gt;0,IFERROR((IF('Final Calculation Sheet'!$AD$31&lt;=0,"SETTLED","OUTSTANDING"))&amp;"","")="",ISNUMBER(SEARCH($AS$94:$AZ$94,IFERROR((IF('Final Calculation Sheet'!$AD$31&lt;=0,"SETTLED","OUTSTANDING"))&amp;"","")))))&gt;0),IF(COUNTIF($BI$94:$BP$94,5)=0,TRUE,SUMPRODUCT(($BI$94:$BP$94=5)*($AS$94:$AZ$94&lt;&gt;"")*IF(((UPPER($AS$94:$AZ$94)="BLANK")+(UPPER($AS$94:$AZ$94)="(BLANK)")+(UPPER($AS$94:$AZ$94)="EMPTY")+(UPPER($AS$94:$AZ$94)="(EMPTY)"))&gt;0,IFERROR((IF('Final Calculation Sheet'!$AD$31&lt;=0,"SETTLED","OUTSTANDING"))&amp;"","")="",ISNUMBER(SEARCH($AS$94:$AZ$94,IFERROR((IF('Final Calculation Sheet'!$AD$31&lt;=0,"SETTLED","OUTSTANDING"))&amp;"","")))))&gt;0),IF(COUNTIF($BI$94:$BP$94,6)=0,TRUE,SUMPRODUCT(($BI$94:$BP$94=6)*($AS$94:$AZ$94&lt;&gt;"")*IF(((UPPER($AS$94:$AZ$94)="BLANK")+(UPPER($AS$94:$AZ$94)="(BLANK)")+(UPPER($AS$94:$AZ$94)="EMPTY")+(UPPER($AS$94:$AZ$94)="(EMPTY)"))&gt;0,IFERROR((IF('Final Calculation Sheet'!$AD$31&lt;=0,"SETTLED","OUTSTANDING"))&amp;"","")="",ISNUMBER(SEARCH($AS$94:$AZ$94,IFERROR((IF('Final Calculation Sheet'!$AD$31&lt;=0,"SETTLED","OUTSTANDING"))&amp;"","")))))&gt;0),IF(COUNTIF($BI$94:$BP$94,7)=0,TRUE,SUMPRODUCT(($BI$94:$BP$94=7)*($AS$94:$AZ$94&lt;&gt;"")*IF(((UPPER($AS$94:$AZ$94)="BLANK")+(UPPER($AS$94:$AZ$94)="(BLANK)")+(UPPER($AS$94:$AZ$94)="EMPTY")+(UPPER($AS$94:$AZ$94)="(EMPTY)"))&gt;0,IFERROR((IF('Final Calculation Sheet'!$AD$31&lt;=0,"SETTLED","OUTSTANDING"))&amp;"","")="",ISNUMBER(SEARCH($AS$94:$AZ$94,IFERROR((IF('Final Calculation Sheet'!$AD$31&lt;=0,"SETTLED","OUTSTANDING"))&amp;"","")))))&gt;0),IF(COUNTIF($BI$94:$BP$94,8)=0,TRUE,SUMPRODUCT(($BI$94:$BP$94=8)*($AS$94:$AZ$94&lt;&gt;"")*IF(((UPPER($AS$94:$AZ$94)="BLANK")+(UPPER($AS$94:$AZ$94)="(BLANK)")+(UPPER($AS$94:$AZ$94)="EMPTY")+(UPPER($AS$94:$AZ$94)="(EMPTY)"))&gt;0,IFERROR((IF('Final Calculation Sheet'!$AD$31&lt;=0,"SETTLED","OUTSTANDING"))&amp;"","")="",ISNUMBER(SEARCH($AS$94:$AZ$94,IFERROR((IF('Final Calculation Sheet'!$AD$31&lt;=0,"SETTLED","OUTSTANDING"))&amp;"","")))))&gt;0))))</f>
        <v>1</v>
      </c>
    </row>
    <row r="33" spans="1:99" ht="15" customHeight="1" x14ac:dyDescent="0.25">
      <c r="A33" s="67">
        <f>IF($BJ32&gt;0,INDEX($BA$5:$BA$41,MATCH(32,$BB$5:$BB$41,0)),IF(OR($BI32=1,$BL32=1,$BH32&gt;0),"∑",""))</f>
        <v>16</v>
      </c>
      <c r="B33" s="68">
        <f>IF($BJ32&gt;0,IF(INDEX('Final Calculation Sheet'!$F$4:$F$40,$BJ32-3)="","",INDEX('Final Calculation Sheet'!$F$4:$F$40,$BJ32-3)),"")</f>
        <v>2027</v>
      </c>
      <c r="C33" s="68" t="str">
        <f>IF($BJ32&gt;0,IF(INDEX('Final Calculation Sheet'!$G$4:$G$40,$BJ32-3)="","",INDEX('Final Calculation Sheet'!$G$4:$G$40,$BJ32-3)),IF(OR($BI32=1,$BL32=1,$BH32&gt;0),IF($BI32=1,37,IF($BL32=1,37-INDEX($BD$4:$BD$13,10),INDEX($BD$4:$BD$13,$BH32)))&amp;" lot(s)",""))</f>
        <v>NATIONAL ENTERPRISES</v>
      </c>
      <c r="D33" s="69" t="str">
        <f>IF($BJ32&gt;0,IF(INDEX('Final Calculation Sheet'!$B$4:$B$40,$BJ32-3)="","",INDEX('Final Calculation Sheet'!$B$4:$B$40,$BJ32-3)),IF(OR($BI32=1,$BL32=1,$BH32&gt;0),IF($BI32=1,"GRAND TOTAL  —  matching + remaining",IF($BL32=1,"TOTAL MATCHED  —  every group together",IF($BH32=10,"REMAINING  —  did not match the search",IF($BH32=9,IF(COUNTIF($A$4:$AI$4,"&lt;&gt;")&gt;0,"FILTERED LOTS  —  column fields","ALL LOTS  —  nothing typed in the box"),"GROUP "&amp;$BH32&amp;" TOTAL  —  lots matching  "&amp;INDEX($AR$6:$AY$6,$BH32))))),""))</f>
        <v>Scrap of 132 KV CT</v>
      </c>
      <c r="E33" s="69">
        <f>IF($BJ32&gt;0,IF(INDEX('Final Calculation Sheet'!$D$4:$D$40,$BJ32-3)="","",INDEX('Final Calculation Sheet'!$D$4:$D$40,$BJ32-3)),IF(OR($BI32=1,$BL32=1,$BH32&gt;0),"–",""))</f>
        <v>21978</v>
      </c>
      <c r="F33" s="69">
        <f>IF($BJ32&gt;0,IF(INDEX('Final Calculation Sheet'!$A$4:$A$40,$BJ32-3)="","",INDEX('Final Calculation Sheet'!$A$4:$A$40,$BJ32-3)),IF(OR($BI32=1,$BL32=1,$BH32&gt;0),IF($BI32=1,SUM('Final Calculation Sheet'!$A$4:$A$40),IF($BL32=1,SUM('Final Calculation Sheet'!$A$4:$A$40)-SUMIFS('Final Calculation Sheet'!$A$4:$A$40,$AZ$5:$AZ$41,10),SUMIFS('Final Calculation Sheet'!$A$4:$A$40,$AZ$5:$AZ$41,$BH32))),""))</f>
        <v>1</v>
      </c>
      <c r="G33" s="69" t="str">
        <f>IF($BJ32&gt;0,IF(INDEX('Final Calculation Sheet'!$E$4:$E$40,$BJ32-3)="","",INDEX('Final Calculation Sheet'!$E$4:$E$40,$BJ32-3)),IF(OR($BI32=1,$BL32=1,$BH32&gt;0),"–",""))</f>
        <v>NO</v>
      </c>
      <c r="H33" s="70">
        <f>IF($BJ32&gt;0,IF(INDEX('Final Calculation Sheet'!$C$4:$C$40,$BJ32-3)="","",INDEX('Final Calculation Sheet'!$C$4:$C$40,$BJ32-3)),IF(OR($BI32=1,$BL32=1,$BH32&gt;0),"–",""))</f>
        <v>50003</v>
      </c>
      <c r="I33" s="70">
        <f>IF($BJ32&gt;0,IF(INDEX('Final Calculation Sheet'!$H$4:$H$40,$BJ32-3)="","",INDEX('Final Calculation Sheet'!$H$4:$H$40,$BJ32-3)),IF(OR($BI32=1,$BL32=1,$BH32&gt;0),IF($BI32=1,SUM('Final Calculation Sheet'!$H$4:$H$40),IF($BL32=1,SUM('Final Calculation Sheet'!$H$4:$H$40)-SUMIFS('Final Calculation Sheet'!$H$4:$H$40,$AZ$5:$AZ$41,10),SUMIFS('Final Calculation Sheet'!$H$4:$H$40,$AZ$5:$AZ$41,$BH32))),""))</f>
        <v>50003</v>
      </c>
      <c r="J33" s="70">
        <f>IF($BJ32&gt;0,IF(INDEX('Final Calculation Sheet'!$I$4:$I$40,$BJ32-3)="","",INDEX('Final Calculation Sheet'!$I$4:$I$40,$BJ32-3)),IF(OR($BI32=1,$BL32=1,$BH32&gt;0),IF($BI32=1,SUM('Final Calculation Sheet'!$I$4:$I$40),IF($BL32=1,SUM('Final Calculation Sheet'!$I$4:$I$40)-SUMIFS('Final Calculation Sheet'!$I$4:$I$40,$AZ$5:$AZ$41,10),SUMIFS('Final Calculation Sheet'!$I$4:$I$40,$AZ$5:$AZ$41,$BH32))),""))</f>
        <v>9001</v>
      </c>
      <c r="K33" s="70">
        <f>IF($BJ32&gt;0,IF(INDEX('Final Calculation Sheet'!$J$4:$J$40,$BJ32-3)="","",INDEX('Final Calculation Sheet'!$J$4:$J$40,$BJ32-3)),IF(OR($BI32=1,$BL32=1,$BH32&gt;0),IF($BI32=1,SUM('Final Calculation Sheet'!$J$4:$J$40),IF($BL32=1,SUM('Final Calculation Sheet'!$J$4:$J$40)-SUMIFS('Final Calculation Sheet'!$J$4:$J$40,$AZ$5:$AZ$41,10),SUMIFS('Final Calculation Sheet'!$J$4:$J$40,$AZ$5:$AZ$41,$BH32))),""))</f>
        <v>59004</v>
      </c>
      <c r="L33" s="70">
        <f>IF($BJ32&gt;0,IF(INDEX('Final Calculation Sheet'!$K$4:$K$40,$BJ32-3)="","",INDEX('Final Calculation Sheet'!$K$4:$K$40,$BJ32-3)),IF(OR($BI32=1,$BL32=1,$BH32&gt;0),IF($BI32=1,SUM('Final Calculation Sheet'!$K$4:$K$40),IF($BL32=1,SUM('Final Calculation Sheet'!$K$4:$K$40)-SUMIFS('Final Calculation Sheet'!$K$4:$K$40,$AZ$5:$AZ$41,10),SUMIFS('Final Calculation Sheet'!$K$4:$K$40,$AZ$5:$AZ$41,$BH32))),""))</f>
        <v>1180</v>
      </c>
      <c r="M33" s="70">
        <f>IF($BJ32&gt;0,IF(INDEX('Final Calculation Sheet'!$L$4:$L$40,$BJ32-3)="","",INDEX('Final Calculation Sheet'!$L$4:$L$40,$BJ32-3)),IF(OR($BI32=1,$BL32=1,$BH32&gt;0),IF($BI32=1,SUM('Final Calculation Sheet'!$L$4:$L$40),IF($BL32=1,SUM('Final Calculation Sheet'!$L$4:$L$40)-SUMIFS('Final Calculation Sheet'!$L$4:$L$40,$AZ$5:$AZ$41,10),SUMIFS('Final Calculation Sheet'!$L$4:$L$40,$AZ$5:$AZ$41,$BH32))),""))</f>
        <v>50.003</v>
      </c>
      <c r="N33" s="70">
        <f>IF($BJ32&gt;0,IF(INDEX('Final Calculation Sheet'!$M$4:$M$40,$BJ32-3)="","",INDEX('Final Calculation Sheet'!$M$4:$M$40,$BJ32-3)),IF(OR($BI32=1,$BL32=1,$BH32&gt;0),IF($BI32=1,SUM('Final Calculation Sheet'!$M$4:$M$40),IF($BL32=1,SUM('Final Calculation Sheet'!$M$4:$M$40)-SUMIFS('Final Calculation Sheet'!$M$4:$M$40,$AZ$5:$AZ$41,10),SUMIFS('Final Calculation Sheet'!$M$4:$M$40,$AZ$5:$AZ$41,$BH32))),""))</f>
        <v>1327.5796499999999</v>
      </c>
      <c r="O33" s="71">
        <f>IF($BJ32&gt;0,IF(INDEX('Final Calculation Sheet'!$N$4:$N$40,$BJ32-3)="","",INDEX('Final Calculation Sheet'!$N$4:$N$40,$BJ32-3)),IF(OR($BI32=1,$BL32=1,$BH32&gt;0),IF($BI32=1,SUM('Final Calculation Sheet'!$N$4:$N$40),IF($BL32=1,SUM('Final Calculation Sheet'!$N$4:$N$40)-SUMIFS('Final Calculation Sheet'!$N$4:$N$40,$AZ$5:$AZ$41,10),SUMIFS('Final Calculation Sheet'!$N$4:$N$40,$AZ$5:$AZ$41,$BH32))),""))</f>
        <v>22.501349999999999</v>
      </c>
      <c r="P33" s="70">
        <f>IF($BJ32&gt;0,IF(INDEX('Final Calculation Sheet'!$O$4:$O$40,$BJ32-3)="","",INDEX('Final Calculation Sheet'!$O$4:$O$40,$BJ32-3)),IF(OR($BI32=1,$BL32=1,$BH32&gt;0),IF($BI32=1,SUM('Final Calculation Sheet'!$O$4:$O$40),IF($BL32=1,SUM('Final Calculation Sheet'!$O$4:$O$40)-SUMIFS('Final Calculation Sheet'!$O$4:$O$40,$AZ$5:$AZ$41,10),SUMIFS('Final Calculation Sheet'!$O$4:$O$40,$AZ$5:$AZ$41,$BH32))),""))</f>
        <v>1305.0782999999999</v>
      </c>
      <c r="Q33" s="70">
        <f>IF($BJ32&gt;0,IF(INDEX('Final Calculation Sheet'!$P$4:$P$40,$BJ32-3)="","",INDEX('Final Calculation Sheet'!$P$4:$P$40,$BJ32-3)),IF(OR($BI32=1,$BL32=1,$BH32&gt;0),IF($BI32=1,SUM('Final Calculation Sheet'!$P$4:$P$40),IF($BL32=1,SUM('Final Calculation Sheet'!$P$4:$P$40)-SUMIFS('Final Calculation Sheet'!$P$4:$P$40,$AZ$5:$AZ$41,10),SUMIFS('Final Calculation Sheet'!$P$4:$P$40,$AZ$5:$AZ$41,$BH32))),""))</f>
        <v>1355</v>
      </c>
      <c r="R33" s="72">
        <f>IF($BJ32&gt;0,IF(INDEX('Final Calculation Sheet'!$Q$4:$Q$40,$BJ32-3)="","",INDEX('Final Calculation Sheet'!$Q$4:$Q$40,$BJ32-3)),IF(OR($BI32=1,$BL32=1,$BH32&gt;0),"–",""))</f>
        <v>0</v>
      </c>
      <c r="S33" s="70">
        <f>IF($BJ32&gt;0,IF(INDEX('Final Calculation Sheet'!$R$4:$R$40,$BJ32-3)="","",INDEX('Final Calculation Sheet'!$R$4:$R$40,$BJ32-3)),IF(OR($BI32=1,$BL32=1,$BH32&gt;0),IF($BI32=1,SUM('Final Calculation Sheet'!$R$4:$R$40),IF($BL32=1,SUM('Final Calculation Sheet'!$R$4:$R$40)-SUMIFS('Final Calculation Sheet'!$R$4:$R$40,$AZ$5:$AZ$41,10),SUMIFS('Final Calculation Sheet'!$R$4:$R$40,$AZ$5:$AZ$41,$BH32))),""))</f>
        <v>0</v>
      </c>
      <c r="T33" s="70">
        <f>IF($BJ32&gt;0,IF(INDEX('Final Calculation Sheet'!$S$4:$S$40,$BJ32-3)="","",INDEX('Final Calculation Sheet'!$S$4:$S$40,$BJ32-3)),IF(OR($BI32=1,$BL32=1,$BH32&gt;0),IF($BI32=1,SUM('Final Calculation Sheet'!$S$4:$S$40),IF($BL32=1,SUM('Final Calculation Sheet'!$S$4:$S$40)-SUMIFS('Final Calculation Sheet'!$S$4:$S$40,$AZ$5:$AZ$41,10),SUMIFS('Final Calculation Sheet'!$S$4:$S$40,$AZ$5:$AZ$41,$BH32))),""))</f>
        <v>58829</v>
      </c>
      <c r="U33" s="70">
        <f>IF($BJ32&gt;0,IF(INDEX('Final Calculation Sheet'!$T$4:$T$40,$BJ32-3)="","",INDEX('Final Calculation Sheet'!$T$4:$T$40,$BJ32-3)),IF(OR($BI32=1,$BL32=1,$BH32&gt;0),IF($BI32=1,SUM('Final Calculation Sheet'!$T$4:$T$40),IF($BL32=1,SUM('Final Calculation Sheet'!$T$4:$T$40)-SUMIFS('Final Calculation Sheet'!$T$4:$T$40,$AZ$5:$AZ$41,10),SUMIFS('Final Calculation Sheet'!$T$4:$T$40,$AZ$5:$AZ$41,$BH32))),""))</f>
        <v>12501</v>
      </c>
      <c r="V33" s="73">
        <f>IF($BJ32&gt;0,IF(INDEX('Final Calculation Sheet'!$U$4:$U$40,$BJ32-3)="","",INDEX('Final Calculation Sheet'!$U$4:$U$40,$BJ32-3)),IF(OR($BI32=1,$BL32=1,$BH32&gt;0),IF($BI32=1,SUM('Final Calculation Sheet'!$U$4:$U$40),IF($BL32=1,SUM('Final Calculation Sheet'!$U$4:$U$40)-SUMIFS('Final Calculation Sheet'!$U$4:$U$40,$AZ$5:$AZ$41,10),SUMIFS('Final Calculation Sheet'!$U$4:$U$40,$AZ$5:$AZ$41,$BH32))),""))</f>
        <v>12501</v>
      </c>
      <c r="W33" s="70" t="str">
        <f>IF($BJ32&gt;0,IF(INDEX('Final Calculation Sheet'!$V$4:$V$40,$BJ32-3)="","",INDEX('Final Calculation Sheet'!$V$4:$V$40,$BJ32-3)),IF(OR($BI32=1,$BL32=1,$BH32&gt;0),"–",""))</f>
        <v>13.08.2026</v>
      </c>
      <c r="X33" s="70">
        <f>IF($BJ32&gt;0,IF(INDEX('Final Calculation Sheet'!$W$4:$W$40,$BJ32-3)="","",INDEX('Final Calculation Sheet'!$W$4:$W$40,$BJ32-3)),IF(OR($BI32=1,$BL32=1,$BH32&gt;0),IF($BI32=1,SUM('Final Calculation Sheet'!$W$4:$W$40),IF($BL32=1,SUM('Final Calculation Sheet'!$W$4:$W$40)-SUMIFS('Final Calculation Sheet'!$W$4:$W$40,$AZ$5:$AZ$41,10),SUMIFS('Final Calculation Sheet'!$W$4:$W$40,$AZ$5:$AZ$41,$BH32))),""))</f>
        <v>46328</v>
      </c>
      <c r="Y33" s="70">
        <f>IF($BJ32&gt;0,IF(INDEX('Final Calculation Sheet'!$X$4:$X$40,$BJ32-3)="","",INDEX('Final Calculation Sheet'!$X$4:$X$40,$BJ32-3)),IF(OR($BI32=1,$BL32=1,$BH32&gt;0),IF($BI32=1,SUM('Final Calculation Sheet'!$X$4:$X$40),IF($BL32=1,SUM('Final Calculation Sheet'!$X$4:$X$40)-SUMIFS('Final Calculation Sheet'!$X$4:$X$40,$AZ$5:$AZ$41,10),SUMIFS('Final Calculation Sheet'!$X$4:$X$40,$AZ$5:$AZ$41,$BH32))),""))</f>
        <v>46328</v>
      </c>
      <c r="Z33" s="70" t="str">
        <f>IF($BJ32&gt;0,IF(INDEX('Final Calculation Sheet'!$Y$4:$Y$40,$BJ32-3)="","",INDEX('Final Calculation Sheet'!$Y$4:$Y$40,$BJ32-3)),IF(OR($BI32=1,$BL32=1,$BH32&gt;0),"–",""))</f>
        <v>24.08.2026</v>
      </c>
      <c r="AA33" s="70">
        <f ca="1">IF($BJ32&gt;0,IF(INDEX('Final Calculation Sheet'!$Z$4:$Z$40,$BJ32-3)="","",INDEX('Final Calculation Sheet'!$Z$4:$Z$40,$BJ32-3)),IF(OR($BI32=1,$BL32=1,$BH32&gt;0),IF($BI32=1,SUM('Final Calculation Sheet'!$Z$4:$Z$40),IF($BL32=1,SUM('Final Calculation Sheet'!$Z$4:$Z$40)-SUMIFS('Final Calculation Sheet'!$Z$4:$Z$40,$AZ$5:$AZ$41,10),SUMIFS('Final Calculation Sheet'!$Z$4:$Z$40,$AZ$5:$AZ$41,$BH32))),""))</f>
        <v>0</v>
      </c>
      <c r="AB33" s="70" t="str">
        <f>IF($BJ32&gt;0,IF(INDEX('Final Calculation Sheet'!$AA$4:$AA$40,$BJ32-3)="","",INDEX('Final Calculation Sheet'!$AA$4:$AA$40,$BJ32-3)),IF(OR($BI32=1,$BL32=1,$BH32&gt;0),IF($BI32=1,SUM('Final Calculation Sheet'!$AA$4:$AA$40),IF($BL32=1,SUM('Final Calculation Sheet'!$AA$4:$AA$40)-SUMIFS('Final Calculation Sheet'!$AA$4:$AA$40,$AZ$5:$AZ$41,10),SUMIFS('Final Calculation Sheet'!$AA$4:$AA$40,$AZ$5:$AZ$41,$BH32))),""))</f>
        <v/>
      </c>
      <c r="AC33" s="70" t="str">
        <f>IF($BJ32&gt;0,IF(INDEX('Final Calculation Sheet'!$AB$4:$AB$40,$BJ32-3)="","",INDEX('Final Calculation Sheet'!$AB$4:$AB$40,$BJ32-3)),IF(OR($BI32=1,$BL32=1,$BH32&gt;0),"–",""))</f>
        <v/>
      </c>
      <c r="AD33" s="70">
        <f>IF($BJ32&gt;0,IF(INDEX('Final Calculation Sheet'!$AC$4:$AC$40,$BJ32-3)="","",INDEX('Final Calculation Sheet'!$AC$4:$AC$40,$BJ32-3)),IF(OR($BI32=1,$BL32=1,$BH32&gt;0),IF($BI32=1,SUM('Final Calculation Sheet'!$AC$4:$AC$40),IF($BL32=1,SUM('Final Calculation Sheet'!$AC$4:$AC$40)-SUMIFS('Final Calculation Sheet'!$AC$4:$AC$40,$AZ$5:$AZ$41,10),SUMIFS('Final Calculation Sheet'!$AC$4:$AC$40,$AZ$5:$AZ$41,$BH32))),""))</f>
        <v>58829</v>
      </c>
      <c r="AE33" s="70">
        <f>IF($BJ32&gt;0,IF(INDEX('Final Calculation Sheet'!$AD$4:$AD$40,$BJ32-3)="","",INDEX('Final Calculation Sheet'!$AD$4:$AD$40,$BJ32-3)),IF(OR($BI32=1,$BL32=1,$BH32&gt;0),IF($BI32=1,SUM('Final Calculation Sheet'!$AD$4:$AD$40),IF($BL32=1,SUM('Final Calculation Sheet'!$AD$4:$AD$40)-SUMIFS('Final Calculation Sheet'!$AD$4:$AD$40,$AZ$5:$AZ$41,10),SUMIFS('Final Calculation Sheet'!$AD$4:$AD$40,$AZ$5:$AZ$41,$BH32))),""))</f>
        <v>0</v>
      </c>
      <c r="AF33" s="70" t="str">
        <f>IF($BJ32&gt;0,IF(INDEX('Final Calculation Sheet'!$AE$4:$AE$40,$BJ32-3)="","",INDEX('Final Calculation Sheet'!$AE$4:$AE$40,$BJ32-3)),IF(OR($BI32=1,$BL32=1,$BH32&gt;0),"–",""))</f>
        <v>DR2640100036</v>
      </c>
      <c r="AG33" s="74">
        <f>IF($BJ32&gt;0,IF(INDEX('Final Calculation Sheet'!$AF$4:$AF$40,$BJ32-3)="","",INDEX('Final Calculation Sheet'!$AF$4:$AF$40,$BJ32-3)),IF(OR($BI32=1,$BL32=1,$BH32&gt;0),"–",""))</f>
        <v>1800003309</v>
      </c>
      <c r="AH33" s="70" t="str">
        <f>IF($BJ32&gt;0,IF(INDEX('Final Calculation Sheet'!$AG$4:$AG$40,$BJ32-3)="","",INDEX('Final Calculation Sheet'!$AG$4:$AG$40,$BJ32-3)),IF(OR($BI32=1,$BL32=1,$BH32&gt;0),"–",""))</f>
        <v>27.08.2026</v>
      </c>
      <c r="AI33" s="75" t="str">
        <f>IF($BJ32&gt;0,IF(INDEX('Final Calculation Sheet'!$AD$4:$AD$40,$BJ32-3)="","",IF(INDEX('Final Calculation Sheet'!$AD$4:$AD$40,$BJ32-3)&lt;=0,"SETTLED","OUTSTANDING")),IF(OR($BI32=1,$BL32=1,$BH32&gt;0),IF(IF($BI32=1,SUM('Final Calculation Sheet'!$AD$4:$AD$40),IF($BL32=1,SUM('Final Calculation Sheet'!$AD$4:$AD$40)-SUMIFS('Final Calculation Sheet'!$AD$4:$AD$40,$AZ$5:$AZ$41,10),SUMIFS('Final Calculation Sheet'!$AD$4:$AD$40,$AZ$5:$AZ$41,$BH32)))&lt;=0,"ALL SETTLED","OUTSTANDING"),""))</f>
        <v>SETTLED</v>
      </c>
      <c r="AK33" t="str">
        <f>IF($F$3="Lot No.",'Final Calculation Sheet'!$F$32,IF($F$3="Buyer",'Final Calculation Sheet'!$G$32,IF($F$3="Lot Name",'Final Calculation Sheet'!$B$32,IF($F$3="Bid Sheet",'Final Calculation Sheet'!$D$32,IF($F$3="Unit",'Final Calculation Sheet'!$E$32,'Final Calculation Sheet'!$F$32&amp;" "&amp;'Final Calculation Sheet'!$G$32&amp;" "&amp;'Final Calculation Sheet'!$B$32)))))</f>
        <v>2055 NATIONAL ENTERPRISES Scrap of 220 KV CT</v>
      </c>
      <c r="AM33">
        <f t="shared" si="1"/>
        <v>0</v>
      </c>
      <c r="AZ33">
        <f t="shared" si="2"/>
        <v>10</v>
      </c>
      <c r="BA33">
        <f t="shared" si="3"/>
        <v>22</v>
      </c>
      <c r="BB33">
        <f t="shared" si="4"/>
        <v>38</v>
      </c>
      <c r="BC33">
        <v>32</v>
      </c>
      <c r="BH33">
        <f>IFERROR(MATCH(33,$BF$4:$BF$13,0),0)</f>
        <v>0</v>
      </c>
      <c r="BI33">
        <f>IF(33=$BG$5,1,0)</f>
        <v>0</v>
      </c>
      <c r="BJ33">
        <f>IF(OR($BH33&gt;0,$BI33=1,$BL33=1),0,IFERROR(INDEX($BC$5:$BC$41,MATCH(33,$BB$5:$BB$41,0)),0))</f>
        <v>26</v>
      </c>
      <c r="BK33">
        <f>IF($BJ33&gt;0,IF(INDEX($AZ$5:$AZ$41,MATCH(33,$BB$5:$BB$41,0))=10,1,0),IF($BH33=10,1,0))</f>
        <v>1</v>
      </c>
      <c r="BL33">
        <f>IF(33=$BG$4,1,0)</f>
        <v>0</v>
      </c>
      <c r="BM33">
        <f>IF($A$4="",1,--(AND(SUMPRODUCT(--($AS$60:$AZ$60&lt;&gt;""))&gt;0,IF(COUNTIF($BI$60:$BP$60,1)=0,TRUE,SUMPRODUCT(($BI$60:$BP$60=1)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$60,2)=0,TRUE,SUMPRODUCT(($BI$60:$BP$60=2)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$60,3)=0,TRUE,SUMPRODUCT(($BI$60:$BP$60=3)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$60,4)=0,TRUE,SUMPRODUCT(($BI$60:$BP$60=4)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$60,5)=0,TRUE,SUMPRODUCT(($BI$60:$BP$60=5)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$60,6)=0,TRUE,SUMPRODUCT(($BI$60:$BP$60=6)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$60,7)=0,TRUE,SUMPRODUCT(($BI$60:$BP$60=7)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$60,8)=0,TRUE,SUMPRODUCT(($BI$60:$BP$60=8)*($AS$60:$AZ$60&lt;&gt;"")*IF(((UPPER($AS$60:$AZ$60)="BLANK")+(UPPER($AS$60:$AZ$60)="(BLANK)")+(UPPER($AS$60:$AZ$60)="EMPTY")+(UPPER($AS$60:$AZ$60)="(EMPTY)"))&gt;0,IFERROR((ROW()-4)&amp;"","")="",ISNUMBER(SEARCH($AS$60:$AZ$60,IFERROR((ROW()-4)&amp;"","")))))&gt;0))))</f>
        <v>1</v>
      </c>
      <c r="BN33">
        <f>IF($B$4="",1,--(AND(SUMPRODUCT(--($AS$61:$AZ$61&lt;&gt;""))&gt;0,IF(COUNTIF($BI$61:$BP$61,1)=0,TRUE,SUMPRODUCT(($BI$61:$BP$61=1)*($AS$61:$AZ$61&lt;&gt;"")*IF(((UPPER($AS$61:$AZ$61)="BLANK")+(UPPER($AS$61:$AZ$61)="(BLANK)")+(UPPER($AS$61:$AZ$61)="EMPTY")+(UPPER($AS$61:$AZ$61)="(EMPTY)"))&gt;0,IFERROR(('Final Calculation Sheet'!$F$32)&amp;"","")="",ISNUMBER(SEARCH($AS$61:$AZ$61,IFERROR(('Final Calculation Sheet'!$F$32)&amp;"","")))))&gt;0),IF(COUNTIF($BI$61:$BP$61,2)=0,TRUE,SUMPRODUCT(($BI$61:$BP$61=2)*($AS$61:$AZ$61&lt;&gt;"")*IF(((UPPER($AS$61:$AZ$61)="BLANK")+(UPPER($AS$61:$AZ$61)="(BLANK)")+(UPPER($AS$61:$AZ$61)="EMPTY")+(UPPER($AS$61:$AZ$61)="(EMPTY)"))&gt;0,IFERROR(('Final Calculation Sheet'!$F$32)&amp;"","")="",ISNUMBER(SEARCH($AS$61:$AZ$61,IFERROR(('Final Calculation Sheet'!$F$32)&amp;"","")))))&gt;0),IF(COUNTIF($BI$61:$BP$61,3)=0,TRUE,SUMPRODUCT(($BI$61:$BP$61=3)*($AS$61:$AZ$61&lt;&gt;"")*IF(((UPPER($AS$61:$AZ$61)="BLANK")+(UPPER($AS$61:$AZ$61)="(BLANK)")+(UPPER($AS$61:$AZ$61)="EMPTY")+(UPPER($AS$61:$AZ$61)="(EMPTY)"))&gt;0,IFERROR(('Final Calculation Sheet'!$F$32)&amp;"","")="",ISNUMBER(SEARCH($AS$61:$AZ$61,IFERROR(('Final Calculation Sheet'!$F$32)&amp;"","")))))&gt;0),IF(COUNTIF($BI$61:$BP$61,4)=0,TRUE,SUMPRODUCT(($BI$61:$BP$61=4)*($AS$61:$AZ$61&lt;&gt;"")*IF(((UPPER($AS$61:$AZ$61)="BLANK")+(UPPER($AS$61:$AZ$61)="(BLANK)")+(UPPER($AS$61:$AZ$61)="EMPTY")+(UPPER($AS$61:$AZ$61)="(EMPTY)"))&gt;0,IFERROR(('Final Calculation Sheet'!$F$32)&amp;"","")="",ISNUMBER(SEARCH($AS$61:$AZ$61,IFERROR(('Final Calculation Sheet'!$F$32)&amp;"","")))))&gt;0),IF(COUNTIF($BI$61:$BP$61,5)=0,TRUE,SUMPRODUCT(($BI$61:$BP$61=5)*($AS$61:$AZ$61&lt;&gt;"")*IF(((UPPER($AS$61:$AZ$61)="BLANK")+(UPPER($AS$61:$AZ$61)="(BLANK)")+(UPPER($AS$61:$AZ$61)="EMPTY")+(UPPER($AS$61:$AZ$61)="(EMPTY)"))&gt;0,IFERROR(('Final Calculation Sheet'!$F$32)&amp;"","")="",ISNUMBER(SEARCH($AS$61:$AZ$61,IFERROR(('Final Calculation Sheet'!$F$32)&amp;"","")))))&gt;0),IF(COUNTIF($BI$61:$BP$61,6)=0,TRUE,SUMPRODUCT(($BI$61:$BP$61=6)*($AS$61:$AZ$61&lt;&gt;"")*IF(((UPPER($AS$61:$AZ$61)="BLANK")+(UPPER($AS$61:$AZ$61)="(BLANK)")+(UPPER($AS$61:$AZ$61)="EMPTY")+(UPPER($AS$61:$AZ$61)="(EMPTY)"))&gt;0,IFERROR(('Final Calculation Sheet'!$F$32)&amp;"","")="",ISNUMBER(SEARCH($AS$61:$AZ$61,IFERROR(('Final Calculation Sheet'!$F$32)&amp;"","")))))&gt;0),IF(COUNTIF($BI$61:$BP$61,7)=0,TRUE,SUMPRODUCT(($BI$61:$BP$61=7)*($AS$61:$AZ$61&lt;&gt;"")*IF(((UPPER($AS$61:$AZ$61)="BLANK")+(UPPER($AS$61:$AZ$61)="(BLANK)")+(UPPER($AS$61:$AZ$61)="EMPTY")+(UPPER($AS$61:$AZ$61)="(EMPTY)"))&gt;0,IFERROR(('Final Calculation Sheet'!$F$32)&amp;"","")="",ISNUMBER(SEARCH($AS$61:$AZ$61,IFERROR(('Final Calculation Sheet'!$F$32)&amp;"","")))))&gt;0),IF(COUNTIF($BI$61:$BP$61,8)=0,TRUE,SUMPRODUCT(($BI$61:$BP$61=8)*($AS$61:$AZ$61&lt;&gt;"")*IF(((UPPER($AS$61:$AZ$61)="BLANK")+(UPPER($AS$61:$AZ$61)="(BLANK)")+(UPPER($AS$61:$AZ$61)="EMPTY")+(UPPER($AS$61:$AZ$61)="(EMPTY)"))&gt;0,IFERROR(('Final Calculation Sheet'!$F$32)&amp;"","")="",ISNUMBER(SEARCH($AS$61:$AZ$61,IFERROR(('Final Calculation Sheet'!$F$32)&amp;"","")))))&gt;0))))</f>
        <v>1</v>
      </c>
      <c r="BO33">
        <f>IF($C$4="",1,--(AND(SUMPRODUCT(--($AS$62:$AZ$62&lt;&gt;""))&gt;0,IF(COUNTIF($BI$62:$BP$62,1)=0,TRUE,SUMPRODUCT(($BI$62:$BP$62=1)*($AS$62:$AZ$62&lt;&gt;"")*IF(((UPPER($AS$62:$AZ$62)="BLANK")+(UPPER($AS$62:$AZ$62)="(BLANK)")+(UPPER($AS$62:$AZ$62)="EMPTY")+(UPPER($AS$62:$AZ$62)="(EMPTY)"))&gt;0,IFERROR(('Final Calculation Sheet'!$G$32)&amp;"","")="",ISNUMBER(SEARCH($AS$62:$AZ$62,IFERROR(('Final Calculation Sheet'!$G$32)&amp;"","")))))&gt;0),IF(COUNTIF($BI$62:$BP$62,2)=0,TRUE,SUMPRODUCT(($BI$62:$BP$62=2)*($AS$62:$AZ$62&lt;&gt;"")*IF(((UPPER($AS$62:$AZ$62)="BLANK")+(UPPER($AS$62:$AZ$62)="(BLANK)")+(UPPER($AS$62:$AZ$62)="EMPTY")+(UPPER($AS$62:$AZ$62)="(EMPTY)"))&gt;0,IFERROR(('Final Calculation Sheet'!$G$32)&amp;"","")="",ISNUMBER(SEARCH($AS$62:$AZ$62,IFERROR(('Final Calculation Sheet'!$G$32)&amp;"","")))))&gt;0),IF(COUNTIF($BI$62:$BP$62,3)=0,TRUE,SUMPRODUCT(($BI$62:$BP$62=3)*($AS$62:$AZ$62&lt;&gt;"")*IF(((UPPER($AS$62:$AZ$62)="BLANK")+(UPPER($AS$62:$AZ$62)="(BLANK)")+(UPPER($AS$62:$AZ$62)="EMPTY")+(UPPER($AS$62:$AZ$62)="(EMPTY)"))&gt;0,IFERROR(('Final Calculation Sheet'!$G$32)&amp;"","")="",ISNUMBER(SEARCH($AS$62:$AZ$62,IFERROR(('Final Calculation Sheet'!$G$32)&amp;"","")))))&gt;0),IF(COUNTIF($BI$62:$BP$62,4)=0,TRUE,SUMPRODUCT(($BI$62:$BP$62=4)*($AS$62:$AZ$62&lt;&gt;"")*IF(((UPPER($AS$62:$AZ$62)="BLANK")+(UPPER($AS$62:$AZ$62)="(BLANK)")+(UPPER($AS$62:$AZ$62)="EMPTY")+(UPPER($AS$62:$AZ$62)="(EMPTY)"))&gt;0,IFERROR(('Final Calculation Sheet'!$G$32)&amp;"","")="",ISNUMBER(SEARCH($AS$62:$AZ$62,IFERROR(('Final Calculation Sheet'!$G$32)&amp;"","")))))&gt;0),IF(COUNTIF($BI$62:$BP$62,5)=0,TRUE,SUMPRODUCT(($BI$62:$BP$62=5)*($AS$62:$AZ$62&lt;&gt;"")*IF(((UPPER($AS$62:$AZ$62)="BLANK")+(UPPER($AS$62:$AZ$62)="(BLANK)")+(UPPER($AS$62:$AZ$62)="EMPTY")+(UPPER($AS$62:$AZ$62)="(EMPTY)"))&gt;0,IFERROR(('Final Calculation Sheet'!$G$32)&amp;"","")="",ISNUMBER(SEARCH($AS$62:$AZ$62,IFERROR(('Final Calculation Sheet'!$G$32)&amp;"","")))))&gt;0),IF(COUNTIF($BI$62:$BP$62,6)=0,TRUE,SUMPRODUCT(($BI$62:$BP$62=6)*($AS$62:$AZ$62&lt;&gt;"")*IF(((UPPER($AS$62:$AZ$62)="BLANK")+(UPPER($AS$62:$AZ$62)="(BLANK)")+(UPPER($AS$62:$AZ$62)="EMPTY")+(UPPER($AS$62:$AZ$62)="(EMPTY)"))&gt;0,IFERROR(('Final Calculation Sheet'!$G$32)&amp;"","")="",ISNUMBER(SEARCH($AS$62:$AZ$62,IFERROR(('Final Calculation Sheet'!$G$32)&amp;"","")))))&gt;0),IF(COUNTIF($BI$62:$BP$62,7)=0,TRUE,SUMPRODUCT(($BI$62:$BP$62=7)*($AS$62:$AZ$62&lt;&gt;"")*IF(((UPPER($AS$62:$AZ$62)="BLANK")+(UPPER($AS$62:$AZ$62)="(BLANK)")+(UPPER($AS$62:$AZ$62)="EMPTY")+(UPPER($AS$62:$AZ$62)="(EMPTY)"))&gt;0,IFERROR(('Final Calculation Sheet'!$G$32)&amp;"","")="",ISNUMBER(SEARCH($AS$62:$AZ$62,IFERROR(('Final Calculation Sheet'!$G$32)&amp;"","")))))&gt;0),IF(COUNTIF($BI$62:$BP$62,8)=0,TRUE,SUMPRODUCT(($BI$62:$BP$62=8)*($AS$62:$AZ$62&lt;&gt;"")*IF(((UPPER($AS$62:$AZ$62)="BLANK")+(UPPER($AS$62:$AZ$62)="(BLANK)")+(UPPER($AS$62:$AZ$62)="EMPTY")+(UPPER($AS$62:$AZ$62)="(EMPTY)"))&gt;0,IFERROR(('Final Calculation Sheet'!$G$32)&amp;"","")="",ISNUMBER(SEARCH($AS$62:$AZ$62,IFERROR(('Final Calculation Sheet'!$G$32)&amp;"","")))))&gt;0))))</f>
        <v>1</v>
      </c>
      <c r="BP33">
        <f>IF($D$4="",1,--(AND(SUMPRODUCT(--($AS$63:$AZ$63&lt;&gt;""))&gt;0,IF(COUNTIF($BI$63:$BP$63,1)=0,TRUE,SUMPRODUCT(($BI$63:$BP$63=1)*($AS$63:$AZ$63&lt;&gt;"")*IF(((UPPER($AS$63:$AZ$63)="BLANK")+(UPPER($AS$63:$AZ$63)="(BLANK)")+(UPPER($AS$63:$AZ$63)="EMPTY")+(UPPER($AS$63:$AZ$63)="(EMPTY)"))&gt;0,IFERROR(('Final Calculation Sheet'!$B$32)&amp;"","")="",ISNUMBER(SEARCH($AS$63:$AZ$63,IFERROR(('Final Calculation Sheet'!$B$32)&amp;"","")))))&gt;0),IF(COUNTIF($BI$63:$BP$63,2)=0,TRUE,SUMPRODUCT(($BI$63:$BP$63=2)*($AS$63:$AZ$63&lt;&gt;"")*IF(((UPPER($AS$63:$AZ$63)="BLANK")+(UPPER($AS$63:$AZ$63)="(BLANK)")+(UPPER($AS$63:$AZ$63)="EMPTY")+(UPPER($AS$63:$AZ$63)="(EMPTY)"))&gt;0,IFERROR(('Final Calculation Sheet'!$B$32)&amp;"","")="",ISNUMBER(SEARCH($AS$63:$AZ$63,IFERROR(('Final Calculation Sheet'!$B$32)&amp;"","")))))&gt;0),IF(COUNTIF($BI$63:$BP$63,3)=0,TRUE,SUMPRODUCT(($BI$63:$BP$63=3)*($AS$63:$AZ$63&lt;&gt;"")*IF(((UPPER($AS$63:$AZ$63)="BLANK")+(UPPER($AS$63:$AZ$63)="(BLANK)")+(UPPER($AS$63:$AZ$63)="EMPTY")+(UPPER($AS$63:$AZ$63)="(EMPTY)"))&gt;0,IFERROR(('Final Calculation Sheet'!$B$32)&amp;"","")="",ISNUMBER(SEARCH($AS$63:$AZ$63,IFERROR(('Final Calculation Sheet'!$B$32)&amp;"","")))))&gt;0),IF(COUNTIF($BI$63:$BP$63,4)=0,TRUE,SUMPRODUCT(($BI$63:$BP$63=4)*($AS$63:$AZ$63&lt;&gt;"")*IF(((UPPER($AS$63:$AZ$63)="BLANK")+(UPPER($AS$63:$AZ$63)="(BLANK)")+(UPPER($AS$63:$AZ$63)="EMPTY")+(UPPER($AS$63:$AZ$63)="(EMPTY)"))&gt;0,IFERROR(('Final Calculation Sheet'!$B$32)&amp;"","")="",ISNUMBER(SEARCH($AS$63:$AZ$63,IFERROR(('Final Calculation Sheet'!$B$32)&amp;"","")))))&gt;0),IF(COUNTIF($BI$63:$BP$63,5)=0,TRUE,SUMPRODUCT(($BI$63:$BP$63=5)*($AS$63:$AZ$63&lt;&gt;"")*IF(((UPPER($AS$63:$AZ$63)="BLANK")+(UPPER($AS$63:$AZ$63)="(BLANK)")+(UPPER($AS$63:$AZ$63)="EMPTY")+(UPPER($AS$63:$AZ$63)="(EMPTY)"))&gt;0,IFERROR(('Final Calculation Sheet'!$B$32)&amp;"","")="",ISNUMBER(SEARCH($AS$63:$AZ$63,IFERROR(('Final Calculation Sheet'!$B$32)&amp;"","")))))&gt;0),IF(COUNTIF($BI$63:$BP$63,6)=0,TRUE,SUMPRODUCT(($BI$63:$BP$63=6)*($AS$63:$AZ$63&lt;&gt;"")*IF(((UPPER($AS$63:$AZ$63)="BLANK")+(UPPER($AS$63:$AZ$63)="(BLANK)")+(UPPER($AS$63:$AZ$63)="EMPTY")+(UPPER($AS$63:$AZ$63)="(EMPTY)"))&gt;0,IFERROR(('Final Calculation Sheet'!$B$32)&amp;"","")="",ISNUMBER(SEARCH($AS$63:$AZ$63,IFERROR(('Final Calculation Sheet'!$B$32)&amp;"","")))))&gt;0),IF(COUNTIF($BI$63:$BP$63,7)=0,TRUE,SUMPRODUCT(($BI$63:$BP$63=7)*($AS$63:$AZ$63&lt;&gt;"")*IF(((UPPER($AS$63:$AZ$63)="BLANK")+(UPPER($AS$63:$AZ$63)="(BLANK)")+(UPPER($AS$63:$AZ$63)="EMPTY")+(UPPER($AS$63:$AZ$63)="(EMPTY)"))&gt;0,IFERROR(('Final Calculation Sheet'!$B$32)&amp;"","")="",ISNUMBER(SEARCH($AS$63:$AZ$63,IFERROR(('Final Calculation Sheet'!$B$32)&amp;"","")))))&gt;0),IF(COUNTIF($BI$63:$BP$63,8)=0,TRUE,SUMPRODUCT(($BI$63:$BP$63=8)*($AS$63:$AZ$63&lt;&gt;"")*IF(((UPPER($AS$63:$AZ$63)="BLANK")+(UPPER($AS$63:$AZ$63)="(BLANK)")+(UPPER($AS$63:$AZ$63)="EMPTY")+(UPPER($AS$63:$AZ$63)="(EMPTY)"))&gt;0,IFERROR(('Final Calculation Sheet'!$B$32)&amp;"","")="",ISNUMBER(SEARCH($AS$63:$AZ$63,IFERROR(('Final Calculation Sheet'!$B$32)&amp;"","")))))&gt;0))))</f>
        <v>1</v>
      </c>
      <c r="BQ33">
        <f>IF($E$4="",1,--(AND(SUMPRODUCT(--($AS$64:$AZ$64&lt;&gt;""))&gt;0,IF(COUNTIF($BI$64:$BP$64,1)=0,TRUE,SUMPRODUCT(($BI$64:$BP$64=1)*($AS$64:$AZ$64&lt;&gt;"")*IF(((UPPER($AS$64:$AZ$64)="BLANK")+(UPPER($AS$64:$AZ$64)="(BLANK)")+(UPPER($AS$64:$AZ$64)="EMPTY")+(UPPER($AS$64:$AZ$64)="(EMPTY)"))&gt;0,IFERROR(('Final Calculation Sheet'!$D$32)&amp;"","")="",ISNUMBER(SEARCH($AS$64:$AZ$64,IFERROR(('Final Calculation Sheet'!$D$32)&amp;"","")))))&gt;0),IF(COUNTIF($BI$64:$BP$64,2)=0,TRUE,SUMPRODUCT(($BI$64:$BP$64=2)*($AS$64:$AZ$64&lt;&gt;"")*IF(((UPPER($AS$64:$AZ$64)="BLANK")+(UPPER($AS$64:$AZ$64)="(BLANK)")+(UPPER($AS$64:$AZ$64)="EMPTY")+(UPPER($AS$64:$AZ$64)="(EMPTY)"))&gt;0,IFERROR(('Final Calculation Sheet'!$D$32)&amp;"","")="",ISNUMBER(SEARCH($AS$64:$AZ$64,IFERROR(('Final Calculation Sheet'!$D$32)&amp;"","")))))&gt;0),IF(COUNTIF($BI$64:$BP$64,3)=0,TRUE,SUMPRODUCT(($BI$64:$BP$64=3)*($AS$64:$AZ$64&lt;&gt;"")*IF(((UPPER($AS$64:$AZ$64)="BLANK")+(UPPER($AS$64:$AZ$64)="(BLANK)")+(UPPER($AS$64:$AZ$64)="EMPTY")+(UPPER($AS$64:$AZ$64)="(EMPTY)"))&gt;0,IFERROR(('Final Calculation Sheet'!$D$32)&amp;"","")="",ISNUMBER(SEARCH($AS$64:$AZ$64,IFERROR(('Final Calculation Sheet'!$D$32)&amp;"","")))))&gt;0),IF(COUNTIF($BI$64:$BP$64,4)=0,TRUE,SUMPRODUCT(($BI$64:$BP$64=4)*($AS$64:$AZ$64&lt;&gt;"")*IF(((UPPER($AS$64:$AZ$64)="BLANK")+(UPPER($AS$64:$AZ$64)="(BLANK)")+(UPPER($AS$64:$AZ$64)="EMPTY")+(UPPER($AS$64:$AZ$64)="(EMPTY)"))&gt;0,IFERROR(('Final Calculation Sheet'!$D$32)&amp;"","")="",ISNUMBER(SEARCH($AS$64:$AZ$64,IFERROR(('Final Calculation Sheet'!$D$32)&amp;"","")))))&gt;0),IF(COUNTIF($BI$64:$BP$64,5)=0,TRUE,SUMPRODUCT(($BI$64:$BP$64=5)*($AS$64:$AZ$64&lt;&gt;"")*IF(((UPPER($AS$64:$AZ$64)="BLANK")+(UPPER($AS$64:$AZ$64)="(BLANK)")+(UPPER($AS$64:$AZ$64)="EMPTY")+(UPPER($AS$64:$AZ$64)="(EMPTY)"))&gt;0,IFERROR(('Final Calculation Sheet'!$D$32)&amp;"","")="",ISNUMBER(SEARCH($AS$64:$AZ$64,IFERROR(('Final Calculation Sheet'!$D$32)&amp;"","")))))&gt;0),IF(COUNTIF($BI$64:$BP$64,6)=0,TRUE,SUMPRODUCT(($BI$64:$BP$64=6)*($AS$64:$AZ$64&lt;&gt;"")*IF(((UPPER($AS$64:$AZ$64)="BLANK")+(UPPER($AS$64:$AZ$64)="(BLANK)")+(UPPER($AS$64:$AZ$64)="EMPTY")+(UPPER($AS$64:$AZ$64)="(EMPTY)"))&gt;0,IFERROR(('Final Calculation Sheet'!$D$32)&amp;"","")="",ISNUMBER(SEARCH($AS$64:$AZ$64,IFERROR(('Final Calculation Sheet'!$D$32)&amp;"","")))))&gt;0),IF(COUNTIF($BI$64:$BP$64,7)=0,TRUE,SUMPRODUCT(($BI$64:$BP$64=7)*($AS$64:$AZ$64&lt;&gt;"")*IF(((UPPER($AS$64:$AZ$64)="BLANK")+(UPPER($AS$64:$AZ$64)="(BLANK)")+(UPPER($AS$64:$AZ$64)="EMPTY")+(UPPER($AS$64:$AZ$64)="(EMPTY)"))&gt;0,IFERROR(('Final Calculation Sheet'!$D$32)&amp;"","")="",ISNUMBER(SEARCH($AS$64:$AZ$64,IFERROR(('Final Calculation Sheet'!$D$32)&amp;"","")))))&gt;0),IF(COUNTIF($BI$64:$BP$64,8)=0,TRUE,SUMPRODUCT(($BI$64:$BP$64=8)*($AS$64:$AZ$64&lt;&gt;"")*IF(((UPPER($AS$64:$AZ$64)="BLANK")+(UPPER($AS$64:$AZ$64)="(BLANK)")+(UPPER($AS$64:$AZ$64)="EMPTY")+(UPPER($AS$64:$AZ$64)="(EMPTY)"))&gt;0,IFERROR(('Final Calculation Sheet'!$D$32)&amp;"","")="",ISNUMBER(SEARCH($AS$64:$AZ$64,IFERROR(('Final Calculation Sheet'!$D$32)&amp;"","")))))&gt;0))))</f>
        <v>1</v>
      </c>
      <c r="BR33">
        <f>IF($F$4="",1,--(AND(SUMPRODUCT(--($AS$65:$AZ$65&lt;&gt;""))&gt;0,IF(COUNTIF($BI$65:$BP$65,1)=0,TRUE,SUMPRODUCT(($BI$65:$BP$65=1)*($AS$65:$AZ$65&lt;&gt;"")*IF(((UPPER($AS$65:$AZ$65)="BLANK")+(UPPER($AS$65:$AZ$65)="(BLANK)")+(UPPER($AS$65:$AZ$65)="EMPTY")+(UPPER($AS$65:$AZ$65)="(EMPTY)"))&gt;0,IFERROR(('Final Calculation Sheet'!$A$32)&amp;"","")="",ISNUMBER(SEARCH($AS$65:$AZ$65,IFERROR(('Final Calculation Sheet'!$A$32)&amp;"","")))))&gt;0),IF(COUNTIF($BI$65:$BP$65,2)=0,TRUE,SUMPRODUCT(($BI$65:$BP$65=2)*($AS$65:$AZ$65&lt;&gt;"")*IF(((UPPER($AS$65:$AZ$65)="BLANK")+(UPPER($AS$65:$AZ$65)="(BLANK)")+(UPPER($AS$65:$AZ$65)="EMPTY")+(UPPER($AS$65:$AZ$65)="(EMPTY)"))&gt;0,IFERROR(('Final Calculation Sheet'!$A$32)&amp;"","")="",ISNUMBER(SEARCH($AS$65:$AZ$65,IFERROR(('Final Calculation Sheet'!$A$32)&amp;"","")))))&gt;0),IF(COUNTIF($BI$65:$BP$65,3)=0,TRUE,SUMPRODUCT(($BI$65:$BP$65=3)*($AS$65:$AZ$65&lt;&gt;"")*IF(((UPPER($AS$65:$AZ$65)="BLANK")+(UPPER($AS$65:$AZ$65)="(BLANK)")+(UPPER($AS$65:$AZ$65)="EMPTY")+(UPPER($AS$65:$AZ$65)="(EMPTY)"))&gt;0,IFERROR(('Final Calculation Sheet'!$A$32)&amp;"","")="",ISNUMBER(SEARCH($AS$65:$AZ$65,IFERROR(('Final Calculation Sheet'!$A$32)&amp;"","")))))&gt;0),IF(COUNTIF($BI$65:$BP$65,4)=0,TRUE,SUMPRODUCT(($BI$65:$BP$65=4)*($AS$65:$AZ$65&lt;&gt;"")*IF(((UPPER($AS$65:$AZ$65)="BLANK")+(UPPER($AS$65:$AZ$65)="(BLANK)")+(UPPER($AS$65:$AZ$65)="EMPTY")+(UPPER($AS$65:$AZ$65)="(EMPTY)"))&gt;0,IFERROR(('Final Calculation Sheet'!$A$32)&amp;"","")="",ISNUMBER(SEARCH($AS$65:$AZ$65,IFERROR(('Final Calculation Sheet'!$A$32)&amp;"","")))))&gt;0),IF(COUNTIF($BI$65:$BP$65,5)=0,TRUE,SUMPRODUCT(($BI$65:$BP$65=5)*($AS$65:$AZ$65&lt;&gt;"")*IF(((UPPER($AS$65:$AZ$65)="BLANK")+(UPPER($AS$65:$AZ$65)="(BLANK)")+(UPPER($AS$65:$AZ$65)="EMPTY")+(UPPER($AS$65:$AZ$65)="(EMPTY)"))&gt;0,IFERROR(('Final Calculation Sheet'!$A$32)&amp;"","")="",ISNUMBER(SEARCH($AS$65:$AZ$65,IFERROR(('Final Calculation Sheet'!$A$32)&amp;"","")))))&gt;0),IF(COUNTIF($BI$65:$BP$65,6)=0,TRUE,SUMPRODUCT(($BI$65:$BP$65=6)*($AS$65:$AZ$65&lt;&gt;"")*IF(((UPPER($AS$65:$AZ$65)="BLANK")+(UPPER($AS$65:$AZ$65)="(BLANK)")+(UPPER($AS$65:$AZ$65)="EMPTY")+(UPPER($AS$65:$AZ$65)="(EMPTY)"))&gt;0,IFERROR(('Final Calculation Sheet'!$A$32)&amp;"","")="",ISNUMBER(SEARCH($AS$65:$AZ$65,IFERROR(('Final Calculation Sheet'!$A$32)&amp;"","")))))&gt;0),IF(COUNTIF($BI$65:$BP$65,7)=0,TRUE,SUMPRODUCT(($BI$65:$BP$65=7)*($AS$65:$AZ$65&lt;&gt;"")*IF(((UPPER($AS$65:$AZ$65)="BLANK")+(UPPER($AS$65:$AZ$65)="(BLANK)")+(UPPER($AS$65:$AZ$65)="EMPTY")+(UPPER($AS$65:$AZ$65)="(EMPTY)"))&gt;0,IFERROR(('Final Calculation Sheet'!$A$32)&amp;"","")="",ISNUMBER(SEARCH($AS$65:$AZ$65,IFERROR(('Final Calculation Sheet'!$A$32)&amp;"","")))))&gt;0),IF(COUNTIF($BI$65:$BP$65,8)=0,TRUE,SUMPRODUCT(($BI$65:$BP$65=8)*($AS$65:$AZ$65&lt;&gt;"")*IF(((UPPER($AS$65:$AZ$65)="BLANK")+(UPPER($AS$65:$AZ$65)="(BLANK)")+(UPPER($AS$65:$AZ$65)="EMPTY")+(UPPER($AS$65:$AZ$65)="(EMPTY)"))&gt;0,IFERROR(('Final Calculation Sheet'!$A$32)&amp;"","")="",ISNUMBER(SEARCH($AS$65:$AZ$65,IFERROR(('Final Calculation Sheet'!$A$32)&amp;"","")))))&gt;0))))</f>
        <v>1</v>
      </c>
      <c r="BS33">
        <f>IF($G$4="",1,--(AND(SUMPRODUCT(--($AS$66:$AZ$66&lt;&gt;""))&gt;0,IF(COUNTIF($BI$66:$BP$66,1)=0,TRUE,SUMPRODUCT(($BI$66:$BP$66=1)*($AS$66:$AZ$66&lt;&gt;"")*IF(((UPPER($AS$66:$AZ$66)="BLANK")+(UPPER($AS$66:$AZ$66)="(BLANK)")+(UPPER($AS$66:$AZ$66)="EMPTY")+(UPPER($AS$66:$AZ$66)="(EMPTY)"))&gt;0,IFERROR(('Final Calculation Sheet'!$E$32)&amp;"","")="",ISNUMBER(SEARCH($AS$66:$AZ$66,IFERROR(('Final Calculation Sheet'!$E$32)&amp;"","")))))&gt;0),IF(COUNTIF($BI$66:$BP$66,2)=0,TRUE,SUMPRODUCT(($BI$66:$BP$66=2)*($AS$66:$AZ$66&lt;&gt;"")*IF(((UPPER($AS$66:$AZ$66)="BLANK")+(UPPER($AS$66:$AZ$66)="(BLANK)")+(UPPER($AS$66:$AZ$66)="EMPTY")+(UPPER($AS$66:$AZ$66)="(EMPTY)"))&gt;0,IFERROR(('Final Calculation Sheet'!$E$32)&amp;"","")="",ISNUMBER(SEARCH($AS$66:$AZ$66,IFERROR(('Final Calculation Sheet'!$E$32)&amp;"","")))))&gt;0),IF(COUNTIF($BI$66:$BP$66,3)=0,TRUE,SUMPRODUCT(($BI$66:$BP$66=3)*($AS$66:$AZ$66&lt;&gt;"")*IF(((UPPER($AS$66:$AZ$66)="BLANK")+(UPPER($AS$66:$AZ$66)="(BLANK)")+(UPPER($AS$66:$AZ$66)="EMPTY")+(UPPER($AS$66:$AZ$66)="(EMPTY)"))&gt;0,IFERROR(('Final Calculation Sheet'!$E$32)&amp;"","")="",ISNUMBER(SEARCH($AS$66:$AZ$66,IFERROR(('Final Calculation Sheet'!$E$32)&amp;"","")))))&gt;0),IF(COUNTIF($BI$66:$BP$66,4)=0,TRUE,SUMPRODUCT(($BI$66:$BP$66=4)*($AS$66:$AZ$66&lt;&gt;"")*IF(((UPPER($AS$66:$AZ$66)="BLANK")+(UPPER($AS$66:$AZ$66)="(BLANK)")+(UPPER($AS$66:$AZ$66)="EMPTY")+(UPPER($AS$66:$AZ$66)="(EMPTY)"))&gt;0,IFERROR(('Final Calculation Sheet'!$E$32)&amp;"","")="",ISNUMBER(SEARCH($AS$66:$AZ$66,IFERROR(('Final Calculation Sheet'!$E$32)&amp;"","")))))&gt;0),IF(COUNTIF($BI$66:$BP$66,5)=0,TRUE,SUMPRODUCT(($BI$66:$BP$66=5)*($AS$66:$AZ$66&lt;&gt;"")*IF(((UPPER($AS$66:$AZ$66)="BLANK")+(UPPER($AS$66:$AZ$66)="(BLANK)")+(UPPER($AS$66:$AZ$66)="EMPTY")+(UPPER($AS$66:$AZ$66)="(EMPTY)"))&gt;0,IFERROR(('Final Calculation Sheet'!$E$32)&amp;"","")="",ISNUMBER(SEARCH($AS$66:$AZ$66,IFERROR(('Final Calculation Sheet'!$E$32)&amp;"","")))))&gt;0),IF(COUNTIF($BI$66:$BP$66,6)=0,TRUE,SUMPRODUCT(($BI$66:$BP$66=6)*($AS$66:$AZ$66&lt;&gt;"")*IF(((UPPER($AS$66:$AZ$66)="BLANK")+(UPPER($AS$66:$AZ$66)="(BLANK)")+(UPPER($AS$66:$AZ$66)="EMPTY")+(UPPER($AS$66:$AZ$66)="(EMPTY)"))&gt;0,IFERROR(('Final Calculation Sheet'!$E$32)&amp;"","")="",ISNUMBER(SEARCH($AS$66:$AZ$66,IFERROR(('Final Calculation Sheet'!$E$32)&amp;"","")))))&gt;0),IF(COUNTIF($BI$66:$BP$66,7)=0,TRUE,SUMPRODUCT(($BI$66:$BP$66=7)*($AS$66:$AZ$66&lt;&gt;"")*IF(((UPPER($AS$66:$AZ$66)="BLANK")+(UPPER($AS$66:$AZ$66)="(BLANK)")+(UPPER($AS$66:$AZ$66)="EMPTY")+(UPPER($AS$66:$AZ$66)="(EMPTY)"))&gt;0,IFERROR(('Final Calculation Sheet'!$E$32)&amp;"","")="",ISNUMBER(SEARCH($AS$66:$AZ$66,IFERROR(('Final Calculation Sheet'!$E$32)&amp;"","")))))&gt;0),IF(COUNTIF($BI$66:$BP$66,8)=0,TRUE,SUMPRODUCT(($BI$66:$BP$66=8)*($AS$66:$AZ$66&lt;&gt;"")*IF(((UPPER($AS$66:$AZ$66)="BLANK")+(UPPER($AS$66:$AZ$66)="(BLANK)")+(UPPER($AS$66:$AZ$66)="EMPTY")+(UPPER($AS$66:$AZ$66)="(EMPTY)"))&gt;0,IFERROR(('Final Calculation Sheet'!$E$32)&amp;"","")="",ISNUMBER(SEARCH($AS$66:$AZ$66,IFERROR(('Final Calculation Sheet'!$E$32)&amp;"","")))))&gt;0))))</f>
        <v>1</v>
      </c>
      <c r="BT33">
        <f>IF($H$4="",1,--(AND(SUMPRODUCT(--($AS$67:$AZ$67&lt;&gt;""))&gt;0,IF(COUNTIF($BI$67:$BP$67,1)=0,TRUE,SUMPRODUCT(($BI$67:$BP$67=1)*($AS$67:$AZ$67&lt;&gt;"")*IF(((UPPER($AS$67:$AZ$67)="BLANK")+(UPPER($AS$67:$AZ$67)="(BLANK)")+(UPPER($AS$67:$AZ$67)="EMPTY")+(UPPER($AS$67:$AZ$67)="(EMPTY)"))&gt;0,IFERROR(('Final Calculation Sheet'!$C$32)&amp;"","")="",ISNUMBER(SEARCH($AS$67:$AZ$67,IFERROR(('Final Calculation Sheet'!$C$32)&amp;"","")))))&gt;0),IF(COUNTIF($BI$67:$BP$67,2)=0,TRUE,SUMPRODUCT(($BI$67:$BP$67=2)*($AS$67:$AZ$67&lt;&gt;"")*IF(((UPPER($AS$67:$AZ$67)="BLANK")+(UPPER($AS$67:$AZ$67)="(BLANK)")+(UPPER($AS$67:$AZ$67)="EMPTY")+(UPPER($AS$67:$AZ$67)="(EMPTY)"))&gt;0,IFERROR(('Final Calculation Sheet'!$C$32)&amp;"","")="",ISNUMBER(SEARCH($AS$67:$AZ$67,IFERROR(('Final Calculation Sheet'!$C$32)&amp;"","")))))&gt;0),IF(COUNTIF($BI$67:$BP$67,3)=0,TRUE,SUMPRODUCT(($BI$67:$BP$67=3)*($AS$67:$AZ$67&lt;&gt;"")*IF(((UPPER($AS$67:$AZ$67)="BLANK")+(UPPER($AS$67:$AZ$67)="(BLANK)")+(UPPER($AS$67:$AZ$67)="EMPTY")+(UPPER($AS$67:$AZ$67)="(EMPTY)"))&gt;0,IFERROR(('Final Calculation Sheet'!$C$32)&amp;"","")="",ISNUMBER(SEARCH($AS$67:$AZ$67,IFERROR(('Final Calculation Sheet'!$C$32)&amp;"","")))))&gt;0),IF(COUNTIF($BI$67:$BP$67,4)=0,TRUE,SUMPRODUCT(($BI$67:$BP$67=4)*($AS$67:$AZ$67&lt;&gt;"")*IF(((UPPER($AS$67:$AZ$67)="BLANK")+(UPPER($AS$67:$AZ$67)="(BLANK)")+(UPPER($AS$67:$AZ$67)="EMPTY")+(UPPER($AS$67:$AZ$67)="(EMPTY)"))&gt;0,IFERROR(('Final Calculation Sheet'!$C$32)&amp;"","")="",ISNUMBER(SEARCH($AS$67:$AZ$67,IFERROR(('Final Calculation Sheet'!$C$32)&amp;"","")))))&gt;0),IF(COUNTIF($BI$67:$BP$67,5)=0,TRUE,SUMPRODUCT(($BI$67:$BP$67=5)*($AS$67:$AZ$67&lt;&gt;"")*IF(((UPPER($AS$67:$AZ$67)="BLANK")+(UPPER($AS$67:$AZ$67)="(BLANK)")+(UPPER($AS$67:$AZ$67)="EMPTY")+(UPPER($AS$67:$AZ$67)="(EMPTY)"))&gt;0,IFERROR(('Final Calculation Sheet'!$C$32)&amp;"","")="",ISNUMBER(SEARCH($AS$67:$AZ$67,IFERROR(('Final Calculation Sheet'!$C$32)&amp;"","")))))&gt;0),IF(COUNTIF($BI$67:$BP$67,6)=0,TRUE,SUMPRODUCT(($BI$67:$BP$67=6)*($AS$67:$AZ$67&lt;&gt;"")*IF(((UPPER($AS$67:$AZ$67)="BLANK")+(UPPER($AS$67:$AZ$67)="(BLANK)")+(UPPER($AS$67:$AZ$67)="EMPTY")+(UPPER($AS$67:$AZ$67)="(EMPTY)"))&gt;0,IFERROR(('Final Calculation Sheet'!$C$32)&amp;"","")="",ISNUMBER(SEARCH($AS$67:$AZ$67,IFERROR(('Final Calculation Sheet'!$C$32)&amp;"","")))))&gt;0),IF(COUNTIF($BI$67:$BP$67,7)=0,TRUE,SUMPRODUCT(($BI$67:$BP$67=7)*($AS$67:$AZ$67&lt;&gt;"")*IF(((UPPER($AS$67:$AZ$67)="BLANK")+(UPPER($AS$67:$AZ$67)="(BLANK)")+(UPPER($AS$67:$AZ$67)="EMPTY")+(UPPER($AS$67:$AZ$67)="(EMPTY)"))&gt;0,IFERROR(('Final Calculation Sheet'!$C$32)&amp;"","")="",ISNUMBER(SEARCH($AS$67:$AZ$67,IFERROR(('Final Calculation Sheet'!$C$32)&amp;"","")))))&gt;0),IF(COUNTIF($BI$67:$BP$67,8)=0,TRUE,SUMPRODUCT(($BI$67:$BP$67=8)*($AS$67:$AZ$67&lt;&gt;"")*IF(((UPPER($AS$67:$AZ$67)="BLANK")+(UPPER($AS$67:$AZ$67)="(BLANK)")+(UPPER($AS$67:$AZ$67)="EMPTY")+(UPPER($AS$67:$AZ$67)="(EMPTY)"))&gt;0,IFERROR(('Final Calculation Sheet'!$C$32)&amp;"","")="",ISNUMBER(SEARCH($AS$67:$AZ$67,IFERROR(('Final Calculation Sheet'!$C$32)&amp;"","")))))&gt;0))))</f>
        <v>1</v>
      </c>
      <c r="BU33">
        <f>IF($I$4="",1,--(AND(SUMPRODUCT(--($AS$68:$AZ$68&lt;&gt;""))&gt;0,IF(COUNTIF($BI$68:$BP$68,1)=0,TRUE,SUMPRODUCT(($BI$68:$BP$68=1)*($AS$68:$AZ$68&lt;&gt;"")*IF(((UPPER($AS$68:$AZ$68)="BLANK")+(UPPER($AS$68:$AZ$68)="(BLANK)")+(UPPER($AS$68:$AZ$68)="EMPTY")+(UPPER($AS$68:$AZ$68)="(EMPTY)"))&gt;0,IFERROR(('Final Calculation Sheet'!$H$32)&amp;"","")="",ISNUMBER(SEARCH($AS$68:$AZ$68,IFERROR(('Final Calculation Sheet'!$H$32)&amp;"","")))))&gt;0),IF(COUNTIF($BI$68:$BP$68,2)=0,TRUE,SUMPRODUCT(($BI$68:$BP$68=2)*($AS$68:$AZ$68&lt;&gt;"")*IF(((UPPER($AS$68:$AZ$68)="BLANK")+(UPPER($AS$68:$AZ$68)="(BLANK)")+(UPPER($AS$68:$AZ$68)="EMPTY")+(UPPER($AS$68:$AZ$68)="(EMPTY)"))&gt;0,IFERROR(('Final Calculation Sheet'!$H$32)&amp;"","")="",ISNUMBER(SEARCH($AS$68:$AZ$68,IFERROR(('Final Calculation Sheet'!$H$32)&amp;"","")))))&gt;0),IF(COUNTIF($BI$68:$BP$68,3)=0,TRUE,SUMPRODUCT(($BI$68:$BP$68=3)*($AS$68:$AZ$68&lt;&gt;"")*IF(((UPPER($AS$68:$AZ$68)="BLANK")+(UPPER($AS$68:$AZ$68)="(BLANK)")+(UPPER($AS$68:$AZ$68)="EMPTY")+(UPPER($AS$68:$AZ$68)="(EMPTY)"))&gt;0,IFERROR(('Final Calculation Sheet'!$H$32)&amp;"","")="",ISNUMBER(SEARCH($AS$68:$AZ$68,IFERROR(('Final Calculation Sheet'!$H$32)&amp;"","")))))&gt;0),IF(COUNTIF($BI$68:$BP$68,4)=0,TRUE,SUMPRODUCT(($BI$68:$BP$68=4)*($AS$68:$AZ$68&lt;&gt;"")*IF(((UPPER($AS$68:$AZ$68)="BLANK")+(UPPER($AS$68:$AZ$68)="(BLANK)")+(UPPER($AS$68:$AZ$68)="EMPTY")+(UPPER($AS$68:$AZ$68)="(EMPTY)"))&gt;0,IFERROR(('Final Calculation Sheet'!$H$32)&amp;"","")="",ISNUMBER(SEARCH($AS$68:$AZ$68,IFERROR(('Final Calculation Sheet'!$H$32)&amp;"","")))))&gt;0),IF(COUNTIF($BI$68:$BP$68,5)=0,TRUE,SUMPRODUCT(($BI$68:$BP$68=5)*($AS$68:$AZ$68&lt;&gt;"")*IF(((UPPER($AS$68:$AZ$68)="BLANK")+(UPPER($AS$68:$AZ$68)="(BLANK)")+(UPPER($AS$68:$AZ$68)="EMPTY")+(UPPER($AS$68:$AZ$68)="(EMPTY)"))&gt;0,IFERROR(('Final Calculation Sheet'!$H$32)&amp;"","")="",ISNUMBER(SEARCH($AS$68:$AZ$68,IFERROR(('Final Calculation Sheet'!$H$32)&amp;"","")))))&gt;0),IF(COUNTIF($BI$68:$BP$68,6)=0,TRUE,SUMPRODUCT(($BI$68:$BP$68=6)*($AS$68:$AZ$68&lt;&gt;"")*IF(((UPPER($AS$68:$AZ$68)="BLANK")+(UPPER($AS$68:$AZ$68)="(BLANK)")+(UPPER($AS$68:$AZ$68)="EMPTY")+(UPPER($AS$68:$AZ$68)="(EMPTY)"))&gt;0,IFERROR(('Final Calculation Sheet'!$H$32)&amp;"","")="",ISNUMBER(SEARCH($AS$68:$AZ$68,IFERROR(('Final Calculation Sheet'!$H$32)&amp;"","")))))&gt;0),IF(COUNTIF($BI$68:$BP$68,7)=0,TRUE,SUMPRODUCT(($BI$68:$BP$68=7)*($AS$68:$AZ$68&lt;&gt;"")*IF(((UPPER($AS$68:$AZ$68)="BLANK")+(UPPER($AS$68:$AZ$68)="(BLANK)")+(UPPER($AS$68:$AZ$68)="EMPTY")+(UPPER($AS$68:$AZ$68)="(EMPTY)"))&gt;0,IFERROR(('Final Calculation Sheet'!$H$32)&amp;"","")="",ISNUMBER(SEARCH($AS$68:$AZ$68,IFERROR(('Final Calculation Sheet'!$H$32)&amp;"","")))))&gt;0),IF(COUNTIF($BI$68:$BP$68,8)=0,TRUE,SUMPRODUCT(($BI$68:$BP$68=8)*($AS$68:$AZ$68&lt;&gt;"")*IF(((UPPER($AS$68:$AZ$68)="BLANK")+(UPPER($AS$68:$AZ$68)="(BLANK)")+(UPPER($AS$68:$AZ$68)="EMPTY")+(UPPER($AS$68:$AZ$68)="(EMPTY)"))&gt;0,IFERROR(('Final Calculation Sheet'!$H$32)&amp;"","")="",ISNUMBER(SEARCH($AS$68:$AZ$68,IFERROR(('Final Calculation Sheet'!$H$32)&amp;"","")))))&gt;0))))</f>
        <v>1</v>
      </c>
      <c r="BV33">
        <f>IF($J$4="",1,--(AND(SUMPRODUCT(--($AS$69:$AZ$69&lt;&gt;""))&gt;0,IF(COUNTIF($BI$69:$BP$69,1)=0,TRUE,SUMPRODUCT(($BI$69:$BP$69=1)*($AS$69:$AZ$69&lt;&gt;"")*IF(((UPPER($AS$69:$AZ$69)="BLANK")+(UPPER($AS$69:$AZ$69)="(BLANK)")+(UPPER($AS$69:$AZ$69)="EMPTY")+(UPPER($AS$69:$AZ$69)="(EMPTY)"))&gt;0,IFERROR(('Final Calculation Sheet'!$I$32)&amp;"","")="",ISNUMBER(SEARCH($AS$69:$AZ$69,IFERROR(('Final Calculation Sheet'!$I$32)&amp;"","")))))&gt;0),IF(COUNTIF($BI$69:$BP$69,2)=0,TRUE,SUMPRODUCT(($BI$69:$BP$69=2)*($AS$69:$AZ$69&lt;&gt;"")*IF(((UPPER($AS$69:$AZ$69)="BLANK")+(UPPER($AS$69:$AZ$69)="(BLANK)")+(UPPER($AS$69:$AZ$69)="EMPTY")+(UPPER($AS$69:$AZ$69)="(EMPTY)"))&gt;0,IFERROR(('Final Calculation Sheet'!$I$32)&amp;"","")="",ISNUMBER(SEARCH($AS$69:$AZ$69,IFERROR(('Final Calculation Sheet'!$I$32)&amp;"","")))))&gt;0),IF(COUNTIF($BI$69:$BP$69,3)=0,TRUE,SUMPRODUCT(($BI$69:$BP$69=3)*($AS$69:$AZ$69&lt;&gt;"")*IF(((UPPER($AS$69:$AZ$69)="BLANK")+(UPPER($AS$69:$AZ$69)="(BLANK)")+(UPPER($AS$69:$AZ$69)="EMPTY")+(UPPER($AS$69:$AZ$69)="(EMPTY)"))&gt;0,IFERROR(('Final Calculation Sheet'!$I$32)&amp;"","")="",ISNUMBER(SEARCH($AS$69:$AZ$69,IFERROR(('Final Calculation Sheet'!$I$32)&amp;"","")))))&gt;0),IF(COUNTIF($BI$69:$BP$69,4)=0,TRUE,SUMPRODUCT(($BI$69:$BP$69=4)*($AS$69:$AZ$69&lt;&gt;"")*IF(((UPPER($AS$69:$AZ$69)="BLANK")+(UPPER($AS$69:$AZ$69)="(BLANK)")+(UPPER($AS$69:$AZ$69)="EMPTY")+(UPPER($AS$69:$AZ$69)="(EMPTY)"))&gt;0,IFERROR(('Final Calculation Sheet'!$I$32)&amp;"","")="",ISNUMBER(SEARCH($AS$69:$AZ$69,IFERROR(('Final Calculation Sheet'!$I$32)&amp;"","")))))&gt;0),IF(COUNTIF($BI$69:$BP$69,5)=0,TRUE,SUMPRODUCT(($BI$69:$BP$69=5)*($AS$69:$AZ$69&lt;&gt;"")*IF(((UPPER($AS$69:$AZ$69)="BLANK")+(UPPER($AS$69:$AZ$69)="(BLANK)")+(UPPER($AS$69:$AZ$69)="EMPTY")+(UPPER($AS$69:$AZ$69)="(EMPTY)"))&gt;0,IFERROR(('Final Calculation Sheet'!$I$32)&amp;"","")="",ISNUMBER(SEARCH($AS$69:$AZ$69,IFERROR(('Final Calculation Sheet'!$I$32)&amp;"","")))))&gt;0),IF(COUNTIF($BI$69:$BP$69,6)=0,TRUE,SUMPRODUCT(($BI$69:$BP$69=6)*($AS$69:$AZ$69&lt;&gt;"")*IF(((UPPER($AS$69:$AZ$69)="BLANK")+(UPPER($AS$69:$AZ$69)="(BLANK)")+(UPPER($AS$69:$AZ$69)="EMPTY")+(UPPER($AS$69:$AZ$69)="(EMPTY)"))&gt;0,IFERROR(('Final Calculation Sheet'!$I$32)&amp;"","")="",ISNUMBER(SEARCH($AS$69:$AZ$69,IFERROR(('Final Calculation Sheet'!$I$32)&amp;"","")))))&gt;0),IF(COUNTIF($BI$69:$BP$69,7)=0,TRUE,SUMPRODUCT(($BI$69:$BP$69=7)*($AS$69:$AZ$69&lt;&gt;"")*IF(((UPPER($AS$69:$AZ$69)="BLANK")+(UPPER($AS$69:$AZ$69)="(BLANK)")+(UPPER($AS$69:$AZ$69)="EMPTY")+(UPPER($AS$69:$AZ$69)="(EMPTY)"))&gt;0,IFERROR(('Final Calculation Sheet'!$I$32)&amp;"","")="",ISNUMBER(SEARCH($AS$69:$AZ$69,IFERROR(('Final Calculation Sheet'!$I$32)&amp;"","")))))&gt;0),IF(COUNTIF($BI$69:$BP$69,8)=0,TRUE,SUMPRODUCT(($BI$69:$BP$69=8)*($AS$69:$AZ$69&lt;&gt;"")*IF(((UPPER($AS$69:$AZ$69)="BLANK")+(UPPER($AS$69:$AZ$69)="(BLANK)")+(UPPER($AS$69:$AZ$69)="EMPTY")+(UPPER($AS$69:$AZ$69)="(EMPTY)"))&gt;0,IFERROR(('Final Calculation Sheet'!$I$32)&amp;"","")="",ISNUMBER(SEARCH($AS$69:$AZ$69,IFERROR(('Final Calculation Sheet'!$I$32)&amp;"","")))))&gt;0))))</f>
        <v>1</v>
      </c>
      <c r="BW33">
        <f>IF($K$4="",1,--(AND(SUMPRODUCT(--($AS$70:$AZ$70&lt;&gt;""))&gt;0,IF(COUNTIF($BI$70:$BP$70,1)=0,TRUE,SUMPRODUCT(($BI$70:$BP$70=1)*($AS$70:$AZ$70&lt;&gt;"")*IF(((UPPER($AS$70:$AZ$70)="BLANK")+(UPPER($AS$70:$AZ$70)="(BLANK)")+(UPPER($AS$70:$AZ$70)="EMPTY")+(UPPER($AS$70:$AZ$70)="(EMPTY)"))&gt;0,IFERROR(('Final Calculation Sheet'!$J$32)&amp;"","")="",ISNUMBER(SEARCH($AS$70:$AZ$70,IFERROR(('Final Calculation Sheet'!$J$32)&amp;"","")))))&gt;0),IF(COUNTIF($BI$70:$BP$70,2)=0,TRUE,SUMPRODUCT(($BI$70:$BP$70=2)*($AS$70:$AZ$70&lt;&gt;"")*IF(((UPPER($AS$70:$AZ$70)="BLANK")+(UPPER($AS$70:$AZ$70)="(BLANK)")+(UPPER($AS$70:$AZ$70)="EMPTY")+(UPPER($AS$70:$AZ$70)="(EMPTY)"))&gt;0,IFERROR(('Final Calculation Sheet'!$J$32)&amp;"","")="",ISNUMBER(SEARCH($AS$70:$AZ$70,IFERROR(('Final Calculation Sheet'!$J$32)&amp;"","")))))&gt;0),IF(COUNTIF($BI$70:$BP$70,3)=0,TRUE,SUMPRODUCT(($BI$70:$BP$70=3)*($AS$70:$AZ$70&lt;&gt;"")*IF(((UPPER($AS$70:$AZ$70)="BLANK")+(UPPER($AS$70:$AZ$70)="(BLANK)")+(UPPER($AS$70:$AZ$70)="EMPTY")+(UPPER($AS$70:$AZ$70)="(EMPTY)"))&gt;0,IFERROR(('Final Calculation Sheet'!$J$32)&amp;"","")="",ISNUMBER(SEARCH($AS$70:$AZ$70,IFERROR(('Final Calculation Sheet'!$J$32)&amp;"","")))))&gt;0),IF(COUNTIF($BI$70:$BP$70,4)=0,TRUE,SUMPRODUCT(($BI$70:$BP$70=4)*($AS$70:$AZ$70&lt;&gt;"")*IF(((UPPER($AS$70:$AZ$70)="BLANK")+(UPPER($AS$70:$AZ$70)="(BLANK)")+(UPPER($AS$70:$AZ$70)="EMPTY")+(UPPER($AS$70:$AZ$70)="(EMPTY)"))&gt;0,IFERROR(('Final Calculation Sheet'!$J$32)&amp;"","")="",ISNUMBER(SEARCH($AS$70:$AZ$70,IFERROR(('Final Calculation Sheet'!$J$32)&amp;"","")))))&gt;0),IF(COUNTIF($BI$70:$BP$70,5)=0,TRUE,SUMPRODUCT(($BI$70:$BP$70=5)*($AS$70:$AZ$70&lt;&gt;"")*IF(((UPPER($AS$70:$AZ$70)="BLANK")+(UPPER($AS$70:$AZ$70)="(BLANK)")+(UPPER($AS$70:$AZ$70)="EMPTY")+(UPPER($AS$70:$AZ$70)="(EMPTY)"))&gt;0,IFERROR(('Final Calculation Sheet'!$J$32)&amp;"","")="",ISNUMBER(SEARCH($AS$70:$AZ$70,IFERROR(('Final Calculation Sheet'!$J$32)&amp;"","")))))&gt;0),IF(COUNTIF($BI$70:$BP$70,6)=0,TRUE,SUMPRODUCT(($BI$70:$BP$70=6)*($AS$70:$AZ$70&lt;&gt;"")*IF(((UPPER($AS$70:$AZ$70)="BLANK")+(UPPER($AS$70:$AZ$70)="(BLANK)")+(UPPER($AS$70:$AZ$70)="EMPTY")+(UPPER($AS$70:$AZ$70)="(EMPTY)"))&gt;0,IFERROR(('Final Calculation Sheet'!$J$32)&amp;"","")="",ISNUMBER(SEARCH($AS$70:$AZ$70,IFERROR(('Final Calculation Sheet'!$J$32)&amp;"","")))))&gt;0),IF(COUNTIF($BI$70:$BP$70,7)=0,TRUE,SUMPRODUCT(($BI$70:$BP$70=7)*($AS$70:$AZ$70&lt;&gt;"")*IF(((UPPER($AS$70:$AZ$70)="BLANK")+(UPPER($AS$70:$AZ$70)="(BLANK)")+(UPPER($AS$70:$AZ$70)="EMPTY")+(UPPER($AS$70:$AZ$70)="(EMPTY)"))&gt;0,IFERROR(('Final Calculation Sheet'!$J$32)&amp;"","")="",ISNUMBER(SEARCH($AS$70:$AZ$70,IFERROR(('Final Calculation Sheet'!$J$32)&amp;"","")))))&gt;0),IF(COUNTIF($BI$70:$BP$70,8)=0,TRUE,SUMPRODUCT(($BI$70:$BP$70=8)*($AS$70:$AZ$70&lt;&gt;"")*IF(((UPPER($AS$70:$AZ$70)="BLANK")+(UPPER($AS$70:$AZ$70)="(BLANK)")+(UPPER($AS$70:$AZ$70)="EMPTY")+(UPPER($AS$70:$AZ$70)="(EMPTY)"))&gt;0,IFERROR(('Final Calculation Sheet'!$J$32)&amp;"","")="",ISNUMBER(SEARCH($AS$70:$AZ$70,IFERROR(('Final Calculation Sheet'!$J$32)&amp;"","")))))&gt;0))))</f>
        <v>1</v>
      </c>
      <c r="BX33">
        <f>IF($L$4="",1,--(AND(SUMPRODUCT(--($AS$71:$AZ$71&lt;&gt;""))&gt;0,IF(COUNTIF($BI$71:$BP$71,1)=0,TRUE,SUMPRODUCT(($BI$71:$BP$71=1)*($AS$71:$AZ$71&lt;&gt;"")*IF(((UPPER($AS$71:$AZ$71)="BLANK")+(UPPER($AS$71:$AZ$71)="(BLANK)")+(UPPER($AS$71:$AZ$71)="EMPTY")+(UPPER($AS$71:$AZ$71)="(EMPTY)"))&gt;0,IFERROR(('Final Calculation Sheet'!$K$32)&amp;"","")="",ISNUMBER(SEARCH($AS$71:$AZ$71,IFERROR(('Final Calculation Sheet'!$K$32)&amp;"","")))))&gt;0),IF(COUNTIF($BI$71:$BP$71,2)=0,TRUE,SUMPRODUCT(($BI$71:$BP$71=2)*($AS$71:$AZ$71&lt;&gt;"")*IF(((UPPER($AS$71:$AZ$71)="BLANK")+(UPPER($AS$71:$AZ$71)="(BLANK)")+(UPPER($AS$71:$AZ$71)="EMPTY")+(UPPER($AS$71:$AZ$71)="(EMPTY)"))&gt;0,IFERROR(('Final Calculation Sheet'!$K$32)&amp;"","")="",ISNUMBER(SEARCH($AS$71:$AZ$71,IFERROR(('Final Calculation Sheet'!$K$32)&amp;"","")))))&gt;0),IF(COUNTIF($BI$71:$BP$71,3)=0,TRUE,SUMPRODUCT(($BI$71:$BP$71=3)*($AS$71:$AZ$71&lt;&gt;"")*IF(((UPPER($AS$71:$AZ$71)="BLANK")+(UPPER($AS$71:$AZ$71)="(BLANK)")+(UPPER($AS$71:$AZ$71)="EMPTY")+(UPPER($AS$71:$AZ$71)="(EMPTY)"))&gt;0,IFERROR(('Final Calculation Sheet'!$K$32)&amp;"","")="",ISNUMBER(SEARCH($AS$71:$AZ$71,IFERROR(('Final Calculation Sheet'!$K$32)&amp;"","")))))&gt;0),IF(COUNTIF($BI$71:$BP$71,4)=0,TRUE,SUMPRODUCT(($BI$71:$BP$71=4)*($AS$71:$AZ$71&lt;&gt;"")*IF(((UPPER($AS$71:$AZ$71)="BLANK")+(UPPER($AS$71:$AZ$71)="(BLANK)")+(UPPER($AS$71:$AZ$71)="EMPTY")+(UPPER($AS$71:$AZ$71)="(EMPTY)"))&gt;0,IFERROR(('Final Calculation Sheet'!$K$32)&amp;"","")="",ISNUMBER(SEARCH($AS$71:$AZ$71,IFERROR(('Final Calculation Sheet'!$K$32)&amp;"","")))))&gt;0),IF(COUNTIF($BI$71:$BP$71,5)=0,TRUE,SUMPRODUCT(($BI$71:$BP$71=5)*($AS$71:$AZ$71&lt;&gt;"")*IF(((UPPER($AS$71:$AZ$71)="BLANK")+(UPPER($AS$71:$AZ$71)="(BLANK)")+(UPPER($AS$71:$AZ$71)="EMPTY")+(UPPER($AS$71:$AZ$71)="(EMPTY)"))&gt;0,IFERROR(('Final Calculation Sheet'!$K$32)&amp;"","")="",ISNUMBER(SEARCH($AS$71:$AZ$71,IFERROR(('Final Calculation Sheet'!$K$32)&amp;"","")))))&gt;0),IF(COUNTIF($BI$71:$BP$71,6)=0,TRUE,SUMPRODUCT(($BI$71:$BP$71=6)*($AS$71:$AZ$71&lt;&gt;"")*IF(((UPPER($AS$71:$AZ$71)="BLANK")+(UPPER($AS$71:$AZ$71)="(BLANK)")+(UPPER($AS$71:$AZ$71)="EMPTY")+(UPPER($AS$71:$AZ$71)="(EMPTY)"))&gt;0,IFERROR(('Final Calculation Sheet'!$K$32)&amp;"","")="",ISNUMBER(SEARCH($AS$71:$AZ$71,IFERROR(('Final Calculation Sheet'!$K$32)&amp;"","")))))&gt;0),IF(COUNTIF($BI$71:$BP$71,7)=0,TRUE,SUMPRODUCT(($BI$71:$BP$71=7)*($AS$71:$AZ$71&lt;&gt;"")*IF(((UPPER($AS$71:$AZ$71)="BLANK")+(UPPER($AS$71:$AZ$71)="(BLANK)")+(UPPER($AS$71:$AZ$71)="EMPTY")+(UPPER($AS$71:$AZ$71)="(EMPTY)"))&gt;0,IFERROR(('Final Calculation Sheet'!$K$32)&amp;"","")="",ISNUMBER(SEARCH($AS$71:$AZ$71,IFERROR(('Final Calculation Sheet'!$K$32)&amp;"","")))))&gt;0),IF(COUNTIF($BI$71:$BP$71,8)=0,TRUE,SUMPRODUCT(($BI$71:$BP$71=8)*($AS$71:$AZ$71&lt;&gt;"")*IF(((UPPER($AS$71:$AZ$71)="BLANK")+(UPPER($AS$71:$AZ$71)="(BLANK)")+(UPPER($AS$71:$AZ$71)="EMPTY")+(UPPER($AS$71:$AZ$71)="(EMPTY)"))&gt;0,IFERROR(('Final Calculation Sheet'!$K$32)&amp;"","")="",ISNUMBER(SEARCH($AS$71:$AZ$71,IFERROR(('Final Calculation Sheet'!$K$32)&amp;"","")))))&gt;0))))</f>
        <v>1</v>
      </c>
      <c r="BY33">
        <f>IF($M$4="",1,--(AND(SUMPRODUCT(--($AS$72:$AZ$72&lt;&gt;""))&gt;0,IF(COUNTIF($BI$72:$BP$72,1)=0,TRUE,SUMPRODUCT(($BI$72:$BP$72=1)*($AS$72:$AZ$72&lt;&gt;"")*IF(((UPPER($AS$72:$AZ$72)="BLANK")+(UPPER($AS$72:$AZ$72)="(BLANK)")+(UPPER($AS$72:$AZ$72)="EMPTY")+(UPPER($AS$72:$AZ$72)="(EMPTY)"))&gt;0,IFERROR(('Final Calculation Sheet'!$L$32)&amp;"","")="",ISNUMBER(SEARCH($AS$72:$AZ$72,IFERROR(('Final Calculation Sheet'!$L$32)&amp;"","")))))&gt;0),IF(COUNTIF($BI$72:$BP$72,2)=0,TRUE,SUMPRODUCT(($BI$72:$BP$72=2)*($AS$72:$AZ$72&lt;&gt;"")*IF(((UPPER($AS$72:$AZ$72)="BLANK")+(UPPER($AS$72:$AZ$72)="(BLANK)")+(UPPER($AS$72:$AZ$72)="EMPTY")+(UPPER($AS$72:$AZ$72)="(EMPTY)"))&gt;0,IFERROR(('Final Calculation Sheet'!$L$32)&amp;"","")="",ISNUMBER(SEARCH($AS$72:$AZ$72,IFERROR(('Final Calculation Sheet'!$L$32)&amp;"","")))))&gt;0),IF(COUNTIF($BI$72:$BP$72,3)=0,TRUE,SUMPRODUCT(($BI$72:$BP$72=3)*($AS$72:$AZ$72&lt;&gt;"")*IF(((UPPER($AS$72:$AZ$72)="BLANK")+(UPPER($AS$72:$AZ$72)="(BLANK)")+(UPPER($AS$72:$AZ$72)="EMPTY")+(UPPER($AS$72:$AZ$72)="(EMPTY)"))&gt;0,IFERROR(('Final Calculation Sheet'!$L$32)&amp;"","")="",ISNUMBER(SEARCH($AS$72:$AZ$72,IFERROR(('Final Calculation Sheet'!$L$32)&amp;"","")))))&gt;0),IF(COUNTIF($BI$72:$BP$72,4)=0,TRUE,SUMPRODUCT(($BI$72:$BP$72=4)*($AS$72:$AZ$72&lt;&gt;"")*IF(((UPPER($AS$72:$AZ$72)="BLANK")+(UPPER($AS$72:$AZ$72)="(BLANK)")+(UPPER($AS$72:$AZ$72)="EMPTY")+(UPPER($AS$72:$AZ$72)="(EMPTY)"))&gt;0,IFERROR(('Final Calculation Sheet'!$L$32)&amp;"","")="",ISNUMBER(SEARCH($AS$72:$AZ$72,IFERROR(('Final Calculation Sheet'!$L$32)&amp;"","")))))&gt;0),IF(COUNTIF($BI$72:$BP$72,5)=0,TRUE,SUMPRODUCT(($BI$72:$BP$72=5)*($AS$72:$AZ$72&lt;&gt;"")*IF(((UPPER($AS$72:$AZ$72)="BLANK")+(UPPER($AS$72:$AZ$72)="(BLANK)")+(UPPER($AS$72:$AZ$72)="EMPTY")+(UPPER($AS$72:$AZ$72)="(EMPTY)"))&gt;0,IFERROR(('Final Calculation Sheet'!$L$32)&amp;"","")="",ISNUMBER(SEARCH($AS$72:$AZ$72,IFERROR(('Final Calculation Sheet'!$L$32)&amp;"","")))))&gt;0),IF(COUNTIF($BI$72:$BP$72,6)=0,TRUE,SUMPRODUCT(($BI$72:$BP$72=6)*($AS$72:$AZ$72&lt;&gt;"")*IF(((UPPER($AS$72:$AZ$72)="BLANK")+(UPPER($AS$72:$AZ$72)="(BLANK)")+(UPPER($AS$72:$AZ$72)="EMPTY")+(UPPER($AS$72:$AZ$72)="(EMPTY)"))&gt;0,IFERROR(('Final Calculation Sheet'!$L$32)&amp;"","")="",ISNUMBER(SEARCH($AS$72:$AZ$72,IFERROR(('Final Calculation Sheet'!$L$32)&amp;"","")))))&gt;0),IF(COUNTIF($BI$72:$BP$72,7)=0,TRUE,SUMPRODUCT(($BI$72:$BP$72=7)*($AS$72:$AZ$72&lt;&gt;"")*IF(((UPPER($AS$72:$AZ$72)="BLANK")+(UPPER($AS$72:$AZ$72)="(BLANK)")+(UPPER($AS$72:$AZ$72)="EMPTY")+(UPPER($AS$72:$AZ$72)="(EMPTY)"))&gt;0,IFERROR(('Final Calculation Sheet'!$L$32)&amp;"","")="",ISNUMBER(SEARCH($AS$72:$AZ$72,IFERROR(('Final Calculation Sheet'!$L$32)&amp;"","")))))&gt;0),IF(COUNTIF($BI$72:$BP$72,8)=0,TRUE,SUMPRODUCT(($BI$72:$BP$72=8)*($AS$72:$AZ$72&lt;&gt;"")*IF(((UPPER($AS$72:$AZ$72)="BLANK")+(UPPER($AS$72:$AZ$72)="(BLANK)")+(UPPER($AS$72:$AZ$72)="EMPTY")+(UPPER($AS$72:$AZ$72)="(EMPTY)"))&gt;0,IFERROR(('Final Calculation Sheet'!$L$32)&amp;"","")="",ISNUMBER(SEARCH($AS$72:$AZ$72,IFERROR(('Final Calculation Sheet'!$L$32)&amp;"","")))))&gt;0))))</f>
        <v>1</v>
      </c>
      <c r="BZ33">
        <f>IF($N$4="",1,--(AND(SUMPRODUCT(--($AS$73:$AZ$73&lt;&gt;""))&gt;0,IF(COUNTIF($BI$73:$BP$73,1)=0,TRUE,SUMPRODUCT(($BI$73:$BP$73=1)*($AS$73:$AZ$73&lt;&gt;"")*IF(((UPPER($AS$73:$AZ$73)="BLANK")+(UPPER($AS$73:$AZ$73)="(BLANK)")+(UPPER($AS$73:$AZ$73)="EMPTY")+(UPPER($AS$73:$AZ$73)="(EMPTY)"))&gt;0,IFERROR(('Final Calculation Sheet'!$M$32)&amp;"","")="",ISNUMBER(SEARCH($AS$73:$AZ$73,IFERROR(('Final Calculation Sheet'!$M$32)&amp;"","")))))&gt;0),IF(COUNTIF($BI$73:$BP$73,2)=0,TRUE,SUMPRODUCT(($BI$73:$BP$73=2)*($AS$73:$AZ$73&lt;&gt;"")*IF(((UPPER($AS$73:$AZ$73)="BLANK")+(UPPER($AS$73:$AZ$73)="(BLANK)")+(UPPER($AS$73:$AZ$73)="EMPTY")+(UPPER($AS$73:$AZ$73)="(EMPTY)"))&gt;0,IFERROR(('Final Calculation Sheet'!$M$32)&amp;"","")="",ISNUMBER(SEARCH($AS$73:$AZ$73,IFERROR(('Final Calculation Sheet'!$M$32)&amp;"","")))))&gt;0),IF(COUNTIF($BI$73:$BP$73,3)=0,TRUE,SUMPRODUCT(($BI$73:$BP$73=3)*($AS$73:$AZ$73&lt;&gt;"")*IF(((UPPER($AS$73:$AZ$73)="BLANK")+(UPPER($AS$73:$AZ$73)="(BLANK)")+(UPPER($AS$73:$AZ$73)="EMPTY")+(UPPER($AS$73:$AZ$73)="(EMPTY)"))&gt;0,IFERROR(('Final Calculation Sheet'!$M$32)&amp;"","")="",ISNUMBER(SEARCH($AS$73:$AZ$73,IFERROR(('Final Calculation Sheet'!$M$32)&amp;"","")))))&gt;0),IF(COUNTIF($BI$73:$BP$73,4)=0,TRUE,SUMPRODUCT(($BI$73:$BP$73=4)*($AS$73:$AZ$73&lt;&gt;"")*IF(((UPPER($AS$73:$AZ$73)="BLANK")+(UPPER($AS$73:$AZ$73)="(BLANK)")+(UPPER($AS$73:$AZ$73)="EMPTY")+(UPPER($AS$73:$AZ$73)="(EMPTY)"))&gt;0,IFERROR(('Final Calculation Sheet'!$M$32)&amp;"","")="",ISNUMBER(SEARCH($AS$73:$AZ$73,IFERROR(('Final Calculation Sheet'!$M$32)&amp;"","")))))&gt;0),IF(COUNTIF($BI$73:$BP$73,5)=0,TRUE,SUMPRODUCT(($BI$73:$BP$73=5)*($AS$73:$AZ$73&lt;&gt;"")*IF(((UPPER($AS$73:$AZ$73)="BLANK")+(UPPER($AS$73:$AZ$73)="(BLANK)")+(UPPER($AS$73:$AZ$73)="EMPTY")+(UPPER($AS$73:$AZ$73)="(EMPTY)"))&gt;0,IFERROR(('Final Calculation Sheet'!$M$32)&amp;"","")="",ISNUMBER(SEARCH($AS$73:$AZ$73,IFERROR(('Final Calculation Sheet'!$M$32)&amp;"","")))))&gt;0),IF(COUNTIF($BI$73:$BP$73,6)=0,TRUE,SUMPRODUCT(($BI$73:$BP$73=6)*($AS$73:$AZ$73&lt;&gt;"")*IF(((UPPER($AS$73:$AZ$73)="BLANK")+(UPPER($AS$73:$AZ$73)="(BLANK)")+(UPPER($AS$73:$AZ$73)="EMPTY")+(UPPER($AS$73:$AZ$73)="(EMPTY)"))&gt;0,IFERROR(('Final Calculation Sheet'!$M$32)&amp;"","")="",ISNUMBER(SEARCH($AS$73:$AZ$73,IFERROR(('Final Calculation Sheet'!$M$32)&amp;"","")))))&gt;0),IF(COUNTIF($BI$73:$BP$73,7)=0,TRUE,SUMPRODUCT(($BI$73:$BP$73=7)*($AS$73:$AZ$73&lt;&gt;"")*IF(((UPPER($AS$73:$AZ$73)="BLANK")+(UPPER($AS$73:$AZ$73)="(BLANK)")+(UPPER($AS$73:$AZ$73)="EMPTY")+(UPPER($AS$73:$AZ$73)="(EMPTY)"))&gt;0,IFERROR(('Final Calculation Sheet'!$M$32)&amp;"","")="",ISNUMBER(SEARCH($AS$73:$AZ$73,IFERROR(('Final Calculation Sheet'!$M$32)&amp;"","")))))&gt;0),IF(COUNTIF($BI$73:$BP$73,8)=0,TRUE,SUMPRODUCT(($BI$73:$BP$73=8)*($AS$73:$AZ$73&lt;&gt;"")*IF(((UPPER($AS$73:$AZ$73)="BLANK")+(UPPER($AS$73:$AZ$73)="(BLANK)")+(UPPER($AS$73:$AZ$73)="EMPTY")+(UPPER($AS$73:$AZ$73)="(EMPTY)"))&gt;0,IFERROR(('Final Calculation Sheet'!$M$32)&amp;"","")="",ISNUMBER(SEARCH($AS$73:$AZ$73,IFERROR(('Final Calculation Sheet'!$M$32)&amp;"","")))))&gt;0))))</f>
        <v>1</v>
      </c>
      <c r="CA33">
        <f>IF($O$4="",1,--(AND(SUMPRODUCT(--($AS$74:$AZ$74&lt;&gt;""))&gt;0,IF(COUNTIF($BI$74:$BP$74,1)=0,TRUE,SUMPRODUCT(($BI$74:$BP$74=1)*($AS$74:$AZ$74&lt;&gt;"")*IF(((UPPER($AS$74:$AZ$74)="BLANK")+(UPPER($AS$74:$AZ$74)="(BLANK)")+(UPPER($AS$74:$AZ$74)="EMPTY")+(UPPER($AS$74:$AZ$74)="(EMPTY)"))&gt;0,IFERROR(('Final Calculation Sheet'!$N$32)&amp;"","")="",ISNUMBER(SEARCH($AS$74:$AZ$74,IFERROR(('Final Calculation Sheet'!$N$32)&amp;"","")))))&gt;0),IF(COUNTIF($BI$74:$BP$74,2)=0,TRUE,SUMPRODUCT(($BI$74:$BP$74=2)*($AS$74:$AZ$74&lt;&gt;"")*IF(((UPPER($AS$74:$AZ$74)="BLANK")+(UPPER($AS$74:$AZ$74)="(BLANK)")+(UPPER($AS$74:$AZ$74)="EMPTY")+(UPPER($AS$74:$AZ$74)="(EMPTY)"))&gt;0,IFERROR(('Final Calculation Sheet'!$N$32)&amp;"","")="",ISNUMBER(SEARCH($AS$74:$AZ$74,IFERROR(('Final Calculation Sheet'!$N$32)&amp;"","")))))&gt;0),IF(COUNTIF($BI$74:$BP$74,3)=0,TRUE,SUMPRODUCT(($BI$74:$BP$74=3)*($AS$74:$AZ$74&lt;&gt;"")*IF(((UPPER($AS$74:$AZ$74)="BLANK")+(UPPER($AS$74:$AZ$74)="(BLANK)")+(UPPER($AS$74:$AZ$74)="EMPTY")+(UPPER($AS$74:$AZ$74)="(EMPTY)"))&gt;0,IFERROR(('Final Calculation Sheet'!$N$32)&amp;"","")="",ISNUMBER(SEARCH($AS$74:$AZ$74,IFERROR(('Final Calculation Sheet'!$N$32)&amp;"","")))))&gt;0),IF(COUNTIF($BI$74:$BP$74,4)=0,TRUE,SUMPRODUCT(($BI$74:$BP$74=4)*($AS$74:$AZ$74&lt;&gt;"")*IF(((UPPER($AS$74:$AZ$74)="BLANK")+(UPPER($AS$74:$AZ$74)="(BLANK)")+(UPPER($AS$74:$AZ$74)="EMPTY")+(UPPER($AS$74:$AZ$74)="(EMPTY)"))&gt;0,IFERROR(('Final Calculation Sheet'!$N$32)&amp;"","")="",ISNUMBER(SEARCH($AS$74:$AZ$74,IFERROR(('Final Calculation Sheet'!$N$32)&amp;"","")))))&gt;0),IF(COUNTIF($BI$74:$BP$74,5)=0,TRUE,SUMPRODUCT(($BI$74:$BP$74=5)*($AS$74:$AZ$74&lt;&gt;"")*IF(((UPPER($AS$74:$AZ$74)="BLANK")+(UPPER($AS$74:$AZ$74)="(BLANK)")+(UPPER($AS$74:$AZ$74)="EMPTY")+(UPPER($AS$74:$AZ$74)="(EMPTY)"))&gt;0,IFERROR(('Final Calculation Sheet'!$N$32)&amp;"","")="",ISNUMBER(SEARCH($AS$74:$AZ$74,IFERROR(('Final Calculation Sheet'!$N$32)&amp;"","")))))&gt;0),IF(COUNTIF($BI$74:$BP$74,6)=0,TRUE,SUMPRODUCT(($BI$74:$BP$74=6)*($AS$74:$AZ$74&lt;&gt;"")*IF(((UPPER($AS$74:$AZ$74)="BLANK")+(UPPER($AS$74:$AZ$74)="(BLANK)")+(UPPER($AS$74:$AZ$74)="EMPTY")+(UPPER($AS$74:$AZ$74)="(EMPTY)"))&gt;0,IFERROR(('Final Calculation Sheet'!$N$32)&amp;"","")="",ISNUMBER(SEARCH($AS$74:$AZ$74,IFERROR(('Final Calculation Sheet'!$N$32)&amp;"","")))))&gt;0),IF(COUNTIF($BI$74:$BP$74,7)=0,TRUE,SUMPRODUCT(($BI$74:$BP$74=7)*($AS$74:$AZ$74&lt;&gt;"")*IF(((UPPER($AS$74:$AZ$74)="BLANK")+(UPPER($AS$74:$AZ$74)="(BLANK)")+(UPPER($AS$74:$AZ$74)="EMPTY")+(UPPER($AS$74:$AZ$74)="(EMPTY)"))&gt;0,IFERROR(('Final Calculation Sheet'!$N$32)&amp;"","")="",ISNUMBER(SEARCH($AS$74:$AZ$74,IFERROR(('Final Calculation Sheet'!$N$32)&amp;"","")))))&gt;0),IF(COUNTIF($BI$74:$BP$74,8)=0,TRUE,SUMPRODUCT(($BI$74:$BP$74=8)*($AS$74:$AZ$74&lt;&gt;"")*IF(((UPPER($AS$74:$AZ$74)="BLANK")+(UPPER($AS$74:$AZ$74)="(BLANK)")+(UPPER($AS$74:$AZ$74)="EMPTY")+(UPPER($AS$74:$AZ$74)="(EMPTY)"))&gt;0,IFERROR(('Final Calculation Sheet'!$N$32)&amp;"","")="",ISNUMBER(SEARCH($AS$74:$AZ$74,IFERROR(('Final Calculation Sheet'!$N$32)&amp;"","")))))&gt;0))))</f>
        <v>1</v>
      </c>
      <c r="CB33">
        <f>IF($P$4="",1,--(AND(SUMPRODUCT(--($AS$75:$AZ$75&lt;&gt;""))&gt;0,IF(COUNTIF($BI$75:$BP$75,1)=0,TRUE,SUMPRODUCT(($BI$75:$BP$75=1)*($AS$75:$AZ$75&lt;&gt;"")*IF(((UPPER($AS$75:$AZ$75)="BLANK")+(UPPER($AS$75:$AZ$75)="(BLANK)")+(UPPER($AS$75:$AZ$75)="EMPTY")+(UPPER($AS$75:$AZ$75)="(EMPTY)"))&gt;0,IFERROR(('Final Calculation Sheet'!$O$32)&amp;"","")="",ISNUMBER(SEARCH($AS$75:$AZ$75,IFERROR(('Final Calculation Sheet'!$O$32)&amp;"","")))))&gt;0),IF(COUNTIF($BI$75:$BP$75,2)=0,TRUE,SUMPRODUCT(($BI$75:$BP$75=2)*($AS$75:$AZ$75&lt;&gt;"")*IF(((UPPER($AS$75:$AZ$75)="BLANK")+(UPPER($AS$75:$AZ$75)="(BLANK)")+(UPPER($AS$75:$AZ$75)="EMPTY")+(UPPER($AS$75:$AZ$75)="(EMPTY)"))&gt;0,IFERROR(('Final Calculation Sheet'!$O$32)&amp;"","")="",ISNUMBER(SEARCH($AS$75:$AZ$75,IFERROR(('Final Calculation Sheet'!$O$32)&amp;"","")))))&gt;0),IF(COUNTIF($BI$75:$BP$75,3)=0,TRUE,SUMPRODUCT(($BI$75:$BP$75=3)*($AS$75:$AZ$75&lt;&gt;"")*IF(((UPPER($AS$75:$AZ$75)="BLANK")+(UPPER($AS$75:$AZ$75)="(BLANK)")+(UPPER($AS$75:$AZ$75)="EMPTY")+(UPPER($AS$75:$AZ$75)="(EMPTY)"))&gt;0,IFERROR(('Final Calculation Sheet'!$O$32)&amp;"","")="",ISNUMBER(SEARCH($AS$75:$AZ$75,IFERROR(('Final Calculation Sheet'!$O$32)&amp;"","")))))&gt;0),IF(COUNTIF($BI$75:$BP$75,4)=0,TRUE,SUMPRODUCT(($BI$75:$BP$75=4)*($AS$75:$AZ$75&lt;&gt;"")*IF(((UPPER($AS$75:$AZ$75)="BLANK")+(UPPER($AS$75:$AZ$75)="(BLANK)")+(UPPER($AS$75:$AZ$75)="EMPTY")+(UPPER($AS$75:$AZ$75)="(EMPTY)"))&gt;0,IFERROR(('Final Calculation Sheet'!$O$32)&amp;"","")="",ISNUMBER(SEARCH($AS$75:$AZ$75,IFERROR(('Final Calculation Sheet'!$O$32)&amp;"","")))))&gt;0),IF(COUNTIF($BI$75:$BP$75,5)=0,TRUE,SUMPRODUCT(($BI$75:$BP$75=5)*($AS$75:$AZ$75&lt;&gt;"")*IF(((UPPER($AS$75:$AZ$75)="BLANK")+(UPPER($AS$75:$AZ$75)="(BLANK)")+(UPPER($AS$75:$AZ$75)="EMPTY")+(UPPER($AS$75:$AZ$75)="(EMPTY)"))&gt;0,IFERROR(('Final Calculation Sheet'!$O$32)&amp;"","")="",ISNUMBER(SEARCH($AS$75:$AZ$75,IFERROR(('Final Calculation Sheet'!$O$32)&amp;"","")))))&gt;0),IF(COUNTIF($BI$75:$BP$75,6)=0,TRUE,SUMPRODUCT(($BI$75:$BP$75=6)*($AS$75:$AZ$75&lt;&gt;"")*IF(((UPPER($AS$75:$AZ$75)="BLANK")+(UPPER($AS$75:$AZ$75)="(BLANK)")+(UPPER($AS$75:$AZ$75)="EMPTY")+(UPPER($AS$75:$AZ$75)="(EMPTY)"))&gt;0,IFERROR(('Final Calculation Sheet'!$O$32)&amp;"","")="",ISNUMBER(SEARCH($AS$75:$AZ$75,IFERROR(('Final Calculation Sheet'!$O$32)&amp;"","")))))&gt;0),IF(COUNTIF($BI$75:$BP$75,7)=0,TRUE,SUMPRODUCT(($BI$75:$BP$75=7)*($AS$75:$AZ$75&lt;&gt;"")*IF(((UPPER($AS$75:$AZ$75)="BLANK")+(UPPER($AS$75:$AZ$75)="(BLANK)")+(UPPER($AS$75:$AZ$75)="EMPTY")+(UPPER($AS$75:$AZ$75)="(EMPTY)"))&gt;0,IFERROR(('Final Calculation Sheet'!$O$32)&amp;"","")="",ISNUMBER(SEARCH($AS$75:$AZ$75,IFERROR(('Final Calculation Sheet'!$O$32)&amp;"","")))))&gt;0),IF(COUNTIF($BI$75:$BP$75,8)=0,TRUE,SUMPRODUCT(($BI$75:$BP$75=8)*($AS$75:$AZ$75&lt;&gt;"")*IF(((UPPER($AS$75:$AZ$75)="BLANK")+(UPPER($AS$75:$AZ$75)="(BLANK)")+(UPPER($AS$75:$AZ$75)="EMPTY")+(UPPER($AS$75:$AZ$75)="(EMPTY)"))&gt;0,IFERROR(('Final Calculation Sheet'!$O$32)&amp;"","")="",ISNUMBER(SEARCH($AS$75:$AZ$75,IFERROR(('Final Calculation Sheet'!$O$32)&amp;"","")))))&gt;0))))</f>
        <v>1</v>
      </c>
      <c r="CC33">
        <f>IF($Q$4="",1,--(AND(SUMPRODUCT(--($AS$76:$AZ$76&lt;&gt;""))&gt;0,IF(COUNTIF($BI$76:$BP$76,1)=0,TRUE,SUMPRODUCT(($BI$76:$BP$76=1)*($AS$76:$AZ$76&lt;&gt;"")*IF(((UPPER($AS$76:$AZ$76)="BLANK")+(UPPER($AS$76:$AZ$76)="(BLANK)")+(UPPER($AS$76:$AZ$76)="EMPTY")+(UPPER($AS$76:$AZ$76)="(EMPTY)"))&gt;0,IFERROR(('Final Calculation Sheet'!$P$32)&amp;"","")="",ISNUMBER(SEARCH($AS$76:$AZ$76,IFERROR(('Final Calculation Sheet'!$P$32)&amp;"","")))))&gt;0),IF(COUNTIF($BI$76:$BP$76,2)=0,TRUE,SUMPRODUCT(($BI$76:$BP$76=2)*($AS$76:$AZ$76&lt;&gt;"")*IF(((UPPER($AS$76:$AZ$76)="BLANK")+(UPPER($AS$76:$AZ$76)="(BLANK)")+(UPPER($AS$76:$AZ$76)="EMPTY")+(UPPER($AS$76:$AZ$76)="(EMPTY)"))&gt;0,IFERROR(('Final Calculation Sheet'!$P$32)&amp;"","")="",ISNUMBER(SEARCH($AS$76:$AZ$76,IFERROR(('Final Calculation Sheet'!$P$32)&amp;"","")))))&gt;0),IF(COUNTIF($BI$76:$BP$76,3)=0,TRUE,SUMPRODUCT(($BI$76:$BP$76=3)*($AS$76:$AZ$76&lt;&gt;"")*IF(((UPPER($AS$76:$AZ$76)="BLANK")+(UPPER($AS$76:$AZ$76)="(BLANK)")+(UPPER($AS$76:$AZ$76)="EMPTY")+(UPPER($AS$76:$AZ$76)="(EMPTY)"))&gt;0,IFERROR(('Final Calculation Sheet'!$P$32)&amp;"","")="",ISNUMBER(SEARCH($AS$76:$AZ$76,IFERROR(('Final Calculation Sheet'!$P$32)&amp;"","")))))&gt;0),IF(COUNTIF($BI$76:$BP$76,4)=0,TRUE,SUMPRODUCT(($BI$76:$BP$76=4)*($AS$76:$AZ$76&lt;&gt;"")*IF(((UPPER($AS$76:$AZ$76)="BLANK")+(UPPER($AS$76:$AZ$76)="(BLANK)")+(UPPER($AS$76:$AZ$76)="EMPTY")+(UPPER($AS$76:$AZ$76)="(EMPTY)"))&gt;0,IFERROR(('Final Calculation Sheet'!$P$32)&amp;"","")="",ISNUMBER(SEARCH($AS$76:$AZ$76,IFERROR(('Final Calculation Sheet'!$P$32)&amp;"","")))))&gt;0),IF(COUNTIF($BI$76:$BP$76,5)=0,TRUE,SUMPRODUCT(($BI$76:$BP$76=5)*($AS$76:$AZ$76&lt;&gt;"")*IF(((UPPER($AS$76:$AZ$76)="BLANK")+(UPPER($AS$76:$AZ$76)="(BLANK)")+(UPPER($AS$76:$AZ$76)="EMPTY")+(UPPER($AS$76:$AZ$76)="(EMPTY)"))&gt;0,IFERROR(('Final Calculation Sheet'!$P$32)&amp;"","")="",ISNUMBER(SEARCH($AS$76:$AZ$76,IFERROR(('Final Calculation Sheet'!$P$32)&amp;"","")))))&gt;0),IF(COUNTIF($BI$76:$BP$76,6)=0,TRUE,SUMPRODUCT(($BI$76:$BP$76=6)*($AS$76:$AZ$76&lt;&gt;"")*IF(((UPPER($AS$76:$AZ$76)="BLANK")+(UPPER($AS$76:$AZ$76)="(BLANK)")+(UPPER($AS$76:$AZ$76)="EMPTY")+(UPPER($AS$76:$AZ$76)="(EMPTY)"))&gt;0,IFERROR(('Final Calculation Sheet'!$P$32)&amp;"","")="",ISNUMBER(SEARCH($AS$76:$AZ$76,IFERROR(('Final Calculation Sheet'!$P$32)&amp;"","")))))&gt;0),IF(COUNTIF($BI$76:$BP$76,7)=0,TRUE,SUMPRODUCT(($BI$76:$BP$76=7)*($AS$76:$AZ$76&lt;&gt;"")*IF(((UPPER($AS$76:$AZ$76)="BLANK")+(UPPER($AS$76:$AZ$76)="(BLANK)")+(UPPER($AS$76:$AZ$76)="EMPTY")+(UPPER($AS$76:$AZ$76)="(EMPTY)"))&gt;0,IFERROR(('Final Calculation Sheet'!$P$32)&amp;"","")="",ISNUMBER(SEARCH($AS$76:$AZ$76,IFERROR(('Final Calculation Sheet'!$P$32)&amp;"","")))))&gt;0),IF(COUNTIF($BI$76:$BP$76,8)=0,TRUE,SUMPRODUCT(($BI$76:$BP$76=8)*($AS$76:$AZ$76&lt;&gt;"")*IF(((UPPER($AS$76:$AZ$76)="BLANK")+(UPPER($AS$76:$AZ$76)="(BLANK)")+(UPPER($AS$76:$AZ$76)="EMPTY")+(UPPER($AS$76:$AZ$76)="(EMPTY)"))&gt;0,IFERROR(('Final Calculation Sheet'!$P$32)&amp;"","")="",ISNUMBER(SEARCH($AS$76:$AZ$76,IFERROR(('Final Calculation Sheet'!$P$32)&amp;"","")))))&gt;0))))</f>
        <v>1</v>
      </c>
      <c r="CD33">
        <f>IF($R$4="",1,--(AND(SUMPRODUCT(--($AS$77:$AZ$77&lt;&gt;""))&gt;0,IF(COUNTIF($BI$77:$BP$77,1)=0,TRUE,SUMPRODUCT(($BI$77:$BP$77=1)*($AS$77:$AZ$77&lt;&gt;"")*IF(((UPPER($AS$77:$AZ$77)="BLANK")+(UPPER($AS$77:$AZ$77)="(BLANK)")+(UPPER($AS$77:$AZ$77)="EMPTY")+(UPPER($AS$77:$AZ$77)="(EMPTY)"))&gt;0,IFERROR(('Final Calculation Sheet'!$Q$32)&amp;"","")="",ISNUMBER(SEARCH($AS$77:$AZ$77,IFERROR(('Final Calculation Sheet'!$Q$32)&amp;"","")))))&gt;0),IF(COUNTIF($BI$77:$BP$77,2)=0,TRUE,SUMPRODUCT(($BI$77:$BP$77=2)*($AS$77:$AZ$77&lt;&gt;"")*IF(((UPPER($AS$77:$AZ$77)="BLANK")+(UPPER($AS$77:$AZ$77)="(BLANK)")+(UPPER($AS$77:$AZ$77)="EMPTY")+(UPPER($AS$77:$AZ$77)="(EMPTY)"))&gt;0,IFERROR(('Final Calculation Sheet'!$Q$32)&amp;"","")="",ISNUMBER(SEARCH($AS$77:$AZ$77,IFERROR(('Final Calculation Sheet'!$Q$32)&amp;"","")))))&gt;0),IF(COUNTIF($BI$77:$BP$77,3)=0,TRUE,SUMPRODUCT(($BI$77:$BP$77=3)*($AS$77:$AZ$77&lt;&gt;"")*IF(((UPPER($AS$77:$AZ$77)="BLANK")+(UPPER($AS$77:$AZ$77)="(BLANK)")+(UPPER($AS$77:$AZ$77)="EMPTY")+(UPPER($AS$77:$AZ$77)="(EMPTY)"))&gt;0,IFERROR(('Final Calculation Sheet'!$Q$32)&amp;"","")="",ISNUMBER(SEARCH($AS$77:$AZ$77,IFERROR(('Final Calculation Sheet'!$Q$32)&amp;"","")))))&gt;0),IF(COUNTIF($BI$77:$BP$77,4)=0,TRUE,SUMPRODUCT(($BI$77:$BP$77=4)*($AS$77:$AZ$77&lt;&gt;"")*IF(((UPPER($AS$77:$AZ$77)="BLANK")+(UPPER($AS$77:$AZ$77)="(BLANK)")+(UPPER($AS$77:$AZ$77)="EMPTY")+(UPPER($AS$77:$AZ$77)="(EMPTY)"))&gt;0,IFERROR(('Final Calculation Sheet'!$Q$32)&amp;"","")="",ISNUMBER(SEARCH($AS$77:$AZ$77,IFERROR(('Final Calculation Sheet'!$Q$32)&amp;"","")))))&gt;0),IF(COUNTIF($BI$77:$BP$77,5)=0,TRUE,SUMPRODUCT(($BI$77:$BP$77=5)*($AS$77:$AZ$77&lt;&gt;"")*IF(((UPPER($AS$77:$AZ$77)="BLANK")+(UPPER($AS$77:$AZ$77)="(BLANK)")+(UPPER($AS$77:$AZ$77)="EMPTY")+(UPPER($AS$77:$AZ$77)="(EMPTY)"))&gt;0,IFERROR(('Final Calculation Sheet'!$Q$32)&amp;"","")="",ISNUMBER(SEARCH($AS$77:$AZ$77,IFERROR(('Final Calculation Sheet'!$Q$32)&amp;"","")))))&gt;0),IF(COUNTIF($BI$77:$BP$77,6)=0,TRUE,SUMPRODUCT(($BI$77:$BP$77=6)*($AS$77:$AZ$77&lt;&gt;"")*IF(((UPPER($AS$77:$AZ$77)="BLANK")+(UPPER($AS$77:$AZ$77)="(BLANK)")+(UPPER($AS$77:$AZ$77)="EMPTY")+(UPPER($AS$77:$AZ$77)="(EMPTY)"))&gt;0,IFERROR(('Final Calculation Sheet'!$Q$32)&amp;"","")="",ISNUMBER(SEARCH($AS$77:$AZ$77,IFERROR(('Final Calculation Sheet'!$Q$32)&amp;"","")))))&gt;0),IF(COUNTIF($BI$77:$BP$77,7)=0,TRUE,SUMPRODUCT(($BI$77:$BP$77=7)*($AS$77:$AZ$77&lt;&gt;"")*IF(((UPPER($AS$77:$AZ$77)="BLANK")+(UPPER($AS$77:$AZ$77)="(BLANK)")+(UPPER($AS$77:$AZ$77)="EMPTY")+(UPPER($AS$77:$AZ$77)="(EMPTY)"))&gt;0,IFERROR(('Final Calculation Sheet'!$Q$32)&amp;"","")="",ISNUMBER(SEARCH($AS$77:$AZ$77,IFERROR(('Final Calculation Sheet'!$Q$32)&amp;"","")))))&gt;0),IF(COUNTIF($BI$77:$BP$77,8)=0,TRUE,SUMPRODUCT(($BI$77:$BP$77=8)*($AS$77:$AZ$77&lt;&gt;"")*IF(((UPPER($AS$77:$AZ$77)="BLANK")+(UPPER($AS$77:$AZ$77)="(BLANK)")+(UPPER($AS$77:$AZ$77)="EMPTY")+(UPPER($AS$77:$AZ$77)="(EMPTY)"))&gt;0,IFERROR(('Final Calculation Sheet'!$Q$32)&amp;"","")="",ISNUMBER(SEARCH($AS$77:$AZ$77,IFERROR(('Final Calculation Sheet'!$Q$32)&amp;"","")))))&gt;0))))</f>
        <v>1</v>
      </c>
      <c r="CE33">
        <f>IF($S$4="",1,--(AND(SUMPRODUCT(--($AS$78:$AZ$78&lt;&gt;""))&gt;0,IF(COUNTIF($BI$78:$BP$78,1)=0,TRUE,SUMPRODUCT(($BI$78:$BP$78=1)*($AS$78:$AZ$78&lt;&gt;"")*IF(((UPPER($AS$78:$AZ$78)="BLANK")+(UPPER($AS$78:$AZ$78)="(BLANK)")+(UPPER($AS$78:$AZ$78)="EMPTY")+(UPPER($AS$78:$AZ$78)="(EMPTY)"))&gt;0,IFERROR(('Final Calculation Sheet'!$R$32)&amp;"","")="",ISNUMBER(SEARCH($AS$78:$AZ$78,IFERROR(('Final Calculation Sheet'!$R$32)&amp;"","")))))&gt;0),IF(COUNTIF($BI$78:$BP$78,2)=0,TRUE,SUMPRODUCT(($BI$78:$BP$78=2)*($AS$78:$AZ$78&lt;&gt;"")*IF(((UPPER($AS$78:$AZ$78)="BLANK")+(UPPER($AS$78:$AZ$78)="(BLANK)")+(UPPER($AS$78:$AZ$78)="EMPTY")+(UPPER($AS$78:$AZ$78)="(EMPTY)"))&gt;0,IFERROR(('Final Calculation Sheet'!$R$32)&amp;"","")="",ISNUMBER(SEARCH($AS$78:$AZ$78,IFERROR(('Final Calculation Sheet'!$R$32)&amp;"","")))))&gt;0),IF(COUNTIF($BI$78:$BP$78,3)=0,TRUE,SUMPRODUCT(($BI$78:$BP$78=3)*($AS$78:$AZ$78&lt;&gt;"")*IF(((UPPER($AS$78:$AZ$78)="BLANK")+(UPPER($AS$78:$AZ$78)="(BLANK)")+(UPPER($AS$78:$AZ$78)="EMPTY")+(UPPER($AS$78:$AZ$78)="(EMPTY)"))&gt;0,IFERROR(('Final Calculation Sheet'!$R$32)&amp;"","")="",ISNUMBER(SEARCH($AS$78:$AZ$78,IFERROR(('Final Calculation Sheet'!$R$32)&amp;"","")))))&gt;0),IF(COUNTIF($BI$78:$BP$78,4)=0,TRUE,SUMPRODUCT(($BI$78:$BP$78=4)*($AS$78:$AZ$78&lt;&gt;"")*IF(((UPPER($AS$78:$AZ$78)="BLANK")+(UPPER($AS$78:$AZ$78)="(BLANK)")+(UPPER($AS$78:$AZ$78)="EMPTY")+(UPPER($AS$78:$AZ$78)="(EMPTY)"))&gt;0,IFERROR(('Final Calculation Sheet'!$R$32)&amp;"","")="",ISNUMBER(SEARCH($AS$78:$AZ$78,IFERROR(('Final Calculation Sheet'!$R$32)&amp;"","")))))&gt;0),IF(COUNTIF($BI$78:$BP$78,5)=0,TRUE,SUMPRODUCT(($BI$78:$BP$78=5)*($AS$78:$AZ$78&lt;&gt;"")*IF(((UPPER($AS$78:$AZ$78)="BLANK")+(UPPER($AS$78:$AZ$78)="(BLANK)")+(UPPER($AS$78:$AZ$78)="EMPTY")+(UPPER($AS$78:$AZ$78)="(EMPTY)"))&gt;0,IFERROR(('Final Calculation Sheet'!$R$32)&amp;"","")="",ISNUMBER(SEARCH($AS$78:$AZ$78,IFERROR(('Final Calculation Sheet'!$R$32)&amp;"","")))))&gt;0),IF(COUNTIF($BI$78:$BP$78,6)=0,TRUE,SUMPRODUCT(($BI$78:$BP$78=6)*($AS$78:$AZ$78&lt;&gt;"")*IF(((UPPER($AS$78:$AZ$78)="BLANK")+(UPPER($AS$78:$AZ$78)="(BLANK)")+(UPPER($AS$78:$AZ$78)="EMPTY")+(UPPER($AS$78:$AZ$78)="(EMPTY)"))&gt;0,IFERROR(('Final Calculation Sheet'!$R$32)&amp;"","")="",ISNUMBER(SEARCH($AS$78:$AZ$78,IFERROR(('Final Calculation Sheet'!$R$32)&amp;"","")))))&gt;0),IF(COUNTIF($BI$78:$BP$78,7)=0,TRUE,SUMPRODUCT(($BI$78:$BP$78=7)*($AS$78:$AZ$78&lt;&gt;"")*IF(((UPPER($AS$78:$AZ$78)="BLANK")+(UPPER($AS$78:$AZ$78)="(BLANK)")+(UPPER($AS$78:$AZ$78)="EMPTY")+(UPPER($AS$78:$AZ$78)="(EMPTY)"))&gt;0,IFERROR(('Final Calculation Sheet'!$R$32)&amp;"","")="",ISNUMBER(SEARCH($AS$78:$AZ$78,IFERROR(('Final Calculation Sheet'!$R$32)&amp;"","")))))&gt;0),IF(COUNTIF($BI$78:$BP$78,8)=0,TRUE,SUMPRODUCT(($BI$78:$BP$78=8)*($AS$78:$AZ$78&lt;&gt;"")*IF(((UPPER($AS$78:$AZ$78)="BLANK")+(UPPER($AS$78:$AZ$78)="(BLANK)")+(UPPER($AS$78:$AZ$78)="EMPTY")+(UPPER($AS$78:$AZ$78)="(EMPTY)"))&gt;0,IFERROR(('Final Calculation Sheet'!$R$32)&amp;"","")="",ISNUMBER(SEARCH($AS$78:$AZ$78,IFERROR(('Final Calculation Sheet'!$R$32)&amp;"","")))))&gt;0))))</f>
        <v>1</v>
      </c>
      <c r="CF33">
        <f>IF($T$4="",1,--(AND(SUMPRODUCT(--($AS$79:$AZ$79&lt;&gt;""))&gt;0,IF(COUNTIF($BI$79:$BP$79,1)=0,TRUE,SUMPRODUCT(($BI$79:$BP$79=1)*($AS$79:$AZ$79&lt;&gt;"")*IF(((UPPER($AS$79:$AZ$79)="BLANK")+(UPPER($AS$79:$AZ$79)="(BLANK)")+(UPPER($AS$79:$AZ$79)="EMPTY")+(UPPER($AS$79:$AZ$79)="(EMPTY)"))&gt;0,IFERROR(('Final Calculation Sheet'!$S$32)&amp;"","")="",ISNUMBER(SEARCH($AS$79:$AZ$79,IFERROR(('Final Calculation Sheet'!$S$32)&amp;"","")))))&gt;0),IF(COUNTIF($BI$79:$BP$79,2)=0,TRUE,SUMPRODUCT(($BI$79:$BP$79=2)*($AS$79:$AZ$79&lt;&gt;"")*IF(((UPPER($AS$79:$AZ$79)="BLANK")+(UPPER($AS$79:$AZ$79)="(BLANK)")+(UPPER($AS$79:$AZ$79)="EMPTY")+(UPPER($AS$79:$AZ$79)="(EMPTY)"))&gt;0,IFERROR(('Final Calculation Sheet'!$S$32)&amp;"","")="",ISNUMBER(SEARCH($AS$79:$AZ$79,IFERROR(('Final Calculation Sheet'!$S$32)&amp;"","")))))&gt;0),IF(COUNTIF($BI$79:$BP$79,3)=0,TRUE,SUMPRODUCT(($BI$79:$BP$79=3)*($AS$79:$AZ$79&lt;&gt;"")*IF(((UPPER($AS$79:$AZ$79)="BLANK")+(UPPER($AS$79:$AZ$79)="(BLANK)")+(UPPER($AS$79:$AZ$79)="EMPTY")+(UPPER($AS$79:$AZ$79)="(EMPTY)"))&gt;0,IFERROR(('Final Calculation Sheet'!$S$32)&amp;"","")="",ISNUMBER(SEARCH($AS$79:$AZ$79,IFERROR(('Final Calculation Sheet'!$S$32)&amp;"","")))))&gt;0),IF(COUNTIF($BI$79:$BP$79,4)=0,TRUE,SUMPRODUCT(($BI$79:$BP$79=4)*($AS$79:$AZ$79&lt;&gt;"")*IF(((UPPER($AS$79:$AZ$79)="BLANK")+(UPPER($AS$79:$AZ$79)="(BLANK)")+(UPPER($AS$79:$AZ$79)="EMPTY")+(UPPER($AS$79:$AZ$79)="(EMPTY)"))&gt;0,IFERROR(('Final Calculation Sheet'!$S$32)&amp;"","")="",ISNUMBER(SEARCH($AS$79:$AZ$79,IFERROR(('Final Calculation Sheet'!$S$32)&amp;"","")))))&gt;0),IF(COUNTIF($BI$79:$BP$79,5)=0,TRUE,SUMPRODUCT(($BI$79:$BP$79=5)*($AS$79:$AZ$79&lt;&gt;"")*IF(((UPPER($AS$79:$AZ$79)="BLANK")+(UPPER($AS$79:$AZ$79)="(BLANK)")+(UPPER($AS$79:$AZ$79)="EMPTY")+(UPPER($AS$79:$AZ$79)="(EMPTY)"))&gt;0,IFERROR(('Final Calculation Sheet'!$S$32)&amp;"","")="",ISNUMBER(SEARCH($AS$79:$AZ$79,IFERROR(('Final Calculation Sheet'!$S$32)&amp;"","")))))&gt;0),IF(COUNTIF($BI$79:$BP$79,6)=0,TRUE,SUMPRODUCT(($BI$79:$BP$79=6)*($AS$79:$AZ$79&lt;&gt;"")*IF(((UPPER($AS$79:$AZ$79)="BLANK")+(UPPER($AS$79:$AZ$79)="(BLANK)")+(UPPER($AS$79:$AZ$79)="EMPTY")+(UPPER($AS$79:$AZ$79)="(EMPTY)"))&gt;0,IFERROR(('Final Calculation Sheet'!$S$32)&amp;"","")="",ISNUMBER(SEARCH($AS$79:$AZ$79,IFERROR(('Final Calculation Sheet'!$S$32)&amp;"","")))))&gt;0),IF(COUNTIF($BI$79:$BP$79,7)=0,TRUE,SUMPRODUCT(($BI$79:$BP$79=7)*($AS$79:$AZ$79&lt;&gt;"")*IF(((UPPER($AS$79:$AZ$79)="BLANK")+(UPPER($AS$79:$AZ$79)="(BLANK)")+(UPPER($AS$79:$AZ$79)="EMPTY")+(UPPER($AS$79:$AZ$79)="(EMPTY)"))&gt;0,IFERROR(('Final Calculation Sheet'!$S$32)&amp;"","")="",ISNUMBER(SEARCH($AS$79:$AZ$79,IFERROR(('Final Calculation Sheet'!$S$32)&amp;"","")))))&gt;0),IF(COUNTIF($BI$79:$BP$79,8)=0,TRUE,SUMPRODUCT(($BI$79:$BP$79=8)*($AS$79:$AZ$79&lt;&gt;"")*IF(((UPPER($AS$79:$AZ$79)="BLANK")+(UPPER($AS$79:$AZ$79)="(BLANK)")+(UPPER($AS$79:$AZ$79)="EMPTY")+(UPPER($AS$79:$AZ$79)="(EMPTY)"))&gt;0,IFERROR(('Final Calculation Sheet'!$S$32)&amp;"","")="",ISNUMBER(SEARCH($AS$79:$AZ$79,IFERROR(('Final Calculation Sheet'!$S$32)&amp;"","")))))&gt;0))))</f>
        <v>1</v>
      </c>
      <c r="CG33">
        <f>IF($U$4="",1,--(AND(SUMPRODUCT(--($AS$80:$AZ$80&lt;&gt;""))&gt;0,IF(COUNTIF($BI$80:$BP$80,1)=0,TRUE,SUMPRODUCT(($BI$80:$BP$80=1)*($AS$80:$AZ$80&lt;&gt;"")*IF(((UPPER($AS$80:$AZ$80)="BLANK")+(UPPER($AS$80:$AZ$80)="(BLANK)")+(UPPER($AS$80:$AZ$80)="EMPTY")+(UPPER($AS$80:$AZ$80)="(EMPTY)"))&gt;0,IFERROR(('Final Calculation Sheet'!$T$32)&amp;"","")="",ISNUMBER(SEARCH($AS$80:$AZ$80,IFERROR(('Final Calculation Sheet'!$T$32)&amp;"","")))))&gt;0),IF(COUNTIF($BI$80:$BP$80,2)=0,TRUE,SUMPRODUCT(($BI$80:$BP$80=2)*($AS$80:$AZ$80&lt;&gt;"")*IF(((UPPER($AS$80:$AZ$80)="BLANK")+(UPPER($AS$80:$AZ$80)="(BLANK)")+(UPPER($AS$80:$AZ$80)="EMPTY")+(UPPER($AS$80:$AZ$80)="(EMPTY)"))&gt;0,IFERROR(('Final Calculation Sheet'!$T$32)&amp;"","")="",ISNUMBER(SEARCH($AS$80:$AZ$80,IFERROR(('Final Calculation Sheet'!$T$32)&amp;"","")))))&gt;0),IF(COUNTIF($BI$80:$BP$80,3)=0,TRUE,SUMPRODUCT(($BI$80:$BP$80=3)*($AS$80:$AZ$80&lt;&gt;"")*IF(((UPPER($AS$80:$AZ$80)="BLANK")+(UPPER($AS$80:$AZ$80)="(BLANK)")+(UPPER($AS$80:$AZ$80)="EMPTY")+(UPPER($AS$80:$AZ$80)="(EMPTY)"))&gt;0,IFERROR(('Final Calculation Sheet'!$T$32)&amp;"","")="",ISNUMBER(SEARCH($AS$80:$AZ$80,IFERROR(('Final Calculation Sheet'!$T$32)&amp;"","")))))&gt;0),IF(COUNTIF($BI$80:$BP$80,4)=0,TRUE,SUMPRODUCT(($BI$80:$BP$80=4)*($AS$80:$AZ$80&lt;&gt;"")*IF(((UPPER($AS$80:$AZ$80)="BLANK")+(UPPER($AS$80:$AZ$80)="(BLANK)")+(UPPER($AS$80:$AZ$80)="EMPTY")+(UPPER($AS$80:$AZ$80)="(EMPTY)"))&gt;0,IFERROR(('Final Calculation Sheet'!$T$32)&amp;"","")="",ISNUMBER(SEARCH($AS$80:$AZ$80,IFERROR(('Final Calculation Sheet'!$T$32)&amp;"","")))))&gt;0),IF(COUNTIF($BI$80:$BP$80,5)=0,TRUE,SUMPRODUCT(($BI$80:$BP$80=5)*($AS$80:$AZ$80&lt;&gt;"")*IF(((UPPER($AS$80:$AZ$80)="BLANK")+(UPPER($AS$80:$AZ$80)="(BLANK)")+(UPPER($AS$80:$AZ$80)="EMPTY")+(UPPER($AS$80:$AZ$80)="(EMPTY)"))&gt;0,IFERROR(('Final Calculation Sheet'!$T$32)&amp;"","")="",ISNUMBER(SEARCH($AS$80:$AZ$80,IFERROR(('Final Calculation Sheet'!$T$32)&amp;"","")))))&gt;0),IF(COUNTIF($BI$80:$BP$80,6)=0,TRUE,SUMPRODUCT(($BI$80:$BP$80=6)*($AS$80:$AZ$80&lt;&gt;"")*IF(((UPPER($AS$80:$AZ$80)="BLANK")+(UPPER($AS$80:$AZ$80)="(BLANK)")+(UPPER($AS$80:$AZ$80)="EMPTY")+(UPPER($AS$80:$AZ$80)="(EMPTY)"))&gt;0,IFERROR(('Final Calculation Sheet'!$T$32)&amp;"","")="",ISNUMBER(SEARCH($AS$80:$AZ$80,IFERROR(('Final Calculation Sheet'!$T$32)&amp;"","")))))&gt;0),IF(COUNTIF($BI$80:$BP$80,7)=0,TRUE,SUMPRODUCT(($BI$80:$BP$80=7)*($AS$80:$AZ$80&lt;&gt;"")*IF(((UPPER($AS$80:$AZ$80)="BLANK")+(UPPER($AS$80:$AZ$80)="(BLANK)")+(UPPER($AS$80:$AZ$80)="EMPTY")+(UPPER($AS$80:$AZ$80)="(EMPTY)"))&gt;0,IFERROR(('Final Calculation Sheet'!$T$32)&amp;"","")="",ISNUMBER(SEARCH($AS$80:$AZ$80,IFERROR(('Final Calculation Sheet'!$T$32)&amp;"","")))))&gt;0),IF(COUNTIF($BI$80:$BP$80,8)=0,TRUE,SUMPRODUCT(($BI$80:$BP$80=8)*($AS$80:$AZ$80&lt;&gt;"")*IF(((UPPER($AS$80:$AZ$80)="BLANK")+(UPPER($AS$80:$AZ$80)="(BLANK)")+(UPPER($AS$80:$AZ$80)="EMPTY")+(UPPER($AS$80:$AZ$80)="(EMPTY)"))&gt;0,IFERROR(('Final Calculation Sheet'!$T$32)&amp;"","")="",ISNUMBER(SEARCH($AS$80:$AZ$80,IFERROR(('Final Calculation Sheet'!$T$32)&amp;"","")))))&gt;0))))</f>
        <v>1</v>
      </c>
      <c r="CH33">
        <f>IF($V$4="",1,--(AND(SUMPRODUCT(--($AS$81:$AZ$81&lt;&gt;""))&gt;0,IF(COUNTIF($BI$81:$BP$81,1)=0,TRUE,SUMPRODUCT(($BI$81:$BP$81=1)*($AS$81:$AZ$81&lt;&gt;"")*IF(((UPPER($AS$81:$AZ$81)="BLANK")+(UPPER($AS$81:$AZ$81)="(BLANK)")+(UPPER($AS$81:$AZ$81)="EMPTY")+(UPPER($AS$81:$AZ$81)="(EMPTY)"))&gt;0,IFERROR(('Final Calculation Sheet'!$U$32)&amp;"","")="",ISNUMBER(SEARCH($AS$81:$AZ$81,IFERROR(('Final Calculation Sheet'!$U$32)&amp;"","")))))&gt;0),IF(COUNTIF($BI$81:$BP$81,2)=0,TRUE,SUMPRODUCT(($BI$81:$BP$81=2)*($AS$81:$AZ$81&lt;&gt;"")*IF(((UPPER($AS$81:$AZ$81)="BLANK")+(UPPER($AS$81:$AZ$81)="(BLANK)")+(UPPER($AS$81:$AZ$81)="EMPTY")+(UPPER($AS$81:$AZ$81)="(EMPTY)"))&gt;0,IFERROR(('Final Calculation Sheet'!$U$32)&amp;"","")="",ISNUMBER(SEARCH($AS$81:$AZ$81,IFERROR(('Final Calculation Sheet'!$U$32)&amp;"","")))))&gt;0),IF(COUNTIF($BI$81:$BP$81,3)=0,TRUE,SUMPRODUCT(($BI$81:$BP$81=3)*($AS$81:$AZ$81&lt;&gt;"")*IF(((UPPER($AS$81:$AZ$81)="BLANK")+(UPPER($AS$81:$AZ$81)="(BLANK)")+(UPPER($AS$81:$AZ$81)="EMPTY")+(UPPER($AS$81:$AZ$81)="(EMPTY)"))&gt;0,IFERROR(('Final Calculation Sheet'!$U$32)&amp;"","")="",ISNUMBER(SEARCH($AS$81:$AZ$81,IFERROR(('Final Calculation Sheet'!$U$32)&amp;"","")))))&gt;0),IF(COUNTIF($BI$81:$BP$81,4)=0,TRUE,SUMPRODUCT(($BI$81:$BP$81=4)*($AS$81:$AZ$81&lt;&gt;"")*IF(((UPPER($AS$81:$AZ$81)="BLANK")+(UPPER($AS$81:$AZ$81)="(BLANK)")+(UPPER($AS$81:$AZ$81)="EMPTY")+(UPPER($AS$81:$AZ$81)="(EMPTY)"))&gt;0,IFERROR(('Final Calculation Sheet'!$U$32)&amp;"","")="",ISNUMBER(SEARCH($AS$81:$AZ$81,IFERROR(('Final Calculation Sheet'!$U$32)&amp;"","")))))&gt;0),IF(COUNTIF($BI$81:$BP$81,5)=0,TRUE,SUMPRODUCT(($BI$81:$BP$81=5)*($AS$81:$AZ$81&lt;&gt;"")*IF(((UPPER($AS$81:$AZ$81)="BLANK")+(UPPER($AS$81:$AZ$81)="(BLANK)")+(UPPER($AS$81:$AZ$81)="EMPTY")+(UPPER($AS$81:$AZ$81)="(EMPTY)"))&gt;0,IFERROR(('Final Calculation Sheet'!$U$32)&amp;"","")="",ISNUMBER(SEARCH($AS$81:$AZ$81,IFERROR(('Final Calculation Sheet'!$U$32)&amp;"","")))))&gt;0),IF(COUNTIF($BI$81:$BP$81,6)=0,TRUE,SUMPRODUCT(($BI$81:$BP$81=6)*($AS$81:$AZ$81&lt;&gt;"")*IF(((UPPER($AS$81:$AZ$81)="BLANK")+(UPPER($AS$81:$AZ$81)="(BLANK)")+(UPPER($AS$81:$AZ$81)="EMPTY")+(UPPER($AS$81:$AZ$81)="(EMPTY)"))&gt;0,IFERROR(('Final Calculation Sheet'!$U$32)&amp;"","")="",ISNUMBER(SEARCH($AS$81:$AZ$81,IFERROR(('Final Calculation Sheet'!$U$32)&amp;"","")))))&gt;0),IF(COUNTIF($BI$81:$BP$81,7)=0,TRUE,SUMPRODUCT(($BI$81:$BP$81=7)*($AS$81:$AZ$81&lt;&gt;"")*IF(((UPPER($AS$81:$AZ$81)="BLANK")+(UPPER($AS$81:$AZ$81)="(BLANK)")+(UPPER($AS$81:$AZ$81)="EMPTY")+(UPPER($AS$81:$AZ$81)="(EMPTY)"))&gt;0,IFERROR(('Final Calculation Sheet'!$U$32)&amp;"","")="",ISNUMBER(SEARCH($AS$81:$AZ$81,IFERROR(('Final Calculation Sheet'!$U$32)&amp;"","")))))&gt;0),IF(COUNTIF($BI$81:$BP$81,8)=0,TRUE,SUMPRODUCT(($BI$81:$BP$81=8)*($AS$81:$AZ$81&lt;&gt;"")*IF(((UPPER($AS$81:$AZ$81)="BLANK")+(UPPER($AS$81:$AZ$81)="(BLANK)")+(UPPER($AS$81:$AZ$81)="EMPTY")+(UPPER($AS$81:$AZ$81)="(EMPTY)"))&gt;0,IFERROR(('Final Calculation Sheet'!$U$32)&amp;"","")="",ISNUMBER(SEARCH($AS$81:$AZ$81,IFERROR(('Final Calculation Sheet'!$U$32)&amp;"","")))))&gt;0))))</f>
        <v>1</v>
      </c>
      <c r="CI33">
        <f>IF($W$4="",1,--(AND(SUMPRODUCT(--($AS$82:$AZ$82&lt;&gt;""))&gt;0,IF(COUNTIF($BI$82:$BP$82,1)=0,TRUE,SUMPRODUCT(($BI$82:$BP$82=1)*($AS$82:$AZ$82&lt;&gt;"")*IF(((UPPER($AS$82:$AZ$82)="BLANK")+(UPPER($AS$82:$AZ$82)="(BLANK)")+(UPPER($AS$82:$AZ$82)="EMPTY")+(UPPER($AS$82:$AZ$82)="(EMPTY)"))&gt;0,IFERROR(('Final Calculation Sheet'!$V$32)&amp;"","")="",ISNUMBER(SEARCH($AS$82:$AZ$82,IFERROR(('Final Calculation Sheet'!$V$32)&amp;"","")))))&gt;0),IF(COUNTIF($BI$82:$BP$82,2)=0,TRUE,SUMPRODUCT(($BI$82:$BP$82=2)*($AS$82:$AZ$82&lt;&gt;"")*IF(((UPPER($AS$82:$AZ$82)="BLANK")+(UPPER($AS$82:$AZ$82)="(BLANK)")+(UPPER($AS$82:$AZ$82)="EMPTY")+(UPPER($AS$82:$AZ$82)="(EMPTY)"))&gt;0,IFERROR(('Final Calculation Sheet'!$V$32)&amp;"","")="",ISNUMBER(SEARCH($AS$82:$AZ$82,IFERROR(('Final Calculation Sheet'!$V$32)&amp;"","")))))&gt;0),IF(COUNTIF($BI$82:$BP$82,3)=0,TRUE,SUMPRODUCT(($BI$82:$BP$82=3)*($AS$82:$AZ$82&lt;&gt;"")*IF(((UPPER($AS$82:$AZ$82)="BLANK")+(UPPER($AS$82:$AZ$82)="(BLANK)")+(UPPER($AS$82:$AZ$82)="EMPTY")+(UPPER($AS$82:$AZ$82)="(EMPTY)"))&gt;0,IFERROR(('Final Calculation Sheet'!$V$32)&amp;"","")="",ISNUMBER(SEARCH($AS$82:$AZ$82,IFERROR(('Final Calculation Sheet'!$V$32)&amp;"","")))))&gt;0),IF(COUNTIF($BI$82:$BP$82,4)=0,TRUE,SUMPRODUCT(($BI$82:$BP$82=4)*($AS$82:$AZ$82&lt;&gt;"")*IF(((UPPER($AS$82:$AZ$82)="BLANK")+(UPPER($AS$82:$AZ$82)="(BLANK)")+(UPPER($AS$82:$AZ$82)="EMPTY")+(UPPER($AS$82:$AZ$82)="(EMPTY)"))&gt;0,IFERROR(('Final Calculation Sheet'!$V$32)&amp;"","")="",ISNUMBER(SEARCH($AS$82:$AZ$82,IFERROR(('Final Calculation Sheet'!$V$32)&amp;"","")))))&gt;0),IF(COUNTIF($BI$82:$BP$82,5)=0,TRUE,SUMPRODUCT(($BI$82:$BP$82=5)*($AS$82:$AZ$82&lt;&gt;"")*IF(((UPPER($AS$82:$AZ$82)="BLANK")+(UPPER($AS$82:$AZ$82)="(BLANK)")+(UPPER($AS$82:$AZ$82)="EMPTY")+(UPPER($AS$82:$AZ$82)="(EMPTY)"))&gt;0,IFERROR(('Final Calculation Sheet'!$V$32)&amp;"","")="",ISNUMBER(SEARCH($AS$82:$AZ$82,IFERROR(('Final Calculation Sheet'!$V$32)&amp;"","")))))&gt;0),IF(COUNTIF($BI$82:$BP$82,6)=0,TRUE,SUMPRODUCT(($BI$82:$BP$82=6)*($AS$82:$AZ$82&lt;&gt;"")*IF(((UPPER($AS$82:$AZ$82)="BLANK")+(UPPER($AS$82:$AZ$82)="(BLANK)")+(UPPER($AS$82:$AZ$82)="EMPTY")+(UPPER($AS$82:$AZ$82)="(EMPTY)"))&gt;0,IFERROR(('Final Calculation Sheet'!$V$32)&amp;"","")="",ISNUMBER(SEARCH($AS$82:$AZ$82,IFERROR(('Final Calculation Sheet'!$V$32)&amp;"","")))))&gt;0),IF(COUNTIF($BI$82:$BP$82,7)=0,TRUE,SUMPRODUCT(($BI$82:$BP$82=7)*($AS$82:$AZ$82&lt;&gt;"")*IF(((UPPER($AS$82:$AZ$82)="BLANK")+(UPPER($AS$82:$AZ$82)="(BLANK)")+(UPPER($AS$82:$AZ$82)="EMPTY")+(UPPER($AS$82:$AZ$82)="(EMPTY)"))&gt;0,IFERROR(('Final Calculation Sheet'!$V$32)&amp;"","")="",ISNUMBER(SEARCH($AS$82:$AZ$82,IFERROR(('Final Calculation Sheet'!$V$32)&amp;"","")))))&gt;0),IF(COUNTIF($BI$82:$BP$82,8)=0,TRUE,SUMPRODUCT(($BI$82:$BP$82=8)*($AS$82:$AZ$82&lt;&gt;"")*IF(((UPPER($AS$82:$AZ$82)="BLANK")+(UPPER($AS$82:$AZ$82)="(BLANK)")+(UPPER($AS$82:$AZ$82)="EMPTY")+(UPPER($AS$82:$AZ$82)="(EMPTY)"))&gt;0,IFERROR(('Final Calculation Sheet'!$V$32)&amp;"","")="",ISNUMBER(SEARCH($AS$82:$AZ$82,IFERROR(('Final Calculation Sheet'!$V$32)&amp;"","")))))&gt;0))))</f>
        <v>1</v>
      </c>
      <c r="CJ33">
        <f>IF($X$4="",1,--(AND(SUMPRODUCT(--($AS$83:$AZ$83&lt;&gt;""))&gt;0,IF(COUNTIF($BI$83:$BP$83,1)=0,TRUE,SUMPRODUCT(($BI$83:$BP$83=1)*($AS$83:$AZ$83&lt;&gt;"")*IF(((UPPER($AS$83:$AZ$83)="BLANK")+(UPPER($AS$83:$AZ$83)="(BLANK)")+(UPPER($AS$83:$AZ$83)="EMPTY")+(UPPER($AS$83:$AZ$83)="(EMPTY)"))&gt;0,IFERROR(('Final Calculation Sheet'!$W$32)&amp;"","")="",ISNUMBER(SEARCH($AS$83:$AZ$83,IFERROR(('Final Calculation Sheet'!$W$32)&amp;"","")))))&gt;0),IF(COUNTIF($BI$83:$BP$83,2)=0,TRUE,SUMPRODUCT(($BI$83:$BP$83=2)*($AS$83:$AZ$83&lt;&gt;"")*IF(((UPPER($AS$83:$AZ$83)="BLANK")+(UPPER($AS$83:$AZ$83)="(BLANK)")+(UPPER($AS$83:$AZ$83)="EMPTY")+(UPPER($AS$83:$AZ$83)="(EMPTY)"))&gt;0,IFERROR(('Final Calculation Sheet'!$W$32)&amp;"","")="",ISNUMBER(SEARCH($AS$83:$AZ$83,IFERROR(('Final Calculation Sheet'!$W$32)&amp;"","")))))&gt;0),IF(COUNTIF($BI$83:$BP$83,3)=0,TRUE,SUMPRODUCT(($BI$83:$BP$83=3)*($AS$83:$AZ$83&lt;&gt;"")*IF(((UPPER($AS$83:$AZ$83)="BLANK")+(UPPER($AS$83:$AZ$83)="(BLANK)")+(UPPER($AS$83:$AZ$83)="EMPTY")+(UPPER($AS$83:$AZ$83)="(EMPTY)"))&gt;0,IFERROR(('Final Calculation Sheet'!$W$32)&amp;"","")="",ISNUMBER(SEARCH($AS$83:$AZ$83,IFERROR(('Final Calculation Sheet'!$W$32)&amp;"","")))))&gt;0),IF(COUNTIF($BI$83:$BP$83,4)=0,TRUE,SUMPRODUCT(($BI$83:$BP$83=4)*($AS$83:$AZ$83&lt;&gt;"")*IF(((UPPER($AS$83:$AZ$83)="BLANK")+(UPPER($AS$83:$AZ$83)="(BLANK)")+(UPPER($AS$83:$AZ$83)="EMPTY")+(UPPER($AS$83:$AZ$83)="(EMPTY)"))&gt;0,IFERROR(('Final Calculation Sheet'!$W$32)&amp;"","")="",ISNUMBER(SEARCH($AS$83:$AZ$83,IFERROR(('Final Calculation Sheet'!$W$32)&amp;"","")))))&gt;0),IF(COUNTIF($BI$83:$BP$83,5)=0,TRUE,SUMPRODUCT(($BI$83:$BP$83=5)*($AS$83:$AZ$83&lt;&gt;"")*IF(((UPPER($AS$83:$AZ$83)="BLANK")+(UPPER($AS$83:$AZ$83)="(BLANK)")+(UPPER($AS$83:$AZ$83)="EMPTY")+(UPPER($AS$83:$AZ$83)="(EMPTY)"))&gt;0,IFERROR(('Final Calculation Sheet'!$W$32)&amp;"","")="",ISNUMBER(SEARCH($AS$83:$AZ$83,IFERROR(('Final Calculation Sheet'!$W$32)&amp;"","")))))&gt;0),IF(COUNTIF($BI$83:$BP$83,6)=0,TRUE,SUMPRODUCT(($BI$83:$BP$83=6)*($AS$83:$AZ$83&lt;&gt;"")*IF(((UPPER($AS$83:$AZ$83)="BLANK")+(UPPER($AS$83:$AZ$83)="(BLANK)")+(UPPER($AS$83:$AZ$83)="EMPTY")+(UPPER($AS$83:$AZ$83)="(EMPTY)"))&gt;0,IFERROR(('Final Calculation Sheet'!$W$32)&amp;"","")="",ISNUMBER(SEARCH($AS$83:$AZ$83,IFERROR(('Final Calculation Sheet'!$W$32)&amp;"","")))))&gt;0),IF(COUNTIF($BI$83:$BP$83,7)=0,TRUE,SUMPRODUCT(($BI$83:$BP$83=7)*($AS$83:$AZ$83&lt;&gt;"")*IF(((UPPER($AS$83:$AZ$83)="BLANK")+(UPPER($AS$83:$AZ$83)="(BLANK)")+(UPPER($AS$83:$AZ$83)="EMPTY")+(UPPER($AS$83:$AZ$83)="(EMPTY)"))&gt;0,IFERROR(('Final Calculation Sheet'!$W$32)&amp;"","")="",ISNUMBER(SEARCH($AS$83:$AZ$83,IFERROR(('Final Calculation Sheet'!$W$32)&amp;"","")))))&gt;0),IF(COUNTIF($BI$83:$BP$83,8)=0,TRUE,SUMPRODUCT(($BI$83:$BP$83=8)*($AS$83:$AZ$83&lt;&gt;"")*IF(((UPPER($AS$83:$AZ$83)="BLANK")+(UPPER($AS$83:$AZ$83)="(BLANK)")+(UPPER($AS$83:$AZ$83)="EMPTY")+(UPPER($AS$83:$AZ$83)="(EMPTY)"))&gt;0,IFERROR(('Final Calculation Sheet'!$W$32)&amp;"","")="",ISNUMBER(SEARCH($AS$83:$AZ$83,IFERROR(('Final Calculation Sheet'!$W$32)&amp;"","")))))&gt;0))))</f>
        <v>1</v>
      </c>
      <c r="CK33">
        <f>IF($Y$4="",1,--(AND(SUMPRODUCT(--($AS$84:$AZ$84&lt;&gt;""))&gt;0,IF(COUNTIF($BI$84:$BP$84,1)=0,TRUE,SUMPRODUCT(($BI$84:$BP$84=1)*($AS$84:$AZ$84&lt;&gt;"")*IF(((UPPER($AS$84:$AZ$84)="BLANK")+(UPPER($AS$84:$AZ$84)="(BLANK)")+(UPPER($AS$84:$AZ$84)="EMPTY")+(UPPER($AS$84:$AZ$84)="(EMPTY)"))&gt;0,IFERROR(('Final Calculation Sheet'!$X$32)&amp;"","")="",ISNUMBER(SEARCH($AS$84:$AZ$84,IFERROR(('Final Calculation Sheet'!$X$32)&amp;"","")))))&gt;0),IF(COUNTIF($BI$84:$BP$84,2)=0,TRUE,SUMPRODUCT(($BI$84:$BP$84=2)*($AS$84:$AZ$84&lt;&gt;"")*IF(((UPPER($AS$84:$AZ$84)="BLANK")+(UPPER($AS$84:$AZ$84)="(BLANK)")+(UPPER($AS$84:$AZ$84)="EMPTY")+(UPPER($AS$84:$AZ$84)="(EMPTY)"))&gt;0,IFERROR(('Final Calculation Sheet'!$X$32)&amp;"","")="",ISNUMBER(SEARCH($AS$84:$AZ$84,IFERROR(('Final Calculation Sheet'!$X$32)&amp;"","")))))&gt;0),IF(COUNTIF($BI$84:$BP$84,3)=0,TRUE,SUMPRODUCT(($BI$84:$BP$84=3)*($AS$84:$AZ$84&lt;&gt;"")*IF(((UPPER($AS$84:$AZ$84)="BLANK")+(UPPER($AS$84:$AZ$84)="(BLANK)")+(UPPER($AS$84:$AZ$84)="EMPTY")+(UPPER($AS$84:$AZ$84)="(EMPTY)"))&gt;0,IFERROR(('Final Calculation Sheet'!$X$32)&amp;"","")="",ISNUMBER(SEARCH($AS$84:$AZ$84,IFERROR(('Final Calculation Sheet'!$X$32)&amp;"","")))))&gt;0),IF(COUNTIF($BI$84:$BP$84,4)=0,TRUE,SUMPRODUCT(($BI$84:$BP$84=4)*($AS$84:$AZ$84&lt;&gt;"")*IF(((UPPER($AS$84:$AZ$84)="BLANK")+(UPPER($AS$84:$AZ$84)="(BLANK)")+(UPPER($AS$84:$AZ$84)="EMPTY")+(UPPER($AS$84:$AZ$84)="(EMPTY)"))&gt;0,IFERROR(('Final Calculation Sheet'!$X$32)&amp;"","")="",ISNUMBER(SEARCH($AS$84:$AZ$84,IFERROR(('Final Calculation Sheet'!$X$32)&amp;"","")))))&gt;0),IF(COUNTIF($BI$84:$BP$84,5)=0,TRUE,SUMPRODUCT(($BI$84:$BP$84=5)*($AS$84:$AZ$84&lt;&gt;"")*IF(((UPPER($AS$84:$AZ$84)="BLANK")+(UPPER($AS$84:$AZ$84)="(BLANK)")+(UPPER($AS$84:$AZ$84)="EMPTY")+(UPPER($AS$84:$AZ$84)="(EMPTY)"))&gt;0,IFERROR(('Final Calculation Sheet'!$X$32)&amp;"","")="",ISNUMBER(SEARCH($AS$84:$AZ$84,IFERROR(('Final Calculation Sheet'!$X$32)&amp;"","")))))&gt;0),IF(COUNTIF($BI$84:$BP$84,6)=0,TRUE,SUMPRODUCT(($BI$84:$BP$84=6)*($AS$84:$AZ$84&lt;&gt;"")*IF(((UPPER($AS$84:$AZ$84)="BLANK")+(UPPER($AS$84:$AZ$84)="(BLANK)")+(UPPER($AS$84:$AZ$84)="EMPTY")+(UPPER($AS$84:$AZ$84)="(EMPTY)"))&gt;0,IFERROR(('Final Calculation Sheet'!$X$32)&amp;"","")="",ISNUMBER(SEARCH($AS$84:$AZ$84,IFERROR(('Final Calculation Sheet'!$X$32)&amp;"","")))))&gt;0),IF(COUNTIF($BI$84:$BP$84,7)=0,TRUE,SUMPRODUCT(($BI$84:$BP$84=7)*($AS$84:$AZ$84&lt;&gt;"")*IF(((UPPER($AS$84:$AZ$84)="BLANK")+(UPPER($AS$84:$AZ$84)="(BLANK)")+(UPPER($AS$84:$AZ$84)="EMPTY")+(UPPER($AS$84:$AZ$84)="(EMPTY)"))&gt;0,IFERROR(('Final Calculation Sheet'!$X$32)&amp;"","")="",ISNUMBER(SEARCH($AS$84:$AZ$84,IFERROR(('Final Calculation Sheet'!$X$32)&amp;"","")))))&gt;0),IF(COUNTIF($BI$84:$BP$84,8)=0,TRUE,SUMPRODUCT(($BI$84:$BP$84=8)*($AS$84:$AZ$84&lt;&gt;"")*IF(((UPPER($AS$84:$AZ$84)="BLANK")+(UPPER($AS$84:$AZ$84)="(BLANK)")+(UPPER($AS$84:$AZ$84)="EMPTY")+(UPPER($AS$84:$AZ$84)="(EMPTY)"))&gt;0,IFERROR(('Final Calculation Sheet'!$X$32)&amp;"","")="",ISNUMBER(SEARCH($AS$84:$AZ$84,IFERROR(('Final Calculation Sheet'!$X$32)&amp;"","")))))&gt;0))))</f>
        <v>1</v>
      </c>
      <c r="CL33">
        <f>IF($Z$4="",1,--(AND(SUMPRODUCT(--($AS$85:$AZ$85&lt;&gt;""))&gt;0,IF(COUNTIF($BI$85:$BP$85,1)=0,TRUE,SUMPRODUCT(($BI$85:$BP$85=1)*($AS$85:$AZ$85&lt;&gt;"")*IF(((UPPER($AS$85:$AZ$85)="BLANK")+(UPPER($AS$85:$AZ$85)="(BLANK)")+(UPPER($AS$85:$AZ$85)="EMPTY")+(UPPER($AS$85:$AZ$85)="(EMPTY)"))&gt;0,IFERROR(('Final Calculation Sheet'!$Y$32)&amp;"","")="",ISNUMBER(SEARCH($AS$85:$AZ$85,IFERROR(('Final Calculation Sheet'!$Y$32)&amp;"","")))))&gt;0),IF(COUNTIF($BI$85:$BP$85,2)=0,TRUE,SUMPRODUCT(($BI$85:$BP$85=2)*($AS$85:$AZ$85&lt;&gt;"")*IF(((UPPER($AS$85:$AZ$85)="BLANK")+(UPPER($AS$85:$AZ$85)="(BLANK)")+(UPPER($AS$85:$AZ$85)="EMPTY")+(UPPER($AS$85:$AZ$85)="(EMPTY)"))&gt;0,IFERROR(('Final Calculation Sheet'!$Y$32)&amp;"","")="",ISNUMBER(SEARCH($AS$85:$AZ$85,IFERROR(('Final Calculation Sheet'!$Y$32)&amp;"","")))))&gt;0),IF(COUNTIF($BI$85:$BP$85,3)=0,TRUE,SUMPRODUCT(($BI$85:$BP$85=3)*($AS$85:$AZ$85&lt;&gt;"")*IF(((UPPER($AS$85:$AZ$85)="BLANK")+(UPPER($AS$85:$AZ$85)="(BLANK)")+(UPPER($AS$85:$AZ$85)="EMPTY")+(UPPER($AS$85:$AZ$85)="(EMPTY)"))&gt;0,IFERROR(('Final Calculation Sheet'!$Y$32)&amp;"","")="",ISNUMBER(SEARCH($AS$85:$AZ$85,IFERROR(('Final Calculation Sheet'!$Y$32)&amp;"","")))))&gt;0),IF(COUNTIF($BI$85:$BP$85,4)=0,TRUE,SUMPRODUCT(($BI$85:$BP$85=4)*($AS$85:$AZ$85&lt;&gt;"")*IF(((UPPER($AS$85:$AZ$85)="BLANK")+(UPPER($AS$85:$AZ$85)="(BLANK)")+(UPPER($AS$85:$AZ$85)="EMPTY")+(UPPER($AS$85:$AZ$85)="(EMPTY)"))&gt;0,IFERROR(('Final Calculation Sheet'!$Y$32)&amp;"","")="",ISNUMBER(SEARCH($AS$85:$AZ$85,IFERROR(('Final Calculation Sheet'!$Y$32)&amp;"","")))))&gt;0),IF(COUNTIF($BI$85:$BP$85,5)=0,TRUE,SUMPRODUCT(($BI$85:$BP$85=5)*($AS$85:$AZ$85&lt;&gt;"")*IF(((UPPER($AS$85:$AZ$85)="BLANK")+(UPPER($AS$85:$AZ$85)="(BLANK)")+(UPPER($AS$85:$AZ$85)="EMPTY")+(UPPER($AS$85:$AZ$85)="(EMPTY)"))&gt;0,IFERROR(('Final Calculation Sheet'!$Y$32)&amp;"","")="",ISNUMBER(SEARCH($AS$85:$AZ$85,IFERROR(('Final Calculation Sheet'!$Y$32)&amp;"","")))))&gt;0),IF(COUNTIF($BI$85:$BP$85,6)=0,TRUE,SUMPRODUCT(($BI$85:$BP$85=6)*($AS$85:$AZ$85&lt;&gt;"")*IF(((UPPER($AS$85:$AZ$85)="BLANK")+(UPPER($AS$85:$AZ$85)="(BLANK)")+(UPPER($AS$85:$AZ$85)="EMPTY")+(UPPER($AS$85:$AZ$85)="(EMPTY)"))&gt;0,IFERROR(('Final Calculation Sheet'!$Y$32)&amp;"","")="",ISNUMBER(SEARCH($AS$85:$AZ$85,IFERROR(('Final Calculation Sheet'!$Y$32)&amp;"","")))))&gt;0),IF(COUNTIF($BI$85:$BP$85,7)=0,TRUE,SUMPRODUCT(($BI$85:$BP$85=7)*($AS$85:$AZ$85&lt;&gt;"")*IF(((UPPER($AS$85:$AZ$85)="BLANK")+(UPPER($AS$85:$AZ$85)="(BLANK)")+(UPPER($AS$85:$AZ$85)="EMPTY")+(UPPER($AS$85:$AZ$85)="(EMPTY)"))&gt;0,IFERROR(('Final Calculation Sheet'!$Y$32)&amp;"","")="",ISNUMBER(SEARCH($AS$85:$AZ$85,IFERROR(('Final Calculation Sheet'!$Y$32)&amp;"","")))))&gt;0),IF(COUNTIF($BI$85:$BP$85,8)=0,TRUE,SUMPRODUCT(($BI$85:$BP$85=8)*($AS$85:$AZ$85&lt;&gt;"")*IF(((UPPER($AS$85:$AZ$85)="BLANK")+(UPPER($AS$85:$AZ$85)="(BLANK)")+(UPPER($AS$85:$AZ$85)="EMPTY")+(UPPER($AS$85:$AZ$85)="(EMPTY)"))&gt;0,IFERROR(('Final Calculation Sheet'!$Y$32)&amp;"","")="",ISNUMBER(SEARCH($AS$85:$AZ$85,IFERROR(('Final Calculation Sheet'!$Y$32)&amp;"","")))))&gt;0))))</f>
        <v>1</v>
      </c>
      <c r="CM33">
        <f>IF($AA$4="",1,--(AND(SUMPRODUCT(--($AS$86:$AZ$86&lt;&gt;""))&gt;0,IF(COUNTIF($BI$86:$BP$86,1)=0,TRUE,SUMPRODUCT(($BI$86:$BP$86=1)*($AS$86:$AZ$86&lt;&gt;"")*IF(((UPPER($AS$86:$AZ$86)="BLANK")+(UPPER($AS$86:$AZ$86)="(BLANK)")+(UPPER($AS$86:$AZ$86)="EMPTY")+(UPPER($AS$86:$AZ$86)="(EMPTY)"))&gt;0,IFERROR(('Final Calculation Sheet'!$Z$32)&amp;"","")="",ISNUMBER(SEARCH($AS$86:$AZ$86,IFERROR(('Final Calculation Sheet'!$Z$32)&amp;"","")))))&gt;0),IF(COUNTIF($BI$86:$BP$86,2)=0,TRUE,SUMPRODUCT(($BI$86:$BP$86=2)*($AS$86:$AZ$86&lt;&gt;"")*IF(((UPPER($AS$86:$AZ$86)="BLANK")+(UPPER($AS$86:$AZ$86)="(BLANK)")+(UPPER($AS$86:$AZ$86)="EMPTY")+(UPPER($AS$86:$AZ$86)="(EMPTY)"))&gt;0,IFERROR(('Final Calculation Sheet'!$Z$32)&amp;"","")="",ISNUMBER(SEARCH($AS$86:$AZ$86,IFERROR(('Final Calculation Sheet'!$Z$32)&amp;"","")))))&gt;0),IF(COUNTIF($BI$86:$BP$86,3)=0,TRUE,SUMPRODUCT(($BI$86:$BP$86=3)*($AS$86:$AZ$86&lt;&gt;"")*IF(((UPPER($AS$86:$AZ$86)="BLANK")+(UPPER($AS$86:$AZ$86)="(BLANK)")+(UPPER($AS$86:$AZ$86)="EMPTY")+(UPPER($AS$86:$AZ$86)="(EMPTY)"))&gt;0,IFERROR(('Final Calculation Sheet'!$Z$32)&amp;"","")="",ISNUMBER(SEARCH($AS$86:$AZ$86,IFERROR(('Final Calculation Sheet'!$Z$32)&amp;"","")))))&gt;0),IF(COUNTIF($BI$86:$BP$86,4)=0,TRUE,SUMPRODUCT(($BI$86:$BP$86=4)*($AS$86:$AZ$86&lt;&gt;"")*IF(((UPPER($AS$86:$AZ$86)="BLANK")+(UPPER($AS$86:$AZ$86)="(BLANK)")+(UPPER($AS$86:$AZ$86)="EMPTY")+(UPPER($AS$86:$AZ$86)="(EMPTY)"))&gt;0,IFERROR(('Final Calculation Sheet'!$Z$32)&amp;"","")="",ISNUMBER(SEARCH($AS$86:$AZ$86,IFERROR(('Final Calculation Sheet'!$Z$32)&amp;"","")))))&gt;0),IF(COUNTIF($BI$86:$BP$86,5)=0,TRUE,SUMPRODUCT(($BI$86:$BP$86=5)*($AS$86:$AZ$86&lt;&gt;"")*IF(((UPPER($AS$86:$AZ$86)="BLANK")+(UPPER($AS$86:$AZ$86)="(BLANK)")+(UPPER($AS$86:$AZ$86)="EMPTY")+(UPPER($AS$86:$AZ$86)="(EMPTY)"))&gt;0,IFERROR(('Final Calculation Sheet'!$Z$32)&amp;"","")="",ISNUMBER(SEARCH($AS$86:$AZ$86,IFERROR(('Final Calculation Sheet'!$Z$32)&amp;"","")))))&gt;0),IF(COUNTIF($BI$86:$BP$86,6)=0,TRUE,SUMPRODUCT(($BI$86:$BP$86=6)*($AS$86:$AZ$86&lt;&gt;"")*IF(((UPPER($AS$86:$AZ$86)="BLANK")+(UPPER($AS$86:$AZ$86)="(BLANK)")+(UPPER($AS$86:$AZ$86)="EMPTY")+(UPPER($AS$86:$AZ$86)="(EMPTY)"))&gt;0,IFERROR(('Final Calculation Sheet'!$Z$32)&amp;"","")="",ISNUMBER(SEARCH($AS$86:$AZ$86,IFERROR(('Final Calculation Sheet'!$Z$32)&amp;"","")))))&gt;0),IF(COUNTIF($BI$86:$BP$86,7)=0,TRUE,SUMPRODUCT(($BI$86:$BP$86=7)*($AS$86:$AZ$86&lt;&gt;"")*IF(((UPPER($AS$86:$AZ$86)="BLANK")+(UPPER($AS$86:$AZ$86)="(BLANK)")+(UPPER($AS$86:$AZ$86)="EMPTY")+(UPPER($AS$86:$AZ$86)="(EMPTY)"))&gt;0,IFERROR(('Final Calculation Sheet'!$Z$32)&amp;"","")="",ISNUMBER(SEARCH($AS$86:$AZ$86,IFERROR(('Final Calculation Sheet'!$Z$32)&amp;"","")))))&gt;0),IF(COUNTIF($BI$86:$BP$86,8)=0,TRUE,SUMPRODUCT(($BI$86:$BP$86=8)*($AS$86:$AZ$86&lt;&gt;"")*IF(((UPPER($AS$86:$AZ$86)="BLANK")+(UPPER($AS$86:$AZ$86)="(BLANK)")+(UPPER($AS$86:$AZ$86)="EMPTY")+(UPPER($AS$86:$AZ$86)="(EMPTY)"))&gt;0,IFERROR(('Final Calculation Sheet'!$Z$32)&amp;"","")="",ISNUMBER(SEARCH($AS$86:$AZ$86,IFERROR(('Final Calculation Sheet'!$Z$32)&amp;"","")))))&gt;0))))</f>
        <v>1</v>
      </c>
      <c r="CN33">
        <f>IF($AB$4="",1,--(AND(SUMPRODUCT(--($AS$87:$AZ$87&lt;&gt;""))&gt;0,IF(COUNTIF($BI$87:$BP$87,1)=0,TRUE,SUMPRODUCT(($BI$87:$BP$87=1)*($AS$87:$AZ$87&lt;&gt;"")*IF(((UPPER($AS$87:$AZ$87)="BLANK")+(UPPER($AS$87:$AZ$87)="(BLANK)")+(UPPER($AS$87:$AZ$87)="EMPTY")+(UPPER($AS$87:$AZ$87)="(EMPTY)"))&gt;0,IFERROR(('Final Calculation Sheet'!$AA$32)&amp;"","")="",ISNUMBER(SEARCH($AS$87:$AZ$87,IFERROR(('Final Calculation Sheet'!$AA$32)&amp;"","")))))&gt;0),IF(COUNTIF($BI$87:$BP$87,2)=0,TRUE,SUMPRODUCT(($BI$87:$BP$87=2)*($AS$87:$AZ$87&lt;&gt;"")*IF(((UPPER($AS$87:$AZ$87)="BLANK")+(UPPER($AS$87:$AZ$87)="(BLANK)")+(UPPER($AS$87:$AZ$87)="EMPTY")+(UPPER($AS$87:$AZ$87)="(EMPTY)"))&gt;0,IFERROR(('Final Calculation Sheet'!$AA$32)&amp;"","")="",ISNUMBER(SEARCH($AS$87:$AZ$87,IFERROR(('Final Calculation Sheet'!$AA$32)&amp;"","")))))&gt;0),IF(COUNTIF($BI$87:$BP$87,3)=0,TRUE,SUMPRODUCT(($BI$87:$BP$87=3)*($AS$87:$AZ$87&lt;&gt;"")*IF(((UPPER($AS$87:$AZ$87)="BLANK")+(UPPER($AS$87:$AZ$87)="(BLANK)")+(UPPER($AS$87:$AZ$87)="EMPTY")+(UPPER($AS$87:$AZ$87)="(EMPTY)"))&gt;0,IFERROR(('Final Calculation Sheet'!$AA$32)&amp;"","")="",ISNUMBER(SEARCH($AS$87:$AZ$87,IFERROR(('Final Calculation Sheet'!$AA$32)&amp;"","")))))&gt;0),IF(COUNTIF($BI$87:$BP$87,4)=0,TRUE,SUMPRODUCT(($BI$87:$BP$87=4)*($AS$87:$AZ$87&lt;&gt;"")*IF(((UPPER($AS$87:$AZ$87)="BLANK")+(UPPER($AS$87:$AZ$87)="(BLANK)")+(UPPER($AS$87:$AZ$87)="EMPTY")+(UPPER($AS$87:$AZ$87)="(EMPTY)"))&gt;0,IFERROR(('Final Calculation Sheet'!$AA$32)&amp;"","")="",ISNUMBER(SEARCH($AS$87:$AZ$87,IFERROR(('Final Calculation Sheet'!$AA$32)&amp;"","")))))&gt;0),IF(COUNTIF($BI$87:$BP$87,5)=0,TRUE,SUMPRODUCT(($BI$87:$BP$87=5)*($AS$87:$AZ$87&lt;&gt;"")*IF(((UPPER($AS$87:$AZ$87)="BLANK")+(UPPER($AS$87:$AZ$87)="(BLANK)")+(UPPER($AS$87:$AZ$87)="EMPTY")+(UPPER($AS$87:$AZ$87)="(EMPTY)"))&gt;0,IFERROR(('Final Calculation Sheet'!$AA$32)&amp;"","")="",ISNUMBER(SEARCH($AS$87:$AZ$87,IFERROR(('Final Calculation Sheet'!$AA$32)&amp;"","")))))&gt;0),IF(COUNTIF($BI$87:$BP$87,6)=0,TRUE,SUMPRODUCT(($BI$87:$BP$87=6)*($AS$87:$AZ$87&lt;&gt;"")*IF(((UPPER($AS$87:$AZ$87)="BLANK")+(UPPER($AS$87:$AZ$87)="(BLANK)")+(UPPER($AS$87:$AZ$87)="EMPTY")+(UPPER($AS$87:$AZ$87)="(EMPTY)"))&gt;0,IFERROR(('Final Calculation Sheet'!$AA$32)&amp;"","")="",ISNUMBER(SEARCH($AS$87:$AZ$87,IFERROR(('Final Calculation Sheet'!$AA$32)&amp;"","")))))&gt;0),IF(COUNTIF($BI$87:$BP$87,7)=0,TRUE,SUMPRODUCT(($BI$87:$BP$87=7)*($AS$87:$AZ$87&lt;&gt;"")*IF(((UPPER($AS$87:$AZ$87)="BLANK")+(UPPER($AS$87:$AZ$87)="(BLANK)")+(UPPER($AS$87:$AZ$87)="EMPTY")+(UPPER($AS$87:$AZ$87)="(EMPTY)"))&gt;0,IFERROR(('Final Calculation Sheet'!$AA$32)&amp;"","")="",ISNUMBER(SEARCH($AS$87:$AZ$87,IFERROR(('Final Calculation Sheet'!$AA$32)&amp;"","")))))&gt;0),IF(COUNTIF($BI$87:$BP$87,8)=0,TRUE,SUMPRODUCT(($BI$87:$BP$87=8)*($AS$87:$AZ$87&lt;&gt;"")*IF(((UPPER($AS$87:$AZ$87)="BLANK")+(UPPER($AS$87:$AZ$87)="(BLANK)")+(UPPER($AS$87:$AZ$87)="EMPTY")+(UPPER($AS$87:$AZ$87)="(EMPTY)"))&gt;0,IFERROR(('Final Calculation Sheet'!$AA$32)&amp;"","")="",ISNUMBER(SEARCH($AS$87:$AZ$87,IFERROR(('Final Calculation Sheet'!$AA$32)&amp;"","")))))&gt;0))))</f>
        <v>1</v>
      </c>
      <c r="CO33">
        <f>IF($AC$4="",1,--(AND(SUMPRODUCT(--($AS$88:$AZ$88&lt;&gt;""))&gt;0,IF(COUNTIF($BI$88:$BP$88,1)=0,TRUE,SUMPRODUCT(($BI$88:$BP$88=1)*($AS$88:$AZ$88&lt;&gt;"")*IF(((UPPER($AS$88:$AZ$88)="BLANK")+(UPPER($AS$88:$AZ$88)="(BLANK)")+(UPPER($AS$88:$AZ$88)="EMPTY")+(UPPER($AS$88:$AZ$88)="(EMPTY)"))&gt;0,IFERROR(('Final Calculation Sheet'!$AB$32)&amp;"","")="",ISNUMBER(SEARCH($AS$88:$AZ$88,IFERROR(('Final Calculation Sheet'!$AB$32)&amp;"","")))))&gt;0),IF(COUNTIF($BI$88:$BP$88,2)=0,TRUE,SUMPRODUCT(($BI$88:$BP$88=2)*($AS$88:$AZ$88&lt;&gt;"")*IF(((UPPER($AS$88:$AZ$88)="BLANK")+(UPPER($AS$88:$AZ$88)="(BLANK)")+(UPPER($AS$88:$AZ$88)="EMPTY")+(UPPER($AS$88:$AZ$88)="(EMPTY)"))&gt;0,IFERROR(('Final Calculation Sheet'!$AB$32)&amp;"","")="",ISNUMBER(SEARCH($AS$88:$AZ$88,IFERROR(('Final Calculation Sheet'!$AB$32)&amp;"","")))))&gt;0),IF(COUNTIF($BI$88:$BP$88,3)=0,TRUE,SUMPRODUCT(($BI$88:$BP$88=3)*($AS$88:$AZ$88&lt;&gt;"")*IF(((UPPER($AS$88:$AZ$88)="BLANK")+(UPPER($AS$88:$AZ$88)="(BLANK)")+(UPPER($AS$88:$AZ$88)="EMPTY")+(UPPER($AS$88:$AZ$88)="(EMPTY)"))&gt;0,IFERROR(('Final Calculation Sheet'!$AB$32)&amp;"","")="",ISNUMBER(SEARCH($AS$88:$AZ$88,IFERROR(('Final Calculation Sheet'!$AB$32)&amp;"","")))))&gt;0),IF(COUNTIF($BI$88:$BP$88,4)=0,TRUE,SUMPRODUCT(($BI$88:$BP$88=4)*($AS$88:$AZ$88&lt;&gt;"")*IF(((UPPER($AS$88:$AZ$88)="BLANK")+(UPPER($AS$88:$AZ$88)="(BLANK)")+(UPPER($AS$88:$AZ$88)="EMPTY")+(UPPER($AS$88:$AZ$88)="(EMPTY)"))&gt;0,IFERROR(('Final Calculation Sheet'!$AB$32)&amp;"","")="",ISNUMBER(SEARCH($AS$88:$AZ$88,IFERROR(('Final Calculation Sheet'!$AB$32)&amp;"","")))))&gt;0),IF(COUNTIF($BI$88:$BP$88,5)=0,TRUE,SUMPRODUCT(($BI$88:$BP$88=5)*($AS$88:$AZ$88&lt;&gt;"")*IF(((UPPER($AS$88:$AZ$88)="BLANK")+(UPPER($AS$88:$AZ$88)="(BLANK)")+(UPPER($AS$88:$AZ$88)="EMPTY")+(UPPER($AS$88:$AZ$88)="(EMPTY)"))&gt;0,IFERROR(('Final Calculation Sheet'!$AB$32)&amp;"","")="",ISNUMBER(SEARCH($AS$88:$AZ$88,IFERROR(('Final Calculation Sheet'!$AB$32)&amp;"","")))))&gt;0),IF(COUNTIF($BI$88:$BP$88,6)=0,TRUE,SUMPRODUCT(($BI$88:$BP$88=6)*($AS$88:$AZ$88&lt;&gt;"")*IF(((UPPER($AS$88:$AZ$88)="BLANK")+(UPPER($AS$88:$AZ$88)="(BLANK)")+(UPPER($AS$88:$AZ$88)="EMPTY")+(UPPER($AS$88:$AZ$88)="(EMPTY)"))&gt;0,IFERROR(('Final Calculation Sheet'!$AB$32)&amp;"","")="",ISNUMBER(SEARCH($AS$88:$AZ$88,IFERROR(('Final Calculation Sheet'!$AB$32)&amp;"","")))))&gt;0),IF(COUNTIF($BI$88:$BP$88,7)=0,TRUE,SUMPRODUCT(($BI$88:$BP$88=7)*($AS$88:$AZ$88&lt;&gt;"")*IF(((UPPER($AS$88:$AZ$88)="BLANK")+(UPPER($AS$88:$AZ$88)="(BLANK)")+(UPPER($AS$88:$AZ$88)="EMPTY")+(UPPER($AS$88:$AZ$88)="(EMPTY)"))&gt;0,IFERROR(('Final Calculation Sheet'!$AB$32)&amp;"","")="",ISNUMBER(SEARCH($AS$88:$AZ$88,IFERROR(('Final Calculation Sheet'!$AB$32)&amp;"","")))))&gt;0),IF(COUNTIF($BI$88:$BP$88,8)=0,TRUE,SUMPRODUCT(($BI$88:$BP$88=8)*($AS$88:$AZ$88&lt;&gt;"")*IF(((UPPER($AS$88:$AZ$88)="BLANK")+(UPPER($AS$88:$AZ$88)="(BLANK)")+(UPPER($AS$88:$AZ$88)="EMPTY")+(UPPER($AS$88:$AZ$88)="(EMPTY)"))&gt;0,IFERROR(('Final Calculation Sheet'!$AB$32)&amp;"","")="",ISNUMBER(SEARCH($AS$88:$AZ$88,IFERROR(('Final Calculation Sheet'!$AB$32)&amp;"","")))))&gt;0))))</f>
        <v>1</v>
      </c>
      <c r="CP33">
        <f>IF($AD$4="",1,--(AND(SUMPRODUCT(--($AS$89:$AZ$89&lt;&gt;""))&gt;0,IF(COUNTIF($BI$89:$BP$89,1)=0,TRUE,SUMPRODUCT(($BI$89:$BP$89=1)*($AS$89:$AZ$89&lt;&gt;"")*IF(((UPPER($AS$89:$AZ$89)="BLANK")+(UPPER($AS$89:$AZ$89)="(BLANK)")+(UPPER($AS$89:$AZ$89)="EMPTY")+(UPPER($AS$89:$AZ$89)="(EMPTY)"))&gt;0,IFERROR(('Final Calculation Sheet'!$AC$32)&amp;"","")="",ISNUMBER(SEARCH($AS$89:$AZ$89,IFERROR(('Final Calculation Sheet'!$AC$32)&amp;"","")))))&gt;0),IF(COUNTIF($BI$89:$BP$89,2)=0,TRUE,SUMPRODUCT(($BI$89:$BP$89=2)*($AS$89:$AZ$89&lt;&gt;"")*IF(((UPPER($AS$89:$AZ$89)="BLANK")+(UPPER($AS$89:$AZ$89)="(BLANK)")+(UPPER($AS$89:$AZ$89)="EMPTY")+(UPPER($AS$89:$AZ$89)="(EMPTY)"))&gt;0,IFERROR(('Final Calculation Sheet'!$AC$32)&amp;"","")="",ISNUMBER(SEARCH($AS$89:$AZ$89,IFERROR(('Final Calculation Sheet'!$AC$32)&amp;"","")))))&gt;0),IF(COUNTIF($BI$89:$BP$89,3)=0,TRUE,SUMPRODUCT(($BI$89:$BP$89=3)*($AS$89:$AZ$89&lt;&gt;"")*IF(((UPPER($AS$89:$AZ$89)="BLANK")+(UPPER($AS$89:$AZ$89)="(BLANK)")+(UPPER($AS$89:$AZ$89)="EMPTY")+(UPPER($AS$89:$AZ$89)="(EMPTY)"))&gt;0,IFERROR(('Final Calculation Sheet'!$AC$32)&amp;"","")="",ISNUMBER(SEARCH($AS$89:$AZ$89,IFERROR(('Final Calculation Sheet'!$AC$32)&amp;"","")))))&gt;0),IF(COUNTIF($BI$89:$BP$89,4)=0,TRUE,SUMPRODUCT(($BI$89:$BP$89=4)*($AS$89:$AZ$89&lt;&gt;"")*IF(((UPPER($AS$89:$AZ$89)="BLANK")+(UPPER($AS$89:$AZ$89)="(BLANK)")+(UPPER($AS$89:$AZ$89)="EMPTY")+(UPPER($AS$89:$AZ$89)="(EMPTY)"))&gt;0,IFERROR(('Final Calculation Sheet'!$AC$32)&amp;"","")="",ISNUMBER(SEARCH($AS$89:$AZ$89,IFERROR(('Final Calculation Sheet'!$AC$32)&amp;"","")))))&gt;0),IF(COUNTIF($BI$89:$BP$89,5)=0,TRUE,SUMPRODUCT(($BI$89:$BP$89=5)*($AS$89:$AZ$89&lt;&gt;"")*IF(((UPPER($AS$89:$AZ$89)="BLANK")+(UPPER($AS$89:$AZ$89)="(BLANK)")+(UPPER($AS$89:$AZ$89)="EMPTY")+(UPPER($AS$89:$AZ$89)="(EMPTY)"))&gt;0,IFERROR(('Final Calculation Sheet'!$AC$32)&amp;"","")="",ISNUMBER(SEARCH($AS$89:$AZ$89,IFERROR(('Final Calculation Sheet'!$AC$32)&amp;"","")))))&gt;0),IF(COUNTIF($BI$89:$BP$89,6)=0,TRUE,SUMPRODUCT(($BI$89:$BP$89=6)*($AS$89:$AZ$89&lt;&gt;"")*IF(((UPPER($AS$89:$AZ$89)="BLANK")+(UPPER($AS$89:$AZ$89)="(BLANK)")+(UPPER($AS$89:$AZ$89)="EMPTY")+(UPPER($AS$89:$AZ$89)="(EMPTY)"))&gt;0,IFERROR(('Final Calculation Sheet'!$AC$32)&amp;"","")="",ISNUMBER(SEARCH($AS$89:$AZ$89,IFERROR(('Final Calculation Sheet'!$AC$32)&amp;"","")))))&gt;0),IF(COUNTIF($BI$89:$BP$89,7)=0,TRUE,SUMPRODUCT(($BI$89:$BP$89=7)*($AS$89:$AZ$89&lt;&gt;"")*IF(((UPPER($AS$89:$AZ$89)="BLANK")+(UPPER($AS$89:$AZ$89)="(BLANK)")+(UPPER($AS$89:$AZ$89)="EMPTY")+(UPPER($AS$89:$AZ$89)="(EMPTY)"))&gt;0,IFERROR(('Final Calculation Sheet'!$AC$32)&amp;"","")="",ISNUMBER(SEARCH($AS$89:$AZ$89,IFERROR(('Final Calculation Sheet'!$AC$32)&amp;"","")))))&gt;0),IF(COUNTIF($BI$89:$BP$89,8)=0,TRUE,SUMPRODUCT(($BI$89:$BP$89=8)*($AS$89:$AZ$89&lt;&gt;"")*IF(((UPPER($AS$89:$AZ$89)="BLANK")+(UPPER($AS$89:$AZ$89)="(BLANK)")+(UPPER($AS$89:$AZ$89)="EMPTY")+(UPPER($AS$89:$AZ$89)="(EMPTY)"))&gt;0,IFERROR(('Final Calculation Sheet'!$AC$32)&amp;"","")="",ISNUMBER(SEARCH($AS$89:$AZ$89,IFERROR(('Final Calculation Sheet'!$AC$32)&amp;"","")))))&gt;0))))</f>
        <v>1</v>
      </c>
      <c r="CQ33">
        <f>IF($AE$4="",1,--(AND(SUMPRODUCT(--($AS$90:$AZ$90&lt;&gt;""))&gt;0,IF(COUNTIF($BI$90:$BP$90,1)=0,TRUE,SUMPRODUCT(($BI$90:$BP$90=1)*($AS$90:$AZ$90&lt;&gt;"")*IF(((UPPER($AS$90:$AZ$90)="BLANK")+(UPPER($AS$90:$AZ$90)="(BLANK)")+(UPPER($AS$90:$AZ$90)="EMPTY")+(UPPER($AS$90:$AZ$90)="(EMPTY)"))&gt;0,IFERROR(('Final Calculation Sheet'!$AD$32)&amp;"","")="",ISNUMBER(SEARCH($AS$90:$AZ$90,IFERROR(('Final Calculation Sheet'!$AD$32)&amp;"","")))))&gt;0),IF(COUNTIF($BI$90:$BP$90,2)=0,TRUE,SUMPRODUCT(($BI$90:$BP$90=2)*($AS$90:$AZ$90&lt;&gt;"")*IF(((UPPER($AS$90:$AZ$90)="BLANK")+(UPPER($AS$90:$AZ$90)="(BLANK)")+(UPPER($AS$90:$AZ$90)="EMPTY")+(UPPER($AS$90:$AZ$90)="(EMPTY)"))&gt;0,IFERROR(('Final Calculation Sheet'!$AD$32)&amp;"","")="",ISNUMBER(SEARCH($AS$90:$AZ$90,IFERROR(('Final Calculation Sheet'!$AD$32)&amp;"","")))))&gt;0),IF(COUNTIF($BI$90:$BP$90,3)=0,TRUE,SUMPRODUCT(($BI$90:$BP$90=3)*($AS$90:$AZ$90&lt;&gt;"")*IF(((UPPER($AS$90:$AZ$90)="BLANK")+(UPPER($AS$90:$AZ$90)="(BLANK)")+(UPPER($AS$90:$AZ$90)="EMPTY")+(UPPER($AS$90:$AZ$90)="(EMPTY)"))&gt;0,IFERROR(('Final Calculation Sheet'!$AD$32)&amp;"","")="",ISNUMBER(SEARCH($AS$90:$AZ$90,IFERROR(('Final Calculation Sheet'!$AD$32)&amp;"","")))))&gt;0),IF(COUNTIF($BI$90:$BP$90,4)=0,TRUE,SUMPRODUCT(($BI$90:$BP$90=4)*($AS$90:$AZ$90&lt;&gt;"")*IF(((UPPER($AS$90:$AZ$90)="BLANK")+(UPPER($AS$90:$AZ$90)="(BLANK)")+(UPPER($AS$90:$AZ$90)="EMPTY")+(UPPER($AS$90:$AZ$90)="(EMPTY)"))&gt;0,IFERROR(('Final Calculation Sheet'!$AD$32)&amp;"","")="",ISNUMBER(SEARCH($AS$90:$AZ$90,IFERROR(('Final Calculation Sheet'!$AD$32)&amp;"","")))))&gt;0),IF(COUNTIF($BI$90:$BP$90,5)=0,TRUE,SUMPRODUCT(($BI$90:$BP$90=5)*($AS$90:$AZ$90&lt;&gt;"")*IF(((UPPER($AS$90:$AZ$90)="BLANK")+(UPPER($AS$90:$AZ$90)="(BLANK)")+(UPPER($AS$90:$AZ$90)="EMPTY")+(UPPER($AS$90:$AZ$90)="(EMPTY)"))&gt;0,IFERROR(('Final Calculation Sheet'!$AD$32)&amp;"","")="",ISNUMBER(SEARCH($AS$90:$AZ$90,IFERROR(('Final Calculation Sheet'!$AD$32)&amp;"","")))))&gt;0),IF(COUNTIF($BI$90:$BP$90,6)=0,TRUE,SUMPRODUCT(($BI$90:$BP$90=6)*($AS$90:$AZ$90&lt;&gt;"")*IF(((UPPER($AS$90:$AZ$90)="BLANK")+(UPPER($AS$90:$AZ$90)="(BLANK)")+(UPPER($AS$90:$AZ$90)="EMPTY")+(UPPER($AS$90:$AZ$90)="(EMPTY)"))&gt;0,IFERROR(('Final Calculation Sheet'!$AD$32)&amp;"","")="",ISNUMBER(SEARCH($AS$90:$AZ$90,IFERROR(('Final Calculation Sheet'!$AD$32)&amp;"","")))))&gt;0),IF(COUNTIF($BI$90:$BP$90,7)=0,TRUE,SUMPRODUCT(($BI$90:$BP$90=7)*($AS$90:$AZ$90&lt;&gt;"")*IF(((UPPER($AS$90:$AZ$90)="BLANK")+(UPPER($AS$90:$AZ$90)="(BLANK)")+(UPPER($AS$90:$AZ$90)="EMPTY")+(UPPER($AS$90:$AZ$90)="(EMPTY)"))&gt;0,IFERROR(('Final Calculation Sheet'!$AD$32)&amp;"","")="",ISNUMBER(SEARCH($AS$90:$AZ$90,IFERROR(('Final Calculation Sheet'!$AD$32)&amp;"","")))))&gt;0),IF(COUNTIF($BI$90:$BP$90,8)=0,TRUE,SUMPRODUCT(($BI$90:$BP$90=8)*($AS$90:$AZ$90&lt;&gt;"")*IF(((UPPER($AS$90:$AZ$90)="BLANK")+(UPPER($AS$90:$AZ$90)="(BLANK)")+(UPPER($AS$90:$AZ$90)="EMPTY")+(UPPER($AS$90:$AZ$90)="(EMPTY)"))&gt;0,IFERROR(('Final Calculation Sheet'!$AD$32)&amp;"","")="",ISNUMBER(SEARCH($AS$90:$AZ$90,IFERROR(('Final Calculation Sheet'!$AD$32)&amp;"","")))))&gt;0))))</f>
        <v>1</v>
      </c>
      <c r="CR33">
        <f>IF($AF$4="",1,--(AND(SUMPRODUCT(--($AS$91:$AZ$91&lt;&gt;""))&gt;0,IF(COUNTIF($BI$91:$BP$91,1)=0,TRUE,SUMPRODUCT(($BI$91:$BP$91=1)*($AS$91:$AZ$91&lt;&gt;"")*IF(((UPPER($AS$91:$AZ$91)="BLANK")+(UPPER($AS$91:$AZ$91)="(BLANK)")+(UPPER($AS$91:$AZ$91)="EMPTY")+(UPPER($AS$91:$AZ$91)="(EMPTY)"))&gt;0,IFERROR(('Final Calculation Sheet'!$AE$32)&amp;"","")="",ISNUMBER(SEARCH($AS$91:$AZ$91,IFERROR(('Final Calculation Sheet'!$AE$32)&amp;"","")))))&gt;0),IF(COUNTIF($BI$91:$BP$91,2)=0,TRUE,SUMPRODUCT(($BI$91:$BP$91=2)*($AS$91:$AZ$91&lt;&gt;"")*IF(((UPPER($AS$91:$AZ$91)="BLANK")+(UPPER($AS$91:$AZ$91)="(BLANK)")+(UPPER($AS$91:$AZ$91)="EMPTY")+(UPPER($AS$91:$AZ$91)="(EMPTY)"))&gt;0,IFERROR(('Final Calculation Sheet'!$AE$32)&amp;"","")="",ISNUMBER(SEARCH($AS$91:$AZ$91,IFERROR(('Final Calculation Sheet'!$AE$32)&amp;"","")))))&gt;0),IF(COUNTIF($BI$91:$BP$91,3)=0,TRUE,SUMPRODUCT(($BI$91:$BP$91=3)*($AS$91:$AZ$91&lt;&gt;"")*IF(((UPPER($AS$91:$AZ$91)="BLANK")+(UPPER($AS$91:$AZ$91)="(BLANK)")+(UPPER($AS$91:$AZ$91)="EMPTY")+(UPPER($AS$91:$AZ$91)="(EMPTY)"))&gt;0,IFERROR(('Final Calculation Sheet'!$AE$32)&amp;"","")="",ISNUMBER(SEARCH($AS$91:$AZ$91,IFERROR(('Final Calculation Sheet'!$AE$32)&amp;"","")))))&gt;0),IF(COUNTIF($BI$91:$BP$91,4)=0,TRUE,SUMPRODUCT(($BI$91:$BP$91=4)*($AS$91:$AZ$91&lt;&gt;"")*IF(((UPPER($AS$91:$AZ$91)="BLANK")+(UPPER($AS$91:$AZ$91)="(BLANK)")+(UPPER($AS$91:$AZ$91)="EMPTY")+(UPPER($AS$91:$AZ$91)="(EMPTY)"))&gt;0,IFERROR(('Final Calculation Sheet'!$AE$32)&amp;"","")="",ISNUMBER(SEARCH($AS$91:$AZ$91,IFERROR(('Final Calculation Sheet'!$AE$32)&amp;"","")))))&gt;0),IF(COUNTIF($BI$91:$BP$91,5)=0,TRUE,SUMPRODUCT(($BI$91:$BP$91=5)*($AS$91:$AZ$91&lt;&gt;"")*IF(((UPPER($AS$91:$AZ$91)="BLANK")+(UPPER($AS$91:$AZ$91)="(BLANK)")+(UPPER($AS$91:$AZ$91)="EMPTY")+(UPPER($AS$91:$AZ$91)="(EMPTY)"))&gt;0,IFERROR(('Final Calculation Sheet'!$AE$32)&amp;"","")="",ISNUMBER(SEARCH($AS$91:$AZ$91,IFERROR(('Final Calculation Sheet'!$AE$32)&amp;"","")))))&gt;0),IF(COUNTIF($BI$91:$BP$91,6)=0,TRUE,SUMPRODUCT(($BI$91:$BP$91=6)*($AS$91:$AZ$91&lt;&gt;"")*IF(((UPPER($AS$91:$AZ$91)="BLANK")+(UPPER($AS$91:$AZ$91)="(BLANK)")+(UPPER($AS$91:$AZ$91)="EMPTY")+(UPPER($AS$91:$AZ$91)="(EMPTY)"))&gt;0,IFERROR(('Final Calculation Sheet'!$AE$32)&amp;"","")="",ISNUMBER(SEARCH($AS$91:$AZ$91,IFERROR(('Final Calculation Sheet'!$AE$32)&amp;"","")))))&gt;0),IF(COUNTIF($BI$91:$BP$91,7)=0,TRUE,SUMPRODUCT(($BI$91:$BP$91=7)*($AS$91:$AZ$91&lt;&gt;"")*IF(((UPPER($AS$91:$AZ$91)="BLANK")+(UPPER($AS$91:$AZ$91)="(BLANK)")+(UPPER($AS$91:$AZ$91)="EMPTY")+(UPPER($AS$91:$AZ$91)="(EMPTY)"))&gt;0,IFERROR(('Final Calculation Sheet'!$AE$32)&amp;"","")="",ISNUMBER(SEARCH($AS$91:$AZ$91,IFERROR(('Final Calculation Sheet'!$AE$32)&amp;"","")))))&gt;0),IF(COUNTIF($BI$91:$BP$91,8)=0,TRUE,SUMPRODUCT(($BI$91:$BP$91=8)*($AS$91:$AZ$91&lt;&gt;"")*IF(((UPPER($AS$91:$AZ$91)="BLANK")+(UPPER($AS$91:$AZ$91)="(BLANK)")+(UPPER($AS$91:$AZ$91)="EMPTY")+(UPPER($AS$91:$AZ$91)="(EMPTY)"))&gt;0,IFERROR(('Final Calculation Sheet'!$AE$32)&amp;"","")="",ISNUMBER(SEARCH($AS$91:$AZ$91,IFERROR(('Final Calculation Sheet'!$AE$32)&amp;"","")))))&gt;0))))</f>
        <v>1</v>
      </c>
      <c r="CS33">
        <f>IF($AG$4="",1,--(AND(SUMPRODUCT(--($AS$92:$AZ$92&lt;&gt;""))&gt;0,IF(COUNTIF($BI$92:$BP$92,1)=0,TRUE,SUMPRODUCT(($BI$92:$BP$92=1)*($AS$92:$AZ$92&lt;&gt;"")*IF(((UPPER($AS$92:$AZ$92)="BLANK")+(UPPER($AS$92:$AZ$92)="(BLANK)")+(UPPER($AS$92:$AZ$92)="EMPTY")+(UPPER($AS$92:$AZ$92)="(EMPTY)"))&gt;0,IFERROR(('Final Calculation Sheet'!$AF$32)&amp;"","")="",ISNUMBER(SEARCH($AS$92:$AZ$92,IFERROR(('Final Calculation Sheet'!$AF$32)&amp;"","")))))&gt;0),IF(COUNTIF($BI$92:$BP$92,2)=0,TRUE,SUMPRODUCT(($BI$92:$BP$92=2)*($AS$92:$AZ$92&lt;&gt;"")*IF(((UPPER($AS$92:$AZ$92)="BLANK")+(UPPER($AS$92:$AZ$92)="(BLANK)")+(UPPER($AS$92:$AZ$92)="EMPTY")+(UPPER($AS$92:$AZ$92)="(EMPTY)"))&gt;0,IFERROR(('Final Calculation Sheet'!$AF$32)&amp;"","")="",ISNUMBER(SEARCH($AS$92:$AZ$92,IFERROR(('Final Calculation Sheet'!$AF$32)&amp;"","")))))&gt;0),IF(COUNTIF($BI$92:$BP$92,3)=0,TRUE,SUMPRODUCT(($BI$92:$BP$92=3)*($AS$92:$AZ$92&lt;&gt;"")*IF(((UPPER($AS$92:$AZ$92)="BLANK")+(UPPER($AS$92:$AZ$92)="(BLANK)")+(UPPER($AS$92:$AZ$92)="EMPTY")+(UPPER($AS$92:$AZ$92)="(EMPTY)"))&gt;0,IFERROR(('Final Calculation Sheet'!$AF$32)&amp;"","")="",ISNUMBER(SEARCH($AS$92:$AZ$92,IFERROR(('Final Calculation Sheet'!$AF$32)&amp;"","")))))&gt;0),IF(COUNTIF($BI$92:$BP$92,4)=0,TRUE,SUMPRODUCT(($BI$92:$BP$92=4)*($AS$92:$AZ$92&lt;&gt;"")*IF(((UPPER($AS$92:$AZ$92)="BLANK")+(UPPER($AS$92:$AZ$92)="(BLANK)")+(UPPER($AS$92:$AZ$92)="EMPTY")+(UPPER($AS$92:$AZ$92)="(EMPTY)"))&gt;0,IFERROR(('Final Calculation Sheet'!$AF$32)&amp;"","")="",ISNUMBER(SEARCH($AS$92:$AZ$92,IFERROR(('Final Calculation Sheet'!$AF$32)&amp;"","")))))&gt;0),IF(COUNTIF($BI$92:$BP$92,5)=0,TRUE,SUMPRODUCT(($BI$92:$BP$92=5)*($AS$92:$AZ$92&lt;&gt;"")*IF(((UPPER($AS$92:$AZ$92)="BLANK")+(UPPER($AS$92:$AZ$92)="(BLANK)")+(UPPER($AS$92:$AZ$92)="EMPTY")+(UPPER($AS$92:$AZ$92)="(EMPTY)"))&gt;0,IFERROR(('Final Calculation Sheet'!$AF$32)&amp;"","")="",ISNUMBER(SEARCH($AS$92:$AZ$92,IFERROR(('Final Calculation Sheet'!$AF$32)&amp;"","")))))&gt;0),IF(COUNTIF($BI$92:$BP$92,6)=0,TRUE,SUMPRODUCT(($BI$92:$BP$92=6)*($AS$92:$AZ$92&lt;&gt;"")*IF(((UPPER($AS$92:$AZ$92)="BLANK")+(UPPER($AS$92:$AZ$92)="(BLANK)")+(UPPER($AS$92:$AZ$92)="EMPTY")+(UPPER($AS$92:$AZ$92)="(EMPTY)"))&gt;0,IFERROR(('Final Calculation Sheet'!$AF$32)&amp;"","")="",ISNUMBER(SEARCH($AS$92:$AZ$92,IFERROR(('Final Calculation Sheet'!$AF$32)&amp;"","")))))&gt;0),IF(COUNTIF($BI$92:$BP$92,7)=0,TRUE,SUMPRODUCT(($BI$92:$BP$92=7)*($AS$92:$AZ$92&lt;&gt;"")*IF(((UPPER($AS$92:$AZ$92)="BLANK")+(UPPER($AS$92:$AZ$92)="(BLANK)")+(UPPER($AS$92:$AZ$92)="EMPTY")+(UPPER($AS$92:$AZ$92)="(EMPTY)"))&gt;0,IFERROR(('Final Calculation Sheet'!$AF$32)&amp;"","")="",ISNUMBER(SEARCH($AS$92:$AZ$92,IFERROR(('Final Calculation Sheet'!$AF$32)&amp;"","")))))&gt;0),IF(COUNTIF($BI$92:$BP$92,8)=0,TRUE,SUMPRODUCT(($BI$92:$BP$92=8)*($AS$92:$AZ$92&lt;&gt;"")*IF(((UPPER($AS$92:$AZ$92)="BLANK")+(UPPER($AS$92:$AZ$92)="(BLANK)")+(UPPER($AS$92:$AZ$92)="EMPTY")+(UPPER($AS$92:$AZ$92)="(EMPTY)"))&gt;0,IFERROR(('Final Calculation Sheet'!$AF$32)&amp;"","")="",ISNUMBER(SEARCH($AS$92:$AZ$92,IFERROR(('Final Calculation Sheet'!$AF$32)&amp;"","")))))&gt;0))))</f>
        <v>1</v>
      </c>
      <c r="CT33">
        <f>IF($AH$4="",1,--(AND(SUMPRODUCT(--($AS$93:$AZ$93&lt;&gt;""))&gt;0,IF(COUNTIF($BI$93:$BP$93,1)=0,TRUE,SUMPRODUCT(($BI$93:$BP$93=1)*($AS$93:$AZ$93&lt;&gt;"")*IF(((UPPER($AS$93:$AZ$93)="BLANK")+(UPPER($AS$93:$AZ$93)="(BLANK)")+(UPPER($AS$93:$AZ$93)="EMPTY")+(UPPER($AS$93:$AZ$93)="(EMPTY)"))&gt;0,IFERROR(('Final Calculation Sheet'!$AG$32)&amp;"","")="",ISNUMBER(SEARCH($AS$93:$AZ$93,IFERROR(('Final Calculation Sheet'!$AG$32)&amp;"","")))))&gt;0),IF(COUNTIF($BI$93:$BP$93,2)=0,TRUE,SUMPRODUCT(($BI$93:$BP$93=2)*($AS$93:$AZ$93&lt;&gt;"")*IF(((UPPER($AS$93:$AZ$93)="BLANK")+(UPPER($AS$93:$AZ$93)="(BLANK)")+(UPPER($AS$93:$AZ$93)="EMPTY")+(UPPER($AS$93:$AZ$93)="(EMPTY)"))&gt;0,IFERROR(('Final Calculation Sheet'!$AG$32)&amp;"","")="",ISNUMBER(SEARCH($AS$93:$AZ$93,IFERROR(('Final Calculation Sheet'!$AG$32)&amp;"","")))))&gt;0),IF(COUNTIF($BI$93:$BP$93,3)=0,TRUE,SUMPRODUCT(($BI$93:$BP$93=3)*($AS$93:$AZ$93&lt;&gt;"")*IF(((UPPER($AS$93:$AZ$93)="BLANK")+(UPPER($AS$93:$AZ$93)="(BLANK)")+(UPPER($AS$93:$AZ$93)="EMPTY")+(UPPER($AS$93:$AZ$93)="(EMPTY)"))&gt;0,IFERROR(('Final Calculation Sheet'!$AG$32)&amp;"","")="",ISNUMBER(SEARCH($AS$93:$AZ$93,IFERROR(('Final Calculation Sheet'!$AG$32)&amp;"","")))))&gt;0),IF(COUNTIF($BI$93:$BP$93,4)=0,TRUE,SUMPRODUCT(($BI$93:$BP$93=4)*($AS$93:$AZ$93&lt;&gt;"")*IF(((UPPER($AS$93:$AZ$93)="BLANK")+(UPPER($AS$93:$AZ$93)="(BLANK)")+(UPPER($AS$93:$AZ$93)="EMPTY")+(UPPER($AS$93:$AZ$93)="(EMPTY)"))&gt;0,IFERROR(('Final Calculation Sheet'!$AG$32)&amp;"","")="",ISNUMBER(SEARCH($AS$93:$AZ$93,IFERROR(('Final Calculation Sheet'!$AG$32)&amp;"","")))))&gt;0),IF(COUNTIF($BI$93:$BP$93,5)=0,TRUE,SUMPRODUCT(($BI$93:$BP$93=5)*($AS$93:$AZ$93&lt;&gt;"")*IF(((UPPER($AS$93:$AZ$93)="BLANK")+(UPPER($AS$93:$AZ$93)="(BLANK)")+(UPPER($AS$93:$AZ$93)="EMPTY")+(UPPER($AS$93:$AZ$93)="(EMPTY)"))&gt;0,IFERROR(('Final Calculation Sheet'!$AG$32)&amp;"","")="",ISNUMBER(SEARCH($AS$93:$AZ$93,IFERROR(('Final Calculation Sheet'!$AG$32)&amp;"","")))))&gt;0),IF(COUNTIF($BI$93:$BP$93,6)=0,TRUE,SUMPRODUCT(($BI$93:$BP$93=6)*($AS$93:$AZ$93&lt;&gt;"")*IF(((UPPER($AS$93:$AZ$93)="BLANK")+(UPPER($AS$93:$AZ$93)="(BLANK)")+(UPPER($AS$93:$AZ$93)="EMPTY")+(UPPER($AS$93:$AZ$93)="(EMPTY)"))&gt;0,IFERROR(('Final Calculation Sheet'!$AG$32)&amp;"","")="",ISNUMBER(SEARCH($AS$93:$AZ$93,IFERROR(('Final Calculation Sheet'!$AG$32)&amp;"","")))))&gt;0),IF(COUNTIF($BI$93:$BP$93,7)=0,TRUE,SUMPRODUCT(($BI$93:$BP$93=7)*($AS$93:$AZ$93&lt;&gt;"")*IF(((UPPER($AS$93:$AZ$93)="BLANK")+(UPPER($AS$93:$AZ$93)="(BLANK)")+(UPPER($AS$93:$AZ$93)="EMPTY")+(UPPER($AS$93:$AZ$93)="(EMPTY)"))&gt;0,IFERROR(('Final Calculation Sheet'!$AG$32)&amp;"","")="",ISNUMBER(SEARCH($AS$93:$AZ$93,IFERROR(('Final Calculation Sheet'!$AG$32)&amp;"","")))))&gt;0),IF(COUNTIF($BI$93:$BP$93,8)=0,TRUE,SUMPRODUCT(($BI$93:$BP$93=8)*($AS$93:$AZ$93&lt;&gt;"")*IF(((UPPER($AS$93:$AZ$93)="BLANK")+(UPPER($AS$93:$AZ$93)="(BLANK)")+(UPPER($AS$93:$AZ$93)="EMPTY")+(UPPER($AS$93:$AZ$93)="(EMPTY)"))&gt;0,IFERROR(('Final Calculation Sheet'!$AG$32)&amp;"","")="",ISNUMBER(SEARCH($AS$93:$AZ$93,IFERROR(('Final Calculation Sheet'!$AG$32)&amp;"","")))))&gt;0))))</f>
        <v>1</v>
      </c>
      <c r="CU33">
        <f>IF($AI$4="",1,--(AND(SUMPRODUCT(--($AS$94:$AZ$94&lt;&gt;""))&gt;0,IF(COUNTIF($BI$94:$BP$94,1)=0,TRUE,SUMPRODUCT(($BI$94:$BP$94=1)*($AS$94:$AZ$94&lt;&gt;"")*IF(((UPPER($AS$94:$AZ$94)="BLANK")+(UPPER($AS$94:$AZ$94)="(BLANK)")+(UPPER($AS$94:$AZ$94)="EMPTY")+(UPPER($AS$94:$AZ$94)="(EMPTY)"))&gt;0,IFERROR((IF('Final Calculation Sheet'!$AD$32&lt;=0,"SETTLED","OUTSTANDING"))&amp;"","")="",ISNUMBER(SEARCH($AS$94:$AZ$94,IFERROR((IF('Final Calculation Sheet'!$AD$32&lt;=0,"SETTLED","OUTSTANDING"))&amp;"","")))))&gt;0),IF(COUNTIF($BI$94:$BP$94,2)=0,TRUE,SUMPRODUCT(($BI$94:$BP$94=2)*($AS$94:$AZ$94&lt;&gt;"")*IF(((UPPER($AS$94:$AZ$94)="BLANK")+(UPPER($AS$94:$AZ$94)="(BLANK)")+(UPPER($AS$94:$AZ$94)="EMPTY")+(UPPER($AS$94:$AZ$94)="(EMPTY)"))&gt;0,IFERROR((IF('Final Calculation Sheet'!$AD$32&lt;=0,"SETTLED","OUTSTANDING"))&amp;"","")="",ISNUMBER(SEARCH($AS$94:$AZ$94,IFERROR((IF('Final Calculation Sheet'!$AD$32&lt;=0,"SETTLED","OUTSTANDING"))&amp;"","")))))&gt;0),IF(COUNTIF($BI$94:$BP$94,3)=0,TRUE,SUMPRODUCT(($BI$94:$BP$94=3)*($AS$94:$AZ$94&lt;&gt;"")*IF(((UPPER($AS$94:$AZ$94)="BLANK")+(UPPER($AS$94:$AZ$94)="(BLANK)")+(UPPER($AS$94:$AZ$94)="EMPTY")+(UPPER($AS$94:$AZ$94)="(EMPTY)"))&gt;0,IFERROR((IF('Final Calculation Sheet'!$AD$32&lt;=0,"SETTLED","OUTSTANDING"))&amp;"","")="",ISNUMBER(SEARCH($AS$94:$AZ$94,IFERROR((IF('Final Calculation Sheet'!$AD$32&lt;=0,"SETTLED","OUTSTANDING"))&amp;"","")))))&gt;0),IF(COUNTIF($BI$94:$BP$94,4)=0,TRUE,SUMPRODUCT(($BI$94:$BP$94=4)*($AS$94:$AZ$94&lt;&gt;"")*IF(((UPPER($AS$94:$AZ$94)="BLANK")+(UPPER($AS$94:$AZ$94)="(BLANK)")+(UPPER($AS$94:$AZ$94)="EMPTY")+(UPPER($AS$94:$AZ$94)="(EMPTY)"))&gt;0,IFERROR((IF('Final Calculation Sheet'!$AD$32&lt;=0,"SETTLED","OUTSTANDING"))&amp;"","")="",ISNUMBER(SEARCH($AS$94:$AZ$94,IFERROR((IF('Final Calculation Sheet'!$AD$32&lt;=0,"SETTLED","OUTSTANDING"))&amp;"","")))))&gt;0),IF(COUNTIF($BI$94:$BP$94,5)=0,TRUE,SUMPRODUCT(($BI$94:$BP$94=5)*($AS$94:$AZ$94&lt;&gt;"")*IF(((UPPER($AS$94:$AZ$94)="BLANK")+(UPPER($AS$94:$AZ$94)="(BLANK)")+(UPPER($AS$94:$AZ$94)="EMPTY")+(UPPER($AS$94:$AZ$94)="(EMPTY)"))&gt;0,IFERROR((IF('Final Calculation Sheet'!$AD$32&lt;=0,"SETTLED","OUTSTANDING"))&amp;"","")="",ISNUMBER(SEARCH($AS$94:$AZ$94,IFERROR((IF('Final Calculation Sheet'!$AD$32&lt;=0,"SETTLED","OUTSTANDING"))&amp;"","")))))&gt;0),IF(COUNTIF($BI$94:$BP$94,6)=0,TRUE,SUMPRODUCT(($BI$94:$BP$94=6)*($AS$94:$AZ$94&lt;&gt;"")*IF(((UPPER($AS$94:$AZ$94)="BLANK")+(UPPER($AS$94:$AZ$94)="(BLANK)")+(UPPER($AS$94:$AZ$94)="EMPTY")+(UPPER($AS$94:$AZ$94)="(EMPTY)"))&gt;0,IFERROR((IF('Final Calculation Sheet'!$AD$32&lt;=0,"SETTLED","OUTSTANDING"))&amp;"","")="",ISNUMBER(SEARCH($AS$94:$AZ$94,IFERROR((IF('Final Calculation Sheet'!$AD$32&lt;=0,"SETTLED","OUTSTANDING"))&amp;"","")))))&gt;0),IF(COUNTIF($BI$94:$BP$94,7)=0,TRUE,SUMPRODUCT(($BI$94:$BP$94=7)*($AS$94:$AZ$94&lt;&gt;"")*IF(((UPPER($AS$94:$AZ$94)="BLANK")+(UPPER($AS$94:$AZ$94)="(BLANK)")+(UPPER($AS$94:$AZ$94)="EMPTY")+(UPPER($AS$94:$AZ$94)="(EMPTY)"))&gt;0,IFERROR((IF('Final Calculation Sheet'!$AD$32&lt;=0,"SETTLED","OUTSTANDING"))&amp;"","")="",ISNUMBER(SEARCH($AS$94:$AZ$94,IFERROR((IF('Final Calculation Sheet'!$AD$32&lt;=0,"SETTLED","OUTSTANDING"))&amp;"","")))))&gt;0),IF(COUNTIF($BI$94:$BP$94,8)=0,TRUE,SUMPRODUCT(($BI$94:$BP$94=8)*($AS$94:$AZ$94&lt;&gt;"")*IF(((UPPER($AS$94:$AZ$94)="BLANK")+(UPPER($AS$94:$AZ$94)="(BLANK)")+(UPPER($AS$94:$AZ$94)="EMPTY")+(UPPER($AS$94:$AZ$94)="(EMPTY)"))&gt;0,IFERROR((IF('Final Calculation Sheet'!$AD$32&lt;=0,"SETTLED","OUTSTANDING"))&amp;"","")="",ISNUMBER(SEARCH($AS$94:$AZ$94,IFERROR((IF('Final Calculation Sheet'!$AD$32&lt;=0,"SETTLED","OUTSTANDING"))&amp;"","")))))&gt;0))))</f>
        <v>1</v>
      </c>
    </row>
    <row r="34" spans="1:99" ht="15" customHeight="1" x14ac:dyDescent="0.25">
      <c r="A34" s="67">
        <f>IF($BJ33&gt;0,INDEX($BA$5:$BA$41,MATCH(33,$BB$5:$BB$41,0)),IF(OR($BI33=1,$BL33=1,$BH33&gt;0),"∑",""))</f>
        <v>17</v>
      </c>
      <c r="B34" s="68">
        <f>IF($BJ33&gt;0,IF(INDEX('Final Calculation Sheet'!$F$4:$F$40,$BJ33-3)="","",INDEX('Final Calculation Sheet'!$F$4:$F$40,$BJ33-3)),"")</f>
        <v>2035</v>
      </c>
      <c r="C34" s="68" t="str">
        <f>IF($BJ33&gt;0,IF(INDEX('Final Calculation Sheet'!$G$4:$G$40,$BJ33-3)="","",INDEX('Final Calculation Sheet'!$G$4:$G$40,$BJ33-3)),IF(OR($BI33=1,$BL33=1,$BH33&gt;0),IF($BI33=1,37,IF($BL33=1,37-INDEX($BD$4:$BD$13,10),INDEX($BD$4:$BD$13,$BH33)))&amp;" lot(s)",""))</f>
        <v>NATIONAL ENTERPRISES</v>
      </c>
      <c r="D34" s="69" t="str">
        <f>IF($BJ33&gt;0,IF(INDEX('Final Calculation Sheet'!$B$4:$B$40,$BJ33-3)="","",INDEX('Final Calculation Sheet'!$B$4:$B$40,$BJ33-3)),IF(OR($BI33=1,$BL33=1,$BH33&gt;0),IF($BI33=1,"GRAND TOTAL  —  matching + remaining",IF($BL33=1,"TOTAL MATCHED  —  every group together",IF($BH33=10,"REMAINING  —  did not match the search",IF($BH33=9,IF(COUNTIF($A$4:$AI$4,"&lt;&gt;")&gt;0,"FILTERED LOTS  —  column fields","ALL LOTS  —  nothing typed in the box"),"GROUP "&amp;$BH33&amp;" TOTAL  —  lots matching  "&amp;INDEX($AR$6:$AY$6,$BH33))))),""))</f>
        <v>Scrap of 132 KV Wave Trap</v>
      </c>
      <c r="E34" s="69">
        <f>IF($BJ33&gt;0,IF(INDEX('Final Calculation Sheet'!$D$4:$D$40,$BJ33-3)="","",INDEX('Final Calculation Sheet'!$D$4:$D$40,$BJ33-3)),IF(OR($BI33=1,$BL33=1,$BH33&gt;0),"–",""))</f>
        <v>21978</v>
      </c>
      <c r="F34" s="69">
        <f>IF($BJ33&gt;0,IF(INDEX('Final Calculation Sheet'!$A$4:$A$40,$BJ33-3)="","",INDEX('Final Calculation Sheet'!$A$4:$A$40,$BJ33-3)),IF(OR($BI33=1,$BL33=1,$BH33&gt;0),IF($BI33=1,SUM('Final Calculation Sheet'!$A$4:$A$40),IF($BL33=1,SUM('Final Calculation Sheet'!$A$4:$A$40)-SUMIFS('Final Calculation Sheet'!$A$4:$A$40,$AZ$5:$AZ$41,10),SUMIFS('Final Calculation Sheet'!$A$4:$A$40,$AZ$5:$AZ$41,$BH33))),""))</f>
        <v>2</v>
      </c>
      <c r="G34" s="69" t="str">
        <f>IF($BJ33&gt;0,IF(INDEX('Final Calculation Sheet'!$E$4:$E$40,$BJ33-3)="","",INDEX('Final Calculation Sheet'!$E$4:$E$40,$BJ33-3)),IF(OR($BI33=1,$BL33=1,$BH33&gt;0),"–",""))</f>
        <v>NO</v>
      </c>
      <c r="H34" s="70">
        <f>IF($BJ33&gt;0,IF(INDEX('Final Calculation Sheet'!$C$4:$C$40,$BJ33-3)="","",INDEX('Final Calculation Sheet'!$C$4:$C$40,$BJ33-3)),IF(OR($BI33=1,$BL33=1,$BH33&gt;0),"–",""))</f>
        <v>14001</v>
      </c>
      <c r="I34" s="70">
        <f>IF($BJ33&gt;0,IF(INDEX('Final Calculation Sheet'!$H$4:$H$40,$BJ33-3)="","",INDEX('Final Calculation Sheet'!$H$4:$H$40,$BJ33-3)),IF(OR($BI33=1,$BL33=1,$BH33&gt;0),IF($BI33=1,SUM('Final Calculation Sheet'!$H$4:$H$40),IF($BL33=1,SUM('Final Calculation Sheet'!$H$4:$H$40)-SUMIFS('Final Calculation Sheet'!$H$4:$H$40,$AZ$5:$AZ$41,10),SUMIFS('Final Calculation Sheet'!$H$4:$H$40,$AZ$5:$AZ$41,$BH33))),""))</f>
        <v>28002</v>
      </c>
      <c r="J34" s="70">
        <f>IF($BJ33&gt;0,IF(INDEX('Final Calculation Sheet'!$I$4:$I$40,$BJ33-3)="","",INDEX('Final Calculation Sheet'!$I$4:$I$40,$BJ33-3)),IF(OR($BI33=1,$BL33=1,$BH33&gt;0),IF($BI33=1,SUM('Final Calculation Sheet'!$I$4:$I$40),IF($BL33=1,SUM('Final Calculation Sheet'!$I$4:$I$40)-SUMIFS('Final Calculation Sheet'!$I$4:$I$40,$AZ$5:$AZ$41,10),SUMIFS('Final Calculation Sheet'!$I$4:$I$40,$AZ$5:$AZ$41,$BH33))),""))</f>
        <v>5040</v>
      </c>
      <c r="K34" s="70">
        <f>IF($BJ33&gt;0,IF(INDEX('Final Calculation Sheet'!$J$4:$J$40,$BJ33-3)="","",INDEX('Final Calculation Sheet'!$J$4:$J$40,$BJ33-3)),IF(OR($BI33=1,$BL33=1,$BH33&gt;0),IF($BI33=1,SUM('Final Calculation Sheet'!$J$4:$J$40),IF($BL33=1,SUM('Final Calculation Sheet'!$J$4:$J$40)-SUMIFS('Final Calculation Sheet'!$J$4:$J$40,$AZ$5:$AZ$41,10),SUMIFS('Final Calculation Sheet'!$J$4:$J$40,$AZ$5:$AZ$41,$BH33))),""))</f>
        <v>33042</v>
      </c>
      <c r="L34" s="70">
        <f>IF($BJ33&gt;0,IF(INDEX('Final Calculation Sheet'!$K$4:$K$40,$BJ33-3)="","",INDEX('Final Calculation Sheet'!$K$4:$K$40,$BJ33-3)),IF(OR($BI33=1,$BL33=1,$BH33&gt;0),IF($BI33=1,SUM('Final Calculation Sheet'!$K$4:$K$40),IF($BL33=1,SUM('Final Calculation Sheet'!$K$4:$K$40)-SUMIFS('Final Calculation Sheet'!$K$4:$K$40,$AZ$5:$AZ$41,10),SUMIFS('Final Calculation Sheet'!$K$4:$K$40,$AZ$5:$AZ$41,$BH33))),""))</f>
        <v>661</v>
      </c>
      <c r="M34" s="70">
        <f>IF($BJ33&gt;0,IF(INDEX('Final Calculation Sheet'!$L$4:$L$40,$BJ33-3)="","",INDEX('Final Calculation Sheet'!$L$4:$L$40,$BJ33-3)),IF(OR($BI33=1,$BL33=1,$BH33&gt;0),IF($BI33=1,SUM('Final Calculation Sheet'!$L$4:$L$40),IF($BL33=1,SUM('Final Calculation Sheet'!$L$4:$L$40)-SUMIFS('Final Calculation Sheet'!$L$4:$L$40,$AZ$5:$AZ$41,10),SUMIFS('Final Calculation Sheet'!$L$4:$L$40,$AZ$5:$AZ$41,$BH33))),""))</f>
        <v>28.001999999999999</v>
      </c>
      <c r="N34" s="70">
        <f>IF($BJ33&gt;0,IF(INDEX('Final Calculation Sheet'!$M$4:$M$40,$BJ33-3)="","",INDEX('Final Calculation Sheet'!$M$4:$M$40,$BJ33-3)),IF(OR($BI33=1,$BL33=1,$BH33&gt;0),IF($BI33=1,SUM('Final Calculation Sheet'!$M$4:$M$40),IF($BL33=1,SUM('Final Calculation Sheet'!$M$4:$M$40)-SUMIFS('Final Calculation Sheet'!$M$4:$M$40,$AZ$5:$AZ$41,10),SUMIFS('Final Calculation Sheet'!$M$4:$M$40,$AZ$5:$AZ$41,$BH33))),""))</f>
        <v>743.45309999999995</v>
      </c>
      <c r="O34" s="71">
        <f>IF($BJ33&gt;0,IF(INDEX('Final Calculation Sheet'!$N$4:$N$40,$BJ33-3)="","",INDEX('Final Calculation Sheet'!$N$4:$N$40,$BJ33-3)),IF(OR($BI33=1,$BL33=1,$BH33&gt;0),IF($BI33=1,SUM('Final Calculation Sheet'!$N$4:$N$40),IF($BL33=1,SUM('Final Calculation Sheet'!$N$4:$N$40)-SUMIFS('Final Calculation Sheet'!$N$4:$N$40,$AZ$5:$AZ$41,10),SUMIFS('Final Calculation Sheet'!$N$4:$N$40,$AZ$5:$AZ$41,$BH33))),""))</f>
        <v>12.600899999999999</v>
      </c>
      <c r="P34" s="70">
        <f>IF($BJ33&gt;0,IF(INDEX('Final Calculation Sheet'!$O$4:$O$40,$BJ33-3)="","",INDEX('Final Calculation Sheet'!$O$4:$O$40,$BJ33-3)),IF(OR($BI33=1,$BL33=1,$BH33&gt;0),IF($BI33=1,SUM('Final Calculation Sheet'!$O$4:$O$40),IF($BL33=1,SUM('Final Calculation Sheet'!$O$4:$O$40)-SUMIFS('Final Calculation Sheet'!$O$4:$O$40,$AZ$5:$AZ$41,10),SUMIFS('Final Calculation Sheet'!$O$4:$O$40,$AZ$5:$AZ$41,$BH33))),""))</f>
        <v>730.85219999999993</v>
      </c>
      <c r="Q34" s="70">
        <f>IF($BJ33&gt;0,IF(INDEX('Final Calculation Sheet'!$P$4:$P$40,$BJ33-3)="","",INDEX('Final Calculation Sheet'!$P$4:$P$40,$BJ33-3)),IF(OR($BI33=1,$BL33=1,$BH33&gt;0),IF($BI33=1,SUM('Final Calculation Sheet'!$P$4:$P$40),IF($BL33=1,SUM('Final Calculation Sheet'!$P$4:$P$40)-SUMIFS('Final Calculation Sheet'!$P$4:$P$40,$AZ$5:$AZ$41,10),SUMIFS('Final Calculation Sheet'!$P$4:$P$40,$AZ$5:$AZ$41,$BH33))),""))</f>
        <v>759</v>
      </c>
      <c r="R34" s="72">
        <f>IF($BJ33&gt;0,IF(INDEX('Final Calculation Sheet'!$Q$4:$Q$40,$BJ33-3)="","",INDEX('Final Calculation Sheet'!$Q$4:$Q$40,$BJ33-3)),IF(OR($BI33=1,$BL33=1,$BH33&gt;0),"–",""))</f>
        <v>0</v>
      </c>
      <c r="S34" s="70">
        <f>IF($BJ33&gt;0,IF(INDEX('Final Calculation Sheet'!$R$4:$R$40,$BJ33-3)="","",INDEX('Final Calculation Sheet'!$R$4:$R$40,$BJ33-3)),IF(OR($BI33=1,$BL33=1,$BH33&gt;0),IF($BI33=1,SUM('Final Calculation Sheet'!$R$4:$R$40),IF($BL33=1,SUM('Final Calculation Sheet'!$R$4:$R$40)-SUMIFS('Final Calculation Sheet'!$R$4:$R$40,$AZ$5:$AZ$41,10),SUMIFS('Final Calculation Sheet'!$R$4:$R$40,$AZ$5:$AZ$41,$BH33))),""))</f>
        <v>0</v>
      </c>
      <c r="T34" s="70">
        <f>IF($BJ33&gt;0,IF(INDEX('Final Calculation Sheet'!$S$4:$S$40,$BJ33-3)="","",INDEX('Final Calculation Sheet'!$S$4:$S$40,$BJ33-3)),IF(OR($BI33=1,$BL33=1,$BH33&gt;0),IF($BI33=1,SUM('Final Calculation Sheet'!$S$4:$S$40),IF($BL33=1,SUM('Final Calculation Sheet'!$S$4:$S$40)-SUMIFS('Final Calculation Sheet'!$S$4:$S$40,$AZ$5:$AZ$41,10),SUMIFS('Final Calculation Sheet'!$S$4:$S$40,$AZ$5:$AZ$41,$BH33))),""))</f>
        <v>32944</v>
      </c>
      <c r="U34" s="70">
        <f>IF($BJ33&gt;0,IF(INDEX('Final Calculation Sheet'!$T$4:$T$40,$BJ33-3)="","",INDEX('Final Calculation Sheet'!$T$4:$T$40,$BJ33-3)),IF(OR($BI33=1,$BL33=1,$BH33&gt;0),IF($BI33=1,SUM('Final Calculation Sheet'!$T$4:$T$40),IF($BL33=1,SUM('Final Calculation Sheet'!$T$4:$T$40)-SUMIFS('Final Calculation Sheet'!$T$4:$T$40,$AZ$5:$AZ$41,10),SUMIFS('Final Calculation Sheet'!$T$4:$T$40,$AZ$5:$AZ$41,$BH33))),""))</f>
        <v>7001</v>
      </c>
      <c r="V34" s="73">
        <f>IF($BJ33&gt;0,IF(INDEX('Final Calculation Sheet'!$U$4:$U$40,$BJ33-3)="","",INDEX('Final Calculation Sheet'!$U$4:$U$40,$BJ33-3)),IF(OR($BI33=1,$BL33=1,$BH33&gt;0),IF($BI33=1,SUM('Final Calculation Sheet'!$U$4:$U$40),IF($BL33=1,SUM('Final Calculation Sheet'!$U$4:$U$40)-SUMIFS('Final Calculation Sheet'!$U$4:$U$40,$AZ$5:$AZ$41,10),SUMIFS('Final Calculation Sheet'!$U$4:$U$40,$AZ$5:$AZ$41,$BH33))),""))</f>
        <v>7001</v>
      </c>
      <c r="W34" s="70" t="str">
        <f>IF($BJ33&gt;0,IF(INDEX('Final Calculation Sheet'!$V$4:$V$40,$BJ33-3)="","",INDEX('Final Calculation Sheet'!$V$4:$V$40,$BJ33-3)),IF(OR($BI33=1,$BL33=1,$BH33&gt;0),"–",""))</f>
        <v>13.08.2026</v>
      </c>
      <c r="X34" s="70">
        <f>IF($BJ33&gt;0,IF(INDEX('Final Calculation Sheet'!$W$4:$W$40,$BJ33-3)="","",INDEX('Final Calculation Sheet'!$W$4:$W$40,$BJ33-3)),IF(OR($BI33=1,$BL33=1,$BH33&gt;0),IF($BI33=1,SUM('Final Calculation Sheet'!$W$4:$W$40),IF($BL33=1,SUM('Final Calculation Sheet'!$W$4:$W$40)-SUMIFS('Final Calculation Sheet'!$W$4:$W$40,$AZ$5:$AZ$41,10),SUMIFS('Final Calculation Sheet'!$W$4:$W$40,$AZ$5:$AZ$41,$BH33))),""))</f>
        <v>25944</v>
      </c>
      <c r="Y34" s="70">
        <f>IF($BJ33&gt;0,IF(INDEX('Final Calculation Sheet'!$X$4:$X$40,$BJ33-3)="","",INDEX('Final Calculation Sheet'!$X$4:$X$40,$BJ33-3)),IF(OR($BI33=1,$BL33=1,$BH33&gt;0),IF($BI33=1,SUM('Final Calculation Sheet'!$X$4:$X$40),IF($BL33=1,SUM('Final Calculation Sheet'!$X$4:$X$40)-SUMIFS('Final Calculation Sheet'!$X$4:$X$40,$AZ$5:$AZ$41,10),SUMIFS('Final Calculation Sheet'!$X$4:$X$40,$AZ$5:$AZ$41,$BH33))),""))</f>
        <v>25943</v>
      </c>
      <c r="Z34" s="70" t="str">
        <f>IF($BJ33&gt;0,IF(INDEX('Final Calculation Sheet'!$Y$4:$Y$40,$BJ33-3)="","",INDEX('Final Calculation Sheet'!$Y$4:$Y$40,$BJ33-3)),IF(OR($BI33=1,$BL33=1,$BH33&gt;0),"–",""))</f>
        <v>24.08.2026</v>
      </c>
      <c r="AA34" s="70">
        <f ca="1">IF($BJ33&gt;0,IF(INDEX('Final Calculation Sheet'!$Z$4:$Z$40,$BJ33-3)="","",INDEX('Final Calculation Sheet'!$Z$4:$Z$40,$BJ33-3)),IF(OR($BI33=1,$BL33=1,$BH33&gt;0),IF($BI33=1,SUM('Final Calculation Sheet'!$Z$4:$Z$40),IF($BL33=1,SUM('Final Calculation Sheet'!$Z$4:$Z$40)-SUMIFS('Final Calculation Sheet'!$Z$4:$Z$40,$AZ$5:$AZ$41,10),SUMIFS('Final Calculation Sheet'!$Z$4:$Z$40,$AZ$5:$AZ$41,$BH33))),""))</f>
        <v>0</v>
      </c>
      <c r="AB34" s="70" t="str">
        <f>IF($BJ33&gt;0,IF(INDEX('Final Calculation Sheet'!$AA$4:$AA$40,$BJ33-3)="","",INDEX('Final Calculation Sheet'!$AA$4:$AA$40,$BJ33-3)),IF(OR($BI33=1,$BL33=1,$BH33&gt;0),IF($BI33=1,SUM('Final Calculation Sheet'!$AA$4:$AA$40),IF($BL33=1,SUM('Final Calculation Sheet'!$AA$4:$AA$40)-SUMIFS('Final Calculation Sheet'!$AA$4:$AA$40,$AZ$5:$AZ$41,10),SUMIFS('Final Calculation Sheet'!$AA$4:$AA$40,$AZ$5:$AZ$41,$BH33))),""))</f>
        <v/>
      </c>
      <c r="AC34" s="70" t="str">
        <f>IF($BJ33&gt;0,IF(INDEX('Final Calculation Sheet'!$AB$4:$AB$40,$BJ33-3)="","",INDEX('Final Calculation Sheet'!$AB$4:$AB$40,$BJ33-3)),IF(OR($BI33=1,$BL33=1,$BH33&gt;0),"–",""))</f>
        <v/>
      </c>
      <c r="AD34" s="70">
        <f>IF($BJ33&gt;0,IF(INDEX('Final Calculation Sheet'!$AC$4:$AC$40,$BJ33-3)="","",INDEX('Final Calculation Sheet'!$AC$4:$AC$40,$BJ33-3)),IF(OR($BI33=1,$BL33=1,$BH33&gt;0),IF($BI33=1,SUM('Final Calculation Sheet'!$AC$4:$AC$40),IF($BL33=1,SUM('Final Calculation Sheet'!$AC$4:$AC$40)-SUMIFS('Final Calculation Sheet'!$AC$4:$AC$40,$AZ$5:$AZ$41,10),SUMIFS('Final Calculation Sheet'!$AC$4:$AC$40,$AZ$5:$AZ$41,$BH33))),""))</f>
        <v>32944</v>
      </c>
      <c r="AE34" s="70">
        <f>IF($BJ33&gt;0,IF(INDEX('Final Calculation Sheet'!$AD$4:$AD$40,$BJ33-3)="","",INDEX('Final Calculation Sheet'!$AD$4:$AD$40,$BJ33-3)),IF(OR($BI33=1,$BL33=1,$BH33&gt;0),IF($BI33=1,SUM('Final Calculation Sheet'!$AD$4:$AD$40),IF($BL33=1,SUM('Final Calculation Sheet'!$AD$4:$AD$40)-SUMIFS('Final Calculation Sheet'!$AD$4:$AD$40,$AZ$5:$AZ$41,10),SUMIFS('Final Calculation Sheet'!$AD$4:$AD$40,$AZ$5:$AZ$41,$BH33))),""))</f>
        <v>0</v>
      </c>
      <c r="AF34" s="70" t="str">
        <f>IF($BJ33&gt;0,IF(INDEX('Final Calculation Sheet'!$AE$4:$AE$40,$BJ33-3)="","",INDEX('Final Calculation Sheet'!$AE$4:$AE$40,$BJ33-3)),IF(OR($BI33=1,$BL33=1,$BH33&gt;0),"–",""))</f>
        <v>DR2640100037</v>
      </c>
      <c r="AG34" s="74">
        <f>IF($BJ33&gt;0,IF(INDEX('Final Calculation Sheet'!$AF$4:$AF$40,$BJ33-3)="","",INDEX('Final Calculation Sheet'!$AF$4:$AF$40,$BJ33-3)),IF(OR($BI33=1,$BL33=1,$BH33&gt;0),"–",""))</f>
        <v>1800003310</v>
      </c>
      <c r="AH34" s="70" t="str">
        <f>IF($BJ33&gt;0,IF(INDEX('Final Calculation Sheet'!$AG$4:$AG$40,$BJ33-3)="","",INDEX('Final Calculation Sheet'!$AG$4:$AG$40,$BJ33-3)),IF(OR($BI33=1,$BL33=1,$BH33&gt;0),"–",""))</f>
        <v>27.08.2026</v>
      </c>
      <c r="AI34" s="75" t="str">
        <f>IF($BJ33&gt;0,IF(INDEX('Final Calculation Sheet'!$AD$4:$AD$40,$BJ33-3)="","",IF(INDEX('Final Calculation Sheet'!$AD$4:$AD$40,$BJ33-3)&lt;=0,"SETTLED","OUTSTANDING")),IF(OR($BI33=1,$BL33=1,$BH33&gt;0),IF(IF($BI33=1,SUM('Final Calculation Sheet'!$AD$4:$AD$40),IF($BL33=1,SUM('Final Calculation Sheet'!$AD$4:$AD$40)-SUMIFS('Final Calculation Sheet'!$AD$4:$AD$40,$AZ$5:$AZ$41,10),SUMIFS('Final Calculation Sheet'!$AD$4:$AD$40,$AZ$5:$AZ$41,$BH33)))&lt;=0,"ALL SETTLED","OUTSTANDING"),""))</f>
        <v>SETTLED</v>
      </c>
      <c r="AK34" t="str">
        <f>IF($F$3="Lot No.",'Final Calculation Sheet'!$F$33,IF($F$3="Buyer",'Final Calculation Sheet'!$G$33,IF($F$3="Lot Name",'Final Calculation Sheet'!$B$33,IF($F$3="Bid Sheet",'Final Calculation Sheet'!$D$33,IF($F$3="Unit",'Final Calculation Sheet'!$E$33,'Final Calculation Sheet'!$F$33&amp;" "&amp;'Final Calculation Sheet'!$G$33&amp;" "&amp;'Final Calculation Sheet'!$B$33)))))</f>
        <v>2059 NATIONAL ENTERPRISES Scrap of 33 KV GCB</v>
      </c>
      <c r="AM34">
        <f t="shared" si="1"/>
        <v>0</v>
      </c>
      <c r="AZ34">
        <f t="shared" si="2"/>
        <v>10</v>
      </c>
      <c r="BA34">
        <f t="shared" si="3"/>
        <v>23</v>
      </c>
      <c r="BB34">
        <f t="shared" si="4"/>
        <v>39</v>
      </c>
      <c r="BC34">
        <v>33</v>
      </c>
      <c r="BH34">
        <f>IFERROR(MATCH(34,$BF$4:$BF$13,0),0)</f>
        <v>0</v>
      </c>
      <c r="BI34">
        <f>IF(34=$BG$5,1,0)</f>
        <v>0</v>
      </c>
      <c r="BJ34">
        <f>IF(OR($BH34&gt;0,$BI34=1,$BL34=1),0,IFERROR(INDEX($BC$5:$BC$41,MATCH(34,$BB$5:$BB$41,0)),0))</f>
        <v>27</v>
      </c>
      <c r="BK34">
        <f>IF($BJ34&gt;0,IF(INDEX($AZ$5:$AZ$41,MATCH(34,$BB$5:$BB$41,0))=10,1,0),IF($BH34=10,1,0))</f>
        <v>1</v>
      </c>
      <c r="BL34">
        <f>IF(34=$BG$4,1,0)</f>
        <v>0</v>
      </c>
      <c r="BM34">
        <f>IF($A$4="",1,--(AND(SUMPRODUCT(--($AS$60:$AZ$60&lt;&gt;""))&gt;0,IF(COUNTIF($BI$60:$BP$60,1)=0,TRUE,SUMPRODUCT(($BI$60:$BP$60=1)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$60,2)=0,TRUE,SUMPRODUCT(($BI$60:$BP$60=2)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$60,3)=0,TRUE,SUMPRODUCT(($BI$60:$BP$60=3)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$60,4)=0,TRUE,SUMPRODUCT(($BI$60:$BP$60=4)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$60,5)=0,TRUE,SUMPRODUCT(($BI$60:$BP$60=5)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$60,6)=0,TRUE,SUMPRODUCT(($BI$60:$BP$60=6)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$60,7)=0,TRUE,SUMPRODUCT(($BI$60:$BP$60=7)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$60,8)=0,TRUE,SUMPRODUCT(($BI$60:$BP$60=8)*($AS$60:$AZ$60&lt;&gt;"")*IF(((UPPER($AS$60:$AZ$60)="BLANK")+(UPPER($AS$60:$AZ$60)="(BLANK)")+(UPPER($AS$60:$AZ$60)="EMPTY")+(UPPER($AS$60:$AZ$60)="(EMPTY)"))&gt;0,IFERROR((ROW()-4)&amp;"","")="",ISNUMBER(SEARCH($AS$60:$AZ$60,IFERROR((ROW()-4)&amp;"","")))))&gt;0))))</f>
        <v>1</v>
      </c>
      <c r="BN34">
        <f>IF($B$4="",1,--(AND(SUMPRODUCT(--($AS$61:$AZ$61&lt;&gt;""))&gt;0,IF(COUNTIF($BI$61:$BP$61,1)=0,TRUE,SUMPRODUCT(($BI$61:$BP$61=1)*($AS$61:$AZ$61&lt;&gt;"")*IF(((UPPER($AS$61:$AZ$61)="BLANK")+(UPPER($AS$61:$AZ$61)="(BLANK)")+(UPPER($AS$61:$AZ$61)="EMPTY")+(UPPER($AS$61:$AZ$61)="(EMPTY)"))&gt;0,IFERROR(('Final Calculation Sheet'!$F$33)&amp;"","")="",ISNUMBER(SEARCH($AS$61:$AZ$61,IFERROR(('Final Calculation Sheet'!$F$33)&amp;"","")))))&gt;0),IF(COUNTIF($BI$61:$BP$61,2)=0,TRUE,SUMPRODUCT(($BI$61:$BP$61=2)*($AS$61:$AZ$61&lt;&gt;"")*IF(((UPPER($AS$61:$AZ$61)="BLANK")+(UPPER($AS$61:$AZ$61)="(BLANK)")+(UPPER($AS$61:$AZ$61)="EMPTY")+(UPPER($AS$61:$AZ$61)="(EMPTY)"))&gt;0,IFERROR(('Final Calculation Sheet'!$F$33)&amp;"","")="",ISNUMBER(SEARCH($AS$61:$AZ$61,IFERROR(('Final Calculation Sheet'!$F$33)&amp;"","")))))&gt;0),IF(COUNTIF($BI$61:$BP$61,3)=0,TRUE,SUMPRODUCT(($BI$61:$BP$61=3)*($AS$61:$AZ$61&lt;&gt;"")*IF(((UPPER($AS$61:$AZ$61)="BLANK")+(UPPER($AS$61:$AZ$61)="(BLANK)")+(UPPER($AS$61:$AZ$61)="EMPTY")+(UPPER($AS$61:$AZ$61)="(EMPTY)"))&gt;0,IFERROR(('Final Calculation Sheet'!$F$33)&amp;"","")="",ISNUMBER(SEARCH($AS$61:$AZ$61,IFERROR(('Final Calculation Sheet'!$F$33)&amp;"","")))))&gt;0),IF(COUNTIF($BI$61:$BP$61,4)=0,TRUE,SUMPRODUCT(($BI$61:$BP$61=4)*($AS$61:$AZ$61&lt;&gt;"")*IF(((UPPER($AS$61:$AZ$61)="BLANK")+(UPPER($AS$61:$AZ$61)="(BLANK)")+(UPPER($AS$61:$AZ$61)="EMPTY")+(UPPER($AS$61:$AZ$61)="(EMPTY)"))&gt;0,IFERROR(('Final Calculation Sheet'!$F$33)&amp;"","")="",ISNUMBER(SEARCH($AS$61:$AZ$61,IFERROR(('Final Calculation Sheet'!$F$33)&amp;"","")))))&gt;0),IF(COUNTIF($BI$61:$BP$61,5)=0,TRUE,SUMPRODUCT(($BI$61:$BP$61=5)*($AS$61:$AZ$61&lt;&gt;"")*IF(((UPPER($AS$61:$AZ$61)="BLANK")+(UPPER($AS$61:$AZ$61)="(BLANK)")+(UPPER($AS$61:$AZ$61)="EMPTY")+(UPPER($AS$61:$AZ$61)="(EMPTY)"))&gt;0,IFERROR(('Final Calculation Sheet'!$F$33)&amp;"","")="",ISNUMBER(SEARCH($AS$61:$AZ$61,IFERROR(('Final Calculation Sheet'!$F$33)&amp;"","")))))&gt;0),IF(COUNTIF($BI$61:$BP$61,6)=0,TRUE,SUMPRODUCT(($BI$61:$BP$61=6)*($AS$61:$AZ$61&lt;&gt;"")*IF(((UPPER($AS$61:$AZ$61)="BLANK")+(UPPER($AS$61:$AZ$61)="(BLANK)")+(UPPER($AS$61:$AZ$61)="EMPTY")+(UPPER($AS$61:$AZ$61)="(EMPTY)"))&gt;0,IFERROR(('Final Calculation Sheet'!$F$33)&amp;"","")="",ISNUMBER(SEARCH($AS$61:$AZ$61,IFERROR(('Final Calculation Sheet'!$F$33)&amp;"","")))))&gt;0),IF(COUNTIF($BI$61:$BP$61,7)=0,TRUE,SUMPRODUCT(($BI$61:$BP$61=7)*($AS$61:$AZ$61&lt;&gt;"")*IF(((UPPER($AS$61:$AZ$61)="BLANK")+(UPPER($AS$61:$AZ$61)="(BLANK)")+(UPPER($AS$61:$AZ$61)="EMPTY")+(UPPER($AS$61:$AZ$61)="(EMPTY)"))&gt;0,IFERROR(('Final Calculation Sheet'!$F$33)&amp;"","")="",ISNUMBER(SEARCH($AS$61:$AZ$61,IFERROR(('Final Calculation Sheet'!$F$33)&amp;"","")))))&gt;0),IF(COUNTIF($BI$61:$BP$61,8)=0,TRUE,SUMPRODUCT(($BI$61:$BP$61=8)*($AS$61:$AZ$61&lt;&gt;"")*IF(((UPPER($AS$61:$AZ$61)="BLANK")+(UPPER($AS$61:$AZ$61)="(BLANK)")+(UPPER($AS$61:$AZ$61)="EMPTY")+(UPPER($AS$61:$AZ$61)="(EMPTY)"))&gt;0,IFERROR(('Final Calculation Sheet'!$F$33)&amp;"","")="",ISNUMBER(SEARCH($AS$61:$AZ$61,IFERROR(('Final Calculation Sheet'!$F$33)&amp;"","")))))&gt;0))))</f>
        <v>1</v>
      </c>
      <c r="BO34">
        <f>IF($C$4="",1,--(AND(SUMPRODUCT(--($AS$62:$AZ$62&lt;&gt;""))&gt;0,IF(COUNTIF($BI$62:$BP$62,1)=0,TRUE,SUMPRODUCT(($BI$62:$BP$62=1)*($AS$62:$AZ$62&lt;&gt;"")*IF(((UPPER($AS$62:$AZ$62)="BLANK")+(UPPER($AS$62:$AZ$62)="(BLANK)")+(UPPER($AS$62:$AZ$62)="EMPTY")+(UPPER($AS$62:$AZ$62)="(EMPTY)"))&gt;0,IFERROR(('Final Calculation Sheet'!$G$33)&amp;"","")="",ISNUMBER(SEARCH($AS$62:$AZ$62,IFERROR(('Final Calculation Sheet'!$G$33)&amp;"","")))))&gt;0),IF(COUNTIF($BI$62:$BP$62,2)=0,TRUE,SUMPRODUCT(($BI$62:$BP$62=2)*($AS$62:$AZ$62&lt;&gt;"")*IF(((UPPER($AS$62:$AZ$62)="BLANK")+(UPPER($AS$62:$AZ$62)="(BLANK)")+(UPPER($AS$62:$AZ$62)="EMPTY")+(UPPER($AS$62:$AZ$62)="(EMPTY)"))&gt;0,IFERROR(('Final Calculation Sheet'!$G$33)&amp;"","")="",ISNUMBER(SEARCH($AS$62:$AZ$62,IFERROR(('Final Calculation Sheet'!$G$33)&amp;"","")))))&gt;0),IF(COUNTIF($BI$62:$BP$62,3)=0,TRUE,SUMPRODUCT(($BI$62:$BP$62=3)*($AS$62:$AZ$62&lt;&gt;"")*IF(((UPPER($AS$62:$AZ$62)="BLANK")+(UPPER($AS$62:$AZ$62)="(BLANK)")+(UPPER($AS$62:$AZ$62)="EMPTY")+(UPPER($AS$62:$AZ$62)="(EMPTY)"))&gt;0,IFERROR(('Final Calculation Sheet'!$G$33)&amp;"","")="",ISNUMBER(SEARCH($AS$62:$AZ$62,IFERROR(('Final Calculation Sheet'!$G$33)&amp;"","")))))&gt;0),IF(COUNTIF($BI$62:$BP$62,4)=0,TRUE,SUMPRODUCT(($BI$62:$BP$62=4)*($AS$62:$AZ$62&lt;&gt;"")*IF(((UPPER($AS$62:$AZ$62)="BLANK")+(UPPER($AS$62:$AZ$62)="(BLANK)")+(UPPER($AS$62:$AZ$62)="EMPTY")+(UPPER($AS$62:$AZ$62)="(EMPTY)"))&gt;0,IFERROR(('Final Calculation Sheet'!$G$33)&amp;"","")="",ISNUMBER(SEARCH($AS$62:$AZ$62,IFERROR(('Final Calculation Sheet'!$G$33)&amp;"","")))))&gt;0),IF(COUNTIF($BI$62:$BP$62,5)=0,TRUE,SUMPRODUCT(($BI$62:$BP$62=5)*($AS$62:$AZ$62&lt;&gt;"")*IF(((UPPER($AS$62:$AZ$62)="BLANK")+(UPPER($AS$62:$AZ$62)="(BLANK)")+(UPPER($AS$62:$AZ$62)="EMPTY")+(UPPER($AS$62:$AZ$62)="(EMPTY)"))&gt;0,IFERROR(('Final Calculation Sheet'!$G$33)&amp;"","")="",ISNUMBER(SEARCH($AS$62:$AZ$62,IFERROR(('Final Calculation Sheet'!$G$33)&amp;"","")))))&gt;0),IF(COUNTIF($BI$62:$BP$62,6)=0,TRUE,SUMPRODUCT(($BI$62:$BP$62=6)*($AS$62:$AZ$62&lt;&gt;"")*IF(((UPPER($AS$62:$AZ$62)="BLANK")+(UPPER($AS$62:$AZ$62)="(BLANK)")+(UPPER($AS$62:$AZ$62)="EMPTY")+(UPPER($AS$62:$AZ$62)="(EMPTY)"))&gt;0,IFERROR(('Final Calculation Sheet'!$G$33)&amp;"","")="",ISNUMBER(SEARCH($AS$62:$AZ$62,IFERROR(('Final Calculation Sheet'!$G$33)&amp;"","")))))&gt;0),IF(COUNTIF($BI$62:$BP$62,7)=0,TRUE,SUMPRODUCT(($BI$62:$BP$62=7)*($AS$62:$AZ$62&lt;&gt;"")*IF(((UPPER($AS$62:$AZ$62)="BLANK")+(UPPER($AS$62:$AZ$62)="(BLANK)")+(UPPER($AS$62:$AZ$62)="EMPTY")+(UPPER($AS$62:$AZ$62)="(EMPTY)"))&gt;0,IFERROR(('Final Calculation Sheet'!$G$33)&amp;"","")="",ISNUMBER(SEARCH($AS$62:$AZ$62,IFERROR(('Final Calculation Sheet'!$G$33)&amp;"","")))))&gt;0),IF(COUNTIF($BI$62:$BP$62,8)=0,TRUE,SUMPRODUCT(($BI$62:$BP$62=8)*($AS$62:$AZ$62&lt;&gt;"")*IF(((UPPER($AS$62:$AZ$62)="BLANK")+(UPPER($AS$62:$AZ$62)="(BLANK)")+(UPPER($AS$62:$AZ$62)="EMPTY")+(UPPER($AS$62:$AZ$62)="(EMPTY)"))&gt;0,IFERROR(('Final Calculation Sheet'!$G$33)&amp;"","")="",ISNUMBER(SEARCH($AS$62:$AZ$62,IFERROR(('Final Calculation Sheet'!$G$33)&amp;"","")))))&gt;0))))</f>
        <v>1</v>
      </c>
      <c r="BP34">
        <f>IF($D$4="",1,--(AND(SUMPRODUCT(--($AS$63:$AZ$63&lt;&gt;""))&gt;0,IF(COUNTIF($BI$63:$BP$63,1)=0,TRUE,SUMPRODUCT(($BI$63:$BP$63=1)*($AS$63:$AZ$63&lt;&gt;"")*IF(((UPPER($AS$63:$AZ$63)="BLANK")+(UPPER($AS$63:$AZ$63)="(BLANK)")+(UPPER($AS$63:$AZ$63)="EMPTY")+(UPPER($AS$63:$AZ$63)="(EMPTY)"))&gt;0,IFERROR(('Final Calculation Sheet'!$B$33)&amp;"","")="",ISNUMBER(SEARCH($AS$63:$AZ$63,IFERROR(('Final Calculation Sheet'!$B$33)&amp;"","")))))&gt;0),IF(COUNTIF($BI$63:$BP$63,2)=0,TRUE,SUMPRODUCT(($BI$63:$BP$63=2)*($AS$63:$AZ$63&lt;&gt;"")*IF(((UPPER($AS$63:$AZ$63)="BLANK")+(UPPER($AS$63:$AZ$63)="(BLANK)")+(UPPER($AS$63:$AZ$63)="EMPTY")+(UPPER($AS$63:$AZ$63)="(EMPTY)"))&gt;0,IFERROR(('Final Calculation Sheet'!$B$33)&amp;"","")="",ISNUMBER(SEARCH($AS$63:$AZ$63,IFERROR(('Final Calculation Sheet'!$B$33)&amp;"","")))))&gt;0),IF(COUNTIF($BI$63:$BP$63,3)=0,TRUE,SUMPRODUCT(($BI$63:$BP$63=3)*($AS$63:$AZ$63&lt;&gt;"")*IF(((UPPER($AS$63:$AZ$63)="BLANK")+(UPPER($AS$63:$AZ$63)="(BLANK)")+(UPPER($AS$63:$AZ$63)="EMPTY")+(UPPER($AS$63:$AZ$63)="(EMPTY)"))&gt;0,IFERROR(('Final Calculation Sheet'!$B$33)&amp;"","")="",ISNUMBER(SEARCH($AS$63:$AZ$63,IFERROR(('Final Calculation Sheet'!$B$33)&amp;"","")))))&gt;0),IF(COUNTIF($BI$63:$BP$63,4)=0,TRUE,SUMPRODUCT(($BI$63:$BP$63=4)*($AS$63:$AZ$63&lt;&gt;"")*IF(((UPPER($AS$63:$AZ$63)="BLANK")+(UPPER($AS$63:$AZ$63)="(BLANK)")+(UPPER($AS$63:$AZ$63)="EMPTY")+(UPPER($AS$63:$AZ$63)="(EMPTY)"))&gt;0,IFERROR(('Final Calculation Sheet'!$B$33)&amp;"","")="",ISNUMBER(SEARCH($AS$63:$AZ$63,IFERROR(('Final Calculation Sheet'!$B$33)&amp;"","")))))&gt;0),IF(COUNTIF($BI$63:$BP$63,5)=0,TRUE,SUMPRODUCT(($BI$63:$BP$63=5)*($AS$63:$AZ$63&lt;&gt;"")*IF(((UPPER($AS$63:$AZ$63)="BLANK")+(UPPER($AS$63:$AZ$63)="(BLANK)")+(UPPER($AS$63:$AZ$63)="EMPTY")+(UPPER($AS$63:$AZ$63)="(EMPTY)"))&gt;0,IFERROR(('Final Calculation Sheet'!$B$33)&amp;"","")="",ISNUMBER(SEARCH($AS$63:$AZ$63,IFERROR(('Final Calculation Sheet'!$B$33)&amp;"","")))))&gt;0),IF(COUNTIF($BI$63:$BP$63,6)=0,TRUE,SUMPRODUCT(($BI$63:$BP$63=6)*($AS$63:$AZ$63&lt;&gt;"")*IF(((UPPER($AS$63:$AZ$63)="BLANK")+(UPPER($AS$63:$AZ$63)="(BLANK)")+(UPPER($AS$63:$AZ$63)="EMPTY")+(UPPER($AS$63:$AZ$63)="(EMPTY)"))&gt;0,IFERROR(('Final Calculation Sheet'!$B$33)&amp;"","")="",ISNUMBER(SEARCH($AS$63:$AZ$63,IFERROR(('Final Calculation Sheet'!$B$33)&amp;"","")))))&gt;0),IF(COUNTIF($BI$63:$BP$63,7)=0,TRUE,SUMPRODUCT(($BI$63:$BP$63=7)*($AS$63:$AZ$63&lt;&gt;"")*IF(((UPPER($AS$63:$AZ$63)="BLANK")+(UPPER($AS$63:$AZ$63)="(BLANK)")+(UPPER($AS$63:$AZ$63)="EMPTY")+(UPPER($AS$63:$AZ$63)="(EMPTY)"))&gt;0,IFERROR(('Final Calculation Sheet'!$B$33)&amp;"","")="",ISNUMBER(SEARCH($AS$63:$AZ$63,IFERROR(('Final Calculation Sheet'!$B$33)&amp;"","")))))&gt;0),IF(COUNTIF($BI$63:$BP$63,8)=0,TRUE,SUMPRODUCT(($BI$63:$BP$63=8)*($AS$63:$AZ$63&lt;&gt;"")*IF(((UPPER($AS$63:$AZ$63)="BLANK")+(UPPER($AS$63:$AZ$63)="(BLANK)")+(UPPER($AS$63:$AZ$63)="EMPTY")+(UPPER($AS$63:$AZ$63)="(EMPTY)"))&gt;0,IFERROR(('Final Calculation Sheet'!$B$33)&amp;"","")="",ISNUMBER(SEARCH($AS$63:$AZ$63,IFERROR(('Final Calculation Sheet'!$B$33)&amp;"","")))))&gt;0))))</f>
        <v>1</v>
      </c>
      <c r="BQ34">
        <f>IF($E$4="",1,--(AND(SUMPRODUCT(--($AS$64:$AZ$64&lt;&gt;""))&gt;0,IF(COUNTIF($BI$64:$BP$64,1)=0,TRUE,SUMPRODUCT(($BI$64:$BP$64=1)*($AS$64:$AZ$64&lt;&gt;"")*IF(((UPPER($AS$64:$AZ$64)="BLANK")+(UPPER($AS$64:$AZ$64)="(BLANK)")+(UPPER($AS$64:$AZ$64)="EMPTY")+(UPPER($AS$64:$AZ$64)="(EMPTY)"))&gt;0,IFERROR(('Final Calculation Sheet'!$D$33)&amp;"","")="",ISNUMBER(SEARCH($AS$64:$AZ$64,IFERROR(('Final Calculation Sheet'!$D$33)&amp;"","")))))&gt;0),IF(COUNTIF($BI$64:$BP$64,2)=0,TRUE,SUMPRODUCT(($BI$64:$BP$64=2)*($AS$64:$AZ$64&lt;&gt;"")*IF(((UPPER($AS$64:$AZ$64)="BLANK")+(UPPER($AS$64:$AZ$64)="(BLANK)")+(UPPER($AS$64:$AZ$64)="EMPTY")+(UPPER($AS$64:$AZ$64)="(EMPTY)"))&gt;0,IFERROR(('Final Calculation Sheet'!$D$33)&amp;"","")="",ISNUMBER(SEARCH($AS$64:$AZ$64,IFERROR(('Final Calculation Sheet'!$D$33)&amp;"","")))))&gt;0),IF(COUNTIF($BI$64:$BP$64,3)=0,TRUE,SUMPRODUCT(($BI$64:$BP$64=3)*($AS$64:$AZ$64&lt;&gt;"")*IF(((UPPER($AS$64:$AZ$64)="BLANK")+(UPPER($AS$64:$AZ$64)="(BLANK)")+(UPPER($AS$64:$AZ$64)="EMPTY")+(UPPER($AS$64:$AZ$64)="(EMPTY)"))&gt;0,IFERROR(('Final Calculation Sheet'!$D$33)&amp;"","")="",ISNUMBER(SEARCH($AS$64:$AZ$64,IFERROR(('Final Calculation Sheet'!$D$33)&amp;"","")))))&gt;0),IF(COUNTIF($BI$64:$BP$64,4)=0,TRUE,SUMPRODUCT(($BI$64:$BP$64=4)*($AS$64:$AZ$64&lt;&gt;"")*IF(((UPPER($AS$64:$AZ$64)="BLANK")+(UPPER($AS$64:$AZ$64)="(BLANK)")+(UPPER($AS$64:$AZ$64)="EMPTY")+(UPPER($AS$64:$AZ$64)="(EMPTY)"))&gt;0,IFERROR(('Final Calculation Sheet'!$D$33)&amp;"","")="",ISNUMBER(SEARCH($AS$64:$AZ$64,IFERROR(('Final Calculation Sheet'!$D$33)&amp;"","")))))&gt;0),IF(COUNTIF($BI$64:$BP$64,5)=0,TRUE,SUMPRODUCT(($BI$64:$BP$64=5)*($AS$64:$AZ$64&lt;&gt;"")*IF(((UPPER($AS$64:$AZ$64)="BLANK")+(UPPER($AS$64:$AZ$64)="(BLANK)")+(UPPER($AS$64:$AZ$64)="EMPTY")+(UPPER($AS$64:$AZ$64)="(EMPTY)"))&gt;0,IFERROR(('Final Calculation Sheet'!$D$33)&amp;"","")="",ISNUMBER(SEARCH($AS$64:$AZ$64,IFERROR(('Final Calculation Sheet'!$D$33)&amp;"","")))))&gt;0),IF(COUNTIF($BI$64:$BP$64,6)=0,TRUE,SUMPRODUCT(($BI$64:$BP$64=6)*($AS$64:$AZ$64&lt;&gt;"")*IF(((UPPER($AS$64:$AZ$64)="BLANK")+(UPPER($AS$64:$AZ$64)="(BLANK)")+(UPPER($AS$64:$AZ$64)="EMPTY")+(UPPER($AS$64:$AZ$64)="(EMPTY)"))&gt;0,IFERROR(('Final Calculation Sheet'!$D$33)&amp;"","")="",ISNUMBER(SEARCH($AS$64:$AZ$64,IFERROR(('Final Calculation Sheet'!$D$33)&amp;"","")))))&gt;0),IF(COUNTIF($BI$64:$BP$64,7)=0,TRUE,SUMPRODUCT(($BI$64:$BP$64=7)*($AS$64:$AZ$64&lt;&gt;"")*IF(((UPPER($AS$64:$AZ$64)="BLANK")+(UPPER($AS$64:$AZ$64)="(BLANK)")+(UPPER($AS$64:$AZ$64)="EMPTY")+(UPPER($AS$64:$AZ$64)="(EMPTY)"))&gt;0,IFERROR(('Final Calculation Sheet'!$D$33)&amp;"","")="",ISNUMBER(SEARCH($AS$64:$AZ$64,IFERROR(('Final Calculation Sheet'!$D$33)&amp;"","")))))&gt;0),IF(COUNTIF($BI$64:$BP$64,8)=0,TRUE,SUMPRODUCT(($BI$64:$BP$64=8)*($AS$64:$AZ$64&lt;&gt;"")*IF(((UPPER($AS$64:$AZ$64)="BLANK")+(UPPER($AS$64:$AZ$64)="(BLANK)")+(UPPER($AS$64:$AZ$64)="EMPTY")+(UPPER($AS$64:$AZ$64)="(EMPTY)"))&gt;0,IFERROR(('Final Calculation Sheet'!$D$33)&amp;"","")="",ISNUMBER(SEARCH($AS$64:$AZ$64,IFERROR(('Final Calculation Sheet'!$D$33)&amp;"","")))))&gt;0))))</f>
        <v>1</v>
      </c>
      <c r="BR34">
        <f>IF($F$4="",1,--(AND(SUMPRODUCT(--($AS$65:$AZ$65&lt;&gt;""))&gt;0,IF(COUNTIF($BI$65:$BP$65,1)=0,TRUE,SUMPRODUCT(($BI$65:$BP$65=1)*($AS$65:$AZ$65&lt;&gt;"")*IF(((UPPER($AS$65:$AZ$65)="BLANK")+(UPPER($AS$65:$AZ$65)="(BLANK)")+(UPPER($AS$65:$AZ$65)="EMPTY")+(UPPER($AS$65:$AZ$65)="(EMPTY)"))&gt;0,IFERROR(('Final Calculation Sheet'!$A$33)&amp;"","")="",ISNUMBER(SEARCH($AS$65:$AZ$65,IFERROR(('Final Calculation Sheet'!$A$33)&amp;"","")))))&gt;0),IF(COUNTIF($BI$65:$BP$65,2)=0,TRUE,SUMPRODUCT(($BI$65:$BP$65=2)*($AS$65:$AZ$65&lt;&gt;"")*IF(((UPPER($AS$65:$AZ$65)="BLANK")+(UPPER($AS$65:$AZ$65)="(BLANK)")+(UPPER($AS$65:$AZ$65)="EMPTY")+(UPPER($AS$65:$AZ$65)="(EMPTY)"))&gt;0,IFERROR(('Final Calculation Sheet'!$A$33)&amp;"","")="",ISNUMBER(SEARCH($AS$65:$AZ$65,IFERROR(('Final Calculation Sheet'!$A$33)&amp;"","")))))&gt;0),IF(COUNTIF($BI$65:$BP$65,3)=0,TRUE,SUMPRODUCT(($BI$65:$BP$65=3)*($AS$65:$AZ$65&lt;&gt;"")*IF(((UPPER($AS$65:$AZ$65)="BLANK")+(UPPER($AS$65:$AZ$65)="(BLANK)")+(UPPER($AS$65:$AZ$65)="EMPTY")+(UPPER($AS$65:$AZ$65)="(EMPTY)"))&gt;0,IFERROR(('Final Calculation Sheet'!$A$33)&amp;"","")="",ISNUMBER(SEARCH($AS$65:$AZ$65,IFERROR(('Final Calculation Sheet'!$A$33)&amp;"","")))))&gt;0),IF(COUNTIF($BI$65:$BP$65,4)=0,TRUE,SUMPRODUCT(($BI$65:$BP$65=4)*($AS$65:$AZ$65&lt;&gt;"")*IF(((UPPER($AS$65:$AZ$65)="BLANK")+(UPPER($AS$65:$AZ$65)="(BLANK)")+(UPPER($AS$65:$AZ$65)="EMPTY")+(UPPER($AS$65:$AZ$65)="(EMPTY)"))&gt;0,IFERROR(('Final Calculation Sheet'!$A$33)&amp;"","")="",ISNUMBER(SEARCH($AS$65:$AZ$65,IFERROR(('Final Calculation Sheet'!$A$33)&amp;"","")))))&gt;0),IF(COUNTIF($BI$65:$BP$65,5)=0,TRUE,SUMPRODUCT(($BI$65:$BP$65=5)*($AS$65:$AZ$65&lt;&gt;"")*IF(((UPPER($AS$65:$AZ$65)="BLANK")+(UPPER($AS$65:$AZ$65)="(BLANK)")+(UPPER($AS$65:$AZ$65)="EMPTY")+(UPPER($AS$65:$AZ$65)="(EMPTY)"))&gt;0,IFERROR(('Final Calculation Sheet'!$A$33)&amp;"","")="",ISNUMBER(SEARCH($AS$65:$AZ$65,IFERROR(('Final Calculation Sheet'!$A$33)&amp;"","")))))&gt;0),IF(COUNTIF($BI$65:$BP$65,6)=0,TRUE,SUMPRODUCT(($BI$65:$BP$65=6)*($AS$65:$AZ$65&lt;&gt;"")*IF(((UPPER($AS$65:$AZ$65)="BLANK")+(UPPER($AS$65:$AZ$65)="(BLANK)")+(UPPER($AS$65:$AZ$65)="EMPTY")+(UPPER($AS$65:$AZ$65)="(EMPTY)"))&gt;0,IFERROR(('Final Calculation Sheet'!$A$33)&amp;"","")="",ISNUMBER(SEARCH($AS$65:$AZ$65,IFERROR(('Final Calculation Sheet'!$A$33)&amp;"","")))))&gt;0),IF(COUNTIF($BI$65:$BP$65,7)=0,TRUE,SUMPRODUCT(($BI$65:$BP$65=7)*($AS$65:$AZ$65&lt;&gt;"")*IF(((UPPER($AS$65:$AZ$65)="BLANK")+(UPPER($AS$65:$AZ$65)="(BLANK)")+(UPPER($AS$65:$AZ$65)="EMPTY")+(UPPER($AS$65:$AZ$65)="(EMPTY)"))&gt;0,IFERROR(('Final Calculation Sheet'!$A$33)&amp;"","")="",ISNUMBER(SEARCH($AS$65:$AZ$65,IFERROR(('Final Calculation Sheet'!$A$33)&amp;"","")))))&gt;0),IF(COUNTIF($BI$65:$BP$65,8)=0,TRUE,SUMPRODUCT(($BI$65:$BP$65=8)*($AS$65:$AZ$65&lt;&gt;"")*IF(((UPPER($AS$65:$AZ$65)="BLANK")+(UPPER($AS$65:$AZ$65)="(BLANK)")+(UPPER($AS$65:$AZ$65)="EMPTY")+(UPPER($AS$65:$AZ$65)="(EMPTY)"))&gt;0,IFERROR(('Final Calculation Sheet'!$A$33)&amp;"","")="",ISNUMBER(SEARCH($AS$65:$AZ$65,IFERROR(('Final Calculation Sheet'!$A$33)&amp;"","")))))&gt;0))))</f>
        <v>1</v>
      </c>
      <c r="BS34">
        <f>IF($G$4="",1,--(AND(SUMPRODUCT(--($AS$66:$AZ$66&lt;&gt;""))&gt;0,IF(COUNTIF($BI$66:$BP$66,1)=0,TRUE,SUMPRODUCT(($BI$66:$BP$66=1)*($AS$66:$AZ$66&lt;&gt;"")*IF(((UPPER($AS$66:$AZ$66)="BLANK")+(UPPER($AS$66:$AZ$66)="(BLANK)")+(UPPER($AS$66:$AZ$66)="EMPTY")+(UPPER($AS$66:$AZ$66)="(EMPTY)"))&gt;0,IFERROR(('Final Calculation Sheet'!$E$33)&amp;"","")="",ISNUMBER(SEARCH($AS$66:$AZ$66,IFERROR(('Final Calculation Sheet'!$E$33)&amp;"","")))))&gt;0),IF(COUNTIF($BI$66:$BP$66,2)=0,TRUE,SUMPRODUCT(($BI$66:$BP$66=2)*($AS$66:$AZ$66&lt;&gt;"")*IF(((UPPER($AS$66:$AZ$66)="BLANK")+(UPPER($AS$66:$AZ$66)="(BLANK)")+(UPPER($AS$66:$AZ$66)="EMPTY")+(UPPER($AS$66:$AZ$66)="(EMPTY)"))&gt;0,IFERROR(('Final Calculation Sheet'!$E$33)&amp;"","")="",ISNUMBER(SEARCH($AS$66:$AZ$66,IFERROR(('Final Calculation Sheet'!$E$33)&amp;"","")))))&gt;0),IF(COUNTIF($BI$66:$BP$66,3)=0,TRUE,SUMPRODUCT(($BI$66:$BP$66=3)*($AS$66:$AZ$66&lt;&gt;"")*IF(((UPPER($AS$66:$AZ$66)="BLANK")+(UPPER($AS$66:$AZ$66)="(BLANK)")+(UPPER($AS$66:$AZ$66)="EMPTY")+(UPPER($AS$66:$AZ$66)="(EMPTY)"))&gt;0,IFERROR(('Final Calculation Sheet'!$E$33)&amp;"","")="",ISNUMBER(SEARCH($AS$66:$AZ$66,IFERROR(('Final Calculation Sheet'!$E$33)&amp;"","")))))&gt;0),IF(COUNTIF($BI$66:$BP$66,4)=0,TRUE,SUMPRODUCT(($BI$66:$BP$66=4)*($AS$66:$AZ$66&lt;&gt;"")*IF(((UPPER($AS$66:$AZ$66)="BLANK")+(UPPER($AS$66:$AZ$66)="(BLANK)")+(UPPER($AS$66:$AZ$66)="EMPTY")+(UPPER($AS$66:$AZ$66)="(EMPTY)"))&gt;0,IFERROR(('Final Calculation Sheet'!$E$33)&amp;"","")="",ISNUMBER(SEARCH($AS$66:$AZ$66,IFERROR(('Final Calculation Sheet'!$E$33)&amp;"","")))))&gt;0),IF(COUNTIF($BI$66:$BP$66,5)=0,TRUE,SUMPRODUCT(($BI$66:$BP$66=5)*($AS$66:$AZ$66&lt;&gt;"")*IF(((UPPER($AS$66:$AZ$66)="BLANK")+(UPPER($AS$66:$AZ$66)="(BLANK)")+(UPPER($AS$66:$AZ$66)="EMPTY")+(UPPER($AS$66:$AZ$66)="(EMPTY)"))&gt;0,IFERROR(('Final Calculation Sheet'!$E$33)&amp;"","")="",ISNUMBER(SEARCH($AS$66:$AZ$66,IFERROR(('Final Calculation Sheet'!$E$33)&amp;"","")))))&gt;0),IF(COUNTIF($BI$66:$BP$66,6)=0,TRUE,SUMPRODUCT(($BI$66:$BP$66=6)*($AS$66:$AZ$66&lt;&gt;"")*IF(((UPPER($AS$66:$AZ$66)="BLANK")+(UPPER($AS$66:$AZ$66)="(BLANK)")+(UPPER($AS$66:$AZ$66)="EMPTY")+(UPPER($AS$66:$AZ$66)="(EMPTY)"))&gt;0,IFERROR(('Final Calculation Sheet'!$E$33)&amp;"","")="",ISNUMBER(SEARCH($AS$66:$AZ$66,IFERROR(('Final Calculation Sheet'!$E$33)&amp;"","")))))&gt;0),IF(COUNTIF($BI$66:$BP$66,7)=0,TRUE,SUMPRODUCT(($BI$66:$BP$66=7)*($AS$66:$AZ$66&lt;&gt;"")*IF(((UPPER($AS$66:$AZ$66)="BLANK")+(UPPER($AS$66:$AZ$66)="(BLANK)")+(UPPER($AS$66:$AZ$66)="EMPTY")+(UPPER($AS$66:$AZ$66)="(EMPTY)"))&gt;0,IFERROR(('Final Calculation Sheet'!$E$33)&amp;"","")="",ISNUMBER(SEARCH($AS$66:$AZ$66,IFERROR(('Final Calculation Sheet'!$E$33)&amp;"","")))))&gt;0),IF(COUNTIF($BI$66:$BP$66,8)=0,TRUE,SUMPRODUCT(($BI$66:$BP$66=8)*($AS$66:$AZ$66&lt;&gt;"")*IF(((UPPER($AS$66:$AZ$66)="BLANK")+(UPPER($AS$66:$AZ$66)="(BLANK)")+(UPPER($AS$66:$AZ$66)="EMPTY")+(UPPER($AS$66:$AZ$66)="(EMPTY)"))&gt;0,IFERROR(('Final Calculation Sheet'!$E$33)&amp;"","")="",ISNUMBER(SEARCH($AS$66:$AZ$66,IFERROR(('Final Calculation Sheet'!$E$33)&amp;"","")))))&gt;0))))</f>
        <v>1</v>
      </c>
      <c r="BT34">
        <f>IF($H$4="",1,--(AND(SUMPRODUCT(--($AS$67:$AZ$67&lt;&gt;""))&gt;0,IF(COUNTIF($BI$67:$BP$67,1)=0,TRUE,SUMPRODUCT(($BI$67:$BP$67=1)*($AS$67:$AZ$67&lt;&gt;"")*IF(((UPPER($AS$67:$AZ$67)="BLANK")+(UPPER($AS$67:$AZ$67)="(BLANK)")+(UPPER($AS$67:$AZ$67)="EMPTY")+(UPPER($AS$67:$AZ$67)="(EMPTY)"))&gt;0,IFERROR(('Final Calculation Sheet'!$C$33)&amp;"","")="",ISNUMBER(SEARCH($AS$67:$AZ$67,IFERROR(('Final Calculation Sheet'!$C$33)&amp;"","")))))&gt;0),IF(COUNTIF($BI$67:$BP$67,2)=0,TRUE,SUMPRODUCT(($BI$67:$BP$67=2)*($AS$67:$AZ$67&lt;&gt;"")*IF(((UPPER($AS$67:$AZ$67)="BLANK")+(UPPER($AS$67:$AZ$67)="(BLANK)")+(UPPER($AS$67:$AZ$67)="EMPTY")+(UPPER($AS$67:$AZ$67)="(EMPTY)"))&gt;0,IFERROR(('Final Calculation Sheet'!$C$33)&amp;"","")="",ISNUMBER(SEARCH($AS$67:$AZ$67,IFERROR(('Final Calculation Sheet'!$C$33)&amp;"","")))))&gt;0),IF(COUNTIF($BI$67:$BP$67,3)=0,TRUE,SUMPRODUCT(($BI$67:$BP$67=3)*($AS$67:$AZ$67&lt;&gt;"")*IF(((UPPER($AS$67:$AZ$67)="BLANK")+(UPPER($AS$67:$AZ$67)="(BLANK)")+(UPPER($AS$67:$AZ$67)="EMPTY")+(UPPER($AS$67:$AZ$67)="(EMPTY)"))&gt;0,IFERROR(('Final Calculation Sheet'!$C$33)&amp;"","")="",ISNUMBER(SEARCH($AS$67:$AZ$67,IFERROR(('Final Calculation Sheet'!$C$33)&amp;"","")))))&gt;0),IF(COUNTIF($BI$67:$BP$67,4)=0,TRUE,SUMPRODUCT(($BI$67:$BP$67=4)*($AS$67:$AZ$67&lt;&gt;"")*IF(((UPPER($AS$67:$AZ$67)="BLANK")+(UPPER($AS$67:$AZ$67)="(BLANK)")+(UPPER($AS$67:$AZ$67)="EMPTY")+(UPPER($AS$67:$AZ$67)="(EMPTY)"))&gt;0,IFERROR(('Final Calculation Sheet'!$C$33)&amp;"","")="",ISNUMBER(SEARCH($AS$67:$AZ$67,IFERROR(('Final Calculation Sheet'!$C$33)&amp;"","")))))&gt;0),IF(COUNTIF($BI$67:$BP$67,5)=0,TRUE,SUMPRODUCT(($BI$67:$BP$67=5)*($AS$67:$AZ$67&lt;&gt;"")*IF(((UPPER($AS$67:$AZ$67)="BLANK")+(UPPER($AS$67:$AZ$67)="(BLANK)")+(UPPER($AS$67:$AZ$67)="EMPTY")+(UPPER($AS$67:$AZ$67)="(EMPTY)"))&gt;0,IFERROR(('Final Calculation Sheet'!$C$33)&amp;"","")="",ISNUMBER(SEARCH($AS$67:$AZ$67,IFERROR(('Final Calculation Sheet'!$C$33)&amp;"","")))))&gt;0),IF(COUNTIF($BI$67:$BP$67,6)=0,TRUE,SUMPRODUCT(($BI$67:$BP$67=6)*($AS$67:$AZ$67&lt;&gt;"")*IF(((UPPER($AS$67:$AZ$67)="BLANK")+(UPPER($AS$67:$AZ$67)="(BLANK)")+(UPPER($AS$67:$AZ$67)="EMPTY")+(UPPER($AS$67:$AZ$67)="(EMPTY)"))&gt;0,IFERROR(('Final Calculation Sheet'!$C$33)&amp;"","")="",ISNUMBER(SEARCH($AS$67:$AZ$67,IFERROR(('Final Calculation Sheet'!$C$33)&amp;"","")))))&gt;0),IF(COUNTIF($BI$67:$BP$67,7)=0,TRUE,SUMPRODUCT(($BI$67:$BP$67=7)*($AS$67:$AZ$67&lt;&gt;"")*IF(((UPPER($AS$67:$AZ$67)="BLANK")+(UPPER($AS$67:$AZ$67)="(BLANK)")+(UPPER($AS$67:$AZ$67)="EMPTY")+(UPPER($AS$67:$AZ$67)="(EMPTY)"))&gt;0,IFERROR(('Final Calculation Sheet'!$C$33)&amp;"","")="",ISNUMBER(SEARCH($AS$67:$AZ$67,IFERROR(('Final Calculation Sheet'!$C$33)&amp;"","")))))&gt;0),IF(COUNTIF($BI$67:$BP$67,8)=0,TRUE,SUMPRODUCT(($BI$67:$BP$67=8)*($AS$67:$AZ$67&lt;&gt;"")*IF(((UPPER($AS$67:$AZ$67)="BLANK")+(UPPER($AS$67:$AZ$67)="(BLANK)")+(UPPER($AS$67:$AZ$67)="EMPTY")+(UPPER($AS$67:$AZ$67)="(EMPTY)"))&gt;0,IFERROR(('Final Calculation Sheet'!$C$33)&amp;"","")="",ISNUMBER(SEARCH($AS$67:$AZ$67,IFERROR(('Final Calculation Sheet'!$C$33)&amp;"","")))))&gt;0))))</f>
        <v>1</v>
      </c>
      <c r="BU34">
        <f>IF($I$4="",1,--(AND(SUMPRODUCT(--($AS$68:$AZ$68&lt;&gt;""))&gt;0,IF(COUNTIF($BI$68:$BP$68,1)=0,TRUE,SUMPRODUCT(($BI$68:$BP$68=1)*($AS$68:$AZ$68&lt;&gt;"")*IF(((UPPER($AS$68:$AZ$68)="BLANK")+(UPPER($AS$68:$AZ$68)="(BLANK)")+(UPPER($AS$68:$AZ$68)="EMPTY")+(UPPER($AS$68:$AZ$68)="(EMPTY)"))&gt;0,IFERROR(('Final Calculation Sheet'!$H$33)&amp;"","")="",ISNUMBER(SEARCH($AS$68:$AZ$68,IFERROR(('Final Calculation Sheet'!$H$33)&amp;"","")))))&gt;0),IF(COUNTIF($BI$68:$BP$68,2)=0,TRUE,SUMPRODUCT(($BI$68:$BP$68=2)*($AS$68:$AZ$68&lt;&gt;"")*IF(((UPPER($AS$68:$AZ$68)="BLANK")+(UPPER($AS$68:$AZ$68)="(BLANK)")+(UPPER($AS$68:$AZ$68)="EMPTY")+(UPPER($AS$68:$AZ$68)="(EMPTY)"))&gt;0,IFERROR(('Final Calculation Sheet'!$H$33)&amp;"","")="",ISNUMBER(SEARCH($AS$68:$AZ$68,IFERROR(('Final Calculation Sheet'!$H$33)&amp;"","")))))&gt;0),IF(COUNTIF($BI$68:$BP$68,3)=0,TRUE,SUMPRODUCT(($BI$68:$BP$68=3)*($AS$68:$AZ$68&lt;&gt;"")*IF(((UPPER($AS$68:$AZ$68)="BLANK")+(UPPER($AS$68:$AZ$68)="(BLANK)")+(UPPER($AS$68:$AZ$68)="EMPTY")+(UPPER($AS$68:$AZ$68)="(EMPTY)"))&gt;0,IFERROR(('Final Calculation Sheet'!$H$33)&amp;"","")="",ISNUMBER(SEARCH($AS$68:$AZ$68,IFERROR(('Final Calculation Sheet'!$H$33)&amp;"","")))))&gt;0),IF(COUNTIF($BI$68:$BP$68,4)=0,TRUE,SUMPRODUCT(($BI$68:$BP$68=4)*($AS$68:$AZ$68&lt;&gt;"")*IF(((UPPER($AS$68:$AZ$68)="BLANK")+(UPPER($AS$68:$AZ$68)="(BLANK)")+(UPPER($AS$68:$AZ$68)="EMPTY")+(UPPER($AS$68:$AZ$68)="(EMPTY)"))&gt;0,IFERROR(('Final Calculation Sheet'!$H$33)&amp;"","")="",ISNUMBER(SEARCH($AS$68:$AZ$68,IFERROR(('Final Calculation Sheet'!$H$33)&amp;"","")))))&gt;0),IF(COUNTIF($BI$68:$BP$68,5)=0,TRUE,SUMPRODUCT(($BI$68:$BP$68=5)*($AS$68:$AZ$68&lt;&gt;"")*IF(((UPPER($AS$68:$AZ$68)="BLANK")+(UPPER($AS$68:$AZ$68)="(BLANK)")+(UPPER($AS$68:$AZ$68)="EMPTY")+(UPPER($AS$68:$AZ$68)="(EMPTY)"))&gt;0,IFERROR(('Final Calculation Sheet'!$H$33)&amp;"","")="",ISNUMBER(SEARCH($AS$68:$AZ$68,IFERROR(('Final Calculation Sheet'!$H$33)&amp;"","")))))&gt;0),IF(COUNTIF($BI$68:$BP$68,6)=0,TRUE,SUMPRODUCT(($BI$68:$BP$68=6)*($AS$68:$AZ$68&lt;&gt;"")*IF(((UPPER($AS$68:$AZ$68)="BLANK")+(UPPER($AS$68:$AZ$68)="(BLANK)")+(UPPER($AS$68:$AZ$68)="EMPTY")+(UPPER($AS$68:$AZ$68)="(EMPTY)"))&gt;0,IFERROR(('Final Calculation Sheet'!$H$33)&amp;"","")="",ISNUMBER(SEARCH($AS$68:$AZ$68,IFERROR(('Final Calculation Sheet'!$H$33)&amp;"","")))))&gt;0),IF(COUNTIF($BI$68:$BP$68,7)=0,TRUE,SUMPRODUCT(($BI$68:$BP$68=7)*($AS$68:$AZ$68&lt;&gt;"")*IF(((UPPER($AS$68:$AZ$68)="BLANK")+(UPPER($AS$68:$AZ$68)="(BLANK)")+(UPPER($AS$68:$AZ$68)="EMPTY")+(UPPER($AS$68:$AZ$68)="(EMPTY)"))&gt;0,IFERROR(('Final Calculation Sheet'!$H$33)&amp;"","")="",ISNUMBER(SEARCH($AS$68:$AZ$68,IFERROR(('Final Calculation Sheet'!$H$33)&amp;"","")))))&gt;0),IF(COUNTIF($BI$68:$BP$68,8)=0,TRUE,SUMPRODUCT(($BI$68:$BP$68=8)*($AS$68:$AZ$68&lt;&gt;"")*IF(((UPPER($AS$68:$AZ$68)="BLANK")+(UPPER($AS$68:$AZ$68)="(BLANK)")+(UPPER($AS$68:$AZ$68)="EMPTY")+(UPPER($AS$68:$AZ$68)="(EMPTY)"))&gt;0,IFERROR(('Final Calculation Sheet'!$H$33)&amp;"","")="",ISNUMBER(SEARCH($AS$68:$AZ$68,IFERROR(('Final Calculation Sheet'!$H$33)&amp;"","")))))&gt;0))))</f>
        <v>1</v>
      </c>
      <c r="BV34">
        <f>IF($J$4="",1,--(AND(SUMPRODUCT(--($AS$69:$AZ$69&lt;&gt;""))&gt;0,IF(COUNTIF($BI$69:$BP$69,1)=0,TRUE,SUMPRODUCT(($BI$69:$BP$69=1)*($AS$69:$AZ$69&lt;&gt;"")*IF(((UPPER($AS$69:$AZ$69)="BLANK")+(UPPER($AS$69:$AZ$69)="(BLANK)")+(UPPER($AS$69:$AZ$69)="EMPTY")+(UPPER($AS$69:$AZ$69)="(EMPTY)"))&gt;0,IFERROR(('Final Calculation Sheet'!$I$33)&amp;"","")="",ISNUMBER(SEARCH($AS$69:$AZ$69,IFERROR(('Final Calculation Sheet'!$I$33)&amp;"","")))))&gt;0),IF(COUNTIF($BI$69:$BP$69,2)=0,TRUE,SUMPRODUCT(($BI$69:$BP$69=2)*($AS$69:$AZ$69&lt;&gt;"")*IF(((UPPER($AS$69:$AZ$69)="BLANK")+(UPPER($AS$69:$AZ$69)="(BLANK)")+(UPPER($AS$69:$AZ$69)="EMPTY")+(UPPER($AS$69:$AZ$69)="(EMPTY)"))&gt;0,IFERROR(('Final Calculation Sheet'!$I$33)&amp;"","")="",ISNUMBER(SEARCH($AS$69:$AZ$69,IFERROR(('Final Calculation Sheet'!$I$33)&amp;"","")))))&gt;0),IF(COUNTIF($BI$69:$BP$69,3)=0,TRUE,SUMPRODUCT(($BI$69:$BP$69=3)*($AS$69:$AZ$69&lt;&gt;"")*IF(((UPPER($AS$69:$AZ$69)="BLANK")+(UPPER($AS$69:$AZ$69)="(BLANK)")+(UPPER($AS$69:$AZ$69)="EMPTY")+(UPPER($AS$69:$AZ$69)="(EMPTY)"))&gt;0,IFERROR(('Final Calculation Sheet'!$I$33)&amp;"","")="",ISNUMBER(SEARCH($AS$69:$AZ$69,IFERROR(('Final Calculation Sheet'!$I$33)&amp;"","")))))&gt;0),IF(COUNTIF($BI$69:$BP$69,4)=0,TRUE,SUMPRODUCT(($BI$69:$BP$69=4)*($AS$69:$AZ$69&lt;&gt;"")*IF(((UPPER($AS$69:$AZ$69)="BLANK")+(UPPER($AS$69:$AZ$69)="(BLANK)")+(UPPER($AS$69:$AZ$69)="EMPTY")+(UPPER($AS$69:$AZ$69)="(EMPTY)"))&gt;0,IFERROR(('Final Calculation Sheet'!$I$33)&amp;"","")="",ISNUMBER(SEARCH($AS$69:$AZ$69,IFERROR(('Final Calculation Sheet'!$I$33)&amp;"","")))))&gt;0),IF(COUNTIF($BI$69:$BP$69,5)=0,TRUE,SUMPRODUCT(($BI$69:$BP$69=5)*($AS$69:$AZ$69&lt;&gt;"")*IF(((UPPER($AS$69:$AZ$69)="BLANK")+(UPPER($AS$69:$AZ$69)="(BLANK)")+(UPPER($AS$69:$AZ$69)="EMPTY")+(UPPER($AS$69:$AZ$69)="(EMPTY)"))&gt;0,IFERROR(('Final Calculation Sheet'!$I$33)&amp;"","")="",ISNUMBER(SEARCH($AS$69:$AZ$69,IFERROR(('Final Calculation Sheet'!$I$33)&amp;"","")))))&gt;0),IF(COUNTIF($BI$69:$BP$69,6)=0,TRUE,SUMPRODUCT(($BI$69:$BP$69=6)*($AS$69:$AZ$69&lt;&gt;"")*IF(((UPPER($AS$69:$AZ$69)="BLANK")+(UPPER($AS$69:$AZ$69)="(BLANK)")+(UPPER($AS$69:$AZ$69)="EMPTY")+(UPPER($AS$69:$AZ$69)="(EMPTY)"))&gt;0,IFERROR(('Final Calculation Sheet'!$I$33)&amp;"","")="",ISNUMBER(SEARCH($AS$69:$AZ$69,IFERROR(('Final Calculation Sheet'!$I$33)&amp;"","")))))&gt;0),IF(COUNTIF($BI$69:$BP$69,7)=0,TRUE,SUMPRODUCT(($BI$69:$BP$69=7)*($AS$69:$AZ$69&lt;&gt;"")*IF(((UPPER($AS$69:$AZ$69)="BLANK")+(UPPER($AS$69:$AZ$69)="(BLANK)")+(UPPER($AS$69:$AZ$69)="EMPTY")+(UPPER($AS$69:$AZ$69)="(EMPTY)"))&gt;0,IFERROR(('Final Calculation Sheet'!$I$33)&amp;"","")="",ISNUMBER(SEARCH($AS$69:$AZ$69,IFERROR(('Final Calculation Sheet'!$I$33)&amp;"","")))))&gt;0),IF(COUNTIF($BI$69:$BP$69,8)=0,TRUE,SUMPRODUCT(($BI$69:$BP$69=8)*($AS$69:$AZ$69&lt;&gt;"")*IF(((UPPER($AS$69:$AZ$69)="BLANK")+(UPPER($AS$69:$AZ$69)="(BLANK)")+(UPPER($AS$69:$AZ$69)="EMPTY")+(UPPER($AS$69:$AZ$69)="(EMPTY)"))&gt;0,IFERROR(('Final Calculation Sheet'!$I$33)&amp;"","")="",ISNUMBER(SEARCH($AS$69:$AZ$69,IFERROR(('Final Calculation Sheet'!$I$33)&amp;"","")))))&gt;0))))</f>
        <v>1</v>
      </c>
      <c r="BW34">
        <f>IF($K$4="",1,--(AND(SUMPRODUCT(--($AS$70:$AZ$70&lt;&gt;""))&gt;0,IF(COUNTIF($BI$70:$BP$70,1)=0,TRUE,SUMPRODUCT(($BI$70:$BP$70=1)*($AS$70:$AZ$70&lt;&gt;"")*IF(((UPPER($AS$70:$AZ$70)="BLANK")+(UPPER($AS$70:$AZ$70)="(BLANK)")+(UPPER($AS$70:$AZ$70)="EMPTY")+(UPPER($AS$70:$AZ$70)="(EMPTY)"))&gt;0,IFERROR(('Final Calculation Sheet'!$J$33)&amp;"","")="",ISNUMBER(SEARCH($AS$70:$AZ$70,IFERROR(('Final Calculation Sheet'!$J$33)&amp;"","")))))&gt;0),IF(COUNTIF($BI$70:$BP$70,2)=0,TRUE,SUMPRODUCT(($BI$70:$BP$70=2)*($AS$70:$AZ$70&lt;&gt;"")*IF(((UPPER($AS$70:$AZ$70)="BLANK")+(UPPER($AS$70:$AZ$70)="(BLANK)")+(UPPER($AS$70:$AZ$70)="EMPTY")+(UPPER($AS$70:$AZ$70)="(EMPTY)"))&gt;0,IFERROR(('Final Calculation Sheet'!$J$33)&amp;"","")="",ISNUMBER(SEARCH($AS$70:$AZ$70,IFERROR(('Final Calculation Sheet'!$J$33)&amp;"","")))))&gt;0),IF(COUNTIF($BI$70:$BP$70,3)=0,TRUE,SUMPRODUCT(($BI$70:$BP$70=3)*($AS$70:$AZ$70&lt;&gt;"")*IF(((UPPER($AS$70:$AZ$70)="BLANK")+(UPPER($AS$70:$AZ$70)="(BLANK)")+(UPPER($AS$70:$AZ$70)="EMPTY")+(UPPER($AS$70:$AZ$70)="(EMPTY)"))&gt;0,IFERROR(('Final Calculation Sheet'!$J$33)&amp;"","")="",ISNUMBER(SEARCH($AS$70:$AZ$70,IFERROR(('Final Calculation Sheet'!$J$33)&amp;"","")))))&gt;0),IF(COUNTIF($BI$70:$BP$70,4)=0,TRUE,SUMPRODUCT(($BI$70:$BP$70=4)*($AS$70:$AZ$70&lt;&gt;"")*IF(((UPPER($AS$70:$AZ$70)="BLANK")+(UPPER($AS$70:$AZ$70)="(BLANK)")+(UPPER($AS$70:$AZ$70)="EMPTY")+(UPPER($AS$70:$AZ$70)="(EMPTY)"))&gt;0,IFERROR(('Final Calculation Sheet'!$J$33)&amp;"","")="",ISNUMBER(SEARCH($AS$70:$AZ$70,IFERROR(('Final Calculation Sheet'!$J$33)&amp;"","")))))&gt;0),IF(COUNTIF($BI$70:$BP$70,5)=0,TRUE,SUMPRODUCT(($BI$70:$BP$70=5)*($AS$70:$AZ$70&lt;&gt;"")*IF(((UPPER($AS$70:$AZ$70)="BLANK")+(UPPER($AS$70:$AZ$70)="(BLANK)")+(UPPER($AS$70:$AZ$70)="EMPTY")+(UPPER($AS$70:$AZ$70)="(EMPTY)"))&gt;0,IFERROR(('Final Calculation Sheet'!$J$33)&amp;"","")="",ISNUMBER(SEARCH($AS$70:$AZ$70,IFERROR(('Final Calculation Sheet'!$J$33)&amp;"","")))))&gt;0),IF(COUNTIF($BI$70:$BP$70,6)=0,TRUE,SUMPRODUCT(($BI$70:$BP$70=6)*($AS$70:$AZ$70&lt;&gt;"")*IF(((UPPER($AS$70:$AZ$70)="BLANK")+(UPPER($AS$70:$AZ$70)="(BLANK)")+(UPPER($AS$70:$AZ$70)="EMPTY")+(UPPER($AS$70:$AZ$70)="(EMPTY)"))&gt;0,IFERROR(('Final Calculation Sheet'!$J$33)&amp;"","")="",ISNUMBER(SEARCH($AS$70:$AZ$70,IFERROR(('Final Calculation Sheet'!$J$33)&amp;"","")))))&gt;0),IF(COUNTIF($BI$70:$BP$70,7)=0,TRUE,SUMPRODUCT(($BI$70:$BP$70=7)*($AS$70:$AZ$70&lt;&gt;"")*IF(((UPPER($AS$70:$AZ$70)="BLANK")+(UPPER($AS$70:$AZ$70)="(BLANK)")+(UPPER($AS$70:$AZ$70)="EMPTY")+(UPPER($AS$70:$AZ$70)="(EMPTY)"))&gt;0,IFERROR(('Final Calculation Sheet'!$J$33)&amp;"","")="",ISNUMBER(SEARCH($AS$70:$AZ$70,IFERROR(('Final Calculation Sheet'!$J$33)&amp;"","")))))&gt;0),IF(COUNTIF($BI$70:$BP$70,8)=0,TRUE,SUMPRODUCT(($BI$70:$BP$70=8)*($AS$70:$AZ$70&lt;&gt;"")*IF(((UPPER($AS$70:$AZ$70)="BLANK")+(UPPER($AS$70:$AZ$70)="(BLANK)")+(UPPER($AS$70:$AZ$70)="EMPTY")+(UPPER($AS$70:$AZ$70)="(EMPTY)"))&gt;0,IFERROR(('Final Calculation Sheet'!$J$33)&amp;"","")="",ISNUMBER(SEARCH($AS$70:$AZ$70,IFERROR(('Final Calculation Sheet'!$J$33)&amp;"","")))))&gt;0))))</f>
        <v>1</v>
      </c>
      <c r="BX34">
        <f>IF($L$4="",1,--(AND(SUMPRODUCT(--($AS$71:$AZ$71&lt;&gt;""))&gt;0,IF(COUNTIF($BI$71:$BP$71,1)=0,TRUE,SUMPRODUCT(($BI$71:$BP$71=1)*($AS$71:$AZ$71&lt;&gt;"")*IF(((UPPER($AS$71:$AZ$71)="BLANK")+(UPPER($AS$71:$AZ$71)="(BLANK)")+(UPPER($AS$71:$AZ$71)="EMPTY")+(UPPER($AS$71:$AZ$71)="(EMPTY)"))&gt;0,IFERROR(('Final Calculation Sheet'!$K$33)&amp;"","")="",ISNUMBER(SEARCH($AS$71:$AZ$71,IFERROR(('Final Calculation Sheet'!$K$33)&amp;"","")))))&gt;0),IF(COUNTIF($BI$71:$BP$71,2)=0,TRUE,SUMPRODUCT(($BI$71:$BP$71=2)*($AS$71:$AZ$71&lt;&gt;"")*IF(((UPPER($AS$71:$AZ$71)="BLANK")+(UPPER($AS$71:$AZ$71)="(BLANK)")+(UPPER($AS$71:$AZ$71)="EMPTY")+(UPPER($AS$71:$AZ$71)="(EMPTY)"))&gt;0,IFERROR(('Final Calculation Sheet'!$K$33)&amp;"","")="",ISNUMBER(SEARCH($AS$71:$AZ$71,IFERROR(('Final Calculation Sheet'!$K$33)&amp;"","")))))&gt;0),IF(COUNTIF($BI$71:$BP$71,3)=0,TRUE,SUMPRODUCT(($BI$71:$BP$71=3)*($AS$71:$AZ$71&lt;&gt;"")*IF(((UPPER($AS$71:$AZ$71)="BLANK")+(UPPER($AS$71:$AZ$71)="(BLANK)")+(UPPER($AS$71:$AZ$71)="EMPTY")+(UPPER($AS$71:$AZ$71)="(EMPTY)"))&gt;0,IFERROR(('Final Calculation Sheet'!$K$33)&amp;"","")="",ISNUMBER(SEARCH($AS$71:$AZ$71,IFERROR(('Final Calculation Sheet'!$K$33)&amp;"","")))))&gt;0),IF(COUNTIF($BI$71:$BP$71,4)=0,TRUE,SUMPRODUCT(($BI$71:$BP$71=4)*($AS$71:$AZ$71&lt;&gt;"")*IF(((UPPER($AS$71:$AZ$71)="BLANK")+(UPPER($AS$71:$AZ$71)="(BLANK)")+(UPPER($AS$71:$AZ$71)="EMPTY")+(UPPER($AS$71:$AZ$71)="(EMPTY)"))&gt;0,IFERROR(('Final Calculation Sheet'!$K$33)&amp;"","")="",ISNUMBER(SEARCH($AS$71:$AZ$71,IFERROR(('Final Calculation Sheet'!$K$33)&amp;"","")))))&gt;0),IF(COUNTIF($BI$71:$BP$71,5)=0,TRUE,SUMPRODUCT(($BI$71:$BP$71=5)*($AS$71:$AZ$71&lt;&gt;"")*IF(((UPPER($AS$71:$AZ$71)="BLANK")+(UPPER($AS$71:$AZ$71)="(BLANK)")+(UPPER($AS$71:$AZ$71)="EMPTY")+(UPPER($AS$71:$AZ$71)="(EMPTY)"))&gt;0,IFERROR(('Final Calculation Sheet'!$K$33)&amp;"","")="",ISNUMBER(SEARCH($AS$71:$AZ$71,IFERROR(('Final Calculation Sheet'!$K$33)&amp;"","")))))&gt;0),IF(COUNTIF($BI$71:$BP$71,6)=0,TRUE,SUMPRODUCT(($BI$71:$BP$71=6)*($AS$71:$AZ$71&lt;&gt;"")*IF(((UPPER($AS$71:$AZ$71)="BLANK")+(UPPER($AS$71:$AZ$71)="(BLANK)")+(UPPER($AS$71:$AZ$71)="EMPTY")+(UPPER($AS$71:$AZ$71)="(EMPTY)"))&gt;0,IFERROR(('Final Calculation Sheet'!$K$33)&amp;"","")="",ISNUMBER(SEARCH($AS$71:$AZ$71,IFERROR(('Final Calculation Sheet'!$K$33)&amp;"","")))))&gt;0),IF(COUNTIF($BI$71:$BP$71,7)=0,TRUE,SUMPRODUCT(($BI$71:$BP$71=7)*($AS$71:$AZ$71&lt;&gt;"")*IF(((UPPER($AS$71:$AZ$71)="BLANK")+(UPPER($AS$71:$AZ$71)="(BLANK)")+(UPPER($AS$71:$AZ$71)="EMPTY")+(UPPER($AS$71:$AZ$71)="(EMPTY)"))&gt;0,IFERROR(('Final Calculation Sheet'!$K$33)&amp;"","")="",ISNUMBER(SEARCH($AS$71:$AZ$71,IFERROR(('Final Calculation Sheet'!$K$33)&amp;"","")))))&gt;0),IF(COUNTIF($BI$71:$BP$71,8)=0,TRUE,SUMPRODUCT(($BI$71:$BP$71=8)*($AS$71:$AZ$71&lt;&gt;"")*IF(((UPPER($AS$71:$AZ$71)="BLANK")+(UPPER($AS$71:$AZ$71)="(BLANK)")+(UPPER($AS$71:$AZ$71)="EMPTY")+(UPPER($AS$71:$AZ$71)="(EMPTY)"))&gt;0,IFERROR(('Final Calculation Sheet'!$K$33)&amp;"","")="",ISNUMBER(SEARCH($AS$71:$AZ$71,IFERROR(('Final Calculation Sheet'!$K$33)&amp;"","")))))&gt;0))))</f>
        <v>1</v>
      </c>
      <c r="BY34">
        <f>IF($M$4="",1,--(AND(SUMPRODUCT(--($AS$72:$AZ$72&lt;&gt;""))&gt;0,IF(COUNTIF($BI$72:$BP$72,1)=0,TRUE,SUMPRODUCT(($BI$72:$BP$72=1)*($AS$72:$AZ$72&lt;&gt;"")*IF(((UPPER($AS$72:$AZ$72)="BLANK")+(UPPER($AS$72:$AZ$72)="(BLANK)")+(UPPER($AS$72:$AZ$72)="EMPTY")+(UPPER($AS$72:$AZ$72)="(EMPTY)"))&gt;0,IFERROR(('Final Calculation Sheet'!$L$33)&amp;"","")="",ISNUMBER(SEARCH($AS$72:$AZ$72,IFERROR(('Final Calculation Sheet'!$L$33)&amp;"","")))))&gt;0),IF(COUNTIF($BI$72:$BP$72,2)=0,TRUE,SUMPRODUCT(($BI$72:$BP$72=2)*($AS$72:$AZ$72&lt;&gt;"")*IF(((UPPER($AS$72:$AZ$72)="BLANK")+(UPPER($AS$72:$AZ$72)="(BLANK)")+(UPPER($AS$72:$AZ$72)="EMPTY")+(UPPER($AS$72:$AZ$72)="(EMPTY)"))&gt;0,IFERROR(('Final Calculation Sheet'!$L$33)&amp;"","")="",ISNUMBER(SEARCH($AS$72:$AZ$72,IFERROR(('Final Calculation Sheet'!$L$33)&amp;"","")))))&gt;0),IF(COUNTIF($BI$72:$BP$72,3)=0,TRUE,SUMPRODUCT(($BI$72:$BP$72=3)*($AS$72:$AZ$72&lt;&gt;"")*IF(((UPPER($AS$72:$AZ$72)="BLANK")+(UPPER($AS$72:$AZ$72)="(BLANK)")+(UPPER($AS$72:$AZ$72)="EMPTY")+(UPPER($AS$72:$AZ$72)="(EMPTY)"))&gt;0,IFERROR(('Final Calculation Sheet'!$L$33)&amp;"","")="",ISNUMBER(SEARCH($AS$72:$AZ$72,IFERROR(('Final Calculation Sheet'!$L$33)&amp;"","")))))&gt;0),IF(COUNTIF($BI$72:$BP$72,4)=0,TRUE,SUMPRODUCT(($BI$72:$BP$72=4)*($AS$72:$AZ$72&lt;&gt;"")*IF(((UPPER($AS$72:$AZ$72)="BLANK")+(UPPER($AS$72:$AZ$72)="(BLANK)")+(UPPER($AS$72:$AZ$72)="EMPTY")+(UPPER($AS$72:$AZ$72)="(EMPTY)"))&gt;0,IFERROR(('Final Calculation Sheet'!$L$33)&amp;"","")="",ISNUMBER(SEARCH($AS$72:$AZ$72,IFERROR(('Final Calculation Sheet'!$L$33)&amp;"","")))))&gt;0),IF(COUNTIF($BI$72:$BP$72,5)=0,TRUE,SUMPRODUCT(($BI$72:$BP$72=5)*($AS$72:$AZ$72&lt;&gt;"")*IF(((UPPER($AS$72:$AZ$72)="BLANK")+(UPPER($AS$72:$AZ$72)="(BLANK)")+(UPPER($AS$72:$AZ$72)="EMPTY")+(UPPER($AS$72:$AZ$72)="(EMPTY)"))&gt;0,IFERROR(('Final Calculation Sheet'!$L$33)&amp;"","")="",ISNUMBER(SEARCH($AS$72:$AZ$72,IFERROR(('Final Calculation Sheet'!$L$33)&amp;"","")))))&gt;0),IF(COUNTIF($BI$72:$BP$72,6)=0,TRUE,SUMPRODUCT(($BI$72:$BP$72=6)*($AS$72:$AZ$72&lt;&gt;"")*IF(((UPPER($AS$72:$AZ$72)="BLANK")+(UPPER($AS$72:$AZ$72)="(BLANK)")+(UPPER($AS$72:$AZ$72)="EMPTY")+(UPPER($AS$72:$AZ$72)="(EMPTY)"))&gt;0,IFERROR(('Final Calculation Sheet'!$L$33)&amp;"","")="",ISNUMBER(SEARCH($AS$72:$AZ$72,IFERROR(('Final Calculation Sheet'!$L$33)&amp;"","")))))&gt;0),IF(COUNTIF($BI$72:$BP$72,7)=0,TRUE,SUMPRODUCT(($BI$72:$BP$72=7)*($AS$72:$AZ$72&lt;&gt;"")*IF(((UPPER($AS$72:$AZ$72)="BLANK")+(UPPER($AS$72:$AZ$72)="(BLANK)")+(UPPER($AS$72:$AZ$72)="EMPTY")+(UPPER($AS$72:$AZ$72)="(EMPTY)"))&gt;0,IFERROR(('Final Calculation Sheet'!$L$33)&amp;"","")="",ISNUMBER(SEARCH($AS$72:$AZ$72,IFERROR(('Final Calculation Sheet'!$L$33)&amp;"","")))))&gt;0),IF(COUNTIF($BI$72:$BP$72,8)=0,TRUE,SUMPRODUCT(($BI$72:$BP$72=8)*($AS$72:$AZ$72&lt;&gt;"")*IF(((UPPER($AS$72:$AZ$72)="BLANK")+(UPPER($AS$72:$AZ$72)="(BLANK)")+(UPPER($AS$72:$AZ$72)="EMPTY")+(UPPER($AS$72:$AZ$72)="(EMPTY)"))&gt;0,IFERROR(('Final Calculation Sheet'!$L$33)&amp;"","")="",ISNUMBER(SEARCH($AS$72:$AZ$72,IFERROR(('Final Calculation Sheet'!$L$33)&amp;"","")))))&gt;0))))</f>
        <v>1</v>
      </c>
      <c r="BZ34">
        <f>IF($N$4="",1,--(AND(SUMPRODUCT(--($AS$73:$AZ$73&lt;&gt;""))&gt;0,IF(COUNTIF($BI$73:$BP$73,1)=0,TRUE,SUMPRODUCT(($BI$73:$BP$73=1)*($AS$73:$AZ$73&lt;&gt;"")*IF(((UPPER($AS$73:$AZ$73)="BLANK")+(UPPER($AS$73:$AZ$73)="(BLANK)")+(UPPER($AS$73:$AZ$73)="EMPTY")+(UPPER($AS$73:$AZ$73)="(EMPTY)"))&gt;0,IFERROR(('Final Calculation Sheet'!$M$33)&amp;"","")="",ISNUMBER(SEARCH($AS$73:$AZ$73,IFERROR(('Final Calculation Sheet'!$M$33)&amp;"","")))))&gt;0),IF(COUNTIF($BI$73:$BP$73,2)=0,TRUE,SUMPRODUCT(($BI$73:$BP$73=2)*($AS$73:$AZ$73&lt;&gt;"")*IF(((UPPER($AS$73:$AZ$73)="BLANK")+(UPPER($AS$73:$AZ$73)="(BLANK)")+(UPPER($AS$73:$AZ$73)="EMPTY")+(UPPER($AS$73:$AZ$73)="(EMPTY)"))&gt;0,IFERROR(('Final Calculation Sheet'!$M$33)&amp;"","")="",ISNUMBER(SEARCH($AS$73:$AZ$73,IFERROR(('Final Calculation Sheet'!$M$33)&amp;"","")))))&gt;0),IF(COUNTIF($BI$73:$BP$73,3)=0,TRUE,SUMPRODUCT(($BI$73:$BP$73=3)*($AS$73:$AZ$73&lt;&gt;"")*IF(((UPPER($AS$73:$AZ$73)="BLANK")+(UPPER($AS$73:$AZ$73)="(BLANK)")+(UPPER($AS$73:$AZ$73)="EMPTY")+(UPPER($AS$73:$AZ$73)="(EMPTY)"))&gt;0,IFERROR(('Final Calculation Sheet'!$M$33)&amp;"","")="",ISNUMBER(SEARCH($AS$73:$AZ$73,IFERROR(('Final Calculation Sheet'!$M$33)&amp;"","")))))&gt;0),IF(COUNTIF($BI$73:$BP$73,4)=0,TRUE,SUMPRODUCT(($BI$73:$BP$73=4)*($AS$73:$AZ$73&lt;&gt;"")*IF(((UPPER($AS$73:$AZ$73)="BLANK")+(UPPER($AS$73:$AZ$73)="(BLANK)")+(UPPER($AS$73:$AZ$73)="EMPTY")+(UPPER($AS$73:$AZ$73)="(EMPTY)"))&gt;0,IFERROR(('Final Calculation Sheet'!$M$33)&amp;"","")="",ISNUMBER(SEARCH($AS$73:$AZ$73,IFERROR(('Final Calculation Sheet'!$M$33)&amp;"","")))))&gt;0),IF(COUNTIF($BI$73:$BP$73,5)=0,TRUE,SUMPRODUCT(($BI$73:$BP$73=5)*($AS$73:$AZ$73&lt;&gt;"")*IF(((UPPER($AS$73:$AZ$73)="BLANK")+(UPPER($AS$73:$AZ$73)="(BLANK)")+(UPPER($AS$73:$AZ$73)="EMPTY")+(UPPER($AS$73:$AZ$73)="(EMPTY)"))&gt;0,IFERROR(('Final Calculation Sheet'!$M$33)&amp;"","")="",ISNUMBER(SEARCH($AS$73:$AZ$73,IFERROR(('Final Calculation Sheet'!$M$33)&amp;"","")))))&gt;0),IF(COUNTIF($BI$73:$BP$73,6)=0,TRUE,SUMPRODUCT(($BI$73:$BP$73=6)*($AS$73:$AZ$73&lt;&gt;"")*IF(((UPPER($AS$73:$AZ$73)="BLANK")+(UPPER($AS$73:$AZ$73)="(BLANK)")+(UPPER($AS$73:$AZ$73)="EMPTY")+(UPPER($AS$73:$AZ$73)="(EMPTY)"))&gt;0,IFERROR(('Final Calculation Sheet'!$M$33)&amp;"","")="",ISNUMBER(SEARCH($AS$73:$AZ$73,IFERROR(('Final Calculation Sheet'!$M$33)&amp;"","")))))&gt;0),IF(COUNTIF($BI$73:$BP$73,7)=0,TRUE,SUMPRODUCT(($BI$73:$BP$73=7)*($AS$73:$AZ$73&lt;&gt;"")*IF(((UPPER($AS$73:$AZ$73)="BLANK")+(UPPER($AS$73:$AZ$73)="(BLANK)")+(UPPER($AS$73:$AZ$73)="EMPTY")+(UPPER($AS$73:$AZ$73)="(EMPTY)"))&gt;0,IFERROR(('Final Calculation Sheet'!$M$33)&amp;"","")="",ISNUMBER(SEARCH($AS$73:$AZ$73,IFERROR(('Final Calculation Sheet'!$M$33)&amp;"","")))))&gt;0),IF(COUNTIF($BI$73:$BP$73,8)=0,TRUE,SUMPRODUCT(($BI$73:$BP$73=8)*($AS$73:$AZ$73&lt;&gt;"")*IF(((UPPER($AS$73:$AZ$73)="BLANK")+(UPPER($AS$73:$AZ$73)="(BLANK)")+(UPPER($AS$73:$AZ$73)="EMPTY")+(UPPER($AS$73:$AZ$73)="(EMPTY)"))&gt;0,IFERROR(('Final Calculation Sheet'!$M$33)&amp;"","")="",ISNUMBER(SEARCH($AS$73:$AZ$73,IFERROR(('Final Calculation Sheet'!$M$33)&amp;"","")))))&gt;0))))</f>
        <v>1</v>
      </c>
      <c r="CA34">
        <f>IF($O$4="",1,--(AND(SUMPRODUCT(--($AS$74:$AZ$74&lt;&gt;""))&gt;0,IF(COUNTIF($BI$74:$BP$74,1)=0,TRUE,SUMPRODUCT(($BI$74:$BP$74=1)*($AS$74:$AZ$74&lt;&gt;"")*IF(((UPPER($AS$74:$AZ$74)="BLANK")+(UPPER($AS$74:$AZ$74)="(BLANK)")+(UPPER($AS$74:$AZ$74)="EMPTY")+(UPPER($AS$74:$AZ$74)="(EMPTY)"))&gt;0,IFERROR(('Final Calculation Sheet'!$N$33)&amp;"","")="",ISNUMBER(SEARCH($AS$74:$AZ$74,IFERROR(('Final Calculation Sheet'!$N$33)&amp;"","")))))&gt;0),IF(COUNTIF($BI$74:$BP$74,2)=0,TRUE,SUMPRODUCT(($BI$74:$BP$74=2)*($AS$74:$AZ$74&lt;&gt;"")*IF(((UPPER($AS$74:$AZ$74)="BLANK")+(UPPER($AS$74:$AZ$74)="(BLANK)")+(UPPER($AS$74:$AZ$74)="EMPTY")+(UPPER($AS$74:$AZ$74)="(EMPTY)"))&gt;0,IFERROR(('Final Calculation Sheet'!$N$33)&amp;"","")="",ISNUMBER(SEARCH($AS$74:$AZ$74,IFERROR(('Final Calculation Sheet'!$N$33)&amp;"","")))))&gt;0),IF(COUNTIF($BI$74:$BP$74,3)=0,TRUE,SUMPRODUCT(($BI$74:$BP$74=3)*($AS$74:$AZ$74&lt;&gt;"")*IF(((UPPER($AS$74:$AZ$74)="BLANK")+(UPPER($AS$74:$AZ$74)="(BLANK)")+(UPPER($AS$74:$AZ$74)="EMPTY")+(UPPER($AS$74:$AZ$74)="(EMPTY)"))&gt;0,IFERROR(('Final Calculation Sheet'!$N$33)&amp;"","")="",ISNUMBER(SEARCH($AS$74:$AZ$74,IFERROR(('Final Calculation Sheet'!$N$33)&amp;"","")))))&gt;0),IF(COUNTIF($BI$74:$BP$74,4)=0,TRUE,SUMPRODUCT(($BI$74:$BP$74=4)*($AS$74:$AZ$74&lt;&gt;"")*IF(((UPPER($AS$74:$AZ$74)="BLANK")+(UPPER($AS$74:$AZ$74)="(BLANK)")+(UPPER($AS$74:$AZ$74)="EMPTY")+(UPPER($AS$74:$AZ$74)="(EMPTY)"))&gt;0,IFERROR(('Final Calculation Sheet'!$N$33)&amp;"","")="",ISNUMBER(SEARCH($AS$74:$AZ$74,IFERROR(('Final Calculation Sheet'!$N$33)&amp;"","")))))&gt;0),IF(COUNTIF($BI$74:$BP$74,5)=0,TRUE,SUMPRODUCT(($BI$74:$BP$74=5)*($AS$74:$AZ$74&lt;&gt;"")*IF(((UPPER($AS$74:$AZ$74)="BLANK")+(UPPER($AS$74:$AZ$74)="(BLANK)")+(UPPER($AS$74:$AZ$74)="EMPTY")+(UPPER($AS$74:$AZ$74)="(EMPTY)"))&gt;0,IFERROR(('Final Calculation Sheet'!$N$33)&amp;"","")="",ISNUMBER(SEARCH($AS$74:$AZ$74,IFERROR(('Final Calculation Sheet'!$N$33)&amp;"","")))))&gt;0),IF(COUNTIF($BI$74:$BP$74,6)=0,TRUE,SUMPRODUCT(($BI$74:$BP$74=6)*($AS$74:$AZ$74&lt;&gt;"")*IF(((UPPER($AS$74:$AZ$74)="BLANK")+(UPPER($AS$74:$AZ$74)="(BLANK)")+(UPPER($AS$74:$AZ$74)="EMPTY")+(UPPER($AS$74:$AZ$74)="(EMPTY)"))&gt;0,IFERROR(('Final Calculation Sheet'!$N$33)&amp;"","")="",ISNUMBER(SEARCH($AS$74:$AZ$74,IFERROR(('Final Calculation Sheet'!$N$33)&amp;"","")))))&gt;0),IF(COUNTIF($BI$74:$BP$74,7)=0,TRUE,SUMPRODUCT(($BI$74:$BP$74=7)*($AS$74:$AZ$74&lt;&gt;"")*IF(((UPPER($AS$74:$AZ$74)="BLANK")+(UPPER($AS$74:$AZ$74)="(BLANK)")+(UPPER($AS$74:$AZ$74)="EMPTY")+(UPPER($AS$74:$AZ$74)="(EMPTY)"))&gt;0,IFERROR(('Final Calculation Sheet'!$N$33)&amp;"","")="",ISNUMBER(SEARCH($AS$74:$AZ$74,IFERROR(('Final Calculation Sheet'!$N$33)&amp;"","")))))&gt;0),IF(COUNTIF($BI$74:$BP$74,8)=0,TRUE,SUMPRODUCT(($BI$74:$BP$74=8)*($AS$74:$AZ$74&lt;&gt;"")*IF(((UPPER($AS$74:$AZ$74)="BLANK")+(UPPER($AS$74:$AZ$74)="(BLANK)")+(UPPER($AS$74:$AZ$74)="EMPTY")+(UPPER($AS$74:$AZ$74)="(EMPTY)"))&gt;0,IFERROR(('Final Calculation Sheet'!$N$33)&amp;"","")="",ISNUMBER(SEARCH($AS$74:$AZ$74,IFERROR(('Final Calculation Sheet'!$N$33)&amp;"","")))))&gt;0))))</f>
        <v>1</v>
      </c>
      <c r="CB34">
        <f>IF($P$4="",1,--(AND(SUMPRODUCT(--($AS$75:$AZ$75&lt;&gt;""))&gt;0,IF(COUNTIF($BI$75:$BP$75,1)=0,TRUE,SUMPRODUCT(($BI$75:$BP$75=1)*($AS$75:$AZ$75&lt;&gt;"")*IF(((UPPER($AS$75:$AZ$75)="BLANK")+(UPPER($AS$75:$AZ$75)="(BLANK)")+(UPPER($AS$75:$AZ$75)="EMPTY")+(UPPER($AS$75:$AZ$75)="(EMPTY)"))&gt;0,IFERROR(('Final Calculation Sheet'!$O$33)&amp;"","")="",ISNUMBER(SEARCH($AS$75:$AZ$75,IFERROR(('Final Calculation Sheet'!$O$33)&amp;"","")))))&gt;0),IF(COUNTIF($BI$75:$BP$75,2)=0,TRUE,SUMPRODUCT(($BI$75:$BP$75=2)*($AS$75:$AZ$75&lt;&gt;"")*IF(((UPPER($AS$75:$AZ$75)="BLANK")+(UPPER($AS$75:$AZ$75)="(BLANK)")+(UPPER($AS$75:$AZ$75)="EMPTY")+(UPPER($AS$75:$AZ$75)="(EMPTY)"))&gt;0,IFERROR(('Final Calculation Sheet'!$O$33)&amp;"","")="",ISNUMBER(SEARCH($AS$75:$AZ$75,IFERROR(('Final Calculation Sheet'!$O$33)&amp;"","")))))&gt;0),IF(COUNTIF($BI$75:$BP$75,3)=0,TRUE,SUMPRODUCT(($BI$75:$BP$75=3)*($AS$75:$AZ$75&lt;&gt;"")*IF(((UPPER($AS$75:$AZ$75)="BLANK")+(UPPER($AS$75:$AZ$75)="(BLANK)")+(UPPER($AS$75:$AZ$75)="EMPTY")+(UPPER($AS$75:$AZ$75)="(EMPTY)"))&gt;0,IFERROR(('Final Calculation Sheet'!$O$33)&amp;"","")="",ISNUMBER(SEARCH($AS$75:$AZ$75,IFERROR(('Final Calculation Sheet'!$O$33)&amp;"","")))))&gt;0),IF(COUNTIF($BI$75:$BP$75,4)=0,TRUE,SUMPRODUCT(($BI$75:$BP$75=4)*($AS$75:$AZ$75&lt;&gt;"")*IF(((UPPER($AS$75:$AZ$75)="BLANK")+(UPPER($AS$75:$AZ$75)="(BLANK)")+(UPPER($AS$75:$AZ$75)="EMPTY")+(UPPER($AS$75:$AZ$75)="(EMPTY)"))&gt;0,IFERROR(('Final Calculation Sheet'!$O$33)&amp;"","")="",ISNUMBER(SEARCH($AS$75:$AZ$75,IFERROR(('Final Calculation Sheet'!$O$33)&amp;"","")))))&gt;0),IF(COUNTIF($BI$75:$BP$75,5)=0,TRUE,SUMPRODUCT(($BI$75:$BP$75=5)*($AS$75:$AZ$75&lt;&gt;"")*IF(((UPPER($AS$75:$AZ$75)="BLANK")+(UPPER($AS$75:$AZ$75)="(BLANK)")+(UPPER($AS$75:$AZ$75)="EMPTY")+(UPPER($AS$75:$AZ$75)="(EMPTY)"))&gt;0,IFERROR(('Final Calculation Sheet'!$O$33)&amp;"","")="",ISNUMBER(SEARCH($AS$75:$AZ$75,IFERROR(('Final Calculation Sheet'!$O$33)&amp;"","")))))&gt;0),IF(COUNTIF($BI$75:$BP$75,6)=0,TRUE,SUMPRODUCT(($BI$75:$BP$75=6)*($AS$75:$AZ$75&lt;&gt;"")*IF(((UPPER($AS$75:$AZ$75)="BLANK")+(UPPER($AS$75:$AZ$75)="(BLANK)")+(UPPER($AS$75:$AZ$75)="EMPTY")+(UPPER($AS$75:$AZ$75)="(EMPTY)"))&gt;0,IFERROR(('Final Calculation Sheet'!$O$33)&amp;"","")="",ISNUMBER(SEARCH($AS$75:$AZ$75,IFERROR(('Final Calculation Sheet'!$O$33)&amp;"","")))))&gt;0),IF(COUNTIF($BI$75:$BP$75,7)=0,TRUE,SUMPRODUCT(($BI$75:$BP$75=7)*($AS$75:$AZ$75&lt;&gt;"")*IF(((UPPER($AS$75:$AZ$75)="BLANK")+(UPPER($AS$75:$AZ$75)="(BLANK)")+(UPPER($AS$75:$AZ$75)="EMPTY")+(UPPER($AS$75:$AZ$75)="(EMPTY)"))&gt;0,IFERROR(('Final Calculation Sheet'!$O$33)&amp;"","")="",ISNUMBER(SEARCH($AS$75:$AZ$75,IFERROR(('Final Calculation Sheet'!$O$33)&amp;"","")))))&gt;0),IF(COUNTIF($BI$75:$BP$75,8)=0,TRUE,SUMPRODUCT(($BI$75:$BP$75=8)*($AS$75:$AZ$75&lt;&gt;"")*IF(((UPPER($AS$75:$AZ$75)="BLANK")+(UPPER($AS$75:$AZ$75)="(BLANK)")+(UPPER($AS$75:$AZ$75)="EMPTY")+(UPPER($AS$75:$AZ$75)="(EMPTY)"))&gt;0,IFERROR(('Final Calculation Sheet'!$O$33)&amp;"","")="",ISNUMBER(SEARCH($AS$75:$AZ$75,IFERROR(('Final Calculation Sheet'!$O$33)&amp;"","")))))&gt;0))))</f>
        <v>1</v>
      </c>
      <c r="CC34">
        <f>IF($Q$4="",1,--(AND(SUMPRODUCT(--($AS$76:$AZ$76&lt;&gt;""))&gt;0,IF(COUNTIF($BI$76:$BP$76,1)=0,TRUE,SUMPRODUCT(($BI$76:$BP$76=1)*($AS$76:$AZ$76&lt;&gt;"")*IF(((UPPER($AS$76:$AZ$76)="BLANK")+(UPPER($AS$76:$AZ$76)="(BLANK)")+(UPPER($AS$76:$AZ$76)="EMPTY")+(UPPER($AS$76:$AZ$76)="(EMPTY)"))&gt;0,IFERROR(('Final Calculation Sheet'!$P$33)&amp;"","")="",ISNUMBER(SEARCH($AS$76:$AZ$76,IFERROR(('Final Calculation Sheet'!$P$33)&amp;"","")))))&gt;0),IF(COUNTIF($BI$76:$BP$76,2)=0,TRUE,SUMPRODUCT(($BI$76:$BP$76=2)*($AS$76:$AZ$76&lt;&gt;"")*IF(((UPPER($AS$76:$AZ$76)="BLANK")+(UPPER($AS$76:$AZ$76)="(BLANK)")+(UPPER($AS$76:$AZ$76)="EMPTY")+(UPPER($AS$76:$AZ$76)="(EMPTY)"))&gt;0,IFERROR(('Final Calculation Sheet'!$P$33)&amp;"","")="",ISNUMBER(SEARCH($AS$76:$AZ$76,IFERROR(('Final Calculation Sheet'!$P$33)&amp;"","")))))&gt;0),IF(COUNTIF($BI$76:$BP$76,3)=0,TRUE,SUMPRODUCT(($BI$76:$BP$76=3)*($AS$76:$AZ$76&lt;&gt;"")*IF(((UPPER($AS$76:$AZ$76)="BLANK")+(UPPER($AS$76:$AZ$76)="(BLANK)")+(UPPER($AS$76:$AZ$76)="EMPTY")+(UPPER($AS$76:$AZ$76)="(EMPTY)"))&gt;0,IFERROR(('Final Calculation Sheet'!$P$33)&amp;"","")="",ISNUMBER(SEARCH($AS$76:$AZ$76,IFERROR(('Final Calculation Sheet'!$P$33)&amp;"","")))))&gt;0),IF(COUNTIF($BI$76:$BP$76,4)=0,TRUE,SUMPRODUCT(($BI$76:$BP$76=4)*($AS$76:$AZ$76&lt;&gt;"")*IF(((UPPER($AS$76:$AZ$76)="BLANK")+(UPPER($AS$76:$AZ$76)="(BLANK)")+(UPPER($AS$76:$AZ$76)="EMPTY")+(UPPER($AS$76:$AZ$76)="(EMPTY)"))&gt;0,IFERROR(('Final Calculation Sheet'!$P$33)&amp;"","")="",ISNUMBER(SEARCH($AS$76:$AZ$76,IFERROR(('Final Calculation Sheet'!$P$33)&amp;"","")))))&gt;0),IF(COUNTIF($BI$76:$BP$76,5)=0,TRUE,SUMPRODUCT(($BI$76:$BP$76=5)*($AS$76:$AZ$76&lt;&gt;"")*IF(((UPPER($AS$76:$AZ$76)="BLANK")+(UPPER($AS$76:$AZ$76)="(BLANK)")+(UPPER($AS$76:$AZ$76)="EMPTY")+(UPPER($AS$76:$AZ$76)="(EMPTY)"))&gt;0,IFERROR(('Final Calculation Sheet'!$P$33)&amp;"","")="",ISNUMBER(SEARCH($AS$76:$AZ$76,IFERROR(('Final Calculation Sheet'!$P$33)&amp;"","")))))&gt;0),IF(COUNTIF($BI$76:$BP$76,6)=0,TRUE,SUMPRODUCT(($BI$76:$BP$76=6)*($AS$76:$AZ$76&lt;&gt;"")*IF(((UPPER($AS$76:$AZ$76)="BLANK")+(UPPER($AS$76:$AZ$76)="(BLANK)")+(UPPER($AS$76:$AZ$76)="EMPTY")+(UPPER($AS$76:$AZ$76)="(EMPTY)"))&gt;0,IFERROR(('Final Calculation Sheet'!$P$33)&amp;"","")="",ISNUMBER(SEARCH($AS$76:$AZ$76,IFERROR(('Final Calculation Sheet'!$P$33)&amp;"","")))))&gt;0),IF(COUNTIF($BI$76:$BP$76,7)=0,TRUE,SUMPRODUCT(($BI$76:$BP$76=7)*($AS$76:$AZ$76&lt;&gt;"")*IF(((UPPER($AS$76:$AZ$76)="BLANK")+(UPPER($AS$76:$AZ$76)="(BLANK)")+(UPPER($AS$76:$AZ$76)="EMPTY")+(UPPER($AS$76:$AZ$76)="(EMPTY)"))&gt;0,IFERROR(('Final Calculation Sheet'!$P$33)&amp;"","")="",ISNUMBER(SEARCH($AS$76:$AZ$76,IFERROR(('Final Calculation Sheet'!$P$33)&amp;"","")))))&gt;0),IF(COUNTIF($BI$76:$BP$76,8)=0,TRUE,SUMPRODUCT(($BI$76:$BP$76=8)*($AS$76:$AZ$76&lt;&gt;"")*IF(((UPPER($AS$76:$AZ$76)="BLANK")+(UPPER($AS$76:$AZ$76)="(BLANK)")+(UPPER($AS$76:$AZ$76)="EMPTY")+(UPPER($AS$76:$AZ$76)="(EMPTY)"))&gt;0,IFERROR(('Final Calculation Sheet'!$P$33)&amp;"","")="",ISNUMBER(SEARCH($AS$76:$AZ$76,IFERROR(('Final Calculation Sheet'!$P$33)&amp;"","")))))&gt;0))))</f>
        <v>1</v>
      </c>
      <c r="CD34">
        <f>IF($R$4="",1,--(AND(SUMPRODUCT(--($AS$77:$AZ$77&lt;&gt;""))&gt;0,IF(COUNTIF($BI$77:$BP$77,1)=0,TRUE,SUMPRODUCT(($BI$77:$BP$77=1)*($AS$77:$AZ$77&lt;&gt;"")*IF(((UPPER($AS$77:$AZ$77)="BLANK")+(UPPER($AS$77:$AZ$77)="(BLANK)")+(UPPER($AS$77:$AZ$77)="EMPTY")+(UPPER($AS$77:$AZ$77)="(EMPTY)"))&gt;0,IFERROR(('Final Calculation Sheet'!$Q$33)&amp;"","")="",ISNUMBER(SEARCH($AS$77:$AZ$77,IFERROR(('Final Calculation Sheet'!$Q$33)&amp;"","")))))&gt;0),IF(COUNTIF($BI$77:$BP$77,2)=0,TRUE,SUMPRODUCT(($BI$77:$BP$77=2)*($AS$77:$AZ$77&lt;&gt;"")*IF(((UPPER($AS$77:$AZ$77)="BLANK")+(UPPER($AS$77:$AZ$77)="(BLANK)")+(UPPER($AS$77:$AZ$77)="EMPTY")+(UPPER($AS$77:$AZ$77)="(EMPTY)"))&gt;0,IFERROR(('Final Calculation Sheet'!$Q$33)&amp;"","")="",ISNUMBER(SEARCH($AS$77:$AZ$77,IFERROR(('Final Calculation Sheet'!$Q$33)&amp;"","")))))&gt;0),IF(COUNTIF($BI$77:$BP$77,3)=0,TRUE,SUMPRODUCT(($BI$77:$BP$77=3)*($AS$77:$AZ$77&lt;&gt;"")*IF(((UPPER($AS$77:$AZ$77)="BLANK")+(UPPER($AS$77:$AZ$77)="(BLANK)")+(UPPER($AS$77:$AZ$77)="EMPTY")+(UPPER($AS$77:$AZ$77)="(EMPTY)"))&gt;0,IFERROR(('Final Calculation Sheet'!$Q$33)&amp;"","")="",ISNUMBER(SEARCH($AS$77:$AZ$77,IFERROR(('Final Calculation Sheet'!$Q$33)&amp;"","")))))&gt;0),IF(COUNTIF($BI$77:$BP$77,4)=0,TRUE,SUMPRODUCT(($BI$77:$BP$77=4)*($AS$77:$AZ$77&lt;&gt;"")*IF(((UPPER($AS$77:$AZ$77)="BLANK")+(UPPER($AS$77:$AZ$77)="(BLANK)")+(UPPER($AS$77:$AZ$77)="EMPTY")+(UPPER($AS$77:$AZ$77)="(EMPTY)"))&gt;0,IFERROR(('Final Calculation Sheet'!$Q$33)&amp;"","")="",ISNUMBER(SEARCH($AS$77:$AZ$77,IFERROR(('Final Calculation Sheet'!$Q$33)&amp;"","")))))&gt;0),IF(COUNTIF($BI$77:$BP$77,5)=0,TRUE,SUMPRODUCT(($BI$77:$BP$77=5)*($AS$77:$AZ$77&lt;&gt;"")*IF(((UPPER($AS$77:$AZ$77)="BLANK")+(UPPER($AS$77:$AZ$77)="(BLANK)")+(UPPER($AS$77:$AZ$77)="EMPTY")+(UPPER($AS$77:$AZ$77)="(EMPTY)"))&gt;0,IFERROR(('Final Calculation Sheet'!$Q$33)&amp;"","")="",ISNUMBER(SEARCH($AS$77:$AZ$77,IFERROR(('Final Calculation Sheet'!$Q$33)&amp;"","")))))&gt;0),IF(COUNTIF($BI$77:$BP$77,6)=0,TRUE,SUMPRODUCT(($BI$77:$BP$77=6)*($AS$77:$AZ$77&lt;&gt;"")*IF(((UPPER($AS$77:$AZ$77)="BLANK")+(UPPER($AS$77:$AZ$77)="(BLANK)")+(UPPER($AS$77:$AZ$77)="EMPTY")+(UPPER($AS$77:$AZ$77)="(EMPTY)"))&gt;0,IFERROR(('Final Calculation Sheet'!$Q$33)&amp;"","")="",ISNUMBER(SEARCH($AS$77:$AZ$77,IFERROR(('Final Calculation Sheet'!$Q$33)&amp;"","")))))&gt;0),IF(COUNTIF($BI$77:$BP$77,7)=0,TRUE,SUMPRODUCT(($BI$77:$BP$77=7)*($AS$77:$AZ$77&lt;&gt;"")*IF(((UPPER($AS$77:$AZ$77)="BLANK")+(UPPER($AS$77:$AZ$77)="(BLANK)")+(UPPER($AS$77:$AZ$77)="EMPTY")+(UPPER($AS$77:$AZ$77)="(EMPTY)"))&gt;0,IFERROR(('Final Calculation Sheet'!$Q$33)&amp;"","")="",ISNUMBER(SEARCH($AS$77:$AZ$77,IFERROR(('Final Calculation Sheet'!$Q$33)&amp;"","")))))&gt;0),IF(COUNTIF($BI$77:$BP$77,8)=0,TRUE,SUMPRODUCT(($BI$77:$BP$77=8)*($AS$77:$AZ$77&lt;&gt;"")*IF(((UPPER($AS$77:$AZ$77)="BLANK")+(UPPER($AS$77:$AZ$77)="(BLANK)")+(UPPER($AS$77:$AZ$77)="EMPTY")+(UPPER($AS$77:$AZ$77)="(EMPTY)"))&gt;0,IFERROR(('Final Calculation Sheet'!$Q$33)&amp;"","")="",ISNUMBER(SEARCH($AS$77:$AZ$77,IFERROR(('Final Calculation Sheet'!$Q$33)&amp;"","")))))&gt;0))))</f>
        <v>1</v>
      </c>
      <c r="CE34">
        <f>IF($S$4="",1,--(AND(SUMPRODUCT(--($AS$78:$AZ$78&lt;&gt;""))&gt;0,IF(COUNTIF($BI$78:$BP$78,1)=0,TRUE,SUMPRODUCT(($BI$78:$BP$78=1)*($AS$78:$AZ$78&lt;&gt;"")*IF(((UPPER($AS$78:$AZ$78)="BLANK")+(UPPER($AS$78:$AZ$78)="(BLANK)")+(UPPER($AS$78:$AZ$78)="EMPTY")+(UPPER($AS$78:$AZ$78)="(EMPTY)"))&gt;0,IFERROR(('Final Calculation Sheet'!$R$33)&amp;"","")="",ISNUMBER(SEARCH($AS$78:$AZ$78,IFERROR(('Final Calculation Sheet'!$R$33)&amp;"","")))))&gt;0),IF(COUNTIF($BI$78:$BP$78,2)=0,TRUE,SUMPRODUCT(($BI$78:$BP$78=2)*($AS$78:$AZ$78&lt;&gt;"")*IF(((UPPER($AS$78:$AZ$78)="BLANK")+(UPPER($AS$78:$AZ$78)="(BLANK)")+(UPPER($AS$78:$AZ$78)="EMPTY")+(UPPER($AS$78:$AZ$78)="(EMPTY)"))&gt;0,IFERROR(('Final Calculation Sheet'!$R$33)&amp;"","")="",ISNUMBER(SEARCH($AS$78:$AZ$78,IFERROR(('Final Calculation Sheet'!$R$33)&amp;"","")))))&gt;0),IF(COUNTIF($BI$78:$BP$78,3)=0,TRUE,SUMPRODUCT(($BI$78:$BP$78=3)*($AS$78:$AZ$78&lt;&gt;"")*IF(((UPPER($AS$78:$AZ$78)="BLANK")+(UPPER($AS$78:$AZ$78)="(BLANK)")+(UPPER($AS$78:$AZ$78)="EMPTY")+(UPPER($AS$78:$AZ$78)="(EMPTY)"))&gt;0,IFERROR(('Final Calculation Sheet'!$R$33)&amp;"","")="",ISNUMBER(SEARCH($AS$78:$AZ$78,IFERROR(('Final Calculation Sheet'!$R$33)&amp;"","")))))&gt;0),IF(COUNTIF($BI$78:$BP$78,4)=0,TRUE,SUMPRODUCT(($BI$78:$BP$78=4)*($AS$78:$AZ$78&lt;&gt;"")*IF(((UPPER($AS$78:$AZ$78)="BLANK")+(UPPER($AS$78:$AZ$78)="(BLANK)")+(UPPER($AS$78:$AZ$78)="EMPTY")+(UPPER($AS$78:$AZ$78)="(EMPTY)"))&gt;0,IFERROR(('Final Calculation Sheet'!$R$33)&amp;"","")="",ISNUMBER(SEARCH($AS$78:$AZ$78,IFERROR(('Final Calculation Sheet'!$R$33)&amp;"","")))))&gt;0),IF(COUNTIF($BI$78:$BP$78,5)=0,TRUE,SUMPRODUCT(($BI$78:$BP$78=5)*($AS$78:$AZ$78&lt;&gt;"")*IF(((UPPER($AS$78:$AZ$78)="BLANK")+(UPPER($AS$78:$AZ$78)="(BLANK)")+(UPPER($AS$78:$AZ$78)="EMPTY")+(UPPER($AS$78:$AZ$78)="(EMPTY)"))&gt;0,IFERROR(('Final Calculation Sheet'!$R$33)&amp;"","")="",ISNUMBER(SEARCH($AS$78:$AZ$78,IFERROR(('Final Calculation Sheet'!$R$33)&amp;"","")))))&gt;0),IF(COUNTIF($BI$78:$BP$78,6)=0,TRUE,SUMPRODUCT(($BI$78:$BP$78=6)*($AS$78:$AZ$78&lt;&gt;"")*IF(((UPPER($AS$78:$AZ$78)="BLANK")+(UPPER($AS$78:$AZ$78)="(BLANK)")+(UPPER($AS$78:$AZ$78)="EMPTY")+(UPPER($AS$78:$AZ$78)="(EMPTY)"))&gt;0,IFERROR(('Final Calculation Sheet'!$R$33)&amp;"","")="",ISNUMBER(SEARCH($AS$78:$AZ$78,IFERROR(('Final Calculation Sheet'!$R$33)&amp;"","")))))&gt;0),IF(COUNTIF($BI$78:$BP$78,7)=0,TRUE,SUMPRODUCT(($BI$78:$BP$78=7)*($AS$78:$AZ$78&lt;&gt;"")*IF(((UPPER($AS$78:$AZ$78)="BLANK")+(UPPER($AS$78:$AZ$78)="(BLANK)")+(UPPER($AS$78:$AZ$78)="EMPTY")+(UPPER($AS$78:$AZ$78)="(EMPTY)"))&gt;0,IFERROR(('Final Calculation Sheet'!$R$33)&amp;"","")="",ISNUMBER(SEARCH($AS$78:$AZ$78,IFERROR(('Final Calculation Sheet'!$R$33)&amp;"","")))))&gt;0),IF(COUNTIF($BI$78:$BP$78,8)=0,TRUE,SUMPRODUCT(($BI$78:$BP$78=8)*($AS$78:$AZ$78&lt;&gt;"")*IF(((UPPER($AS$78:$AZ$78)="BLANK")+(UPPER($AS$78:$AZ$78)="(BLANK)")+(UPPER($AS$78:$AZ$78)="EMPTY")+(UPPER($AS$78:$AZ$78)="(EMPTY)"))&gt;0,IFERROR(('Final Calculation Sheet'!$R$33)&amp;"","")="",ISNUMBER(SEARCH($AS$78:$AZ$78,IFERROR(('Final Calculation Sheet'!$R$33)&amp;"","")))))&gt;0))))</f>
        <v>1</v>
      </c>
      <c r="CF34">
        <f>IF($T$4="",1,--(AND(SUMPRODUCT(--($AS$79:$AZ$79&lt;&gt;""))&gt;0,IF(COUNTIF($BI$79:$BP$79,1)=0,TRUE,SUMPRODUCT(($BI$79:$BP$79=1)*($AS$79:$AZ$79&lt;&gt;"")*IF(((UPPER($AS$79:$AZ$79)="BLANK")+(UPPER($AS$79:$AZ$79)="(BLANK)")+(UPPER($AS$79:$AZ$79)="EMPTY")+(UPPER($AS$79:$AZ$79)="(EMPTY)"))&gt;0,IFERROR(('Final Calculation Sheet'!$S$33)&amp;"","")="",ISNUMBER(SEARCH($AS$79:$AZ$79,IFERROR(('Final Calculation Sheet'!$S$33)&amp;"","")))))&gt;0),IF(COUNTIF($BI$79:$BP$79,2)=0,TRUE,SUMPRODUCT(($BI$79:$BP$79=2)*($AS$79:$AZ$79&lt;&gt;"")*IF(((UPPER($AS$79:$AZ$79)="BLANK")+(UPPER($AS$79:$AZ$79)="(BLANK)")+(UPPER($AS$79:$AZ$79)="EMPTY")+(UPPER($AS$79:$AZ$79)="(EMPTY)"))&gt;0,IFERROR(('Final Calculation Sheet'!$S$33)&amp;"","")="",ISNUMBER(SEARCH($AS$79:$AZ$79,IFERROR(('Final Calculation Sheet'!$S$33)&amp;"","")))))&gt;0),IF(COUNTIF($BI$79:$BP$79,3)=0,TRUE,SUMPRODUCT(($BI$79:$BP$79=3)*($AS$79:$AZ$79&lt;&gt;"")*IF(((UPPER($AS$79:$AZ$79)="BLANK")+(UPPER($AS$79:$AZ$79)="(BLANK)")+(UPPER($AS$79:$AZ$79)="EMPTY")+(UPPER($AS$79:$AZ$79)="(EMPTY)"))&gt;0,IFERROR(('Final Calculation Sheet'!$S$33)&amp;"","")="",ISNUMBER(SEARCH($AS$79:$AZ$79,IFERROR(('Final Calculation Sheet'!$S$33)&amp;"","")))))&gt;0),IF(COUNTIF($BI$79:$BP$79,4)=0,TRUE,SUMPRODUCT(($BI$79:$BP$79=4)*($AS$79:$AZ$79&lt;&gt;"")*IF(((UPPER($AS$79:$AZ$79)="BLANK")+(UPPER($AS$79:$AZ$79)="(BLANK)")+(UPPER($AS$79:$AZ$79)="EMPTY")+(UPPER($AS$79:$AZ$79)="(EMPTY)"))&gt;0,IFERROR(('Final Calculation Sheet'!$S$33)&amp;"","")="",ISNUMBER(SEARCH($AS$79:$AZ$79,IFERROR(('Final Calculation Sheet'!$S$33)&amp;"","")))))&gt;0),IF(COUNTIF($BI$79:$BP$79,5)=0,TRUE,SUMPRODUCT(($BI$79:$BP$79=5)*($AS$79:$AZ$79&lt;&gt;"")*IF(((UPPER($AS$79:$AZ$79)="BLANK")+(UPPER($AS$79:$AZ$79)="(BLANK)")+(UPPER($AS$79:$AZ$79)="EMPTY")+(UPPER($AS$79:$AZ$79)="(EMPTY)"))&gt;0,IFERROR(('Final Calculation Sheet'!$S$33)&amp;"","")="",ISNUMBER(SEARCH($AS$79:$AZ$79,IFERROR(('Final Calculation Sheet'!$S$33)&amp;"","")))))&gt;0),IF(COUNTIF($BI$79:$BP$79,6)=0,TRUE,SUMPRODUCT(($BI$79:$BP$79=6)*($AS$79:$AZ$79&lt;&gt;"")*IF(((UPPER($AS$79:$AZ$79)="BLANK")+(UPPER($AS$79:$AZ$79)="(BLANK)")+(UPPER($AS$79:$AZ$79)="EMPTY")+(UPPER($AS$79:$AZ$79)="(EMPTY)"))&gt;0,IFERROR(('Final Calculation Sheet'!$S$33)&amp;"","")="",ISNUMBER(SEARCH($AS$79:$AZ$79,IFERROR(('Final Calculation Sheet'!$S$33)&amp;"","")))))&gt;0),IF(COUNTIF($BI$79:$BP$79,7)=0,TRUE,SUMPRODUCT(($BI$79:$BP$79=7)*($AS$79:$AZ$79&lt;&gt;"")*IF(((UPPER($AS$79:$AZ$79)="BLANK")+(UPPER($AS$79:$AZ$79)="(BLANK)")+(UPPER($AS$79:$AZ$79)="EMPTY")+(UPPER($AS$79:$AZ$79)="(EMPTY)"))&gt;0,IFERROR(('Final Calculation Sheet'!$S$33)&amp;"","")="",ISNUMBER(SEARCH($AS$79:$AZ$79,IFERROR(('Final Calculation Sheet'!$S$33)&amp;"","")))))&gt;0),IF(COUNTIF($BI$79:$BP$79,8)=0,TRUE,SUMPRODUCT(($BI$79:$BP$79=8)*($AS$79:$AZ$79&lt;&gt;"")*IF(((UPPER($AS$79:$AZ$79)="BLANK")+(UPPER($AS$79:$AZ$79)="(BLANK)")+(UPPER($AS$79:$AZ$79)="EMPTY")+(UPPER($AS$79:$AZ$79)="(EMPTY)"))&gt;0,IFERROR(('Final Calculation Sheet'!$S$33)&amp;"","")="",ISNUMBER(SEARCH($AS$79:$AZ$79,IFERROR(('Final Calculation Sheet'!$S$33)&amp;"","")))))&gt;0))))</f>
        <v>1</v>
      </c>
      <c r="CG34">
        <f>IF($U$4="",1,--(AND(SUMPRODUCT(--($AS$80:$AZ$80&lt;&gt;""))&gt;0,IF(COUNTIF($BI$80:$BP$80,1)=0,TRUE,SUMPRODUCT(($BI$80:$BP$80=1)*($AS$80:$AZ$80&lt;&gt;"")*IF(((UPPER($AS$80:$AZ$80)="BLANK")+(UPPER($AS$80:$AZ$80)="(BLANK)")+(UPPER($AS$80:$AZ$80)="EMPTY")+(UPPER($AS$80:$AZ$80)="(EMPTY)"))&gt;0,IFERROR(('Final Calculation Sheet'!$T$33)&amp;"","")="",ISNUMBER(SEARCH($AS$80:$AZ$80,IFERROR(('Final Calculation Sheet'!$T$33)&amp;"","")))))&gt;0),IF(COUNTIF($BI$80:$BP$80,2)=0,TRUE,SUMPRODUCT(($BI$80:$BP$80=2)*($AS$80:$AZ$80&lt;&gt;"")*IF(((UPPER($AS$80:$AZ$80)="BLANK")+(UPPER($AS$80:$AZ$80)="(BLANK)")+(UPPER($AS$80:$AZ$80)="EMPTY")+(UPPER($AS$80:$AZ$80)="(EMPTY)"))&gt;0,IFERROR(('Final Calculation Sheet'!$T$33)&amp;"","")="",ISNUMBER(SEARCH($AS$80:$AZ$80,IFERROR(('Final Calculation Sheet'!$T$33)&amp;"","")))))&gt;0),IF(COUNTIF($BI$80:$BP$80,3)=0,TRUE,SUMPRODUCT(($BI$80:$BP$80=3)*($AS$80:$AZ$80&lt;&gt;"")*IF(((UPPER($AS$80:$AZ$80)="BLANK")+(UPPER($AS$80:$AZ$80)="(BLANK)")+(UPPER($AS$80:$AZ$80)="EMPTY")+(UPPER($AS$80:$AZ$80)="(EMPTY)"))&gt;0,IFERROR(('Final Calculation Sheet'!$T$33)&amp;"","")="",ISNUMBER(SEARCH($AS$80:$AZ$80,IFERROR(('Final Calculation Sheet'!$T$33)&amp;"","")))))&gt;0),IF(COUNTIF($BI$80:$BP$80,4)=0,TRUE,SUMPRODUCT(($BI$80:$BP$80=4)*($AS$80:$AZ$80&lt;&gt;"")*IF(((UPPER($AS$80:$AZ$80)="BLANK")+(UPPER($AS$80:$AZ$80)="(BLANK)")+(UPPER($AS$80:$AZ$80)="EMPTY")+(UPPER($AS$80:$AZ$80)="(EMPTY)"))&gt;0,IFERROR(('Final Calculation Sheet'!$T$33)&amp;"","")="",ISNUMBER(SEARCH($AS$80:$AZ$80,IFERROR(('Final Calculation Sheet'!$T$33)&amp;"","")))))&gt;0),IF(COUNTIF($BI$80:$BP$80,5)=0,TRUE,SUMPRODUCT(($BI$80:$BP$80=5)*($AS$80:$AZ$80&lt;&gt;"")*IF(((UPPER($AS$80:$AZ$80)="BLANK")+(UPPER($AS$80:$AZ$80)="(BLANK)")+(UPPER($AS$80:$AZ$80)="EMPTY")+(UPPER($AS$80:$AZ$80)="(EMPTY)"))&gt;0,IFERROR(('Final Calculation Sheet'!$T$33)&amp;"","")="",ISNUMBER(SEARCH($AS$80:$AZ$80,IFERROR(('Final Calculation Sheet'!$T$33)&amp;"","")))))&gt;0),IF(COUNTIF($BI$80:$BP$80,6)=0,TRUE,SUMPRODUCT(($BI$80:$BP$80=6)*($AS$80:$AZ$80&lt;&gt;"")*IF(((UPPER($AS$80:$AZ$80)="BLANK")+(UPPER($AS$80:$AZ$80)="(BLANK)")+(UPPER($AS$80:$AZ$80)="EMPTY")+(UPPER($AS$80:$AZ$80)="(EMPTY)"))&gt;0,IFERROR(('Final Calculation Sheet'!$T$33)&amp;"","")="",ISNUMBER(SEARCH($AS$80:$AZ$80,IFERROR(('Final Calculation Sheet'!$T$33)&amp;"","")))))&gt;0),IF(COUNTIF($BI$80:$BP$80,7)=0,TRUE,SUMPRODUCT(($BI$80:$BP$80=7)*($AS$80:$AZ$80&lt;&gt;"")*IF(((UPPER($AS$80:$AZ$80)="BLANK")+(UPPER($AS$80:$AZ$80)="(BLANK)")+(UPPER($AS$80:$AZ$80)="EMPTY")+(UPPER($AS$80:$AZ$80)="(EMPTY)"))&gt;0,IFERROR(('Final Calculation Sheet'!$T$33)&amp;"","")="",ISNUMBER(SEARCH($AS$80:$AZ$80,IFERROR(('Final Calculation Sheet'!$T$33)&amp;"","")))))&gt;0),IF(COUNTIF($BI$80:$BP$80,8)=0,TRUE,SUMPRODUCT(($BI$80:$BP$80=8)*($AS$80:$AZ$80&lt;&gt;"")*IF(((UPPER($AS$80:$AZ$80)="BLANK")+(UPPER($AS$80:$AZ$80)="(BLANK)")+(UPPER($AS$80:$AZ$80)="EMPTY")+(UPPER($AS$80:$AZ$80)="(EMPTY)"))&gt;0,IFERROR(('Final Calculation Sheet'!$T$33)&amp;"","")="",ISNUMBER(SEARCH($AS$80:$AZ$80,IFERROR(('Final Calculation Sheet'!$T$33)&amp;"","")))))&gt;0))))</f>
        <v>1</v>
      </c>
      <c r="CH34">
        <f>IF($V$4="",1,--(AND(SUMPRODUCT(--($AS$81:$AZ$81&lt;&gt;""))&gt;0,IF(COUNTIF($BI$81:$BP$81,1)=0,TRUE,SUMPRODUCT(($BI$81:$BP$81=1)*($AS$81:$AZ$81&lt;&gt;"")*IF(((UPPER($AS$81:$AZ$81)="BLANK")+(UPPER($AS$81:$AZ$81)="(BLANK)")+(UPPER($AS$81:$AZ$81)="EMPTY")+(UPPER($AS$81:$AZ$81)="(EMPTY)"))&gt;0,IFERROR(('Final Calculation Sheet'!$U$33)&amp;"","")="",ISNUMBER(SEARCH($AS$81:$AZ$81,IFERROR(('Final Calculation Sheet'!$U$33)&amp;"","")))))&gt;0),IF(COUNTIF($BI$81:$BP$81,2)=0,TRUE,SUMPRODUCT(($BI$81:$BP$81=2)*($AS$81:$AZ$81&lt;&gt;"")*IF(((UPPER($AS$81:$AZ$81)="BLANK")+(UPPER($AS$81:$AZ$81)="(BLANK)")+(UPPER($AS$81:$AZ$81)="EMPTY")+(UPPER($AS$81:$AZ$81)="(EMPTY)"))&gt;0,IFERROR(('Final Calculation Sheet'!$U$33)&amp;"","")="",ISNUMBER(SEARCH($AS$81:$AZ$81,IFERROR(('Final Calculation Sheet'!$U$33)&amp;"","")))))&gt;0),IF(COUNTIF($BI$81:$BP$81,3)=0,TRUE,SUMPRODUCT(($BI$81:$BP$81=3)*($AS$81:$AZ$81&lt;&gt;"")*IF(((UPPER($AS$81:$AZ$81)="BLANK")+(UPPER($AS$81:$AZ$81)="(BLANK)")+(UPPER($AS$81:$AZ$81)="EMPTY")+(UPPER($AS$81:$AZ$81)="(EMPTY)"))&gt;0,IFERROR(('Final Calculation Sheet'!$U$33)&amp;"","")="",ISNUMBER(SEARCH($AS$81:$AZ$81,IFERROR(('Final Calculation Sheet'!$U$33)&amp;"","")))))&gt;0),IF(COUNTIF($BI$81:$BP$81,4)=0,TRUE,SUMPRODUCT(($BI$81:$BP$81=4)*($AS$81:$AZ$81&lt;&gt;"")*IF(((UPPER($AS$81:$AZ$81)="BLANK")+(UPPER($AS$81:$AZ$81)="(BLANK)")+(UPPER($AS$81:$AZ$81)="EMPTY")+(UPPER($AS$81:$AZ$81)="(EMPTY)"))&gt;0,IFERROR(('Final Calculation Sheet'!$U$33)&amp;"","")="",ISNUMBER(SEARCH($AS$81:$AZ$81,IFERROR(('Final Calculation Sheet'!$U$33)&amp;"","")))))&gt;0),IF(COUNTIF($BI$81:$BP$81,5)=0,TRUE,SUMPRODUCT(($BI$81:$BP$81=5)*($AS$81:$AZ$81&lt;&gt;"")*IF(((UPPER($AS$81:$AZ$81)="BLANK")+(UPPER($AS$81:$AZ$81)="(BLANK)")+(UPPER($AS$81:$AZ$81)="EMPTY")+(UPPER($AS$81:$AZ$81)="(EMPTY)"))&gt;0,IFERROR(('Final Calculation Sheet'!$U$33)&amp;"","")="",ISNUMBER(SEARCH($AS$81:$AZ$81,IFERROR(('Final Calculation Sheet'!$U$33)&amp;"","")))))&gt;0),IF(COUNTIF($BI$81:$BP$81,6)=0,TRUE,SUMPRODUCT(($BI$81:$BP$81=6)*($AS$81:$AZ$81&lt;&gt;"")*IF(((UPPER($AS$81:$AZ$81)="BLANK")+(UPPER($AS$81:$AZ$81)="(BLANK)")+(UPPER($AS$81:$AZ$81)="EMPTY")+(UPPER($AS$81:$AZ$81)="(EMPTY)"))&gt;0,IFERROR(('Final Calculation Sheet'!$U$33)&amp;"","")="",ISNUMBER(SEARCH($AS$81:$AZ$81,IFERROR(('Final Calculation Sheet'!$U$33)&amp;"","")))))&gt;0),IF(COUNTIF($BI$81:$BP$81,7)=0,TRUE,SUMPRODUCT(($BI$81:$BP$81=7)*($AS$81:$AZ$81&lt;&gt;"")*IF(((UPPER($AS$81:$AZ$81)="BLANK")+(UPPER($AS$81:$AZ$81)="(BLANK)")+(UPPER($AS$81:$AZ$81)="EMPTY")+(UPPER($AS$81:$AZ$81)="(EMPTY)"))&gt;0,IFERROR(('Final Calculation Sheet'!$U$33)&amp;"","")="",ISNUMBER(SEARCH($AS$81:$AZ$81,IFERROR(('Final Calculation Sheet'!$U$33)&amp;"","")))))&gt;0),IF(COUNTIF($BI$81:$BP$81,8)=0,TRUE,SUMPRODUCT(($BI$81:$BP$81=8)*($AS$81:$AZ$81&lt;&gt;"")*IF(((UPPER($AS$81:$AZ$81)="BLANK")+(UPPER($AS$81:$AZ$81)="(BLANK)")+(UPPER($AS$81:$AZ$81)="EMPTY")+(UPPER($AS$81:$AZ$81)="(EMPTY)"))&gt;0,IFERROR(('Final Calculation Sheet'!$U$33)&amp;"","")="",ISNUMBER(SEARCH($AS$81:$AZ$81,IFERROR(('Final Calculation Sheet'!$U$33)&amp;"","")))))&gt;0))))</f>
        <v>1</v>
      </c>
      <c r="CI34">
        <f>IF($W$4="",1,--(AND(SUMPRODUCT(--($AS$82:$AZ$82&lt;&gt;""))&gt;0,IF(COUNTIF($BI$82:$BP$82,1)=0,TRUE,SUMPRODUCT(($BI$82:$BP$82=1)*($AS$82:$AZ$82&lt;&gt;"")*IF(((UPPER($AS$82:$AZ$82)="BLANK")+(UPPER($AS$82:$AZ$82)="(BLANK)")+(UPPER($AS$82:$AZ$82)="EMPTY")+(UPPER($AS$82:$AZ$82)="(EMPTY)"))&gt;0,IFERROR(('Final Calculation Sheet'!$V$33)&amp;"","")="",ISNUMBER(SEARCH($AS$82:$AZ$82,IFERROR(('Final Calculation Sheet'!$V$33)&amp;"","")))))&gt;0),IF(COUNTIF($BI$82:$BP$82,2)=0,TRUE,SUMPRODUCT(($BI$82:$BP$82=2)*($AS$82:$AZ$82&lt;&gt;"")*IF(((UPPER($AS$82:$AZ$82)="BLANK")+(UPPER($AS$82:$AZ$82)="(BLANK)")+(UPPER($AS$82:$AZ$82)="EMPTY")+(UPPER($AS$82:$AZ$82)="(EMPTY)"))&gt;0,IFERROR(('Final Calculation Sheet'!$V$33)&amp;"","")="",ISNUMBER(SEARCH($AS$82:$AZ$82,IFERROR(('Final Calculation Sheet'!$V$33)&amp;"","")))))&gt;0),IF(COUNTIF($BI$82:$BP$82,3)=0,TRUE,SUMPRODUCT(($BI$82:$BP$82=3)*($AS$82:$AZ$82&lt;&gt;"")*IF(((UPPER($AS$82:$AZ$82)="BLANK")+(UPPER($AS$82:$AZ$82)="(BLANK)")+(UPPER($AS$82:$AZ$82)="EMPTY")+(UPPER($AS$82:$AZ$82)="(EMPTY)"))&gt;0,IFERROR(('Final Calculation Sheet'!$V$33)&amp;"","")="",ISNUMBER(SEARCH($AS$82:$AZ$82,IFERROR(('Final Calculation Sheet'!$V$33)&amp;"","")))))&gt;0),IF(COUNTIF($BI$82:$BP$82,4)=0,TRUE,SUMPRODUCT(($BI$82:$BP$82=4)*($AS$82:$AZ$82&lt;&gt;"")*IF(((UPPER($AS$82:$AZ$82)="BLANK")+(UPPER($AS$82:$AZ$82)="(BLANK)")+(UPPER($AS$82:$AZ$82)="EMPTY")+(UPPER($AS$82:$AZ$82)="(EMPTY)"))&gt;0,IFERROR(('Final Calculation Sheet'!$V$33)&amp;"","")="",ISNUMBER(SEARCH($AS$82:$AZ$82,IFERROR(('Final Calculation Sheet'!$V$33)&amp;"","")))))&gt;0),IF(COUNTIF($BI$82:$BP$82,5)=0,TRUE,SUMPRODUCT(($BI$82:$BP$82=5)*($AS$82:$AZ$82&lt;&gt;"")*IF(((UPPER($AS$82:$AZ$82)="BLANK")+(UPPER($AS$82:$AZ$82)="(BLANK)")+(UPPER($AS$82:$AZ$82)="EMPTY")+(UPPER($AS$82:$AZ$82)="(EMPTY)"))&gt;0,IFERROR(('Final Calculation Sheet'!$V$33)&amp;"","")="",ISNUMBER(SEARCH($AS$82:$AZ$82,IFERROR(('Final Calculation Sheet'!$V$33)&amp;"","")))))&gt;0),IF(COUNTIF($BI$82:$BP$82,6)=0,TRUE,SUMPRODUCT(($BI$82:$BP$82=6)*($AS$82:$AZ$82&lt;&gt;"")*IF(((UPPER($AS$82:$AZ$82)="BLANK")+(UPPER($AS$82:$AZ$82)="(BLANK)")+(UPPER($AS$82:$AZ$82)="EMPTY")+(UPPER($AS$82:$AZ$82)="(EMPTY)"))&gt;0,IFERROR(('Final Calculation Sheet'!$V$33)&amp;"","")="",ISNUMBER(SEARCH($AS$82:$AZ$82,IFERROR(('Final Calculation Sheet'!$V$33)&amp;"","")))))&gt;0),IF(COUNTIF($BI$82:$BP$82,7)=0,TRUE,SUMPRODUCT(($BI$82:$BP$82=7)*($AS$82:$AZ$82&lt;&gt;"")*IF(((UPPER($AS$82:$AZ$82)="BLANK")+(UPPER($AS$82:$AZ$82)="(BLANK)")+(UPPER($AS$82:$AZ$82)="EMPTY")+(UPPER($AS$82:$AZ$82)="(EMPTY)"))&gt;0,IFERROR(('Final Calculation Sheet'!$V$33)&amp;"","")="",ISNUMBER(SEARCH($AS$82:$AZ$82,IFERROR(('Final Calculation Sheet'!$V$33)&amp;"","")))))&gt;0),IF(COUNTIF($BI$82:$BP$82,8)=0,TRUE,SUMPRODUCT(($BI$82:$BP$82=8)*($AS$82:$AZ$82&lt;&gt;"")*IF(((UPPER($AS$82:$AZ$82)="BLANK")+(UPPER($AS$82:$AZ$82)="(BLANK)")+(UPPER($AS$82:$AZ$82)="EMPTY")+(UPPER($AS$82:$AZ$82)="(EMPTY)"))&gt;0,IFERROR(('Final Calculation Sheet'!$V$33)&amp;"","")="",ISNUMBER(SEARCH($AS$82:$AZ$82,IFERROR(('Final Calculation Sheet'!$V$33)&amp;"","")))))&gt;0))))</f>
        <v>1</v>
      </c>
      <c r="CJ34">
        <f>IF($X$4="",1,--(AND(SUMPRODUCT(--($AS$83:$AZ$83&lt;&gt;""))&gt;0,IF(COUNTIF($BI$83:$BP$83,1)=0,TRUE,SUMPRODUCT(($BI$83:$BP$83=1)*($AS$83:$AZ$83&lt;&gt;"")*IF(((UPPER($AS$83:$AZ$83)="BLANK")+(UPPER($AS$83:$AZ$83)="(BLANK)")+(UPPER($AS$83:$AZ$83)="EMPTY")+(UPPER($AS$83:$AZ$83)="(EMPTY)"))&gt;0,IFERROR(('Final Calculation Sheet'!$W$33)&amp;"","")="",ISNUMBER(SEARCH($AS$83:$AZ$83,IFERROR(('Final Calculation Sheet'!$W$33)&amp;"","")))))&gt;0),IF(COUNTIF($BI$83:$BP$83,2)=0,TRUE,SUMPRODUCT(($BI$83:$BP$83=2)*($AS$83:$AZ$83&lt;&gt;"")*IF(((UPPER($AS$83:$AZ$83)="BLANK")+(UPPER($AS$83:$AZ$83)="(BLANK)")+(UPPER($AS$83:$AZ$83)="EMPTY")+(UPPER($AS$83:$AZ$83)="(EMPTY)"))&gt;0,IFERROR(('Final Calculation Sheet'!$W$33)&amp;"","")="",ISNUMBER(SEARCH($AS$83:$AZ$83,IFERROR(('Final Calculation Sheet'!$W$33)&amp;"","")))))&gt;0),IF(COUNTIF($BI$83:$BP$83,3)=0,TRUE,SUMPRODUCT(($BI$83:$BP$83=3)*($AS$83:$AZ$83&lt;&gt;"")*IF(((UPPER($AS$83:$AZ$83)="BLANK")+(UPPER($AS$83:$AZ$83)="(BLANK)")+(UPPER($AS$83:$AZ$83)="EMPTY")+(UPPER($AS$83:$AZ$83)="(EMPTY)"))&gt;0,IFERROR(('Final Calculation Sheet'!$W$33)&amp;"","")="",ISNUMBER(SEARCH($AS$83:$AZ$83,IFERROR(('Final Calculation Sheet'!$W$33)&amp;"","")))))&gt;0),IF(COUNTIF($BI$83:$BP$83,4)=0,TRUE,SUMPRODUCT(($BI$83:$BP$83=4)*($AS$83:$AZ$83&lt;&gt;"")*IF(((UPPER($AS$83:$AZ$83)="BLANK")+(UPPER($AS$83:$AZ$83)="(BLANK)")+(UPPER($AS$83:$AZ$83)="EMPTY")+(UPPER($AS$83:$AZ$83)="(EMPTY)"))&gt;0,IFERROR(('Final Calculation Sheet'!$W$33)&amp;"","")="",ISNUMBER(SEARCH($AS$83:$AZ$83,IFERROR(('Final Calculation Sheet'!$W$33)&amp;"","")))))&gt;0),IF(COUNTIF($BI$83:$BP$83,5)=0,TRUE,SUMPRODUCT(($BI$83:$BP$83=5)*($AS$83:$AZ$83&lt;&gt;"")*IF(((UPPER($AS$83:$AZ$83)="BLANK")+(UPPER($AS$83:$AZ$83)="(BLANK)")+(UPPER($AS$83:$AZ$83)="EMPTY")+(UPPER($AS$83:$AZ$83)="(EMPTY)"))&gt;0,IFERROR(('Final Calculation Sheet'!$W$33)&amp;"","")="",ISNUMBER(SEARCH($AS$83:$AZ$83,IFERROR(('Final Calculation Sheet'!$W$33)&amp;"","")))))&gt;0),IF(COUNTIF($BI$83:$BP$83,6)=0,TRUE,SUMPRODUCT(($BI$83:$BP$83=6)*($AS$83:$AZ$83&lt;&gt;"")*IF(((UPPER($AS$83:$AZ$83)="BLANK")+(UPPER($AS$83:$AZ$83)="(BLANK)")+(UPPER($AS$83:$AZ$83)="EMPTY")+(UPPER($AS$83:$AZ$83)="(EMPTY)"))&gt;0,IFERROR(('Final Calculation Sheet'!$W$33)&amp;"","")="",ISNUMBER(SEARCH($AS$83:$AZ$83,IFERROR(('Final Calculation Sheet'!$W$33)&amp;"","")))))&gt;0),IF(COUNTIF($BI$83:$BP$83,7)=0,TRUE,SUMPRODUCT(($BI$83:$BP$83=7)*($AS$83:$AZ$83&lt;&gt;"")*IF(((UPPER($AS$83:$AZ$83)="BLANK")+(UPPER($AS$83:$AZ$83)="(BLANK)")+(UPPER($AS$83:$AZ$83)="EMPTY")+(UPPER($AS$83:$AZ$83)="(EMPTY)"))&gt;0,IFERROR(('Final Calculation Sheet'!$W$33)&amp;"","")="",ISNUMBER(SEARCH($AS$83:$AZ$83,IFERROR(('Final Calculation Sheet'!$W$33)&amp;"","")))))&gt;0),IF(COUNTIF($BI$83:$BP$83,8)=0,TRUE,SUMPRODUCT(($BI$83:$BP$83=8)*($AS$83:$AZ$83&lt;&gt;"")*IF(((UPPER($AS$83:$AZ$83)="BLANK")+(UPPER($AS$83:$AZ$83)="(BLANK)")+(UPPER($AS$83:$AZ$83)="EMPTY")+(UPPER($AS$83:$AZ$83)="(EMPTY)"))&gt;0,IFERROR(('Final Calculation Sheet'!$W$33)&amp;"","")="",ISNUMBER(SEARCH($AS$83:$AZ$83,IFERROR(('Final Calculation Sheet'!$W$33)&amp;"","")))))&gt;0))))</f>
        <v>1</v>
      </c>
      <c r="CK34">
        <f>IF($Y$4="",1,--(AND(SUMPRODUCT(--($AS$84:$AZ$84&lt;&gt;""))&gt;0,IF(COUNTIF($BI$84:$BP$84,1)=0,TRUE,SUMPRODUCT(($BI$84:$BP$84=1)*($AS$84:$AZ$84&lt;&gt;"")*IF(((UPPER($AS$84:$AZ$84)="BLANK")+(UPPER($AS$84:$AZ$84)="(BLANK)")+(UPPER($AS$84:$AZ$84)="EMPTY")+(UPPER($AS$84:$AZ$84)="(EMPTY)"))&gt;0,IFERROR(('Final Calculation Sheet'!$X$33)&amp;"","")="",ISNUMBER(SEARCH($AS$84:$AZ$84,IFERROR(('Final Calculation Sheet'!$X$33)&amp;"","")))))&gt;0),IF(COUNTIF($BI$84:$BP$84,2)=0,TRUE,SUMPRODUCT(($BI$84:$BP$84=2)*($AS$84:$AZ$84&lt;&gt;"")*IF(((UPPER($AS$84:$AZ$84)="BLANK")+(UPPER($AS$84:$AZ$84)="(BLANK)")+(UPPER($AS$84:$AZ$84)="EMPTY")+(UPPER($AS$84:$AZ$84)="(EMPTY)"))&gt;0,IFERROR(('Final Calculation Sheet'!$X$33)&amp;"","")="",ISNUMBER(SEARCH($AS$84:$AZ$84,IFERROR(('Final Calculation Sheet'!$X$33)&amp;"","")))))&gt;0),IF(COUNTIF($BI$84:$BP$84,3)=0,TRUE,SUMPRODUCT(($BI$84:$BP$84=3)*($AS$84:$AZ$84&lt;&gt;"")*IF(((UPPER($AS$84:$AZ$84)="BLANK")+(UPPER($AS$84:$AZ$84)="(BLANK)")+(UPPER($AS$84:$AZ$84)="EMPTY")+(UPPER($AS$84:$AZ$84)="(EMPTY)"))&gt;0,IFERROR(('Final Calculation Sheet'!$X$33)&amp;"","")="",ISNUMBER(SEARCH($AS$84:$AZ$84,IFERROR(('Final Calculation Sheet'!$X$33)&amp;"","")))))&gt;0),IF(COUNTIF($BI$84:$BP$84,4)=0,TRUE,SUMPRODUCT(($BI$84:$BP$84=4)*($AS$84:$AZ$84&lt;&gt;"")*IF(((UPPER($AS$84:$AZ$84)="BLANK")+(UPPER($AS$84:$AZ$84)="(BLANK)")+(UPPER($AS$84:$AZ$84)="EMPTY")+(UPPER($AS$84:$AZ$84)="(EMPTY)"))&gt;0,IFERROR(('Final Calculation Sheet'!$X$33)&amp;"","")="",ISNUMBER(SEARCH($AS$84:$AZ$84,IFERROR(('Final Calculation Sheet'!$X$33)&amp;"","")))))&gt;0),IF(COUNTIF($BI$84:$BP$84,5)=0,TRUE,SUMPRODUCT(($BI$84:$BP$84=5)*($AS$84:$AZ$84&lt;&gt;"")*IF(((UPPER($AS$84:$AZ$84)="BLANK")+(UPPER($AS$84:$AZ$84)="(BLANK)")+(UPPER($AS$84:$AZ$84)="EMPTY")+(UPPER($AS$84:$AZ$84)="(EMPTY)"))&gt;0,IFERROR(('Final Calculation Sheet'!$X$33)&amp;"","")="",ISNUMBER(SEARCH($AS$84:$AZ$84,IFERROR(('Final Calculation Sheet'!$X$33)&amp;"","")))))&gt;0),IF(COUNTIF($BI$84:$BP$84,6)=0,TRUE,SUMPRODUCT(($BI$84:$BP$84=6)*($AS$84:$AZ$84&lt;&gt;"")*IF(((UPPER($AS$84:$AZ$84)="BLANK")+(UPPER($AS$84:$AZ$84)="(BLANK)")+(UPPER($AS$84:$AZ$84)="EMPTY")+(UPPER($AS$84:$AZ$84)="(EMPTY)"))&gt;0,IFERROR(('Final Calculation Sheet'!$X$33)&amp;"","")="",ISNUMBER(SEARCH($AS$84:$AZ$84,IFERROR(('Final Calculation Sheet'!$X$33)&amp;"","")))))&gt;0),IF(COUNTIF($BI$84:$BP$84,7)=0,TRUE,SUMPRODUCT(($BI$84:$BP$84=7)*($AS$84:$AZ$84&lt;&gt;"")*IF(((UPPER($AS$84:$AZ$84)="BLANK")+(UPPER($AS$84:$AZ$84)="(BLANK)")+(UPPER($AS$84:$AZ$84)="EMPTY")+(UPPER($AS$84:$AZ$84)="(EMPTY)"))&gt;0,IFERROR(('Final Calculation Sheet'!$X$33)&amp;"","")="",ISNUMBER(SEARCH($AS$84:$AZ$84,IFERROR(('Final Calculation Sheet'!$X$33)&amp;"","")))))&gt;0),IF(COUNTIF($BI$84:$BP$84,8)=0,TRUE,SUMPRODUCT(($BI$84:$BP$84=8)*($AS$84:$AZ$84&lt;&gt;"")*IF(((UPPER($AS$84:$AZ$84)="BLANK")+(UPPER($AS$84:$AZ$84)="(BLANK)")+(UPPER($AS$84:$AZ$84)="EMPTY")+(UPPER($AS$84:$AZ$84)="(EMPTY)"))&gt;0,IFERROR(('Final Calculation Sheet'!$X$33)&amp;"","")="",ISNUMBER(SEARCH($AS$84:$AZ$84,IFERROR(('Final Calculation Sheet'!$X$33)&amp;"","")))))&gt;0))))</f>
        <v>1</v>
      </c>
      <c r="CL34">
        <f>IF($Z$4="",1,--(AND(SUMPRODUCT(--($AS$85:$AZ$85&lt;&gt;""))&gt;0,IF(COUNTIF($BI$85:$BP$85,1)=0,TRUE,SUMPRODUCT(($BI$85:$BP$85=1)*($AS$85:$AZ$85&lt;&gt;"")*IF(((UPPER($AS$85:$AZ$85)="BLANK")+(UPPER($AS$85:$AZ$85)="(BLANK)")+(UPPER($AS$85:$AZ$85)="EMPTY")+(UPPER($AS$85:$AZ$85)="(EMPTY)"))&gt;0,IFERROR(('Final Calculation Sheet'!$Y$33)&amp;"","")="",ISNUMBER(SEARCH($AS$85:$AZ$85,IFERROR(('Final Calculation Sheet'!$Y$33)&amp;"","")))))&gt;0),IF(COUNTIF($BI$85:$BP$85,2)=0,TRUE,SUMPRODUCT(($BI$85:$BP$85=2)*($AS$85:$AZ$85&lt;&gt;"")*IF(((UPPER($AS$85:$AZ$85)="BLANK")+(UPPER($AS$85:$AZ$85)="(BLANK)")+(UPPER($AS$85:$AZ$85)="EMPTY")+(UPPER($AS$85:$AZ$85)="(EMPTY)"))&gt;0,IFERROR(('Final Calculation Sheet'!$Y$33)&amp;"","")="",ISNUMBER(SEARCH($AS$85:$AZ$85,IFERROR(('Final Calculation Sheet'!$Y$33)&amp;"","")))))&gt;0),IF(COUNTIF($BI$85:$BP$85,3)=0,TRUE,SUMPRODUCT(($BI$85:$BP$85=3)*($AS$85:$AZ$85&lt;&gt;"")*IF(((UPPER($AS$85:$AZ$85)="BLANK")+(UPPER($AS$85:$AZ$85)="(BLANK)")+(UPPER($AS$85:$AZ$85)="EMPTY")+(UPPER($AS$85:$AZ$85)="(EMPTY)"))&gt;0,IFERROR(('Final Calculation Sheet'!$Y$33)&amp;"","")="",ISNUMBER(SEARCH($AS$85:$AZ$85,IFERROR(('Final Calculation Sheet'!$Y$33)&amp;"","")))))&gt;0),IF(COUNTIF($BI$85:$BP$85,4)=0,TRUE,SUMPRODUCT(($BI$85:$BP$85=4)*($AS$85:$AZ$85&lt;&gt;"")*IF(((UPPER($AS$85:$AZ$85)="BLANK")+(UPPER($AS$85:$AZ$85)="(BLANK)")+(UPPER($AS$85:$AZ$85)="EMPTY")+(UPPER($AS$85:$AZ$85)="(EMPTY)"))&gt;0,IFERROR(('Final Calculation Sheet'!$Y$33)&amp;"","")="",ISNUMBER(SEARCH($AS$85:$AZ$85,IFERROR(('Final Calculation Sheet'!$Y$33)&amp;"","")))))&gt;0),IF(COUNTIF($BI$85:$BP$85,5)=0,TRUE,SUMPRODUCT(($BI$85:$BP$85=5)*($AS$85:$AZ$85&lt;&gt;"")*IF(((UPPER($AS$85:$AZ$85)="BLANK")+(UPPER($AS$85:$AZ$85)="(BLANK)")+(UPPER($AS$85:$AZ$85)="EMPTY")+(UPPER($AS$85:$AZ$85)="(EMPTY)"))&gt;0,IFERROR(('Final Calculation Sheet'!$Y$33)&amp;"","")="",ISNUMBER(SEARCH($AS$85:$AZ$85,IFERROR(('Final Calculation Sheet'!$Y$33)&amp;"","")))))&gt;0),IF(COUNTIF($BI$85:$BP$85,6)=0,TRUE,SUMPRODUCT(($BI$85:$BP$85=6)*($AS$85:$AZ$85&lt;&gt;"")*IF(((UPPER($AS$85:$AZ$85)="BLANK")+(UPPER($AS$85:$AZ$85)="(BLANK)")+(UPPER($AS$85:$AZ$85)="EMPTY")+(UPPER($AS$85:$AZ$85)="(EMPTY)"))&gt;0,IFERROR(('Final Calculation Sheet'!$Y$33)&amp;"","")="",ISNUMBER(SEARCH($AS$85:$AZ$85,IFERROR(('Final Calculation Sheet'!$Y$33)&amp;"","")))))&gt;0),IF(COUNTIF($BI$85:$BP$85,7)=0,TRUE,SUMPRODUCT(($BI$85:$BP$85=7)*($AS$85:$AZ$85&lt;&gt;"")*IF(((UPPER($AS$85:$AZ$85)="BLANK")+(UPPER($AS$85:$AZ$85)="(BLANK)")+(UPPER($AS$85:$AZ$85)="EMPTY")+(UPPER($AS$85:$AZ$85)="(EMPTY)"))&gt;0,IFERROR(('Final Calculation Sheet'!$Y$33)&amp;"","")="",ISNUMBER(SEARCH($AS$85:$AZ$85,IFERROR(('Final Calculation Sheet'!$Y$33)&amp;"","")))))&gt;0),IF(COUNTIF($BI$85:$BP$85,8)=0,TRUE,SUMPRODUCT(($BI$85:$BP$85=8)*($AS$85:$AZ$85&lt;&gt;"")*IF(((UPPER($AS$85:$AZ$85)="BLANK")+(UPPER($AS$85:$AZ$85)="(BLANK)")+(UPPER($AS$85:$AZ$85)="EMPTY")+(UPPER($AS$85:$AZ$85)="(EMPTY)"))&gt;0,IFERROR(('Final Calculation Sheet'!$Y$33)&amp;"","")="",ISNUMBER(SEARCH($AS$85:$AZ$85,IFERROR(('Final Calculation Sheet'!$Y$33)&amp;"","")))))&gt;0))))</f>
        <v>1</v>
      </c>
      <c r="CM34">
        <f>IF($AA$4="",1,--(AND(SUMPRODUCT(--($AS$86:$AZ$86&lt;&gt;""))&gt;0,IF(COUNTIF($BI$86:$BP$86,1)=0,TRUE,SUMPRODUCT(($BI$86:$BP$86=1)*($AS$86:$AZ$86&lt;&gt;"")*IF(((UPPER($AS$86:$AZ$86)="BLANK")+(UPPER($AS$86:$AZ$86)="(BLANK)")+(UPPER($AS$86:$AZ$86)="EMPTY")+(UPPER($AS$86:$AZ$86)="(EMPTY)"))&gt;0,IFERROR(('Final Calculation Sheet'!$Z$33)&amp;"","")="",ISNUMBER(SEARCH($AS$86:$AZ$86,IFERROR(('Final Calculation Sheet'!$Z$33)&amp;"","")))))&gt;0),IF(COUNTIF($BI$86:$BP$86,2)=0,TRUE,SUMPRODUCT(($BI$86:$BP$86=2)*($AS$86:$AZ$86&lt;&gt;"")*IF(((UPPER($AS$86:$AZ$86)="BLANK")+(UPPER($AS$86:$AZ$86)="(BLANK)")+(UPPER($AS$86:$AZ$86)="EMPTY")+(UPPER($AS$86:$AZ$86)="(EMPTY)"))&gt;0,IFERROR(('Final Calculation Sheet'!$Z$33)&amp;"","")="",ISNUMBER(SEARCH($AS$86:$AZ$86,IFERROR(('Final Calculation Sheet'!$Z$33)&amp;"","")))))&gt;0),IF(COUNTIF($BI$86:$BP$86,3)=0,TRUE,SUMPRODUCT(($BI$86:$BP$86=3)*($AS$86:$AZ$86&lt;&gt;"")*IF(((UPPER($AS$86:$AZ$86)="BLANK")+(UPPER($AS$86:$AZ$86)="(BLANK)")+(UPPER($AS$86:$AZ$86)="EMPTY")+(UPPER($AS$86:$AZ$86)="(EMPTY)"))&gt;0,IFERROR(('Final Calculation Sheet'!$Z$33)&amp;"","")="",ISNUMBER(SEARCH($AS$86:$AZ$86,IFERROR(('Final Calculation Sheet'!$Z$33)&amp;"","")))))&gt;0),IF(COUNTIF($BI$86:$BP$86,4)=0,TRUE,SUMPRODUCT(($BI$86:$BP$86=4)*($AS$86:$AZ$86&lt;&gt;"")*IF(((UPPER($AS$86:$AZ$86)="BLANK")+(UPPER($AS$86:$AZ$86)="(BLANK)")+(UPPER($AS$86:$AZ$86)="EMPTY")+(UPPER($AS$86:$AZ$86)="(EMPTY)"))&gt;0,IFERROR(('Final Calculation Sheet'!$Z$33)&amp;"","")="",ISNUMBER(SEARCH($AS$86:$AZ$86,IFERROR(('Final Calculation Sheet'!$Z$33)&amp;"","")))))&gt;0),IF(COUNTIF($BI$86:$BP$86,5)=0,TRUE,SUMPRODUCT(($BI$86:$BP$86=5)*($AS$86:$AZ$86&lt;&gt;"")*IF(((UPPER($AS$86:$AZ$86)="BLANK")+(UPPER($AS$86:$AZ$86)="(BLANK)")+(UPPER($AS$86:$AZ$86)="EMPTY")+(UPPER($AS$86:$AZ$86)="(EMPTY)"))&gt;0,IFERROR(('Final Calculation Sheet'!$Z$33)&amp;"","")="",ISNUMBER(SEARCH($AS$86:$AZ$86,IFERROR(('Final Calculation Sheet'!$Z$33)&amp;"","")))))&gt;0),IF(COUNTIF($BI$86:$BP$86,6)=0,TRUE,SUMPRODUCT(($BI$86:$BP$86=6)*($AS$86:$AZ$86&lt;&gt;"")*IF(((UPPER($AS$86:$AZ$86)="BLANK")+(UPPER($AS$86:$AZ$86)="(BLANK)")+(UPPER($AS$86:$AZ$86)="EMPTY")+(UPPER($AS$86:$AZ$86)="(EMPTY)"))&gt;0,IFERROR(('Final Calculation Sheet'!$Z$33)&amp;"","")="",ISNUMBER(SEARCH($AS$86:$AZ$86,IFERROR(('Final Calculation Sheet'!$Z$33)&amp;"","")))))&gt;0),IF(COUNTIF($BI$86:$BP$86,7)=0,TRUE,SUMPRODUCT(($BI$86:$BP$86=7)*($AS$86:$AZ$86&lt;&gt;"")*IF(((UPPER($AS$86:$AZ$86)="BLANK")+(UPPER($AS$86:$AZ$86)="(BLANK)")+(UPPER($AS$86:$AZ$86)="EMPTY")+(UPPER($AS$86:$AZ$86)="(EMPTY)"))&gt;0,IFERROR(('Final Calculation Sheet'!$Z$33)&amp;"","")="",ISNUMBER(SEARCH($AS$86:$AZ$86,IFERROR(('Final Calculation Sheet'!$Z$33)&amp;"","")))))&gt;0),IF(COUNTIF($BI$86:$BP$86,8)=0,TRUE,SUMPRODUCT(($BI$86:$BP$86=8)*($AS$86:$AZ$86&lt;&gt;"")*IF(((UPPER($AS$86:$AZ$86)="BLANK")+(UPPER($AS$86:$AZ$86)="(BLANK)")+(UPPER($AS$86:$AZ$86)="EMPTY")+(UPPER($AS$86:$AZ$86)="(EMPTY)"))&gt;0,IFERROR(('Final Calculation Sheet'!$Z$33)&amp;"","")="",ISNUMBER(SEARCH($AS$86:$AZ$86,IFERROR(('Final Calculation Sheet'!$Z$33)&amp;"","")))))&gt;0))))</f>
        <v>1</v>
      </c>
      <c r="CN34">
        <f>IF($AB$4="",1,--(AND(SUMPRODUCT(--($AS$87:$AZ$87&lt;&gt;""))&gt;0,IF(COUNTIF($BI$87:$BP$87,1)=0,TRUE,SUMPRODUCT(($BI$87:$BP$87=1)*($AS$87:$AZ$87&lt;&gt;"")*IF(((UPPER($AS$87:$AZ$87)="BLANK")+(UPPER($AS$87:$AZ$87)="(BLANK)")+(UPPER($AS$87:$AZ$87)="EMPTY")+(UPPER($AS$87:$AZ$87)="(EMPTY)"))&gt;0,IFERROR(('Final Calculation Sheet'!$AA$33)&amp;"","")="",ISNUMBER(SEARCH($AS$87:$AZ$87,IFERROR(('Final Calculation Sheet'!$AA$33)&amp;"","")))))&gt;0),IF(COUNTIF($BI$87:$BP$87,2)=0,TRUE,SUMPRODUCT(($BI$87:$BP$87=2)*($AS$87:$AZ$87&lt;&gt;"")*IF(((UPPER($AS$87:$AZ$87)="BLANK")+(UPPER($AS$87:$AZ$87)="(BLANK)")+(UPPER($AS$87:$AZ$87)="EMPTY")+(UPPER($AS$87:$AZ$87)="(EMPTY)"))&gt;0,IFERROR(('Final Calculation Sheet'!$AA$33)&amp;"","")="",ISNUMBER(SEARCH($AS$87:$AZ$87,IFERROR(('Final Calculation Sheet'!$AA$33)&amp;"","")))))&gt;0),IF(COUNTIF($BI$87:$BP$87,3)=0,TRUE,SUMPRODUCT(($BI$87:$BP$87=3)*($AS$87:$AZ$87&lt;&gt;"")*IF(((UPPER($AS$87:$AZ$87)="BLANK")+(UPPER($AS$87:$AZ$87)="(BLANK)")+(UPPER($AS$87:$AZ$87)="EMPTY")+(UPPER($AS$87:$AZ$87)="(EMPTY)"))&gt;0,IFERROR(('Final Calculation Sheet'!$AA$33)&amp;"","")="",ISNUMBER(SEARCH($AS$87:$AZ$87,IFERROR(('Final Calculation Sheet'!$AA$33)&amp;"","")))))&gt;0),IF(COUNTIF($BI$87:$BP$87,4)=0,TRUE,SUMPRODUCT(($BI$87:$BP$87=4)*($AS$87:$AZ$87&lt;&gt;"")*IF(((UPPER($AS$87:$AZ$87)="BLANK")+(UPPER($AS$87:$AZ$87)="(BLANK)")+(UPPER($AS$87:$AZ$87)="EMPTY")+(UPPER($AS$87:$AZ$87)="(EMPTY)"))&gt;0,IFERROR(('Final Calculation Sheet'!$AA$33)&amp;"","")="",ISNUMBER(SEARCH($AS$87:$AZ$87,IFERROR(('Final Calculation Sheet'!$AA$33)&amp;"","")))))&gt;0),IF(COUNTIF($BI$87:$BP$87,5)=0,TRUE,SUMPRODUCT(($BI$87:$BP$87=5)*($AS$87:$AZ$87&lt;&gt;"")*IF(((UPPER($AS$87:$AZ$87)="BLANK")+(UPPER($AS$87:$AZ$87)="(BLANK)")+(UPPER($AS$87:$AZ$87)="EMPTY")+(UPPER($AS$87:$AZ$87)="(EMPTY)"))&gt;0,IFERROR(('Final Calculation Sheet'!$AA$33)&amp;"","")="",ISNUMBER(SEARCH($AS$87:$AZ$87,IFERROR(('Final Calculation Sheet'!$AA$33)&amp;"","")))))&gt;0),IF(COUNTIF($BI$87:$BP$87,6)=0,TRUE,SUMPRODUCT(($BI$87:$BP$87=6)*($AS$87:$AZ$87&lt;&gt;"")*IF(((UPPER($AS$87:$AZ$87)="BLANK")+(UPPER($AS$87:$AZ$87)="(BLANK)")+(UPPER($AS$87:$AZ$87)="EMPTY")+(UPPER($AS$87:$AZ$87)="(EMPTY)"))&gt;0,IFERROR(('Final Calculation Sheet'!$AA$33)&amp;"","")="",ISNUMBER(SEARCH($AS$87:$AZ$87,IFERROR(('Final Calculation Sheet'!$AA$33)&amp;"","")))))&gt;0),IF(COUNTIF($BI$87:$BP$87,7)=0,TRUE,SUMPRODUCT(($BI$87:$BP$87=7)*($AS$87:$AZ$87&lt;&gt;"")*IF(((UPPER($AS$87:$AZ$87)="BLANK")+(UPPER($AS$87:$AZ$87)="(BLANK)")+(UPPER($AS$87:$AZ$87)="EMPTY")+(UPPER($AS$87:$AZ$87)="(EMPTY)"))&gt;0,IFERROR(('Final Calculation Sheet'!$AA$33)&amp;"","")="",ISNUMBER(SEARCH($AS$87:$AZ$87,IFERROR(('Final Calculation Sheet'!$AA$33)&amp;"","")))))&gt;0),IF(COUNTIF($BI$87:$BP$87,8)=0,TRUE,SUMPRODUCT(($BI$87:$BP$87=8)*($AS$87:$AZ$87&lt;&gt;"")*IF(((UPPER($AS$87:$AZ$87)="BLANK")+(UPPER($AS$87:$AZ$87)="(BLANK)")+(UPPER($AS$87:$AZ$87)="EMPTY")+(UPPER($AS$87:$AZ$87)="(EMPTY)"))&gt;0,IFERROR(('Final Calculation Sheet'!$AA$33)&amp;"","")="",ISNUMBER(SEARCH($AS$87:$AZ$87,IFERROR(('Final Calculation Sheet'!$AA$33)&amp;"","")))))&gt;0))))</f>
        <v>1</v>
      </c>
      <c r="CO34">
        <f>IF($AC$4="",1,--(AND(SUMPRODUCT(--($AS$88:$AZ$88&lt;&gt;""))&gt;0,IF(COUNTIF($BI$88:$BP$88,1)=0,TRUE,SUMPRODUCT(($BI$88:$BP$88=1)*($AS$88:$AZ$88&lt;&gt;"")*IF(((UPPER($AS$88:$AZ$88)="BLANK")+(UPPER($AS$88:$AZ$88)="(BLANK)")+(UPPER($AS$88:$AZ$88)="EMPTY")+(UPPER($AS$88:$AZ$88)="(EMPTY)"))&gt;0,IFERROR(('Final Calculation Sheet'!$AB$33)&amp;"","")="",ISNUMBER(SEARCH($AS$88:$AZ$88,IFERROR(('Final Calculation Sheet'!$AB$33)&amp;"","")))))&gt;0),IF(COUNTIF($BI$88:$BP$88,2)=0,TRUE,SUMPRODUCT(($BI$88:$BP$88=2)*($AS$88:$AZ$88&lt;&gt;"")*IF(((UPPER($AS$88:$AZ$88)="BLANK")+(UPPER($AS$88:$AZ$88)="(BLANK)")+(UPPER($AS$88:$AZ$88)="EMPTY")+(UPPER($AS$88:$AZ$88)="(EMPTY)"))&gt;0,IFERROR(('Final Calculation Sheet'!$AB$33)&amp;"","")="",ISNUMBER(SEARCH($AS$88:$AZ$88,IFERROR(('Final Calculation Sheet'!$AB$33)&amp;"","")))))&gt;0),IF(COUNTIF($BI$88:$BP$88,3)=0,TRUE,SUMPRODUCT(($BI$88:$BP$88=3)*($AS$88:$AZ$88&lt;&gt;"")*IF(((UPPER($AS$88:$AZ$88)="BLANK")+(UPPER($AS$88:$AZ$88)="(BLANK)")+(UPPER($AS$88:$AZ$88)="EMPTY")+(UPPER($AS$88:$AZ$88)="(EMPTY)"))&gt;0,IFERROR(('Final Calculation Sheet'!$AB$33)&amp;"","")="",ISNUMBER(SEARCH($AS$88:$AZ$88,IFERROR(('Final Calculation Sheet'!$AB$33)&amp;"","")))))&gt;0),IF(COUNTIF($BI$88:$BP$88,4)=0,TRUE,SUMPRODUCT(($BI$88:$BP$88=4)*($AS$88:$AZ$88&lt;&gt;"")*IF(((UPPER($AS$88:$AZ$88)="BLANK")+(UPPER($AS$88:$AZ$88)="(BLANK)")+(UPPER($AS$88:$AZ$88)="EMPTY")+(UPPER($AS$88:$AZ$88)="(EMPTY)"))&gt;0,IFERROR(('Final Calculation Sheet'!$AB$33)&amp;"","")="",ISNUMBER(SEARCH($AS$88:$AZ$88,IFERROR(('Final Calculation Sheet'!$AB$33)&amp;"","")))))&gt;0),IF(COUNTIF($BI$88:$BP$88,5)=0,TRUE,SUMPRODUCT(($BI$88:$BP$88=5)*($AS$88:$AZ$88&lt;&gt;"")*IF(((UPPER($AS$88:$AZ$88)="BLANK")+(UPPER($AS$88:$AZ$88)="(BLANK)")+(UPPER($AS$88:$AZ$88)="EMPTY")+(UPPER($AS$88:$AZ$88)="(EMPTY)"))&gt;0,IFERROR(('Final Calculation Sheet'!$AB$33)&amp;"","")="",ISNUMBER(SEARCH($AS$88:$AZ$88,IFERROR(('Final Calculation Sheet'!$AB$33)&amp;"","")))))&gt;0),IF(COUNTIF($BI$88:$BP$88,6)=0,TRUE,SUMPRODUCT(($BI$88:$BP$88=6)*($AS$88:$AZ$88&lt;&gt;"")*IF(((UPPER($AS$88:$AZ$88)="BLANK")+(UPPER($AS$88:$AZ$88)="(BLANK)")+(UPPER($AS$88:$AZ$88)="EMPTY")+(UPPER($AS$88:$AZ$88)="(EMPTY)"))&gt;0,IFERROR(('Final Calculation Sheet'!$AB$33)&amp;"","")="",ISNUMBER(SEARCH($AS$88:$AZ$88,IFERROR(('Final Calculation Sheet'!$AB$33)&amp;"","")))))&gt;0),IF(COUNTIF($BI$88:$BP$88,7)=0,TRUE,SUMPRODUCT(($BI$88:$BP$88=7)*($AS$88:$AZ$88&lt;&gt;"")*IF(((UPPER($AS$88:$AZ$88)="BLANK")+(UPPER($AS$88:$AZ$88)="(BLANK)")+(UPPER($AS$88:$AZ$88)="EMPTY")+(UPPER($AS$88:$AZ$88)="(EMPTY)"))&gt;0,IFERROR(('Final Calculation Sheet'!$AB$33)&amp;"","")="",ISNUMBER(SEARCH($AS$88:$AZ$88,IFERROR(('Final Calculation Sheet'!$AB$33)&amp;"","")))))&gt;0),IF(COUNTIF($BI$88:$BP$88,8)=0,TRUE,SUMPRODUCT(($BI$88:$BP$88=8)*($AS$88:$AZ$88&lt;&gt;"")*IF(((UPPER($AS$88:$AZ$88)="BLANK")+(UPPER($AS$88:$AZ$88)="(BLANK)")+(UPPER($AS$88:$AZ$88)="EMPTY")+(UPPER($AS$88:$AZ$88)="(EMPTY)"))&gt;0,IFERROR(('Final Calculation Sheet'!$AB$33)&amp;"","")="",ISNUMBER(SEARCH($AS$88:$AZ$88,IFERROR(('Final Calculation Sheet'!$AB$33)&amp;"","")))))&gt;0))))</f>
        <v>1</v>
      </c>
      <c r="CP34">
        <f>IF($AD$4="",1,--(AND(SUMPRODUCT(--($AS$89:$AZ$89&lt;&gt;""))&gt;0,IF(COUNTIF($BI$89:$BP$89,1)=0,TRUE,SUMPRODUCT(($BI$89:$BP$89=1)*($AS$89:$AZ$89&lt;&gt;"")*IF(((UPPER($AS$89:$AZ$89)="BLANK")+(UPPER($AS$89:$AZ$89)="(BLANK)")+(UPPER($AS$89:$AZ$89)="EMPTY")+(UPPER($AS$89:$AZ$89)="(EMPTY)"))&gt;0,IFERROR(('Final Calculation Sheet'!$AC$33)&amp;"","")="",ISNUMBER(SEARCH($AS$89:$AZ$89,IFERROR(('Final Calculation Sheet'!$AC$33)&amp;"","")))))&gt;0),IF(COUNTIF($BI$89:$BP$89,2)=0,TRUE,SUMPRODUCT(($BI$89:$BP$89=2)*($AS$89:$AZ$89&lt;&gt;"")*IF(((UPPER($AS$89:$AZ$89)="BLANK")+(UPPER($AS$89:$AZ$89)="(BLANK)")+(UPPER($AS$89:$AZ$89)="EMPTY")+(UPPER($AS$89:$AZ$89)="(EMPTY)"))&gt;0,IFERROR(('Final Calculation Sheet'!$AC$33)&amp;"","")="",ISNUMBER(SEARCH($AS$89:$AZ$89,IFERROR(('Final Calculation Sheet'!$AC$33)&amp;"","")))))&gt;0),IF(COUNTIF($BI$89:$BP$89,3)=0,TRUE,SUMPRODUCT(($BI$89:$BP$89=3)*($AS$89:$AZ$89&lt;&gt;"")*IF(((UPPER($AS$89:$AZ$89)="BLANK")+(UPPER($AS$89:$AZ$89)="(BLANK)")+(UPPER($AS$89:$AZ$89)="EMPTY")+(UPPER($AS$89:$AZ$89)="(EMPTY)"))&gt;0,IFERROR(('Final Calculation Sheet'!$AC$33)&amp;"","")="",ISNUMBER(SEARCH($AS$89:$AZ$89,IFERROR(('Final Calculation Sheet'!$AC$33)&amp;"","")))))&gt;0),IF(COUNTIF($BI$89:$BP$89,4)=0,TRUE,SUMPRODUCT(($BI$89:$BP$89=4)*($AS$89:$AZ$89&lt;&gt;"")*IF(((UPPER($AS$89:$AZ$89)="BLANK")+(UPPER($AS$89:$AZ$89)="(BLANK)")+(UPPER($AS$89:$AZ$89)="EMPTY")+(UPPER($AS$89:$AZ$89)="(EMPTY)"))&gt;0,IFERROR(('Final Calculation Sheet'!$AC$33)&amp;"","")="",ISNUMBER(SEARCH($AS$89:$AZ$89,IFERROR(('Final Calculation Sheet'!$AC$33)&amp;"","")))))&gt;0),IF(COUNTIF($BI$89:$BP$89,5)=0,TRUE,SUMPRODUCT(($BI$89:$BP$89=5)*($AS$89:$AZ$89&lt;&gt;"")*IF(((UPPER($AS$89:$AZ$89)="BLANK")+(UPPER($AS$89:$AZ$89)="(BLANK)")+(UPPER($AS$89:$AZ$89)="EMPTY")+(UPPER($AS$89:$AZ$89)="(EMPTY)"))&gt;0,IFERROR(('Final Calculation Sheet'!$AC$33)&amp;"","")="",ISNUMBER(SEARCH($AS$89:$AZ$89,IFERROR(('Final Calculation Sheet'!$AC$33)&amp;"","")))))&gt;0),IF(COUNTIF($BI$89:$BP$89,6)=0,TRUE,SUMPRODUCT(($BI$89:$BP$89=6)*($AS$89:$AZ$89&lt;&gt;"")*IF(((UPPER($AS$89:$AZ$89)="BLANK")+(UPPER($AS$89:$AZ$89)="(BLANK)")+(UPPER($AS$89:$AZ$89)="EMPTY")+(UPPER($AS$89:$AZ$89)="(EMPTY)"))&gt;0,IFERROR(('Final Calculation Sheet'!$AC$33)&amp;"","")="",ISNUMBER(SEARCH($AS$89:$AZ$89,IFERROR(('Final Calculation Sheet'!$AC$33)&amp;"","")))))&gt;0),IF(COUNTIF($BI$89:$BP$89,7)=0,TRUE,SUMPRODUCT(($BI$89:$BP$89=7)*($AS$89:$AZ$89&lt;&gt;"")*IF(((UPPER($AS$89:$AZ$89)="BLANK")+(UPPER($AS$89:$AZ$89)="(BLANK)")+(UPPER($AS$89:$AZ$89)="EMPTY")+(UPPER($AS$89:$AZ$89)="(EMPTY)"))&gt;0,IFERROR(('Final Calculation Sheet'!$AC$33)&amp;"","")="",ISNUMBER(SEARCH($AS$89:$AZ$89,IFERROR(('Final Calculation Sheet'!$AC$33)&amp;"","")))))&gt;0),IF(COUNTIF($BI$89:$BP$89,8)=0,TRUE,SUMPRODUCT(($BI$89:$BP$89=8)*($AS$89:$AZ$89&lt;&gt;"")*IF(((UPPER($AS$89:$AZ$89)="BLANK")+(UPPER($AS$89:$AZ$89)="(BLANK)")+(UPPER($AS$89:$AZ$89)="EMPTY")+(UPPER($AS$89:$AZ$89)="(EMPTY)"))&gt;0,IFERROR(('Final Calculation Sheet'!$AC$33)&amp;"","")="",ISNUMBER(SEARCH($AS$89:$AZ$89,IFERROR(('Final Calculation Sheet'!$AC$33)&amp;"","")))))&gt;0))))</f>
        <v>1</v>
      </c>
      <c r="CQ34">
        <f>IF($AE$4="",1,--(AND(SUMPRODUCT(--($AS$90:$AZ$90&lt;&gt;""))&gt;0,IF(COUNTIF($BI$90:$BP$90,1)=0,TRUE,SUMPRODUCT(($BI$90:$BP$90=1)*($AS$90:$AZ$90&lt;&gt;"")*IF(((UPPER($AS$90:$AZ$90)="BLANK")+(UPPER($AS$90:$AZ$90)="(BLANK)")+(UPPER($AS$90:$AZ$90)="EMPTY")+(UPPER($AS$90:$AZ$90)="(EMPTY)"))&gt;0,IFERROR(('Final Calculation Sheet'!$AD$33)&amp;"","")="",ISNUMBER(SEARCH($AS$90:$AZ$90,IFERROR(('Final Calculation Sheet'!$AD$33)&amp;"","")))))&gt;0),IF(COUNTIF($BI$90:$BP$90,2)=0,TRUE,SUMPRODUCT(($BI$90:$BP$90=2)*($AS$90:$AZ$90&lt;&gt;"")*IF(((UPPER($AS$90:$AZ$90)="BLANK")+(UPPER($AS$90:$AZ$90)="(BLANK)")+(UPPER($AS$90:$AZ$90)="EMPTY")+(UPPER($AS$90:$AZ$90)="(EMPTY)"))&gt;0,IFERROR(('Final Calculation Sheet'!$AD$33)&amp;"","")="",ISNUMBER(SEARCH($AS$90:$AZ$90,IFERROR(('Final Calculation Sheet'!$AD$33)&amp;"","")))))&gt;0),IF(COUNTIF($BI$90:$BP$90,3)=0,TRUE,SUMPRODUCT(($BI$90:$BP$90=3)*($AS$90:$AZ$90&lt;&gt;"")*IF(((UPPER($AS$90:$AZ$90)="BLANK")+(UPPER($AS$90:$AZ$90)="(BLANK)")+(UPPER($AS$90:$AZ$90)="EMPTY")+(UPPER($AS$90:$AZ$90)="(EMPTY)"))&gt;0,IFERROR(('Final Calculation Sheet'!$AD$33)&amp;"","")="",ISNUMBER(SEARCH($AS$90:$AZ$90,IFERROR(('Final Calculation Sheet'!$AD$33)&amp;"","")))))&gt;0),IF(COUNTIF($BI$90:$BP$90,4)=0,TRUE,SUMPRODUCT(($BI$90:$BP$90=4)*($AS$90:$AZ$90&lt;&gt;"")*IF(((UPPER($AS$90:$AZ$90)="BLANK")+(UPPER($AS$90:$AZ$90)="(BLANK)")+(UPPER($AS$90:$AZ$90)="EMPTY")+(UPPER($AS$90:$AZ$90)="(EMPTY)"))&gt;0,IFERROR(('Final Calculation Sheet'!$AD$33)&amp;"","")="",ISNUMBER(SEARCH($AS$90:$AZ$90,IFERROR(('Final Calculation Sheet'!$AD$33)&amp;"","")))))&gt;0),IF(COUNTIF($BI$90:$BP$90,5)=0,TRUE,SUMPRODUCT(($BI$90:$BP$90=5)*($AS$90:$AZ$90&lt;&gt;"")*IF(((UPPER($AS$90:$AZ$90)="BLANK")+(UPPER($AS$90:$AZ$90)="(BLANK)")+(UPPER($AS$90:$AZ$90)="EMPTY")+(UPPER($AS$90:$AZ$90)="(EMPTY)"))&gt;0,IFERROR(('Final Calculation Sheet'!$AD$33)&amp;"","")="",ISNUMBER(SEARCH($AS$90:$AZ$90,IFERROR(('Final Calculation Sheet'!$AD$33)&amp;"","")))))&gt;0),IF(COUNTIF($BI$90:$BP$90,6)=0,TRUE,SUMPRODUCT(($BI$90:$BP$90=6)*($AS$90:$AZ$90&lt;&gt;"")*IF(((UPPER($AS$90:$AZ$90)="BLANK")+(UPPER($AS$90:$AZ$90)="(BLANK)")+(UPPER($AS$90:$AZ$90)="EMPTY")+(UPPER($AS$90:$AZ$90)="(EMPTY)"))&gt;0,IFERROR(('Final Calculation Sheet'!$AD$33)&amp;"","")="",ISNUMBER(SEARCH($AS$90:$AZ$90,IFERROR(('Final Calculation Sheet'!$AD$33)&amp;"","")))))&gt;0),IF(COUNTIF($BI$90:$BP$90,7)=0,TRUE,SUMPRODUCT(($BI$90:$BP$90=7)*($AS$90:$AZ$90&lt;&gt;"")*IF(((UPPER($AS$90:$AZ$90)="BLANK")+(UPPER($AS$90:$AZ$90)="(BLANK)")+(UPPER($AS$90:$AZ$90)="EMPTY")+(UPPER($AS$90:$AZ$90)="(EMPTY)"))&gt;0,IFERROR(('Final Calculation Sheet'!$AD$33)&amp;"","")="",ISNUMBER(SEARCH($AS$90:$AZ$90,IFERROR(('Final Calculation Sheet'!$AD$33)&amp;"","")))))&gt;0),IF(COUNTIF($BI$90:$BP$90,8)=0,TRUE,SUMPRODUCT(($BI$90:$BP$90=8)*($AS$90:$AZ$90&lt;&gt;"")*IF(((UPPER($AS$90:$AZ$90)="BLANK")+(UPPER($AS$90:$AZ$90)="(BLANK)")+(UPPER($AS$90:$AZ$90)="EMPTY")+(UPPER($AS$90:$AZ$90)="(EMPTY)"))&gt;0,IFERROR(('Final Calculation Sheet'!$AD$33)&amp;"","")="",ISNUMBER(SEARCH($AS$90:$AZ$90,IFERROR(('Final Calculation Sheet'!$AD$33)&amp;"","")))))&gt;0))))</f>
        <v>1</v>
      </c>
      <c r="CR34">
        <f>IF($AF$4="",1,--(AND(SUMPRODUCT(--($AS$91:$AZ$91&lt;&gt;""))&gt;0,IF(COUNTIF($BI$91:$BP$91,1)=0,TRUE,SUMPRODUCT(($BI$91:$BP$91=1)*($AS$91:$AZ$91&lt;&gt;"")*IF(((UPPER($AS$91:$AZ$91)="BLANK")+(UPPER($AS$91:$AZ$91)="(BLANK)")+(UPPER($AS$91:$AZ$91)="EMPTY")+(UPPER($AS$91:$AZ$91)="(EMPTY)"))&gt;0,IFERROR(('Final Calculation Sheet'!$AE$33)&amp;"","")="",ISNUMBER(SEARCH($AS$91:$AZ$91,IFERROR(('Final Calculation Sheet'!$AE$33)&amp;"","")))))&gt;0),IF(COUNTIF($BI$91:$BP$91,2)=0,TRUE,SUMPRODUCT(($BI$91:$BP$91=2)*($AS$91:$AZ$91&lt;&gt;"")*IF(((UPPER($AS$91:$AZ$91)="BLANK")+(UPPER($AS$91:$AZ$91)="(BLANK)")+(UPPER($AS$91:$AZ$91)="EMPTY")+(UPPER($AS$91:$AZ$91)="(EMPTY)"))&gt;0,IFERROR(('Final Calculation Sheet'!$AE$33)&amp;"","")="",ISNUMBER(SEARCH($AS$91:$AZ$91,IFERROR(('Final Calculation Sheet'!$AE$33)&amp;"","")))))&gt;0),IF(COUNTIF($BI$91:$BP$91,3)=0,TRUE,SUMPRODUCT(($BI$91:$BP$91=3)*($AS$91:$AZ$91&lt;&gt;"")*IF(((UPPER($AS$91:$AZ$91)="BLANK")+(UPPER($AS$91:$AZ$91)="(BLANK)")+(UPPER($AS$91:$AZ$91)="EMPTY")+(UPPER($AS$91:$AZ$91)="(EMPTY)"))&gt;0,IFERROR(('Final Calculation Sheet'!$AE$33)&amp;"","")="",ISNUMBER(SEARCH($AS$91:$AZ$91,IFERROR(('Final Calculation Sheet'!$AE$33)&amp;"","")))))&gt;0),IF(COUNTIF($BI$91:$BP$91,4)=0,TRUE,SUMPRODUCT(($BI$91:$BP$91=4)*($AS$91:$AZ$91&lt;&gt;"")*IF(((UPPER($AS$91:$AZ$91)="BLANK")+(UPPER($AS$91:$AZ$91)="(BLANK)")+(UPPER($AS$91:$AZ$91)="EMPTY")+(UPPER($AS$91:$AZ$91)="(EMPTY)"))&gt;0,IFERROR(('Final Calculation Sheet'!$AE$33)&amp;"","")="",ISNUMBER(SEARCH($AS$91:$AZ$91,IFERROR(('Final Calculation Sheet'!$AE$33)&amp;"","")))))&gt;0),IF(COUNTIF($BI$91:$BP$91,5)=0,TRUE,SUMPRODUCT(($BI$91:$BP$91=5)*($AS$91:$AZ$91&lt;&gt;"")*IF(((UPPER($AS$91:$AZ$91)="BLANK")+(UPPER($AS$91:$AZ$91)="(BLANK)")+(UPPER($AS$91:$AZ$91)="EMPTY")+(UPPER($AS$91:$AZ$91)="(EMPTY)"))&gt;0,IFERROR(('Final Calculation Sheet'!$AE$33)&amp;"","")="",ISNUMBER(SEARCH($AS$91:$AZ$91,IFERROR(('Final Calculation Sheet'!$AE$33)&amp;"","")))))&gt;0),IF(COUNTIF($BI$91:$BP$91,6)=0,TRUE,SUMPRODUCT(($BI$91:$BP$91=6)*($AS$91:$AZ$91&lt;&gt;"")*IF(((UPPER($AS$91:$AZ$91)="BLANK")+(UPPER($AS$91:$AZ$91)="(BLANK)")+(UPPER($AS$91:$AZ$91)="EMPTY")+(UPPER($AS$91:$AZ$91)="(EMPTY)"))&gt;0,IFERROR(('Final Calculation Sheet'!$AE$33)&amp;"","")="",ISNUMBER(SEARCH($AS$91:$AZ$91,IFERROR(('Final Calculation Sheet'!$AE$33)&amp;"","")))))&gt;0),IF(COUNTIF($BI$91:$BP$91,7)=0,TRUE,SUMPRODUCT(($BI$91:$BP$91=7)*($AS$91:$AZ$91&lt;&gt;"")*IF(((UPPER($AS$91:$AZ$91)="BLANK")+(UPPER($AS$91:$AZ$91)="(BLANK)")+(UPPER($AS$91:$AZ$91)="EMPTY")+(UPPER($AS$91:$AZ$91)="(EMPTY)"))&gt;0,IFERROR(('Final Calculation Sheet'!$AE$33)&amp;"","")="",ISNUMBER(SEARCH($AS$91:$AZ$91,IFERROR(('Final Calculation Sheet'!$AE$33)&amp;"","")))))&gt;0),IF(COUNTIF($BI$91:$BP$91,8)=0,TRUE,SUMPRODUCT(($BI$91:$BP$91=8)*($AS$91:$AZ$91&lt;&gt;"")*IF(((UPPER($AS$91:$AZ$91)="BLANK")+(UPPER($AS$91:$AZ$91)="(BLANK)")+(UPPER($AS$91:$AZ$91)="EMPTY")+(UPPER($AS$91:$AZ$91)="(EMPTY)"))&gt;0,IFERROR(('Final Calculation Sheet'!$AE$33)&amp;"","")="",ISNUMBER(SEARCH($AS$91:$AZ$91,IFERROR(('Final Calculation Sheet'!$AE$33)&amp;"","")))))&gt;0))))</f>
        <v>1</v>
      </c>
      <c r="CS34">
        <f>IF($AG$4="",1,--(AND(SUMPRODUCT(--($AS$92:$AZ$92&lt;&gt;""))&gt;0,IF(COUNTIF($BI$92:$BP$92,1)=0,TRUE,SUMPRODUCT(($BI$92:$BP$92=1)*($AS$92:$AZ$92&lt;&gt;"")*IF(((UPPER($AS$92:$AZ$92)="BLANK")+(UPPER($AS$92:$AZ$92)="(BLANK)")+(UPPER($AS$92:$AZ$92)="EMPTY")+(UPPER($AS$92:$AZ$92)="(EMPTY)"))&gt;0,IFERROR(('Final Calculation Sheet'!$AF$33)&amp;"","")="",ISNUMBER(SEARCH($AS$92:$AZ$92,IFERROR(('Final Calculation Sheet'!$AF$33)&amp;"","")))))&gt;0),IF(COUNTIF($BI$92:$BP$92,2)=0,TRUE,SUMPRODUCT(($BI$92:$BP$92=2)*($AS$92:$AZ$92&lt;&gt;"")*IF(((UPPER($AS$92:$AZ$92)="BLANK")+(UPPER($AS$92:$AZ$92)="(BLANK)")+(UPPER($AS$92:$AZ$92)="EMPTY")+(UPPER($AS$92:$AZ$92)="(EMPTY)"))&gt;0,IFERROR(('Final Calculation Sheet'!$AF$33)&amp;"","")="",ISNUMBER(SEARCH($AS$92:$AZ$92,IFERROR(('Final Calculation Sheet'!$AF$33)&amp;"","")))))&gt;0),IF(COUNTIF($BI$92:$BP$92,3)=0,TRUE,SUMPRODUCT(($BI$92:$BP$92=3)*($AS$92:$AZ$92&lt;&gt;"")*IF(((UPPER($AS$92:$AZ$92)="BLANK")+(UPPER($AS$92:$AZ$92)="(BLANK)")+(UPPER($AS$92:$AZ$92)="EMPTY")+(UPPER($AS$92:$AZ$92)="(EMPTY)"))&gt;0,IFERROR(('Final Calculation Sheet'!$AF$33)&amp;"","")="",ISNUMBER(SEARCH($AS$92:$AZ$92,IFERROR(('Final Calculation Sheet'!$AF$33)&amp;"","")))))&gt;0),IF(COUNTIF($BI$92:$BP$92,4)=0,TRUE,SUMPRODUCT(($BI$92:$BP$92=4)*($AS$92:$AZ$92&lt;&gt;"")*IF(((UPPER($AS$92:$AZ$92)="BLANK")+(UPPER($AS$92:$AZ$92)="(BLANK)")+(UPPER($AS$92:$AZ$92)="EMPTY")+(UPPER($AS$92:$AZ$92)="(EMPTY)"))&gt;0,IFERROR(('Final Calculation Sheet'!$AF$33)&amp;"","")="",ISNUMBER(SEARCH($AS$92:$AZ$92,IFERROR(('Final Calculation Sheet'!$AF$33)&amp;"","")))))&gt;0),IF(COUNTIF($BI$92:$BP$92,5)=0,TRUE,SUMPRODUCT(($BI$92:$BP$92=5)*($AS$92:$AZ$92&lt;&gt;"")*IF(((UPPER($AS$92:$AZ$92)="BLANK")+(UPPER($AS$92:$AZ$92)="(BLANK)")+(UPPER($AS$92:$AZ$92)="EMPTY")+(UPPER($AS$92:$AZ$92)="(EMPTY)"))&gt;0,IFERROR(('Final Calculation Sheet'!$AF$33)&amp;"","")="",ISNUMBER(SEARCH($AS$92:$AZ$92,IFERROR(('Final Calculation Sheet'!$AF$33)&amp;"","")))))&gt;0),IF(COUNTIF($BI$92:$BP$92,6)=0,TRUE,SUMPRODUCT(($BI$92:$BP$92=6)*($AS$92:$AZ$92&lt;&gt;"")*IF(((UPPER($AS$92:$AZ$92)="BLANK")+(UPPER($AS$92:$AZ$92)="(BLANK)")+(UPPER($AS$92:$AZ$92)="EMPTY")+(UPPER($AS$92:$AZ$92)="(EMPTY)"))&gt;0,IFERROR(('Final Calculation Sheet'!$AF$33)&amp;"","")="",ISNUMBER(SEARCH($AS$92:$AZ$92,IFERROR(('Final Calculation Sheet'!$AF$33)&amp;"","")))))&gt;0),IF(COUNTIF($BI$92:$BP$92,7)=0,TRUE,SUMPRODUCT(($BI$92:$BP$92=7)*($AS$92:$AZ$92&lt;&gt;"")*IF(((UPPER($AS$92:$AZ$92)="BLANK")+(UPPER($AS$92:$AZ$92)="(BLANK)")+(UPPER($AS$92:$AZ$92)="EMPTY")+(UPPER($AS$92:$AZ$92)="(EMPTY)"))&gt;0,IFERROR(('Final Calculation Sheet'!$AF$33)&amp;"","")="",ISNUMBER(SEARCH($AS$92:$AZ$92,IFERROR(('Final Calculation Sheet'!$AF$33)&amp;"","")))))&gt;0),IF(COUNTIF($BI$92:$BP$92,8)=0,TRUE,SUMPRODUCT(($BI$92:$BP$92=8)*($AS$92:$AZ$92&lt;&gt;"")*IF(((UPPER($AS$92:$AZ$92)="BLANK")+(UPPER($AS$92:$AZ$92)="(BLANK)")+(UPPER($AS$92:$AZ$92)="EMPTY")+(UPPER($AS$92:$AZ$92)="(EMPTY)"))&gt;0,IFERROR(('Final Calculation Sheet'!$AF$33)&amp;"","")="",ISNUMBER(SEARCH($AS$92:$AZ$92,IFERROR(('Final Calculation Sheet'!$AF$33)&amp;"","")))))&gt;0))))</f>
        <v>1</v>
      </c>
      <c r="CT34">
        <f>IF($AH$4="",1,--(AND(SUMPRODUCT(--($AS$93:$AZ$93&lt;&gt;""))&gt;0,IF(COUNTIF($BI$93:$BP$93,1)=0,TRUE,SUMPRODUCT(($BI$93:$BP$93=1)*($AS$93:$AZ$93&lt;&gt;"")*IF(((UPPER($AS$93:$AZ$93)="BLANK")+(UPPER($AS$93:$AZ$93)="(BLANK)")+(UPPER($AS$93:$AZ$93)="EMPTY")+(UPPER($AS$93:$AZ$93)="(EMPTY)"))&gt;0,IFERROR(('Final Calculation Sheet'!$AG$33)&amp;"","")="",ISNUMBER(SEARCH($AS$93:$AZ$93,IFERROR(('Final Calculation Sheet'!$AG$33)&amp;"","")))))&gt;0),IF(COUNTIF($BI$93:$BP$93,2)=0,TRUE,SUMPRODUCT(($BI$93:$BP$93=2)*($AS$93:$AZ$93&lt;&gt;"")*IF(((UPPER($AS$93:$AZ$93)="BLANK")+(UPPER($AS$93:$AZ$93)="(BLANK)")+(UPPER($AS$93:$AZ$93)="EMPTY")+(UPPER($AS$93:$AZ$93)="(EMPTY)"))&gt;0,IFERROR(('Final Calculation Sheet'!$AG$33)&amp;"","")="",ISNUMBER(SEARCH($AS$93:$AZ$93,IFERROR(('Final Calculation Sheet'!$AG$33)&amp;"","")))))&gt;0),IF(COUNTIF($BI$93:$BP$93,3)=0,TRUE,SUMPRODUCT(($BI$93:$BP$93=3)*($AS$93:$AZ$93&lt;&gt;"")*IF(((UPPER($AS$93:$AZ$93)="BLANK")+(UPPER($AS$93:$AZ$93)="(BLANK)")+(UPPER($AS$93:$AZ$93)="EMPTY")+(UPPER($AS$93:$AZ$93)="(EMPTY)"))&gt;0,IFERROR(('Final Calculation Sheet'!$AG$33)&amp;"","")="",ISNUMBER(SEARCH($AS$93:$AZ$93,IFERROR(('Final Calculation Sheet'!$AG$33)&amp;"","")))))&gt;0),IF(COUNTIF($BI$93:$BP$93,4)=0,TRUE,SUMPRODUCT(($BI$93:$BP$93=4)*($AS$93:$AZ$93&lt;&gt;"")*IF(((UPPER($AS$93:$AZ$93)="BLANK")+(UPPER($AS$93:$AZ$93)="(BLANK)")+(UPPER($AS$93:$AZ$93)="EMPTY")+(UPPER($AS$93:$AZ$93)="(EMPTY)"))&gt;0,IFERROR(('Final Calculation Sheet'!$AG$33)&amp;"","")="",ISNUMBER(SEARCH($AS$93:$AZ$93,IFERROR(('Final Calculation Sheet'!$AG$33)&amp;"","")))))&gt;0),IF(COUNTIF($BI$93:$BP$93,5)=0,TRUE,SUMPRODUCT(($BI$93:$BP$93=5)*($AS$93:$AZ$93&lt;&gt;"")*IF(((UPPER($AS$93:$AZ$93)="BLANK")+(UPPER($AS$93:$AZ$93)="(BLANK)")+(UPPER($AS$93:$AZ$93)="EMPTY")+(UPPER($AS$93:$AZ$93)="(EMPTY)"))&gt;0,IFERROR(('Final Calculation Sheet'!$AG$33)&amp;"","")="",ISNUMBER(SEARCH($AS$93:$AZ$93,IFERROR(('Final Calculation Sheet'!$AG$33)&amp;"","")))))&gt;0),IF(COUNTIF($BI$93:$BP$93,6)=0,TRUE,SUMPRODUCT(($BI$93:$BP$93=6)*($AS$93:$AZ$93&lt;&gt;"")*IF(((UPPER($AS$93:$AZ$93)="BLANK")+(UPPER($AS$93:$AZ$93)="(BLANK)")+(UPPER($AS$93:$AZ$93)="EMPTY")+(UPPER($AS$93:$AZ$93)="(EMPTY)"))&gt;0,IFERROR(('Final Calculation Sheet'!$AG$33)&amp;"","")="",ISNUMBER(SEARCH($AS$93:$AZ$93,IFERROR(('Final Calculation Sheet'!$AG$33)&amp;"","")))))&gt;0),IF(COUNTIF($BI$93:$BP$93,7)=0,TRUE,SUMPRODUCT(($BI$93:$BP$93=7)*($AS$93:$AZ$93&lt;&gt;"")*IF(((UPPER($AS$93:$AZ$93)="BLANK")+(UPPER($AS$93:$AZ$93)="(BLANK)")+(UPPER($AS$93:$AZ$93)="EMPTY")+(UPPER($AS$93:$AZ$93)="(EMPTY)"))&gt;0,IFERROR(('Final Calculation Sheet'!$AG$33)&amp;"","")="",ISNUMBER(SEARCH($AS$93:$AZ$93,IFERROR(('Final Calculation Sheet'!$AG$33)&amp;"","")))))&gt;0),IF(COUNTIF($BI$93:$BP$93,8)=0,TRUE,SUMPRODUCT(($BI$93:$BP$93=8)*($AS$93:$AZ$93&lt;&gt;"")*IF(((UPPER($AS$93:$AZ$93)="BLANK")+(UPPER($AS$93:$AZ$93)="(BLANK)")+(UPPER($AS$93:$AZ$93)="EMPTY")+(UPPER($AS$93:$AZ$93)="(EMPTY)"))&gt;0,IFERROR(('Final Calculation Sheet'!$AG$33)&amp;"","")="",ISNUMBER(SEARCH($AS$93:$AZ$93,IFERROR(('Final Calculation Sheet'!$AG$33)&amp;"","")))))&gt;0))))</f>
        <v>1</v>
      </c>
      <c r="CU34">
        <f>IF($AI$4="",1,--(AND(SUMPRODUCT(--($AS$94:$AZ$94&lt;&gt;""))&gt;0,IF(COUNTIF($BI$94:$BP$94,1)=0,TRUE,SUMPRODUCT(($BI$94:$BP$94=1)*($AS$94:$AZ$94&lt;&gt;"")*IF(((UPPER($AS$94:$AZ$94)="BLANK")+(UPPER($AS$94:$AZ$94)="(BLANK)")+(UPPER($AS$94:$AZ$94)="EMPTY")+(UPPER($AS$94:$AZ$94)="(EMPTY)"))&gt;0,IFERROR((IF('Final Calculation Sheet'!$AD$33&lt;=0,"SETTLED","OUTSTANDING"))&amp;"","")="",ISNUMBER(SEARCH($AS$94:$AZ$94,IFERROR((IF('Final Calculation Sheet'!$AD$33&lt;=0,"SETTLED","OUTSTANDING"))&amp;"","")))))&gt;0),IF(COUNTIF($BI$94:$BP$94,2)=0,TRUE,SUMPRODUCT(($BI$94:$BP$94=2)*($AS$94:$AZ$94&lt;&gt;"")*IF(((UPPER($AS$94:$AZ$94)="BLANK")+(UPPER($AS$94:$AZ$94)="(BLANK)")+(UPPER($AS$94:$AZ$94)="EMPTY")+(UPPER($AS$94:$AZ$94)="(EMPTY)"))&gt;0,IFERROR((IF('Final Calculation Sheet'!$AD$33&lt;=0,"SETTLED","OUTSTANDING"))&amp;"","")="",ISNUMBER(SEARCH($AS$94:$AZ$94,IFERROR((IF('Final Calculation Sheet'!$AD$33&lt;=0,"SETTLED","OUTSTANDING"))&amp;"","")))))&gt;0),IF(COUNTIF($BI$94:$BP$94,3)=0,TRUE,SUMPRODUCT(($BI$94:$BP$94=3)*($AS$94:$AZ$94&lt;&gt;"")*IF(((UPPER($AS$94:$AZ$94)="BLANK")+(UPPER($AS$94:$AZ$94)="(BLANK)")+(UPPER($AS$94:$AZ$94)="EMPTY")+(UPPER($AS$94:$AZ$94)="(EMPTY)"))&gt;0,IFERROR((IF('Final Calculation Sheet'!$AD$33&lt;=0,"SETTLED","OUTSTANDING"))&amp;"","")="",ISNUMBER(SEARCH($AS$94:$AZ$94,IFERROR((IF('Final Calculation Sheet'!$AD$33&lt;=0,"SETTLED","OUTSTANDING"))&amp;"","")))))&gt;0),IF(COUNTIF($BI$94:$BP$94,4)=0,TRUE,SUMPRODUCT(($BI$94:$BP$94=4)*($AS$94:$AZ$94&lt;&gt;"")*IF(((UPPER($AS$94:$AZ$94)="BLANK")+(UPPER($AS$94:$AZ$94)="(BLANK)")+(UPPER($AS$94:$AZ$94)="EMPTY")+(UPPER($AS$94:$AZ$94)="(EMPTY)"))&gt;0,IFERROR((IF('Final Calculation Sheet'!$AD$33&lt;=0,"SETTLED","OUTSTANDING"))&amp;"","")="",ISNUMBER(SEARCH($AS$94:$AZ$94,IFERROR((IF('Final Calculation Sheet'!$AD$33&lt;=0,"SETTLED","OUTSTANDING"))&amp;"","")))))&gt;0),IF(COUNTIF($BI$94:$BP$94,5)=0,TRUE,SUMPRODUCT(($BI$94:$BP$94=5)*($AS$94:$AZ$94&lt;&gt;"")*IF(((UPPER($AS$94:$AZ$94)="BLANK")+(UPPER($AS$94:$AZ$94)="(BLANK)")+(UPPER($AS$94:$AZ$94)="EMPTY")+(UPPER($AS$94:$AZ$94)="(EMPTY)"))&gt;0,IFERROR((IF('Final Calculation Sheet'!$AD$33&lt;=0,"SETTLED","OUTSTANDING"))&amp;"","")="",ISNUMBER(SEARCH($AS$94:$AZ$94,IFERROR((IF('Final Calculation Sheet'!$AD$33&lt;=0,"SETTLED","OUTSTANDING"))&amp;"","")))))&gt;0),IF(COUNTIF($BI$94:$BP$94,6)=0,TRUE,SUMPRODUCT(($BI$94:$BP$94=6)*($AS$94:$AZ$94&lt;&gt;"")*IF(((UPPER($AS$94:$AZ$94)="BLANK")+(UPPER($AS$94:$AZ$94)="(BLANK)")+(UPPER($AS$94:$AZ$94)="EMPTY")+(UPPER($AS$94:$AZ$94)="(EMPTY)"))&gt;0,IFERROR((IF('Final Calculation Sheet'!$AD$33&lt;=0,"SETTLED","OUTSTANDING"))&amp;"","")="",ISNUMBER(SEARCH($AS$94:$AZ$94,IFERROR((IF('Final Calculation Sheet'!$AD$33&lt;=0,"SETTLED","OUTSTANDING"))&amp;"","")))))&gt;0),IF(COUNTIF($BI$94:$BP$94,7)=0,TRUE,SUMPRODUCT(($BI$94:$BP$94=7)*($AS$94:$AZ$94&lt;&gt;"")*IF(((UPPER($AS$94:$AZ$94)="BLANK")+(UPPER($AS$94:$AZ$94)="(BLANK)")+(UPPER($AS$94:$AZ$94)="EMPTY")+(UPPER($AS$94:$AZ$94)="(EMPTY)"))&gt;0,IFERROR((IF('Final Calculation Sheet'!$AD$33&lt;=0,"SETTLED","OUTSTANDING"))&amp;"","")="",ISNUMBER(SEARCH($AS$94:$AZ$94,IFERROR((IF('Final Calculation Sheet'!$AD$33&lt;=0,"SETTLED","OUTSTANDING"))&amp;"","")))))&gt;0),IF(COUNTIF($BI$94:$BP$94,8)=0,TRUE,SUMPRODUCT(($BI$94:$BP$94=8)*($AS$94:$AZ$94&lt;&gt;"")*IF(((UPPER($AS$94:$AZ$94)="BLANK")+(UPPER($AS$94:$AZ$94)="(BLANK)")+(UPPER($AS$94:$AZ$94)="EMPTY")+(UPPER($AS$94:$AZ$94)="(EMPTY)"))&gt;0,IFERROR((IF('Final Calculation Sheet'!$AD$33&lt;=0,"SETTLED","OUTSTANDING"))&amp;"","")="",ISNUMBER(SEARCH($AS$94:$AZ$94,IFERROR((IF('Final Calculation Sheet'!$AD$33&lt;=0,"SETTLED","OUTSTANDING"))&amp;"","")))))&gt;0))))</f>
        <v>1</v>
      </c>
    </row>
    <row r="35" spans="1:99" ht="15" customHeight="1" x14ac:dyDescent="0.25">
      <c r="A35" s="67">
        <f>IF($BJ34&gt;0,INDEX($BA$5:$BA$41,MATCH(34,$BB$5:$BB$41,0)),IF(OR($BI34=1,$BL34=1,$BH34&gt;0),"∑",""))</f>
        <v>18</v>
      </c>
      <c r="B35" s="68">
        <f>IF($BJ34&gt;0,IF(INDEX('Final Calculation Sheet'!$F$4:$F$40,$BJ34-3)="","",INDEX('Final Calculation Sheet'!$F$4:$F$40,$BJ34-3)),"")</f>
        <v>2036</v>
      </c>
      <c r="C35" s="68" t="str">
        <f>IF($BJ34&gt;0,IF(INDEX('Final Calculation Sheet'!$G$4:$G$40,$BJ34-3)="","",INDEX('Final Calculation Sheet'!$G$4:$G$40,$BJ34-3)),IF(OR($BI34=1,$BL34=1,$BH34&gt;0),IF($BI34=1,37,IF($BL34=1,37-INDEX($BD$4:$BD$13,10),INDEX($BD$4:$BD$13,$BH34)))&amp;" lot(s)",""))</f>
        <v>M I SCRAP TRADERS</v>
      </c>
      <c r="D35" s="69" t="str">
        <f>IF($BJ34&gt;0,IF(INDEX('Final Calculation Sheet'!$B$4:$B$40,$BJ34-3)="","",INDEX('Final Calculation Sheet'!$B$4:$B$40,$BJ34-3)),IF(OR($BI34=1,$BL34=1,$BH34&gt;0),IF($BI34=1,"GRAND TOTAL  —  matching + remaining",IF($BL34=1,"TOTAL MATCHED  —  every group together",IF($BH34=10,"REMAINING  —  did not match the search",IF($BH34=9,IF(COUNTIF($A$4:$AI$4,"&lt;&gt;")&gt;0,"FILTERED LOTS  —  column fields","ALL LOTS  —  nothing typed in the box"),"GROUP "&amp;$BH34&amp;" TOTAL  —  lots matching  "&amp;INDEX($AR$6:$AY$6,$BH34))))),""))</f>
        <v>Mix Scrap (Tower angles &amp; 0.2 ACSR Condutor pieces)</v>
      </c>
      <c r="E35" s="69">
        <f>IF($BJ34&gt;0,IF(INDEX('Final Calculation Sheet'!$D$4:$D$40,$BJ34-3)="","",INDEX('Final Calculation Sheet'!$D$4:$D$40,$BJ34-3)),IF(OR($BI34=1,$BL34=1,$BH34&gt;0),"–",""))</f>
        <v>21978</v>
      </c>
      <c r="F35" s="69">
        <f>IF($BJ34&gt;0,IF(INDEX('Final Calculation Sheet'!$A$4:$A$40,$BJ34-3)="","",INDEX('Final Calculation Sheet'!$A$4:$A$40,$BJ34-3)),IF(OR($BI34=1,$BL34=1,$BH34&gt;0),IF($BI34=1,SUM('Final Calculation Sheet'!$A$4:$A$40),IF($BL34=1,SUM('Final Calculation Sheet'!$A$4:$A$40)-SUMIFS('Final Calculation Sheet'!$A$4:$A$40,$AZ$5:$AZ$41,10),SUMIFS('Final Calculation Sheet'!$A$4:$A$40,$AZ$5:$AZ$41,$BH34))),""))</f>
        <v>8.1999999999999993</v>
      </c>
      <c r="G35" s="69" t="str">
        <f>IF($BJ34&gt;0,IF(INDEX('Final Calculation Sheet'!$E$4:$E$40,$BJ34-3)="","",INDEX('Final Calculation Sheet'!$E$4:$E$40,$BJ34-3)),IF(OR($BI34=1,$BL34=1,$BH34&gt;0),"–",""))</f>
        <v>MT</v>
      </c>
      <c r="H35" s="70">
        <f>IF($BJ34&gt;0,IF(INDEX('Final Calculation Sheet'!$C$4:$C$40,$BJ34-3)="","",INDEX('Final Calculation Sheet'!$C$4:$C$40,$BJ34-3)),IF(OR($BI34=1,$BL34=1,$BH34&gt;0),"–",""))</f>
        <v>67000</v>
      </c>
      <c r="I35" s="70">
        <f>IF($BJ34&gt;0,IF(INDEX('Final Calculation Sheet'!$H$4:$H$40,$BJ34-3)="","",INDEX('Final Calculation Sheet'!$H$4:$H$40,$BJ34-3)),IF(OR($BI34=1,$BL34=1,$BH34&gt;0),IF($BI34=1,SUM('Final Calculation Sheet'!$H$4:$H$40),IF($BL34=1,SUM('Final Calculation Sheet'!$H$4:$H$40)-SUMIFS('Final Calculation Sheet'!$H$4:$H$40,$AZ$5:$AZ$41,10),SUMIFS('Final Calculation Sheet'!$H$4:$H$40,$AZ$5:$AZ$41,$BH34))),""))</f>
        <v>549400</v>
      </c>
      <c r="J35" s="70">
        <f>IF($BJ34&gt;0,IF(INDEX('Final Calculation Sheet'!$I$4:$I$40,$BJ34-3)="","",INDEX('Final Calculation Sheet'!$I$4:$I$40,$BJ34-3)),IF(OR($BI34=1,$BL34=1,$BH34&gt;0),IF($BI34=1,SUM('Final Calculation Sheet'!$I$4:$I$40),IF($BL34=1,SUM('Final Calculation Sheet'!$I$4:$I$40)-SUMIFS('Final Calculation Sheet'!$I$4:$I$40,$AZ$5:$AZ$41,10),SUMIFS('Final Calculation Sheet'!$I$4:$I$40,$AZ$5:$AZ$41,$BH34))),""))</f>
        <v>98892</v>
      </c>
      <c r="K35" s="70">
        <f>IF($BJ34&gt;0,IF(INDEX('Final Calculation Sheet'!$J$4:$J$40,$BJ34-3)="","",INDEX('Final Calculation Sheet'!$J$4:$J$40,$BJ34-3)),IF(OR($BI34=1,$BL34=1,$BH34&gt;0),IF($BI34=1,SUM('Final Calculation Sheet'!$J$4:$J$40),IF($BL34=1,SUM('Final Calculation Sheet'!$J$4:$J$40)-SUMIFS('Final Calculation Sheet'!$J$4:$J$40,$AZ$5:$AZ$41,10),SUMIFS('Final Calculation Sheet'!$J$4:$J$40,$AZ$5:$AZ$41,$BH34))),""))</f>
        <v>648292</v>
      </c>
      <c r="L35" s="70">
        <f>IF($BJ34&gt;0,IF(INDEX('Final Calculation Sheet'!$K$4:$K$40,$BJ34-3)="","",INDEX('Final Calculation Sheet'!$K$4:$K$40,$BJ34-3)),IF(OR($BI34=1,$BL34=1,$BH34&gt;0),IF($BI34=1,SUM('Final Calculation Sheet'!$K$4:$K$40),IF($BL34=1,SUM('Final Calculation Sheet'!$K$4:$K$40)-SUMIFS('Final Calculation Sheet'!$K$4:$K$40,$AZ$5:$AZ$41,10),SUMIFS('Final Calculation Sheet'!$K$4:$K$40,$AZ$5:$AZ$41,$BH34))),""))</f>
        <v>12966</v>
      </c>
      <c r="M35" s="70">
        <f>IF($BJ34&gt;0,IF(INDEX('Final Calculation Sheet'!$L$4:$L$40,$BJ34-3)="","",INDEX('Final Calculation Sheet'!$L$4:$L$40,$BJ34-3)),IF(OR($BI34=1,$BL34=1,$BH34&gt;0),IF($BI34=1,SUM('Final Calculation Sheet'!$L$4:$L$40),IF($BL34=1,SUM('Final Calculation Sheet'!$L$4:$L$40)-SUMIFS('Final Calculation Sheet'!$L$4:$L$40,$AZ$5:$AZ$41,10),SUMIFS('Final Calculation Sheet'!$L$4:$L$40,$AZ$5:$AZ$41,$BH34))),""))</f>
        <v>549.4</v>
      </c>
      <c r="N35" s="70">
        <f>IF($BJ34&gt;0,IF(INDEX('Final Calculation Sheet'!$M$4:$M$40,$BJ34-3)="","",INDEX('Final Calculation Sheet'!$M$4:$M$40,$BJ34-3)),IF(OR($BI34=1,$BL34=1,$BH34&gt;0),IF($BI34=1,SUM('Final Calculation Sheet'!$M$4:$M$40),IF($BL34=1,SUM('Final Calculation Sheet'!$M$4:$M$40)-SUMIFS('Final Calculation Sheet'!$M$4:$M$40,$AZ$5:$AZ$41,10),SUMIFS('Final Calculation Sheet'!$M$4:$M$40,$AZ$5:$AZ$41,$BH34))),""))</f>
        <v>14586.57</v>
      </c>
      <c r="O35" s="71">
        <f>IF($BJ34&gt;0,IF(INDEX('Final Calculation Sheet'!$N$4:$N$40,$BJ34-3)="","",INDEX('Final Calculation Sheet'!$N$4:$N$40,$BJ34-3)),IF(OR($BI34=1,$BL34=1,$BH34&gt;0),IF($BI34=1,SUM('Final Calculation Sheet'!$N$4:$N$40),IF($BL34=1,SUM('Final Calculation Sheet'!$N$4:$N$40)-SUMIFS('Final Calculation Sheet'!$N$4:$N$40,$AZ$5:$AZ$41,10),SUMIFS('Final Calculation Sheet'!$N$4:$N$40,$AZ$5:$AZ$41,$BH34))),""))</f>
        <v>247.23000000000002</v>
      </c>
      <c r="P35" s="70">
        <f>IF($BJ34&gt;0,IF(INDEX('Final Calculation Sheet'!$O$4:$O$40,$BJ34-3)="","",INDEX('Final Calculation Sheet'!$O$4:$O$40,$BJ34-3)),IF(OR($BI34=1,$BL34=1,$BH34&gt;0),IF($BI34=1,SUM('Final Calculation Sheet'!$O$4:$O$40),IF($BL34=1,SUM('Final Calculation Sheet'!$O$4:$O$40)-SUMIFS('Final Calculation Sheet'!$O$4:$O$40,$AZ$5:$AZ$41,10),SUMIFS('Final Calculation Sheet'!$O$4:$O$40,$AZ$5:$AZ$41,$BH34))),""))</f>
        <v>14339.34</v>
      </c>
      <c r="Q35" s="70">
        <f>IF($BJ34&gt;0,IF(INDEX('Final Calculation Sheet'!$P$4:$P$40,$BJ34-3)="","",INDEX('Final Calculation Sheet'!$P$4:$P$40,$BJ34-3)),IF(OR($BI34=1,$BL34=1,$BH34&gt;0),IF($BI34=1,SUM('Final Calculation Sheet'!$P$4:$P$40),IF($BL34=1,SUM('Final Calculation Sheet'!$P$4:$P$40)-SUMIFS('Final Calculation Sheet'!$P$4:$P$40,$AZ$5:$AZ$41,10),SUMIFS('Final Calculation Sheet'!$P$4:$P$40,$AZ$5:$AZ$41,$BH34))),""))</f>
        <v>14889</v>
      </c>
      <c r="R35" s="72">
        <f>IF($BJ34&gt;0,IF(INDEX('Final Calculation Sheet'!$Q$4:$Q$40,$BJ34-3)="","",INDEX('Final Calculation Sheet'!$Q$4:$Q$40,$BJ34-3)),IF(OR($BI34=1,$BL34=1,$BH34&gt;0),"–",""))</f>
        <v>0.02</v>
      </c>
      <c r="S35" s="70">
        <f>IF($BJ34&gt;0,IF(INDEX('Final Calculation Sheet'!$R$4:$R$40,$BJ34-3)="","",INDEX('Final Calculation Sheet'!$R$4:$R$40,$BJ34-3)),IF(OR($BI34=1,$BL34=1,$BH34&gt;0),IF($BI34=1,SUM('Final Calculation Sheet'!$R$4:$R$40),IF($BL34=1,SUM('Final Calculation Sheet'!$R$4:$R$40)-SUMIFS('Final Calculation Sheet'!$R$4:$R$40,$AZ$5:$AZ$41,10),SUMIFS('Final Calculation Sheet'!$R$4:$R$40,$AZ$5:$AZ$41,$BH34))),""))</f>
        <v>10988</v>
      </c>
      <c r="T35" s="70">
        <f>IF($BJ34&gt;0,IF(INDEX('Final Calculation Sheet'!$S$4:$S$40,$BJ34-3)="","",INDEX('Final Calculation Sheet'!$S$4:$S$40,$BJ34-3)),IF(OR($BI34=1,$BL34=1,$BH34&gt;0),IF($BI34=1,SUM('Final Calculation Sheet'!$S$4:$S$40),IF($BL34=1,SUM('Final Calculation Sheet'!$S$4:$S$40)-SUMIFS('Final Calculation Sheet'!$S$4:$S$40,$AZ$5:$AZ$41,10),SUMIFS('Final Calculation Sheet'!$S$4:$S$40,$AZ$5:$AZ$41,$BH34))),""))</f>
        <v>635381</v>
      </c>
      <c r="U35" s="70">
        <f>IF($BJ34&gt;0,IF(INDEX('Final Calculation Sheet'!$T$4:$T$40,$BJ34-3)="","",INDEX('Final Calculation Sheet'!$T$4:$T$40,$BJ34-3)),IF(OR($BI34=1,$BL34=1,$BH34&gt;0),IF($BI34=1,SUM('Final Calculation Sheet'!$T$4:$T$40),IF($BL34=1,SUM('Final Calculation Sheet'!$T$4:$T$40)-SUMIFS('Final Calculation Sheet'!$T$4:$T$40,$AZ$5:$AZ$41,10),SUMIFS('Final Calculation Sheet'!$T$4:$T$40,$AZ$5:$AZ$41,$BH34))),""))</f>
        <v>137350</v>
      </c>
      <c r="V35" s="73">
        <f>IF($BJ34&gt;0,IF(INDEX('Final Calculation Sheet'!$U$4:$U$40,$BJ34-3)="","",INDEX('Final Calculation Sheet'!$U$4:$U$40,$BJ34-3)),IF(OR($BI34=1,$BL34=1,$BH34&gt;0),IF($BI34=1,SUM('Final Calculation Sheet'!$U$4:$U$40),IF($BL34=1,SUM('Final Calculation Sheet'!$U$4:$U$40)-SUMIFS('Final Calculation Sheet'!$U$4:$U$40,$AZ$5:$AZ$41,10),SUMIFS('Final Calculation Sheet'!$U$4:$U$40,$AZ$5:$AZ$41,$BH34))),""))</f>
        <v>137350</v>
      </c>
      <c r="W35" s="70" t="str">
        <f>IF($BJ34&gt;0,IF(INDEX('Final Calculation Sheet'!$V$4:$V$40,$BJ34-3)="","",INDEX('Final Calculation Sheet'!$V$4:$V$40,$BJ34-3)),IF(OR($BI34=1,$BL34=1,$BH34&gt;0),"–",""))</f>
        <v>14.08.2026</v>
      </c>
      <c r="X35" s="70">
        <f>IF($BJ34&gt;0,IF(INDEX('Final Calculation Sheet'!$W$4:$W$40,$BJ34-3)="","",INDEX('Final Calculation Sheet'!$W$4:$W$40,$BJ34-3)),IF(OR($BI34=1,$BL34=1,$BH34&gt;0),IF($BI34=1,SUM('Final Calculation Sheet'!$W$4:$W$40),IF($BL34=1,SUM('Final Calculation Sheet'!$W$4:$W$40)-SUMIFS('Final Calculation Sheet'!$W$4:$W$40,$AZ$5:$AZ$41,10),SUMIFS('Final Calculation Sheet'!$W$4:$W$40,$AZ$5:$AZ$41,$BH34))),""))</f>
        <v>498031</v>
      </c>
      <c r="Y35" s="70" t="str">
        <f>IF($BJ34&gt;0,IF(INDEX('Final Calculation Sheet'!$X$4:$X$40,$BJ34-3)="","",INDEX('Final Calculation Sheet'!$X$4:$X$40,$BJ34-3)),IF(OR($BI34=1,$BL34=1,$BH34&gt;0),IF($BI34=1,SUM('Final Calculation Sheet'!$X$4:$X$40),IF($BL34=1,SUM('Final Calculation Sheet'!$X$4:$X$40)-SUMIFS('Final Calculation Sheet'!$X$4:$X$40,$AZ$5:$AZ$41,10),SUMIFS('Final Calculation Sheet'!$X$4:$X$40,$AZ$5:$AZ$41,$BH34))),""))</f>
        <v/>
      </c>
      <c r="Z35" s="70">
        <f>IF($BJ34&gt;0,IF(INDEX('Final Calculation Sheet'!$Y$4:$Y$40,$BJ34-3)="","",INDEX('Final Calculation Sheet'!$Y$4:$Y$40,$BJ34-3)),IF(OR($BI34=1,$BL34=1,$BH34&gt;0),"–",""))</f>
        <v>0</v>
      </c>
      <c r="AA35" s="70">
        <f ca="1">IF($BJ34&gt;0,IF(INDEX('Final Calculation Sheet'!$Z$4:$Z$40,$BJ34-3)="","",INDEX('Final Calculation Sheet'!$Z$4:$Z$40,$BJ34-3)),IF(OR($BI34=1,$BL34=1,$BH34&gt;0),IF($BI34=1,SUM('Final Calculation Sheet'!$Z$4:$Z$40),IF($BL34=1,SUM('Final Calculation Sheet'!$Z$4:$Z$40)-SUMIFS('Final Calculation Sheet'!$Z$4:$Z$40,$AZ$5:$AZ$41,10),SUMIFS('Final Calculation Sheet'!$Z$4:$Z$40,$AZ$5:$AZ$41,$BH34))),""))</f>
        <v>19448.760000000002</v>
      </c>
      <c r="AB35" s="70" t="str">
        <f>IF($BJ34&gt;0,IF(INDEX('Final Calculation Sheet'!$AA$4:$AA$40,$BJ34-3)="","",INDEX('Final Calculation Sheet'!$AA$4:$AA$40,$BJ34-3)),IF(OR($BI34=1,$BL34=1,$BH34&gt;0),IF($BI34=1,SUM('Final Calculation Sheet'!$AA$4:$AA$40),IF($BL34=1,SUM('Final Calculation Sheet'!$AA$4:$AA$40)-SUMIFS('Final Calculation Sheet'!$AA$4:$AA$40,$AZ$5:$AZ$41,10),SUMIFS('Final Calculation Sheet'!$AA$4:$AA$40,$AZ$5:$AZ$41,$BH34))),""))</f>
        <v/>
      </c>
      <c r="AC35" s="70" t="str">
        <f>IF($BJ34&gt;0,IF(INDEX('Final Calculation Sheet'!$AB$4:$AB$40,$BJ34-3)="","",INDEX('Final Calculation Sheet'!$AB$4:$AB$40,$BJ34-3)),IF(OR($BI34=1,$BL34=1,$BH34&gt;0),"–",""))</f>
        <v/>
      </c>
      <c r="AD35" s="70">
        <f>IF($BJ34&gt;0,IF(INDEX('Final Calculation Sheet'!$AC$4:$AC$40,$BJ34-3)="","",INDEX('Final Calculation Sheet'!$AC$4:$AC$40,$BJ34-3)),IF(OR($BI34=1,$BL34=1,$BH34&gt;0),IF($BI34=1,SUM('Final Calculation Sheet'!$AC$4:$AC$40),IF($BL34=1,SUM('Final Calculation Sheet'!$AC$4:$AC$40)-SUMIFS('Final Calculation Sheet'!$AC$4:$AC$40,$AZ$5:$AZ$41,10),SUMIFS('Final Calculation Sheet'!$AC$4:$AC$40,$AZ$5:$AZ$41,$BH34))),""))</f>
        <v>137350</v>
      </c>
      <c r="AE35" s="70">
        <f>IF($BJ34&gt;0,IF(INDEX('Final Calculation Sheet'!$AD$4:$AD$40,$BJ34-3)="","",INDEX('Final Calculation Sheet'!$AD$4:$AD$40,$BJ34-3)),IF(OR($BI34=1,$BL34=1,$BH34&gt;0),IF($BI34=1,SUM('Final Calculation Sheet'!$AD$4:$AD$40),IF($BL34=1,SUM('Final Calculation Sheet'!$AD$4:$AD$40)-SUMIFS('Final Calculation Sheet'!$AD$4:$AD$40,$AZ$5:$AZ$41,10),SUMIFS('Final Calculation Sheet'!$AD$4:$AD$40,$AZ$5:$AZ$41,$BH34))),""))</f>
        <v>498031</v>
      </c>
      <c r="AF35" s="70" t="str">
        <f>IF($BJ34&gt;0,IF(INDEX('Final Calculation Sheet'!$AE$4:$AE$40,$BJ34-3)="","",INDEX('Final Calculation Sheet'!$AE$4:$AE$40,$BJ34-3)),IF(OR($BI34=1,$BL34=1,$BH34&gt;0),"–",""))</f>
        <v/>
      </c>
      <c r="AG35" s="74" t="str">
        <f>IF($BJ34&gt;0,IF(INDEX('Final Calculation Sheet'!$AF$4:$AF$40,$BJ34-3)="","",INDEX('Final Calculation Sheet'!$AF$4:$AF$40,$BJ34-3)),IF(OR($BI34=1,$BL34=1,$BH34&gt;0),"–",""))</f>
        <v/>
      </c>
      <c r="AH35" s="70" t="str">
        <f>IF($BJ34&gt;0,IF(INDEX('Final Calculation Sheet'!$AG$4:$AG$40,$BJ34-3)="","",INDEX('Final Calculation Sheet'!$AG$4:$AG$40,$BJ34-3)),IF(OR($BI34=1,$BL34=1,$BH34&gt;0),"–",""))</f>
        <v/>
      </c>
      <c r="AI35" s="75" t="str">
        <f>IF($BJ34&gt;0,IF(INDEX('Final Calculation Sheet'!$AD$4:$AD$40,$BJ34-3)="","",IF(INDEX('Final Calculation Sheet'!$AD$4:$AD$40,$BJ34-3)&lt;=0,"SETTLED","OUTSTANDING")),IF(OR($BI34=1,$BL34=1,$BH34&gt;0),IF(IF($BI34=1,SUM('Final Calculation Sheet'!$AD$4:$AD$40),IF($BL34=1,SUM('Final Calculation Sheet'!$AD$4:$AD$40)-SUMIFS('Final Calculation Sheet'!$AD$4:$AD$40,$AZ$5:$AZ$41,10),SUMIFS('Final Calculation Sheet'!$AD$4:$AD$40,$AZ$5:$AZ$41,$BH34)))&lt;=0,"ALL SETTLED","OUTSTANDING"),""))</f>
        <v>OUTSTANDING</v>
      </c>
      <c r="AK35" t="str">
        <f>IF($F$3="Lot No.",'Final Calculation Sheet'!$F$34,IF($F$3="Buyer",'Final Calculation Sheet'!$G$34,IF($F$3="Lot Name",'Final Calculation Sheet'!$B$34,IF($F$3="Bid Sheet",'Final Calculation Sheet'!$D$34,IF($F$3="Unit",'Final Calculation Sheet'!$E$34,'Final Calculation Sheet'!$F$34&amp;" "&amp;'Final Calculation Sheet'!$G$34&amp;" "&amp;'Final Calculation Sheet'!$B$34)))))</f>
        <v>2062 STERLING ENTERPRISES Scrap of Empty oil Barrels</v>
      </c>
      <c r="AM35">
        <f t="shared" si="1"/>
        <v>1</v>
      </c>
      <c r="AZ35">
        <f t="shared" si="2"/>
        <v>2</v>
      </c>
      <c r="BA35">
        <f t="shared" si="3"/>
        <v>5</v>
      </c>
      <c r="BB35">
        <f t="shared" si="4"/>
        <v>14</v>
      </c>
      <c r="BC35">
        <v>34</v>
      </c>
      <c r="BH35">
        <f>IFERROR(MATCH(35,$BF$4:$BF$13,0),0)</f>
        <v>0</v>
      </c>
      <c r="BI35">
        <f>IF(35=$BG$5,1,0)</f>
        <v>0</v>
      </c>
      <c r="BJ35">
        <f>IF(OR($BH35&gt;0,$BI35=1,$BL35=1),0,IFERROR(INDEX($BC$5:$BC$41,MATCH(35,$BB$5:$BB$41,0)),0))</f>
        <v>29</v>
      </c>
      <c r="BK35">
        <f>IF($BJ35&gt;0,IF(INDEX($AZ$5:$AZ$41,MATCH(35,$BB$5:$BB$41,0))=10,1,0),IF($BH35=10,1,0))</f>
        <v>1</v>
      </c>
      <c r="BL35">
        <f>IF(35=$BG$4,1,0)</f>
        <v>0</v>
      </c>
      <c r="BM35">
        <f>IF($A$4="",1,--(AND(SUMPRODUCT(--($AS$60:$AZ$60&lt;&gt;""))&gt;0,IF(COUNTIF($BI$60:$BP$60,1)=0,TRUE,SUMPRODUCT(($BI$60:$BP$60=1)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$60,2)=0,TRUE,SUMPRODUCT(($BI$60:$BP$60=2)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$60,3)=0,TRUE,SUMPRODUCT(($BI$60:$BP$60=3)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$60,4)=0,TRUE,SUMPRODUCT(($BI$60:$BP$60=4)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$60,5)=0,TRUE,SUMPRODUCT(($BI$60:$BP$60=5)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$60,6)=0,TRUE,SUMPRODUCT(($BI$60:$BP$60=6)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$60,7)=0,TRUE,SUMPRODUCT(($BI$60:$BP$60=7)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$60,8)=0,TRUE,SUMPRODUCT(($BI$60:$BP$60=8)*($AS$60:$AZ$60&lt;&gt;"")*IF(((UPPER($AS$60:$AZ$60)="BLANK")+(UPPER($AS$60:$AZ$60)="(BLANK)")+(UPPER($AS$60:$AZ$60)="EMPTY")+(UPPER($AS$60:$AZ$60)="(EMPTY)"))&gt;0,IFERROR((ROW()-4)&amp;"","")="",ISNUMBER(SEARCH($AS$60:$AZ$60,IFERROR((ROW()-4)&amp;"","")))))&gt;0))))</f>
        <v>1</v>
      </c>
      <c r="BN35">
        <f>IF($B$4="",1,--(AND(SUMPRODUCT(--($AS$61:$AZ$61&lt;&gt;""))&gt;0,IF(COUNTIF($BI$61:$BP$61,1)=0,TRUE,SUMPRODUCT(($BI$61:$BP$61=1)*($AS$61:$AZ$61&lt;&gt;"")*IF(((UPPER($AS$61:$AZ$61)="BLANK")+(UPPER($AS$61:$AZ$61)="(BLANK)")+(UPPER($AS$61:$AZ$61)="EMPTY")+(UPPER($AS$61:$AZ$61)="(EMPTY)"))&gt;0,IFERROR(('Final Calculation Sheet'!$F$34)&amp;"","")="",ISNUMBER(SEARCH($AS$61:$AZ$61,IFERROR(('Final Calculation Sheet'!$F$34)&amp;"","")))))&gt;0),IF(COUNTIF($BI$61:$BP$61,2)=0,TRUE,SUMPRODUCT(($BI$61:$BP$61=2)*($AS$61:$AZ$61&lt;&gt;"")*IF(((UPPER($AS$61:$AZ$61)="BLANK")+(UPPER($AS$61:$AZ$61)="(BLANK)")+(UPPER($AS$61:$AZ$61)="EMPTY")+(UPPER($AS$61:$AZ$61)="(EMPTY)"))&gt;0,IFERROR(('Final Calculation Sheet'!$F$34)&amp;"","")="",ISNUMBER(SEARCH($AS$61:$AZ$61,IFERROR(('Final Calculation Sheet'!$F$34)&amp;"","")))))&gt;0),IF(COUNTIF($BI$61:$BP$61,3)=0,TRUE,SUMPRODUCT(($BI$61:$BP$61=3)*($AS$61:$AZ$61&lt;&gt;"")*IF(((UPPER($AS$61:$AZ$61)="BLANK")+(UPPER($AS$61:$AZ$61)="(BLANK)")+(UPPER($AS$61:$AZ$61)="EMPTY")+(UPPER($AS$61:$AZ$61)="(EMPTY)"))&gt;0,IFERROR(('Final Calculation Sheet'!$F$34)&amp;"","")="",ISNUMBER(SEARCH($AS$61:$AZ$61,IFERROR(('Final Calculation Sheet'!$F$34)&amp;"","")))))&gt;0),IF(COUNTIF($BI$61:$BP$61,4)=0,TRUE,SUMPRODUCT(($BI$61:$BP$61=4)*($AS$61:$AZ$61&lt;&gt;"")*IF(((UPPER($AS$61:$AZ$61)="BLANK")+(UPPER($AS$61:$AZ$61)="(BLANK)")+(UPPER($AS$61:$AZ$61)="EMPTY")+(UPPER($AS$61:$AZ$61)="(EMPTY)"))&gt;0,IFERROR(('Final Calculation Sheet'!$F$34)&amp;"","")="",ISNUMBER(SEARCH($AS$61:$AZ$61,IFERROR(('Final Calculation Sheet'!$F$34)&amp;"","")))))&gt;0),IF(COUNTIF($BI$61:$BP$61,5)=0,TRUE,SUMPRODUCT(($BI$61:$BP$61=5)*($AS$61:$AZ$61&lt;&gt;"")*IF(((UPPER($AS$61:$AZ$61)="BLANK")+(UPPER($AS$61:$AZ$61)="(BLANK)")+(UPPER($AS$61:$AZ$61)="EMPTY")+(UPPER($AS$61:$AZ$61)="(EMPTY)"))&gt;0,IFERROR(('Final Calculation Sheet'!$F$34)&amp;"","")="",ISNUMBER(SEARCH($AS$61:$AZ$61,IFERROR(('Final Calculation Sheet'!$F$34)&amp;"","")))))&gt;0),IF(COUNTIF($BI$61:$BP$61,6)=0,TRUE,SUMPRODUCT(($BI$61:$BP$61=6)*($AS$61:$AZ$61&lt;&gt;"")*IF(((UPPER($AS$61:$AZ$61)="BLANK")+(UPPER($AS$61:$AZ$61)="(BLANK)")+(UPPER($AS$61:$AZ$61)="EMPTY")+(UPPER($AS$61:$AZ$61)="(EMPTY)"))&gt;0,IFERROR(('Final Calculation Sheet'!$F$34)&amp;"","")="",ISNUMBER(SEARCH($AS$61:$AZ$61,IFERROR(('Final Calculation Sheet'!$F$34)&amp;"","")))))&gt;0),IF(COUNTIF($BI$61:$BP$61,7)=0,TRUE,SUMPRODUCT(($BI$61:$BP$61=7)*($AS$61:$AZ$61&lt;&gt;"")*IF(((UPPER($AS$61:$AZ$61)="BLANK")+(UPPER($AS$61:$AZ$61)="(BLANK)")+(UPPER($AS$61:$AZ$61)="EMPTY")+(UPPER($AS$61:$AZ$61)="(EMPTY)"))&gt;0,IFERROR(('Final Calculation Sheet'!$F$34)&amp;"","")="",ISNUMBER(SEARCH($AS$61:$AZ$61,IFERROR(('Final Calculation Sheet'!$F$34)&amp;"","")))))&gt;0),IF(COUNTIF($BI$61:$BP$61,8)=0,TRUE,SUMPRODUCT(($BI$61:$BP$61=8)*($AS$61:$AZ$61&lt;&gt;"")*IF(((UPPER($AS$61:$AZ$61)="BLANK")+(UPPER($AS$61:$AZ$61)="(BLANK)")+(UPPER($AS$61:$AZ$61)="EMPTY")+(UPPER($AS$61:$AZ$61)="(EMPTY)"))&gt;0,IFERROR(('Final Calculation Sheet'!$F$34)&amp;"","")="",ISNUMBER(SEARCH($AS$61:$AZ$61,IFERROR(('Final Calculation Sheet'!$F$34)&amp;"","")))))&gt;0))))</f>
        <v>1</v>
      </c>
      <c r="BO35">
        <f>IF($C$4="",1,--(AND(SUMPRODUCT(--($AS$62:$AZ$62&lt;&gt;""))&gt;0,IF(COUNTIF($BI$62:$BP$62,1)=0,TRUE,SUMPRODUCT(($BI$62:$BP$62=1)*($AS$62:$AZ$62&lt;&gt;"")*IF(((UPPER($AS$62:$AZ$62)="BLANK")+(UPPER($AS$62:$AZ$62)="(BLANK)")+(UPPER($AS$62:$AZ$62)="EMPTY")+(UPPER($AS$62:$AZ$62)="(EMPTY)"))&gt;0,IFERROR(('Final Calculation Sheet'!$G$34)&amp;"","")="",ISNUMBER(SEARCH($AS$62:$AZ$62,IFERROR(('Final Calculation Sheet'!$G$34)&amp;"","")))))&gt;0),IF(COUNTIF($BI$62:$BP$62,2)=0,TRUE,SUMPRODUCT(($BI$62:$BP$62=2)*($AS$62:$AZ$62&lt;&gt;"")*IF(((UPPER($AS$62:$AZ$62)="BLANK")+(UPPER($AS$62:$AZ$62)="(BLANK)")+(UPPER($AS$62:$AZ$62)="EMPTY")+(UPPER($AS$62:$AZ$62)="(EMPTY)"))&gt;0,IFERROR(('Final Calculation Sheet'!$G$34)&amp;"","")="",ISNUMBER(SEARCH($AS$62:$AZ$62,IFERROR(('Final Calculation Sheet'!$G$34)&amp;"","")))))&gt;0),IF(COUNTIF($BI$62:$BP$62,3)=0,TRUE,SUMPRODUCT(($BI$62:$BP$62=3)*($AS$62:$AZ$62&lt;&gt;"")*IF(((UPPER($AS$62:$AZ$62)="BLANK")+(UPPER($AS$62:$AZ$62)="(BLANK)")+(UPPER($AS$62:$AZ$62)="EMPTY")+(UPPER($AS$62:$AZ$62)="(EMPTY)"))&gt;0,IFERROR(('Final Calculation Sheet'!$G$34)&amp;"","")="",ISNUMBER(SEARCH($AS$62:$AZ$62,IFERROR(('Final Calculation Sheet'!$G$34)&amp;"","")))))&gt;0),IF(COUNTIF($BI$62:$BP$62,4)=0,TRUE,SUMPRODUCT(($BI$62:$BP$62=4)*($AS$62:$AZ$62&lt;&gt;"")*IF(((UPPER($AS$62:$AZ$62)="BLANK")+(UPPER($AS$62:$AZ$62)="(BLANK)")+(UPPER($AS$62:$AZ$62)="EMPTY")+(UPPER($AS$62:$AZ$62)="(EMPTY)"))&gt;0,IFERROR(('Final Calculation Sheet'!$G$34)&amp;"","")="",ISNUMBER(SEARCH($AS$62:$AZ$62,IFERROR(('Final Calculation Sheet'!$G$34)&amp;"","")))))&gt;0),IF(COUNTIF($BI$62:$BP$62,5)=0,TRUE,SUMPRODUCT(($BI$62:$BP$62=5)*($AS$62:$AZ$62&lt;&gt;"")*IF(((UPPER($AS$62:$AZ$62)="BLANK")+(UPPER($AS$62:$AZ$62)="(BLANK)")+(UPPER($AS$62:$AZ$62)="EMPTY")+(UPPER($AS$62:$AZ$62)="(EMPTY)"))&gt;0,IFERROR(('Final Calculation Sheet'!$G$34)&amp;"","")="",ISNUMBER(SEARCH($AS$62:$AZ$62,IFERROR(('Final Calculation Sheet'!$G$34)&amp;"","")))))&gt;0),IF(COUNTIF($BI$62:$BP$62,6)=0,TRUE,SUMPRODUCT(($BI$62:$BP$62=6)*($AS$62:$AZ$62&lt;&gt;"")*IF(((UPPER($AS$62:$AZ$62)="BLANK")+(UPPER($AS$62:$AZ$62)="(BLANK)")+(UPPER($AS$62:$AZ$62)="EMPTY")+(UPPER($AS$62:$AZ$62)="(EMPTY)"))&gt;0,IFERROR(('Final Calculation Sheet'!$G$34)&amp;"","")="",ISNUMBER(SEARCH($AS$62:$AZ$62,IFERROR(('Final Calculation Sheet'!$G$34)&amp;"","")))))&gt;0),IF(COUNTIF($BI$62:$BP$62,7)=0,TRUE,SUMPRODUCT(($BI$62:$BP$62=7)*($AS$62:$AZ$62&lt;&gt;"")*IF(((UPPER($AS$62:$AZ$62)="BLANK")+(UPPER($AS$62:$AZ$62)="(BLANK)")+(UPPER($AS$62:$AZ$62)="EMPTY")+(UPPER($AS$62:$AZ$62)="(EMPTY)"))&gt;0,IFERROR(('Final Calculation Sheet'!$G$34)&amp;"","")="",ISNUMBER(SEARCH($AS$62:$AZ$62,IFERROR(('Final Calculation Sheet'!$G$34)&amp;"","")))))&gt;0),IF(COUNTIF($BI$62:$BP$62,8)=0,TRUE,SUMPRODUCT(($BI$62:$BP$62=8)*($AS$62:$AZ$62&lt;&gt;"")*IF(((UPPER($AS$62:$AZ$62)="BLANK")+(UPPER($AS$62:$AZ$62)="(BLANK)")+(UPPER($AS$62:$AZ$62)="EMPTY")+(UPPER($AS$62:$AZ$62)="(EMPTY)"))&gt;0,IFERROR(('Final Calculation Sheet'!$G$34)&amp;"","")="",ISNUMBER(SEARCH($AS$62:$AZ$62,IFERROR(('Final Calculation Sheet'!$G$34)&amp;"","")))))&gt;0))))</f>
        <v>1</v>
      </c>
      <c r="BP35">
        <f>IF($D$4="",1,--(AND(SUMPRODUCT(--($AS$63:$AZ$63&lt;&gt;""))&gt;0,IF(COUNTIF($BI$63:$BP$63,1)=0,TRUE,SUMPRODUCT(($BI$63:$BP$63=1)*($AS$63:$AZ$63&lt;&gt;"")*IF(((UPPER($AS$63:$AZ$63)="BLANK")+(UPPER($AS$63:$AZ$63)="(BLANK)")+(UPPER($AS$63:$AZ$63)="EMPTY")+(UPPER($AS$63:$AZ$63)="(EMPTY)"))&gt;0,IFERROR(('Final Calculation Sheet'!$B$34)&amp;"","")="",ISNUMBER(SEARCH($AS$63:$AZ$63,IFERROR(('Final Calculation Sheet'!$B$34)&amp;"","")))))&gt;0),IF(COUNTIF($BI$63:$BP$63,2)=0,TRUE,SUMPRODUCT(($BI$63:$BP$63=2)*($AS$63:$AZ$63&lt;&gt;"")*IF(((UPPER($AS$63:$AZ$63)="BLANK")+(UPPER($AS$63:$AZ$63)="(BLANK)")+(UPPER($AS$63:$AZ$63)="EMPTY")+(UPPER($AS$63:$AZ$63)="(EMPTY)"))&gt;0,IFERROR(('Final Calculation Sheet'!$B$34)&amp;"","")="",ISNUMBER(SEARCH($AS$63:$AZ$63,IFERROR(('Final Calculation Sheet'!$B$34)&amp;"","")))))&gt;0),IF(COUNTIF($BI$63:$BP$63,3)=0,TRUE,SUMPRODUCT(($BI$63:$BP$63=3)*($AS$63:$AZ$63&lt;&gt;"")*IF(((UPPER($AS$63:$AZ$63)="BLANK")+(UPPER($AS$63:$AZ$63)="(BLANK)")+(UPPER($AS$63:$AZ$63)="EMPTY")+(UPPER($AS$63:$AZ$63)="(EMPTY)"))&gt;0,IFERROR(('Final Calculation Sheet'!$B$34)&amp;"","")="",ISNUMBER(SEARCH($AS$63:$AZ$63,IFERROR(('Final Calculation Sheet'!$B$34)&amp;"","")))))&gt;0),IF(COUNTIF($BI$63:$BP$63,4)=0,TRUE,SUMPRODUCT(($BI$63:$BP$63=4)*($AS$63:$AZ$63&lt;&gt;"")*IF(((UPPER($AS$63:$AZ$63)="BLANK")+(UPPER($AS$63:$AZ$63)="(BLANK)")+(UPPER($AS$63:$AZ$63)="EMPTY")+(UPPER($AS$63:$AZ$63)="(EMPTY)"))&gt;0,IFERROR(('Final Calculation Sheet'!$B$34)&amp;"","")="",ISNUMBER(SEARCH($AS$63:$AZ$63,IFERROR(('Final Calculation Sheet'!$B$34)&amp;"","")))))&gt;0),IF(COUNTIF($BI$63:$BP$63,5)=0,TRUE,SUMPRODUCT(($BI$63:$BP$63=5)*($AS$63:$AZ$63&lt;&gt;"")*IF(((UPPER($AS$63:$AZ$63)="BLANK")+(UPPER($AS$63:$AZ$63)="(BLANK)")+(UPPER($AS$63:$AZ$63)="EMPTY")+(UPPER($AS$63:$AZ$63)="(EMPTY)"))&gt;0,IFERROR(('Final Calculation Sheet'!$B$34)&amp;"","")="",ISNUMBER(SEARCH($AS$63:$AZ$63,IFERROR(('Final Calculation Sheet'!$B$34)&amp;"","")))))&gt;0),IF(COUNTIF($BI$63:$BP$63,6)=0,TRUE,SUMPRODUCT(($BI$63:$BP$63=6)*($AS$63:$AZ$63&lt;&gt;"")*IF(((UPPER($AS$63:$AZ$63)="BLANK")+(UPPER($AS$63:$AZ$63)="(BLANK)")+(UPPER($AS$63:$AZ$63)="EMPTY")+(UPPER($AS$63:$AZ$63)="(EMPTY)"))&gt;0,IFERROR(('Final Calculation Sheet'!$B$34)&amp;"","")="",ISNUMBER(SEARCH($AS$63:$AZ$63,IFERROR(('Final Calculation Sheet'!$B$34)&amp;"","")))))&gt;0),IF(COUNTIF($BI$63:$BP$63,7)=0,TRUE,SUMPRODUCT(($BI$63:$BP$63=7)*($AS$63:$AZ$63&lt;&gt;"")*IF(((UPPER($AS$63:$AZ$63)="BLANK")+(UPPER($AS$63:$AZ$63)="(BLANK)")+(UPPER($AS$63:$AZ$63)="EMPTY")+(UPPER($AS$63:$AZ$63)="(EMPTY)"))&gt;0,IFERROR(('Final Calculation Sheet'!$B$34)&amp;"","")="",ISNUMBER(SEARCH($AS$63:$AZ$63,IFERROR(('Final Calculation Sheet'!$B$34)&amp;"","")))))&gt;0),IF(COUNTIF($BI$63:$BP$63,8)=0,TRUE,SUMPRODUCT(($BI$63:$BP$63=8)*($AS$63:$AZ$63&lt;&gt;"")*IF(((UPPER($AS$63:$AZ$63)="BLANK")+(UPPER($AS$63:$AZ$63)="(BLANK)")+(UPPER($AS$63:$AZ$63)="EMPTY")+(UPPER($AS$63:$AZ$63)="(EMPTY)"))&gt;0,IFERROR(('Final Calculation Sheet'!$B$34)&amp;"","")="",ISNUMBER(SEARCH($AS$63:$AZ$63,IFERROR(('Final Calculation Sheet'!$B$34)&amp;"","")))))&gt;0))))</f>
        <v>1</v>
      </c>
      <c r="BQ35">
        <f>IF($E$4="",1,--(AND(SUMPRODUCT(--($AS$64:$AZ$64&lt;&gt;""))&gt;0,IF(COUNTIF($BI$64:$BP$64,1)=0,TRUE,SUMPRODUCT(($BI$64:$BP$64=1)*($AS$64:$AZ$64&lt;&gt;"")*IF(((UPPER($AS$64:$AZ$64)="BLANK")+(UPPER($AS$64:$AZ$64)="(BLANK)")+(UPPER($AS$64:$AZ$64)="EMPTY")+(UPPER($AS$64:$AZ$64)="(EMPTY)"))&gt;0,IFERROR(('Final Calculation Sheet'!$D$34)&amp;"","")="",ISNUMBER(SEARCH($AS$64:$AZ$64,IFERROR(('Final Calculation Sheet'!$D$34)&amp;"","")))))&gt;0),IF(COUNTIF($BI$64:$BP$64,2)=0,TRUE,SUMPRODUCT(($BI$64:$BP$64=2)*($AS$64:$AZ$64&lt;&gt;"")*IF(((UPPER($AS$64:$AZ$64)="BLANK")+(UPPER($AS$64:$AZ$64)="(BLANK)")+(UPPER($AS$64:$AZ$64)="EMPTY")+(UPPER($AS$64:$AZ$64)="(EMPTY)"))&gt;0,IFERROR(('Final Calculation Sheet'!$D$34)&amp;"","")="",ISNUMBER(SEARCH($AS$64:$AZ$64,IFERROR(('Final Calculation Sheet'!$D$34)&amp;"","")))))&gt;0),IF(COUNTIF($BI$64:$BP$64,3)=0,TRUE,SUMPRODUCT(($BI$64:$BP$64=3)*($AS$64:$AZ$64&lt;&gt;"")*IF(((UPPER($AS$64:$AZ$64)="BLANK")+(UPPER($AS$64:$AZ$64)="(BLANK)")+(UPPER($AS$64:$AZ$64)="EMPTY")+(UPPER($AS$64:$AZ$64)="(EMPTY)"))&gt;0,IFERROR(('Final Calculation Sheet'!$D$34)&amp;"","")="",ISNUMBER(SEARCH($AS$64:$AZ$64,IFERROR(('Final Calculation Sheet'!$D$34)&amp;"","")))))&gt;0),IF(COUNTIF($BI$64:$BP$64,4)=0,TRUE,SUMPRODUCT(($BI$64:$BP$64=4)*($AS$64:$AZ$64&lt;&gt;"")*IF(((UPPER($AS$64:$AZ$64)="BLANK")+(UPPER($AS$64:$AZ$64)="(BLANK)")+(UPPER($AS$64:$AZ$64)="EMPTY")+(UPPER($AS$64:$AZ$64)="(EMPTY)"))&gt;0,IFERROR(('Final Calculation Sheet'!$D$34)&amp;"","")="",ISNUMBER(SEARCH($AS$64:$AZ$64,IFERROR(('Final Calculation Sheet'!$D$34)&amp;"","")))))&gt;0),IF(COUNTIF($BI$64:$BP$64,5)=0,TRUE,SUMPRODUCT(($BI$64:$BP$64=5)*($AS$64:$AZ$64&lt;&gt;"")*IF(((UPPER($AS$64:$AZ$64)="BLANK")+(UPPER($AS$64:$AZ$64)="(BLANK)")+(UPPER($AS$64:$AZ$64)="EMPTY")+(UPPER($AS$64:$AZ$64)="(EMPTY)"))&gt;0,IFERROR(('Final Calculation Sheet'!$D$34)&amp;"","")="",ISNUMBER(SEARCH($AS$64:$AZ$64,IFERROR(('Final Calculation Sheet'!$D$34)&amp;"","")))))&gt;0),IF(COUNTIF($BI$64:$BP$64,6)=0,TRUE,SUMPRODUCT(($BI$64:$BP$64=6)*($AS$64:$AZ$64&lt;&gt;"")*IF(((UPPER($AS$64:$AZ$64)="BLANK")+(UPPER($AS$64:$AZ$64)="(BLANK)")+(UPPER($AS$64:$AZ$64)="EMPTY")+(UPPER($AS$64:$AZ$64)="(EMPTY)"))&gt;0,IFERROR(('Final Calculation Sheet'!$D$34)&amp;"","")="",ISNUMBER(SEARCH($AS$64:$AZ$64,IFERROR(('Final Calculation Sheet'!$D$34)&amp;"","")))))&gt;0),IF(COUNTIF($BI$64:$BP$64,7)=0,TRUE,SUMPRODUCT(($BI$64:$BP$64=7)*($AS$64:$AZ$64&lt;&gt;"")*IF(((UPPER($AS$64:$AZ$64)="BLANK")+(UPPER($AS$64:$AZ$64)="(BLANK)")+(UPPER($AS$64:$AZ$64)="EMPTY")+(UPPER($AS$64:$AZ$64)="(EMPTY)"))&gt;0,IFERROR(('Final Calculation Sheet'!$D$34)&amp;"","")="",ISNUMBER(SEARCH($AS$64:$AZ$64,IFERROR(('Final Calculation Sheet'!$D$34)&amp;"","")))))&gt;0),IF(COUNTIF($BI$64:$BP$64,8)=0,TRUE,SUMPRODUCT(($BI$64:$BP$64=8)*($AS$64:$AZ$64&lt;&gt;"")*IF(((UPPER($AS$64:$AZ$64)="BLANK")+(UPPER($AS$64:$AZ$64)="(BLANK)")+(UPPER($AS$64:$AZ$64)="EMPTY")+(UPPER($AS$64:$AZ$64)="(EMPTY)"))&gt;0,IFERROR(('Final Calculation Sheet'!$D$34)&amp;"","")="",ISNUMBER(SEARCH($AS$64:$AZ$64,IFERROR(('Final Calculation Sheet'!$D$34)&amp;"","")))))&gt;0))))</f>
        <v>1</v>
      </c>
      <c r="BR35">
        <f>IF($F$4="",1,--(AND(SUMPRODUCT(--($AS$65:$AZ$65&lt;&gt;""))&gt;0,IF(COUNTIF($BI$65:$BP$65,1)=0,TRUE,SUMPRODUCT(($BI$65:$BP$65=1)*($AS$65:$AZ$65&lt;&gt;"")*IF(((UPPER($AS$65:$AZ$65)="BLANK")+(UPPER($AS$65:$AZ$65)="(BLANK)")+(UPPER($AS$65:$AZ$65)="EMPTY")+(UPPER($AS$65:$AZ$65)="(EMPTY)"))&gt;0,IFERROR(('Final Calculation Sheet'!$A$34)&amp;"","")="",ISNUMBER(SEARCH($AS$65:$AZ$65,IFERROR(('Final Calculation Sheet'!$A$34)&amp;"","")))))&gt;0),IF(COUNTIF($BI$65:$BP$65,2)=0,TRUE,SUMPRODUCT(($BI$65:$BP$65=2)*($AS$65:$AZ$65&lt;&gt;"")*IF(((UPPER($AS$65:$AZ$65)="BLANK")+(UPPER($AS$65:$AZ$65)="(BLANK)")+(UPPER($AS$65:$AZ$65)="EMPTY")+(UPPER($AS$65:$AZ$65)="(EMPTY)"))&gt;0,IFERROR(('Final Calculation Sheet'!$A$34)&amp;"","")="",ISNUMBER(SEARCH($AS$65:$AZ$65,IFERROR(('Final Calculation Sheet'!$A$34)&amp;"","")))))&gt;0),IF(COUNTIF($BI$65:$BP$65,3)=0,TRUE,SUMPRODUCT(($BI$65:$BP$65=3)*($AS$65:$AZ$65&lt;&gt;"")*IF(((UPPER($AS$65:$AZ$65)="BLANK")+(UPPER($AS$65:$AZ$65)="(BLANK)")+(UPPER($AS$65:$AZ$65)="EMPTY")+(UPPER($AS$65:$AZ$65)="(EMPTY)"))&gt;0,IFERROR(('Final Calculation Sheet'!$A$34)&amp;"","")="",ISNUMBER(SEARCH($AS$65:$AZ$65,IFERROR(('Final Calculation Sheet'!$A$34)&amp;"","")))))&gt;0),IF(COUNTIF($BI$65:$BP$65,4)=0,TRUE,SUMPRODUCT(($BI$65:$BP$65=4)*($AS$65:$AZ$65&lt;&gt;"")*IF(((UPPER($AS$65:$AZ$65)="BLANK")+(UPPER($AS$65:$AZ$65)="(BLANK)")+(UPPER($AS$65:$AZ$65)="EMPTY")+(UPPER($AS$65:$AZ$65)="(EMPTY)"))&gt;0,IFERROR(('Final Calculation Sheet'!$A$34)&amp;"","")="",ISNUMBER(SEARCH($AS$65:$AZ$65,IFERROR(('Final Calculation Sheet'!$A$34)&amp;"","")))))&gt;0),IF(COUNTIF($BI$65:$BP$65,5)=0,TRUE,SUMPRODUCT(($BI$65:$BP$65=5)*($AS$65:$AZ$65&lt;&gt;"")*IF(((UPPER($AS$65:$AZ$65)="BLANK")+(UPPER($AS$65:$AZ$65)="(BLANK)")+(UPPER($AS$65:$AZ$65)="EMPTY")+(UPPER($AS$65:$AZ$65)="(EMPTY)"))&gt;0,IFERROR(('Final Calculation Sheet'!$A$34)&amp;"","")="",ISNUMBER(SEARCH($AS$65:$AZ$65,IFERROR(('Final Calculation Sheet'!$A$34)&amp;"","")))))&gt;0),IF(COUNTIF($BI$65:$BP$65,6)=0,TRUE,SUMPRODUCT(($BI$65:$BP$65=6)*($AS$65:$AZ$65&lt;&gt;"")*IF(((UPPER($AS$65:$AZ$65)="BLANK")+(UPPER($AS$65:$AZ$65)="(BLANK)")+(UPPER($AS$65:$AZ$65)="EMPTY")+(UPPER($AS$65:$AZ$65)="(EMPTY)"))&gt;0,IFERROR(('Final Calculation Sheet'!$A$34)&amp;"","")="",ISNUMBER(SEARCH($AS$65:$AZ$65,IFERROR(('Final Calculation Sheet'!$A$34)&amp;"","")))))&gt;0),IF(COUNTIF($BI$65:$BP$65,7)=0,TRUE,SUMPRODUCT(($BI$65:$BP$65=7)*($AS$65:$AZ$65&lt;&gt;"")*IF(((UPPER($AS$65:$AZ$65)="BLANK")+(UPPER($AS$65:$AZ$65)="(BLANK)")+(UPPER($AS$65:$AZ$65)="EMPTY")+(UPPER($AS$65:$AZ$65)="(EMPTY)"))&gt;0,IFERROR(('Final Calculation Sheet'!$A$34)&amp;"","")="",ISNUMBER(SEARCH($AS$65:$AZ$65,IFERROR(('Final Calculation Sheet'!$A$34)&amp;"","")))))&gt;0),IF(COUNTIF($BI$65:$BP$65,8)=0,TRUE,SUMPRODUCT(($BI$65:$BP$65=8)*($AS$65:$AZ$65&lt;&gt;"")*IF(((UPPER($AS$65:$AZ$65)="BLANK")+(UPPER($AS$65:$AZ$65)="(BLANK)")+(UPPER($AS$65:$AZ$65)="EMPTY")+(UPPER($AS$65:$AZ$65)="(EMPTY)"))&gt;0,IFERROR(('Final Calculation Sheet'!$A$34)&amp;"","")="",ISNUMBER(SEARCH($AS$65:$AZ$65,IFERROR(('Final Calculation Sheet'!$A$34)&amp;"","")))))&gt;0))))</f>
        <v>1</v>
      </c>
      <c r="BS35">
        <f>IF($G$4="",1,--(AND(SUMPRODUCT(--($AS$66:$AZ$66&lt;&gt;""))&gt;0,IF(COUNTIF($BI$66:$BP$66,1)=0,TRUE,SUMPRODUCT(($BI$66:$BP$66=1)*($AS$66:$AZ$66&lt;&gt;"")*IF(((UPPER($AS$66:$AZ$66)="BLANK")+(UPPER($AS$66:$AZ$66)="(BLANK)")+(UPPER($AS$66:$AZ$66)="EMPTY")+(UPPER($AS$66:$AZ$66)="(EMPTY)"))&gt;0,IFERROR(('Final Calculation Sheet'!$E$34)&amp;"","")="",ISNUMBER(SEARCH($AS$66:$AZ$66,IFERROR(('Final Calculation Sheet'!$E$34)&amp;"","")))))&gt;0),IF(COUNTIF($BI$66:$BP$66,2)=0,TRUE,SUMPRODUCT(($BI$66:$BP$66=2)*($AS$66:$AZ$66&lt;&gt;"")*IF(((UPPER($AS$66:$AZ$66)="BLANK")+(UPPER($AS$66:$AZ$66)="(BLANK)")+(UPPER($AS$66:$AZ$66)="EMPTY")+(UPPER($AS$66:$AZ$66)="(EMPTY)"))&gt;0,IFERROR(('Final Calculation Sheet'!$E$34)&amp;"","")="",ISNUMBER(SEARCH($AS$66:$AZ$66,IFERROR(('Final Calculation Sheet'!$E$34)&amp;"","")))))&gt;0),IF(COUNTIF($BI$66:$BP$66,3)=0,TRUE,SUMPRODUCT(($BI$66:$BP$66=3)*($AS$66:$AZ$66&lt;&gt;"")*IF(((UPPER($AS$66:$AZ$66)="BLANK")+(UPPER($AS$66:$AZ$66)="(BLANK)")+(UPPER($AS$66:$AZ$66)="EMPTY")+(UPPER($AS$66:$AZ$66)="(EMPTY)"))&gt;0,IFERROR(('Final Calculation Sheet'!$E$34)&amp;"","")="",ISNUMBER(SEARCH($AS$66:$AZ$66,IFERROR(('Final Calculation Sheet'!$E$34)&amp;"","")))))&gt;0),IF(COUNTIF($BI$66:$BP$66,4)=0,TRUE,SUMPRODUCT(($BI$66:$BP$66=4)*($AS$66:$AZ$66&lt;&gt;"")*IF(((UPPER($AS$66:$AZ$66)="BLANK")+(UPPER($AS$66:$AZ$66)="(BLANK)")+(UPPER($AS$66:$AZ$66)="EMPTY")+(UPPER($AS$66:$AZ$66)="(EMPTY)"))&gt;0,IFERROR(('Final Calculation Sheet'!$E$34)&amp;"","")="",ISNUMBER(SEARCH($AS$66:$AZ$66,IFERROR(('Final Calculation Sheet'!$E$34)&amp;"","")))))&gt;0),IF(COUNTIF($BI$66:$BP$66,5)=0,TRUE,SUMPRODUCT(($BI$66:$BP$66=5)*($AS$66:$AZ$66&lt;&gt;"")*IF(((UPPER($AS$66:$AZ$66)="BLANK")+(UPPER($AS$66:$AZ$66)="(BLANK)")+(UPPER($AS$66:$AZ$66)="EMPTY")+(UPPER($AS$66:$AZ$66)="(EMPTY)"))&gt;0,IFERROR(('Final Calculation Sheet'!$E$34)&amp;"","")="",ISNUMBER(SEARCH($AS$66:$AZ$66,IFERROR(('Final Calculation Sheet'!$E$34)&amp;"","")))))&gt;0),IF(COUNTIF($BI$66:$BP$66,6)=0,TRUE,SUMPRODUCT(($BI$66:$BP$66=6)*($AS$66:$AZ$66&lt;&gt;"")*IF(((UPPER($AS$66:$AZ$66)="BLANK")+(UPPER($AS$66:$AZ$66)="(BLANK)")+(UPPER($AS$66:$AZ$66)="EMPTY")+(UPPER($AS$66:$AZ$66)="(EMPTY)"))&gt;0,IFERROR(('Final Calculation Sheet'!$E$34)&amp;"","")="",ISNUMBER(SEARCH($AS$66:$AZ$66,IFERROR(('Final Calculation Sheet'!$E$34)&amp;"","")))))&gt;0),IF(COUNTIF($BI$66:$BP$66,7)=0,TRUE,SUMPRODUCT(($BI$66:$BP$66=7)*($AS$66:$AZ$66&lt;&gt;"")*IF(((UPPER($AS$66:$AZ$66)="BLANK")+(UPPER($AS$66:$AZ$66)="(BLANK)")+(UPPER($AS$66:$AZ$66)="EMPTY")+(UPPER($AS$66:$AZ$66)="(EMPTY)"))&gt;0,IFERROR(('Final Calculation Sheet'!$E$34)&amp;"","")="",ISNUMBER(SEARCH($AS$66:$AZ$66,IFERROR(('Final Calculation Sheet'!$E$34)&amp;"","")))))&gt;0),IF(COUNTIF($BI$66:$BP$66,8)=0,TRUE,SUMPRODUCT(($BI$66:$BP$66=8)*($AS$66:$AZ$66&lt;&gt;"")*IF(((UPPER($AS$66:$AZ$66)="BLANK")+(UPPER($AS$66:$AZ$66)="(BLANK)")+(UPPER($AS$66:$AZ$66)="EMPTY")+(UPPER($AS$66:$AZ$66)="(EMPTY)"))&gt;0,IFERROR(('Final Calculation Sheet'!$E$34)&amp;"","")="",ISNUMBER(SEARCH($AS$66:$AZ$66,IFERROR(('Final Calculation Sheet'!$E$34)&amp;"","")))))&gt;0))))</f>
        <v>1</v>
      </c>
      <c r="BT35">
        <f>IF($H$4="",1,--(AND(SUMPRODUCT(--($AS$67:$AZ$67&lt;&gt;""))&gt;0,IF(COUNTIF($BI$67:$BP$67,1)=0,TRUE,SUMPRODUCT(($BI$67:$BP$67=1)*($AS$67:$AZ$67&lt;&gt;"")*IF(((UPPER($AS$67:$AZ$67)="BLANK")+(UPPER($AS$67:$AZ$67)="(BLANK)")+(UPPER($AS$67:$AZ$67)="EMPTY")+(UPPER($AS$67:$AZ$67)="(EMPTY)"))&gt;0,IFERROR(('Final Calculation Sheet'!$C$34)&amp;"","")="",ISNUMBER(SEARCH($AS$67:$AZ$67,IFERROR(('Final Calculation Sheet'!$C$34)&amp;"","")))))&gt;0),IF(COUNTIF($BI$67:$BP$67,2)=0,TRUE,SUMPRODUCT(($BI$67:$BP$67=2)*($AS$67:$AZ$67&lt;&gt;"")*IF(((UPPER($AS$67:$AZ$67)="BLANK")+(UPPER($AS$67:$AZ$67)="(BLANK)")+(UPPER($AS$67:$AZ$67)="EMPTY")+(UPPER($AS$67:$AZ$67)="(EMPTY)"))&gt;0,IFERROR(('Final Calculation Sheet'!$C$34)&amp;"","")="",ISNUMBER(SEARCH($AS$67:$AZ$67,IFERROR(('Final Calculation Sheet'!$C$34)&amp;"","")))))&gt;0),IF(COUNTIF($BI$67:$BP$67,3)=0,TRUE,SUMPRODUCT(($BI$67:$BP$67=3)*($AS$67:$AZ$67&lt;&gt;"")*IF(((UPPER($AS$67:$AZ$67)="BLANK")+(UPPER($AS$67:$AZ$67)="(BLANK)")+(UPPER($AS$67:$AZ$67)="EMPTY")+(UPPER($AS$67:$AZ$67)="(EMPTY)"))&gt;0,IFERROR(('Final Calculation Sheet'!$C$34)&amp;"","")="",ISNUMBER(SEARCH($AS$67:$AZ$67,IFERROR(('Final Calculation Sheet'!$C$34)&amp;"","")))))&gt;0),IF(COUNTIF($BI$67:$BP$67,4)=0,TRUE,SUMPRODUCT(($BI$67:$BP$67=4)*($AS$67:$AZ$67&lt;&gt;"")*IF(((UPPER($AS$67:$AZ$67)="BLANK")+(UPPER($AS$67:$AZ$67)="(BLANK)")+(UPPER($AS$67:$AZ$67)="EMPTY")+(UPPER($AS$67:$AZ$67)="(EMPTY)"))&gt;0,IFERROR(('Final Calculation Sheet'!$C$34)&amp;"","")="",ISNUMBER(SEARCH($AS$67:$AZ$67,IFERROR(('Final Calculation Sheet'!$C$34)&amp;"","")))))&gt;0),IF(COUNTIF($BI$67:$BP$67,5)=0,TRUE,SUMPRODUCT(($BI$67:$BP$67=5)*($AS$67:$AZ$67&lt;&gt;"")*IF(((UPPER($AS$67:$AZ$67)="BLANK")+(UPPER($AS$67:$AZ$67)="(BLANK)")+(UPPER($AS$67:$AZ$67)="EMPTY")+(UPPER($AS$67:$AZ$67)="(EMPTY)"))&gt;0,IFERROR(('Final Calculation Sheet'!$C$34)&amp;"","")="",ISNUMBER(SEARCH($AS$67:$AZ$67,IFERROR(('Final Calculation Sheet'!$C$34)&amp;"","")))))&gt;0),IF(COUNTIF($BI$67:$BP$67,6)=0,TRUE,SUMPRODUCT(($BI$67:$BP$67=6)*($AS$67:$AZ$67&lt;&gt;"")*IF(((UPPER($AS$67:$AZ$67)="BLANK")+(UPPER($AS$67:$AZ$67)="(BLANK)")+(UPPER($AS$67:$AZ$67)="EMPTY")+(UPPER($AS$67:$AZ$67)="(EMPTY)"))&gt;0,IFERROR(('Final Calculation Sheet'!$C$34)&amp;"","")="",ISNUMBER(SEARCH($AS$67:$AZ$67,IFERROR(('Final Calculation Sheet'!$C$34)&amp;"","")))))&gt;0),IF(COUNTIF($BI$67:$BP$67,7)=0,TRUE,SUMPRODUCT(($BI$67:$BP$67=7)*($AS$67:$AZ$67&lt;&gt;"")*IF(((UPPER($AS$67:$AZ$67)="BLANK")+(UPPER($AS$67:$AZ$67)="(BLANK)")+(UPPER($AS$67:$AZ$67)="EMPTY")+(UPPER($AS$67:$AZ$67)="(EMPTY)"))&gt;0,IFERROR(('Final Calculation Sheet'!$C$34)&amp;"","")="",ISNUMBER(SEARCH($AS$67:$AZ$67,IFERROR(('Final Calculation Sheet'!$C$34)&amp;"","")))))&gt;0),IF(COUNTIF($BI$67:$BP$67,8)=0,TRUE,SUMPRODUCT(($BI$67:$BP$67=8)*($AS$67:$AZ$67&lt;&gt;"")*IF(((UPPER($AS$67:$AZ$67)="BLANK")+(UPPER($AS$67:$AZ$67)="(BLANK)")+(UPPER($AS$67:$AZ$67)="EMPTY")+(UPPER($AS$67:$AZ$67)="(EMPTY)"))&gt;0,IFERROR(('Final Calculation Sheet'!$C$34)&amp;"","")="",ISNUMBER(SEARCH($AS$67:$AZ$67,IFERROR(('Final Calculation Sheet'!$C$34)&amp;"","")))))&gt;0))))</f>
        <v>1</v>
      </c>
      <c r="BU35">
        <f>IF($I$4="",1,--(AND(SUMPRODUCT(--($AS$68:$AZ$68&lt;&gt;""))&gt;0,IF(COUNTIF($BI$68:$BP$68,1)=0,TRUE,SUMPRODUCT(($BI$68:$BP$68=1)*($AS$68:$AZ$68&lt;&gt;"")*IF(((UPPER($AS$68:$AZ$68)="BLANK")+(UPPER($AS$68:$AZ$68)="(BLANK)")+(UPPER($AS$68:$AZ$68)="EMPTY")+(UPPER($AS$68:$AZ$68)="(EMPTY)"))&gt;0,IFERROR(('Final Calculation Sheet'!$H$34)&amp;"","")="",ISNUMBER(SEARCH($AS$68:$AZ$68,IFERROR(('Final Calculation Sheet'!$H$34)&amp;"","")))))&gt;0),IF(COUNTIF($BI$68:$BP$68,2)=0,TRUE,SUMPRODUCT(($BI$68:$BP$68=2)*($AS$68:$AZ$68&lt;&gt;"")*IF(((UPPER($AS$68:$AZ$68)="BLANK")+(UPPER($AS$68:$AZ$68)="(BLANK)")+(UPPER($AS$68:$AZ$68)="EMPTY")+(UPPER($AS$68:$AZ$68)="(EMPTY)"))&gt;0,IFERROR(('Final Calculation Sheet'!$H$34)&amp;"","")="",ISNUMBER(SEARCH($AS$68:$AZ$68,IFERROR(('Final Calculation Sheet'!$H$34)&amp;"","")))))&gt;0),IF(COUNTIF($BI$68:$BP$68,3)=0,TRUE,SUMPRODUCT(($BI$68:$BP$68=3)*($AS$68:$AZ$68&lt;&gt;"")*IF(((UPPER($AS$68:$AZ$68)="BLANK")+(UPPER($AS$68:$AZ$68)="(BLANK)")+(UPPER($AS$68:$AZ$68)="EMPTY")+(UPPER($AS$68:$AZ$68)="(EMPTY)"))&gt;0,IFERROR(('Final Calculation Sheet'!$H$34)&amp;"","")="",ISNUMBER(SEARCH($AS$68:$AZ$68,IFERROR(('Final Calculation Sheet'!$H$34)&amp;"","")))))&gt;0),IF(COUNTIF($BI$68:$BP$68,4)=0,TRUE,SUMPRODUCT(($BI$68:$BP$68=4)*($AS$68:$AZ$68&lt;&gt;"")*IF(((UPPER($AS$68:$AZ$68)="BLANK")+(UPPER($AS$68:$AZ$68)="(BLANK)")+(UPPER($AS$68:$AZ$68)="EMPTY")+(UPPER($AS$68:$AZ$68)="(EMPTY)"))&gt;0,IFERROR(('Final Calculation Sheet'!$H$34)&amp;"","")="",ISNUMBER(SEARCH($AS$68:$AZ$68,IFERROR(('Final Calculation Sheet'!$H$34)&amp;"","")))))&gt;0),IF(COUNTIF($BI$68:$BP$68,5)=0,TRUE,SUMPRODUCT(($BI$68:$BP$68=5)*($AS$68:$AZ$68&lt;&gt;"")*IF(((UPPER($AS$68:$AZ$68)="BLANK")+(UPPER($AS$68:$AZ$68)="(BLANK)")+(UPPER($AS$68:$AZ$68)="EMPTY")+(UPPER($AS$68:$AZ$68)="(EMPTY)"))&gt;0,IFERROR(('Final Calculation Sheet'!$H$34)&amp;"","")="",ISNUMBER(SEARCH($AS$68:$AZ$68,IFERROR(('Final Calculation Sheet'!$H$34)&amp;"","")))))&gt;0),IF(COUNTIF($BI$68:$BP$68,6)=0,TRUE,SUMPRODUCT(($BI$68:$BP$68=6)*($AS$68:$AZ$68&lt;&gt;"")*IF(((UPPER($AS$68:$AZ$68)="BLANK")+(UPPER($AS$68:$AZ$68)="(BLANK)")+(UPPER($AS$68:$AZ$68)="EMPTY")+(UPPER($AS$68:$AZ$68)="(EMPTY)"))&gt;0,IFERROR(('Final Calculation Sheet'!$H$34)&amp;"","")="",ISNUMBER(SEARCH($AS$68:$AZ$68,IFERROR(('Final Calculation Sheet'!$H$34)&amp;"","")))))&gt;0),IF(COUNTIF($BI$68:$BP$68,7)=0,TRUE,SUMPRODUCT(($BI$68:$BP$68=7)*($AS$68:$AZ$68&lt;&gt;"")*IF(((UPPER($AS$68:$AZ$68)="BLANK")+(UPPER($AS$68:$AZ$68)="(BLANK)")+(UPPER($AS$68:$AZ$68)="EMPTY")+(UPPER($AS$68:$AZ$68)="(EMPTY)"))&gt;0,IFERROR(('Final Calculation Sheet'!$H$34)&amp;"","")="",ISNUMBER(SEARCH($AS$68:$AZ$68,IFERROR(('Final Calculation Sheet'!$H$34)&amp;"","")))))&gt;0),IF(COUNTIF($BI$68:$BP$68,8)=0,TRUE,SUMPRODUCT(($BI$68:$BP$68=8)*($AS$68:$AZ$68&lt;&gt;"")*IF(((UPPER($AS$68:$AZ$68)="BLANK")+(UPPER($AS$68:$AZ$68)="(BLANK)")+(UPPER($AS$68:$AZ$68)="EMPTY")+(UPPER($AS$68:$AZ$68)="(EMPTY)"))&gt;0,IFERROR(('Final Calculation Sheet'!$H$34)&amp;"","")="",ISNUMBER(SEARCH($AS$68:$AZ$68,IFERROR(('Final Calculation Sheet'!$H$34)&amp;"","")))))&gt;0))))</f>
        <v>1</v>
      </c>
      <c r="BV35">
        <f>IF($J$4="",1,--(AND(SUMPRODUCT(--($AS$69:$AZ$69&lt;&gt;""))&gt;0,IF(COUNTIF($BI$69:$BP$69,1)=0,TRUE,SUMPRODUCT(($BI$69:$BP$69=1)*($AS$69:$AZ$69&lt;&gt;"")*IF(((UPPER($AS$69:$AZ$69)="BLANK")+(UPPER($AS$69:$AZ$69)="(BLANK)")+(UPPER($AS$69:$AZ$69)="EMPTY")+(UPPER($AS$69:$AZ$69)="(EMPTY)"))&gt;0,IFERROR(('Final Calculation Sheet'!$I$34)&amp;"","")="",ISNUMBER(SEARCH($AS$69:$AZ$69,IFERROR(('Final Calculation Sheet'!$I$34)&amp;"","")))))&gt;0),IF(COUNTIF($BI$69:$BP$69,2)=0,TRUE,SUMPRODUCT(($BI$69:$BP$69=2)*($AS$69:$AZ$69&lt;&gt;"")*IF(((UPPER($AS$69:$AZ$69)="BLANK")+(UPPER($AS$69:$AZ$69)="(BLANK)")+(UPPER($AS$69:$AZ$69)="EMPTY")+(UPPER($AS$69:$AZ$69)="(EMPTY)"))&gt;0,IFERROR(('Final Calculation Sheet'!$I$34)&amp;"","")="",ISNUMBER(SEARCH($AS$69:$AZ$69,IFERROR(('Final Calculation Sheet'!$I$34)&amp;"","")))))&gt;0),IF(COUNTIF($BI$69:$BP$69,3)=0,TRUE,SUMPRODUCT(($BI$69:$BP$69=3)*($AS$69:$AZ$69&lt;&gt;"")*IF(((UPPER($AS$69:$AZ$69)="BLANK")+(UPPER($AS$69:$AZ$69)="(BLANK)")+(UPPER($AS$69:$AZ$69)="EMPTY")+(UPPER($AS$69:$AZ$69)="(EMPTY)"))&gt;0,IFERROR(('Final Calculation Sheet'!$I$34)&amp;"","")="",ISNUMBER(SEARCH($AS$69:$AZ$69,IFERROR(('Final Calculation Sheet'!$I$34)&amp;"","")))))&gt;0),IF(COUNTIF($BI$69:$BP$69,4)=0,TRUE,SUMPRODUCT(($BI$69:$BP$69=4)*($AS$69:$AZ$69&lt;&gt;"")*IF(((UPPER($AS$69:$AZ$69)="BLANK")+(UPPER($AS$69:$AZ$69)="(BLANK)")+(UPPER($AS$69:$AZ$69)="EMPTY")+(UPPER($AS$69:$AZ$69)="(EMPTY)"))&gt;0,IFERROR(('Final Calculation Sheet'!$I$34)&amp;"","")="",ISNUMBER(SEARCH($AS$69:$AZ$69,IFERROR(('Final Calculation Sheet'!$I$34)&amp;"","")))))&gt;0),IF(COUNTIF($BI$69:$BP$69,5)=0,TRUE,SUMPRODUCT(($BI$69:$BP$69=5)*($AS$69:$AZ$69&lt;&gt;"")*IF(((UPPER($AS$69:$AZ$69)="BLANK")+(UPPER($AS$69:$AZ$69)="(BLANK)")+(UPPER($AS$69:$AZ$69)="EMPTY")+(UPPER($AS$69:$AZ$69)="(EMPTY)"))&gt;0,IFERROR(('Final Calculation Sheet'!$I$34)&amp;"","")="",ISNUMBER(SEARCH($AS$69:$AZ$69,IFERROR(('Final Calculation Sheet'!$I$34)&amp;"","")))))&gt;0),IF(COUNTIF($BI$69:$BP$69,6)=0,TRUE,SUMPRODUCT(($BI$69:$BP$69=6)*($AS$69:$AZ$69&lt;&gt;"")*IF(((UPPER($AS$69:$AZ$69)="BLANK")+(UPPER($AS$69:$AZ$69)="(BLANK)")+(UPPER($AS$69:$AZ$69)="EMPTY")+(UPPER($AS$69:$AZ$69)="(EMPTY)"))&gt;0,IFERROR(('Final Calculation Sheet'!$I$34)&amp;"","")="",ISNUMBER(SEARCH($AS$69:$AZ$69,IFERROR(('Final Calculation Sheet'!$I$34)&amp;"","")))))&gt;0),IF(COUNTIF($BI$69:$BP$69,7)=0,TRUE,SUMPRODUCT(($BI$69:$BP$69=7)*($AS$69:$AZ$69&lt;&gt;"")*IF(((UPPER($AS$69:$AZ$69)="BLANK")+(UPPER($AS$69:$AZ$69)="(BLANK)")+(UPPER($AS$69:$AZ$69)="EMPTY")+(UPPER($AS$69:$AZ$69)="(EMPTY)"))&gt;0,IFERROR(('Final Calculation Sheet'!$I$34)&amp;"","")="",ISNUMBER(SEARCH($AS$69:$AZ$69,IFERROR(('Final Calculation Sheet'!$I$34)&amp;"","")))))&gt;0),IF(COUNTIF($BI$69:$BP$69,8)=0,TRUE,SUMPRODUCT(($BI$69:$BP$69=8)*($AS$69:$AZ$69&lt;&gt;"")*IF(((UPPER($AS$69:$AZ$69)="BLANK")+(UPPER($AS$69:$AZ$69)="(BLANK)")+(UPPER($AS$69:$AZ$69)="EMPTY")+(UPPER($AS$69:$AZ$69)="(EMPTY)"))&gt;0,IFERROR(('Final Calculation Sheet'!$I$34)&amp;"","")="",ISNUMBER(SEARCH($AS$69:$AZ$69,IFERROR(('Final Calculation Sheet'!$I$34)&amp;"","")))))&gt;0))))</f>
        <v>1</v>
      </c>
      <c r="BW35">
        <f>IF($K$4="",1,--(AND(SUMPRODUCT(--($AS$70:$AZ$70&lt;&gt;""))&gt;0,IF(COUNTIF($BI$70:$BP$70,1)=0,TRUE,SUMPRODUCT(($BI$70:$BP$70=1)*($AS$70:$AZ$70&lt;&gt;"")*IF(((UPPER($AS$70:$AZ$70)="BLANK")+(UPPER($AS$70:$AZ$70)="(BLANK)")+(UPPER($AS$70:$AZ$70)="EMPTY")+(UPPER($AS$70:$AZ$70)="(EMPTY)"))&gt;0,IFERROR(('Final Calculation Sheet'!$J$34)&amp;"","")="",ISNUMBER(SEARCH($AS$70:$AZ$70,IFERROR(('Final Calculation Sheet'!$J$34)&amp;"","")))))&gt;0),IF(COUNTIF($BI$70:$BP$70,2)=0,TRUE,SUMPRODUCT(($BI$70:$BP$70=2)*($AS$70:$AZ$70&lt;&gt;"")*IF(((UPPER($AS$70:$AZ$70)="BLANK")+(UPPER($AS$70:$AZ$70)="(BLANK)")+(UPPER($AS$70:$AZ$70)="EMPTY")+(UPPER($AS$70:$AZ$70)="(EMPTY)"))&gt;0,IFERROR(('Final Calculation Sheet'!$J$34)&amp;"","")="",ISNUMBER(SEARCH($AS$70:$AZ$70,IFERROR(('Final Calculation Sheet'!$J$34)&amp;"","")))))&gt;0),IF(COUNTIF($BI$70:$BP$70,3)=0,TRUE,SUMPRODUCT(($BI$70:$BP$70=3)*($AS$70:$AZ$70&lt;&gt;"")*IF(((UPPER($AS$70:$AZ$70)="BLANK")+(UPPER($AS$70:$AZ$70)="(BLANK)")+(UPPER($AS$70:$AZ$70)="EMPTY")+(UPPER($AS$70:$AZ$70)="(EMPTY)"))&gt;0,IFERROR(('Final Calculation Sheet'!$J$34)&amp;"","")="",ISNUMBER(SEARCH($AS$70:$AZ$70,IFERROR(('Final Calculation Sheet'!$J$34)&amp;"","")))))&gt;0),IF(COUNTIF($BI$70:$BP$70,4)=0,TRUE,SUMPRODUCT(($BI$70:$BP$70=4)*($AS$70:$AZ$70&lt;&gt;"")*IF(((UPPER($AS$70:$AZ$70)="BLANK")+(UPPER($AS$70:$AZ$70)="(BLANK)")+(UPPER($AS$70:$AZ$70)="EMPTY")+(UPPER($AS$70:$AZ$70)="(EMPTY)"))&gt;0,IFERROR(('Final Calculation Sheet'!$J$34)&amp;"","")="",ISNUMBER(SEARCH($AS$70:$AZ$70,IFERROR(('Final Calculation Sheet'!$J$34)&amp;"","")))))&gt;0),IF(COUNTIF($BI$70:$BP$70,5)=0,TRUE,SUMPRODUCT(($BI$70:$BP$70=5)*($AS$70:$AZ$70&lt;&gt;"")*IF(((UPPER($AS$70:$AZ$70)="BLANK")+(UPPER($AS$70:$AZ$70)="(BLANK)")+(UPPER($AS$70:$AZ$70)="EMPTY")+(UPPER($AS$70:$AZ$70)="(EMPTY)"))&gt;0,IFERROR(('Final Calculation Sheet'!$J$34)&amp;"","")="",ISNUMBER(SEARCH($AS$70:$AZ$70,IFERROR(('Final Calculation Sheet'!$J$34)&amp;"","")))))&gt;0),IF(COUNTIF($BI$70:$BP$70,6)=0,TRUE,SUMPRODUCT(($BI$70:$BP$70=6)*($AS$70:$AZ$70&lt;&gt;"")*IF(((UPPER($AS$70:$AZ$70)="BLANK")+(UPPER($AS$70:$AZ$70)="(BLANK)")+(UPPER($AS$70:$AZ$70)="EMPTY")+(UPPER($AS$70:$AZ$70)="(EMPTY)"))&gt;0,IFERROR(('Final Calculation Sheet'!$J$34)&amp;"","")="",ISNUMBER(SEARCH($AS$70:$AZ$70,IFERROR(('Final Calculation Sheet'!$J$34)&amp;"","")))))&gt;0),IF(COUNTIF($BI$70:$BP$70,7)=0,TRUE,SUMPRODUCT(($BI$70:$BP$70=7)*($AS$70:$AZ$70&lt;&gt;"")*IF(((UPPER($AS$70:$AZ$70)="BLANK")+(UPPER($AS$70:$AZ$70)="(BLANK)")+(UPPER($AS$70:$AZ$70)="EMPTY")+(UPPER($AS$70:$AZ$70)="(EMPTY)"))&gt;0,IFERROR(('Final Calculation Sheet'!$J$34)&amp;"","")="",ISNUMBER(SEARCH($AS$70:$AZ$70,IFERROR(('Final Calculation Sheet'!$J$34)&amp;"","")))))&gt;0),IF(COUNTIF($BI$70:$BP$70,8)=0,TRUE,SUMPRODUCT(($BI$70:$BP$70=8)*($AS$70:$AZ$70&lt;&gt;"")*IF(((UPPER($AS$70:$AZ$70)="BLANK")+(UPPER($AS$70:$AZ$70)="(BLANK)")+(UPPER($AS$70:$AZ$70)="EMPTY")+(UPPER($AS$70:$AZ$70)="(EMPTY)"))&gt;0,IFERROR(('Final Calculation Sheet'!$J$34)&amp;"","")="",ISNUMBER(SEARCH($AS$70:$AZ$70,IFERROR(('Final Calculation Sheet'!$J$34)&amp;"","")))))&gt;0))))</f>
        <v>1</v>
      </c>
      <c r="BX35">
        <f>IF($L$4="",1,--(AND(SUMPRODUCT(--($AS$71:$AZ$71&lt;&gt;""))&gt;0,IF(COUNTIF($BI$71:$BP$71,1)=0,TRUE,SUMPRODUCT(($BI$71:$BP$71=1)*($AS$71:$AZ$71&lt;&gt;"")*IF(((UPPER($AS$71:$AZ$71)="BLANK")+(UPPER($AS$71:$AZ$71)="(BLANK)")+(UPPER($AS$71:$AZ$71)="EMPTY")+(UPPER($AS$71:$AZ$71)="(EMPTY)"))&gt;0,IFERROR(('Final Calculation Sheet'!$K$34)&amp;"","")="",ISNUMBER(SEARCH($AS$71:$AZ$71,IFERROR(('Final Calculation Sheet'!$K$34)&amp;"","")))))&gt;0),IF(COUNTIF($BI$71:$BP$71,2)=0,TRUE,SUMPRODUCT(($BI$71:$BP$71=2)*($AS$71:$AZ$71&lt;&gt;"")*IF(((UPPER($AS$71:$AZ$71)="BLANK")+(UPPER($AS$71:$AZ$71)="(BLANK)")+(UPPER($AS$71:$AZ$71)="EMPTY")+(UPPER($AS$71:$AZ$71)="(EMPTY)"))&gt;0,IFERROR(('Final Calculation Sheet'!$K$34)&amp;"","")="",ISNUMBER(SEARCH($AS$71:$AZ$71,IFERROR(('Final Calculation Sheet'!$K$34)&amp;"","")))))&gt;0),IF(COUNTIF($BI$71:$BP$71,3)=0,TRUE,SUMPRODUCT(($BI$71:$BP$71=3)*($AS$71:$AZ$71&lt;&gt;"")*IF(((UPPER($AS$71:$AZ$71)="BLANK")+(UPPER($AS$71:$AZ$71)="(BLANK)")+(UPPER($AS$71:$AZ$71)="EMPTY")+(UPPER($AS$71:$AZ$71)="(EMPTY)"))&gt;0,IFERROR(('Final Calculation Sheet'!$K$34)&amp;"","")="",ISNUMBER(SEARCH($AS$71:$AZ$71,IFERROR(('Final Calculation Sheet'!$K$34)&amp;"","")))))&gt;0),IF(COUNTIF($BI$71:$BP$71,4)=0,TRUE,SUMPRODUCT(($BI$71:$BP$71=4)*($AS$71:$AZ$71&lt;&gt;"")*IF(((UPPER($AS$71:$AZ$71)="BLANK")+(UPPER($AS$71:$AZ$71)="(BLANK)")+(UPPER($AS$71:$AZ$71)="EMPTY")+(UPPER($AS$71:$AZ$71)="(EMPTY)"))&gt;0,IFERROR(('Final Calculation Sheet'!$K$34)&amp;"","")="",ISNUMBER(SEARCH($AS$71:$AZ$71,IFERROR(('Final Calculation Sheet'!$K$34)&amp;"","")))))&gt;0),IF(COUNTIF($BI$71:$BP$71,5)=0,TRUE,SUMPRODUCT(($BI$71:$BP$71=5)*($AS$71:$AZ$71&lt;&gt;"")*IF(((UPPER($AS$71:$AZ$71)="BLANK")+(UPPER($AS$71:$AZ$71)="(BLANK)")+(UPPER($AS$71:$AZ$71)="EMPTY")+(UPPER($AS$71:$AZ$71)="(EMPTY)"))&gt;0,IFERROR(('Final Calculation Sheet'!$K$34)&amp;"","")="",ISNUMBER(SEARCH($AS$71:$AZ$71,IFERROR(('Final Calculation Sheet'!$K$34)&amp;"","")))))&gt;0),IF(COUNTIF($BI$71:$BP$71,6)=0,TRUE,SUMPRODUCT(($BI$71:$BP$71=6)*($AS$71:$AZ$71&lt;&gt;"")*IF(((UPPER($AS$71:$AZ$71)="BLANK")+(UPPER($AS$71:$AZ$71)="(BLANK)")+(UPPER($AS$71:$AZ$71)="EMPTY")+(UPPER($AS$71:$AZ$71)="(EMPTY)"))&gt;0,IFERROR(('Final Calculation Sheet'!$K$34)&amp;"","")="",ISNUMBER(SEARCH($AS$71:$AZ$71,IFERROR(('Final Calculation Sheet'!$K$34)&amp;"","")))))&gt;0),IF(COUNTIF($BI$71:$BP$71,7)=0,TRUE,SUMPRODUCT(($BI$71:$BP$71=7)*($AS$71:$AZ$71&lt;&gt;"")*IF(((UPPER($AS$71:$AZ$71)="BLANK")+(UPPER($AS$71:$AZ$71)="(BLANK)")+(UPPER($AS$71:$AZ$71)="EMPTY")+(UPPER($AS$71:$AZ$71)="(EMPTY)"))&gt;0,IFERROR(('Final Calculation Sheet'!$K$34)&amp;"","")="",ISNUMBER(SEARCH($AS$71:$AZ$71,IFERROR(('Final Calculation Sheet'!$K$34)&amp;"","")))))&gt;0),IF(COUNTIF($BI$71:$BP$71,8)=0,TRUE,SUMPRODUCT(($BI$71:$BP$71=8)*($AS$71:$AZ$71&lt;&gt;"")*IF(((UPPER($AS$71:$AZ$71)="BLANK")+(UPPER($AS$71:$AZ$71)="(BLANK)")+(UPPER($AS$71:$AZ$71)="EMPTY")+(UPPER($AS$71:$AZ$71)="(EMPTY)"))&gt;0,IFERROR(('Final Calculation Sheet'!$K$34)&amp;"","")="",ISNUMBER(SEARCH($AS$71:$AZ$71,IFERROR(('Final Calculation Sheet'!$K$34)&amp;"","")))))&gt;0))))</f>
        <v>1</v>
      </c>
      <c r="BY35">
        <f>IF($M$4="",1,--(AND(SUMPRODUCT(--($AS$72:$AZ$72&lt;&gt;""))&gt;0,IF(COUNTIF($BI$72:$BP$72,1)=0,TRUE,SUMPRODUCT(($BI$72:$BP$72=1)*($AS$72:$AZ$72&lt;&gt;"")*IF(((UPPER($AS$72:$AZ$72)="BLANK")+(UPPER($AS$72:$AZ$72)="(BLANK)")+(UPPER($AS$72:$AZ$72)="EMPTY")+(UPPER($AS$72:$AZ$72)="(EMPTY)"))&gt;0,IFERROR(('Final Calculation Sheet'!$L$34)&amp;"","")="",ISNUMBER(SEARCH($AS$72:$AZ$72,IFERROR(('Final Calculation Sheet'!$L$34)&amp;"","")))))&gt;0),IF(COUNTIF($BI$72:$BP$72,2)=0,TRUE,SUMPRODUCT(($BI$72:$BP$72=2)*($AS$72:$AZ$72&lt;&gt;"")*IF(((UPPER($AS$72:$AZ$72)="BLANK")+(UPPER($AS$72:$AZ$72)="(BLANK)")+(UPPER($AS$72:$AZ$72)="EMPTY")+(UPPER($AS$72:$AZ$72)="(EMPTY)"))&gt;0,IFERROR(('Final Calculation Sheet'!$L$34)&amp;"","")="",ISNUMBER(SEARCH($AS$72:$AZ$72,IFERROR(('Final Calculation Sheet'!$L$34)&amp;"","")))))&gt;0),IF(COUNTIF($BI$72:$BP$72,3)=0,TRUE,SUMPRODUCT(($BI$72:$BP$72=3)*($AS$72:$AZ$72&lt;&gt;"")*IF(((UPPER($AS$72:$AZ$72)="BLANK")+(UPPER($AS$72:$AZ$72)="(BLANK)")+(UPPER($AS$72:$AZ$72)="EMPTY")+(UPPER($AS$72:$AZ$72)="(EMPTY)"))&gt;0,IFERROR(('Final Calculation Sheet'!$L$34)&amp;"","")="",ISNUMBER(SEARCH($AS$72:$AZ$72,IFERROR(('Final Calculation Sheet'!$L$34)&amp;"","")))))&gt;0),IF(COUNTIF($BI$72:$BP$72,4)=0,TRUE,SUMPRODUCT(($BI$72:$BP$72=4)*($AS$72:$AZ$72&lt;&gt;"")*IF(((UPPER($AS$72:$AZ$72)="BLANK")+(UPPER($AS$72:$AZ$72)="(BLANK)")+(UPPER($AS$72:$AZ$72)="EMPTY")+(UPPER($AS$72:$AZ$72)="(EMPTY)"))&gt;0,IFERROR(('Final Calculation Sheet'!$L$34)&amp;"","")="",ISNUMBER(SEARCH($AS$72:$AZ$72,IFERROR(('Final Calculation Sheet'!$L$34)&amp;"","")))))&gt;0),IF(COUNTIF($BI$72:$BP$72,5)=0,TRUE,SUMPRODUCT(($BI$72:$BP$72=5)*($AS$72:$AZ$72&lt;&gt;"")*IF(((UPPER($AS$72:$AZ$72)="BLANK")+(UPPER($AS$72:$AZ$72)="(BLANK)")+(UPPER($AS$72:$AZ$72)="EMPTY")+(UPPER($AS$72:$AZ$72)="(EMPTY)"))&gt;0,IFERROR(('Final Calculation Sheet'!$L$34)&amp;"","")="",ISNUMBER(SEARCH($AS$72:$AZ$72,IFERROR(('Final Calculation Sheet'!$L$34)&amp;"","")))))&gt;0),IF(COUNTIF($BI$72:$BP$72,6)=0,TRUE,SUMPRODUCT(($BI$72:$BP$72=6)*($AS$72:$AZ$72&lt;&gt;"")*IF(((UPPER($AS$72:$AZ$72)="BLANK")+(UPPER($AS$72:$AZ$72)="(BLANK)")+(UPPER($AS$72:$AZ$72)="EMPTY")+(UPPER($AS$72:$AZ$72)="(EMPTY)"))&gt;0,IFERROR(('Final Calculation Sheet'!$L$34)&amp;"","")="",ISNUMBER(SEARCH($AS$72:$AZ$72,IFERROR(('Final Calculation Sheet'!$L$34)&amp;"","")))))&gt;0),IF(COUNTIF($BI$72:$BP$72,7)=0,TRUE,SUMPRODUCT(($BI$72:$BP$72=7)*($AS$72:$AZ$72&lt;&gt;"")*IF(((UPPER($AS$72:$AZ$72)="BLANK")+(UPPER($AS$72:$AZ$72)="(BLANK)")+(UPPER($AS$72:$AZ$72)="EMPTY")+(UPPER($AS$72:$AZ$72)="(EMPTY)"))&gt;0,IFERROR(('Final Calculation Sheet'!$L$34)&amp;"","")="",ISNUMBER(SEARCH($AS$72:$AZ$72,IFERROR(('Final Calculation Sheet'!$L$34)&amp;"","")))))&gt;0),IF(COUNTIF($BI$72:$BP$72,8)=0,TRUE,SUMPRODUCT(($BI$72:$BP$72=8)*($AS$72:$AZ$72&lt;&gt;"")*IF(((UPPER($AS$72:$AZ$72)="BLANK")+(UPPER($AS$72:$AZ$72)="(BLANK)")+(UPPER($AS$72:$AZ$72)="EMPTY")+(UPPER($AS$72:$AZ$72)="(EMPTY)"))&gt;0,IFERROR(('Final Calculation Sheet'!$L$34)&amp;"","")="",ISNUMBER(SEARCH($AS$72:$AZ$72,IFERROR(('Final Calculation Sheet'!$L$34)&amp;"","")))))&gt;0))))</f>
        <v>1</v>
      </c>
      <c r="BZ35">
        <f>IF($N$4="",1,--(AND(SUMPRODUCT(--($AS$73:$AZ$73&lt;&gt;""))&gt;0,IF(COUNTIF($BI$73:$BP$73,1)=0,TRUE,SUMPRODUCT(($BI$73:$BP$73=1)*($AS$73:$AZ$73&lt;&gt;"")*IF(((UPPER($AS$73:$AZ$73)="BLANK")+(UPPER($AS$73:$AZ$73)="(BLANK)")+(UPPER($AS$73:$AZ$73)="EMPTY")+(UPPER($AS$73:$AZ$73)="(EMPTY)"))&gt;0,IFERROR(('Final Calculation Sheet'!$M$34)&amp;"","")="",ISNUMBER(SEARCH($AS$73:$AZ$73,IFERROR(('Final Calculation Sheet'!$M$34)&amp;"","")))))&gt;0),IF(COUNTIF($BI$73:$BP$73,2)=0,TRUE,SUMPRODUCT(($BI$73:$BP$73=2)*($AS$73:$AZ$73&lt;&gt;"")*IF(((UPPER($AS$73:$AZ$73)="BLANK")+(UPPER($AS$73:$AZ$73)="(BLANK)")+(UPPER($AS$73:$AZ$73)="EMPTY")+(UPPER($AS$73:$AZ$73)="(EMPTY)"))&gt;0,IFERROR(('Final Calculation Sheet'!$M$34)&amp;"","")="",ISNUMBER(SEARCH($AS$73:$AZ$73,IFERROR(('Final Calculation Sheet'!$M$34)&amp;"","")))))&gt;0),IF(COUNTIF($BI$73:$BP$73,3)=0,TRUE,SUMPRODUCT(($BI$73:$BP$73=3)*($AS$73:$AZ$73&lt;&gt;"")*IF(((UPPER($AS$73:$AZ$73)="BLANK")+(UPPER($AS$73:$AZ$73)="(BLANK)")+(UPPER($AS$73:$AZ$73)="EMPTY")+(UPPER($AS$73:$AZ$73)="(EMPTY)"))&gt;0,IFERROR(('Final Calculation Sheet'!$M$34)&amp;"","")="",ISNUMBER(SEARCH($AS$73:$AZ$73,IFERROR(('Final Calculation Sheet'!$M$34)&amp;"","")))))&gt;0),IF(COUNTIF($BI$73:$BP$73,4)=0,TRUE,SUMPRODUCT(($BI$73:$BP$73=4)*($AS$73:$AZ$73&lt;&gt;"")*IF(((UPPER($AS$73:$AZ$73)="BLANK")+(UPPER($AS$73:$AZ$73)="(BLANK)")+(UPPER($AS$73:$AZ$73)="EMPTY")+(UPPER($AS$73:$AZ$73)="(EMPTY)"))&gt;0,IFERROR(('Final Calculation Sheet'!$M$34)&amp;"","")="",ISNUMBER(SEARCH($AS$73:$AZ$73,IFERROR(('Final Calculation Sheet'!$M$34)&amp;"","")))))&gt;0),IF(COUNTIF($BI$73:$BP$73,5)=0,TRUE,SUMPRODUCT(($BI$73:$BP$73=5)*($AS$73:$AZ$73&lt;&gt;"")*IF(((UPPER($AS$73:$AZ$73)="BLANK")+(UPPER($AS$73:$AZ$73)="(BLANK)")+(UPPER($AS$73:$AZ$73)="EMPTY")+(UPPER($AS$73:$AZ$73)="(EMPTY)"))&gt;0,IFERROR(('Final Calculation Sheet'!$M$34)&amp;"","")="",ISNUMBER(SEARCH($AS$73:$AZ$73,IFERROR(('Final Calculation Sheet'!$M$34)&amp;"","")))))&gt;0),IF(COUNTIF($BI$73:$BP$73,6)=0,TRUE,SUMPRODUCT(($BI$73:$BP$73=6)*($AS$73:$AZ$73&lt;&gt;"")*IF(((UPPER($AS$73:$AZ$73)="BLANK")+(UPPER($AS$73:$AZ$73)="(BLANK)")+(UPPER($AS$73:$AZ$73)="EMPTY")+(UPPER($AS$73:$AZ$73)="(EMPTY)"))&gt;0,IFERROR(('Final Calculation Sheet'!$M$34)&amp;"","")="",ISNUMBER(SEARCH($AS$73:$AZ$73,IFERROR(('Final Calculation Sheet'!$M$34)&amp;"","")))))&gt;0),IF(COUNTIF($BI$73:$BP$73,7)=0,TRUE,SUMPRODUCT(($BI$73:$BP$73=7)*($AS$73:$AZ$73&lt;&gt;"")*IF(((UPPER($AS$73:$AZ$73)="BLANK")+(UPPER($AS$73:$AZ$73)="(BLANK)")+(UPPER($AS$73:$AZ$73)="EMPTY")+(UPPER($AS$73:$AZ$73)="(EMPTY)"))&gt;0,IFERROR(('Final Calculation Sheet'!$M$34)&amp;"","")="",ISNUMBER(SEARCH($AS$73:$AZ$73,IFERROR(('Final Calculation Sheet'!$M$34)&amp;"","")))))&gt;0),IF(COUNTIF($BI$73:$BP$73,8)=0,TRUE,SUMPRODUCT(($BI$73:$BP$73=8)*($AS$73:$AZ$73&lt;&gt;"")*IF(((UPPER($AS$73:$AZ$73)="BLANK")+(UPPER($AS$73:$AZ$73)="(BLANK)")+(UPPER($AS$73:$AZ$73)="EMPTY")+(UPPER($AS$73:$AZ$73)="(EMPTY)"))&gt;0,IFERROR(('Final Calculation Sheet'!$M$34)&amp;"","")="",ISNUMBER(SEARCH($AS$73:$AZ$73,IFERROR(('Final Calculation Sheet'!$M$34)&amp;"","")))))&gt;0))))</f>
        <v>1</v>
      </c>
      <c r="CA35">
        <f>IF($O$4="",1,--(AND(SUMPRODUCT(--($AS$74:$AZ$74&lt;&gt;""))&gt;0,IF(COUNTIF($BI$74:$BP$74,1)=0,TRUE,SUMPRODUCT(($BI$74:$BP$74=1)*($AS$74:$AZ$74&lt;&gt;"")*IF(((UPPER($AS$74:$AZ$74)="BLANK")+(UPPER($AS$74:$AZ$74)="(BLANK)")+(UPPER($AS$74:$AZ$74)="EMPTY")+(UPPER($AS$74:$AZ$74)="(EMPTY)"))&gt;0,IFERROR(('Final Calculation Sheet'!$N$34)&amp;"","")="",ISNUMBER(SEARCH($AS$74:$AZ$74,IFERROR(('Final Calculation Sheet'!$N$34)&amp;"","")))))&gt;0),IF(COUNTIF($BI$74:$BP$74,2)=0,TRUE,SUMPRODUCT(($BI$74:$BP$74=2)*($AS$74:$AZ$74&lt;&gt;"")*IF(((UPPER($AS$74:$AZ$74)="BLANK")+(UPPER($AS$74:$AZ$74)="(BLANK)")+(UPPER($AS$74:$AZ$74)="EMPTY")+(UPPER($AS$74:$AZ$74)="(EMPTY)"))&gt;0,IFERROR(('Final Calculation Sheet'!$N$34)&amp;"","")="",ISNUMBER(SEARCH($AS$74:$AZ$74,IFERROR(('Final Calculation Sheet'!$N$34)&amp;"","")))))&gt;0),IF(COUNTIF($BI$74:$BP$74,3)=0,TRUE,SUMPRODUCT(($BI$74:$BP$74=3)*($AS$74:$AZ$74&lt;&gt;"")*IF(((UPPER($AS$74:$AZ$74)="BLANK")+(UPPER($AS$74:$AZ$74)="(BLANK)")+(UPPER($AS$74:$AZ$74)="EMPTY")+(UPPER($AS$74:$AZ$74)="(EMPTY)"))&gt;0,IFERROR(('Final Calculation Sheet'!$N$34)&amp;"","")="",ISNUMBER(SEARCH($AS$74:$AZ$74,IFERROR(('Final Calculation Sheet'!$N$34)&amp;"","")))))&gt;0),IF(COUNTIF($BI$74:$BP$74,4)=0,TRUE,SUMPRODUCT(($BI$74:$BP$74=4)*($AS$74:$AZ$74&lt;&gt;"")*IF(((UPPER($AS$74:$AZ$74)="BLANK")+(UPPER($AS$74:$AZ$74)="(BLANK)")+(UPPER($AS$74:$AZ$74)="EMPTY")+(UPPER($AS$74:$AZ$74)="(EMPTY)"))&gt;0,IFERROR(('Final Calculation Sheet'!$N$34)&amp;"","")="",ISNUMBER(SEARCH($AS$74:$AZ$74,IFERROR(('Final Calculation Sheet'!$N$34)&amp;"","")))))&gt;0),IF(COUNTIF($BI$74:$BP$74,5)=0,TRUE,SUMPRODUCT(($BI$74:$BP$74=5)*($AS$74:$AZ$74&lt;&gt;"")*IF(((UPPER($AS$74:$AZ$74)="BLANK")+(UPPER($AS$74:$AZ$74)="(BLANK)")+(UPPER($AS$74:$AZ$74)="EMPTY")+(UPPER($AS$74:$AZ$74)="(EMPTY)"))&gt;0,IFERROR(('Final Calculation Sheet'!$N$34)&amp;"","")="",ISNUMBER(SEARCH($AS$74:$AZ$74,IFERROR(('Final Calculation Sheet'!$N$34)&amp;"","")))))&gt;0),IF(COUNTIF($BI$74:$BP$74,6)=0,TRUE,SUMPRODUCT(($BI$74:$BP$74=6)*($AS$74:$AZ$74&lt;&gt;"")*IF(((UPPER($AS$74:$AZ$74)="BLANK")+(UPPER($AS$74:$AZ$74)="(BLANK)")+(UPPER($AS$74:$AZ$74)="EMPTY")+(UPPER($AS$74:$AZ$74)="(EMPTY)"))&gt;0,IFERROR(('Final Calculation Sheet'!$N$34)&amp;"","")="",ISNUMBER(SEARCH($AS$74:$AZ$74,IFERROR(('Final Calculation Sheet'!$N$34)&amp;"","")))))&gt;0),IF(COUNTIF($BI$74:$BP$74,7)=0,TRUE,SUMPRODUCT(($BI$74:$BP$74=7)*($AS$74:$AZ$74&lt;&gt;"")*IF(((UPPER($AS$74:$AZ$74)="BLANK")+(UPPER($AS$74:$AZ$74)="(BLANK)")+(UPPER($AS$74:$AZ$74)="EMPTY")+(UPPER($AS$74:$AZ$74)="(EMPTY)"))&gt;0,IFERROR(('Final Calculation Sheet'!$N$34)&amp;"","")="",ISNUMBER(SEARCH($AS$74:$AZ$74,IFERROR(('Final Calculation Sheet'!$N$34)&amp;"","")))))&gt;0),IF(COUNTIF($BI$74:$BP$74,8)=0,TRUE,SUMPRODUCT(($BI$74:$BP$74=8)*($AS$74:$AZ$74&lt;&gt;"")*IF(((UPPER($AS$74:$AZ$74)="BLANK")+(UPPER($AS$74:$AZ$74)="(BLANK)")+(UPPER($AS$74:$AZ$74)="EMPTY")+(UPPER($AS$74:$AZ$74)="(EMPTY)"))&gt;0,IFERROR(('Final Calculation Sheet'!$N$34)&amp;"","")="",ISNUMBER(SEARCH($AS$74:$AZ$74,IFERROR(('Final Calculation Sheet'!$N$34)&amp;"","")))))&gt;0))))</f>
        <v>1</v>
      </c>
      <c r="CB35">
        <f>IF($P$4="",1,--(AND(SUMPRODUCT(--($AS$75:$AZ$75&lt;&gt;""))&gt;0,IF(COUNTIF($BI$75:$BP$75,1)=0,TRUE,SUMPRODUCT(($BI$75:$BP$75=1)*($AS$75:$AZ$75&lt;&gt;"")*IF(((UPPER($AS$75:$AZ$75)="BLANK")+(UPPER($AS$75:$AZ$75)="(BLANK)")+(UPPER($AS$75:$AZ$75)="EMPTY")+(UPPER($AS$75:$AZ$75)="(EMPTY)"))&gt;0,IFERROR(('Final Calculation Sheet'!$O$34)&amp;"","")="",ISNUMBER(SEARCH($AS$75:$AZ$75,IFERROR(('Final Calculation Sheet'!$O$34)&amp;"","")))))&gt;0),IF(COUNTIF($BI$75:$BP$75,2)=0,TRUE,SUMPRODUCT(($BI$75:$BP$75=2)*($AS$75:$AZ$75&lt;&gt;"")*IF(((UPPER($AS$75:$AZ$75)="BLANK")+(UPPER($AS$75:$AZ$75)="(BLANK)")+(UPPER($AS$75:$AZ$75)="EMPTY")+(UPPER($AS$75:$AZ$75)="(EMPTY)"))&gt;0,IFERROR(('Final Calculation Sheet'!$O$34)&amp;"","")="",ISNUMBER(SEARCH($AS$75:$AZ$75,IFERROR(('Final Calculation Sheet'!$O$34)&amp;"","")))))&gt;0),IF(COUNTIF($BI$75:$BP$75,3)=0,TRUE,SUMPRODUCT(($BI$75:$BP$75=3)*($AS$75:$AZ$75&lt;&gt;"")*IF(((UPPER($AS$75:$AZ$75)="BLANK")+(UPPER($AS$75:$AZ$75)="(BLANK)")+(UPPER($AS$75:$AZ$75)="EMPTY")+(UPPER($AS$75:$AZ$75)="(EMPTY)"))&gt;0,IFERROR(('Final Calculation Sheet'!$O$34)&amp;"","")="",ISNUMBER(SEARCH($AS$75:$AZ$75,IFERROR(('Final Calculation Sheet'!$O$34)&amp;"","")))))&gt;0),IF(COUNTIF($BI$75:$BP$75,4)=0,TRUE,SUMPRODUCT(($BI$75:$BP$75=4)*($AS$75:$AZ$75&lt;&gt;"")*IF(((UPPER($AS$75:$AZ$75)="BLANK")+(UPPER($AS$75:$AZ$75)="(BLANK)")+(UPPER($AS$75:$AZ$75)="EMPTY")+(UPPER($AS$75:$AZ$75)="(EMPTY)"))&gt;0,IFERROR(('Final Calculation Sheet'!$O$34)&amp;"","")="",ISNUMBER(SEARCH($AS$75:$AZ$75,IFERROR(('Final Calculation Sheet'!$O$34)&amp;"","")))))&gt;0),IF(COUNTIF($BI$75:$BP$75,5)=0,TRUE,SUMPRODUCT(($BI$75:$BP$75=5)*($AS$75:$AZ$75&lt;&gt;"")*IF(((UPPER($AS$75:$AZ$75)="BLANK")+(UPPER($AS$75:$AZ$75)="(BLANK)")+(UPPER($AS$75:$AZ$75)="EMPTY")+(UPPER($AS$75:$AZ$75)="(EMPTY)"))&gt;0,IFERROR(('Final Calculation Sheet'!$O$34)&amp;"","")="",ISNUMBER(SEARCH($AS$75:$AZ$75,IFERROR(('Final Calculation Sheet'!$O$34)&amp;"","")))))&gt;0),IF(COUNTIF($BI$75:$BP$75,6)=0,TRUE,SUMPRODUCT(($BI$75:$BP$75=6)*($AS$75:$AZ$75&lt;&gt;"")*IF(((UPPER($AS$75:$AZ$75)="BLANK")+(UPPER($AS$75:$AZ$75)="(BLANK)")+(UPPER($AS$75:$AZ$75)="EMPTY")+(UPPER($AS$75:$AZ$75)="(EMPTY)"))&gt;0,IFERROR(('Final Calculation Sheet'!$O$34)&amp;"","")="",ISNUMBER(SEARCH($AS$75:$AZ$75,IFERROR(('Final Calculation Sheet'!$O$34)&amp;"","")))))&gt;0),IF(COUNTIF($BI$75:$BP$75,7)=0,TRUE,SUMPRODUCT(($BI$75:$BP$75=7)*($AS$75:$AZ$75&lt;&gt;"")*IF(((UPPER($AS$75:$AZ$75)="BLANK")+(UPPER($AS$75:$AZ$75)="(BLANK)")+(UPPER($AS$75:$AZ$75)="EMPTY")+(UPPER($AS$75:$AZ$75)="(EMPTY)"))&gt;0,IFERROR(('Final Calculation Sheet'!$O$34)&amp;"","")="",ISNUMBER(SEARCH($AS$75:$AZ$75,IFERROR(('Final Calculation Sheet'!$O$34)&amp;"","")))))&gt;0),IF(COUNTIF($BI$75:$BP$75,8)=0,TRUE,SUMPRODUCT(($BI$75:$BP$75=8)*($AS$75:$AZ$75&lt;&gt;"")*IF(((UPPER($AS$75:$AZ$75)="BLANK")+(UPPER($AS$75:$AZ$75)="(BLANK)")+(UPPER($AS$75:$AZ$75)="EMPTY")+(UPPER($AS$75:$AZ$75)="(EMPTY)"))&gt;0,IFERROR(('Final Calculation Sheet'!$O$34)&amp;"","")="",ISNUMBER(SEARCH($AS$75:$AZ$75,IFERROR(('Final Calculation Sheet'!$O$34)&amp;"","")))))&gt;0))))</f>
        <v>1</v>
      </c>
      <c r="CC35">
        <f>IF($Q$4="",1,--(AND(SUMPRODUCT(--($AS$76:$AZ$76&lt;&gt;""))&gt;0,IF(COUNTIF($BI$76:$BP$76,1)=0,TRUE,SUMPRODUCT(($BI$76:$BP$76=1)*($AS$76:$AZ$76&lt;&gt;"")*IF(((UPPER($AS$76:$AZ$76)="BLANK")+(UPPER($AS$76:$AZ$76)="(BLANK)")+(UPPER($AS$76:$AZ$76)="EMPTY")+(UPPER($AS$76:$AZ$76)="(EMPTY)"))&gt;0,IFERROR(('Final Calculation Sheet'!$P$34)&amp;"","")="",ISNUMBER(SEARCH($AS$76:$AZ$76,IFERROR(('Final Calculation Sheet'!$P$34)&amp;"","")))))&gt;0),IF(COUNTIF($BI$76:$BP$76,2)=0,TRUE,SUMPRODUCT(($BI$76:$BP$76=2)*($AS$76:$AZ$76&lt;&gt;"")*IF(((UPPER($AS$76:$AZ$76)="BLANK")+(UPPER($AS$76:$AZ$76)="(BLANK)")+(UPPER($AS$76:$AZ$76)="EMPTY")+(UPPER($AS$76:$AZ$76)="(EMPTY)"))&gt;0,IFERROR(('Final Calculation Sheet'!$P$34)&amp;"","")="",ISNUMBER(SEARCH($AS$76:$AZ$76,IFERROR(('Final Calculation Sheet'!$P$34)&amp;"","")))))&gt;0),IF(COUNTIF($BI$76:$BP$76,3)=0,TRUE,SUMPRODUCT(($BI$76:$BP$76=3)*($AS$76:$AZ$76&lt;&gt;"")*IF(((UPPER($AS$76:$AZ$76)="BLANK")+(UPPER($AS$76:$AZ$76)="(BLANK)")+(UPPER($AS$76:$AZ$76)="EMPTY")+(UPPER($AS$76:$AZ$76)="(EMPTY)"))&gt;0,IFERROR(('Final Calculation Sheet'!$P$34)&amp;"","")="",ISNUMBER(SEARCH($AS$76:$AZ$76,IFERROR(('Final Calculation Sheet'!$P$34)&amp;"","")))))&gt;0),IF(COUNTIF($BI$76:$BP$76,4)=0,TRUE,SUMPRODUCT(($BI$76:$BP$76=4)*($AS$76:$AZ$76&lt;&gt;"")*IF(((UPPER($AS$76:$AZ$76)="BLANK")+(UPPER($AS$76:$AZ$76)="(BLANK)")+(UPPER($AS$76:$AZ$76)="EMPTY")+(UPPER($AS$76:$AZ$76)="(EMPTY)"))&gt;0,IFERROR(('Final Calculation Sheet'!$P$34)&amp;"","")="",ISNUMBER(SEARCH($AS$76:$AZ$76,IFERROR(('Final Calculation Sheet'!$P$34)&amp;"","")))))&gt;0),IF(COUNTIF($BI$76:$BP$76,5)=0,TRUE,SUMPRODUCT(($BI$76:$BP$76=5)*($AS$76:$AZ$76&lt;&gt;"")*IF(((UPPER($AS$76:$AZ$76)="BLANK")+(UPPER($AS$76:$AZ$76)="(BLANK)")+(UPPER($AS$76:$AZ$76)="EMPTY")+(UPPER($AS$76:$AZ$76)="(EMPTY)"))&gt;0,IFERROR(('Final Calculation Sheet'!$P$34)&amp;"","")="",ISNUMBER(SEARCH($AS$76:$AZ$76,IFERROR(('Final Calculation Sheet'!$P$34)&amp;"","")))))&gt;0),IF(COUNTIF($BI$76:$BP$76,6)=0,TRUE,SUMPRODUCT(($BI$76:$BP$76=6)*($AS$76:$AZ$76&lt;&gt;"")*IF(((UPPER($AS$76:$AZ$76)="BLANK")+(UPPER($AS$76:$AZ$76)="(BLANK)")+(UPPER($AS$76:$AZ$76)="EMPTY")+(UPPER($AS$76:$AZ$76)="(EMPTY)"))&gt;0,IFERROR(('Final Calculation Sheet'!$P$34)&amp;"","")="",ISNUMBER(SEARCH($AS$76:$AZ$76,IFERROR(('Final Calculation Sheet'!$P$34)&amp;"","")))))&gt;0),IF(COUNTIF($BI$76:$BP$76,7)=0,TRUE,SUMPRODUCT(($BI$76:$BP$76=7)*($AS$76:$AZ$76&lt;&gt;"")*IF(((UPPER($AS$76:$AZ$76)="BLANK")+(UPPER($AS$76:$AZ$76)="(BLANK)")+(UPPER($AS$76:$AZ$76)="EMPTY")+(UPPER($AS$76:$AZ$76)="(EMPTY)"))&gt;0,IFERROR(('Final Calculation Sheet'!$P$34)&amp;"","")="",ISNUMBER(SEARCH($AS$76:$AZ$76,IFERROR(('Final Calculation Sheet'!$P$34)&amp;"","")))))&gt;0),IF(COUNTIF($BI$76:$BP$76,8)=0,TRUE,SUMPRODUCT(($BI$76:$BP$76=8)*($AS$76:$AZ$76&lt;&gt;"")*IF(((UPPER($AS$76:$AZ$76)="BLANK")+(UPPER($AS$76:$AZ$76)="(BLANK)")+(UPPER($AS$76:$AZ$76)="EMPTY")+(UPPER($AS$76:$AZ$76)="(EMPTY)"))&gt;0,IFERROR(('Final Calculation Sheet'!$P$34)&amp;"","")="",ISNUMBER(SEARCH($AS$76:$AZ$76,IFERROR(('Final Calculation Sheet'!$P$34)&amp;"","")))))&gt;0))))</f>
        <v>1</v>
      </c>
      <c r="CD35">
        <f>IF($R$4="",1,--(AND(SUMPRODUCT(--($AS$77:$AZ$77&lt;&gt;""))&gt;0,IF(COUNTIF($BI$77:$BP$77,1)=0,TRUE,SUMPRODUCT(($BI$77:$BP$77=1)*($AS$77:$AZ$77&lt;&gt;"")*IF(((UPPER($AS$77:$AZ$77)="BLANK")+(UPPER($AS$77:$AZ$77)="(BLANK)")+(UPPER($AS$77:$AZ$77)="EMPTY")+(UPPER($AS$77:$AZ$77)="(EMPTY)"))&gt;0,IFERROR(('Final Calculation Sheet'!$Q$34)&amp;"","")="",ISNUMBER(SEARCH($AS$77:$AZ$77,IFERROR(('Final Calculation Sheet'!$Q$34)&amp;"","")))))&gt;0),IF(COUNTIF($BI$77:$BP$77,2)=0,TRUE,SUMPRODUCT(($BI$77:$BP$77=2)*($AS$77:$AZ$77&lt;&gt;"")*IF(((UPPER($AS$77:$AZ$77)="BLANK")+(UPPER($AS$77:$AZ$77)="(BLANK)")+(UPPER($AS$77:$AZ$77)="EMPTY")+(UPPER($AS$77:$AZ$77)="(EMPTY)"))&gt;0,IFERROR(('Final Calculation Sheet'!$Q$34)&amp;"","")="",ISNUMBER(SEARCH($AS$77:$AZ$77,IFERROR(('Final Calculation Sheet'!$Q$34)&amp;"","")))))&gt;0),IF(COUNTIF($BI$77:$BP$77,3)=0,TRUE,SUMPRODUCT(($BI$77:$BP$77=3)*($AS$77:$AZ$77&lt;&gt;"")*IF(((UPPER($AS$77:$AZ$77)="BLANK")+(UPPER($AS$77:$AZ$77)="(BLANK)")+(UPPER($AS$77:$AZ$77)="EMPTY")+(UPPER($AS$77:$AZ$77)="(EMPTY)"))&gt;0,IFERROR(('Final Calculation Sheet'!$Q$34)&amp;"","")="",ISNUMBER(SEARCH($AS$77:$AZ$77,IFERROR(('Final Calculation Sheet'!$Q$34)&amp;"","")))))&gt;0),IF(COUNTIF($BI$77:$BP$77,4)=0,TRUE,SUMPRODUCT(($BI$77:$BP$77=4)*($AS$77:$AZ$77&lt;&gt;"")*IF(((UPPER($AS$77:$AZ$77)="BLANK")+(UPPER($AS$77:$AZ$77)="(BLANK)")+(UPPER($AS$77:$AZ$77)="EMPTY")+(UPPER($AS$77:$AZ$77)="(EMPTY)"))&gt;0,IFERROR(('Final Calculation Sheet'!$Q$34)&amp;"","")="",ISNUMBER(SEARCH($AS$77:$AZ$77,IFERROR(('Final Calculation Sheet'!$Q$34)&amp;"","")))))&gt;0),IF(COUNTIF($BI$77:$BP$77,5)=0,TRUE,SUMPRODUCT(($BI$77:$BP$77=5)*($AS$77:$AZ$77&lt;&gt;"")*IF(((UPPER($AS$77:$AZ$77)="BLANK")+(UPPER($AS$77:$AZ$77)="(BLANK)")+(UPPER($AS$77:$AZ$77)="EMPTY")+(UPPER($AS$77:$AZ$77)="(EMPTY)"))&gt;0,IFERROR(('Final Calculation Sheet'!$Q$34)&amp;"","")="",ISNUMBER(SEARCH($AS$77:$AZ$77,IFERROR(('Final Calculation Sheet'!$Q$34)&amp;"","")))))&gt;0),IF(COUNTIF($BI$77:$BP$77,6)=0,TRUE,SUMPRODUCT(($BI$77:$BP$77=6)*($AS$77:$AZ$77&lt;&gt;"")*IF(((UPPER($AS$77:$AZ$77)="BLANK")+(UPPER($AS$77:$AZ$77)="(BLANK)")+(UPPER($AS$77:$AZ$77)="EMPTY")+(UPPER($AS$77:$AZ$77)="(EMPTY)"))&gt;0,IFERROR(('Final Calculation Sheet'!$Q$34)&amp;"","")="",ISNUMBER(SEARCH($AS$77:$AZ$77,IFERROR(('Final Calculation Sheet'!$Q$34)&amp;"","")))))&gt;0),IF(COUNTIF($BI$77:$BP$77,7)=0,TRUE,SUMPRODUCT(($BI$77:$BP$77=7)*($AS$77:$AZ$77&lt;&gt;"")*IF(((UPPER($AS$77:$AZ$77)="BLANK")+(UPPER($AS$77:$AZ$77)="(BLANK)")+(UPPER($AS$77:$AZ$77)="EMPTY")+(UPPER($AS$77:$AZ$77)="(EMPTY)"))&gt;0,IFERROR(('Final Calculation Sheet'!$Q$34)&amp;"","")="",ISNUMBER(SEARCH($AS$77:$AZ$77,IFERROR(('Final Calculation Sheet'!$Q$34)&amp;"","")))))&gt;0),IF(COUNTIF($BI$77:$BP$77,8)=0,TRUE,SUMPRODUCT(($BI$77:$BP$77=8)*($AS$77:$AZ$77&lt;&gt;"")*IF(((UPPER($AS$77:$AZ$77)="BLANK")+(UPPER($AS$77:$AZ$77)="(BLANK)")+(UPPER($AS$77:$AZ$77)="EMPTY")+(UPPER($AS$77:$AZ$77)="(EMPTY)"))&gt;0,IFERROR(('Final Calculation Sheet'!$Q$34)&amp;"","")="",ISNUMBER(SEARCH($AS$77:$AZ$77,IFERROR(('Final Calculation Sheet'!$Q$34)&amp;"","")))))&gt;0))))</f>
        <v>1</v>
      </c>
      <c r="CE35">
        <f>IF($S$4="",1,--(AND(SUMPRODUCT(--($AS$78:$AZ$78&lt;&gt;""))&gt;0,IF(COUNTIF($BI$78:$BP$78,1)=0,TRUE,SUMPRODUCT(($BI$78:$BP$78=1)*($AS$78:$AZ$78&lt;&gt;"")*IF(((UPPER($AS$78:$AZ$78)="BLANK")+(UPPER($AS$78:$AZ$78)="(BLANK)")+(UPPER($AS$78:$AZ$78)="EMPTY")+(UPPER($AS$78:$AZ$78)="(EMPTY)"))&gt;0,IFERROR(('Final Calculation Sheet'!$R$34)&amp;"","")="",ISNUMBER(SEARCH($AS$78:$AZ$78,IFERROR(('Final Calculation Sheet'!$R$34)&amp;"","")))))&gt;0),IF(COUNTIF($BI$78:$BP$78,2)=0,TRUE,SUMPRODUCT(($BI$78:$BP$78=2)*($AS$78:$AZ$78&lt;&gt;"")*IF(((UPPER($AS$78:$AZ$78)="BLANK")+(UPPER($AS$78:$AZ$78)="(BLANK)")+(UPPER($AS$78:$AZ$78)="EMPTY")+(UPPER($AS$78:$AZ$78)="(EMPTY)"))&gt;0,IFERROR(('Final Calculation Sheet'!$R$34)&amp;"","")="",ISNUMBER(SEARCH($AS$78:$AZ$78,IFERROR(('Final Calculation Sheet'!$R$34)&amp;"","")))))&gt;0),IF(COUNTIF($BI$78:$BP$78,3)=0,TRUE,SUMPRODUCT(($BI$78:$BP$78=3)*($AS$78:$AZ$78&lt;&gt;"")*IF(((UPPER($AS$78:$AZ$78)="BLANK")+(UPPER($AS$78:$AZ$78)="(BLANK)")+(UPPER($AS$78:$AZ$78)="EMPTY")+(UPPER($AS$78:$AZ$78)="(EMPTY)"))&gt;0,IFERROR(('Final Calculation Sheet'!$R$34)&amp;"","")="",ISNUMBER(SEARCH($AS$78:$AZ$78,IFERROR(('Final Calculation Sheet'!$R$34)&amp;"","")))))&gt;0),IF(COUNTIF($BI$78:$BP$78,4)=0,TRUE,SUMPRODUCT(($BI$78:$BP$78=4)*($AS$78:$AZ$78&lt;&gt;"")*IF(((UPPER($AS$78:$AZ$78)="BLANK")+(UPPER($AS$78:$AZ$78)="(BLANK)")+(UPPER($AS$78:$AZ$78)="EMPTY")+(UPPER($AS$78:$AZ$78)="(EMPTY)"))&gt;0,IFERROR(('Final Calculation Sheet'!$R$34)&amp;"","")="",ISNUMBER(SEARCH($AS$78:$AZ$78,IFERROR(('Final Calculation Sheet'!$R$34)&amp;"","")))))&gt;0),IF(COUNTIF($BI$78:$BP$78,5)=0,TRUE,SUMPRODUCT(($BI$78:$BP$78=5)*($AS$78:$AZ$78&lt;&gt;"")*IF(((UPPER($AS$78:$AZ$78)="BLANK")+(UPPER($AS$78:$AZ$78)="(BLANK)")+(UPPER($AS$78:$AZ$78)="EMPTY")+(UPPER($AS$78:$AZ$78)="(EMPTY)"))&gt;0,IFERROR(('Final Calculation Sheet'!$R$34)&amp;"","")="",ISNUMBER(SEARCH($AS$78:$AZ$78,IFERROR(('Final Calculation Sheet'!$R$34)&amp;"","")))))&gt;0),IF(COUNTIF($BI$78:$BP$78,6)=0,TRUE,SUMPRODUCT(($BI$78:$BP$78=6)*($AS$78:$AZ$78&lt;&gt;"")*IF(((UPPER($AS$78:$AZ$78)="BLANK")+(UPPER($AS$78:$AZ$78)="(BLANK)")+(UPPER($AS$78:$AZ$78)="EMPTY")+(UPPER($AS$78:$AZ$78)="(EMPTY)"))&gt;0,IFERROR(('Final Calculation Sheet'!$R$34)&amp;"","")="",ISNUMBER(SEARCH($AS$78:$AZ$78,IFERROR(('Final Calculation Sheet'!$R$34)&amp;"","")))))&gt;0),IF(COUNTIF($BI$78:$BP$78,7)=0,TRUE,SUMPRODUCT(($BI$78:$BP$78=7)*($AS$78:$AZ$78&lt;&gt;"")*IF(((UPPER($AS$78:$AZ$78)="BLANK")+(UPPER($AS$78:$AZ$78)="(BLANK)")+(UPPER($AS$78:$AZ$78)="EMPTY")+(UPPER($AS$78:$AZ$78)="(EMPTY)"))&gt;0,IFERROR(('Final Calculation Sheet'!$R$34)&amp;"","")="",ISNUMBER(SEARCH($AS$78:$AZ$78,IFERROR(('Final Calculation Sheet'!$R$34)&amp;"","")))))&gt;0),IF(COUNTIF($BI$78:$BP$78,8)=0,TRUE,SUMPRODUCT(($BI$78:$BP$78=8)*($AS$78:$AZ$78&lt;&gt;"")*IF(((UPPER($AS$78:$AZ$78)="BLANK")+(UPPER($AS$78:$AZ$78)="(BLANK)")+(UPPER($AS$78:$AZ$78)="EMPTY")+(UPPER($AS$78:$AZ$78)="(EMPTY)"))&gt;0,IFERROR(('Final Calculation Sheet'!$R$34)&amp;"","")="",ISNUMBER(SEARCH($AS$78:$AZ$78,IFERROR(('Final Calculation Sheet'!$R$34)&amp;"","")))))&gt;0))))</f>
        <v>1</v>
      </c>
      <c r="CF35">
        <f>IF($T$4="",1,--(AND(SUMPRODUCT(--($AS$79:$AZ$79&lt;&gt;""))&gt;0,IF(COUNTIF($BI$79:$BP$79,1)=0,TRUE,SUMPRODUCT(($BI$79:$BP$79=1)*($AS$79:$AZ$79&lt;&gt;"")*IF(((UPPER($AS$79:$AZ$79)="BLANK")+(UPPER($AS$79:$AZ$79)="(BLANK)")+(UPPER($AS$79:$AZ$79)="EMPTY")+(UPPER($AS$79:$AZ$79)="(EMPTY)"))&gt;0,IFERROR(('Final Calculation Sheet'!$S$34)&amp;"","")="",ISNUMBER(SEARCH($AS$79:$AZ$79,IFERROR(('Final Calculation Sheet'!$S$34)&amp;"","")))))&gt;0),IF(COUNTIF($BI$79:$BP$79,2)=0,TRUE,SUMPRODUCT(($BI$79:$BP$79=2)*($AS$79:$AZ$79&lt;&gt;"")*IF(((UPPER($AS$79:$AZ$79)="BLANK")+(UPPER($AS$79:$AZ$79)="(BLANK)")+(UPPER($AS$79:$AZ$79)="EMPTY")+(UPPER($AS$79:$AZ$79)="(EMPTY)"))&gt;0,IFERROR(('Final Calculation Sheet'!$S$34)&amp;"","")="",ISNUMBER(SEARCH($AS$79:$AZ$79,IFERROR(('Final Calculation Sheet'!$S$34)&amp;"","")))))&gt;0),IF(COUNTIF($BI$79:$BP$79,3)=0,TRUE,SUMPRODUCT(($BI$79:$BP$79=3)*($AS$79:$AZ$79&lt;&gt;"")*IF(((UPPER($AS$79:$AZ$79)="BLANK")+(UPPER($AS$79:$AZ$79)="(BLANK)")+(UPPER($AS$79:$AZ$79)="EMPTY")+(UPPER($AS$79:$AZ$79)="(EMPTY)"))&gt;0,IFERROR(('Final Calculation Sheet'!$S$34)&amp;"","")="",ISNUMBER(SEARCH($AS$79:$AZ$79,IFERROR(('Final Calculation Sheet'!$S$34)&amp;"","")))))&gt;0),IF(COUNTIF($BI$79:$BP$79,4)=0,TRUE,SUMPRODUCT(($BI$79:$BP$79=4)*($AS$79:$AZ$79&lt;&gt;"")*IF(((UPPER($AS$79:$AZ$79)="BLANK")+(UPPER($AS$79:$AZ$79)="(BLANK)")+(UPPER($AS$79:$AZ$79)="EMPTY")+(UPPER($AS$79:$AZ$79)="(EMPTY)"))&gt;0,IFERROR(('Final Calculation Sheet'!$S$34)&amp;"","")="",ISNUMBER(SEARCH($AS$79:$AZ$79,IFERROR(('Final Calculation Sheet'!$S$34)&amp;"","")))))&gt;0),IF(COUNTIF($BI$79:$BP$79,5)=0,TRUE,SUMPRODUCT(($BI$79:$BP$79=5)*($AS$79:$AZ$79&lt;&gt;"")*IF(((UPPER($AS$79:$AZ$79)="BLANK")+(UPPER($AS$79:$AZ$79)="(BLANK)")+(UPPER($AS$79:$AZ$79)="EMPTY")+(UPPER($AS$79:$AZ$79)="(EMPTY)"))&gt;0,IFERROR(('Final Calculation Sheet'!$S$34)&amp;"","")="",ISNUMBER(SEARCH($AS$79:$AZ$79,IFERROR(('Final Calculation Sheet'!$S$34)&amp;"","")))))&gt;0),IF(COUNTIF($BI$79:$BP$79,6)=0,TRUE,SUMPRODUCT(($BI$79:$BP$79=6)*($AS$79:$AZ$79&lt;&gt;"")*IF(((UPPER($AS$79:$AZ$79)="BLANK")+(UPPER($AS$79:$AZ$79)="(BLANK)")+(UPPER($AS$79:$AZ$79)="EMPTY")+(UPPER($AS$79:$AZ$79)="(EMPTY)"))&gt;0,IFERROR(('Final Calculation Sheet'!$S$34)&amp;"","")="",ISNUMBER(SEARCH($AS$79:$AZ$79,IFERROR(('Final Calculation Sheet'!$S$34)&amp;"","")))))&gt;0),IF(COUNTIF($BI$79:$BP$79,7)=0,TRUE,SUMPRODUCT(($BI$79:$BP$79=7)*($AS$79:$AZ$79&lt;&gt;"")*IF(((UPPER($AS$79:$AZ$79)="BLANK")+(UPPER($AS$79:$AZ$79)="(BLANK)")+(UPPER($AS$79:$AZ$79)="EMPTY")+(UPPER($AS$79:$AZ$79)="(EMPTY)"))&gt;0,IFERROR(('Final Calculation Sheet'!$S$34)&amp;"","")="",ISNUMBER(SEARCH($AS$79:$AZ$79,IFERROR(('Final Calculation Sheet'!$S$34)&amp;"","")))))&gt;0),IF(COUNTIF($BI$79:$BP$79,8)=0,TRUE,SUMPRODUCT(($BI$79:$BP$79=8)*($AS$79:$AZ$79&lt;&gt;"")*IF(((UPPER($AS$79:$AZ$79)="BLANK")+(UPPER($AS$79:$AZ$79)="(BLANK)")+(UPPER($AS$79:$AZ$79)="EMPTY")+(UPPER($AS$79:$AZ$79)="(EMPTY)"))&gt;0,IFERROR(('Final Calculation Sheet'!$S$34)&amp;"","")="",ISNUMBER(SEARCH($AS$79:$AZ$79,IFERROR(('Final Calculation Sheet'!$S$34)&amp;"","")))))&gt;0))))</f>
        <v>1</v>
      </c>
      <c r="CG35">
        <f>IF($U$4="",1,--(AND(SUMPRODUCT(--($AS$80:$AZ$80&lt;&gt;""))&gt;0,IF(COUNTIF($BI$80:$BP$80,1)=0,TRUE,SUMPRODUCT(($BI$80:$BP$80=1)*($AS$80:$AZ$80&lt;&gt;"")*IF(((UPPER($AS$80:$AZ$80)="BLANK")+(UPPER($AS$80:$AZ$80)="(BLANK)")+(UPPER($AS$80:$AZ$80)="EMPTY")+(UPPER($AS$80:$AZ$80)="(EMPTY)"))&gt;0,IFERROR(('Final Calculation Sheet'!$T$34)&amp;"","")="",ISNUMBER(SEARCH($AS$80:$AZ$80,IFERROR(('Final Calculation Sheet'!$T$34)&amp;"","")))))&gt;0),IF(COUNTIF($BI$80:$BP$80,2)=0,TRUE,SUMPRODUCT(($BI$80:$BP$80=2)*($AS$80:$AZ$80&lt;&gt;"")*IF(((UPPER($AS$80:$AZ$80)="BLANK")+(UPPER($AS$80:$AZ$80)="(BLANK)")+(UPPER($AS$80:$AZ$80)="EMPTY")+(UPPER($AS$80:$AZ$80)="(EMPTY)"))&gt;0,IFERROR(('Final Calculation Sheet'!$T$34)&amp;"","")="",ISNUMBER(SEARCH($AS$80:$AZ$80,IFERROR(('Final Calculation Sheet'!$T$34)&amp;"","")))))&gt;0),IF(COUNTIF($BI$80:$BP$80,3)=0,TRUE,SUMPRODUCT(($BI$80:$BP$80=3)*($AS$80:$AZ$80&lt;&gt;"")*IF(((UPPER($AS$80:$AZ$80)="BLANK")+(UPPER($AS$80:$AZ$80)="(BLANK)")+(UPPER($AS$80:$AZ$80)="EMPTY")+(UPPER($AS$80:$AZ$80)="(EMPTY)"))&gt;0,IFERROR(('Final Calculation Sheet'!$T$34)&amp;"","")="",ISNUMBER(SEARCH($AS$80:$AZ$80,IFERROR(('Final Calculation Sheet'!$T$34)&amp;"","")))))&gt;0),IF(COUNTIF($BI$80:$BP$80,4)=0,TRUE,SUMPRODUCT(($BI$80:$BP$80=4)*($AS$80:$AZ$80&lt;&gt;"")*IF(((UPPER($AS$80:$AZ$80)="BLANK")+(UPPER($AS$80:$AZ$80)="(BLANK)")+(UPPER($AS$80:$AZ$80)="EMPTY")+(UPPER($AS$80:$AZ$80)="(EMPTY)"))&gt;0,IFERROR(('Final Calculation Sheet'!$T$34)&amp;"","")="",ISNUMBER(SEARCH($AS$80:$AZ$80,IFERROR(('Final Calculation Sheet'!$T$34)&amp;"","")))))&gt;0),IF(COUNTIF($BI$80:$BP$80,5)=0,TRUE,SUMPRODUCT(($BI$80:$BP$80=5)*($AS$80:$AZ$80&lt;&gt;"")*IF(((UPPER($AS$80:$AZ$80)="BLANK")+(UPPER($AS$80:$AZ$80)="(BLANK)")+(UPPER($AS$80:$AZ$80)="EMPTY")+(UPPER($AS$80:$AZ$80)="(EMPTY)"))&gt;0,IFERROR(('Final Calculation Sheet'!$T$34)&amp;"","")="",ISNUMBER(SEARCH($AS$80:$AZ$80,IFERROR(('Final Calculation Sheet'!$T$34)&amp;"","")))))&gt;0),IF(COUNTIF($BI$80:$BP$80,6)=0,TRUE,SUMPRODUCT(($BI$80:$BP$80=6)*($AS$80:$AZ$80&lt;&gt;"")*IF(((UPPER($AS$80:$AZ$80)="BLANK")+(UPPER($AS$80:$AZ$80)="(BLANK)")+(UPPER($AS$80:$AZ$80)="EMPTY")+(UPPER($AS$80:$AZ$80)="(EMPTY)"))&gt;0,IFERROR(('Final Calculation Sheet'!$T$34)&amp;"","")="",ISNUMBER(SEARCH($AS$80:$AZ$80,IFERROR(('Final Calculation Sheet'!$T$34)&amp;"","")))))&gt;0),IF(COUNTIF($BI$80:$BP$80,7)=0,TRUE,SUMPRODUCT(($BI$80:$BP$80=7)*($AS$80:$AZ$80&lt;&gt;"")*IF(((UPPER($AS$80:$AZ$80)="BLANK")+(UPPER($AS$80:$AZ$80)="(BLANK)")+(UPPER($AS$80:$AZ$80)="EMPTY")+(UPPER($AS$80:$AZ$80)="(EMPTY)"))&gt;0,IFERROR(('Final Calculation Sheet'!$T$34)&amp;"","")="",ISNUMBER(SEARCH($AS$80:$AZ$80,IFERROR(('Final Calculation Sheet'!$T$34)&amp;"","")))))&gt;0),IF(COUNTIF($BI$80:$BP$80,8)=0,TRUE,SUMPRODUCT(($BI$80:$BP$80=8)*($AS$80:$AZ$80&lt;&gt;"")*IF(((UPPER($AS$80:$AZ$80)="BLANK")+(UPPER($AS$80:$AZ$80)="(BLANK)")+(UPPER($AS$80:$AZ$80)="EMPTY")+(UPPER($AS$80:$AZ$80)="(EMPTY)"))&gt;0,IFERROR(('Final Calculation Sheet'!$T$34)&amp;"","")="",ISNUMBER(SEARCH($AS$80:$AZ$80,IFERROR(('Final Calculation Sheet'!$T$34)&amp;"","")))))&gt;0))))</f>
        <v>1</v>
      </c>
      <c r="CH35">
        <f>IF($V$4="",1,--(AND(SUMPRODUCT(--($AS$81:$AZ$81&lt;&gt;""))&gt;0,IF(COUNTIF($BI$81:$BP$81,1)=0,TRUE,SUMPRODUCT(($BI$81:$BP$81=1)*($AS$81:$AZ$81&lt;&gt;"")*IF(((UPPER($AS$81:$AZ$81)="BLANK")+(UPPER($AS$81:$AZ$81)="(BLANK)")+(UPPER($AS$81:$AZ$81)="EMPTY")+(UPPER($AS$81:$AZ$81)="(EMPTY)"))&gt;0,IFERROR(('Final Calculation Sheet'!$U$34)&amp;"","")="",ISNUMBER(SEARCH($AS$81:$AZ$81,IFERROR(('Final Calculation Sheet'!$U$34)&amp;"","")))))&gt;0),IF(COUNTIF($BI$81:$BP$81,2)=0,TRUE,SUMPRODUCT(($BI$81:$BP$81=2)*($AS$81:$AZ$81&lt;&gt;"")*IF(((UPPER($AS$81:$AZ$81)="BLANK")+(UPPER($AS$81:$AZ$81)="(BLANK)")+(UPPER($AS$81:$AZ$81)="EMPTY")+(UPPER($AS$81:$AZ$81)="(EMPTY)"))&gt;0,IFERROR(('Final Calculation Sheet'!$U$34)&amp;"","")="",ISNUMBER(SEARCH($AS$81:$AZ$81,IFERROR(('Final Calculation Sheet'!$U$34)&amp;"","")))))&gt;0),IF(COUNTIF($BI$81:$BP$81,3)=0,TRUE,SUMPRODUCT(($BI$81:$BP$81=3)*($AS$81:$AZ$81&lt;&gt;"")*IF(((UPPER($AS$81:$AZ$81)="BLANK")+(UPPER($AS$81:$AZ$81)="(BLANK)")+(UPPER($AS$81:$AZ$81)="EMPTY")+(UPPER($AS$81:$AZ$81)="(EMPTY)"))&gt;0,IFERROR(('Final Calculation Sheet'!$U$34)&amp;"","")="",ISNUMBER(SEARCH($AS$81:$AZ$81,IFERROR(('Final Calculation Sheet'!$U$34)&amp;"","")))))&gt;0),IF(COUNTIF($BI$81:$BP$81,4)=0,TRUE,SUMPRODUCT(($BI$81:$BP$81=4)*($AS$81:$AZ$81&lt;&gt;"")*IF(((UPPER($AS$81:$AZ$81)="BLANK")+(UPPER($AS$81:$AZ$81)="(BLANK)")+(UPPER($AS$81:$AZ$81)="EMPTY")+(UPPER($AS$81:$AZ$81)="(EMPTY)"))&gt;0,IFERROR(('Final Calculation Sheet'!$U$34)&amp;"","")="",ISNUMBER(SEARCH($AS$81:$AZ$81,IFERROR(('Final Calculation Sheet'!$U$34)&amp;"","")))))&gt;0),IF(COUNTIF($BI$81:$BP$81,5)=0,TRUE,SUMPRODUCT(($BI$81:$BP$81=5)*($AS$81:$AZ$81&lt;&gt;"")*IF(((UPPER($AS$81:$AZ$81)="BLANK")+(UPPER($AS$81:$AZ$81)="(BLANK)")+(UPPER($AS$81:$AZ$81)="EMPTY")+(UPPER($AS$81:$AZ$81)="(EMPTY)"))&gt;0,IFERROR(('Final Calculation Sheet'!$U$34)&amp;"","")="",ISNUMBER(SEARCH($AS$81:$AZ$81,IFERROR(('Final Calculation Sheet'!$U$34)&amp;"","")))))&gt;0),IF(COUNTIF($BI$81:$BP$81,6)=0,TRUE,SUMPRODUCT(($BI$81:$BP$81=6)*($AS$81:$AZ$81&lt;&gt;"")*IF(((UPPER($AS$81:$AZ$81)="BLANK")+(UPPER($AS$81:$AZ$81)="(BLANK)")+(UPPER($AS$81:$AZ$81)="EMPTY")+(UPPER($AS$81:$AZ$81)="(EMPTY)"))&gt;0,IFERROR(('Final Calculation Sheet'!$U$34)&amp;"","")="",ISNUMBER(SEARCH($AS$81:$AZ$81,IFERROR(('Final Calculation Sheet'!$U$34)&amp;"","")))))&gt;0),IF(COUNTIF($BI$81:$BP$81,7)=0,TRUE,SUMPRODUCT(($BI$81:$BP$81=7)*($AS$81:$AZ$81&lt;&gt;"")*IF(((UPPER($AS$81:$AZ$81)="BLANK")+(UPPER($AS$81:$AZ$81)="(BLANK)")+(UPPER($AS$81:$AZ$81)="EMPTY")+(UPPER($AS$81:$AZ$81)="(EMPTY)"))&gt;0,IFERROR(('Final Calculation Sheet'!$U$34)&amp;"","")="",ISNUMBER(SEARCH($AS$81:$AZ$81,IFERROR(('Final Calculation Sheet'!$U$34)&amp;"","")))))&gt;0),IF(COUNTIF($BI$81:$BP$81,8)=0,TRUE,SUMPRODUCT(($BI$81:$BP$81=8)*($AS$81:$AZ$81&lt;&gt;"")*IF(((UPPER($AS$81:$AZ$81)="BLANK")+(UPPER($AS$81:$AZ$81)="(BLANK)")+(UPPER($AS$81:$AZ$81)="EMPTY")+(UPPER($AS$81:$AZ$81)="(EMPTY)"))&gt;0,IFERROR(('Final Calculation Sheet'!$U$34)&amp;"","")="",ISNUMBER(SEARCH($AS$81:$AZ$81,IFERROR(('Final Calculation Sheet'!$U$34)&amp;"","")))))&gt;0))))</f>
        <v>1</v>
      </c>
      <c r="CI35">
        <f>IF($W$4="",1,--(AND(SUMPRODUCT(--($AS$82:$AZ$82&lt;&gt;""))&gt;0,IF(COUNTIF($BI$82:$BP$82,1)=0,TRUE,SUMPRODUCT(($BI$82:$BP$82=1)*($AS$82:$AZ$82&lt;&gt;"")*IF(((UPPER($AS$82:$AZ$82)="BLANK")+(UPPER($AS$82:$AZ$82)="(BLANK)")+(UPPER($AS$82:$AZ$82)="EMPTY")+(UPPER($AS$82:$AZ$82)="(EMPTY)"))&gt;0,IFERROR(('Final Calculation Sheet'!$V$34)&amp;"","")="",ISNUMBER(SEARCH($AS$82:$AZ$82,IFERROR(('Final Calculation Sheet'!$V$34)&amp;"","")))))&gt;0),IF(COUNTIF($BI$82:$BP$82,2)=0,TRUE,SUMPRODUCT(($BI$82:$BP$82=2)*($AS$82:$AZ$82&lt;&gt;"")*IF(((UPPER($AS$82:$AZ$82)="BLANK")+(UPPER($AS$82:$AZ$82)="(BLANK)")+(UPPER($AS$82:$AZ$82)="EMPTY")+(UPPER($AS$82:$AZ$82)="(EMPTY)"))&gt;0,IFERROR(('Final Calculation Sheet'!$V$34)&amp;"","")="",ISNUMBER(SEARCH($AS$82:$AZ$82,IFERROR(('Final Calculation Sheet'!$V$34)&amp;"","")))))&gt;0),IF(COUNTIF($BI$82:$BP$82,3)=0,TRUE,SUMPRODUCT(($BI$82:$BP$82=3)*($AS$82:$AZ$82&lt;&gt;"")*IF(((UPPER($AS$82:$AZ$82)="BLANK")+(UPPER($AS$82:$AZ$82)="(BLANK)")+(UPPER($AS$82:$AZ$82)="EMPTY")+(UPPER($AS$82:$AZ$82)="(EMPTY)"))&gt;0,IFERROR(('Final Calculation Sheet'!$V$34)&amp;"","")="",ISNUMBER(SEARCH($AS$82:$AZ$82,IFERROR(('Final Calculation Sheet'!$V$34)&amp;"","")))))&gt;0),IF(COUNTIF($BI$82:$BP$82,4)=0,TRUE,SUMPRODUCT(($BI$82:$BP$82=4)*($AS$82:$AZ$82&lt;&gt;"")*IF(((UPPER($AS$82:$AZ$82)="BLANK")+(UPPER($AS$82:$AZ$82)="(BLANK)")+(UPPER($AS$82:$AZ$82)="EMPTY")+(UPPER($AS$82:$AZ$82)="(EMPTY)"))&gt;0,IFERROR(('Final Calculation Sheet'!$V$34)&amp;"","")="",ISNUMBER(SEARCH($AS$82:$AZ$82,IFERROR(('Final Calculation Sheet'!$V$34)&amp;"","")))))&gt;0),IF(COUNTIF($BI$82:$BP$82,5)=0,TRUE,SUMPRODUCT(($BI$82:$BP$82=5)*($AS$82:$AZ$82&lt;&gt;"")*IF(((UPPER($AS$82:$AZ$82)="BLANK")+(UPPER($AS$82:$AZ$82)="(BLANK)")+(UPPER($AS$82:$AZ$82)="EMPTY")+(UPPER($AS$82:$AZ$82)="(EMPTY)"))&gt;0,IFERROR(('Final Calculation Sheet'!$V$34)&amp;"","")="",ISNUMBER(SEARCH($AS$82:$AZ$82,IFERROR(('Final Calculation Sheet'!$V$34)&amp;"","")))))&gt;0),IF(COUNTIF($BI$82:$BP$82,6)=0,TRUE,SUMPRODUCT(($BI$82:$BP$82=6)*($AS$82:$AZ$82&lt;&gt;"")*IF(((UPPER($AS$82:$AZ$82)="BLANK")+(UPPER($AS$82:$AZ$82)="(BLANK)")+(UPPER($AS$82:$AZ$82)="EMPTY")+(UPPER($AS$82:$AZ$82)="(EMPTY)"))&gt;0,IFERROR(('Final Calculation Sheet'!$V$34)&amp;"","")="",ISNUMBER(SEARCH($AS$82:$AZ$82,IFERROR(('Final Calculation Sheet'!$V$34)&amp;"","")))))&gt;0),IF(COUNTIF($BI$82:$BP$82,7)=0,TRUE,SUMPRODUCT(($BI$82:$BP$82=7)*($AS$82:$AZ$82&lt;&gt;"")*IF(((UPPER($AS$82:$AZ$82)="BLANK")+(UPPER($AS$82:$AZ$82)="(BLANK)")+(UPPER($AS$82:$AZ$82)="EMPTY")+(UPPER($AS$82:$AZ$82)="(EMPTY)"))&gt;0,IFERROR(('Final Calculation Sheet'!$V$34)&amp;"","")="",ISNUMBER(SEARCH($AS$82:$AZ$82,IFERROR(('Final Calculation Sheet'!$V$34)&amp;"","")))))&gt;0),IF(COUNTIF($BI$82:$BP$82,8)=0,TRUE,SUMPRODUCT(($BI$82:$BP$82=8)*($AS$82:$AZ$82&lt;&gt;"")*IF(((UPPER($AS$82:$AZ$82)="BLANK")+(UPPER($AS$82:$AZ$82)="(BLANK)")+(UPPER($AS$82:$AZ$82)="EMPTY")+(UPPER($AS$82:$AZ$82)="(EMPTY)"))&gt;0,IFERROR(('Final Calculation Sheet'!$V$34)&amp;"","")="",ISNUMBER(SEARCH($AS$82:$AZ$82,IFERROR(('Final Calculation Sheet'!$V$34)&amp;"","")))))&gt;0))))</f>
        <v>1</v>
      </c>
      <c r="CJ35">
        <f>IF($X$4="",1,--(AND(SUMPRODUCT(--($AS$83:$AZ$83&lt;&gt;""))&gt;0,IF(COUNTIF($BI$83:$BP$83,1)=0,TRUE,SUMPRODUCT(($BI$83:$BP$83=1)*($AS$83:$AZ$83&lt;&gt;"")*IF(((UPPER($AS$83:$AZ$83)="BLANK")+(UPPER($AS$83:$AZ$83)="(BLANK)")+(UPPER($AS$83:$AZ$83)="EMPTY")+(UPPER($AS$83:$AZ$83)="(EMPTY)"))&gt;0,IFERROR(('Final Calculation Sheet'!$W$34)&amp;"","")="",ISNUMBER(SEARCH($AS$83:$AZ$83,IFERROR(('Final Calculation Sheet'!$W$34)&amp;"","")))))&gt;0),IF(COUNTIF($BI$83:$BP$83,2)=0,TRUE,SUMPRODUCT(($BI$83:$BP$83=2)*($AS$83:$AZ$83&lt;&gt;"")*IF(((UPPER($AS$83:$AZ$83)="BLANK")+(UPPER($AS$83:$AZ$83)="(BLANK)")+(UPPER($AS$83:$AZ$83)="EMPTY")+(UPPER($AS$83:$AZ$83)="(EMPTY)"))&gt;0,IFERROR(('Final Calculation Sheet'!$W$34)&amp;"","")="",ISNUMBER(SEARCH($AS$83:$AZ$83,IFERROR(('Final Calculation Sheet'!$W$34)&amp;"","")))))&gt;0),IF(COUNTIF($BI$83:$BP$83,3)=0,TRUE,SUMPRODUCT(($BI$83:$BP$83=3)*($AS$83:$AZ$83&lt;&gt;"")*IF(((UPPER($AS$83:$AZ$83)="BLANK")+(UPPER($AS$83:$AZ$83)="(BLANK)")+(UPPER($AS$83:$AZ$83)="EMPTY")+(UPPER($AS$83:$AZ$83)="(EMPTY)"))&gt;0,IFERROR(('Final Calculation Sheet'!$W$34)&amp;"","")="",ISNUMBER(SEARCH($AS$83:$AZ$83,IFERROR(('Final Calculation Sheet'!$W$34)&amp;"","")))))&gt;0),IF(COUNTIF($BI$83:$BP$83,4)=0,TRUE,SUMPRODUCT(($BI$83:$BP$83=4)*($AS$83:$AZ$83&lt;&gt;"")*IF(((UPPER($AS$83:$AZ$83)="BLANK")+(UPPER($AS$83:$AZ$83)="(BLANK)")+(UPPER($AS$83:$AZ$83)="EMPTY")+(UPPER($AS$83:$AZ$83)="(EMPTY)"))&gt;0,IFERROR(('Final Calculation Sheet'!$W$34)&amp;"","")="",ISNUMBER(SEARCH($AS$83:$AZ$83,IFERROR(('Final Calculation Sheet'!$W$34)&amp;"","")))))&gt;0),IF(COUNTIF($BI$83:$BP$83,5)=0,TRUE,SUMPRODUCT(($BI$83:$BP$83=5)*($AS$83:$AZ$83&lt;&gt;"")*IF(((UPPER($AS$83:$AZ$83)="BLANK")+(UPPER($AS$83:$AZ$83)="(BLANK)")+(UPPER($AS$83:$AZ$83)="EMPTY")+(UPPER($AS$83:$AZ$83)="(EMPTY)"))&gt;0,IFERROR(('Final Calculation Sheet'!$W$34)&amp;"","")="",ISNUMBER(SEARCH($AS$83:$AZ$83,IFERROR(('Final Calculation Sheet'!$W$34)&amp;"","")))))&gt;0),IF(COUNTIF($BI$83:$BP$83,6)=0,TRUE,SUMPRODUCT(($BI$83:$BP$83=6)*($AS$83:$AZ$83&lt;&gt;"")*IF(((UPPER($AS$83:$AZ$83)="BLANK")+(UPPER($AS$83:$AZ$83)="(BLANK)")+(UPPER($AS$83:$AZ$83)="EMPTY")+(UPPER($AS$83:$AZ$83)="(EMPTY)"))&gt;0,IFERROR(('Final Calculation Sheet'!$W$34)&amp;"","")="",ISNUMBER(SEARCH($AS$83:$AZ$83,IFERROR(('Final Calculation Sheet'!$W$34)&amp;"","")))))&gt;0),IF(COUNTIF($BI$83:$BP$83,7)=0,TRUE,SUMPRODUCT(($BI$83:$BP$83=7)*($AS$83:$AZ$83&lt;&gt;"")*IF(((UPPER($AS$83:$AZ$83)="BLANK")+(UPPER($AS$83:$AZ$83)="(BLANK)")+(UPPER($AS$83:$AZ$83)="EMPTY")+(UPPER($AS$83:$AZ$83)="(EMPTY)"))&gt;0,IFERROR(('Final Calculation Sheet'!$W$34)&amp;"","")="",ISNUMBER(SEARCH($AS$83:$AZ$83,IFERROR(('Final Calculation Sheet'!$W$34)&amp;"","")))))&gt;0),IF(COUNTIF($BI$83:$BP$83,8)=0,TRUE,SUMPRODUCT(($BI$83:$BP$83=8)*($AS$83:$AZ$83&lt;&gt;"")*IF(((UPPER($AS$83:$AZ$83)="BLANK")+(UPPER($AS$83:$AZ$83)="(BLANK)")+(UPPER($AS$83:$AZ$83)="EMPTY")+(UPPER($AS$83:$AZ$83)="(EMPTY)"))&gt;0,IFERROR(('Final Calculation Sheet'!$W$34)&amp;"","")="",ISNUMBER(SEARCH($AS$83:$AZ$83,IFERROR(('Final Calculation Sheet'!$W$34)&amp;"","")))))&gt;0))))</f>
        <v>1</v>
      </c>
      <c r="CK35">
        <f>IF($Y$4="",1,--(AND(SUMPRODUCT(--($AS$84:$AZ$84&lt;&gt;""))&gt;0,IF(COUNTIF($BI$84:$BP$84,1)=0,TRUE,SUMPRODUCT(($BI$84:$BP$84=1)*($AS$84:$AZ$84&lt;&gt;"")*IF(((UPPER($AS$84:$AZ$84)="BLANK")+(UPPER($AS$84:$AZ$84)="(BLANK)")+(UPPER($AS$84:$AZ$84)="EMPTY")+(UPPER($AS$84:$AZ$84)="(EMPTY)"))&gt;0,IFERROR(('Final Calculation Sheet'!$X$34)&amp;"","")="",ISNUMBER(SEARCH($AS$84:$AZ$84,IFERROR(('Final Calculation Sheet'!$X$34)&amp;"","")))))&gt;0),IF(COUNTIF($BI$84:$BP$84,2)=0,TRUE,SUMPRODUCT(($BI$84:$BP$84=2)*($AS$84:$AZ$84&lt;&gt;"")*IF(((UPPER($AS$84:$AZ$84)="BLANK")+(UPPER($AS$84:$AZ$84)="(BLANK)")+(UPPER($AS$84:$AZ$84)="EMPTY")+(UPPER($AS$84:$AZ$84)="(EMPTY)"))&gt;0,IFERROR(('Final Calculation Sheet'!$X$34)&amp;"","")="",ISNUMBER(SEARCH($AS$84:$AZ$84,IFERROR(('Final Calculation Sheet'!$X$34)&amp;"","")))))&gt;0),IF(COUNTIF($BI$84:$BP$84,3)=0,TRUE,SUMPRODUCT(($BI$84:$BP$84=3)*($AS$84:$AZ$84&lt;&gt;"")*IF(((UPPER($AS$84:$AZ$84)="BLANK")+(UPPER($AS$84:$AZ$84)="(BLANK)")+(UPPER($AS$84:$AZ$84)="EMPTY")+(UPPER($AS$84:$AZ$84)="(EMPTY)"))&gt;0,IFERROR(('Final Calculation Sheet'!$X$34)&amp;"","")="",ISNUMBER(SEARCH($AS$84:$AZ$84,IFERROR(('Final Calculation Sheet'!$X$34)&amp;"","")))))&gt;0),IF(COUNTIF($BI$84:$BP$84,4)=0,TRUE,SUMPRODUCT(($BI$84:$BP$84=4)*($AS$84:$AZ$84&lt;&gt;"")*IF(((UPPER($AS$84:$AZ$84)="BLANK")+(UPPER($AS$84:$AZ$84)="(BLANK)")+(UPPER($AS$84:$AZ$84)="EMPTY")+(UPPER($AS$84:$AZ$84)="(EMPTY)"))&gt;0,IFERROR(('Final Calculation Sheet'!$X$34)&amp;"","")="",ISNUMBER(SEARCH($AS$84:$AZ$84,IFERROR(('Final Calculation Sheet'!$X$34)&amp;"","")))))&gt;0),IF(COUNTIF($BI$84:$BP$84,5)=0,TRUE,SUMPRODUCT(($BI$84:$BP$84=5)*($AS$84:$AZ$84&lt;&gt;"")*IF(((UPPER($AS$84:$AZ$84)="BLANK")+(UPPER($AS$84:$AZ$84)="(BLANK)")+(UPPER($AS$84:$AZ$84)="EMPTY")+(UPPER($AS$84:$AZ$84)="(EMPTY)"))&gt;0,IFERROR(('Final Calculation Sheet'!$X$34)&amp;"","")="",ISNUMBER(SEARCH($AS$84:$AZ$84,IFERROR(('Final Calculation Sheet'!$X$34)&amp;"","")))))&gt;0),IF(COUNTIF($BI$84:$BP$84,6)=0,TRUE,SUMPRODUCT(($BI$84:$BP$84=6)*($AS$84:$AZ$84&lt;&gt;"")*IF(((UPPER($AS$84:$AZ$84)="BLANK")+(UPPER($AS$84:$AZ$84)="(BLANK)")+(UPPER($AS$84:$AZ$84)="EMPTY")+(UPPER($AS$84:$AZ$84)="(EMPTY)"))&gt;0,IFERROR(('Final Calculation Sheet'!$X$34)&amp;"","")="",ISNUMBER(SEARCH($AS$84:$AZ$84,IFERROR(('Final Calculation Sheet'!$X$34)&amp;"","")))))&gt;0),IF(COUNTIF($BI$84:$BP$84,7)=0,TRUE,SUMPRODUCT(($BI$84:$BP$84=7)*($AS$84:$AZ$84&lt;&gt;"")*IF(((UPPER($AS$84:$AZ$84)="BLANK")+(UPPER($AS$84:$AZ$84)="(BLANK)")+(UPPER($AS$84:$AZ$84)="EMPTY")+(UPPER($AS$84:$AZ$84)="(EMPTY)"))&gt;0,IFERROR(('Final Calculation Sheet'!$X$34)&amp;"","")="",ISNUMBER(SEARCH($AS$84:$AZ$84,IFERROR(('Final Calculation Sheet'!$X$34)&amp;"","")))))&gt;0),IF(COUNTIF($BI$84:$BP$84,8)=0,TRUE,SUMPRODUCT(($BI$84:$BP$84=8)*($AS$84:$AZ$84&lt;&gt;"")*IF(((UPPER($AS$84:$AZ$84)="BLANK")+(UPPER($AS$84:$AZ$84)="(BLANK)")+(UPPER($AS$84:$AZ$84)="EMPTY")+(UPPER($AS$84:$AZ$84)="(EMPTY)"))&gt;0,IFERROR(('Final Calculation Sheet'!$X$34)&amp;"","")="",ISNUMBER(SEARCH($AS$84:$AZ$84,IFERROR(('Final Calculation Sheet'!$X$34)&amp;"","")))))&gt;0))))</f>
        <v>1</v>
      </c>
      <c r="CL35">
        <f>IF($Z$4="",1,--(AND(SUMPRODUCT(--($AS$85:$AZ$85&lt;&gt;""))&gt;0,IF(COUNTIF($BI$85:$BP$85,1)=0,TRUE,SUMPRODUCT(($BI$85:$BP$85=1)*($AS$85:$AZ$85&lt;&gt;"")*IF(((UPPER($AS$85:$AZ$85)="BLANK")+(UPPER($AS$85:$AZ$85)="(BLANK)")+(UPPER($AS$85:$AZ$85)="EMPTY")+(UPPER($AS$85:$AZ$85)="(EMPTY)"))&gt;0,IFERROR(('Final Calculation Sheet'!$Y$34)&amp;"","")="",ISNUMBER(SEARCH($AS$85:$AZ$85,IFERROR(('Final Calculation Sheet'!$Y$34)&amp;"","")))))&gt;0),IF(COUNTIF($BI$85:$BP$85,2)=0,TRUE,SUMPRODUCT(($BI$85:$BP$85=2)*($AS$85:$AZ$85&lt;&gt;"")*IF(((UPPER($AS$85:$AZ$85)="BLANK")+(UPPER($AS$85:$AZ$85)="(BLANK)")+(UPPER($AS$85:$AZ$85)="EMPTY")+(UPPER($AS$85:$AZ$85)="(EMPTY)"))&gt;0,IFERROR(('Final Calculation Sheet'!$Y$34)&amp;"","")="",ISNUMBER(SEARCH($AS$85:$AZ$85,IFERROR(('Final Calculation Sheet'!$Y$34)&amp;"","")))))&gt;0),IF(COUNTIF($BI$85:$BP$85,3)=0,TRUE,SUMPRODUCT(($BI$85:$BP$85=3)*($AS$85:$AZ$85&lt;&gt;"")*IF(((UPPER($AS$85:$AZ$85)="BLANK")+(UPPER($AS$85:$AZ$85)="(BLANK)")+(UPPER($AS$85:$AZ$85)="EMPTY")+(UPPER($AS$85:$AZ$85)="(EMPTY)"))&gt;0,IFERROR(('Final Calculation Sheet'!$Y$34)&amp;"","")="",ISNUMBER(SEARCH($AS$85:$AZ$85,IFERROR(('Final Calculation Sheet'!$Y$34)&amp;"","")))))&gt;0),IF(COUNTIF($BI$85:$BP$85,4)=0,TRUE,SUMPRODUCT(($BI$85:$BP$85=4)*($AS$85:$AZ$85&lt;&gt;"")*IF(((UPPER($AS$85:$AZ$85)="BLANK")+(UPPER($AS$85:$AZ$85)="(BLANK)")+(UPPER($AS$85:$AZ$85)="EMPTY")+(UPPER($AS$85:$AZ$85)="(EMPTY)"))&gt;0,IFERROR(('Final Calculation Sheet'!$Y$34)&amp;"","")="",ISNUMBER(SEARCH($AS$85:$AZ$85,IFERROR(('Final Calculation Sheet'!$Y$34)&amp;"","")))))&gt;0),IF(COUNTIF($BI$85:$BP$85,5)=0,TRUE,SUMPRODUCT(($BI$85:$BP$85=5)*($AS$85:$AZ$85&lt;&gt;"")*IF(((UPPER($AS$85:$AZ$85)="BLANK")+(UPPER($AS$85:$AZ$85)="(BLANK)")+(UPPER($AS$85:$AZ$85)="EMPTY")+(UPPER($AS$85:$AZ$85)="(EMPTY)"))&gt;0,IFERROR(('Final Calculation Sheet'!$Y$34)&amp;"","")="",ISNUMBER(SEARCH($AS$85:$AZ$85,IFERROR(('Final Calculation Sheet'!$Y$34)&amp;"","")))))&gt;0),IF(COUNTIF($BI$85:$BP$85,6)=0,TRUE,SUMPRODUCT(($BI$85:$BP$85=6)*($AS$85:$AZ$85&lt;&gt;"")*IF(((UPPER($AS$85:$AZ$85)="BLANK")+(UPPER($AS$85:$AZ$85)="(BLANK)")+(UPPER($AS$85:$AZ$85)="EMPTY")+(UPPER($AS$85:$AZ$85)="(EMPTY)"))&gt;0,IFERROR(('Final Calculation Sheet'!$Y$34)&amp;"","")="",ISNUMBER(SEARCH($AS$85:$AZ$85,IFERROR(('Final Calculation Sheet'!$Y$34)&amp;"","")))))&gt;0),IF(COUNTIF($BI$85:$BP$85,7)=0,TRUE,SUMPRODUCT(($BI$85:$BP$85=7)*($AS$85:$AZ$85&lt;&gt;"")*IF(((UPPER($AS$85:$AZ$85)="BLANK")+(UPPER($AS$85:$AZ$85)="(BLANK)")+(UPPER($AS$85:$AZ$85)="EMPTY")+(UPPER($AS$85:$AZ$85)="(EMPTY)"))&gt;0,IFERROR(('Final Calculation Sheet'!$Y$34)&amp;"","")="",ISNUMBER(SEARCH($AS$85:$AZ$85,IFERROR(('Final Calculation Sheet'!$Y$34)&amp;"","")))))&gt;0),IF(COUNTIF($BI$85:$BP$85,8)=0,TRUE,SUMPRODUCT(($BI$85:$BP$85=8)*($AS$85:$AZ$85&lt;&gt;"")*IF(((UPPER($AS$85:$AZ$85)="BLANK")+(UPPER($AS$85:$AZ$85)="(BLANK)")+(UPPER($AS$85:$AZ$85)="EMPTY")+(UPPER($AS$85:$AZ$85)="(EMPTY)"))&gt;0,IFERROR(('Final Calculation Sheet'!$Y$34)&amp;"","")="",ISNUMBER(SEARCH($AS$85:$AZ$85,IFERROR(('Final Calculation Sheet'!$Y$34)&amp;"","")))))&gt;0))))</f>
        <v>1</v>
      </c>
      <c r="CM35">
        <f>IF($AA$4="",1,--(AND(SUMPRODUCT(--($AS$86:$AZ$86&lt;&gt;""))&gt;0,IF(COUNTIF($BI$86:$BP$86,1)=0,TRUE,SUMPRODUCT(($BI$86:$BP$86=1)*($AS$86:$AZ$86&lt;&gt;"")*IF(((UPPER($AS$86:$AZ$86)="BLANK")+(UPPER($AS$86:$AZ$86)="(BLANK)")+(UPPER($AS$86:$AZ$86)="EMPTY")+(UPPER($AS$86:$AZ$86)="(EMPTY)"))&gt;0,IFERROR(('Final Calculation Sheet'!$Z$34)&amp;"","")="",ISNUMBER(SEARCH($AS$86:$AZ$86,IFERROR(('Final Calculation Sheet'!$Z$34)&amp;"","")))))&gt;0),IF(COUNTIF($BI$86:$BP$86,2)=0,TRUE,SUMPRODUCT(($BI$86:$BP$86=2)*($AS$86:$AZ$86&lt;&gt;"")*IF(((UPPER($AS$86:$AZ$86)="BLANK")+(UPPER($AS$86:$AZ$86)="(BLANK)")+(UPPER($AS$86:$AZ$86)="EMPTY")+(UPPER($AS$86:$AZ$86)="(EMPTY)"))&gt;0,IFERROR(('Final Calculation Sheet'!$Z$34)&amp;"","")="",ISNUMBER(SEARCH($AS$86:$AZ$86,IFERROR(('Final Calculation Sheet'!$Z$34)&amp;"","")))))&gt;0),IF(COUNTIF($BI$86:$BP$86,3)=0,TRUE,SUMPRODUCT(($BI$86:$BP$86=3)*($AS$86:$AZ$86&lt;&gt;"")*IF(((UPPER($AS$86:$AZ$86)="BLANK")+(UPPER($AS$86:$AZ$86)="(BLANK)")+(UPPER($AS$86:$AZ$86)="EMPTY")+(UPPER($AS$86:$AZ$86)="(EMPTY)"))&gt;0,IFERROR(('Final Calculation Sheet'!$Z$34)&amp;"","")="",ISNUMBER(SEARCH($AS$86:$AZ$86,IFERROR(('Final Calculation Sheet'!$Z$34)&amp;"","")))))&gt;0),IF(COUNTIF($BI$86:$BP$86,4)=0,TRUE,SUMPRODUCT(($BI$86:$BP$86=4)*($AS$86:$AZ$86&lt;&gt;"")*IF(((UPPER($AS$86:$AZ$86)="BLANK")+(UPPER($AS$86:$AZ$86)="(BLANK)")+(UPPER($AS$86:$AZ$86)="EMPTY")+(UPPER($AS$86:$AZ$86)="(EMPTY)"))&gt;0,IFERROR(('Final Calculation Sheet'!$Z$34)&amp;"","")="",ISNUMBER(SEARCH($AS$86:$AZ$86,IFERROR(('Final Calculation Sheet'!$Z$34)&amp;"","")))))&gt;0),IF(COUNTIF($BI$86:$BP$86,5)=0,TRUE,SUMPRODUCT(($BI$86:$BP$86=5)*($AS$86:$AZ$86&lt;&gt;"")*IF(((UPPER($AS$86:$AZ$86)="BLANK")+(UPPER($AS$86:$AZ$86)="(BLANK)")+(UPPER($AS$86:$AZ$86)="EMPTY")+(UPPER($AS$86:$AZ$86)="(EMPTY)"))&gt;0,IFERROR(('Final Calculation Sheet'!$Z$34)&amp;"","")="",ISNUMBER(SEARCH($AS$86:$AZ$86,IFERROR(('Final Calculation Sheet'!$Z$34)&amp;"","")))))&gt;0),IF(COUNTIF($BI$86:$BP$86,6)=0,TRUE,SUMPRODUCT(($BI$86:$BP$86=6)*($AS$86:$AZ$86&lt;&gt;"")*IF(((UPPER($AS$86:$AZ$86)="BLANK")+(UPPER($AS$86:$AZ$86)="(BLANK)")+(UPPER($AS$86:$AZ$86)="EMPTY")+(UPPER($AS$86:$AZ$86)="(EMPTY)"))&gt;0,IFERROR(('Final Calculation Sheet'!$Z$34)&amp;"","")="",ISNUMBER(SEARCH($AS$86:$AZ$86,IFERROR(('Final Calculation Sheet'!$Z$34)&amp;"","")))))&gt;0),IF(COUNTIF($BI$86:$BP$86,7)=0,TRUE,SUMPRODUCT(($BI$86:$BP$86=7)*($AS$86:$AZ$86&lt;&gt;"")*IF(((UPPER($AS$86:$AZ$86)="BLANK")+(UPPER($AS$86:$AZ$86)="(BLANK)")+(UPPER($AS$86:$AZ$86)="EMPTY")+(UPPER($AS$86:$AZ$86)="(EMPTY)"))&gt;0,IFERROR(('Final Calculation Sheet'!$Z$34)&amp;"","")="",ISNUMBER(SEARCH($AS$86:$AZ$86,IFERROR(('Final Calculation Sheet'!$Z$34)&amp;"","")))))&gt;0),IF(COUNTIF($BI$86:$BP$86,8)=0,TRUE,SUMPRODUCT(($BI$86:$BP$86=8)*($AS$86:$AZ$86&lt;&gt;"")*IF(((UPPER($AS$86:$AZ$86)="BLANK")+(UPPER($AS$86:$AZ$86)="(BLANK)")+(UPPER($AS$86:$AZ$86)="EMPTY")+(UPPER($AS$86:$AZ$86)="(EMPTY)"))&gt;0,IFERROR(('Final Calculation Sheet'!$Z$34)&amp;"","")="",ISNUMBER(SEARCH($AS$86:$AZ$86,IFERROR(('Final Calculation Sheet'!$Z$34)&amp;"","")))))&gt;0))))</f>
        <v>1</v>
      </c>
      <c r="CN35">
        <f>IF($AB$4="",1,--(AND(SUMPRODUCT(--($AS$87:$AZ$87&lt;&gt;""))&gt;0,IF(COUNTIF($BI$87:$BP$87,1)=0,TRUE,SUMPRODUCT(($BI$87:$BP$87=1)*($AS$87:$AZ$87&lt;&gt;"")*IF(((UPPER($AS$87:$AZ$87)="BLANK")+(UPPER($AS$87:$AZ$87)="(BLANK)")+(UPPER($AS$87:$AZ$87)="EMPTY")+(UPPER($AS$87:$AZ$87)="(EMPTY)"))&gt;0,IFERROR(('Final Calculation Sheet'!$AA$34)&amp;"","")="",ISNUMBER(SEARCH($AS$87:$AZ$87,IFERROR(('Final Calculation Sheet'!$AA$34)&amp;"","")))))&gt;0),IF(COUNTIF($BI$87:$BP$87,2)=0,TRUE,SUMPRODUCT(($BI$87:$BP$87=2)*($AS$87:$AZ$87&lt;&gt;"")*IF(((UPPER($AS$87:$AZ$87)="BLANK")+(UPPER($AS$87:$AZ$87)="(BLANK)")+(UPPER($AS$87:$AZ$87)="EMPTY")+(UPPER($AS$87:$AZ$87)="(EMPTY)"))&gt;0,IFERROR(('Final Calculation Sheet'!$AA$34)&amp;"","")="",ISNUMBER(SEARCH($AS$87:$AZ$87,IFERROR(('Final Calculation Sheet'!$AA$34)&amp;"","")))))&gt;0),IF(COUNTIF($BI$87:$BP$87,3)=0,TRUE,SUMPRODUCT(($BI$87:$BP$87=3)*($AS$87:$AZ$87&lt;&gt;"")*IF(((UPPER($AS$87:$AZ$87)="BLANK")+(UPPER($AS$87:$AZ$87)="(BLANK)")+(UPPER($AS$87:$AZ$87)="EMPTY")+(UPPER($AS$87:$AZ$87)="(EMPTY)"))&gt;0,IFERROR(('Final Calculation Sheet'!$AA$34)&amp;"","")="",ISNUMBER(SEARCH($AS$87:$AZ$87,IFERROR(('Final Calculation Sheet'!$AA$34)&amp;"","")))))&gt;0),IF(COUNTIF($BI$87:$BP$87,4)=0,TRUE,SUMPRODUCT(($BI$87:$BP$87=4)*($AS$87:$AZ$87&lt;&gt;"")*IF(((UPPER($AS$87:$AZ$87)="BLANK")+(UPPER($AS$87:$AZ$87)="(BLANK)")+(UPPER($AS$87:$AZ$87)="EMPTY")+(UPPER($AS$87:$AZ$87)="(EMPTY)"))&gt;0,IFERROR(('Final Calculation Sheet'!$AA$34)&amp;"","")="",ISNUMBER(SEARCH($AS$87:$AZ$87,IFERROR(('Final Calculation Sheet'!$AA$34)&amp;"","")))))&gt;0),IF(COUNTIF($BI$87:$BP$87,5)=0,TRUE,SUMPRODUCT(($BI$87:$BP$87=5)*($AS$87:$AZ$87&lt;&gt;"")*IF(((UPPER($AS$87:$AZ$87)="BLANK")+(UPPER($AS$87:$AZ$87)="(BLANK)")+(UPPER($AS$87:$AZ$87)="EMPTY")+(UPPER($AS$87:$AZ$87)="(EMPTY)"))&gt;0,IFERROR(('Final Calculation Sheet'!$AA$34)&amp;"","")="",ISNUMBER(SEARCH($AS$87:$AZ$87,IFERROR(('Final Calculation Sheet'!$AA$34)&amp;"","")))))&gt;0),IF(COUNTIF($BI$87:$BP$87,6)=0,TRUE,SUMPRODUCT(($BI$87:$BP$87=6)*($AS$87:$AZ$87&lt;&gt;"")*IF(((UPPER($AS$87:$AZ$87)="BLANK")+(UPPER($AS$87:$AZ$87)="(BLANK)")+(UPPER($AS$87:$AZ$87)="EMPTY")+(UPPER($AS$87:$AZ$87)="(EMPTY)"))&gt;0,IFERROR(('Final Calculation Sheet'!$AA$34)&amp;"","")="",ISNUMBER(SEARCH($AS$87:$AZ$87,IFERROR(('Final Calculation Sheet'!$AA$34)&amp;"","")))))&gt;0),IF(COUNTIF($BI$87:$BP$87,7)=0,TRUE,SUMPRODUCT(($BI$87:$BP$87=7)*($AS$87:$AZ$87&lt;&gt;"")*IF(((UPPER($AS$87:$AZ$87)="BLANK")+(UPPER($AS$87:$AZ$87)="(BLANK)")+(UPPER($AS$87:$AZ$87)="EMPTY")+(UPPER($AS$87:$AZ$87)="(EMPTY)"))&gt;0,IFERROR(('Final Calculation Sheet'!$AA$34)&amp;"","")="",ISNUMBER(SEARCH($AS$87:$AZ$87,IFERROR(('Final Calculation Sheet'!$AA$34)&amp;"","")))))&gt;0),IF(COUNTIF($BI$87:$BP$87,8)=0,TRUE,SUMPRODUCT(($BI$87:$BP$87=8)*($AS$87:$AZ$87&lt;&gt;"")*IF(((UPPER($AS$87:$AZ$87)="BLANK")+(UPPER($AS$87:$AZ$87)="(BLANK)")+(UPPER($AS$87:$AZ$87)="EMPTY")+(UPPER($AS$87:$AZ$87)="(EMPTY)"))&gt;0,IFERROR(('Final Calculation Sheet'!$AA$34)&amp;"","")="",ISNUMBER(SEARCH($AS$87:$AZ$87,IFERROR(('Final Calculation Sheet'!$AA$34)&amp;"","")))))&gt;0))))</f>
        <v>1</v>
      </c>
      <c r="CO35">
        <f>IF($AC$4="",1,--(AND(SUMPRODUCT(--($AS$88:$AZ$88&lt;&gt;""))&gt;0,IF(COUNTIF($BI$88:$BP$88,1)=0,TRUE,SUMPRODUCT(($BI$88:$BP$88=1)*($AS$88:$AZ$88&lt;&gt;"")*IF(((UPPER($AS$88:$AZ$88)="BLANK")+(UPPER($AS$88:$AZ$88)="(BLANK)")+(UPPER($AS$88:$AZ$88)="EMPTY")+(UPPER($AS$88:$AZ$88)="(EMPTY)"))&gt;0,IFERROR(('Final Calculation Sheet'!$AB$34)&amp;"","")="",ISNUMBER(SEARCH($AS$88:$AZ$88,IFERROR(('Final Calculation Sheet'!$AB$34)&amp;"","")))))&gt;0),IF(COUNTIF($BI$88:$BP$88,2)=0,TRUE,SUMPRODUCT(($BI$88:$BP$88=2)*($AS$88:$AZ$88&lt;&gt;"")*IF(((UPPER($AS$88:$AZ$88)="BLANK")+(UPPER($AS$88:$AZ$88)="(BLANK)")+(UPPER($AS$88:$AZ$88)="EMPTY")+(UPPER($AS$88:$AZ$88)="(EMPTY)"))&gt;0,IFERROR(('Final Calculation Sheet'!$AB$34)&amp;"","")="",ISNUMBER(SEARCH($AS$88:$AZ$88,IFERROR(('Final Calculation Sheet'!$AB$34)&amp;"","")))))&gt;0),IF(COUNTIF($BI$88:$BP$88,3)=0,TRUE,SUMPRODUCT(($BI$88:$BP$88=3)*($AS$88:$AZ$88&lt;&gt;"")*IF(((UPPER($AS$88:$AZ$88)="BLANK")+(UPPER($AS$88:$AZ$88)="(BLANK)")+(UPPER($AS$88:$AZ$88)="EMPTY")+(UPPER($AS$88:$AZ$88)="(EMPTY)"))&gt;0,IFERROR(('Final Calculation Sheet'!$AB$34)&amp;"","")="",ISNUMBER(SEARCH($AS$88:$AZ$88,IFERROR(('Final Calculation Sheet'!$AB$34)&amp;"","")))))&gt;0),IF(COUNTIF($BI$88:$BP$88,4)=0,TRUE,SUMPRODUCT(($BI$88:$BP$88=4)*($AS$88:$AZ$88&lt;&gt;"")*IF(((UPPER($AS$88:$AZ$88)="BLANK")+(UPPER($AS$88:$AZ$88)="(BLANK)")+(UPPER($AS$88:$AZ$88)="EMPTY")+(UPPER($AS$88:$AZ$88)="(EMPTY)"))&gt;0,IFERROR(('Final Calculation Sheet'!$AB$34)&amp;"","")="",ISNUMBER(SEARCH($AS$88:$AZ$88,IFERROR(('Final Calculation Sheet'!$AB$34)&amp;"","")))))&gt;0),IF(COUNTIF($BI$88:$BP$88,5)=0,TRUE,SUMPRODUCT(($BI$88:$BP$88=5)*($AS$88:$AZ$88&lt;&gt;"")*IF(((UPPER($AS$88:$AZ$88)="BLANK")+(UPPER($AS$88:$AZ$88)="(BLANK)")+(UPPER($AS$88:$AZ$88)="EMPTY")+(UPPER($AS$88:$AZ$88)="(EMPTY)"))&gt;0,IFERROR(('Final Calculation Sheet'!$AB$34)&amp;"","")="",ISNUMBER(SEARCH($AS$88:$AZ$88,IFERROR(('Final Calculation Sheet'!$AB$34)&amp;"","")))))&gt;0),IF(COUNTIF($BI$88:$BP$88,6)=0,TRUE,SUMPRODUCT(($BI$88:$BP$88=6)*($AS$88:$AZ$88&lt;&gt;"")*IF(((UPPER($AS$88:$AZ$88)="BLANK")+(UPPER($AS$88:$AZ$88)="(BLANK)")+(UPPER($AS$88:$AZ$88)="EMPTY")+(UPPER($AS$88:$AZ$88)="(EMPTY)"))&gt;0,IFERROR(('Final Calculation Sheet'!$AB$34)&amp;"","")="",ISNUMBER(SEARCH($AS$88:$AZ$88,IFERROR(('Final Calculation Sheet'!$AB$34)&amp;"","")))))&gt;0),IF(COUNTIF($BI$88:$BP$88,7)=0,TRUE,SUMPRODUCT(($BI$88:$BP$88=7)*($AS$88:$AZ$88&lt;&gt;"")*IF(((UPPER($AS$88:$AZ$88)="BLANK")+(UPPER($AS$88:$AZ$88)="(BLANK)")+(UPPER($AS$88:$AZ$88)="EMPTY")+(UPPER($AS$88:$AZ$88)="(EMPTY)"))&gt;0,IFERROR(('Final Calculation Sheet'!$AB$34)&amp;"","")="",ISNUMBER(SEARCH($AS$88:$AZ$88,IFERROR(('Final Calculation Sheet'!$AB$34)&amp;"","")))))&gt;0),IF(COUNTIF($BI$88:$BP$88,8)=0,TRUE,SUMPRODUCT(($BI$88:$BP$88=8)*($AS$88:$AZ$88&lt;&gt;"")*IF(((UPPER($AS$88:$AZ$88)="BLANK")+(UPPER($AS$88:$AZ$88)="(BLANK)")+(UPPER($AS$88:$AZ$88)="EMPTY")+(UPPER($AS$88:$AZ$88)="(EMPTY)"))&gt;0,IFERROR(('Final Calculation Sheet'!$AB$34)&amp;"","")="",ISNUMBER(SEARCH($AS$88:$AZ$88,IFERROR(('Final Calculation Sheet'!$AB$34)&amp;"","")))))&gt;0))))</f>
        <v>1</v>
      </c>
      <c r="CP35">
        <f>IF($AD$4="",1,--(AND(SUMPRODUCT(--($AS$89:$AZ$89&lt;&gt;""))&gt;0,IF(COUNTIF($BI$89:$BP$89,1)=0,TRUE,SUMPRODUCT(($BI$89:$BP$89=1)*($AS$89:$AZ$89&lt;&gt;"")*IF(((UPPER($AS$89:$AZ$89)="BLANK")+(UPPER($AS$89:$AZ$89)="(BLANK)")+(UPPER($AS$89:$AZ$89)="EMPTY")+(UPPER($AS$89:$AZ$89)="(EMPTY)"))&gt;0,IFERROR(('Final Calculation Sheet'!$AC$34)&amp;"","")="",ISNUMBER(SEARCH($AS$89:$AZ$89,IFERROR(('Final Calculation Sheet'!$AC$34)&amp;"","")))))&gt;0),IF(COUNTIF($BI$89:$BP$89,2)=0,TRUE,SUMPRODUCT(($BI$89:$BP$89=2)*($AS$89:$AZ$89&lt;&gt;"")*IF(((UPPER($AS$89:$AZ$89)="BLANK")+(UPPER($AS$89:$AZ$89)="(BLANK)")+(UPPER($AS$89:$AZ$89)="EMPTY")+(UPPER($AS$89:$AZ$89)="(EMPTY)"))&gt;0,IFERROR(('Final Calculation Sheet'!$AC$34)&amp;"","")="",ISNUMBER(SEARCH($AS$89:$AZ$89,IFERROR(('Final Calculation Sheet'!$AC$34)&amp;"","")))))&gt;0),IF(COUNTIF($BI$89:$BP$89,3)=0,TRUE,SUMPRODUCT(($BI$89:$BP$89=3)*($AS$89:$AZ$89&lt;&gt;"")*IF(((UPPER($AS$89:$AZ$89)="BLANK")+(UPPER($AS$89:$AZ$89)="(BLANK)")+(UPPER($AS$89:$AZ$89)="EMPTY")+(UPPER($AS$89:$AZ$89)="(EMPTY)"))&gt;0,IFERROR(('Final Calculation Sheet'!$AC$34)&amp;"","")="",ISNUMBER(SEARCH($AS$89:$AZ$89,IFERROR(('Final Calculation Sheet'!$AC$34)&amp;"","")))))&gt;0),IF(COUNTIF($BI$89:$BP$89,4)=0,TRUE,SUMPRODUCT(($BI$89:$BP$89=4)*($AS$89:$AZ$89&lt;&gt;"")*IF(((UPPER($AS$89:$AZ$89)="BLANK")+(UPPER($AS$89:$AZ$89)="(BLANK)")+(UPPER($AS$89:$AZ$89)="EMPTY")+(UPPER($AS$89:$AZ$89)="(EMPTY)"))&gt;0,IFERROR(('Final Calculation Sheet'!$AC$34)&amp;"","")="",ISNUMBER(SEARCH($AS$89:$AZ$89,IFERROR(('Final Calculation Sheet'!$AC$34)&amp;"","")))))&gt;0),IF(COUNTIF($BI$89:$BP$89,5)=0,TRUE,SUMPRODUCT(($BI$89:$BP$89=5)*($AS$89:$AZ$89&lt;&gt;"")*IF(((UPPER($AS$89:$AZ$89)="BLANK")+(UPPER($AS$89:$AZ$89)="(BLANK)")+(UPPER($AS$89:$AZ$89)="EMPTY")+(UPPER($AS$89:$AZ$89)="(EMPTY)"))&gt;0,IFERROR(('Final Calculation Sheet'!$AC$34)&amp;"","")="",ISNUMBER(SEARCH($AS$89:$AZ$89,IFERROR(('Final Calculation Sheet'!$AC$34)&amp;"","")))))&gt;0),IF(COUNTIF($BI$89:$BP$89,6)=0,TRUE,SUMPRODUCT(($BI$89:$BP$89=6)*($AS$89:$AZ$89&lt;&gt;"")*IF(((UPPER($AS$89:$AZ$89)="BLANK")+(UPPER($AS$89:$AZ$89)="(BLANK)")+(UPPER($AS$89:$AZ$89)="EMPTY")+(UPPER($AS$89:$AZ$89)="(EMPTY)"))&gt;0,IFERROR(('Final Calculation Sheet'!$AC$34)&amp;"","")="",ISNUMBER(SEARCH($AS$89:$AZ$89,IFERROR(('Final Calculation Sheet'!$AC$34)&amp;"","")))))&gt;0),IF(COUNTIF($BI$89:$BP$89,7)=0,TRUE,SUMPRODUCT(($BI$89:$BP$89=7)*($AS$89:$AZ$89&lt;&gt;"")*IF(((UPPER($AS$89:$AZ$89)="BLANK")+(UPPER($AS$89:$AZ$89)="(BLANK)")+(UPPER($AS$89:$AZ$89)="EMPTY")+(UPPER($AS$89:$AZ$89)="(EMPTY)"))&gt;0,IFERROR(('Final Calculation Sheet'!$AC$34)&amp;"","")="",ISNUMBER(SEARCH($AS$89:$AZ$89,IFERROR(('Final Calculation Sheet'!$AC$34)&amp;"","")))))&gt;0),IF(COUNTIF($BI$89:$BP$89,8)=0,TRUE,SUMPRODUCT(($BI$89:$BP$89=8)*($AS$89:$AZ$89&lt;&gt;"")*IF(((UPPER($AS$89:$AZ$89)="BLANK")+(UPPER($AS$89:$AZ$89)="(BLANK)")+(UPPER($AS$89:$AZ$89)="EMPTY")+(UPPER($AS$89:$AZ$89)="(EMPTY)"))&gt;0,IFERROR(('Final Calculation Sheet'!$AC$34)&amp;"","")="",ISNUMBER(SEARCH($AS$89:$AZ$89,IFERROR(('Final Calculation Sheet'!$AC$34)&amp;"","")))))&gt;0))))</f>
        <v>1</v>
      </c>
      <c r="CQ35">
        <f>IF($AE$4="",1,--(AND(SUMPRODUCT(--($AS$90:$AZ$90&lt;&gt;""))&gt;0,IF(COUNTIF($BI$90:$BP$90,1)=0,TRUE,SUMPRODUCT(($BI$90:$BP$90=1)*($AS$90:$AZ$90&lt;&gt;"")*IF(((UPPER($AS$90:$AZ$90)="BLANK")+(UPPER($AS$90:$AZ$90)="(BLANK)")+(UPPER($AS$90:$AZ$90)="EMPTY")+(UPPER($AS$90:$AZ$90)="(EMPTY)"))&gt;0,IFERROR(('Final Calculation Sheet'!$AD$34)&amp;"","")="",ISNUMBER(SEARCH($AS$90:$AZ$90,IFERROR(('Final Calculation Sheet'!$AD$34)&amp;"","")))))&gt;0),IF(COUNTIF($BI$90:$BP$90,2)=0,TRUE,SUMPRODUCT(($BI$90:$BP$90=2)*($AS$90:$AZ$90&lt;&gt;"")*IF(((UPPER($AS$90:$AZ$90)="BLANK")+(UPPER($AS$90:$AZ$90)="(BLANK)")+(UPPER($AS$90:$AZ$90)="EMPTY")+(UPPER($AS$90:$AZ$90)="(EMPTY)"))&gt;0,IFERROR(('Final Calculation Sheet'!$AD$34)&amp;"","")="",ISNUMBER(SEARCH($AS$90:$AZ$90,IFERROR(('Final Calculation Sheet'!$AD$34)&amp;"","")))))&gt;0),IF(COUNTIF($BI$90:$BP$90,3)=0,TRUE,SUMPRODUCT(($BI$90:$BP$90=3)*($AS$90:$AZ$90&lt;&gt;"")*IF(((UPPER($AS$90:$AZ$90)="BLANK")+(UPPER($AS$90:$AZ$90)="(BLANK)")+(UPPER($AS$90:$AZ$90)="EMPTY")+(UPPER($AS$90:$AZ$90)="(EMPTY)"))&gt;0,IFERROR(('Final Calculation Sheet'!$AD$34)&amp;"","")="",ISNUMBER(SEARCH($AS$90:$AZ$90,IFERROR(('Final Calculation Sheet'!$AD$34)&amp;"","")))))&gt;0),IF(COUNTIF($BI$90:$BP$90,4)=0,TRUE,SUMPRODUCT(($BI$90:$BP$90=4)*($AS$90:$AZ$90&lt;&gt;"")*IF(((UPPER($AS$90:$AZ$90)="BLANK")+(UPPER($AS$90:$AZ$90)="(BLANK)")+(UPPER($AS$90:$AZ$90)="EMPTY")+(UPPER($AS$90:$AZ$90)="(EMPTY)"))&gt;0,IFERROR(('Final Calculation Sheet'!$AD$34)&amp;"","")="",ISNUMBER(SEARCH($AS$90:$AZ$90,IFERROR(('Final Calculation Sheet'!$AD$34)&amp;"","")))))&gt;0),IF(COUNTIF($BI$90:$BP$90,5)=0,TRUE,SUMPRODUCT(($BI$90:$BP$90=5)*($AS$90:$AZ$90&lt;&gt;"")*IF(((UPPER($AS$90:$AZ$90)="BLANK")+(UPPER($AS$90:$AZ$90)="(BLANK)")+(UPPER($AS$90:$AZ$90)="EMPTY")+(UPPER($AS$90:$AZ$90)="(EMPTY)"))&gt;0,IFERROR(('Final Calculation Sheet'!$AD$34)&amp;"","")="",ISNUMBER(SEARCH($AS$90:$AZ$90,IFERROR(('Final Calculation Sheet'!$AD$34)&amp;"","")))))&gt;0),IF(COUNTIF($BI$90:$BP$90,6)=0,TRUE,SUMPRODUCT(($BI$90:$BP$90=6)*($AS$90:$AZ$90&lt;&gt;"")*IF(((UPPER($AS$90:$AZ$90)="BLANK")+(UPPER($AS$90:$AZ$90)="(BLANK)")+(UPPER($AS$90:$AZ$90)="EMPTY")+(UPPER($AS$90:$AZ$90)="(EMPTY)"))&gt;0,IFERROR(('Final Calculation Sheet'!$AD$34)&amp;"","")="",ISNUMBER(SEARCH($AS$90:$AZ$90,IFERROR(('Final Calculation Sheet'!$AD$34)&amp;"","")))))&gt;0),IF(COUNTIF($BI$90:$BP$90,7)=0,TRUE,SUMPRODUCT(($BI$90:$BP$90=7)*($AS$90:$AZ$90&lt;&gt;"")*IF(((UPPER($AS$90:$AZ$90)="BLANK")+(UPPER($AS$90:$AZ$90)="(BLANK)")+(UPPER($AS$90:$AZ$90)="EMPTY")+(UPPER($AS$90:$AZ$90)="(EMPTY)"))&gt;0,IFERROR(('Final Calculation Sheet'!$AD$34)&amp;"","")="",ISNUMBER(SEARCH($AS$90:$AZ$90,IFERROR(('Final Calculation Sheet'!$AD$34)&amp;"","")))))&gt;0),IF(COUNTIF($BI$90:$BP$90,8)=0,TRUE,SUMPRODUCT(($BI$90:$BP$90=8)*($AS$90:$AZ$90&lt;&gt;"")*IF(((UPPER($AS$90:$AZ$90)="BLANK")+(UPPER($AS$90:$AZ$90)="(BLANK)")+(UPPER($AS$90:$AZ$90)="EMPTY")+(UPPER($AS$90:$AZ$90)="(EMPTY)"))&gt;0,IFERROR(('Final Calculation Sheet'!$AD$34)&amp;"","")="",ISNUMBER(SEARCH($AS$90:$AZ$90,IFERROR(('Final Calculation Sheet'!$AD$34)&amp;"","")))))&gt;0))))</f>
        <v>1</v>
      </c>
      <c r="CR35">
        <f>IF($AF$4="",1,--(AND(SUMPRODUCT(--($AS$91:$AZ$91&lt;&gt;""))&gt;0,IF(COUNTIF($BI$91:$BP$91,1)=0,TRUE,SUMPRODUCT(($BI$91:$BP$91=1)*($AS$91:$AZ$91&lt;&gt;"")*IF(((UPPER($AS$91:$AZ$91)="BLANK")+(UPPER($AS$91:$AZ$91)="(BLANK)")+(UPPER($AS$91:$AZ$91)="EMPTY")+(UPPER($AS$91:$AZ$91)="(EMPTY)"))&gt;0,IFERROR(('Final Calculation Sheet'!$AE$34)&amp;"","")="",ISNUMBER(SEARCH($AS$91:$AZ$91,IFERROR(('Final Calculation Sheet'!$AE$34)&amp;"","")))))&gt;0),IF(COUNTIF($BI$91:$BP$91,2)=0,TRUE,SUMPRODUCT(($BI$91:$BP$91=2)*($AS$91:$AZ$91&lt;&gt;"")*IF(((UPPER($AS$91:$AZ$91)="BLANK")+(UPPER($AS$91:$AZ$91)="(BLANK)")+(UPPER($AS$91:$AZ$91)="EMPTY")+(UPPER($AS$91:$AZ$91)="(EMPTY)"))&gt;0,IFERROR(('Final Calculation Sheet'!$AE$34)&amp;"","")="",ISNUMBER(SEARCH($AS$91:$AZ$91,IFERROR(('Final Calculation Sheet'!$AE$34)&amp;"","")))))&gt;0),IF(COUNTIF($BI$91:$BP$91,3)=0,TRUE,SUMPRODUCT(($BI$91:$BP$91=3)*($AS$91:$AZ$91&lt;&gt;"")*IF(((UPPER($AS$91:$AZ$91)="BLANK")+(UPPER($AS$91:$AZ$91)="(BLANK)")+(UPPER($AS$91:$AZ$91)="EMPTY")+(UPPER($AS$91:$AZ$91)="(EMPTY)"))&gt;0,IFERROR(('Final Calculation Sheet'!$AE$34)&amp;"","")="",ISNUMBER(SEARCH($AS$91:$AZ$91,IFERROR(('Final Calculation Sheet'!$AE$34)&amp;"","")))))&gt;0),IF(COUNTIF($BI$91:$BP$91,4)=0,TRUE,SUMPRODUCT(($BI$91:$BP$91=4)*($AS$91:$AZ$91&lt;&gt;"")*IF(((UPPER($AS$91:$AZ$91)="BLANK")+(UPPER($AS$91:$AZ$91)="(BLANK)")+(UPPER($AS$91:$AZ$91)="EMPTY")+(UPPER($AS$91:$AZ$91)="(EMPTY)"))&gt;0,IFERROR(('Final Calculation Sheet'!$AE$34)&amp;"","")="",ISNUMBER(SEARCH($AS$91:$AZ$91,IFERROR(('Final Calculation Sheet'!$AE$34)&amp;"","")))))&gt;0),IF(COUNTIF($BI$91:$BP$91,5)=0,TRUE,SUMPRODUCT(($BI$91:$BP$91=5)*($AS$91:$AZ$91&lt;&gt;"")*IF(((UPPER($AS$91:$AZ$91)="BLANK")+(UPPER($AS$91:$AZ$91)="(BLANK)")+(UPPER($AS$91:$AZ$91)="EMPTY")+(UPPER($AS$91:$AZ$91)="(EMPTY)"))&gt;0,IFERROR(('Final Calculation Sheet'!$AE$34)&amp;"","")="",ISNUMBER(SEARCH($AS$91:$AZ$91,IFERROR(('Final Calculation Sheet'!$AE$34)&amp;"","")))))&gt;0),IF(COUNTIF($BI$91:$BP$91,6)=0,TRUE,SUMPRODUCT(($BI$91:$BP$91=6)*($AS$91:$AZ$91&lt;&gt;"")*IF(((UPPER($AS$91:$AZ$91)="BLANK")+(UPPER($AS$91:$AZ$91)="(BLANK)")+(UPPER($AS$91:$AZ$91)="EMPTY")+(UPPER($AS$91:$AZ$91)="(EMPTY)"))&gt;0,IFERROR(('Final Calculation Sheet'!$AE$34)&amp;"","")="",ISNUMBER(SEARCH($AS$91:$AZ$91,IFERROR(('Final Calculation Sheet'!$AE$34)&amp;"","")))))&gt;0),IF(COUNTIF($BI$91:$BP$91,7)=0,TRUE,SUMPRODUCT(($BI$91:$BP$91=7)*($AS$91:$AZ$91&lt;&gt;"")*IF(((UPPER($AS$91:$AZ$91)="BLANK")+(UPPER($AS$91:$AZ$91)="(BLANK)")+(UPPER($AS$91:$AZ$91)="EMPTY")+(UPPER($AS$91:$AZ$91)="(EMPTY)"))&gt;0,IFERROR(('Final Calculation Sheet'!$AE$34)&amp;"","")="",ISNUMBER(SEARCH($AS$91:$AZ$91,IFERROR(('Final Calculation Sheet'!$AE$34)&amp;"","")))))&gt;0),IF(COUNTIF($BI$91:$BP$91,8)=0,TRUE,SUMPRODUCT(($BI$91:$BP$91=8)*($AS$91:$AZ$91&lt;&gt;"")*IF(((UPPER($AS$91:$AZ$91)="BLANK")+(UPPER($AS$91:$AZ$91)="(BLANK)")+(UPPER($AS$91:$AZ$91)="EMPTY")+(UPPER($AS$91:$AZ$91)="(EMPTY)"))&gt;0,IFERROR(('Final Calculation Sheet'!$AE$34)&amp;"","")="",ISNUMBER(SEARCH($AS$91:$AZ$91,IFERROR(('Final Calculation Sheet'!$AE$34)&amp;"","")))))&gt;0))))</f>
        <v>1</v>
      </c>
      <c r="CS35">
        <f>IF($AG$4="",1,--(AND(SUMPRODUCT(--($AS$92:$AZ$92&lt;&gt;""))&gt;0,IF(COUNTIF($BI$92:$BP$92,1)=0,TRUE,SUMPRODUCT(($BI$92:$BP$92=1)*($AS$92:$AZ$92&lt;&gt;"")*IF(((UPPER($AS$92:$AZ$92)="BLANK")+(UPPER($AS$92:$AZ$92)="(BLANK)")+(UPPER($AS$92:$AZ$92)="EMPTY")+(UPPER($AS$92:$AZ$92)="(EMPTY)"))&gt;0,IFERROR(('Final Calculation Sheet'!$AF$34)&amp;"","")="",ISNUMBER(SEARCH($AS$92:$AZ$92,IFERROR(('Final Calculation Sheet'!$AF$34)&amp;"","")))))&gt;0),IF(COUNTIF($BI$92:$BP$92,2)=0,TRUE,SUMPRODUCT(($BI$92:$BP$92=2)*($AS$92:$AZ$92&lt;&gt;"")*IF(((UPPER($AS$92:$AZ$92)="BLANK")+(UPPER($AS$92:$AZ$92)="(BLANK)")+(UPPER($AS$92:$AZ$92)="EMPTY")+(UPPER($AS$92:$AZ$92)="(EMPTY)"))&gt;0,IFERROR(('Final Calculation Sheet'!$AF$34)&amp;"","")="",ISNUMBER(SEARCH($AS$92:$AZ$92,IFERROR(('Final Calculation Sheet'!$AF$34)&amp;"","")))))&gt;0),IF(COUNTIF($BI$92:$BP$92,3)=0,TRUE,SUMPRODUCT(($BI$92:$BP$92=3)*($AS$92:$AZ$92&lt;&gt;"")*IF(((UPPER($AS$92:$AZ$92)="BLANK")+(UPPER($AS$92:$AZ$92)="(BLANK)")+(UPPER($AS$92:$AZ$92)="EMPTY")+(UPPER($AS$92:$AZ$92)="(EMPTY)"))&gt;0,IFERROR(('Final Calculation Sheet'!$AF$34)&amp;"","")="",ISNUMBER(SEARCH($AS$92:$AZ$92,IFERROR(('Final Calculation Sheet'!$AF$34)&amp;"","")))))&gt;0),IF(COUNTIF($BI$92:$BP$92,4)=0,TRUE,SUMPRODUCT(($BI$92:$BP$92=4)*($AS$92:$AZ$92&lt;&gt;"")*IF(((UPPER($AS$92:$AZ$92)="BLANK")+(UPPER($AS$92:$AZ$92)="(BLANK)")+(UPPER($AS$92:$AZ$92)="EMPTY")+(UPPER($AS$92:$AZ$92)="(EMPTY)"))&gt;0,IFERROR(('Final Calculation Sheet'!$AF$34)&amp;"","")="",ISNUMBER(SEARCH($AS$92:$AZ$92,IFERROR(('Final Calculation Sheet'!$AF$34)&amp;"","")))))&gt;0),IF(COUNTIF($BI$92:$BP$92,5)=0,TRUE,SUMPRODUCT(($BI$92:$BP$92=5)*($AS$92:$AZ$92&lt;&gt;"")*IF(((UPPER($AS$92:$AZ$92)="BLANK")+(UPPER($AS$92:$AZ$92)="(BLANK)")+(UPPER($AS$92:$AZ$92)="EMPTY")+(UPPER($AS$92:$AZ$92)="(EMPTY)"))&gt;0,IFERROR(('Final Calculation Sheet'!$AF$34)&amp;"","")="",ISNUMBER(SEARCH($AS$92:$AZ$92,IFERROR(('Final Calculation Sheet'!$AF$34)&amp;"","")))))&gt;0),IF(COUNTIF($BI$92:$BP$92,6)=0,TRUE,SUMPRODUCT(($BI$92:$BP$92=6)*($AS$92:$AZ$92&lt;&gt;"")*IF(((UPPER($AS$92:$AZ$92)="BLANK")+(UPPER($AS$92:$AZ$92)="(BLANK)")+(UPPER($AS$92:$AZ$92)="EMPTY")+(UPPER($AS$92:$AZ$92)="(EMPTY)"))&gt;0,IFERROR(('Final Calculation Sheet'!$AF$34)&amp;"","")="",ISNUMBER(SEARCH($AS$92:$AZ$92,IFERROR(('Final Calculation Sheet'!$AF$34)&amp;"","")))))&gt;0),IF(COUNTIF($BI$92:$BP$92,7)=0,TRUE,SUMPRODUCT(($BI$92:$BP$92=7)*($AS$92:$AZ$92&lt;&gt;"")*IF(((UPPER($AS$92:$AZ$92)="BLANK")+(UPPER($AS$92:$AZ$92)="(BLANK)")+(UPPER($AS$92:$AZ$92)="EMPTY")+(UPPER($AS$92:$AZ$92)="(EMPTY)"))&gt;0,IFERROR(('Final Calculation Sheet'!$AF$34)&amp;"","")="",ISNUMBER(SEARCH($AS$92:$AZ$92,IFERROR(('Final Calculation Sheet'!$AF$34)&amp;"","")))))&gt;0),IF(COUNTIF($BI$92:$BP$92,8)=0,TRUE,SUMPRODUCT(($BI$92:$BP$92=8)*($AS$92:$AZ$92&lt;&gt;"")*IF(((UPPER($AS$92:$AZ$92)="BLANK")+(UPPER($AS$92:$AZ$92)="(BLANK)")+(UPPER($AS$92:$AZ$92)="EMPTY")+(UPPER($AS$92:$AZ$92)="(EMPTY)"))&gt;0,IFERROR(('Final Calculation Sheet'!$AF$34)&amp;"","")="",ISNUMBER(SEARCH($AS$92:$AZ$92,IFERROR(('Final Calculation Sheet'!$AF$34)&amp;"","")))))&gt;0))))</f>
        <v>1</v>
      </c>
      <c r="CT35">
        <f>IF($AH$4="",1,--(AND(SUMPRODUCT(--($AS$93:$AZ$93&lt;&gt;""))&gt;0,IF(COUNTIF($BI$93:$BP$93,1)=0,TRUE,SUMPRODUCT(($BI$93:$BP$93=1)*($AS$93:$AZ$93&lt;&gt;"")*IF(((UPPER($AS$93:$AZ$93)="BLANK")+(UPPER($AS$93:$AZ$93)="(BLANK)")+(UPPER($AS$93:$AZ$93)="EMPTY")+(UPPER($AS$93:$AZ$93)="(EMPTY)"))&gt;0,IFERROR(('Final Calculation Sheet'!$AG$34)&amp;"","")="",ISNUMBER(SEARCH($AS$93:$AZ$93,IFERROR(('Final Calculation Sheet'!$AG$34)&amp;"","")))))&gt;0),IF(COUNTIF($BI$93:$BP$93,2)=0,TRUE,SUMPRODUCT(($BI$93:$BP$93=2)*($AS$93:$AZ$93&lt;&gt;"")*IF(((UPPER($AS$93:$AZ$93)="BLANK")+(UPPER($AS$93:$AZ$93)="(BLANK)")+(UPPER($AS$93:$AZ$93)="EMPTY")+(UPPER($AS$93:$AZ$93)="(EMPTY)"))&gt;0,IFERROR(('Final Calculation Sheet'!$AG$34)&amp;"","")="",ISNUMBER(SEARCH($AS$93:$AZ$93,IFERROR(('Final Calculation Sheet'!$AG$34)&amp;"","")))))&gt;0),IF(COUNTIF($BI$93:$BP$93,3)=0,TRUE,SUMPRODUCT(($BI$93:$BP$93=3)*($AS$93:$AZ$93&lt;&gt;"")*IF(((UPPER($AS$93:$AZ$93)="BLANK")+(UPPER($AS$93:$AZ$93)="(BLANK)")+(UPPER($AS$93:$AZ$93)="EMPTY")+(UPPER($AS$93:$AZ$93)="(EMPTY)"))&gt;0,IFERROR(('Final Calculation Sheet'!$AG$34)&amp;"","")="",ISNUMBER(SEARCH($AS$93:$AZ$93,IFERROR(('Final Calculation Sheet'!$AG$34)&amp;"","")))))&gt;0),IF(COUNTIF($BI$93:$BP$93,4)=0,TRUE,SUMPRODUCT(($BI$93:$BP$93=4)*($AS$93:$AZ$93&lt;&gt;"")*IF(((UPPER($AS$93:$AZ$93)="BLANK")+(UPPER($AS$93:$AZ$93)="(BLANK)")+(UPPER($AS$93:$AZ$93)="EMPTY")+(UPPER($AS$93:$AZ$93)="(EMPTY)"))&gt;0,IFERROR(('Final Calculation Sheet'!$AG$34)&amp;"","")="",ISNUMBER(SEARCH($AS$93:$AZ$93,IFERROR(('Final Calculation Sheet'!$AG$34)&amp;"","")))))&gt;0),IF(COUNTIF($BI$93:$BP$93,5)=0,TRUE,SUMPRODUCT(($BI$93:$BP$93=5)*($AS$93:$AZ$93&lt;&gt;"")*IF(((UPPER($AS$93:$AZ$93)="BLANK")+(UPPER($AS$93:$AZ$93)="(BLANK)")+(UPPER($AS$93:$AZ$93)="EMPTY")+(UPPER($AS$93:$AZ$93)="(EMPTY)"))&gt;0,IFERROR(('Final Calculation Sheet'!$AG$34)&amp;"","")="",ISNUMBER(SEARCH($AS$93:$AZ$93,IFERROR(('Final Calculation Sheet'!$AG$34)&amp;"","")))))&gt;0),IF(COUNTIF($BI$93:$BP$93,6)=0,TRUE,SUMPRODUCT(($BI$93:$BP$93=6)*($AS$93:$AZ$93&lt;&gt;"")*IF(((UPPER($AS$93:$AZ$93)="BLANK")+(UPPER($AS$93:$AZ$93)="(BLANK)")+(UPPER($AS$93:$AZ$93)="EMPTY")+(UPPER($AS$93:$AZ$93)="(EMPTY)"))&gt;0,IFERROR(('Final Calculation Sheet'!$AG$34)&amp;"","")="",ISNUMBER(SEARCH($AS$93:$AZ$93,IFERROR(('Final Calculation Sheet'!$AG$34)&amp;"","")))))&gt;0),IF(COUNTIF($BI$93:$BP$93,7)=0,TRUE,SUMPRODUCT(($BI$93:$BP$93=7)*($AS$93:$AZ$93&lt;&gt;"")*IF(((UPPER($AS$93:$AZ$93)="BLANK")+(UPPER($AS$93:$AZ$93)="(BLANK)")+(UPPER($AS$93:$AZ$93)="EMPTY")+(UPPER($AS$93:$AZ$93)="(EMPTY)"))&gt;0,IFERROR(('Final Calculation Sheet'!$AG$34)&amp;"","")="",ISNUMBER(SEARCH($AS$93:$AZ$93,IFERROR(('Final Calculation Sheet'!$AG$34)&amp;"","")))))&gt;0),IF(COUNTIF($BI$93:$BP$93,8)=0,TRUE,SUMPRODUCT(($BI$93:$BP$93=8)*($AS$93:$AZ$93&lt;&gt;"")*IF(((UPPER($AS$93:$AZ$93)="BLANK")+(UPPER($AS$93:$AZ$93)="(BLANK)")+(UPPER($AS$93:$AZ$93)="EMPTY")+(UPPER($AS$93:$AZ$93)="(EMPTY)"))&gt;0,IFERROR(('Final Calculation Sheet'!$AG$34)&amp;"","")="",ISNUMBER(SEARCH($AS$93:$AZ$93,IFERROR(('Final Calculation Sheet'!$AG$34)&amp;"","")))))&gt;0))))</f>
        <v>1</v>
      </c>
      <c r="CU35">
        <f>IF($AI$4="",1,--(AND(SUMPRODUCT(--($AS$94:$AZ$94&lt;&gt;""))&gt;0,IF(COUNTIF($BI$94:$BP$94,1)=0,TRUE,SUMPRODUCT(($BI$94:$BP$94=1)*($AS$94:$AZ$94&lt;&gt;"")*IF(((UPPER($AS$94:$AZ$94)="BLANK")+(UPPER($AS$94:$AZ$94)="(BLANK)")+(UPPER($AS$94:$AZ$94)="EMPTY")+(UPPER($AS$94:$AZ$94)="(EMPTY)"))&gt;0,IFERROR((IF('Final Calculation Sheet'!$AD$34&lt;=0,"SETTLED","OUTSTANDING"))&amp;"","")="",ISNUMBER(SEARCH($AS$94:$AZ$94,IFERROR((IF('Final Calculation Sheet'!$AD$34&lt;=0,"SETTLED","OUTSTANDING"))&amp;"","")))))&gt;0),IF(COUNTIF($BI$94:$BP$94,2)=0,TRUE,SUMPRODUCT(($BI$94:$BP$94=2)*($AS$94:$AZ$94&lt;&gt;"")*IF(((UPPER($AS$94:$AZ$94)="BLANK")+(UPPER($AS$94:$AZ$94)="(BLANK)")+(UPPER($AS$94:$AZ$94)="EMPTY")+(UPPER($AS$94:$AZ$94)="(EMPTY)"))&gt;0,IFERROR((IF('Final Calculation Sheet'!$AD$34&lt;=0,"SETTLED","OUTSTANDING"))&amp;"","")="",ISNUMBER(SEARCH($AS$94:$AZ$94,IFERROR((IF('Final Calculation Sheet'!$AD$34&lt;=0,"SETTLED","OUTSTANDING"))&amp;"","")))))&gt;0),IF(COUNTIF($BI$94:$BP$94,3)=0,TRUE,SUMPRODUCT(($BI$94:$BP$94=3)*($AS$94:$AZ$94&lt;&gt;"")*IF(((UPPER($AS$94:$AZ$94)="BLANK")+(UPPER($AS$94:$AZ$94)="(BLANK)")+(UPPER($AS$94:$AZ$94)="EMPTY")+(UPPER($AS$94:$AZ$94)="(EMPTY)"))&gt;0,IFERROR((IF('Final Calculation Sheet'!$AD$34&lt;=0,"SETTLED","OUTSTANDING"))&amp;"","")="",ISNUMBER(SEARCH($AS$94:$AZ$94,IFERROR((IF('Final Calculation Sheet'!$AD$34&lt;=0,"SETTLED","OUTSTANDING"))&amp;"","")))))&gt;0),IF(COUNTIF($BI$94:$BP$94,4)=0,TRUE,SUMPRODUCT(($BI$94:$BP$94=4)*($AS$94:$AZ$94&lt;&gt;"")*IF(((UPPER($AS$94:$AZ$94)="BLANK")+(UPPER($AS$94:$AZ$94)="(BLANK)")+(UPPER($AS$94:$AZ$94)="EMPTY")+(UPPER($AS$94:$AZ$94)="(EMPTY)"))&gt;0,IFERROR((IF('Final Calculation Sheet'!$AD$34&lt;=0,"SETTLED","OUTSTANDING"))&amp;"","")="",ISNUMBER(SEARCH($AS$94:$AZ$94,IFERROR((IF('Final Calculation Sheet'!$AD$34&lt;=0,"SETTLED","OUTSTANDING"))&amp;"","")))))&gt;0),IF(COUNTIF($BI$94:$BP$94,5)=0,TRUE,SUMPRODUCT(($BI$94:$BP$94=5)*($AS$94:$AZ$94&lt;&gt;"")*IF(((UPPER($AS$94:$AZ$94)="BLANK")+(UPPER($AS$94:$AZ$94)="(BLANK)")+(UPPER($AS$94:$AZ$94)="EMPTY")+(UPPER($AS$94:$AZ$94)="(EMPTY)"))&gt;0,IFERROR((IF('Final Calculation Sheet'!$AD$34&lt;=0,"SETTLED","OUTSTANDING"))&amp;"","")="",ISNUMBER(SEARCH($AS$94:$AZ$94,IFERROR((IF('Final Calculation Sheet'!$AD$34&lt;=0,"SETTLED","OUTSTANDING"))&amp;"","")))))&gt;0),IF(COUNTIF($BI$94:$BP$94,6)=0,TRUE,SUMPRODUCT(($BI$94:$BP$94=6)*($AS$94:$AZ$94&lt;&gt;"")*IF(((UPPER($AS$94:$AZ$94)="BLANK")+(UPPER($AS$94:$AZ$94)="(BLANK)")+(UPPER($AS$94:$AZ$94)="EMPTY")+(UPPER($AS$94:$AZ$94)="(EMPTY)"))&gt;0,IFERROR((IF('Final Calculation Sheet'!$AD$34&lt;=0,"SETTLED","OUTSTANDING"))&amp;"","")="",ISNUMBER(SEARCH($AS$94:$AZ$94,IFERROR((IF('Final Calculation Sheet'!$AD$34&lt;=0,"SETTLED","OUTSTANDING"))&amp;"","")))))&gt;0),IF(COUNTIF($BI$94:$BP$94,7)=0,TRUE,SUMPRODUCT(($BI$94:$BP$94=7)*($AS$94:$AZ$94&lt;&gt;"")*IF(((UPPER($AS$94:$AZ$94)="BLANK")+(UPPER($AS$94:$AZ$94)="(BLANK)")+(UPPER($AS$94:$AZ$94)="EMPTY")+(UPPER($AS$94:$AZ$94)="(EMPTY)"))&gt;0,IFERROR((IF('Final Calculation Sheet'!$AD$34&lt;=0,"SETTLED","OUTSTANDING"))&amp;"","")="",ISNUMBER(SEARCH($AS$94:$AZ$94,IFERROR((IF('Final Calculation Sheet'!$AD$34&lt;=0,"SETTLED","OUTSTANDING"))&amp;"","")))))&gt;0),IF(COUNTIF($BI$94:$BP$94,8)=0,TRUE,SUMPRODUCT(($BI$94:$BP$94=8)*($AS$94:$AZ$94&lt;&gt;"")*IF(((UPPER($AS$94:$AZ$94)="BLANK")+(UPPER($AS$94:$AZ$94)="(BLANK)")+(UPPER($AS$94:$AZ$94)="EMPTY")+(UPPER($AS$94:$AZ$94)="(EMPTY)"))&gt;0,IFERROR((IF('Final Calculation Sheet'!$AD$34&lt;=0,"SETTLED","OUTSTANDING"))&amp;"","")="",ISNUMBER(SEARCH($AS$94:$AZ$94,IFERROR((IF('Final Calculation Sheet'!$AD$34&lt;=0,"SETTLED","OUTSTANDING"))&amp;"","")))))&gt;0))))</f>
        <v>1</v>
      </c>
    </row>
    <row r="36" spans="1:99" ht="15" customHeight="1" x14ac:dyDescent="0.25">
      <c r="A36" s="67">
        <f>IF($BJ35&gt;0,INDEX($BA$5:$BA$41,MATCH(35,$BB$5:$BB$41,0)),IF(OR($BI35=1,$BL35=1,$BH35&gt;0),"∑",""))</f>
        <v>19</v>
      </c>
      <c r="B36" s="68">
        <f>IF($BJ35&gt;0,IF(INDEX('Final Calculation Sheet'!$F$4:$F$40,$BJ35-3)="","",INDEX('Final Calculation Sheet'!$F$4:$F$40,$BJ35-3)),"")</f>
        <v>2040</v>
      </c>
      <c r="C36" s="68" t="str">
        <f>IF($BJ35&gt;0,IF(INDEX('Final Calculation Sheet'!$G$4:$G$40,$BJ35-3)="","",INDEX('Final Calculation Sheet'!$G$4:$G$40,$BJ35-3)),IF(OR($BI35=1,$BL35=1,$BH35&gt;0),IF($BI35=1,37,IF($BL35=1,37-INDEX($BD$4:$BD$13,10),INDEX($BD$4:$BD$13,$BH35)))&amp;" lot(s)",""))</f>
        <v>STERLING ENTERPRISES</v>
      </c>
      <c r="D36" s="69" t="str">
        <f>IF($BJ35&gt;0,IF(INDEX('Final Calculation Sheet'!$B$4:$B$40,$BJ35-3)="","",INDEX('Final Calculation Sheet'!$B$4:$B$40,$BJ35-3)),IF(OR($BI35=1,$BL35=1,$BH35&gt;0),IF($BI35=1,"GRAND TOTAL  —  matching + remaining",IF($BL35=1,"TOTAL MATCHED  —  every group together",IF($BH35=10,"REMAINING  —  did not match the search",IF($BH35=9,IF(COUNTIF($A$4:$AI$4,"&lt;&gt;")&gt;0,"FILTERED LOTS  —  column fields","ALL LOTS  —  nothing typed in the box"),"GROUP "&amp;$BH35&amp;" TOTAL  —  lots matching  "&amp;INDEX($AR$6:$AY$6,$BH35))))),""))</f>
        <v>Scrap of 33 KV CT</v>
      </c>
      <c r="E36" s="69">
        <f>IF($BJ35&gt;0,IF(INDEX('Final Calculation Sheet'!$D$4:$D$40,$BJ35-3)="","",INDEX('Final Calculation Sheet'!$D$4:$D$40,$BJ35-3)),IF(OR($BI35=1,$BL35=1,$BH35&gt;0),"–",""))</f>
        <v>21978</v>
      </c>
      <c r="F36" s="69">
        <f>IF($BJ35&gt;0,IF(INDEX('Final Calculation Sheet'!$A$4:$A$40,$BJ35-3)="","",INDEX('Final Calculation Sheet'!$A$4:$A$40,$BJ35-3)),IF(OR($BI35=1,$BL35=1,$BH35&gt;0),IF($BI35=1,SUM('Final Calculation Sheet'!$A$4:$A$40),IF($BL35=1,SUM('Final Calculation Sheet'!$A$4:$A$40)-SUMIFS('Final Calculation Sheet'!$A$4:$A$40,$AZ$5:$AZ$41,10),SUMIFS('Final Calculation Sheet'!$A$4:$A$40,$AZ$5:$AZ$41,$BH35))),""))</f>
        <v>3</v>
      </c>
      <c r="G36" s="69" t="str">
        <f>IF($BJ35&gt;0,IF(INDEX('Final Calculation Sheet'!$E$4:$E$40,$BJ35-3)="","",INDEX('Final Calculation Sheet'!$E$4:$E$40,$BJ35-3)),IF(OR($BI35=1,$BL35=1,$BH35&gt;0),"–",""))</f>
        <v>NO</v>
      </c>
      <c r="H36" s="70">
        <f>IF($BJ35&gt;0,IF(INDEX('Final Calculation Sheet'!$C$4:$C$40,$BJ35-3)="","",INDEX('Final Calculation Sheet'!$C$4:$C$40,$BJ35-3)),IF(OR($BI35=1,$BL35=1,$BH35&gt;0),"–",""))</f>
        <v>90002</v>
      </c>
      <c r="I36" s="70">
        <f>IF($BJ35&gt;0,IF(INDEX('Final Calculation Sheet'!$H$4:$H$40,$BJ35-3)="","",INDEX('Final Calculation Sheet'!$H$4:$H$40,$BJ35-3)),IF(OR($BI35=1,$BL35=1,$BH35&gt;0),IF($BI35=1,SUM('Final Calculation Sheet'!$H$4:$H$40),IF($BL35=1,SUM('Final Calculation Sheet'!$H$4:$H$40)-SUMIFS('Final Calculation Sheet'!$H$4:$H$40,$AZ$5:$AZ$41,10),SUMIFS('Final Calculation Sheet'!$H$4:$H$40,$AZ$5:$AZ$41,$BH35))),""))</f>
        <v>270006</v>
      </c>
      <c r="J36" s="70">
        <f>IF($BJ35&gt;0,IF(INDEX('Final Calculation Sheet'!$I$4:$I$40,$BJ35-3)="","",INDEX('Final Calculation Sheet'!$I$4:$I$40,$BJ35-3)),IF(OR($BI35=1,$BL35=1,$BH35&gt;0),IF($BI35=1,SUM('Final Calculation Sheet'!$I$4:$I$40),IF($BL35=1,SUM('Final Calculation Sheet'!$I$4:$I$40)-SUMIFS('Final Calculation Sheet'!$I$4:$I$40,$AZ$5:$AZ$41,10),SUMIFS('Final Calculation Sheet'!$I$4:$I$40,$AZ$5:$AZ$41,$BH35))),""))</f>
        <v>48601</v>
      </c>
      <c r="K36" s="70">
        <f>IF($BJ35&gt;0,IF(INDEX('Final Calculation Sheet'!$J$4:$J$40,$BJ35-3)="","",INDEX('Final Calculation Sheet'!$J$4:$J$40,$BJ35-3)),IF(OR($BI35=1,$BL35=1,$BH35&gt;0),IF($BI35=1,SUM('Final Calculation Sheet'!$J$4:$J$40),IF($BL35=1,SUM('Final Calculation Sheet'!$J$4:$J$40)-SUMIFS('Final Calculation Sheet'!$J$4:$J$40,$AZ$5:$AZ$41,10),SUMIFS('Final Calculation Sheet'!$J$4:$J$40,$AZ$5:$AZ$41,$BH35))),""))</f>
        <v>318607</v>
      </c>
      <c r="L36" s="70">
        <f>IF($BJ35&gt;0,IF(INDEX('Final Calculation Sheet'!$K$4:$K$40,$BJ35-3)="","",INDEX('Final Calculation Sheet'!$K$4:$K$40,$BJ35-3)),IF(OR($BI35=1,$BL35=1,$BH35&gt;0),IF($BI35=1,SUM('Final Calculation Sheet'!$K$4:$K$40),IF($BL35=1,SUM('Final Calculation Sheet'!$K$4:$K$40)-SUMIFS('Final Calculation Sheet'!$K$4:$K$40,$AZ$5:$AZ$41,10),SUMIFS('Final Calculation Sheet'!$K$4:$K$40,$AZ$5:$AZ$41,$BH35))),""))</f>
        <v>6372</v>
      </c>
      <c r="M36" s="70">
        <f>IF($BJ35&gt;0,IF(INDEX('Final Calculation Sheet'!$L$4:$L$40,$BJ35-3)="","",INDEX('Final Calculation Sheet'!$L$4:$L$40,$BJ35-3)),IF(OR($BI35=1,$BL35=1,$BH35&gt;0),IF($BI35=1,SUM('Final Calculation Sheet'!$L$4:$L$40),IF($BL35=1,SUM('Final Calculation Sheet'!$L$4:$L$40)-SUMIFS('Final Calculation Sheet'!$L$4:$L$40,$AZ$5:$AZ$41,10),SUMIFS('Final Calculation Sheet'!$L$4:$L$40,$AZ$5:$AZ$41,$BH35))),""))</f>
        <v>270.00600000000003</v>
      </c>
      <c r="N36" s="70">
        <f>IF($BJ35&gt;0,IF(INDEX('Final Calculation Sheet'!$M$4:$M$40,$BJ35-3)="","",INDEX('Final Calculation Sheet'!$M$4:$M$40,$BJ35-3)),IF(OR($BI35=1,$BL35=1,$BH35&gt;0),IF($BI35=1,SUM('Final Calculation Sheet'!$M$4:$M$40),IF($BL35=1,SUM('Final Calculation Sheet'!$M$4:$M$40)-SUMIFS('Final Calculation Sheet'!$M$4:$M$40,$AZ$5:$AZ$41,10),SUMIFS('Final Calculation Sheet'!$M$4:$M$40,$AZ$5:$AZ$41,$BH35))),""))</f>
        <v>7168.6593000000003</v>
      </c>
      <c r="O36" s="71">
        <f>IF($BJ35&gt;0,IF(INDEX('Final Calculation Sheet'!$N$4:$N$40,$BJ35-3)="","",INDEX('Final Calculation Sheet'!$N$4:$N$40,$BJ35-3)),IF(OR($BI35=1,$BL35=1,$BH35&gt;0),IF($BI35=1,SUM('Final Calculation Sheet'!$N$4:$N$40),IF($BL35=1,SUM('Final Calculation Sheet'!$N$4:$N$40)-SUMIFS('Final Calculation Sheet'!$N$4:$N$40,$AZ$5:$AZ$41,10),SUMIFS('Final Calculation Sheet'!$N$4:$N$40,$AZ$5:$AZ$41,$BH35))),""))</f>
        <v>121.5027</v>
      </c>
      <c r="P36" s="70">
        <f>IF($BJ35&gt;0,IF(INDEX('Final Calculation Sheet'!$O$4:$O$40,$BJ35-3)="","",INDEX('Final Calculation Sheet'!$O$4:$O$40,$BJ35-3)),IF(OR($BI35=1,$BL35=1,$BH35&gt;0),IF($BI35=1,SUM('Final Calculation Sheet'!$O$4:$O$40),IF($BL35=1,SUM('Final Calculation Sheet'!$O$4:$O$40)-SUMIFS('Final Calculation Sheet'!$O$4:$O$40,$AZ$5:$AZ$41,10),SUMIFS('Final Calculation Sheet'!$O$4:$O$40,$AZ$5:$AZ$41,$BH35))),""))</f>
        <v>7047.1566000000003</v>
      </c>
      <c r="Q36" s="70">
        <f>IF($BJ35&gt;0,IF(INDEX('Final Calculation Sheet'!$P$4:$P$40,$BJ35-3)="","",INDEX('Final Calculation Sheet'!$P$4:$P$40,$BJ35-3)),IF(OR($BI35=1,$BL35=1,$BH35&gt;0),IF($BI35=1,SUM('Final Calculation Sheet'!$P$4:$P$40),IF($BL35=1,SUM('Final Calculation Sheet'!$P$4:$P$40)-SUMIFS('Final Calculation Sheet'!$P$4:$P$40,$AZ$5:$AZ$41,10),SUMIFS('Final Calculation Sheet'!$P$4:$P$40,$AZ$5:$AZ$41,$BH35))),""))</f>
        <v>7317</v>
      </c>
      <c r="R36" s="72">
        <f>IF($BJ35&gt;0,IF(INDEX('Final Calculation Sheet'!$Q$4:$Q$40,$BJ35-3)="","",INDEX('Final Calculation Sheet'!$Q$4:$Q$40,$BJ35-3)),IF(OR($BI35=1,$BL35=1,$BH35&gt;0),"–",""))</f>
        <v>0</v>
      </c>
      <c r="S36" s="70">
        <f>IF($BJ35&gt;0,IF(INDEX('Final Calculation Sheet'!$R$4:$R$40,$BJ35-3)="","",INDEX('Final Calculation Sheet'!$R$4:$R$40,$BJ35-3)),IF(OR($BI35=1,$BL35=1,$BH35&gt;0),IF($BI35=1,SUM('Final Calculation Sheet'!$R$4:$R$40),IF($BL35=1,SUM('Final Calculation Sheet'!$R$4:$R$40)-SUMIFS('Final Calculation Sheet'!$R$4:$R$40,$AZ$5:$AZ$41,10),SUMIFS('Final Calculation Sheet'!$R$4:$R$40,$AZ$5:$AZ$41,$BH35))),""))</f>
        <v>0</v>
      </c>
      <c r="T36" s="70">
        <f>IF($BJ35&gt;0,IF(INDEX('Final Calculation Sheet'!$S$4:$S$40,$BJ35-3)="","",INDEX('Final Calculation Sheet'!$S$4:$S$40,$BJ35-3)),IF(OR($BI35=1,$BL35=1,$BH35&gt;0),IF($BI35=1,SUM('Final Calculation Sheet'!$S$4:$S$40),IF($BL35=1,SUM('Final Calculation Sheet'!$S$4:$S$40)-SUMIFS('Final Calculation Sheet'!$S$4:$S$40,$AZ$5:$AZ$41,10),SUMIFS('Final Calculation Sheet'!$S$4:$S$40,$AZ$5:$AZ$41,$BH35))),""))</f>
        <v>317662</v>
      </c>
      <c r="U36" s="70">
        <f>IF($BJ35&gt;0,IF(INDEX('Final Calculation Sheet'!$T$4:$T$40,$BJ35-3)="","",INDEX('Final Calculation Sheet'!$T$4:$T$40,$BJ35-3)),IF(OR($BI35=1,$BL35=1,$BH35&gt;0),IF($BI35=1,SUM('Final Calculation Sheet'!$T$4:$T$40),IF($BL35=1,SUM('Final Calculation Sheet'!$T$4:$T$40)-SUMIFS('Final Calculation Sheet'!$T$4:$T$40,$AZ$5:$AZ$41,10),SUMIFS('Final Calculation Sheet'!$T$4:$T$40,$AZ$5:$AZ$41,$BH35))),""))</f>
        <v>67502</v>
      </c>
      <c r="V36" s="73">
        <f>IF($BJ35&gt;0,IF(INDEX('Final Calculation Sheet'!$U$4:$U$40,$BJ35-3)="","",INDEX('Final Calculation Sheet'!$U$4:$U$40,$BJ35-3)),IF(OR($BI35=1,$BL35=1,$BH35&gt;0),IF($BI35=1,SUM('Final Calculation Sheet'!$U$4:$U$40),IF($BL35=1,SUM('Final Calculation Sheet'!$U$4:$U$40)-SUMIFS('Final Calculation Sheet'!$U$4:$U$40,$AZ$5:$AZ$41,10),SUMIFS('Final Calculation Sheet'!$U$4:$U$40,$AZ$5:$AZ$41,$BH35))),""))</f>
        <v>67502</v>
      </c>
      <c r="W36" s="70" t="str">
        <f>IF($BJ35&gt;0,IF(INDEX('Final Calculation Sheet'!$V$4:$V$40,$BJ35-3)="","",INDEX('Final Calculation Sheet'!$V$4:$V$40,$BJ35-3)),IF(OR($BI35=1,$BL35=1,$BH35&gt;0),"–",""))</f>
        <v>11.08.2026</v>
      </c>
      <c r="X36" s="70">
        <f>IF($BJ35&gt;0,IF(INDEX('Final Calculation Sheet'!$W$4:$W$40,$BJ35-3)="","",INDEX('Final Calculation Sheet'!$W$4:$W$40,$BJ35-3)),IF(OR($BI35=1,$BL35=1,$BH35&gt;0),IF($BI35=1,SUM('Final Calculation Sheet'!$W$4:$W$40),IF($BL35=1,SUM('Final Calculation Sheet'!$W$4:$W$40)-SUMIFS('Final Calculation Sheet'!$W$4:$W$40,$AZ$5:$AZ$41,10),SUMIFS('Final Calculation Sheet'!$W$4:$W$40,$AZ$5:$AZ$41,$BH35))),""))</f>
        <v>250161</v>
      </c>
      <c r="Y36" s="70" t="str">
        <f>IF($BJ35&gt;0,IF(INDEX('Final Calculation Sheet'!$X$4:$X$40,$BJ35-3)="","",INDEX('Final Calculation Sheet'!$X$4:$X$40,$BJ35-3)),IF(OR($BI35=1,$BL35=1,$BH35&gt;0),IF($BI35=1,SUM('Final Calculation Sheet'!$X$4:$X$40),IF($BL35=1,SUM('Final Calculation Sheet'!$X$4:$X$40)-SUMIFS('Final Calculation Sheet'!$X$4:$X$40,$AZ$5:$AZ$41,10),SUMIFS('Final Calculation Sheet'!$X$4:$X$40,$AZ$5:$AZ$41,$BH35))),""))</f>
        <v/>
      </c>
      <c r="Z36" s="70">
        <f>IF($BJ35&gt;0,IF(INDEX('Final Calculation Sheet'!$Y$4:$Y$40,$BJ35-3)="","",INDEX('Final Calculation Sheet'!$Y$4:$Y$40,$BJ35-3)),IF(OR($BI35=1,$BL35=1,$BH35&gt;0),"–",""))</f>
        <v>0</v>
      </c>
      <c r="AA36" s="70">
        <f ca="1">IF($BJ35&gt;0,IF(INDEX('Final Calculation Sheet'!$Z$4:$Z$40,$BJ35-3)="","",INDEX('Final Calculation Sheet'!$Z$4:$Z$40,$BJ35-3)),IF(OR($BI35=1,$BL35=1,$BH35&gt;0),IF($BI35=1,SUM('Final Calculation Sheet'!$Z$4:$Z$40),IF($BL35=1,SUM('Final Calculation Sheet'!$Z$4:$Z$40)-SUMIFS('Final Calculation Sheet'!$Z$4:$Z$40,$AZ$5:$AZ$41,10),SUMIFS('Final Calculation Sheet'!$Z$4:$Z$40,$AZ$5:$AZ$41,$BH35))),""))</f>
        <v>9558.2124000000003</v>
      </c>
      <c r="AB36" s="70" t="str">
        <f>IF($BJ35&gt;0,IF(INDEX('Final Calculation Sheet'!$AA$4:$AA$40,$BJ35-3)="","",INDEX('Final Calculation Sheet'!$AA$4:$AA$40,$BJ35-3)),IF(OR($BI35=1,$BL35=1,$BH35&gt;0),IF($BI35=1,SUM('Final Calculation Sheet'!$AA$4:$AA$40),IF($BL35=1,SUM('Final Calculation Sheet'!$AA$4:$AA$40)-SUMIFS('Final Calculation Sheet'!$AA$4:$AA$40,$AZ$5:$AZ$41,10),SUMIFS('Final Calculation Sheet'!$AA$4:$AA$40,$AZ$5:$AZ$41,$BH35))),""))</f>
        <v/>
      </c>
      <c r="AC36" s="70" t="str">
        <f>IF($BJ35&gt;0,IF(INDEX('Final Calculation Sheet'!$AB$4:$AB$40,$BJ35-3)="","",INDEX('Final Calculation Sheet'!$AB$4:$AB$40,$BJ35-3)),IF(OR($BI35=1,$BL35=1,$BH35&gt;0),"–",""))</f>
        <v/>
      </c>
      <c r="AD36" s="70">
        <f>IF($BJ35&gt;0,IF(INDEX('Final Calculation Sheet'!$AC$4:$AC$40,$BJ35-3)="","",INDEX('Final Calculation Sheet'!$AC$4:$AC$40,$BJ35-3)),IF(OR($BI35=1,$BL35=1,$BH35&gt;0),IF($BI35=1,SUM('Final Calculation Sheet'!$AC$4:$AC$40),IF($BL35=1,SUM('Final Calculation Sheet'!$AC$4:$AC$40)-SUMIFS('Final Calculation Sheet'!$AC$4:$AC$40,$AZ$5:$AZ$41,10),SUMIFS('Final Calculation Sheet'!$AC$4:$AC$40,$AZ$5:$AZ$41,$BH35))),""))</f>
        <v>67502</v>
      </c>
      <c r="AE36" s="70">
        <f>IF($BJ35&gt;0,IF(INDEX('Final Calculation Sheet'!$AD$4:$AD$40,$BJ35-3)="","",INDEX('Final Calculation Sheet'!$AD$4:$AD$40,$BJ35-3)),IF(OR($BI35=1,$BL35=1,$BH35&gt;0),IF($BI35=1,SUM('Final Calculation Sheet'!$AD$4:$AD$40),IF($BL35=1,SUM('Final Calculation Sheet'!$AD$4:$AD$40)-SUMIFS('Final Calculation Sheet'!$AD$4:$AD$40,$AZ$5:$AZ$41,10),SUMIFS('Final Calculation Sheet'!$AD$4:$AD$40,$AZ$5:$AZ$41,$BH35))),""))</f>
        <v>250160</v>
      </c>
      <c r="AF36" s="70" t="str">
        <f>IF($BJ35&gt;0,IF(INDEX('Final Calculation Sheet'!$AE$4:$AE$40,$BJ35-3)="","",INDEX('Final Calculation Sheet'!$AE$4:$AE$40,$BJ35-3)),IF(OR($BI35=1,$BL35=1,$BH35&gt;0),"–",""))</f>
        <v/>
      </c>
      <c r="AG36" s="74" t="str">
        <f>IF($BJ35&gt;0,IF(INDEX('Final Calculation Sheet'!$AF$4:$AF$40,$BJ35-3)="","",INDEX('Final Calculation Sheet'!$AF$4:$AF$40,$BJ35-3)),IF(OR($BI35=1,$BL35=1,$BH35&gt;0),"–",""))</f>
        <v/>
      </c>
      <c r="AH36" s="70" t="str">
        <f>IF($BJ35&gt;0,IF(INDEX('Final Calculation Sheet'!$AG$4:$AG$40,$BJ35-3)="","",INDEX('Final Calculation Sheet'!$AG$4:$AG$40,$BJ35-3)),IF(OR($BI35=1,$BL35=1,$BH35&gt;0),"–",""))</f>
        <v/>
      </c>
      <c r="AI36" s="75" t="str">
        <f>IF($BJ35&gt;0,IF(INDEX('Final Calculation Sheet'!$AD$4:$AD$40,$BJ35-3)="","",IF(INDEX('Final Calculation Sheet'!$AD$4:$AD$40,$BJ35-3)&lt;=0,"SETTLED","OUTSTANDING")),IF(OR($BI35=1,$BL35=1,$BH35&gt;0),IF(IF($BI35=1,SUM('Final Calculation Sheet'!$AD$4:$AD$40),IF($BL35=1,SUM('Final Calculation Sheet'!$AD$4:$AD$40)-SUMIFS('Final Calculation Sheet'!$AD$4:$AD$40,$AZ$5:$AZ$41,10),SUMIFS('Final Calculation Sheet'!$AD$4:$AD$40,$AZ$5:$AZ$41,$BH35)))&lt;=0,"ALL SETTLED","OUTSTANDING"),""))</f>
        <v>OUTSTANDING</v>
      </c>
      <c r="AK36" t="str">
        <f>IF($F$3="Lot No.",'Final Calculation Sheet'!$F$35,IF($F$3="Buyer",'Final Calculation Sheet'!$G$35,IF($F$3="Lot Name",'Final Calculation Sheet'!$B$35,IF($F$3="Bid Sheet",'Final Calculation Sheet'!$D$35,IF($F$3="Unit",'Final Calculation Sheet'!$E$35,'Final Calculation Sheet'!$F$35&amp;" "&amp;'Final Calculation Sheet'!$G$35&amp;" "&amp;'Final Calculation Sheet'!$B$35)))))</f>
        <v>2067 WATAN SCRAP TRADERS Scrap of empty oil drums</v>
      </c>
      <c r="AM36">
        <f t="shared" si="1"/>
        <v>1</v>
      </c>
      <c r="AZ36">
        <f t="shared" si="2"/>
        <v>1</v>
      </c>
      <c r="BA36">
        <f t="shared" si="3"/>
        <v>4</v>
      </c>
      <c r="BB36">
        <f t="shared" si="4"/>
        <v>8</v>
      </c>
      <c r="BC36">
        <v>35</v>
      </c>
      <c r="BH36">
        <f>IFERROR(MATCH(36,$BF$4:$BF$13,0),0)</f>
        <v>0</v>
      </c>
      <c r="BI36">
        <f>IF(36=$BG$5,1,0)</f>
        <v>0</v>
      </c>
      <c r="BJ36">
        <f>IF(OR($BH36&gt;0,$BI36=1,$BL36=1),0,IFERROR(INDEX($BC$5:$BC$41,MATCH(36,$BB$5:$BB$41,0)),0))</f>
        <v>30</v>
      </c>
      <c r="BK36">
        <f>IF($BJ36&gt;0,IF(INDEX($AZ$5:$AZ$41,MATCH(36,$BB$5:$BB$41,0))=10,1,0),IF($BH36=10,1,0))</f>
        <v>1</v>
      </c>
      <c r="BL36">
        <f>IF(36=$BG$4,1,0)</f>
        <v>0</v>
      </c>
      <c r="BM36">
        <f>IF($A$4="",1,--(AND(SUMPRODUCT(--($AS$60:$AZ$60&lt;&gt;""))&gt;0,IF(COUNTIF($BI$60:$BP$60,1)=0,TRUE,SUMPRODUCT(($BI$60:$BP$60=1)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$60,2)=0,TRUE,SUMPRODUCT(($BI$60:$BP$60=2)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$60,3)=0,TRUE,SUMPRODUCT(($BI$60:$BP$60=3)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$60,4)=0,TRUE,SUMPRODUCT(($BI$60:$BP$60=4)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$60,5)=0,TRUE,SUMPRODUCT(($BI$60:$BP$60=5)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$60,6)=0,TRUE,SUMPRODUCT(($BI$60:$BP$60=6)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$60,7)=0,TRUE,SUMPRODUCT(($BI$60:$BP$60=7)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$60,8)=0,TRUE,SUMPRODUCT(($BI$60:$BP$60=8)*($AS$60:$AZ$60&lt;&gt;"")*IF(((UPPER($AS$60:$AZ$60)="BLANK")+(UPPER($AS$60:$AZ$60)="(BLANK)")+(UPPER($AS$60:$AZ$60)="EMPTY")+(UPPER($AS$60:$AZ$60)="(EMPTY)"))&gt;0,IFERROR((ROW()-4)&amp;"","")="",ISNUMBER(SEARCH($AS$60:$AZ$60,IFERROR((ROW()-4)&amp;"","")))))&gt;0))))</f>
        <v>1</v>
      </c>
      <c r="BN36">
        <f>IF($B$4="",1,--(AND(SUMPRODUCT(--($AS$61:$AZ$61&lt;&gt;""))&gt;0,IF(COUNTIF($BI$61:$BP$61,1)=0,TRUE,SUMPRODUCT(($BI$61:$BP$61=1)*($AS$61:$AZ$61&lt;&gt;"")*IF(((UPPER($AS$61:$AZ$61)="BLANK")+(UPPER($AS$61:$AZ$61)="(BLANK)")+(UPPER($AS$61:$AZ$61)="EMPTY")+(UPPER($AS$61:$AZ$61)="(EMPTY)"))&gt;0,IFERROR(('Final Calculation Sheet'!$F$35)&amp;"","")="",ISNUMBER(SEARCH($AS$61:$AZ$61,IFERROR(('Final Calculation Sheet'!$F$35)&amp;"","")))))&gt;0),IF(COUNTIF($BI$61:$BP$61,2)=0,TRUE,SUMPRODUCT(($BI$61:$BP$61=2)*($AS$61:$AZ$61&lt;&gt;"")*IF(((UPPER($AS$61:$AZ$61)="BLANK")+(UPPER($AS$61:$AZ$61)="(BLANK)")+(UPPER($AS$61:$AZ$61)="EMPTY")+(UPPER($AS$61:$AZ$61)="(EMPTY)"))&gt;0,IFERROR(('Final Calculation Sheet'!$F$35)&amp;"","")="",ISNUMBER(SEARCH($AS$61:$AZ$61,IFERROR(('Final Calculation Sheet'!$F$35)&amp;"","")))))&gt;0),IF(COUNTIF($BI$61:$BP$61,3)=0,TRUE,SUMPRODUCT(($BI$61:$BP$61=3)*($AS$61:$AZ$61&lt;&gt;"")*IF(((UPPER($AS$61:$AZ$61)="BLANK")+(UPPER($AS$61:$AZ$61)="(BLANK)")+(UPPER($AS$61:$AZ$61)="EMPTY")+(UPPER($AS$61:$AZ$61)="(EMPTY)"))&gt;0,IFERROR(('Final Calculation Sheet'!$F$35)&amp;"","")="",ISNUMBER(SEARCH($AS$61:$AZ$61,IFERROR(('Final Calculation Sheet'!$F$35)&amp;"","")))))&gt;0),IF(COUNTIF($BI$61:$BP$61,4)=0,TRUE,SUMPRODUCT(($BI$61:$BP$61=4)*($AS$61:$AZ$61&lt;&gt;"")*IF(((UPPER($AS$61:$AZ$61)="BLANK")+(UPPER($AS$61:$AZ$61)="(BLANK)")+(UPPER($AS$61:$AZ$61)="EMPTY")+(UPPER($AS$61:$AZ$61)="(EMPTY)"))&gt;0,IFERROR(('Final Calculation Sheet'!$F$35)&amp;"","")="",ISNUMBER(SEARCH($AS$61:$AZ$61,IFERROR(('Final Calculation Sheet'!$F$35)&amp;"","")))))&gt;0),IF(COUNTIF($BI$61:$BP$61,5)=0,TRUE,SUMPRODUCT(($BI$61:$BP$61=5)*($AS$61:$AZ$61&lt;&gt;"")*IF(((UPPER($AS$61:$AZ$61)="BLANK")+(UPPER($AS$61:$AZ$61)="(BLANK)")+(UPPER($AS$61:$AZ$61)="EMPTY")+(UPPER($AS$61:$AZ$61)="(EMPTY)"))&gt;0,IFERROR(('Final Calculation Sheet'!$F$35)&amp;"","")="",ISNUMBER(SEARCH($AS$61:$AZ$61,IFERROR(('Final Calculation Sheet'!$F$35)&amp;"","")))))&gt;0),IF(COUNTIF($BI$61:$BP$61,6)=0,TRUE,SUMPRODUCT(($BI$61:$BP$61=6)*($AS$61:$AZ$61&lt;&gt;"")*IF(((UPPER($AS$61:$AZ$61)="BLANK")+(UPPER($AS$61:$AZ$61)="(BLANK)")+(UPPER($AS$61:$AZ$61)="EMPTY")+(UPPER($AS$61:$AZ$61)="(EMPTY)"))&gt;0,IFERROR(('Final Calculation Sheet'!$F$35)&amp;"","")="",ISNUMBER(SEARCH($AS$61:$AZ$61,IFERROR(('Final Calculation Sheet'!$F$35)&amp;"","")))))&gt;0),IF(COUNTIF($BI$61:$BP$61,7)=0,TRUE,SUMPRODUCT(($BI$61:$BP$61=7)*($AS$61:$AZ$61&lt;&gt;"")*IF(((UPPER($AS$61:$AZ$61)="BLANK")+(UPPER($AS$61:$AZ$61)="(BLANK)")+(UPPER($AS$61:$AZ$61)="EMPTY")+(UPPER($AS$61:$AZ$61)="(EMPTY)"))&gt;0,IFERROR(('Final Calculation Sheet'!$F$35)&amp;"","")="",ISNUMBER(SEARCH($AS$61:$AZ$61,IFERROR(('Final Calculation Sheet'!$F$35)&amp;"","")))))&gt;0),IF(COUNTIF($BI$61:$BP$61,8)=0,TRUE,SUMPRODUCT(($BI$61:$BP$61=8)*($AS$61:$AZ$61&lt;&gt;"")*IF(((UPPER($AS$61:$AZ$61)="BLANK")+(UPPER($AS$61:$AZ$61)="(BLANK)")+(UPPER($AS$61:$AZ$61)="EMPTY")+(UPPER($AS$61:$AZ$61)="(EMPTY)"))&gt;0,IFERROR(('Final Calculation Sheet'!$F$35)&amp;"","")="",ISNUMBER(SEARCH($AS$61:$AZ$61,IFERROR(('Final Calculation Sheet'!$F$35)&amp;"","")))))&gt;0))))</f>
        <v>1</v>
      </c>
      <c r="BO36">
        <f>IF($C$4="",1,--(AND(SUMPRODUCT(--($AS$62:$AZ$62&lt;&gt;""))&gt;0,IF(COUNTIF($BI$62:$BP$62,1)=0,TRUE,SUMPRODUCT(($BI$62:$BP$62=1)*($AS$62:$AZ$62&lt;&gt;"")*IF(((UPPER($AS$62:$AZ$62)="BLANK")+(UPPER($AS$62:$AZ$62)="(BLANK)")+(UPPER($AS$62:$AZ$62)="EMPTY")+(UPPER($AS$62:$AZ$62)="(EMPTY)"))&gt;0,IFERROR(('Final Calculation Sheet'!$G$35)&amp;"","")="",ISNUMBER(SEARCH($AS$62:$AZ$62,IFERROR(('Final Calculation Sheet'!$G$35)&amp;"","")))))&gt;0),IF(COUNTIF($BI$62:$BP$62,2)=0,TRUE,SUMPRODUCT(($BI$62:$BP$62=2)*($AS$62:$AZ$62&lt;&gt;"")*IF(((UPPER($AS$62:$AZ$62)="BLANK")+(UPPER($AS$62:$AZ$62)="(BLANK)")+(UPPER($AS$62:$AZ$62)="EMPTY")+(UPPER($AS$62:$AZ$62)="(EMPTY)"))&gt;0,IFERROR(('Final Calculation Sheet'!$G$35)&amp;"","")="",ISNUMBER(SEARCH($AS$62:$AZ$62,IFERROR(('Final Calculation Sheet'!$G$35)&amp;"","")))))&gt;0),IF(COUNTIF($BI$62:$BP$62,3)=0,TRUE,SUMPRODUCT(($BI$62:$BP$62=3)*($AS$62:$AZ$62&lt;&gt;"")*IF(((UPPER($AS$62:$AZ$62)="BLANK")+(UPPER($AS$62:$AZ$62)="(BLANK)")+(UPPER($AS$62:$AZ$62)="EMPTY")+(UPPER($AS$62:$AZ$62)="(EMPTY)"))&gt;0,IFERROR(('Final Calculation Sheet'!$G$35)&amp;"","")="",ISNUMBER(SEARCH($AS$62:$AZ$62,IFERROR(('Final Calculation Sheet'!$G$35)&amp;"","")))))&gt;0),IF(COUNTIF($BI$62:$BP$62,4)=0,TRUE,SUMPRODUCT(($BI$62:$BP$62=4)*($AS$62:$AZ$62&lt;&gt;"")*IF(((UPPER($AS$62:$AZ$62)="BLANK")+(UPPER($AS$62:$AZ$62)="(BLANK)")+(UPPER($AS$62:$AZ$62)="EMPTY")+(UPPER($AS$62:$AZ$62)="(EMPTY)"))&gt;0,IFERROR(('Final Calculation Sheet'!$G$35)&amp;"","")="",ISNUMBER(SEARCH($AS$62:$AZ$62,IFERROR(('Final Calculation Sheet'!$G$35)&amp;"","")))))&gt;0),IF(COUNTIF($BI$62:$BP$62,5)=0,TRUE,SUMPRODUCT(($BI$62:$BP$62=5)*($AS$62:$AZ$62&lt;&gt;"")*IF(((UPPER($AS$62:$AZ$62)="BLANK")+(UPPER($AS$62:$AZ$62)="(BLANK)")+(UPPER($AS$62:$AZ$62)="EMPTY")+(UPPER($AS$62:$AZ$62)="(EMPTY)"))&gt;0,IFERROR(('Final Calculation Sheet'!$G$35)&amp;"","")="",ISNUMBER(SEARCH($AS$62:$AZ$62,IFERROR(('Final Calculation Sheet'!$G$35)&amp;"","")))))&gt;0),IF(COUNTIF($BI$62:$BP$62,6)=0,TRUE,SUMPRODUCT(($BI$62:$BP$62=6)*($AS$62:$AZ$62&lt;&gt;"")*IF(((UPPER($AS$62:$AZ$62)="BLANK")+(UPPER($AS$62:$AZ$62)="(BLANK)")+(UPPER($AS$62:$AZ$62)="EMPTY")+(UPPER($AS$62:$AZ$62)="(EMPTY)"))&gt;0,IFERROR(('Final Calculation Sheet'!$G$35)&amp;"","")="",ISNUMBER(SEARCH($AS$62:$AZ$62,IFERROR(('Final Calculation Sheet'!$G$35)&amp;"","")))))&gt;0),IF(COUNTIF($BI$62:$BP$62,7)=0,TRUE,SUMPRODUCT(($BI$62:$BP$62=7)*($AS$62:$AZ$62&lt;&gt;"")*IF(((UPPER($AS$62:$AZ$62)="BLANK")+(UPPER($AS$62:$AZ$62)="(BLANK)")+(UPPER($AS$62:$AZ$62)="EMPTY")+(UPPER($AS$62:$AZ$62)="(EMPTY)"))&gt;0,IFERROR(('Final Calculation Sheet'!$G$35)&amp;"","")="",ISNUMBER(SEARCH($AS$62:$AZ$62,IFERROR(('Final Calculation Sheet'!$G$35)&amp;"","")))))&gt;0),IF(COUNTIF($BI$62:$BP$62,8)=0,TRUE,SUMPRODUCT(($BI$62:$BP$62=8)*($AS$62:$AZ$62&lt;&gt;"")*IF(((UPPER($AS$62:$AZ$62)="BLANK")+(UPPER($AS$62:$AZ$62)="(BLANK)")+(UPPER($AS$62:$AZ$62)="EMPTY")+(UPPER($AS$62:$AZ$62)="(EMPTY)"))&gt;0,IFERROR(('Final Calculation Sheet'!$G$35)&amp;"","")="",ISNUMBER(SEARCH($AS$62:$AZ$62,IFERROR(('Final Calculation Sheet'!$G$35)&amp;"","")))))&gt;0))))</f>
        <v>1</v>
      </c>
      <c r="BP36">
        <f>IF($D$4="",1,--(AND(SUMPRODUCT(--($AS$63:$AZ$63&lt;&gt;""))&gt;0,IF(COUNTIF($BI$63:$BP$63,1)=0,TRUE,SUMPRODUCT(($BI$63:$BP$63=1)*($AS$63:$AZ$63&lt;&gt;"")*IF(((UPPER($AS$63:$AZ$63)="BLANK")+(UPPER($AS$63:$AZ$63)="(BLANK)")+(UPPER($AS$63:$AZ$63)="EMPTY")+(UPPER($AS$63:$AZ$63)="(EMPTY)"))&gt;0,IFERROR(('Final Calculation Sheet'!$B$35)&amp;"","")="",ISNUMBER(SEARCH($AS$63:$AZ$63,IFERROR(('Final Calculation Sheet'!$B$35)&amp;"","")))))&gt;0),IF(COUNTIF($BI$63:$BP$63,2)=0,TRUE,SUMPRODUCT(($BI$63:$BP$63=2)*($AS$63:$AZ$63&lt;&gt;"")*IF(((UPPER($AS$63:$AZ$63)="BLANK")+(UPPER($AS$63:$AZ$63)="(BLANK)")+(UPPER($AS$63:$AZ$63)="EMPTY")+(UPPER($AS$63:$AZ$63)="(EMPTY)"))&gt;0,IFERROR(('Final Calculation Sheet'!$B$35)&amp;"","")="",ISNUMBER(SEARCH($AS$63:$AZ$63,IFERROR(('Final Calculation Sheet'!$B$35)&amp;"","")))))&gt;0),IF(COUNTIF($BI$63:$BP$63,3)=0,TRUE,SUMPRODUCT(($BI$63:$BP$63=3)*($AS$63:$AZ$63&lt;&gt;"")*IF(((UPPER($AS$63:$AZ$63)="BLANK")+(UPPER($AS$63:$AZ$63)="(BLANK)")+(UPPER($AS$63:$AZ$63)="EMPTY")+(UPPER($AS$63:$AZ$63)="(EMPTY)"))&gt;0,IFERROR(('Final Calculation Sheet'!$B$35)&amp;"","")="",ISNUMBER(SEARCH($AS$63:$AZ$63,IFERROR(('Final Calculation Sheet'!$B$35)&amp;"","")))))&gt;0),IF(COUNTIF($BI$63:$BP$63,4)=0,TRUE,SUMPRODUCT(($BI$63:$BP$63=4)*($AS$63:$AZ$63&lt;&gt;"")*IF(((UPPER($AS$63:$AZ$63)="BLANK")+(UPPER($AS$63:$AZ$63)="(BLANK)")+(UPPER($AS$63:$AZ$63)="EMPTY")+(UPPER($AS$63:$AZ$63)="(EMPTY)"))&gt;0,IFERROR(('Final Calculation Sheet'!$B$35)&amp;"","")="",ISNUMBER(SEARCH($AS$63:$AZ$63,IFERROR(('Final Calculation Sheet'!$B$35)&amp;"","")))))&gt;0),IF(COUNTIF($BI$63:$BP$63,5)=0,TRUE,SUMPRODUCT(($BI$63:$BP$63=5)*($AS$63:$AZ$63&lt;&gt;"")*IF(((UPPER($AS$63:$AZ$63)="BLANK")+(UPPER($AS$63:$AZ$63)="(BLANK)")+(UPPER($AS$63:$AZ$63)="EMPTY")+(UPPER($AS$63:$AZ$63)="(EMPTY)"))&gt;0,IFERROR(('Final Calculation Sheet'!$B$35)&amp;"","")="",ISNUMBER(SEARCH($AS$63:$AZ$63,IFERROR(('Final Calculation Sheet'!$B$35)&amp;"","")))))&gt;0),IF(COUNTIF($BI$63:$BP$63,6)=0,TRUE,SUMPRODUCT(($BI$63:$BP$63=6)*($AS$63:$AZ$63&lt;&gt;"")*IF(((UPPER($AS$63:$AZ$63)="BLANK")+(UPPER($AS$63:$AZ$63)="(BLANK)")+(UPPER($AS$63:$AZ$63)="EMPTY")+(UPPER($AS$63:$AZ$63)="(EMPTY)"))&gt;0,IFERROR(('Final Calculation Sheet'!$B$35)&amp;"","")="",ISNUMBER(SEARCH($AS$63:$AZ$63,IFERROR(('Final Calculation Sheet'!$B$35)&amp;"","")))))&gt;0),IF(COUNTIF($BI$63:$BP$63,7)=0,TRUE,SUMPRODUCT(($BI$63:$BP$63=7)*($AS$63:$AZ$63&lt;&gt;"")*IF(((UPPER($AS$63:$AZ$63)="BLANK")+(UPPER($AS$63:$AZ$63)="(BLANK)")+(UPPER($AS$63:$AZ$63)="EMPTY")+(UPPER($AS$63:$AZ$63)="(EMPTY)"))&gt;0,IFERROR(('Final Calculation Sheet'!$B$35)&amp;"","")="",ISNUMBER(SEARCH($AS$63:$AZ$63,IFERROR(('Final Calculation Sheet'!$B$35)&amp;"","")))))&gt;0),IF(COUNTIF($BI$63:$BP$63,8)=0,TRUE,SUMPRODUCT(($BI$63:$BP$63=8)*($AS$63:$AZ$63&lt;&gt;"")*IF(((UPPER($AS$63:$AZ$63)="BLANK")+(UPPER($AS$63:$AZ$63)="(BLANK)")+(UPPER($AS$63:$AZ$63)="EMPTY")+(UPPER($AS$63:$AZ$63)="(EMPTY)"))&gt;0,IFERROR(('Final Calculation Sheet'!$B$35)&amp;"","")="",ISNUMBER(SEARCH($AS$63:$AZ$63,IFERROR(('Final Calculation Sheet'!$B$35)&amp;"","")))))&gt;0))))</f>
        <v>1</v>
      </c>
      <c r="BQ36">
        <f>IF($E$4="",1,--(AND(SUMPRODUCT(--($AS$64:$AZ$64&lt;&gt;""))&gt;0,IF(COUNTIF($BI$64:$BP$64,1)=0,TRUE,SUMPRODUCT(($BI$64:$BP$64=1)*($AS$64:$AZ$64&lt;&gt;"")*IF(((UPPER($AS$64:$AZ$64)="BLANK")+(UPPER($AS$64:$AZ$64)="(BLANK)")+(UPPER($AS$64:$AZ$64)="EMPTY")+(UPPER($AS$64:$AZ$64)="(EMPTY)"))&gt;0,IFERROR(('Final Calculation Sheet'!$D$35)&amp;"","")="",ISNUMBER(SEARCH($AS$64:$AZ$64,IFERROR(('Final Calculation Sheet'!$D$35)&amp;"","")))))&gt;0),IF(COUNTIF($BI$64:$BP$64,2)=0,TRUE,SUMPRODUCT(($BI$64:$BP$64=2)*($AS$64:$AZ$64&lt;&gt;"")*IF(((UPPER($AS$64:$AZ$64)="BLANK")+(UPPER($AS$64:$AZ$64)="(BLANK)")+(UPPER($AS$64:$AZ$64)="EMPTY")+(UPPER($AS$64:$AZ$64)="(EMPTY)"))&gt;0,IFERROR(('Final Calculation Sheet'!$D$35)&amp;"","")="",ISNUMBER(SEARCH($AS$64:$AZ$64,IFERROR(('Final Calculation Sheet'!$D$35)&amp;"","")))))&gt;0),IF(COUNTIF($BI$64:$BP$64,3)=0,TRUE,SUMPRODUCT(($BI$64:$BP$64=3)*($AS$64:$AZ$64&lt;&gt;"")*IF(((UPPER($AS$64:$AZ$64)="BLANK")+(UPPER($AS$64:$AZ$64)="(BLANK)")+(UPPER($AS$64:$AZ$64)="EMPTY")+(UPPER($AS$64:$AZ$64)="(EMPTY)"))&gt;0,IFERROR(('Final Calculation Sheet'!$D$35)&amp;"","")="",ISNUMBER(SEARCH($AS$64:$AZ$64,IFERROR(('Final Calculation Sheet'!$D$35)&amp;"","")))))&gt;0),IF(COUNTIF($BI$64:$BP$64,4)=0,TRUE,SUMPRODUCT(($BI$64:$BP$64=4)*($AS$64:$AZ$64&lt;&gt;"")*IF(((UPPER($AS$64:$AZ$64)="BLANK")+(UPPER($AS$64:$AZ$64)="(BLANK)")+(UPPER($AS$64:$AZ$64)="EMPTY")+(UPPER($AS$64:$AZ$64)="(EMPTY)"))&gt;0,IFERROR(('Final Calculation Sheet'!$D$35)&amp;"","")="",ISNUMBER(SEARCH($AS$64:$AZ$64,IFERROR(('Final Calculation Sheet'!$D$35)&amp;"","")))))&gt;0),IF(COUNTIF($BI$64:$BP$64,5)=0,TRUE,SUMPRODUCT(($BI$64:$BP$64=5)*($AS$64:$AZ$64&lt;&gt;"")*IF(((UPPER($AS$64:$AZ$64)="BLANK")+(UPPER($AS$64:$AZ$64)="(BLANK)")+(UPPER($AS$64:$AZ$64)="EMPTY")+(UPPER($AS$64:$AZ$64)="(EMPTY)"))&gt;0,IFERROR(('Final Calculation Sheet'!$D$35)&amp;"","")="",ISNUMBER(SEARCH($AS$64:$AZ$64,IFERROR(('Final Calculation Sheet'!$D$35)&amp;"","")))))&gt;0),IF(COUNTIF($BI$64:$BP$64,6)=0,TRUE,SUMPRODUCT(($BI$64:$BP$64=6)*($AS$64:$AZ$64&lt;&gt;"")*IF(((UPPER($AS$64:$AZ$64)="BLANK")+(UPPER($AS$64:$AZ$64)="(BLANK)")+(UPPER($AS$64:$AZ$64)="EMPTY")+(UPPER($AS$64:$AZ$64)="(EMPTY)"))&gt;0,IFERROR(('Final Calculation Sheet'!$D$35)&amp;"","")="",ISNUMBER(SEARCH($AS$64:$AZ$64,IFERROR(('Final Calculation Sheet'!$D$35)&amp;"","")))))&gt;0),IF(COUNTIF($BI$64:$BP$64,7)=0,TRUE,SUMPRODUCT(($BI$64:$BP$64=7)*($AS$64:$AZ$64&lt;&gt;"")*IF(((UPPER($AS$64:$AZ$64)="BLANK")+(UPPER($AS$64:$AZ$64)="(BLANK)")+(UPPER($AS$64:$AZ$64)="EMPTY")+(UPPER($AS$64:$AZ$64)="(EMPTY)"))&gt;0,IFERROR(('Final Calculation Sheet'!$D$35)&amp;"","")="",ISNUMBER(SEARCH($AS$64:$AZ$64,IFERROR(('Final Calculation Sheet'!$D$35)&amp;"","")))))&gt;0),IF(COUNTIF($BI$64:$BP$64,8)=0,TRUE,SUMPRODUCT(($BI$64:$BP$64=8)*($AS$64:$AZ$64&lt;&gt;"")*IF(((UPPER($AS$64:$AZ$64)="BLANK")+(UPPER($AS$64:$AZ$64)="(BLANK)")+(UPPER($AS$64:$AZ$64)="EMPTY")+(UPPER($AS$64:$AZ$64)="(EMPTY)"))&gt;0,IFERROR(('Final Calculation Sheet'!$D$35)&amp;"","")="",ISNUMBER(SEARCH($AS$64:$AZ$64,IFERROR(('Final Calculation Sheet'!$D$35)&amp;"","")))))&gt;0))))</f>
        <v>1</v>
      </c>
      <c r="BR36">
        <f>IF($F$4="",1,--(AND(SUMPRODUCT(--($AS$65:$AZ$65&lt;&gt;""))&gt;0,IF(COUNTIF($BI$65:$BP$65,1)=0,TRUE,SUMPRODUCT(($BI$65:$BP$65=1)*($AS$65:$AZ$65&lt;&gt;"")*IF(((UPPER($AS$65:$AZ$65)="BLANK")+(UPPER($AS$65:$AZ$65)="(BLANK)")+(UPPER($AS$65:$AZ$65)="EMPTY")+(UPPER($AS$65:$AZ$65)="(EMPTY)"))&gt;0,IFERROR(('Final Calculation Sheet'!$A$35)&amp;"","")="",ISNUMBER(SEARCH($AS$65:$AZ$65,IFERROR(('Final Calculation Sheet'!$A$35)&amp;"","")))))&gt;0),IF(COUNTIF($BI$65:$BP$65,2)=0,TRUE,SUMPRODUCT(($BI$65:$BP$65=2)*($AS$65:$AZ$65&lt;&gt;"")*IF(((UPPER($AS$65:$AZ$65)="BLANK")+(UPPER($AS$65:$AZ$65)="(BLANK)")+(UPPER($AS$65:$AZ$65)="EMPTY")+(UPPER($AS$65:$AZ$65)="(EMPTY)"))&gt;0,IFERROR(('Final Calculation Sheet'!$A$35)&amp;"","")="",ISNUMBER(SEARCH($AS$65:$AZ$65,IFERROR(('Final Calculation Sheet'!$A$35)&amp;"","")))))&gt;0),IF(COUNTIF($BI$65:$BP$65,3)=0,TRUE,SUMPRODUCT(($BI$65:$BP$65=3)*($AS$65:$AZ$65&lt;&gt;"")*IF(((UPPER($AS$65:$AZ$65)="BLANK")+(UPPER($AS$65:$AZ$65)="(BLANK)")+(UPPER($AS$65:$AZ$65)="EMPTY")+(UPPER($AS$65:$AZ$65)="(EMPTY)"))&gt;0,IFERROR(('Final Calculation Sheet'!$A$35)&amp;"","")="",ISNUMBER(SEARCH($AS$65:$AZ$65,IFERROR(('Final Calculation Sheet'!$A$35)&amp;"","")))))&gt;0),IF(COUNTIF($BI$65:$BP$65,4)=0,TRUE,SUMPRODUCT(($BI$65:$BP$65=4)*($AS$65:$AZ$65&lt;&gt;"")*IF(((UPPER($AS$65:$AZ$65)="BLANK")+(UPPER($AS$65:$AZ$65)="(BLANK)")+(UPPER($AS$65:$AZ$65)="EMPTY")+(UPPER($AS$65:$AZ$65)="(EMPTY)"))&gt;0,IFERROR(('Final Calculation Sheet'!$A$35)&amp;"","")="",ISNUMBER(SEARCH($AS$65:$AZ$65,IFERROR(('Final Calculation Sheet'!$A$35)&amp;"","")))))&gt;0),IF(COUNTIF($BI$65:$BP$65,5)=0,TRUE,SUMPRODUCT(($BI$65:$BP$65=5)*($AS$65:$AZ$65&lt;&gt;"")*IF(((UPPER($AS$65:$AZ$65)="BLANK")+(UPPER($AS$65:$AZ$65)="(BLANK)")+(UPPER($AS$65:$AZ$65)="EMPTY")+(UPPER($AS$65:$AZ$65)="(EMPTY)"))&gt;0,IFERROR(('Final Calculation Sheet'!$A$35)&amp;"","")="",ISNUMBER(SEARCH($AS$65:$AZ$65,IFERROR(('Final Calculation Sheet'!$A$35)&amp;"","")))))&gt;0),IF(COUNTIF($BI$65:$BP$65,6)=0,TRUE,SUMPRODUCT(($BI$65:$BP$65=6)*($AS$65:$AZ$65&lt;&gt;"")*IF(((UPPER($AS$65:$AZ$65)="BLANK")+(UPPER($AS$65:$AZ$65)="(BLANK)")+(UPPER($AS$65:$AZ$65)="EMPTY")+(UPPER($AS$65:$AZ$65)="(EMPTY)"))&gt;0,IFERROR(('Final Calculation Sheet'!$A$35)&amp;"","")="",ISNUMBER(SEARCH($AS$65:$AZ$65,IFERROR(('Final Calculation Sheet'!$A$35)&amp;"","")))))&gt;0),IF(COUNTIF($BI$65:$BP$65,7)=0,TRUE,SUMPRODUCT(($BI$65:$BP$65=7)*($AS$65:$AZ$65&lt;&gt;"")*IF(((UPPER($AS$65:$AZ$65)="BLANK")+(UPPER($AS$65:$AZ$65)="(BLANK)")+(UPPER($AS$65:$AZ$65)="EMPTY")+(UPPER($AS$65:$AZ$65)="(EMPTY)"))&gt;0,IFERROR(('Final Calculation Sheet'!$A$35)&amp;"","")="",ISNUMBER(SEARCH($AS$65:$AZ$65,IFERROR(('Final Calculation Sheet'!$A$35)&amp;"","")))))&gt;0),IF(COUNTIF($BI$65:$BP$65,8)=0,TRUE,SUMPRODUCT(($BI$65:$BP$65=8)*($AS$65:$AZ$65&lt;&gt;"")*IF(((UPPER($AS$65:$AZ$65)="BLANK")+(UPPER($AS$65:$AZ$65)="(BLANK)")+(UPPER($AS$65:$AZ$65)="EMPTY")+(UPPER($AS$65:$AZ$65)="(EMPTY)"))&gt;0,IFERROR(('Final Calculation Sheet'!$A$35)&amp;"","")="",ISNUMBER(SEARCH($AS$65:$AZ$65,IFERROR(('Final Calculation Sheet'!$A$35)&amp;"","")))))&gt;0))))</f>
        <v>1</v>
      </c>
      <c r="BS36">
        <f>IF($G$4="",1,--(AND(SUMPRODUCT(--($AS$66:$AZ$66&lt;&gt;""))&gt;0,IF(COUNTIF($BI$66:$BP$66,1)=0,TRUE,SUMPRODUCT(($BI$66:$BP$66=1)*($AS$66:$AZ$66&lt;&gt;"")*IF(((UPPER($AS$66:$AZ$66)="BLANK")+(UPPER($AS$66:$AZ$66)="(BLANK)")+(UPPER($AS$66:$AZ$66)="EMPTY")+(UPPER($AS$66:$AZ$66)="(EMPTY)"))&gt;0,IFERROR(('Final Calculation Sheet'!$E$35)&amp;"","")="",ISNUMBER(SEARCH($AS$66:$AZ$66,IFERROR(('Final Calculation Sheet'!$E$35)&amp;"","")))))&gt;0),IF(COUNTIF($BI$66:$BP$66,2)=0,TRUE,SUMPRODUCT(($BI$66:$BP$66=2)*($AS$66:$AZ$66&lt;&gt;"")*IF(((UPPER($AS$66:$AZ$66)="BLANK")+(UPPER($AS$66:$AZ$66)="(BLANK)")+(UPPER($AS$66:$AZ$66)="EMPTY")+(UPPER($AS$66:$AZ$66)="(EMPTY)"))&gt;0,IFERROR(('Final Calculation Sheet'!$E$35)&amp;"","")="",ISNUMBER(SEARCH($AS$66:$AZ$66,IFERROR(('Final Calculation Sheet'!$E$35)&amp;"","")))))&gt;0),IF(COUNTIF($BI$66:$BP$66,3)=0,TRUE,SUMPRODUCT(($BI$66:$BP$66=3)*($AS$66:$AZ$66&lt;&gt;"")*IF(((UPPER($AS$66:$AZ$66)="BLANK")+(UPPER($AS$66:$AZ$66)="(BLANK)")+(UPPER($AS$66:$AZ$66)="EMPTY")+(UPPER($AS$66:$AZ$66)="(EMPTY)"))&gt;0,IFERROR(('Final Calculation Sheet'!$E$35)&amp;"","")="",ISNUMBER(SEARCH($AS$66:$AZ$66,IFERROR(('Final Calculation Sheet'!$E$35)&amp;"","")))))&gt;0),IF(COUNTIF($BI$66:$BP$66,4)=0,TRUE,SUMPRODUCT(($BI$66:$BP$66=4)*($AS$66:$AZ$66&lt;&gt;"")*IF(((UPPER($AS$66:$AZ$66)="BLANK")+(UPPER($AS$66:$AZ$66)="(BLANK)")+(UPPER($AS$66:$AZ$66)="EMPTY")+(UPPER($AS$66:$AZ$66)="(EMPTY)"))&gt;0,IFERROR(('Final Calculation Sheet'!$E$35)&amp;"","")="",ISNUMBER(SEARCH($AS$66:$AZ$66,IFERROR(('Final Calculation Sheet'!$E$35)&amp;"","")))))&gt;0),IF(COUNTIF($BI$66:$BP$66,5)=0,TRUE,SUMPRODUCT(($BI$66:$BP$66=5)*($AS$66:$AZ$66&lt;&gt;"")*IF(((UPPER($AS$66:$AZ$66)="BLANK")+(UPPER($AS$66:$AZ$66)="(BLANK)")+(UPPER($AS$66:$AZ$66)="EMPTY")+(UPPER($AS$66:$AZ$66)="(EMPTY)"))&gt;0,IFERROR(('Final Calculation Sheet'!$E$35)&amp;"","")="",ISNUMBER(SEARCH($AS$66:$AZ$66,IFERROR(('Final Calculation Sheet'!$E$35)&amp;"","")))))&gt;0),IF(COUNTIF($BI$66:$BP$66,6)=0,TRUE,SUMPRODUCT(($BI$66:$BP$66=6)*($AS$66:$AZ$66&lt;&gt;"")*IF(((UPPER($AS$66:$AZ$66)="BLANK")+(UPPER($AS$66:$AZ$66)="(BLANK)")+(UPPER($AS$66:$AZ$66)="EMPTY")+(UPPER($AS$66:$AZ$66)="(EMPTY)"))&gt;0,IFERROR(('Final Calculation Sheet'!$E$35)&amp;"","")="",ISNUMBER(SEARCH($AS$66:$AZ$66,IFERROR(('Final Calculation Sheet'!$E$35)&amp;"","")))))&gt;0),IF(COUNTIF($BI$66:$BP$66,7)=0,TRUE,SUMPRODUCT(($BI$66:$BP$66=7)*($AS$66:$AZ$66&lt;&gt;"")*IF(((UPPER($AS$66:$AZ$66)="BLANK")+(UPPER($AS$66:$AZ$66)="(BLANK)")+(UPPER($AS$66:$AZ$66)="EMPTY")+(UPPER($AS$66:$AZ$66)="(EMPTY)"))&gt;0,IFERROR(('Final Calculation Sheet'!$E$35)&amp;"","")="",ISNUMBER(SEARCH($AS$66:$AZ$66,IFERROR(('Final Calculation Sheet'!$E$35)&amp;"","")))))&gt;0),IF(COUNTIF($BI$66:$BP$66,8)=0,TRUE,SUMPRODUCT(($BI$66:$BP$66=8)*($AS$66:$AZ$66&lt;&gt;"")*IF(((UPPER($AS$66:$AZ$66)="BLANK")+(UPPER($AS$66:$AZ$66)="(BLANK)")+(UPPER($AS$66:$AZ$66)="EMPTY")+(UPPER($AS$66:$AZ$66)="(EMPTY)"))&gt;0,IFERROR(('Final Calculation Sheet'!$E$35)&amp;"","")="",ISNUMBER(SEARCH($AS$66:$AZ$66,IFERROR(('Final Calculation Sheet'!$E$35)&amp;"","")))))&gt;0))))</f>
        <v>1</v>
      </c>
      <c r="BT36">
        <f>IF($H$4="",1,--(AND(SUMPRODUCT(--($AS$67:$AZ$67&lt;&gt;""))&gt;0,IF(COUNTIF($BI$67:$BP$67,1)=0,TRUE,SUMPRODUCT(($BI$67:$BP$67=1)*($AS$67:$AZ$67&lt;&gt;"")*IF(((UPPER($AS$67:$AZ$67)="BLANK")+(UPPER($AS$67:$AZ$67)="(BLANK)")+(UPPER($AS$67:$AZ$67)="EMPTY")+(UPPER($AS$67:$AZ$67)="(EMPTY)"))&gt;0,IFERROR(('Final Calculation Sheet'!$C$35)&amp;"","")="",ISNUMBER(SEARCH($AS$67:$AZ$67,IFERROR(('Final Calculation Sheet'!$C$35)&amp;"","")))))&gt;0),IF(COUNTIF($BI$67:$BP$67,2)=0,TRUE,SUMPRODUCT(($BI$67:$BP$67=2)*($AS$67:$AZ$67&lt;&gt;"")*IF(((UPPER($AS$67:$AZ$67)="BLANK")+(UPPER($AS$67:$AZ$67)="(BLANK)")+(UPPER($AS$67:$AZ$67)="EMPTY")+(UPPER($AS$67:$AZ$67)="(EMPTY)"))&gt;0,IFERROR(('Final Calculation Sheet'!$C$35)&amp;"","")="",ISNUMBER(SEARCH($AS$67:$AZ$67,IFERROR(('Final Calculation Sheet'!$C$35)&amp;"","")))))&gt;0),IF(COUNTIF($BI$67:$BP$67,3)=0,TRUE,SUMPRODUCT(($BI$67:$BP$67=3)*($AS$67:$AZ$67&lt;&gt;"")*IF(((UPPER($AS$67:$AZ$67)="BLANK")+(UPPER($AS$67:$AZ$67)="(BLANK)")+(UPPER($AS$67:$AZ$67)="EMPTY")+(UPPER($AS$67:$AZ$67)="(EMPTY)"))&gt;0,IFERROR(('Final Calculation Sheet'!$C$35)&amp;"","")="",ISNUMBER(SEARCH($AS$67:$AZ$67,IFERROR(('Final Calculation Sheet'!$C$35)&amp;"","")))))&gt;0),IF(COUNTIF($BI$67:$BP$67,4)=0,TRUE,SUMPRODUCT(($BI$67:$BP$67=4)*($AS$67:$AZ$67&lt;&gt;"")*IF(((UPPER($AS$67:$AZ$67)="BLANK")+(UPPER($AS$67:$AZ$67)="(BLANK)")+(UPPER($AS$67:$AZ$67)="EMPTY")+(UPPER($AS$67:$AZ$67)="(EMPTY)"))&gt;0,IFERROR(('Final Calculation Sheet'!$C$35)&amp;"","")="",ISNUMBER(SEARCH($AS$67:$AZ$67,IFERROR(('Final Calculation Sheet'!$C$35)&amp;"","")))))&gt;0),IF(COUNTIF($BI$67:$BP$67,5)=0,TRUE,SUMPRODUCT(($BI$67:$BP$67=5)*($AS$67:$AZ$67&lt;&gt;"")*IF(((UPPER($AS$67:$AZ$67)="BLANK")+(UPPER($AS$67:$AZ$67)="(BLANK)")+(UPPER($AS$67:$AZ$67)="EMPTY")+(UPPER($AS$67:$AZ$67)="(EMPTY)"))&gt;0,IFERROR(('Final Calculation Sheet'!$C$35)&amp;"","")="",ISNUMBER(SEARCH($AS$67:$AZ$67,IFERROR(('Final Calculation Sheet'!$C$35)&amp;"","")))))&gt;0),IF(COUNTIF($BI$67:$BP$67,6)=0,TRUE,SUMPRODUCT(($BI$67:$BP$67=6)*($AS$67:$AZ$67&lt;&gt;"")*IF(((UPPER($AS$67:$AZ$67)="BLANK")+(UPPER($AS$67:$AZ$67)="(BLANK)")+(UPPER($AS$67:$AZ$67)="EMPTY")+(UPPER($AS$67:$AZ$67)="(EMPTY)"))&gt;0,IFERROR(('Final Calculation Sheet'!$C$35)&amp;"","")="",ISNUMBER(SEARCH($AS$67:$AZ$67,IFERROR(('Final Calculation Sheet'!$C$35)&amp;"","")))))&gt;0),IF(COUNTIF($BI$67:$BP$67,7)=0,TRUE,SUMPRODUCT(($BI$67:$BP$67=7)*($AS$67:$AZ$67&lt;&gt;"")*IF(((UPPER($AS$67:$AZ$67)="BLANK")+(UPPER($AS$67:$AZ$67)="(BLANK)")+(UPPER($AS$67:$AZ$67)="EMPTY")+(UPPER($AS$67:$AZ$67)="(EMPTY)"))&gt;0,IFERROR(('Final Calculation Sheet'!$C$35)&amp;"","")="",ISNUMBER(SEARCH($AS$67:$AZ$67,IFERROR(('Final Calculation Sheet'!$C$35)&amp;"","")))))&gt;0),IF(COUNTIF($BI$67:$BP$67,8)=0,TRUE,SUMPRODUCT(($BI$67:$BP$67=8)*($AS$67:$AZ$67&lt;&gt;"")*IF(((UPPER($AS$67:$AZ$67)="BLANK")+(UPPER($AS$67:$AZ$67)="(BLANK)")+(UPPER($AS$67:$AZ$67)="EMPTY")+(UPPER($AS$67:$AZ$67)="(EMPTY)"))&gt;0,IFERROR(('Final Calculation Sheet'!$C$35)&amp;"","")="",ISNUMBER(SEARCH($AS$67:$AZ$67,IFERROR(('Final Calculation Sheet'!$C$35)&amp;"","")))))&gt;0))))</f>
        <v>1</v>
      </c>
      <c r="BU36">
        <f>IF($I$4="",1,--(AND(SUMPRODUCT(--($AS$68:$AZ$68&lt;&gt;""))&gt;0,IF(COUNTIF($BI$68:$BP$68,1)=0,TRUE,SUMPRODUCT(($BI$68:$BP$68=1)*($AS$68:$AZ$68&lt;&gt;"")*IF(((UPPER($AS$68:$AZ$68)="BLANK")+(UPPER($AS$68:$AZ$68)="(BLANK)")+(UPPER($AS$68:$AZ$68)="EMPTY")+(UPPER($AS$68:$AZ$68)="(EMPTY)"))&gt;0,IFERROR(('Final Calculation Sheet'!$H$35)&amp;"","")="",ISNUMBER(SEARCH($AS$68:$AZ$68,IFERROR(('Final Calculation Sheet'!$H$35)&amp;"","")))))&gt;0),IF(COUNTIF($BI$68:$BP$68,2)=0,TRUE,SUMPRODUCT(($BI$68:$BP$68=2)*($AS$68:$AZ$68&lt;&gt;"")*IF(((UPPER($AS$68:$AZ$68)="BLANK")+(UPPER($AS$68:$AZ$68)="(BLANK)")+(UPPER($AS$68:$AZ$68)="EMPTY")+(UPPER($AS$68:$AZ$68)="(EMPTY)"))&gt;0,IFERROR(('Final Calculation Sheet'!$H$35)&amp;"","")="",ISNUMBER(SEARCH($AS$68:$AZ$68,IFERROR(('Final Calculation Sheet'!$H$35)&amp;"","")))))&gt;0),IF(COUNTIF($BI$68:$BP$68,3)=0,TRUE,SUMPRODUCT(($BI$68:$BP$68=3)*($AS$68:$AZ$68&lt;&gt;"")*IF(((UPPER($AS$68:$AZ$68)="BLANK")+(UPPER($AS$68:$AZ$68)="(BLANK)")+(UPPER($AS$68:$AZ$68)="EMPTY")+(UPPER($AS$68:$AZ$68)="(EMPTY)"))&gt;0,IFERROR(('Final Calculation Sheet'!$H$35)&amp;"","")="",ISNUMBER(SEARCH($AS$68:$AZ$68,IFERROR(('Final Calculation Sheet'!$H$35)&amp;"","")))))&gt;0),IF(COUNTIF($BI$68:$BP$68,4)=0,TRUE,SUMPRODUCT(($BI$68:$BP$68=4)*($AS$68:$AZ$68&lt;&gt;"")*IF(((UPPER($AS$68:$AZ$68)="BLANK")+(UPPER($AS$68:$AZ$68)="(BLANK)")+(UPPER($AS$68:$AZ$68)="EMPTY")+(UPPER($AS$68:$AZ$68)="(EMPTY)"))&gt;0,IFERROR(('Final Calculation Sheet'!$H$35)&amp;"","")="",ISNUMBER(SEARCH($AS$68:$AZ$68,IFERROR(('Final Calculation Sheet'!$H$35)&amp;"","")))))&gt;0),IF(COUNTIF($BI$68:$BP$68,5)=0,TRUE,SUMPRODUCT(($BI$68:$BP$68=5)*($AS$68:$AZ$68&lt;&gt;"")*IF(((UPPER($AS$68:$AZ$68)="BLANK")+(UPPER($AS$68:$AZ$68)="(BLANK)")+(UPPER($AS$68:$AZ$68)="EMPTY")+(UPPER($AS$68:$AZ$68)="(EMPTY)"))&gt;0,IFERROR(('Final Calculation Sheet'!$H$35)&amp;"","")="",ISNUMBER(SEARCH($AS$68:$AZ$68,IFERROR(('Final Calculation Sheet'!$H$35)&amp;"","")))))&gt;0),IF(COUNTIF($BI$68:$BP$68,6)=0,TRUE,SUMPRODUCT(($BI$68:$BP$68=6)*($AS$68:$AZ$68&lt;&gt;"")*IF(((UPPER($AS$68:$AZ$68)="BLANK")+(UPPER($AS$68:$AZ$68)="(BLANK)")+(UPPER($AS$68:$AZ$68)="EMPTY")+(UPPER($AS$68:$AZ$68)="(EMPTY)"))&gt;0,IFERROR(('Final Calculation Sheet'!$H$35)&amp;"","")="",ISNUMBER(SEARCH($AS$68:$AZ$68,IFERROR(('Final Calculation Sheet'!$H$35)&amp;"","")))))&gt;0),IF(COUNTIF($BI$68:$BP$68,7)=0,TRUE,SUMPRODUCT(($BI$68:$BP$68=7)*($AS$68:$AZ$68&lt;&gt;"")*IF(((UPPER($AS$68:$AZ$68)="BLANK")+(UPPER($AS$68:$AZ$68)="(BLANK)")+(UPPER($AS$68:$AZ$68)="EMPTY")+(UPPER($AS$68:$AZ$68)="(EMPTY)"))&gt;0,IFERROR(('Final Calculation Sheet'!$H$35)&amp;"","")="",ISNUMBER(SEARCH($AS$68:$AZ$68,IFERROR(('Final Calculation Sheet'!$H$35)&amp;"","")))))&gt;0),IF(COUNTIF($BI$68:$BP$68,8)=0,TRUE,SUMPRODUCT(($BI$68:$BP$68=8)*($AS$68:$AZ$68&lt;&gt;"")*IF(((UPPER($AS$68:$AZ$68)="BLANK")+(UPPER($AS$68:$AZ$68)="(BLANK)")+(UPPER($AS$68:$AZ$68)="EMPTY")+(UPPER($AS$68:$AZ$68)="(EMPTY)"))&gt;0,IFERROR(('Final Calculation Sheet'!$H$35)&amp;"","")="",ISNUMBER(SEARCH($AS$68:$AZ$68,IFERROR(('Final Calculation Sheet'!$H$35)&amp;"","")))))&gt;0))))</f>
        <v>1</v>
      </c>
      <c r="BV36">
        <f>IF($J$4="",1,--(AND(SUMPRODUCT(--($AS$69:$AZ$69&lt;&gt;""))&gt;0,IF(COUNTIF($BI$69:$BP$69,1)=0,TRUE,SUMPRODUCT(($BI$69:$BP$69=1)*($AS$69:$AZ$69&lt;&gt;"")*IF(((UPPER($AS$69:$AZ$69)="BLANK")+(UPPER($AS$69:$AZ$69)="(BLANK)")+(UPPER($AS$69:$AZ$69)="EMPTY")+(UPPER($AS$69:$AZ$69)="(EMPTY)"))&gt;0,IFERROR(('Final Calculation Sheet'!$I$35)&amp;"","")="",ISNUMBER(SEARCH($AS$69:$AZ$69,IFERROR(('Final Calculation Sheet'!$I$35)&amp;"","")))))&gt;0),IF(COUNTIF($BI$69:$BP$69,2)=0,TRUE,SUMPRODUCT(($BI$69:$BP$69=2)*($AS$69:$AZ$69&lt;&gt;"")*IF(((UPPER($AS$69:$AZ$69)="BLANK")+(UPPER($AS$69:$AZ$69)="(BLANK)")+(UPPER($AS$69:$AZ$69)="EMPTY")+(UPPER($AS$69:$AZ$69)="(EMPTY)"))&gt;0,IFERROR(('Final Calculation Sheet'!$I$35)&amp;"","")="",ISNUMBER(SEARCH($AS$69:$AZ$69,IFERROR(('Final Calculation Sheet'!$I$35)&amp;"","")))))&gt;0),IF(COUNTIF($BI$69:$BP$69,3)=0,TRUE,SUMPRODUCT(($BI$69:$BP$69=3)*($AS$69:$AZ$69&lt;&gt;"")*IF(((UPPER($AS$69:$AZ$69)="BLANK")+(UPPER($AS$69:$AZ$69)="(BLANK)")+(UPPER($AS$69:$AZ$69)="EMPTY")+(UPPER($AS$69:$AZ$69)="(EMPTY)"))&gt;0,IFERROR(('Final Calculation Sheet'!$I$35)&amp;"","")="",ISNUMBER(SEARCH($AS$69:$AZ$69,IFERROR(('Final Calculation Sheet'!$I$35)&amp;"","")))))&gt;0),IF(COUNTIF($BI$69:$BP$69,4)=0,TRUE,SUMPRODUCT(($BI$69:$BP$69=4)*($AS$69:$AZ$69&lt;&gt;"")*IF(((UPPER($AS$69:$AZ$69)="BLANK")+(UPPER($AS$69:$AZ$69)="(BLANK)")+(UPPER($AS$69:$AZ$69)="EMPTY")+(UPPER($AS$69:$AZ$69)="(EMPTY)"))&gt;0,IFERROR(('Final Calculation Sheet'!$I$35)&amp;"","")="",ISNUMBER(SEARCH($AS$69:$AZ$69,IFERROR(('Final Calculation Sheet'!$I$35)&amp;"","")))))&gt;0),IF(COUNTIF($BI$69:$BP$69,5)=0,TRUE,SUMPRODUCT(($BI$69:$BP$69=5)*($AS$69:$AZ$69&lt;&gt;"")*IF(((UPPER($AS$69:$AZ$69)="BLANK")+(UPPER($AS$69:$AZ$69)="(BLANK)")+(UPPER($AS$69:$AZ$69)="EMPTY")+(UPPER($AS$69:$AZ$69)="(EMPTY)"))&gt;0,IFERROR(('Final Calculation Sheet'!$I$35)&amp;"","")="",ISNUMBER(SEARCH($AS$69:$AZ$69,IFERROR(('Final Calculation Sheet'!$I$35)&amp;"","")))))&gt;0),IF(COUNTIF($BI$69:$BP$69,6)=0,TRUE,SUMPRODUCT(($BI$69:$BP$69=6)*($AS$69:$AZ$69&lt;&gt;"")*IF(((UPPER($AS$69:$AZ$69)="BLANK")+(UPPER($AS$69:$AZ$69)="(BLANK)")+(UPPER($AS$69:$AZ$69)="EMPTY")+(UPPER($AS$69:$AZ$69)="(EMPTY)"))&gt;0,IFERROR(('Final Calculation Sheet'!$I$35)&amp;"","")="",ISNUMBER(SEARCH($AS$69:$AZ$69,IFERROR(('Final Calculation Sheet'!$I$35)&amp;"","")))))&gt;0),IF(COUNTIF($BI$69:$BP$69,7)=0,TRUE,SUMPRODUCT(($BI$69:$BP$69=7)*($AS$69:$AZ$69&lt;&gt;"")*IF(((UPPER($AS$69:$AZ$69)="BLANK")+(UPPER($AS$69:$AZ$69)="(BLANK)")+(UPPER($AS$69:$AZ$69)="EMPTY")+(UPPER($AS$69:$AZ$69)="(EMPTY)"))&gt;0,IFERROR(('Final Calculation Sheet'!$I$35)&amp;"","")="",ISNUMBER(SEARCH($AS$69:$AZ$69,IFERROR(('Final Calculation Sheet'!$I$35)&amp;"","")))))&gt;0),IF(COUNTIF($BI$69:$BP$69,8)=0,TRUE,SUMPRODUCT(($BI$69:$BP$69=8)*($AS$69:$AZ$69&lt;&gt;"")*IF(((UPPER($AS$69:$AZ$69)="BLANK")+(UPPER($AS$69:$AZ$69)="(BLANK)")+(UPPER($AS$69:$AZ$69)="EMPTY")+(UPPER($AS$69:$AZ$69)="(EMPTY)"))&gt;0,IFERROR(('Final Calculation Sheet'!$I$35)&amp;"","")="",ISNUMBER(SEARCH($AS$69:$AZ$69,IFERROR(('Final Calculation Sheet'!$I$35)&amp;"","")))))&gt;0))))</f>
        <v>1</v>
      </c>
      <c r="BW36">
        <f>IF($K$4="",1,--(AND(SUMPRODUCT(--($AS$70:$AZ$70&lt;&gt;""))&gt;0,IF(COUNTIF($BI$70:$BP$70,1)=0,TRUE,SUMPRODUCT(($BI$70:$BP$70=1)*($AS$70:$AZ$70&lt;&gt;"")*IF(((UPPER($AS$70:$AZ$70)="BLANK")+(UPPER($AS$70:$AZ$70)="(BLANK)")+(UPPER($AS$70:$AZ$70)="EMPTY")+(UPPER($AS$70:$AZ$70)="(EMPTY)"))&gt;0,IFERROR(('Final Calculation Sheet'!$J$35)&amp;"","")="",ISNUMBER(SEARCH($AS$70:$AZ$70,IFERROR(('Final Calculation Sheet'!$J$35)&amp;"","")))))&gt;0),IF(COUNTIF($BI$70:$BP$70,2)=0,TRUE,SUMPRODUCT(($BI$70:$BP$70=2)*($AS$70:$AZ$70&lt;&gt;"")*IF(((UPPER($AS$70:$AZ$70)="BLANK")+(UPPER($AS$70:$AZ$70)="(BLANK)")+(UPPER($AS$70:$AZ$70)="EMPTY")+(UPPER($AS$70:$AZ$70)="(EMPTY)"))&gt;0,IFERROR(('Final Calculation Sheet'!$J$35)&amp;"","")="",ISNUMBER(SEARCH($AS$70:$AZ$70,IFERROR(('Final Calculation Sheet'!$J$35)&amp;"","")))))&gt;0),IF(COUNTIF($BI$70:$BP$70,3)=0,TRUE,SUMPRODUCT(($BI$70:$BP$70=3)*($AS$70:$AZ$70&lt;&gt;"")*IF(((UPPER($AS$70:$AZ$70)="BLANK")+(UPPER($AS$70:$AZ$70)="(BLANK)")+(UPPER($AS$70:$AZ$70)="EMPTY")+(UPPER($AS$70:$AZ$70)="(EMPTY)"))&gt;0,IFERROR(('Final Calculation Sheet'!$J$35)&amp;"","")="",ISNUMBER(SEARCH($AS$70:$AZ$70,IFERROR(('Final Calculation Sheet'!$J$35)&amp;"","")))))&gt;0),IF(COUNTIF($BI$70:$BP$70,4)=0,TRUE,SUMPRODUCT(($BI$70:$BP$70=4)*($AS$70:$AZ$70&lt;&gt;"")*IF(((UPPER($AS$70:$AZ$70)="BLANK")+(UPPER($AS$70:$AZ$70)="(BLANK)")+(UPPER($AS$70:$AZ$70)="EMPTY")+(UPPER($AS$70:$AZ$70)="(EMPTY)"))&gt;0,IFERROR(('Final Calculation Sheet'!$J$35)&amp;"","")="",ISNUMBER(SEARCH($AS$70:$AZ$70,IFERROR(('Final Calculation Sheet'!$J$35)&amp;"","")))))&gt;0),IF(COUNTIF($BI$70:$BP$70,5)=0,TRUE,SUMPRODUCT(($BI$70:$BP$70=5)*($AS$70:$AZ$70&lt;&gt;"")*IF(((UPPER($AS$70:$AZ$70)="BLANK")+(UPPER($AS$70:$AZ$70)="(BLANK)")+(UPPER($AS$70:$AZ$70)="EMPTY")+(UPPER($AS$70:$AZ$70)="(EMPTY)"))&gt;0,IFERROR(('Final Calculation Sheet'!$J$35)&amp;"","")="",ISNUMBER(SEARCH($AS$70:$AZ$70,IFERROR(('Final Calculation Sheet'!$J$35)&amp;"","")))))&gt;0),IF(COUNTIF($BI$70:$BP$70,6)=0,TRUE,SUMPRODUCT(($BI$70:$BP$70=6)*($AS$70:$AZ$70&lt;&gt;"")*IF(((UPPER($AS$70:$AZ$70)="BLANK")+(UPPER($AS$70:$AZ$70)="(BLANK)")+(UPPER($AS$70:$AZ$70)="EMPTY")+(UPPER($AS$70:$AZ$70)="(EMPTY)"))&gt;0,IFERROR(('Final Calculation Sheet'!$J$35)&amp;"","")="",ISNUMBER(SEARCH($AS$70:$AZ$70,IFERROR(('Final Calculation Sheet'!$J$35)&amp;"","")))))&gt;0),IF(COUNTIF($BI$70:$BP$70,7)=0,TRUE,SUMPRODUCT(($BI$70:$BP$70=7)*($AS$70:$AZ$70&lt;&gt;"")*IF(((UPPER($AS$70:$AZ$70)="BLANK")+(UPPER($AS$70:$AZ$70)="(BLANK)")+(UPPER($AS$70:$AZ$70)="EMPTY")+(UPPER($AS$70:$AZ$70)="(EMPTY)"))&gt;0,IFERROR(('Final Calculation Sheet'!$J$35)&amp;"","")="",ISNUMBER(SEARCH($AS$70:$AZ$70,IFERROR(('Final Calculation Sheet'!$J$35)&amp;"","")))))&gt;0),IF(COUNTIF($BI$70:$BP$70,8)=0,TRUE,SUMPRODUCT(($BI$70:$BP$70=8)*($AS$70:$AZ$70&lt;&gt;"")*IF(((UPPER($AS$70:$AZ$70)="BLANK")+(UPPER($AS$70:$AZ$70)="(BLANK)")+(UPPER($AS$70:$AZ$70)="EMPTY")+(UPPER($AS$70:$AZ$70)="(EMPTY)"))&gt;0,IFERROR(('Final Calculation Sheet'!$J$35)&amp;"","")="",ISNUMBER(SEARCH($AS$70:$AZ$70,IFERROR(('Final Calculation Sheet'!$J$35)&amp;"","")))))&gt;0))))</f>
        <v>1</v>
      </c>
      <c r="BX36">
        <f>IF($L$4="",1,--(AND(SUMPRODUCT(--($AS$71:$AZ$71&lt;&gt;""))&gt;0,IF(COUNTIF($BI$71:$BP$71,1)=0,TRUE,SUMPRODUCT(($BI$71:$BP$71=1)*($AS$71:$AZ$71&lt;&gt;"")*IF(((UPPER($AS$71:$AZ$71)="BLANK")+(UPPER($AS$71:$AZ$71)="(BLANK)")+(UPPER($AS$71:$AZ$71)="EMPTY")+(UPPER($AS$71:$AZ$71)="(EMPTY)"))&gt;0,IFERROR(('Final Calculation Sheet'!$K$35)&amp;"","")="",ISNUMBER(SEARCH($AS$71:$AZ$71,IFERROR(('Final Calculation Sheet'!$K$35)&amp;"","")))))&gt;0),IF(COUNTIF($BI$71:$BP$71,2)=0,TRUE,SUMPRODUCT(($BI$71:$BP$71=2)*($AS$71:$AZ$71&lt;&gt;"")*IF(((UPPER($AS$71:$AZ$71)="BLANK")+(UPPER($AS$71:$AZ$71)="(BLANK)")+(UPPER($AS$71:$AZ$71)="EMPTY")+(UPPER($AS$71:$AZ$71)="(EMPTY)"))&gt;0,IFERROR(('Final Calculation Sheet'!$K$35)&amp;"","")="",ISNUMBER(SEARCH($AS$71:$AZ$71,IFERROR(('Final Calculation Sheet'!$K$35)&amp;"","")))))&gt;0),IF(COUNTIF($BI$71:$BP$71,3)=0,TRUE,SUMPRODUCT(($BI$71:$BP$71=3)*($AS$71:$AZ$71&lt;&gt;"")*IF(((UPPER($AS$71:$AZ$71)="BLANK")+(UPPER($AS$71:$AZ$71)="(BLANK)")+(UPPER($AS$71:$AZ$71)="EMPTY")+(UPPER($AS$71:$AZ$71)="(EMPTY)"))&gt;0,IFERROR(('Final Calculation Sheet'!$K$35)&amp;"","")="",ISNUMBER(SEARCH($AS$71:$AZ$71,IFERROR(('Final Calculation Sheet'!$K$35)&amp;"","")))))&gt;0),IF(COUNTIF($BI$71:$BP$71,4)=0,TRUE,SUMPRODUCT(($BI$71:$BP$71=4)*($AS$71:$AZ$71&lt;&gt;"")*IF(((UPPER($AS$71:$AZ$71)="BLANK")+(UPPER($AS$71:$AZ$71)="(BLANK)")+(UPPER($AS$71:$AZ$71)="EMPTY")+(UPPER($AS$71:$AZ$71)="(EMPTY)"))&gt;0,IFERROR(('Final Calculation Sheet'!$K$35)&amp;"","")="",ISNUMBER(SEARCH($AS$71:$AZ$71,IFERROR(('Final Calculation Sheet'!$K$35)&amp;"","")))))&gt;0),IF(COUNTIF($BI$71:$BP$71,5)=0,TRUE,SUMPRODUCT(($BI$71:$BP$71=5)*($AS$71:$AZ$71&lt;&gt;"")*IF(((UPPER($AS$71:$AZ$71)="BLANK")+(UPPER($AS$71:$AZ$71)="(BLANK)")+(UPPER($AS$71:$AZ$71)="EMPTY")+(UPPER($AS$71:$AZ$71)="(EMPTY)"))&gt;0,IFERROR(('Final Calculation Sheet'!$K$35)&amp;"","")="",ISNUMBER(SEARCH($AS$71:$AZ$71,IFERROR(('Final Calculation Sheet'!$K$35)&amp;"","")))))&gt;0),IF(COUNTIF($BI$71:$BP$71,6)=0,TRUE,SUMPRODUCT(($BI$71:$BP$71=6)*($AS$71:$AZ$71&lt;&gt;"")*IF(((UPPER($AS$71:$AZ$71)="BLANK")+(UPPER($AS$71:$AZ$71)="(BLANK)")+(UPPER($AS$71:$AZ$71)="EMPTY")+(UPPER($AS$71:$AZ$71)="(EMPTY)"))&gt;0,IFERROR(('Final Calculation Sheet'!$K$35)&amp;"","")="",ISNUMBER(SEARCH($AS$71:$AZ$71,IFERROR(('Final Calculation Sheet'!$K$35)&amp;"","")))))&gt;0),IF(COUNTIF($BI$71:$BP$71,7)=0,TRUE,SUMPRODUCT(($BI$71:$BP$71=7)*($AS$71:$AZ$71&lt;&gt;"")*IF(((UPPER($AS$71:$AZ$71)="BLANK")+(UPPER($AS$71:$AZ$71)="(BLANK)")+(UPPER($AS$71:$AZ$71)="EMPTY")+(UPPER($AS$71:$AZ$71)="(EMPTY)"))&gt;0,IFERROR(('Final Calculation Sheet'!$K$35)&amp;"","")="",ISNUMBER(SEARCH($AS$71:$AZ$71,IFERROR(('Final Calculation Sheet'!$K$35)&amp;"","")))))&gt;0),IF(COUNTIF($BI$71:$BP$71,8)=0,TRUE,SUMPRODUCT(($BI$71:$BP$71=8)*($AS$71:$AZ$71&lt;&gt;"")*IF(((UPPER($AS$71:$AZ$71)="BLANK")+(UPPER($AS$71:$AZ$71)="(BLANK)")+(UPPER($AS$71:$AZ$71)="EMPTY")+(UPPER($AS$71:$AZ$71)="(EMPTY)"))&gt;0,IFERROR(('Final Calculation Sheet'!$K$35)&amp;"","")="",ISNUMBER(SEARCH($AS$71:$AZ$71,IFERROR(('Final Calculation Sheet'!$K$35)&amp;"","")))))&gt;0))))</f>
        <v>1</v>
      </c>
      <c r="BY36">
        <f>IF($M$4="",1,--(AND(SUMPRODUCT(--($AS$72:$AZ$72&lt;&gt;""))&gt;0,IF(COUNTIF($BI$72:$BP$72,1)=0,TRUE,SUMPRODUCT(($BI$72:$BP$72=1)*($AS$72:$AZ$72&lt;&gt;"")*IF(((UPPER($AS$72:$AZ$72)="BLANK")+(UPPER($AS$72:$AZ$72)="(BLANK)")+(UPPER($AS$72:$AZ$72)="EMPTY")+(UPPER($AS$72:$AZ$72)="(EMPTY)"))&gt;0,IFERROR(('Final Calculation Sheet'!$L$35)&amp;"","")="",ISNUMBER(SEARCH($AS$72:$AZ$72,IFERROR(('Final Calculation Sheet'!$L$35)&amp;"","")))))&gt;0),IF(COUNTIF($BI$72:$BP$72,2)=0,TRUE,SUMPRODUCT(($BI$72:$BP$72=2)*($AS$72:$AZ$72&lt;&gt;"")*IF(((UPPER($AS$72:$AZ$72)="BLANK")+(UPPER($AS$72:$AZ$72)="(BLANK)")+(UPPER($AS$72:$AZ$72)="EMPTY")+(UPPER($AS$72:$AZ$72)="(EMPTY)"))&gt;0,IFERROR(('Final Calculation Sheet'!$L$35)&amp;"","")="",ISNUMBER(SEARCH($AS$72:$AZ$72,IFERROR(('Final Calculation Sheet'!$L$35)&amp;"","")))))&gt;0),IF(COUNTIF($BI$72:$BP$72,3)=0,TRUE,SUMPRODUCT(($BI$72:$BP$72=3)*($AS$72:$AZ$72&lt;&gt;"")*IF(((UPPER($AS$72:$AZ$72)="BLANK")+(UPPER($AS$72:$AZ$72)="(BLANK)")+(UPPER($AS$72:$AZ$72)="EMPTY")+(UPPER($AS$72:$AZ$72)="(EMPTY)"))&gt;0,IFERROR(('Final Calculation Sheet'!$L$35)&amp;"","")="",ISNUMBER(SEARCH($AS$72:$AZ$72,IFERROR(('Final Calculation Sheet'!$L$35)&amp;"","")))))&gt;0),IF(COUNTIF($BI$72:$BP$72,4)=0,TRUE,SUMPRODUCT(($BI$72:$BP$72=4)*($AS$72:$AZ$72&lt;&gt;"")*IF(((UPPER($AS$72:$AZ$72)="BLANK")+(UPPER($AS$72:$AZ$72)="(BLANK)")+(UPPER($AS$72:$AZ$72)="EMPTY")+(UPPER($AS$72:$AZ$72)="(EMPTY)"))&gt;0,IFERROR(('Final Calculation Sheet'!$L$35)&amp;"","")="",ISNUMBER(SEARCH($AS$72:$AZ$72,IFERROR(('Final Calculation Sheet'!$L$35)&amp;"","")))))&gt;0),IF(COUNTIF($BI$72:$BP$72,5)=0,TRUE,SUMPRODUCT(($BI$72:$BP$72=5)*($AS$72:$AZ$72&lt;&gt;"")*IF(((UPPER($AS$72:$AZ$72)="BLANK")+(UPPER($AS$72:$AZ$72)="(BLANK)")+(UPPER($AS$72:$AZ$72)="EMPTY")+(UPPER($AS$72:$AZ$72)="(EMPTY)"))&gt;0,IFERROR(('Final Calculation Sheet'!$L$35)&amp;"","")="",ISNUMBER(SEARCH($AS$72:$AZ$72,IFERROR(('Final Calculation Sheet'!$L$35)&amp;"","")))))&gt;0),IF(COUNTIF($BI$72:$BP$72,6)=0,TRUE,SUMPRODUCT(($BI$72:$BP$72=6)*($AS$72:$AZ$72&lt;&gt;"")*IF(((UPPER($AS$72:$AZ$72)="BLANK")+(UPPER($AS$72:$AZ$72)="(BLANK)")+(UPPER($AS$72:$AZ$72)="EMPTY")+(UPPER($AS$72:$AZ$72)="(EMPTY)"))&gt;0,IFERROR(('Final Calculation Sheet'!$L$35)&amp;"","")="",ISNUMBER(SEARCH($AS$72:$AZ$72,IFERROR(('Final Calculation Sheet'!$L$35)&amp;"","")))))&gt;0),IF(COUNTIF($BI$72:$BP$72,7)=0,TRUE,SUMPRODUCT(($BI$72:$BP$72=7)*($AS$72:$AZ$72&lt;&gt;"")*IF(((UPPER($AS$72:$AZ$72)="BLANK")+(UPPER($AS$72:$AZ$72)="(BLANK)")+(UPPER($AS$72:$AZ$72)="EMPTY")+(UPPER($AS$72:$AZ$72)="(EMPTY)"))&gt;0,IFERROR(('Final Calculation Sheet'!$L$35)&amp;"","")="",ISNUMBER(SEARCH($AS$72:$AZ$72,IFERROR(('Final Calculation Sheet'!$L$35)&amp;"","")))))&gt;0),IF(COUNTIF($BI$72:$BP$72,8)=0,TRUE,SUMPRODUCT(($BI$72:$BP$72=8)*($AS$72:$AZ$72&lt;&gt;"")*IF(((UPPER($AS$72:$AZ$72)="BLANK")+(UPPER($AS$72:$AZ$72)="(BLANK)")+(UPPER($AS$72:$AZ$72)="EMPTY")+(UPPER($AS$72:$AZ$72)="(EMPTY)"))&gt;0,IFERROR(('Final Calculation Sheet'!$L$35)&amp;"","")="",ISNUMBER(SEARCH($AS$72:$AZ$72,IFERROR(('Final Calculation Sheet'!$L$35)&amp;"","")))))&gt;0))))</f>
        <v>1</v>
      </c>
      <c r="BZ36">
        <f>IF($N$4="",1,--(AND(SUMPRODUCT(--($AS$73:$AZ$73&lt;&gt;""))&gt;0,IF(COUNTIF($BI$73:$BP$73,1)=0,TRUE,SUMPRODUCT(($BI$73:$BP$73=1)*($AS$73:$AZ$73&lt;&gt;"")*IF(((UPPER($AS$73:$AZ$73)="BLANK")+(UPPER($AS$73:$AZ$73)="(BLANK)")+(UPPER($AS$73:$AZ$73)="EMPTY")+(UPPER($AS$73:$AZ$73)="(EMPTY)"))&gt;0,IFERROR(('Final Calculation Sheet'!$M$35)&amp;"","")="",ISNUMBER(SEARCH($AS$73:$AZ$73,IFERROR(('Final Calculation Sheet'!$M$35)&amp;"","")))))&gt;0),IF(COUNTIF($BI$73:$BP$73,2)=0,TRUE,SUMPRODUCT(($BI$73:$BP$73=2)*($AS$73:$AZ$73&lt;&gt;"")*IF(((UPPER($AS$73:$AZ$73)="BLANK")+(UPPER($AS$73:$AZ$73)="(BLANK)")+(UPPER($AS$73:$AZ$73)="EMPTY")+(UPPER($AS$73:$AZ$73)="(EMPTY)"))&gt;0,IFERROR(('Final Calculation Sheet'!$M$35)&amp;"","")="",ISNUMBER(SEARCH($AS$73:$AZ$73,IFERROR(('Final Calculation Sheet'!$M$35)&amp;"","")))))&gt;0),IF(COUNTIF($BI$73:$BP$73,3)=0,TRUE,SUMPRODUCT(($BI$73:$BP$73=3)*($AS$73:$AZ$73&lt;&gt;"")*IF(((UPPER($AS$73:$AZ$73)="BLANK")+(UPPER($AS$73:$AZ$73)="(BLANK)")+(UPPER($AS$73:$AZ$73)="EMPTY")+(UPPER($AS$73:$AZ$73)="(EMPTY)"))&gt;0,IFERROR(('Final Calculation Sheet'!$M$35)&amp;"","")="",ISNUMBER(SEARCH($AS$73:$AZ$73,IFERROR(('Final Calculation Sheet'!$M$35)&amp;"","")))))&gt;0),IF(COUNTIF($BI$73:$BP$73,4)=0,TRUE,SUMPRODUCT(($BI$73:$BP$73=4)*($AS$73:$AZ$73&lt;&gt;"")*IF(((UPPER($AS$73:$AZ$73)="BLANK")+(UPPER($AS$73:$AZ$73)="(BLANK)")+(UPPER($AS$73:$AZ$73)="EMPTY")+(UPPER($AS$73:$AZ$73)="(EMPTY)"))&gt;0,IFERROR(('Final Calculation Sheet'!$M$35)&amp;"","")="",ISNUMBER(SEARCH($AS$73:$AZ$73,IFERROR(('Final Calculation Sheet'!$M$35)&amp;"","")))))&gt;0),IF(COUNTIF($BI$73:$BP$73,5)=0,TRUE,SUMPRODUCT(($BI$73:$BP$73=5)*($AS$73:$AZ$73&lt;&gt;"")*IF(((UPPER($AS$73:$AZ$73)="BLANK")+(UPPER($AS$73:$AZ$73)="(BLANK)")+(UPPER($AS$73:$AZ$73)="EMPTY")+(UPPER($AS$73:$AZ$73)="(EMPTY)"))&gt;0,IFERROR(('Final Calculation Sheet'!$M$35)&amp;"","")="",ISNUMBER(SEARCH($AS$73:$AZ$73,IFERROR(('Final Calculation Sheet'!$M$35)&amp;"","")))))&gt;0),IF(COUNTIF($BI$73:$BP$73,6)=0,TRUE,SUMPRODUCT(($BI$73:$BP$73=6)*($AS$73:$AZ$73&lt;&gt;"")*IF(((UPPER($AS$73:$AZ$73)="BLANK")+(UPPER($AS$73:$AZ$73)="(BLANK)")+(UPPER($AS$73:$AZ$73)="EMPTY")+(UPPER($AS$73:$AZ$73)="(EMPTY)"))&gt;0,IFERROR(('Final Calculation Sheet'!$M$35)&amp;"","")="",ISNUMBER(SEARCH($AS$73:$AZ$73,IFERROR(('Final Calculation Sheet'!$M$35)&amp;"","")))))&gt;0),IF(COUNTIF($BI$73:$BP$73,7)=0,TRUE,SUMPRODUCT(($BI$73:$BP$73=7)*($AS$73:$AZ$73&lt;&gt;"")*IF(((UPPER($AS$73:$AZ$73)="BLANK")+(UPPER($AS$73:$AZ$73)="(BLANK)")+(UPPER($AS$73:$AZ$73)="EMPTY")+(UPPER($AS$73:$AZ$73)="(EMPTY)"))&gt;0,IFERROR(('Final Calculation Sheet'!$M$35)&amp;"","")="",ISNUMBER(SEARCH($AS$73:$AZ$73,IFERROR(('Final Calculation Sheet'!$M$35)&amp;"","")))))&gt;0),IF(COUNTIF($BI$73:$BP$73,8)=0,TRUE,SUMPRODUCT(($BI$73:$BP$73=8)*($AS$73:$AZ$73&lt;&gt;"")*IF(((UPPER($AS$73:$AZ$73)="BLANK")+(UPPER($AS$73:$AZ$73)="(BLANK)")+(UPPER($AS$73:$AZ$73)="EMPTY")+(UPPER($AS$73:$AZ$73)="(EMPTY)"))&gt;0,IFERROR(('Final Calculation Sheet'!$M$35)&amp;"","")="",ISNUMBER(SEARCH($AS$73:$AZ$73,IFERROR(('Final Calculation Sheet'!$M$35)&amp;"","")))))&gt;0))))</f>
        <v>1</v>
      </c>
      <c r="CA36">
        <f>IF($O$4="",1,--(AND(SUMPRODUCT(--($AS$74:$AZ$74&lt;&gt;""))&gt;0,IF(COUNTIF($BI$74:$BP$74,1)=0,TRUE,SUMPRODUCT(($BI$74:$BP$74=1)*($AS$74:$AZ$74&lt;&gt;"")*IF(((UPPER($AS$74:$AZ$74)="BLANK")+(UPPER($AS$74:$AZ$74)="(BLANK)")+(UPPER($AS$74:$AZ$74)="EMPTY")+(UPPER($AS$74:$AZ$74)="(EMPTY)"))&gt;0,IFERROR(('Final Calculation Sheet'!$N$35)&amp;"","")="",ISNUMBER(SEARCH($AS$74:$AZ$74,IFERROR(('Final Calculation Sheet'!$N$35)&amp;"","")))))&gt;0),IF(COUNTIF($BI$74:$BP$74,2)=0,TRUE,SUMPRODUCT(($BI$74:$BP$74=2)*($AS$74:$AZ$74&lt;&gt;"")*IF(((UPPER($AS$74:$AZ$74)="BLANK")+(UPPER($AS$74:$AZ$74)="(BLANK)")+(UPPER($AS$74:$AZ$74)="EMPTY")+(UPPER($AS$74:$AZ$74)="(EMPTY)"))&gt;0,IFERROR(('Final Calculation Sheet'!$N$35)&amp;"","")="",ISNUMBER(SEARCH($AS$74:$AZ$74,IFERROR(('Final Calculation Sheet'!$N$35)&amp;"","")))))&gt;0),IF(COUNTIF($BI$74:$BP$74,3)=0,TRUE,SUMPRODUCT(($BI$74:$BP$74=3)*($AS$74:$AZ$74&lt;&gt;"")*IF(((UPPER($AS$74:$AZ$74)="BLANK")+(UPPER($AS$74:$AZ$74)="(BLANK)")+(UPPER($AS$74:$AZ$74)="EMPTY")+(UPPER($AS$74:$AZ$74)="(EMPTY)"))&gt;0,IFERROR(('Final Calculation Sheet'!$N$35)&amp;"","")="",ISNUMBER(SEARCH($AS$74:$AZ$74,IFERROR(('Final Calculation Sheet'!$N$35)&amp;"","")))))&gt;0),IF(COUNTIF($BI$74:$BP$74,4)=0,TRUE,SUMPRODUCT(($BI$74:$BP$74=4)*($AS$74:$AZ$74&lt;&gt;"")*IF(((UPPER($AS$74:$AZ$74)="BLANK")+(UPPER($AS$74:$AZ$74)="(BLANK)")+(UPPER($AS$74:$AZ$74)="EMPTY")+(UPPER($AS$74:$AZ$74)="(EMPTY)"))&gt;0,IFERROR(('Final Calculation Sheet'!$N$35)&amp;"","")="",ISNUMBER(SEARCH($AS$74:$AZ$74,IFERROR(('Final Calculation Sheet'!$N$35)&amp;"","")))))&gt;0),IF(COUNTIF($BI$74:$BP$74,5)=0,TRUE,SUMPRODUCT(($BI$74:$BP$74=5)*($AS$74:$AZ$74&lt;&gt;"")*IF(((UPPER($AS$74:$AZ$74)="BLANK")+(UPPER($AS$74:$AZ$74)="(BLANK)")+(UPPER($AS$74:$AZ$74)="EMPTY")+(UPPER($AS$74:$AZ$74)="(EMPTY)"))&gt;0,IFERROR(('Final Calculation Sheet'!$N$35)&amp;"","")="",ISNUMBER(SEARCH($AS$74:$AZ$74,IFERROR(('Final Calculation Sheet'!$N$35)&amp;"","")))))&gt;0),IF(COUNTIF($BI$74:$BP$74,6)=0,TRUE,SUMPRODUCT(($BI$74:$BP$74=6)*($AS$74:$AZ$74&lt;&gt;"")*IF(((UPPER($AS$74:$AZ$74)="BLANK")+(UPPER($AS$74:$AZ$74)="(BLANK)")+(UPPER($AS$74:$AZ$74)="EMPTY")+(UPPER($AS$74:$AZ$74)="(EMPTY)"))&gt;0,IFERROR(('Final Calculation Sheet'!$N$35)&amp;"","")="",ISNUMBER(SEARCH($AS$74:$AZ$74,IFERROR(('Final Calculation Sheet'!$N$35)&amp;"","")))))&gt;0),IF(COUNTIF($BI$74:$BP$74,7)=0,TRUE,SUMPRODUCT(($BI$74:$BP$74=7)*($AS$74:$AZ$74&lt;&gt;"")*IF(((UPPER($AS$74:$AZ$74)="BLANK")+(UPPER($AS$74:$AZ$74)="(BLANK)")+(UPPER($AS$74:$AZ$74)="EMPTY")+(UPPER($AS$74:$AZ$74)="(EMPTY)"))&gt;0,IFERROR(('Final Calculation Sheet'!$N$35)&amp;"","")="",ISNUMBER(SEARCH($AS$74:$AZ$74,IFERROR(('Final Calculation Sheet'!$N$35)&amp;"","")))))&gt;0),IF(COUNTIF($BI$74:$BP$74,8)=0,TRUE,SUMPRODUCT(($BI$74:$BP$74=8)*($AS$74:$AZ$74&lt;&gt;"")*IF(((UPPER($AS$74:$AZ$74)="BLANK")+(UPPER($AS$74:$AZ$74)="(BLANK)")+(UPPER($AS$74:$AZ$74)="EMPTY")+(UPPER($AS$74:$AZ$74)="(EMPTY)"))&gt;0,IFERROR(('Final Calculation Sheet'!$N$35)&amp;"","")="",ISNUMBER(SEARCH($AS$74:$AZ$74,IFERROR(('Final Calculation Sheet'!$N$35)&amp;"","")))))&gt;0))))</f>
        <v>1</v>
      </c>
      <c r="CB36">
        <f>IF($P$4="",1,--(AND(SUMPRODUCT(--($AS$75:$AZ$75&lt;&gt;""))&gt;0,IF(COUNTIF($BI$75:$BP$75,1)=0,TRUE,SUMPRODUCT(($BI$75:$BP$75=1)*($AS$75:$AZ$75&lt;&gt;"")*IF(((UPPER($AS$75:$AZ$75)="BLANK")+(UPPER($AS$75:$AZ$75)="(BLANK)")+(UPPER($AS$75:$AZ$75)="EMPTY")+(UPPER($AS$75:$AZ$75)="(EMPTY)"))&gt;0,IFERROR(('Final Calculation Sheet'!$O$35)&amp;"","")="",ISNUMBER(SEARCH($AS$75:$AZ$75,IFERROR(('Final Calculation Sheet'!$O$35)&amp;"","")))))&gt;0),IF(COUNTIF($BI$75:$BP$75,2)=0,TRUE,SUMPRODUCT(($BI$75:$BP$75=2)*($AS$75:$AZ$75&lt;&gt;"")*IF(((UPPER($AS$75:$AZ$75)="BLANK")+(UPPER($AS$75:$AZ$75)="(BLANK)")+(UPPER($AS$75:$AZ$75)="EMPTY")+(UPPER($AS$75:$AZ$75)="(EMPTY)"))&gt;0,IFERROR(('Final Calculation Sheet'!$O$35)&amp;"","")="",ISNUMBER(SEARCH($AS$75:$AZ$75,IFERROR(('Final Calculation Sheet'!$O$35)&amp;"","")))))&gt;0),IF(COUNTIF($BI$75:$BP$75,3)=0,TRUE,SUMPRODUCT(($BI$75:$BP$75=3)*($AS$75:$AZ$75&lt;&gt;"")*IF(((UPPER($AS$75:$AZ$75)="BLANK")+(UPPER($AS$75:$AZ$75)="(BLANK)")+(UPPER($AS$75:$AZ$75)="EMPTY")+(UPPER($AS$75:$AZ$75)="(EMPTY)"))&gt;0,IFERROR(('Final Calculation Sheet'!$O$35)&amp;"","")="",ISNUMBER(SEARCH($AS$75:$AZ$75,IFERROR(('Final Calculation Sheet'!$O$35)&amp;"","")))))&gt;0),IF(COUNTIF($BI$75:$BP$75,4)=0,TRUE,SUMPRODUCT(($BI$75:$BP$75=4)*($AS$75:$AZ$75&lt;&gt;"")*IF(((UPPER($AS$75:$AZ$75)="BLANK")+(UPPER($AS$75:$AZ$75)="(BLANK)")+(UPPER($AS$75:$AZ$75)="EMPTY")+(UPPER($AS$75:$AZ$75)="(EMPTY)"))&gt;0,IFERROR(('Final Calculation Sheet'!$O$35)&amp;"","")="",ISNUMBER(SEARCH($AS$75:$AZ$75,IFERROR(('Final Calculation Sheet'!$O$35)&amp;"","")))))&gt;0),IF(COUNTIF($BI$75:$BP$75,5)=0,TRUE,SUMPRODUCT(($BI$75:$BP$75=5)*($AS$75:$AZ$75&lt;&gt;"")*IF(((UPPER($AS$75:$AZ$75)="BLANK")+(UPPER($AS$75:$AZ$75)="(BLANK)")+(UPPER($AS$75:$AZ$75)="EMPTY")+(UPPER($AS$75:$AZ$75)="(EMPTY)"))&gt;0,IFERROR(('Final Calculation Sheet'!$O$35)&amp;"","")="",ISNUMBER(SEARCH($AS$75:$AZ$75,IFERROR(('Final Calculation Sheet'!$O$35)&amp;"","")))))&gt;0),IF(COUNTIF($BI$75:$BP$75,6)=0,TRUE,SUMPRODUCT(($BI$75:$BP$75=6)*($AS$75:$AZ$75&lt;&gt;"")*IF(((UPPER($AS$75:$AZ$75)="BLANK")+(UPPER($AS$75:$AZ$75)="(BLANK)")+(UPPER($AS$75:$AZ$75)="EMPTY")+(UPPER($AS$75:$AZ$75)="(EMPTY)"))&gt;0,IFERROR(('Final Calculation Sheet'!$O$35)&amp;"","")="",ISNUMBER(SEARCH($AS$75:$AZ$75,IFERROR(('Final Calculation Sheet'!$O$35)&amp;"","")))))&gt;0),IF(COUNTIF($BI$75:$BP$75,7)=0,TRUE,SUMPRODUCT(($BI$75:$BP$75=7)*($AS$75:$AZ$75&lt;&gt;"")*IF(((UPPER($AS$75:$AZ$75)="BLANK")+(UPPER($AS$75:$AZ$75)="(BLANK)")+(UPPER($AS$75:$AZ$75)="EMPTY")+(UPPER($AS$75:$AZ$75)="(EMPTY)"))&gt;0,IFERROR(('Final Calculation Sheet'!$O$35)&amp;"","")="",ISNUMBER(SEARCH($AS$75:$AZ$75,IFERROR(('Final Calculation Sheet'!$O$35)&amp;"","")))))&gt;0),IF(COUNTIF($BI$75:$BP$75,8)=0,TRUE,SUMPRODUCT(($BI$75:$BP$75=8)*($AS$75:$AZ$75&lt;&gt;"")*IF(((UPPER($AS$75:$AZ$75)="BLANK")+(UPPER($AS$75:$AZ$75)="(BLANK)")+(UPPER($AS$75:$AZ$75)="EMPTY")+(UPPER($AS$75:$AZ$75)="(EMPTY)"))&gt;0,IFERROR(('Final Calculation Sheet'!$O$35)&amp;"","")="",ISNUMBER(SEARCH($AS$75:$AZ$75,IFERROR(('Final Calculation Sheet'!$O$35)&amp;"","")))))&gt;0))))</f>
        <v>1</v>
      </c>
      <c r="CC36">
        <f>IF($Q$4="",1,--(AND(SUMPRODUCT(--($AS$76:$AZ$76&lt;&gt;""))&gt;0,IF(COUNTIF($BI$76:$BP$76,1)=0,TRUE,SUMPRODUCT(($BI$76:$BP$76=1)*($AS$76:$AZ$76&lt;&gt;"")*IF(((UPPER($AS$76:$AZ$76)="BLANK")+(UPPER($AS$76:$AZ$76)="(BLANK)")+(UPPER($AS$76:$AZ$76)="EMPTY")+(UPPER($AS$76:$AZ$76)="(EMPTY)"))&gt;0,IFERROR(('Final Calculation Sheet'!$P$35)&amp;"","")="",ISNUMBER(SEARCH($AS$76:$AZ$76,IFERROR(('Final Calculation Sheet'!$P$35)&amp;"","")))))&gt;0),IF(COUNTIF($BI$76:$BP$76,2)=0,TRUE,SUMPRODUCT(($BI$76:$BP$76=2)*($AS$76:$AZ$76&lt;&gt;"")*IF(((UPPER($AS$76:$AZ$76)="BLANK")+(UPPER($AS$76:$AZ$76)="(BLANK)")+(UPPER($AS$76:$AZ$76)="EMPTY")+(UPPER($AS$76:$AZ$76)="(EMPTY)"))&gt;0,IFERROR(('Final Calculation Sheet'!$P$35)&amp;"","")="",ISNUMBER(SEARCH($AS$76:$AZ$76,IFERROR(('Final Calculation Sheet'!$P$35)&amp;"","")))))&gt;0),IF(COUNTIF($BI$76:$BP$76,3)=0,TRUE,SUMPRODUCT(($BI$76:$BP$76=3)*($AS$76:$AZ$76&lt;&gt;"")*IF(((UPPER($AS$76:$AZ$76)="BLANK")+(UPPER($AS$76:$AZ$76)="(BLANK)")+(UPPER($AS$76:$AZ$76)="EMPTY")+(UPPER($AS$76:$AZ$76)="(EMPTY)"))&gt;0,IFERROR(('Final Calculation Sheet'!$P$35)&amp;"","")="",ISNUMBER(SEARCH($AS$76:$AZ$76,IFERROR(('Final Calculation Sheet'!$P$35)&amp;"","")))))&gt;0),IF(COUNTIF($BI$76:$BP$76,4)=0,TRUE,SUMPRODUCT(($BI$76:$BP$76=4)*($AS$76:$AZ$76&lt;&gt;"")*IF(((UPPER($AS$76:$AZ$76)="BLANK")+(UPPER($AS$76:$AZ$76)="(BLANK)")+(UPPER($AS$76:$AZ$76)="EMPTY")+(UPPER($AS$76:$AZ$76)="(EMPTY)"))&gt;0,IFERROR(('Final Calculation Sheet'!$P$35)&amp;"","")="",ISNUMBER(SEARCH($AS$76:$AZ$76,IFERROR(('Final Calculation Sheet'!$P$35)&amp;"","")))))&gt;0),IF(COUNTIF($BI$76:$BP$76,5)=0,TRUE,SUMPRODUCT(($BI$76:$BP$76=5)*($AS$76:$AZ$76&lt;&gt;"")*IF(((UPPER($AS$76:$AZ$76)="BLANK")+(UPPER($AS$76:$AZ$76)="(BLANK)")+(UPPER($AS$76:$AZ$76)="EMPTY")+(UPPER($AS$76:$AZ$76)="(EMPTY)"))&gt;0,IFERROR(('Final Calculation Sheet'!$P$35)&amp;"","")="",ISNUMBER(SEARCH($AS$76:$AZ$76,IFERROR(('Final Calculation Sheet'!$P$35)&amp;"","")))))&gt;0),IF(COUNTIF($BI$76:$BP$76,6)=0,TRUE,SUMPRODUCT(($BI$76:$BP$76=6)*($AS$76:$AZ$76&lt;&gt;"")*IF(((UPPER($AS$76:$AZ$76)="BLANK")+(UPPER($AS$76:$AZ$76)="(BLANK)")+(UPPER($AS$76:$AZ$76)="EMPTY")+(UPPER($AS$76:$AZ$76)="(EMPTY)"))&gt;0,IFERROR(('Final Calculation Sheet'!$P$35)&amp;"","")="",ISNUMBER(SEARCH($AS$76:$AZ$76,IFERROR(('Final Calculation Sheet'!$P$35)&amp;"","")))))&gt;0),IF(COUNTIF($BI$76:$BP$76,7)=0,TRUE,SUMPRODUCT(($BI$76:$BP$76=7)*($AS$76:$AZ$76&lt;&gt;"")*IF(((UPPER($AS$76:$AZ$76)="BLANK")+(UPPER($AS$76:$AZ$76)="(BLANK)")+(UPPER($AS$76:$AZ$76)="EMPTY")+(UPPER($AS$76:$AZ$76)="(EMPTY)"))&gt;0,IFERROR(('Final Calculation Sheet'!$P$35)&amp;"","")="",ISNUMBER(SEARCH($AS$76:$AZ$76,IFERROR(('Final Calculation Sheet'!$P$35)&amp;"","")))))&gt;0),IF(COUNTIF($BI$76:$BP$76,8)=0,TRUE,SUMPRODUCT(($BI$76:$BP$76=8)*($AS$76:$AZ$76&lt;&gt;"")*IF(((UPPER($AS$76:$AZ$76)="BLANK")+(UPPER($AS$76:$AZ$76)="(BLANK)")+(UPPER($AS$76:$AZ$76)="EMPTY")+(UPPER($AS$76:$AZ$76)="(EMPTY)"))&gt;0,IFERROR(('Final Calculation Sheet'!$P$35)&amp;"","")="",ISNUMBER(SEARCH($AS$76:$AZ$76,IFERROR(('Final Calculation Sheet'!$P$35)&amp;"","")))))&gt;0))))</f>
        <v>1</v>
      </c>
      <c r="CD36">
        <f>IF($R$4="",1,--(AND(SUMPRODUCT(--($AS$77:$AZ$77&lt;&gt;""))&gt;0,IF(COUNTIF($BI$77:$BP$77,1)=0,TRUE,SUMPRODUCT(($BI$77:$BP$77=1)*($AS$77:$AZ$77&lt;&gt;"")*IF(((UPPER($AS$77:$AZ$77)="BLANK")+(UPPER($AS$77:$AZ$77)="(BLANK)")+(UPPER($AS$77:$AZ$77)="EMPTY")+(UPPER($AS$77:$AZ$77)="(EMPTY)"))&gt;0,IFERROR(('Final Calculation Sheet'!$Q$35)&amp;"","")="",ISNUMBER(SEARCH($AS$77:$AZ$77,IFERROR(('Final Calculation Sheet'!$Q$35)&amp;"","")))))&gt;0),IF(COUNTIF($BI$77:$BP$77,2)=0,TRUE,SUMPRODUCT(($BI$77:$BP$77=2)*($AS$77:$AZ$77&lt;&gt;"")*IF(((UPPER($AS$77:$AZ$77)="BLANK")+(UPPER($AS$77:$AZ$77)="(BLANK)")+(UPPER($AS$77:$AZ$77)="EMPTY")+(UPPER($AS$77:$AZ$77)="(EMPTY)"))&gt;0,IFERROR(('Final Calculation Sheet'!$Q$35)&amp;"","")="",ISNUMBER(SEARCH($AS$77:$AZ$77,IFERROR(('Final Calculation Sheet'!$Q$35)&amp;"","")))))&gt;0),IF(COUNTIF($BI$77:$BP$77,3)=0,TRUE,SUMPRODUCT(($BI$77:$BP$77=3)*($AS$77:$AZ$77&lt;&gt;"")*IF(((UPPER($AS$77:$AZ$77)="BLANK")+(UPPER($AS$77:$AZ$77)="(BLANK)")+(UPPER($AS$77:$AZ$77)="EMPTY")+(UPPER($AS$77:$AZ$77)="(EMPTY)"))&gt;0,IFERROR(('Final Calculation Sheet'!$Q$35)&amp;"","")="",ISNUMBER(SEARCH($AS$77:$AZ$77,IFERROR(('Final Calculation Sheet'!$Q$35)&amp;"","")))))&gt;0),IF(COUNTIF($BI$77:$BP$77,4)=0,TRUE,SUMPRODUCT(($BI$77:$BP$77=4)*($AS$77:$AZ$77&lt;&gt;"")*IF(((UPPER($AS$77:$AZ$77)="BLANK")+(UPPER($AS$77:$AZ$77)="(BLANK)")+(UPPER($AS$77:$AZ$77)="EMPTY")+(UPPER($AS$77:$AZ$77)="(EMPTY)"))&gt;0,IFERROR(('Final Calculation Sheet'!$Q$35)&amp;"","")="",ISNUMBER(SEARCH($AS$77:$AZ$77,IFERROR(('Final Calculation Sheet'!$Q$35)&amp;"","")))))&gt;0),IF(COUNTIF($BI$77:$BP$77,5)=0,TRUE,SUMPRODUCT(($BI$77:$BP$77=5)*($AS$77:$AZ$77&lt;&gt;"")*IF(((UPPER($AS$77:$AZ$77)="BLANK")+(UPPER($AS$77:$AZ$77)="(BLANK)")+(UPPER($AS$77:$AZ$77)="EMPTY")+(UPPER($AS$77:$AZ$77)="(EMPTY)"))&gt;0,IFERROR(('Final Calculation Sheet'!$Q$35)&amp;"","")="",ISNUMBER(SEARCH($AS$77:$AZ$77,IFERROR(('Final Calculation Sheet'!$Q$35)&amp;"","")))))&gt;0),IF(COUNTIF($BI$77:$BP$77,6)=0,TRUE,SUMPRODUCT(($BI$77:$BP$77=6)*($AS$77:$AZ$77&lt;&gt;"")*IF(((UPPER($AS$77:$AZ$77)="BLANK")+(UPPER($AS$77:$AZ$77)="(BLANK)")+(UPPER($AS$77:$AZ$77)="EMPTY")+(UPPER($AS$77:$AZ$77)="(EMPTY)"))&gt;0,IFERROR(('Final Calculation Sheet'!$Q$35)&amp;"","")="",ISNUMBER(SEARCH($AS$77:$AZ$77,IFERROR(('Final Calculation Sheet'!$Q$35)&amp;"","")))))&gt;0),IF(COUNTIF($BI$77:$BP$77,7)=0,TRUE,SUMPRODUCT(($BI$77:$BP$77=7)*($AS$77:$AZ$77&lt;&gt;"")*IF(((UPPER($AS$77:$AZ$77)="BLANK")+(UPPER($AS$77:$AZ$77)="(BLANK)")+(UPPER($AS$77:$AZ$77)="EMPTY")+(UPPER($AS$77:$AZ$77)="(EMPTY)"))&gt;0,IFERROR(('Final Calculation Sheet'!$Q$35)&amp;"","")="",ISNUMBER(SEARCH($AS$77:$AZ$77,IFERROR(('Final Calculation Sheet'!$Q$35)&amp;"","")))))&gt;0),IF(COUNTIF($BI$77:$BP$77,8)=0,TRUE,SUMPRODUCT(($BI$77:$BP$77=8)*($AS$77:$AZ$77&lt;&gt;"")*IF(((UPPER($AS$77:$AZ$77)="BLANK")+(UPPER($AS$77:$AZ$77)="(BLANK)")+(UPPER($AS$77:$AZ$77)="EMPTY")+(UPPER($AS$77:$AZ$77)="(EMPTY)"))&gt;0,IFERROR(('Final Calculation Sheet'!$Q$35)&amp;"","")="",ISNUMBER(SEARCH($AS$77:$AZ$77,IFERROR(('Final Calculation Sheet'!$Q$35)&amp;"","")))))&gt;0))))</f>
        <v>1</v>
      </c>
      <c r="CE36">
        <f>IF($S$4="",1,--(AND(SUMPRODUCT(--($AS$78:$AZ$78&lt;&gt;""))&gt;0,IF(COUNTIF($BI$78:$BP$78,1)=0,TRUE,SUMPRODUCT(($BI$78:$BP$78=1)*($AS$78:$AZ$78&lt;&gt;"")*IF(((UPPER($AS$78:$AZ$78)="BLANK")+(UPPER($AS$78:$AZ$78)="(BLANK)")+(UPPER($AS$78:$AZ$78)="EMPTY")+(UPPER($AS$78:$AZ$78)="(EMPTY)"))&gt;0,IFERROR(('Final Calculation Sheet'!$R$35)&amp;"","")="",ISNUMBER(SEARCH($AS$78:$AZ$78,IFERROR(('Final Calculation Sheet'!$R$35)&amp;"","")))))&gt;0),IF(COUNTIF($BI$78:$BP$78,2)=0,TRUE,SUMPRODUCT(($BI$78:$BP$78=2)*($AS$78:$AZ$78&lt;&gt;"")*IF(((UPPER($AS$78:$AZ$78)="BLANK")+(UPPER($AS$78:$AZ$78)="(BLANK)")+(UPPER($AS$78:$AZ$78)="EMPTY")+(UPPER($AS$78:$AZ$78)="(EMPTY)"))&gt;0,IFERROR(('Final Calculation Sheet'!$R$35)&amp;"","")="",ISNUMBER(SEARCH($AS$78:$AZ$78,IFERROR(('Final Calculation Sheet'!$R$35)&amp;"","")))))&gt;0),IF(COUNTIF($BI$78:$BP$78,3)=0,TRUE,SUMPRODUCT(($BI$78:$BP$78=3)*($AS$78:$AZ$78&lt;&gt;"")*IF(((UPPER($AS$78:$AZ$78)="BLANK")+(UPPER($AS$78:$AZ$78)="(BLANK)")+(UPPER($AS$78:$AZ$78)="EMPTY")+(UPPER($AS$78:$AZ$78)="(EMPTY)"))&gt;0,IFERROR(('Final Calculation Sheet'!$R$35)&amp;"","")="",ISNUMBER(SEARCH($AS$78:$AZ$78,IFERROR(('Final Calculation Sheet'!$R$35)&amp;"","")))))&gt;0),IF(COUNTIF($BI$78:$BP$78,4)=0,TRUE,SUMPRODUCT(($BI$78:$BP$78=4)*($AS$78:$AZ$78&lt;&gt;"")*IF(((UPPER($AS$78:$AZ$78)="BLANK")+(UPPER($AS$78:$AZ$78)="(BLANK)")+(UPPER($AS$78:$AZ$78)="EMPTY")+(UPPER($AS$78:$AZ$78)="(EMPTY)"))&gt;0,IFERROR(('Final Calculation Sheet'!$R$35)&amp;"","")="",ISNUMBER(SEARCH($AS$78:$AZ$78,IFERROR(('Final Calculation Sheet'!$R$35)&amp;"","")))))&gt;0),IF(COUNTIF($BI$78:$BP$78,5)=0,TRUE,SUMPRODUCT(($BI$78:$BP$78=5)*($AS$78:$AZ$78&lt;&gt;"")*IF(((UPPER($AS$78:$AZ$78)="BLANK")+(UPPER($AS$78:$AZ$78)="(BLANK)")+(UPPER($AS$78:$AZ$78)="EMPTY")+(UPPER($AS$78:$AZ$78)="(EMPTY)"))&gt;0,IFERROR(('Final Calculation Sheet'!$R$35)&amp;"","")="",ISNUMBER(SEARCH($AS$78:$AZ$78,IFERROR(('Final Calculation Sheet'!$R$35)&amp;"","")))))&gt;0),IF(COUNTIF($BI$78:$BP$78,6)=0,TRUE,SUMPRODUCT(($BI$78:$BP$78=6)*($AS$78:$AZ$78&lt;&gt;"")*IF(((UPPER($AS$78:$AZ$78)="BLANK")+(UPPER($AS$78:$AZ$78)="(BLANK)")+(UPPER($AS$78:$AZ$78)="EMPTY")+(UPPER($AS$78:$AZ$78)="(EMPTY)"))&gt;0,IFERROR(('Final Calculation Sheet'!$R$35)&amp;"","")="",ISNUMBER(SEARCH($AS$78:$AZ$78,IFERROR(('Final Calculation Sheet'!$R$35)&amp;"","")))))&gt;0),IF(COUNTIF($BI$78:$BP$78,7)=0,TRUE,SUMPRODUCT(($BI$78:$BP$78=7)*($AS$78:$AZ$78&lt;&gt;"")*IF(((UPPER($AS$78:$AZ$78)="BLANK")+(UPPER($AS$78:$AZ$78)="(BLANK)")+(UPPER($AS$78:$AZ$78)="EMPTY")+(UPPER($AS$78:$AZ$78)="(EMPTY)"))&gt;0,IFERROR(('Final Calculation Sheet'!$R$35)&amp;"","")="",ISNUMBER(SEARCH($AS$78:$AZ$78,IFERROR(('Final Calculation Sheet'!$R$35)&amp;"","")))))&gt;0),IF(COUNTIF($BI$78:$BP$78,8)=0,TRUE,SUMPRODUCT(($BI$78:$BP$78=8)*($AS$78:$AZ$78&lt;&gt;"")*IF(((UPPER($AS$78:$AZ$78)="BLANK")+(UPPER($AS$78:$AZ$78)="(BLANK)")+(UPPER($AS$78:$AZ$78)="EMPTY")+(UPPER($AS$78:$AZ$78)="(EMPTY)"))&gt;0,IFERROR(('Final Calculation Sheet'!$R$35)&amp;"","")="",ISNUMBER(SEARCH($AS$78:$AZ$78,IFERROR(('Final Calculation Sheet'!$R$35)&amp;"","")))))&gt;0))))</f>
        <v>1</v>
      </c>
      <c r="CF36">
        <f>IF($T$4="",1,--(AND(SUMPRODUCT(--($AS$79:$AZ$79&lt;&gt;""))&gt;0,IF(COUNTIF($BI$79:$BP$79,1)=0,TRUE,SUMPRODUCT(($BI$79:$BP$79=1)*($AS$79:$AZ$79&lt;&gt;"")*IF(((UPPER($AS$79:$AZ$79)="BLANK")+(UPPER($AS$79:$AZ$79)="(BLANK)")+(UPPER($AS$79:$AZ$79)="EMPTY")+(UPPER($AS$79:$AZ$79)="(EMPTY)"))&gt;0,IFERROR(('Final Calculation Sheet'!$S$35)&amp;"","")="",ISNUMBER(SEARCH($AS$79:$AZ$79,IFERROR(('Final Calculation Sheet'!$S$35)&amp;"","")))))&gt;0),IF(COUNTIF($BI$79:$BP$79,2)=0,TRUE,SUMPRODUCT(($BI$79:$BP$79=2)*($AS$79:$AZ$79&lt;&gt;"")*IF(((UPPER($AS$79:$AZ$79)="BLANK")+(UPPER($AS$79:$AZ$79)="(BLANK)")+(UPPER($AS$79:$AZ$79)="EMPTY")+(UPPER($AS$79:$AZ$79)="(EMPTY)"))&gt;0,IFERROR(('Final Calculation Sheet'!$S$35)&amp;"","")="",ISNUMBER(SEARCH($AS$79:$AZ$79,IFERROR(('Final Calculation Sheet'!$S$35)&amp;"","")))))&gt;0),IF(COUNTIF($BI$79:$BP$79,3)=0,TRUE,SUMPRODUCT(($BI$79:$BP$79=3)*($AS$79:$AZ$79&lt;&gt;"")*IF(((UPPER($AS$79:$AZ$79)="BLANK")+(UPPER($AS$79:$AZ$79)="(BLANK)")+(UPPER($AS$79:$AZ$79)="EMPTY")+(UPPER($AS$79:$AZ$79)="(EMPTY)"))&gt;0,IFERROR(('Final Calculation Sheet'!$S$35)&amp;"","")="",ISNUMBER(SEARCH($AS$79:$AZ$79,IFERROR(('Final Calculation Sheet'!$S$35)&amp;"","")))))&gt;0),IF(COUNTIF($BI$79:$BP$79,4)=0,TRUE,SUMPRODUCT(($BI$79:$BP$79=4)*($AS$79:$AZ$79&lt;&gt;"")*IF(((UPPER($AS$79:$AZ$79)="BLANK")+(UPPER($AS$79:$AZ$79)="(BLANK)")+(UPPER($AS$79:$AZ$79)="EMPTY")+(UPPER($AS$79:$AZ$79)="(EMPTY)"))&gt;0,IFERROR(('Final Calculation Sheet'!$S$35)&amp;"","")="",ISNUMBER(SEARCH($AS$79:$AZ$79,IFERROR(('Final Calculation Sheet'!$S$35)&amp;"","")))))&gt;0),IF(COUNTIF($BI$79:$BP$79,5)=0,TRUE,SUMPRODUCT(($BI$79:$BP$79=5)*($AS$79:$AZ$79&lt;&gt;"")*IF(((UPPER($AS$79:$AZ$79)="BLANK")+(UPPER($AS$79:$AZ$79)="(BLANK)")+(UPPER($AS$79:$AZ$79)="EMPTY")+(UPPER($AS$79:$AZ$79)="(EMPTY)"))&gt;0,IFERROR(('Final Calculation Sheet'!$S$35)&amp;"","")="",ISNUMBER(SEARCH($AS$79:$AZ$79,IFERROR(('Final Calculation Sheet'!$S$35)&amp;"","")))))&gt;0),IF(COUNTIF($BI$79:$BP$79,6)=0,TRUE,SUMPRODUCT(($BI$79:$BP$79=6)*($AS$79:$AZ$79&lt;&gt;"")*IF(((UPPER($AS$79:$AZ$79)="BLANK")+(UPPER($AS$79:$AZ$79)="(BLANK)")+(UPPER($AS$79:$AZ$79)="EMPTY")+(UPPER($AS$79:$AZ$79)="(EMPTY)"))&gt;0,IFERROR(('Final Calculation Sheet'!$S$35)&amp;"","")="",ISNUMBER(SEARCH($AS$79:$AZ$79,IFERROR(('Final Calculation Sheet'!$S$35)&amp;"","")))))&gt;0),IF(COUNTIF($BI$79:$BP$79,7)=0,TRUE,SUMPRODUCT(($BI$79:$BP$79=7)*($AS$79:$AZ$79&lt;&gt;"")*IF(((UPPER($AS$79:$AZ$79)="BLANK")+(UPPER($AS$79:$AZ$79)="(BLANK)")+(UPPER($AS$79:$AZ$79)="EMPTY")+(UPPER($AS$79:$AZ$79)="(EMPTY)"))&gt;0,IFERROR(('Final Calculation Sheet'!$S$35)&amp;"","")="",ISNUMBER(SEARCH($AS$79:$AZ$79,IFERROR(('Final Calculation Sheet'!$S$35)&amp;"","")))))&gt;0),IF(COUNTIF($BI$79:$BP$79,8)=0,TRUE,SUMPRODUCT(($BI$79:$BP$79=8)*($AS$79:$AZ$79&lt;&gt;"")*IF(((UPPER($AS$79:$AZ$79)="BLANK")+(UPPER($AS$79:$AZ$79)="(BLANK)")+(UPPER($AS$79:$AZ$79)="EMPTY")+(UPPER($AS$79:$AZ$79)="(EMPTY)"))&gt;0,IFERROR(('Final Calculation Sheet'!$S$35)&amp;"","")="",ISNUMBER(SEARCH($AS$79:$AZ$79,IFERROR(('Final Calculation Sheet'!$S$35)&amp;"","")))))&gt;0))))</f>
        <v>1</v>
      </c>
      <c r="CG36">
        <f>IF($U$4="",1,--(AND(SUMPRODUCT(--($AS$80:$AZ$80&lt;&gt;""))&gt;0,IF(COUNTIF($BI$80:$BP$80,1)=0,TRUE,SUMPRODUCT(($BI$80:$BP$80=1)*($AS$80:$AZ$80&lt;&gt;"")*IF(((UPPER($AS$80:$AZ$80)="BLANK")+(UPPER($AS$80:$AZ$80)="(BLANK)")+(UPPER($AS$80:$AZ$80)="EMPTY")+(UPPER($AS$80:$AZ$80)="(EMPTY)"))&gt;0,IFERROR(('Final Calculation Sheet'!$T$35)&amp;"","")="",ISNUMBER(SEARCH($AS$80:$AZ$80,IFERROR(('Final Calculation Sheet'!$T$35)&amp;"","")))))&gt;0),IF(COUNTIF($BI$80:$BP$80,2)=0,TRUE,SUMPRODUCT(($BI$80:$BP$80=2)*($AS$80:$AZ$80&lt;&gt;"")*IF(((UPPER($AS$80:$AZ$80)="BLANK")+(UPPER($AS$80:$AZ$80)="(BLANK)")+(UPPER($AS$80:$AZ$80)="EMPTY")+(UPPER($AS$80:$AZ$80)="(EMPTY)"))&gt;0,IFERROR(('Final Calculation Sheet'!$T$35)&amp;"","")="",ISNUMBER(SEARCH($AS$80:$AZ$80,IFERROR(('Final Calculation Sheet'!$T$35)&amp;"","")))))&gt;0),IF(COUNTIF($BI$80:$BP$80,3)=0,TRUE,SUMPRODUCT(($BI$80:$BP$80=3)*($AS$80:$AZ$80&lt;&gt;"")*IF(((UPPER($AS$80:$AZ$80)="BLANK")+(UPPER($AS$80:$AZ$80)="(BLANK)")+(UPPER($AS$80:$AZ$80)="EMPTY")+(UPPER($AS$80:$AZ$80)="(EMPTY)"))&gt;0,IFERROR(('Final Calculation Sheet'!$T$35)&amp;"","")="",ISNUMBER(SEARCH($AS$80:$AZ$80,IFERROR(('Final Calculation Sheet'!$T$35)&amp;"","")))))&gt;0),IF(COUNTIF($BI$80:$BP$80,4)=0,TRUE,SUMPRODUCT(($BI$80:$BP$80=4)*($AS$80:$AZ$80&lt;&gt;"")*IF(((UPPER($AS$80:$AZ$80)="BLANK")+(UPPER($AS$80:$AZ$80)="(BLANK)")+(UPPER($AS$80:$AZ$80)="EMPTY")+(UPPER($AS$80:$AZ$80)="(EMPTY)"))&gt;0,IFERROR(('Final Calculation Sheet'!$T$35)&amp;"","")="",ISNUMBER(SEARCH($AS$80:$AZ$80,IFERROR(('Final Calculation Sheet'!$T$35)&amp;"","")))))&gt;0),IF(COUNTIF($BI$80:$BP$80,5)=0,TRUE,SUMPRODUCT(($BI$80:$BP$80=5)*($AS$80:$AZ$80&lt;&gt;"")*IF(((UPPER($AS$80:$AZ$80)="BLANK")+(UPPER($AS$80:$AZ$80)="(BLANK)")+(UPPER($AS$80:$AZ$80)="EMPTY")+(UPPER($AS$80:$AZ$80)="(EMPTY)"))&gt;0,IFERROR(('Final Calculation Sheet'!$T$35)&amp;"","")="",ISNUMBER(SEARCH($AS$80:$AZ$80,IFERROR(('Final Calculation Sheet'!$T$35)&amp;"","")))))&gt;0),IF(COUNTIF($BI$80:$BP$80,6)=0,TRUE,SUMPRODUCT(($BI$80:$BP$80=6)*($AS$80:$AZ$80&lt;&gt;"")*IF(((UPPER($AS$80:$AZ$80)="BLANK")+(UPPER($AS$80:$AZ$80)="(BLANK)")+(UPPER($AS$80:$AZ$80)="EMPTY")+(UPPER($AS$80:$AZ$80)="(EMPTY)"))&gt;0,IFERROR(('Final Calculation Sheet'!$T$35)&amp;"","")="",ISNUMBER(SEARCH($AS$80:$AZ$80,IFERROR(('Final Calculation Sheet'!$T$35)&amp;"","")))))&gt;0),IF(COUNTIF($BI$80:$BP$80,7)=0,TRUE,SUMPRODUCT(($BI$80:$BP$80=7)*($AS$80:$AZ$80&lt;&gt;"")*IF(((UPPER($AS$80:$AZ$80)="BLANK")+(UPPER($AS$80:$AZ$80)="(BLANK)")+(UPPER($AS$80:$AZ$80)="EMPTY")+(UPPER($AS$80:$AZ$80)="(EMPTY)"))&gt;0,IFERROR(('Final Calculation Sheet'!$T$35)&amp;"","")="",ISNUMBER(SEARCH($AS$80:$AZ$80,IFERROR(('Final Calculation Sheet'!$T$35)&amp;"","")))))&gt;0),IF(COUNTIF($BI$80:$BP$80,8)=0,TRUE,SUMPRODUCT(($BI$80:$BP$80=8)*($AS$80:$AZ$80&lt;&gt;"")*IF(((UPPER($AS$80:$AZ$80)="BLANK")+(UPPER($AS$80:$AZ$80)="(BLANK)")+(UPPER($AS$80:$AZ$80)="EMPTY")+(UPPER($AS$80:$AZ$80)="(EMPTY)"))&gt;0,IFERROR(('Final Calculation Sheet'!$T$35)&amp;"","")="",ISNUMBER(SEARCH($AS$80:$AZ$80,IFERROR(('Final Calculation Sheet'!$T$35)&amp;"","")))))&gt;0))))</f>
        <v>1</v>
      </c>
      <c r="CH36">
        <f>IF($V$4="",1,--(AND(SUMPRODUCT(--($AS$81:$AZ$81&lt;&gt;""))&gt;0,IF(COUNTIF($BI$81:$BP$81,1)=0,TRUE,SUMPRODUCT(($BI$81:$BP$81=1)*($AS$81:$AZ$81&lt;&gt;"")*IF(((UPPER($AS$81:$AZ$81)="BLANK")+(UPPER($AS$81:$AZ$81)="(BLANK)")+(UPPER($AS$81:$AZ$81)="EMPTY")+(UPPER($AS$81:$AZ$81)="(EMPTY)"))&gt;0,IFERROR(('Final Calculation Sheet'!$U$35)&amp;"","")="",ISNUMBER(SEARCH($AS$81:$AZ$81,IFERROR(('Final Calculation Sheet'!$U$35)&amp;"","")))))&gt;0),IF(COUNTIF($BI$81:$BP$81,2)=0,TRUE,SUMPRODUCT(($BI$81:$BP$81=2)*($AS$81:$AZ$81&lt;&gt;"")*IF(((UPPER($AS$81:$AZ$81)="BLANK")+(UPPER($AS$81:$AZ$81)="(BLANK)")+(UPPER($AS$81:$AZ$81)="EMPTY")+(UPPER($AS$81:$AZ$81)="(EMPTY)"))&gt;0,IFERROR(('Final Calculation Sheet'!$U$35)&amp;"","")="",ISNUMBER(SEARCH($AS$81:$AZ$81,IFERROR(('Final Calculation Sheet'!$U$35)&amp;"","")))))&gt;0),IF(COUNTIF($BI$81:$BP$81,3)=0,TRUE,SUMPRODUCT(($BI$81:$BP$81=3)*($AS$81:$AZ$81&lt;&gt;"")*IF(((UPPER($AS$81:$AZ$81)="BLANK")+(UPPER($AS$81:$AZ$81)="(BLANK)")+(UPPER($AS$81:$AZ$81)="EMPTY")+(UPPER($AS$81:$AZ$81)="(EMPTY)"))&gt;0,IFERROR(('Final Calculation Sheet'!$U$35)&amp;"","")="",ISNUMBER(SEARCH($AS$81:$AZ$81,IFERROR(('Final Calculation Sheet'!$U$35)&amp;"","")))))&gt;0),IF(COUNTIF($BI$81:$BP$81,4)=0,TRUE,SUMPRODUCT(($BI$81:$BP$81=4)*($AS$81:$AZ$81&lt;&gt;"")*IF(((UPPER($AS$81:$AZ$81)="BLANK")+(UPPER($AS$81:$AZ$81)="(BLANK)")+(UPPER($AS$81:$AZ$81)="EMPTY")+(UPPER($AS$81:$AZ$81)="(EMPTY)"))&gt;0,IFERROR(('Final Calculation Sheet'!$U$35)&amp;"","")="",ISNUMBER(SEARCH($AS$81:$AZ$81,IFERROR(('Final Calculation Sheet'!$U$35)&amp;"","")))))&gt;0),IF(COUNTIF($BI$81:$BP$81,5)=0,TRUE,SUMPRODUCT(($BI$81:$BP$81=5)*($AS$81:$AZ$81&lt;&gt;"")*IF(((UPPER($AS$81:$AZ$81)="BLANK")+(UPPER($AS$81:$AZ$81)="(BLANK)")+(UPPER($AS$81:$AZ$81)="EMPTY")+(UPPER($AS$81:$AZ$81)="(EMPTY)"))&gt;0,IFERROR(('Final Calculation Sheet'!$U$35)&amp;"","")="",ISNUMBER(SEARCH($AS$81:$AZ$81,IFERROR(('Final Calculation Sheet'!$U$35)&amp;"","")))))&gt;0),IF(COUNTIF($BI$81:$BP$81,6)=0,TRUE,SUMPRODUCT(($BI$81:$BP$81=6)*($AS$81:$AZ$81&lt;&gt;"")*IF(((UPPER($AS$81:$AZ$81)="BLANK")+(UPPER($AS$81:$AZ$81)="(BLANK)")+(UPPER($AS$81:$AZ$81)="EMPTY")+(UPPER($AS$81:$AZ$81)="(EMPTY)"))&gt;0,IFERROR(('Final Calculation Sheet'!$U$35)&amp;"","")="",ISNUMBER(SEARCH($AS$81:$AZ$81,IFERROR(('Final Calculation Sheet'!$U$35)&amp;"","")))))&gt;0),IF(COUNTIF($BI$81:$BP$81,7)=0,TRUE,SUMPRODUCT(($BI$81:$BP$81=7)*($AS$81:$AZ$81&lt;&gt;"")*IF(((UPPER($AS$81:$AZ$81)="BLANK")+(UPPER($AS$81:$AZ$81)="(BLANK)")+(UPPER($AS$81:$AZ$81)="EMPTY")+(UPPER($AS$81:$AZ$81)="(EMPTY)"))&gt;0,IFERROR(('Final Calculation Sheet'!$U$35)&amp;"","")="",ISNUMBER(SEARCH($AS$81:$AZ$81,IFERROR(('Final Calculation Sheet'!$U$35)&amp;"","")))))&gt;0),IF(COUNTIF($BI$81:$BP$81,8)=0,TRUE,SUMPRODUCT(($BI$81:$BP$81=8)*($AS$81:$AZ$81&lt;&gt;"")*IF(((UPPER($AS$81:$AZ$81)="BLANK")+(UPPER($AS$81:$AZ$81)="(BLANK)")+(UPPER($AS$81:$AZ$81)="EMPTY")+(UPPER($AS$81:$AZ$81)="(EMPTY)"))&gt;0,IFERROR(('Final Calculation Sheet'!$U$35)&amp;"","")="",ISNUMBER(SEARCH($AS$81:$AZ$81,IFERROR(('Final Calculation Sheet'!$U$35)&amp;"","")))))&gt;0))))</f>
        <v>1</v>
      </c>
      <c r="CI36">
        <f>IF($W$4="",1,--(AND(SUMPRODUCT(--($AS$82:$AZ$82&lt;&gt;""))&gt;0,IF(COUNTIF($BI$82:$BP$82,1)=0,TRUE,SUMPRODUCT(($BI$82:$BP$82=1)*($AS$82:$AZ$82&lt;&gt;"")*IF(((UPPER($AS$82:$AZ$82)="BLANK")+(UPPER($AS$82:$AZ$82)="(BLANK)")+(UPPER($AS$82:$AZ$82)="EMPTY")+(UPPER($AS$82:$AZ$82)="(EMPTY)"))&gt;0,IFERROR(('Final Calculation Sheet'!$V$35)&amp;"","")="",ISNUMBER(SEARCH($AS$82:$AZ$82,IFERROR(('Final Calculation Sheet'!$V$35)&amp;"","")))))&gt;0),IF(COUNTIF($BI$82:$BP$82,2)=0,TRUE,SUMPRODUCT(($BI$82:$BP$82=2)*($AS$82:$AZ$82&lt;&gt;"")*IF(((UPPER($AS$82:$AZ$82)="BLANK")+(UPPER($AS$82:$AZ$82)="(BLANK)")+(UPPER($AS$82:$AZ$82)="EMPTY")+(UPPER($AS$82:$AZ$82)="(EMPTY)"))&gt;0,IFERROR(('Final Calculation Sheet'!$V$35)&amp;"","")="",ISNUMBER(SEARCH($AS$82:$AZ$82,IFERROR(('Final Calculation Sheet'!$V$35)&amp;"","")))))&gt;0),IF(COUNTIF($BI$82:$BP$82,3)=0,TRUE,SUMPRODUCT(($BI$82:$BP$82=3)*($AS$82:$AZ$82&lt;&gt;"")*IF(((UPPER($AS$82:$AZ$82)="BLANK")+(UPPER($AS$82:$AZ$82)="(BLANK)")+(UPPER($AS$82:$AZ$82)="EMPTY")+(UPPER($AS$82:$AZ$82)="(EMPTY)"))&gt;0,IFERROR(('Final Calculation Sheet'!$V$35)&amp;"","")="",ISNUMBER(SEARCH($AS$82:$AZ$82,IFERROR(('Final Calculation Sheet'!$V$35)&amp;"","")))))&gt;0),IF(COUNTIF($BI$82:$BP$82,4)=0,TRUE,SUMPRODUCT(($BI$82:$BP$82=4)*($AS$82:$AZ$82&lt;&gt;"")*IF(((UPPER($AS$82:$AZ$82)="BLANK")+(UPPER($AS$82:$AZ$82)="(BLANK)")+(UPPER($AS$82:$AZ$82)="EMPTY")+(UPPER($AS$82:$AZ$82)="(EMPTY)"))&gt;0,IFERROR(('Final Calculation Sheet'!$V$35)&amp;"","")="",ISNUMBER(SEARCH($AS$82:$AZ$82,IFERROR(('Final Calculation Sheet'!$V$35)&amp;"","")))))&gt;0),IF(COUNTIF($BI$82:$BP$82,5)=0,TRUE,SUMPRODUCT(($BI$82:$BP$82=5)*($AS$82:$AZ$82&lt;&gt;"")*IF(((UPPER($AS$82:$AZ$82)="BLANK")+(UPPER($AS$82:$AZ$82)="(BLANK)")+(UPPER($AS$82:$AZ$82)="EMPTY")+(UPPER($AS$82:$AZ$82)="(EMPTY)"))&gt;0,IFERROR(('Final Calculation Sheet'!$V$35)&amp;"","")="",ISNUMBER(SEARCH($AS$82:$AZ$82,IFERROR(('Final Calculation Sheet'!$V$35)&amp;"","")))))&gt;0),IF(COUNTIF($BI$82:$BP$82,6)=0,TRUE,SUMPRODUCT(($BI$82:$BP$82=6)*($AS$82:$AZ$82&lt;&gt;"")*IF(((UPPER($AS$82:$AZ$82)="BLANK")+(UPPER($AS$82:$AZ$82)="(BLANK)")+(UPPER($AS$82:$AZ$82)="EMPTY")+(UPPER($AS$82:$AZ$82)="(EMPTY)"))&gt;0,IFERROR(('Final Calculation Sheet'!$V$35)&amp;"","")="",ISNUMBER(SEARCH($AS$82:$AZ$82,IFERROR(('Final Calculation Sheet'!$V$35)&amp;"","")))))&gt;0),IF(COUNTIF($BI$82:$BP$82,7)=0,TRUE,SUMPRODUCT(($BI$82:$BP$82=7)*($AS$82:$AZ$82&lt;&gt;"")*IF(((UPPER($AS$82:$AZ$82)="BLANK")+(UPPER($AS$82:$AZ$82)="(BLANK)")+(UPPER($AS$82:$AZ$82)="EMPTY")+(UPPER($AS$82:$AZ$82)="(EMPTY)"))&gt;0,IFERROR(('Final Calculation Sheet'!$V$35)&amp;"","")="",ISNUMBER(SEARCH($AS$82:$AZ$82,IFERROR(('Final Calculation Sheet'!$V$35)&amp;"","")))))&gt;0),IF(COUNTIF($BI$82:$BP$82,8)=0,TRUE,SUMPRODUCT(($BI$82:$BP$82=8)*($AS$82:$AZ$82&lt;&gt;"")*IF(((UPPER($AS$82:$AZ$82)="BLANK")+(UPPER($AS$82:$AZ$82)="(BLANK)")+(UPPER($AS$82:$AZ$82)="EMPTY")+(UPPER($AS$82:$AZ$82)="(EMPTY)"))&gt;0,IFERROR(('Final Calculation Sheet'!$V$35)&amp;"","")="",ISNUMBER(SEARCH($AS$82:$AZ$82,IFERROR(('Final Calculation Sheet'!$V$35)&amp;"","")))))&gt;0))))</f>
        <v>1</v>
      </c>
      <c r="CJ36">
        <f>IF($X$4="",1,--(AND(SUMPRODUCT(--($AS$83:$AZ$83&lt;&gt;""))&gt;0,IF(COUNTIF($BI$83:$BP$83,1)=0,TRUE,SUMPRODUCT(($BI$83:$BP$83=1)*($AS$83:$AZ$83&lt;&gt;"")*IF(((UPPER($AS$83:$AZ$83)="BLANK")+(UPPER($AS$83:$AZ$83)="(BLANK)")+(UPPER($AS$83:$AZ$83)="EMPTY")+(UPPER($AS$83:$AZ$83)="(EMPTY)"))&gt;0,IFERROR(('Final Calculation Sheet'!$W$35)&amp;"","")="",ISNUMBER(SEARCH($AS$83:$AZ$83,IFERROR(('Final Calculation Sheet'!$W$35)&amp;"","")))))&gt;0),IF(COUNTIF($BI$83:$BP$83,2)=0,TRUE,SUMPRODUCT(($BI$83:$BP$83=2)*($AS$83:$AZ$83&lt;&gt;"")*IF(((UPPER($AS$83:$AZ$83)="BLANK")+(UPPER($AS$83:$AZ$83)="(BLANK)")+(UPPER($AS$83:$AZ$83)="EMPTY")+(UPPER($AS$83:$AZ$83)="(EMPTY)"))&gt;0,IFERROR(('Final Calculation Sheet'!$W$35)&amp;"","")="",ISNUMBER(SEARCH($AS$83:$AZ$83,IFERROR(('Final Calculation Sheet'!$W$35)&amp;"","")))))&gt;0),IF(COUNTIF($BI$83:$BP$83,3)=0,TRUE,SUMPRODUCT(($BI$83:$BP$83=3)*($AS$83:$AZ$83&lt;&gt;"")*IF(((UPPER($AS$83:$AZ$83)="BLANK")+(UPPER($AS$83:$AZ$83)="(BLANK)")+(UPPER($AS$83:$AZ$83)="EMPTY")+(UPPER($AS$83:$AZ$83)="(EMPTY)"))&gt;0,IFERROR(('Final Calculation Sheet'!$W$35)&amp;"","")="",ISNUMBER(SEARCH($AS$83:$AZ$83,IFERROR(('Final Calculation Sheet'!$W$35)&amp;"","")))))&gt;0),IF(COUNTIF($BI$83:$BP$83,4)=0,TRUE,SUMPRODUCT(($BI$83:$BP$83=4)*($AS$83:$AZ$83&lt;&gt;"")*IF(((UPPER($AS$83:$AZ$83)="BLANK")+(UPPER($AS$83:$AZ$83)="(BLANK)")+(UPPER($AS$83:$AZ$83)="EMPTY")+(UPPER($AS$83:$AZ$83)="(EMPTY)"))&gt;0,IFERROR(('Final Calculation Sheet'!$W$35)&amp;"","")="",ISNUMBER(SEARCH($AS$83:$AZ$83,IFERROR(('Final Calculation Sheet'!$W$35)&amp;"","")))))&gt;0),IF(COUNTIF($BI$83:$BP$83,5)=0,TRUE,SUMPRODUCT(($BI$83:$BP$83=5)*($AS$83:$AZ$83&lt;&gt;"")*IF(((UPPER($AS$83:$AZ$83)="BLANK")+(UPPER($AS$83:$AZ$83)="(BLANK)")+(UPPER($AS$83:$AZ$83)="EMPTY")+(UPPER($AS$83:$AZ$83)="(EMPTY)"))&gt;0,IFERROR(('Final Calculation Sheet'!$W$35)&amp;"","")="",ISNUMBER(SEARCH($AS$83:$AZ$83,IFERROR(('Final Calculation Sheet'!$W$35)&amp;"","")))))&gt;0),IF(COUNTIF($BI$83:$BP$83,6)=0,TRUE,SUMPRODUCT(($BI$83:$BP$83=6)*($AS$83:$AZ$83&lt;&gt;"")*IF(((UPPER($AS$83:$AZ$83)="BLANK")+(UPPER($AS$83:$AZ$83)="(BLANK)")+(UPPER($AS$83:$AZ$83)="EMPTY")+(UPPER($AS$83:$AZ$83)="(EMPTY)"))&gt;0,IFERROR(('Final Calculation Sheet'!$W$35)&amp;"","")="",ISNUMBER(SEARCH($AS$83:$AZ$83,IFERROR(('Final Calculation Sheet'!$W$35)&amp;"","")))))&gt;0),IF(COUNTIF($BI$83:$BP$83,7)=0,TRUE,SUMPRODUCT(($BI$83:$BP$83=7)*($AS$83:$AZ$83&lt;&gt;"")*IF(((UPPER($AS$83:$AZ$83)="BLANK")+(UPPER($AS$83:$AZ$83)="(BLANK)")+(UPPER($AS$83:$AZ$83)="EMPTY")+(UPPER($AS$83:$AZ$83)="(EMPTY)"))&gt;0,IFERROR(('Final Calculation Sheet'!$W$35)&amp;"","")="",ISNUMBER(SEARCH($AS$83:$AZ$83,IFERROR(('Final Calculation Sheet'!$W$35)&amp;"","")))))&gt;0),IF(COUNTIF($BI$83:$BP$83,8)=0,TRUE,SUMPRODUCT(($BI$83:$BP$83=8)*($AS$83:$AZ$83&lt;&gt;"")*IF(((UPPER($AS$83:$AZ$83)="BLANK")+(UPPER($AS$83:$AZ$83)="(BLANK)")+(UPPER($AS$83:$AZ$83)="EMPTY")+(UPPER($AS$83:$AZ$83)="(EMPTY)"))&gt;0,IFERROR(('Final Calculation Sheet'!$W$35)&amp;"","")="",ISNUMBER(SEARCH($AS$83:$AZ$83,IFERROR(('Final Calculation Sheet'!$W$35)&amp;"","")))))&gt;0))))</f>
        <v>1</v>
      </c>
      <c r="CK36">
        <f>IF($Y$4="",1,--(AND(SUMPRODUCT(--($AS$84:$AZ$84&lt;&gt;""))&gt;0,IF(COUNTIF($BI$84:$BP$84,1)=0,TRUE,SUMPRODUCT(($BI$84:$BP$84=1)*($AS$84:$AZ$84&lt;&gt;"")*IF(((UPPER($AS$84:$AZ$84)="BLANK")+(UPPER($AS$84:$AZ$84)="(BLANK)")+(UPPER($AS$84:$AZ$84)="EMPTY")+(UPPER($AS$84:$AZ$84)="(EMPTY)"))&gt;0,IFERROR(('Final Calculation Sheet'!$X$35)&amp;"","")="",ISNUMBER(SEARCH($AS$84:$AZ$84,IFERROR(('Final Calculation Sheet'!$X$35)&amp;"","")))))&gt;0),IF(COUNTIF($BI$84:$BP$84,2)=0,TRUE,SUMPRODUCT(($BI$84:$BP$84=2)*($AS$84:$AZ$84&lt;&gt;"")*IF(((UPPER($AS$84:$AZ$84)="BLANK")+(UPPER($AS$84:$AZ$84)="(BLANK)")+(UPPER($AS$84:$AZ$84)="EMPTY")+(UPPER($AS$84:$AZ$84)="(EMPTY)"))&gt;0,IFERROR(('Final Calculation Sheet'!$X$35)&amp;"","")="",ISNUMBER(SEARCH($AS$84:$AZ$84,IFERROR(('Final Calculation Sheet'!$X$35)&amp;"","")))))&gt;0),IF(COUNTIF($BI$84:$BP$84,3)=0,TRUE,SUMPRODUCT(($BI$84:$BP$84=3)*($AS$84:$AZ$84&lt;&gt;"")*IF(((UPPER($AS$84:$AZ$84)="BLANK")+(UPPER($AS$84:$AZ$84)="(BLANK)")+(UPPER($AS$84:$AZ$84)="EMPTY")+(UPPER($AS$84:$AZ$84)="(EMPTY)"))&gt;0,IFERROR(('Final Calculation Sheet'!$X$35)&amp;"","")="",ISNUMBER(SEARCH($AS$84:$AZ$84,IFERROR(('Final Calculation Sheet'!$X$35)&amp;"","")))))&gt;0),IF(COUNTIF($BI$84:$BP$84,4)=0,TRUE,SUMPRODUCT(($BI$84:$BP$84=4)*($AS$84:$AZ$84&lt;&gt;"")*IF(((UPPER($AS$84:$AZ$84)="BLANK")+(UPPER($AS$84:$AZ$84)="(BLANK)")+(UPPER($AS$84:$AZ$84)="EMPTY")+(UPPER($AS$84:$AZ$84)="(EMPTY)"))&gt;0,IFERROR(('Final Calculation Sheet'!$X$35)&amp;"","")="",ISNUMBER(SEARCH($AS$84:$AZ$84,IFERROR(('Final Calculation Sheet'!$X$35)&amp;"","")))))&gt;0),IF(COUNTIF($BI$84:$BP$84,5)=0,TRUE,SUMPRODUCT(($BI$84:$BP$84=5)*($AS$84:$AZ$84&lt;&gt;"")*IF(((UPPER($AS$84:$AZ$84)="BLANK")+(UPPER($AS$84:$AZ$84)="(BLANK)")+(UPPER($AS$84:$AZ$84)="EMPTY")+(UPPER($AS$84:$AZ$84)="(EMPTY)"))&gt;0,IFERROR(('Final Calculation Sheet'!$X$35)&amp;"","")="",ISNUMBER(SEARCH($AS$84:$AZ$84,IFERROR(('Final Calculation Sheet'!$X$35)&amp;"","")))))&gt;0),IF(COUNTIF($BI$84:$BP$84,6)=0,TRUE,SUMPRODUCT(($BI$84:$BP$84=6)*($AS$84:$AZ$84&lt;&gt;"")*IF(((UPPER($AS$84:$AZ$84)="BLANK")+(UPPER($AS$84:$AZ$84)="(BLANK)")+(UPPER($AS$84:$AZ$84)="EMPTY")+(UPPER($AS$84:$AZ$84)="(EMPTY)"))&gt;0,IFERROR(('Final Calculation Sheet'!$X$35)&amp;"","")="",ISNUMBER(SEARCH($AS$84:$AZ$84,IFERROR(('Final Calculation Sheet'!$X$35)&amp;"","")))))&gt;0),IF(COUNTIF($BI$84:$BP$84,7)=0,TRUE,SUMPRODUCT(($BI$84:$BP$84=7)*($AS$84:$AZ$84&lt;&gt;"")*IF(((UPPER($AS$84:$AZ$84)="BLANK")+(UPPER($AS$84:$AZ$84)="(BLANK)")+(UPPER($AS$84:$AZ$84)="EMPTY")+(UPPER($AS$84:$AZ$84)="(EMPTY)"))&gt;0,IFERROR(('Final Calculation Sheet'!$X$35)&amp;"","")="",ISNUMBER(SEARCH($AS$84:$AZ$84,IFERROR(('Final Calculation Sheet'!$X$35)&amp;"","")))))&gt;0),IF(COUNTIF($BI$84:$BP$84,8)=0,TRUE,SUMPRODUCT(($BI$84:$BP$84=8)*($AS$84:$AZ$84&lt;&gt;"")*IF(((UPPER($AS$84:$AZ$84)="BLANK")+(UPPER($AS$84:$AZ$84)="(BLANK)")+(UPPER($AS$84:$AZ$84)="EMPTY")+(UPPER($AS$84:$AZ$84)="(EMPTY)"))&gt;0,IFERROR(('Final Calculation Sheet'!$X$35)&amp;"","")="",ISNUMBER(SEARCH($AS$84:$AZ$84,IFERROR(('Final Calculation Sheet'!$X$35)&amp;"","")))))&gt;0))))</f>
        <v>1</v>
      </c>
      <c r="CL36">
        <f>IF($Z$4="",1,--(AND(SUMPRODUCT(--($AS$85:$AZ$85&lt;&gt;""))&gt;0,IF(COUNTIF($BI$85:$BP$85,1)=0,TRUE,SUMPRODUCT(($BI$85:$BP$85=1)*($AS$85:$AZ$85&lt;&gt;"")*IF(((UPPER($AS$85:$AZ$85)="BLANK")+(UPPER($AS$85:$AZ$85)="(BLANK)")+(UPPER($AS$85:$AZ$85)="EMPTY")+(UPPER($AS$85:$AZ$85)="(EMPTY)"))&gt;0,IFERROR(('Final Calculation Sheet'!$Y$35)&amp;"","")="",ISNUMBER(SEARCH($AS$85:$AZ$85,IFERROR(('Final Calculation Sheet'!$Y$35)&amp;"","")))))&gt;0),IF(COUNTIF($BI$85:$BP$85,2)=0,TRUE,SUMPRODUCT(($BI$85:$BP$85=2)*($AS$85:$AZ$85&lt;&gt;"")*IF(((UPPER($AS$85:$AZ$85)="BLANK")+(UPPER($AS$85:$AZ$85)="(BLANK)")+(UPPER($AS$85:$AZ$85)="EMPTY")+(UPPER($AS$85:$AZ$85)="(EMPTY)"))&gt;0,IFERROR(('Final Calculation Sheet'!$Y$35)&amp;"","")="",ISNUMBER(SEARCH($AS$85:$AZ$85,IFERROR(('Final Calculation Sheet'!$Y$35)&amp;"","")))))&gt;0),IF(COUNTIF($BI$85:$BP$85,3)=0,TRUE,SUMPRODUCT(($BI$85:$BP$85=3)*($AS$85:$AZ$85&lt;&gt;"")*IF(((UPPER($AS$85:$AZ$85)="BLANK")+(UPPER($AS$85:$AZ$85)="(BLANK)")+(UPPER($AS$85:$AZ$85)="EMPTY")+(UPPER($AS$85:$AZ$85)="(EMPTY)"))&gt;0,IFERROR(('Final Calculation Sheet'!$Y$35)&amp;"","")="",ISNUMBER(SEARCH($AS$85:$AZ$85,IFERROR(('Final Calculation Sheet'!$Y$35)&amp;"","")))))&gt;0),IF(COUNTIF($BI$85:$BP$85,4)=0,TRUE,SUMPRODUCT(($BI$85:$BP$85=4)*($AS$85:$AZ$85&lt;&gt;"")*IF(((UPPER($AS$85:$AZ$85)="BLANK")+(UPPER($AS$85:$AZ$85)="(BLANK)")+(UPPER($AS$85:$AZ$85)="EMPTY")+(UPPER($AS$85:$AZ$85)="(EMPTY)"))&gt;0,IFERROR(('Final Calculation Sheet'!$Y$35)&amp;"","")="",ISNUMBER(SEARCH($AS$85:$AZ$85,IFERROR(('Final Calculation Sheet'!$Y$35)&amp;"","")))))&gt;0),IF(COUNTIF($BI$85:$BP$85,5)=0,TRUE,SUMPRODUCT(($BI$85:$BP$85=5)*($AS$85:$AZ$85&lt;&gt;"")*IF(((UPPER($AS$85:$AZ$85)="BLANK")+(UPPER($AS$85:$AZ$85)="(BLANK)")+(UPPER($AS$85:$AZ$85)="EMPTY")+(UPPER($AS$85:$AZ$85)="(EMPTY)"))&gt;0,IFERROR(('Final Calculation Sheet'!$Y$35)&amp;"","")="",ISNUMBER(SEARCH($AS$85:$AZ$85,IFERROR(('Final Calculation Sheet'!$Y$35)&amp;"","")))))&gt;0),IF(COUNTIF($BI$85:$BP$85,6)=0,TRUE,SUMPRODUCT(($BI$85:$BP$85=6)*($AS$85:$AZ$85&lt;&gt;"")*IF(((UPPER($AS$85:$AZ$85)="BLANK")+(UPPER($AS$85:$AZ$85)="(BLANK)")+(UPPER($AS$85:$AZ$85)="EMPTY")+(UPPER($AS$85:$AZ$85)="(EMPTY)"))&gt;0,IFERROR(('Final Calculation Sheet'!$Y$35)&amp;"","")="",ISNUMBER(SEARCH($AS$85:$AZ$85,IFERROR(('Final Calculation Sheet'!$Y$35)&amp;"","")))))&gt;0),IF(COUNTIF($BI$85:$BP$85,7)=0,TRUE,SUMPRODUCT(($BI$85:$BP$85=7)*($AS$85:$AZ$85&lt;&gt;"")*IF(((UPPER($AS$85:$AZ$85)="BLANK")+(UPPER($AS$85:$AZ$85)="(BLANK)")+(UPPER($AS$85:$AZ$85)="EMPTY")+(UPPER($AS$85:$AZ$85)="(EMPTY)"))&gt;0,IFERROR(('Final Calculation Sheet'!$Y$35)&amp;"","")="",ISNUMBER(SEARCH($AS$85:$AZ$85,IFERROR(('Final Calculation Sheet'!$Y$35)&amp;"","")))))&gt;0),IF(COUNTIF($BI$85:$BP$85,8)=0,TRUE,SUMPRODUCT(($BI$85:$BP$85=8)*($AS$85:$AZ$85&lt;&gt;"")*IF(((UPPER($AS$85:$AZ$85)="BLANK")+(UPPER($AS$85:$AZ$85)="(BLANK)")+(UPPER($AS$85:$AZ$85)="EMPTY")+(UPPER($AS$85:$AZ$85)="(EMPTY)"))&gt;0,IFERROR(('Final Calculation Sheet'!$Y$35)&amp;"","")="",ISNUMBER(SEARCH($AS$85:$AZ$85,IFERROR(('Final Calculation Sheet'!$Y$35)&amp;"","")))))&gt;0))))</f>
        <v>1</v>
      </c>
      <c r="CM36">
        <f>IF($AA$4="",1,--(AND(SUMPRODUCT(--($AS$86:$AZ$86&lt;&gt;""))&gt;0,IF(COUNTIF($BI$86:$BP$86,1)=0,TRUE,SUMPRODUCT(($BI$86:$BP$86=1)*($AS$86:$AZ$86&lt;&gt;"")*IF(((UPPER($AS$86:$AZ$86)="BLANK")+(UPPER($AS$86:$AZ$86)="(BLANK)")+(UPPER($AS$86:$AZ$86)="EMPTY")+(UPPER($AS$86:$AZ$86)="(EMPTY)"))&gt;0,IFERROR(('Final Calculation Sheet'!$Z$35)&amp;"","")="",ISNUMBER(SEARCH($AS$86:$AZ$86,IFERROR(('Final Calculation Sheet'!$Z$35)&amp;"","")))))&gt;0),IF(COUNTIF($BI$86:$BP$86,2)=0,TRUE,SUMPRODUCT(($BI$86:$BP$86=2)*($AS$86:$AZ$86&lt;&gt;"")*IF(((UPPER($AS$86:$AZ$86)="BLANK")+(UPPER($AS$86:$AZ$86)="(BLANK)")+(UPPER($AS$86:$AZ$86)="EMPTY")+(UPPER($AS$86:$AZ$86)="(EMPTY)"))&gt;0,IFERROR(('Final Calculation Sheet'!$Z$35)&amp;"","")="",ISNUMBER(SEARCH($AS$86:$AZ$86,IFERROR(('Final Calculation Sheet'!$Z$35)&amp;"","")))))&gt;0),IF(COUNTIF($BI$86:$BP$86,3)=0,TRUE,SUMPRODUCT(($BI$86:$BP$86=3)*($AS$86:$AZ$86&lt;&gt;"")*IF(((UPPER($AS$86:$AZ$86)="BLANK")+(UPPER($AS$86:$AZ$86)="(BLANK)")+(UPPER($AS$86:$AZ$86)="EMPTY")+(UPPER($AS$86:$AZ$86)="(EMPTY)"))&gt;0,IFERROR(('Final Calculation Sheet'!$Z$35)&amp;"","")="",ISNUMBER(SEARCH($AS$86:$AZ$86,IFERROR(('Final Calculation Sheet'!$Z$35)&amp;"","")))))&gt;0),IF(COUNTIF($BI$86:$BP$86,4)=0,TRUE,SUMPRODUCT(($BI$86:$BP$86=4)*($AS$86:$AZ$86&lt;&gt;"")*IF(((UPPER($AS$86:$AZ$86)="BLANK")+(UPPER($AS$86:$AZ$86)="(BLANK)")+(UPPER($AS$86:$AZ$86)="EMPTY")+(UPPER($AS$86:$AZ$86)="(EMPTY)"))&gt;0,IFERROR(('Final Calculation Sheet'!$Z$35)&amp;"","")="",ISNUMBER(SEARCH($AS$86:$AZ$86,IFERROR(('Final Calculation Sheet'!$Z$35)&amp;"","")))))&gt;0),IF(COUNTIF($BI$86:$BP$86,5)=0,TRUE,SUMPRODUCT(($BI$86:$BP$86=5)*($AS$86:$AZ$86&lt;&gt;"")*IF(((UPPER($AS$86:$AZ$86)="BLANK")+(UPPER($AS$86:$AZ$86)="(BLANK)")+(UPPER($AS$86:$AZ$86)="EMPTY")+(UPPER($AS$86:$AZ$86)="(EMPTY)"))&gt;0,IFERROR(('Final Calculation Sheet'!$Z$35)&amp;"","")="",ISNUMBER(SEARCH($AS$86:$AZ$86,IFERROR(('Final Calculation Sheet'!$Z$35)&amp;"","")))))&gt;0),IF(COUNTIF($BI$86:$BP$86,6)=0,TRUE,SUMPRODUCT(($BI$86:$BP$86=6)*($AS$86:$AZ$86&lt;&gt;"")*IF(((UPPER($AS$86:$AZ$86)="BLANK")+(UPPER($AS$86:$AZ$86)="(BLANK)")+(UPPER($AS$86:$AZ$86)="EMPTY")+(UPPER($AS$86:$AZ$86)="(EMPTY)"))&gt;0,IFERROR(('Final Calculation Sheet'!$Z$35)&amp;"","")="",ISNUMBER(SEARCH($AS$86:$AZ$86,IFERROR(('Final Calculation Sheet'!$Z$35)&amp;"","")))))&gt;0),IF(COUNTIF($BI$86:$BP$86,7)=0,TRUE,SUMPRODUCT(($BI$86:$BP$86=7)*($AS$86:$AZ$86&lt;&gt;"")*IF(((UPPER($AS$86:$AZ$86)="BLANK")+(UPPER($AS$86:$AZ$86)="(BLANK)")+(UPPER($AS$86:$AZ$86)="EMPTY")+(UPPER($AS$86:$AZ$86)="(EMPTY)"))&gt;0,IFERROR(('Final Calculation Sheet'!$Z$35)&amp;"","")="",ISNUMBER(SEARCH($AS$86:$AZ$86,IFERROR(('Final Calculation Sheet'!$Z$35)&amp;"","")))))&gt;0),IF(COUNTIF($BI$86:$BP$86,8)=0,TRUE,SUMPRODUCT(($BI$86:$BP$86=8)*($AS$86:$AZ$86&lt;&gt;"")*IF(((UPPER($AS$86:$AZ$86)="BLANK")+(UPPER($AS$86:$AZ$86)="(BLANK)")+(UPPER($AS$86:$AZ$86)="EMPTY")+(UPPER($AS$86:$AZ$86)="(EMPTY)"))&gt;0,IFERROR(('Final Calculation Sheet'!$Z$35)&amp;"","")="",ISNUMBER(SEARCH($AS$86:$AZ$86,IFERROR(('Final Calculation Sheet'!$Z$35)&amp;"","")))))&gt;0))))</f>
        <v>1</v>
      </c>
      <c r="CN36">
        <f>IF($AB$4="",1,--(AND(SUMPRODUCT(--($AS$87:$AZ$87&lt;&gt;""))&gt;0,IF(COUNTIF($BI$87:$BP$87,1)=0,TRUE,SUMPRODUCT(($BI$87:$BP$87=1)*($AS$87:$AZ$87&lt;&gt;"")*IF(((UPPER($AS$87:$AZ$87)="BLANK")+(UPPER($AS$87:$AZ$87)="(BLANK)")+(UPPER($AS$87:$AZ$87)="EMPTY")+(UPPER($AS$87:$AZ$87)="(EMPTY)"))&gt;0,IFERROR(('Final Calculation Sheet'!$AA$35)&amp;"","")="",ISNUMBER(SEARCH($AS$87:$AZ$87,IFERROR(('Final Calculation Sheet'!$AA$35)&amp;"","")))))&gt;0),IF(COUNTIF($BI$87:$BP$87,2)=0,TRUE,SUMPRODUCT(($BI$87:$BP$87=2)*($AS$87:$AZ$87&lt;&gt;"")*IF(((UPPER($AS$87:$AZ$87)="BLANK")+(UPPER($AS$87:$AZ$87)="(BLANK)")+(UPPER($AS$87:$AZ$87)="EMPTY")+(UPPER($AS$87:$AZ$87)="(EMPTY)"))&gt;0,IFERROR(('Final Calculation Sheet'!$AA$35)&amp;"","")="",ISNUMBER(SEARCH($AS$87:$AZ$87,IFERROR(('Final Calculation Sheet'!$AA$35)&amp;"","")))))&gt;0),IF(COUNTIF($BI$87:$BP$87,3)=0,TRUE,SUMPRODUCT(($BI$87:$BP$87=3)*($AS$87:$AZ$87&lt;&gt;"")*IF(((UPPER($AS$87:$AZ$87)="BLANK")+(UPPER($AS$87:$AZ$87)="(BLANK)")+(UPPER($AS$87:$AZ$87)="EMPTY")+(UPPER($AS$87:$AZ$87)="(EMPTY)"))&gt;0,IFERROR(('Final Calculation Sheet'!$AA$35)&amp;"","")="",ISNUMBER(SEARCH($AS$87:$AZ$87,IFERROR(('Final Calculation Sheet'!$AA$35)&amp;"","")))))&gt;0),IF(COUNTIF($BI$87:$BP$87,4)=0,TRUE,SUMPRODUCT(($BI$87:$BP$87=4)*($AS$87:$AZ$87&lt;&gt;"")*IF(((UPPER($AS$87:$AZ$87)="BLANK")+(UPPER($AS$87:$AZ$87)="(BLANK)")+(UPPER($AS$87:$AZ$87)="EMPTY")+(UPPER($AS$87:$AZ$87)="(EMPTY)"))&gt;0,IFERROR(('Final Calculation Sheet'!$AA$35)&amp;"","")="",ISNUMBER(SEARCH($AS$87:$AZ$87,IFERROR(('Final Calculation Sheet'!$AA$35)&amp;"","")))))&gt;0),IF(COUNTIF($BI$87:$BP$87,5)=0,TRUE,SUMPRODUCT(($BI$87:$BP$87=5)*($AS$87:$AZ$87&lt;&gt;"")*IF(((UPPER($AS$87:$AZ$87)="BLANK")+(UPPER($AS$87:$AZ$87)="(BLANK)")+(UPPER($AS$87:$AZ$87)="EMPTY")+(UPPER($AS$87:$AZ$87)="(EMPTY)"))&gt;0,IFERROR(('Final Calculation Sheet'!$AA$35)&amp;"","")="",ISNUMBER(SEARCH($AS$87:$AZ$87,IFERROR(('Final Calculation Sheet'!$AA$35)&amp;"","")))))&gt;0),IF(COUNTIF($BI$87:$BP$87,6)=0,TRUE,SUMPRODUCT(($BI$87:$BP$87=6)*($AS$87:$AZ$87&lt;&gt;"")*IF(((UPPER($AS$87:$AZ$87)="BLANK")+(UPPER($AS$87:$AZ$87)="(BLANK)")+(UPPER($AS$87:$AZ$87)="EMPTY")+(UPPER($AS$87:$AZ$87)="(EMPTY)"))&gt;0,IFERROR(('Final Calculation Sheet'!$AA$35)&amp;"","")="",ISNUMBER(SEARCH($AS$87:$AZ$87,IFERROR(('Final Calculation Sheet'!$AA$35)&amp;"","")))))&gt;0),IF(COUNTIF($BI$87:$BP$87,7)=0,TRUE,SUMPRODUCT(($BI$87:$BP$87=7)*($AS$87:$AZ$87&lt;&gt;"")*IF(((UPPER($AS$87:$AZ$87)="BLANK")+(UPPER($AS$87:$AZ$87)="(BLANK)")+(UPPER($AS$87:$AZ$87)="EMPTY")+(UPPER($AS$87:$AZ$87)="(EMPTY)"))&gt;0,IFERROR(('Final Calculation Sheet'!$AA$35)&amp;"","")="",ISNUMBER(SEARCH($AS$87:$AZ$87,IFERROR(('Final Calculation Sheet'!$AA$35)&amp;"","")))))&gt;0),IF(COUNTIF($BI$87:$BP$87,8)=0,TRUE,SUMPRODUCT(($BI$87:$BP$87=8)*($AS$87:$AZ$87&lt;&gt;"")*IF(((UPPER($AS$87:$AZ$87)="BLANK")+(UPPER($AS$87:$AZ$87)="(BLANK)")+(UPPER($AS$87:$AZ$87)="EMPTY")+(UPPER($AS$87:$AZ$87)="(EMPTY)"))&gt;0,IFERROR(('Final Calculation Sheet'!$AA$35)&amp;"","")="",ISNUMBER(SEARCH($AS$87:$AZ$87,IFERROR(('Final Calculation Sheet'!$AA$35)&amp;"","")))))&gt;0))))</f>
        <v>1</v>
      </c>
      <c r="CO36">
        <f>IF($AC$4="",1,--(AND(SUMPRODUCT(--($AS$88:$AZ$88&lt;&gt;""))&gt;0,IF(COUNTIF($BI$88:$BP$88,1)=0,TRUE,SUMPRODUCT(($BI$88:$BP$88=1)*($AS$88:$AZ$88&lt;&gt;"")*IF(((UPPER($AS$88:$AZ$88)="BLANK")+(UPPER($AS$88:$AZ$88)="(BLANK)")+(UPPER($AS$88:$AZ$88)="EMPTY")+(UPPER($AS$88:$AZ$88)="(EMPTY)"))&gt;0,IFERROR(('Final Calculation Sheet'!$AB$35)&amp;"","")="",ISNUMBER(SEARCH($AS$88:$AZ$88,IFERROR(('Final Calculation Sheet'!$AB$35)&amp;"","")))))&gt;0),IF(COUNTIF($BI$88:$BP$88,2)=0,TRUE,SUMPRODUCT(($BI$88:$BP$88=2)*($AS$88:$AZ$88&lt;&gt;"")*IF(((UPPER($AS$88:$AZ$88)="BLANK")+(UPPER($AS$88:$AZ$88)="(BLANK)")+(UPPER($AS$88:$AZ$88)="EMPTY")+(UPPER($AS$88:$AZ$88)="(EMPTY)"))&gt;0,IFERROR(('Final Calculation Sheet'!$AB$35)&amp;"","")="",ISNUMBER(SEARCH($AS$88:$AZ$88,IFERROR(('Final Calculation Sheet'!$AB$35)&amp;"","")))))&gt;0),IF(COUNTIF($BI$88:$BP$88,3)=0,TRUE,SUMPRODUCT(($BI$88:$BP$88=3)*($AS$88:$AZ$88&lt;&gt;"")*IF(((UPPER($AS$88:$AZ$88)="BLANK")+(UPPER($AS$88:$AZ$88)="(BLANK)")+(UPPER($AS$88:$AZ$88)="EMPTY")+(UPPER($AS$88:$AZ$88)="(EMPTY)"))&gt;0,IFERROR(('Final Calculation Sheet'!$AB$35)&amp;"","")="",ISNUMBER(SEARCH($AS$88:$AZ$88,IFERROR(('Final Calculation Sheet'!$AB$35)&amp;"","")))))&gt;0),IF(COUNTIF($BI$88:$BP$88,4)=0,TRUE,SUMPRODUCT(($BI$88:$BP$88=4)*($AS$88:$AZ$88&lt;&gt;"")*IF(((UPPER($AS$88:$AZ$88)="BLANK")+(UPPER($AS$88:$AZ$88)="(BLANK)")+(UPPER($AS$88:$AZ$88)="EMPTY")+(UPPER($AS$88:$AZ$88)="(EMPTY)"))&gt;0,IFERROR(('Final Calculation Sheet'!$AB$35)&amp;"","")="",ISNUMBER(SEARCH($AS$88:$AZ$88,IFERROR(('Final Calculation Sheet'!$AB$35)&amp;"","")))))&gt;0),IF(COUNTIF($BI$88:$BP$88,5)=0,TRUE,SUMPRODUCT(($BI$88:$BP$88=5)*($AS$88:$AZ$88&lt;&gt;"")*IF(((UPPER($AS$88:$AZ$88)="BLANK")+(UPPER($AS$88:$AZ$88)="(BLANK)")+(UPPER($AS$88:$AZ$88)="EMPTY")+(UPPER($AS$88:$AZ$88)="(EMPTY)"))&gt;0,IFERROR(('Final Calculation Sheet'!$AB$35)&amp;"","")="",ISNUMBER(SEARCH($AS$88:$AZ$88,IFERROR(('Final Calculation Sheet'!$AB$35)&amp;"","")))))&gt;0),IF(COUNTIF($BI$88:$BP$88,6)=0,TRUE,SUMPRODUCT(($BI$88:$BP$88=6)*($AS$88:$AZ$88&lt;&gt;"")*IF(((UPPER($AS$88:$AZ$88)="BLANK")+(UPPER($AS$88:$AZ$88)="(BLANK)")+(UPPER($AS$88:$AZ$88)="EMPTY")+(UPPER($AS$88:$AZ$88)="(EMPTY)"))&gt;0,IFERROR(('Final Calculation Sheet'!$AB$35)&amp;"","")="",ISNUMBER(SEARCH($AS$88:$AZ$88,IFERROR(('Final Calculation Sheet'!$AB$35)&amp;"","")))))&gt;0),IF(COUNTIF($BI$88:$BP$88,7)=0,TRUE,SUMPRODUCT(($BI$88:$BP$88=7)*($AS$88:$AZ$88&lt;&gt;"")*IF(((UPPER($AS$88:$AZ$88)="BLANK")+(UPPER($AS$88:$AZ$88)="(BLANK)")+(UPPER($AS$88:$AZ$88)="EMPTY")+(UPPER($AS$88:$AZ$88)="(EMPTY)"))&gt;0,IFERROR(('Final Calculation Sheet'!$AB$35)&amp;"","")="",ISNUMBER(SEARCH($AS$88:$AZ$88,IFERROR(('Final Calculation Sheet'!$AB$35)&amp;"","")))))&gt;0),IF(COUNTIF($BI$88:$BP$88,8)=0,TRUE,SUMPRODUCT(($BI$88:$BP$88=8)*($AS$88:$AZ$88&lt;&gt;"")*IF(((UPPER($AS$88:$AZ$88)="BLANK")+(UPPER($AS$88:$AZ$88)="(BLANK)")+(UPPER($AS$88:$AZ$88)="EMPTY")+(UPPER($AS$88:$AZ$88)="(EMPTY)"))&gt;0,IFERROR(('Final Calculation Sheet'!$AB$35)&amp;"","")="",ISNUMBER(SEARCH($AS$88:$AZ$88,IFERROR(('Final Calculation Sheet'!$AB$35)&amp;"","")))))&gt;0))))</f>
        <v>1</v>
      </c>
      <c r="CP36">
        <f>IF($AD$4="",1,--(AND(SUMPRODUCT(--($AS$89:$AZ$89&lt;&gt;""))&gt;0,IF(COUNTIF($BI$89:$BP$89,1)=0,TRUE,SUMPRODUCT(($BI$89:$BP$89=1)*($AS$89:$AZ$89&lt;&gt;"")*IF(((UPPER($AS$89:$AZ$89)="BLANK")+(UPPER($AS$89:$AZ$89)="(BLANK)")+(UPPER($AS$89:$AZ$89)="EMPTY")+(UPPER($AS$89:$AZ$89)="(EMPTY)"))&gt;0,IFERROR(('Final Calculation Sheet'!$AC$35)&amp;"","")="",ISNUMBER(SEARCH($AS$89:$AZ$89,IFERROR(('Final Calculation Sheet'!$AC$35)&amp;"","")))))&gt;0),IF(COUNTIF($BI$89:$BP$89,2)=0,TRUE,SUMPRODUCT(($BI$89:$BP$89=2)*($AS$89:$AZ$89&lt;&gt;"")*IF(((UPPER($AS$89:$AZ$89)="BLANK")+(UPPER($AS$89:$AZ$89)="(BLANK)")+(UPPER($AS$89:$AZ$89)="EMPTY")+(UPPER($AS$89:$AZ$89)="(EMPTY)"))&gt;0,IFERROR(('Final Calculation Sheet'!$AC$35)&amp;"","")="",ISNUMBER(SEARCH($AS$89:$AZ$89,IFERROR(('Final Calculation Sheet'!$AC$35)&amp;"","")))))&gt;0),IF(COUNTIF($BI$89:$BP$89,3)=0,TRUE,SUMPRODUCT(($BI$89:$BP$89=3)*($AS$89:$AZ$89&lt;&gt;"")*IF(((UPPER($AS$89:$AZ$89)="BLANK")+(UPPER($AS$89:$AZ$89)="(BLANK)")+(UPPER($AS$89:$AZ$89)="EMPTY")+(UPPER($AS$89:$AZ$89)="(EMPTY)"))&gt;0,IFERROR(('Final Calculation Sheet'!$AC$35)&amp;"","")="",ISNUMBER(SEARCH($AS$89:$AZ$89,IFERROR(('Final Calculation Sheet'!$AC$35)&amp;"","")))))&gt;0),IF(COUNTIF($BI$89:$BP$89,4)=0,TRUE,SUMPRODUCT(($BI$89:$BP$89=4)*($AS$89:$AZ$89&lt;&gt;"")*IF(((UPPER($AS$89:$AZ$89)="BLANK")+(UPPER($AS$89:$AZ$89)="(BLANK)")+(UPPER($AS$89:$AZ$89)="EMPTY")+(UPPER($AS$89:$AZ$89)="(EMPTY)"))&gt;0,IFERROR(('Final Calculation Sheet'!$AC$35)&amp;"","")="",ISNUMBER(SEARCH($AS$89:$AZ$89,IFERROR(('Final Calculation Sheet'!$AC$35)&amp;"","")))))&gt;0),IF(COUNTIF($BI$89:$BP$89,5)=0,TRUE,SUMPRODUCT(($BI$89:$BP$89=5)*($AS$89:$AZ$89&lt;&gt;"")*IF(((UPPER($AS$89:$AZ$89)="BLANK")+(UPPER($AS$89:$AZ$89)="(BLANK)")+(UPPER($AS$89:$AZ$89)="EMPTY")+(UPPER($AS$89:$AZ$89)="(EMPTY)"))&gt;0,IFERROR(('Final Calculation Sheet'!$AC$35)&amp;"","")="",ISNUMBER(SEARCH($AS$89:$AZ$89,IFERROR(('Final Calculation Sheet'!$AC$35)&amp;"","")))))&gt;0),IF(COUNTIF($BI$89:$BP$89,6)=0,TRUE,SUMPRODUCT(($BI$89:$BP$89=6)*($AS$89:$AZ$89&lt;&gt;"")*IF(((UPPER($AS$89:$AZ$89)="BLANK")+(UPPER($AS$89:$AZ$89)="(BLANK)")+(UPPER($AS$89:$AZ$89)="EMPTY")+(UPPER($AS$89:$AZ$89)="(EMPTY)"))&gt;0,IFERROR(('Final Calculation Sheet'!$AC$35)&amp;"","")="",ISNUMBER(SEARCH($AS$89:$AZ$89,IFERROR(('Final Calculation Sheet'!$AC$35)&amp;"","")))))&gt;0),IF(COUNTIF($BI$89:$BP$89,7)=0,TRUE,SUMPRODUCT(($BI$89:$BP$89=7)*($AS$89:$AZ$89&lt;&gt;"")*IF(((UPPER($AS$89:$AZ$89)="BLANK")+(UPPER($AS$89:$AZ$89)="(BLANK)")+(UPPER($AS$89:$AZ$89)="EMPTY")+(UPPER($AS$89:$AZ$89)="(EMPTY)"))&gt;0,IFERROR(('Final Calculation Sheet'!$AC$35)&amp;"","")="",ISNUMBER(SEARCH($AS$89:$AZ$89,IFERROR(('Final Calculation Sheet'!$AC$35)&amp;"","")))))&gt;0),IF(COUNTIF($BI$89:$BP$89,8)=0,TRUE,SUMPRODUCT(($BI$89:$BP$89=8)*($AS$89:$AZ$89&lt;&gt;"")*IF(((UPPER($AS$89:$AZ$89)="BLANK")+(UPPER($AS$89:$AZ$89)="(BLANK)")+(UPPER($AS$89:$AZ$89)="EMPTY")+(UPPER($AS$89:$AZ$89)="(EMPTY)"))&gt;0,IFERROR(('Final Calculation Sheet'!$AC$35)&amp;"","")="",ISNUMBER(SEARCH($AS$89:$AZ$89,IFERROR(('Final Calculation Sheet'!$AC$35)&amp;"","")))))&gt;0))))</f>
        <v>1</v>
      </c>
      <c r="CQ36">
        <f>IF($AE$4="",1,--(AND(SUMPRODUCT(--($AS$90:$AZ$90&lt;&gt;""))&gt;0,IF(COUNTIF($BI$90:$BP$90,1)=0,TRUE,SUMPRODUCT(($BI$90:$BP$90=1)*($AS$90:$AZ$90&lt;&gt;"")*IF(((UPPER($AS$90:$AZ$90)="BLANK")+(UPPER($AS$90:$AZ$90)="(BLANK)")+(UPPER($AS$90:$AZ$90)="EMPTY")+(UPPER($AS$90:$AZ$90)="(EMPTY)"))&gt;0,IFERROR(('Final Calculation Sheet'!$AD$35)&amp;"","")="",ISNUMBER(SEARCH($AS$90:$AZ$90,IFERROR(('Final Calculation Sheet'!$AD$35)&amp;"","")))))&gt;0),IF(COUNTIF($BI$90:$BP$90,2)=0,TRUE,SUMPRODUCT(($BI$90:$BP$90=2)*($AS$90:$AZ$90&lt;&gt;"")*IF(((UPPER($AS$90:$AZ$90)="BLANK")+(UPPER($AS$90:$AZ$90)="(BLANK)")+(UPPER($AS$90:$AZ$90)="EMPTY")+(UPPER($AS$90:$AZ$90)="(EMPTY)"))&gt;0,IFERROR(('Final Calculation Sheet'!$AD$35)&amp;"","")="",ISNUMBER(SEARCH($AS$90:$AZ$90,IFERROR(('Final Calculation Sheet'!$AD$35)&amp;"","")))))&gt;0),IF(COUNTIF($BI$90:$BP$90,3)=0,TRUE,SUMPRODUCT(($BI$90:$BP$90=3)*($AS$90:$AZ$90&lt;&gt;"")*IF(((UPPER($AS$90:$AZ$90)="BLANK")+(UPPER($AS$90:$AZ$90)="(BLANK)")+(UPPER($AS$90:$AZ$90)="EMPTY")+(UPPER($AS$90:$AZ$90)="(EMPTY)"))&gt;0,IFERROR(('Final Calculation Sheet'!$AD$35)&amp;"","")="",ISNUMBER(SEARCH($AS$90:$AZ$90,IFERROR(('Final Calculation Sheet'!$AD$35)&amp;"","")))))&gt;0),IF(COUNTIF($BI$90:$BP$90,4)=0,TRUE,SUMPRODUCT(($BI$90:$BP$90=4)*($AS$90:$AZ$90&lt;&gt;"")*IF(((UPPER($AS$90:$AZ$90)="BLANK")+(UPPER($AS$90:$AZ$90)="(BLANK)")+(UPPER($AS$90:$AZ$90)="EMPTY")+(UPPER($AS$90:$AZ$90)="(EMPTY)"))&gt;0,IFERROR(('Final Calculation Sheet'!$AD$35)&amp;"","")="",ISNUMBER(SEARCH($AS$90:$AZ$90,IFERROR(('Final Calculation Sheet'!$AD$35)&amp;"","")))))&gt;0),IF(COUNTIF($BI$90:$BP$90,5)=0,TRUE,SUMPRODUCT(($BI$90:$BP$90=5)*($AS$90:$AZ$90&lt;&gt;"")*IF(((UPPER($AS$90:$AZ$90)="BLANK")+(UPPER($AS$90:$AZ$90)="(BLANK)")+(UPPER($AS$90:$AZ$90)="EMPTY")+(UPPER($AS$90:$AZ$90)="(EMPTY)"))&gt;0,IFERROR(('Final Calculation Sheet'!$AD$35)&amp;"","")="",ISNUMBER(SEARCH($AS$90:$AZ$90,IFERROR(('Final Calculation Sheet'!$AD$35)&amp;"","")))))&gt;0),IF(COUNTIF($BI$90:$BP$90,6)=0,TRUE,SUMPRODUCT(($BI$90:$BP$90=6)*($AS$90:$AZ$90&lt;&gt;"")*IF(((UPPER($AS$90:$AZ$90)="BLANK")+(UPPER($AS$90:$AZ$90)="(BLANK)")+(UPPER($AS$90:$AZ$90)="EMPTY")+(UPPER($AS$90:$AZ$90)="(EMPTY)"))&gt;0,IFERROR(('Final Calculation Sheet'!$AD$35)&amp;"","")="",ISNUMBER(SEARCH($AS$90:$AZ$90,IFERROR(('Final Calculation Sheet'!$AD$35)&amp;"","")))))&gt;0),IF(COUNTIF($BI$90:$BP$90,7)=0,TRUE,SUMPRODUCT(($BI$90:$BP$90=7)*($AS$90:$AZ$90&lt;&gt;"")*IF(((UPPER($AS$90:$AZ$90)="BLANK")+(UPPER($AS$90:$AZ$90)="(BLANK)")+(UPPER($AS$90:$AZ$90)="EMPTY")+(UPPER($AS$90:$AZ$90)="(EMPTY)"))&gt;0,IFERROR(('Final Calculation Sheet'!$AD$35)&amp;"","")="",ISNUMBER(SEARCH($AS$90:$AZ$90,IFERROR(('Final Calculation Sheet'!$AD$35)&amp;"","")))))&gt;0),IF(COUNTIF($BI$90:$BP$90,8)=0,TRUE,SUMPRODUCT(($BI$90:$BP$90=8)*($AS$90:$AZ$90&lt;&gt;"")*IF(((UPPER($AS$90:$AZ$90)="BLANK")+(UPPER($AS$90:$AZ$90)="(BLANK)")+(UPPER($AS$90:$AZ$90)="EMPTY")+(UPPER($AS$90:$AZ$90)="(EMPTY)"))&gt;0,IFERROR(('Final Calculation Sheet'!$AD$35)&amp;"","")="",ISNUMBER(SEARCH($AS$90:$AZ$90,IFERROR(('Final Calculation Sheet'!$AD$35)&amp;"","")))))&gt;0))))</f>
        <v>1</v>
      </c>
      <c r="CR36">
        <f>IF($AF$4="",1,--(AND(SUMPRODUCT(--($AS$91:$AZ$91&lt;&gt;""))&gt;0,IF(COUNTIF($BI$91:$BP$91,1)=0,TRUE,SUMPRODUCT(($BI$91:$BP$91=1)*($AS$91:$AZ$91&lt;&gt;"")*IF(((UPPER($AS$91:$AZ$91)="BLANK")+(UPPER($AS$91:$AZ$91)="(BLANK)")+(UPPER($AS$91:$AZ$91)="EMPTY")+(UPPER($AS$91:$AZ$91)="(EMPTY)"))&gt;0,IFERROR(('Final Calculation Sheet'!$AE$35)&amp;"","")="",ISNUMBER(SEARCH($AS$91:$AZ$91,IFERROR(('Final Calculation Sheet'!$AE$35)&amp;"","")))))&gt;0),IF(COUNTIF($BI$91:$BP$91,2)=0,TRUE,SUMPRODUCT(($BI$91:$BP$91=2)*($AS$91:$AZ$91&lt;&gt;"")*IF(((UPPER($AS$91:$AZ$91)="BLANK")+(UPPER($AS$91:$AZ$91)="(BLANK)")+(UPPER($AS$91:$AZ$91)="EMPTY")+(UPPER($AS$91:$AZ$91)="(EMPTY)"))&gt;0,IFERROR(('Final Calculation Sheet'!$AE$35)&amp;"","")="",ISNUMBER(SEARCH($AS$91:$AZ$91,IFERROR(('Final Calculation Sheet'!$AE$35)&amp;"","")))))&gt;0),IF(COUNTIF($BI$91:$BP$91,3)=0,TRUE,SUMPRODUCT(($BI$91:$BP$91=3)*($AS$91:$AZ$91&lt;&gt;"")*IF(((UPPER($AS$91:$AZ$91)="BLANK")+(UPPER($AS$91:$AZ$91)="(BLANK)")+(UPPER($AS$91:$AZ$91)="EMPTY")+(UPPER($AS$91:$AZ$91)="(EMPTY)"))&gt;0,IFERROR(('Final Calculation Sheet'!$AE$35)&amp;"","")="",ISNUMBER(SEARCH($AS$91:$AZ$91,IFERROR(('Final Calculation Sheet'!$AE$35)&amp;"","")))))&gt;0),IF(COUNTIF($BI$91:$BP$91,4)=0,TRUE,SUMPRODUCT(($BI$91:$BP$91=4)*($AS$91:$AZ$91&lt;&gt;"")*IF(((UPPER($AS$91:$AZ$91)="BLANK")+(UPPER($AS$91:$AZ$91)="(BLANK)")+(UPPER($AS$91:$AZ$91)="EMPTY")+(UPPER($AS$91:$AZ$91)="(EMPTY)"))&gt;0,IFERROR(('Final Calculation Sheet'!$AE$35)&amp;"","")="",ISNUMBER(SEARCH($AS$91:$AZ$91,IFERROR(('Final Calculation Sheet'!$AE$35)&amp;"","")))))&gt;0),IF(COUNTIF($BI$91:$BP$91,5)=0,TRUE,SUMPRODUCT(($BI$91:$BP$91=5)*($AS$91:$AZ$91&lt;&gt;"")*IF(((UPPER($AS$91:$AZ$91)="BLANK")+(UPPER($AS$91:$AZ$91)="(BLANK)")+(UPPER($AS$91:$AZ$91)="EMPTY")+(UPPER($AS$91:$AZ$91)="(EMPTY)"))&gt;0,IFERROR(('Final Calculation Sheet'!$AE$35)&amp;"","")="",ISNUMBER(SEARCH($AS$91:$AZ$91,IFERROR(('Final Calculation Sheet'!$AE$35)&amp;"","")))))&gt;0),IF(COUNTIF($BI$91:$BP$91,6)=0,TRUE,SUMPRODUCT(($BI$91:$BP$91=6)*($AS$91:$AZ$91&lt;&gt;"")*IF(((UPPER($AS$91:$AZ$91)="BLANK")+(UPPER($AS$91:$AZ$91)="(BLANK)")+(UPPER($AS$91:$AZ$91)="EMPTY")+(UPPER($AS$91:$AZ$91)="(EMPTY)"))&gt;0,IFERROR(('Final Calculation Sheet'!$AE$35)&amp;"","")="",ISNUMBER(SEARCH($AS$91:$AZ$91,IFERROR(('Final Calculation Sheet'!$AE$35)&amp;"","")))))&gt;0),IF(COUNTIF($BI$91:$BP$91,7)=0,TRUE,SUMPRODUCT(($BI$91:$BP$91=7)*($AS$91:$AZ$91&lt;&gt;"")*IF(((UPPER($AS$91:$AZ$91)="BLANK")+(UPPER($AS$91:$AZ$91)="(BLANK)")+(UPPER($AS$91:$AZ$91)="EMPTY")+(UPPER($AS$91:$AZ$91)="(EMPTY)"))&gt;0,IFERROR(('Final Calculation Sheet'!$AE$35)&amp;"","")="",ISNUMBER(SEARCH($AS$91:$AZ$91,IFERROR(('Final Calculation Sheet'!$AE$35)&amp;"","")))))&gt;0),IF(COUNTIF($BI$91:$BP$91,8)=0,TRUE,SUMPRODUCT(($BI$91:$BP$91=8)*($AS$91:$AZ$91&lt;&gt;"")*IF(((UPPER($AS$91:$AZ$91)="BLANK")+(UPPER($AS$91:$AZ$91)="(BLANK)")+(UPPER($AS$91:$AZ$91)="EMPTY")+(UPPER($AS$91:$AZ$91)="(EMPTY)"))&gt;0,IFERROR(('Final Calculation Sheet'!$AE$35)&amp;"","")="",ISNUMBER(SEARCH($AS$91:$AZ$91,IFERROR(('Final Calculation Sheet'!$AE$35)&amp;"","")))))&gt;0))))</f>
        <v>1</v>
      </c>
      <c r="CS36">
        <f>IF($AG$4="",1,--(AND(SUMPRODUCT(--($AS$92:$AZ$92&lt;&gt;""))&gt;0,IF(COUNTIF($BI$92:$BP$92,1)=0,TRUE,SUMPRODUCT(($BI$92:$BP$92=1)*($AS$92:$AZ$92&lt;&gt;"")*IF(((UPPER($AS$92:$AZ$92)="BLANK")+(UPPER($AS$92:$AZ$92)="(BLANK)")+(UPPER($AS$92:$AZ$92)="EMPTY")+(UPPER($AS$92:$AZ$92)="(EMPTY)"))&gt;0,IFERROR(('Final Calculation Sheet'!$AF$35)&amp;"","")="",ISNUMBER(SEARCH($AS$92:$AZ$92,IFERROR(('Final Calculation Sheet'!$AF$35)&amp;"","")))))&gt;0),IF(COUNTIF($BI$92:$BP$92,2)=0,TRUE,SUMPRODUCT(($BI$92:$BP$92=2)*($AS$92:$AZ$92&lt;&gt;"")*IF(((UPPER($AS$92:$AZ$92)="BLANK")+(UPPER($AS$92:$AZ$92)="(BLANK)")+(UPPER($AS$92:$AZ$92)="EMPTY")+(UPPER($AS$92:$AZ$92)="(EMPTY)"))&gt;0,IFERROR(('Final Calculation Sheet'!$AF$35)&amp;"","")="",ISNUMBER(SEARCH($AS$92:$AZ$92,IFERROR(('Final Calculation Sheet'!$AF$35)&amp;"","")))))&gt;0),IF(COUNTIF($BI$92:$BP$92,3)=0,TRUE,SUMPRODUCT(($BI$92:$BP$92=3)*($AS$92:$AZ$92&lt;&gt;"")*IF(((UPPER($AS$92:$AZ$92)="BLANK")+(UPPER($AS$92:$AZ$92)="(BLANK)")+(UPPER($AS$92:$AZ$92)="EMPTY")+(UPPER($AS$92:$AZ$92)="(EMPTY)"))&gt;0,IFERROR(('Final Calculation Sheet'!$AF$35)&amp;"","")="",ISNUMBER(SEARCH($AS$92:$AZ$92,IFERROR(('Final Calculation Sheet'!$AF$35)&amp;"","")))))&gt;0),IF(COUNTIF($BI$92:$BP$92,4)=0,TRUE,SUMPRODUCT(($BI$92:$BP$92=4)*($AS$92:$AZ$92&lt;&gt;"")*IF(((UPPER($AS$92:$AZ$92)="BLANK")+(UPPER($AS$92:$AZ$92)="(BLANK)")+(UPPER($AS$92:$AZ$92)="EMPTY")+(UPPER($AS$92:$AZ$92)="(EMPTY)"))&gt;0,IFERROR(('Final Calculation Sheet'!$AF$35)&amp;"","")="",ISNUMBER(SEARCH($AS$92:$AZ$92,IFERROR(('Final Calculation Sheet'!$AF$35)&amp;"","")))))&gt;0),IF(COUNTIF($BI$92:$BP$92,5)=0,TRUE,SUMPRODUCT(($BI$92:$BP$92=5)*($AS$92:$AZ$92&lt;&gt;"")*IF(((UPPER($AS$92:$AZ$92)="BLANK")+(UPPER($AS$92:$AZ$92)="(BLANK)")+(UPPER($AS$92:$AZ$92)="EMPTY")+(UPPER($AS$92:$AZ$92)="(EMPTY)"))&gt;0,IFERROR(('Final Calculation Sheet'!$AF$35)&amp;"","")="",ISNUMBER(SEARCH($AS$92:$AZ$92,IFERROR(('Final Calculation Sheet'!$AF$35)&amp;"","")))))&gt;0),IF(COUNTIF($BI$92:$BP$92,6)=0,TRUE,SUMPRODUCT(($BI$92:$BP$92=6)*($AS$92:$AZ$92&lt;&gt;"")*IF(((UPPER($AS$92:$AZ$92)="BLANK")+(UPPER($AS$92:$AZ$92)="(BLANK)")+(UPPER($AS$92:$AZ$92)="EMPTY")+(UPPER($AS$92:$AZ$92)="(EMPTY)"))&gt;0,IFERROR(('Final Calculation Sheet'!$AF$35)&amp;"","")="",ISNUMBER(SEARCH($AS$92:$AZ$92,IFERROR(('Final Calculation Sheet'!$AF$35)&amp;"","")))))&gt;0),IF(COUNTIF($BI$92:$BP$92,7)=0,TRUE,SUMPRODUCT(($BI$92:$BP$92=7)*($AS$92:$AZ$92&lt;&gt;"")*IF(((UPPER($AS$92:$AZ$92)="BLANK")+(UPPER($AS$92:$AZ$92)="(BLANK)")+(UPPER($AS$92:$AZ$92)="EMPTY")+(UPPER($AS$92:$AZ$92)="(EMPTY)"))&gt;0,IFERROR(('Final Calculation Sheet'!$AF$35)&amp;"","")="",ISNUMBER(SEARCH($AS$92:$AZ$92,IFERROR(('Final Calculation Sheet'!$AF$35)&amp;"","")))))&gt;0),IF(COUNTIF($BI$92:$BP$92,8)=0,TRUE,SUMPRODUCT(($BI$92:$BP$92=8)*($AS$92:$AZ$92&lt;&gt;"")*IF(((UPPER($AS$92:$AZ$92)="BLANK")+(UPPER($AS$92:$AZ$92)="(BLANK)")+(UPPER($AS$92:$AZ$92)="EMPTY")+(UPPER($AS$92:$AZ$92)="(EMPTY)"))&gt;0,IFERROR(('Final Calculation Sheet'!$AF$35)&amp;"","")="",ISNUMBER(SEARCH($AS$92:$AZ$92,IFERROR(('Final Calculation Sheet'!$AF$35)&amp;"","")))))&gt;0))))</f>
        <v>1</v>
      </c>
      <c r="CT36">
        <f>IF($AH$4="",1,--(AND(SUMPRODUCT(--($AS$93:$AZ$93&lt;&gt;""))&gt;0,IF(COUNTIF($BI$93:$BP$93,1)=0,TRUE,SUMPRODUCT(($BI$93:$BP$93=1)*($AS$93:$AZ$93&lt;&gt;"")*IF(((UPPER($AS$93:$AZ$93)="BLANK")+(UPPER($AS$93:$AZ$93)="(BLANK)")+(UPPER($AS$93:$AZ$93)="EMPTY")+(UPPER($AS$93:$AZ$93)="(EMPTY)"))&gt;0,IFERROR(('Final Calculation Sheet'!$AG$35)&amp;"","")="",ISNUMBER(SEARCH($AS$93:$AZ$93,IFERROR(('Final Calculation Sheet'!$AG$35)&amp;"","")))))&gt;0),IF(COUNTIF($BI$93:$BP$93,2)=0,TRUE,SUMPRODUCT(($BI$93:$BP$93=2)*($AS$93:$AZ$93&lt;&gt;"")*IF(((UPPER($AS$93:$AZ$93)="BLANK")+(UPPER($AS$93:$AZ$93)="(BLANK)")+(UPPER($AS$93:$AZ$93)="EMPTY")+(UPPER($AS$93:$AZ$93)="(EMPTY)"))&gt;0,IFERROR(('Final Calculation Sheet'!$AG$35)&amp;"","")="",ISNUMBER(SEARCH($AS$93:$AZ$93,IFERROR(('Final Calculation Sheet'!$AG$35)&amp;"","")))))&gt;0),IF(COUNTIF($BI$93:$BP$93,3)=0,TRUE,SUMPRODUCT(($BI$93:$BP$93=3)*($AS$93:$AZ$93&lt;&gt;"")*IF(((UPPER($AS$93:$AZ$93)="BLANK")+(UPPER($AS$93:$AZ$93)="(BLANK)")+(UPPER($AS$93:$AZ$93)="EMPTY")+(UPPER($AS$93:$AZ$93)="(EMPTY)"))&gt;0,IFERROR(('Final Calculation Sheet'!$AG$35)&amp;"","")="",ISNUMBER(SEARCH($AS$93:$AZ$93,IFERROR(('Final Calculation Sheet'!$AG$35)&amp;"","")))))&gt;0),IF(COUNTIF($BI$93:$BP$93,4)=0,TRUE,SUMPRODUCT(($BI$93:$BP$93=4)*($AS$93:$AZ$93&lt;&gt;"")*IF(((UPPER($AS$93:$AZ$93)="BLANK")+(UPPER($AS$93:$AZ$93)="(BLANK)")+(UPPER($AS$93:$AZ$93)="EMPTY")+(UPPER($AS$93:$AZ$93)="(EMPTY)"))&gt;0,IFERROR(('Final Calculation Sheet'!$AG$35)&amp;"","")="",ISNUMBER(SEARCH($AS$93:$AZ$93,IFERROR(('Final Calculation Sheet'!$AG$35)&amp;"","")))))&gt;0),IF(COUNTIF($BI$93:$BP$93,5)=0,TRUE,SUMPRODUCT(($BI$93:$BP$93=5)*($AS$93:$AZ$93&lt;&gt;"")*IF(((UPPER($AS$93:$AZ$93)="BLANK")+(UPPER($AS$93:$AZ$93)="(BLANK)")+(UPPER($AS$93:$AZ$93)="EMPTY")+(UPPER($AS$93:$AZ$93)="(EMPTY)"))&gt;0,IFERROR(('Final Calculation Sheet'!$AG$35)&amp;"","")="",ISNUMBER(SEARCH($AS$93:$AZ$93,IFERROR(('Final Calculation Sheet'!$AG$35)&amp;"","")))))&gt;0),IF(COUNTIF($BI$93:$BP$93,6)=0,TRUE,SUMPRODUCT(($BI$93:$BP$93=6)*($AS$93:$AZ$93&lt;&gt;"")*IF(((UPPER($AS$93:$AZ$93)="BLANK")+(UPPER($AS$93:$AZ$93)="(BLANK)")+(UPPER($AS$93:$AZ$93)="EMPTY")+(UPPER($AS$93:$AZ$93)="(EMPTY)"))&gt;0,IFERROR(('Final Calculation Sheet'!$AG$35)&amp;"","")="",ISNUMBER(SEARCH($AS$93:$AZ$93,IFERROR(('Final Calculation Sheet'!$AG$35)&amp;"","")))))&gt;0),IF(COUNTIF($BI$93:$BP$93,7)=0,TRUE,SUMPRODUCT(($BI$93:$BP$93=7)*($AS$93:$AZ$93&lt;&gt;"")*IF(((UPPER($AS$93:$AZ$93)="BLANK")+(UPPER($AS$93:$AZ$93)="(BLANK)")+(UPPER($AS$93:$AZ$93)="EMPTY")+(UPPER($AS$93:$AZ$93)="(EMPTY)"))&gt;0,IFERROR(('Final Calculation Sheet'!$AG$35)&amp;"","")="",ISNUMBER(SEARCH($AS$93:$AZ$93,IFERROR(('Final Calculation Sheet'!$AG$35)&amp;"","")))))&gt;0),IF(COUNTIF($BI$93:$BP$93,8)=0,TRUE,SUMPRODUCT(($BI$93:$BP$93=8)*($AS$93:$AZ$93&lt;&gt;"")*IF(((UPPER($AS$93:$AZ$93)="BLANK")+(UPPER($AS$93:$AZ$93)="(BLANK)")+(UPPER($AS$93:$AZ$93)="EMPTY")+(UPPER($AS$93:$AZ$93)="(EMPTY)"))&gt;0,IFERROR(('Final Calculation Sheet'!$AG$35)&amp;"","")="",ISNUMBER(SEARCH($AS$93:$AZ$93,IFERROR(('Final Calculation Sheet'!$AG$35)&amp;"","")))))&gt;0))))</f>
        <v>1</v>
      </c>
      <c r="CU36">
        <f>IF($AI$4="",1,--(AND(SUMPRODUCT(--($AS$94:$AZ$94&lt;&gt;""))&gt;0,IF(COUNTIF($BI$94:$BP$94,1)=0,TRUE,SUMPRODUCT(($BI$94:$BP$94=1)*($AS$94:$AZ$94&lt;&gt;"")*IF(((UPPER($AS$94:$AZ$94)="BLANK")+(UPPER($AS$94:$AZ$94)="(BLANK)")+(UPPER($AS$94:$AZ$94)="EMPTY")+(UPPER($AS$94:$AZ$94)="(EMPTY)"))&gt;0,IFERROR((IF('Final Calculation Sheet'!$AD$35&lt;=0,"SETTLED","OUTSTANDING"))&amp;"","")="",ISNUMBER(SEARCH($AS$94:$AZ$94,IFERROR((IF('Final Calculation Sheet'!$AD$35&lt;=0,"SETTLED","OUTSTANDING"))&amp;"","")))))&gt;0),IF(COUNTIF($BI$94:$BP$94,2)=0,TRUE,SUMPRODUCT(($BI$94:$BP$94=2)*($AS$94:$AZ$94&lt;&gt;"")*IF(((UPPER($AS$94:$AZ$94)="BLANK")+(UPPER($AS$94:$AZ$94)="(BLANK)")+(UPPER($AS$94:$AZ$94)="EMPTY")+(UPPER($AS$94:$AZ$94)="(EMPTY)"))&gt;0,IFERROR((IF('Final Calculation Sheet'!$AD$35&lt;=0,"SETTLED","OUTSTANDING"))&amp;"","")="",ISNUMBER(SEARCH($AS$94:$AZ$94,IFERROR((IF('Final Calculation Sheet'!$AD$35&lt;=0,"SETTLED","OUTSTANDING"))&amp;"","")))))&gt;0),IF(COUNTIF($BI$94:$BP$94,3)=0,TRUE,SUMPRODUCT(($BI$94:$BP$94=3)*($AS$94:$AZ$94&lt;&gt;"")*IF(((UPPER($AS$94:$AZ$94)="BLANK")+(UPPER($AS$94:$AZ$94)="(BLANK)")+(UPPER($AS$94:$AZ$94)="EMPTY")+(UPPER($AS$94:$AZ$94)="(EMPTY)"))&gt;0,IFERROR((IF('Final Calculation Sheet'!$AD$35&lt;=0,"SETTLED","OUTSTANDING"))&amp;"","")="",ISNUMBER(SEARCH($AS$94:$AZ$94,IFERROR((IF('Final Calculation Sheet'!$AD$35&lt;=0,"SETTLED","OUTSTANDING"))&amp;"","")))))&gt;0),IF(COUNTIF($BI$94:$BP$94,4)=0,TRUE,SUMPRODUCT(($BI$94:$BP$94=4)*($AS$94:$AZ$94&lt;&gt;"")*IF(((UPPER($AS$94:$AZ$94)="BLANK")+(UPPER($AS$94:$AZ$94)="(BLANK)")+(UPPER($AS$94:$AZ$94)="EMPTY")+(UPPER($AS$94:$AZ$94)="(EMPTY)"))&gt;0,IFERROR((IF('Final Calculation Sheet'!$AD$35&lt;=0,"SETTLED","OUTSTANDING"))&amp;"","")="",ISNUMBER(SEARCH($AS$94:$AZ$94,IFERROR((IF('Final Calculation Sheet'!$AD$35&lt;=0,"SETTLED","OUTSTANDING"))&amp;"","")))))&gt;0),IF(COUNTIF($BI$94:$BP$94,5)=0,TRUE,SUMPRODUCT(($BI$94:$BP$94=5)*($AS$94:$AZ$94&lt;&gt;"")*IF(((UPPER($AS$94:$AZ$94)="BLANK")+(UPPER($AS$94:$AZ$94)="(BLANK)")+(UPPER($AS$94:$AZ$94)="EMPTY")+(UPPER($AS$94:$AZ$94)="(EMPTY)"))&gt;0,IFERROR((IF('Final Calculation Sheet'!$AD$35&lt;=0,"SETTLED","OUTSTANDING"))&amp;"","")="",ISNUMBER(SEARCH($AS$94:$AZ$94,IFERROR((IF('Final Calculation Sheet'!$AD$35&lt;=0,"SETTLED","OUTSTANDING"))&amp;"","")))))&gt;0),IF(COUNTIF($BI$94:$BP$94,6)=0,TRUE,SUMPRODUCT(($BI$94:$BP$94=6)*($AS$94:$AZ$94&lt;&gt;"")*IF(((UPPER($AS$94:$AZ$94)="BLANK")+(UPPER($AS$94:$AZ$94)="(BLANK)")+(UPPER($AS$94:$AZ$94)="EMPTY")+(UPPER($AS$94:$AZ$94)="(EMPTY)"))&gt;0,IFERROR((IF('Final Calculation Sheet'!$AD$35&lt;=0,"SETTLED","OUTSTANDING"))&amp;"","")="",ISNUMBER(SEARCH($AS$94:$AZ$94,IFERROR((IF('Final Calculation Sheet'!$AD$35&lt;=0,"SETTLED","OUTSTANDING"))&amp;"","")))))&gt;0),IF(COUNTIF($BI$94:$BP$94,7)=0,TRUE,SUMPRODUCT(($BI$94:$BP$94=7)*($AS$94:$AZ$94&lt;&gt;"")*IF(((UPPER($AS$94:$AZ$94)="BLANK")+(UPPER($AS$94:$AZ$94)="(BLANK)")+(UPPER($AS$94:$AZ$94)="EMPTY")+(UPPER($AS$94:$AZ$94)="(EMPTY)"))&gt;0,IFERROR((IF('Final Calculation Sheet'!$AD$35&lt;=0,"SETTLED","OUTSTANDING"))&amp;"","")="",ISNUMBER(SEARCH($AS$94:$AZ$94,IFERROR((IF('Final Calculation Sheet'!$AD$35&lt;=0,"SETTLED","OUTSTANDING"))&amp;"","")))))&gt;0),IF(COUNTIF($BI$94:$BP$94,8)=0,TRUE,SUMPRODUCT(($BI$94:$BP$94=8)*($AS$94:$AZ$94&lt;&gt;"")*IF(((UPPER($AS$94:$AZ$94)="BLANK")+(UPPER($AS$94:$AZ$94)="(BLANK)")+(UPPER($AS$94:$AZ$94)="EMPTY")+(UPPER($AS$94:$AZ$94)="(EMPTY)"))&gt;0,IFERROR((IF('Final Calculation Sheet'!$AD$35&lt;=0,"SETTLED","OUTSTANDING"))&amp;"","")="",ISNUMBER(SEARCH($AS$94:$AZ$94,IFERROR((IF('Final Calculation Sheet'!$AD$35&lt;=0,"SETTLED","OUTSTANDING"))&amp;"","")))))&gt;0))))</f>
        <v>1</v>
      </c>
    </row>
    <row r="37" spans="1:99" ht="15" customHeight="1" x14ac:dyDescent="0.25">
      <c r="A37" s="67">
        <f>IF($BJ36&gt;0,INDEX($BA$5:$BA$41,MATCH(36,$BB$5:$BB$41,0)),IF(OR($BI36=1,$BL36=1,$BH36&gt;0),"∑",""))</f>
        <v>20</v>
      </c>
      <c r="B37" s="68">
        <f>IF($BJ36&gt;0,IF(INDEX('Final Calculation Sheet'!$F$4:$F$40,$BJ36-3)="","",INDEX('Final Calculation Sheet'!$F$4:$F$40,$BJ36-3)),"")</f>
        <v>2043</v>
      </c>
      <c r="C37" s="68" t="str">
        <f>IF($BJ36&gt;0,IF(INDEX('Final Calculation Sheet'!$G$4:$G$40,$BJ36-3)="","",INDEX('Final Calculation Sheet'!$G$4:$G$40,$BJ36-3)),IF(OR($BI36=1,$BL36=1,$BH36&gt;0),IF($BI36=1,37,IF($BL36=1,37-INDEX($BD$4:$BD$13,10),INDEX($BD$4:$BD$13,$BH36)))&amp;" lot(s)",""))</f>
        <v>NATIONAL ENTERPRISES</v>
      </c>
      <c r="D37" s="69" t="str">
        <f>IF($BJ36&gt;0,IF(INDEX('Final Calculation Sheet'!$B$4:$B$40,$BJ36-3)="","",INDEX('Final Calculation Sheet'!$B$4:$B$40,$BJ36-3)),IF(OR($BI36=1,$BL36=1,$BH36&gt;0),IF($BI36=1,"GRAND TOTAL  —  matching + remaining",IF($BL36=1,"TOTAL MATCHED  —  every group together",IF($BH36=10,"REMAINING  —  did not match the search",IF($BH36=9,IF(COUNTIF($A$4:$AI$4,"&lt;&gt;")&gt;0,"FILTERED LOTS  —  column fields","ALL LOTS  —  nothing typed in the box"),"GROUP "&amp;$BH36&amp;" TOTAL  —  lots matching  "&amp;INDEX($AR$6:$AY$6,$BH36))))),""))</f>
        <v>Scrap of 132 KV CT</v>
      </c>
      <c r="E37" s="69">
        <f>IF($BJ36&gt;0,IF(INDEX('Final Calculation Sheet'!$D$4:$D$40,$BJ36-3)="","",INDEX('Final Calculation Sheet'!$D$4:$D$40,$BJ36-3)),IF(OR($BI36=1,$BL36=1,$BH36&gt;0),"–",""))</f>
        <v>21979</v>
      </c>
      <c r="F37" s="69">
        <f>IF($BJ36&gt;0,IF(INDEX('Final Calculation Sheet'!$A$4:$A$40,$BJ36-3)="","",INDEX('Final Calculation Sheet'!$A$4:$A$40,$BJ36-3)),IF(OR($BI36=1,$BL36=1,$BH36&gt;0),IF($BI36=1,SUM('Final Calculation Sheet'!$A$4:$A$40),IF($BL36=1,SUM('Final Calculation Sheet'!$A$4:$A$40)-SUMIFS('Final Calculation Sheet'!$A$4:$A$40,$AZ$5:$AZ$41,10),SUMIFS('Final Calculation Sheet'!$A$4:$A$40,$AZ$5:$AZ$41,$BH36))),""))</f>
        <v>5</v>
      </c>
      <c r="G37" s="69" t="str">
        <f>IF($BJ36&gt;0,IF(INDEX('Final Calculation Sheet'!$E$4:$E$40,$BJ36-3)="","",INDEX('Final Calculation Sheet'!$E$4:$E$40,$BJ36-3)),IF(OR($BI36=1,$BL36=1,$BH36&gt;0),"–",""))</f>
        <v>NO</v>
      </c>
      <c r="H37" s="70">
        <f>IF($BJ36&gt;0,IF(INDEX('Final Calculation Sheet'!$C$4:$C$40,$BJ36-3)="","",INDEX('Final Calculation Sheet'!$C$4:$C$40,$BJ36-3)),IF(OR($BI36=1,$BL36=1,$BH36&gt;0),"–",""))</f>
        <v>80000</v>
      </c>
      <c r="I37" s="70">
        <f>IF($BJ36&gt;0,IF(INDEX('Final Calculation Sheet'!$H$4:$H$40,$BJ36-3)="","",INDEX('Final Calculation Sheet'!$H$4:$H$40,$BJ36-3)),IF(OR($BI36=1,$BL36=1,$BH36&gt;0),IF($BI36=1,SUM('Final Calculation Sheet'!$H$4:$H$40),IF($BL36=1,SUM('Final Calculation Sheet'!$H$4:$H$40)-SUMIFS('Final Calculation Sheet'!$H$4:$H$40,$AZ$5:$AZ$41,10),SUMIFS('Final Calculation Sheet'!$H$4:$H$40,$AZ$5:$AZ$41,$BH36))),""))</f>
        <v>400000</v>
      </c>
      <c r="J37" s="70">
        <f>IF($BJ36&gt;0,IF(INDEX('Final Calculation Sheet'!$I$4:$I$40,$BJ36-3)="","",INDEX('Final Calculation Sheet'!$I$4:$I$40,$BJ36-3)),IF(OR($BI36=1,$BL36=1,$BH36&gt;0),IF($BI36=1,SUM('Final Calculation Sheet'!$I$4:$I$40),IF($BL36=1,SUM('Final Calculation Sheet'!$I$4:$I$40)-SUMIFS('Final Calculation Sheet'!$I$4:$I$40,$AZ$5:$AZ$41,10),SUMIFS('Final Calculation Sheet'!$I$4:$I$40,$AZ$5:$AZ$41,$BH36))),""))</f>
        <v>72000</v>
      </c>
      <c r="K37" s="70">
        <f>IF($BJ36&gt;0,IF(INDEX('Final Calculation Sheet'!$J$4:$J$40,$BJ36-3)="","",INDEX('Final Calculation Sheet'!$J$4:$J$40,$BJ36-3)),IF(OR($BI36=1,$BL36=1,$BH36&gt;0),IF($BI36=1,SUM('Final Calculation Sheet'!$J$4:$J$40),IF($BL36=1,SUM('Final Calculation Sheet'!$J$4:$J$40)-SUMIFS('Final Calculation Sheet'!$J$4:$J$40,$AZ$5:$AZ$41,10),SUMIFS('Final Calculation Sheet'!$J$4:$J$40,$AZ$5:$AZ$41,$BH36))),""))</f>
        <v>472000</v>
      </c>
      <c r="L37" s="70">
        <f>IF($BJ36&gt;0,IF(INDEX('Final Calculation Sheet'!$K$4:$K$40,$BJ36-3)="","",INDEX('Final Calculation Sheet'!$K$4:$K$40,$BJ36-3)),IF(OR($BI36=1,$BL36=1,$BH36&gt;0),IF($BI36=1,SUM('Final Calculation Sheet'!$K$4:$K$40),IF($BL36=1,SUM('Final Calculation Sheet'!$K$4:$K$40)-SUMIFS('Final Calculation Sheet'!$K$4:$K$40,$AZ$5:$AZ$41,10),SUMIFS('Final Calculation Sheet'!$K$4:$K$40,$AZ$5:$AZ$41,$BH36))),""))</f>
        <v>9440</v>
      </c>
      <c r="M37" s="70">
        <f>IF($BJ36&gt;0,IF(INDEX('Final Calculation Sheet'!$L$4:$L$40,$BJ36-3)="","",INDEX('Final Calculation Sheet'!$L$4:$L$40,$BJ36-3)),IF(OR($BI36=1,$BL36=1,$BH36&gt;0),IF($BI36=1,SUM('Final Calculation Sheet'!$L$4:$L$40),IF($BL36=1,SUM('Final Calculation Sheet'!$L$4:$L$40)-SUMIFS('Final Calculation Sheet'!$L$4:$L$40,$AZ$5:$AZ$41,10),SUMIFS('Final Calculation Sheet'!$L$4:$L$40,$AZ$5:$AZ$41,$BH36))),""))</f>
        <v>400</v>
      </c>
      <c r="N37" s="70">
        <f>IF($BJ36&gt;0,IF(INDEX('Final Calculation Sheet'!$M$4:$M$40,$BJ36-3)="","",INDEX('Final Calculation Sheet'!$M$4:$M$40,$BJ36-3)),IF(OR($BI36=1,$BL36=1,$BH36&gt;0),IF($BI36=1,SUM('Final Calculation Sheet'!$M$4:$M$40),IF($BL36=1,SUM('Final Calculation Sheet'!$M$4:$M$40)-SUMIFS('Final Calculation Sheet'!$M$4:$M$40,$AZ$5:$AZ$41,10),SUMIFS('Final Calculation Sheet'!$M$4:$M$40,$AZ$5:$AZ$41,$BH36))),""))</f>
        <v>10620</v>
      </c>
      <c r="O37" s="71">
        <f>IF($BJ36&gt;0,IF(INDEX('Final Calculation Sheet'!$N$4:$N$40,$BJ36-3)="","",INDEX('Final Calculation Sheet'!$N$4:$N$40,$BJ36-3)),IF(OR($BI36=1,$BL36=1,$BH36&gt;0),IF($BI36=1,SUM('Final Calculation Sheet'!$N$4:$N$40),IF($BL36=1,SUM('Final Calculation Sheet'!$N$4:$N$40)-SUMIFS('Final Calculation Sheet'!$N$4:$N$40,$AZ$5:$AZ$41,10),SUMIFS('Final Calculation Sheet'!$N$4:$N$40,$AZ$5:$AZ$41,$BH36))),""))</f>
        <v>180</v>
      </c>
      <c r="P37" s="70">
        <f>IF($BJ36&gt;0,IF(INDEX('Final Calculation Sheet'!$O$4:$O$40,$BJ36-3)="","",INDEX('Final Calculation Sheet'!$O$4:$O$40,$BJ36-3)),IF(OR($BI36=1,$BL36=1,$BH36&gt;0),IF($BI36=1,SUM('Final Calculation Sheet'!$O$4:$O$40),IF($BL36=1,SUM('Final Calculation Sheet'!$O$4:$O$40)-SUMIFS('Final Calculation Sheet'!$O$4:$O$40,$AZ$5:$AZ$41,10),SUMIFS('Final Calculation Sheet'!$O$4:$O$40,$AZ$5:$AZ$41,$BH36))),""))</f>
        <v>10440</v>
      </c>
      <c r="Q37" s="70">
        <f>IF($BJ36&gt;0,IF(INDEX('Final Calculation Sheet'!$P$4:$P$40,$BJ36-3)="","",INDEX('Final Calculation Sheet'!$P$4:$P$40,$BJ36-3)),IF(OR($BI36=1,$BL36=1,$BH36&gt;0),IF($BI36=1,SUM('Final Calculation Sheet'!$P$4:$P$40),IF($BL36=1,SUM('Final Calculation Sheet'!$P$4:$P$40)-SUMIFS('Final Calculation Sheet'!$P$4:$P$40,$AZ$5:$AZ$41,10),SUMIFS('Final Calculation Sheet'!$P$4:$P$40,$AZ$5:$AZ$41,$BH36))),""))</f>
        <v>10840</v>
      </c>
      <c r="R37" s="72">
        <f>IF($BJ36&gt;0,IF(INDEX('Final Calculation Sheet'!$Q$4:$Q$40,$BJ36-3)="","",INDEX('Final Calculation Sheet'!$Q$4:$Q$40,$BJ36-3)),IF(OR($BI36=1,$BL36=1,$BH36&gt;0),"–",""))</f>
        <v>0</v>
      </c>
      <c r="S37" s="70">
        <f>IF($BJ36&gt;0,IF(INDEX('Final Calculation Sheet'!$R$4:$R$40,$BJ36-3)="","",INDEX('Final Calculation Sheet'!$R$4:$R$40,$BJ36-3)),IF(OR($BI36=1,$BL36=1,$BH36&gt;0),IF($BI36=1,SUM('Final Calculation Sheet'!$R$4:$R$40),IF($BL36=1,SUM('Final Calculation Sheet'!$R$4:$R$40)-SUMIFS('Final Calculation Sheet'!$R$4:$R$40,$AZ$5:$AZ$41,10),SUMIFS('Final Calculation Sheet'!$R$4:$R$40,$AZ$5:$AZ$41,$BH36))),""))</f>
        <v>0</v>
      </c>
      <c r="T37" s="70">
        <f>IF($BJ36&gt;0,IF(INDEX('Final Calculation Sheet'!$S$4:$S$40,$BJ36-3)="","",INDEX('Final Calculation Sheet'!$S$4:$S$40,$BJ36-3)),IF(OR($BI36=1,$BL36=1,$BH36&gt;0),IF($BI36=1,SUM('Final Calculation Sheet'!$S$4:$S$40),IF($BL36=1,SUM('Final Calculation Sheet'!$S$4:$S$40)-SUMIFS('Final Calculation Sheet'!$S$4:$S$40,$AZ$5:$AZ$41,10),SUMIFS('Final Calculation Sheet'!$S$4:$S$40,$AZ$5:$AZ$41,$BH36))),""))</f>
        <v>470600</v>
      </c>
      <c r="U37" s="70">
        <f>IF($BJ36&gt;0,IF(INDEX('Final Calculation Sheet'!$T$4:$T$40,$BJ36-3)="","",INDEX('Final Calculation Sheet'!$T$4:$T$40,$BJ36-3)),IF(OR($BI36=1,$BL36=1,$BH36&gt;0),IF($BI36=1,SUM('Final Calculation Sheet'!$T$4:$T$40),IF($BL36=1,SUM('Final Calculation Sheet'!$T$4:$T$40)-SUMIFS('Final Calculation Sheet'!$T$4:$T$40,$AZ$5:$AZ$41,10),SUMIFS('Final Calculation Sheet'!$T$4:$T$40,$AZ$5:$AZ$41,$BH36))),""))</f>
        <v>100000</v>
      </c>
      <c r="V37" s="73">
        <f>IF($BJ36&gt;0,IF(INDEX('Final Calculation Sheet'!$U$4:$U$40,$BJ36-3)="","",INDEX('Final Calculation Sheet'!$U$4:$U$40,$BJ36-3)),IF(OR($BI36=1,$BL36=1,$BH36&gt;0),IF($BI36=1,SUM('Final Calculation Sheet'!$U$4:$U$40),IF($BL36=1,SUM('Final Calculation Sheet'!$U$4:$U$40)-SUMIFS('Final Calculation Sheet'!$U$4:$U$40,$AZ$5:$AZ$41,10),SUMIFS('Final Calculation Sheet'!$U$4:$U$40,$AZ$5:$AZ$41,$BH36))),""))</f>
        <v>100000</v>
      </c>
      <c r="W37" s="70" t="str">
        <f>IF($BJ36&gt;0,IF(INDEX('Final Calculation Sheet'!$V$4:$V$40,$BJ36-3)="","",INDEX('Final Calculation Sheet'!$V$4:$V$40,$BJ36-3)),IF(OR($BI36=1,$BL36=1,$BH36&gt;0),"–",""))</f>
        <v>13.08.2026</v>
      </c>
      <c r="X37" s="70">
        <f>IF($BJ36&gt;0,IF(INDEX('Final Calculation Sheet'!$W$4:$W$40,$BJ36-3)="","",INDEX('Final Calculation Sheet'!$W$4:$W$40,$BJ36-3)),IF(OR($BI36=1,$BL36=1,$BH36&gt;0),IF($BI36=1,SUM('Final Calculation Sheet'!$W$4:$W$40),IF($BL36=1,SUM('Final Calculation Sheet'!$W$4:$W$40)-SUMIFS('Final Calculation Sheet'!$W$4:$W$40,$AZ$5:$AZ$41,10),SUMIFS('Final Calculation Sheet'!$W$4:$W$40,$AZ$5:$AZ$41,$BH36))),""))</f>
        <v>370600</v>
      </c>
      <c r="Y37" s="70">
        <f>IF($BJ36&gt;0,IF(INDEX('Final Calculation Sheet'!$X$4:$X$40,$BJ36-3)="","",INDEX('Final Calculation Sheet'!$X$4:$X$40,$BJ36-3)),IF(OR($BI36=1,$BL36=1,$BH36&gt;0),IF($BI36=1,SUM('Final Calculation Sheet'!$X$4:$X$40),IF($BL36=1,SUM('Final Calculation Sheet'!$X$4:$X$40)-SUMIFS('Final Calculation Sheet'!$X$4:$X$40,$AZ$5:$AZ$41,10),SUMIFS('Final Calculation Sheet'!$X$4:$X$40,$AZ$5:$AZ$41,$BH36))),""))</f>
        <v>370600</v>
      </c>
      <c r="Z37" s="70" t="str">
        <f>IF($BJ36&gt;0,IF(INDEX('Final Calculation Sheet'!$Y$4:$Y$40,$BJ36-3)="","",INDEX('Final Calculation Sheet'!$Y$4:$Y$40,$BJ36-3)),IF(OR($BI36=1,$BL36=1,$BH36&gt;0),"–",""))</f>
        <v>24.08.2026</v>
      </c>
      <c r="AA37" s="70">
        <f ca="1">IF($BJ36&gt;0,IF(INDEX('Final Calculation Sheet'!$Z$4:$Z$40,$BJ36-3)="","",INDEX('Final Calculation Sheet'!$Z$4:$Z$40,$BJ36-3)),IF(OR($BI36=1,$BL36=1,$BH36&gt;0),IF($BI36=1,SUM('Final Calculation Sheet'!$Z$4:$Z$40),IF($BL36=1,SUM('Final Calculation Sheet'!$Z$4:$Z$40)-SUMIFS('Final Calculation Sheet'!$Z$4:$Z$40,$AZ$5:$AZ$41,10),SUMIFS('Final Calculation Sheet'!$Z$4:$Z$40,$AZ$5:$AZ$41,$BH36))),""))</f>
        <v>0</v>
      </c>
      <c r="AB37" s="70" t="str">
        <f>IF($BJ36&gt;0,IF(INDEX('Final Calculation Sheet'!$AA$4:$AA$40,$BJ36-3)="","",INDEX('Final Calculation Sheet'!$AA$4:$AA$40,$BJ36-3)),IF(OR($BI36=1,$BL36=1,$BH36&gt;0),IF($BI36=1,SUM('Final Calculation Sheet'!$AA$4:$AA$40),IF($BL36=1,SUM('Final Calculation Sheet'!$AA$4:$AA$40)-SUMIFS('Final Calculation Sheet'!$AA$4:$AA$40,$AZ$5:$AZ$41,10),SUMIFS('Final Calculation Sheet'!$AA$4:$AA$40,$AZ$5:$AZ$41,$BH36))),""))</f>
        <v/>
      </c>
      <c r="AC37" s="70" t="str">
        <f>IF($BJ36&gt;0,IF(INDEX('Final Calculation Sheet'!$AB$4:$AB$40,$BJ36-3)="","",INDEX('Final Calculation Sheet'!$AB$4:$AB$40,$BJ36-3)),IF(OR($BI36=1,$BL36=1,$BH36&gt;0),"–",""))</f>
        <v/>
      </c>
      <c r="AD37" s="70">
        <f>IF($BJ36&gt;0,IF(INDEX('Final Calculation Sheet'!$AC$4:$AC$40,$BJ36-3)="","",INDEX('Final Calculation Sheet'!$AC$4:$AC$40,$BJ36-3)),IF(OR($BI36=1,$BL36=1,$BH36&gt;0),IF($BI36=1,SUM('Final Calculation Sheet'!$AC$4:$AC$40),IF($BL36=1,SUM('Final Calculation Sheet'!$AC$4:$AC$40)-SUMIFS('Final Calculation Sheet'!$AC$4:$AC$40,$AZ$5:$AZ$41,10),SUMIFS('Final Calculation Sheet'!$AC$4:$AC$40,$AZ$5:$AZ$41,$BH36))),""))</f>
        <v>470600</v>
      </c>
      <c r="AE37" s="70">
        <f>IF($BJ36&gt;0,IF(INDEX('Final Calculation Sheet'!$AD$4:$AD$40,$BJ36-3)="","",INDEX('Final Calculation Sheet'!$AD$4:$AD$40,$BJ36-3)),IF(OR($BI36=1,$BL36=1,$BH36&gt;0),IF($BI36=1,SUM('Final Calculation Sheet'!$AD$4:$AD$40),IF($BL36=1,SUM('Final Calculation Sheet'!$AD$4:$AD$40)-SUMIFS('Final Calculation Sheet'!$AD$4:$AD$40,$AZ$5:$AZ$41,10),SUMIFS('Final Calculation Sheet'!$AD$4:$AD$40,$AZ$5:$AZ$41,$BH36))),""))</f>
        <v>0</v>
      </c>
      <c r="AF37" s="70" t="str">
        <f>IF($BJ36&gt;0,IF(INDEX('Final Calculation Sheet'!$AE$4:$AE$40,$BJ36-3)="","",INDEX('Final Calculation Sheet'!$AE$4:$AE$40,$BJ36-3)),IF(OR($BI36=1,$BL36=1,$BH36&gt;0),"–",""))</f>
        <v>DR2640100038</v>
      </c>
      <c r="AG37" s="74">
        <f>IF($BJ36&gt;0,IF(INDEX('Final Calculation Sheet'!$AF$4:$AF$40,$BJ36-3)="","",INDEX('Final Calculation Sheet'!$AF$4:$AF$40,$BJ36-3)),IF(OR($BI36=1,$BL36=1,$BH36&gt;0),"–",""))</f>
        <v>1800003311</v>
      </c>
      <c r="AH37" s="70" t="str">
        <f>IF($BJ36&gt;0,IF(INDEX('Final Calculation Sheet'!$AG$4:$AG$40,$BJ36-3)="","",INDEX('Final Calculation Sheet'!$AG$4:$AG$40,$BJ36-3)),IF(OR($BI36=1,$BL36=1,$BH36&gt;0),"–",""))</f>
        <v>27.08.2026</v>
      </c>
      <c r="AI37" s="75" t="str">
        <f>IF($BJ36&gt;0,IF(INDEX('Final Calculation Sheet'!$AD$4:$AD$40,$BJ36-3)="","",IF(INDEX('Final Calculation Sheet'!$AD$4:$AD$40,$BJ36-3)&lt;=0,"SETTLED","OUTSTANDING")),IF(OR($BI36=1,$BL36=1,$BH36&gt;0),IF(IF($BI36=1,SUM('Final Calculation Sheet'!$AD$4:$AD$40),IF($BL36=1,SUM('Final Calculation Sheet'!$AD$4:$AD$40)-SUMIFS('Final Calculation Sheet'!$AD$4:$AD$40,$AZ$5:$AZ$41,10),SUMIFS('Final Calculation Sheet'!$AD$4:$AD$40,$AZ$5:$AZ$41,$BH36)))&lt;=0,"ALL SETTLED","OUTSTANDING"),""))</f>
        <v>SETTLED</v>
      </c>
      <c r="AK37" t="str">
        <f>IF($F$3="Lot No.",'Final Calculation Sheet'!$F$36,IF($F$3="Buyer",'Final Calculation Sheet'!$G$36,IF($F$3="Lot Name",'Final Calculation Sheet'!$B$36,IF($F$3="Bid Sheet",'Final Calculation Sheet'!$D$36,IF($F$3="Unit",'Final Calculation Sheet'!$E$36,'Final Calculation Sheet'!$F$36&amp;" "&amp;'Final Calculation Sheet'!$G$36&amp;" "&amp;'Final Calculation Sheet'!$B$36)))))</f>
        <v>2069 STERLING ENTERPRISES Scrap of 33 KV CB</v>
      </c>
      <c r="AM37">
        <f t="shared" si="1"/>
        <v>0</v>
      </c>
      <c r="AZ37">
        <f t="shared" si="2"/>
        <v>10</v>
      </c>
      <c r="BA37">
        <f t="shared" si="3"/>
        <v>24</v>
      </c>
      <c r="BB37">
        <f t="shared" si="4"/>
        <v>40</v>
      </c>
      <c r="BC37">
        <v>36</v>
      </c>
      <c r="BH37">
        <f>IFERROR(MATCH(37,$BF$4:$BF$13,0),0)</f>
        <v>0</v>
      </c>
      <c r="BI37">
        <f>IF(37=$BG$5,1,0)</f>
        <v>0</v>
      </c>
      <c r="BJ37">
        <f>IF(OR($BH37&gt;0,$BI37=1,$BL37=1),0,IFERROR(INDEX($BC$5:$BC$41,MATCH(37,$BB$5:$BB$41,0)),0))</f>
        <v>31</v>
      </c>
      <c r="BK37">
        <f>IF($BJ37&gt;0,IF(INDEX($AZ$5:$AZ$41,MATCH(37,$BB$5:$BB$41,0))=10,1,0),IF($BH37=10,1,0))</f>
        <v>1</v>
      </c>
      <c r="BL37">
        <f>IF(37=$BG$4,1,0)</f>
        <v>0</v>
      </c>
      <c r="BM37">
        <f>IF($A$4="",1,--(AND(SUMPRODUCT(--($AS$60:$AZ$60&lt;&gt;""))&gt;0,IF(COUNTIF($BI$60:$BP$60,1)=0,TRUE,SUMPRODUCT(($BI$60:$BP$60=1)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$60,2)=0,TRUE,SUMPRODUCT(($BI$60:$BP$60=2)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$60,3)=0,TRUE,SUMPRODUCT(($BI$60:$BP$60=3)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$60,4)=0,TRUE,SUMPRODUCT(($BI$60:$BP$60=4)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$60,5)=0,TRUE,SUMPRODUCT(($BI$60:$BP$60=5)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$60,6)=0,TRUE,SUMPRODUCT(($BI$60:$BP$60=6)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$60,7)=0,TRUE,SUMPRODUCT(($BI$60:$BP$60=7)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$60,8)=0,TRUE,SUMPRODUCT(($BI$60:$BP$60=8)*($AS$60:$AZ$60&lt;&gt;"")*IF(((UPPER($AS$60:$AZ$60)="BLANK")+(UPPER($AS$60:$AZ$60)="(BLANK)")+(UPPER($AS$60:$AZ$60)="EMPTY")+(UPPER($AS$60:$AZ$60)="(EMPTY)"))&gt;0,IFERROR((ROW()-4)&amp;"","")="",ISNUMBER(SEARCH($AS$60:$AZ$60,IFERROR((ROW()-4)&amp;"","")))))&gt;0))))</f>
        <v>1</v>
      </c>
      <c r="BN37">
        <f>IF($B$4="",1,--(AND(SUMPRODUCT(--($AS$61:$AZ$61&lt;&gt;""))&gt;0,IF(COUNTIF($BI$61:$BP$61,1)=0,TRUE,SUMPRODUCT(($BI$61:$BP$61=1)*($AS$61:$AZ$61&lt;&gt;"")*IF(((UPPER($AS$61:$AZ$61)="BLANK")+(UPPER($AS$61:$AZ$61)="(BLANK)")+(UPPER($AS$61:$AZ$61)="EMPTY")+(UPPER($AS$61:$AZ$61)="(EMPTY)"))&gt;0,IFERROR(('Final Calculation Sheet'!$F$36)&amp;"","")="",ISNUMBER(SEARCH($AS$61:$AZ$61,IFERROR(('Final Calculation Sheet'!$F$36)&amp;"","")))))&gt;0),IF(COUNTIF($BI$61:$BP$61,2)=0,TRUE,SUMPRODUCT(($BI$61:$BP$61=2)*($AS$61:$AZ$61&lt;&gt;"")*IF(((UPPER($AS$61:$AZ$61)="BLANK")+(UPPER($AS$61:$AZ$61)="(BLANK)")+(UPPER($AS$61:$AZ$61)="EMPTY")+(UPPER($AS$61:$AZ$61)="(EMPTY)"))&gt;0,IFERROR(('Final Calculation Sheet'!$F$36)&amp;"","")="",ISNUMBER(SEARCH($AS$61:$AZ$61,IFERROR(('Final Calculation Sheet'!$F$36)&amp;"","")))))&gt;0),IF(COUNTIF($BI$61:$BP$61,3)=0,TRUE,SUMPRODUCT(($BI$61:$BP$61=3)*($AS$61:$AZ$61&lt;&gt;"")*IF(((UPPER($AS$61:$AZ$61)="BLANK")+(UPPER($AS$61:$AZ$61)="(BLANK)")+(UPPER($AS$61:$AZ$61)="EMPTY")+(UPPER($AS$61:$AZ$61)="(EMPTY)"))&gt;0,IFERROR(('Final Calculation Sheet'!$F$36)&amp;"","")="",ISNUMBER(SEARCH($AS$61:$AZ$61,IFERROR(('Final Calculation Sheet'!$F$36)&amp;"","")))))&gt;0),IF(COUNTIF($BI$61:$BP$61,4)=0,TRUE,SUMPRODUCT(($BI$61:$BP$61=4)*($AS$61:$AZ$61&lt;&gt;"")*IF(((UPPER($AS$61:$AZ$61)="BLANK")+(UPPER($AS$61:$AZ$61)="(BLANK)")+(UPPER($AS$61:$AZ$61)="EMPTY")+(UPPER($AS$61:$AZ$61)="(EMPTY)"))&gt;0,IFERROR(('Final Calculation Sheet'!$F$36)&amp;"","")="",ISNUMBER(SEARCH($AS$61:$AZ$61,IFERROR(('Final Calculation Sheet'!$F$36)&amp;"","")))))&gt;0),IF(COUNTIF($BI$61:$BP$61,5)=0,TRUE,SUMPRODUCT(($BI$61:$BP$61=5)*($AS$61:$AZ$61&lt;&gt;"")*IF(((UPPER($AS$61:$AZ$61)="BLANK")+(UPPER($AS$61:$AZ$61)="(BLANK)")+(UPPER($AS$61:$AZ$61)="EMPTY")+(UPPER($AS$61:$AZ$61)="(EMPTY)"))&gt;0,IFERROR(('Final Calculation Sheet'!$F$36)&amp;"","")="",ISNUMBER(SEARCH($AS$61:$AZ$61,IFERROR(('Final Calculation Sheet'!$F$36)&amp;"","")))))&gt;0),IF(COUNTIF($BI$61:$BP$61,6)=0,TRUE,SUMPRODUCT(($BI$61:$BP$61=6)*($AS$61:$AZ$61&lt;&gt;"")*IF(((UPPER($AS$61:$AZ$61)="BLANK")+(UPPER($AS$61:$AZ$61)="(BLANK)")+(UPPER($AS$61:$AZ$61)="EMPTY")+(UPPER($AS$61:$AZ$61)="(EMPTY)"))&gt;0,IFERROR(('Final Calculation Sheet'!$F$36)&amp;"","")="",ISNUMBER(SEARCH($AS$61:$AZ$61,IFERROR(('Final Calculation Sheet'!$F$36)&amp;"","")))))&gt;0),IF(COUNTIF($BI$61:$BP$61,7)=0,TRUE,SUMPRODUCT(($BI$61:$BP$61=7)*($AS$61:$AZ$61&lt;&gt;"")*IF(((UPPER($AS$61:$AZ$61)="BLANK")+(UPPER($AS$61:$AZ$61)="(BLANK)")+(UPPER($AS$61:$AZ$61)="EMPTY")+(UPPER($AS$61:$AZ$61)="(EMPTY)"))&gt;0,IFERROR(('Final Calculation Sheet'!$F$36)&amp;"","")="",ISNUMBER(SEARCH($AS$61:$AZ$61,IFERROR(('Final Calculation Sheet'!$F$36)&amp;"","")))))&gt;0),IF(COUNTIF($BI$61:$BP$61,8)=0,TRUE,SUMPRODUCT(($BI$61:$BP$61=8)*($AS$61:$AZ$61&lt;&gt;"")*IF(((UPPER($AS$61:$AZ$61)="BLANK")+(UPPER($AS$61:$AZ$61)="(BLANK)")+(UPPER($AS$61:$AZ$61)="EMPTY")+(UPPER($AS$61:$AZ$61)="(EMPTY)"))&gt;0,IFERROR(('Final Calculation Sheet'!$F$36)&amp;"","")="",ISNUMBER(SEARCH($AS$61:$AZ$61,IFERROR(('Final Calculation Sheet'!$F$36)&amp;"","")))))&gt;0))))</f>
        <v>1</v>
      </c>
      <c r="BO37">
        <f>IF($C$4="",1,--(AND(SUMPRODUCT(--($AS$62:$AZ$62&lt;&gt;""))&gt;0,IF(COUNTIF($BI$62:$BP$62,1)=0,TRUE,SUMPRODUCT(($BI$62:$BP$62=1)*($AS$62:$AZ$62&lt;&gt;"")*IF(((UPPER($AS$62:$AZ$62)="BLANK")+(UPPER($AS$62:$AZ$62)="(BLANK)")+(UPPER($AS$62:$AZ$62)="EMPTY")+(UPPER($AS$62:$AZ$62)="(EMPTY)"))&gt;0,IFERROR(('Final Calculation Sheet'!$G$36)&amp;"","")="",ISNUMBER(SEARCH($AS$62:$AZ$62,IFERROR(('Final Calculation Sheet'!$G$36)&amp;"","")))))&gt;0),IF(COUNTIF($BI$62:$BP$62,2)=0,TRUE,SUMPRODUCT(($BI$62:$BP$62=2)*($AS$62:$AZ$62&lt;&gt;"")*IF(((UPPER($AS$62:$AZ$62)="BLANK")+(UPPER($AS$62:$AZ$62)="(BLANK)")+(UPPER($AS$62:$AZ$62)="EMPTY")+(UPPER($AS$62:$AZ$62)="(EMPTY)"))&gt;0,IFERROR(('Final Calculation Sheet'!$G$36)&amp;"","")="",ISNUMBER(SEARCH($AS$62:$AZ$62,IFERROR(('Final Calculation Sheet'!$G$36)&amp;"","")))))&gt;0),IF(COUNTIF($BI$62:$BP$62,3)=0,TRUE,SUMPRODUCT(($BI$62:$BP$62=3)*($AS$62:$AZ$62&lt;&gt;"")*IF(((UPPER($AS$62:$AZ$62)="BLANK")+(UPPER($AS$62:$AZ$62)="(BLANK)")+(UPPER($AS$62:$AZ$62)="EMPTY")+(UPPER($AS$62:$AZ$62)="(EMPTY)"))&gt;0,IFERROR(('Final Calculation Sheet'!$G$36)&amp;"","")="",ISNUMBER(SEARCH($AS$62:$AZ$62,IFERROR(('Final Calculation Sheet'!$G$36)&amp;"","")))))&gt;0),IF(COUNTIF($BI$62:$BP$62,4)=0,TRUE,SUMPRODUCT(($BI$62:$BP$62=4)*($AS$62:$AZ$62&lt;&gt;"")*IF(((UPPER($AS$62:$AZ$62)="BLANK")+(UPPER($AS$62:$AZ$62)="(BLANK)")+(UPPER($AS$62:$AZ$62)="EMPTY")+(UPPER($AS$62:$AZ$62)="(EMPTY)"))&gt;0,IFERROR(('Final Calculation Sheet'!$G$36)&amp;"","")="",ISNUMBER(SEARCH($AS$62:$AZ$62,IFERROR(('Final Calculation Sheet'!$G$36)&amp;"","")))))&gt;0),IF(COUNTIF($BI$62:$BP$62,5)=0,TRUE,SUMPRODUCT(($BI$62:$BP$62=5)*($AS$62:$AZ$62&lt;&gt;"")*IF(((UPPER($AS$62:$AZ$62)="BLANK")+(UPPER($AS$62:$AZ$62)="(BLANK)")+(UPPER($AS$62:$AZ$62)="EMPTY")+(UPPER($AS$62:$AZ$62)="(EMPTY)"))&gt;0,IFERROR(('Final Calculation Sheet'!$G$36)&amp;"","")="",ISNUMBER(SEARCH($AS$62:$AZ$62,IFERROR(('Final Calculation Sheet'!$G$36)&amp;"","")))))&gt;0),IF(COUNTIF($BI$62:$BP$62,6)=0,TRUE,SUMPRODUCT(($BI$62:$BP$62=6)*($AS$62:$AZ$62&lt;&gt;"")*IF(((UPPER($AS$62:$AZ$62)="BLANK")+(UPPER($AS$62:$AZ$62)="(BLANK)")+(UPPER($AS$62:$AZ$62)="EMPTY")+(UPPER($AS$62:$AZ$62)="(EMPTY)"))&gt;0,IFERROR(('Final Calculation Sheet'!$G$36)&amp;"","")="",ISNUMBER(SEARCH($AS$62:$AZ$62,IFERROR(('Final Calculation Sheet'!$G$36)&amp;"","")))))&gt;0),IF(COUNTIF($BI$62:$BP$62,7)=0,TRUE,SUMPRODUCT(($BI$62:$BP$62=7)*($AS$62:$AZ$62&lt;&gt;"")*IF(((UPPER($AS$62:$AZ$62)="BLANK")+(UPPER($AS$62:$AZ$62)="(BLANK)")+(UPPER($AS$62:$AZ$62)="EMPTY")+(UPPER($AS$62:$AZ$62)="(EMPTY)"))&gt;0,IFERROR(('Final Calculation Sheet'!$G$36)&amp;"","")="",ISNUMBER(SEARCH($AS$62:$AZ$62,IFERROR(('Final Calculation Sheet'!$G$36)&amp;"","")))))&gt;0),IF(COUNTIF($BI$62:$BP$62,8)=0,TRUE,SUMPRODUCT(($BI$62:$BP$62=8)*($AS$62:$AZ$62&lt;&gt;"")*IF(((UPPER($AS$62:$AZ$62)="BLANK")+(UPPER($AS$62:$AZ$62)="(BLANK)")+(UPPER($AS$62:$AZ$62)="EMPTY")+(UPPER($AS$62:$AZ$62)="(EMPTY)"))&gt;0,IFERROR(('Final Calculation Sheet'!$G$36)&amp;"","")="",ISNUMBER(SEARCH($AS$62:$AZ$62,IFERROR(('Final Calculation Sheet'!$G$36)&amp;"","")))))&gt;0))))</f>
        <v>1</v>
      </c>
      <c r="BP37">
        <f>IF($D$4="",1,--(AND(SUMPRODUCT(--($AS$63:$AZ$63&lt;&gt;""))&gt;0,IF(COUNTIF($BI$63:$BP$63,1)=0,TRUE,SUMPRODUCT(($BI$63:$BP$63=1)*($AS$63:$AZ$63&lt;&gt;"")*IF(((UPPER($AS$63:$AZ$63)="BLANK")+(UPPER($AS$63:$AZ$63)="(BLANK)")+(UPPER($AS$63:$AZ$63)="EMPTY")+(UPPER($AS$63:$AZ$63)="(EMPTY)"))&gt;0,IFERROR(('Final Calculation Sheet'!$B$36)&amp;"","")="",ISNUMBER(SEARCH($AS$63:$AZ$63,IFERROR(('Final Calculation Sheet'!$B$36)&amp;"","")))))&gt;0),IF(COUNTIF($BI$63:$BP$63,2)=0,TRUE,SUMPRODUCT(($BI$63:$BP$63=2)*($AS$63:$AZ$63&lt;&gt;"")*IF(((UPPER($AS$63:$AZ$63)="BLANK")+(UPPER($AS$63:$AZ$63)="(BLANK)")+(UPPER($AS$63:$AZ$63)="EMPTY")+(UPPER($AS$63:$AZ$63)="(EMPTY)"))&gt;0,IFERROR(('Final Calculation Sheet'!$B$36)&amp;"","")="",ISNUMBER(SEARCH($AS$63:$AZ$63,IFERROR(('Final Calculation Sheet'!$B$36)&amp;"","")))))&gt;0),IF(COUNTIF($BI$63:$BP$63,3)=0,TRUE,SUMPRODUCT(($BI$63:$BP$63=3)*($AS$63:$AZ$63&lt;&gt;"")*IF(((UPPER($AS$63:$AZ$63)="BLANK")+(UPPER($AS$63:$AZ$63)="(BLANK)")+(UPPER($AS$63:$AZ$63)="EMPTY")+(UPPER($AS$63:$AZ$63)="(EMPTY)"))&gt;0,IFERROR(('Final Calculation Sheet'!$B$36)&amp;"","")="",ISNUMBER(SEARCH($AS$63:$AZ$63,IFERROR(('Final Calculation Sheet'!$B$36)&amp;"","")))))&gt;0),IF(COUNTIF($BI$63:$BP$63,4)=0,TRUE,SUMPRODUCT(($BI$63:$BP$63=4)*($AS$63:$AZ$63&lt;&gt;"")*IF(((UPPER($AS$63:$AZ$63)="BLANK")+(UPPER($AS$63:$AZ$63)="(BLANK)")+(UPPER($AS$63:$AZ$63)="EMPTY")+(UPPER($AS$63:$AZ$63)="(EMPTY)"))&gt;0,IFERROR(('Final Calculation Sheet'!$B$36)&amp;"","")="",ISNUMBER(SEARCH($AS$63:$AZ$63,IFERROR(('Final Calculation Sheet'!$B$36)&amp;"","")))))&gt;0),IF(COUNTIF($BI$63:$BP$63,5)=0,TRUE,SUMPRODUCT(($BI$63:$BP$63=5)*($AS$63:$AZ$63&lt;&gt;"")*IF(((UPPER($AS$63:$AZ$63)="BLANK")+(UPPER($AS$63:$AZ$63)="(BLANK)")+(UPPER($AS$63:$AZ$63)="EMPTY")+(UPPER($AS$63:$AZ$63)="(EMPTY)"))&gt;0,IFERROR(('Final Calculation Sheet'!$B$36)&amp;"","")="",ISNUMBER(SEARCH($AS$63:$AZ$63,IFERROR(('Final Calculation Sheet'!$B$36)&amp;"","")))))&gt;0),IF(COUNTIF($BI$63:$BP$63,6)=0,TRUE,SUMPRODUCT(($BI$63:$BP$63=6)*($AS$63:$AZ$63&lt;&gt;"")*IF(((UPPER($AS$63:$AZ$63)="BLANK")+(UPPER($AS$63:$AZ$63)="(BLANK)")+(UPPER($AS$63:$AZ$63)="EMPTY")+(UPPER($AS$63:$AZ$63)="(EMPTY)"))&gt;0,IFERROR(('Final Calculation Sheet'!$B$36)&amp;"","")="",ISNUMBER(SEARCH($AS$63:$AZ$63,IFERROR(('Final Calculation Sheet'!$B$36)&amp;"","")))))&gt;0),IF(COUNTIF($BI$63:$BP$63,7)=0,TRUE,SUMPRODUCT(($BI$63:$BP$63=7)*($AS$63:$AZ$63&lt;&gt;"")*IF(((UPPER($AS$63:$AZ$63)="BLANK")+(UPPER($AS$63:$AZ$63)="(BLANK)")+(UPPER($AS$63:$AZ$63)="EMPTY")+(UPPER($AS$63:$AZ$63)="(EMPTY)"))&gt;0,IFERROR(('Final Calculation Sheet'!$B$36)&amp;"","")="",ISNUMBER(SEARCH($AS$63:$AZ$63,IFERROR(('Final Calculation Sheet'!$B$36)&amp;"","")))))&gt;0),IF(COUNTIF($BI$63:$BP$63,8)=0,TRUE,SUMPRODUCT(($BI$63:$BP$63=8)*($AS$63:$AZ$63&lt;&gt;"")*IF(((UPPER($AS$63:$AZ$63)="BLANK")+(UPPER($AS$63:$AZ$63)="(BLANK)")+(UPPER($AS$63:$AZ$63)="EMPTY")+(UPPER($AS$63:$AZ$63)="(EMPTY)"))&gt;0,IFERROR(('Final Calculation Sheet'!$B$36)&amp;"","")="",ISNUMBER(SEARCH($AS$63:$AZ$63,IFERROR(('Final Calculation Sheet'!$B$36)&amp;"","")))))&gt;0))))</f>
        <v>1</v>
      </c>
      <c r="BQ37">
        <f>IF($E$4="",1,--(AND(SUMPRODUCT(--($AS$64:$AZ$64&lt;&gt;""))&gt;0,IF(COUNTIF($BI$64:$BP$64,1)=0,TRUE,SUMPRODUCT(($BI$64:$BP$64=1)*($AS$64:$AZ$64&lt;&gt;"")*IF(((UPPER($AS$64:$AZ$64)="BLANK")+(UPPER($AS$64:$AZ$64)="(BLANK)")+(UPPER($AS$64:$AZ$64)="EMPTY")+(UPPER($AS$64:$AZ$64)="(EMPTY)"))&gt;0,IFERROR(('Final Calculation Sheet'!$D$36)&amp;"","")="",ISNUMBER(SEARCH($AS$64:$AZ$64,IFERROR(('Final Calculation Sheet'!$D$36)&amp;"","")))))&gt;0),IF(COUNTIF($BI$64:$BP$64,2)=0,TRUE,SUMPRODUCT(($BI$64:$BP$64=2)*($AS$64:$AZ$64&lt;&gt;"")*IF(((UPPER($AS$64:$AZ$64)="BLANK")+(UPPER($AS$64:$AZ$64)="(BLANK)")+(UPPER($AS$64:$AZ$64)="EMPTY")+(UPPER($AS$64:$AZ$64)="(EMPTY)"))&gt;0,IFERROR(('Final Calculation Sheet'!$D$36)&amp;"","")="",ISNUMBER(SEARCH($AS$64:$AZ$64,IFERROR(('Final Calculation Sheet'!$D$36)&amp;"","")))))&gt;0),IF(COUNTIF($BI$64:$BP$64,3)=0,TRUE,SUMPRODUCT(($BI$64:$BP$64=3)*($AS$64:$AZ$64&lt;&gt;"")*IF(((UPPER($AS$64:$AZ$64)="BLANK")+(UPPER($AS$64:$AZ$64)="(BLANK)")+(UPPER($AS$64:$AZ$64)="EMPTY")+(UPPER($AS$64:$AZ$64)="(EMPTY)"))&gt;0,IFERROR(('Final Calculation Sheet'!$D$36)&amp;"","")="",ISNUMBER(SEARCH($AS$64:$AZ$64,IFERROR(('Final Calculation Sheet'!$D$36)&amp;"","")))))&gt;0),IF(COUNTIF($BI$64:$BP$64,4)=0,TRUE,SUMPRODUCT(($BI$64:$BP$64=4)*($AS$64:$AZ$64&lt;&gt;"")*IF(((UPPER($AS$64:$AZ$64)="BLANK")+(UPPER($AS$64:$AZ$64)="(BLANK)")+(UPPER($AS$64:$AZ$64)="EMPTY")+(UPPER($AS$64:$AZ$64)="(EMPTY)"))&gt;0,IFERROR(('Final Calculation Sheet'!$D$36)&amp;"","")="",ISNUMBER(SEARCH($AS$64:$AZ$64,IFERROR(('Final Calculation Sheet'!$D$36)&amp;"","")))))&gt;0),IF(COUNTIF($BI$64:$BP$64,5)=0,TRUE,SUMPRODUCT(($BI$64:$BP$64=5)*($AS$64:$AZ$64&lt;&gt;"")*IF(((UPPER($AS$64:$AZ$64)="BLANK")+(UPPER($AS$64:$AZ$64)="(BLANK)")+(UPPER($AS$64:$AZ$64)="EMPTY")+(UPPER($AS$64:$AZ$64)="(EMPTY)"))&gt;0,IFERROR(('Final Calculation Sheet'!$D$36)&amp;"","")="",ISNUMBER(SEARCH($AS$64:$AZ$64,IFERROR(('Final Calculation Sheet'!$D$36)&amp;"","")))))&gt;0),IF(COUNTIF($BI$64:$BP$64,6)=0,TRUE,SUMPRODUCT(($BI$64:$BP$64=6)*($AS$64:$AZ$64&lt;&gt;"")*IF(((UPPER($AS$64:$AZ$64)="BLANK")+(UPPER($AS$64:$AZ$64)="(BLANK)")+(UPPER($AS$64:$AZ$64)="EMPTY")+(UPPER($AS$64:$AZ$64)="(EMPTY)"))&gt;0,IFERROR(('Final Calculation Sheet'!$D$36)&amp;"","")="",ISNUMBER(SEARCH($AS$64:$AZ$64,IFERROR(('Final Calculation Sheet'!$D$36)&amp;"","")))))&gt;0),IF(COUNTIF($BI$64:$BP$64,7)=0,TRUE,SUMPRODUCT(($BI$64:$BP$64=7)*($AS$64:$AZ$64&lt;&gt;"")*IF(((UPPER($AS$64:$AZ$64)="BLANK")+(UPPER($AS$64:$AZ$64)="(BLANK)")+(UPPER($AS$64:$AZ$64)="EMPTY")+(UPPER($AS$64:$AZ$64)="(EMPTY)"))&gt;0,IFERROR(('Final Calculation Sheet'!$D$36)&amp;"","")="",ISNUMBER(SEARCH($AS$64:$AZ$64,IFERROR(('Final Calculation Sheet'!$D$36)&amp;"","")))))&gt;0),IF(COUNTIF($BI$64:$BP$64,8)=0,TRUE,SUMPRODUCT(($BI$64:$BP$64=8)*($AS$64:$AZ$64&lt;&gt;"")*IF(((UPPER($AS$64:$AZ$64)="BLANK")+(UPPER($AS$64:$AZ$64)="(BLANK)")+(UPPER($AS$64:$AZ$64)="EMPTY")+(UPPER($AS$64:$AZ$64)="(EMPTY)"))&gt;0,IFERROR(('Final Calculation Sheet'!$D$36)&amp;"","")="",ISNUMBER(SEARCH($AS$64:$AZ$64,IFERROR(('Final Calculation Sheet'!$D$36)&amp;"","")))))&gt;0))))</f>
        <v>1</v>
      </c>
      <c r="BR37">
        <f>IF($F$4="",1,--(AND(SUMPRODUCT(--($AS$65:$AZ$65&lt;&gt;""))&gt;0,IF(COUNTIF($BI$65:$BP$65,1)=0,TRUE,SUMPRODUCT(($BI$65:$BP$65=1)*($AS$65:$AZ$65&lt;&gt;"")*IF(((UPPER($AS$65:$AZ$65)="BLANK")+(UPPER($AS$65:$AZ$65)="(BLANK)")+(UPPER($AS$65:$AZ$65)="EMPTY")+(UPPER($AS$65:$AZ$65)="(EMPTY)"))&gt;0,IFERROR(('Final Calculation Sheet'!$A$36)&amp;"","")="",ISNUMBER(SEARCH($AS$65:$AZ$65,IFERROR(('Final Calculation Sheet'!$A$36)&amp;"","")))))&gt;0),IF(COUNTIF($BI$65:$BP$65,2)=0,TRUE,SUMPRODUCT(($BI$65:$BP$65=2)*($AS$65:$AZ$65&lt;&gt;"")*IF(((UPPER($AS$65:$AZ$65)="BLANK")+(UPPER($AS$65:$AZ$65)="(BLANK)")+(UPPER($AS$65:$AZ$65)="EMPTY")+(UPPER($AS$65:$AZ$65)="(EMPTY)"))&gt;0,IFERROR(('Final Calculation Sheet'!$A$36)&amp;"","")="",ISNUMBER(SEARCH($AS$65:$AZ$65,IFERROR(('Final Calculation Sheet'!$A$36)&amp;"","")))))&gt;0),IF(COUNTIF($BI$65:$BP$65,3)=0,TRUE,SUMPRODUCT(($BI$65:$BP$65=3)*($AS$65:$AZ$65&lt;&gt;"")*IF(((UPPER($AS$65:$AZ$65)="BLANK")+(UPPER($AS$65:$AZ$65)="(BLANK)")+(UPPER($AS$65:$AZ$65)="EMPTY")+(UPPER($AS$65:$AZ$65)="(EMPTY)"))&gt;0,IFERROR(('Final Calculation Sheet'!$A$36)&amp;"","")="",ISNUMBER(SEARCH($AS$65:$AZ$65,IFERROR(('Final Calculation Sheet'!$A$36)&amp;"","")))))&gt;0),IF(COUNTIF($BI$65:$BP$65,4)=0,TRUE,SUMPRODUCT(($BI$65:$BP$65=4)*($AS$65:$AZ$65&lt;&gt;"")*IF(((UPPER($AS$65:$AZ$65)="BLANK")+(UPPER($AS$65:$AZ$65)="(BLANK)")+(UPPER($AS$65:$AZ$65)="EMPTY")+(UPPER($AS$65:$AZ$65)="(EMPTY)"))&gt;0,IFERROR(('Final Calculation Sheet'!$A$36)&amp;"","")="",ISNUMBER(SEARCH($AS$65:$AZ$65,IFERROR(('Final Calculation Sheet'!$A$36)&amp;"","")))))&gt;0),IF(COUNTIF($BI$65:$BP$65,5)=0,TRUE,SUMPRODUCT(($BI$65:$BP$65=5)*($AS$65:$AZ$65&lt;&gt;"")*IF(((UPPER($AS$65:$AZ$65)="BLANK")+(UPPER($AS$65:$AZ$65)="(BLANK)")+(UPPER($AS$65:$AZ$65)="EMPTY")+(UPPER($AS$65:$AZ$65)="(EMPTY)"))&gt;0,IFERROR(('Final Calculation Sheet'!$A$36)&amp;"","")="",ISNUMBER(SEARCH($AS$65:$AZ$65,IFERROR(('Final Calculation Sheet'!$A$36)&amp;"","")))))&gt;0),IF(COUNTIF($BI$65:$BP$65,6)=0,TRUE,SUMPRODUCT(($BI$65:$BP$65=6)*($AS$65:$AZ$65&lt;&gt;"")*IF(((UPPER($AS$65:$AZ$65)="BLANK")+(UPPER($AS$65:$AZ$65)="(BLANK)")+(UPPER($AS$65:$AZ$65)="EMPTY")+(UPPER($AS$65:$AZ$65)="(EMPTY)"))&gt;0,IFERROR(('Final Calculation Sheet'!$A$36)&amp;"","")="",ISNUMBER(SEARCH($AS$65:$AZ$65,IFERROR(('Final Calculation Sheet'!$A$36)&amp;"","")))))&gt;0),IF(COUNTIF($BI$65:$BP$65,7)=0,TRUE,SUMPRODUCT(($BI$65:$BP$65=7)*($AS$65:$AZ$65&lt;&gt;"")*IF(((UPPER($AS$65:$AZ$65)="BLANK")+(UPPER($AS$65:$AZ$65)="(BLANK)")+(UPPER($AS$65:$AZ$65)="EMPTY")+(UPPER($AS$65:$AZ$65)="(EMPTY)"))&gt;0,IFERROR(('Final Calculation Sheet'!$A$36)&amp;"","")="",ISNUMBER(SEARCH($AS$65:$AZ$65,IFERROR(('Final Calculation Sheet'!$A$36)&amp;"","")))))&gt;0),IF(COUNTIF($BI$65:$BP$65,8)=0,TRUE,SUMPRODUCT(($BI$65:$BP$65=8)*($AS$65:$AZ$65&lt;&gt;"")*IF(((UPPER($AS$65:$AZ$65)="BLANK")+(UPPER($AS$65:$AZ$65)="(BLANK)")+(UPPER($AS$65:$AZ$65)="EMPTY")+(UPPER($AS$65:$AZ$65)="(EMPTY)"))&gt;0,IFERROR(('Final Calculation Sheet'!$A$36)&amp;"","")="",ISNUMBER(SEARCH($AS$65:$AZ$65,IFERROR(('Final Calculation Sheet'!$A$36)&amp;"","")))))&gt;0))))</f>
        <v>1</v>
      </c>
      <c r="BS37">
        <f>IF($G$4="",1,--(AND(SUMPRODUCT(--($AS$66:$AZ$66&lt;&gt;""))&gt;0,IF(COUNTIF($BI$66:$BP$66,1)=0,TRUE,SUMPRODUCT(($BI$66:$BP$66=1)*($AS$66:$AZ$66&lt;&gt;"")*IF(((UPPER($AS$66:$AZ$66)="BLANK")+(UPPER($AS$66:$AZ$66)="(BLANK)")+(UPPER($AS$66:$AZ$66)="EMPTY")+(UPPER($AS$66:$AZ$66)="(EMPTY)"))&gt;0,IFERROR(('Final Calculation Sheet'!$E$36)&amp;"","")="",ISNUMBER(SEARCH($AS$66:$AZ$66,IFERROR(('Final Calculation Sheet'!$E$36)&amp;"","")))))&gt;0),IF(COUNTIF($BI$66:$BP$66,2)=0,TRUE,SUMPRODUCT(($BI$66:$BP$66=2)*($AS$66:$AZ$66&lt;&gt;"")*IF(((UPPER($AS$66:$AZ$66)="BLANK")+(UPPER($AS$66:$AZ$66)="(BLANK)")+(UPPER($AS$66:$AZ$66)="EMPTY")+(UPPER($AS$66:$AZ$66)="(EMPTY)"))&gt;0,IFERROR(('Final Calculation Sheet'!$E$36)&amp;"","")="",ISNUMBER(SEARCH($AS$66:$AZ$66,IFERROR(('Final Calculation Sheet'!$E$36)&amp;"","")))))&gt;0),IF(COUNTIF($BI$66:$BP$66,3)=0,TRUE,SUMPRODUCT(($BI$66:$BP$66=3)*($AS$66:$AZ$66&lt;&gt;"")*IF(((UPPER($AS$66:$AZ$66)="BLANK")+(UPPER($AS$66:$AZ$66)="(BLANK)")+(UPPER($AS$66:$AZ$66)="EMPTY")+(UPPER($AS$66:$AZ$66)="(EMPTY)"))&gt;0,IFERROR(('Final Calculation Sheet'!$E$36)&amp;"","")="",ISNUMBER(SEARCH($AS$66:$AZ$66,IFERROR(('Final Calculation Sheet'!$E$36)&amp;"","")))))&gt;0),IF(COUNTIF($BI$66:$BP$66,4)=0,TRUE,SUMPRODUCT(($BI$66:$BP$66=4)*($AS$66:$AZ$66&lt;&gt;"")*IF(((UPPER($AS$66:$AZ$66)="BLANK")+(UPPER($AS$66:$AZ$66)="(BLANK)")+(UPPER($AS$66:$AZ$66)="EMPTY")+(UPPER($AS$66:$AZ$66)="(EMPTY)"))&gt;0,IFERROR(('Final Calculation Sheet'!$E$36)&amp;"","")="",ISNUMBER(SEARCH($AS$66:$AZ$66,IFERROR(('Final Calculation Sheet'!$E$36)&amp;"","")))))&gt;0),IF(COUNTIF($BI$66:$BP$66,5)=0,TRUE,SUMPRODUCT(($BI$66:$BP$66=5)*($AS$66:$AZ$66&lt;&gt;"")*IF(((UPPER($AS$66:$AZ$66)="BLANK")+(UPPER($AS$66:$AZ$66)="(BLANK)")+(UPPER($AS$66:$AZ$66)="EMPTY")+(UPPER($AS$66:$AZ$66)="(EMPTY)"))&gt;0,IFERROR(('Final Calculation Sheet'!$E$36)&amp;"","")="",ISNUMBER(SEARCH($AS$66:$AZ$66,IFERROR(('Final Calculation Sheet'!$E$36)&amp;"","")))))&gt;0),IF(COUNTIF($BI$66:$BP$66,6)=0,TRUE,SUMPRODUCT(($BI$66:$BP$66=6)*($AS$66:$AZ$66&lt;&gt;"")*IF(((UPPER($AS$66:$AZ$66)="BLANK")+(UPPER($AS$66:$AZ$66)="(BLANK)")+(UPPER($AS$66:$AZ$66)="EMPTY")+(UPPER($AS$66:$AZ$66)="(EMPTY)"))&gt;0,IFERROR(('Final Calculation Sheet'!$E$36)&amp;"","")="",ISNUMBER(SEARCH($AS$66:$AZ$66,IFERROR(('Final Calculation Sheet'!$E$36)&amp;"","")))))&gt;0),IF(COUNTIF($BI$66:$BP$66,7)=0,TRUE,SUMPRODUCT(($BI$66:$BP$66=7)*($AS$66:$AZ$66&lt;&gt;"")*IF(((UPPER($AS$66:$AZ$66)="BLANK")+(UPPER($AS$66:$AZ$66)="(BLANK)")+(UPPER($AS$66:$AZ$66)="EMPTY")+(UPPER($AS$66:$AZ$66)="(EMPTY)"))&gt;0,IFERROR(('Final Calculation Sheet'!$E$36)&amp;"","")="",ISNUMBER(SEARCH($AS$66:$AZ$66,IFERROR(('Final Calculation Sheet'!$E$36)&amp;"","")))))&gt;0),IF(COUNTIF($BI$66:$BP$66,8)=0,TRUE,SUMPRODUCT(($BI$66:$BP$66=8)*($AS$66:$AZ$66&lt;&gt;"")*IF(((UPPER($AS$66:$AZ$66)="BLANK")+(UPPER($AS$66:$AZ$66)="(BLANK)")+(UPPER($AS$66:$AZ$66)="EMPTY")+(UPPER($AS$66:$AZ$66)="(EMPTY)"))&gt;0,IFERROR(('Final Calculation Sheet'!$E$36)&amp;"","")="",ISNUMBER(SEARCH($AS$66:$AZ$66,IFERROR(('Final Calculation Sheet'!$E$36)&amp;"","")))))&gt;0))))</f>
        <v>1</v>
      </c>
      <c r="BT37">
        <f>IF($H$4="",1,--(AND(SUMPRODUCT(--($AS$67:$AZ$67&lt;&gt;""))&gt;0,IF(COUNTIF($BI$67:$BP$67,1)=0,TRUE,SUMPRODUCT(($BI$67:$BP$67=1)*($AS$67:$AZ$67&lt;&gt;"")*IF(((UPPER($AS$67:$AZ$67)="BLANK")+(UPPER($AS$67:$AZ$67)="(BLANK)")+(UPPER($AS$67:$AZ$67)="EMPTY")+(UPPER($AS$67:$AZ$67)="(EMPTY)"))&gt;0,IFERROR(('Final Calculation Sheet'!$C$36)&amp;"","")="",ISNUMBER(SEARCH($AS$67:$AZ$67,IFERROR(('Final Calculation Sheet'!$C$36)&amp;"","")))))&gt;0),IF(COUNTIF($BI$67:$BP$67,2)=0,TRUE,SUMPRODUCT(($BI$67:$BP$67=2)*($AS$67:$AZ$67&lt;&gt;"")*IF(((UPPER($AS$67:$AZ$67)="BLANK")+(UPPER($AS$67:$AZ$67)="(BLANK)")+(UPPER($AS$67:$AZ$67)="EMPTY")+(UPPER($AS$67:$AZ$67)="(EMPTY)"))&gt;0,IFERROR(('Final Calculation Sheet'!$C$36)&amp;"","")="",ISNUMBER(SEARCH($AS$67:$AZ$67,IFERROR(('Final Calculation Sheet'!$C$36)&amp;"","")))))&gt;0),IF(COUNTIF($BI$67:$BP$67,3)=0,TRUE,SUMPRODUCT(($BI$67:$BP$67=3)*($AS$67:$AZ$67&lt;&gt;"")*IF(((UPPER($AS$67:$AZ$67)="BLANK")+(UPPER($AS$67:$AZ$67)="(BLANK)")+(UPPER($AS$67:$AZ$67)="EMPTY")+(UPPER($AS$67:$AZ$67)="(EMPTY)"))&gt;0,IFERROR(('Final Calculation Sheet'!$C$36)&amp;"","")="",ISNUMBER(SEARCH($AS$67:$AZ$67,IFERROR(('Final Calculation Sheet'!$C$36)&amp;"","")))))&gt;0),IF(COUNTIF($BI$67:$BP$67,4)=0,TRUE,SUMPRODUCT(($BI$67:$BP$67=4)*($AS$67:$AZ$67&lt;&gt;"")*IF(((UPPER($AS$67:$AZ$67)="BLANK")+(UPPER($AS$67:$AZ$67)="(BLANK)")+(UPPER($AS$67:$AZ$67)="EMPTY")+(UPPER($AS$67:$AZ$67)="(EMPTY)"))&gt;0,IFERROR(('Final Calculation Sheet'!$C$36)&amp;"","")="",ISNUMBER(SEARCH($AS$67:$AZ$67,IFERROR(('Final Calculation Sheet'!$C$36)&amp;"","")))))&gt;0),IF(COUNTIF($BI$67:$BP$67,5)=0,TRUE,SUMPRODUCT(($BI$67:$BP$67=5)*($AS$67:$AZ$67&lt;&gt;"")*IF(((UPPER($AS$67:$AZ$67)="BLANK")+(UPPER($AS$67:$AZ$67)="(BLANK)")+(UPPER($AS$67:$AZ$67)="EMPTY")+(UPPER($AS$67:$AZ$67)="(EMPTY)"))&gt;0,IFERROR(('Final Calculation Sheet'!$C$36)&amp;"","")="",ISNUMBER(SEARCH($AS$67:$AZ$67,IFERROR(('Final Calculation Sheet'!$C$36)&amp;"","")))))&gt;0),IF(COUNTIF($BI$67:$BP$67,6)=0,TRUE,SUMPRODUCT(($BI$67:$BP$67=6)*($AS$67:$AZ$67&lt;&gt;"")*IF(((UPPER($AS$67:$AZ$67)="BLANK")+(UPPER($AS$67:$AZ$67)="(BLANK)")+(UPPER($AS$67:$AZ$67)="EMPTY")+(UPPER($AS$67:$AZ$67)="(EMPTY)"))&gt;0,IFERROR(('Final Calculation Sheet'!$C$36)&amp;"","")="",ISNUMBER(SEARCH($AS$67:$AZ$67,IFERROR(('Final Calculation Sheet'!$C$36)&amp;"","")))))&gt;0),IF(COUNTIF($BI$67:$BP$67,7)=0,TRUE,SUMPRODUCT(($BI$67:$BP$67=7)*($AS$67:$AZ$67&lt;&gt;"")*IF(((UPPER($AS$67:$AZ$67)="BLANK")+(UPPER($AS$67:$AZ$67)="(BLANK)")+(UPPER($AS$67:$AZ$67)="EMPTY")+(UPPER($AS$67:$AZ$67)="(EMPTY)"))&gt;0,IFERROR(('Final Calculation Sheet'!$C$36)&amp;"","")="",ISNUMBER(SEARCH($AS$67:$AZ$67,IFERROR(('Final Calculation Sheet'!$C$36)&amp;"","")))))&gt;0),IF(COUNTIF($BI$67:$BP$67,8)=0,TRUE,SUMPRODUCT(($BI$67:$BP$67=8)*($AS$67:$AZ$67&lt;&gt;"")*IF(((UPPER($AS$67:$AZ$67)="BLANK")+(UPPER($AS$67:$AZ$67)="(BLANK)")+(UPPER($AS$67:$AZ$67)="EMPTY")+(UPPER($AS$67:$AZ$67)="(EMPTY)"))&gt;0,IFERROR(('Final Calculation Sheet'!$C$36)&amp;"","")="",ISNUMBER(SEARCH($AS$67:$AZ$67,IFERROR(('Final Calculation Sheet'!$C$36)&amp;"","")))))&gt;0))))</f>
        <v>1</v>
      </c>
      <c r="BU37">
        <f>IF($I$4="",1,--(AND(SUMPRODUCT(--($AS$68:$AZ$68&lt;&gt;""))&gt;0,IF(COUNTIF($BI$68:$BP$68,1)=0,TRUE,SUMPRODUCT(($BI$68:$BP$68=1)*($AS$68:$AZ$68&lt;&gt;"")*IF(((UPPER($AS$68:$AZ$68)="BLANK")+(UPPER($AS$68:$AZ$68)="(BLANK)")+(UPPER($AS$68:$AZ$68)="EMPTY")+(UPPER($AS$68:$AZ$68)="(EMPTY)"))&gt;0,IFERROR(('Final Calculation Sheet'!$H$36)&amp;"","")="",ISNUMBER(SEARCH($AS$68:$AZ$68,IFERROR(('Final Calculation Sheet'!$H$36)&amp;"","")))))&gt;0),IF(COUNTIF($BI$68:$BP$68,2)=0,TRUE,SUMPRODUCT(($BI$68:$BP$68=2)*($AS$68:$AZ$68&lt;&gt;"")*IF(((UPPER($AS$68:$AZ$68)="BLANK")+(UPPER($AS$68:$AZ$68)="(BLANK)")+(UPPER($AS$68:$AZ$68)="EMPTY")+(UPPER($AS$68:$AZ$68)="(EMPTY)"))&gt;0,IFERROR(('Final Calculation Sheet'!$H$36)&amp;"","")="",ISNUMBER(SEARCH($AS$68:$AZ$68,IFERROR(('Final Calculation Sheet'!$H$36)&amp;"","")))))&gt;0),IF(COUNTIF($BI$68:$BP$68,3)=0,TRUE,SUMPRODUCT(($BI$68:$BP$68=3)*($AS$68:$AZ$68&lt;&gt;"")*IF(((UPPER($AS$68:$AZ$68)="BLANK")+(UPPER($AS$68:$AZ$68)="(BLANK)")+(UPPER($AS$68:$AZ$68)="EMPTY")+(UPPER($AS$68:$AZ$68)="(EMPTY)"))&gt;0,IFERROR(('Final Calculation Sheet'!$H$36)&amp;"","")="",ISNUMBER(SEARCH($AS$68:$AZ$68,IFERROR(('Final Calculation Sheet'!$H$36)&amp;"","")))))&gt;0),IF(COUNTIF($BI$68:$BP$68,4)=0,TRUE,SUMPRODUCT(($BI$68:$BP$68=4)*($AS$68:$AZ$68&lt;&gt;"")*IF(((UPPER($AS$68:$AZ$68)="BLANK")+(UPPER($AS$68:$AZ$68)="(BLANK)")+(UPPER($AS$68:$AZ$68)="EMPTY")+(UPPER($AS$68:$AZ$68)="(EMPTY)"))&gt;0,IFERROR(('Final Calculation Sheet'!$H$36)&amp;"","")="",ISNUMBER(SEARCH($AS$68:$AZ$68,IFERROR(('Final Calculation Sheet'!$H$36)&amp;"","")))))&gt;0),IF(COUNTIF($BI$68:$BP$68,5)=0,TRUE,SUMPRODUCT(($BI$68:$BP$68=5)*($AS$68:$AZ$68&lt;&gt;"")*IF(((UPPER($AS$68:$AZ$68)="BLANK")+(UPPER($AS$68:$AZ$68)="(BLANK)")+(UPPER($AS$68:$AZ$68)="EMPTY")+(UPPER($AS$68:$AZ$68)="(EMPTY)"))&gt;0,IFERROR(('Final Calculation Sheet'!$H$36)&amp;"","")="",ISNUMBER(SEARCH($AS$68:$AZ$68,IFERROR(('Final Calculation Sheet'!$H$36)&amp;"","")))))&gt;0),IF(COUNTIF($BI$68:$BP$68,6)=0,TRUE,SUMPRODUCT(($BI$68:$BP$68=6)*($AS$68:$AZ$68&lt;&gt;"")*IF(((UPPER($AS$68:$AZ$68)="BLANK")+(UPPER($AS$68:$AZ$68)="(BLANK)")+(UPPER($AS$68:$AZ$68)="EMPTY")+(UPPER($AS$68:$AZ$68)="(EMPTY)"))&gt;0,IFERROR(('Final Calculation Sheet'!$H$36)&amp;"","")="",ISNUMBER(SEARCH($AS$68:$AZ$68,IFERROR(('Final Calculation Sheet'!$H$36)&amp;"","")))))&gt;0),IF(COUNTIF($BI$68:$BP$68,7)=0,TRUE,SUMPRODUCT(($BI$68:$BP$68=7)*($AS$68:$AZ$68&lt;&gt;"")*IF(((UPPER($AS$68:$AZ$68)="BLANK")+(UPPER($AS$68:$AZ$68)="(BLANK)")+(UPPER($AS$68:$AZ$68)="EMPTY")+(UPPER($AS$68:$AZ$68)="(EMPTY)"))&gt;0,IFERROR(('Final Calculation Sheet'!$H$36)&amp;"","")="",ISNUMBER(SEARCH($AS$68:$AZ$68,IFERROR(('Final Calculation Sheet'!$H$36)&amp;"","")))))&gt;0),IF(COUNTIF($BI$68:$BP$68,8)=0,TRUE,SUMPRODUCT(($BI$68:$BP$68=8)*($AS$68:$AZ$68&lt;&gt;"")*IF(((UPPER($AS$68:$AZ$68)="BLANK")+(UPPER($AS$68:$AZ$68)="(BLANK)")+(UPPER($AS$68:$AZ$68)="EMPTY")+(UPPER($AS$68:$AZ$68)="(EMPTY)"))&gt;0,IFERROR(('Final Calculation Sheet'!$H$36)&amp;"","")="",ISNUMBER(SEARCH($AS$68:$AZ$68,IFERROR(('Final Calculation Sheet'!$H$36)&amp;"","")))))&gt;0))))</f>
        <v>1</v>
      </c>
      <c r="BV37">
        <f>IF($J$4="",1,--(AND(SUMPRODUCT(--($AS$69:$AZ$69&lt;&gt;""))&gt;0,IF(COUNTIF($BI$69:$BP$69,1)=0,TRUE,SUMPRODUCT(($BI$69:$BP$69=1)*($AS$69:$AZ$69&lt;&gt;"")*IF(((UPPER($AS$69:$AZ$69)="BLANK")+(UPPER($AS$69:$AZ$69)="(BLANK)")+(UPPER($AS$69:$AZ$69)="EMPTY")+(UPPER($AS$69:$AZ$69)="(EMPTY)"))&gt;0,IFERROR(('Final Calculation Sheet'!$I$36)&amp;"","")="",ISNUMBER(SEARCH($AS$69:$AZ$69,IFERROR(('Final Calculation Sheet'!$I$36)&amp;"","")))))&gt;0),IF(COUNTIF($BI$69:$BP$69,2)=0,TRUE,SUMPRODUCT(($BI$69:$BP$69=2)*($AS$69:$AZ$69&lt;&gt;"")*IF(((UPPER($AS$69:$AZ$69)="BLANK")+(UPPER($AS$69:$AZ$69)="(BLANK)")+(UPPER($AS$69:$AZ$69)="EMPTY")+(UPPER($AS$69:$AZ$69)="(EMPTY)"))&gt;0,IFERROR(('Final Calculation Sheet'!$I$36)&amp;"","")="",ISNUMBER(SEARCH($AS$69:$AZ$69,IFERROR(('Final Calculation Sheet'!$I$36)&amp;"","")))))&gt;0),IF(COUNTIF($BI$69:$BP$69,3)=0,TRUE,SUMPRODUCT(($BI$69:$BP$69=3)*($AS$69:$AZ$69&lt;&gt;"")*IF(((UPPER($AS$69:$AZ$69)="BLANK")+(UPPER($AS$69:$AZ$69)="(BLANK)")+(UPPER($AS$69:$AZ$69)="EMPTY")+(UPPER($AS$69:$AZ$69)="(EMPTY)"))&gt;0,IFERROR(('Final Calculation Sheet'!$I$36)&amp;"","")="",ISNUMBER(SEARCH($AS$69:$AZ$69,IFERROR(('Final Calculation Sheet'!$I$36)&amp;"","")))))&gt;0),IF(COUNTIF($BI$69:$BP$69,4)=0,TRUE,SUMPRODUCT(($BI$69:$BP$69=4)*($AS$69:$AZ$69&lt;&gt;"")*IF(((UPPER($AS$69:$AZ$69)="BLANK")+(UPPER($AS$69:$AZ$69)="(BLANK)")+(UPPER($AS$69:$AZ$69)="EMPTY")+(UPPER($AS$69:$AZ$69)="(EMPTY)"))&gt;0,IFERROR(('Final Calculation Sheet'!$I$36)&amp;"","")="",ISNUMBER(SEARCH($AS$69:$AZ$69,IFERROR(('Final Calculation Sheet'!$I$36)&amp;"","")))))&gt;0),IF(COUNTIF($BI$69:$BP$69,5)=0,TRUE,SUMPRODUCT(($BI$69:$BP$69=5)*($AS$69:$AZ$69&lt;&gt;"")*IF(((UPPER($AS$69:$AZ$69)="BLANK")+(UPPER($AS$69:$AZ$69)="(BLANK)")+(UPPER($AS$69:$AZ$69)="EMPTY")+(UPPER($AS$69:$AZ$69)="(EMPTY)"))&gt;0,IFERROR(('Final Calculation Sheet'!$I$36)&amp;"","")="",ISNUMBER(SEARCH($AS$69:$AZ$69,IFERROR(('Final Calculation Sheet'!$I$36)&amp;"","")))))&gt;0),IF(COUNTIF($BI$69:$BP$69,6)=0,TRUE,SUMPRODUCT(($BI$69:$BP$69=6)*($AS$69:$AZ$69&lt;&gt;"")*IF(((UPPER($AS$69:$AZ$69)="BLANK")+(UPPER($AS$69:$AZ$69)="(BLANK)")+(UPPER($AS$69:$AZ$69)="EMPTY")+(UPPER($AS$69:$AZ$69)="(EMPTY)"))&gt;0,IFERROR(('Final Calculation Sheet'!$I$36)&amp;"","")="",ISNUMBER(SEARCH($AS$69:$AZ$69,IFERROR(('Final Calculation Sheet'!$I$36)&amp;"","")))))&gt;0),IF(COUNTIF($BI$69:$BP$69,7)=0,TRUE,SUMPRODUCT(($BI$69:$BP$69=7)*($AS$69:$AZ$69&lt;&gt;"")*IF(((UPPER($AS$69:$AZ$69)="BLANK")+(UPPER($AS$69:$AZ$69)="(BLANK)")+(UPPER($AS$69:$AZ$69)="EMPTY")+(UPPER($AS$69:$AZ$69)="(EMPTY)"))&gt;0,IFERROR(('Final Calculation Sheet'!$I$36)&amp;"","")="",ISNUMBER(SEARCH($AS$69:$AZ$69,IFERROR(('Final Calculation Sheet'!$I$36)&amp;"","")))))&gt;0),IF(COUNTIF($BI$69:$BP$69,8)=0,TRUE,SUMPRODUCT(($BI$69:$BP$69=8)*($AS$69:$AZ$69&lt;&gt;"")*IF(((UPPER($AS$69:$AZ$69)="BLANK")+(UPPER($AS$69:$AZ$69)="(BLANK)")+(UPPER($AS$69:$AZ$69)="EMPTY")+(UPPER($AS$69:$AZ$69)="(EMPTY)"))&gt;0,IFERROR(('Final Calculation Sheet'!$I$36)&amp;"","")="",ISNUMBER(SEARCH($AS$69:$AZ$69,IFERROR(('Final Calculation Sheet'!$I$36)&amp;"","")))))&gt;0))))</f>
        <v>1</v>
      </c>
      <c r="BW37">
        <f>IF($K$4="",1,--(AND(SUMPRODUCT(--($AS$70:$AZ$70&lt;&gt;""))&gt;0,IF(COUNTIF($BI$70:$BP$70,1)=0,TRUE,SUMPRODUCT(($BI$70:$BP$70=1)*($AS$70:$AZ$70&lt;&gt;"")*IF(((UPPER($AS$70:$AZ$70)="BLANK")+(UPPER($AS$70:$AZ$70)="(BLANK)")+(UPPER($AS$70:$AZ$70)="EMPTY")+(UPPER($AS$70:$AZ$70)="(EMPTY)"))&gt;0,IFERROR(('Final Calculation Sheet'!$J$36)&amp;"","")="",ISNUMBER(SEARCH($AS$70:$AZ$70,IFERROR(('Final Calculation Sheet'!$J$36)&amp;"","")))))&gt;0),IF(COUNTIF($BI$70:$BP$70,2)=0,TRUE,SUMPRODUCT(($BI$70:$BP$70=2)*($AS$70:$AZ$70&lt;&gt;"")*IF(((UPPER($AS$70:$AZ$70)="BLANK")+(UPPER($AS$70:$AZ$70)="(BLANK)")+(UPPER($AS$70:$AZ$70)="EMPTY")+(UPPER($AS$70:$AZ$70)="(EMPTY)"))&gt;0,IFERROR(('Final Calculation Sheet'!$J$36)&amp;"","")="",ISNUMBER(SEARCH($AS$70:$AZ$70,IFERROR(('Final Calculation Sheet'!$J$36)&amp;"","")))))&gt;0),IF(COUNTIF($BI$70:$BP$70,3)=0,TRUE,SUMPRODUCT(($BI$70:$BP$70=3)*($AS$70:$AZ$70&lt;&gt;"")*IF(((UPPER($AS$70:$AZ$70)="BLANK")+(UPPER($AS$70:$AZ$70)="(BLANK)")+(UPPER($AS$70:$AZ$70)="EMPTY")+(UPPER($AS$70:$AZ$70)="(EMPTY)"))&gt;0,IFERROR(('Final Calculation Sheet'!$J$36)&amp;"","")="",ISNUMBER(SEARCH($AS$70:$AZ$70,IFERROR(('Final Calculation Sheet'!$J$36)&amp;"","")))))&gt;0),IF(COUNTIF($BI$70:$BP$70,4)=0,TRUE,SUMPRODUCT(($BI$70:$BP$70=4)*($AS$70:$AZ$70&lt;&gt;"")*IF(((UPPER($AS$70:$AZ$70)="BLANK")+(UPPER($AS$70:$AZ$70)="(BLANK)")+(UPPER($AS$70:$AZ$70)="EMPTY")+(UPPER($AS$70:$AZ$70)="(EMPTY)"))&gt;0,IFERROR(('Final Calculation Sheet'!$J$36)&amp;"","")="",ISNUMBER(SEARCH($AS$70:$AZ$70,IFERROR(('Final Calculation Sheet'!$J$36)&amp;"","")))))&gt;0),IF(COUNTIF($BI$70:$BP$70,5)=0,TRUE,SUMPRODUCT(($BI$70:$BP$70=5)*($AS$70:$AZ$70&lt;&gt;"")*IF(((UPPER($AS$70:$AZ$70)="BLANK")+(UPPER($AS$70:$AZ$70)="(BLANK)")+(UPPER($AS$70:$AZ$70)="EMPTY")+(UPPER($AS$70:$AZ$70)="(EMPTY)"))&gt;0,IFERROR(('Final Calculation Sheet'!$J$36)&amp;"","")="",ISNUMBER(SEARCH($AS$70:$AZ$70,IFERROR(('Final Calculation Sheet'!$J$36)&amp;"","")))))&gt;0),IF(COUNTIF($BI$70:$BP$70,6)=0,TRUE,SUMPRODUCT(($BI$70:$BP$70=6)*($AS$70:$AZ$70&lt;&gt;"")*IF(((UPPER($AS$70:$AZ$70)="BLANK")+(UPPER($AS$70:$AZ$70)="(BLANK)")+(UPPER($AS$70:$AZ$70)="EMPTY")+(UPPER($AS$70:$AZ$70)="(EMPTY)"))&gt;0,IFERROR(('Final Calculation Sheet'!$J$36)&amp;"","")="",ISNUMBER(SEARCH($AS$70:$AZ$70,IFERROR(('Final Calculation Sheet'!$J$36)&amp;"","")))))&gt;0),IF(COUNTIF($BI$70:$BP$70,7)=0,TRUE,SUMPRODUCT(($BI$70:$BP$70=7)*($AS$70:$AZ$70&lt;&gt;"")*IF(((UPPER($AS$70:$AZ$70)="BLANK")+(UPPER($AS$70:$AZ$70)="(BLANK)")+(UPPER($AS$70:$AZ$70)="EMPTY")+(UPPER($AS$70:$AZ$70)="(EMPTY)"))&gt;0,IFERROR(('Final Calculation Sheet'!$J$36)&amp;"","")="",ISNUMBER(SEARCH($AS$70:$AZ$70,IFERROR(('Final Calculation Sheet'!$J$36)&amp;"","")))))&gt;0),IF(COUNTIF($BI$70:$BP$70,8)=0,TRUE,SUMPRODUCT(($BI$70:$BP$70=8)*($AS$70:$AZ$70&lt;&gt;"")*IF(((UPPER($AS$70:$AZ$70)="BLANK")+(UPPER($AS$70:$AZ$70)="(BLANK)")+(UPPER($AS$70:$AZ$70)="EMPTY")+(UPPER($AS$70:$AZ$70)="(EMPTY)"))&gt;0,IFERROR(('Final Calculation Sheet'!$J$36)&amp;"","")="",ISNUMBER(SEARCH($AS$70:$AZ$70,IFERROR(('Final Calculation Sheet'!$J$36)&amp;"","")))))&gt;0))))</f>
        <v>1</v>
      </c>
      <c r="BX37">
        <f>IF($L$4="",1,--(AND(SUMPRODUCT(--($AS$71:$AZ$71&lt;&gt;""))&gt;0,IF(COUNTIF($BI$71:$BP$71,1)=0,TRUE,SUMPRODUCT(($BI$71:$BP$71=1)*($AS$71:$AZ$71&lt;&gt;"")*IF(((UPPER($AS$71:$AZ$71)="BLANK")+(UPPER($AS$71:$AZ$71)="(BLANK)")+(UPPER($AS$71:$AZ$71)="EMPTY")+(UPPER($AS$71:$AZ$71)="(EMPTY)"))&gt;0,IFERROR(('Final Calculation Sheet'!$K$36)&amp;"","")="",ISNUMBER(SEARCH($AS$71:$AZ$71,IFERROR(('Final Calculation Sheet'!$K$36)&amp;"","")))))&gt;0),IF(COUNTIF($BI$71:$BP$71,2)=0,TRUE,SUMPRODUCT(($BI$71:$BP$71=2)*($AS$71:$AZ$71&lt;&gt;"")*IF(((UPPER($AS$71:$AZ$71)="BLANK")+(UPPER($AS$71:$AZ$71)="(BLANK)")+(UPPER($AS$71:$AZ$71)="EMPTY")+(UPPER($AS$71:$AZ$71)="(EMPTY)"))&gt;0,IFERROR(('Final Calculation Sheet'!$K$36)&amp;"","")="",ISNUMBER(SEARCH($AS$71:$AZ$71,IFERROR(('Final Calculation Sheet'!$K$36)&amp;"","")))))&gt;0),IF(COUNTIF($BI$71:$BP$71,3)=0,TRUE,SUMPRODUCT(($BI$71:$BP$71=3)*($AS$71:$AZ$71&lt;&gt;"")*IF(((UPPER($AS$71:$AZ$71)="BLANK")+(UPPER($AS$71:$AZ$71)="(BLANK)")+(UPPER($AS$71:$AZ$71)="EMPTY")+(UPPER($AS$71:$AZ$71)="(EMPTY)"))&gt;0,IFERROR(('Final Calculation Sheet'!$K$36)&amp;"","")="",ISNUMBER(SEARCH($AS$71:$AZ$71,IFERROR(('Final Calculation Sheet'!$K$36)&amp;"","")))))&gt;0),IF(COUNTIF($BI$71:$BP$71,4)=0,TRUE,SUMPRODUCT(($BI$71:$BP$71=4)*($AS$71:$AZ$71&lt;&gt;"")*IF(((UPPER($AS$71:$AZ$71)="BLANK")+(UPPER($AS$71:$AZ$71)="(BLANK)")+(UPPER($AS$71:$AZ$71)="EMPTY")+(UPPER($AS$71:$AZ$71)="(EMPTY)"))&gt;0,IFERROR(('Final Calculation Sheet'!$K$36)&amp;"","")="",ISNUMBER(SEARCH($AS$71:$AZ$71,IFERROR(('Final Calculation Sheet'!$K$36)&amp;"","")))))&gt;0),IF(COUNTIF($BI$71:$BP$71,5)=0,TRUE,SUMPRODUCT(($BI$71:$BP$71=5)*($AS$71:$AZ$71&lt;&gt;"")*IF(((UPPER($AS$71:$AZ$71)="BLANK")+(UPPER($AS$71:$AZ$71)="(BLANK)")+(UPPER($AS$71:$AZ$71)="EMPTY")+(UPPER($AS$71:$AZ$71)="(EMPTY)"))&gt;0,IFERROR(('Final Calculation Sheet'!$K$36)&amp;"","")="",ISNUMBER(SEARCH($AS$71:$AZ$71,IFERROR(('Final Calculation Sheet'!$K$36)&amp;"","")))))&gt;0),IF(COUNTIF($BI$71:$BP$71,6)=0,TRUE,SUMPRODUCT(($BI$71:$BP$71=6)*($AS$71:$AZ$71&lt;&gt;"")*IF(((UPPER($AS$71:$AZ$71)="BLANK")+(UPPER($AS$71:$AZ$71)="(BLANK)")+(UPPER($AS$71:$AZ$71)="EMPTY")+(UPPER($AS$71:$AZ$71)="(EMPTY)"))&gt;0,IFERROR(('Final Calculation Sheet'!$K$36)&amp;"","")="",ISNUMBER(SEARCH($AS$71:$AZ$71,IFERROR(('Final Calculation Sheet'!$K$36)&amp;"","")))))&gt;0),IF(COUNTIF($BI$71:$BP$71,7)=0,TRUE,SUMPRODUCT(($BI$71:$BP$71=7)*($AS$71:$AZ$71&lt;&gt;"")*IF(((UPPER($AS$71:$AZ$71)="BLANK")+(UPPER($AS$71:$AZ$71)="(BLANK)")+(UPPER($AS$71:$AZ$71)="EMPTY")+(UPPER($AS$71:$AZ$71)="(EMPTY)"))&gt;0,IFERROR(('Final Calculation Sheet'!$K$36)&amp;"","")="",ISNUMBER(SEARCH($AS$71:$AZ$71,IFERROR(('Final Calculation Sheet'!$K$36)&amp;"","")))))&gt;0),IF(COUNTIF($BI$71:$BP$71,8)=0,TRUE,SUMPRODUCT(($BI$71:$BP$71=8)*($AS$71:$AZ$71&lt;&gt;"")*IF(((UPPER($AS$71:$AZ$71)="BLANK")+(UPPER($AS$71:$AZ$71)="(BLANK)")+(UPPER($AS$71:$AZ$71)="EMPTY")+(UPPER($AS$71:$AZ$71)="(EMPTY)"))&gt;0,IFERROR(('Final Calculation Sheet'!$K$36)&amp;"","")="",ISNUMBER(SEARCH($AS$71:$AZ$71,IFERROR(('Final Calculation Sheet'!$K$36)&amp;"","")))))&gt;0))))</f>
        <v>1</v>
      </c>
      <c r="BY37">
        <f>IF($M$4="",1,--(AND(SUMPRODUCT(--($AS$72:$AZ$72&lt;&gt;""))&gt;0,IF(COUNTIF($BI$72:$BP$72,1)=0,TRUE,SUMPRODUCT(($BI$72:$BP$72=1)*($AS$72:$AZ$72&lt;&gt;"")*IF(((UPPER($AS$72:$AZ$72)="BLANK")+(UPPER($AS$72:$AZ$72)="(BLANK)")+(UPPER($AS$72:$AZ$72)="EMPTY")+(UPPER($AS$72:$AZ$72)="(EMPTY)"))&gt;0,IFERROR(('Final Calculation Sheet'!$L$36)&amp;"","")="",ISNUMBER(SEARCH($AS$72:$AZ$72,IFERROR(('Final Calculation Sheet'!$L$36)&amp;"","")))))&gt;0),IF(COUNTIF($BI$72:$BP$72,2)=0,TRUE,SUMPRODUCT(($BI$72:$BP$72=2)*($AS$72:$AZ$72&lt;&gt;"")*IF(((UPPER($AS$72:$AZ$72)="BLANK")+(UPPER($AS$72:$AZ$72)="(BLANK)")+(UPPER($AS$72:$AZ$72)="EMPTY")+(UPPER($AS$72:$AZ$72)="(EMPTY)"))&gt;0,IFERROR(('Final Calculation Sheet'!$L$36)&amp;"","")="",ISNUMBER(SEARCH($AS$72:$AZ$72,IFERROR(('Final Calculation Sheet'!$L$36)&amp;"","")))))&gt;0),IF(COUNTIF($BI$72:$BP$72,3)=0,TRUE,SUMPRODUCT(($BI$72:$BP$72=3)*($AS$72:$AZ$72&lt;&gt;"")*IF(((UPPER($AS$72:$AZ$72)="BLANK")+(UPPER($AS$72:$AZ$72)="(BLANK)")+(UPPER($AS$72:$AZ$72)="EMPTY")+(UPPER($AS$72:$AZ$72)="(EMPTY)"))&gt;0,IFERROR(('Final Calculation Sheet'!$L$36)&amp;"","")="",ISNUMBER(SEARCH($AS$72:$AZ$72,IFERROR(('Final Calculation Sheet'!$L$36)&amp;"","")))))&gt;0),IF(COUNTIF($BI$72:$BP$72,4)=0,TRUE,SUMPRODUCT(($BI$72:$BP$72=4)*($AS$72:$AZ$72&lt;&gt;"")*IF(((UPPER($AS$72:$AZ$72)="BLANK")+(UPPER($AS$72:$AZ$72)="(BLANK)")+(UPPER($AS$72:$AZ$72)="EMPTY")+(UPPER($AS$72:$AZ$72)="(EMPTY)"))&gt;0,IFERROR(('Final Calculation Sheet'!$L$36)&amp;"","")="",ISNUMBER(SEARCH($AS$72:$AZ$72,IFERROR(('Final Calculation Sheet'!$L$36)&amp;"","")))))&gt;0),IF(COUNTIF($BI$72:$BP$72,5)=0,TRUE,SUMPRODUCT(($BI$72:$BP$72=5)*($AS$72:$AZ$72&lt;&gt;"")*IF(((UPPER($AS$72:$AZ$72)="BLANK")+(UPPER($AS$72:$AZ$72)="(BLANK)")+(UPPER($AS$72:$AZ$72)="EMPTY")+(UPPER($AS$72:$AZ$72)="(EMPTY)"))&gt;0,IFERROR(('Final Calculation Sheet'!$L$36)&amp;"","")="",ISNUMBER(SEARCH($AS$72:$AZ$72,IFERROR(('Final Calculation Sheet'!$L$36)&amp;"","")))))&gt;0),IF(COUNTIF($BI$72:$BP$72,6)=0,TRUE,SUMPRODUCT(($BI$72:$BP$72=6)*($AS$72:$AZ$72&lt;&gt;"")*IF(((UPPER($AS$72:$AZ$72)="BLANK")+(UPPER($AS$72:$AZ$72)="(BLANK)")+(UPPER($AS$72:$AZ$72)="EMPTY")+(UPPER($AS$72:$AZ$72)="(EMPTY)"))&gt;0,IFERROR(('Final Calculation Sheet'!$L$36)&amp;"","")="",ISNUMBER(SEARCH($AS$72:$AZ$72,IFERROR(('Final Calculation Sheet'!$L$36)&amp;"","")))))&gt;0),IF(COUNTIF($BI$72:$BP$72,7)=0,TRUE,SUMPRODUCT(($BI$72:$BP$72=7)*($AS$72:$AZ$72&lt;&gt;"")*IF(((UPPER($AS$72:$AZ$72)="BLANK")+(UPPER($AS$72:$AZ$72)="(BLANK)")+(UPPER($AS$72:$AZ$72)="EMPTY")+(UPPER($AS$72:$AZ$72)="(EMPTY)"))&gt;0,IFERROR(('Final Calculation Sheet'!$L$36)&amp;"","")="",ISNUMBER(SEARCH($AS$72:$AZ$72,IFERROR(('Final Calculation Sheet'!$L$36)&amp;"","")))))&gt;0),IF(COUNTIF($BI$72:$BP$72,8)=0,TRUE,SUMPRODUCT(($BI$72:$BP$72=8)*($AS$72:$AZ$72&lt;&gt;"")*IF(((UPPER($AS$72:$AZ$72)="BLANK")+(UPPER($AS$72:$AZ$72)="(BLANK)")+(UPPER($AS$72:$AZ$72)="EMPTY")+(UPPER($AS$72:$AZ$72)="(EMPTY)"))&gt;0,IFERROR(('Final Calculation Sheet'!$L$36)&amp;"","")="",ISNUMBER(SEARCH($AS$72:$AZ$72,IFERROR(('Final Calculation Sheet'!$L$36)&amp;"","")))))&gt;0))))</f>
        <v>1</v>
      </c>
      <c r="BZ37">
        <f>IF($N$4="",1,--(AND(SUMPRODUCT(--($AS$73:$AZ$73&lt;&gt;""))&gt;0,IF(COUNTIF($BI$73:$BP$73,1)=0,TRUE,SUMPRODUCT(($BI$73:$BP$73=1)*($AS$73:$AZ$73&lt;&gt;"")*IF(((UPPER($AS$73:$AZ$73)="BLANK")+(UPPER($AS$73:$AZ$73)="(BLANK)")+(UPPER($AS$73:$AZ$73)="EMPTY")+(UPPER($AS$73:$AZ$73)="(EMPTY)"))&gt;0,IFERROR(('Final Calculation Sheet'!$M$36)&amp;"","")="",ISNUMBER(SEARCH($AS$73:$AZ$73,IFERROR(('Final Calculation Sheet'!$M$36)&amp;"","")))))&gt;0),IF(COUNTIF($BI$73:$BP$73,2)=0,TRUE,SUMPRODUCT(($BI$73:$BP$73=2)*($AS$73:$AZ$73&lt;&gt;"")*IF(((UPPER($AS$73:$AZ$73)="BLANK")+(UPPER($AS$73:$AZ$73)="(BLANK)")+(UPPER($AS$73:$AZ$73)="EMPTY")+(UPPER($AS$73:$AZ$73)="(EMPTY)"))&gt;0,IFERROR(('Final Calculation Sheet'!$M$36)&amp;"","")="",ISNUMBER(SEARCH($AS$73:$AZ$73,IFERROR(('Final Calculation Sheet'!$M$36)&amp;"","")))))&gt;0),IF(COUNTIF($BI$73:$BP$73,3)=0,TRUE,SUMPRODUCT(($BI$73:$BP$73=3)*($AS$73:$AZ$73&lt;&gt;"")*IF(((UPPER($AS$73:$AZ$73)="BLANK")+(UPPER($AS$73:$AZ$73)="(BLANK)")+(UPPER($AS$73:$AZ$73)="EMPTY")+(UPPER($AS$73:$AZ$73)="(EMPTY)"))&gt;0,IFERROR(('Final Calculation Sheet'!$M$36)&amp;"","")="",ISNUMBER(SEARCH($AS$73:$AZ$73,IFERROR(('Final Calculation Sheet'!$M$36)&amp;"","")))))&gt;0),IF(COUNTIF($BI$73:$BP$73,4)=0,TRUE,SUMPRODUCT(($BI$73:$BP$73=4)*($AS$73:$AZ$73&lt;&gt;"")*IF(((UPPER($AS$73:$AZ$73)="BLANK")+(UPPER($AS$73:$AZ$73)="(BLANK)")+(UPPER($AS$73:$AZ$73)="EMPTY")+(UPPER($AS$73:$AZ$73)="(EMPTY)"))&gt;0,IFERROR(('Final Calculation Sheet'!$M$36)&amp;"","")="",ISNUMBER(SEARCH($AS$73:$AZ$73,IFERROR(('Final Calculation Sheet'!$M$36)&amp;"","")))))&gt;0),IF(COUNTIF($BI$73:$BP$73,5)=0,TRUE,SUMPRODUCT(($BI$73:$BP$73=5)*($AS$73:$AZ$73&lt;&gt;"")*IF(((UPPER($AS$73:$AZ$73)="BLANK")+(UPPER($AS$73:$AZ$73)="(BLANK)")+(UPPER($AS$73:$AZ$73)="EMPTY")+(UPPER($AS$73:$AZ$73)="(EMPTY)"))&gt;0,IFERROR(('Final Calculation Sheet'!$M$36)&amp;"","")="",ISNUMBER(SEARCH($AS$73:$AZ$73,IFERROR(('Final Calculation Sheet'!$M$36)&amp;"","")))))&gt;0),IF(COUNTIF($BI$73:$BP$73,6)=0,TRUE,SUMPRODUCT(($BI$73:$BP$73=6)*($AS$73:$AZ$73&lt;&gt;"")*IF(((UPPER($AS$73:$AZ$73)="BLANK")+(UPPER($AS$73:$AZ$73)="(BLANK)")+(UPPER($AS$73:$AZ$73)="EMPTY")+(UPPER($AS$73:$AZ$73)="(EMPTY)"))&gt;0,IFERROR(('Final Calculation Sheet'!$M$36)&amp;"","")="",ISNUMBER(SEARCH($AS$73:$AZ$73,IFERROR(('Final Calculation Sheet'!$M$36)&amp;"","")))))&gt;0),IF(COUNTIF($BI$73:$BP$73,7)=0,TRUE,SUMPRODUCT(($BI$73:$BP$73=7)*($AS$73:$AZ$73&lt;&gt;"")*IF(((UPPER($AS$73:$AZ$73)="BLANK")+(UPPER($AS$73:$AZ$73)="(BLANK)")+(UPPER($AS$73:$AZ$73)="EMPTY")+(UPPER($AS$73:$AZ$73)="(EMPTY)"))&gt;0,IFERROR(('Final Calculation Sheet'!$M$36)&amp;"","")="",ISNUMBER(SEARCH($AS$73:$AZ$73,IFERROR(('Final Calculation Sheet'!$M$36)&amp;"","")))))&gt;0),IF(COUNTIF($BI$73:$BP$73,8)=0,TRUE,SUMPRODUCT(($BI$73:$BP$73=8)*($AS$73:$AZ$73&lt;&gt;"")*IF(((UPPER($AS$73:$AZ$73)="BLANK")+(UPPER($AS$73:$AZ$73)="(BLANK)")+(UPPER($AS$73:$AZ$73)="EMPTY")+(UPPER($AS$73:$AZ$73)="(EMPTY)"))&gt;0,IFERROR(('Final Calculation Sheet'!$M$36)&amp;"","")="",ISNUMBER(SEARCH($AS$73:$AZ$73,IFERROR(('Final Calculation Sheet'!$M$36)&amp;"","")))))&gt;0))))</f>
        <v>1</v>
      </c>
      <c r="CA37">
        <f>IF($O$4="",1,--(AND(SUMPRODUCT(--($AS$74:$AZ$74&lt;&gt;""))&gt;0,IF(COUNTIF($BI$74:$BP$74,1)=0,TRUE,SUMPRODUCT(($BI$74:$BP$74=1)*($AS$74:$AZ$74&lt;&gt;"")*IF(((UPPER($AS$74:$AZ$74)="BLANK")+(UPPER($AS$74:$AZ$74)="(BLANK)")+(UPPER($AS$74:$AZ$74)="EMPTY")+(UPPER($AS$74:$AZ$74)="(EMPTY)"))&gt;0,IFERROR(('Final Calculation Sheet'!$N$36)&amp;"","")="",ISNUMBER(SEARCH($AS$74:$AZ$74,IFERROR(('Final Calculation Sheet'!$N$36)&amp;"","")))))&gt;0),IF(COUNTIF($BI$74:$BP$74,2)=0,TRUE,SUMPRODUCT(($BI$74:$BP$74=2)*($AS$74:$AZ$74&lt;&gt;"")*IF(((UPPER($AS$74:$AZ$74)="BLANK")+(UPPER($AS$74:$AZ$74)="(BLANK)")+(UPPER($AS$74:$AZ$74)="EMPTY")+(UPPER($AS$74:$AZ$74)="(EMPTY)"))&gt;0,IFERROR(('Final Calculation Sheet'!$N$36)&amp;"","")="",ISNUMBER(SEARCH($AS$74:$AZ$74,IFERROR(('Final Calculation Sheet'!$N$36)&amp;"","")))))&gt;0),IF(COUNTIF($BI$74:$BP$74,3)=0,TRUE,SUMPRODUCT(($BI$74:$BP$74=3)*($AS$74:$AZ$74&lt;&gt;"")*IF(((UPPER($AS$74:$AZ$74)="BLANK")+(UPPER($AS$74:$AZ$74)="(BLANK)")+(UPPER($AS$74:$AZ$74)="EMPTY")+(UPPER($AS$74:$AZ$74)="(EMPTY)"))&gt;0,IFERROR(('Final Calculation Sheet'!$N$36)&amp;"","")="",ISNUMBER(SEARCH($AS$74:$AZ$74,IFERROR(('Final Calculation Sheet'!$N$36)&amp;"","")))))&gt;0),IF(COUNTIF($BI$74:$BP$74,4)=0,TRUE,SUMPRODUCT(($BI$74:$BP$74=4)*($AS$74:$AZ$74&lt;&gt;"")*IF(((UPPER($AS$74:$AZ$74)="BLANK")+(UPPER($AS$74:$AZ$74)="(BLANK)")+(UPPER($AS$74:$AZ$74)="EMPTY")+(UPPER($AS$74:$AZ$74)="(EMPTY)"))&gt;0,IFERROR(('Final Calculation Sheet'!$N$36)&amp;"","")="",ISNUMBER(SEARCH($AS$74:$AZ$74,IFERROR(('Final Calculation Sheet'!$N$36)&amp;"","")))))&gt;0),IF(COUNTIF($BI$74:$BP$74,5)=0,TRUE,SUMPRODUCT(($BI$74:$BP$74=5)*($AS$74:$AZ$74&lt;&gt;"")*IF(((UPPER($AS$74:$AZ$74)="BLANK")+(UPPER($AS$74:$AZ$74)="(BLANK)")+(UPPER($AS$74:$AZ$74)="EMPTY")+(UPPER($AS$74:$AZ$74)="(EMPTY)"))&gt;0,IFERROR(('Final Calculation Sheet'!$N$36)&amp;"","")="",ISNUMBER(SEARCH($AS$74:$AZ$74,IFERROR(('Final Calculation Sheet'!$N$36)&amp;"","")))))&gt;0),IF(COUNTIF($BI$74:$BP$74,6)=0,TRUE,SUMPRODUCT(($BI$74:$BP$74=6)*($AS$74:$AZ$74&lt;&gt;"")*IF(((UPPER($AS$74:$AZ$74)="BLANK")+(UPPER($AS$74:$AZ$74)="(BLANK)")+(UPPER($AS$74:$AZ$74)="EMPTY")+(UPPER($AS$74:$AZ$74)="(EMPTY)"))&gt;0,IFERROR(('Final Calculation Sheet'!$N$36)&amp;"","")="",ISNUMBER(SEARCH($AS$74:$AZ$74,IFERROR(('Final Calculation Sheet'!$N$36)&amp;"","")))))&gt;0),IF(COUNTIF($BI$74:$BP$74,7)=0,TRUE,SUMPRODUCT(($BI$74:$BP$74=7)*($AS$74:$AZ$74&lt;&gt;"")*IF(((UPPER($AS$74:$AZ$74)="BLANK")+(UPPER($AS$74:$AZ$74)="(BLANK)")+(UPPER($AS$74:$AZ$74)="EMPTY")+(UPPER($AS$74:$AZ$74)="(EMPTY)"))&gt;0,IFERROR(('Final Calculation Sheet'!$N$36)&amp;"","")="",ISNUMBER(SEARCH($AS$74:$AZ$74,IFERROR(('Final Calculation Sheet'!$N$36)&amp;"","")))))&gt;0),IF(COUNTIF($BI$74:$BP$74,8)=0,TRUE,SUMPRODUCT(($BI$74:$BP$74=8)*($AS$74:$AZ$74&lt;&gt;"")*IF(((UPPER($AS$74:$AZ$74)="BLANK")+(UPPER($AS$74:$AZ$74)="(BLANK)")+(UPPER($AS$74:$AZ$74)="EMPTY")+(UPPER($AS$74:$AZ$74)="(EMPTY)"))&gt;0,IFERROR(('Final Calculation Sheet'!$N$36)&amp;"","")="",ISNUMBER(SEARCH($AS$74:$AZ$74,IFERROR(('Final Calculation Sheet'!$N$36)&amp;"","")))))&gt;0))))</f>
        <v>1</v>
      </c>
      <c r="CB37">
        <f>IF($P$4="",1,--(AND(SUMPRODUCT(--($AS$75:$AZ$75&lt;&gt;""))&gt;0,IF(COUNTIF($BI$75:$BP$75,1)=0,TRUE,SUMPRODUCT(($BI$75:$BP$75=1)*($AS$75:$AZ$75&lt;&gt;"")*IF(((UPPER($AS$75:$AZ$75)="BLANK")+(UPPER($AS$75:$AZ$75)="(BLANK)")+(UPPER($AS$75:$AZ$75)="EMPTY")+(UPPER($AS$75:$AZ$75)="(EMPTY)"))&gt;0,IFERROR(('Final Calculation Sheet'!$O$36)&amp;"","")="",ISNUMBER(SEARCH($AS$75:$AZ$75,IFERROR(('Final Calculation Sheet'!$O$36)&amp;"","")))))&gt;0),IF(COUNTIF($BI$75:$BP$75,2)=0,TRUE,SUMPRODUCT(($BI$75:$BP$75=2)*($AS$75:$AZ$75&lt;&gt;"")*IF(((UPPER($AS$75:$AZ$75)="BLANK")+(UPPER($AS$75:$AZ$75)="(BLANK)")+(UPPER($AS$75:$AZ$75)="EMPTY")+(UPPER($AS$75:$AZ$75)="(EMPTY)"))&gt;0,IFERROR(('Final Calculation Sheet'!$O$36)&amp;"","")="",ISNUMBER(SEARCH($AS$75:$AZ$75,IFERROR(('Final Calculation Sheet'!$O$36)&amp;"","")))))&gt;0),IF(COUNTIF($BI$75:$BP$75,3)=0,TRUE,SUMPRODUCT(($BI$75:$BP$75=3)*($AS$75:$AZ$75&lt;&gt;"")*IF(((UPPER($AS$75:$AZ$75)="BLANK")+(UPPER($AS$75:$AZ$75)="(BLANK)")+(UPPER($AS$75:$AZ$75)="EMPTY")+(UPPER($AS$75:$AZ$75)="(EMPTY)"))&gt;0,IFERROR(('Final Calculation Sheet'!$O$36)&amp;"","")="",ISNUMBER(SEARCH($AS$75:$AZ$75,IFERROR(('Final Calculation Sheet'!$O$36)&amp;"","")))))&gt;0),IF(COUNTIF($BI$75:$BP$75,4)=0,TRUE,SUMPRODUCT(($BI$75:$BP$75=4)*($AS$75:$AZ$75&lt;&gt;"")*IF(((UPPER($AS$75:$AZ$75)="BLANK")+(UPPER($AS$75:$AZ$75)="(BLANK)")+(UPPER($AS$75:$AZ$75)="EMPTY")+(UPPER($AS$75:$AZ$75)="(EMPTY)"))&gt;0,IFERROR(('Final Calculation Sheet'!$O$36)&amp;"","")="",ISNUMBER(SEARCH($AS$75:$AZ$75,IFERROR(('Final Calculation Sheet'!$O$36)&amp;"","")))))&gt;0),IF(COUNTIF($BI$75:$BP$75,5)=0,TRUE,SUMPRODUCT(($BI$75:$BP$75=5)*($AS$75:$AZ$75&lt;&gt;"")*IF(((UPPER($AS$75:$AZ$75)="BLANK")+(UPPER($AS$75:$AZ$75)="(BLANK)")+(UPPER($AS$75:$AZ$75)="EMPTY")+(UPPER($AS$75:$AZ$75)="(EMPTY)"))&gt;0,IFERROR(('Final Calculation Sheet'!$O$36)&amp;"","")="",ISNUMBER(SEARCH($AS$75:$AZ$75,IFERROR(('Final Calculation Sheet'!$O$36)&amp;"","")))))&gt;0),IF(COUNTIF($BI$75:$BP$75,6)=0,TRUE,SUMPRODUCT(($BI$75:$BP$75=6)*($AS$75:$AZ$75&lt;&gt;"")*IF(((UPPER($AS$75:$AZ$75)="BLANK")+(UPPER($AS$75:$AZ$75)="(BLANK)")+(UPPER($AS$75:$AZ$75)="EMPTY")+(UPPER($AS$75:$AZ$75)="(EMPTY)"))&gt;0,IFERROR(('Final Calculation Sheet'!$O$36)&amp;"","")="",ISNUMBER(SEARCH($AS$75:$AZ$75,IFERROR(('Final Calculation Sheet'!$O$36)&amp;"","")))))&gt;0),IF(COUNTIF($BI$75:$BP$75,7)=0,TRUE,SUMPRODUCT(($BI$75:$BP$75=7)*($AS$75:$AZ$75&lt;&gt;"")*IF(((UPPER($AS$75:$AZ$75)="BLANK")+(UPPER($AS$75:$AZ$75)="(BLANK)")+(UPPER($AS$75:$AZ$75)="EMPTY")+(UPPER($AS$75:$AZ$75)="(EMPTY)"))&gt;0,IFERROR(('Final Calculation Sheet'!$O$36)&amp;"","")="",ISNUMBER(SEARCH($AS$75:$AZ$75,IFERROR(('Final Calculation Sheet'!$O$36)&amp;"","")))))&gt;0),IF(COUNTIF($BI$75:$BP$75,8)=0,TRUE,SUMPRODUCT(($BI$75:$BP$75=8)*($AS$75:$AZ$75&lt;&gt;"")*IF(((UPPER($AS$75:$AZ$75)="BLANK")+(UPPER($AS$75:$AZ$75)="(BLANK)")+(UPPER($AS$75:$AZ$75)="EMPTY")+(UPPER($AS$75:$AZ$75)="(EMPTY)"))&gt;0,IFERROR(('Final Calculation Sheet'!$O$36)&amp;"","")="",ISNUMBER(SEARCH($AS$75:$AZ$75,IFERROR(('Final Calculation Sheet'!$O$36)&amp;"","")))))&gt;0))))</f>
        <v>1</v>
      </c>
      <c r="CC37">
        <f>IF($Q$4="",1,--(AND(SUMPRODUCT(--($AS$76:$AZ$76&lt;&gt;""))&gt;0,IF(COUNTIF($BI$76:$BP$76,1)=0,TRUE,SUMPRODUCT(($BI$76:$BP$76=1)*($AS$76:$AZ$76&lt;&gt;"")*IF(((UPPER($AS$76:$AZ$76)="BLANK")+(UPPER($AS$76:$AZ$76)="(BLANK)")+(UPPER($AS$76:$AZ$76)="EMPTY")+(UPPER($AS$76:$AZ$76)="(EMPTY)"))&gt;0,IFERROR(('Final Calculation Sheet'!$P$36)&amp;"","")="",ISNUMBER(SEARCH($AS$76:$AZ$76,IFERROR(('Final Calculation Sheet'!$P$36)&amp;"","")))))&gt;0),IF(COUNTIF($BI$76:$BP$76,2)=0,TRUE,SUMPRODUCT(($BI$76:$BP$76=2)*($AS$76:$AZ$76&lt;&gt;"")*IF(((UPPER($AS$76:$AZ$76)="BLANK")+(UPPER($AS$76:$AZ$76)="(BLANK)")+(UPPER($AS$76:$AZ$76)="EMPTY")+(UPPER($AS$76:$AZ$76)="(EMPTY)"))&gt;0,IFERROR(('Final Calculation Sheet'!$P$36)&amp;"","")="",ISNUMBER(SEARCH($AS$76:$AZ$76,IFERROR(('Final Calculation Sheet'!$P$36)&amp;"","")))))&gt;0),IF(COUNTIF($BI$76:$BP$76,3)=0,TRUE,SUMPRODUCT(($BI$76:$BP$76=3)*($AS$76:$AZ$76&lt;&gt;"")*IF(((UPPER($AS$76:$AZ$76)="BLANK")+(UPPER($AS$76:$AZ$76)="(BLANK)")+(UPPER($AS$76:$AZ$76)="EMPTY")+(UPPER($AS$76:$AZ$76)="(EMPTY)"))&gt;0,IFERROR(('Final Calculation Sheet'!$P$36)&amp;"","")="",ISNUMBER(SEARCH($AS$76:$AZ$76,IFERROR(('Final Calculation Sheet'!$P$36)&amp;"","")))))&gt;0),IF(COUNTIF($BI$76:$BP$76,4)=0,TRUE,SUMPRODUCT(($BI$76:$BP$76=4)*($AS$76:$AZ$76&lt;&gt;"")*IF(((UPPER($AS$76:$AZ$76)="BLANK")+(UPPER($AS$76:$AZ$76)="(BLANK)")+(UPPER($AS$76:$AZ$76)="EMPTY")+(UPPER($AS$76:$AZ$76)="(EMPTY)"))&gt;0,IFERROR(('Final Calculation Sheet'!$P$36)&amp;"","")="",ISNUMBER(SEARCH($AS$76:$AZ$76,IFERROR(('Final Calculation Sheet'!$P$36)&amp;"","")))))&gt;0),IF(COUNTIF($BI$76:$BP$76,5)=0,TRUE,SUMPRODUCT(($BI$76:$BP$76=5)*($AS$76:$AZ$76&lt;&gt;"")*IF(((UPPER($AS$76:$AZ$76)="BLANK")+(UPPER($AS$76:$AZ$76)="(BLANK)")+(UPPER($AS$76:$AZ$76)="EMPTY")+(UPPER($AS$76:$AZ$76)="(EMPTY)"))&gt;0,IFERROR(('Final Calculation Sheet'!$P$36)&amp;"","")="",ISNUMBER(SEARCH($AS$76:$AZ$76,IFERROR(('Final Calculation Sheet'!$P$36)&amp;"","")))))&gt;0),IF(COUNTIF($BI$76:$BP$76,6)=0,TRUE,SUMPRODUCT(($BI$76:$BP$76=6)*($AS$76:$AZ$76&lt;&gt;"")*IF(((UPPER($AS$76:$AZ$76)="BLANK")+(UPPER($AS$76:$AZ$76)="(BLANK)")+(UPPER($AS$76:$AZ$76)="EMPTY")+(UPPER($AS$76:$AZ$76)="(EMPTY)"))&gt;0,IFERROR(('Final Calculation Sheet'!$P$36)&amp;"","")="",ISNUMBER(SEARCH($AS$76:$AZ$76,IFERROR(('Final Calculation Sheet'!$P$36)&amp;"","")))))&gt;0),IF(COUNTIF($BI$76:$BP$76,7)=0,TRUE,SUMPRODUCT(($BI$76:$BP$76=7)*($AS$76:$AZ$76&lt;&gt;"")*IF(((UPPER($AS$76:$AZ$76)="BLANK")+(UPPER($AS$76:$AZ$76)="(BLANK)")+(UPPER($AS$76:$AZ$76)="EMPTY")+(UPPER($AS$76:$AZ$76)="(EMPTY)"))&gt;0,IFERROR(('Final Calculation Sheet'!$P$36)&amp;"","")="",ISNUMBER(SEARCH($AS$76:$AZ$76,IFERROR(('Final Calculation Sheet'!$P$36)&amp;"","")))))&gt;0),IF(COUNTIF($BI$76:$BP$76,8)=0,TRUE,SUMPRODUCT(($BI$76:$BP$76=8)*($AS$76:$AZ$76&lt;&gt;"")*IF(((UPPER($AS$76:$AZ$76)="BLANK")+(UPPER($AS$76:$AZ$76)="(BLANK)")+(UPPER($AS$76:$AZ$76)="EMPTY")+(UPPER($AS$76:$AZ$76)="(EMPTY)"))&gt;0,IFERROR(('Final Calculation Sheet'!$P$36)&amp;"","")="",ISNUMBER(SEARCH($AS$76:$AZ$76,IFERROR(('Final Calculation Sheet'!$P$36)&amp;"","")))))&gt;0))))</f>
        <v>1</v>
      </c>
      <c r="CD37">
        <f>IF($R$4="",1,--(AND(SUMPRODUCT(--($AS$77:$AZ$77&lt;&gt;""))&gt;0,IF(COUNTIF($BI$77:$BP$77,1)=0,TRUE,SUMPRODUCT(($BI$77:$BP$77=1)*($AS$77:$AZ$77&lt;&gt;"")*IF(((UPPER($AS$77:$AZ$77)="BLANK")+(UPPER($AS$77:$AZ$77)="(BLANK)")+(UPPER($AS$77:$AZ$77)="EMPTY")+(UPPER($AS$77:$AZ$77)="(EMPTY)"))&gt;0,IFERROR(('Final Calculation Sheet'!$Q$36)&amp;"","")="",ISNUMBER(SEARCH($AS$77:$AZ$77,IFERROR(('Final Calculation Sheet'!$Q$36)&amp;"","")))))&gt;0),IF(COUNTIF($BI$77:$BP$77,2)=0,TRUE,SUMPRODUCT(($BI$77:$BP$77=2)*($AS$77:$AZ$77&lt;&gt;"")*IF(((UPPER($AS$77:$AZ$77)="BLANK")+(UPPER($AS$77:$AZ$77)="(BLANK)")+(UPPER($AS$77:$AZ$77)="EMPTY")+(UPPER($AS$77:$AZ$77)="(EMPTY)"))&gt;0,IFERROR(('Final Calculation Sheet'!$Q$36)&amp;"","")="",ISNUMBER(SEARCH($AS$77:$AZ$77,IFERROR(('Final Calculation Sheet'!$Q$36)&amp;"","")))))&gt;0),IF(COUNTIF($BI$77:$BP$77,3)=0,TRUE,SUMPRODUCT(($BI$77:$BP$77=3)*($AS$77:$AZ$77&lt;&gt;"")*IF(((UPPER($AS$77:$AZ$77)="BLANK")+(UPPER($AS$77:$AZ$77)="(BLANK)")+(UPPER($AS$77:$AZ$77)="EMPTY")+(UPPER($AS$77:$AZ$77)="(EMPTY)"))&gt;0,IFERROR(('Final Calculation Sheet'!$Q$36)&amp;"","")="",ISNUMBER(SEARCH($AS$77:$AZ$77,IFERROR(('Final Calculation Sheet'!$Q$36)&amp;"","")))))&gt;0),IF(COUNTIF($BI$77:$BP$77,4)=0,TRUE,SUMPRODUCT(($BI$77:$BP$77=4)*($AS$77:$AZ$77&lt;&gt;"")*IF(((UPPER($AS$77:$AZ$77)="BLANK")+(UPPER($AS$77:$AZ$77)="(BLANK)")+(UPPER($AS$77:$AZ$77)="EMPTY")+(UPPER($AS$77:$AZ$77)="(EMPTY)"))&gt;0,IFERROR(('Final Calculation Sheet'!$Q$36)&amp;"","")="",ISNUMBER(SEARCH($AS$77:$AZ$77,IFERROR(('Final Calculation Sheet'!$Q$36)&amp;"","")))))&gt;0),IF(COUNTIF($BI$77:$BP$77,5)=0,TRUE,SUMPRODUCT(($BI$77:$BP$77=5)*($AS$77:$AZ$77&lt;&gt;"")*IF(((UPPER($AS$77:$AZ$77)="BLANK")+(UPPER($AS$77:$AZ$77)="(BLANK)")+(UPPER($AS$77:$AZ$77)="EMPTY")+(UPPER($AS$77:$AZ$77)="(EMPTY)"))&gt;0,IFERROR(('Final Calculation Sheet'!$Q$36)&amp;"","")="",ISNUMBER(SEARCH($AS$77:$AZ$77,IFERROR(('Final Calculation Sheet'!$Q$36)&amp;"","")))))&gt;0),IF(COUNTIF($BI$77:$BP$77,6)=0,TRUE,SUMPRODUCT(($BI$77:$BP$77=6)*($AS$77:$AZ$77&lt;&gt;"")*IF(((UPPER($AS$77:$AZ$77)="BLANK")+(UPPER($AS$77:$AZ$77)="(BLANK)")+(UPPER($AS$77:$AZ$77)="EMPTY")+(UPPER($AS$77:$AZ$77)="(EMPTY)"))&gt;0,IFERROR(('Final Calculation Sheet'!$Q$36)&amp;"","")="",ISNUMBER(SEARCH($AS$77:$AZ$77,IFERROR(('Final Calculation Sheet'!$Q$36)&amp;"","")))))&gt;0),IF(COUNTIF($BI$77:$BP$77,7)=0,TRUE,SUMPRODUCT(($BI$77:$BP$77=7)*($AS$77:$AZ$77&lt;&gt;"")*IF(((UPPER($AS$77:$AZ$77)="BLANK")+(UPPER($AS$77:$AZ$77)="(BLANK)")+(UPPER($AS$77:$AZ$77)="EMPTY")+(UPPER($AS$77:$AZ$77)="(EMPTY)"))&gt;0,IFERROR(('Final Calculation Sheet'!$Q$36)&amp;"","")="",ISNUMBER(SEARCH($AS$77:$AZ$77,IFERROR(('Final Calculation Sheet'!$Q$36)&amp;"","")))))&gt;0),IF(COUNTIF($BI$77:$BP$77,8)=0,TRUE,SUMPRODUCT(($BI$77:$BP$77=8)*($AS$77:$AZ$77&lt;&gt;"")*IF(((UPPER($AS$77:$AZ$77)="BLANK")+(UPPER($AS$77:$AZ$77)="(BLANK)")+(UPPER($AS$77:$AZ$77)="EMPTY")+(UPPER($AS$77:$AZ$77)="(EMPTY)"))&gt;0,IFERROR(('Final Calculation Sheet'!$Q$36)&amp;"","")="",ISNUMBER(SEARCH($AS$77:$AZ$77,IFERROR(('Final Calculation Sheet'!$Q$36)&amp;"","")))))&gt;0))))</f>
        <v>1</v>
      </c>
      <c r="CE37">
        <f>IF($S$4="",1,--(AND(SUMPRODUCT(--($AS$78:$AZ$78&lt;&gt;""))&gt;0,IF(COUNTIF($BI$78:$BP$78,1)=0,TRUE,SUMPRODUCT(($BI$78:$BP$78=1)*($AS$78:$AZ$78&lt;&gt;"")*IF(((UPPER($AS$78:$AZ$78)="BLANK")+(UPPER($AS$78:$AZ$78)="(BLANK)")+(UPPER($AS$78:$AZ$78)="EMPTY")+(UPPER($AS$78:$AZ$78)="(EMPTY)"))&gt;0,IFERROR(('Final Calculation Sheet'!$R$36)&amp;"","")="",ISNUMBER(SEARCH($AS$78:$AZ$78,IFERROR(('Final Calculation Sheet'!$R$36)&amp;"","")))))&gt;0),IF(COUNTIF($BI$78:$BP$78,2)=0,TRUE,SUMPRODUCT(($BI$78:$BP$78=2)*($AS$78:$AZ$78&lt;&gt;"")*IF(((UPPER($AS$78:$AZ$78)="BLANK")+(UPPER($AS$78:$AZ$78)="(BLANK)")+(UPPER($AS$78:$AZ$78)="EMPTY")+(UPPER($AS$78:$AZ$78)="(EMPTY)"))&gt;0,IFERROR(('Final Calculation Sheet'!$R$36)&amp;"","")="",ISNUMBER(SEARCH($AS$78:$AZ$78,IFERROR(('Final Calculation Sheet'!$R$36)&amp;"","")))))&gt;0),IF(COUNTIF($BI$78:$BP$78,3)=0,TRUE,SUMPRODUCT(($BI$78:$BP$78=3)*($AS$78:$AZ$78&lt;&gt;"")*IF(((UPPER($AS$78:$AZ$78)="BLANK")+(UPPER($AS$78:$AZ$78)="(BLANK)")+(UPPER($AS$78:$AZ$78)="EMPTY")+(UPPER($AS$78:$AZ$78)="(EMPTY)"))&gt;0,IFERROR(('Final Calculation Sheet'!$R$36)&amp;"","")="",ISNUMBER(SEARCH($AS$78:$AZ$78,IFERROR(('Final Calculation Sheet'!$R$36)&amp;"","")))))&gt;0),IF(COUNTIF($BI$78:$BP$78,4)=0,TRUE,SUMPRODUCT(($BI$78:$BP$78=4)*($AS$78:$AZ$78&lt;&gt;"")*IF(((UPPER($AS$78:$AZ$78)="BLANK")+(UPPER($AS$78:$AZ$78)="(BLANK)")+(UPPER($AS$78:$AZ$78)="EMPTY")+(UPPER($AS$78:$AZ$78)="(EMPTY)"))&gt;0,IFERROR(('Final Calculation Sheet'!$R$36)&amp;"","")="",ISNUMBER(SEARCH($AS$78:$AZ$78,IFERROR(('Final Calculation Sheet'!$R$36)&amp;"","")))))&gt;0),IF(COUNTIF($BI$78:$BP$78,5)=0,TRUE,SUMPRODUCT(($BI$78:$BP$78=5)*($AS$78:$AZ$78&lt;&gt;"")*IF(((UPPER($AS$78:$AZ$78)="BLANK")+(UPPER($AS$78:$AZ$78)="(BLANK)")+(UPPER($AS$78:$AZ$78)="EMPTY")+(UPPER($AS$78:$AZ$78)="(EMPTY)"))&gt;0,IFERROR(('Final Calculation Sheet'!$R$36)&amp;"","")="",ISNUMBER(SEARCH($AS$78:$AZ$78,IFERROR(('Final Calculation Sheet'!$R$36)&amp;"","")))))&gt;0),IF(COUNTIF($BI$78:$BP$78,6)=0,TRUE,SUMPRODUCT(($BI$78:$BP$78=6)*($AS$78:$AZ$78&lt;&gt;"")*IF(((UPPER($AS$78:$AZ$78)="BLANK")+(UPPER($AS$78:$AZ$78)="(BLANK)")+(UPPER($AS$78:$AZ$78)="EMPTY")+(UPPER($AS$78:$AZ$78)="(EMPTY)"))&gt;0,IFERROR(('Final Calculation Sheet'!$R$36)&amp;"","")="",ISNUMBER(SEARCH($AS$78:$AZ$78,IFERROR(('Final Calculation Sheet'!$R$36)&amp;"","")))))&gt;0),IF(COUNTIF($BI$78:$BP$78,7)=0,TRUE,SUMPRODUCT(($BI$78:$BP$78=7)*($AS$78:$AZ$78&lt;&gt;"")*IF(((UPPER($AS$78:$AZ$78)="BLANK")+(UPPER($AS$78:$AZ$78)="(BLANK)")+(UPPER($AS$78:$AZ$78)="EMPTY")+(UPPER($AS$78:$AZ$78)="(EMPTY)"))&gt;0,IFERROR(('Final Calculation Sheet'!$R$36)&amp;"","")="",ISNUMBER(SEARCH($AS$78:$AZ$78,IFERROR(('Final Calculation Sheet'!$R$36)&amp;"","")))))&gt;0),IF(COUNTIF($BI$78:$BP$78,8)=0,TRUE,SUMPRODUCT(($BI$78:$BP$78=8)*($AS$78:$AZ$78&lt;&gt;"")*IF(((UPPER($AS$78:$AZ$78)="BLANK")+(UPPER($AS$78:$AZ$78)="(BLANK)")+(UPPER($AS$78:$AZ$78)="EMPTY")+(UPPER($AS$78:$AZ$78)="(EMPTY)"))&gt;0,IFERROR(('Final Calculation Sheet'!$R$36)&amp;"","")="",ISNUMBER(SEARCH($AS$78:$AZ$78,IFERROR(('Final Calculation Sheet'!$R$36)&amp;"","")))))&gt;0))))</f>
        <v>1</v>
      </c>
      <c r="CF37">
        <f>IF($T$4="",1,--(AND(SUMPRODUCT(--($AS$79:$AZ$79&lt;&gt;""))&gt;0,IF(COUNTIF($BI$79:$BP$79,1)=0,TRUE,SUMPRODUCT(($BI$79:$BP$79=1)*($AS$79:$AZ$79&lt;&gt;"")*IF(((UPPER($AS$79:$AZ$79)="BLANK")+(UPPER($AS$79:$AZ$79)="(BLANK)")+(UPPER($AS$79:$AZ$79)="EMPTY")+(UPPER($AS$79:$AZ$79)="(EMPTY)"))&gt;0,IFERROR(('Final Calculation Sheet'!$S$36)&amp;"","")="",ISNUMBER(SEARCH($AS$79:$AZ$79,IFERROR(('Final Calculation Sheet'!$S$36)&amp;"","")))))&gt;0),IF(COUNTIF($BI$79:$BP$79,2)=0,TRUE,SUMPRODUCT(($BI$79:$BP$79=2)*($AS$79:$AZ$79&lt;&gt;"")*IF(((UPPER($AS$79:$AZ$79)="BLANK")+(UPPER($AS$79:$AZ$79)="(BLANK)")+(UPPER($AS$79:$AZ$79)="EMPTY")+(UPPER($AS$79:$AZ$79)="(EMPTY)"))&gt;0,IFERROR(('Final Calculation Sheet'!$S$36)&amp;"","")="",ISNUMBER(SEARCH($AS$79:$AZ$79,IFERROR(('Final Calculation Sheet'!$S$36)&amp;"","")))))&gt;0),IF(COUNTIF($BI$79:$BP$79,3)=0,TRUE,SUMPRODUCT(($BI$79:$BP$79=3)*($AS$79:$AZ$79&lt;&gt;"")*IF(((UPPER($AS$79:$AZ$79)="BLANK")+(UPPER($AS$79:$AZ$79)="(BLANK)")+(UPPER($AS$79:$AZ$79)="EMPTY")+(UPPER($AS$79:$AZ$79)="(EMPTY)"))&gt;0,IFERROR(('Final Calculation Sheet'!$S$36)&amp;"","")="",ISNUMBER(SEARCH($AS$79:$AZ$79,IFERROR(('Final Calculation Sheet'!$S$36)&amp;"","")))))&gt;0),IF(COUNTIF($BI$79:$BP$79,4)=0,TRUE,SUMPRODUCT(($BI$79:$BP$79=4)*($AS$79:$AZ$79&lt;&gt;"")*IF(((UPPER($AS$79:$AZ$79)="BLANK")+(UPPER($AS$79:$AZ$79)="(BLANK)")+(UPPER($AS$79:$AZ$79)="EMPTY")+(UPPER($AS$79:$AZ$79)="(EMPTY)"))&gt;0,IFERROR(('Final Calculation Sheet'!$S$36)&amp;"","")="",ISNUMBER(SEARCH($AS$79:$AZ$79,IFERROR(('Final Calculation Sheet'!$S$36)&amp;"","")))))&gt;0),IF(COUNTIF($BI$79:$BP$79,5)=0,TRUE,SUMPRODUCT(($BI$79:$BP$79=5)*($AS$79:$AZ$79&lt;&gt;"")*IF(((UPPER($AS$79:$AZ$79)="BLANK")+(UPPER($AS$79:$AZ$79)="(BLANK)")+(UPPER($AS$79:$AZ$79)="EMPTY")+(UPPER($AS$79:$AZ$79)="(EMPTY)"))&gt;0,IFERROR(('Final Calculation Sheet'!$S$36)&amp;"","")="",ISNUMBER(SEARCH($AS$79:$AZ$79,IFERROR(('Final Calculation Sheet'!$S$36)&amp;"","")))))&gt;0),IF(COUNTIF($BI$79:$BP$79,6)=0,TRUE,SUMPRODUCT(($BI$79:$BP$79=6)*($AS$79:$AZ$79&lt;&gt;"")*IF(((UPPER($AS$79:$AZ$79)="BLANK")+(UPPER($AS$79:$AZ$79)="(BLANK)")+(UPPER($AS$79:$AZ$79)="EMPTY")+(UPPER($AS$79:$AZ$79)="(EMPTY)"))&gt;0,IFERROR(('Final Calculation Sheet'!$S$36)&amp;"","")="",ISNUMBER(SEARCH($AS$79:$AZ$79,IFERROR(('Final Calculation Sheet'!$S$36)&amp;"","")))))&gt;0),IF(COUNTIF($BI$79:$BP$79,7)=0,TRUE,SUMPRODUCT(($BI$79:$BP$79=7)*($AS$79:$AZ$79&lt;&gt;"")*IF(((UPPER($AS$79:$AZ$79)="BLANK")+(UPPER($AS$79:$AZ$79)="(BLANK)")+(UPPER($AS$79:$AZ$79)="EMPTY")+(UPPER($AS$79:$AZ$79)="(EMPTY)"))&gt;0,IFERROR(('Final Calculation Sheet'!$S$36)&amp;"","")="",ISNUMBER(SEARCH($AS$79:$AZ$79,IFERROR(('Final Calculation Sheet'!$S$36)&amp;"","")))))&gt;0),IF(COUNTIF($BI$79:$BP$79,8)=0,TRUE,SUMPRODUCT(($BI$79:$BP$79=8)*($AS$79:$AZ$79&lt;&gt;"")*IF(((UPPER($AS$79:$AZ$79)="BLANK")+(UPPER($AS$79:$AZ$79)="(BLANK)")+(UPPER($AS$79:$AZ$79)="EMPTY")+(UPPER($AS$79:$AZ$79)="(EMPTY)"))&gt;0,IFERROR(('Final Calculation Sheet'!$S$36)&amp;"","")="",ISNUMBER(SEARCH($AS$79:$AZ$79,IFERROR(('Final Calculation Sheet'!$S$36)&amp;"","")))))&gt;0))))</f>
        <v>1</v>
      </c>
      <c r="CG37">
        <f>IF($U$4="",1,--(AND(SUMPRODUCT(--($AS$80:$AZ$80&lt;&gt;""))&gt;0,IF(COUNTIF($BI$80:$BP$80,1)=0,TRUE,SUMPRODUCT(($BI$80:$BP$80=1)*($AS$80:$AZ$80&lt;&gt;"")*IF(((UPPER($AS$80:$AZ$80)="BLANK")+(UPPER($AS$80:$AZ$80)="(BLANK)")+(UPPER($AS$80:$AZ$80)="EMPTY")+(UPPER($AS$80:$AZ$80)="(EMPTY)"))&gt;0,IFERROR(('Final Calculation Sheet'!$T$36)&amp;"","")="",ISNUMBER(SEARCH($AS$80:$AZ$80,IFERROR(('Final Calculation Sheet'!$T$36)&amp;"","")))))&gt;0),IF(COUNTIF($BI$80:$BP$80,2)=0,TRUE,SUMPRODUCT(($BI$80:$BP$80=2)*($AS$80:$AZ$80&lt;&gt;"")*IF(((UPPER($AS$80:$AZ$80)="BLANK")+(UPPER($AS$80:$AZ$80)="(BLANK)")+(UPPER($AS$80:$AZ$80)="EMPTY")+(UPPER($AS$80:$AZ$80)="(EMPTY)"))&gt;0,IFERROR(('Final Calculation Sheet'!$T$36)&amp;"","")="",ISNUMBER(SEARCH($AS$80:$AZ$80,IFERROR(('Final Calculation Sheet'!$T$36)&amp;"","")))))&gt;0),IF(COUNTIF($BI$80:$BP$80,3)=0,TRUE,SUMPRODUCT(($BI$80:$BP$80=3)*($AS$80:$AZ$80&lt;&gt;"")*IF(((UPPER($AS$80:$AZ$80)="BLANK")+(UPPER($AS$80:$AZ$80)="(BLANK)")+(UPPER($AS$80:$AZ$80)="EMPTY")+(UPPER($AS$80:$AZ$80)="(EMPTY)"))&gt;0,IFERROR(('Final Calculation Sheet'!$T$36)&amp;"","")="",ISNUMBER(SEARCH($AS$80:$AZ$80,IFERROR(('Final Calculation Sheet'!$T$36)&amp;"","")))))&gt;0),IF(COUNTIF($BI$80:$BP$80,4)=0,TRUE,SUMPRODUCT(($BI$80:$BP$80=4)*($AS$80:$AZ$80&lt;&gt;"")*IF(((UPPER($AS$80:$AZ$80)="BLANK")+(UPPER($AS$80:$AZ$80)="(BLANK)")+(UPPER($AS$80:$AZ$80)="EMPTY")+(UPPER($AS$80:$AZ$80)="(EMPTY)"))&gt;0,IFERROR(('Final Calculation Sheet'!$T$36)&amp;"","")="",ISNUMBER(SEARCH($AS$80:$AZ$80,IFERROR(('Final Calculation Sheet'!$T$36)&amp;"","")))))&gt;0),IF(COUNTIF($BI$80:$BP$80,5)=0,TRUE,SUMPRODUCT(($BI$80:$BP$80=5)*($AS$80:$AZ$80&lt;&gt;"")*IF(((UPPER($AS$80:$AZ$80)="BLANK")+(UPPER($AS$80:$AZ$80)="(BLANK)")+(UPPER($AS$80:$AZ$80)="EMPTY")+(UPPER($AS$80:$AZ$80)="(EMPTY)"))&gt;0,IFERROR(('Final Calculation Sheet'!$T$36)&amp;"","")="",ISNUMBER(SEARCH($AS$80:$AZ$80,IFERROR(('Final Calculation Sheet'!$T$36)&amp;"","")))))&gt;0),IF(COUNTIF($BI$80:$BP$80,6)=0,TRUE,SUMPRODUCT(($BI$80:$BP$80=6)*($AS$80:$AZ$80&lt;&gt;"")*IF(((UPPER($AS$80:$AZ$80)="BLANK")+(UPPER($AS$80:$AZ$80)="(BLANK)")+(UPPER($AS$80:$AZ$80)="EMPTY")+(UPPER($AS$80:$AZ$80)="(EMPTY)"))&gt;0,IFERROR(('Final Calculation Sheet'!$T$36)&amp;"","")="",ISNUMBER(SEARCH($AS$80:$AZ$80,IFERROR(('Final Calculation Sheet'!$T$36)&amp;"","")))))&gt;0),IF(COUNTIF($BI$80:$BP$80,7)=0,TRUE,SUMPRODUCT(($BI$80:$BP$80=7)*($AS$80:$AZ$80&lt;&gt;"")*IF(((UPPER($AS$80:$AZ$80)="BLANK")+(UPPER($AS$80:$AZ$80)="(BLANK)")+(UPPER($AS$80:$AZ$80)="EMPTY")+(UPPER($AS$80:$AZ$80)="(EMPTY)"))&gt;0,IFERROR(('Final Calculation Sheet'!$T$36)&amp;"","")="",ISNUMBER(SEARCH($AS$80:$AZ$80,IFERROR(('Final Calculation Sheet'!$T$36)&amp;"","")))))&gt;0),IF(COUNTIF($BI$80:$BP$80,8)=0,TRUE,SUMPRODUCT(($BI$80:$BP$80=8)*($AS$80:$AZ$80&lt;&gt;"")*IF(((UPPER($AS$80:$AZ$80)="BLANK")+(UPPER($AS$80:$AZ$80)="(BLANK)")+(UPPER($AS$80:$AZ$80)="EMPTY")+(UPPER($AS$80:$AZ$80)="(EMPTY)"))&gt;0,IFERROR(('Final Calculation Sheet'!$T$36)&amp;"","")="",ISNUMBER(SEARCH($AS$80:$AZ$80,IFERROR(('Final Calculation Sheet'!$T$36)&amp;"","")))))&gt;0))))</f>
        <v>1</v>
      </c>
      <c r="CH37">
        <f>IF($V$4="",1,--(AND(SUMPRODUCT(--($AS$81:$AZ$81&lt;&gt;""))&gt;0,IF(COUNTIF($BI$81:$BP$81,1)=0,TRUE,SUMPRODUCT(($BI$81:$BP$81=1)*($AS$81:$AZ$81&lt;&gt;"")*IF(((UPPER($AS$81:$AZ$81)="BLANK")+(UPPER($AS$81:$AZ$81)="(BLANK)")+(UPPER($AS$81:$AZ$81)="EMPTY")+(UPPER($AS$81:$AZ$81)="(EMPTY)"))&gt;0,IFERROR(('Final Calculation Sheet'!$U$36)&amp;"","")="",ISNUMBER(SEARCH($AS$81:$AZ$81,IFERROR(('Final Calculation Sheet'!$U$36)&amp;"","")))))&gt;0),IF(COUNTIF($BI$81:$BP$81,2)=0,TRUE,SUMPRODUCT(($BI$81:$BP$81=2)*($AS$81:$AZ$81&lt;&gt;"")*IF(((UPPER($AS$81:$AZ$81)="BLANK")+(UPPER($AS$81:$AZ$81)="(BLANK)")+(UPPER($AS$81:$AZ$81)="EMPTY")+(UPPER($AS$81:$AZ$81)="(EMPTY)"))&gt;0,IFERROR(('Final Calculation Sheet'!$U$36)&amp;"","")="",ISNUMBER(SEARCH($AS$81:$AZ$81,IFERROR(('Final Calculation Sheet'!$U$36)&amp;"","")))))&gt;0),IF(COUNTIF($BI$81:$BP$81,3)=0,TRUE,SUMPRODUCT(($BI$81:$BP$81=3)*($AS$81:$AZ$81&lt;&gt;"")*IF(((UPPER($AS$81:$AZ$81)="BLANK")+(UPPER($AS$81:$AZ$81)="(BLANK)")+(UPPER($AS$81:$AZ$81)="EMPTY")+(UPPER($AS$81:$AZ$81)="(EMPTY)"))&gt;0,IFERROR(('Final Calculation Sheet'!$U$36)&amp;"","")="",ISNUMBER(SEARCH($AS$81:$AZ$81,IFERROR(('Final Calculation Sheet'!$U$36)&amp;"","")))))&gt;0),IF(COUNTIF($BI$81:$BP$81,4)=0,TRUE,SUMPRODUCT(($BI$81:$BP$81=4)*($AS$81:$AZ$81&lt;&gt;"")*IF(((UPPER($AS$81:$AZ$81)="BLANK")+(UPPER($AS$81:$AZ$81)="(BLANK)")+(UPPER($AS$81:$AZ$81)="EMPTY")+(UPPER($AS$81:$AZ$81)="(EMPTY)"))&gt;0,IFERROR(('Final Calculation Sheet'!$U$36)&amp;"","")="",ISNUMBER(SEARCH($AS$81:$AZ$81,IFERROR(('Final Calculation Sheet'!$U$36)&amp;"","")))))&gt;0),IF(COUNTIF($BI$81:$BP$81,5)=0,TRUE,SUMPRODUCT(($BI$81:$BP$81=5)*($AS$81:$AZ$81&lt;&gt;"")*IF(((UPPER($AS$81:$AZ$81)="BLANK")+(UPPER($AS$81:$AZ$81)="(BLANK)")+(UPPER($AS$81:$AZ$81)="EMPTY")+(UPPER($AS$81:$AZ$81)="(EMPTY)"))&gt;0,IFERROR(('Final Calculation Sheet'!$U$36)&amp;"","")="",ISNUMBER(SEARCH($AS$81:$AZ$81,IFERROR(('Final Calculation Sheet'!$U$36)&amp;"","")))))&gt;0),IF(COUNTIF($BI$81:$BP$81,6)=0,TRUE,SUMPRODUCT(($BI$81:$BP$81=6)*($AS$81:$AZ$81&lt;&gt;"")*IF(((UPPER($AS$81:$AZ$81)="BLANK")+(UPPER($AS$81:$AZ$81)="(BLANK)")+(UPPER($AS$81:$AZ$81)="EMPTY")+(UPPER($AS$81:$AZ$81)="(EMPTY)"))&gt;0,IFERROR(('Final Calculation Sheet'!$U$36)&amp;"","")="",ISNUMBER(SEARCH($AS$81:$AZ$81,IFERROR(('Final Calculation Sheet'!$U$36)&amp;"","")))))&gt;0),IF(COUNTIF($BI$81:$BP$81,7)=0,TRUE,SUMPRODUCT(($BI$81:$BP$81=7)*($AS$81:$AZ$81&lt;&gt;"")*IF(((UPPER($AS$81:$AZ$81)="BLANK")+(UPPER($AS$81:$AZ$81)="(BLANK)")+(UPPER($AS$81:$AZ$81)="EMPTY")+(UPPER($AS$81:$AZ$81)="(EMPTY)"))&gt;0,IFERROR(('Final Calculation Sheet'!$U$36)&amp;"","")="",ISNUMBER(SEARCH($AS$81:$AZ$81,IFERROR(('Final Calculation Sheet'!$U$36)&amp;"","")))))&gt;0),IF(COUNTIF($BI$81:$BP$81,8)=0,TRUE,SUMPRODUCT(($BI$81:$BP$81=8)*($AS$81:$AZ$81&lt;&gt;"")*IF(((UPPER($AS$81:$AZ$81)="BLANK")+(UPPER($AS$81:$AZ$81)="(BLANK)")+(UPPER($AS$81:$AZ$81)="EMPTY")+(UPPER($AS$81:$AZ$81)="(EMPTY)"))&gt;0,IFERROR(('Final Calculation Sheet'!$U$36)&amp;"","")="",ISNUMBER(SEARCH($AS$81:$AZ$81,IFERROR(('Final Calculation Sheet'!$U$36)&amp;"","")))))&gt;0))))</f>
        <v>1</v>
      </c>
      <c r="CI37">
        <f>IF($W$4="",1,--(AND(SUMPRODUCT(--($AS$82:$AZ$82&lt;&gt;""))&gt;0,IF(COUNTIF($BI$82:$BP$82,1)=0,TRUE,SUMPRODUCT(($BI$82:$BP$82=1)*($AS$82:$AZ$82&lt;&gt;"")*IF(((UPPER($AS$82:$AZ$82)="BLANK")+(UPPER($AS$82:$AZ$82)="(BLANK)")+(UPPER($AS$82:$AZ$82)="EMPTY")+(UPPER($AS$82:$AZ$82)="(EMPTY)"))&gt;0,IFERROR(('Final Calculation Sheet'!$V$36)&amp;"","")="",ISNUMBER(SEARCH($AS$82:$AZ$82,IFERROR(('Final Calculation Sheet'!$V$36)&amp;"","")))))&gt;0),IF(COUNTIF($BI$82:$BP$82,2)=0,TRUE,SUMPRODUCT(($BI$82:$BP$82=2)*($AS$82:$AZ$82&lt;&gt;"")*IF(((UPPER($AS$82:$AZ$82)="BLANK")+(UPPER($AS$82:$AZ$82)="(BLANK)")+(UPPER($AS$82:$AZ$82)="EMPTY")+(UPPER($AS$82:$AZ$82)="(EMPTY)"))&gt;0,IFERROR(('Final Calculation Sheet'!$V$36)&amp;"","")="",ISNUMBER(SEARCH($AS$82:$AZ$82,IFERROR(('Final Calculation Sheet'!$V$36)&amp;"","")))))&gt;0),IF(COUNTIF($BI$82:$BP$82,3)=0,TRUE,SUMPRODUCT(($BI$82:$BP$82=3)*($AS$82:$AZ$82&lt;&gt;"")*IF(((UPPER($AS$82:$AZ$82)="BLANK")+(UPPER($AS$82:$AZ$82)="(BLANK)")+(UPPER($AS$82:$AZ$82)="EMPTY")+(UPPER($AS$82:$AZ$82)="(EMPTY)"))&gt;0,IFERROR(('Final Calculation Sheet'!$V$36)&amp;"","")="",ISNUMBER(SEARCH($AS$82:$AZ$82,IFERROR(('Final Calculation Sheet'!$V$36)&amp;"","")))))&gt;0),IF(COUNTIF($BI$82:$BP$82,4)=0,TRUE,SUMPRODUCT(($BI$82:$BP$82=4)*($AS$82:$AZ$82&lt;&gt;"")*IF(((UPPER($AS$82:$AZ$82)="BLANK")+(UPPER($AS$82:$AZ$82)="(BLANK)")+(UPPER($AS$82:$AZ$82)="EMPTY")+(UPPER($AS$82:$AZ$82)="(EMPTY)"))&gt;0,IFERROR(('Final Calculation Sheet'!$V$36)&amp;"","")="",ISNUMBER(SEARCH($AS$82:$AZ$82,IFERROR(('Final Calculation Sheet'!$V$36)&amp;"","")))))&gt;0),IF(COUNTIF($BI$82:$BP$82,5)=0,TRUE,SUMPRODUCT(($BI$82:$BP$82=5)*($AS$82:$AZ$82&lt;&gt;"")*IF(((UPPER($AS$82:$AZ$82)="BLANK")+(UPPER($AS$82:$AZ$82)="(BLANK)")+(UPPER($AS$82:$AZ$82)="EMPTY")+(UPPER($AS$82:$AZ$82)="(EMPTY)"))&gt;0,IFERROR(('Final Calculation Sheet'!$V$36)&amp;"","")="",ISNUMBER(SEARCH($AS$82:$AZ$82,IFERROR(('Final Calculation Sheet'!$V$36)&amp;"","")))))&gt;0),IF(COUNTIF($BI$82:$BP$82,6)=0,TRUE,SUMPRODUCT(($BI$82:$BP$82=6)*($AS$82:$AZ$82&lt;&gt;"")*IF(((UPPER($AS$82:$AZ$82)="BLANK")+(UPPER($AS$82:$AZ$82)="(BLANK)")+(UPPER($AS$82:$AZ$82)="EMPTY")+(UPPER($AS$82:$AZ$82)="(EMPTY)"))&gt;0,IFERROR(('Final Calculation Sheet'!$V$36)&amp;"","")="",ISNUMBER(SEARCH($AS$82:$AZ$82,IFERROR(('Final Calculation Sheet'!$V$36)&amp;"","")))))&gt;0),IF(COUNTIF($BI$82:$BP$82,7)=0,TRUE,SUMPRODUCT(($BI$82:$BP$82=7)*($AS$82:$AZ$82&lt;&gt;"")*IF(((UPPER($AS$82:$AZ$82)="BLANK")+(UPPER($AS$82:$AZ$82)="(BLANK)")+(UPPER($AS$82:$AZ$82)="EMPTY")+(UPPER($AS$82:$AZ$82)="(EMPTY)"))&gt;0,IFERROR(('Final Calculation Sheet'!$V$36)&amp;"","")="",ISNUMBER(SEARCH($AS$82:$AZ$82,IFERROR(('Final Calculation Sheet'!$V$36)&amp;"","")))))&gt;0),IF(COUNTIF($BI$82:$BP$82,8)=0,TRUE,SUMPRODUCT(($BI$82:$BP$82=8)*($AS$82:$AZ$82&lt;&gt;"")*IF(((UPPER($AS$82:$AZ$82)="BLANK")+(UPPER($AS$82:$AZ$82)="(BLANK)")+(UPPER($AS$82:$AZ$82)="EMPTY")+(UPPER($AS$82:$AZ$82)="(EMPTY)"))&gt;0,IFERROR(('Final Calculation Sheet'!$V$36)&amp;"","")="",ISNUMBER(SEARCH($AS$82:$AZ$82,IFERROR(('Final Calculation Sheet'!$V$36)&amp;"","")))))&gt;0))))</f>
        <v>1</v>
      </c>
      <c r="CJ37">
        <f>IF($X$4="",1,--(AND(SUMPRODUCT(--($AS$83:$AZ$83&lt;&gt;""))&gt;0,IF(COUNTIF($BI$83:$BP$83,1)=0,TRUE,SUMPRODUCT(($BI$83:$BP$83=1)*($AS$83:$AZ$83&lt;&gt;"")*IF(((UPPER($AS$83:$AZ$83)="BLANK")+(UPPER($AS$83:$AZ$83)="(BLANK)")+(UPPER($AS$83:$AZ$83)="EMPTY")+(UPPER($AS$83:$AZ$83)="(EMPTY)"))&gt;0,IFERROR(('Final Calculation Sheet'!$W$36)&amp;"","")="",ISNUMBER(SEARCH($AS$83:$AZ$83,IFERROR(('Final Calculation Sheet'!$W$36)&amp;"","")))))&gt;0),IF(COUNTIF($BI$83:$BP$83,2)=0,TRUE,SUMPRODUCT(($BI$83:$BP$83=2)*($AS$83:$AZ$83&lt;&gt;"")*IF(((UPPER($AS$83:$AZ$83)="BLANK")+(UPPER($AS$83:$AZ$83)="(BLANK)")+(UPPER($AS$83:$AZ$83)="EMPTY")+(UPPER($AS$83:$AZ$83)="(EMPTY)"))&gt;0,IFERROR(('Final Calculation Sheet'!$W$36)&amp;"","")="",ISNUMBER(SEARCH($AS$83:$AZ$83,IFERROR(('Final Calculation Sheet'!$W$36)&amp;"","")))))&gt;0),IF(COUNTIF($BI$83:$BP$83,3)=0,TRUE,SUMPRODUCT(($BI$83:$BP$83=3)*($AS$83:$AZ$83&lt;&gt;"")*IF(((UPPER($AS$83:$AZ$83)="BLANK")+(UPPER($AS$83:$AZ$83)="(BLANK)")+(UPPER($AS$83:$AZ$83)="EMPTY")+(UPPER($AS$83:$AZ$83)="(EMPTY)"))&gt;0,IFERROR(('Final Calculation Sheet'!$W$36)&amp;"","")="",ISNUMBER(SEARCH($AS$83:$AZ$83,IFERROR(('Final Calculation Sheet'!$W$36)&amp;"","")))))&gt;0),IF(COUNTIF($BI$83:$BP$83,4)=0,TRUE,SUMPRODUCT(($BI$83:$BP$83=4)*($AS$83:$AZ$83&lt;&gt;"")*IF(((UPPER($AS$83:$AZ$83)="BLANK")+(UPPER($AS$83:$AZ$83)="(BLANK)")+(UPPER($AS$83:$AZ$83)="EMPTY")+(UPPER($AS$83:$AZ$83)="(EMPTY)"))&gt;0,IFERROR(('Final Calculation Sheet'!$W$36)&amp;"","")="",ISNUMBER(SEARCH($AS$83:$AZ$83,IFERROR(('Final Calculation Sheet'!$W$36)&amp;"","")))))&gt;0),IF(COUNTIF($BI$83:$BP$83,5)=0,TRUE,SUMPRODUCT(($BI$83:$BP$83=5)*($AS$83:$AZ$83&lt;&gt;"")*IF(((UPPER($AS$83:$AZ$83)="BLANK")+(UPPER($AS$83:$AZ$83)="(BLANK)")+(UPPER($AS$83:$AZ$83)="EMPTY")+(UPPER($AS$83:$AZ$83)="(EMPTY)"))&gt;0,IFERROR(('Final Calculation Sheet'!$W$36)&amp;"","")="",ISNUMBER(SEARCH($AS$83:$AZ$83,IFERROR(('Final Calculation Sheet'!$W$36)&amp;"","")))))&gt;0),IF(COUNTIF($BI$83:$BP$83,6)=0,TRUE,SUMPRODUCT(($BI$83:$BP$83=6)*($AS$83:$AZ$83&lt;&gt;"")*IF(((UPPER($AS$83:$AZ$83)="BLANK")+(UPPER($AS$83:$AZ$83)="(BLANK)")+(UPPER($AS$83:$AZ$83)="EMPTY")+(UPPER($AS$83:$AZ$83)="(EMPTY)"))&gt;0,IFERROR(('Final Calculation Sheet'!$W$36)&amp;"","")="",ISNUMBER(SEARCH($AS$83:$AZ$83,IFERROR(('Final Calculation Sheet'!$W$36)&amp;"","")))))&gt;0),IF(COUNTIF($BI$83:$BP$83,7)=0,TRUE,SUMPRODUCT(($BI$83:$BP$83=7)*($AS$83:$AZ$83&lt;&gt;"")*IF(((UPPER($AS$83:$AZ$83)="BLANK")+(UPPER($AS$83:$AZ$83)="(BLANK)")+(UPPER($AS$83:$AZ$83)="EMPTY")+(UPPER($AS$83:$AZ$83)="(EMPTY)"))&gt;0,IFERROR(('Final Calculation Sheet'!$W$36)&amp;"","")="",ISNUMBER(SEARCH($AS$83:$AZ$83,IFERROR(('Final Calculation Sheet'!$W$36)&amp;"","")))))&gt;0),IF(COUNTIF($BI$83:$BP$83,8)=0,TRUE,SUMPRODUCT(($BI$83:$BP$83=8)*($AS$83:$AZ$83&lt;&gt;"")*IF(((UPPER($AS$83:$AZ$83)="BLANK")+(UPPER($AS$83:$AZ$83)="(BLANK)")+(UPPER($AS$83:$AZ$83)="EMPTY")+(UPPER($AS$83:$AZ$83)="(EMPTY)"))&gt;0,IFERROR(('Final Calculation Sheet'!$W$36)&amp;"","")="",ISNUMBER(SEARCH($AS$83:$AZ$83,IFERROR(('Final Calculation Sheet'!$W$36)&amp;"","")))))&gt;0))))</f>
        <v>1</v>
      </c>
      <c r="CK37">
        <f>IF($Y$4="",1,--(AND(SUMPRODUCT(--($AS$84:$AZ$84&lt;&gt;""))&gt;0,IF(COUNTIF($BI$84:$BP$84,1)=0,TRUE,SUMPRODUCT(($BI$84:$BP$84=1)*($AS$84:$AZ$84&lt;&gt;"")*IF(((UPPER($AS$84:$AZ$84)="BLANK")+(UPPER($AS$84:$AZ$84)="(BLANK)")+(UPPER($AS$84:$AZ$84)="EMPTY")+(UPPER($AS$84:$AZ$84)="(EMPTY)"))&gt;0,IFERROR(('Final Calculation Sheet'!$X$36)&amp;"","")="",ISNUMBER(SEARCH($AS$84:$AZ$84,IFERROR(('Final Calculation Sheet'!$X$36)&amp;"","")))))&gt;0),IF(COUNTIF($BI$84:$BP$84,2)=0,TRUE,SUMPRODUCT(($BI$84:$BP$84=2)*($AS$84:$AZ$84&lt;&gt;"")*IF(((UPPER($AS$84:$AZ$84)="BLANK")+(UPPER($AS$84:$AZ$84)="(BLANK)")+(UPPER($AS$84:$AZ$84)="EMPTY")+(UPPER($AS$84:$AZ$84)="(EMPTY)"))&gt;0,IFERROR(('Final Calculation Sheet'!$X$36)&amp;"","")="",ISNUMBER(SEARCH($AS$84:$AZ$84,IFERROR(('Final Calculation Sheet'!$X$36)&amp;"","")))))&gt;0),IF(COUNTIF($BI$84:$BP$84,3)=0,TRUE,SUMPRODUCT(($BI$84:$BP$84=3)*($AS$84:$AZ$84&lt;&gt;"")*IF(((UPPER($AS$84:$AZ$84)="BLANK")+(UPPER($AS$84:$AZ$84)="(BLANK)")+(UPPER($AS$84:$AZ$84)="EMPTY")+(UPPER($AS$84:$AZ$84)="(EMPTY)"))&gt;0,IFERROR(('Final Calculation Sheet'!$X$36)&amp;"","")="",ISNUMBER(SEARCH($AS$84:$AZ$84,IFERROR(('Final Calculation Sheet'!$X$36)&amp;"","")))))&gt;0),IF(COUNTIF($BI$84:$BP$84,4)=0,TRUE,SUMPRODUCT(($BI$84:$BP$84=4)*($AS$84:$AZ$84&lt;&gt;"")*IF(((UPPER($AS$84:$AZ$84)="BLANK")+(UPPER($AS$84:$AZ$84)="(BLANK)")+(UPPER($AS$84:$AZ$84)="EMPTY")+(UPPER($AS$84:$AZ$84)="(EMPTY)"))&gt;0,IFERROR(('Final Calculation Sheet'!$X$36)&amp;"","")="",ISNUMBER(SEARCH($AS$84:$AZ$84,IFERROR(('Final Calculation Sheet'!$X$36)&amp;"","")))))&gt;0),IF(COUNTIF($BI$84:$BP$84,5)=0,TRUE,SUMPRODUCT(($BI$84:$BP$84=5)*($AS$84:$AZ$84&lt;&gt;"")*IF(((UPPER($AS$84:$AZ$84)="BLANK")+(UPPER($AS$84:$AZ$84)="(BLANK)")+(UPPER($AS$84:$AZ$84)="EMPTY")+(UPPER($AS$84:$AZ$84)="(EMPTY)"))&gt;0,IFERROR(('Final Calculation Sheet'!$X$36)&amp;"","")="",ISNUMBER(SEARCH($AS$84:$AZ$84,IFERROR(('Final Calculation Sheet'!$X$36)&amp;"","")))))&gt;0),IF(COUNTIF($BI$84:$BP$84,6)=0,TRUE,SUMPRODUCT(($BI$84:$BP$84=6)*($AS$84:$AZ$84&lt;&gt;"")*IF(((UPPER($AS$84:$AZ$84)="BLANK")+(UPPER($AS$84:$AZ$84)="(BLANK)")+(UPPER($AS$84:$AZ$84)="EMPTY")+(UPPER($AS$84:$AZ$84)="(EMPTY)"))&gt;0,IFERROR(('Final Calculation Sheet'!$X$36)&amp;"","")="",ISNUMBER(SEARCH($AS$84:$AZ$84,IFERROR(('Final Calculation Sheet'!$X$36)&amp;"","")))))&gt;0),IF(COUNTIF($BI$84:$BP$84,7)=0,TRUE,SUMPRODUCT(($BI$84:$BP$84=7)*($AS$84:$AZ$84&lt;&gt;"")*IF(((UPPER($AS$84:$AZ$84)="BLANK")+(UPPER($AS$84:$AZ$84)="(BLANK)")+(UPPER($AS$84:$AZ$84)="EMPTY")+(UPPER($AS$84:$AZ$84)="(EMPTY)"))&gt;0,IFERROR(('Final Calculation Sheet'!$X$36)&amp;"","")="",ISNUMBER(SEARCH($AS$84:$AZ$84,IFERROR(('Final Calculation Sheet'!$X$36)&amp;"","")))))&gt;0),IF(COUNTIF($BI$84:$BP$84,8)=0,TRUE,SUMPRODUCT(($BI$84:$BP$84=8)*($AS$84:$AZ$84&lt;&gt;"")*IF(((UPPER($AS$84:$AZ$84)="BLANK")+(UPPER($AS$84:$AZ$84)="(BLANK)")+(UPPER($AS$84:$AZ$84)="EMPTY")+(UPPER($AS$84:$AZ$84)="(EMPTY)"))&gt;0,IFERROR(('Final Calculation Sheet'!$X$36)&amp;"","")="",ISNUMBER(SEARCH($AS$84:$AZ$84,IFERROR(('Final Calculation Sheet'!$X$36)&amp;"","")))))&gt;0))))</f>
        <v>1</v>
      </c>
      <c r="CL37">
        <f>IF($Z$4="",1,--(AND(SUMPRODUCT(--($AS$85:$AZ$85&lt;&gt;""))&gt;0,IF(COUNTIF($BI$85:$BP$85,1)=0,TRUE,SUMPRODUCT(($BI$85:$BP$85=1)*($AS$85:$AZ$85&lt;&gt;"")*IF(((UPPER($AS$85:$AZ$85)="BLANK")+(UPPER($AS$85:$AZ$85)="(BLANK)")+(UPPER($AS$85:$AZ$85)="EMPTY")+(UPPER($AS$85:$AZ$85)="(EMPTY)"))&gt;0,IFERROR(('Final Calculation Sheet'!$Y$36)&amp;"","")="",ISNUMBER(SEARCH($AS$85:$AZ$85,IFERROR(('Final Calculation Sheet'!$Y$36)&amp;"","")))))&gt;0),IF(COUNTIF($BI$85:$BP$85,2)=0,TRUE,SUMPRODUCT(($BI$85:$BP$85=2)*($AS$85:$AZ$85&lt;&gt;"")*IF(((UPPER($AS$85:$AZ$85)="BLANK")+(UPPER($AS$85:$AZ$85)="(BLANK)")+(UPPER($AS$85:$AZ$85)="EMPTY")+(UPPER($AS$85:$AZ$85)="(EMPTY)"))&gt;0,IFERROR(('Final Calculation Sheet'!$Y$36)&amp;"","")="",ISNUMBER(SEARCH($AS$85:$AZ$85,IFERROR(('Final Calculation Sheet'!$Y$36)&amp;"","")))))&gt;0),IF(COUNTIF($BI$85:$BP$85,3)=0,TRUE,SUMPRODUCT(($BI$85:$BP$85=3)*($AS$85:$AZ$85&lt;&gt;"")*IF(((UPPER($AS$85:$AZ$85)="BLANK")+(UPPER($AS$85:$AZ$85)="(BLANK)")+(UPPER($AS$85:$AZ$85)="EMPTY")+(UPPER($AS$85:$AZ$85)="(EMPTY)"))&gt;0,IFERROR(('Final Calculation Sheet'!$Y$36)&amp;"","")="",ISNUMBER(SEARCH($AS$85:$AZ$85,IFERROR(('Final Calculation Sheet'!$Y$36)&amp;"","")))))&gt;0),IF(COUNTIF($BI$85:$BP$85,4)=0,TRUE,SUMPRODUCT(($BI$85:$BP$85=4)*($AS$85:$AZ$85&lt;&gt;"")*IF(((UPPER($AS$85:$AZ$85)="BLANK")+(UPPER($AS$85:$AZ$85)="(BLANK)")+(UPPER($AS$85:$AZ$85)="EMPTY")+(UPPER($AS$85:$AZ$85)="(EMPTY)"))&gt;0,IFERROR(('Final Calculation Sheet'!$Y$36)&amp;"","")="",ISNUMBER(SEARCH($AS$85:$AZ$85,IFERROR(('Final Calculation Sheet'!$Y$36)&amp;"","")))))&gt;0),IF(COUNTIF($BI$85:$BP$85,5)=0,TRUE,SUMPRODUCT(($BI$85:$BP$85=5)*($AS$85:$AZ$85&lt;&gt;"")*IF(((UPPER($AS$85:$AZ$85)="BLANK")+(UPPER($AS$85:$AZ$85)="(BLANK)")+(UPPER($AS$85:$AZ$85)="EMPTY")+(UPPER($AS$85:$AZ$85)="(EMPTY)"))&gt;0,IFERROR(('Final Calculation Sheet'!$Y$36)&amp;"","")="",ISNUMBER(SEARCH($AS$85:$AZ$85,IFERROR(('Final Calculation Sheet'!$Y$36)&amp;"","")))))&gt;0),IF(COUNTIF($BI$85:$BP$85,6)=0,TRUE,SUMPRODUCT(($BI$85:$BP$85=6)*($AS$85:$AZ$85&lt;&gt;"")*IF(((UPPER($AS$85:$AZ$85)="BLANK")+(UPPER($AS$85:$AZ$85)="(BLANK)")+(UPPER($AS$85:$AZ$85)="EMPTY")+(UPPER($AS$85:$AZ$85)="(EMPTY)"))&gt;0,IFERROR(('Final Calculation Sheet'!$Y$36)&amp;"","")="",ISNUMBER(SEARCH($AS$85:$AZ$85,IFERROR(('Final Calculation Sheet'!$Y$36)&amp;"","")))))&gt;0),IF(COUNTIF($BI$85:$BP$85,7)=0,TRUE,SUMPRODUCT(($BI$85:$BP$85=7)*($AS$85:$AZ$85&lt;&gt;"")*IF(((UPPER($AS$85:$AZ$85)="BLANK")+(UPPER($AS$85:$AZ$85)="(BLANK)")+(UPPER($AS$85:$AZ$85)="EMPTY")+(UPPER($AS$85:$AZ$85)="(EMPTY)"))&gt;0,IFERROR(('Final Calculation Sheet'!$Y$36)&amp;"","")="",ISNUMBER(SEARCH($AS$85:$AZ$85,IFERROR(('Final Calculation Sheet'!$Y$36)&amp;"","")))))&gt;0),IF(COUNTIF($BI$85:$BP$85,8)=0,TRUE,SUMPRODUCT(($BI$85:$BP$85=8)*($AS$85:$AZ$85&lt;&gt;"")*IF(((UPPER($AS$85:$AZ$85)="BLANK")+(UPPER($AS$85:$AZ$85)="(BLANK)")+(UPPER($AS$85:$AZ$85)="EMPTY")+(UPPER($AS$85:$AZ$85)="(EMPTY)"))&gt;0,IFERROR(('Final Calculation Sheet'!$Y$36)&amp;"","")="",ISNUMBER(SEARCH($AS$85:$AZ$85,IFERROR(('Final Calculation Sheet'!$Y$36)&amp;"","")))))&gt;0))))</f>
        <v>1</v>
      </c>
      <c r="CM37">
        <f>IF($AA$4="",1,--(AND(SUMPRODUCT(--($AS$86:$AZ$86&lt;&gt;""))&gt;0,IF(COUNTIF($BI$86:$BP$86,1)=0,TRUE,SUMPRODUCT(($BI$86:$BP$86=1)*($AS$86:$AZ$86&lt;&gt;"")*IF(((UPPER($AS$86:$AZ$86)="BLANK")+(UPPER($AS$86:$AZ$86)="(BLANK)")+(UPPER($AS$86:$AZ$86)="EMPTY")+(UPPER($AS$86:$AZ$86)="(EMPTY)"))&gt;0,IFERROR(('Final Calculation Sheet'!$Z$36)&amp;"","")="",ISNUMBER(SEARCH($AS$86:$AZ$86,IFERROR(('Final Calculation Sheet'!$Z$36)&amp;"","")))))&gt;0),IF(COUNTIF($BI$86:$BP$86,2)=0,TRUE,SUMPRODUCT(($BI$86:$BP$86=2)*($AS$86:$AZ$86&lt;&gt;"")*IF(((UPPER($AS$86:$AZ$86)="BLANK")+(UPPER($AS$86:$AZ$86)="(BLANK)")+(UPPER($AS$86:$AZ$86)="EMPTY")+(UPPER($AS$86:$AZ$86)="(EMPTY)"))&gt;0,IFERROR(('Final Calculation Sheet'!$Z$36)&amp;"","")="",ISNUMBER(SEARCH($AS$86:$AZ$86,IFERROR(('Final Calculation Sheet'!$Z$36)&amp;"","")))))&gt;0),IF(COUNTIF($BI$86:$BP$86,3)=0,TRUE,SUMPRODUCT(($BI$86:$BP$86=3)*($AS$86:$AZ$86&lt;&gt;"")*IF(((UPPER($AS$86:$AZ$86)="BLANK")+(UPPER($AS$86:$AZ$86)="(BLANK)")+(UPPER($AS$86:$AZ$86)="EMPTY")+(UPPER($AS$86:$AZ$86)="(EMPTY)"))&gt;0,IFERROR(('Final Calculation Sheet'!$Z$36)&amp;"","")="",ISNUMBER(SEARCH($AS$86:$AZ$86,IFERROR(('Final Calculation Sheet'!$Z$36)&amp;"","")))))&gt;0),IF(COUNTIF($BI$86:$BP$86,4)=0,TRUE,SUMPRODUCT(($BI$86:$BP$86=4)*($AS$86:$AZ$86&lt;&gt;"")*IF(((UPPER($AS$86:$AZ$86)="BLANK")+(UPPER($AS$86:$AZ$86)="(BLANK)")+(UPPER($AS$86:$AZ$86)="EMPTY")+(UPPER($AS$86:$AZ$86)="(EMPTY)"))&gt;0,IFERROR(('Final Calculation Sheet'!$Z$36)&amp;"","")="",ISNUMBER(SEARCH($AS$86:$AZ$86,IFERROR(('Final Calculation Sheet'!$Z$36)&amp;"","")))))&gt;0),IF(COUNTIF($BI$86:$BP$86,5)=0,TRUE,SUMPRODUCT(($BI$86:$BP$86=5)*($AS$86:$AZ$86&lt;&gt;"")*IF(((UPPER($AS$86:$AZ$86)="BLANK")+(UPPER($AS$86:$AZ$86)="(BLANK)")+(UPPER($AS$86:$AZ$86)="EMPTY")+(UPPER($AS$86:$AZ$86)="(EMPTY)"))&gt;0,IFERROR(('Final Calculation Sheet'!$Z$36)&amp;"","")="",ISNUMBER(SEARCH($AS$86:$AZ$86,IFERROR(('Final Calculation Sheet'!$Z$36)&amp;"","")))))&gt;0),IF(COUNTIF($BI$86:$BP$86,6)=0,TRUE,SUMPRODUCT(($BI$86:$BP$86=6)*($AS$86:$AZ$86&lt;&gt;"")*IF(((UPPER($AS$86:$AZ$86)="BLANK")+(UPPER($AS$86:$AZ$86)="(BLANK)")+(UPPER($AS$86:$AZ$86)="EMPTY")+(UPPER($AS$86:$AZ$86)="(EMPTY)"))&gt;0,IFERROR(('Final Calculation Sheet'!$Z$36)&amp;"","")="",ISNUMBER(SEARCH($AS$86:$AZ$86,IFERROR(('Final Calculation Sheet'!$Z$36)&amp;"","")))))&gt;0),IF(COUNTIF($BI$86:$BP$86,7)=0,TRUE,SUMPRODUCT(($BI$86:$BP$86=7)*($AS$86:$AZ$86&lt;&gt;"")*IF(((UPPER($AS$86:$AZ$86)="BLANK")+(UPPER($AS$86:$AZ$86)="(BLANK)")+(UPPER($AS$86:$AZ$86)="EMPTY")+(UPPER($AS$86:$AZ$86)="(EMPTY)"))&gt;0,IFERROR(('Final Calculation Sheet'!$Z$36)&amp;"","")="",ISNUMBER(SEARCH($AS$86:$AZ$86,IFERROR(('Final Calculation Sheet'!$Z$36)&amp;"","")))))&gt;0),IF(COUNTIF($BI$86:$BP$86,8)=0,TRUE,SUMPRODUCT(($BI$86:$BP$86=8)*($AS$86:$AZ$86&lt;&gt;"")*IF(((UPPER($AS$86:$AZ$86)="BLANK")+(UPPER($AS$86:$AZ$86)="(BLANK)")+(UPPER($AS$86:$AZ$86)="EMPTY")+(UPPER($AS$86:$AZ$86)="(EMPTY)"))&gt;0,IFERROR(('Final Calculation Sheet'!$Z$36)&amp;"","")="",ISNUMBER(SEARCH($AS$86:$AZ$86,IFERROR(('Final Calculation Sheet'!$Z$36)&amp;"","")))))&gt;0))))</f>
        <v>1</v>
      </c>
      <c r="CN37">
        <f>IF($AB$4="",1,--(AND(SUMPRODUCT(--($AS$87:$AZ$87&lt;&gt;""))&gt;0,IF(COUNTIF($BI$87:$BP$87,1)=0,TRUE,SUMPRODUCT(($BI$87:$BP$87=1)*($AS$87:$AZ$87&lt;&gt;"")*IF(((UPPER($AS$87:$AZ$87)="BLANK")+(UPPER($AS$87:$AZ$87)="(BLANK)")+(UPPER($AS$87:$AZ$87)="EMPTY")+(UPPER($AS$87:$AZ$87)="(EMPTY)"))&gt;0,IFERROR(('Final Calculation Sheet'!$AA$36)&amp;"","")="",ISNUMBER(SEARCH($AS$87:$AZ$87,IFERROR(('Final Calculation Sheet'!$AA$36)&amp;"","")))))&gt;0),IF(COUNTIF($BI$87:$BP$87,2)=0,TRUE,SUMPRODUCT(($BI$87:$BP$87=2)*($AS$87:$AZ$87&lt;&gt;"")*IF(((UPPER($AS$87:$AZ$87)="BLANK")+(UPPER($AS$87:$AZ$87)="(BLANK)")+(UPPER($AS$87:$AZ$87)="EMPTY")+(UPPER($AS$87:$AZ$87)="(EMPTY)"))&gt;0,IFERROR(('Final Calculation Sheet'!$AA$36)&amp;"","")="",ISNUMBER(SEARCH($AS$87:$AZ$87,IFERROR(('Final Calculation Sheet'!$AA$36)&amp;"","")))))&gt;0),IF(COUNTIF($BI$87:$BP$87,3)=0,TRUE,SUMPRODUCT(($BI$87:$BP$87=3)*($AS$87:$AZ$87&lt;&gt;"")*IF(((UPPER($AS$87:$AZ$87)="BLANK")+(UPPER($AS$87:$AZ$87)="(BLANK)")+(UPPER($AS$87:$AZ$87)="EMPTY")+(UPPER($AS$87:$AZ$87)="(EMPTY)"))&gt;0,IFERROR(('Final Calculation Sheet'!$AA$36)&amp;"","")="",ISNUMBER(SEARCH($AS$87:$AZ$87,IFERROR(('Final Calculation Sheet'!$AA$36)&amp;"","")))))&gt;0),IF(COUNTIF($BI$87:$BP$87,4)=0,TRUE,SUMPRODUCT(($BI$87:$BP$87=4)*($AS$87:$AZ$87&lt;&gt;"")*IF(((UPPER($AS$87:$AZ$87)="BLANK")+(UPPER($AS$87:$AZ$87)="(BLANK)")+(UPPER($AS$87:$AZ$87)="EMPTY")+(UPPER($AS$87:$AZ$87)="(EMPTY)"))&gt;0,IFERROR(('Final Calculation Sheet'!$AA$36)&amp;"","")="",ISNUMBER(SEARCH($AS$87:$AZ$87,IFERROR(('Final Calculation Sheet'!$AA$36)&amp;"","")))))&gt;0),IF(COUNTIF($BI$87:$BP$87,5)=0,TRUE,SUMPRODUCT(($BI$87:$BP$87=5)*($AS$87:$AZ$87&lt;&gt;"")*IF(((UPPER($AS$87:$AZ$87)="BLANK")+(UPPER($AS$87:$AZ$87)="(BLANK)")+(UPPER($AS$87:$AZ$87)="EMPTY")+(UPPER($AS$87:$AZ$87)="(EMPTY)"))&gt;0,IFERROR(('Final Calculation Sheet'!$AA$36)&amp;"","")="",ISNUMBER(SEARCH($AS$87:$AZ$87,IFERROR(('Final Calculation Sheet'!$AA$36)&amp;"","")))))&gt;0),IF(COUNTIF($BI$87:$BP$87,6)=0,TRUE,SUMPRODUCT(($BI$87:$BP$87=6)*($AS$87:$AZ$87&lt;&gt;"")*IF(((UPPER($AS$87:$AZ$87)="BLANK")+(UPPER($AS$87:$AZ$87)="(BLANK)")+(UPPER($AS$87:$AZ$87)="EMPTY")+(UPPER($AS$87:$AZ$87)="(EMPTY)"))&gt;0,IFERROR(('Final Calculation Sheet'!$AA$36)&amp;"","")="",ISNUMBER(SEARCH($AS$87:$AZ$87,IFERROR(('Final Calculation Sheet'!$AA$36)&amp;"","")))))&gt;0),IF(COUNTIF($BI$87:$BP$87,7)=0,TRUE,SUMPRODUCT(($BI$87:$BP$87=7)*($AS$87:$AZ$87&lt;&gt;"")*IF(((UPPER($AS$87:$AZ$87)="BLANK")+(UPPER($AS$87:$AZ$87)="(BLANK)")+(UPPER($AS$87:$AZ$87)="EMPTY")+(UPPER($AS$87:$AZ$87)="(EMPTY)"))&gt;0,IFERROR(('Final Calculation Sheet'!$AA$36)&amp;"","")="",ISNUMBER(SEARCH($AS$87:$AZ$87,IFERROR(('Final Calculation Sheet'!$AA$36)&amp;"","")))))&gt;0),IF(COUNTIF($BI$87:$BP$87,8)=0,TRUE,SUMPRODUCT(($BI$87:$BP$87=8)*($AS$87:$AZ$87&lt;&gt;"")*IF(((UPPER($AS$87:$AZ$87)="BLANK")+(UPPER($AS$87:$AZ$87)="(BLANK)")+(UPPER($AS$87:$AZ$87)="EMPTY")+(UPPER($AS$87:$AZ$87)="(EMPTY)"))&gt;0,IFERROR(('Final Calculation Sheet'!$AA$36)&amp;"","")="",ISNUMBER(SEARCH($AS$87:$AZ$87,IFERROR(('Final Calculation Sheet'!$AA$36)&amp;"","")))))&gt;0))))</f>
        <v>1</v>
      </c>
      <c r="CO37">
        <f>IF($AC$4="",1,--(AND(SUMPRODUCT(--($AS$88:$AZ$88&lt;&gt;""))&gt;0,IF(COUNTIF($BI$88:$BP$88,1)=0,TRUE,SUMPRODUCT(($BI$88:$BP$88=1)*($AS$88:$AZ$88&lt;&gt;"")*IF(((UPPER($AS$88:$AZ$88)="BLANK")+(UPPER($AS$88:$AZ$88)="(BLANK)")+(UPPER($AS$88:$AZ$88)="EMPTY")+(UPPER($AS$88:$AZ$88)="(EMPTY)"))&gt;0,IFERROR(('Final Calculation Sheet'!$AB$36)&amp;"","")="",ISNUMBER(SEARCH($AS$88:$AZ$88,IFERROR(('Final Calculation Sheet'!$AB$36)&amp;"","")))))&gt;0),IF(COUNTIF($BI$88:$BP$88,2)=0,TRUE,SUMPRODUCT(($BI$88:$BP$88=2)*($AS$88:$AZ$88&lt;&gt;"")*IF(((UPPER($AS$88:$AZ$88)="BLANK")+(UPPER($AS$88:$AZ$88)="(BLANK)")+(UPPER($AS$88:$AZ$88)="EMPTY")+(UPPER($AS$88:$AZ$88)="(EMPTY)"))&gt;0,IFERROR(('Final Calculation Sheet'!$AB$36)&amp;"","")="",ISNUMBER(SEARCH($AS$88:$AZ$88,IFERROR(('Final Calculation Sheet'!$AB$36)&amp;"","")))))&gt;0),IF(COUNTIF($BI$88:$BP$88,3)=0,TRUE,SUMPRODUCT(($BI$88:$BP$88=3)*($AS$88:$AZ$88&lt;&gt;"")*IF(((UPPER($AS$88:$AZ$88)="BLANK")+(UPPER($AS$88:$AZ$88)="(BLANK)")+(UPPER($AS$88:$AZ$88)="EMPTY")+(UPPER($AS$88:$AZ$88)="(EMPTY)"))&gt;0,IFERROR(('Final Calculation Sheet'!$AB$36)&amp;"","")="",ISNUMBER(SEARCH($AS$88:$AZ$88,IFERROR(('Final Calculation Sheet'!$AB$36)&amp;"","")))))&gt;0),IF(COUNTIF($BI$88:$BP$88,4)=0,TRUE,SUMPRODUCT(($BI$88:$BP$88=4)*($AS$88:$AZ$88&lt;&gt;"")*IF(((UPPER($AS$88:$AZ$88)="BLANK")+(UPPER($AS$88:$AZ$88)="(BLANK)")+(UPPER($AS$88:$AZ$88)="EMPTY")+(UPPER($AS$88:$AZ$88)="(EMPTY)"))&gt;0,IFERROR(('Final Calculation Sheet'!$AB$36)&amp;"","")="",ISNUMBER(SEARCH($AS$88:$AZ$88,IFERROR(('Final Calculation Sheet'!$AB$36)&amp;"","")))))&gt;0),IF(COUNTIF($BI$88:$BP$88,5)=0,TRUE,SUMPRODUCT(($BI$88:$BP$88=5)*($AS$88:$AZ$88&lt;&gt;"")*IF(((UPPER($AS$88:$AZ$88)="BLANK")+(UPPER($AS$88:$AZ$88)="(BLANK)")+(UPPER($AS$88:$AZ$88)="EMPTY")+(UPPER($AS$88:$AZ$88)="(EMPTY)"))&gt;0,IFERROR(('Final Calculation Sheet'!$AB$36)&amp;"","")="",ISNUMBER(SEARCH($AS$88:$AZ$88,IFERROR(('Final Calculation Sheet'!$AB$36)&amp;"","")))))&gt;0),IF(COUNTIF($BI$88:$BP$88,6)=0,TRUE,SUMPRODUCT(($BI$88:$BP$88=6)*($AS$88:$AZ$88&lt;&gt;"")*IF(((UPPER($AS$88:$AZ$88)="BLANK")+(UPPER($AS$88:$AZ$88)="(BLANK)")+(UPPER($AS$88:$AZ$88)="EMPTY")+(UPPER($AS$88:$AZ$88)="(EMPTY)"))&gt;0,IFERROR(('Final Calculation Sheet'!$AB$36)&amp;"","")="",ISNUMBER(SEARCH($AS$88:$AZ$88,IFERROR(('Final Calculation Sheet'!$AB$36)&amp;"","")))))&gt;0),IF(COUNTIF($BI$88:$BP$88,7)=0,TRUE,SUMPRODUCT(($BI$88:$BP$88=7)*($AS$88:$AZ$88&lt;&gt;"")*IF(((UPPER($AS$88:$AZ$88)="BLANK")+(UPPER($AS$88:$AZ$88)="(BLANK)")+(UPPER($AS$88:$AZ$88)="EMPTY")+(UPPER($AS$88:$AZ$88)="(EMPTY)"))&gt;0,IFERROR(('Final Calculation Sheet'!$AB$36)&amp;"","")="",ISNUMBER(SEARCH($AS$88:$AZ$88,IFERROR(('Final Calculation Sheet'!$AB$36)&amp;"","")))))&gt;0),IF(COUNTIF($BI$88:$BP$88,8)=0,TRUE,SUMPRODUCT(($BI$88:$BP$88=8)*($AS$88:$AZ$88&lt;&gt;"")*IF(((UPPER($AS$88:$AZ$88)="BLANK")+(UPPER($AS$88:$AZ$88)="(BLANK)")+(UPPER($AS$88:$AZ$88)="EMPTY")+(UPPER($AS$88:$AZ$88)="(EMPTY)"))&gt;0,IFERROR(('Final Calculation Sheet'!$AB$36)&amp;"","")="",ISNUMBER(SEARCH($AS$88:$AZ$88,IFERROR(('Final Calculation Sheet'!$AB$36)&amp;"","")))))&gt;0))))</f>
        <v>1</v>
      </c>
      <c r="CP37">
        <f>IF($AD$4="",1,--(AND(SUMPRODUCT(--($AS$89:$AZ$89&lt;&gt;""))&gt;0,IF(COUNTIF($BI$89:$BP$89,1)=0,TRUE,SUMPRODUCT(($BI$89:$BP$89=1)*($AS$89:$AZ$89&lt;&gt;"")*IF(((UPPER($AS$89:$AZ$89)="BLANK")+(UPPER($AS$89:$AZ$89)="(BLANK)")+(UPPER($AS$89:$AZ$89)="EMPTY")+(UPPER($AS$89:$AZ$89)="(EMPTY)"))&gt;0,IFERROR(('Final Calculation Sheet'!$AC$36)&amp;"","")="",ISNUMBER(SEARCH($AS$89:$AZ$89,IFERROR(('Final Calculation Sheet'!$AC$36)&amp;"","")))))&gt;0),IF(COUNTIF($BI$89:$BP$89,2)=0,TRUE,SUMPRODUCT(($BI$89:$BP$89=2)*($AS$89:$AZ$89&lt;&gt;"")*IF(((UPPER($AS$89:$AZ$89)="BLANK")+(UPPER($AS$89:$AZ$89)="(BLANK)")+(UPPER($AS$89:$AZ$89)="EMPTY")+(UPPER($AS$89:$AZ$89)="(EMPTY)"))&gt;0,IFERROR(('Final Calculation Sheet'!$AC$36)&amp;"","")="",ISNUMBER(SEARCH($AS$89:$AZ$89,IFERROR(('Final Calculation Sheet'!$AC$36)&amp;"","")))))&gt;0),IF(COUNTIF($BI$89:$BP$89,3)=0,TRUE,SUMPRODUCT(($BI$89:$BP$89=3)*($AS$89:$AZ$89&lt;&gt;"")*IF(((UPPER($AS$89:$AZ$89)="BLANK")+(UPPER($AS$89:$AZ$89)="(BLANK)")+(UPPER($AS$89:$AZ$89)="EMPTY")+(UPPER($AS$89:$AZ$89)="(EMPTY)"))&gt;0,IFERROR(('Final Calculation Sheet'!$AC$36)&amp;"","")="",ISNUMBER(SEARCH($AS$89:$AZ$89,IFERROR(('Final Calculation Sheet'!$AC$36)&amp;"","")))))&gt;0),IF(COUNTIF($BI$89:$BP$89,4)=0,TRUE,SUMPRODUCT(($BI$89:$BP$89=4)*($AS$89:$AZ$89&lt;&gt;"")*IF(((UPPER($AS$89:$AZ$89)="BLANK")+(UPPER($AS$89:$AZ$89)="(BLANK)")+(UPPER($AS$89:$AZ$89)="EMPTY")+(UPPER($AS$89:$AZ$89)="(EMPTY)"))&gt;0,IFERROR(('Final Calculation Sheet'!$AC$36)&amp;"","")="",ISNUMBER(SEARCH($AS$89:$AZ$89,IFERROR(('Final Calculation Sheet'!$AC$36)&amp;"","")))))&gt;0),IF(COUNTIF($BI$89:$BP$89,5)=0,TRUE,SUMPRODUCT(($BI$89:$BP$89=5)*($AS$89:$AZ$89&lt;&gt;"")*IF(((UPPER($AS$89:$AZ$89)="BLANK")+(UPPER($AS$89:$AZ$89)="(BLANK)")+(UPPER($AS$89:$AZ$89)="EMPTY")+(UPPER($AS$89:$AZ$89)="(EMPTY)"))&gt;0,IFERROR(('Final Calculation Sheet'!$AC$36)&amp;"","")="",ISNUMBER(SEARCH($AS$89:$AZ$89,IFERROR(('Final Calculation Sheet'!$AC$36)&amp;"","")))))&gt;0),IF(COUNTIF($BI$89:$BP$89,6)=0,TRUE,SUMPRODUCT(($BI$89:$BP$89=6)*($AS$89:$AZ$89&lt;&gt;"")*IF(((UPPER($AS$89:$AZ$89)="BLANK")+(UPPER($AS$89:$AZ$89)="(BLANK)")+(UPPER($AS$89:$AZ$89)="EMPTY")+(UPPER($AS$89:$AZ$89)="(EMPTY)"))&gt;0,IFERROR(('Final Calculation Sheet'!$AC$36)&amp;"","")="",ISNUMBER(SEARCH($AS$89:$AZ$89,IFERROR(('Final Calculation Sheet'!$AC$36)&amp;"","")))))&gt;0),IF(COUNTIF($BI$89:$BP$89,7)=0,TRUE,SUMPRODUCT(($BI$89:$BP$89=7)*($AS$89:$AZ$89&lt;&gt;"")*IF(((UPPER($AS$89:$AZ$89)="BLANK")+(UPPER($AS$89:$AZ$89)="(BLANK)")+(UPPER($AS$89:$AZ$89)="EMPTY")+(UPPER($AS$89:$AZ$89)="(EMPTY)"))&gt;0,IFERROR(('Final Calculation Sheet'!$AC$36)&amp;"","")="",ISNUMBER(SEARCH($AS$89:$AZ$89,IFERROR(('Final Calculation Sheet'!$AC$36)&amp;"","")))))&gt;0),IF(COUNTIF($BI$89:$BP$89,8)=0,TRUE,SUMPRODUCT(($BI$89:$BP$89=8)*($AS$89:$AZ$89&lt;&gt;"")*IF(((UPPER($AS$89:$AZ$89)="BLANK")+(UPPER($AS$89:$AZ$89)="(BLANK)")+(UPPER($AS$89:$AZ$89)="EMPTY")+(UPPER($AS$89:$AZ$89)="(EMPTY)"))&gt;0,IFERROR(('Final Calculation Sheet'!$AC$36)&amp;"","")="",ISNUMBER(SEARCH($AS$89:$AZ$89,IFERROR(('Final Calculation Sheet'!$AC$36)&amp;"","")))))&gt;0))))</f>
        <v>1</v>
      </c>
      <c r="CQ37">
        <f>IF($AE$4="",1,--(AND(SUMPRODUCT(--($AS$90:$AZ$90&lt;&gt;""))&gt;0,IF(COUNTIF($BI$90:$BP$90,1)=0,TRUE,SUMPRODUCT(($BI$90:$BP$90=1)*($AS$90:$AZ$90&lt;&gt;"")*IF(((UPPER($AS$90:$AZ$90)="BLANK")+(UPPER($AS$90:$AZ$90)="(BLANK)")+(UPPER($AS$90:$AZ$90)="EMPTY")+(UPPER($AS$90:$AZ$90)="(EMPTY)"))&gt;0,IFERROR(('Final Calculation Sheet'!$AD$36)&amp;"","")="",ISNUMBER(SEARCH($AS$90:$AZ$90,IFERROR(('Final Calculation Sheet'!$AD$36)&amp;"","")))))&gt;0),IF(COUNTIF($BI$90:$BP$90,2)=0,TRUE,SUMPRODUCT(($BI$90:$BP$90=2)*($AS$90:$AZ$90&lt;&gt;"")*IF(((UPPER($AS$90:$AZ$90)="BLANK")+(UPPER($AS$90:$AZ$90)="(BLANK)")+(UPPER($AS$90:$AZ$90)="EMPTY")+(UPPER($AS$90:$AZ$90)="(EMPTY)"))&gt;0,IFERROR(('Final Calculation Sheet'!$AD$36)&amp;"","")="",ISNUMBER(SEARCH($AS$90:$AZ$90,IFERROR(('Final Calculation Sheet'!$AD$36)&amp;"","")))))&gt;0),IF(COUNTIF($BI$90:$BP$90,3)=0,TRUE,SUMPRODUCT(($BI$90:$BP$90=3)*($AS$90:$AZ$90&lt;&gt;"")*IF(((UPPER($AS$90:$AZ$90)="BLANK")+(UPPER($AS$90:$AZ$90)="(BLANK)")+(UPPER($AS$90:$AZ$90)="EMPTY")+(UPPER($AS$90:$AZ$90)="(EMPTY)"))&gt;0,IFERROR(('Final Calculation Sheet'!$AD$36)&amp;"","")="",ISNUMBER(SEARCH($AS$90:$AZ$90,IFERROR(('Final Calculation Sheet'!$AD$36)&amp;"","")))))&gt;0),IF(COUNTIF($BI$90:$BP$90,4)=0,TRUE,SUMPRODUCT(($BI$90:$BP$90=4)*($AS$90:$AZ$90&lt;&gt;"")*IF(((UPPER($AS$90:$AZ$90)="BLANK")+(UPPER($AS$90:$AZ$90)="(BLANK)")+(UPPER($AS$90:$AZ$90)="EMPTY")+(UPPER($AS$90:$AZ$90)="(EMPTY)"))&gt;0,IFERROR(('Final Calculation Sheet'!$AD$36)&amp;"","")="",ISNUMBER(SEARCH($AS$90:$AZ$90,IFERROR(('Final Calculation Sheet'!$AD$36)&amp;"","")))))&gt;0),IF(COUNTIF($BI$90:$BP$90,5)=0,TRUE,SUMPRODUCT(($BI$90:$BP$90=5)*($AS$90:$AZ$90&lt;&gt;"")*IF(((UPPER($AS$90:$AZ$90)="BLANK")+(UPPER($AS$90:$AZ$90)="(BLANK)")+(UPPER($AS$90:$AZ$90)="EMPTY")+(UPPER($AS$90:$AZ$90)="(EMPTY)"))&gt;0,IFERROR(('Final Calculation Sheet'!$AD$36)&amp;"","")="",ISNUMBER(SEARCH($AS$90:$AZ$90,IFERROR(('Final Calculation Sheet'!$AD$36)&amp;"","")))))&gt;0),IF(COUNTIF($BI$90:$BP$90,6)=0,TRUE,SUMPRODUCT(($BI$90:$BP$90=6)*($AS$90:$AZ$90&lt;&gt;"")*IF(((UPPER($AS$90:$AZ$90)="BLANK")+(UPPER($AS$90:$AZ$90)="(BLANK)")+(UPPER($AS$90:$AZ$90)="EMPTY")+(UPPER($AS$90:$AZ$90)="(EMPTY)"))&gt;0,IFERROR(('Final Calculation Sheet'!$AD$36)&amp;"","")="",ISNUMBER(SEARCH($AS$90:$AZ$90,IFERROR(('Final Calculation Sheet'!$AD$36)&amp;"","")))))&gt;0),IF(COUNTIF($BI$90:$BP$90,7)=0,TRUE,SUMPRODUCT(($BI$90:$BP$90=7)*($AS$90:$AZ$90&lt;&gt;"")*IF(((UPPER($AS$90:$AZ$90)="BLANK")+(UPPER($AS$90:$AZ$90)="(BLANK)")+(UPPER($AS$90:$AZ$90)="EMPTY")+(UPPER($AS$90:$AZ$90)="(EMPTY)"))&gt;0,IFERROR(('Final Calculation Sheet'!$AD$36)&amp;"","")="",ISNUMBER(SEARCH($AS$90:$AZ$90,IFERROR(('Final Calculation Sheet'!$AD$36)&amp;"","")))))&gt;0),IF(COUNTIF($BI$90:$BP$90,8)=0,TRUE,SUMPRODUCT(($BI$90:$BP$90=8)*($AS$90:$AZ$90&lt;&gt;"")*IF(((UPPER($AS$90:$AZ$90)="BLANK")+(UPPER($AS$90:$AZ$90)="(BLANK)")+(UPPER($AS$90:$AZ$90)="EMPTY")+(UPPER($AS$90:$AZ$90)="(EMPTY)"))&gt;0,IFERROR(('Final Calculation Sheet'!$AD$36)&amp;"","")="",ISNUMBER(SEARCH($AS$90:$AZ$90,IFERROR(('Final Calculation Sheet'!$AD$36)&amp;"","")))))&gt;0))))</f>
        <v>1</v>
      </c>
      <c r="CR37">
        <f>IF($AF$4="",1,--(AND(SUMPRODUCT(--($AS$91:$AZ$91&lt;&gt;""))&gt;0,IF(COUNTIF($BI$91:$BP$91,1)=0,TRUE,SUMPRODUCT(($BI$91:$BP$91=1)*($AS$91:$AZ$91&lt;&gt;"")*IF(((UPPER($AS$91:$AZ$91)="BLANK")+(UPPER($AS$91:$AZ$91)="(BLANK)")+(UPPER($AS$91:$AZ$91)="EMPTY")+(UPPER($AS$91:$AZ$91)="(EMPTY)"))&gt;0,IFERROR(('Final Calculation Sheet'!$AE$36)&amp;"","")="",ISNUMBER(SEARCH($AS$91:$AZ$91,IFERROR(('Final Calculation Sheet'!$AE$36)&amp;"","")))))&gt;0),IF(COUNTIF($BI$91:$BP$91,2)=0,TRUE,SUMPRODUCT(($BI$91:$BP$91=2)*($AS$91:$AZ$91&lt;&gt;"")*IF(((UPPER($AS$91:$AZ$91)="BLANK")+(UPPER($AS$91:$AZ$91)="(BLANK)")+(UPPER($AS$91:$AZ$91)="EMPTY")+(UPPER($AS$91:$AZ$91)="(EMPTY)"))&gt;0,IFERROR(('Final Calculation Sheet'!$AE$36)&amp;"","")="",ISNUMBER(SEARCH($AS$91:$AZ$91,IFERROR(('Final Calculation Sheet'!$AE$36)&amp;"","")))))&gt;0),IF(COUNTIF($BI$91:$BP$91,3)=0,TRUE,SUMPRODUCT(($BI$91:$BP$91=3)*($AS$91:$AZ$91&lt;&gt;"")*IF(((UPPER($AS$91:$AZ$91)="BLANK")+(UPPER($AS$91:$AZ$91)="(BLANK)")+(UPPER($AS$91:$AZ$91)="EMPTY")+(UPPER($AS$91:$AZ$91)="(EMPTY)"))&gt;0,IFERROR(('Final Calculation Sheet'!$AE$36)&amp;"","")="",ISNUMBER(SEARCH($AS$91:$AZ$91,IFERROR(('Final Calculation Sheet'!$AE$36)&amp;"","")))))&gt;0),IF(COUNTIF($BI$91:$BP$91,4)=0,TRUE,SUMPRODUCT(($BI$91:$BP$91=4)*($AS$91:$AZ$91&lt;&gt;"")*IF(((UPPER($AS$91:$AZ$91)="BLANK")+(UPPER($AS$91:$AZ$91)="(BLANK)")+(UPPER($AS$91:$AZ$91)="EMPTY")+(UPPER($AS$91:$AZ$91)="(EMPTY)"))&gt;0,IFERROR(('Final Calculation Sheet'!$AE$36)&amp;"","")="",ISNUMBER(SEARCH($AS$91:$AZ$91,IFERROR(('Final Calculation Sheet'!$AE$36)&amp;"","")))))&gt;0),IF(COUNTIF($BI$91:$BP$91,5)=0,TRUE,SUMPRODUCT(($BI$91:$BP$91=5)*($AS$91:$AZ$91&lt;&gt;"")*IF(((UPPER($AS$91:$AZ$91)="BLANK")+(UPPER($AS$91:$AZ$91)="(BLANK)")+(UPPER($AS$91:$AZ$91)="EMPTY")+(UPPER($AS$91:$AZ$91)="(EMPTY)"))&gt;0,IFERROR(('Final Calculation Sheet'!$AE$36)&amp;"","")="",ISNUMBER(SEARCH($AS$91:$AZ$91,IFERROR(('Final Calculation Sheet'!$AE$36)&amp;"","")))))&gt;0),IF(COUNTIF($BI$91:$BP$91,6)=0,TRUE,SUMPRODUCT(($BI$91:$BP$91=6)*($AS$91:$AZ$91&lt;&gt;"")*IF(((UPPER($AS$91:$AZ$91)="BLANK")+(UPPER($AS$91:$AZ$91)="(BLANK)")+(UPPER($AS$91:$AZ$91)="EMPTY")+(UPPER($AS$91:$AZ$91)="(EMPTY)"))&gt;0,IFERROR(('Final Calculation Sheet'!$AE$36)&amp;"","")="",ISNUMBER(SEARCH($AS$91:$AZ$91,IFERROR(('Final Calculation Sheet'!$AE$36)&amp;"","")))))&gt;0),IF(COUNTIF($BI$91:$BP$91,7)=0,TRUE,SUMPRODUCT(($BI$91:$BP$91=7)*($AS$91:$AZ$91&lt;&gt;"")*IF(((UPPER($AS$91:$AZ$91)="BLANK")+(UPPER($AS$91:$AZ$91)="(BLANK)")+(UPPER($AS$91:$AZ$91)="EMPTY")+(UPPER($AS$91:$AZ$91)="(EMPTY)"))&gt;0,IFERROR(('Final Calculation Sheet'!$AE$36)&amp;"","")="",ISNUMBER(SEARCH($AS$91:$AZ$91,IFERROR(('Final Calculation Sheet'!$AE$36)&amp;"","")))))&gt;0),IF(COUNTIF($BI$91:$BP$91,8)=0,TRUE,SUMPRODUCT(($BI$91:$BP$91=8)*($AS$91:$AZ$91&lt;&gt;"")*IF(((UPPER($AS$91:$AZ$91)="BLANK")+(UPPER($AS$91:$AZ$91)="(BLANK)")+(UPPER($AS$91:$AZ$91)="EMPTY")+(UPPER($AS$91:$AZ$91)="(EMPTY)"))&gt;0,IFERROR(('Final Calculation Sheet'!$AE$36)&amp;"","")="",ISNUMBER(SEARCH($AS$91:$AZ$91,IFERROR(('Final Calculation Sheet'!$AE$36)&amp;"","")))))&gt;0))))</f>
        <v>1</v>
      </c>
      <c r="CS37">
        <f>IF($AG$4="",1,--(AND(SUMPRODUCT(--($AS$92:$AZ$92&lt;&gt;""))&gt;0,IF(COUNTIF($BI$92:$BP$92,1)=0,TRUE,SUMPRODUCT(($BI$92:$BP$92=1)*($AS$92:$AZ$92&lt;&gt;"")*IF(((UPPER($AS$92:$AZ$92)="BLANK")+(UPPER($AS$92:$AZ$92)="(BLANK)")+(UPPER($AS$92:$AZ$92)="EMPTY")+(UPPER($AS$92:$AZ$92)="(EMPTY)"))&gt;0,IFERROR(('Final Calculation Sheet'!$AF$36)&amp;"","")="",ISNUMBER(SEARCH($AS$92:$AZ$92,IFERROR(('Final Calculation Sheet'!$AF$36)&amp;"","")))))&gt;0),IF(COUNTIF($BI$92:$BP$92,2)=0,TRUE,SUMPRODUCT(($BI$92:$BP$92=2)*($AS$92:$AZ$92&lt;&gt;"")*IF(((UPPER($AS$92:$AZ$92)="BLANK")+(UPPER($AS$92:$AZ$92)="(BLANK)")+(UPPER($AS$92:$AZ$92)="EMPTY")+(UPPER($AS$92:$AZ$92)="(EMPTY)"))&gt;0,IFERROR(('Final Calculation Sheet'!$AF$36)&amp;"","")="",ISNUMBER(SEARCH($AS$92:$AZ$92,IFERROR(('Final Calculation Sheet'!$AF$36)&amp;"","")))))&gt;0),IF(COUNTIF($BI$92:$BP$92,3)=0,TRUE,SUMPRODUCT(($BI$92:$BP$92=3)*($AS$92:$AZ$92&lt;&gt;"")*IF(((UPPER($AS$92:$AZ$92)="BLANK")+(UPPER($AS$92:$AZ$92)="(BLANK)")+(UPPER($AS$92:$AZ$92)="EMPTY")+(UPPER($AS$92:$AZ$92)="(EMPTY)"))&gt;0,IFERROR(('Final Calculation Sheet'!$AF$36)&amp;"","")="",ISNUMBER(SEARCH($AS$92:$AZ$92,IFERROR(('Final Calculation Sheet'!$AF$36)&amp;"","")))))&gt;0),IF(COUNTIF($BI$92:$BP$92,4)=0,TRUE,SUMPRODUCT(($BI$92:$BP$92=4)*($AS$92:$AZ$92&lt;&gt;"")*IF(((UPPER($AS$92:$AZ$92)="BLANK")+(UPPER($AS$92:$AZ$92)="(BLANK)")+(UPPER($AS$92:$AZ$92)="EMPTY")+(UPPER($AS$92:$AZ$92)="(EMPTY)"))&gt;0,IFERROR(('Final Calculation Sheet'!$AF$36)&amp;"","")="",ISNUMBER(SEARCH($AS$92:$AZ$92,IFERROR(('Final Calculation Sheet'!$AF$36)&amp;"","")))))&gt;0),IF(COUNTIF($BI$92:$BP$92,5)=0,TRUE,SUMPRODUCT(($BI$92:$BP$92=5)*($AS$92:$AZ$92&lt;&gt;"")*IF(((UPPER($AS$92:$AZ$92)="BLANK")+(UPPER($AS$92:$AZ$92)="(BLANK)")+(UPPER($AS$92:$AZ$92)="EMPTY")+(UPPER($AS$92:$AZ$92)="(EMPTY)"))&gt;0,IFERROR(('Final Calculation Sheet'!$AF$36)&amp;"","")="",ISNUMBER(SEARCH($AS$92:$AZ$92,IFERROR(('Final Calculation Sheet'!$AF$36)&amp;"","")))))&gt;0),IF(COUNTIF($BI$92:$BP$92,6)=0,TRUE,SUMPRODUCT(($BI$92:$BP$92=6)*($AS$92:$AZ$92&lt;&gt;"")*IF(((UPPER($AS$92:$AZ$92)="BLANK")+(UPPER($AS$92:$AZ$92)="(BLANK)")+(UPPER($AS$92:$AZ$92)="EMPTY")+(UPPER($AS$92:$AZ$92)="(EMPTY)"))&gt;0,IFERROR(('Final Calculation Sheet'!$AF$36)&amp;"","")="",ISNUMBER(SEARCH($AS$92:$AZ$92,IFERROR(('Final Calculation Sheet'!$AF$36)&amp;"","")))))&gt;0),IF(COUNTIF($BI$92:$BP$92,7)=0,TRUE,SUMPRODUCT(($BI$92:$BP$92=7)*($AS$92:$AZ$92&lt;&gt;"")*IF(((UPPER($AS$92:$AZ$92)="BLANK")+(UPPER($AS$92:$AZ$92)="(BLANK)")+(UPPER($AS$92:$AZ$92)="EMPTY")+(UPPER($AS$92:$AZ$92)="(EMPTY)"))&gt;0,IFERROR(('Final Calculation Sheet'!$AF$36)&amp;"","")="",ISNUMBER(SEARCH($AS$92:$AZ$92,IFERROR(('Final Calculation Sheet'!$AF$36)&amp;"","")))))&gt;0),IF(COUNTIF($BI$92:$BP$92,8)=0,TRUE,SUMPRODUCT(($BI$92:$BP$92=8)*($AS$92:$AZ$92&lt;&gt;"")*IF(((UPPER($AS$92:$AZ$92)="BLANK")+(UPPER($AS$92:$AZ$92)="(BLANK)")+(UPPER($AS$92:$AZ$92)="EMPTY")+(UPPER($AS$92:$AZ$92)="(EMPTY)"))&gt;0,IFERROR(('Final Calculation Sheet'!$AF$36)&amp;"","")="",ISNUMBER(SEARCH($AS$92:$AZ$92,IFERROR(('Final Calculation Sheet'!$AF$36)&amp;"","")))))&gt;0))))</f>
        <v>1</v>
      </c>
      <c r="CT37">
        <f>IF($AH$4="",1,--(AND(SUMPRODUCT(--($AS$93:$AZ$93&lt;&gt;""))&gt;0,IF(COUNTIF($BI$93:$BP$93,1)=0,TRUE,SUMPRODUCT(($BI$93:$BP$93=1)*($AS$93:$AZ$93&lt;&gt;"")*IF(((UPPER($AS$93:$AZ$93)="BLANK")+(UPPER($AS$93:$AZ$93)="(BLANK)")+(UPPER($AS$93:$AZ$93)="EMPTY")+(UPPER($AS$93:$AZ$93)="(EMPTY)"))&gt;0,IFERROR(('Final Calculation Sheet'!$AG$36)&amp;"","")="",ISNUMBER(SEARCH($AS$93:$AZ$93,IFERROR(('Final Calculation Sheet'!$AG$36)&amp;"","")))))&gt;0),IF(COUNTIF($BI$93:$BP$93,2)=0,TRUE,SUMPRODUCT(($BI$93:$BP$93=2)*($AS$93:$AZ$93&lt;&gt;"")*IF(((UPPER($AS$93:$AZ$93)="BLANK")+(UPPER($AS$93:$AZ$93)="(BLANK)")+(UPPER($AS$93:$AZ$93)="EMPTY")+(UPPER($AS$93:$AZ$93)="(EMPTY)"))&gt;0,IFERROR(('Final Calculation Sheet'!$AG$36)&amp;"","")="",ISNUMBER(SEARCH($AS$93:$AZ$93,IFERROR(('Final Calculation Sheet'!$AG$36)&amp;"","")))))&gt;0),IF(COUNTIF($BI$93:$BP$93,3)=0,TRUE,SUMPRODUCT(($BI$93:$BP$93=3)*($AS$93:$AZ$93&lt;&gt;"")*IF(((UPPER($AS$93:$AZ$93)="BLANK")+(UPPER($AS$93:$AZ$93)="(BLANK)")+(UPPER($AS$93:$AZ$93)="EMPTY")+(UPPER($AS$93:$AZ$93)="(EMPTY)"))&gt;0,IFERROR(('Final Calculation Sheet'!$AG$36)&amp;"","")="",ISNUMBER(SEARCH($AS$93:$AZ$93,IFERROR(('Final Calculation Sheet'!$AG$36)&amp;"","")))))&gt;0),IF(COUNTIF($BI$93:$BP$93,4)=0,TRUE,SUMPRODUCT(($BI$93:$BP$93=4)*($AS$93:$AZ$93&lt;&gt;"")*IF(((UPPER($AS$93:$AZ$93)="BLANK")+(UPPER($AS$93:$AZ$93)="(BLANK)")+(UPPER($AS$93:$AZ$93)="EMPTY")+(UPPER($AS$93:$AZ$93)="(EMPTY)"))&gt;0,IFERROR(('Final Calculation Sheet'!$AG$36)&amp;"","")="",ISNUMBER(SEARCH($AS$93:$AZ$93,IFERROR(('Final Calculation Sheet'!$AG$36)&amp;"","")))))&gt;0),IF(COUNTIF($BI$93:$BP$93,5)=0,TRUE,SUMPRODUCT(($BI$93:$BP$93=5)*($AS$93:$AZ$93&lt;&gt;"")*IF(((UPPER($AS$93:$AZ$93)="BLANK")+(UPPER($AS$93:$AZ$93)="(BLANK)")+(UPPER($AS$93:$AZ$93)="EMPTY")+(UPPER($AS$93:$AZ$93)="(EMPTY)"))&gt;0,IFERROR(('Final Calculation Sheet'!$AG$36)&amp;"","")="",ISNUMBER(SEARCH($AS$93:$AZ$93,IFERROR(('Final Calculation Sheet'!$AG$36)&amp;"","")))))&gt;0),IF(COUNTIF($BI$93:$BP$93,6)=0,TRUE,SUMPRODUCT(($BI$93:$BP$93=6)*($AS$93:$AZ$93&lt;&gt;"")*IF(((UPPER($AS$93:$AZ$93)="BLANK")+(UPPER($AS$93:$AZ$93)="(BLANK)")+(UPPER($AS$93:$AZ$93)="EMPTY")+(UPPER($AS$93:$AZ$93)="(EMPTY)"))&gt;0,IFERROR(('Final Calculation Sheet'!$AG$36)&amp;"","")="",ISNUMBER(SEARCH($AS$93:$AZ$93,IFERROR(('Final Calculation Sheet'!$AG$36)&amp;"","")))))&gt;0),IF(COUNTIF($BI$93:$BP$93,7)=0,TRUE,SUMPRODUCT(($BI$93:$BP$93=7)*($AS$93:$AZ$93&lt;&gt;"")*IF(((UPPER($AS$93:$AZ$93)="BLANK")+(UPPER($AS$93:$AZ$93)="(BLANK)")+(UPPER($AS$93:$AZ$93)="EMPTY")+(UPPER($AS$93:$AZ$93)="(EMPTY)"))&gt;0,IFERROR(('Final Calculation Sheet'!$AG$36)&amp;"","")="",ISNUMBER(SEARCH($AS$93:$AZ$93,IFERROR(('Final Calculation Sheet'!$AG$36)&amp;"","")))))&gt;0),IF(COUNTIF($BI$93:$BP$93,8)=0,TRUE,SUMPRODUCT(($BI$93:$BP$93=8)*($AS$93:$AZ$93&lt;&gt;"")*IF(((UPPER($AS$93:$AZ$93)="BLANK")+(UPPER($AS$93:$AZ$93)="(BLANK)")+(UPPER($AS$93:$AZ$93)="EMPTY")+(UPPER($AS$93:$AZ$93)="(EMPTY)"))&gt;0,IFERROR(('Final Calculation Sheet'!$AG$36)&amp;"","")="",ISNUMBER(SEARCH($AS$93:$AZ$93,IFERROR(('Final Calculation Sheet'!$AG$36)&amp;"","")))))&gt;0))))</f>
        <v>1</v>
      </c>
      <c r="CU37">
        <f>IF($AI$4="",1,--(AND(SUMPRODUCT(--($AS$94:$AZ$94&lt;&gt;""))&gt;0,IF(COUNTIF($BI$94:$BP$94,1)=0,TRUE,SUMPRODUCT(($BI$94:$BP$94=1)*($AS$94:$AZ$94&lt;&gt;"")*IF(((UPPER($AS$94:$AZ$94)="BLANK")+(UPPER($AS$94:$AZ$94)="(BLANK)")+(UPPER($AS$94:$AZ$94)="EMPTY")+(UPPER($AS$94:$AZ$94)="(EMPTY)"))&gt;0,IFERROR((IF('Final Calculation Sheet'!$AD$36&lt;=0,"SETTLED","OUTSTANDING"))&amp;"","")="",ISNUMBER(SEARCH($AS$94:$AZ$94,IFERROR((IF('Final Calculation Sheet'!$AD$36&lt;=0,"SETTLED","OUTSTANDING"))&amp;"","")))))&gt;0),IF(COUNTIF($BI$94:$BP$94,2)=0,TRUE,SUMPRODUCT(($BI$94:$BP$94=2)*($AS$94:$AZ$94&lt;&gt;"")*IF(((UPPER($AS$94:$AZ$94)="BLANK")+(UPPER($AS$94:$AZ$94)="(BLANK)")+(UPPER($AS$94:$AZ$94)="EMPTY")+(UPPER($AS$94:$AZ$94)="(EMPTY)"))&gt;0,IFERROR((IF('Final Calculation Sheet'!$AD$36&lt;=0,"SETTLED","OUTSTANDING"))&amp;"","")="",ISNUMBER(SEARCH($AS$94:$AZ$94,IFERROR((IF('Final Calculation Sheet'!$AD$36&lt;=0,"SETTLED","OUTSTANDING"))&amp;"","")))))&gt;0),IF(COUNTIF($BI$94:$BP$94,3)=0,TRUE,SUMPRODUCT(($BI$94:$BP$94=3)*($AS$94:$AZ$94&lt;&gt;"")*IF(((UPPER($AS$94:$AZ$94)="BLANK")+(UPPER($AS$94:$AZ$94)="(BLANK)")+(UPPER($AS$94:$AZ$94)="EMPTY")+(UPPER($AS$94:$AZ$94)="(EMPTY)"))&gt;0,IFERROR((IF('Final Calculation Sheet'!$AD$36&lt;=0,"SETTLED","OUTSTANDING"))&amp;"","")="",ISNUMBER(SEARCH($AS$94:$AZ$94,IFERROR((IF('Final Calculation Sheet'!$AD$36&lt;=0,"SETTLED","OUTSTANDING"))&amp;"","")))))&gt;0),IF(COUNTIF($BI$94:$BP$94,4)=0,TRUE,SUMPRODUCT(($BI$94:$BP$94=4)*($AS$94:$AZ$94&lt;&gt;"")*IF(((UPPER($AS$94:$AZ$94)="BLANK")+(UPPER($AS$94:$AZ$94)="(BLANK)")+(UPPER($AS$94:$AZ$94)="EMPTY")+(UPPER($AS$94:$AZ$94)="(EMPTY)"))&gt;0,IFERROR((IF('Final Calculation Sheet'!$AD$36&lt;=0,"SETTLED","OUTSTANDING"))&amp;"","")="",ISNUMBER(SEARCH($AS$94:$AZ$94,IFERROR((IF('Final Calculation Sheet'!$AD$36&lt;=0,"SETTLED","OUTSTANDING"))&amp;"","")))))&gt;0),IF(COUNTIF($BI$94:$BP$94,5)=0,TRUE,SUMPRODUCT(($BI$94:$BP$94=5)*($AS$94:$AZ$94&lt;&gt;"")*IF(((UPPER($AS$94:$AZ$94)="BLANK")+(UPPER($AS$94:$AZ$94)="(BLANK)")+(UPPER($AS$94:$AZ$94)="EMPTY")+(UPPER($AS$94:$AZ$94)="(EMPTY)"))&gt;0,IFERROR((IF('Final Calculation Sheet'!$AD$36&lt;=0,"SETTLED","OUTSTANDING"))&amp;"","")="",ISNUMBER(SEARCH($AS$94:$AZ$94,IFERROR((IF('Final Calculation Sheet'!$AD$36&lt;=0,"SETTLED","OUTSTANDING"))&amp;"","")))))&gt;0),IF(COUNTIF($BI$94:$BP$94,6)=0,TRUE,SUMPRODUCT(($BI$94:$BP$94=6)*($AS$94:$AZ$94&lt;&gt;"")*IF(((UPPER($AS$94:$AZ$94)="BLANK")+(UPPER($AS$94:$AZ$94)="(BLANK)")+(UPPER($AS$94:$AZ$94)="EMPTY")+(UPPER($AS$94:$AZ$94)="(EMPTY)"))&gt;0,IFERROR((IF('Final Calculation Sheet'!$AD$36&lt;=0,"SETTLED","OUTSTANDING"))&amp;"","")="",ISNUMBER(SEARCH($AS$94:$AZ$94,IFERROR((IF('Final Calculation Sheet'!$AD$36&lt;=0,"SETTLED","OUTSTANDING"))&amp;"","")))))&gt;0),IF(COUNTIF($BI$94:$BP$94,7)=0,TRUE,SUMPRODUCT(($BI$94:$BP$94=7)*($AS$94:$AZ$94&lt;&gt;"")*IF(((UPPER($AS$94:$AZ$94)="BLANK")+(UPPER($AS$94:$AZ$94)="(BLANK)")+(UPPER($AS$94:$AZ$94)="EMPTY")+(UPPER($AS$94:$AZ$94)="(EMPTY)"))&gt;0,IFERROR((IF('Final Calculation Sheet'!$AD$36&lt;=0,"SETTLED","OUTSTANDING"))&amp;"","")="",ISNUMBER(SEARCH($AS$94:$AZ$94,IFERROR((IF('Final Calculation Sheet'!$AD$36&lt;=0,"SETTLED","OUTSTANDING"))&amp;"","")))))&gt;0),IF(COUNTIF($BI$94:$BP$94,8)=0,TRUE,SUMPRODUCT(($BI$94:$BP$94=8)*($AS$94:$AZ$94&lt;&gt;"")*IF(((UPPER($AS$94:$AZ$94)="BLANK")+(UPPER($AS$94:$AZ$94)="(BLANK)")+(UPPER($AS$94:$AZ$94)="EMPTY")+(UPPER($AS$94:$AZ$94)="(EMPTY)"))&gt;0,IFERROR((IF('Final Calculation Sheet'!$AD$36&lt;=0,"SETTLED","OUTSTANDING"))&amp;"","")="",ISNUMBER(SEARCH($AS$94:$AZ$94,IFERROR((IF('Final Calculation Sheet'!$AD$36&lt;=0,"SETTLED","OUTSTANDING"))&amp;"","")))))&gt;0))))</f>
        <v>1</v>
      </c>
    </row>
    <row r="38" spans="1:99" ht="15" customHeight="1" x14ac:dyDescent="0.25">
      <c r="A38" s="67">
        <f>IF($BJ37&gt;0,INDEX($BA$5:$BA$41,MATCH(37,$BB$5:$BB$41,0)),IF(OR($BI37=1,$BL37=1,$BH37&gt;0),"∑",""))</f>
        <v>21</v>
      </c>
      <c r="B38" s="68">
        <f>IF($BJ37&gt;0,IF(INDEX('Final Calculation Sheet'!$F$4:$F$40,$BJ37-3)="","",INDEX('Final Calculation Sheet'!$F$4:$F$40,$BJ37-3)),"")</f>
        <v>2046</v>
      </c>
      <c r="C38" s="68" t="str">
        <f>IF($BJ37&gt;0,IF(INDEX('Final Calculation Sheet'!$G$4:$G$40,$BJ37-3)="","",INDEX('Final Calculation Sheet'!$G$4:$G$40,$BJ37-3)),IF(OR($BI37=1,$BL37=1,$BH37&gt;0),IF($BI37=1,37,IF($BL37=1,37-INDEX($BD$4:$BD$13,10),INDEX($BD$4:$BD$13,$BH37)))&amp;" lot(s)",""))</f>
        <v>SAHARA ENTERPRISES</v>
      </c>
      <c r="D38" s="69" t="str">
        <f>IF($BJ37&gt;0,IF(INDEX('Final Calculation Sheet'!$B$4:$B$40,$BJ37-3)="","",INDEX('Final Calculation Sheet'!$B$4:$B$40,$BJ37-3)),IF(OR($BI37=1,$BL37=1,$BH37&gt;0),IF($BI37=1,"GRAND TOTAL  —  matching + remaining",IF($BL37=1,"TOTAL MATCHED  —  every group together",IF($BH37=10,"REMAINING  —  did not match the search",IF($BH37=9,IF(COUNTIF($A$4:$AI$4,"&lt;&gt;")&gt;0,"FILTERED LOTS  —  column fields","ALL LOTS  —  nothing typed in the box"),"GROUP "&amp;$BH37&amp;" TOTAL  —  lots matching  "&amp;INDEX($AR$6:$AY$6,$BH37))))),""))</f>
        <v>Scrap of AAAC Earth wire</v>
      </c>
      <c r="E38" s="69">
        <f>IF($BJ37&gt;0,IF(INDEX('Final Calculation Sheet'!$D$4:$D$40,$BJ37-3)="","",INDEX('Final Calculation Sheet'!$D$4:$D$40,$BJ37-3)),IF(OR($BI37=1,$BL37=1,$BH37&gt;0),"–",""))</f>
        <v>21979</v>
      </c>
      <c r="F38" s="69">
        <f>IF($BJ37&gt;0,IF(INDEX('Final Calculation Sheet'!$A$4:$A$40,$BJ37-3)="","",INDEX('Final Calculation Sheet'!$A$4:$A$40,$BJ37-3)),IF(OR($BI37=1,$BL37=1,$BH37&gt;0),IF($BI37=1,SUM('Final Calculation Sheet'!$A$4:$A$40),IF($BL37=1,SUM('Final Calculation Sheet'!$A$4:$A$40)-SUMIFS('Final Calculation Sheet'!$A$4:$A$40,$AZ$5:$AZ$41,10),SUMIFS('Final Calculation Sheet'!$A$4:$A$40,$AZ$5:$AZ$41,$BH37))),""))</f>
        <v>670</v>
      </c>
      <c r="G38" s="69" t="str">
        <f>IF($BJ37&gt;0,IF(INDEX('Final Calculation Sheet'!$E$4:$E$40,$BJ37-3)="","",INDEX('Final Calculation Sheet'!$E$4:$E$40,$BJ37-3)),IF(OR($BI37=1,$BL37=1,$BH37&gt;0),"–",""))</f>
        <v>KG</v>
      </c>
      <c r="H38" s="70">
        <f>IF($BJ37&gt;0,IF(INDEX('Final Calculation Sheet'!$C$4:$C$40,$BJ37-3)="","",INDEX('Final Calculation Sheet'!$C$4:$C$40,$BJ37-3)),IF(OR($BI37=1,$BL37=1,$BH37&gt;0),"–",""))</f>
        <v>309</v>
      </c>
      <c r="I38" s="70">
        <f>IF($BJ37&gt;0,IF(INDEX('Final Calculation Sheet'!$H$4:$H$40,$BJ37-3)="","",INDEX('Final Calculation Sheet'!$H$4:$H$40,$BJ37-3)),IF(OR($BI37=1,$BL37=1,$BH37&gt;0),IF($BI37=1,SUM('Final Calculation Sheet'!$H$4:$H$40),IF($BL37=1,SUM('Final Calculation Sheet'!$H$4:$H$40)-SUMIFS('Final Calculation Sheet'!$H$4:$H$40,$AZ$5:$AZ$41,10),SUMIFS('Final Calculation Sheet'!$H$4:$H$40,$AZ$5:$AZ$41,$BH37))),""))</f>
        <v>207030</v>
      </c>
      <c r="J38" s="70">
        <f>IF($BJ37&gt;0,IF(INDEX('Final Calculation Sheet'!$I$4:$I$40,$BJ37-3)="","",INDEX('Final Calculation Sheet'!$I$4:$I$40,$BJ37-3)),IF(OR($BI37=1,$BL37=1,$BH37&gt;0),IF($BI37=1,SUM('Final Calculation Sheet'!$I$4:$I$40),IF($BL37=1,SUM('Final Calculation Sheet'!$I$4:$I$40)-SUMIFS('Final Calculation Sheet'!$I$4:$I$40,$AZ$5:$AZ$41,10),SUMIFS('Final Calculation Sheet'!$I$4:$I$40,$AZ$5:$AZ$41,$BH37))),""))</f>
        <v>37265</v>
      </c>
      <c r="K38" s="70">
        <f>IF($BJ37&gt;0,IF(INDEX('Final Calculation Sheet'!$J$4:$J$40,$BJ37-3)="","",INDEX('Final Calculation Sheet'!$J$4:$J$40,$BJ37-3)),IF(OR($BI37=1,$BL37=1,$BH37&gt;0),IF($BI37=1,SUM('Final Calculation Sheet'!$J$4:$J$40),IF($BL37=1,SUM('Final Calculation Sheet'!$J$4:$J$40)-SUMIFS('Final Calculation Sheet'!$J$4:$J$40,$AZ$5:$AZ$41,10),SUMIFS('Final Calculation Sheet'!$J$4:$J$40,$AZ$5:$AZ$41,$BH37))),""))</f>
        <v>244295</v>
      </c>
      <c r="L38" s="70">
        <f>IF($BJ37&gt;0,IF(INDEX('Final Calculation Sheet'!$K$4:$K$40,$BJ37-3)="","",INDEX('Final Calculation Sheet'!$K$4:$K$40,$BJ37-3)),IF(OR($BI37=1,$BL37=1,$BH37&gt;0),IF($BI37=1,SUM('Final Calculation Sheet'!$K$4:$K$40),IF($BL37=1,SUM('Final Calculation Sheet'!$K$4:$K$40)-SUMIFS('Final Calculation Sheet'!$K$4:$K$40,$AZ$5:$AZ$41,10),SUMIFS('Final Calculation Sheet'!$K$4:$K$40,$AZ$5:$AZ$41,$BH37))),""))</f>
        <v>4886</v>
      </c>
      <c r="M38" s="70">
        <f>IF($BJ37&gt;0,IF(INDEX('Final Calculation Sheet'!$L$4:$L$40,$BJ37-3)="","",INDEX('Final Calculation Sheet'!$L$4:$L$40,$BJ37-3)),IF(OR($BI37=1,$BL37=1,$BH37&gt;0),IF($BI37=1,SUM('Final Calculation Sheet'!$L$4:$L$40),IF($BL37=1,SUM('Final Calculation Sheet'!$L$4:$L$40)-SUMIFS('Final Calculation Sheet'!$L$4:$L$40,$AZ$5:$AZ$41,10),SUMIFS('Final Calculation Sheet'!$L$4:$L$40,$AZ$5:$AZ$41,$BH37))),""))</f>
        <v>207.03</v>
      </c>
      <c r="N38" s="70">
        <f>IF($BJ37&gt;0,IF(INDEX('Final Calculation Sheet'!$M$4:$M$40,$BJ37-3)="","",INDEX('Final Calculation Sheet'!$M$4:$M$40,$BJ37-3)),IF(OR($BI37=1,$BL37=1,$BH37&gt;0),IF($BI37=1,SUM('Final Calculation Sheet'!$M$4:$M$40),IF($BL37=1,SUM('Final Calculation Sheet'!$M$4:$M$40)-SUMIFS('Final Calculation Sheet'!$M$4:$M$40,$AZ$5:$AZ$41,10),SUMIFS('Final Calculation Sheet'!$M$4:$M$40,$AZ$5:$AZ$41,$BH37))),""))</f>
        <v>5496.6464999999998</v>
      </c>
      <c r="O38" s="71">
        <f>IF($BJ37&gt;0,IF(INDEX('Final Calculation Sheet'!$N$4:$N$40,$BJ37-3)="","",INDEX('Final Calculation Sheet'!$N$4:$N$40,$BJ37-3)),IF(OR($BI37=1,$BL37=1,$BH37&gt;0),IF($BI37=1,SUM('Final Calculation Sheet'!$N$4:$N$40),IF($BL37=1,SUM('Final Calculation Sheet'!$N$4:$N$40)-SUMIFS('Final Calculation Sheet'!$N$4:$N$40,$AZ$5:$AZ$41,10),SUMIFS('Final Calculation Sheet'!$N$4:$N$40,$AZ$5:$AZ$41,$BH37))),""))</f>
        <v>93.163499999999999</v>
      </c>
      <c r="P38" s="70">
        <f>IF($BJ37&gt;0,IF(INDEX('Final Calculation Sheet'!$O$4:$O$40,$BJ37-3)="","",INDEX('Final Calculation Sheet'!$O$4:$O$40,$BJ37-3)),IF(OR($BI37=1,$BL37=1,$BH37&gt;0),IF($BI37=1,SUM('Final Calculation Sheet'!$O$4:$O$40),IF($BL37=1,SUM('Final Calculation Sheet'!$O$4:$O$40)-SUMIFS('Final Calculation Sheet'!$O$4:$O$40,$AZ$5:$AZ$41,10),SUMIFS('Final Calculation Sheet'!$O$4:$O$40,$AZ$5:$AZ$41,$BH37))),""))</f>
        <v>5403.4830000000002</v>
      </c>
      <c r="Q38" s="70">
        <f>IF($BJ37&gt;0,IF(INDEX('Final Calculation Sheet'!$P$4:$P$40,$BJ37-3)="","",INDEX('Final Calculation Sheet'!$P$4:$P$40,$BJ37-3)),IF(OR($BI37=1,$BL37=1,$BH37&gt;0),IF($BI37=1,SUM('Final Calculation Sheet'!$P$4:$P$40),IF($BL37=1,SUM('Final Calculation Sheet'!$P$4:$P$40)-SUMIFS('Final Calculation Sheet'!$P$4:$P$40,$AZ$5:$AZ$41,10),SUMIFS('Final Calculation Sheet'!$P$4:$P$40,$AZ$5:$AZ$41,$BH37))),""))</f>
        <v>5611</v>
      </c>
      <c r="R38" s="72">
        <f>IF($BJ37&gt;0,IF(INDEX('Final Calculation Sheet'!$Q$4:$Q$40,$BJ37-3)="","",INDEX('Final Calculation Sheet'!$Q$4:$Q$40,$BJ37-3)),IF(OR($BI37=1,$BL37=1,$BH37&gt;0),"–",""))</f>
        <v>0</v>
      </c>
      <c r="S38" s="70">
        <f>IF($BJ37&gt;0,IF(INDEX('Final Calculation Sheet'!$R$4:$R$40,$BJ37-3)="","",INDEX('Final Calculation Sheet'!$R$4:$R$40,$BJ37-3)),IF(OR($BI37=1,$BL37=1,$BH37&gt;0),IF($BI37=1,SUM('Final Calculation Sheet'!$R$4:$R$40),IF($BL37=1,SUM('Final Calculation Sheet'!$R$4:$R$40)-SUMIFS('Final Calculation Sheet'!$R$4:$R$40,$AZ$5:$AZ$41,10),SUMIFS('Final Calculation Sheet'!$R$4:$R$40,$AZ$5:$AZ$41,$BH37))),""))</f>
        <v>0</v>
      </c>
      <c r="T38" s="70">
        <f>IF($BJ37&gt;0,IF(INDEX('Final Calculation Sheet'!$S$4:$S$40,$BJ37-3)="","",INDEX('Final Calculation Sheet'!$S$4:$S$40,$BJ37-3)),IF(OR($BI37=1,$BL37=1,$BH37&gt;0),IF($BI37=1,SUM('Final Calculation Sheet'!$S$4:$S$40),IF($BL37=1,SUM('Final Calculation Sheet'!$S$4:$S$40)-SUMIFS('Final Calculation Sheet'!$S$4:$S$40,$AZ$5:$AZ$41,10),SUMIFS('Final Calculation Sheet'!$S$4:$S$40,$AZ$5:$AZ$41,$BH37))),""))</f>
        <v>243571</v>
      </c>
      <c r="U38" s="70">
        <f>IF($BJ37&gt;0,IF(INDEX('Final Calculation Sheet'!$T$4:$T$40,$BJ37-3)="","",INDEX('Final Calculation Sheet'!$T$4:$T$40,$BJ37-3)),IF(OR($BI37=1,$BL37=1,$BH37&gt;0),IF($BI37=1,SUM('Final Calculation Sheet'!$T$4:$T$40),IF($BL37=1,SUM('Final Calculation Sheet'!$T$4:$T$40)-SUMIFS('Final Calculation Sheet'!$T$4:$T$40,$AZ$5:$AZ$41,10),SUMIFS('Final Calculation Sheet'!$T$4:$T$40,$AZ$5:$AZ$41,$BH37))),""))</f>
        <v>51758</v>
      </c>
      <c r="V38" s="73">
        <f>IF($BJ37&gt;0,IF(INDEX('Final Calculation Sheet'!$U$4:$U$40,$BJ37-3)="","",INDEX('Final Calculation Sheet'!$U$4:$U$40,$BJ37-3)),IF(OR($BI37=1,$BL37=1,$BH37&gt;0),IF($BI37=1,SUM('Final Calculation Sheet'!$U$4:$U$40),IF($BL37=1,SUM('Final Calculation Sheet'!$U$4:$U$40)-SUMIFS('Final Calculation Sheet'!$U$4:$U$40,$AZ$5:$AZ$41,10),SUMIFS('Final Calculation Sheet'!$U$4:$U$40,$AZ$5:$AZ$41,$BH37))),""))</f>
        <v>51758</v>
      </c>
      <c r="W38" s="70" t="str">
        <f>IF($BJ37&gt;0,IF(INDEX('Final Calculation Sheet'!$V$4:$V$40,$BJ37-3)="","",INDEX('Final Calculation Sheet'!$V$4:$V$40,$BJ37-3)),IF(OR($BI37=1,$BL37=1,$BH37&gt;0),"–",""))</f>
        <v>11.08.2026</v>
      </c>
      <c r="X38" s="70">
        <f>IF($BJ37&gt;0,IF(INDEX('Final Calculation Sheet'!$W$4:$W$40,$BJ37-3)="","",INDEX('Final Calculation Sheet'!$W$4:$W$40,$BJ37-3)),IF(OR($BI37=1,$BL37=1,$BH37&gt;0),IF($BI37=1,SUM('Final Calculation Sheet'!$W$4:$W$40),IF($BL37=1,SUM('Final Calculation Sheet'!$W$4:$W$40)-SUMIFS('Final Calculation Sheet'!$W$4:$W$40,$AZ$5:$AZ$41,10),SUMIFS('Final Calculation Sheet'!$W$4:$W$40,$AZ$5:$AZ$41,$BH37))),""))</f>
        <v>191813</v>
      </c>
      <c r="Y38" s="70">
        <f>IF($BJ37&gt;0,IF(INDEX('Final Calculation Sheet'!$X$4:$X$40,$BJ37-3)="","",INDEX('Final Calculation Sheet'!$X$4:$X$40,$BJ37-3)),IF(OR($BI37=1,$BL37=1,$BH37&gt;0),IF($BI37=1,SUM('Final Calculation Sheet'!$X$4:$X$40),IF($BL37=1,SUM('Final Calculation Sheet'!$X$4:$X$40)-SUMIFS('Final Calculation Sheet'!$X$4:$X$40,$AZ$5:$AZ$41,10),SUMIFS('Final Calculation Sheet'!$X$4:$X$40,$AZ$5:$AZ$41,$BH37))),""))</f>
        <v>191812</v>
      </c>
      <c r="Z38" s="70" t="str">
        <f>IF($BJ37&gt;0,IF(INDEX('Final Calculation Sheet'!$Y$4:$Y$40,$BJ37-3)="","",INDEX('Final Calculation Sheet'!$Y$4:$Y$40,$BJ37-3)),IF(OR($BI37=1,$BL37=1,$BH37&gt;0),"–",""))</f>
        <v>21.08.2026</v>
      </c>
      <c r="AA38" s="70">
        <f ca="1">IF($BJ37&gt;0,IF(INDEX('Final Calculation Sheet'!$Z$4:$Z$40,$BJ37-3)="","",INDEX('Final Calculation Sheet'!$Z$4:$Z$40,$BJ37-3)),IF(OR($BI37=1,$BL37=1,$BH37&gt;0),IF($BI37=1,SUM('Final Calculation Sheet'!$Z$4:$Z$40),IF($BL37=1,SUM('Final Calculation Sheet'!$Z$4:$Z$40)-SUMIFS('Final Calculation Sheet'!$Z$4:$Z$40,$AZ$5:$AZ$41,10),SUMIFS('Final Calculation Sheet'!$Z$4:$Z$40,$AZ$5:$AZ$41,$BH37))),""))</f>
        <v>0</v>
      </c>
      <c r="AB38" s="70" t="str">
        <f>IF($BJ37&gt;0,IF(INDEX('Final Calculation Sheet'!$AA$4:$AA$40,$BJ37-3)="","",INDEX('Final Calculation Sheet'!$AA$4:$AA$40,$BJ37-3)),IF(OR($BI37=1,$BL37=1,$BH37&gt;0),IF($BI37=1,SUM('Final Calculation Sheet'!$AA$4:$AA$40),IF($BL37=1,SUM('Final Calculation Sheet'!$AA$4:$AA$40)-SUMIFS('Final Calculation Sheet'!$AA$4:$AA$40,$AZ$5:$AZ$41,10),SUMIFS('Final Calculation Sheet'!$AA$4:$AA$40,$AZ$5:$AZ$41,$BH37))),""))</f>
        <v/>
      </c>
      <c r="AC38" s="70" t="str">
        <f>IF($BJ37&gt;0,IF(INDEX('Final Calculation Sheet'!$AB$4:$AB$40,$BJ37-3)="","",INDEX('Final Calculation Sheet'!$AB$4:$AB$40,$BJ37-3)),IF(OR($BI37=1,$BL37=1,$BH37&gt;0),"–",""))</f>
        <v/>
      </c>
      <c r="AD38" s="70">
        <f>IF($BJ37&gt;0,IF(INDEX('Final Calculation Sheet'!$AC$4:$AC$40,$BJ37-3)="","",INDEX('Final Calculation Sheet'!$AC$4:$AC$40,$BJ37-3)),IF(OR($BI37=1,$BL37=1,$BH37&gt;0),IF($BI37=1,SUM('Final Calculation Sheet'!$AC$4:$AC$40),IF($BL37=1,SUM('Final Calculation Sheet'!$AC$4:$AC$40)-SUMIFS('Final Calculation Sheet'!$AC$4:$AC$40,$AZ$5:$AZ$41,10),SUMIFS('Final Calculation Sheet'!$AC$4:$AC$40,$AZ$5:$AZ$41,$BH37))),""))</f>
        <v>243570</v>
      </c>
      <c r="AE38" s="70">
        <f>IF($BJ37&gt;0,IF(INDEX('Final Calculation Sheet'!$AD$4:$AD$40,$BJ37-3)="","",INDEX('Final Calculation Sheet'!$AD$4:$AD$40,$BJ37-3)),IF(OR($BI37=1,$BL37=1,$BH37&gt;0),IF($BI37=1,SUM('Final Calculation Sheet'!$AD$4:$AD$40),IF($BL37=1,SUM('Final Calculation Sheet'!$AD$4:$AD$40)-SUMIFS('Final Calculation Sheet'!$AD$4:$AD$40,$AZ$5:$AZ$41,10),SUMIFS('Final Calculation Sheet'!$AD$4:$AD$40,$AZ$5:$AZ$41,$BH37))),""))</f>
        <v>1</v>
      </c>
      <c r="AF38" s="70" t="str">
        <f>IF($BJ37&gt;0,IF(INDEX('Final Calculation Sheet'!$AE$4:$AE$40,$BJ37-3)="","",INDEX('Final Calculation Sheet'!$AE$4:$AE$40,$BJ37-3)),IF(OR($BI37=1,$BL37=1,$BH37&gt;0),"–",""))</f>
        <v>DR2640100041</v>
      </c>
      <c r="AG38" s="74">
        <f>IF($BJ37&gt;0,IF(INDEX('Final Calculation Sheet'!$AF$4:$AF$40,$BJ37-3)="","",INDEX('Final Calculation Sheet'!$AF$4:$AF$40,$BJ37-3)),IF(OR($BI37=1,$BL37=1,$BH37&gt;0),"–",""))</f>
        <v>1800003316</v>
      </c>
      <c r="AH38" s="70" t="str">
        <f>IF($BJ37&gt;0,IF(INDEX('Final Calculation Sheet'!$AG$4:$AG$40,$BJ37-3)="","",INDEX('Final Calculation Sheet'!$AG$4:$AG$40,$BJ37-3)),IF(OR($BI37=1,$BL37=1,$BH37&gt;0),"–",""))</f>
        <v>27.08.2026</v>
      </c>
      <c r="AI38" s="75" t="str">
        <f>IF($BJ37&gt;0,IF(INDEX('Final Calculation Sheet'!$AD$4:$AD$40,$BJ37-3)="","",IF(INDEX('Final Calculation Sheet'!$AD$4:$AD$40,$BJ37-3)&lt;=0,"SETTLED","OUTSTANDING")),IF(OR($BI37=1,$BL37=1,$BH37&gt;0),IF(IF($BI37=1,SUM('Final Calculation Sheet'!$AD$4:$AD$40),IF($BL37=1,SUM('Final Calculation Sheet'!$AD$4:$AD$40)-SUMIFS('Final Calculation Sheet'!$AD$4:$AD$40,$AZ$5:$AZ$41,10),SUMIFS('Final Calculation Sheet'!$AD$4:$AD$40,$AZ$5:$AZ$41,$BH37)))&lt;=0,"ALL SETTLED","OUTSTANDING"),""))</f>
        <v>OUTSTANDING</v>
      </c>
      <c r="AK38" t="str">
        <f>IF($F$3="Lot No.",'Final Calculation Sheet'!$F$37,IF($F$3="Buyer",'Final Calculation Sheet'!$G$37,IF($F$3="Lot Name",'Final Calculation Sheet'!$B$37,IF($F$3="Bid Sheet",'Final Calculation Sheet'!$D$37,IF($F$3="Unit",'Final Calculation Sheet'!$E$37,'Final Calculation Sheet'!$F$37&amp;" "&amp;'Final Calculation Sheet'!$G$37&amp;" "&amp;'Final Calculation Sheet'!$B$37)))))</f>
        <v>2071 NATIONAL ENTERPRISES Scrap of 66 KV Isolater</v>
      </c>
      <c r="AM38">
        <f t="shared" si="1"/>
        <v>0</v>
      </c>
      <c r="AZ38">
        <f t="shared" si="2"/>
        <v>10</v>
      </c>
      <c r="BA38">
        <f t="shared" si="3"/>
        <v>25</v>
      </c>
      <c r="BB38">
        <f t="shared" si="4"/>
        <v>41</v>
      </c>
      <c r="BC38">
        <v>37</v>
      </c>
      <c r="BH38">
        <f>IFERROR(MATCH(38,$BF$4:$BF$13,0),0)</f>
        <v>0</v>
      </c>
      <c r="BI38">
        <f>IF(38=$BG$5,1,0)</f>
        <v>0</v>
      </c>
      <c r="BJ38">
        <f>IF(OR($BH38&gt;0,$BI38=1,$BL38=1),0,IFERROR(INDEX($BC$5:$BC$41,MATCH(38,$BB$5:$BB$41,0)),0))</f>
        <v>32</v>
      </c>
      <c r="BK38">
        <f>IF($BJ38&gt;0,IF(INDEX($AZ$5:$AZ$41,MATCH(38,$BB$5:$BB$41,0))=10,1,0),IF($BH38=10,1,0))</f>
        <v>1</v>
      </c>
      <c r="BL38">
        <f>IF(38=$BG$4,1,0)</f>
        <v>0</v>
      </c>
      <c r="BM38">
        <f>IF($A$4="",1,--(AND(SUMPRODUCT(--($AS$60:$AZ$60&lt;&gt;""))&gt;0,IF(COUNTIF($BI$60:$BP$60,1)=0,TRUE,SUMPRODUCT(($BI$60:$BP$60=1)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$60,2)=0,TRUE,SUMPRODUCT(($BI$60:$BP$60=2)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$60,3)=0,TRUE,SUMPRODUCT(($BI$60:$BP$60=3)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$60,4)=0,TRUE,SUMPRODUCT(($BI$60:$BP$60=4)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$60,5)=0,TRUE,SUMPRODUCT(($BI$60:$BP$60=5)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$60,6)=0,TRUE,SUMPRODUCT(($BI$60:$BP$60=6)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$60,7)=0,TRUE,SUMPRODUCT(($BI$60:$BP$60=7)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$60,8)=0,TRUE,SUMPRODUCT(($BI$60:$BP$60=8)*($AS$60:$AZ$60&lt;&gt;"")*IF(((UPPER($AS$60:$AZ$60)="BLANK")+(UPPER($AS$60:$AZ$60)="(BLANK)")+(UPPER($AS$60:$AZ$60)="EMPTY")+(UPPER($AS$60:$AZ$60)="(EMPTY)"))&gt;0,IFERROR((ROW()-4)&amp;"","")="",ISNUMBER(SEARCH($AS$60:$AZ$60,IFERROR((ROW()-4)&amp;"","")))))&gt;0))))</f>
        <v>1</v>
      </c>
      <c r="BN38">
        <f>IF($B$4="",1,--(AND(SUMPRODUCT(--($AS$61:$AZ$61&lt;&gt;""))&gt;0,IF(COUNTIF($BI$61:$BP$61,1)=0,TRUE,SUMPRODUCT(($BI$61:$BP$61=1)*($AS$61:$AZ$61&lt;&gt;"")*IF(((UPPER($AS$61:$AZ$61)="BLANK")+(UPPER($AS$61:$AZ$61)="(BLANK)")+(UPPER($AS$61:$AZ$61)="EMPTY")+(UPPER($AS$61:$AZ$61)="(EMPTY)"))&gt;0,IFERROR(('Final Calculation Sheet'!$F$37)&amp;"","")="",ISNUMBER(SEARCH($AS$61:$AZ$61,IFERROR(('Final Calculation Sheet'!$F$37)&amp;"","")))))&gt;0),IF(COUNTIF($BI$61:$BP$61,2)=0,TRUE,SUMPRODUCT(($BI$61:$BP$61=2)*($AS$61:$AZ$61&lt;&gt;"")*IF(((UPPER($AS$61:$AZ$61)="BLANK")+(UPPER($AS$61:$AZ$61)="(BLANK)")+(UPPER($AS$61:$AZ$61)="EMPTY")+(UPPER($AS$61:$AZ$61)="(EMPTY)"))&gt;0,IFERROR(('Final Calculation Sheet'!$F$37)&amp;"","")="",ISNUMBER(SEARCH($AS$61:$AZ$61,IFERROR(('Final Calculation Sheet'!$F$37)&amp;"","")))))&gt;0),IF(COUNTIF($BI$61:$BP$61,3)=0,TRUE,SUMPRODUCT(($BI$61:$BP$61=3)*($AS$61:$AZ$61&lt;&gt;"")*IF(((UPPER($AS$61:$AZ$61)="BLANK")+(UPPER($AS$61:$AZ$61)="(BLANK)")+(UPPER($AS$61:$AZ$61)="EMPTY")+(UPPER($AS$61:$AZ$61)="(EMPTY)"))&gt;0,IFERROR(('Final Calculation Sheet'!$F$37)&amp;"","")="",ISNUMBER(SEARCH($AS$61:$AZ$61,IFERROR(('Final Calculation Sheet'!$F$37)&amp;"","")))))&gt;0),IF(COUNTIF($BI$61:$BP$61,4)=0,TRUE,SUMPRODUCT(($BI$61:$BP$61=4)*($AS$61:$AZ$61&lt;&gt;"")*IF(((UPPER($AS$61:$AZ$61)="BLANK")+(UPPER($AS$61:$AZ$61)="(BLANK)")+(UPPER($AS$61:$AZ$61)="EMPTY")+(UPPER($AS$61:$AZ$61)="(EMPTY)"))&gt;0,IFERROR(('Final Calculation Sheet'!$F$37)&amp;"","")="",ISNUMBER(SEARCH($AS$61:$AZ$61,IFERROR(('Final Calculation Sheet'!$F$37)&amp;"","")))))&gt;0),IF(COUNTIF($BI$61:$BP$61,5)=0,TRUE,SUMPRODUCT(($BI$61:$BP$61=5)*($AS$61:$AZ$61&lt;&gt;"")*IF(((UPPER($AS$61:$AZ$61)="BLANK")+(UPPER($AS$61:$AZ$61)="(BLANK)")+(UPPER($AS$61:$AZ$61)="EMPTY")+(UPPER($AS$61:$AZ$61)="(EMPTY)"))&gt;0,IFERROR(('Final Calculation Sheet'!$F$37)&amp;"","")="",ISNUMBER(SEARCH($AS$61:$AZ$61,IFERROR(('Final Calculation Sheet'!$F$37)&amp;"","")))))&gt;0),IF(COUNTIF($BI$61:$BP$61,6)=0,TRUE,SUMPRODUCT(($BI$61:$BP$61=6)*($AS$61:$AZ$61&lt;&gt;"")*IF(((UPPER($AS$61:$AZ$61)="BLANK")+(UPPER($AS$61:$AZ$61)="(BLANK)")+(UPPER($AS$61:$AZ$61)="EMPTY")+(UPPER($AS$61:$AZ$61)="(EMPTY)"))&gt;0,IFERROR(('Final Calculation Sheet'!$F$37)&amp;"","")="",ISNUMBER(SEARCH($AS$61:$AZ$61,IFERROR(('Final Calculation Sheet'!$F$37)&amp;"","")))))&gt;0),IF(COUNTIF($BI$61:$BP$61,7)=0,TRUE,SUMPRODUCT(($BI$61:$BP$61=7)*($AS$61:$AZ$61&lt;&gt;"")*IF(((UPPER($AS$61:$AZ$61)="BLANK")+(UPPER($AS$61:$AZ$61)="(BLANK)")+(UPPER($AS$61:$AZ$61)="EMPTY")+(UPPER($AS$61:$AZ$61)="(EMPTY)"))&gt;0,IFERROR(('Final Calculation Sheet'!$F$37)&amp;"","")="",ISNUMBER(SEARCH($AS$61:$AZ$61,IFERROR(('Final Calculation Sheet'!$F$37)&amp;"","")))))&gt;0),IF(COUNTIF($BI$61:$BP$61,8)=0,TRUE,SUMPRODUCT(($BI$61:$BP$61=8)*($AS$61:$AZ$61&lt;&gt;"")*IF(((UPPER($AS$61:$AZ$61)="BLANK")+(UPPER($AS$61:$AZ$61)="(BLANK)")+(UPPER($AS$61:$AZ$61)="EMPTY")+(UPPER($AS$61:$AZ$61)="(EMPTY)"))&gt;0,IFERROR(('Final Calculation Sheet'!$F$37)&amp;"","")="",ISNUMBER(SEARCH($AS$61:$AZ$61,IFERROR(('Final Calculation Sheet'!$F$37)&amp;"","")))))&gt;0))))</f>
        <v>1</v>
      </c>
      <c r="BO38">
        <f>IF($C$4="",1,--(AND(SUMPRODUCT(--($AS$62:$AZ$62&lt;&gt;""))&gt;0,IF(COUNTIF($BI$62:$BP$62,1)=0,TRUE,SUMPRODUCT(($BI$62:$BP$62=1)*($AS$62:$AZ$62&lt;&gt;"")*IF(((UPPER($AS$62:$AZ$62)="BLANK")+(UPPER($AS$62:$AZ$62)="(BLANK)")+(UPPER($AS$62:$AZ$62)="EMPTY")+(UPPER($AS$62:$AZ$62)="(EMPTY)"))&gt;0,IFERROR(('Final Calculation Sheet'!$G$37)&amp;"","")="",ISNUMBER(SEARCH($AS$62:$AZ$62,IFERROR(('Final Calculation Sheet'!$G$37)&amp;"","")))))&gt;0),IF(COUNTIF($BI$62:$BP$62,2)=0,TRUE,SUMPRODUCT(($BI$62:$BP$62=2)*($AS$62:$AZ$62&lt;&gt;"")*IF(((UPPER($AS$62:$AZ$62)="BLANK")+(UPPER($AS$62:$AZ$62)="(BLANK)")+(UPPER($AS$62:$AZ$62)="EMPTY")+(UPPER($AS$62:$AZ$62)="(EMPTY)"))&gt;0,IFERROR(('Final Calculation Sheet'!$G$37)&amp;"","")="",ISNUMBER(SEARCH($AS$62:$AZ$62,IFERROR(('Final Calculation Sheet'!$G$37)&amp;"","")))))&gt;0),IF(COUNTIF($BI$62:$BP$62,3)=0,TRUE,SUMPRODUCT(($BI$62:$BP$62=3)*($AS$62:$AZ$62&lt;&gt;"")*IF(((UPPER($AS$62:$AZ$62)="BLANK")+(UPPER($AS$62:$AZ$62)="(BLANK)")+(UPPER($AS$62:$AZ$62)="EMPTY")+(UPPER($AS$62:$AZ$62)="(EMPTY)"))&gt;0,IFERROR(('Final Calculation Sheet'!$G$37)&amp;"","")="",ISNUMBER(SEARCH($AS$62:$AZ$62,IFERROR(('Final Calculation Sheet'!$G$37)&amp;"","")))))&gt;0),IF(COUNTIF($BI$62:$BP$62,4)=0,TRUE,SUMPRODUCT(($BI$62:$BP$62=4)*($AS$62:$AZ$62&lt;&gt;"")*IF(((UPPER($AS$62:$AZ$62)="BLANK")+(UPPER($AS$62:$AZ$62)="(BLANK)")+(UPPER($AS$62:$AZ$62)="EMPTY")+(UPPER($AS$62:$AZ$62)="(EMPTY)"))&gt;0,IFERROR(('Final Calculation Sheet'!$G$37)&amp;"","")="",ISNUMBER(SEARCH($AS$62:$AZ$62,IFERROR(('Final Calculation Sheet'!$G$37)&amp;"","")))))&gt;0),IF(COUNTIF($BI$62:$BP$62,5)=0,TRUE,SUMPRODUCT(($BI$62:$BP$62=5)*($AS$62:$AZ$62&lt;&gt;"")*IF(((UPPER($AS$62:$AZ$62)="BLANK")+(UPPER($AS$62:$AZ$62)="(BLANK)")+(UPPER($AS$62:$AZ$62)="EMPTY")+(UPPER($AS$62:$AZ$62)="(EMPTY)"))&gt;0,IFERROR(('Final Calculation Sheet'!$G$37)&amp;"","")="",ISNUMBER(SEARCH($AS$62:$AZ$62,IFERROR(('Final Calculation Sheet'!$G$37)&amp;"","")))))&gt;0),IF(COUNTIF($BI$62:$BP$62,6)=0,TRUE,SUMPRODUCT(($BI$62:$BP$62=6)*($AS$62:$AZ$62&lt;&gt;"")*IF(((UPPER($AS$62:$AZ$62)="BLANK")+(UPPER($AS$62:$AZ$62)="(BLANK)")+(UPPER($AS$62:$AZ$62)="EMPTY")+(UPPER($AS$62:$AZ$62)="(EMPTY)"))&gt;0,IFERROR(('Final Calculation Sheet'!$G$37)&amp;"","")="",ISNUMBER(SEARCH($AS$62:$AZ$62,IFERROR(('Final Calculation Sheet'!$G$37)&amp;"","")))))&gt;0),IF(COUNTIF($BI$62:$BP$62,7)=0,TRUE,SUMPRODUCT(($BI$62:$BP$62=7)*($AS$62:$AZ$62&lt;&gt;"")*IF(((UPPER($AS$62:$AZ$62)="BLANK")+(UPPER($AS$62:$AZ$62)="(BLANK)")+(UPPER($AS$62:$AZ$62)="EMPTY")+(UPPER($AS$62:$AZ$62)="(EMPTY)"))&gt;0,IFERROR(('Final Calculation Sheet'!$G$37)&amp;"","")="",ISNUMBER(SEARCH($AS$62:$AZ$62,IFERROR(('Final Calculation Sheet'!$G$37)&amp;"","")))))&gt;0),IF(COUNTIF($BI$62:$BP$62,8)=0,TRUE,SUMPRODUCT(($BI$62:$BP$62=8)*($AS$62:$AZ$62&lt;&gt;"")*IF(((UPPER($AS$62:$AZ$62)="BLANK")+(UPPER($AS$62:$AZ$62)="(BLANK)")+(UPPER($AS$62:$AZ$62)="EMPTY")+(UPPER($AS$62:$AZ$62)="(EMPTY)"))&gt;0,IFERROR(('Final Calculation Sheet'!$G$37)&amp;"","")="",ISNUMBER(SEARCH($AS$62:$AZ$62,IFERROR(('Final Calculation Sheet'!$G$37)&amp;"","")))))&gt;0))))</f>
        <v>1</v>
      </c>
      <c r="BP38">
        <f>IF($D$4="",1,--(AND(SUMPRODUCT(--($AS$63:$AZ$63&lt;&gt;""))&gt;0,IF(COUNTIF($BI$63:$BP$63,1)=0,TRUE,SUMPRODUCT(($BI$63:$BP$63=1)*($AS$63:$AZ$63&lt;&gt;"")*IF(((UPPER($AS$63:$AZ$63)="BLANK")+(UPPER($AS$63:$AZ$63)="(BLANK)")+(UPPER($AS$63:$AZ$63)="EMPTY")+(UPPER($AS$63:$AZ$63)="(EMPTY)"))&gt;0,IFERROR(('Final Calculation Sheet'!$B$37)&amp;"","")="",ISNUMBER(SEARCH($AS$63:$AZ$63,IFERROR(('Final Calculation Sheet'!$B$37)&amp;"","")))))&gt;0),IF(COUNTIF($BI$63:$BP$63,2)=0,TRUE,SUMPRODUCT(($BI$63:$BP$63=2)*($AS$63:$AZ$63&lt;&gt;"")*IF(((UPPER($AS$63:$AZ$63)="BLANK")+(UPPER($AS$63:$AZ$63)="(BLANK)")+(UPPER($AS$63:$AZ$63)="EMPTY")+(UPPER($AS$63:$AZ$63)="(EMPTY)"))&gt;0,IFERROR(('Final Calculation Sheet'!$B$37)&amp;"","")="",ISNUMBER(SEARCH($AS$63:$AZ$63,IFERROR(('Final Calculation Sheet'!$B$37)&amp;"","")))))&gt;0),IF(COUNTIF($BI$63:$BP$63,3)=0,TRUE,SUMPRODUCT(($BI$63:$BP$63=3)*($AS$63:$AZ$63&lt;&gt;"")*IF(((UPPER($AS$63:$AZ$63)="BLANK")+(UPPER($AS$63:$AZ$63)="(BLANK)")+(UPPER($AS$63:$AZ$63)="EMPTY")+(UPPER($AS$63:$AZ$63)="(EMPTY)"))&gt;0,IFERROR(('Final Calculation Sheet'!$B$37)&amp;"","")="",ISNUMBER(SEARCH($AS$63:$AZ$63,IFERROR(('Final Calculation Sheet'!$B$37)&amp;"","")))))&gt;0),IF(COUNTIF($BI$63:$BP$63,4)=0,TRUE,SUMPRODUCT(($BI$63:$BP$63=4)*($AS$63:$AZ$63&lt;&gt;"")*IF(((UPPER($AS$63:$AZ$63)="BLANK")+(UPPER($AS$63:$AZ$63)="(BLANK)")+(UPPER($AS$63:$AZ$63)="EMPTY")+(UPPER($AS$63:$AZ$63)="(EMPTY)"))&gt;0,IFERROR(('Final Calculation Sheet'!$B$37)&amp;"","")="",ISNUMBER(SEARCH($AS$63:$AZ$63,IFERROR(('Final Calculation Sheet'!$B$37)&amp;"","")))))&gt;0),IF(COUNTIF($BI$63:$BP$63,5)=0,TRUE,SUMPRODUCT(($BI$63:$BP$63=5)*($AS$63:$AZ$63&lt;&gt;"")*IF(((UPPER($AS$63:$AZ$63)="BLANK")+(UPPER($AS$63:$AZ$63)="(BLANK)")+(UPPER($AS$63:$AZ$63)="EMPTY")+(UPPER($AS$63:$AZ$63)="(EMPTY)"))&gt;0,IFERROR(('Final Calculation Sheet'!$B$37)&amp;"","")="",ISNUMBER(SEARCH($AS$63:$AZ$63,IFERROR(('Final Calculation Sheet'!$B$37)&amp;"","")))))&gt;0),IF(COUNTIF($BI$63:$BP$63,6)=0,TRUE,SUMPRODUCT(($BI$63:$BP$63=6)*($AS$63:$AZ$63&lt;&gt;"")*IF(((UPPER($AS$63:$AZ$63)="BLANK")+(UPPER($AS$63:$AZ$63)="(BLANK)")+(UPPER($AS$63:$AZ$63)="EMPTY")+(UPPER($AS$63:$AZ$63)="(EMPTY)"))&gt;0,IFERROR(('Final Calculation Sheet'!$B$37)&amp;"","")="",ISNUMBER(SEARCH($AS$63:$AZ$63,IFERROR(('Final Calculation Sheet'!$B$37)&amp;"","")))))&gt;0),IF(COUNTIF($BI$63:$BP$63,7)=0,TRUE,SUMPRODUCT(($BI$63:$BP$63=7)*($AS$63:$AZ$63&lt;&gt;"")*IF(((UPPER($AS$63:$AZ$63)="BLANK")+(UPPER($AS$63:$AZ$63)="(BLANK)")+(UPPER($AS$63:$AZ$63)="EMPTY")+(UPPER($AS$63:$AZ$63)="(EMPTY)"))&gt;0,IFERROR(('Final Calculation Sheet'!$B$37)&amp;"","")="",ISNUMBER(SEARCH($AS$63:$AZ$63,IFERROR(('Final Calculation Sheet'!$B$37)&amp;"","")))))&gt;0),IF(COUNTIF($BI$63:$BP$63,8)=0,TRUE,SUMPRODUCT(($BI$63:$BP$63=8)*($AS$63:$AZ$63&lt;&gt;"")*IF(((UPPER($AS$63:$AZ$63)="BLANK")+(UPPER($AS$63:$AZ$63)="(BLANK)")+(UPPER($AS$63:$AZ$63)="EMPTY")+(UPPER($AS$63:$AZ$63)="(EMPTY)"))&gt;0,IFERROR(('Final Calculation Sheet'!$B$37)&amp;"","")="",ISNUMBER(SEARCH($AS$63:$AZ$63,IFERROR(('Final Calculation Sheet'!$B$37)&amp;"","")))))&gt;0))))</f>
        <v>1</v>
      </c>
      <c r="BQ38">
        <f>IF($E$4="",1,--(AND(SUMPRODUCT(--($AS$64:$AZ$64&lt;&gt;""))&gt;0,IF(COUNTIF($BI$64:$BP$64,1)=0,TRUE,SUMPRODUCT(($BI$64:$BP$64=1)*($AS$64:$AZ$64&lt;&gt;"")*IF(((UPPER($AS$64:$AZ$64)="BLANK")+(UPPER($AS$64:$AZ$64)="(BLANK)")+(UPPER($AS$64:$AZ$64)="EMPTY")+(UPPER($AS$64:$AZ$64)="(EMPTY)"))&gt;0,IFERROR(('Final Calculation Sheet'!$D$37)&amp;"","")="",ISNUMBER(SEARCH($AS$64:$AZ$64,IFERROR(('Final Calculation Sheet'!$D$37)&amp;"","")))))&gt;0),IF(COUNTIF($BI$64:$BP$64,2)=0,TRUE,SUMPRODUCT(($BI$64:$BP$64=2)*($AS$64:$AZ$64&lt;&gt;"")*IF(((UPPER($AS$64:$AZ$64)="BLANK")+(UPPER($AS$64:$AZ$64)="(BLANK)")+(UPPER($AS$64:$AZ$64)="EMPTY")+(UPPER($AS$64:$AZ$64)="(EMPTY)"))&gt;0,IFERROR(('Final Calculation Sheet'!$D$37)&amp;"","")="",ISNUMBER(SEARCH($AS$64:$AZ$64,IFERROR(('Final Calculation Sheet'!$D$37)&amp;"","")))))&gt;0),IF(COUNTIF($BI$64:$BP$64,3)=0,TRUE,SUMPRODUCT(($BI$64:$BP$64=3)*($AS$64:$AZ$64&lt;&gt;"")*IF(((UPPER($AS$64:$AZ$64)="BLANK")+(UPPER($AS$64:$AZ$64)="(BLANK)")+(UPPER($AS$64:$AZ$64)="EMPTY")+(UPPER($AS$64:$AZ$64)="(EMPTY)"))&gt;0,IFERROR(('Final Calculation Sheet'!$D$37)&amp;"","")="",ISNUMBER(SEARCH($AS$64:$AZ$64,IFERROR(('Final Calculation Sheet'!$D$37)&amp;"","")))))&gt;0),IF(COUNTIF($BI$64:$BP$64,4)=0,TRUE,SUMPRODUCT(($BI$64:$BP$64=4)*($AS$64:$AZ$64&lt;&gt;"")*IF(((UPPER($AS$64:$AZ$64)="BLANK")+(UPPER($AS$64:$AZ$64)="(BLANK)")+(UPPER($AS$64:$AZ$64)="EMPTY")+(UPPER($AS$64:$AZ$64)="(EMPTY)"))&gt;0,IFERROR(('Final Calculation Sheet'!$D$37)&amp;"","")="",ISNUMBER(SEARCH($AS$64:$AZ$64,IFERROR(('Final Calculation Sheet'!$D$37)&amp;"","")))))&gt;0),IF(COUNTIF($BI$64:$BP$64,5)=0,TRUE,SUMPRODUCT(($BI$64:$BP$64=5)*($AS$64:$AZ$64&lt;&gt;"")*IF(((UPPER($AS$64:$AZ$64)="BLANK")+(UPPER($AS$64:$AZ$64)="(BLANK)")+(UPPER($AS$64:$AZ$64)="EMPTY")+(UPPER($AS$64:$AZ$64)="(EMPTY)"))&gt;0,IFERROR(('Final Calculation Sheet'!$D$37)&amp;"","")="",ISNUMBER(SEARCH($AS$64:$AZ$64,IFERROR(('Final Calculation Sheet'!$D$37)&amp;"","")))))&gt;0),IF(COUNTIF($BI$64:$BP$64,6)=0,TRUE,SUMPRODUCT(($BI$64:$BP$64=6)*($AS$64:$AZ$64&lt;&gt;"")*IF(((UPPER($AS$64:$AZ$64)="BLANK")+(UPPER($AS$64:$AZ$64)="(BLANK)")+(UPPER($AS$64:$AZ$64)="EMPTY")+(UPPER($AS$64:$AZ$64)="(EMPTY)"))&gt;0,IFERROR(('Final Calculation Sheet'!$D$37)&amp;"","")="",ISNUMBER(SEARCH($AS$64:$AZ$64,IFERROR(('Final Calculation Sheet'!$D$37)&amp;"","")))))&gt;0),IF(COUNTIF($BI$64:$BP$64,7)=0,TRUE,SUMPRODUCT(($BI$64:$BP$64=7)*($AS$64:$AZ$64&lt;&gt;"")*IF(((UPPER($AS$64:$AZ$64)="BLANK")+(UPPER($AS$64:$AZ$64)="(BLANK)")+(UPPER($AS$64:$AZ$64)="EMPTY")+(UPPER($AS$64:$AZ$64)="(EMPTY)"))&gt;0,IFERROR(('Final Calculation Sheet'!$D$37)&amp;"","")="",ISNUMBER(SEARCH($AS$64:$AZ$64,IFERROR(('Final Calculation Sheet'!$D$37)&amp;"","")))))&gt;0),IF(COUNTIF($BI$64:$BP$64,8)=0,TRUE,SUMPRODUCT(($BI$64:$BP$64=8)*($AS$64:$AZ$64&lt;&gt;"")*IF(((UPPER($AS$64:$AZ$64)="BLANK")+(UPPER($AS$64:$AZ$64)="(BLANK)")+(UPPER($AS$64:$AZ$64)="EMPTY")+(UPPER($AS$64:$AZ$64)="(EMPTY)"))&gt;0,IFERROR(('Final Calculation Sheet'!$D$37)&amp;"","")="",ISNUMBER(SEARCH($AS$64:$AZ$64,IFERROR(('Final Calculation Sheet'!$D$37)&amp;"","")))))&gt;0))))</f>
        <v>1</v>
      </c>
      <c r="BR38">
        <f>IF($F$4="",1,--(AND(SUMPRODUCT(--($AS$65:$AZ$65&lt;&gt;""))&gt;0,IF(COUNTIF($BI$65:$BP$65,1)=0,TRUE,SUMPRODUCT(($BI$65:$BP$65=1)*($AS$65:$AZ$65&lt;&gt;"")*IF(((UPPER($AS$65:$AZ$65)="BLANK")+(UPPER($AS$65:$AZ$65)="(BLANK)")+(UPPER($AS$65:$AZ$65)="EMPTY")+(UPPER($AS$65:$AZ$65)="(EMPTY)"))&gt;0,IFERROR(('Final Calculation Sheet'!$A$37)&amp;"","")="",ISNUMBER(SEARCH($AS$65:$AZ$65,IFERROR(('Final Calculation Sheet'!$A$37)&amp;"","")))))&gt;0),IF(COUNTIF($BI$65:$BP$65,2)=0,TRUE,SUMPRODUCT(($BI$65:$BP$65=2)*($AS$65:$AZ$65&lt;&gt;"")*IF(((UPPER($AS$65:$AZ$65)="BLANK")+(UPPER($AS$65:$AZ$65)="(BLANK)")+(UPPER($AS$65:$AZ$65)="EMPTY")+(UPPER($AS$65:$AZ$65)="(EMPTY)"))&gt;0,IFERROR(('Final Calculation Sheet'!$A$37)&amp;"","")="",ISNUMBER(SEARCH($AS$65:$AZ$65,IFERROR(('Final Calculation Sheet'!$A$37)&amp;"","")))))&gt;0),IF(COUNTIF($BI$65:$BP$65,3)=0,TRUE,SUMPRODUCT(($BI$65:$BP$65=3)*($AS$65:$AZ$65&lt;&gt;"")*IF(((UPPER($AS$65:$AZ$65)="BLANK")+(UPPER($AS$65:$AZ$65)="(BLANK)")+(UPPER($AS$65:$AZ$65)="EMPTY")+(UPPER($AS$65:$AZ$65)="(EMPTY)"))&gt;0,IFERROR(('Final Calculation Sheet'!$A$37)&amp;"","")="",ISNUMBER(SEARCH($AS$65:$AZ$65,IFERROR(('Final Calculation Sheet'!$A$37)&amp;"","")))))&gt;0),IF(COUNTIF($BI$65:$BP$65,4)=0,TRUE,SUMPRODUCT(($BI$65:$BP$65=4)*($AS$65:$AZ$65&lt;&gt;"")*IF(((UPPER($AS$65:$AZ$65)="BLANK")+(UPPER($AS$65:$AZ$65)="(BLANK)")+(UPPER($AS$65:$AZ$65)="EMPTY")+(UPPER($AS$65:$AZ$65)="(EMPTY)"))&gt;0,IFERROR(('Final Calculation Sheet'!$A$37)&amp;"","")="",ISNUMBER(SEARCH($AS$65:$AZ$65,IFERROR(('Final Calculation Sheet'!$A$37)&amp;"","")))))&gt;0),IF(COUNTIF($BI$65:$BP$65,5)=0,TRUE,SUMPRODUCT(($BI$65:$BP$65=5)*($AS$65:$AZ$65&lt;&gt;"")*IF(((UPPER($AS$65:$AZ$65)="BLANK")+(UPPER($AS$65:$AZ$65)="(BLANK)")+(UPPER($AS$65:$AZ$65)="EMPTY")+(UPPER($AS$65:$AZ$65)="(EMPTY)"))&gt;0,IFERROR(('Final Calculation Sheet'!$A$37)&amp;"","")="",ISNUMBER(SEARCH($AS$65:$AZ$65,IFERROR(('Final Calculation Sheet'!$A$37)&amp;"","")))))&gt;0),IF(COUNTIF($BI$65:$BP$65,6)=0,TRUE,SUMPRODUCT(($BI$65:$BP$65=6)*($AS$65:$AZ$65&lt;&gt;"")*IF(((UPPER($AS$65:$AZ$65)="BLANK")+(UPPER($AS$65:$AZ$65)="(BLANK)")+(UPPER($AS$65:$AZ$65)="EMPTY")+(UPPER($AS$65:$AZ$65)="(EMPTY)"))&gt;0,IFERROR(('Final Calculation Sheet'!$A$37)&amp;"","")="",ISNUMBER(SEARCH($AS$65:$AZ$65,IFERROR(('Final Calculation Sheet'!$A$37)&amp;"","")))))&gt;0),IF(COUNTIF($BI$65:$BP$65,7)=0,TRUE,SUMPRODUCT(($BI$65:$BP$65=7)*($AS$65:$AZ$65&lt;&gt;"")*IF(((UPPER($AS$65:$AZ$65)="BLANK")+(UPPER($AS$65:$AZ$65)="(BLANK)")+(UPPER($AS$65:$AZ$65)="EMPTY")+(UPPER($AS$65:$AZ$65)="(EMPTY)"))&gt;0,IFERROR(('Final Calculation Sheet'!$A$37)&amp;"","")="",ISNUMBER(SEARCH($AS$65:$AZ$65,IFERROR(('Final Calculation Sheet'!$A$37)&amp;"","")))))&gt;0),IF(COUNTIF($BI$65:$BP$65,8)=0,TRUE,SUMPRODUCT(($BI$65:$BP$65=8)*($AS$65:$AZ$65&lt;&gt;"")*IF(((UPPER($AS$65:$AZ$65)="BLANK")+(UPPER($AS$65:$AZ$65)="(BLANK)")+(UPPER($AS$65:$AZ$65)="EMPTY")+(UPPER($AS$65:$AZ$65)="(EMPTY)"))&gt;0,IFERROR(('Final Calculation Sheet'!$A$37)&amp;"","")="",ISNUMBER(SEARCH($AS$65:$AZ$65,IFERROR(('Final Calculation Sheet'!$A$37)&amp;"","")))))&gt;0))))</f>
        <v>1</v>
      </c>
      <c r="BS38">
        <f>IF($G$4="",1,--(AND(SUMPRODUCT(--($AS$66:$AZ$66&lt;&gt;""))&gt;0,IF(COUNTIF($BI$66:$BP$66,1)=0,TRUE,SUMPRODUCT(($BI$66:$BP$66=1)*($AS$66:$AZ$66&lt;&gt;"")*IF(((UPPER($AS$66:$AZ$66)="BLANK")+(UPPER($AS$66:$AZ$66)="(BLANK)")+(UPPER($AS$66:$AZ$66)="EMPTY")+(UPPER($AS$66:$AZ$66)="(EMPTY)"))&gt;0,IFERROR(('Final Calculation Sheet'!$E$37)&amp;"","")="",ISNUMBER(SEARCH($AS$66:$AZ$66,IFERROR(('Final Calculation Sheet'!$E$37)&amp;"","")))))&gt;0),IF(COUNTIF($BI$66:$BP$66,2)=0,TRUE,SUMPRODUCT(($BI$66:$BP$66=2)*($AS$66:$AZ$66&lt;&gt;"")*IF(((UPPER($AS$66:$AZ$66)="BLANK")+(UPPER($AS$66:$AZ$66)="(BLANK)")+(UPPER($AS$66:$AZ$66)="EMPTY")+(UPPER($AS$66:$AZ$66)="(EMPTY)"))&gt;0,IFERROR(('Final Calculation Sheet'!$E$37)&amp;"","")="",ISNUMBER(SEARCH($AS$66:$AZ$66,IFERROR(('Final Calculation Sheet'!$E$37)&amp;"","")))))&gt;0),IF(COUNTIF($BI$66:$BP$66,3)=0,TRUE,SUMPRODUCT(($BI$66:$BP$66=3)*($AS$66:$AZ$66&lt;&gt;"")*IF(((UPPER($AS$66:$AZ$66)="BLANK")+(UPPER($AS$66:$AZ$66)="(BLANK)")+(UPPER($AS$66:$AZ$66)="EMPTY")+(UPPER($AS$66:$AZ$66)="(EMPTY)"))&gt;0,IFERROR(('Final Calculation Sheet'!$E$37)&amp;"","")="",ISNUMBER(SEARCH($AS$66:$AZ$66,IFERROR(('Final Calculation Sheet'!$E$37)&amp;"","")))))&gt;0),IF(COUNTIF($BI$66:$BP$66,4)=0,TRUE,SUMPRODUCT(($BI$66:$BP$66=4)*($AS$66:$AZ$66&lt;&gt;"")*IF(((UPPER($AS$66:$AZ$66)="BLANK")+(UPPER($AS$66:$AZ$66)="(BLANK)")+(UPPER($AS$66:$AZ$66)="EMPTY")+(UPPER($AS$66:$AZ$66)="(EMPTY)"))&gt;0,IFERROR(('Final Calculation Sheet'!$E$37)&amp;"","")="",ISNUMBER(SEARCH($AS$66:$AZ$66,IFERROR(('Final Calculation Sheet'!$E$37)&amp;"","")))))&gt;0),IF(COUNTIF($BI$66:$BP$66,5)=0,TRUE,SUMPRODUCT(($BI$66:$BP$66=5)*($AS$66:$AZ$66&lt;&gt;"")*IF(((UPPER($AS$66:$AZ$66)="BLANK")+(UPPER($AS$66:$AZ$66)="(BLANK)")+(UPPER($AS$66:$AZ$66)="EMPTY")+(UPPER($AS$66:$AZ$66)="(EMPTY)"))&gt;0,IFERROR(('Final Calculation Sheet'!$E$37)&amp;"","")="",ISNUMBER(SEARCH($AS$66:$AZ$66,IFERROR(('Final Calculation Sheet'!$E$37)&amp;"","")))))&gt;0),IF(COUNTIF($BI$66:$BP$66,6)=0,TRUE,SUMPRODUCT(($BI$66:$BP$66=6)*($AS$66:$AZ$66&lt;&gt;"")*IF(((UPPER($AS$66:$AZ$66)="BLANK")+(UPPER($AS$66:$AZ$66)="(BLANK)")+(UPPER($AS$66:$AZ$66)="EMPTY")+(UPPER($AS$66:$AZ$66)="(EMPTY)"))&gt;0,IFERROR(('Final Calculation Sheet'!$E$37)&amp;"","")="",ISNUMBER(SEARCH($AS$66:$AZ$66,IFERROR(('Final Calculation Sheet'!$E$37)&amp;"","")))))&gt;0),IF(COUNTIF($BI$66:$BP$66,7)=0,TRUE,SUMPRODUCT(($BI$66:$BP$66=7)*($AS$66:$AZ$66&lt;&gt;"")*IF(((UPPER($AS$66:$AZ$66)="BLANK")+(UPPER($AS$66:$AZ$66)="(BLANK)")+(UPPER($AS$66:$AZ$66)="EMPTY")+(UPPER($AS$66:$AZ$66)="(EMPTY)"))&gt;0,IFERROR(('Final Calculation Sheet'!$E$37)&amp;"","")="",ISNUMBER(SEARCH($AS$66:$AZ$66,IFERROR(('Final Calculation Sheet'!$E$37)&amp;"","")))))&gt;0),IF(COUNTIF($BI$66:$BP$66,8)=0,TRUE,SUMPRODUCT(($BI$66:$BP$66=8)*($AS$66:$AZ$66&lt;&gt;"")*IF(((UPPER($AS$66:$AZ$66)="BLANK")+(UPPER($AS$66:$AZ$66)="(BLANK)")+(UPPER($AS$66:$AZ$66)="EMPTY")+(UPPER($AS$66:$AZ$66)="(EMPTY)"))&gt;0,IFERROR(('Final Calculation Sheet'!$E$37)&amp;"","")="",ISNUMBER(SEARCH($AS$66:$AZ$66,IFERROR(('Final Calculation Sheet'!$E$37)&amp;"","")))))&gt;0))))</f>
        <v>1</v>
      </c>
      <c r="BT38">
        <f>IF($H$4="",1,--(AND(SUMPRODUCT(--($AS$67:$AZ$67&lt;&gt;""))&gt;0,IF(COUNTIF($BI$67:$BP$67,1)=0,TRUE,SUMPRODUCT(($BI$67:$BP$67=1)*($AS$67:$AZ$67&lt;&gt;"")*IF(((UPPER($AS$67:$AZ$67)="BLANK")+(UPPER($AS$67:$AZ$67)="(BLANK)")+(UPPER($AS$67:$AZ$67)="EMPTY")+(UPPER($AS$67:$AZ$67)="(EMPTY)"))&gt;0,IFERROR(('Final Calculation Sheet'!$C$37)&amp;"","")="",ISNUMBER(SEARCH($AS$67:$AZ$67,IFERROR(('Final Calculation Sheet'!$C$37)&amp;"","")))))&gt;0),IF(COUNTIF($BI$67:$BP$67,2)=0,TRUE,SUMPRODUCT(($BI$67:$BP$67=2)*($AS$67:$AZ$67&lt;&gt;"")*IF(((UPPER($AS$67:$AZ$67)="BLANK")+(UPPER($AS$67:$AZ$67)="(BLANK)")+(UPPER($AS$67:$AZ$67)="EMPTY")+(UPPER($AS$67:$AZ$67)="(EMPTY)"))&gt;0,IFERROR(('Final Calculation Sheet'!$C$37)&amp;"","")="",ISNUMBER(SEARCH($AS$67:$AZ$67,IFERROR(('Final Calculation Sheet'!$C$37)&amp;"","")))))&gt;0),IF(COUNTIF($BI$67:$BP$67,3)=0,TRUE,SUMPRODUCT(($BI$67:$BP$67=3)*($AS$67:$AZ$67&lt;&gt;"")*IF(((UPPER($AS$67:$AZ$67)="BLANK")+(UPPER($AS$67:$AZ$67)="(BLANK)")+(UPPER($AS$67:$AZ$67)="EMPTY")+(UPPER($AS$67:$AZ$67)="(EMPTY)"))&gt;0,IFERROR(('Final Calculation Sheet'!$C$37)&amp;"","")="",ISNUMBER(SEARCH($AS$67:$AZ$67,IFERROR(('Final Calculation Sheet'!$C$37)&amp;"","")))))&gt;0),IF(COUNTIF($BI$67:$BP$67,4)=0,TRUE,SUMPRODUCT(($BI$67:$BP$67=4)*($AS$67:$AZ$67&lt;&gt;"")*IF(((UPPER($AS$67:$AZ$67)="BLANK")+(UPPER($AS$67:$AZ$67)="(BLANK)")+(UPPER($AS$67:$AZ$67)="EMPTY")+(UPPER($AS$67:$AZ$67)="(EMPTY)"))&gt;0,IFERROR(('Final Calculation Sheet'!$C$37)&amp;"","")="",ISNUMBER(SEARCH($AS$67:$AZ$67,IFERROR(('Final Calculation Sheet'!$C$37)&amp;"","")))))&gt;0),IF(COUNTIF($BI$67:$BP$67,5)=0,TRUE,SUMPRODUCT(($BI$67:$BP$67=5)*($AS$67:$AZ$67&lt;&gt;"")*IF(((UPPER($AS$67:$AZ$67)="BLANK")+(UPPER($AS$67:$AZ$67)="(BLANK)")+(UPPER($AS$67:$AZ$67)="EMPTY")+(UPPER($AS$67:$AZ$67)="(EMPTY)"))&gt;0,IFERROR(('Final Calculation Sheet'!$C$37)&amp;"","")="",ISNUMBER(SEARCH($AS$67:$AZ$67,IFERROR(('Final Calculation Sheet'!$C$37)&amp;"","")))))&gt;0),IF(COUNTIF($BI$67:$BP$67,6)=0,TRUE,SUMPRODUCT(($BI$67:$BP$67=6)*($AS$67:$AZ$67&lt;&gt;"")*IF(((UPPER($AS$67:$AZ$67)="BLANK")+(UPPER($AS$67:$AZ$67)="(BLANK)")+(UPPER($AS$67:$AZ$67)="EMPTY")+(UPPER($AS$67:$AZ$67)="(EMPTY)"))&gt;0,IFERROR(('Final Calculation Sheet'!$C$37)&amp;"","")="",ISNUMBER(SEARCH($AS$67:$AZ$67,IFERROR(('Final Calculation Sheet'!$C$37)&amp;"","")))))&gt;0),IF(COUNTIF($BI$67:$BP$67,7)=0,TRUE,SUMPRODUCT(($BI$67:$BP$67=7)*($AS$67:$AZ$67&lt;&gt;"")*IF(((UPPER($AS$67:$AZ$67)="BLANK")+(UPPER($AS$67:$AZ$67)="(BLANK)")+(UPPER($AS$67:$AZ$67)="EMPTY")+(UPPER($AS$67:$AZ$67)="(EMPTY)"))&gt;0,IFERROR(('Final Calculation Sheet'!$C$37)&amp;"","")="",ISNUMBER(SEARCH($AS$67:$AZ$67,IFERROR(('Final Calculation Sheet'!$C$37)&amp;"","")))))&gt;0),IF(COUNTIF($BI$67:$BP$67,8)=0,TRUE,SUMPRODUCT(($BI$67:$BP$67=8)*($AS$67:$AZ$67&lt;&gt;"")*IF(((UPPER($AS$67:$AZ$67)="BLANK")+(UPPER($AS$67:$AZ$67)="(BLANK)")+(UPPER($AS$67:$AZ$67)="EMPTY")+(UPPER($AS$67:$AZ$67)="(EMPTY)"))&gt;0,IFERROR(('Final Calculation Sheet'!$C$37)&amp;"","")="",ISNUMBER(SEARCH($AS$67:$AZ$67,IFERROR(('Final Calculation Sheet'!$C$37)&amp;"","")))))&gt;0))))</f>
        <v>1</v>
      </c>
      <c r="BU38">
        <f>IF($I$4="",1,--(AND(SUMPRODUCT(--($AS$68:$AZ$68&lt;&gt;""))&gt;0,IF(COUNTIF($BI$68:$BP$68,1)=0,TRUE,SUMPRODUCT(($BI$68:$BP$68=1)*($AS$68:$AZ$68&lt;&gt;"")*IF(((UPPER($AS$68:$AZ$68)="BLANK")+(UPPER($AS$68:$AZ$68)="(BLANK)")+(UPPER($AS$68:$AZ$68)="EMPTY")+(UPPER($AS$68:$AZ$68)="(EMPTY)"))&gt;0,IFERROR(('Final Calculation Sheet'!$H$37)&amp;"","")="",ISNUMBER(SEARCH($AS$68:$AZ$68,IFERROR(('Final Calculation Sheet'!$H$37)&amp;"","")))))&gt;0),IF(COUNTIF($BI$68:$BP$68,2)=0,TRUE,SUMPRODUCT(($BI$68:$BP$68=2)*($AS$68:$AZ$68&lt;&gt;"")*IF(((UPPER($AS$68:$AZ$68)="BLANK")+(UPPER($AS$68:$AZ$68)="(BLANK)")+(UPPER($AS$68:$AZ$68)="EMPTY")+(UPPER($AS$68:$AZ$68)="(EMPTY)"))&gt;0,IFERROR(('Final Calculation Sheet'!$H$37)&amp;"","")="",ISNUMBER(SEARCH($AS$68:$AZ$68,IFERROR(('Final Calculation Sheet'!$H$37)&amp;"","")))))&gt;0),IF(COUNTIF($BI$68:$BP$68,3)=0,TRUE,SUMPRODUCT(($BI$68:$BP$68=3)*($AS$68:$AZ$68&lt;&gt;"")*IF(((UPPER($AS$68:$AZ$68)="BLANK")+(UPPER($AS$68:$AZ$68)="(BLANK)")+(UPPER($AS$68:$AZ$68)="EMPTY")+(UPPER($AS$68:$AZ$68)="(EMPTY)"))&gt;0,IFERROR(('Final Calculation Sheet'!$H$37)&amp;"","")="",ISNUMBER(SEARCH($AS$68:$AZ$68,IFERROR(('Final Calculation Sheet'!$H$37)&amp;"","")))))&gt;0),IF(COUNTIF($BI$68:$BP$68,4)=0,TRUE,SUMPRODUCT(($BI$68:$BP$68=4)*($AS$68:$AZ$68&lt;&gt;"")*IF(((UPPER($AS$68:$AZ$68)="BLANK")+(UPPER($AS$68:$AZ$68)="(BLANK)")+(UPPER($AS$68:$AZ$68)="EMPTY")+(UPPER($AS$68:$AZ$68)="(EMPTY)"))&gt;0,IFERROR(('Final Calculation Sheet'!$H$37)&amp;"","")="",ISNUMBER(SEARCH($AS$68:$AZ$68,IFERROR(('Final Calculation Sheet'!$H$37)&amp;"","")))))&gt;0),IF(COUNTIF($BI$68:$BP$68,5)=0,TRUE,SUMPRODUCT(($BI$68:$BP$68=5)*($AS$68:$AZ$68&lt;&gt;"")*IF(((UPPER($AS$68:$AZ$68)="BLANK")+(UPPER($AS$68:$AZ$68)="(BLANK)")+(UPPER($AS$68:$AZ$68)="EMPTY")+(UPPER($AS$68:$AZ$68)="(EMPTY)"))&gt;0,IFERROR(('Final Calculation Sheet'!$H$37)&amp;"","")="",ISNUMBER(SEARCH($AS$68:$AZ$68,IFERROR(('Final Calculation Sheet'!$H$37)&amp;"","")))))&gt;0),IF(COUNTIF($BI$68:$BP$68,6)=0,TRUE,SUMPRODUCT(($BI$68:$BP$68=6)*($AS$68:$AZ$68&lt;&gt;"")*IF(((UPPER($AS$68:$AZ$68)="BLANK")+(UPPER($AS$68:$AZ$68)="(BLANK)")+(UPPER($AS$68:$AZ$68)="EMPTY")+(UPPER($AS$68:$AZ$68)="(EMPTY)"))&gt;0,IFERROR(('Final Calculation Sheet'!$H$37)&amp;"","")="",ISNUMBER(SEARCH($AS$68:$AZ$68,IFERROR(('Final Calculation Sheet'!$H$37)&amp;"","")))))&gt;0),IF(COUNTIF($BI$68:$BP$68,7)=0,TRUE,SUMPRODUCT(($BI$68:$BP$68=7)*($AS$68:$AZ$68&lt;&gt;"")*IF(((UPPER($AS$68:$AZ$68)="BLANK")+(UPPER($AS$68:$AZ$68)="(BLANK)")+(UPPER($AS$68:$AZ$68)="EMPTY")+(UPPER($AS$68:$AZ$68)="(EMPTY)"))&gt;0,IFERROR(('Final Calculation Sheet'!$H$37)&amp;"","")="",ISNUMBER(SEARCH($AS$68:$AZ$68,IFERROR(('Final Calculation Sheet'!$H$37)&amp;"","")))))&gt;0),IF(COUNTIF($BI$68:$BP$68,8)=0,TRUE,SUMPRODUCT(($BI$68:$BP$68=8)*($AS$68:$AZ$68&lt;&gt;"")*IF(((UPPER($AS$68:$AZ$68)="BLANK")+(UPPER($AS$68:$AZ$68)="(BLANK)")+(UPPER($AS$68:$AZ$68)="EMPTY")+(UPPER($AS$68:$AZ$68)="(EMPTY)"))&gt;0,IFERROR(('Final Calculation Sheet'!$H$37)&amp;"","")="",ISNUMBER(SEARCH($AS$68:$AZ$68,IFERROR(('Final Calculation Sheet'!$H$37)&amp;"","")))))&gt;0))))</f>
        <v>1</v>
      </c>
      <c r="BV38">
        <f>IF($J$4="",1,--(AND(SUMPRODUCT(--($AS$69:$AZ$69&lt;&gt;""))&gt;0,IF(COUNTIF($BI$69:$BP$69,1)=0,TRUE,SUMPRODUCT(($BI$69:$BP$69=1)*($AS$69:$AZ$69&lt;&gt;"")*IF(((UPPER($AS$69:$AZ$69)="BLANK")+(UPPER($AS$69:$AZ$69)="(BLANK)")+(UPPER($AS$69:$AZ$69)="EMPTY")+(UPPER($AS$69:$AZ$69)="(EMPTY)"))&gt;0,IFERROR(('Final Calculation Sheet'!$I$37)&amp;"","")="",ISNUMBER(SEARCH($AS$69:$AZ$69,IFERROR(('Final Calculation Sheet'!$I$37)&amp;"","")))))&gt;0),IF(COUNTIF($BI$69:$BP$69,2)=0,TRUE,SUMPRODUCT(($BI$69:$BP$69=2)*($AS$69:$AZ$69&lt;&gt;"")*IF(((UPPER($AS$69:$AZ$69)="BLANK")+(UPPER($AS$69:$AZ$69)="(BLANK)")+(UPPER($AS$69:$AZ$69)="EMPTY")+(UPPER($AS$69:$AZ$69)="(EMPTY)"))&gt;0,IFERROR(('Final Calculation Sheet'!$I$37)&amp;"","")="",ISNUMBER(SEARCH($AS$69:$AZ$69,IFERROR(('Final Calculation Sheet'!$I$37)&amp;"","")))))&gt;0),IF(COUNTIF($BI$69:$BP$69,3)=0,TRUE,SUMPRODUCT(($BI$69:$BP$69=3)*($AS$69:$AZ$69&lt;&gt;"")*IF(((UPPER($AS$69:$AZ$69)="BLANK")+(UPPER($AS$69:$AZ$69)="(BLANK)")+(UPPER($AS$69:$AZ$69)="EMPTY")+(UPPER($AS$69:$AZ$69)="(EMPTY)"))&gt;0,IFERROR(('Final Calculation Sheet'!$I$37)&amp;"","")="",ISNUMBER(SEARCH($AS$69:$AZ$69,IFERROR(('Final Calculation Sheet'!$I$37)&amp;"","")))))&gt;0),IF(COUNTIF($BI$69:$BP$69,4)=0,TRUE,SUMPRODUCT(($BI$69:$BP$69=4)*($AS$69:$AZ$69&lt;&gt;"")*IF(((UPPER($AS$69:$AZ$69)="BLANK")+(UPPER($AS$69:$AZ$69)="(BLANK)")+(UPPER($AS$69:$AZ$69)="EMPTY")+(UPPER($AS$69:$AZ$69)="(EMPTY)"))&gt;0,IFERROR(('Final Calculation Sheet'!$I$37)&amp;"","")="",ISNUMBER(SEARCH($AS$69:$AZ$69,IFERROR(('Final Calculation Sheet'!$I$37)&amp;"","")))))&gt;0),IF(COUNTIF($BI$69:$BP$69,5)=0,TRUE,SUMPRODUCT(($BI$69:$BP$69=5)*($AS$69:$AZ$69&lt;&gt;"")*IF(((UPPER($AS$69:$AZ$69)="BLANK")+(UPPER($AS$69:$AZ$69)="(BLANK)")+(UPPER($AS$69:$AZ$69)="EMPTY")+(UPPER($AS$69:$AZ$69)="(EMPTY)"))&gt;0,IFERROR(('Final Calculation Sheet'!$I$37)&amp;"","")="",ISNUMBER(SEARCH($AS$69:$AZ$69,IFERROR(('Final Calculation Sheet'!$I$37)&amp;"","")))))&gt;0),IF(COUNTIF($BI$69:$BP$69,6)=0,TRUE,SUMPRODUCT(($BI$69:$BP$69=6)*($AS$69:$AZ$69&lt;&gt;"")*IF(((UPPER($AS$69:$AZ$69)="BLANK")+(UPPER($AS$69:$AZ$69)="(BLANK)")+(UPPER($AS$69:$AZ$69)="EMPTY")+(UPPER($AS$69:$AZ$69)="(EMPTY)"))&gt;0,IFERROR(('Final Calculation Sheet'!$I$37)&amp;"","")="",ISNUMBER(SEARCH($AS$69:$AZ$69,IFERROR(('Final Calculation Sheet'!$I$37)&amp;"","")))))&gt;0),IF(COUNTIF($BI$69:$BP$69,7)=0,TRUE,SUMPRODUCT(($BI$69:$BP$69=7)*($AS$69:$AZ$69&lt;&gt;"")*IF(((UPPER($AS$69:$AZ$69)="BLANK")+(UPPER($AS$69:$AZ$69)="(BLANK)")+(UPPER($AS$69:$AZ$69)="EMPTY")+(UPPER($AS$69:$AZ$69)="(EMPTY)"))&gt;0,IFERROR(('Final Calculation Sheet'!$I$37)&amp;"","")="",ISNUMBER(SEARCH($AS$69:$AZ$69,IFERROR(('Final Calculation Sheet'!$I$37)&amp;"","")))))&gt;0),IF(COUNTIF($BI$69:$BP$69,8)=0,TRUE,SUMPRODUCT(($BI$69:$BP$69=8)*($AS$69:$AZ$69&lt;&gt;"")*IF(((UPPER($AS$69:$AZ$69)="BLANK")+(UPPER($AS$69:$AZ$69)="(BLANK)")+(UPPER($AS$69:$AZ$69)="EMPTY")+(UPPER($AS$69:$AZ$69)="(EMPTY)"))&gt;0,IFERROR(('Final Calculation Sheet'!$I$37)&amp;"","")="",ISNUMBER(SEARCH($AS$69:$AZ$69,IFERROR(('Final Calculation Sheet'!$I$37)&amp;"","")))))&gt;0))))</f>
        <v>1</v>
      </c>
      <c r="BW38">
        <f>IF($K$4="",1,--(AND(SUMPRODUCT(--($AS$70:$AZ$70&lt;&gt;""))&gt;0,IF(COUNTIF($BI$70:$BP$70,1)=0,TRUE,SUMPRODUCT(($BI$70:$BP$70=1)*($AS$70:$AZ$70&lt;&gt;"")*IF(((UPPER($AS$70:$AZ$70)="BLANK")+(UPPER($AS$70:$AZ$70)="(BLANK)")+(UPPER($AS$70:$AZ$70)="EMPTY")+(UPPER($AS$70:$AZ$70)="(EMPTY)"))&gt;0,IFERROR(('Final Calculation Sheet'!$J$37)&amp;"","")="",ISNUMBER(SEARCH($AS$70:$AZ$70,IFERROR(('Final Calculation Sheet'!$J$37)&amp;"","")))))&gt;0),IF(COUNTIF($BI$70:$BP$70,2)=0,TRUE,SUMPRODUCT(($BI$70:$BP$70=2)*($AS$70:$AZ$70&lt;&gt;"")*IF(((UPPER($AS$70:$AZ$70)="BLANK")+(UPPER($AS$70:$AZ$70)="(BLANK)")+(UPPER($AS$70:$AZ$70)="EMPTY")+(UPPER($AS$70:$AZ$70)="(EMPTY)"))&gt;0,IFERROR(('Final Calculation Sheet'!$J$37)&amp;"","")="",ISNUMBER(SEARCH($AS$70:$AZ$70,IFERROR(('Final Calculation Sheet'!$J$37)&amp;"","")))))&gt;0),IF(COUNTIF($BI$70:$BP$70,3)=0,TRUE,SUMPRODUCT(($BI$70:$BP$70=3)*($AS$70:$AZ$70&lt;&gt;"")*IF(((UPPER($AS$70:$AZ$70)="BLANK")+(UPPER($AS$70:$AZ$70)="(BLANK)")+(UPPER($AS$70:$AZ$70)="EMPTY")+(UPPER($AS$70:$AZ$70)="(EMPTY)"))&gt;0,IFERROR(('Final Calculation Sheet'!$J$37)&amp;"","")="",ISNUMBER(SEARCH($AS$70:$AZ$70,IFERROR(('Final Calculation Sheet'!$J$37)&amp;"","")))))&gt;0),IF(COUNTIF($BI$70:$BP$70,4)=0,TRUE,SUMPRODUCT(($BI$70:$BP$70=4)*($AS$70:$AZ$70&lt;&gt;"")*IF(((UPPER($AS$70:$AZ$70)="BLANK")+(UPPER($AS$70:$AZ$70)="(BLANK)")+(UPPER($AS$70:$AZ$70)="EMPTY")+(UPPER($AS$70:$AZ$70)="(EMPTY)"))&gt;0,IFERROR(('Final Calculation Sheet'!$J$37)&amp;"","")="",ISNUMBER(SEARCH($AS$70:$AZ$70,IFERROR(('Final Calculation Sheet'!$J$37)&amp;"","")))))&gt;0),IF(COUNTIF($BI$70:$BP$70,5)=0,TRUE,SUMPRODUCT(($BI$70:$BP$70=5)*($AS$70:$AZ$70&lt;&gt;"")*IF(((UPPER($AS$70:$AZ$70)="BLANK")+(UPPER($AS$70:$AZ$70)="(BLANK)")+(UPPER($AS$70:$AZ$70)="EMPTY")+(UPPER($AS$70:$AZ$70)="(EMPTY)"))&gt;0,IFERROR(('Final Calculation Sheet'!$J$37)&amp;"","")="",ISNUMBER(SEARCH($AS$70:$AZ$70,IFERROR(('Final Calculation Sheet'!$J$37)&amp;"","")))))&gt;0),IF(COUNTIF($BI$70:$BP$70,6)=0,TRUE,SUMPRODUCT(($BI$70:$BP$70=6)*($AS$70:$AZ$70&lt;&gt;"")*IF(((UPPER($AS$70:$AZ$70)="BLANK")+(UPPER($AS$70:$AZ$70)="(BLANK)")+(UPPER($AS$70:$AZ$70)="EMPTY")+(UPPER($AS$70:$AZ$70)="(EMPTY)"))&gt;0,IFERROR(('Final Calculation Sheet'!$J$37)&amp;"","")="",ISNUMBER(SEARCH($AS$70:$AZ$70,IFERROR(('Final Calculation Sheet'!$J$37)&amp;"","")))))&gt;0),IF(COUNTIF($BI$70:$BP$70,7)=0,TRUE,SUMPRODUCT(($BI$70:$BP$70=7)*($AS$70:$AZ$70&lt;&gt;"")*IF(((UPPER($AS$70:$AZ$70)="BLANK")+(UPPER($AS$70:$AZ$70)="(BLANK)")+(UPPER($AS$70:$AZ$70)="EMPTY")+(UPPER($AS$70:$AZ$70)="(EMPTY)"))&gt;0,IFERROR(('Final Calculation Sheet'!$J$37)&amp;"","")="",ISNUMBER(SEARCH($AS$70:$AZ$70,IFERROR(('Final Calculation Sheet'!$J$37)&amp;"","")))))&gt;0),IF(COUNTIF($BI$70:$BP$70,8)=0,TRUE,SUMPRODUCT(($BI$70:$BP$70=8)*($AS$70:$AZ$70&lt;&gt;"")*IF(((UPPER($AS$70:$AZ$70)="BLANK")+(UPPER($AS$70:$AZ$70)="(BLANK)")+(UPPER($AS$70:$AZ$70)="EMPTY")+(UPPER($AS$70:$AZ$70)="(EMPTY)"))&gt;0,IFERROR(('Final Calculation Sheet'!$J$37)&amp;"","")="",ISNUMBER(SEARCH($AS$70:$AZ$70,IFERROR(('Final Calculation Sheet'!$J$37)&amp;"","")))))&gt;0))))</f>
        <v>1</v>
      </c>
      <c r="BX38">
        <f>IF($L$4="",1,--(AND(SUMPRODUCT(--($AS$71:$AZ$71&lt;&gt;""))&gt;0,IF(COUNTIF($BI$71:$BP$71,1)=0,TRUE,SUMPRODUCT(($BI$71:$BP$71=1)*($AS$71:$AZ$71&lt;&gt;"")*IF(((UPPER($AS$71:$AZ$71)="BLANK")+(UPPER($AS$71:$AZ$71)="(BLANK)")+(UPPER($AS$71:$AZ$71)="EMPTY")+(UPPER($AS$71:$AZ$71)="(EMPTY)"))&gt;0,IFERROR(('Final Calculation Sheet'!$K$37)&amp;"","")="",ISNUMBER(SEARCH($AS$71:$AZ$71,IFERROR(('Final Calculation Sheet'!$K$37)&amp;"","")))))&gt;0),IF(COUNTIF($BI$71:$BP$71,2)=0,TRUE,SUMPRODUCT(($BI$71:$BP$71=2)*($AS$71:$AZ$71&lt;&gt;"")*IF(((UPPER($AS$71:$AZ$71)="BLANK")+(UPPER($AS$71:$AZ$71)="(BLANK)")+(UPPER($AS$71:$AZ$71)="EMPTY")+(UPPER($AS$71:$AZ$71)="(EMPTY)"))&gt;0,IFERROR(('Final Calculation Sheet'!$K$37)&amp;"","")="",ISNUMBER(SEARCH($AS$71:$AZ$71,IFERROR(('Final Calculation Sheet'!$K$37)&amp;"","")))))&gt;0),IF(COUNTIF($BI$71:$BP$71,3)=0,TRUE,SUMPRODUCT(($BI$71:$BP$71=3)*($AS$71:$AZ$71&lt;&gt;"")*IF(((UPPER($AS$71:$AZ$71)="BLANK")+(UPPER($AS$71:$AZ$71)="(BLANK)")+(UPPER($AS$71:$AZ$71)="EMPTY")+(UPPER($AS$71:$AZ$71)="(EMPTY)"))&gt;0,IFERROR(('Final Calculation Sheet'!$K$37)&amp;"","")="",ISNUMBER(SEARCH($AS$71:$AZ$71,IFERROR(('Final Calculation Sheet'!$K$37)&amp;"","")))))&gt;0),IF(COUNTIF($BI$71:$BP$71,4)=0,TRUE,SUMPRODUCT(($BI$71:$BP$71=4)*($AS$71:$AZ$71&lt;&gt;"")*IF(((UPPER($AS$71:$AZ$71)="BLANK")+(UPPER($AS$71:$AZ$71)="(BLANK)")+(UPPER($AS$71:$AZ$71)="EMPTY")+(UPPER($AS$71:$AZ$71)="(EMPTY)"))&gt;0,IFERROR(('Final Calculation Sheet'!$K$37)&amp;"","")="",ISNUMBER(SEARCH($AS$71:$AZ$71,IFERROR(('Final Calculation Sheet'!$K$37)&amp;"","")))))&gt;0),IF(COUNTIF($BI$71:$BP$71,5)=0,TRUE,SUMPRODUCT(($BI$71:$BP$71=5)*($AS$71:$AZ$71&lt;&gt;"")*IF(((UPPER($AS$71:$AZ$71)="BLANK")+(UPPER($AS$71:$AZ$71)="(BLANK)")+(UPPER($AS$71:$AZ$71)="EMPTY")+(UPPER($AS$71:$AZ$71)="(EMPTY)"))&gt;0,IFERROR(('Final Calculation Sheet'!$K$37)&amp;"","")="",ISNUMBER(SEARCH($AS$71:$AZ$71,IFERROR(('Final Calculation Sheet'!$K$37)&amp;"","")))))&gt;0),IF(COUNTIF($BI$71:$BP$71,6)=0,TRUE,SUMPRODUCT(($BI$71:$BP$71=6)*($AS$71:$AZ$71&lt;&gt;"")*IF(((UPPER($AS$71:$AZ$71)="BLANK")+(UPPER($AS$71:$AZ$71)="(BLANK)")+(UPPER($AS$71:$AZ$71)="EMPTY")+(UPPER($AS$71:$AZ$71)="(EMPTY)"))&gt;0,IFERROR(('Final Calculation Sheet'!$K$37)&amp;"","")="",ISNUMBER(SEARCH($AS$71:$AZ$71,IFERROR(('Final Calculation Sheet'!$K$37)&amp;"","")))))&gt;0),IF(COUNTIF($BI$71:$BP$71,7)=0,TRUE,SUMPRODUCT(($BI$71:$BP$71=7)*($AS$71:$AZ$71&lt;&gt;"")*IF(((UPPER($AS$71:$AZ$71)="BLANK")+(UPPER($AS$71:$AZ$71)="(BLANK)")+(UPPER($AS$71:$AZ$71)="EMPTY")+(UPPER($AS$71:$AZ$71)="(EMPTY)"))&gt;0,IFERROR(('Final Calculation Sheet'!$K$37)&amp;"","")="",ISNUMBER(SEARCH($AS$71:$AZ$71,IFERROR(('Final Calculation Sheet'!$K$37)&amp;"","")))))&gt;0),IF(COUNTIF($BI$71:$BP$71,8)=0,TRUE,SUMPRODUCT(($BI$71:$BP$71=8)*($AS$71:$AZ$71&lt;&gt;"")*IF(((UPPER($AS$71:$AZ$71)="BLANK")+(UPPER($AS$71:$AZ$71)="(BLANK)")+(UPPER($AS$71:$AZ$71)="EMPTY")+(UPPER($AS$71:$AZ$71)="(EMPTY)"))&gt;0,IFERROR(('Final Calculation Sheet'!$K$37)&amp;"","")="",ISNUMBER(SEARCH($AS$71:$AZ$71,IFERROR(('Final Calculation Sheet'!$K$37)&amp;"","")))))&gt;0))))</f>
        <v>1</v>
      </c>
      <c r="BY38">
        <f>IF($M$4="",1,--(AND(SUMPRODUCT(--($AS$72:$AZ$72&lt;&gt;""))&gt;0,IF(COUNTIF($BI$72:$BP$72,1)=0,TRUE,SUMPRODUCT(($BI$72:$BP$72=1)*($AS$72:$AZ$72&lt;&gt;"")*IF(((UPPER($AS$72:$AZ$72)="BLANK")+(UPPER($AS$72:$AZ$72)="(BLANK)")+(UPPER($AS$72:$AZ$72)="EMPTY")+(UPPER($AS$72:$AZ$72)="(EMPTY)"))&gt;0,IFERROR(('Final Calculation Sheet'!$L$37)&amp;"","")="",ISNUMBER(SEARCH($AS$72:$AZ$72,IFERROR(('Final Calculation Sheet'!$L$37)&amp;"","")))))&gt;0),IF(COUNTIF($BI$72:$BP$72,2)=0,TRUE,SUMPRODUCT(($BI$72:$BP$72=2)*($AS$72:$AZ$72&lt;&gt;"")*IF(((UPPER($AS$72:$AZ$72)="BLANK")+(UPPER($AS$72:$AZ$72)="(BLANK)")+(UPPER($AS$72:$AZ$72)="EMPTY")+(UPPER($AS$72:$AZ$72)="(EMPTY)"))&gt;0,IFERROR(('Final Calculation Sheet'!$L$37)&amp;"","")="",ISNUMBER(SEARCH($AS$72:$AZ$72,IFERROR(('Final Calculation Sheet'!$L$37)&amp;"","")))))&gt;0),IF(COUNTIF($BI$72:$BP$72,3)=0,TRUE,SUMPRODUCT(($BI$72:$BP$72=3)*($AS$72:$AZ$72&lt;&gt;"")*IF(((UPPER($AS$72:$AZ$72)="BLANK")+(UPPER($AS$72:$AZ$72)="(BLANK)")+(UPPER($AS$72:$AZ$72)="EMPTY")+(UPPER($AS$72:$AZ$72)="(EMPTY)"))&gt;0,IFERROR(('Final Calculation Sheet'!$L$37)&amp;"","")="",ISNUMBER(SEARCH($AS$72:$AZ$72,IFERROR(('Final Calculation Sheet'!$L$37)&amp;"","")))))&gt;0),IF(COUNTIF($BI$72:$BP$72,4)=0,TRUE,SUMPRODUCT(($BI$72:$BP$72=4)*($AS$72:$AZ$72&lt;&gt;"")*IF(((UPPER($AS$72:$AZ$72)="BLANK")+(UPPER($AS$72:$AZ$72)="(BLANK)")+(UPPER($AS$72:$AZ$72)="EMPTY")+(UPPER($AS$72:$AZ$72)="(EMPTY)"))&gt;0,IFERROR(('Final Calculation Sheet'!$L$37)&amp;"","")="",ISNUMBER(SEARCH($AS$72:$AZ$72,IFERROR(('Final Calculation Sheet'!$L$37)&amp;"","")))))&gt;0),IF(COUNTIF($BI$72:$BP$72,5)=0,TRUE,SUMPRODUCT(($BI$72:$BP$72=5)*($AS$72:$AZ$72&lt;&gt;"")*IF(((UPPER($AS$72:$AZ$72)="BLANK")+(UPPER($AS$72:$AZ$72)="(BLANK)")+(UPPER($AS$72:$AZ$72)="EMPTY")+(UPPER($AS$72:$AZ$72)="(EMPTY)"))&gt;0,IFERROR(('Final Calculation Sheet'!$L$37)&amp;"","")="",ISNUMBER(SEARCH($AS$72:$AZ$72,IFERROR(('Final Calculation Sheet'!$L$37)&amp;"","")))))&gt;0),IF(COUNTIF($BI$72:$BP$72,6)=0,TRUE,SUMPRODUCT(($BI$72:$BP$72=6)*($AS$72:$AZ$72&lt;&gt;"")*IF(((UPPER($AS$72:$AZ$72)="BLANK")+(UPPER($AS$72:$AZ$72)="(BLANK)")+(UPPER($AS$72:$AZ$72)="EMPTY")+(UPPER($AS$72:$AZ$72)="(EMPTY)"))&gt;0,IFERROR(('Final Calculation Sheet'!$L$37)&amp;"","")="",ISNUMBER(SEARCH($AS$72:$AZ$72,IFERROR(('Final Calculation Sheet'!$L$37)&amp;"","")))))&gt;0),IF(COUNTIF($BI$72:$BP$72,7)=0,TRUE,SUMPRODUCT(($BI$72:$BP$72=7)*($AS$72:$AZ$72&lt;&gt;"")*IF(((UPPER($AS$72:$AZ$72)="BLANK")+(UPPER($AS$72:$AZ$72)="(BLANK)")+(UPPER($AS$72:$AZ$72)="EMPTY")+(UPPER($AS$72:$AZ$72)="(EMPTY)"))&gt;0,IFERROR(('Final Calculation Sheet'!$L$37)&amp;"","")="",ISNUMBER(SEARCH($AS$72:$AZ$72,IFERROR(('Final Calculation Sheet'!$L$37)&amp;"","")))))&gt;0),IF(COUNTIF($BI$72:$BP$72,8)=0,TRUE,SUMPRODUCT(($BI$72:$BP$72=8)*($AS$72:$AZ$72&lt;&gt;"")*IF(((UPPER($AS$72:$AZ$72)="BLANK")+(UPPER($AS$72:$AZ$72)="(BLANK)")+(UPPER($AS$72:$AZ$72)="EMPTY")+(UPPER($AS$72:$AZ$72)="(EMPTY)"))&gt;0,IFERROR(('Final Calculation Sheet'!$L$37)&amp;"","")="",ISNUMBER(SEARCH($AS$72:$AZ$72,IFERROR(('Final Calculation Sheet'!$L$37)&amp;"","")))))&gt;0))))</f>
        <v>1</v>
      </c>
      <c r="BZ38">
        <f>IF($N$4="",1,--(AND(SUMPRODUCT(--($AS$73:$AZ$73&lt;&gt;""))&gt;0,IF(COUNTIF($BI$73:$BP$73,1)=0,TRUE,SUMPRODUCT(($BI$73:$BP$73=1)*($AS$73:$AZ$73&lt;&gt;"")*IF(((UPPER($AS$73:$AZ$73)="BLANK")+(UPPER($AS$73:$AZ$73)="(BLANK)")+(UPPER($AS$73:$AZ$73)="EMPTY")+(UPPER($AS$73:$AZ$73)="(EMPTY)"))&gt;0,IFERROR(('Final Calculation Sheet'!$M$37)&amp;"","")="",ISNUMBER(SEARCH($AS$73:$AZ$73,IFERROR(('Final Calculation Sheet'!$M$37)&amp;"","")))))&gt;0),IF(COUNTIF($BI$73:$BP$73,2)=0,TRUE,SUMPRODUCT(($BI$73:$BP$73=2)*($AS$73:$AZ$73&lt;&gt;"")*IF(((UPPER($AS$73:$AZ$73)="BLANK")+(UPPER($AS$73:$AZ$73)="(BLANK)")+(UPPER($AS$73:$AZ$73)="EMPTY")+(UPPER($AS$73:$AZ$73)="(EMPTY)"))&gt;0,IFERROR(('Final Calculation Sheet'!$M$37)&amp;"","")="",ISNUMBER(SEARCH($AS$73:$AZ$73,IFERROR(('Final Calculation Sheet'!$M$37)&amp;"","")))))&gt;0),IF(COUNTIF($BI$73:$BP$73,3)=0,TRUE,SUMPRODUCT(($BI$73:$BP$73=3)*($AS$73:$AZ$73&lt;&gt;"")*IF(((UPPER($AS$73:$AZ$73)="BLANK")+(UPPER($AS$73:$AZ$73)="(BLANK)")+(UPPER($AS$73:$AZ$73)="EMPTY")+(UPPER($AS$73:$AZ$73)="(EMPTY)"))&gt;0,IFERROR(('Final Calculation Sheet'!$M$37)&amp;"","")="",ISNUMBER(SEARCH($AS$73:$AZ$73,IFERROR(('Final Calculation Sheet'!$M$37)&amp;"","")))))&gt;0),IF(COUNTIF($BI$73:$BP$73,4)=0,TRUE,SUMPRODUCT(($BI$73:$BP$73=4)*($AS$73:$AZ$73&lt;&gt;"")*IF(((UPPER($AS$73:$AZ$73)="BLANK")+(UPPER($AS$73:$AZ$73)="(BLANK)")+(UPPER($AS$73:$AZ$73)="EMPTY")+(UPPER($AS$73:$AZ$73)="(EMPTY)"))&gt;0,IFERROR(('Final Calculation Sheet'!$M$37)&amp;"","")="",ISNUMBER(SEARCH($AS$73:$AZ$73,IFERROR(('Final Calculation Sheet'!$M$37)&amp;"","")))))&gt;0),IF(COUNTIF($BI$73:$BP$73,5)=0,TRUE,SUMPRODUCT(($BI$73:$BP$73=5)*($AS$73:$AZ$73&lt;&gt;"")*IF(((UPPER($AS$73:$AZ$73)="BLANK")+(UPPER($AS$73:$AZ$73)="(BLANK)")+(UPPER($AS$73:$AZ$73)="EMPTY")+(UPPER($AS$73:$AZ$73)="(EMPTY)"))&gt;0,IFERROR(('Final Calculation Sheet'!$M$37)&amp;"","")="",ISNUMBER(SEARCH($AS$73:$AZ$73,IFERROR(('Final Calculation Sheet'!$M$37)&amp;"","")))))&gt;0),IF(COUNTIF($BI$73:$BP$73,6)=0,TRUE,SUMPRODUCT(($BI$73:$BP$73=6)*($AS$73:$AZ$73&lt;&gt;"")*IF(((UPPER($AS$73:$AZ$73)="BLANK")+(UPPER($AS$73:$AZ$73)="(BLANK)")+(UPPER($AS$73:$AZ$73)="EMPTY")+(UPPER($AS$73:$AZ$73)="(EMPTY)"))&gt;0,IFERROR(('Final Calculation Sheet'!$M$37)&amp;"","")="",ISNUMBER(SEARCH($AS$73:$AZ$73,IFERROR(('Final Calculation Sheet'!$M$37)&amp;"","")))))&gt;0),IF(COUNTIF($BI$73:$BP$73,7)=0,TRUE,SUMPRODUCT(($BI$73:$BP$73=7)*($AS$73:$AZ$73&lt;&gt;"")*IF(((UPPER($AS$73:$AZ$73)="BLANK")+(UPPER($AS$73:$AZ$73)="(BLANK)")+(UPPER($AS$73:$AZ$73)="EMPTY")+(UPPER($AS$73:$AZ$73)="(EMPTY)"))&gt;0,IFERROR(('Final Calculation Sheet'!$M$37)&amp;"","")="",ISNUMBER(SEARCH($AS$73:$AZ$73,IFERROR(('Final Calculation Sheet'!$M$37)&amp;"","")))))&gt;0),IF(COUNTIF($BI$73:$BP$73,8)=0,TRUE,SUMPRODUCT(($BI$73:$BP$73=8)*($AS$73:$AZ$73&lt;&gt;"")*IF(((UPPER($AS$73:$AZ$73)="BLANK")+(UPPER($AS$73:$AZ$73)="(BLANK)")+(UPPER($AS$73:$AZ$73)="EMPTY")+(UPPER($AS$73:$AZ$73)="(EMPTY)"))&gt;0,IFERROR(('Final Calculation Sheet'!$M$37)&amp;"","")="",ISNUMBER(SEARCH($AS$73:$AZ$73,IFERROR(('Final Calculation Sheet'!$M$37)&amp;"","")))))&gt;0))))</f>
        <v>1</v>
      </c>
      <c r="CA38">
        <f>IF($O$4="",1,--(AND(SUMPRODUCT(--($AS$74:$AZ$74&lt;&gt;""))&gt;0,IF(COUNTIF($BI$74:$BP$74,1)=0,TRUE,SUMPRODUCT(($BI$74:$BP$74=1)*($AS$74:$AZ$74&lt;&gt;"")*IF(((UPPER($AS$74:$AZ$74)="BLANK")+(UPPER($AS$74:$AZ$74)="(BLANK)")+(UPPER($AS$74:$AZ$74)="EMPTY")+(UPPER($AS$74:$AZ$74)="(EMPTY)"))&gt;0,IFERROR(('Final Calculation Sheet'!$N$37)&amp;"","")="",ISNUMBER(SEARCH($AS$74:$AZ$74,IFERROR(('Final Calculation Sheet'!$N$37)&amp;"","")))))&gt;0),IF(COUNTIF($BI$74:$BP$74,2)=0,TRUE,SUMPRODUCT(($BI$74:$BP$74=2)*($AS$74:$AZ$74&lt;&gt;"")*IF(((UPPER($AS$74:$AZ$74)="BLANK")+(UPPER($AS$74:$AZ$74)="(BLANK)")+(UPPER($AS$74:$AZ$74)="EMPTY")+(UPPER($AS$74:$AZ$74)="(EMPTY)"))&gt;0,IFERROR(('Final Calculation Sheet'!$N$37)&amp;"","")="",ISNUMBER(SEARCH($AS$74:$AZ$74,IFERROR(('Final Calculation Sheet'!$N$37)&amp;"","")))))&gt;0),IF(COUNTIF($BI$74:$BP$74,3)=0,TRUE,SUMPRODUCT(($BI$74:$BP$74=3)*($AS$74:$AZ$74&lt;&gt;"")*IF(((UPPER($AS$74:$AZ$74)="BLANK")+(UPPER($AS$74:$AZ$74)="(BLANK)")+(UPPER($AS$74:$AZ$74)="EMPTY")+(UPPER($AS$74:$AZ$74)="(EMPTY)"))&gt;0,IFERROR(('Final Calculation Sheet'!$N$37)&amp;"","")="",ISNUMBER(SEARCH($AS$74:$AZ$74,IFERROR(('Final Calculation Sheet'!$N$37)&amp;"","")))))&gt;0),IF(COUNTIF($BI$74:$BP$74,4)=0,TRUE,SUMPRODUCT(($BI$74:$BP$74=4)*($AS$74:$AZ$74&lt;&gt;"")*IF(((UPPER($AS$74:$AZ$74)="BLANK")+(UPPER($AS$74:$AZ$74)="(BLANK)")+(UPPER($AS$74:$AZ$74)="EMPTY")+(UPPER($AS$74:$AZ$74)="(EMPTY)"))&gt;0,IFERROR(('Final Calculation Sheet'!$N$37)&amp;"","")="",ISNUMBER(SEARCH($AS$74:$AZ$74,IFERROR(('Final Calculation Sheet'!$N$37)&amp;"","")))))&gt;0),IF(COUNTIF($BI$74:$BP$74,5)=0,TRUE,SUMPRODUCT(($BI$74:$BP$74=5)*($AS$74:$AZ$74&lt;&gt;"")*IF(((UPPER($AS$74:$AZ$74)="BLANK")+(UPPER($AS$74:$AZ$74)="(BLANK)")+(UPPER($AS$74:$AZ$74)="EMPTY")+(UPPER($AS$74:$AZ$74)="(EMPTY)"))&gt;0,IFERROR(('Final Calculation Sheet'!$N$37)&amp;"","")="",ISNUMBER(SEARCH($AS$74:$AZ$74,IFERROR(('Final Calculation Sheet'!$N$37)&amp;"","")))))&gt;0),IF(COUNTIF($BI$74:$BP$74,6)=0,TRUE,SUMPRODUCT(($BI$74:$BP$74=6)*($AS$74:$AZ$74&lt;&gt;"")*IF(((UPPER($AS$74:$AZ$74)="BLANK")+(UPPER($AS$74:$AZ$74)="(BLANK)")+(UPPER($AS$74:$AZ$74)="EMPTY")+(UPPER($AS$74:$AZ$74)="(EMPTY)"))&gt;0,IFERROR(('Final Calculation Sheet'!$N$37)&amp;"","")="",ISNUMBER(SEARCH($AS$74:$AZ$74,IFERROR(('Final Calculation Sheet'!$N$37)&amp;"","")))))&gt;0),IF(COUNTIF($BI$74:$BP$74,7)=0,TRUE,SUMPRODUCT(($BI$74:$BP$74=7)*($AS$74:$AZ$74&lt;&gt;"")*IF(((UPPER($AS$74:$AZ$74)="BLANK")+(UPPER($AS$74:$AZ$74)="(BLANK)")+(UPPER($AS$74:$AZ$74)="EMPTY")+(UPPER($AS$74:$AZ$74)="(EMPTY)"))&gt;0,IFERROR(('Final Calculation Sheet'!$N$37)&amp;"","")="",ISNUMBER(SEARCH($AS$74:$AZ$74,IFERROR(('Final Calculation Sheet'!$N$37)&amp;"","")))))&gt;0),IF(COUNTIF($BI$74:$BP$74,8)=0,TRUE,SUMPRODUCT(($BI$74:$BP$74=8)*($AS$74:$AZ$74&lt;&gt;"")*IF(((UPPER($AS$74:$AZ$74)="BLANK")+(UPPER($AS$74:$AZ$74)="(BLANK)")+(UPPER($AS$74:$AZ$74)="EMPTY")+(UPPER($AS$74:$AZ$74)="(EMPTY)"))&gt;0,IFERROR(('Final Calculation Sheet'!$N$37)&amp;"","")="",ISNUMBER(SEARCH($AS$74:$AZ$74,IFERROR(('Final Calculation Sheet'!$N$37)&amp;"","")))))&gt;0))))</f>
        <v>1</v>
      </c>
      <c r="CB38">
        <f>IF($P$4="",1,--(AND(SUMPRODUCT(--($AS$75:$AZ$75&lt;&gt;""))&gt;0,IF(COUNTIF($BI$75:$BP$75,1)=0,TRUE,SUMPRODUCT(($BI$75:$BP$75=1)*($AS$75:$AZ$75&lt;&gt;"")*IF(((UPPER($AS$75:$AZ$75)="BLANK")+(UPPER($AS$75:$AZ$75)="(BLANK)")+(UPPER($AS$75:$AZ$75)="EMPTY")+(UPPER($AS$75:$AZ$75)="(EMPTY)"))&gt;0,IFERROR(('Final Calculation Sheet'!$O$37)&amp;"","")="",ISNUMBER(SEARCH($AS$75:$AZ$75,IFERROR(('Final Calculation Sheet'!$O$37)&amp;"","")))))&gt;0),IF(COUNTIF($BI$75:$BP$75,2)=0,TRUE,SUMPRODUCT(($BI$75:$BP$75=2)*($AS$75:$AZ$75&lt;&gt;"")*IF(((UPPER($AS$75:$AZ$75)="BLANK")+(UPPER($AS$75:$AZ$75)="(BLANK)")+(UPPER($AS$75:$AZ$75)="EMPTY")+(UPPER($AS$75:$AZ$75)="(EMPTY)"))&gt;0,IFERROR(('Final Calculation Sheet'!$O$37)&amp;"","")="",ISNUMBER(SEARCH($AS$75:$AZ$75,IFERROR(('Final Calculation Sheet'!$O$37)&amp;"","")))))&gt;0),IF(COUNTIF($BI$75:$BP$75,3)=0,TRUE,SUMPRODUCT(($BI$75:$BP$75=3)*($AS$75:$AZ$75&lt;&gt;"")*IF(((UPPER($AS$75:$AZ$75)="BLANK")+(UPPER($AS$75:$AZ$75)="(BLANK)")+(UPPER($AS$75:$AZ$75)="EMPTY")+(UPPER($AS$75:$AZ$75)="(EMPTY)"))&gt;0,IFERROR(('Final Calculation Sheet'!$O$37)&amp;"","")="",ISNUMBER(SEARCH($AS$75:$AZ$75,IFERROR(('Final Calculation Sheet'!$O$37)&amp;"","")))))&gt;0),IF(COUNTIF($BI$75:$BP$75,4)=0,TRUE,SUMPRODUCT(($BI$75:$BP$75=4)*($AS$75:$AZ$75&lt;&gt;"")*IF(((UPPER($AS$75:$AZ$75)="BLANK")+(UPPER($AS$75:$AZ$75)="(BLANK)")+(UPPER($AS$75:$AZ$75)="EMPTY")+(UPPER($AS$75:$AZ$75)="(EMPTY)"))&gt;0,IFERROR(('Final Calculation Sheet'!$O$37)&amp;"","")="",ISNUMBER(SEARCH($AS$75:$AZ$75,IFERROR(('Final Calculation Sheet'!$O$37)&amp;"","")))))&gt;0),IF(COUNTIF($BI$75:$BP$75,5)=0,TRUE,SUMPRODUCT(($BI$75:$BP$75=5)*($AS$75:$AZ$75&lt;&gt;"")*IF(((UPPER($AS$75:$AZ$75)="BLANK")+(UPPER($AS$75:$AZ$75)="(BLANK)")+(UPPER($AS$75:$AZ$75)="EMPTY")+(UPPER($AS$75:$AZ$75)="(EMPTY)"))&gt;0,IFERROR(('Final Calculation Sheet'!$O$37)&amp;"","")="",ISNUMBER(SEARCH($AS$75:$AZ$75,IFERROR(('Final Calculation Sheet'!$O$37)&amp;"","")))))&gt;0),IF(COUNTIF($BI$75:$BP$75,6)=0,TRUE,SUMPRODUCT(($BI$75:$BP$75=6)*($AS$75:$AZ$75&lt;&gt;"")*IF(((UPPER($AS$75:$AZ$75)="BLANK")+(UPPER($AS$75:$AZ$75)="(BLANK)")+(UPPER($AS$75:$AZ$75)="EMPTY")+(UPPER($AS$75:$AZ$75)="(EMPTY)"))&gt;0,IFERROR(('Final Calculation Sheet'!$O$37)&amp;"","")="",ISNUMBER(SEARCH($AS$75:$AZ$75,IFERROR(('Final Calculation Sheet'!$O$37)&amp;"","")))))&gt;0),IF(COUNTIF($BI$75:$BP$75,7)=0,TRUE,SUMPRODUCT(($BI$75:$BP$75=7)*($AS$75:$AZ$75&lt;&gt;"")*IF(((UPPER($AS$75:$AZ$75)="BLANK")+(UPPER($AS$75:$AZ$75)="(BLANK)")+(UPPER($AS$75:$AZ$75)="EMPTY")+(UPPER($AS$75:$AZ$75)="(EMPTY)"))&gt;0,IFERROR(('Final Calculation Sheet'!$O$37)&amp;"","")="",ISNUMBER(SEARCH($AS$75:$AZ$75,IFERROR(('Final Calculation Sheet'!$O$37)&amp;"","")))))&gt;0),IF(COUNTIF($BI$75:$BP$75,8)=0,TRUE,SUMPRODUCT(($BI$75:$BP$75=8)*($AS$75:$AZ$75&lt;&gt;"")*IF(((UPPER($AS$75:$AZ$75)="BLANK")+(UPPER($AS$75:$AZ$75)="(BLANK)")+(UPPER($AS$75:$AZ$75)="EMPTY")+(UPPER($AS$75:$AZ$75)="(EMPTY)"))&gt;0,IFERROR(('Final Calculation Sheet'!$O$37)&amp;"","")="",ISNUMBER(SEARCH($AS$75:$AZ$75,IFERROR(('Final Calculation Sheet'!$O$37)&amp;"","")))))&gt;0))))</f>
        <v>1</v>
      </c>
      <c r="CC38">
        <f>IF($Q$4="",1,--(AND(SUMPRODUCT(--($AS$76:$AZ$76&lt;&gt;""))&gt;0,IF(COUNTIF($BI$76:$BP$76,1)=0,TRUE,SUMPRODUCT(($BI$76:$BP$76=1)*($AS$76:$AZ$76&lt;&gt;"")*IF(((UPPER($AS$76:$AZ$76)="BLANK")+(UPPER($AS$76:$AZ$76)="(BLANK)")+(UPPER($AS$76:$AZ$76)="EMPTY")+(UPPER($AS$76:$AZ$76)="(EMPTY)"))&gt;0,IFERROR(('Final Calculation Sheet'!$P$37)&amp;"","")="",ISNUMBER(SEARCH($AS$76:$AZ$76,IFERROR(('Final Calculation Sheet'!$P$37)&amp;"","")))))&gt;0),IF(COUNTIF($BI$76:$BP$76,2)=0,TRUE,SUMPRODUCT(($BI$76:$BP$76=2)*($AS$76:$AZ$76&lt;&gt;"")*IF(((UPPER($AS$76:$AZ$76)="BLANK")+(UPPER($AS$76:$AZ$76)="(BLANK)")+(UPPER($AS$76:$AZ$76)="EMPTY")+(UPPER($AS$76:$AZ$76)="(EMPTY)"))&gt;0,IFERROR(('Final Calculation Sheet'!$P$37)&amp;"","")="",ISNUMBER(SEARCH($AS$76:$AZ$76,IFERROR(('Final Calculation Sheet'!$P$37)&amp;"","")))))&gt;0),IF(COUNTIF($BI$76:$BP$76,3)=0,TRUE,SUMPRODUCT(($BI$76:$BP$76=3)*($AS$76:$AZ$76&lt;&gt;"")*IF(((UPPER($AS$76:$AZ$76)="BLANK")+(UPPER($AS$76:$AZ$76)="(BLANK)")+(UPPER($AS$76:$AZ$76)="EMPTY")+(UPPER($AS$76:$AZ$76)="(EMPTY)"))&gt;0,IFERROR(('Final Calculation Sheet'!$P$37)&amp;"","")="",ISNUMBER(SEARCH($AS$76:$AZ$76,IFERROR(('Final Calculation Sheet'!$P$37)&amp;"","")))))&gt;0),IF(COUNTIF($BI$76:$BP$76,4)=0,TRUE,SUMPRODUCT(($BI$76:$BP$76=4)*($AS$76:$AZ$76&lt;&gt;"")*IF(((UPPER($AS$76:$AZ$76)="BLANK")+(UPPER($AS$76:$AZ$76)="(BLANK)")+(UPPER($AS$76:$AZ$76)="EMPTY")+(UPPER($AS$76:$AZ$76)="(EMPTY)"))&gt;0,IFERROR(('Final Calculation Sheet'!$P$37)&amp;"","")="",ISNUMBER(SEARCH($AS$76:$AZ$76,IFERROR(('Final Calculation Sheet'!$P$37)&amp;"","")))))&gt;0),IF(COUNTIF($BI$76:$BP$76,5)=0,TRUE,SUMPRODUCT(($BI$76:$BP$76=5)*($AS$76:$AZ$76&lt;&gt;"")*IF(((UPPER($AS$76:$AZ$76)="BLANK")+(UPPER($AS$76:$AZ$76)="(BLANK)")+(UPPER($AS$76:$AZ$76)="EMPTY")+(UPPER($AS$76:$AZ$76)="(EMPTY)"))&gt;0,IFERROR(('Final Calculation Sheet'!$P$37)&amp;"","")="",ISNUMBER(SEARCH($AS$76:$AZ$76,IFERROR(('Final Calculation Sheet'!$P$37)&amp;"","")))))&gt;0),IF(COUNTIF($BI$76:$BP$76,6)=0,TRUE,SUMPRODUCT(($BI$76:$BP$76=6)*($AS$76:$AZ$76&lt;&gt;"")*IF(((UPPER($AS$76:$AZ$76)="BLANK")+(UPPER($AS$76:$AZ$76)="(BLANK)")+(UPPER($AS$76:$AZ$76)="EMPTY")+(UPPER($AS$76:$AZ$76)="(EMPTY)"))&gt;0,IFERROR(('Final Calculation Sheet'!$P$37)&amp;"","")="",ISNUMBER(SEARCH($AS$76:$AZ$76,IFERROR(('Final Calculation Sheet'!$P$37)&amp;"","")))))&gt;0),IF(COUNTIF($BI$76:$BP$76,7)=0,TRUE,SUMPRODUCT(($BI$76:$BP$76=7)*($AS$76:$AZ$76&lt;&gt;"")*IF(((UPPER($AS$76:$AZ$76)="BLANK")+(UPPER($AS$76:$AZ$76)="(BLANK)")+(UPPER($AS$76:$AZ$76)="EMPTY")+(UPPER($AS$76:$AZ$76)="(EMPTY)"))&gt;0,IFERROR(('Final Calculation Sheet'!$P$37)&amp;"","")="",ISNUMBER(SEARCH($AS$76:$AZ$76,IFERROR(('Final Calculation Sheet'!$P$37)&amp;"","")))))&gt;0),IF(COUNTIF($BI$76:$BP$76,8)=0,TRUE,SUMPRODUCT(($BI$76:$BP$76=8)*($AS$76:$AZ$76&lt;&gt;"")*IF(((UPPER($AS$76:$AZ$76)="BLANK")+(UPPER($AS$76:$AZ$76)="(BLANK)")+(UPPER($AS$76:$AZ$76)="EMPTY")+(UPPER($AS$76:$AZ$76)="(EMPTY)"))&gt;0,IFERROR(('Final Calculation Sheet'!$P$37)&amp;"","")="",ISNUMBER(SEARCH($AS$76:$AZ$76,IFERROR(('Final Calculation Sheet'!$P$37)&amp;"","")))))&gt;0))))</f>
        <v>1</v>
      </c>
      <c r="CD38">
        <f>IF($R$4="",1,--(AND(SUMPRODUCT(--($AS$77:$AZ$77&lt;&gt;""))&gt;0,IF(COUNTIF($BI$77:$BP$77,1)=0,TRUE,SUMPRODUCT(($BI$77:$BP$77=1)*($AS$77:$AZ$77&lt;&gt;"")*IF(((UPPER($AS$77:$AZ$77)="BLANK")+(UPPER($AS$77:$AZ$77)="(BLANK)")+(UPPER($AS$77:$AZ$77)="EMPTY")+(UPPER($AS$77:$AZ$77)="(EMPTY)"))&gt;0,IFERROR(('Final Calculation Sheet'!$Q$37)&amp;"","")="",ISNUMBER(SEARCH($AS$77:$AZ$77,IFERROR(('Final Calculation Sheet'!$Q$37)&amp;"","")))))&gt;0),IF(COUNTIF($BI$77:$BP$77,2)=0,TRUE,SUMPRODUCT(($BI$77:$BP$77=2)*($AS$77:$AZ$77&lt;&gt;"")*IF(((UPPER($AS$77:$AZ$77)="BLANK")+(UPPER($AS$77:$AZ$77)="(BLANK)")+(UPPER($AS$77:$AZ$77)="EMPTY")+(UPPER($AS$77:$AZ$77)="(EMPTY)"))&gt;0,IFERROR(('Final Calculation Sheet'!$Q$37)&amp;"","")="",ISNUMBER(SEARCH($AS$77:$AZ$77,IFERROR(('Final Calculation Sheet'!$Q$37)&amp;"","")))))&gt;0),IF(COUNTIF($BI$77:$BP$77,3)=0,TRUE,SUMPRODUCT(($BI$77:$BP$77=3)*($AS$77:$AZ$77&lt;&gt;"")*IF(((UPPER($AS$77:$AZ$77)="BLANK")+(UPPER($AS$77:$AZ$77)="(BLANK)")+(UPPER($AS$77:$AZ$77)="EMPTY")+(UPPER($AS$77:$AZ$77)="(EMPTY)"))&gt;0,IFERROR(('Final Calculation Sheet'!$Q$37)&amp;"","")="",ISNUMBER(SEARCH($AS$77:$AZ$77,IFERROR(('Final Calculation Sheet'!$Q$37)&amp;"","")))))&gt;0),IF(COUNTIF($BI$77:$BP$77,4)=0,TRUE,SUMPRODUCT(($BI$77:$BP$77=4)*($AS$77:$AZ$77&lt;&gt;"")*IF(((UPPER($AS$77:$AZ$77)="BLANK")+(UPPER($AS$77:$AZ$77)="(BLANK)")+(UPPER($AS$77:$AZ$77)="EMPTY")+(UPPER($AS$77:$AZ$77)="(EMPTY)"))&gt;0,IFERROR(('Final Calculation Sheet'!$Q$37)&amp;"","")="",ISNUMBER(SEARCH($AS$77:$AZ$77,IFERROR(('Final Calculation Sheet'!$Q$37)&amp;"","")))))&gt;0),IF(COUNTIF($BI$77:$BP$77,5)=0,TRUE,SUMPRODUCT(($BI$77:$BP$77=5)*($AS$77:$AZ$77&lt;&gt;"")*IF(((UPPER($AS$77:$AZ$77)="BLANK")+(UPPER($AS$77:$AZ$77)="(BLANK)")+(UPPER($AS$77:$AZ$77)="EMPTY")+(UPPER($AS$77:$AZ$77)="(EMPTY)"))&gt;0,IFERROR(('Final Calculation Sheet'!$Q$37)&amp;"","")="",ISNUMBER(SEARCH($AS$77:$AZ$77,IFERROR(('Final Calculation Sheet'!$Q$37)&amp;"","")))))&gt;0),IF(COUNTIF($BI$77:$BP$77,6)=0,TRUE,SUMPRODUCT(($BI$77:$BP$77=6)*($AS$77:$AZ$77&lt;&gt;"")*IF(((UPPER($AS$77:$AZ$77)="BLANK")+(UPPER($AS$77:$AZ$77)="(BLANK)")+(UPPER($AS$77:$AZ$77)="EMPTY")+(UPPER($AS$77:$AZ$77)="(EMPTY)"))&gt;0,IFERROR(('Final Calculation Sheet'!$Q$37)&amp;"","")="",ISNUMBER(SEARCH($AS$77:$AZ$77,IFERROR(('Final Calculation Sheet'!$Q$37)&amp;"","")))))&gt;0),IF(COUNTIF($BI$77:$BP$77,7)=0,TRUE,SUMPRODUCT(($BI$77:$BP$77=7)*($AS$77:$AZ$77&lt;&gt;"")*IF(((UPPER($AS$77:$AZ$77)="BLANK")+(UPPER($AS$77:$AZ$77)="(BLANK)")+(UPPER($AS$77:$AZ$77)="EMPTY")+(UPPER($AS$77:$AZ$77)="(EMPTY)"))&gt;0,IFERROR(('Final Calculation Sheet'!$Q$37)&amp;"","")="",ISNUMBER(SEARCH($AS$77:$AZ$77,IFERROR(('Final Calculation Sheet'!$Q$37)&amp;"","")))))&gt;0),IF(COUNTIF($BI$77:$BP$77,8)=0,TRUE,SUMPRODUCT(($BI$77:$BP$77=8)*($AS$77:$AZ$77&lt;&gt;"")*IF(((UPPER($AS$77:$AZ$77)="BLANK")+(UPPER($AS$77:$AZ$77)="(BLANK)")+(UPPER($AS$77:$AZ$77)="EMPTY")+(UPPER($AS$77:$AZ$77)="(EMPTY)"))&gt;0,IFERROR(('Final Calculation Sheet'!$Q$37)&amp;"","")="",ISNUMBER(SEARCH($AS$77:$AZ$77,IFERROR(('Final Calculation Sheet'!$Q$37)&amp;"","")))))&gt;0))))</f>
        <v>1</v>
      </c>
      <c r="CE38">
        <f>IF($S$4="",1,--(AND(SUMPRODUCT(--($AS$78:$AZ$78&lt;&gt;""))&gt;0,IF(COUNTIF($BI$78:$BP$78,1)=0,TRUE,SUMPRODUCT(($BI$78:$BP$78=1)*($AS$78:$AZ$78&lt;&gt;"")*IF(((UPPER($AS$78:$AZ$78)="BLANK")+(UPPER($AS$78:$AZ$78)="(BLANK)")+(UPPER($AS$78:$AZ$78)="EMPTY")+(UPPER($AS$78:$AZ$78)="(EMPTY)"))&gt;0,IFERROR(('Final Calculation Sheet'!$R$37)&amp;"","")="",ISNUMBER(SEARCH($AS$78:$AZ$78,IFERROR(('Final Calculation Sheet'!$R$37)&amp;"","")))))&gt;0),IF(COUNTIF($BI$78:$BP$78,2)=0,TRUE,SUMPRODUCT(($BI$78:$BP$78=2)*($AS$78:$AZ$78&lt;&gt;"")*IF(((UPPER($AS$78:$AZ$78)="BLANK")+(UPPER($AS$78:$AZ$78)="(BLANK)")+(UPPER($AS$78:$AZ$78)="EMPTY")+(UPPER($AS$78:$AZ$78)="(EMPTY)"))&gt;0,IFERROR(('Final Calculation Sheet'!$R$37)&amp;"","")="",ISNUMBER(SEARCH($AS$78:$AZ$78,IFERROR(('Final Calculation Sheet'!$R$37)&amp;"","")))))&gt;0),IF(COUNTIF($BI$78:$BP$78,3)=0,TRUE,SUMPRODUCT(($BI$78:$BP$78=3)*($AS$78:$AZ$78&lt;&gt;"")*IF(((UPPER($AS$78:$AZ$78)="BLANK")+(UPPER($AS$78:$AZ$78)="(BLANK)")+(UPPER($AS$78:$AZ$78)="EMPTY")+(UPPER($AS$78:$AZ$78)="(EMPTY)"))&gt;0,IFERROR(('Final Calculation Sheet'!$R$37)&amp;"","")="",ISNUMBER(SEARCH($AS$78:$AZ$78,IFERROR(('Final Calculation Sheet'!$R$37)&amp;"","")))))&gt;0),IF(COUNTIF($BI$78:$BP$78,4)=0,TRUE,SUMPRODUCT(($BI$78:$BP$78=4)*($AS$78:$AZ$78&lt;&gt;"")*IF(((UPPER($AS$78:$AZ$78)="BLANK")+(UPPER($AS$78:$AZ$78)="(BLANK)")+(UPPER($AS$78:$AZ$78)="EMPTY")+(UPPER($AS$78:$AZ$78)="(EMPTY)"))&gt;0,IFERROR(('Final Calculation Sheet'!$R$37)&amp;"","")="",ISNUMBER(SEARCH($AS$78:$AZ$78,IFERROR(('Final Calculation Sheet'!$R$37)&amp;"","")))))&gt;0),IF(COUNTIF($BI$78:$BP$78,5)=0,TRUE,SUMPRODUCT(($BI$78:$BP$78=5)*($AS$78:$AZ$78&lt;&gt;"")*IF(((UPPER($AS$78:$AZ$78)="BLANK")+(UPPER($AS$78:$AZ$78)="(BLANK)")+(UPPER($AS$78:$AZ$78)="EMPTY")+(UPPER($AS$78:$AZ$78)="(EMPTY)"))&gt;0,IFERROR(('Final Calculation Sheet'!$R$37)&amp;"","")="",ISNUMBER(SEARCH($AS$78:$AZ$78,IFERROR(('Final Calculation Sheet'!$R$37)&amp;"","")))))&gt;0),IF(COUNTIF($BI$78:$BP$78,6)=0,TRUE,SUMPRODUCT(($BI$78:$BP$78=6)*($AS$78:$AZ$78&lt;&gt;"")*IF(((UPPER($AS$78:$AZ$78)="BLANK")+(UPPER($AS$78:$AZ$78)="(BLANK)")+(UPPER($AS$78:$AZ$78)="EMPTY")+(UPPER($AS$78:$AZ$78)="(EMPTY)"))&gt;0,IFERROR(('Final Calculation Sheet'!$R$37)&amp;"","")="",ISNUMBER(SEARCH($AS$78:$AZ$78,IFERROR(('Final Calculation Sheet'!$R$37)&amp;"","")))))&gt;0),IF(COUNTIF($BI$78:$BP$78,7)=0,TRUE,SUMPRODUCT(($BI$78:$BP$78=7)*($AS$78:$AZ$78&lt;&gt;"")*IF(((UPPER($AS$78:$AZ$78)="BLANK")+(UPPER($AS$78:$AZ$78)="(BLANK)")+(UPPER($AS$78:$AZ$78)="EMPTY")+(UPPER($AS$78:$AZ$78)="(EMPTY)"))&gt;0,IFERROR(('Final Calculation Sheet'!$R$37)&amp;"","")="",ISNUMBER(SEARCH($AS$78:$AZ$78,IFERROR(('Final Calculation Sheet'!$R$37)&amp;"","")))))&gt;0),IF(COUNTIF($BI$78:$BP$78,8)=0,TRUE,SUMPRODUCT(($BI$78:$BP$78=8)*($AS$78:$AZ$78&lt;&gt;"")*IF(((UPPER($AS$78:$AZ$78)="BLANK")+(UPPER($AS$78:$AZ$78)="(BLANK)")+(UPPER($AS$78:$AZ$78)="EMPTY")+(UPPER($AS$78:$AZ$78)="(EMPTY)"))&gt;0,IFERROR(('Final Calculation Sheet'!$R$37)&amp;"","")="",ISNUMBER(SEARCH($AS$78:$AZ$78,IFERROR(('Final Calculation Sheet'!$R$37)&amp;"","")))))&gt;0))))</f>
        <v>1</v>
      </c>
      <c r="CF38">
        <f>IF($T$4="",1,--(AND(SUMPRODUCT(--($AS$79:$AZ$79&lt;&gt;""))&gt;0,IF(COUNTIF($BI$79:$BP$79,1)=0,TRUE,SUMPRODUCT(($BI$79:$BP$79=1)*($AS$79:$AZ$79&lt;&gt;"")*IF(((UPPER($AS$79:$AZ$79)="BLANK")+(UPPER($AS$79:$AZ$79)="(BLANK)")+(UPPER($AS$79:$AZ$79)="EMPTY")+(UPPER($AS$79:$AZ$79)="(EMPTY)"))&gt;0,IFERROR(('Final Calculation Sheet'!$S$37)&amp;"","")="",ISNUMBER(SEARCH($AS$79:$AZ$79,IFERROR(('Final Calculation Sheet'!$S$37)&amp;"","")))))&gt;0),IF(COUNTIF($BI$79:$BP$79,2)=0,TRUE,SUMPRODUCT(($BI$79:$BP$79=2)*($AS$79:$AZ$79&lt;&gt;"")*IF(((UPPER($AS$79:$AZ$79)="BLANK")+(UPPER($AS$79:$AZ$79)="(BLANK)")+(UPPER($AS$79:$AZ$79)="EMPTY")+(UPPER($AS$79:$AZ$79)="(EMPTY)"))&gt;0,IFERROR(('Final Calculation Sheet'!$S$37)&amp;"","")="",ISNUMBER(SEARCH($AS$79:$AZ$79,IFERROR(('Final Calculation Sheet'!$S$37)&amp;"","")))))&gt;0),IF(COUNTIF($BI$79:$BP$79,3)=0,TRUE,SUMPRODUCT(($BI$79:$BP$79=3)*($AS$79:$AZ$79&lt;&gt;"")*IF(((UPPER($AS$79:$AZ$79)="BLANK")+(UPPER($AS$79:$AZ$79)="(BLANK)")+(UPPER($AS$79:$AZ$79)="EMPTY")+(UPPER($AS$79:$AZ$79)="(EMPTY)"))&gt;0,IFERROR(('Final Calculation Sheet'!$S$37)&amp;"","")="",ISNUMBER(SEARCH($AS$79:$AZ$79,IFERROR(('Final Calculation Sheet'!$S$37)&amp;"","")))))&gt;0),IF(COUNTIF($BI$79:$BP$79,4)=0,TRUE,SUMPRODUCT(($BI$79:$BP$79=4)*($AS$79:$AZ$79&lt;&gt;"")*IF(((UPPER($AS$79:$AZ$79)="BLANK")+(UPPER($AS$79:$AZ$79)="(BLANK)")+(UPPER($AS$79:$AZ$79)="EMPTY")+(UPPER($AS$79:$AZ$79)="(EMPTY)"))&gt;0,IFERROR(('Final Calculation Sheet'!$S$37)&amp;"","")="",ISNUMBER(SEARCH($AS$79:$AZ$79,IFERROR(('Final Calculation Sheet'!$S$37)&amp;"","")))))&gt;0),IF(COUNTIF($BI$79:$BP$79,5)=0,TRUE,SUMPRODUCT(($BI$79:$BP$79=5)*($AS$79:$AZ$79&lt;&gt;"")*IF(((UPPER($AS$79:$AZ$79)="BLANK")+(UPPER($AS$79:$AZ$79)="(BLANK)")+(UPPER($AS$79:$AZ$79)="EMPTY")+(UPPER($AS$79:$AZ$79)="(EMPTY)"))&gt;0,IFERROR(('Final Calculation Sheet'!$S$37)&amp;"","")="",ISNUMBER(SEARCH($AS$79:$AZ$79,IFERROR(('Final Calculation Sheet'!$S$37)&amp;"","")))))&gt;0),IF(COUNTIF($BI$79:$BP$79,6)=0,TRUE,SUMPRODUCT(($BI$79:$BP$79=6)*($AS$79:$AZ$79&lt;&gt;"")*IF(((UPPER($AS$79:$AZ$79)="BLANK")+(UPPER($AS$79:$AZ$79)="(BLANK)")+(UPPER($AS$79:$AZ$79)="EMPTY")+(UPPER($AS$79:$AZ$79)="(EMPTY)"))&gt;0,IFERROR(('Final Calculation Sheet'!$S$37)&amp;"","")="",ISNUMBER(SEARCH($AS$79:$AZ$79,IFERROR(('Final Calculation Sheet'!$S$37)&amp;"","")))))&gt;0),IF(COUNTIF($BI$79:$BP$79,7)=0,TRUE,SUMPRODUCT(($BI$79:$BP$79=7)*($AS$79:$AZ$79&lt;&gt;"")*IF(((UPPER($AS$79:$AZ$79)="BLANK")+(UPPER($AS$79:$AZ$79)="(BLANK)")+(UPPER($AS$79:$AZ$79)="EMPTY")+(UPPER($AS$79:$AZ$79)="(EMPTY)"))&gt;0,IFERROR(('Final Calculation Sheet'!$S$37)&amp;"","")="",ISNUMBER(SEARCH($AS$79:$AZ$79,IFERROR(('Final Calculation Sheet'!$S$37)&amp;"","")))))&gt;0),IF(COUNTIF($BI$79:$BP$79,8)=0,TRUE,SUMPRODUCT(($BI$79:$BP$79=8)*($AS$79:$AZ$79&lt;&gt;"")*IF(((UPPER($AS$79:$AZ$79)="BLANK")+(UPPER($AS$79:$AZ$79)="(BLANK)")+(UPPER($AS$79:$AZ$79)="EMPTY")+(UPPER($AS$79:$AZ$79)="(EMPTY)"))&gt;0,IFERROR(('Final Calculation Sheet'!$S$37)&amp;"","")="",ISNUMBER(SEARCH($AS$79:$AZ$79,IFERROR(('Final Calculation Sheet'!$S$37)&amp;"","")))))&gt;0))))</f>
        <v>1</v>
      </c>
      <c r="CG38">
        <f>IF($U$4="",1,--(AND(SUMPRODUCT(--($AS$80:$AZ$80&lt;&gt;""))&gt;0,IF(COUNTIF($BI$80:$BP$80,1)=0,TRUE,SUMPRODUCT(($BI$80:$BP$80=1)*($AS$80:$AZ$80&lt;&gt;"")*IF(((UPPER($AS$80:$AZ$80)="BLANK")+(UPPER($AS$80:$AZ$80)="(BLANK)")+(UPPER($AS$80:$AZ$80)="EMPTY")+(UPPER($AS$80:$AZ$80)="(EMPTY)"))&gt;0,IFERROR(('Final Calculation Sheet'!$T$37)&amp;"","")="",ISNUMBER(SEARCH($AS$80:$AZ$80,IFERROR(('Final Calculation Sheet'!$T$37)&amp;"","")))))&gt;0),IF(COUNTIF($BI$80:$BP$80,2)=0,TRUE,SUMPRODUCT(($BI$80:$BP$80=2)*($AS$80:$AZ$80&lt;&gt;"")*IF(((UPPER($AS$80:$AZ$80)="BLANK")+(UPPER($AS$80:$AZ$80)="(BLANK)")+(UPPER($AS$80:$AZ$80)="EMPTY")+(UPPER($AS$80:$AZ$80)="(EMPTY)"))&gt;0,IFERROR(('Final Calculation Sheet'!$T$37)&amp;"","")="",ISNUMBER(SEARCH($AS$80:$AZ$80,IFERROR(('Final Calculation Sheet'!$T$37)&amp;"","")))))&gt;0),IF(COUNTIF($BI$80:$BP$80,3)=0,TRUE,SUMPRODUCT(($BI$80:$BP$80=3)*($AS$80:$AZ$80&lt;&gt;"")*IF(((UPPER($AS$80:$AZ$80)="BLANK")+(UPPER($AS$80:$AZ$80)="(BLANK)")+(UPPER($AS$80:$AZ$80)="EMPTY")+(UPPER($AS$80:$AZ$80)="(EMPTY)"))&gt;0,IFERROR(('Final Calculation Sheet'!$T$37)&amp;"","")="",ISNUMBER(SEARCH($AS$80:$AZ$80,IFERROR(('Final Calculation Sheet'!$T$37)&amp;"","")))))&gt;0),IF(COUNTIF($BI$80:$BP$80,4)=0,TRUE,SUMPRODUCT(($BI$80:$BP$80=4)*($AS$80:$AZ$80&lt;&gt;"")*IF(((UPPER($AS$80:$AZ$80)="BLANK")+(UPPER($AS$80:$AZ$80)="(BLANK)")+(UPPER($AS$80:$AZ$80)="EMPTY")+(UPPER($AS$80:$AZ$80)="(EMPTY)"))&gt;0,IFERROR(('Final Calculation Sheet'!$T$37)&amp;"","")="",ISNUMBER(SEARCH($AS$80:$AZ$80,IFERROR(('Final Calculation Sheet'!$T$37)&amp;"","")))))&gt;0),IF(COUNTIF($BI$80:$BP$80,5)=0,TRUE,SUMPRODUCT(($BI$80:$BP$80=5)*($AS$80:$AZ$80&lt;&gt;"")*IF(((UPPER($AS$80:$AZ$80)="BLANK")+(UPPER($AS$80:$AZ$80)="(BLANK)")+(UPPER($AS$80:$AZ$80)="EMPTY")+(UPPER($AS$80:$AZ$80)="(EMPTY)"))&gt;0,IFERROR(('Final Calculation Sheet'!$T$37)&amp;"","")="",ISNUMBER(SEARCH($AS$80:$AZ$80,IFERROR(('Final Calculation Sheet'!$T$37)&amp;"","")))))&gt;0),IF(COUNTIF($BI$80:$BP$80,6)=0,TRUE,SUMPRODUCT(($BI$80:$BP$80=6)*($AS$80:$AZ$80&lt;&gt;"")*IF(((UPPER($AS$80:$AZ$80)="BLANK")+(UPPER($AS$80:$AZ$80)="(BLANK)")+(UPPER($AS$80:$AZ$80)="EMPTY")+(UPPER($AS$80:$AZ$80)="(EMPTY)"))&gt;0,IFERROR(('Final Calculation Sheet'!$T$37)&amp;"","")="",ISNUMBER(SEARCH($AS$80:$AZ$80,IFERROR(('Final Calculation Sheet'!$T$37)&amp;"","")))))&gt;0),IF(COUNTIF($BI$80:$BP$80,7)=0,TRUE,SUMPRODUCT(($BI$80:$BP$80=7)*($AS$80:$AZ$80&lt;&gt;"")*IF(((UPPER($AS$80:$AZ$80)="BLANK")+(UPPER($AS$80:$AZ$80)="(BLANK)")+(UPPER($AS$80:$AZ$80)="EMPTY")+(UPPER($AS$80:$AZ$80)="(EMPTY)"))&gt;0,IFERROR(('Final Calculation Sheet'!$T$37)&amp;"","")="",ISNUMBER(SEARCH($AS$80:$AZ$80,IFERROR(('Final Calculation Sheet'!$T$37)&amp;"","")))))&gt;0),IF(COUNTIF($BI$80:$BP$80,8)=0,TRUE,SUMPRODUCT(($BI$80:$BP$80=8)*($AS$80:$AZ$80&lt;&gt;"")*IF(((UPPER($AS$80:$AZ$80)="BLANK")+(UPPER($AS$80:$AZ$80)="(BLANK)")+(UPPER($AS$80:$AZ$80)="EMPTY")+(UPPER($AS$80:$AZ$80)="(EMPTY)"))&gt;0,IFERROR(('Final Calculation Sheet'!$T$37)&amp;"","")="",ISNUMBER(SEARCH($AS$80:$AZ$80,IFERROR(('Final Calculation Sheet'!$T$37)&amp;"","")))))&gt;0))))</f>
        <v>1</v>
      </c>
      <c r="CH38">
        <f>IF($V$4="",1,--(AND(SUMPRODUCT(--($AS$81:$AZ$81&lt;&gt;""))&gt;0,IF(COUNTIF($BI$81:$BP$81,1)=0,TRUE,SUMPRODUCT(($BI$81:$BP$81=1)*($AS$81:$AZ$81&lt;&gt;"")*IF(((UPPER($AS$81:$AZ$81)="BLANK")+(UPPER($AS$81:$AZ$81)="(BLANK)")+(UPPER($AS$81:$AZ$81)="EMPTY")+(UPPER($AS$81:$AZ$81)="(EMPTY)"))&gt;0,IFERROR(('Final Calculation Sheet'!$U$37)&amp;"","")="",ISNUMBER(SEARCH($AS$81:$AZ$81,IFERROR(('Final Calculation Sheet'!$U$37)&amp;"","")))))&gt;0),IF(COUNTIF($BI$81:$BP$81,2)=0,TRUE,SUMPRODUCT(($BI$81:$BP$81=2)*($AS$81:$AZ$81&lt;&gt;"")*IF(((UPPER($AS$81:$AZ$81)="BLANK")+(UPPER($AS$81:$AZ$81)="(BLANK)")+(UPPER($AS$81:$AZ$81)="EMPTY")+(UPPER($AS$81:$AZ$81)="(EMPTY)"))&gt;0,IFERROR(('Final Calculation Sheet'!$U$37)&amp;"","")="",ISNUMBER(SEARCH($AS$81:$AZ$81,IFERROR(('Final Calculation Sheet'!$U$37)&amp;"","")))))&gt;0),IF(COUNTIF($BI$81:$BP$81,3)=0,TRUE,SUMPRODUCT(($BI$81:$BP$81=3)*($AS$81:$AZ$81&lt;&gt;"")*IF(((UPPER($AS$81:$AZ$81)="BLANK")+(UPPER($AS$81:$AZ$81)="(BLANK)")+(UPPER($AS$81:$AZ$81)="EMPTY")+(UPPER($AS$81:$AZ$81)="(EMPTY)"))&gt;0,IFERROR(('Final Calculation Sheet'!$U$37)&amp;"","")="",ISNUMBER(SEARCH($AS$81:$AZ$81,IFERROR(('Final Calculation Sheet'!$U$37)&amp;"","")))))&gt;0),IF(COUNTIF($BI$81:$BP$81,4)=0,TRUE,SUMPRODUCT(($BI$81:$BP$81=4)*($AS$81:$AZ$81&lt;&gt;"")*IF(((UPPER($AS$81:$AZ$81)="BLANK")+(UPPER($AS$81:$AZ$81)="(BLANK)")+(UPPER($AS$81:$AZ$81)="EMPTY")+(UPPER($AS$81:$AZ$81)="(EMPTY)"))&gt;0,IFERROR(('Final Calculation Sheet'!$U$37)&amp;"","")="",ISNUMBER(SEARCH($AS$81:$AZ$81,IFERROR(('Final Calculation Sheet'!$U$37)&amp;"","")))))&gt;0),IF(COUNTIF($BI$81:$BP$81,5)=0,TRUE,SUMPRODUCT(($BI$81:$BP$81=5)*($AS$81:$AZ$81&lt;&gt;"")*IF(((UPPER($AS$81:$AZ$81)="BLANK")+(UPPER($AS$81:$AZ$81)="(BLANK)")+(UPPER($AS$81:$AZ$81)="EMPTY")+(UPPER($AS$81:$AZ$81)="(EMPTY)"))&gt;0,IFERROR(('Final Calculation Sheet'!$U$37)&amp;"","")="",ISNUMBER(SEARCH($AS$81:$AZ$81,IFERROR(('Final Calculation Sheet'!$U$37)&amp;"","")))))&gt;0),IF(COUNTIF($BI$81:$BP$81,6)=0,TRUE,SUMPRODUCT(($BI$81:$BP$81=6)*($AS$81:$AZ$81&lt;&gt;"")*IF(((UPPER($AS$81:$AZ$81)="BLANK")+(UPPER($AS$81:$AZ$81)="(BLANK)")+(UPPER($AS$81:$AZ$81)="EMPTY")+(UPPER($AS$81:$AZ$81)="(EMPTY)"))&gt;0,IFERROR(('Final Calculation Sheet'!$U$37)&amp;"","")="",ISNUMBER(SEARCH($AS$81:$AZ$81,IFERROR(('Final Calculation Sheet'!$U$37)&amp;"","")))))&gt;0),IF(COUNTIF($BI$81:$BP$81,7)=0,TRUE,SUMPRODUCT(($BI$81:$BP$81=7)*($AS$81:$AZ$81&lt;&gt;"")*IF(((UPPER($AS$81:$AZ$81)="BLANK")+(UPPER($AS$81:$AZ$81)="(BLANK)")+(UPPER($AS$81:$AZ$81)="EMPTY")+(UPPER($AS$81:$AZ$81)="(EMPTY)"))&gt;0,IFERROR(('Final Calculation Sheet'!$U$37)&amp;"","")="",ISNUMBER(SEARCH($AS$81:$AZ$81,IFERROR(('Final Calculation Sheet'!$U$37)&amp;"","")))))&gt;0),IF(COUNTIF($BI$81:$BP$81,8)=0,TRUE,SUMPRODUCT(($BI$81:$BP$81=8)*($AS$81:$AZ$81&lt;&gt;"")*IF(((UPPER($AS$81:$AZ$81)="BLANK")+(UPPER($AS$81:$AZ$81)="(BLANK)")+(UPPER($AS$81:$AZ$81)="EMPTY")+(UPPER($AS$81:$AZ$81)="(EMPTY)"))&gt;0,IFERROR(('Final Calculation Sheet'!$U$37)&amp;"","")="",ISNUMBER(SEARCH($AS$81:$AZ$81,IFERROR(('Final Calculation Sheet'!$U$37)&amp;"","")))))&gt;0))))</f>
        <v>1</v>
      </c>
      <c r="CI38">
        <f>IF($W$4="",1,--(AND(SUMPRODUCT(--($AS$82:$AZ$82&lt;&gt;""))&gt;0,IF(COUNTIF($BI$82:$BP$82,1)=0,TRUE,SUMPRODUCT(($BI$82:$BP$82=1)*($AS$82:$AZ$82&lt;&gt;"")*IF(((UPPER($AS$82:$AZ$82)="BLANK")+(UPPER($AS$82:$AZ$82)="(BLANK)")+(UPPER($AS$82:$AZ$82)="EMPTY")+(UPPER($AS$82:$AZ$82)="(EMPTY)"))&gt;0,IFERROR(('Final Calculation Sheet'!$V$37)&amp;"","")="",ISNUMBER(SEARCH($AS$82:$AZ$82,IFERROR(('Final Calculation Sheet'!$V$37)&amp;"","")))))&gt;0),IF(COUNTIF($BI$82:$BP$82,2)=0,TRUE,SUMPRODUCT(($BI$82:$BP$82=2)*($AS$82:$AZ$82&lt;&gt;"")*IF(((UPPER($AS$82:$AZ$82)="BLANK")+(UPPER($AS$82:$AZ$82)="(BLANK)")+(UPPER($AS$82:$AZ$82)="EMPTY")+(UPPER($AS$82:$AZ$82)="(EMPTY)"))&gt;0,IFERROR(('Final Calculation Sheet'!$V$37)&amp;"","")="",ISNUMBER(SEARCH($AS$82:$AZ$82,IFERROR(('Final Calculation Sheet'!$V$37)&amp;"","")))))&gt;0),IF(COUNTIF($BI$82:$BP$82,3)=0,TRUE,SUMPRODUCT(($BI$82:$BP$82=3)*($AS$82:$AZ$82&lt;&gt;"")*IF(((UPPER($AS$82:$AZ$82)="BLANK")+(UPPER($AS$82:$AZ$82)="(BLANK)")+(UPPER($AS$82:$AZ$82)="EMPTY")+(UPPER($AS$82:$AZ$82)="(EMPTY)"))&gt;0,IFERROR(('Final Calculation Sheet'!$V$37)&amp;"","")="",ISNUMBER(SEARCH($AS$82:$AZ$82,IFERROR(('Final Calculation Sheet'!$V$37)&amp;"","")))))&gt;0),IF(COUNTIF($BI$82:$BP$82,4)=0,TRUE,SUMPRODUCT(($BI$82:$BP$82=4)*($AS$82:$AZ$82&lt;&gt;"")*IF(((UPPER($AS$82:$AZ$82)="BLANK")+(UPPER($AS$82:$AZ$82)="(BLANK)")+(UPPER($AS$82:$AZ$82)="EMPTY")+(UPPER($AS$82:$AZ$82)="(EMPTY)"))&gt;0,IFERROR(('Final Calculation Sheet'!$V$37)&amp;"","")="",ISNUMBER(SEARCH($AS$82:$AZ$82,IFERROR(('Final Calculation Sheet'!$V$37)&amp;"","")))))&gt;0),IF(COUNTIF($BI$82:$BP$82,5)=0,TRUE,SUMPRODUCT(($BI$82:$BP$82=5)*($AS$82:$AZ$82&lt;&gt;"")*IF(((UPPER($AS$82:$AZ$82)="BLANK")+(UPPER($AS$82:$AZ$82)="(BLANK)")+(UPPER($AS$82:$AZ$82)="EMPTY")+(UPPER($AS$82:$AZ$82)="(EMPTY)"))&gt;0,IFERROR(('Final Calculation Sheet'!$V$37)&amp;"","")="",ISNUMBER(SEARCH($AS$82:$AZ$82,IFERROR(('Final Calculation Sheet'!$V$37)&amp;"","")))))&gt;0),IF(COUNTIF($BI$82:$BP$82,6)=0,TRUE,SUMPRODUCT(($BI$82:$BP$82=6)*($AS$82:$AZ$82&lt;&gt;"")*IF(((UPPER($AS$82:$AZ$82)="BLANK")+(UPPER($AS$82:$AZ$82)="(BLANK)")+(UPPER($AS$82:$AZ$82)="EMPTY")+(UPPER($AS$82:$AZ$82)="(EMPTY)"))&gt;0,IFERROR(('Final Calculation Sheet'!$V$37)&amp;"","")="",ISNUMBER(SEARCH($AS$82:$AZ$82,IFERROR(('Final Calculation Sheet'!$V$37)&amp;"","")))))&gt;0),IF(COUNTIF($BI$82:$BP$82,7)=0,TRUE,SUMPRODUCT(($BI$82:$BP$82=7)*($AS$82:$AZ$82&lt;&gt;"")*IF(((UPPER($AS$82:$AZ$82)="BLANK")+(UPPER($AS$82:$AZ$82)="(BLANK)")+(UPPER($AS$82:$AZ$82)="EMPTY")+(UPPER($AS$82:$AZ$82)="(EMPTY)"))&gt;0,IFERROR(('Final Calculation Sheet'!$V$37)&amp;"","")="",ISNUMBER(SEARCH($AS$82:$AZ$82,IFERROR(('Final Calculation Sheet'!$V$37)&amp;"","")))))&gt;0),IF(COUNTIF($BI$82:$BP$82,8)=0,TRUE,SUMPRODUCT(($BI$82:$BP$82=8)*($AS$82:$AZ$82&lt;&gt;"")*IF(((UPPER($AS$82:$AZ$82)="BLANK")+(UPPER($AS$82:$AZ$82)="(BLANK)")+(UPPER($AS$82:$AZ$82)="EMPTY")+(UPPER($AS$82:$AZ$82)="(EMPTY)"))&gt;0,IFERROR(('Final Calculation Sheet'!$V$37)&amp;"","")="",ISNUMBER(SEARCH($AS$82:$AZ$82,IFERROR(('Final Calculation Sheet'!$V$37)&amp;"","")))))&gt;0))))</f>
        <v>1</v>
      </c>
      <c r="CJ38">
        <f>IF($X$4="",1,--(AND(SUMPRODUCT(--($AS$83:$AZ$83&lt;&gt;""))&gt;0,IF(COUNTIF($BI$83:$BP$83,1)=0,TRUE,SUMPRODUCT(($BI$83:$BP$83=1)*($AS$83:$AZ$83&lt;&gt;"")*IF(((UPPER($AS$83:$AZ$83)="BLANK")+(UPPER($AS$83:$AZ$83)="(BLANK)")+(UPPER($AS$83:$AZ$83)="EMPTY")+(UPPER($AS$83:$AZ$83)="(EMPTY)"))&gt;0,IFERROR(('Final Calculation Sheet'!$W$37)&amp;"","")="",ISNUMBER(SEARCH($AS$83:$AZ$83,IFERROR(('Final Calculation Sheet'!$W$37)&amp;"","")))))&gt;0),IF(COUNTIF($BI$83:$BP$83,2)=0,TRUE,SUMPRODUCT(($BI$83:$BP$83=2)*($AS$83:$AZ$83&lt;&gt;"")*IF(((UPPER($AS$83:$AZ$83)="BLANK")+(UPPER($AS$83:$AZ$83)="(BLANK)")+(UPPER($AS$83:$AZ$83)="EMPTY")+(UPPER($AS$83:$AZ$83)="(EMPTY)"))&gt;0,IFERROR(('Final Calculation Sheet'!$W$37)&amp;"","")="",ISNUMBER(SEARCH($AS$83:$AZ$83,IFERROR(('Final Calculation Sheet'!$W$37)&amp;"","")))))&gt;0),IF(COUNTIF($BI$83:$BP$83,3)=0,TRUE,SUMPRODUCT(($BI$83:$BP$83=3)*($AS$83:$AZ$83&lt;&gt;"")*IF(((UPPER($AS$83:$AZ$83)="BLANK")+(UPPER($AS$83:$AZ$83)="(BLANK)")+(UPPER($AS$83:$AZ$83)="EMPTY")+(UPPER($AS$83:$AZ$83)="(EMPTY)"))&gt;0,IFERROR(('Final Calculation Sheet'!$W$37)&amp;"","")="",ISNUMBER(SEARCH($AS$83:$AZ$83,IFERROR(('Final Calculation Sheet'!$W$37)&amp;"","")))))&gt;0),IF(COUNTIF($BI$83:$BP$83,4)=0,TRUE,SUMPRODUCT(($BI$83:$BP$83=4)*($AS$83:$AZ$83&lt;&gt;"")*IF(((UPPER($AS$83:$AZ$83)="BLANK")+(UPPER($AS$83:$AZ$83)="(BLANK)")+(UPPER($AS$83:$AZ$83)="EMPTY")+(UPPER($AS$83:$AZ$83)="(EMPTY)"))&gt;0,IFERROR(('Final Calculation Sheet'!$W$37)&amp;"","")="",ISNUMBER(SEARCH($AS$83:$AZ$83,IFERROR(('Final Calculation Sheet'!$W$37)&amp;"","")))))&gt;0),IF(COUNTIF($BI$83:$BP$83,5)=0,TRUE,SUMPRODUCT(($BI$83:$BP$83=5)*($AS$83:$AZ$83&lt;&gt;"")*IF(((UPPER($AS$83:$AZ$83)="BLANK")+(UPPER($AS$83:$AZ$83)="(BLANK)")+(UPPER($AS$83:$AZ$83)="EMPTY")+(UPPER($AS$83:$AZ$83)="(EMPTY)"))&gt;0,IFERROR(('Final Calculation Sheet'!$W$37)&amp;"","")="",ISNUMBER(SEARCH($AS$83:$AZ$83,IFERROR(('Final Calculation Sheet'!$W$37)&amp;"","")))))&gt;0),IF(COUNTIF($BI$83:$BP$83,6)=0,TRUE,SUMPRODUCT(($BI$83:$BP$83=6)*($AS$83:$AZ$83&lt;&gt;"")*IF(((UPPER($AS$83:$AZ$83)="BLANK")+(UPPER($AS$83:$AZ$83)="(BLANK)")+(UPPER($AS$83:$AZ$83)="EMPTY")+(UPPER($AS$83:$AZ$83)="(EMPTY)"))&gt;0,IFERROR(('Final Calculation Sheet'!$W$37)&amp;"","")="",ISNUMBER(SEARCH($AS$83:$AZ$83,IFERROR(('Final Calculation Sheet'!$W$37)&amp;"","")))))&gt;0),IF(COUNTIF($BI$83:$BP$83,7)=0,TRUE,SUMPRODUCT(($BI$83:$BP$83=7)*($AS$83:$AZ$83&lt;&gt;"")*IF(((UPPER($AS$83:$AZ$83)="BLANK")+(UPPER($AS$83:$AZ$83)="(BLANK)")+(UPPER($AS$83:$AZ$83)="EMPTY")+(UPPER($AS$83:$AZ$83)="(EMPTY)"))&gt;0,IFERROR(('Final Calculation Sheet'!$W$37)&amp;"","")="",ISNUMBER(SEARCH($AS$83:$AZ$83,IFERROR(('Final Calculation Sheet'!$W$37)&amp;"","")))))&gt;0),IF(COUNTIF($BI$83:$BP$83,8)=0,TRUE,SUMPRODUCT(($BI$83:$BP$83=8)*($AS$83:$AZ$83&lt;&gt;"")*IF(((UPPER($AS$83:$AZ$83)="BLANK")+(UPPER($AS$83:$AZ$83)="(BLANK)")+(UPPER($AS$83:$AZ$83)="EMPTY")+(UPPER($AS$83:$AZ$83)="(EMPTY)"))&gt;0,IFERROR(('Final Calculation Sheet'!$W$37)&amp;"","")="",ISNUMBER(SEARCH($AS$83:$AZ$83,IFERROR(('Final Calculation Sheet'!$W$37)&amp;"","")))))&gt;0))))</f>
        <v>1</v>
      </c>
      <c r="CK38">
        <f>IF($Y$4="",1,--(AND(SUMPRODUCT(--($AS$84:$AZ$84&lt;&gt;""))&gt;0,IF(COUNTIF($BI$84:$BP$84,1)=0,TRUE,SUMPRODUCT(($BI$84:$BP$84=1)*($AS$84:$AZ$84&lt;&gt;"")*IF(((UPPER($AS$84:$AZ$84)="BLANK")+(UPPER($AS$84:$AZ$84)="(BLANK)")+(UPPER($AS$84:$AZ$84)="EMPTY")+(UPPER($AS$84:$AZ$84)="(EMPTY)"))&gt;0,IFERROR(('Final Calculation Sheet'!$X$37)&amp;"","")="",ISNUMBER(SEARCH($AS$84:$AZ$84,IFERROR(('Final Calculation Sheet'!$X$37)&amp;"","")))))&gt;0),IF(COUNTIF($BI$84:$BP$84,2)=0,TRUE,SUMPRODUCT(($BI$84:$BP$84=2)*($AS$84:$AZ$84&lt;&gt;"")*IF(((UPPER($AS$84:$AZ$84)="BLANK")+(UPPER($AS$84:$AZ$84)="(BLANK)")+(UPPER($AS$84:$AZ$84)="EMPTY")+(UPPER($AS$84:$AZ$84)="(EMPTY)"))&gt;0,IFERROR(('Final Calculation Sheet'!$X$37)&amp;"","")="",ISNUMBER(SEARCH($AS$84:$AZ$84,IFERROR(('Final Calculation Sheet'!$X$37)&amp;"","")))))&gt;0),IF(COUNTIF($BI$84:$BP$84,3)=0,TRUE,SUMPRODUCT(($BI$84:$BP$84=3)*($AS$84:$AZ$84&lt;&gt;"")*IF(((UPPER($AS$84:$AZ$84)="BLANK")+(UPPER($AS$84:$AZ$84)="(BLANK)")+(UPPER($AS$84:$AZ$84)="EMPTY")+(UPPER($AS$84:$AZ$84)="(EMPTY)"))&gt;0,IFERROR(('Final Calculation Sheet'!$X$37)&amp;"","")="",ISNUMBER(SEARCH($AS$84:$AZ$84,IFERROR(('Final Calculation Sheet'!$X$37)&amp;"","")))))&gt;0),IF(COUNTIF($BI$84:$BP$84,4)=0,TRUE,SUMPRODUCT(($BI$84:$BP$84=4)*($AS$84:$AZ$84&lt;&gt;"")*IF(((UPPER($AS$84:$AZ$84)="BLANK")+(UPPER($AS$84:$AZ$84)="(BLANK)")+(UPPER($AS$84:$AZ$84)="EMPTY")+(UPPER($AS$84:$AZ$84)="(EMPTY)"))&gt;0,IFERROR(('Final Calculation Sheet'!$X$37)&amp;"","")="",ISNUMBER(SEARCH($AS$84:$AZ$84,IFERROR(('Final Calculation Sheet'!$X$37)&amp;"","")))))&gt;0),IF(COUNTIF($BI$84:$BP$84,5)=0,TRUE,SUMPRODUCT(($BI$84:$BP$84=5)*($AS$84:$AZ$84&lt;&gt;"")*IF(((UPPER($AS$84:$AZ$84)="BLANK")+(UPPER($AS$84:$AZ$84)="(BLANK)")+(UPPER($AS$84:$AZ$84)="EMPTY")+(UPPER($AS$84:$AZ$84)="(EMPTY)"))&gt;0,IFERROR(('Final Calculation Sheet'!$X$37)&amp;"","")="",ISNUMBER(SEARCH($AS$84:$AZ$84,IFERROR(('Final Calculation Sheet'!$X$37)&amp;"","")))))&gt;0),IF(COUNTIF($BI$84:$BP$84,6)=0,TRUE,SUMPRODUCT(($BI$84:$BP$84=6)*($AS$84:$AZ$84&lt;&gt;"")*IF(((UPPER($AS$84:$AZ$84)="BLANK")+(UPPER($AS$84:$AZ$84)="(BLANK)")+(UPPER($AS$84:$AZ$84)="EMPTY")+(UPPER($AS$84:$AZ$84)="(EMPTY)"))&gt;0,IFERROR(('Final Calculation Sheet'!$X$37)&amp;"","")="",ISNUMBER(SEARCH($AS$84:$AZ$84,IFERROR(('Final Calculation Sheet'!$X$37)&amp;"","")))))&gt;0),IF(COUNTIF($BI$84:$BP$84,7)=0,TRUE,SUMPRODUCT(($BI$84:$BP$84=7)*($AS$84:$AZ$84&lt;&gt;"")*IF(((UPPER($AS$84:$AZ$84)="BLANK")+(UPPER($AS$84:$AZ$84)="(BLANK)")+(UPPER($AS$84:$AZ$84)="EMPTY")+(UPPER($AS$84:$AZ$84)="(EMPTY)"))&gt;0,IFERROR(('Final Calculation Sheet'!$X$37)&amp;"","")="",ISNUMBER(SEARCH($AS$84:$AZ$84,IFERROR(('Final Calculation Sheet'!$X$37)&amp;"","")))))&gt;0),IF(COUNTIF($BI$84:$BP$84,8)=0,TRUE,SUMPRODUCT(($BI$84:$BP$84=8)*($AS$84:$AZ$84&lt;&gt;"")*IF(((UPPER($AS$84:$AZ$84)="BLANK")+(UPPER($AS$84:$AZ$84)="(BLANK)")+(UPPER($AS$84:$AZ$84)="EMPTY")+(UPPER($AS$84:$AZ$84)="(EMPTY)"))&gt;0,IFERROR(('Final Calculation Sheet'!$X$37)&amp;"","")="",ISNUMBER(SEARCH($AS$84:$AZ$84,IFERROR(('Final Calculation Sheet'!$X$37)&amp;"","")))))&gt;0))))</f>
        <v>1</v>
      </c>
      <c r="CL38">
        <f>IF($Z$4="",1,--(AND(SUMPRODUCT(--($AS$85:$AZ$85&lt;&gt;""))&gt;0,IF(COUNTIF($BI$85:$BP$85,1)=0,TRUE,SUMPRODUCT(($BI$85:$BP$85=1)*($AS$85:$AZ$85&lt;&gt;"")*IF(((UPPER($AS$85:$AZ$85)="BLANK")+(UPPER($AS$85:$AZ$85)="(BLANK)")+(UPPER($AS$85:$AZ$85)="EMPTY")+(UPPER($AS$85:$AZ$85)="(EMPTY)"))&gt;0,IFERROR(('Final Calculation Sheet'!$Y$37)&amp;"","")="",ISNUMBER(SEARCH($AS$85:$AZ$85,IFERROR(('Final Calculation Sheet'!$Y$37)&amp;"","")))))&gt;0),IF(COUNTIF($BI$85:$BP$85,2)=0,TRUE,SUMPRODUCT(($BI$85:$BP$85=2)*($AS$85:$AZ$85&lt;&gt;"")*IF(((UPPER($AS$85:$AZ$85)="BLANK")+(UPPER($AS$85:$AZ$85)="(BLANK)")+(UPPER($AS$85:$AZ$85)="EMPTY")+(UPPER($AS$85:$AZ$85)="(EMPTY)"))&gt;0,IFERROR(('Final Calculation Sheet'!$Y$37)&amp;"","")="",ISNUMBER(SEARCH($AS$85:$AZ$85,IFERROR(('Final Calculation Sheet'!$Y$37)&amp;"","")))))&gt;0),IF(COUNTIF($BI$85:$BP$85,3)=0,TRUE,SUMPRODUCT(($BI$85:$BP$85=3)*($AS$85:$AZ$85&lt;&gt;"")*IF(((UPPER($AS$85:$AZ$85)="BLANK")+(UPPER($AS$85:$AZ$85)="(BLANK)")+(UPPER($AS$85:$AZ$85)="EMPTY")+(UPPER($AS$85:$AZ$85)="(EMPTY)"))&gt;0,IFERROR(('Final Calculation Sheet'!$Y$37)&amp;"","")="",ISNUMBER(SEARCH($AS$85:$AZ$85,IFERROR(('Final Calculation Sheet'!$Y$37)&amp;"","")))))&gt;0),IF(COUNTIF($BI$85:$BP$85,4)=0,TRUE,SUMPRODUCT(($BI$85:$BP$85=4)*($AS$85:$AZ$85&lt;&gt;"")*IF(((UPPER($AS$85:$AZ$85)="BLANK")+(UPPER($AS$85:$AZ$85)="(BLANK)")+(UPPER($AS$85:$AZ$85)="EMPTY")+(UPPER($AS$85:$AZ$85)="(EMPTY)"))&gt;0,IFERROR(('Final Calculation Sheet'!$Y$37)&amp;"","")="",ISNUMBER(SEARCH($AS$85:$AZ$85,IFERROR(('Final Calculation Sheet'!$Y$37)&amp;"","")))))&gt;0),IF(COUNTIF($BI$85:$BP$85,5)=0,TRUE,SUMPRODUCT(($BI$85:$BP$85=5)*($AS$85:$AZ$85&lt;&gt;"")*IF(((UPPER($AS$85:$AZ$85)="BLANK")+(UPPER($AS$85:$AZ$85)="(BLANK)")+(UPPER($AS$85:$AZ$85)="EMPTY")+(UPPER($AS$85:$AZ$85)="(EMPTY)"))&gt;0,IFERROR(('Final Calculation Sheet'!$Y$37)&amp;"","")="",ISNUMBER(SEARCH($AS$85:$AZ$85,IFERROR(('Final Calculation Sheet'!$Y$37)&amp;"","")))))&gt;0),IF(COUNTIF($BI$85:$BP$85,6)=0,TRUE,SUMPRODUCT(($BI$85:$BP$85=6)*($AS$85:$AZ$85&lt;&gt;"")*IF(((UPPER($AS$85:$AZ$85)="BLANK")+(UPPER($AS$85:$AZ$85)="(BLANK)")+(UPPER($AS$85:$AZ$85)="EMPTY")+(UPPER($AS$85:$AZ$85)="(EMPTY)"))&gt;0,IFERROR(('Final Calculation Sheet'!$Y$37)&amp;"","")="",ISNUMBER(SEARCH($AS$85:$AZ$85,IFERROR(('Final Calculation Sheet'!$Y$37)&amp;"","")))))&gt;0),IF(COUNTIF($BI$85:$BP$85,7)=0,TRUE,SUMPRODUCT(($BI$85:$BP$85=7)*($AS$85:$AZ$85&lt;&gt;"")*IF(((UPPER($AS$85:$AZ$85)="BLANK")+(UPPER($AS$85:$AZ$85)="(BLANK)")+(UPPER($AS$85:$AZ$85)="EMPTY")+(UPPER($AS$85:$AZ$85)="(EMPTY)"))&gt;0,IFERROR(('Final Calculation Sheet'!$Y$37)&amp;"","")="",ISNUMBER(SEARCH($AS$85:$AZ$85,IFERROR(('Final Calculation Sheet'!$Y$37)&amp;"","")))))&gt;0),IF(COUNTIF($BI$85:$BP$85,8)=0,TRUE,SUMPRODUCT(($BI$85:$BP$85=8)*($AS$85:$AZ$85&lt;&gt;"")*IF(((UPPER($AS$85:$AZ$85)="BLANK")+(UPPER($AS$85:$AZ$85)="(BLANK)")+(UPPER($AS$85:$AZ$85)="EMPTY")+(UPPER($AS$85:$AZ$85)="(EMPTY)"))&gt;0,IFERROR(('Final Calculation Sheet'!$Y$37)&amp;"","")="",ISNUMBER(SEARCH($AS$85:$AZ$85,IFERROR(('Final Calculation Sheet'!$Y$37)&amp;"","")))))&gt;0))))</f>
        <v>1</v>
      </c>
      <c r="CM38">
        <f>IF($AA$4="",1,--(AND(SUMPRODUCT(--($AS$86:$AZ$86&lt;&gt;""))&gt;0,IF(COUNTIF($BI$86:$BP$86,1)=0,TRUE,SUMPRODUCT(($BI$86:$BP$86=1)*($AS$86:$AZ$86&lt;&gt;"")*IF(((UPPER($AS$86:$AZ$86)="BLANK")+(UPPER($AS$86:$AZ$86)="(BLANK)")+(UPPER($AS$86:$AZ$86)="EMPTY")+(UPPER($AS$86:$AZ$86)="(EMPTY)"))&gt;0,IFERROR(('Final Calculation Sheet'!$Z$37)&amp;"","")="",ISNUMBER(SEARCH($AS$86:$AZ$86,IFERROR(('Final Calculation Sheet'!$Z$37)&amp;"","")))))&gt;0),IF(COUNTIF($BI$86:$BP$86,2)=0,TRUE,SUMPRODUCT(($BI$86:$BP$86=2)*($AS$86:$AZ$86&lt;&gt;"")*IF(((UPPER($AS$86:$AZ$86)="BLANK")+(UPPER($AS$86:$AZ$86)="(BLANK)")+(UPPER($AS$86:$AZ$86)="EMPTY")+(UPPER($AS$86:$AZ$86)="(EMPTY)"))&gt;0,IFERROR(('Final Calculation Sheet'!$Z$37)&amp;"","")="",ISNUMBER(SEARCH($AS$86:$AZ$86,IFERROR(('Final Calculation Sheet'!$Z$37)&amp;"","")))))&gt;0),IF(COUNTIF($BI$86:$BP$86,3)=0,TRUE,SUMPRODUCT(($BI$86:$BP$86=3)*($AS$86:$AZ$86&lt;&gt;"")*IF(((UPPER($AS$86:$AZ$86)="BLANK")+(UPPER($AS$86:$AZ$86)="(BLANK)")+(UPPER($AS$86:$AZ$86)="EMPTY")+(UPPER($AS$86:$AZ$86)="(EMPTY)"))&gt;0,IFERROR(('Final Calculation Sheet'!$Z$37)&amp;"","")="",ISNUMBER(SEARCH($AS$86:$AZ$86,IFERROR(('Final Calculation Sheet'!$Z$37)&amp;"","")))))&gt;0),IF(COUNTIF($BI$86:$BP$86,4)=0,TRUE,SUMPRODUCT(($BI$86:$BP$86=4)*($AS$86:$AZ$86&lt;&gt;"")*IF(((UPPER($AS$86:$AZ$86)="BLANK")+(UPPER($AS$86:$AZ$86)="(BLANK)")+(UPPER($AS$86:$AZ$86)="EMPTY")+(UPPER($AS$86:$AZ$86)="(EMPTY)"))&gt;0,IFERROR(('Final Calculation Sheet'!$Z$37)&amp;"","")="",ISNUMBER(SEARCH($AS$86:$AZ$86,IFERROR(('Final Calculation Sheet'!$Z$37)&amp;"","")))))&gt;0),IF(COUNTIF($BI$86:$BP$86,5)=0,TRUE,SUMPRODUCT(($BI$86:$BP$86=5)*($AS$86:$AZ$86&lt;&gt;"")*IF(((UPPER($AS$86:$AZ$86)="BLANK")+(UPPER($AS$86:$AZ$86)="(BLANK)")+(UPPER($AS$86:$AZ$86)="EMPTY")+(UPPER($AS$86:$AZ$86)="(EMPTY)"))&gt;0,IFERROR(('Final Calculation Sheet'!$Z$37)&amp;"","")="",ISNUMBER(SEARCH($AS$86:$AZ$86,IFERROR(('Final Calculation Sheet'!$Z$37)&amp;"","")))))&gt;0),IF(COUNTIF($BI$86:$BP$86,6)=0,TRUE,SUMPRODUCT(($BI$86:$BP$86=6)*($AS$86:$AZ$86&lt;&gt;"")*IF(((UPPER($AS$86:$AZ$86)="BLANK")+(UPPER($AS$86:$AZ$86)="(BLANK)")+(UPPER($AS$86:$AZ$86)="EMPTY")+(UPPER($AS$86:$AZ$86)="(EMPTY)"))&gt;0,IFERROR(('Final Calculation Sheet'!$Z$37)&amp;"","")="",ISNUMBER(SEARCH($AS$86:$AZ$86,IFERROR(('Final Calculation Sheet'!$Z$37)&amp;"","")))))&gt;0),IF(COUNTIF($BI$86:$BP$86,7)=0,TRUE,SUMPRODUCT(($BI$86:$BP$86=7)*($AS$86:$AZ$86&lt;&gt;"")*IF(((UPPER($AS$86:$AZ$86)="BLANK")+(UPPER($AS$86:$AZ$86)="(BLANK)")+(UPPER($AS$86:$AZ$86)="EMPTY")+(UPPER($AS$86:$AZ$86)="(EMPTY)"))&gt;0,IFERROR(('Final Calculation Sheet'!$Z$37)&amp;"","")="",ISNUMBER(SEARCH($AS$86:$AZ$86,IFERROR(('Final Calculation Sheet'!$Z$37)&amp;"","")))))&gt;0),IF(COUNTIF($BI$86:$BP$86,8)=0,TRUE,SUMPRODUCT(($BI$86:$BP$86=8)*($AS$86:$AZ$86&lt;&gt;"")*IF(((UPPER($AS$86:$AZ$86)="BLANK")+(UPPER($AS$86:$AZ$86)="(BLANK)")+(UPPER($AS$86:$AZ$86)="EMPTY")+(UPPER($AS$86:$AZ$86)="(EMPTY)"))&gt;0,IFERROR(('Final Calculation Sheet'!$Z$37)&amp;"","")="",ISNUMBER(SEARCH($AS$86:$AZ$86,IFERROR(('Final Calculation Sheet'!$Z$37)&amp;"","")))))&gt;0))))</f>
        <v>1</v>
      </c>
      <c r="CN38">
        <f>IF($AB$4="",1,--(AND(SUMPRODUCT(--($AS$87:$AZ$87&lt;&gt;""))&gt;0,IF(COUNTIF($BI$87:$BP$87,1)=0,TRUE,SUMPRODUCT(($BI$87:$BP$87=1)*($AS$87:$AZ$87&lt;&gt;"")*IF(((UPPER($AS$87:$AZ$87)="BLANK")+(UPPER($AS$87:$AZ$87)="(BLANK)")+(UPPER($AS$87:$AZ$87)="EMPTY")+(UPPER($AS$87:$AZ$87)="(EMPTY)"))&gt;0,IFERROR(('Final Calculation Sheet'!$AA$37)&amp;"","")="",ISNUMBER(SEARCH($AS$87:$AZ$87,IFERROR(('Final Calculation Sheet'!$AA$37)&amp;"","")))))&gt;0),IF(COUNTIF($BI$87:$BP$87,2)=0,TRUE,SUMPRODUCT(($BI$87:$BP$87=2)*($AS$87:$AZ$87&lt;&gt;"")*IF(((UPPER($AS$87:$AZ$87)="BLANK")+(UPPER($AS$87:$AZ$87)="(BLANK)")+(UPPER($AS$87:$AZ$87)="EMPTY")+(UPPER($AS$87:$AZ$87)="(EMPTY)"))&gt;0,IFERROR(('Final Calculation Sheet'!$AA$37)&amp;"","")="",ISNUMBER(SEARCH($AS$87:$AZ$87,IFERROR(('Final Calculation Sheet'!$AA$37)&amp;"","")))))&gt;0),IF(COUNTIF($BI$87:$BP$87,3)=0,TRUE,SUMPRODUCT(($BI$87:$BP$87=3)*($AS$87:$AZ$87&lt;&gt;"")*IF(((UPPER($AS$87:$AZ$87)="BLANK")+(UPPER($AS$87:$AZ$87)="(BLANK)")+(UPPER($AS$87:$AZ$87)="EMPTY")+(UPPER($AS$87:$AZ$87)="(EMPTY)"))&gt;0,IFERROR(('Final Calculation Sheet'!$AA$37)&amp;"","")="",ISNUMBER(SEARCH($AS$87:$AZ$87,IFERROR(('Final Calculation Sheet'!$AA$37)&amp;"","")))))&gt;0),IF(COUNTIF($BI$87:$BP$87,4)=0,TRUE,SUMPRODUCT(($BI$87:$BP$87=4)*($AS$87:$AZ$87&lt;&gt;"")*IF(((UPPER($AS$87:$AZ$87)="BLANK")+(UPPER($AS$87:$AZ$87)="(BLANK)")+(UPPER($AS$87:$AZ$87)="EMPTY")+(UPPER($AS$87:$AZ$87)="(EMPTY)"))&gt;0,IFERROR(('Final Calculation Sheet'!$AA$37)&amp;"","")="",ISNUMBER(SEARCH($AS$87:$AZ$87,IFERROR(('Final Calculation Sheet'!$AA$37)&amp;"","")))))&gt;0),IF(COUNTIF($BI$87:$BP$87,5)=0,TRUE,SUMPRODUCT(($BI$87:$BP$87=5)*($AS$87:$AZ$87&lt;&gt;"")*IF(((UPPER($AS$87:$AZ$87)="BLANK")+(UPPER($AS$87:$AZ$87)="(BLANK)")+(UPPER($AS$87:$AZ$87)="EMPTY")+(UPPER($AS$87:$AZ$87)="(EMPTY)"))&gt;0,IFERROR(('Final Calculation Sheet'!$AA$37)&amp;"","")="",ISNUMBER(SEARCH($AS$87:$AZ$87,IFERROR(('Final Calculation Sheet'!$AA$37)&amp;"","")))))&gt;0),IF(COUNTIF($BI$87:$BP$87,6)=0,TRUE,SUMPRODUCT(($BI$87:$BP$87=6)*($AS$87:$AZ$87&lt;&gt;"")*IF(((UPPER($AS$87:$AZ$87)="BLANK")+(UPPER($AS$87:$AZ$87)="(BLANK)")+(UPPER($AS$87:$AZ$87)="EMPTY")+(UPPER($AS$87:$AZ$87)="(EMPTY)"))&gt;0,IFERROR(('Final Calculation Sheet'!$AA$37)&amp;"","")="",ISNUMBER(SEARCH($AS$87:$AZ$87,IFERROR(('Final Calculation Sheet'!$AA$37)&amp;"","")))))&gt;0),IF(COUNTIF($BI$87:$BP$87,7)=0,TRUE,SUMPRODUCT(($BI$87:$BP$87=7)*($AS$87:$AZ$87&lt;&gt;"")*IF(((UPPER($AS$87:$AZ$87)="BLANK")+(UPPER($AS$87:$AZ$87)="(BLANK)")+(UPPER($AS$87:$AZ$87)="EMPTY")+(UPPER($AS$87:$AZ$87)="(EMPTY)"))&gt;0,IFERROR(('Final Calculation Sheet'!$AA$37)&amp;"","")="",ISNUMBER(SEARCH($AS$87:$AZ$87,IFERROR(('Final Calculation Sheet'!$AA$37)&amp;"","")))))&gt;0),IF(COUNTIF($BI$87:$BP$87,8)=0,TRUE,SUMPRODUCT(($BI$87:$BP$87=8)*($AS$87:$AZ$87&lt;&gt;"")*IF(((UPPER($AS$87:$AZ$87)="BLANK")+(UPPER($AS$87:$AZ$87)="(BLANK)")+(UPPER($AS$87:$AZ$87)="EMPTY")+(UPPER($AS$87:$AZ$87)="(EMPTY)"))&gt;0,IFERROR(('Final Calculation Sheet'!$AA$37)&amp;"","")="",ISNUMBER(SEARCH($AS$87:$AZ$87,IFERROR(('Final Calculation Sheet'!$AA$37)&amp;"","")))))&gt;0))))</f>
        <v>1</v>
      </c>
      <c r="CO38">
        <f>IF($AC$4="",1,--(AND(SUMPRODUCT(--($AS$88:$AZ$88&lt;&gt;""))&gt;0,IF(COUNTIF($BI$88:$BP$88,1)=0,TRUE,SUMPRODUCT(($BI$88:$BP$88=1)*($AS$88:$AZ$88&lt;&gt;"")*IF(((UPPER($AS$88:$AZ$88)="BLANK")+(UPPER($AS$88:$AZ$88)="(BLANK)")+(UPPER($AS$88:$AZ$88)="EMPTY")+(UPPER($AS$88:$AZ$88)="(EMPTY)"))&gt;0,IFERROR(('Final Calculation Sheet'!$AB$37)&amp;"","")="",ISNUMBER(SEARCH($AS$88:$AZ$88,IFERROR(('Final Calculation Sheet'!$AB$37)&amp;"","")))))&gt;0),IF(COUNTIF($BI$88:$BP$88,2)=0,TRUE,SUMPRODUCT(($BI$88:$BP$88=2)*($AS$88:$AZ$88&lt;&gt;"")*IF(((UPPER($AS$88:$AZ$88)="BLANK")+(UPPER($AS$88:$AZ$88)="(BLANK)")+(UPPER($AS$88:$AZ$88)="EMPTY")+(UPPER($AS$88:$AZ$88)="(EMPTY)"))&gt;0,IFERROR(('Final Calculation Sheet'!$AB$37)&amp;"","")="",ISNUMBER(SEARCH($AS$88:$AZ$88,IFERROR(('Final Calculation Sheet'!$AB$37)&amp;"","")))))&gt;0),IF(COUNTIF($BI$88:$BP$88,3)=0,TRUE,SUMPRODUCT(($BI$88:$BP$88=3)*($AS$88:$AZ$88&lt;&gt;"")*IF(((UPPER($AS$88:$AZ$88)="BLANK")+(UPPER($AS$88:$AZ$88)="(BLANK)")+(UPPER($AS$88:$AZ$88)="EMPTY")+(UPPER($AS$88:$AZ$88)="(EMPTY)"))&gt;0,IFERROR(('Final Calculation Sheet'!$AB$37)&amp;"","")="",ISNUMBER(SEARCH($AS$88:$AZ$88,IFERROR(('Final Calculation Sheet'!$AB$37)&amp;"","")))))&gt;0),IF(COUNTIF($BI$88:$BP$88,4)=0,TRUE,SUMPRODUCT(($BI$88:$BP$88=4)*($AS$88:$AZ$88&lt;&gt;"")*IF(((UPPER($AS$88:$AZ$88)="BLANK")+(UPPER($AS$88:$AZ$88)="(BLANK)")+(UPPER($AS$88:$AZ$88)="EMPTY")+(UPPER($AS$88:$AZ$88)="(EMPTY)"))&gt;0,IFERROR(('Final Calculation Sheet'!$AB$37)&amp;"","")="",ISNUMBER(SEARCH($AS$88:$AZ$88,IFERROR(('Final Calculation Sheet'!$AB$37)&amp;"","")))))&gt;0),IF(COUNTIF($BI$88:$BP$88,5)=0,TRUE,SUMPRODUCT(($BI$88:$BP$88=5)*($AS$88:$AZ$88&lt;&gt;"")*IF(((UPPER($AS$88:$AZ$88)="BLANK")+(UPPER($AS$88:$AZ$88)="(BLANK)")+(UPPER($AS$88:$AZ$88)="EMPTY")+(UPPER($AS$88:$AZ$88)="(EMPTY)"))&gt;0,IFERROR(('Final Calculation Sheet'!$AB$37)&amp;"","")="",ISNUMBER(SEARCH($AS$88:$AZ$88,IFERROR(('Final Calculation Sheet'!$AB$37)&amp;"","")))))&gt;0),IF(COUNTIF($BI$88:$BP$88,6)=0,TRUE,SUMPRODUCT(($BI$88:$BP$88=6)*($AS$88:$AZ$88&lt;&gt;"")*IF(((UPPER($AS$88:$AZ$88)="BLANK")+(UPPER($AS$88:$AZ$88)="(BLANK)")+(UPPER($AS$88:$AZ$88)="EMPTY")+(UPPER($AS$88:$AZ$88)="(EMPTY)"))&gt;0,IFERROR(('Final Calculation Sheet'!$AB$37)&amp;"","")="",ISNUMBER(SEARCH($AS$88:$AZ$88,IFERROR(('Final Calculation Sheet'!$AB$37)&amp;"","")))))&gt;0),IF(COUNTIF($BI$88:$BP$88,7)=0,TRUE,SUMPRODUCT(($BI$88:$BP$88=7)*($AS$88:$AZ$88&lt;&gt;"")*IF(((UPPER($AS$88:$AZ$88)="BLANK")+(UPPER($AS$88:$AZ$88)="(BLANK)")+(UPPER($AS$88:$AZ$88)="EMPTY")+(UPPER($AS$88:$AZ$88)="(EMPTY)"))&gt;0,IFERROR(('Final Calculation Sheet'!$AB$37)&amp;"","")="",ISNUMBER(SEARCH($AS$88:$AZ$88,IFERROR(('Final Calculation Sheet'!$AB$37)&amp;"","")))))&gt;0),IF(COUNTIF($BI$88:$BP$88,8)=0,TRUE,SUMPRODUCT(($BI$88:$BP$88=8)*($AS$88:$AZ$88&lt;&gt;"")*IF(((UPPER($AS$88:$AZ$88)="BLANK")+(UPPER($AS$88:$AZ$88)="(BLANK)")+(UPPER($AS$88:$AZ$88)="EMPTY")+(UPPER($AS$88:$AZ$88)="(EMPTY)"))&gt;0,IFERROR(('Final Calculation Sheet'!$AB$37)&amp;"","")="",ISNUMBER(SEARCH($AS$88:$AZ$88,IFERROR(('Final Calculation Sheet'!$AB$37)&amp;"","")))))&gt;0))))</f>
        <v>1</v>
      </c>
      <c r="CP38">
        <f>IF($AD$4="",1,--(AND(SUMPRODUCT(--($AS$89:$AZ$89&lt;&gt;""))&gt;0,IF(COUNTIF($BI$89:$BP$89,1)=0,TRUE,SUMPRODUCT(($BI$89:$BP$89=1)*($AS$89:$AZ$89&lt;&gt;"")*IF(((UPPER($AS$89:$AZ$89)="BLANK")+(UPPER($AS$89:$AZ$89)="(BLANK)")+(UPPER($AS$89:$AZ$89)="EMPTY")+(UPPER($AS$89:$AZ$89)="(EMPTY)"))&gt;0,IFERROR(('Final Calculation Sheet'!$AC$37)&amp;"","")="",ISNUMBER(SEARCH($AS$89:$AZ$89,IFERROR(('Final Calculation Sheet'!$AC$37)&amp;"","")))))&gt;0),IF(COUNTIF($BI$89:$BP$89,2)=0,TRUE,SUMPRODUCT(($BI$89:$BP$89=2)*($AS$89:$AZ$89&lt;&gt;"")*IF(((UPPER($AS$89:$AZ$89)="BLANK")+(UPPER($AS$89:$AZ$89)="(BLANK)")+(UPPER($AS$89:$AZ$89)="EMPTY")+(UPPER($AS$89:$AZ$89)="(EMPTY)"))&gt;0,IFERROR(('Final Calculation Sheet'!$AC$37)&amp;"","")="",ISNUMBER(SEARCH($AS$89:$AZ$89,IFERROR(('Final Calculation Sheet'!$AC$37)&amp;"","")))))&gt;0),IF(COUNTIF($BI$89:$BP$89,3)=0,TRUE,SUMPRODUCT(($BI$89:$BP$89=3)*($AS$89:$AZ$89&lt;&gt;"")*IF(((UPPER($AS$89:$AZ$89)="BLANK")+(UPPER($AS$89:$AZ$89)="(BLANK)")+(UPPER($AS$89:$AZ$89)="EMPTY")+(UPPER($AS$89:$AZ$89)="(EMPTY)"))&gt;0,IFERROR(('Final Calculation Sheet'!$AC$37)&amp;"","")="",ISNUMBER(SEARCH($AS$89:$AZ$89,IFERROR(('Final Calculation Sheet'!$AC$37)&amp;"","")))))&gt;0),IF(COUNTIF($BI$89:$BP$89,4)=0,TRUE,SUMPRODUCT(($BI$89:$BP$89=4)*($AS$89:$AZ$89&lt;&gt;"")*IF(((UPPER($AS$89:$AZ$89)="BLANK")+(UPPER($AS$89:$AZ$89)="(BLANK)")+(UPPER($AS$89:$AZ$89)="EMPTY")+(UPPER($AS$89:$AZ$89)="(EMPTY)"))&gt;0,IFERROR(('Final Calculation Sheet'!$AC$37)&amp;"","")="",ISNUMBER(SEARCH($AS$89:$AZ$89,IFERROR(('Final Calculation Sheet'!$AC$37)&amp;"","")))))&gt;0),IF(COUNTIF($BI$89:$BP$89,5)=0,TRUE,SUMPRODUCT(($BI$89:$BP$89=5)*($AS$89:$AZ$89&lt;&gt;"")*IF(((UPPER($AS$89:$AZ$89)="BLANK")+(UPPER($AS$89:$AZ$89)="(BLANK)")+(UPPER($AS$89:$AZ$89)="EMPTY")+(UPPER($AS$89:$AZ$89)="(EMPTY)"))&gt;0,IFERROR(('Final Calculation Sheet'!$AC$37)&amp;"","")="",ISNUMBER(SEARCH($AS$89:$AZ$89,IFERROR(('Final Calculation Sheet'!$AC$37)&amp;"","")))))&gt;0),IF(COUNTIF($BI$89:$BP$89,6)=0,TRUE,SUMPRODUCT(($BI$89:$BP$89=6)*($AS$89:$AZ$89&lt;&gt;"")*IF(((UPPER($AS$89:$AZ$89)="BLANK")+(UPPER($AS$89:$AZ$89)="(BLANK)")+(UPPER($AS$89:$AZ$89)="EMPTY")+(UPPER($AS$89:$AZ$89)="(EMPTY)"))&gt;0,IFERROR(('Final Calculation Sheet'!$AC$37)&amp;"","")="",ISNUMBER(SEARCH($AS$89:$AZ$89,IFERROR(('Final Calculation Sheet'!$AC$37)&amp;"","")))))&gt;0),IF(COUNTIF($BI$89:$BP$89,7)=0,TRUE,SUMPRODUCT(($BI$89:$BP$89=7)*($AS$89:$AZ$89&lt;&gt;"")*IF(((UPPER($AS$89:$AZ$89)="BLANK")+(UPPER($AS$89:$AZ$89)="(BLANK)")+(UPPER($AS$89:$AZ$89)="EMPTY")+(UPPER($AS$89:$AZ$89)="(EMPTY)"))&gt;0,IFERROR(('Final Calculation Sheet'!$AC$37)&amp;"","")="",ISNUMBER(SEARCH($AS$89:$AZ$89,IFERROR(('Final Calculation Sheet'!$AC$37)&amp;"","")))))&gt;0),IF(COUNTIF($BI$89:$BP$89,8)=0,TRUE,SUMPRODUCT(($BI$89:$BP$89=8)*($AS$89:$AZ$89&lt;&gt;"")*IF(((UPPER($AS$89:$AZ$89)="BLANK")+(UPPER($AS$89:$AZ$89)="(BLANK)")+(UPPER($AS$89:$AZ$89)="EMPTY")+(UPPER($AS$89:$AZ$89)="(EMPTY)"))&gt;0,IFERROR(('Final Calculation Sheet'!$AC$37)&amp;"","")="",ISNUMBER(SEARCH($AS$89:$AZ$89,IFERROR(('Final Calculation Sheet'!$AC$37)&amp;"","")))))&gt;0))))</f>
        <v>1</v>
      </c>
      <c r="CQ38">
        <f>IF($AE$4="",1,--(AND(SUMPRODUCT(--($AS$90:$AZ$90&lt;&gt;""))&gt;0,IF(COUNTIF($BI$90:$BP$90,1)=0,TRUE,SUMPRODUCT(($BI$90:$BP$90=1)*($AS$90:$AZ$90&lt;&gt;"")*IF(((UPPER($AS$90:$AZ$90)="BLANK")+(UPPER($AS$90:$AZ$90)="(BLANK)")+(UPPER($AS$90:$AZ$90)="EMPTY")+(UPPER($AS$90:$AZ$90)="(EMPTY)"))&gt;0,IFERROR(('Final Calculation Sheet'!$AD$37)&amp;"","")="",ISNUMBER(SEARCH($AS$90:$AZ$90,IFERROR(('Final Calculation Sheet'!$AD$37)&amp;"","")))))&gt;0),IF(COUNTIF($BI$90:$BP$90,2)=0,TRUE,SUMPRODUCT(($BI$90:$BP$90=2)*($AS$90:$AZ$90&lt;&gt;"")*IF(((UPPER($AS$90:$AZ$90)="BLANK")+(UPPER($AS$90:$AZ$90)="(BLANK)")+(UPPER($AS$90:$AZ$90)="EMPTY")+(UPPER($AS$90:$AZ$90)="(EMPTY)"))&gt;0,IFERROR(('Final Calculation Sheet'!$AD$37)&amp;"","")="",ISNUMBER(SEARCH($AS$90:$AZ$90,IFERROR(('Final Calculation Sheet'!$AD$37)&amp;"","")))))&gt;0),IF(COUNTIF($BI$90:$BP$90,3)=0,TRUE,SUMPRODUCT(($BI$90:$BP$90=3)*($AS$90:$AZ$90&lt;&gt;"")*IF(((UPPER($AS$90:$AZ$90)="BLANK")+(UPPER($AS$90:$AZ$90)="(BLANK)")+(UPPER($AS$90:$AZ$90)="EMPTY")+(UPPER($AS$90:$AZ$90)="(EMPTY)"))&gt;0,IFERROR(('Final Calculation Sheet'!$AD$37)&amp;"","")="",ISNUMBER(SEARCH($AS$90:$AZ$90,IFERROR(('Final Calculation Sheet'!$AD$37)&amp;"","")))))&gt;0),IF(COUNTIF($BI$90:$BP$90,4)=0,TRUE,SUMPRODUCT(($BI$90:$BP$90=4)*($AS$90:$AZ$90&lt;&gt;"")*IF(((UPPER($AS$90:$AZ$90)="BLANK")+(UPPER($AS$90:$AZ$90)="(BLANK)")+(UPPER($AS$90:$AZ$90)="EMPTY")+(UPPER($AS$90:$AZ$90)="(EMPTY)"))&gt;0,IFERROR(('Final Calculation Sheet'!$AD$37)&amp;"","")="",ISNUMBER(SEARCH($AS$90:$AZ$90,IFERROR(('Final Calculation Sheet'!$AD$37)&amp;"","")))))&gt;0),IF(COUNTIF($BI$90:$BP$90,5)=0,TRUE,SUMPRODUCT(($BI$90:$BP$90=5)*($AS$90:$AZ$90&lt;&gt;"")*IF(((UPPER($AS$90:$AZ$90)="BLANK")+(UPPER($AS$90:$AZ$90)="(BLANK)")+(UPPER($AS$90:$AZ$90)="EMPTY")+(UPPER($AS$90:$AZ$90)="(EMPTY)"))&gt;0,IFERROR(('Final Calculation Sheet'!$AD$37)&amp;"","")="",ISNUMBER(SEARCH($AS$90:$AZ$90,IFERROR(('Final Calculation Sheet'!$AD$37)&amp;"","")))))&gt;0),IF(COUNTIF($BI$90:$BP$90,6)=0,TRUE,SUMPRODUCT(($BI$90:$BP$90=6)*($AS$90:$AZ$90&lt;&gt;"")*IF(((UPPER($AS$90:$AZ$90)="BLANK")+(UPPER($AS$90:$AZ$90)="(BLANK)")+(UPPER($AS$90:$AZ$90)="EMPTY")+(UPPER($AS$90:$AZ$90)="(EMPTY)"))&gt;0,IFERROR(('Final Calculation Sheet'!$AD$37)&amp;"","")="",ISNUMBER(SEARCH($AS$90:$AZ$90,IFERROR(('Final Calculation Sheet'!$AD$37)&amp;"","")))))&gt;0),IF(COUNTIF($BI$90:$BP$90,7)=0,TRUE,SUMPRODUCT(($BI$90:$BP$90=7)*($AS$90:$AZ$90&lt;&gt;"")*IF(((UPPER($AS$90:$AZ$90)="BLANK")+(UPPER($AS$90:$AZ$90)="(BLANK)")+(UPPER($AS$90:$AZ$90)="EMPTY")+(UPPER($AS$90:$AZ$90)="(EMPTY)"))&gt;0,IFERROR(('Final Calculation Sheet'!$AD$37)&amp;"","")="",ISNUMBER(SEARCH($AS$90:$AZ$90,IFERROR(('Final Calculation Sheet'!$AD$37)&amp;"","")))))&gt;0),IF(COUNTIF($BI$90:$BP$90,8)=0,TRUE,SUMPRODUCT(($BI$90:$BP$90=8)*($AS$90:$AZ$90&lt;&gt;"")*IF(((UPPER($AS$90:$AZ$90)="BLANK")+(UPPER($AS$90:$AZ$90)="(BLANK)")+(UPPER($AS$90:$AZ$90)="EMPTY")+(UPPER($AS$90:$AZ$90)="(EMPTY)"))&gt;0,IFERROR(('Final Calculation Sheet'!$AD$37)&amp;"","")="",ISNUMBER(SEARCH($AS$90:$AZ$90,IFERROR(('Final Calculation Sheet'!$AD$37)&amp;"","")))))&gt;0))))</f>
        <v>1</v>
      </c>
      <c r="CR38">
        <f>IF($AF$4="",1,--(AND(SUMPRODUCT(--($AS$91:$AZ$91&lt;&gt;""))&gt;0,IF(COUNTIF($BI$91:$BP$91,1)=0,TRUE,SUMPRODUCT(($BI$91:$BP$91=1)*($AS$91:$AZ$91&lt;&gt;"")*IF(((UPPER($AS$91:$AZ$91)="BLANK")+(UPPER($AS$91:$AZ$91)="(BLANK)")+(UPPER($AS$91:$AZ$91)="EMPTY")+(UPPER($AS$91:$AZ$91)="(EMPTY)"))&gt;0,IFERROR(('Final Calculation Sheet'!$AE$37)&amp;"","")="",ISNUMBER(SEARCH($AS$91:$AZ$91,IFERROR(('Final Calculation Sheet'!$AE$37)&amp;"","")))))&gt;0),IF(COUNTIF($BI$91:$BP$91,2)=0,TRUE,SUMPRODUCT(($BI$91:$BP$91=2)*($AS$91:$AZ$91&lt;&gt;"")*IF(((UPPER($AS$91:$AZ$91)="BLANK")+(UPPER($AS$91:$AZ$91)="(BLANK)")+(UPPER($AS$91:$AZ$91)="EMPTY")+(UPPER($AS$91:$AZ$91)="(EMPTY)"))&gt;0,IFERROR(('Final Calculation Sheet'!$AE$37)&amp;"","")="",ISNUMBER(SEARCH($AS$91:$AZ$91,IFERROR(('Final Calculation Sheet'!$AE$37)&amp;"","")))))&gt;0),IF(COUNTIF($BI$91:$BP$91,3)=0,TRUE,SUMPRODUCT(($BI$91:$BP$91=3)*($AS$91:$AZ$91&lt;&gt;"")*IF(((UPPER($AS$91:$AZ$91)="BLANK")+(UPPER($AS$91:$AZ$91)="(BLANK)")+(UPPER($AS$91:$AZ$91)="EMPTY")+(UPPER($AS$91:$AZ$91)="(EMPTY)"))&gt;0,IFERROR(('Final Calculation Sheet'!$AE$37)&amp;"","")="",ISNUMBER(SEARCH($AS$91:$AZ$91,IFERROR(('Final Calculation Sheet'!$AE$37)&amp;"","")))))&gt;0),IF(COUNTIF($BI$91:$BP$91,4)=0,TRUE,SUMPRODUCT(($BI$91:$BP$91=4)*($AS$91:$AZ$91&lt;&gt;"")*IF(((UPPER($AS$91:$AZ$91)="BLANK")+(UPPER($AS$91:$AZ$91)="(BLANK)")+(UPPER($AS$91:$AZ$91)="EMPTY")+(UPPER($AS$91:$AZ$91)="(EMPTY)"))&gt;0,IFERROR(('Final Calculation Sheet'!$AE$37)&amp;"","")="",ISNUMBER(SEARCH($AS$91:$AZ$91,IFERROR(('Final Calculation Sheet'!$AE$37)&amp;"","")))))&gt;0),IF(COUNTIF($BI$91:$BP$91,5)=0,TRUE,SUMPRODUCT(($BI$91:$BP$91=5)*($AS$91:$AZ$91&lt;&gt;"")*IF(((UPPER($AS$91:$AZ$91)="BLANK")+(UPPER($AS$91:$AZ$91)="(BLANK)")+(UPPER($AS$91:$AZ$91)="EMPTY")+(UPPER($AS$91:$AZ$91)="(EMPTY)"))&gt;0,IFERROR(('Final Calculation Sheet'!$AE$37)&amp;"","")="",ISNUMBER(SEARCH($AS$91:$AZ$91,IFERROR(('Final Calculation Sheet'!$AE$37)&amp;"","")))))&gt;0),IF(COUNTIF($BI$91:$BP$91,6)=0,TRUE,SUMPRODUCT(($BI$91:$BP$91=6)*($AS$91:$AZ$91&lt;&gt;"")*IF(((UPPER($AS$91:$AZ$91)="BLANK")+(UPPER($AS$91:$AZ$91)="(BLANK)")+(UPPER($AS$91:$AZ$91)="EMPTY")+(UPPER($AS$91:$AZ$91)="(EMPTY)"))&gt;0,IFERROR(('Final Calculation Sheet'!$AE$37)&amp;"","")="",ISNUMBER(SEARCH($AS$91:$AZ$91,IFERROR(('Final Calculation Sheet'!$AE$37)&amp;"","")))))&gt;0),IF(COUNTIF($BI$91:$BP$91,7)=0,TRUE,SUMPRODUCT(($BI$91:$BP$91=7)*($AS$91:$AZ$91&lt;&gt;"")*IF(((UPPER($AS$91:$AZ$91)="BLANK")+(UPPER($AS$91:$AZ$91)="(BLANK)")+(UPPER($AS$91:$AZ$91)="EMPTY")+(UPPER($AS$91:$AZ$91)="(EMPTY)"))&gt;0,IFERROR(('Final Calculation Sheet'!$AE$37)&amp;"","")="",ISNUMBER(SEARCH($AS$91:$AZ$91,IFERROR(('Final Calculation Sheet'!$AE$37)&amp;"","")))))&gt;0),IF(COUNTIF($BI$91:$BP$91,8)=0,TRUE,SUMPRODUCT(($BI$91:$BP$91=8)*($AS$91:$AZ$91&lt;&gt;"")*IF(((UPPER($AS$91:$AZ$91)="BLANK")+(UPPER($AS$91:$AZ$91)="(BLANK)")+(UPPER($AS$91:$AZ$91)="EMPTY")+(UPPER($AS$91:$AZ$91)="(EMPTY)"))&gt;0,IFERROR(('Final Calculation Sheet'!$AE$37)&amp;"","")="",ISNUMBER(SEARCH($AS$91:$AZ$91,IFERROR(('Final Calculation Sheet'!$AE$37)&amp;"","")))))&gt;0))))</f>
        <v>1</v>
      </c>
      <c r="CS38">
        <f>IF($AG$4="",1,--(AND(SUMPRODUCT(--($AS$92:$AZ$92&lt;&gt;""))&gt;0,IF(COUNTIF($BI$92:$BP$92,1)=0,TRUE,SUMPRODUCT(($BI$92:$BP$92=1)*($AS$92:$AZ$92&lt;&gt;"")*IF(((UPPER($AS$92:$AZ$92)="BLANK")+(UPPER($AS$92:$AZ$92)="(BLANK)")+(UPPER($AS$92:$AZ$92)="EMPTY")+(UPPER($AS$92:$AZ$92)="(EMPTY)"))&gt;0,IFERROR(('Final Calculation Sheet'!$AF$37)&amp;"","")="",ISNUMBER(SEARCH($AS$92:$AZ$92,IFERROR(('Final Calculation Sheet'!$AF$37)&amp;"","")))))&gt;0),IF(COUNTIF($BI$92:$BP$92,2)=0,TRUE,SUMPRODUCT(($BI$92:$BP$92=2)*($AS$92:$AZ$92&lt;&gt;"")*IF(((UPPER($AS$92:$AZ$92)="BLANK")+(UPPER($AS$92:$AZ$92)="(BLANK)")+(UPPER($AS$92:$AZ$92)="EMPTY")+(UPPER($AS$92:$AZ$92)="(EMPTY)"))&gt;0,IFERROR(('Final Calculation Sheet'!$AF$37)&amp;"","")="",ISNUMBER(SEARCH($AS$92:$AZ$92,IFERROR(('Final Calculation Sheet'!$AF$37)&amp;"","")))))&gt;0),IF(COUNTIF($BI$92:$BP$92,3)=0,TRUE,SUMPRODUCT(($BI$92:$BP$92=3)*($AS$92:$AZ$92&lt;&gt;"")*IF(((UPPER($AS$92:$AZ$92)="BLANK")+(UPPER($AS$92:$AZ$92)="(BLANK)")+(UPPER($AS$92:$AZ$92)="EMPTY")+(UPPER($AS$92:$AZ$92)="(EMPTY)"))&gt;0,IFERROR(('Final Calculation Sheet'!$AF$37)&amp;"","")="",ISNUMBER(SEARCH($AS$92:$AZ$92,IFERROR(('Final Calculation Sheet'!$AF$37)&amp;"","")))))&gt;0),IF(COUNTIF($BI$92:$BP$92,4)=0,TRUE,SUMPRODUCT(($BI$92:$BP$92=4)*($AS$92:$AZ$92&lt;&gt;"")*IF(((UPPER($AS$92:$AZ$92)="BLANK")+(UPPER($AS$92:$AZ$92)="(BLANK)")+(UPPER($AS$92:$AZ$92)="EMPTY")+(UPPER($AS$92:$AZ$92)="(EMPTY)"))&gt;0,IFERROR(('Final Calculation Sheet'!$AF$37)&amp;"","")="",ISNUMBER(SEARCH($AS$92:$AZ$92,IFERROR(('Final Calculation Sheet'!$AF$37)&amp;"","")))))&gt;0),IF(COUNTIF($BI$92:$BP$92,5)=0,TRUE,SUMPRODUCT(($BI$92:$BP$92=5)*($AS$92:$AZ$92&lt;&gt;"")*IF(((UPPER($AS$92:$AZ$92)="BLANK")+(UPPER($AS$92:$AZ$92)="(BLANK)")+(UPPER($AS$92:$AZ$92)="EMPTY")+(UPPER($AS$92:$AZ$92)="(EMPTY)"))&gt;0,IFERROR(('Final Calculation Sheet'!$AF$37)&amp;"","")="",ISNUMBER(SEARCH($AS$92:$AZ$92,IFERROR(('Final Calculation Sheet'!$AF$37)&amp;"","")))))&gt;0),IF(COUNTIF($BI$92:$BP$92,6)=0,TRUE,SUMPRODUCT(($BI$92:$BP$92=6)*($AS$92:$AZ$92&lt;&gt;"")*IF(((UPPER($AS$92:$AZ$92)="BLANK")+(UPPER($AS$92:$AZ$92)="(BLANK)")+(UPPER($AS$92:$AZ$92)="EMPTY")+(UPPER($AS$92:$AZ$92)="(EMPTY)"))&gt;0,IFERROR(('Final Calculation Sheet'!$AF$37)&amp;"","")="",ISNUMBER(SEARCH($AS$92:$AZ$92,IFERROR(('Final Calculation Sheet'!$AF$37)&amp;"","")))))&gt;0),IF(COUNTIF($BI$92:$BP$92,7)=0,TRUE,SUMPRODUCT(($BI$92:$BP$92=7)*($AS$92:$AZ$92&lt;&gt;"")*IF(((UPPER($AS$92:$AZ$92)="BLANK")+(UPPER($AS$92:$AZ$92)="(BLANK)")+(UPPER($AS$92:$AZ$92)="EMPTY")+(UPPER($AS$92:$AZ$92)="(EMPTY)"))&gt;0,IFERROR(('Final Calculation Sheet'!$AF$37)&amp;"","")="",ISNUMBER(SEARCH($AS$92:$AZ$92,IFERROR(('Final Calculation Sheet'!$AF$37)&amp;"","")))))&gt;0),IF(COUNTIF($BI$92:$BP$92,8)=0,TRUE,SUMPRODUCT(($BI$92:$BP$92=8)*($AS$92:$AZ$92&lt;&gt;"")*IF(((UPPER($AS$92:$AZ$92)="BLANK")+(UPPER($AS$92:$AZ$92)="(BLANK)")+(UPPER($AS$92:$AZ$92)="EMPTY")+(UPPER($AS$92:$AZ$92)="(EMPTY)"))&gt;0,IFERROR(('Final Calculation Sheet'!$AF$37)&amp;"","")="",ISNUMBER(SEARCH($AS$92:$AZ$92,IFERROR(('Final Calculation Sheet'!$AF$37)&amp;"","")))))&gt;0))))</f>
        <v>1</v>
      </c>
      <c r="CT38">
        <f>IF($AH$4="",1,--(AND(SUMPRODUCT(--($AS$93:$AZ$93&lt;&gt;""))&gt;0,IF(COUNTIF($BI$93:$BP$93,1)=0,TRUE,SUMPRODUCT(($BI$93:$BP$93=1)*($AS$93:$AZ$93&lt;&gt;"")*IF(((UPPER($AS$93:$AZ$93)="BLANK")+(UPPER($AS$93:$AZ$93)="(BLANK)")+(UPPER($AS$93:$AZ$93)="EMPTY")+(UPPER($AS$93:$AZ$93)="(EMPTY)"))&gt;0,IFERROR(('Final Calculation Sheet'!$AG$37)&amp;"","")="",ISNUMBER(SEARCH($AS$93:$AZ$93,IFERROR(('Final Calculation Sheet'!$AG$37)&amp;"","")))))&gt;0),IF(COUNTIF($BI$93:$BP$93,2)=0,TRUE,SUMPRODUCT(($BI$93:$BP$93=2)*($AS$93:$AZ$93&lt;&gt;"")*IF(((UPPER($AS$93:$AZ$93)="BLANK")+(UPPER($AS$93:$AZ$93)="(BLANK)")+(UPPER($AS$93:$AZ$93)="EMPTY")+(UPPER($AS$93:$AZ$93)="(EMPTY)"))&gt;0,IFERROR(('Final Calculation Sheet'!$AG$37)&amp;"","")="",ISNUMBER(SEARCH($AS$93:$AZ$93,IFERROR(('Final Calculation Sheet'!$AG$37)&amp;"","")))))&gt;0),IF(COUNTIF($BI$93:$BP$93,3)=0,TRUE,SUMPRODUCT(($BI$93:$BP$93=3)*($AS$93:$AZ$93&lt;&gt;"")*IF(((UPPER($AS$93:$AZ$93)="BLANK")+(UPPER($AS$93:$AZ$93)="(BLANK)")+(UPPER($AS$93:$AZ$93)="EMPTY")+(UPPER($AS$93:$AZ$93)="(EMPTY)"))&gt;0,IFERROR(('Final Calculation Sheet'!$AG$37)&amp;"","")="",ISNUMBER(SEARCH($AS$93:$AZ$93,IFERROR(('Final Calculation Sheet'!$AG$37)&amp;"","")))))&gt;0),IF(COUNTIF($BI$93:$BP$93,4)=0,TRUE,SUMPRODUCT(($BI$93:$BP$93=4)*($AS$93:$AZ$93&lt;&gt;"")*IF(((UPPER($AS$93:$AZ$93)="BLANK")+(UPPER($AS$93:$AZ$93)="(BLANK)")+(UPPER($AS$93:$AZ$93)="EMPTY")+(UPPER($AS$93:$AZ$93)="(EMPTY)"))&gt;0,IFERROR(('Final Calculation Sheet'!$AG$37)&amp;"","")="",ISNUMBER(SEARCH($AS$93:$AZ$93,IFERROR(('Final Calculation Sheet'!$AG$37)&amp;"","")))))&gt;0),IF(COUNTIF($BI$93:$BP$93,5)=0,TRUE,SUMPRODUCT(($BI$93:$BP$93=5)*($AS$93:$AZ$93&lt;&gt;"")*IF(((UPPER($AS$93:$AZ$93)="BLANK")+(UPPER($AS$93:$AZ$93)="(BLANK)")+(UPPER($AS$93:$AZ$93)="EMPTY")+(UPPER($AS$93:$AZ$93)="(EMPTY)"))&gt;0,IFERROR(('Final Calculation Sheet'!$AG$37)&amp;"","")="",ISNUMBER(SEARCH($AS$93:$AZ$93,IFERROR(('Final Calculation Sheet'!$AG$37)&amp;"","")))))&gt;0),IF(COUNTIF($BI$93:$BP$93,6)=0,TRUE,SUMPRODUCT(($BI$93:$BP$93=6)*($AS$93:$AZ$93&lt;&gt;"")*IF(((UPPER($AS$93:$AZ$93)="BLANK")+(UPPER($AS$93:$AZ$93)="(BLANK)")+(UPPER($AS$93:$AZ$93)="EMPTY")+(UPPER($AS$93:$AZ$93)="(EMPTY)"))&gt;0,IFERROR(('Final Calculation Sheet'!$AG$37)&amp;"","")="",ISNUMBER(SEARCH($AS$93:$AZ$93,IFERROR(('Final Calculation Sheet'!$AG$37)&amp;"","")))))&gt;0),IF(COUNTIF($BI$93:$BP$93,7)=0,TRUE,SUMPRODUCT(($BI$93:$BP$93=7)*($AS$93:$AZ$93&lt;&gt;"")*IF(((UPPER($AS$93:$AZ$93)="BLANK")+(UPPER($AS$93:$AZ$93)="(BLANK)")+(UPPER($AS$93:$AZ$93)="EMPTY")+(UPPER($AS$93:$AZ$93)="(EMPTY)"))&gt;0,IFERROR(('Final Calculation Sheet'!$AG$37)&amp;"","")="",ISNUMBER(SEARCH($AS$93:$AZ$93,IFERROR(('Final Calculation Sheet'!$AG$37)&amp;"","")))))&gt;0),IF(COUNTIF($BI$93:$BP$93,8)=0,TRUE,SUMPRODUCT(($BI$93:$BP$93=8)*($AS$93:$AZ$93&lt;&gt;"")*IF(((UPPER($AS$93:$AZ$93)="BLANK")+(UPPER($AS$93:$AZ$93)="(BLANK)")+(UPPER($AS$93:$AZ$93)="EMPTY")+(UPPER($AS$93:$AZ$93)="(EMPTY)"))&gt;0,IFERROR(('Final Calculation Sheet'!$AG$37)&amp;"","")="",ISNUMBER(SEARCH($AS$93:$AZ$93,IFERROR(('Final Calculation Sheet'!$AG$37)&amp;"","")))))&gt;0))))</f>
        <v>1</v>
      </c>
      <c r="CU38">
        <f>IF($AI$4="",1,--(AND(SUMPRODUCT(--($AS$94:$AZ$94&lt;&gt;""))&gt;0,IF(COUNTIF($BI$94:$BP$94,1)=0,TRUE,SUMPRODUCT(($BI$94:$BP$94=1)*($AS$94:$AZ$94&lt;&gt;"")*IF(((UPPER($AS$94:$AZ$94)="BLANK")+(UPPER($AS$94:$AZ$94)="(BLANK)")+(UPPER($AS$94:$AZ$94)="EMPTY")+(UPPER($AS$94:$AZ$94)="(EMPTY)"))&gt;0,IFERROR((IF('Final Calculation Sheet'!$AD$37&lt;=0,"SETTLED","OUTSTANDING"))&amp;"","")="",ISNUMBER(SEARCH($AS$94:$AZ$94,IFERROR((IF('Final Calculation Sheet'!$AD$37&lt;=0,"SETTLED","OUTSTANDING"))&amp;"","")))))&gt;0),IF(COUNTIF($BI$94:$BP$94,2)=0,TRUE,SUMPRODUCT(($BI$94:$BP$94=2)*($AS$94:$AZ$94&lt;&gt;"")*IF(((UPPER($AS$94:$AZ$94)="BLANK")+(UPPER($AS$94:$AZ$94)="(BLANK)")+(UPPER($AS$94:$AZ$94)="EMPTY")+(UPPER($AS$94:$AZ$94)="(EMPTY)"))&gt;0,IFERROR((IF('Final Calculation Sheet'!$AD$37&lt;=0,"SETTLED","OUTSTANDING"))&amp;"","")="",ISNUMBER(SEARCH($AS$94:$AZ$94,IFERROR((IF('Final Calculation Sheet'!$AD$37&lt;=0,"SETTLED","OUTSTANDING"))&amp;"","")))))&gt;0),IF(COUNTIF($BI$94:$BP$94,3)=0,TRUE,SUMPRODUCT(($BI$94:$BP$94=3)*($AS$94:$AZ$94&lt;&gt;"")*IF(((UPPER($AS$94:$AZ$94)="BLANK")+(UPPER($AS$94:$AZ$94)="(BLANK)")+(UPPER($AS$94:$AZ$94)="EMPTY")+(UPPER($AS$94:$AZ$94)="(EMPTY)"))&gt;0,IFERROR((IF('Final Calculation Sheet'!$AD$37&lt;=0,"SETTLED","OUTSTANDING"))&amp;"","")="",ISNUMBER(SEARCH($AS$94:$AZ$94,IFERROR((IF('Final Calculation Sheet'!$AD$37&lt;=0,"SETTLED","OUTSTANDING"))&amp;"","")))))&gt;0),IF(COUNTIF($BI$94:$BP$94,4)=0,TRUE,SUMPRODUCT(($BI$94:$BP$94=4)*($AS$94:$AZ$94&lt;&gt;"")*IF(((UPPER($AS$94:$AZ$94)="BLANK")+(UPPER($AS$94:$AZ$94)="(BLANK)")+(UPPER($AS$94:$AZ$94)="EMPTY")+(UPPER($AS$94:$AZ$94)="(EMPTY)"))&gt;0,IFERROR((IF('Final Calculation Sheet'!$AD$37&lt;=0,"SETTLED","OUTSTANDING"))&amp;"","")="",ISNUMBER(SEARCH($AS$94:$AZ$94,IFERROR((IF('Final Calculation Sheet'!$AD$37&lt;=0,"SETTLED","OUTSTANDING"))&amp;"","")))))&gt;0),IF(COUNTIF($BI$94:$BP$94,5)=0,TRUE,SUMPRODUCT(($BI$94:$BP$94=5)*($AS$94:$AZ$94&lt;&gt;"")*IF(((UPPER($AS$94:$AZ$94)="BLANK")+(UPPER($AS$94:$AZ$94)="(BLANK)")+(UPPER($AS$94:$AZ$94)="EMPTY")+(UPPER($AS$94:$AZ$94)="(EMPTY)"))&gt;0,IFERROR((IF('Final Calculation Sheet'!$AD$37&lt;=0,"SETTLED","OUTSTANDING"))&amp;"","")="",ISNUMBER(SEARCH($AS$94:$AZ$94,IFERROR((IF('Final Calculation Sheet'!$AD$37&lt;=0,"SETTLED","OUTSTANDING"))&amp;"","")))))&gt;0),IF(COUNTIF($BI$94:$BP$94,6)=0,TRUE,SUMPRODUCT(($BI$94:$BP$94=6)*($AS$94:$AZ$94&lt;&gt;"")*IF(((UPPER($AS$94:$AZ$94)="BLANK")+(UPPER($AS$94:$AZ$94)="(BLANK)")+(UPPER($AS$94:$AZ$94)="EMPTY")+(UPPER($AS$94:$AZ$94)="(EMPTY)"))&gt;0,IFERROR((IF('Final Calculation Sheet'!$AD$37&lt;=0,"SETTLED","OUTSTANDING"))&amp;"","")="",ISNUMBER(SEARCH($AS$94:$AZ$94,IFERROR((IF('Final Calculation Sheet'!$AD$37&lt;=0,"SETTLED","OUTSTANDING"))&amp;"","")))))&gt;0),IF(COUNTIF($BI$94:$BP$94,7)=0,TRUE,SUMPRODUCT(($BI$94:$BP$94=7)*($AS$94:$AZ$94&lt;&gt;"")*IF(((UPPER($AS$94:$AZ$94)="BLANK")+(UPPER($AS$94:$AZ$94)="(BLANK)")+(UPPER($AS$94:$AZ$94)="EMPTY")+(UPPER($AS$94:$AZ$94)="(EMPTY)"))&gt;0,IFERROR((IF('Final Calculation Sheet'!$AD$37&lt;=0,"SETTLED","OUTSTANDING"))&amp;"","")="",ISNUMBER(SEARCH($AS$94:$AZ$94,IFERROR((IF('Final Calculation Sheet'!$AD$37&lt;=0,"SETTLED","OUTSTANDING"))&amp;"","")))))&gt;0),IF(COUNTIF($BI$94:$BP$94,8)=0,TRUE,SUMPRODUCT(($BI$94:$BP$94=8)*($AS$94:$AZ$94&lt;&gt;"")*IF(((UPPER($AS$94:$AZ$94)="BLANK")+(UPPER($AS$94:$AZ$94)="(BLANK)")+(UPPER($AS$94:$AZ$94)="EMPTY")+(UPPER($AS$94:$AZ$94)="(EMPTY)"))&gt;0,IFERROR((IF('Final Calculation Sheet'!$AD$37&lt;=0,"SETTLED","OUTSTANDING"))&amp;"","")="",ISNUMBER(SEARCH($AS$94:$AZ$94,IFERROR((IF('Final Calculation Sheet'!$AD$37&lt;=0,"SETTLED","OUTSTANDING"))&amp;"","")))))&gt;0))))</f>
        <v>1</v>
      </c>
    </row>
    <row r="39" spans="1:99" ht="15" customHeight="1" x14ac:dyDescent="0.25">
      <c r="A39" s="67">
        <f>IF($BJ38&gt;0,INDEX($BA$5:$BA$41,MATCH(38,$BB$5:$BB$41,0)),IF(OR($BI38=1,$BL38=1,$BH38&gt;0),"∑",""))</f>
        <v>22</v>
      </c>
      <c r="B39" s="68">
        <f>IF($BJ38&gt;0,IF(INDEX('Final Calculation Sheet'!$F$4:$F$40,$BJ38-3)="","",INDEX('Final Calculation Sheet'!$F$4:$F$40,$BJ38-3)),"")</f>
        <v>2055</v>
      </c>
      <c r="C39" s="68" t="str">
        <f>IF($BJ38&gt;0,IF(INDEX('Final Calculation Sheet'!$G$4:$G$40,$BJ38-3)="","",INDEX('Final Calculation Sheet'!$G$4:$G$40,$BJ38-3)),IF(OR($BI38=1,$BL38=1,$BH38&gt;0),IF($BI38=1,37,IF($BL38=1,37-INDEX($BD$4:$BD$13,10),INDEX($BD$4:$BD$13,$BH38)))&amp;" lot(s)",""))</f>
        <v>NATIONAL ENTERPRISES</v>
      </c>
      <c r="D39" s="69" t="str">
        <f>IF($BJ38&gt;0,IF(INDEX('Final Calculation Sheet'!$B$4:$B$40,$BJ38-3)="","",INDEX('Final Calculation Sheet'!$B$4:$B$40,$BJ38-3)),IF(OR($BI38=1,$BL38=1,$BH38&gt;0),IF($BI38=1,"GRAND TOTAL  —  matching + remaining",IF($BL38=1,"TOTAL MATCHED  —  every group together",IF($BH38=10,"REMAINING  —  did not match the search",IF($BH38=9,IF(COUNTIF($A$4:$AI$4,"&lt;&gt;")&gt;0,"FILTERED LOTS  —  column fields","ALL LOTS  —  nothing typed in the box"),"GROUP "&amp;$BH38&amp;" TOTAL  —  lots matching  "&amp;INDEX($AR$6:$AY$6,$BH38))))),""))</f>
        <v>Scrap of 220 KV CT</v>
      </c>
      <c r="E39" s="69">
        <f>IF($BJ38&gt;0,IF(INDEX('Final Calculation Sheet'!$D$4:$D$40,$BJ38-3)="","",INDEX('Final Calculation Sheet'!$D$4:$D$40,$BJ38-3)),IF(OR($BI38=1,$BL38=1,$BH38&gt;0),"–",""))</f>
        <v>21979</v>
      </c>
      <c r="F39" s="69">
        <f>IF($BJ38&gt;0,IF(INDEX('Final Calculation Sheet'!$A$4:$A$40,$BJ38-3)="","",INDEX('Final Calculation Sheet'!$A$4:$A$40,$BJ38-3)),IF(OR($BI38=1,$BL38=1,$BH38&gt;0),IF($BI38=1,SUM('Final Calculation Sheet'!$A$4:$A$40),IF($BL38=1,SUM('Final Calculation Sheet'!$A$4:$A$40)-SUMIFS('Final Calculation Sheet'!$A$4:$A$40,$AZ$5:$AZ$41,10),SUMIFS('Final Calculation Sheet'!$A$4:$A$40,$AZ$5:$AZ$41,$BH38))),""))</f>
        <v>2</v>
      </c>
      <c r="G39" s="69" t="str">
        <f>IF($BJ38&gt;0,IF(INDEX('Final Calculation Sheet'!$E$4:$E$40,$BJ38-3)="","",INDEX('Final Calculation Sheet'!$E$4:$E$40,$BJ38-3)),IF(OR($BI38=1,$BL38=1,$BH38&gt;0),"–",""))</f>
        <v>NO</v>
      </c>
      <c r="H39" s="70">
        <f>IF($BJ38&gt;0,IF(INDEX('Final Calculation Sheet'!$C$4:$C$40,$BJ38-3)="","",INDEX('Final Calculation Sheet'!$C$4:$C$40,$BJ38-3)),IF(OR($BI38=1,$BL38=1,$BH38&gt;0),"–",""))</f>
        <v>80006</v>
      </c>
      <c r="I39" s="70">
        <f>IF($BJ38&gt;0,IF(INDEX('Final Calculation Sheet'!$H$4:$H$40,$BJ38-3)="","",INDEX('Final Calculation Sheet'!$H$4:$H$40,$BJ38-3)),IF(OR($BI38=1,$BL38=1,$BH38&gt;0),IF($BI38=1,SUM('Final Calculation Sheet'!$H$4:$H$40),IF($BL38=1,SUM('Final Calculation Sheet'!$H$4:$H$40)-SUMIFS('Final Calculation Sheet'!$H$4:$H$40,$AZ$5:$AZ$41,10),SUMIFS('Final Calculation Sheet'!$H$4:$H$40,$AZ$5:$AZ$41,$BH38))),""))</f>
        <v>160012</v>
      </c>
      <c r="J39" s="70">
        <f>IF($BJ38&gt;0,IF(INDEX('Final Calculation Sheet'!$I$4:$I$40,$BJ38-3)="","",INDEX('Final Calculation Sheet'!$I$4:$I$40,$BJ38-3)),IF(OR($BI38=1,$BL38=1,$BH38&gt;0),IF($BI38=1,SUM('Final Calculation Sheet'!$I$4:$I$40),IF($BL38=1,SUM('Final Calculation Sheet'!$I$4:$I$40)-SUMIFS('Final Calculation Sheet'!$I$4:$I$40,$AZ$5:$AZ$41,10),SUMIFS('Final Calculation Sheet'!$I$4:$I$40,$AZ$5:$AZ$41,$BH38))),""))</f>
        <v>28802</v>
      </c>
      <c r="K39" s="70">
        <f>IF($BJ38&gt;0,IF(INDEX('Final Calculation Sheet'!$J$4:$J$40,$BJ38-3)="","",INDEX('Final Calculation Sheet'!$J$4:$J$40,$BJ38-3)),IF(OR($BI38=1,$BL38=1,$BH38&gt;0),IF($BI38=1,SUM('Final Calculation Sheet'!$J$4:$J$40),IF($BL38=1,SUM('Final Calculation Sheet'!$J$4:$J$40)-SUMIFS('Final Calculation Sheet'!$J$4:$J$40,$AZ$5:$AZ$41,10),SUMIFS('Final Calculation Sheet'!$J$4:$J$40,$AZ$5:$AZ$41,$BH38))),""))</f>
        <v>188814</v>
      </c>
      <c r="L39" s="70">
        <f>IF($BJ38&gt;0,IF(INDEX('Final Calculation Sheet'!$K$4:$K$40,$BJ38-3)="","",INDEX('Final Calculation Sheet'!$K$4:$K$40,$BJ38-3)),IF(OR($BI38=1,$BL38=1,$BH38&gt;0),IF($BI38=1,SUM('Final Calculation Sheet'!$K$4:$K$40),IF($BL38=1,SUM('Final Calculation Sheet'!$K$4:$K$40)-SUMIFS('Final Calculation Sheet'!$K$4:$K$40,$AZ$5:$AZ$41,10),SUMIFS('Final Calculation Sheet'!$K$4:$K$40,$AZ$5:$AZ$41,$BH38))),""))</f>
        <v>3776</v>
      </c>
      <c r="M39" s="70">
        <f>IF($BJ38&gt;0,IF(INDEX('Final Calculation Sheet'!$L$4:$L$40,$BJ38-3)="","",INDEX('Final Calculation Sheet'!$L$4:$L$40,$BJ38-3)),IF(OR($BI38=1,$BL38=1,$BH38&gt;0),IF($BI38=1,SUM('Final Calculation Sheet'!$L$4:$L$40),IF($BL38=1,SUM('Final Calculation Sheet'!$L$4:$L$40)-SUMIFS('Final Calculation Sheet'!$L$4:$L$40,$AZ$5:$AZ$41,10),SUMIFS('Final Calculation Sheet'!$L$4:$L$40,$AZ$5:$AZ$41,$BH38))),""))</f>
        <v>160.012</v>
      </c>
      <c r="N39" s="70">
        <f>IF($BJ38&gt;0,IF(INDEX('Final Calculation Sheet'!$M$4:$M$40,$BJ38-3)="","",INDEX('Final Calculation Sheet'!$M$4:$M$40,$BJ38-3)),IF(OR($BI38=1,$BL38=1,$BH38&gt;0),IF($BI38=1,SUM('Final Calculation Sheet'!$M$4:$M$40),IF($BL38=1,SUM('Final Calculation Sheet'!$M$4:$M$40)-SUMIFS('Final Calculation Sheet'!$M$4:$M$40,$AZ$5:$AZ$41,10),SUMIFS('Final Calculation Sheet'!$M$4:$M$40,$AZ$5:$AZ$41,$BH38))),""))</f>
        <v>4248.3185999999996</v>
      </c>
      <c r="O39" s="71">
        <f>IF($BJ38&gt;0,IF(INDEX('Final Calculation Sheet'!$N$4:$N$40,$BJ38-3)="","",INDEX('Final Calculation Sheet'!$N$4:$N$40,$BJ38-3)),IF(OR($BI38=1,$BL38=1,$BH38&gt;0),IF($BI38=1,SUM('Final Calculation Sheet'!$N$4:$N$40),IF($BL38=1,SUM('Final Calculation Sheet'!$N$4:$N$40)-SUMIFS('Final Calculation Sheet'!$N$4:$N$40,$AZ$5:$AZ$41,10),SUMIFS('Final Calculation Sheet'!$N$4:$N$40,$AZ$5:$AZ$41,$BH38))),""))</f>
        <v>72.005399999999995</v>
      </c>
      <c r="P39" s="70">
        <f>IF($BJ38&gt;0,IF(INDEX('Final Calculation Sheet'!$O$4:$O$40,$BJ38-3)="","",INDEX('Final Calculation Sheet'!$O$4:$O$40,$BJ38-3)),IF(OR($BI38=1,$BL38=1,$BH38&gt;0),IF($BI38=1,SUM('Final Calculation Sheet'!$O$4:$O$40),IF($BL38=1,SUM('Final Calculation Sheet'!$O$4:$O$40)-SUMIFS('Final Calculation Sheet'!$O$4:$O$40,$AZ$5:$AZ$41,10),SUMIFS('Final Calculation Sheet'!$O$4:$O$40,$AZ$5:$AZ$41,$BH38))),""))</f>
        <v>4176.3131999999996</v>
      </c>
      <c r="Q39" s="70">
        <f>IF($BJ38&gt;0,IF(INDEX('Final Calculation Sheet'!$P$4:$P$40,$BJ38-3)="","",INDEX('Final Calculation Sheet'!$P$4:$P$40,$BJ38-3)),IF(OR($BI38=1,$BL38=1,$BH38&gt;0),IF($BI38=1,SUM('Final Calculation Sheet'!$P$4:$P$40),IF($BL38=1,SUM('Final Calculation Sheet'!$P$4:$P$40)-SUMIFS('Final Calculation Sheet'!$P$4:$P$40,$AZ$5:$AZ$41,10),SUMIFS('Final Calculation Sheet'!$P$4:$P$40,$AZ$5:$AZ$41,$BH38))),""))</f>
        <v>4336</v>
      </c>
      <c r="R39" s="72">
        <f>IF($BJ38&gt;0,IF(INDEX('Final Calculation Sheet'!$Q$4:$Q$40,$BJ38-3)="","",INDEX('Final Calculation Sheet'!$Q$4:$Q$40,$BJ38-3)),IF(OR($BI38=1,$BL38=1,$BH38&gt;0),"–",""))</f>
        <v>0</v>
      </c>
      <c r="S39" s="70">
        <f>IF($BJ38&gt;0,IF(INDEX('Final Calculation Sheet'!$R$4:$R$40,$BJ38-3)="","",INDEX('Final Calculation Sheet'!$R$4:$R$40,$BJ38-3)),IF(OR($BI38=1,$BL38=1,$BH38&gt;0),IF($BI38=1,SUM('Final Calculation Sheet'!$R$4:$R$40),IF($BL38=1,SUM('Final Calculation Sheet'!$R$4:$R$40)-SUMIFS('Final Calculation Sheet'!$R$4:$R$40,$AZ$5:$AZ$41,10),SUMIFS('Final Calculation Sheet'!$R$4:$R$40,$AZ$5:$AZ$41,$BH38))),""))</f>
        <v>0</v>
      </c>
      <c r="T39" s="70">
        <f>IF($BJ38&gt;0,IF(INDEX('Final Calculation Sheet'!$S$4:$S$40,$BJ38-3)="","",INDEX('Final Calculation Sheet'!$S$4:$S$40,$BJ38-3)),IF(OR($BI38=1,$BL38=1,$BH38&gt;0),IF($BI38=1,SUM('Final Calculation Sheet'!$S$4:$S$40),IF($BL38=1,SUM('Final Calculation Sheet'!$S$4:$S$40)-SUMIFS('Final Calculation Sheet'!$S$4:$S$40,$AZ$5:$AZ$41,10),SUMIFS('Final Calculation Sheet'!$S$4:$S$40,$AZ$5:$AZ$41,$BH38))),""))</f>
        <v>188254</v>
      </c>
      <c r="U39" s="70">
        <f>IF($BJ38&gt;0,IF(INDEX('Final Calculation Sheet'!$T$4:$T$40,$BJ38-3)="","",INDEX('Final Calculation Sheet'!$T$4:$T$40,$BJ38-3)),IF(OR($BI38=1,$BL38=1,$BH38&gt;0),IF($BI38=1,SUM('Final Calculation Sheet'!$T$4:$T$40),IF($BL38=1,SUM('Final Calculation Sheet'!$T$4:$T$40)-SUMIFS('Final Calculation Sheet'!$T$4:$T$40,$AZ$5:$AZ$41,10),SUMIFS('Final Calculation Sheet'!$T$4:$T$40,$AZ$5:$AZ$41,$BH38))),""))</f>
        <v>40003</v>
      </c>
      <c r="V39" s="73">
        <f>IF($BJ38&gt;0,IF(INDEX('Final Calculation Sheet'!$U$4:$U$40,$BJ38-3)="","",INDEX('Final Calculation Sheet'!$U$4:$U$40,$BJ38-3)),IF(OR($BI38=1,$BL38=1,$BH38&gt;0),IF($BI38=1,SUM('Final Calculation Sheet'!$U$4:$U$40),IF($BL38=1,SUM('Final Calculation Sheet'!$U$4:$U$40)-SUMIFS('Final Calculation Sheet'!$U$4:$U$40,$AZ$5:$AZ$41,10),SUMIFS('Final Calculation Sheet'!$U$4:$U$40,$AZ$5:$AZ$41,$BH38))),""))</f>
        <v>40003</v>
      </c>
      <c r="W39" s="70" t="str">
        <f>IF($BJ38&gt;0,IF(INDEX('Final Calculation Sheet'!$V$4:$V$40,$BJ38-3)="","",INDEX('Final Calculation Sheet'!$V$4:$V$40,$BJ38-3)),IF(OR($BI38=1,$BL38=1,$BH38&gt;0),"–",""))</f>
        <v>13.08.2026</v>
      </c>
      <c r="X39" s="70">
        <f>IF($BJ38&gt;0,IF(INDEX('Final Calculation Sheet'!$W$4:$W$40,$BJ38-3)="","",INDEX('Final Calculation Sheet'!$W$4:$W$40,$BJ38-3)),IF(OR($BI38=1,$BL38=1,$BH38&gt;0),IF($BI38=1,SUM('Final Calculation Sheet'!$W$4:$W$40),IF($BL38=1,SUM('Final Calculation Sheet'!$W$4:$W$40)-SUMIFS('Final Calculation Sheet'!$W$4:$W$40,$AZ$5:$AZ$41,10),SUMIFS('Final Calculation Sheet'!$W$4:$W$40,$AZ$5:$AZ$41,$BH38))),""))</f>
        <v>148251</v>
      </c>
      <c r="Y39" s="70">
        <f>IF($BJ38&gt;0,IF(INDEX('Final Calculation Sheet'!$X$4:$X$40,$BJ38-3)="","",INDEX('Final Calculation Sheet'!$X$4:$X$40,$BJ38-3)),IF(OR($BI38=1,$BL38=1,$BH38&gt;0),IF($BI38=1,SUM('Final Calculation Sheet'!$X$4:$X$40),IF($BL38=1,SUM('Final Calculation Sheet'!$X$4:$X$40)-SUMIFS('Final Calculation Sheet'!$X$4:$X$40,$AZ$5:$AZ$41,10),SUMIFS('Final Calculation Sheet'!$X$4:$X$40,$AZ$5:$AZ$41,$BH38))),""))</f>
        <v>148251</v>
      </c>
      <c r="Z39" s="70" t="str">
        <f>IF($BJ38&gt;0,IF(INDEX('Final Calculation Sheet'!$Y$4:$Y$40,$BJ38-3)="","",INDEX('Final Calculation Sheet'!$Y$4:$Y$40,$BJ38-3)),IF(OR($BI38=1,$BL38=1,$BH38&gt;0),"–",""))</f>
        <v>24.08.2026</v>
      </c>
      <c r="AA39" s="70">
        <f ca="1">IF($BJ38&gt;0,IF(INDEX('Final Calculation Sheet'!$Z$4:$Z$40,$BJ38-3)="","",INDEX('Final Calculation Sheet'!$Z$4:$Z$40,$BJ38-3)),IF(OR($BI38=1,$BL38=1,$BH38&gt;0),IF($BI38=1,SUM('Final Calculation Sheet'!$Z$4:$Z$40),IF($BL38=1,SUM('Final Calculation Sheet'!$Z$4:$Z$40)-SUMIFS('Final Calculation Sheet'!$Z$4:$Z$40,$AZ$5:$AZ$41,10),SUMIFS('Final Calculation Sheet'!$Z$4:$Z$40,$AZ$5:$AZ$41,$BH38))),""))</f>
        <v>0</v>
      </c>
      <c r="AB39" s="70" t="str">
        <f>IF($BJ38&gt;0,IF(INDEX('Final Calculation Sheet'!$AA$4:$AA$40,$BJ38-3)="","",INDEX('Final Calculation Sheet'!$AA$4:$AA$40,$BJ38-3)),IF(OR($BI38=1,$BL38=1,$BH38&gt;0),IF($BI38=1,SUM('Final Calculation Sheet'!$AA$4:$AA$40),IF($BL38=1,SUM('Final Calculation Sheet'!$AA$4:$AA$40)-SUMIFS('Final Calculation Sheet'!$AA$4:$AA$40,$AZ$5:$AZ$41,10),SUMIFS('Final Calculation Sheet'!$AA$4:$AA$40,$AZ$5:$AZ$41,$BH38))),""))</f>
        <v/>
      </c>
      <c r="AC39" s="70" t="str">
        <f>IF($BJ38&gt;0,IF(INDEX('Final Calculation Sheet'!$AB$4:$AB$40,$BJ38-3)="","",INDEX('Final Calculation Sheet'!$AB$4:$AB$40,$BJ38-3)),IF(OR($BI38=1,$BL38=1,$BH38&gt;0),"–",""))</f>
        <v/>
      </c>
      <c r="AD39" s="70">
        <f>IF($BJ38&gt;0,IF(INDEX('Final Calculation Sheet'!$AC$4:$AC$40,$BJ38-3)="","",INDEX('Final Calculation Sheet'!$AC$4:$AC$40,$BJ38-3)),IF(OR($BI38=1,$BL38=1,$BH38&gt;0),IF($BI38=1,SUM('Final Calculation Sheet'!$AC$4:$AC$40),IF($BL38=1,SUM('Final Calculation Sheet'!$AC$4:$AC$40)-SUMIFS('Final Calculation Sheet'!$AC$4:$AC$40,$AZ$5:$AZ$41,10),SUMIFS('Final Calculation Sheet'!$AC$4:$AC$40,$AZ$5:$AZ$41,$BH38))),""))</f>
        <v>188254</v>
      </c>
      <c r="AE39" s="70">
        <f>IF($BJ38&gt;0,IF(INDEX('Final Calculation Sheet'!$AD$4:$AD$40,$BJ38-3)="","",INDEX('Final Calculation Sheet'!$AD$4:$AD$40,$BJ38-3)),IF(OR($BI38=1,$BL38=1,$BH38&gt;0),IF($BI38=1,SUM('Final Calculation Sheet'!$AD$4:$AD$40),IF($BL38=1,SUM('Final Calculation Sheet'!$AD$4:$AD$40)-SUMIFS('Final Calculation Sheet'!$AD$4:$AD$40,$AZ$5:$AZ$41,10),SUMIFS('Final Calculation Sheet'!$AD$4:$AD$40,$AZ$5:$AZ$41,$BH38))),""))</f>
        <v>0</v>
      </c>
      <c r="AF39" s="70" t="str">
        <f>IF($BJ38&gt;0,IF(INDEX('Final Calculation Sheet'!$AE$4:$AE$40,$BJ38-3)="","",INDEX('Final Calculation Sheet'!$AE$4:$AE$40,$BJ38-3)),IF(OR($BI38=1,$BL38=1,$BH38&gt;0),"–",""))</f>
        <v>DR2640100039</v>
      </c>
      <c r="AG39" s="74">
        <f>IF($BJ38&gt;0,IF(INDEX('Final Calculation Sheet'!$AF$4:$AF$40,$BJ38-3)="","",INDEX('Final Calculation Sheet'!$AF$4:$AF$40,$BJ38-3)),IF(OR($BI38=1,$BL38=1,$BH38&gt;0),"–",""))</f>
        <v>1800003312</v>
      </c>
      <c r="AH39" s="70" t="str">
        <f>IF($BJ38&gt;0,IF(INDEX('Final Calculation Sheet'!$AG$4:$AG$40,$BJ38-3)="","",INDEX('Final Calculation Sheet'!$AG$4:$AG$40,$BJ38-3)),IF(OR($BI38=1,$BL38=1,$BH38&gt;0),"–",""))</f>
        <v>27.08.2026</v>
      </c>
      <c r="AI39" s="75" t="str">
        <f>IF($BJ38&gt;0,IF(INDEX('Final Calculation Sheet'!$AD$4:$AD$40,$BJ38-3)="","",IF(INDEX('Final Calculation Sheet'!$AD$4:$AD$40,$BJ38-3)&lt;=0,"SETTLED","OUTSTANDING")),IF(OR($BI38=1,$BL38=1,$BH38&gt;0),IF(IF($BI38=1,SUM('Final Calculation Sheet'!$AD$4:$AD$40),IF($BL38=1,SUM('Final Calculation Sheet'!$AD$4:$AD$40)-SUMIFS('Final Calculation Sheet'!$AD$4:$AD$40,$AZ$5:$AZ$41,10),SUMIFS('Final Calculation Sheet'!$AD$4:$AD$40,$AZ$5:$AZ$41,$BH38)))&lt;=0,"ALL SETTLED","OUTSTANDING"),""))</f>
        <v>SETTLED</v>
      </c>
      <c r="AK39" t="str">
        <f>IF($F$3="Lot No.",'Final Calculation Sheet'!$F$38,IF($F$3="Buyer",'Final Calculation Sheet'!$G$38,IF($F$3="Lot Name",'Final Calculation Sheet'!$B$38,IF($F$3="Bid Sheet",'Final Calculation Sheet'!$D$38,IF($F$3="Unit",'Final Calculation Sheet'!$E$38,'Final Calculation Sheet'!$F$38&amp;" "&amp;'Final Calculation Sheet'!$G$38&amp;" "&amp;'Final Calculation Sheet'!$B$38)))))</f>
        <v>2086 KASHYAP TRADING CO Scrap of 132 KV CT</v>
      </c>
      <c r="AM39">
        <f t="shared" si="1"/>
        <v>0</v>
      </c>
      <c r="AZ39">
        <f t="shared" si="2"/>
        <v>10</v>
      </c>
      <c r="BA39">
        <f t="shared" si="3"/>
        <v>26</v>
      </c>
      <c r="BB39">
        <f t="shared" si="4"/>
        <v>42</v>
      </c>
      <c r="BC39">
        <v>38</v>
      </c>
      <c r="BH39">
        <f>IFERROR(MATCH(39,$BF$4:$BF$13,0),0)</f>
        <v>0</v>
      </c>
      <c r="BI39">
        <f>IF(39=$BG$5,1,0)</f>
        <v>0</v>
      </c>
      <c r="BJ39">
        <f>IF(OR($BH39&gt;0,$BI39=1,$BL39=1),0,IFERROR(INDEX($BC$5:$BC$41,MATCH(39,$BB$5:$BB$41,0)),0))</f>
        <v>33</v>
      </c>
      <c r="BK39">
        <f>IF($BJ39&gt;0,IF(INDEX($AZ$5:$AZ$41,MATCH(39,$BB$5:$BB$41,0))=10,1,0),IF($BH39=10,1,0))</f>
        <v>1</v>
      </c>
      <c r="BL39">
        <f>IF(39=$BG$4,1,0)</f>
        <v>0</v>
      </c>
      <c r="BM39">
        <f>IF($A$4="",1,--(AND(SUMPRODUCT(--($AS$60:$AZ$60&lt;&gt;""))&gt;0,IF(COUNTIF($BI$60:$BP$60,1)=0,TRUE,SUMPRODUCT(($BI$60:$BP$60=1)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$60,2)=0,TRUE,SUMPRODUCT(($BI$60:$BP$60=2)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$60,3)=0,TRUE,SUMPRODUCT(($BI$60:$BP$60=3)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$60,4)=0,TRUE,SUMPRODUCT(($BI$60:$BP$60=4)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$60,5)=0,TRUE,SUMPRODUCT(($BI$60:$BP$60=5)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$60,6)=0,TRUE,SUMPRODUCT(($BI$60:$BP$60=6)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$60,7)=0,TRUE,SUMPRODUCT(($BI$60:$BP$60=7)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$60,8)=0,TRUE,SUMPRODUCT(($BI$60:$BP$60=8)*($AS$60:$AZ$60&lt;&gt;"")*IF(((UPPER($AS$60:$AZ$60)="BLANK")+(UPPER($AS$60:$AZ$60)="(BLANK)")+(UPPER($AS$60:$AZ$60)="EMPTY")+(UPPER($AS$60:$AZ$60)="(EMPTY)"))&gt;0,IFERROR((ROW()-4)&amp;"","")="",ISNUMBER(SEARCH($AS$60:$AZ$60,IFERROR((ROW()-4)&amp;"","")))))&gt;0))))</f>
        <v>1</v>
      </c>
      <c r="BN39">
        <f>IF($B$4="",1,--(AND(SUMPRODUCT(--($AS$61:$AZ$61&lt;&gt;""))&gt;0,IF(COUNTIF($BI$61:$BP$61,1)=0,TRUE,SUMPRODUCT(($BI$61:$BP$61=1)*($AS$61:$AZ$61&lt;&gt;"")*IF(((UPPER($AS$61:$AZ$61)="BLANK")+(UPPER($AS$61:$AZ$61)="(BLANK)")+(UPPER($AS$61:$AZ$61)="EMPTY")+(UPPER($AS$61:$AZ$61)="(EMPTY)"))&gt;0,IFERROR(('Final Calculation Sheet'!$F$38)&amp;"","")="",ISNUMBER(SEARCH($AS$61:$AZ$61,IFERROR(('Final Calculation Sheet'!$F$38)&amp;"","")))))&gt;0),IF(COUNTIF($BI$61:$BP$61,2)=0,TRUE,SUMPRODUCT(($BI$61:$BP$61=2)*($AS$61:$AZ$61&lt;&gt;"")*IF(((UPPER($AS$61:$AZ$61)="BLANK")+(UPPER($AS$61:$AZ$61)="(BLANK)")+(UPPER($AS$61:$AZ$61)="EMPTY")+(UPPER($AS$61:$AZ$61)="(EMPTY)"))&gt;0,IFERROR(('Final Calculation Sheet'!$F$38)&amp;"","")="",ISNUMBER(SEARCH($AS$61:$AZ$61,IFERROR(('Final Calculation Sheet'!$F$38)&amp;"","")))))&gt;0),IF(COUNTIF($BI$61:$BP$61,3)=0,TRUE,SUMPRODUCT(($BI$61:$BP$61=3)*($AS$61:$AZ$61&lt;&gt;"")*IF(((UPPER($AS$61:$AZ$61)="BLANK")+(UPPER($AS$61:$AZ$61)="(BLANK)")+(UPPER($AS$61:$AZ$61)="EMPTY")+(UPPER($AS$61:$AZ$61)="(EMPTY)"))&gt;0,IFERROR(('Final Calculation Sheet'!$F$38)&amp;"","")="",ISNUMBER(SEARCH($AS$61:$AZ$61,IFERROR(('Final Calculation Sheet'!$F$38)&amp;"","")))))&gt;0),IF(COUNTIF($BI$61:$BP$61,4)=0,TRUE,SUMPRODUCT(($BI$61:$BP$61=4)*($AS$61:$AZ$61&lt;&gt;"")*IF(((UPPER($AS$61:$AZ$61)="BLANK")+(UPPER($AS$61:$AZ$61)="(BLANK)")+(UPPER($AS$61:$AZ$61)="EMPTY")+(UPPER($AS$61:$AZ$61)="(EMPTY)"))&gt;0,IFERROR(('Final Calculation Sheet'!$F$38)&amp;"","")="",ISNUMBER(SEARCH($AS$61:$AZ$61,IFERROR(('Final Calculation Sheet'!$F$38)&amp;"","")))))&gt;0),IF(COUNTIF($BI$61:$BP$61,5)=0,TRUE,SUMPRODUCT(($BI$61:$BP$61=5)*($AS$61:$AZ$61&lt;&gt;"")*IF(((UPPER($AS$61:$AZ$61)="BLANK")+(UPPER($AS$61:$AZ$61)="(BLANK)")+(UPPER($AS$61:$AZ$61)="EMPTY")+(UPPER($AS$61:$AZ$61)="(EMPTY)"))&gt;0,IFERROR(('Final Calculation Sheet'!$F$38)&amp;"","")="",ISNUMBER(SEARCH($AS$61:$AZ$61,IFERROR(('Final Calculation Sheet'!$F$38)&amp;"","")))))&gt;0),IF(COUNTIF($BI$61:$BP$61,6)=0,TRUE,SUMPRODUCT(($BI$61:$BP$61=6)*($AS$61:$AZ$61&lt;&gt;"")*IF(((UPPER($AS$61:$AZ$61)="BLANK")+(UPPER($AS$61:$AZ$61)="(BLANK)")+(UPPER($AS$61:$AZ$61)="EMPTY")+(UPPER($AS$61:$AZ$61)="(EMPTY)"))&gt;0,IFERROR(('Final Calculation Sheet'!$F$38)&amp;"","")="",ISNUMBER(SEARCH($AS$61:$AZ$61,IFERROR(('Final Calculation Sheet'!$F$38)&amp;"","")))))&gt;0),IF(COUNTIF($BI$61:$BP$61,7)=0,TRUE,SUMPRODUCT(($BI$61:$BP$61=7)*($AS$61:$AZ$61&lt;&gt;"")*IF(((UPPER($AS$61:$AZ$61)="BLANK")+(UPPER($AS$61:$AZ$61)="(BLANK)")+(UPPER($AS$61:$AZ$61)="EMPTY")+(UPPER($AS$61:$AZ$61)="(EMPTY)"))&gt;0,IFERROR(('Final Calculation Sheet'!$F$38)&amp;"","")="",ISNUMBER(SEARCH($AS$61:$AZ$61,IFERROR(('Final Calculation Sheet'!$F$38)&amp;"","")))))&gt;0),IF(COUNTIF($BI$61:$BP$61,8)=0,TRUE,SUMPRODUCT(($BI$61:$BP$61=8)*($AS$61:$AZ$61&lt;&gt;"")*IF(((UPPER($AS$61:$AZ$61)="BLANK")+(UPPER($AS$61:$AZ$61)="(BLANK)")+(UPPER($AS$61:$AZ$61)="EMPTY")+(UPPER($AS$61:$AZ$61)="(EMPTY)"))&gt;0,IFERROR(('Final Calculation Sheet'!$F$38)&amp;"","")="",ISNUMBER(SEARCH($AS$61:$AZ$61,IFERROR(('Final Calculation Sheet'!$F$38)&amp;"","")))))&gt;0))))</f>
        <v>1</v>
      </c>
      <c r="BO39">
        <f>IF($C$4="",1,--(AND(SUMPRODUCT(--($AS$62:$AZ$62&lt;&gt;""))&gt;0,IF(COUNTIF($BI$62:$BP$62,1)=0,TRUE,SUMPRODUCT(($BI$62:$BP$62=1)*($AS$62:$AZ$62&lt;&gt;"")*IF(((UPPER($AS$62:$AZ$62)="BLANK")+(UPPER($AS$62:$AZ$62)="(BLANK)")+(UPPER($AS$62:$AZ$62)="EMPTY")+(UPPER($AS$62:$AZ$62)="(EMPTY)"))&gt;0,IFERROR(('Final Calculation Sheet'!$G$38)&amp;"","")="",ISNUMBER(SEARCH($AS$62:$AZ$62,IFERROR(('Final Calculation Sheet'!$G$38)&amp;"","")))))&gt;0),IF(COUNTIF($BI$62:$BP$62,2)=0,TRUE,SUMPRODUCT(($BI$62:$BP$62=2)*($AS$62:$AZ$62&lt;&gt;"")*IF(((UPPER($AS$62:$AZ$62)="BLANK")+(UPPER($AS$62:$AZ$62)="(BLANK)")+(UPPER($AS$62:$AZ$62)="EMPTY")+(UPPER($AS$62:$AZ$62)="(EMPTY)"))&gt;0,IFERROR(('Final Calculation Sheet'!$G$38)&amp;"","")="",ISNUMBER(SEARCH($AS$62:$AZ$62,IFERROR(('Final Calculation Sheet'!$G$38)&amp;"","")))))&gt;0),IF(COUNTIF($BI$62:$BP$62,3)=0,TRUE,SUMPRODUCT(($BI$62:$BP$62=3)*($AS$62:$AZ$62&lt;&gt;"")*IF(((UPPER($AS$62:$AZ$62)="BLANK")+(UPPER($AS$62:$AZ$62)="(BLANK)")+(UPPER($AS$62:$AZ$62)="EMPTY")+(UPPER($AS$62:$AZ$62)="(EMPTY)"))&gt;0,IFERROR(('Final Calculation Sheet'!$G$38)&amp;"","")="",ISNUMBER(SEARCH($AS$62:$AZ$62,IFERROR(('Final Calculation Sheet'!$G$38)&amp;"","")))))&gt;0),IF(COUNTIF($BI$62:$BP$62,4)=0,TRUE,SUMPRODUCT(($BI$62:$BP$62=4)*($AS$62:$AZ$62&lt;&gt;"")*IF(((UPPER($AS$62:$AZ$62)="BLANK")+(UPPER($AS$62:$AZ$62)="(BLANK)")+(UPPER($AS$62:$AZ$62)="EMPTY")+(UPPER($AS$62:$AZ$62)="(EMPTY)"))&gt;0,IFERROR(('Final Calculation Sheet'!$G$38)&amp;"","")="",ISNUMBER(SEARCH($AS$62:$AZ$62,IFERROR(('Final Calculation Sheet'!$G$38)&amp;"","")))))&gt;0),IF(COUNTIF($BI$62:$BP$62,5)=0,TRUE,SUMPRODUCT(($BI$62:$BP$62=5)*($AS$62:$AZ$62&lt;&gt;"")*IF(((UPPER($AS$62:$AZ$62)="BLANK")+(UPPER($AS$62:$AZ$62)="(BLANK)")+(UPPER($AS$62:$AZ$62)="EMPTY")+(UPPER($AS$62:$AZ$62)="(EMPTY)"))&gt;0,IFERROR(('Final Calculation Sheet'!$G$38)&amp;"","")="",ISNUMBER(SEARCH($AS$62:$AZ$62,IFERROR(('Final Calculation Sheet'!$G$38)&amp;"","")))))&gt;0),IF(COUNTIF($BI$62:$BP$62,6)=0,TRUE,SUMPRODUCT(($BI$62:$BP$62=6)*($AS$62:$AZ$62&lt;&gt;"")*IF(((UPPER($AS$62:$AZ$62)="BLANK")+(UPPER($AS$62:$AZ$62)="(BLANK)")+(UPPER($AS$62:$AZ$62)="EMPTY")+(UPPER($AS$62:$AZ$62)="(EMPTY)"))&gt;0,IFERROR(('Final Calculation Sheet'!$G$38)&amp;"","")="",ISNUMBER(SEARCH($AS$62:$AZ$62,IFERROR(('Final Calculation Sheet'!$G$38)&amp;"","")))))&gt;0),IF(COUNTIF($BI$62:$BP$62,7)=0,TRUE,SUMPRODUCT(($BI$62:$BP$62=7)*($AS$62:$AZ$62&lt;&gt;"")*IF(((UPPER($AS$62:$AZ$62)="BLANK")+(UPPER($AS$62:$AZ$62)="(BLANK)")+(UPPER($AS$62:$AZ$62)="EMPTY")+(UPPER($AS$62:$AZ$62)="(EMPTY)"))&gt;0,IFERROR(('Final Calculation Sheet'!$G$38)&amp;"","")="",ISNUMBER(SEARCH($AS$62:$AZ$62,IFERROR(('Final Calculation Sheet'!$G$38)&amp;"","")))))&gt;0),IF(COUNTIF($BI$62:$BP$62,8)=0,TRUE,SUMPRODUCT(($BI$62:$BP$62=8)*($AS$62:$AZ$62&lt;&gt;"")*IF(((UPPER($AS$62:$AZ$62)="BLANK")+(UPPER($AS$62:$AZ$62)="(BLANK)")+(UPPER($AS$62:$AZ$62)="EMPTY")+(UPPER($AS$62:$AZ$62)="(EMPTY)"))&gt;0,IFERROR(('Final Calculation Sheet'!$G$38)&amp;"","")="",ISNUMBER(SEARCH($AS$62:$AZ$62,IFERROR(('Final Calculation Sheet'!$G$38)&amp;"","")))))&gt;0))))</f>
        <v>1</v>
      </c>
      <c r="BP39">
        <f>IF($D$4="",1,--(AND(SUMPRODUCT(--($AS$63:$AZ$63&lt;&gt;""))&gt;0,IF(COUNTIF($BI$63:$BP$63,1)=0,TRUE,SUMPRODUCT(($BI$63:$BP$63=1)*($AS$63:$AZ$63&lt;&gt;"")*IF(((UPPER($AS$63:$AZ$63)="BLANK")+(UPPER($AS$63:$AZ$63)="(BLANK)")+(UPPER($AS$63:$AZ$63)="EMPTY")+(UPPER($AS$63:$AZ$63)="(EMPTY)"))&gt;0,IFERROR(('Final Calculation Sheet'!$B$38)&amp;"","")="",ISNUMBER(SEARCH($AS$63:$AZ$63,IFERROR(('Final Calculation Sheet'!$B$38)&amp;"","")))))&gt;0),IF(COUNTIF($BI$63:$BP$63,2)=0,TRUE,SUMPRODUCT(($BI$63:$BP$63=2)*($AS$63:$AZ$63&lt;&gt;"")*IF(((UPPER($AS$63:$AZ$63)="BLANK")+(UPPER($AS$63:$AZ$63)="(BLANK)")+(UPPER($AS$63:$AZ$63)="EMPTY")+(UPPER($AS$63:$AZ$63)="(EMPTY)"))&gt;0,IFERROR(('Final Calculation Sheet'!$B$38)&amp;"","")="",ISNUMBER(SEARCH($AS$63:$AZ$63,IFERROR(('Final Calculation Sheet'!$B$38)&amp;"","")))))&gt;0),IF(COUNTIF($BI$63:$BP$63,3)=0,TRUE,SUMPRODUCT(($BI$63:$BP$63=3)*($AS$63:$AZ$63&lt;&gt;"")*IF(((UPPER($AS$63:$AZ$63)="BLANK")+(UPPER($AS$63:$AZ$63)="(BLANK)")+(UPPER($AS$63:$AZ$63)="EMPTY")+(UPPER($AS$63:$AZ$63)="(EMPTY)"))&gt;0,IFERROR(('Final Calculation Sheet'!$B$38)&amp;"","")="",ISNUMBER(SEARCH($AS$63:$AZ$63,IFERROR(('Final Calculation Sheet'!$B$38)&amp;"","")))))&gt;0),IF(COUNTIF($BI$63:$BP$63,4)=0,TRUE,SUMPRODUCT(($BI$63:$BP$63=4)*($AS$63:$AZ$63&lt;&gt;"")*IF(((UPPER($AS$63:$AZ$63)="BLANK")+(UPPER($AS$63:$AZ$63)="(BLANK)")+(UPPER($AS$63:$AZ$63)="EMPTY")+(UPPER($AS$63:$AZ$63)="(EMPTY)"))&gt;0,IFERROR(('Final Calculation Sheet'!$B$38)&amp;"","")="",ISNUMBER(SEARCH($AS$63:$AZ$63,IFERROR(('Final Calculation Sheet'!$B$38)&amp;"","")))))&gt;0),IF(COUNTIF($BI$63:$BP$63,5)=0,TRUE,SUMPRODUCT(($BI$63:$BP$63=5)*($AS$63:$AZ$63&lt;&gt;"")*IF(((UPPER($AS$63:$AZ$63)="BLANK")+(UPPER($AS$63:$AZ$63)="(BLANK)")+(UPPER($AS$63:$AZ$63)="EMPTY")+(UPPER($AS$63:$AZ$63)="(EMPTY)"))&gt;0,IFERROR(('Final Calculation Sheet'!$B$38)&amp;"","")="",ISNUMBER(SEARCH($AS$63:$AZ$63,IFERROR(('Final Calculation Sheet'!$B$38)&amp;"","")))))&gt;0),IF(COUNTIF($BI$63:$BP$63,6)=0,TRUE,SUMPRODUCT(($BI$63:$BP$63=6)*($AS$63:$AZ$63&lt;&gt;"")*IF(((UPPER($AS$63:$AZ$63)="BLANK")+(UPPER($AS$63:$AZ$63)="(BLANK)")+(UPPER($AS$63:$AZ$63)="EMPTY")+(UPPER($AS$63:$AZ$63)="(EMPTY)"))&gt;0,IFERROR(('Final Calculation Sheet'!$B$38)&amp;"","")="",ISNUMBER(SEARCH($AS$63:$AZ$63,IFERROR(('Final Calculation Sheet'!$B$38)&amp;"","")))))&gt;0),IF(COUNTIF($BI$63:$BP$63,7)=0,TRUE,SUMPRODUCT(($BI$63:$BP$63=7)*($AS$63:$AZ$63&lt;&gt;"")*IF(((UPPER($AS$63:$AZ$63)="BLANK")+(UPPER($AS$63:$AZ$63)="(BLANK)")+(UPPER($AS$63:$AZ$63)="EMPTY")+(UPPER($AS$63:$AZ$63)="(EMPTY)"))&gt;0,IFERROR(('Final Calculation Sheet'!$B$38)&amp;"","")="",ISNUMBER(SEARCH($AS$63:$AZ$63,IFERROR(('Final Calculation Sheet'!$B$38)&amp;"","")))))&gt;0),IF(COUNTIF($BI$63:$BP$63,8)=0,TRUE,SUMPRODUCT(($BI$63:$BP$63=8)*($AS$63:$AZ$63&lt;&gt;"")*IF(((UPPER($AS$63:$AZ$63)="BLANK")+(UPPER($AS$63:$AZ$63)="(BLANK)")+(UPPER($AS$63:$AZ$63)="EMPTY")+(UPPER($AS$63:$AZ$63)="(EMPTY)"))&gt;0,IFERROR(('Final Calculation Sheet'!$B$38)&amp;"","")="",ISNUMBER(SEARCH($AS$63:$AZ$63,IFERROR(('Final Calculation Sheet'!$B$38)&amp;"","")))))&gt;0))))</f>
        <v>1</v>
      </c>
      <c r="BQ39">
        <f>IF($E$4="",1,--(AND(SUMPRODUCT(--($AS$64:$AZ$64&lt;&gt;""))&gt;0,IF(COUNTIF($BI$64:$BP$64,1)=0,TRUE,SUMPRODUCT(($BI$64:$BP$64=1)*($AS$64:$AZ$64&lt;&gt;"")*IF(((UPPER($AS$64:$AZ$64)="BLANK")+(UPPER($AS$64:$AZ$64)="(BLANK)")+(UPPER($AS$64:$AZ$64)="EMPTY")+(UPPER($AS$64:$AZ$64)="(EMPTY)"))&gt;0,IFERROR(('Final Calculation Sheet'!$D$38)&amp;"","")="",ISNUMBER(SEARCH($AS$64:$AZ$64,IFERROR(('Final Calculation Sheet'!$D$38)&amp;"","")))))&gt;0),IF(COUNTIF($BI$64:$BP$64,2)=0,TRUE,SUMPRODUCT(($BI$64:$BP$64=2)*($AS$64:$AZ$64&lt;&gt;"")*IF(((UPPER($AS$64:$AZ$64)="BLANK")+(UPPER($AS$64:$AZ$64)="(BLANK)")+(UPPER($AS$64:$AZ$64)="EMPTY")+(UPPER($AS$64:$AZ$64)="(EMPTY)"))&gt;0,IFERROR(('Final Calculation Sheet'!$D$38)&amp;"","")="",ISNUMBER(SEARCH($AS$64:$AZ$64,IFERROR(('Final Calculation Sheet'!$D$38)&amp;"","")))))&gt;0),IF(COUNTIF($BI$64:$BP$64,3)=0,TRUE,SUMPRODUCT(($BI$64:$BP$64=3)*($AS$64:$AZ$64&lt;&gt;"")*IF(((UPPER($AS$64:$AZ$64)="BLANK")+(UPPER($AS$64:$AZ$64)="(BLANK)")+(UPPER($AS$64:$AZ$64)="EMPTY")+(UPPER($AS$64:$AZ$64)="(EMPTY)"))&gt;0,IFERROR(('Final Calculation Sheet'!$D$38)&amp;"","")="",ISNUMBER(SEARCH($AS$64:$AZ$64,IFERROR(('Final Calculation Sheet'!$D$38)&amp;"","")))))&gt;0),IF(COUNTIF($BI$64:$BP$64,4)=0,TRUE,SUMPRODUCT(($BI$64:$BP$64=4)*($AS$64:$AZ$64&lt;&gt;"")*IF(((UPPER($AS$64:$AZ$64)="BLANK")+(UPPER($AS$64:$AZ$64)="(BLANK)")+(UPPER($AS$64:$AZ$64)="EMPTY")+(UPPER($AS$64:$AZ$64)="(EMPTY)"))&gt;0,IFERROR(('Final Calculation Sheet'!$D$38)&amp;"","")="",ISNUMBER(SEARCH($AS$64:$AZ$64,IFERROR(('Final Calculation Sheet'!$D$38)&amp;"","")))))&gt;0),IF(COUNTIF($BI$64:$BP$64,5)=0,TRUE,SUMPRODUCT(($BI$64:$BP$64=5)*($AS$64:$AZ$64&lt;&gt;"")*IF(((UPPER($AS$64:$AZ$64)="BLANK")+(UPPER($AS$64:$AZ$64)="(BLANK)")+(UPPER($AS$64:$AZ$64)="EMPTY")+(UPPER($AS$64:$AZ$64)="(EMPTY)"))&gt;0,IFERROR(('Final Calculation Sheet'!$D$38)&amp;"","")="",ISNUMBER(SEARCH($AS$64:$AZ$64,IFERROR(('Final Calculation Sheet'!$D$38)&amp;"","")))))&gt;0),IF(COUNTIF($BI$64:$BP$64,6)=0,TRUE,SUMPRODUCT(($BI$64:$BP$64=6)*($AS$64:$AZ$64&lt;&gt;"")*IF(((UPPER($AS$64:$AZ$64)="BLANK")+(UPPER($AS$64:$AZ$64)="(BLANK)")+(UPPER($AS$64:$AZ$64)="EMPTY")+(UPPER($AS$64:$AZ$64)="(EMPTY)"))&gt;0,IFERROR(('Final Calculation Sheet'!$D$38)&amp;"","")="",ISNUMBER(SEARCH($AS$64:$AZ$64,IFERROR(('Final Calculation Sheet'!$D$38)&amp;"","")))))&gt;0),IF(COUNTIF($BI$64:$BP$64,7)=0,TRUE,SUMPRODUCT(($BI$64:$BP$64=7)*($AS$64:$AZ$64&lt;&gt;"")*IF(((UPPER($AS$64:$AZ$64)="BLANK")+(UPPER($AS$64:$AZ$64)="(BLANK)")+(UPPER($AS$64:$AZ$64)="EMPTY")+(UPPER($AS$64:$AZ$64)="(EMPTY)"))&gt;0,IFERROR(('Final Calculation Sheet'!$D$38)&amp;"","")="",ISNUMBER(SEARCH($AS$64:$AZ$64,IFERROR(('Final Calculation Sheet'!$D$38)&amp;"","")))))&gt;0),IF(COUNTIF($BI$64:$BP$64,8)=0,TRUE,SUMPRODUCT(($BI$64:$BP$64=8)*($AS$64:$AZ$64&lt;&gt;"")*IF(((UPPER($AS$64:$AZ$64)="BLANK")+(UPPER($AS$64:$AZ$64)="(BLANK)")+(UPPER($AS$64:$AZ$64)="EMPTY")+(UPPER($AS$64:$AZ$64)="(EMPTY)"))&gt;0,IFERROR(('Final Calculation Sheet'!$D$38)&amp;"","")="",ISNUMBER(SEARCH($AS$64:$AZ$64,IFERROR(('Final Calculation Sheet'!$D$38)&amp;"","")))))&gt;0))))</f>
        <v>1</v>
      </c>
      <c r="BR39">
        <f>IF($F$4="",1,--(AND(SUMPRODUCT(--($AS$65:$AZ$65&lt;&gt;""))&gt;0,IF(COUNTIF($BI$65:$BP$65,1)=0,TRUE,SUMPRODUCT(($BI$65:$BP$65=1)*($AS$65:$AZ$65&lt;&gt;"")*IF(((UPPER($AS$65:$AZ$65)="BLANK")+(UPPER($AS$65:$AZ$65)="(BLANK)")+(UPPER($AS$65:$AZ$65)="EMPTY")+(UPPER($AS$65:$AZ$65)="(EMPTY)"))&gt;0,IFERROR(('Final Calculation Sheet'!$A$38)&amp;"","")="",ISNUMBER(SEARCH($AS$65:$AZ$65,IFERROR(('Final Calculation Sheet'!$A$38)&amp;"","")))))&gt;0),IF(COUNTIF($BI$65:$BP$65,2)=0,TRUE,SUMPRODUCT(($BI$65:$BP$65=2)*($AS$65:$AZ$65&lt;&gt;"")*IF(((UPPER($AS$65:$AZ$65)="BLANK")+(UPPER($AS$65:$AZ$65)="(BLANK)")+(UPPER($AS$65:$AZ$65)="EMPTY")+(UPPER($AS$65:$AZ$65)="(EMPTY)"))&gt;0,IFERROR(('Final Calculation Sheet'!$A$38)&amp;"","")="",ISNUMBER(SEARCH($AS$65:$AZ$65,IFERROR(('Final Calculation Sheet'!$A$38)&amp;"","")))))&gt;0),IF(COUNTIF($BI$65:$BP$65,3)=0,TRUE,SUMPRODUCT(($BI$65:$BP$65=3)*($AS$65:$AZ$65&lt;&gt;"")*IF(((UPPER($AS$65:$AZ$65)="BLANK")+(UPPER($AS$65:$AZ$65)="(BLANK)")+(UPPER($AS$65:$AZ$65)="EMPTY")+(UPPER($AS$65:$AZ$65)="(EMPTY)"))&gt;0,IFERROR(('Final Calculation Sheet'!$A$38)&amp;"","")="",ISNUMBER(SEARCH($AS$65:$AZ$65,IFERROR(('Final Calculation Sheet'!$A$38)&amp;"","")))))&gt;0),IF(COUNTIF($BI$65:$BP$65,4)=0,TRUE,SUMPRODUCT(($BI$65:$BP$65=4)*($AS$65:$AZ$65&lt;&gt;"")*IF(((UPPER($AS$65:$AZ$65)="BLANK")+(UPPER($AS$65:$AZ$65)="(BLANK)")+(UPPER($AS$65:$AZ$65)="EMPTY")+(UPPER($AS$65:$AZ$65)="(EMPTY)"))&gt;0,IFERROR(('Final Calculation Sheet'!$A$38)&amp;"","")="",ISNUMBER(SEARCH($AS$65:$AZ$65,IFERROR(('Final Calculation Sheet'!$A$38)&amp;"","")))))&gt;0),IF(COUNTIF($BI$65:$BP$65,5)=0,TRUE,SUMPRODUCT(($BI$65:$BP$65=5)*($AS$65:$AZ$65&lt;&gt;"")*IF(((UPPER($AS$65:$AZ$65)="BLANK")+(UPPER($AS$65:$AZ$65)="(BLANK)")+(UPPER($AS$65:$AZ$65)="EMPTY")+(UPPER($AS$65:$AZ$65)="(EMPTY)"))&gt;0,IFERROR(('Final Calculation Sheet'!$A$38)&amp;"","")="",ISNUMBER(SEARCH($AS$65:$AZ$65,IFERROR(('Final Calculation Sheet'!$A$38)&amp;"","")))))&gt;0),IF(COUNTIF($BI$65:$BP$65,6)=0,TRUE,SUMPRODUCT(($BI$65:$BP$65=6)*($AS$65:$AZ$65&lt;&gt;"")*IF(((UPPER($AS$65:$AZ$65)="BLANK")+(UPPER($AS$65:$AZ$65)="(BLANK)")+(UPPER($AS$65:$AZ$65)="EMPTY")+(UPPER($AS$65:$AZ$65)="(EMPTY)"))&gt;0,IFERROR(('Final Calculation Sheet'!$A$38)&amp;"","")="",ISNUMBER(SEARCH($AS$65:$AZ$65,IFERROR(('Final Calculation Sheet'!$A$38)&amp;"","")))))&gt;0),IF(COUNTIF($BI$65:$BP$65,7)=0,TRUE,SUMPRODUCT(($BI$65:$BP$65=7)*($AS$65:$AZ$65&lt;&gt;"")*IF(((UPPER($AS$65:$AZ$65)="BLANK")+(UPPER($AS$65:$AZ$65)="(BLANK)")+(UPPER($AS$65:$AZ$65)="EMPTY")+(UPPER($AS$65:$AZ$65)="(EMPTY)"))&gt;0,IFERROR(('Final Calculation Sheet'!$A$38)&amp;"","")="",ISNUMBER(SEARCH($AS$65:$AZ$65,IFERROR(('Final Calculation Sheet'!$A$38)&amp;"","")))))&gt;0),IF(COUNTIF($BI$65:$BP$65,8)=0,TRUE,SUMPRODUCT(($BI$65:$BP$65=8)*($AS$65:$AZ$65&lt;&gt;"")*IF(((UPPER($AS$65:$AZ$65)="BLANK")+(UPPER($AS$65:$AZ$65)="(BLANK)")+(UPPER($AS$65:$AZ$65)="EMPTY")+(UPPER($AS$65:$AZ$65)="(EMPTY)"))&gt;0,IFERROR(('Final Calculation Sheet'!$A$38)&amp;"","")="",ISNUMBER(SEARCH($AS$65:$AZ$65,IFERROR(('Final Calculation Sheet'!$A$38)&amp;"","")))))&gt;0))))</f>
        <v>1</v>
      </c>
      <c r="BS39">
        <f>IF($G$4="",1,--(AND(SUMPRODUCT(--($AS$66:$AZ$66&lt;&gt;""))&gt;0,IF(COUNTIF($BI$66:$BP$66,1)=0,TRUE,SUMPRODUCT(($BI$66:$BP$66=1)*($AS$66:$AZ$66&lt;&gt;"")*IF(((UPPER($AS$66:$AZ$66)="BLANK")+(UPPER($AS$66:$AZ$66)="(BLANK)")+(UPPER($AS$66:$AZ$66)="EMPTY")+(UPPER($AS$66:$AZ$66)="(EMPTY)"))&gt;0,IFERROR(('Final Calculation Sheet'!$E$38)&amp;"","")="",ISNUMBER(SEARCH($AS$66:$AZ$66,IFERROR(('Final Calculation Sheet'!$E$38)&amp;"","")))))&gt;0),IF(COUNTIF($BI$66:$BP$66,2)=0,TRUE,SUMPRODUCT(($BI$66:$BP$66=2)*($AS$66:$AZ$66&lt;&gt;"")*IF(((UPPER($AS$66:$AZ$66)="BLANK")+(UPPER($AS$66:$AZ$66)="(BLANK)")+(UPPER($AS$66:$AZ$66)="EMPTY")+(UPPER($AS$66:$AZ$66)="(EMPTY)"))&gt;0,IFERROR(('Final Calculation Sheet'!$E$38)&amp;"","")="",ISNUMBER(SEARCH($AS$66:$AZ$66,IFERROR(('Final Calculation Sheet'!$E$38)&amp;"","")))))&gt;0),IF(COUNTIF($BI$66:$BP$66,3)=0,TRUE,SUMPRODUCT(($BI$66:$BP$66=3)*($AS$66:$AZ$66&lt;&gt;"")*IF(((UPPER($AS$66:$AZ$66)="BLANK")+(UPPER($AS$66:$AZ$66)="(BLANK)")+(UPPER($AS$66:$AZ$66)="EMPTY")+(UPPER($AS$66:$AZ$66)="(EMPTY)"))&gt;0,IFERROR(('Final Calculation Sheet'!$E$38)&amp;"","")="",ISNUMBER(SEARCH($AS$66:$AZ$66,IFERROR(('Final Calculation Sheet'!$E$38)&amp;"","")))))&gt;0),IF(COUNTIF($BI$66:$BP$66,4)=0,TRUE,SUMPRODUCT(($BI$66:$BP$66=4)*($AS$66:$AZ$66&lt;&gt;"")*IF(((UPPER($AS$66:$AZ$66)="BLANK")+(UPPER($AS$66:$AZ$66)="(BLANK)")+(UPPER($AS$66:$AZ$66)="EMPTY")+(UPPER($AS$66:$AZ$66)="(EMPTY)"))&gt;0,IFERROR(('Final Calculation Sheet'!$E$38)&amp;"","")="",ISNUMBER(SEARCH($AS$66:$AZ$66,IFERROR(('Final Calculation Sheet'!$E$38)&amp;"","")))))&gt;0),IF(COUNTIF($BI$66:$BP$66,5)=0,TRUE,SUMPRODUCT(($BI$66:$BP$66=5)*($AS$66:$AZ$66&lt;&gt;"")*IF(((UPPER($AS$66:$AZ$66)="BLANK")+(UPPER($AS$66:$AZ$66)="(BLANK)")+(UPPER($AS$66:$AZ$66)="EMPTY")+(UPPER($AS$66:$AZ$66)="(EMPTY)"))&gt;0,IFERROR(('Final Calculation Sheet'!$E$38)&amp;"","")="",ISNUMBER(SEARCH($AS$66:$AZ$66,IFERROR(('Final Calculation Sheet'!$E$38)&amp;"","")))))&gt;0),IF(COUNTIF($BI$66:$BP$66,6)=0,TRUE,SUMPRODUCT(($BI$66:$BP$66=6)*($AS$66:$AZ$66&lt;&gt;"")*IF(((UPPER($AS$66:$AZ$66)="BLANK")+(UPPER($AS$66:$AZ$66)="(BLANK)")+(UPPER($AS$66:$AZ$66)="EMPTY")+(UPPER($AS$66:$AZ$66)="(EMPTY)"))&gt;0,IFERROR(('Final Calculation Sheet'!$E$38)&amp;"","")="",ISNUMBER(SEARCH($AS$66:$AZ$66,IFERROR(('Final Calculation Sheet'!$E$38)&amp;"","")))))&gt;0),IF(COUNTIF($BI$66:$BP$66,7)=0,TRUE,SUMPRODUCT(($BI$66:$BP$66=7)*($AS$66:$AZ$66&lt;&gt;"")*IF(((UPPER($AS$66:$AZ$66)="BLANK")+(UPPER($AS$66:$AZ$66)="(BLANK)")+(UPPER($AS$66:$AZ$66)="EMPTY")+(UPPER($AS$66:$AZ$66)="(EMPTY)"))&gt;0,IFERROR(('Final Calculation Sheet'!$E$38)&amp;"","")="",ISNUMBER(SEARCH($AS$66:$AZ$66,IFERROR(('Final Calculation Sheet'!$E$38)&amp;"","")))))&gt;0),IF(COUNTIF($BI$66:$BP$66,8)=0,TRUE,SUMPRODUCT(($BI$66:$BP$66=8)*($AS$66:$AZ$66&lt;&gt;"")*IF(((UPPER($AS$66:$AZ$66)="BLANK")+(UPPER($AS$66:$AZ$66)="(BLANK)")+(UPPER($AS$66:$AZ$66)="EMPTY")+(UPPER($AS$66:$AZ$66)="(EMPTY)"))&gt;0,IFERROR(('Final Calculation Sheet'!$E$38)&amp;"","")="",ISNUMBER(SEARCH($AS$66:$AZ$66,IFERROR(('Final Calculation Sheet'!$E$38)&amp;"","")))))&gt;0))))</f>
        <v>1</v>
      </c>
      <c r="BT39">
        <f>IF($H$4="",1,--(AND(SUMPRODUCT(--($AS$67:$AZ$67&lt;&gt;""))&gt;0,IF(COUNTIF($BI$67:$BP$67,1)=0,TRUE,SUMPRODUCT(($BI$67:$BP$67=1)*($AS$67:$AZ$67&lt;&gt;"")*IF(((UPPER($AS$67:$AZ$67)="BLANK")+(UPPER($AS$67:$AZ$67)="(BLANK)")+(UPPER($AS$67:$AZ$67)="EMPTY")+(UPPER($AS$67:$AZ$67)="(EMPTY)"))&gt;0,IFERROR(('Final Calculation Sheet'!$C$38)&amp;"","")="",ISNUMBER(SEARCH($AS$67:$AZ$67,IFERROR(('Final Calculation Sheet'!$C$38)&amp;"","")))))&gt;0),IF(COUNTIF($BI$67:$BP$67,2)=0,TRUE,SUMPRODUCT(($BI$67:$BP$67=2)*($AS$67:$AZ$67&lt;&gt;"")*IF(((UPPER($AS$67:$AZ$67)="BLANK")+(UPPER($AS$67:$AZ$67)="(BLANK)")+(UPPER($AS$67:$AZ$67)="EMPTY")+(UPPER($AS$67:$AZ$67)="(EMPTY)"))&gt;0,IFERROR(('Final Calculation Sheet'!$C$38)&amp;"","")="",ISNUMBER(SEARCH($AS$67:$AZ$67,IFERROR(('Final Calculation Sheet'!$C$38)&amp;"","")))))&gt;0),IF(COUNTIF($BI$67:$BP$67,3)=0,TRUE,SUMPRODUCT(($BI$67:$BP$67=3)*($AS$67:$AZ$67&lt;&gt;"")*IF(((UPPER($AS$67:$AZ$67)="BLANK")+(UPPER($AS$67:$AZ$67)="(BLANK)")+(UPPER($AS$67:$AZ$67)="EMPTY")+(UPPER($AS$67:$AZ$67)="(EMPTY)"))&gt;0,IFERROR(('Final Calculation Sheet'!$C$38)&amp;"","")="",ISNUMBER(SEARCH($AS$67:$AZ$67,IFERROR(('Final Calculation Sheet'!$C$38)&amp;"","")))))&gt;0),IF(COUNTIF($BI$67:$BP$67,4)=0,TRUE,SUMPRODUCT(($BI$67:$BP$67=4)*($AS$67:$AZ$67&lt;&gt;"")*IF(((UPPER($AS$67:$AZ$67)="BLANK")+(UPPER($AS$67:$AZ$67)="(BLANK)")+(UPPER($AS$67:$AZ$67)="EMPTY")+(UPPER($AS$67:$AZ$67)="(EMPTY)"))&gt;0,IFERROR(('Final Calculation Sheet'!$C$38)&amp;"","")="",ISNUMBER(SEARCH($AS$67:$AZ$67,IFERROR(('Final Calculation Sheet'!$C$38)&amp;"","")))))&gt;0),IF(COUNTIF($BI$67:$BP$67,5)=0,TRUE,SUMPRODUCT(($BI$67:$BP$67=5)*($AS$67:$AZ$67&lt;&gt;"")*IF(((UPPER($AS$67:$AZ$67)="BLANK")+(UPPER($AS$67:$AZ$67)="(BLANK)")+(UPPER($AS$67:$AZ$67)="EMPTY")+(UPPER($AS$67:$AZ$67)="(EMPTY)"))&gt;0,IFERROR(('Final Calculation Sheet'!$C$38)&amp;"","")="",ISNUMBER(SEARCH($AS$67:$AZ$67,IFERROR(('Final Calculation Sheet'!$C$38)&amp;"","")))))&gt;0),IF(COUNTIF($BI$67:$BP$67,6)=0,TRUE,SUMPRODUCT(($BI$67:$BP$67=6)*($AS$67:$AZ$67&lt;&gt;"")*IF(((UPPER($AS$67:$AZ$67)="BLANK")+(UPPER($AS$67:$AZ$67)="(BLANK)")+(UPPER($AS$67:$AZ$67)="EMPTY")+(UPPER($AS$67:$AZ$67)="(EMPTY)"))&gt;0,IFERROR(('Final Calculation Sheet'!$C$38)&amp;"","")="",ISNUMBER(SEARCH($AS$67:$AZ$67,IFERROR(('Final Calculation Sheet'!$C$38)&amp;"","")))))&gt;0),IF(COUNTIF($BI$67:$BP$67,7)=0,TRUE,SUMPRODUCT(($BI$67:$BP$67=7)*($AS$67:$AZ$67&lt;&gt;"")*IF(((UPPER($AS$67:$AZ$67)="BLANK")+(UPPER($AS$67:$AZ$67)="(BLANK)")+(UPPER($AS$67:$AZ$67)="EMPTY")+(UPPER($AS$67:$AZ$67)="(EMPTY)"))&gt;0,IFERROR(('Final Calculation Sheet'!$C$38)&amp;"","")="",ISNUMBER(SEARCH($AS$67:$AZ$67,IFERROR(('Final Calculation Sheet'!$C$38)&amp;"","")))))&gt;0),IF(COUNTIF($BI$67:$BP$67,8)=0,TRUE,SUMPRODUCT(($BI$67:$BP$67=8)*($AS$67:$AZ$67&lt;&gt;"")*IF(((UPPER($AS$67:$AZ$67)="BLANK")+(UPPER($AS$67:$AZ$67)="(BLANK)")+(UPPER($AS$67:$AZ$67)="EMPTY")+(UPPER($AS$67:$AZ$67)="(EMPTY)"))&gt;0,IFERROR(('Final Calculation Sheet'!$C$38)&amp;"","")="",ISNUMBER(SEARCH($AS$67:$AZ$67,IFERROR(('Final Calculation Sheet'!$C$38)&amp;"","")))))&gt;0))))</f>
        <v>1</v>
      </c>
      <c r="BU39">
        <f>IF($I$4="",1,--(AND(SUMPRODUCT(--($AS$68:$AZ$68&lt;&gt;""))&gt;0,IF(COUNTIF($BI$68:$BP$68,1)=0,TRUE,SUMPRODUCT(($BI$68:$BP$68=1)*($AS$68:$AZ$68&lt;&gt;"")*IF(((UPPER($AS$68:$AZ$68)="BLANK")+(UPPER($AS$68:$AZ$68)="(BLANK)")+(UPPER($AS$68:$AZ$68)="EMPTY")+(UPPER($AS$68:$AZ$68)="(EMPTY)"))&gt;0,IFERROR(('Final Calculation Sheet'!$H$38)&amp;"","")="",ISNUMBER(SEARCH($AS$68:$AZ$68,IFERROR(('Final Calculation Sheet'!$H$38)&amp;"","")))))&gt;0),IF(COUNTIF($BI$68:$BP$68,2)=0,TRUE,SUMPRODUCT(($BI$68:$BP$68=2)*($AS$68:$AZ$68&lt;&gt;"")*IF(((UPPER($AS$68:$AZ$68)="BLANK")+(UPPER($AS$68:$AZ$68)="(BLANK)")+(UPPER($AS$68:$AZ$68)="EMPTY")+(UPPER($AS$68:$AZ$68)="(EMPTY)"))&gt;0,IFERROR(('Final Calculation Sheet'!$H$38)&amp;"","")="",ISNUMBER(SEARCH($AS$68:$AZ$68,IFERROR(('Final Calculation Sheet'!$H$38)&amp;"","")))))&gt;0),IF(COUNTIF($BI$68:$BP$68,3)=0,TRUE,SUMPRODUCT(($BI$68:$BP$68=3)*($AS$68:$AZ$68&lt;&gt;"")*IF(((UPPER($AS$68:$AZ$68)="BLANK")+(UPPER($AS$68:$AZ$68)="(BLANK)")+(UPPER($AS$68:$AZ$68)="EMPTY")+(UPPER($AS$68:$AZ$68)="(EMPTY)"))&gt;0,IFERROR(('Final Calculation Sheet'!$H$38)&amp;"","")="",ISNUMBER(SEARCH($AS$68:$AZ$68,IFERROR(('Final Calculation Sheet'!$H$38)&amp;"","")))))&gt;0),IF(COUNTIF($BI$68:$BP$68,4)=0,TRUE,SUMPRODUCT(($BI$68:$BP$68=4)*($AS$68:$AZ$68&lt;&gt;"")*IF(((UPPER($AS$68:$AZ$68)="BLANK")+(UPPER($AS$68:$AZ$68)="(BLANK)")+(UPPER($AS$68:$AZ$68)="EMPTY")+(UPPER($AS$68:$AZ$68)="(EMPTY)"))&gt;0,IFERROR(('Final Calculation Sheet'!$H$38)&amp;"","")="",ISNUMBER(SEARCH($AS$68:$AZ$68,IFERROR(('Final Calculation Sheet'!$H$38)&amp;"","")))))&gt;0),IF(COUNTIF($BI$68:$BP$68,5)=0,TRUE,SUMPRODUCT(($BI$68:$BP$68=5)*($AS$68:$AZ$68&lt;&gt;"")*IF(((UPPER($AS$68:$AZ$68)="BLANK")+(UPPER($AS$68:$AZ$68)="(BLANK)")+(UPPER($AS$68:$AZ$68)="EMPTY")+(UPPER($AS$68:$AZ$68)="(EMPTY)"))&gt;0,IFERROR(('Final Calculation Sheet'!$H$38)&amp;"","")="",ISNUMBER(SEARCH($AS$68:$AZ$68,IFERROR(('Final Calculation Sheet'!$H$38)&amp;"","")))))&gt;0),IF(COUNTIF($BI$68:$BP$68,6)=0,TRUE,SUMPRODUCT(($BI$68:$BP$68=6)*($AS$68:$AZ$68&lt;&gt;"")*IF(((UPPER($AS$68:$AZ$68)="BLANK")+(UPPER($AS$68:$AZ$68)="(BLANK)")+(UPPER($AS$68:$AZ$68)="EMPTY")+(UPPER($AS$68:$AZ$68)="(EMPTY)"))&gt;0,IFERROR(('Final Calculation Sheet'!$H$38)&amp;"","")="",ISNUMBER(SEARCH($AS$68:$AZ$68,IFERROR(('Final Calculation Sheet'!$H$38)&amp;"","")))))&gt;0),IF(COUNTIF($BI$68:$BP$68,7)=0,TRUE,SUMPRODUCT(($BI$68:$BP$68=7)*($AS$68:$AZ$68&lt;&gt;"")*IF(((UPPER($AS$68:$AZ$68)="BLANK")+(UPPER($AS$68:$AZ$68)="(BLANK)")+(UPPER($AS$68:$AZ$68)="EMPTY")+(UPPER($AS$68:$AZ$68)="(EMPTY)"))&gt;0,IFERROR(('Final Calculation Sheet'!$H$38)&amp;"","")="",ISNUMBER(SEARCH($AS$68:$AZ$68,IFERROR(('Final Calculation Sheet'!$H$38)&amp;"","")))))&gt;0),IF(COUNTIF($BI$68:$BP$68,8)=0,TRUE,SUMPRODUCT(($BI$68:$BP$68=8)*($AS$68:$AZ$68&lt;&gt;"")*IF(((UPPER($AS$68:$AZ$68)="BLANK")+(UPPER($AS$68:$AZ$68)="(BLANK)")+(UPPER($AS$68:$AZ$68)="EMPTY")+(UPPER($AS$68:$AZ$68)="(EMPTY)"))&gt;0,IFERROR(('Final Calculation Sheet'!$H$38)&amp;"","")="",ISNUMBER(SEARCH($AS$68:$AZ$68,IFERROR(('Final Calculation Sheet'!$H$38)&amp;"","")))))&gt;0))))</f>
        <v>1</v>
      </c>
      <c r="BV39">
        <f>IF($J$4="",1,--(AND(SUMPRODUCT(--($AS$69:$AZ$69&lt;&gt;""))&gt;0,IF(COUNTIF($BI$69:$BP$69,1)=0,TRUE,SUMPRODUCT(($BI$69:$BP$69=1)*($AS$69:$AZ$69&lt;&gt;"")*IF(((UPPER($AS$69:$AZ$69)="BLANK")+(UPPER($AS$69:$AZ$69)="(BLANK)")+(UPPER($AS$69:$AZ$69)="EMPTY")+(UPPER($AS$69:$AZ$69)="(EMPTY)"))&gt;0,IFERROR(('Final Calculation Sheet'!$I$38)&amp;"","")="",ISNUMBER(SEARCH($AS$69:$AZ$69,IFERROR(('Final Calculation Sheet'!$I$38)&amp;"","")))))&gt;0),IF(COUNTIF($BI$69:$BP$69,2)=0,TRUE,SUMPRODUCT(($BI$69:$BP$69=2)*($AS$69:$AZ$69&lt;&gt;"")*IF(((UPPER($AS$69:$AZ$69)="BLANK")+(UPPER($AS$69:$AZ$69)="(BLANK)")+(UPPER($AS$69:$AZ$69)="EMPTY")+(UPPER($AS$69:$AZ$69)="(EMPTY)"))&gt;0,IFERROR(('Final Calculation Sheet'!$I$38)&amp;"","")="",ISNUMBER(SEARCH($AS$69:$AZ$69,IFERROR(('Final Calculation Sheet'!$I$38)&amp;"","")))))&gt;0),IF(COUNTIF($BI$69:$BP$69,3)=0,TRUE,SUMPRODUCT(($BI$69:$BP$69=3)*($AS$69:$AZ$69&lt;&gt;"")*IF(((UPPER($AS$69:$AZ$69)="BLANK")+(UPPER($AS$69:$AZ$69)="(BLANK)")+(UPPER($AS$69:$AZ$69)="EMPTY")+(UPPER($AS$69:$AZ$69)="(EMPTY)"))&gt;0,IFERROR(('Final Calculation Sheet'!$I$38)&amp;"","")="",ISNUMBER(SEARCH($AS$69:$AZ$69,IFERROR(('Final Calculation Sheet'!$I$38)&amp;"","")))))&gt;0),IF(COUNTIF($BI$69:$BP$69,4)=0,TRUE,SUMPRODUCT(($BI$69:$BP$69=4)*($AS$69:$AZ$69&lt;&gt;"")*IF(((UPPER($AS$69:$AZ$69)="BLANK")+(UPPER($AS$69:$AZ$69)="(BLANK)")+(UPPER($AS$69:$AZ$69)="EMPTY")+(UPPER($AS$69:$AZ$69)="(EMPTY)"))&gt;0,IFERROR(('Final Calculation Sheet'!$I$38)&amp;"","")="",ISNUMBER(SEARCH($AS$69:$AZ$69,IFERROR(('Final Calculation Sheet'!$I$38)&amp;"","")))))&gt;0),IF(COUNTIF($BI$69:$BP$69,5)=0,TRUE,SUMPRODUCT(($BI$69:$BP$69=5)*($AS$69:$AZ$69&lt;&gt;"")*IF(((UPPER($AS$69:$AZ$69)="BLANK")+(UPPER($AS$69:$AZ$69)="(BLANK)")+(UPPER($AS$69:$AZ$69)="EMPTY")+(UPPER($AS$69:$AZ$69)="(EMPTY)"))&gt;0,IFERROR(('Final Calculation Sheet'!$I$38)&amp;"","")="",ISNUMBER(SEARCH($AS$69:$AZ$69,IFERROR(('Final Calculation Sheet'!$I$38)&amp;"","")))))&gt;0),IF(COUNTIF($BI$69:$BP$69,6)=0,TRUE,SUMPRODUCT(($BI$69:$BP$69=6)*($AS$69:$AZ$69&lt;&gt;"")*IF(((UPPER($AS$69:$AZ$69)="BLANK")+(UPPER($AS$69:$AZ$69)="(BLANK)")+(UPPER($AS$69:$AZ$69)="EMPTY")+(UPPER($AS$69:$AZ$69)="(EMPTY)"))&gt;0,IFERROR(('Final Calculation Sheet'!$I$38)&amp;"","")="",ISNUMBER(SEARCH($AS$69:$AZ$69,IFERROR(('Final Calculation Sheet'!$I$38)&amp;"","")))))&gt;0),IF(COUNTIF($BI$69:$BP$69,7)=0,TRUE,SUMPRODUCT(($BI$69:$BP$69=7)*($AS$69:$AZ$69&lt;&gt;"")*IF(((UPPER($AS$69:$AZ$69)="BLANK")+(UPPER($AS$69:$AZ$69)="(BLANK)")+(UPPER($AS$69:$AZ$69)="EMPTY")+(UPPER($AS$69:$AZ$69)="(EMPTY)"))&gt;0,IFERROR(('Final Calculation Sheet'!$I$38)&amp;"","")="",ISNUMBER(SEARCH($AS$69:$AZ$69,IFERROR(('Final Calculation Sheet'!$I$38)&amp;"","")))))&gt;0),IF(COUNTIF($BI$69:$BP$69,8)=0,TRUE,SUMPRODUCT(($BI$69:$BP$69=8)*($AS$69:$AZ$69&lt;&gt;"")*IF(((UPPER($AS$69:$AZ$69)="BLANK")+(UPPER($AS$69:$AZ$69)="(BLANK)")+(UPPER($AS$69:$AZ$69)="EMPTY")+(UPPER($AS$69:$AZ$69)="(EMPTY)"))&gt;0,IFERROR(('Final Calculation Sheet'!$I$38)&amp;"","")="",ISNUMBER(SEARCH($AS$69:$AZ$69,IFERROR(('Final Calculation Sheet'!$I$38)&amp;"","")))))&gt;0))))</f>
        <v>1</v>
      </c>
      <c r="BW39">
        <f>IF($K$4="",1,--(AND(SUMPRODUCT(--($AS$70:$AZ$70&lt;&gt;""))&gt;0,IF(COUNTIF($BI$70:$BP$70,1)=0,TRUE,SUMPRODUCT(($BI$70:$BP$70=1)*($AS$70:$AZ$70&lt;&gt;"")*IF(((UPPER($AS$70:$AZ$70)="BLANK")+(UPPER($AS$70:$AZ$70)="(BLANK)")+(UPPER($AS$70:$AZ$70)="EMPTY")+(UPPER($AS$70:$AZ$70)="(EMPTY)"))&gt;0,IFERROR(('Final Calculation Sheet'!$J$38)&amp;"","")="",ISNUMBER(SEARCH($AS$70:$AZ$70,IFERROR(('Final Calculation Sheet'!$J$38)&amp;"","")))))&gt;0),IF(COUNTIF($BI$70:$BP$70,2)=0,TRUE,SUMPRODUCT(($BI$70:$BP$70=2)*($AS$70:$AZ$70&lt;&gt;"")*IF(((UPPER($AS$70:$AZ$70)="BLANK")+(UPPER($AS$70:$AZ$70)="(BLANK)")+(UPPER($AS$70:$AZ$70)="EMPTY")+(UPPER($AS$70:$AZ$70)="(EMPTY)"))&gt;0,IFERROR(('Final Calculation Sheet'!$J$38)&amp;"","")="",ISNUMBER(SEARCH($AS$70:$AZ$70,IFERROR(('Final Calculation Sheet'!$J$38)&amp;"","")))))&gt;0),IF(COUNTIF($BI$70:$BP$70,3)=0,TRUE,SUMPRODUCT(($BI$70:$BP$70=3)*($AS$70:$AZ$70&lt;&gt;"")*IF(((UPPER($AS$70:$AZ$70)="BLANK")+(UPPER($AS$70:$AZ$70)="(BLANK)")+(UPPER($AS$70:$AZ$70)="EMPTY")+(UPPER($AS$70:$AZ$70)="(EMPTY)"))&gt;0,IFERROR(('Final Calculation Sheet'!$J$38)&amp;"","")="",ISNUMBER(SEARCH($AS$70:$AZ$70,IFERROR(('Final Calculation Sheet'!$J$38)&amp;"","")))))&gt;0),IF(COUNTIF($BI$70:$BP$70,4)=0,TRUE,SUMPRODUCT(($BI$70:$BP$70=4)*($AS$70:$AZ$70&lt;&gt;"")*IF(((UPPER($AS$70:$AZ$70)="BLANK")+(UPPER($AS$70:$AZ$70)="(BLANK)")+(UPPER($AS$70:$AZ$70)="EMPTY")+(UPPER($AS$70:$AZ$70)="(EMPTY)"))&gt;0,IFERROR(('Final Calculation Sheet'!$J$38)&amp;"","")="",ISNUMBER(SEARCH($AS$70:$AZ$70,IFERROR(('Final Calculation Sheet'!$J$38)&amp;"","")))))&gt;0),IF(COUNTIF($BI$70:$BP$70,5)=0,TRUE,SUMPRODUCT(($BI$70:$BP$70=5)*($AS$70:$AZ$70&lt;&gt;"")*IF(((UPPER($AS$70:$AZ$70)="BLANK")+(UPPER($AS$70:$AZ$70)="(BLANK)")+(UPPER($AS$70:$AZ$70)="EMPTY")+(UPPER($AS$70:$AZ$70)="(EMPTY)"))&gt;0,IFERROR(('Final Calculation Sheet'!$J$38)&amp;"","")="",ISNUMBER(SEARCH($AS$70:$AZ$70,IFERROR(('Final Calculation Sheet'!$J$38)&amp;"","")))))&gt;0),IF(COUNTIF($BI$70:$BP$70,6)=0,TRUE,SUMPRODUCT(($BI$70:$BP$70=6)*($AS$70:$AZ$70&lt;&gt;"")*IF(((UPPER($AS$70:$AZ$70)="BLANK")+(UPPER($AS$70:$AZ$70)="(BLANK)")+(UPPER($AS$70:$AZ$70)="EMPTY")+(UPPER($AS$70:$AZ$70)="(EMPTY)"))&gt;0,IFERROR(('Final Calculation Sheet'!$J$38)&amp;"","")="",ISNUMBER(SEARCH($AS$70:$AZ$70,IFERROR(('Final Calculation Sheet'!$J$38)&amp;"","")))))&gt;0),IF(COUNTIF($BI$70:$BP$70,7)=0,TRUE,SUMPRODUCT(($BI$70:$BP$70=7)*($AS$70:$AZ$70&lt;&gt;"")*IF(((UPPER($AS$70:$AZ$70)="BLANK")+(UPPER($AS$70:$AZ$70)="(BLANK)")+(UPPER($AS$70:$AZ$70)="EMPTY")+(UPPER($AS$70:$AZ$70)="(EMPTY)"))&gt;0,IFERROR(('Final Calculation Sheet'!$J$38)&amp;"","")="",ISNUMBER(SEARCH($AS$70:$AZ$70,IFERROR(('Final Calculation Sheet'!$J$38)&amp;"","")))))&gt;0),IF(COUNTIF($BI$70:$BP$70,8)=0,TRUE,SUMPRODUCT(($BI$70:$BP$70=8)*($AS$70:$AZ$70&lt;&gt;"")*IF(((UPPER($AS$70:$AZ$70)="BLANK")+(UPPER($AS$70:$AZ$70)="(BLANK)")+(UPPER($AS$70:$AZ$70)="EMPTY")+(UPPER($AS$70:$AZ$70)="(EMPTY)"))&gt;0,IFERROR(('Final Calculation Sheet'!$J$38)&amp;"","")="",ISNUMBER(SEARCH($AS$70:$AZ$70,IFERROR(('Final Calculation Sheet'!$J$38)&amp;"","")))))&gt;0))))</f>
        <v>1</v>
      </c>
      <c r="BX39">
        <f>IF($L$4="",1,--(AND(SUMPRODUCT(--($AS$71:$AZ$71&lt;&gt;""))&gt;0,IF(COUNTIF($BI$71:$BP$71,1)=0,TRUE,SUMPRODUCT(($BI$71:$BP$71=1)*($AS$71:$AZ$71&lt;&gt;"")*IF(((UPPER($AS$71:$AZ$71)="BLANK")+(UPPER($AS$71:$AZ$71)="(BLANK)")+(UPPER($AS$71:$AZ$71)="EMPTY")+(UPPER($AS$71:$AZ$71)="(EMPTY)"))&gt;0,IFERROR(('Final Calculation Sheet'!$K$38)&amp;"","")="",ISNUMBER(SEARCH($AS$71:$AZ$71,IFERROR(('Final Calculation Sheet'!$K$38)&amp;"","")))))&gt;0),IF(COUNTIF($BI$71:$BP$71,2)=0,TRUE,SUMPRODUCT(($BI$71:$BP$71=2)*($AS$71:$AZ$71&lt;&gt;"")*IF(((UPPER($AS$71:$AZ$71)="BLANK")+(UPPER($AS$71:$AZ$71)="(BLANK)")+(UPPER($AS$71:$AZ$71)="EMPTY")+(UPPER($AS$71:$AZ$71)="(EMPTY)"))&gt;0,IFERROR(('Final Calculation Sheet'!$K$38)&amp;"","")="",ISNUMBER(SEARCH($AS$71:$AZ$71,IFERROR(('Final Calculation Sheet'!$K$38)&amp;"","")))))&gt;0),IF(COUNTIF($BI$71:$BP$71,3)=0,TRUE,SUMPRODUCT(($BI$71:$BP$71=3)*($AS$71:$AZ$71&lt;&gt;"")*IF(((UPPER($AS$71:$AZ$71)="BLANK")+(UPPER($AS$71:$AZ$71)="(BLANK)")+(UPPER($AS$71:$AZ$71)="EMPTY")+(UPPER($AS$71:$AZ$71)="(EMPTY)"))&gt;0,IFERROR(('Final Calculation Sheet'!$K$38)&amp;"","")="",ISNUMBER(SEARCH($AS$71:$AZ$71,IFERROR(('Final Calculation Sheet'!$K$38)&amp;"","")))))&gt;0),IF(COUNTIF($BI$71:$BP$71,4)=0,TRUE,SUMPRODUCT(($BI$71:$BP$71=4)*($AS$71:$AZ$71&lt;&gt;"")*IF(((UPPER($AS$71:$AZ$71)="BLANK")+(UPPER($AS$71:$AZ$71)="(BLANK)")+(UPPER($AS$71:$AZ$71)="EMPTY")+(UPPER($AS$71:$AZ$71)="(EMPTY)"))&gt;0,IFERROR(('Final Calculation Sheet'!$K$38)&amp;"","")="",ISNUMBER(SEARCH($AS$71:$AZ$71,IFERROR(('Final Calculation Sheet'!$K$38)&amp;"","")))))&gt;0),IF(COUNTIF($BI$71:$BP$71,5)=0,TRUE,SUMPRODUCT(($BI$71:$BP$71=5)*($AS$71:$AZ$71&lt;&gt;"")*IF(((UPPER($AS$71:$AZ$71)="BLANK")+(UPPER($AS$71:$AZ$71)="(BLANK)")+(UPPER($AS$71:$AZ$71)="EMPTY")+(UPPER($AS$71:$AZ$71)="(EMPTY)"))&gt;0,IFERROR(('Final Calculation Sheet'!$K$38)&amp;"","")="",ISNUMBER(SEARCH($AS$71:$AZ$71,IFERROR(('Final Calculation Sheet'!$K$38)&amp;"","")))))&gt;0),IF(COUNTIF($BI$71:$BP$71,6)=0,TRUE,SUMPRODUCT(($BI$71:$BP$71=6)*($AS$71:$AZ$71&lt;&gt;"")*IF(((UPPER($AS$71:$AZ$71)="BLANK")+(UPPER($AS$71:$AZ$71)="(BLANK)")+(UPPER($AS$71:$AZ$71)="EMPTY")+(UPPER($AS$71:$AZ$71)="(EMPTY)"))&gt;0,IFERROR(('Final Calculation Sheet'!$K$38)&amp;"","")="",ISNUMBER(SEARCH($AS$71:$AZ$71,IFERROR(('Final Calculation Sheet'!$K$38)&amp;"","")))))&gt;0),IF(COUNTIF($BI$71:$BP$71,7)=0,TRUE,SUMPRODUCT(($BI$71:$BP$71=7)*($AS$71:$AZ$71&lt;&gt;"")*IF(((UPPER($AS$71:$AZ$71)="BLANK")+(UPPER($AS$71:$AZ$71)="(BLANK)")+(UPPER($AS$71:$AZ$71)="EMPTY")+(UPPER($AS$71:$AZ$71)="(EMPTY)"))&gt;0,IFERROR(('Final Calculation Sheet'!$K$38)&amp;"","")="",ISNUMBER(SEARCH($AS$71:$AZ$71,IFERROR(('Final Calculation Sheet'!$K$38)&amp;"","")))))&gt;0),IF(COUNTIF($BI$71:$BP$71,8)=0,TRUE,SUMPRODUCT(($BI$71:$BP$71=8)*($AS$71:$AZ$71&lt;&gt;"")*IF(((UPPER($AS$71:$AZ$71)="BLANK")+(UPPER($AS$71:$AZ$71)="(BLANK)")+(UPPER($AS$71:$AZ$71)="EMPTY")+(UPPER($AS$71:$AZ$71)="(EMPTY)"))&gt;0,IFERROR(('Final Calculation Sheet'!$K$38)&amp;"","")="",ISNUMBER(SEARCH($AS$71:$AZ$71,IFERROR(('Final Calculation Sheet'!$K$38)&amp;"","")))))&gt;0))))</f>
        <v>1</v>
      </c>
      <c r="BY39">
        <f>IF($M$4="",1,--(AND(SUMPRODUCT(--($AS$72:$AZ$72&lt;&gt;""))&gt;0,IF(COUNTIF($BI$72:$BP$72,1)=0,TRUE,SUMPRODUCT(($BI$72:$BP$72=1)*($AS$72:$AZ$72&lt;&gt;"")*IF(((UPPER($AS$72:$AZ$72)="BLANK")+(UPPER($AS$72:$AZ$72)="(BLANK)")+(UPPER($AS$72:$AZ$72)="EMPTY")+(UPPER($AS$72:$AZ$72)="(EMPTY)"))&gt;0,IFERROR(('Final Calculation Sheet'!$L$38)&amp;"","")="",ISNUMBER(SEARCH($AS$72:$AZ$72,IFERROR(('Final Calculation Sheet'!$L$38)&amp;"","")))))&gt;0),IF(COUNTIF($BI$72:$BP$72,2)=0,TRUE,SUMPRODUCT(($BI$72:$BP$72=2)*($AS$72:$AZ$72&lt;&gt;"")*IF(((UPPER($AS$72:$AZ$72)="BLANK")+(UPPER($AS$72:$AZ$72)="(BLANK)")+(UPPER($AS$72:$AZ$72)="EMPTY")+(UPPER($AS$72:$AZ$72)="(EMPTY)"))&gt;0,IFERROR(('Final Calculation Sheet'!$L$38)&amp;"","")="",ISNUMBER(SEARCH($AS$72:$AZ$72,IFERROR(('Final Calculation Sheet'!$L$38)&amp;"","")))))&gt;0),IF(COUNTIF($BI$72:$BP$72,3)=0,TRUE,SUMPRODUCT(($BI$72:$BP$72=3)*($AS$72:$AZ$72&lt;&gt;"")*IF(((UPPER($AS$72:$AZ$72)="BLANK")+(UPPER($AS$72:$AZ$72)="(BLANK)")+(UPPER($AS$72:$AZ$72)="EMPTY")+(UPPER($AS$72:$AZ$72)="(EMPTY)"))&gt;0,IFERROR(('Final Calculation Sheet'!$L$38)&amp;"","")="",ISNUMBER(SEARCH($AS$72:$AZ$72,IFERROR(('Final Calculation Sheet'!$L$38)&amp;"","")))))&gt;0),IF(COUNTIF($BI$72:$BP$72,4)=0,TRUE,SUMPRODUCT(($BI$72:$BP$72=4)*($AS$72:$AZ$72&lt;&gt;"")*IF(((UPPER($AS$72:$AZ$72)="BLANK")+(UPPER($AS$72:$AZ$72)="(BLANK)")+(UPPER($AS$72:$AZ$72)="EMPTY")+(UPPER($AS$72:$AZ$72)="(EMPTY)"))&gt;0,IFERROR(('Final Calculation Sheet'!$L$38)&amp;"","")="",ISNUMBER(SEARCH($AS$72:$AZ$72,IFERROR(('Final Calculation Sheet'!$L$38)&amp;"","")))))&gt;0),IF(COUNTIF($BI$72:$BP$72,5)=0,TRUE,SUMPRODUCT(($BI$72:$BP$72=5)*($AS$72:$AZ$72&lt;&gt;"")*IF(((UPPER($AS$72:$AZ$72)="BLANK")+(UPPER($AS$72:$AZ$72)="(BLANK)")+(UPPER($AS$72:$AZ$72)="EMPTY")+(UPPER($AS$72:$AZ$72)="(EMPTY)"))&gt;0,IFERROR(('Final Calculation Sheet'!$L$38)&amp;"","")="",ISNUMBER(SEARCH($AS$72:$AZ$72,IFERROR(('Final Calculation Sheet'!$L$38)&amp;"","")))))&gt;0),IF(COUNTIF($BI$72:$BP$72,6)=0,TRUE,SUMPRODUCT(($BI$72:$BP$72=6)*($AS$72:$AZ$72&lt;&gt;"")*IF(((UPPER($AS$72:$AZ$72)="BLANK")+(UPPER($AS$72:$AZ$72)="(BLANK)")+(UPPER($AS$72:$AZ$72)="EMPTY")+(UPPER($AS$72:$AZ$72)="(EMPTY)"))&gt;0,IFERROR(('Final Calculation Sheet'!$L$38)&amp;"","")="",ISNUMBER(SEARCH($AS$72:$AZ$72,IFERROR(('Final Calculation Sheet'!$L$38)&amp;"","")))))&gt;0),IF(COUNTIF($BI$72:$BP$72,7)=0,TRUE,SUMPRODUCT(($BI$72:$BP$72=7)*($AS$72:$AZ$72&lt;&gt;"")*IF(((UPPER($AS$72:$AZ$72)="BLANK")+(UPPER($AS$72:$AZ$72)="(BLANK)")+(UPPER($AS$72:$AZ$72)="EMPTY")+(UPPER($AS$72:$AZ$72)="(EMPTY)"))&gt;0,IFERROR(('Final Calculation Sheet'!$L$38)&amp;"","")="",ISNUMBER(SEARCH($AS$72:$AZ$72,IFERROR(('Final Calculation Sheet'!$L$38)&amp;"","")))))&gt;0),IF(COUNTIF($BI$72:$BP$72,8)=0,TRUE,SUMPRODUCT(($BI$72:$BP$72=8)*($AS$72:$AZ$72&lt;&gt;"")*IF(((UPPER($AS$72:$AZ$72)="BLANK")+(UPPER($AS$72:$AZ$72)="(BLANK)")+(UPPER($AS$72:$AZ$72)="EMPTY")+(UPPER($AS$72:$AZ$72)="(EMPTY)"))&gt;0,IFERROR(('Final Calculation Sheet'!$L$38)&amp;"","")="",ISNUMBER(SEARCH($AS$72:$AZ$72,IFERROR(('Final Calculation Sheet'!$L$38)&amp;"","")))))&gt;0))))</f>
        <v>1</v>
      </c>
      <c r="BZ39">
        <f>IF($N$4="",1,--(AND(SUMPRODUCT(--($AS$73:$AZ$73&lt;&gt;""))&gt;0,IF(COUNTIF($BI$73:$BP$73,1)=0,TRUE,SUMPRODUCT(($BI$73:$BP$73=1)*($AS$73:$AZ$73&lt;&gt;"")*IF(((UPPER($AS$73:$AZ$73)="BLANK")+(UPPER($AS$73:$AZ$73)="(BLANK)")+(UPPER($AS$73:$AZ$73)="EMPTY")+(UPPER($AS$73:$AZ$73)="(EMPTY)"))&gt;0,IFERROR(('Final Calculation Sheet'!$M$38)&amp;"","")="",ISNUMBER(SEARCH($AS$73:$AZ$73,IFERROR(('Final Calculation Sheet'!$M$38)&amp;"","")))))&gt;0),IF(COUNTIF($BI$73:$BP$73,2)=0,TRUE,SUMPRODUCT(($BI$73:$BP$73=2)*($AS$73:$AZ$73&lt;&gt;"")*IF(((UPPER($AS$73:$AZ$73)="BLANK")+(UPPER($AS$73:$AZ$73)="(BLANK)")+(UPPER($AS$73:$AZ$73)="EMPTY")+(UPPER($AS$73:$AZ$73)="(EMPTY)"))&gt;0,IFERROR(('Final Calculation Sheet'!$M$38)&amp;"","")="",ISNUMBER(SEARCH($AS$73:$AZ$73,IFERROR(('Final Calculation Sheet'!$M$38)&amp;"","")))))&gt;0),IF(COUNTIF($BI$73:$BP$73,3)=0,TRUE,SUMPRODUCT(($BI$73:$BP$73=3)*($AS$73:$AZ$73&lt;&gt;"")*IF(((UPPER($AS$73:$AZ$73)="BLANK")+(UPPER($AS$73:$AZ$73)="(BLANK)")+(UPPER($AS$73:$AZ$73)="EMPTY")+(UPPER($AS$73:$AZ$73)="(EMPTY)"))&gt;0,IFERROR(('Final Calculation Sheet'!$M$38)&amp;"","")="",ISNUMBER(SEARCH($AS$73:$AZ$73,IFERROR(('Final Calculation Sheet'!$M$38)&amp;"","")))))&gt;0),IF(COUNTIF($BI$73:$BP$73,4)=0,TRUE,SUMPRODUCT(($BI$73:$BP$73=4)*($AS$73:$AZ$73&lt;&gt;"")*IF(((UPPER($AS$73:$AZ$73)="BLANK")+(UPPER($AS$73:$AZ$73)="(BLANK)")+(UPPER($AS$73:$AZ$73)="EMPTY")+(UPPER($AS$73:$AZ$73)="(EMPTY)"))&gt;0,IFERROR(('Final Calculation Sheet'!$M$38)&amp;"","")="",ISNUMBER(SEARCH($AS$73:$AZ$73,IFERROR(('Final Calculation Sheet'!$M$38)&amp;"","")))))&gt;0),IF(COUNTIF($BI$73:$BP$73,5)=0,TRUE,SUMPRODUCT(($BI$73:$BP$73=5)*($AS$73:$AZ$73&lt;&gt;"")*IF(((UPPER($AS$73:$AZ$73)="BLANK")+(UPPER($AS$73:$AZ$73)="(BLANK)")+(UPPER($AS$73:$AZ$73)="EMPTY")+(UPPER($AS$73:$AZ$73)="(EMPTY)"))&gt;0,IFERROR(('Final Calculation Sheet'!$M$38)&amp;"","")="",ISNUMBER(SEARCH($AS$73:$AZ$73,IFERROR(('Final Calculation Sheet'!$M$38)&amp;"","")))))&gt;0),IF(COUNTIF($BI$73:$BP$73,6)=0,TRUE,SUMPRODUCT(($BI$73:$BP$73=6)*($AS$73:$AZ$73&lt;&gt;"")*IF(((UPPER($AS$73:$AZ$73)="BLANK")+(UPPER($AS$73:$AZ$73)="(BLANK)")+(UPPER($AS$73:$AZ$73)="EMPTY")+(UPPER($AS$73:$AZ$73)="(EMPTY)"))&gt;0,IFERROR(('Final Calculation Sheet'!$M$38)&amp;"","")="",ISNUMBER(SEARCH($AS$73:$AZ$73,IFERROR(('Final Calculation Sheet'!$M$38)&amp;"","")))))&gt;0),IF(COUNTIF($BI$73:$BP$73,7)=0,TRUE,SUMPRODUCT(($BI$73:$BP$73=7)*($AS$73:$AZ$73&lt;&gt;"")*IF(((UPPER($AS$73:$AZ$73)="BLANK")+(UPPER($AS$73:$AZ$73)="(BLANK)")+(UPPER($AS$73:$AZ$73)="EMPTY")+(UPPER($AS$73:$AZ$73)="(EMPTY)"))&gt;0,IFERROR(('Final Calculation Sheet'!$M$38)&amp;"","")="",ISNUMBER(SEARCH($AS$73:$AZ$73,IFERROR(('Final Calculation Sheet'!$M$38)&amp;"","")))))&gt;0),IF(COUNTIF($BI$73:$BP$73,8)=0,TRUE,SUMPRODUCT(($BI$73:$BP$73=8)*($AS$73:$AZ$73&lt;&gt;"")*IF(((UPPER($AS$73:$AZ$73)="BLANK")+(UPPER($AS$73:$AZ$73)="(BLANK)")+(UPPER($AS$73:$AZ$73)="EMPTY")+(UPPER($AS$73:$AZ$73)="(EMPTY)"))&gt;0,IFERROR(('Final Calculation Sheet'!$M$38)&amp;"","")="",ISNUMBER(SEARCH($AS$73:$AZ$73,IFERROR(('Final Calculation Sheet'!$M$38)&amp;"","")))))&gt;0))))</f>
        <v>1</v>
      </c>
      <c r="CA39">
        <f>IF($O$4="",1,--(AND(SUMPRODUCT(--($AS$74:$AZ$74&lt;&gt;""))&gt;0,IF(COUNTIF($BI$74:$BP$74,1)=0,TRUE,SUMPRODUCT(($BI$74:$BP$74=1)*($AS$74:$AZ$74&lt;&gt;"")*IF(((UPPER($AS$74:$AZ$74)="BLANK")+(UPPER($AS$74:$AZ$74)="(BLANK)")+(UPPER($AS$74:$AZ$74)="EMPTY")+(UPPER($AS$74:$AZ$74)="(EMPTY)"))&gt;0,IFERROR(('Final Calculation Sheet'!$N$38)&amp;"","")="",ISNUMBER(SEARCH($AS$74:$AZ$74,IFERROR(('Final Calculation Sheet'!$N$38)&amp;"","")))))&gt;0),IF(COUNTIF($BI$74:$BP$74,2)=0,TRUE,SUMPRODUCT(($BI$74:$BP$74=2)*($AS$74:$AZ$74&lt;&gt;"")*IF(((UPPER($AS$74:$AZ$74)="BLANK")+(UPPER($AS$74:$AZ$74)="(BLANK)")+(UPPER($AS$74:$AZ$74)="EMPTY")+(UPPER($AS$74:$AZ$74)="(EMPTY)"))&gt;0,IFERROR(('Final Calculation Sheet'!$N$38)&amp;"","")="",ISNUMBER(SEARCH($AS$74:$AZ$74,IFERROR(('Final Calculation Sheet'!$N$38)&amp;"","")))))&gt;0),IF(COUNTIF($BI$74:$BP$74,3)=0,TRUE,SUMPRODUCT(($BI$74:$BP$74=3)*($AS$74:$AZ$74&lt;&gt;"")*IF(((UPPER($AS$74:$AZ$74)="BLANK")+(UPPER($AS$74:$AZ$74)="(BLANK)")+(UPPER($AS$74:$AZ$74)="EMPTY")+(UPPER($AS$74:$AZ$74)="(EMPTY)"))&gt;0,IFERROR(('Final Calculation Sheet'!$N$38)&amp;"","")="",ISNUMBER(SEARCH($AS$74:$AZ$74,IFERROR(('Final Calculation Sheet'!$N$38)&amp;"","")))))&gt;0),IF(COUNTIF($BI$74:$BP$74,4)=0,TRUE,SUMPRODUCT(($BI$74:$BP$74=4)*($AS$74:$AZ$74&lt;&gt;"")*IF(((UPPER($AS$74:$AZ$74)="BLANK")+(UPPER($AS$74:$AZ$74)="(BLANK)")+(UPPER($AS$74:$AZ$74)="EMPTY")+(UPPER($AS$74:$AZ$74)="(EMPTY)"))&gt;0,IFERROR(('Final Calculation Sheet'!$N$38)&amp;"","")="",ISNUMBER(SEARCH($AS$74:$AZ$74,IFERROR(('Final Calculation Sheet'!$N$38)&amp;"","")))))&gt;0),IF(COUNTIF($BI$74:$BP$74,5)=0,TRUE,SUMPRODUCT(($BI$74:$BP$74=5)*($AS$74:$AZ$74&lt;&gt;"")*IF(((UPPER($AS$74:$AZ$74)="BLANK")+(UPPER($AS$74:$AZ$74)="(BLANK)")+(UPPER($AS$74:$AZ$74)="EMPTY")+(UPPER($AS$74:$AZ$74)="(EMPTY)"))&gt;0,IFERROR(('Final Calculation Sheet'!$N$38)&amp;"","")="",ISNUMBER(SEARCH($AS$74:$AZ$74,IFERROR(('Final Calculation Sheet'!$N$38)&amp;"","")))))&gt;0),IF(COUNTIF($BI$74:$BP$74,6)=0,TRUE,SUMPRODUCT(($BI$74:$BP$74=6)*($AS$74:$AZ$74&lt;&gt;"")*IF(((UPPER($AS$74:$AZ$74)="BLANK")+(UPPER($AS$74:$AZ$74)="(BLANK)")+(UPPER($AS$74:$AZ$74)="EMPTY")+(UPPER($AS$74:$AZ$74)="(EMPTY)"))&gt;0,IFERROR(('Final Calculation Sheet'!$N$38)&amp;"","")="",ISNUMBER(SEARCH($AS$74:$AZ$74,IFERROR(('Final Calculation Sheet'!$N$38)&amp;"","")))))&gt;0),IF(COUNTIF($BI$74:$BP$74,7)=0,TRUE,SUMPRODUCT(($BI$74:$BP$74=7)*($AS$74:$AZ$74&lt;&gt;"")*IF(((UPPER($AS$74:$AZ$74)="BLANK")+(UPPER($AS$74:$AZ$74)="(BLANK)")+(UPPER($AS$74:$AZ$74)="EMPTY")+(UPPER($AS$74:$AZ$74)="(EMPTY)"))&gt;0,IFERROR(('Final Calculation Sheet'!$N$38)&amp;"","")="",ISNUMBER(SEARCH($AS$74:$AZ$74,IFERROR(('Final Calculation Sheet'!$N$38)&amp;"","")))))&gt;0),IF(COUNTIF($BI$74:$BP$74,8)=0,TRUE,SUMPRODUCT(($BI$74:$BP$74=8)*($AS$74:$AZ$74&lt;&gt;"")*IF(((UPPER($AS$74:$AZ$74)="BLANK")+(UPPER($AS$74:$AZ$74)="(BLANK)")+(UPPER($AS$74:$AZ$74)="EMPTY")+(UPPER($AS$74:$AZ$74)="(EMPTY)"))&gt;0,IFERROR(('Final Calculation Sheet'!$N$38)&amp;"","")="",ISNUMBER(SEARCH($AS$74:$AZ$74,IFERROR(('Final Calculation Sheet'!$N$38)&amp;"","")))))&gt;0))))</f>
        <v>1</v>
      </c>
      <c r="CB39">
        <f>IF($P$4="",1,--(AND(SUMPRODUCT(--($AS$75:$AZ$75&lt;&gt;""))&gt;0,IF(COUNTIF($BI$75:$BP$75,1)=0,TRUE,SUMPRODUCT(($BI$75:$BP$75=1)*($AS$75:$AZ$75&lt;&gt;"")*IF(((UPPER($AS$75:$AZ$75)="BLANK")+(UPPER($AS$75:$AZ$75)="(BLANK)")+(UPPER($AS$75:$AZ$75)="EMPTY")+(UPPER($AS$75:$AZ$75)="(EMPTY)"))&gt;0,IFERROR(('Final Calculation Sheet'!$O$38)&amp;"","")="",ISNUMBER(SEARCH($AS$75:$AZ$75,IFERROR(('Final Calculation Sheet'!$O$38)&amp;"","")))))&gt;0),IF(COUNTIF($BI$75:$BP$75,2)=0,TRUE,SUMPRODUCT(($BI$75:$BP$75=2)*($AS$75:$AZ$75&lt;&gt;"")*IF(((UPPER($AS$75:$AZ$75)="BLANK")+(UPPER($AS$75:$AZ$75)="(BLANK)")+(UPPER($AS$75:$AZ$75)="EMPTY")+(UPPER($AS$75:$AZ$75)="(EMPTY)"))&gt;0,IFERROR(('Final Calculation Sheet'!$O$38)&amp;"","")="",ISNUMBER(SEARCH($AS$75:$AZ$75,IFERROR(('Final Calculation Sheet'!$O$38)&amp;"","")))))&gt;0),IF(COUNTIF($BI$75:$BP$75,3)=0,TRUE,SUMPRODUCT(($BI$75:$BP$75=3)*($AS$75:$AZ$75&lt;&gt;"")*IF(((UPPER($AS$75:$AZ$75)="BLANK")+(UPPER($AS$75:$AZ$75)="(BLANK)")+(UPPER($AS$75:$AZ$75)="EMPTY")+(UPPER($AS$75:$AZ$75)="(EMPTY)"))&gt;0,IFERROR(('Final Calculation Sheet'!$O$38)&amp;"","")="",ISNUMBER(SEARCH($AS$75:$AZ$75,IFERROR(('Final Calculation Sheet'!$O$38)&amp;"","")))))&gt;0),IF(COUNTIF($BI$75:$BP$75,4)=0,TRUE,SUMPRODUCT(($BI$75:$BP$75=4)*($AS$75:$AZ$75&lt;&gt;"")*IF(((UPPER($AS$75:$AZ$75)="BLANK")+(UPPER($AS$75:$AZ$75)="(BLANK)")+(UPPER($AS$75:$AZ$75)="EMPTY")+(UPPER($AS$75:$AZ$75)="(EMPTY)"))&gt;0,IFERROR(('Final Calculation Sheet'!$O$38)&amp;"","")="",ISNUMBER(SEARCH($AS$75:$AZ$75,IFERROR(('Final Calculation Sheet'!$O$38)&amp;"","")))))&gt;0),IF(COUNTIF($BI$75:$BP$75,5)=0,TRUE,SUMPRODUCT(($BI$75:$BP$75=5)*($AS$75:$AZ$75&lt;&gt;"")*IF(((UPPER($AS$75:$AZ$75)="BLANK")+(UPPER($AS$75:$AZ$75)="(BLANK)")+(UPPER($AS$75:$AZ$75)="EMPTY")+(UPPER($AS$75:$AZ$75)="(EMPTY)"))&gt;0,IFERROR(('Final Calculation Sheet'!$O$38)&amp;"","")="",ISNUMBER(SEARCH($AS$75:$AZ$75,IFERROR(('Final Calculation Sheet'!$O$38)&amp;"","")))))&gt;0),IF(COUNTIF($BI$75:$BP$75,6)=0,TRUE,SUMPRODUCT(($BI$75:$BP$75=6)*($AS$75:$AZ$75&lt;&gt;"")*IF(((UPPER($AS$75:$AZ$75)="BLANK")+(UPPER($AS$75:$AZ$75)="(BLANK)")+(UPPER($AS$75:$AZ$75)="EMPTY")+(UPPER($AS$75:$AZ$75)="(EMPTY)"))&gt;0,IFERROR(('Final Calculation Sheet'!$O$38)&amp;"","")="",ISNUMBER(SEARCH($AS$75:$AZ$75,IFERROR(('Final Calculation Sheet'!$O$38)&amp;"","")))))&gt;0),IF(COUNTIF($BI$75:$BP$75,7)=0,TRUE,SUMPRODUCT(($BI$75:$BP$75=7)*($AS$75:$AZ$75&lt;&gt;"")*IF(((UPPER($AS$75:$AZ$75)="BLANK")+(UPPER($AS$75:$AZ$75)="(BLANK)")+(UPPER($AS$75:$AZ$75)="EMPTY")+(UPPER($AS$75:$AZ$75)="(EMPTY)"))&gt;0,IFERROR(('Final Calculation Sheet'!$O$38)&amp;"","")="",ISNUMBER(SEARCH($AS$75:$AZ$75,IFERROR(('Final Calculation Sheet'!$O$38)&amp;"","")))))&gt;0),IF(COUNTIF($BI$75:$BP$75,8)=0,TRUE,SUMPRODUCT(($BI$75:$BP$75=8)*($AS$75:$AZ$75&lt;&gt;"")*IF(((UPPER($AS$75:$AZ$75)="BLANK")+(UPPER($AS$75:$AZ$75)="(BLANK)")+(UPPER($AS$75:$AZ$75)="EMPTY")+(UPPER($AS$75:$AZ$75)="(EMPTY)"))&gt;0,IFERROR(('Final Calculation Sheet'!$O$38)&amp;"","")="",ISNUMBER(SEARCH($AS$75:$AZ$75,IFERROR(('Final Calculation Sheet'!$O$38)&amp;"","")))))&gt;0))))</f>
        <v>1</v>
      </c>
      <c r="CC39">
        <f>IF($Q$4="",1,--(AND(SUMPRODUCT(--($AS$76:$AZ$76&lt;&gt;""))&gt;0,IF(COUNTIF($BI$76:$BP$76,1)=0,TRUE,SUMPRODUCT(($BI$76:$BP$76=1)*($AS$76:$AZ$76&lt;&gt;"")*IF(((UPPER($AS$76:$AZ$76)="BLANK")+(UPPER($AS$76:$AZ$76)="(BLANK)")+(UPPER($AS$76:$AZ$76)="EMPTY")+(UPPER($AS$76:$AZ$76)="(EMPTY)"))&gt;0,IFERROR(('Final Calculation Sheet'!$P$38)&amp;"","")="",ISNUMBER(SEARCH($AS$76:$AZ$76,IFERROR(('Final Calculation Sheet'!$P$38)&amp;"","")))))&gt;0),IF(COUNTIF($BI$76:$BP$76,2)=0,TRUE,SUMPRODUCT(($BI$76:$BP$76=2)*($AS$76:$AZ$76&lt;&gt;"")*IF(((UPPER($AS$76:$AZ$76)="BLANK")+(UPPER($AS$76:$AZ$76)="(BLANK)")+(UPPER($AS$76:$AZ$76)="EMPTY")+(UPPER($AS$76:$AZ$76)="(EMPTY)"))&gt;0,IFERROR(('Final Calculation Sheet'!$P$38)&amp;"","")="",ISNUMBER(SEARCH($AS$76:$AZ$76,IFERROR(('Final Calculation Sheet'!$P$38)&amp;"","")))))&gt;0),IF(COUNTIF($BI$76:$BP$76,3)=0,TRUE,SUMPRODUCT(($BI$76:$BP$76=3)*($AS$76:$AZ$76&lt;&gt;"")*IF(((UPPER($AS$76:$AZ$76)="BLANK")+(UPPER($AS$76:$AZ$76)="(BLANK)")+(UPPER($AS$76:$AZ$76)="EMPTY")+(UPPER($AS$76:$AZ$76)="(EMPTY)"))&gt;0,IFERROR(('Final Calculation Sheet'!$P$38)&amp;"","")="",ISNUMBER(SEARCH($AS$76:$AZ$76,IFERROR(('Final Calculation Sheet'!$P$38)&amp;"","")))))&gt;0),IF(COUNTIF($BI$76:$BP$76,4)=0,TRUE,SUMPRODUCT(($BI$76:$BP$76=4)*($AS$76:$AZ$76&lt;&gt;"")*IF(((UPPER($AS$76:$AZ$76)="BLANK")+(UPPER($AS$76:$AZ$76)="(BLANK)")+(UPPER($AS$76:$AZ$76)="EMPTY")+(UPPER($AS$76:$AZ$76)="(EMPTY)"))&gt;0,IFERROR(('Final Calculation Sheet'!$P$38)&amp;"","")="",ISNUMBER(SEARCH($AS$76:$AZ$76,IFERROR(('Final Calculation Sheet'!$P$38)&amp;"","")))))&gt;0),IF(COUNTIF($BI$76:$BP$76,5)=0,TRUE,SUMPRODUCT(($BI$76:$BP$76=5)*($AS$76:$AZ$76&lt;&gt;"")*IF(((UPPER($AS$76:$AZ$76)="BLANK")+(UPPER($AS$76:$AZ$76)="(BLANK)")+(UPPER($AS$76:$AZ$76)="EMPTY")+(UPPER($AS$76:$AZ$76)="(EMPTY)"))&gt;0,IFERROR(('Final Calculation Sheet'!$P$38)&amp;"","")="",ISNUMBER(SEARCH($AS$76:$AZ$76,IFERROR(('Final Calculation Sheet'!$P$38)&amp;"","")))))&gt;0),IF(COUNTIF($BI$76:$BP$76,6)=0,TRUE,SUMPRODUCT(($BI$76:$BP$76=6)*($AS$76:$AZ$76&lt;&gt;"")*IF(((UPPER($AS$76:$AZ$76)="BLANK")+(UPPER($AS$76:$AZ$76)="(BLANK)")+(UPPER($AS$76:$AZ$76)="EMPTY")+(UPPER($AS$76:$AZ$76)="(EMPTY)"))&gt;0,IFERROR(('Final Calculation Sheet'!$P$38)&amp;"","")="",ISNUMBER(SEARCH($AS$76:$AZ$76,IFERROR(('Final Calculation Sheet'!$P$38)&amp;"","")))))&gt;0),IF(COUNTIF($BI$76:$BP$76,7)=0,TRUE,SUMPRODUCT(($BI$76:$BP$76=7)*($AS$76:$AZ$76&lt;&gt;"")*IF(((UPPER($AS$76:$AZ$76)="BLANK")+(UPPER($AS$76:$AZ$76)="(BLANK)")+(UPPER($AS$76:$AZ$76)="EMPTY")+(UPPER($AS$76:$AZ$76)="(EMPTY)"))&gt;0,IFERROR(('Final Calculation Sheet'!$P$38)&amp;"","")="",ISNUMBER(SEARCH($AS$76:$AZ$76,IFERROR(('Final Calculation Sheet'!$P$38)&amp;"","")))))&gt;0),IF(COUNTIF($BI$76:$BP$76,8)=0,TRUE,SUMPRODUCT(($BI$76:$BP$76=8)*($AS$76:$AZ$76&lt;&gt;"")*IF(((UPPER($AS$76:$AZ$76)="BLANK")+(UPPER($AS$76:$AZ$76)="(BLANK)")+(UPPER($AS$76:$AZ$76)="EMPTY")+(UPPER($AS$76:$AZ$76)="(EMPTY)"))&gt;0,IFERROR(('Final Calculation Sheet'!$P$38)&amp;"","")="",ISNUMBER(SEARCH($AS$76:$AZ$76,IFERROR(('Final Calculation Sheet'!$P$38)&amp;"","")))))&gt;0))))</f>
        <v>1</v>
      </c>
      <c r="CD39">
        <f>IF($R$4="",1,--(AND(SUMPRODUCT(--($AS$77:$AZ$77&lt;&gt;""))&gt;0,IF(COUNTIF($BI$77:$BP$77,1)=0,TRUE,SUMPRODUCT(($BI$77:$BP$77=1)*($AS$77:$AZ$77&lt;&gt;"")*IF(((UPPER($AS$77:$AZ$77)="BLANK")+(UPPER($AS$77:$AZ$77)="(BLANK)")+(UPPER($AS$77:$AZ$77)="EMPTY")+(UPPER($AS$77:$AZ$77)="(EMPTY)"))&gt;0,IFERROR(('Final Calculation Sheet'!$Q$38)&amp;"","")="",ISNUMBER(SEARCH($AS$77:$AZ$77,IFERROR(('Final Calculation Sheet'!$Q$38)&amp;"","")))))&gt;0),IF(COUNTIF($BI$77:$BP$77,2)=0,TRUE,SUMPRODUCT(($BI$77:$BP$77=2)*($AS$77:$AZ$77&lt;&gt;"")*IF(((UPPER($AS$77:$AZ$77)="BLANK")+(UPPER($AS$77:$AZ$77)="(BLANK)")+(UPPER($AS$77:$AZ$77)="EMPTY")+(UPPER($AS$77:$AZ$77)="(EMPTY)"))&gt;0,IFERROR(('Final Calculation Sheet'!$Q$38)&amp;"","")="",ISNUMBER(SEARCH($AS$77:$AZ$77,IFERROR(('Final Calculation Sheet'!$Q$38)&amp;"","")))))&gt;0),IF(COUNTIF($BI$77:$BP$77,3)=0,TRUE,SUMPRODUCT(($BI$77:$BP$77=3)*($AS$77:$AZ$77&lt;&gt;"")*IF(((UPPER($AS$77:$AZ$77)="BLANK")+(UPPER($AS$77:$AZ$77)="(BLANK)")+(UPPER($AS$77:$AZ$77)="EMPTY")+(UPPER($AS$77:$AZ$77)="(EMPTY)"))&gt;0,IFERROR(('Final Calculation Sheet'!$Q$38)&amp;"","")="",ISNUMBER(SEARCH($AS$77:$AZ$77,IFERROR(('Final Calculation Sheet'!$Q$38)&amp;"","")))))&gt;0),IF(COUNTIF($BI$77:$BP$77,4)=0,TRUE,SUMPRODUCT(($BI$77:$BP$77=4)*($AS$77:$AZ$77&lt;&gt;"")*IF(((UPPER($AS$77:$AZ$77)="BLANK")+(UPPER($AS$77:$AZ$77)="(BLANK)")+(UPPER($AS$77:$AZ$77)="EMPTY")+(UPPER($AS$77:$AZ$77)="(EMPTY)"))&gt;0,IFERROR(('Final Calculation Sheet'!$Q$38)&amp;"","")="",ISNUMBER(SEARCH($AS$77:$AZ$77,IFERROR(('Final Calculation Sheet'!$Q$38)&amp;"","")))))&gt;0),IF(COUNTIF($BI$77:$BP$77,5)=0,TRUE,SUMPRODUCT(($BI$77:$BP$77=5)*($AS$77:$AZ$77&lt;&gt;"")*IF(((UPPER($AS$77:$AZ$77)="BLANK")+(UPPER($AS$77:$AZ$77)="(BLANK)")+(UPPER($AS$77:$AZ$77)="EMPTY")+(UPPER($AS$77:$AZ$77)="(EMPTY)"))&gt;0,IFERROR(('Final Calculation Sheet'!$Q$38)&amp;"","")="",ISNUMBER(SEARCH($AS$77:$AZ$77,IFERROR(('Final Calculation Sheet'!$Q$38)&amp;"","")))))&gt;0),IF(COUNTIF($BI$77:$BP$77,6)=0,TRUE,SUMPRODUCT(($BI$77:$BP$77=6)*($AS$77:$AZ$77&lt;&gt;"")*IF(((UPPER($AS$77:$AZ$77)="BLANK")+(UPPER($AS$77:$AZ$77)="(BLANK)")+(UPPER($AS$77:$AZ$77)="EMPTY")+(UPPER($AS$77:$AZ$77)="(EMPTY)"))&gt;0,IFERROR(('Final Calculation Sheet'!$Q$38)&amp;"","")="",ISNUMBER(SEARCH($AS$77:$AZ$77,IFERROR(('Final Calculation Sheet'!$Q$38)&amp;"","")))))&gt;0),IF(COUNTIF($BI$77:$BP$77,7)=0,TRUE,SUMPRODUCT(($BI$77:$BP$77=7)*($AS$77:$AZ$77&lt;&gt;"")*IF(((UPPER($AS$77:$AZ$77)="BLANK")+(UPPER($AS$77:$AZ$77)="(BLANK)")+(UPPER($AS$77:$AZ$77)="EMPTY")+(UPPER($AS$77:$AZ$77)="(EMPTY)"))&gt;0,IFERROR(('Final Calculation Sheet'!$Q$38)&amp;"","")="",ISNUMBER(SEARCH($AS$77:$AZ$77,IFERROR(('Final Calculation Sheet'!$Q$38)&amp;"","")))))&gt;0),IF(COUNTIF($BI$77:$BP$77,8)=0,TRUE,SUMPRODUCT(($BI$77:$BP$77=8)*($AS$77:$AZ$77&lt;&gt;"")*IF(((UPPER($AS$77:$AZ$77)="BLANK")+(UPPER($AS$77:$AZ$77)="(BLANK)")+(UPPER($AS$77:$AZ$77)="EMPTY")+(UPPER($AS$77:$AZ$77)="(EMPTY)"))&gt;0,IFERROR(('Final Calculation Sheet'!$Q$38)&amp;"","")="",ISNUMBER(SEARCH($AS$77:$AZ$77,IFERROR(('Final Calculation Sheet'!$Q$38)&amp;"","")))))&gt;0))))</f>
        <v>1</v>
      </c>
      <c r="CE39">
        <f>IF($S$4="",1,--(AND(SUMPRODUCT(--($AS$78:$AZ$78&lt;&gt;""))&gt;0,IF(COUNTIF($BI$78:$BP$78,1)=0,TRUE,SUMPRODUCT(($BI$78:$BP$78=1)*($AS$78:$AZ$78&lt;&gt;"")*IF(((UPPER($AS$78:$AZ$78)="BLANK")+(UPPER($AS$78:$AZ$78)="(BLANK)")+(UPPER($AS$78:$AZ$78)="EMPTY")+(UPPER($AS$78:$AZ$78)="(EMPTY)"))&gt;0,IFERROR(('Final Calculation Sheet'!$R$38)&amp;"","")="",ISNUMBER(SEARCH($AS$78:$AZ$78,IFERROR(('Final Calculation Sheet'!$R$38)&amp;"","")))))&gt;0),IF(COUNTIF($BI$78:$BP$78,2)=0,TRUE,SUMPRODUCT(($BI$78:$BP$78=2)*($AS$78:$AZ$78&lt;&gt;"")*IF(((UPPER($AS$78:$AZ$78)="BLANK")+(UPPER($AS$78:$AZ$78)="(BLANK)")+(UPPER($AS$78:$AZ$78)="EMPTY")+(UPPER($AS$78:$AZ$78)="(EMPTY)"))&gt;0,IFERROR(('Final Calculation Sheet'!$R$38)&amp;"","")="",ISNUMBER(SEARCH($AS$78:$AZ$78,IFERROR(('Final Calculation Sheet'!$R$38)&amp;"","")))))&gt;0),IF(COUNTIF($BI$78:$BP$78,3)=0,TRUE,SUMPRODUCT(($BI$78:$BP$78=3)*($AS$78:$AZ$78&lt;&gt;"")*IF(((UPPER($AS$78:$AZ$78)="BLANK")+(UPPER($AS$78:$AZ$78)="(BLANK)")+(UPPER($AS$78:$AZ$78)="EMPTY")+(UPPER($AS$78:$AZ$78)="(EMPTY)"))&gt;0,IFERROR(('Final Calculation Sheet'!$R$38)&amp;"","")="",ISNUMBER(SEARCH($AS$78:$AZ$78,IFERROR(('Final Calculation Sheet'!$R$38)&amp;"","")))))&gt;0),IF(COUNTIF($BI$78:$BP$78,4)=0,TRUE,SUMPRODUCT(($BI$78:$BP$78=4)*($AS$78:$AZ$78&lt;&gt;"")*IF(((UPPER($AS$78:$AZ$78)="BLANK")+(UPPER($AS$78:$AZ$78)="(BLANK)")+(UPPER($AS$78:$AZ$78)="EMPTY")+(UPPER($AS$78:$AZ$78)="(EMPTY)"))&gt;0,IFERROR(('Final Calculation Sheet'!$R$38)&amp;"","")="",ISNUMBER(SEARCH($AS$78:$AZ$78,IFERROR(('Final Calculation Sheet'!$R$38)&amp;"","")))))&gt;0),IF(COUNTIF($BI$78:$BP$78,5)=0,TRUE,SUMPRODUCT(($BI$78:$BP$78=5)*($AS$78:$AZ$78&lt;&gt;"")*IF(((UPPER($AS$78:$AZ$78)="BLANK")+(UPPER($AS$78:$AZ$78)="(BLANK)")+(UPPER($AS$78:$AZ$78)="EMPTY")+(UPPER($AS$78:$AZ$78)="(EMPTY)"))&gt;0,IFERROR(('Final Calculation Sheet'!$R$38)&amp;"","")="",ISNUMBER(SEARCH($AS$78:$AZ$78,IFERROR(('Final Calculation Sheet'!$R$38)&amp;"","")))))&gt;0),IF(COUNTIF($BI$78:$BP$78,6)=0,TRUE,SUMPRODUCT(($BI$78:$BP$78=6)*($AS$78:$AZ$78&lt;&gt;"")*IF(((UPPER($AS$78:$AZ$78)="BLANK")+(UPPER($AS$78:$AZ$78)="(BLANK)")+(UPPER($AS$78:$AZ$78)="EMPTY")+(UPPER($AS$78:$AZ$78)="(EMPTY)"))&gt;0,IFERROR(('Final Calculation Sheet'!$R$38)&amp;"","")="",ISNUMBER(SEARCH($AS$78:$AZ$78,IFERROR(('Final Calculation Sheet'!$R$38)&amp;"","")))))&gt;0),IF(COUNTIF($BI$78:$BP$78,7)=0,TRUE,SUMPRODUCT(($BI$78:$BP$78=7)*($AS$78:$AZ$78&lt;&gt;"")*IF(((UPPER($AS$78:$AZ$78)="BLANK")+(UPPER($AS$78:$AZ$78)="(BLANK)")+(UPPER($AS$78:$AZ$78)="EMPTY")+(UPPER($AS$78:$AZ$78)="(EMPTY)"))&gt;0,IFERROR(('Final Calculation Sheet'!$R$38)&amp;"","")="",ISNUMBER(SEARCH($AS$78:$AZ$78,IFERROR(('Final Calculation Sheet'!$R$38)&amp;"","")))))&gt;0),IF(COUNTIF($BI$78:$BP$78,8)=0,TRUE,SUMPRODUCT(($BI$78:$BP$78=8)*($AS$78:$AZ$78&lt;&gt;"")*IF(((UPPER($AS$78:$AZ$78)="BLANK")+(UPPER($AS$78:$AZ$78)="(BLANK)")+(UPPER($AS$78:$AZ$78)="EMPTY")+(UPPER($AS$78:$AZ$78)="(EMPTY)"))&gt;0,IFERROR(('Final Calculation Sheet'!$R$38)&amp;"","")="",ISNUMBER(SEARCH($AS$78:$AZ$78,IFERROR(('Final Calculation Sheet'!$R$38)&amp;"","")))))&gt;0))))</f>
        <v>1</v>
      </c>
      <c r="CF39">
        <f>IF($T$4="",1,--(AND(SUMPRODUCT(--($AS$79:$AZ$79&lt;&gt;""))&gt;0,IF(COUNTIF($BI$79:$BP$79,1)=0,TRUE,SUMPRODUCT(($BI$79:$BP$79=1)*($AS$79:$AZ$79&lt;&gt;"")*IF(((UPPER($AS$79:$AZ$79)="BLANK")+(UPPER($AS$79:$AZ$79)="(BLANK)")+(UPPER($AS$79:$AZ$79)="EMPTY")+(UPPER($AS$79:$AZ$79)="(EMPTY)"))&gt;0,IFERROR(('Final Calculation Sheet'!$S$38)&amp;"","")="",ISNUMBER(SEARCH($AS$79:$AZ$79,IFERROR(('Final Calculation Sheet'!$S$38)&amp;"","")))))&gt;0),IF(COUNTIF($BI$79:$BP$79,2)=0,TRUE,SUMPRODUCT(($BI$79:$BP$79=2)*($AS$79:$AZ$79&lt;&gt;"")*IF(((UPPER($AS$79:$AZ$79)="BLANK")+(UPPER($AS$79:$AZ$79)="(BLANK)")+(UPPER($AS$79:$AZ$79)="EMPTY")+(UPPER($AS$79:$AZ$79)="(EMPTY)"))&gt;0,IFERROR(('Final Calculation Sheet'!$S$38)&amp;"","")="",ISNUMBER(SEARCH($AS$79:$AZ$79,IFERROR(('Final Calculation Sheet'!$S$38)&amp;"","")))))&gt;0),IF(COUNTIF($BI$79:$BP$79,3)=0,TRUE,SUMPRODUCT(($BI$79:$BP$79=3)*($AS$79:$AZ$79&lt;&gt;"")*IF(((UPPER($AS$79:$AZ$79)="BLANK")+(UPPER($AS$79:$AZ$79)="(BLANK)")+(UPPER($AS$79:$AZ$79)="EMPTY")+(UPPER($AS$79:$AZ$79)="(EMPTY)"))&gt;0,IFERROR(('Final Calculation Sheet'!$S$38)&amp;"","")="",ISNUMBER(SEARCH($AS$79:$AZ$79,IFERROR(('Final Calculation Sheet'!$S$38)&amp;"","")))))&gt;0),IF(COUNTIF($BI$79:$BP$79,4)=0,TRUE,SUMPRODUCT(($BI$79:$BP$79=4)*($AS$79:$AZ$79&lt;&gt;"")*IF(((UPPER($AS$79:$AZ$79)="BLANK")+(UPPER($AS$79:$AZ$79)="(BLANK)")+(UPPER($AS$79:$AZ$79)="EMPTY")+(UPPER($AS$79:$AZ$79)="(EMPTY)"))&gt;0,IFERROR(('Final Calculation Sheet'!$S$38)&amp;"","")="",ISNUMBER(SEARCH($AS$79:$AZ$79,IFERROR(('Final Calculation Sheet'!$S$38)&amp;"","")))))&gt;0),IF(COUNTIF($BI$79:$BP$79,5)=0,TRUE,SUMPRODUCT(($BI$79:$BP$79=5)*($AS$79:$AZ$79&lt;&gt;"")*IF(((UPPER($AS$79:$AZ$79)="BLANK")+(UPPER($AS$79:$AZ$79)="(BLANK)")+(UPPER($AS$79:$AZ$79)="EMPTY")+(UPPER($AS$79:$AZ$79)="(EMPTY)"))&gt;0,IFERROR(('Final Calculation Sheet'!$S$38)&amp;"","")="",ISNUMBER(SEARCH($AS$79:$AZ$79,IFERROR(('Final Calculation Sheet'!$S$38)&amp;"","")))))&gt;0),IF(COUNTIF($BI$79:$BP$79,6)=0,TRUE,SUMPRODUCT(($BI$79:$BP$79=6)*($AS$79:$AZ$79&lt;&gt;"")*IF(((UPPER($AS$79:$AZ$79)="BLANK")+(UPPER($AS$79:$AZ$79)="(BLANK)")+(UPPER($AS$79:$AZ$79)="EMPTY")+(UPPER($AS$79:$AZ$79)="(EMPTY)"))&gt;0,IFERROR(('Final Calculation Sheet'!$S$38)&amp;"","")="",ISNUMBER(SEARCH($AS$79:$AZ$79,IFERROR(('Final Calculation Sheet'!$S$38)&amp;"","")))))&gt;0),IF(COUNTIF($BI$79:$BP$79,7)=0,TRUE,SUMPRODUCT(($BI$79:$BP$79=7)*($AS$79:$AZ$79&lt;&gt;"")*IF(((UPPER($AS$79:$AZ$79)="BLANK")+(UPPER($AS$79:$AZ$79)="(BLANK)")+(UPPER($AS$79:$AZ$79)="EMPTY")+(UPPER($AS$79:$AZ$79)="(EMPTY)"))&gt;0,IFERROR(('Final Calculation Sheet'!$S$38)&amp;"","")="",ISNUMBER(SEARCH($AS$79:$AZ$79,IFERROR(('Final Calculation Sheet'!$S$38)&amp;"","")))))&gt;0),IF(COUNTIF($BI$79:$BP$79,8)=0,TRUE,SUMPRODUCT(($BI$79:$BP$79=8)*($AS$79:$AZ$79&lt;&gt;"")*IF(((UPPER($AS$79:$AZ$79)="BLANK")+(UPPER($AS$79:$AZ$79)="(BLANK)")+(UPPER($AS$79:$AZ$79)="EMPTY")+(UPPER($AS$79:$AZ$79)="(EMPTY)"))&gt;0,IFERROR(('Final Calculation Sheet'!$S$38)&amp;"","")="",ISNUMBER(SEARCH($AS$79:$AZ$79,IFERROR(('Final Calculation Sheet'!$S$38)&amp;"","")))))&gt;0))))</f>
        <v>1</v>
      </c>
      <c r="CG39">
        <f>IF($U$4="",1,--(AND(SUMPRODUCT(--($AS$80:$AZ$80&lt;&gt;""))&gt;0,IF(COUNTIF($BI$80:$BP$80,1)=0,TRUE,SUMPRODUCT(($BI$80:$BP$80=1)*($AS$80:$AZ$80&lt;&gt;"")*IF(((UPPER($AS$80:$AZ$80)="BLANK")+(UPPER($AS$80:$AZ$80)="(BLANK)")+(UPPER($AS$80:$AZ$80)="EMPTY")+(UPPER($AS$80:$AZ$80)="(EMPTY)"))&gt;0,IFERROR(('Final Calculation Sheet'!$T$38)&amp;"","")="",ISNUMBER(SEARCH($AS$80:$AZ$80,IFERROR(('Final Calculation Sheet'!$T$38)&amp;"","")))))&gt;0),IF(COUNTIF($BI$80:$BP$80,2)=0,TRUE,SUMPRODUCT(($BI$80:$BP$80=2)*($AS$80:$AZ$80&lt;&gt;"")*IF(((UPPER($AS$80:$AZ$80)="BLANK")+(UPPER($AS$80:$AZ$80)="(BLANK)")+(UPPER($AS$80:$AZ$80)="EMPTY")+(UPPER($AS$80:$AZ$80)="(EMPTY)"))&gt;0,IFERROR(('Final Calculation Sheet'!$T$38)&amp;"","")="",ISNUMBER(SEARCH($AS$80:$AZ$80,IFERROR(('Final Calculation Sheet'!$T$38)&amp;"","")))))&gt;0),IF(COUNTIF($BI$80:$BP$80,3)=0,TRUE,SUMPRODUCT(($BI$80:$BP$80=3)*($AS$80:$AZ$80&lt;&gt;"")*IF(((UPPER($AS$80:$AZ$80)="BLANK")+(UPPER($AS$80:$AZ$80)="(BLANK)")+(UPPER($AS$80:$AZ$80)="EMPTY")+(UPPER($AS$80:$AZ$80)="(EMPTY)"))&gt;0,IFERROR(('Final Calculation Sheet'!$T$38)&amp;"","")="",ISNUMBER(SEARCH($AS$80:$AZ$80,IFERROR(('Final Calculation Sheet'!$T$38)&amp;"","")))))&gt;0),IF(COUNTIF($BI$80:$BP$80,4)=0,TRUE,SUMPRODUCT(($BI$80:$BP$80=4)*($AS$80:$AZ$80&lt;&gt;"")*IF(((UPPER($AS$80:$AZ$80)="BLANK")+(UPPER($AS$80:$AZ$80)="(BLANK)")+(UPPER($AS$80:$AZ$80)="EMPTY")+(UPPER($AS$80:$AZ$80)="(EMPTY)"))&gt;0,IFERROR(('Final Calculation Sheet'!$T$38)&amp;"","")="",ISNUMBER(SEARCH($AS$80:$AZ$80,IFERROR(('Final Calculation Sheet'!$T$38)&amp;"","")))))&gt;0),IF(COUNTIF($BI$80:$BP$80,5)=0,TRUE,SUMPRODUCT(($BI$80:$BP$80=5)*($AS$80:$AZ$80&lt;&gt;"")*IF(((UPPER($AS$80:$AZ$80)="BLANK")+(UPPER($AS$80:$AZ$80)="(BLANK)")+(UPPER($AS$80:$AZ$80)="EMPTY")+(UPPER($AS$80:$AZ$80)="(EMPTY)"))&gt;0,IFERROR(('Final Calculation Sheet'!$T$38)&amp;"","")="",ISNUMBER(SEARCH($AS$80:$AZ$80,IFERROR(('Final Calculation Sheet'!$T$38)&amp;"","")))))&gt;0),IF(COUNTIF($BI$80:$BP$80,6)=0,TRUE,SUMPRODUCT(($BI$80:$BP$80=6)*($AS$80:$AZ$80&lt;&gt;"")*IF(((UPPER($AS$80:$AZ$80)="BLANK")+(UPPER($AS$80:$AZ$80)="(BLANK)")+(UPPER($AS$80:$AZ$80)="EMPTY")+(UPPER($AS$80:$AZ$80)="(EMPTY)"))&gt;0,IFERROR(('Final Calculation Sheet'!$T$38)&amp;"","")="",ISNUMBER(SEARCH($AS$80:$AZ$80,IFERROR(('Final Calculation Sheet'!$T$38)&amp;"","")))))&gt;0),IF(COUNTIF($BI$80:$BP$80,7)=0,TRUE,SUMPRODUCT(($BI$80:$BP$80=7)*($AS$80:$AZ$80&lt;&gt;"")*IF(((UPPER($AS$80:$AZ$80)="BLANK")+(UPPER($AS$80:$AZ$80)="(BLANK)")+(UPPER($AS$80:$AZ$80)="EMPTY")+(UPPER($AS$80:$AZ$80)="(EMPTY)"))&gt;0,IFERROR(('Final Calculation Sheet'!$T$38)&amp;"","")="",ISNUMBER(SEARCH($AS$80:$AZ$80,IFERROR(('Final Calculation Sheet'!$T$38)&amp;"","")))))&gt;0),IF(COUNTIF($BI$80:$BP$80,8)=0,TRUE,SUMPRODUCT(($BI$80:$BP$80=8)*($AS$80:$AZ$80&lt;&gt;"")*IF(((UPPER($AS$80:$AZ$80)="BLANK")+(UPPER($AS$80:$AZ$80)="(BLANK)")+(UPPER($AS$80:$AZ$80)="EMPTY")+(UPPER($AS$80:$AZ$80)="(EMPTY)"))&gt;0,IFERROR(('Final Calculation Sheet'!$T$38)&amp;"","")="",ISNUMBER(SEARCH($AS$80:$AZ$80,IFERROR(('Final Calculation Sheet'!$T$38)&amp;"","")))))&gt;0))))</f>
        <v>1</v>
      </c>
      <c r="CH39">
        <f>IF($V$4="",1,--(AND(SUMPRODUCT(--($AS$81:$AZ$81&lt;&gt;""))&gt;0,IF(COUNTIF($BI$81:$BP$81,1)=0,TRUE,SUMPRODUCT(($BI$81:$BP$81=1)*($AS$81:$AZ$81&lt;&gt;"")*IF(((UPPER($AS$81:$AZ$81)="BLANK")+(UPPER($AS$81:$AZ$81)="(BLANK)")+(UPPER($AS$81:$AZ$81)="EMPTY")+(UPPER($AS$81:$AZ$81)="(EMPTY)"))&gt;0,IFERROR(('Final Calculation Sheet'!$U$38)&amp;"","")="",ISNUMBER(SEARCH($AS$81:$AZ$81,IFERROR(('Final Calculation Sheet'!$U$38)&amp;"","")))))&gt;0),IF(COUNTIF($BI$81:$BP$81,2)=0,TRUE,SUMPRODUCT(($BI$81:$BP$81=2)*($AS$81:$AZ$81&lt;&gt;"")*IF(((UPPER($AS$81:$AZ$81)="BLANK")+(UPPER($AS$81:$AZ$81)="(BLANK)")+(UPPER($AS$81:$AZ$81)="EMPTY")+(UPPER($AS$81:$AZ$81)="(EMPTY)"))&gt;0,IFERROR(('Final Calculation Sheet'!$U$38)&amp;"","")="",ISNUMBER(SEARCH($AS$81:$AZ$81,IFERROR(('Final Calculation Sheet'!$U$38)&amp;"","")))))&gt;0),IF(COUNTIF($BI$81:$BP$81,3)=0,TRUE,SUMPRODUCT(($BI$81:$BP$81=3)*($AS$81:$AZ$81&lt;&gt;"")*IF(((UPPER($AS$81:$AZ$81)="BLANK")+(UPPER($AS$81:$AZ$81)="(BLANK)")+(UPPER($AS$81:$AZ$81)="EMPTY")+(UPPER($AS$81:$AZ$81)="(EMPTY)"))&gt;0,IFERROR(('Final Calculation Sheet'!$U$38)&amp;"","")="",ISNUMBER(SEARCH($AS$81:$AZ$81,IFERROR(('Final Calculation Sheet'!$U$38)&amp;"","")))))&gt;0),IF(COUNTIF($BI$81:$BP$81,4)=0,TRUE,SUMPRODUCT(($BI$81:$BP$81=4)*($AS$81:$AZ$81&lt;&gt;"")*IF(((UPPER($AS$81:$AZ$81)="BLANK")+(UPPER($AS$81:$AZ$81)="(BLANK)")+(UPPER($AS$81:$AZ$81)="EMPTY")+(UPPER($AS$81:$AZ$81)="(EMPTY)"))&gt;0,IFERROR(('Final Calculation Sheet'!$U$38)&amp;"","")="",ISNUMBER(SEARCH($AS$81:$AZ$81,IFERROR(('Final Calculation Sheet'!$U$38)&amp;"","")))))&gt;0),IF(COUNTIF($BI$81:$BP$81,5)=0,TRUE,SUMPRODUCT(($BI$81:$BP$81=5)*($AS$81:$AZ$81&lt;&gt;"")*IF(((UPPER($AS$81:$AZ$81)="BLANK")+(UPPER($AS$81:$AZ$81)="(BLANK)")+(UPPER($AS$81:$AZ$81)="EMPTY")+(UPPER($AS$81:$AZ$81)="(EMPTY)"))&gt;0,IFERROR(('Final Calculation Sheet'!$U$38)&amp;"","")="",ISNUMBER(SEARCH($AS$81:$AZ$81,IFERROR(('Final Calculation Sheet'!$U$38)&amp;"","")))))&gt;0),IF(COUNTIF($BI$81:$BP$81,6)=0,TRUE,SUMPRODUCT(($BI$81:$BP$81=6)*($AS$81:$AZ$81&lt;&gt;"")*IF(((UPPER($AS$81:$AZ$81)="BLANK")+(UPPER($AS$81:$AZ$81)="(BLANK)")+(UPPER($AS$81:$AZ$81)="EMPTY")+(UPPER($AS$81:$AZ$81)="(EMPTY)"))&gt;0,IFERROR(('Final Calculation Sheet'!$U$38)&amp;"","")="",ISNUMBER(SEARCH($AS$81:$AZ$81,IFERROR(('Final Calculation Sheet'!$U$38)&amp;"","")))))&gt;0),IF(COUNTIF($BI$81:$BP$81,7)=0,TRUE,SUMPRODUCT(($BI$81:$BP$81=7)*($AS$81:$AZ$81&lt;&gt;"")*IF(((UPPER($AS$81:$AZ$81)="BLANK")+(UPPER($AS$81:$AZ$81)="(BLANK)")+(UPPER($AS$81:$AZ$81)="EMPTY")+(UPPER($AS$81:$AZ$81)="(EMPTY)"))&gt;0,IFERROR(('Final Calculation Sheet'!$U$38)&amp;"","")="",ISNUMBER(SEARCH($AS$81:$AZ$81,IFERROR(('Final Calculation Sheet'!$U$38)&amp;"","")))))&gt;0),IF(COUNTIF($BI$81:$BP$81,8)=0,TRUE,SUMPRODUCT(($BI$81:$BP$81=8)*($AS$81:$AZ$81&lt;&gt;"")*IF(((UPPER($AS$81:$AZ$81)="BLANK")+(UPPER($AS$81:$AZ$81)="(BLANK)")+(UPPER($AS$81:$AZ$81)="EMPTY")+(UPPER($AS$81:$AZ$81)="(EMPTY)"))&gt;0,IFERROR(('Final Calculation Sheet'!$U$38)&amp;"","")="",ISNUMBER(SEARCH($AS$81:$AZ$81,IFERROR(('Final Calculation Sheet'!$U$38)&amp;"","")))))&gt;0))))</f>
        <v>1</v>
      </c>
      <c r="CI39">
        <f>IF($W$4="",1,--(AND(SUMPRODUCT(--($AS$82:$AZ$82&lt;&gt;""))&gt;0,IF(COUNTIF($BI$82:$BP$82,1)=0,TRUE,SUMPRODUCT(($BI$82:$BP$82=1)*($AS$82:$AZ$82&lt;&gt;"")*IF(((UPPER($AS$82:$AZ$82)="BLANK")+(UPPER($AS$82:$AZ$82)="(BLANK)")+(UPPER($AS$82:$AZ$82)="EMPTY")+(UPPER($AS$82:$AZ$82)="(EMPTY)"))&gt;0,IFERROR(('Final Calculation Sheet'!$V$38)&amp;"","")="",ISNUMBER(SEARCH($AS$82:$AZ$82,IFERROR(('Final Calculation Sheet'!$V$38)&amp;"","")))))&gt;0),IF(COUNTIF($BI$82:$BP$82,2)=0,TRUE,SUMPRODUCT(($BI$82:$BP$82=2)*($AS$82:$AZ$82&lt;&gt;"")*IF(((UPPER($AS$82:$AZ$82)="BLANK")+(UPPER($AS$82:$AZ$82)="(BLANK)")+(UPPER($AS$82:$AZ$82)="EMPTY")+(UPPER($AS$82:$AZ$82)="(EMPTY)"))&gt;0,IFERROR(('Final Calculation Sheet'!$V$38)&amp;"","")="",ISNUMBER(SEARCH($AS$82:$AZ$82,IFERROR(('Final Calculation Sheet'!$V$38)&amp;"","")))))&gt;0),IF(COUNTIF($BI$82:$BP$82,3)=0,TRUE,SUMPRODUCT(($BI$82:$BP$82=3)*($AS$82:$AZ$82&lt;&gt;"")*IF(((UPPER($AS$82:$AZ$82)="BLANK")+(UPPER($AS$82:$AZ$82)="(BLANK)")+(UPPER($AS$82:$AZ$82)="EMPTY")+(UPPER($AS$82:$AZ$82)="(EMPTY)"))&gt;0,IFERROR(('Final Calculation Sheet'!$V$38)&amp;"","")="",ISNUMBER(SEARCH($AS$82:$AZ$82,IFERROR(('Final Calculation Sheet'!$V$38)&amp;"","")))))&gt;0),IF(COUNTIF($BI$82:$BP$82,4)=0,TRUE,SUMPRODUCT(($BI$82:$BP$82=4)*($AS$82:$AZ$82&lt;&gt;"")*IF(((UPPER($AS$82:$AZ$82)="BLANK")+(UPPER($AS$82:$AZ$82)="(BLANK)")+(UPPER($AS$82:$AZ$82)="EMPTY")+(UPPER($AS$82:$AZ$82)="(EMPTY)"))&gt;0,IFERROR(('Final Calculation Sheet'!$V$38)&amp;"","")="",ISNUMBER(SEARCH($AS$82:$AZ$82,IFERROR(('Final Calculation Sheet'!$V$38)&amp;"","")))))&gt;0),IF(COUNTIF($BI$82:$BP$82,5)=0,TRUE,SUMPRODUCT(($BI$82:$BP$82=5)*($AS$82:$AZ$82&lt;&gt;"")*IF(((UPPER($AS$82:$AZ$82)="BLANK")+(UPPER($AS$82:$AZ$82)="(BLANK)")+(UPPER($AS$82:$AZ$82)="EMPTY")+(UPPER($AS$82:$AZ$82)="(EMPTY)"))&gt;0,IFERROR(('Final Calculation Sheet'!$V$38)&amp;"","")="",ISNUMBER(SEARCH($AS$82:$AZ$82,IFERROR(('Final Calculation Sheet'!$V$38)&amp;"","")))))&gt;0),IF(COUNTIF($BI$82:$BP$82,6)=0,TRUE,SUMPRODUCT(($BI$82:$BP$82=6)*($AS$82:$AZ$82&lt;&gt;"")*IF(((UPPER($AS$82:$AZ$82)="BLANK")+(UPPER($AS$82:$AZ$82)="(BLANK)")+(UPPER($AS$82:$AZ$82)="EMPTY")+(UPPER($AS$82:$AZ$82)="(EMPTY)"))&gt;0,IFERROR(('Final Calculation Sheet'!$V$38)&amp;"","")="",ISNUMBER(SEARCH($AS$82:$AZ$82,IFERROR(('Final Calculation Sheet'!$V$38)&amp;"","")))))&gt;0),IF(COUNTIF($BI$82:$BP$82,7)=0,TRUE,SUMPRODUCT(($BI$82:$BP$82=7)*($AS$82:$AZ$82&lt;&gt;"")*IF(((UPPER($AS$82:$AZ$82)="BLANK")+(UPPER($AS$82:$AZ$82)="(BLANK)")+(UPPER($AS$82:$AZ$82)="EMPTY")+(UPPER($AS$82:$AZ$82)="(EMPTY)"))&gt;0,IFERROR(('Final Calculation Sheet'!$V$38)&amp;"","")="",ISNUMBER(SEARCH($AS$82:$AZ$82,IFERROR(('Final Calculation Sheet'!$V$38)&amp;"","")))))&gt;0),IF(COUNTIF($BI$82:$BP$82,8)=0,TRUE,SUMPRODUCT(($BI$82:$BP$82=8)*($AS$82:$AZ$82&lt;&gt;"")*IF(((UPPER($AS$82:$AZ$82)="BLANK")+(UPPER($AS$82:$AZ$82)="(BLANK)")+(UPPER($AS$82:$AZ$82)="EMPTY")+(UPPER($AS$82:$AZ$82)="(EMPTY)"))&gt;0,IFERROR(('Final Calculation Sheet'!$V$38)&amp;"","")="",ISNUMBER(SEARCH($AS$82:$AZ$82,IFERROR(('Final Calculation Sheet'!$V$38)&amp;"","")))))&gt;0))))</f>
        <v>1</v>
      </c>
      <c r="CJ39">
        <f>IF($X$4="",1,--(AND(SUMPRODUCT(--($AS$83:$AZ$83&lt;&gt;""))&gt;0,IF(COUNTIF($BI$83:$BP$83,1)=0,TRUE,SUMPRODUCT(($BI$83:$BP$83=1)*($AS$83:$AZ$83&lt;&gt;"")*IF(((UPPER($AS$83:$AZ$83)="BLANK")+(UPPER($AS$83:$AZ$83)="(BLANK)")+(UPPER($AS$83:$AZ$83)="EMPTY")+(UPPER($AS$83:$AZ$83)="(EMPTY)"))&gt;0,IFERROR(('Final Calculation Sheet'!$W$38)&amp;"","")="",ISNUMBER(SEARCH($AS$83:$AZ$83,IFERROR(('Final Calculation Sheet'!$W$38)&amp;"","")))))&gt;0),IF(COUNTIF($BI$83:$BP$83,2)=0,TRUE,SUMPRODUCT(($BI$83:$BP$83=2)*($AS$83:$AZ$83&lt;&gt;"")*IF(((UPPER($AS$83:$AZ$83)="BLANK")+(UPPER($AS$83:$AZ$83)="(BLANK)")+(UPPER($AS$83:$AZ$83)="EMPTY")+(UPPER($AS$83:$AZ$83)="(EMPTY)"))&gt;0,IFERROR(('Final Calculation Sheet'!$W$38)&amp;"","")="",ISNUMBER(SEARCH($AS$83:$AZ$83,IFERROR(('Final Calculation Sheet'!$W$38)&amp;"","")))))&gt;0),IF(COUNTIF($BI$83:$BP$83,3)=0,TRUE,SUMPRODUCT(($BI$83:$BP$83=3)*($AS$83:$AZ$83&lt;&gt;"")*IF(((UPPER($AS$83:$AZ$83)="BLANK")+(UPPER($AS$83:$AZ$83)="(BLANK)")+(UPPER($AS$83:$AZ$83)="EMPTY")+(UPPER($AS$83:$AZ$83)="(EMPTY)"))&gt;0,IFERROR(('Final Calculation Sheet'!$W$38)&amp;"","")="",ISNUMBER(SEARCH($AS$83:$AZ$83,IFERROR(('Final Calculation Sheet'!$W$38)&amp;"","")))))&gt;0),IF(COUNTIF($BI$83:$BP$83,4)=0,TRUE,SUMPRODUCT(($BI$83:$BP$83=4)*($AS$83:$AZ$83&lt;&gt;"")*IF(((UPPER($AS$83:$AZ$83)="BLANK")+(UPPER($AS$83:$AZ$83)="(BLANK)")+(UPPER($AS$83:$AZ$83)="EMPTY")+(UPPER($AS$83:$AZ$83)="(EMPTY)"))&gt;0,IFERROR(('Final Calculation Sheet'!$W$38)&amp;"","")="",ISNUMBER(SEARCH($AS$83:$AZ$83,IFERROR(('Final Calculation Sheet'!$W$38)&amp;"","")))))&gt;0),IF(COUNTIF($BI$83:$BP$83,5)=0,TRUE,SUMPRODUCT(($BI$83:$BP$83=5)*($AS$83:$AZ$83&lt;&gt;"")*IF(((UPPER($AS$83:$AZ$83)="BLANK")+(UPPER($AS$83:$AZ$83)="(BLANK)")+(UPPER($AS$83:$AZ$83)="EMPTY")+(UPPER($AS$83:$AZ$83)="(EMPTY)"))&gt;0,IFERROR(('Final Calculation Sheet'!$W$38)&amp;"","")="",ISNUMBER(SEARCH($AS$83:$AZ$83,IFERROR(('Final Calculation Sheet'!$W$38)&amp;"","")))))&gt;0),IF(COUNTIF($BI$83:$BP$83,6)=0,TRUE,SUMPRODUCT(($BI$83:$BP$83=6)*($AS$83:$AZ$83&lt;&gt;"")*IF(((UPPER($AS$83:$AZ$83)="BLANK")+(UPPER($AS$83:$AZ$83)="(BLANK)")+(UPPER($AS$83:$AZ$83)="EMPTY")+(UPPER($AS$83:$AZ$83)="(EMPTY)"))&gt;0,IFERROR(('Final Calculation Sheet'!$W$38)&amp;"","")="",ISNUMBER(SEARCH($AS$83:$AZ$83,IFERROR(('Final Calculation Sheet'!$W$38)&amp;"","")))))&gt;0),IF(COUNTIF($BI$83:$BP$83,7)=0,TRUE,SUMPRODUCT(($BI$83:$BP$83=7)*($AS$83:$AZ$83&lt;&gt;"")*IF(((UPPER($AS$83:$AZ$83)="BLANK")+(UPPER($AS$83:$AZ$83)="(BLANK)")+(UPPER($AS$83:$AZ$83)="EMPTY")+(UPPER($AS$83:$AZ$83)="(EMPTY)"))&gt;0,IFERROR(('Final Calculation Sheet'!$W$38)&amp;"","")="",ISNUMBER(SEARCH($AS$83:$AZ$83,IFERROR(('Final Calculation Sheet'!$W$38)&amp;"","")))))&gt;0),IF(COUNTIF($BI$83:$BP$83,8)=0,TRUE,SUMPRODUCT(($BI$83:$BP$83=8)*($AS$83:$AZ$83&lt;&gt;"")*IF(((UPPER($AS$83:$AZ$83)="BLANK")+(UPPER($AS$83:$AZ$83)="(BLANK)")+(UPPER($AS$83:$AZ$83)="EMPTY")+(UPPER($AS$83:$AZ$83)="(EMPTY)"))&gt;0,IFERROR(('Final Calculation Sheet'!$W$38)&amp;"","")="",ISNUMBER(SEARCH($AS$83:$AZ$83,IFERROR(('Final Calculation Sheet'!$W$38)&amp;"","")))))&gt;0))))</f>
        <v>1</v>
      </c>
      <c r="CK39">
        <f>IF($Y$4="",1,--(AND(SUMPRODUCT(--($AS$84:$AZ$84&lt;&gt;""))&gt;0,IF(COUNTIF($BI$84:$BP$84,1)=0,TRUE,SUMPRODUCT(($BI$84:$BP$84=1)*($AS$84:$AZ$84&lt;&gt;"")*IF(((UPPER($AS$84:$AZ$84)="BLANK")+(UPPER($AS$84:$AZ$84)="(BLANK)")+(UPPER($AS$84:$AZ$84)="EMPTY")+(UPPER($AS$84:$AZ$84)="(EMPTY)"))&gt;0,IFERROR(('Final Calculation Sheet'!$X$38)&amp;"","")="",ISNUMBER(SEARCH($AS$84:$AZ$84,IFERROR(('Final Calculation Sheet'!$X$38)&amp;"","")))))&gt;0),IF(COUNTIF($BI$84:$BP$84,2)=0,TRUE,SUMPRODUCT(($BI$84:$BP$84=2)*($AS$84:$AZ$84&lt;&gt;"")*IF(((UPPER($AS$84:$AZ$84)="BLANK")+(UPPER($AS$84:$AZ$84)="(BLANK)")+(UPPER($AS$84:$AZ$84)="EMPTY")+(UPPER($AS$84:$AZ$84)="(EMPTY)"))&gt;0,IFERROR(('Final Calculation Sheet'!$X$38)&amp;"","")="",ISNUMBER(SEARCH($AS$84:$AZ$84,IFERROR(('Final Calculation Sheet'!$X$38)&amp;"","")))))&gt;0),IF(COUNTIF($BI$84:$BP$84,3)=0,TRUE,SUMPRODUCT(($BI$84:$BP$84=3)*($AS$84:$AZ$84&lt;&gt;"")*IF(((UPPER($AS$84:$AZ$84)="BLANK")+(UPPER($AS$84:$AZ$84)="(BLANK)")+(UPPER($AS$84:$AZ$84)="EMPTY")+(UPPER($AS$84:$AZ$84)="(EMPTY)"))&gt;0,IFERROR(('Final Calculation Sheet'!$X$38)&amp;"","")="",ISNUMBER(SEARCH($AS$84:$AZ$84,IFERROR(('Final Calculation Sheet'!$X$38)&amp;"","")))))&gt;0),IF(COUNTIF($BI$84:$BP$84,4)=0,TRUE,SUMPRODUCT(($BI$84:$BP$84=4)*($AS$84:$AZ$84&lt;&gt;"")*IF(((UPPER($AS$84:$AZ$84)="BLANK")+(UPPER($AS$84:$AZ$84)="(BLANK)")+(UPPER($AS$84:$AZ$84)="EMPTY")+(UPPER($AS$84:$AZ$84)="(EMPTY)"))&gt;0,IFERROR(('Final Calculation Sheet'!$X$38)&amp;"","")="",ISNUMBER(SEARCH($AS$84:$AZ$84,IFERROR(('Final Calculation Sheet'!$X$38)&amp;"","")))))&gt;0),IF(COUNTIF($BI$84:$BP$84,5)=0,TRUE,SUMPRODUCT(($BI$84:$BP$84=5)*($AS$84:$AZ$84&lt;&gt;"")*IF(((UPPER($AS$84:$AZ$84)="BLANK")+(UPPER($AS$84:$AZ$84)="(BLANK)")+(UPPER($AS$84:$AZ$84)="EMPTY")+(UPPER($AS$84:$AZ$84)="(EMPTY)"))&gt;0,IFERROR(('Final Calculation Sheet'!$X$38)&amp;"","")="",ISNUMBER(SEARCH($AS$84:$AZ$84,IFERROR(('Final Calculation Sheet'!$X$38)&amp;"","")))))&gt;0),IF(COUNTIF($BI$84:$BP$84,6)=0,TRUE,SUMPRODUCT(($BI$84:$BP$84=6)*($AS$84:$AZ$84&lt;&gt;"")*IF(((UPPER($AS$84:$AZ$84)="BLANK")+(UPPER($AS$84:$AZ$84)="(BLANK)")+(UPPER($AS$84:$AZ$84)="EMPTY")+(UPPER($AS$84:$AZ$84)="(EMPTY)"))&gt;0,IFERROR(('Final Calculation Sheet'!$X$38)&amp;"","")="",ISNUMBER(SEARCH($AS$84:$AZ$84,IFERROR(('Final Calculation Sheet'!$X$38)&amp;"","")))))&gt;0),IF(COUNTIF($BI$84:$BP$84,7)=0,TRUE,SUMPRODUCT(($BI$84:$BP$84=7)*($AS$84:$AZ$84&lt;&gt;"")*IF(((UPPER($AS$84:$AZ$84)="BLANK")+(UPPER($AS$84:$AZ$84)="(BLANK)")+(UPPER($AS$84:$AZ$84)="EMPTY")+(UPPER($AS$84:$AZ$84)="(EMPTY)"))&gt;0,IFERROR(('Final Calculation Sheet'!$X$38)&amp;"","")="",ISNUMBER(SEARCH($AS$84:$AZ$84,IFERROR(('Final Calculation Sheet'!$X$38)&amp;"","")))))&gt;0),IF(COUNTIF($BI$84:$BP$84,8)=0,TRUE,SUMPRODUCT(($BI$84:$BP$84=8)*($AS$84:$AZ$84&lt;&gt;"")*IF(((UPPER($AS$84:$AZ$84)="BLANK")+(UPPER($AS$84:$AZ$84)="(BLANK)")+(UPPER($AS$84:$AZ$84)="EMPTY")+(UPPER($AS$84:$AZ$84)="(EMPTY)"))&gt;0,IFERROR(('Final Calculation Sheet'!$X$38)&amp;"","")="",ISNUMBER(SEARCH($AS$84:$AZ$84,IFERROR(('Final Calculation Sheet'!$X$38)&amp;"","")))))&gt;0))))</f>
        <v>1</v>
      </c>
      <c r="CL39">
        <f>IF($Z$4="",1,--(AND(SUMPRODUCT(--($AS$85:$AZ$85&lt;&gt;""))&gt;0,IF(COUNTIF($BI$85:$BP$85,1)=0,TRUE,SUMPRODUCT(($BI$85:$BP$85=1)*($AS$85:$AZ$85&lt;&gt;"")*IF(((UPPER($AS$85:$AZ$85)="BLANK")+(UPPER($AS$85:$AZ$85)="(BLANK)")+(UPPER($AS$85:$AZ$85)="EMPTY")+(UPPER($AS$85:$AZ$85)="(EMPTY)"))&gt;0,IFERROR(('Final Calculation Sheet'!$Y$38)&amp;"","")="",ISNUMBER(SEARCH($AS$85:$AZ$85,IFERROR(('Final Calculation Sheet'!$Y$38)&amp;"","")))))&gt;0),IF(COUNTIF($BI$85:$BP$85,2)=0,TRUE,SUMPRODUCT(($BI$85:$BP$85=2)*($AS$85:$AZ$85&lt;&gt;"")*IF(((UPPER($AS$85:$AZ$85)="BLANK")+(UPPER($AS$85:$AZ$85)="(BLANK)")+(UPPER($AS$85:$AZ$85)="EMPTY")+(UPPER($AS$85:$AZ$85)="(EMPTY)"))&gt;0,IFERROR(('Final Calculation Sheet'!$Y$38)&amp;"","")="",ISNUMBER(SEARCH($AS$85:$AZ$85,IFERROR(('Final Calculation Sheet'!$Y$38)&amp;"","")))))&gt;0),IF(COUNTIF($BI$85:$BP$85,3)=0,TRUE,SUMPRODUCT(($BI$85:$BP$85=3)*($AS$85:$AZ$85&lt;&gt;"")*IF(((UPPER($AS$85:$AZ$85)="BLANK")+(UPPER($AS$85:$AZ$85)="(BLANK)")+(UPPER($AS$85:$AZ$85)="EMPTY")+(UPPER($AS$85:$AZ$85)="(EMPTY)"))&gt;0,IFERROR(('Final Calculation Sheet'!$Y$38)&amp;"","")="",ISNUMBER(SEARCH($AS$85:$AZ$85,IFERROR(('Final Calculation Sheet'!$Y$38)&amp;"","")))))&gt;0),IF(COUNTIF($BI$85:$BP$85,4)=0,TRUE,SUMPRODUCT(($BI$85:$BP$85=4)*($AS$85:$AZ$85&lt;&gt;"")*IF(((UPPER($AS$85:$AZ$85)="BLANK")+(UPPER($AS$85:$AZ$85)="(BLANK)")+(UPPER($AS$85:$AZ$85)="EMPTY")+(UPPER($AS$85:$AZ$85)="(EMPTY)"))&gt;0,IFERROR(('Final Calculation Sheet'!$Y$38)&amp;"","")="",ISNUMBER(SEARCH($AS$85:$AZ$85,IFERROR(('Final Calculation Sheet'!$Y$38)&amp;"","")))))&gt;0),IF(COUNTIF($BI$85:$BP$85,5)=0,TRUE,SUMPRODUCT(($BI$85:$BP$85=5)*($AS$85:$AZ$85&lt;&gt;"")*IF(((UPPER($AS$85:$AZ$85)="BLANK")+(UPPER($AS$85:$AZ$85)="(BLANK)")+(UPPER($AS$85:$AZ$85)="EMPTY")+(UPPER($AS$85:$AZ$85)="(EMPTY)"))&gt;0,IFERROR(('Final Calculation Sheet'!$Y$38)&amp;"","")="",ISNUMBER(SEARCH($AS$85:$AZ$85,IFERROR(('Final Calculation Sheet'!$Y$38)&amp;"","")))))&gt;0),IF(COUNTIF($BI$85:$BP$85,6)=0,TRUE,SUMPRODUCT(($BI$85:$BP$85=6)*($AS$85:$AZ$85&lt;&gt;"")*IF(((UPPER($AS$85:$AZ$85)="BLANK")+(UPPER($AS$85:$AZ$85)="(BLANK)")+(UPPER($AS$85:$AZ$85)="EMPTY")+(UPPER($AS$85:$AZ$85)="(EMPTY)"))&gt;0,IFERROR(('Final Calculation Sheet'!$Y$38)&amp;"","")="",ISNUMBER(SEARCH($AS$85:$AZ$85,IFERROR(('Final Calculation Sheet'!$Y$38)&amp;"","")))))&gt;0),IF(COUNTIF($BI$85:$BP$85,7)=0,TRUE,SUMPRODUCT(($BI$85:$BP$85=7)*($AS$85:$AZ$85&lt;&gt;"")*IF(((UPPER($AS$85:$AZ$85)="BLANK")+(UPPER($AS$85:$AZ$85)="(BLANK)")+(UPPER($AS$85:$AZ$85)="EMPTY")+(UPPER($AS$85:$AZ$85)="(EMPTY)"))&gt;0,IFERROR(('Final Calculation Sheet'!$Y$38)&amp;"","")="",ISNUMBER(SEARCH($AS$85:$AZ$85,IFERROR(('Final Calculation Sheet'!$Y$38)&amp;"","")))))&gt;0),IF(COUNTIF($BI$85:$BP$85,8)=0,TRUE,SUMPRODUCT(($BI$85:$BP$85=8)*($AS$85:$AZ$85&lt;&gt;"")*IF(((UPPER($AS$85:$AZ$85)="BLANK")+(UPPER($AS$85:$AZ$85)="(BLANK)")+(UPPER($AS$85:$AZ$85)="EMPTY")+(UPPER($AS$85:$AZ$85)="(EMPTY)"))&gt;0,IFERROR(('Final Calculation Sheet'!$Y$38)&amp;"","")="",ISNUMBER(SEARCH($AS$85:$AZ$85,IFERROR(('Final Calculation Sheet'!$Y$38)&amp;"","")))))&gt;0))))</f>
        <v>1</v>
      </c>
      <c r="CM39">
        <f>IF($AA$4="",1,--(AND(SUMPRODUCT(--($AS$86:$AZ$86&lt;&gt;""))&gt;0,IF(COUNTIF($BI$86:$BP$86,1)=0,TRUE,SUMPRODUCT(($BI$86:$BP$86=1)*($AS$86:$AZ$86&lt;&gt;"")*IF(((UPPER($AS$86:$AZ$86)="BLANK")+(UPPER($AS$86:$AZ$86)="(BLANK)")+(UPPER($AS$86:$AZ$86)="EMPTY")+(UPPER($AS$86:$AZ$86)="(EMPTY)"))&gt;0,IFERROR(('Final Calculation Sheet'!$Z$38)&amp;"","")="",ISNUMBER(SEARCH($AS$86:$AZ$86,IFERROR(('Final Calculation Sheet'!$Z$38)&amp;"","")))))&gt;0),IF(COUNTIF($BI$86:$BP$86,2)=0,TRUE,SUMPRODUCT(($BI$86:$BP$86=2)*($AS$86:$AZ$86&lt;&gt;"")*IF(((UPPER($AS$86:$AZ$86)="BLANK")+(UPPER($AS$86:$AZ$86)="(BLANK)")+(UPPER($AS$86:$AZ$86)="EMPTY")+(UPPER($AS$86:$AZ$86)="(EMPTY)"))&gt;0,IFERROR(('Final Calculation Sheet'!$Z$38)&amp;"","")="",ISNUMBER(SEARCH($AS$86:$AZ$86,IFERROR(('Final Calculation Sheet'!$Z$38)&amp;"","")))))&gt;0),IF(COUNTIF($BI$86:$BP$86,3)=0,TRUE,SUMPRODUCT(($BI$86:$BP$86=3)*($AS$86:$AZ$86&lt;&gt;"")*IF(((UPPER($AS$86:$AZ$86)="BLANK")+(UPPER($AS$86:$AZ$86)="(BLANK)")+(UPPER($AS$86:$AZ$86)="EMPTY")+(UPPER($AS$86:$AZ$86)="(EMPTY)"))&gt;0,IFERROR(('Final Calculation Sheet'!$Z$38)&amp;"","")="",ISNUMBER(SEARCH($AS$86:$AZ$86,IFERROR(('Final Calculation Sheet'!$Z$38)&amp;"","")))))&gt;0),IF(COUNTIF($BI$86:$BP$86,4)=0,TRUE,SUMPRODUCT(($BI$86:$BP$86=4)*($AS$86:$AZ$86&lt;&gt;"")*IF(((UPPER($AS$86:$AZ$86)="BLANK")+(UPPER($AS$86:$AZ$86)="(BLANK)")+(UPPER($AS$86:$AZ$86)="EMPTY")+(UPPER($AS$86:$AZ$86)="(EMPTY)"))&gt;0,IFERROR(('Final Calculation Sheet'!$Z$38)&amp;"","")="",ISNUMBER(SEARCH($AS$86:$AZ$86,IFERROR(('Final Calculation Sheet'!$Z$38)&amp;"","")))))&gt;0),IF(COUNTIF($BI$86:$BP$86,5)=0,TRUE,SUMPRODUCT(($BI$86:$BP$86=5)*($AS$86:$AZ$86&lt;&gt;"")*IF(((UPPER($AS$86:$AZ$86)="BLANK")+(UPPER($AS$86:$AZ$86)="(BLANK)")+(UPPER($AS$86:$AZ$86)="EMPTY")+(UPPER($AS$86:$AZ$86)="(EMPTY)"))&gt;0,IFERROR(('Final Calculation Sheet'!$Z$38)&amp;"","")="",ISNUMBER(SEARCH($AS$86:$AZ$86,IFERROR(('Final Calculation Sheet'!$Z$38)&amp;"","")))))&gt;0),IF(COUNTIF($BI$86:$BP$86,6)=0,TRUE,SUMPRODUCT(($BI$86:$BP$86=6)*($AS$86:$AZ$86&lt;&gt;"")*IF(((UPPER($AS$86:$AZ$86)="BLANK")+(UPPER($AS$86:$AZ$86)="(BLANK)")+(UPPER($AS$86:$AZ$86)="EMPTY")+(UPPER($AS$86:$AZ$86)="(EMPTY)"))&gt;0,IFERROR(('Final Calculation Sheet'!$Z$38)&amp;"","")="",ISNUMBER(SEARCH($AS$86:$AZ$86,IFERROR(('Final Calculation Sheet'!$Z$38)&amp;"","")))))&gt;0),IF(COUNTIF($BI$86:$BP$86,7)=0,TRUE,SUMPRODUCT(($BI$86:$BP$86=7)*($AS$86:$AZ$86&lt;&gt;"")*IF(((UPPER($AS$86:$AZ$86)="BLANK")+(UPPER($AS$86:$AZ$86)="(BLANK)")+(UPPER($AS$86:$AZ$86)="EMPTY")+(UPPER($AS$86:$AZ$86)="(EMPTY)"))&gt;0,IFERROR(('Final Calculation Sheet'!$Z$38)&amp;"","")="",ISNUMBER(SEARCH($AS$86:$AZ$86,IFERROR(('Final Calculation Sheet'!$Z$38)&amp;"","")))))&gt;0),IF(COUNTIF($BI$86:$BP$86,8)=0,TRUE,SUMPRODUCT(($BI$86:$BP$86=8)*($AS$86:$AZ$86&lt;&gt;"")*IF(((UPPER($AS$86:$AZ$86)="BLANK")+(UPPER($AS$86:$AZ$86)="(BLANK)")+(UPPER($AS$86:$AZ$86)="EMPTY")+(UPPER($AS$86:$AZ$86)="(EMPTY)"))&gt;0,IFERROR(('Final Calculation Sheet'!$Z$38)&amp;"","")="",ISNUMBER(SEARCH($AS$86:$AZ$86,IFERROR(('Final Calculation Sheet'!$Z$38)&amp;"","")))))&gt;0))))</f>
        <v>1</v>
      </c>
      <c r="CN39">
        <f>IF($AB$4="",1,--(AND(SUMPRODUCT(--($AS$87:$AZ$87&lt;&gt;""))&gt;0,IF(COUNTIF($BI$87:$BP$87,1)=0,TRUE,SUMPRODUCT(($BI$87:$BP$87=1)*($AS$87:$AZ$87&lt;&gt;"")*IF(((UPPER($AS$87:$AZ$87)="BLANK")+(UPPER($AS$87:$AZ$87)="(BLANK)")+(UPPER($AS$87:$AZ$87)="EMPTY")+(UPPER($AS$87:$AZ$87)="(EMPTY)"))&gt;0,IFERROR(('Final Calculation Sheet'!$AA$38)&amp;"","")="",ISNUMBER(SEARCH($AS$87:$AZ$87,IFERROR(('Final Calculation Sheet'!$AA$38)&amp;"","")))))&gt;0),IF(COUNTIF($BI$87:$BP$87,2)=0,TRUE,SUMPRODUCT(($BI$87:$BP$87=2)*($AS$87:$AZ$87&lt;&gt;"")*IF(((UPPER($AS$87:$AZ$87)="BLANK")+(UPPER($AS$87:$AZ$87)="(BLANK)")+(UPPER($AS$87:$AZ$87)="EMPTY")+(UPPER($AS$87:$AZ$87)="(EMPTY)"))&gt;0,IFERROR(('Final Calculation Sheet'!$AA$38)&amp;"","")="",ISNUMBER(SEARCH($AS$87:$AZ$87,IFERROR(('Final Calculation Sheet'!$AA$38)&amp;"","")))))&gt;0),IF(COUNTIF($BI$87:$BP$87,3)=0,TRUE,SUMPRODUCT(($BI$87:$BP$87=3)*($AS$87:$AZ$87&lt;&gt;"")*IF(((UPPER($AS$87:$AZ$87)="BLANK")+(UPPER($AS$87:$AZ$87)="(BLANK)")+(UPPER($AS$87:$AZ$87)="EMPTY")+(UPPER($AS$87:$AZ$87)="(EMPTY)"))&gt;0,IFERROR(('Final Calculation Sheet'!$AA$38)&amp;"","")="",ISNUMBER(SEARCH($AS$87:$AZ$87,IFERROR(('Final Calculation Sheet'!$AA$38)&amp;"","")))))&gt;0),IF(COUNTIF($BI$87:$BP$87,4)=0,TRUE,SUMPRODUCT(($BI$87:$BP$87=4)*($AS$87:$AZ$87&lt;&gt;"")*IF(((UPPER($AS$87:$AZ$87)="BLANK")+(UPPER($AS$87:$AZ$87)="(BLANK)")+(UPPER($AS$87:$AZ$87)="EMPTY")+(UPPER($AS$87:$AZ$87)="(EMPTY)"))&gt;0,IFERROR(('Final Calculation Sheet'!$AA$38)&amp;"","")="",ISNUMBER(SEARCH($AS$87:$AZ$87,IFERROR(('Final Calculation Sheet'!$AA$38)&amp;"","")))))&gt;0),IF(COUNTIF($BI$87:$BP$87,5)=0,TRUE,SUMPRODUCT(($BI$87:$BP$87=5)*($AS$87:$AZ$87&lt;&gt;"")*IF(((UPPER($AS$87:$AZ$87)="BLANK")+(UPPER($AS$87:$AZ$87)="(BLANK)")+(UPPER($AS$87:$AZ$87)="EMPTY")+(UPPER($AS$87:$AZ$87)="(EMPTY)"))&gt;0,IFERROR(('Final Calculation Sheet'!$AA$38)&amp;"","")="",ISNUMBER(SEARCH($AS$87:$AZ$87,IFERROR(('Final Calculation Sheet'!$AA$38)&amp;"","")))))&gt;0),IF(COUNTIF($BI$87:$BP$87,6)=0,TRUE,SUMPRODUCT(($BI$87:$BP$87=6)*($AS$87:$AZ$87&lt;&gt;"")*IF(((UPPER($AS$87:$AZ$87)="BLANK")+(UPPER($AS$87:$AZ$87)="(BLANK)")+(UPPER($AS$87:$AZ$87)="EMPTY")+(UPPER($AS$87:$AZ$87)="(EMPTY)"))&gt;0,IFERROR(('Final Calculation Sheet'!$AA$38)&amp;"","")="",ISNUMBER(SEARCH($AS$87:$AZ$87,IFERROR(('Final Calculation Sheet'!$AA$38)&amp;"","")))))&gt;0),IF(COUNTIF($BI$87:$BP$87,7)=0,TRUE,SUMPRODUCT(($BI$87:$BP$87=7)*($AS$87:$AZ$87&lt;&gt;"")*IF(((UPPER($AS$87:$AZ$87)="BLANK")+(UPPER($AS$87:$AZ$87)="(BLANK)")+(UPPER($AS$87:$AZ$87)="EMPTY")+(UPPER($AS$87:$AZ$87)="(EMPTY)"))&gt;0,IFERROR(('Final Calculation Sheet'!$AA$38)&amp;"","")="",ISNUMBER(SEARCH($AS$87:$AZ$87,IFERROR(('Final Calculation Sheet'!$AA$38)&amp;"","")))))&gt;0),IF(COUNTIF($BI$87:$BP$87,8)=0,TRUE,SUMPRODUCT(($BI$87:$BP$87=8)*($AS$87:$AZ$87&lt;&gt;"")*IF(((UPPER($AS$87:$AZ$87)="BLANK")+(UPPER($AS$87:$AZ$87)="(BLANK)")+(UPPER($AS$87:$AZ$87)="EMPTY")+(UPPER($AS$87:$AZ$87)="(EMPTY)"))&gt;0,IFERROR(('Final Calculation Sheet'!$AA$38)&amp;"","")="",ISNUMBER(SEARCH($AS$87:$AZ$87,IFERROR(('Final Calculation Sheet'!$AA$38)&amp;"","")))))&gt;0))))</f>
        <v>1</v>
      </c>
      <c r="CO39">
        <f>IF($AC$4="",1,--(AND(SUMPRODUCT(--($AS$88:$AZ$88&lt;&gt;""))&gt;0,IF(COUNTIF($BI$88:$BP$88,1)=0,TRUE,SUMPRODUCT(($BI$88:$BP$88=1)*($AS$88:$AZ$88&lt;&gt;"")*IF(((UPPER($AS$88:$AZ$88)="BLANK")+(UPPER($AS$88:$AZ$88)="(BLANK)")+(UPPER($AS$88:$AZ$88)="EMPTY")+(UPPER($AS$88:$AZ$88)="(EMPTY)"))&gt;0,IFERROR(('Final Calculation Sheet'!$AB$38)&amp;"","")="",ISNUMBER(SEARCH($AS$88:$AZ$88,IFERROR(('Final Calculation Sheet'!$AB$38)&amp;"","")))))&gt;0),IF(COUNTIF($BI$88:$BP$88,2)=0,TRUE,SUMPRODUCT(($BI$88:$BP$88=2)*($AS$88:$AZ$88&lt;&gt;"")*IF(((UPPER($AS$88:$AZ$88)="BLANK")+(UPPER($AS$88:$AZ$88)="(BLANK)")+(UPPER($AS$88:$AZ$88)="EMPTY")+(UPPER($AS$88:$AZ$88)="(EMPTY)"))&gt;0,IFERROR(('Final Calculation Sheet'!$AB$38)&amp;"","")="",ISNUMBER(SEARCH($AS$88:$AZ$88,IFERROR(('Final Calculation Sheet'!$AB$38)&amp;"","")))))&gt;0),IF(COUNTIF($BI$88:$BP$88,3)=0,TRUE,SUMPRODUCT(($BI$88:$BP$88=3)*($AS$88:$AZ$88&lt;&gt;"")*IF(((UPPER($AS$88:$AZ$88)="BLANK")+(UPPER($AS$88:$AZ$88)="(BLANK)")+(UPPER($AS$88:$AZ$88)="EMPTY")+(UPPER($AS$88:$AZ$88)="(EMPTY)"))&gt;0,IFERROR(('Final Calculation Sheet'!$AB$38)&amp;"","")="",ISNUMBER(SEARCH($AS$88:$AZ$88,IFERROR(('Final Calculation Sheet'!$AB$38)&amp;"","")))))&gt;0),IF(COUNTIF($BI$88:$BP$88,4)=0,TRUE,SUMPRODUCT(($BI$88:$BP$88=4)*($AS$88:$AZ$88&lt;&gt;"")*IF(((UPPER($AS$88:$AZ$88)="BLANK")+(UPPER($AS$88:$AZ$88)="(BLANK)")+(UPPER($AS$88:$AZ$88)="EMPTY")+(UPPER($AS$88:$AZ$88)="(EMPTY)"))&gt;0,IFERROR(('Final Calculation Sheet'!$AB$38)&amp;"","")="",ISNUMBER(SEARCH($AS$88:$AZ$88,IFERROR(('Final Calculation Sheet'!$AB$38)&amp;"","")))))&gt;0),IF(COUNTIF($BI$88:$BP$88,5)=0,TRUE,SUMPRODUCT(($BI$88:$BP$88=5)*($AS$88:$AZ$88&lt;&gt;"")*IF(((UPPER($AS$88:$AZ$88)="BLANK")+(UPPER($AS$88:$AZ$88)="(BLANK)")+(UPPER($AS$88:$AZ$88)="EMPTY")+(UPPER($AS$88:$AZ$88)="(EMPTY)"))&gt;0,IFERROR(('Final Calculation Sheet'!$AB$38)&amp;"","")="",ISNUMBER(SEARCH($AS$88:$AZ$88,IFERROR(('Final Calculation Sheet'!$AB$38)&amp;"","")))))&gt;0),IF(COUNTIF($BI$88:$BP$88,6)=0,TRUE,SUMPRODUCT(($BI$88:$BP$88=6)*($AS$88:$AZ$88&lt;&gt;"")*IF(((UPPER($AS$88:$AZ$88)="BLANK")+(UPPER($AS$88:$AZ$88)="(BLANK)")+(UPPER($AS$88:$AZ$88)="EMPTY")+(UPPER($AS$88:$AZ$88)="(EMPTY)"))&gt;0,IFERROR(('Final Calculation Sheet'!$AB$38)&amp;"","")="",ISNUMBER(SEARCH($AS$88:$AZ$88,IFERROR(('Final Calculation Sheet'!$AB$38)&amp;"","")))))&gt;0),IF(COUNTIF($BI$88:$BP$88,7)=0,TRUE,SUMPRODUCT(($BI$88:$BP$88=7)*($AS$88:$AZ$88&lt;&gt;"")*IF(((UPPER($AS$88:$AZ$88)="BLANK")+(UPPER($AS$88:$AZ$88)="(BLANK)")+(UPPER($AS$88:$AZ$88)="EMPTY")+(UPPER($AS$88:$AZ$88)="(EMPTY)"))&gt;0,IFERROR(('Final Calculation Sheet'!$AB$38)&amp;"","")="",ISNUMBER(SEARCH($AS$88:$AZ$88,IFERROR(('Final Calculation Sheet'!$AB$38)&amp;"","")))))&gt;0),IF(COUNTIF($BI$88:$BP$88,8)=0,TRUE,SUMPRODUCT(($BI$88:$BP$88=8)*($AS$88:$AZ$88&lt;&gt;"")*IF(((UPPER($AS$88:$AZ$88)="BLANK")+(UPPER($AS$88:$AZ$88)="(BLANK)")+(UPPER($AS$88:$AZ$88)="EMPTY")+(UPPER($AS$88:$AZ$88)="(EMPTY)"))&gt;0,IFERROR(('Final Calculation Sheet'!$AB$38)&amp;"","")="",ISNUMBER(SEARCH($AS$88:$AZ$88,IFERROR(('Final Calculation Sheet'!$AB$38)&amp;"","")))))&gt;0))))</f>
        <v>1</v>
      </c>
      <c r="CP39">
        <f>IF($AD$4="",1,--(AND(SUMPRODUCT(--($AS$89:$AZ$89&lt;&gt;""))&gt;0,IF(COUNTIF($BI$89:$BP$89,1)=0,TRUE,SUMPRODUCT(($BI$89:$BP$89=1)*($AS$89:$AZ$89&lt;&gt;"")*IF(((UPPER($AS$89:$AZ$89)="BLANK")+(UPPER($AS$89:$AZ$89)="(BLANK)")+(UPPER($AS$89:$AZ$89)="EMPTY")+(UPPER($AS$89:$AZ$89)="(EMPTY)"))&gt;0,IFERROR(('Final Calculation Sheet'!$AC$38)&amp;"","")="",ISNUMBER(SEARCH($AS$89:$AZ$89,IFERROR(('Final Calculation Sheet'!$AC$38)&amp;"","")))))&gt;0),IF(COUNTIF($BI$89:$BP$89,2)=0,TRUE,SUMPRODUCT(($BI$89:$BP$89=2)*($AS$89:$AZ$89&lt;&gt;"")*IF(((UPPER($AS$89:$AZ$89)="BLANK")+(UPPER($AS$89:$AZ$89)="(BLANK)")+(UPPER($AS$89:$AZ$89)="EMPTY")+(UPPER($AS$89:$AZ$89)="(EMPTY)"))&gt;0,IFERROR(('Final Calculation Sheet'!$AC$38)&amp;"","")="",ISNUMBER(SEARCH($AS$89:$AZ$89,IFERROR(('Final Calculation Sheet'!$AC$38)&amp;"","")))))&gt;0),IF(COUNTIF($BI$89:$BP$89,3)=0,TRUE,SUMPRODUCT(($BI$89:$BP$89=3)*($AS$89:$AZ$89&lt;&gt;"")*IF(((UPPER($AS$89:$AZ$89)="BLANK")+(UPPER($AS$89:$AZ$89)="(BLANK)")+(UPPER($AS$89:$AZ$89)="EMPTY")+(UPPER($AS$89:$AZ$89)="(EMPTY)"))&gt;0,IFERROR(('Final Calculation Sheet'!$AC$38)&amp;"","")="",ISNUMBER(SEARCH($AS$89:$AZ$89,IFERROR(('Final Calculation Sheet'!$AC$38)&amp;"","")))))&gt;0),IF(COUNTIF($BI$89:$BP$89,4)=0,TRUE,SUMPRODUCT(($BI$89:$BP$89=4)*($AS$89:$AZ$89&lt;&gt;"")*IF(((UPPER($AS$89:$AZ$89)="BLANK")+(UPPER($AS$89:$AZ$89)="(BLANK)")+(UPPER($AS$89:$AZ$89)="EMPTY")+(UPPER($AS$89:$AZ$89)="(EMPTY)"))&gt;0,IFERROR(('Final Calculation Sheet'!$AC$38)&amp;"","")="",ISNUMBER(SEARCH($AS$89:$AZ$89,IFERROR(('Final Calculation Sheet'!$AC$38)&amp;"","")))))&gt;0),IF(COUNTIF($BI$89:$BP$89,5)=0,TRUE,SUMPRODUCT(($BI$89:$BP$89=5)*($AS$89:$AZ$89&lt;&gt;"")*IF(((UPPER($AS$89:$AZ$89)="BLANK")+(UPPER($AS$89:$AZ$89)="(BLANK)")+(UPPER($AS$89:$AZ$89)="EMPTY")+(UPPER($AS$89:$AZ$89)="(EMPTY)"))&gt;0,IFERROR(('Final Calculation Sheet'!$AC$38)&amp;"","")="",ISNUMBER(SEARCH($AS$89:$AZ$89,IFERROR(('Final Calculation Sheet'!$AC$38)&amp;"","")))))&gt;0),IF(COUNTIF($BI$89:$BP$89,6)=0,TRUE,SUMPRODUCT(($BI$89:$BP$89=6)*($AS$89:$AZ$89&lt;&gt;"")*IF(((UPPER($AS$89:$AZ$89)="BLANK")+(UPPER($AS$89:$AZ$89)="(BLANK)")+(UPPER($AS$89:$AZ$89)="EMPTY")+(UPPER($AS$89:$AZ$89)="(EMPTY)"))&gt;0,IFERROR(('Final Calculation Sheet'!$AC$38)&amp;"","")="",ISNUMBER(SEARCH($AS$89:$AZ$89,IFERROR(('Final Calculation Sheet'!$AC$38)&amp;"","")))))&gt;0),IF(COUNTIF($BI$89:$BP$89,7)=0,TRUE,SUMPRODUCT(($BI$89:$BP$89=7)*($AS$89:$AZ$89&lt;&gt;"")*IF(((UPPER($AS$89:$AZ$89)="BLANK")+(UPPER($AS$89:$AZ$89)="(BLANK)")+(UPPER($AS$89:$AZ$89)="EMPTY")+(UPPER($AS$89:$AZ$89)="(EMPTY)"))&gt;0,IFERROR(('Final Calculation Sheet'!$AC$38)&amp;"","")="",ISNUMBER(SEARCH($AS$89:$AZ$89,IFERROR(('Final Calculation Sheet'!$AC$38)&amp;"","")))))&gt;0),IF(COUNTIF($BI$89:$BP$89,8)=0,TRUE,SUMPRODUCT(($BI$89:$BP$89=8)*($AS$89:$AZ$89&lt;&gt;"")*IF(((UPPER($AS$89:$AZ$89)="BLANK")+(UPPER($AS$89:$AZ$89)="(BLANK)")+(UPPER($AS$89:$AZ$89)="EMPTY")+(UPPER($AS$89:$AZ$89)="(EMPTY)"))&gt;0,IFERROR(('Final Calculation Sheet'!$AC$38)&amp;"","")="",ISNUMBER(SEARCH($AS$89:$AZ$89,IFERROR(('Final Calculation Sheet'!$AC$38)&amp;"","")))))&gt;0))))</f>
        <v>1</v>
      </c>
      <c r="CQ39">
        <f>IF($AE$4="",1,--(AND(SUMPRODUCT(--($AS$90:$AZ$90&lt;&gt;""))&gt;0,IF(COUNTIF($BI$90:$BP$90,1)=0,TRUE,SUMPRODUCT(($BI$90:$BP$90=1)*($AS$90:$AZ$90&lt;&gt;"")*IF(((UPPER($AS$90:$AZ$90)="BLANK")+(UPPER($AS$90:$AZ$90)="(BLANK)")+(UPPER($AS$90:$AZ$90)="EMPTY")+(UPPER($AS$90:$AZ$90)="(EMPTY)"))&gt;0,IFERROR(('Final Calculation Sheet'!$AD$38)&amp;"","")="",ISNUMBER(SEARCH($AS$90:$AZ$90,IFERROR(('Final Calculation Sheet'!$AD$38)&amp;"","")))))&gt;0),IF(COUNTIF($BI$90:$BP$90,2)=0,TRUE,SUMPRODUCT(($BI$90:$BP$90=2)*($AS$90:$AZ$90&lt;&gt;"")*IF(((UPPER($AS$90:$AZ$90)="BLANK")+(UPPER($AS$90:$AZ$90)="(BLANK)")+(UPPER($AS$90:$AZ$90)="EMPTY")+(UPPER($AS$90:$AZ$90)="(EMPTY)"))&gt;0,IFERROR(('Final Calculation Sheet'!$AD$38)&amp;"","")="",ISNUMBER(SEARCH($AS$90:$AZ$90,IFERROR(('Final Calculation Sheet'!$AD$38)&amp;"","")))))&gt;0),IF(COUNTIF($BI$90:$BP$90,3)=0,TRUE,SUMPRODUCT(($BI$90:$BP$90=3)*($AS$90:$AZ$90&lt;&gt;"")*IF(((UPPER($AS$90:$AZ$90)="BLANK")+(UPPER($AS$90:$AZ$90)="(BLANK)")+(UPPER($AS$90:$AZ$90)="EMPTY")+(UPPER($AS$90:$AZ$90)="(EMPTY)"))&gt;0,IFERROR(('Final Calculation Sheet'!$AD$38)&amp;"","")="",ISNUMBER(SEARCH($AS$90:$AZ$90,IFERROR(('Final Calculation Sheet'!$AD$38)&amp;"","")))))&gt;0),IF(COUNTIF($BI$90:$BP$90,4)=0,TRUE,SUMPRODUCT(($BI$90:$BP$90=4)*($AS$90:$AZ$90&lt;&gt;"")*IF(((UPPER($AS$90:$AZ$90)="BLANK")+(UPPER($AS$90:$AZ$90)="(BLANK)")+(UPPER($AS$90:$AZ$90)="EMPTY")+(UPPER($AS$90:$AZ$90)="(EMPTY)"))&gt;0,IFERROR(('Final Calculation Sheet'!$AD$38)&amp;"","")="",ISNUMBER(SEARCH($AS$90:$AZ$90,IFERROR(('Final Calculation Sheet'!$AD$38)&amp;"","")))))&gt;0),IF(COUNTIF($BI$90:$BP$90,5)=0,TRUE,SUMPRODUCT(($BI$90:$BP$90=5)*($AS$90:$AZ$90&lt;&gt;"")*IF(((UPPER($AS$90:$AZ$90)="BLANK")+(UPPER($AS$90:$AZ$90)="(BLANK)")+(UPPER($AS$90:$AZ$90)="EMPTY")+(UPPER($AS$90:$AZ$90)="(EMPTY)"))&gt;0,IFERROR(('Final Calculation Sheet'!$AD$38)&amp;"","")="",ISNUMBER(SEARCH($AS$90:$AZ$90,IFERROR(('Final Calculation Sheet'!$AD$38)&amp;"","")))))&gt;0),IF(COUNTIF($BI$90:$BP$90,6)=0,TRUE,SUMPRODUCT(($BI$90:$BP$90=6)*($AS$90:$AZ$90&lt;&gt;"")*IF(((UPPER($AS$90:$AZ$90)="BLANK")+(UPPER($AS$90:$AZ$90)="(BLANK)")+(UPPER($AS$90:$AZ$90)="EMPTY")+(UPPER($AS$90:$AZ$90)="(EMPTY)"))&gt;0,IFERROR(('Final Calculation Sheet'!$AD$38)&amp;"","")="",ISNUMBER(SEARCH($AS$90:$AZ$90,IFERROR(('Final Calculation Sheet'!$AD$38)&amp;"","")))))&gt;0),IF(COUNTIF($BI$90:$BP$90,7)=0,TRUE,SUMPRODUCT(($BI$90:$BP$90=7)*($AS$90:$AZ$90&lt;&gt;"")*IF(((UPPER($AS$90:$AZ$90)="BLANK")+(UPPER($AS$90:$AZ$90)="(BLANK)")+(UPPER($AS$90:$AZ$90)="EMPTY")+(UPPER($AS$90:$AZ$90)="(EMPTY)"))&gt;0,IFERROR(('Final Calculation Sheet'!$AD$38)&amp;"","")="",ISNUMBER(SEARCH($AS$90:$AZ$90,IFERROR(('Final Calculation Sheet'!$AD$38)&amp;"","")))))&gt;0),IF(COUNTIF($BI$90:$BP$90,8)=0,TRUE,SUMPRODUCT(($BI$90:$BP$90=8)*($AS$90:$AZ$90&lt;&gt;"")*IF(((UPPER($AS$90:$AZ$90)="BLANK")+(UPPER($AS$90:$AZ$90)="(BLANK)")+(UPPER($AS$90:$AZ$90)="EMPTY")+(UPPER($AS$90:$AZ$90)="(EMPTY)"))&gt;0,IFERROR(('Final Calculation Sheet'!$AD$38)&amp;"","")="",ISNUMBER(SEARCH($AS$90:$AZ$90,IFERROR(('Final Calculation Sheet'!$AD$38)&amp;"","")))))&gt;0))))</f>
        <v>1</v>
      </c>
      <c r="CR39">
        <f>IF($AF$4="",1,--(AND(SUMPRODUCT(--($AS$91:$AZ$91&lt;&gt;""))&gt;0,IF(COUNTIF($BI$91:$BP$91,1)=0,TRUE,SUMPRODUCT(($BI$91:$BP$91=1)*($AS$91:$AZ$91&lt;&gt;"")*IF(((UPPER($AS$91:$AZ$91)="BLANK")+(UPPER($AS$91:$AZ$91)="(BLANK)")+(UPPER($AS$91:$AZ$91)="EMPTY")+(UPPER($AS$91:$AZ$91)="(EMPTY)"))&gt;0,IFERROR(('Final Calculation Sheet'!$AE$38)&amp;"","")="",ISNUMBER(SEARCH($AS$91:$AZ$91,IFERROR(('Final Calculation Sheet'!$AE$38)&amp;"","")))))&gt;0),IF(COUNTIF($BI$91:$BP$91,2)=0,TRUE,SUMPRODUCT(($BI$91:$BP$91=2)*($AS$91:$AZ$91&lt;&gt;"")*IF(((UPPER($AS$91:$AZ$91)="BLANK")+(UPPER($AS$91:$AZ$91)="(BLANK)")+(UPPER($AS$91:$AZ$91)="EMPTY")+(UPPER($AS$91:$AZ$91)="(EMPTY)"))&gt;0,IFERROR(('Final Calculation Sheet'!$AE$38)&amp;"","")="",ISNUMBER(SEARCH($AS$91:$AZ$91,IFERROR(('Final Calculation Sheet'!$AE$38)&amp;"","")))))&gt;0),IF(COUNTIF($BI$91:$BP$91,3)=0,TRUE,SUMPRODUCT(($BI$91:$BP$91=3)*($AS$91:$AZ$91&lt;&gt;"")*IF(((UPPER($AS$91:$AZ$91)="BLANK")+(UPPER($AS$91:$AZ$91)="(BLANK)")+(UPPER($AS$91:$AZ$91)="EMPTY")+(UPPER($AS$91:$AZ$91)="(EMPTY)"))&gt;0,IFERROR(('Final Calculation Sheet'!$AE$38)&amp;"","")="",ISNUMBER(SEARCH($AS$91:$AZ$91,IFERROR(('Final Calculation Sheet'!$AE$38)&amp;"","")))))&gt;0),IF(COUNTIF($BI$91:$BP$91,4)=0,TRUE,SUMPRODUCT(($BI$91:$BP$91=4)*($AS$91:$AZ$91&lt;&gt;"")*IF(((UPPER($AS$91:$AZ$91)="BLANK")+(UPPER($AS$91:$AZ$91)="(BLANK)")+(UPPER($AS$91:$AZ$91)="EMPTY")+(UPPER($AS$91:$AZ$91)="(EMPTY)"))&gt;0,IFERROR(('Final Calculation Sheet'!$AE$38)&amp;"","")="",ISNUMBER(SEARCH($AS$91:$AZ$91,IFERROR(('Final Calculation Sheet'!$AE$38)&amp;"","")))))&gt;0),IF(COUNTIF($BI$91:$BP$91,5)=0,TRUE,SUMPRODUCT(($BI$91:$BP$91=5)*($AS$91:$AZ$91&lt;&gt;"")*IF(((UPPER($AS$91:$AZ$91)="BLANK")+(UPPER($AS$91:$AZ$91)="(BLANK)")+(UPPER($AS$91:$AZ$91)="EMPTY")+(UPPER($AS$91:$AZ$91)="(EMPTY)"))&gt;0,IFERROR(('Final Calculation Sheet'!$AE$38)&amp;"","")="",ISNUMBER(SEARCH($AS$91:$AZ$91,IFERROR(('Final Calculation Sheet'!$AE$38)&amp;"","")))))&gt;0),IF(COUNTIF($BI$91:$BP$91,6)=0,TRUE,SUMPRODUCT(($BI$91:$BP$91=6)*($AS$91:$AZ$91&lt;&gt;"")*IF(((UPPER($AS$91:$AZ$91)="BLANK")+(UPPER($AS$91:$AZ$91)="(BLANK)")+(UPPER($AS$91:$AZ$91)="EMPTY")+(UPPER($AS$91:$AZ$91)="(EMPTY)"))&gt;0,IFERROR(('Final Calculation Sheet'!$AE$38)&amp;"","")="",ISNUMBER(SEARCH($AS$91:$AZ$91,IFERROR(('Final Calculation Sheet'!$AE$38)&amp;"","")))))&gt;0),IF(COUNTIF($BI$91:$BP$91,7)=0,TRUE,SUMPRODUCT(($BI$91:$BP$91=7)*($AS$91:$AZ$91&lt;&gt;"")*IF(((UPPER($AS$91:$AZ$91)="BLANK")+(UPPER($AS$91:$AZ$91)="(BLANK)")+(UPPER($AS$91:$AZ$91)="EMPTY")+(UPPER($AS$91:$AZ$91)="(EMPTY)"))&gt;0,IFERROR(('Final Calculation Sheet'!$AE$38)&amp;"","")="",ISNUMBER(SEARCH($AS$91:$AZ$91,IFERROR(('Final Calculation Sheet'!$AE$38)&amp;"","")))))&gt;0),IF(COUNTIF($BI$91:$BP$91,8)=0,TRUE,SUMPRODUCT(($BI$91:$BP$91=8)*($AS$91:$AZ$91&lt;&gt;"")*IF(((UPPER($AS$91:$AZ$91)="BLANK")+(UPPER($AS$91:$AZ$91)="(BLANK)")+(UPPER($AS$91:$AZ$91)="EMPTY")+(UPPER($AS$91:$AZ$91)="(EMPTY)"))&gt;0,IFERROR(('Final Calculation Sheet'!$AE$38)&amp;"","")="",ISNUMBER(SEARCH($AS$91:$AZ$91,IFERROR(('Final Calculation Sheet'!$AE$38)&amp;"","")))))&gt;0))))</f>
        <v>1</v>
      </c>
      <c r="CS39">
        <f>IF($AG$4="",1,--(AND(SUMPRODUCT(--($AS$92:$AZ$92&lt;&gt;""))&gt;0,IF(COUNTIF($BI$92:$BP$92,1)=0,TRUE,SUMPRODUCT(($BI$92:$BP$92=1)*($AS$92:$AZ$92&lt;&gt;"")*IF(((UPPER($AS$92:$AZ$92)="BLANK")+(UPPER($AS$92:$AZ$92)="(BLANK)")+(UPPER($AS$92:$AZ$92)="EMPTY")+(UPPER($AS$92:$AZ$92)="(EMPTY)"))&gt;0,IFERROR(('Final Calculation Sheet'!$AF$38)&amp;"","")="",ISNUMBER(SEARCH($AS$92:$AZ$92,IFERROR(('Final Calculation Sheet'!$AF$38)&amp;"","")))))&gt;0),IF(COUNTIF($BI$92:$BP$92,2)=0,TRUE,SUMPRODUCT(($BI$92:$BP$92=2)*($AS$92:$AZ$92&lt;&gt;"")*IF(((UPPER($AS$92:$AZ$92)="BLANK")+(UPPER($AS$92:$AZ$92)="(BLANK)")+(UPPER($AS$92:$AZ$92)="EMPTY")+(UPPER($AS$92:$AZ$92)="(EMPTY)"))&gt;0,IFERROR(('Final Calculation Sheet'!$AF$38)&amp;"","")="",ISNUMBER(SEARCH($AS$92:$AZ$92,IFERROR(('Final Calculation Sheet'!$AF$38)&amp;"","")))))&gt;0),IF(COUNTIF($BI$92:$BP$92,3)=0,TRUE,SUMPRODUCT(($BI$92:$BP$92=3)*($AS$92:$AZ$92&lt;&gt;"")*IF(((UPPER($AS$92:$AZ$92)="BLANK")+(UPPER($AS$92:$AZ$92)="(BLANK)")+(UPPER($AS$92:$AZ$92)="EMPTY")+(UPPER($AS$92:$AZ$92)="(EMPTY)"))&gt;0,IFERROR(('Final Calculation Sheet'!$AF$38)&amp;"","")="",ISNUMBER(SEARCH($AS$92:$AZ$92,IFERROR(('Final Calculation Sheet'!$AF$38)&amp;"","")))))&gt;0),IF(COUNTIF($BI$92:$BP$92,4)=0,TRUE,SUMPRODUCT(($BI$92:$BP$92=4)*($AS$92:$AZ$92&lt;&gt;"")*IF(((UPPER($AS$92:$AZ$92)="BLANK")+(UPPER($AS$92:$AZ$92)="(BLANK)")+(UPPER($AS$92:$AZ$92)="EMPTY")+(UPPER($AS$92:$AZ$92)="(EMPTY)"))&gt;0,IFERROR(('Final Calculation Sheet'!$AF$38)&amp;"","")="",ISNUMBER(SEARCH($AS$92:$AZ$92,IFERROR(('Final Calculation Sheet'!$AF$38)&amp;"","")))))&gt;0),IF(COUNTIF($BI$92:$BP$92,5)=0,TRUE,SUMPRODUCT(($BI$92:$BP$92=5)*($AS$92:$AZ$92&lt;&gt;"")*IF(((UPPER($AS$92:$AZ$92)="BLANK")+(UPPER($AS$92:$AZ$92)="(BLANK)")+(UPPER($AS$92:$AZ$92)="EMPTY")+(UPPER($AS$92:$AZ$92)="(EMPTY)"))&gt;0,IFERROR(('Final Calculation Sheet'!$AF$38)&amp;"","")="",ISNUMBER(SEARCH($AS$92:$AZ$92,IFERROR(('Final Calculation Sheet'!$AF$38)&amp;"","")))))&gt;0),IF(COUNTIF($BI$92:$BP$92,6)=0,TRUE,SUMPRODUCT(($BI$92:$BP$92=6)*($AS$92:$AZ$92&lt;&gt;"")*IF(((UPPER($AS$92:$AZ$92)="BLANK")+(UPPER($AS$92:$AZ$92)="(BLANK)")+(UPPER($AS$92:$AZ$92)="EMPTY")+(UPPER($AS$92:$AZ$92)="(EMPTY)"))&gt;0,IFERROR(('Final Calculation Sheet'!$AF$38)&amp;"","")="",ISNUMBER(SEARCH($AS$92:$AZ$92,IFERROR(('Final Calculation Sheet'!$AF$38)&amp;"","")))))&gt;0),IF(COUNTIF($BI$92:$BP$92,7)=0,TRUE,SUMPRODUCT(($BI$92:$BP$92=7)*($AS$92:$AZ$92&lt;&gt;"")*IF(((UPPER($AS$92:$AZ$92)="BLANK")+(UPPER($AS$92:$AZ$92)="(BLANK)")+(UPPER($AS$92:$AZ$92)="EMPTY")+(UPPER($AS$92:$AZ$92)="(EMPTY)"))&gt;0,IFERROR(('Final Calculation Sheet'!$AF$38)&amp;"","")="",ISNUMBER(SEARCH($AS$92:$AZ$92,IFERROR(('Final Calculation Sheet'!$AF$38)&amp;"","")))))&gt;0),IF(COUNTIF($BI$92:$BP$92,8)=0,TRUE,SUMPRODUCT(($BI$92:$BP$92=8)*($AS$92:$AZ$92&lt;&gt;"")*IF(((UPPER($AS$92:$AZ$92)="BLANK")+(UPPER($AS$92:$AZ$92)="(BLANK)")+(UPPER($AS$92:$AZ$92)="EMPTY")+(UPPER($AS$92:$AZ$92)="(EMPTY)"))&gt;0,IFERROR(('Final Calculation Sheet'!$AF$38)&amp;"","")="",ISNUMBER(SEARCH($AS$92:$AZ$92,IFERROR(('Final Calculation Sheet'!$AF$38)&amp;"","")))))&gt;0))))</f>
        <v>1</v>
      </c>
      <c r="CT39">
        <f>IF($AH$4="",1,--(AND(SUMPRODUCT(--($AS$93:$AZ$93&lt;&gt;""))&gt;0,IF(COUNTIF($BI$93:$BP$93,1)=0,TRUE,SUMPRODUCT(($BI$93:$BP$93=1)*($AS$93:$AZ$93&lt;&gt;"")*IF(((UPPER($AS$93:$AZ$93)="BLANK")+(UPPER($AS$93:$AZ$93)="(BLANK)")+(UPPER($AS$93:$AZ$93)="EMPTY")+(UPPER($AS$93:$AZ$93)="(EMPTY)"))&gt;0,IFERROR(('Final Calculation Sheet'!$AG$38)&amp;"","")="",ISNUMBER(SEARCH($AS$93:$AZ$93,IFERROR(('Final Calculation Sheet'!$AG$38)&amp;"","")))))&gt;0),IF(COUNTIF($BI$93:$BP$93,2)=0,TRUE,SUMPRODUCT(($BI$93:$BP$93=2)*($AS$93:$AZ$93&lt;&gt;"")*IF(((UPPER($AS$93:$AZ$93)="BLANK")+(UPPER($AS$93:$AZ$93)="(BLANK)")+(UPPER($AS$93:$AZ$93)="EMPTY")+(UPPER($AS$93:$AZ$93)="(EMPTY)"))&gt;0,IFERROR(('Final Calculation Sheet'!$AG$38)&amp;"","")="",ISNUMBER(SEARCH($AS$93:$AZ$93,IFERROR(('Final Calculation Sheet'!$AG$38)&amp;"","")))))&gt;0),IF(COUNTIF($BI$93:$BP$93,3)=0,TRUE,SUMPRODUCT(($BI$93:$BP$93=3)*($AS$93:$AZ$93&lt;&gt;"")*IF(((UPPER($AS$93:$AZ$93)="BLANK")+(UPPER($AS$93:$AZ$93)="(BLANK)")+(UPPER($AS$93:$AZ$93)="EMPTY")+(UPPER($AS$93:$AZ$93)="(EMPTY)"))&gt;0,IFERROR(('Final Calculation Sheet'!$AG$38)&amp;"","")="",ISNUMBER(SEARCH($AS$93:$AZ$93,IFERROR(('Final Calculation Sheet'!$AG$38)&amp;"","")))))&gt;0),IF(COUNTIF($BI$93:$BP$93,4)=0,TRUE,SUMPRODUCT(($BI$93:$BP$93=4)*($AS$93:$AZ$93&lt;&gt;"")*IF(((UPPER($AS$93:$AZ$93)="BLANK")+(UPPER($AS$93:$AZ$93)="(BLANK)")+(UPPER($AS$93:$AZ$93)="EMPTY")+(UPPER($AS$93:$AZ$93)="(EMPTY)"))&gt;0,IFERROR(('Final Calculation Sheet'!$AG$38)&amp;"","")="",ISNUMBER(SEARCH($AS$93:$AZ$93,IFERROR(('Final Calculation Sheet'!$AG$38)&amp;"","")))))&gt;0),IF(COUNTIF($BI$93:$BP$93,5)=0,TRUE,SUMPRODUCT(($BI$93:$BP$93=5)*($AS$93:$AZ$93&lt;&gt;"")*IF(((UPPER($AS$93:$AZ$93)="BLANK")+(UPPER($AS$93:$AZ$93)="(BLANK)")+(UPPER($AS$93:$AZ$93)="EMPTY")+(UPPER($AS$93:$AZ$93)="(EMPTY)"))&gt;0,IFERROR(('Final Calculation Sheet'!$AG$38)&amp;"","")="",ISNUMBER(SEARCH($AS$93:$AZ$93,IFERROR(('Final Calculation Sheet'!$AG$38)&amp;"","")))))&gt;0),IF(COUNTIF($BI$93:$BP$93,6)=0,TRUE,SUMPRODUCT(($BI$93:$BP$93=6)*($AS$93:$AZ$93&lt;&gt;"")*IF(((UPPER($AS$93:$AZ$93)="BLANK")+(UPPER($AS$93:$AZ$93)="(BLANK)")+(UPPER($AS$93:$AZ$93)="EMPTY")+(UPPER($AS$93:$AZ$93)="(EMPTY)"))&gt;0,IFERROR(('Final Calculation Sheet'!$AG$38)&amp;"","")="",ISNUMBER(SEARCH($AS$93:$AZ$93,IFERROR(('Final Calculation Sheet'!$AG$38)&amp;"","")))))&gt;0),IF(COUNTIF($BI$93:$BP$93,7)=0,TRUE,SUMPRODUCT(($BI$93:$BP$93=7)*($AS$93:$AZ$93&lt;&gt;"")*IF(((UPPER($AS$93:$AZ$93)="BLANK")+(UPPER($AS$93:$AZ$93)="(BLANK)")+(UPPER($AS$93:$AZ$93)="EMPTY")+(UPPER($AS$93:$AZ$93)="(EMPTY)"))&gt;0,IFERROR(('Final Calculation Sheet'!$AG$38)&amp;"","")="",ISNUMBER(SEARCH($AS$93:$AZ$93,IFERROR(('Final Calculation Sheet'!$AG$38)&amp;"","")))))&gt;0),IF(COUNTIF($BI$93:$BP$93,8)=0,TRUE,SUMPRODUCT(($BI$93:$BP$93=8)*($AS$93:$AZ$93&lt;&gt;"")*IF(((UPPER($AS$93:$AZ$93)="BLANK")+(UPPER($AS$93:$AZ$93)="(BLANK)")+(UPPER($AS$93:$AZ$93)="EMPTY")+(UPPER($AS$93:$AZ$93)="(EMPTY)"))&gt;0,IFERROR(('Final Calculation Sheet'!$AG$38)&amp;"","")="",ISNUMBER(SEARCH($AS$93:$AZ$93,IFERROR(('Final Calculation Sheet'!$AG$38)&amp;"","")))))&gt;0))))</f>
        <v>1</v>
      </c>
      <c r="CU39">
        <f>IF($AI$4="",1,--(AND(SUMPRODUCT(--($AS$94:$AZ$94&lt;&gt;""))&gt;0,IF(COUNTIF($BI$94:$BP$94,1)=0,TRUE,SUMPRODUCT(($BI$94:$BP$94=1)*($AS$94:$AZ$94&lt;&gt;"")*IF(((UPPER($AS$94:$AZ$94)="BLANK")+(UPPER($AS$94:$AZ$94)="(BLANK)")+(UPPER($AS$94:$AZ$94)="EMPTY")+(UPPER($AS$94:$AZ$94)="(EMPTY)"))&gt;0,IFERROR((IF('Final Calculation Sheet'!$AD$38&lt;=0,"SETTLED","OUTSTANDING"))&amp;"","")="",ISNUMBER(SEARCH($AS$94:$AZ$94,IFERROR((IF('Final Calculation Sheet'!$AD$38&lt;=0,"SETTLED","OUTSTANDING"))&amp;"","")))))&gt;0),IF(COUNTIF($BI$94:$BP$94,2)=0,TRUE,SUMPRODUCT(($BI$94:$BP$94=2)*($AS$94:$AZ$94&lt;&gt;"")*IF(((UPPER($AS$94:$AZ$94)="BLANK")+(UPPER($AS$94:$AZ$94)="(BLANK)")+(UPPER($AS$94:$AZ$94)="EMPTY")+(UPPER($AS$94:$AZ$94)="(EMPTY)"))&gt;0,IFERROR((IF('Final Calculation Sheet'!$AD$38&lt;=0,"SETTLED","OUTSTANDING"))&amp;"","")="",ISNUMBER(SEARCH($AS$94:$AZ$94,IFERROR((IF('Final Calculation Sheet'!$AD$38&lt;=0,"SETTLED","OUTSTANDING"))&amp;"","")))))&gt;0),IF(COUNTIF($BI$94:$BP$94,3)=0,TRUE,SUMPRODUCT(($BI$94:$BP$94=3)*($AS$94:$AZ$94&lt;&gt;"")*IF(((UPPER($AS$94:$AZ$94)="BLANK")+(UPPER($AS$94:$AZ$94)="(BLANK)")+(UPPER($AS$94:$AZ$94)="EMPTY")+(UPPER($AS$94:$AZ$94)="(EMPTY)"))&gt;0,IFERROR((IF('Final Calculation Sheet'!$AD$38&lt;=0,"SETTLED","OUTSTANDING"))&amp;"","")="",ISNUMBER(SEARCH($AS$94:$AZ$94,IFERROR((IF('Final Calculation Sheet'!$AD$38&lt;=0,"SETTLED","OUTSTANDING"))&amp;"","")))))&gt;0),IF(COUNTIF($BI$94:$BP$94,4)=0,TRUE,SUMPRODUCT(($BI$94:$BP$94=4)*($AS$94:$AZ$94&lt;&gt;"")*IF(((UPPER($AS$94:$AZ$94)="BLANK")+(UPPER($AS$94:$AZ$94)="(BLANK)")+(UPPER($AS$94:$AZ$94)="EMPTY")+(UPPER($AS$94:$AZ$94)="(EMPTY)"))&gt;0,IFERROR((IF('Final Calculation Sheet'!$AD$38&lt;=0,"SETTLED","OUTSTANDING"))&amp;"","")="",ISNUMBER(SEARCH($AS$94:$AZ$94,IFERROR((IF('Final Calculation Sheet'!$AD$38&lt;=0,"SETTLED","OUTSTANDING"))&amp;"","")))))&gt;0),IF(COUNTIF($BI$94:$BP$94,5)=0,TRUE,SUMPRODUCT(($BI$94:$BP$94=5)*($AS$94:$AZ$94&lt;&gt;"")*IF(((UPPER($AS$94:$AZ$94)="BLANK")+(UPPER($AS$94:$AZ$94)="(BLANK)")+(UPPER($AS$94:$AZ$94)="EMPTY")+(UPPER($AS$94:$AZ$94)="(EMPTY)"))&gt;0,IFERROR((IF('Final Calculation Sheet'!$AD$38&lt;=0,"SETTLED","OUTSTANDING"))&amp;"","")="",ISNUMBER(SEARCH($AS$94:$AZ$94,IFERROR((IF('Final Calculation Sheet'!$AD$38&lt;=0,"SETTLED","OUTSTANDING"))&amp;"","")))))&gt;0),IF(COUNTIF($BI$94:$BP$94,6)=0,TRUE,SUMPRODUCT(($BI$94:$BP$94=6)*($AS$94:$AZ$94&lt;&gt;"")*IF(((UPPER($AS$94:$AZ$94)="BLANK")+(UPPER($AS$94:$AZ$94)="(BLANK)")+(UPPER($AS$94:$AZ$94)="EMPTY")+(UPPER($AS$94:$AZ$94)="(EMPTY)"))&gt;0,IFERROR((IF('Final Calculation Sheet'!$AD$38&lt;=0,"SETTLED","OUTSTANDING"))&amp;"","")="",ISNUMBER(SEARCH($AS$94:$AZ$94,IFERROR((IF('Final Calculation Sheet'!$AD$38&lt;=0,"SETTLED","OUTSTANDING"))&amp;"","")))))&gt;0),IF(COUNTIF($BI$94:$BP$94,7)=0,TRUE,SUMPRODUCT(($BI$94:$BP$94=7)*($AS$94:$AZ$94&lt;&gt;"")*IF(((UPPER($AS$94:$AZ$94)="BLANK")+(UPPER($AS$94:$AZ$94)="(BLANK)")+(UPPER($AS$94:$AZ$94)="EMPTY")+(UPPER($AS$94:$AZ$94)="(EMPTY)"))&gt;0,IFERROR((IF('Final Calculation Sheet'!$AD$38&lt;=0,"SETTLED","OUTSTANDING"))&amp;"","")="",ISNUMBER(SEARCH($AS$94:$AZ$94,IFERROR((IF('Final Calculation Sheet'!$AD$38&lt;=0,"SETTLED","OUTSTANDING"))&amp;"","")))))&gt;0),IF(COUNTIF($BI$94:$BP$94,8)=0,TRUE,SUMPRODUCT(($BI$94:$BP$94=8)*($AS$94:$AZ$94&lt;&gt;"")*IF(((UPPER($AS$94:$AZ$94)="BLANK")+(UPPER($AS$94:$AZ$94)="(BLANK)")+(UPPER($AS$94:$AZ$94)="EMPTY")+(UPPER($AS$94:$AZ$94)="(EMPTY)"))&gt;0,IFERROR((IF('Final Calculation Sheet'!$AD$38&lt;=0,"SETTLED","OUTSTANDING"))&amp;"","")="",ISNUMBER(SEARCH($AS$94:$AZ$94,IFERROR((IF('Final Calculation Sheet'!$AD$38&lt;=0,"SETTLED","OUTSTANDING"))&amp;"","")))))&gt;0))))</f>
        <v>1</v>
      </c>
    </row>
    <row r="40" spans="1:99" ht="15" customHeight="1" x14ac:dyDescent="0.25">
      <c r="A40" s="67">
        <f>IF($BJ39&gt;0,INDEX($BA$5:$BA$41,MATCH(39,$BB$5:$BB$41,0)),IF(OR($BI39=1,$BL39=1,$BH39&gt;0),"∑",""))</f>
        <v>23</v>
      </c>
      <c r="B40" s="68">
        <f>IF($BJ39&gt;0,IF(INDEX('Final Calculation Sheet'!$F$4:$F$40,$BJ39-3)="","",INDEX('Final Calculation Sheet'!$F$4:$F$40,$BJ39-3)),"")</f>
        <v>2059</v>
      </c>
      <c r="C40" s="68" t="str">
        <f>IF($BJ39&gt;0,IF(INDEX('Final Calculation Sheet'!$G$4:$G$40,$BJ39-3)="","",INDEX('Final Calculation Sheet'!$G$4:$G$40,$BJ39-3)),IF(OR($BI39=1,$BL39=1,$BH39&gt;0),IF($BI39=1,37,IF($BL39=1,37-INDEX($BD$4:$BD$13,10),INDEX($BD$4:$BD$13,$BH39)))&amp;" lot(s)",""))</f>
        <v>NATIONAL ENTERPRISES</v>
      </c>
      <c r="D40" s="69" t="str">
        <f>IF($BJ39&gt;0,IF(INDEX('Final Calculation Sheet'!$B$4:$B$40,$BJ39-3)="","",INDEX('Final Calculation Sheet'!$B$4:$B$40,$BJ39-3)),IF(OR($BI39=1,$BL39=1,$BH39&gt;0),IF($BI39=1,"GRAND TOTAL  —  matching + remaining",IF($BL39=1,"TOTAL MATCHED  —  every group together",IF($BH39=10,"REMAINING  —  did not match the search",IF($BH39=9,IF(COUNTIF($A$4:$AI$4,"&lt;&gt;")&gt;0,"FILTERED LOTS  —  column fields","ALL LOTS  —  nothing typed in the box"),"GROUP "&amp;$BH39&amp;" TOTAL  —  lots matching  "&amp;INDEX($AR$6:$AY$6,$BH39))))),""))</f>
        <v>Scrap of 33 KV GCB</v>
      </c>
      <c r="E40" s="69">
        <f>IF($BJ39&gt;0,IF(INDEX('Final Calculation Sheet'!$D$4:$D$40,$BJ39-3)="","",INDEX('Final Calculation Sheet'!$D$4:$D$40,$BJ39-3)),IF(OR($BI39=1,$BL39=1,$BH39&gt;0),"–",""))</f>
        <v>21979</v>
      </c>
      <c r="F40" s="69">
        <f>IF($BJ39&gt;0,IF(INDEX('Final Calculation Sheet'!$A$4:$A$40,$BJ39-3)="","",INDEX('Final Calculation Sheet'!$A$4:$A$40,$BJ39-3)),IF(OR($BI39=1,$BL39=1,$BH39&gt;0),IF($BI39=1,SUM('Final Calculation Sheet'!$A$4:$A$40),IF($BL39=1,SUM('Final Calculation Sheet'!$A$4:$A$40)-SUMIFS('Final Calculation Sheet'!$A$4:$A$40,$AZ$5:$AZ$41,10),SUMIFS('Final Calculation Sheet'!$A$4:$A$40,$AZ$5:$AZ$41,$BH39))),""))</f>
        <v>1</v>
      </c>
      <c r="G40" s="69" t="str">
        <f>IF($BJ39&gt;0,IF(INDEX('Final Calculation Sheet'!$E$4:$E$40,$BJ39-3)="","",INDEX('Final Calculation Sheet'!$E$4:$E$40,$BJ39-3)),IF(OR($BI39=1,$BL39=1,$BH39&gt;0),"–",""))</f>
        <v>NO</v>
      </c>
      <c r="H40" s="70">
        <f>IF($BJ39&gt;0,IF(INDEX('Final Calculation Sheet'!$C$4:$C$40,$BJ39-3)="","",INDEX('Final Calculation Sheet'!$C$4:$C$40,$BJ39-3)),IF(OR($BI39=1,$BL39=1,$BH39&gt;0),"–",""))</f>
        <v>29502</v>
      </c>
      <c r="I40" s="70">
        <f>IF($BJ39&gt;0,IF(INDEX('Final Calculation Sheet'!$H$4:$H$40,$BJ39-3)="","",INDEX('Final Calculation Sheet'!$H$4:$H$40,$BJ39-3)),IF(OR($BI39=1,$BL39=1,$BH39&gt;0),IF($BI39=1,SUM('Final Calculation Sheet'!$H$4:$H$40),IF($BL39=1,SUM('Final Calculation Sheet'!$H$4:$H$40)-SUMIFS('Final Calculation Sheet'!$H$4:$H$40,$AZ$5:$AZ$41,10),SUMIFS('Final Calculation Sheet'!$H$4:$H$40,$AZ$5:$AZ$41,$BH39))),""))</f>
        <v>29502</v>
      </c>
      <c r="J40" s="70">
        <f>IF($BJ39&gt;0,IF(INDEX('Final Calculation Sheet'!$I$4:$I$40,$BJ39-3)="","",INDEX('Final Calculation Sheet'!$I$4:$I$40,$BJ39-3)),IF(OR($BI39=1,$BL39=1,$BH39&gt;0),IF($BI39=1,SUM('Final Calculation Sheet'!$I$4:$I$40),IF($BL39=1,SUM('Final Calculation Sheet'!$I$4:$I$40)-SUMIFS('Final Calculation Sheet'!$I$4:$I$40,$AZ$5:$AZ$41,10),SUMIFS('Final Calculation Sheet'!$I$4:$I$40,$AZ$5:$AZ$41,$BH39))),""))</f>
        <v>5310</v>
      </c>
      <c r="K40" s="70">
        <f>IF($BJ39&gt;0,IF(INDEX('Final Calculation Sheet'!$J$4:$J$40,$BJ39-3)="","",INDEX('Final Calculation Sheet'!$J$4:$J$40,$BJ39-3)),IF(OR($BI39=1,$BL39=1,$BH39&gt;0),IF($BI39=1,SUM('Final Calculation Sheet'!$J$4:$J$40),IF($BL39=1,SUM('Final Calculation Sheet'!$J$4:$J$40)-SUMIFS('Final Calculation Sheet'!$J$4:$J$40,$AZ$5:$AZ$41,10),SUMIFS('Final Calculation Sheet'!$J$4:$J$40,$AZ$5:$AZ$41,$BH39))),""))</f>
        <v>34812</v>
      </c>
      <c r="L40" s="70">
        <f>IF($BJ39&gt;0,IF(INDEX('Final Calculation Sheet'!$K$4:$K$40,$BJ39-3)="","",INDEX('Final Calculation Sheet'!$K$4:$K$40,$BJ39-3)),IF(OR($BI39=1,$BL39=1,$BH39&gt;0),IF($BI39=1,SUM('Final Calculation Sheet'!$K$4:$K$40),IF($BL39=1,SUM('Final Calculation Sheet'!$K$4:$K$40)-SUMIFS('Final Calculation Sheet'!$K$4:$K$40,$AZ$5:$AZ$41,10),SUMIFS('Final Calculation Sheet'!$K$4:$K$40,$AZ$5:$AZ$41,$BH39))),""))</f>
        <v>696</v>
      </c>
      <c r="M40" s="70">
        <f>IF($BJ39&gt;0,IF(INDEX('Final Calculation Sheet'!$L$4:$L$40,$BJ39-3)="","",INDEX('Final Calculation Sheet'!$L$4:$L$40,$BJ39-3)),IF(OR($BI39=1,$BL39=1,$BH39&gt;0),IF($BI39=1,SUM('Final Calculation Sheet'!$L$4:$L$40),IF($BL39=1,SUM('Final Calculation Sheet'!$L$4:$L$40)-SUMIFS('Final Calculation Sheet'!$L$4:$L$40,$AZ$5:$AZ$41,10),SUMIFS('Final Calculation Sheet'!$L$4:$L$40,$AZ$5:$AZ$41,$BH39))),""))</f>
        <v>29.501999999999999</v>
      </c>
      <c r="N40" s="70">
        <f>IF($BJ39&gt;0,IF(INDEX('Final Calculation Sheet'!$M$4:$M$40,$BJ39-3)="","",INDEX('Final Calculation Sheet'!$M$4:$M$40,$BJ39-3)),IF(OR($BI39=1,$BL39=1,$BH39&gt;0),IF($BI39=1,SUM('Final Calculation Sheet'!$M$4:$M$40),IF($BL39=1,SUM('Final Calculation Sheet'!$M$4:$M$40)-SUMIFS('Final Calculation Sheet'!$M$4:$M$40,$AZ$5:$AZ$41,10),SUMIFS('Final Calculation Sheet'!$M$4:$M$40,$AZ$5:$AZ$41,$BH39))),""))</f>
        <v>783.27809999999988</v>
      </c>
      <c r="O40" s="71">
        <f>IF($BJ39&gt;0,IF(INDEX('Final Calculation Sheet'!$N$4:$N$40,$BJ39-3)="","",INDEX('Final Calculation Sheet'!$N$4:$N$40,$BJ39-3)),IF(OR($BI39=1,$BL39=1,$BH39&gt;0),IF($BI39=1,SUM('Final Calculation Sheet'!$N$4:$N$40),IF($BL39=1,SUM('Final Calculation Sheet'!$N$4:$N$40)-SUMIFS('Final Calculation Sheet'!$N$4:$N$40,$AZ$5:$AZ$41,10),SUMIFS('Final Calculation Sheet'!$N$4:$N$40,$AZ$5:$AZ$41,$BH39))),""))</f>
        <v>13.2759</v>
      </c>
      <c r="P40" s="70">
        <f>IF($BJ39&gt;0,IF(INDEX('Final Calculation Sheet'!$O$4:$O$40,$BJ39-3)="","",INDEX('Final Calculation Sheet'!$O$4:$O$40,$BJ39-3)),IF(OR($BI39=1,$BL39=1,$BH39&gt;0),IF($BI39=1,SUM('Final Calculation Sheet'!$O$4:$O$40),IF($BL39=1,SUM('Final Calculation Sheet'!$O$4:$O$40)-SUMIFS('Final Calculation Sheet'!$O$4:$O$40,$AZ$5:$AZ$41,10),SUMIFS('Final Calculation Sheet'!$O$4:$O$40,$AZ$5:$AZ$41,$BH39))),""))</f>
        <v>770.0021999999999</v>
      </c>
      <c r="Q40" s="70">
        <f>IF($BJ39&gt;0,IF(INDEX('Final Calculation Sheet'!$P$4:$P$40,$BJ39-3)="","",INDEX('Final Calculation Sheet'!$P$4:$P$40,$BJ39-3)),IF(OR($BI39=1,$BL39=1,$BH39&gt;0),IF($BI39=1,SUM('Final Calculation Sheet'!$P$4:$P$40),IF($BL39=1,SUM('Final Calculation Sheet'!$P$4:$P$40)-SUMIFS('Final Calculation Sheet'!$P$4:$P$40,$AZ$5:$AZ$41,10),SUMIFS('Final Calculation Sheet'!$P$4:$P$40,$AZ$5:$AZ$41,$BH39))),""))</f>
        <v>800</v>
      </c>
      <c r="R40" s="72">
        <f>IF($BJ39&gt;0,IF(INDEX('Final Calculation Sheet'!$Q$4:$Q$40,$BJ39-3)="","",INDEX('Final Calculation Sheet'!$Q$4:$Q$40,$BJ39-3)),IF(OR($BI39=1,$BL39=1,$BH39&gt;0),"–",""))</f>
        <v>0</v>
      </c>
      <c r="S40" s="70">
        <f>IF($BJ39&gt;0,IF(INDEX('Final Calculation Sheet'!$R$4:$R$40,$BJ39-3)="","",INDEX('Final Calculation Sheet'!$R$4:$R$40,$BJ39-3)),IF(OR($BI39=1,$BL39=1,$BH39&gt;0),IF($BI39=1,SUM('Final Calculation Sheet'!$R$4:$R$40),IF($BL39=1,SUM('Final Calculation Sheet'!$R$4:$R$40)-SUMIFS('Final Calculation Sheet'!$R$4:$R$40,$AZ$5:$AZ$41,10),SUMIFS('Final Calculation Sheet'!$R$4:$R$40,$AZ$5:$AZ$41,$BH39))),""))</f>
        <v>0</v>
      </c>
      <c r="T40" s="70">
        <f>IF($BJ39&gt;0,IF(INDEX('Final Calculation Sheet'!$S$4:$S$40,$BJ39-3)="","",INDEX('Final Calculation Sheet'!$S$4:$S$40,$BJ39-3)),IF(OR($BI39=1,$BL39=1,$BH39&gt;0),IF($BI39=1,SUM('Final Calculation Sheet'!$S$4:$S$40),IF($BL39=1,SUM('Final Calculation Sheet'!$S$4:$S$40)-SUMIFS('Final Calculation Sheet'!$S$4:$S$40,$AZ$5:$AZ$41,10),SUMIFS('Final Calculation Sheet'!$S$4:$S$40,$AZ$5:$AZ$41,$BH39))),""))</f>
        <v>34709</v>
      </c>
      <c r="U40" s="70">
        <f>IF($BJ39&gt;0,IF(INDEX('Final Calculation Sheet'!$T$4:$T$40,$BJ39-3)="","",INDEX('Final Calculation Sheet'!$T$4:$T$40,$BJ39-3)),IF(OR($BI39=1,$BL39=1,$BH39&gt;0),IF($BI39=1,SUM('Final Calculation Sheet'!$T$4:$T$40),IF($BL39=1,SUM('Final Calculation Sheet'!$T$4:$T$40)-SUMIFS('Final Calculation Sheet'!$T$4:$T$40,$AZ$5:$AZ$41,10),SUMIFS('Final Calculation Sheet'!$T$4:$T$40,$AZ$5:$AZ$41,$BH39))),""))</f>
        <v>7376</v>
      </c>
      <c r="V40" s="73">
        <f>IF($BJ39&gt;0,IF(INDEX('Final Calculation Sheet'!$U$4:$U$40,$BJ39-3)="","",INDEX('Final Calculation Sheet'!$U$4:$U$40,$BJ39-3)),IF(OR($BI39=1,$BL39=1,$BH39&gt;0),IF($BI39=1,SUM('Final Calculation Sheet'!$U$4:$U$40),IF($BL39=1,SUM('Final Calculation Sheet'!$U$4:$U$40)-SUMIFS('Final Calculation Sheet'!$U$4:$U$40,$AZ$5:$AZ$41,10),SUMIFS('Final Calculation Sheet'!$U$4:$U$40,$AZ$5:$AZ$41,$BH39))),""))</f>
        <v>7376</v>
      </c>
      <c r="W40" s="70" t="str">
        <f>IF($BJ39&gt;0,IF(INDEX('Final Calculation Sheet'!$V$4:$V$40,$BJ39-3)="","",INDEX('Final Calculation Sheet'!$V$4:$V$40,$BJ39-3)),IF(OR($BI39=1,$BL39=1,$BH39&gt;0),"–",""))</f>
        <v>13.08.2026</v>
      </c>
      <c r="X40" s="70">
        <f>IF($BJ39&gt;0,IF(INDEX('Final Calculation Sheet'!$W$4:$W$40,$BJ39-3)="","",INDEX('Final Calculation Sheet'!$W$4:$W$40,$BJ39-3)),IF(OR($BI39=1,$BL39=1,$BH39&gt;0),IF($BI39=1,SUM('Final Calculation Sheet'!$W$4:$W$40),IF($BL39=1,SUM('Final Calculation Sheet'!$W$4:$W$40)-SUMIFS('Final Calculation Sheet'!$W$4:$W$40,$AZ$5:$AZ$41,10),SUMIFS('Final Calculation Sheet'!$W$4:$W$40,$AZ$5:$AZ$41,$BH39))),""))</f>
        <v>27334</v>
      </c>
      <c r="Y40" s="70">
        <f>IF($BJ39&gt;0,IF(INDEX('Final Calculation Sheet'!$X$4:$X$40,$BJ39-3)="","",INDEX('Final Calculation Sheet'!$X$4:$X$40,$BJ39-3)),IF(OR($BI39=1,$BL39=1,$BH39&gt;0),IF($BI39=1,SUM('Final Calculation Sheet'!$X$4:$X$40),IF($BL39=1,SUM('Final Calculation Sheet'!$X$4:$X$40)-SUMIFS('Final Calculation Sheet'!$X$4:$X$40,$AZ$5:$AZ$41,10),SUMIFS('Final Calculation Sheet'!$X$4:$X$40,$AZ$5:$AZ$41,$BH39))),""))</f>
        <v>27332</v>
      </c>
      <c r="Z40" s="70" t="str">
        <f>IF($BJ39&gt;0,IF(INDEX('Final Calculation Sheet'!$Y$4:$Y$40,$BJ39-3)="","",INDEX('Final Calculation Sheet'!$Y$4:$Y$40,$BJ39-3)),IF(OR($BI39=1,$BL39=1,$BH39&gt;0),"–",""))</f>
        <v>24.08.2026</v>
      </c>
      <c r="AA40" s="70">
        <f ca="1">IF($BJ39&gt;0,IF(INDEX('Final Calculation Sheet'!$Z$4:$Z$40,$BJ39-3)="","",INDEX('Final Calculation Sheet'!$Z$4:$Z$40,$BJ39-3)),IF(OR($BI39=1,$BL39=1,$BH39&gt;0),IF($BI39=1,SUM('Final Calculation Sheet'!$Z$4:$Z$40),IF($BL39=1,SUM('Final Calculation Sheet'!$Z$4:$Z$40)-SUMIFS('Final Calculation Sheet'!$Z$4:$Z$40,$AZ$5:$AZ$41,10),SUMIFS('Final Calculation Sheet'!$Z$4:$Z$40,$AZ$5:$AZ$41,$BH39))),""))</f>
        <v>0</v>
      </c>
      <c r="AB40" s="70" t="str">
        <f>IF($BJ39&gt;0,IF(INDEX('Final Calculation Sheet'!$AA$4:$AA$40,$BJ39-3)="","",INDEX('Final Calculation Sheet'!$AA$4:$AA$40,$BJ39-3)),IF(OR($BI39=1,$BL39=1,$BH39&gt;0),IF($BI39=1,SUM('Final Calculation Sheet'!$AA$4:$AA$40),IF($BL39=1,SUM('Final Calculation Sheet'!$AA$4:$AA$40)-SUMIFS('Final Calculation Sheet'!$AA$4:$AA$40,$AZ$5:$AZ$41,10),SUMIFS('Final Calculation Sheet'!$AA$4:$AA$40,$AZ$5:$AZ$41,$BH39))),""))</f>
        <v/>
      </c>
      <c r="AC40" s="70" t="str">
        <f>IF($BJ39&gt;0,IF(INDEX('Final Calculation Sheet'!$AB$4:$AB$40,$BJ39-3)="","",INDEX('Final Calculation Sheet'!$AB$4:$AB$40,$BJ39-3)),IF(OR($BI39=1,$BL39=1,$BH39&gt;0),"–",""))</f>
        <v/>
      </c>
      <c r="AD40" s="70">
        <f>IF($BJ39&gt;0,IF(INDEX('Final Calculation Sheet'!$AC$4:$AC$40,$BJ39-3)="","",INDEX('Final Calculation Sheet'!$AC$4:$AC$40,$BJ39-3)),IF(OR($BI39=1,$BL39=1,$BH39&gt;0),IF($BI39=1,SUM('Final Calculation Sheet'!$AC$4:$AC$40),IF($BL39=1,SUM('Final Calculation Sheet'!$AC$4:$AC$40)-SUMIFS('Final Calculation Sheet'!$AC$4:$AC$40,$AZ$5:$AZ$41,10),SUMIFS('Final Calculation Sheet'!$AC$4:$AC$40,$AZ$5:$AZ$41,$BH39))),""))</f>
        <v>34708</v>
      </c>
      <c r="AE40" s="70">
        <f>IF($BJ39&gt;0,IF(INDEX('Final Calculation Sheet'!$AD$4:$AD$40,$BJ39-3)="","",INDEX('Final Calculation Sheet'!$AD$4:$AD$40,$BJ39-3)),IF(OR($BI39=1,$BL39=1,$BH39&gt;0),IF($BI39=1,SUM('Final Calculation Sheet'!$AD$4:$AD$40),IF($BL39=1,SUM('Final Calculation Sheet'!$AD$4:$AD$40)-SUMIFS('Final Calculation Sheet'!$AD$4:$AD$40,$AZ$5:$AZ$41,10),SUMIFS('Final Calculation Sheet'!$AD$4:$AD$40,$AZ$5:$AZ$41,$BH39))),""))</f>
        <v>1</v>
      </c>
      <c r="AF40" s="70" t="str">
        <f>IF($BJ39&gt;0,IF(INDEX('Final Calculation Sheet'!$AE$4:$AE$40,$BJ39-3)="","",INDEX('Final Calculation Sheet'!$AE$4:$AE$40,$BJ39-3)),IF(OR($BI39=1,$BL39=1,$BH39&gt;0),"–",""))</f>
        <v>DR2640100046</v>
      </c>
      <c r="AG40" s="74">
        <f>IF($BJ39&gt;0,IF(INDEX('Final Calculation Sheet'!$AF$4:$AF$40,$BJ39-3)="","",INDEX('Final Calculation Sheet'!$AF$4:$AF$40,$BJ39-3)),IF(OR($BI39=1,$BL39=1,$BH39&gt;0),"–",""))</f>
        <v>1800003313</v>
      </c>
      <c r="AH40" s="70" t="str">
        <f>IF($BJ39&gt;0,IF(INDEX('Final Calculation Sheet'!$AG$4:$AG$40,$BJ39-3)="","",INDEX('Final Calculation Sheet'!$AG$4:$AG$40,$BJ39-3)),IF(OR($BI39=1,$BL39=1,$BH39&gt;0),"–",""))</f>
        <v>27.08.2026</v>
      </c>
      <c r="AI40" s="75" t="str">
        <f>IF($BJ39&gt;0,IF(INDEX('Final Calculation Sheet'!$AD$4:$AD$40,$BJ39-3)="","",IF(INDEX('Final Calculation Sheet'!$AD$4:$AD$40,$BJ39-3)&lt;=0,"SETTLED","OUTSTANDING")),IF(OR($BI39=1,$BL39=1,$BH39&gt;0),IF(IF($BI39=1,SUM('Final Calculation Sheet'!$AD$4:$AD$40),IF($BL39=1,SUM('Final Calculation Sheet'!$AD$4:$AD$40)-SUMIFS('Final Calculation Sheet'!$AD$4:$AD$40,$AZ$5:$AZ$41,10),SUMIFS('Final Calculation Sheet'!$AD$4:$AD$40,$AZ$5:$AZ$41,$BH39)))&lt;=0,"ALL SETTLED","OUTSTANDING"),""))</f>
        <v>OUTSTANDING</v>
      </c>
      <c r="AK40" t="str">
        <f>IF($F$3="Lot No.",'Final Calculation Sheet'!$F$39,IF($F$3="Buyer",'Final Calculation Sheet'!$G$39,IF($F$3="Lot Name",'Final Calculation Sheet'!$B$39,IF($F$3="Bid Sheet",'Final Calculation Sheet'!$D$39,IF($F$3="Unit",'Final Calculation Sheet'!$E$39,'Final Calculation Sheet'!$F$39&amp;" "&amp;'Final Calculation Sheet'!$G$39&amp;" "&amp;'Final Calculation Sheet'!$B$39)))))</f>
        <v>2089 S M ENTERPRISES Scrap of 66 kv TBC C &amp; R Panel</v>
      </c>
      <c r="AM40">
        <f t="shared" si="1"/>
        <v>0</v>
      </c>
      <c r="AZ40">
        <f t="shared" si="2"/>
        <v>10</v>
      </c>
      <c r="BA40">
        <f t="shared" si="3"/>
        <v>27</v>
      </c>
      <c r="BB40">
        <f t="shared" si="4"/>
        <v>43</v>
      </c>
      <c r="BC40">
        <v>39</v>
      </c>
      <c r="BH40">
        <f>IFERROR(MATCH(40,$BF$4:$BF$13,0),0)</f>
        <v>0</v>
      </c>
      <c r="BI40">
        <f>IF(40=$BG$5,1,0)</f>
        <v>0</v>
      </c>
      <c r="BJ40">
        <f>IF(OR($BH40&gt;0,$BI40=1,$BL40=1),0,IFERROR(INDEX($BC$5:$BC$41,MATCH(40,$BB$5:$BB$41,0)),0))</f>
        <v>36</v>
      </c>
      <c r="BK40">
        <f>IF($BJ40&gt;0,IF(INDEX($AZ$5:$AZ$41,MATCH(40,$BB$5:$BB$41,0))=10,1,0),IF($BH40=10,1,0))</f>
        <v>1</v>
      </c>
      <c r="BL40">
        <f>IF(40=$BG$4,1,0)</f>
        <v>0</v>
      </c>
      <c r="BM40">
        <f>IF($A$4="",1,--(AND(SUMPRODUCT(--($AS$60:$AZ$60&lt;&gt;""))&gt;0,IF(COUNTIF($BI$60:$BP$60,1)=0,TRUE,SUMPRODUCT(($BI$60:$BP$60=1)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$60,2)=0,TRUE,SUMPRODUCT(($BI$60:$BP$60=2)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$60,3)=0,TRUE,SUMPRODUCT(($BI$60:$BP$60=3)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$60,4)=0,TRUE,SUMPRODUCT(($BI$60:$BP$60=4)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$60,5)=0,TRUE,SUMPRODUCT(($BI$60:$BP$60=5)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$60,6)=0,TRUE,SUMPRODUCT(($BI$60:$BP$60=6)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$60,7)=0,TRUE,SUMPRODUCT(($BI$60:$BP$60=7)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$60,8)=0,TRUE,SUMPRODUCT(($BI$60:$BP$60=8)*($AS$60:$AZ$60&lt;&gt;"")*IF(((UPPER($AS$60:$AZ$60)="BLANK")+(UPPER($AS$60:$AZ$60)="(BLANK)")+(UPPER($AS$60:$AZ$60)="EMPTY")+(UPPER($AS$60:$AZ$60)="(EMPTY)"))&gt;0,IFERROR((ROW()-4)&amp;"","")="",ISNUMBER(SEARCH($AS$60:$AZ$60,IFERROR((ROW()-4)&amp;"","")))))&gt;0))))</f>
        <v>1</v>
      </c>
      <c r="BN40">
        <f>IF($B$4="",1,--(AND(SUMPRODUCT(--($AS$61:$AZ$61&lt;&gt;""))&gt;0,IF(COUNTIF($BI$61:$BP$61,1)=0,TRUE,SUMPRODUCT(($BI$61:$BP$61=1)*($AS$61:$AZ$61&lt;&gt;"")*IF(((UPPER($AS$61:$AZ$61)="BLANK")+(UPPER($AS$61:$AZ$61)="(BLANK)")+(UPPER($AS$61:$AZ$61)="EMPTY")+(UPPER($AS$61:$AZ$61)="(EMPTY)"))&gt;0,IFERROR(('Final Calculation Sheet'!$F$39)&amp;"","")="",ISNUMBER(SEARCH($AS$61:$AZ$61,IFERROR(('Final Calculation Sheet'!$F$39)&amp;"","")))))&gt;0),IF(COUNTIF($BI$61:$BP$61,2)=0,TRUE,SUMPRODUCT(($BI$61:$BP$61=2)*($AS$61:$AZ$61&lt;&gt;"")*IF(((UPPER($AS$61:$AZ$61)="BLANK")+(UPPER($AS$61:$AZ$61)="(BLANK)")+(UPPER($AS$61:$AZ$61)="EMPTY")+(UPPER($AS$61:$AZ$61)="(EMPTY)"))&gt;0,IFERROR(('Final Calculation Sheet'!$F$39)&amp;"","")="",ISNUMBER(SEARCH($AS$61:$AZ$61,IFERROR(('Final Calculation Sheet'!$F$39)&amp;"","")))))&gt;0),IF(COUNTIF($BI$61:$BP$61,3)=0,TRUE,SUMPRODUCT(($BI$61:$BP$61=3)*($AS$61:$AZ$61&lt;&gt;"")*IF(((UPPER($AS$61:$AZ$61)="BLANK")+(UPPER($AS$61:$AZ$61)="(BLANK)")+(UPPER($AS$61:$AZ$61)="EMPTY")+(UPPER($AS$61:$AZ$61)="(EMPTY)"))&gt;0,IFERROR(('Final Calculation Sheet'!$F$39)&amp;"","")="",ISNUMBER(SEARCH($AS$61:$AZ$61,IFERROR(('Final Calculation Sheet'!$F$39)&amp;"","")))))&gt;0),IF(COUNTIF($BI$61:$BP$61,4)=0,TRUE,SUMPRODUCT(($BI$61:$BP$61=4)*($AS$61:$AZ$61&lt;&gt;"")*IF(((UPPER($AS$61:$AZ$61)="BLANK")+(UPPER($AS$61:$AZ$61)="(BLANK)")+(UPPER($AS$61:$AZ$61)="EMPTY")+(UPPER($AS$61:$AZ$61)="(EMPTY)"))&gt;0,IFERROR(('Final Calculation Sheet'!$F$39)&amp;"","")="",ISNUMBER(SEARCH($AS$61:$AZ$61,IFERROR(('Final Calculation Sheet'!$F$39)&amp;"","")))))&gt;0),IF(COUNTIF($BI$61:$BP$61,5)=0,TRUE,SUMPRODUCT(($BI$61:$BP$61=5)*($AS$61:$AZ$61&lt;&gt;"")*IF(((UPPER($AS$61:$AZ$61)="BLANK")+(UPPER($AS$61:$AZ$61)="(BLANK)")+(UPPER($AS$61:$AZ$61)="EMPTY")+(UPPER($AS$61:$AZ$61)="(EMPTY)"))&gt;0,IFERROR(('Final Calculation Sheet'!$F$39)&amp;"","")="",ISNUMBER(SEARCH($AS$61:$AZ$61,IFERROR(('Final Calculation Sheet'!$F$39)&amp;"","")))))&gt;0),IF(COUNTIF($BI$61:$BP$61,6)=0,TRUE,SUMPRODUCT(($BI$61:$BP$61=6)*($AS$61:$AZ$61&lt;&gt;"")*IF(((UPPER($AS$61:$AZ$61)="BLANK")+(UPPER($AS$61:$AZ$61)="(BLANK)")+(UPPER($AS$61:$AZ$61)="EMPTY")+(UPPER($AS$61:$AZ$61)="(EMPTY)"))&gt;0,IFERROR(('Final Calculation Sheet'!$F$39)&amp;"","")="",ISNUMBER(SEARCH($AS$61:$AZ$61,IFERROR(('Final Calculation Sheet'!$F$39)&amp;"","")))))&gt;0),IF(COUNTIF($BI$61:$BP$61,7)=0,TRUE,SUMPRODUCT(($BI$61:$BP$61=7)*($AS$61:$AZ$61&lt;&gt;"")*IF(((UPPER($AS$61:$AZ$61)="BLANK")+(UPPER($AS$61:$AZ$61)="(BLANK)")+(UPPER($AS$61:$AZ$61)="EMPTY")+(UPPER($AS$61:$AZ$61)="(EMPTY)"))&gt;0,IFERROR(('Final Calculation Sheet'!$F$39)&amp;"","")="",ISNUMBER(SEARCH($AS$61:$AZ$61,IFERROR(('Final Calculation Sheet'!$F$39)&amp;"","")))))&gt;0),IF(COUNTIF($BI$61:$BP$61,8)=0,TRUE,SUMPRODUCT(($BI$61:$BP$61=8)*($AS$61:$AZ$61&lt;&gt;"")*IF(((UPPER($AS$61:$AZ$61)="BLANK")+(UPPER($AS$61:$AZ$61)="(BLANK)")+(UPPER($AS$61:$AZ$61)="EMPTY")+(UPPER($AS$61:$AZ$61)="(EMPTY)"))&gt;0,IFERROR(('Final Calculation Sheet'!$F$39)&amp;"","")="",ISNUMBER(SEARCH($AS$61:$AZ$61,IFERROR(('Final Calculation Sheet'!$F$39)&amp;"","")))))&gt;0))))</f>
        <v>1</v>
      </c>
      <c r="BO40">
        <f>IF($C$4="",1,--(AND(SUMPRODUCT(--($AS$62:$AZ$62&lt;&gt;""))&gt;0,IF(COUNTIF($BI$62:$BP$62,1)=0,TRUE,SUMPRODUCT(($BI$62:$BP$62=1)*($AS$62:$AZ$62&lt;&gt;"")*IF(((UPPER($AS$62:$AZ$62)="BLANK")+(UPPER($AS$62:$AZ$62)="(BLANK)")+(UPPER($AS$62:$AZ$62)="EMPTY")+(UPPER($AS$62:$AZ$62)="(EMPTY)"))&gt;0,IFERROR(('Final Calculation Sheet'!$G$39)&amp;"","")="",ISNUMBER(SEARCH($AS$62:$AZ$62,IFERROR(('Final Calculation Sheet'!$G$39)&amp;"","")))))&gt;0),IF(COUNTIF($BI$62:$BP$62,2)=0,TRUE,SUMPRODUCT(($BI$62:$BP$62=2)*($AS$62:$AZ$62&lt;&gt;"")*IF(((UPPER($AS$62:$AZ$62)="BLANK")+(UPPER($AS$62:$AZ$62)="(BLANK)")+(UPPER($AS$62:$AZ$62)="EMPTY")+(UPPER($AS$62:$AZ$62)="(EMPTY)"))&gt;0,IFERROR(('Final Calculation Sheet'!$G$39)&amp;"","")="",ISNUMBER(SEARCH($AS$62:$AZ$62,IFERROR(('Final Calculation Sheet'!$G$39)&amp;"","")))))&gt;0),IF(COUNTIF($BI$62:$BP$62,3)=0,TRUE,SUMPRODUCT(($BI$62:$BP$62=3)*($AS$62:$AZ$62&lt;&gt;"")*IF(((UPPER($AS$62:$AZ$62)="BLANK")+(UPPER($AS$62:$AZ$62)="(BLANK)")+(UPPER($AS$62:$AZ$62)="EMPTY")+(UPPER($AS$62:$AZ$62)="(EMPTY)"))&gt;0,IFERROR(('Final Calculation Sheet'!$G$39)&amp;"","")="",ISNUMBER(SEARCH($AS$62:$AZ$62,IFERROR(('Final Calculation Sheet'!$G$39)&amp;"","")))))&gt;0),IF(COUNTIF($BI$62:$BP$62,4)=0,TRUE,SUMPRODUCT(($BI$62:$BP$62=4)*($AS$62:$AZ$62&lt;&gt;"")*IF(((UPPER($AS$62:$AZ$62)="BLANK")+(UPPER($AS$62:$AZ$62)="(BLANK)")+(UPPER($AS$62:$AZ$62)="EMPTY")+(UPPER($AS$62:$AZ$62)="(EMPTY)"))&gt;0,IFERROR(('Final Calculation Sheet'!$G$39)&amp;"","")="",ISNUMBER(SEARCH($AS$62:$AZ$62,IFERROR(('Final Calculation Sheet'!$G$39)&amp;"","")))))&gt;0),IF(COUNTIF($BI$62:$BP$62,5)=0,TRUE,SUMPRODUCT(($BI$62:$BP$62=5)*($AS$62:$AZ$62&lt;&gt;"")*IF(((UPPER($AS$62:$AZ$62)="BLANK")+(UPPER($AS$62:$AZ$62)="(BLANK)")+(UPPER($AS$62:$AZ$62)="EMPTY")+(UPPER($AS$62:$AZ$62)="(EMPTY)"))&gt;0,IFERROR(('Final Calculation Sheet'!$G$39)&amp;"","")="",ISNUMBER(SEARCH($AS$62:$AZ$62,IFERROR(('Final Calculation Sheet'!$G$39)&amp;"","")))))&gt;0),IF(COUNTIF($BI$62:$BP$62,6)=0,TRUE,SUMPRODUCT(($BI$62:$BP$62=6)*($AS$62:$AZ$62&lt;&gt;"")*IF(((UPPER($AS$62:$AZ$62)="BLANK")+(UPPER($AS$62:$AZ$62)="(BLANK)")+(UPPER($AS$62:$AZ$62)="EMPTY")+(UPPER($AS$62:$AZ$62)="(EMPTY)"))&gt;0,IFERROR(('Final Calculation Sheet'!$G$39)&amp;"","")="",ISNUMBER(SEARCH($AS$62:$AZ$62,IFERROR(('Final Calculation Sheet'!$G$39)&amp;"","")))))&gt;0),IF(COUNTIF($BI$62:$BP$62,7)=0,TRUE,SUMPRODUCT(($BI$62:$BP$62=7)*($AS$62:$AZ$62&lt;&gt;"")*IF(((UPPER($AS$62:$AZ$62)="BLANK")+(UPPER($AS$62:$AZ$62)="(BLANK)")+(UPPER($AS$62:$AZ$62)="EMPTY")+(UPPER($AS$62:$AZ$62)="(EMPTY)"))&gt;0,IFERROR(('Final Calculation Sheet'!$G$39)&amp;"","")="",ISNUMBER(SEARCH($AS$62:$AZ$62,IFERROR(('Final Calculation Sheet'!$G$39)&amp;"","")))))&gt;0),IF(COUNTIF($BI$62:$BP$62,8)=0,TRUE,SUMPRODUCT(($BI$62:$BP$62=8)*($AS$62:$AZ$62&lt;&gt;"")*IF(((UPPER($AS$62:$AZ$62)="BLANK")+(UPPER($AS$62:$AZ$62)="(BLANK)")+(UPPER($AS$62:$AZ$62)="EMPTY")+(UPPER($AS$62:$AZ$62)="(EMPTY)"))&gt;0,IFERROR(('Final Calculation Sheet'!$G$39)&amp;"","")="",ISNUMBER(SEARCH($AS$62:$AZ$62,IFERROR(('Final Calculation Sheet'!$G$39)&amp;"","")))))&gt;0))))</f>
        <v>1</v>
      </c>
      <c r="BP40">
        <f>IF($D$4="",1,--(AND(SUMPRODUCT(--($AS$63:$AZ$63&lt;&gt;""))&gt;0,IF(COUNTIF($BI$63:$BP$63,1)=0,TRUE,SUMPRODUCT(($BI$63:$BP$63=1)*($AS$63:$AZ$63&lt;&gt;"")*IF(((UPPER($AS$63:$AZ$63)="BLANK")+(UPPER($AS$63:$AZ$63)="(BLANK)")+(UPPER($AS$63:$AZ$63)="EMPTY")+(UPPER($AS$63:$AZ$63)="(EMPTY)"))&gt;0,IFERROR(('Final Calculation Sheet'!$B$39)&amp;"","")="",ISNUMBER(SEARCH($AS$63:$AZ$63,IFERROR(('Final Calculation Sheet'!$B$39)&amp;"","")))))&gt;0),IF(COUNTIF($BI$63:$BP$63,2)=0,TRUE,SUMPRODUCT(($BI$63:$BP$63=2)*($AS$63:$AZ$63&lt;&gt;"")*IF(((UPPER($AS$63:$AZ$63)="BLANK")+(UPPER($AS$63:$AZ$63)="(BLANK)")+(UPPER($AS$63:$AZ$63)="EMPTY")+(UPPER($AS$63:$AZ$63)="(EMPTY)"))&gt;0,IFERROR(('Final Calculation Sheet'!$B$39)&amp;"","")="",ISNUMBER(SEARCH($AS$63:$AZ$63,IFERROR(('Final Calculation Sheet'!$B$39)&amp;"","")))))&gt;0),IF(COUNTIF($BI$63:$BP$63,3)=0,TRUE,SUMPRODUCT(($BI$63:$BP$63=3)*($AS$63:$AZ$63&lt;&gt;"")*IF(((UPPER($AS$63:$AZ$63)="BLANK")+(UPPER($AS$63:$AZ$63)="(BLANK)")+(UPPER($AS$63:$AZ$63)="EMPTY")+(UPPER($AS$63:$AZ$63)="(EMPTY)"))&gt;0,IFERROR(('Final Calculation Sheet'!$B$39)&amp;"","")="",ISNUMBER(SEARCH($AS$63:$AZ$63,IFERROR(('Final Calculation Sheet'!$B$39)&amp;"","")))))&gt;0),IF(COUNTIF($BI$63:$BP$63,4)=0,TRUE,SUMPRODUCT(($BI$63:$BP$63=4)*($AS$63:$AZ$63&lt;&gt;"")*IF(((UPPER($AS$63:$AZ$63)="BLANK")+(UPPER($AS$63:$AZ$63)="(BLANK)")+(UPPER($AS$63:$AZ$63)="EMPTY")+(UPPER($AS$63:$AZ$63)="(EMPTY)"))&gt;0,IFERROR(('Final Calculation Sheet'!$B$39)&amp;"","")="",ISNUMBER(SEARCH($AS$63:$AZ$63,IFERROR(('Final Calculation Sheet'!$B$39)&amp;"","")))))&gt;0),IF(COUNTIF($BI$63:$BP$63,5)=0,TRUE,SUMPRODUCT(($BI$63:$BP$63=5)*($AS$63:$AZ$63&lt;&gt;"")*IF(((UPPER($AS$63:$AZ$63)="BLANK")+(UPPER($AS$63:$AZ$63)="(BLANK)")+(UPPER($AS$63:$AZ$63)="EMPTY")+(UPPER($AS$63:$AZ$63)="(EMPTY)"))&gt;0,IFERROR(('Final Calculation Sheet'!$B$39)&amp;"","")="",ISNUMBER(SEARCH($AS$63:$AZ$63,IFERROR(('Final Calculation Sheet'!$B$39)&amp;"","")))))&gt;0),IF(COUNTIF($BI$63:$BP$63,6)=0,TRUE,SUMPRODUCT(($BI$63:$BP$63=6)*($AS$63:$AZ$63&lt;&gt;"")*IF(((UPPER($AS$63:$AZ$63)="BLANK")+(UPPER($AS$63:$AZ$63)="(BLANK)")+(UPPER($AS$63:$AZ$63)="EMPTY")+(UPPER($AS$63:$AZ$63)="(EMPTY)"))&gt;0,IFERROR(('Final Calculation Sheet'!$B$39)&amp;"","")="",ISNUMBER(SEARCH($AS$63:$AZ$63,IFERROR(('Final Calculation Sheet'!$B$39)&amp;"","")))))&gt;0),IF(COUNTIF($BI$63:$BP$63,7)=0,TRUE,SUMPRODUCT(($BI$63:$BP$63=7)*($AS$63:$AZ$63&lt;&gt;"")*IF(((UPPER($AS$63:$AZ$63)="BLANK")+(UPPER($AS$63:$AZ$63)="(BLANK)")+(UPPER($AS$63:$AZ$63)="EMPTY")+(UPPER($AS$63:$AZ$63)="(EMPTY)"))&gt;0,IFERROR(('Final Calculation Sheet'!$B$39)&amp;"","")="",ISNUMBER(SEARCH($AS$63:$AZ$63,IFERROR(('Final Calculation Sheet'!$B$39)&amp;"","")))))&gt;0),IF(COUNTIF($BI$63:$BP$63,8)=0,TRUE,SUMPRODUCT(($BI$63:$BP$63=8)*($AS$63:$AZ$63&lt;&gt;"")*IF(((UPPER($AS$63:$AZ$63)="BLANK")+(UPPER($AS$63:$AZ$63)="(BLANK)")+(UPPER($AS$63:$AZ$63)="EMPTY")+(UPPER($AS$63:$AZ$63)="(EMPTY)"))&gt;0,IFERROR(('Final Calculation Sheet'!$B$39)&amp;"","")="",ISNUMBER(SEARCH($AS$63:$AZ$63,IFERROR(('Final Calculation Sheet'!$B$39)&amp;"","")))))&gt;0))))</f>
        <v>1</v>
      </c>
      <c r="BQ40">
        <f>IF($E$4="",1,--(AND(SUMPRODUCT(--($AS$64:$AZ$64&lt;&gt;""))&gt;0,IF(COUNTIF($BI$64:$BP$64,1)=0,TRUE,SUMPRODUCT(($BI$64:$BP$64=1)*($AS$64:$AZ$64&lt;&gt;"")*IF(((UPPER($AS$64:$AZ$64)="BLANK")+(UPPER($AS$64:$AZ$64)="(BLANK)")+(UPPER($AS$64:$AZ$64)="EMPTY")+(UPPER($AS$64:$AZ$64)="(EMPTY)"))&gt;0,IFERROR(('Final Calculation Sheet'!$D$39)&amp;"","")="",ISNUMBER(SEARCH($AS$64:$AZ$64,IFERROR(('Final Calculation Sheet'!$D$39)&amp;"","")))))&gt;0),IF(COUNTIF($BI$64:$BP$64,2)=0,TRUE,SUMPRODUCT(($BI$64:$BP$64=2)*($AS$64:$AZ$64&lt;&gt;"")*IF(((UPPER($AS$64:$AZ$64)="BLANK")+(UPPER($AS$64:$AZ$64)="(BLANK)")+(UPPER($AS$64:$AZ$64)="EMPTY")+(UPPER($AS$64:$AZ$64)="(EMPTY)"))&gt;0,IFERROR(('Final Calculation Sheet'!$D$39)&amp;"","")="",ISNUMBER(SEARCH($AS$64:$AZ$64,IFERROR(('Final Calculation Sheet'!$D$39)&amp;"","")))))&gt;0),IF(COUNTIF($BI$64:$BP$64,3)=0,TRUE,SUMPRODUCT(($BI$64:$BP$64=3)*($AS$64:$AZ$64&lt;&gt;"")*IF(((UPPER($AS$64:$AZ$64)="BLANK")+(UPPER($AS$64:$AZ$64)="(BLANK)")+(UPPER($AS$64:$AZ$64)="EMPTY")+(UPPER($AS$64:$AZ$64)="(EMPTY)"))&gt;0,IFERROR(('Final Calculation Sheet'!$D$39)&amp;"","")="",ISNUMBER(SEARCH($AS$64:$AZ$64,IFERROR(('Final Calculation Sheet'!$D$39)&amp;"","")))))&gt;0),IF(COUNTIF($BI$64:$BP$64,4)=0,TRUE,SUMPRODUCT(($BI$64:$BP$64=4)*($AS$64:$AZ$64&lt;&gt;"")*IF(((UPPER($AS$64:$AZ$64)="BLANK")+(UPPER($AS$64:$AZ$64)="(BLANK)")+(UPPER($AS$64:$AZ$64)="EMPTY")+(UPPER($AS$64:$AZ$64)="(EMPTY)"))&gt;0,IFERROR(('Final Calculation Sheet'!$D$39)&amp;"","")="",ISNUMBER(SEARCH($AS$64:$AZ$64,IFERROR(('Final Calculation Sheet'!$D$39)&amp;"","")))))&gt;0),IF(COUNTIF($BI$64:$BP$64,5)=0,TRUE,SUMPRODUCT(($BI$64:$BP$64=5)*($AS$64:$AZ$64&lt;&gt;"")*IF(((UPPER($AS$64:$AZ$64)="BLANK")+(UPPER($AS$64:$AZ$64)="(BLANK)")+(UPPER($AS$64:$AZ$64)="EMPTY")+(UPPER($AS$64:$AZ$64)="(EMPTY)"))&gt;0,IFERROR(('Final Calculation Sheet'!$D$39)&amp;"","")="",ISNUMBER(SEARCH($AS$64:$AZ$64,IFERROR(('Final Calculation Sheet'!$D$39)&amp;"","")))))&gt;0),IF(COUNTIF($BI$64:$BP$64,6)=0,TRUE,SUMPRODUCT(($BI$64:$BP$64=6)*($AS$64:$AZ$64&lt;&gt;"")*IF(((UPPER($AS$64:$AZ$64)="BLANK")+(UPPER($AS$64:$AZ$64)="(BLANK)")+(UPPER($AS$64:$AZ$64)="EMPTY")+(UPPER($AS$64:$AZ$64)="(EMPTY)"))&gt;0,IFERROR(('Final Calculation Sheet'!$D$39)&amp;"","")="",ISNUMBER(SEARCH($AS$64:$AZ$64,IFERROR(('Final Calculation Sheet'!$D$39)&amp;"","")))))&gt;0),IF(COUNTIF($BI$64:$BP$64,7)=0,TRUE,SUMPRODUCT(($BI$64:$BP$64=7)*($AS$64:$AZ$64&lt;&gt;"")*IF(((UPPER($AS$64:$AZ$64)="BLANK")+(UPPER($AS$64:$AZ$64)="(BLANK)")+(UPPER($AS$64:$AZ$64)="EMPTY")+(UPPER($AS$64:$AZ$64)="(EMPTY)"))&gt;0,IFERROR(('Final Calculation Sheet'!$D$39)&amp;"","")="",ISNUMBER(SEARCH($AS$64:$AZ$64,IFERROR(('Final Calculation Sheet'!$D$39)&amp;"","")))))&gt;0),IF(COUNTIF($BI$64:$BP$64,8)=0,TRUE,SUMPRODUCT(($BI$64:$BP$64=8)*($AS$64:$AZ$64&lt;&gt;"")*IF(((UPPER($AS$64:$AZ$64)="BLANK")+(UPPER($AS$64:$AZ$64)="(BLANK)")+(UPPER($AS$64:$AZ$64)="EMPTY")+(UPPER($AS$64:$AZ$64)="(EMPTY)"))&gt;0,IFERROR(('Final Calculation Sheet'!$D$39)&amp;"","")="",ISNUMBER(SEARCH($AS$64:$AZ$64,IFERROR(('Final Calculation Sheet'!$D$39)&amp;"","")))))&gt;0))))</f>
        <v>1</v>
      </c>
      <c r="BR40">
        <f>IF($F$4="",1,--(AND(SUMPRODUCT(--($AS$65:$AZ$65&lt;&gt;""))&gt;0,IF(COUNTIF($BI$65:$BP$65,1)=0,TRUE,SUMPRODUCT(($BI$65:$BP$65=1)*($AS$65:$AZ$65&lt;&gt;"")*IF(((UPPER($AS$65:$AZ$65)="BLANK")+(UPPER($AS$65:$AZ$65)="(BLANK)")+(UPPER($AS$65:$AZ$65)="EMPTY")+(UPPER($AS$65:$AZ$65)="(EMPTY)"))&gt;0,IFERROR(('Final Calculation Sheet'!$A$39)&amp;"","")="",ISNUMBER(SEARCH($AS$65:$AZ$65,IFERROR(('Final Calculation Sheet'!$A$39)&amp;"","")))))&gt;0),IF(COUNTIF($BI$65:$BP$65,2)=0,TRUE,SUMPRODUCT(($BI$65:$BP$65=2)*($AS$65:$AZ$65&lt;&gt;"")*IF(((UPPER($AS$65:$AZ$65)="BLANK")+(UPPER($AS$65:$AZ$65)="(BLANK)")+(UPPER($AS$65:$AZ$65)="EMPTY")+(UPPER($AS$65:$AZ$65)="(EMPTY)"))&gt;0,IFERROR(('Final Calculation Sheet'!$A$39)&amp;"","")="",ISNUMBER(SEARCH($AS$65:$AZ$65,IFERROR(('Final Calculation Sheet'!$A$39)&amp;"","")))))&gt;0),IF(COUNTIF($BI$65:$BP$65,3)=0,TRUE,SUMPRODUCT(($BI$65:$BP$65=3)*($AS$65:$AZ$65&lt;&gt;"")*IF(((UPPER($AS$65:$AZ$65)="BLANK")+(UPPER($AS$65:$AZ$65)="(BLANK)")+(UPPER($AS$65:$AZ$65)="EMPTY")+(UPPER($AS$65:$AZ$65)="(EMPTY)"))&gt;0,IFERROR(('Final Calculation Sheet'!$A$39)&amp;"","")="",ISNUMBER(SEARCH($AS$65:$AZ$65,IFERROR(('Final Calculation Sheet'!$A$39)&amp;"","")))))&gt;0),IF(COUNTIF($BI$65:$BP$65,4)=0,TRUE,SUMPRODUCT(($BI$65:$BP$65=4)*($AS$65:$AZ$65&lt;&gt;"")*IF(((UPPER($AS$65:$AZ$65)="BLANK")+(UPPER($AS$65:$AZ$65)="(BLANK)")+(UPPER($AS$65:$AZ$65)="EMPTY")+(UPPER($AS$65:$AZ$65)="(EMPTY)"))&gt;0,IFERROR(('Final Calculation Sheet'!$A$39)&amp;"","")="",ISNUMBER(SEARCH($AS$65:$AZ$65,IFERROR(('Final Calculation Sheet'!$A$39)&amp;"","")))))&gt;0),IF(COUNTIF($BI$65:$BP$65,5)=0,TRUE,SUMPRODUCT(($BI$65:$BP$65=5)*($AS$65:$AZ$65&lt;&gt;"")*IF(((UPPER($AS$65:$AZ$65)="BLANK")+(UPPER($AS$65:$AZ$65)="(BLANK)")+(UPPER($AS$65:$AZ$65)="EMPTY")+(UPPER($AS$65:$AZ$65)="(EMPTY)"))&gt;0,IFERROR(('Final Calculation Sheet'!$A$39)&amp;"","")="",ISNUMBER(SEARCH($AS$65:$AZ$65,IFERROR(('Final Calculation Sheet'!$A$39)&amp;"","")))))&gt;0),IF(COUNTIF($BI$65:$BP$65,6)=0,TRUE,SUMPRODUCT(($BI$65:$BP$65=6)*($AS$65:$AZ$65&lt;&gt;"")*IF(((UPPER($AS$65:$AZ$65)="BLANK")+(UPPER($AS$65:$AZ$65)="(BLANK)")+(UPPER($AS$65:$AZ$65)="EMPTY")+(UPPER($AS$65:$AZ$65)="(EMPTY)"))&gt;0,IFERROR(('Final Calculation Sheet'!$A$39)&amp;"","")="",ISNUMBER(SEARCH($AS$65:$AZ$65,IFERROR(('Final Calculation Sheet'!$A$39)&amp;"","")))))&gt;0),IF(COUNTIF($BI$65:$BP$65,7)=0,TRUE,SUMPRODUCT(($BI$65:$BP$65=7)*($AS$65:$AZ$65&lt;&gt;"")*IF(((UPPER($AS$65:$AZ$65)="BLANK")+(UPPER($AS$65:$AZ$65)="(BLANK)")+(UPPER($AS$65:$AZ$65)="EMPTY")+(UPPER($AS$65:$AZ$65)="(EMPTY)"))&gt;0,IFERROR(('Final Calculation Sheet'!$A$39)&amp;"","")="",ISNUMBER(SEARCH($AS$65:$AZ$65,IFERROR(('Final Calculation Sheet'!$A$39)&amp;"","")))))&gt;0),IF(COUNTIF($BI$65:$BP$65,8)=0,TRUE,SUMPRODUCT(($BI$65:$BP$65=8)*($AS$65:$AZ$65&lt;&gt;"")*IF(((UPPER($AS$65:$AZ$65)="BLANK")+(UPPER($AS$65:$AZ$65)="(BLANK)")+(UPPER($AS$65:$AZ$65)="EMPTY")+(UPPER($AS$65:$AZ$65)="(EMPTY)"))&gt;0,IFERROR(('Final Calculation Sheet'!$A$39)&amp;"","")="",ISNUMBER(SEARCH($AS$65:$AZ$65,IFERROR(('Final Calculation Sheet'!$A$39)&amp;"","")))))&gt;0))))</f>
        <v>1</v>
      </c>
      <c r="BS40">
        <f>IF($G$4="",1,--(AND(SUMPRODUCT(--($AS$66:$AZ$66&lt;&gt;""))&gt;0,IF(COUNTIF($BI$66:$BP$66,1)=0,TRUE,SUMPRODUCT(($BI$66:$BP$66=1)*($AS$66:$AZ$66&lt;&gt;"")*IF(((UPPER($AS$66:$AZ$66)="BLANK")+(UPPER($AS$66:$AZ$66)="(BLANK)")+(UPPER($AS$66:$AZ$66)="EMPTY")+(UPPER($AS$66:$AZ$66)="(EMPTY)"))&gt;0,IFERROR(('Final Calculation Sheet'!$E$39)&amp;"","")="",ISNUMBER(SEARCH($AS$66:$AZ$66,IFERROR(('Final Calculation Sheet'!$E$39)&amp;"","")))))&gt;0),IF(COUNTIF($BI$66:$BP$66,2)=0,TRUE,SUMPRODUCT(($BI$66:$BP$66=2)*($AS$66:$AZ$66&lt;&gt;"")*IF(((UPPER($AS$66:$AZ$66)="BLANK")+(UPPER($AS$66:$AZ$66)="(BLANK)")+(UPPER($AS$66:$AZ$66)="EMPTY")+(UPPER($AS$66:$AZ$66)="(EMPTY)"))&gt;0,IFERROR(('Final Calculation Sheet'!$E$39)&amp;"","")="",ISNUMBER(SEARCH($AS$66:$AZ$66,IFERROR(('Final Calculation Sheet'!$E$39)&amp;"","")))))&gt;0),IF(COUNTIF($BI$66:$BP$66,3)=0,TRUE,SUMPRODUCT(($BI$66:$BP$66=3)*($AS$66:$AZ$66&lt;&gt;"")*IF(((UPPER($AS$66:$AZ$66)="BLANK")+(UPPER($AS$66:$AZ$66)="(BLANK)")+(UPPER($AS$66:$AZ$66)="EMPTY")+(UPPER($AS$66:$AZ$66)="(EMPTY)"))&gt;0,IFERROR(('Final Calculation Sheet'!$E$39)&amp;"","")="",ISNUMBER(SEARCH($AS$66:$AZ$66,IFERROR(('Final Calculation Sheet'!$E$39)&amp;"","")))))&gt;0),IF(COUNTIF($BI$66:$BP$66,4)=0,TRUE,SUMPRODUCT(($BI$66:$BP$66=4)*($AS$66:$AZ$66&lt;&gt;"")*IF(((UPPER($AS$66:$AZ$66)="BLANK")+(UPPER($AS$66:$AZ$66)="(BLANK)")+(UPPER($AS$66:$AZ$66)="EMPTY")+(UPPER($AS$66:$AZ$66)="(EMPTY)"))&gt;0,IFERROR(('Final Calculation Sheet'!$E$39)&amp;"","")="",ISNUMBER(SEARCH($AS$66:$AZ$66,IFERROR(('Final Calculation Sheet'!$E$39)&amp;"","")))))&gt;0),IF(COUNTIF($BI$66:$BP$66,5)=0,TRUE,SUMPRODUCT(($BI$66:$BP$66=5)*($AS$66:$AZ$66&lt;&gt;"")*IF(((UPPER($AS$66:$AZ$66)="BLANK")+(UPPER($AS$66:$AZ$66)="(BLANK)")+(UPPER($AS$66:$AZ$66)="EMPTY")+(UPPER($AS$66:$AZ$66)="(EMPTY)"))&gt;0,IFERROR(('Final Calculation Sheet'!$E$39)&amp;"","")="",ISNUMBER(SEARCH($AS$66:$AZ$66,IFERROR(('Final Calculation Sheet'!$E$39)&amp;"","")))))&gt;0),IF(COUNTIF($BI$66:$BP$66,6)=0,TRUE,SUMPRODUCT(($BI$66:$BP$66=6)*($AS$66:$AZ$66&lt;&gt;"")*IF(((UPPER($AS$66:$AZ$66)="BLANK")+(UPPER($AS$66:$AZ$66)="(BLANK)")+(UPPER($AS$66:$AZ$66)="EMPTY")+(UPPER($AS$66:$AZ$66)="(EMPTY)"))&gt;0,IFERROR(('Final Calculation Sheet'!$E$39)&amp;"","")="",ISNUMBER(SEARCH($AS$66:$AZ$66,IFERROR(('Final Calculation Sheet'!$E$39)&amp;"","")))))&gt;0),IF(COUNTIF($BI$66:$BP$66,7)=0,TRUE,SUMPRODUCT(($BI$66:$BP$66=7)*($AS$66:$AZ$66&lt;&gt;"")*IF(((UPPER($AS$66:$AZ$66)="BLANK")+(UPPER($AS$66:$AZ$66)="(BLANK)")+(UPPER($AS$66:$AZ$66)="EMPTY")+(UPPER($AS$66:$AZ$66)="(EMPTY)"))&gt;0,IFERROR(('Final Calculation Sheet'!$E$39)&amp;"","")="",ISNUMBER(SEARCH($AS$66:$AZ$66,IFERROR(('Final Calculation Sheet'!$E$39)&amp;"","")))))&gt;0),IF(COUNTIF($BI$66:$BP$66,8)=0,TRUE,SUMPRODUCT(($BI$66:$BP$66=8)*($AS$66:$AZ$66&lt;&gt;"")*IF(((UPPER($AS$66:$AZ$66)="BLANK")+(UPPER($AS$66:$AZ$66)="(BLANK)")+(UPPER($AS$66:$AZ$66)="EMPTY")+(UPPER($AS$66:$AZ$66)="(EMPTY)"))&gt;0,IFERROR(('Final Calculation Sheet'!$E$39)&amp;"","")="",ISNUMBER(SEARCH($AS$66:$AZ$66,IFERROR(('Final Calculation Sheet'!$E$39)&amp;"","")))))&gt;0))))</f>
        <v>1</v>
      </c>
      <c r="BT40">
        <f>IF($H$4="",1,--(AND(SUMPRODUCT(--($AS$67:$AZ$67&lt;&gt;""))&gt;0,IF(COUNTIF($BI$67:$BP$67,1)=0,TRUE,SUMPRODUCT(($BI$67:$BP$67=1)*($AS$67:$AZ$67&lt;&gt;"")*IF(((UPPER($AS$67:$AZ$67)="BLANK")+(UPPER($AS$67:$AZ$67)="(BLANK)")+(UPPER($AS$67:$AZ$67)="EMPTY")+(UPPER($AS$67:$AZ$67)="(EMPTY)"))&gt;0,IFERROR(('Final Calculation Sheet'!$C$39)&amp;"","")="",ISNUMBER(SEARCH($AS$67:$AZ$67,IFERROR(('Final Calculation Sheet'!$C$39)&amp;"","")))))&gt;0),IF(COUNTIF($BI$67:$BP$67,2)=0,TRUE,SUMPRODUCT(($BI$67:$BP$67=2)*($AS$67:$AZ$67&lt;&gt;"")*IF(((UPPER($AS$67:$AZ$67)="BLANK")+(UPPER($AS$67:$AZ$67)="(BLANK)")+(UPPER($AS$67:$AZ$67)="EMPTY")+(UPPER($AS$67:$AZ$67)="(EMPTY)"))&gt;0,IFERROR(('Final Calculation Sheet'!$C$39)&amp;"","")="",ISNUMBER(SEARCH($AS$67:$AZ$67,IFERROR(('Final Calculation Sheet'!$C$39)&amp;"","")))))&gt;0),IF(COUNTIF($BI$67:$BP$67,3)=0,TRUE,SUMPRODUCT(($BI$67:$BP$67=3)*($AS$67:$AZ$67&lt;&gt;"")*IF(((UPPER($AS$67:$AZ$67)="BLANK")+(UPPER($AS$67:$AZ$67)="(BLANK)")+(UPPER($AS$67:$AZ$67)="EMPTY")+(UPPER($AS$67:$AZ$67)="(EMPTY)"))&gt;0,IFERROR(('Final Calculation Sheet'!$C$39)&amp;"","")="",ISNUMBER(SEARCH($AS$67:$AZ$67,IFERROR(('Final Calculation Sheet'!$C$39)&amp;"","")))))&gt;0),IF(COUNTIF($BI$67:$BP$67,4)=0,TRUE,SUMPRODUCT(($BI$67:$BP$67=4)*($AS$67:$AZ$67&lt;&gt;"")*IF(((UPPER($AS$67:$AZ$67)="BLANK")+(UPPER($AS$67:$AZ$67)="(BLANK)")+(UPPER($AS$67:$AZ$67)="EMPTY")+(UPPER($AS$67:$AZ$67)="(EMPTY)"))&gt;0,IFERROR(('Final Calculation Sheet'!$C$39)&amp;"","")="",ISNUMBER(SEARCH($AS$67:$AZ$67,IFERROR(('Final Calculation Sheet'!$C$39)&amp;"","")))))&gt;0),IF(COUNTIF($BI$67:$BP$67,5)=0,TRUE,SUMPRODUCT(($BI$67:$BP$67=5)*($AS$67:$AZ$67&lt;&gt;"")*IF(((UPPER($AS$67:$AZ$67)="BLANK")+(UPPER($AS$67:$AZ$67)="(BLANK)")+(UPPER($AS$67:$AZ$67)="EMPTY")+(UPPER($AS$67:$AZ$67)="(EMPTY)"))&gt;0,IFERROR(('Final Calculation Sheet'!$C$39)&amp;"","")="",ISNUMBER(SEARCH($AS$67:$AZ$67,IFERROR(('Final Calculation Sheet'!$C$39)&amp;"","")))))&gt;0),IF(COUNTIF($BI$67:$BP$67,6)=0,TRUE,SUMPRODUCT(($BI$67:$BP$67=6)*($AS$67:$AZ$67&lt;&gt;"")*IF(((UPPER($AS$67:$AZ$67)="BLANK")+(UPPER($AS$67:$AZ$67)="(BLANK)")+(UPPER($AS$67:$AZ$67)="EMPTY")+(UPPER($AS$67:$AZ$67)="(EMPTY)"))&gt;0,IFERROR(('Final Calculation Sheet'!$C$39)&amp;"","")="",ISNUMBER(SEARCH($AS$67:$AZ$67,IFERROR(('Final Calculation Sheet'!$C$39)&amp;"","")))))&gt;0),IF(COUNTIF($BI$67:$BP$67,7)=0,TRUE,SUMPRODUCT(($BI$67:$BP$67=7)*($AS$67:$AZ$67&lt;&gt;"")*IF(((UPPER($AS$67:$AZ$67)="BLANK")+(UPPER($AS$67:$AZ$67)="(BLANK)")+(UPPER($AS$67:$AZ$67)="EMPTY")+(UPPER($AS$67:$AZ$67)="(EMPTY)"))&gt;0,IFERROR(('Final Calculation Sheet'!$C$39)&amp;"","")="",ISNUMBER(SEARCH($AS$67:$AZ$67,IFERROR(('Final Calculation Sheet'!$C$39)&amp;"","")))))&gt;0),IF(COUNTIF($BI$67:$BP$67,8)=0,TRUE,SUMPRODUCT(($BI$67:$BP$67=8)*($AS$67:$AZ$67&lt;&gt;"")*IF(((UPPER($AS$67:$AZ$67)="BLANK")+(UPPER($AS$67:$AZ$67)="(BLANK)")+(UPPER($AS$67:$AZ$67)="EMPTY")+(UPPER($AS$67:$AZ$67)="(EMPTY)"))&gt;0,IFERROR(('Final Calculation Sheet'!$C$39)&amp;"","")="",ISNUMBER(SEARCH($AS$67:$AZ$67,IFERROR(('Final Calculation Sheet'!$C$39)&amp;"","")))))&gt;0))))</f>
        <v>1</v>
      </c>
      <c r="BU40">
        <f>IF($I$4="",1,--(AND(SUMPRODUCT(--($AS$68:$AZ$68&lt;&gt;""))&gt;0,IF(COUNTIF($BI$68:$BP$68,1)=0,TRUE,SUMPRODUCT(($BI$68:$BP$68=1)*($AS$68:$AZ$68&lt;&gt;"")*IF(((UPPER($AS$68:$AZ$68)="BLANK")+(UPPER($AS$68:$AZ$68)="(BLANK)")+(UPPER($AS$68:$AZ$68)="EMPTY")+(UPPER($AS$68:$AZ$68)="(EMPTY)"))&gt;0,IFERROR(('Final Calculation Sheet'!$H$39)&amp;"","")="",ISNUMBER(SEARCH($AS$68:$AZ$68,IFERROR(('Final Calculation Sheet'!$H$39)&amp;"","")))))&gt;0),IF(COUNTIF($BI$68:$BP$68,2)=0,TRUE,SUMPRODUCT(($BI$68:$BP$68=2)*($AS$68:$AZ$68&lt;&gt;"")*IF(((UPPER($AS$68:$AZ$68)="BLANK")+(UPPER($AS$68:$AZ$68)="(BLANK)")+(UPPER($AS$68:$AZ$68)="EMPTY")+(UPPER($AS$68:$AZ$68)="(EMPTY)"))&gt;0,IFERROR(('Final Calculation Sheet'!$H$39)&amp;"","")="",ISNUMBER(SEARCH($AS$68:$AZ$68,IFERROR(('Final Calculation Sheet'!$H$39)&amp;"","")))))&gt;0),IF(COUNTIF($BI$68:$BP$68,3)=0,TRUE,SUMPRODUCT(($BI$68:$BP$68=3)*($AS$68:$AZ$68&lt;&gt;"")*IF(((UPPER($AS$68:$AZ$68)="BLANK")+(UPPER($AS$68:$AZ$68)="(BLANK)")+(UPPER($AS$68:$AZ$68)="EMPTY")+(UPPER($AS$68:$AZ$68)="(EMPTY)"))&gt;0,IFERROR(('Final Calculation Sheet'!$H$39)&amp;"","")="",ISNUMBER(SEARCH($AS$68:$AZ$68,IFERROR(('Final Calculation Sheet'!$H$39)&amp;"","")))))&gt;0),IF(COUNTIF($BI$68:$BP$68,4)=0,TRUE,SUMPRODUCT(($BI$68:$BP$68=4)*($AS$68:$AZ$68&lt;&gt;"")*IF(((UPPER($AS$68:$AZ$68)="BLANK")+(UPPER($AS$68:$AZ$68)="(BLANK)")+(UPPER($AS$68:$AZ$68)="EMPTY")+(UPPER($AS$68:$AZ$68)="(EMPTY)"))&gt;0,IFERROR(('Final Calculation Sheet'!$H$39)&amp;"","")="",ISNUMBER(SEARCH($AS$68:$AZ$68,IFERROR(('Final Calculation Sheet'!$H$39)&amp;"","")))))&gt;0),IF(COUNTIF($BI$68:$BP$68,5)=0,TRUE,SUMPRODUCT(($BI$68:$BP$68=5)*($AS$68:$AZ$68&lt;&gt;"")*IF(((UPPER($AS$68:$AZ$68)="BLANK")+(UPPER($AS$68:$AZ$68)="(BLANK)")+(UPPER($AS$68:$AZ$68)="EMPTY")+(UPPER($AS$68:$AZ$68)="(EMPTY)"))&gt;0,IFERROR(('Final Calculation Sheet'!$H$39)&amp;"","")="",ISNUMBER(SEARCH($AS$68:$AZ$68,IFERROR(('Final Calculation Sheet'!$H$39)&amp;"","")))))&gt;0),IF(COUNTIF($BI$68:$BP$68,6)=0,TRUE,SUMPRODUCT(($BI$68:$BP$68=6)*($AS$68:$AZ$68&lt;&gt;"")*IF(((UPPER($AS$68:$AZ$68)="BLANK")+(UPPER($AS$68:$AZ$68)="(BLANK)")+(UPPER($AS$68:$AZ$68)="EMPTY")+(UPPER($AS$68:$AZ$68)="(EMPTY)"))&gt;0,IFERROR(('Final Calculation Sheet'!$H$39)&amp;"","")="",ISNUMBER(SEARCH($AS$68:$AZ$68,IFERROR(('Final Calculation Sheet'!$H$39)&amp;"","")))))&gt;0),IF(COUNTIF($BI$68:$BP$68,7)=0,TRUE,SUMPRODUCT(($BI$68:$BP$68=7)*($AS$68:$AZ$68&lt;&gt;"")*IF(((UPPER($AS$68:$AZ$68)="BLANK")+(UPPER($AS$68:$AZ$68)="(BLANK)")+(UPPER($AS$68:$AZ$68)="EMPTY")+(UPPER($AS$68:$AZ$68)="(EMPTY)"))&gt;0,IFERROR(('Final Calculation Sheet'!$H$39)&amp;"","")="",ISNUMBER(SEARCH($AS$68:$AZ$68,IFERROR(('Final Calculation Sheet'!$H$39)&amp;"","")))))&gt;0),IF(COUNTIF($BI$68:$BP$68,8)=0,TRUE,SUMPRODUCT(($BI$68:$BP$68=8)*($AS$68:$AZ$68&lt;&gt;"")*IF(((UPPER($AS$68:$AZ$68)="BLANK")+(UPPER($AS$68:$AZ$68)="(BLANK)")+(UPPER($AS$68:$AZ$68)="EMPTY")+(UPPER($AS$68:$AZ$68)="(EMPTY)"))&gt;0,IFERROR(('Final Calculation Sheet'!$H$39)&amp;"","")="",ISNUMBER(SEARCH($AS$68:$AZ$68,IFERROR(('Final Calculation Sheet'!$H$39)&amp;"","")))))&gt;0))))</f>
        <v>1</v>
      </c>
      <c r="BV40">
        <f>IF($J$4="",1,--(AND(SUMPRODUCT(--($AS$69:$AZ$69&lt;&gt;""))&gt;0,IF(COUNTIF($BI$69:$BP$69,1)=0,TRUE,SUMPRODUCT(($BI$69:$BP$69=1)*($AS$69:$AZ$69&lt;&gt;"")*IF(((UPPER($AS$69:$AZ$69)="BLANK")+(UPPER($AS$69:$AZ$69)="(BLANK)")+(UPPER($AS$69:$AZ$69)="EMPTY")+(UPPER($AS$69:$AZ$69)="(EMPTY)"))&gt;0,IFERROR(('Final Calculation Sheet'!$I$39)&amp;"","")="",ISNUMBER(SEARCH($AS$69:$AZ$69,IFERROR(('Final Calculation Sheet'!$I$39)&amp;"","")))))&gt;0),IF(COUNTIF($BI$69:$BP$69,2)=0,TRUE,SUMPRODUCT(($BI$69:$BP$69=2)*($AS$69:$AZ$69&lt;&gt;"")*IF(((UPPER($AS$69:$AZ$69)="BLANK")+(UPPER($AS$69:$AZ$69)="(BLANK)")+(UPPER($AS$69:$AZ$69)="EMPTY")+(UPPER($AS$69:$AZ$69)="(EMPTY)"))&gt;0,IFERROR(('Final Calculation Sheet'!$I$39)&amp;"","")="",ISNUMBER(SEARCH($AS$69:$AZ$69,IFERROR(('Final Calculation Sheet'!$I$39)&amp;"","")))))&gt;0),IF(COUNTIF($BI$69:$BP$69,3)=0,TRUE,SUMPRODUCT(($BI$69:$BP$69=3)*($AS$69:$AZ$69&lt;&gt;"")*IF(((UPPER($AS$69:$AZ$69)="BLANK")+(UPPER($AS$69:$AZ$69)="(BLANK)")+(UPPER($AS$69:$AZ$69)="EMPTY")+(UPPER($AS$69:$AZ$69)="(EMPTY)"))&gt;0,IFERROR(('Final Calculation Sheet'!$I$39)&amp;"","")="",ISNUMBER(SEARCH($AS$69:$AZ$69,IFERROR(('Final Calculation Sheet'!$I$39)&amp;"","")))))&gt;0),IF(COUNTIF($BI$69:$BP$69,4)=0,TRUE,SUMPRODUCT(($BI$69:$BP$69=4)*($AS$69:$AZ$69&lt;&gt;"")*IF(((UPPER($AS$69:$AZ$69)="BLANK")+(UPPER($AS$69:$AZ$69)="(BLANK)")+(UPPER($AS$69:$AZ$69)="EMPTY")+(UPPER($AS$69:$AZ$69)="(EMPTY)"))&gt;0,IFERROR(('Final Calculation Sheet'!$I$39)&amp;"","")="",ISNUMBER(SEARCH($AS$69:$AZ$69,IFERROR(('Final Calculation Sheet'!$I$39)&amp;"","")))))&gt;0),IF(COUNTIF($BI$69:$BP$69,5)=0,TRUE,SUMPRODUCT(($BI$69:$BP$69=5)*($AS$69:$AZ$69&lt;&gt;"")*IF(((UPPER($AS$69:$AZ$69)="BLANK")+(UPPER($AS$69:$AZ$69)="(BLANK)")+(UPPER($AS$69:$AZ$69)="EMPTY")+(UPPER($AS$69:$AZ$69)="(EMPTY)"))&gt;0,IFERROR(('Final Calculation Sheet'!$I$39)&amp;"","")="",ISNUMBER(SEARCH($AS$69:$AZ$69,IFERROR(('Final Calculation Sheet'!$I$39)&amp;"","")))))&gt;0),IF(COUNTIF($BI$69:$BP$69,6)=0,TRUE,SUMPRODUCT(($BI$69:$BP$69=6)*($AS$69:$AZ$69&lt;&gt;"")*IF(((UPPER($AS$69:$AZ$69)="BLANK")+(UPPER($AS$69:$AZ$69)="(BLANK)")+(UPPER($AS$69:$AZ$69)="EMPTY")+(UPPER($AS$69:$AZ$69)="(EMPTY)"))&gt;0,IFERROR(('Final Calculation Sheet'!$I$39)&amp;"","")="",ISNUMBER(SEARCH($AS$69:$AZ$69,IFERROR(('Final Calculation Sheet'!$I$39)&amp;"","")))))&gt;0),IF(COUNTIF($BI$69:$BP$69,7)=0,TRUE,SUMPRODUCT(($BI$69:$BP$69=7)*($AS$69:$AZ$69&lt;&gt;"")*IF(((UPPER($AS$69:$AZ$69)="BLANK")+(UPPER($AS$69:$AZ$69)="(BLANK)")+(UPPER($AS$69:$AZ$69)="EMPTY")+(UPPER($AS$69:$AZ$69)="(EMPTY)"))&gt;0,IFERROR(('Final Calculation Sheet'!$I$39)&amp;"","")="",ISNUMBER(SEARCH($AS$69:$AZ$69,IFERROR(('Final Calculation Sheet'!$I$39)&amp;"","")))))&gt;0),IF(COUNTIF($BI$69:$BP$69,8)=0,TRUE,SUMPRODUCT(($BI$69:$BP$69=8)*($AS$69:$AZ$69&lt;&gt;"")*IF(((UPPER($AS$69:$AZ$69)="BLANK")+(UPPER($AS$69:$AZ$69)="(BLANK)")+(UPPER($AS$69:$AZ$69)="EMPTY")+(UPPER($AS$69:$AZ$69)="(EMPTY)"))&gt;0,IFERROR(('Final Calculation Sheet'!$I$39)&amp;"","")="",ISNUMBER(SEARCH($AS$69:$AZ$69,IFERROR(('Final Calculation Sheet'!$I$39)&amp;"","")))))&gt;0))))</f>
        <v>1</v>
      </c>
      <c r="BW40">
        <f>IF($K$4="",1,--(AND(SUMPRODUCT(--($AS$70:$AZ$70&lt;&gt;""))&gt;0,IF(COUNTIF($BI$70:$BP$70,1)=0,TRUE,SUMPRODUCT(($BI$70:$BP$70=1)*($AS$70:$AZ$70&lt;&gt;"")*IF(((UPPER($AS$70:$AZ$70)="BLANK")+(UPPER($AS$70:$AZ$70)="(BLANK)")+(UPPER($AS$70:$AZ$70)="EMPTY")+(UPPER($AS$70:$AZ$70)="(EMPTY)"))&gt;0,IFERROR(('Final Calculation Sheet'!$J$39)&amp;"","")="",ISNUMBER(SEARCH($AS$70:$AZ$70,IFERROR(('Final Calculation Sheet'!$J$39)&amp;"","")))))&gt;0),IF(COUNTIF($BI$70:$BP$70,2)=0,TRUE,SUMPRODUCT(($BI$70:$BP$70=2)*($AS$70:$AZ$70&lt;&gt;"")*IF(((UPPER($AS$70:$AZ$70)="BLANK")+(UPPER($AS$70:$AZ$70)="(BLANK)")+(UPPER($AS$70:$AZ$70)="EMPTY")+(UPPER($AS$70:$AZ$70)="(EMPTY)"))&gt;0,IFERROR(('Final Calculation Sheet'!$J$39)&amp;"","")="",ISNUMBER(SEARCH($AS$70:$AZ$70,IFERROR(('Final Calculation Sheet'!$J$39)&amp;"","")))))&gt;0),IF(COUNTIF($BI$70:$BP$70,3)=0,TRUE,SUMPRODUCT(($BI$70:$BP$70=3)*($AS$70:$AZ$70&lt;&gt;"")*IF(((UPPER($AS$70:$AZ$70)="BLANK")+(UPPER($AS$70:$AZ$70)="(BLANK)")+(UPPER($AS$70:$AZ$70)="EMPTY")+(UPPER($AS$70:$AZ$70)="(EMPTY)"))&gt;0,IFERROR(('Final Calculation Sheet'!$J$39)&amp;"","")="",ISNUMBER(SEARCH($AS$70:$AZ$70,IFERROR(('Final Calculation Sheet'!$J$39)&amp;"","")))))&gt;0),IF(COUNTIF($BI$70:$BP$70,4)=0,TRUE,SUMPRODUCT(($BI$70:$BP$70=4)*($AS$70:$AZ$70&lt;&gt;"")*IF(((UPPER($AS$70:$AZ$70)="BLANK")+(UPPER($AS$70:$AZ$70)="(BLANK)")+(UPPER($AS$70:$AZ$70)="EMPTY")+(UPPER($AS$70:$AZ$70)="(EMPTY)"))&gt;0,IFERROR(('Final Calculation Sheet'!$J$39)&amp;"","")="",ISNUMBER(SEARCH($AS$70:$AZ$70,IFERROR(('Final Calculation Sheet'!$J$39)&amp;"","")))))&gt;0),IF(COUNTIF($BI$70:$BP$70,5)=0,TRUE,SUMPRODUCT(($BI$70:$BP$70=5)*($AS$70:$AZ$70&lt;&gt;"")*IF(((UPPER($AS$70:$AZ$70)="BLANK")+(UPPER($AS$70:$AZ$70)="(BLANK)")+(UPPER($AS$70:$AZ$70)="EMPTY")+(UPPER($AS$70:$AZ$70)="(EMPTY)"))&gt;0,IFERROR(('Final Calculation Sheet'!$J$39)&amp;"","")="",ISNUMBER(SEARCH($AS$70:$AZ$70,IFERROR(('Final Calculation Sheet'!$J$39)&amp;"","")))))&gt;0),IF(COUNTIF($BI$70:$BP$70,6)=0,TRUE,SUMPRODUCT(($BI$70:$BP$70=6)*($AS$70:$AZ$70&lt;&gt;"")*IF(((UPPER($AS$70:$AZ$70)="BLANK")+(UPPER($AS$70:$AZ$70)="(BLANK)")+(UPPER($AS$70:$AZ$70)="EMPTY")+(UPPER($AS$70:$AZ$70)="(EMPTY)"))&gt;0,IFERROR(('Final Calculation Sheet'!$J$39)&amp;"","")="",ISNUMBER(SEARCH($AS$70:$AZ$70,IFERROR(('Final Calculation Sheet'!$J$39)&amp;"","")))))&gt;0),IF(COUNTIF($BI$70:$BP$70,7)=0,TRUE,SUMPRODUCT(($BI$70:$BP$70=7)*($AS$70:$AZ$70&lt;&gt;"")*IF(((UPPER($AS$70:$AZ$70)="BLANK")+(UPPER($AS$70:$AZ$70)="(BLANK)")+(UPPER($AS$70:$AZ$70)="EMPTY")+(UPPER($AS$70:$AZ$70)="(EMPTY)"))&gt;0,IFERROR(('Final Calculation Sheet'!$J$39)&amp;"","")="",ISNUMBER(SEARCH($AS$70:$AZ$70,IFERROR(('Final Calculation Sheet'!$J$39)&amp;"","")))))&gt;0),IF(COUNTIF($BI$70:$BP$70,8)=0,TRUE,SUMPRODUCT(($BI$70:$BP$70=8)*($AS$70:$AZ$70&lt;&gt;"")*IF(((UPPER($AS$70:$AZ$70)="BLANK")+(UPPER($AS$70:$AZ$70)="(BLANK)")+(UPPER($AS$70:$AZ$70)="EMPTY")+(UPPER($AS$70:$AZ$70)="(EMPTY)"))&gt;0,IFERROR(('Final Calculation Sheet'!$J$39)&amp;"","")="",ISNUMBER(SEARCH($AS$70:$AZ$70,IFERROR(('Final Calculation Sheet'!$J$39)&amp;"","")))))&gt;0))))</f>
        <v>1</v>
      </c>
      <c r="BX40">
        <f>IF($L$4="",1,--(AND(SUMPRODUCT(--($AS$71:$AZ$71&lt;&gt;""))&gt;0,IF(COUNTIF($BI$71:$BP$71,1)=0,TRUE,SUMPRODUCT(($BI$71:$BP$71=1)*($AS$71:$AZ$71&lt;&gt;"")*IF(((UPPER($AS$71:$AZ$71)="BLANK")+(UPPER($AS$71:$AZ$71)="(BLANK)")+(UPPER($AS$71:$AZ$71)="EMPTY")+(UPPER($AS$71:$AZ$71)="(EMPTY)"))&gt;0,IFERROR(('Final Calculation Sheet'!$K$39)&amp;"","")="",ISNUMBER(SEARCH($AS$71:$AZ$71,IFERROR(('Final Calculation Sheet'!$K$39)&amp;"","")))))&gt;0),IF(COUNTIF($BI$71:$BP$71,2)=0,TRUE,SUMPRODUCT(($BI$71:$BP$71=2)*($AS$71:$AZ$71&lt;&gt;"")*IF(((UPPER($AS$71:$AZ$71)="BLANK")+(UPPER($AS$71:$AZ$71)="(BLANK)")+(UPPER($AS$71:$AZ$71)="EMPTY")+(UPPER($AS$71:$AZ$71)="(EMPTY)"))&gt;0,IFERROR(('Final Calculation Sheet'!$K$39)&amp;"","")="",ISNUMBER(SEARCH($AS$71:$AZ$71,IFERROR(('Final Calculation Sheet'!$K$39)&amp;"","")))))&gt;0),IF(COUNTIF($BI$71:$BP$71,3)=0,TRUE,SUMPRODUCT(($BI$71:$BP$71=3)*($AS$71:$AZ$71&lt;&gt;"")*IF(((UPPER($AS$71:$AZ$71)="BLANK")+(UPPER($AS$71:$AZ$71)="(BLANK)")+(UPPER($AS$71:$AZ$71)="EMPTY")+(UPPER($AS$71:$AZ$71)="(EMPTY)"))&gt;0,IFERROR(('Final Calculation Sheet'!$K$39)&amp;"","")="",ISNUMBER(SEARCH($AS$71:$AZ$71,IFERROR(('Final Calculation Sheet'!$K$39)&amp;"","")))))&gt;0),IF(COUNTIF($BI$71:$BP$71,4)=0,TRUE,SUMPRODUCT(($BI$71:$BP$71=4)*($AS$71:$AZ$71&lt;&gt;"")*IF(((UPPER($AS$71:$AZ$71)="BLANK")+(UPPER($AS$71:$AZ$71)="(BLANK)")+(UPPER($AS$71:$AZ$71)="EMPTY")+(UPPER($AS$71:$AZ$71)="(EMPTY)"))&gt;0,IFERROR(('Final Calculation Sheet'!$K$39)&amp;"","")="",ISNUMBER(SEARCH($AS$71:$AZ$71,IFERROR(('Final Calculation Sheet'!$K$39)&amp;"","")))))&gt;0),IF(COUNTIF($BI$71:$BP$71,5)=0,TRUE,SUMPRODUCT(($BI$71:$BP$71=5)*($AS$71:$AZ$71&lt;&gt;"")*IF(((UPPER($AS$71:$AZ$71)="BLANK")+(UPPER($AS$71:$AZ$71)="(BLANK)")+(UPPER($AS$71:$AZ$71)="EMPTY")+(UPPER($AS$71:$AZ$71)="(EMPTY)"))&gt;0,IFERROR(('Final Calculation Sheet'!$K$39)&amp;"","")="",ISNUMBER(SEARCH($AS$71:$AZ$71,IFERROR(('Final Calculation Sheet'!$K$39)&amp;"","")))))&gt;0),IF(COUNTIF($BI$71:$BP$71,6)=0,TRUE,SUMPRODUCT(($BI$71:$BP$71=6)*($AS$71:$AZ$71&lt;&gt;"")*IF(((UPPER($AS$71:$AZ$71)="BLANK")+(UPPER($AS$71:$AZ$71)="(BLANK)")+(UPPER($AS$71:$AZ$71)="EMPTY")+(UPPER($AS$71:$AZ$71)="(EMPTY)"))&gt;0,IFERROR(('Final Calculation Sheet'!$K$39)&amp;"","")="",ISNUMBER(SEARCH($AS$71:$AZ$71,IFERROR(('Final Calculation Sheet'!$K$39)&amp;"","")))))&gt;0),IF(COUNTIF($BI$71:$BP$71,7)=0,TRUE,SUMPRODUCT(($BI$71:$BP$71=7)*($AS$71:$AZ$71&lt;&gt;"")*IF(((UPPER($AS$71:$AZ$71)="BLANK")+(UPPER($AS$71:$AZ$71)="(BLANK)")+(UPPER($AS$71:$AZ$71)="EMPTY")+(UPPER($AS$71:$AZ$71)="(EMPTY)"))&gt;0,IFERROR(('Final Calculation Sheet'!$K$39)&amp;"","")="",ISNUMBER(SEARCH($AS$71:$AZ$71,IFERROR(('Final Calculation Sheet'!$K$39)&amp;"","")))))&gt;0),IF(COUNTIF($BI$71:$BP$71,8)=0,TRUE,SUMPRODUCT(($BI$71:$BP$71=8)*($AS$71:$AZ$71&lt;&gt;"")*IF(((UPPER($AS$71:$AZ$71)="BLANK")+(UPPER($AS$71:$AZ$71)="(BLANK)")+(UPPER($AS$71:$AZ$71)="EMPTY")+(UPPER($AS$71:$AZ$71)="(EMPTY)"))&gt;0,IFERROR(('Final Calculation Sheet'!$K$39)&amp;"","")="",ISNUMBER(SEARCH($AS$71:$AZ$71,IFERROR(('Final Calculation Sheet'!$K$39)&amp;"","")))))&gt;0))))</f>
        <v>1</v>
      </c>
      <c r="BY40">
        <f>IF($M$4="",1,--(AND(SUMPRODUCT(--($AS$72:$AZ$72&lt;&gt;""))&gt;0,IF(COUNTIF($BI$72:$BP$72,1)=0,TRUE,SUMPRODUCT(($BI$72:$BP$72=1)*($AS$72:$AZ$72&lt;&gt;"")*IF(((UPPER($AS$72:$AZ$72)="BLANK")+(UPPER($AS$72:$AZ$72)="(BLANK)")+(UPPER($AS$72:$AZ$72)="EMPTY")+(UPPER($AS$72:$AZ$72)="(EMPTY)"))&gt;0,IFERROR(('Final Calculation Sheet'!$L$39)&amp;"","")="",ISNUMBER(SEARCH($AS$72:$AZ$72,IFERROR(('Final Calculation Sheet'!$L$39)&amp;"","")))))&gt;0),IF(COUNTIF($BI$72:$BP$72,2)=0,TRUE,SUMPRODUCT(($BI$72:$BP$72=2)*($AS$72:$AZ$72&lt;&gt;"")*IF(((UPPER($AS$72:$AZ$72)="BLANK")+(UPPER($AS$72:$AZ$72)="(BLANK)")+(UPPER($AS$72:$AZ$72)="EMPTY")+(UPPER($AS$72:$AZ$72)="(EMPTY)"))&gt;0,IFERROR(('Final Calculation Sheet'!$L$39)&amp;"","")="",ISNUMBER(SEARCH($AS$72:$AZ$72,IFERROR(('Final Calculation Sheet'!$L$39)&amp;"","")))))&gt;0),IF(COUNTIF($BI$72:$BP$72,3)=0,TRUE,SUMPRODUCT(($BI$72:$BP$72=3)*($AS$72:$AZ$72&lt;&gt;"")*IF(((UPPER($AS$72:$AZ$72)="BLANK")+(UPPER($AS$72:$AZ$72)="(BLANK)")+(UPPER($AS$72:$AZ$72)="EMPTY")+(UPPER($AS$72:$AZ$72)="(EMPTY)"))&gt;0,IFERROR(('Final Calculation Sheet'!$L$39)&amp;"","")="",ISNUMBER(SEARCH($AS$72:$AZ$72,IFERROR(('Final Calculation Sheet'!$L$39)&amp;"","")))))&gt;0),IF(COUNTIF($BI$72:$BP$72,4)=0,TRUE,SUMPRODUCT(($BI$72:$BP$72=4)*($AS$72:$AZ$72&lt;&gt;"")*IF(((UPPER($AS$72:$AZ$72)="BLANK")+(UPPER($AS$72:$AZ$72)="(BLANK)")+(UPPER($AS$72:$AZ$72)="EMPTY")+(UPPER($AS$72:$AZ$72)="(EMPTY)"))&gt;0,IFERROR(('Final Calculation Sheet'!$L$39)&amp;"","")="",ISNUMBER(SEARCH($AS$72:$AZ$72,IFERROR(('Final Calculation Sheet'!$L$39)&amp;"","")))))&gt;0),IF(COUNTIF($BI$72:$BP$72,5)=0,TRUE,SUMPRODUCT(($BI$72:$BP$72=5)*($AS$72:$AZ$72&lt;&gt;"")*IF(((UPPER($AS$72:$AZ$72)="BLANK")+(UPPER($AS$72:$AZ$72)="(BLANK)")+(UPPER($AS$72:$AZ$72)="EMPTY")+(UPPER($AS$72:$AZ$72)="(EMPTY)"))&gt;0,IFERROR(('Final Calculation Sheet'!$L$39)&amp;"","")="",ISNUMBER(SEARCH($AS$72:$AZ$72,IFERROR(('Final Calculation Sheet'!$L$39)&amp;"","")))))&gt;0),IF(COUNTIF($BI$72:$BP$72,6)=0,TRUE,SUMPRODUCT(($BI$72:$BP$72=6)*($AS$72:$AZ$72&lt;&gt;"")*IF(((UPPER($AS$72:$AZ$72)="BLANK")+(UPPER($AS$72:$AZ$72)="(BLANK)")+(UPPER($AS$72:$AZ$72)="EMPTY")+(UPPER($AS$72:$AZ$72)="(EMPTY)"))&gt;0,IFERROR(('Final Calculation Sheet'!$L$39)&amp;"","")="",ISNUMBER(SEARCH($AS$72:$AZ$72,IFERROR(('Final Calculation Sheet'!$L$39)&amp;"","")))))&gt;0),IF(COUNTIF($BI$72:$BP$72,7)=0,TRUE,SUMPRODUCT(($BI$72:$BP$72=7)*($AS$72:$AZ$72&lt;&gt;"")*IF(((UPPER($AS$72:$AZ$72)="BLANK")+(UPPER($AS$72:$AZ$72)="(BLANK)")+(UPPER($AS$72:$AZ$72)="EMPTY")+(UPPER($AS$72:$AZ$72)="(EMPTY)"))&gt;0,IFERROR(('Final Calculation Sheet'!$L$39)&amp;"","")="",ISNUMBER(SEARCH($AS$72:$AZ$72,IFERROR(('Final Calculation Sheet'!$L$39)&amp;"","")))))&gt;0),IF(COUNTIF($BI$72:$BP$72,8)=0,TRUE,SUMPRODUCT(($BI$72:$BP$72=8)*($AS$72:$AZ$72&lt;&gt;"")*IF(((UPPER($AS$72:$AZ$72)="BLANK")+(UPPER($AS$72:$AZ$72)="(BLANK)")+(UPPER($AS$72:$AZ$72)="EMPTY")+(UPPER($AS$72:$AZ$72)="(EMPTY)"))&gt;0,IFERROR(('Final Calculation Sheet'!$L$39)&amp;"","")="",ISNUMBER(SEARCH($AS$72:$AZ$72,IFERROR(('Final Calculation Sheet'!$L$39)&amp;"","")))))&gt;0))))</f>
        <v>1</v>
      </c>
      <c r="BZ40">
        <f>IF($N$4="",1,--(AND(SUMPRODUCT(--($AS$73:$AZ$73&lt;&gt;""))&gt;0,IF(COUNTIF($BI$73:$BP$73,1)=0,TRUE,SUMPRODUCT(($BI$73:$BP$73=1)*($AS$73:$AZ$73&lt;&gt;"")*IF(((UPPER($AS$73:$AZ$73)="BLANK")+(UPPER($AS$73:$AZ$73)="(BLANK)")+(UPPER($AS$73:$AZ$73)="EMPTY")+(UPPER($AS$73:$AZ$73)="(EMPTY)"))&gt;0,IFERROR(('Final Calculation Sheet'!$M$39)&amp;"","")="",ISNUMBER(SEARCH($AS$73:$AZ$73,IFERROR(('Final Calculation Sheet'!$M$39)&amp;"","")))))&gt;0),IF(COUNTIF($BI$73:$BP$73,2)=0,TRUE,SUMPRODUCT(($BI$73:$BP$73=2)*($AS$73:$AZ$73&lt;&gt;"")*IF(((UPPER($AS$73:$AZ$73)="BLANK")+(UPPER($AS$73:$AZ$73)="(BLANK)")+(UPPER($AS$73:$AZ$73)="EMPTY")+(UPPER($AS$73:$AZ$73)="(EMPTY)"))&gt;0,IFERROR(('Final Calculation Sheet'!$M$39)&amp;"","")="",ISNUMBER(SEARCH($AS$73:$AZ$73,IFERROR(('Final Calculation Sheet'!$M$39)&amp;"","")))))&gt;0),IF(COUNTIF($BI$73:$BP$73,3)=0,TRUE,SUMPRODUCT(($BI$73:$BP$73=3)*($AS$73:$AZ$73&lt;&gt;"")*IF(((UPPER($AS$73:$AZ$73)="BLANK")+(UPPER($AS$73:$AZ$73)="(BLANK)")+(UPPER($AS$73:$AZ$73)="EMPTY")+(UPPER($AS$73:$AZ$73)="(EMPTY)"))&gt;0,IFERROR(('Final Calculation Sheet'!$M$39)&amp;"","")="",ISNUMBER(SEARCH($AS$73:$AZ$73,IFERROR(('Final Calculation Sheet'!$M$39)&amp;"","")))))&gt;0),IF(COUNTIF($BI$73:$BP$73,4)=0,TRUE,SUMPRODUCT(($BI$73:$BP$73=4)*($AS$73:$AZ$73&lt;&gt;"")*IF(((UPPER($AS$73:$AZ$73)="BLANK")+(UPPER($AS$73:$AZ$73)="(BLANK)")+(UPPER($AS$73:$AZ$73)="EMPTY")+(UPPER($AS$73:$AZ$73)="(EMPTY)"))&gt;0,IFERROR(('Final Calculation Sheet'!$M$39)&amp;"","")="",ISNUMBER(SEARCH($AS$73:$AZ$73,IFERROR(('Final Calculation Sheet'!$M$39)&amp;"","")))))&gt;0),IF(COUNTIF($BI$73:$BP$73,5)=0,TRUE,SUMPRODUCT(($BI$73:$BP$73=5)*($AS$73:$AZ$73&lt;&gt;"")*IF(((UPPER($AS$73:$AZ$73)="BLANK")+(UPPER($AS$73:$AZ$73)="(BLANK)")+(UPPER($AS$73:$AZ$73)="EMPTY")+(UPPER($AS$73:$AZ$73)="(EMPTY)"))&gt;0,IFERROR(('Final Calculation Sheet'!$M$39)&amp;"","")="",ISNUMBER(SEARCH($AS$73:$AZ$73,IFERROR(('Final Calculation Sheet'!$M$39)&amp;"","")))))&gt;0),IF(COUNTIF($BI$73:$BP$73,6)=0,TRUE,SUMPRODUCT(($BI$73:$BP$73=6)*($AS$73:$AZ$73&lt;&gt;"")*IF(((UPPER($AS$73:$AZ$73)="BLANK")+(UPPER($AS$73:$AZ$73)="(BLANK)")+(UPPER($AS$73:$AZ$73)="EMPTY")+(UPPER($AS$73:$AZ$73)="(EMPTY)"))&gt;0,IFERROR(('Final Calculation Sheet'!$M$39)&amp;"","")="",ISNUMBER(SEARCH($AS$73:$AZ$73,IFERROR(('Final Calculation Sheet'!$M$39)&amp;"","")))))&gt;0),IF(COUNTIF($BI$73:$BP$73,7)=0,TRUE,SUMPRODUCT(($BI$73:$BP$73=7)*($AS$73:$AZ$73&lt;&gt;"")*IF(((UPPER($AS$73:$AZ$73)="BLANK")+(UPPER($AS$73:$AZ$73)="(BLANK)")+(UPPER($AS$73:$AZ$73)="EMPTY")+(UPPER($AS$73:$AZ$73)="(EMPTY)"))&gt;0,IFERROR(('Final Calculation Sheet'!$M$39)&amp;"","")="",ISNUMBER(SEARCH($AS$73:$AZ$73,IFERROR(('Final Calculation Sheet'!$M$39)&amp;"","")))))&gt;0),IF(COUNTIF($BI$73:$BP$73,8)=0,TRUE,SUMPRODUCT(($BI$73:$BP$73=8)*($AS$73:$AZ$73&lt;&gt;"")*IF(((UPPER($AS$73:$AZ$73)="BLANK")+(UPPER($AS$73:$AZ$73)="(BLANK)")+(UPPER($AS$73:$AZ$73)="EMPTY")+(UPPER($AS$73:$AZ$73)="(EMPTY)"))&gt;0,IFERROR(('Final Calculation Sheet'!$M$39)&amp;"","")="",ISNUMBER(SEARCH($AS$73:$AZ$73,IFERROR(('Final Calculation Sheet'!$M$39)&amp;"","")))))&gt;0))))</f>
        <v>1</v>
      </c>
      <c r="CA40">
        <f>IF($O$4="",1,--(AND(SUMPRODUCT(--($AS$74:$AZ$74&lt;&gt;""))&gt;0,IF(COUNTIF($BI$74:$BP$74,1)=0,TRUE,SUMPRODUCT(($BI$74:$BP$74=1)*($AS$74:$AZ$74&lt;&gt;"")*IF(((UPPER($AS$74:$AZ$74)="BLANK")+(UPPER($AS$74:$AZ$74)="(BLANK)")+(UPPER($AS$74:$AZ$74)="EMPTY")+(UPPER($AS$74:$AZ$74)="(EMPTY)"))&gt;0,IFERROR(('Final Calculation Sheet'!$N$39)&amp;"","")="",ISNUMBER(SEARCH($AS$74:$AZ$74,IFERROR(('Final Calculation Sheet'!$N$39)&amp;"","")))))&gt;0),IF(COUNTIF($BI$74:$BP$74,2)=0,TRUE,SUMPRODUCT(($BI$74:$BP$74=2)*($AS$74:$AZ$74&lt;&gt;"")*IF(((UPPER($AS$74:$AZ$74)="BLANK")+(UPPER($AS$74:$AZ$74)="(BLANK)")+(UPPER($AS$74:$AZ$74)="EMPTY")+(UPPER($AS$74:$AZ$74)="(EMPTY)"))&gt;0,IFERROR(('Final Calculation Sheet'!$N$39)&amp;"","")="",ISNUMBER(SEARCH($AS$74:$AZ$74,IFERROR(('Final Calculation Sheet'!$N$39)&amp;"","")))))&gt;0),IF(COUNTIF($BI$74:$BP$74,3)=0,TRUE,SUMPRODUCT(($BI$74:$BP$74=3)*($AS$74:$AZ$74&lt;&gt;"")*IF(((UPPER($AS$74:$AZ$74)="BLANK")+(UPPER($AS$74:$AZ$74)="(BLANK)")+(UPPER($AS$74:$AZ$74)="EMPTY")+(UPPER($AS$74:$AZ$74)="(EMPTY)"))&gt;0,IFERROR(('Final Calculation Sheet'!$N$39)&amp;"","")="",ISNUMBER(SEARCH($AS$74:$AZ$74,IFERROR(('Final Calculation Sheet'!$N$39)&amp;"","")))))&gt;0),IF(COUNTIF($BI$74:$BP$74,4)=0,TRUE,SUMPRODUCT(($BI$74:$BP$74=4)*($AS$74:$AZ$74&lt;&gt;"")*IF(((UPPER($AS$74:$AZ$74)="BLANK")+(UPPER($AS$74:$AZ$74)="(BLANK)")+(UPPER($AS$74:$AZ$74)="EMPTY")+(UPPER($AS$74:$AZ$74)="(EMPTY)"))&gt;0,IFERROR(('Final Calculation Sheet'!$N$39)&amp;"","")="",ISNUMBER(SEARCH($AS$74:$AZ$74,IFERROR(('Final Calculation Sheet'!$N$39)&amp;"","")))))&gt;0),IF(COUNTIF($BI$74:$BP$74,5)=0,TRUE,SUMPRODUCT(($BI$74:$BP$74=5)*($AS$74:$AZ$74&lt;&gt;"")*IF(((UPPER($AS$74:$AZ$74)="BLANK")+(UPPER($AS$74:$AZ$74)="(BLANK)")+(UPPER($AS$74:$AZ$74)="EMPTY")+(UPPER($AS$74:$AZ$74)="(EMPTY)"))&gt;0,IFERROR(('Final Calculation Sheet'!$N$39)&amp;"","")="",ISNUMBER(SEARCH($AS$74:$AZ$74,IFERROR(('Final Calculation Sheet'!$N$39)&amp;"","")))))&gt;0),IF(COUNTIF($BI$74:$BP$74,6)=0,TRUE,SUMPRODUCT(($BI$74:$BP$74=6)*($AS$74:$AZ$74&lt;&gt;"")*IF(((UPPER($AS$74:$AZ$74)="BLANK")+(UPPER($AS$74:$AZ$74)="(BLANK)")+(UPPER($AS$74:$AZ$74)="EMPTY")+(UPPER($AS$74:$AZ$74)="(EMPTY)"))&gt;0,IFERROR(('Final Calculation Sheet'!$N$39)&amp;"","")="",ISNUMBER(SEARCH($AS$74:$AZ$74,IFERROR(('Final Calculation Sheet'!$N$39)&amp;"","")))))&gt;0),IF(COUNTIF($BI$74:$BP$74,7)=0,TRUE,SUMPRODUCT(($BI$74:$BP$74=7)*($AS$74:$AZ$74&lt;&gt;"")*IF(((UPPER($AS$74:$AZ$74)="BLANK")+(UPPER($AS$74:$AZ$74)="(BLANK)")+(UPPER($AS$74:$AZ$74)="EMPTY")+(UPPER($AS$74:$AZ$74)="(EMPTY)"))&gt;0,IFERROR(('Final Calculation Sheet'!$N$39)&amp;"","")="",ISNUMBER(SEARCH($AS$74:$AZ$74,IFERROR(('Final Calculation Sheet'!$N$39)&amp;"","")))))&gt;0),IF(COUNTIF($BI$74:$BP$74,8)=0,TRUE,SUMPRODUCT(($BI$74:$BP$74=8)*($AS$74:$AZ$74&lt;&gt;"")*IF(((UPPER($AS$74:$AZ$74)="BLANK")+(UPPER($AS$74:$AZ$74)="(BLANK)")+(UPPER($AS$74:$AZ$74)="EMPTY")+(UPPER($AS$74:$AZ$74)="(EMPTY)"))&gt;0,IFERROR(('Final Calculation Sheet'!$N$39)&amp;"","")="",ISNUMBER(SEARCH($AS$74:$AZ$74,IFERROR(('Final Calculation Sheet'!$N$39)&amp;"","")))))&gt;0))))</f>
        <v>1</v>
      </c>
      <c r="CB40">
        <f>IF($P$4="",1,--(AND(SUMPRODUCT(--($AS$75:$AZ$75&lt;&gt;""))&gt;0,IF(COUNTIF($BI$75:$BP$75,1)=0,TRUE,SUMPRODUCT(($BI$75:$BP$75=1)*($AS$75:$AZ$75&lt;&gt;"")*IF(((UPPER($AS$75:$AZ$75)="BLANK")+(UPPER($AS$75:$AZ$75)="(BLANK)")+(UPPER($AS$75:$AZ$75)="EMPTY")+(UPPER($AS$75:$AZ$75)="(EMPTY)"))&gt;0,IFERROR(('Final Calculation Sheet'!$O$39)&amp;"","")="",ISNUMBER(SEARCH($AS$75:$AZ$75,IFERROR(('Final Calculation Sheet'!$O$39)&amp;"","")))))&gt;0),IF(COUNTIF($BI$75:$BP$75,2)=0,TRUE,SUMPRODUCT(($BI$75:$BP$75=2)*($AS$75:$AZ$75&lt;&gt;"")*IF(((UPPER($AS$75:$AZ$75)="BLANK")+(UPPER($AS$75:$AZ$75)="(BLANK)")+(UPPER($AS$75:$AZ$75)="EMPTY")+(UPPER($AS$75:$AZ$75)="(EMPTY)"))&gt;0,IFERROR(('Final Calculation Sheet'!$O$39)&amp;"","")="",ISNUMBER(SEARCH($AS$75:$AZ$75,IFERROR(('Final Calculation Sheet'!$O$39)&amp;"","")))))&gt;0),IF(COUNTIF($BI$75:$BP$75,3)=0,TRUE,SUMPRODUCT(($BI$75:$BP$75=3)*($AS$75:$AZ$75&lt;&gt;"")*IF(((UPPER($AS$75:$AZ$75)="BLANK")+(UPPER($AS$75:$AZ$75)="(BLANK)")+(UPPER($AS$75:$AZ$75)="EMPTY")+(UPPER($AS$75:$AZ$75)="(EMPTY)"))&gt;0,IFERROR(('Final Calculation Sheet'!$O$39)&amp;"","")="",ISNUMBER(SEARCH($AS$75:$AZ$75,IFERROR(('Final Calculation Sheet'!$O$39)&amp;"","")))))&gt;0),IF(COUNTIF($BI$75:$BP$75,4)=0,TRUE,SUMPRODUCT(($BI$75:$BP$75=4)*($AS$75:$AZ$75&lt;&gt;"")*IF(((UPPER($AS$75:$AZ$75)="BLANK")+(UPPER($AS$75:$AZ$75)="(BLANK)")+(UPPER($AS$75:$AZ$75)="EMPTY")+(UPPER($AS$75:$AZ$75)="(EMPTY)"))&gt;0,IFERROR(('Final Calculation Sheet'!$O$39)&amp;"","")="",ISNUMBER(SEARCH($AS$75:$AZ$75,IFERROR(('Final Calculation Sheet'!$O$39)&amp;"","")))))&gt;0),IF(COUNTIF($BI$75:$BP$75,5)=0,TRUE,SUMPRODUCT(($BI$75:$BP$75=5)*($AS$75:$AZ$75&lt;&gt;"")*IF(((UPPER($AS$75:$AZ$75)="BLANK")+(UPPER($AS$75:$AZ$75)="(BLANK)")+(UPPER($AS$75:$AZ$75)="EMPTY")+(UPPER($AS$75:$AZ$75)="(EMPTY)"))&gt;0,IFERROR(('Final Calculation Sheet'!$O$39)&amp;"","")="",ISNUMBER(SEARCH($AS$75:$AZ$75,IFERROR(('Final Calculation Sheet'!$O$39)&amp;"","")))))&gt;0),IF(COUNTIF($BI$75:$BP$75,6)=0,TRUE,SUMPRODUCT(($BI$75:$BP$75=6)*($AS$75:$AZ$75&lt;&gt;"")*IF(((UPPER($AS$75:$AZ$75)="BLANK")+(UPPER($AS$75:$AZ$75)="(BLANK)")+(UPPER($AS$75:$AZ$75)="EMPTY")+(UPPER($AS$75:$AZ$75)="(EMPTY)"))&gt;0,IFERROR(('Final Calculation Sheet'!$O$39)&amp;"","")="",ISNUMBER(SEARCH($AS$75:$AZ$75,IFERROR(('Final Calculation Sheet'!$O$39)&amp;"","")))))&gt;0),IF(COUNTIF($BI$75:$BP$75,7)=0,TRUE,SUMPRODUCT(($BI$75:$BP$75=7)*($AS$75:$AZ$75&lt;&gt;"")*IF(((UPPER($AS$75:$AZ$75)="BLANK")+(UPPER($AS$75:$AZ$75)="(BLANK)")+(UPPER($AS$75:$AZ$75)="EMPTY")+(UPPER($AS$75:$AZ$75)="(EMPTY)"))&gt;0,IFERROR(('Final Calculation Sheet'!$O$39)&amp;"","")="",ISNUMBER(SEARCH($AS$75:$AZ$75,IFERROR(('Final Calculation Sheet'!$O$39)&amp;"","")))))&gt;0),IF(COUNTIF($BI$75:$BP$75,8)=0,TRUE,SUMPRODUCT(($BI$75:$BP$75=8)*($AS$75:$AZ$75&lt;&gt;"")*IF(((UPPER($AS$75:$AZ$75)="BLANK")+(UPPER($AS$75:$AZ$75)="(BLANK)")+(UPPER($AS$75:$AZ$75)="EMPTY")+(UPPER($AS$75:$AZ$75)="(EMPTY)"))&gt;0,IFERROR(('Final Calculation Sheet'!$O$39)&amp;"","")="",ISNUMBER(SEARCH($AS$75:$AZ$75,IFERROR(('Final Calculation Sheet'!$O$39)&amp;"","")))))&gt;0))))</f>
        <v>1</v>
      </c>
      <c r="CC40">
        <f>IF($Q$4="",1,--(AND(SUMPRODUCT(--($AS$76:$AZ$76&lt;&gt;""))&gt;0,IF(COUNTIF($BI$76:$BP$76,1)=0,TRUE,SUMPRODUCT(($BI$76:$BP$76=1)*($AS$76:$AZ$76&lt;&gt;"")*IF(((UPPER($AS$76:$AZ$76)="BLANK")+(UPPER($AS$76:$AZ$76)="(BLANK)")+(UPPER($AS$76:$AZ$76)="EMPTY")+(UPPER($AS$76:$AZ$76)="(EMPTY)"))&gt;0,IFERROR(('Final Calculation Sheet'!$P$39)&amp;"","")="",ISNUMBER(SEARCH($AS$76:$AZ$76,IFERROR(('Final Calculation Sheet'!$P$39)&amp;"","")))))&gt;0),IF(COUNTIF($BI$76:$BP$76,2)=0,TRUE,SUMPRODUCT(($BI$76:$BP$76=2)*($AS$76:$AZ$76&lt;&gt;"")*IF(((UPPER($AS$76:$AZ$76)="BLANK")+(UPPER($AS$76:$AZ$76)="(BLANK)")+(UPPER($AS$76:$AZ$76)="EMPTY")+(UPPER($AS$76:$AZ$76)="(EMPTY)"))&gt;0,IFERROR(('Final Calculation Sheet'!$P$39)&amp;"","")="",ISNUMBER(SEARCH($AS$76:$AZ$76,IFERROR(('Final Calculation Sheet'!$P$39)&amp;"","")))))&gt;0),IF(COUNTIF($BI$76:$BP$76,3)=0,TRUE,SUMPRODUCT(($BI$76:$BP$76=3)*($AS$76:$AZ$76&lt;&gt;"")*IF(((UPPER($AS$76:$AZ$76)="BLANK")+(UPPER($AS$76:$AZ$76)="(BLANK)")+(UPPER($AS$76:$AZ$76)="EMPTY")+(UPPER($AS$76:$AZ$76)="(EMPTY)"))&gt;0,IFERROR(('Final Calculation Sheet'!$P$39)&amp;"","")="",ISNUMBER(SEARCH($AS$76:$AZ$76,IFERROR(('Final Calculation Sheet'!$P$39)&amp;"","")))))&gt;0),IF(COUNTIF($BI$76:$BP$76,4)=0,TRUE,SUMPRODUCT(($BI$76:$BP$76=4)*($AS$76:$AZ$76&lt;&gt;"")*IF(((UPPER($AS$76:$AZ$76)="BLANK")+(UPPER($AS$76:$AZ$76)="(BLANK)")+(UPPER($AS$76:$AZ$76)="EMPTY")+(UPPER($AS$76:$AZ$76)="(EMPTY)"))&gt;0,IFERROR(('Final Calculation Sheet'!$P$39)&amp;"","")="",ISNUMBER(SEARCH($AS$76:$AZ$76,IFERROR(('Final Calculation Sheet'!$P$39)&amp;"","")))))&gt;0),IF(COUNTIF($BI$76:$BP$76,5)=0,TRUE,SUMPRODUCT(($BI$76:$BP$76=5)*($AS$76:$AZ$76&lt;&gt;"")*IF(((UPPER($AS$76:$AZ$76)="BLANK")+(UPPER($AS$76:$AZ$76)="(BLANK)")+(UPPER($AS$76:$AZ$76)="EMPTY")+(UPPER($AS$76:$AZ$76)="(EMPTY)"))&gt;0,IFERROR(('Final Calculation Sheet'!$P$39)&amp;"","")="",ISNUMBER(SEARCH($AS$76:$AZ$76,IFERROR(('Final Calculation Sheet'!$P$39)&amp;"","")))))&gt;0),IF(COUNTIF($BI$76:$BP$76,6)=0,TRUE,SUMPRODUCT(($BI$76:$BP$76=6)*($AS$76:$AZ$76&lt;&gt;"")*IF(((UPPER($AS$76:$AZ$76)="BLANK")+(UPPER($AS$76:$AZ$76)="(BLANK)")+(UPPER($AS$76:$AZ$76)="EMPTY")+(UPPER($AS$76:$AZ$76)="(EMPTY)"))&gt;0,IFERROR(('Final Calculation Sheet'!$P$39)&amp;"","")="",ISNUMBER(SEARCH($AS$76:$AZ$76,IFERROR(('Final Calculation Sheet'!$P$39)&amp;"","")))))&gt;0),IF(COUNTIF($BI$76:$BP$76,7)=0,TRUE,SUMPRODUCT(($BI$76:$BP$76=7)*($AS$76:$AZ$76&lt;&gt;"")*IF(((UPPER($AS$76:$AZ$76)="BLANK")+(UPPER($AS$76:$AZ$76)="(BLANK)")+(UPPER($AS$76:$AZ$76)="EMPTY")+(UPPER($AS$76:$AZ$76)="(EMPTY)"))&gt;0,IFERROR(('Final Calculation Sheet'!$P$39)&amp;"","")="",ISNUMBER(SEARCH($AS$76:$AZ$76,IFERROR(('Final Calculation Sheet'!$P$39)&amp;"","")))))&gt;0),IF(COUNTIF($BI$76:$BP$76,8)=0,TRUE,SUMPRODUCT(($BI$76:$BP$76=8)*($AS$76:$AZ$76&lt;&gt;"")*IF(((UPPER($AS$76:$AZ$76)="BLANK")+(UPPER($AS$76:$AZ$76)="(BLANK)")+(UPPER($AS$76:$AZ$76)="EMPTY")+(UPPER($AS$76:$AZ$76)="(EMPTY)"))&gt;0,IFERROR(('Final Calculation Sheet'!$P$39)&amp;"","")="",ISNUMBER(SEARCH($AS$76:$AZ$76,IFERROR(('Final Calculation Sheet'!$P$39)&amp;"","")))))&gt;0))))</f>
        <v>1</v>
      </c>
      <c r="CD40">
        <f>IF($R$4="",1,--(AND(SUMPRODUCT(--($AS$77:$AZ$77&lt;&gt;""))&gt;0,IF(COUNTIF($BI$77:$BP$77,1)=0,TRUE,SUMPRODUCT(($BI$77:$BP$77=1)*($AS$77:$AZ$77&lt;&gt;"")*IF(((UPPER($AS$77:$AZ$77)="BLANK")+(UPPER($AS$77:$AZ$77)="(BLANK)")+(UPPER($AS$77:$AZ$77)="EMPTY")+(UPPER($AS$77:$AZ$77)="(EMPTY)"))&gt;0,IFERROR(('Final Calculation Sheet'!$Q$39)&amp;"","")="",ISNUMBER(SEARCH($AS$77:$AZ$77,IFERROR(('Final Calculation Sheet'!$Q$39)&amp;"","")))))&gt;0),IF(COUNTIF($BI$77:$BP$77,2)=0,TRUE,SUMPRODUCT(($BI$77:$BP$77=2)*($AS$77:$AZ$77&lt;&gt;"")*IF(((UPPER($AS$77:$AZ$77)="BLANK")+(UPPER($AS$77:$AZ$77)="(BLANK)")+(UPPER($AS$77:$AZ$77)="EMPTY")+(UPPER($AS$77:$AZ$77)="(EMPTY)"))&gt;0,IFERROR(('Final Calculation Sheet'!$Q$39)&amp;"","")="",ISNUMBER(SEARCH($AS$77:$AZ$77,IFERROR(('Final Calculation Sheet'!$Q$39)&amp;"","")))))&gt;0),IF(COUNTIF($BI$77:$BP$77,3)=0,TRUE,SUMPRODUCT(($BI$77:$BP$77=3)*($AS$77:$AZ$77&lt;&gt;"")*IF(((UPPER($AS$77:$AZ$77)="BLANK")+(UPPER($AS$77:$AZ$77)="(BLANK)")+(UPPER($AS$77:$AZ$77)="EMPTY")+(UPPER($AS$77:$AZ$77)="(EMPTY)"))&gt;0,IFERROR(('Final Calculation Sheet'!$Q$39)&amp;"","")="",ISNUMBER(SEARCH($AS$77:$AZ$77,IFERROR(('Final Calculation Sheet'!$Q$39)&amp;"","")))))&gt;0),IF(COUNTIF($BI$77:$BP$77,4)=0,TRUE,SUMPRODUCT(($BI$77:$BP$77=4)*($AS$77:$AZ$77&lt;&gt;"")*IF(((UPPER($AS$77:$AZ$77)="BLANK")+(UPPER($AS$77:$AZ$77)="(BLANK)")+(UPPER($AS$77:$AZ$77)="EMPTY")+(UPPER($AS$77:$AZ$77)="(EMPTY)"))&gt;0,IFERROR(('Final Calculation Sheet'!$Q$39)&amp;"","")="",ISNUMBER(SEARCH($AS$77:$AZ$77,IFERROR(('Final Calculation Sheet'!$Q$39)&amp;"","")))))&gt;0),IF(COUNTIF($BI$77:$BP$77,5)=0,TRUE,SUMPRODUCT(($BI$77:$BP$77=5)*($AS$77:$AZ$77&lt;&gt;"")*IF(((UPPER($AS$77:$AZ$77)="BLANK")+(UPPER($AS$77:$AZ$77)="(BLANK)")+(UPPER($AS$77:$AZ$77)="EMPTY")+(UPPER($AS$77:$AZ$77)="(EMPTY)"))&gt;0,IFERROR(('Final Calculation Sheet'!$Q$39)&amp;"","")="",ISNUMBER(SEARCH($AS$77:$AZ$77,IFERROR(('Final Calculation Sheet'!$Q$39)&amp;"","")))))&gt;0),IF(COUNTIF($BI$77:$BP$77,6)=0,TRUE,SUMPRODUCT(($BI$77:$BP$77=6)*($AS$77:$AZ$77&lt;&gt;"")*IF(((UPPER($AS$77:$AZ$77)="BLANK")+(UPPER($AS$77:$AZ$77)="(BLANK)")+(UPPER($AS$77:$AZ$77)="EMPTY")+(UPPER($AS$77:$AZ$77)="(EMPTY)"))&gt;0,IFERROR(('Final Calculation Sheet'!$Q$39)&amp;"","")="",ISNUMBER(SEARCH($AS$77:$AZ$77,IFERROR(('Final Calculation Sheet'!$Q$39)&amp;"","")))))&gt;0),IF(COUNTIF($BI$77:$BP$77,7)=0,TRUE,SUMPRODUCT(($BI$77:$BP$77=7)*($AS$77:$AZ$77&lt;&gt;"")*IF(((UPPER($AS$77:$AZ$77)="BLANK")+(UPPER($AS$77:$AZ$77)="(BLANK)")+(UPPER($AS$77:$AZ$77)="EMPTY")+(UPPER($AS$77:$AZ$77)="(EMPTY)"))&gt;0,IFERROR(('Final Calculation Sheet'!$Q$39)&amp;"","")="",ISNUMBER(SEARCH($AS$77:$AZ$77,IFERROR(('Final Calculation Sheet'!$Q$39)&amp;"","")))))&gt;0),IF(COUNTIF($BI$77:$BP$77,8)=0,TRUE,SUMPRODUCT(($BI$77:$BP$77=8)*($AS$77:$AZ$77&lt;&gt;"")*IF(((UPPER($AS$77:$AZ$77)="BLANK")+(UPPER($AS$77:$AZ$77)="(BLANK)")+(UPPER($AS$77:$AZ$77)="EMPTY")+(UPPER($AS$77:$AZ$77)="(EMPTY)"))&gt;0,IFERROR(('Final Calculation Sheet'!$Q$39)&amp;"","")="",ISNUMBER(SEARCH($AS$77:$AZ$77,IFERROR(('Final Calculation Sheet'!$Q$39)&amp;"","")))))&gt;0))))</f>
        <v>1</v>
      </c>
      <c r="CE40">
        <f>IF($S$4="",1,--(AND(SUMPRODUCT(--($AS$78:$AZ$78&lt;&gt;""))&gt;0,IF(COUNTIF($BI$78:$BP$78,1)=0,TRUE,SUMPRODUCT(($BI$78:$BP$78=1)*($AS$78:$AZ$78&lt;&gt;"")*IF(((UPPER($AS$78:$AZ$78)="BLANK")+(UPPER($AS$78:$AZ$78)="(BLANK)")+(UPPER($AS$78:$AZ$78)="EMPTY")+(UPPER($AS$78:$AZ$78)="(EMPTY)"))&gt;0,IFERROR(('Final Calculation Sheet'!$R$39)&amp;"","")="",ISNUMBER(SEARCH($AS$78:$AZ$78,IFERROR(('Final Calculation Sheet'!$R$39)&amp;"","")))))&gt;0),IF(COUNTIF($BI$78:$BP$78,2)=0,TRUE,SUMPRODUCT(($BI$78:$BP$78=2)*($AS$78:$AZ$78&lt;&gt;"")*IF(((UPPER($AS$78:$AZ$78)="BLANK")+(UPPER($AS$78:$AZ$78)="(BLANK)")+(UPPER($AS$78:$AZ$78)="EMPTY")+(UPPER($AS$78:$AZ$78)="(EMPTY)"))&gt;0,IFERROR(('Final Calculation Sheet'!$R$39)&amp;"","")="",ISNUMBER(SEARCH($AS$78:$AZ$78,IFERROR(('Final Calculation Sheet'!$R$39)&amp;"","")))))&gt;0),IF(COUNTIF($BI$78:$BP$78,3)=0,TRUE,SUMPRODUCT(($BI$78:$BP$78=3)*($AS$78:$AZ$78&lt;&gt;"")*IF(((UPPER($AS$78:$AZ$78)="BLANK")+(UPPER($AS$78:$AZ$78)="(BLANK)")+(UPPER($AS$78:$AZ$78)="EMPTY")+(UPPER($AS$78:$AZ$78)="(EMPTY)"))&gt;0,IFERROR(('Final Calculation Sheet'!$R$39)&amp;"","")="",ISNUMBER(SEARCH($AS$78:$AZ$78,IFERROR(('Final Calculation Sheet'!$R$39)&amp;"","")))))&gt;0),IF(COUNTIF($BI$78:$BP$78,4)=0,TRUE,SUMPRODUCT(($BI$78:$BP$78=4)*($AS$78:$AZ$78&lt;&gt;"")*IF(((UPPER($AS$78:$AZ$78)="BLANK")+(UPPER($AS$78:$AZ$78)="(BLANK)")+(UPPER($AS$78:$AZ$78)="EMPTY")+(UPPER($AS$78:$AZ$78)="(EMPTY)"))&gt;0,IFERROR(('Final Calculation Sheet'!$R$39)&amp;"","")="",ISNUMBER(SEARCH($AS$78:$AZ$78,IFERROR(('Final Calculation Sheet'!$R$39)&amp;"","")))))&gt;0),IF(COUNTIF($BI$78:$BP$78,5)=0,TRUE,SUMPRODUCT(($BI$78:$BP$78=5)*($AS$78:$AZ$78&lt;&gt;"")*IF(((UPPER($AS$78:$AZ$78)="BLANK")+(UPPER($AS$78:$AZ$78)="(BLANK)")+(UPPER($AS$78:$AZ$78)="EMPTY")+(UPPER($AS$78:$AZ$78)="(EMPTY)"))&gt;0,IFERROR(('Final Calculation Sheet'!$R$39)&amp;"","")="",ISNUMBER(SEARCH($AS$78:$AZ$78,IFERROR(('Final Calculation Sheet'!$R$39)&amp;"","")))))&gt;0),IF(COUNTIF($BI$78:$BP$78,6)=0,TRUE,SUMPRODUCT(($BI$78:$BP$78=6)*($AS$78:$AZ$78&lt;&gt;"")*IF(((UPPER($AS$78:$AZ$78)="BLANK")+(UPPER($AS$78:$AZ$78)="(BLANK)")+(UPPER($AS$78:$AZ$78)="EMPTY")+(UPPER($AS$78:$AZ$78)="(EMPTY)"))&gt;0,IFERROR(('Final Calculation Sheet'!$R$39)&amp;"","")="",ISNUMBER(SEARCH($AS$78:$AZ$78,IFERROR(('Final Calculation Sheet'!$R$39)&amp;"","")))))&gt;0),IF(COUNTIF($BI$78:$BP$78,7)=0,TRUE,SUMPRODUCT(($BI$78:$BP$78=7)*($AS$78:$AZ$78&lt;&gt;"")*IF(((UPPER($AS$78:$AZ$78)="BLANK")+(UPPER($AS$78:$AZ$78)="(BLANK)")+(UPPER($AS$78:$AZ$78)="EMPTY")+(UPPER($AS$78:$AZ$78)="(EMPTY)"))&gt;0,IFERROR(('Final Calculation Sheet'!$R$39)&amp;"","")="",ISNUMBER(SEARCH($AS$78:$AZ$78,IFERROR(('Final Calculation Sheet'!$R$39)&amp;"","")))))&gt;0),IF(COUNTIF($BI$78:$BP$78,8)=0,TRUE,SUMPRODUCT(($BI$78:$BP$78=8)*($AS$78:$AZ$78&lt;&gt;"")*IF(((UPPER($AS$78:$AZ$78)="BLANK")+(UPPER($AS$78:$AZ$78)="(BLANK)")+(UPPER($AS$78:$AZ$78)="EMPTY")+(UPPER($AS$78:$AZ$78)="(EMPTY)"))&gt;0,IFERROR(('Final Calculation Sheet'!$R$39)&amp;"","")="",ISNUMBER(SEARCH($AS$78:$AZ$78,IFERROR(('Final Calculation Sheet'!$R$39)&amp;"","")))))&gt;0))))</f>
        <v>1</v>
      </c>
      <c r="CF40">
        <f>IF($T$4="",1,--(AND(SUMPRODUCT(--($AS$79:$AZ$79&lt;&gt;""))&gt;0,IF(COUNTIF($BI$79:$BP$79,1)=0,TRUE,SUMPRODUCT(($BI$79:$BP$79=1)*($AS$79:$AZ$79&lt;&gt;"")*IF(((UPPER($AS$79:$AZ$79)="BLANK")+(UPPER($AS$79:$AZ$79)="(BLANK)")+(UPPER($AS$79:$AZ$79)="EMPTY")+(UPPER($AS$79:$AZ$79)="(EMPTY)"))&gt;0,IFERROR(('Final Calculation Sheet'!$S$39)&amp;"","")="",ISNUMBER(SEARCH($AS$79:$AZ$79,IFERROR(('Final Calculation Sheet'!$S$39)&amp;"","")))))&gt;0),IF(COUNTIF($BI$79:$BP$79,2)=0,TRUE,SUMPRODUCT(($BI$79:$BP$79=2)*($AS$79:$AZ$79&lt;&gt;"")*IF(((UPPER($AS$79:$AZ$79)="BLANK")+(UPPER($AS$79:$AZ$79)="(BLANK)")+(UPPER($AS$79:$AZ$79)="EMPTY")+(UPPER($AS$79:$AZ$79)="(EMPTY)"))&gt;0,IFERROR(('Final Calculation Sheet'!$S$39)&amp;"","")="",ISNUMBER(SEARCH($AS$79:$AZ$79,IFERROR(('Final Calculation Sheet'!$S$39)&amp;"","")))))&gt;0),IF(COUNTIF($BI$79:$BP$79,3)=0,TRUE,SUMPRODUCT(($BI$79:$BP$79=3)*($AS$79:$AZ$79&lt;&gt;"")*IF(((UPPER($AS$79:$AZ$79)="BLANK")+(UPPER($AS$79:$AZ$79)="(BLANK)")+(UPPER($AS$79:$AZ$79)="EMPTY")+(UPPER($AS$79:$AZ$79)="(EMPTY)"))&gt;0,IFERROR(('Final Calculation Sheet'!$S$39)&amp;"","")="",ISNUMBER(SEARCH($AS$79:$AZ$79,IFERROR(('Final Calculation Sheet'!$S$39)&amp;"","")))))&gt;0),IF(COUNTIF($BI$79:$BP$79,4)=0,TRUE,SUMPRODUCT(($BI$79:$BP$79=4)*($AS$79:$AZ$79&lt;&gt;"")*IF(((UPPER($AS$79:$AZ$79)="BLANK")+(UPPER($AS$79:$AZ$79)="(BLANK)")+(UPPER($AS$79:$AZ$79)="EMPTY")+(UPPER($AS$79:$AZ$79)="(EMPTY)"))&gt;0,IFERROR(('Final Calculation Sheet'!$S$39)&amp;"","")="",ISNUMBER(SEARCH($AS$79:$AZ$79,IFERROR(('Final Calculation Sheet'!$S$39)&amp;"","")))))&gt;0),IF(COUNTIF($BI$79:$BP$79,5)=0,TRUE,SUMPRODUCT(($BI$79:$BP$79=5)*($AS$79:$AZ$79&lt;&gt;"")*IF(((UPPER($AS$79:$AZ$79)="BLANK")+(UPPER($AS$79:$AZ$79)="(BLANK)")+(UPPER($AS$79:$AZ$79)="EMPTY")+(UPPER($AS$79:$AZ$79)="(EMPTY)"))&gt;0,IFERROR(('Final Calculation Sheet'!$S$39)&amp;"","")="",ISNUMBER(SEARCH($AS$79:$AZ$79,IFERROR(('Final Calculation Sheet'!$S$39)&amp;"","")))))&gt;0),IF(COUNTIF($BI$79:$BP$79,6)=0,TRUE,SUMPRODUCT(($BI$79:$BP$79=6)*($AS$79:$AZ$79&lt;&gt;"")*IF(((UPPER($AS$79:$AZ$79)="BLANK")+(UPPER($AS$79:$AZ$79)="(BLANK)")+(UPPER($AS$79:$AZ$79)="EMPTY")+(UPPER($AS$79:$AZ$79)="(EMPTY)"))&gt;0,IFERROR(('Final Calculation Sheet'!$S$39)&amp;"","")="",ISNUMBER(SEARCH($AS$79:$AZ$79,IFERROR(('Final Calculation Sheet'!$S$39)&amp;"","")))))&gt;0),IF(COUNTIF($BI$79:$BP$79,7)=0,TRUE,SUMPRODUCT(($BI$79:$BP$79=7)*($AS$79:$AZ$79&lt;&gt;"")*IF(((UPPER($AS$79:$AZ$79)="BLANK")+(UPPER($AS$79:$AZ$79)="(BLANK)")+(UPPER($AS$79:$AZ$79)="EMPTY")+(UPPER($AS$79:$AZ$79)="(EMPTY)"))&gt;0,IFERROR(('Final Calculation Sheet'!$S$39)&amp;"","")="",ISNUMBER(SEARCH($AS$79:$AZ$79,IFERROR(('Final Calculation Sheet'!$S$39)&amp;"","")))))&gt;0),IF(COUNTIF($BI$79:$BP$79,8)=0,TRUE,SUMPRODUCT(($BI$79:$BP$79=8)*($AS$79:$AZ$79&lt;&gt;"")*IF(((UPPER($AS$79:$AZ$79)="BLANK")+(UPPER($AS$79:$AZ$79)="(BLANK)")+(UPPER($AS$79:$AZ$79)="EMPTY")+(UPPER($AS$79:$AZ$79)="(EMPTY)"))&gt;0,IFERROR(('Final Calculation Sheet'!$S$39)&amp;"","")="",ISNUMBER(SEARCH($AS$79:$AZ$79,IFERROR(('Final Calculation Sheet'!$S$39)&amp;"","")))))&gt;0))))</f>
        <v>1</v>
      </c>
      <c r="CG40">
        <f>IF($U$4="",1,--(AND(SUMPRODUCT(--($AS$80:$AZ$80&lt;&gt;""))&gt;0,IF(COUNTIF($BI$80:$BP$80,1)=0,TRUE,SUMPRODUCT(($BI$80:$BP$80=1)*($AS$80:$AZ$80&lt;&gt;"")*IF(((UPPER($AS$80:$AZ$80)="BLANK")+(UPPER($AS$80:$AZ$80)="(BLANK)")+(UPPER($AS$80:$AZ$80)="EMPTY")+(UPPER($AS$80:$AZ$80)="(EMPTY)"))&gt;0,IFERROR(('Final Calculation Sheet'!$T$39)&amp;"","")="",ISNUMBER(SEARCH($AS$80:$AZ$80,IFERROR(('Final Calculation Sheet'!$T$39)&amp;"","")))))&gt;0),IF(COUNTIF($BI$80:$BP$80,2)=0,TRUE,SUMPRODUCT(($BI$80:$BP$80=2)*($AS$80:$AZ$80&lt;&gt;"")*IF(((UPPER($AS$80:$AZ$80)="BLANK")+(UPPER($AS$80:$AZ$80)="(BLANK)")+(UPPER($AS$80:$AZ$80)="EMPTY")+(UPPER($AS$80:$AZ$80)="(EMPTY)"))&gt;0,IFERROR(('Final Calculation Sheet'!$T$39)&amp;"","")="",ISNUMBER(SEARCH($AS$80:$AZ$80,IFERROR(('Final Calculation Sheet'!$T$39)&amp;"","")))))&gt;0),IF(COUNTIF($BI$80:$BP$80,3)=0,TRUE,SUMPRODUCT(($BI$80:$BP$80=3)*($AS$80:$AZ$80&lt;&gt;"")*IF(((UPPER($AS$80:$AZ$80)="BLANK")+(UPPER($AS$80:$AZ$80)="(BLANK)")+(UPPER($AS$80:$AZ$80)="EMPTY")+(UPPER($AS$80:$AZ$80)="(EMPTY)"))&gt;0,IFERROR(('Final Calculation Sheet'!$T$39)&amp;"","")="",ISNUMBER(SEARCH($AS$80:$AZ$80,IFERROR(('Final Calculation Sheet'!$T$39)&amp;"","")))))&gt;0),IF(COUNTIF($BI$80:$BP$80,4)=0,TRUE,SUMPRODUCT(($BI$80:$BP$80=4)*($AS$80:$AZ$80&lt;&gt;"")*IF(((UPPER($AS$80:$AZ$80)="BLANK")+(UPPER($AS$80:$AZ$80)="(BLANK)")+(UPPER($AS$80:$AZ$80)="EMPTY")+(UPPER($AS$80:$AZ$80)="(EMPTY)"))&gt;0,IFERROR(('Final Calculation Sheet'!$T$39)&amp;"","")="",ISNUMBER(SEARCH($AS$80:$AZ$80,IFERROR(('Final Calculation Sheet'!$T$39)&amp;"","")))))&gt;0),IF(COUNTIF($BI$80:$BP$80,5)=0,TRUE,SUMPRODUCT(($BI$80:$BP$80=5)*($AS$80:$AZ$80&lt;&gt;"")*IF(((UPPER($AS$80:$AZ$80)="BLANK")+(UPPER($AS$80:$AZ$80)="(BLANK)")+(UPPER($AS$80:$AZ$80)="EMPTY")+(UPPER($AS$80:$AZ$80)="(EMPTY)"))&gt;0,IFERROR(('Final Calculation Sheet'!$T$39)&amp;"","")="",ISNUMBER(SEARCH($AS$80:$AZ$80,IFERROR(('Final Calculation Sheet'!$T$39)&amp;"","")))))&gt;0),IF(COUNTIF($BI$80:$BP$80,6)=0,TRUE,SUMPRODUCT(($BI$80:$BP$80=6)*($AS$80:$AZ$80&lt;&gt;"")*IF(((UPPER($AS$80:$AZ$80)="BLANK")+(UPPER($AS$80:$AZ$80)="(BLANK)")+(UPPER($AS$80:$AZ$80)="EMPTY")+(UPPER($AS$80:$AZ$80)="(EMPTY)"))&gt;0,IFERROR(('Final Calculation Sheet'!$T$39)&amp;"","")="",ISNUMBER(SEARCH($AS$80:$AZ$80,IFERROR(('Final Calculation Sheet'!$T$39)&amp;"","")))))&gt;0),IF(COUNTIF($BI$80:$BP$80,7)=0,TRUE,SUMPRODUCT(($BI$80:$BP$80=7)*($AS$80:$AZ$80&lt;&gt;"")*IF(((UPPER($AS$80:$AZ$80)="BLANK")+(UPPER($AS$80:$AZ$80)="(BLANK)")+(UPPER($AS$80:$AZ$80)="EMPTY")+(UPPER($AS$80:$AZ$80)="(EMPTY)"))&gt;0,IFERROR(('Final Calculation Sheet'!$T$39)&amp;"","")="",ISNUMBER(SEARCH($AS$80:$AZ$80,IFERROR(('Final Calculation Sheet'!$T$39)&amp;"","")))))&gt;0),IF(COUNTIF($BI$80:$BP$80,8)=0,TRUE,SUMPRODUCT(($BI$80:$BP$80=8)*($AS$80:$AZ$80&lt;&gt;"")*IF(((UPPER($AS$80:$AZ$80)="BLANK")+(UPPER($AS$80:$AZ$80)="(BLANK)")+(UPPER($AS$80:$AZ$80)="EMPTY")+(UPPER($AS$80:$AZ$80)="(EMPTY)"))&gt;0,IFERROR(('Final Calculation Sheet'!$T$39)&amp;"","")="",ISNUMBER(SEARCH($AS$80:$AZ$80,IFERROR(('Final Calculation Sheet'!$T$39)&amp;"","")))))&gt;0))))</f>
        <v>1</v>
      </c>
      <c r="CH40">
        <f>IF($V$4="",1,--(AND(SUMPRODUCT(--($AS$81:$AZ$81&lt;&gt;""))&gt;0,IF(COUNTIF($BI$81:$BP$81,1)=0,TRUE,SUMPRODUCT(($BI$81:$BP$81=1)*($AS$81:$AZ$81&lt;&gt;"")*IF(((UPPER($AS$81:$AZ$81)="BLANK")+(UPPER($AS$81:$AZ$81)="(BLANK)")+(UPPER($AS$81:$AZ$81)="EMPTY")+(UPPER($AS$81:$AZ$81)="(EMPTY)"))&gt;0,IFERROR(('Final Calculation Sheet'!$U$39)&amp;"","")="",ISNUMBER(SEARCH($AS$81:$AZ$81,IFERROR(('Final Calculation Sheet'!$U$39)&amp;"","")))))&gt;0),IF(COUNTIF($BI$81:$BP$81,2)=0,TRUE,SUMPRODUCT(($BI$81:$BP$81=2)*($AS$81:$AZ$81&lt;&gt;"")*IF(((UPPER($AS$81:$AZ$81)="BLANK")+(UPPER($AS$81:$AZ$81)="(BLANK)")+(UPPER($AS$81:$AZ$81)="EMPTY")+(UPPER($AS$81:$AZ$81)="(EMPTY)"))&gt;0,IFERROR(('Final Calculation Sheet'!$U$39)&amp;"","")="",ISNUMBER(SEARCH($AS$81:$AZ$81,IFERROR(('Final Calculation Sheet'!$U$39)&amp;"","")))))&gt;0),IF(COUNTIF($BI$81:$BP$81,3)=0,TRUE,SUMPRODUCT(($BI$81:$BP$81=3)*($AS$81:$AZ$81&lt;&gt;"")*IF(((UPPER($AS$81:$AZ$81)="BLANK")+(UPPER($AS$81:$AZ$81)="(BLANK)")+(UPPER($AS$81:$AZ$81)="EMPTY")+(UPPER($AS$81:$AZ$81)="(EMPTY)"))&gt;0,IFERROR(('Final Calculation Sheet'!$U$39)&amp;"","")="",ISNUMBER(SEARCH($AS$81:$AZ$81,IFERROR(('Final Calculation Sheet'!$U$39)&amp;"","")))))&gt;0),IF(COUNTIF($BI$81:$BP$81,4)=0,TRUE,SUMPRODUCT(($BI$81:$BP$81=4)*($AS$81:$AZ$81&lt;&gt;"")*IF(((UPPER($AS$81:$AZ$81)="BLANK")+(UPPER($AS$81:$AZ$81)="(BLANK)")+(UPPER($AS$81:$AZ$81)="EMPTY")+(UPPER($AS$81:$AZ$81)="(EMPTY)"))&gt;0,IFERROR(('Final Calculation Sheet'!$U$39)&amp;"","")="",ISNUMBER(SEARCH($AS$81:$AZ$81,IFERROR(('Final Calculation Sheet'!$U$39)&amp;"","")))))&gt;0),IF(COUNTIF($BI$81:$BP$81,5)=0,TRUE,SUMPRODUCT(($BI$81:$BP$81=5)*($AS$81:$AZ$81&lt;&gt;"")*IF(((UPPER($AS$81:$AZ$81)="BLANK")+(UPPER($AS$81:$AZ$81)="(BLANK)")+(UPPER($AS$81:$AZ$81)="EMPTY")+(UPPER($AS$81:$AZ$81)="(EMPTY)"))&gt;0,IFERROR(('Final Calculation Sheet'!$U$39)&amp;"","")="",ISNUMBER(SEARCH($AS$81:$AZ$81,IFERROR(('Final Calculation Sheet'!$U$39)&amp;"","")))))&gt;0),IF(COUNTIF($BI$81:$BP$81,6)=0,TRUE,SUMPRODUCT(($BI$81:$BP$81=6)*($AS$81:$AZ$81&lt;&gt;"")*IF(((UPPER($AS$81:$AZ$81)="BLANK")+(UPPER($AS$81:$AZ$81)="(BLANK)")+(UPPER($AS$81:$AZ$81)="EMPTY")+(UPPER($AS$81:$AZ$81)="(EMPTY)"))&gt;0,IFERROR(('Final Calculation Sheet'!$U$39)&amp;"","")="",ISNUMBER(SEARCH($AS$81:$AZ$81,IFERROR(('Final Calculation Sheet'!$U$39)&amp;"","")))))&gt;0),IF(COUNTIF($BI$81:$BP$81,7)=0,TRUE,SUMPRODUCT(($BI$81:$BP$81=7)*($AS$81:$AZ$81&lt;&gt;"")*IF(((UPPER($AS$81:$AZ$81)="BLANK")+(UPPER($AS$81:$AZ$81)="(BLANK)")+(UPPER($AS$81:$AZ$81)="EMPTY")+(UPPER($AS$81:$AZ$81)="(EMPTY)"))&gt;0,IFERROR(('Final Calculation Sheet'!$U$39)&amp;"","")="",ISNUMBER(SEARCH($AS$81:$AZ$81,IFERROR(('Final Calculation Sheet'!$U$39)&amp;"","")))))&gt;0),IF(COUNTIF($BI$81:$BP$81,8)=0,TRUE,SUMPRODUCT(($BI$81:$BP$81=8)*($AS$81:$AZ$81&lt;&gt;"")*IF(((UPPER($AS$81:$AZ$81)="BLANK")+(UPPER($AS$81:$AZ$81)="(BLANK)")+(UPPER($AS$81:$AZ$81)="EMPTY")+(UPPER($AS$81:$AZ$81)="(EMPTY)"))&gt;0,IFERROR(('Final Calculation Sheet'!$U$39)&amp;"","")="",ISNUMBER(SEARCH($AS$81:$AZ$81,IFERROR(('Final Calculation Sheet'!$U$39)&amp;"","")))))&gt;0))))</f>
        <v>1</v>
      </c>
      <c r="CI40">
        <f>IF($W$4="",1,--(AND(SUMPRODUCT(--($AS$82:$AZ$82&lt;&gt;""))&gt;0,IF(COUNTIF($BI$82:$BP$82,1)=0,TRUE,SUMPRODUCT(($BI$82:$BP$82=1)*($AS$82:$AZ$82&lt;&gt;"")*IF(((UPPER($AS$82:$AZ$82)="BLANK")+(UPPER($AS$82:$AZ$82)="(BLANK)")+(UPPER($AS$82:$AZ$82)="EMPTY")+(UPPER($AS$82:$AZ$82)="(EMPTY)"))&gt;0,IFERROR(('Final Calculation Sheet'!$V$39)&amp;"","")="",ISNUMBER(SEARCH($AS$82:$AZ$82,IFERROR(('Final Calculation Sheet'!$V$39)&amp;"","")))))&gt;0),IF(COUNTIF($BI$82:$BP$82,2)=0,TRUE,SUMPRODUCT(($BI$82:$BP$82=2)*($AS$82:$AZ$82&lt;&gt;"")*IF(((UPPER($AS$82:$AZ$82)="BLANK")+(UPPER($AS$82:$AZ$82)="(BLANK)")+(UPPER($AS$82:$AZ$82)="EMPTY")+(UPPER($AS$82:$AZ$82)="(EMPTY)"))&gt;0,IFERROR(('Final Calculation Sheet'!$V$39)&amp;"","")="",ISNUMBER(SEARCH($AS$82:$AZ$82,IFERROR(('Final Calculation Sheet'!$V$39)&amp;"","")))))&gt;0),IF(COUNTIF($BI$82:$BP$82,3)=0,TRUE,SUMPRODUCT(($BI$82:$BP$82=3)*($AS$82:$AZ$82&lt;&gt;"")*IF(((UPPER($AS$82:$AZ$82)="BLANK")+(UPPER($AS$82:$AZ$82)="(BLANK)")+(UPPER($AS$82:$AZ$82)="EMPTY")+(UPPER($AS$82:$AZ$82)="(EMPTY)"))&gt;0,IFERROR(('Final Calculation Sheet'!$V$39)&amp;"","")="",ISNUMBER(SEARCH($AS$82:$AZ$82,IFERROR(('Final Calculation Sheet'!$V$39)&amp;"","")))))&gt;0),IF(COUNTIF($BI$82:$BP$82,4)=0,TRUE,SUMPRODUCT(($BI$82:$BP$82=4)*($AS$82:$AZ$82&lt;&gt;"")*IF(((UPPER($AS$82:$AZ$82)="BLANK")+(UPPER($AS$82:$AZ$82)="(BLANK)")+(UPPER($AS$82:$AZ$82)="EMPTY")+(UPPER($AS$82:$AZ$82)="(EMPTY)"))&gt;0,IFERROR(('Final Calculation Sheet'!$V$39)&amp;"","")="",ISNUMBER(SEARCH($AS$82:$AZ$82,IFERROR(('Final Calculation Sheet'!$V$39)&amp;"","")))))&gt;0),IF(COUNTIF($BI$82:$BP$82,5)=0,TRUE,SUMPRODUCT(($BI$82:$BP$82=5)*($AS$82:$AZ$82&lt;&gt;"")*IF(((UPPER($AS$82:$AZ$82)="BLANK")+(UPPER($AS$82:$AZ$82)="(BLANK)")+(UPPER($AS$82:$AZ$82)="EMPTY")+(UPPER($AS$82:$AZ$82)="(EMPTY)"))&gt;0,IFERROR(('Final Calculation Sheet'!$V$39)&amp;"","")="",ISNUMBER(SEARCH($AS$82:$AZ$82,IFERROR(('Final Calculation Sheet'!$V$39)&amp;"","")))))&gt;0),IF(COUNTIF($BI$82:$BP$82,6)=0,TRUE,SUMPRODUCT(($BI$82:$BP$82=6)*($AS$82:$AZ$82&lt;&gt;"")*IF(((UPPER($AS$82:$AZ$82)="BLANK")+(UPPER($AS$82:$AZ$82)="(BLANK)")+(UPPER($AS$82:$AZ$82)="EMPTY")+(UPPER($AS$82:$AZ$82)="(EMPTY)"))&gt;0,IFERROR(('Final Calculation Sheet'!$V$39)&amp;"","")="",ISNUMBER(SEARCH($AS$82:$AZ$82,IFERROR(('Final Calculation Sheet'!$V$39)&amp;"","")))))&gt;0),IF(COUNTIF($BI$82:$BP$82,7)=0,TRUE,SUMPRODUCT(($BI$82:$BP$82=7)*($AS$82:$AZ$82&lt;&gt;"")*IF(((UPPER($AS$82:$AZ$82)="BLANK")+(UPPER($AS$82:$AZ$82)="(BLANK)")+(UPPER($AS$82:$AZ$82)="EMPTY")+(UPPER($AS$82:$AZ$82)="(EMPTY)"))&gt;0,IFERROR(('Final Calculation Sheet'!$V$39)&amp;"","")="",ISNUMBER(SEARCH($AS$82:$AZ$82,IFERROR(('Final Calculation Sheet'!$V$39)&amp;"","")))))&gt;0),IF(COUNTIF($BI$82:$BP$82,8)=0,TRUE,SUMPRODUCT(($BI$82:$BP$82=8)*($AS$82:$AZ$82&lt;&gt;"")*IF(((UPPER($AS$82:$AZ$82)="BLANK")+(UPPER($AS$82:$AZ$82)="(BLANK)")+(UPPER($AS$82:$AZ$82)="EMPTY")+(UPPER($AS$82:$AZ$82)="(EMPTY)"))&gt;0,IFERROR(('Final Calculation Sheet'!$V$39)&amp;"","")="",ISNUMBER(SEARCH($AS$82:$AZ$82,IFERROR(('Final Calculation Sheet'!$V$39)&amp;"","")))))&gt;0))))</f>
        <v>1</v>
      </c>
      <c r="CJ40">
        <f>IF($X$4="",1,--(AND(SUMPRODUCT(--($AS$83:$AZ$83&lt;&gt;""))&gt;0,IF(COUNTIF($BI$83:$BP$83,1)=0,TRUE,SUMPRODUCT(($BI$83:$BP$83=1)*($AS$83:$AZ$83&lt;&gt;"")*IF(((UPPER($AS$83:$AZ$83)="BLANK")+(UPPER($AS$83:$AZ$83)="(BLANK)")+(UPPER($AS$83:$AZ$83)="EMPTY")+(UPPER($AS$83:$AZ$83)="(EMPTY)"))&gt;0,IFERROR(('Final Calculation Sheet'!$W$39)&amp;"","")="",ISNUMBER(SEARCH($AS$83:$AZ$83,IFERROR(('Final Calculation Sheet'!$W$39)&amp;"","")))))&gt;0),IF(COUNTIF($BI$83:$BP$83,2)=0,TRUE,SUMPRODUCT(($BI$83:$BP$83=2)*($AS$83:$AZ$83&lt;&gt;"")*IF(((UPPER($AS$83:$AZ$83)="BLANK")+(UPPER($AS$83:$AZ$83)="(BLANK)")+(UPPER($AS$83:$AZ$83)="EMPTY")+(UPPER($AS$83:$AZ$83)="(EMPTY)"))&gt;0,IFERROR(('Final Calculation Sheet'!$W$39)&amp;"","")="",ISNUMBER(SEARCH($AS$83:$AZ$83,IFERROR(('Final Calculation Sheet'!$W$39)&amp;"","")))))&gt;0),IF(COUNTIF($BI$83:$BP$83,3)=0,TRUE,SUMPRODUCT(($BI$83:$BP$83=3)*($AS$83:$AZ$83&lt;&gt;"")*IF(((UPPER($AS$83:$AZ$83)="BLANK")+(UPPER($AS$83:$AZ$83)="(BLANK)")+(UPPER($AS$83:$AZ$83)="EMPTY")+(UPPER($AS$83:$AZ$83)="(EMPTY)"))&gt;0,IFERROR(('Final Calculation Sheet'!$W$39)&amp;"","")="",ISNUMBER(SEARCH($AS$83:$AZ$83,IFERROR(('Final Calculation Sheet'!$W$39)&amp;"","")))))&gt;0),IF(COUNTIF($BI$83:$BP$83,4)=0,TRUE,SUMPRODUCT(($BI$83:$BP$83=4)*($AS$83:$AZ$83&lt;&gt;"")*IF(((UPPER($AS$83:$AZ$83)="BLANK")+(UPPER($AS$83:$AZ$83)="(BLANK)")+(UPPER($AS$83:$AZ$83)="EMPTY")+(UPPER($AS$83:$AZ$83)="(EMPTY)"))&gt;0,IFERROR(('Final Calculation Sheet'!$W$39)&amp;"","")="",ISNUMBER(SEARCH($AS$83:$AZ$83,IFERROR(('Final Calculation Sheet'!$W$39)&amp;"","")))))&gt;0),IF(COUNTIF($BI$83:$BP$83,5)=0,TRUE,SUMPRODUCT(($BI$83:$BP$83=5)*($AS$83:$AZ$83&lt;&gt;"")*IF(((UPPER($AS$83:$AZ$83)="BLANK")+(UPPER($AS$83:$AZ$83)="(BLANK)")+(UPPER($AS$83:$AZ$83)="EMPTY")+(UPPER($AS$83:$AZ$83)="(EMPTY)"))&gt;0,IFERROR(('Final Calculation Sheet'!$W$39)&amp;"","")="",ISNUMBER(SEARCH($AS$83:$AZ$83,IFERROR(('Final Calculation Sheet'!$W$39)&amp;"","")))))&gt;0),IF(COUNTIF($BI$83:$BP$83,6)=0,TRUE,SUMPRODUCT(($BI$83:$BP$83=6)*($AS$83:$AZ$83&lt;&gt;"")*IF(((UPPER($AS$83:$AZ$83)="BLANK")+(UPPER($AS$83:$AZ$83)="(BLANK)")+(UPPER($AS$83:$AZ$83)="EMPTY")+(UPPER($AS$83:$AZ$83)="(EMPTY)"))&gt;0,IFERROR(('Final Calculation Sheet'!$W$39)&amp;"","")="",ISNUMBER(SEARCH($AS$83:$AZ$83,IFERROR(('Final Calculation Sheet'!$W$39)&amp;"","")))))&gt;0),IF(COUNTIF($BI$83:$BP$83,7)=0,TRUE,SUMPRODUCT(($BI$83:$BP$83=7)*($AS$83:$AZ$83&lt;&gt;"")*IF(((UPPER($AS$83:$AZ$83)="BLANK")+(UPPER($AS$83:$AZ$83)="(BLANK)")+(UPPER($AS$83:$AZ$83)="EMPTY")+(UPPER($AS$83:$AZ$83)="(EMPTY)"))&gt;0,IFERROR(('Final Calculation Sheet'!$W$39)&amp;"","")="",ISNUMBER(SEARCH($AS$83:$AZ$83,IFERROR(('Final Calculation Sheet'!$W$39)&amp;"","")))))&gt;0),IF(COUNTIF($BI$83:$BP$83,8)=0,TRUE,SUMPRODUCT(($BI$83:$BP$83=8)*($AS$83:$AZ$83&lt;&gt;"")*IF(((UPPER($AS$83:$AZ$83)="BLANK")+(UPPER($AS$83:$AZ$83)="(BLANK)")+(UPPER($AS$83:$AZ$83)="EMPTY")+(UPPER($AS$83:$AZ$83)="(EMPTY)"))&gt;0,IFERROR(('Final Calculation Sheet'!$W$39)&amp;"","")="",ISNUMBER(SEARCH($AS$83:$AZ$83,IFERROR(('Final Calculation Sheet'!$W$39)&amp;"","")))))&gt;0))))</f>
        <v>1</v>
      </c>
      <c r="CK40">
        <f>IF($Y$4="",1,--(AND(SUMPRODUCT(--($AS$84:$AZ$84&lt;&gt;""))&gt;0,IF(COUNTIF($BI$84:$BP$84,1)=0,TRUE,SUMPRODUCT(($BI$84:$BP$84=1)*($AS$84:$AZ$84&lt;&gt;"")*IF(((UPPER($AS$84:$AZ$84)="BLANK")+(UPPER($AS$84:$AZ$84)="(BLANK)")+(UPPER($AS$84:$AZ$84)="EMPTY")+(UPPER($AS$84:$AZ$84)="(EMPTY)"))&gt;0,IFERROR(('Final Calculation Sheet'!$X$39)&amp;"","")="",ISNUMBER(SEARCH($AS$84:$AZ$84,IFERROR(('Final Calculation Sheet'!$X$39)&amp;"","")))))&gt;0),IF(COUNTIF($BI$84:$BP$84,2)=0,TRUE,SUMPRODUCT(($BI$84:$BP$84=2)*($AS$84:$AZ$84&lt;&gt;"")*IF(((UPPER($AS$84:$AZ$84)="BLANK")+(UPPER($AS$84:$AZ$84)="(BLANK)")+(UPPER($AS$84:$AZ$84)="EMPTY")+(UPPER($AS$84:$AZ$84)="(EMPTY)"))&gt;0,IFERROR(('Final Calculation Sheet'!$X$39)&amp;"","")="",ISNUMBER(SEARCH($AS$84:$AZ$84,IFERROR(('Final Calculation Sheet'!$X$39)&amp;"","")))))&gt;0),IF(COUNTIF($BI$84:$BP$84,3)=0,TRUE,SUMPRODUCT(($BI$84:$BP$84=3)*($AS$84:$AZ$84&lt;&gt;"")*IF(((UPPER($AS$84:$AZ$84)="BLANK")+(UPPER($AS$84:$AZ$84)="(BLANK)")+(UPPER($AS$84:$AZ$84)="EMPTY")+(UPPER($AS$84:$AZ$84)="(EMPTY)"))&gt;0,IFERROR(('Final Calculation Sheet'!$X$39)&amp;"","")="",ISNUMBER(SEARCH($AS$84:$AZ$84,IFERROR(('Final Calculation Sheet'!$X$39)&amp;"","")))))&gt;0),IF(COUNTIF($BI$84:$BP$84,4)=0,TRUE,SUMPRODUCT(($BI$84:$BP$84=4)*($AS$84:$AZ$84&lt;&gt;"")*IF(((UPPER($AS$84:$AZ$84)="BLANK")+(UPPER($AS$84:$AZ$84)="(BLANK)")+(UPPER($AS$84:$AZ$84)="EMPTY")+(UPPER($AS$84:$AZ$84)="(EMPTY)"))&gt;0,IFERROR(('Final Calculation Sheet'!$X$39)&amp;"","")="",ISNUMBER(SEARCH($AS$84:$AZ$84,IFERROR(('Final Calculation Sheet'!$X$39)&amp;"","")))))&gt;0),IF(COUNTIF($BI$84:$BP$84,5)=0,TRUE,SUMPRODUCT(($BI$84:$BP$84=5)*($AS$84:$AZ$84&lt;&gt;"")*IF(((UPPER($AS$84:$AZ$84)="BLANK")+(UPPER($AS$84:$AZ$84)="(BLANK)")+(UPPER($AS$84:$AZ$84)="EMPTY")+(UPPER($AS$84:$AZ$84)="(EMPTY)"))&gt;0,IFERROR(('Final Calculation Sheet'!$X$39)&amp;"","")="",ISNUMBER(SEARCH($AS$84:$AZ$84,IFERROR(('Final Calculation Sheet'!$X$39)&amp;"","")))))&gt;0),IF(COUNTIF($BI$84:$BP$84,6)=0,TRUE,SUMPRODUCT(($BI$84:$BP$84=6)*($AS$84:$AZ$84&lt;&gt;"")*IF(((UPPER($AS$84:$AZ$84)="BLANK")+(UPPER($AS$84:$AZ$84)="(BLANK)")+(UPPER($AS$84:$AZ$84)="EMPTY")+(UPPER($AS$84:$AZ$84)="(EMPTY)"))&gt;0,IFERROR(('Final Calculation Sheet'!$X$39)&amp;"","")="",ISNUMBER(SEARCH($AS$84:$AZ$84,IFERROR(('Final Calculation Sheet'!$X$39)&amp;"","")))))&gt;0),IF(COUNTIF($BI$84:$BP$84,7)=0,TRUE,SUMPRODUCT(($BI$84:$BP$84=7)*($AS$84:$AZ$84&lt;&gt;"")*IF(((UPPER($AS$84:$AZ$84)="BLANK")+(UPPER($AS$84:$AZ$84)="(BLANK)")+(UPPER($AS$84:$AZ$84)="EMPTY")+(UPPER($AS$84:$AZ$84)="(EMPTY)"))&gt;0,IFERROR(('Final Calculation Sheet'!$X$39)&amp;"","")="",ISNUMBER(SEARCH($AS$84:$AZ$84,IFERROR(('Final Calculation Sheet'!$X$39)&amp;"","")))))&gt;0),IF(COUNTIF($BI$84:$BP$84,8)=0,TRUE,SUMPRODUCT(($BI$84:$BP$84=8)*($AS$84:$AZ$84&lt;&gt;"")*IF(((UPPER($AS$84:$AZ$84)="BLANK")+(UPPER($AS$84:$AZ$84)="(BLANK)")+(UPPER($AS$84:$AZ$84)="EMPTY")+(UPPER($AS$84:$AZ$84)="(EMPTY)"))&gt;0,IFERROR(('Final Calculation Sheet'!$X$39)&amp;"","")="",ISNUMBER(SEARCH($AS$84:$AZ$84,IFERROR(('Final Calculation Sheet'!$X$39)&amp;"","")))))&gt;0))))</f>
        <v>1</v>
      </c>
      <c r="CL40">
        <f>IF($Z$4="",1,--(AND(SUMPRODUCT(--($AS$85:$AZ$85&lt;&gt;""))&gt;0,IF(COUNTIF($BI$85:$BP$85,1)=0,TRUE,SUMPRODUCT(($BI$85:$BP$85=1)*($AS$85:$AZ$85&lt;&gt;"")*IF(((UPPER($AS$85:$AZ$85)="BLANK")+(UPPER($AS$85:$AZ$85)="(BLANK)")+(UPPER($AS$85:$AZ$85)="EMPTY")+(UPPER($AS$85:$AZ$85)="(EMPTY)"))&gt;0,IFERROR(('Final Calculation Sheet'!$Y$39)&amp;"","")="",ISNUMBER(SEARCH($AS$85:$AZ$85,IFERROR(('Final Calculation Sheet'!$Y$39)&amp;"","")))))&gt;0),IF(COUNTIF($BI$85:$BP$85,2)=0,TRUE,SUMPRODUCT(($BI$85:$BP$85=2)*($AS$85:$AZ$85&lt;&gt;"")*IF(((UPPER($AS$85:$AZ$85)="BLANK")+(UPPER($AS$85:$AZ$85)="(BLANK)")+(UPPER($AS$85:$AZ$85)="EMPTY")+(UPPER($AS$85:$AZ$85)="(EMPTY)"))&gt;0,IFERROR(('Final Calculation Sheet'!$Y$39)&amp;"","")="",ISNUMBER(SEARCH($AS$85:$AZ$85,IFERROR(('Final Calculation Sheet'!$Y$39)&amp;"","")))))&gt;0),IF(COUNTIF($BI$85:$BP$85,3)=0,TRUE,SUMPRODUCT(($BI$85:$BP$85=3)*($AS$85:$AZ$85&lt;&gt;"")*IF(((UPPER($AS$85:$AZ$85)="BLANK")+(UPPER($AS$85:$AZ$85)="(BLANK)")+(UPPER($AS$85:$AZ$85)="EMPTY")+(UPPER($AS$85:$AZ$85)="(EMPTY)"))&gt;0,IFERROR(('Final Calculation Sheet'!$Y$39)&amp;"","")="",ISNUMBER(SEARCH($AS$85:$AZ$85,IFERROR(('Final Calculation Sheet'!$Y$39)&amp;"","")))))&gt;0),IF(COUNTIF($BI$85:$BP$85,4)=0,TRUE,SUMPRODUCT(($BI$85:$BP$85=4)*($AS$85:$AZ$85&lt;&gt;"")*IF(((UPPER($AS$85:$AZ$85)="BLANK")+(UPPER($AS$85:$AZ$85)="(BLANK)")+(UPPER($AS$85:$AZ$85)="EMPTY")+(UPPER($AS$85:$AZ$85)="(EMPTY)"))&gt;0,IFERROR(('Final Calculation Sheet'!$Y$39)&amp;"","")="",ISNUMBER(SEARCH($AS$85:$AZ$85,IFERROR(('Final Calculation Sheet'!$Y$39)&amp;"","")))))&gt;0),IF(COUNTIF($BI$85:$BP$85,5)=0,TRUE,SUMPRODUCT(($BI$85:$BP$85=5)*($AS$85:$AZ$85&lt;&gt;"")*IF(((UPPER($AS$85:$AZ$85)="BLANK")+(UPPER($AS$85:$AZ$85)="(BLANK)")+(UPPER($AS$85:$AZ$85)="EMPTY")+(UPPER($AS$85:$AZ$85)="(EMPTY)"))&gt;0,IFERROR(('Final Calculation Sheet'!$Y$39)&amp;"","")="",ISNUMBER(SEARCH($AS$85:$AZ$85,IFERROR(('Final Calculation Sheet'!$Y$39)&amp;"","")))))&gt;0),IF(COUNTIF($BI$85:$BP$85,6)=0,TRUE,SUMPRODUCT(($BI$85:$BP$85=6)*($AS$85:$AZ$85&lt;&gt;"")*IF(((UPPER($AS$85:$AZ$85)="BLANK")+(UPPER($AS$85:$AZ$85)="(BLANK)")+(UPPER($AS$85:$AZ$85)="EMPTY")+(UPPER($AS$85:$AZ$85)="(EMPTY)"))&gt;0,IFERROR(('Final Calculation Sheet'!$Y$39)&amp;"","")="",ISNUMBER(SEARCH($AS$85:$AZ$85,IFERROR(('Final Calculation Sheet'!$Y$39)&amp;"","")))))&gt;0),IF(COUNTIF($BI$85:$BP$85,7)=0,TRUE,SUMPRODUCT(($BI$85:$BP$85=7)*($AS$85:$AZ$85&lt;&gt;"")*IF(((UPPER($AS$85:$AZ$85)="BLANK")+(UPPER($AS$85:$AZ$85)="(BLANK)")+(UPPER($AS$85:$AZ$85)="EMPTY")+(UPPER($AS$85:$AZ$85)="(EMPTY)"))&gt;0,IFERROR(('Final Calculation Sheet'!$Y$39)&amp;"","")="",ISNUMBER(SEARCH($AS$85:$AZ$85,IFERROR(('Final Calculation Sheet'!$Y$39)&amp;"","")))))&gt;0),IF(COUNTIF($BI$85:$BP$85,8)=0,TRUE,SUMPRODUCT(($BI$85:$BP$85=8)*($AS$85:$AZ$85&lt;&gt;"")*IF(((UPPER($AS$85:$AZ$85)="BLANK")+(UPPER($AS$85:$AZ$85)="(BLANK)")+(UPPER($AS$85:$AZ$85)="EMPTY")+(UPPER($AS$85:$AZ$85)="(EMPTY)"))&gt;0,IFERROR(('Final Calculation Sheet'!$Y$39)&amp;"","")="",ISNUMBER(SEARCH($AS$85:$AZ$85,IFERROR(('Final Calculation Sheet'!$Y$39)&amp;"","")))))&gt;0))))</f>
        <v>1</v>
      </c>
      <c r="CM40">
        <f>IF($AA$4="",1,--(AND(SUMPRODUCT(--($AS$86:$AZ$86&lt;&gt;""))&gt;0,IF(COUNTIF($BI$86:$BP$86,1)=0,TRUE,SUMPRODUCT(($BI$86:$BP$86=1)*($AS$86:$AZ$86&lt;&gt;"")*IF(((UPPER($AS$86:$AZ$86)="BLANK")+(UPPER($AS$86:$AZ$86)="(BLANK)")+(UPPER($AS$86:$AZ$86)="EMPTY")+(UPPER($AS$86:$AZ$86)="(EMPTY)"))&gt;0,IFERROR(('Final Calculation Sheet'!$Z$39)&amp;"","")="",ISNUMBER(SEARCH($AS$86:$AZ$86,IFERROR(('Final Calculation Sheet'!$Z$39)&amp;"","")))))&gt;0),IF(COUNTIF($BI$86:$BP$86,2)=0,TRUE,SUMPRODUCT(($BI$86:$BP$86=2)*($AS$86:$AZ$86&lt;&gt;"")*IF(((UPPER($AS$86:$AZ$86)="BLANK")+(UPPER($AS$86:$AZ$86)="(BLANK)")+(UPPER($AS$86:$AZ$86)="EMPTY")+(UPPER($AS$86:$AZ$86)="(EMPTY)"))&gt;0,IFERROR(('Final Calculation Sheet'!$Z$39)&amp;"","")="",ISNUMBER(SEARCH($AS$86:$AZ$86,IFERROR(('Final Calculation Sheet'!$Z$39)&amp;"","")))))&gt;0),IF(COUNTIF($BI$86:$BP$86,3)=0,TRUE,SUMPRODUCT(($BI$86:$BP$86=3)*($AS$86:$AZ$86&lt;&gt;"")*IF(((UPPER($AS$86:$AZ$86)="BLANK")+(UPPER($AS$86:$AZ$86)="(BLANK)")+(UPPER($AS$86:$AZ$86)="EMPTY")+(UPPER($AS$86:$AZ$86)="(EMPTY)"))&gt;0,IFERROR(('Final Calculation Sheet'!$Z$39)&amp;"","")="",ISNUMBER(SEARCH($AS$86:$AZ$86,IFERROR(('Final Calculation Sheet'!$Z$39)&amp;"","")))))&gt;0),IF(COUNTIF($BI$86:$BP$86,4)=0,TRUE,SUMPRODUCT(($BI$86:$BP$86=4)*($AS$86:$AZ$86&lt;&gt;"")*IF(((UPPER($AS$86:$AZ$86)="BLANK")+(UPPER($AS$86:$AZ$86)="(BLANK)")+(UPPER($AS$86:$AZ$86)="EMPTY")+(UPPER($AS$86:$AZ$86)="(EMPTY)"))&gt;0,IFERROR(('Final Calculation Sheet'!$Z$39)&amp;"","")="",ISNUMBER(SEARCH($AS$86:$AZ$86,IFERROR(('Final Calculation Sheet'!$Z$39)&amp;"","")))))&gt;0),IF(COUNTIF($BI$86:$BP$86,5)=0,TRUE,SUMPRODUCT(($BI$86:$BP$86=5)*($AS$86:$AZ$86&lt;&gt;"")*IF(((UPPER($AS$86:$AZ$86)="BLANK")+(UPPER($AS$86:$AZ$86)="(BLANK)")+(UPPER($AS$86:$AZ$86)="EMPTY")+(UPPER($AS$86:$AZ$86)="(EMPTY)"))&gt;0,IFERROR(('Final Calculation Sheet'!$Z$39)&amp;"","")="",ISNUMBER(SEARCH($AS$86:$AZ$86,IFERROR(('Final Calculation Sheet'!$Z$39)&amp;"","")))))&gt;0),IF(COUNTIF($BI$86:$BP$86,6)=0,TRUE,SUMPRODUCT(($BI$86:$BP$86=6)*($AS$86:$AZ$86&lt;&gt;"")*IF(((UPPER($AS$86:$AZ$86)="BLANK")+(UPPER($AS$86:$AZ$86)="(BLANK)")+(UPPER($AS$86:$AZ$86)="EMPTY")+(UPPER($AS$86:$AZ$86)="(EMPTY)"))&gt;0,IFERROR(('Final Calculation Sheet'!$Z$39)&amp;"","")="",ISNUMBER(SEARCH($AS$86:$AZ$86,IFERROR(('Final Calculation Sheet'!$Z$39)&amp;"","")))))&gt;0),IF(COUNTIF($BI$86:$BP$86,7)=0,TRUE,SUMPRODUCT(($BI$86:$BP$86=7)*($AS$86:$AZ$86&lt;&gt;"")*IF(((UPPER($AS$86:$AZ$86)="BLANK")+(UPPER($AS$86:$AZ$86)="(BLANK)")+(UPPER($AS$86:$AZ$86)="EMPTY")+(UPPER($AS$86:$AZ$86)="(EMPTY)"))&gt;0,IFERROR(('Final Calculation Sheet'!$Z$39)&amp;"","")="",ISNUMBER(SEARCH($AS$86:$AZ$86,IFERROR(('Final Calculation Sheet'!$Z$39)&amp;"","")))))&gt;0),IF(COUNTIF($BI$86:$BP$86,8)=0,TRUE,SUMPRODUCT(($BI$86:$BP$86=8)*($AS$86:$AZ$86&lt;&gt;"")*IF(((UPPER($AS$86:$AZ$86)="BLANK")+(UPPER($AS$86:$AZ$86)="(BLANK)")+(UPPER($AS$86:$AZ$86)="EMPTY")+(UPPER($AS$86:$AZ$86)="(EMPTY)"))&gt;0,IFERROR(('Final Calculation Sheet'!$Z$39)&amp;"","")="",ISNUMBER(SEARCH($AS$86:$AZ$86,IFERROR(('Final Calculation Sheet'!$Z$39)&amp;"","")))))&gt;0))))</f>
        <v>1</v>
      </c>
      <c r="CN40">
        <f>IF($AB$4="",1,--(AND(SUMPRODUCT(--($AS$87:$AZ$87&lt;&gt;""))&gt;0,IF(COUNTIF($BI$87:$BP$87,1)=0,TRUE,SUMPRODUCT(($BI$87:$BP$87=1)*($AS$87:$AZ$87&lt;&gt;"")*IF(((UPPER($AS$87:$AZ$87)="BLANK")+(UPPER($AS$87:$AZ$87)="(BLANK)")+(UPPER($AS$87:$AZ$87)="EMPTY")+(UPPER($AS$87:$AZ$87)="(EMPTY)"))&gt;0,IFERROR(('Final Calculation Sheet'!$AA$39)&amp;"","")="",ISNUMBER(SEARCH($AS$87:$AZ$87,IFERROR(('Final Calculation Sheet'!$AA$39)&amp;"","")))))&gt;0),IF(COUNTIF($BI$87:$BP$87,2)=0,TRUE,SUMPRODUCT(($BI$87:$BP$87=2)*($AS$87:$AZ$87&lt;&gt;"")*IF(((UPPER($AS$87:$AZ$87)="BLANK")+(UPPER($AS$87:$AZ$87)="(BLANK)")+(UPPER($AS$87:$AZ$87)="EMPTY")+(UPPER($AS$87:$AZ$87)="(EMPTY)"))&gt;0,IFERROR(('Final Calculation Sheet'!$AA$39)&amp;"","")="",ISNUMBER(SEARCH($AS$87:$AZ$87,IFERROR(('Final Calculation Sheet'!$AA$39)&amp;"","")))))&gt;0),IF(COUNTIF($BI$87:$BP$87,3)=0,TRUE,SUMPRODUCT(($BI$87:$BP$87=3)*($AS$87:$AZ$87&lt;&gt;"")*IF(((UPPER($AS$87:$AZ$87)="BLANK")+(UPPER($AS$87:$AZ$87)="(BLANK)")+(UPPER($AS$87:$AZ$87)="EMPTY")+(UPPER($AS$87:$AZ$87)="(EMPTY)"))&gt;0,IFERROR(('Final Calculation Sheet'!$AA$39)&amp;"","")="",ISNUMBER(SEARCH($AS$87:$AZ$87,IFERROR(('Final Calculation Sheet'!$AA$39)&amp;"","")))))&gt;0),IF(COUNTIF($BI$87:$BP$87,4)=0,TRUE,SUMPRODUCT(($BI$87:$BP$87=4)*($AS$87:$AZ$87&lt;&gt;"")*IF(((UPPER($AS$87:$AZ$87)="BLANK")+(UPPER($AS$87:$AZ$87)="(BLANK)")+(UPPER($AS$87:$AZ$87)="EMPTY")+(UPPER($AS$87:$AZ$87)="(EMPTY)"))&gt;0,IFERROR(('Final Calculation Sheet'!$AA$39)&amp;"","")="",ISNUMBER(SEARCH($AS$87:$AZ$87,IFERROR(('Final Calculation Sheet'!$AA$39)&amp;"","")))))&gt;0),IF(COUNTIF($BI$87:$BP$87,5)=0,TRUE,SUMPRODUCT(($BI$87:$BP$87=5)*($AS$87:$AZ$87&lt;&gt;"")*IF(((UPPER($AS$87:$AZ$87)="BLANK")+(UPPER($AS$87:$AZ$87)="(BLANK)")+(UPPER($AS$87:$AZ$87)="EMPTY")+(UPPER($AS$87:$AZ$87)="(EMPTY)"))&gt;0,IFERROR(('Final Calculation Sheet'!$AA$39)&amp;"","")="",ISNUMBER(SEARCH($AS$87:$AZ$87,IFERROR(('Final Calculation Sheet'!$AA$39)&amp;"","")))))&gt;0),IF(COUNTIF($BI$87:$BP$87,6)=0,TRUE,SUMPRODUCT(($BI$87:$BP$87=6)*($AS$87:$AZ$87&lt;&gt;"")*IF(((UPPER($AS$87:$AZ$87)="BLANK")+(UPPER($AS$87:$AZ$87)="(BLANK)")+(UPPER($AS$87:$AZ$87)="EMPTY")+(UPPER($AS$87:$AZ$87)="(EMPTY)"))&gt;0,IFERROR(('Final Calculation Sheet'!$AA$39)&amp;"","")="",ISNUMBER(SEARCH($AS$87:$AZ$87,IFERROR(('Final Calculation Sheet'!$AA$39)&amp;"","")))))&gt;0),IF(COUNTIF($BI$87:$BP$87,7)=0,TRUE,SUMPRODUCT(($BI$87:$BP$87=7)*($AS$87:$AZ$87&lt;&gt;"")*IF(((UPPER($AS$87:$AZ$87)="BLANK")+(UPPER($AS$87:$AZ$87)="(BLANK)")+(UPPER($AS$87:$AZ$87)="EMPTY")+(UPPER($AS$87:$AZ$87)="(EMPTY)"))&gt;0,IFERROR(('Final Calculation Sheet'!$AA$39)&amp;"","")="",ISNUMBER(SEARCH($AS$87:$AZ$87,IFERROR(('Final Calculation Sheet'!$AA$39)&amp;"","")))))&gt;0),IF(COUNTIF($BI$87:$BP$87,8)=0,TRUE,SUMPRODUCT(($BI$87:$BP$87=8)*($AS$87:$AZ$87&lt;&gt;"")*IF(((UPPER($AS$87:$AZ$87)="BLANK")+(UPPER($AS$87:$AZ$87)="(BLANK)")+(UPPER($AS$87:$AZ$87)="EMPTY")+(UPPER($AS$87:$AZ$87)="(EMPTY)"))&gt;0,IFERROR(('Final Calculation Sheet'!$AA$39)&amp;"","")="",ISNUMBER(SEARCH($AS$87:$AZ$87,IFERROR(('Final Calculation Sheet'!$AA$39)&amp;"","")))))&gt;0))))</f>
        <v>1</v>
      </c>
      <c r="CO40">
        <f>IF($AC$4="",1,--(AND(SUMPRODUCT(--($AS$88:$AZ$88&lt;&gt;""))&gt;0,IF(COUNTIF($BI$88:$BP$88,1)=0,TRUE,SUMPRODUCT(($BI$88:$BP$88=1)*($AS$88:$AZ$88&lt;&gt;"")*IF(((UPPER($AS$88:$AZ$88)="BLANK")+(UPPER($AS$88:$AZ$88)="(BLANK)")+(UPPER($AS$88:$AZ$88)="EMPTY")+(UPPER($AS$88:$AZ$88)="(EMPTY)"))&gt;0,IFERROR(('Final Calculation Sheet'!$AB$39)&amp;"","")="",ISNUMBER(SEARCH($AS$88:$AZ$88,IFERROR(('Final Calculation Sheet'!$AB$39)&amp;"","")))))&gt;0),IF(COUNTIF($BI$88:$BP$88,2)=0,TRUE,SUMPRODUCT(($BI$88:$BP$88=2)*($AS$88:$AZ$88&lt;&gt;"")*IF(((UPPER($AS$88:$AZ$88)="BLANK")+(UPPER($AS$88:$AZ$88)="(BLANK)")+(UPPER($AS$88:$AZ$88)="EMPTY")+(UPPER($AS$88:$AZ$88)="(EMPTY)"))&gt;0,IFERROR(('Final Calculation Sheet'!$AB$39)&amp;"","")="",ISNUMBER(SEARCH($AS$88:$AZ$88,IFERROR(('Final Calculation Sheet'!$AB$39)&amp;"","")))))&gt;0),IF(COUNTIF($BI$88:$BP$88,3)=0,TRUE,SUMPRODUCT(($BI$88:$BP$88=3)*($AS$88:$AZ$88&lt;&gt;"")*IF(((UPPER($AS$88:$AZ$88)="BLANK")+(UPPER($AS$88:$AZ$88)="(BLANK)")+(UPPER($AS$88:$AZ$88)="EMPTY")+(UPPER($AS$88:$AZ$88)="(EMPTY)"))&gt;0,IFERROR(('Final Calculation Sheet'!$AB$39)&amp;"","")="",ISNUMBER(SEARCH($AS$88:$AZ$88,IFERROR(('Final Calculation Sheet'!$AB$39)&amp;"","")))))&gt;0),IF(COUNTIF($BI$88:$BP$88,4)=0,TRUE,SUMPRODUCT(($BI$88:$BP$88=4)*($AS$88:$AZ$88&lt;&gt;"")*IF(((UPPER($AS$88:$AZ$88)="BLANK")+(UPPER($AS$88:$AZ$88)="(BLANK)")+(UPPER($AS$88:$AZ$88)="EMPTY")+(UPPER($AS$88:$AZ$88)="(EMPTY)"))&gt;0,IFERROR(('Final Calculation Sheet'!$AB$39)&amp;"","")="",ISNUMBER(SEARCH($AS$88:$AZ$88,IFERROR(('Final Calculation Sheet'!$AB$39)&amp;"","")))))&gt;0),IF(COUNTIF($BI$88:$BP$88,5)=0,TRUE,SUMPRODUCT(($BI$88:$BP$88=5)*($AS$88:$AZ$88&lt;&gt;"")*IF(((UPPER($AS$88:$AZ$88)="BLANK")+(UPPER($AS$88:$AZ$88)="(BLANK)")+(UPPER($AS$88:$AZ$88)="EMPTY")+(UPPER($AS$88:$AZ$88)="(EMPTY)"))&gt;0,IFERROR(('Final Calculation Sheet'!$AB$39)&amp;"","")="",ISNUMBER(SEARCH($AS$88:$AZ$88,IFERROR(('Final Calculation Sheet'!$AB$39)&amp;"","")))))&gt;0),IF(COUNTIF($BI$88:$BP$88,6)=0,TRUE,SUMPRODUCT(($BI$88:$BP$88=6)*($AS$88:$AZ$88&lt;&gt;"")*IF(((UPPER($AS$88:$AZ$88)="BLANK")+(UPPER($AS$88:$AZ$88)="(BLANK)")+(UPPER($AS$88:$AZ$88)="EMPTY")+(UPPER($AS$88:$AZ$88)="(EMPTY)"))&gt;0,IFERROR(('Final Calculation Sheet'!$AB$39)&amp;"","")="",ISNUMBER(SEARCH($AS$88:$AZ$88,IFERROR(('Final Calculation Sheet'!$AB$39)&amp;"","")))))&gt;0),IF(COUNTIF($BI$88:$BP$88,7)=0,TRUE,SUMPRODUCT(($BI$88:$BP$88=7)*($AS$88:$AZ$88&lt;&gt;"")*IF(((UPPER($AS$88:$AZ$88)="BLANK")+(UPPER($AS$88:$AZ$88)="(BLANK)")+(UPPER($AS$88:$AZ$88)="EMPTY")+(UPPER($AS$88:$AZ$88)="(EMPTY)"))&gt;0,IFERROR(('Final Calculation Sheet'!$AB$39)&amp;"","")="",ISNUMBER(SEARCH($AS$88:$AZ$88,IFERROR(('Final Calculation Sheet'!$AB$39)&amp;"","")))))&gt;0),IF(COUNTIF($BI$88:$BP$88,8)=0,TRUE,SUMPRODUCT(($BI$88:$BP$88=8)*($AS$88:$AZ$88&lt;&gt;"")*IF(((UPPER($AS$88:$AZ$88)="BLANK")+(UPPER($AS$88:$AZ$88)="(BLANK)")+(UPPER($AS$88:$AZ$88)="EMPTY")+(UPPER($AS$88:$AZ$88)="(EMPTY)"))&gt;0,IFERROR(('Final Calculation Sheet'!$AB$39)&amp;"","")="",ISNUMBER(SEARCH($AS$88:$AZ$88,IFERROR(('Final Calculation Sheet'!$AB$39)&amp;"","")))))&gt;0))))</f>
        <v>1</v>
      </c>
      <c r="CP40">
        <f>IF($AD$4="",1,--(AND(SUMPRODUCT(--($AS$89:$AZ$89&lt;&gt;""))&gt;0,IF(COUNTIF($BI$89:$BP$89,1)=0,TRUE,SUMPRODUCT(($BI$89:$BP$89=1)*($AS$89:$AZ$89&lt;&gt;"")*IF(((UPPER($AS$89:$AZ$89)="BLANK")+(UPPER($AS$89:$AZ$89)="(BLANK)")+(UPPER($AS$89:$AZ$89)="EMPTY")+(UPPER($AS$89:$AZ$89)="(EMPTY)"))&gt;0,IFERROR(('Final Calculation Sheet'!$AC$39)&amp;"","")="",ISNUMBER(SEARCH($AS$89:$AZ$89,IFERROR(('Final Calculation Sheet'!$AC$39)&amp;"","")))))&gt;0),IF(COUNTIF($BI$89:$BP$89,2)=0,TRUE,SUMPRODUCT(($BI$89:$BP$89=2)*($AS$89:$AZ$89&lt;&gt;"")*IF(((UPPER($AS$89:$AZ$89)="BLANK")+(UPPER($AS$89:$AZ$89)="(BLANK)")+(UPPER($AS$89:$AZ$89)="EMPTY")+(UPPER($AS$89:$AZ$89)="(EMPTY)"))&gt;0,IFERROR(('Final Calculation Sheet'!$AC$39)&amp;"","")="",ISNUMBER(SEARCH($AS$89:$AZ$89,IFERROR(('Final Calculation Sheet'!$AC$39)&amp;"","")))))&gt;0),IF(COUNTIF($BI$89:$BP$89,3)=0,TRUE,SUMPRODUCT(($BI$89:$BP$89=3)*($AS$89:$AZ$89&lt;&gt;"")*IF(((UPPER($AS$89:$AZ$89)="BLANK")+(UPPER($AS$89:$AZ$89)="(BLANK)")+(UPPER($AS$89:$AZ$89)="EMPTY")+(UPPER($AS$89:$AZ$89)="(EMPTY)"))&gt;0,IFERROR(('Final Calculation Sheet'!$AC$39)&amp;"","")="",ISNUMBER(SEARCH($AS$89:$AZ$89,IFERROR(('Final Calculation Sheet'!$AC$39)&amp;"","")))))&gt;0),IF(COUNTIF($BI$89:$BP$89,4)=0,TRUE,SUMPRODUCT(($BI$89:$BP$89=4)*($AS$89:$AZ$89&lt;&gt;"")*IF(((UPPER($AS$89:$AZ$89)="BLANK")+(UPPER($AS$89:$AZ$89)="(BLANK)")+(UPPER($AS$89:$AZ$89)="EMPTY")+(UPPER($AS$89:$AZ$89)="(EMPTY)"))&gt;0,IFERROR(('Final Calculation Sheet'!$AC$39)&amp;"","")="",ISNUMBER(SEARCH($AS$89:$AZ$89,IFERROR(('Final Calculation Sheet'!$AC$39)&amp;"","")))))&gt;0),IF(COUNTIF($BI$89:$BP$89,5)=0,TRUE,SUMPRODUCT(($BI$89:$BP$89=5)*($AS$89:$AZ$89&lt;&gt;"")*IF(((UPPER($AS$89:$AZ$89)="BLANK")+(UPPER($AS$89:$AZ$89)="(BLANK)")+(UPPER($AS$89:$AZ$89)="EMPTY")+(UPPER($AS$89:$AZ$89)="(EMPTY)"))&gt;0,IFERROR(('Final Calculation Sheet'!$AC$39)&amp;"","")="",ISNUMBER(SEARCH($AS$89:$AZ$89,IFERROR(('Final Calculation Sheet'!$AC$39)&amp;"","")))))&gt;0),IF(COUNTIF($BI$89:$BP$89,6)=0,TRUE,SUMPRODUCT(($BI$89:$BP$89=6)*($AS$89:$AZ$89&lt;&gt;"")*IF(((UPPER($AS$89:$AZ$89)="BLANK")+(UPPER($AS$89:$AZ$89)="(BLANK)")+(UPPER($AS$89:$AZ$89)="EMPTY")+(UPPER($AS$89:$AZ$89)="(EMPTY)"))&gt;0,IFERROR(('Final Calculation Sheet'!$AC$39)&amp;"","")="",ISNUMBER(SEARCH($AS$89:$AZ$89,IFERROR(('Final Calculation Sheet'!$AC$39)&amp;"","")))))&gt;0),IF(COUNTIF($BI$89:$BP$89,7)=0,TRUE,SUMPRODUCT(($BI$89:$BP$89=7)*($AS$89:$AZ$89&lt;&gt;"")*IF(((UPPER($AS$89:$AZ$89)="BLANK")+(UPPER($AS$89:$AZ$89)="(BLANK)")+(UPPER($AS$89:$AZ$89)="EMPTY")+(UPPER($AS$89:$AZ$89)="(EMPTY)"))&gt;0,IFERROR(('Final Calculation Sheet'!$AC$39)&amp;"","")="",ISNUMBER(SEARCH($AS$89:$AZ$89,IFERROR(('Final Calculation Sheet'!$AC$39)&amp;"","")))))&gt;0),IF(COUNTIF($BI$89:$BP$89,8)=0,TRUE,SUMPRODUCT(($BI$89:$BP$89=8)*($AS$89:$AZ$89&lt;&gt;"")*IF(((UPPER($AS$89:$AZ$89)="BLANK")+(UPPER($AS$89:$AZ$89)="(BLANK)")+(UPPER($AS$89:$AZ$89)="EMPTY")+(UPPER($AS$89:$AZ$89)="(EMPTY)"))&gt;0,IFERROR(('Final Calculation Sheet'!$AC$39)&amp;"","")="",ISNUMBER(SEARCH($AS$89:$AZ$89,IFERROR(('Final Calculation Sheet'!$AC$39)&amp;"","")))))&gt;0))))</f>
        <v>1</v>
      </c>
      <c r="CQ40">
        <f>IF($AE$4="",1,--(AND(SUMPRODUCT(--($AS$90:$AZ$90&lt;&gt;""))&gt;0,IF(COUNTIF($BI$90:$BP$90,1)=0,TRUE,SUMPRODUCT(($BI$90:$BP$90=1)*($AS$90:$AZ$90&lt;&gt;"")*IF(((UPPER($AS$90:$AZ$90)="BLANK")+(UPPER($AS$90:$AZ$90)="(BLANK)")+(UPPER($AS$90:$AZ$90)="EMPTY")+(UPPER($AS$90:$AZ$90)="(EMPTY)"))&gt;0,IFERROR(('Final Calculation Sheet'!$AD$39)&amp;"","")="",ISNUMBER(SEARCH($AS$90:$AZ$90,IFERROR(('Final Calculation Sheet'!$AD$39)&amp;"","")))))&gt;0),IF(COUNTIF($BI$90:$BP$90,2)=0,TRUE,SUMPRODUCT(($BI$90:$BP$90=2)*($AS$90:$AZ$90&lt;&gt;"")*IF(((UPPER($AS$90:$AZ$90)="BLANK")+(UPPER($AS$90:$AZ$90)="(BLANK)")+(UPPER($AS$90:$AZ$90)="EMPTY")+(UPPER($AS$90:$AZ$90)="(EMPTY)"))&gt;0,IFERROR(('Final Calculation Sheet'!$AD$39)&amp;"","")="",ISNUMBER(SEARCH($AS$90:$AZ$90,IFERROR(('Final Calculation Sheet'!$AD$39)&amp;"","")))))&gt;0),IF(COUNTIF($BI$90:$BP$90,3)=0,TRUE,SUMPRODUCT(($BI$90:$BP$90=3)*($AS$90:$AZ$90&lt;&gt;"")*IF(((UPPER($AS$90:$AZ$90)="BLANK")+(UPPER($AS$90:$AZ$90)="(BLANK)")+(UPPER($AS$90:$AZ$90)="EMPTY")+(UPPER($AS$90:$AZ$90)="(EMPTY)"))&gt;0,IFERROR(('Final Calculation Sheet'!$AD$39)&amp;"","")="",ISNUMBER(SEARCH($AS$90:$AZ$90,IFERROR(('Final Calculation Sheet'!$AD$39)&amp;"","")))))&gt;0),IF(COUNTIF($BI$90:$BP$90,4)=0,TRUE,SUMPRODUCT(($BI$90:$BP$90=4)*($AS$90:$AZ$90&lt;&gt;"")*IF(((UPPER($AS$90:$AZ$90)="BLANK")+(UPPER($AS$90:$AZ$90)="(BLANK)")+(UPPER($AS$90:$AZ$90)="EMPTY")+(UPPER($AS$90:$AZ$90)="(EMPTY)"))&gt;0,IFERROR(('Final Calculation Sheet'!$AD$39)&amp;"","")="",ISNUMBER(SEARCH($AS$90:$AZ$90,IFERROR(('Final Calculation Sheet'!$AD$39)&amp;"","")))))&gt;0),IF(COUNTIF($BI$90:$BP$90,5)=0,TRUE,SUMPRODUCT(($BI$90:$BP$90=5)*($AS$90:$AZ$90&lt;&gt;"")*IF(((UPPER($AS$90:$AZ$90)="BLANK")+(UPPER($AS$90:$AZ$90)="(BLANK)")+(UPPER($AS$90:$AZ$90)="EMPTY")+(UPPER($AS$90:$AZ$90)="(EMPTY)"))&gt;0,IFERROR(('Final Calculation Sheet'!$AD$39)&amp;"","")="",ISNUMBER(SEARCH($AS$90:$AZ$90,IFERROR(('Final Calculation Sheet'!$AD$39)&amp;"","")))))&gt;0),IF(COUNTIF($BI$90:$BP$90,6)=0,TRUE,SUMPRODUCT(($BI$90:$BP$90=6)*($AS$90:$AZ$90&lt;&gt;"")*IF(((UPPER($AS$90:$AZ$90)="BLANK")+(UPPER($AS$90:$AZ$90)="(BLANK)")+(UPPER($AS$90:$AZ$90)="EMPTY")+(UPPER($AS$90:$AZ$90)="(EMPTY)"))&gt;0,IFERROR(('Final Calculation Sheet'!$AD$39)&amp;"","")="",ISNUMBER(SEARCH($AS$90:$AZ$90,IFERROR(('Final Calculation Sheet'!$AD$39)&amp;"","")))))&gt;0),IF(COUNTIF($BI$90:$BP$90,7)=0,TRUE,SUMPRODUCT(($BI$90:$BP$90=7)*($AS$90:$AZ$90&lt;&gt;"")*IF(((UPPER($AS$90:$AZ$90)="BLANK")+(UPPER($AS$90:$AZ$90)="(BLANK)")+(UPPER($AS$90:$AZ$90)="EMPTY")+(UPPER($AS$90:$AZ$90)="(EMPTY)"))&gt;0,IFERROR(('Final Calculation Sheet'!$AD$39)&amp;"","")="",ISNUMBER(SEARCH($AS$90:$AZ$90,IFERROR(('Final Calculation Sheet'!$AD$39)&amp;"","")))))&gt;0),IF(COUNTIF($BI$90:$BP$90,8)=0,TRUE,SUMPRODUCT(($BI$90:$BP$90=8)*($AS$90:$AZ$90&lt;&gt;"")*IF(((UPPER($AS$90:$AZ$90)="BLANK")+(UPPER($AS$90:$AZ$90)="(BLANK)")+(UPPER($AS$90:$AZ$90)="EMPTY")+(UPPER($AS$90:$AZ$90)="(EMPTY)"))&gt;0,IFERROR(('Final Calculation Sheet'!$AD$39)&amp;"","")="",ISNUMBER(SEARCH($AS$90:$AZ$90,IFERROR(('Final Calculation Sheet'!$AD$39)&amp;"","")))))&gt;0))))</f>
        <v>1</v>
      </c>
      <c r="CR40">
        <f>IF($AF$4="",1,--(AND(SUMPRODUCT(--($AS$91:$AZ$91&lt;&gt;""))&gt;0,IF(COUNTIF($BI$91:$BP$91,1)=0,TRUE,SUMPRODUCT(($BI$91:$BP$91=1)*($AS$91:$AZ$91&lt;&gt;"")*IF(((UPPER($AS$91:$AZ$91)="BLANK")+(UPPER($AS$91:$AZ$91)="(BLANK)")+(UPPER($AS$91:$AZ$91)="EMPTY")+(UPPER($AS$91:$AZ$91)="(EMPTY)"))&gt;0,IFERROR(('Final Calculation Sheet'!$AE$39)&amp;"","")="",ISNUMBER(SEARCH($AS$91:$AZ$91,IFERROR(('Final Calculation Sheet'!$AE$39)&amp;"","")))))&gt;0),IF(COUNTIF($BI$91:$BP$91,2)=0,TRUE,SUMPRODUCT(($BI$91:$BP$91=2)*($AS$91:$AZ$91&lt;&gt;"")*IF(((UPPER($AS$91:$AZ$91)="BLANK")+(UPPER($AS$91:$AZ$91)="(BLANK)")+(UPPER($AS$91:$AZ$91)="EMPTY")+(UPPER($AS$91:$AZ$91)="(EMPTY)"))&gt;0,IFERROR(('Final Calculation Sheet'!$AE$39)&amp;"","")="",ISNUMBER(SEARCH($AS$91:$AZ$91,IFERROR(('Final Calculation Sheet'!$AE$39)&amp;"","")))))&gt;0),IF(COUNTIF($BI$91:$BP$91,3)=0,TRUE,SUMPRODUCT(($BI$91:$BP$91=3)*($AS$91:$AZ$91&lt;&gt;"")*IF(((UPPER($AS$91:$AZ$91)="BLANK")+(UPPER($AS$91:$AZ$91)="(BLANK)")+(UPPER($AS$91:$AZ$91)="EMPTY")+(UPPER($AS$91:$AZ$91)="(EMPTY)"))&gt;0,IFERROR(('Final Calculation Sheet'!$AE$39)&amp;"","")="",ISNUMBER(SEARCH($AS$91:$AZ$91,IFERROR(('Final Calculation Sheet'!$AE$39)&amp;"","")))))&gt;0),IF(COUNTIF($BI$91:$BP$91,4)=0,TRUE,SUMPRODUCT(($BI$91:$BP$91=4)*($AS$91:$AZ$91&lt;&gt;"")*IF(((UPPER($AS$91:$AZ$91)="BLANK")+(UPPER($AS$91:$AZ$91)="(BLANK)")+(UPPER($AS$91:$AZ$91)="EMPTY")+(UPPER($AS$91:$AZ$91)="(EMPTY)"))&gt;0,IFERROR(('Final Calculation Sheet'!$AE$39)&amp;"","")="",ISNUMBER(SEARCH($AS$91:$AZ$91,IFERROR(('Final Calculation Sheet'!$AE$39)&amp;"","")))))&gt;0),IF(COUNTIF($BI$91:$BP$91,5)=0,TRUE,SUMPRODUCT(($BI$91:$BP$91=5)*($AS$91:$AZ$91&lt;&gt;"")*IF(((UPPER($AS$91:$AZ$91)="BLANK")+(UPPER($AS$91:$AZ$91)="(BLANK)")+(UPPER($AS$91:$AZ$91)="EMPTY")+(UPPER($AS$91:$AZ$91)="(EMPTY)"))&gt;0,IFERROR(('Final Calculation Sheet'!$AE$39)&amp;"","")="",ISNUMBER(SEARCH($AS$91:$AZ$91,IFERROR(('Final Calculation Sheet'!$AE$39)&amp;"","")))))&gt;0),IF(COUNTIF($BI$91:$BP$91,6)=0,TRUE,SUMPRODUCT(($BI$91:$BP$91=6)*($AS$91:$AZ$91&lt;&gt;"")*IF(((UPPER($AS$91:$AZ$91)="BLANK")+(UPPER($AS$91:$AZ$91)="(BLANK)")+(UPPER($AS$91:$AZ$91)="EMPTY")+(UPPER($AS$91:$AZ$91)="(EMPTY)"))&gt;0,IFERROR(('Final Calculation Sheet'!$AE$39)&amp;"","")="",ISNUMBER(SEARCH($AS$91:$AZ$91,IFERROR(('Final Calculation Sheet'!$AE$39)&amp;"","")))))&gt;0),IF(COUNTIF($BI$91:$BP$91,7)=0,TRUE,SUMPRODUCT(($BI$91:$BP$91=7)*($AS$91:$AZ$91&lt;&gt;"")*IF(((UPPER($AS$91:$AZ$91)="BLANK")+(UPPER($AS$91:$AZ$91)="(BLANK)")+(UPPER($AS$91:$AZ$91)="EMPTY")+(UPPER($AS$91:$AZ$91)="(EMPTY)"))&gt;0,IFERROR(('Final Calculation Sheet'!$AE$39)&amp;"","")="",ISNUMBER(SEARCH($AS$91:$AZ$91,IFERROR(('Final Calculation Sheet'!$AE$39)&amp;"","")))))&gt;0),IF(COUNTIF($BI$91:$BP$91,8)=0,TRUE,SUMPRODUCT(($BI$91:$BP$91=8)*($AS$91:$AZ$91&lt;&gt;"")*IF(((UPPER($AS$91:$AZ$91)="BLANK")+(UPPER($AS$91:$AZ$91)="(BLANK)")+(UPPER($AS$91:$AZ$91)="EMPTY")+(UPPER($AS$91:$AZ$91)="(EMPTY)"))&gt;0,IFERROR(('Final Calculation Sheet'!$AE$39)&amp;"","")="",ISNUMBER(SEARCH($AS$91:$AZ$91,IFERROR(('Final Calculation Sheet'!$AE$39)&amp;"","")))))&gt;0))))</f>
        <v>1</v>
      </c>
      <c r="CS40">
        <f>IF($AG$4="",1,--(AND(SUMPRODUCT(--($AS$92:$AZ$92&lt;&gt;""))&gt;0,IF(COUNTIF($BI$92:$BP$92,1)=0,TRUE,SUMPRODUCT(($BI$92:$BP$92=1)*($AS$92:$AZ$92&lt;&gt;"")*IF(((UPPER($AS$92:$AZ$92)="BLANK")+(UPPER($AS$92:$AZ$92)="(BLANK)")+(UPPER($AS$92:$AZ$92)="EMPTY")+(UPPER($AS$92:$AZ$92)="(EMPTY)"))&gt;0,IFERROR(('Final Calculation Sheet'!$AF$39)&amp;"","")="",ISNUMBER(SEARCH($AS$92:$AZ$92,IFERROR(('Final Calculation Sheet'!$AF$39)&amp;"","")))))&gt;0),IF(COUNTIF($BI$92:$BP$92,2)=0,TRUE,SUMPRODUCT(($BI$92:$BP$92=2)*($AS$92:$AZ$92&lt;&gt;"")*IF(((UPPER($AS$92:$AZ$92)="BLANK")+(UPPER($AS$92:$AZ$92)="(BLANK)")+(UPPER($AS$92:$AZ$92)="EMPTY")+(UPPER($AS$92:$AZ$92)="(EMPTY)"))&gt;0,IFERROR(('Final Calculation Sheet'!$AF$39)&amp;"","")="",ISNUMBER(SEARCH($AS$92:$AZ$92,IFERROR(('Final Calculation Sheet'!$AF$39)&amp;"","")))))&gt;0),IF(COUNTIF($BI$92:$BP$92,3)=0,TRUE,SUMPRODUCT(($BI$92:$BP$92=3)*($AS$92:$AZ$92&lt;&gt;"")*IF(((UPPER($AS$92:$AZ$92)="BLANK")+(UPPER($AS$92:$AZ$92)="(BLANK)")+(UPPER($AS$92:$AZ$92)="EMPTY")+(UPPER($AS$92:$AZ$92)="(EMPTY)"))&gt;0,IFERROR(('Final Calculation Sheet'!$AF$39)&amp;"","")="",ISNUMBER(SEARCH($AS$92:$AZ$92,IFERROR(('Final Calculation Sheet'!$AF$39)&amp;"","")))))&gt;0),IF(COUNTIF($BI$92:$BP$92,4)=0,TRUE,SUMPRODUCT(($BI$92:$BP$92=4)*($AS$92:$AZ$92&lt;&gt;"")*IF(((UPPER($AS$92:$AZ$92)="BLANK")+(UPPER($AS$92:$AZ$92)="(BLANK)")+(UPPER($AS$92:$AZ$92)="EMPTY")+(UPPER($AS$92:$AZ$92)="(EMPTY)"))&gt;0,IFERROR(('Final Calculation Sheet'!$AF$39)&amp;"","")="",ISNUMBER(SEARCH($AS$92:$AZ$92,IFERROR(('Final Calculation Sheet'!$AF$39)&amp;"","")))))&gt;0),IF(COUNTIF($BI$92:$BP$92,5)=0,TRUE,SUMPRODUCT(($BI$92:$BP$92=5)*($AS$92:$AZ$92&lt;&gt;"")*IF(((UPPER($AS$92:$AZ$92)="BLANK")+(UPPER($AS$92:$AZ$92)="(BLANK)")+(UPPER($AS$92:$AZ$92)="EMPTY")+(UPPER($AS$92:$AZ$92)="(EMPTY)"))&gt;0,IFERROR(('Final Calculation Sheet'!$AF$39)&amp;"","")="",ISNUMBER(SEARCH($AS$92:$AZ$92,IFERROR(('Final Calculation Sheet'!$AF$39)&amp;"","")))))&gt;0),IF(COUNTIF($BI$92:$BP$92,6)=0,TRUE,SUMPRODUCT(($BI$92:$BP$92=6)*($AS$92:$AZ$92&lt;&gt;"")*IF(((UPPER($AS$92:$AZ$92)="BLANK")+(UPPER($AS$92:$AZ$92)="(BLANK)")+(UPPER($AS$92:$AZ$92)="EMPTY")+(UPPER($AS$92:$AZ$92)="(EMPTY)"))&gt;0,IFERROR(('Final Calculation Sheet'!$AF$39)&amp;"","")="",ISNUMBER(SEARCH($AS$92:$AZ$92,IFERROR(('Final Calculation Sheet'!$AF$39)&amp;"","")))))&gt;0),IF(COUNTIF($BI$92:$BP$92,7)=0,TRUE,SUMPRODUCT(($BI$92:$BP$92=7)*($AS$92:$AZ$92&lt;&gt;"")*IF(((UPPER($AS$92:$AZ$92)="BLANK")+(UPPER($AS$92:$AZ$92)="(BLANK)")+(UPPER($AS$92:$AZ$92)="EMPTY")+(UPPER($AS$92:$AZ$92)="(EMPTY)"))&gt;0,IFERROR(('Final Calculation Sheet'!$AF$39)&amp;"","")="",ISNUMBER(SEARCH($AS$92:$AZ$92,IFERROR(('Final Calculation Sheet'!$AF$39)&amp;"","")))))&gt;0),IF(COUNTIF($BI$92:$BP$92,8)=0,TRUE,SUMPRODUCT(($BI$92:$BP$92=8)*($AS$92:$AZ$92&lt;&gt;"")*IF(((UPPER($AS$92:$AZ$92)="BLANK")+(UPPER($AS$92:$AZ$92)="(BLANK)")+(UPPER($AS$92:$AZ$92)="EMPTY")+(UPPER($AS$92:$AZ$92)="(EMPTY)"))&gt;0,IFERROR(('Final Calculation Sheet'!$AF$39)&amp;"","")="",ISNUMBER(SEARCH($AS$92:$AZ$92,IFERROR(('Final Calculation Sheet'!$AF$39)&amp;"","")))))&gt;0))))</f>
        <v>1</v>
      </c>
      <c r="CT40">
        <f>IF($AH$4="",1,--(AND(SUMPRODUCT(--($AS$93:$AZ$93&lt;&gt;""))&gt;0,IF(COUNTIF($BI$93:$BP$93,1)=0,TRUE,SUMPRODUCT(($BI$93:$BP$93=1)*($AS$93:$AZ$93&lt;&gt;"")*IF(((UPPER($AS$93:$AZ$93)="BLANK")+(UPPER($AS$93:$AZ$93)="(BLANK)")+(UPPER($AS$93:$AZ$93)="EMPTY")+(UPPER($AS$93:$AZ$93)="(EMPTY)"))&gt;0,IFERROR(('Final Calculation Sheet'!$AG$39)&amp;"","")="",ISNUMBER(SEARCH($AS$93:$AZ$93,IFERROR(('Final Calculation Sheet'!$AG$39)&amp;"","")))))&gt;0),IF(COUNTIF($BI$93:$BP$93,2)=0,TRUE,SUMPRODUCT(($BI$93:$BP$93=2)*($AS$93:$AZ$93&lt;&gt;"")*IF(((UPPER($AS$93:$AZ$93)="BLANK")+(UPPER($AS$93:$AZ$93)="(BLANK)")+(UPPER($AS$93:$AZ$93)="EMPTY")+(UPPER($AS$93:$AZ$93)="(EMPTY)"))&gt;0,IFERROR(('Final Calculation Sheet'!$AG$39)&amp;"","")="",ISNUMBER(SEARCH($AS$93:$AZ$93,IFERROR(('Final Calculation Sheet'!$AG$39)&amp;"","")))))&gt;0),IF(COUNTIF($BI$93:$BP$93,3)=0,TRUE,SUMPRODUCT(($BI$93:$BP$93=3)*($AS$93:$AZ$93&lt;&gt;"")*IF(((UPPER($AS$93:$AZ$93)="BLANK")+(UPPER($AS$93:$AZ$93)="(BLANK)")+(UPPER($AS$93:$AZ$93)="EMPTY")+(UPPER($AS$93:$AZ$93)="(EMPTY)"))&gt;0,IFERROR(('Final Calculation Sheet'!$AG$39)&amp;"","")="",ISNUMBER(SEARCH($AS$93:$AZ$93,IFERROR(('Final Calculation Sheet'!$AG$39)&amp;"","")))))&gt;0),IF(COUNTIF($BI$93:$BP$93,4)=0,TRUE,SUMPRODUCT(($BI$93:$BP$93=4)*($AS$93:$AZ$93&lt;&gt;"")*IF(((UPPER($AS$93:$AZ$93)="BLANK")+(UPPER($AS$93:$AZ$93)="(BLANK)")+(UPPER($AS$93:$AZ$93)="EMPTY")+(UPPER($AS$93:$AZ$93)="(EMPTY)"))&gt;0,IFERROR(('Final Calculation Sheet'!$AG$39)&amp;"","")="",ISNUMBER(SEARCH($AS$93:$AZ$93,IFERROR(('Final Calculation Sheet'!$AG$39)&amp;"","")))))&gt;0),IF(COUNTIF($BI$93:$BP$93,5)=0,TRUE,SUMPRODUCT(($BI$93:$BP$93=5)*($AS$93:$AZ$93&lt;&gt;"")*IF(((UPPER($AS$93:$AZ$93)="BLANK")+(UPPER($AS$93:$AZ$93)="(BLANK)")+(UPPER($AS$93:$AZ$93)="EMPTY")+(UPPER($AS$93:$AZ$93)="(EMPTY)"))&gt;0,IFERROR(('Final Calculation Sheet'!$AG$39)&amp;"","")="",ISNUMBER(SEARCH($AS$93:$AZ$93,IFERROR(('Final Calculation Sheet'!$AG$39)&amp;"","")))))&gt;0),IF(COUNTIF($BI$93:$BP$93,6)=0,TRUE,SUMPRODUCT(($BI$93:$BP$93=6)*($AS$93:$AZ$93&lt;&gt;"")*IF(((UPPER($AS$93:$AZ$93)="BLANK")+(UPPER($AS$93:$AZ$93)="(BLANK)")+(UPPER($AS$93:$AZ$93)="EMPTY")+(UPPER($AS$93:$AZ$93)="(EMPTY)"))&gt;0,IFERROR(('Final Calculation Sheet'!$AG$39)&amp;"","")="",ISNUMBER(SEARCH($AS$93:$AZ$93,IFERROR(('Final Calculation Sheet'!$AG$39)&amp;"","")))))&gt;0),IF(COUNTIF($BI$93:$BP$93,7)=0,TRUE,SUMPRODUCT(($BI$93:$BP$93=7)*($AS$93:$AZ$93&lt;&gt;"")*IF(((UPPER($AS$93:$AZ$93)="BLANK")+(UPPER($AS$93:$AZ$93)="(BLANK)")+(UPPER($AS$93:$AZ$93)="EMPTY")+(UPPER($AS$93:$AZ$93)="(EMPTY)"))&gt;0,IFERROR(('Final Calculation Sheet'!$AG$39)&amp;"","")="",ISNUMBER(SEARCH($AS$93:$AZ$93,IFERROR(('Final Calculation Sheet'!$AG$39)&amp;"","")))))&gt;0),IF(COUNTIF($BI$93:$BP$93,8)=0,TRUE,SUMPRODUCT(($BI$93:$BP$93=8)*($AS$93:$AZ$93&lt;&gt;"")*IF(((UPPER($AS$93:$AZ$93)="BLANK")+(UPPER($AS$93:$AZ$93)="(BLANK)")+(UPPER($AS$93:$AZ$93)="EMPTY")+(UPPER($AS$93:$AZ$93)="(EMPTY)"))&gt;0,IFERROR(('Final Calculation Sheet'!$AG$39)&amp;"","")="",ISNUMBER(SEARCH($AS$93:$AZ$93,IFERROR(('Final Calculation Sheet'!$AG$39)&amp;"","")))))&gt;0))))</f>
        <v>1</v>
      </c>
      <c r="CU40">
        <f>IF($AI$4="",1,--(AND(SUMPRODUCT(--($AS$94:$AZ$94&lt;&gt;""))&gt;0,IF(COUNTIF($BI$94:$BP$94,1)=0,TRUE,SUMPRODUCT(($BI$94:$BP$94=1)*($AS$94:$AZ$94&lt;&gt;"")*IF(((UPPER($AS$94:$AZ$94)="BLANK")+(UPPER($AS$94:$AZ$94)="(BLANK)")+(UPPER($AS$94:$AZ$94)="EMPTY")+(UPPER($AS$94:$AZ$94)="(EMPTY)"))&gt;0,IFERROR((IF('Final Calculation Sheet'!$AD$39&lt;=0,"SETTLED","OUTSTANDING"))&amp;"","")="",ISNUMBER(SEARCH($AS$94:$AZ$94,IFERROR((IF('Final Calculation Sheet'!$AD$39&lt;=0,"SETTLED","OUTSTANDING"))&amp;"","")))))&gt;0),IF(COUNTIF($BI$94:$BP$94,2)=0,TRUE,SUMPRODUCT(($BI$94:$BP$94=2)*($AS$94:$AZ$94&lt;&gt;"")*IF(((UPPER($AS$94:$AZ$94)="BLANK")+(UPPER($AS$94:$AZ$94)="(BLANK)")+(UPPER($AS$94:$AZ$94)="EMPTY")+(UPPER($AS$94:$AZ$94)="(EMPTY)"))&gt;0,IFERROR((IF('Final Calculation Sheet'!$AD$39&lt;=0,"SETTLED","OUTSTANDING"))&amp;"","")="",ISNUMBER(SEARCH($AS$94:$AZ$94,IFERROR((IF('Final Calculation Sheet'!$AD$39&lt;=0,"SETTLED","OUTSTANDING"))&amp;"","")))))&gt;0),IF(COUNTIF($BI$94:$BP$94,3)=0,TRUE,SUMPRODUCT(($BI$94:$BP$94=3)*($AS$94:$AZ$94&lt;&gt;"")*IF(((UPPER($AS$94:$AZ$94)="BLANK")+(UPPER($AS$94:$AZ$94)="(BLANK)")+(UPPER($AS$94:$AZ$94)="EMPTY")+(UPPER($AS$94:$AZ$94)="(EMPTY)"))&gt;0,IFERROR((IF('Final Calculation Sheet'!$AD$39&lt;=0,"SETTLED","OUTSTANDING"))&amp;"","")="",ISNUMBER(SEARCH($AS$94:$AZ$94,IFERROR((IF('Final Calculation Sheet'!$AD$39&lt;=0,"SETTLED","OUTSTANDING"))&amp;"","")))))&gt;0),IF(COUNTIF($BI$94:$BP$94,4)=0,TRUE,SUMPRODUCT(($BI$94:$BP$94=4)*($AS$94:$AZ$94&lt;&gt;"")*IF(((UPPER($AS$94:$AZ$94)="BLANK")+(UPPER($AS$94:$AZ$94)="(BLANK)")+(UPPER($AS$94:$AZ$94)="EMPTY")+(UPPER($AS$94:$AZ$94)="(EMPTY)"))&gt;0,IFERROR((IF('Final Calculation Sheet'!$AD$39&lt;=0,"SETTLED","OUTSTANDING"))&amp;"","")="",ISNUMBER(SEARCH($AS$94:$AZ$94,IFERROR((IF('Final Calculation Sheet'!$AD$39&lt;=0,"SETTLED","OUTSTANDING"))&amp;"","")))))&gt;0),IF(COUNTIF($BI$94:$BP$94,5)=0,TRUE,SUMPRODUCT(($BI$94:$BP$94=5)*($AS$94:$AZ$94&lt;&gt;"")*IF(((UPPER($AS$94:$AZ$94)="BLANK")+(UPPER($AS$94:$AZ$94)="(BLANK)")+(UPPER($AS$94:$AZ$94)="EMPTY")+(UPPER($AS$94:$AZ$94)="(EMPTY)"))&gt;0,IFERROR((IF('Final Calculation Sheet'!$AD$39&lt;=0,"SETTLED","OUTSTANDING"))&amp;"","")="",ISNUMBER(SEARCH($AS$94:$AZ$94,IFERROR((IF('Final Calculation Sheet'!$AD$39&lt;=0,"SETTLED","OUTSTANDING"))&amp;"","")))))&gt;0),IF(COUNTIF($BI$94:$BP$94,6)=0,TRUE,SUMPRODUCT(($BI$94:$BP$94=6)*($AS$94:$AZ$94&lt;&gt;"")*IF(((UPPER($AS$94:$AZ$94)="BLANK")+(UPPER($AS$94:$AZ$94)="(BLANK)")+(UPPER($AS$94:$AZ$94)="EMPTY")+(UPPER($AS$94:$AZ$94)="(EMPTY)"))&gt;0,IFERROR((IF('Final Calculation Sheet'!$AD$39&lt;=0,"SETTLED","OUTSTANDING"))&amp;"","")="",ISNUMBER(SEARCH($AS$94:$AZ$94,IFERROR((IF('Final Calculation Sheet'!$AD$39&lt;=0,"SETTLED","OUTSTANDING"))&amp;"","")))))&gt;0),IF(COUNTIF($BI$94:$BP$94,7)=0,TRUE,SUMPRODUCT(($BI$94:$BP$94=7)*($AS$94:$AZ$94&lt;&gt;"")*IF(((UPPER($AS$94:$AZ$94)="BLANK")+(UPPER($AS$94:$AZ$94)="(BLANK)")+(UPPER($AS$94:$AZ$94)="EMPTY")+(UPPER($AS$94:$AZ$94)="(EMPTY)"))&gt;0,IFERROR((IF('Final Calculation Sheet'!$AD$39&lt;=0,"SETTLED","OUTSTANDING"))&amp;"","")="",ISNUMBER(SEARCH($AS$94:$AZ$94,IFERROR((IF('Final Calculation Sheet'!$AD$39&lt;=0,"SETTLED","OUTSTANDING"))&amp;"","")))))&gt;0),IF(COUNTIF($BI$94:$BP$94,8)=0,TRUE,SUMPRODUCT(($BI$94:$BP$94=8)*($AS$94:$AZ$94&lt;&gt;"")*IF(((UPPER($AS$94:$AZ$94)="BLANK")+(UPPER($AS$94:$AZ$94)="(BLANK)")+(UPPER($AS$94:$AZ$94)="EMPTY")+(UPPER($AS$94:$AZ$94)="(EMPTY)"))&gt;0,IFERROR((IF('Final Calculation Sheet'!$AD$39&lt;=0,"SETTLED","OUTSTANDING"))&amp;"","")="",ISNUMBER(SEARCH($AS$94:$AZ$94,IFERROR((IF('Final Calculation Sheet'!$AD$39&lt;=0,"SETTLED","OUTSTANDING"))&amp;"","")))))&gt;0))))</f>
        <v>1</v>
      </c>
    </row>
    <row r="41" spans="1:99" ht="15" customHeight="1" x14ac:dyDescent="0.25">
      <c r="A41" s="67">
        <f>IF($BJ40&gt;0,INDEX($BA$5:$BA$41,MATCH(40,$BB$5:$BB$41,0)),IF(OR($BI40=1,$BL40=1,$BH40&gt;0),"∑",""))</f>
        <v>24</v>
      </c>
      <c r="B41" s="68">
        <f>IF($BJ40&gt;0,IF(INDEX('Final Calculation Sheet'!$F$4:$F$40,$BJ40-3)="","",INDEX('Final Calculation Sheet'!$F$4:$F$40,$BJ40-3)),"")</f>
        <v>2069</v>
      </c>
      <c r="C41" s="68" t="str">
        <f>IF($BJ40&gt;0,IF(INDEX('Final Calculation Sheet'!$G$4:$G$40,$BJ40-3)="","",INDEX('Final Calculation Sheet'!$G$4:$G$40,$BJ40-3)),IF(OR($BI40=1,$BL40=1,$BH40&gt;0),IF($BI40=1,37,IF($BL40=1,37-INDEX($BD$4:$BD$13,10),INDEX($BD$4:$BD$13,$BH40)))&amp;" lot(s)",""))</f>
        <v>STERLING ENTERPRISES</v>
      </c>
      <c r="D41" s="69" t="str">
        <f>IF($BJ40&gt;0,IF(INDEX('Final Calculation Sheet'!$B$4:$B$40,$BJ40-3)="","",INDEX('Final Calculation Sheet'!$B$4:$B$40,$BJ40-3)),IF(OR($BI40=1,$BL40=1,$BH40&gt;0),IF($BI40=1,"GRAND TOTAL  —  matching + remaining",IF($BL40=1,"TOTAL MATCHED  —  every group together",IF($BH40=10,"REMAINING  —  did not match the search",IF($BH40=9,IF(COUNTIF($A$4:$AI$4,"&lt;&gt;")&gt;0,"FILTERED LOTS  —  column fields","ALL LOTS  —  nothing typed in the box"),"GROUP "&amp;$BH40&amp;" TOTAL  —  lots matching  "&amp;INDEX($AR$6:$AY$6,$BH40))))),""))</f>
        <v>Scrap of 33 KV CB</v>
      </c>
      <c r="E41" s="69">
        <f>IF($BJ40&gt;0,IF(INDEX('Final Calculation Sheet'!$D$4:$D$40,$BJ40-3)="","",INDEX('Final Calculation Sheet'!$D$4:$D$40,$BJ40-3)),IF(OR($BI40=1,$BL40=1,$BH40&gt;0),"–",""))</f>
        <v>21980</v>
      </c>
      <c r="F41" s="69">
        <f>IF($BJ40&gt;0,IF(INDEX('Final Calculation Sheet'!$A$4:$A$40,$BJ40-3)="","",INDEX('Final Calculation Sheet'!$A$4:$A$40,$BJ40-3)),IF(OR($BI40=1,$BL40=1,$BH40&gt;0),IF($BI40=1,SUM('Final Calculation Sheet'!$A$4:$A$40),IF($BL40=1,SUM('Final Calculation Sheet'!$A$4:$A$40)-SUMIFS('Final Calculation Sheet'!$A$4:$A$40,$AZ$5:$AZ$41,10),SUMIFS('Final Calculation Sheet'!$A$4:$A$40,$AZ$5:$AZ$41,$BH40))),""))</f>
        <v>1</v>
      </c>
      <c r="G41" s="69" t="str">
        <f>IF($BJ40&gt;0,IF(INDEX('Final Calculation Sheet'!$E$4:$E$40,$BJ40-3)="","",INDEX('Final Calculation Sheet'!$E$4:$E$40,$BJ40-3)),IF(OR($BI40=1,$BL40=1,$BH40&gt;0),"–",""))</f>
        <v>NO</v>
      </c>
      <c r="H41" s="70">
        <f>IF($BJ40&gt;0,IF(INDEX('Final Calculation Sheet'!$C$4:$C$40,$BJ40-3)="","",INDEX('Final Calculation Sheet'!$C$4:$C$40,$BJ40-3)),IF(OR($BI40=1,$BL40=1,$BH40&gt;0),"–",""))</f>
        <v>54000</v>
      </c>
      <c r="I41" s="70">
        <f>IF($BJ40&gt;0,IF(INDEX('Final Calculation Sheet'!$H$4:$H$40,$BJ40-3)="","",INDEX('Final Calculation Sheet'!$H$4:$H$40,$BJ40-3)),IF(OR($BI40=1,$BL40=1,$BH40&gt;0),IF($BI40=1,SUM('Final Calculation Sheet'!$H$4:$H$40),IF($BL40=1,SUM('Final Calculation Sheet'!$H$4:$H$40)-SUMIFS('Final Calculation Sheet'!$H$4:$H$40,$AZ$5:$AZ$41,10),SUMIFS('Final Calculation Sheet'!$H$4:$H$40,$AZ$5:$AZ$41,$BH40))),""))</f>
        <v>54000</v>
      </c>
      <c r="J41" s="70">
        <f>IF($BJ40&gt;0,IF(INDEX('Final Calculation Sheet'!$I$4:$I$40,$BJ40-3)="","",INDEX('Final Calculation Sheet'!$I$4:$I$40,$BJ40-3)),IF(OR($BI40=1,$BL40=1,$BH40&gt;0),IF($BI40=1,SUM('Final Calculation Sheet'!$I$4:$I$40),IF($BL40=1,SUM('Final Calculation Sheet'!$I$4:$I$40)-SUMIFS('Final Calculation Sheet'!$I$4:$I$40,$AZ$5:$AZ$41,10),SUMIFS('Final Calculation Sheet'!$I$4:$I$40,$AZ$5:$AZ$41,$BH40))),""))</f>
        <v>9720</v>
      </c>
      <c r="K41" s="70">
        <f>IF($BJ40&gt;0,IF(INDEX('Final Calculation Sheet'!$J$4:$J$40,$BJ40-3)="","",INDEX('Final Calculation Sheet'!$J$4:$J$40,$BJ40-3)),IF(OR($BI40=1,$BL40=1,$BH40&gt;0),IF($BI40=1,SUM('Final Calculation Sheet'!$J$4:$J$40),IF($BL40=1,SUM('Final Calculation Sheet'!$J$4:$J$40)-SUMIFS('Final Calculation Sheet'!$J$4:$J$40,$AZ$5:$AZ$41,10),SUMIFS('Final Calculation Sheet'!$J$4:$J$40,$AZ$5:$AZ$41,$BH40))),""))</f>
        <v>63720</v>
      </c>
      <c r="L41" s="70">
        <f>IF($BJ40&gt;0,IF(INDEX('Final Calculation Sheet'!$K$4:$K$40,$BJ40-3)="","",INDEX('Final Calculation Sheet'!$K$4:$K$40,$BJ40-3)),IF(OR($BI40=1,$BL40=1,$BH40&gt;0),IF($BI40=1,SUM('Final Calculation Sheet'!$K$4:$K$40),IF($BL40=1,SUM('Final Calculation Sheet'!$K$4:$K$40)-SUMIFS('Final Calculation Sheet'!$K$4:$K$40,$AZ$5:$AZ$41,10),SUMIFS('Final Calculation Sheet'!$K$4:$K$40,$AZ$5:$AZ$41,$BH40))),""))</f>
        <v>1274</v>
      </c>
      <c r="M41" s="70">
        <f>IF($BJ40&gt;0,IF(INDEX('Final Calculation Sheet'!$L$4:$L$40,$BJ40-3)="","",INDEX('Final Calculation Sheet'!$L$4:$L$40,$BJ40-3)),IF(OR($BI40=1,$BL40=1,$BH40&gt;0),IF($BI40=1,SUM('Final Calculation Sheet'!$L$4:$L$40),IF($BL40=1,SUM('Final Calculation Sheet'!$L$4:$L$40)-SUMIFS('Final Calculation Sheet'!$L$4:$L$40,$AZ$5:$AZ$41,10),SUMIFS('Final Calculation Sheet'!$L$4:$L$40,$AZ$5:$AZ$41,$BH40))),""))</f>
        <v>54</v>
      </c>
      <c r="N41" s="70">
        <f>IF($BJ40&gt;0,IF(INDEX('Final Calculation Sheet'!$M$4:$M$40,$BJ40-3)="","",INDEX('Final Calculation Sheet'!$M$4:$M$40,$BJ40-3)),IF(OR($BI40=1,$BL40=1,$BH40&gt;0),IF($BI40=1,SUM('Final Calculation Sheet'!$M$4:$M$40),IF($BL40=1,SUM('Final Calculation Sheet'!$M$4:$M$40)-SUMIFS('Final Calculation Sheet'!$M$4:$M$40,$AZ$5:$AZ$41,10),SUMIFS('Final Calculation Sheet'!$M$4:$M$40,$AZ$5:$AZ$41,$BH40))),""))</f>
        <v>1433.6999999999998</v>
      </c>
      <c r="O41" s="71">
        <f>IF($BJ40&gt;0,IF(INDEX('Final Calculation Sheet'!$N$4:$N$40,$BJ40-3)="","",INDEX('Final Calculation Sheet'!$N$4:$N$40,$BJ40-3)),IF(OR($BI40=1,$BL40=1,$BH40&gt;0),IF($BI40=1,SUM('Final Calculation Sheet'!$N$4:$N$40),IF($BL40=1,SUM('Final Calculation Sheet'!$N$4:$N$40)-SUMIFS('Final Calculation Sheet'!$N$4:$N$40,$AZ$5:$AZ$41,10),SUMIFS('Final Calculation Sheet'!$N$4:$N$40,$AZ$5:$AZ$41,$BH40))),""))</f>
        <v>24.3</v>
      </c>
      <c r="P41" s="70">
        <f>IF($BJ40&gt;0,IF(INDEX('Final Calculation Sheet'!$O$4:$O$40,$BJ40-3)="","",INDEX('Final Calculation Sheet'!$O$4:$O$40,$BJ40-3)),IF(OR($BI40=1,$BL40=1,$BH40&gt;0),IF($BI40=1,SUM('Final Calculation Sheet'!$O$4:$O$40),IF($BL40=1,SUM('Final Calculation Sheet'!$O$4:$O$40)-SUMIFS('Final Calculation Sheet'!$O$4:$O$40,$AZ$5:$AZ$41,10),SUMIFS('Final Calculation Sheet'!$O$4:$O$40,$AZ$5:$AZ$41,$BH40))),""))</f>
        <v>1409.3999999999999</v>
      </c>
      <c r="Q41" s="70">
        <f>IF($BJ40&gt;0,IF(INDEX('Final Calculation Sheet'!$P$4:$P$40,$BJ40-3)="","",INDEX('Final Calculation Sheet'!$P$4:$P$40,$BJ40-3)),IF(OR($BI40=1,$BL40=1,$BH40&gt;0),IF($BI40=1,SUM('Final Calculation Sheet'!$P$4:$P$40),IF($BL40=1,SUM('Final Calculation Sheet'!$P$4:$P$40)-SUMIFS('Final Calculation Sheet'!$P$4:$P$40,$AZ$5:$AZ$41,10),SUMIFS('Final Calculation Sheet'!$P$4:$P$40,$AZ$5:$AZ$41,$BH40))),""))</f>
        <v>1463</v>
      </c>
      <c r="R41" s="72">
        <f>IF($BJ40&gt;0,IF(INDEX('Final Calculation Sheet'!$Q$4:$Q$40,$BJ40-3)="","",INDEX('Final Calculation Sheet'!$Q$4:$Q$40,$BJ40-3)),IF(OR($BI40=1,$BL40=1,$BH40&gt;0),"–",""))</f>
        <v>0</v>
      </c>
      <c r="S41" s="70">
        <f>IF($BJ40&gt;0,IF(INDEX('Final Calculation Sheet'!$R$4:$R$40,$BJ40-3)="","",INDEX('Final Calculation Sheet'!$R$4:$R$40,$BJ40-3)),IF(OR($BI40=1,$BL40=1,$BH40&gt;0),IF($BI40=1,SUM('Final Calculation Sheet'!$R$4:$R$40),IF($BL40=1,SUM('Final Calculation Sheet'!$R$4:$R$40)-SUMIFS('Final Calculation Sheet'!$R$4:$R$40,$AZ$5:$AZ$41,10),SUMIFS('Final Calculation Sheet'!$R$4:$R$40,$AZ$5:$AZ$41,$BH40))),""))</f>
        <v>0</v>
      </c>
      <c r="T41" s="70">
        <f>IF($BJ40&gt;0,IF(INDEX('Final Calculation Sheet'!$S$4:$S$40,$BJ40-3)="","",INDEX('Final Calculation Sheet'!$S$4:$S$40,$BJ40-3)),IF(OR($BI40=1,$BL40=1,$BH40&gt;0),IF($BI40=1,SUM('Final Calculation Sheet'!$S$4:$S$40),IF($BL40=1,SUM('Final Calculation Sheet'!$S$4:$S$40)-SUMIFS('Final Calculation Sheet'!$S$4:$S$40,$AZ$5:$AZ$41,10),SUMIFS('Final Calculation Sheet'!$S$4:$S$40,$AZ$5:$AZ$41,$BH40))),""))</f>
        <v>63531</v>
      </c>
      <c r="U41" s="70">
        <f>IF($BJ40&gt;0,IF(INDEX('Final Calculation Sheet'!$T$4:$T$40,$BJ40-3)="","",INDEX('Final Calculation Sheet'!$T$4:$T$40,$BJ40-3)),IF(OR($BI40=1,$BL40=1,$BH40&gt;0),IF($BI40=1,SUM('Final Calculation Sheet'!$T$4:$T$40),IF($BL40=1,SUM('Final Calculation Sheet'!$T$4:$T$40)-SUMIFS('Final Calculation Sheet'!$T$4:$T$40,$AZ$5:$AZ$41,10),SUMIFS('Final Calculation Sheet'!$T$4:$T$40,$AZ$5:$AZ$41,$BH40))),""))</f>
        <v>13500</v>
      </c>
      <c r="V41" s="73">
        <f>IF($BJ40&gt;0,IF(INDEX('Final Calculation Sheet'!$U$4:$U$40,$BJ40-3)="","",INDEX('Final Calculation Sheet'!$U$4:$U$40,$BJ40-3)),IF(OR($BI40=1,$BL40=1,$BH40&gt;0),IF($BI40=1,SUM('Final Calculation Sheet'!$U$4:$U$40),IF($BL40=1,SUM('Final Calculation Sheet'!$U$4:$U$40)-SUMIFS('Final Calculation Sheet'!$U$4:$U$40,$AZ$5:$AZ$41,10),SUMIFS('Final Calculation Sheet'!$U$4:$U$40,$AZ$5:$AZ$41,$BH40))),""))</f>
        <v>13500</v>
      </c>
      <c r="W41" s="70" t="str">
        <f>IF($BJ40&gt;0,IF(INDEX('Final Calculation Sheet'!$V$4:$V$40,$BJ40-3)="","",INDEX('Final Calculation Sheet'!$V$4:$V$40,$BJ40-3)),IF(OR($BI40=1,$BL40=1,$BH40&gt;0),"–",""))</f>
        <v>11.08.2026</v>
      </c>
      <c r="X41" s="70">
        <f>IF($BJ40&gt;0,IF(INDEX('Final Calculation Sheet'!$W$4:$W$40,$BJ40-3)="","",INDEX('Final Calculation Sheet'!$W$4:$W$40,$BJ40-3)),IF(OR($BI40=1,$BL40=1,$BH40&gt;0),IF($BI40=1,SUM('Final Calculation Sheet'!$W$4:$W$40),IF($BL40=1,SUM('Final Calculation Sheet'!$W$4:$W$40)-SUMIFS('Final Calculation Sheet'!$W$4:$W$40,$AZ$5:$AZ$41,10),SUMIFS('Final Calculation Sheet'!$W$4:$W$40,$AZ$5:$AZ$41,$BH40))),""))</f>
        <v>50031</v>
      </c>
      <c r="Y41" s="70" t="str">
        <f>IF($BJ40&gt;0,IF(INDEX('Final Calculation Sheet'!$X$4:$X$40,$BJ40-3)="","",INDEX('Final Calculation Sheet'!$X$4:$X$40,$BJ40-3)),IF(OR($BI40=1,$BL40=1,$BH40&gt;0),IF($BI40=1,SUM('Final Calculation Sheet'!$X$4:$X$40),IF($BL40=1,SUM('Final Calculation Sheet'!$X$4:$X$40)-SUMIFS('Final Calculation Sheet'!$X$4:$X$40,$AZ$5:$AZ$41,10),SUMIFS('Final Calculation Sheet'!$X$4:$X$40,$AZ$5:$AZ$41,$BH40))),""))</f>
        <v/>
      </c>
      <c r="Z41" s="70">
        <f>IF($BJ40&gt;0,IF(INDEX('Final Calculation Sheet'!$Y$4:$Y$40,$BJ40-3)="","",INDEX('Final Calculation Sheet'!$Y$4:$Y$40,$BJ40-3)),IF(OR($BI40=1,$BL40=1,$BH40&gt;0),"–",""))</f>
        <v>0</v>
      </c>
      <c r="AA41" s="70">
        <f ca="1">IF($BJ40&gt;0,IF(INDEX('Final Calculation Sheet'!$Z$4:$Z$40,$BJ40-3)="","",INDEX('Final Calculation Sheet'!$Z$4:$Z$40,$BJ40-3)),IF(OR($BI40=1,$BL40=1,$BH40&gt;0),IF($BI40=1,SUM('Final Calculation Sheet'!$Z$4:$Z$40),IF($BL40=1,SUM('Final Calculation Sheet'!$Z$4:$Z$40)-SUMIFS('Final Calculation Sheet'!$Z$4:$Z$40,$AZ$5:$AZ$41,10),SUMIFS('Final Calculation Sheet'!$Z$4:$Z$40,$AZ$5:$AZ$41,$BH40))),""))</f>
        <v>1911.6</v>
      </c>
      <c r="AB41" s="70" t="str">
        <f>IF($BJ40&gt;0,IF(INDEX('Final Calculation Sheet'!$AA$4:$AA$40,$BJ40-3)="","",INDEX('Final Calculation Sheet'!$AA$4:$AA$40,$BJ40-3)),IF(OR($BI40=1,$BL40=1,$BH40&gt;0),IF($BI40=1,SUM('Final Calculation Sheet'!$AA$4:$AA$40),IF($BL40=1,SUM('Final Calculation Sheet'!$AA$4:$AA$40)-SUMIFS('Final Calculation Sheet'!$AA$4:$AA$40,$AZ$5:$AZ$41,10),SUMIFS('Final Calculation Sheet'!$AA$4:$AA$40,$AZ$5:$AZ$41,$BH40))),""))</f>
        <v/>
      </c>
      <c r="AC41" s="70" t="str">
        <f>IF($BJ40&gt;0,IF(INDEX('Final Calculation Sheet'!$AB$4:$AB$40,$BJ40-3)="","",INDEX('Final Calculation Sheet'!$AB$4:$AB$40,$BJ40-3)),IF(OR($BI40=1,$BL40=1,$BH40&gt;0),"–",""))</f>
        <v/>
      </c>
      <c r="AD41" s="70">
        <f>IF($BJ40&gt;0,IF(INDEX('Final Calculation Sheet'!$AC$4:$AC$40,$BJ40-3)="","",INDEX('Final Calculation Sheet'!$AC$4:$AC$40,$BJ40-3)),IF(OR($BI40=1,$BL40=1,$BH40&gt;0),IF($BI40=1,SUM('Final Calculation Sheet'!$AC$4:$AC$40),IF($BL40=1,SUM('Final Calculation Sheet'!$AC$4:$AC$40)-SUMIFS('Final Calculation Sheet'!$AC$4:$AC$40,$AZ$5:$AZ$41,10),SUMIFS('Final Calculation Sheet'!$AC$4:$AC$40,$AZ$5:$AZ$41,$BH40))),""))</f>
        <v>13500</v>
      </c>
      <c r="AE41" s="70">
        <f>IF($BJ40&gt;0,IF(INDEX('Final Calculation Sheet'!$AD$4:$AD$40,$BJ40-3)="","",INDEX('Final Calculation Sheet'!$AD$4:$AD$40,$BJ40-3)),IF(OR($BI40=1,$BL40=1,$BH40&gt;0),IF($BI40=1,SUM('Final Calculation Sheet'!$AD$4:$AD$40),IF($BL40=1,SUM('Final Calculation Sheet'!$AD$4:$AD$40)-SUMIFS('Final Calculation Sheet'!$AD$4:$AD$40,$AZ$5:$AZ$41,10),SUMIFS('Final Calculation Sheet'!$AD$4:$AD$40,$AZ$5:$AZ$41,$BH40))),""))</f>
        <v>50031</v>
      </c>
      <c r="AF41" s="70" t="str">
        <f>IF($BJ40&gt;0,IF(INDEX('Final Calculation Sheet'!$AE$4:$AE$40,$BJ40-3)="","",INDEX('Final Calculation Sheet'!$AE$4:$AE$40,$BJ40-3)),IF(OR($BI40=1,$BL40=1,$BH40&gt;0),"–",""))</f>
        <v/>
      </c>
      <c r="AG41" s="74" t="str">
        <f>IF($BJ40&gt;0,IF(INDEX('Final Calculation Sheet'!$AF$4:$AF$40,$BJ40-3)="","",INDEX('Final Calculation Sheet'!$AF$4:$AF$40,$BJ40-3)),IF(OR($BI40=1,$BL40=1,$BH40&gt;0),"–",""))</f>
        <v/>
      </c>
      <c r="AH41" s="70" t="str">
        <f>IF($BJ40&gt;0,IF(INDEX('Final Calculation Sheet'!$AG$4:$AG$40,$BJ40-3)="","",INDEX('Final Calculation Sheet'!$AG$4:$AG$40,$BJ40-3)),IF(OR($BI40=1,$BL40=1,$BH40&gt;0),"–",""))</f>
        <v/>
      </c>
      <c r="AI41" s="75" t="str">
        <f>IF($BJ40&gt;0,IF(INDEX('Final Calculation Sheet'!$AD$4:$AD$40,$BJ40-3)="","",IF(INDEX('Final Calculation Sheet'!$AD$4:$AD$40,$BJ40-3)&lt;=0,"SETTLED","OUTSTANDING")),IF(OR($BI40=1,$BL40=1,$BH40&gt;0),IF(IF($BI40=1,SUM('Final Calculation Sheet'!$AD$4:$AD$40),IF($BL40=1,SUM('Final Calculation Sheet'!$AD$4:$AD$40)-SUMIFS('Final Calculation Sheet'!$AD$4:$AD$40,$AZ$5:$AZ$41,10),SUMIFS('Final Calculation Sheet'!$AD$4:$AD$40,$AZ$5:$AZ$41,$BH40)))&lt;=0,"ALL SETTLED","OUTSTANDING"),""))</f>
        <v>OUTSTANDING</v>
      </c>
      <c r="AK41" t="str">
        <f>IF($F$3="Lot No.",'Final Calculation Sheet'!$F$40,IF($F$3="Buyer",'Final Calculation Sheet'!$G$40,IF($F$3="Lot Name",'Final Calculation Sheet'!$B$40,IF($F$3="Bid Sheet",'Final Calculation Sheet'!$D$40,IF($F$3="Unit",'Final Calculation Sheet'!$E$40,'Final Calculation Sheet'!$F$40&amp;" "&amp;'Final Calculation Sheet'!$G$40&amp;" "&amp;'Final Calculation Sheet'!$B$40)))))</f>
        <v>2091 S M ENTERPRISES Scrap of 132 KV CT</v>
      </c>
      <c r="AM41">
        <f t="shared" si="1"/>
        <v>0</v>
      </c>
      <c r="AZ41">
        <f t="shared" si="2"/>
        <v>10</v>
      </c>
      <c r="BA41">
        <f t="shared" si="3"/>
        <v>28</v>
      </c>
      <c r="BB41">
        <f t="shared" si="4"/>
        <v>44</v>
      </c>
      <c r="BC41">
        <v>40</v>
      </c>
      <c r="BH41">
        <f>IFERROR(MATCH(41,$BF$4:$BF$13,0),0)</f>
        <v>0</v>
      </c>
      <c r="BI41">
        <f>IF(41=$BG$5,1,0)</f>
        <v>0</v>
      </c>
      <c r="BJ41">
        <f>IF(OR($BH41&gt;0,$BI41=1,$BL41=1),0,IFERROR(INDEX($BC$5:$BC$41,MATCH(41,$BB$5:$BB$41,0)),0))</f>
        <v>37</v>
      </c>
      <c r="BK41">
        <f>IF($BJ41&gt;0,IF(INDEX($AZ$5:$AZ$41,MATCH(41,$BB$5:$BB$41,0))=10,1,0),IF($BH41=10,1,0))</f>
        <v>1</v>
      </c>
      <c r="BL41">
        <f>IF(41=$BG$4,1,0)</f>
        <v>0</v>
      </c>
      <c r="BM41">
        <f>IF($A$4="",1,--(AND(SUMPRODUCT(--($AS$60:$AZ$60&lt;&gt;""))&gt;0,IF(COUNTIF($BI$60:$BP$60,1)=0,TRUE,SUMPRODUCT(($BI$60:$BP$60=1)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$60,2)=0,TRUE,SUMPRODUCT(($BI$60:$BP$60=2)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$60,3)=0,TRUE,SUMPRODUCT(($BI$60:$BP$60=3)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$60,4)=0,TRUE,SUMPRODUCT(($BI$60:$BP$60=4)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$60,5)=0,TRUE,SUMPRODUCT(($BI$60:$BP$60=5)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$60,6)=0,TRUE,SUMPRODUCT(($BI$60:$BP$60=6)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$60,7)=0,TRUE,SUMPRODUCT(($BI$60:$BP$60=7)*($AS$60:$AZ$60&lt;&gt;"")*IF(((UPPER($AS$60:$AZ$60)="BLANK")+(UPPER($AS$60:$AZ$60)="(BLANK)")+(UPPER($AS$60:$AZ$60)="EMPTY")+(UPPER($AS$60:$AZ$60)="(EMPTY)"))&gt;0,IFERROR((ROW()-4)&amp;"","")="",ISNUMBER(SEARCH($AS$60:$AZ$60,IFERROR((ROW()-4)&amp;"","")))))&gt;0),IF(COUNTIF($BI$60:$BP$60,8)=0,TRUE,SUMPRODUCT(($BI$60:$BP$60=8)*($AS$60:$AZ$60&lt;&gt;"")*IF(((UPPER($AS$60:$AZ$60)="BLANK")+(UPPER($AS$60:$AZ$60)="(BLANK)")+(UPPER($AS$60:$AZ$60)="EMPTY")+(UPPER($AS$60:$AZ$60)="(EMPTY)"))&gt;0,IFERROR((ROW()-4)&amp;"","")="",ISNUMBER(SEARCH($AS$60:$AZ$60,IFERROR((ROW()-4)&amp;"","")))))&gt;0))))</f>
        <v>1</v>
      </c>
      <c r="BN41">
        <f>IF($B$4="",1,--(AND(SUMPRODUCT(--($AS$61:$AZ$61&lt;&gt;""))&gt;0,IF(COUNTIF($BI$61:$BP$61,1)=0,TRUE,SUMPRODUCT(($BI$61:$BP$61=1)*($AS$61:$AZ$61&lt;&gt;"")*IF(((UPPER($AS$61:$AZ$61)="BLANK")+(UPPER($AS$61:$AZ$61)="(BLANK)")+(UPPER($AS$61:$AZ$61)="EMPTY")+(UPPER($AS$61:$AZ$61)="(EMPTY)"))&gt;0,IFERROR(('Final Calculation Sheet'!$F$40)&amp;"","")="",ISNUMBER(SEARCH($AS$61:$AZ$61,IFERROR(('Final Calculation Sheet'!$F$40)&amp;"","")))))&gt;0),IF(COUNTIF($BI$61:$BP$61,2)=0,TRUE,SUMPRODUCT(($BI$61:$BP$61=2)*($AS$61:$AZ$61&lt;&gt;"")*IF(((UPPER($AS$61:$AZ$61)="BLANK")+(UPPER($AS$61:$AZ$61)="(BLANK)")+(UPPER($AS$61:$AZ$61)="EMPTY")+(UPPER($AS$61:$AZ$61)="(EMPTY)"))&gt;0,IFERROR(('Final Calculation Sheet'!$F$40)&amp;"","")="",ISNUMBER(SEARCH($AS$61:$AZ$61,IFERROR(('Final Calculation Sheet'!$F$40)&amp;"","")))))&gt;0),IF(COUNTIF($BI$61:$BP$61,3)=0,TRUE,SUMPRODUCT(($BI$61:$BP$61=3)*($AS$61:$AZ$61&lt;&gt;"")*IF(((UPPER($AS$61:$AZ$61)="BLANK")+(UPPER($AS$61:$AZ$61)="(BLANK)")+(UPPER($AS$61:$AZ$61)="EMPTY")+(UPPER($AS$61:$AZ$61)="(EMPTY)"))&gt;0,IFERROR(('Final Calculation Sheet'!$F$40)&amp;"","")="",ISNUMBER(SEARCH($AS$61:$AZ$61,IFERROR(('Final Calculation Sheet'!$F$40)&amp;"","")))))&gt;0),IF(COUNTIF($BI$61:$BP$61,4)=0,TRUE,SUMPRODUCT(($BI$61:$BP$61=4)*($AS$61:$AZ$61&lt;&gt;"")*IF(((UPPER($AS$61:$AZ$61)="BLANK")+(UPPER($AS$61:$AZ$61)="(BLANK)")+(UPPER($AS$61:$AZ$61)="EMPTY")+(UPPER($AS$61:$AZ$61)="(EMPTY)"))&gt;0,IFERROR(('Final Calculation Sheet'!$F$40)&amp;"","")="",ISNUMBER(SEARCH($AS$61:$AZ$61,IFERROR(('Final Calculation Sheet'!$F$40)&amp;"","")))))&gt;0),IF(COUNTIF($BI$61:$BP$61,5)=0,TRUE,SUMPRODUCT(($BI$61:$BP$61=5)*($AS$61:$AZ$61&lt;&gt;"")*IF(((UPPER($AS$61:$AZ$61)="BLANK")+(UPPER($AS$61:$AZ$61)="(BLANK)")+(UPPER($AS$61:$AZ$61)="EMPTY")+(UPPER($AS$61:$AZ$61)="(EMPTY)"))&gt;0,IFERROR(('Final Calculation Sheet'!$F$40)&amp;"","")="",ISNUMBER(SEARCH($AS$61:$AZ$61,IFERROR(('Final Calculation Sheet'!$F$40)&amp;"","")))))&gt;0),IF(COUNTIF($BI$61:$BP$61,6)=0,TRUE,SUMPRODUCT(($BI$61:$BP$61=6)*($AS$61:$AZ$61&lt;&gt;"")*IF(((UPPER($AS$61:$AZ$61)="BLANK")+(UPPER($AS$61:$AZ$61)="(BLANK)")+(UPPER($AS$61:$AZ$61)="EMPTY")+(UPPER($AS$61:$AZ$61)="(EMPTY)"))&gt;0,IFERROR(('Final Calculation Sheet'!$F$40)&amp;"","")="",ISNUMBER(SEARCH($AS$61:$AZ$61,IFERROR(('Final Calculation Sheet'!$F$40)&amp;"","")))))&gt;0),IF(COUNTIF($BI$61:$BP$61,7)=0,TRUE,SUMPRODUCT(($BI$61:$BP$61=7)*($AS$61:$AZ$61&lt;&gt;"")*IF(((UPPER($AS$61:$AZ$61)="BLANK")+(UPPER($AS$61:$AZ$61)="(BLANK)")+(UPPER($AS$61:$AZ$61)="EMPTY")+(UPPER($AS$61:$AZ$61)="(EMPTY)"))&gt;0,IFERROR(('Final Calculation Sheet'!$F$40)&amp;"","")="",ISNUMBER(SEARCH($AS$61:$AZ$61,IFERROR(('Final Calculation Sheet'!$F$40)&amp;"","")))))&gt;0),IF(COUNTIF($BI$61:$BP$61,8)=0,TRUE,SUMPRODUCT(($BI$61:$BP$61=8)*($AS$61:$AZ$61&lt;&gt;"")*IF(((UPPER($AS$61:$AZ$61)="BLANK")+(UPPER($AS$61:$AZ$61)="(BLANK)")+(UPPER($AS$61:$AZ$61)="EMPTY")+(UPPER($AS$61:$AZ$61)="(EMPTY)"))&gt;0,IFERROR(('Final Calculation Sheet'!$F$40)&amp;"","")="",ISNUMBER(SEARCH($AS$61:$AZ$61,IFERROR(('Final Calculation Sheet'!$F$40)&amp;"","")))))&gt;0))))</f>
        <v>1</v>
      </c>
      <c r="BO41">
        <f>IF($C$4="",1,--(AND(SUMPRODUCT(--($AS$62:$AZ$62&lt;&gt;""))&gt;0,IF(COUNTIF($BI$62:$BP$62,1)=0,TRUE,SUMPRODUCT(($BI$62:$BP$62=1)*($AS$62:$AZ$62&lt;&gt;"")*IF(((UPPER($AS$62:$AZ$62)="BLANK")+(UPPER($AS$62:$AZ$62)="(BLANK)")+(UPPER($AS$62:$AZ$62)="EMPTY")+(UPPER($AS$62:$AZ$62)="(EMPTY)"))&gt;0,IFERROR(('Final Calculation Sheet'!$G$40)&amp;"","")="",ISNUMBER(SEARCH($AS$62:$AZ$62,IFERROR(('Final Calculation Sheet'!$G$40)&amp;"","")))))&gt;0),IF(COUNTIF($BI$62:$BP$62,2)=0,TRUE,SUMPRODUCT(($BI$62:$BP$62=2)*($AS$62:$AZ$62&lt;&gt;"")*IF(((UPPER($AS$62:$AZ$62)="BLANK")+(UPPER($AS$62:$AZ$62)="(BLANK)")+(UPPER($AS$62:$AZ$62)="EMPTY")+(UPPER($AS$62:$AZ$62)="(EMPTY)"))&gt;0,IFERROR(('Final Calculation Sheet'!$G$40)&amp;"","")="",ISNUMBER(SEARCH($AS$62:$AZ$62,IFERROR(('Final Calculation Sheet'!$G$40)&amp;"","")))))&gt;0),IF(COUNTIF($BI$62:$BP$62,3)=0,TRUE,SUMPRODUCT(($BI$62:$BP$62=3)*($AS$62:$AZ$62&lt;&gt;"")*IF(((UPPER($AS$62:$AZ$62)="BLANK")+(UPPER($AS$62:$AZ$62)="(BLANK)")+(UPPER($AS$62:$AZ$62)="EMPTY")+(UPPER($AS$62:$AZ$62)="(EMPTY)"))&gt;0,IFERROR(('Final Calculation Sheet'!$G$40)&amp;"","")="",ISNUMBER(SEARCH($AS$62:$AZ$62,IFERROR(('Final Calculation Sheet'!$G$40)&amp;"","")))))&gt;0),IF(COUNTIF($BI$62:$BP$62,4)=0,TRUE,SUMPRODUCT(($BI$62:$BP$62=4)*($AS$62:$AZ$62&lt;&gt;"")*IF(((UPPER($AS$62:$AZ$62)="BLANK")+(UPPER($AS$62:$AZ$62)="(BLANK)")+(UPPER($AS$62:$AZ$62)="EMPTY")+(UPPER($AS$62:$AZ$62)="(EMPTY)"))&gt;0,IFERROR(('Final Calculation Sheet'!$G$40)&amp;"","")="",ISNUMBER(SEARCH($AS$62:$AZ$62,IFERROR(('Final Calculation Sheet'!$G$40)&amp;"","")))))&gt;0),IF(COUNTIF($BI$62:$BP$62,5)=0,TRUE,SUMPRODUCT(($BI$62:$BP$62=5)*($AS$62:$AZ$62&lt;&gt;"")*IF(((UPPER($AS$62:$AZ$62)="BLANK")+(UPPER($AS$62:$AZ$62)="(BLANK)")+(UPPER($AS$62:$AZ$62)="EMPTY")+(UPPER($AS$62:$AZ$62)="(EMPTY)"))&gt;0,IFERROR(('Final Calculation Sheet'!$G$40)&amp;"","")="",ISNUMBER(SEARCH($AS$62:$AZ$62,IFERROR(('Final Calculation Sheet'!$G$40)&amp;"","")))))&gt;0),IF(COUNTIF($BI$62:$BP$62,6)=0,TRUE,SUMPRODUCT(($BI$62:$BP$62=6)*($AS$62:$AZ$62&lt;&gt;"")*IF(((UPPER($AS$62:$AZ$62)="BLANK")+(UPPER($AS$62:$AZ$62)="(BLANK)")+(UPPER($AS$62:$AZ$62)="EMPTY")+(UPPER($AS$62:$AZ$62)="(EMPTY)"))&gt;0,IFERROR(('Final Calculation Sheet'!$G$40)&amp;"","")="",ISNUMBER(SEARCH($AS$62:$AZ$62,IFERROR(('Final Calculation Sheet'!$G$40)&amp;"","")))))&gt;0),IF(COUNTIF($BI$62:$BP$62,7)=0,TRUE,SUMPRODUCT(($BI$62:$BP$62=7)*($AS$62:$AZ$62&lt;&gt;"")*IF(((UPPER($AS$62:$AZ$62)="BLANK")+(UPPER($AS$62:$AZ$62)="(BLANK)")+(UPPER($AS$62:$AZ$62)="EMPTY")+(UPPER($AS$62:$AZ$62)="(EMPTY)"))&gt;0,IFERROR(('Final Calculation Sheet'!$G$40)&amp;"","")="",ISNUMBER(SEARCH($AS$62:$AZ$62,IFERROR(('Final Calculation Sheet'!$G$40)&amp;"","")))))&gt;0),IF(COUNTIF($BI$62:$BP$62,8)=0,TRUE,SUMPRODUCT(($BI$62:$BP$62=8)*($AS$62:$AZ$62&lt;&gt;"")*IF(((UPPER($AS$62:$AZ$62)="BLANK")+(UPPER($AS$62:$AZ$62)="(BLANK)")+(UPPER($AS$62:$AZ$62)="EMPTY")+(UPPER($AS$62:$AZ$62)="(EMPTY)"))&gt;0,IFERROR(('Final Calculation Sheet'!$G$40)&amp;"","")="",ISNUMBER(SEARCH($AS$62:$AZ$62,IFERROR(('Final Calculation Sheet'!$G$40)&amp;"","")))))&gt;0))))</f>
        <v>1</v>
      </c>
      <c r="BP41">
        <f>IF($D$4="",1,--(AND(SUMPRODUCT(--($AS$63:$AZ$63&lt;&gt;""))&gt;0,IF(COUNTIF($BI$63:$BP$63,1)=0,TRUE,SUMPRODUCT(($BI$63:$BP$63=1)*($AS$63:$AZ$63&lt;&gt;"")*IF(((UPPER($AS$63:$AZ$63)="BLANK")+(UPPER($AS$63:$AZ$63)="(BLANK)")+(UPPER($AS$63:$AZ$63)="EMPTY")+(UPPER($AS$63:$AZ$63)="(EMPTY)"))&gt;0,IFERROR(('Final Calculation Sheet'!$B$40)&amp;"","")="",ISNUMBER(SEARCH($AS$63:$AZ$63,IFERROR(('Final Calculation Sheet'!$B$40)&amp;"","")))))&gt;0),IF(COUNTIF($BI$63:$BP$63,2)=0,TRUE,SUMPRODUCT(($BI$63:$BP$63=2)*($AS$63:$AZ$63&lt;&gt;"")*IF(((UPPER($AS$63:$AZ$63)="BLANK")+(UPPER($AS$63:$AZ$63)="(BLANK)")+(UPPER($AS$63:$AZ$63)="EMPTY")+(UPPER($AS$63:$AZ$63)="(EMPTY)"))&gt;0,IFERROR(('Final Calculation Sheet'!$B$40)&amp;"","")="",ISNUMBER(SEARCH($AS$63:$AZ$63,IFERROR(('Final Calculation Sheet'!$B$40)&amp;"","")))))&gt;0),IF(COUNTIF($BI$63:$BP$63,3)=0,TRUE,SUMPRODUCT(($BI$63:$BP$63=3)*($AS$63:$AZ$63&lt;&gt;"")*IF(((UPPER($AS$63:$AZ$63)="BLANK")+(UPPER($AS$63:$AZ$63)="(BLANK)")+(UPPER($AS$63:$AZ$63)="EMPTY")+(UPPER($AS$63:$AZ$63)="(EMPTY)"))&gt;0,IFERROR(('Final Calculation Sheet'!$B$40)&amp;"","")="",ISNUMBER(SEARCH($AS$63:$AZ$63,IFERROR(('Final Calculation Sheet'!$B$40)&amp;"","")))))&gt;0),IF(COUNTIF($BI$63:$BP$63,4)=0,TRUE,SUMPRODUCT(($BI$63:$BP$63=4)*($AS$63:$AZ$63&lt;&gt;"")*IF(((UPPER($AS$63:$AZ$63)="BLANK")+(UPPER($AS$63:$AZ$63)="(BLANK)")+(UPPER($AS$63:$AZ$63)="EMPTY")+(UPPER($AS$63:$AZ$63)="(EMPTY)"))&gt;0,IFERROR(('Final Calculation Sheet'!$B$40)&amp;"","")="",ISNUMBER(SEARCH($AS$63:$AZ$63,IFERROR(('Final Calculation Sheet'!$B$40)&amp;"","")))))&gt;0),IF(COUNTIF($BI$63:$BP$63,5)=0,TRUE,SUMPRODUCT(($BI$63:$BP$63=5)*($AS$63:$AZ$63&lt;&gt;"")*IF(((UPPER($AS$63:$AZ$63)="BLANK")+(UPPER($AS$63:$AZ$63)="(BLANK)")+(UPPER($AS$63:$AZ$63)="EMPTY")+(UPPER($AS$63:$AZ$63)="(EMPTY)"))&gt;0,IFERROR(('Final Calculation Sheet'!$B$40)&amp;"","")="",ISNUMBER(SEARCH($AS$63:$AZ$63,IFERROR(('Final Calculation Sheet'!$B$40)&amp;"","")))))&gt;0),IF(COUNTIF($BI$63:$BP$63,6)=0,TRUE,SUMPRODUCT(($BI$63:$BP$63=6)*($AS$63:$AZ$63&lt;&gt;"")*IF(((UPPER($AS$63:$AZ$63)="BLANK")+(UPPER($AS$63:$AZ$63)="(BLANK)")+(UPPER($AS$63:$AZ$63)="EMPTY")+(UPPER($AS$63:$AZ$63)="(EMPTY)"))&gt;0,IFERROR(('Final Calculation Sheet'!$B$40)&amp;"","")="",ISNUMBER(SEARCH($AS$63:$AZ$63,IFERROR(('Final Calculation Sheet'!$B$40)&amp;"","")))))&gt;0),IF(COUNTIF($BI$63:$BP$63,7)=0,TRUE,SUMPRODUCT(($BI$63:$BP$63=7)*($AS$63:$AZ$63&lt;&gt;"")*IF(((UPPER($AS$63:$AZ$63)="BLANK")+(UPPER($AS$63:$AZ$63)="(BLANK)")+(UPPER($AS$63:$AZ$63)="EMPTY")+(UPPER($AS$63:$AZ$63)="(EMPTY)"))&gt;0,IFERROR(('Final Calculation Sheet'!$B$40)&amp;"","")="",ISNUMBER(SEARCH($AS$63:$AZ$63,IFERROR(('Final Calculation Sheet'!$B$40)&amp;"","")))))&gt;0),IF(COUNTIF($BI$63:$BP$63,8)=0,TRUE,SUMPRODUCT(($BI$63:$BP$63=8)*($AS$63:$AZ$63&lt;&gt;"")*IF(((UPPER($AS$63:$AZ$63)="BLANK")+(UPPER($AS$63:$AZ$63)="(BLANK)")+(UPPER($AS$63:$AZ$63)="EMPTY")+(UPPER($AS$63:$AZ$63)="(EMPTY)"))&gt;0,IFERROR(('Final Calculation Sheet'!$B$40)&amp;"","")="",ISNUMBER(SEARCH($AS$63:$AZ$63,IFERROR(('Final Calculation Sheet'!$B$40)&amp;"","")))))&gt;0))))</f>
        <v>1</v>
      </c>
      <c r="BQ41">
        <f>IF($E$4="",1,--(AND(SUMPRODUCT(--($AS$64:$AZ$64&lt;&gt;""))&gt;0,IF(COUNTIF($BI$64:$BP$64,1)=0,TRUE,SUMPRODUCT(($BI$64:$BP$64=1)*($AS$64:$AZ$64&lt;&gt;"")*IF(((UPPER($AS$64:$AZ$64)="BLANK")+(UPPER($AS$64:$AZ$64)="(BLANK)")+(UPPER($AS$64:$AZ$64)="EMPTY")+(UPPER($AS$64:$AZ$64)="(EMPTY)"))&gt;0,IFERROR(('Final Calculation Sheet'!$D$40)&amp;"","")="",ISNUMBER(SEARCH($AS$64:$AZ$64,IFERROR(('Final Calculation Sheet'!$D$40)&amp;"","")))))&gt;0),IF(COUNTIF($BI$64:$BP$64,2)=0,TRUE,SUMPRODUCT(($BI$64:$BP$64=2)*($AS$64:$AZ$64&lt;&gt;"")*IF(((UPPER($AS$64:$AZ$64)="BLANK")+(UPPER($AS$64:$AZ$64)="(BLANK)")+(UPPER($AS$64:$AZ$64)="EMPTY")+(UPPER($AS$64:$AZ$64)="(EMPTY)"))&gt;0,IFERROR(('Final Calculation Sheet'!$D$40)&amp;"","")="",ISNUMBER(SEARCH($AS$64:$AZ$64,IFERROR(('Final Calculation Sheet'!$D$40)&amp;"","")))))&gt;0),IF(COUNTIF($BI$64:$BP$64,3)=0,TRUE,SUMPRODUCT(($BI$64:$BP$64=3)*($AS$64:$AZ$64&lt;&gt;"")*IF(((UPPER($AS$64:$AZ$64)="BLANK")+(UPPER($AS$64:$AZ$64)="(BLANK)")+(UPPER($AS$64:$AZ$64)="EMPTY")+(UPPER($AS$64:$AZ$64)="(EMPTY)"))&gt;0,IFERROR(('Final Calculation Sheet'!$D$40)&amp;"","")="",ISNUMBER(SEARCH($AS$64:$AZ$64,IFERROR(('Final Calculation Sheet'!$D$40)&amp;"","")))))&gt;0),IF(COUNTIF($BI$64:$BP$64,4)=0,TRUE,SUMPRODUCT(($BI$64:$BP$64=4)*($AS$64:$AZ$64&lt;&gt;"")*IF(((UPPER($AS$64:$AZ$64)="BLANK")+(UPPER($AS$64:$AZ$64)="(BLANK)")+(UPPER($AS$64:$AZ$64)="EMPTY")+(UPPER($AS$64:$AZ$64)="(EMPTY)"))&gt;0,IFERROR(('Final Calculation Sheet'!$D$40)&amp;"","")="",ISNUMBER(SEARCH($AS$64:$AZ$64,IFERROR(('Final Calculation Sheet'!$D$40)&amp;"","")))))&gt;0),IF(COUNTIF($BI$64:$BP$64,5)=0,TRUE,SUMPRODUCT(($BI$64:$BP$64=5)*($AS$64:$AZ$64&lt;&gt;"")*IF(((UPPER($AS$64:$AZ$64)="BLANK")+(UPPER($AS$64:$AZ$64)="(BLANK)")+(UPPER($AS$64:$AZ$64)="EMPTY")+(UPPER($AS$64:$AZ$64)="(EMPTY)"))&gt;0,IFERROR(('Final Calculation Sheet'!$D$40)&amp;"","")="",ISNUMBER(SEARCH($AS$64:$AZ$64,IFERROR(('Final Calculation Sheet'!$D$40)&amp;"","")))))&gt;0),IF(COUNTIF($BI$64:$BP$64,6)=0,TRUE,SUMPRODUCT(($BI$64:$BP$64=6)*($AS$64:$AZ$64&lt;&gt;"")*IF(((UPPER($AS$64:$AZ$64)="BLANK")+(UPPER($AS$64:$AZ$64)="(BLANK)")+(UPPER($AS$64:$AZ$64)="EMPTY")+(UPPER($AS$64:$AZ$64)="(EMPTY)"))&gt;0,IFERROR(('Final Calculation Sheet'!$D$40)&amp;"","")="",ISNUMBER(SEARCH($AS$64:$AZ$64,IFERROR(('Final Calculation Sheet'!$D$40)&amp;"","")))))&gt;0),IF(COUNTIF($BI$64:$BP$64,7)=0,TRUE,SUMPRODUCT(($BI$64:$BP$64=7)*($AS$64:$AZ$64&lt;&gt;"")*IF(((UPPER($AS$64:$AZ$64)="BLANK")+(UPPER($AS$64:$AZ$64)="(BLANK)")+(UPPER($AS$64:$AZ$64)="EMPTY")+(UPPER($AS$64:$AZ$64)="(EMPTY)"))&gt;0,IFERROR(('Final Calculation Sheet'!$D$40)&amp;"","")="",ISNUMBER(SEARCH($AS$64:$AZ$64,IFERROR(('Final Calculation Sheet'!$D$40)&amp;"","")))))&gt;0),IF(COUNTIF($BI$64:$BP$64,8)=0,TRUE,SUMPRODUCT(($BI$64:$BP$64=8)*($AS$64:$AZ$64&lt;&gt;"")*IF(((UPPER($AS$64:$AZ$64)="BLANK")+(UPPER($AS$64:$AZ$64)="(BLANK)")+(UPPER($AS$64:$AZ$64)="EMPTY")+(UPPER($AS$64:$AZ$64)="(EMPTY)"))&gt;0,IFERROR(('Final Calculation Sheet'!$D$40)&amp;"","")="",ISNUMBER(SEARCH($AS$64:$AZ$64,IFERROR(('Final Calculation Sheet'!$D$40)&amp;"","")))))&gt;0))))</f>
        <v>1</v>
      </c>
      <c r="BR41">
        <f>IF($F$4="",1,--(AND(SUMPRODUCT(--($AS$65:$AZ$65&lt;&gt;""))&gt;0,IF(COUNTIF($BI$65:$BP$65,1)=0,TRUE,SUMPRODUCT(($BI$65:$BP$65=1)*($AS$65:$AZ$65&lt;&gt;"")*IF(((UPPER($AS$65:$AZ$65)="BLANK")+(UPPER($AS$65:$AZ$65)="(BLANK)")+(UPPER($AS$65:$AZ$65)="EMPTY")+(UPPER($AS$65:$AZ$65)="(EMPTY)"))&gt;0,IFERROR(('Final Calculation Sheet'!$A$40)&amp;"","")="",ISNUMBER(SEARCH($AS$65:$AZ$65,IFERROR(('Final Calculation Sheet'!$A$40)&amp;"","")))))&gt;0),IF(COUNTIF($BI$65:$BP$65,2)=0,TRUE,SUMPRODUCT(($BI$65:$BP$65=2)*($AS$65:$AZ$65&lt;&gt;"")*IF(((UPPER($AS$65:$AZ$65)="BLANK")+(UPPER($AS$65:$AZ$65)="(BLANK)")+(UPPER($AS$65:$AZ$65)="EMPTY")+(UPPER($AS$65:$AZ$65)="(EMPTY)"))&gt;0,IFERROR(('Final Calculation Sheet'!$A$40)&amp;"","")="",ISNUMBER(SEARCH($AS$65:$AZ$65,IFERROR(('Final Calculation Sheet'!$A$40)&amp;"","")))))&gt;0),IF(COUNTIF($BI$65:$BP$65,3)=0,TRUE,SUMPRODUCT(($BI$65:$BP$65=3)*($AS$65:$AZ$65&lt;&gt;"")*IF(((UPPER($AS$65:$AZ$65)="BLANK")+(UPPER($AS$65:$AZ$65)="(BLANK)")+(UPPER($AS$65:$AZ$65)="EMPTY")+(UPPER($AS$65:$AZ$65)="(EMPTY)"))&gt;0,IFERROR(('Final Calculation Sheet'!$A$40)&amp;"","")="",ISNUMBER(SEARCH($AS$65:$AZ$65,IFERROR(('Final Calculation Sheet'!$A$40)&amp;"","")))))&gt;0),IF(COUNTIF($BI$65:$BP$65,4)=0,TRUE,SUMPRODUCT(($BI$65:$BP$65=4)*($AS$65:$AZ$65&lt;&gt;"")*IF(((UPPER($AS$65:$AZ$65)="BLANK")+(UPPER($AS$65:$AZ$65)="(BLANK)")+(UPPER($AS$65:$AZ$65)="EMPTY")+(UPPER($AS$65:$AZ$65)="(EMPTY)"))&gt;0,IFERROR(('Final Calculation Sheet'!$A$40)&amp;"","")="",ISNUMBER(SEARCH($AS$65:$AZ$65,IFERROR(('Final Calculation Sheet'!$A$40)&amp;"","")))))&gt;0),IF(COUNTIF($BI$65:$BP$65,5)=0,TRUE,SUMPRODUCT(($BI$65:$BP$65=5)*($AS$65:$AZ$65&lt;&gt;"")*IF(((UPPER($AS$65:$AZ$65)="BLANK")+(UPPER($AS$65:$AZ$65)="(BLANK)")+(UPPER($AS$65:$AZ$65)="EMPTY")+(UPPER($AS$65:$AZ$65)="(EMPTY)"))&gt;0,IFERROR(('Final Calculation Sheet'!$A$40)&amp;"","")="",ISNUMBER(SEARCH($AS$65:$AZ$65,IFERROR(('Final Calculation Sheet'!$A$40)&amp;"","")))))&gt;0),IF(COUNTIF($BI$65:$BP$65,6)=0,TRUE,SUMPRODUCT(($BI$65:$BP$65=6)*($AS$65:$AZ$65&lt;&gt;"")*IF(((UPPER($AS$65:$AZ$65)="BLANK")+(UPPER($AS$65:$AZ$65)="(BLANK)")+(UPPER($AS$65:$AZ$65)="EMPTY")+(UPPER($AS$65:$AZ$65)="(EMPTY)"))&gt;0,IFERROR(('Final Calculation Sheet'!$A$40)&amp;"","")="",ISNUMBER(SEARCH($AS$65:$AZ$65,IFERROR(('Final Calculation Sheet'!$A$40)&amp;"","")))))&gt;0),IF(COUNTIF($BI$65:$BP$65,7)=0,TRUE,SUMPRODUCT(($BI$65:$BP$65=7)*($AS$65:$AZ$65&lt;&gt;"")*IF(((UPPER($AS$65:$AZ$65)="BLANK")+(UPPER($AS$65:$AZ$65)="(BLANK)")+(UPPER($AS$65:$AZ$65)="EMPTY")+(UPPER($AS$65:$AZ$65)="(EMPTY)"))&gt;0,IFERROR(('Final Calculation Sheet'!$A$40)&amp;"","")="",ISNUMBER(SEARCH($AS$65:$AZ$65,IFERROR(('Final Calculation Sheet'!$A$40)&amp;"","")))))&gt;0),IF(COUNTIF($BI$65:$BP$65,8)=0,TRUE,SUMPRODUCT(($BI$65:$BP$65=8)*($AS$65:$AZ$65&lt;&gt;"")*IF(((UPPER($AS$65:$AZ$65)="BLANK")+(UPPER($AS$65:$AZ$65)="(BLANK)")+(UPPER($AS$65:$AZ$65)="EMPTY")+(UPPER($AS$65:$AZ$65)="(EMPTY)"))&gt;0,IFERROR(('Final Calculation Sheet'!$A$40)&amp;"","")="",ISNUMBER(SEARCH($AS$65:$AZ$65,IFERROR(('Final Calculation Sheet'!$A$40)&amp;"","")))))&gt;0))))</f>
        <v>1</v>
      </c>
      <c r="BS41">
        <f>IF($G$4="",1,--(AND(SUMPRODUCT(--($AS$66:$AZ$66&lt;&gt;""))&gt;0,IF(COUNTIF($BI$66:$BP$66,1)=0,TRUE,SUMPRODUCT(($BI$66:$BP$66=1)*($AS$66:$AZ$66&lt;&gt;"")*IF(((UPPER($AS$66:$AZ$66)="BLANK")+(UPPER($AS$66:$AZ$66)="(BLANK)")+(UPPER($AS$66:$AZ$66)="EMPTY")+(UPPER($AS$66:$AZ$66)="(EMPTY)"))&gt;0,IFERROR(('Final Calculation Sheet'!$E$40)&amp;"","")="",ISNUMBER(SEARCH($AS$66:$AZ$66,IFERROR(('Final Calculation Sheet'!$E$40)&amp;"","")))))&gt;0),IF(COUNTIF($BI$66:$BP$66,2)=0,TRUE,SUMPRODUCT(($BI$66:$BP$66=2)*($AS$66:$AZ$66&lt;&gt;"")*IF(((UPPER($AS$66:$AZ$66)="BLANK")+(UPPER($AS$66:$AZ$66)="(BLANK)")+(UPPER($AS$66:$AZ$66)="EMPTY")+(UPPER($AS$66:$AZ$66)="(EMPTY)"))&gt;0,IFERROR(('Final Calculation Sheet'!$E$40)&amp;"","")="",ISNUMBER(SEARCH($AS$66:$AZ$66,IFERROR(('Final Calculation Sheet'!$E$40)&amp;"","")))))&gt;0),IF(COUNTIF($BI$66:$BP$66,3)=0,TRUE,SUMPRODUCT(($BI$66:$BP$66=3)*($AS$66:$AZ$66&lt;&gt;"")*IF(((UPPER($AS$66:$AZ$66)="BLANK")+(UPPER($AS$66:$AZ$66)="(BLANK)")+(UPPER($AS$66:$AZ$66)="EMPTY")+(UPPER($AS$66:$AZ$66)="(EMPTY)"))&gt;0,IFERROR(('Final Calculation Sheet'!$E$40)&amp;"","")="",ISNUMBER(SEARCH($AS$66:$AZ$66,IFERROR(('Final Calculation Sheet'!$E$40)&amp;"","")))))&gt;0),IF(COUNTIF($BI$66:$BP$66,4)=0,TRUE,SUMPRODUCT(($BI$66:$BP$66=4)*($AS$66:$AZ$66&lt;&gt;"")*IF(((UPPER($AS$66:$AZ$66)="BLANK")+(UPPER($AS$66:$AZ$66)="(BLANK)")+(UPPER($AS$66:$AZ$66)="EMPTY")+(UPPER($AS$66:$AZ$66)="(EMPTY)"))&gt;0,IFERROR(('Final Calculation Sheet'!$E$40)&amp;"","")="",ISNUMBER(SEARCH($AS$66:$AZ$66,IFERROR(('Final Calculation Sheet'!$E$40)&amp;"","")))))&gt;0),IF(COUNTIF($BI$66:$BP$66,5)=0,TRUE,SUMPRODUCT(($BI$66:$BP$66=5)*($AS$66:$AZ$66&lt;&gt;"")*IF(((UPPER($AS$66:$AZ$66)="BLANK")+(UPPER($AS$66:$AZ$66)="(BLANK)")+(UPPER($AS$66:$AZ$66)="EMPTY")+(UPPER($AS$66:$AZ$66)="(EMPTY)"))&gt;0,IFERROR(('Final Calculation Sheet'!$E$40)&amp;"","")="",ISNUMBER(SEARCH($AS$66:$AZ$66,IFERROR(('Final Calculation Sheet'!$E$40)&amp;"","")))))&gt;0),IF(COUNTIF($BI$66:$BP$66,6)=0,TRUE,SUMPRODUCT(($BI$66:$BP$66=6)*($AS$66:$AZ$66&lt;&gt;"")*IF(((UPPER($AS$66:$AZ$66)="BLANK")+(UPPER($AS$66:$AZ$66)="(BLANK)")+(UPPER($AS$66:$AZ$66)="EMPTY")+(UPPER($AS$66:$AZ$66)="(EMPTY)"))&gt;0,IFERROR(('Final Calculation Sheet'!$E$40)&amp;"","")="",ISNUMBER(SEARCH($AS$66:$AZ$66,IFERROR(('Final Calculation Sheet'!$E$40)&amp;"","")))))&gt;0),IF(COUNTIF($BI$66:$BP$66,7)=0,TRUE,SUMPRODUCT(($BI$66:$BP$66=7)*($AS$66:$AZ$66&lt;&gt;"")*IF(((UPPER($AS$66:$AZ$66)="BLANK")+(UPPER($AS$66:$AZ$66)="(BLANK)")+(UPPER($AS$66:$AZ$66)="EMPTY")+(UPPER($AS$66:$AZ$66)="(EMPTY)"))&gt;0,IFERROR(('Final Calculation Sheet'!$E$40)&amp;"","")="",ISNUMBER(SEARCH($AS$66:$AZ$66,IFERROR(('Final Calculation Sheet'!$E$40)&amp;"","")))))&gt;0),IF(COUNTIF($BI$66:$BP$66,8)=0,TRUE,SUMPRODUCT(($BI$66:$BP$66=8)*($AS$66:$AZ$66&lt;&gt;"")*IF(((UPPER($AS$66:$AZ$66)="BLANK")+(UPPER($AS$66:$AZ$66)="(BLANK)")+(UPPER($AS$66:$AZ$66)="EMPTY")+(UPPER($AS$66:$AZ$66)="(EMPTY)"))&gt;0,IFERROR(('Final Calculation Sheet'!$E$40)&amp;"","")="",ISNUMBER(SEARCH($AS$66:$AZ$66,IFERROR(('Final Calculation Sheet'!$E$40)&amp;"","")))))&gt;0))))</f>
        <v>1</v>
      </c>
      <c r="BT41">
        <f>IF($H$4="",1,--(AND(SUMPRODUCT(--($AS$67:$AZ$67&lt;&gt;""))&gt;0,IF(COUNTIF($BI$67:$BP$67,1)=0,TRUE,SUMPRODUCT(($BI$67:$BP$67=1)*($AS$67:$AZ$67&lt;&gt;"")*IF(((UPPER($AS$67:$AZ$67)="BLANK")+(UPPER($AS$67:$AZ$67)="(BLANK)")+(UPPER($AS$67:$AZ$67)="EMPTY")+(UPPER($AS$67:$AZ$67)="(EMPTY)"))&gt;0,IFERROR(('Final Calculation Sheet'!$C$40)&amp;"","")="",ISNUMBER(SEARCH($AS$67:$AZ$67,IFERROR(('Final Calculation Sheet'!$C$40)&amp;"","")))))&gt;0),IF(COUNTIF($BI$67:$BP$67,2)=0,TRUE,SUMPRODUCT(($BI$67:$BP$67=2)*($AS$67:$AZ$67&lt;&gt;"")*IF(((UPPER($AS$67:$AZ$67)="BLANK")+(UPPER($AS$67:$AZ$67)="(BLANK)")+(UPPER($AS$67:$AZ$67)="EMPTY")+(UPPER($AS$67:$AZ$67)="(EMPTY)"))&gt;0,IFERROR(('Final Calculation Sheet'!$C$40)&amp;"","")="",ISNUMBER(SEARCH($AS$67:$AZ$67,IFERROR(('Final Calculation Sheet'!$C$40)&amp;"","")))))&gt;0),IF(COUNTIF($BI$67:$BP$67,3)=0,TRUE,SUMPRODUCT(($BI$67:$BP$67=3)*($AS$67:$AZ$67&lt;&gt;"")*IF(((UPPER($AS$67:$AZ$67)="BLANK")+(UPPER($AS$67:$AZ$67)="(BLANK)")+(UPPER($AS$67:$AZ$67)="EMPTY")+(UPPER($AS$67:$AZ$67)="(EMPTY)"))&gt;0,IFERROR(('Final Calculation Sheet'!$C$40)&amp;"","")="",ISNUMBER(SEARCH($AS$67:$AZ$67,IFERROR(('Final Calculation Sheet'!$C$40)&amp;"","")))))&gt;0),IF(COUNTIF($BI$67:$BP$67,4)=0,TRUE,SUMPRODUCT(($BI$67:$BP$67=4)*($AS$67:$AZ$67&lt;&gt;"")*IF(((UPPER($AS$67:$AZ$67)="BLANK")+(UPPER($AS$67:$AZ$67)="(BLANK)")+(UPPER($AS$67:$AZ$67)="EMPTY")+(UPPER($AS$67:$AZ$67)="(EMPTY)"))&gt;0,IFERROR(('Final Calculation Sheet'!$C$40)&amp;"","")="",ISNUMBER(SEARCH($AS$67:$AZ$67,IFERROR(('Final Calculation Sheet'!$C$40)&amp;"","")))))&gt;0),IF(COUNTIF($BI$67:$BP$67,5)=0,TRUE,SUMPRODUCT(($BI$67:$BP$67=5)*($AS$67:$AZ$67&lt;&gt;"")*IF(((UPPER($AS$67:$AZ$67)="BLANK")+(UPPER($AS$67:$AZ$67)="(BLANK)")+(UPPER($AS$67:$AZ$67)="EMPTY")+(UPPER($AS$67:$AZ$67)="(EMPTY)"))&gt;0,IFERROR(('Final Calculation Sheet'!$C$40)&amp;"","")="",ISNUMBER(SEARCH($AS$67:$AZ$67,IFERROR(('Final Calculation Sheet'!$C$40)&amp;"","")))))&gt;0),IF(COUNTIF($BI$67:$BP$67,6)=0,TRUE,SUMPRODUCT(($BI$67:$BP$67=6)*($AS$67:$AZ$67&lt;&gt;"")*IF(((UPPER($AS$67:$AZ$67)="BLANK")+(UPPER($AS$67:$AZ$67)="(BLANK)")+(UPPER($AS$67:$AZ$67)="EMPTY")+(UPPER($AS$67:$AZ$67)="(EMPTY)"))&gt;0,IFERROR(('Final Calculation Sheet'!$C$40)&amp;"","")="",ISNUMBER(SEARCH($AS$67:$AZ$67,IFERROR(('Final Calculation Sheet'!$C$40)&amp;"","")))))&gt;0),IF(COUNTIF($BI$67:$BP$67,7)=0,TRUE,SUMPRODUCT(($BI$67:$BP$67=7)*($AS$67:$AZ$67&lt;&gt;"")*IF(((UPPER($AS$67:$AZ$67)="BLANK")+(UPPER($AS$67:$AZ$67)="(BLANK)")+(UPPER($AS$67:$AZ$67)="EMPTY")+(UPPER($AS$67:$AZ$67)="(EMPTY)"))&gt;0,IFERROR(('Final Calculation Sheet'!$C$40)&amp;"","")="",ISNUMBER(SEARCH($AS$67:$AZ$67,IFERROR(('Final Calculation Sheet'!$C$40)&amp;"","")))))&gt;0),IF(COUNTIF($BI$67:$BP$67,8)=0,TRUE,SUMPRODUCT(($BI$67:$BP$67=8)*($AS$67:$AZ$67&lt;&gt;"")*IF(((UPPER($AS$67:$AZ$67)="BLANK")+(UPPER($AS$67:$AZ$67)="(BLANK)")+(UPPER($AS$67:$AZ$67)="EMPTY")+(UPPER($AS$67:$AZ$67)="(EMPTY)"))&gt;0,IFERROR(('Final Calculation Sheet'!$C$40)&amp;"","")="",ISNUMBER(SEARCH($AS$67:$AZ$67,IFERROR(('Final Calculation Sheet'!$C$40)&amp;"","")))))&gt;0))))</f>
        <v>1</v>
      </c>
      <c r="BU41">
        <f>IF($I$4="",1,--(AND(SUMPRODUCT(--($AS$68:$AZ$68&lt;&gt;""))&gt;0,IF(COUNTIF($BI$68:$BP$68,1)=0,TRUE,SUMPRODUCT(($BI$68:$BP$68=1)*($AS$68:$AZ$68&lt;&gt;"")*IF(((UPPER($AS$68:$AZ$68)="BLANK")+(UPPER($AS$68:$AZ$68)="(BLANK)")+(UPPER($AS$68:$AZ$68)="EMPTY")+(UPPER($AS$68:$AZ$68)="(EMPTY)"))&gt;0,IFERROR(('Final Calculation Sheet'!$H$40)&amp;"","")="",ISNUMBER(SEARCH($AS$68:$AZ$68,IFERROR(('Final Calculation Sheet'!$H$40)&amp;"","")))))&gt;0),IF(COUNTIF($BI$68:$BP$68,2)=0,TRUE,SUMPRODUCT(($BI$68:$BP$68=2)*($AS$68:$AZ$68&lt;&gt;"")*IF(((UPPER($AS$68:$AZ$68)="BLANK")+(UPPER($AS$68:$AZ$68)="(BLANK)")+(UPPER($AS$68:$AZ$68)="EMPTY")+(UPPER($AS$68:$AZ$68)="(EMPTY)"))&gt;0,IFERROR(('Final Calculation Sheet'!$H$40)&amp;"","")="",ISNUMBER(SEARCH($AS$68:$AZ$68,IFERROR(('Final Calculation Sheet'!$H$40)&amp;"","")))))&gt;0),IF(COUNTIF($BI$68:$BP$68,3)=0,TRUE,SUMPRODUCT(($BI$68:$BP$68=3)*($AS$68:$AZ$68&lt;&gt;"")*IF(((UPPER($AS$68:$AZ$68)="BLANK")+(UPPER($AS$68:$AZ$68)="(BLANK)")+(UPPER($AS$68:$AZ$68)="EMPTY")+(UPPER($AS$68:$AZ$68)="(EMPTY)"))&gt;0,IFERROR(('Final Calculation Sheet'!$H$40)&amp;"","")="",ISNUMBER(SEARCH($AS$68:$AZ$68,IFERROR(('Final Calculation Sheet'!$H$40)&amp;"","")))))&gt;0),IF(COUNTIF($BI$68:$BP$68,4)=0,TRUE,SUMPRODUCT(($BI$68:$BP$68=4)*($AS$68:$AZ$68&lt;&gt;"")*IF(((UPPER($AS$68:$AZ$68)="BLANK")+(UPPER($AS$68:$AZ$68)="(BLANK)")+(UPPER($AS$68:$AZ$68)="EMPTY")+(UPPER($AS$68:$AZ$68)="(EMPTY)"))&gt;0,IFERROR(('Final Calculation Sheet'!$H$40)&amp;"","")="",ISNUMBER(SEARCH($AS$68:$AZ$68,IFERROR(('Final Calculation Sheet'!$H$40)&amp;"","")))))&gt;0),IF(COUNTIF($BI$68:$BP$68,5)=0,TRUE,SUMPRODUCT(($BI$68:$BP$68=5)*($AS$68:$AZ$68&lt;&gt;"")*IF(((UPPER($AS$68:$AZ$68)="BLANK")+(UPPER($AS$68:$AZ$68)="(BLANK)")+(UPPER($AS$68:$AZ$68)="EMPTY")+(UPPER($AS$68:$AZ$68)="(EMPTY)"))&gt;0,IFERROR(('Final Calculation Sheet'!$H$40)&amp;"","")="",ISNUMBER(SEARCH($AS$68:$AZ$68,IFERROR(('Final Calculation Sheet'!$H$40)&amp;"","")))))&gt;0),IF(COUNTIF($BI$68:$BP$68,6)=0,TRUE,SUMPRODUCT(($BI$68:$BP$68=6)*($AS$68:$AZ$68&lt;&gt;"")*IF(((UPPER($AS$68:$AZ$68)="BLANK")+(UPPER($AS$68:$AZ$68)="(BLANK)")+(UPPER($AS$68:$AZ$68)="EMPTY")+(UPPER($AS$68:$AZ$68)="(EMPTY)"))&gt;0,IFERROR(('Final Calculation Sheet'!$H$40)&amp;"","")="",ISNUMBER(SEARCH($AS$68:$AZ$68,IFERROR(('Final Calculation Sheet'!$H$40)&amp;"","")))))&gt;0),IF(COUNTIF($BI$68:$BP$68,7)=0,TRUE,SUMPRODUCT(($BI$68:$BP$68=7)*($AS$68:$AZ$68&lt;&gt;"")*IF(((UPPER($AS$68:$AZ$68)="BLANK")+(UPPER($AS$68:$AZ$68)="(BLANK)")+(UPPER($AS$68:$AZ$68)="EMPTY")+(UPPER($AS$68:$AZ$68)="(EMPTY)"))&gt;0,IFERROR(('Final Calculation Sheet'!$H$40)&amp;"","")="",ISNUMBER(SEARCH($AS$68:$AZ$68,IFERROR(('Final Calculation Sheet'!$H$40)&amp;"","")))))&gt;0),IF(COUNTIF($BI$68:$BP$68,8)=0,TRUE,SUMPRODUCT(($BI$68:$BP$68=8)*($AS$68:$AZ$68&lt;&gt;"")*IF(((UPPER($AS$68:$AZ$68)="BLANK")+(UPPER($AS$68:$AZ$68)="(BLANK)")+(UPPER($AS$68:$AZ$68)="EMPTY")+(UPPER($AS$68:$AZ$68)="(EMPTY)"))&gt;0,IFERROR(('Final Calculation Sheet'!$H$40)&amp;"","")="",ISNUMBER(SEARCH($AS$68:$AZ$68,IFERROR(('Final Calculation Sheet'!$H$40)&amp;"","")))))&gt;0))))</f>
        <v>1</v>
      </c>
      <c r="BV41">
        <f>IF($J$4="",1,--(AND(SUMPRODUCT(--($AS$69:$AZ$69&lt;&gt;""))&gt;0,IF(COUNTIF($BI$69:$BP$69,1)=0,TRUE,SUMPRODUCT(($BI$69:$BP$69=1)*($AS$69:$AZ$69&lt;&gt;"")*IF(((UPPER($AS$69:$AZ$69)="BLANK")+(UPPER($AS$69:$AZ$69)="(BLANK)")+(UPPER($AS$69:$AZ$69)="EMPTY")+(UPPER($AS$69:$AZ$69)="(EMPTY)"))&gt;0,IFERROR(('Final Calculation Sheet'!$I$40)&amp;"","")="",ISNUMBER(SEARCH($AS$69:$AZ$69,IFERROR(('Final Calculation Sheet'!$I$40)&amp;"","")))))&gt;0),IF(COUNTIF($BI$69:$BP$69,2)=0,TRUE,SUMPRODUCT(($BI$69:$BP$69=2)*($AS$69:$AZ$69&lt;&gt;"")*IF(((UPPER($AS$69:$AZ$69)="BLANK")+(UPPER($AS$69:$AZ$69)="(BLANK)")+(UPPER($AS$69:$AZ$69)="EMPTY")+(UPPER($AS$69:$AZ$69)="(EMPTY)"))&gt;0,IFERROR(('Final Calculation Sheet'!$I$40)&amp;"","")="",ISNUMBER(SEARCH($AS$69:$AZ$69,IFERROR(('Final Calculation Sheet'!$I$40)&amp;"","")))))&gt;0),IF(COUNTIF($BI$69:$BP$69,3)=0,TRUE,SUMPRODUCT(($BI$69:$BP$69=3)*($AS$69:$AZ$69&lt;&gt;"")*IF(((UPPER($AS$69:$AZ$69)="BLANK")+(UPPER($AS$69:$AZ$69)="(BLANK)")+(UPPER($AS$69:$AZ$69)="EMPTY")+(UPPER($AS$69:$AZ$69)="(EMPTY)"))&gt;0,IFERROR(('Final Calculation Sheet'!$I$40)&amp;"","")="",ISNUMBER(SEARCH($AS$69:$AZ$69,IFERROR(('Final Calculation Sheet'!$I$40)&amp;"","")))))&gt;0),IF(COUNTIF($BI$69:$BP$69,4)=0,TRUE,SUMPRODUCT(($BI$69:$BP$69=4)*($AS$69:$AZ$69&lt;&gt;"")*IF(((UPPER($AS$69:$AZ$69)="BLANK")+(UPPER($AS$69:$AZ$69)="(BLANK)")+(UPPER($AS$69:$AZ$69)="EMPTY")+(UPPER($AS$69:$AZ$69)="(EMPTY)"))&gt;0,IFERROR(('Final Calculation Sheet'!$I$40)&amp;"","")="",ISNUMBER(SEARCH($AS$69:$AZ$69,IFERROR(('Final Calculation Sheet'!$I$40)&amp;"","")))))&gt;0),IF(COUNTIF($BI$69:$BP$69,5)=0,TRUE,SUMPRODUCT(($BI$69:$BP$69=5)*($AS$69:$AZ$69&lt;&gt;"")*IF(((UPPER($AS$69:$AZ$69)="BLANK")+(UPPER($AS$69:$AZ$69)="(BLANK)")+(UPPER($AS$69:$AZ$69)="EMPTY")+(UPPER($AS$69:$AZ$69)="(EMPTY)"))&gt;0,IFERROR(('Final Calculation Sheet'!$I$40)&amp;"","")="",ISNUMBER(SEARCH($AS$69:$AZ$69,IFERROR(('Final Calculation Sheet'!$I$40)&amp;"","")))))&gt;0),IF(COUNTIF($BI$69:$BP$69,6)=0,TRUE,SUMPRODUCT(($BI$69:$BP$69=6)*($AS$69:$AZ$69&lt;&gt;"")*IF(((UPPER($AS$69:$AZ$69)="BLANK")+(UPPER($AS$69:$AZ$69)="(BLANK)")+(UPPER($AS$69:$AZ$69)="EMPTY")+(UPPER($AS$69:$AZ$69)="(EMPTY)"))&gt;0,IFERROR(('Final Calculation Sheet'!$I$40)&amp;"","")="",ISNUMBER(SEARCH($AS$69:$AZ$69,IFERROR(('Final Calculation Sheet'!$I$40)&amp;"","")))))&gt;0),IF(COUNTIF($BI$69:$BP$69,7)=0,TRUE,SUMPRODUCT(($BI$69:$BP$69=7)*($AS$69:$AZ$69&lt;&gt;"")*IF(((UPPER($AS$69:$AZ$69)="BLANK")+(UPPER($AS$69:$AZ$69)="(BLANK)")+(UPPER($AS$69:$AZ$69)="EMPTY")+(UPPER($AS$69:$AZ$69)="(EMPTY)"))&gt;0,IFERROR(('Final Calculation Sheet'!$I$40)&amp;"","")="",ISNUMBER(SEARCH($AS$69:$AZ$69,IFERROR(('Final Calculation Sheet'!$I$40)&amp;"","")))))&gt;0),IF(COUNTIF($BI$69:$BP$69,8)=0,TRUE,SUMPRODUCT(($BI$69:$BP$69=8)*($AS$69:$AZ$69&lt;&gt;"")*IF(((UPPER($AS$69:$AZ$69)="BLANK")+(UPPER($AS$69:$AZ$69)="(BLANK)")+(UPPER($AS$69:$AZ$69)="EMPTY")+(UPPER($AS$69:$AZ$69)="(EMPTY)"))&gt;0,IFERROR(('Final Calculation Sheet'!$I$40)&amp;"","")="",ISNUMBER(SEARCH($AS$69:$AZ$69,IFERROR(('Final Calculation Sheet'!$I$40)&amp;"","")))))&gt;0))))</f>
        <v>1</v>
      </c>
      <c r="BW41">
        <f>IF($K$4="",1,--(AND(SUMPRODUCT(--($AS$70:$AZ$70&lt;&gt;""))&gt;0,IF(COUNTIF($BI$70:$BP$70,1)=0,TRUE,SUMPRODUCT(($BI$70:$BP$70=1)*($AS$70:$AZ$70&lt;&gt;"")*IF(((UPPER($AS$70:$AZ$70)="BLANK")+(UPPER($AS$70:$AZ$70)="(BLANK)")+(UPPER($AS$70:$AZ$70)="EMPTY")+(UPPER($AS$70:$AZ$70)="(EMPTY)"))&gt;0,IFERROR(('Final Calculation Sheet'!$J$40)&amp;"","")="",ISNUMBER(SEARCH($AS$70:$AZ$70,IFERROR(('Final Calculation Sheet'!$J$40)&amp;"","")))))&gt;0),IF(COUNTIF($BI$70:$BP$70,2)=0,TRUE,SUMPRODUCT(($BI$70:$BP$70=2)*($AS$70:$AZ$70&lt;&gt;"")*IF(((UPPER($AS$70:$AZ$70)="BLANK")+(UPPER($AS$70:$AZ$70)="(BLANK)")+(UPPER($AS$70:$AZ$70)="EMPTY")+(UPPER($AS$70:$AZ$70)="(EMPTY)"))&gt;0,IFERROR(('Final Calculation Sheet'!$J$40)&amp;"","")="",ISNUMBER(SEARCH($AS$70:$AZ$70,IFERROR(('Final Calculation Sheet'!$J$40)&amp;"","")))))&gt;0),IF(COUNTIF($BI$70:$BP$70,3)=0,TRUE,SUMPRODUCT(($BI$70:$BP$70=3)*($AS$70:$AZ$70&lt;&gt;"")*IF(((UPPER($AS$70:$AZ$70)="BLANK")+(UPPER($AS$70:$AZ$70)="(BLANK)")+(UPPER($AS$70:$AZ$70)="EMPTY")+(UPPER($AS$70:$AZ$70)="(EMPTY)"))&gt;0,IFERROR(('Final Calculation Sheet'!$J$40)&amp;"","")="",ISNUMBER(SEARCH($AS$70:$AZ$70,IFERROR(('Final Calculation Sheet'!$J$40)&amp;"","")))))&gt;0),IF(COUNTIF($BI$70:$BP$70,4)=0,TRUE,SUMPRODUCT(($BI$70:$BP$70=4)*($AS$70:$AZ$70&lt;&gt;"")*IF(((UPPER($AS$70:$AZ$70)="BLANK")+(UPPER($AS$70:$AZ$70)="(BLANK)")+(UPPER($AS$70:$AZ$70)="EMPTY")+(UPPER($AS$70:$AZ$70)="(EMPTY)"))&gt;0,IFERROR(('Final Calculation Sheet'!$J$40)&amp;"","")="",ISNUMBER(SEARCH($AS$70:$AZ$70,IFERROR(('Final Calculation Sheet'!$J$40)&amp;"","")))))&gt;0),IF(COUNTIF($BI$70:$BP$70,5)=0,TRUE,SUMPRODUCT(($BI$70:$BP$70=5)*($AS$70:$AZ$70&lt;&gt;"")*IF(((UPPER($AS$70:$AZ$70)="BLANK")+(UPPER($AS$70:$AZ$70)="(BLANK)")+(UPPER($AS$70:$AZ$70)="EMPTY")+(UPPER($AS$70:$AZ$70)="(EMPTY)"))&gt;0,IFERROR(('Final Calculation Sheet'!$J$40)&amp;"","")="",ISNUMBER(SEARCH($AS$70:$AZ$70,IFERROR(('Final Calculation Sheet'!$J$40)&amp;"","")))))&gt;0),IF(COUNTIF($BI$70:$BP$70,6)=0,TRUE,SUMPRODUCT(($BI$70:$BP$70=6)*($AS$70:$AZ$70&lt;&gt;"")*IF(((UPPER($AS$70:$AZ$70)="BLANK")+(UPPER($AS$70:$AZ$70)="(BLANK)")+(UPPER($AS$70:$AZ$70)="EMPTY")+(UPPER($AS$70:$AZ$70)="(EMPTY)"))&gt;0,IFERROR(('Final Calculation Sheet'!$J$40)&amp;"","")="",ISNUMBER(SEARCH($AS$70:$AZ$70,IFERROR(('Final Calculation Sheet'!$J$40)&amp;"","")))))&gt;0),IF(COUNTIF($BI$70:$BP$70,7)=0,TRUE,SUMPRODUCT(($BI$70:$BP$70=7)*($AS$70:$AZ$70&lt;&gt;"")*IF(((UPPER($AS$70:$AZ$70)="BLANK")+(UPPER($AS$70:$AZ$70)="(BLANK)")+(UPPER($AS$70:$AZ$70)="EMPTY")+(UPPER($AS$70:$AZ$70)="(EMPTY)"))&gt;0,IFERROR(('Final Calculation Sheet'!$J$40)&amp;"","")="",ISNUMBER(SEARCH($AS$70:$AZ$70,IFERROR(('Final Calculation Sheet'!$J$40)&amp;"","")))))&gt;0),IF(COUNTIF($BI$70:$BP$70,8)=0,TRUE,SUMPRODUCT(($BI$70:$BP$70=8)*($AS$70:$AZ$70&lt;&gt;"")*IF(((UPPER($AS$70:$AZ$70)="BLANK")+(UPPER($AS$70:$AZ$70)="(BLANK)")+(UPPER($AS$70:$AZ$70)="EMPTY")+(UPPER($AS$70:$AZ$70)="(EMPTY)"))&gt;0,IFERROR(('Final Calculation Sheet'!$J$40)&amp;"","")="",ISNUMBER(SEARCH($AS$70:$AZ$70,IFERROR(('Final Calculation Sheet'!$J$40)&amp;"","")))))&gt;0))))</f>
        <v>1</v>
      </c>
      <c r="BX41">
        <f>IF($L$4="",1,--(AND(SUMPRODUCT(--($AS$71:$AZ$71&lt;&gt;""))&gt;0,IF(COUNTIF($BI$71:$BP$71,1)=0,TRUE,SUMPRODUCT(($BI$71:$BP$71=1)*($AS$71:$AZ$71&lt;&gt;"")*IF(((UPPER($AS$71:$AZ$71)="BLANK")+(UPPER($AS$71:$AZ$71)="(BLANK)")+(UPPER($AS$71:$AZ$71)="EMPTY")+(UPPER($AS$71:$AZ$71)="(EMPTY)"))&gt;0,IFERROR(('Final Calculation Sheet'!$K$40)&amp;"","")="",ISNUMBER(SEARCH($AS$71:$AZ$71,IFERROR(('Final Calculation Sheet'!$K$40)&amp;"","")))))&gt;0),IF(COUNTIF($BI$71:$BP$71,2)=0,TRUE,SUMPRODUCT(($BI$71:$BP$71=2)*($AS$71:$AZ$71&lt;&gt;"")*IF(((UPPER($AS$71:$AZ$71)="BLANK")+(UPPER($AS$71:$AZ$71)="(BLANK)")+(UPPER($AS$71:$AZ$71)="EMPTY")+(UPPER($AS$71:$AZ$71)="(EMPTY)"))&gt;0,IFERROR(('Final Calculation Sheet'!$K$40)&amp;"","")="",ISNUMBER(SEARCH($AS$71:$AZ$71,IFERROR(('Final Calculation Sheet'!$K$40)&amp;"","")))))&gt;0),IF(COUNTIF($BI$71:$BP$71,3)=0,TRUE,SUMPRODUCT(($BI$71:$BP$71=3)*($AS$71:$AZ$71&lt;&gt;"")*IF(((UPPER($AS$71:$AZ$71)="BLANK")+(UPPER($AS$71:$AZ$71)="(BLANK)")+(UPPER($AS$71:$AZ$71)="EMPTY")+(UPPER($AS$71:$AZ$71)="(EMPTY)"))&gt;0,IFERROR(('Final Calculation Sheet'!$K$40)&amp;"","")="",ISNUMBER(SEARCH($AS$71:$AZ$71,IFERROR(('Final Calculation Sheet'!$K$40)&amp;"","")))))&gt;0),IF(COUNTIF($BI$71:$BP$71,4)=0,TRUE,SUMPRODUCT(($BI$71:$BP$71=4)*($AS$71:$AZ$71&lt;&gt;"")*IF(((UPPER($AS$71:$AZ$71)="BLANK")+(UPPER($AS$71:$AZ$71)="(BLANK)")+(UPPER($AS$71:$AZ$71)="EMPTY")+(UPPER($AS$71:$AZ$71)="(EMPTY)"))&gt;0,IFERROR(('Final Calculation Sheet'!$K$40)&amp;"","")="",ISNUMBER(SEARCH($AS$71:$AZ$71,IFERROR(('Final Calculation Sheet'!$K$40)&amp;"","")))))&gt;0),IF(COUNTIF($BI$71:$BP$71,5)=0,TRUE,SUMPRODUCT(($BI$71:$BP$71=5)*($AS$71:$AZ$71&lt;&gt;"")*IF(((UPPER($AS$71:$AZ$71)="BLANK")+(UPPER($AS$71:$AZ$71)="(BLANK)")+(UPPER($AS$71:$AZ$71)="EMPTY")+(UPPER($AS$71:$AZ$71)="(EMPTY)"))&gt;0,IFERROR(('Final Calculation Sheet'!$K$40)&amp;"","")="",ISNUMBER(SEARCH($AS$71:$AZ$71,IFERROR(('Final Calculation Sheet'!$K$40)&amp;"","")))))&gt;0),IF(COUNTIF($BI$71:$BP$71,6)=0,TRUE,SUMPRODUCT(($BI$71:$BP$71=6)*($AS$71:$AZ$71&lt;&gt;"")*IF(((UPPER($AS$71:$AZ$71)="BLANK")+(UPPER($AS$71:$AZ$71)="(BLANK)")+(UPPER($AS$71:$AZ$71)="EMPTY")+(UPPER($AS$71:$AZ$71)="(EMPTY)"))&gt;0,IFERROR(('Final Calculation Sheet'!$K$40)&amp;"","")="",ISNUMBER(SEARCH($AS$71:$AZ$71,IFERROR(('Final Calculation Sheet'!$K$40)&amp;"","")))))&gt;0),IF(COUNTIF($BI$71:$BP$71,7)=0,TRUE,SUMPRODUCT(($BI$71:$BP$71=7)*($AS$71:$AZ$71&lt;&gt;"")*IF(((UPPER($AS$71:$AZ$71)="BLANK")+(UPPER($AS$71:$AZ$71)="(BLANK)")+(UPPER($AS$71:$AZ$71)="EMPTY")+(UPPER($AS$71:$AZ$71)="(EMPTY)"))&gt;0,IFERROR(('Final Calculation Sheet'!$K$40)&amp;"","")="",ISNUMBER(SEARCH($AS$71:$AZ$71,IFERROR(('Final Calculation Sheet'!$K$40)&amp;"","")))))&gt;0),IF(COUNTIF($BI$71:$BP$71,8)=0,TRUE,SUMPRODUCT(($BI$71:$BP$71=8)*($AS$71:$AZ$71&lt;&gt;"")*IF(((UPPER($AS$71:$AZ$71)="BLANK")+(UPPER($AS$71:$AZ$71)="(BLANK)")+(UPPER($AS$71:$AZ$71)="EMPTY")+(UPPER($AS$71:$AZ$71)="(EMPTY)"))&gt;0,IFERROR(('Final Calculation Sheet'!$K$40)&amp;"","")="",ISNUMBER(SEARCH($AS$71:$AZ$71,IFERROR(('Final Calculation Sheet'!$K$40)&amp;"","")))))&gt;0))))</f>
        <v>1</v>
      </c>
      <c r="BY41">
        <f>IF($M$4="",1,--(AND(SUMPRODUCT(--($AS$72:$AZ$72&lt;&gt;""))&gt;0,IF(COUNTIF($BI$72:$BP$72,1)=0,TRUE,SUMPRODUCT(($BI$72:$BP$72=1)*($AS$72:$AZ$72&lt;&gt;"")*IF(((UPPER($AS$72:$AZ$72)="BLANK")+(UPPER($AS$72:$AZ$72)="(BLANK)")+(UPPER($AS$72:$AZ$72)="EMPTY")+(UPPER($AS$72:$AZ$72)="(EMPTY)"))&gt;0,IFERROR(('Final Calculation Sheet'!$L$40)&amp;"","")="",ISNUMBER(SEARCH($AS$72:$AZ$72,IFERROR(('Final Calculation Sheet'!$L$40)&amp;"","")))))&gt;0),IF(COUNTIF($BI$72:$BP$72,2)=0,TRUE,SUMPRODUCT(($BI$72:$BP$72=2)*($AS$72:$AZ$72&lt;&gt;"")*IF(((UPPER($AS$72:$AZ$72)="BLANK")+(UPPER($AS$72:$AZ$72)="(BLANK)")+(UPPER($AS$72:$AZ$72)="EMPTY")+(UPPER($AS$72:$AZ$72)="(EMPTY)"))&gt;0,IFERROR(('Final Calculation Sheet'!$L$40)&amp;"","")="",ISNUMBER(SEARCH($AS$72:$AZ$72,IFERROR(('Final Calculation Sheet'!$L$40)&amp;"","")))))&gt;0),IF(COUNTIF($BI$72:$BP$72,3)=0,TRUE,SUMPRODUCT(($BI$72:$BP$72=3)*($AS$72:$AZ$72&lt;&gt;"")*IF(((UPPER($AS$72:$AZ$72)="BLANK")+(UPPER($AS$72:$AZ$72)="(BLANK)")+(UPPER($AS$72:$AZ$72)="EMPTY")+(UPPER($AS$72:$AZ$72)="(EMPTY)"))&gt;0,IFERROR(('Final Calculation Sheet'!$L$40)&amp;"","")="",ISNUMBER(SEARCH($AS$72:$AZ$72,IFERROR(('Final Calculation Sheet'!$L$40)&amp;"","")))))&gt;0),IF(COUNTIF($BI$72:$BP$72,4)=0,TRUE,SUMPRODUCT(($BI$72:$BP$72=4)*($AS$72:$AZ$72&lt;&gt;"")*IF(((UPPER($AS$72:$AZ$72)="BLANK")+(UPPER($AS$72:$AZ$72)="(BLANK)")+(UPPER($AS$72:$AZ$72)="EMPTY")+(UPPER($AS$72:$AZ$72)="(EMPTY)"))&gt;0,IFERROR(('Final Calculation Sheet'!$L$40)&amp;"","")="",ISNUMBER(SEARCH($AS$72:$AZ$72,IFERROR(('Final Calculation Sheet'!$L$40)&amp;"","")))))&gt;0),IF(COUNTIF($BI$72:$BP$72,5)=0,TRUE,SUMPRODUCT(($BI$72:$BP$72=5)*($AS$72:$AZ$72&lt;&gt;"")*IF(((UPPER($AS$72:$AZ$72)="BLANK")+(UPPER($AS$72:$AZ$72)="(BLANK)")+(UPPER($AS$72:$AZ$72)="EMPTY")+(UPPER($AS$72:$AZ$72)="(EMPTY)"))&gt;0,IFERROR(('Final Calculation Sheet'!$L$40)&amp;"","")="",ISNUMBER(SEARCH($AS$72:$AZ$72,IFERROR(('Final Calculation Sheet'!$L$40)&amp;"","")))))&gt;0),IF(COUNTIF($BI$72:$BP$72,6)=0,TRUE,SUMPRODUCT(($BI$72:$BP$72=6)*($AS$72:$AZ$72&lt;&gt;"")*IF(((UPPER($AS$72:$AZ$72)="BLANK")+(UPPER($AS$72:$AZ$72)="(BLANK)")+(UPPER($AS$72:$AZ$72)="EMPTY")+(UPPER($AS$72:$AZ$72)="(EMPTY)"))&gt;0,IFERROR(('Final Calculation Sheet'!$L$40)&amp;"","")="",ISNUMBER(SEARCH($AS$72:$AZ$72,IFERROR(('Final Calculation Sheet'!$L$40)&amp;"","")))))&gt;0),IF(COUNTIF($BI$72:$BP$72,7)=0,TRUE,SUMPRODUCT(($BI$72:$BP$72=7)*($AS$72:$AZ$72&lt;&gt;"")*IF(((UPPER($AS$72:$AZ$72)="BLANK")+(UPPER($AS$72:$AZ$72)="(BLANK)")+(UPPER($AS$72:$AZ$72)="EMPTY")+(UPPER($AS$72:$AZ$72)="(EMPTY)"))&gt;0,IFERROR(('Final Calculation Sheet'!$L$40)&amp;"","")="",ISNUMBER(SEARCH($AS$72:$AZ$72,IFERROR(('Final Calculation Sheet'!$L$40)&amp;"","")))))&gt;0),IF(COUNTIF($BI$72:$BP$72,8)=0,TRUE,SUMPRODUCT(($BI$72:$BP$72=8)*($AS$72:$AZ$72&lt;&gt;"")*IF(((UPPER($AS$72:$AZ$72)="BLANK")+(UPPER($AS$72:$AZ$72)="(BLANK)")+(UPPER($AS$72:$AZ$72)="EMPTY")+(UPPER($AS$72:$AZ$72)="(EMPTY)"))&gt;0,IFERROR(('Final Calculation Sheet'!$L$40)&amp;"","")="",ISNUMBER(SEARCH($AS$72:$AZ$72,IFERROR(('Final Calculation Sheet'!$L$40)&amp;"","")))))&gt;0))))</f>
        <v>1</v>
      </c>
      <c r="BZ41">
        <f>IF($N$4="",1,--(AND(SUMPRODUCT(--($AS$73:$AZ$73&lt;&gt;""))&gt;0,IF(COUNTIF($BI$73:$BP$73,1)=0,TRUE,SUMPRODUCT(($BI$73:$BP$73=1)*($AS$73:$AZ$73&lt;&gt;"")*IF(((UPPER($AS$73:$AZ$73)="BLANK")+(UPPER($AS$73:$AZ$73)="(BLANK)")+(UPPER($AS$73:$AZ$73)="EMPTY")+(UPPER($AS$73:$AZ$73)="(EMPTY)"))&gt;0,IFERROR(('Final Calculation Sheet'!$M$40)&amp;"","")="",ISNUMBER(SEARCH($AS$73:$AZ$73,IFERROR(('Final Calculation Sheet'!$M$40)&amp;"","")))))&gt;0),IF(COUNTIF($BI$73:$BP$73,2)=0,TRUE,SUMPRODUCT(($BI$73:$BP$73=2)*($AS$73:$AZ$73&lt;&gt;"")*IF(((UPPER($AS$73:$AZ$73)="BLANK")+(UPPER($AS$73:$AZ$73)="(BLANK)")+(UPPER($AS$73:$AZ$73)="EMPTY")+(UPPER($AS$73:$AZ$73)="(EMPTY)"))&gt;0,IFERROR(('Final Calculation Sheet'!$M$40)&amp;"","")="",ISNUMBER(SEARCH($AS$73:$AZ$73,IFERROR(('Final Calculation Sheet'!$M$40)&amp;"","")))))&gt;0),IF(COUNTIF($BI$73:$BP$73,3)=0,TRUE,SUMPRODUCT(($BI$73:$BP$73=3)*($AS$73:$AZ$73&lt;&gt;"")*IF(((UPPER($AS$73:$AZ$73)="BLANK")+(UPPER($AS$73:$AZ$73)="(BLANK)")+(UPPER($AS$73:$AZ$73)="EMPTY")+(UPPER($AS$73:$AZ$73)="(EMPTY)"))&gt;0,IFERROR(('Final Calculation Sheet'!$M$40)&amp;"","")="",ISNUMBER(SEARCH($AS$73:$AZ$73,IFERROR(('Final Calculation Sheet'!$M$40)&amp;"","")))))&gt;0),IF(COUNTIF($BI$73:$BP$73,4)=0,TRUE,SUMPRODUCT(($BI$73:$BP$73=4)*($AS$73:$AZ$73&lt;&gt;"")*IF(((UPPER($AS$73:$AZ$73)="BLANK")+(UPPER($AS$73:$AZ$73)="(BLANK)")+(UPPER($AS$73:$AZ$73)="EMPTY")+(UPPER($AS$73:$AZ$73)="(EMPTY)"))&gt;0,IFERROR(('Final Calculation Sheet'!$M$40)&amp;"","")="",ISNUMBER(SEARCH($AS$73:$AZ$73,IFERROR(('Final Calculation Sheet'!$M$40)&amp;"","")))))&gt;0),IF(COUNTIF($BI$73:$BP$73,5)=0,TRUE,SUMPRODUCT(($BI$73:$BP$73=5)*($AS$73:$AZ$73&lt;&gt;"")*IF(((UPPER($AS$73:$AZ$73)="BLANK")+(UPPER($AS$73:$AZ$73)="(BLANK)")+(UPPER($AS$73:$AZ$73)="EMPTY")+(UPPER($AS$73:$AZ$73)="(EMPTY)"))&gt;0,IFERROR(('Final Calculation Sheet'!$M$40)&amp;"","")="",ISNUMBER(SEARCH($AS$73:$AZ$73,IFERROR(('Final Calculation Sheet'!$M$40)&amp;"","")))))&gt;0),IF(COUNTIF($BI$73:$BP$73,6)=0,TRUE,SUMPRODUCT(($BI$73:$BP$73=6)*($AS$73:$AZ$73&lt;&gt;"")*IF(((UPPER($AS$73:$AZ$73)="BLANK")+(UPPER($AS$73:$AZ$73)="(BLANK)")+(UPPER($AS$73:$AZ$73)="EMPTY")+(UPPER($AS$73:$AZ$73)="(EMPTY)"))&gt;0,IFERROR(('Final Calculation Sheet'!$M$40)&amp;"","")="",ISNUMBER(SEARCH($AS$73:$AZ$73,IFERROR(('Final Calculation Sheet'!$M$40)&amp;"","")))))&gt;0),IF(COUNTIF($BI$73:$BP$73,7)=0,TRUE,SUMPRODUCT(($BI$73:$BP$73=7)*($AS$73:$AZ$73&lt;&gt;"")*IF(((UPPER($AS$73:$AZ$73)="BLANK")+(UPPER($AS$73:$AZ$73)="(BLANK)")+(UPPER($AS$73:$AZ$73)="EMPTY")+(UPPER($AS$73:$AZ$73)="(EMPTY)"))&gt;0,IFERROR(('Final Calculation Sheet'!$M$40)&amp;"","")="",ISNUMBER(SEARCH($AS$73:$AZ$73,IFERROR(('Final Calculation Sheet'!$M$40)&amp;"","")))))&gt;0),IF(COUNTIF($BI$73:$BP$73,8)=0,TRUE,SUMPRODUCT(($BI$73:$BP$73=8)*($AS$73:$AZ$73&lt;&gt;"")*IF(((UPPER($AS$73:$AZ$73)="BLANK")+(UPPER($AS$73:$AZ$73)="(BLANK)")+(UPPER($AS$73:$AZ$73)="EMPTY")+(UPPER($AS$73:$AZ$73)="(EMPTY)"))&gt;0,IFERROR(('Final Calculation Sheet'!$M$40)&amp;"","")="",ISNUMBER(SEARCH($AS$73:$AZ$73,IFERROR(('Final Calculation Sheet'!$M$40)&amp;"","")))))&gt;0))))</f>
        <v>1</v>
      </c>
      <c r="CA41">
        <f>IF($O$4="",1,--(AND(SUMPRODUCT(--($AS$74:$AZ$74&lt;&gt;""))&gt;0,IF(COUNTIF($BI$74:$BP$74,1)=0,TRUE,SUMPRODUCT(($BI$74:$BP$74=1)*($AS$74:$AZ$74&lt;&gt;"")*IF(((UPPER($AS$74:$AZ$74)="BLANK")+(UPPER($AS$74:$AZ$74)="(BLANK)")+(UPPER($AS$74:$AZ$74)="EMPTY")+(UPPER($AS$74:$AZ$74)="(EMPTY)"))&gt;0,IFERROR(('Final Calculation Sheet'!$N$40)&amp;"","")="",ISNUMBER(SEARCH($AS$74:$AZ$74,IFERROR(('Final Calculation Sheet'!$N$40)&amp;"","")))))&gt;0),IF(COUNTIF($BI$74:$BP$74,2)=0,TRUE,SUMPRODUCT(($BI$74:$BP$74=2)*($AS$74:$AZ$74&lt;&gt;"")*IF(((UPPER($AS$74:$AZ$74)="BLANK")+(UPPER($AS$74:$AZ$74)="(BLANK)")+(UPPER($AS$74:$AZ$74)="EMPTY")+(UPPER($AS$74:$AZ$74)="(EMPTY)"))&gt;0,IFERROR(('Final Calculation Sheet'!$N$40)&amp;"","")="",ISNUMBER(SEARCH($AS$74:$AZ$74,IFERROR(('Final Calculation Sheet'!$N$40)&amp;"","")))))&gt;0),IF(COUNTIF($BI$74:$BP$74,3)=0,TRUE,SUMPRODUCT(($BI$74:$BP$74=3)*($AS$74:$AZ$74&lt;&gt;"")*IF(((UPPER($AS$74:$AZ$74)="BLANK")+(UPPER($AS$74:$AZ$74)="(BLANK)")+(UPPER($AS$74:$AZ$74)="EMPTY")+(UPPER($AS$74:$AZ$74)="(EMPTY)"))&gt;0,IFERROR(('Final Calculation Sheet'!$N$40)&amp;"","")="",ISNUMBER(SEARCH($AS$74:$AZ$74,IFERROR(('Final Calculation Sheet'!$N$40)&amp;"","")))))&gt;0),IF(COUNTIF($BI$74:$BP$74,4)=0,TRUE,SUMPRODUCT(($BI$74:$BP$74=4)*($AS$74:$AZ$74&lt;&gt;"")*IF(((UPPER($AS$74:$AZ$74)="BLANK")+(UPPER($AS$74:$AZ$74)="(BLANK)")+(UPPER($AS$74:$AZ$74)="EMPTY")+(UPPER($AS$74:$AZ$74)="(EMPTY)"))&gt;0,IFERROR(('Final Calculation Sheet'!$N$40)&amp;"","")="",ISNUMBER(SEARCH($AS$74:$AZ$74,IFERROR(('Final Calculation Sheet'!$N$40)&amp;"","")))))&gt;0),IF(COUNTIF($BI$74:$BP$74,5)=0,TRUE,SUMPRODUCT(($BI$74:$BP$74=5)*($AS$74:$AZ$74&lt;&gt;"")*IF(((UPPER($AS$74:$AZ$74)="BLANK")+(UPPER($AS$74:$AZ$74)="(BLANK)")+(UPPER($AS$74:$AZ$74)="EMPTY")+(UPPER($AS$74:$AZ$74)="(EMPTY)"))&gt;0,IFERROR(('Final Calculation Sheet'!$N$40)&amp;"","")="",ISNUMBER(SEARCH($AS$74:$AZ$74,IFERROR(('Final Calculation Sheet'!$N$40)&amp;"","")))))&gt;0),IF(COUNTIF($BI$74:$BP$74,6)=0,TRUE,SUMPRODUCT(($BI$74:$BP$74=6)*($AS$74:$AZ$74&lt;&gt;"")*IF(((UPPER($AS$74:$AZ$74)="BLANK")+(UPPER($AS$74:$AZ$74)="(BLANK)")+(UPPER($AS$74:$AZ$74)="EMPTY")+(UPPER($AS$74:$AZ$74)="(EMPTY)"))&gt;0,IFERROR(('Final Calculation Sheet'!$N$40)&amp;"","")="",ISNUMBER(SEARCH($AS$74:$AZ$74,IFERROR(('Final Calculation Sheet'!$N$40)&amp;"","")))))&gt;0),IF(COUNTIF($BI$74:$BP$74,7)=0,TRUE,SUMPRODUCT(($BI$74:$BP$74=7)*($AS$74:$AZ$74&lt;&gt;"")*IF(((UPPER($AS$74:$AZ$74)="BLANK")+(UPPER($AS$74:$AZ$74)="(BLANK)")+(UPPER($AS$74:$AZ$74)="EMPTY")+(UPPER($AS$74:$AZ$74)="(EMPTY)"))&gt;0,IFERROR(('Final Calculation Sheet'!$N$40)&amp;"","")="",ISNUMBER(SEARCH($AS$74:$AZ$74,IFERROR(('Final Calculation Sheet'!$N$40)&amp;"","")))))&gt;0),IF(COUNTIF($BI$74:$BP$74,8)=0,TRUE,SUMPRODUCT(($BI$74:$BP$74=8)*($AS$74:$AZ$74&lt;&gt;"")*IF(((UPPER($AS$74:$AZ$74)="BLANK")+(UPPER($AS$74:$AZ$74)="(BLANK)")+(UPPER($AS$74:$AZ$74)="EMPTY")+(UPPER($AS$74:$AZ$74)="(EMPTY)"))&gt;0,IFERROR(('Final Calculation Sheet'!$N$40)&amp;"","")="",ISNUMBER(SEARCH($AS$74:$AZ$74,IFERROR(('Final Calculation Sheet'!$N$40)&amp;"","")))))&gt;0))))</f>
        <v>1</v>
      </c>
      <c r="CB41">
        <f>IF($P$4="",1,--(AND(SUMPRODUCT(--($AS$75:$AZ$75&lt;&gt;""))&gt;0,IF(COUNTIF($BI$75:$BP$75,1)=0,TRUE,SUMPRODUCT(($BI$75:$BP$75=1)*($AS$75:$AZ$75&lt;&gt;"")*IF(((UPPER($AS$75:$AZ$75)="BLANK")+(UPPER($AS$75:$AZ$75)="(BLANK)")+(UPPER($AS$75:$AZ$75)="EMPTY")+(UPPER($AS$75:$AZ$75)="(EMPTY)"))&gt;0,IFERROR(('Final Calculation Sheet'!$O$40)&amp;"","")="",ISNUMBER(SEARCH($AS$75:$AZ$75,IFERROR(('Final Calculation Sheet'!$O$40)&amp;"","")))))&gt;0),IF(COUNTIF($BI$75:$BP$75,2)=0,TRUE,SUMPRODUCT(($BI$75:$BP$75=2)*($AS$75:$AZ$75&lt;&gt;"")*IF(((UPPER($AS$75:$AZ$75)="BLANK")+(UPPER($AS$75:$AZ$75)="(BLANK)")+(UPPER($AS$75:$AZ$75)="EMPTY")+(UPPER($AS$75:$AZ$75)="(EMPTY)"))&gt;0,IFERROR(('Final Calculation Sheet'!$O$40)&amp;"","")="",ISNUMBER(SEARCH($AS$75:$AZ$75,IFERROR(('Final Calculation Sheet'!$O$40)&amp;"","")))))&gt;0),IF(COUNTIF($BI$75:$BP$75,3)=0,TRUE,SUMPRODUCT(($BI$75:$BP$75=3)*($AS$75:$AZ$75&lt;&gt;"")*IF(((UPPER($AS$75:$AZ$75)="BLANK")+(UPPER($AS$75:$AZ$75)="(BLANK)")+(UPPER($AS$75:$AZ$75)="EMPTY")+(UPPER($AS$75:$AZ$75)="(EMPTY)"))&gt;0,IFERROR(('Final Calculation Sheet'!$O$40)&amp;"","")="",ISNUMBER(SEARCH($AS$75:$AZ$75,IFERROR(('Final Calculation Sheet'!$O$40)&amp;"","")))))&gt;0),IF(COUNTIF($BI$75:$BP$75,4)=0,TRUE,SUMPRODUCT(($BI$75:$BP$75=4)*($AS$75:$AZ$75&lt;&gt;"")*IF(((UPPER($AS$75:$AZ$75)="BLANK")+(UPPER($AS$75:$AZ$75)="(BLANK)")+(UPPER($AS$75:$AZ$75)="EMPTY")+(UPPER($AS$75:$AZ$75)="(EMPTY)"))&gt;0,IFERROR(('Final Calculation Sheet'!$O$40)&amp;"","")="",ISNUMBER(SEARCH($AS$75:$AZ$75,IFERROR(('Final Calculation Sheet'!$O$40)&amp;"","")))))&gt;0),IF(COUNTIF($BI$75:$BP$75,5)=0,TRUE,SUMPRODUCT(($BI$75:$BP$75=5)*($AS$75:$AZ$75&lt;&gt;"")*IF(((UPPER($AS$75:$AZ$75)="BLANK")+(UPPER($AS$75:$AZ$75)="(BLANK)")+(UPPER($AS$75:$AZ$75)="EMPTY")+(UPPER($AS$75:$AZ$75)="(EMPTY)"))&gt;0,IFERROR(('Final Calculation Sheet'!$O$40)&amp;"","")="",ISNUMBER(SEARCH($AS$75:$AZ$75,IFERROR(('Final Calculation Sheet'!$O$40)&amp;"","")))))&gt;0),IF(COUNTIF($BI$75:$BP$75,6)=0,TRUE,SUMPRODUCT(($BI$75:$BP$75=6)*($AS$75:$AZ$75&lt;&gt;"")*IF(((UPPER($AS$75:$AZ$75)="BLANK")+(UPPER($AS$75:$AZ$75)="(BLANK)")+(UPPER($AS$75:$AZ$75)="EMPTY")+(UPPER($AS$75:$AZ$75)="(EMPTY)"))&gt;0,IFERROR(('Final Calculation Sheet'!$O$40)&amp;"","")="",ISNUMBER(SEARCH($AS$75:$AZ$75,IFERROR(('Final Calculation Sheet'!$O$40)&amp;"","")))))&gt;0),IF(COUNTIF($BI$75:$BP$75,7)=0,TRUE,SUMPRODUCT(($BI$75:$BP$75=7)*($AS$75:$AZ$75&lt;&gt;"")*IF(((UPPER($AS$75:$AZ$75)="BLANK")+(UPPER($AS$75:$AZ$75)="(BLANK)")+(UPPER($AS$75:$AZ$75)="EMPTY")+(UPPER($AS$75:$AZ$75)="(EMPTY)"))&gt;0,IFERROR(('Final Calculation Sheet'!$O$40)&amp;"","")="",ISNUMBER(SEARCH($AS$75:$AZ$75,IFERROR(('Final Calculation Sheet'!$O$40)&amp;"","")))))&gt;0),IF(COUNTIF($BI$75:$BP$75,8)=0,TRUE,SUMPRODUCT(($BI$75:$BP$75=8)*($AS$75:$AZ$75&lt;&gt;"")*IF(((UPPER($AS$75:$AZ$75)="BLANK")+(UPPER($AS$75:$AZ$75)="(BLANK)")+(UPPER($AS$75:$AZ$75)="EMPTY")+(UPPER($AS$75:$AZ$75)="(EMPTY)"))&gt;0,IFERROR(('Final Calculation Sheet'!$O$40)&amp;"","")="",ISNUMBER(SEARCH($AS$75:$AZ$75,IFERROR(('Final Calculation Sheet'!$O$40)&amp;"","")))))&gt;0))))</f>
        <v>1</v>
      </c>
      <c r="CC41">
        <f>IF($Q$4="",1,--(AND(SUMPRODUCT(--($AS$76:$AZ$76&lt;&gt;""))&gt;0,IF(COUNTIF($BI$76:$BP$76,1)=0,TRUE,SUMPRODUCT(($BI$76:$BP$76=1)*($AS$76:$AZ$76&lt;&gt;"")*IF(((UPPER($AS$76:$AZ$76)="BLANK")+(UPPER($AS$76:$AZ$76)="(BLANK)")+(UPPER($AS$76:$AZ$76)="EMPTY")+(UPPER($AS$76:$AZ$76)="(EMPTY)"))&gt;0,IFERROR(('Final Calculation Sheet'!$P$40)&amp;"","")="",ISNUMBER(SEARCH($AS$76:$AZ$76,IFERROR(('Final Calculation Sheet'!$P$40)&amp;"","")))))&gt;0),IF(COUNTIF($BI$76:$BP$76,2)=0,TRUE,SUMPRODUCT(($BI$76:$BP$76=2)*($AS$76:$AZ$76&lt;&gt;"")*IF(((UPPER($AS$76:$AZ$76)="BLANK")+(UPPER($AS$76:$AZ$76)="(BLANK)")+(UPPER($AS$76:$AZ$76)="EMPTY")+(UPPER($AS$76:$AZ$76)="(EMPTY)"))&gt;0,IFERROR(('Final Calculation Sheet'!$P$40)&amp;"","")="",ISNUMBER(SEARCH($AS$76:$AZ$76,IFERROR(('Final Calculation Sheet'!$P$40)&amp;"","")))))&gt;0),IF(COUNTIF($BI$76:$BP$76,3)=0,TRUE,SUMPRODUCT(($BI$76:$BP$76=3)*($AS$76:$AZ$76&lt;&gt;"")*IF(((UPPER($AS$76:$AZ$76)="BLANK")+(UPPER($AS$76:$AZ$76)="(BLANK)")+(UPPER($AS$76:$AZ$76)="EMPTY")+(UPPER($AS$76:$AZ$76)="(EMPTY)"))&gt;0,IFERROR(('Final Calculation Sheet'!$P$40)&amp;"","")="",ISNUMBER(SEARCH($AS$76:$AZ$76,IFERROR(('Final Calculation Sheet'!$P$40)&amp;"","")))))&gt;0),IF(COUNTIF($BI$76:$BP$76,4)=0,TRUE,SUMPRODUCT(($BI$76:$BP$76=4)*($AS$76:$AZ$76&lt;&gt;"")*IF(((UPPER($AS$76:$AZ$76)="BLANK")+(UPPER($AS$76:$AZ$76)="(BLANK)")+(UPPER($AS$76:$AZ$76)="EMPTY")+(UPPER($AS$76:$AZ$76)="(EMPTY)"))&gt;0,IFERROR(('Final Calculation Sheet'!$P$40)&amp;"","")="",ISNUMBER(SEARCH($AS$76:$AZ$76,IFERROR(('Final Calculation Sheet'!$P$40)&amp;"","")))))&gt;0),IF(COUNTIF($BI$76:$BP$76,5)=0,TRUE,SUMPRODUCT(($BI$76:$BP$76=5)*($AS$76:$AZ$76&lt;&gt;"")*IF(((UPPER($AS$76:$AZ$76)="BLANK")+(UPPER($AS$76:$AZ$76)="(BLANK)")+(UPPER($AS$76:$AZ$76)="EMPTY")+(UPPER($AS$76:$AZ$76)="(EMPTY)"))&gt;0,IFERROR(('Final Calculation Sheet'!$P$40)&amp;"","")="",ISNUMBER(SEARCH($AS$76:$AZ$76,IFERROR(('Final Calculation Sheet'!$P$40)&amp;"","")))))&gt;0),IF(COUNTIF($BI$76:$BP$76,6)=0,TRUE,SUMPRODUCT(($BI$76:$BP$76=6)*($AS$76:$AZ$76&lt;&gt;"")*IF(((UPPER($AS$76:$AZ$76)="BLANK")+(UPPER($AS$76:$AZ$76)="(BLANK)")+(UPPER($AS$76:$AZ$76)="EMPTY")+(UPPER($AS$76:$AZ$76)="(EMPTY)"))&gt;0,IFERROR(('Final Calculation Sheet'!$P$40)&amp;"","")="",ISNUMBER(SEARCH($AS$76:$AZ$76,IFERROR(('Final Calculation Sheet'!$P$40)&amp;"","")))))&gt;0),IF(COUNTIF($BI$76:$BP$76,7)=0,TRUE,SUMPRODUCT(($BI$76:$BP$76=7)*($AS$76:$AZ$76&lt;&gt;"")*IF(((UPPER($AS$76:$AZ$76)="BLANK")+(UPPER($AS$76:$AZ$76)="(BLANK)")+(UPPER($AS$76:$AZ$76)="EMPTY")+(UPPER($AS$76:$AZ$76)="(EMPTY)"))&gt;0,IFERROR(('Final Calculation Sheet'!$P$40)&amp;"","")="",ISNUMBER(SEARCH($AS$76:$AZ$76,IFERROR(('Final Calculation Sheet'!$P$40)&amp;"","")))))&gt;0),IF(COUNTIF($BI$76:$BP$76,8)=0,TRUE,SUMPRODUCT(($BI$76:$BP$76=8)*($AS$76:$AZ$76&lt;&gt;"")*IF(((UPPER($AS$76:$AZ$76)="BLANK")+(UPPER($AS$76:$AZ$76)="(BLANK)")+(UPPER($AS$76:$AZ$76)="EMPTY")+(UPPER($AS$76:$AZ$76)="(EMPTY)"))&gt;0,IFERROR(('Final Calculation Sheet'!$P$40)&amp;"","")="",ISNUMBER(SEARCH($AS$76:$AZ$76,IFERROR(('Final Calculation Sheet'!$P$40)&amp;"","")))))&gt;0))))</f>
        <v>1</v>
      </c>
      <c r="CD41">
        <f>IF($R$4="",1,--(AND(SUMPRODUCT(--($AS$77:$AZ$77&lt;&gt;""))&gt;0,IF(COUNTIF($BI$77:$BP$77,1)=0,TRUE,SUMPRODUCT(($BI$77:$BP$77=1)*($AS$77:$AZ$77&lt;&gt;"")*IF(((UPPER($AS$77:$AZ$77)="BLANK")+(UPPER($AS$77:$AZ$77)="(BLANK)")+(UPPER($AS$77:$AZ$77)="EMPTY")+(UPPER($AS$77:$AZ$77)="(EMPTY)"))&gt;0,IFERROR(('Final Calculation Sheet'!$Q$40)&amp;"","")="",ISNUMBER(SEARCH($AS$77:$AZ$77,IFERROR(('Final Calculation Sheet'!$Q$40)&amp;"","")))))&gt;0),IF(COUNTIF($BI$77:$BP$77,2)=0,TRUE,SUMPRODUCT(($BI$77:$BP$77=2)*($AS$77:$AZ$77&lt;&gt;"")*IF(((UPPER($AS$77:$AZ$77)="BLANK")+(UPPER($AS$77:$AZ$77)="(BLANK)")+(UPPER($AS$77:$AZ$77)="EMPTY")+(UPPER($AS$77:$AZ$77)="(EMPTY)"))&gt;0,IFERROR(('Final Calculation Sheet'!$Q$40)&amp;"","")="",ISNUMBER(SEARCH($AS$77:$AZ$77,IFERROR(('Final Calculation Sheet'!$Q$40)&amp;"","")))))&gt;0),IF(COUNTIF($BI$77:$BP$77,3)=0,TRUE,SUMPRODUCT(($BI$77:$BP$77=3)*($AS$77:$AZ$77&lt;&gt;"")*IF(((UPPER($AS$77:$AZ$77)="BLANK")+(UPPER($AS$77:$AZ$77)="(BLANK)")+(UPPER($AS$77:$AZ$77)="EMPTY")+(UPPER($AS$77:$AZ$77)="(EMPTY)"))&gt;0,IFERROR(('Final Calculation Sheet'!$Q$40)&amp;"","")="",ISNUMBER(SEARCH($AS$77:$AZ$77,IFERROR(('Final Calculation Sheet'!$Q$40)&amp;"","")))))&gt;0),IF(COUNTIF($BI$77:$BP$77,4)=0,TRUE,SUMPRODUCT(($BI$77:$BP$77=4)*($AS$77:$AZ$77&lt;&gt;"")*IF(((UPPER($AS$77:$AZ$77)="BLANK")+(UPPER($AS$77:$AZ$77)="(BLANK)")+(UPPER($AS$77:$AZ$77)="EMPTY")+(UPPER($AS$77:$AZ$77)="(EMPTY)"))&gt;0,IFERROR(('Final Calculation Sheet'!$Q$40)&amp;"","")="",ISNUMBER(SEARCH($AS$77:$AZ$77,IFERROR(('Final Calculation Sheet'!$Q$40)&amp;"","")))))&gt;0),IF(COUNTIF($BI$77:$BP$77,5)=0,TRUE,SUMPRODUCT(($BI$77:$BP$77=5)*($AS$77:$AZ$77&lt;&gt;"")*IF(((UPPER($AS$77:$AZ$77)="BLANK")+(UPPER($AS$77:$AZ$77)="(BLANK)")+(UPPER($AS$77:$AZ$77)="EMPTY")+(UPPER($AS$77:$AZ$77)="(EMPTY)"))&gt;0,IFERROR(('Final Calculation Sheet'!$Q$40)&amp;"","")="",ISNUMBER(SEARCH($AS$77:$AZ$77,IFERROR(('Final Calculation Sheet'!$Q$40)&amp;"","")))))&gt;0),IF(COUNTIF($BI$77:$BP$77,6)=0,TRUE,SUMPRODUCT(($BI$77:$BP$77=6)*($AS$77:$AZ$77&lt;&gt;"")*IF(((UPPER($AS$77:$AZ$77)="BLANK")+(UPPER($AS$77:$AZ$77)="(BLANK)")+(UPPER($AS$77:$AZ$77)="EMPTY")+(UPPER($AS$77:$AZ$77)="(EMPTY)"))&gt;0,IFERROR(('Final Calculation Sheet'!$Q$40)&amp;"","")="",ISNUMBER(SEARCH($AS$77:$AZ$77,IFERROR(('Final Calculation Sheet'!$Q$40)&amp;"","")))))&gt;0),IF(COUNTIF($BI$77:$BP$77,7)=0,TRUE,SUMPRODUCT(($BI$77:$BP$77=7)*($AS$77:$AZ$77&lt;&gt;"")*IF(((UPPER($AS$77:$AZ$77)="BLANK")+(UPPER($AS$77:$AZ$77)="(BLANK)")+(UPPER($AS$77:$AZ$77)="EMPTY")+(UPPER($AS$77:$AZ$77)="(EMPTY)"))&gt;0,IFERROR(('Final Calculation Sheet'!$Q$40)&amp;"","")="",ISNUMBER(SEARCH($AS$77:$AZ$77,IFERROR(('Final Calculation Sheet'!$Q$40)&amp;"","")))))&gt;0),IF(COUNTIF($BI$77:$BP$77,8)=0,TRUE,SUMPRODUCT(($BI$77:$BP$77=8)*($AS$77:$AZ$77&lt;&gt;"")*IF(((UPPER($AS$77:$AZ$77)="BLANK")+(UPPER($AS$77:$AZ$77)="(BLANK)")+(UPPER($AS$77:$AZ$77)="EMPTY")+(UPPER($AS$77:$AZ$77)="(EMPTY)"))&gt;0,IFERROR(('Final Calculation Sheet'!$Q$40)&amp;"","")="",ISNUMBER(SEARCH($AS$77:$AZ$77,IFERROR(('Final Calculation Sheet'!$Q$40)&amp;"","")))))&gt;0))))</f>
        <v>1</v>
      </c>
      <c r="CE41">
        <f>IF($S$4="",1,--(AND(SUMPRODUCT(--($AS$78:$AZ$78&lt;&gt;""))&gt;0,IF(COUNTIF($BI$78:$BP$78,1)=0,TRUE,SUMPRODUCT(($BI$78:$BP$78=1)*($AS$78:$AZ$78&lt;&gt;"")*IF(((UPPER($AS$78:$AZ$78)="BLANK")+(UPPER($AS$78:$AZ$78)="(BLANK)")+(UPPER($AS$78:$AZ$78)="EMPTY")+(UPPER($AS$78:$AZ$78)="(EMPTY)"))&gt;0,IFERROR(('Final Calculation Sheet'!$R$40)&amp;"","")="",ISNUMBER(SEARCH($AS$78:$AZ$78,IFERROR(('Final Calculation Sheet'!$R$40)&amp;"","")))))&gt;0),IF(COUNTIF($BI$78:$BP$78,2)=0,TRUE,SUMPRODUCT(($BI$78:$BP$78=2)*($AS$78:$AZ$78&lt;&gt;"")*IF(((UPPER($AS$78:$AZ$78)="BLANK")+(UPPER($AS$78:$AZ$78)="(BLANK)")+(UPPER($AS$78:$AZ$78)="EMPTY")+(UPPER($AS$78:$AZ$78)="(EMPTY)"))&gt;0,IFERROR(('Final Calculation Sheet'!$R$40)&amp;"","")="",ISNUMBER(SEARCH($AS$78:$AZ$78,IFERROR(('Final Calculation Sheet'!$R$40)&amp;"","")))))&gt;0),IF(COUNTIF($BI$78:$BP$78,3)=0,TRUE,SUMPRODUCT(($BI$78:$BP$78=3)*($AS$78:$AZ$78&lt;&gt;"")*IF(((UPPER($AS$78:$AZ$78)="BLANK")+(UPPER($AS$78:$AZ$78)="(BLANK)")+(UPPER($AS$78:$AZ$78)="EMPTY")+(UPPER($AS$78:$AZ$78)="(EMPTY)"))&gt;0,IFERROR(('Final Calculation Sheet'!$R$40)&amp;"","")="",ISNUMBER(SEARCH($AS$78:$AZ$78,IFERROR(('Final Calculation Sheet'!$R$40)&amp;"","")))))&gt;0),IF(COUNTIF($BI$78:$BP$78,4)=0,TRUE,SUMPRODUCT(($BI$78:$BP$78=4)*($AS$78:$AZ$78&lt;&gt;"")*IF(((UPPER($AS$78:$AZ$78)="BLANK")+(UPPER($AS$78:$AZ$78)="(BLANK)")+(UPPER($AS$78:$AZ$78)="EMPTY")+(UPPER($AS$78:$AZ$78)="(EMPTY)"))&gt;0,IFERROR(('Final Calculation Sheet'!$R$40)&amp;"","")="",ISNUMBER(SEARCH($AS$78:$AZ$78,IFERROR(('Final Calculation Sheet'!$R$40)&amp;"","")))))&gt;0),IF(COUNTIF($BI$78:$BP$78,5)=0,TRUE,SUMPRODUCT(($BI$78:$BP$78=5)*($AS$78:$AZ$78&lt;&gt;"")*IF(((UPPER($AS$78:$AZ$78)="BLANK")+(UPPER($AS$78:$AZ$78)="(BLANK)")+(UPPER($AS$78:$AZ$78)="EMPTY")+(UPPER($AS$78:$AZ$78)="(EMPTY)"))&gt;0,IFERROR(('Final Calculation Sheet'!$R$40)&amp;"","")="",ISNUMBER(SEARCH($AS$78:$AZ$78,IFERROR(('Final Calculation Sheet'!$R$40)&amp;"","")))))&gt;0),IF(COUNTIF($BI$78:$BP$78,6)=0,TRUE,SUMPRODUCT(($BI$78:$BP$78=6)*($AS$78:$AZ$78&lt;&gt;"")*IF(((UPPER($AS$78:$AZ$78)="BLANK")+(UPPER($AS$78:$AZ$78)="(BLANK)")+(UPPER($AS$78:$AZ$78)="EMPTY")+(UPPER($AS$78:$AZ$78)="(EMPTY)"))&gt;0,IFERROR(('Final Calculation Sheet'!$R$40)&amp;"","")="",ISNUMBER(SEARCH($AS$78:$AZ$78,IFERROR(('Final Calculation Sheet'!$R$40)&amp;"","")))))&gt;0),IF(COUNTIF($BI$78:$BP$78,7)=0,TRUE,SUMPRODUCT(($BI$78:$BP$78=7)*($AS$78:$AZ$78&lt;&gt;"")*IF(((UPPER($AS$78:$AZ$78)="BLANK")+(UPPER($AS$78:$AZ$78)="(BLANK)")+(UPPER($AS$78:$AZ$78)="EMPTY")+(UPPER($AS$78:$AZ$78)="(EMPTY)"))&gt;0,IFERROR(('Final Calculation Sheet'!$R$40)&amp;"","")="",ISNUMBER(SEARCH($AS$78:$AZ$78,IFERROR(('Final Calculation Sheet'!$R$40)&amp;"","")))))&gt;0),IF(COUNTIF($BI$78:$BP$78,8)=0,TRUE,SUMPRODUCT(($BI$78:$BP$78=8)*($AS$78:$AZ$78&lt;&gt;"")*IF(((UPPER($AS$78:$AZ$78)="BLANK")+(UPPER($AS$78:$AZ$78)="(BLANK)")+(UPPER($AS$78:$AZ$78)="EMPTY")+(UPPER($AS$78:$AZ$78)="(EMPTY)"))&gt;0,IFERROR(('Final Calculation Sheet'!$R$40)&amp;"","")="",ISNUMBER(SEARCH($AS$78:$AZ$78,IFERROR(('Final Calculation Sheet'!$R$40)&amp;"","")))))&gt;0))))</f>
        <v>1</v>
      </c>
      <c r="CF41">
        <f>IF($T$4="",1,--(AND(SUMPRODUCT(--($AS$79:$AZ$79&lt;&gt;""))&gt;0,IF(COUNTIF($BI$79:$BP$79,1)=0,TRUE,SUMPRODUCT(($BI$79:$BP$79=1)*($AS$79:$AZ$79&lt;&gt;"")*IF(((UPPER($AS$79:$AZ$79)="BLANK")+(UPPER($AS$79:$AZ$79)="(BLANK)")+(UPPER($AS$79:$AZ$79)="EMPTY")+(UPPER($AS$79:$AZ$79)="(EMPTY)"))&gt;0,IFERROR(('Final Calculation Sheet'!$S$40)&amp;"","")="",ISNUMBER(SEARCH($AS$79:$AZ$79,IFERROR(('Final Calculation Sheet'!$S$40)&amp;"","")))))&gt;0),IF(COUNTIF($BI$79:$BP$79,2)=0,TRUE,SUMPRODUCT(($BI$79:$BP$79=2)*($AS$79:$AZ$79&lt;&gt;"")*IF(((UPPER($AS$79:$AZ$79)="BLANK")+(UPPER($AS$79:$AZ$79)="(BLANK)")+(UPPER($AS$79:$AZ$79)="EMPTY")+(UPPER($AS$79:$AZ$79)="(EMPTY)"))&gt;0,IFERROR(('Final Calculation Sheet'!$S$40)&amp;"","")="",ISNUMBER(SEARCH($AS$79:$AZ$79,IFERROR(('Final Calculation Sheet'!$S$40)&amp;"","")))))&gt;0),IF(COUNTIF($BI$79:$BP$79,3)=0,TRUE,SUMPRODUCT(($BI$79:$BP$79=3)*($AS$79:$AZ$79&lt;&gt;"")*IF(((UPPER($AS$79:$AZ$79)="BLANK")+(UPPER($AS$79:$AZ$79)="(BLANK)")+(UPPER($AS$79:$AZ$79)="EMPTY")+(UPPER($AS$79:$AZ$79)="(EMPTY)"))&gt;0,IFERROR(('Final Calculation Sheet'!$S$40)&amp;"","")="",ISNUMBER(SEARCH($AS$79:$AZ$79,IFERROR(('Final Calculation Sheet'!$S$40)&amp;"","")))))&gt;0),IF(COUNTIF($BI$79:$BP$79,4)=0,TRUE,SUMPRODUCT(($BI$79:$BP$79=4)*($AS$79:$AZ$79&lt;&gt;"")*IF(((UPPER($AS$79:$AZ$79)="BLANK")+(UPPER($AS$79:$AZ$79)="(BLANK)")+(UPPER($AS$79:$AZ$79)="EMPTY")+(UPPER($AS$79:$AZ$79)="(EMPTY)"))&gt;0,IFERROR(('Final Calculation Sheet'!$S$40)&amp;"","")="",ISNUMBER(SEARCH($AS$79:$AZ$79,IFERROR(('Final Calculation Sheet'!$S$40)&amp;"","")))))&gt;0),IF(COUNTIF($BI$79:$BP$79,5)=0,TRUE,SUMPRODUCT(($BI$79:$BP$79=5)*($AS$79:$AZ$79&lt;&gt;"")*IF(((UPPER($AS$79:$AZ$79)="BLANK")+(UPPER($AS$79:$AZ$79)="(BLANK)")+(UPPER($AS$79:$AZ$79)="EMPTY")+(UPPER($AS$79:$AZ$79)="(EMPTY)"))&gt;0,IFERROR(('Final Calculation Sheet'!$S$40)&amp;"","")="",ISNUMBER(SEARCH($AS$79:$AZ$79,IFERROR(('Final Calculation Sheet'!$S$40)&amp;"","")))))&gt;0),IF(COUNTIF($BI$79:$BP$79,6)=0,TRUE,SUMPRODUCT(($BI$79:$BP$79=6)*($AS$79:$AZ$79&lt;&gt;"")*IF(((UPPER($AS$79:$AZ$79)="BLANK")+(UPPER($AS$79:$AZ$79)="(BLANK)")+(UPPER($AS$79:$AZ$79)="EMPTY")+(UPPER($AS$79:$AZ$79)="(EMPTY)"))&gt;0,IFERROR(('Final Calculation Sheet'!$S$40)&amp;"","")="",ISNUMBER(SEARCH($AS$79:$AZ$79,IFERROR(('Final Calculation Sheet'!$S$40)&amp;"","")))))&gt;0),IF(COUNTIF($BI$79:$BP$79,7)=0,TRUE,SUMPRODUCT(($BI$79:$BP$79=7)*($AS$79:$AZ$79&lt;&gt;"")*IF(((UPPER($AS$79:$AZ$79)="BLANK")+(UPPER($AS$79:$AZ$79)="(BLANK)")+(UPPER($AS$79:$AZ$79)="EMPTY")+(UPPER($AS$79:$AZ$79)="(EMPTY)"))&gt;0,IFERROR(('Final Calculation Sheet'!$S$40)&amp;"","")="",ISNUMBER(SEARCH($AS$79:$AZ$79,IFERROR(('Final Calculation Sheet'!$S$40)&amp;"","")))))&gt;0),IF(COUNTIF($BI$79:$BP$79,8)=0,TRUE,SUMPRODUCT(($BI$79:$BP$79=8)*($AS$79:$AZ$79&lt;&gt;"")*IF(((UPPER($AS$79:$AZ$79)="BLANK")+(UPPER($AS$79:$AZ$79)="(BLANK)")+(UPPER($AS$79:$AZ$79)="EMPTY")+(UPPER($AS$79:$AZ$79)="(EMPTY)"))&gt;0,IFERROR(('Final Calculation Sheet'!$S$40)&amp;"","")="",ISNUMBER(SEARCH($AS$79:$AZ$79,IFERROR(('Final Calculation Sheet'!$S$40)&amp;"","")))))&gt;0))))</f>
        <v>1</v>
      </c>
      <c r="CG41">
        <f>IF($U$4="",1,--(AND(SUMPRODUCT(--($AS$80:$AZ$80&lt;&gt;""))&gt;0,IF(COUNTIF($BI$80:$BP$80,1)=0,TRUE,SUMPRODUCT(($BI$80:$BP$80=1)*($AS$80:$AZ$80&lt;&gt;"")*IF(((UPPER($AS$80:$AZ$80)="BLANK")+(UPPER($AS$80:$AZ$80)="(BLANK)")+(UPPER($AS$80:$AZ$80)="EMPTY")+(UPPER($AS$80:$AZ$80)="(EMPTY)"))&gt;0,IFERROR(('Final Calculation Sheet'!$T$40)&amp;"","")="",ISNUMBER(SEARCH($AS$80:$AZ$80,IFERROR(('Final Calculation Sheet'!$T$40)&amp;"","")))))&gt;0),IF(COUNTIF($BI$80:$BP$80,2)=0,TRUE,SUMPRODUCT(($BI$80:$BP$80=2)*($AS$80:$AZ$80&lt;&gt;"")*IF(((UPPER($AS$80:$AZ$80)="BLANK")+(UPPER($AS$80:$AZ$80)="(BLANK)")+(UPPER($AS$80:$AZ$80)="EMPTY")+(UPPER($AS$80:$AZ$80)="(EMPTY)"))&gt;0,IFERROR(('Final Calculation Sheet'!$T$40)&amp;"","")="",ISNUMBER(SEARCH($AS$80:$AZ$80,IFERROR(('Final Calculation Sheet'!$T$40)&amp;"","")))))&gt;0),IF(COUNTIF($BI$80:$BP$80,3)=0,TRUE,SUMPRODUCT(($BI$80:$BP$80=3)*($AS$80:$AZ$80&lt;&gt;"")*IF(((UPPER($AS$80:$AZ$80)="BLANK")+(UPPER($AS$80:$AZ$80)="(BLANK)")+(UPPER($AS$80:$AZ$80)="EMPTY")+(UPPER($AS$80:$AZ$80)="(EMPTY)"))&gt;0,IFERROR(('Final Calculation Sheet'!$T$40)&amp;"","")="",ISNUMBER(SEARCH($AS$80:$AZ$80,IFERROR(('Final Calculation Sheet'!$T$40)&amp;"","")))))&gt;0),IF(COUNTIF($BI$80:$BP$80,4)=0,TRUE,SUMPRODUCT(($BI$80:$BP$80=4)*($AS$80:$AZ$80&lt;&gt;"")*IF(((UPPER($AS$80:$AZ$80)="BLANK")+(UPPER($AS$80:$AZ$80)="(BLANK)")+(UPPER($AS$80:$AZ$80)="EMPTY")+(UPPER($AS$80:$AZ$80)="(EMPTY)"))&gt;0,IFERROR(('Final Calculation Sheet'!$T$40)&amp;"","")="",ISNUMBER(SEARCH($AS$80:$AZ$80,IFERROR(('Final Calculation Sheet'!$T$40)&amp;"","")))))&gt;0),IF(COUNTIF($BI$80:$BP$80,5)=0,TRUE,SUMPRODUCT(($BI$80:$BP$80=5)*($AS$80:$AZ$80&lt;&gt;"")*IF(((UPPER($AS$80:$AZ$80)="BLANK")+(UPPER($AS$80:$AZ$80)="(BLANK)")+(UPPER($AS$80:$AZ$80)="EMPTY")+(UPPER($AS$80:$AZ$80)="(EMPTY)"))&gt;0,IFERROR(('Final Calculation Sheet'!$T$40)&amp;"","")="",ISNUMBER(SEARCH($AS$80:$AZ$80,IFERROR(('Final Calculation Sheet'!$T$40)&amp;"","")))))&gt;0),IF(COUNTIF($BI$80:$BP$80,6)=0,TRUE,SUMPRODUCT(($BI$80:$BP$80=6)*($AS$80:$AZ$80&lt;&gt;"")*IF(((UPPER($AS$80:$AZ$80)="BLANK")+(UPPER($AS$80:$AZ$80)="(BLANK)")+(UPPER($AS$80:$AZ$80)="EMPTY")+(UPPER($AS$80:$AZ$80)="(EMPTY)"))&gt;0,IFERROR(('Final Calculation Sheet'!$T$40)&amp;"","")="",ISNUMBER(SEARCH($AS$80:$AZ$80,IFERROR(('Final Calculation Sheet'!$T$40)&amp;"","")))))&gt;0),IF(COUNTIF($BI$80:$BP$80,7)=0,TRUE,SUMPRODUCT(($BI$80:$BP$80=7)*($AS$80:$AZ$80&lt;&gt;"")*IF(((UPPER($AS$80:$AZ$80)="BLANK")+(UPPER($AS$80:$AZ$80)="(BLANK)")+(UPPER($AS$80:$AZ$80)="EMPTY")+(UPPER($AS$80:$AZ$80)="(EMPTY)"))&gt;0,IFERROR(('Final Calculation Sheet'!$T$40)&amp;"","")="",ISNUMBER(SEARCH($AS$80:$AZ$80,IFERROR(('Final Calculation Sheet'!$T$40)&amp;"","")))))&gt;0),IF(COUNTIF($BI$80:$BP$80,8)=0,TRUE,SUMPRODUCT(($BI$80:$BP$80=8)*($AS$80:$AZ$80&lt;&gt;"")*IF(((UPPER($AS$80:$AZ$80)="BLANK")+(UPPER($AS$80:$AZ$80)="(BLANK)")+(UPPER($AS$80:$AZ$80)="EMPTY")+(UPPER($AS$80:$AZ$80)="(EMPTY)"))&gt;0,IFERROR(('Final Calculation Sheet'!$T$40)&amp;"","")="",ISNUMBER(SEARCH($AS$80:$AZ$80,IFERROR(('Final Calculation Sheet'!$T$40)&amp;"","")))))&gt;0))))</f>
        <v>1</v>
      </c>
      <c r="CH41">
        <f>IF($V$4="",1,--(AND(SUMPRODUCT(--($AS$81:$AZ$81&lt;&gt;""))&gt;0,IF(COUNTIF($BI$81:$BP$81,1)=0,TRUE,SUMPRODUCT(($BI$81:$BP$81=1)*($AS$81:$AZ$81&lt;&gt;"")*IF(((UPPER($AS$81:$AZ$81)="BLANK")+(UPPER($AS$81:$AZ$81)="(BLANK)")+(UPPER($AS$81:$AZ$81)="EMPTY")+(UPPER($AS$81:$AZ$81)="(EMPTY)"))&gt;0,IFERROR(('Final Calculation Sheet'!$U$40)&amp;"","")="",ISNUMBER(SEARCH($AS$81:$AZ$81,IFERROR(('Final Calculation Sheet'!$U$40)&amp;"","")))))&gt;0),IF(COUNTIF($BI$81:$BP$81,2)=0,TRUE,SUMPRODUCT(($BI$81:$BP$81=2)*($AS$81:$AZ$81&lt;&gt;"")*IF(((UPPER($AS$81:$AZ$81)="BLANK")+(UPPER($AS$81:$AZ$81)="(BLANK)")+(UPPER($AS$81:$AZ$81)="EMPTY")+(UPPER($AS$81:$AZ$81)="(EMPTY)"))&gt;0,IFERROR(('Final Calculation Sheet'!$U$40)&amp;"","")="",ISNUMBER(SEARCH($AS$81:$AZ$81,IFERROR(('Final Calculation Sheet'!$U$40)&amp;"","")))))&gt;0),IF(COUNTIF($BI$81:$BP$81,3)=0,TRUE,SUMPRODUCT(($BI$81:$BP$81=3)*($AS$81:$AZ$81&lt;&gt;"")*IF(((UPPER($AS$81:$AZ$81)="BLANK")+(UPPER($AS$81:$AZ$81)="(BLANK)")+(UPPER($AS$81:$AZ$81)="EMPTY")+(UPPER($AS$81:$AZ$81)="(EMPTY)"))&gt;0,IFERROR(('Final Calculation Sheet'!$U$40)&amp;"","")="",ISNUMBER(SEARCH($AS$81:$AZ$81,IFERROR(('Final Calculation Sheet'!$U$40)&amp;"","")))))&gt;0),IF(COUNTIF($BI$81:$BP$81,4)=0,TRUE,SUMPRODUCT(($BI$81:$BP$81=4)*($AS$81:$AZ$81&lt;&gt;"")*IF(((UPPER($AS$81:$AZ$81)="BLANK")+(UPPER($AS$81:$AZ$81)="(BLANK)")+(UPPER($AS$81:$AZ$81)="EMPTY")+(UPPER($AS$81:$AZ$81)="(EMPTY)"))&gt;0,IFERROR(('Final Calculation Sheet'!$U$40)&amp;"","")="",ISNUMBER(SEARCH($AS$81:$AZ$81,IFERROR(('Final Calculation Sheet'!$U$40)&amp;"","")))))&gt;0),IF(COUNTIF($BI$81:$BP$81,5)=0,TRUE,SUMPRODUCT(($BI$81:$BP$81=5)*($AS$81:$AZ$81&lt;&gt;"")*IF(((UPPER($AS$81:$AZ$81)="BLANK")+(UPPER($AS$81:$AZ$81)="(BLANK)")+(UPPER($AS$81:$AZ$81)="EMPTY")+(UPPER($AS$81:$AZ$81)="(EMPTY)"))&gt;0,IFERROR(('Final Calculation Sheet'!$U$40)&amp;"","")="",ISNUMBER(SEARCH($AS$81:$AZ$81,IFERROR(('Final Calculation Sheet'!$U$40)&amp;"","")))))&gt;0),IF(COUNTIF($BI$81:$BP$81,6)=0,TRUE,SUMPRODUCT(($BI$81:$BP$81=6)*($AS$81:$AZ$81&lt;&gt;"")*IF(((UPPER($AS$81:$AZ$81)="BLANK")+(UPPER($AS$81:$AZ$81)="(BLANK)")+(UPPER($AS$81:$AZ$81)="EMPTY")+(UPPER($AS$81:$AZ$81)="(EMPTY)"))&gt;0,IFERROR(('Final Calculation Sheet'!$U$40)&amp;"","")="",ISNUMBER(SEARCH($AS$81:$AZ$81,IFERROR(('Final Calculation Sheet'!$U$40)&amp;"","")))))&gt;0),IF(COUNTIF($BI$81:$BP$81,7)=0,TRUE,SUMPRODUCT(($BI$81:$BP$81=7)*($AS$81:$AZ$81&lt;&gt;"")*IF(((UPPER($AS$81:$AZ$81)="BLANK")+(UPPER($AS$81:$AZ$81)="(BLANK)")+(UPPER($AS$81:$AZ$81)="EMPTY")+(UPPER($AS$81:$AZ$81)="(EMPTY)"))&gt;0,IFERROR(('Final Calculation Sheet'!$U$40)&amp;"","")="",ISNUMBER(SEARCH($AS$81:$AZ$81,IFERROR(('Final Calculation Sheet'!$U$40)&amp;"","")))))&gt;0),IF(COUNTIF($BI$81:$BP$81,8)=0,TRUE,SUMPRODUCT(($BI$81:$BP$81=8)*($AS$81:$AZ$81&lt;&gt;"")*IF(((UPPER($AS$81:$AZ$81)="BLANK")+(UPPER($AS$81:$AZ$81)="(BLANK)")+(UPPER($AS$81:$AZ$81)="EMPTY")+(UPPER($AS$81:$AZ$81)="(EMPTY)"))&gt;0,IFERROR(('Final Calculation Sheet'!$U$40)&amp;"","")="",ISNUMBER(SEARCH($AS$81:$AZ$81,IFERROR(('Final Calculation Sheet'!$U$40)&amp;"","")))))&gt;0))))</f>
        <v>1</v>
      </c>
      <c r="CI41">
        <f>IF($W$4="",1,--(AND(SUMPRODUCT(--($AS$82:$AZ$82&lt;&gt;""))&gt;0,IF(COUNTIF($BI$82:$BP$82,1)=0,TRUE,SUMPRODUCT(($BI$82:$BP$82=1)*($AS$82:$AZ$82&lt;&gt;"")*IF(((UPPER($AS$82:$AZ$82)="BLANK")+(UPPER($AS$82:$AZ$82)="(BLANK)")+(UPPER($AS$82:$AZ$82)="EMPTY")+(UPPER($AS$82:$AZ$82)="(EMPTY)"))&gt;0,IFERROR(('Final Calculation Sheet'!$V$40)&amp;"","")="",ISNUMBER(SEARCH($AS$82:$AZ$82,IFERROR(('Final Calculation Sheet'!$V$40)&amp;"","")))))&gt;0),IF(COUNTIF($BI$82:$BP$82,2)=0,TRUE,SUMPRODUCT(($BI$82:$BP$82=2)*($AS$82:$AZ$82&lt;&gt;"")*IF(((UPPER($AS$82:$AZ$82)="BLANK")+(UPPER($AS$82:$AZ$82)="(BLANK)")+(UPPER($AS$82:$AZ$82)="EMPTY")+(UPPER($AS$82:$AZ$82)="(EMPTY)"))&gt;0,IFERROR(('Final Calculation Sheet'!$V$40)&amp;"","")="",ISNUMBER(SEARCH($AS$82:$AZ$82,IFERROR(('Final Calculation Sheet'!$V$40)&amp;"","")))))&gt;0),IF(COUNTIF($BI$82:$BP$82,3)=0,TRUE,SUMPRODUCT(($BI$82:$BP$82=3)*($AS$82:$AZ$82&lt;&gt;"")*IF(((UPPER($AS$82:$AZ$82)="BLANK")+(UPPER($AS$82:$AZ$82)="(BLANK)")+(UPPER($AS$82:$AZ$82)="EMPTY")+(UPPER($AS$82:$AZ$82)="(EMPTY)"))&gt;0,IFERROR(('Final Calculation Sheet'!$V$40)&amp;"","")="",ISNUMBER(SEARCH($AS$82:$AZ$82,IFERROR(('Final Calculation Sheet'!$V$40)&amp;"","")))))&gt;0),IF(COUNTIF($BI$82:$BP$82,4)=0,TRUE,SUMPRODUCT(($BI$82:$BP$82=4)*($AS$82:$AZ$82&lt;&gt;"")*IF(((UPPER($AS$82:$AZ$82)="BLANK")+(UPPER($AS$82:$AZ$82)="(BLANK)")+(UPPER($AS$82:$AZ$82)="EMPTY")+(UPPER($AS$82:$AZ$82)="(EMPTY)"))&gt;0,IFERROR(('Final Calculation Sheet'!$V$40)&amp;"","")="",ISNUMBER(SEARCH($AS$82:$AZ$82,IFERROR(('Final Calculation Sheet'!$V$40)&amp;"","")))))&gt;0),IF(COUNTIF($BI$82:$BP$82,5)=0,TRUE,SUMPRODUCT(($BI$82:$BP$82=5)*($AS$82:$AZ$82&lt;&gt;"")*IF(((UPPER($AS$82:$AZ$82)="BLANK")+(UPPER($AS$82:$AZ$82)="(BLANK)")+(UPPER($AS$82:$AZ$82)="EMPTY")+(UPPER($AS$82:$AZ$82)="(EMPTY)"))&gt;0,IFERROR(('Final Calculation Sheet'!$V$40)&amp;"","")="",ISNUMBER(SEARCH($AS$82:$AZ$82,IFERROR(('Final Calculation Sheet'!$V$40)&amp;"","")))))&gt;0),IF(COUNTIF($BI$82:$BP$82,6)=0,TRUE,SUMPRODUCT(($BI$82:$BP$82=6)*($AS$82:$AZ$82&lt;&gt;"")*IF(((UPPER($AS$82:$AZ$82)="BLANK")+(UPPER($AS$82:$AZ$82)="(BLANK)")+(UPPER($AS$82:$AZ$82)="EMPTY")+(UPPER($AS$82:$AZ$82)="(EMPTY)"))&gt;0,IFERROR(('Final Calculation Sheet'!$V$40)&amp;"","")="",ISNUMBER(SEARCH($AS$82:$AZ$82,IFERROR(('Final Calculation Sheet'!$V$40)&amp;"","")))))&gt;0),IF(COUNTIF($BI$82:$BP$82,7)=0,TRUE,SUMPRODUCT(($BI$82:$BP$82=7)*($AS$82:$AZ$82&lt;&gt;"")*IF(((UPPER($AS$82:$AZ$82)="BLANK")+(UPPER($AS$82:$AZ$82)="(BLANK)")+(UPPER($AS$82:$AZ$82)="EMPTY")+(UPPER($AS$82:$AZ$82)="(EMPTY)"))&gt;0,IFERROR(('Final Calculation Sheet'!$V$40)&amp;"","")="",ISNUMBER(SEARCH($AS$82:$AZ$82,IFERROR(('Final Calculation Sheet'!$V$40)&amp;"","")))))&gt;0),IF(COUNTIF($BI$82:$BP$82,8)=0,TRUE,SUMPRODUCT(($BI$82:$BP$82=8)*($AS$82:$AZ$82&lt;&gt;"")*IF(((UPPER($AS$82:$AZ$82)="BLANK")+(UPPER($AS$82:$AZ$82)="(BLANK)")+(UPPER($AS$82:$AZ$82)="EMPTY")+(UPPER($AS$82:$AZ$82)="(EMPTY)"))&gt;0,IFERROR(('Final Calculation Sheet'!$V$40)&amp;"","")="",ISNUMBER(SEARCH($AS$82:$AZ$82,IFERROR(('Final Calculation Sheet'!$V$40)&amp;"","")))))&gt;0))))</f>
        <v>1</v>
      </c>
      <c r="CJ41">
        <f>IF($X$4="",1,--(AND(SUMPRODUCT(--($AS$83:$AZ$83&lt;&gt;""))&gt;0,IF(COUNTIF($BI$83:$BP$83,1)=0,TRUE,SUMPRODUCT(($BI$83:$BP$83=1)*($AS$83:$AZ$83&lt;&gt;"")*IF(((UPPER($AS$83:$AZ$83)="BLANK")+(UPPER($AS$83:$AZ$83)="(BLANK)")+(UPPER($AS$83:$AZ$83)="EMPTY")+(UPPER($AS$83:$AZ$83)="(EMPTY)"))&gt;0,IFERROR(('Final Calculation Sheet'!$W$40)&amp;"","")="",ISNUMBER(SEARCH($AS$83:$AZ$83,IFERROR(('Final Calculation Sheet'!$W$40)&amp;"","")))))&gt;0),IF(COUNTIF($BI$83:$BP$83,2)=0,TRUE,SUMPRODUCT(($BI$83:$BP$83=2)*($AS$83:$AZ$83&lt;&gt;"")*IF(((UPPER($AS$83:$AZ$83)="BLANK")+(UPPER($AS$83:$AZ$83)="(BLANK)")+(UPPER($AS$83:$AZ$83)="EMPTY")+(UPPER($AS$83:$AZ$83)="(EMPTY)"))&gt;0,IFERROR(('Final Calculation Sheet'!$W$40)&amp;"","")="",ISNUMBER(SEARCH($AS$83:$AZ$83,IFERROR(('Final Calculation Sheet'!$W$40)&amp;"","")))))&gt;0),IF(COUNTIF($BI$83:$BP$83,3)=0,TRUE,SUMPRODUCT(($BI$83:$BP$83=3)*($AS$83:$AZ$83&lt;&gt;"")*IF(((UPPER($AS$83:$AZ$83)="BLANK")+(UPPER($AS$83:$AZ$83)="(BLANK)")+(UPPER($AS$83:$AZ$83)="EMPTY")+(UPPER($AS$83:$AZ$83)="(EMPTY)"))&gt;0,IFERROR(('Final Calculation Sheet'!$W$40)&amp;"","")="",ISNUMBER(SEARCH($AS$83:$AZ$83,IFERROR(('Final Calculation Sheet'!$W$40)&amp;"","")))))&gt;0),IF(COUNTIF($BI$83:$BP$83,4)=0,TRUE,SUMPRODUCT(($BI$83:$BP$83=4)*($AS$83:$AZ$83&lt;&gt;"")*IF(((UPPER($AS$83:$AZ$83)="BLANK")+(UPPER($AS$83:$AZ$83)="(BLANK)")+(UPPER($AS$83:$AZ$83)="EMPTY")+(UPPER($AS$83:$AZ$83)="(EMPTY)"))&gt;0,IFERROR(('Final Calculation Sheet'!$W$40)&amp;"","")="",ISNUMBER(SEARCH($AS$83:$AZ$83,IFERROR(('Final Calculation Sheet'!$W$40)&amp;"","")))))&gt;0),IF(COUNTIF($BI$83:$BP$83,5)=0,TRUE,SUMPRODUCT(($BI$83:$BP$83=5)*($AS$83:$AZ$83&lt;&gt;"")*IF(((UPPER($AS$83:$AZ$83)="BLANK")+(UPPER($AS$83:$AZ$83)="(BLANK)")+(UPPER($AS$83:$AZ$83)="EMPTY")+(UPPER($AS$83:$AZ$83)="(EMPTY)"))&gt;0,IFERROR(('Final Calculation Sheet'!$W$40)&amp;"","")="",ISNUMBER(SEARCH($AS$83:$AZ$83,IFERROR(('Final Calculation Sheet'!$W$40)&amp;"","")))))&gt;0),IF(COUNTIF($BI$83:$BP$83,6)=0,TRUE,SUMPRODUCT(($BI$83:$BP$83=6)*($AS$83:$AZ$83&lt;&gt;"")*IF(((UPPER($AS$83:$AZ$83)="BLANK")+(UPPER($AS$83:$AZ$83)="(BLANK)")+(UPPER($AS$83:$AZ$83)="EMPTY")+(UPPER($AS$83:$AZ$83)="(EMPTY)"))&gt;0,IFERROR(('Final Calculation Sheet'!$W$40)&amp;"","")="",ISNUMBER(SEARCH($AS$83:$AZ$83,IFERROR(('Final Calculation Sheet'!$W$40)&amp;"","")))))&gt;0),IF(COUNTIF($BI$83:$BP$83,7)=0,TRUE,SUMPRODUCT(($BI$83:$BP$83=7)*($AS$83:$AZ$83&lt;&gt;"")*IF(((UPPER($AS$83:$AZ$83)="BLANK")+(UPPER($AS$83:$AZ$83)="(BLANK)")+(UPPER($AS$83:$AZ$83)="EMPTY")+(UPPER($AS$83:$AZ$83)="(EMPTY)"))&gt;0,IFERROR(('Final Calculation Sheet'!$W$40)&amp;"","")="",ISNUMBER(SEARCH($AS$83:$AZ$83,IFERROR(('Final Calculation Sheet'!$W$40)&amp;"","")))))&gt;0),IF(COUNTIF($BI$83:$BP$83,8)=0,TRUE,SUMPRODUCT(($BI$83:$BP$83=8)*($AS$83:$AZ$83&lt;&gt;"")*IF(((UPPER($AS$83:$AZ$83)="BLANK")+(UPPER($AS$83:$AZ$83)="(BLANK)")+(UPPER($AS$83:$AZ$83)="EMPTY")+(UPPER($AS$83:$AZ$83)="(EMPTY)"))&gt;0,IFERROR(('Final Calculation Sheet'!$W$40)&amp;"","")="",ISNUMBER(SEARCH($AS$83:$AZ$83,IFERROR(('Final Calculation Sheet'!$W$40)&amp;"","")))))&gt;0))))</f>
        <v>1</v>
      </c>
      <c r="CK41">
        <f>IF($Y$4="",1,--(AND(SUMPRODUCT(--($AS$84:$AZ$84&lt;&gt;""))&gt;0,IF(COUNTIF($BI$84:$BP$84,1)=0,TRUE,SUMPRODUCT(($BI$84:$BP$84=1)*($AS$84:$AZ$84&lt;&gt;"")*IF(((UPPER($AS$84:$AZ$84)="BLANK")+(UPPER($AS$84:$AZ$84)="(BLANK)")+(UPPER($AS$84:$AZ$84)="EMPTY")+(UPPER($AS$84:$AZ$84)="(EMPTY)"))&gt;0,IFERROR(('Final Calculation Sheet'!$X$40)&amp;"","")="",ISNUMBER(SEARCH($AS$84:$AZ$84,IFERROR(('Final Calculation Sheet'!$X$40)&amp;"","")))))&gt;0),IF(COUNTIF($BI$84:$BP$84,2)=0,TRUE,SUMPRODUCT(($BI$84:$BP$84=2)*($AS$84:$AZ$84&lt;&gt;"")*IF(((UPPER($AS$84:$AZ$84)="BLANK")+(UPPER($AS$84:$AZ$84)="(BLANK)")+(UPPER($AS$84:$AZ$84)="EMPTY")+(UPPER($AS$84:$AZ$84)="(EMPTY)"))&gt;0,IFERROR(('Final Calculation Sheet'!$X$40)&amp;"","")="",ISNUMBER(SEARCH($AS$84:$AZ$84,IFERROR(('Final Calculation Sheet'!$X$40)&amp;"","")))))&gt;0),IF(COUNTIF($BI$84:$BP$84,3)=0,TRUE,SUMPRODUCT(($BI$84:$BP$84=3)*($AS$84:$AZ$84&lt;&gt;"")*IF(((UPPER($AS$84:$AZ$84)="BLANK")+(UPPER($AS$84:$AZ$84)="(BLANK)")+(UPPER($AS$84:$AZ$84)="EMPTY")+(UPPER($AS$84:$AZ$84)="(EMPTY)"))&gt;0,IFERROR(('Final Calculation Sheet'!$X$40)&amp;"","")="",ISNUMBER(SEARCH($AS$84:$AZ$84,IFERROR(('Final Calculation Sheet'!$X$40)&amp;"","")))))&gt;0),IF(COUNTIF($BI$84:$BP$84,4)=0,TRUE,SUMPRODUCT(($BI$84:$BP$84=4)*($AS$84:$AZ$84&lt;&gt;"")*IF(((UPPER($AS$84:$AZ$84)="BLANK")+(UPPER($AS$84:$AZ$84)="(BLANK)")+(UPPER($AS$84:$AZ$84)="EMPTY")+(UPPER($AS$84:$AZ$84)="(EMPTY)"))&gt;0,IFERROR(('Final Calculation Sheet'!$X$40)&amp;"","")="",ISNUMBER(SEARCH($AS$84:$AZ$84,IFERROR(('Final Calculation Sheet'!$X$40)&amp;"","")))))&gt;0),IF(COUNTIF($BI$84:$BP$84,5)=0,TRUE,SUMPRODUCT(($BI$84:$BP$84=5)*($AS$84:$AZ$84&lt;&gt;"")*IF(((UPPER($AS$84:$AZ$84)="BLANK")+(UPPER($AS$84:$AZ$84)="(BLANK)")+(UPPER($AS$84:$AZ$84)="EMPTY")+(UPPER($AS$84:$AZ$84)="(EMPTY)"))&gt;0,IFERROR(('Final Calculation Sheet'!$X$40)&amp;"","")="",ISNUMBER(SEARCH($AS$84:$AZ$84,IFERROR(('Final Calculation Sheet'!$X$40)&amp;"","")))))&gt;0),IF(COUNTIF($BI$84:$BP$84,6)=0,TRUE,SUMPRODUCT(($BI$84:$BP$84=6)*($AS$84:$AZ$84&lt;&gt;"")*IF(((UPPER($AS$84:$AZ$84)="BLANK")+(UPPER($AS$84:$AZ$84)="(BLANK)")+(UPPER($AS$84:$AZ$84)="EMPTY")+(UPPER($AS$84:$AZ$84)="(EMPTY)"))&gt;0,IFERROR(('Final Calculation Sheet'!$X$40)&amp;"","")="",ISNUMBER(SEARCH($AS$84:$AZ$84,IFERROR(('Final Calculation Sheet'!$X$40)&amp;"","")))))&gt;0),IF(COUNTIF($BI$84:$BP$84,7)=0,TRUE,SUMPRODUCT(($BI$84:$BP$84=7)*($AS$84:$AZ$84&lt;&gt;"")*IF(((UPPER($AS$84:$AZ$84)="BLANK")+(UPPER($AS$84:$AZ$84)="(BLANK)")+(UPPER($AS$84:$AZ$84)="EMPTY")+(UPPER($AS$84:$AZ$84)="(EMPTY)"))&gt;0,IFERROR(('Final Calculation Sheet'!$X$40)&amp;"","")="",ISNUMBER(SEARCH($AS$84:$AZ$84,IFERROR(('Final Calculation Sheet'!$X$40)&amp;"","")))))&gt;0),IF(COUNTIF($BI$84:$BP$84,8)=0,TRUE,SUMPRODUCT(($BI$84:$BP$84=8)*($AS$84:$AZ$84&lt;&gt;"")*IF(((UPPER($AS$84:$AZ$84)="BLANK")+(UPPER($AS$84:$AZ$84)="(BLANK)")+(UPPER($AS$84:$AZ$84)="EMPTY")+(UPPER($AS$84:$AZ$84)="(EMPTY)"))&gt;0,IFERROR(('Final Calculation Sheet'!$X$40)&amp;"","")="",ISNUMBER(SEARCH($AS$84:$AZ$84,IFERROR(('Final Calculation Sheet'!$X$40)&amp;"","")))))&gt;0))))</f>
        <v>1</v>
      </c>
      <c r="CL41">
        <f>IF($Z$4="",1,--(AND(SUMPRODUCT(--($AS$85:$AZ$85&lt;&gt;""))&gt;0,IF(COUNTIF($BI$85:$BP$85,1)=0,TRUE,SUMPRODUCT(($BI$85:$BP$85=1)*($AS$85:$AZ$85&lt;&gt;"")*IF(((UPPER($AS$85:$AZ$85)="BLANK")+(UPPER($AS$85:$AZ$85)="(BLANK)")+(UPPER($AS$85:$AZ$85)="EMPTY")+(UPPER($AS$85:$AZ$85)="(EMPTY)"))&gt;0,IFERROR(('Final Calculation Sheet'!$Y$40)&amp;"","")="",ISNUMBER(SEARCH($AS$85:$AZ$85,IFERROR(('Final Calculation Sheet'!$Y$40)&amp;"","")))))&gt;0),IF(COUNTIF($BI$85:$BP$85,2)=0,TRUE,SUMPRODUCT(($BI$85:$BP$85=2)*($AS$85:$AZ$85&lt;&gt;"")*IF(((UPPER($AS$85:$AZ$85)="BLANK")+(UPPER($AS$85:$AZ$85)="(BLANK)")+(UPPER($AS$85:$AZ$85)="EMPTY")+(UPPER($AS$85:$AZ$85)="(EMPTY)"))&gt;0,IFERROR(('Final Calculation Sheet'!$Y$40)&amp;"","")="",ISNUMBER(SEARCH($AS$85:$AZ$85,IFERROR(('Final Calculation Sheet'!$Y$40)&amp;"","")))))&gt;0),IF(COUNTIF($BI$85:$BP$85,3)=0,TRUE,SUMPRODUCT(($BI$85:$BP$85=3)*($AS$85:$AZ$85&lt;&gt;"")*IF(((UPPER($AS$85:$AZ$85)="BLANK")+(UPPER($AS$85:$AZ$85)="(BLANK)")+(UPPER($AS$85:$AZ$85)="EMPTY")+(UPPER($AS$85:$AZ$85)="(EMPTY)"))&gt;0,IFERROR(('Final Calculation Sheet'!$Y$40)&amp;"","")="",ISNUMBER(SEARCH($AS$85:$AZ$85,IFERROR(('Final Calculation Sheet'!$Y$40)&amp;"","")))))&gt;0),IF(COUNTIF($BI$85:$BP$85,4)=0,TRUE,SUMPRODUCT(($BI$85:$BP$85=4)*($AS$85:$AZ$85&lt;&gt;"")*IF(((UPPER($AS$85:$AZ$85)="BLANK")+(UPPER($AS$85:$AZ$85)="(BLANK)")+(UPPER($AS$85:$AZ$85)="EMPTY")+(UPPER($AS$85:$AZ$85)="(EMPTY)"))&gt;0,IFERROR(('Final Calculation Sheet'!$Y$40)&amp;"","")="",ISNUMBER(SEARCH($AS$85:$AZ$85,IFERROR(('Final Calculation Sheet'!$Y$40)&amp;"","")))))&gt;0),IF(COUNTIF($BI$85:$BP$85,5)=0,TRUE,SUMPRODUCT(($BI$85:$BP$85=5)*($AS$85:$AZ$85&lt;&gt;"")*IF(((UPPER($AS$85:$AZ$85)="BLANK")+(UPPER($AS$85:$AZ$85)="(BLANK)")+(UPPER($AS$85:$AZ$85)="EMPTY")+(UPPER($AS$85:$AZ$85)="(EMPTY)"))&gt;0,IFERROR(('Final Calculation Sheet'!$Y$40)&amp;"","")="",ISNUMBER(SEARCH($AS$85:$AZ$85,IFERROR(('Final Calculation Sheet'!$Y$40)&amp;"","")))))&gt;0),IF(COUNTIF($BI$85:$BP$85,6)=0,TRUE,SUMPRODUCT(($BI$85:$BP$85=6)*($AS$85:$AZ$85&lt;&gt;"")*IF(((UPPER($AS$85:$AZ$85)="BLANK")+(UPPER($AS$85:$AZ$85)="(BLANK)")+(UPPER($AS$85:$AZ$85)="EMPTY")+(UPPER($AS$85:$AZ$85)="(EMPTY)"))&gt;0,IFERROR(('Final Calculation Sheet'!$Y$40)&amp;"","")="",ISNUMBER(SEARCH($AS$85:$AZ$85,IFERROR(('Final Calculation Sheet'!$Y$40)&amp;"","")))))&gt;0),IF(COUNTIF($BI$85:$BP$85,7)=0,TRUE,SUMPRODUCT(($BI$85:$BP$85=7)*($AS$85:$AZ$85&lt;&gt;"")*IF(((UPPER($AS$85:$AZ$85)="BLANK")+(UPPER($AS$85:$AZ$85)="(BLANK)")+(UPPER($AS$85:$AZ$85)="EMPTY")+(UPPER($AS$85:$AZ$85)="(EMPTY)"))&gt;0,IFERROR(('Final Calculation Sheet'!$Y$40)&amp;"","")="",ISNUMBER(SEARCH($AS$85:$AZ$85,IFERROR(('Final Calculation Sheet'!$Y$40)&amp;"","")))))&gt;0),IF(COUNTIF($BI$85:$BP$85,8)=0,TRUE,SUMPRODUCT(($BI$85:$BP$85=8)*($AS$85:$AZ$85&lt;&gt;"")*IF(((UPPER($AS$85:$AZ$85)="BLANK")+(UPPER($AS$85:$AZ$85)="(BLANK)")+(UPPER($AS$85:$AZ$85)="EMPTY")+(UPPER($AS$85:$AZ$85)="(EMPTY)"))&gt;0,IFERROR(('Final Calculation Sheet'!$Y$40)&amp;"","")="",ISNUMBER(SEARCH($AS$85:$AZ$85,IFERROR(('Final Calculation Sheet'!$Y$40)&amp;"","")))))&gt;0))))</f>
        <v>1</v>
      </c>
      <c r="CM41">
        <f>IF($AA$4="",1,--(AND(SUMPRODUCT(--($AS$86:$AZ$86&lt;&gt;""))&gt;0,IF(COUNTIF($BI$86:$BP$86,1)=0,TRUE,SUMPRODUCT(($BI$86:$BP$86=1)*($AS$86:$AZ$86&lt;&gt;"")*IF(((UPPER($AS$86:$AZ$86)="BLANK")+(UPPER($AS$86:$AZ$86)="(BLANK)")+(UPPER($AS$86:$AZ$86)="EMPTY")+(UPPER($AS$86:$AZ$86)="(EMPTY)"))&gt;0,IFERROR(('Final Calculation Sheet'!$Z$40)&amp;"","")="",ISNUMBER(SEARCH($AS$86:$AZ$86,IFERROR(('Final Calculation Sheet'!$Z$40)&amp;"","")))))&gt;0),IF(COUNTIF($BI$86:$BP$86,2)=0,TRUE,SUMPRODUCT(($BI$86:$BP$86=2)*($AS$86:$AZ$86&lt;&gt;"")*IF(((UPPER($AS$86:$AZ$86)="BLANK")+(UPPER($AS$86:$AZ$86)="(BLANK)")+(UPPER($AS$86:$AZ$86)="EMPTY")+(UPPER($AS$86:$AZ$86)="(EMPTY)"))&gt;0,IFERROR(('Final Calculation Sheet'!$Z$40)&amp;"","")="",ISNUMBER(SEARCH($AS$86:$AZ$86,IFERROR(('Final Calculation Sheet'!$Z$40)&amp;"","")))))&gt;0),IF(COUNTIF($BI$86:$BP$86,3)=0,TRUE,SUMPRODUCT(($BI$86:$BP$86=3)*($AS$86:$AZ$86&lt;&gt;"")*IF(((UPPER($AS$86:$AZ$86)="BLANK")+(UPPER($AS$86:$AZ$86)="(BLANK)")+(UPPER($AS$86:$AZ$86)="EMPTY")+(UPPER($AS$86:$AZ$86)="(EMPTY)"))&gt;0,IFERROR(('Final Calculation Sheet'!$Z$40)&amp;"","")="",ISNUMBER(SEARCH($AS$86:$AZ$86,IFERROR(('Final Calculation Sheet'!$Z$40)&amp;"","")))))&gt;0),IF(COUNTIF($BI$86:$BP$86,4)=0,TRUE,SUMPRODUCT(($BI$86:$BP$86=4)*($AS$86:$AZ$86&lt;&gt;"")*IF(((UPPER($AS$86:$AZ$86)="BLANK")+(UPPER($AS$86:$AZ$86)="(BLANK)")+(UPPER($AS$86:$AZ$86)="EMPTY")+(UPPER($AS$86:$AZ$86)="(EMPTY)"))&gt;0,IFERROR(('Final Calculation Sheet'!$Z$40)&amp;"","")="",ISNUMBER(SEARCH($AS$86:$AZ$86,IFERROR(('Final Calculation Sheet'!$Z$40)&amp;"","")))))&gt;0),IF(COUNTIF($BI$86:$BP$86,5)=0,TRUE,SUMPRODUCT(($BI$86:$BP$86=5)*($AS$86:$AZ$86&lt;&gt;"")*IF(((UPPER($AS$86:$AZ$86)="BLANK")+(UPPER($AS$86:$AZ$86)="(BLANK)")+(UPPER($AS$86:$AZ$86)="EMPTY")+(UPPER($AS$86:$AZ$86)="(EMPTY)"))&gt;0,IFERROR(('Final Calculation Sheet'!$Z$40)&amp;"","")="",ISNUMBER(SEARCH($AS$86:$AZ$86,IFERROR(('Final Calculation Sheet'!$Z$40)&amp;"","")))))&gt;0),IF(COUNTIF($BI$86:$BP$86,6)=0,TRUE,SUMPRODUCT(($BI$86:$BP$86=6)*($AS$86:$AZ$86&lt;&gt;"")*IF(((UPPER($AS$86:$AZ$86)="BLANK")+(UPPER($AS$86:$AZ$86)="(BLANK)")+(UPPER($AS$86:$AZ$86)="EMPTY")+(UPPER($AS$86:$AZ$86)="(EMPTY)"))&gt;0,IFERROR(('Final Calculation Sheet'!$Z$40)&amp;"","")="",ISNUMBER(SEARCH($AS$86:$AZ$86,IFERROR(('Final Calculation Sheet'!$Z$40)&amp;"","")))))&gt;0),IF(COUNTIF($BI$86:$BP$86,7)=0,TRUE,SUMPRODUCT(($BI$86:$BP$86=7)*($AS$86:$AZ$86&lt;&gt;"")*IF(((UPPER($AS$86:$AZ$86)="BLANK")+(UPPER($AS$86:$AZ$86)="(BLANK)")+(UPPER($AS$86:$AZ$86)="EMPTY")+(UPPER($AS$86:$AZ$86)="(EMPTY)"))&gt;0,IFERROR(('Final Calculation Sheet'!$Z$40)&amp;"","")="",ISNUMBER(SEARCH($AS$86:$AZ$86,IFERROR(('Final Calculation Sheet'!$Z$40)&amp;"","")))))&gt;0),IF(COUNTIF($BI$86:$BP$86,8)=0,TRUE,SUMPRODUCT(($BI$86:$BP$86=8)*($AS$86:$AZ$86&lt;&gt;"")*IF(((UPPER($AS$86:$AZ$86)="BLANK")+(UPPER($AS$86:$AZ$86)="(BLANK)")+(UPPER($AS$86:$AZ$86)="EMPTY")+(UPPER($AS$86:$AZ$86)="(EMPTY)"))&gt;0,IFERROR(('Final Calculation Sheet'!$Z$40)&amp;"","")="",ISNUMBER(SEARCH($AS$86:$AZ$86,IFERROR(('Final Calculation Sheet'!$Z$40)&amp;"","")))))&gt;0))))</f>
        <v>1</v>
      </c>
      <c r="CN41">
        <f>IF($AB$4="",1,--(AND(SUMPRODUCT(--($AS$87:$AZ$87&lt;&gt;""))&gt;0,IF(COUNTIF($BI$87:$BP$87,1)=0,TRUE,SUMPRODUCT(($BI$87:$BP$87=1)*($AS$87:$AZ$87&lt;&gt;"")*IF(((UPPER($AS$87:$AZ$87)="BLANK")+(UPPER($AS$87:$AZ$87)="(BLANK)")+(UPPER($AS$87:$AZ$87)="EMPTY")+(UPPER($AS$87:$AZ$87)="(EMPTY)"))&gt;0,IFERROR(('Final Calculation Sheet'!$AA$40)&amp;"","")="",ISNUMBER(SEARCH($AS$87:$AZ$87,IFERROR(('Final Calculation Sheet'!$AA$40)&amp;"","")))))&gt;0),IF(COUNTIF($BI$87:$BP$87,2)=0,TRUE,SUMPRODUCT(($BI$87:$BP$87=2)*($AS$87:$AZ$87&lt;&gt;"")*IF(((UPPER($AS$87:$AZ$87)="BLANK")+(UPPER($AS$87:$AZ$87)="(BLANK)")+(UPPER($AS$87:$AZ$87)="EMPTY")+(UPPER($AS$87:$AZ$87)="(EMPTY)"))&gt;0,IFERROR(('Final Calculation Sheet'!$AA$40)&amp;"","")="",ISNUMBER(SEARCH($AS$87:$AZ$87,IFERROR(('Final Calculation Sheet'!$AA$40)&amp;"","")))))&gt;0),IF(COUNTIF($BI$87:$BP$87,3)=0,TRUE,SUMPRODUCT(($BI$87:$BP$87=3)*($AS$87:$AZ$87&lt;&gt;"")*IF(((UPPER($AS$87:$AZ$87)="BLANK")+(UPPER($AS$87:$AZ$87)="(BLANK)")+(UPPER($AS$87:$AZ$87)="EMPTY")+(UPPER($AS$87:$AZ$87)="(EMPTY)"))&gt;0,IFERROR(('Final Calculation Sheet'!$AA$40)&amp;"","")="",ISNUMBER(SEARCH($AS$87:$AZ$87,IFERROR(('Final Calculation Sheet'!$AA$40)&amp;"","")))))&gt;0),IF(COUNTIF($BI$87:$BP$87,4)=0,TRUE,SUMPRODUCT(($BI$87:$BP$87=4)*($AS$87:$AZ$87&lt;&gt;"")*IF(((UPPER($AS$87:$AZ$87)="BLANK")+(UPPER($AS$87:$AZ$87)="(BLANK)")+(UPPER($AS$87:$AZ$87)="EMPTY")+(UPPER($AS$87:$AZ$87)="(EMPTY)"))&gt;0,IFERROR(('Final Calculation Sheet'!$AA$40)&amp;"","")="",ISNUMBER(SEARCH($AS$87:$AZ$87,IFERROR(('Final Calculation Sheet'!$AA$40)&amp;"","")))))&gt;0),IF(COUNTIF($BI$87:$BP$87,5)=0,TRUE,SUMPRODUCT(($BI$87:$BP$87=5)*($AS$87:$AZ$87&lt;&gt;"")*IF(((UPPER($AS$87:$AZ$87)="BLANK")+(UPPER($AS$87:$AZ$87)="(BLANK)")+(UPPER($AS$87:$AZ$87)="EMPTY")+(UPPER($AS$87:$AZ$87)="(EMPTY)"))&gt;0,IFERROR(('Final Calculation Sheet'!$AA$40)&amp;"","")="",ISNUMBER(SEARCH($AS$87:$AZ$87,IFERROR(('Final Calculation Sheet'!$AA$40)&amp;"","")))))&gt;0),IF(COUNTIF($BI$87:$BP$87,6)=0,TRUE,SUMPRODUCT(($BI$87:$BP$87=6)*($AS$87:$AZ$87&lt;&gt;"")*IF(((UPPER($AS$87:$AZ$87)="BLANK")+(UPPER($AS$87:$AZ$87)="(BLANK)")+(UPPER($AS$87:$AZ$87)="EMPTY")+(UPPER($AS$87:$AZ$87)="(EMPTY)"))&gt;0,IFERROR(('Final Calculation Sheet'!$AA$40)&amp;"","")="",ISNUMBER(SEARCH($AS$87:$AZ$87,IFERROR(('Final Calculation Sheet'!$AA$40)&amp;"","")))))&gt;0),IF(COUNTIF($BI$87:$BP$87,7)=0,TRUE,SUMPRODUCT(($BI$87:$BP$87=7)*($AS$87:$AZ$87&lt;&gt;"")*IF(((UPPER($AS$87:$AZ$87)="BLANK")+(UPPER($AS$87:$AZ$87)="(BLANK)")+(UPPER($AS$87:$AZ$87)="EMPTY")+(UPPER($AS$87:$AZ$87)="(EMPTY)"))&gt;0,IFERROR(('Final Calculation Sheet'!$AA$40)&amp;"","")="",ISNUMBER(SEARCH($AS$87:$AZ$87,IFERROR(('Final Calculation Sheet'!$AA$40)&amp;"","")))))&gt;0),IF(COUNTIF($BI$87:$BP$87,8)=0,TRUE,SUMPRODUCT(($BI$87:$BP$87=8)*($AS$87:$AZ$87&lt;&gt;"")*IF(((UPPER($AS$87:$AZ$87)="BLANK")+(UPPER($AS$87:$AZ$87)="(BLANK)")+(UPPER($AS$87:$AZ$87)="EMPTY")+(UPPER($AS$87:$AZ$87)="(EMPTY)"))&gt;0,IFERROR(('Final Calculation Sheet'!$AA$40)&amp;"","")="",ISNUMBER(SEARCH($AS$87:$AZ$87,IFERROR(('Final Calculation Sheet'!$AA$40)&amp;"","")))))&gt;0))))</f>
        <v>1</v>
      </c>
      <c r="CO41">
        <f>IF($AC$4="",1,--(AND(SUMPRODUCT(--($AS$88:$AZ$88&lt;&gt;""))&gt;0,IF(COUNTIF($BI$88:$BP$88,1)=0,TRUE,SUMPRODUCT(($BI$88:$BP$88=1)*($AS$88:$AZ$88&lt;&gt;"")*IF(((UPPER($AS$88:$AZ$88)="BLANK")+(UPPER($AS$88:$AZ$88)="(BLANK)")+(UPPER($AS$88:$AZ$88)="EMPTY")+(UPPER($AS$88:$AZ$88)="(EMPTY)"))&gt;0,IFERROR(('Final Calculation Sheet'!$AB$40)&amp;"","")="",ISNUMBER(SEARCH($AS$88:$AZ$88,IFERROR(('Final Calculation Sheet'!$AB$40)&amp;"","")))))&gt;0),IF(COUNTIF($BI$88:$BP$88,2)=0,TRUE,SUMPRODUCT(($BI$88:$BP$88=2)*($AS$88:$AZ$88&lt;&gt;"")*IF(((UPPER($AS$88:$AZ$88)="BLANK")+(UPPER($AS$88:$AZ$88)="(BLANK)")+(UPPER($AS$88:$AZ$88)="EMPTY")+(UPPER($AS$88:$AZ$88)="(EMPTY)"))&gt;0,IFERROR(('Final Calculation Sheet'!$AB$40)&amp;"","")="",ISNUMBER(SEARCH($AS$88:$AZ$88,IFERROR(('Final Calculation Sheet'!$AB$40)&amp;"","")))))&gt;0),IF(COUNTIF($BI$88:$BP$88,3)=0,TRUE,SUMPRODUCT(($BI$88:$BP$88=3)*($AS$88:$AZ$88&lt;&gt;"")*IF(((UPPER($AS$88:$AZ$88)="BLANK")+(UPPER($AS$88:$AZ$88)="(BLANK)")+(UPPER($AS$88:$AZ$88)="EMPTY")+(UPPER($AS$88:$AZ$88)="(EMPTY)"))&gt;0,IFERROR(('Final Calculation Sheet'!$AB$40)&amp;"","")="",ISNUMBER(SEARCH($AS$88:$AZ$88,IFERROR(('Final Calculation Sheet'!$AB$40)&amp;"","")))))&gt;0),IF(COUNTIF($BI$88:$BP$88,4)=0,TRUE,SUMPRODUCT(($BI$88:$BP$88=4)*($AS$88:$AZ$88&lt;&gt;"")*IF(((UPPER($AS$88:$AZ$88)="BLANK")+(UPPER($AS$88:$AZ$88)="(BLANK)")+(UPPER($AS$88:$AZ$88)="EMPTY")+(UPPER($AS$88:$AZ$88)="(EMPTY)"))&gt;0,IFERROR(('Final Calculation Sheet'!$AB$40)&amp;"","")="",ISNUMBER(SEARCH($AS$88:$AZ$88,IFERROR(('Final Calculation Sheet'!$AB$40)&amp;"","")))))&gt;0),IF(COUNTIF($BI$88:$BP$88,5)=0,TRUE,SUMPRODUCT(($BI$88:$BP$88=5)*($AS$88:$AZ$88&lt;&gt;"")*IF(((UPPER($AS$88:$AZ$88)="BLANK")+(UPPER($AS$88:$AZ$88)="(BLANK)")+(UPPER($AS$88:$AZ$88)="EMPTY")+(UPPER($AS$88:$AZ$88)="(EMPTY)"))&gt;0,IFERROR(('Final Calculation Sheet'!$AB$40)&amp;"","")="",ISNUMBER(SEARCH($AS$88:$AZ$88,IFERROR(('Final Calculation Sheet'!$AB$40)&amp;"","")))))&gt;0),IF(COUNTIF($BI$88:$BP$88,6)=0,TRUE,SUMPRODUCT(($BI$88:$BP$88=6)*($AS$88:$AZ$88&lt;&gt;"")*IF(((UPPER($AS$88:$AZ$88)="BLANK")+(UPPER($AS$88:$AZ$88)="(BLANK)")+(UPPER($AS$88:$AZ$88)="EMPTY")+(UPPER($AS$88:$AZ$88)="(EMPTY)"))&gt;0,IFERROR(('Final Calculation Sheet'!$AB$40)&amp;"","")="",ISNUMBER(SEARCH($AS$88:$AZ$88,IFERROR(('Final Calculation Sheet'!$AB$40)&amp;"","")))))&gt;0),IF(COUNTIF($BI$88:$BP$88,7)=0,TRUE,SUMPRODUCT(($BI$88:$BP$88=7)*($AS$88:$AZ$88&lt;&gt;"")*IF(((UPPER($AS$88:$AZ$88)="BLANK")+(UPPER($AS$88:$AZ$88)="(BLANK)")+(UPPER($AS$88:$AZ$88)="EMPTY")+(UPPER($AS$88:$AZ$88)="(EMPTY)"))&gt;0,IFERROR(('Final Calculation Sheet'!$AB$40)&amp;"","")="",ISNUMBER(SEARCH($AS$88:$AZ$88,IFERROR(('Final Calculation Sheet'!$AB$40)&amp;"","")))))&gt;0),IF(COUNTIF($BI$88:$BP$88,8)=0,TRUE,SUMPRODUCT(($BI$88:$BP$88=8)*($AS$88:$AZ$88&lt;&gt;"")*IF(((UPPER($AS$88:$AZ$88)="BLANK")+(UPPER($AS$88:$AZ$88)="(BLANK)")+(UPPER($AS$88:$AZ$88)="EMPTY")+(UPPER($AS$88:$AZ$88)="(EMPTY)"))&gt;0,IFERROR(('Final Calculation Sheet'!$AB$40)&amp;"","")="",ISNUMBER(SEARCH($AS$88:$AZ$88,IFERROR(('Final Calculation Sheet'!$AB$40)&amp;"","")))))&gt;0))))</f>
        <v>1</v>
      </c>
      <c r="CP41">
        <f>IF($AD$4="",1,--(AND(SUMPRODUCT(--($AS$89:$AZ$89&lt;&gt;""))&gt;0,IF(COUNTIF($BI$89:$BP$89,1)=0,TRUE,SUMPRODUCT(($BI$89:$BP$89=1)*($AS$89:$AZ$89&lt;&gt;"")*IF(((UPPER($AS$89:$AZ$89)="BLANK")+(UPPER($AS$89:$AZ$89)="(BLANK)")+(UPPER($AS$89:$AZ$89)="EMPTY")+(UPPER($AS$89:$AZ$89)="(EMPTY)"))&gt;0,IFERROR(('Final Calculation Sheet'!$AC$40)&amp;"","")="",ISNUMBER(SEARCH($AS$89:$AZ$89,IFERROR(('Final Calculation Sheet'!$AC$40)&amp;"","")))))&gt;0),IF(COUNTIF($BI$89:$BP$89,2)=0,TRUE,SUMPRODUCT(($BI$89:$BP$89=2)*($AS$89:$AZ$89&lt;&gt;"")*IF(((UPPER($AS$89:$AZ$89)="BLANK")+(UPPER($AS$89:$AZ$89)="(BLANK)")+(UPPER($AS$89:$AZ$89)="EMPTY")+(UPPER($AS$89:$AZ$89)="(EMPTY)"))&gt;0,IFERROR(('Final Calculation Sheet'!$AC$40)&amp;"","")="",ISNUMBER(SEARCH($AS$89:$AZ$89,IFERROR(('Final Calculation Sheet'!$AC$40)&amp;"","")))))&gt;0),IF(COUNTIF($BI$89:$BP$89,3)=0,TRUE,SUMPRODUCT(($BI$89:$BP$89=3)*($AS$89:$AZ$89&lt;&gt;"")*IF(((UPPER($AS$89:$AZ$89)="BLANK")+(UPPER($AS$89:$AZ$89)="(BLANK)")+(UPPER($AS$89:$AZ$89)="EMPTY")+(UPPER($AS$89:$AZ$89)="(EMPTY)"))&gt;0,IFERROR(('Final Calculation Sheet'!$AC$40)&amp;"","")="",ISNUMBER(SEARCH($AS$89:$AZ$89,IFERROR(('Final Calculation Sheet'!$AC$40)&amp;"","")))))&gt;0),IF(COUNTIF($BI$89:$BP$89,4)=0,TRUE,SUMPRODUCT(($BI$89:$BP$89=4)*($AS$89:$AZ$89&lt;&gt;"")*IF(((UPPER($AS$89:$AZ$89)="BLANK")+(UPPER($AS$89:$AZ$89)="(BLANK)")+(UPPER($AS$89:$AZ$89)="EMPTY")+(UPPER($AS$89:$AZ$89)="(EMPTY)"))&gt;0,IFERROR(('Final Calculation Sheet'!$AC$40)&amp;"","")="",ISNUMBER(SEARCH($AS$89:$AZ$89,IFERROR(('Final Calculation Sheet'!$AC$40)&amp;"","")))))&gt;0),IF(COUNTIF($BI$89:$BP$89,5)=0,TRUE,SUMPRODUCT(($BI$89:$BP$89=5)*($AS$89:$AZ$89&lt;&gt;"")*IF(((UPPER($AS$89:$AZ$89)="BLANK")+(UPPER($AS$89:$AZ$89)="(BLANK)")+(UPPER($AS$89:$AZ$89)="EMPTY")+(UPPER($AS$89:$AZ$89)="(EMPTY)"))&gt;0,IFERROR(('Final Calculation Sheet'!$AC$40)&amp;"","")="",ISNUMBER(SEARCH($AS$89:$AZ$89,IFERROR(('Final Calculation Sheet'!$AC$40)&amp;"","")))))&gt;0),IF(COUNTIF($BI$89:$BP$89,6)=0,TRUE,SUMPRODUCT(($BI$89:$BP$89=6)*($AS$89:$AZ$89&lt;&gt;"")*IF(((UPPER($AS$89:$AZ$89)="BLANK")+(UPPER($AS$89:$AZ$89)="(BLANK)")+(UPPER($AS$89:$AZ$89)="EMPTY")+(UPPER($AS$89:$AZ$89)="(EMPTY)"))&gt;0,IFERROR(('Final Calculation Sheet'!$AC$40)&amp;"","")="",ISNUMBER(SEARCH($AS$89:$AZ$89,IFERROR(('Final Calculation Sheet'!$AC$40)&amp;"","")))))&gt;0),IF(COUNTIF($BI$89:$BP$89,7)=0,TRUE,SUMPRODUCT(($BI$89:$BP$89=7)*($AS$89:$AZ$89&lt;&gt;"")*IF(((UPPER($AS$89:$AZ$89)="BLANK")+(UPPER($AS$89:$AZ$89)="(BLANK)")+(UPPER($AS$89:$AZ$89)="EMPTY")+(UPPER($AS$89:$AZ$89)="(EMPTY)"))&gt;0,IFERROR(('Final Calculation Sheet'!$AC$40)&amp;"","")="",ISNUMBER(SEARCH($AS$89:$AZ$89,IFERROR(('Final Calculation Sheet'!$AC$40)&amp;"","")))))&gt;0),IF(COUNTIF($BI$89:$BP$89,8)=0,TRUE,SUMPRODUCT(($BI$89:$BP$89=8)*($AS$89:$AZ$89&lt;&gt;"")*IF(((UPPER($AS$89:$AZ$89)="BLANK")+(UPPER($AS$89:$AZ$89)="(BLANK)")+(UPPER($AS$89:$AZ$89)="EMPTY")+(UPPER($AS$89:$AZ$89)="(EMPTY)"))&gt;0,IFERROR(('Final Calculation Sheet'!$AC$40)&amp;"","")="",ISNUMBER(SEARCH($AS$89:$AZ$89,IFERROR(('Final Calculation Sheet'!$AC$40)&amp;"","")))))&gt;0))))</f>
        <v>1</v>
      </c>
      <c r="CQ41">
        <f>IF($AE$4="",1,--(AND(SUMPRODUCT(--($AS$90:$AZ$90&lt;&gt;""))&gt;0,IF(COUNTIF($BI$90:$BP$90,1)=0,TRUE,SUMPRODUCT(($BI$90:$BP$90=1)*($AS$90:$AZ$90&lt;&gt;"")*IF(((UPPER($AS$90:$AZ$90)="BLANK")+(UPPER($AS$90:$AZ$90)="(BLANK)")+(UPPER($AS$90:$AZ$90)="EMPTY")+(UPPER($AS$90:$AZ$90)="(EMPTY)"))&gt;0,IFERROR(('Final Calculation Sheet'!$AD$40)&amp;"","")="",ISNUMBER(SEARCH($AS$90:$AZ$90,IFERROR(('Final Calculation Sheet'!$AD$40)&amp;"","")))))&gt;0),IF(COUNTIF($BI$90:$BP$90,2)=0,TRUE,SUMPRODUCT(($BI$90:$BP$90=2)*($AS$90:$AZ$90&lt;&gt;"")*IF(((UPPER($AS$90:$AZ$90)="BLANK")+(UPPER($AS$90:$AZ$90)="(BLANK)")+(UPPER($AS$90:$AZ$90)="EMPTY")+(UPPER($AS$90:$AZ$90)="(EMPTY)"))&gt;0,IFERROR(('Final Calculation Sheet'!$AD$40)&amp;"","")="",ISNUMBER(SEARCH($AS$90:$AZ$90,IFERROR(('Final Calculation Sheet'!$AD$40)&amp;"","")))))&gt;0),IF(COUNTIF($BI$90:$BP$90,3)=0,TRUE,SUMPRODUCT(($BI$90:$BP$90=3)*($AS$90:$AZ$90&lt;&gt;"")*IF(((UPPER($AS$90:$AZ$90)="BLANK")+(UPPER($AS$90:$AZ$90)="(BLANK)")+(UPPER($AS$90:$AZ$90)="EMPTY")+(UPPER($AS$90:$AZ$90)="(EMPTY)"))&gt;0,IFERROR(('Final Calculation Sheet'!$AD$40)&amp;"","")="",ISNUMBER(SEARCH($AS$90:$AZ$90,IFERROR(('Final Calculation Sheet'!$AD$40)&amp;"","")))))&gt;0),IF(COUNTIF($BI$90:$BP$90,4)=0,TRUE,SUMPRODUCT(($BI$90:$BP$90=4)*($AS$90:$AZ$90&lt;&gt;"")*IF(((UPPER($AS$90:$AZ$90)="BLANK")+(UPPER($AS$90:$AZ$90)="(BLANK)")+(UPPER($AS$90:$AZ$90)="EMPTY")+(UPPER($AS$90:$AZ$90)="(EMPTY)"))&gt;0,IFERROR(('Final Calculation Sheet'!$AD$40)&amp;"","")="",ISNUMBER(SEARCH($AS$90:$AZ$90,IFERROR(('Final Calculation Sheet'!$AD$40)&amp;"","")))))&gt;0),IF(COUNTIF($BI$90:$BP$90,5)=0,TRUE,SUMPRODUCT(($BI$90:$BP$90=5)*($AS$90:$AZ$90&lt;&gt;"")*IF(((UPPER($AS$90:$AZ$90)="BLANK")+(UPPER($AS$90:$AZ$90)="(BLANK)")+(UPPER($AS$90:$AZ$90)="EMPTY")+(UPPER($AS$90:$AZ$90)="(EMPTY)"))&gt;0,IFERROR(('Final Calculation Sheet'!$AD$40)&amp;"","")="",ISNUMBER(SEARCH($AS$90:$AZ$90,IFERROR(('Final Calculation Sheet'!$AD$40)&amp;"","")))))&gt;0),IF(COUNTIF($BI$90:$BP$90,6)=0,TRUE,SUMPRODUCT(($BI$90:$BP$90=6)*($AS$90:$AZ$90&lt;&gt;"")*IF(((UPPER($AS$90:$AZ$90)="BLANK")+(UPPER($AS$90:$AZ$90)="(BLANK)")+(UPPER($AS$90:$AZ$90)="EMPTY")+(UPPER($AS$90:$AZ$90)="(EMPTY)"))&gt;0,IFERROR(('Final Calculation Sheet'!$AD$40)&amp;"","")="",ISNUMBER(SEARCH($AS$90:$AZ$90,IFERROR(('Final Calculation Sheet'!$AD$40)&amp;"","")))))&gt;0),IF(COUNTIF($BI$90:$BP$90,7)=0,TRUE,SUMPRODUCT(($BI$90:$BP$90=7)*($AS$90:$AZ$90&lt;&gt;"")*IF(((UPPER($AS$90:$AZ$90)="BLANK")+(UPPER($AS$90:$AZ$90)="(BLANK)")+(UPPER($AS$90:$AZ$90)="EMPTY")+(UPPER($AS$90:$AZ$90)="(EMPTY)"))&gt;0,IFERROR(('Final Calculation Sheet'!$AD$40)&amp;"","")="",ISNUMBER(SEARCH($AS$90:$AZ$90,IFERROR(('Final Calculation Sheet'!$AD$40)&amp;"","")))))&gt;0),IF(COUNTIF($BI$90:$BP$90,8)=0,TRUE,SUMPRODUCT(($BI$90:$BP$90=8)*($AS$90:$AZ$90&lt;&gt;"")*IF(((UPPER($AS$90:$AZ$90)="BLANK")+(UPPER($AS$90:$AZ$90)="(BLANK)")+(UPPER($AS$90:$AZ$90)="EMPTY")+(UPPER($AS$90:$AZ$90)="(EMPTY)"))&gt;0,IFERROR(('Final Calculation Sheet'!$AD$40)&amp;"","")="",ISNUMBER(SEARCH($AS$90:$AZ$90,IFERROR(('Final Calculation Sheet'!$AD$40)&amp;"","")))))&gt;0))))</f>
        <v>1</v>
      </c>
      <c r="CR41">
        <f>IF($AF$4="",1,--(AND(SUMPRODUCT(--($AS$91:$AZ$91&lt;&gt;""))&gt;0,IF(COUNTIF($BI$91:$BP$91,1)=0,TRUE,SUMPRODUCT(($BI$91:$BP$91=1)*($AS$91:$AZ$91&lt;&gt;"")*IF(((UPPER($AS$91:$AZ$91)="BLANK")+(UPPER($AS$91:$AZ$91)="(BLANK)")+(UPPER($AS$91:$AZ$91)="EMPTY")+(UPPER($AS$91:$AZ$91)="(EMPTY)"))&gt;0,IFERROR(('Final Calculation Sheet'!$AE$40)&amp;"","")="",ISNUMBER(SEARCH($AS$91:$AZ$91,IFERROR(('Final Calculation Sheet'!$AE$40)&amp;"","")))))&gt;0),IF(COUNTIF($BI$91:$BP$91,2)=0,TRUE,SUMPRODUCT(($BI$91:$BP$91=2)*($AS$91:$AZ$91&lt;&gt;"")*IF(((UPPER($AS$91:$AZ$91)="BLANK")+(UPPER($AS$91:$AZ$91)="(BLANK)")+(UPPER($AS$91:$AZ$91)="EMPTY")+(UPPER($AS$91:$AZ$91)="(EMPTY)"))&gt;0,IFERROR(('Final Calculation Sheet'!$AE$40)&amp;"","")="",ISNUMBER(SEARCH($AS$91:$AZ$91,IFERROR(('Final Calculation Sheet'!$AE$40)&amp;"","")))))&gt;0),IF(COUNTIF($BI$91:$BP$91,3)=0,TRUE,SUMPRODUCT(($BI$91:$BP$91=3)*($AS$91:$AZ$91&lt;&gt;"")*IF(((UPPER($AS$91:$AZ$91)="BLANK")+(UPPER($AS$91:$AZ$91)="(BLANK)")+(UPPER($AS$91:$AZ$91)="EMPTY")+(UPPER($AS$91:$AZ$91)="(EMPTY)"))&gt;0,IFERROR(('Final Calculation Sheet'!$AE$40)&amp;"","")="",ISNUMBER(SEARCH($AS$91:$AZ$91,IFERROR(('Final Calculation Sheet'!$AE$40)&amp;"","")))))&gt;0),IF(COUNTIF($BI$91:$BP$91,4)=0,TRUE,SUMPRODUCT(($BI$91:$BP$91=4)*($AS$91:$AZ$91&lt;&gt;"")*IF(((UPPER($AS$91:$AZ$91)="BLANK")+(UPPER($AS$91:$AZ$91)="(BLANK)")+(UPPER($AS$91:$AZ$91)="EMPTY")+(UPPER($AS$91:$AZ$91)="(EMPTY)"))&gt;0,IFERROR(('Final Calculation Sheet'!$AE$40)&amp;"","")="",ISNUMBER(SEARCH($AS$91:$AZ$91,IFERROR(('Final Calculation Sheet'!$AE$40)&amp;"","")))))&gt;0),IF(COUNTIF($BI$91:$BP$91,5)=0,TRUE,SUMPRODUCT(($BI$91:$BP$91=5)*($AS$91:$AZ$91&lt;&gt;"")*IF(((UPPER($AS$91:$AZ$91)="BLANK")+(UPPER($AS$91:$AZ$91)="(BLANK)")+(UPPER($AS$91:$AZ$91)="EMPTY")+(UPPER($AS$91:$AZ$91)="(EMPTY)"))&gt;0,IFERROR(('Final Calculation Sheet'!$AE$40)&amp;"","")="",ISNUMBER(SEARCH($AS$91:$AZ$91,IFERROR(('Final Calculation Sheet'!$AE$40)&amp;"","")))))&gt;0),IF(COUNTIF($BI$91:$BP$91,6)=0,TRUE,SUMPRODUCT(($BI$91:$BP$91=6)*($AS$91:$AZ$91&lt;&gt;"")*IF(((UPPER($AS$91:$AZ$91)="BLANK")+(UPPER($AS$91:$AZ$91)="(BLANK)")+(UPPER($AS$91:$AZ$91)="EMPTY")+(UPPER($AS$91:$AZ$91)="(EMPTY)"))&gt;0,IFERROR(('Final Calculation Sheet'!$AE$40)&amp;"","")="",ISNUMBER(SEARCH($AS$91:$AZ$91,IFERROR(('Final Calculation Sheet'!$AE$40)&amp;"","")))))&gt;0),IF(COUNTIF($BI$91:$BP$91,7)=0,TRUE,SUMPRODUCT(($BI$91:$BP$91=7)*($AS$91:$AZ$91&lt;&gt;"")*IF(((UPPER($AS$91:$AZ$91)="BLANK")+(UPPER($AS$91:$AZ$91)="(BLANK)")+(UPPER($AS$91:$AZ$91)="EMPTY")+(UPPER($AS$91:$AZ$91)="(EMPTY)"))&gt;0,IFERROR(('Final Calculation Sheet'!$AE$40)&amp;"","")="",ISNUMBER(SEARCH($AS$91:$AZ$91,IFERROR(('Final Calculation Sheet'!$AE$40)&amp;"","")))))&gt;0),IF(COUNTIF($BI$91:$BP$91,8)=0,TRUE,SUMPRODUCT(($BI$91:$BP$91=8)*($AS$91:$AZ$91&lt;&gt;"")*IF(((UPPER($AS$91:$AZ$91)="BLANK")+(UPPER($AS$91:$AZ$91)="(BLANK)")+(UPPER($AS$91:$AZ$91)="EMPTY")+(UPPER($AS$91:$AZ$91)="(EMPTY)"))&gt;0,IFERROR(('Final Calculation Sheet'!$AE$40)&amp;"","")="",ISNUMBER(SEARCH($AS$91:$AZ$91,IFERROR(('Final Calculation Sheet'!$AE$40)&amp;"","")))))&gt;0))))</f>
        <v>1</v>
      </c>
      <c r="CS41">
        <f>IF($AG$4="",1,--(AND(SUMPRODUCT(--($AS$92:$AZ$92&lt;&gt;""))&gt;0,IF(COUNTIF($BI$92:$BP$92,1)=0,TRUE,SUMPRODUCT(($BI$92:$BP$92=1)*($AS$92:$AZ$92&lt;&gt;"")*IF(((UPPER($AS$92:$AZ$92)="BLANK")+(UPPER($AS$92:$AZ$92)="(BLANK)")+(UPPER($AS$92:$AZ$92)="EMPTY")+(UPPER($AS$92:$AZ$92)="(EMPTY)"))&gt;0,IFERROR(('Final Calculation Sheet'!$AF$40)&amp;"","")="",ISNUMBER(SEARCH($AS$92:$AZ$92,IFERROR(('Final Calculation Sheet'!$AF$40)&amp;"","")))))&gt;0),IF(COUNTIF($BI$92:$BP$92,2)=0,TRUE,SUMPRODUCT(($BI$92:$BP$92=2)*($AS$92:$AZ$92&lt;&gt;"")*IF(((UPPER($AS$92:$AZ$92)="BLANK")+(UPPER($AS$92:$AZ$92)="(BLANK)")+(UPPER($AS$92:$AZ$92)="EMPTY")+(UPPER($AS$92:$AZ$92)="(EMPTY)"))&gt;0,IFERROR(('Final Calculation Sheet'!$AF$40)&amp;"","")="",ISNUMBER(SEARCH($AS$92:$AZ$92,IFERROR(('Final Calculation Sheet'!$AF$40)&amp;"","")))))&gt;0),IF(COUNTIF($BI$92:$BP$92,3)=0,TRUE,SUMPRODUCT(($BI$92:$BP$92=3)*($AS$92:$AZ$92&lt;&gt;"")*IF(((UPPER($AS$92:$AZ$92)="BLANK")+(UPPER($AS$92:$AZ$92)="(BLANK)")+(UPPER($AS$92:$AZ$92)="EMPTY")+(UPPER($AS$92:$AZ$92)="(EMPTY)"))&gt;0,IFERROR(('Final Calculation Sheet'!$AF$40)&amp;"","")="",ISNUMBER(SEARCH($AS$92:$AZ$92,IFERROR(('Final Calculation Sheet'!$AF$40)&amp;"","")))))&gt;0),IF(COUNTIF($BI$92:$BP$92,4)=0,TRUE,SUMPRODUCT(($BI$92:$BP$92=4)*($AS$92:$AZ$92&lt;&gt;"")*IF(((UPPER($AS$92:$AZ$92)="BLANK")+(UPPER($AS$92:$AZ$92)="(BLANK)")+(UPPER($AS$92:$AZ$92)="EMPTY")+(UPPER($AS$92:$AZ$92)="(EMPTY)"))&gt;0,IFERROR(('Final Calculation Sheet'!$AF$40)&amp;"","")="",ISNUMBER(SEARCH($AS$92:$AZ$92,IFERROR(('Final Calculation Sheet'!$AF$40)&amp;"","")))))&gt;0),IF(COUNTIF($BI$92:$BP$92,5)=0,TRUE,SUMPRODUCT(($BI$92:$BP$92=5)*($AS$92:$AZ$92&lt;&gt;"")*IF(((UPPER($AS$92:$AZ$92)="BLANK")+(UPPER($AS$92:$AZ$92)="(BLANK)")+(UPPER($AS$92:$AZ$92)="EMPTY")+(UPPER($AS$92:$AZ$92)="(EMPTY)"))&gt;0,IFERROR(('Final Calculation Sheet'!$AF$40)&amp;"","")="",ISNUMBER(SEARCH($AS$92:$AZ$92,IFERROR(('Final Calculation Sheet'!$AF$40)&amp;"","")))))&gt;0),IF(COUNTIF($BI$92:$BP$92,6)=0,TRUE,SUMPRODUCT(($BI$92:$BP$92=6)*($AS$92:$AZ$92&lt;&gt;"")*IF(((UPPER($AS$92:$AZ$92)="BLANK")+(UPPER($AS$92:$AZ$92)="(BLANK)")+(UPPER($AS$92:$AZ$92)="EMPTY")+(UPPER($AS$92:$AZ$92)="(EMPTY)"))&gt;0,IFERROR(('Final Calculation Sheet'!$AF$40)&amp;"","")="",ISNUMBER(SEARCH($AS$92:$AZ$92,IFERROR(('Final Calculation Sheet'!$AF$40)&amp;"","")))))&gt;0),IF(COUNTIF($BI$92:$BP$92,7)=0,TRUE,SUMPRODUCT(($BI$92:$BP$92=7)*($AS$92:$AZ$92&lt;&gt;"")*IF(((UPPER($AS$92:$AZ$92)="BLANK")+(UPPER($AS$92:$AZ$92)="(BLANK)")+(UPPER($AS$92:$AZ$92)="EMPTY")+(UPPER($AS$92:$AZ$92)="(EMPTY)"))&gt;0,IFERROR(('Final Calculation Sheet'!$AF$40)&amp;"","")="",ISNUMBER(SEARCH($AS$92:$AZ$92,IFERROR(('Final Calculation Sheet'!$AF$40)&amp;"","")))))&gt;0),IF(COUNTIF($BI$92:$BP$92,8)=0,TRUE,SUMPRODUCT(($BI$92:$BP$92=8)*($AS$92:$AZ$92&lt;&gt;"")*IF(((UPPER($AS$92:$AZ$92)="BLANK")+(UPPER($AS$92:$AZ$92)="(BLANK)")+(UPPER($AS$92:$AZ$92)="EMPTY")+(UPPER($AS$92:$AZ$92)="(EMPTY)"))&gt;0,IFERROR(('Final Calculation Sheet'!$AF$40)&amp;"","")="",ISNUMBER(SEARCH($AS$92:$AZ$92,IFERROR(('Final Calculation Sheet'!$AF$40)&amp;"","")))))&gt;0))))</f>
        <v>1</v>
      </c>
      <c r="CT41">
        <f>IF($AH$4="",1,--(AND(SUMPRODUCT(--($AS$93:$AZ$93&lt;&gt;""))&gt;0,IF(COUNTIF($BI$93:$BP$93,1)=0,TRUE,SUMPRODUCT(($BI$93:$BP$93=1)*($AS$93:$AZ$93&lt;&gt;"")*IF(((UPPER($AS$93:$AZ$93)="BLANK")+(UPPER($AS$93:$AZ$93)="(BLANK)")+(UPPER($AS$93:$AZ$93)="EMPTY")+(UPPER($AS$93:$AZ$93)="(EMPTY)"))&gt;0,IFERROR(('Final Calculation Sheet'!$AG$40)&amp;"","")="",ISNUMBER(SEARCH($AS$93:$AZ$93,IFERROR(('Final Calculation Sheet'!$AG$40)&amp;"","")))))&gt;0),IF(COUNTIF($BI$93:$BP$93,2)=0,TRUE,SUMPRODUCT(($BI$93:$BP$93=2)*($AS$93:$AZ$93&lt;&gt;"")*IF(((UPPER($AS$93:$AZ$93)="BLANK")+(UPPER($AS$93:$AZ$93)="(BLANK)")+(UPPER($AS$93:$AZ$93)="EMPTY")+(UPPER($AS$93:$AZ$93)="(EMPTY)"))&gt;0,IFERROR(('Final Calculation Sheet'!$AG$40)&amp;"","")="",ISNUMBER(SEARCH($AS$93:$AZ$93,IFERROR(('Final Calculation Sheet'!$AG$40)&amp;"","")))))&gt;0),IF(COUNTIF($BI$93:$BP$93,3)=0,TRUE,SUMPRODUCT(($BI$93:$BP$93=3)*($AS$93:$AZ$93&lt;&gt;"")*IF(((UPPER($AS$93:$AZ$93)="BLANK")+(UPPER($AS$93:$AZ$93)="(BLANK)")+(UPPER($AS$93:$AZ$93)="EMPTY")+(UPPER($AS$93:$AZ$93)="(EMPTY)"))&gt;0,IFERROR(('Final Calculation Sheet'!$AG$40)&amp;"","")="",ISNUMBER(SEARCH($AS$93:$AZ$93,IFERROR(('Final Calculation Sheet'!$AG$40)&amp;"","")))))&gt;0),IF(COUNTIF($BI$93:$BP$93,4)=0,TRUE,SUMPRODUCT(($BI$93:$BP$93=4)*($AS$93:$AZ$93&lt;&gt;"")*IF(((UPPER($AS$93:$AZ$93)="BLANK")+(UPPER($AS$93:$AZ$93)="(BLANK)")+(UPPER($AS$93:$AZ$93)="EMPTY")+(UPPER($AS$93:$AZ$93)="(EMPTY)"))&gt;0,IFERROR(('Final Calculation Sheet'!$AG$40)&amp;"","")="",ISNUMBER(SEARCH($AS$93:$AZ$93,IFERROR(('Final Calculation Sheet'!$AG$40)&amp;"","")))))&gt;0),IF(COUNTIF($BI$93:$BP$93,5)=0,TRUE,SUMPRODUCT(($BI$93:$BP$93=5)*($AS$93:$AZ$93&lt;&gt;"")*IF(((UPPER($AS$93:$AZ$93)="BLANK")+(UPPER($AS$93:$AZ$93)="(BLANK)")+(UPPER($AS$93:$AZ$93)="EMPTY")+(UPPER($AS$93:$AZ$93)="(EMPTY)"))&gt;0,IFERROR(('Final Calculation Sheet'!$AG$40)&amp;"","")="",ISNUMBER(SEARCH($AS$93:$AZ$93,IFERROR(('Final Calculation Sheet'!$AG$40)&amp;"","")))))&gt;0),IF(COUNTIF($BI$93:$BP$93,6)=0,TRUE,SUMPRODUCT(($BI$93:$BP$93=6)*($AS$93:$AZ$93&lt;&gt;"")*IF(((UPPER($AS$93:$AZ$93)="BLANK")+(UPPER($AS$93:$AZ$93)="(BLANK)")+(UPPER($AS$93:$AZ$93)="EMPTY")+(UPPER($AS$93:$AZ$93)="(EMPTY)"))&gt;0,IFERROR(('Final Calculation Sheet'!$AG$40)&amp;"","")="",ISNUMBER(SEARCH($AS$93:$AZ$93,IFERROR(('Final Calculation Sheet'!$AG$40)&amp;"","")))))&gt;0),IF(COUNTIF($BI$93:$BP$93,7)=0,TRUE,SUMPRODUCT(($BI$93:$BP$93=7)*($AS$93:$AZ$93&lt;&gt;"")*IF(((UPPER($AS$93:$AZ$93)="BLANK")+(UPPER($AS$93:$AZ$93)="(BLANK)")+(UPPER($AS$93:$AZ$93)="EMPTY")+(UPPER($AS$93:$AZ$93)="(EMPTY)"))&gt;0,IFERROR(('Final Calculation Sheet'!$AG$40)&amp;"","")="",ISNUMBER(SEARCH($AS$93:$AZ$93,IFERROR(('Final Calculation Sheet'!$AG$40)&amp;"","")))))&gt;0),IF(COUNTIF($BI$93:$BP$93,8)=0,TRUE,SUMPRODUCT(($BI$93:$BP$93=8)*($AS$93:$AZ$93&lt;&gt;"")*IF(((UPPER($AS$93:$AZ$93)="BLANK")+(UPPER($AS$93:$AZ$93)="(BLANK)")+(UPPER($AS$93:$AZ$93)="EMPTY")+(UPPER($AS$93:$AZ$93)="(EMPTY)"))&gt;0,IFERROR(('Final Calculation Sheet'!$AG$40)&amp;"","")="",ISNUMBER(SEARCH($AS$93:$AZ$93,IFERROR(('Final Calculation Sheet'!$AG$40)&amp;"","")))))&gt;0))))</f>
        <v>1</v>
      </c>
      <c r="CU41">
        <f>IF($AI$4="",1,--(AND(SUMPRODUCT(--($AS$94:$AZ$94&lt;&gt;""))&gt;0,IF(COUNTIF($BI$94:$BP$94,1)=0,TRUE,SUMPRODUCT(($BI$94:$BP$94=1)*($AS$94:$AZ$94&lt;&gt;"")*IF(((UPPER($AS$94:$AZ$94)="BLANK")+(UPPER($AS$94:$AZ$94)="(BLANK)")+(UPPER($AS$94:$AZ$94)="EMPTY")+(UPPER($AS$94:$AZ$94)="(EMPTY)"))&gt;0,IFERROR((IF('Final Calculation Sheet'!$AD$40&lt;=0,"SETTLED","OUTSTANDING"))&amp;"","")="",ISNUMBER(SEARCH($AS$94:$AZ$94,IFERROR((IF('Final Calculation Sheet'!$AD$40&lt;=0,"SETTLED","OUTSTANDING"))&amp;"","")))))&gt;0),IF(COUNTIF($BI$94:$BP$94,2)=0,TRUE,SUMPRODUCT(($BI$94:$BP$94=2)*($AS$94:$AZ$94&lt;&gt;"")*IF(((UPPER($AS$94:$AZ$94)="BLANK")+(UPPER($AS$94:$AZ$94)="(BLANK)")+(UPPER($AS$94:$AZ$94)="EMPTY")+(UPPER($AS$94:$AZ$94)="(EMPTY)"))&gt;0,IFERROR((IF('Final Calculation Sheet'!$AD$40&lt;=0,"SETTLED","OUTSTANDING"))&amp;"","")="",ISNUMBER(SEARCH($AS$94:$AZ$94,IFERROR((IF('Final Calculation Sheet'!$AD$40&lt;=0,"SETTLED","OUTSTANDING"))&amp;"","")))))&gt;0),IF(COUNTIF($BI$94:$BP$94,3)=0,TRUE,SUMPRODUCT(($BI$94:$BP$94=3)*($AS$94:$AZ$94&lt;&gt;"")*IF(((UPPER($AS$94:$AZ$94)="BLANK")+(UPPER($AS$94:$AZ$94)="(BLANK)")+(UPPER($AS$94:$AZ$94)="EMPTY")+(UPPER($AS$94:$AZ$94)="(EMPTY)"))&gt;0,IFERROR((IF('Final Calculation Sheet'!$AD$40&lt;=0,"SETTLED","OUTSTANDING"))&amp;"","")="",ISNUMBER(SEARCH($AS$94:$AZ$94,IFERROR((IF('Final Calculation Sheet'!$AD$40&lt;=0,"SETTLED","OUTSTANDING"))&amp;"","")))))&gt;0),IF(COUNTIF($BI$94:$BP$94,4)=0,TRUE,SUMPRODUCT(($BI$94:$BP$94=4)*($AS$94:$AZ$94&lt;&gt;"")*IF(((UPPER($AS$94:$AZ$94)="BLANK")+(UPPER($AS$94:$AZ$94)="(BLANK)")+(UPPER($AS$94:$AZ$94)="EMPTY")+(UPPER($AS$94:$AZ$94)="(EMPTY)"))&gt;0,IFERROR((IF('Final Calculation Sheet'!$AD$40&lt;=0,"SETTLED","OUTSTANDING"))&amp;"","")="",ISNUMBER(SEARCH($AS$94:$AZ$94,IFERROR((IF('Final Calculation Sheet'!$AD$40&lt;=0,"SETTLED","OUTSTANDING"))&amp;"","")))))&gt;0),IF(COUNTIF($BI$94:$BP$94,5)=0,TRUE,SUMPRODUCT(($BI$94:$BP$94=5)*($AS$94:$AZ$94&lt;&gt;"")*IF(((UPPER($AS$94:$AZ$94)="BLANK")+(UPPER($AS$94:$AZ$94)="(BLANK)")+(UPPER($AS$94:$AZ$94)="EMPTY")+(UPPER($AS$94:$AZ$94)="(EMPTY)"))&gt;0,IFERROR((IF('Final Calculation Sheet'!$AD$40&lt;=0,"SETTLED","OUTSTANDING"))&amp;"","")="",ISNUMBER(SEARCH($AS$94:$AZ$94,IFERROR((IF('Final Calculation Sheet'!$AD$40&lt;=0,"SETTLED","OUTSTANDING"))&amp;"","")))))&gt;0),IF(COUNTIF($BI$94:$BP$94,6)=0,TRUE,SUMPRODUCT(($BI$94:$BP$94=6)*($AS$94:$AZ$94&lt;&gt;"")*IF(((UPPER($AS$94:$AZ$94)="BLANK")+(UPPER($AS$94:$AZ$94)="(BLANK)")+(UPPER($AS$94:$AZ$94)="EMPTY")+(UPPER($AS$94:$AZ$94)="(EMPTY)"))&gt;0,IFERROR((IF('Final Calculation Sheet'!$AD$40&lt;=0,"SETTLED","OUTSTANDING"))&amp;"","")="",ISNUMBER(SEARCH($AS$94:$AZ$94,IFERROR((IF('Final Calculation Sheet'!$AD$40&lt;=0,"SETTLED","OUTSTANDING"))&amp;"","")))))&gt;0),IF(COUNTIF($BI$94:$BP$94,7)=0,TRUE,SUMPRODUCT(($BI$94:$BP$94=7)*($AS$94:$AZ$94&lt;&gt;"")*IF(((UPPER($AS$94:$AZ$94)="BLANK")+(UPPER($AS$94:$AZ$94)="(BLANK)")+(UPPER($AS$94:$AZ$94)="EMPTY")+(UPPER($AS$94:$AZ$94)="(EMPTY)"))&gt;0,IFERROR((IF('Final Calculation Sheet'!$AD$40&lt;=0,"SETTLED","OUTSTANDING"))&amp;"","")="",ISNUMBER(SEARCH($AS$94:$AZ$94,IFERROR((IF('Final Calculation Sheet'!$AD$40&lt;=0,"SETTLED","OUTSTANDING"))&amp;"","")))))&gt;0),IF(COUNTIF($BI$94:$BP$94,8)=0,TRUE,SUMPRODUCT(($BI$94:$BP$94=8)*($AS$94:$AZ$94&lt;&gt;"")*IF(((UPPER($AS$94:$AZ$94)="BLANK")+(UPPER($AS$94:$AZ$94)="(BLANK)")+(UPPER($AS$94:$AZ$94)="EMPTY")+(UPPER($AS$94:$AZ$94)="(EMPTY)"))&gt;0,IFERROR((IF('Final Calculation Sheet'!$AD$40&lt;=0,"SETTLED","OUTSTANDING"))&amp;"","")="",ISNUMBER(SEARCH($AS$94:$AZ$94,IFERROR((IF('Final Calculation Sheet'!$AD$40&lt;=0,"SETTLED","OUTSTANDING"))&amp;"","")))))&gt;0))))</f>
        <v>1</v>
      </c>
    </row>
    <row r="42" spans="1:99" ht="15" customHeight="1" x14ac:dyDescent="0.25">
      <c r="A42" s="67">
        <f>IF($BJ41&gt;0,INDEX($BA$5:$BA$41,MATCH(41,$BB$5:$BB$41,0)),IF(OR($BI41=1,$BL41=1,$BH41&gt;0),"∑",""))</f>
        <v>25</v>
      </c>
      <c r="B42" s="68">
        <f>IF($BJ41&gt;0,IF(INDEX('Final Calculation Sheet'!$F$4:$F$40,$BJ41-3)="","",INDEX('Final Calculation Sheet'!$F$4:$F$40,$BJ41-3)),"")</f>
        <v>2071</v>
      </c>
      <c r="C42" s="68" t="str">
        <f>IF($BJ41&gt;0,IF(INDEX('Final Calculation Sheet'!$G$4:$G$40,$BJ41-3)="","",INDEX('Final Calculation Sheet'!$G$4:$G$40,$BJ41-3)),IF(OR($BI41=1,$BL41=1,$BH41&gt;0),IF($BI41=1,37,IF($BL41=1,37-INDEX($BD$4:$BD$13,10),INDEX($BD$4:$BD$13,$BH41)))&amp;" lot(s)",""))</f>
        <v>NATIONAL ENTERPRISES</v>
      </c>
      <c r="D42" s="69" t="str">
        <f>IF($BJ41&gt;0,IF(INDEX('Final Calculation Sheet'!$B$4:$B$40,$BJ41-3)="","",INDEX('Final Calculation Sheet'!$B$4:$B$40,$BJ41-3)),IF(OR($BI41=1,$BL41=1,$BH41&gt;0),IF($BI41=1,"GRAND TOTAL  —  matching + remaining",IF($BL41=1,"TOTAL MATCHED  —  every group together",IF($BH41=10,"REMAINING  —  did not match the search",IF($BH41=9,IF(COUNTIF($A$4:$AI$4,"&lt;&gt;")&gt;0,"FILTERED LOTS  —  column fields","ALL LOTS  —  nothing typed in the box"),"GROUP "&amp;$BH41&amp;" TOTAL  —  lots matching  "&amp;INDEX($AR$6:$AY$6,$BH41))))),""))</f>
        <v>Scrap of 66 KV Isolater</v>
      </c>
      <c r="E42" s="69">
        <f>IF($BJ41&gt;0,IF(INDEX('Final Calculation Sheet'!$D$4:$D$40,$BJ41-3)="","",INDEX('Final Calculation Sheet'!$D$4:$D$40,$BJ41-3)),IF(OR($BI41=1,$BL41=1,$BH41&gt;0),"–",""))</f>
        <v>21980</v>
      </c>
      <c r="F42" s="69">
        <f>IF($BJ41&gt;0,IF(INDEX('Final Calculation Sheet'!$A$4:$A$40,$BJ41-3)="","",INDEX('Final Calculation Sheet'!$A$4:$A$40,$BJ41-3)),IF(OR($BI41=1,$BL41=1,$BH41&gt;0),IF($BI41=1,SUM('Final Calculation Sheet'!$A$4:$A$40),IF($BL41=1,SUM('Final Calculation Sheet'!$A$4:$A$40)-SUMIFS('Final Calculation Sheet'!$A$4:$A$40,$AZ$5:$AZ$41,10),SUMIFS('Final Calculation Sheet'!$A$4:$A$40,$AZ$5:$AZ$41,$BH41))),""))</f>
        <v>3</v>
      </c>
      <c r="G42" s="69" t="str">
        <f>IF($BJ41&gt;0,IF(INDEX('Final Calculation Sheet'!$E$4:$E$40,$BJ41-3)="","",INDEX('Final Calculation Sheet'!$E$4:$E$40,$BJ41-3)),IF(OR($BI41=1,$BL41=1,$BH41&gt;0),"–",""))</f>
        <v>NO</v>
      </c>
      <c r="H42" s="70">
        <f>IF($BJ41&gt;0,IF(INDEX('Final Calculation Sheet'!$C$4:$C$40,$BJ41-3)="","",INDEX('Final Calculation Sheet'!$C$4:$C$40,$BJ41-3)),IF(OR($BI41=1,$BL41=1,$BH41&gt;0),"–",""))</f>
        <v>25001</v>
      </c>
      <c r="I42" s="70">
        <f>IF($BJ41&gt;0,IF(INDEX('Final Calculation Sheet'!$H$4:$H$40,$BJ41-3)="","",INDEX('Final Calculation Sheet'!$H$4:$H$40,$BJ41-3)),IF(OR($BI41=1,$BL41=1,$BH41&gt;0),IF($BI41=1,SUM('Final Calculation Sheet'!$H$4:$H$40),IF($BL41=1,SUM('Final Calculation Sheet'!$H$4:$H$40)-SUMIFS('Final Calculation Sheet'!$H$4:$H$40,$AZ$5:$AZ$41,10),SUMIFS('Final Calculation Sheet'!$H$4:$H$40,$AZ$5:$AZ$41,$BH41))),""))</f>
        <v>75003</v>
      </c>
      <c r="J42" s="70">
        <f>IF($BJ41&gt;0,IF(INDEX('Final Calculation Sheet'!$I$4:$I$40,$BJ41-3)="","",INDEX('Final Calculation Sheet'!$I$4:$I$40,$BJ41-3)),IF(OR($BI41=1,$BL41=1,$BH41&gt;0),IF($BI41=1,SUM('Final Calculation Sheet'!$I$4:$I$40),IF($BL41=1,SUM('Final Calculation Sheet'!$I$4:$I$40)-SUMIFS('Final Calculation Sheet'!$I$4:$I$40,$AZ$5:$AZ$41,10),SUMIFS('Final Calculation Sheet'!$I$4:$I$40,$AZ$5:$AZ$41,$BH41))),""))</f>
        <v>13501</v>
      </c>
      <c r="K42" s="70">
        <f>IF($BJ41&gt;0,IF(INDEX('Final Calculation Sheet'!$J$4:$J$40,$BJ41-3)="","",INDEX('Final Calculation Sheet'!$J$4:$J$40,$BJ41-3)),IF(OR($BI41=1,$BL41=1,$BH41&gt;0),IF($BI41=1,SUM('Final Calculation Sheet'!$J$4:$J$40),IF($BL41=1,SUM('Final Calculation Sheet'!$J$4:$J$40)-SUMIFS('Final Calculation Sheet'!$J$4:$J$40,$AZ$5:$AZ$41,10),SUMIFS('Final Calculation Sheet'!$J$4:$J$40,$AZ$5:$AZ$41,$BH41))),""))</f>
        <v>88504</v>
      </c>
      <c r="L42" s="70">
        <f>IF($BJ41&gt;0,IF(INDEX('Final Calculation Sheet'!$K$4:$K$40,$BJ41-3)="","",INDEX('Final Calculation Sheet'!$K$4:$K$40,$BJ41-3)),IF(OR($BI41=1,$BL41=1,$BH41&gt;0),IF($BI41=1,SUM('Final Calculation Sheet'!$K$4:$K$40),IF($BL41=1,SUM('Final Calculation Sheet'!$K$4:$K$40)-SUMIFS('Final Calculation Sheet'!$K$4:$K$40,$AZ$5:$AZ$41,10),SUMIFS('Final Calculation Sheet'!$K$4:$K$40,$AZ$5:$AZ$41,$BH41))),""))</f>
        <v>1770</v>
      </c>
      <c r="M42" s="70">
        <f>IF($BJ41&gt;0,IF(INDEX('Final Calculation Sheet'!$L$4:$L$40,$BJ41-3)="","",INDEX('Final Calculation Sheet'!$L$4:$L$40,$BJ41-3)),IF(OR($BI41=1,$BL41=1,$BH41&gt;0),IF($BI41=1,SUM('Final Calculation Sheet'!$L$4:$L$40),IF($BL41=1,SUM('Final Calculation Sheet'!$L$4:$L$40)-SUMIFS('Final Calculation Sheet'!$L$4:$L$40,$AZ$5:$AZ$41,10),SUMIFS('Final Calculation Sheet'!$L$4:$L$40,$AZ$5:$AZ$41,$BH41))),""))</f>
        <v>75.003</v>
      </c>
      <c r="N42" s="70">
        <f>IF($BJ41&gt;0,IF(INDEX('Final Calculation Sheet'!$M$4:$M$40,$BJ41-3)="","",INDEX('Final Calculation Sheet'!$M$4:$M$40,$BJ41-3)),IF(OR($BI41=1,$BL41=1,$BH41&gt;0),IF($BI41=1,SUM('Final Calculation Sheet'!$M$4:$M$40),IF($BL41=1,SUM('Final Calculation Sheet'!$M$4:$M$40)-SUMIFS('Final Calculation Sheet'!$M$4:$M$40,$AZ$5:$AZ$41,10),SUMIFS('Final Calculation Sheet'!$M$4:$M$40,$AZ$5:$AZ$41,$BH41))),""))</f>
        <v>1991.3296499999997</v>
      </c>
      <c r="O42" s="71">
        <f>IF($BJ41&gt;0,IF(INDEX('Final Calculation Sheet'!$N$4:$N$40,$BJ41-3)="","",INDEX('Final Calculation Sheet'!$N$4:$N$40,$BJ41-3)),IF(OR($BI41=1,$BL41=1,$BH41&gt;0),IF($BI41=1,SUM('Final Calculation Sheet'!$N$4:$N$40),IF($BL41=1,SUM('Final Calculation Sheet'!$N$4:$N$40)-SUMIFS('Final Calculation Sheet'!$N$4:$N$40,$AZ$5:$AZ$41,10),SUMIFS('Final Calculation Sheet'!$N$4:$N$40,$AZ$5:$AZ$41,$BH41))),""))</f>
        <v>33.751349999999995</v>
      </c>
      <c r="P42" s="70">
        <f>IF($BJ41&gt;0,IF(INDEX('Final Calculation Sheet'!$O$4:$O$40,$BJ41-3)="","",INDEX('Final Calculation Sheet'!$O$4:$O$40,$BJ41-3)),IF(OR($BI41=1,$BL41=1,$BH41&gt;0),IF($BI41=1,SUM('Final Calculation Sheet'!$O$4:$O$40),IF($BL41=1,SUM('Final Calculation Sheet'!$O$4:$O$40)-SUMIFS('Final Calculation Sheet'!$O$4:$O$40,$AZ$5:$AZ$41,10),SUMIFS('Final Calculation Sheet'!$O$4:$O$40,$AZ$5:$AZ$41,$BH41))),""))</f>
        <v>1957.5782999999997</v>
      </c>
      <c r="Q42" s="70">
        <f>IF($BJ41&gt;0,IF(INDEX('Final Calculation Sheet'!$P$4:$P$40,$BJ41-3)="","",INDEX('Final Calculation Sheet'!$P$4:$P$40,$BJ41-3)),IF(OR($BI41=1,$BL41=1,$BH41&gt;0),IF($BI41=1,SUM('Final Calculation Sheet'!$P$4:$P$40),IF($BL41=1,SUM('Final Calculation Sheet'!$P$4:$P$40)-SUMIFS('Final Calculation Sheet'!$P$4:$P$40,$AZ$5:$AZ$41,10),SUMIFS('Final Calculation Sheet'!$P$4:$P$40,$AZ$5:$AZ$41,$BH41))),""))</f>
        <v>2033</v>
      </c>
      <c r="R42" s="72">
        <f>IF($BJ41&gt;0,IF(INDEX('Final Calculation Sheet'!$Q$4:$Q$40,$BJ41-3)="","",INDEX('Final Calculation Sheet'!$Q$4:$Q$40,$BJ41-3)),IF(OR($BI41=1,$BL41=1,$BH41&gt;0),"–",""))</f>
        <v>0</v>
      </c>
      <c r="S42" s="70">
        <f>IF($BJ41&gt;0,IF(INDEX('Final Calculation Sheet'!$R$4:$R$40,$BJ41-3)="","",INDEX('Final Calculation Sheet'!$R$4:$R$40,$BJ41-3)),IF(OR($BI41=1,$BL41=1,$BH41&gt;0),IF($BI41=1,SUM('Final Calculation Sheet'!$R$4:$R$40),IF($BL41=1,SUM('Final Calculation Sheet'!$R$4:$R$40)-SUMIFS('Final Calculation Sheet'!$R$4:$R$40,$AZ$5:$AZ$41,10),SUMIFS('Final Calculation Sheet'!$R$4:$R$40,$AZ$5:$AZ$41,$BH41))),""))</f>
        <v>0</v>
      </c>
      <c r="T42" s="70">
        <f>IF($BJ41&gt;0,IF(INDEX('Final Calculation Sheet'!$S$4:$S$40,$BJ41-3)="","",INDEX('Final Calculation Sheet'!$S$4:$S$40,$BJ41-3)),IF(OR($BI41=1,$BL41=1,$BH41&gt;0),IF($BI41=1,SUM('Final Calculation Sheet'!$S$4:$S$40),IF($BL41=1,SUM('Final Calculation Sheet'!$S$4:$S$40)-SUMIFS('Final Calculation Sheet'!$S$4:$S$40,$AZ$5:$AZ$41,10),SUMIFS('Final Calculation Sheet'!$S$4:$S$40,$AZ$5:$AZ$41,$BH41))),""))</f>
        <v>88241</v>
      </c>
      <c r="U42" s="70">
        <f>IF($BJ41&gt;0,IF(INDEX('Final Calculation Sheet'!$T$4:$T$40,$BJ41-3)="","",INDEX('Final Calculation Sheet'!$T$4:$T$40,$BJ41-3)),IF(OR($BI41=1,$BL41=1,$BH41&gt;0),IF($BI41=1,SUM('Final Calculation Sheet'!$T$4:$T$40),IF($BL41=1,SUM('Final Calculation Sheet'!$T$4:$T$40)-SUMIFS('Final Calculation Sheet'!$T$4:$T$40,$AZ$5:$AZ$41,10),SUMIFS('Final Calculation Sheet'!$T$4:$T$40,$AZ$5:$AZ$41,$BH41))),""))</f>
        <v>18751</v>
      </c>
      <c r="V42" s="73">
        <f>IF($BJ41&gt;0,IF(INDEX('Final Calculation Sheet'!$U$4:$U$40,$BJ41-3)="","",INDEX('Final Calculation Sheet'!$U$4:$U$40,$BJ41-3)),IF(OR($BI41=1,$BL41=1,$BH41&gt;0),IF($BI41=1,SUM('Final Calculation Sheet'!$U$4:$U$40),IF($BL41=1,SUM('Final Calculation Sheet'!$U$4:$U$40)-SUMIFS('Final Calculation Sheet'!$U$4:$U$40,$AZ$5:$AZ$41,10),SUMIFS('Final Calculation Sheet'!$U$4:$U$40,$AZ$5:$AZ$41,$BH41))),""))</f>
        <v>18751</v>
      </c>
      <c r="W42" s="70" t="str">
        <f>IF($BJ41&gt;0,IF(INDEX('Final Calculation Sheet'!$V$4:$V$40,$BJ41-3)="","",INDEX('Final Calculation Sheet'!$V$4:$V$40,$BJ41-3)),IF(OR($BI41=1,$BL41=1,$BH41&gt;0),"–",""))</f>
        <v>13.08.2026</v>
      </c>
      <c r="X42" s="70">
        <f>IF($BJ41&gt;0,IF(INDEX('Final Calculation Sheet'!$W$4:$W$40,$BJ41-3)="","",INDEX('Final Calculation Sheet'!$W$4:$W$40,$BJ41-3)),IF(OR($BI41=1,$BL41=1,$BH41&gt;0),IF($BI41=1,SUM('Final Calculation Sheet'!$W$4:$W$40),IF($BL41=1,SUM('Final Calculation Sheet'!$W$4:$W$40)-SUMIFS('Final Calculation Sheet'!$W$4:$W$40,$AZ$5:$AZ$41,10),SUMIFS('Final Calculation Sheet'!$W$4:$W$40,$AZ$5:$AZ$41,$BH41))),""))</f>
        <v>69490</v>
      </c>
      <c r="Y42" s="70">
        <f>IF($BJ41&gt;0,IF(INDEX('Final Calculation Sheet'!$X$4:$X$40,$BJ41-3)="","",INDEX('Final Calculation Sheet'!$X$4:$X$40,$BJ41-3)),IF(OR($BI41=1,$BL41=1,$BH41&gt;0),IF($BI41=1,SUM('Final Calculation Sheet'!$X$4:$X$40),IF($BL41=1,SUM('Final Calculation Sheet'!$X$4:$X$40)-SUMIFS('Final Calculation Sheet'!$X$4:$X$40,$AZ$5:$AZ$41,10),SUMIFS('Final Calculation Sheet'!$X$4:$X$40,$AZ$5:$AZ$41,$BH41))),""))</f>
        <v>69491</v>
      </c>
      <c r="Z42" s="70" t="str">
        <f>IF($BJ41&gt;0,IF(INDEX('Final Calculation Sheet'!$Y$4:$Y$40,$BJ41-3)="","",INDEX('Final Calculation Sheet'!$Y$4:$Y$40,$BJ41-3)),IF(OR($BI41=1,$BL41=1,$BH41&gt;0),"–",""))</f>
        <v>24.08.2026</v>
      </c>
      <c r="AA42" s="70">
        <f ca="1">IF($BJ41&gt;0,IF(INDEX('Final Calculation Sheet'!$Z$4:$Z$40,$BJ41-3)="","",INDEX('Final Calculation Sheet'!$Z$4:$Z$40,$BJ41-3)),IF(OR($BI41=1,$BL41=1,$BH41&gt;0),IF($BI41=1,SUM('Final Calculation Sheet'!$Z$4:$Z$40),IF($BL41=1,SUM('Final Calculation Sheet'!$Z$4:$Z$40)-SUMIFS('Final Calculation Sheet'!$Z$4:$Z$40,$AZ$5:$AZ$41,10),SUMIFS('Final Calculation Sheet'!$Z$4:$Z$40,$AZ$5:$AZ$41,$BH41))),""))</f>
        <v>0</v>
      </c>
      <c r="AB42" s="70" t="str">
        <f>IF($BJ41&gt;0,IF(INDEX('Final Calculation Sheet'!$AA$4:$AA$40,$BJ41-3)="","",INDEX('Final Calculation Sheet'!$AA$4:$AA$40,$BJ41-3)),IF(OR($BI41=1,$BL41=1,$BH41&gt;0),IF($BI41=1,SUM('Final Calculation Sheet'!$AA$4:$AA$40),IF($BL41=1,SUM('Final Calculation Sheet'!$AA$4:$AA$40)-SUMIFS('Final Calculation Sheet'!$AA$4:$AA$40,$AZ$5:$AZ$41,10),SUMIFS('Final Calculation Sheet'!$AA$4:$AA$40,$AZ$5:$AZ$41,$BH41))),""))</f>
        <v/>
      </c>
      <c r="AC42" s="70" t="str">
        <f>IF($BJ41&gt;0,IF(INDEX('Final Calculation Sheet'!$AB$4:$AB$40,$BJ41-3)="","",INDEX('Final Calculation Sheet'!$AB$4:$AB$40,$BJ41-3)),IF(OR($BI41=1,$BL41=1,$BH41&gt;0),"–",""))</f>
        <v/>
      </c>
      <c r="AD42" s="70">
        <f>IF($BJ41&gt;0,IF(INDEX('Final Calculation Sheet'!$AC$4:$AC$40,$BJ41-3)="","",INDEX('Final Calculation Sheet'!$AC$4:$AC$40,$BJ41-3)),IF(OR($BI41=1,$BL41=1,$BH41&gt;0),IF($BI41=1,SUM('Final Calculation Sheet'!$AC$4:$AC$40),IF($BL41=1,SUM('Final Calculation Sheet'!$AC$4:$AC$40)-SUMIFS('Final Calculation Sheet'!$AC$4:$AC$40,$AZ$5:$AZ$41,10),SUMIFS('Final Calculation Sheet'!$AC$4:$AC$40,$AZ$5:$AZ$41,$BH41))),""))</f>
        <v>88242</v>
      </c>
      <c r="AE42" s="70">
        <f>IF($BJ41&gt;0,IF(INDEX('Final Calculation Sheet'!$AD$4:$AD$40,$BJ41-3)="","",INDEX('Final Calculation Sheet'!$AD$4:$AD$40,$BJ41-3)),IF(OR($BI41=1,$BL41=1,$BH41&gt;0),IF($BI41=1,SUM('Final Calculation Sheet'!$AD$4:$AD$40),IF($BL41=1,SUM('Final Calculation Sheet'!$AD$4:$AD$40)-SUMIFS('Final Calculation Sheet'!$AD$4:$AD$40,$AZ$5:$AZ$41,10),SUMIFS('Final Calculation Sheet'!$AD$4:$AD$40,$AZ$5:$AZ$41,$BH41))),""))</f>
        <v>-1</v>
      </c>
      <c r="AF42" s="70" t="str">
        <f>IF($BJ41&gt;0,IF(INDEX('Final Calculation Sheet'!$AE$4:$AE$40,$BJ41-3)="","",INDEX('Final Calculation Sheet'!$AE$4:$AE$40,$BJ41-3)),IF(OR($BI41=1,$BL41=1,$BH41&gt;0),"–",""))</f>
        <v>DR2640100040</v>
      </c>
      <c r="AG42" s="74">
        <f>IF($BJ41&gt;0,IF(INDEX('Final Calculation Sheet'!$AF$4:$AF$40,$BJ41-3)="","",INDEX('Final Calculation Sheet'!$AF$4:$AF$40,$BJ41-3)),IF(OR($BI41=1,$BL41=1,$BH41&gt;0),"–",""))</f>
        <v>1800003314</v>
      </c>
      <c r="AH42" s="70" t="str">
        <f>IF($BJ41&gt;0,IF(INDEX('Final Calculation Sheet'!$AG$4:$AG$40,$BJ41-3)="","",INDEX('Final Calculation Sheet'!$AG$4:$AG$40,$BJ41-3)),IF(OR($BI41=1,$BL41=1,$BH41&gt;0),"–",""))</f>
        <v>27.08.2026</v>
      </c>
      <c r="AI42" s="75" t="str">
        <f>IF($BJ41&gt;0,IF(INDEX('Final Calculation Sheet'!$AD$4:$AD$40,$BJ41-3)="","",IF(INDEX('Final Calculation Sheet'!$AD$4:$AD$40,$BJ41-3)&lt;=0,"SETTLED","OUTSTANDING")),IF(OR($BI41=1,$BL41=1,$BH41&gt;0),IF(IF($BI41=1,SUM('Final Calculation Sheet'!$AD$4:$AD$40),IF($BL41=1,SUM('Final Calculation Sheet'!$AD$4:$AD$40)-SUMIFS('Final Calculation Sheet'!$AD$4:$AD$40,$AZ$5:$AZ$41,10),SUMIFS('Final Calculation Sheet'!$AD$4:$AD$40,$AZ$5:$AZ$41,$BH41)))&lt;=0,"ALL SETTLED","OUTSTANDING"),""))</f>
        <v>SETTLED</v>
      </c>
      <c r="BH42">
        <f>IFERROR(MATCH(42,$BF$4:$BF$13,0),0)</f>
        <v>0</v>
      </c>
      <c r="BI42">
        <f>IF(42=$BG$5,1,0)</f>
        <v>0</v>
      </c>
      <c r="BJ42">
        <f>IF(OR($BH42&gt;0,$BI42=1,$BL42=1),0,IFERROR(INDEX($BC$5:$BC$41,MATCH(42,$BB$5:$BB$41,0)),0))</f>
        <v>38</v>
      </c>
      <c r="BK42">
        <f>IF($BJ42&gt;0,IF(INDEX($AZ$5:$AZ$41,MATCH(42,$BB$5:$BB$41,0))=10,1,0),IF($BH42=10,1,0))</f>
        <v>1</v>
      </c>
      <c r="BL42">
        <f>IF(42=$BG$4,1,0)</f>
        <v>0</v>
      </c>
    </row>
    <row r="43" spans="1:99" ht="15" customHeight="1" x14ac:dyDescent="0.25">
      <c r="A43" s="67">
        <f>IF($BJ42&gt;0,INDEX($BA$5:$BA$41,MATCH(42,$BB$5:$BB$41,0)),IF(OR($BI42=1,$BL42=1,$BH42&gt;0),"∑",""))</f>
        <v>26</v>
      </c>
      <c r="B43" s="68">
        <f>IF($BJ42&gt;0,IF(INDEX('Final Calculation Sheet'!$F$4:$F$40,$BJ42-3)="","",INDEX('Final Calculation Sheet'!$F$4:$F$40,$BJ42-3)),"")</f>
        <v>2086</v>
      </c>
      <c r="C43" s="68" t="str">
        <f>IF($BJ42&gt;0,IF(INDEX('Final Calculation Sheet'!$G$4:$G$40,$BJ42-3)="","",INDEX('Final Calculation Sheet'!$G$4:$G$40,$BJ42-3)),IF(OR($BI42=1,$BL42=1,$BH42&gt;0),IF($BI42=1,37,IF($BL42=1,37-INDEX($BD$4:$BD$13,10),INDEX($BD$4:$BD$13,$BH42)))&amp;" lot(s)",""))</f>
        <v>KASHYAP TRADING CO</v>
      </c>
      <c r="D43" s="69" t="str">
        <f>IF($BJ42&gt;0,IF(INDEX('Final Calculation Sheet'!$B$4:$B$40,$BJ42-3)="","",INDEX('Final Calculation Sheet'!$B$4:$B$40,$BJ42-3)),IF(OR($BI42=1,$BL42=1,$BH42&gt;0),IF($BI42=1,"GRAND TOTAL  —  matching + remaining",IF($BL42=1,"TOTAL MATCHED  —  every group together",IF($BH42=10,"REMAINING  —  did not match the search",IF($BH42=9,IF(COUNTIF($A$4:$AI$4,"&lt;&gt;")&gt;0,"FILTERED LOTS  —  column fields","ALL LOTS  —  nothing typed in the box"),"GROUP "&amp;$BH42&amp;" TOTAL  —  lots matching  "&amp;INDEX($AR$6:$AY$6,$BH42))))),""))</f>
        <v>Scrap of 132 KV CT</v>
      </c>
      <c r="E43" s="69">
        <f>IF($BJ42&gt;0,IF(INDEX('Final Calculation Sheet'!$D$4:$D$40,$BJ42-3)="","",INDEX('Final Calculation Sheet'!$D$4:$D$40,$BJ42-3)),IF(OR($BI42=1,$BL42=1,$BH42&gt;0),"–",""))</f>
        <v>21980</v>
      </c>
      <c r="F43" s="69">
        <f>IF($BJ42&gt;0,IF(INDEX('Final Calculation Sheet'!$A$4:$A$40,$BJ42-3)="","",INDEX('Final Calculation Sheet'!$A$4:$A$40,$BJ42-3)),IF(OR($BI42=1,$BL42=1,$BH42&gt;0),IF($BI42=1,SUM('Final Calculation Sheet'!$A$4:$A$40),IF($BL42=1,SUM('Final Calculation Sheet'!$A$4:$A$40)-SUMIFS('Final Calculation Sheet'!$A$4:$A$40,$AZ$5:$AZ$41,10),SUMIFS('Final Calculation Sheet'!$A$4:$A$40,$AZ$5:$AZ$41,$BH42))),""))</f>
        <v>3</v>
      </c>
      <c r="G43" s="69" t="str">
        <f>IF($BJ42&gt;0,IF(INDEX('Final Calculation Sheet'!$E$4:$E$40,$BJ42-3)="","",INDEX('Final Calculation Sheet'!$E$4:$E$40,$BJ42-3)),IF(OR($BI42=1,$BL42=1,$BH42&gt;0),"–",""))</f>
        <v>NO</v>
      </c>
      <c r="H43" s="70">
        <f>IF($BJ42&gt;0,IF(INDEX('Final Calculation Sheet'!$C$4:$C$40,$BJ42-3)="","",INDEX('Final Calculation Sheet'!$C$4:$C$40,$BJ42-3)),IF(OR($BI42=1,$BL42=1,$BH42&gt;0),"–",""))</f>
        <v>70001</v>
      </c>
      <c r="I43" s="70">
        <f>IF($BJ42&gt;0,IF(INDEX('Final Calculation Sheet'!$H$4:$H$40,$BJ42-3)="","",INDEX('Final Calculation Sheet'!$H$4:$H$40,$BJ42-3)),IF(OR($BI42=1,$BL42=1,$BH42&gt;0),IF($BI42=1,SUM('Final Calculation Sheet'!$H$4:$H$40),IF($BL42=1,SUM('Final Calculation Sheet'!$H$4:$H$40)-SUMIFS('Final Calculation Sheet'!$H$4:$H$40,$AZ$5:$AZ$41,10),SUMIFS('Final Calculation Sheet'!$H$4:$H$40,$AZ$5:$AZ$41,$BH42))),""))</f>
        <v>210003</v>
      </c>
      <c r="J43" s="70">
        <f>IF($BJ42&gt;0,IF(INDEX('Final Calculation Sheet'!$I$4:$I$40,$BJ42-3)="","",INDEX('Final Calculation Sheet'!$I$4:$I$40,$BJ42-3)),IF(OR($BI42=1,$BL42=1,$BH42&gt;0),IF($BI42=1,SUM('Final Calculation Sheet'!$I$4:$I$40),IF($BL42=1,SUM('Final Calculation Sheet'!$I$4:$I$40)-SUMIFS('Final Calculation Sheet'!$I$4:$I$40,$AZ$5:$AZ$41,10),SUMIFS('Final Calculation Sheet'!$I$4:$I$40,$AZ$5:$AZ$41,$BH42))),""))</f>
        <v>37801</v>
      </c>
      <c r="K43" s="70">
        <f>IF($BJ42&gt;0,IF(INDEX('Final Calculation Sheet'!$J$4:$J$40,$BJ42-3)="","",INDEX('Final Calculation Sheet'!$J$4:$J$40,$BJ42-3)),IF(OR($BI42=1,$BL42=1,$BH42&gt;0),IF($BI42=1,SUM('Final Calculation Sheet'!$J$4:$J$40),IF($BL42=1,SUM('Final Calculation Sheet'!$J$4:$J$40)-SUMIFS('Final Calculation Sheet'!$J$4:$J$40,$AZ$5:$AZ$41,10),SUMIFS('Final Calculation Sheet'!$J$4:$J$40,$AZ$5:$AZ$41,$BH42))),""))</f>
        <v>247804</v>
      </c>
      <c r="L43" s="70">
        <f>IF($BJ42&gt;0,IF(INDEX('Final Calculation Sheet'!$K$4:$K$40,$BJ42-3)="","",INDEX('Final Calculation Sheet'!$K$4:$K$40,$BJ42-3)),IF(OR($BI42=1,$BL42=1,$BH42&gt;0),IF($BI42=1,SUM('Final Calculation Sheet'!$K$4:$K$40),IF($BL42=1,SUM('Final Calculation Sheet'!$K$4:$K$40)-SUMIFS('Final Calculation Sheet'!$K$4:$K$40,$AZ$5:$AZ$41,10),SUMIFS('Final Calculation Sheet'!$K$4:$K$40,$AZ$5:$AZ$41,$BH42))),""))</f>
        <v>4956</v>
      </c>
      <c r="M43" s="70">
        <f>IF($BJ42&gt;0,IF(INDEX('Final Calculation Sheet'!$L$4:$L$40,$BJ42-3)="","",INDEX('Final Calculation Sheet'!$L$4:$L$40,$BJ42-3)),IF(OR($BI42=1,$BL42=1,$BH42&gt;0),IF($BI42=1,SUM('Final Calculation Sheet'!$L$4:$L$40),IF($BL42=1,SUM('Final Calculation Sheet'!$L$4:$L$40)-SUMIFS('Final Calculation Sheet'!$L$4:$L$40,$AZ$5:$AZ$41,10),SUMIFS('Final Calculation Sheet'!$L$4:$L$40,$AZ$5:$AZ$41,$BH42))),""))</f>
        <v>210.00300000000001</v>
      </c>
      <c r="N43" s="70">
        <f>IF($BJ42&gt;0,IF(INDEX('Final Calculation Sheet'!$M$4:$M$40,$BJ42-3)="","",INDEX('Final Calculation Sheet'!$M$4:$M$40,$BJ42-3)),IF(OR($BI42=1,$BL42=1,$BH42&gt;0),IF($BI42=1,SUM('Final Calculation Sheet'!$M$4:$M$40),IF($BL42=1,SUM('Final Calculation Sheet'!$M$4:$M$40)-SUMIFS('Final Calculation Sheet'!$M$4:$M$40,$AZ$5:$AZ$41,10),SUMIFS('Final Calculation Sheet'!$M$4:$M$40,$AZ$5:$AZ$41,$BH42))),""))</f>
        <v>5575.5796499999997</v>
      </c>
      <c r="O43" s="71">
        <f>IF($BJ42&gt;0,IF(INDEX('Final Calculation Sheet'!$N$4:$N$40,$BJ42-3)="","",INDEX('Final Calculation Sheet'!$N$4:$N$40,$BJ42-3)),IF(OR($BI42=1,$BL42=1,$BH42&gt;0),IF($BI42=1,SUM('Final Calculation Sheet'!$N$4:$N$40),IF($BL42=1,SUM('Final Calculation Sheet'!$N$4:$N$40)-SUMIFS('Final Calculation Sheet'!$N$4:$N$40,$AZ$5:$AZ$41,10),SUMIFS('Final Calculation Sheet'!$N$4:$N$40,$AZ$5:$AZ$41,$BH42))),""))</f>
        <v>94.501350000000002</v>
      </c>
      <c r="P43" s="70">
        <f>IF($BJ42&gt;0,IF(INDEX('Final Calculation Sheet'!$O$4:$O$40,$BJ42-3)="","",INDEX('Final Calculation Sheet'!$O$4:$O$40,$BJ42-3)),IF(OR($BI42=1,$BL42=1,$BH42&gt;0),IF($BI42=1,SUM('Final Calculation Sheet'!$O$4:$O$40),IF($BL42=1,SUM('Final Calculation Sheet'!$O$4:$O$40)-SUMIFS('Final Calculation Sheet'!$O$4:$O$40,$AZ$5:$AZ$41,10),SUMIFS('Final Calculation Sheet'!$O$4:$O$40,$AZ$5:$AZ$41,$BH42))),""))</f>
        <v>5481.0782999999992</v>
      </c>
      <c r="Q43" s="70">
        <f>IF($BJ42&gt;0,IF(INDEX('Final Calculation Sheet'!$P$4:$P$40,$BJ42-3)="","",INDEX('Final Calculation Sheet'!$P$4:$P$40,$BJ42-3)),IF(OR($BI42=1,$BL42=1,$BH42&gt;0),IF($BI42=1,SUM('Final Calculation Sheet'!$P$4:$P$40),IF($BL42=1,SUM('Final Calculation Sheet'!$P$4:$P$40)-SUMIFS('Final Calculation Sheet'!$P$4:$P$40,$AZ$5:$AZ$41,10),SUMIFS('Final Calculation Sheet'!$P$4:$P$40,$AZ$5:$AZ$41,$BH42))),""))</f>
        <v>5691</v>
      </c>
      <c r="R43" s="72">
        <f>IF($BJ42&gt;0,IF(INDEX('Final Calculation Sheet'!$Q$4:$Q$40,$BJ42-3)="","",INDEX('Final Calculation Sheet'!$Q$4:$Q$40,$BJ42-3)),IF(OR($BI42=1,$BL42=1,$BH42&gt;0),"–",""))</f>
        <v>0</v>
      </c>
      <c r="S43" s="70">
        <f>IF($BJ42&gt;0,IF(INDEX('Final Calculation Sheet'!$R$4:$R$40,$BJ42-3)="","",INDEX('Final Calculation Sheet'!$R$4:$R$40,$BJ42-3)),IF(OR($BI42=1,$BL42=1,$BH42&gt;0),IF($BI42=1,SUM('Final Calculation Sheet'!$R$4:$R$40),IF($BL42=1,SUM('Final Calculation Sheet'!$R$4:$R$40)-SUMIFS('Final Calculation Sheet'!$R$4:$R$40,$AZ$5:$AZ$41,10),SUMIFS('Final Calculation Sheet'!$R$4:$R$40,$AZ$5:$AZ$41,$BH42))),""))</f>
        <v>0</v>
      </c>
      <c r="T43" s="70">
        <f>IF($BJ42&gt;0,IF(INDEX('Final Calculation Sheet'!$S$4:$S$40,$BJ42-3)="","",INDEX('Final Calculation Sheet'!$S$4:$S$40,$BJ42-3)),IF(OR($BI42=1,$BL42=1,$BH42&gt;0),IF($BI42=1,SUM('Final Calculation Sheet'!$S$4:$S$40),IF($BL42=1,SUM('Final Calculation Sheet'!$S$4:$S$40)-SUMIFS('Final Calculation Sheet'!$S$4:$S$40,$AZ$5:$AZ$41,10),SUMIFS('Final Calculation Sheet'!$S$4:$S$40,$AZ$5:$AZ$41,$BH42))),""))</f>
        <v>247069</v>
      </c>
      <c r="U43" s="70">
        <f>IF($BJ42&gt;0,IF(INDEX('Final Calculation Sheet'!$T$4:$T$40,$BJ42-3)="","",INDEX('Final Calculation Sheet'!$T$4:$T$40,$BJ42-3)),IF(OR($BI42=1,$BL42=1,$BH42&gt;0),IF($BI42=1,SUM('Final Calculation Sheet'!$T$4:$T$40),IF($BL42=1,SUM('Final Calculation Sheet'!$T$4:$T$40)-SUMIFS('Final Calculation Sheet'!$T$4:$T$40,$AZ$5:$AZ$41,10),SUMIFS('Final Calculation Sheet'!$T$4:$T$40,$AZ$5:$AZ$41,$BH42))),""))</f>
        <v>52501</v>
      </c>
      <c r="V43" s="73">
        <f>IF($BJ42&gt;0,IF(INDEX('Final Calculation Sheet'!$U$4:$U$40,$BJ42-3)="","",INDEX('Final Calculation Sheet'!$U$4:$U$40,$BJ42-3)),IF(OR($BI42=1,$BL42=1,$BH42&gt;0),IF($BI42=1,SUM('Final Calculation Sheet'!$U$4:$U$40),IF($BL42=1,SUM('Final Calculation Sheet'!$U$4:$U$40)-SUMIFS('Final Calculation Sheet'!$U$4:$U$40,$AZ$5:$AZ$41,10),SUMIFS('Final Calculation Sheet'!$U$4:$U$40,$AZ$5:$AZ$41,$BH42))),""))</f>
        <v>52501</v>
      </c>
      <c r="W43" s="70" t="str">
        <f>IF($BJ42&gt;0,IF(INDEX('Final Calculation Sheet'!$V$4:$V$40,$BJ42-3)="","",INDEX('Final Calculation Sheet'!$V$4:$V$40,$BJ42-3)),IF(OR($BI42=1,$BL42=1,$BH42&gt;0),"–",""))</f>
        <v>17.08.2026</v>
      </c>
      <c r="X43" s="70">
        <f>IF($BJ42&gt;0,IF(INDEX('Final Calculation Sheet'!$W$4:$W$40,$BJ42-3)="","",INDEX('Final Calculation Sheet'!$W$4:$W$40,$BJ42-3)),IF(OR($BI42=1,$BL42=1,$BH42&gt;0),IF($BI42=1,SUM('Final Calculation Sheet'!$W$4:$W$40),IF($BL42=1,SUM('Final Calculation Sheet'!$W$4:$W$40)-SUMIFS('Final Calculation Sheet'!$W$4:$W$40,$AZ$5:$AZ$41,10),SUMIFS('Final Calculation Sheet'!$W$4:$W$40,$AZ$5:$AZ$41,$BH42))),""))</f>
        <v>194568</v>
      </c>
      <c r="Y43" s="70">
        <f>IF($BJ42&gt;0,IF(INDEX('Final Calculation Sheet'!$X$4:$X$40,$BJ42-3)="","",INDEX('Final Calculation Sheet'!$X$4:$X$40,$BJ42-3)),IF(OR($BI42=1,$BL42=1,$BH42&gt;0),IF($BI42=1,SUM('Final Calculation Sheet'!$X$4:$X$40),IF($BL42=1,SUM('Final Calculation Sheet'!$X$4:$X$40)-SUMIFS('Final Calculation Sheet'!$X$4:$X$40,$AZ$5:$AZ$41,10),SUMIFS('Final Calculation Sheet'!$X$4:$X$40,$AZ$5:$AZ$41,$BH42))),""))</f>
        <v>194568</v>
      </c>
      <c r="Z43" s="70" t="str">
        <f>IF($BJ42&gt;0,IF(INDEX('Final Calculation Sheet'!$Y$4:$Y$40,$BJ42-3)="","",INDEX('Final Calculation Sheet'!$Y$4:$Y$40,$BJ42-3)),IF(OR($BI42=1,$BL42=1,$BH42&gt;0),"–",""))</f>
        <v>17.08.2026</v>
      </c>
      <c r="AA43" s="70">
        <f ca="1">IF($BJ42&gt;0,IF(INDEX('Final Calculation Sheet'!$Z$4:$Z$40,$BJ42-3)="","",INDEX('Final Calculation Sheet'!$Z$4:$Z$40,$BJ42-3)),IF(OR($BI42=1,$BL42=1,$BH42&gt;0),IF($BI42=1,SUM('Final Calculation Sheet'!$Z$4:$Z$40),IF($BL42=1,SUM('Final Calculation Sheet'!$Z$4:$Z$40)-SUMIFS('Final Calculation Sheet'!$Z$4:$Z$40,$AZ$5:$AZ$41,10),SUMIFS('Final Calculation Sheet'!$Z$4:$Z$40,$AZ$5:$AZ$41,$BH42))),""))</f>
        <v>0</v>
      </c>
      <c r="AB43" s="70" t="str">
        <f>IF($BJ42&gt;0,IF(INDEX('Final Calculation Sheet'!$AA$4:$AA$40,$BJ42-3)="","",INDEX('Final Calculation Sheet'!$AA$4:$AA$40,$BJ42-3)),IF(OR($BI42=1,$BL42=1,$BH42&gt;0),IF($BI42=1,SUM('Final Calculation Sheet'!$AA$4:$AA$40),IF($BL42=1,SUM('Final Calculation Sheet'!$AA$4:$AA$40)-SUMIFS('Final Calculation Sheet'!$AA$4:$AA$40,$AZ$5:$AZ$41,10),SUMIFS('Final Calculation Sheet'!$AA$4:$AA$40,$AZ$5:$AZ$41,$BH42))),""))</f>
        <v/>
      </c>
      <c r="AC43" s="70" t="str">
        <f>IF($BJ42&gt;0,IF(INDEX('Final Calculation Sheet'!$AB$4:$AB$40,$BJ42-3)="","",INDEX('Final Calculation Sheet'!$AB$4:$AB$40,$BJ42-3)),IF(OR($BI42=1,$BL42=1,$BH42&gt;0),"–",""))</f>
        <v/>
      </c>
      <c r="AD43" s="70">
        <f>IF($BJ42&gt;0,IF(INDEX('Final Calculation Sheet'!$AC$4:$AC$40,$BJ42-3)="","",INDEX('Final Calculation Sheet'!$AC$4:$AC$40,$BJ42-3)),IF(OR($BI42=1,$BL42=1,$BH42&gt;0),IF($BI42=1,SUM('Final Calculation Sheet'!$AC$4:$AC$40),IF($BL42=1,SUM('Final Calculation Sheet'!$AC$4:$AC$40)-SUMIFS('Final Calculation Sheet'!$AC$4:$AC$40,$AZ$5:$AZ$41,10),SUMIFS('Final Calculation Sheet'!$AC$4:$AC$40,$AZ$5:$AZ$41,$BH42))),""))</f>
        <v>247069</v>
      </c>
      <c r="AE43" s="70">
        <f>IF($BJ42&gt;0,IF(INDEX('Final Calculation Sheet'!$AD$4:$AD$40,$BJ42-3)="","",INDEX('Final Calculation Sheet'!$AD$4:$AD$40,$BJ42-3)),IF(OR($BI42=1,$BL42=1,$BH42&gt;0),IF($BI42=1,SUM('Final Calculation Sheet'!$AD$4:$AD$40),IF($BL42=1,SUM('Final Calculation Sheet'!$AD$4:$AD$40)-SUMIFS('Final Calculation Sheet'!$AD$4:$AD$40,$AZ$5:$AZ$41,10),SUMIFS('Final Calculation Sheet'!$AD$4:$AD$40,$AZ$5:$AZ$41,$BH42))),""))</f>
        <v>0</v>
      </c>
      <c r="AF43" s="70" t="str">
        <f>IF($BJ42&gt;0,IF(INDEX('Final Calculation Sheet'!$AE$4:$AE$40,$BJ42-3)="","",INDEX('Final Calculation Sheet'!$AE$4:$AE$40,$BJ42-3)),IF(OR($BI42=1,$BL42=1,$BH42&gt;0),"–",""))</f>
        <v>DR2640100025</v>
      </c>
      <c r="AG43" s="74">
        <f>IF($BJ42&gt;0,IF(INDEX('Final Calculation Sheet'!$AF$4:$AF$40,$BJ42-3)="","",INDEX('Final Calculation Sheet'!$AF$4:$AF$40,$BJ42-3)),IF(OR($BI42=1,$BL42=1,$BH42&gt;0),"–",""))</f>
        <v>1800003226</v>
      </c>
      <c r="AH43" s="70" t="str">
        <f>IF($BJ42&gt;0,IF(INDEX('Final Calculation Sheet'!$AG$4:$AG$40,$BJ42-3)="","",INDEX('Final Calculation Sheet'!$AG$4:$AG$40,$BJ42-3)),IF(OR($BI42=1,$BL42=1,$BH42&gt;0),"–",""))</f>
        <v>19.08.2026</v>
      </c>
      <c r="AI43" s="75" t="str">
        <f>IF($BJ42&gt;0,IF(INDEX('Final Calculation Sheet'!$AD$4:$AD$40,$BJ42-3)="","",IF(INDEX('Final Calculation Sheet'!$AD$4:$AD$40,$BJ42-3)&lt;=0,"SETTLED","OUTSTANDING")),IF(OR($BI42=1,$BL42=1,$BH42&gt;0),IF(IF($BI42=1,SUM('Final Calculation Sheet'!$AD$4:$AD$40),IF($BL42=1,SUM('Final Calculation Sheet'!$AD$4:$AD$40)-SUMIFS('Final Calculation Sheet'!$AD$4:$AD$40,$AZ$5:$AZ$41,10),SUMIFS('Final Calculation Sheet'!$AD$4:$AD$40,$AZ$5:$AZ$41,$BH42)))&lt;=0,"ALL SETTLED","OUTSTANDING"),""))</f>
        <v>SETTLED</v>
      </c>
      <c r="BH43">
        <f>IFERROR(MATCH(43,$BF$4:$BF$13,0),0)</f>
        <v>0</v>
      </c>
      <c r="BI43">
        <f>IF(43=$BG$5,1,0)</f>
        <v>0</v>
      </c>
      <c r="BJ43">
        <f>IF(OR($BH43&gt;0,$BI43=1,$BL43=1),0,IFERROR(INDEX($BC$5:$BC$41,MATCH(43,$BB$5:$BB$41,0)),0))</f>
        <v>39</v>
      </c>
      <c r="BK43">
        <f>IF($BJ43&gt;0,IF(INDEX($AZ$5:$AZ$41,MATCH(43,$BB$5:$BB$41,0))=10,1,0),IF($BH43=10,1,0))</f>
        <v>1</v>
      </c>
      <c r="BL43">
        <f>IF(43=$BG$4,1,0)</f>
        <v>0</v>
      </c>
    </row>
    <row r="44" spans="1:99" ht="15" customHeight="1" x14ac:dyDescent="0.25">
      <c r="A44" s="67">
        <f>IF($BJ43&gt;0,INDEX($BA$5:$BA$41,MATCH(43,$BB$5:$BB$41,0)),IF(OR($BI43=1,$BL43=1,$BH43&gt;0),"∑",""))</f>
        <v>27</v>
      </c>
      <c r="B44" s="68">
        <f>IF($BJ43&gt;0,IF(INDEX('Final Calculation Sheet'!$F$4:$F$40,$BJ43-3)="","",INDEX('Final Calculation Sheet'!$F$4:$F$40,$BJ43-3)),"")</f>
        <v>2089</v>
      </c>
      <c r="C44" s="68" t="str">
        <f>IF($BJ43&gt;0,IF(INDEX('Final Calculation Sheet'!$G$4:$G$40,$BJ43-3)="","",INDEX('Final Calculation Sheet'!$G$4:$G$40,$BJ43-3)),IF(OR($BI43=1,$BL43=1,$BH43&gt;0),IF($BI43=1,37,IF($BL43=1,37-INDEX($BD$4:$BD$13,10),INDEX($BD$4:$BD$13,$BH43)))&amp;" lot(s)",""))</f>
        <v>S M ENTERPRISES</v>
      </c>
      <c r="D44" s="69" t="str">
        <f>IF($BJ43&gt;0,IF(INDEX('Final Calculation Sheet'!$B$4:$B$40,$BJ43-3)="","",INDEX('Final Calculation Sheet'!$B$4:$B$40,$BJ43-3)),IF(OR($BI43=1,$BL43=1,$BH43&gt;0),IF($BI43=1,"GRAND TOTAL  —  matching + remaining",IF($BL43=1,"TOTAL MATCHED  —  every group together",IF($BH43=10,"REMAINING  —  did not match the search",IF($BH43=9,IF(COUNTIF($A$4:$AI$4,"&lt;&gt;")&gt;0,"FILTERED LOTS  —  column fields","ALL LOTS  —  nothing typed in the box"),"GROUP "&amp;$BH43&amp;" TOTAL  —  lots matching  "&amp;INDEX($AR$6:$AY$6,$BH43))))),""))</f>
        <v>Scrap of 66 kv TBC C &amp; R Panel</v>
      </c>
      <c r="E44" s="69">
        <f>IF($BJ43&gt;0,IF(INDEX('Final Calculation Sheet'!$D$4:$D$40,$BJ43-3)="","",INDEX('Final Calculation Sheet'!$D$4:$D$40,$BJ43-3)),IF(OR($BI43=1,$BL43=1,$BH43&gt;0),"–",""))</f>
        <v>21980</v>
      </c>
      <c r="F44" s="69">
        <f>IF($BJ43&gt;0,IF(INDEX('Final Calculation Sheet'!$A$4:$A$40,$BJ43-3)="","",INDEX('Final Calculation Sheet'!$A$4:$A$40,$BJ43-3)),IF(OR($BI43=1,$BL43=1,$BH43&gt;0),IF($BI43=1,SUM('Final Calculation Sheet'!$A$4:$A$40),IF($BL43=1,SUM('Final Calculation Sheet'!$A$4:$A$40)-SUMIFS('Final Calculation Sheet'!$A$4:$A$40,$AZ$5:$AZ$41,10),SUMIFS('Final Calculation Sheet'!$A$4:$A$40,$AZ$5:$AZ$41,$BH43))),""))</f>
        <v>2</v>
      </c>
      <c r="G44" s="69" t="str">
        <f>IF($BJ43&gt;0,IF(INDEX('Final Calculation Sheet'!$E$4:$E$40,$BJ43-3)="","",INDEX('Final Calculation Sheet'!$E$4:$E$40,$BJ43-3)),IF(OR($BI43=1,$BL43=1,$BH43&gt;0),"–",""))</f>
        <v>NO</v>
      </c>
      <c r="H44" s="70">
        <f>IF($BJ43&gt;0,IF(INDEX('Final Calculation Sheet'!$C$4:$C$40,$BJ43-3)="","",INDEX('Final Calculation Sheet'!$C$4:$C$40,$BJ43-3)),IF(OR($BI43=1,$BL43=1,$BH43&gt;0),"–",""))</f>
        <v>15006</v>
      </c>
      <c r="I44" s="70">
        <f>IF($BJ43&gt;0,IF(INDEX('Final Calculation Sheet'!$H$4:$H$40,$BJ43-3)="","",INDEX('Final Calculation Sheet'!$H$4:$H$40,$BJ43-3)),IF(OR($BI43=1,$BL43=1,$BH43&gt;0),IF($BI43=1,SUM('Final Calculation Sheet'!$H$4:$H$40),IF($BL43=1,SUM('Final Calculation Sheet'!$H$4:$H$40)-SUMIFS('Final Calculation Sheet'!$H$4:$H$40,$AZ$5:$AZ$41,10),SUMIFS('Final Calculation Sheet'!$H$4:$H$40,$AZ$5:$AZ$41,$BH43))),""))</f>
        <v>30012</v>
      </c>
      <c r="J44" s="70">
        <f>IF($BJ43&gt;0,IF(INDEX('Final Calculation Sheet'!$I$4:$I$40,$BJ43-3)="","",INDEX('Final Calculation Sheet'!$I$4:$I$40,$BJ43-3)),IF(OR($BI43=1,$BL43=1,$BH43&gt;0),IF($BI43=1,SUM('Final Calculation Sheet'!$I$4:$I$40),IF($BL43=1,SUM('Final Calculation Sheet'!$I$4:$I$40)-SUMIFS('Final Calculation Sheet'!$I$4:$I$40,$AZ$5:$AZ$41,10),SUMIFS('Final Calculation Sheet'!$I$4:$I$40,$AZ$5:$AZ$41,$BH43))),""))</f>
        <v>5402</v>
      </c>
      <c r="K44" s="70">
        <f>IF($BJ43&gt;0,IF(INDEX('Final Calculation Sheet'!$J$4:$J$40,$BJ43-3)="","",INDEX('Final Calculation Sheet'!$J$4:$J$40,$BJ43-3)),IF(OR($BI43=1,$BL43=1,$BH43&gt;0),IF($BI43=1,SUM('Final Calculation Sheet'!$J$4:$J$40),IF($BL43=1,SUM('Final Calculation Sheet'!$J$4:$J$40)-SUMIFS('Final Calculation Sheet'!$J$4:$J$40,$AZ$5:$AZ$41,10),SUMIFS('Final Calculation Sheet'!$J$4:$J$40,$AZ$5:$AZ$41,$BH43))),""))</f>
        <v>35414</v>
      </c>
      <c r="L44" s="70">
        <f>IF($BJ43&gt;0,IF(INDEX('Final Calculation Sheet'!$K$4:$K$40,$BJ43-3)="","",INDEX('Final Calculation Sheet'!$K$4:$K$40,$BJ43-3)),IF(OR($BI43=1,$BL43=1,$BH43&gt;0),IF($BI43=1,SUM('Final Calculation Sheet'!$K$4:$K$40),IF($BL43=1,SUM('Final Calculation Sheet'!$K$4:$K$40)-SUMIFS('Final Calculation Sheet'!$K$4:$K$40,$AZ$5:$AZ$41,10),SUMIFS('Final Calculation Sheet'!$K$4:$K$40,$AZ$5:$AZ$41,$BH43))),""))</f>
        <v>708</v>
      </c>
      <c r="M44" s="70">
        <f>IF($BJ43&gt;0,IF(INDEX('Final Calculation Sheet'!$L$4:$L$40,$BJ43-3)="","",INDEX('Final Calculation Sheet'!$L$4:$L$40,$BJ43-3)),IF(OR($BI43=1,$BL43=1,$BH43&gt;0),IF($BI43=1,SUM('Final Calculation Sheet'!$L$4:$L$40),IF($BL43=1,SUM('Final Calculation Sheet'!$L$4:$L$40)-SUMIFS('Final Calculation Sheet'!$L$4:$L$40,$AZ$5:$AZ$41,10),SUMIFS('Final Calculation Sheet'!$L$4:$L$40,$AZ$5:$AZ$41,$BH43))),""))</f>
        <v>30.012</v>
      </c>
      <c r="N44" s="70">
        <f>IF($BJ43&gt;0,IF(INDEX('Final Calculation Sheet'!$M$4:$M$40,$BJ43-3)="","",INDEX('Final Calculation Sheet'!$M$4:$M$40,$BJ43-3)),IF(OR($BI43=1,$BL43=1,$BH43&gt;0),IF($BI43=1,SUM('Final Calculation Sheet'!$M$4:$M$40),IF($BL43=1,SUM('Final Calculation Sheet'!$M$4:$M$40)-SUMIFS('Final Calculation Sheet'!$M$4:$M$40,$AZ$5:$AZ$41,10),SUMIFS('Final Calculation Sheet'!$M$4:$M$40,$AZ$5:$AZ$41,$BH43))),""))</f>
        <v>796.81859999999995</v>
      </c>
      <c r="O44" s="71">
        <f>IF($BJ43&gt;0,IF(INDEX('Final Calculation Sheet'!$N$4:$N$40,$BJ43-3)="","",INDEX('Final Calculation Sheet'!$N$4:$N$40,$BJ43-3)),IF(OR($BI43=1,$BL43=1,$BH43&gt;0),IF($BI43=1,SUM('Final Calculation Sheet'!$N$4:$N$40),IF($BL43=1,SUM('Final Calculation Sheet'!$N$4:$N$40)-SUMIFS('Final Calculation Sheet'!$N$4:$N$40,$AZ$5:$AZ$41,10),SUMIFS('Final Calculation Sheet'!$N$4:$N$40,$AZ$5:$AZ$41,$BH43))),""))</f>
        <v>13.5054</v>
      </c>
      <c r="P44" s="70">
        <f>IF($BJ43&gt;0,IF(INDEX('Final Calculation Sheet'!$O$4:$O$40,$BJ43-3)="","",INDEX('Final Calculation Sheet'!$O$4:$O$40,$BJ43-3)),IF(OR($BI43=1,$BL43=1,$BH43&gt;0),IF($BI43=1,SUM('Final Calculation Sheet'!$O$4:$O$40),IF($BL43=1,SUM('Final Calculation Sheet'!$O$4:$O$40)-SUMIFS('Final Calculation Sheet'!$O$4:$O$40,$AZ$5:$AZ$41,10),SUMIFS('Final Calculation Sheet'!$O$4:$O$40,$AZ$5:$AZ$41,$BH43))),""))</f>
        <v>783.31319999999994</v>
      </c>
      <c r="Q44" s="70">
        <f>IF($BJ43&gt;0,IF(INDEX('Final Calculation Sheet'!$P$4:$P$40,$BJ43-3)="","",INDEX('Final Calculation Sheet'!$P$4:$P$40,$BJ43-3)),IF(OR($BI43=1,$BL43=1,$BH43&gt;0),IF($BI43=1,SUM('Final Calculation Sheet'!$P$4:$P$40),IF($BL43=1,SUM('Final Calculation Sheet'!$P$4:$P$40)-SUMIFS('Final Calculation Sheet'!$P$4:$P$40,$AZ$5:$AZ$41,10),SUMIFS('Final Calculation Sheet'!$P$4:$P$40,$AZ$5:$AZ$41,$BH43))),""))</f>
        <v>813</v>
      </c>
      <c r="R44" s="72">
        <f>IF($BJ43&gt;0,IF(INDEX('Final Calculation Sheet'!$Q$4:$Q$40,$BJ43-3)="","",INDEX('Final Calculation Sheet'!$Q$4:$Q$40,$BJ43-3)),IF(OR($BI43=1,$BL43=1,$BH43&gt;0),"–",""))</f>
        <v>0</v>
      </c>
      <c r="S44" s="70">
        <f>IF($BJ43&gt;0,IF(INDEX('Final Calculation Sheet'!$R$4:$R$40,$BJ43-3)="","",INDEX('Final Calculation Sheet'!$R$4:$R$40,$BJ43-3)),IF(OR($BI43=1,$BL43=1,$BH43&gt;0),IF($BI43=1,SUM('Final Calculation Sheet'!$R$4:$R$40),IF($BL43=1,SUM('Final Calculation Sheet'!$R$4:$R$40)-SUMIFS('Final Calculation Sheet'!$R$4:$R$40,$AZ$5:$AZ$41,10),SUMIFS('Final Calculation Sheet'!$R$4:$R$40,$AZ$5:$AZ$41,$BH43))),""))</f>
        <v>0</v>
      </c>
      <c r="T44" s="70">
        <f>IF($BJ43&gt;0,IF(INDEX('Final Calculation Sheet'!$S$4:$S$40,$BJ43-3)="","",INDEX('Final Calculation Sheet'!$S$4:$S$40,$BJ43-3)),IF(OR($BI43=1,$BL43=1,$BH43&gt;0),IF($BI43=1,SUM('Final Calculation Sheet'!$S$4:$S$40),IF($BL43=1,SUM('Final Calculation Sheet'!$S$4:$S$40)-SUMIFS('Final Calculation Sheet'!$S$4:$S$40,$AZ$5:$AZ$41,10),SUMIFS('Final Calculation Sheet'!$S$4:$S$40,$AZ$5:$AZ$41,$BH43))),""))</f>
        <v>35309</v>
      </c>
      <c r="U44" s="70">
        <f>IF($BJ43&gt;0,IF(INDEX('Final Calculation Sheet'!$T$4:$T$40,$BJ43-3)="","",INDEX('Final Calculation Sheet'!$T$4:$T$40,$BJ43-3)),IF(OR($BI43=1,$BL43=1,$BH43&gt;0),IF($BI43=1,SUM('Final Calculation Sheet'!$T$4:$T$40),IF($BL43=1,SUM('Final Calculation Sheet'!$T$4:$T$40)-SUMIFS('Final Calculation Sheet'!$T$4:$T$40,$AZ$5:$AZ$41,10),SUMIFS('Final Calculation Sheet'!$T$4:$T$40,$AZ$5:$AZ$41,$BH43))),""))</f>
        <v>7503</v>
      </c>
      <c r="V44" s="73">
        <f>IF($BJ43&gt;0,IF(INDEX('Final Calculation Sheet'!$U$4:$U$40,$BJ43-3)="","",INDEX('Final Calculation Sheet'!$U$4:$U$40,$BJ43-3)),IF(OR($BI43=1,$BL43=1,$BH43&gt;0),IF($BI43=1,SUM('Final Calculation Sheet'!$U$4:$U$40),IF($BL43=1,SUM('Final Calculation Sheet'!$U$4:$U$40)-SUMIFS('Final Calculation Sheet'!$U$4:$U$40,$AZ$5:$AZ$41,10),SUMIFS('Final Calculation Sheet'!$U$4:$U$40,$AZ$5:$AZ$41,$BH43))),""))</f>
        <v>7503</v>
      </c>
      <c r="W44" s="70" t="str">
        <f>IF($BJ43&gt;0,IF(INDEX('Final Calculation Sheet'!$V$4:$V$40,$BJ43-3)="","",INDEX('Final Calculation Sheet'!$V$4:$V$40,$BJ43-3)),IF(OR($BI43=1,$BL43=1,$BH43&gt;0),"–",""))</f>
        <v>14.08.2026</v>
      </c>
      <c r="X44" s="70">
        <f>IF($BJ43&gt;0,IF(INDEX('Final Calculation Sheet'!$W$4:$W$40,$BJ43-3)="","",INDEX('Final Calculation Sheet'!$W$4:$W$40,$BJ43-3)),IF(OR($BI43=1,$BL43=1,$BH43&gt;0),IF($BI43=1,SUM('Final Calculation Sheet'!$W$4:$W$40),IF($BL43=1,SUM('Final Calculation Sheet'!$W$4:$W$40)-SUMIFS('Final Calculation Sheet'!$W$4:$W$40,$AZ$5:$AZ$41,10),SUMIFS('Final Calculation Sheet'!$W$4:$W$40,$AZ$5:$AZ$41,$BH43))),""))</f>
        <v>27806</v>
      </c>
      <c r="Y44" s="70">
        <f>IF($BJ43&gt;0,IF(INDEX('Final Calculation Sheet'!$X$4:$X$40,$BJ43-3)="","",INDEX('Final Calculation Sheet'!$X$4:$X$40,$BJ43-3)),IF(OR($BI43=1,$BL43=1,$BH43&gt;0),IF($BI43=1,SUM('Final Calculation Sheet'!$X$4:$X$40),IF($BL43=1,SUM('Final Calculation Sheet'!$X$4:$X$40)-SUMIFS('Final Calculation Sheet'!$X$4:$X$40,$AZ$5:$AZ$41,10),SUMIFS('Final Calculation Sheet'!$X$4:$X$40,$AZ$5:$AZ$41,$BH43))),""))</f>
        <v>27806</v>
      </c>
      <c r="Z44" s="70" t="str">
        <f>IF($BJ43&gt;0,IF(INDEX('Final Calculation Sheet'!$Y$4:$Y$40,$BJ43-3)="","",INDEX('Final Calculation Sheet'!$Y$4:$Y$40,$BJ43-3)),IF(OR($BI43=1,$BL43=1,$BH43&gt;0),"–",""))</f>
        <v>01.09.2026</v>
      </c>
      <c r="AA44" s="70">
        <f ca="1">IF($BJ43&gt;0,IF(INDEX('Final Calculation Sheet'!$Z$4:$Z$40,$BJ43-3)="","",INDEX('Final Calculation Sheet'!$Z$4:$Z$40,$BJ43-3)),IF(OR($BI43=1,$BL43=1,$BH43&gt;0),IF($BI43=1,SUM('Final Calculation Sheet'!$Z$4:$Z$40),IF($BL43=1,SUM('Final Calculation Sheet'!$Z$4:$Z$40)-SUMIFS('Final Calculation Sheet'!$Z$4:$Z$40,$AZ$5:$AZ$41,10),SUMIFS('Final Calculation Sheet'!$Z$4:$Z$40,$AZ$5:$AZ$41,$BH43))),""))</f>
        <v>708.28319999999997</v>
      </c>
      <c r="AB44" s="70">
        <f>IF($BJ43&gt;0,IF(INDEX('Final Calculation Sheet'!$AA$4:$AA$40,$BJ43-3)="","",INDEX('Final Calculation Sheet'!$AA$4:$AA$40,$BJ43-3)),IF(OR($BI43=1,$BL43=1,$BH43&gt;0),IF($BI43=1,SUM('Final Calculation Sheet'!$AA$4:$AA$40),IF($BL43=1,SUM('Final Calculation Sheet'!$AA$4:$AA$40)-SUMIFS('Final Calculation Sheet'!$AA$4:$AA$40,$AZ$5:$AZ$41,10),SUMIFS('Final Calculation Sheet'!$AA$4:$AA$40,$AZ$5:$AZ$41,$BH43))),""))</f>
        <v>708</v>
      </c>
      <c r="AC44" s="70" t="str">
        <f>IF($BJ43&gt;0,IF(INDEX('Final Calculation Sheet'!$AB$4:$AB$40,$BJ43-3)="","",INDEX('Final Calculation Sheet'!$AB$4:$AB$40,$BJ43-3)),IF(OR($BI43=1,$BL43=1,$BH43&gt;0),"–",""))</f>
        <v>01.09.2026</v>
      </c>
      <c r="AD44" s="70">
        <f>IF($BJ43&gt;0,IF(INDEX('Final Calculation Sheet'!$AC$4:$AC$40,$BJ43-3)="","",INDEX('Final Calculation Sheet'!$AC$4:$AC$40,$BJ43-3)),IF(OR($BI43=1,$BL43=1,$BH43&gt;0),IF($BI43=1,SUM('Final Calculation Sheet'!$AC$4:$AC$40),IF($BL43=1,SUM('Final Calculation Sheet'!$AC$4:$AC$40)-SUMIFS('Final Calculation Sheet'!$AC$4:$AC$40,$AZ$5:$AZ$41,10),SUMIFS('Final Calculation Sheet'!$AC$4:$AC$40,$AZ$5:$AZ$41,$BH43))),""))</f>
        <v>36017</v>
      </c>
      <c r="AE44" s="70">
        <f>IF($BJ43&gt;0,IF(INDEX('Final Calculation Sheet'!$AD$4:$AD$40,$BJ43-3)="","",INDEX('Final Calculation Sheet'!$AD$4:$AD$40,$BJ43-3)),IF(OR($BI43=1,$BL43=1,$BH43&gt;0),IF($BI43=1,SUM('Final Calculation Sheet'!$AD$4:$AD$40),IF($BL43=1,SUM('Final Calculation Sheet'!$AD$4:$AD$40)-SUMIFS('Final Calculation Sheet'!$AD$4:$AD$40,$AZ$5:$AZ$41,10),SUMIFS('Final Calculation Sheet'!$AD$4:$AD$40,$AZ$5:$AZ$41,$BH43))),""))</f>
        <v>-708</v>
      </c>
      <c r="AF44" s="70" t="str">
        <f>IF($BJ43&gt;0,IF(INDEX('Final Calculation Sheet'!$AE$4:$AE$40,$BJ43-3)="","",INDEX('Final Calculation Sheet'!$AE$4:$AE$40,$BJ43-3)),IF(OR($BI43=1,$BL43=1,$BH43&gt;0),"–",""))</f>
        <v/>
      </c>
      <c r="AG44" s="74" t="str">
        <f>IF($BJ43&gt;0,IF(INDEX('Final Calculation Sheet'!$AF$4:$AF$40,$BJ43-3)="","",INDEX('Final Calculation Sheet'!$AF$4:$AF$40,$BJ43-3)),IF(OR($BI43=1,$BL43=1,$BH43&gt;0),"–",""))</f>
        <v/>
      </c>
      <c r="AH44" s="70" t="str">
        <f>IF($BJ43&gt;0,IF(INDEX('Final Calculation Sheet'!$AG$4:$AG$40,$BJ43-3)="","",INDEX('Final Calculation Sheet'!$AG$4:$AG$40,$BJ43-3)),IF(OR($BI43=1,$BL43=1,$BH43&gt;0),"–",""))</f>
        <v/>
      </c>
      <c r="AI44" s="75" t="str">
        <f>IF($BJ43&gt;0,IF(INDEX('Final Calculation Sheet'!$AD$4:$AD$40,$BJ43-3)="","",IF(INDEX('Final Calculation Sheet'!$AD$4:$AD$40,$BJ43-3)&lt;=0,"SETTLED","OUTSTANDING")),IF(OR($BI43=1,$BL43=1,$BH43&gt;0),IF(IF($BI43=1,SUM('Final Calculation Sheet'!$AD$4:$AD$40),IF($BL43=1,SUM('Final Calculation Sheet'!$AD$4:$AD$40)-SUMIFS('Final Calculation Sheet'!$AD$4:$AD$40,$AZ$5:$AZ$41,10),SUMIFS('Final Calculation Sheet'!$AD$4:$AD$40,$AZ$5:$AZ$41,$BH43)))&lt;=0,"ALL SETTLED","OUTSTANDING"),""))</f>
        <v>SETTLED</v>
      </c>
      <c r="BH44">
        <f>IFERROR(MATCH(44,$BF$4:$BF$13,0),0)</f>
        <v>0</v>
      </c>
      <c r="BI44">
        <f>IF(44=$BG$5,1,0)</f>
        <v>0</v>
      </c>
      <c r="BJ44">
        <f>IF(OR($BH44&gt;0,$BI44=1,$BL44=1),0,IFERROR(INDEX($BC$5:$BC$41,MATCH(44,$BB$5:$BB$41,0)),0))</f>
        <v>40</v>
      </c>
      <c r="BK44">
        <f>IF($BJ44&gt;0,IF(INDEX($AZ$5:$AZ$41,MATCH(44,$BB$5:$BB$41,0))=10,1,0),IF($BH44=10,1,0))</f>
        <v>1</v>
      </c>
      <c r="BL44">
        <f>IF(44=$BG$4,1,0)</f>
        <v>0</v>
      </c>
    </row>
    <row r="45" spans="1:99" ht="15" customHeight="1" x14ac:dyDescent="0.25">
      <c r="A45" s="67">
        <f>IF($BJ44&gt;0,INDEX($BA$5:$BA$41,MATCH(44,$BB$5:$BB$41,0)),IF(OR($BI44=1,$BL44=1,$BH44&gt;0),"∑",""))</f>
        <v>28</v>
      </c>
      <c r="B45" s="68">
        <f>IF($BJ44&gt;0,IF(INDEX('Final Calculation Sheet'!$F$4:$F$40,$BJ44-3)="","",INDEX('Final Calculation Sheet'!$F$4:$F$40,$BJ44-3)),"")</f>
        <v>2091</v>
      </c>
      <c r="C45" s="68" t="str">
        <f>IF($BJ44&gt;0,IF(INDEX('Final Calculation Sheet'!$G$4:$G$40,$BJ44-3)="","",INDEX('Final Calculation Sheet'!$G$4:$G$40,$BJ44-3)),IF(OR($BI44=1,$BL44=1,$BH44&gt;0),IF($BI44=1,37,IF($BL44=1,37-INDEX($BD$4:$BD$13,10),INDEX($BD$4:$BD$13,$BH44)))&amp;" lot(s)",""))</f>
        <v>S M ENTERPRISES</v>
      </c>
      <c r="D45" s="69" t="str">
        <f>IF($BJ44&gt;0,IF(INDEX('Final Calculation Sheet'!$B$4:$B$40,$BJ44-3)="","",INDEX('Final Calculation Sheet'!$B$4:$B$40,$BJ44-3)),IF(OR($BI44=1,$BL44=1,$BH44&gt;0),IF($BI44=1,"GRAND TOTAL  —  matching + remaining",IF($BL44=1,"TOTAL MATCHED  —  every group together",IF($BH44=10,"REMAINING  —  did not match the search",IF($BH44=9,IF(COUNTIF($A$4:$AI$4,"&lt;&gt;")&gt;0,"FILTERED LOTS  —  column fields","ALL LOTS  —  nothing typed in the box"),"GROUP "&amp;$BH44&amp;" TOTAL  —  lots matching  "&amp;INDEX($AR$6:$AY$6,$BH44))))),""))</f>
        <v>Scrap of 132 KV CT</v>
      </c>
      <c r="E45" s="69">
        <f>IF($BJ44&gt;0,IF(INDEX('Final Calculation Sheet'!$D$4:$D$40,$BJ44-3)="","",INDEX('Final Calculation Sheet'!$D$4:$D$40,$BJ44-3)),IF(OR($BI44=1,$BL44=1,$BH44&gt;0),"–",""))</f>
        <v>21980</v>
      </c>
      <c r="F45" s="69">
        <f>IF($BJ44&gt;0,IF(INDEX('Final Calculation Sheet'!$A$4:$A$40,$BJ44-3)="","",INDEX('Final Calculation Sheet'!$A$4:$A$40,$BJ44-3)),IF(OR($BI44=1,$BL44=1,$BH44&gt;0),IF($BI44=1,SUM('Final Calculation Sheet'!$A$4:$A$40),IF($BL44=1,SUM('Final Calculation Sheet'!$A$4:$A$40)-SUMIFS('Final Calculation Sheet'!$A$4:$A$40,$AZ$5:$AZ$41,10),SUMIFS('Final Calculation Sheet'!$A$4:$A$40,$AZ$5:$AZ$41,$BH44))),""))</f>
        <v>3</v>
      </c>
      <c r="G45" s="69" t="str">
        <f>IF($BJ44&gt;0,IF(INDEX('Final Calculation Sheet'!$E$4:$E$40,$BJ44-3)="","",INDEX('Final Calculation Sheet'!$E$4:$E$40,$BJ44-3)),IF(OR($BI44=1,$BL44=1,$BH44&gt;0),"–",""))</f>
        <v>NO</v>
      </c>
      <c r="H45" s="70">
        <f>IF($BJ44&gt;0,IF(INDEX('Final Calculation Sheet'!$C$4:$C$40,$BJ44-3)="","",INDEX('Final Calculation Sheet'!$C$4:$C$40,$BJ44-3)),IF(OR($BI44=1,$BL44=1,$BH44&gt;0),"–",""))</f>
        <v>40003</v>
      </c>
      <c r="I45" s="70">
        <f>IF($BJ44&gt;0,IF(INDEX('Final Calculation Sheet'!$H$4:$H$40,$BJ44-3)="","",INDEX('Final Calculation Sheet'!$H$4:$H$40,$BJ44-3)),IF(OR($BI44=1,$BL44=1,$BH44&gt;0),IF($BI44=1,SUM('Final Calculation Sheet'!$H$4:$H$40),IF($BL44=1,SUM('Final Calculation Sheet'!$H$4:$H$40)-SUMIFS('Final Calculation Sheet'!$H$4:$H$40,$AZ$5:$AZ$41,10),SUMIFS('Final Calculation Sheet'!$H$4:$H$40,$AZ$5:$AZ$41,$BH44))),""))</f>
        <v>120009</v>
      </c>
      <c r="J45" s="70">
        <f>IF($BJ44&gt;0,IF(INDEX('Final Calculation Sheet'!$I$4:$I$40,$BJ44-3)="","",INDEX('Final Calculation Sheet'!$I$4:$I$40,$BJ44-3)),IF(OR($BI44=1,$BL44=1,$BH44&gt;0),IF($BI44=1,SUM('Final Calculation Sheet'!$I$4:$I$40),IF($BL44=1,SUM('Final Calculation Sheet'!$I$4:$I$40)-SUMIFS('Final Calculation Sheet'!$I$4:$I$40,$AZ$5:$AZ$41,10),SUMIFS('Final Calculation Sheet'!$I$4:$I$40,$AZ$5:$AZ$41,$BH44))),""))</f>
        <v>21602</v>
      </c>
      <c r="K45" s="70">
        <f>IF($BJ44&gt;0,IF(INDEX('Final Calculation Sheet'!$J$4:$J$40,$BJ44-3)="","",INDEX('Final Calculation Sheet'!$J$4:$J$40,$BJ44-3)),IF(OR($BI44=1,$BL44=1,$BH44&gt;0),IF($BI44=1,SUM('Final Calculation Sheet'!$J$4:$J$40),IF($BL44=1,SUM('Final Calculation Sheet'!$J$4:$J$40)-SUMIFS('Final Calculation Sheet'!$J$4:$J$40,$AZ$5:$AZ$41,10),SUMIFS('Final Calculation Sheet'!$J$4:$J$40,$AZ$5:$AZ$41,$BH44))),""))</f>
        <v>141611</v>
      </c>
      <c r="L45" s="70">
        <f>IF($BJ44&gt;0,IF(INDEX('Final Calculation Sheet'!$K$4:$K$40,$BJ44-3)="","",INDEX('Final Calculation Sheet'!$K$4:$K$40,$BJ44-3)),IF(OR($BI44=1,$BL44=1,$BH44&gt;0),IF($BI44=1,SUM('Final Calculation Sheet'!$K$4:$K$40),IF($BL44=1,SUM('Final Calculation Sheet'!$K$4:$K$40)-SUMIFS('Final Calculation Sheet'!$K$4:$K$40,$AZ$5:$AZ$41,10),SUMIFS('Final Calculation Sheet'!$K$4:$K$40,$AZ$5:$AZ$41,$BH44))),""))</f>
        <v>2832</v>
      </c>
      <c r="M45" s="70">
        <f>IF($BJ44&gt;0,IF(INDEX('Final Calculation Sheet'!$L$4:$L$40,$BJ44-3)="","",INDEX('Final Calculation Sheet'!$L$4:$L$40,$BJ44-3)),IF(OR($BI44=1,$BL44=1,$BH44&gt;0),IF($BI44=1,SUM('Final Calculation Sheet'!$L$4:$L$40),IF($BL44=1,SUM('Final Calculation Sheet'!$L$4:$L$40)-SUMIFS('Final Calculation Sheet'!$L$4:$L$40,$AZ$5:$AZ$41,10),SUMIFS('Final Calculation Sheet'!$L$4:$L$40,$AZ$5:$AZ$41,$BH44))),""))</f>
        <v>120.009</v>
      </c>
      <c r="N45" s="70">
        <f>IF($BJ44&gt;0,IF(INDEX('Final Calculation Sheet'!$M$4:$M$40,$BJ44-3)="","",INDEX('Final Calculation Sheet'!$M$4:$M$40,$BJ44-3)),IF(OR($BI44=1,$BL44=1,$BH44&gt;0),IF($BI44=1,SUM('Final Calculation Sheet'!$M$4:$M$40),IF($BL44=1,SUM('Final Calculation Sheet'!$M$4:$M$40)-SUMIFS('Final Calculation Sheet'!$M$4:$M$40,$AZ$5:$AZ$41,10),SUMIFS('Final Calculation Sheet'!$M$4:$M$40,$AZ$5:$AZ$41,$BH44))),""))</f>
        <v>3186.2389499999995</v>
      </c>
      <c r="O45" s="71">
        <f>IF($BJ44&gt;0,IF(INDEX('Final Calculation Sheet'!$N$4:$N$40,$BJ44-3)="","",INDEX('Final Calculation Sheet'!$N$4:$N$40,$BJ44-3)),IF(OR($BI44=1,$BL44=1,$BH44&gt;0),IF($BI44=1,SUM('Final Calculation Sheet'!$N$4:$N$40),IF($BL44=1,SUM('Final Calculation Sheet'!$N$4:$N$40)-SUMIFS('Final Calculation Sheet'!$N$4:$N$40,$AZ$5:$AZ$41,10),SUMIFS('Final Calculation Sheet'!$N$4:$N$40,$AZ$5:$AZ$41,$BH44))),""))</f>
        <v>54.004049999999999</v>
      </c>
      <c r="P45" s="70">
        <f>IF($BJ44&gt;0,IF(INDEX('Final Calculation Sheet'!$O$4:$O$40,$BJ44-3)="","",INDEX('Final Calculation Sheet'!$O$4:$O$40,$BJ44-3)),IF(OR($BI44=1,$BL44=1,$BH44&gt;0),IF($BI44=1,SUM('Final Calculation Sheet'!$O$4:$O$40),IF($BL44=1,SUM('Final Calculation Sheet'!$O$4:$O$40)-SUMIFS('Final Calculation Sheet'!$O$4:$O$40,$AZ$5:$AZ$41,10),SUMIFS('Final Calculation Sheet'!$O$4:$O$40,$AZ$5:$AZ$41,$BH44))),""))</f>
        <v>3132.2348999999995</v>
      </c>
      <c r="Q45" s="70">
        <f>IF($BJ44&gt;0,IF(INDEX('Final Calculation Sheet'!$P$4:$P$40,$BJ44-3)="","",INDEX('Final Calculation Sheet'!$P$4:$P$40,$BJ44-3)),IF(OR($BI44=1,$BL44=1,$BH44&gt;0),IF($BI44=1,SUM('Final Calculation Sheet'!$P$4:$P$40),IF($BL44=1,SUM('Final Calculation Sheet'!$P$4:$P$40)-SUMIFS('Final Calculation Sheet'!$P$4:$P$40,$AZ$5:$AZ$41,10),SUMIFS('Final Calculation Sheet'!$P$4:$P$40,$AZ$5:$AZ$41,$BH44))),""))</f>
        <v>3252</v>
      </c>
      <c r="R45" s="72">
        <f>IF($BJ44&gt;0,IF(INDEX('Final Calculation Sheet'!$Q$4:$Q$40,$BJ44-3)="","",INDEX('Final Calculation Sheet'!$Q$4:$Q$40,$BJ44-3)),IF(OR($BI44=1,$BL44=1,$BH44&gt;0),"–",""))</f>
        <v>0</v>
      </c>
      <c r="S45" s="70">
        <f>IF($BJ44&gt;0,IF(INDEX('Final Calculation Sheet'!$R$4:$R$40,$BJ44-3)="","",INDEX('Final Calculation Sheet'!$R$4:$R$40,$BJ44-3)),IF(OR($BI44=1,$BL44=1,$BH44&gt;0),IF($BI44=1,SUM('Final Calculation Sheet'!$R$4:$R$40),IF($BL44=1,SUM('Final Calculation Sheet'!$R$4:$R$40)-SUMIFS('Final Calculation Sheet'!$R$4:$R$40,$AZ$5:$AZ$41,10),SUMIFS('Final Calculation Sheet'!$R$4:$R$40,$AZ$5:$AZ$41,$BH44))),""))</f>
        <v>0</v>
      </c>
      <c r="T45" s="70">
        <f>IF($BJ44&gt;0,IF(INDEX('Final Calculation Sheet'!$S$4:$S$40,$BJ44-3)="","",INDEX('Final Calculation Sheet'!$S$4:$S$40,$BJ44-3)),IF(OR($BI44=1,$BL44=1,$BH44&gt;0),IF($BI44=1,SUM('Final Calculation Sheet'!$S$4:$S$40),IF($BL44=1,SUM('Final Calculation Sheet'!$S$4:$S$40)-SUMIFS('Final Calculation Sheet'!$S$4:$S$40,$AZ$5:$AZ$41,10),SUMIFS('Final Calculation Sheet'!$S$4:$S$40,$AZ$5:$AZ$41,$BH44))),""))</f>
        <v>141191</v>
      </c>
      <c r="U45" s="70">
        <f>IF($BJ44&gt;0,IF(INDEX('Final Calculation Sheet'!$T$4:$T$40,$BJ44-3)="","",INDEX('Final Calculation Sheet'!$T$4:$T$40,$BJ44-3)),IF(OR($BI44=1,$BL44=1,$BH44&gt;0),IF($BI44=1,SUM('Final Calculation Sheet'!$T$4:$T$40),IF($BL44=1,SUM('Final Calculation Sheet'!$T$4:$T$40)-SUMIFS('Final Calculation Sheet'!$T$4:$T$40,$AZ$5:$AZ$41,10),SUMIFS('Final Calculation Sheet'!$T$4:$T$40,$AZ$5:$AZ$41,$BH44))),""))</f>
        <v>30002</v>
      </c>
      <c r="V45" s="73">
        <f>IF($BJ44&gt;0,IF(INDEX('Final Calculation Sheet'!$U$4:$U$40,$BJ44-3)="","",INDEX('Final Calculation Sheet'!$U$4:$U$40,$BJ44-3)),IF(OR($BI44=1,$BL44=1,$BH44&gt;0),IF($BI44=1,SUM('Final Calculation Sheet'!$U$4:$U$40),IF($BL44=1,SUM('Final Calculation Sheet'!$U$4:$U$40)-SUMIFS('Final Calculation Sheet'!$U$4:$U$40,$AZ$5:$AZ$41,10),SUMIFS('Final Calculation Sheet'!$U$4:$U$40,$AZ$5:$AZ$41,$BH44))),""))</f>
        <v>30002</v>
      </c>
      <c r="W45" s="70" t="str">
        <f>IF($BJ44&gt;0,IF(INDEX('Final Calculation Sheet'!$V$4:$V$40,$BJ44-3)="","",INDEX('Final Calculation Sheet'!$V$4:$V$40,$BJ44-3)),IF(OR($BI44=1,$BL44=1,$BH44&gt;0),"–",""))</f>
        <v>14.08.2026</v>
      </c>
      <c r="X45" s="70">
        <f>IF($BJ44&gt;0,IF(INDEX('Final Calculation Sheet'!$W$4:$W$40,$BJ44-3)="","",INDEX('Final Calculation Sheet'!$W$4:$W$40,$BJ44-3)),IF(OR($BI44=1,$BL44=1,$BH44&gt;0),IF($BI44=1,SUM('Final Calculation Sheet'!$W$4:$W$40),IF($BL44=1,SUM('Final Calculation Sheet'!$W$4:$W$40)-SUMIFS('Final Calculation Sheet'!$W$4:$W$40,$AZ$5:$AZ$41,10),SUMIFS('Final Calculation Sheet'!$W$4:$W$40,$AZ$5:$AZ$41,$BH44))),""))</f>
        <v>111188</v>
      </c>
      <c r="Y45" s="70">
        <f>IF($BJ44&gt;0,IF(INDEX('Final Calculation Sheet'!$X$4:$X$40,$BJ44-3)="","",INDEX('Final Calculation Sheet'!$X$4:$X$40,$BJ44-3)),IF(OR($BI44=1,$BL44=1,$BH44&gt;0),IF($BI44=1,SUM('Final Calculation Sheet'!$X$4:$X$40),IF($BL44=1,SUM('Final Calculation Sheet'!$X$4:$X$40)-SUMIFS('Final Calculation Sheet'!$X$4:$X$40,$AZ$5:$AZ$41,10),SUMIFS('Final Calculation Sheet'!$X$4:$X$40,$AZ$5:$AZ$41,$BH44))),""))</f>
        <v>111189</v>
      </c>
      <c r="Z45" s="70" t="str">
        <f>IF($BJ44&gt;0,IF(INDEX('Final Calculation Sheet'!$Y$4:$Y$40,$BJ44-3)="","",INDEX('Final Calculation Sheet'!$Y$4:$Y$40,$BJ44-3)),IF(OR($BI44=1,$BL44=1,$BH44&gt;0),"–",""))</f>
        <v>01.09.2026</v>
      </c>
      <c r="AA45" s="70">
        <f ca="1">IF($BJ44&gt;0,IF(INDEX('Final Calculation Sheet'!$Z$4:$Z$40,$BJ44-3)="","",INDEX('Final Calculation Sheet'!$Z$4:$Z$40,$BJ44-3)),IF(OR($BI44=1,$BL44=1,$BH44&gt;0),IF($BI44=1,SUM('Final Calculation Sheet'!$Z$4:$Z$40),IF($BL44=1,SUM('Final Calculation Sheet'!$Z$4:$Z$40)-SUMIFS('Final Calculation Sheet'!$Z$4:$Z$40,$AZ$5:$AZ$41,10),SUMIFS('Final Calculation Sheet'!$Z$4:$Z$40,$AZ$5:$AZ$41,$BH44))),""))</f>
        <v>2832.2123999999999</v>
      </c>
      <c r="AB45" s="70">
        <f>IF($BJ44&gt;0,IF(INDEX('Final Calculation Sheet'!$AA$4:$AA$40,$BJ44-3)="","",INDEX('Final Calculation Sheet'!$AA$4:$AA$40,$BJ44-3)),IF(OR($BI44=1,$BL44=1,$BH44&gt;0),IF($BI44=1,SUM('Final Calculation Sheet'!$AA$4:$AA$40),IF($BL44=1,SUM('Final Calculation Sheet'!$AA$4:$AA$40)-SUMIFS('Final Calculation Sheet'!$AA$4:$AA$40,$AZ$5:$AZ$41,10),SUMIFS('Final Calculation Sheet'!$AA$4:$AA$40,$AZ$5:$AZ$41,$BH44))),""))</f>
        <v>2832</v>
      </c>
      <c r="AC45" s="70" t="str">
        <f>IF($BJ44&gt;0,IF(INDEX('Final Calculation Sheet'!$AB$4:$AB$40,$BJ44-3)="","",INDEX('Final Calculation Sheet'!$AB$4:$AB$40,$BJ44-3)),IF(OR($BI44=1,$BL44=1,$BH44&gt;0),"–",""))</f>
        <v>01.09.2026</v>
      </c>
      <c r="AD45" s="70">
        <f>IF($BJ44&gt;0,IF(INDEX('Final Calculation Sheet'!$AC$4:$AC$40,$BJ44-3)="","",INDEX('Final Calculation Sheet'!$AC$4:$AC$40,$BJ44-3)),IF(OR($BI44=1,$BL44=1,$BH44&gt;0),IF($BI44=1,SUM('Final Calculation Sheet'!$AC$4:$AC$40),IF($BL44=1,SUM('Final Calculation Sheet'!$AC$4:$AC$40)-SUMIFS('Final Calculation Sheet'!$AC$4:$AC$40,$AZ$5:$AZ$41,10),SUMIFS('Final Calculation Sheet'!$AC$4:$AC$40,$AZ$5:$AZ$41,$BH44))),""))</f>
        <v>144023</v>
      </c>
      <c r="AE45" s="70">
        <f>IF($BJ44&gt;0,IF(INDEX('Final Calculation Sheet'!$AD$4:$AD$40,$BJ44-3)="","",INDEX('Final Calculation Sheet'!$AD$4:$AD$40,$BJ44-3)),IF(OR($BI44=1,$BL44=1,$BH44&gt;0),IF($BI44=1,SUM('Final Calculation Sheet'!$AD$4:$AD$40),IF($BL44=1,SUM('Final Calculation Sheet'!$AD$4:$AD$40)-SUMIFS('Final Calculation Sheet'!$AD$4:$AD$40,$AZ$5:$AZ$41,10),SUMIFS('Final Calculation Sheet'!$AD$4:$AD$40,$AZ$5:$AZ$41,$BH44))),""))</f>
        <v>-2832</v>
      </c>
      <c r="AF45" s="70" t="str">
        <f>IF($BJ44&gt;0,IF(INDEX('Final Calculation Sheet'!$AE$4:$AE$40,$BJ44-3)="","",INDEX('Final Calculation Sheet'!$AE$4:$AE$40,$BJ44-3)),IF(OR($BI44=1,$BL44=1,$BH44&gt;0),"–",""))</f>
        <v/>
      </c>
      <c r="AG45" s="74" t="str">
        <f>IF($BJ44&gt;0,IF(INDEX('Final Calculation Sheet'!$AF$4:$AF$40,$BJ44-3)="","",INDEX('Final Calculation Sheet'!$AF$4:$AF$40,$BJ44-3)),IF(OR($BI44=1,$BL44=1,$BH44&gt;0),"–",""))</f>
        <v/>
      </c>
      <c r="AH45" s="70" t="str">
        <f>IF($BJ44&gt;0,IF(INDEX('Final Calculation Sheet'!$AG$4:$AG$40,$BJ44-3)="","",INDEX('Final Calculation Sheet'!$AG$4:$AG$40,$BJ44-3)),IF(OR($BI44=1,$BL44=1,$BH44&gt;0),"–",""))</f>
        <v/>
      </c>
      <c r="AI45" s="75" t="str">
        <f>IF($BJ44&gt;0,IF(INDEX('Final Calculation Sheet'!$AD$4:$AD$40,$BJ44-3)="","",IF(INDEX('Final Calculation Sheet'!$AD$4:$AD$40,$BJ44-3)&lt;=0,"SETTLED","OUTSTANDING")),IF(OR($BI44=1,$BL44=1,$BH44&gt;0),IF(IF($BI44=1,SUM('Final Calculation Sheet'!$AD$4:$AD$40),IF($BL44=1,SUM('Final Calculation Sheet'!$AD$4:$AD$40)-SUMIFS('Final Calculation Sheet'!$AD$4:$AD$40,$AZ$5:$AZ$41,10),SUMIFS('Final Calculation Sheet'!$AD$4:$AD$40,$AZ$5:$AZ$41,$BH44)))&lt;=0,"ALL SETTLED","OUTSTANDING"),""))</f>
        <v>SETTLED</v>
      </c>
      <c r="BH45">
        <f>IFERROR(MATCH(45,$BF$4:$BF$13,0),0)</f>
        <v>10</v>
      </c>
      <c r="BI45">
        <f>IF(45=$BG$5,1,0)</f>
        <v>0</v>
      </c>
      <c r="BJ45">
        <f>IF(OR($BH45&gt;0,$BI45=1,$BL45=1),0,IFERROR(INDEX($BC$5:$BC$41,MATCH(45,$BB$5:$BB$41,0)),0))</f>
        <v>0</v>
      </c>
      <c r="BK45">
        <f>IF($BJ45&gt;0,IF(INDEX($AZ$5:$AZ$41,MATCH(45,$BB$5:$BB$41,0))=10,1,0),IF($BH45=10,1,0))</f>
        <v>1</v>
      </c>
      <c r="BL45">
        <f>IF(45=$BG$4,1,0)</f>
        <v>0</v>
      </c>
    </row>
    <row r="46" spans="1:99" ht="15" customHeight="1" x14ac:dyDescent="0.25">
      <c r="A46" s="67" t="str">
        <f>IF($BJ45&gt;0,INDEX($BA$5:$BA$41,MATCH(45,$BB$5:$BB$41,0)),IF(OR($BI45=1,$BL45=1,$BH45&gt;0),"∑",""))</f>
        <v>∑</v>
      </c>
      <c r="B46" s="68" t="str">
        <f>IF($BJ45&gt;0,IF(INDEX('Final Calculation Sheet'!$F$4:$F$40,$BJ45-3)="","",INDEX('Final Calculation Sheet'!$F$4:$F$40,$BJ45-3)),"")</f>
        <v/>
      </c>
      <c r="C46" s="68" t="str">
        <f>IF($BJ45&gt;0,IF(INDEX('Final Calculation Sheet'!$G$4:$G$40,$BJ45-3)="","",INDEX('Final Calculation Sheet'!$G$4:$G$40,$BJ45-3)),IF(OR($BI45=1,$BL45=1,$BH45&gt;0),IF($BI45=1,37,IF($BL45=1,37-INDEX($BD$4:$BD$13,10),INDEX($BD$4:$BD$13,$BH45)))&amp;" lot(s)",""))</f>
        <v>28 lot(s)</v>
      </c>
      <c r="D46" s="69" t="str">
        <f>IF($BJ45&gt;0,IF(INDEX('Final Calculation Sheet'!$B$4:$B$40,$BJ45-3)="","",INDEX('Final Calculation Sheet'!$B$4:$B$40,$BJ45-3)),IF(OR($BI45=1,$BL45=1,$BH45&gt;0),IF($BI45=1,"GRAND TOTAL  —  matching + remaining",IF($BL45=1,"TOTAL MATCHED  —  every group together",IF($BH45=10,"REMAINING  —  did not match the search",IF($BH45=9,IF(COUNTIF($A$4:$AI$4,"&lt;&gt;")&gt;0,"FILTERED LOTS  —  column fields","ALL LOTS  —  nothing typed in the box"),"GROUP "&amp;$BH45&amp;" TOTAL  —  lots matching  "&amp;INDEX($AR$6:$AY$6,$BH45))))),""))</f>
        <v>REMAINING  —  did not match the search</v>
      </c>
      <c r="E46" s="69" t="str">
        <f>IF($BJ45&gt;0,IF(INDEX('Final Calculation Sheet'!$D$4:$D$40,$BJ45-3)="","",INDEX('Final Calculation Sheet'!$D$4:$D$40,$BJ45-3)),IF(OR($BI45=1,$BL45=1,$BH45&gt;0),"–",""))</f>
        <v>–</v>
      </c>
      <c r="F46" s="69">
        <f>IF($BJ45&gt;0,IF(INDEX('Final Calculation Sheet'!$A$4:$A$40,$BJ45-3)="","",INDEX('Final Calculation Sheet'!$A$4:$A$40,$BJ45-3)),IF(OR($BI45=1,$BL45=1,$BH45&gt;0),IF($BI45=1,SUM('Final Calculation Sheet'!$A$4:$A$40),IF($BL45=1,SUM('Final Calculation Sheet'!$A$4:$A$40)-SUMIFS('Final Calculation Sheet'!$A$4:$A$40,$AZ$5:$AZ$41,10),SUMIFS('Final Calculation Sheet'!$A$4:$A$40,$AZ$5:$AZ$41,$BH45))),""))</f>
        <v>15420.2</v>
      </c>
      <c r="G46" s="69" t="str">
        <f>IF($BJ45&gt;0,IF(INDEX('Final Calculation Sheet'!$E$4:$E$40,$BJ45-3)="","",INDEX('Final Calculation Sheet'!$E$4:$E$40,$BJ45-3)),IF(OR($BI45=1,$BL45=1,$BH45&gt;0),"–",""))</f>
        <v>–</v>
      </c>
      <c r="H46" s="70" t="str">
        <f>IF($BJ45&gt;0,IF(INDEX('Final Calculation Sheet'!$C$4:$C$40,$BJ45-3)="","",INDEX('Final Calculation Sheet'!$C$4:$C$40,$BJ45-3)),IF(OR($BI45=1,$BL45=1,$BH45&gt;0),"–",""))</f>
        <v>–</v>
      </c>
      <c r="I46" s="70">
        <f>IF($BJ45&gt;0,IF(INDEX('Final Calculation Sheet'!$H$4:$H$40,$BJ45-3)="","",INDEX('Final Calculation Sheet'!$H$4:$H$40,$BJ45-3)),IF(OR($BI45=1,$BL45=1,$BH45&gt;0),IF($BI45=1,SUM('Final Calculation Sheet'!$H$4:$H$40),IF($BL45=1,SUM('Final Calculation Sheet'!$H$4:$H$40)-SUMIFS('Final Calculation Sheet'!$H$4:$H$40,$AZ$5:$AZ$41,10),SUMIFS('Final Calculation Sheet'!$H$4:$H$40,$AZ$5:$AZ$41,$BH45))),""))</f>
        <v>14156838</v>
      </c>
      <c r="J46" s="70">
        <f>IF($BJ45&gt;0,IF(INDEX('Final Calculation Sheet'!$I$4:$I$40,$BJ45-3)="","",INDEX('Final Calculation Sheet'!$I$4:$I$40,$BJ45-3)),IF(OR($BI45=1,$BL45=1,$BH45&gt;0),IF($BI45=1,SUM('Final Calculation Sheet'!$I$4:$I$40),IF($BL45=1,SUM('Final Calculation Sheet'!$I$4:$I$40)-SUMIFS('Final Calculation Sheet'!$I$4:$I$40,$AZ$5:$AZ$41,10),SUMIFS('Final Calculation Sheet'!$I$4:$I$40,$AZ$5:$AZ$41,$BH45))),""))</f>
        <v>2548231</v>
      </c>
      <c r="K46" s="70">
        <f>IF($BJ45&gt;0,IF(INDEX('Final Calculation Sheet'!$J$4:$J$40,$BJ45-3)="","",INDEX('Final Calculation Sheet'!$J$4:$J$40,$BJ45-3)),IF(OR($BI45=1,$BL45=1,$BH45&gt;0),IF($BI45=1,SUM('Final Calculation Sheet'!$J$4:$J$40),IF($BL45=1,SUM('Final Calculation Sheet'!$J$4:$J$40)-SUMIFS('Final Calculation Sheet'!$J$4:$J$40,$AZ$5:$AZ$41,10),SUMIFS('Final Calculation Sheet'!$J$4:$J$40,$AZ$5:$AZ$41,$BH45))),""))</f>
        <v>16705069</v>
      </c>
      <c r="L46" s="70">
        <f>IF($BJ45&gt;0,IF(INDEX('Final Calculation Sheet'!$K$4:$K$40,$BJ45-3)="","",INDEX('Final Calculation Sheet'!$K$4:$K$40,$BJ45-3)),IF(OR($BI45=1,$BL45=1,$BH45&gt;0),IF($BI45=1,SUM('Final Calculation Sheet'!$K$4:$K$40),IF($BL45=1,SUM('Final Calculation Sheet'!$K$4:$K$40)-SUMIFS('Final Calculation Sheet'!$K$4:$K$40,$AZ$5:$AZ$41,10),SUMIFS('Final Calculation Sheet'!$K$4:$K$40,$AZ$5:$AZ$41,$BH45))),""))</f>
        <v>334101</v>
      </c>
      <c r="M46" s="70">
        <f>IF($BJ45&gt;0,IF(INDEX('Final Calculation Sheet'!$L$4:$L$40,$BJ45-3)="","",INDEX('Final Calculation Sheet'!$L$4:$L$40,$BJ45-3)),IF(OR($BI45=1,$BL45=1,$BH45&gt;0),IF($BI45=1,SUM('Final Calculation Sheet'!$L$4:$L$40),IF($BL45=1,SUM('Final Calculation Sheet'!$L$4:$L$40)-SUMIFS('Final Calculation Sheet'!$L$4:$L$40,$AZ$5:$AZ$41,10),SUMIFS('Final Calculation Sheet'!$L$4:$L$40,$AZ$5:$AZ$41,$BH45))),""))</f>
        <v>14156.838000000003</v>
      </c>
      <c r="N46" s="70">
        <f>IF($BJ45&gt;0,IF(INDEX('Final Calculation Sheet'!$M$4:$M$40,$BJ45-3)="","",INDEX('Final Calculation Sheet'!$M$4:$M$40,$BJ45-3)),IF(OR($BI45=1,$BL45=1,$BH45&gt;0),IF($BI45=1,SUM('Final Calculation Sheet'!$M$4:$M$40),IF($BL45=1,SUM('Final Calculation Sheet'!$M$4:$M$40)-SUMIFS('Final Calculation Sheet'!$M$4:$M$40,$AZ$5:$AZ$41,10),SUMIFS('Final Calculation Sheet'!$M$4:$M$40,$AZ$5:$AZ$41,$BH45))),""))</f>
        <v>375864.04889999994</v>
      </c>
      <c r="O46" s="71">
        <f>IF($BJ45&gt;0,IF(INDEX('Final Calculation Sheet'!$N$4:$N$40,$BJ45-3)="","",INDEX('Final Calculation Sheet'!$N$4:$N$40,$BJ45-3)),IF(OR($BI45=1,$BL45=1,$BH45&gt;0),IF($BI45=1,SUM('Final Calculation Sheet'!$N$4:$N$40),IF($BL45=1,SUM('Final Calculation Sheet'!$N$4:$N$40)-SUMIFS('Final Calculation Sheet'!$N$4:$N$40,$AZ$5:$AZ$41,10),SUMIFS('Final Calculation Sheet'!$N$4:$N$40,$AZ$5:$AZ$41,$BH45))),""))</f>
        <v>6370.5770999999986</v>
      </c>
      <c r="P46" s="70">
        <f>IF($BJ45&gt;0,IF(INDEX('Final Calculation Sheet'!$O$4:$O$40,$BJ45-3)="","",INDEX('Final Calculation Sheet'!$O$4:$O$40,$BJ45-3)),IF(OR($BI45=1,$BL45=1,$BH45&gt;0),IF($BI45=1,SUM('Final Calculation Sheet'!$O$4:$O$40),IF($BL45=1,SUM('Final Calculation Sheet'!$O$4:$O$40)-SUMIFS('Final Calculation Sheet'!$O$4:$O$40,$AZ$5:$AZ$41,10),SUMIFS('Final Calculation Sheet'!$O$4:$O$40,$AZ$5:$AZ$41,$BH45))),""))</f>
        <v>369493.47179999988</v>
      </c>
      <c r="Q46" s="70">
        <f>IF($BJ45&gt;0,IF(INDEX('Final Calculation Sheet'!$P$4:$P$40,$BJ45-3)="","",INDEX('Final Calculation Sheet'!$P$4:$P$40,$BJ45-3)),IF(OR($BI45=1,$BL45=1,$BH45&gt;0),IF($BI45=1,SUM('Final Calculation Sheet'!$P$4:$P$40),IF($BL45=1,SUM('Final Calculation Sheet'!$P$4:$P$40)-SUMIFS('Final Calculation Sheet'!$P$4:$P$40,$AZ$5:$AZ$41,10),SUMIFS('Final Calculation Sheet'!$P$4:$P$40,$AZ$5:$AZ$41,$BH45))),""))</f>
        <v>383650</v>
      </c>
      <c r="R46" s="72" t="str">
        <f>IF($BJ45&gt;0,IF(INDEX('Final Calculation Sheet'!$Q$4:$Q$40,$BJ45-3)="","",INDEX('Final Calculation Sheet'!$Q$4:$Q$40,$BJ45-3)),IF(OR($BI45=1,$BL45=1,$BH45&gt;0),"–",""))</f>
        <v>–</v>
      </c>
      <c r="S46" s="70">
        <f>IF($BJ45&gt;0,IF(INDEX('Final Calculation Sheet'!$R$4:$R$40,$BJ45-3)="","",INDEX('Final Calculation Sheet'!$R$4:$R$40,$BJ45-3)),IF(OR($BI45=1,$BL45=1,$BH45&gt;0),IF($BI45=1,SUM('Final Calculation Sheet'!$R$4:$R$40),IF($BL45=1,SUM('Final Calculation Sheet'!$R$4:$R$40)-SUMIFS('Final Calculation Sheet'!$R$4:$R$40,$AZ$5:$AZ$41,10),SUMIFS('Final Calculation Sheet'!$R$4:$R$40,$AZ$5:$AZ$41,$BH45))),""))</f>
        <v>83029</v>
      </c>
      <c r="T46" s="70">
        <f>IF($BJ45&gt;0,IF(INDEX('Final Calculation Sheet'!$S$4:$S$40,$BJ45-3)="","",INDEX('Final Calculation Sheet'!$S$4:$S$40,$BJ45-3)),IF(OR($BI45=1,$BL45=1,$BH45&gt;0),IF($BI45=1,SUM('Final Calculation Sheet'!$S$4:$S$40),IF($BL45=1,SUM('Final Calculation Sheet'!$S$4:$S$40)-SUMIFS('Final Calculation Sheet'!$S$4:$S$40,$AZ$5:$AZ$41,10),SUMIFS('Final Calculation Sheet'!$S$4:$S$40,$AZ$5:$AZ$41,$BH45))),""))</f>
        <v>16572493</v>
      </c>
      <c r="U46" s="70">
        <f>IF($BJ45&gt;0,IF(INDEX('Final Calculation Sheet'!$T$4:$T$40,$BJ45-3)="","",INDEX('Final Calculation Sheet'!$T$4:$T$40,$BJ45-3)),IF(OR($BI45=1,$BL45=1,$BH45&gt;0),IF($BI45=1,SUM('Final Calculation Sheet'!$T$4:$T$40),IF($BL45=1,SUM('Final Calculation Sheet'!$T$4:$T$40)-SUMIFS('Final Calculation Sheet'!$T$4:$T$40,$AZ$5:$AZ$41,10),SUMIFS('Final Calculation Sheet'!$T$4:$T$40,$AZ$5:$AZ$41,$BH45))),""))</f>
        <v>3539213</v>
      </c>
      <c r="V46" s="73">
        <f>IF($BJ45&gt;0,IF(INDEX('Final Calculation Sheet'!$U$4:$U$40,$BJ45-3)="","",INDEX('Final Calculation Sheet'!$U$4:$U$40,$BJ45-3)),IF(OR($BI45=1,$BL45=1,$BH45&gt;0),IF($BI45=1,SUM('Final Calculation Sheet'!$U$4:$U$40),IF($BL45=1,SUM('Final Calculation Sheet'!$U$4:$U$40)-SUMIFS('Final Calculation Sheet'!$U$4:$U$40,$AZ$5:$AZ$41,10),SUMIFS('Final Calculation Sheet'!$U$4:$U$40,$AZ$5:$AZ$41,$BH45))),""))</f>
        <v>3539213</v>
      </c>
      <c r="W46" s="70" t="str">
        <f>IF($BJ45&gt;0,IF(INDEX('Final Calculation Sheet'!$V$4:$V$40,$BJ45-3)="","",INDEX('Final Calculation Sheet'!$V$4:$V$40,$BJ45-3)),IF(OR($BI45=1,$BL45=1,$BH45&gt;0),"–",""))</f>
        <v>–</v>
      </c>
      <c r="X46" s="70">
        <f>IF($BJ45&gt;0,IF(INDEX('Final Calculation Sheet'!$W$4:$W$40,$BJ45-3)="","",INDEX('Final Calculation Sheet'!$W$4:$W$40,$BJ45-3)),IF(OR($BI45=1,$BL45=1,$BH45&gt;0),IF($BI45=1,SUM('Final Calculation Sheet'!$W$4:$W$40),IF($BL45=1,SUM('Final Calculation Sheet'!$W$4:$W$40)-SUMIFS('Final Calculation Sheet'!$W$4:$W$40,$AZ$5:$AZ$41,10),SUMIFS('Final Calculation Sheet'!$W$4:$W$40,$AZ$5:$AZ$41,$BH45))),""))</f>
        <v>13033282</v>
      </c>
      <c r="Y46" s="70">
        <f>IF($BJ45&gt;0,IF(INDEX('Final Calculation Sheet'!$X$4:$X$40,$BJ45-3)="","",INDEX('Final Calculation Sheet'!$X$4:$X$40,$BJ45-3)),IF(OR($BI45=1,$BL45=1,$BH45&gt;0),IF($BI45=1,SUM('Final Calculation Sheet'!$X$4:$X$40),IF($BL45=1,SUM('Final Calculation Sheet'!$X$4:$X$40)-SUMIFS('Final Calculation Sheet'!$X$4:$X$40,$AZ$5:$AZ$41,10),SUMIFS('Final Calculation Sheet'!$X$4:$X$40,$AZ$5:$AZ$41,$BH45))),""))</f>
        <v>12235057</v>
      </c>
      <c r="Z46" s="70" t="str">
        <f>IF($BJ45&gt;0,IF(INDEX('Final Calculation Sheet'!$Y$4:$Y$40,$BJ45-3)="","",INDEX('Final Calculation Sheet'!$Y$4:$Y$40,$BJ45-3)),IF(OR($BI45=1,$BL45=1,$BH45&gt;0),"–",""))</f>
        <v>–</v>
      </c>
      <c r="AA46" s="70">
        <f ca="1">IF($BJ45&gt;0,IF(INDEX('Final Calculation Sheet'!$Z$4:$Z$40,$BJ45-3)="","",INDEX('Final Calculation Sheet'!$Z$4:$Z$40,$BJ45-3)),IF(OR($BI45=1,$BL45=1,$BH45&gt;0),IF($BI45=1,SUM('Final Calculation Sheet'!$Z$4:$Z$40),IF($BL45=1,SUM('Final Calculation Sheet'!$Z$4:$Z$40)-SUMIFS('Final Calculation Sheet'!$Z$4:$Z$40,$AZ$5:$AZ$41,10),SUMIFS('Final Calculation Sheet'!$Z$4:$Z$40,$AZ$5:$AZ$41,$BH45))),""))</f>
        <v>34459.067999999999</v>
      </c>
      <c r="AB46" s="70">
        <f>IF($BJ45&gt;0,IF(INDEX('Final Calculation Sheet'!$AA$4:$AA$40,$BJ45-3)="","",INDEX('Final Calculation Sheet'!$AA$4:$AA$40,$BJ45-3)),IF(OR($BI45=1,$BL45=1,$BH45&gt;0),IF($BI45=1,SUM('Final Calculation Sheet'!$AA$4:$AA$40),IF($BL45=1,SUM('Final Calculation Sheet'!$AA$4:$AA$40)-SUMIFS('Final Calculation Sheet'!$AA$4:$AA$40,$AZ$5:$AZ$41,10),SUMIFS('Final Calculation Sheet'!$AA$4:$AA$40,$AZ$5:$AZ$41,$BH45))),""))</f>
        <v>3540</v>
      </c>
      <c r="AC46" s="70" t="str">
        <f>IF($BJ45&gt;0,IF(INDEX('Final Calculation Sheet'!$AB$4:$AB$40,$BJ45-3)="","",INDEX('Final Calculation Sheet'!$AB$4:$AB$40,$BJ45-3)),IF(OR($BI45=1,$BL45=1,$BH45&gt;0),"–",""))</f>
        <v>–</v>
      </c>
      <c r="AD46" s="70">
        <f>IF($BJ45&gt;0,IF(INDEX('Final Calculation Sheet'!$AC$4:$AC$40,$BJ45-3)="","",INDEX('Final Calculation Sheet'!$AC$4:$AC$40,$BJ45-3)),IF(OR($BI45=1,$BL45=1,$BH45&gt;0),IF($BI45=1,SUM('Final Calculation Sheet'!$AC$4:$AC$40),IF($BL45=1,SUM('Final Calculation Sheet'!$AC$4:$AC$40)-SUMIFS('Final Calculation Sheet'!$AC$4:$AC$40,$AZ$5:$AZ$41,10),SUMIFS('Final Calculation Sheet'!$AC$4:$AC$40,$AZ$5:$AZ$41,$BH45))),""))</f>
        <v>15777810</v>
      </c>
      <c r="AE46" s="70">
        <f>IF($BJ45&gt;0,IF(INDEX('Final Calculation Sheet'!$AD$4:$AD$40,$BJ45-3)="","",INDEX('Final Calculation Sheet'!$AD$4:$AD$40,$BJ45-3)),IF(OR($BI45=1,$BL45=1,$BH45&gt;0),IF($BI45=1,SUM('Final Calculation Sheet'!$AD$4:$AD$40),IF($BL45=1,SUM('Final Calculation Sheet'!$AD$4:$AD$40)-SUMIFS('Final Calculation Sheet'!$AD$4:$AD$40,$AZ$5:$AZ$41,10),SUMIFS('Final Calculation Sheet'!$AD$4:$AD$40,$AZ$5:$AZ$41,$BH45))),""))</f>
        <v>794683.00000000047</v>
      </c>
      <c r="AF46" s="70" t="str">
        <f>IF($BJ45&gt;0,IF(INDEX('Final Calculation Sheet'!$AE$4:$AE$40,$BJ45-3)="","",INDEX('Final Calculation Sheet'!$AE$4:$AE$40,$BJ45-3)),IF(OR($BI45=1,$BL45=1,$BH45&gt;0),"–",""))</f>
        <v>–</v>
      </c>
      <c r="AG46" s="74" t="str">
        <f>IF($BJ45&gt;0,IF(INDEX('Final Calculation Sheet'!$AF$4:$AF$40,$BJ45-3)="","",INDEX('Final Calculation Sheet'!$AF$4:$AF$40,$BJ45-3)),IF(OR($BI45=1,$BL45=1,$BH45&gt;0),"–",""))</f>
        <v>–</v>
      </c>
      <c r="AH46" s="70" t="str">
        <f>IF($BJ45&gt;0,IF(INDEX('Final Calculation Sheet'!$AG$4:$AG$40,$BJ45-3)="","",INDEX('Final Calculation Sheet'!$AG$4:$AG$40,$BJ45-3)),IF(OR($BI45=1,$BL45=1,$BH45&gt;0),"–",""))</f>
        <v>–</v>
      </c>
      <c r="AI46" s="75" t="str">
        <f>IF($BJ45&gt;0,IF(INDEX('Final Calculation Sheet'!$AD$4:$AD$40,$BJ45-3)="","",IF(INDEX('Final Calculation Sheet'!$AD$4:$AD$40,$BJ45-3)&lt;=0,"SETTLED","OUTSTANDING")),IF(OR($BI45=1,$BL45=1,$BH45&gt;0),IF(IF($BI45=1,SUM('Final Calculation Sheet'!$AD$4:$AD$40),IF($BL45=1,SUM('Final Calculation Sheet'!$AD$4:$AD$40)-SUMIFS('Final Calculation Sheet'!$AD$4:$AD$40,$AZ$5:$AZ$41,10),SUMIFS('Final Calculation Sheet'!$AD$4:$AD$40,$AZ$5:$AZ$41,$BH45)))&lt;=0,"ALL SETTLED","OUTSTANDING"),""))</f>
        <v>OUTSTANDING</v>
      </c>
      <c r="BH46">
        <f>IFERROR(MATCH(46,$BF$4:$BF$13,0),0)</f>
        <v>0</v>
      </c>
      <c r="BI46">
        <f>IF(46=$BG$5,1,0)</f>
        <v>1</v>
      </c>
      <c r="BJ46">
        <f>IF(OR($BH46&gt;0,$BI46=1,$BL46=1),0,IFERROR(INDEX($BC$5:$BC$41,MATCH(46,$BB$5:$BB$41,0)),0))</f>
        <v>0</v>
      </c>
      <c r="BK46">
        <f>IF($BJ46&gt;0,IF(INDEX($AZ$5:$AZ$41,MATCH(46,$BB$5:$BB$41,0))=10,1,0),IF($BH46=10,1,0))</f>
        <v>0</v>
      </c>
      <c r="BL46">
        <f>IF(46=$BG$4,1,0)</f>
        <v>0</v>
      </c>
    </row>
    <row r="47" spans="1:99" ht="15" customHeight="1" x14ac:dyDescent="0.25">
      <c r="A47" s="67" t="str">
        <f>IF($BJ46&gt;0,INDEX($BA$5:$BA$41,MATCH(46,$BB$5:$BB$41,0)),IF(OR($BI46=1,$BL46=1,$BH46&gt;0),"∑",""))</f>
        <v>∑</v>
      </c>
      <c r="B47" s="68" t="str">
        <f>IF($BJ46&gt;0,IF(INDEX('Final Calculation Sheet'!$F$4:$F$40,$BJ46-3)="","",INDEX('Final Calculation Sheet'!$F$4:$F$40,$BJ46-3)),"")</f>
        <v/>
      </c>
      <c r="C47" s="68" t="str">
        <f>IF($BJ46&gt;0,IF(INDEX('Final Calculation Sheet'!$G$4:$G$40,$BJ46-3)="","",INDEX('Final Calculation Sheet'!$G$4:$G$40,$BJ46-3)),IF(OR($BI46=1,$BL46=1,$BH46&gt;0),IF($BI46=1,37,IF($BL46=1,37-INDEX($BD$4:$BD$13,10),INDEX($BD$4:$BD$13,$BH46)))&amp;" lot(s)",""))</f>
        <v>37 lot(s)</v>
      </c>
      <c r="D47" s="69" t="str">
        <f>IF($BJ46&gt;0,IF(INDEX('Final Calculation Sheet'!$B$4:$B$40,$BJ46-3)="","",INDEX('Final Calculation Sheet'!$B$4:$B$40,$BJ46-3)),IF(OR($BI46=1,$BL46=1,$BH46&gt;0),IF($BI46=1,"GRAND TOTAL  —  matching + remaining",IF($BL46=1,"TOTAL MATCHED  —  every group together",IF($BH46=10,"REMAINING  —  did not match the search",IF($BH46=9,IF(COUNTIF($A$4:$AI$4,"&lt;&gt;")&gt;0,"FILTERED LOTS  —  column fields","ALL LOTS  —  nothing typed in the box"),"GROUP "&amp;$BH46&amp;" TOTAL  —  lots matching  "&amp;INDEX($AR$6:$AY$6,$BH46))))),""))</f>
        <v>GRAND TOTAL  —  matching + remaining</v>
      </c>
      <c r="E47" s="69" t="str">
        <f>IF($BJ46&gt;0,IF(INDEX('Final Calculation Sheet'!$D$4:$D$40,$BJ46-3)="","",INDEX('Final Calculation Sheet'!$D$4:$D$40,$BJ46-3)),IF(OR($BI46=1,$BL46=1,$BH46&gt;0),"–",""))</f>
        <v>–</v>
      </c>
      <c r="F47" s="69">
        <f>IF($BJ46&gt;0,IF(INDEX('Final Calculation Sheet'!$A$4:$A$40,$BJ46-3)="","",INDEX('Final Calculation Sheet'!$A$4:$A$40,$BJ46-3)),IF(OR($BI46=1,$BL46=1,$BH46&gt;0),IF($BI46=1,SUM('Final Calculation Sheet'!$A$4:$A$40),IF($BL46=1,SUM('Final Calculation Sheet'!$A$4:$A$40)-SUMIFS('Final Calculation Sheet'!$A$4:$A$40,$AZ$5:$AZ$41,10),SUMIFS('Final Calculation Sheet'!$A$4:$A$40,$AZ$5:$AZ$41,$BH46))),""))</f>
        <v>17157.2</v>
      </c>
      <c r="G47" s="69" t="str">
        <f>IF($BJ46&gt;0,IF(INDEX('Final Calculation Sheet'!$E$4:$E$40,$BJ46-3)="","",INDEX('Final Calculation Sheet'!$E$4:$E$40,$BJ46-3)),IF(OR($BI46=1,$BL46=1,$BH46&gt;0),"–",""))</f>
        <v>–</v>
      </c>
      <c r="H47" s="70" t="str">
        <f>IF($BJ46&gt;0,IF(INDEX('Final Calculation Sheet'!$C$4:$C$40,$BJ46-3)="","",INDEX('Final Calculation Sheet'!$C$4:$C$40,$BJ46-3)),IF(OR($BI46=1,$BL46=1,$BH46&gt;0),"–",""))</f>
        <v>–</v>
      </c>
      <c r="I47" s="70">
        <f>IF($BJ46&gt;0,IF(INDEX('Final Calculation Sheet'!$H$4:$H$40,$BJ46-3)="","",INDEX('Final Calculation Sheet'!$H$4:$H$40,$BJ46-3)),IF(OR($BI46=1,$BL46=1,$BH46&gt;0),IF($BI46=1,SUM('Final Calculation Sheet'!$H$4:$H$40),IF($BL46=1,SUM('Final Calculation Sheet'!$H$4:$H$40)-SUMIFS('Final Calculation Sheet'!$H$4:$H$40,$AZ$5:$AZ$41,10),SUMIFS('Final Calculation Sheet'!$H$4:$H$40,$AZ$5:$AZ$41,$BH46))),""))</f>
        <v>15130598</v>
      </c>
      <c r="J47" s="70">
        <f>IF($BJ46&gt;0,IF(INDEX('Final Calculation Sheet'!$I$4:$I$40,$BJ46-3)="","",INDEX('Final Calculation Sheet'!$I$4:$I$40,$BJ46-3)),IF(OR($BI46=1,$BL46=1,$BH46&gt;0),IF($BI46=1,SUM('Final Calculation Sheet'!$I$4:$I$40),IF($BL46=1,SUM('Final Calculation Sheet'!$I$4:$I$40)-SUMIFS('Final Calculation Sheet'!$I$4:$I$40,$AZ$5:$AZ$41,10),SUMIFS('Final Calculation Sheet'!$I$4:$I$40,$AZ$5:$AZ$41,$BH46))),""))</f>
        <v>2723508</v>
      </c>
      <c r="K47" s="70">
        <f>IF($BJ46&gt;0,IF(INDEX('Final Calculation Sheet'!$J$4:$J$40,$BJ46-3)="","",INDEX('Final Calculation Sheet'!$J$4:$J$40,$BJ46-3)),IF(OR($BI46=1,$BL46=1,$BH46&gt;0),IF($BI46=1,SUM('Final Calculation Sheet'!$J$4:$J$40),IF($BL46=1,SUM('Final Calculation Sheet'!$J$4:$J$40)-SUMIFS('Final Calculation Sheet'!$J$4:$J$40,$AZ$5:$AZ$41,10),SUMIFS('Final Calculation Sheet'!$J$4:$J$40,$AZ$5:$AZ$41,$BH46))),""))</f>
        <v>17854106</v>
      </c>
      <c r="L47" s="70">
        <f>IF($BJ46&gt;0,IF(INDEX('Final Calculation Sheet'!$K$4:$K$40,$BJ46-3)="","",INDEX('Final Calculation Sheet'!$K$4:$K$40,$BJ46-3)),IF(OR($BI46=1,$BL46=1,$BH46&gt;0),IF($BI46=1,SUM('Final Calculation Sheet'!$K$4:$K$40),IF($BL46=1,SUM('Final Calculation Sheet'!$K$4:$K$40)-SUMIFS('Final Calculation Sheet'!$K$4:$K$40,$AZ$5:$AZ$41,10),SUMIFS('Final Calculation Sheet'!$K$4:$K$40,$AZ$5:$AZ$41,$BH46))),""))</f>
        <v>357082</v>
      </c>
      <c r="M47" s="70">
        <f>IF($BJ46&gt;0,IF(INDEX('Final Calculation Sheet'!$L$4:$L$40,$BJ46-3)="","",INDEX('Final Calculation Sheet'!$L$4:$L$40,$BJ46-3)),IF(OR($BI46=1,$BL46=1,$BH46&gt;0),IF($BI46=1,SUM('Final Calculation Sheet'!$L$4:$L$40),IF($BL46=1,SUM('Final Calculation Sheet'!$L$4:$L$40)-SUMIFS('Final Calculation Sheet'!$L$4:$L$40,$AZ$5:$AZ$41,10),SUMIFS('Final Calculation Sheet'!$L$4:$L$40,$AZ$5:$AZ$41,$BH46))),""))</f>
        <v>15130.598000000002</v>
      </c>
      <c r="N47" s="70">
        <f>IF($BJ46&gt;0,IF(INDEX('Final Calculation Sheet'!$M$4:$M$40,$BJ46-3)="","",INDEX('Final Calculation Sheet'!$M$4:$M$40,$BJ46-3)),IF(OR($BI46=1,$BL46=1,$BH46&gt;0),IF($BI46=1,SUM('Final Calculation Sheet'!$M$4:$M$40),IF($BL46=1,SUM('Final Calculation Sheet'!$M$4:$M$40)-SUMIFS('Final Calculation Sheet'!$M$4:$M$40,$AZ$5:$AZ$41,10),SUMIFS('Final Calculation Sheet'!$M$4:$M$40,$AZ$5:$AZ$41,$BH46))),""))</f>
        <v>401717.37689999992</v>
      </c>
      <c r="O47" s="71">
        <f>IF($BJ46&gt;0,IF(INDEX('Final Calculation Sheet'!$N$4:$N$40,$BJ46-3)="","",INDEX('Final Calculation Sheet'!$N$4:$N$40,$BJ46-3)),IF(OR($BI46=1,$BL46=1,$BH46&gt;0),IF($BI46=1,SUM('Final Calculation Sheet'!$N$4:$N$40),IF($BL46=1,SUM('Final Calculation Sheet'!$N$4:$N$40)-SUMIFS('Final Calculation Sheet'!$N$4:$N$40,$AZ$5:$AZ$41,10),SUMIFS('Final Calculation Sheet'!$N$4:$N$40,$AZ$5:$AZ$41,$BH46))),""))</f>
        <v>6808.7690999999977</v>
      </c>
      <c r="P47" s="70">
        <f>IF($BJ46&gt;0,IF(INDEX('Final Calculation Sheet'!$O$4:$O$40,$BJ46-3)="","",INDEX('Final Calculation Sheet'!$O$4:$O$40,$BJ46-3)),IF(OR($BI46=1,$BL46=1,$BH46&gt;0),IF($BI46=1,SUM('Final Calculation Sheet'!$O$4:$O$40),IF($BL46=1,SUM('Final Calculation Sheet'!$O$4:$O$40)-SUMIFS('Final Calculation Sheet'!$O$4:$O$40,$AZ$5:$AZ$41,10),SUMIFS('Final Calculation Sheet'!$O$4:$O$40,$AZ$5:$AZ$41,$BH46))),""))</f>
        <v>394908.6078</v>
      </c>
      <c r="Q47" s="70">
        <f>IF($BJ46&gt;0,IF(INDEX('Final Calculation Sheet'!$P$4:$P$40,$BJ46-3)="","",INDEX('Final Calculation Sheet'!$P$4:$P$40,$BJ46-3)),IF(OR($BI46=1,$BL46=1,$BH46&gt;0),IF($BI46=1,SUM('Final Calculation Sheet'!$P$4:$P$40),IF($BL46=1,SUM('Final Calculation Sheet'!$P$4:$P$40)-SUMIFS('Final Calculation Sheet'!$P$4:$P$40,$AZ$5:$AZ$41,10),SUMIFS('Final Calculation Sheet'!$P$4:$P$40,$AZ$5:$AZ$41,$BH46))),""))</f>
        <v>410039</v>
      </c>
      <c r="R47" s="72" t="str">
        <f>IF($BJ46&gt;0,IF(INDEX('Final Calculation Sheet'!$Q$4:$Q$40,$BJ46-3)="","",INDEX('Final Calculation Sheet'!$Q$4:$Q$40,$BJ46-3)),IF(OR($BI46=1,$BL46=1,$BH46&gt;0),"–",""))</f>
        <v>–</v>
      </c>
      <c r="S47" s="70">
        <f>IF($BJ46&gt;0,IF(INDEX('Final Calculation Sheet'!$R$4:$R$40,$BJ46-3)="","",INDEX('Final Calculation Sheet'!$R$4:$R$40,$BJ46-3)),IF(OR($BI46=1,$BL46=1,$BH46&gt;0),IF($BI46=1,SUM('Final Calculation Sheet'!$R$4:$R$40),IF($BL46=1,SUM('Final Calculation Sheet'!$R$4:$R$40)-SUMIFS('Final Calculation Sheet'!$R$4:$R$40,$AZ$5:$AZ$41,10),SUMIFS('Final Calculation Sheet'!$R$4:$R$40,$AZ$5:$AZ$41,$BH46))),""))</f>
        <v>83029</v>
      </c>
      <c r="T47" s="70">
        <f>IF($BJ46&gt;0,IF(INDEX('Final Calculation Sheet'!$S$4:$S$40,$BJ46-3)="","",INDEX('Final Calculation Sheet'!$S$4:$S$40,$BJ46-3)),IF(OR($BI46=1,$BL46=1,$BH46&gt;0),IF($BI46=1,SUM('Final Calculation Sheet'!$S$4:$S$40),IF($BL46=1,SUM('Final Calculation Sheet'!$S$4:$S$40)-SUMIFS('Final Calculation Sheet'!$S$4:$S$40,$AZ$5:$AZ$41,10),SUMIFS('Final Calculation Sheet'!$S$4:$S$40,$AZ$5:$AZ$41,$BH46))),""))</f>
        <v>17718123</v>
      </c>
      <c r="U47" s="70">
        <f>IF($BJ46&gt;0,IF(INDEX('Final Calculation Sheet'!$T$4:$T$40,$BJ46-3)="","",INDEX('Final Calculation Sheet'!$T$4:$T$40,$BJ46-3)),IF(OR($BI46=1,$BL46=1,$BH46&gt;0),IF($BI46=1,SUM('Final Calculation Sheet'!$T$4:$T$40),IF($BL46=1,SUM('Final Calculation Sheet'!$T$4:$T$40)-SUMIFS('Final Calculation Sheet'!$T$4:$T$40,$AZ$5:$AZ$41,10),SUMIFS('Final Calculation Sheet'!$T$4:$T$40,$AZ$5:$AZ$41,$BH46))),""))</f>
        <v>3782654</v>
      </c>
      <c r="V47" s="73">
        <f>IF($BJ46&gt;0,IF(INDEX('Final Calculation Sheet'!$U$4:$U$40,$BJ46-3)="","",INDEX('Final Calculation Sheet'!$U$4:$U$40,$BJ46-3)),IF(OR($BI46=1,$BL46=1,$BH46&gt;0),IF($BI46=1,SUM('Final Calculation Sheet'!$U$4:$U$40),IF($BL46=1,SUM('Final Calculation Sheet'!$U$4:$U$40)-SUMIFS('Final Calculation Sheet'!$U$4:$U$40,$AZ$5:$AZ$41,10),SUMIFS('Final Calculation Sheet'!$U$4:$U$40,$AZ$5:$AZ$41,$BH46))),""))</f>
        <v>3782654</v>
      </c>
      <c r="W47" s="70" t="str">
        <f>IF($BJ46&gt;0,IF(INDEX('Final Calculation Sheet'!$V$4:$V$40,$BJ46-3)="","",INDEX('Final Calculation Sheet'!$V$4:$V$40,$BJ46-3)),IF(OR($BI46=1,$BL46=1,$BH46&gt;0),"–",""))</f>
        <v>–</v>
      </c>
      <c r="X47" s="70">
        <f>IF($BJ46&gt;0,IF(INDEX('Final Calculation Sheet'!$W$4:$W$40,$BJ46-3)="","",INDEX('Final Calculation Sheet'!$W$4:$W$40,$BJ46-3)),IF(OR($BI46=1,$BL46=1,$BH46&gt;0),IF($BI46=1,SUM('Final Calculation Sheet'!$W$4:$W$40),IF($BL46=1,SUM('Final Calculation Sheet'!$W$4:$W$40)-SUMIFS('Final Calculation Sheet'!$W$4:$W$40,$AZ$5:$AZ$41,10),SUMIFS('Final Calculation Sheet'!$W$4:$W$40,$AZ$5:$AZ$41,$BH46))),""))</f>
        <v>13935473</v>
      </c>
      <c r="Y47" s="70">
        <f>IF($BJ46&gt;0,IF(INDEX('Final Calculation Sheet'!$X$4:$X$40,$BJ46-3)="","",INDEX('Final Calculation Sheet'!$X$4:$X$40,$BJ46-3)),IF(OR($BI46=1,$BL46=1,$BH46&gt;0),IF($BI46=1,SUM('Final Calculation Sheet'!$X$4:$X$40),IF($BL46=1,SUM('Final Calculation Sheet'!$X$4:$X$40)-SUMIFS('Final Calculation Sheet'!$X$4:$X$40,$AZ$5:$AZ$41,10),SUMIFS('Final Calculation Sheet'!$X$4:$X$40,$AZ$5:$AZ$41,$BH46))),""))</f>
        <v>13137293</v>
      </c>
      <c r="Z47" s="70" t="str">
        <f>IF($BJ46&gt;0,IF(INDEX('Final Calculation Sheet'!$Y$4:$Y$40,$BJ46-3)="","",INDEX('Final Calculation Sheet'!$Y$4:$Y$40,$BJ46-3)),IF(OR($BI46=1,$BL46=1,$BH46&gt;0),"–",""))</f>
        <v>–</v>
      </c>
      <c r="AA47" s="70">
        <f ca="1">IF($BJ46&gt;0,IF(INDEX('Final Calculation Sheet'!$Z$4:$Z$40,$BJ46-3)="","",INDEX('Final Calculation Sheet'!$Z$4:$Z$40,$BJ46-3)),IF(OR($BI46=1,$BL46=1,$BH46&gt;0),IF($BI46=1,SUM('Final Calculation Sheet'!$Z$4:$Z$40),IF($BL46=1,SUM('Final Calculation Sheet'!$Z$4:$Z$40)-SUMIFS('Final Calculation Sheet'!$Z$4:$Z$40,$AZ$5:$AZ$41,10),SUMIFS('Final Calculation Sheet'!$Z$4:$Z$40,$AZ$5:$AZ$41,$BH46))),""))</f>
        <v>34459.067999999999</v>
      </c>
      <c r="AB47" s="70">
        <f>IF($BJ46&gt;0,IF(INDEX('Final Calculation Sheet'!$AA$4:$AA$40,$BJ46-3)="","",INDEX('Final Calculation Sheet'!$AA$4:$AA$40,$BJ46-3)),IF(OR($BI46=1,$BL46=1,$BH46&gt;0),IF($BI46=1,SUM('Final Calculation Sheet'!$AA$4:$AA$40),IF($BL46=1,SUM('Final Calculation Sheet'!$AA$4:$AA$40)-SUMIFS('Final Calculation Sheet'!$AA$4:$AA$40,$AZ$5:$AZ$41,10),SUMIFS('Final Calculation Sheet'!$AA$4:$AA$40,$AZ$5:$AZ$41,$BH46))),""))</f>
        <v>3540</v>
      </c>
      <c r="AC47" s="70" t="str">
        <f>IF($BJ46&gt;0,IF(INDEX('Final Calculation Sheet'!$AB$4:$AB$40,$BJ46-3)="","",INDEX('Final Calculation Sheet'!$AB$4:$AB$40,$BJ46-3)),IF(OR($BI46=1,$BL46=1,$BH46&gt;0),"–",""))</f>
        <v>–</v>
      </c>
      <c r="AD47" s="70">
        <f>IF($BJ46&gt;0,IF(INDEX('Final Calculation Sheet'!$AC$4:$AC$40,$BJ46-3)="","",INDEX('Final Calculation Sheet'!$AC$4:$AC$40,$BJ46-3)),IF(OR($BI46=1,$BL46=1,$BH46&gt;0),IF($BI46=1,SUM('Final Calculation Sheet'!$AC$4:$AC$40),IF($BL46=1,SUM('Final Calculation Sheet'!$AC$4:$AC$40)-SUMIFS('Final Calculation Sheet'!$AC$4:$AC$40,$AZ$5:$AZ$41,10),SUMIFS('Final Calculation Sheet'!$AC$4:$AC$40,$AZ$5:$AZ$41,$BH46))),""))</f>
        <v>16923487</v>
      </c>
      <c r="AE47" s="70">
        <f>IF($BJ46&gt;0,IF(INDEX('Final Calculation Sheet'!$AD$4:$AD$40,$BJ46-3)="","",INDEX('Final Calculation Sheet'!$AD$4:$AD$40,$BJ46-3)),IF(OR($BI46=1,$BL46=1,$BH46&gt;0),IF($BI46=1,SUM('Final Calculation Sheet'!$AD$4:$AD$40),IF($BL46=1,SUM('Final Calculation Sheet'!$AD$4:$AD$40)-SUMIFS('Final Calculation Sheet'!$AD$4:$AD$40,$AZ$5:$AZ$41,10),SUMIFS('Final Calculation Sheet'!$AD$4:$AD$40,$AZ$5:$AZ$41,$BH46))),""))</f>
        <v>794636.00000000047</v>
      </c>
      <c r="AF47" s="70" t="str">
        <f>IF($BJ46&gt;0,IF(INDEX('Final Calculation Sheet'!$AE$4:$AE$40,$BJ46-3)="","",INDEX('Final Calculation Sheet'!$AE$4:$AE$40,$BJ46-3)),IF(OR($BI46=1,$BL46=1,$BH46&gt;0),"–",""))</f>
        <v>–</v>
      </c>
      <c r="AG47" s="74" t="str">
        <f>IF($BJ46&gt;0,IF(INDEX('Final Calculation Sheet'!$AF$4:$AF$40,$BJ46-3)="","",INDEX('Final Calculation Sheet'!$AF$4:$AF$40,$BJ46-3)),IF(OR($BI46=1,$BL46=1,$BH46&gt;0),"–",""))</f>
        <v>–</v>
      </c>
      <c r="AH47" s="70" t="str">
        <f>IF($BJ46&gt;0,IF(INDEX('Final Calculation Sheet'!$AG$4:$AG$40,$BJ46-3)="","",INDEX('Final Calculation Sheet'!$AG$4:$AG$40,$BJ46-3)),IF(OR($BI46=1,$BL46=1,$BH46&gt;0),"–",""))</f>
        <v>–</v>
      </c>
      <c r="AI47" s="75" t="str">
        <f>IF($BJ46&gt;0,IF(INDEX('Final Calculation Sheet'!$AD$4:$AD$40,$BJ46-3)="","",IF(INDEX('Final Calculation Sheet'!$AD$4:$AD$40,$BJ46-3)&lt;=0,"SETTLED","OUTSTANDING")),IF(OR($BI46=1,$BL46=1,$BH46&gt;0),IF(IF($BI46=1,SUM('Final Calculation Sheet'!$AD$4:$AD$40),IF($BL46=1,SUM('Final Calculation Sheet'!$AD$4:$AD$40)-SUMIFS('Final Calculation Sheet'!$AD$4:$AD$40,$AZ$5:$AZ$41,10),SUMIFS('Final Calculation Sheet'!$AD$4:$AD$40,$AZ$5:$AZ$41,$BH46)))&lt;=0,"ALL SETTLED","OUTSTANDING"),""))</f>
        <v>OUTSTANDING</v>
      </c>
      <c r="BH47">
        <f>IFERROR(MATCH(47,$BF$4:$BF$13,0),0)</f>
        <v>0</v>
      </c>
      <c r="BI47">
        <f>IF(47=$BG$5,1,0)</f>
        <v>0</v>
      </c>
      <c r="BJ47">
        <f>IF(OR($BH47&gt;0,$BI47=1,$BL47=1),0,IFERROR(INDEX($BC$5:$BC$41,MATCH(47,$BB$5:$BB$41,0)),0))</f>
        <v>0</v>
      </c>
      <c r="BK47">
        <f>IF($BJ47&gt;0,IF(INDEX($AZ$5:$AZ$41,MATCH(47,$BB$5:$BB$41,0))=10,1,0),IF($BH47=10,1,0))</f>
        <v>0</v>
      </c>
      <c r="BL47">
        <f>IF(47=$BG$4,1,0)</f>
        <v>0</v>
      </c>
    </row>
    <row r="48" spans="1:99" ht="15" customHeight="1" x14ac:dyDescent="0.25">
      <c r="A48" s="67" t="str">
        <f>IF($BJ47&gt;0,INDEX($BA$5:$BA$41,MATCH(47,$BB$5:$BB$41,0)),IF(OR($BI47=1,$BL47=1,$BH47&gt;0),"∑",""))</f>
        <v/>
      </c>
      <c r="B48" s="68" t="str">
        <f>IF($BJ47&gt;0,IF(INDEX('Final Calculation Sheet'!$F$4:$F$40,$BJ47-3)="","",INDEX('Final Calculation Sheet'!$F$4:$F$40,$BJ47-3)),"")</f>
        <v/>
      </c>
      <c r="C48" s="68" t="str">
        <f>IF($BJ47&gt;0,IF(INDEX('Final Calculation Sheet'!$G$4:$G$40,$BJ47-3)="","",INDEX('Final Calculation Sheet'!$G$4:$G$40,$BJ47-3)),IF(OR($BI47=1,$BL47=1,$BH47&gt;0),IF($BI47=1,37,IF($BL47=1,37-INDEX($BD$4:$BD$13,10),INDEX($BD$4:$BD$13,$BH47)))&amp;" lot(s)",""))</f>
        <v/>
      </c>
      <c r="D48" s="69" t="str">
        <f>IF($BJ47&gt;0,IF(INDEX('Final Calculation Sheet'!$B$4:$B$40,$BJ47-3)="","",INDEX('Final Calculation Sheet'!$B$4:$B$40,$BJ47-3)),IF(OR($BI47=1,$BL47=1,$BH47&gt;0),IF($BI47=1,"GRAND TOTAL  —  matching + remaining",IF($BL47=1,"TOTAL MATCHED  —  every group together",IF($BH47=10,"REMAINING  —  did not match the search",IF($BH47=9,IF(COUNTIF($A$4:$AI$4,"&lt;&gt;")&gt;0,"FILTERED LOTS  —  column fields","ALL LOTS  —  nothing typed in the box"),"GROUP "&amp;$BH47&amp;" TOTAL  —  lots matching  "&amp;INDEX($AR$6:$AY$6,$BH47))))),""))</f>
        <v/>
      </c>
      <c r="E48" s="69" t="str">
        <f>IF($BJ47&gt;0,IF(INDEX('Final Calculation Sheet'!$D$4:$D$40,$BJ47-3)="","",INDEX('Final Calculation Sheet'!$D$4:$D$40,$BJ47-3)),IF(OR($BI47=1,$BL47=1,$BH47&gt;0),"–",""))</f>
        <v/>
      </c>
      <c r="F48" s="69" t="str">
        <f>IF($BJ47&gt;0,IF(INDEX('Final Calculation Sheet'!$A$4:$A$40,$BJ47-3)="","",INDEX('Final Calculation Sheet'!$A$4:$A$40,$BJ47-3)),IF(OR($BI47=1,$BL47=1,$BH47&gt;0),IF($BI47=1,SUM('Final Calculation Sheet'!$A$4:$A$40),IF($BL47=1,SUM('Final Calculation Sheet'!$A$4:$A$40)-SUMIFS('Final Calculation Sheet'!$A$4:$A$40,$AZ$5:$AZ$41,10),SUMIFS('Final Calculation Sheet'!$A$4:$A$40,$AZ$5:$AZ$41,$BH47))),""))</f>
        <v/>
      </c>
      <c r="G48" s="69" t="str">
        <f>IF($BJ47&gt;0,IF(INDEX('Final Calculation Sheet'!$E$4:$E$40,$BJ47-3)="","",INDEX('Final Calculation Sheet'!$E$4:$E$40,$BJ47-3)),IF(OR($BI47=1,$BL47=1,$BH47&gt;0),"–",""))</f>
        <v/>
      </c>
      <c r="H48" s="70" t="str">
        <f>IF($BJ47&gt;0,IF(INDEX('Final Calculation Sheet'!$C$4:$C$40,$BJ47-3)="","",INDEX('Final Calculation Sheet'!$C$4:$C$40,$BJ47-3)),IF(OR($BI47=1,$BL47=1,$BH47&gt;0),"–",""))</f>
        <v/>
      </c>
      <c r="I48" s="70" t="str">
        <f>IF($BJ47&gt;0,IF(INDEX('Final Calculation Sheet'!$H$4:$H$40,$BJ47-3)="","",INDEX('Final Calculation Sheet'!$H$4:$H$40,$BJ47-3)),IF(OR($BI47=1,$BL47=1,$BH47&gt;0),IF($BI47=1,SUM('Final Calculation Sheet'!$H$4:$H$40),IF($BL47=1,SUM('Final Calculation Sheet'!$H$4:$H$40)-SUMIFS('Final Calculation Sheet'!$H$4:$H$40,$AZ$5:$AZ$41,10),SUMIFS('Final Calculation Sheet'!$H$4:$H$40,$AZ$5:$AZ$41,$BH47))),""))</f>
        <v/>
      </c>
      <c r="J48" s="70" t="str">
        <f>IF($BJ47&gt;0,IF(INDEX('Final Calculation Sheet'!$I$4:$I$40,$BJ47-3)="","",INDEX('Final Calculation Sheet'!$I$4:$I$40,$BJ47-3)),IF(OR($BI47=1,$BL47=1,$BH47&gt;0),IF($BI47=1,SUM('Final Calculation Sheet'!$I$4:$I$40),IF($BL47=1,SUM('Final Calculation Sheet'!$I$4:$I$40)-SUMIFS('Final Calculation Sheet'!$I$4:$I$40,$AZ$5:$AZ$41,10),SUMIFS('Final Calculation Sheet'!$I$4:$I$40,$AZ$5:$AZ$41,$BH47))),""))</f>
        <v/>
      </c>
      <c r="K48" s="70" t="str">
        <f>IF($BJ47&gt;0,IF(INDEX('Final Calculation Sheet'!$J$4:$J$40,$BJ47-3)="","",INDEX('Final Calculation Sheet'!$J$4:$J$40,$BJ47-3)),IF(OR($BI47=1,$BL47=1,$BH47&gt;0),IF($BI47=1,SUM('Final Calculation Sheet'!$J$4:$J$40),IF($BL47=1,SUM('Final Calculation Sheet'!$J$4:$J$40)-SUMIFS('Final Calculation Sheet'!$J$4:$J$40,$AZ$5:$AZ$41,10),SUMIFS('Final Calculation Sheet'!$J$4:$J$40,$AZ$5:$AZ$41,$BH47))),""))</f>
        <v/>
      </c>
      <c r="L48" s="70" t="str">
        <f>IF($BJ47&gt;0,IF(INDEX('Final Calculation Sheet'!$K$4:$K$40,$BJ47-3)="","",INDEX('Final Calculation Sheet'!$K$4:$K$40,$BJ47-3)),IF(OR($BI47=1,$BL47=1,$BH47&gt;0),IF($BI47=1,SUM('Final Calculation Sheet'!$K$4:$K$40),IF($BL47=1,SUM('Final Calculation Sheet'!$K$4:$K$40)-SUMIFS('Final Calculation Sheet'!$K$4:$K$40,$AZ$5:$AZ$41,10),SUMIFS('Final Calculation Sheet'!$K$4:$K$40,$AZ$5:$AZ$41,$BH47))),""))</f>
        <v/>
      </c>
      <c r="M48" s="70" t="str">
        <f>IF($BJ47&gt;0,IF(INDEX('Final Calculation Sheet'!$L$4:$L$40,$BJ47-3)="","",INDEX('Final Calculation Sheet'!$L$4:$L$40,$BJ47-3)),IF(OR($BI47=1,$BL47=1,$BH47&gt;0),IF($BI47=1,SUM('Final Calculation Sheet'!$L$4:$L$40),IF($BL47=1,SUM('Final Calculation Sheet'!$L$4:$L$40)-SUMIFS('Final Calculation Sheet'!$L$4:$L$40,$AZ$5:$AZ$41,10),SUMIFS('Final Calculation Sheet'!$L$4:$L$40,$AZ$5:$AZ$41,$BH47))),""))</f>
        <v/>
      </c>
      <c r="N48" s="70" t="str">
        <f>IF($BJ47&gt;0,IF(INDEX('Final Calculation Sheet'!$M$4:$M$40,$BJ47-3)="","",INDEX('Final Calculation Sheet'!$M$4:$M$40,$BJ47-3)),IF(OR($BI47=1,$BL47=1,$BH47&gt;0),IF($BI47=1,SUM('Final Calculation Sheet'!$M$4:$M$40),IF($BL47=1,SUM('Final Calculation Sheet'!$M$4:$M$40)-SUMIFS('Final Calculation Sheet'!$M$4:$M$40,$AZ$5:$AZ$41,10),SUMIFS('Final Calculation Sheet'!$M$4:$M$40,$AZ$5:$AZ$41,$BH47))),""))</f>
        <v/>
      </c>
      <c r="O48" s="71" t="str">
        <f>IF($BJ47&gt;0,IF(INDEX('Final Calculation Sheet'!$N$4:$N$40,$BJ47-3)="","",INDEX('Final Calculation Sheet'!$N$4:$N$40,$BJ47-3)),IF(OR($BI47=1,$BL47=1,$BH47&gt;0),IF($BI47=1,SUM('Final Calculation Sheet'!$N$4:$N$40),IF($BL47=1,SUM('Final Calculation Sheet'!$N$4:$N$40)-SUMIFS('Final Calculation Sheet'!$N$4:$N$40,$AZ$5:$AZ$41,10),SUMIFS('Final Calculation Sheet'!$N$4:$N$40,$AZ$5:$AZ$41,$BH47))),""))</f>
        <v/>
      </c>
      <c r="P48" s="70" t="str">
        <f>IF($BJ47&gt;0,IF(INDEX('Final Calculation Sheet'!$O$4:$O$40,$BJ47-3)="","",INDEX('Final Calculation Sheet'!$O$4:$O$40,$BJ47-3)),IF(OR($BI47=1,$BL47=1,$BH47&gt;0),IF($BI47=1,SUM('Final Calculation Sheet'!$O$4:$O$40),IF($BL47=1,SUM('Final Calculation Sheet'!$O$4:$O$40)-SUMIFS('Final Calculation Sheet'!$O$4:$O$40,$AZ$5:$AZ$41,10),SUMIFS('Final Calculation Sheet'!$O$4:$O$40,$AZ$5:$AZ$41,$BH47))),""))</f>
        <v/>
      </c>
      <c r="Q48" s="70" t="str">
        <f>IF($BJ47&gt;0,IF(INDEX('Final Calculation Sheet'!$P$4:$P$40,$BJ47-3)="","",INDEX('Final Calculation Sheet'!$P$4:$P$40,$BJ47-3)),IF(OR($BI47=1,$BL47=1,$BH47&gt;0),IF($BI47=1,SUM('Final Calculation Sheet'!$P$4:$P$40),IF($BL47=1,SUM('Final Calculation Sheet'!$P$4:$P$40)-SUMIFS('Final Calculation Sheet'!$P$4:$P$40,$AZ$5:$AZ$41,10),SUMIFS('Final Calculation Sheet'!$P$4:$P$40,$AZ$5:$AZ$41,$BH47))),""))</f>
        <v/>
      </c>
      <c r="R48" s="72" t="str">
        <f>IF($BJ47&gt;0,IF(INDEX('Final Calculation Sheet'!$Q$4:$Q$40,$BJ47-3)="","",INDEX('Final Calculation Sheet'!$Q$4:$Q$40,$BJ47-3)),IF(OR($BI47=1,$BL47=1,$BH47&gt;0),"–",""))</f>
        <v/>
      </c>
      <c r="S48" s="70" t="str">
        <f>IF($BJ47&gt;0,IF(INDEX('Final Calculation Sheet'!$R$4:$R$40,$BJ47-3)="","",INDEX('Final Calculation Sheet'!$R$4:$R$40,$BJ47-3)),IF(OR($BI47=1,$BL47=1,$BH47&gt;0),IF($BI47=1,SUM('Final Calculation Sheet'!$R$4:$R$40),IF($BL47=1,SUM('Final Calculation Sheet'!$R$4:$R$40)-SUMIFS('Final Calculation Sheet'!$R$4:$R$40,$AZ$5:$AZ$41,10),SUMIFS('Final Calculation Sheet'!$R$4:$R$40,$AZ$5:$AZ$41,$BH47))),""))</f>
        <v/>
      </c>
      <c r="T48" s="70" t="str">
        <f>IF($BJ47&gt;0,IF(INDEX('Final Calculation Sheet'!$S$4:$S$40,$BJ47-3)="","",INDEX('Final Calculation Sheet'!$S$4:$S$40,$BJ47-3)),IF(OR($BI47=1,$BL47=1,$BH47&gt;0),IF($BI47=1,SUM('Final Calculation Sheet'!$S$4:$S$40),IF($BL47=1,SUM('Final Calculation Sheet'!$S$4:$S$40)-SUMIFS('Final Calculation Sheet'!$S$4:$S$40,$AZ$5:$AZ$41,10),SUMIFS('Final Calculation Sheet'!$S$4:$S$40,$AZ$5:$AZ$41,$BH47))),""))</f>
        <v/>
      </c>
      <c r="U48" s="70" t="str">
        <f>IF($BJ47&gt;0,IF(INDEX('Final Calculation Sheet'!$T$4:$T$40,$BJ47-3)="","",INDEX('Final Calculation Sheet'!$T$4:$T$40,$BJ47-3)),IF(OR($BI47=1,$BL47=1,$BH47&gt;0),IF($BI47=1,SUM('Final Calculation Sheet'!$T$4:$T$40),IF($BL47=1,SUM('Final Calculation Sheet'!$T$4:$T$40)-SUMIFS('Final Calculation Sheet'!$T$4:$T$40,$AZ$5:$AZ$41,10),SUMIFS('Final Calculation Sheet'!$T$4:$T$40,$AZ$5:$AZ$41,$BH47))),""))</f>
        <v/>
      </c>
      <c r="V48" s="73" t="str">
        <f>IF($BJ47&gt;0,IF(INDEX('Final Calculation Sheet'!$U$4:$U$40,$BJ47-3)="","",INDEX('Final Calculation Sheet'!$U$4:$U$40,$BJ47-3)),IF(OR($BI47=1,$BL47=1,$BH47&gt;0),IF($BI47=1,SUM('Final Calculation Sheet'!$U$4:$U$40),IF($BL47=1,SUM('Final Calculation Sheet'!$U$4:$U$40)-SUMIFS('Final Calculation Sheet'!$U$4:$U$40,$AZ$5:$AZ$41,10),SUMIFS('Final Calculation Sheet'!$U$4:$U$40,$AZ$5:$AZ$41,$BH47))),""))</f>
        <v/>
      </c>
      <c r="W48" s="70" t="str">
        <f>IF($BJ47&gt;0,IF(INDEX('Final Calculation Sheet'!$V$4:$V$40,$BJ47-3)="","",INDEX('Final Calculation Sheet'!$V$4:$V$40,$BJ47-3)),IF(OR($BI47=1,$BL47=1,$BH47&gt;0),"–",""))</f>
        <v/>
      </c>
      <c r="X48" s="70" t="str">
        <f>IF($BJ47&gt;0,IF(INDEX('Final Calculation Sheet'!$W$4:$W$40,$BJ47-3)="","",INDEX('Final Calculation Sheet'!$W$4:$W$40,$BJ47-3)),IF(OR($BI47=1,$BL47=1,$BH47&gt;0),IF($BI47=1,SUM('Final Calculation Sheet'!$W$4:$W$40),IF($BL47=1,SUM('Final Calculation Sheet'!$W$4:$W$40)-SUMIFS('Final Calculation Sheet'!$W$4:$W$40,$AZ$5:$AZ$41,10),SUMIFS('Final Calculation Sheet'!$W$4:$W$40,$AZ$5:$AZ$41,$BH47))),""))</f>
        <v/>
      </c>
      <c r="Y48" s="70" t="str">
        <f>IF($BJ47&gt;0,IF(INDEX('Final Calculation Sheet'!$X$4:$X$40,$BJ47-3)="","",INDEX('Final Calculation Sheet'!$X$4:$X$40,$BJ47-3)),IF(OR($BI47=1,$BL47=1,$BH47&gt;0),IF($BI47=1,SUM('Final Calculation Sheet'!$X$4:$X$40),IF($BL47=1,SUM('Final Calculation Sheet'!$X$4:$X$40)-SUMIFS('Final Calculation Sheet'!$X$4:$X$40,$AZ$5:$AZ$41,10),SUMIFS('Final Calculation Sheet'!$X$4:$X$40,$AZ$5:$AZ$41,$BH47))),""))</f>
        <v/>
      </c>
      <c r="Z48" s="70" t="str">
        <f>IF($BJ47&gt;0,IF(INDEX('Final Calculation Sheet'!$Y$4:$Y$40,$BJ47-3)="","",INDEX('Final Calculation Sheet'!$Y$4:$Y$40,$BJ47-3)),IF(OR($BI47=1,$BL47=1,$BH47&gt;0),"–",""))</f>
        <v/>
      </c>
      <c r="AA48" s="70" t="str">
        <f>IF($BJ47&gt;0,IF(INDEX('Final Calculation Sheet'!$Z$4:$Z$40,$BJ47-3)="","",INDEX('Final Calculation Sheet'!$Z$4:$Z$40,$BJ47-3)),IF(OR($BI47=1,$BL47=1,$BH47&gt;0),IF($BI47=1,SUM('Final Calculation Sheet'!$Z$4:$Z$40),IF($BL47=1,SUM('Final Calculation Sheet'!$Z$4:$Z$40)-SUMIFS('Final Calculation Sheet'!$Z$4:$Z$40,$AZ$5:$AZ$41,10),SUMIFS('Final Calculation Sheet'!$Z$4:$Z$40,$AZ$5:$AZ$41,$BH47))),""))</f>
        <v/>
      </c>
      <c r="AB48" s="70" t="str">
        <f>IF($BJ47&gt;0,IF(INDEX('Final Calculation Sheet'!$AA$4:$AA$40,$BJ47-3)="","",INDEX('Final Calculation Sheet'!$AA$4:$AA$40,$BJ47-3)),IF(OR($BI47=1,$BL47=1,$BH47&gt;0),IF($BI47=1,SUM('Final Calculation Sheet'!$AA$4:$AA$40),IF($BL47=1,SUM('Final Calculation Sheet'!$AA$4:$AA$40)-SUMIFS('Final Calculation Sheet'!$AA$4:$AA$40,$AZ$5:$AZ$41,10),SUMIFS('Final Calculation Sheet'!$AA$4:$AA$40,$AZ$5:$AZ$41,$BH47))),""))</f>
        <v/>
      </c>
      <c r="AC48" s="70" t="str">
        <f>IF($BJ47&gt;0,IF(INDEX('Final Calculation Sheet'!$AB$4:$AB$40,$BJ47-3)="","",INDEX('Final Calculation Sheet'!$AB$4:$AB$40,$BJ47-3)),IF(OR($BI47=1,$BL47=1,$BH47&gt;0),"–",""))</f>
        <v/>
      </c>
      <c r="AD48" s="70" t="str">
        <f>IF($BJ47&gt;0,IF(INDEX('Final Calculation Sheet'!$AC$4:$AC$40,$BJ47-3)="","",INDEX('Final Calculation Sheet'!$AC$4:$AC$40,$BJ47-3)),IF(OR($BI47=1,$BL47=1,$BH47&gt;0),IF($BI47=1,SUM('Final Calculation Sheet'!$AC$4:$AC$40),IF($BL47=1,SUM('Final Calculation Sheet'!$AC$4:$AC$40)-SUMIFS('Final Calculation Sheet'!$AC$4:$AC$40,$AZ$5:$AZ$41,10),SUMIFS('Final Calculation Sheet'!$AC$4:$AC$40,$AZ$5:$AZ$41,$BH47))),""))</f>
        <v/>
      </c>
      <c r="AE48" s="70" t="str">
        <f>IF($BJ47&gt;0,IF(INDEX('Final Calculation Sheet'!$AD$4:$AD$40,$BJ47-3)="","",INDEX('Final Calculation Sheet'!$AD$4:$AD$40,$BJ47-3)),IF(OR($BI47=1,$BL47=1,$BH47&gt;0),IF($BI47=1,SUM('Final Calculation Sheet'!$AD$4:$AD$40),IF($BL47=1,SUM('Final Calculation Sheet'!$AD$4:$AD$40)-SUMIFS('Final Calculation Sheet'!$AD$4:$AD$40,$AZ$5:$AZ$41,10),SUMIFS('Final Calculation Sheet'!$AD$4:$AD$40,$AZ$5:$AZ$41,$BH47))),""))</f>
        <v/>
      </c>
      <c r="AF48" s="70" t="str">
        <f>IF($BJ47&gt;0,IF(INDEX('Final Calculation Sheet'!$AE$4:$AE$40,$BJ47-3)="","",INDEX('Final Calculation Sheet'!$AE$4:$AE$40,$BJ47-3)),IF(OR($BI47=1,$BL47=1,$BH47&gt;0),"–",""))</f>
        <v/>
      </c>
      <c r="AG48" s="74" t="str">
        <f>IF($BJ47&gt;0,IF(INDEX('Final Calculation Sheet'!$AF$4:$AF$40,$BJ47-3)="","",INDEX('Final Calculation Sheet'!$AF$4:$AF$40,$BJ47-3)),IF(OR($BI47=1,$BL47=1,$BH47&gt;0),"–",""))</f>
        <v/>
      </c>
      <c r="AH48" s="70" t="str">
        <f>IF($BJ47&gt;0,IF(INDEX('Final Calculation Sheet'!$AG$4:$AG$40,$BJ47-3)="","",INDEX('Final Calculation Sheet'!$AG$4:$AG$40,$BJ47-3)),IF(OR($BI47=1,$BL47=1,$BH47&gt;0),"–",""))</f>
        <v/>
      </c>
      <c r="AI48" s="75" t="str">
        <f>IF($BJ47&gt;0,IF(INDEX('Final Calculation Sheet'!$AD$4:$AD$40,$BJ47-3)="","",IF(INDEX('Final Calculation Sheet'!$AD$4:$AD$40,$BJ47-3)&lt;=0,"SETTLED","OUTSTANDING")),IF(OR($BI47=1,$BL47=1,$BH47&gt;0),IF(IF($BI47=1,SUM('Final Calculation Sheet'!$AD$4:$AD$40),IF($BL47=1,SUM('Final Calculation Sheet'!$AD$4:$AD$40)-SUMIFS('Final Calculation Sheet'!$AD$4:$AD$40,$AZ$5:$AZ$41,10),SUMIFS('Final Calculation Sheet'!$AD$4:$AD$40,$AZ$5:$AZ$41,$BH47)))&lt;=0,"ALL SETTLED","OUTSTANDING"),""))</f>
        <v/>
      </c>
      <c r="BH48">
        <f>IFERROR(MATCH(48,$BF$4:$BF$13,0),0)</f>
        <v>0</v>
      </c>
      <c r="BI48">
        <f>IF(48=$BG$5,1,0)</f>
        <v>0</v>
      </c>
      <c r="BJ48">
        <f>IF(OR($BH48&gt;0,$BI48=1,$BL48=1),0,IFERROR(INDEX($BC$5:$BC$41,MATCH(48,$BB$5:$BB$41,0)),0))</f>
        <v>0</v>
      </c>
      <c r="BK48">
        <f>IF($BJ48&gt;0,IF(INDEX($AZ$5:$AZ$41,MATCH(48,$BB$5:$BB$41,0))=10,1,0),IF($BH48=10,1,0))</f>
        <v>0</v>
      </c>
      <c r="BL48">
        <f>IF(48=$BG$4,1,0)</f>
        <v>0</v>
      </c>
    </row>
    <row r="49" spans="1:99" ht="15" customHeight="1" x14ac:dyDescent="0.25">
      <c r="A49" s="67" t="str">
        <f>IF($BJ48&gt;0,INDEX($BA$5:$BA$41,MATCH(48,$BB$5:$BB$41,0)),IF(OR($BI48=1,$BL48=1,$BH48&gt;0),"∑",""))</f>
        <v/>
      </c>
      <c r="B49" s="68" t="str">
        <f>IF($BJ48&gt;0,IF(INDEX('Final Calculation Sheet'!$F$4:$F$40,$BJ48-3)="","",INDEX('Final Calculation Sheet'!$F$4:$F$40,$BJ48-3)),"")</f>
        <v/>
      </c>
      <c r="C49" s="68" t="str">
        <f>IF($BJ48&gt;0,IF(INDEX('Final Calculation Sheet'!$G$4:$G$40,$BJ48-3)="","",INDEX('Final Calculation Sheet'!$G$4:$G$40,$BJ48-3)),IF(OR($BI48=1,$BL48=1,$BH48&gt;0),IF($BI48=1,37,IF($BL48=1,37-INDEX($BD$4:$BD$13,10),INDEX($BD$4:$BD$13,$BH48)))&amp;" lot(s)",""))</f>
        <v/>
      </c>
      <c r="D49" s="69" t="str">
        <f>IF($BJ48&gt;0,IF(INDEX('Final Calculation Sheet'!$B$4:$B$40,$BJ48-3)="","",INDEX('Final Calculation Sheet'!$B$4:$B$40,$BJ48-3)),IF(OR($BI48=1,$BL48=1,$BH48&gt;0),IF($BI48=1,"GRAND TOTAL  —  matching + remaining",IF($BL48=1,"TOTAL MATCHED  —  every group together",IF($BH48=10,"REMAINING  —  did not match the search",IF($BH48=9,IF(COUNTIF($A$4:$AI$4,"&lt;&gt;")&gt;0,"FILTERED LOTS  —  column fields","ALL LOTS  —  nothing typed in the box"),"GROUP "&amp;$BH48&amp;" TOTAL  —  lots matching  "&amp;INDEX($AR$6:$AY$6,$BH48))))),""))</f>
        <v/>
      </c>
      <c r="E49" s="69" t="str">
        <f>IF($BJ48&gt;0,IF(INDEX('Final Calculation Sheet'!$D$4:$D$40,$BJ48-3)="","",INDEX('Final Calculation Sheet'!$D$4:$D$40,$BJ48-3)),IF(OR($BI48=1,$BL48=1,$BH48&gt;0),"–",""))</f>
        <v/>
      </c>
      <c r="F49" s="69" t="str">
        <f>IF($BJ48&gt;0,IF(INDEX('Final Calculation Sheet'!$A$4:$A$40,$BJ48-3)="","",INDEX('Final Calculation Sheet'!$A$4:$A$40,$BJ48-3)),IF(OR($BI48=1,$BL48=1,$BH48&gt;0),IF($BI48=1,SUM('Final Calculation Sheet'!$A$4:$A$40),IF($BL48=1,SUM('Final Calculation Sheet'!$A$4:$A$40)-SUMIFS('Final Calculation Sheet'!$A$4:$A$40,$AZ$5:$AZ$41,10),SUMIFS('Final Calculation Sheet'!$A$4:$A$40,$AZ$5:$AZ$41,$BH48))),""))</f>
        <v/>
      </c>
      <c r="G49" s="69" t="str">
        <f>IF($BJ48&gt;0,IF(INDEX('Final Calculation Sheet'!$E$4:$E$40,$BJ48-3)="","",INDEX('Final Calculation Sheet'!$E$4:$E$40,$BJ48-3)),IF(OR($BI48=1,$BL48=1,$BH48&gt;0),"–",""))</f>
        <v/>
      </c>
      <c r="H49" s="70" t="str">
        <f>IF($BJ48&gt;0,IF(INDEX('Final Calculation Sheet'!$C$4:$C$40,$BJ48-3)="","",INDEX('Final Calculation Sheet'!$C$4:$C$40,$BJ48-3)),IF(OR($BI48=1,$BL48=1,$BH48&gt;0),"–",""))</f>
        <v/>
      </c>
      <c r="I49" s="70" t="str">
        <f>IF($BJ48&gt;0,IF(INDEX('Final Calculation Sheet'!$H$4:$H$40,$BJ48-3)="","",INDEX('Final Calculation Sheet'!$H$4:$H$40,$BJ48-3)),IF(OR($BI48=1,$BL48=1,$BH48&gt;0),IF($BI48=1,SUM('Final Calculation Sheet'!$H$4:$H$40),IF($BL48=1,SUM('Final Calculation Sheet'!$H$4:$H$40)-SUMIFS('Final Calculation Sheet'!$H$4:$H$40,$AZ$5:$AZ$41,10),SUMIFS('Final Calculation Sheet'!$H$4:$H$40,$AZ$5:$AZ$41,$BH48))),""))</f>
        <v/>
      </c>
      <c r="J49" s="70" t="str">
        <f>IF($BJ48&gt;0,IF(INDEX('Final Calculation Sheet'!$I$4:$I$40,$BJ48-3)="","",INDEX('Final Calculation Sheet'!$I$4:$I$40,$BJ48-3)),IF(OR($BI48=1,$BL48=1,$BH48&gt;0),IF($BI48=1,SUM('Final Calculation Sheet'!$I$4:$I$40),IF($BL48=1,SUM('Final Calculation Sheet'!$I$4:$I$40)-SUMIFS('Final Calculation Sheet'!$I$4:$I$40,$AZ$5:$AZ$41,10),SUMIFS('Final Calculation Sheet'!$I$4:$I$40,$AZ$5:$AZ$41,$BH48))),""))</f>
        <v/>
      </c>
      <c r="K49" s="70" t="str">
        <f>IF($BJ48&gt;0,IF(INDEX('Final Calculation Sheet'!$J$4:$J$40,$BJ48-3)="","",INDEX('Final Calculation Sheet'!$J$4:$J$40,$BJ48-3)),IF(OR($BI48=1,$BL48=1,$BH48&gt;0),IF($BI48=1,SUM('Final Calculation Sheet'!$J$4:$J$40),IF($BL48=1,SUM('Final Calculation Sheet'!$J$4:$J$40)-SUMIFS('Final Calculation Sheet'!$J$4:$J$40,$AZ$5:$AZ$41,10),SUMIFS('Final Calculation Sheet'!$J$4:$J$40,$AZ$5:$AZ$41,$BH48))),""))</f>
        <v/>
      </c>
      <c r="L49" s="70" t="str">
        <f>IF($BJ48&gt;0,IF(INDEX('Final Calculation Sheet'!$K$4:$K$40,$BJ48-3)="","",INDEX('Final Calculation Sheet'!$K$4:$K$40,$BJ48-3)),IF(OR($BI48=1,$BL48=1,$BH48&gt;0),IF($BI48=1,SUM('Final Calculation Sheet'!$K$4:$K$40),IF($BL48=1,SUM('Final Calculation Sheet'!$K$4:$K$40)-SUMIFS('Final Calculation Sheet'!$K$4:$K$40,$AZ$5:$AZ$41,10),SUMIFS('Final Calculation Sheet'!$K$4:$K$40,$AZ$5:$AZ$41,$BH48))),""))</f>
        <v/>
      </c>
      <c r="M49" s="70" t="str">
        <f>IF($BJ48&gt;0,IF(INDEX('Final Calculation Sheet'!$L$4:$L$40,$BJ48-3)="","",INDEX('Final Calculation Sheet'!$L$4:$L$40,$BJ48-3)),IF(OR($BI48=1,$BL48=1,$BH48&gt;0),IF($BI48=1,SUM('Final Calculation Sheet'!$L$4:$L$40),IF($BL48=1,SUM('Final Calculation Sheet'!$L$4:$L$40)-SUMIFS('Final Calculation Sheet'!$L$4:$L$40,$AZ$5:$AZ$41,10),SUMIFS('Final Calculation Sheet'!$L$4:$L$40,$AZ$5:$AZ$41,$BH48))),""))</f>
        <v/>
      </c>
      <c r="N49" s="70" t="str">
        <f>IF($BJ48&gt;0,IF(INDEX('Final Calculation Sheet'!$M$4:$M$40,$BJ48-3)="","",INDEX('Final Calculation Sheet'!$M$4:$M$40,$BJ48-3)),IF(OR($BI48=1,$BL48=1,$BH48&gt;0),IF($BI48=1,SUM('Final Calculation Sheet'!$M$4:$M$40),IF($BL48=1,SUM('Final Calculation Sheet'!$M$4:$M$40)-SUMIFS('Final Calculation Sheet'!$M$4:$M$40,$AZ$5:$AZ$41,10),SUMIFS('Final Calculation Sheet'!$M$4:$M$40,$AZ$5:$AZ$41,$BH48))),""))</f>
        <v/>
      </c>
      <c r="O49" s="71" t="str">
        <f>IF($BJ48&gt;0,IF(INDEX('Final Calculation Sheet'!$N$4:$N$40,$BJ48-3)="","",INDEX('Final Calculation Sheet'!$N$4:$N$40,$BJ48-3)),IF(OR($BI48=1,$BL48=1,$BH48&gt;0),IF($BI48=1,SUM('Final Calculation Sheet'!$N$4:$N$40),IF($BL48=1,SUM('Final Calculation Sheet'!$N$4:$N$40)-SUMIFS('Final Calculation Sheet'!$N$4:$N$40,$AZ$5:$AZ$41,10),SUMIFS('Final Calculation Sheet'!$N$4:$N$40,$AZ$5:$AZ$41,$BH48))),""))</f>
        <v/>
      </c>
      <c r="P49" s="70" t="str">
        <f>IF($BJ48&gt;0,IF(INDEX('Final Calculation Sheet'!$O$4:$O$40,$BJ48-3)="","",INDEX('Final Calculation Sheet'!$O$4:$O$40,$BJ48-3)),IF(OR($BI48=1,$BL48=1,$BH48&gt;0),IF($BI48=1,SUM('Final Calculation Sheet'!$O$4:$O$40),IF($BL48=1,SUM('Final Calculation Sheet'!$O$4:$O$40)-SUMIFS('Final Calculation Sheet'!$O$4:$O$40,$AZ$5:$AZ$41,10),SUMIFS('Final Calculation Sheet'!$O$4:$O$40,$AZ$5:$AZ$41,$BH48))),""))</f>
        <v/>
      </c>
      <c r="Q49" s="70" t="str">
        <f>IF($BJ48&gt;0,IF(INDEX('Final Calculation Sheet'!$P$4:$P$40,$BJ48-3)="","",INDEX('Final Calculation Sheet'!$P$4:$P$40,$BJ48-3)),IF(OR($BI48=1,$BL48=1,$BH48&gt;0),IF($BI48=1,SUM('Final Calculation Sheet'!$P$4:$P$40),IF($BL48=1,SUM('Final Calculation Sheet'!$P$4:$P$40)-SUMIFS('Final Calculation Sheet'!$P$4:$P$40,$AZ$5:$AZ$41,10),SUMIFS('Final Calculation Sheet'!$P$4:$P$40,$AZ$5:$AZ$41,$BH48))),""))</f>
        <v/>
      </c>
      <c r="R49" s="72" t="str">
        <f>IF($BJ48&gt;0,IF(INDEX('Final Calculation Sheet'!$Q$4:$Q$40,$BJ48-3)="","",INDEX('Final Calculation Sheet'!$Q$4:$Q$40,$BJ48-3)),IF(OR($BI48=1,$BL48=1,$BH48&gt;0),"–",""))</f>
        <v/>
      </c>
      <c r="S49" s="70" t="str">
        <f>IF($BJ48&gt;0,IF(INDEX('Final Calculation Sheet'!$R$4:$R$40,$BJ48-3)="","",INDEX('Final Calculation Sheet'!$R$4:$R$40,$BJ48-3)),IF(OR($BI48=1,$BL48=1,$BH48&gt;0),IF($BI48=1,SUM('Final Calculation Sheet'!$R$4:$R$40),IF($BL48=1,SUM('Final Calculation Sheet'!$R$4:$R$40)-SUMIFS('Final Calculation Sheet'!$R$4:$R$40,$AZ$5:$AZ$41,10),SUMIFS('Final Calculation Sheet'!$R$4:$R$40,$AZ$5:$AZ$41,$BH48))),""))</f>
        <v/>
      </c>
      <c r="T49" s="70" t="str">
        <f>IF($BJ48&gt;0,IF(INDEX('Final Calculation Sheet'!$S$4:$S$40,$BJ48-3)="","",INDEX('Final Calculation Sheet'!$S$4:$S$40,$BJ48-3)),IF(OR($BI48=1,$BL48=1,$BH48&gt;0),IF($BI48=1,SUM('Final Calculation Sheet'!$S$4:$S$40),IF($BL48=1,SUM('Final Calculation Sheet'!$S$4:$S$40)-SUMIFS('Final Calculation Sheet'!$S$4:$S$40,$AZ$5:$AZ$41,10),SUMIFS('Final Calculation Sheet'!$S$4:$S$40,$AZ$5:$AZ$41,$BH48))),""))</f>
        <v/>
      </c>
      <c r="U49" s="70" t="str">
        <f>IF($BJ48&gt;0,IF(INDEX('Final Calculation Sheet'!$T$4:$T$40,$BJ48-3)="","",INDEX('Final Calculation Sheet'!$T$4:$T$40,$BJ48-3)),IF(OR($BI48=1,$BL48=1,$BH48&gt;0),IF($BI48=1,SUM('Final Calculation Sheet'!$T$4:$T$40),IF($BL48=1,SUM('Final Calculation Sheet'!$T$4:$T$40)-SUMIFS('Final Calculation Sheet'!$T$4:$T$40,$AZ$5:$AZ$41,10),SUMIFS('Final Calculation Sheet'!$T$4:$T$40,$AZ$5:$AZ$41,$BH48))),""))</f>
        <v/>
      </c>
      <c r="V49" s="73" t="str">
        <f>IF($BJ48&gt;0,IF(INDEX('Final Calculation Sheet'!$U$4:$U$40,$BJ48-3)="","",INDEX('Final Calculation Sheet'!$U$4:$U$40,$BJ48-3)),IF(OR($BI48=1,$BL48=1,$BH48&gt;0),IF($BI48=1,SUM('Final Calculation Sheet'!$U$4:$U$40),IF($BL48=1,SUM('Final Calculation Sheet'!$U$4:$U$40)-SUMIFS('Final Calculation Sheet'!$U$4:$U$40,$AZ$5:$AZ$41,10),SUMIFS('Final Calculation Sheet'!$U$4:$U$40,$AZ$5:$AZ$41,$BH48))),""))</f>
        <v/>
      </c>
      <c r="W49" s="70" t="str">
        <f>IF($BJ48&gt;0,IF(INDEX('Final Calculation Sheet'!$V$4:$V$40,$BJ48-3)="","",INDEX('Final Calculation Sheet'!$V$4:$V$40,$BJ48-3)),IF(OR($BI48=1,$BL48=1,$BH48&gt;0),"–",""))</f>
        <v/>
      </c>
      <c r="X49" s="70" t="str">
        <f>IF($BJ48&gt;0,IF(INDEX('Final Calculation Sheet'!$W$4:$W$40,$BJ48-3)="","",INDEX('Final Calculation Sheet'!$W$4:$W$40,$BJ48-3)),IF(OR($BI48=1,$BL48=1,$BH48&gt;0),IF($BI48=1,SUM('Final Calculation Sheet'!$W$4:$W$40),IF($BL48=1,SUM('Final Calculation Sheet'!$W$4:$W$40)-SUMIFS('Final Calculation Sheet'!$W$4:$W$40,$AZ$5:$AZ$41,10),SUMIFS('Final Calculation Sheet'!$W$4:$W$40,$AZ$5:$AZ$41,$BH48))),""))</f>
        <v/>
      </c>
      <c r="Y49" s="70" t="str">
        <f>IF($BJ48&gt;0,IF(INDEX('Final Calculation Sheet'!$X$4:$X$40,$BJ48-3)="","",INDEX('Final Calculation Sheet'!$X$4:$X$40,$BJ48-3)),IF(OR($BI48=1,$BL48=1,$BH48&gt;0),IF($BI48=1,SUM('Final Calculation Sheet'!$X$4:$X$40),IF($BL48=1,SUM('Final Calculation Sheet'!$X$4:$X$40)-SUMIFS('Final Calculation Sheet'!$X$4:$X$40,$AZ$5:$AZ$41,10),SUMIFS('Final Calculation Sheet'!$X$4:$X$40,$AZ$5:$AZ$41,$BH48))),""))</f>
        <v/>
      </c>
      <c r="Z49" s="70" t="str">
        <f>IF($BJ48&gt;0,IF(INDEX('Final Calculation Sheet'!$Y$4:$Y$40,$BJ48-3)="","",INDEX('Final Calculation Sheet'!$Y$4:$Y$40,$BJ48-3)),IF(OR($BI48=1,$BL48=1,$BH48&gt;0),"–",""))</f>
        <v/>
      </c>
      <c r="AA49" s="70" t="str">
        <f>IF($BJ48&gt;0,IF(INDEX('Final Calculation Sheet'!$Z$4:$Z$40,$BJ48-3)="","",INDEX('Final Calculation Sheet'!$Z$4:$Z$40,$BJ48-3)),IF(OR($BI48=1,$BL48=1,$BH48&gt;0),IF($BI48=1,SUM('Final Calculation Sheet'!$Z$4:$Z$40),IF($BL48=1,SUM('Final Calculation Sheet'!$Z$4:$Z$40)-SUMIFS('Final Calculation Sheet'!$Z$4:$Z$40,$AZ$5:$AZ$41,10),SUMIFS('Final Calculation Sheet'!$Z$4:$Z$40,$AZ$5:$AZ$41,$BH48))),""))</f>
        <v/>
      </c>
      <c r="AB49" s="70" t="str">
        <f>IF($BJ48&gt;0,IF(INDEX('Final Calculation Sheet'!$AA$4:$AA$40,$BJ48-3)="","",INDEX('Final Calculation Sheet'!$AA$4:$AA$40,$BJ48-3)),IF(OR($BI48=1,$BL48=1,$BH48&gt;0),IF($BI48=1,SUM('Final Calculation Sheet'!$AA$4:$AA$40),IF($BL48=1,SUM('Final Calculation Sheet'!$AA$4:$AA$40)-SUMIFS('Final Calculation Sheet'!$AA$4:$AA$40,$AZ$5:$AZ$41,10),SUMIFS('Final Calculation Sheet'!$AA$4:$AA$40,$AZ$5:$AZ$41,$BH48))),""))</f>
        <v/>
      </c>
      <c r="AC49" s="70" t="str">
        <f>IF($BJ48&gt;0,IF(INDEX('Final Calculation Sheet'!$AB$4:$AB$40,$BJ48-3)="","",INDEX('Final Calculation Sheet'!$AB$4:$AB$40,$BJ48-3)),IF(OR($BI48=1,$BL48=1,$BH48&gt;0),"–",""))</f>
        <v/>
      </c>
      <c r="AD49" s="70" t="str">
        <f>IF($BJ48&gt;0,IF(INDEX('Final Calculation Sheet'!$AC$4:$AC$40,$BJ48-3)="","",INDEX('Final Calculation Sheet'!$AC$4:$AC$40,$BJ48-3)),IF(OR($BI48=1,$BL48=1,$BH48&gt;0),IF($BI48=1,SUM('Final Calculation Sheet'!$AC$4:$AC$40),IF($BL48=1,SUM('Final Calculation Sheet'!$AC$4:$AC$40)-SUMIFS('Final Calculation Sheet'!$AC$4:$AC$40,$AZ$5:$AZ$41,10),SUMIFS('Final Calculation Sheet'!$AC$4:$AC$40,$AZ$5:$AZ$41,$BH48))),""))</f>
        <v/>
      </c>
      <c r="AE49" s="70" t="str">
        <f>IF($BJ48&gt;0,IF(INDEX('Final Calculation Sheet'!$AD$4:$AD$40,$BJ48-3)="","",INDEX('Final Calculation Sheet'!$AD$4:$AD$40,$BJ48-3)),IF(OR($BI48=1,$BL48=1,$BH48&gt;0),IF($BI48=1,SUM('Final Calculation Sheet'!$AD$4:$AD$40),IF($BL48=1,SUM('Final Calculation Sheet'!$AD$4:$AD$40)-SUMIFS('Final Calculation Sheet'!$AD$4:$AD$40,$AZ$5:$AZ$41,10),SUMIFS('Final Calculation Sheet'!$AD$4:$AD$40,$AZ$5:$AZ$41,$BH48))),""))</f>
        <v/>
      </c>
      <c r="AF49" s="70" t="str">
        <f>IF($BJ48&gt;0,IF(INDEX('Final Calculation Sheet'!$AE$4:$AE$40,$BJ48-3)="","",INDEX('Final Calculation Sheet'!$AE$4:$AE$40,$BJ48-3)),IF(OR($BI48=1,$BL48=1,$BH48&gt;0),"–",""))</f>
        <v/>
      </c>
      <c r="AG49" s="74" t="str">
        <f>IF($BJ48&gt;0,IF(INDEX('Final Calculation Sheet'!$AF$4:$AF$40,$BJ48-3)="","",INDEX('Final Calculation Sheet'!$AF$4:$AF$40,$BJ48-3)),IF(OR($BI48=1,$BL48=1,$BH48&gt;0),"–",""))</f>
        <v/>
      </c>
      <c r="AH49" s="70" t="str">
        <f>IF($BJ48&gt;0,IF(INDEX('Final Calculation Sheet'!$AG$4:$AG$40,$BJ48-3)="","",INDEX('Final Calculation Sheet'!$AG$4:$AG$40,$BJ48-3)),IF(OR($BI48=1,$BL48=1,$BH48&gt;0),"–",""))</f>
        <v/>
      </c>
      <c r="AI49" s="75" t="str">
        <f>IF($BJ48&gt;0,IF(INDEX('Final Calculation Sheet'!$AD$4:$AD$40,$BJ48-3)="","",IF(INDEX('Final Calculation Sheet'!$AD$4:$AD$40,$BJ48-3)&lt;=0,"SETTLED","OUTSTANDING")),IF(OR($BI48=1,$BL48=1,$BH48&gt;0),IF(IF($BI48=1,SUM('Final Calculation Sheet'!$AD$4:$AD$40),IF($BL48=1,SUM('Final Calculation Sheet'!$AD$4:$AD$40)-SUMIFS('Final Calculation Sheet'!$AD$4:$AD$40,$AZ$5:$AZ$41,10),SUMIFS('Final Calculation Sheet'!$AD$4:$AD$40,$AZ$5:$AZ$41,$BH48)))&lt;=0,"ALL SETTLED","OUTSTANDING"),""))</f>
        <v/>
      </c>
      <c r="BH49">
        <f>IFERROR(MATCH(49,$BF$4:$BF$13,0),0)</f>
        <v>0</v>
      </c>
      <c r="BI49">
        <f>IF(49=$BG$5,1,0)</f>
        <v>0</v>
      </c>
      <c r="BJ49">
        <f>IF(OR($BH49&gt;0,$BI49=1,$BL49=1),0,IFERROR(INDEX($BC$5:$BC$41,MATCH(49,$BB$5:$BB$41,0)),0))</f>
        <v>0</v>
      </c>
      <c r="BK49">
        <f>IF($BJ49&gt;0,IF(INDEX($AZ$5:$AZ$41,MATCH(49,$BB$5:$BB$41,0))=10,1,0),IF($BH49=10,1,0))</f>
        <v>0</v>
      </c>
      <c r="BL49">
        <f>IF(49=$BG$4,1,0)</f>
        <v>0</v>
      </c>
    </row>
    <row r="50" spans="1:99" ht="15" customHeight="1" x14ac:dyDescent="0.25">
      <c r="A50" s="67" t="str">
        <f>IF($BJ49&gt;0,INDEX($BA$5:$BA$41,MATCH(49,$BB$5:$BB$41,0)),IF(OR($BI49=1,$BL49=1,$BH49&gt;0),"∑",""))</f>
        <v/>
      </c>
      <c r="B50" s="68" t="str">
        <f>IF($BJ49&gt;0,IF(INDEX('Final Calculation Sheet'!$F$4:$F$40,$BJ49-3)="","",INDEX('Final Calculation Sheet'!$F$4:$F$40,$BJ49-3)),"")</f>
        <v/>
      </c>
      <c r="C50" s="68" t="str">
        <f>IF($BJ49&gt;0,IF(INDEX('Final Calculation Sheet'!$G$4:$G$40,$BJ49-3)="","",INDEX('Final Calculation Sheet'!$G$4:$G$40,$BJ49-3)),IF(OR($BI49=1,$BL49=1,$BH49&gt;0),IF($BI49=1,37,IF($BL49=1,37-INDEX($BD$4:$BD$13,10),INDEX($BD$4:$BD$13,$BH49)))&amp;" lot(s)",""))</f>
        <v/>
      </c>
      <c r="D50" s="69" t="str">
        <f>IF($BJ49&gt;0,IF(INDEX('Final Calculation Sheet'!$B$4:$B$40,$BJ49-3)="","",INDEX('Final Calculation Sheet'!$B$4:$B$40,$BJ49-3)),IF(OR($BI49=1,$BL49=1,$BH49&gt;0),IF($BI49=1,"GRAND TOTAL  —  matching + remaining",IF($BL49=1,"TOTAL MATCHED  —  every group together",IF($BH49=10,"REMAINING  —  did not match the search",IF($BH49=9,IF(COUNTIF($A$4:$AI$4,"&lt;&gt;")&gt;0,"FILTERED LOTS  —  column fields","ALL LOTS  —  nothing typed in the box"),"GROUP "&amp;$BH49&amp;" TOTAL  —  lots matching  "&amp;INDEX($AR$6:$AY$6,$BH49))))),""))</f>
        <v/>
      </c>
      <c r="E50" s="69" t="str">
        <f>IF($BJ49&gt;0,IF(INDEX('Final Calculation Sheet'!$D$4:$D$40,$BJ49-3)="","",INDEX('Final Calculation Sheet'!$D$4:$D$40,$BJ49-3)),IF(OR($BI49=1,$BL49=1,$BH49&gt;0),"–",""))</f>
        <v/>
      </c>
      <c r="F50" s="69" t="str">
        <f>IF($BJ49&gt;0,IF(INDEX('Final Calculation Sheet'!$A$4:$A$40,$BJ49-3)="","",INDEX('Final Calculation Sheet'!$A$4:$A$40,$BJ49-3)),IF(OR($BI49=1,$BL49=1,$BH49&gt;0),IF($BI49=1,SUM('Final Calculation Sheet'!$A$4:$A$40),IF($BL49=1,SUM('Final Calculation Sheet'!$A$4:$A$40)-SUMIFS('Final Calculation Sheet'!$A$4:$A$40,$AZ$5:$AZ$41,10),SUMIFS('Final Calculation Sheet'!$A$4:$A$40,$AZ$5:$AZ$41,$BH49))),""))</f>
        <v/>
      </c>
      <c r="G50" s="69" t="str">
        <f>IF($BJ49&gt;0,IF(INDEX('Final Calculation Sheet'!$E$4:$E$40,$BJ49-3)="","",INDEX('Final Calculation Sheet'!$E$4:$E$40,$BJ49-3)),IF(OR($BI49=1,$BL49=1,$BH49&gt;0),"–",""))</f>
        <v/>
      </c>
      <c r="H50" s="70" t="str">
        <f>IF($BJ49&gt;0,IF(INDEX('Final Calculation Sheet'!$C$4:$C$40,$BJ49-3)="","",INDEX('Final Calculation Sheet'!$C$4:$C$40,$BJ49-3)),IF(OR($BI49=1,$BL49=1,$BH49&gt;0),"–",""))</f>
        <v/>
      </c>
      <c r="I50" s="70" t="str">
        <f>IF($BJ49&gt;0,IF(INDEX('Final Calculation Sheet'!$H$4:$H$40,$BJ49-3)="","",INDEX('Final Calculation Sheet'!$H$4:$H$40,$BJ49-3)),IF(OR($BI49=1,$BL49=1,$BH49&gt;0),IF($BI49=1,SUM('Final Calculation Sheet'!$H$4:$H$40),IF($BL49=1,SUM('Final Calculation Sheet'!$H$4:$H$40)-SUMIFS('Final Calculation Sheet'!$H$4:$H$40,$AZ$5:$AZ$41,10),SUMIFS('Final Calculation Sheet'!$H$4:$H$40,$AZ$5:$AZ$41,$BH49))),""))</f>
        <v/>
      </c>
      <c r="J50" s="70" t="str">
        <f>IF($BJ49&gt;0,IF(INDEX('Final Calculation Sheet'!$I$4:$I$40,$BJ49-3)="","",INDEX('Final Calculation Sheet'!$I$4:$I$40,$BJ49-3)),IF(OR($BI49=1,$BL49=1,$BH49&gt;0),IF($BI49=1,SUM('Final Calculation Sheet'!$I$4:$I$40),IF($BL49=1,SUM('Final Calculation Sheet'!$I$4:$I$40)-SUMIFS('Final Calculation Sheet'!$I$4:$I$40,$AZ$5:$AZ$41,10),SUMIFS('Final Calculation Sheet'!$I$4:$I$40,$AZ$5:$AZ$41,$BH49))),""))</f>
        <v/>
      </c>
      <c r="K50" s="70" t="str">
        <f>IF($BJ49&gt;0,IF(INDEX('Final Calculation Sheet'!$J$4:$J$40,$BJ49-3)="","",INDEX('Final Calculation Sheet'!$J$4:$J$40,$BJ49-3)),IF(OR($BI49=1,$BL49=1,$BH49&gt;0),IF($BI49=1,SUM('Final Calculation Sheet'!$J$4:$J$40),IF($BL49=1,SUM('Final Calculation Sheet'!$J$4:$J$40)-SUMIFS('Final Calculation Sheet'!$J$4:$J$40,$AZ$5:$AZ$41,10),SUMIFS('Final Calculation Sheet'!$J$4:$J$40,$AZ$5:$AZ$41,$BH49))),""))</f>
        <v/>
      </c>
      <c r="L50" s="70" t="str">
        <f>IF($BJ49&gt;0,IF(INDEX('Final Calculation Sheet'!$K$4:$K$40,$BJ49-3)="","",INDEX('Final Calculation Sheet'!$K$4:$K$40,$BJ49-3)),IF(OR($BI49=1,$BL49=1,$BH49&gt;0),IF($BI49=1,SUM('Final Calculation Sheet'!$K$4:$K$40),IF($BL49=1,SUM('Final Calculation Sheet'!$K$4:$K$40)-SUMIFS('Final Calculation Sheet'!$K$4:$K$40,$AZ$5:$AZ$41,10),SUMIFS('Final Calculation Sheet'!$K$4:$K$40,$AZ$5:$AZ$41,$BH49))),""))</f>
        <v/>
      </c>
      <c r="M50" s="70" t="str">
        <f>IF($BJ49&gt;0,IF(INDEX('Final Calculation Sheet'!$L$4:$L$40,$BJ49-3)="","",INDEX('Final Calculation Sheet'!$L$4:$L$40,$BJ49-3)),IF(OR($BI49=1,$BL49=1,$BH49&gt;0),IF($BI49=1,SUM('Final Calculation Sheet'!$L$4:$L$40),IF($BL49=1,SUM('Final Calculation Sheet'!$L$4:$L$40)-SUMIFS('Final Calculation Sheet'!$L$4:$L$40,$AZ$5:$AZ$41,10),SUMIFS('Final Calculation Sheet'!$L$4:$L$40,$AZ$5:$AZ$41,$BH49))),""))</f>
        <v/>
      </c>
      <c r="N50" s="70" t="str">
        <f>IF($BJ49&gt;0,IF(INDEX('Final Calculation Sheet'!$M$4:$M$40,$BJ49-3)="","",INDEX('Final Calculation Sheet'!$M$4:$M$40,$BJ49-3)),IF(OR($BI49=1,$BL49=1,$BH49&gt;0),IF($BI49=1,SUM('Final Calculation Sheet'!$M$4:$M$40),IF($BL49=1,SUM('Final Calculation Sheet'!$M$4:$M$40)-SUMIFS('Final Calculation Sheet'!$M$4:$M$40,$AZ$5:$AZ$41,10),SUMIFS('Final Calculation Sheet'!$M$4:$M$40,$AZ$5:$AZ$41,$BH49))),""))</f>
        <v/>
      </c>
      <c r="O50" s="71" t="str">
        <f>IF($BJ49&gt;0,IF(INDEX('Final Calculation Sheet'!$N$4:$N$40,$BJ49-3)="","",INDEX('Final Calculation Sheet'!$N$4:$N$40,$BJ49-3)),IF(OR($BI49=1,$BL49=1,$BH49&gt;0),IF($BI49=1,SUM('Final Calculation Sheet'!$N$4:$N$40),IF($BL49=1,SUM('Final Calculation Sheet'!$N$4:$N$40)-SUMIFS('Final Calculation Sheet'!$N$4:$N$40,$AZ$5:$AZ$41,10),SUMIFS('Final Calculation Sheet'!$N$4:$N$40,$AZ$5:$AZ$41,$BH49))),""))</f>
        <v/>
      </c>
      <c r="P50" s="70" t="str">
        <f>IF($BJ49&gt;0,IF(INDEX('Final Calculation Sheet'!$O$4:$O$40,$BJ49-3)="","",INDEX('Final Calculation Sheet'!$O$4:$O$40,$BJ49-3)),IF(OR($BI49=1,$BL49=1,$BH49&gt;0),IF($BI49=1,SUM('Final Calculation Sheet'!$O$4:$O$40),IF($BL49=1,SUM('Final Calculation Sheet'!$O$4:$O$40)-SUMIFS('Final Calculation Sheet'!$O$4:$O$40,$AZ$5:$AZ$41,10),SUMIFS('Final Calculation Sheet'!$O$4:$O$40,$AZ$5:$AZ$41,$BH49))),""))</f>
        <v/>
      </c>
      <c r="Q50" s="70" t="str">
        <f>IF($BJ49&gt;0,IF(INDEX('Final Calculation Sheet'!$P$4:$P$40,$BJ49-3)="","",INDEX('Final Calculation Sheet'!$P$4:$P$40,$BJ49-3)),IF(OR($BI49=1,$BL49=1,$BH49&gt;0),IF($BI49=1,SUM('Final Calculation Sheet'!$P$4:$P$40),IF($BL49=1,SUM('Final Calculation Sheet'!$P$4:$P$40)-SUMIFS('Final Calculation Sheet'!$P$4:$P$40,$AZ$5:$AZ$41,10),SUMIFS('Final Calculation Sheet'!$P$4:$P$40,$AZ$5:$AZ$41,$BH49))),""))</f>
        <v/>
      </c>
      <c r="R50" s="72" t="str">
        <f>IF($BJ49&gt;0,IF(INDEX('Final Calculation Sheet'!$Q$4:$Q$40,$BJ49-3)="","",INDEX('Final Calculation Sheet'!$Q$4:$Q$40,$BJ49-3)),IF(OR($BI49=1,$BL49=1,$BH49&gt;0),"–",""))</f>
        <v/>
      </c>
      <c r="S50" s="70" t="str">
        <f>IF($BJ49&gt;0,IF(INDEX('Final Calculation Sheet'!$R$4:$R$40,$BJ49-3)="","",INDEX('Final Calculation Sheet'!$R$4:$R$40,$BJ49-3)),IF(OR($BI49=1,$BL49=1,$BH49&gt;0),IF($BI49=1,SUM('Final Calculation Sheet'!$R$4:$R$40),IF($BL49=1,SUM('Final Calculation Sheet'!$R$4:$R$40)-SUMIFS('Final Calculation Sheet'!$R$4:$R$40,$AZ$5:$AZ$41,10),SUMIFS('Final Calculation Sheet'!$R$4:$R$40,$AZ$5:$AZ$41,$BH49))),""))</f>
        <v/>
      </c>
      <c r="T50" s="70" t="str">
        <f>IF($BJ49&gt;0,IF(INDEX('Final Calculation Sheet'!$S$4:$S$40,$BJ49-3)="","",INDEX('Final Calculation Sheet'!$S$4:$S$40,$BJ49-3)),IF(OR($BI49=1,$BL49=1,$BH49&gt;0),IF($BI49=1,SUM('Final Calculation Sheet'!$S$4:$S$40),IF($BL49=1,SUM('Final Calculation Sheet'!$S$4:$S$40)-SUMIFS('Final Calculation Sheet'!$S$4:$S$40,$AZ$5:$AZ$41,10),SUMIFS('Final Calculation Sheet'!$S$4:$S$40,$AZ$5:$AZ$41,$BH49))),""))</f>
        <v/>
      </c>
      <c r="U50" s="70" t="str">
        <f>IF($BJ49&gt;0,IF(INDEX('Final Calculation Sheet'!$T$4:$T$40,$BJ49-3)="","",INDEX('Final Calculation Sheet'!$T$4:$T$40,$BJ49-3)),IF(OR($BI49=1,$BL49=1,$BH49&gt;0),IF($BI49=1,SUM('Final Calculation Sheet'!$T$4:$T$40),IF($BL49=1,SUM('Final Calculation Sheet'!$T$4:$T$40)-SUMIFS('Final Calculation Sheet'!$T$4:$T$40,$AZ$5:$AZ$41,10),SUMIFS('Final Calculation Sheet'!$T$4:$T$40,$AZ$5:$AZ$41,$BH49))),""))</f>
        <v/>
      </c>
      <c r="V50" s="73" t="str">
        <f>IF($BJ49&gt;0,IF(INDEX('Final Calculation Sheet'!$U$4:$U$40,$BJ49-3)="","",INDEX('Final Calculation Sheet'!$U$4:$U$40,$BJ49-3)),IF(OR($BI49=1,$BL49=1,$BH49&gt;0),IF($BI49=1,SUM('Final Calculation Sheet'!$U$4:$U$40),IF($BL49=1,SUM('Final Calculation Sheet'!$U$4:$U$40)-SUMIFS('Final Calculation Sheet'!$U$4:$U$40,$AZ$5:$AZ$41,10),SUMIFS('Final Calculation Sheet'!$U$4:$U$40,$AZ$5:$AZ$41,$BH49))),""))</f>
        <v/>
      </c>
      <c r="W50" s="70" t="str">
        <f>IF($BJ49&gt;0,IF(INDEX('Final Calculation Sheet'!$V$4:$V$40,$BJ49-3)="","",INDEX('Final Calculation Sheet'!$V$4:$V$40,$BJ49-3)),IF(OR($BI49=1,$BL49=1,$BH49&gt;0),"–",""))</f>
        <v/>
      </c>
      <c r="X50" s="70" t="str">
        <f>IF($BJ49&gt;0,IF(INDEX('Final Calculation Sheet'!$W$4:$W$40,$BJ49-3)="","",INDEX('Final Calculation Sheet'!$W$4:$W$40,$BJ49-3)),IF(OR($BI49=1,$BL49=1,$BH49&gt;0),IF($BI49=1,SUM('Final Calculation Sheet'!$W$4:$W$40),IF($BL49=1,SUM('Final Calculation Sheet'!$W$4:$W$40)-SUMIFS('Final Calculation Sheet'!$W$4:$W$40,$AZ$5:$AZ$41,10),SUMIFS('Final Calculation Sheet'!$W$4:$W$40,$AZ$5:$AZ$41,$BH49))),""))</f>
        <v/>
      </c>
      <c r="Y50" s="70" t="str">
        <f>IF($BJ49&gt;0,IF(INDEX('Final Calculation Sheet'!$X$4:$X$40,$BJ49-3)="","",INDEX('Final Calculation Sheet'!$X$4:$X$40,$BJ49-3)),IF(OR($BI49=1,$BL49=1,$BH49&gt;0),IF($BI49=1,SUM('Final Calculation Sheet'!$X$4:$X$40),IF($BL49=1,SUM('Final Calculation Sheet'!$X$4:$X$40)-SUMIFS('Final Calculation Sheet'!$X$4:$X$40,$AZ$5:$AZ$41,10),SUMIFS('Final Calculation Sheet'!$X$4:$X$40,$AZ$5:$AZ$41,$BH49))),""))</f>
        <v/>
      </c>
      <c r="Z50" s="70" t="str">
        <f>IF($BJ49&gt;0,IF(INDEX('Final Calculation Sheet'!$Y$4:$Y$40,$BJ49-3)="","",INDEX('Final Calculation Sheet'!$Y$4:$Y$40,$BJ49-3)),IF(OR($BI49=1,$BL49=1,$BH49&gt;0),"–",""))</f>
        <v/>
      </c>
      <c r="AA50" s="70" t="str">
        <f>IF($BJ49&gt;0,IF(INDEX('Final Calculation Sheet'!$Z$4:$Z$40,$BJ49-3)="","",INDEX('Final Calculation Sheet'!$Z$4:$Z$40,$BJ49-3)),IF(OR($BI49=1,$BL49=1,$BH49&gt;0),IF($BI49=1,SUM('Final Calculation Sheet'!$Z$4:$Z$40),IF($BL49=1,SUM('Final Calculation Sheet'!$Z$4:$Z$40)-SUMIFS('Final Calculation Sheet'!$Z$4:$Z$40,$AZ$5:$AZ$41,10),SUMIFS('Final Calculation Sheet'!$Z$4:$Z$40,$AZ$5:$AZ$41,$BH49))),""))</f>
        <v/>
      </c>
      <c r="AB50" s="70" t="str">
        <f>IF($BJ49&gt;0,IF(INDEX('Final Calculation Sheet'!$AA$4:$AA$40,$BJ49-3)="","",INDEX('Final Calculation Sheet'!$AA$4:$AA$40,$BJ49-3)),IF(OR($BI49=1,$BL49=1,$BH49&gt;0),IF($BI49=1,SUM('Final Calculation Sheet'!$AA$4:$AA$40),IF($BL49=1,SUM('Final Calculation Sheet'!$AA$4:$AA$40)-SUMIFS('Final Calculation Sheet'!$AA$4:$AA$40,$AZ$5:$AZ$41,10),SUMIFS('Final Calculation Sheet'!$AA$4:$AA$40,$AZ$5:$AZ$41,$BH49))),""))</f>
        <v/>
      </c>
      <c r="AC50" s="70" t="str">
        <f>IF($BJ49&gt;0,IF(INDEX('Final Calculation Sheet'!$AB$4:$AB$40,$BJ49-3)="","",INDEX('Final Calculation Sheet'!$AB$4:$AB$40,$BJ49-3)),IF(OR($BI49=1,$BL49=1,$BH49&gt;0),"–",""))</f>
        <v/>
      </c>
      <c r="AD50" s="70" t="str">
        <f>IF($BJ49&gt;0,IF(INDEX('Final Calculation Sheet'!$AC$4:$AC$40,$BJ49-3)="","",INDEX('Final Calculation Sheet'!$AC$4:$AC$40,$BJ49-3)),IF(OR($BI49=1,$BL49=1,$BH49&gt;0),IF($BI49=1,SUM('Final Calculation Sheet'!$AC$4:$AC$40),IF($BL49=1,SUM('Final Calculation Sheet'!$AC$4:$AC$40)-SUMIFS('Final Calculation Sheet'!$AC$4:$AC$40,$AZ$5:$AZ$41,10),SUMIFS('Final Calculation Sheet'!$AC$4:$AC$40,$AZ$5:$AZ$41,$BH49))),""))</f>
        <v/>
      </c>
      <c r="AE50" s="70" t="str">
        <f>IF($BJ49&gt;0,IF(INDEX('Final Calculation Sheet'!$AD$4:$AD$40,$BJ49-3)="","",INDEX('Final Calculation Sheet'!$AD$4:$AD$40,$BJ49-3)),IF(OR($BI49=1,$BL49=1,$BH49&gt;0),IF($BI49=1,SUM('Final Calculation Sheet'!$AD$4:$AD$40),IF($BL49=1,SUM('Final Calculation Sheet'!$AD$4:$AD$40)-SUMIFS('Final Calculation Sheet'!$AD$4:$AD$40,$AZ$5:$AZ$41,10),SUMIFS('Final Calculation Sheet'!$AD$4:$AD$40,$AZ$5:$AZ$41,$BH49))),""))</f>
        <v/>
      </c>
      <c r="AF50" s="70" t="str">
        <f>IF($BJ49&gt;0,IF(INDEX('Final Calculation Sheet'!$AE$4:$AE$40,$BJ49-3)="","",INDEX('Final Calculation Sheet'!$AE$4:$AE$40,$BJ49-3)),IF(OR($BI49=1,$BL49=1,$BH49&gt;0),"–",""))</f>
        <v/>
      </c>
      <c r="AG50" s="74" t="str">
        <f>IF($BJ49&gt;0,IF(INDEX('Final Calculation Sheet'!$AF$4:$AF$40,$BJ49-3)="","",INDEX('Final Calculation Sheet'!$AF$4:$AF$40,$BJ49-3)),IF(OR($BI49=1,$BL49=1,$BH49&gt;0),"–",""))</f>
        <v/>
      </c>
      <c r="AH50" s="70" t="str">
        <f>IF($BJ49&gt;0,IF(INDEX('Final Calculation Sheet'!$AG$4:$AG$40,$BJ49-3)="","",INDEX('Final Calculation Sheet'!$AG$4:$AG$40,$BJ49-3)),IF(OR($BI49=1,$BL49=1,$BH49&gt;0),"–",""))</f>
        <v/>
      </c>
      <c r="AI50" s="75" t="str">
        <f>IF($BJ49&gt;0,IF(INDEX('Final Calculation Sheet'!$AD$4:$AD$40,$BJ49-3)="","",IF(INDEX('Final Calculation Sheet'!$AD$4:$AD$40,$BJ49-3)&lt;=0,"SETTLED","OUTSTANDING")),IF(OR($BI49=1,$BL49=1,$BH49&gt;0),IF(IF($BI49=1,SUM('Final Calculation Sheet'!$AD$4:$AD$40),IF($BL49=1,SUM('Final Calculation Sheet'!$AD$4:$AD$40)-SUMIFS('Final Calculation Sheet'!$AD$4:$AD$40,$AZ$5:$AZ$41,10),SUMIFS('Final Calculation Sheet'!$AD$4:$AD$40,$AZ$5:$AZ$41,$BH49)))&lt;=0,"ALL SETTLED","OUTSTANDING"),""))</f>
        <v/>
      </c>
      <c r="BH50">
        <f>IFERROR(MATCH(50,$BF$4:$BF$13,0),0)</f>
        <v>0</v>
      </c>
      <c r="BI50">
        <f>IF(50=$BG$5,1,0)</f>
        <v>0</v>
      </c>
      <c r="BJ50">
        <f>IF(OR($BH50&gt;0,$BI50=1,$BL50=1),0,IFERROR(INDEX($BC$5:$BC$41,MATCH(50,$BB$5:$BB$41,0)),0))</f>
        <v>0</v>
      </c>
      <c r="BK50">
        <f>IF($BJ50&gt;0,IF(INDEX($AZ$5:$AZ$41,MATCH(50,$BB$5:$BB$41,0))=10,1,0),IF($BH50=10,1,0))</f>
        <v>0</v>
      </c>
      <c r="BL50">
        <f>IF(50=$BG$4,1,0)</f>
        <v>0</v>
      </c>
    </row>
    <row r="51" spans="1:99" ht="15" customHeight="1" x14ac:dyDescent="0.25">
      <c r="A51" s="67" t="str">
        <f>IF($BJ50&gt;0,INDEX($BA$5:$BA$41,MATCH(50,$BB$5:$BB$41,0)),IF(OR($BI50=1,$BL50=1,$BH50&gt;0),"∑",""))</f>
        <v/>
      </c>
      <c r="B51" s="68" t="str">
        <f>IF($BJ50&gt;0,IF(INDEX('Final Calculation Sheet'!$F$4:$F$40,$BJ50-3)="","",INDEX('Final Calculation Sheet'!$F$4:$F$40,$BJ50-3)),"")</f>
        <v/>
      </c>
      <c r="C51" s="68" t="str">
        <f>IF($BJ50&gt;0,IF(INDEX('Final Calculation Sheet'!$G$4:$G$40,$BJ50-3)="","",INDEX('Final Calculation Sheet'!$G$4:$G$40,$BJ50-3)),IF(OR($BI50=1,$BL50=1,$BH50&gt;0),IF($BI50=1,37,IF($BL50=1,37-INDEX($BD$4:$BD$13,10),INDEX($BD$4:$BD$13,$BH50)))&amp;" lot(s)",""))</f>
        <v/>
      </c>
      <c r="D51" s="69" t="str">
        <f>IF($BJ50&gt;0,IF(INDEX('Final Calculation Sheet'!$B$4:$B$40,$BJ50-3)="","",INDEX('Final Calculation Sheet'!$B$4:$B$40,$BJ50-3)),IF(OR($BI50=1,$BL50=1,$BH50&gt;0),IF($BI50=1,"GRAND TOTAL  —  matching + remaining",IF($BL50=1,"TOTAL MATCHED  —  every group together",IF($BH50=10,"REMAINING  —  did not match the search",IF($BH50=9,IF(COUNTIF($A$4:$AI$4,"&lt;&gt;")&gt;0,"FILTERED LOTS  —  column fields","ALL LOTS  —  nothing typed in the box"),"GROUP "&amp;$BH50&amp;" TOTAL  —  lots matching  "&amp;INDEX($AR$6:$AY$6,$BH50))))),""))</f>
        <v/>
      </c>
      <c r="E51" s="69" t="str">
        <f>IF($BJ50&gt;0,IF(INDEX('Final Calculation Sheet'!$D$4:$D$40,$BJ50-3)="","",INDEX('Final Calculation Sheet'!$D$4:$D$40,$BJ50-3)),IF(OR($BI50=1,$BL50=1,$BH50&gt;0),"–",""))</f>
        <v/>
      </c>
      <c r="F51" s="69" t="str">
        <f>IF($BJ50&gt;0,IF(INDEX('Final Calculation Sheet'!$A$4:$A$40,$BJ50-3)="","",INDEX('Final Calculation Sheet'!$A$4:$A$40,$BJ50-3)),IF(OR($BI50=1,$BL50=1,$BH50&gt;0),IF($BI50=1,SUM('Final Calculation Sheet'!$A$4:$A$40),IF($BL50=1,SUM('Final Calculation Sheet'!$A$4:$A$40)-SUMIFS('Final Calculation Sheet'!$A$4:$A$40,$AZ$5:$AZ$41,10),SUMIFS('Final Calculation Sheet'!$A$4:$A$40,$AZ$5:$AZ$41,$BH50))),""))</f>
        <v/>
      </c>
      <c r="G51" s="69" t="str">
        <f>IF($BJ50&gt;0,IF(INDEX('Final Calculation Sheet'!$E$4:$E$40,$BJ50-3)="","",INDEX('Final Calculation Sheet'!$E$4:$E$40,$BJ50-3)),IF(OR($BI50=1,$BL50=1,$BH50&gt;0),"–",""))</f>
        <v/>
      </c>
      <c r="H51" s="70" t="str">
        <f>IF($BJ50&gt;0,IF(INDEX('Final Calculation Sheet'!$C$4:$C$40,$BJ50-3)="","",INDEX('Final Calculation Sheet'!$C$4:$C$40,$BJ50-3)),IF(OR($BI50=1,$BL50=1,$BH50&gt;0),"–",""))</f>
        <v/>
      </c>
      <c r="I51" s="70" t="str">
        <f>IF($BJ50&gt;0,IF(INDEX('Final Calculation Sheet'!$H$4:$H$40,$BJ50-3)="","",INDEX('Final Calculation Sheet'!$H$4:$H$40,$BJ50-3)),IF(OR($BI50=1,$BL50=1,$BH50&gt;0),IF($BI50=1,SUM('Final Calculation Sheet'!$H$4:$H$40),IF($BL50=1,SUM('Final Calculation Sheet'!$H$4:$H$40)-SUMIFS('Final Calculation Sheet'!$H$4:$H$40,$AZ$5:$AZ$41,10),SUMIFS('Final Calculation Sheet'!$H$4:$H$40,$AZ$5:$AZ$41,$BH50))),""))</f>
        <v/>
      </c>
      <c r="J51" s="70" t="str">
        <f>IF($BJ50&gt;0,IF(INDEX('Final Calculation Sheet'!$I$4:$I$40,$BJ50-3)="","",INDEX('Final Calculation Sheet'!$I$4:$I$40,$BJ50-3)),IF(OR($BI50=1,$BL50=1,$BH50&gt;0),IF($BI50=1,SUM('Final Calculation Sheet'!$I$4:$I$40),IF($BL50=1,SUM('Final Calculation Sheet'!$I$4:$I$40)-SUMIFS('Final Calculation Sheet'!$I$4:$I$40,$AZ$5:$AZ$41,10),SUMIFS('Final Calculation Sheet'!$I$4:$I$40,$AZ$5:$AZ$41,$BH50))),""))</f>
        <v/>
      </c>
      <c r="K51" s="70" t="str">
        <f>IF($BJ50&gt;0,IF(INDEX('Final Calculation Sheet'!$J$4:$J$40,$BJ50-3)="","",INDEX('Final Calculation Sheet'!$J$4:$J$40,$BJ50-3)),IF(OR($BI50=1,$BL50=1,$BH50&gt;0),IF($BI50=1,SUM('Final Calculation Sheet'!$J$4:$J$40),IF($BL50=1,SUM('Final Calculation Sheet'!$J$4:$J$40)-SUMIFS('Final Calculation Sheet'!$J$4:$J$40,$AZ$5:$AZ$41,10),SUMIFS('Final Calculation Sheet'!$J$4:$J$40,$AZ$5:$AZ$41,$BH50))),""))</f>
        <v/>
      </c>
      <c r="L51" s="70" t="str">
        <f>IF($BJ50&gt;0,IF(INDEX('Final Calculation Sheet'!$K$4:$K$40,$BJ50-3)="","",INDEX('Final Calculation Sheet'!$K$4:$K$40,$BJ50-3)),IF(OR($BI50=1,$BL50=1,$BH50&gt;0),IF($BI50=1,SUM('Final Calculation Sheet'!$K$4:$K$40),IF($BL50=1,SUM('Final Calculation Sheet'!$K$4:$K$40)-SUMIFS('Final Calculation Sheet'!$K$4:$K$40,$AZ$5:$AZ$41,10),SUMIFS('Final Calculation Sheet'!$K$4:$K$40,$AZ$5:$AZ$41,$BH50))),""))</f>
        <v/>
      </c>
      <c r="M51" s="70" t="str">
        <f>IF($BJ50&gt;0,IF(INDEX('Final Calculation Sheet'!$L$4:$L$40,$BJ50-3)="","",INDEX('Final Calculation Sheet'!$L$4:$L$40,$BJ50-3)),IF(OR($BI50=1,$BL50=1,$BH50&gt;0),IF($BI50=1,SUM('Final Calculation Sheet'!$L$4:$L$40),IF($BL50=1,SUM('Final Calculation Sheet'!$L$4:$L$40)-SUMIFS('Final Calculation Sheet'!$L$4:$L$40,$AZ$5:$AZ$41,10),SUMIFS('Final Calculation Sheet'!$L$4:$L$40,$AZ$5:$AZ$41,$BH50))),""))</f>
        <v/>
      </c>
      <c r="N51" s="70" t="str">
        <f>IF($BJ50&gt;0,IF(INDEX('Final Calculation Sheet'!$M$4:$M$40,$BJ50-3)="","",INDEX('Final Calculation Sheet'!$M$4:$M$40,$BJ50-3)),IF(OR($BI50=1,$BL50=1,$BH50&gt;0),IF($BI50=1,SUM('Final Calculation Sheet'!$M$4:$M$40),IF($BL50=1,SUM('Final Calculation Sheet'!$M$4:$M$40)-SUMIFS('Final Calculation Sheet'!$M$4:$M$40,$AZ$5:$AZ$41,10),SUMIFS('Final Calculation Sheet'!$M$4:$M$40,$AZ$5:$AZ$41,$BH50))),""))</f>
        <v/>
      </c>
      <c r="O51" s="71" t="str">
        <f>IF($BJ50&gt;0,IF(INDEX('Final Calculation Sheet'!$N$4:$N$40,$BJ50-3)="","",INDEX('Final Calculation Sheet'!$N$4:$N$40,$BJ50-3)),IF(OR($BI50=1,$BL50=1,$BH50&gt;0),IF($BI50=1,SUM('Final Calculation Sheet'!$N$4:$N$40),IF($BL50=1,SUM('Final Calculation Sheet'!$N$4:$N$40)-SUMIFS('Final Calculation Sheet'!$N$4:$N$40,$AZ$5:$AZ$41,10),SUMIFS('Final Calculation Sheet'!$N$4:$N$40,$AZ$5:$AZ$41,$BH50))),""))</f>
        <v/>
      </c>
      <c r="P51" s="70" t="str">
        <f>IF($BJ50&gt;0,IF(INDEX('Final Calculation Sheet'!$O$4:$O$40,$BJ50-3)="","",INDEX('Final Calculation Sheet'!$O$4:$O$40,$BJ50-3)),IF(OR($BI50=1,$BL50=1,$BH50&gt;0),IF($BI50=1,SUM('Final Calculation Sheet'!$O$4:$O$40),IF($BL50=1,SUM('Final Calculation Sheet'!$O$4:$O$40)-SUMIFS('Final Calculation Sheet'!$O$4:$O$40,$AZ$5:$AZ$41,10),SUMIFS('Final Calculation Sheet'!$O$4:$O$40,$AZ$5:$AZ$41,$BH50))),""))</f>
        <v/>
      </c>
      <c r="Q51" s="70" t="str">
        <f>IF($BJ50&gt;0,IF(INDEX('Final Calculation Sheet'!$P$4:$P$40,$BJ50-3)="","",INDEX('Final Calculation Sheet'!$P$4:$P$40,$BJ50-3)),IF(OR($BI50=1,$BL50=1,$BH50&gt;0),IF($BI50=1,SUM('Final Calculation Sheet'!$P$4:$P$40),IF($BL50=1,SUM('Final Calculation Sheet'!$P$4:$P$40)-SUMIFS('Final Calculation Sheet'!$P$4:$P$40,$AZ$5:$AZ$41,10),SUMIFS('Final Calculation Sheet'!$P$4:$P$40,$AZ$5:$AZ$41,$BH50))),""))</f>
        <v/>
      </c>
      <c r="R51" s="72" t="str">
        <f>IF($BJ50&gt;0,IF(INDEX('Final Calculation Sheet'!$Q$4:$Q$40,$BJ50-3)="","",INDEX('Final Calculation Sheet'!$Q$4:$Q$40,$BJ50-3)),IF(OR($BI50=1,$BL50=1,$BH50&gt;0),"–",""))</f>
        <v/>
      </c>
      <c r="S51" s="70" t="str">
        <f>IF($BJ50&gt;0,IF(INDEX('Final Calculation Sheet'!$R$4:$R$40,$BJ50-3)="","",INDEX('Final Calculation Sheet'!$R$4:$R$40,$BJ50-3)),IF(OR($BI50=1,$BL50=1,$BH50&gt;0),IF($BI50=1,SUM('Final Calculation Sheet'!$R$4:$R$40),IF($BL50=1,SUM('Final Calculation Sheet'!$R$4:$R$40)-SUMIFS('Final Calculation Sheet'!$R$4:$R$40,$AZ$5:$AZ$41,10),SUMIFS('Final Calculation Sheet'!$R$4:$R$40,$AZ$5:$AZ$41,$BH50))),""))</f>
        <v/>
      </c>
      <c r="T51" s="70" t="str">
        <f>IF($BJ50&gt;0,IF(INDEX('Final Calculation Sheet'!$S$4:$S$40,$BJ50-3)="","",INDEX('Final Calculation Sheet'!$S$4:$S$40,$BJ50-3)),IF(OR($BI50=1,$BL50=1,$BH50&gt;0),IF($BI50=1,SUM('Final Calculation Sheet'!$S$4:$S$40),IF($BL50=1,SUM('Final Calculation Sheet'!$S$4:$S$40)-SUMIFS('Final Calculation Sheet'!$S$4:$S$40,$AZ$5:$AZ$41,10),SUMIFS('Final Calculation Sheet'!$S$4:$S$40,$AZ$5:$AZ$41,$BH50))),""))</f>
        <v/>
      </c>
      <c r="U51" s="70" t="str">
        <f>IF($BJ50&gt;0,IF(INDEX('Final Calculation Sheet'!$T$4:$T$40,$BJ50-3)="","",INDEX('Final Calculation Sheet'!$T$4:$T$40,$BJ50-3)),IF(OR($BI50=1,$BL50=1,$BH50&gt;0),IF($BI50=1,SUM('Final Calculation Sheet'!$T$4:$T$40),IF($BL50=1,SUM('Final Calculation Sheet'!$T$4:$T$40)-SUMIFS('Final Calculation Sheet'!$T$4:$T$40,$AZ$5:$AZ$41,10),SUMIFS('Final Calculation Sheet'!$T$4:$T$40,$AZ$5:$AZ$41,$BH50))),""))</f>
        <v/>
      </c>
      <c r="V51" s="73" t="str">
        <f>IF($BJ50&gt;0,IF(INDEX('Final Calculation Sheet'!$U$4:$U$40,$BJ50-3)="","",INDEX('Final Calculation Sheet'!$U$4:$U$40,$BJ50-3)),IF(OR($BI50=1,$BL50=1,$BH50&gt;0),IF($BI50=1,SUM('Final Calculation Sheet'!$U$4:$U$40),IF($BL50=1,SUM('Final Calculation Sheet'!$U$4:$U$40)-SUMIFS('Final Calculation Sheet'!$U$4:$U$40,$AZ$5:$AZ$41,10),SUMIFS('Final Calculation Sheet'!$U$4:$U$40,$AZ$5:$AZ$41,$BH50))),""))</f>
        <v/>
      </c>
      <c r="W51" s="70" t="str">
        <f>IF($BJ50&gt;0,IF(INDEX('Final Calculation Sheet'!$V$4:$V$40,$BJ50-3)="","",INDEX('Final Calculation Sheet'!$V$4:$V$40,$BJ50-3)),IF(OR($BI50=1,$BL50=1,$BH50&gt;0),"–",""))</f>
        <v/>
      </c>
      <c r="X51" s="70" t="str">
        <f>IF($BJ50&gt;0,IF(INDEX('Final Calculation Sheet'!$W$4:$W$40,$BJ50-3)="","",INDEX('Final Calculation Sheet'!$W$4:$W$40,$BJ50-3)),IF(OR($BI50=1,$BL50=1,$BH50&gt;0),IF($BI50=1,SUM('Final Calculation Sheet'!$W$4:$W$40),IF($BL50=1,SUM('Final Calculation Sheet'!$W$4:$W$40)-SUMIFS('Final Calculation Sheet'!$W$4:$W$40,$AZ$5:$AZ$41,10),SUMIFS('Final Calculation Sheet'!$W$4:$W$40,$AZ$5:$AZ$41,$BH50))),""))</f>
        <v/>
      </c>
      <c r="Y51" s="70" t="str">
        <f>IF($BJ50&gt;0,IF(INDEX('Final Calculation Sheet'!$X$4:$X$40,$BJ50-3)="","",INDEX('Final Calculation Sheet'!$X$4:$X$40,$BJ50-3)),IF(OR($BI50=1,$BL50=1,$BH50&gt;0),IF($BI50=1,SUM('Final Calculation Sheet'!$X$4:$X$40),IF($BL50=1,SUM('Final Calculation Sheet'!$X$4:$X$40)-SUMIFS('Final Calculation Sheet'!$X$4:$X$40,$AZ$5:$AZ$41,10),SUMIFS('Final Calculation Sheet'!$X$4:$X$40,$AZ$5:$AZ$41,$BH50))),""))</f>
        <v/>
      </c>
      <c r="Z51" s="70" t="str">
        <f>IF($BJ50&gt;0,IF(INDEX('Final Calculation Sheet'!$Y$4:$Y$40,$BJ50-3)="","",INDEX('Final Calculation Sheet'!$Y$4:$Y$40,$BJ50-3)),IF(OR($BI50=1,$BL50=1,$BH50&gt;0),"–",""))</f>
        <v/>
      </c>
      <c r="AA51" s="70" t="str">
        <f>IF($BJ50&gt;0,IF(INDEX('Final Calculation Sheet'!$Z$4:$Z$40,$BJ50-3)="","",INDEX('Final Calculation Sheet'!$Z$4:$Z$40,$BJ50-3)),IF(OR($BI50=1,$BL50=1,$BH50&gt;0),IF($BI50=1,SUM('Final Calculation Sheet'!$Z$4:$Z$40),IF($BL50=1,SUM('Final Calculation Sheet'!$Z$4:$Z$40)-SUMIFS('Final Calculation Sheet'!$Z$4:$Z$40,$AZ$5:$AZ$41,10),SUMIFS('Final Calculation Sheet'!$Z$4:$Z$40,$AZ$5:$AZ$41,$BH50))),""))</f>
        <v/>
      </c>
      <c r="AB51" s="70" t="str">
        <f>IF($BJ50&gt;0,IF(INDEX('Final Calculation Sheet'!$AA$4:$AA$40,$BJ50-3)="","",INDEX('Final Calculation Sheet'!$AA$4:$AA$40,$BJ50-3)),IF(OR($BI50=1,$BL50=1,$BH50&gt;0),IF($BI50=1,SUM('Final Calculation Sheet'!$AA$4:$AA$40),IF($BL50=1,SUM('Final Calculation Sheet'!$AA$4:$AA$40)-SUMIFS('Final Calculation Sheet'!$AA$4:$AA$40,$AZ$5:$AZ$41,10),SUMIFS('Final Calculation Sheet'!$AA$4:$AA$40,$AZ$5:$AZ$41,$BH50))),""))</f>
        <v/>
      </c>
      <c r="AC51" s="70" t="str">
        <f>IF($BJ50&gt;0,IF(INDEX('Final Calculation Sheet'!$AB$4:$AB$40,$BJ50-3)="","",INDEX('Final Calculation Sheet'!$AB$4:$AB$40,$BJ50-3)),IF(OR($BI50=1,$BL50=1,$BH50&gt;0),"–",""))</f>
        <v/>
      </c>
      <c r="AD51" s="70" t="str">
        <f>IF($BJ50&gt;0,IF(INDEX('Final Calculation Sheet'!$AC$4:$AC$40,$BJ50-3)="","",INDEX('Final Calculation Sheet'!$AC$4:$AC$40,$BJ50-3)),IF(OR($BI50=1,$BL50=1,$BH50&gt;0),IF($BI50=1,SUM('Final Calculation Sheet'!$AC$4:$AC$40),IF($BL50=1,SUM('Final Calculation Sheet'!$AC$4:$AC$40)-SUMIFS('Final Calculation Sheet'!$AC$4:$AC$40,$AZ$5:$AZ$41,10),SUMIFS('Final Calculation Sheet'!$AC$4:$AC$40,$AZ$5:$AZ$41,$BH50))),""))</f>
        <v/>
      </c>
      <c r="AE51" s="70" t="str">
        <f>IF($BJ50&gt;0,IF(INDEX('Final Calculation Sheet'!$AD$4:$AD$40,$BJ50-3)="","",INDEX('Final Calculation Sheet'!$AD$4:$AD$40,$BJ50-3)),IF(OR($BI50=1,$BL50=1,$BH50&gt;0),IF($BI50=1,SUM('Final Calculation Sheet'!$AD$4:$AD$40),IF($BL50=1,SUM('Final Calculation Sheet'!$AD$4:$AD$40)-SUMIFS('Final Calculation Sheet'!$AD$4:$AD$40,$AZ$5:$AZ$41,10),SUMIFS('Final Calculation Sheet'!$AD$4:$AD$40,$AZ$5:$AZ$41,$BH50))),""))</f>
        <v/>
      </c>
      <c r="AF51" s="70" t="str">
        <f>IF($BJ50&gt;0,IF(INDEX('Final Calculation Sheet'!$AE$4:$AE$40,$BJ50-3)="","",INDEX('Final Calculation Sheet'!$AE$4:$AE$40,$BJ50-3)),IF(OR($BI50=1,$BL50=1,$BH50&gt;0),"–",""))</f>
        <v/>
      </c>
      <c r="AG51" s="74" t="str">
        <f>IF($BJ50&gt;0,IF(INDEX('Final Calculation Sheet'!$AF$4:$AF$40,$BJ50-3)="","",INDEX('Final Calculation Sheet'!$AF$4:$AF$40,$BJ50-3)),IF(OR($BI50=1,$BL50=1,$BH50&gt;0),"–",""))</f>
        <v/>
      </c>
      <c r="AH51" s="70" t="str">
        <f>IF($BJ50&gt;0,IF(INDEX('Final Calculation Sheet'!$AG$4:$AG$40,$BJ50-3)="","",INDEX('Final Calculation Sheet'!$AG$4:$AG$40,$BJ50-3)),IF(OR($BI50=1,$BL50=1,$BH50&gt;0),"–",""))</f>
        <v/>
      </c>
      <c r="AI51" s="75" t="str">
        <f>IF($BJ50&gt;0,IF(INDEX('Final Calculation Sheet'!$AD$4:$AD$40,$BJ50-3)="","",IF(INDEX('Final Calculation Sheet'!$AD$4:$AD$40,$BJ50-3)&lt;=0,"SETTLED","OUTSTANDING")),IF(OR($BI50=1,$BL50=1,$BH50&gt;0),IF(IF($BI50=1,SUM('Final Calculation Sheet'!$AD$4:$AD$40),IF($BL50=1,SUM('Final Calculation Sheet'!$AD$4:$AD$40)-SUMIFS('Final Calculation Sheet'!$AD$4:$AD$40,$AZ$5:$AZ$41,10),SUMIFS('Final Calculation Sheet'!$AD$4:$AD$40,$AZ$5:$AZ$41,$BH50)))&lt;=0,"ALL SETTLED","OUTSTANDING"),""))</f>
        <v/>
      </c>
      <c r="BH51">
        <f>IFERROR(MATCH(51,$BF$4:$BF$13,0),0)</f>
        <v>0</v>
      </c>
      <c r="BI51">
        <f>IF(51=$BG$5,1,0)</f>
        <v>0</v>
      </c>
      <c r="BJ51">
        <f>IF(OR($BH51&gt;0,$BI51=1,$BL51=1),0,IFERROR(INDEX($BC$5:$BC$41,MATCH(51,$BB$5:$BB$41,0)),0))</f>
        <v>0</v>
      </c>
      <c r="BK51">
        <f>IF($BJ51&gt;0,IF(INDEX($AZ$5:$AZ$41,MATCH(51,$BB$5:$BB$41,0))=10,1,0),IF($BH51=10,1,0))</f>
        <v>0</v>
      </c>
      <c r="BL51">
        <f>IF(51=$BG$4,1,0)</f>
        <v>0</v>
      </c>
    </row>
    <row r="52" spans="1:99" ht="15" customHeight="1" x14ac:dyDescent="0.25">
      <c r="A52" s="67" t="str">
        <f>IF($BJ51&gt;0,INDEX($BA$5:$BA$41,MATCH(51,$BB$5:$BB$41,0)),IF(OR($BI51=1,$BL51=1,$BH51&gt;0),"∑",""))</f>
        <v/>
      </c>
      <c r="B52" s="68" t="str">
        <f>IF($BJ51&gt;0,IF(INDEX('Final Calculation Sheet'!$F$4:$F$40,$BJ51-3)="","",INDEX('Final Calculation Sheet'!$F$4:$F$40,$BJ51-3)),"")</f>
        <v/>
      </c>
      <c r="C52" s="68" t="str">
        <f>IF($BJ51&gt;0,IF(INDEX('Final Calculation Sheet'!$G$4:$G$40,$BJ51-3)="","",INDEX('Final Calculation Sheet'!$G$4:$G$40,$BJ51-3)),IF(OR($BI51=1,$BL51=1,$BH51&gt;0),IF($BI51=1,37,IF($BL51=1,37-INDEX($BD$4:$BD$13,10),INDEX($BD$4:$BD$13,$BH51)))&amp;" lot(s)",""))</f>
        <v/>
      </c>
      <c r="D52" s="69" t="str">
        <f>IF($BJ51&gt;0,IF(INDEX('Final Calculation Sheet'!$B$4:$B$40,$BJ51-3)="","",INDEX('Final Calculation Sheet'!$B$4:$B$40,$BJ51-3)),IF(OR($BI51=1,$BL51=1,$BH51&gt;0),IF($BI51=1,"GRAND TOTAL  —  matching + remaining",IF($BL51=1,"TOTAL MATCHED  —  every group together",IF($BH51=10,"REMAINING  —  did not match the search",IF($BH51=9,IF(COUNTIF($A$4:$AI$4,"&lt;&gt;")&gt;0,"FILTERED LOTS  —  column fields","ALL LOTS  —  nothing typed in the box"),"GROUP "&amp;$BH51&amp;" TOTAL  —  lots matching  "&amp;INDEX($AR$6:$AY$6,$BH51))))),""))</f>
        <v/>
      </c>
      <c r="E52" s="69" t="str">
        <f>IF($BJ51&gt;0,IF(INDEX('Final Calculation Sheet'!$D$4:$D$40,$BJ51-3)="","",INDEX('Final Calculation Sheet'!$D$4:$D$40,$BJ51-3)),IF(OR($BI51=1,$BL51=1,$BH51&gt;0),"–",""))</f>
        <v/>
      </c>
      <c r="F52" s="69" t="str">
        <f>IF($BJ51&gt;0,IF(INDEX('Final Calculation Sheet'!$A$4:$A$40,$BJ51-3)="","",INDEX('Final Calculation Sheet'!$A$4:$A$40,$BJ51-3)),IF(OR($BI51=1,$BL51=1,$BH51&gt;0),IF($BI51=1,SUM('Final Calculation Sheet'!$A$4:$A$40),IF($BL51=1,SUM('Final Calculation Sheet'!$A$4:$A$40)-SUMIFS('Final Calculation Sheet'!$A$4:$A$40,$AZ$5:$AZ$41,10),SUMIFS('Final Calculation Sheet'!$A$4:$A$40,$AZ$5:$AZ$41,$BH51))),""))</f>
        <v/>
      </c>
      <c r="G52" s="69" t="str">
        <f>IF($BJ51&gt;0,IF(INDEX('Final Calculation Sheet'!$E$4:$E$40,$BJ51-3)="","",INDEX('Final Calculation Sheet'!$E$4:$E$40,$BJ51-3)),IF(OR($BI51=1,$BL51=1,$BH51&gt;0),"–",""))</f>
        <v/>
      </c>
      <c r="H52" s="70" t="str">
        <f>IF($BJ51&gt;0,IF(INDEX('Final Calculation Sheet'!$C$4:$C$40,$BJ51-3)="","",INDEX('Final Calculation Sheet'!$C$4:$C$40,$BJ51-3)),IF(OR($BI51=1,$BL51=1,$BH51&gt;0),"–",""))</f>
        <v/>
      </c>
      <c r="I52" s="70" t="str">
        <f>IF($BJ51&gt;0,IF(INDEX('Final Calculation Sheet'!$H$4:$H$40,$BJ51-3)="","",INDEX('Final Calculation Sheet'!$H$4:$H$40,$BJ51-3)),IF(OR($BI51=1,$BL51=1,$BH51&gt;0),IF($BI51=1,SUM('Final Calculation Sheet'!$H$4:$H$40),IF($BL51=1,SUM('Final Calculation Sheet'!$H$4:$H$40)-SUMIFS('Final Calculation Sheet'!$H$4:$H$40,$AZ$5:$AZ$41,10),SUMIFS('Final Calculation Sheet'!$H$4:$H$40,$AZ$5:$AZ$41,$BH51))),""))</f>
        <v/>
      </c>
      <c r="J52" s="70" t="str">
        <f>IF($BJ51&gt;0,IF(INDEX('Final Calculation Sheet'!$I$4:$I$40,$BJ51-3)="","",INDEX('Final Calculation Sheet'!$I$4:$I$40,$BJ51-3)),IF(OR($BI51=1,$BL51=1,$BH51&gt;0),IF($BI51=1,SUM('Final Calculation Sheet'!$I$4:$I$40),IF($BL51=1,SUM('Final Calculation Sheet'!$I$4:$I$40)-SUMIFS('Final Calculation Sheet'!$I$4:$I$40,$AZ$5:$AZ$41,10),SUMIFS('Final Calculation Sheet'!$I$4:$I$40,$AZ$5:$AZ$41,$BH51))),""))</f>
        <v/>
      </c>
      <c r="K52" s="70" t="str">
        <f>IF($BJ51&gt;0,IF(INDEX('Final Calculation Sheet'!$J$4:$J$40,$BJ51-3)="","",INDEX('Final Calculation Sheet'!$J$4:$J$40,$BJ51-3)),IF(OR($BI51=1,$BL51=1,$BH51&gt;0),IF($BI51=1,SUM('Final Calculation Sheet'!$J$4:$J$40),IF($BL51=1,SUM('Final Calculation Sheet'!$J$4:$J$40)-SUMIFS('Final Calculation Sheet'!$J$4:$J$40,$AZ$5:$AZ$41,10),SUMIFS('Final Calculation Sheet'!$J$4:$J$40,$AZ$5:$AZ$41,$BH51))),""))</f>
        <v/>
      </c>
      <c r="L52" s="70" t="str">
        <f>IF($BJ51&gt;0,IF(INDEX('Final Calculation Sheet'!$K$4:$K$40,$BJ51-3)="","",INDEX('Final Calculation Sheet'!$K$4:$K$40,$BJ51-3)),IF(OR($BI51=1,$BL51=1,$BH51&gt;0),IF($BI51=1,SUM('Final Calculation Sheet'!$K$4:$K$40),IF($BL51=1,SUM('Final Calculation Sheet'!$K$4:$K$40)-SUMIFS('Final Calculation Sheet'!$K$4:$K$40,$AZ$5:$AZ$41,10),SUMIFS('Final Calculation Sheet'!$K$4:$K$40,$AZ$5:$AZ$41,$BH51))),""))</f>
        <v/>
      </c>
      <c r="M52" s="70" t="str">
        <f>IF($BJ51&gt;0,IF(INDEX('Final Calculation Sheet'!$L$4:$L$40,$BJ51-3)="","",INDEX('Final Calculation Sheet'!$L$4:$L$40,$BJ51-3)),IF(OR($BI51=1,$BL51=1,$BH51&gt;0),IF($BI51=1,SUM('Final Calculation Sheet'!$L$4:$L$40),IF($BL51=1,SUM('Final Calculation Sheet'!$L$4:$L$40)-SUMIFS('Final Calculation Sheet'!$L$4:$L$40,$AZ$5:$AZ$41,10),SUMIFS('Final Calculation Sheet'!$L$4:$L$40,$AZ$5:$AZ$41,$BH51))),""))</f>
        <v/>
      </c>
      <c r="N52" s="70" t="str">
        <f>IF($BJ51&gt;0,IF(INDEX('Final Calculation Sheet'!$M$4:$M$40,$BJ51-3)="","",INDEX('Final Calculation Sheet'!$M$4:$M$40,$BJ51-3)),IF(OR($BI51=1,$BL51=1,$BH51&gt;0),IF($BI51=1,SUM('Final Calculation Sheet'!$M$4:$M$40),IF($BL51=1,SUM('Final Calculation Sheet'!$M$4:$M$40)-SUMIFS('Final Calculation Sheet'!$M$4:$M$40,$AZ$5:$AZ$41,10),SUMIFS('Final Calculation Sheet'!$M$4:$M$40,$AZ$5:$AZ$41,$BH51))),""))</f>
        <v/>
      </c>
      <c r="O52" s="71" t="str">
        <f>IF($BJ51&gt;0,IF(INDEX('Final Calculation Sheet'!$N$4:$N$40,$BJ51-3)="","",INDEX('Final Calculation Sheet'!$N$4:$N$40,$BJ51-3)),IF(OR($BI51=1,$BL51=1,$BH51&gt;0),IF($BI51=1,SUM('Final Calculation Sheet'!$N$4:$N$40),IF($BL51=1,SUM('Final Calculation Sheet'!$N$4:$N$40)-SUMIFS('Final Calculation Sheet'!$N$4:$N$40,$AZ$5:$AZ$41,10),SUMIFS('Final Calculation Sheet'!$N$4:$N$40,$AZ$5:$AZ$41,$BH51))),""))</f>
        <v/>
      </c>
      <c r="P52" s="70" t="str">
        <f>IF($BJ51&gt;0,IF(INDEX('Final Calculation Sheet'!$O$4:$O$40,$BJ51-3)="","",INDEX('Final Calculation Sheet'!$O$4:$O$40,$BJ51-3)),IF(OR($BI51=1,$BL51=1,$BH51&gt;0),IF($BI51=1,SUM('Final Calculation Sheet'!$O$4:$O$40),IF($BL51=1,SUM('Final Calculation Sheet'!$O$4:$O$40)-SUMIFS('Final Calculation Sheet'!$O$4:$O$40,$AZ$5:$AZ$41,10),SUMIFS('Final Calculation Sheet'!$O$4:$O$40,$AZ$5:$AZ$41,$BH51))),""))</f>
        <v/>
      </c>
      <c r="Q52" s="70" t="str">
        <f>IF($BJ51&gt;0,IF(INDEX('Final Calculation Sheet'!$P$4:$P$40,$BJ51-3)="","",INDEX('Final Calculation Sheet'!$P$4:$P$40,$BJ51-3)),IF(OR($BI51=1,$BL51=1,$BH51&gt;0),IF($BI51=1,SUM('Final Calculation Sheet'!$P$4:$P$40),IF($BL51=1,SUM('Final Calculation Sheet'!$P$4:$P$40)-SUMIFS('Final Calculation Sheet'!$P$4:$P$40,$AZ$5:$AZ$41,10),SUMIFS('Final Calculation Sheet'!$P$4:$P$40,$AZ$5:$AZ$41,$BH51))),""))</f>
        <v/>
      </c>
      <c r="R52" s="72" t="str">
        <f>IF($BJ51&gt;0,IF(INDEX('Final Calculation Sheet'!$Q$4:$Q$40,$BJ51-3)="","",INDEX('Final Calculation Sheet'!$Q$4:$Q$40,$BJ51-3)),IF(OR($BI51=1,$BL51=1,$BH51&gt;0),"–",""))</f>
        <v/>
      </c>
      <c r="S52" s="70" t="str">
        <f>IF($BJ51&gt;0,IF(INDEX('Final Calculation Sheet'!$R$4:$R$40,$BJ51-3)="","",INDEX('Final Calculation Sheet'!$R$4:$R$40,$BJ51-3)),IF(OR($BI51=1,$BL51=1,$BH51&gt;0),IF($BI51=1,SUM('Final Calculation Sheet'!$R$4:$R$40),IF($BL51=1,SUM('Final Calculation Sheet'!$R$4:$R$40)-SUMIFS('Final Calculation Sheet'!$R$4:$R$40,$AZ$5:$AZ$41,10),SUMIFS('Final Calculation Sheet'!$R$4:$R$40,$AZ$5:$AZ$41,$BH51))),""))</f>
        <v/>
      </c>
      <c r="T52" s="70" t="str">
        <f>IF($BJ51&gt;0,IF(INDEX('Final Calculation Sheet'!$S$4:$S$40,$BJ51-3)="","",INDEX('Final Calculation Sheet'!$S$4:$S$40,$BJ51-3)),IF(OR($BI51=1,$BL51=1,$BH51&gt;0),IF($BI51=1,SUM('Final Calculation Sheet'!$S$4:$S$40),IF($BL51=1,SUM('Final Calculation Sheet'!$S$4:$S$40)-SUMIFS('Final Calculation Sheet'!$S$4:$S$40,$AZ$5:$AZ$41,10),SUMIFS('Final Calculation Sheet'!$S$4:$S$40,$AZ$5:$AZ$41,$BH51))),""))</f>
        <v/>
      </c>
      <c r="U52" s="70" t="str">
        <f>IF($BJ51&gt;0,IF(INDEX('Final Calculation Sheet'!$T$4:$T$40,$BJ51-3)="","",INDEX('Final Calculation Sheet'!$T$4:$T$40,$BJ51-3)),IF(OR($BI51=1,$BL51=1,$BH51&gt;0),IF($BI51=1,SUM('Final Calculation Sheet'!$T$4:$T$40),IF($BL51=1,SUM('Final Calculation Sheet'!$T$4:$T$40)-SUMIFS('Final Calculation Sheet'!$T$4:$T$40,$AZ$5:$AZ$41,10),SUMIFS('Final Calculation Sheet'!$T$4:$T$40,$AZ$5:$AZ$41,$BH51))),""))</f>
        <v/>
      </c>
      <c r="V52" s="73" t="str">
        <f>IF($BJ51&gt;0,IF(INDEX('Final Calculation Sheet'!$U$4:$U$40,$BJ51-3)="","",INDEX('Final Calculation Sheet'!$U$4:$U$40,$BJ51-3)),IF(OR($BI51=1,$BL51=1,$BH51&gt;0),IF($BI51=1,SUM('Final Calculation Sheet'!$U$4:$U$40),IF($BL51=1,SUM('Final Calculation Sheet'!$U$4:$U$40)-SUMIFS('Final Calculation Sheet'!$U$4:$U$40,$AZ$5:$AZ$41,10),SUMIFS('Final Calculation Sheet'!$U$4:$U$40,$AZ$5:$AZ$41,$BH51))),""))</f>
        <v/>
      </c>
      <c r="W52" s="70" t="str">
        <f>IF($BJ51&gt;0,IF(INDEX('Final Calculation Sheet'!$V$4:$V$40,$BJ51-3)="","",INDEX('Final Calculation Sheet'!$V$4:$V$40,$BJ51-3)),IF(OR($BI51=1,$BL51=1,$BH51&gt;0),"–",""))</f>
        <v/>
      </c>
      <c r="X52" s="70" t="str">
        <f>IF($BJ51&gt;0,IF(INDEX('Final Calculation Sheet'!$W$4:$W$40,$BJ51-3)="","",INDEX('Final Calculation Sheet'!$W$4:$W$40,$BJ51-3)),IF(OR($BI51=1,$BL51=1,$BH51&gt;0),IF($BI51=1,SUM('Final Calculation Sheet'!$W$4:$W$40),IF($BL51=1,SUM('Final Calculation Sheet'!$W$4:$W$40)-SUMIFS('Final Calculation Sheet'!$W$4:$W$40,$AZ$5:$AZ$41,10),SUMIFS('Final Calculation Sheet'!$W$4:$W$40,$AZ$5:$AZ$41,$BH51))),""))</f>
        <v/>
      </c>
      <c r="Y52" s="70" t="str">
        <f>IF($BJ51&gt;0,IF(INDEX('Final Calculation Sheet'!$X$4:$X$40,$BJ51-3)="","",INDEX('Final Calculation Sheet'!$X$4:$X$40,$BJ51-3)),IF(OR($BI51=1,$BL51=1,$BH51&gt;0),IF($BI51=1,SUM('Final Calculation Sheet'!$X$4:$X$40),IF($BL51=1,SUM('Final Calculation Sheet'!$X$4:$X$40)-SUMIFS('Final Calculation Sheet'!$X$4:$X$40,$AZ$5:$AZ$41,10),SUMIFS('Final Calculation Sheet'!$X$4:$X$40,$AZ$5:$AZ$41,$BH51))),""))</f>
        <v/>
      </c>
      <c r="Z52" s="70" t="str">
        <f>IF($BJ51&gt;0,IF(INDEX('Final Calculation Sheet'!$Y$4:$Y$40,$BJ51-3)="","",INDEX('Final Calculation Sheet'!$Y$4:$Y$40,$BJ51-3)),IF(OR($BI51=1,$BL51=1,$BH51&gt;0),"–",""))</f>
        <v/>
      </c>
      <c r="AA52" s="70" t="str">
        <f>IF($BJ51&gt;0,IF(INDEX('Final Calculation Sheet'!$Z$4:$Z$40,$BJ51-3)="","",INDEX('Final Calculation Sheet'!$Z$4:$Z$40,$BJ51-3)),IF(OR($BI51=1,$BL51=1,$BH51&gt;0),IF($BI51=1,SUM('Final Calculation Sheet'!$Z$4:$Z$40),IF($BL51=1,SUM('Final Calculation Sheet'!$Z$4:$Z$40)-SUMIFS('Final Calculation Sheet'!$Z$4:$Z$40,$AZ$5:$AZ$41,10),SUMIFS('Final Calculation Sheet'!$Z$4:$Z$40,$AZ$5:$AZ$41,$BH51))),""))</f>
        <v/>
      </c>
      <c r="AB52" s="70" t="str">
        <f>IF($BJ51&gt;0,IF(INDEX('Final Calculation Sheet'!$AA$4:$AA$40,$BJ51-3)="","",INDEX('Final Calculation Sheet'!$AA$4:$AA$40,$BJ51-3)),IF(OR($BI51=1,$BL51=1,$BH51&gt;0),IF($BI51=1,SUM('Final Calculation Sheet'!$AA$4:$AA$40),IF($BL51=1,SUM('Final Calculation Sheet'!$AA$4:$AA$40)-SUMIFS('Final Calculation Sheet'!$AA$4:$AA$40,$AZ$5:$AZ$41,10),SUMIFS('Final Calculation Sheet'!$AA$4:$AA$40,$AZ$5:$AZ$41,$BH51))),""))</f>
        <v/>
      </c>
      <c r="AC52" s="70" t="str">
        <f>IF($BJ51&gt;0,IF(INDEX('Final Calculation Sheet'!$AB$4:$AB$40,$BJ51-3)="","",INDEX('Final Calculation Sheet'!$AB$4:$AB$40,$BJ51-3)),IF(OR($BI51=1,$BL51=1,$BH51&gt;0),"–",""))</f>
        <v/>
      </c>
      <c r="AD52" s="70" t="str">
        <f>IF($BJ51&gt;0,IF(INDEX('Final Calculation Sheet'!$AC$4:$AC$40,$BJ51-3)="","",INDEX('Final Calculation Sheet'!$AC$4:$AC$40,$BJ51-3)),IF(OR($BI51=1,$BL51=1,$BH51&gt;0),IF($BI51=1,SUM('Final Calculation Sheet'!$AC$4:$AC$40),IF($BL51=1,SUM('Final Calculation Sheet'!$AC$4:$AC$40)-SUMIFS('Final Calculation Sheet'!$AC$4:$AC$40,$AZ$5:$AZ$41,10),SUMIFS('Final Calculation Sheet'!$AC$4:$AC$40,$AZ$5:$AZ$41,$BH51))),""))</f>
        <v/>
      </c>
      <c r="AE52" s="70" t="str">
        <f>IF($BJ51&gt;0,IF(INDEX('Final Calculation Sheet'!$AD$4:$AD$40,$BJ51-3)="","",INDEX('Final Calculation Sheet'!$AD$4:$AD$40,$BJ51-3)),IF(OR($BI51=1,$BL51=1,$BH51&gt;0),IF($BI51=1,SUM('Final Calculation Sheet'!$AD$4:$AD$40),IF($BL51=1,SUM('Final Calculation Sheet'!$AD$4:$AD$40)-SUMIFS('Final Calculation Sheet'!$AD$4:$AD$40,$AZ$5:$AZ$41,10),SUMIFS('Final Calculation Sheet'!$AD$4:$AD$40,$AZ$5:$AZ$41,$BH51))),""))</f>
        <v/>
      </c>
      <c r="AF52" s="70" t="str">
        <f>IF($BJ51&gt;0,IF(INDEX('Final Calculation Sheet'!$AE$4:$AE$40,$BJ51-3)="","",INDEX('Final Calculation Sheet'!$AE$4:$AE$40,$BJ51-3)),IF(OR($BI51=1,$BL51=1,$BH51&gt;0),"–",""))</f>
        <v/>
      </c>
      <c r="AG52" s="74" t="str">
        <f>IF($BJ51&gt;0,IF(INDEX('Final Calculation Sheet'!$AF$4:$AF$40,$BJ51-3)="","",INDEX('Final Calculation Sheet'!$AF$4:$AF$40,$BJ51-3)),IF(OR($BI51=1,$BL51=1,$BH51&gt;0),"–",""))</f>
        <v/>
      </c>
      <c r="AH52" s="70" t="str">
        <f>IF($BJ51&gt;0,IF(INDEX('Final Calculation Sheet'!$AG$4:$AG$40,$BJ51-3)="","",INDEX('Final Calculation Sheet'!$AG$4:$AG$40,$BJ51-3)),IF(OR($BI51=1,$BL51=1,$BH51&gt;0),"–",""))</f>
        <v/>
      </c>
      <c r="AI52" s="75" t="str">
        <f>IF($BJ51&gt;0,IF(INDEX('Final Calculation Sheet'!$AD$4:$AD$40,$BJ51-3)="","",IF(INDEX('Final Calculation Sheet'!$AD$4:$AD$40,$BJ51-3)&lt;=0,"SETTLED","OUTSTANDING")),IF(OR($BI51=1,$BL51=1,$BH51&gt;0),IF(IF($BI51=1,SUM('Final Calculation Sheet'!$AD$4:$AD$40),IF($BL51=1,SUM('Final Calculation Sheet'!$AD$4:$AD$40)-SUMIFS('Final Calculation Sheet'!$AD$4:$AD$40,$AZ$5:$AZ$41,10),SUMIFS('Final Calculation Sheet'!$AD$4:$AD$40,$AZ$5:$AZ$41,$BH51)))&lt;=0,"ALL SETTLED","OUTSTANDING"),""))</f>
        <v/>
      </c>
      <c r="BH52">
        <f>IFERROR(MATCH(52,$BF$4:$BF$13,0),0)</f>
        <v>0</v>
      </c>
      <c r="BI52">
        <f>IF(52=$BG$5,1,0)</f>
        <v>0</v>
      </c>
      <c r="BJ52">
        <f>IF(OR($BH52&gt;0,$BI52=1,$BL52=1),0,IFERROR(INDEX($BC$5:$BC$41,MATCH(52,$BB$5:$BB$41,0)),0))</f>
        <v>0</v>
      </c>
      <c r="BK52">
        <f>IF($BJ52&gt;0,IF(INDEX($AZ$5:$AZ$41,MATCH(52,$BB$5:$BB$41,0))=10,1,0),IF($BH52=10,1,0))</f>
        <v>0</v>
      </c>
      <c r="BL52">
        <f>IF(52=$BG$4,1,0)</f>
        <v>0</v>
      </c>
    </row>
    <row r="53" spans="1:99" ht="15" customHeight="1" x14ac:dyDescent="0.25">
      <c r="A53" s="67" t="str">
        <f>IF($BJ52&gt;0,INDEX($BA$5:$BA$41,MATCH(52,$BB$5:$BB$41,0)),IF(OR($BI52=1,$BL52=1,$BH52&gt;0),"∑",""))</f>
        <v/>
      </c>
      <c r="B53" s="68" t="str">
        <f>IF($BJ52&gt;0,IF(INDEX('Final Calculation Sheet'!$F$4:$F$40,$BJ52-3)="","",INDEX('Final Calculation Sheet'!$F$4:$F$40,$BJ52-3)),"")</f>
        <v/>
      </c>
      <c r="C53" s="68" t="str">
        <f>IF($BJ52&gt;0,IF(INDEX('Final Calculation Sheet'!$G$4:$G$40,$BJ52-3)="","",INDEX('Final Calculation Sheet'!$G$4:$G$40,$BJ52-3)),IF(OR($BI52=1,$BL52=1,$BH52&gt;0),IF($BI52=1,37,IF($BL52=1,37-INDEX($BD$4:$BD$13,10),INDEX($BD$4:$BD$13,$BH52)))&amp;" lot(s)",""))</f>
        <v/>
      </c>
      <c r="D53" s="69" t="str">
        <f>IF($BJ52&gt;0,IF(INDEX('Final Calculation Sheet'!$B$4:$B$40,$BJ52-3)="","",INDEX('Final Calculation Sheet'!$B$4:$B$40,$BJ52-3)),IF(OR($BI52=1,$BL52=1,$BH52&gt;0),IF($BI52=1,"GRAND TOTAL  —  matching + remaining",IF($BL52=1,"TOTAL MATCHED  —  every group together",IF($BH52=10,"REMAINING  —  did not match the search",IF($BH52=9,IF(COUNTIF($A$4:$AI$4,"&lt;&gt;")&gt;0,"FILTERED LOTS  —  column fields","ALL LOTS  —  nothing typed in the box"),"GROUP "&amp;$BH52&amp;" TOTAL  —  lots matching  "&amp;INDEX($AR$6:$AY$6,$BH52))))),""))</f>
        <v/>
      </c>
      <c r="E53" s="69" t="str">
        <f>IF($BJ52&gt;0,IF(INDEX('Final Calculation Sheet'!$D$4:$D$40,$BJ52-3)="","",INDEX('Final Calculation Sheet'!$D$4:$D$40,$BJ52-3)),IF(OR($BI52=1,$BL52=1,$BH52&gt;0),"–",""))</f>
        <v/>
      </c>
      <c r="F53" s="69" t="str">
        <f>IF($BJ52&gt;0,IF(INDEX('Final Calculation Sheet'!$A$4:$A$40,$BJ52-3)="","",INDEX('Final Calculation Sheet'!$A$4:$A$40,$BJ52-3)),IF(OR($BI52=1,$BL52=1,$BH52&gt;0),IF($BI52=1,SUM('Final Calculation Sheet'!$A$4:$A$40),IF($BL52=1,SUM('Final Calculation Sheet'!$A$4:$A$40)-SUMIFS('Final Calculation Sheet'!$A$4:$A$40,$AZ$5:$AZ$41,10),SUMIFS('Final Calculation Sheet'!$A$4:$A$40,$AZ$5:$AZ$41,$BH52))),""))</f>
        <v/>
      </c>
      <c r="G53" s="69" t="str">
        <f>IF($BJ52&gt;0,IF(INDEX('Final Calculation Sheet'!$E$4:$E$40,$BJ52-3)="","",INDEX('Final Calculation Sheet'!$E$4:$E$40,$BJ52-3)),IF(OR($BI52=1,$BL52=1,$BH52&gt;0),"–",""))</f>
        <v/>
      </c>
      <c r="H53" s="70" t="str">
        <f>IF($BJ52&gt;0,IF(INDEX('Final Calculation Sheet'!$C$4:$C$40,$BJ52-3)="","",INDEX('Final Calculation Sheet'!$C$4:$C$40,$BJ52-3)),IF(OR($BI52=1,$BL52=1,$BH52&gt;0),"–",""))</f>
        <v/>
      </c>
      <c r="I53" s="70" t="str">
        <f>IF($BJ52&gt;0,IF(INDEX('Final Calculation Sheet'!$H$4:$H$40,$BJ52-3)="","",INDEX('Final Calculation Sheet'!$H$4:$H$40,$BJ52-3)),IF(OR($BI52=1,$BL52=1,$BH52&gt;0),IF($BI52=1,SUM('Final Calculation Sheet'!$H$4:$H$40),IF($BL52=1,SUM('Final Calculation Sheet'!$H$4:$H$40)-SUMIFS('Final Calculation Sheet'!$H$4:$H$40,$AZ$5:$AZ$41,10),SUMIFS('Final Calculation Sheet'!$H$4:$H$40,$AZ$5:$AZ$41,$BH52))),""))</f>
        <v/>
      </c>
      <c r="J53" s="70" t="str">
        <f>IF($BJ52&gt;0,IF(INDEX('Final Calculation Sheet'!$I$4:$I$40,$BJ52-3)="","",INDEX('Final Calculation Sheet'!$I$4:$I$40,$BJ52-3)),IF(OR($BI52=1,$BL52=1,$BH52&gt;0),IF($BI52=1,SUM('Final Calculation Sheet'!$I$4:$I$40),IF($BL52=1,SUM('Final Calculation Sheet'!$I$4:$I$40)-SUMIFS('Final Calculation Sheet'!$I$4:$I$40,$AZ$5:$AZ$41,10),SUMIFS('Final Calculation Sheet'!$I$4:$I$40,$AZ$5:$AZ$41,$BH52))),""))</f>
        <v/>
      </c>
      <c r="K53" s="70" t="str">
        <f>IF($BJ52&gt;0,IF(INDEX('Final Calculation Sheet'!$J$4:$J$40,$BJ52-3)="","",INDEX('Final Calculation Sheet'!$J$4:$J$40,$BJ52-3)),IF(OR($BI52=1,$BL52=1,$BH52&gt;0),IF($BI52=1,SUM('Final Calculation Sheet'!$J$4:$J$40),IF($BL52=1,SUM('Final Calculation Sheet'!$J$4:$J$40)-SUMIFS('Final Calculation Sheet'!$J$4:$J$40,$AZ$5:$AZ$41,10),SUMIFS('Final Calculation Sheet'!$J$4:$J$40,$AZ$5:$AZ$41,$BH52))),""))</f>
        <v/>
      </c>
      <c r="L53" s="70" t="str">
        <f>IF($BJ52&gt;0,IF(INDEX('Final Calculation Sheet'!$K$4:$K$40,$BJ52-3)="","",INDEX('Final Calculation Sheet'!$K$4:$K$40,$BJ52-3)),IF(OR($BI52=1,$BL52=1,$BH52&gt;0),IF($BI52=1,SUM('Final Calculation Sheet'!$K$4:$K$40),IF($BL52=1,SUM('Final Calculation Sheet'!$K$4:$K$40)-SUMIFS('Final Calculation Sheet'!$K$4:$K$40,$AZ$5:$AZ$41,10),SUMIFS('Final Calculation Sheet'!$K$4:$K$40,$AZ$5:$AZ$41,$BH52))),""))</f>
        <v/>
      </c>
      <c r="M53" s="70" t="str">
        <f>IF($BJ52&gt;0,IF(INDEX('Final Calculation Sheet'!$L$4:$L$40,$BJ52-3)="","",INDEX('Final Calculation Sheet'!$L$4:$L$40,$BJ52-3)),IF(OR($BI52=1,$BL52=1,$BH52&gt;0),IF($BI52=1,SUM('Final Calculation Sheet'!$L$4:$L$40),IF($BL52=1,SUM('Final Calculation Sheet'!$L$4:$L$40)-SUMIFS('Final Calculation Sheet'!$L$4:$L$40,$AZ$5:$AZ$41,10),SUMIFS('Final Calculation Sheet'!$L$4:$L$40,$AZ$5:$AZ$41,$BH52))),""))</f>
        <v/>
      </c>
      <c r="N53" s="70" t="str">
        <f>IF($BJ52&gt;0,IF(INDEX('Final Calculation Sheet'!$M$4:$M$40,$BJ52-3)="","",INDEX('Final Calculation Sheet'!$M$4:$M$40,$BJ52-3)),IF(OR($BI52=1,$BL52=1,$BH52&gt;0),IF($BI52=1,SUM('Final Calculation Sheet'!$M$4:$M$40),IF($BL52=1,SUM('Final Calculation Sheet'!$M$4:$M$40)-SUMIFS('Final Calculation Sheet'!$M$4:$M$40,$AZ$5:$AZ$41,10),SUMIFS('Final Calculation Sheet'!$M$4:$M$40,$AZ$5:$AZ$41,$BH52))),""))</f>
        <v/>
      </c>
      <c r="O53" s="71" t="str">
        <f>IF($BJ52&gt;0,IF(INDEX('Final Calculation Sheet'!$N$4:$N$40,$BJ52-3)="","",INDEX('Final Calculation Sheet'!$N$4:$N$40,$BJ52-3)),IF(OR($BI52=1,$BL52=1,$BH52&gt;0),IF($BI52=1,SUM('Final Calculation Sheet'!$N$4:$N$40),IF($BL52=1,SUM('Final Calculation Sheet'!$N$4:$N$40)-SUMIFS('Final Calculation Sheet'!$N$4:$N$40,$AZ$5:$AZ$41,10),SUMIFS('Final Calculation Sheet'!$N$4:$N$40,$AZ$5:$AZ$41,$BH52))),""))</f>
        <v/>
      </c>
      <c r="P53" s="70" t="str">
        <f>IF($BJ52&gt;0,IF(INDEX('Final Calculation Sheet'!$O$4:$O$40,$BJ52-3)="","",INDEX('Final Calculation Sheet'!$O$4:$O$40,$BJ52-3)),IF(OR($BI52=1,$BL52=1,$BH52&gt;0),IF($BI52=1,SUM('Final Calculation Sheet'!$O$4:$O$40),IF($BL52=1,SUM('Final Calculation Sheet'!$O$4:$O$40)-SUMIFS('Final Calculation Sheet'!$O$4:$O$40,$AZ$5:$AZ$41,10),SUMIFS('Final Calculation Sheet'!$O$4:$O$40,$AZ$5:$AZ$41,$BH52))),""))</f>
        <v/>
      </c>
      <c r="Q53" s="70" t="str">
        <f>IF($BJ52&gt;0,IF(INDEX('Final Calculation Sheet'!$P$4:$P$40,$BJ52-3)="","",INDEX('Final Calculation Sheet'!$P$4:$P$40,$BJ52-3)),IF(OR($BI52=1,$BL52=1,$BH52&gt;0),IF($BI52=1,SUM('Final Calculation Sheet'!$P$4:$P$40),IF($BL52=1,SUM('Final Calculation Sheet'!$P$4:$P$40)-SUMIFS('Final Calculation Sheet'!$P$4:$P$40,$AZ$5:$AZ$41,10),SUMIFS('Final Calculation Sheet'!$P$4:$P$40,$AZ$5:$AZ$41,$BH52))),""))</f>
        <v/>
      </c>
      <c r="R53" s="72" t="str">
        <f>IF($BJ52&gt;0,IF(INDEX('Final Calculation Sheet'!$Q$4:$Q$40,$BJ52-3)="","",INDEX('Final Calculation Sheet'!$Q$4:$Q$40,$BJ52-3)),IF(OR($BI52=1,$BL52=1,$BH52&gt;0),"–",""))</f>
        <v/>
      </c>
      <c r="S53" s="70" t="str">
        <f>IF($BJ52&gt;0,IF(INDEX('Final Calculation Sheet'!$R$4:$R$40,$BJ52-3)="","",INDEX('Final Calculation Sheet'!$R$4:$R$40,$BJ52-3)),IF(OR($BI52=1,$BL52=1,$BH52&gt;0),IF($BI52=1,SUM('Final Calculation Sheet'!$R$4:$R$40),IF($BL52=1,SUM('Final Calculation Sheet'!$R$4:$R$40)-SUMIFS('Final Calculation Sheet'!$R$4:$R$40,$AZ$5:$AZ$41,10),SUMIFS('Final Calculation Sheet'!$R$4:$R$40,$AZ$5:$AZ$41,$BH52))),""))</f>
        <v/>
      </c>
      <c r="T53" s="70" t="str">
        <f>IF($BJ52&gt;0,IF(INDEX('Final Calculation Sheet'!$S$4:$S$40,$BJ52-3)="","",INDEX('Final Calculation Sheet'!$S$4:$S$40,$BJ52-3)),IF(OR($BI52=1,$BL52=1,$BH52&gt;0),IF($BI52=1,SUM('Final Calculation Sheet'!$S$4:$S$40),IF($BL52=1,SUM('Final Calculation Sheet'!$S$4:$S$40)-SUMIFS('Final Calculation Sheet'!$S$4:$S$40,$AZ$5:$AZ$41,10),SUMIFS('Final Calculation Sheet'!$S$4:$S$40,$AZ$5:$AZ$41,$BH52))),""))</f>
        <v/>
      </c>
      <c r="U53" s="70" t="str">
        <f>IF($BJ52&gt;0,IF(INDEX('Final Calculation Sheet'!$T$4:$T$40,$BJ52-3)="","",INDEX('Final Calculation Sheet'!$T$4:$T$40,$BJ52-3)),IF(OR($BI52=1,$BL52=1,$BH52&gt;0),IF($BI52=1,SUM('Final Calculation Sheet'!$T$4:$T$40),IF($BL52=1,SUM('Final Calculation Sheet'!$T$4:$T$40)-SUMIFS('Final Calculation Sheet'!$T$4:$T$40,$AZ$5:$AZ$41,10),SUMIFS('Final Calculation Sheet'!$T$4:$T$40,$AZ$5:$AZ$41,$BH52))),""))</f>
        <v/>
      </c>
      <c r="V53" s="73" t="str">
        <f>IF($BJ52&gt;0,IF(INDEX('Final Calculation Sheet'!$U$4:$U$40,$BJ52-3)="","",INDEX('Final Calculation Sheet'!$U$4:$U$40,$BJ52-3)),IF(OR($BI52=1,$BL52=1,$BH52&gt;0),IF($BI52=1,SUM('Final Calculation Sheet'!$U$4:$U$40),IF($BL52=1,SUM('Final Calculation Sheet'!$U$4:$U$40)-SUMIFS('Final Calculation Sheet'!$U$4:$U$40,$AZ$5:$AZ$41,10),SUMIFS('Final Calculation Sheet'!$U$4:$U$40,$AZ$5:$AZ$41,$BH52))),""))</f>
        <v/>
      </c>
      <c r="W53" s="70" t="str">
        <f>IF($BJ52&gt;0,IF(INDEX('Final Calculation Sheet'!$V$4:$V$40,$BJ52-3)="","",INDEX('Final Calculation Sheet'!$V$4:$V$40,$BJ52-3)),IF(OR($BI52=1,$BL52=1,$BH52&gt;0),"–",""))</f>
        <v/>
      </c>
      <c r="X53" s="70" t="str">
        <f>IF($BJ52&gt;0,IF(INDEX('Final Calculation Sheet'!$W$4:$W$40,$BJ52-3)="","",INDEX('Final Calculation Sheet'!$W$4:$W$40,$BJ52-3)),IF(OR($BI52=1,$BL52=1,$BH52&gt;0),IF($BI52=1,SUM('Final Calculation Sheet'!$W$4:$W$40),IF($BL52=1,SUM('Final Calculation Sheet'!$W$4:$W$40)-SUMIFS('Final Calculation Sheet'!$W$4:$W$40,$AZ$5:$AZ$41,10),SUMIFS('Final Calculation Sheet'!$W$4:$W$40,$AZ$5:$AZ$41,$BH52))),""))</f>
        <v/>
      </c>
      <c r="Y53" s="70" t="str">
        <f>IF($BJ52&gt;0,IF(INDEX('Final Calculation Sheet'!$X$4:$X$40,$BJ52-3)="","",INDEX('Final Calculation Sheet'!$X$4:$X$40,$BJ52-3)),IF(OR($BI52=1,$BL52=1,$BH52&gt;0),IF($BI52=1,SUM('Final Calculation Sheet'!$X$4:$X$40),IF($BL52=1,SUM('Final Calculation Sheet'!$X$4:$X$40)-SUMIFS('Final Calculation Sheet'!$X$4:$X$40,$AZ$5:$AZ$41,10),SUMIFS('Final Calculation Sheet'!$X$4:$X$40,$AZ$5:$AZ$41,$BH52))),""))</f>
        <v/>
      </c>
      <c r="Z53" s="70" t="str">
        <f>IF($BJ52&gt;0,IF(INDEX('Final Calculation Sheet'!$Y$4:$Y$40,$BJ52-3)="","",INDEX('Final Calculation Sheet'!$Y$4:$Y$40,$BJ52-3)),IF(OR($BI52=1,$BL52=1,$BH52&gt;0),"–",""))</f>
        <v/>
      </c>
      <c r="AA53" s="70" t="str">
        <f>IF($BJ52&gt;0,IF(INDEX('Final Calculation Sheet'!$Z$4:$Z$40,$BJ52-3)="","",INDEX('Final Calculation Sheet'!$Z$4:$Z$40,$BJ52-3)),IF(OR($BI52=1,$BL52=1,$BH52&gt;0),IF($BI52=1,SUM('Final Calculation Sheet'!$Z$4:$Z$40),IF($BL52=1,SUM('Final Calculation Sheet'!$Z$4:$Z$40)-SUMIFS('Final Calculation Sheet'!$Z$4:$Z$40,$AZ$5:$AZ$41,10),SUMIFS('Final Calculation Sheet'!$Z$4:$Z$40,$AZ$5:$AZ$41,$BH52))),""))</f>
        <v/>
      </c>
      <c r="AB53" s="70" t="str">
        <f>IF($BJ52&gt;0,IF(INDEX('Final Calculation Sheet'!$AA$4:$AA$40,$BJ52-3)="","",INDEX('Final Calculation Sheet'!$AA$4:$AA$40,$BJ52-3)),IF(OR($BI52=1,$BL52=1,$BH52&gt;0),IF($BI52=1,SUM('Final Calculation Sheet'!$AA$4:$AA$40),IF($BL52=1,SUM('Final Calculation Sheet'!$AA$4:$AA$40)-SUMIFS('Final Calculation Sheet'!$AA$4:$AA$40,$AZ$5:$AZ$41,10),SUMIFS('Final Calculation Sheet'!$AA$4:$AA$40,$AZ$5:$AZ$41,$BH52))),""))</f>
        <v/>
      </c>
      <c r="AC53" s="70" t="str">
        <f>IF($BJ52&gt;0,IF(INDEX('Final Calculation Sheet'!$AB$4:$AB$40,$BJ52-3)="","",INDEX('Final Calculation Sheet'!$AB$4:$AB$40,$BJ52-3)),IF(OR($BI52=1,$BL52=1,$BH52&gt;0),"–",""))</f>
        <v/>
      </c>
      <c r="AD53" s="70" t="str">
        <f>IF($BJ52&gt;0,IF(INDEX('Final Calculation Sheet'!$AC$4:$AC$40,$BJ52-3)="","",INDEX('Final Calculation Sheet'!$AC$4:$AC$40,$BJ52-3)),IF(OR($BI52=1,$BL52=1,$BH52&gt;0),IF($BI52=1,SUM('Final Calculation Sheet'!$AC$4:$AC$40),IF($BL52=1,SUM('Final Calculation Sheet'!$AC$4:$AC$40)-SUMIFS('Final Calculation Sheet'!$AC$4:$AC$40,$AZ$5:$AZ$41,10),SUMIFS('Final Calculation Sheet'!$AC$4:$AC$40,$AZ$5:$AZ$41,$BH52))),""))</f>
        <v/>
      </c>
      <c r="AE53" s="70" t="str">
        <f>IF($BJ52&gt;0,IF(INDEX('Final Calculation Sheet'!$AD$4:$AD$40,$BJ52-3)="","",INDEX('Final Calculation Sheet'!$AD$4:$AD$40,$BJ52-3)),IF(OR($BI52=1,$BL52=1,$BH52&gt;0),IF($BI52=1,SUM('Final Calculation Sheet'!$AD$4:$AD$40),IF($BL52=1,SUM('Final Calculation Sheet'!$AD$4:$AD$40)-SUMIFS('Final Calculation Sheet'!$AD$4:$AD$40,$AZ$5:$AZ$41,10),SUMIFS('Final Calculation Sheet'!$AD$4:$AD$40,$AZ$5:$AZ$41,$BH52))),""))</f>
        <v/>
      </c>
      <c r="AF53" s="70" t="str">
        <f>IF($BJ52&gt;0,IF(INDEX('Final Calculation Sheet'!$AE$4:$AE$40,$BJ52-3)="","",INDEX('Final Calculation Sheet'!$AE$4:$AE$40,$BJ52-3)),IF(OR($BI52=1,$BL52=1,$BH52&gt;0),"–",""))</f>
        <v/>
      </c>
      <c r="AG53" s="74" t="str">
        <f>IF($BJ52&gt;0,IF(INDEX('Final Calculation Sheet'!$AF$4:$AF$40,$BJ52-3)="","",INDEX('Final Calculation Sheet'!$AF$4:$AF$40,$BJ52-3)),IF(OR($BI52=1,$BL52=1,$BH52&gt;0),"–",""))</f>
        <v/>
      </c>
      <c r="AH53" s="70" t="str">
        <f>IF($BJ52&gt;0,IF(INDEX('Final Calculation Sheet'!$AG$4:$AG$40,$BJ52-3)="","",INDEX('Final Calculation Sheet'!$AG$4:$AG$40,$BJ52-3)),IF(OR($BI52=1,$BL52=1,$BH52&gt;0),"–",""))</f>
        <v/>
      </c>
      <c r="AI53" s="75" t="str">
        <f>IF($BJ52&gt;0,IF(INDEX('Final Calculation Sheet'!$AD$4:$AD$40,$BJ52-3)="","",IF(INDEX('Final Calculation Sheet'!$AD$4:$AD$40,$BJ52-3)&lt;=0,"SETTLED","OUTSTANDING")),IF(OR($BI52=1,$BL52=1,$BH52&gt;0),IF(IF($BI52=1,SUM('Final Calculation Sheet'!$AD$4:$AD$40),IF($BL52=1,SUM('Final Calculation Sheet'!$AD$4:$AD$40)-SUMIFS('Final Calculation Sheet'!$AD$4:$AD$40,$AZ$5:$AZ$41,10),SUMIFS('Final Calculation Sheet'!$AD$4:$AD$40,$AZ$5:$AZ$41,$BH52)))&lt;=0,"ALL SETTLED","OUTSTANDING"),""))</f>
        <v/>
      </c>
      <c r="BH53">
        <f>IFERROR(MATCH(53,$BF$4:$BF$13,0),0)</f>
        <v>0</v>
      </c>
      <c r="BI53">
        <f>IF(53=$BG$5,1,0)</f>
        <v>0</v>
      </c>
      <c r="BJ53">
        <f>IF(OR($BH53&gt;0,$BI53=1,$BL53=1),0,IFERROR(INDEX($BC$5:$BC$41,MATCH(53,$BB$5:$BB$41,0)),0))</f>
        <v>0</v>
      </c>
      <c r="BK53">
        <f>IF($BJ53&gt;0,IF(INDEX($AZ$5:$AZ$41,MATCH(53,$BB$5:$BB$41,0))=10,1,0),IF($BH53=10,1,0))</f>
        <v>0</v>
      </c>
      <c r="BL53">
        <f>IF(53=$BG$4,1,0)</f>
        <v>0</v>
      </c>
    </row>
    <row r="54" spans="1:99" ht="15" customHeight="1" x14ac:dyDescent="0.25">
      <c r="A54" s="67" t="str">
        <f>IF($BJ53&gt;0,INDEX($BA$5:$BA$41,MATCH(53,$BB$5:$BB$41,0)),IF(OR($BI53=1,$BL53=1,$BH53&gt;0),"∑",""))</f>
        <v/>
      </c>
      <c r="B54" s="68" t="str">
        <f>IF($BJ53&gt;0,IF(INDEX('Final Calculation Sheet'!$F$4:$F$40,$BJ53-3)="","",INDEX('Final Calculation Sheet'!$F$4:$F$40,$BJ53-3)),"")</f>
        <v/>
      </c>
      <c r="C54" s="68" t="str">
        <f>IF($BJ53&gt;0,IF(INDEX('Final Calculation Sheet'!$G$4:$G$40,$BJ53-3)="","",INDEX('Final Calculation Sheet'!$G$4:$G$40,$BJ53-3)),IF(OR($BI53=1,$BL53=1,$BH53&gt;0),IF($BI53=1,37,IF($BL53=1,37-INDEX($BD$4:$BD$13,10),INDEX($BD$4:$BD$13,$BH53)))&amp;" lot(s)",""))</f>
        <v/>
      </c>
      <c r="D54" s="69" t="str">
        <f>IF($BJ53&gt;0,IF(INDEX('Final Calculation Sheet'!$B$4:$B$40,$BJ53-3)="","",INDEX('Final Calculation Sheet'!$B$4:$B$40,$BJ53-3)),IF(OR($BI53=1,$BL53=1,$BH53&gt;0),IF($BI53=1,"GRAND TOTAL  —  matching + remaining",IF($BL53=1,"TOTAL MATCHED  —  every group together",IF($BH53=10,"REMAINING  —  did not match the search",IF($BH53=9,IF(COUNTIF($A$4:$AI$4,"&lt;&gt;")&gt;0,"FILTERED LOTS  —  column fields","ALL LOTS  —  nothing typed in the box"),"GROUP "&amp;$BH53&amp;" TOTAL  —  lots matching  "&amp;INDEX($AR$6:$AY$6,$BH53))))),""))</f>
        <v/>
      </c>
      <c r="E54" s="69" t="str">
        <f>IF($BJ53&gt;0,IF(INDEX('Final Calculation Sheet'!$D$4:$D$40,$BJ53-3)="","",INDEX('Final Calculation Sheet'!$D$4:$D$40,$BJ53-3)),IF(OR($BI53=1,$BL53=1,$BH53&gt;0),"–",""))</f>
        <v/>
      </c>
      <c r="F54" s="69" t="str">
        <f>IF($BJ53&gt;0,IF(INDEX('Final Calculation Sheet'!$A$4:$A$40,$BJ53-3)="","",INDEX('Final Calculation Sheet'!$A$4:$A$40,$BJ53-3)),IF(OR($BI53=1,$BL53=1,$BH53&gt;0),IF($BI53=1,SUM('Final Calculation Sheet'!$A$4:$A$40),IF($BL53=1,SUM('Final Calculation Sheet'!$A$4:$A$40)-SUMIFS('Final Calculation Sheet'!$A$4:$A$40,$AZ$5:$AZ$41,10),SUMIFS('Final Calculation Sheet'!$A$4:$A$40,$AZ$5:$AZ$41,$BH53))),""))</f>
        <v/>
      </c>
      <c r="G54" s="69" t="str">
        <f>IF($BJ53&gt;0,IF(INDEX('Final Calculation Sheet'!$E$4:$E$40,$BJ53-3)="","",INDEX('Final Calculation Sheet'!$E$4:$E$40,$BJ53-3)),IF(OR($BI53=1,$BL53=1,$BH53&gt;0),"–",""))</f>
        <v/>
      </c>
      <c r="H54" s="70" t="str">
        <f>IF($BJ53&gt;0,IF(INDEX('Final Calculation Sheet'!$C$4:$C$40,$BJ53-3)="","",INDEX('Final Calculation Sheet'!$C$4:$C$40,$BJ53-3)),IF(OR($BI53=1,$BL53=1,$BH53&gt;0),"–",""))</f>
        <v/>
      </c>
      <c r="I54" s="70" t="str">
        <f>IF($BJ53&gt;0,IF(INDEX('Final Calculation Sheet'!$H$4:$H$40,$BJ53-3)="","",INDEX('Final Calculation Sheet'!$H$4:$H$40,$BJ53-3)),IF(OR($BI53=1,$BL53=1,$BH53&gt;0),IF($BI53=1,SUM('Final Calculation Sheet'!$H$4:$H$40),IF($BL53=1,SUM('Final Calculation Sheet'!$H$4:$H$40)-SUMIFS('Final Calculation Sheet'!$H$4:$H$40,$AZ$5:$AZ$41,10),SUMIFS('Final Calculation Sheet'!$H$4:$H$40,$AZ$5:$AZ$41,$BH53))),""))</f>
        <v/>
      </c>
      <c r="J54" s="70" t="str">
        <f>IF($BJ53&gt;0,IF(INDEX('Final Calculation Sheet'!$I$4:$I$40,$BJ53-3)="","",INDEX('Final Calculation Sheet'!$I$4:$I$40,$BJ53-3)),IF(OR($BI53=1,$BL53=1,$BH53&gt;0),IF($BI53=1,SUM('Final Calculation Sheet'!$I$4:$I$40),IF($BL53=1,SUM('Final Calculation Sheet'!$I$4:$I$40)-SUMIFS('Final Calculation Sheet'!$I$4:$I$40,$AZ$5:$AZ$41,10),SUMIFS('Final Calculation Sheet'!$I$4:$I$40,$AZ$5:$AZ$41,$BH53))),""))</f>
        <v/>
      </c>
      <c r="K54" s="70" t="str">
        <f>IF($BJ53&gt;0,IF(INDEX('Final Calculation Sheet'!$J$4:$J$40,$BJ53-3)="","",INDEX('Final Calculation Sheet'!$J$4:$J$40,$BJ53-3)),IF(OR($BI53=1,$BL53=1,$BH53&gt;0),IF($BI53=1,SUM('Final Calculation Sheet'!$J$4:$J$40),IF($BL53=1,SUM('Final Calculation Sheet'!$J$4:$J$40)-SUMIFS('Final Calculation Sheet'!$J$4:$J$40,$AZ$5:$AZ$41,10),SUMIFS('Final Calculation Sheet'!$J$4:$J$40,$AZ$5:$AZ$41,$BH53))),""))</f>
        <v/>
      </c>
      <c r="L54" s="70" t="str">
        <f>IF($BJ53&gt;0,IF(INDEX('Final Calculation Sheet'!$K$4:$K$40,$BJ53-3)="","",INDEX('Final Calculation Sheet'!$K$4:$K$40,$BJ53-3)),IF(OR($BI53=1,$BL53=1,$BH53&gt;0),IF($BI53=1,SUM('Final Calculation Sheet'!$K$4:$K$40),IF($BL53=1,SUM('Final Calculation Sheet'!$K$4:$K$40)-SUMIFS('Final Calculation Sheet'!$K$4:$K$40,$AZ$5:$AZ$41,10),SUMIFS('Final Calculation Sheet'!$K$4:$K$40,$AZ$5:$AZ$41,$BH53))),""))</f>
        <v/>
      </c>
      <c r="M54" s="70" t="str">
        <f>IF($BJ53&gt;0,IF(INDEX('Final Calculation Sheet'!$L$4:$L$40,$BJ53-3)="","",INDEX('Final Calculation Sheet'!$L$4:$L$40,$BJ53-3)),IF(OR($BI53=1,$BL53=1,$BH53&gt;0),IF($BI53=1,SUM('Final Calculation Sheet'!$L$4:$L$40),IF($BL53=1,SUM('Final Calculation Sheet'!$L$4:$L$40)-SUMIFS('Final Calculation Sheet'!$L$4:$L$40,$AZ$5:$AZ$41,10),SUMIFS('Final Calculation Sheet'!$L$4:$L$40,$AZ$5:$AZ$41,$BH53))),""))</f>
        <v/>
      </c>
      <c r="N54" s="70" t="str">
        <f>IF($BJ53&gt;0,IF(INDEX('Final Calculation Sheet'!$M$4:$M$40,$BJ53-3)="","",INDEX('Final Calculation Sheet'!$M$4:$M$40,$BJ53-3)),IF(OR($BI53=1,$BL53=1,$BH53&gt;0),IF($BI53=1,SUM('Final Calculation Sheet'!$M$4:$M$40),IF($BL53=1,SUM('Final Calculation Sheet'!$M$4:$M$40)-SUMIFS('Final Calculation Sheet'!$M$4:$M$40,$AZ$5:$AZ$41,10),SUMIFS('Final Calculation Sheet'!$M$4:$M$40,$AZ$5:$AZ$41,$BH53))),""))</f>
        <v/>
      </c>
      <c r="O54" s="71" t="str">
        <f>IF($BJ53&gt;0,IF(INDEX('Final Calculation Sheet'!$N$4:$N$40,$BJ53-3)="","",INDEX('Final Calculation Sheet'!$N$4:$N$40,$BJ53-3)),IF(OR($BI53=1,$BL53=1,$BH53&gt;0),IF($BI53=1,SUM('Final Calculation Sheet'!$N$4:$N$40),IF($BL53=1,SUM('Final Calculation Sheet'!$N$4:$N$40)-SUMIFS('Final Calculation Sheet'!$N$4:$N$40,$AZ$5:$AZ$41,10),SUMIFS('Final Calculation Sheet'!$N$4:$N$40,$AZ$5:$AZ$41,$BH53))),""))</f>
        <v/>
      </c>
      <c r="P54" s="70" t="str">
        <f>IF($BJ53&gt;0,IF(INDEX('Final Calculation Sheet'!$O$4:$O$40,$BJ53-3)="","",INDEX('Final Calculation Sheet'!$O$4:$O$40,$BJ53-3)),IF(OR($BI53=1,$BL53=1,$BH53&gt;0),IF($BI53=1,SUM('Final Calculation Sheet'!$O$4:$O$40),IF($BL53=1,SUM('Final Calculation Sheet'!$O$4:$O$40)-SUMIFS('Final Calculation Sheet'!$O$4:$O$40,$AZ$5:$AZ$41,10),SUMIFS('Final Calculation Sheet'!$O$4:$O$40,$AZ$5:$AZ$41,$BH53))),""))</f>
        <v/>
      </c>
      <c r="Q54" s="70" t="str">
        <f>IF($BJ53&gt;0,IF(INDEX('Final Calculation Sheet'!$P$4:$P$40,$BJ53-3)="","",INDEX('Final Calculation Sheet'!$P$4:$P$40,$BJ53-3)),IF(OR($BI53=1,$BL53=1,$BH53&gt;0),IF($BI53=1,SUM('Final Calculation Sheet'!$P$4:$P$40),IF($BL53=1,SUM('Final Calculation Sheet'!$P$4:$P$40)-SUMIFS('Final Calculation Sheet'!$P$4:$P$40,$AZ$5:$AZ$41,10),SUMIFS('Final Calculation Sheet'!$P$4:$P$40,$AZ$5:$AZ$41,$BH53))),""))</f>
        <v/>
      </c>
      <c r="R54" s="72" t="str">
        <f>IF($BJ53&gt;0,IF(INDEX('Final Calculation Sheet'!$Q$4:$Q$40,$BJ53-3)="","",INDEX('Final Calculation Sheet'!$Q$4:$Q$40,$BJ53-3)),IF(OR($BI53=1,$BL53=1,$BH53&gt;0),"–",""))</f>
        <v/>
      </c>
      <c r="S54" s="70" t="str">
        <f>IF($BJ53&gt;0,IF(INDEX('Final Calculation Sheet'!$R$4:$R$40,$BJ53-3)="","",INDEX('Final Calculation Sheet'!$R$4:$R$40,$BJ53-3)),IF(OR($BI53=1,$BL53=1,$BH53&gt;0),IF($BI53=1,SUM('Final Calculation Sheet'!$R$4:$R$40),IF($BL53=1,SUM('Final Calculation Sheet'!$R$4:$R$40)-SUMIFS('Final Calculation Sheet'!$R$4:$R$40,$AZ$5:$AZ$41,10),SUMIFS('Final Calculation Sheet'!$R$4:$R$40,$AZ$5:$AZ$41,$BH53))),""))</f>
        <v/>
      </c>
      <c r="T54" s="70" t="str">
        <f>IF($BJ53&gt;0,IF(INDEX('Final Calculation Sheet'!$S$4:$S$40,$BJ53-3)="","",INDEX('Final Calculation Sheet'!$S$4:$S$40,$BJ53-3)),IF(OR($BI53=1,$BL53=1,$BH53&gt;0),IF($BI53=1,SUM('Final Calculation Sheet'!$S$4:$S$40),IF($BL53=1,SUM('Final Calculation Sheet'!$S$4:$S$40)-SUMIFS('Final Calculation Sheet'!$S$4:$S$40,$AZ$5:$AZ$41,10),SUMIFS('Final Calculation Sheet'!$S$4:$S$40,$AZ$5:$AZ$41,$BH53))),""))</f>
        <v/>
      </c>
      <c r="U54" s="70" t="str">
        <f>IF($BJ53&gt;0,IF(INDEX('Final Calculation Sheet'!$T$4:$T$40,$BJ53-3)="","",INDEX('Final Calculation Sheet'!$T$4:$T$40,$BJ53-3)),IF(OR($BI53=1,$BL53=1,$BH53&gt;0),IF($BI53=1,SUM('Final Calculation Sheet'!$T$4:$T$40),IF($BL53=1,SUM('Final Calculation Sheet'!$T$4:$T$40)-SUMIFS('Final Calculation Sheet'!$T$4:$T$40,$AZ$5:$AZ$41,10),SUMIFS('Final Calculation Sheet'!$T$4:$T$40,$AZ$5:$AZ$41,$BH53))),""))</f>
        <v/>
      </c>
      <c r="V54" s="73" t="str">
        <f>IF($BJ53&gt;0,IF(INDEX('Final Calculation Sheet'!$U$4:$U$40,$BJ53-3)="","",INDEX('Final Calculation Sheet'!$U$4:$U$40,$BJ53-3)),IF(OR($BI53=1,$BL53=1,$BH53&gt;0),IF($BI53=1,SUM('Final Calculation Sheet'!$U$4:$U$40),IF($BL53=1,SUM('Final Calculation Sheet'!$U$4:$U$40)-SUMIFS('Final Calculation Sheet'!$U$4:$U$40,$AZ$5:$AZ$41,10),SUMIFS('Final Calculation Sheet'!$U$4:$U$40,$AZ$5:$AZ$41,$BH53))),""))</f>
        <v/>
      </c>
      <c r="W54" s="70" t="str">
        <f>IF($BJ53&gt;0,IF(INDEX('Final Calculation Sheet'!$V$4:$V$40,$BJ53-3)="","",INDEX('Final Calculation Sheet'!$V$4:$V$40,$BJ53-3)),IF(OR($BI53=1,$BL53=1,$BH53&gt;0),"–",""))</f>
        <v/>
      </c>
      <c r="X54" s="70" t="str">
        <f>IF($BJ53&gt;0,IF(INDEX('Final Calculation Sheet'!$W$4:$W$40,$BJ53-3)="","",INDEX('Final Calculation Sheet'!$W$4:$W$40,$BJ53-3)),IF(OR($BI53=1,$BL53=1,$BH53&gt;0),IF($BI53=1,SUM('Final Calculation Sheet'!$W$4:$W$40),IF($BL53=1,SUM('Final Calculation Sheet'!$W$4:$W$40)-SUMIFS('Final Calculation Sheet'!$W$4:$W$40,$AZ$5:$AZ$41,10),SUMIFS('Final Calculation Sheet'!$W$4:$W$40,$AZ$5:$AZ$41,$BH53))),""))</f>
        <v/>
      </c>
      <c r="Y54" s="70" t="str">
        <f>IF($BJ53&gt;0,IF(INDEX('Final Calculation Sheet'!$X$4:$X$40,$BJ53-3)="","",INDEX('Final Calculation Sheet'!$X$4:$X$40,$BJ53-3)),IF(OR($BI53=1,$BL53=1,$BH53&gt;0),IF($BI53=1,SUM('Final Calculation Sheet'!$X$4:$X$40),IF($BL53=1,SUM('Final Calculation Sheet'!$X$4:$X$40)-SUMIFS('Final Calculation Sheet'!$X$4:$X$40,$AZ$5:$AZ$41,10),SUMIFS('Final Calculation Sheet'!$X$4:$X$40,$AZ$5:$AZ$41,$BH53))),""))</f>
        <v/>
      </c>
      <c r="Z54" s="70" t="str">
        <f>IF($BJ53&gt;0,IF(INDEX('Final Calculation Sheet'!$Y$4:$Y$40,$BJ53-3)="","",INDEX('Final Calculation Sheet'!$Y$4:$Y$40,$BJ53-3)),IF(OR($BI53=1,$BL53=1,$BH53&gt;0),"–",""))</f>
        <v/>
      </c>
      <c r="AA54" s="70" t="str">
        <f>IF($BJ53&gt;0,IF(INDEX('Final Calculation Sheet'!$Z$4:$Z$40,$BJ53-3)="","",INDEX('Final Calculation Sheet'!$Z$4:$Z$40,$BJ53-3)),IF(OR($BI53=1,$BL53=1,$BH53&gt;0),IF($BI53=1,SUM('Final Calculation Sheet'!$Z$4:$Z$40),IF($BL53=1,SUM('Final Calculation Sheet'!$Z$4:$Z$40)-SUMIFS('Final Calculation Sheet'!$Z$4:$Z$40,$AZ$5:$AZ$41,10),SUMIFS('Final Calculation Sheet'!$Z$4:$Z$40,$AZ$5:$AZ$41,$BH53))),""))</f>
        <v/>
      </c>
      <c r="AB54" s="70" t="str">
        <f>IF($BJ53&gt;0,IF(INDEX('Final Calculation Sheet'!$AA$4:$AA$40,$BJ53-3)="","",INDEX('Final Calculation Sheet'!$AA$4:$AA$40,$BJ53-3)),IF(OR($BI53=1,$BL53=1,$BH53&gt;0),IF($BI53=1,SUM('Final Calculation Sheet'!$AA$4:$AA$40),IF($BL53=1,SUM('Final Calculation Sheet'!$AA$4:$AA$40)-SUMIFS('Final Calculation Sheet'!$AA$4:$AA$40,$AZ$5:$AZ$41,10),SUMIFS('Final Calculation Sheet'!$AA$4:$AA$40,$AZ$5:$AZ$41,$BH53))),""))</f>
        <v/>
      </c>
      <c r="AC54" s="70" t="str">
        <f>IF($BJ53&gt;0,IF(INDEX('Final Calculation Sheet'!$AB$4:$AB$40,$BJ53-3)="","",INDEX('Final Calculation Sheet'!$AB$4:$AB$40,$BJ53-3)),IF(OR($BI53=1,$BL53=1,$BH53&gt;0),"–",""))</f>
        <v/>
      </c>
      <c r="AD54" s="70" t="str">
        <f>IF($BJ53&gt;0,IF(INDEX('Final Calculation Sheet'!$AC$4:$AC$40,$BJ53-3)="","",INDEX('Final Calculation Sheet'!$AC$4:$AC$40,$BJ53-3)),IF(OR($BI53=1,$BL53=1,$BH53&gt;0),IF($BI53=1,SUM('Final Calculation Sheet'!$AC$4:$AC$40),IF($BL53=1,SUM('Final Calculation Sheet'!$AC$4:$AC$40)-SUMIFS('Final Calculation Sheet'!$AC$4:$AC$40,$AZ$5:$AZ$41,10),SUMIFS('Final Calculation Sheet'!$AC$4:$AC$40,$AZ$5:$AZ$41,$BH53))),""))</f>
        <v/>
      </c>
      <c r="AE54" s="70" t="str">
        <f>IF($BJ53&gt;0,IF(INDEX('Final Calculation Sheet'!$AD$4:$AD$40,$BJ53-3)="","",INDEX('Final Calculation Sheet'!$AD$4:$AD$40,$BJ53-3)),IF(OR($BI53=1,$BL53=1,$BH53&gt;0),IF($BI53=1,SUM('Final Calculation Sheet'!$AD$4:$AD$40),IF($BL53=1,SUM('Final Calculation Sheet'!$AD$4:$AD$40)-SUMIFS('Final Calculation Sheet'!$AD$4:$AD$40,$AZ$5:$AZ$41,10),SUMIFS('Final Calculation Sheet'!$AD$4:$AD$40,$AZ$5:$AZ$41,$BH53))),""))</f>
        <v/>
      </c>
      <c r="AF54" s="70" t="str">
        <f>IF($BJ53&gt;0,IF(INDEX('Final Calculation Sheet'!$AE$4:$AE$40,$BJ53-3)="","",INDEX('Final Calculation Sheet'!$AE$4:$AE$40,$BJ53-3)),IF(OR($BI53=1,$BL53=1,$BH53&gt;0),"–",""))</f>
        <v/>
      </c>
      <c r="AG54" s="74" t="str">
        <f>IF($BJ53&gt;0,IF(INDEX('Final Calculation Sheet'!$AF$4:$AF$40,$BJ53-3)="","",INDEX('Final Calculation Sheet'!$AF$4:$AF$40,$BJ53-3)),IF(OR($BI53=1,$BL53=1,$BH53&gt;0),"–",""))</f>
        <v/>
      </c>
      <c r="AH54" s="70" t="str">
        <f>IF($BJ53&gt;0,IF(INDEX('Final Calculation Sheet'!$AG$4:$AG$40,$BJ53-3)="","",INDEX('Final Calculation Sheet'!$AG$4:$AG$40,$BJ53-3)),IF(OR($BI53=1,$BL53=1,$BH53&gt;0),"–",""))</f>
        <v/>
      </c>
      <c r="AI54" s="75" t="str">
        <f>IF($BJ53&gt;0,IF(INDEX('Final Calculation Sheet'!$AD$4:$AD$40,$BJ53-3)="","",IF(INDEX('Final Calculation Sheet'!$AD$4:$AD$40,$BJ53-3)&lt;=0,"SETTLED","OUTSTANDING")),IF(OR($BI53=1,$BL53=1,$BH53&gt;0),IF(IF($BI53=1,SUM('Final Calculation Sheet'!$AD$4:$AD$40),IF($BL53=1,SUM('Final Calculation Sheet'!$AD$4:$AD$40)-SUMIFS('Final Calculation Sheet'!$AD$4:$AD$40,$AZ$5:$AZ$41,10),SUMIFS('Final Calculation Sheet'!$AD$4:$AD$40,$AZ$5:$AZ$41,$BH53)))&lt;=0,"ALL SETTLED","OUTSTANDING"),""))</f>
        <v/>
      </c>
    </row>
    <row r="60" spans="1:99" ht="15" customHeight="1" hidden="1">
      <c r="AK60">
        <f>SUBSTITUTE(SUBSTITUTE($A$4,"&amp;","+"),"/",",")</f>
      </c>
      <c r="AL60">
        <f>IF(OR($AK$60="",MIN(IFERROR(FIND(",",$AK$60),99999),IFERROR(FIND("+",$AK$60),99999))=99999),"",MID($AK$60,MIN(IFERROR(FIND(",",$AK$60),99999),IFERROR(FIND("+",$AK$60),99999))+1,99999))</f>
      </c>
      <c r="AM60">
        <f>IF(OR($AL$60="",MIN(IFERROR(FIND(",",$AL$60),99999),IFERROR(FIND("+",$AL$60),99999))=99999),"",MID($AL$60,MIN(IFERROR(FIND(",",$AL$60),99999),IFERROR(FIND("+",$AL$60),99999))+1,99999))</f>
      </c>
      <c r="AN60">
        <f>IF(OR($AM$60="",MIN(IFERROR(FIND(",",$AM$60),99999),IFERROR(FIND("+",$AM$60),99999))=99999),"",MID($AM$60,MIN(IFERROR(FIND(",",$AM$60),99999),IFERROR(FIND("+",$AM$60),99999))+1,99999))</f>
      </c>
      <c r="AO60">
        <f>IF(OR($AN$60="",MIN(IFERROR(FIND(",",$AN$60),99999),IFERROR(FIND("+",$AN$60),99999))=99999),"",MID($AN$60,MIN(IFERROR(FIND(",",$AN$60),99999),IFERROR(FIND("+",$AN$60),99999))+1,99999))</f>
      </c>
      <c r="AP60">
        <f>IF(OR($AO$60="",MIN(IFERROR(FIND(",",$AO$60),99999),IFERROR(FIND("+",$AO$60),99999))=99999),"",MID($AO$60,MIN(IFERROR(FIND(",",$AO$60),99999),IFERROR(FIND("+",$AO$60),99999))+1,99999))</f>
      </c>
      <c r="AQ60">
        <f>IF(OR($AP$60="",MIN(IFERROR(FIND(",",$AP$60),99999),IFERROR(FIND("+",$AP$60),99999))=99999),"",MID($AP$60,MIN(IFERROR(FIND(",",$AP$60),99999),IFERROR(FIND("+",$AP$60),99999))+1,99999))</f>
      </c>
      <c r="AR60">
        <f>IF(OR($AQ$60="",MIN(IFERROR(FIND(",",$AQ$60),99999),IFERROR(FIND("+",$AQ$60),99999))=99999),"",MID($AQ$60,MIN(IFERROR(FIND(",",$AQ$60),99999),IFERROR(FIND("+",$AQ$60),99999))+1,99999))</f>
      </c>
      <c r="AS60">
        <f>IF($AK$60="","",IF(MIN(IFERROR(FIND(",",$AK$60),99999),IFERROR(FIND("+",$AK$60),99999))=99999,TRIM($AK$60),TRIM(LEFT($AK$60,MIN(IFERROR(FIND(",",$AK$60),99999),IFERROR(FIND("+",$AK$60),99999))-1))))</f>
      </c>
      <c r="AT60">
        <f>IF($AL$60="","",IF(MIN(IFERROR(FIND(",",$AL$60),99999),IFERROR(FIND("+",$AL$60),99999))=99999,TRIM($AL$60),TRIM(LEFT($AL$60,MIN(IFERROR(FIND(",",$AL$60),99999),IFERROR(FIND("+",$AL$60),99999))-1))))</f>
      </c>
      <c r="AU60">
        <f>IF($AM$60="","",IF(MIN(IFERROR(FIND(",",$AM$60),99999),IFERROR(FIND("+",$AM$60),99999))=99999,TRIM($AM$60),TRIM(LEFT($AM$60,MIN(IFERROR(FIND(",",$AM$60),99999),IFERROR(FIND("+",$AM$60),99999))-1))))</f>
      </c>
      <c r="AV60">
        <f>IF($AN$60="","",IF(MIN(IFERROR(FIND(",",$AN$60),99999),IFERROR(FIND("+",$AN$60),99999))=99999,TRIM($AN$60),TRIM(LEFT($AN$60,MIN(IFERROR(FIND(",",$AN$60),99999),IFERROR(FIND("+",$AN$60),99999))-1))))</f>
      </c>
      <c r="AW60">
        <f>IF($AO$60="","",IF(MIN(IFERROR(FIND(",",$AO$60),99999),IFERROR(FIND("+",$AO$60),99999))=99999,TRIM($AO$60),TRIM(LEFT($AO$60,MIN(IFERROR(FIND(",",$AO$60),99999),IFERROR(FIND("+",$AO$60),99999))-1))))</f>
      </c>
      <c r="AX60">
        <f>IF($AP$60="","",IF(MIN(IFERROR(FIND(",",$AP$60),99999),IFERROR(FIND("+",$AP$60),99999))=99999,TRIM($AP$60),TRIM(LEFT($AP$60,MIN(IFERROR(FIND(",",$AP$60),99999),IFERROR(FIND("+",$AP$60),99999))-1))))</f>
      </c>
      <c r="AY60">
        <f>IF($AQ$60="","",IF(MIN(IFERROR(FIND(",",$AQ$60),99999),IFERROR(FIND("+",$AQ$60),99999))=99999,TRIM($AQ$60),TRIM(LEFT($AQ$60,MIN(IFERROR(FIND(",",$AQ$60),99999),IFERROR(FIND("+",$AQ$60),99999))-1))))</f>
      </c>
      <c r="AZ60">
        <f>IF($AR$60="","",IF(MIN(IFERROR(FIND(",",$AR$60),99999),IFERROR(FIND("+",$AR$60),99999))=99999,TRIM($AR$60),TRIM(LEFT($AR$60,MIN(IFERROR(FIND(",",$AR$60),99999),IFERROR(FIND("+",$AR$60),99999))-1))))</f>
      </c>
      <c r="BA60">
        <f>IF($AK$60="",0,1)</f>
      </c>
      <c r="BB60">
        <f>IF($AK$60="",$BA$60,$BA$60+IF(MID($AK$60,MIN(IFERROR(FIND(",",$AK$60),99999),IFERROR(FIND("+",$AK$60),99999)),1)="+",1,0))</f>
      </c>
      <c r="BC60">
        <f>IF($AL$60="",$BB$60,$BB$60+IF(MID($AL$60,MIN(IFERROR(FIND(",",$AL$60),99999),IFERROR(FIND("+",$AL$60),99999)),1)="+",1,0))</f>
      </c>
      <c r="BD60">
        <f>IF($AM$60="",$BC$60,$BC$60+IF(MID($AM$60,MIN(IFERROR(FIND(",",$AM$60),99999),IFERROR(FIND("+",$AM$60),99999)),1)="+",1,0))</f>
      </c>
      <c r="BE60">
        <f>IF($AN$60="",$BD$60,$BD$60+IF(MID($AN$60,MIN(IFERROR(FIND(",",$AN$60),99999),IFERROR(FIND("+",$AN$60),99999)),1)="+",1,0))</f>
      </c>
      <c r="BF60">
        <f>IF($AO$60="",$BE$60,$BE$60+IF(MID($AO$60,MIN(IFERROR(FIND(",",$AO$60),99999),IFERROR(FIND("+",$AO$60),99999)),1)="+",1,0))</f>
      </c>
      <c r="BG60">
        <f>IF($AP$60="",$BF$60,$BF$60+IF(MID($AP$60,MIN(IFERROR(FIND(",",$AP$60),99999),IFERROR(FIND("+",$AP$60),99999)),1)="+",1,0))</f>
      </c>
      <c r="BH60">
        <f>IF($AQ$60="",$BG$60,$BG$60+IF(MID($AQ$60,MIN(IFERROR(FIND(",",$AQ$60),99999),IFERROR(FIND("+",$AQ$60),99999)),1)="+",1,0))</f>
      </c>
      <c r="BI60">
        <f>IF($AS$60="",0,$BA$60)</f>
      </c>
      <c r="BJ60">
        <f>IF($AT$60="",0,$BB$60)</f>
      </c>
      <c r="BK60">
        <f>IF($AU$60="",0,$BC$60)</f>
      </c>
      <c r="BL60">
        <f>IF($AV$60="",0,$BD$60)</f>
      </c>
      <c r="BM60">
        <f>IF($AW$60="",0,$BE$60)</f>
      </c>
      <c r="BN60">
        <f>IF($AX$60="",0,$BF$60)</f>
      </c>
      <c r="BO60">
        <f>IF($AY$60="",0,$BG$60)</f>
      </c>
      <c r="BP60">
        <f>IF($AZ$60="",0,$BH$60)</f>
      </c>
    </row>
    <row r="61" spans="1:99" ht="15" customHeight="1" hidden="1">
      <c r="AK61">
        <f>SUBSTITUTE(SUBSTITUTE($B$4,"&amp;","+"),"/",",")</f>
      </c>
      <c r="AL61">
        <f>IF(OR($AK$61="",MIN(IFERROR(FIND(",",$AK$61),99999),IFERROR(FIND("+",$AK$61),99999))=99999),"",MID($AK$61,MIN(IFERROR(FIND(",",$AK$61),99999),IFERROR(FIND("+",$AK$61),99999))+1,99999))</f>
      </c>
      <c r="AM61">
        <f>IF(OR($AL$61="",MIN(IFERROR(FIND(",",$AL$61),99999),IFERROR(FIND("+",$AL$61),99999))=99999),"",MID($AL$61,MIN(IFERROR(FIND(",",$AL$61),99999),IFERROR(FIND("+",$AL$61),99999))+1,99999))</f>
      </c>
      <c r="AN61">
        <f>IF(OR($AM$61="",MIN(IFERROR(FIND(",",$AM$61),99999),IFERROR(FIND("+",$AM$61),99999))=99999),"",MID($AM$61,MIN(IFERROR(FIND(",",$AM$61),99999),IFERROR(FIND("+",$AM$61),99999))+1,99999))</f>
      </c>
      <c r="AO61">
        <f>IF(OR($AN$61="",MIN(IFERROR(FIND(",",$AN$61),99999),IFERROR(FIND("+",$AN$61),99999))=99999),"",MID($AN$61,MIN(IFERROR(FIND(",",$AN$61),99999),IFERROR(FIND("+",$AN$61),99999))+1,99999))</f>
      </c>
      <c r="AP61">
        <f>IF(OR($AO$61="",MIN(IFERROR(FIND(",",$AO$61),99999),IFERROR(FIND("+",$AO$61),99999))=99999),"",MID($AO$61,MIN(IFERROR(FIND(",",$AO$61),99999),IFERROR(FIND("+",$AO$61),99999))+1,99999))</f>
      </c>
      <c r="AQ61">
        <f>IF(OR($AP$61="",MIN(IFERROR(FIND(",",$AP$61),99999),IFERROR(FIND("+",$AP$61),99999))=99999),"",MID($AP$61,MIN(IFERROR(FIND(",",$AP$61),99999),IFERROR(FIND("+",$AP$61),99999))+1,99999))</f>
      </c>
      <c r="AR61">
        <f>IF(OR($AQ$61="",MIN(IFERROR(FIND(",",$AQ$61),99999),IFERROR(FIND("+",$AQ$61),99999))=99999),"",MID($AQ$61,MIN(IFERROR(FIND(",",$AQ$61),99999),IFERROR(FIND("+",$AQ$61),99999))+1,99999))</f>
      </c>
      <c r="AS61">
        <f>IF($AK$61="","",IF(MIN(IFERROR(FIND(",",$AK$61),99999),IFERROR(FIND("+",$AK$61),99999))=99999,TRIM($AK$61),TRIM(LEFT($AK$61,MIN(IFERROR(FIND(",",$AK$61),99999),IFERROR(FIND("+",$AK$61),99999))-1))))</f>
      </c>
      <c r="AT61">
        <f>IF($AL$61="","",IF(MIN(IFERROR(FIND(",",$AL$61),99999),IFERROR(FIND("+",$AL$61),99999))=99999,TRIM($AL$61),TRIM(LEFT($AL$61,MIN(IFERROR(FIND(",",$AL$61),99999),IFERROR(FIND("+",$AL$61),99999))-1))))</f>
      </c>
      <c r="AU61">
        <f>IF($AM$61="","",IF(MIN(IFERROR(FIND(",",$AM$61),99999),IFERROR(FIND("+",$AM$61),99999))=99999,TRIM($AM$61),TRIM(LEFT($AM$61,MIN(IFERROR(FIND(",",$AM$61),99999),IFERROR(FIND("+",$AM$61),99999))-1))))</f>
      </c>
      <c r="AV61">
        <f>IF($AN$61="","",IF(MIN(IFERROR(FIND(",",$AN$61),99999),IFERROR(FIND("+",$AN$61),99999))=99999,TRIM($AN$61),TRIM(LEFT($AN$61,MIN(IFERROR(FIND(",",$AN$61),99999),IFERROR(FIND("+",$AN$61),99999))-1))))</f>
      </c>
      <c r="AW61">
        <f>IF($AO$61="","",IF(MIN(IFERROR(FIND(",",$AO$61),99999),IFERROR(FIND("+",$AO$61),99999))=99999,TRIM($AO$61),TRIM(LEFT($AO$61,MIN(IFERROR(FIND(",",$AO$61),99999),IFERROR(FIND("+",$AO$61),99999))-1))))</f>
      </c>
      <c r="AX61">
        <f>IF($AP$61="","",IF(MIN(IFERROR(FIND(",",$AP$61),99999),IFERROR(FIND("+",$AP$61),99999))=99999,TRIM($AP$61),TRIM(LEFT($AP$61,MIN(IFERROR(FIND(",",$AP$61),99999),IFERROR(FIND("+",$AP$61),99999))-1))))</f>
      </c>
      <c r="AY61">
        <f>IF($AQ$61="","",IF(MIN(IFERROR(FIND(",",$AQ$61),99999),IFERROR(FIND("+",$AQ$61),99999))=99999,TRIM($AQ$61),TRIM(LEFT($AQ$61,MIN(IFERROR(FIND(",",$AQ$61),99999),IFERROR(FIND("+",$AQ$61),99999))-1))))</f>
      </c>
      <c r="AZ61">
        <f>IF($AR$61="","",IF(MIN(IFERROR(FIND(",",$AR$61),99999),IFERROR(FIND("+",$AR$61),99999))=99999,TRIM($AR$61),TRIM(LEFT($AR$61,MIN(IFERROR(FIND(",",$AR$61),99999),IFERROR(FIND("+",$AR$61),99999))-1))))</f>
      </c>
      <c r="BA61">
        <f>IF($AK$61="",0,1)</f>
      </c>
      <c r="BB61">
        <f>IF($AK$61="",$BA$61,$BA$61+IF(MID($AK$61,MIN(IFERROR(FIND(",",$AK$61),99999),IFERROR(FIND("+",$AK$61),99999)),1)="+",1,0))</f>
      </c>
      <c r="BC61">
        <f>IF($AL$61="",$BB$61,$BB$61+IF(MID($AL$61,MIN(IFERROR(FIND(",",$AL$61),99999),IFERROR(FIND("+",$AL$61),99999)),1)="+",1,0))</f>
      </c>
      <c r="BD61">
        <f>IF($AM$61="",$BC$61,$BC$61+IF(MID($AM$61,MIN(IFERROR(FIND(",",$AM$61),99999),IFERROR(FIND("+",$AM$61),99999)),1)="+",1,0))</f>
      </c>
      <c r="BE61">
        <f>IF($AN$61="",$BD$61,$BD$61+IF(MID($AN$61,MIN(IFERROR(FIND(",",$AN$61),99999),IFERROR(FIND("+",$AN$61),99999)),1)="+",1,0))</f>
      </c>
      <c r="BF61">
        <f>IF($AO$61="",$BE$61,$BE$61+IF(MID($AO$61,MIN(IFERROR(FIND(",",$AO$61),99999),IFERROR(FIND("+",$AO$61),99999)),1)="+",1,0))</f>
      </c>
      <c r="BG61">
        <f>IF($AP$61="",$BF$61,$BF$61+IF(MID($AP$61,MIN(IFERROR(FIND(",",$AP$61),99999),IFERROR(FIND("+",$AP$61),99999)),1)="+",1,0))</f>
      </c>
      <c r="BH61">
        <f>IF($AQ$61="",$BG$61,$BG$61+IF(MID($AQ$61,MIN(IFERROR(FIND(",",$AQ$61),99999),IFERROR(FIND("+",$AQ$61),99999)),1)="+",1,0))</f>
      </c>
      <c r="BI61">
        <f>IF($AS$61="",0,$BA$61)</f>
      </c>
      <c r="BJ61">
        <f>IF($AT$61="",0,$BB$61)</f>
      </c>
      <c r="BK61">
        <f>IF($AU$61="",0,$BC$61)</f>
      </c>
      <c r="BL61">
        <f>IF($AV$61="",0,$BD$61)</f>
      </c>
      <c r="BM61">
        <f>IF($AW$61="",0,$BE$61)</f>
      </c>
      <c r="BN61">
        <f>IF($AX$61="",0,$BF$61)</f>
      </c>
      <c r="BO61">
        <f>IF($AY$61="",0,$BG$61)</f>
      </c>
      <c r="BP61">
        <f>IF($AZ$61="",0,$BH$61)</f>
      </c>
    </row>
    <row r="62" spans="1:99" ht="15" customHeight="1" hidden="1">
      <c r="AK62">
        <f>SUBSTITUTE(SUBSTITUTE($C$4,"&amp;","+"),"/",",")</f>
      </c>
      <c r="AL62">
        <f>IF(OR($AK$62="",MIN(IFERROR(FIND(",",$AK$62),99999),IFERROR(FIND("+",$AK$62),99999))=99999),"",MID($AK$62,MIN(IFERROR(FIND(",",$AK$62),99999),IFERROR(FIND("+",$AK$62),99999))+1,99999))</f>
      </c>
      <c r="AM62">
        <f>IF(OR($AL$62="",MIN(IFERROR(FIND(",",$AL$62),99999),IFERROR(FIND("+",$AL$62),99999))=99999),"",MID($AL$62,MIN(IFERROR(FIND(",",$AL$62),99999),IFERROR(FIND("+",$AL$62),99999))+1,99999))</f>
      </c>
      <c r="AN62">
        <f>IF(OR($AM$62="",MIN(IFERROR(FIND(",",$AM$62),99999),IFERROR(FIND("+",$AM$62),99999))=99999),"",MID($AM$62,MIN(IFERROR(FIND(",",$AM$62),99999),IFERROR(FIND("+",$AM$62),99999))+1,99999))</f>
      </c>
      <c r="AO62">
        <f>IF(OR($AN$62="",MIN(IFERROR(FIND(",",$AN$62),99999),IFERROR(FIND("+",$AN$62),99999))=99999),"",MID($AN$62,MIN(IFERROR(FIND(",",$AN$62),99999),IFERROR(FIND("+",$AN$62),99999))+1,99999))</f>
      </c>
      <c r="AP62">
        <f>IF(OR($AO$62="",MIN(IFERROR(FIND(",",$AO$62),99999),IFERROR(FIND("+",$AO$62),99999))=99999),"",MID($AO$62,MIN(IFERROR(FIND(",",$AO$62),99999),IFERROR(FIND("+",$AO$62),99999))+1,99999))</f>
      </c>
      <c r="AQ62">
        <f>IF(OR($AP$62="",MIN(IFERROR(FIND(",",$AP$62),99999),IFERROR(FIND("+",$AP$62),99999))=99999),"",MID($AP$62,MIN(IFERROR(FIND(",",$AP$62),99999),IFERROR(FIND("+",$AP$62),99999))+1,99999))</f>
      </c>
      <c r="AR62">
        <f>IF(OR($AQ$62="",MIN(IFERROR(FIND(",",$AQ$62),99999),IFERROR(FIND("+",$AQ$62),99999))=99999),"",MID($AQ$62,MIN(IFERROR(FIND(",",$AQ$62),99999),IFERROR(FIND("+",$AQ$62),99999))+1,99999))</f>
      </c>
      <c r="AS62">
        <f>IF($AK$62="","",IF(MIN(IFERROR(FIND(",",$AK$62),99999),IFERROR(FIND("+",$AK$62),99999))=99999,TRIM($AK$62),TRIM(LEFT($AK$62,MIN(IFERROR(FIND(",",$AK$62),99999),IFERROR(FIND("+",$AK$62),99999))-1))))</f>
      </c>
      <c r="AT62">
        <f>IF($AL$62="","",IF(MIN(IFERROR(FIND(",",$AL$62),99999),IFERROR(FIND("+",$AL$62),99999))=99999,TRIM($AL$62),TRIM(LEFT($AL$62,MIN(IFERROR(FIND(",",$AL$62),99999),IFERROR(FIND("+",$AL$62),99999))-1))))</f>
      </c>
      <c r="AU62">
        <f>IF($AM$62="","",IF(MIN(IFERROR(FIND(",",$AM$62),99999),IFERROR(FIND("+",$AM$62),99999))=99999,TRIM($AM$62),TRIM(LEFT($AM$62,MIN(IFERROR(FIND(",",$AM$62),99999),IFERROR(FIND("+",$AM$62),99999))-1))))</f>
      </c>
      <c r="AV62">
        <f>IF($AN$62="","",IF(MIN(IFERROR(FIND(",",$AN$62),99999),IFERROR(FIND("+",$AN$62),99999))=99999,TRIM($AN$62),TRIM(LEFT($AN$62,MIN(IFERROR(FIND(",",$AN$62),99999),IFERROR(FIND("+",$AN$62),99999))-1))))</f>
      </c>
      <c r="AW62">
        <f>IF($AO$62="","",IF(MIN(IFERROR(FIND(",",$AO$62),99999),IFERROR(FIND("+",$AO$62),99999))=99999,TRIM($AO$62),TRIM(LEFT($AO$62,MIN(IFERROR(FIND(",",$AO$62),99999),IFERROR(FIND("+",$AO$62),99999))-1))))</f>
      </c>
      <c r="AX62">
        <f>IF($AP$62="","",IF(MIN(IFERROR(FIND(",",$AP$62),99999),IFERROR(FIND("+",$AP$62),99999))=99999,TRIM($AP$62),TRIM(LEFT($AP$62,MIN(IFERROR(FIND(",",$AP$62),99999),IFERROR(FIND("+",$AP$62),99999))-1))))</f>
      </c>
      <c r="AY62">
        <f>IF($AQ$62="","",IF(MIN(IFERROR(FIND(",",$AQ$62),99999),IFERROR(FIND("+",$AQ$62),99999))=99999,TRIM($AQ$62),TRIM(LEFT($AQ$62,MIN(IFERROR(FIND(",",$AQ$62),99999),IFERROR(FIND("+",$AQ$62),99999))-1))))</f>
      </c>
      <c r="AZ62">
        <f>IF($AR$62="","",IF(MIN(IFERROR(FIND(",",$AR$62),99999),IFERROR(FIND("+",$AR$62),99999))=99999,TRIM($AR$62),TRIM(LEFT($AR$62,MIN(IFERROR(FIND(",",$AR$62),99999),IFERROR(FIND("+",$AR$62),99999))-1))))</f>
      </c>
      <c r="BA62">
        <f>IF($AK$62="",0,1)</f>
      </c>
      <c r="BB62">
        <f>IF($AK$62="",$BA$62,$BA$62+IF(MID($AK$62,MIN(IFERROR(FIND(",",$AK$62),99999),IFERROR(FIND("+",$AK$62),99999)),1)="+",1,0))</f>
      </c>
      <c r="BC62">
        <f>IF($AL$62="",$BB$62,$BB$62+IF(MID($AL$62,MIN(IFERROR(FIND(",",$AL$62),99999),IFERROR(FIND("+",$AL$62),99999)),1)="+",1,0))</f>
      </c>
      <c r="BD62">
        <f>IF($AM$62="",$BC$62,$BC$62+IF(MID($AM$62,MIN(IFERROR(FIND(",",$AM$62),99999),IFERROR(FIND("+",$AM$62),99999)),1)="+",1,0))</f>
      </c>
      <c r="BE62">
        <f>IF($AN$62="",$BD$62,$BD$62+IF(MID($AN$62,MIN(IFERROR(FIND(",",$AN$62),99999),IFERROR(FIND("+",$AN$62),99999)),1)="+",1,0))</f>
      </c>
      <c r="BF62">
        <f>IF($AO$62="",$BE$62,$BE$62+IF(MID($AO$62,MIN(IFERROR(FIND(",",$AO$62),99999),IFERROR(FIND("+",$AO$62),99999)),1)="+",1,0))</f>
      </c>
      <c r="BG62">
        <f>IF($AP$62="",$BF$62,$BF$62+IF(MID($AP$62,MIN(IFERROR(FIND(",",$AP$62),99999),IFERROR(FIND("+",$AP$62),99999)),1)="+",1,0))</f>
      </c>
      <c r="BH62">
        <f>IF($AQ$62="",$BG$62,$BG$62+IF(MID($AQ$62,MIN(IFERROR(FIND(",",$AQ$62),99999),IFERROR(FIND("+",$AQ$62),99999)),1)="+",1,0))</f>
      </c>
      <c r="BI62">
        <f>IF($AS$62="",0,$BA$62)</f>
      </c>
      <c r="BJ62">
        <f>IF($AT$62="",0,$BB$62)</f>
      </c>
      <c r="BK62">
        <f>IF($AU$62="",0,$BC$62)</f>
      </c>
      <c r="BL62">
        <f>IF($AV$62="",0,$BD$62)</f>
      </c>
      <c r="BM62">
        <f>IF($AW$62="",0,$BE$62)</f>
      </c>
      <c r="BN62">
        <f>IF($AX$62="",0,$BF$62)</f>
      </c>
      <c r="BO62">
        <f>IF($AY$62="",0,$BG$62)</f>
      </c>
      <c r="BP62">
        <f>IF($AZ$62="",0,$BH$62)</f>
      </c>
    </row>
    <row r="63" spans="1:99" ht="15" customHeight="1" hidden="1">
      <c r="AK63">
        <f>SUBSTITUTE(SUBSTITUTE($D$4,"&amp;","+"),"/",",")</f>
      </c>
      <c r="AL63">
        <f>IF(OR($AK$63="",MIN(IFERROR(FIND(",",$AK$63),99999),IFERROR(FIND("+",$AK$63),99999))=99999),"",MID($AK$63,MIN(IFERROR(FIND(",",$AK$63),99999),IFERROR(FIND("+",$AK$63),99999))+1,99999))</f>
      </c>
      <c r="AM63">
        <f>IF(OR($AL$63="",MIN(IFERROR(FIND(",",$AL$63),99999),IFERROR(FIND("+",$AL$63),99999))=99999),"",MID($AL$63,MIN(IFERROR(FIND(",",$AL$63),99999),IFERROR(FIND("+",$AL$63),99999))+1,99999))</f>
      </c>
      <c r="AN63">
        <f>IF(OR($AM$63="",MIN(IFERROR(FIND(",",$AM$63),99999),IFERROR(FIND("+",$AM$63),99999))=99999),"",MID($AM$63,MIN(IFERROR(FIND(",",$AM$63),99999),IFERROR(FIND("+",$AM$63),99999))+1,99999))</f>
      </c>
      <c r="AO63">
        <f>IF(OR($AN$63="",MIN(IFERROR(FIND(",",$AN$63),99999),IFERROR(FIND("+",$AN$63),99999))=99999),"",MID($AN$63,MIN(IFERROR(FIND(",",$AN$63),99999),IFERROR(FIND("+",$AN$63),99999))+1,99999))</f>
      </c>
      <c r="AP63">
        <f>IF(OR($AO$63="",MIN(IFERROR(FIND(",",$AO$63),99999),IFERROR(FIND("+",$AO$63),99999))=99999),"",MID($AO$63,MIN(IFERROR(FIND(",",$AO$63),99999),IFERROR(FIND("+",$AO$63),99999))+1,99999))</f>
      </c>
      <c r="AQ63">
        <f>IF(OR($AP$63="",MIN(IFERROR(FIND(",",$AP$63),99999),IFERROR(FIND("+",$AP$63),99999))=99999),"",MID($AP$63,MIN(IFERROR(FIND(",",$AP$63),99999),IFERROR(FIND("+",$AP$63),99999))+1,99999))</f>
      </c>
      <c r="AR63">
        <f>IF(OR($AQ$63="",MIN(IFERROR(FIND(",",$AQ$63),99999),IFERROR(FIND("+",$AQ$63),99999))=99999),"",MID($AQ$63,MIN(IFERROR(FIND(",",$AQ$63),99999),IFERROR(FIND("+",$AQ$63),99999))+1,99999))</f>
      </c>
      <c r="AS63">
        <f>IF($AK$63="","",IF(MIN(IFERROR(FIND(",",$AK$63),99999),IFERROR(FIND("+",$AK$63),99999))=99999,TRIM($AK$63),TRIM(LEFT($AK$63,MIN(IFERROR(FIND(",",$AK$63),99999),IFERROR(FIND("+",$AK$63),99999))-1))))</f>
      </c>
      <c r="AT63">
        <f>IF($AL$63="","",IF(MIN(IFERROR(FIND(",",$AL$63),99999),IFERROR(FIND("+",$AL$63),99999))=99999,TRIM($AL$63),TRIM(LEFT($AL$63,MIN(IFERROR(FIND(",",$AL$63),99999),IFERROR(FIND("+",$AL$63),99999))-1))))</f>
      </c>
      <c r="AU63">
        <f>IF($AM$63="","",IF(MIN(IFERROR(FIND(",",$AM$63),99999),IFERROR(FIND("+",$AM$63),99999))=99999,TRIM($AM$63),TRIM(LEFT($AM$63,MIN(IFERROR(FIND(",",$AM$63),99999),IFERROR(FIND("+",$AM$63),99999))-1))))</f>
      </c>
      <c r="AV63">
        <f>IF($AN$63="","",IF(MIN(IFERROR(FIND(",",$AN$63),99999),IFERROR(FIND("+",$AN$63),99999))=99999,TRIM($AN$63),TRIM(LEFT($AN$63,MIN(IFERROR(FIND(",",$AN$63),99999),IFERROR(FIND("+",$AN$63),99999))-1))))</f>
      </c>
      <c r="AW63">
        <f>IF($AO$63="","",IF(MIN(IFERROR(FIND(",",$AO$63),99999),IFERROR(FIND("+",$AO$63),99999))=99999,TRIM($AO$63),TRIM(LEFT($AO$63,MIN(IFERROR(FIND(",",$AO$63),99999),IFERROR(FIND("+",$AO$63),99999))-1))))</f>
      </c>
      <c r="AX63">
        <f>IF($AP$63="","",IF(MIN(IFERROR(FIND(",",$AP$63),99999),IFERROR(FIND("+",$AP$63),99999))=99999,TRIM($AP$63),TRIM(LEFT($AP$63,MIN(IFERROR(FIND(",",$AP$63),99999),IFERROR(FIND("+",$AP$63),99999))-1))))</f>
      </c>
      <c r="AY63">
        <f>IF($AQ$63="","",IF(MIN(IFERROR(FIND(",",$AQ$63),99999),IFERROR(FIND("+",$AQ$63),99999))=99999,TRIM($AQ$63),TRIM(LEFT($AQ$63,MIN(IFERROR(FIND(",",$AQ$63),99999),IFERROR(FIND("+",$AQ$63),99999))-1))))</f>
      </c>
      <c r="AZ63">
        <f>IF($AR$63="","",IF(MIN(IFERROR(FIND(",",$AR$63),99999),IFERROR(FIND("+",$AR$63),99999))=99999,TRIM($AR$63),TRIM(LEFT($AR$63,MIN(IFERROR(FIND(",",$AR$63),99999),IFERROR(FIND("+",$AR$63),99999))-1))))</f>
      </c>
      <c r="BA63">
        <f>IF($AK$63="",0,1)</f>
      </c>
      <c r="BB63">
        <f>IF($AK$63="",$BA$63,$BA$63+IF(MID($AK$63,MIN(IFERROR(FIND(",",$AK$63),99999),IFERROR(FIND("+",$AK$63),99999)),1)="+",1,0))</f>
      </c>
      <c r="BC63">
        <f>IF($AL$63="",$BB$63,$BB$63+IF(MID($AL$63,MIN(IFERROR(FIND(",",$AL$63),99999),IFERROR(FIND("+",$AL$63),99999)),1)="+",1,0))</f>
      </c>
      <c r="BD63">
        <f>IF($AM$63="",$BC$63,$BC$63+IF(MID($AM$63,MIN(IFERROR(FIND(",",$AM$63),99999),IFERROR(FIND("+",$AM$63),99999)),1)="+",1,0))</f>
      </c>
      <c r="BE63">
        <f>IF($AN$63="",$BD$63,$BD$63+IF(MID($AN$63,MIN(IFERROR(FIND(",",$AN$63),99999),IFERROR(FIND("+",$AN$63),99999)),1)="+",1,0))</f>
      </c>
      <c r="BF63">
        <f>IF($AO$63="",$BE$63,$BE$63+IF(MID($AO$63,MIN(IFERROR(FIND(",",$AO$63),99999),IFERROR(FIND("+",$AO$63),99999)),1)="+",1,0))</f>
      </c>
      <c r="BG63">
        <f>IF($AP$63="",$BF$63,$BF$63+IF(MID($AP$63,MIN(IFERROR(FIND(",",$AP$63),99999),IFERROR(FIND("+",$AP$63),99999)),1)="+",1,0))</f>
      </c>
      <c r="BH63">
        <f>IF($AQ$63="",$BG$63,$BG$63+IF(MID($AQ$63,MIN(IFERROR(FIND(",",$AQ$63),99999),IFERROR(FIND("+",$AQ$63),99999)),1)="+",1,0))</f>
      </c>
      <c r="BI63">
        <f>IF($AS$63="",0,$BA$63)</f>
      </c>
      <c r="BJ63">
        <f>IF($AT$63="",0,$BB$63)</f>
      </c>
      <c r="BK63">
        <f>IF($AU$63="",0,$BC$63)</f>
      </c>
      <c r="BL63">
        <f>IF($AV$63="",0,$BD$63)</f>
      </c>
      <c r="BM63">
        <f>IF($AW$63="",0,$BE$63)</f>
      </c>
      <c r="BN63">
        <f>IF($AX$63="",0,$BF$63)</f>
      </c>
      <c r="BO63">
        <f>IF($AY$63="",0,$BG$63)</f>
      </c>
      <c r="BP63">
        <f>IF($AZ$63="",0,$BH$63)</f>
      </c>
    </row>
    <row r="64" spans="1:99" ht="15" customHeight="1" hidden="1">
      <c r="AK64">
        <f>SUBSTITUTE(SUBSTITUTE($E$4,"&amp;","+"),"/",",")</f>
      </c>
      <c r="AL64">
        <f>IF(OR($AK$64="",MIN(IFERROR(FIND(",",$AK$64),99999),IFERROR(FIND("+",$AK$64),99999))=99999),"",MID($AK$64,MIN(IFERROR(FIND(",",$AK$64),99999),IFERROR(FIND("+",$AK$64),99999))+1,99999))</f>
      </c>
      <c r="AM64">
        <f>IF(OR($AL$64="",MIN(IFERROR(FIND(",",$AL$64),99999),IFERROR(FIND("+",$AL$64),99999))=99999),"",MID($AL$64,MIN(IFERROR(FIND(",",$AL$64),99999),IFERROR(FIND("+",$AL$64),99999))+1,99999))</f>
      </c>
      <c r="AN64">
        <f>IF(OR($AM$64="",MIN(IFERROR(FIND(",",$AM$64),99999),IFERROR(FIND("+",$AM$64),99999))=99999),"",MID($AM$64,MIN(IFERROR(FIND(",",$AM$64),99999),IFERROR(FIND("+",$AM$64),99999))+1,99999))</f>
      </c>
      <c r="AO64">
        <f>IF(OR($AN$64="",MIN(IFERROR(FIND(",",$AN$64),99999),IFERROR(FIND("+",$AN$64),99999))=99999),"",MID($AN$64,MIN(IFERROR(FIND(",",$AN$64),99999),IFERROR(FIND("+",$AN$64),99999))+1,99999))</f>
      </c>
      <c r="AP64">
        <f>IF(OR($AO$64="",MIN(IFERROR(FIND(",",$AO$64),99999),IFERROR(FIND("+",$AO$64),99999))=99999),"",MID($AO$64,MIN(IFERROR(FIND(",",$AO$64),99999),IFERROR(FIND("+",$AO$64),99999))+1,99999))</f>
      </c>
      <c r="AQ64">
        <f>IF(OR($AP$64="",MIN(IFERROR(FIND(",",$AP$64),99999),IFERROR(FIND("+",$AP$64),99999))=99999),"",MID($AP$64,MIN(IFERROR(FIND(",",$AP$64),99999),IFERROR(FIND("+",$AP$64),99999))+1,99999))</f>
      </c>
      <c r="AR64">
        <f>IF(OR($AQ$64="",MIN(IFERROR(FIND(",",$AQ$64),99999),IFERROR(FIND("+",$AQ$64),99999))=99999),"",MID($AQ$64,MIN(IFERROR(FIND(",",$AQ$64),99999),IFERROR(FIND("+",$AQ$64),99999))+1,99999))</f>
      </c>
      <c r="AS64">
        <f>IF($AK$64="","",IF(MIN(IFERROR(FIND(",",$AK$64),99999),IFERROR(FIND("+",$AK$64),99999))=99999,TRIM($AK$64),TRIM(LEFT($AK$64,MIN(IFERROR(FIND(",",$AK$64),99999),IFERROR(FIND("+",$AK$64),99999))-1))))</f>
      </c>
      <c r="AT64">
        <f>IF($AL$64="","",IF(MIN(IFERROR(FIND(",",$AL$64),99999),IFERROR(FIND("+",$AL$64),99999))=99999,TRIM($AL$64),TRIM(LEFT($AL$64,MIN(IFERROR(FIND(",",$AL$64),99999),IFERROR(FIND("+",$AL$64),99999))-1))))</f>
      </c>
      <c r="AU64">
        <f>IF($AM$64="","",IF(MIN(IFERROR(FIND(",",$AM$64),99999),IFERROR(FIND("+",$AM$64),99999))=99999,TRIM($AM$64),TRIM(LEFT($AM$64,MIN(IFERROR(FIND(",",$AM$64),99999),IFERROR(FIND("+",$AM$64),99999))-1))))</f>
      </c>
      <c r="AV64">
        <f>IF($AN$64="","",IF(MIN(IFERROR(FIND(",",$AN$64),99999),IFERROR(FIND("+",$AN$64),99999))=99999,TRIM($AN$64),TRIM(LEFT($AN$64,MIN(IFERROR(FIND(",",$AN$64),99999),IFERROR(FIND("+",$AN$64),99999))-1))))</f>
      </c>
      <c r="AW64">
        <f>IF($AO$64="","",IF(MIN(IFERROR(FIND(",",$AO$64),99999),IFERROR(FIND("+",$AO$64),99999))=99999,TRIM($AO$64),TRIM(LEFT($AO$64,MIN(IFERROR(FIND(",",$AO$64),99999),IFERROR(FIND("+",$AO$64),99999))-1))))</f>
      </c>
      <c r="AX64">
        <f>IF($AP$64="","",IF(MIN(IFERROR(FIND(",",$AP$64),99999),IFERROR(FIND("+",$AP$64),99999))=99999,TRIM($AP$64),TRIM(LEFT($AP$64,MIN(IFERROR(FIND(",",$AP$64),99999),IFERROR(FIND("+",$AP$64),99999))-1))))</f>
      </c>
      <c r="AY64">
        <f>IF($AQ$64="","",IF(MIN(IFERROR(FIND(",",$AQ$64),99999),IFERROR(FIND("+",$AQ$64),99999))=99999,TRIM($AQ$64),TRIM(LEFT($AQ$64,MIN(IFERROR(FIND(",",$AQ$64),99999),IFERROR(FIND("+",$AQ$64),99999))-1))))</f>
      </c>
      <c r="AZ64">
        <f>IF($AR$64="","",IF(MIN(IFERROR(FIND(",",$AR$64),99999),IFERROR(FIND("+",$AR$64),99999))=99999,TRIM($AR$64),TRIM(LEFT($AR$64,MIN(IFERROR(FIND(",",$AR$64),99999),IFERROR(FIND("+",$AR$64),99999))-1))))</f>
      </c>
      <c r="BA64">
        <f>IF($AK$64="",0,1)</f>
      </c>
      <c r="BB64">
        <f>IF($AK$64="",$BA$64,$BA$64+IF(MID($AK$64,MIN(IFERROR(FIND(",",$AK$64),99999),IFERROR(FIND("+",$AK$64),99999)),1)="+",1,0))</f>
      </c>
      <c r="BC64">
        <f>IF($AL$64="",$BB$64,$BB$64+IF(MID($AL$64,MIN(IFERROR(FIND(",",$AL$64),99999),IFERROR(FIND("+",$AL$64),99999)),1)="+",1,0))</f>
      </c>
      <c r="BD64">
        <f>IF($AM$64="",$BC$64,$BC$64+IF(MID($AM$64,MIN(IFERROR(FIND(",",$AM$64),99999),IFERROR(FIND("+",$AM$64),99999)),1)="+",1,0))</f>
      </c>
      <c r="BE64">
        <f>IF($AN$64="",$BD$64,$BD$64+IF(MID($AN$64,MIN(IFERROR(FIND(",",$AN$64),99999),IFERROR(FIND("+",$AN$64),99999)),1)="+",1,0))</f>
      </c>
      <c r="BF64">
        <f>IF($AO$64="",$BE$64,$BE$64+IF(MID($AO$64,MIN(IFERROR(FIND(",",$AO$64),99999),IFERROR(FIND("+",$AO$64),99999)),1)="+",1,0))</f>
      </c>
      <c r="BG64">
        <f>IF($AP$64="",$BF$64,$BF$64+IF(MID($AP$64,MIN(IFERROR(FIND(",",$AP$64),99999),IFERROR(FIND("+",$AP$64),99999)),1)="+",1,0))</f>
      </c>
      <c r="BH64">
        <f>IF($AQ$64="",$BG$64,$BG$64+IF(MID($AQ$64,MIN(IFERROR(FIND(",",$AQ$64),99999),IFERROR(FIND("+",$AQ$64),99999)),1)="+",1,0))</f>
      </c>
      <c r="BI64">
        <f>IF($AS$64="",0,$BA$64)</f>
      </c>
      <c r="BJ64">
        <f>IF($AT$64="",0,$BB$64)</f>
      </c>
      <c r="BK64">
        <f>IF($AU$64="",0,$BC$64)</f>
      </c>
      <c r="BL64">
        <f>IF($AV$64="",0,$BD$64)</f>
      </c>
      <c r="BM64">
        <f>IF($AW$64="",0,$BE$64)</f>
      </c>
      <c r="BN64">
        <f>IF($AX$64="",0,$BF$64)</f>
      </c>
      <c r="BO64">
        <f>IF($AY$64="",0,$BG$64)</f>
      </c>
      <c r="BP64">
        <f>IF($AZ$64="",0,$BH$64)</f>
      </c>
    </row>
    <row r="65" spans="1:99" ht="15" customHeight="1" hidden="1">
      <c r="AK65">
        <f>SUBSTITUTE(SUBSTITUTE($F$4,"&amp;","+"),"/",",")</f>
      </c>
      <c r="AL65">
        <f>IF(OR($AK$65="",MIN(IFERROR(FIND(",",$AK$65),99999),IFERROR(FIND("+",$AK$65),99999))=99999),"",MID($AK$65,MIN(IFERROR(FIND(",",$AK$65),99999),IFERROR(FIND("+",$AK$65),99999))+1,99999))</f>
      </c>
      <c r="AM65">
        <f>IF(OR($AL$65="",MIN(IFERROR(FIND(",",$AL$65),99999),IFERROR(FIND("+",$AL$65),99999))=99999),"",MID($AL$65,MIN(IFERROR(FIND(",",$AL$65),99999),IFERROR(FIND("+",$AL$65),99999))+1,99999))</f>
      </c>
      <c r="AN65">
        <f>IF(OR($AM$65="",MIN(IFERROR(FIND(",",$AM$65),99999),IFERROR(FIND("+",$AM$65),99999))=99999),"",MID($AM$65,MIN(IFERROR(FIND(",",$AM$65),99999),IFERROR(FIND("+",$AM$65),99999))+1,99999))</f>
      </c>
      <c r="AO65">
        <f>IF(OR($AN$65="",MIN(IFERROR(FIND(",",$AN$65),99999),IFERROR(FIND("+",$AN$65),99999))=99999),"",MID($AN$65,MIN(IFERROR(FIND(",",$AN$65),99999),IFERROR(FIND("+",$AN$65),99999))+1,99999))</f>
      </c>
      <c r="AP65">
        <f>IF(OR($AO$65="",MIN(IFERROR(FIND(",",$AO$65),99999),IFERROR(FIND("+",$AO$65),99999))=99999),"",MID($AO$65,MIN(IFERROR(FIND(",",$AO$65),99999),IFERROR(FIND("+",$AO$65),99999))+1,99999))</f>
      </c>
      <c r="AQ65">
        <f>IF(OR($AP$65="",MIN(IFERROR(FIND(",",$AP$65),99999),IFERROR(FIND("+",$AP$65),99999))=99999),"",MID($AP$65,MIN(IFERROR(FIND(",",$AP$65),99999),IFERROR(FIND("+",$AP$65),99999))+1,99999))</f>
      </c>
      <c r="AR65">
        <f>IF(OR($AQ$65="",MIN(IFERROR(FIND(",",$AQ$65),99999),IFERROR(FIND("+",$AQ$65),99999))=99999),"",MID($AQ$65,MIN(IFERROR(FIND(",",$AQ$65),99999),IFERROR(FIND("+",$AQ$65),99999))+1,99999))</f>
      </c>
      <c r="AS65">
        <f>IF($AK$65="","",IF(MIN(IFERROR(FIND(",",$AK$65),99999),IFERROR(FIND("+",$AK$65),99999))=99999,TRIM($AK$65),TRIM(LEFT($AK$65,MIN(IFERROR(FIND(",",$AK$65),99999),IFERROR(FIND("+",$AK$65),99999))-1))))</f>
      </c>
      <c r="AT65">
        <f>IF($AL$65="","",IF(MIN(IFERROR(FIND(",",$AL$65),99999),IFERROR(FIND("+",$AL$65),99999))=99999,TRIM($AL$65),TRIM(LEFT($AL$65,MIN(IFERROR(FIND(",",$AL$65),99999),IFERROR(FIND("+",$AL$65),99999))-1))))</f>
      </c>
      <c r="AU65">
        <f>IF($AM$65="","",IF(MIN(IFERROR(FIND(",",$AM$65),99999),IFERROR(FIND("+",$AM$65),99999))=99999,TRIM($AM$65),TRIM(LEFT($AM$65,MIN(IFERROR(FIND(",",$AM$65),99999),IFERROR(FIND("+",$AM$65),99999))-1))))</f>
      </c>
      <c r="AV65">
        <f>IF($AN$65="","",IF(MIN(IFERROR(FIND(",",$AN$65),99999),IFERROR(FIND("+",$AN$65),99999))=99999,TRIM($AN$65),TRIM(LEFT($AN$65,MIN(IFERROR(FIND(",",$AN$65),99999),IFERROR(FIND("+",$AN$65),99999))-1))))</f>
      </c>
      <c r="AW65">
        <f>IF($AO$65="","",IF(MIN(IFERROR(FIND(",",$AO$65),99999),IFERROR(FIND("+",$AO$65),99999))=99999,TRIM($AO$65),TRIM(LEFT($AO$65,MIN(IFERROR(FIND(",",$AO$65),99999),IFERROR(FIND("+",$AO$65),99999))-1))))</f>
      </c>
      <c r="AX65">
        <f>IF($AP$65="","",IF(MIN(IFERROR(FIND(",",$AP$65),99999),IFERROR(FIND("+",$AP$65),99999))=99999,TRIM($AP$65),TRIM(LEFT($AP$65,MIN(IFERROR(FIND(",",$AP$65),99999),IFERROR(FIND("+",$AP$65),99999))-1))))</f>
      </c>
      <c r="AY65">
        <f>IF($AQ$65="","",IF(MIN(IFERROR(FIND(",",$AQ$65),99999),IFERROR(FIND("+",$AQ$65),99999))=99999,TRIM($AQ$65),TRIM(LEFT($AQ$65,MIN(IFERROR(FIND(",",$AQ$65),99999),IFERROR(FIND("+",$AQ$65),99999))-1))))</f>
      </c>
      <c r="AZ65">
        <f>IF($AR$65="","",IF(MIN(IFERROR(FIND(",",$AR$65),99999),IFERROR(FIND("+",$AR$65),99999))=99999,TRIM($AR$65),TRIM(LEFT($AR$65,MIN(IFERROR(FIND(",",$AR$65),99999),IFERROR(FIND("+",$AR$65),99999))-1))))</f>
      </c>
      <c r="BA65">
        <f>IF($AK$65="",0,1)</f>
      </c>
      <c r="BB65">
        <f>IF($AK$65="",$BA$65,$BA$65+IF(MID($AK$65,MIN(IFERROR(FIND(",",$AK$65),99999),IFERROR(FIND("+",$AK$65),99999)),1)="+",1,0))</f>
      </c>
      <c r="BC65">
        <f>IF($AL$65="",$BB$65,$BB$65+IF(MID($AL$65,MIN(IFERROR(FIND(",",$AL$65),99999),IFERROR(FIND("+",$AL$65),99999)),1)="+",1,0))</f>
      </c>
      <c r="BD65">
        <f>IF($AM$65="",$BC$65,$BC$65+IF(MID($AM$65,MIN(IFERROR(FIND(",",$AM$65),99999),IFERROR(FIND("+",$AM$65),99999)),1)="+",1,0))</f>
      </c>
      <c r="BE65">
        <f>IF($AN$65="",$BD$65,$BD$65+IF(MID($AN$65,MIN(IFERROR(FIND(",",$AN$65),99999),IFERROR(FIND("+",$AN$65),99999)),1)="+",1,0))</f>
      </c>
      <c r="BF65">
        <f>IF($AO$65="",$BE$65,$BE$65+IF(MID($AO$65,MIN(IFERROR(FIND(",",$AO$65),99999),IFERROR(FIND("+",$AO$65),99999)),1)="+",1,0))</f>
      </c>
      <c r="BG65">
        <f>IF($AP$65="",$BF$65,$BF$65+IF(MID($AP$65,MIN(IFERROR(FIND(",",$AP$65),99999),IFERROR(FIND("+",$AP$65),99999)),1)="+",1,0))</f>
      </c>
      <c r="BH65">
        <f>IF($AQ$65="",$BG$65,$BG$65+IF(MID($AQ$65,MIN(IFERROR(FIND(",",$AQ$65),99999),IFERROR(FIND("+",$AQ$65),99999)),1)="+",1,0))</f>
      </c>
      <c r="BI65">
        <f>IF($AS$65="",0,$BA$65)</f>
      </c>
      <c r="BJ65">
        <f>IF($AT$65="",0,$BB$65)</f>
      </c>
      <c r="BK65">
        <f>IF($AU$65="",0,$BC$65)</f>
      </c>
      <c r="BL65">
        <f>IF($AV$65="",0,$BD$65)</f>
      </c>
      <c r="BM65">
        <f>IF($AW$65="",0,$BE$65)</f>
      </c>
      <c r="BN65">
        <f>IF($AX$65="",0,$BF$65)</f>
      </c>
      <c r="BO65">
        <f>IF($AY$65="",0,$BG$65)</f>
      </c>
      <c r="BP65">
        <f>IF($AZ$65="",0,$BH$65)</f>
      </c>
    </row>
    <row r="66" spans="1:99" ht="15" customHeight="1" hidden="1">
      <c r="AK66">
        <f>SUBSTITUTE(SUBSTITUTE($G$4,"&amp;","+"),"/",",")</f>
      </c>
      <c r="AL66">
        <f>IF(OR($AK$66="",MIN(IFERROR(FIND(",",$AK$66),99999),IFERROR(FIND("+",$AK$66),99999))=99999),"",MID($AK$66,MIN(IFERROR(FIND(",",$AK$66),99999),IFERROR(FIND("+",$AK$66),99999))+1,99999))</f>
      </c>
      <c r="AM66">
        <f>IF(OR($AL$66="",MIN(IFERROR(FIND(",",$AL$66),99999),IFERROR(FIND("+",$AL$66),99999))=99999),"",MID($AL$66,MIN(IFERROR(FIND(",",$AL$66),99999),IFERROR(FIND("+",$AL$66),99999))+1,99999))</f>
      </c>
      <c r="AN66">
        <f>IF(OR($AM$66="",MIN(IFERROR(FIND(",",$AM$66),99999),IFERROR(FIND("+",$AM$66),99999))=99999),"",MID($AM$66,MIN(IFERROR(FIND(",",$AM$66),99999),IFERROR(FIND("+",$AM$66),99999))+1,99999))</f>
      </c>
      <c r="AO66">
        <f>IF(OR($AN$66="",MIN(IFERROR(FIND(",",$AN$66),99999),IFERROR(FIND("+",$AN$66),99999))=99999),"",MID($AN$66,MIN(IFERROR(FIND(",",$AN$66),99999),IFERROR(FIND("+",$AN$66),99999))+1,99999))</f>
      </c>
      <c r="AP66">
        <f>IF(OR($AO$66="",MIN(IFERROR(FIND(",",$AO$66),99999),IFERROR(FIND("+",$AO$66),99999))=99999),"",MID($AO$66,MIN(IFERROR(FIND(",",$AO$66),99999),IFERROR(FIND("+",$AO$66),99999))+1,99999))</f>
      </c>
      <c r="AQ66">
        <f>IF(OR($AP$66="",MIN(IFERROR(FIND(",",$AP$66),99999),IFERROR(FIND("+",$AP$66),99999))=99999),"",MID($AP$66,MIN(IFERROR(FIND(",",$AP$66),99999),IFERROR(FIND("+",$AP$66),99999))+1,99999))</f>
      </c>
      <c r="AR66">
        <f>IF(OR($AQ$66="",MIN(IFERROR(FIND(",",$AQ$66),99999),IFERROR(FIND("+",$AQ$66),99999))=99999),"",MID($AQ$66,MIN(IFERROR(FIND(",",$AQ$66),99999),IFERROR(FIND("+",$AQ$66),99999))+1,99999))</f>
      </c>
      <c r="AS66">
        <f>IF($AK$66="","",IF(MIN(IFERROR(FIND(",",$AK$66),99999),IFERROR(FIND("+",$AK$66),99999))=99999,TRIM($AK$66),TRIM(LEFT($AK$66,MIN(IFERROR(FIND(",",$AK$66),99999),IFERROR(FIND("+",$AK$66),99999))-1))))</f>
      </c>
      <c r="AT66">
        <f>IF($AL$66="","",IF(MIN(IFERROR(FIND(",",$AL$66),99999),IFERROR(FIND("+",$AL$66),99999))=99999,TRIM($AL$66),TRIM(LEFT($AL$66,MIN(IFERROR(FIND(",",$AL$66),99999),IFERROR(FIND("+",$AL$66),99999))-1))))</f>
      </c>
      <c r="AU66">
        <f>IF($AM$66="","",IF(MIN(IFERROR(FIND(",",$AM$66),99999),IFERROR(FIND("+",$AM$66),99999))=99999,TRIM($AM$66),TRIM(LEFT($AM$66,MIN(IFERROR(FIND(",",$AM$66),99999),IFERROR(FIND("+",$AM$66),99999))-1))))</f>
      </c>
      <c r="AV66">
        <f>IF($AN$66="","",IF(MIN(IFERROR(FIND(",",$AN$66),99999),IFERROR(FIND("+",$AN$66),99999))=99999,TRIM($AN$66),TRIM(LEFT($AN$66,MIN(IFERROR(FIND(",",$AN$66),99999),IFERROR(FIND("+",$AN$66),99999))-1))))</f>
      </c>
      <c r="AW66">
        <f>IF($AO$66="","",IF(MIN(IFERROR(FIND(",",$AO$66),99999),IFERROR(FIND("+",$AO$66),99999))=99999,TRIM($AO$66),TRIM(LEFT($AO$66,MIN(IFERROR(FIND(",",$AO$66),99999),IFERROR(FIND("+",$AO$66),99999))-1))))</f>
      </c>
      <c r="AX66">
        <f>IF($AP$66="","",IF(MIN(IFERROR(FIND(",",$AP$66),99999),IFERROR(FIND("+",$AP$66),99999))=99999,TRIM($AP$66),TRIM(LEFT($AP$66,MIN(IFERROR(FIND(",",$AP$66),99999),IFERROR(FIND("+",$AP$66),99999))-1))))</f>
      </c>
      <c r="AY66">
        <f>IF($AQ$66="","",IF(MIN(IFERROR(FIND(",",$AQ$66),99999),IFERROR(FIND("+",$AQ$66),99999))=99999,TRIM($AQ$66),TRIM(LEFT($AQ$66,MIN(IFERROR(FIND(",",$AQ$66),99999),IFERROR(FIND("+",$AQ$66),99999))-1))))</f>
      </c>
      <c r="AZ66">
        <f>IF($AR$66="","",IF(MIN(IFERROR(FIND(",",$AR$66),99999),IFERROR(FIND("+",$AR$66),99999))=99999,TRIM($AR$66),TRIM(LEFT($AR$66,MIN(IFERROR(FIND(",",$AR$66),99999),IFERROR(FIND("+",$AR$66),99999))-1))))</f>
      </c>
      <c r="BA66">
        <f>IF($AK$66="",0,1)</f>
      </c>
      <c r="BB66">
        <f>IF($AK$66="",$BA$66,$BA$66+IF(MID($AK$66,MIN(IFERROR(FIND(",",$AK$66),99999),IFERROR(FIND("+",$AK$66),99999)),1)="+",1,0))</f>
      </c>
      <c r="BC66">
        <f>IF($AL$66="",$BB$66,$BB$66+IF(MID($AL$66,MIN(IFERROR(FIND(",",$AL$66),99999),IFERROR(FIND("+",$AL$66),99999)),1)="+",1,0))</f>
      </c>
      <c r="BD66">
        <f>IF($AM$66="",$BC$66,$BC$66+IF(MID($AM$66,MIN(IFERROR(FIND(",",$AM$66),99999),IFERROR(FIND("+",$AM$66),99999)),1)="+",1,0))</f>
      </c>
      <c r="BE66">
        <f>IF($AN$66="",$BD$66,$BD$66+IF(MID($AN$66,MIN(IFERROR(FIND(",",$AN$66),99999),IFERROR(FIND("+",$AN$66),99999)),1)="+",1,0))</f>
      </c>
      <c r="BF66">
        <f>IF($AO$66="",$BE$66,$BE$66+IF(MID($AO$66,MIN(IFERROR(FIND(",",$AO$66),99999),IFERROR(FIND("+",$AO$66),99999)),1)="+",1,0))</f>
      </c>
      <c r="BG66">
        <f>IF($AP$66="",$BF$66,$BF$66+IF(MID($AP$66,MIN(IFERROR(FIND(",",$AP$66),99999),IFERROR(FIND("+",$AP$66),99999)),1)="+",1,0))</f>
      </c>
      <c r="BH66">
        <f>IF($AQ$66="",$BG$66,$BG$66+IF(MID($AQ$66,MIN(IFERROR(FIND(",",$AQ$66),99999),IFERROR(FIND("+",$AQ$66),99999)),1)="+",1,0))</f>
      </c>
      <c r="BI66">
        <f>IF($AS$66="",0,$BA$66)</f>
      </c>
      <c r="BJ66">
        <f>IF($AT$66="",0,$BB$66)</f>
      </c>
      <c r="BK66">
        <f>IF($AU$66="",0,$BC$66)</f>
      </c>
      <c r="BL66">
        <f>IF($AV$66="",0,$BD$66)</f>
      </c>
      <c r="BM66">
        <f>IF($AW$66="",0,$BE$66)</f>
      </c>
      <c r="BN66">
        <f>IF($AX$66="",0,$BF$66)</f>
      </c>
      <c r="BO66">
        <f>IF($AY$66="",0,$BG$66)</f>
      </c>
      <c r="BP66">
        <f>IF($AZ$66="",0,$BH$66)</f>
      </c>
    </row>
    <row r="67" spans="1:99" ht="15" customHeight="1" hidden="1">
      <c r="AK67">
        <f>SUBSTITUTE(SUBSTITUTE($H$4,"&amp;","+"),"/",",")</f>
      </c>
      <c r="AL67">
        <f>IF(OR($AK$67="",MIN(IFERROR(FIND(",",$AK$67),99999),IFERROR(FIND("+",$AK$67),99999))=99999),"",MID($AK$67,MIN(IFERROR(FIND(",",$AK$67),99999),IFERROR(FIND("+",$AK$67),99999))+1,99999))</f>
      </c>
      <c r="AM67">
        <f>IF(OR($AL$67="",MIN(IFERROR(FIND(",",$AL$67),99999),IFERROR(FIND("+",$AL$67),99999))=99999),"",MID($AL$67,MIN(IFERROR(FIND(",",$AL$67),99999),IFERROR(FIND("+",$AL$67),99999))+1,99999))</f>
      </c>
      <c r="AN67">
        <f>IF(OR($AM$67="",MIN(IFERROR(FIND(",",$AM$67),99999),IFERROR(FIND("+",$AM$67),99999))=99999),"",MID($AM$67,MIN(IFERROR(FIND(",",$AM$67),99999),IFERROR(FIND("+",$AM$67),99999))+1,99999))</f>
      </c>
      <c r="AO67">
        <f>IF(OR($AN$67="",MIN(IFERROR(FIND(",",$AN$67),99999),IFERROR(FIND("+",$AN$67),99999))=99999),"",MID($AN$67,MIN(IFERROR(FIND(",",$AN$67),99999),IFERROR(FIND("+",$AN$67),99999))+1,99999))</f>
      </c>
      <c r="AP67">
        <f>IF(OR($AO$67="",MIN(IFERROR(FIND(",",$AO$67),99999),IFERROR(FIND("+",$AO$67),99999))=99999),"",MID($AO$67,MIN(IFERROR(FIND(",",$AO$67),99999),IFERROR(FIND("+",$AO$67),99999))+1,99999))</f>
      </c>
      <c r="AQ67">
        <f>IF(OR($AP$67="",MIN(IFERROR(FIND(",",$AP$67),99999),IFERROR(FIND("+",$AP$67),99999))=99999),"",MID($AP$67,MIN(IFERROR(FIND(",",$AP$67),99999),IFERROR(FIND("+",$AP$67),99999))+1,99999))</f>
      </c>
      <c r="AR67">
        <f>IF(OR($AQ$67="",MIN(IFERROR(FIND(",",$AQ$67),99999),IFERROR(FIND("+",$AQ$67),99999))=99999),"",MID($AQ$67,MIN(IFERROR(FIND(",",$AQ$67),99999),IFERROR(FIND("+",$AQ$67),99999))+1,99999))</f>
      </c>
      <c r="AS67">
        <f>IF($AK$67="","",IF(MIN(IFERROR(FIND(",",$AK$67),99999),IFERROR(FIND("+",$AK$67),99999))=99999,TRIM($AK$67),TRIM(LEFT($AK$67,MIN(IFERROR(FIND(",",$AK$67),99999),IFERROR(FIND("+",$AK$67),99999))-1))))</f>
      </c>
      <c r="AT67">
        <f>IF($AL$67="","",IF(MIN(IFERROR(FIND(",",$AL$67),99999),IFERROR(FIND("+",$AL$67),99999))=99999,TRIM($AL$67),TRIM(LEFT($AL$67,MIN(IFERROR(FIND(",",$AL$67),99999),IFERROR(FIND("+",$AL$67),99999))-1))))</f>
      </c>
      <c r="AU67">
        <f>IF($AM$67="","",IF(MIN(IFERROR(FIND(",",$AM$67),99999),IFERROR(FIND("+",$AM$67),99999))=99999,TRIM($AM$67),TRIM(LEFT($AM$67,MIN(IFERROR(FIND(",",$AM$67),99999),IFERROR(FIND("+",$AM$67),99999))-1))))</f>
      </c>
      <c r="AV67">
        <f>IF($AN$67="","",IF(MIN(IFERROR(FIND(",",$AN$67),99999),IFERROR(FIND("+",$AN$67),99999))=99999,TRIM($AN$67),TRIM(LEFT($AN$67,MIN(IFERROR(FIND(",",$AN$67),99999),IFERROR(FIND("+",$AN$67),99999))-1))))</f>
      </c>
      <c r="AW67">
        <f>IF($AO$67="","",IF(MIN(IFERROR(FIND(",",$AO$67),99999),IFERROR(FIND("+",$AO$67),99999))=99999,TRIM($AO$67),TRIM(LEFT($AO$67,MIN(IFERROR(FIND(",",$AO$67),99999),IFERROR(FIND("+",$AO$67),99999))-1))))</f>
      </c>
      <c r="AX67">
        <f>IF($AP$67="","",IF(MIN(IFERROR(FIND(",",$AP$67),99999),IFERROR(FIND("+",$AP$67),99999))=99999,TRIM($AP$67),TRIM(LEFT($AP$67,MIN(IFERROR(FIND(",",$AP$67),99999),IFERROR(FIND("+",$AP$67),99999))-1))))</f>
      </c>
      <c r="AY67">
        <f>IF($AQ$67="","",IF(MIN(IFERROR(FIND(",",$AQ$67),99999),IFERROR(FIND("+",$AQ$67),99999))=99999,TRIM($AQ$67),TRIM(LEFT($AQ$67,MIN(IFERROR(FIND(",",$AQ$67),99999),IFERROR(FIND("+",$AQ$67),99999))-1))))</f>
      </c>
      <c r="AZ67">
        <f>IF($AR$67="","",IF(MIN(IFERROR(FIND(",",$AR$67),99999),IFERROR(FIND("+",$AR$67),99999))=99999,TRIM($AR$67),TRIM(LEFT($AR$67,MIN(IFERROR(FIND(",",$AR$67),99999),IFERROR(FIND("+",$AR$67),99999))-1))))</f>
      </c>
      <c r="BA67">
        <f>IF($AK$67="",0,1)</f>
      </c>
      <c r="BB67">
        <f>IF($AK$67="",$BA$67,$BA$67+IF(MID($AK$67,MIN(IFERROR(FIND(",",$AK$67),99999),IFERROR(FIND("+",$AK$67),99999)),1)="+",1,0))</f>
      </c>
      <c r="BC67">
        <f>IF($AL$67="",$BB$67,$BB$67+IF(MID($AL$67,MIN(IFERROR(FIND(",",$AL$67),99999),IFERROR(FIND("+",$AL$67),99999)),1)="+",1,0))</f>
      </c>
      <c r="BD67">
        <f>IF($AM$67="",$BC$67,$BC$67+IF(MID($AM$67,MIN(IFERROR(FIND(",",$AM$67),99999),IFERROR(FIND("+",$AM$67),99999)),1)="+",1,0))</f>
      </c>
      <c r="BE67">
        <f>IF($AN$67="",$BD$67,$BD$67+IF(MID($AN$67,MIN(IFERROR(FIND(",",$AN$67),99999),IFERROR(FIND("+",$AN$67),99999)),1)="+",1,0))</f>
      </c>
      <c r="BF67">
        <f>IF($AO$67="",$BE$67,$BE$67+IF(MID($AO$67,MIN(IFERROR(FIND(",",$AO$67),99999),IFERROR(FIND("+",$AO$67),99999)),1)="+",1,0))</f>
      </c>
      <c r="BG67">
        <f>IF($AP$67="",$BF$67,$BF$67+IF(MID($AP$67,MIN(IFERROR(FIND(",",$AP$67),99999),IFERROR(FIND("+",$AP$67),99999)),1)="+",1,0))</f>
      </c>
      <c r="BH67">
        <f>IF($AQ$67="",$BG$67,$BG$67+IF(MID($AQ$67,MIN(IFERROR(FIND(",",$AQ$67),99999),IFERROR(FIND("+",$AQ$67),99999)),1)="+",1,0))</f>
      </c>
      <c r="BI67">
        <f>IF($AS$67="",0,$BA$67)</f>
      </c>
      <c r="BJ67">
        <f>IF($AT$67="",0,$BB$67)</f>
      </c>
      <c r="BK67">
        <f>IF($AU$67="",0,$BC$67)</f>
      </c>
      <c r="BL67">
        <f>IF($AV$67="",0,$BD$67)</f>
      </c>
      <c r="BM67">
        <f>IF($AW$67="",0,$BE$67)</f>
      </c>
      <c r="BN67">
        <f>IF($AX$67="",0,$BF$67)</f>
      </c>
      <c r="BO67">
        <f>IF($AY$67="",0,$BG$67)</f>
      </c>
      <c r="BP67">
        <f>IF($AZ$67="",0,$BH$67)</f>
      </c>
    </row>
    <row r="68" spans="1:99" ht="15" customHeight="1" hidden="1">
      <c r="AK68">
        <f>SUBSTITUTE(SUBSTITUTE($I$4,"&amp;","+"),"/",",")</f>
      </c>
      <c r="AL68">
        <f>IF(OR($AK$68="",MIN(IFERROR(FIND(",",$AK$68),99999),IFERROR(FIND("+",$AK$68),99999))=99999),"",MID($AK$68,MIN(IFERROR(FIND(",",$AK$68),99999),IFERROR(FIND("+",$AK$68),99999))+1,99999))</f>
      </c>
      <c r="AM68">
        <f>IF(OR($AL$68="",MIN(IFERROR(FIND(",",$AL$68),99999),IFERROR(FIND("+",$AL$68),99999))=99999),"",MID($AL$68,MIN(IFERROR(FIND(",",$AL$68),99999),IFERROR(FIND("+",$AL$68),99999))+1,99999))</f>
      </c>
      <c r="AN68">
        <f>IF(OR($AM$68="",MIN(IFERROR(FIND(",",$AM$68),99999),IFERROR(FIND("+",$AM$68),99999))=99999),"",MID($AM$68,MIN(IFERROR(FIND(",",$AM$68),99999),IFERROR(FIND("+",$AM$68),99999))+1,99999))</f>
      </c>
      <c r="AO68">
        <f>IF(OR($AN$68="",MIN(IFERROR(FIND(",",$AN$68),99999),IFERROR(FIND("+",$AN$68),99999))=99999),"",MID($AN$68,MIN(IFERROR(FIND(",",$AN$68),99999),IFERROR(FIND("+",$AN$68),99999))+1,99999))</f>
      </c>
      <c r="AP68">
        <f>IF(OR($AO$68="",MIN(IFERROR(FIND(",",$AO$68),99999),IFERROR(FIND("+",$AO$68),99999))=99999),"",MID($AO$68,MIN(IFERROR(FIND(",",$AO$68),99999),IFERROR(FIND("+",$AO$68),99999))+1,99999))</f>
      </c>
      <c r="AQ68">
        <f>IF(OR($AP$68="",MIN(IFERROR(FIND(",",$AP$68),99999),IFERROR(FIND("+",$AP$68),99999))=99999),"",MID($AP$68,MIN(IFERROR(FIND(",",$AP$68),99999),IFERROR(FIND("+",$AP$68),99999))+1,99999))</f>
      </c>
      <c r="AR68">
        <f>IF(OR($AQ$68="",MIN(IFERROR(FIND(",",$AQ$68),99999),IFERROR(FIND("+",$AQ$68),99999))=99999),"",MID($AQ$68,MIN(IFERROR(FIND(",",$AQ$68),99999),IFERROR(FIND("+",$AQ$68),99999))+1,99999))</f>
      </c>
      <c r="AS68">
        <f>IF($AK$68="","",IF(MIN(IFERROR(FIND(",",$AK$68),99999),IFERROR(FIND("+",$AK$68),99999))=99999,TRIM($AK$68),TRIM(LEFT($AK$68,MIN(IFERROR(FIND(",",$AK$68),99999),IFERROR(FIND("+",$AK$68),99999))-1))))</f>
      </c>
      <c r="AT68">
        <f>IF($AL$68="","",IF(MIN(IFERROR(FIND(",",$AL$68),99999),IFERROR(FIND("+",$AL$68),99999))=99999,TRIM($AL$68),TRIM(LEFT($AL$68,MIN(IFERROR(FIND(",",$AL$68),99999),IFERROR(FIND("+",$AL$68),99999))-1))))</f>
      </c>
      <c r="AU68">
        <f>IF($AM$68="","",IF(MIN(IFERROR(FIND(",",$AM$68),99999),IFERROR(FIND("+",$AM$68),99999))=99999,TRIM($AM$68),TRIM(LEFT($AM$68,MIN(IFERROR(FIND(",",$AM$68),99999),IFERROR(FIND("+",$AM$68),99999))-1))))</f>
      </c>
      <c r="AV68">
        <f>IF($AN$68="","",IF(MIN(IFERROR(FIND(",",$AN$68),99999),IFERROR(FIND("+",$AN$68),99999))=99999,TRIM($AN$68),TRIM(LEFT($AN$68,MIN(IFERROR(FIND(",",$AN$68),99999),IFERROR(FIND("+",$AN$68),99999))-1))))</f>
      </c>
      <c r="AW68">
        <f>IF($AO$68="","",IF(MIN(IFERROR(FIND(",",$AO$68),99999),IFERROR(FIND("+",$AO$68),99999))=99999,TRIM($AO$68),TRIM(LEFT($AO$68,MIN(IFERROR(FIND(",",$AO$68),99999),IFERROR(FIND("+",$AO$68),99999))-1))))</f>
      </c>
      <c r="AX68">
        <f>IF($AP$68="","",IF(MIN(IFERROR(FIND(",",$AP$68),99999),IFERROR(FIND("+",$AP$68),99999))=99999,TRIM($AP$68),TRIM(LEFT($AP$68,MIN(IFERROR(FIND(",",$AP$68),99999),IFERROR(FIND("+",$AP$68),99999))-1))))</f>
      </c>
      <c r="AY68">
        <f>IF($AQ$68="","",IF(MIN(IFERROR(FIND(",",$AQ$68),99999),IFERROR(FIND("+",$AQ$68),99999))=99999,TRIM($AQ$68),TRIM(LEFT($AQ$68,MIN(IFERROR(FIND(",",$AQ$68),99999),IFERROR(FIND("+",$AQ$68),99999))-1))))</f>
      </c>
      <c r="AZ68">
        <f>IF($AR$68="","",IF(MIN(IFERROR(FIND(",",$AR$68),99999),IFERROR(FIND("+",$AR$68),99999))=99999,TRIM($AR$68),TRIM(LEFT($AR$68,MIN(IFERROR(FIND(",",$AR$68),99999),IFERROR(FIND("+",$AR$68),99999))-1))))</f>
      </c>
      <c r="BA68">
        <f>IF($AK$68="",0,1)</f>
      </c>
      <c r="BB68">
        <f>IF($AK$68="",$BA$68,$BA$68+IF(MID($AK$68,MIN(IFERROR(FIND(",",$AK$68),99999),IFERROR(FIND("+",$AK$68),99999)),1)="+",1,0))</f>
      </c>
      <c r="BC68">
        <f>IF($AL$68="",$BB$68,$BB$68+IF(MID($AL$68,MIN(IFERROR(FIND(",",$AL$68),99999),IFERROR(FIND("+",$AL$68),99999)),1)="+",1,0))</f>
      </c>
      <c r="BD68">
        <f>IF($AM$68="",$BC$68,$BC$68+IF(MID($AM$68,MIN(IFERROR(FIND(",",$AM$68),99999),IFERROR(FIND("+",$AM$68),99999)),1)="+",1,0))</f>
      </c>
      <c r="BE68">
        <f>IF($AN$68="",$BD$68,$BD$68+IF(MID($AN$68,MIN(IFERROR(FIND(",",$AN$68),99999),IFERROR(FIND("+",$AN$68),99999)),1)="+",1,0))</f>
      </c>
      <c r="BF68">
        <f>IF($AO$68="",$BE$68,$BE$68+IF(MID($AO$68,MIN(IFERROR(FIND(",",$AO$68),99999),IFERROR(FIND("+",$AO$68),99999)),1)="+",1,0))</f>
      </c>
      <c r="BG68">
        <f>IF($AP$68="",$BF$68,$BF$68+IF(MID($AP$68,MIN(IFERROR(FIND(",",$AP$68),99999),IFERROR(FIND("+",$AP$68),99999)),1)="+",1,0))</f>
      </c>
      <c r="BH68">
        <f>IF($AQ$68="",$BG$68,$BG$68+IF(MID($AQ$68,MIN(IFERROR(FIND(",",$AQ$68),99999),IFERROR(FIND("+",$AQ$68),99999)),1)="+",1,0))</f>
      </c>
      <c r="BI68">
        <f>IF($AS$68="",0,$BA$68)</f>
      </c>
      <c r="BJ68">
        <f>IF($AT$68="",0,$BB$68)</f>
      </c>
      <c r="BK68">
        <f>IF($AU$68="",0,$BC$68)</f>
      </c>
      <c r="BL68">
        <f>IF($AV$68="",0,$BD$68)</f>
      </c>
      <c r="BM68">
        <f>IF($AW$68="",0,$BE$68)</f>
      </c>
      <c r="BN68">
        <f>IF($AX$68="",0,$BF$68)</f>
      </c>
      <c r="BO68">
        <f>IF($AY$68="",0,$BG$68)</f>
      </c>
      <c r="BP68">
        <f>IF($AZ$68="",0,$BH$68)</f>
      </c>
    </row>
    <row r="69" spans="1:99" ht="15" customHeight="1" hidden="1">
      <c r="AK69">
        <f>SUBSTITUTE(SUBSTITUTE($J$4,"&amp;","+"),"/",",")</f>
      </c>
      <c r="AL69">
        <f>IF(OR($AK$69="",MIN(IFERROR(FIND(",",$AK$69),99999),IFERROR(FIND("+",$AK$69),99999))=99999),"",MID($AK$69,MIN(IFERROR(FIND(",",$AK$69),99999),IFERROR(FIND("+",$AK$69),99999))+1,99999))</f>
      </c>
      <c r="AM69">
        <f>IF(OR($AL$69="",MIN(IFERROR(FIND(",",$AL$69),99999),IFERROR(FIND("+",$AL$69),99999))=99999),"",MID($AL$69,MIN(IFERROR(FIND(",",$AL$69),99999),IFERROR(FIND("+",$AL$69),99999))+1,99999))</f>
      </c>
      <c r="AN69">
        <f>IF(OR($AM$69="",MIN(IFERROR(FIND(",",$AM$69),99999),IFERROR(FIND("+",$AM$69),99999))=99999),"",MID($AM$69,MIN(IFERROR(FIND(",",$AM$69),99999),IFERROR(FIND("+",$AM$69),99999))+1,99999))</f>
      </c>
      <c r="AO69">
        <f>IF(OR($AN$69="",MIN(IFERROR(FIND(",",$AN$69),99999),IFERROR(FIND("+",$AN$69),99999))=99999),"",MID($AN$69,MIN(IFERROR(FIND(",",$AN$69),99999),IFERROR(FIND("+",$AN$69),99999))+1,99999))</f>
      </c>
      <c r="AP69">
        <f>IF(OR($AO$69="",MIN(IFERROR(FIND(",",$AO$69),99999),IFERROR(FIND("+",$AO$69),99999))=99999),"",MID($AO$69,MIN(IFERROR(FIND(",",$AO$69),99999),IFERROR(FIND("+",$AO$69),99999))+1,99999))</f>
      </c>
      <c r="AQ69">
        <f>IF(OR($AP$69="",MIN(IFERROR(FIND(",",$AP$69),99999),IFERROR(FIND("+",$AP$69),99999))=99999),"",MID($AP$69,MIN(IFERROR(FIND(",",$AP$69),99999),IFERROR(FIND("+",$AP$69),99999))+1,99999))</f>
      </c>
      <c r="AR69">
        <f>IF(OR($AQ$69="",MIN(IFERROR(FIND(",",$AQ$69),99999),IFERROR(FIND("+",$AQ$69),99999))=99999),"",MID($AQ$69,MIN(IFERROR(FIND(",",$AQ$69),99999),IFERROR(FIND("+",$AQ$69),99999))+1,99999))</f>
      </c>
      <c r="AS69">
        <f>IF($AK$69="","",IF(MIN(IFERROR(FIND(",",$AK$69),99999),IFERROR(FIND("+",$AK$69),99999))=99999,TRIM($AK$69),TRIM(LEFT($AK$69,MIN(IFERROR(FIND(",",$AK$69),99999),IFERROR(FIND("+",$AK$69),99999))-1))))</f>
      </c>
      <c r="AT69">
        <f>IF($AL$69="","",IF(MIN(IFERROR(FIND(",",$AL$69),99999),IFERROR(FIND("+",$AL$69),99999))=99999,TRIM($AL$69),TRIM(LEFT($AL$69,MIN(IFERROR(FIND(",",$AL$69),99999),IFERROR(FIND("+",$AL$69),99999))-1))))</f>
      </c>
      <c r="AU69">
        <f>IF($AM$69="","",IF(MIN(IFERROR(FIND(",",$AM$69),99999),IFERROR(FIND("+",$AM$69),99999))=99999,TRIM($AM$69),TRIM(LEFT($AM$69,MIN(IFERROR(FIND(",",$AM$69),99999),IFERROR(FIND("+",$AM$69),99999))-1))))</f>
      </c>
      <c r="AV69">
        <f>IF($AN$69="","",IF(MIN(IFERROR(FIND(",",$AN$69),99999),IFERROR(FIND("+",$AN$69),99999))=99999,TRIM($AN$69),TRIM(LEFT($AN$69,MIN(IFERROR(FIND(",",$AN$69),99999),IFERROR(FIND("+",$AN$69),99999))-1))))</f>
      </c>
      <c r="AW69">
        <f>IF($AO$69="","",IF(MIN(IFERROR(FIND(",",$AO$69),99999),IFERROR(FIND("+",$AO$69),99999))=99999,TRIM($AO$69),TRIM(LEFT($AO$69,MIN(IFERROR(FIND(",",$AO$69),99999),IFERROR(FIND("+",$AO$69),99999))-1))))</f>
      </c>
      <c r="AX69">
        <f>IF($AP$69="","",IF(MIN(IFERROR(FIND(",",$AP$69),99999),IFERROR(FIND("+",$AP$69),99999))=99999,TRIM($AP$69),TRIM(LEFT($AP$69,MIN(IFERROR(FIND(",",$AP$69),99999),IFERROR(FIND("+",$AP$69),99999))-1))))</f>
      </c>
      <c r="AY69">
        <f>IF($AQ$69="","",IF(MIN(IFERROR(FIND(",",$AQ$69),99999),IFERROR(FIND("+",$AQ$69),99999))=99999,TRIM($AQ$69),TRIM(LEFT($AQ$69,MIN(IFERROR(FIND(",",$AQ$69),99999),IFERROR(FIND("+",$AQ$69),99999))-1))))</f>
      </c>
      <c r="AZ69">
        <f>IF($AR$69="","",IF(MIN(IFERROR(FIND(",",$AR$69),99999),IFERROR(FIND("+",$AR$69),99999))=99999,TRIM($AR$69),TRIM(LEFT($AR$69,MIN(IFERROR(FIND(",",$AR$69),99999),IFERROR(FIND("+",$AR$69),99999))-1))))</f>
      </c>
      <c r="BA69">
        <f>IF($AK$69="",0,1)</f>
      </c>
      <c r="BB69">
        <f>IF($AK$69="",$BA$69,$BA$69+IF(MID($AK$69,MIN(IFERROR(FIND(",",$AK$69),99999),IFERROR(FIND("+",$AK$69),99999)),1)="+",1,0))</f>
      </c>
      <c r="BC69">
        <f>IF($AL$69="",$BB$69,$BB$69+IF(MID($AL$69,MIN(IFERROR(FIND(",",$AL$69),99999),IFERROR(FIND("+",$AL$69),99999)),1)="+",1,0))</f>
      </c>
      <c r="BD69">
        <f>IF($AM$69="",$BC$69,$BC$69+IF(MID($AM$69,MIN(IFERROR(FIND(",",$AM$69),99999),IFERROR(FIND("+",$AM$69),99999)),1)="+",1,0))</f>
      </c>
      <c r="BE69">
        <f>IF($AN$69="",$BD$69,$BD$69+IF(MID($AN$69,MIN(IFERROR(FIND(",",$AN$69),99999),IFERROR(FIND("+",$AN$69),99999)),1)="+",1,0))</f>
      </c>
      <c r="BF69">
        <f>IF($AO$69="",$BE$69,$BE$69+IF(MID($AO$69,MIN(IFERROR(FIND(",",$AO$69),99999),IFERROR(FIND("+",$AO$69),99999)),1)="+",1,0))</f>
      </c>
      <c r="BG69">
        <f>IF($AP$69="",$BF$69,$BF$69+IF(MID($AP$69,MIN(IFERROR(FIND(",",$AP$69),99999),IFERROR(FIND("+",$AP$69),99999)),1)="+",1,0))</f>
      </c>
      <c r="BH69">
        <f>IF($AQ$69="",$BG$69,$BG$69+IF(MID($AQ$69,MIN(IFERROR(FIND(",",$AQ$69),99999),IFERROR(FIND("+",$AQ$69),99999)),1)="+",1,0))</f>
      </c>
      <c r="BI69">
        <f>IF($AS$69="",0,$BA$69)</f>
      </c>
      <c r="BJ69">
        <f>IF($AT$69="",0,$BB$69)</f>
      </c>
      <c r="BK69">
        <f>IF($AU$69="",0,$BC$69)</f>
      </c>
      <c r="BL69">
        <f>IF($AV$69="",0,$BD$69)</f>
      </c>
      <c r="BM69">
        <f>IF($AW$69="",0,$BE$69)</f>
      </c>
      <c r="BN69">
        <f>IF($AX$69="",0,$BF$69)</f>
      </c>
      <c r="BO69">
        <f>IF($AY$69="",0,$BG$69)</f>
      </c>
      <c r="BP69">
        <f>IF($AZ$69="",0,$BH$69)</f>
      </c>
    </row>
    <row r="70" spans="1:99" ht="15" customHeight="1" hidden="1">
      <c r="AK70">
        <f>SUBSTITUTE(SUBSTITUTE($K$4,"&amp;","+"),"/",",")</f>
      </c>
      <c r="AL70">
        <f>IF(OR($AK$70="",MIN(IFERROR(FIND(",",$AK$70),99999),IFERROR(FIND("+",$AK$70),99999))=99999),"",MID($AK$70,MIN(IFERROR(FIND(",",$AK$70),99999),IFERROR(FIND("+",$AK$70),99999))+1,99999))</f>
      </c>
      <c r="AM70">
        <f>IF(OR($AL$70="",MIN(IFERROR(FIND(",",$AL$70),99999),IFERROR(FIND("+",$AL$70),99999))=99999),"",MID($AL$70,MIN(IFERROR(FIND(",",$AL$70),99999),IFERROR(FIND("+",$AL$70),99999))+1,99999))</f>
      </c>
      <c r="AN70">
        <f>IF(OR($AM$70="",MIN(IFERROR(FIND(",",$AM$70),99999),IFERROR(FIND("+",$AM$70),99999))=99999),"",MID($AM$70,MIN(IFERROR(FIND(",",$AM$70),99999),IFERROR(FIND("+",$AM$70),99999))+1,99999))</f>
      </c>
      <c r="AO70">
        <f>IF(OR($AN$70="",MIN(IFERROR(FIND(",",$AN$70),99999),IFERROR(FIND("+",$AN$70),99999))=99999),"",MID($AN$70,MIN(IFERROR(FIND(",",$AN$70),99999),IFERROR(FIND("+",$AN$70),99999))+1,99999))</f>
      </c>
      <c r="AP70">
        <f>IF(OR($AO$70="",MIN(IFERROR(FIND(",",$AO$70),99999),IFERROR(FIND("+",$AO$70),99999))=99999),"",MID($AO$70,MIN(IFERROR(FIND(",",$AO$70),99999),IFERROR(FIND("+",$AO$70),99999))+1,99999))</f>
      </c>
      <c r="AQ70">
        <f>IF(OR($AP$70="",MIN(IFERROR(FIND(",",$AP$70),99999),IFERROR(FIND("+",$AP$70),99999))=99999),"",MID($AP$70,MIN(IFERROR(FIND(",",$AP$70),99999),IFERROR(FIND("+",$AP$70),99999))+1,99999))</f>
      </c>
      <c r="AR70">
        <f>IF(OR($AQ$70="",MIN(IFERROR(FIND(",",$AQ$70),99999),IFERROR(FIND("+",$AQ$70),99999))=99999),"",MID($AQ$70,MIN(IFERROR(FIND(",",$AQ$70),99999),IFERROR(FIND("+",$AQ$70),99999))+1,99999))</f>
      </c>
      <c r="AS70">
        <f>IF($AK$70="","",IF(MIN(IFERROR(FIND(",",$AK$70),99999),IFERROR(FIND("+",$AK$70),99999))=99999,TRIM($AK$70),TRIM(LEFT($AK$70,MIN(IFERROR(FIND(",",$AK$70),99999),IFERROR(FIND("+",$AK$70),99999))-1))))</f>
      </c>
      <c r="AT70">
        <f>IF($AL$70="","",IF(MIN(IFERROR(FIND(",",$AL$70),99999),IFERROR(FIND("+",$AL$70),99999))=99999,TRIM($AL$70),TRIM(LEFT($AL$70,MIN(IFERROR(FIND(",",$AL$70),99999),IFERROR(FIND("+",$AL$70),99999))-1))))</f>
      </c>
      <c r="AU70">
        <f>IF($AM$70="","",IF(MIN(IFERROR(FIND(",",$AM$70),99999),IFERROR(FIND("+",$AM$70),99999))=99999,TRIM($AM$70),TRIM(LEFT($AM$70,MIN(IFERROR(FIND(",",$AM$70),99999),IFERROR(FIND("+",$AM$70),99999))-1))))</f>
      </c>
      <c r="AV70">
        <f>IF($AN$70="","",IF(MIN(IFERROR(FIND(",",$AN$70),99999),IFERROR(FIND("+",$AN$70),99999))=99999,TRIM($AN$70),TRIM(LEFT($AN$70,MIN(IFERROR(FIND(",",$AN$70),99999),IFERROR(FIND("+",$AN$70),99999))-1))))</f>
      </c>
      <c r="AW70">
        <f>IF($AO$70="","",IF(MIN(IFERROR(FIND(",",$AO$70),99999),IFERROR(FIND("+",$AO$70),99999))=99999,TRIM($AO$70),TRIM(LEFT($AO$70,MIN(IFERROR(FIND(",",$AO$70),99999),IFERROR(FIND("+",$AO$70),99999))-1))))</f>
      </c>
      <c r="AX70">
        <f>IF($AP$70="","",IF(MIN(IFERROR(FIND(",",$AP$70),99999),IFERROR(FIND("+",$AP$70),99999))=99999,TRIM($AP$70),TRIM(LEFT($AP$70,MIN(IFERROR(FIND(",",$AP$70),99999),IFERROR(FIND("+",$AP$70),99999))-1))))</f>
      </c>
      <c r="AY70">
        <f>IF($AQ$70="","",IF(MIN(IFERROR(FIND(",",$AQ$70),99999),IFERROR(FIND("+",$AQ$70),99999))=99999,TRIM($AQ$70),TRIM(LEFT($AQ$70,MIN(IFERROR(FIND(",",$AQ$70),99999),IFERROR(FIND("+",$AQ$70),99999))-1))))</f>
      </c>
      <c r="AZ70">
        <f>IF($AR$70="","",IF(MIN(IFERROR(FIND(",",$AR$70),99999),IFERROR(FIND("+",$AR$70),99999))=99999,TRIM($AR$70),TRIM(LEFT($AR$70,MIN(IFERROR(FIND(",",$AR$70),99999),IFERROR(FIND("+",$AR$70),99999))-1))))</f>
      </c>
      <c r="BA70">
        <f>IF($AK$70="",0,1)</f>
      </c>
      <c r="BB70">
        <f>IF($AK$70="",$BA$70,$BA$70+IF(MID($AK$70,MIN(IFERROR(FIND(",",$AK$70),99999),IFERROR(FIND("+",$AK$70),99999)),1)="+",1,0))</f>
      </c>
      <c r="BC70">
        <f>IF($AL$70="",$BB$70,$BB$70+IF(MID($AL$70,MIN(IFERROR(FIND(",",$AL$70),99999),IFERROR(FIND("+",$AL$70),99999)),1)="+",1,0))</f>
      </c>
      <c r="BD70">
        <f>IF($AM$70="",$BC$70,$BC$70+IF(MID($AM$70,MIN(IFERROR(FIND(",",$AM$70),99999),IFERROR(FIND("+",$AM$70),99999)),1)="+",1,0))</f>
      </c>
      <c r="BE70">
        <f>IF($AN$70="",$BD$70,$BD$70+IF(MID($AN$70,MIN(IFERROR(FIND(",",$AN$70),99999),IFERROR(FIND("+",$AN$70),99999)),1)="+",1,0))</f>
      </c>
      <c r="BF70">
        <f>IF($AO$70="",$BE$70,$BE$70+IF(MID($AO$70,MIN(IFERROR(FIND(",",$AO$70),99999),IFERROR(FIND("+",$AO$70),99999)),1)="+",1,0))</f>
      </c>
      <c r="BG70">
        <f>IF($AP$70="",$BF$70,$BF$70+IF(MID($AP$70,MIN(IFERROR(FIND(",",$AP$70),99999),IFERROR(FIND("+",$AP$70),99999)),1)="+",1,0))</f>
      </c>
      <c r="BH70">
        <f>IF($AQ$70="",$BG$70,$BG$70+IF(MID($AQ$70,MIN(IFERROR(FIND(",",$AQ$70),99999),IFERROR(FIND("+",$AQ$70),99999)),1)="+",1,0))</f>
      </c>
      <c r="BI70">
        <f>IF($AS$70="",0,$BA$70)</f>
      </c>
      <c r="BJ70">
        <f>IF($AT$70="",0,$BB$70)</f>
      </c>
      <c r="BK70">
        <f>IF($AU$70="",0,$BC$70)</f>
      </c>
      <c r="BL70">
        <f>IF($AV$70="",0,$BD$70)</f>
      </c>
      <c r="BM70">
        <f>IF($AW$70="",0,$BE$70)</f>
      </c>
      <c r="BN70">
        <f>IF($AX$70="",0,$BF$70)</f>
      </c>
      <c r="BO70">
        <f>IF($AY$70="",0,$BG$70)</f>
      </c>
      <c r="BP70">
        <f>IF($AZ$70="",0,$BH$70)</f>
      </c>
    </row>
    <row r="71" spans="1:99" ht="15" customHeight="1" hidden="1">
      <c r="AK71">
        <f>SUBSTITUTE(SUBSTITUTE($L$4,"&amp;","+"),"/",",")</f>
      </c>
      <c r="AL71">
        <f>IF(OR($AK$71="",MIN(IFERROR(FIND(",",$AK$71),99999),IFERROR(FIND("+",$AK$71),99999))=99999),"",MID($AK$71,MIN(IFERROR(FIND(",",$AK$71),99999),IFERROR(FIND("+",$AK$71),99999))+1,99999))</f>
      </c>
      <c r="AM71">
        <f>IF(OR($AL$71="",MIN(IFERROR(FIND(",",$AL$71),99999),IFERROR(FIND("+",$AL$71),99999))=99999),"",MID($AL$71,MIN(IFERROR(FIND(",",$AL$71),99999),IFERROR(FIND("+",$AL$71),99999))+1,99999))</f>
      </c>
      <c r="AN71">
        <f>IF(OR($AM$71="",MIN(IFERROR(FIND(",",$AM$71),99999),IFERROR(FIND("+",$AM$71),99999))=99999),"",MID($AM$71,MIN(IFERROR(FIND(",",$AM$71),99999),IFERROR(FIND("+",$AM$71),99999))+1,99999))</f>
      </c>
      <c r="AO71">
        <f>IF(OR($AN$71="",MIN(IFERROR(FIND(",",$AN$71),99999),IFERROR(FIND("+",$AN$71),99999))=99999),"",MID($AN$71,MIN(IFERROR(FIND(",",$AN$71),99999),IFERROR(FIND("+",$AN$71),99999))+1,99999))</f>
      </c>
      <c r="AP71">
        <f>IF(OR($AO$71="",MIN(IFERROR(FIND(",",$AO$71),99999),IFERROR(FIND("+",$AO$71),99999))=99999),"",MID($AO$71,MIN(IFERROR(FIND(",",$AO$71),99999),IFERROR(FIND("+",$AO$71),99999))+1,99999))</f>
      </c>
      <c r="AQ71">
        <f>IF(OR($AP$71="",MIN(IFERROR(FIND(",",$AP$71),99999),IFERROR(FIND("+",$AP$71),99999))=99999),"",MID($AP$71,MIN(IFERROR(FIND(",",$AP$71),99999),IFERROR(FIND("+",$AP$71),99999))+1,99999))</f>
      </c>
      <c r="AR71">
        <f>IF(OR($AQ$71="",MIN(IFERROR(FIND(",",$AQ$71),99999),IFERROR(FIND("+",$AQ$71),99999))=99999),"",MID($AQ$71,MIN(IFERROR(FIND(",",$AQ$71),99999),IFERROR(FIND("+",$AQ$71),99999))+1,99999))</f>
      </c>
      <c r="AS71">
        <f>IF($AK$71="","",IF(MIN(IFERROR(FIND(",",$AK$71),99999),IFERROR(FIND("+",$AK$71),99999))=99999,TRIM($AK$71),TRIM(LEFT($AK$71,MIN(IFERROR(FIND(",",$AK$71),99999),IFERROR(FIND("+",$AK$71),99999))-1))))</f>
      </c>
      <c r="AT71">
        <f>IF($AL$71="","",IF(MIN(IFERROR(FIND(",",$AL$71),99999),IFERROR(FIND("+",$AL$71),99999))=99999,TRIM($AL$71),TRIM(LEFT($AL$71,MIN(IFERROR(FIND(",",$AL$71),99999),IFERROR(FIND("+",$AL$71),99999))-1))))</f>
      </c>
      <c r="AU71">
        <f>IF($AM$71="","",IF(MIN(IFERROR(FIND(",",$AM$71),99999),IFERROR(FIND("+",$AM$71),99999))=99999,TRIM($AM$71),TRIM(LEFT($AM$71,MIN(IFERROR(FIND(",",$AM$71),99999),IFERROR(FIND("+",$AM$71),99999))-1))))</f>
      </c>
      <c r="AV71">
        <f>IF($AN$71="","",IF(MIN(IFERROR(FIND(",",$AN$71),99999),IFERROR(FIND("+",$AN$71),99999))=99999,TRIM($AN$71),TRIM(LEFT($AN$71,MIN(IFERROR(FIND(",",$AN$71),99999),IFERROR(FIND("+",$AN$71),99999))-1))))</f>
      </c>
      <c r="AW71">
        <f>IF($AO$71="","",IF(MIN(IFERROR(FIND(",",$AO$71),99999),IFERROR(FIND("+",$AO$71),99999))=99999,TRIM($AO$71),TRIM(LEFT($AO$71,MIN(IFERROR(FIND(",",$AO$71),99999),IFERROR(FIND("+",$AO$71),99999))-1))))</f>
      </c>
      <c r="AX71">
        <f>IF($AP$71="","",IF(MIN(IFERROR(FIND(",",$AP$71),99999),IFERROR(FIND("+",$AP$71),99999))=99999,TRIM($AP$71),TRIM(LEFT($AP$71,MIN(IFERROR(FIND(",",$AP$71),99999),IFERROR(FIND("+",$AP$71),99999))-1))))</f>
      </c>
      <c r="AY71">
        <f>IF($AQ$71="","",IF(MIN(IFERROR(FIND(",",$AQ$71),99999),IFERROR(FIND("+",$AQ$71),99999))=99999,TRIM($AQ$71),TRIM(LEFT($AQ$71,MIN(IFERROR(FIND(",",$AQ$71),99999),IFERROR(FIND("+",$AQ$71),99999))-1))))</f>
      </c>
      <c r="AZ71">
        <f>IF($AR$71="","",IF(MIN(IFERROR(FIND(",",$AR$71),99999),IFERROR(FIND("+",$AR$71),99999))=99999,TRIM($AR$71),TRIM(LEFT($AR$71,MIN(IFERROR(FIND(",",$AR$71),99999),IFERROR(FIND("+",$AR$71),99999))-1))))</f>
      </c>
      <c r="BA71">
        <f>IF($AK$71="",0,1)</f>
      </c>
      <c r="BB71">
        <f>IF($AK$71="",$BA$71,$BA$71+IF(MID($AK$71,MIN(IFERROR(FIND(",",$AK$71),99999),IFERROR(FIND("+",$AK$71),99999)),1)="+",1,0))</f>
      </c>
      <c r="BC71">
        <f>IF($AL$71="",$BB$71,$BB$71+IF(MID($AL$71,MIN(IFERROR(FIND(",",$AL$71),99999),IFERROR(FIND("+",$AL$71),99999)),1)="+",1,0))</f>
      </c>
      <c r="BD71">
        <f>IF($AM$71="",$BC$71,$BC$71+IF(MID($AM$71,MIN(IFERROR(FIND(",",$AM$71),99999),IFERROR(FIND("+",$AM$71),99999)),1)="+",1,0))</f>
      </c>
      <c r="BE71">
        <f>IF($AN$71="",$BD$71,$BD$71+IF(MID($AN$71,MIN(IFERROR(FIND(",",$AN$71),99999),IFERROR(FIND("+",$AN$71),99999)),1)="+",1,0))</f>
      </c>
      <c r="BF71">
        <f>IF($AO$71="",$BE$71,$BE$71+IF(MID($AO$71,MIN(IFERROR(FIND(",",$AO$71),99999),IFERROR(FIND("+",$AO$71),99999)),1)="+",1,0))</f>
      </c>
      <c r="BG71">
        <f>IF($AP$71="",$BF$71,$BF$71+IF(MID($AP$71,MIN(IFERROR(FIND(",",$AP$71),99999),IFERROR(FIND("+",$AP$71),99999)),1)="+",1,0))</f>
      </c>
      <c r="BH71">
        <f>IF($AQ$71="",$BG$71,$BG$71+IF(MID($AQ$71,MIN(IFERROR(FIND(",",$AQ$71),99999),IFERROR(FIND("+",$AQ$71),99999)),1)="+",1,0))</f>
      </c>
      <c r="BI71">
        <f>IF($AS$71="",0,$BA$71)</f>
      </c>
      <c r="BJ71">
        <f>IF($AT$71="",0,$BB$71)</f>
      </c>
      <c r="BK71">
        <f>IF($AU$71="",0,$BC$71)</f>
      </c>
      <c r="BL71">
        <f>IF($AV$71="",0,$BD$71)</f>
      </c>
      <c r="BM71">
        <f>IF($AW$71="",0,$BE$71)</f>
      </c>
      <c r="BN71">
        <f>IF($AX$71="",0,$BF$71)</f>
      </c>
      <c r="BO71">
        <f>IF($AY$71="",0,$BG$71)</f>
      </c>
      <c r="BP71">
        <f>IF($AZ$71="",0,$BH$71)</f>
      </c>
    </row>
    <row r="72" spans="1:99" ht="15" customHeight="1" hidden="1">
      <c r="AK72">
        <f>SUBSTITUTE(SUBSTITUTE($M$4,"&amp;","+"),"/",",")</f>
      </c>
      <c r="AL72">
        <f>IF(OR($AK$72="",MIN(IFERROR(FIND(",",$AK$72),99999),IFERROR(FIND("+",$AK$72),99999))=99999),"",MID($AK$72,MIN(IFERROR(FIND(",",$AK$72),99999),IFERROR(FIND("+",$AK$72),99999))+1,99999))</f>
      </c>
      <c r="AM72">
        <f>IF(OR($AL$72="",MIN(IFERROR(FIND(",",$AL$72),99999),IFERROR(FIND("+",$AL$72),99999))=99999),"",MID($AL$72,MIN(IFERROR(FIND(",",$AL$72),99999),IFERROR(FIND("+",$AL$72),99999))+1,99999))</f>
      </c>
      <c r="AN72">
        <f>IF(OR($AM$72="",MIN(IFERROR(FIND(",",$AM$72),99999),IFERROR(FIND("+",$AM$72),99999))=99999),"",MID($AM$72,MIN(IFERROR(FIND(",",$AM$72),99999),IFERROR(FIND("+",$AM$72),99999))+1,99999))</f>
      </c>
      <c r="AO72">
        <f>IF(OR($AN$72="",MIN(IFERROR(FIND(",",$AN$72),99999),IFERROR(FIND("+",$AN$72),99999))=99999),"",MID($AN$72,MIN(IFERROR(FIND(",",$AN$72),99999),IFERROR(FIND("+",$AN$72),99999))+1,99999))</f>
      </c>
      <c r="AP72">
        <f>IF(OR($AO$72="",MIN(IFERROR(FIND(",",$AO$72),99999),IFERROR(FIND("+",$AO$72),99999))=99999),"",MID($AO$72,MIN(IFERROR(FIND(",",$AO$72),99999),IFERROR(FIND("+",$AO$72),99999))+1,99999))</f>
      </c>
      <c r="AQ72">
        <f>IF(OR($AP$72="",MIN(IFERROR(FIND(",",$AP$72),99999),IFERROR(FIND("+",$AP$72),99999))=99999),"",MID($AP$72,MIN(IFERROR(FIND(",",$AP$72),99999),IFERROR(FIND("+",$AP$72),99999))+1,99999))</f>
      </c>
      <c r="AR72">
        <f>IF(OR($AQ$72="",MIN(IFERROR(FIND(",",$AQ$72),99999),IFERROR(FIND("+",$AQ$72),99999))=99999),"",MID($AQ$72,MIN(IFERROR(FIND(",",$AQ$72),99999),IFERROR(FIND("+",$AQ$72),99999))+1,99999))</f>
      </c>
      <c r="AS72">
        <f>IF($AK$72="","",IF(MIN(IFERROR(FIND(",",$AK$72),99999),IFERROR(FIND("+",$AK$72),99999))=99999,TRIM($AK$72),TRIM(LEFT($AK$72,MIN(IFERROR(FIND(",",$AK$72),99999),IFERROR(FIND("+",$AK$72),99999))-1))))</f>
      </c>
      <c r="AT72">
        <f>IF($AL$72="","",IF(MIN(IFERROR(FIND(",",$AL$72),99999),IFERROR(FIND("+",$AL$72),99999))=99999,TRIM($AL$72),TRIM(LEFT($AL$72,MIN(IFERROR(FIND(",",$AL$72),99999),IFERROR(FIND("+",$AL$72),99999))-1))))</f>
      </c>
      <c r="AU72">
        <f>IF($AM$72="","",IF(MIN(IFERROR(FIND(",",$AM$72),99999),IFERROR(FIND("+",$AM$72),99999))=99999,TRIM($AM$72),TRIM(LEFT($AM$72,MIN(IFERROR(FIND(",",$AM$72),99999),IFERROR(FIND("+",$AM$72),99999))-1))))</f>
      </c>
      <c r="AV72">
        <f>IF($AN$72="","",IF(MIN(IFERROR(FIND(",",$AN$72),99999),IFERROR(FIND("+",$AN$72),99999))=99999,TRIM($AN$72),TRIM(LEFT($AN$72,MIN(IFERROR(FIND(",",$AN$72),99999),IFERROR(FIND("+",$AN$72),99999))-1))))</f>
      </c>
      <c r="AW72">
        <f>IF($AO$72="","",IF(MIN(IFERROR(FIND(",",$AO$72),99999),IFERROR(FIND("+",$AO$72),99999))=99999,TRIM($AO$72),TRIM(LEFT($AO$72,MIN(IFERROR(FIND(",",$AO$72),99999),IFERROR(FIND("+",$AO$72),99999))-1))))</f>
      </c>
      <c r="AX72">
        <f>IF($AP$72="","",IF(MIN(IFERROR(FIND(",",$AP$72),99999),IFERROR(FIND("+",$AP$72),99999))=99999,TRIM($AP$72),TRIM(LEFT($AP$72,MIN(IFERROR(FIND(",",$AP$72),99999),IFERROR(FIND("+",$AP$72),99999))-1))))</f>
      </c>
      <c r="AY72">
        <f>IF($AQ$72="","",IF(MIN(IFERROR(FIND(",",$AQ$72),99999),IFERROR(FIND("+",$AQ$72),99999))=99999,TRIM($AQ$72),TRIM(LEFT($AQ$72,MIN(IFERROR(FIND(",",$AQ$72),99999),IFERROR(FIND("+",$AQ$72),99999))-1))))</f>
      </c>
      <c r="AZ72">
        <f>IF($AR$72="","",IF(MIN(IFERROR(FIND(",",$AR$72),99999),IFERROR(FIND("+",$AR$72),99999))=99999,TRIM($AR$72),TRIM(LEFT($AR$72,MIN(IFERROR(FIND(",",$AR$72),99999),IFERROR(FIND("+",$AR$72),99999))-1))))</f>
      </c>
      <c r="BA72">
        <f>IF($AK$72="",0,1)</f>
      </c>
      <c r="BB72">
        <f>IF($AK$72="",$BA$72,$BA$72+IF(MID($AK$72,MIN(IFERROR(FIND(",",$AK$72),99999),IFERROR(FIND("+",$AK$72),99999)),1)="+",1,0))</f>
      </c>
      <c r="BC72">
        <f>IF($AL$72="",$BB$72,$BB$72+IF(MID($AL$72,MIN(IFERROR(FIND(",",$AL$72),99999),IFERROR(FIND("+",$AL$72),99999)),1)="+",1,0))</f>
      </c>
      <c r="BD72">
        <f>IF($AM$72="",$BC$72,$BC$72+IF(MID($AM$72,MIN(IFERROR(FIND(",",$AM$72),99999),IFERROR(FIND("+",$AM$72),99999)),1)="+",1,0))</f>
      </c>
      <c r="BE72">
        <f>IF($AN$72="",$BD$72,$BD$72+IF(MID($AN$72,MIN(IFERROR(FIND(",",$AN$72),99999),IFERROR(FIND("+",$AN$72),99999)),1)="+",1,0))</f>
      </c>
      <c r="BF72">
        <f>IF($AO$72="",$BE$72,$BE$72+IF(MID($AO$72,MIN(IFERROR(FIND(",",$AO$72),99999),IFERROR(FIND("+",$AO$72),99999)),1)="+",1,0))</f>
      </c>
      <c r="BG72">
        <f>IF($AP$72="",$BF$72,$BF$72+IF(MID($AP$72,MIN(IFERROR(FIND(",",$AP$72),99999),IFERROR(FIND("+",$AP$72),99999)),1)="+",1,0))</f>
      </c>
      <c r="BH72">
        <f>IF($AQ$72="",$BG$72,$BG$72+IF(MID($AQ$72,MIN(IFERROR(FIND(",",$AQ$72),99999),IFERROR(FIND("+",$AQ$72),99999)),1)="+",1,0))</f>
      </c>
      <c r="BI72">
        <f>IF($AS$72="",0,$BA$72)</f>
      </c>
      <c r="BJ72">
        <f>IF($AT$72="",0,$BB$72)</f>
      </c>
      <c r="BK72">
        <f>IF($AU$72="",0,$BC$72)</f>
      </c>
      <c r="BL72">
        <f>IF($AV$72="",0,$BD$72)</f>
      </c>
      <c r="BM72">
        <f>IF($AW$72="",0,$BE$72)</f>
      </c>
      <c r="BN72">
        <f>IF($AX$72="",0,$BF$72)</f>
      </c>
      <c r="BO72">
        <f>IF($AY$72="",0,$BG$72)</f>
      </c>
      <c r="BP72">
        <f>IF($AZ$72="",0,$BH$72)</f>
      </c>
    </row>
    <row r="73" spans="1:99" ht="15" customHeight="1" hidden="1">
      <c r="AK73">
        <f>SUBSTITUTE(SUBSTITUTE($N$4,"&amp;","+"),"/",",")</f>
      </c>
      <c r="AL73">
        <f>IF(OR($AK$73="",MIN(IFERROR(FIND(",",$AK$73),99999),IFERROR(FIND("+",$AK$73),99999))=99999),"",MID($AK$73,MIN(IFERROR(FIND(",",$AK$73),99999),IFERROR(FIND("+",$AK$73),99999))+1,99999))</f>
      </c>
      <c r="AM73">
        <f>IF(OR($AL$73="",MIN(IFERROR(FIND(",",$AL$73),99999),IFERROR(FIND("+",$AL$73),99999))=99999),"",MID($AL$73,MIN(IFERROR(FIND(",",$AL$73),99999),IFERROR(FIND("+",$AL$73),99999))+1,99999))</f>
      </c>
      <c r="AN73">
        <f>IF(OR($AM$73="",MIN(IFERROR(FIND(",",$AM$73),99999),IFERROR(FIND("+",$AM$73),99999))=99999),"",MID($AM$73,MIN(IFERROR(FIND(",",$AM$73),99999),IFERROR(FIND("+",$AM$73),99999))+1,99999))</f>
      </c>
      <c r="AO73">
        <f>IF(OR($AN$73="",MIN(IFERROR(FIND(",",$AN$73),99999),IFERROR(FIND("+",$AN$73),99999))=99999),"",MID($AN$73,MIN(IFERROR(FIND(",",$AN$73),99999),IFERROR(FIND("+",$AN$73),99999))+1,99999))</f>
      </c>
      <c r="AP73">
        <f>IF(OR($AO$73="",MIN(IFERROR(FIND(",",$AO$73),99999),IFERROR(FIND("+",$AO$73),99999))=99999),"",MID($AO$73,MIN(IFERROR(FIND(",",$AO$73),99999),IFERROR(FIND("+",$AO$73),99999))+1,99999))</f>
      </c>
      <c r="AQ73">
        <f>IF(OR($AP$73="",MIN(IFERROR(FIND(",",$AP$73),99999),IFERROR(FIND("+",$AP$73),99999))=99999),"",MID($AP$73,MIN(IFERROR(FIND(",",$AP$73),99999),IFERROR(FIND("+",$AP$73),99999))+1,99999))</f>
      </c>
      <c r="AR73">
        <f>IF(OR($AQ$73="",MIN(IFERROR(FIND(",",$AQ$73),99999),IFERROR(FIND("+",$AQ$73),99999))=99999),"",MID($AQ$73,MIN(IFERROR(FIND(",",$AQ$73),99999),IFERROR(FIND("+",$AQ$73),99999))+1,99999))</f>
      </c>
      <c r="AS73">
        <f>IF($AK$73="","",IF(MIN(IFERROR(FIND(",",$AK$73),99999),IFERROR(FIND("+",$AK$73),99999))=99999,TRIM($AK$73),TRIM(LEFT($AK$73,MIN(IFERROR(FIND(",",$AK$73),99999),IFERROR(FIND("+",$AK$73),99999))-1))))</f>
      </c>
      <c r="AT73">
        <f>IF($AL$73="","",IF(MIN(IFERROR(FIND(",",$AL$73),99999),IFERROR(FIND("+",$AL$73),99999))=99999,TRIM($AL$73),TRIM(LEFT($AL$73,MIN(IFERROR(FIND(",",$AL$73),99999),IFERROR(FIND("+",$AL$73),99999))-1))))</f>
      </c>
      <c r="AU73">
        <f>IF($AM$73="","",IF(MIN(IFERROR(FIND(",",$AM$73),99999),IFERROR(FIND("+",$AM$73),99999))=99999,TRIM($AM$73),TRIM(LEFT($AM$73,MIN(IFERROR(FIND(",",$AM$73),99999),IFERROR(FIND("+",$AM$73),99999))-1))))</f>
      </c>
      <c r="AV73">
        <f>IF($AN$73="","",IF(MIN(IFERROR(FIND(",",$AN$73),99999),IFERROR(FIND("+",$AN$73),99999))=99999,TRIM($AN$73),TRIM(LEFT($AN$73,MIN(IFERROR(FIND(",",$AN$73),99999),IFERROR(FIND("+",$AN$73),99999))-1))))</f>
      </c>
      <c r="AW73">
        <f>IF($AO$73="","",IF(MIN(IFERROR(FIND(",",$AO$73),99999),IFERROR(FIND("+",$AO$73),99999))=99999,TRIM($AO$73),TRIM(LEFT($AO$73,MIN(IFERROR(FIND(",",$AO$73),99999),IFERROR(FIND("+",$AO$73),99999))-1))))</f>
      </c>
      <c r="AX73">
        <f>IF($AP$73="","",IF(MIN(IFERROR(FIND(",",$AP$73),99999),IFERROR(FIND("+",$AP$73),99999))=99999,TRIM($AP$73),TRIM(LEFT($AP$73,MIN(IFERROR(FIND(",",$AP$73),99999),IFERROR(FIND("+",$AP$73),99999))-1))))</f>
      </c>
      <c r="AY73">
        <f>IF($AQ$73="","",IF(MIN(IFERROR(FIND(",",$AQ$73),99999),IFERROR(FIND("+",$AQ$73),99999))=99999,TRIM($AQ$73),TRIM(LEFT($AQ$73,MIN(IFERROR(FIND(",",$AQ$73),99999),IFERROR(FIND("+",$AQ$73),99999))-1))))</f>
      </c>
      <c r="AZ73">
        <f>IF($AR$73="","",IF(MIN(IFERROR(FIND(",",$AR$73),99999),IFERROR(FIND("+",$AR$73),99999))=99999,TRIM($AR$73),TRIM(LEFT($AR$73,MIN(IFERROR(FIND(",",$AR$73),99999),IFERROR(FIND("+",$AR$73),99999))-1))))</f>
      </c>
      <c r="BA73">
        <f>IF($AK$73="",0,1)</f>
      </c>
      <c r="BB73">
        <f>IF($AK$73="",$BA$73,$BA$73+IF(MID($AK$73,MIN(IFERROR(FIND(",",$AK$73),99999),IFERROR(FIND("+",$AK$73),99999)),1)="+",1,0))</f>
      </c>
      <c r="BC73">
        <f>IF($AL$73="",$BB$73,$BB$73+IF(MID($AL$73,MIN(IFERROR(FIND(",",$AL$73),99999),IFERROR(FIND("+",$AL$73),99999)),1)="+",1,0))</f>
      </c>
      <c r="BD73">
        <f>IF($AM$73="",$BC$73,$BC$73+IF(MID($AM$73,MIN(IFERROR(FIND(",",$AM$73),99999),IFERROR(FIND("+",$AM$73),99999)),1)="+",1,0))</f>
      </c>
      <c r="BE73">
        <f>IF($AN$73="",$BD$73,$BD$73+IF(MID($AN$73,MIN(IFERROR(FIND(",",$AN$73),99999),IFERROR(FIND("+",$AN$73),99999)),1)="+",1,0))</f>
      </c>
      <c r="BF73">
        <f>IF($AO$73="",$BE$73,$BE$73+IF(MID($AO$73,MIN(IFERROR(FIND(",",$AO$73),99999),IFERROR(FIND("+",$AO$73),99999)),1)="+",1,0))</f>
      </c>
      <c r="BG73">
        <f>IF($AP$73="",$BF$73,$BF$73+IF(MID($AP$73,MIN(IFERROR(FIND(",",$AP$73),99999),IFERROR(FIND("+",$AP$73),99999)),1)="+",1,0))</f>
      </c>
      <c r="BH73">
        <f>IF($AQ$73="",$BG$73,$BG$73+IF(MID($AQ$73,MIN(IFERROR(FIND(",",$AQ$73),99999),IFERROR(FIND("+",$AQ$73),99999)),1)="+",1,0))</f>
      </c>
      <c r="BI73">
        <f>IF($AS$73="",0,$BA$73)</f>
      </c>
      <c r="BJ73">
        <f>IF($AT$73="",0,$BB$73)</f>
      </c>
      <c r="BK73">
        <f>IF($AU$73="",0,$BC$73)</f>
      </c>
      <c r="BL73">
        <f>IF($AV$73="",0,$BD$73)</f>
      </c>
      <c r="BM73">
        <f>IF($AW$73="",0,$BE$73)</f>
      </c>
      <c r="BN73">
        <f>IF($AX$73="",0,$BF$73)</f>
      </c>
      <c r="BO73">
        <f>IF($AY$73="",0,$BG$73)</f>
      </c>
      <c r="BP73">
        <f>IF($AZ$73="",0,$BH$73)</f>
      </c>
    </row>
    <row r="74" spans="1:99" ht="15" customHeight="1" hidden="1">
      <c r="AK74">
        <f>SUBSTITUTE(SUBSTITUTE($O$4,"&amp;","+"),"/",",")</f>
      </c>
      <c r="AL74">
        <f>IF(OR($AK$74="",MIN(IFERROR(FIND(",",$AK$74),99999),IFERROR(FIND("+",$AK$74),99999))=99999),"",MID($AK$74,MIN(IFERROR(FIND(",",$AK$74),99999),IFERROR(FIND("+",$AK$74),99999))+1,99999))</f>
      </c>
      <c r="AM74">
        <f>IF(OR($AL$74="",MIN(IFERROR(FIND(",",$AL$74),99999),IFERROR(FIND("+",$AL$74),99999))=99999),"",MID($AL$74,MIN(IFERROR(FIND(",",$AL$74),99999),IFERROR(FIND("+",$AL$74),99999))+1,99999))</f>
      </c>
      <c r="AN74">
        <f>IF(OR($AM$74="",MIN(IFERROR(FIND(",",$AM$74),99999),IFERROR(FIND("+",$AM$74),99999))=99999),"",MID($AM$74,MIN(IFERROR(FIND(",",$AM$74),99999),IFERROR(FIND("+",$AM$74),99999))+1,99999))</f>
      </c>
      <c r="AO74">
        <f>IF(OR($AN$74="",MIN(IFERROR(FIND(",",$AN$74),99999),IFERROR(FIND("+",$AN$74),99999))=99999),"",MID($AN$74,MIN(IFERROR(FIND(",",$AN$74),99999),IFERROR(FIND("+",$AN$74),99999))+1,99999))</f>
      </c>
      <c r="AP74">
        <f>IF(OR($AO$74="",MIN(IFERROR(FIND(",",$AO$74),99999),IFERROR(FIND("+",$AO$74),99999))=99999),"",MID($AO$74,MIN(IFERROR(FIND(",",$AO$74),99999),IFERROR(FIND("+",$AO$74),99999))+1,99999))</f>
      </c>
      <c r="AQ74">
        <f>IF(OR($AP$74="",MIN(IFERROR(FIND(",",$AP$74),99999),IFERROR(FIND("+",$AP$74),99999))=99999),"",MID($AP$74,MIN(IFERROR(FIND(",",$AP$74),99999),IFERROR(FIND("+",$AP$74),99999))+1,99999))</f>
      </c>
      <c r="AR74">
        <f>IF(OR($AQ$74="",MIN(IFERROR(FIND(",",$AQ$74),99999),IFERROR(FIND("+",$AQ$74),99999))=99999),"",MID($AQ$74,MIN(IFERROR(FIND(",",$AQ$74),99999),IFERROR(FIND("+",$AQ$74),99999))+1,99999))</f>
      </c>
      <c r="AS74">
        <f>IF($AK$74="","",IF(MIN(IFERROR(FIND(",",$AK$74),99999),IFERROR(FIND("+",$AK$74),99999))=99999,TRIM($AK$74),TRIM(LEFT($AK$74,MIN(IFERROR(FIND(",",$AK$74),99999),IFERROR(FIND("+",$AK$74),99999))-1))))</f>
      </c>
      <c r="AT74">
        <f>IF($AL$74="","",IF(MIN(IFERROR(FIND(",",$AL$74),99999),IFERROR(FIND("+",$AL$74),99999))=99999,TRIM($AL$74),TRIM(LEFT($AL$74,MIN(IFERROR(FIND(",",$AL$74),99999),IFERROR(FIND("+",$AL$74),99999))-1))))</f>
      </c>
      <c r="AU74">
        <f>IF($AM$74="","",IF(MIN(IFERROR(FIND(",",$AM$74),99999),IFERROR(FIND("+",$AM$74),99999))=99999,TRIM($AM$74),TRIM(LEFT($AM$74,MIN(IFERROR(FIND(",",$AM$74),99999),IFERROR(FIND("+",$AM$74),99999))-1))))</f>
      </c>
      <c r="AV74">
        <f>IF($AN$74="","",IF(MIN(IFERROR(FIND(",",$AN$74),99999),IFERROR(FIND("+",$AN$74),99999))=99999,TRIM($AN$74),TRIM(LEFT($AN$74,MIN(IFERROR(FIND(",",$AN$74),99999),IFERROR(FIND("+",$AN$74),99999))-1))))</f>
      </c>
      <c r="AW74">
        <f>IF($AO$74="","",IF(MIN(IFERROR(FIND(",",$AO$74),99999),IFERROR(FIND("+",$AO$74),99999))=99999,TRIM($AO$74),TRIM(LEFT($AO$74,MIN(IFERROR(FIND(",",$AO$74),99999),IFERROR(FIND("+",$AO$74),99999))-1))))</f>
      </c>
      <c r="AX74">
        <f>IF($AP$74="","",IF(MIN(IFERROR(FIND(",",$AP$74),99999),IFERROR(FIND("+",$AP$74),99999))=99999,TRIM($AP$74),TRIM(LEFT($AP$74,MIN(IFERROR(FIND(",",$AP$74),99999),IFERROR(FIND("+",$AP$74),99999))-1))))</f>
      </c>
      <c r="AY74">
        <f>IF($AQ$74="","",IF(MIN(IFERROR(FIND(",",$AQ$74),99999),IFERROR(FIND("+",$AQ$74),99999))=99999,TRIM($AQ$74),TRIM(LEFT($AQ$74,MIN(IFERROR(FIND(",",$AQ$74),99999),IFERROR(FIND("+",$AQ$74),99999))-1))))</f>
      </c>
      <c r="AZ74">
        <f>IF($AR$74="","",IF(MIN(IFERROR(FIND(",",$AR$74),99999),IFERROR(FIND("+",$AR$74),99999))=99999,TRIM($AR$74),TRIM(LEFT($AR$74,MIN(IFERROR(FIND(",",$AR$74),99999),IFERROR(FIND("+",$AR$74),99999))-1))))</f>
      </c>
      <c r="BA74">
        <f>IF($AK$74="",0,1)</f>
      </c>
      <c r="BB74">
        <f>IF($AK$74="",$BA$74,$BA$74+IF(MID($AK$74,MIN(IFERROR(FIND(",",$AK$74),99999),IFERROR(FIND("+",$AK$74),99999)),1)="+",1,0))</f>
      </c>
      <c r="BC74">
        <f>IF($AL$74="",$BB$74,$BB$74+IF(MID($AL$74,MIN(IFERROR(FIND(",",$AL$74),99999),IFERROR(FIND("+",$AL$74),99999)),1)="+",1,0))</f>
      </c>
      <c r="BD74">
        <f>IF($AM$74="",$BC$74,$BC$74+IF(MID($AM$74,MIN(IFERROR(FIND(",",$AM$74),99999),IFERROR(FIND("+",$AM$74),99999)),1)="+",1,0))</f>
      </c>
      <c r="BE74">
        <f>IF($AN$74="",$BD$74,$BD$74+IF(MID($AN$74,MIN(IFERROR(FIND(",",$AN$74),99999),IFERROR(FIND("+",$AN$74),99999)),1)="+",1,0))</f>
      </c>
      <c r="BF74">
        <f>IF($AO$74="",$BE$74,$BE$74+IF(MID($AO$74,MIN(IFERROR(FIND(",",$AO$74),99999),IFERROR(FIND("+",$AO$74),99999)),1)="+",1,0))</f>
      </c>
      <c r="BG74">
        <f>IF($AP$74="",$BF$74,$BF$74+IF(MID($AP$74,MIN(IFERROR(FIND(",",$AP$74),99999),IFERROR(FIND("+",$AP$74),99999)),1)="+",1,0))</f>
      </c>
      <c r="BH74">
        <f>IF($AQ$74="",$BG$74,$BG$74+IF(MID($AQ$74,MIN(IFERROR(FIND(",",$AQ$74),99999),IFERROR(FIND("+",$AQ$74),99999)),1)="+",1,0))</f>
      </c>
      <c r="BI74">
        <f>IF($AS$74="",0,$BA$74)</f>
      </c>
      <c r="BJ74">
        <f>IF($AT$74="",0,$BB$74)</f>
      </c>
      <c r="BK74">
        <f>IF($AU$74="",0,$BC$74)</f>
      </c>
      <c r="BL74">
        <f>IF($AV$74="",0,$BD$74)</f>
      </c>
      <c r="BM74">
        <f>IF($AW$74="",0,$BE$74)</f>
      </c>
      <c r="BN74">
        <f>IF($AX$74="",0,$BF$74)</f>
      </c>
      <c r="BO74">
        <f>IF($AY$74="",0,$BG$74)</f>
      </c>
      <c r="BP74">
        <f>IF($AZ$74="",0,$BH$74)</f>
      </c>
    </row>
    <row r="75" spans="1:99" ht="15" customHeight="1" hidden="1">
      <c r="AK75">
        <f>SUBSTITUTE(SUBSTITUTE($P$4,"&amp;","+"),"/",",")</f>
      </c>
      <c r="AL75">
        <f>IF(OR($AK$75="",MIN(IFERROR(FIND(",",$AK$75),99999),IFERROR(FIND("+",$AK$75),99999))=99999),"",MID($AK$75,MIN(IFERROR(FIND(",",$AK$75),99999),IFERROR(FIND("+",$AK$75),99999))+1,99999))</f>
      </c>
      <c r="AM75">
        <f>IF(OR($AL$75="",MIN(IFERROR(FIND(",",$AL$75),99999),IFERROR(FIND("+",$AL$75),99999))=99999),"",MID($AL$75,MIN(IFERROR(FIND(",",$AL$75),99999),IFERROR(FIND("+",$AL$75),99999))+1,99999))</f>
      </c>
      <c r="AN75">
        <f>IF(OR($AM$75="",MIN(IFERROR(FIND(",",$AM$75),99999),IFERROR(FIND("+",$AM$75),99999))=99999),"",MID($AM$75,MIN(IFERROR(FIND(",",$AM$75),99999),IFERROR(FIND("+",$AM$75),99999))+1,99999))</f>
      </c>
      <c r="AO75">
        <f>IF(OR($AN$75="",MIN(IFERROR(FIND(",",$AN$75),99999),IFERROR(FIND("+",$AN$75),99999))=99999),"",MID($AN$75,MIN(IFERROR(FIND(",",$AN$75),99999),IFERROR(FIND("+",$AN$75),99999))+1,99999))</f>
      </c>
      <c r="AP75">
        <f>IF(OR($AO$75="",MIN(IFERROR(FIND(",",$AO$75),99999),IFERROR(FIND("+",$AO$75),99999))=99999),"",MID($AO$75,MIN(IFERROR(FIND(",",$AO$75),99999),IFERROR(FIND("+",$AO$75),99999))+1,99999))</f>
      </c>
      <c r="AQ75">
        <f>IF(OR($AP$75="",MIN(IFERROR(FIND(",",$AP$75),99999),IFERROR(FIND("+",$AP$75),99999))=99999),"",MID($AP$75,MIN(IFERROR(FIND(",",$AP$75),99999),IFERROR(FIND("+",$AP$75),99999))+1,99999))</f>
      </c>
      <c r="AR75">
        <f>IF(OR($AQ$75="",MIN(IFERROR(FIND(",",$AQ$75),99999),IFERROR(FIND("+",$AQ$75),99999))=99999),"",MID($AQ$75,MIN(IFERROR(FIND(",",$AQ$75),99999),IFERROR(FIND("+",$AQ$75),99999))+1,99999))</f>
      </c>
      <c r="AS75">
        <f>IF($AK$75="","",IF(MIN(IFERROR(FIND(",",$AK$75),99999),IFERROR(FIND("+",$AK$75),99999))=99999,TRIM($AK$75),TRIM(LEFT($AK$75,MIN(IFERROR(FIND(",",$AK$75),99999),IFERROR(FIND("+",$AK$75),99999))-1))))</f>
      </c>
      <c r="AT75">
        <f>IF($AL$75="","",IF(MIN(IFERROR(FIND(",",$AL$75),99999),IFERROR(FIND("+",$AL$75),99999))=99999,TRIM($AL$75),TRIM(LEFT($AL$75,MIN(IFERROR(FIND(",",$AL$75),99999),IFERROR(FIND("+",$AL$75),99999))-1))))</f>
      </c>
      <c r="AU75">
        <f>IF($AM$75="","",IF(MIN(IFERROR(FIND(",",$AM$75),99999),IFERROR(FIND("+",$AM$75),99999))=99999,TRIM($AM$75),TRIM(LEFT($AM$75,MIN(IFERROR(FIND(",",$AM$75),99999),IFERROR(FIND("+",$AM$75),99999))-1))))</f>
      </c>
      <c r="AV75">
        <f>IF($AN$75="","",IF(MIN(IFERROR(FIND(",",$AN$75),99999),IFERROR(FIND("+",$AN$75),99999))=99999,TRIM($AN$75),TRIM(LEFT($AN$75,MIN(IFERROR(FIND(",",$AN$75),99999),IFERROR(FIND("+",$AN$75),99999))-1))))</f>
      </c>
      <c r="AW75">
        <f>IF($AO$75="","",IF(MIN(IFERROR(FIND(",",$AO$75),99999),IFERROR(FIND("+",$AO$75),99999))=99999,TRIM($AO$75),TRIM(LEFT($AO$75,MIN(IFERROR(FIND(",",$AO$75),99999),IFERROR(FIND("+",$AO$75),99999))-1))))</f>
      </c>
      <c r="AX75">
        <f>IF($AP$75="","",IF(MIN(IFERROR(FIND(",",$AP$75),99999),IFERROR(FIND("+",$AP$75),99999))=99999,TRIM($AP$75),TRIM(LEFT($AP$75,MIN(IFERROR(FIND(",",$AP$75),99999),IFERROR(FIND("+",$AP$75),99999))-1))))</f>
      </c>
      <c r="AY75">
        <f>IF($AQ$75="","",IF(MIN(IFERROR(FIND(",",$AQ$75),99999),IFERROR(FIND("+",$AQ$75),99999))=99999,TRIM($AQ$75),TRIM(LEFT($AQ$75,MIN(IFERROR(FIND(",",$AQ$75),99999),IFERROR(FIND("+",$AQ$75),99999))-1))))</f>
      </c>
      <c r="AZ75">
        <f>IF($AR$75="","",IF(MIN(IFERROR(FIND(",",$AR$75),99999),IFERROR(FIND("+",$AR$75),99999))=99999,TRIM($AR$75),TRIM(LEFT($AR$75,MIN(IFERROR(FIND(",",$AR$75),99999),IFERROR(FIND("+",$AR$75),99999))-1))))</f>
      </c>
      <c r="BA75">
        <f>IF($AK$75="",0,1)</f>
      </c>
      <c r="BB75">
        <f>IF($AK$75="",$BA$75,$BA$75+IF(MID($AK$75,MIN(IFERROR(FIND(",",$AK$75),99999),IFERROR(FIND("+",$AK$75),99999)),1)="+",1,0))</f>
      </c>
      <c r="BC75">
        <f>IF($AL$75="",$BB$75,$BB$75+IF(MID($AL$75,MIN(IFERROR(FIND(",",$AL$75),99999),IFERROR(FIND("+",$AL$75),99999)),1)="+",1,0))</f>
      </c>
      <c r="BD75">
        <f>IF($AM$75="",$BC$75,$BC$75+IF(MID($AM$75,MIN(IFERROR(FIND(",",$AM$75),99999),IFERROR(FIND("+",$AM$75),99999)),1)="+",1,0))</f>
      </c>
      <c r="BE75">
        <f>IF($AN$75="",$BD$75,$BD$75+IF(MID($AN$75,MIN(IFERROR(FIND(",",$AN$75),99999),IFERROR(FIND("+",$AN$75),99999)),1)="+",1,0))</f>
      </c>
      <c r="BF75">
        <f>IF($AO$75="",$BE$75,$BE$75+IF(MID($AO$75,MIN(IFERROR(FIND(",",$AO$75),99999),IFERROR(FIND("+",$AO$75),99999)),1)="+",1,0))</f>
      </c>
      <c r="BG75">
        <f>IF($AP$75="",$BF$75,$BF$75+IF(MID($AP$75,MIN(IFERROR(FIND(",",$AP$75),99999),IFERROR(FIND("+",$AP$75),99999)),1)="+",1,0))</f>
      </c>
      <c r="BH75">
        <f>IF($AQ$75="",$BG$75,$BG$75+IF(MID($AQ$75,MIN(IFERROR(FIND(",",$AQ$75),99999),IFERROR(FIND("+",$AQ$75),99999)),1)="+",1,0))</f>
      </c>
      <c r="BI75">
        <f>IF($AS$75="",0,$BA$75)</f>
      </c>
      <c r="BJ75">
        <f>IF($AT$75="",0,$BB$75)</f>
      </c>
      <c r="BK75">
        <f>IF($AU$75="",0,$BC$75)</f>
      </c>
      <c r="BL75">
        <f>IF($AV$75="",0,$BD$75)</f>
      </c>
      <c r="BM75">
        <f>IF($AW$75="",0,$BE$75)</f>
      </c>
      <c r="BN75">
        <f>IF($AX$75="",0,$BF$75)</f>
      </c>
      <c r="BO75">
        <f>IF($AY$75="",0,$BG$75)</f>
      </c>
      <c r="BP75">
        <f>IF($AZ$75="",0,$BH$75)</f>
      </c>
    </row>
    <row r="76" spans="1:99" ht="15" customHeight="1" hidden="1">
      <c r="AK76">
        <f>SUBSTITUTE(SUBSTITUTE($Q$4,"&amp;","+"),"/",",")</f>
      </c>
      <c r="AL76">
        <f>IF(OR($AK$76="",MIN(IFERROR(FIND(",",$AK$76),99999),IFERROR(FIND("+",$AK$76),99999))=99999),"",MID($AK$76,MIN(IFERROR(FIND(",",$AK$76),99999),IFERROR(FIND("+",$AK$76),99999))+1,99999))</f>
      </c>
      <c r="AM76">
        <f>IF(OR($AL$76="",MIN(IFERROR(FIND(",",$AL$76),99999),IFERROR(FIND("+",$AL$76),99999))=99999),"",MID($AL$76,MIN(IFERROR(FIND(",",$AL$76),99999),IFERROR(FIND("+",$AL$76),99999))+1,99999))</f>
      </c>
      <c r="AN76">
        <f>IF(OR($AM$76="",MIN(IFERROR(FIND(",",$AM$76),99999),IFERROR(FIND("+",$AM$76),99999))=99999),"",MID($AM$76,MIN(IFERROR(FIND(",",$AM$76),99999),IFERROR(FIND("+",$AM$76),99999))+1,99999))</f>
      </c>
      <c r="AO76">
        <f>IF(OR($AN$76="",MIN(IFERROR(FIND(",",$AN$76),99999),IFERROR(FIND("+",$AN$76),99999))=99999),"",MID($AN$76,MIN(IFERROR(FIND(",",$AN$76),99999),IFERROR(FIND("+",$AN$76),99999))+1,99999))</f>
      </c>
      <c r="AP76">
        <f>IF(OR($AO$76="",MIN(IFERROR(FIND(",",$AO$76),99999),IFERROR(FIND("+",$AO$76),99999))=99999),"",MID($AO$76,MIN(IFERROR(FIND(",",$AO$76),99999),IFERROR(FIND("+",$AO$76),99999))+1,99999))</f>
      </c>
      <c r="AQ76">
        <f>IF(OR($AP$76="",MIN(IFERROR(FIND(",",$AP$76),99999),IFERROR(FIND("+",$AP$76),99999))=99999),"",MID($AP$76,MIN(IFERROR(FIND(",",$AP$76),99999),IFERROR(FIND("+",$AP$76),99999))+1,99999))</f>
      </c>
      <c r="AR76">
        <f>IF(OR($AQ$76="",MIN(IFERROR(FIND(",",$AQ$76),99999),IFERROR(FIND("+",$AQ$76),99999))=99999),"",MID($AQ$76,MIN(IFERROR(FIND(",",$AQ$76),99999),IFERROR(FIND("+",$AQ$76),99999))+1,99999))</f>
      </c>
      <c r="AS76">
        <f>IF($AK$76="","",IF(MIN(IFERROR(FIND(",",$AK$76),99999),IFERROR(FIND("+",$AK$76),99999))=99999,TRIM($AK$76),TRIM(LEFT($AK$76,MIN(IFERROR(FIND(",",$AK$76),99999),IFERROR(FIND("+",$AK$76),99999))-1))))</f>
      </c>
      <c r="AT76">
        <f>IF($AL$76="","",IF(MIN(IFERROR(FIND(",",$AL$76),99999),IFERROR(FIND("+",$AL$76),99999))=99999,TRIM($AL$76),TRIM(LEFT($AL$76,MIN(IFERROR(FIND(",",$AL$76),99999),IFERROR(FIND("+",$AL$76),99999))-1))))</f>
      </c>
      <c r="AU76">
        <f>IF($AM$76="","",IF(MIN(IFERROR(FIND(",",$AM$76),99999),IFERROR(FIND("+",$AM$76),99999))=99999,TRIM($AM$76),TRIM(LEFT($AM$76,MIN(IFERROR(FIND(",",$AM$76),99999),IFERROR(FIND("+",$AM$76),99999))-1))))</f>
      </c>
      <c r="AV76">
        <f>IF($AN$76="","",IF(MIN(IFERROR(FIND(",",$AN$76),99999),IFERROR(FIND("+",$AN$76),99999))=99999,TRIM($AN$76),TRIM(LEFT($AN$76,MIN(IFERROR(FIND(",",$AN$76),99999),IFERROR(FIND("+",$AN$76),99999))-1))))</f>
      </c>
      <c r="AW76">
        <f>IF($AO$76="","",IF(MIN(IFERROR(FIND(",",$AO$76),99999),IFERROR(FIND("+",$AO$76),99999))=99999,TRIM($AO$76),TRIM(LEFT($AO$76,MIN(IFERROR(FIND(",",$AO$76),99999),IFERROR(FIND("+",$AO$76),99999))-1))))</f>
      </c>
      <c r="AX76">
        <f>IF($AP$76="","",IF(MIN(IFERROR(FIND(",",$AP$76),99999),IFERROR(FIND("+",$AP$76),99999))=99999,TRIM($AP$76),TRIM(LEFT($AP$76,MIN(IFERROR(FIND(",",$AP$76),99999),IFERROR(FIND("+",$AP$76),99999))-1))))</f>
      </c>
      <c r="AY76">
        <f>IF($AQ$76="","",IF(MIN(IFERROR(FIND(",",$AQ$76),99999),IFERROR(FIND("+",$AQ$76),99999))=99999,TRIM($AQ$76),TRIM(LEFT($AQ$76,MIN(IFERROR(FIND(",",$AQ$76),99999),IFERROR(FIND("+",$AQ$76),99999))-1))))</f>
      </c>
      <c r="AZ76">
        <f>IF($AR$76="","",IF(MIN(IFERROR(FIND(",",$AR$76),99999),IFERROR(FIND("+",$AR$76),99999))=99999,TRIM($AR$76),TRIM(LEFT($AR$76,MIN(IFERROR(FIND(",",$AR$76),99999),IFERROR(FIND("+",$AR$76),99999))-1))))</f>
      </c>
      <c r="BA76">
        <f>IF($AK$76="",0,1)</f>
      </c>
      <c r="BB76">
        <f>IF($AK$76="",$BA$76,$BA$76+IF(MID($AK$76,MIN(IFERROR(FIND(",",$AK$76),99999),IFERROR(FIND("+",$AK$76),99999)),1)="+",1,0))</f>
      </c>
      <c r="BC76">
        <f>IF($AL$76="",$BB$76,$BB$76+IF(MID($AL$76,MIN(IFERROR(FIND(",",$AL$76),99999),IFERROR(FIND("+",$AL$76),99999)),1)="+",1,0))</f>
      </c>
      <c r="BD76">
        <f>IF($AM$76="",$BC$76,$BC$76+IF(MID($AM$76,MIN(IFERROR(FIND(",",$AM$76),99999),IFERROR(FIND("+",$AM$76),99999)),1)="+",1,0))</f>
      </c>
      <c r="BE76">
        <f>IF($AN$76="",$BD$76,$BD$76+IF(MID($AN$76,MIN(IFERROR(FIND(",",$AN$76),99999),IFERROR(FIND("+",$AN$76),99999)),1)="+",1,0))</f>
      </c>
      <c r="BF76">
        <f>IF($AO$76="",$BE$76,$BE$76+IF(MID($AO$76,MIN(IFERROR(FIND(",",$AO$76),99999),IFERROR(FIND("+",$AO$76),99999)),1)="+",1,0))</f>
      </c>
      <c r="BG76">
        <f>IF($AP$76="",$BF$76,$BF$76+IF(MID($AP$76,MIN(IFERROR(FIND(",",$AP$76),99999),IFERROR(FIND("+",$AP$76),99999)),1)="+",1,0))</f>
      </c>
      <c r="BH76">
        <f>IF($AQ$76="",$BG$76,$BG$76+IF(MID($AQ$76,MIN(IFERROR(FIND(",",$AQ$76),99999),IFERROR(FIND("+",$AQ$76),99999)),1)="+",1,0))</f>
      </c>
      <c r="BI76">
        <f>IF($AS$76="",0,$BA$76)</f>
      </c>
      <c r="BJ76">
        <f>IF($AT$76="",0,$BB$76)</f>
      </c>
      <c r="BK76">
        <f>IF($AU$76="",0,$BC$76)</f>
      </c>
      <c r="BL76">
        <f>IF($AV$76="",0,$BD$76)</f>
      </c>
      <c r="BM76">
        <f>IF($AW$76="",0,$BE$76)</f>
      </c>
      <c r="BN76">
        <f>IF($AX$76="",0,$BF$76)</f>
      </c>
      <c r="BO76">
        <f>IF($AY$76="",0,$BG$76)</f>
      </c>
      <c r="BP76">
        <f>IF($AZ$76="",0,$BH$76)</f>
      </c>
    </row>
    <row r="77" spans="1:99" ht="15" customHeight="1" hidden="1">
      <c r="AK77">
        <f>SUBSTITUTE(SUBSTITUTE($R$4,"&amp;","+"),"/",",")</f>
      </c>
      <c r="AL77">
        <f>IF(OR($AK$77="",MIN(IFERROR(FIND(",",$AK$77),99999),IFERROR(FIND("+",$AK$77),99999))=99999),"",MID($AK$77,MIN(IFERROR(FIND(",",$AK$77),99999),IFERROR(FIND("+",$AK$77),99999))+1,99999))</f>
      </c>
      <c r="AM77">
        <f>IF(OR($AL$77="",MIN(IFERROR(FIND(",",$AL$77),99999),IFERROR(FIND("+",$AL$77),99999))=99999),"",MID($AL$77,MIN(IFERROR(FIND(",",$AL$77),99999),IFERROR(FIND("+",$AL$77),99999))+1,99999))</f>
      </c>
      <c r="AN77">
        <f>IF(OR($AM$77="",MIN(IFERROR(FIND(",",$AM$77),99999),IFERROR(FIND("+",$AM$77),99999))=99999),"",MID($AM$77,MIN(IFERROR(FIND(",",$AM$77),99999),IFERROR(FIND("+",$AM$77),99999))+1,99999))</f>
      </c>
      <c r="AO77">
        <f>IF(OR($AN$77="",MIN(IFERROR(FIND(",",$AN$77),99999),IFERROR(FIND("+",$AN$77),99999))=99999),"",MID($AN$77,MIN(IFERROR(FIND(",",$AN$77),99999),IFERROR(FIND("+",$AN$77),99999))+1,99999))</f>
      </c>
      <c r="AP77">
        <f>IF(OR($AO$77="",MIN(IFERROR(FIND(",",$AO$77),99999),IFERROR(FIND("+",$AO$77),99999))=99999),"",MID($AO$77,MIN(IFERROR(FIND(",",$AO$77),99999),IFERROR(FIND("+",$AO$77),99999))+1,99999))</f>
      </c>
      <c r="AQ77">
        <f>IF(OR($AP$77="",MIN(IFERROR(FIND(",",$AP$77),99999),IFERROR(FIND("+",$AP$77),99999))=99999),"",MID($AP$77,MIN(IFERROR(FIND(",",$AP$77),99999),IFERROR(FIND("+",$AP$77),99999))+1,99999))</f>
      </c>
      <c r="AR77">
        <f>IF(OR($AQ$77="",MIN(IFERROR(FIND(",",$AQ$77),99999),IFERROR(FIND("+",$AQ$77),99999))=99999),"",MID($AQ$77,MIN(IFERROR(FIND(",",$AQ$77),99999),IFERROR(FIND("+",$AQ$77),99999))+1,99999))</f>
      </c>
      <c r="AS77">
        <f>IF($AK$77="","",IF(MIN(IFERROR(FIND(",",$AK$77),99999),IFERROR(FIND("+",$AK$77),99999))=99999,TRIM($AK$77),TRIM(LEFT($AK$77,MIN(IFERROR(FIND(",",$AK$77),99999),IFERROR(FIND("+",$AK$77),99999))-1))))</f>
      </c>
      <c r="AT77">
        <f>IF($AL$77="","",IF(MIN(IFERROR(FIND(",",$AL$77),99999),IFERROR(FIND("+",$AL$77),99999))=99999,TRIM($AL$77),TRIM(LEFT($AL$77,MIN(IFERROR(FIND(",",$AL$77),99999),IFERROR(FIND("+",$AL$77),99999))-1))))</f>
      </c>
      <c r="AU77">
        <f>IF($AM$77="","",IF(MIN(IFERROR(FIND(",",$AM$77),99999),IFERROR(FIND("+",$AM$77),99999))=99999,TRIM($AM$77),TRIM(LEFT($AM$77,MIN(IFERROR(FIND(",",$AM$77),99999),IFERROR(FIND("+",$AM$77),99999))-1))))</f>
      </c>
      <c r="AV77">
        <f>IF($AN$77="","",IF(MIN(IFERROR(FIND(",",$AN$77),99999),IFERROR(FIND("+",$AN$77),99999))=99999,TRIM($AN$77),TRIM(LEFT($AN$77,MIN(IFERROR(FIND(",",$AN$77),99999),IFERROR(FIND("+",$AN$77),99999))-1))))</f>
      </c>
      <c r="AW77">
        <f>IF($AO$77="","",IF(MIN(IFERROR(FIND(",",$AO$77),99999),IFERROR(FIND("+",$AO$77),99999))=99999,TRIM($AO$77),TRIM(LEFT($AO$77,MIN(IFERROR(FIND(",",$AO$77),99999),IFERROR(FIND("+",$AO$77),99999))-1))))</f>
      </c>
      <c r="AX77">
        <f>IF($AP$77="","",IF(MIN(IFERROR(FIND(",",$AP$77),99999),IFERROR(FIND("+",$AP$77),99999))=99999,TRIM($AP$77),TRIM(LEFT($AP$77,MIN(IFERROR(FIND(",",$AP$77),99999),IFERROR(FIND("+",$AP$77),99999))-1))))</f>
      </c>
      <c r="AY77">
        <f>IF($AQ$77="","",IF(MIN(IFERROR(FIND(",",$AQ$77),99999),IFERROR(FIND("+",$AQ$77),99999))=99999,TRIM($AQ$77),TRIM(LEFT($AQ$77,MIN(IFERROR(FIND(",",$AQ$77),99999),IFERROR(FIND("+",$AQ$77),99999))-1))))</f>
      </c>
      <c r="AZ77">
        <f>IF($AR$77="","",IF(MIN(IFERROR(FIND(",",$AR$77),99999),IFERROR(FIND("+",$AR$77),99999))=99999,TRIM($AR$77),TRIM(LEFT($AR$77,MIN(IFERROR(FIND(",",$AR$77),99999),IFERROR(FIND("+",$AR$77),99999))-1))))</f>
      </c>
      <c r="BA77">
        <f>IF($AK$77="",0,1)</f>
      </c>
      <c r="BB77">
        <f>IF($AK$77="",$BA$77,$BA$77+IF(MID($AK$77,MIN(IFERROR(FIND(",",$AK$77),99999),IFERROR(FIND("+",$AK$77),99999)),1)="+",1,0))</f>
      </c>
      <c r="BC77">
        <f>IF($AL$77="",$BB$77,$BB$77+IF(MID($AL$77,MIN(IFERROR(FIND(",",$AL$77),99999),IFERROR(FIND("+",$AL$77),99999)),1)="+",1,0))</f>
      </c>
      <c r="BD77">
        <f>IF($AM$77="",$BC$77,$BC$77+IF(MID($AM$77,MIN(IFERROR(FIND(",",$AM$77),99999),IFERROR(FIND("+",$AM$77),99999)),1)="+",1,0))</f>
      </c>
      <c r="BE77">
        <f>IF($AN$77="",$BD$77,$BD$77+IF(MID($AN$77,MIN(IFERROR(FIND(",",$AN$77),99999),IFERROR(FIND("+",$AN$77),99999)),1)="+",1,0))</f>
      </c>
      <c r="BF77">
        <f>IF($AO$77="",$BE$77,$BE$77+IF(MID($AO$77,MIN(IFERROR(FIND(",",$AO$77),99999),IFERROR(FIND("+",$AO$77),99999)),1)="+",1,0))</f>
      </c>
      <c r="BG77">
        <f>IF($AP$77="",$BF$77,$BF$77+IF(MID($AP$77,MIN(IFERROR(FIND(",",$AP$77),99999),IFERROR(FIND("+",$AP$77),99999)),1)="+",1,0))</f>
      </c>
      <c r="BH77">
        <f>IF($AQ$77="",$BG$77,$BG$77+IF(MID($AQ$77,MIN(IFERROR(FIND(",",$AQ$77),99999),IFERROR(FIND("+",$AQ$77),99999)),1)="+",1,0))</f>
      </c>
      <c r="BI77">
        <f>IF($AS$77="",0,$BA$77)</f>
      </c>
      <c r="BJ77">
        <f>IF($AT$77="",0,$BB$77)</f>
      </c>
      <c r="BK77">
        <f>IF($AU$77="",0,$BC$77)</f>
      </c>
      <c r="BL77">
        <f>IF($AV$77="",0,$BD$77)</f>
      </c>
      <c r="BM77">
        <f>IF($AW$77="",0,$BE$77)</f>
      </c>
      <c r="BN77">
        <f>IF($AX$77="",0,$BF$77)</f>
      </c>
      <c r="BO77">
        <f>IF($AY$77="",0,$BG$77)</f>
      </c>
      <c r="BP77">
        <f>IF($AZ$77="",0,$BH$77)</f>
      </c>
    </row>
    <row r="78" spans="1:99" ht="15" customHeight="1" hidden="1">
      <c r="AK78">
        <f>SUBSTITUTE(SUBSTITUTE($S$4,"&amp;","+"),"/",",")</f>
      </c>
      <c r="AL78">
        <f>IF(OR($AK$78="",MIN(IFERROR(FIND(",",$AK$78),99999),IFERROR(FIND("+",$AK$78),99999))=99999),"",MID($AK$78,MIN(IFERROR(FIND(",",$AK$78),99999),IFERROR(FIND("+",$AK$78),99999))+1,99999))</f>
      </c>
      <c r="AM78">
        <f>IF(OR($AL$78="",MIN(IFERROR(FIND(",",$AL$78),99999),IFERROR(FIND("+",$AL$78),99999))=99999),"",MID($AL$78,MIN(IFERROR(FIND(",",$AL$78),99999),IFERROR(FIND("+",$AL$78),99999))+1,99999))</f>
      </c>
      <c r="AN78">
        <f>IF(OR($AM$78="",MIN(IFERROR(FIND(",",$AM$78),99999),IFERROR(FIND("+",$AM$78),99999))=99999),"",MID($AM$78,MIN(IFERROR(FIND(",",$AM$78),99999),IFERROR(FIND("+",$AM$78),99999))+1,99999))</f>
      </c>
      <c r="AO78">
        <f>IF(OR($AN$78="",MIN(IFERROR(FIND(",",$AN$78),99999),IFERROR(FIND("+",$AN$78),99999))=99999),"",MID($AN$78,MIN(IFERROR(FIND(",",$AN$78),99999),IFERROR(FIND("+",$AN$78),99999))+1,99999))</f>
      </c>
      <c r="AP78">
        <f>IF(OR($AO$78="",MIN(IFERROR(FIND(",",$AO$78),99999),IFERROR(FIND("+",$AO$78),99999))=99999),"",MID($AO$78,MIN(IFERROR(FIND(",",$AO$78),99999),IFERROR(FIND("+",$AO$78),99999))+1,99999))</f>
      </c>
      <c r="AQ78">
        <f>IF(OR($AP$78="",MIN(IFERROR(FIND(",",$AP$78),99999),IFERROR(FIND("+",$AP$78),99999))=99999),"",MID($AP$78,MIN(IFERROR(FIND(",",$AP$78),99999),IFERROR(FIND("+",$AP$78),99999))+1,99999))</f>
      </c>
      <c r="AR78">
        <f>IF(OR($AQ$78="",MIN(IFERROR(FIND(",",$AQ$78),99999),IFERROR(FIND("+",$AQ$78),99999))=99999),"",MID($AQ$78,MIN(IFERROR(FIND(",",$AQ$78),99999),IFERROR(FIND("+",$AQ$78),99999))+1,99999))</f>
      </c>
      <c r="AS78">
        <f>IF($AK$78="","",IF(MIN(IFERROR(FIND(",",$AK$78),99999),IFERROR(FIND("+",$AK$78),99999))=99999,TRIM($AK$78),TRIM(LEFT($AK$78,MIN(IFERROR(FIND(",",$AK$78),99999),IFERROR(FIND("+",$AK$78),99999))-1))))</f>
      </c>
      <c r="AT78">
        <f>IF($AL$78="","",IF(MIN(IFERROR(FIND(",",$AL$78),99999),IFERROR(FIND("+",$AL$78),99999))=99999,TRIM($AL$78),TRIM(LEFT($AL$78,MIN(IFERROR(FIND(",",$AL$78),99999),IFERROR(FIND("+",$AL$78),99999))-1))))</f>
      </c>
      <c r="AU78">
        <f>IF($AM$78="","",IF(MIN(IFERROR(FIND(",",$AM$78),99999),IFERROR(FIND("+",$AM$78),99999))=99999,TRIM($AM$78),TRIM(LEFT($AM$78,MIN(IFERROR(FIND(",",$AM$78),99999),IFERROR(FIND("+",$AM$78),99999))-1))))</f>
      </c>
      <c r="AV78">
        <f>IF($AN$78="","",IF(MIN(IFERROR(FIND(",",$AN$78),99999),IFERROR(FIND("+",$AN$78),99999))=99999,TRIM($AN$78),TRIM(LEFT($AN$78,MIN(IFERROR(FIND(",",$AN$78),99999),IFERROR(FIND("+",$AN$78),99999))-1))))</f>
      </c>
      <c r="AW78">
        <f>IF($AO$78="","",IF(MIN(IFERROR(FIND(",",$AO$78),99999),IFERROR(FIND("+",$AO$78),99999))=99999,TRIM($AO$78),TRIM(LEFT($AO$78,MIN(IFERROR(FIND(",",$AO$78),99999),IFERROR(FIND("+",$AO$78),99999))-1))))</f>
      </c>
      <c r="AX78">
        <f>IF($AP$78="","",IF(MIN(IFERROR(FIND(",",$AP$78),99999),IFERROR(FIND("+",$AP$78),99999))=99999,TRIM($AP$78),TRIM(LEFT($AP$78,MIN(IFERROR(FIND(",",$AP$78),99999),IFERROR(FIND("+",$AP$78),99999))-1))))</f>
      </c>
      <c r="AY78">
        <f>IF($AQ$78="","",IF(MIN(IFERROR(FIND(",",$AQ$78),99999),IFERROR(FIND("+",$AQ$78),99999))=99999,TRIM($AQ$78),TRIM(LEFT($AQ$78,MIN(IFERROR(FIND(",",$AQ$78),99999),IFERROR(FIND("+",$AQ$78),99999))-1))))</f>
      </c>
      <c r="AZ78">
        <f>IF($AR$78="","",IF(MIN(IFERROR(FIND(",",$AR$78),99999),IFERROR(FIND("+",$AR$78),99999))=99999,TRIM($AR$78),TRIM(LEFT($AR$78,MIN(IFERROR(FIND(",",$AR$78),99999),IFERROR(FIND("+",$AR$78),99999))-1))))</f>
      </c>
      <c r="BA78">
        <f>IF($AK$78="",0,1)</f>
      </c>
      <c r="BB78">
        <f>IF($AK$78="",$BA$78,$BA$78+IF(MID($AK$78,MIN(IFERROR(FIND(",",$AK$78),99999),IFERROR(FIND("+",$AK$78),99999)),1)="+",1,0))</f>
      </c>
      <c r="BC78">
        <f>IF($AL$78="",$BB$78,$BB$78+IF(MID($AL$78,MIN(IFERROR(FIND(",",$AL$78),99999),IFERROR(FIND("+",$AL$78),99999)),1)="+",1,0))</f>
      </c>
      <c r="BD78">
        <f>IF($AM$78="",$BC$78,$BC$78+IF(MID($AM$78,MIN(IFERROR(FIND(",",$AM$78),99999),IFERROR(FIND("+",$AM$78),99999)),1)="+",1,0))</f>
      </c>
      <c r="BE78">
        <f>IF($AN$78="",$BD$78,$BD$78+IF(MID($AN$78,MIN(IFERROR(FIND(",",$AN$78),99999),IFERROR(FIND("+",$AN$78),99999)),1)="+",1,0))</f>
      </c>
      <c r="BF78">
        <f>IF($AO$78="",$BE$78,$BE$78+IF(MID($AO$78,MIN(IFERROR(FIND(",",$AO$78),99999),IFERROR(FIND("+",$AO$78),99999)),1)="+",1,0))</f>
      </c>
      <c r="BG78">
        <f>IF($AP$78="",$BF$78,$BF$78+IF(MID($AP$78,MIN(IFERROR(FIND(",",$AP$78),99999),IFERROR(FIND("+",$AP$78),99999)),1)="+",1,0))</f>
      </c>
      <c r="BH78">
        <f>IF($AQ$78="",$BG$78,$BG$78+IF(MID($AQ$78,MIN(IFERROR(FIND(",",$AQ$78),99999),IFERROR(FIND("+",$AQ$78),99999)),1)="+",1,0))</f>
      </c>
      <c r="BI78">
        <f>IF($AS$78="",0,$BA$78)</f>
      </c>
      <c r="BJ78">
        <f>IF($AT$78="",0,$BB$78)</f>
      </c>
      <c r="BK78">
        <f>IF($AU$78="",0,$BC$78)</f>
      </c>
      <c r="BL78">
        <f>IF($AV$78="",0,$BD$78)</f>
      </c>
      <c r="BM78">
        <f>IF($AW$78="",0,$BE$78)</f>
      </c>
      <c r="BN78">
        <f>IF($AX$78="",0,$BF$78)</f>
      </c>
      <c r="BO78">
        <f>IF($AY$78="",0,$BG$78)</f>
      </c>
      <c r="BP78">
        <f>IF($AZ$78="",0,$BH$78)</f>
      </c>
    </row>
    <row r="79" spans="1:99" ht="15" customHeight="1" hidden="1">
      <c r="AK79">
        <f>SUBSTITUTE(SUBSTITUTE($T$4,"&amp;","+"),"/",",")</f>
      </c>
      <c r="AL79">
        <f>IF(OR($AK$79="",MIN(IFERROR(FIND(",",$AK$79),99999),IFERROR(FIND("+",$AK$79),99999))=99999),"",MID($AK$79,MIN(IFERROR(FIND(",",$AK$79),99999),IFERROR(FIND("+",$AK$79),99999))+1,99999))</f>
      </c>
      <c r="AM79">
        <f>IF(OR($AL$79="",MIN(IFERROR(FIND(",",$AL$79),99999),IFERROR(FIND("+",$AL$79),99999))=99999),"",MID($AL$79,MIN(IFERROR(FIND(",",$AL$79),99999),IFERROR(FIND("+",$AL$79),99999))+1,99999))</f>
      </c>
      <c r="AN79">
        <f>IF(OR($AM$79="",MIN(IFERROR(FIND(",",$AM$79),99999),IFERROR(FIND("+",$AM$79),99999))=99999),"",MID($AM$79,MIN(IFERROR(FIND(",",$AM$79),99999),IFERROR(FIND("+",$AM$79),99999))+1,99999))</f>
      </c>
      <c r="AO79">
        <f>IF(OR($AN$79="",MIN(IFERROR(FIND(",",$AN$79),99999),IFERROR(FIND("+",$AN$79),99999))=99999),"",MID($AN$79,MIN(IFERROR(FIND(",",$AN$79),99999),IFERROR(FIND("+",$AN$79),99999))+1,99999))</f>
      </c>
      <c r="AP79">
        <f>IF(OR($AO$79="",MIN(IFERROR(FIND(",",$AO$79),99999),IFERROR(FIND("+",$AO$79),99999))=99999),"",MID($AO$79,MIN(IFERROR(FIND(",",$AO$79),99999),IFERROR(FIND("+",$AO$79),99999))+1,99999))</f>
      </c>
      <c r="AQ79">
        <f>IF(OR($AP$79="",MIN(IFERROR(FIND(",",$AP$79),99999),IFERROR(FIND("+",$AP$79),99999))=99999),"",MID($AP$79,MIN(IFERROR(FIND(",",$AP$79),99999),IFERROR(FIND("+",$AP$79),99999))+1,99999))</f>
      </c>
      <c r="AR79">
        <f>IF(OR($AQ$79="",MIN(IFERROR(FIND(",",$AQ$79),99999),IFERROR(FIND("+",$AQ$79),99999))=99999),"",MID($AQ$79,MIN(IFERROR(FIND(",",$AQ$79),99999),IFERROR(FIND("+",$AQ$79),99999))+1,99999))</f>
      </c>
      <c r="AS79">
        <f>IF($AK$79="","",IF(MIN(IFERROR(FIND(",",$AK$79),99999),IFERROR(FIND("+",$AK$79),99999))=99999,TRIM($AK$79),TRIM(LEFT($AK$79,MIN(IFERROR(FIND(",",$AK$79),99999),IFERROR(FIND("+",$AK$79),99999))-1))))</f>
      </c>
      <c r="AT79">
        <f>IF($AL$79="","",IF(MIN(IFERROR(FIND(",",$AL$79),99999),IFERROR(FIND("+",$AL$79),99999))=99999,TRIM($AL$79),TRIM(LEFT($AL$79,MIN(IFERROR(FIND(",",$AL$79),99999),IFERROR(FIND("+",$AL$79),99999))-1))))</f>
      </c>
      <c r="AU79">
        <f>IF($AM$79="","",IF(MIN(IFERROR(FIND(",",$AM$79),99999),IFERROR(FIND("+",$AM$79),99999))=99999,TRIM($AM$79),TRIM(LEFT($AM$79,MIN(IFERROR(FIND(",",$AM$79),99999),IFERROR(FIND("+",$AM$79),99999))-1))))</f>
      </c>
      <c r="AV79">
        <f>IF($AN$79="","",IF(MIN(IFERROR(FIND(",",$AN$79),99999),IFERROR(FIND("+",$AN$79),99999))=99999,TRIM($AN$79),TRIM(LEFT($AN$79,MIN(IFERROR(FIND(",",$AN$79),99999),IFERROR(FIND("+",$AN$79),99999))-1))))</f>
      </c>
      <c r="AW79">
        <f>IF($AO$79="","",IF(MIN(IFERROR(FIND(",",$AO$79),99999),IFERROR(FIND("+",$AO$79),99999))=99999,TRIM($AO$79),TRIM(LEFT($AO$79,MIN(IFERROR(FIND(",",$AO$79),99999),IFERROR(FIND("+",$AO$79),99999))-1))))</f>
      </c>
      <c r="AX79">
        <f>IF($AP$79="","",IF(MIN(IFERROR(FIND(",",$AP$79),99999),IFERROR(FIND("+",$AP$79),99999))=99999,TRIM($AP$79),TRIM(LEFT($AP$79,MIN(IFERROR(FIND(",",$AP$79),99999),IFERROR(FIND("+",$AP$79),99999))-1))))</f>
      </c>
      <c r="AY79">
        <f>IF($AQ$79="","",IF(MIN(IFERROR(FIND(",",$AQ$79),99999),IFERROR(FIND("+",$AQ$79),99999))=99999,TRIM($AQ$79),TRIM(LEFT($AQ$79,MIN(IFERROR(FIND(",",$AQ$79),99999),IFERROR(FIND("+",$AQ$79),99999))-1))))</f>
      </c>
      <c r="AZ79">
        <f>IF($AR$79="","",IF(MIN(IFERROR(FIND(",",$AR$79),99999),IFERROR(FIND("+",$AR$79),99999))=99999,TRIM($AR$79),TRIM(LEFT($AR$79,MIN(IFERROR(FIND(",",$AR$79),99999),IFERROR(FIND("+",$AR$79),99999))-1))))</f>
      </c>
      <c r="BA79">
        <f>IF($AK$79="",0,1)</f>
      </c>
      <c r="BB79">
        <f>IF($AK$79="",$BA$79,$BA$79+IF(MID($AK$79,MIN(IFERROR(FIND(",",$AK$79),99999),IFERROR(FIND("+",$AK$79),99999)),1)="+",1,0))</f>
      </c>
      <c r="BC79">
        <f>IF($AL$79="",$BB$79,$BB$79+IF(MID($AL$79,MIN(IFERROR(FIND(",",$AL$79),99999),IFERROR(FIND("+",$AL$79),99999)),1)="+",1,0))</f>
      </c>
      <c r="BD79">
        <f>IF($AM$79="",$BC$79,$BC$79+IF(MID($AM$79,MIN(IFERROR(FIND(",",$AM$79),99999),IFERROR(FIND("+",$AM$79),99999)),1)="+",1,0))</f>
      </c>
      <c r="BE79">
        <f>IF($AN$79="",$BD$79,$BD$79+IF(MID($AN$79,MIN(IFERROR(FIND(",",$AN$79),99999),IFERROR(FIND("+",$AN$79),99999)),1)="+",1,0))</f>
      </c>
      <c r="BF79">
        <f>IF($AO$79="",$BE$79,$BE$79+IF(MID($AO$79,MIN(IFERROR(FIND(",",$AO$79),99999),IFERROR(FIND("+",$AO$79),99999)),1)="+",1,0))</f>
      </c>
      <c r="BG79">
        <f>IF($AP$79="",$BF$79,$BF$79+IF(MID($AP$79,MIN(IFERROR(FIND(",",$AP$79),99999),IFERROR(FIND("+",$AP$79),99999)),1)="+",1,0))</f>
      </c>
      <c r="BH79">
        <f>IF($AQ$79="",$BG$79,$BG$79+IF(MID($AQ$79,MIN(IFERROR(FIND(",",$AQ$79),99999),IFERROR(FIND("+",$AQ$79),99999)),1)="+",1,0))</f>
      </c>
      <c r="BI79">
        <f>IF($AS$79="",0,$BA$79)</f>
      </c>
      <c r="BJ79">
        <f>IF($AT$79="",0,$BB$79)</f>
      </c>
      <c r="BK79">
        <f>IF($AU$79="",0,$BC$79)</f>
      </c>
      <c r="BL79">
        <f>IF($AV$79="",0,$BD$79)</f>
      </c>
      <c r="BM79">
        <f>IF($AW$79="",0,$BE$79)</f>
      </c>
      <c r="BN79">
        <f>IF($AX$79="",0,$BF$79)</f>
      </c>
      <c r="BO79">
        <f>IF($AY$79="",0,$BG$79)</f>
      </c>
      <c r="BP79">
        <f>IF($AZ$79="",0,$BH$79)</f>
      </c>
    </row>
    <row r="80" spans="1:99" ht="15" customHeight="1" hidden="1">
      <c r="AK80">
        <f>SUBSTITUTE(SUBSTITUTE($U$4,"&amp;","+"),"/",",")</f>
      </c>
      <c r="AL80">
        <f>IF(OR($AK$80="",MIN(IFERROR(FIND(",",$AK$80),99999),IFERROR(FIND("+",$AK$80),99999))=99999),"",MID($AK$80,MIN(IFERROR(FIND(",",$AK$80),99999),IFERROR(FIND("+",$AK$80),99999))+1,99999))</f>
      </c>
      <c r="AM80">
        <f>IF(OR($AL$80="",MIN(IFERROR(FIND(",",$AL$80),99999),IFERROR(FIND("+",$AL$80),99999))=99999),"",MID($AL$80,MIN(IFERROR(FIND(",",$AL$80),99999),IFERROR(FIND("+",$AL$80),99999))+1,99999))</f>
      </c>
      <c r="AN80">
        <f>IF(OR($AM$80="",MIN(IFERROR(FIND(",",$AM$80),99999),IFERROR(FIND("+",$AM$80),99999))=99999),"",MID($AM$80,MIN(IFERROR(FIND(",",$AM$80),99999),IFERROR(FIND("+",$AM$80),99999))+1,99999))</f>
      </c>
      <c r="AO80">
        <f>IF(OR($AN$80="",MIN(IFERROR(FIND(",",$AN$80),99999),IFERROR(FIND("+",$AN$80),99999))=99999),"",MID($AN$80,MIN(IFERROR(FIND(",",$AN$80),99999),IFERROR(FIND("+",$AN$80),99999))+1,99999))</f>
      </c>
      <c r="AP80">
        <f>IF(OR($AO$80="",MIN(IFERROR(FIND(",",$AO$80),99999),IFERROR(FIND("+",$AO$80),99999))=99999),"",MID($AO$80,MIN(IFERROR(FIND(",",$AO$80),99999),IFERROR(FIND("+",$AO$80),99999))+1,99999))</f>
      </c>
      <c r="AQ80">
        <f>IF(OR($AP$80="",MIN(IFERROR(FIND(",",$AP$80),99999),IFERROR(FIND("+",$AP$80),99999))=99999),"",MID($AP$80,MIN(IFERROR(FIND(",",$AP$80),99999),IFERROR(FIND("+",$AP$80),99999))+1,99999))</f>
      </c>
      <c r="AR80">
        <f>IF(OR($AQ$80="",MIN(IFERROR(FIND(",",$AQ$80),99999),IFERROR(FIND("+",$AQ$80),99999))=99999),"",MID($AQ$80,MIN(IFERROR(FIND(",",$AQ$80),99999),IFERROR(FIND("+",$AQ$80),99999))+1,99999))</f>
      </c>
      <c r="AS80">
        <f>IF($AK$80="","",IF(MIN(IFERROR(FIND(",",$AK$80),99999),IFERROR(FIND("+",$AK$80),99999))=99999,TRIM($AK$80),TRIM(LEFT($AK$80,MIN(IFERROR(FIND(",",$AK$80),99999),IFERROR(FIND("+",$AK$80),99999))-1))))</f>
      </c>
      <c r="AT80">
        <f>IF($AL$80="","",IF(MIN(IFERROR(FIND(",",$AL$80),99999),IFERROR(FIND("+",$AL$80),99999))=99999,TRIM($AL$80),TRIM(LEFT($AL$80,MIN(IFERROR(FIND(",",$AL$80),99999),IFERROR(FIND("+",$AL$80),99999))-1))))</f>
      </c>
      <c r="AU80">
        <f>IF($AM$80="","",IF(MIN(IFERROR(FIND(",",$AM$80),99999),IFERROR(FIND("+",$AM$80),99999))=99999,TRIM($AM$80),TRIM(LEFT($AM$80,MIN(IFERROR(FIND(",",$AM$80),99999),IFERROR(FIND("+",$AM$80),99999))-1))))</f>
      </c>
      <c r="AV80">
        <f>IF($AN$80="","",IF(MIN(IFERROR(FIND(",",$AN$80),99999),IFERROR(FIND("+",$AN$80),99999))=99999,TRIM($AN$80),TRIM(LEFT($AN$80,MIN(IFERROR(FIND(",",$AN$80),99999),IFERROR(FIND("+",$AN$80),99999))-1))))</f>
      </c>
      <c r="AW80">
        <f>IF($AO$80="","",IF(MIN(IFERROR(FIND(",",$AO$80),99999),IFERROR(FIND("+",$AO$80),99999))=99999,TRIM($AO$80),TRIM(LEFT($AO$80,MIN(IFERROR(FIND(",",$AO$80),99999),IFERROR(FIND("+",$AO$80),99999))-1))))</f>
      </c>
      <c r="AX80">
        <f>IF($AP$80="","",IF(MIN(IFERROR(FIND(",",$AP$80),99999),IFERROR(FIND("+",$AP$80),99999))=99999,TRIM($AP$80),TRIM(LEFT($AP$80,MIN(IFERROR(FIND(",",$AP$80),99999),IFERROR(FIND("+",$AP$80),99999))-1))))</f>
      </c>
      <c r="AY80">
        <f>IF($AQ$80="","",IF(MIN(IFERROR(FIND(",",$AQ$80),99999),IFERROR(FIND("+",$AQ$80),99999))=99999,TRIM($AQ$80),TRIM(LEFT($AQ$80,MIN(IFERROR(FIND(",",$AQ$80),99999),IFERROR(FIND("+",$AQ$80),99999))-1))))</f>
      </c>
      <c r="AZ80">
        <f>IF($AR$80="","",IF(MIN(IFERROR(FIND(",",$AR$80),99999),IFERROR(FIND("+",$AR$80),99999))=99999,TRIM($AR$80),TRIM(LEFT($AR$80,MIN(IFERROR(FIND(",",$AR$80),99999),IFERROR(FIND("+",$AR$80),99999))-1))))</f>
      </c>
      <c r="BA80">
        <f>IF($AK$80="",0,1)</f>
      </c>
      <c r="BB80">
        <f>IF($AK$80="",$BA$80,$BA$80+IF(MID($AK$80,MIN(IFERROR(FIND(",",$AK$80),99999),IFERROR(FIND("+",$AK$80),99999)),1)="+",1,0))</f>
      </c>
      <c r="BC80">
        <f>IF($AL$80="",$BB$80,$BB$80+IF(MID($AL$80,MIN(IFERROR(FIND(",",$AL$80),99999),IFERROR(FIND("+",$AL$80),99999)),1)="+",1,0))</f>
      </c>
      <c r="BD80">
        <f>IF($AM$80="",$BC$80,$BC$80+IF(MID($AM$80,MIN(IFERROR(FIND(",",$AM$80),99999),IFERROR(FIND("+",$AM$80),99999)),1)="+",1,0))</f>
      </c>
      <c r="BE80">
        <f>IF($AN$80="",$BD$80,$BD$80+IF(MID($AN$80,MIN(IFERROR(FIND(",",$AN$80),99999),IFERROR(FIND("+",$AN$80),99999)),1)="+",1,0))</f>
      </c>
      <c r="BF80">
        <f>IF($AO$80="",$BE$80,$BE$80+IF(MID($AO$80,MIN(IFERROR(FIND(",",$AO$80),99999),IFERROR(FIND("+",$AO$80),99999)),1)="+",1,0))</f>
      </c>
      <c r="BG80">
        <f>IF($AP$80="",$BF$80,$BF$80+IF(MID($AP$80,MIN(IFERROR(FIND(",",$AP$80),99999),IFERROR(FIND("+",$AP$80),99999)),1)="+",1,0))</f>
      </c>
      <c r="BH80">
        <f>IF($AQ$80="",$BG$80,$BG$80+IF(MID($AQ$80,MIN(IFERROR(FIND(",",$AQ$80),99999),IFERROR(FIND("+",$AQ$80),99999)),1)="+",1,0))</f>
      </c>
      <c r="BI80">
        <f>IF($AS$80="",0,$BA$80)</f>
      </c>
      <c r="BJ80">
        <f>IF($AT$80="",0,$BB$80)</f>
      </c>
      <c r="BK80">
        <f>IF($AU$80="",0,$BC$80)</f>
      </c>
      <c r="BL80">
        <f>IF($AV$80="",0,$BD$80)</f>
      </c>
      <c r="BM80">
        <f>IF($AW$80="",0,$BE$80)</f>
      </c>
      <c r="BN80">
        <f>IF($AX$80="",0,$BF$80)</f>
      </c>
      <c r="BO80">
        <f>IF($AY$80="",0,$BG$80)</f>
      </c>
      <c r="BP80">
        <f>IF($AZ$80="",0,$BH$80)</f>
      </c>
    </row>
    <row r="81" spans="1:99" ht="15" customHeight="1" hidden="1">
      <c r="AK81">
        <f>SUBSTITUTE(SUBSTITUTE($V$4,"&amp;","+"),"/",",")</f>
      </c>
      <c r="AL81">
        <f>IF(OR($AK$81="",MIN(IFERROR(FIND(",",$AK$81),99999),IFERROR(FIND("+",$AK$81),99999))=99999),"",MID($AK$81,MIN(IFERROR(FIND(",",$AK$81),99999),IFERROR(FIND("+",$AK$81),99999))+1,99999))</f>
      </c>
      <c r="AM81">
        <f>IF(OR($AL$81="",MIN(IFERROR(FIND(",",$AL$81),99999),IFERROR(FIND("+",$AL$81),99999))=99999),"",MID($AL$81,MIN(IFERROR(FIND(",",$AL$81),99999),IFERROR(FIND("+",$AL$81),99999))+1,99999))</f>
      </c>
      <c r="AN81">
        <f>IF(OR($AM$81="",MIN(IFERROR(FIND(",",$AM$81),99999),IFERROR(FIND("+",$AM$81),99999))=99999),"",MID($AM$81,MIN(IFERROR(FIND(",",$AM$81),99999),IFERROR(FIND("+",$AM$81),99999))+1,99999))</f>
      </c>
      <c r="AO81">
        <f>IF(OR($AN$81="",MIN(IFERROR(FIND(",",$AN$81),99999),IFERROR(FIND("+",$AN$81),99999))=99999),"",MID($AN$81,MIN(IFERROR(FIND(",",$AN$81),99999),IFERROR(FIND("+",$AN$81),99999))+1,99999))</f>
      </c>
      <c r="AP81">
        <f>IF(OR($AO$81="",MIN(IFERROR(FIND(",",$AO$81),99999),IFERROR(FIND("+",$AO$81),99999))=99999),"",MID($AO$81,MIN(IFERROR(FIND(",",$AO$81),99999),IFERROR(FIND("+",$AO$81),99999))+1,99999))</f>
      </c>
      <c r="AQ81">
        <f>IF(OR($AP$81="",MIN(IFERROR(FIND(",",$AP$81),99999),IFERROR(FIND("+",$AP$81),99999))=99999),"",MID($AP$81,MIN(IFERROR(FIND(",",$AP$81),99999),IFERROR(FIND("+",$AP$81),99999))+1,99999))</f>
      </c>
      <c r="AR81">
        <f>IF(OR($AQ$81="",MIN(IFERROR(FIND(",",$AQ$81),99999),IFERROR(FIND("+",$AQ$81),99999))=99999),"",MID($AQ$81,MIN(IFERROR(FIND(",",$AQ$81),99999),IFERROR(FIND("+",$AQ$81),99999))+1,99999))</f>
      </c>
      <c r="AS81">
        <f>IF($AK$81="","",IF(MIN(IFERROR(FIND(",",$AK$81),99999),IFERROR(FIND("+",$AK$81),99999))=99999,TRIM($AK$81),TRIM(LEFT($AK$81,MIN(IFERROR(FIND(",",$AK$81),99999),IFERROR(FIND("+",$AK$81),99999))-1))))</f>
      </c>
      <c r="AT81">
        <f>IF($AL$81="","",IF(MIN(IFERROR(FIND(",",$AL$81),99999),IFERROR(FIND("+",$AL$81),99999))=99999,TRIM($AL$81),TRIM(LEFT($AL$81,MIN(IFERROR(FIND(",",$AL$81),99999),IFERROR(FIND("+",$AL$81),99999))-1))))</f>
      </c>
      <c r="AU81">
        <f>IF($AM$81="","",IF(MIN(IFERROR(FIND(",",$AM$81),99999),IFERROR(FIND("+",$AM$81),99999))=99999,TRIM($AM$81),TRIM(LEFT($AM$81,MIN(IFERROR(FIND(",",$AM$81),99999),IFERROR(FIND("+",$AM$81),99999))-1))))</f>
      </c>
      <c r="AV81">
        <f>IF($AN$81="","",IF(MIN(IFERROR(FIND(",",$AN$81),99999),IFERROR(FIND("+",$AN$81),99999))=99999,TRIM($AN$81),TRIM(LEFT($AN$81,MIN(IFERROR(FIND(",",$AN$81),99999),IFERROR(FIND("+",$AN$81),99999))-1))))</f>
      </c>
      <c r="AW81">
        <f>IF($AO$81="","",IF(MIN(IFERROR(FIND(",",$AO$81),99999),IFERROR(FIND("+",$AO$81),99999))=99999,TRIM($AO$81),TRIM(LEFT($AO$81,MIN(IFERROR(FIND(",",$AO$81),99999),IFERROR(FIND("+",$AO$81),99999))-1))))</f>
      </c>
      <c r="AX81">
        <f>IF($AP$81="","",IF(MIN(IFERROR(FIND(",",$AP$81),99999),IFERROR(FIND("+",$AP$81),99999))=99999,TRIM($AP$81),TRIM(LEFT($AP$81,MIN(IFERROR(FIND(",",$AP$81),99999),IFERROR(FIND("+",$AP$81),99999))-1))))</f>
      </c>
      <c r="AY81">
        <f>IF($AQ$81="","",IF(MIN(IFERROR(FIND(",",$AQ$81),99999),IFERROR(FIND("+",$AQ$81),99999))=99999,TRIM($AQ$81),TRIM(LEFT($AQ$81,MIN(IFERROR(FIND(",",$AQ$81),99999),IFERROR(FIND("+",$AQ$81),99999))-1))))</f>
      </c>
      <c r="AZ81">
        <f>IF($AR$81="","",IF(MIN(IFERROR(FIND(",",$AR$81),99999),IFERROR(FIND("+",$AR$81),99999))=99999,TRIM($AR$81),TRIM(LEFT($AR$81,MIN(IFERROR(FIND(",",$AR$81),99999),IFERROR(FIND("+",$AR$81),99999))-1))))</f>
      </c>
      <c r="BA81">
        <f>IF($AK$81="",0,1)</f>
      </c>
      <c r="BB81">
        <f>IF($AK$81="",$BA$81,$BA$81+IF(MID($AK$81,MIN(IFERROR(FIND(",",$AK$81),99999),IFERROR(FIND("+",$AK$81),99999)),1)="+",1,0))</f>
      </c>
      <c r="BC81">
        <f>IF($AL$81="",$BB$81,$BB$81+IF(MID($AL$81,MIN(IFERROR(FIND(",",$AL$81),99999),IFERROR(FIND("+",$AL$81),99999)),1)="+",1,0))</f>
      </c>
      <c r="BD81">
        <f>IF($AM$81="",$BC$81,$BC$81+IF(MID($AM$81,MIN(IFERROR(FIND(",",$AM$81),99999),IFERROR(FIND("+",$AM$81),99999)),1)="+",1,0))</f>
      </c>
      <c r="BE81">
        <f>IF($AN$81="",$BD$81,$BD$81+IF(MID($AN$81,MIN(IFERROR(FIND(",",$AN$81),99999),IFERROR(FIND("+",$AN$81),99999)),1)="+",1,0))</f>
      </c>
      <c r="BF81">
        <f>IF($AO$81="",$BE$81,$BE$81+IF(MID($AO$81,MIN(IFERROR(FIND(",",$AO$81),99999),IFERROR(FIND("+",$AO$81),99999)),1)="+",1,0))</f>
      </c>
      <c r="BG81">
        <f>IF($AP$81="",$BF$81,$BF$81+IF(MID($AP$81,MIN(IFERROR(FIND(",",$AP$81),99999),IFERROR(FIND("+",$AP$81),99999)),1)="+",1,0))</f>
      </c>
      <c r="BH81">
        <f>IF($AQ$81="",$BG$81,$BG$81+IF(MID($AQ$81,MIN(IFERROR(FIND(",",$AQ$81),99999),IFERROR(FIND("+",$AQ$81),99999)),1)="+",1,0))</f>
      </c>
      <c r="BI81">
        <f>IF($AS$81="",0,$BA$81)</f>
      </c>
      <c r="BJ81">
        <f>IF($AT$81="",0,$BB$81)</f>
      </c>
      <c r="BK81">
        <f>IF($AU$81="",0,$BC$81)</f>
      </c>
      <c r="BL81">
        <f>IF($AV$81="",0,$BD$81)</f>
      </c>
      <c r="BM81">
        <f>IF($AW$81="",0,$BE$81)</f>
      </c>
      <c r="BN81">
        <f>IF($AX$81="",0,$BF$81)</f>
      </c>
      <c r="BO81">
        <f>IF($AY$81="",0,$BG$81)</f>
      </c>
      <c r="BP81">
        <f>IF($AZ$81="",0,$BH$81)</f>
      </c>
    </row>
    <row r="82" spans="1:99" ht="15" customHeight="1" hidden="1">
      <c r="AK82">
        <f>SUBSTITUTE(SUBSTITUTE($W$4,"&amp;","+"),"/",",")</f>
      </c>
      <c r="AL82">
        <f>IF(OR($AK$82="",MIN(IFERROR(FIND(",",$AK$82),99999),IFERROR(FIND("+",$AK$82),99999))=99999),"",MID($AK$82,MIN(IFERROR(FIND(",",$AK$82),99999),IFERROR(FIND("+",$AK$82),99999))+1,99999))</f>
      </c>
      <c r="AM82">
        <f>IF(OR($AL$82="",MIN(IFERROR(FIND(",",$AL$82),99999),IFERROR(FIND("+",$AL$82),99999))=99999),"",MID($AL$82,MIN(IFERROR(FIND(",",$AL$82),99999),IFERROR(FIND("+",$AL$82),99999))+1,99999))</f>
      </c>
      <c r="AN82">
        <f>IF(OR($AM$82="",MIN(IFERROR(FIND(",",$AM$82),99999),IFERROR(FIND("+",$AM$82),99999))=99999),"",MID($AM$82,MIN(IFERROR(FIND(",",$AM$82),99999),IFERROR(FIND("+",$AM$82),99999))+1,99999))</f>
      </c>
      <c r="AO82">
        <f>IF(OR($AN$82="",MIN(IFERROR(FIND(",",$AN$82),99999),IFERROR(FIND("+",$AN$82),99999))=99999),"",MID($AN$82,MIN(IFERROR(FIND(",",$AN$82),99999),IFERROR(FIND("+",$AN$82),99999))+1,99999))</f>
      </c>
      <c r="AP82">
        <f>IF(OR($AO$82="",MIN(IFERROR(FIND(",",$AO$82),99999),IFERROR(FIND("+",$AO$82),99999))=99999),"",MID($AO$82,MIN(IFERROR(FIND(",",$AO$82),99999),IFERROR(FIND("+",$AO$82),99999))+1,99999))</f>
      </c>
      <c r="AQ82">
        <f>IF(OR($AP$82="",MIN(IFERROR(FIND(",",$AP$82),99999),IFERROR(FIND("+",$AP$82),99999))=99999),"",MID($AP$82,MIN(IFERROR(FIND(",",$AP$82),99999),IFERROR(FIND("+",$AP$82),99999))+1,99999))</f>
      </c>
      <c r="AR82">
        <f>IF(OR($AQ$82="",MIN(IFERROR(FIND(",",$AQ$82),99999),IFERROR(FIND("+",$AQ$82),99999))=99999),"",MID($AQ$82,MIN(IFERROR(FIND(",",$AQ$82),99999),IFERROR(FIND("+",$AQ$82),99999))+1,99999))</f>
      </c>
      <c r="AS82">
        <f>IF($AK$82="","",IF(MIN(IFERROR(FIND(",",$AK$82),99999),IFERROR(FIND("+",$AK$82),99999))=99999,TRIM($AK$82),TRIM(LEFT($AK$82,MIN(IFERROR(FIND(",",$AK$82),99999),IFERROR(FIND("+",$AK$82),99999))-1))))</f>
      </c>
      <c r="AT82">
        <f>IF($AL$82="","",IF(MIN(IFERROR(FIND(",",$AL$82),99999),IFERROR(FIND("+",$AL$82),99999))=99999,TRIM($AL$82),TRIM(LEFT($AL$82,MIN(IFERROR(FIND(",",$AL$82),99999),IFERROR(FIND("+",$AL$82),99999))-1))))</f>
      </c>
      <c r="AU82">
        <f>IF($AM$82="","",IF(MIN(IFERROR(FIND(",",$AM$82),99999),IFERROR(FIND("+",$AM$82),99999))=99999,TRIM($AM$82),TRIM(LEFT($AM$82,MIN(IFERROR(FIND(",",$AM$82),99999),IFERROR(FIND("+",$AM$82),99999))-1))))</f>
      </c>
      <c r="AV82">
        <f>IF($AN$82="","",IF(MIN(IFERROR(FIND(",",$AN$82),99999),IFERROR(FIND("+",$AN$82),99999))=99999,TRIM($AN$82),TRIM(LEFT($AN$82,MIN(IFERROR(FIND(",",$AN$82),99999),IFERROR(FIND("+",$AN$82),99999))-1))))</f>
      </c>
      <c r="AW82">
        <f>IF($AO$82="","",IF(MIN(IFERROR(FIND(",",$AO$82),99999),IFERROR(FIND("+",$AO$82),99999))=99999,TRIM($AO$82),TRIM(LEFT($AO$82,MIN(IFERROR(FIND(",",$AO$82),99999),IFERROR(FIND("+",$AO$82),99999))-1))))</f>
      </c>
      <c r="AX82">
        <f>IF($AP$82="","",IF(MIN(IFERROR(FIND(",",$AP$82),99999),IFERROR(FIND("+",$AP$82),99999))=99999,TRIM($AP$82),TRIM(LEFT($AP$82,MIN(IFERROR(FIND(",",$AP$82),99999),IFERROR(FIND("+",$AP$82),99999))-1))))</f>
      </c>
      <c r="AY82">
        <f>IF($AQ$82="","",IF(MIN(IFERROR(FIND(",",$AQ$82),99999),IFERROR(FIND("+",$AQ$82),99999))=99999,TRIM($AQ$82),TRIM(LEFT($AQ$82,MIN(IFERROR(FIND(",",$AQ$82),99999),IFERROR(FIND("+",$AQ$82),99999))-1))))</f>
      </c>
      <c r="AZ82">
        <f>IF($AR$82="","",IF(MIN(IFERROR(FIND(",",$AR$82),99999),IFERROR(FIND("+",$AR$82),99999))=99999,TRIM($AR$82),TRIM(LEFT($AR$82,MIN(IFERROR(FIND(",",$AR$82),99999),IFERROR(FIND("+",$AR$82),99999))-1))))</f>
      </c>
      <c r="BA82">
        <f>IF($AK$82="",0,1)</f>
      </c>
      <c r="BB82">
        <f>IF($AK$82="",$BA$82,$BA$82+IF(MID($AK$82,MIN(IFERROR(FIND(",",$AK$82),99999),IFERROR(FIND("+",$AK$82),99999)),1)="+",1,0))</f>
      </c>
      <c r="BC82">
        <f>IF($AL$82="",$BB$82,$BB$82+IF(MID($AL$82,MIN(IFERROR(FIND(",",$AL$82),99999),IFERROR(FIND("+",$AL$82),99999)),1)="+",1,0))</f>
      </c>
      <c r="BD82">
        <f>IF($AM$82="",$BC$82,$BC$82+IF(MID($AM$82,MIN(IFERROR(FIND(",",$AM$82),99999),IFERROR(FIND("+",$AM$82),99999)),1)="+",1,0))</f>
      </c>
      <c r="BE82">
        <f>IF($AN$82="",$BD$82,$BD$82+IF(MID($AN$82,MIN(IFERROR(FIND(",",$AN$82),99999),IFERROR(FIND("+",$AN$82),99999)),1)="+",1,0))</f>
      </c>
      <c r="BF82">
        <f>IF($AO$82="",$BE$82,$BE$82+IF(MID($AO$82,MIN(IFERROR(FIND(",",$AO$82),99999),IFERROR(FIND("+",$AO$82),99999)),1)="+",1,0))</f>
      </c>
      <c r="BG82">
        <f>IF($AP$82="",$BF$82,$BF$82+IF(MID($AP$82,MIN(IFERROR(FIND(",",$AP$82),99999),IFERROR(FIND("+",$AP$82),99999)),1)="+",1,0))</f>
      </c>
      <c r="BH82">
        <f>IF($AQ$82="",$BG$82,$BG$82+IF(MID($AQ$82,MIN(IFERROR(FIND(",",$AQ$82),99999),IFERROR(FIND("+",$AQ$82),99999)),1)="+",1,0))</f>
      </c>
      <c r="BI82">
        <f>IF($AS$82="",0,$BA$82)</f>
      </c>
      <c r="BJ82">
        <f>IF($AT$82="",0,$BB$82)</f>
      </c>
      <c r="BK82">
        <f>IF($AU$82="",0,$BC$82)</f>
      </c>
      <c r="BL82">
        <f>IF($AV$82="",0,$BD$82)</f>
      </c>
      <c r="BM82">
        <f>IF($AW$82="",0,$BE$82)</f>
      </c>
      <c r="BN82">
        <f>IF($AX$82="",0,$BF$82)</f>
      </c>
      <c r="BO82">
        <f>IF($AY$82="",0,$BG$82)</f>
      </c>
      <c r="BP82">
        <f>IF($AZ$82="",0,$BH$82)</f>
      </c>
    </row>
    <row r="83" spans="1:99" ht="15" customHeight="1" hidden="1">
      <c r="AK83">
        <f>SUBSTITUTE(SUBSTITUTE($X$4,"&amp;","+"),"/",",")</f>
      </c>
      <c r="AL83">
        <f>IF(OR($AK$83="",MIN(IFERROR(FIND(",",$AK$83),99999),IFERROR(FIND("+",$AK$83),99999))=99999),"",MID($AK$83,MIN(IFERROR(FIND(",",$AK$83),99999),IFERROR(FIND("+",$AK$83),99999))+1,99999))</f>
      </c>
      <c r="AM83">
        <f>IF(OR($AL$83="",MIN(IFERROR(FIND(",",$AL$83),99999),IFERROR(FIND("+",$AL$83),99999))=99999),"",MID($AL$83,MIN(IFERROR(FIND(",",$AL$83),99999),IFERROR(FIND("+",$AL$83),99999))+1,99999))</f>
      </c>
      <c r="AN83">
        <f>IF(OR($AM$83="",MIN(IFERROR(FIND(",",$AM$83),99999),IFERROR(FIND("+",$AM$83),99999))=99999),"",MID($AM$83,MIN(IFERROR(FIND(",",$AM$83),99999),IFERROR(FIND("+",$AM$83),99999))+1,99999))</f>
      </c>
      <c r="AO83">
        <f>IF(OR($AN$83="",MIN(IFERROR(FIND(",",$AN$83),99999),IFERROR(FIND("+",$AN$83),99999))=99999),"",MID($AN$83,MIN(IFERROR(FIND(",",$AN$83),99999),IFERROR(FIND("+",$AN$83),99999))+1,99999))</f>
      </c>
      <c r="AP83">
        <f>IF(OR($AO$83="",MIN(IFERROR(FIND(",",$AO$83),99999),IFERROR(FIND("+",$AO$83),99999))=99999),"",MID($AO$83,MIN(IFERROR(FIND(",",$AO$83),99999),IFERROR(FIND("+",$AO$83),99999))+1,99999))</f>
      </c>
      <c r="AQ83">
        <f>IF(OR($AP$83="",MIN(IFERROR(FIND(",",$AP$83),99999),IFERROR(FIND("+",$AP$83),99999))=99999),"",MID($AP$83,MIN(IFERROR(FIND(",",$AP$83),99999),IFERROR(FIND("+",$AP$83),99999))+1,99999))</f>
      </c>
      <c r="AR83">
        <f>IF(OR($AQ$83="",MIN(IFERROR(FIND(",",$AQ$83),99999),IFERROR(FIND("+",$AQ$83),99999))=99999),"",MID($AQ$83,MIN(IFERROR(FIND(",",$AQ$83),99999),IFERROR(FIND("+",$AQ$83),99999))+1,99999))</f>
      </c>
      <c r="AS83">
        <f>IF($AK$83="","",IF(MIN(IFERROR(FIND(",",$AK$83),99999),IFERROR(FIND("+",$AK$83),99999))=99999,TRIM($AK$83),TRIM(LEFT($AK$83,MIN(IFERROR(FIND(",",$AK$83),99999),IFERROR(FIND("+",$AK$83),99999))-1))))</f>
      </c>
      <c r="AT83">
        <f>IF($AL$83="","",IF(MIN(IFERROR(FIND(",",$AL$83),99999),IFERROR(FIND("+",$AL$83),99999))=99999,TRIM($AL$83),TRIM(LEFT($AL$83,MIN(IFERROR(FIND(",",$AL$83),99999),IFERROR(FIND("+",$AL$83),99999))-1))))</f>
      </c>
      <c r="AU83">
        <f>IF($AM$83="","",IF(MIN(IFERROR(FIND(",",$AM$83),99999),IFERROR(FIND("+",$AM$83),99999))=99999,TRIM($AM$83),TRIM(LEFT($AM$83,MIN(IFERROR(FIND(",",$AM$83),99999),IFERROR(FIND("+",$AM$83),99999))-1))))</f>
      </c>
      <c r="AV83">
        <f>IF($AN$83="","",IF(MIN(IFERROR(FIND(",",$AN$83),99999),IFERROR(FIND("+",$AN$83),99999))=99999,TRIM($AN$83),TRIM(LEFT($AN$83,MIN(IFERROR(FIND(",",$AN$83),99999),IFERROR(FIND("+",$AN$83),99999))-1))))</f>
      </c>
      <c r="AW83">
        <f>IF($AO$83="","",IF(MIN(IFERROR(FIND(",",$AO$83),99999),IFERROR(FIND("+",$AO$83),99999))=99999,TRIM($AO$83),TRIM(LEFT($AO$83,MIN(IFERROR(FIND(",",$AO$83),99999),IFERROR(FIND("+",$AO$83),99999))-1))))</f>
      </c>
      <c r="AX83">
        <f>IF($AP$83="","",IF(MIN(IFERROR(FIND(",",$AP$83),99999),IFERROR(FIND("+",$AP$83),99999))=99999,TRIM($AP$83),TRIM(LEFT($AP$83,MIN(IFERROR(FIND(",",$AP$83),99999),IFERROR(FIND("+",$AP$83),99999))-1))))</f>
      </c>
      <c r="AY83">
        <f>IF($AQ$83="","",IF(MIN(IFERROR(FIND(",",$AQ$83),99999),IFERROR(FIND("+",$AQ$83),99999))=99999,TRIM($AQ$83),TRIM(LEFT($AQ$83,MIN(IFERROR(FIND(",",$AQ$83),99999),IFERROR(FIND("+",$AQ$83),99999))-1))))</f>
      </c>
      <c r="AZ83">
        <f>IF($AR$83="","",IF(MIN(IFERROR(FIND(",",$AR$83),99999),IFERROR(FIND("+",$AR$83),99999))=99999,TRIM($AR$83),TRIM(LEFT($AR$83,MIN(IFERROR(FIND(",",$AR$83),99999),IFERROR(FIND("+",$AR$83),99999))-1))))</f>
      </c>
      <c r="BA83">
        <f>IF($AK$83="",0,1)</f>
      </c>
      <c r="BB83">
        <f>IF($AK$83="",$BA$83,$BA$83+IF(MID($AK$83,MIN(IFERROR(FIND(",",$AK$83),99999),IFERROR(FIND("+",$AK$83),99999)),1)="+",1,0))</f>
      </c>
      <c r="BC83">
        <f>IF($AL$83="",$BB$83,$BB$83+IF(MID($AL$83,MIN(IFERROR(FIND(",",$AL$83),99999),IFERROR(FIND("+",$AL$83),99999)),1)="+",1,0))</f>
      </c>
      <c r="BD83">
        <f>IF($AM$83="",$BC$83,$BC$83+IF(MID($AM$83,MIN(IFERROR(FIND(",",$AM$83),99999),IFERROR(FIND("+",$AM$83),99999)),1)="+",1,0))</f>
      </c>
      <c r="BE83">
        <f>IF($AN$83="",$BD$83,$BD$83+IF(MID($AN$83,MIN(IFERROR(FIND(",",$AN$83),99999),IFERROR(FIND("+",$AN$83),99999)),1)="+",1,0))</f>
      </c>
      <c r="BF83">
        <f>IF($AO$83="",$BE$83,$BE$83+IF(MID($AO$83,MIN(IFERROR(FIND(",",$AO$83),99999),IFERROR(FIND("+",$AO$83),99999)),1)="+",1,0))</f>
      </c>
      <c r="BG83">
        <f>IF($AP$83="",$BF$83,$BF$83+IF(MID($AP$83,MIN(IFERROR(FIND(",",$AP$83),99999),IFERROR(FIND("+",$AP$83),99999)),1)="+",1,0))</f>
      </c>
      <c r="BH83">
        <f>IF($AQ$83="",$BG$83,$BG$83+IF(MID($AQ$83,MIN(IFERROR(FIND(",",$AQ$83),99999),IFERROR(FIND("+",$AQ$83),99999)),1)="+",1,0))</f>
      </c>
      <c r="BI83">
        <f>IF($AS$83="",0,$BA$83)</f>
      </c>
      <c r="BJ83">
        <f>IF($AT$83="",0,$BB$83)</f>
      </c>
      <c r="BK83">
        <f>IF($AU$83="",0,$BC$83)</f>
      </c>
      <c r="BL83">
        <f>IF($AV$83="",0,$BD$83)</f>
      </c>
      <c r="BM83">
        <f>IF($AW$83="",0,$BE$83)</f>
      </c>
      <c r="BN83">
        <f>IF($AX$83="",0,$BF$83)</f>
      </c>
      <c r="BO83">
        <f>IF($AY$83="",0,$BG$83)</f>
      </c>
      <c r="BP83">
        <f>IF($AZ$83="",0,$BH$83)</f>
      </c>
    </row>
    <row r="84" spans="1:99" ht="15" customHeight="1" hidden="1">
      <c r="AK84">
        <f>SUBSTITUTE(SUBSTITUTE($Y$4,"&amp;","+"),"/",",")</f>
      </c>
      <c r="AL84">
        <f>IF(OR($AK$84="",MIN(IFERROR(FIND(",",$AK$84),99999),IFERROR(FIND("+",$AK$84),99999))=99999),"",MID($AK$84,MIN(IFERROR(FIND(",",$AK$84),99999),IFERROR(FIND("+",$AK$84),99999))+1,99999))</f>
      </c>
      <c r="AM84">
        <f>IF(OR($AL$84="",MIN(IFERROR(FIND(",",$AL$84),99999),IFERROR(FIND("+",$AL$84),99999))=99999),"",MID($AL$84,MIN(IFERROR(FIND(",",$AL$84),99999),IFERROR(FIND("+",$AL$84),99999))+1,99999))</f>
      </c>
      <c r="AN84">
        <f>IF(OR($AM$84="",MIN(IFERROR(FIND(",",$AM$84),99999),IFERROR(FIND("+",$AM$84),99999))=99999),"",MID($AM$84,MIN(IFERROR(FIND(",",$AM$84),99999),IFERROR(FIND("+",$AM$84),99999))+1,99999))</f>
      </c>
      <c r="AO84">
        <f>IF(OR($AN$84="",MIN(IFERROR(FIND(",",$AN$84),99999),IFERROR(FIND("+",$AN$84),99999))=99999),"",MID($AN$84,MIN(IFERROR(FIND(",",$AN$84),99999),IFERROR(FIND("+",$AN$84),99999))+1,99999))</f>
      </c>
      <c r="AP84">
        <f>IF(OR($AO$84="",MIN(IFERROR(FIND(",",$AO$84),99999),IFERROR(FIND("+",$AO$84),99999))=99999),"",MID($AO$84,MIN(IFERROR(FIND(",",$AO$84),99999),IFERROR(FIND("+",$AO$84),99999))+1,99999))</f>
      </c>
      <c r="AQ84">
        <f>IF(OR($AP$84="",MIN(IFERROR(FIND(",",$AP$84),99999),IFERROR(FIND("+",$AP$84),99999))=99999),"",MID($AP$84,MIN(IFERROR(FIND(",",$AP$84),99999),IFERROR(FIND("+",$AP$84),99999))+1,99999))</f>
      </c>
      <c r="AR84">
        <f>IF(OR($AQ$84="",MIN(IFERROR(FIND(",",$AQ$84),99999),IFERROR(FIND("+",$AQ$84),99999))=99999),"",MID($AQ$84,MIN(IFERROR(FIND(",",$AQ$84),99999),IFERROR(FIND("+",$AQ$84),99999))+1,99999))</f>
      </c>
      <c r="AS84">
        <f>IF($AK$84="","",IF(MIN(IFERROR(FIND(",",$AK$84),99999),IFERROR(FIND("+",$AK$84),99999))=99999,TRIM($AK$84),TRIM(LEFT($AK$84,MIN(IFERROR(FIND(",",$AK$84),99999),IFERROR(FIND("+",$AK$84),99999))-1))))</f>
      </c>
      <c r="AT84">
        <f>IF($AL$84="","",IF(MIN(IFERROR(FIND(",",$AL$84),99999),IFERROR(FIND("+",$AL$84),99999))=99999,TRIM($AL$84),TRIM(LEFT($AL$84,MIN(IFERROR(FIND(",",$AL$84),99999),IFERROR(FIND("+",$AL$84),99999))-1))))</f>
      </c>
      <c r="AU84">
        <f>IF($AM$84="","",IF(MIN(IFERROR(FIND(",",$AM$84),99999),IFERROR(FIND("+",$AM$84),99999))=99999,TRIM($AM$84),TRIM(LEFT($AM$84,MIN(IFERROR(FIND(",",$AM$84),99999),IFERROR(FIND("+",$AM$84),99999))-1))))</f>
      </c>
      <c r="AV84">
        <f>IF($AN$84="","",IF(MIN(IFERROR(FIND(",",$AN$84),99999),IFERROR(FIND("+",$AN$84),99999))=99999,TRIM($AN$84),TRIM(LEFT($AN$84,MIN(IFERROR(FIND(",",$AN$84),99999),IFERROR(FIND("+",$AN$84),99999))-1))))</f>
      </c>
      <c r="AW84">
        <f>IF($AO$84="","",IF(MIN(IFERROR(FIND(",",$AO$84),99999),IFERROR(FIND("+",$AO$84),99999))=99999,TRIM($AO$84),TRIM(LEFT($AO$84,MIN(IFERROR(FIND(",",$AO$84),99999),IFERROR(FIND("+",$AO$84),99999))-1))))</f>
      </c>
      <c r="AX84">
        <f>IF($AP$84="","",IF(MIN(IFERROR(FIND(",",$AP$84),99999),IFERROR(FIND("+",$AP$84),99999))=99999,TRIM($AP$84),TRIM(LEFT($AP$84,MIN(IFERROR(FIND(",",$AP$84),99999),IFERROR(FIND("+",$AP$84),99999))-1))))</f>
      </c>
      <c r="AY84">
        <f>IF($AQ$84="","",IF(MIN(IFERROR(FIND(",",$AQ$84),99999),IFERROR(FIND("+",$AQ$84),99999))=99999,TRIM($AQ$84),TRIM(LEFT($AQ$84,MIN(IFERROR(FIND(",",$AQ$84),99999),IFERROR(FIND("+",$AQ$84),99999))-1))))</f>
      </c>
      <c r="AZ84">
        <f>IF($AR$84="","",IF(MIN(IFERROR(FIND(",",$AR$84),99999),IFERROR(FIND("+",$AR$84),99999))=99999,TRIM($AR$84),TRIM(LEFT($AR$84,MIN(IFERROR(FIND(",",$AR$84),99999),IFERROR(FIND("+",$AR$84),99999))-1))))</f>
      </c>
      <c r="BA84">
        <f>IF($AK$84="",0,1)</f>
      </c>
      <c r="BB84">
        <f>IF($AK$84="",$BA$84,$BA$84+IF(MID($AK$84,MIN(IFERROR(FIND(",",$AK$84),99999),IFERROR(FIND("+",$AK$84),99999)),1)="+",1,0))</f>
      </c>
      <c r="BC84">
        <f>IF($AL$84="",$BB$84,$BB$84+IF(MID($AL$84,MIN(IFERROR(FIND(",",$AL$84),99999),IFERROR(FIND("+",$AL$84),99999)),1)="+",1,0))</f>
      </c>
      <c r="BD84">
        <f>IF($AM$84="",$BC$84,$BC$84+IF(MID($AM$84,MIN(IFERROR(FIND(",",$AM$84),99999),IFERROR(FIND("+",$AM$84),99999)),1)="+",1,0))</f>
      </c>
      <c r="BE84">
        <f>IF($AN$84="",$BD$84,$BD$84+IF(MID($AN$84,MIN(IFERROR(FIND(",",$AN$84),99999),IFERROR(FIND("+",$AN$84),99999)),1)="+",1,0))</f>
      </c>
      <c r="BF84">
        <f>IF($AO$84="",$BE$84,$BE$84+IF(MID($AO$84,MIN(IFERROR(FIND(",",$AO$84),99999),IFERROR(FIND("+",$AO$84),99999)),1)="+",1,0))</f>
      </c>
      <c r="BG84">
        <f>IF($AP$84="",$BF$84,$BF$84+IF(MID($AP$84,MIN(IFERROR(FIND(",",$AP$84),99999),IFERROR(FIND("+",$AP$84),99999)),1)="+",1,0))</f>
      </c>
      <c r="BH84">
        <f>IF($AQ$84="",$BG$84,$BG$84+IF(MID($AQ$84,MIN(IFERROR(FIND(",",$AQ$84),99999),IFERROR(FIND("+",$AQ$84),99999)),1)="+",1,0))</f>
      </c>
      <c r="BI84">
        <f>IF($AS$84="",0,$BA$84)</f>
      </c>
      <c r="BJ84">
        <f>IF($AT$84="",0,$BB$84)</f>
      </c>
      <c r="BK84">
        <f>IF($AU$84="",0,$BC$84)</f>
      </c>
      <c r="BL84">
        <f>IF($AV$84="",0,$BD$84)</f>
      </c>
      <c r="BM84">
        <f>IF($AW$84="",0,$BE$84)</f>
      </c>
      <c r="BN84">
        <f>IF($AX$84="",0,$BF$84)</f>
      </c>
      <c r="BO84">
        <f>IF($AY$84="",0,$BG$84)</f>
      </c>
      <c r="BP84">
        <f>IF($AZ$84="",0,$BH$84)</f>
      </c>
    </row>
    <row r="85" spans="1:99" ht="15" customHeight="1" hidden="1">
      <c r="AK85">
        <f>SUBSTITUTE(SUBSTITUTE($Z$4,"&amp;","+"),"/",",")</f>
      </c>
      <c r="AL85">
        <f>IF(OR($AK$85="",MIN(IFERROR(FIND(",",$AK$85),99999),IFERROR(FIND("+",$AK$85),99999))=99999),"",MID($AK$85,MIN(IFERROR(FIND(",",$AK$85),99999),IFERROR(FIND("+",$AK$85),99999))+1,99999))</f>
      </c>
      <c r="AM85">
        <f>IF(OR($AL$85="",MIN(IFERROR(FIND(",",$AL$85),99999),IFERROR(FIND("+",$AL$85),99999))=99999),"",MID($AL$85,MIN(IFERROR(FIND(",",$AL$85),99999),IFERROR(FIND("+",$AL$85),99999))+1,99999))</f>
      </c>
      <c r="AN85">
        <f>IF(OR($AM$85="",MIN(IFERROR(FIND(",",$AM$85),99999),IFERROR(FIND("+",$AM$85),99999))=99999),"",MID($AM$85,MIN(IFERROR(FIND(",",$AM$85),99999),IFERROR(FIND("+",$AM$85),99999))+1,99999))</f>
      </c>
      <c r="AO85">
        <f>IF(OR($AN$85="",MIN(IFERROR(FIND(",",$AN$85),99999),IFERROR(FIND("+",$AN$85),99999))=99999),"",MID($AN$85,MIN(IFERROR(FIND(",",$AN$85),99999),IFERROR(FIND("+",$AN$85),99999))+1,99999))</f>
      </c>
      <c r="AP85">
        <f>IF(OR($AO$85="",MIN(IFERROR(FIND(",",$AO$85),99999),IFERROR(FIND("+",$AO$85),99999))=99999),"",MID($AO$85,MIN(IFERROR(FIND(",",$AO$85),99999),IFERROR(FIND("+",$AO$85),99999))+1,99999))</f>
      </c>
      <c r="AQ85">
        <f>IF(OR($AP$85="",MIN(IFERROR(FIND(",",$AP$85),99999),IFERROR(FIND("+",$AP$85),99999))=99999),"",MID($AP$85,MIN(IFERROR(FIND(",",$AP$85),99999),IFERROR(FIND("+",$AP$85),99999))+1,99999))</f>
      </c>
      <c r="AR85">
        <f>IF(OR($AQ$85="",MIN(IFERROR(FIND(",",$AQ$85),99999),IFERROR(FIND("+",$AQ$85),99999))=99999),"",MID($AQ$85,MIN(IFERROR(FIND(",",$AQ$85),99999),IFERROR(FIND("+",$AQ$85),99999))+1,99999))</f>
      </c>
      <c r="AS85">
        <f>IF($AK$85="","",IF(MIN(IFERROR(FIND(",",$AK$85),99999),IFERROR(FIND("+",$AK$85),99999))=99999,TRIM($AK$85),TRIM(LEFT($AK$85,MIN(IFERROR(FIND(",",$AK$85),99999),IFERROR(FIND("+",$AK$85),99999))-1))))</f>
      </c>
      <c r="AT85">
        <f>IF($AL$85="","",IF(MIN(IFERROR(FIND(",",$AL$85),99999),IFERROR(FIND("+",$AL$85),99999))=99999,TRIM($AL$85),TRIM(LEFT($AL$85,MIN(IFERROR(FIND(",",$AL$85),99999),IFERROR(FIND("+",$AL$85),99999))-1))))</f>
      </c>
      <c r="AU85">
        <f>IF($AM$85="","",IF(MIN(IFERROR(FIND(",",$AM$85),99999),IFERROR(FIND("+",$AM$85),99999))=99999,TRIM($AM$85),TRIM(LEFT($AM$85,MIN(IFERROR(FIND(",",$AM$85),99999),IFERROR(FIND("+",$AM$85),99999))-1))))</f>
      </c>
      <c r="AV85">
        <f>IF($AN$85="","",IF(MIN(IFERROR(FIND(",",$AN$85),99999),IFERROR(FIND("+",$AN$85),99999))=99999,TRIM($AN$85),TRIM(LEFT($AN$85,MIN(IFERROR(FIND(",",$AN$85),99999),IFERROR(FIND("+",$AN$85),99999))-1))))</f>
      </c>
      <c r="AW85">
        <f>IF($AO$85="","",IF(MIN(IFERROR(FIND(",",$AO$85),99999),IFERROR(FIND("+",$AO$85),99999))=99999,TRIM($AO$85),TRIM(LEFT($AO$85,MIN(IFERROR(FIND(",",$AO$85),99999),IFERROR(FIND("+",$AO$85),99999))-1))))</f>
      </c>
      <c r="AX85">
        <f>IF($AP$85="","",IF(MIN(IFERROR(FIND(",",$AP$85),99999),IFERROR(FIND("+",$AP$85),99999))=99999,TRIM($AP$85),TRIM(LEFT($AP$85,MIN(IFERROR(FIND(",",$AP$85),99999),IFERROR(FIND("+",$AP$85),99999))-1))))</f>
      </c>
      <c r="AY85">
        <f>IF($AQ$85="","",IF(MIN(IFERROR(FIND(",",$AQ$85),99999),IFERROR(FIND("+",$AQ$85),99999))=99999,TRIM($AQ$85),TRIM(LEFT($AQ$85,MIN(IFERROR(FIND(",",$AQ$85),99999),IFERROR(FIND("+",$AQ$85),99999))-1))))</f>
      </c>
      <c r="AZ85">
        <f>IF($AR$85="","",IF(MIN(IFERROR(FIND(",",$AR$85),99999),IFERROR(FIND("+",$AR$85),99999))=99999,TRIM($AR$85),TRIM(LEFT($AR$85,MIN(IFERROR(FIND(",",$AR$85),99999),IFERROR(FIND("+",$AR$85),99999))-1))))</f>
      </c>
      <c r="BA85">
        <f>IF($AK$85="",0,1)</f>
      </c>
      <c r="BB85">
        <f>IF($AK$85="",$BA$85,$BA$85+IF(MID($AK$85,MIN(IFERROR(FIND(",",$AK$85),99999),IFERROR(FIND("+",$AK$85),99999)),1)="+",1,0))</f>
      </c>
      <c r="BC85">
        <f>IF($AL$85="",$BB$85,$BB$85+IF(MID($AL$85,MIN(IFERROR(FIND(",",$AL$85),99999),IFERROR(FIND("+",$AL$85),99999)),1)="+",1,0))</f>
      </c>
      <c r="BD85">
        <f>IF($AM$85="",$BC$85,$BC$85+IF(MID($AM$85,MIN(IFERROR(FIND(",",$AM$85),99999),IFERROR(FIND("+",$AM$85),99999)),1)="+",1,0))</f>
      </c>
      <c r="BE85">
        <f>IF($AN$85="",$BD$85,$BD$85+IF(MID($AN$85,MIN(IFERROR(FIND(",",$AN$85),99999),IFERROR(FIND("+",$AN$85),99999)),1)="+",1,0))</f>
      </c>
      <c r="BF85">
        <f>IF($AO$85="",$BE$85,$BE$85+IF(MID($AO$85,MIN(IFERROR(FIND(",",$AO$85),99999),IFERROR(FIND("+",$AO$85),99999)),1)="+",1,0))</f>
      </c>
      <c r="BG85">
        <f>IF($AP$85="",$BF$85,$BF$85+IF(MID($AP$85,MIN(IFERROR(FIND(",",$AP$85),99999),IFERROR(FIND("+",$AP$85),99999)),1)="+",1,0))</f>
      </c>
      <c r="BH85">
        <f>IF($AQ$85="",$BG$85,$BG$85+IF(MID($AQ$85,MIN(IFERROR(FIND(",",$AQ$85),99999),IFERROR(FIND("+",$AQ$85),99999)),1)="+",1,0))</f>
      </c>
      <c r="BI85">
        <f>IF($AS$85="",0,$BA$85)</f>
      </c>
      <c r="BJ85">
        <f>IF($AT$85="",0,$BB$85)</f>
      </c>
      <c r="BK85">
        <f>IF($AU$85="",0,$BC$85)</f>
      </c>
      <c r="BL85">
        <f>IF($AV$85="",0,$BD$85)</f>
      </c>
      <c r="BM85">
        <f>IF($AW$85="",0,$BE$85)</f>
      </c>
      <c r="BN85">
        <f>IF($AX$85="",0,$BF$85)</f>
      </c>
      <c r="BO85">
        <f>IF($AY$85="",0,$BG$85)</f>
      </c>
      <c r="BP85">
        <f>IF($AZ$85="",0,$BH$85)</f>
      </c>
    </row>
    <row r="86" spans="1:99" ht="15" customHeight="1" hidden="1">
      <c r="AK86">
        <f>SUBSTITUTE(SUBSTITUTE($AA$4,"&amp;","+"),"/",",")</f>
      </c>
      <c r="AL86">
        <f>IF(OR($AK$86="",MIN(IFERROR(FIND(",",$AK$86),99999),IFERROR(FIND("+",$AK$86),99999))=99999),"",MID($AK$86,MIN(IFERROR(FIND(",",$AK$86),99999),IFERROR(FIND("+",$AK$86),99999))+1,99999))</f>
      </c>
      <c r="AM86">
        <f>IF(OR($AL$86="",MIN(IFERROR(FIND(",",$AL$86),99999),IFERROR(FIND("+",$AL$86),99999))=99999),"",MID($AL$86,MIN(IFERROR(FIND(",",$AL$86),99999),IFERROR(FIND("+",$AL$86),99999))+1,99999))</f>
      </c>
      <c r="AN86">
        <f>IF(OR($AM$86="",MIN(IFERROR(FIND(",",$AM$86),99999),IFERROR(FIND("+",$AM$86),99999))=99999),"",MID($AM$86,MIN(IFERROR(FIND(",",$AM$86),99999),IFERROR(FIND("+",$AM$86),99999))+1,99999))</f>
      </c>
      <c r="AO86">
        <f>IF(OR($AN$86="",MIN(IFERROR(FIND(",",$AN$86),99999),IFERROR(FIND("+",$AN$86),99999))=99999),"",MID($AN$86,MIN(IFERROR(FIND(",",$AN$86),99999),IFERROR(FIND("+",$AN$86),99999))+1,99999))</f>
      </c>
      <c r="AP86">
        <f>IF(OR($AO$86="",MIN(IFERROR(FIND(",",$AO$86),99999),IFERROR(FIND("+",$AO$86),99999))=99999),"",MID($AO$86,MIN(IFERROR(FIND(",",$AO$86),99999),IFERROR(FIND("+",$AO$86),99999))+1,99999))</f>
      </c>
      <c r="AQ86">
        <f>IF(OR($AP$86="",MIN(IFERROR(FIND(",",$AP$86),99999),IFERROR(FIND("+",$AP$86),99999))=99999),"",MID($AP$86,MIN(IFERROR(FIND(",",$AP$86),99999),IFERROR(FIND("+",$AP$86),99999))+1,99999))</f>
      </c>
      <c r="AR86">
        <f>IF(OR($AQ$86="",MIN(IFERROR(FIND(",",$AQ$86),99999),IFERROR(FIND("+",$AQ$86),99999))=99999),"",MID($AQ$86,MIN(IFERROR(FIND(",",$AQ$86),99999),IFERROR(FIND("+",$AQ$86),99999))+1,99999))</f>
      </c>
      <c r="AS86">
        <f>IF($AK$86="","",IF(MIN(IFERROR(FIND(",",$AK$86),99999),IFERROR(FIND("+",$AK$86),99999))=99999,TRIM($AK$86),TRIM(LEFT($AK$86,MIN(IFERROR(FIND(",",$AK$86),99999),IFERROR(FIND("+",$AK$86),99999))-1))))</f>
      </c>
      <c r="AT86">
        <f>IF($AL$86="","",IF(MIN(IFERROR(FIND(",",$AL$86),99999),IFERROR(FIND("+",$AL$86),99999))=99999,TRIM($AL$86),TRIM(LEFT($AL$86,MIN(IFERROR(FIND(",",$AL$86),99999),IFERROR(FIND("+",$AL$86),99999))-1))))</f>
      </c>
      <c r="AU86">
        <f>IF($AM$86="","",IF(MIN(IFERROR(FIND(",",$AM$86),99999),IFERROR(FIND("+",$AM$86),99999))=99999,TRIM($AM$86),TRIM(LEFT($AM$86,MIN(IFERROR(FIND(",",$AM$86),99999),IFERROR(FIND("+",$AM$86),99999))-1))))</f>
      </c>
      <c r="AV86">
        <f>IF($AN$86="","",IF(MIN(IFERROR(FIND(",",$AN$86),99999),IFERROR(FIND("+",$AN$86),99999))=99999,TRIM($AN$86),TRIM(LEFT($AN$86,MIN(IFERROR(FIND(",",$AN$86),99999),IFERROR(FIND("+",$AN$86),99999))-1))))</f>
      </c>
      <c r="AW86">
        <f>IF($AO$86="","",IF(MIN(IFERROR(FIND(",",$AO$86),99999),IFERROR(FIND("+",$AO$86),99999))=99999,TRIM($AO$86),TRIM(LEFT($AO$86,MIN(IFERROR(FIND(",",$AO$86),99999),IFERROR(FIND("+",$AO$86),99999))-1))))</f>
      </c>
      <c r="AX86">
        <f>IF($AP$86="","",IF(MIN(IFERROR(FIND(",",$AP$86),99999),IFERROR(FIND("+",$AP$86),99999))=99999,TRIM($AP$86),TRIM(LEFT($AP$86,MIN(IFERROR(FIND(",",$AP$86),99999),IFERROR(FIND("+",$AP$86),99999))-1))))</f>
      </c>
      <c r="AY86">
        <f>IF($AQ$86="","",IF(MIN(IFERROR(FIND(",",$AQ$86),99999),IFERROR(FIND("+",$AQ$86),99999))=99999,TRIM($AQ$86),TRIM(LEFT($AQ$86,MIN(IFERROR(FIND(",",$AQ$86),99999),IFERROR(FIND("+",$AQ$86),99999))-1))))</f>
      </c>
      <c r="AZ86">
        <f>IF($AR$86="","",IF(MIN(IFERROR(FIND(",",$AR$86),99999),IFERROR(FIND("+",$AR$86),99999))=99999,TRIM($AR$86),TRIM(LEFT($AR$86,MIN(IFERROR(FIND(",",$AR$86),99999),IFERROR(FIND("+",$AR$86),99999))-1))))</f>
      </c>
      <c r="BA86">
        <f>IF($AK$86="",0,1)</f>
      </c>
      <c r="BB86">
        <f>IF($AK$86="",$BA$86,$BA$86+IF(MID($AK$86,MIN(IFERROR(FIND(",",$AK$86),99999),IFERROR(FIND("+",$AK$86),99999)),1)="+",1,0))</f>
      </c>
      <c r="BC86">
        <f>IF($AL$86="",$BB$86,$BB$86+IF(MID($AL$86,MIN(IFERROR(FIND(",",$AL$86),99999),IFERROR(FIND("+",$AL$86),99999)),1)="+",1,0))</f>
      </c>
      <c r="BD86">
        <f>IF($AM$86="",$BC$86,$BC$86+IF(MID($AM$86,MIN(IFERROR(FIND(",",$AM$86),99999),IFERROR(FIND("+",$AM$86),99999)),1)="+",1,0))</f>
      </c>
      <c r="BE86">
        <f>IF($AN$86="",$BD$86,$BD$86+IF(MID($AN$86,MIN(IFERROR(FIND(",",$AN$86),99999),IFERROR(FIND("+",$AN$86),99999)),1)="+",1,0))</f>
      </c>
      <c r="BF86">
        <f>IF($AO$86="",$BE$86,$BE$86+IF(MID($AO$86,MIN(IFERROR(FIND(",",$AO$86),99999),IFERROR(FIND("+",$AO$86),99999)),1)="+",1,0))</f>
      </c>
      <c r="BG86">
        <f>IF($AP$86="",$BF$86,$BF$86+IF(MID($AP$86,MIN(IFERROR(FIND(",",$AP$86),99999),IFERROR(FIND("+",$AP$86),99999)),1)="+",1,0))</f>
      </c>
      <c r="BH86">
        <f>IF($AQ$86="",$BG$86,$BG$86+IF(MID($AQ$86,MIN(IFERROR(FIND(",",$AQ$86),99999),IFERROR(FIND("+",$AQ$86),99999)),1)="+",1,0))</f>
      </c>
      <c r="BI86">
        <f>IF($AS$86="",0,$BA$86)</f>
      </c>
      <c r="BJ86">
        <f>IF($AT$86="",0,$BB$86)</f>
      </c>
      <c r="BK86">
        <f>IF($AU$86="",0,$BC$86)</f>
      </c>
      <c r="BL86">
        <f>IF($AV$86="",0,$BD$86)</f>
      </c>
      <c r="BM86">
        <f>IF($AW$86="",0,$BE$86)</f>
      </c>
      <c r="BN86">
        <f>IF($AX$86="",0,$BF$86)</f>
      </c>
      <c r="BO86">
        <f>IF($AY$86="",0,$BG$86)</f>
      </c>
      <c r="BP86">
        <f>IF($AZ$86="",0,$BH$86)</f>
      </c>
    </row>
    <row r="87" spans="1:99" ht="15" customHeight="1" hidden="1">
      <c r="AK87">
        <f>SUBSTITUTE(SUBSTITUTE($AB$4,"&amp;","+"),"/",",")</f>
      </c>
      <c r="AL87">
        <f>IF(OR($AK$87="",MIN(IFERROR(FIND(",",$AK$87),99999),IFERROR(FIND("+",$AK$87),99999))=99999),"",MID($AK$87,MIN(IFERROR(FIND(",",$AK$87),99999),IFERROR(FIND("+",$AK$87),99999))+1,99999))</f>
      </c>
      <c r="AM87">
        <f>IF(OR($AL$87="",MIN(IFERROR(FIND(",",$AL$87),99999),IFERROR(FIND("+",$AL$87),99999))=99999),"",MID($AL$87,MIN(IFERROR(FIND(",",$AL$87),99999),IFERROR(FIND("+",$AL$87),99999))+1,99999))</f>
      </c>
      <c r="AN87">
        <f>IF(OR($AM$87="",MIN(IFERROR(FIND(",",$AM$87),99999),IFERROR(FIND("+",$AM$87),99999))=99999),"",MID($AM$87,MIN(IFERROR(FIND(",",$AM$87),99999),IFERROR(FIND("+",$AM$87),99999))+1,99999))</f>
      </c>
      <c r="AO87">
        <f>IF(OR($AN$87="",MIN(IFERROR(FIND(",",$AN$87),99999),IFERROR(FIND("+",$AN$87),99999))=99999),"",MID($AN$87,MIN(IFERROR(FIND(",",$AN$87),99999),IFERROR(FIND("+",$AN$87),99999))+1,99999))</f>
      </c>
      <c r="AP87">
        <f>IF(OR($AO$87="",MIN(IFERROR(FIND(",",$AO$87),99999),IFERROR(FIND("+",$AO$87),99999))=99999),"",MID($AO$87,MIN(IFERROR(FIND(",",$AO$87),99999),IFERROR(FIND("+",$AO$87),99999))+1,99999))</f>
      </c>
      <c r="AQ87">
        <f>IF(OR($AP$87="",MIN(IFERROR(FIND(",",$AP$87),99999),IFERROR(FIND("+",$AP$87),99999))=99999),"",MID($AP$87,MIN(IFERROR(FIND(",",$AP$87),99999),IFERROR(FIND("+",$AP$87),99999))+1,99999))</f>
      </c>
      <c r="AR87">
        <f>IF(OR($AQ$87="",MIN(IFERROR(FIND(",",$AQ$87),99999),IFERROR(FIND("+",$AQ$87),99999))=99999),"",MID($AQ$87,MIN(IFERROR(FIND(",",$AQ$87),99999),IFERROR(FIND("+",$AQ$87),99999))+1,99999))</f>
      </c>
      <c r="AS87">
        <f>IF($AK$87="","",IF(MIN(IFERROR(FIND(",",$AK$87),99999),IFERROR(FIND("+",$AK$87),99999))=99999,TRIM($AK$87),TRIM(LEFT($AK$87,MIN(IFERROR(FIND(",",$AK$87),99999),IFERROR(FIND("+",$AK$87),99999))-1))))</f>
      </c>
      <c r="AT87">
        <f>IF($AL$87="","",IF(MIN(IFERROR(FIND(",",$AL$87),99999),IFERROR(FIND("+",$AL$87),99999))=99999,TRIM($AL$87),TRIM(LEFT($AL$87,MIN(IFERROR(FIND(",",$AL$87),99999),IFERROR(FIND("+",$AL$87),99999))-1))))</f>
      </c>
      <c r="AU87">
        <f>IF($AM$87="","",IF(MIN(IFERROR(FIND(",",$AM$87),99999),IFERROR(FIND("+",$AM$87),99999))=99999,TRIM($AM$87),TRIM(LEFT($AM$87,MIN(IFERROR(FIND(",",$AM$87),99999),IFERROR(FIND("+",$AM$87),99999))-1))))</f>
      </c>
      <c r="AV87">
        <f>IF($AN$87="","",IF(MIN(IFERROR(FIND(",",$AN$87),99999),IFERROR(FIND("+",$AN$87),99999))=99999,TRIM($AN$87),TRIM(LEFT($AN$87,MIN(IFERROR(FIND(",",$AN$87),99999),IFERROR(FIND("+",$AN$87),99999))-1))))</f>
      </c>
      <c r="AW87">
        <f>IF($AO$87="","",IF(MIN(IFERROR(FIND(",",$AO$87),99999),IFERROR(FIND("+",$AO$87),99999))=99999,TRIM($AO$87),TRIM(LEFT($AO$87,MIN(IFERROR(FIND(",",$AO$87),99999),IFERROR(FIND("+",$AO$87),99999))-1))))</f>
      </c>
      <c r="AX87">
        <f>IF($AP$87="","",IF(MIN(IFERROR(FIND(",",$AP$87),99999),IFERROR(FIND("+",$AP$87),99999))=99999,TRIM($AP$87),TRIM(LEFT($AP$87,MIN(IFERROR(FIND(",",$AP$87),99999),IFERROR(FIND("+",$AP$87),99999))-1))))</f>
      </c>
      <c r="AY87">
        <f>IF($AQ$87="","",IF(MIN(IFERROR(FIND(",",$AQ$87),99999),IFERROR(FIND("+",$AQ$87),99999))=99999,TRIM($AQ$87),TRIM(LEFT($AQ$87,MIN(IFERROR(FIND(",",$AQ$87),99999),IFERROR(FIND("+",$AQ$87),99999))-1))))</f>
      </c>
      <c r="AZ87">
        <f>IF($AR$87="","",IF(MIN(IFERROR(FIND(",",$AR$87),99999),IFERROR(FIND("+",$AR$87),99999))=99999,TRIM($AR$87),TRIM(LEFT($AR$87,MIN(IFERROR(FIND(",",$AR$87),99999),IFERROR(FIND("+",$AR$87),99999))-1))))</f>
      </c>
      <c r="BA87">
        <f>IF($AK$87="",0,1)</f>
      </c>
      <c r="BB87">
        <f>IF($AK$87="",$BA$87,$BA$87+IF(MID($AK$87,MIN(IFERROR(FIND(",",$AK$87),99999),IFERROR(FIND("+",$AK$87),99999)),1)="+",1,0))</f>
      </c>
      <c r="BC87">
        <f>IF($AL$87="",$BB$87,$BB$87+IF(MID($AL$87,MIN(IFERROR(FIND(",",$AL$87),99999),IFERROR(FIND("+",$AL$87),99999)),1)="+",1,0))</f>
      </c>
      <c r="BD87">
        <f>IF($AM$87="",$BC$87,$BC$87+IF(MID($AM$87,MIN(IFERROR(FIND(",",$AM$87),99999),IFERROR(FIND("+",$AM$87),99999)),1)="+",1,0))</f>
      </c>
      <c r="BE87">
        <f>IF($AN$87="",$BD$87,$BD$87+IF(MID($AN$87,MIN(IFERROR(FIND(",",$AN$87),99999),IFERROR(FIND("+",$AN$87),99999)),1)="+",1,0))</f>
      </c>
      <c r="BF87">
        <f>IF($AO$87="",$BE$87,$BE$87+IF(MID($AO$87,MIN(IFERROR(FIND(",",$AO$87),99999),IFERROR(FIND("+",$AO$87),99999)),1)="+",1,0))</f>
      </c>
      <c r="BG87">
        <f>IF($AP$87="",$BF$87,$BF$87+IF(MID($AP$87,MIN(IFERROR(FIND(",",$AP$87),99999),IFERROR(FIND("+",$AP$87),99999)),1)="+",1,0))</f>
      </c>
      <c r="BH87">
        <f>IF($AQ$87="",$BG$87,$BG$87+IF(MID($AQ$87,MIN(IFERROR(FIND(",",$AQ$87),99999),IFERROR(FIND("+",$AQ$87),99999)),1)="+",1,0))</f>
      </c>
      <c r="BI87">
        <f>IF($AS$87="",0,$BA$87)</f>
      </c>
      <c r="BJ87">
        <f>IF($AT$87="",0,$BB$87)</f>
      </c>
      <c r="BK87">
        <f>IF($AU$87="",0,$BC$87)</f>
      </c>
      <c r="BL87">
        <f>IF($AV$87="",0,$BD$87)</f>
      </c>
      <c r="BM87">
        <f>IF($AW$87="",0,$BE$87)</f>
      </c>
      <c r="BN87">
        <f>IF($AX$87="",0,$BF$87)</f>
      </c>
      <c r="BO87">
        <f>IF($AY$87="",0,$BG$87)</f>
      </c>
      <c r="BP87">
        <f>IF($AZ$87="",0,$BH$87)</f>
      </c>
    </row>
    <row r="88" spans="1:99" ht="15" customHeight="1" hidden="1">
      <c r="AK88">
        <f>SUBSTITUTE(SUBSTITUTE($AC$4,"&amp;","+"),"/",",")</f>
      </c>
      <c r="AL88">
        <f>IF(OR($AK$88="",MIN(IFERROR(FIND(",",$AK$88),99999),IFERROR(FIND("+",$AK$88),99999))=99999),"",MID($AK$88,MIN(IFERROR(FIND(",",$AK$88),99999),IFERROR(FIND("+",$AK$88),99999))+1,99999))</f>
      </c>
      <c r="AM88">
        <f>IF(OR($AL$88="",MIN(IFERROR(FIND(",",$AL$88),99999),IFERROR(FIND("+",$AL$88),99999))=99999),"",MID($AL$88,MIN(IFERROR(FIND(",",$AL$88),99999),IFERROR(FIND("+",$AL$88),99999))+1,99999))</f>
      </c>
      <c r="AN88">
        <f>IF(OR($AM$88="",MIN(IFERROR(FIND(",",$AM$88),99999),IFERROR(FIND("+",$AM$88),99999))=99999),"",MID($AM$88,MIN(IFERROR(FIND(",",$AM$88),99999),IFERROR(FIND("+",$AM$88),99999))+1,99999))</f>
      </c>
      <c r="AO88">
        <f>IF(OR($AN$88="",MIN(IFERROR(FIND(",",$AN$88),99999),IFERROR(FIND("+",$AN$88),99999))=99999),"",MID($AN$88,MIN(IFERROR(FIND(",",$AN$88),99999),IFERROR(FIND("+",$AN$88),99999))+1,99999))</f>
      </c>
      <c r="AP88">
        <f>IF(OR($AO$88="",MIN(IFERROR(FIND(",",$AO$88),99999),IFERROR(FIND("+",$AO$88),99999))=99999),"",MID($AO$88,MIN(IFERROR(FIND(",",$AO$88),99999),IFERROR(FIND("+",$AO$88),99999))+1,99999))</f>
      </c>
      <c r="AQ88">
        <f>IF(OR($AP$88="",MIN(IFERROR(FIND(",",$AP$88),99999),IFERROR(FIND("+",$AP$88),99999))=99999),"",MID($AP$88,MIN(IFERROR(FIND(",",$AP$88),99999),IFERROR(FIND("+",$AP$88),99999))+1,99999))</f>
      </c>
      <c r="AR88">
        <f>IF(OR($AQ$88="",MIN(IFERROR(FIND(",",$AQ$88),99999),IFERROR(FIND("+",$AQ$88),99999))=99999),"",MID($AQ$88,MIN(IFERROR(FIND(",",$AQ$88),99999),IFERROR(FIND("+",$AQ$88),99999))+1,99999))</f>
      </c>
      <c r="AS88">
        <f>IF($AK$88="","",IF(MIN(IFERROR(FIND(",",$AK$88),99999),IFERROR(FIND("+",$AK$88),99999))=99999,TRIM($AK$88),TRIM(LEFT($AK$88,MIN(IFERROR(FIND(",",$AK$88),99999),IFERROR(FIND("+",$AK$88),99999))-1))))</f>
      </c>
      <c r="AT88">
        <f>IF($AL$88="","",IF(MIN(IFERROR(FIND(",",$AL$88),99999),IFERROR(FIND("+",$AL$88),99999))=99999,TRIM($AL$88),TRIM(LEFT($AL$88,MIN(IFERROR(FIND(",",$AL$88),99999),IFERROR(FIND("+",$AL$88),99999))-1))))</f>
      </c>
      <c r="AU88">
        <f>IF($AM$88="","",IF(MIN(IFERROR(FIND(",",$AM$88),99999),IFERROR(FIND("+",$AM$88),99999))=99999,TRIM($AM$88),TRIM(LEFT($AM$88,MIN(IFERROR(FIND(",",$AM$88),99999),IFERROR(FIND("+",$AM$88),99999))-1))))</f>
      </c>
      <c r="AV88">
        <f>IF($AN$88="","",IF(MIN(IFERROR(FIND(",",$AN$88),99999),IFERROR(FIND("+",$AN$88),99999))=99999,TRIM($AN$88),TRIM(LEFT($AN$88,MIN(IFERROR(FIND(",",$AN$88),99999),IFERROR(FIND("+",$AN$88),99999))-1))))</f>
      </c>
      <c r="AW88">
        <f>IF($AO$88="","",IF(MIN(IFERROR(FIND(",",$AO$88),99999),IFERROR(FIND("+",$AO$88),99999))=99999,TRIM($AO$88),TRIM(LEFT($AO$88,MIN(IFERROR(FIND(",",$AO$88),99999),IFERROR(FIND("+",$AO$88),99999))-1))))</f>
      </c>
      <c r="AX88">
        <f>IF($AP$88="","",IF(MIN(IFERROR(FIND(",",$AP$88),99999),IFERROR(FIND("+",$AP$88),99999))=99999,TRIM($AP$88),TRIM(LEFT($AP$88,MIN(IFERROR(FIND(",",$AP$88),99999),IFERROR(FIND("+",$AP$88),99999))-1))))</f>
      </c>
      <c r="AY88">
        <f>IF($AQ$88="","",IF(MIN(IFERROR(FIND(",",$AQ$88),99999),IFERROR(FIND("+",$AQ$88),99999))=99999,TRIM($AQ$88),TRIM(LEFT($AQ$88,MIN(IFERROR(FIND(",",$AQ$88),99999),IFERROR(FIND("+",$AQ$88),99999))-1))))</f>
      </c>
      <c r="AZ88">
        <f>IF($AR$88="","",IF(MIN(IFERROR(FIND(",",$AR$88),99999),IFERROR(FIND("+",$AR$88),99999))=99999,TRIM($AR$88),TRIM(LEFT($AR$88,MIN(IFERROR(FIND(",",$AR$88),99999),IFERROR(FIND("+",$AR$88),99999))-1))))</f>
      </c>
      <c r="BA88">
        <f>IF($AK$88="",0,1)</f>
      </c>
      <c r="BB88">
        <f>IF($AK$88="",$BA$88,$BA$88+IF(MID($AK$88,MIN(IFERROR(FIND(",",$AK$88),99999),IFERROR(FIND("+",$AK$88),99999)),1)="+",1,0))</f>
      </c>
      <c r="BC88">
        <f>IF($AL$88="",$BB$88,$BB$88+IF(MID($AL$88,MIN(IFERROR(FIND(",",$AL$88),99999),IFERROR(FIND("+",$AL$88),99999)),1)="+",1,0))</f>
      </c>
      <c r="BD88">
        <f>IF($AM$88="",$BC$88,$BC$88+IF(MID($AM$88,MIN(IFERROR(FIND(",",$AM$88),99999),IFERROR(FIND("+",$AM$88),99999)),1)="+",1,0))</f>
      </c>
      <c r="BE88">
        <f>IF($AN$88="",$BD$88,$BD$88+IF(MID($AN$88,MIN(IFERROR(FIND(",",$AN$88),99999),IFERROR(FIND("+",$AN$88),99999)),1)="+",1,0))</f>
      </c>
      <c r="BF88">
        <f>IF($AO$88="",$BE$88,$BE$88+IF(MID($AO$88,MIN(IFERROR(FIND(",",$AO$88),99999),IFERROR(FIND("+",$AO$88),99999)),1)="+",1,0))</f>
      </c>
      <c r="BG88">
        <f>IF($AP$88="",$BF$88,$BF$88+IF(MID($AP$88,MIN(IFERROR(FIND(",",$AP$88),99999),IFERROR(FIND("+",$AP$88),99999)),1)="+",1,0))</f>
      </c>
      <c r="BH88">
        <f>IF($AQ$88="",$BG$88,$BG$88+IF(MID($AQ$88,MIN(IFERROR(FIND(",",$AQ$88),99999),IFERROR(FIND("+",$AQ$88),99999)),1)="+",1,0))</f>
      </c>
      <c r="BI88">
        <f>IF($AS$88="",0,$BA$88)</f>
      </c>
      <c r="BJ88">
        <f>IF($AT$88="",0,$BB$88)</f>
      </c>
      <c r="BK88">
        <f>IF($AU$88="",0,$BC$88)</f>
      </c>
      <c r="BL88">
        <f>IF($AV$88="",0,$BD$88)</f>
      </c>
      <c r="BM88">
        <f>IF($AW$88="",0,$BE$88)</f>
      </c>
      <c r="BN88">
        <f>IF($AX$88="",0,$BF$88)</f>
      </c>
      <c r="BO88">
        <f>IF($AY$88="",0,$BG$88)</f>
      </c>
      <c r="BP88">
        <f>IF($AZ$88="",0,$BH$88)</f>
      </c>
    </row>
    <row r="89" spans="1:99" ht="15" customHeight="1" hidden="1">
      <c r="AK89">
        <f>SUBSTITUTE(SUBSTITUTE($AD$4,"&amp;","+"),"/",",")</f>
      </c>
      <c r="AL89">
        <f>IF(OR($AK$89="",MIN(IFERROR(FIND(",",$AK$89),99999),IFERROR(FIND("+",$AK$89),99999))=99999),"",MID($AK$89,MIN(IFERROR(FIND(",",$AK$89),99999),IFERROR(FIND("+",$AK$89),99999))+1,99999))</f>
      </c>
      <c r="AM89">
        <f>IF(OR($AL$89="",MIN(IFERROR(FIND(",",$AL$89),99999),IFERROR(FIND("+",$AL$89),99999))=99999),"",MID($AL$89,MIN(IFERROR(FIND(",",$AL$89),99999),IFERROR(FIND("+",$AL$89),99999))+1,99999))</f>
      </c>
      <c r="AN89">
        <f>IF(OR($AM$89="",MIN(IFERROR(FIND(",",$AM$89),99999),IFERROR(FIND("+",$AM$89),99999))=99999),"",MID($AM$89,MIN(IFERROR(FIND(",",$AM$89),99999),IFERROR(FIND("+",$AM$89),99999))+1,99999))</f>
      </c>
      <c r="AO89">
        <f>IF(OR($AN$89="",MIN(IFERROR(FIND(",",$AN$89),99999),IFERROR(FIND("+",$AN$89),99999))=99999),"",MID($AN$89,MIN(IFERROR(FIND(",",$AN$89),99999),IFERROR(FIND("+",$AN$89),99999))+1,99999))</f>
      </c>
      <c r="AP89">
        <f>IF(OR($AO$89="",MIN(IFERROR(FIND(",",$AO$89),99999),IFERROR(FIND("+",$AO$89),99999))=99999),"",MID($AO$89,MIN(IFERROR(FIND(",",$AO$89),99999),IFERROR(FIND("+",$AO$89),99999))+1,99999))</f>
      </c>
      <c r="AQ89">
        <f>IF(OR($AP$89="",MIN(IFERROR(FIND(",",$AP$89),99999),IFERROR(FIND("+",$AP$89),99999))=99999),"",MID($AP$89,MIN(IFERROR(FIND(",",$AP$89),99999),IFERROR(FIND("+",$AP$89),99999))+1,99999))</f>
      </c>
      <c r="AR89">
        <f>IF(OR($AQ$89="",MIN(IFERROR(FIND(",",$AQ$89),99999),IFERROR(FIND("+",$AQ$89),99999))=99999),"",MID($AQ$89,MIN(IFERROR(FIND(",",$AQ$89),99999),IFERROR(FIND("+",$AQ$89),99999))+1,99999))</f>
      </c>
      <c r="AS89">
        <f>IF($AK$89="","",IF(MIN(IFERROR(FIND(",",$AK$89),99999),IFERROR(FIND("+",$AK$89),99999))=99999,TRIM($AK$89),TRIM(LEFT($AK$89,MIN(IFERROR(FIND(",",$AK$89),99999),IFERROR(FIND("+",$AK$89),99999))-1))))</f>
      </c>
      <c r="AT89">
        <f>IF($AL$89="","",IF(MIN(IFERROR(FIND(",",$AL$89),99999),IFERROR(FIND("+",$AL$89),99999))=99999,TRIM($AL$89),TRIM(LEFT($AL$89,MIN(IFERROR(FIND(",",$AL$89),99999),IFERROR(FIND("+",$AL$89),99999))-1))))</f>
      </c>
      <c r="AU89">
        <f>IF($AM$89="","",IF(MIN(IFERROR(FIND(",",$AM$89),99999),IFERROR(FIND("+",$AM$89),99999))=99999,TRIM($AM$89),TRIM(LEFT($AM$89,MIN(IFERROR(FIND(",",$AM$89),99999),IFERROR(FIND("+",$AM$89),99999))-1))))</f>
      </c>
      <c r="AV89">
        <f>IF($AN$89="","",IF(MIN(IFERROR(FIND(",",$AN$89),99999),IFERROR(FIND("+",$AN$89),99999))=99999,TRIM($AN$89),TRIM(LEFT($AN$89,MIN(IFERROR(FIND(",",$AN$89),99999),IFERROR(FIND("+",$AN$89),99999))-1))))</f>
      </c>
      <c r="AW89">
        <f>IF($AO$89="","",IF(MIN(IFERROR(FIND(",",$AO$89),99999),IFERROR(FIND("+",$AO$89),99999))=99999,TRIM($AO$89),TRIM(LEFT($AO$89,MIN(IFERROR(FIND(",",$AO$89),99999),IFERROR(FIND("+",$AO$89),99999))-1))))</f>
      </c>
      <c r="AX89">
        <f>IF($AP$89="","",IF(MIN(IFERROR(FIND(",",$AP$89),99999),IFERROR(FIND("+",$AP$89),99999))=99999,TRIM($AP$89),TRIM(LEFT($AP$89,MIN(IFERROR(FIND(",",$AP$89),99999),IFERROR(FIND("+",$AP$89),99999))-1))))</f>
      </c>
      <c r="AY89">
        <f>IF($AQ$89="","",IF(MIN(IFERROR(FIND(",",$AQ$89),99999),IFERROR(FIND("+",$AQ$89),99999))=99999,TRIM($AQ$89),TRIM(LEFT($AQ$89,MIN(IFERROR(FIND(",",$AQ$89),99999),IFERROR(FIND("+",$AQ$89),99999))-1))))</f>
      </c>
      <c r="AZ89">
        <f>IF($AR$89="","",IF(MIN(IFERROR(FIND(",",$AR$89),99999),IFERROR(FIND("+",$AR$89),99999))=99999,TRIM($AR$89),TRIM(LEFT($AR$89,MIN(IFERROR(FIND(",",$AR$89),99999),IFERROR(FIND("+",$AR$89),99999))-1))))</f>
      </c>
      <c r="BA89">
        <f>IF($AK$89="",0,1)</f>
      </c>
      <c r="BB89">
        <f>IF($AK$89="",$BA$89,$BA$89+IF(MID($AK$89,MIN(IFERROR(FIND(",",$AK$89),99999),IFERROR(FIND("+",$AK$89),99999)),1)="+",1,0))</f>
      </c>
      <c r="BC89">
        <f>IF($AL$89="",$BB$89,$BB$89+IF(MID($AL$89,MIN(IFERROR(FIND(",",$AL$89),99999),IFERROR(FIND("+",$AL$89),99999)),1)="+",1,0))</f>
      </c>
      <c r="BD89">
        <f>IF($AM$89="",$BC$89,$BC$89+IF(MID($AM$89,MIN(IFERROR(FIND(",",$AM$89),99999),IFERROR(FIND("+",$AM$89),99999)),1)="+",1,0))</f>
      </c>
      <c r="BE89">
        <f>IF($AN$89="",$BD$89,$BD$89+IF(MID($AN$89,MIN(IFERROR(FIND(",",$AN$89),99999),IFERROR(FIND("+",$AN$89),99999)),1)="+",1,0))</f>
      </c>
      <c r="BF89">
        <f>IF($AO$89="",$BE$89,$BE$89+IF(MID($AO$89,MIN(IFERROR(FIND(",",$AO$89),99999),IFERROR(FIND("+",$AO$89),99999)),1)="+",1,0))</f>
      </c>
      <c r="BG89">
        <f>IF($AP$89="",$BF$89,$BF$89+IF(MID($AP$89,MIN(IFERROR(FIND(",",$AP$89),99999),IFERROR(FIND("+",$AP$89),99999)),1)="+",1,0))</f>
      </c>
      <c r="BH89">
        <f>IF($AQ$89="",$BG$89,$BG$89+IF(MID($AQ$89,MIN(IFERROR(FIND(",",$AQ$89),99999),IFERROR(FIND("+",$AQ$89),99999)),1)="+",1,0))</f>
      </c>
      <c r="BI89">
        <f>IF($AS$89="",0,$BA$89)</f>
      </c>
      <c r="BJ89">
        <f>IF($AT$89="",0,$BB$89)</f>
      </c>
      <c r="BK89">
        <f>IF($AU$89="",0,$BC$89)</f>
      </c>
      <c r="BL89">
        <f>IF($AV$89="",0,$BD$89)</f>
      </c>
      <c r="BM89">
        <f>IF($AW$89="",0,$BE$89)</f>
      </c>
      <c r="BN89">
        <f>IF($AX$89="",0,$BF$89)</f>
      </c>
      <c r="BO89">
        <f>IF($AY$89="",0,$BG$89)</f>
      </c>
      <c r="BP89">
        <f>IF($AZ$89="",0,$BH$89)</f>
      </c>
    </row>
    <row r="90" spans="1:99" ht="15" customHeight="1" hidden="1">
      <c r="AK90">
        <f>SUBSTITUTE(SUBSTITUTE($AE$4,"&amp;","+"),"/",",")</f>
      </c>
      <c r="AL90">
        <f>IF(OR($AK$90="",MIN(IFERROR(FIND(",",$AK$90),99999),IFERROR(FIND("+",$AK$90),99999))=99999),"",MID($AK$90,MIN(IFERROR(FIND(",",$AK$90),99999),IFERROR(FIND("+",$AK$90),99999))+1,99999))</f>
      </c>
      <c r="AM90">
        <f>IF(OR($AL$90="",MIN(IFERROR(FIND(",",$AL$90),99999),IFERROR(FIND("+",$AL$90),99999))=99999),"",MID($AL$90,MIN(IFERROR(FIND(",",$AL$90),99999),IFERROR(FIND("+",$AL$90),99999))+1,99999))</f>
      </c>
      <c r="AN90">
        <f>IF(OR($AM$90="",MIN(IFERROR(FIND(",",$AM$90),99999),IFERROR(FIND("+",$AM$90),99999))=99999),"",MID($AM$90,MIN(IFERROR(FIND(",",$AM$90),99999),IFERROR(FIND("+",$AM$90),99999))+1,99999))</f>
      </c>
      <c r="AO90">
        <f>IF(OR($AN$90="",MIN(IFERROR(FIND(",",$AN$90),99999),IFERROR(FIND("+",$AN$90),99999))=99999),"",MID($AN$90,MIN(IFERROR(FIND(",",$AN$90),99999),IFERROR(FIND("+",$AN$90),99999))+1,99999))</f>
      </c>
      <c r="AP90">
        <f>IF(OR($AO$90="",MIN(IFERROR(FIND(",",$AO$90),99999),IFERROR(FIND("+",$AO$90),99999))=99999),"",MID($AO$90,MIN(IFERROR(FIND(",",$AO$90),99999),IFERROR(FIND("+",$AO$90),99999))+1,99999))</f>
      </c>
      <c r="AQ90">
        <f>IF(OR($AP$90="",MIN(IFERROR(FIND(",",$AP$90),99999),IFERROR(FIND("+",$AP$90),99999))=99999),"",MID($AP$90,MIN(IFERROR(FIND(",",$AP$90),99999),IFERROR(FIND("+",$AP$90),99999))+1,99999))</f>
      </c>
      <c r="AR90">
        <f>IF(OR($AQ$90="",MIN(IFERROR(FIND(",",$AQ$90),99999),IFERROR(FIND("+",$AQ$90),99999))=99999),"",MID($AQ$90,MIN(IFERROR(FIND(",",$AQ$90),99999),IFERROR(FIND("+",$AQ$90),99999))+1,99999))</f>
      </c>
      <c r="AS90">
        <f>IF($AK$90="","",IF(MIN(IFERROR(FIND(",",$AK$90),99999),IFERROR(FIND("+",$AK$90),99999))=99999,TRIM($AK$90),TRIM(LEFT($AK$90,MIN(IFERROR(FIND(",",$AK$90),99999),IFERROR(FIND("+",$AK$90),99999))-1))))</f>
      </c>
      <c r="AT90">
        <f>IF($AL$90="","",IF(MIN(IFERROR(FIND(",",$AL$90),99999),IFERROR(FIND("+",$AL$90),99999))=99999,TRIM($AL$90),TRIM(LEFT($AL$90,MIN(IFERROR(FIND(",",$AL$90),99999),IFERROR(FIND("+",$AL$90),99999))-1))))</f>
      </c>
      <c r="AU90">
        <f>IF($AM$90="","",IF(MIN(IFERROR(FIND(",",$AM$90),99999),IFERROR(FIND("+",$AM$90),99999))=99999,TRIM($AM$90),TRIM(LEFT($AM$90,MIN(IFERROR(FIND(",",$AM$90),99999),IFERROR(FIND("+",$AM$90),99999))-1))))</f>
      </c>
      <c r="AV90">
        <f>IF($AN$90="","",IF(MIN(IFERROR(FIND(",",$AN$90),99999),IFERROR(FIND("+",$AN$90),99999))=99999,TRIM($AN$90),TRIM(LEFT($AN$90,MIN(IFERROR(FIND(",",$AN$90),99999),IFERROR(FIND("+",$AN$90),99999))-1))))</f>
      </c>
      <c r="AW90">
        <f>IF($AO$90="","",IF(MIN(IFERROR(FIND(",",$AO$90),99999),IFERROR(FIND("+",$AO$90),99999))=99999,TRIM($AO$90),TRIM(LEFT($AO$90,MIN(IFERROR(FIND(",",$AO$90),99999),IFERROR(FIND("+",$AO$90),99999))-1))))</f>
      </c>
      <c r="AX90">
        <f>IF($AP$90="","",IF(MIN(IFERROR(FIND(",",$AP$90),99999),IFERROR(FIND("+",$AP$90),99999))=99999,TRIM($AP$90),TRIM(LEFT($AP$90,MIN(IFERROR(FIND(",",$AP$90),99999),IFERROR(FIND("+",$AP$90),99999))-1))))</f>
      </c>
      <c r="AY90">
        <f>IF($AQ$90="","",IF(MIN(IFERROR(FIND(",",$AQ$90),99999),IFERROR(FIND("+",$AQ$90),99999))=99999,TRIM($AQ$90),TRIM(LEFT($AQ$90,MIN(IFERROR(FIND(",",$AQ$90),99999),IFERROR(FIND("+",$AQ$90),99999))-1))))</f>
      </c>
      <c r="AZ90">
        <f>IF($AR$90="","",IF(MIN(IFERROR(FIND(",",$AR$90),99999),IFERROR(FIND("+",$AR$90),99999))=99999,TRIM($AR$90),TRIM(LEFT($AR$90,MIN(IFERROR(FIND(",",$AR$90),99999),IFERROR(FIND("+",$AR$90),99999))-1))))</f>
      </c>
      <c r="BA90">
        <f>IF($AK$90="",0,1)</f>
      </c>
      <c r="BB90">
        <f>IF($AK$90="",$BA$90,$BA$90+IF(MID($AK$90,MIN(IFERROR(FIND(",",$AK$90),99999),IFERROR(FIND("+",$AK$90),99999)),1)="+",1,0))</f>
      </c>
      <c r="BC90">
        <f>IF($AL$90="",$BB$90,$BB$90+IF(MID($AL$90,MIN(IFERROR(FIND(",",$AL$90),99999),IFERROR(FIND("+",$AL$90),99999)),1)="+",1,0))</f>
      </c>
      <c r="BD90">
        <f>IF($AM$90="",$BC$90,$BC$90+IF(MID($AM$90,MIN(IFERROR(FIND(",",$AM$90),99999),IFERROR(FIND("+",$AM$90),99999)),1)="+",1,0))</f>
      </c>
      <c r="BE90">
        <f>IF($AN$90="",$BD$90,$BD$90+IF(MID($AN$90,MIN(IFERROR(FIND(",",$AN$90),99999),IFERROR(FIND("+",$AN$90),99999)),1)="+",1,0))</f>
      </c>
      <c r="BF90">
        <f>IF($AO$90="",$BE$90,$BE$90+IF(MID($AO$90,MIN(IFERROR(FIND(",",$AO$90),99999),IFERROR(FIND("+",$AO$90),99999)),1)="+",1,0))</f>
      </c>
      <c r="BG90">
        <f>IF($AP$90="",$BF$90,$BF$90+IF(MID($AP$90,MIN(IFERROR(FIND(",",$AP$90),99999),IFERROR(FIND("+",$AP$90),99999)),1)="+",1,0))</f>
      </c>
      <c r="BH90">
        <f>IF($AQ$90="",$BG$90,$BG$90+IF(MID($AQ$90,MIN(IFERROR(FIND(",",$AQ$90),99999),IFERROR(FIND("+",$AQ$90),99999)),1)="+",1,0))</f>
      </c>
      <c r="BI90">
        <f>IF($AS$90="",0,$BA$90)</f>
      </c>
      <c r="BJ90">
        <f>IF($AT$90="",0,$BB$90)</f>
      </c>
      <c r="BK90">
        <f>IF($AU$90="",0,$BC$90)</f>
      </c>
      <c r="BL90">
        <f>IF($AV$90="",0,$BD$90)</f>
      </c>
      <c r="BM90">
        <f>IF($AW$90="",0,$BE$90)</f>
      </c>
      <c r="BN90">
        <f>IF($AX$90="",0,$BF$90)</f>
      </c>
      <c r="BO90">
        <f>IF($AY$90="",0,$BG$90)</f>
      </c>
      <c r="BP90">
        <f>IF($AZ$90="",0,$BH$90)</f>
      </c>
    </row>
    <row r="91" spans="1:99" ht="15" customHeight="1" hidden="1">
      <c r="AK91">
        <f>SUBSTITUTE(SUBSTITUTE($AF$4,"&amp;","+"),"/",",")</f>
      </c>
      <c r="AL91">
        <f>IF(OR($AK$91="",MIN(IFERROR(FIND(",",$AK$91),99999),IFERROR(FIND("+",$AK$91),99999))=99999),"",MID($AK$91,MIN(IFERROR(FIND(",",$AK$91),99999),IFERROR(FIND("+",$AK$91),99999))+1,99999))</f>
      </c>
      <c r="AM91">
        <f>IF(OR($AL$91="",MIN(IFERROR(FIND(",",$AL$91),99999),IFERROR(FIND("+",$AL$91),99999))=99999),"",MID($AL$91,MIN(IFERROR(FIND(",",$AL$91),99999),IFERROR(FIND("+",$AL$91),99999))+1,99999))</f>
      </c>
      <c r="AN91">
        <f>IF(OR($AM$91="",MIN(IFERROR(FIND(",",$AM$91),99999),IFERROR(FIND("+",$AM$91),99999))=99999),"",MID($AM$91,MIN(IFERROR(FIND(",",$AM$91),99999),IFERROR(FIND("+",$AM$91),99999))+1,99999))</f>
      </c>
      <c r="AO91">
        <f>IF(OR($AN$91="",MIN(IFERROR(FIND(",",$AN$91),99999),IFERROR(FIND("+",$AN$91),99999))=99999),"",MID($AN$91,MIN(IFERROR(FIND(",",$AN$91),99999),IFERROR(FIND("+",$AN$91),99999))+1,99999))</f>
      </c>
      <c r="AP91">
        <f>IF(OR($AO$91="",MIN(IFERROR(FIND(",",$AO$91),99999),IFERROR(FIND("+",$AO$91),99999))=99999),"",MID($AO$91,MIN(IFERROR(FIND(",",$AO$91),99999),IFERROR(FIND("+",$AO$91),99999))+1,99999))</f>
      </c>
      <c r="AQ91">
        <f>IF(OR($AP$91="",MIN(IFERROR(FIND(",",$AP$91),99999),IFERROR(FIND("+",$AP$91),99999))=99999),"",MID($AP$91,MIN(IFERROR(FIND(",",$AP$91),99999),IFERROR(FIND("+",$AP$91),99999))+1,99999))</f>
      </c>
      <c r="AR91">
        <f>IF(OR($AQ$91="",MIN(IFERROR(FIND(",",$AQ$91),99999),IFERROR(FIND("+",$AQ$91),99999))=99999),"",MID($AQ$91,MIN(IFERROR(FIND(",",$AQ$91),99999),IFERROR(FIND("+",$AQ$91),99999))+1,99999))</f>
      </c>
      <c r="AS91">
        <f>IF($AK$91="","",IF(MIN(IFERROR(FIND(",",$AK$91),99999),IFERROR(FIND("+",$AK$91),99999))=99999,TRIM($AK$91),TRIM(LEFT($AK$91,MIN(IFERROR(FIND(",",$AK$91),99999),IFERROR(FIND("+",$AK$91),99999))-1))))</f>
      </c>
      <c r="AT91">
        <f>IF($AL$91="","",IF(MIN(IFERROR(FIND(",",$AL$91),99999),IFERROR(FIND("+",$AL$91),99999))=99999,TRIM($AL$91),TRIM(LEFT($AL$91,MIN(IFERROR(FIND(",",$AL$91),99999),IFERROR(FIND("+",$AL$91),99999))-1))))</f>
      </c>
      <c r="AU91">
        <f>IF($AM$91="","",IF(MIN(IFERROR(FIND(",",$AM$91),99999),IFERROR(FIND("+",$AM$91),99999))=99999,TRIM($AM$91),TRIM(LEFT($AM$91,MIN(IFERROR(FIND(",",$AM$91),99999),IFERROR(FIND("+",$AM$91),99999))-1))))</f>
      </c>
      <c r="AV91">
        <f>IF($AN$91="","",IF(MIN(IFERROR(FIND(",",$AN$91),99999),IFERROR(FIND("+",$AN$91),99999))=99999,TRIM($AN$91),TRIM(LEFT($AN$91,MIN(IFERROR(FIND(",",$AN$91),99999),IFERROR(FIND("+",$AN$91),99999))-1))))</f>
      </c>
      <c r="AW91">
        <f>IF($AO$91="","",IF(MIN(IFERROR(FIND(",",$AO$91),99999),IFERROR(FIND("+",$AO$91),99999))=99999,TRIM($AO$91),TRIM(LEFT($AO$91,MIN(IFERROR(FIND(",",$AO$91),99999),IFERROR(FIND("+",$AO$91),99999))-1))))</f>
      </c>
      <c r="AX91">
        <f>IF($AP$91="","",IF(MIN(IFERROR(FIND(",",$AP$91),99999),IFERROR(FIND("+",$AP$91),99999))=99999,TRIM($AP$91),TRIM(LEFT($AP$91,MIN(IFERROR(FIND(",",$AP$91),99999),IFERROR(FIND("+",$AP$91),99999))-1))))</f>
      </c>
      <c r="AY91">
        <f>IF($AQ$91="","",IF(MIN(IFERROR(FIND(",",$AQ$91),99999),IFERROR(FIND("+",$AQ$91),99999))=99999,TRIM($AQ$91),TRIM(LEFT($AQ$91,MIN(IFERROR(FIND(",",$AQ$91),99999),IFERROR(FIND("+",$AQ$91),99999))-1))))</f>
      </c>
      <c r="AZ91">
        <f>IF($AR$91="","",IF(MIN(IFERROR(FIND(",",$AR$91),99999),IFERROR(FIND("+",$AR$91),99999))=99999,TRIM($AR$91),TRIM(LEFT($AR$91,MIN(IFERROR(FIND(",",$AR$91),99999),IFERROR(FIND("+",$AR$91),99999))-1))))</f>
      </c>
      <c r="BA91">
        <f>IF($AK$91="",0,1)</f>
      </c>
      <c r="BB91">
        <f>IF($AK$91="",$BA$91,$BA$91+IF(MID($AK$91,MIN(IFERROR(FIND(",",$AK$91),99999),IFERROR(FIND("+",$AK$91),99999)),1)="+",1,0))</f>
      </c>
      <c r="BC91">
        <f>IF($AL$91="",$BB$91,$BB$91+IF(MID($AL$91,MIN(IFERROR(FIND(",",$AL$91),99999),IFERROR(FIND("+",$AL$91),99999)),1)="+",1,0))</f>
      </c>
      <c r="BD91">
        <f>IF($AM$91="",$BC$91,$BC$91+IF(MID($AM$91,MIN(IFERROR(FIND(",",$AM$91),99999),IFERROR(FIND("+",$AM$91),99999)),1)="+",1,0))</f>
      </c>
      <c r="BE91">
        <f>IF($AN$91="",$BD$91,$BD$91+IF(MID($AN$91,MIN(IFERROR(FIND(",",$AN$91),99999),IFERROR(FIND("+",$AN$91),99999)),1)="+",1,0))</f>
      </c>
      <c r="BF91">
        <f>IF($AO$91="",$BE$91,$BE$91+IF(MID($AO$91,MIN(IFERROR(FIND(",",$AO$91),99999),IFERROR(FIND("+",$AO$91),99999)),1)="+",1,0))</f>
      </c>
      <c r="BG91">
        <f>IF($AP$91="",$BF$91,$BF$91+IF(MID($AP$91,MIN(IFERROR(FIND(",",$AP$91),99999),IFERROR(FIND("+",$AP$91),99999)),1)="+",1,0))</f>
      </c>
      <c r="BH91">
        <f>IF($AQ$91="",$BG$91,$BG$91+IF(MID($AQ$91,MIN(IFERROR(FIND(",",$AQ$91),99999),IFERROR(FIND("+",$AQ$91),99999)),1)="+",1,0))</f>
      </c>
      <c r="BI91">
        <f>IF($AS$91="",0,$BA$91)</f>
      </c>
      <c r="BJ91">
        <f>IF($AT$91="",0,$BB$91)</f>
      </c>
      <c r="BK91">
        <f>IF($AU$91="",0,$BC$91)</f>
      </c>
      <c r="BL91">
        <f>IF($AV$91="",0,$BD$91)</f>
      </c>
      <c r="BM91">
        <f>IF($AW$91="",0,$BE$91)</f>
      </c>
      <c r="BN91">
        <f>IF($AX$91="",0,$BF$91)</f>
      </c>
      <c r="BO91">
        <f>IF($AY$91="",0,$BG$91)</f>
      </c>
      <c r="BP91">
        <f>IF($AZ$91="",0,$BH$91)</f>
      </c>
    </row>
    <row r="92" spans="1:99" ht="15" customHeight="1" hidden="1">
      <c r="AK92">
        <f>SUBSTITUTE(SUBSTITUTE($AG$4,"&amp;","+"),"/",",")</f>
      </c>
      <c r="AL92">
        <f>IF(OR($AK$92="",MIN(IFERROR(FIND(",",$AK$92),99999),IFERROR(FIND("+",$AK$92),99999))=99999),"",MID($AK$92,MIN(IFERROR(FIND(",",$AK$92),99999),IFERROR(FIND("+",$AK$92),99999))+1,99999))</f>
      </c>
      <c r="AM92">
        <f>IF(OR($AL$92="",MIN(IFERROR(FIND(",",$AL$92),99999),IFERROR(FIND("+",$AL$92),99999))=99999),"",MID($AL$92,MIN(IFERROR(FIND(",",$AL$92),99999),IFERROR(FIND("+",$AL$92),99999))+1,99999))</f>
      </c>
      <c r="AN92">
        <f>IF(OR($AM$92="",MIN(IFERROR(FIND(",",$AM$92),99999),IFERROR(FIND("+",$AM$92),99999))=99999),"",MID($AM$92,MIN(IFERROR(FIND(",",$AM$92),99999),IFERROR(FIND("+",$AM$92),99999))+1,99999))</f>
      </c>
      <c r="AO92">
        <f>IF(OR($AN$92="",MIN(IFERROR(FIND(",",$AN$92),99999),IFERROR(FIND("+",$AN$92),99999))=99999),"",MID($AN$92,MIN(IFERROR(FIND(",",$AN$92),99999),IFERROR(FIND("+",$AN$92),99999))+1,99999))</f>
      </c>
      <c r="AP92">
        <f>IF(OR($AO$92="",MIN(IFERROR(FIND(",",$AO$92),99999),IFERROR(FIND("+",$AO$92),99999))=99999),"",MID($AO$92,MIN(IFERROR(FIND(",",$AO$92),99999),IFERROR(FIND("+",$AO$92),99999))+1,99999))</f>
      </c>
      <c r="AQ92">
        <f>IF(OR($AP$92="",MIN(IFERROR(FIND(",",$AP$92),99999),IFERROR(FIND("+",$AP$92),99999))=99999),"",MID($AP$92,MIN(IFERROR(FIND(",",$AP$92),99999),IFERROR(FIND("+",$AP$92),99999))+1,99999))</f>
      </c>
      <c r="AR92">
        <f>IF(OR($AQ$92="",MIN(IFERROR(FIND(",",$AQ$92),99999),IFERROR(FIND("+",$AQ$92),99999))=99999),"",MID($AQ$92,MIN(IFERROR(FIND(",",$AQ$92),99999),IFERROR(FIND("+",$AQ$92),99999))+1,99999))</f>
      </c>
      <c r="AS92">
        <f>IF($AK$92="","",IF(MIN(IFERROR(FIND(",",$AK$92),99999),IFERROR(FIND("+",$AK$92),99999))=99999,TRIM($AK$92),TRIM(LEFT($AK$92,MIN(IFERROR(FIND(",",$AK$92),99999),IFERROR(FIND("+",$AK$92),99999))-1))))</f>
      </c>
      <c r="AT92">
        <f>IF($AL$92="","",IF(MIN(IFERROR(FIND(",",$AL$92),99999),IFERROR(FIND("+",$AL$92),99999))=99999,TRIM($AL$92),TRIM(LEFT($AL$92,MIN(IFERROR(FIND(",",$AL$92),99999),IFERROR(FIND("+",$AL$92),99999))-1))))</f>
      </c>
      <c r="AU92">
        <f>IF($AM$92="","",IF(MIN(IFERROR(FIND(",",$AM$92),99999),IFERROR(FIND("+",$AM$92),99999))=99999,TRIM($AM$92),TRIM(LEFT($AM$92,MIN(IFERROR(FIND(",",$AM$92),99999),IFERROR(FIND("+",$AM$92),99999))-1))))</f>
      </c>
      <c r="AV92">
        <f>IF($AN$92="","",IF(MIN(IFERROR(FIND(",",$AN$92),99999),IFERROR(FIND("+",$AN$92),99999))=99999,TRIM($AN$92),TRIM(LEFT($AN$92,MIN(IFERROR(FIND(",",$AN$92),99999),IFERROR(FIND("+",$AN$92),99999))-1))))</f>
      </c>
      <c r="AW92">
        <f>IF($AO$92="","",IF(MIN(IFERROR(FIND(",",$AO$92),99999),IFERROR(FIND("+",$AO$92),99999))=99999,TRIM($AO$92),TRIM(LEFT($AO$92,MIN(IFERROR(FIND(",",$AO$92),99999),IFERROR(FIND("+",$AO$92),99999))-1))))</f>
      </c>
      <c r="AX92">
        <f>IF($AP$92="","",IF(MIN(IFERROR(FIND(",",$AP$92),99999),IFERROR(FIND("+",$AP$92),99999))=99999,TRIM($AP$92),TRIM(LEFT($AP$92,MIN(IFERROR(FIND(",",$AP$92),99999),IFERROR(FIND("+",$AP$92),99999))-1))))</f>
      </c>
      <c r="AY92">
        <f>IF($AQ$92="","",IF(MIN(IFERROR(FIND(",",$AQ$92),99999),IFERROR(FIND("+",$AQ$92),99999))=99999,TRIM($AQ$92),TRIM(LEFT($AQ$92,MIN(IFERROR(FIND(",",$AQ$92),99999),IFERROR(FIND("+",$AQ$92),99999))-1))))</f>
      </c>
      <c r="AZ92">
        <f>IF($AR$92="","",IF(MIN(IFERROR(FIND(",",$AR$92),99999),IFERROR(FIND("+",$AR$92),99999))=99999,TRIM($AR$92),TRIM(LEFT($AR$92,MIN(IFERROR(FIND(",",$AR$92),99999),IFERROR(FIND("+",$AR$92),99999))-1))))</f>
      </c>
      <c r="BA92">
        <f>IF($AK$92="",0,1)</f>
      </c>
      <c r="BB92">
        <f>IF($AK$92="",$BA$92,$BA$92+IF(MID($AK$92,MIN(IFERROR(FIND(",",$AK$92),99999),IFERROR(FIND("+",$AK$92),99999)),1)="+",1,0))</f>
      </c>
      <c r="BC92">
        <f>IF($AL$92="",$BB$92,$BB$92+IF(MID($AL$92,MIN(IFERROR(FIND(",",$AL$92),99999),IFERROR(FIND("+",$AL$92),99999)),1)="+",1,0))</f>
      </c>
      <c r="BD92">
        <f>IF($AM$92="",$BC$92,$BC$92+IF(MID($AM$92,MIN(IFERROR(FIND(",",$AM$92),99999),IFERROR(FIND("+",$AM$92),99999)),1)="+",1,0))</f>
      </c>
      <c r="BE92">
        <f>IF($AN$92="",$BD$92,$BD$92+IF(MID($AN$92,MIN(IFERROR(FIND(",",$AN$92),99999),IFERROR(FIND("+",$AN$92),99999)),1)="+",1,0))</f>
      </c>
      <c r="BF92">
        <f>IF($AO$92="",$BE$92,$BE$92+IF(MID($AO$92,MIN(IFERROR(FIND(",",$AO$92),99999),IFERROR(FIND("+",$AO$92),99999)),1)="+",1,0))</f>
      </c>
      <c r="BG92">
        <f>IF($AP$92="",$BF$92,$BF$92+IF(MID($AP$92,MIN(IFERROR(FIND(",",$AP$92),99999),IFERROR(FIND("+",$AP$92),99999)),1)="+",1,0))</f>
      </c>
      <c r="BH92">
        <f>IF($AQ$92="",$BG$92,$BG$92+IF(MID($AQ$92,MIN(IFERROR(FIND(",",$AQ$92),99999),IFERROR(FIND("+",$AQ$92),99999)),1)="+",1,0))</f>
      </c>
      <c r="BI92">
        <f>IF($AS$92="",0,$BA$92)</f>
      </c>
      <c r="BJ92">
        <f>IF($AT$92="",0,$BB$92)</f>
      </c>
      <c r="BK92">
        <f>IF($AU$92="",0,$BC$92)</f>
      </c>
      <c r="BL92">
        <f>IF($AV$92="",0,$BD$92)</f>
      </c>
      <c r="BM92">
        <f>IF($AW$92="",0,$BE$92)</f>
      </c>
      <c r="BN92">
        <f>IF($AX$92="",0,$BF$92)</f>
      </c>
      <c r="BO92">
        <f>IF($AY$92="",0,$BG$92)</f>
      </c>
      <c r="BP92">
        <f>IF($AZ$92="",0,$BH$92)</f>
      </c>
    </row>
    <row r="93" spans="1:99" ht="15" customHeight="1" hidden="1">
      <c r="AK93">
        <f>SUBSTITUTE(SUBSTITUTE($AH$4,"&amp;","+"),"/",",")</f>
      </c>
      <c r="AL93">
        <f>IF(OR($AK$93="",MIN(IFERROR(FIND(",",$AK$93),99999),IFERROR(FIND("+",$AK$93),99999))=99999),"",MID($AK$93,MIN(IFERROR(FIND(",",$AK$93),99999),IFERROR(FIND("+",$AK$93),99999))+1,99999))</f>
      </c>
      <c r="AM93">
        <f>IF(OR($AL$93="",MIN(IFERROR(FIND(",",$AL$93),99999),IFERROR(FIND("+",$AL$93),99999))=99999),"",MID($AL$93,MIN(IFERROR(FIND(",",$AL$93),99999),IFERROR(FIND("+",$AL$93),99999))+1,99999))</f>
      </c>
      <c r="AN93">
        <f>IF(OR($AM$93="",MIN(IFERROR(FIND(",",$AM$93),99999),IFERROR(FIND("+",$AM$93),99999))=99999),"",MID($AM$93,MIN(IFERROR(FIND(",",$AM$93),99999),IFERROR(FIND("+",$AM$93),99999))+1,99999))</f>
      </c>
      <c r="AO93">
        <f>IF(OR($AN$93="",MIN(IFERROR(FIND(",",$AN$93),99999),IFERROR(FIND("+",$AN$93),99999))=99999),"",MID($AN$93,MIN(IFERROR(FIND(",",$AN$93),99999),IFERROR(FIND("+",$AN$93),99999))+1,99999))</f>
      </c>
      <c r="AP93">
        <f>IF(OR($AO$93="",MIN(IFERROR(FIND(",",$AO$93),99999),IFERROR(FIND("+",$AO$93),99999))=99999),"",MID($AO$93,MIN(IFERROR(FIND(",",$AO$93),99999),IFERROR(FIND("+",$AO$93),99999))+1,99999))</f>
      </c>
      <c r="AQ93">
        <f>IF(OR($AP$93="",MIN(IFERROR(FIND(",",$AP$93),99999),IFERROR(FIND("+",$AP$93),99999))=99999),"",MID($AP$93,MIN(IFERROR(FIND(",",$AP$93),99999),IFERROR(FIND("+",$AP$93),99999))+1,99999))</f>
      </c>
      <c r="AR93">
        <f>IF(OR($AQ$93="",MIN(IFERROR(FIND(",",$AQ$93),99999),IFERROR(FIND("+",$AQ$93),99999))=99999),"",MID($AQ$93,MIN(IFERROR(FIND(",",$AQ$93),99999),IFERROR(FIND("+",$AQ$93),99999))+1,99999))</f>
      </c>
      <c r="AS93">
        <f>IF($AK$93="","",IF(MIN(IFERROR(FIND(",",$AK$93),99999),IFERROR(FIND("+",$AK$93),99999))=99999,TRIM($AK$93),TRIM(LEFT($AK$93,MIN(IFERROR(FIND(",",$AK$93),99999),IFERROR(FIND("+",$AK$93),99999))-1))))</f>
      </c>
      <c r="AT93">
        <f>IF($AL$93="","",IF(MIN(IFERROR(FIND(",",$AL$93),99999),IFERROR(FIND("+",$AL$93),99999))=99999,TRIM($AL$93),TRIM(LEFT($AL$93,MIN(IFERROR(FIND(",",$AL$93),99999),IFERROR(FIND("+",$AL$93),99999))-1))))</f>
      </c>
      <c r="AU93">
        <f>IF($AM$93="","",IF(MIN(IFERROR(FIND(",",$AM$93),99999),IFERROR(FIND("+",$AM$93),99999))=99999,TRIM($AM$93),TRIM(LEFT($AM$93,MIN(IFERROR(FIND(",",$AM$93),99999),IFERROR(FIND("+",$AM$93),99999))-1))))</f>
      </c>
      <c r="AV93">
        <f>IF($AN$93="","",IF(MIN(IFERROR(FIND(",",$AN$93),99999),IFERROR(FIND("+",$AN$93),99999))=99999,TRIM($AN$93),TRIM(LEFT($AN$93,MIN(IFERROR(FIND(",",$AN$93),99999),IFERROR(FIND("+",$AN$93),99999))-1))))</f>
      </c>
      <c r="AW93">
        <f>IF($AO$93="","",IF(MIN(IFERROR(FIND(",",$AO$93),99999),IFERROR(FIND("+",$AO$93),99999))=99999,TRIM($AO$93),TRIM(LEFT($AO$93,MIN(IFERROR(FIND(",",$AO$93),99999),IFERROR(FIND("+",$AO$93),99999))-1))))</f>
      </c>
      <c r="AX93">
        <f>IF($AP$93="","",IF(MIN(IFERROR(FIND(",",$AP$93),99999),IFERROR(FIND("+",$AP$93),99999))=99999,TRIM($AP$93),TRIM(LEFT($AP$93,MIN(IFERROR(FIND(",",$AP$93),99999),IFERROR(FIND("+",$AP$93),99999))-1))))</f>
      </c>
      <c r="AY93">
        <f>IF($AQ$93="","",IF(MIN(IFERROR(FIND(",",$AQ$93),99999),IFERROR(FIND("+",$AQ$93),99999))=99999,TRIM($AQ$93),TRIM(LEFT($AQ$93,MIN(IFERROR(FIND(",",$AQ$93),99999),IFERROR(FIND("+",$AQ$93),99999))-1))))</f>
      </c>
      <c r="AZ93">
        <f>IF($AR$93="","",IF(MIN(IFERROR(FIND(",",$AR$93),99999),IFERROR(FIND("+",$AR$93),99999))=99999,TRIM($AR$93),TRIM(LEFT($AR$93,MIN(IFERROR(FIND(",",$AR$93),99999),IFERROR(FIND("+",$AR$93),99999))-1))))</f>
      </c>
      <c r="BA93">
        <f>IF($AK$93="",0,1)</f>
      </c>
      <c r="BB93">
        <f>IF($AK$93="",$BA$93,$BA$93+IF(MID($AK$93,MIN(IFERROR(FIND(",",$AK$93),99999),IFERROR(FIND("+",$AK$93),99999)),1)="+",1,0))</f>
      </c>
      <c r="BC93">
        <f>IF($AL$93="",$BB$93,$BB$93+IF(MID($AL$93,MIN(IFERROR(FIND(",",$AL$93),99999),IFERROR(FIND("+",$AL$93),99999)),1)="+",1,0))</f>
      </c>
      <c r="BD93">
        <f>IF($AM$93="",$BC$93,$BC$93+IF(MID($AM$93,MIN(IFERROR(FIND(",",$AM$93),99999),IFERROR(FIND("+",$AM$93),99999)),1)="+",1,0))</f>
      </c>
      <c r="BE93">
        <f>IF($AN$93="",$BD$93,$BD$93+IF(MID($AN$93,MIN(IFERROR(FIND(",",$AN$93),99999),IFERROR(FIND("+",$AN$93),99999)),1)="+",1,0))</f>
      </c>
      <c r="BF93">
        <f>IF($AO$93="",$BE$93,$BE$93+IF(MID($AO$93,MIN(IFERROR(FIND(",",$AO$93),99999),IFERROR(FIND("+",$AO$93),99999)),1)="+",1,0))</f>
      </c>
      <c r="BG93">
        <f>IF($AP$93="",$BF$93,$BF$93+IF(MID($AP$93,MIN(IFERROR(FIND(",",$AP$93),99999),IFERROR(FIND("+",$AP$93),99999)),1)="+",1,0))</f>
      </c>
      <c r="BH93">
        <f>IF($AQ$93="",$BG$93,$BG$93+IF(MID($AQ$93,MIN(IFERROR(FIND(",",$AQ$93),99999),IFERROR(FIND("+",$AQ$93),99999)),1)="+",1,0))</f>
      </c>
      <c r="BI93">
        <f>IF($AS$93="",0,$BA$93)</f>
      </c>
      <c r="BJ93">
        <f>IF($AT$93="",0,$BB$93)</f>
      </c>
      <c r="BK93">
        <f>IF($AU$93="",0,$BC$93)</f>
      </c>
      <c r="BL93">
        <f>IF($AV$93="",0,$BD$93)</f>
      </c>
      <c r="BM93">
        <f>IF($AW$93="",0,$BE$93)</f>
      </c>
      <c r="BN93">
        <f>IF($AX$93="",0,$BF$93)</f>
      </c>
      <c r="BO93">
        <f>IF($AY$93="",0,$BG$93)</f>
      </c>
      <c r="BP93">
        <f>IF($AZ$93="",0,$BH$93)</f>
      </c>
    </row>
    <row r="94" spans="1:99" ht="15" customHeight="1" hidden="1">
      <c r="AK94">
        <f>SUBSTITUTE(SUBSTITUTE($AI$4,"&amp;","+"),"/",",")</f>
      </c>
      <c r="AL94">
        <f>IF(OR($AK$94="",MIN(IFERROR(FIND(",",$AK$94),99999),IFERROR(FIND("+",$AK$94),99999))=99999),"",MID($AK$94,MIN(IFERROR(FIND(",",$AK$94),99999),IFERROR(FIND("+",$AK$94),99999))+1,99999))</f>
      </c>
      <c r="AM94">
        <f>IF(OR($AL$94="",MIN(IFERROR(FIND(",",$AL$94),99999),IFERROR(FIND("+",$AL$94),99999))=99999),"",MID($AL$94,MIN(IFERROR(FIND(",",$AL$94),99999),IFERROR(FIND("+",$AL$94),99999))+1,99999))</f>
      </c>
      <c r="AN94">
        <f>IF(OR($AM$94="",MIN(IFERROR(FIND(",",$AM$94),99999),IFERROR(FIND("+",$AM$94),99999))=99999),"",MID($AM$94,MIN(IFERROR(FIND(",",$AM$94),99999),IFERROR(FIND("+",$AM$94),99999))+1,99999))</f>
      </c>
      <c r="AO94">
        <f>IF(OR($AN$94="",MIN(IFERROR(FIND(",",$AN$94),99999),IFERROR(FIND("+",$AN$94),99999))=99999),"",MID($AN$94,MIN(IFERROR(FIND(",",$AN$94),99999),IFERROR(FIND("+",$AN$94),99999))+1,99999))</f>
      </c>
      <c r="AP94">
        <f>IF(OR($AO$94="",MIN(IFERROR(FIND(",",$AO$94),99999),IFERROR(FIND("+",$AO$94),99999))=99999),"",MID($AO$94,MIN(IFERROR(FIND(",",$AO$94),99999),IFERROR(FIND("+",$AO$94),99999))+1,99999))</f>
      </c>
      <c r="AQ94">
        <f>IF(OR($AP$94="",MIN(IFERROR(FIND(",",$AP$94),99999),IFERROR(FIND("+",$AP$94),99999))=99999),"",MID($AP$94,MIN(IFERROR(FIND(",",$AP$94),99999),IFERROR(FIND("+",$AP$94),99999))+1,99999))</f>
      </c>
      <c r="AR94">
        <f>IF(OR($AQ$94="",MIN(IFERROR(FIND(",",$AQ$94),99999),IFERROR(FIND("+",$AQ$94),99999))=99999),"",MID($AQ$94,MIN(IFERROR(FIND(",",$AQ$94),99999),IFERROR(FIND("+",$AQ$94),99999))+1,99999))</f>
      </c>
      <c r="AS94">
        <f>IF($AK$94="","",IF(MIN(IFERROR(FIND(",",$AK$94),99999),IFERROR(FIND("+",$AK$94),99999))=99999,TRIM($AK$94),TRIM(LEFT($AK$94,MIN(IFERROR(FIND(",",$AK$94),99999),IFERROR(FIND("+",$AK$94),99999))-1))))</f>
      </c>
      <c r="AT94">
        <f>IF($AL$94="","",IF(MIN(IFERROR(FIND(",",$AL$94),99999),IFERROR(FIND("+",$AL$94),99999))=99999,TRIM($AL$94),TRIM(LEFT($AL$94,MIN(IFERROR(FIND(",",$AL$94),99999),IFERROR(FIND("+",$AL$94),99999))-1))))</f>
      </c>
      <c r="AU94">
        <f>IF($AM$94="","",IF(MIN(IFERROR(FIND(",",$AM$94),99999),IFERROR(FIND("+",$AM$94),99999))=99999,TRIM($AM$94),TRIM(LEFT($AM$94,MIN(IFERROR(FIND(",",$AM$94),99999),IFERROR(FIND("+",$AM$94),99999))-1))))</f>
      </c>
      <c r="AV94">
        <f>IF($AN$94="","",IF(MIN(IFERROR(FIND(",",$AN$94),99999),IFERROR(FIND("+",$AN$94),99999))=99999,TRIM($AN$94),TRIM(LEFT($AN$94,MIN(IFERROR(FIND(",",$AN$94),99999),IFERROR(FIND("+",$AN$94),99999))-1))))</f>
      </c>
      <c r="AW94">
        <f>IF($AO$94="","",IF(MIN(IFERROR(FIND(",",$AO$94),99999),IFERROR(FIND("+",$AO$94),99999))=99999,TRIM($AO$94),TRIM(LEFT($AO$94,MIN(IFERROR(FIND(",",$AO$94),99999),IFERROR(FIND("+",$AO$94),99999))-1))))</f>
      </c>
      <c r="AX94">
        <f>IF($AP$94="","",IF(MIN(IFERROR(FIND(",",$AP$94),99999),IFERROR(FIND("+",$AP$94),99999))=99999,TRIM($AP$94),TRIM(LEFT($AP$94,MIN(IFERROR(FIND(",",$AP$94),99999),IFERROR(FIND("+",$AP$94),99999))-1))))</f>
      </c>
      <c r="AY94">
        <f>IF($AQ$94="","",IF(MIN(IFERROR(FIND(",",$AQ$94),99999),IFERROR(FIND("+",$AQ$94),99999))=99999,TRIM($AQ$94),TRIM(LEFT($AQ$94,MIN(IFERROR(FIND(",",$AQ$94),99999),IFERROR(FIND("+",$AQ$94),99999))-1))))</f>
      </c>
      <c r="AZ94">
        <f>IF($AR$94="","",IF(MIN(IFERROR(FIND(",",$AR$94),99999),IFERROR(FIND("+",$AR$94),99999))=99999,TRIM($AR$94),TRIM(LEFT($AR$94,MIN(IFERROR(FIND(",",$AR$94),99999),IFERROR(FIND("+",$AR$94),99999))-1))))</f>
      </c>
      <c r="BA94">
        <f>IF($AK$94="",0,1)</f>
      </c>
      <c r="BB94">
        <f>IF($AK$94="",$BA$94,$BA$94+IF(MID($AK$94,MIN(IFERROR(FIND(",",$AK$94),99999),IFERROR(FIND("+",$AK$94),99999)),1)="+",1,0))</f>
      </c>
      <c r="BC94">
        <f>IF($AL$94="",$BB$94,$BB$94+IF(MID($AL$94,MIN(IFERROR(FIND(",",$AL$94),99999),IFERROR(FIND("+",$AL$94),99999)),1)="+",1,0))</f>
      </c>
      <c r="BD94">
        <f>IF($AM$94="",$BC$94,$BC$94+IF(MID($AM$94,MIN(IFERROR(FIND(",",$AM$94),99999),IFERROR(FIND("+",$AM$94),99999)),1)="+",1,0))</f>
      </c>
      <c r="BE94">
        <f>IF($AN$94="",$BD$94,$BD$94+IF(MID($AN$94,MIN(IFERROR(FIND(",",$AN$94),99999),IFERROR(FIND("+",$AN$94),99999)),1)="+",1,0))</f>
      </c>
      <c r="BF94">
        <f>IF($AO$94="",$BE$94,$BE$94+IF(MID($AO$94,MIN(IFERROR(FIND(",",$AO$94),99999),IFERROR(FIND("+",$AO$94),99999)),1)="+",1,0))</f>
      </c>
      <c r="BG94">
        <f>IF($AP$94="",$BF$94,$BF$94+IF(MID($AP$94,MIN(IFERROR(FIND(",",$AP$94),99999),IFERROR(FIND("+",$AP$94),99999)),1)="+",1,0))</f>
      </c>
      <c r="BH94">
        <f>IF($AQ$94="",$BG$94,$BG$94+IF(MID($AQ$94,MIN(IFERROR(FIND(",",$AQ$94),99999),IFERROR(FIND("+",$AQ$94),99999)),1)="+",1,0))</f>
      </c>
      <c r="BI94">
        <f>IF($AS$94="",0,$BA$94)</f>
      </c>
      <c r="BJ94">
        <f>IF($AT$94="",0,$BB$94)</f>
      </c>
      <c r="BK94">
        <f>IF($AU$94="",0,$BC$94)</f>
      </c>
      <c r="BL94">
        <f>IF($AV$94="",0,$BD$94)</f>
      </c>
      <c r="BM94">
        <f>IF($AW$94="",0,$BE$94)</f>
      </c>
      <c r="BN94">
        <f>IF($AX$94="",0,$BF$94)</f>
      </c>
      <c r="BO94">
        <f>IF($AY$94="",0,$BG$94)</f>
      </c>
      <c r="BP94">
        <f>IF($AZ$94="",0,$BH$94)</f>
      </c>
    </row>
  </sheetData>
  <mergeCells count="4">
    <mergeCell ref="A2:AI2"/>
    <mergeCell ref="B3:D3"/>
    <mergeCell ref="I3:AI3"/>
    <mergeCell ref="A1:AI1"/>
  </mergeCells>
  <conditionalFormatting sqref="A6:AH54">
    <cfRule type="expression" dxfId="10" priority="1">
      <formula>AND($B$3&lt;&gt;"",$BK5=1,$BH5=0,$BI5=0)</formula>
    </cfRule>
    <cfRule type="expression" dxfId="9" priority="2">
      <formula>$BH5=10</formula>
    </cfRule>
    <cfRule type="expression" dxfId="8" priority="3">
      <formula>$BI5=1</formula>
    </cfRule>
    <cfRule type="expression" dxfId="7" priority="4">
      <formula>$BL5=1</formula>
    </cfRule>
    <cfRule type="expression" dxfId="6" priority="5">
      <formula>$BH5&gt;0</formula>
    </cfRule>
    <cfRule type="expression" dxfId="5" priority="6">
      <formula>AND($B$3&lt;&gt;"",$BJ5&gt;0,$BK5=0)</formula>
    </cfRule>
    <cfRule type="expression" dxfId="4" priority="7">
      <formula>AND($BJ5&gt;0,MOD($BJ5,2)=0)</formula>
    </cfRule>
  </conditionalFormatting>
  <conditionalFormatting sqref="AE6:AE54">
    <cfRule type="cellIs" dxfId="3" priority="8" operator="greaterThan">
      <formula>0</formula>
    </cfRule>
  </conditionalFormatting>
  <conditionalFormatting sqref="AI6:AI54">
    <cfRule type="cellIs" dxfId="2" priority="9" operator="equal">
      <formula>"SETTLED"</formula>
    </cfRule>
    <cfRule type="cellIs" dxfId="1" priority="10" operator="equal">
      <formula>"OUTSTANDING"</formula>
    </cfRule>
  </conditionalFormatting>
  <conditionalFormatting sqref="A6:AI54">
    <cfRule type="expression" dxfId="0" priority="11">
      <formula>OR($BJ5&gt;0,$BH5&gt;0,$BI5=1,$BL5=1)</formula>
    </cfRule>
  </conditionalFormatting>
  <dataValidations count="2">
    <dataValidation type="list" sqref="F3" xr:uid="{00000000-0002-0000-0100-000000000000}">
      <formula1>$AO$4:$AO$9</formula1>
    </dataValidation>
    <dataValidation type="custom" allowBlank="1" showInputMessage="1" showErrorMessage="0" sqref="A4:AI4" promptTitle="Column wildcard search" prompt="Type text; comma or / means ANY. Use + or &amp; for ALL facets. Use * or ? wildcards. Use BLANK, (BLANK), EMPTY, or (EMPTY) for empty cells.">
      <formula1>1=1</formula1>
    </dataValidation>
  </dataValidations>
  <pageMargins left="0.75" right="0.75" top="1" bottom="1" header="0.5" footer="0.5"/>
  <pageSetup fitToHeight="0"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Final Calculation Sheet</vt:lpstr>
      <vt:lpstr>Live Search</vt:lpstr>
      <vt:lpstr>'Live Search'!Print_Titles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S.M.C</dc:creator>
  <cp:lastModifiedBy>S.M.C</cp:lastModifiedBy>
  <cp:revision>0</cp:revision>
  <dcterms:created xsi:type="dcterms:W3CDTF">2026-09-02T06:08:07Z</dcterms:created>
  <dcterms:modified xsi:type="dcterms:W3CDTF">2026-09-08T11:34:55Z</dcterms:modified>
  <dc:language>en-US</dc:language>
</cp:coreProperties>
</file>