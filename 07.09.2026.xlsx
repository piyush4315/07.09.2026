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<sst xmlns="http://schemas.openxmlformats.org/spreadsheetml/2006/main" count="337" uniqueCount="142">
  <si>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</si>
  <si>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</si>
  <si>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</si>
  <si>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</si>
  <si>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</si>
  <si>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</si>
  <si>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</si>
  <si>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</si>
  <si>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</si>
  <si>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</si>
  <si>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</si>
  <si>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</si>
  <si>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</si>
  <si>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</si>
  <si>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</si>
  <si>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</si>
  <si>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</si>
  <si>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</si>
  <si>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</si>
  <si>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</si>
  <si>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</si>
  <si>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</si>
  <si>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</si>
  <si>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</si>
  <si>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</si>
  <si>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</si>
  <si>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</si>
  <si>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</si>
  <si>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</si>
  <si>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</si>
  <si>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</si>
  <si>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</si>
  <si>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</si>
  <si>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</si>
  <si>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</si>
  <si>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</si>
  <si>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</si>
  <si>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</si>
  <si>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</si>
  <si>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</si>
  <si>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</si>
  <si>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</si>
  <si>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</si>
  <si>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</si>
  <si>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</si>
  <si>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</si>
  <si>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</si>
  <si>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</si>
  <si>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</si>
  <si>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</si>
  <si>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</si>
  <si>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</si>
  <si>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</si>
  <si>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</si>
  <si>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</si>
  <si>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</si>
  <si>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</si>
  <si>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</si>
  <si>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</si>
  <si>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</si>
  <si>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</si>
  <si>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</si>
  <si>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</si>
  <si>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</si>
  <si>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</si>
  <si>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</si>
  <si>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</si>
  <si>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</si>
  <si>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</si>
  <si>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</si>
  <si>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</si>
  <si>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</si>
  <si>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</si>
  <si>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</si>
  <si>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</si>
  <si>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</si>
  <si>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</si>
  <si>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</si>
  <si>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</si>
  <si>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</si>
  <si>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</si>
  <si>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</si>
  <si>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</si>
  <si>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</si>
  <si>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</si>
  <si>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</si>
  <si>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</si>
  <si>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</si>
  <si>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</si>
  <si>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</si>
  <si>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</si>
  <si>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</si>
  <si>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</si>
  <si>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</si>
  <si>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</si>
  <si>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</si>
  <si>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</si>
  <si>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</si>
  <si>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</si>
  <si>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</si>
  <si>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</si>
  <si>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</si>
  <si>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</si>
  <si>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</si>
  <si>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</si>
  <si>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</si>
  <si>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</si>
  <si>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</si>
  <si>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</si>
  <si>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</si>
  <si>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</si>
  <si>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</si>
  <si>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</si>
  <si>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</si>
  <si>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</si>
  <si>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</si>
  <si>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</si>
  <si>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</si>
  <si>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</si>
  <si>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</si>
  <si>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</si>
  <si>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</si>
  <si>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</si>
  <si>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   •   type BLANK or (blank) in a search field to match empty cells.   •   column fields also accept + or &amp; for ALL facets; comma or / remains ANY.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</si>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</sst>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9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23" width="13.42578125" customWidth="1"/>
    <col min="24" max="24" width="13.42578125" customWidth="1" outlineLevel="1"/>
    <col min="25" max="26" width="13.42578125" customWidth="1"/>
    <col min="27" max="27" width="13.42578125" customWidth="1" outlineLevel="1"/>
    <col min="28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F(((UPPER($AR$6:$AY$6)="BLANK")+(UPPER($AR$6:$AY$6)="(BLANK)")+(UPPER($AR$6:$AY$6)="EMPTY")+(UPPER($AR$6:$AY$6)="(EMPTY)"))&gt;0,$AK5="",ISNUMBER(SEARCH($AR$6:$AY$6,$AK5))))&gt;0),IF(COUNTIF($AR$9:$AY$9,2)=0,TRUE,SUMPRODUCT(($AR$9:$AY$9=2)*($AR$6:$AY$6&lt;&gt;"")*IF(((UPPER($AR$6:$AY$6)="BLANK")+(UPPER($AR$6:$AY$6)="(BLANK)")+(UPPER($AR$6:$AY$6)="EMPTY")+(UPPER($AR$6:$AY$6)="(EMPTY)"))&gt;0,$AK5="",ISNUMBER(SEARCH($AR$6:$AY$6,$AK5))))&gt;0),IF(COUNTIF($AR$9:$AY$9,3)=0,TRUE,SUMPRODUCT(($AR$9:$AY$9=3)*($AR$6:$AY$6&lt;&gt;"")*IF(((UPPER($AR$6:$AY$6)="BLANK")+(UPPER($AR$6:$AY$6)="(BLANK)")+(UPPER($AR$6:$AY$6)="EMPTY")+(UPPER($AR$6:$AY$6)="(EMPTY)"))&gt;0,$AK5="",ISNUMBER(SEARCH($AR$6:$AY$6,$AK5))))&gt;0),IF(COUNTIF($AR$9:$AY$9,4)=0,TRUE,SUMPRODUCT(($AR$9:$AY$9=4)*($AR$6:$AY$6&lt;&gt;"")*IF(((UPPER($AR$6:$AY$6)="BLANK")+(UPPER($AR$6:$AY$6)="(BLANK)")+(UPPER($AR$6:$AY$6)="EMPTY")+(UPPER($AR$6:$AY$6)="(EMPTY)"))&gt;0,$AK5="",ISNUMBER(SEARCH($AR$6:$AY$6,$AK5))))&gt;0),IF(COUNTIF($AR$9:$AY$9,5)=0,TRUE,SUMPRODUCT(($AR$9:$AY$9=5)*($AR$6:$AY$6&lt;&gt;"")*IF(((UPPER($AR$6:$AY$6)="BLANK")+(UPPER($AR$6:$AY$6)="(BLANK)")+(UPPER($AR$6:$AY$6)="EMPTY")+(UPPER($AR$6:$AY$6)="(EMPTY)"))&gt;0,$AK5="",ISNUMBER(SEARCH($AR$6:$AY$6,$AK5))))&gt;0),IF(COUNTIF($AR$9:$AY$9,6)=0,TRUE,SUMPRODUCT(($AR$9:$AY$9=6)*($AR$6:$AY$6&lt;&gt;"")*IF(((UPPER($AR$6:$AY$6)="BLANK")+(UPPER($AR$6:$AY$6)="(BLANK)")+(UPPER($AR$6:$AY$6)="EMPTY")+(UPPER($AR$6:$AY$6)="(EMPTY)"))&gt;0,$AK5="",ISNUMBER(SEARCH($AR$6:$AY$6,$AK5))))&gt;0),IF(COUNTIF($AR$9:$AY$9,7)=0,TRUE,SUMPRODUCT(($AR$9:$AY$9=7)*($AR$6:$AY$6&lt;&gt;"")*IF(((UPPER($AR$6:$AY$6)="BLANK")+(UPPER($AR$6:$AY$6)="(BLANK)")+(UPPER($AR$6:$AY$6)="EMPTY")+(UPPER($AR$6:$AY$6)="(EMPTY)"))&gt;0,$AK5="",ISNUMBER(SEARCH($AR$6:$AY$6,$AK5))))&gt;0),IF(COUNTIF($AR$9:$AY$9,8)=0,TRUE,SUMPRODUCT(($AR$9:$AY$9=8)*($AR$6:$AY$6&lt;&gt;"")*IF(((UPPER($AR$6:$AY$6)="BLANK")+(UPPER($AR$6:$AY$6)="(BLANK)")+(UPPER($AR$6:$AY$6)="EMPTY")+(UPPER($AR$6:$AY$6)="(EMPTY)"))&gt;0,$AK5="",ISNUMBER(SEARCH($AR$6:$AY$6,$AK5)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5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Sheet'!$F$4)&amp;"","")="",ISNUMBER(SEARCH($AS$61:$AZ$61,IFERROR(('Final Calculation Sheet'!$F$4)&amp;"","")))))&gt;0))))</f>
        <v>1</v>
      </c>
      <c r="BO5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Sheet'!$G$4)&amp;"","")="",ISNUMBER(SEARCH($AS$62:$AZ$62,IFERROR(('Final Calculation Sheet'!$G$4)&amp;"","")))))&gt;0))))</f>
        <v>1</v>
      </c>
      <c r="BP5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Sheet'!$B$4)&amp;"","")="",ISNUMBER(SEARCH($AS$63:$AZ$63,IFERROR(('Final Calculation Sheet'!$B$4)&amp;"","")))))&gt;0))))</f>
        <v>1</v>
      </c>
      <c r="BQ5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Sheet'!$D$4)&amp;"","")="",ISNUMBER(SEARCH($AS$64:$AZ$64,IFERROR(('Final Calculation Sheet'!$D$4)&amp;"","")))))&gt;0))))</f>
        <v>1</v>
      </c>
      <c r="BR5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Sheet'!$A$4)&amp;"","")="",ISNUMBER(SEARCH($AS$65:$AZ$65,IFERROR(('Final Calculation Sheet'!$A$4)&amp;"","")))))&gt;0))))</f>
        <v>1</v>
      </c>
      <c r="BS5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Sheet'!$E$4)&amp;"","")="",ISNUMBER(SEARCH($AS$66:$AZ$66,IFERROR(('Final Calculation Sheet'!$E$4)&amp;"","")))))&gt;0))))</f>
        <v>1</v>
      </c>
      <c r="BT5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Sheet'!$C$4)&amp;"","")="",ISNUMBER(SEARCH($AS$67:$AZ$67,IFERROR(('Final Calculation Sheet'!$C$4)&amp;"","")))))&gt;0))))</f>
        <v>1</v>
      </c>
      <c r="BU5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Sheet'!$H$4)&amp;"","")="",ISNUMBER(SEARCH($AS$68:$AZ$68,IFERROR(('Final Calculation Sheet'!$H$4)&amp;"","")))))&gt;0))))</f>
        <v>1</v>
      </c>
      <c r="BV5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Sheet'!$I$4)&amp;"","")="",ISNUMBER(SEARCH($AS$69:$AZ$69,IFERROR(('Final Calculation Sheet'!$I$4)&amp;"","")))))&gt;0))))</f>
        <v>1</v>
      </c>
      <c r="BW5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Sheet'!$J$4)&amp;"","")="",ISNUMBER(SEARCH($AS$70:$AZ$70,IFERROR(('Final Calculation Sheet'!$J$4)&amp;"","")))))&gt;0))))</f>
        <v>1</v>
      </c>
      <c r="BX5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Sheet'!$K$4)&amp;"","")="",ISNUMBER(SEARCH($AS$71:$AZ$71,IFERROR(('Final Calculation Sheet'!$K$4)&amp;"","")))))&gt;0))))</f>
        <v>1</v>
      </c>
      <c r="BY5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Sheet'!$L$4)&amp;"","")="",ISNUMBER(SEARCH($AS$72:$AZ$72,IFERROR(('Final Calculation Sheet'!$L$4)&amp;"","")))))&gt;0))))</f>
        <v>1</v>
      </c>
      <c r="BZ5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Sheet'!$M$4)&amp;"","")="",ISNUMBER(SEARCH($AS$73:$AZ$73,IFERROR(('Final Calculation Sheet'!$M$4)&amp;"","")))))&gt;0))))</f>
        <v>1</v>
      </c>
      <c r="CA5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Sheet'!$N$4)&amp;"","")="",ISNUMBER(SEARCH($AS$74:$AZ$74,IFERROR(('Final Calculation Sheet'!$N$4)&amp;"","")))))&gt;0))))</f>
        <v>1</v>
      </c>
      <c r="CB5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Sheet'!$O$4)&amp;"","")="",ISNUMBER(SEARCH($AS$75:$AZ$75,IFERROR(('Final Calculation Sheet'!$O$4)&amp;"","")))))&gt;0))))</f>
        <v>1</v>
      </c>
      <c r="CC5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Sheet'!$P$4)&amp;"","")="",ISNUMBER(SEARCH($AS$76:$AZ$76,IFERROR(('Final Calculation Sheet'!$P$4)&amp;"","")))))&gt;0))))</f>
        <v>1</v>
      </c>
      <c r="CD5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Sheet'!$Q$4)&amp;"","")="",ISNUMBER(SEARCH($AS$77:$AZ$77,IFERROR(('Final Calculation Sheet'!$Q$4)&amp;"","")))))&gt;0))))</f>
        <v>1</v>
      </c>
      <c r="CE5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Sheet'!$R$4)&amp;"","")="",ISNUMBER(SEARCH($AS$78:$AZ$78,IFERROR(('Final Calculation Sheet'!$R$4)&amp;"","")))))&gt;0))))</f>
        <v>1</v>
      </c>
      <c r="CF5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Sheet'!$S$4)&amp;"","")="",ISNUMBER(SEARCH($AS$79:$AZ$79,IFERROR(('Final Calculation Sheet'!$S$4)&amp;"","")))))&gt;0))))</f>
        <v>1</v>
      </c>
      <c r="CG5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Sheet'!$T$4)&amp;"","")="",ISNUMBER(SEARCH($AS$80:$AZ$80,IFERROR(('Final Calculation Sheet'!$T$4)&amp;"","")))))&gt;0))))</f>
        <v>1</v>
      </c>
      <c r="CH5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Sheet'!$U$4)&amp;"","")="",ISNUMBER(SEARCH($AS$81:$AZ$81,IFERROR(('Final Calculation Sheet'!$U$4)&amp;"","")))))&gt;0))))</f>
        <v>1</v>
      </c>
      <c r="CI5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Sheet'!$V$4)&amp;"","")="",ISNUMBER(SEARCH($AS$82:$AZ$82,IFERROR(('Final Calculation Sheet'!$V$4)&amp;"","")))))&gt;0))))</f>
        <v>1</v>
      </c>
      <c r="CJ5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Sheet'!$W$4)&amp;"","")="",ISNUMBER(SEARCH($AS$83:$AZ$83,IFERROR(('Final Calculation Sheet'!$W$4)&amp;"","")))))&gt;0))))</f>
        <v>1</v>
      </c>
      <c r="CK5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Sheet'!$X$4)&amp;"","")="",ISNUMBER(SEARCH($AS$84:$AZ$84,IFERROR(('Final Calculation Sheet'!$X$4)&amp;"","")))))&gt;0))))</f>
        <v>1</v>
      </c>
      <c r="CL5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Sheet'!$Y$4)&amp;"","")="",ISNUMBER(SEARCH($AS$85:$AZ$85,IFERROR(('Final Calculation Sheet'!$Y$4)&amp;"","")))))&gt;0))))</f>
        <v>1</v>
      </c>
      <c r="CM5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Sheet'!$Z$4)&amp;"","")="",ISNUMBER(SEARCH($AS$86:$AZ$86,IFERROR(('Final Calculation Sheet'!$Z$4)&amp;"","")))))&gt;0))))</f>
        <v>1</v>
      </c>
      <c r="CN5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Sheet'!$AA$4)&amp;"","")="",ISNUMBER(SEARCH($AS$87:$AZ$87,IFERROR(('Final Calculation Sheet'!$AA$4)&amp;"","")))))&gt;0))))</f>
        <v>1</v>
      </c>
      <c r="CO5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Sheet'!$AB$4)&amp;"","")="",ISNUMBER(SEARCH($AS$88:$AZ$88,IFERROR(('Final Calculation Sheet'!$AB$4)&amp;"","")))))&gt;0))))</f>
        <v>1</v>
      </c>
      <c r="CP5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Sheet'!$AC$4)&amp;"","")="",ISNUMBER(SEARCH($AS$89:$AZ$89,IFERROR(('Final Calculation Sheet'!$AC$4)&amp;"","")))))&gt;0))))</f>
        <v>1</v>
      </c>
      <c r="CQ5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Sheet'!$AD$4)&amp;"","")="",ISNUMBER(SEARCH($AS$90:$AZ$90,IFERROR(('Final Calculation Sheet'!$AD$4)&amp;"","")))))&gt;0))))</f>
        <v>1</v>
      </c>
      <c r="CR5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Sheet'!$AE$4)&amp;"","")="",ISNUMBER(SEARCH($AS$91:$AZ$91,IFERROR(('Final Calculation Sheet'!$AE$4)&amp;"","")))))&gt;0))))</f>
        <v>1</v>
      </c>
      <c r="CS5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Sheet'!$AF$4)&amp;"","")="",ISNUMBER(SEARCH($AS$92:$AZ$92,IFERROR(('Final Calculation Sheet'!$AF$4)&amp;"","")))))&gt;0))))</f>
        <v>1</v>
      </c>
      <c r="CT5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Sheet'!$AG$4)&amp;"","")="",ISNUMBER(SEARCH($AS$93:$AZ$93,IFERROR(('Final Calculation Sheet'!$AG$4)&amp;"","")))))&gt;0))))</f>
        <v>1</v>
      </c>
      <c r="CU5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Sheet'!$AD$4&lt;=0,"SETTLED","OUTSTANDING"))&amp;"","")="",ISNUMBER(SEARCH($AS$94:$AZ$94,IFERROR((IF('Final Calculation Sheet'!$AD$4&lt;=0,"SETTLED","OUTSTANDING"))&amp;"","")))))&gt;0))))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6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Sheet'!$F$5)&amp;"","")="",ISNUMBER(SEARCH($AS$61:$AZ$61,IFERROR(('Final Calculation Sheet'!$F$5)&amp;"","")))))&gt;0))))</f>
        <v>1</v>
      </c>
      <c r="BO6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Sheet'!$G$5)&amp;"","")="",ISNUMBER(SEARCH($AS$62:$AZ$62,IFERROR(('Final Calculation Sheet'!$G$5)&amp;"","")))))&gt;0))))</f>
        <v>1</v>
      </c>
      <c r="BP6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Sheet'!$B$5)&amp;"","")="",ISNUMBER(SEARCH($AS$63:$AZ$63,IFERROR(('Final Calculation Sheet'!$B$5)&amp;"","")))))&gt;0))))</f>
        <v>1</v>
      </c>
      <c r="BQ6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Sheet'!$D$5)&amp;"","")="",ISNUMBER(SEARCH($AS$64:$AZ$64,IFERROR(('Final Calculation Sheet'!$D$5)&amp;"","")))))&gt;0))))</f>
        <v>1</v>
      </c>
      <c r="BR6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Sheet'!$A$5)&amp;"","")="",ISNUMBER(SEARCH($AS$65:$AZ$65,IFERROR(('Final Calculation Sheet'!$A$5)&amp;"","")))))&gt;0))))</f>
        <v>1</v>
      </c>
      <c r="BS6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Sheet'!$E$5)&amp;"","")="",ISNUMBER(SEARCH($AS$66:$AZ$66,IFERROR(('Final Calculation Sheet'!$E$5)&amp;"","")))))&gt;0))))</f>
        <v>1</v>
      </c>
      <c r="BT6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Sheet'!$C$5)&amp;"","")="",ISNUMBER(SEARCH($AS$67:$AZ$67,IFERROR(('Final Calculation Sheet'!$C$5)&amp;"","")))))&gt;0))))</f>
        <v>1</v>
      </c>
      <c r="BU6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Sheet'!$H$5)&amp;"","")="",ISNUMBER(SEARCH($AS$68:$AZ$68,IFERROR(('Final Calculation Sheet'!$H$5)&amp;"","")))))&gt;0))))</f>
        <v>1</v>
      </c>
      <c r="BV6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Sheet'!$I$5)&amp;"","")="",ISNUMBER(SEARCH($AS$69:$AZ$69,IFERROR(('Final Calculation Sheet'!$I$5)&amp;"","")))))&gt;0))))</f>
        <v>1</v>
      </c>
      <c r="BW6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Sheet'!$J$5)&amp;"","")="",ISNUMBER(SEARCH($AS$70:$AZ$70,IFERROR(('Final Calculation Sheet'!$J$5)&amp;"","")))))&gt;0))))</f>
        <v>1</v>
      </c>
      <c r="BX6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Sheet'!$K$5)&amp;"","")="",ISNUMBER(SEARCH($AS$71:$AZ$71,IFERROR(('Final Calculation Sheet'!$K$5)&amp;"","")))))&gt;0))))</f>
        <v>1</v>
      </c>
      <c r="BY6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Sheet'!$L$5)&amp;"","")="",ISNUMBER(SEARCH($AS$72:$AZ$72,IFERROR(('Final Calculation Sheet'!$L$5)&amp;"","")))))&gt;0))))</f>
        <v>1</v>
      </c>
      <c r="BZ6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Sheet'!$M$5)&amp;"","")="",ISNUMBER(SEARCH($AS$73:$AZ$73,IFERROR(('Final Calculation Sheet'!$M$5)&amp;"","")))))&gt;0))))</f>
        <v>1</v>
      </c>
      <c r="CA6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Sheet'!$N$5)&amp;"","")="",ISNUMBER(SEARCH($AS$74:$AZ$74,IFERROR(('Final Calculation Sheet'!$N$5)&amp;"","")))))&gt;0))))</f>
        <v>1</v>
      </c>
      <c r="CB6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Sheet'!$O$5)&amp;"","")="",ISNUMBER(SEARCH($AS$75:$AZ$75,IFERROR(('Final Calculation Sheet'!$O$5)&amp;"","")))))&gt;0))))</f>
        <v>1</v>
      </c>
      <c r="CC6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Sheet'!$P$5)&amp;"","")="",ISNUMBER(SEARCH($AS$76:$AZ$76,IFERROR(('Final Calculation Sheet'!$P$5)&amp;"","")))))&gt;0))))</f>
        <v>1</v>
      </c>
      <c r="CD6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Sheet'!$Q$5)&amp;"","")="",ISNUMBER(SEARCH($AS$77:$AZ$77,IFERROR(('Final Calculation Sheet'!$Q$5)&amp;"","")))))&gt;0))))</f>
        <v>1</v>
      </c>
      <c r="CE6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Sheet'!$R$5)&amp;"","")="",ISNUMBER(SEARCH($AS$78:$AZ$78,IFERROR(('Final Calculation Sheet'!$R$5)&amp;"","")))))&gt;0))))</f>
        <v>1</v>
      </c>
      <c r="CF6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Sheet'!$S$5)&amp;"","")="",ISNUMBER(SEARCH($AS$79:$AZ$79,IFERROR(('Final Calculation Sheet'!$S$5)&amp;"","")))))&gt;0))))</f>
        <v>1</v>
      </c>
      <c r="CG6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Sheet'!$T$5)&amp;"","")="",ISNUMBER(SEARCH($AS$80:$AZ$80,IFERROR(('Final Calculation Sheet'!$T$5)&amp;"","")))))&gt;0))))</f>
        <v>1</v>
      </c>
      <c r="CH6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Sheet'!$U$5)&amp;"","")="",ISNUMBER(SEARCH($AS$81:$AZ$81,IFERROR(('Final Calculation Sheet'!$U$5)&amp;"","")))))&gt;0))))</f>
        <v>1</v>
      </c>
      <c r="CI6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Sheet'!$V$5)&amp;"","")="",ISNUMBER(SEARCH($AS$82:$AZ$82,IFERROR(('Final Calculation Sheet'!$V$5)&amp;"","")))))&gt;0))))</f>
        <v>1</v>
      </c>
      <c r="CJ6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Sheet'!$W$5)&amp;"","")="",ISNUMBER(SEARCH($AS$83:$AZ$83,IFERROR(('Final Calculation Sheet'!$W$5)&amp;"","")))))&gt;0))))</f>
        <v>1</v>
      </c>
      <c r="CK6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Sheet'!$X$5)&amp;"","")="",ISNUMBER(SEARCH($AS$84:$AZ$84,IFERROR(('Final Calculation Sheet'!$X$5)&amp;"","")))))&gt;0))))</f>
        <v>1</v>
      </c>
      <c r="CL6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Sheet'!$Y$5)&amp;"","")="",ISNUMBER(SEARCH($AS$85:$AZ$85,IFERROR(('Final Calculation Sheet'!$Y$5)&amp;"","")))))&gt;0))))</f>
        <v>1</v>
      </c>
      <c r="CM6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Sheet'!$Z$5)&amp;"","")="",ISNUMBER(SEARCH($AS$86:$AZ$86,IFERROR(('Final Calculation Sheet'!$Z$5)&amp;"","")))))&gt;0))))</f>
        <v>1</v>
      </c>
      <c r="CN6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Sheet'!$AA$5)&amp;"","")="",ISNUMBER(SEARCH($AS$87:$AZ$87,IFERROR(('Final Calculation Sheet'!$AA$5)&amp;"","")))))&gt;0))))</f>
        <v>1</v>
      </c>
      <c r="CO6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Sheet'!$AB$5)&amp;"","")="",ISNUMBER(SEARCH($AS$88:$AZ$88,IFERROR(('Final Calculation Sheet'!$AB$5)&amp;"","")))))&gt;0))))</f>
        <v>1</v>
      </c>
      <c r="CP6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Sheet'!$AC$5)&amp;"","")="",ISNUMBER(SEARCH($AS$89:$AZ$89,IFERROR(('Final Calculation Sheet'!$AC$5)&amp;"","")))))&gt;0))))</f>
        <v>1</v>
      </c>
      <c r="CQ6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Sheet'!$AD$5)&amp;"","")="",ISNUMBER(SEARCH($AS$90:$AZ$90,IFERROR(('Final Calculation Sheet'!$AD$5)&amp;"","")))))&gt;0))))</f>
        <v>1</v>
      </c>
      <c r="CR6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Sheet'!$AE$5)&amp;"","")="",ISNUMBER(SEARCH($AS$91:$AZ$91,IFERROR(('Final Calculation Sheet'!$AE$5)&amp;"","")))))&gt;0))))</f>
        <v>1</v>
      </c>
      <c r="CS6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Sheet'!$AF$5)&amp;"","")="",ISNUMBER(SEARCH($AS$92:$AZ$92,IFERROR(('Final Calculation Sheet'!$AF$5)&amp;"","")))))&gt;0))))</f>
        <v>1</v>
      </c>
      <c r="CT6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Sheet'!$AG$5)&amp;"","")="",ISNUMBER(SEARCH($AS$93:$AZ$93,IFERROR(('Final Calculation Sheet'!$AG$5)&amp;"","")))))&gt;0))))</f>
        <v>1</v>
      </c>
      <c r="CU6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Sheet'!$AD$5&lt;=0,"SETTLED","OUTSTANDING"))&amp;"","")="",ISNUMBER(SEARCH($AS$94:$AZ$94,IFERROR((IF('Final Calculation Sheet'!$AD$5&lt;=0,"SETTLED","OUTSTANDING"))&amp;"","")))))&gt;0))))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7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Sheet'!$F$6)&amp;"","")="",ISNUMBER(SEARCH($AS$61:$AZ$61,IFERROR(('Final Calculation Sheet'!$F$6)&amp;"","")))))&gt;0))))</f>
        <v>1</v>
      </c>
      <c r="BO7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Sheet'!$G$6)&amp;"","")="",ISNUMBER(SEARCH($AS$62:$AZ$62,IFERROR(('Final Calculation Sheet'!$G$6)&amp;"","")))))&gt;0))))</f>
        <v>1</v>
      </c>
      <c r="BP7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Sheet'!$B$6)&amp;"","")="",ISNUMBER(SEARCH($AS$63:$AZ$63,IFERROR(('Final Calculation Sheet'!$B$6)&amp;"","")))))&gt;0))))</f>
        <v>1</v>
      </c>
      <c r="BQ7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Sheet'!$D$6)&amp;"","")="",ISNUMBER(SEARCH($AS$64:$AZ$64,IFERROR(('Final Calculation Sheet'!$D$6)&amp;"","")))))&gt;0))))</f>
        <v>1</v>
      </c>
      <c r="BR7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Sheet'!$A$6)&amp;"","")="",ISNUMBER(SEARCH($AS$65:$AZ$65,IFERROR(('Final Calculation Sheet'!$A$6)&amp;"","")))))&gt;0))))</f>
        <v>1</v>
      </c>
      <c r="BS7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Sheet'!$E$6)&amp;"","")="",ISNUMBER(SEARCH($AS$66:$AZ$66,IFERROR(('Final Calculation Sheet'!$E$6)&amp;"","")))))&gt;0))))</f>
        <v>1</v>
      </c>
      <c r="BT7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Sheet'!$C$6)&amp;"","")="",ISNUMBER(SEARCH($AS$67:$AZ$67,IFERROR(('Final Calculation Sheet'!$C$6)&amp;"","")))))&gt;0))))</f>
        <v>1</v>
      </c>
      <c r="BU7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Sheet'!$H$6)&amp;"","")="",ISNUMBER(SEARCH($AS$68:$AZ$68,IFERROR(('Final Calculation Sheet'!$H$6)&amp;"","")))))&gt;0))))</f>
        <v>1</v>
      </c>
      <c r="BV7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Sheet'!$I$6)&amp;"","")="",ISNUMBER(SEARCH($AS$69:$AZ$69,IFERROR(('Final Calculation Sheet'!$I$6)&amp;"","")))))&gt;0))))</f>
        <v>1</v>
      </c>
      <c r="BW7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Sheet'!$J$6)&amp;"","")="",ISNUMBER(SEARCH($AS$70:$AZ$70,IFERROR(('Final Calculation Sheet'!$J$6)&amp;"","")))))&gt;0))))</f>
        <v>1</v>
      </c>
      <c r="BX7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Sheet'!$K$6)&amp;"","")="",ISNUMBER(SEARCH($AS$71:$AZ$71,IFERROR(('Final Calculation Sheet'!$K$6)&amp;"","")))))&gt;0))))</f>
        <v>1</v>
      </c>
      <c r="BY7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Sheet'!$L$6)&amp;"","")="",ISNUMBER(SEARCH($AS$72:$AZ$72,IFERROR(('Final Calculation Sheet'!$L$6)&amp;"","")))))&gt;0))))</f>
        <v>1</v>
      </c>
      <c r="BZ7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Sheet'!$M$6)&amp;"","")="",ISNUMBER(SEARCH($AS$73:$AZ$73,IFERROR(('Final Calculation Sheet'!$M$6)&amp;"","")))))&gt;0))))</f>
        <v>1</v>
      </c>
      <c r="CA7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Sheet'!$N$6)&amp;"","")="",ISNUMBER(SEARCH($AS$74:$AZ$74,IFERROR(('Final Calculation Sheet'!$N$6)&amp;"","")))))&gt;0))))</f>
        <v>1</v>
      </c>
      <c r="CB7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Sheet'!$O$6)&amp;"","")="",ISNUMBER(SEARCH($AS$75:$AZ$75,IFERROR(('Final Calculation Sheet'!$O$6)&amp;"","")))))&gt;0))))</f>
        <v>1</v>
      </c>
      <c r="CC7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Sheet'!$P$6)&amp;"","")="",ISNUMBER(SEARCH($AS$76:$AZ$76,IFERROR(('Final Calculation Sheet'!$P$6)&amp;"","")))))&gt;0))))</f>
        <v>1</v>
      </c>
      <c r="CD7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Sheet'!$Q$6)&amp;"","")="",ISNUMBER(SEARCH($AS$77:$AZ$77,IFERROR(('Final Calculation Sheet'!$Q$6)&amp;"","")))))&gt;0))))</f>
        <v>1</v>
      </c>
      <c r="CE7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Sheet'!$R$6)&amp;"","")="",ISNUMBER(SEARCH($AS$78:$AZ$78,IFERROR(('Final Calculation Sheet'!$R$6)&amp;"","")))))&gt;0))))</f>
        <v>1</v>
      </c>
      <c r="CF7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Sheet'!$S$6)&amp;"","")="",ISNUMBER(SEARCH($AS$79:$AZ$79,IFERROR(('Final Calculation Sheet'!$S$6)&amp;"","")))))&gt;0))))</f>
        <v>1</v>
      </c>
      <c r="CG7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Sheet'!$T$6)&amp;"","")="",ISNUMBER(SEARCH($AS$80:$AZ$80,IFERROR(('Final Calculation Sheet'!$T$6)&amp;"","")))))&gt;0))))</f>
        <v>1</v>
      </c>
      <c r="CH7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Sheet'!$U$6)&amp;"","")="",ISNUMBER(SEARCH($AS$81:$AZ$81,IFERROR(('Final Calculation Sheet'!$U$6)&amp;"","")))))&gt;0))))</f>
        <v>1</v>
      </c>
      <c r="CI7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Sheet'!$V$6)&amp;"","")="",ISNUMBER(SEARCH($AS$82:$AZ$82,IFERROR(('Final Calculation Sheet'!$V$6)&amp;"","")))))&gt;0))))</f>
        <v>1</v>
      </c>
      <c r="CJ7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Sheet'!$W$6)&amp;"","")="",ISNUMBER(SEARCH($AS$83:$AZ$83,IFERROR(('Final Calculation Sheet'!$W$6)&amp;"","")))))&gt;0))))</f>
        <v>1</v>
      </c>
      <c r="CK7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Sheet'!$X$6)&amp;"","")="",ISNUMBER(SEARCH($AS$84:$AZ$84,IFERROR(('Final Calculation Sheet'!$X$6)&amp;"","")))))&gt;0))))</f>
        <v>1</v>
      </c>
      <c r="CL7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Sheet'!$Y$6)&amp;"","")="",ISNUMBER(SEARCH($AS$85:$AZ$85,IFERROR(('Final Calculation Sheet'!$Y$6)&amp;"","")))))&gt;0))))</f>
        <v>1</v>
      </c>
      <c r="CM7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Sheet'!$Z$6)&amp;"","")="",ISNUMBER(SEARCH($AS$86:$AZ$86,IFERROR(('Final Calculation Sheet'!$Z$6)&amp;"","")))))&gt;0))))</f>
        <v>1</v>
      </c>
      <c r="CN7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Sheet'!$AA$6)&amp;"","")="",ISNUMBER(SEARCH($AS$87:$AZ$87,IFERROR(('Final Calculation Sheet'!$AA$6)&amp;"","")))))&gt;0))))</f>
        <v>1</v>
      </c>
      <c r="CO7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Sheet'!$AB$6)&amp;"","")="",ISNUMBER(SEARCH($AS$88:$AZ$88,IFERROR(('Final Calculation Sheet'!$AB$6)&amp;"","")))))&gt;0))))</f>
        <v>1</v>
      </c>
      <c r="CP7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Sheet'!$AC$6)&amp;"","")="",ISNUMBER(SEARCH($AS$89:$AZ$89,IFERROR(('Final Calculation Sheet'!$AC$6)&amp;"","")))))&gt;0))))</f>
        <v>1</v>
      </c>
      <c r="CQ7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Sheet'!$AD$6)&amp;"","")="",ISNUMBER(SEARCH($AS$90:$AZ$90,IFERROR(('Final Calculation Sheet'!$AD$6)&amp;"","")))))&gt;0))))</f>
        <v>1</v>
      </c>
      <c r="CR7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Sheet'!$AE$6)&amp;"","")="",ISNUMBER(SEARCH($AS$91:$AZ$91,IFERROR(('Final Calculation Sheet'!$AE$6)&amp;"","")))))&gt;0))))</f>
        <v>1</v>
      </c>
      <c r="CS7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Sheet'!$AF$6)&amp;"","")="",ISNUMBER(SEARCH($AS$92:$AZ$92,IFERROR(('Final Calculation Sheet'!$AF$6)&amp;"","")))))&gt;0))))</f>
        <v>1</v>
      </c>
      <c r="CT7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Sheet'!$AG$6)&amp;"","")="",ISNUMBER(SEARCH($AS$93:$AZ$93,IFERROR(('Final Calculation Sheet'!$AG$6)&amp;"","")))))&gt;0))))</f>
        <v>1</v>
      </c>
      <c r="CU7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Sheet'!$AD$6&lt;=0,"SETTLED","OUTSTANDING"))&amp;"","")="",ISNUMBER(SEARCH($AS$94:$AZ$94,IFERROR((IF('Final Calculation Sheet'!$AD$6&lt;=0,"SETTLED","OUTSTANDING"))&amp;"","")))))&gt;0))))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8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Sheet'!$F$7)&amp;"","")="",ISNUMBER(SEARCH($AS$61:$AZ$61,IFERROR(('Final Calculation Sheet'!$F$7)&amp;"","")))))&gt;0))))</f>
        <v>1</v>
      </c>
      <c r="BO8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Sheet'!$G$7)&amp;"","")="",ISNUMBER(SEARCH($AS$62:$AZ$62,IFERROR(('Final Calculation Sheet'!$G$7)&amp;"","")))))&gt;0))))</f>
        <v>1</v>
      </c>
      <c r="BP8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Sheet'!$B$7)&amp;"","")="",ISNUMBER(SEARCH($AS$63:$AZ$63,IFERROR(('Final Calculation Sheet'!$B$7)&amp;"","")))))&gt;0))))</f>
        <v>1</v>
      </c>
      <c r="BQ8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Sheet'!$D$7)&amp;"","")="",ISNUMBER(SEARCH($AS$64:$AZ$64,IFERROR(('Final Calculation Sheet'!$D$7)&amp;"","")))))&gt;0))))</f>
        <v>1</v>
      </c>
      <c r="BR8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Sheet'!$A$7)&amp;"","")="",ISNUMBER(SEARCH($AS$65:$AZ$65,IFERROR(('Final Calculation Sheet'!$A$7)&amp;"","")))))&gt;0))))</f>
        <v>1</v>
      </c>
      <c r="BS8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Sheet'!$E$7)&amp;"","")="",ISNUMBER(SEARCH($AS$66:$AZ$66,IFERROR(('Final Calculation Sheet'!$E$7)&amp;"","")))))&gt;0))))</f>
        <v>1</v>
      </c>
      <c r="BT8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Sheet'!$C$7)&amp;"","")="",ISNUMBER(SEARCH($AS$67:$AZ$67,IFERROR(('Final Calculation Sheet'!$C$7)&amp;"","")))))&gt;0))))</f>
        <v>1</v>
      </c>
      <c r="BU8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Sheet'!$H$7)&amp;"","")="",ISNUMBER(SEARCH($AS$68:$AZ$68,IFERROR(('Final Calculation Sheet'!$H$7)&amp;"","")))))&gt;0))))</f>
        <v>1</v>
      </c>
      <c r="BV8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Sheet'!$I$7)&amp;"","")="",ISNUMBER(SEARCH($AS$69:$AZ$69,IFERROR(('Final Calculation Sheet'!$I$7)&amp;"","")))))&gt;0))))</f>
        <v>1</v>
      </c>
      <c r="BW8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Sheet'!$J$7)&amp;"","")="",ISNUMBER(SEARCH($AS$70:$AZ$70,IFERROR(('Final Calculation Sheet'!$J$7)&amp;"","")))))&gt;0))))</f>
        <v>1</v>
      </c>
      <c r="BX8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Sheet'!$K$7)&amp;"","")="",ISNUMBER(SEARCH($AS$71:$AZ$71,IFERROR(('Final Calculation Sheet'!$K$7)&amp;"","")))))&gt;0))))</f>
        <v>1</v>
      </c>
      <c r="BY8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Sheet'!$L$7)&amp;"","")="",ISNUMBER(SEARCH($AS$72:$AZ$72,IFERROR(('Final Calculation Sheet'!$L$7)&amp;"","")))))&gt;0))))</f>
        <v>1</v>
      </c>
      <c r="BZ8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Sheet'!$M$7)&amp;"","")="",ISNUMBER(SEARCH($AS$73:$AZ$73,IFERROR(('Final Calculation Sheet'!$M$7)&amp;"","")))))&gt;0))))</f>
        <v>1</v>
      </c>
      <c r="CA8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Sheet'!$N$7)&amp;"","")="",ISNUMBER(SEARCH($AS$74:$AZ$74,IFERROR(('Final Calculation Sheet'!$N$7)&amp;"","")))))&gt;0))))</f>
        <v>1</v>
      </c>
      <c r="CB8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Sheet'!$O$7)&amp;"","")="",ISNUMBER(SEARCH($AS$75:$AZ$75,IFERROR(('Final Calculation Sheet'!$O$7)&amp;"","")))))&gt;0))))</f>
        <v>1</v>
      </c>
      <c r="CC8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Sheet'!$P$7)&amp;"","")="",ISNUMBER(SEARCH($AS$76:$AZ$76,IFERROR(('Final Calculation Sheet'!$P$7)&amp;"","")))))&gt;0))))</f>
        <v>1</v>
      </c>
      <c r="CD8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Sheet'!$Q$7)&amp;"","")="",ISNUMBER(SEARCH($AS$77:$AZ$77,IFERROR(('Final Calculation Sheet'!$Q$7)&amp;"","")))))&gt;0))))</f>
        <v>1</v>
      </c>
      <c r="CE8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Sheet'!$R$7)&amp;"","")="",ISNUMBER(SEARCH($AS$78:$AZ$78,IFERROR(('Final Calculation Sheet'!$R$7)&amp;"","")))))&gt;0))))</f>
        <v>1</v>
      </c>
      <c r="CF8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Sheet'!$S$7)&amp;"","")="",ISNUMBER(SEARCH($AS$79:$AZ$79,IFERROR(('Final Calculation Sheet'!$S$7)&amp;"","")))))&gt;0))))</f>
        <v>1</v>
      </c>
      <c r="CG8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Sheet'!$T$7)&amp;"","")="",ISNUMBER(SEARCH($AS$80:$AZ$80,IFERROR(('Final Calculation Sheet'!$T$7)&amp;"","")))))&gt;0))))</f>
        <v>1</v>
      </c>
      <c r="CH8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Sheet'!$U$7)&amp;"","")="",ISNUMBER(SEARCH($AS$81:$AZ$81,IFERROR(('Final Calculation Sheet'!$U$7)&amp;"","")))))&gt;0))))</f>
        <v>1</v>
      </c>
      <c r="CI8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Sheet'!$V$7)&amp;"","")="",ISNUMBER(SEARCH($AS$82:$AZ$82,IFERROR(('Final Calculation Sheet'!$V$7)&amp;"","")))))&gt;0))))</f>
        <v>1</v>
      </c>
      <c r="CJ8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Sheet'!$W$7)&amp;"","")="",ISNUMBER(SEARCH($AS$83:$AZ$83,IFERROR(('Final Calculation Sheet'!$W$7)&amp;"","")))))&gt;0))))</f>
        <v>1</v>
      </c>
      <c r="CK8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Sheet'!$X$7)&amp;"","")="",ISNUMBER(SEARCH($AS$84:$AZ$84,IFERROR(('Final Calculation Sheet'!$X$7)&amp;"","")))))&gt;0))))</f>
        <v>1</v>
      </c>
      <c r="CL8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Sheet'!$Y$7)&amp;"","")="",ISNUMBER(SEARCH($AS$85:$AZ$85,IFERROR(('Final Calculation Sheet'!$Y$7)&amp;"","")))))&gt;0))))</f>
        <v>1</v>
      </c>
      <c r="CM8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Sheet'!$Z$7)&amp;"","")="",ISNUMBER(SEARCH($AS$86:$AZ$86,IFERROR(('Final Calculation Sheet'!$Z$7)&amp;"","")))))&gt;0))))</f>
        <v>1</v>
      </c>
      <c r="CN8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Sheet'!$AA$7)&amp;"","")="",ISNUMBER(SEARCH($AS$87:$AZ$87,IFERROR(('Final Calculation Sheet'!$AA$7)&amp;"","")))))&gt;0))))</f>
        <v>1</v>
      </c>
      <c r="CO8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Sheet'!$AB$7)&amp;"","")="",ISNUMBER(SEARCH($AS$88:$AZ$88,IFERROR(('Final Calculation Sheet'!$AB$7)&amp;"","")))))&gt;0))))</f>
        <v>1</v>
      </c>
      <c r="CP8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Sheet'!$AC$7)&amp;"","")="",ISNUMBER(SEARCH($AS$89:$AZ$89,IFERROR(('Final Calculation Sheet'!$AC$7)&amp;"","")))))&gt;0))))</f>
        <v>1</v>
      </c>
      <c r="CQ8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Sheet'!$AD$7)&amp;"","")="",ISNUMBER(SEARCH($AS$90:$AZ$90,IFERROR(('Final Calculation Sheet'!$AD$7)&amp;"","")))))&gt;0))))</f>
        <v>1</v>
      </c>
      <c r="CR8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Sheet'!$AE$7)&amp;"","")="",ISNUMBER(SEARCH($AS$91:$AZ$91,IFERROR(('Final Calculation Sheet'!$AE$7)&amp;"","")))))&gt;0))))</f>
        <v>1</v>
      </c>
      <c r="CS8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Sheet'!$AF$7)&amp;"","")="",ISNUMBER(SEARCH($AS$92:$AZ$92,IFERROR(('Final Calculation Sheet'!$AF$7)&amp;"","")))))&gt;0))))</f>
        <v>1</v>
      </c>
      <c r="CT8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Sheet'!$AG$7)&amp;"","")="",ISNUMBER(SEARCH($AS$93:$AZ$93,IFERROR(('Final Calculation Sheet'!$AG$7)&amp;"","")))))&gt;0))))</f>
        <v>1</v>
      </c>
      <c r="CU8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Sheet'!$AD$7&lt;=0,"SETTLED","OUTSTANDING"))&amp;"","")="",ISNUMBER(SEARCH($AS$94:$AZ$94,IFERROR((IF('Final Calculation Sheet'!$AD$7&lt;=0,"SETTLED","OUTSTANDING"))&amp;"","")))))&gt;0))))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9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Sheet'!$F$8)&amp;"","")="",ISNUMBER(SEARCH($AS$61:$AZ$61,IFERROR(('Final Calculation Sheet'!$F$8)&amp;"","")))))&gt;0))))</f>
        <v>1</v>
      </c>
      <c r="BO9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Sheet'!$G$8)&amp;"","")="",ISNUMBER(SEARCH($AS$62:$AZ$62,IFERROR(('Final Calculation Sheet'!$G$8)&amp;"","")))))&gt;0))))</f>
        <v>1</v>
      </c>
      <c r="BP9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Sheet'!$B$8)&amp;"","")="",ISNUMBER(SEARCH($AS$63:$AZ$63,IFERROR(('Final Calculation Sheet'!$B$8)&amp;"","")))))&gt;0))))</f>
        <v>1</v>
      </c>
      <c r="BQ9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Sheet'!$D$8)&amp;"","")="",ISNUMBER(SEARCH($AS$64:$AZ$64,IFERROR(('Final Calculation Sheet'!$D$8)&amp;"","")))))&gt;0))))</f>
        <v>1</v>
      </c>
      <c r="BR9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Sheet'!$A$8)&amp;"","")="",ISNUMBER(SEARCH($AS$65:$AZ$65,IFERROR(('Final Calculation Sheet'!$A$8)&amp;"","")))))&gt;0))))</f>
        <v>1</v>
      </c>
      <c r="BS9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Sheet'!$E$8)&amp;"","")="",ISNUMBER(SEARCH($AS$66:$AZ$66,IFERROR(('Final Calculation Sheet'!$E$8)&amp;"","")))))&gt;0))))</f>
        <v>1</v>
      </c>
      <c r="BT9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Sheet'!$C$8)&amp;"","")="",ISNUMBER(SEARCH($AS$67:$AZ$67,IFERROR(('Final Calculation Sheet'!$C$8)&amp;"","")))))&gt;0))))</f>
        <v>1</v>
      </c>
      <c r="BU9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Sheet'!$H$8)&amp;"","")="",ISNUMBER(SEARCH($AS$68:$AZ$68,IFERROR(('Final Calculation Sheet'!$H$8)&amp;"","")))))&gt;0))))</f>
        <v>1</v>
      </c>
      <c r="BV9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Sheet'!$I$8)&amp;"","")="",ISNUMBER(SEARCH($AS$69:$AZ$69,IFERROR(('Final Calculation Sheet'!$I$8)&amp;"","")))))&gt;0))))</f>
        <v>1</v>
      </c>
      <c r="BW9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Sheet'!$J$8)&amp;"","")="",ISNUMBER(SEARCH($AS$70:$AZ$70,IFERROR(('Final Calculation Sheet'!$J$8)&amp;"","")))))&gt;0))))</f>
        <v>1</v>
      </c>
      <c r="BX9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Sheet'!$K$8)&amp;"","")="",ISNUMBER(SEARCH($AS$71:$AZ$71,IFERROR(('Final Calculation Sheet'!$K$8)&amp;"","")))))&gt;0))))</f>
        <v>1</v>
      </c>
      <c r="BY9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Sheet'!$L$8)&amp;"","")="",ISNUMBER(SEARCH($AS$72:$AZ$72,IFERROR(('Final Calculation Sheet'!$L$8)&amp;"","")))))&gt;0))))</f>
        <v>1</v>
      </c>
      <c r="BZ9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Sheet'!$M$8)&amp;"","")="",ISNUMBER(SEARCH($AS$73:$AZ$73,IFERROR(('Final Calculation Sheet'!$M$8)&amp;"","")))))&gt;0))))</f>
        <v>1</v>
      </c>
      <c r="CA9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Sheet'!$N$8)&amp;"","")="",ISNUMBER(SEARCH($AS$74:$AZ$74,IFERROR(('Final Calculation Sheet'!$N$8)&amp;"","")))))&gt;0))))</f>
        <v>1</v>
      </c>
      <c r="CB9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Sheet'!$O$8)&amp;"","")="",ISNUMBER(SEARCH($AS$75:$AZ$75,IFERROR(('Final Calculation Sheet'!$O$8)&amp;"","")))))&gt;0))))</f>
        <v>1</v>
      </c>
      <c r="CC9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Sheet'!$P$8)&amp;"","")="",ISNUMBER(SEARCH($AS$76:$AZ$76,IFERROR(('Final Calculation Sheet'!$P$8)&amp;"","")))))&gt;0))))</f>
        <v>1</v>
      </c>
      <c r="CD9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Sheet'!$Q$8)&amp;"","")="",ISNUMBER(SEARCH($AS$77:$AZ$77,IFERROR(('Final Calculation Sheet'!$Q$8)&amp;"","")))))&gt;0))))</f>
        <v>1</v>
      </c>
      <c r="CE9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Sheet'!$R$8)&amp;"","")="",ISNUMBER(SEARCH($AS$78:$AZ$78,IFERROR(('Final Calculation Sheet'!$R$8)&amp;"","")))))&gt;0))))</f>
        <v>1</v>
      </c>
      <c r="CF9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Sheet'!$S$8)&amp;"","")="",ISNUMBER(SEARCH($AS$79:$AZ$79,IFERROR(('Final Calculation Sheet'!$S$8)&amp;"","")))))&gt;0))))</f>
        <v>1</v>
      </c>
      <c r="CG9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Sheet'!$T$8)&amp;"","")="",ISNUMBER(SEARCH($AS$80:$AZ$80,IFERROR(('Final Calculation Sheet'!$T$8)&amp;"","")))))&gt;0))))</f>
        <v>1</v>
      </c>
      <c r="CH9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Sheet'!$U$8)&amp;"","")="",ISNUMBER(SEARCH($AS$81:$AZ$81,IFERROR(('Final Calculation Sheet'!$U$8)&amp;"","")))))&gt;0))))</f>
        <v>1</v>
      </c>
      <c r="CI9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Sheet'!$V$8)&amp;"","")="",ISNUMBER(SEARCH($AS$82:$AZ$82,IFERROR(('Final Calculation Sheet'!$V$8)&amp;"","")))))&gt;0))))</f>
        <v>1</v>
      </c>
      <c r="CJ9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Sheet'!$W$8)&amp;"","")="",ISNUMBER(SEARCH($AS$83:$AZ$83,IFERROR(('Final Calculation Sheet'!$W$8)&amp;"","")))))&gt;0))))</f>
        <v>1</v>
      </c>
      <c r="CK9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Sheet'!$X$8)&amp;"","")="",ISNUMBER(SEARCH($AS$84:$AZ$84,IFERROR(('Final Calculation Sheet'!$X$8)&amp;"","")))))&gt;0))))</f>
        <v>1</v>
      </c>
      <c r="CL9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Sheet'!$Y$8)&amp;"","")="",ISNUMBER(SEARCH($AS$85:$AZ$85,IFERROR(('Final Calculation Sheet'!$Y$8)&amp;"","")))))&gt;0))))</f>
        <v>1</v>
      </c>
      <c r="CM9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Sheet'!$Z$8)&amp;"","")="",ISNUMBER(SEARCH($AS$86:$AZ$86,IFERROR(('Final Calculation Sheet'!$Z$8)&amp;"","")))))&gt;0))))</f>
        <v>1</v>
      </c>
      <c r="CN9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Sheet'!$AA$8)&amp;"","")="",ISNUMBER(SEARCH($AS$87:$AZ$87,IFERROR(('Final Calculation Sheet'!$AA$8)&amp;"","")))))&gt;0))))</f>
        <v>1</v>
      </c>
      <c r="CO9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Sheet'!$AB$8)&amp;"","")="",ISNUMBER(SEARCH($AS$88:$AZ$88,IFERROR(('Final Calculation Sheet'!$AB$8)&amp;"","")))))&gt;0))))</f>
        <v>1</v>
      </c>
      <c r="CP9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Sheet'!$AC$8)&amp;"","")="",ISNUMBER(SEARCH($AS$89:$AZ$89,IFERROR(('Final Calculation Sheet'!$AC$8)&amp;"","")))))&gt;0))))</f>
        <v>1</v>
      </c>
      <c r="CQ9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Sheet'!$AD$8)&amp;"","")="",ISNUMBER(SEARCH($AS$90:$AZ$90,IFERROR(('Final Calculation Sheet'!$AD$8)&amp;"","")))))&gt;0))))</f>
        <v>1</v>
      </c>
      <c r="CR9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Sheet'!$AE$8)&amp;"","")="",ISNUMBER(SEARCH($AS$91:$AZ$91,IFERROR(('Final Calculation Sheet'!$AE$8)&amp;"","")))))&gt;0))))</f>
        <v>1</v>
      </c>
      <c r="CS9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Sheet'!$AF$8)&amp;"","")="",ISNUMBER(SEARCH($AS$92:$AZ$92,IFERROR(('Final Calculation Sheet'!$AF$8)&amp;"","")))))&gt;0))))</f>
        <v>1</v>
      </c>
      <c r="CT9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Sheet'!$AG$8)&amp;"","")="",ISNUMBER(SEARCH($AS$93:$AZ$93,IFERROR(('Final Calculation Sheet'!$AG$8)&amp;"","")))))&gt;0))))</f>
        <v>1</v>
      </c>
      <c r="CU9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Sheet'!$AD$8&lt;=0,"SETTLED","OUTSTANDING"))&amp;"","")="",ISNUMBER(SEARCH($AS$94:$AZ$94,IFERROR((IF('Final Calculation Sheet'!$AD$8&lt;=0,"SETTLED","OUTSTANDING"))&amp;"","")))))&gt;0))))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0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Sheet'!$F$9)&amp;"","")="",ISNUMBER(SEARCH($AS$61:$AZ$61,IFERROR(('Final Calculation Sheet'!$F$9)&amp;"","")))))&gt;0))))</f>
        <v>1</v>
      </c>
      <c r="BO10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Sheet'!$G$9)&amp;"","")="",ISNUMBER(SEARCH($AS$62:$AZ$62,IFERROR(('Final Calculation Sheet'!$G$9)&amp;"","")))))&gt;0))))</f>
        <v>1</v>
      </c>
      <c r="BP10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Sheet'!$B$9)&amp;"","")="",ISNUMBER(SEARCH($AS$63:$AZ$63,IFERROR(('Final Calculation Sheet'!$B$9)&amp;"","")))))&gt;0))))</f>
        <v>1</v>
      </c>
      <c r="BQ10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Sheet'!$D$9)&amp;"","")="",ISNUMBER(SEARCH($AS$64:$AZ$64,IFERROR(('Final Calculation Sheet'!$D$9)&amp;"","")))))&gt;0))))</f>
        <v>1</v>
      </c>
      <c r="BR10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Sheet'!$A$9)&amp;"","")="",ISNUMBER(SEARCH($AS$65:$AZ$65,IFERROR(('Final Calculation Sheet'!$A$9)&amp;"","")))))&gt;0))))</f>
        <v>1</v>
      </c>
      <c r="BS10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Sheet'!$E$9)&amp;"","")="",ISNUMBER(SEARCH($AS$66:$AZ$66,IFERROR(('Final Calculation Sheet'!$E$9)&amp;"","")))))&gt;0))))</f>
        <v>1</v>
      </c>
      <c r="BT10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Sheet'!$C$9)&amp;"","")="",ISNUMBER(SEARCH($AS$67:$AZ$67,IFERROR(('Final Calculation Sheet'!$C$9)&amp;"","")))))&gt;0))))</f>
        <v>1</v>
      </c>
      <c r="BU10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Sheet'!$H$9)&amp;"","")="",ISNUMBER(SEARCH($AS$68:$AZ$68,IFERROR(('Final Calculation Sheet'!$H$9)&amp;"","")))))&gt;0))))</f>
        <v>1</v>
      </c>
      <c r="BV10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Sheet'!$I$9)&amp;"","")="",ISNUMBER(SEARCH($AS$69:$AZ$69,IFERROR(('Final Calculation Sheet'!$I$9)&amp;"","")))))&gt;0))))</f>
        <v>1</v>
      </c>
      <c r="BW10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Sheet'!$J$9)&amp;"","")="",ISNUMBER(SEARCH($AS$70:$AZ$70,IFERROR(('Final Calculation Sheet'!$J$9)&amp;"","")))))&gt;0))))</f>
        <v>1</v>
      </c>
      <c r="BX10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Sheet'!$K$9)&amp;"","")="",ISNUMBER(SEARCH($AS$71:$AZ$71,IFERROR(('Final Calculation Sheet'!$K$9)&amp;"","")))))&gt;0))))</f>
        <v>1</v>
      </c>
      <c r="BY10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Sheet'!$L$9)&amp;"","")="",ISNUMBER(SEARCH($AS$72:$AZ$72,IFERROR(('Final Calculation Sheet'!$L$9)&amp;"","")))))&gt;0))))</f>
        <v>1</v>
      </c>
      <c r="BZ10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Sheet'!$M$9)&amp;"","")="",ISNUMBER(SEARCH($AS$73:$AZ$73,IFERROR(('Final Calculation Sheet'!$M$9)&amp;"","")))))&gt;0))))</f>
        <v>1</v>
      </c>
      <c r="CA10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Sheet'!$N$9)&amp;"","")="",ISNUMBER(SEARCH($AS$74:$AZ$74,IFERROR(('Final Calculation Sheet'!$N$9)&amp;"","")))))&gt;0))))</f>
        <v>1</v>
      </c>
      <c r="CB10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Sheet'!$O$9)&amp;"","")="",ISNUMBER(SEARCH($AS$75:$AZ$75,IFERROR(('Final Calculation Sheet'!$O$9)&amp;"","")))))&gt;0))))</f>
        <v>1</v>
      </c>
      <c r="CC10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Sheet'!$P$9)&amp;"","")="",ISNUMBER(SEARCH($AS$76:$AZ$76,IFERROR(('Final Calculation Sheet'!$P$9)&amp;"","")))))&gt;0))))</f>
        <v>1</v>
      </c>
      <c r="CD10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Sheet'!$Q$9)&amp;"","")="",ISNUMBER(SEARCH($AS$77:$AZ$77,IFERROR(('Final Calculation Sheet'!$Q$9)&amp;"","")))))&gt;0))))</f>
        <v>1</v>
      </c>
      <c r="CE10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Sheet'!$R$9)&amp;"","")="",ISNUMBER(SEARCH($AS$78:$AZ$78,IFERROR(('Final Calculation Sheet'!$R$9)&amp;"","")))))&gt;0))))</f>
        <v>1</v>
      </c>
      <c r="CF10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Sheet'!$S$9)&amp;"","")="",ISNUMBER(SEARCH($AS$79:$AZ$79,IFERROR(('Final Calculation Sheet'!$S$9)&amp;"","")))))&gt;0))))</f>
        <v>1</v>
      </c>
      <c r="CG10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Sheet'!$T$9)&amp;"","")="",ISNUMBER(SEARCH($AS$80:$AZ$80,IFERROR(('Final Calculation Sheet'!$T$9)&amp;"","")))))&gt;0))))</f>
        <v>1</v>
      </c>
      <c r="CH10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Sheet'!$U$9)&amp;"","")="",ISNUMBER(SEARCH($AS$81:$AZ$81,IFERROR(('Final Calculation Sheet'!$U$9)&amp;"","")))))&gt;0))))</f>
        <v>1</v>
      </c>
      <c r="CI10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Sheet'!$V$9)&amp;"","")="",ISNUMBER(SEARCH($AS$82:$AZ$82,IFERROR(('Final Calculation Sheet'!$V$9)&amp;"","")))))&gt;0))))</f>
        <v>1</v>
      </c>
      <c r="CJ10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Sheet'!$W$9)&amp;"","")="",ISNUMBER(SEARCH($AS$83:$AZ$83,IFERROR(('Final Calculation Sheet'!$W$9)&amp;"","")))))&gt;0))))</f>
        <v>1</v>
      </c>
      <c r="CK10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Sheet'!$X$9)&amp;"","")="",ISNUMBER(SEARCH($AS$84:$AZ$84,IFERROR(('Final Calculation Sheet'!$X$9)&amp;"","")))))&gt;0))))</f>
        <v>1</v>
      </c>
      <c r="CL10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Sheet'!$Y$9)&amp;"","")="",ISNUMBER(SEARCH($AS$85:$AZ$85,IFERROR(('Final Calculation Sheet'!$Y$9)&amp;"","")))))&gt;0))))</f>
        <v>1</v>
      </c>
      <c r="CM10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Sheet'!$Z$9)&amp;"","")="",ISNUMBER(SEARCH($AS$86:$AZ$86,IFERROR(('Final Calculation Sheet'!$Z$9)&amp;"","")))))&gt;0))))</f>
        <v>1</v>
      </c>
      <c r="CN10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Sheet'!$AA$9)&amp;"","")="",ISNUMBER(SEARCH($AS$87:$AZ$87,IFERROR(('Final Calculation Sheet'!$AA$9)&amp;"","")))))&gt;0))))</f>
        <v>1</v>
      </c>
      <c r="CO10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Sheet'!$AB$9)&amp;"","")="",ISNUMBER(SEARCH($AS$88:$AZ$88,IFERROR(('Final Calculation Sheet'!$AB$9)&amp;"","")))))&gt;0))))</f>
        <v>1</v>
      </c>
      <c r="CP10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Sheet'!$AC$9)&amp;"","")="",ISNUMBER(SEARCH($AS$89:$AZ$89,IFERROR(('Final Calculation Sheet'!$AC$9)&amp;"","")))))&gt;0))))</f>
        <v>1</v>
      </c>
      <c r="CQ10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Sheet'!$AD$9)&amp;"","")="",ISNUMBER(SEARCH($AS$90:$AZ$90,IFERROR(('Final Calculation Sheet'!$AD$9)&amp;"","")))))&gt;0))))</f>
        <v>1</v>
      </c>
      <c r="CR10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Sheet'!$AE$9)&amp;"","")="",ISNUMBER(SEARCH($AS$91:$AZ$91,IFERROR(('Final Calculation Sheet'!$AE$9)&amp;"","")))))&gt;0))))</f>
        <v>1</v>
      </c>
      <c r="CS10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Sheet'!$AF$9)&amp;"","")="",ISNUMBER(SEARCH($AS$92:$AZ$92,IFERROR(('Final Calculation Sheet'!$AF$9)&amp;"","")))))&gt;0))))</f>
        <v>1</v>
      </c>
      <c r="CT10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Sheet'!$AG$9)&amp;"","")="",ISNUMBER(SEARCH($AS$93:$AZ$93,IFERROR(('Final Calculation Sheet'!$AG$9)&amp;"","")))))&gt;0))))</f>
        <v>1</v>
      </c>
      <c r="CU10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Sheet'!$AD$9&lt;=0,"SETTLED","OUTSTANDING"))&amp;"","")="",ISNUMBER(SEARCH($AS$94:$AZ$94,IFERROR((IF('Final Calculation Sheet'!$AD$9&lt;=0,"SETTLED","OUTSTANDING"))&amp;"","")))))&gt;0))))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1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Sheet'!$F$10)&amp;"","")="",ISNUMBER(SEARCH($AS$61:$AZ$61,IFERROR(('Final Calculation Sheet'!$F$10)&amp;"","")))))&gt;0))))</f>
        <v>1</v>
      </c>
      <c r="BO11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Sheet'!$G$10)&amp;"","")="",ISNUMBER(SEARCH($AS$62:$AZ$62,IFERROR(('Final Calculation Sheet'!$G$10)&amp;"","")))))&gt;0))))</f>
        <v>1</v>
      </c>
      <c r="BP11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Sheet'!$B$10)&amp;"","")="",ISNUMBER(SEARCH($AS$63:$AZ$63,IFERROR(('Final Calculation Sheet'!$B$10)&amp;"","")))))&gt;0))))</f>
        <v>1</v>
      </c>
      <c r="BQ11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Sheet'!$D$10)&amp;"","")="",ISNUMBER(SEARCH($AS$64:$AZ$64,IFERROR(('Final Calculation Sheet'!$D$10)&amp;"","")))))&gt;0))))</f>
        <v>1</v>
      </c>
      <c r="BR11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Sheet'!$A$10)&amp;"","")="",ISNUMBER(SEARCH($AS$65:$AZ$65,IFERROR(('Final Calculation Sheet'!$A$10)&amp;"","")))))&gt;0))))</f>
        <v>1</v>
      </c>
      <c r="BS11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Sheet'!$E$10)&amp;"","")="",ISNUMBER(SEARCH($AS$66:$AZ$66,IFERROR(('Final Calculation Sheet'!$E$10)&amp;"","")))))&gt;0))))</f>
        <v>1</v>
      </c>
      <c r="BT11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Sheet'!$C$10)&amp;"","")="",ISNUMBER(SEARCH($AS$67:$AZ$67,IFERROR(('Final Calculation Sheet'!$C$10)&amp;"","")))))&gt;0))))</f>
        <v>1</v>
      </c>
      <c r="BU11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Sheet'!$H$10)&amp;"","")="",ISNUMBER(SEARCH($AS$68:$AZ$68,IFERROR(('Final Calculation Sheet'!$H$10)&amp;"","")))))&gt;0))))</f>
        <v>1</v>
      </c>
      <c r="BV11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Sheet'!$I$10)&amp;"","")="",ISNUMBER(SEARCH($AS$69:$AZ$69,IFERROR(('Final Calculation Sheet'!$I$10)&amp;"","")))))&gt;0))))</f>
        <v>1</v>
      </c>
      <c r="BW11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Sheet'!$J$10)&amp;"","")="",ISNUMBER(SEARCH($AS$70:$AZ$70,IFERROR(('Final Calculation Sheet'!$J$10)&amp;"","")))))&gt;0))))</f>
        <v>1</v>
      </c>
      <c r="BX11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Sheet'!$K$10)&amp;"","")="",ISNUMBER(SEARCH($AS$71:$AZ$71,IFERROR(('Final Calculation Sheet'!$K$10)&amp;"","")))))&gt;0))))</f>
        <v>1</v>
      </c>
      <c r="BY11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Sheet'!$L$10)&amp;"","")="",ISNUMBER(SEARCH($AS$72:$AZ$72,IFERROR(('Final Calculation Sheet'!$L$10)&amp;"","")))))&gt;0))))</f>
        <v>1</v>
      </c>
      <c r="BZ11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Sheet'!$M$10)&amp;"","")="",ISNUMBER(SEARCH($AS$73:$AZ$73,IFERROR(('Final Calculation Sheet'!$M$10)&amp;"","")))))&gt;0))))</f>
        <v>1</v>
      </c>
      <c r="CA11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Sheet'!$N$10)&amp;"","")="",ISNUMBER(SEARCH($AS$74:$AZ$74,IFERROR(('Final Calculation Sheet'!$N$10)&amp;"","")))))&gt;0))))</f>
        <v>1</v>
      </c>
      <c r="CB11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Sheet'!$O$10)&amp;"","")="",ISNUMBER(SEARCH($AS$75:$AZ$75,IFERROR(('Final Calculation Sheet'!$O$10)&amp;"","")))))&gt;0))))</f>
        <v>1</v>
      </c>
      <c r="CC11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Sheet'!$P$10)&amp;"","")="",ISNUMBER(SEARCH($AS$76:$AZ$76,IFERROR(('Final Calculation Sheet'!$P$10)&amp;"","")))))&gt;0))))</f>
        <v>1</v>
      </c>
      <c r="CD11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Sheet'!$Q$10)&amp;"","")="",ISNUMBER(SEARCH($AS$77:$AZ$77,IFERROR(('Final Calculation Sheet'!$Q$10)&amp;"","")))))&gt;0))))</f>
        <v>1</v>
      </c>
      <c r="CE11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Sheet'!$R$10)&amp;"","")="",ISNUMBER(SEARCH($AS$78:$AZ$78,IFERROR(('Final Calculation Sheet'!$R$10)&amp;"","")))))&gt;0))))</f>
        <v>1</v>
      </c>
      <c r="CF11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Sheet'!$S$10)&amp;"","")="",ISNUMBER(SEARCH($AS$79:$AZ$79,IFERROR(('Final Calculation Sheet'!$S$10)&amp;"","")))))&gt;0))))</f>
        <v>1</v>
      </c>
      <c r="CG11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Sheet'!$T$10)&amp;"","")="",ISNUMBER(SEARCH($AS$80:$AZ$80,IFERROR(('Final Calculation Sheet'!$T$10)&amp;"","")))))&gt;0))))</f>
        <v>1</v>
      </c>
      <c r="CH11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Sheet'!$U$10)&amp;"","")="",ISNUMBER(SEARCH($AS$81:$AZ$81,IFERROR(('Final Calculation Sheet'!$U$10)&amp;"","")))))&gt;0))))</f>
        <v>1</v>
      </c>
      <c r="CI11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Sheet'!$V$10)&amp;"","")="",ISNUMBER(SEARCH($AS$82:$AZ$82,IFERROR(('Final Calculation Sheet'!$V$10)&amp;"","")))))&gt;0))))</f>
        <v>1</v>
      </c>
      <c r="CJ11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Sheet'!$W$10)&amp;"","")="",ISNUMBER(SEARCH($AS$83:$AZ$83,IFERROR(('Final Calculation Sheet'!$W$10)&amp;"","")))))&gt;0))))</f>
        <v>1</v>
      </c>
      <c r="CK11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Sheet'!$X$10)&amp;"","")="",ISNUMBER(SEARCH($AS$84:$AZ$84,IFERROR(('Final Calculation Sheet'!$X$10)&amp;"","")))))&gt;0))))</f>
        <v>1</v>
      </c>
      <c r="CL11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Sheet'!$Y$10)&amp;"","")="",ISNUMBER(SEARCH($AS$85:$AZ$85,IFERROR(('Final Calculation Sheet'!$Y$10)&amp;"","")))))&gt;0))))</f>
        <v>1</v>
      </c>
      <c r="CM11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Sheet'!$Z$10)&amp;"","")="",ISNUMBER(SEARCH($AS$86:$AZ$86,IFERROR(('Final Calculation Sheet'!$Z$10)&amp;"","")))))&gt;0))))</f>
        <v>1</v>
      </c>
      <c r="CN11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Sheet'!$AA$10)&amp;"","")="",ISNUMBER(SEARCH($AS$87:$AZ$87,IFERROR(('Final Calculation Sheet'!$AA$10)&amp;"","")))))&gt;0))))</f>
        <v>1</v>
      </c>
      <c r="CO11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Sheet'!$AB$10)&amp;"","")="",ISNUMBER(SEARCH($AS$88:$AZ$88,IFERROR(('Final Calculation Sheet'!$AB$10)&amp;"","")))))&gt;0))))</f>
        <v>1</v>
      </c>
      <c r="CP11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Sheet'!$AC$10)&amp;"","")="",ISNUMBER(SEARCH($AS$89:$AZ$89,IFERROR(('Final Calculation Sheet'!$AC$10)&amp;"","")))))&gt;0))))</f>
        <v>1</v>
      </c>
      <c r="CQ11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Sheet'!$AD$10)&amp;"","")="",ISNUMBER(SEARCH($AS$90:$AZ$90,IFERROR(('Final Calculation Sheet'!$AD$10)&amp;"","")))))&gt;0))))</f>
        <v>1</v>
      </c>
      <c r="CR11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Sheet'!$AE$10)&amp;"","")="",ISNUMBER(SEARCH($AS$91:$AZ$91,IFERROR(('Final Calculation Sheet'!$AE$10)&amp;"","")))))&gt;0))))</f>
        <v>1</v>
      </c>
      <c r="CS11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Sheet'!$AF$10)&amp;"","")="",ISNUMBER(SEARCH($AS$92:$AZ$92,IFERROR(('Final Calculation Sheet'!$AF$10)&amp;"","")))))&gt;0))))</f>
        <v>1</v>
      </c>
      <c r="CT11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Sheet'!$AG$10)&amp;"","")="",ISNUMBER(SEARCH($AS$93:$AZ$93,IFERROR(('Final Calculation Sheet'!$AG$10)&amp;"","")))))&gt;0))))</f>
        <v>1</v>
      </c>
      <c r="CU11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Sheet'!$AD$10&lt;=0,"SETTLED","OUTSTANDING"))&amp;"","")="",ISNUMBER(SEARCH($AS$94:$AZ$94,IFERROR((IF('Final Calculation Sheet'!$AD$10&lt;=0,"SETTLED","OUTSTANDING"))&amp;"","")))))&gt;0))))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2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Sheet'!$F$11)&amp;"","")="",ISNUMBER(SEARCH($AS$61:$AZ$61,IFERROR(('Final Calculation Sheet'!$F$11)&amp;"","")))))&gt;0))))</f>
        <v>1</v>
      </c>
      <c r="BO12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Sheet'!$G$11)&amp;"","")="",ISNUMBER(SEARCH($AS$62:$AZ$62,IFERROR(('Final Calculation Sheet'!$G$11)&amp;"","")))))&gt;0))))</f>
        <v>1</v>
      </c>
      <c r="BP12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Sheet'!$B$11)&amp;"","")="",ISNUMBER(SEARCH($AS$63:$AZ$63,IFERROR(('Final Calculation Sheet'!$B$11)&amp;"","")))))&gt;0))))</f>
        <v>1</v>
      </c>
      <c r="BQ12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Sheet'!$D$11)&amp;"","")="",ISNUMBER(SEARCH($AS$64:$AZ$64,IFERROR(('Final Calculation Sheet'!$D$11)&amp;"","")))))&gt;0))))</f>
        <v>1</v>
      </c>
      <c r="BR12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Sheet'!$A$11)&amp;"","")="",ISNUMBER(SEARCH($AS$65:$AZ$65,IFERROR(('Final Calculation Sheet'!$A$11)&amp;"","")))))&gt;0))))</f>
        <v>1</v>
      </c>
      <c r="BS12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Sheet'!$E$11)&amp;"","")="",ISNUMBER(SEARCH($AS$66:$AZ$66,IFERROR(('Final Calculation Sheet'!$E$11)&amp;"","")))))&gt;0))))</f>
        <v>1</v>
      </c>
      <c r="BT12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Sheet'!$C$11)&amp;"","")="",ISNUMBER(SEARCH($AS$67:$AZ$67,IFERROR(('Final Calculation Sheet'!$C$11)&amp;"","")))))&gt;0))))</f>
        <v>1</v>
      </c>
      <c r="BU12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Sheet'!$H$11)&amp;"","")="",ISNUMBER(SEARCH($AS$68:$AZ$68,IFERROR(('Final Calculation Sheet'!$H$11)&amp;"","")))))&gt;0))))</f>
        <v>1</v>
      </c>
      <c r="BV12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Sheet'!$I$11)&amp;"","")="",ISNUMBER(SEARCH($AS$69:$AZ$69,IFERROR(('Final Calculation Sheet'!$I$11)&amp;"","")))))&gt;0))))</f>
        <v>1</v>
      </c>
      <c r="BW12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Sheet'!$J$11)&amp;"","")="",ISNUMBER(SEARCH($AS$70:$AZ$70,IFERROR(('Final Calculation Sheet'!$J$11)&amp;"","")))))&gt;0))))</f>
        <v>1</v>
      </c>
      <c r="BX12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Sheet'!$K$11)&amp;"","")="",ISNUMBER(SEARCH($AS$71:$AZ$71,IFERROR(('Final Calculation Sheet'!$K$11)&amp;"","")))))&gt;0))))</f>
        <v>1</v>
      </c>
      <c r="BY12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Sheet'!$L$11)&amp;"","")="",ISNUMBER(SEARCH($AS$72:$AZ$72,IFERROR(('Final Calculation Sheet'!$L$11)&amp;"","")))))&gt;0))))</f>
        <v>1</v>
      </c>
      <c r="BZ12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Sheet'!$M$11)&amp;"","")="",ISNUMBER(SEARCH($AS$73:$AZ$73,IFERROR(('Final Calculation Sheet'!$M$11)&amp;"","")))))&gt;0))))</f>
        <v>1</v>
      </c>
      <c r="CA12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Sheet'!$N$11)&amp;"","")="",ISNUMBER(SEARCH($AS$74:$AZ$74,IFERROR(('Final Calculation Sheet'!$N$11)&amp;"","")))))&gt;0))))</f>
        <v>1</v>
      </c>
      <c r="CB12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Sheet'!$O$11)&amp;"","")="",ISNUMBER(SEARCH($AS$75:$AZ$75,IFERROR(('Final Calculation Sheet'!$O$11)&amp;"","")))))&gt;0))))</f>
        <v>1</v>
      </c>
      <c r="CC12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Sheet'!$P$11)&amp;"","")="",ISNUMBER(SEARCH($AS$76:$AZ$76,IFERROR(('Final Calculation Sheet'!$P$11)&amp;"","")))))&gt;0))))</f>
        <v>1</v>
      </c>
      <c r="CD12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Sheet'!$Q$11)&amp;"","")="",ISNUMBER(SEARCH($AS$77:$AZ$77,IFERROR(('Final Calculation Sheet'!$Q$11)&amp;"","")))))&gt;0))))</f>
        <v>1</v>
      </c>
      <c r="CE12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Sheet'!$R$11)&amp;"","")="",ISNUMBER(SEARCH($AS$78:$AZ$78,IFERROR(('Final Calculation Sheet'!$R$11)&amp;"","")))))&gt;0))))</f>
        <v>1</v>
      </c>
      <c r="CF12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Sheet'!$S$11)&amp;"","")="",ISNUMBER(SEARCH($AS$79:$AZ$79,IFERROR(('Final Calculation Sheet'!$S$11)&amp;"","")))))&gt;0))))</f>
        <v>1</v>
      </c>
      <c r="CG12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Sheet'!$T$11)&amp;"","")="",ISNUMBER(SEARCH($AS$80:$AZ$80,IFERROR(('Final Calculation Sheet'!$T$11)&amp;"","")))))&gt;0))))</f>
        <v>1</v>
      </c>
      <c r="CH12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Sheet'!$U$11)&amp;"","")="",ISNUMBER(SEARCH($AS$81:$AZ$81,IFERROR(('Final Calculation Sheet'!$U$11)&amp;"","")))))&gt;0))))</f>
        <v>1</v>
      </c>
      <c r="CI12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Sheet'!$V$11)&amp;"","")="",ISNUMBER(SEARCH($AS$82:$AZ$82,IFERROR(('Final Calculation Sheet'!$V$11)&amp;"","")))))&gt;0))))</f>
        <v>1</v>
      </c>
      <c r="CJ12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Sheet'!$W$11)&amp;"","")="",ISNUMBER(SEARCH($AS$83:$AZ$83,IFERROR(('Final Calculation Sheet'!$W$11)&amp;"","")))))&gt;0))))</f>
        <v>1</v>
      </c>
      <c r="CK12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Sheet'!$X$11)&amp;"","")="",ISNUMBER(SEARCH($AS$84:$AZ$84,IFERROR(('Final Calculation Sheet'!$X$11)&amp;"","")))))&gt;0))))</f>
        <v>1</v>
      </c>
      <c r="CL12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Sheet'!$Y$11)&amp;"","")="",ISNUMBER(SEARCH($AS$85:$AZ$85,IFERROR(('Final Calculation Sheet'!$Y$11)&amp;"","")))))&gt;0))))</f>
        <v>1</v>
      </c>
      <c r="CM12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Sheet'!$Z$11)&amp;"","")="",ISNUMBER(SEARCH($AS$86:$AZ$86,IFERROR(('Final Calculation Sheet'!$Z$11)&amp;"","")))))&gt;0))))</f>
        <v>1</v>
      </c>
      <c r="CN12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Sheet'!$AA$11)&amp;"","")="",ISNUMBER(SEARCH($AS$87:$AZ$87,IFERROR(('Final Calculation Sheet'!$AA$11)&amp;"","")))))&gt;0))))</f>
        <v>1</v>
      </c>
      <c r="CO12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Sheet'!$AB$11)&amp;"","")="",ISNUMBER(SEARCH($AS$88:$AZ$88,IFERROR(('Final Calculation Sheet'!$AB$11)&amp;"","")))))&gt;0))))</f>
        <v>1</v>
      </c>
      <c r="CP12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Sheet'!$AC$11)&amp;"","")="",ISNUMBER(SEARCH($AS$89:$AZ$89,IFERROR(('Final Calculation Sheet'!$AC$11)&amp;"","")))))&gt;0))))</f>
        <v>1</v>
      </c>
      <c r="CQ12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Sheet'!$AD$11)&amp;"","")="",ISNUMBER(SEARCH($AS$90:$AZ$90,IFERROR(('Final Calculation Sheet'!$AD$11)&amp;"","")))))&gt;0))))</f>
        <v>1</v>
      </c>
      <c r="CR12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Sheet'!$AE$11)&amp;"","")="",ISNUMBER(SEARCH($AS$91:$AZ$91,IFERROR(('Final Calculation Sheet'!$AE$11)&amp;"","")))))&gt;0))))</f>
        <v>1</v>
      </c>
      <c r="CS12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Sheet'!$AF$11)&amp;"","")="",ISNUMBER(SEARCH($AS$92:$AZ$92,IFERROR(('Final Calculation Sheet'!$AF$11)&amp;"","")))))&gt;0))))</f>
        <v>1</v>
      </c>
      <c r="CT12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Sheet'!$AG$11)&amp;"","")="",ISNUMBER(SEARCH($AS$93:$AZ$93,IFERROR(('Final Calculation Sheet'!$AG$11)&amp;"","")))))&gt;0))))</f>
        <v>1</v>
      </c>
      <c r="CU12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Sheet'!$AD$11&lt;=0,"SETTLED","OUTSTANDING"))&amp;"","")="",ISNUMBER(SEARCH($AS$94:$AZ$94,IFERROR((IF('Final Calculation Sheet'!$AD$11&lt;=0,"SETTLED","OUTSTANDING"))&amp;"","")))))&gt;0))))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3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Sheet'!$F$12)&amp;"","")="",ISNUMBER(SEARCH($AS$61:$AZ$61,IFERROR(('Final Calculation Sheet'!$F$12)&amp;"","")))))&gt;0))))</f>
        <v>1</v>
      </c>
      <c r="BO13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Sheet'!$G$12)&amp;"","")="",ISNUMBER(SEARCH($AS$62:$AZ$62,IFERROR(('Final Calculation Sheet'!$G$12)&amp;"","")))))&gt;0))))</f>
        <v>1</v>
      </c>
      <c r="BP13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Sheet'!$B$12)&amp;"","")="",ISNUMBER(SEARCH($AS$63:$AZ$63,IFERROR(('Final Calculation Sheet'!$B$12)&amp;"","")))))&gt;0))))</f>
        <v>1</v>
      </c>
      <c r="BQ13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Sheet'!$D$12)&amp;"","")="",ISNUMBER(SEARCH($AS$64:$AZ$64,IFERROR(('Final Calculation Sheet'!$D$12)&amp;"","")))))&gt;0))))</f>
        <v>1</v>
      </c>
      <c r="BR13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Sheet'!$A$12)&amp;"","")="",ISNUMBER(SEARCH($AS$65:$AZ$65,IFERROR(('Final Calculation Sheet'!$A$12)&amp;"","")))))&gt;0))))</f>
        <v>1</v>
      </c>
      <c r="BS13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Sheet'!$E$12)&amp;"","")="",ISNUMBER(SEARCH($AS$66:$AZ$66,IFERROR(('Final Calculation Sheet'!$E$12)&amp;"","")))))&gt;0))))</f>
        <v>1</v>
      </c>
      <c r="BT13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Sheet'!$C$12)&amp;"","")="",ISNUMBER(SEARCH($AS$67:$AZ$67,IFERROR(('Final Calculation Sheet'!$C$12)&amp;"","")))))&gt;0))))</f>
        <v>1</v>
      </c>
      <c r="BU13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Sheet'!$H$12)&amp;"","")="",ISNUMBER(SEARCH($AS$68:$AZ$68,IFERROR(('Final Calculation Sheet'!$H$12)&amp;"","")))))&gt;0))))</f>
        <v>1</v>
      </c>
      <c r="BV13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Sheet'!$I$12)&amp;"","")="",ISNUMBER(SEARCH($AS$69:$AZ$69,IFERROR(('Final Calculation Sheet'!$I$12)&amp;"","")))))&gt;0))))</f>
        <v>1</v>
      </c>
      <c r="BW13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Sheet'!$J$12)&amp;"","")="",ISNUMBER(SEARCH($AS$70:$AZ$70,IFERROR(('Final Calculation Sheet'!$J$12)&amp;"","")))))&gt;0))))</f>
        <v>1</v>
      </c>
      <c r="BX13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Sheet'!$K$12)&amp;"","")="",ISNUMBER(SEARCH($AS$71:$AZ$71,IFERROR(('Final Calculation Sheet'!$K$12)&amp;"","")))))&gt;0))))</f>
        <v>1</v>
      </c>
      <c r="BY13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Sheet'!$L$12)&amp;"","")="",ISNUMBER(SEARCH($AS$72:$AZ$72,IFERROR(('Final Calculation Sheet'!$L$12)&amp;"","")))))&gt;0))))</f>
        <v>1</v>
      </c>
      <c r="BZ13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Sheet'!$M$12)&amp;"","")="",ISNUMBER(SEARCH($AS$73:$AZ$73,IFERROR(('Final Calculation Sheet'!$M$12)&amp;"","")))))&gt;0))))</f>
        <v>1</v>
      </c>
      <c r="CA13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Sheet'!$N$12)&amp;"","")="",ISNUMBER(SEARCH($AS$74:$AZ$74,IFERROR(('Final Calculation Sheet'!$N$12)&amp;"","")))))&gt;0))))</f>
        <v>1</v>
      </c>
      <c r="CB13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Sheet'!$O$12)&amp;"","")="",ISNUMBER(SEARCH($AS$75:$AZ$75,IFERROR(('Final Calculation Sheet'!$O$12)&amp;"","")))))&gt;0))))</f>
        <v>1</v>
      </c>
      <c r="CC13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Sheet'!$P$12)&amp;"","")="",ISNUMBER(SEARCH($AS$76:$AZ$76,IFERROR(('Final Calculation Sheet'!$P$12)&amp;"","")))))&gt;0))))</f>
        <v>1</v>
      </c>
      <c r="CD13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Sheet'!$Q$12)&amp;"","")="",ISNUMBER(SEARCH($AS$77:$AZ$77,IFERROR(('Final Calculation Sheet'!$Q$12)&amp;"","")))))&gt;0))))</f>
        <v>1</v>
      </c>
      <c r="CE13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Sheet'!$R$12)&amp;"","")="",ISNUMBER(SEARCH($AS$78:$AZ$78,IFERROR(('Final Calculation Sheet'!$R$12)&amp;"","")))))&gt;0))))</f>
        <v>1</v>
      </c>
      <c r="CF13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Sheet'!$S$12)&amp;"","")="",ISNUMBER(SEARCH($AS$79:$AZ$79,IFERROR(('Final Calculation Sheet'!$S$12)&amp;"","")))))&gt;0))))</f>
        <v>1</v>
      </c>
      <c r="CG13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Sheet'!$T$12)&amp;"","")="",ISNUMBER(SEARCH($AS$80:$AZ$80,IFERROR(('Final Calculation Sheet'!$T$12)&amp;"","")))))&gt;0))))</f>
        <v>1</v>
      </c>
      <c r="CH13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Sheet'!$U$12)&amp;"","")="",ISNUMBER(SEARCH($AS$81:$AZ$81,IFERROR(('Final Calculation Sheet'!$U$12)&amp;"","")))))&gt;0))))</f>
        <v>1</v>
      </c>
      <c r="CI13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Sheet'!$V$12)&amp;"","")="",ISNUMBER(SEARCH($AS$82:$AZ$82,IFERROR(('Final Calculation Sheet'!$V$12)&amp;"","")))))&gt;0))))</f>
        <v>1</v>
      </c>
      <c r="CJ13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Sheet'!$W$12)&amp;"","")="",ISNUMBER(SEARCH($AS$83:$AZ$83,IFERROR(('Final Calculation Sheet'!$W$12)&amp;"","")))))&gt;0))))</f>
        <v>1</v>
      </c>
      <c r="CK13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Sheet'!$X$12)&amp;"","")="",ISNUMBER(SEARCH($AS$84:$AZ$84,IFERROR(('Final Calculation Sheet'!$X$12)&amp;"","")))))&gt;0))))</f>
        <v>1</v>
      </c>
      <c r="CL13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Sheet'!$Y$12)&amp;"","")="",ISNUMBER(SEARCH($AS$85:$AZ$85,IFERROR(('Final Calculation Sheet'!$Y$12)&amp;"","")))))&gt;0))))</f>
        <v>1</v>
      </c>
      <c r="CM13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Sheet'!$Z$12)&amp;"","")="",ISNUMBER(SEARCH($AS$86:$AZ$86,IFERROR(('Final Calculation Sheet'!$Z$12)&amp;"","")))))&gt;0))))</f>
        <v>1</v>
      </c>
      <c r="CN13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Sheet'!$AA$12)&amp;"","")="",ISNUMBER(SEARCH($AS$87:$AZ$87,IFERROR(('Final Calculation Sheet'!$AA$12)&amp;"","")))))&gt;0))))</f>
        <v>1</v>
      </c>
      <c r="CO13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Sheet'!$AB$12)&amp;"","")="",ISNUMBER(SEARCH($AS$88:$AZ$88,IFERROR(('Final Calculation Sheet'!$AB$12)&amp;"","")))))&gt;0))))</f>
        <v>1</v>
      </c>
      <c r="CP13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Sheet'!$AC$12)&amp;"","")="",ISNUMBER(SEARCH($AS$89:$AZ$89,IFERROR(('Final Calculation Sheet'!$AC$12)&amp;"","")))))&gt;0))))</f>
        <v>1</v>
      </c>
      <c r="CQ13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Sheet'!$AD$12)&amp;"","")="",ISNUMBER(SEARCH($AS$90:$AZ$90,IFERROR(('Final Calculation Sheet'!$AD$12)&amp;"","")))))&gt;0))))</f>
        <v>1</v>
      </c>
      <c r="CR13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Sheet'!$AE$12)&amp;"","")="",ISNUMBER(SEARCH($AS$91:$AZ$91,IFERROR(('Final Calculation Sheet'!$AE$12)&amp;"","")))))&gt;0))))</f>
        <v>1</v>
      </c>
      <c r="CS13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Sheet'!$AF$12)&amp;"","")="",ISNUMBER(SEARCH($AS$92:$AZ$92,IFERROR(('Final Calculation Sheet'!$AF$12)&amp;"","")))))&gt;0))))</f>
        <v>1</v>
      </c>
      <c r="CT13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Sheet'!$AG$12)&amp;"","")="",ISNUMBER(SEARCH($AS$93:$AZ$93,IFERROR(('Final Calculation Sheet'!$AG$12)&amp;"","")))))&gt;0))))</f>
        <v>1</v>
      </c>
      <c r="CU13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Sheet'!$AD$12&lt;=0,"SETTLED","OUTSTANDING"))&amp;"","")="",ISNUMBER(SEARCH($AS$94:$AZ$94,IFERROR((IF('Final Calculation Sheet'!$AD$12&lt;=0,"SETTLED","OUTSTANDING"))&amp;"","")))))&gt;0))))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4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Sheet'!$F$13)&amp;"","")="",ISNUMBER(SEARCH($AS$61:$AZ$61,IFERROR(('Final Calculation Sheet'!$F$13)&amp;"","")))))&gt;0))))</f>
        <v>1</v>
      </c>
      <c r="BO14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Sheet'!$G$13)&amp;"","")="",ISNUMBER(SEARCH($AS$62:$AZ$62,IFERROR(('Final Calculation Sheet'!$G$13)&amp;"","")))))&gt;0))))</f>
        <v>1</v>
      </c>
      <c r="BP14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Sheet'!$B$13)&amp;"","")="",ISNUMBER(SEARCH($AS$63:$AZ$63,IFERROR(('Final Calculation Sheet'!$B$13)&amp;"","")))))&gt;0))))</f>
        <v>1</v>
      </c>
      <c r="BQ14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Sheet'!$D$13)&amp;"","")="",ISNUMBER(SEARCH($AS$64:$AZ$64,IFERROR(('Final Calculation Sheet'!$D$13)&amp;"","")))))&gt;0))))</f>
        <v>1</v>
      </c>
      <c r="BR14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Sheet'!$A$13)&amp;"","")="",ISNUMBER(SEARCH($AS$65:$AZ$65,IFERROR(('Final Calculation Sheet'!$A$13)&amp;"","")))))&gt;0))))</f>
        <v>1</v>
      </c>
      <c r="BS14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Sheet'!$E$13)&amp;"","")="",ISNUMBER(SEARCH($AS$66:$AZ$66,IFERROR(('Final Calculation Sheet'!$E$13)&amp;"","")))))&gt;0))))</f>
        <v>1</v>
      </c>
      <c r="BT14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Sheet'!$C$13)&amp;"","")="",ISNUMBER(SEARCH($AS$67:$AZ$67,IFERROR(('Final Calculation Sheet'!$C$13)&amp;"","")))))&gt;0))))</f>
        <v>1</v>
      </c>
      <c r="BU14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Sheet'!$H$13)&amp;"","")="",ISNUMBER(SEARCH($AS$68:$AZ$68,IFERROR(('Final Calculation Sheet'!$H$13)&amp;"","")))))&gt;0))))</f>
        <v>1</v>
      </c>
      <c r="BV14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Sheet'!$I$13)&amp;"","")="",ISNUMBER(SEARCH($AS$69:$AZ$69,IFERROR(('Final Calculation Sheet'!$I$13)&amp;"","")))))&gt;0))))</f>
        <v>1</v>
      </c>
      <c r="BW14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Sheet'!$J$13)&amp;"","")="",ISNUMBER(SEARCH($AS$70:$AZ$70,IFERROR(('Final Calculation Sheet'!$J$13)&amp;"","")))))&gt;0))))</f>
        <v>1</v>
      </c>
      <c r="BX14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Sheet'!$K$13)&amp;"","")="",ISNUMBER(SEARCH($AS$71:$AZ$71,IFERROR(('Final Calculation Sheet'!$K$13)&amp;"","")))))&gt;0))))</f>
        <v>1</v>
      </c>
      <c r="BY14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Sheet'!$L$13)&amp;"","")="",ISNUMBER(SEARCH($AS$72:$AZ$72,IFERROR(('Final Calculation Sheet'!$L$13)&amp;"","")))))&gt;0))))</f>
        <v>1</v>
      </c>
      <c r="BZ14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Sheet'!$M$13)&amp;"","")="",ISNUMBER(SEARCH($AS$73:$AZ$73,IFERROR(('Final Calculation Sheet'!$M$13)&amp;"","")))))&gt;0))))</f>
        <v>1</v>
      </c>
      <c r="CA14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Sheet'!$N$13)&amp;"","")="",ISNUMBER(SEARCH($AS$74:$AZ$74,IFERROR(('Final Calculation Sheet'!$N$13)&amp;"","")))))&gt;0))))</f>
        <v>1</v>
      </c>
      <c r="CB14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Sheet'!$O$13)&amp;"","")="",ISNUMBER(SEARCH($AS$75:$AZ$75,IFERROR(('Final Calculation Sheet'!$O$13)&amp;"","")))))&gt;0))))</f>
        <v>1</v>
      </c>
      <c r="CC14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Sheet'!$P$13)&amp;"","")="",ISNUMBER(SEARCH($AS$76:$AZ$76,IFERROR(('Final Calculation Sheet'!$P$13)&amp;"","")))))&gt;0))))</f>
        <v>1</v>
      </c>
      <c r="CD14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Sheet'!$Q$13)&amp;"","")="",ISNUMBER(SEARCH($AS$77:$AZ$77,IFERROR(('Final Calculation Sheet'!$Q$13)&amp;"","")))))&gt;0))))</f>
        <v>1</v>
      </c>
      <c r="CE14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Sheet'!$R$13)&amp;"","")="",ISNUMBER(SEARCH($AS$78:$AZ$78,IFERROR(('Final Calculation Sheet'!$R$13)&amp;"","")))))&gt;0))))</f>
        <v>1</v>
      </c>
      <c r="CF14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Sheet'!$S$13)&amp;"","")="",ISNUMBER(SEARCH($AS$79:$AZ$79,IFERROR(('Final Calculation Sheet'!$S$13)&amp;"","")))))&gt;0))))</f>
        <v>1</v>
      </c>
      <c r="CG14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Sheet'!$T$13)&amp;"","")="",ISNUMBER(SEARCH($AS$80:$AZ$80,IFERROR(('Final Calculation Sheet'!$T$13)&amp;"","")))))&gt;0))))</f>
        <v>1</v>
      </c>
      <c r="CH14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Sheet'!$U$13)&amp;"","")="",ISNUMBER(SEARCH($AS$81:$AZ$81,IFERROR(('Final Calculation Sheet'!$U$13)&amp;"","")))))&gt;0))))</f>
        <v>1</v>
      </c>
      <c r="CI14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Sheet'!$V$13)&amp;"","")="",ISNUMBER(SEARCH($AS$82:$AZ$82,IFERROR(('Final Calculation Sheet'!$V$13)&amp;"","")))))&gt;0))))</f>
        <v>1</v>
      </c>
      <c r="CJ14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Sheet'!$W$13)&amp;"","")="",ISNUMBER(SEARCH($AS$83:$AZ$83,IFERROR(('Final Calculation Sheet'!$W$13)&amp;"","")))))&gt;0))))</f>
        <v>1</v>
      </c>
      <c r="CK14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Sheet'!$X$13)&amp;"","")="",ISNUMBER(SEARCH($AS$84:$AZ$84,IFERROR(('Final Calculation Sheet'!$X$13)&amp;"","")))))&gt;0))))</f>
        <v>1</v>
      </c>
      <c r="CL14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Sheet'!$Y$13)&amp;"","")="",ISNUMBER(SEARCH($AS$85:$AZ$85,IFERROR(('Final Calculation Sheet'!$Y$13)&amp;"","")))))&gt;0))))</f>
        <v>1</v>
      </c>
      <c r="CM14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Sheet'!$Z$13)&amp;"","")="",ISNUMBER(SEARCH($AS$86:$AZ$86,IFERROR(('Final Calculation Sheet'!$Z$13)&amp;"","")))))&gt;0))))</f>
        <v>1</v>
      </c>
      <c r="CN14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Sheet'!$AA$13)&amp;"","")="",ISNUMBER(SEARCH($AS$87:$AZ$87,IFERROR(('Final Calculation Sheet'!$AA$13)&amp;"","")))))&gt;0))))</f>
        <v>1</v>
      </c>
      <c r="CO14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Sheet'!$AB$13)&amp;"","")="",ISNUMBER(SEARCH($AS$88:$AZ$88,IFERROR(('Final Calculation Sheet'!$AB$13)&amp;"","")))))&gt;0))))</f>
        <v>1</v>
      </c>
      <c r="CP14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Sheet'!$AC$13)&amp;"","")="",ISNUMBER(SEARCH($AS$89:$AZ$89,IFERROR(('Final Calculation Sheet'!$AC$13)&amp;"","")))))&gt;0))))</f>
        <v>1</v>
      </c>
      <c r="CQ14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Sheet'!$AD$13)&amp;"","")="",ISNUMBER(SEARCH($AS$90:$AZ$90,IFERROR(('Final Calculation Sheet'!$AD$13)&amp;"","")))))&gt;0))))</f>
        <v>1</v>
      </c>
      <c r="CR14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Sheet'!$AE$13)&amp;"","")="",ISNUMBER(SEARCH($AS$91:$AZ$91,IFERROR(('Final Calculation Sheet'!$AE$13)&amp;"","")))))&gt;0))))</f>
        <v>1</v>
      </c>
      <c r="CS14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Sheet'!$AF$13)&amp;"","")="",ISNUMBER(SEARCH($AS$92:$AZ$92,IFERROR(('Final Calculation Sheet'!$AF$13)&amp;"","")))))&gt;0))))</f>
        <v>1</v>
      </c>
      <c r="CT14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Sheet'!$AG$13)&amp;"","")="",ISNUMBER(SEARCH($AS$93:$AZ$93,IFERROR(('Final Calculation Sheet'!$AG$13)&amp;"","")))))&gt;0))))</f>
        <v>1</v>
      </c>
      <c r="CU14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Sheet'!$AD$13&lt;=0,"SETTLED","OUTSTANDING"))&amp;"","")="",ISNUMBER(SEARCH($AS$94:$AZ$94,IFERROR((IF('Final Calculation Sheet'!$AD$13&lt;=0,"SETTLED","OUTSTANDING"))&amp;"","")))))&gt;0))))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5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Sheet'!$F$14)&amp;"","")="",ISNUMBER(SEARCH($AS$61:$AZ$61,IFERROR(('Final Calculation Sheet'!$F$14)&amp;"","")))))&gt;0))))</f>
        <v>1</v>
      </c>
      <c r="BO15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Sheet'!$G$14)&amp;"","")="",ISNUMBER(SEARCH($AS$62:$AZ$62,IFERROR(('Final Calculation Sheet'!$G$14)&amp;"","")))))&gt;0))))</f>
        <v>1</v>
      </c>
      <c r="BP15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Sheet'!$B$14)&amp;"","")="",ISNUMBER(SEARCH($AS$63:$AZ$63,IFERROR(('Final Calculation Sheet'!$B$14)&amp;"","")))))&gt;0))))</f>
        <v>1</v>
      </c>
      <c r="BQ15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Sheet'!$D$14)&amp;"","")="",ISNUMBER(SEARCH($AS$64:$AZ$64,IFERROR(('Final Calculation Sheet'!$D$14)&amp;"","")))))&gt;0))))</f>
        <v>1</v>
      </c>
      <c r="BR15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Sheet'!$A$14)&amp;"","")="",ISNUMBER(SEARCH($AS$65:$AZ$65,IFERROR(('Final Calculation Sheet'!$A$14)&amp;"","")))))&gt;0))))</f>
        <v>1</v>
      </c>
      <c r="BS15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Sheet'!$E$14)&amp;"","")="",ISNUMBER(SEARCH($AS$66:$AZ$66,IFERROR(('Final Calculation Sheet'!$E$14)&amp;"","")))))&gt;0))))</f>
        <v>1</v>
      </c>
      <c r="BT15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Sheet'!$C$14)&amp;"","")="",ISNUMBER(SEARCH($AS$67:$AZ$67,IFERROR(('Final Calculation Sheet'!$C$14)&amp;"","")))))&gt;0))))</f>
        <v>1</v>
      </c>
      <c r="BU15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Sheet'!$H$14)&amp;"","")="",ISNUMBER(SEARCH($AS$68:$AZ$68,IFERROR(('Final Calculation Sheet'!$H$14)&amp;"","")))))&gt;0))))</f>
        <v>1</v>
      </c>
      <c r="BV15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Sheet'!$I$14)&amp;"","")="",ISNUMBER(SEARCH($AS$69:$AZ$69,IFERROR(('Final Calculation Sheet'!$I$14)&amp;"","")))))&gt;0))))</f>
        <v>1</v>
      </c>
      <c r="BW15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Sheet'!$J$14)&amp;"","")="",ISNUMBER(SEARCH($AS$70:$AZ$70,IFERROR(('Final Calculation Sheet'!$J$14)&amp;"","")))))&gt;0))))</f>
        <v>1</v>
      </c>
      <c r="BX15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Sheet'!$K$14)&amp;"","")="",ISNUMBER(SEARCH($AS$71:$AZ$71,IFERROR(('Final Calculation Sheet'!$K$14)&amp;"","")))))&gt;0))))</f>
        <v>1</v>
      </c>
      <c r="BY15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Sheet'!$L$14)&amp;"","")="",ISNUMBER(SEARCH($AS$72:$AZ$72,IFERROR(('Final Calculation Sheet'!$L$14)&amp;"","")))))&gt;0))))</f>
        <v>1</v>
      </c>
      <c r="BZ15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Sheet'!$M$14)&amp;"","")="",ISNUMBER(SEARCH($AS$73:$AZ$73,IFERROR(('Final Calculation Sheet'!$M$14)&amp;"","")))))&gt;0))))</f>
        <v>1</v>
      </c>
      <c r="CA15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Sheet'!$N$14)&amp;"","")="",ISNUMBER(SEARCH($AS$74:$AZ$74,IFERROR(('Final Calculation Sheet'!$N$14)&amp;"","")))))&gt;0))))</f>
        <v>1</v>
      </c>
      <c r="CB15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Sheet'!$O$14)&amp;"","")="",ISNUMBER(SEARCH($AS$75:$AZ$75,IFERROR(('Final Calculation Sheet'!$O$14)&amp;"","")))))&gt;0))))</f>
        <v>1</v>
      </c>
      <c r="CC15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Sheet'!$P$14)&amp;"","")="",ISNUMBER(SEARCH($AS$76:$AZ$76,IFERROR(('Final Calculation Sheet'!$P$14)&amp;"","")))))&gt;0))))</f>
        <v>1</v>
      </c>
      <c r="CD15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Sheet'!$Q$14)&amp;"","")="",ISNUMBER(SEARCH($AS$77:$AZ$77,IFERROR(('Final Calculation Sheet'!$Q$14)&amp;"","")))))&gt;0))))</f>
        <v>1</v>
      </c>
      <c r="CE15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Sheet'!$R$14)&amp;"","")="",ISNUMBER(SEARCH($AS$78:$AZ$78,IFERROR(('Final Calculation Sheet'!$R$14)&amp;"","")))))&gt;0))))</f>
        <v>1</v>
      </c>
      <c r="CF15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Sheet'!$S$14)&amp;"","")="",ISNUMBER(SEARCH($AS$79:$AZ$79,IFERROR(('Final Calculation Sheet'!$S$14)&amp;"","")))))&gt;0))))</f>
        <v>1</v>
      </c>
      <c r="CG15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Sheet'!$T$14)&amp;"","")="",ISNUMBER(SEARCH($AS$80:$AZ$80,IFERROR(('Final Calculation Sheet'!$T$14)&amp;"","")))))&gt;0))))</f>
        <v>1</v>
      </c>
      <c r="CH15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Sheet'!$U$14)&amp;"","")="",ISNUMBER(SEARCH($AS$81:$AZ$81,IFERROR(('Final Calculation Sheet'!$U$14)&amp;"","")))))&gt;0))))</f>
        <v>1</v>
      </c>
      <c r="CI15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Sheet'!$V$14)&amp;"","")="",ISNUMBER(SEARCH($AS$82:$AZ$82,IFERROR(('Final Calculation Sheet'!$V$14)&amp;"","")))))&gt;0))))</f>
        <v>1</v>
      </c>
      <c r="CJ15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Sheet'!$W$14)&amp;"","")="",ISNUMBER(SEARCH($AS$83:$AZ$83,IFERROR(('Final Calculation Sheet'!$W$14)&amp;"","")))))&gt;0))))</f>
        <v>1</v>
      </c>
      <c r="CK15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Sheet'!$X$14)&amp;"","")="",ISNUMBER(SEARCH($AS$84:$AZ$84,IFERROR(('Final Calculation Sheet'!$X$14)&amp;"","")))))&gt;0))))</f>
        <v>1</v>
      </c>
      <c r="CL15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Sheet'!$Y$14)&amp;"","")="",ISNUMBER(SEARCH($AS$85:$AZ$85,IFERROR(('Final Calculation Sheet'!$Y$14)&amp;"","")))))&gt;0))))</f>
        <v>1</v>
      </c>
      <c r="CM15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Sheet'!$Z$14)&amp;"","")="",ISNUMBER(SEARCH($AS$86:$AZ$86,IFERROR(('Final Calculation Sheet'!$Z$14)&amp;"","")))))&gt;0))))</f>
        <v>1</v>
      </c>
      <c r="CN15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Sheet'!$AA$14)&amp;"","")="",ISNUMBER(SEARCH($AS$87:$AZ$87,IFERROR(('Final Calculation Sheet'!$AA$14)&amp;"","")))))&gt;0))))</f>
        <v>1</v>
      </c>
      <c r="CO15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Sheet'!$AB$14)&amp;"","")="",ISNUMBER(SEARCH($AS$88:$AZ$88,IFERROR(('Final Calculation Sheet'!$AB$14)&amp;"","")))))&gt;0))))</f>
        <v>1</v>
      </c>
      <c r="CP15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Sheet'!$AC$14)&amp;"","")="",ISNUMBER(SEARCH($AS$89:$AZ$89,IFERROR(('Final Calculation Sheet'!$AC$14)&amp;"","")))))&gt;0))))</f>
        <v>1</v>
      </c>
      <c r="CQ15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Sheet'!$AD$14)&amp;"","")="",ISNUMBER(SEARCH($AS$90:$AZ$90,IFERROR(('Final Calculation Sheet'!$AD$14)&amp;"","")))))&gt;0))))</f>
        <v>1</v>
      </c>
      <c r="CR15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Sheet'!$AE$14)&amp;"","")="",ISNUMBER(SEARCH($AS$91:$AZ$91,IFERROR(('Final Calculation Sheet'!$AE$14)&amp;"","")))))&gt;0))))</f>
        <v>1</v>
      </c>
      <c r="CS15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Sheet'!$AF$14)&amp;"","")="",ISNUMBER(SEARCH($AS$92:$AZ$92,IFERROR(('Final Calculation Sheet'!$AF$14)&amp;"","")))))&gt;0))))</f>
        <v>1</v>
      </c>
      <c r="CT15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Sheet'!$AG$14)&amp;"","")="",ISNUMBER(SEARCH($AS$93:$AZ$93,IFERROR(('Final Calculation Sheet'!$AG$14)&amp;"","")))))&gt;0))))</f>
        <v>1</v>
      </c>
      <c r="CU15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Sheet'!$AD$14&lt;=0,"SETTLED","OUTSTANDING"))&amp;"","")="",ISNUMBER(SEARCH($AS$94:$AZ$94,IFERROR((IF('Final Calculation Sheet'!$AD$14&lt;=0,"SETTLED","OUTSTANDING"))&amp;"","")))))&gt;0))))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6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Sheet'!$F$15)&amp;"","")="",ISNUMBER(SEARCH($AS$61:$AZ$61,IFERROR(('Final Calculation Sheet'!$F$15)&amp;"","")))))&gt;0))))</f>
        <v>1</v>
      </c>
      <c r="BO16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Sheet'!$G$15)&amp;"","")="",ISNUMBER(SEARCH($AS$62:$AZ$62,IFERROR(('Final Calculation Sheet'!$G$15)&amp;"","")))))&gt;0))))</f>
        <v>1</v>
      </c>
      <c r="BP16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Sheet'!$B$15)&amp;"","")="",ISNUMBER(SEARCH($AS$63:$AZ$63,IFERROR(('Final Calculation Sheet'!$B$15)&amp;"","")))))&gt;0))))</f>
        <v>1</v>
      </c>
      <c r="BQ16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Sheet'!$D$15)&amp;"","")="",ISNUMBER(SEARCH($AS$64:$AZ$64,IFERROR(('Final Calculation Sheet'!$D$15)&amp;"","")))))&gt;0))))</f>
        <v>1</v>
      </c>
      <c r="BR16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Sheet'!$A$15)&amp;"","")="",ISNUMBER(SEARCH($AS$65:$AZ$65,IFERROR(('Final Calculation Sheet'!$A$15)&amp;"","")))))&gt;0))))</f>
        <v>1</v>
      </c>
      <c r="BS16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Sheet'!$E$15)&amp;"","")="",ISNUMBER(SEARCH($AS$66:$AZ$66,IFERROR(('Final Calculation Sheet'!$E$15)&amp;"","")))))&gt;0))))</f>
        <v>1</v>
      </c>
      <c r="BT16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Sheet'!$C$15)&amp;"","")="",ISNUMBER(SEARCH($AS$67:$AZ$67,IFERROR(('Final Calculation Sheet'!$C$15)&amp;"","")))))&gt;0))))</f>
        <v>1</v>
      </c>
      <c r="BU16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Sheet'!$H$15)&amp;"","")="",ISNUMBER(SEARCH($AS$68:$AZ$68,IFERROR(('Final Calculation Sheet'!$H$15)&amp;"","")))))&gt;0))))</f>
        <v>1</v>
      </c>
      <c r="BV16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Sheet'!$I$15)&amp;"","")="",ISNUMBER(SEARCH($AS$69:$AZ$69,IFERROR(('Final Calculation Sheet'!$I$15)&amp;"","")))))&gt;0))))</f>
        <v>1</v>
      </c>
      <c r="BW16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Sheet'!$J$15)&amp;"","")="",ISNUMBER(SEARCH($AS$70:$AZ$70,IFERROR(('Final Calculation Sheet'!$J$15)&amp;"","")))))&gt;0))))</f>
        <v>1</v>
      </c>
      <c r="BX16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Sheet'!$K$15)&amp;"","")="",ISNUMBER(SEARCH($AS$71:$AZ$71,IFERROR(('Final Calculation Sheet'!$K$15)&amp;"","")))))&gt;0))))</f>
        <v>1</v>
      </c>
      <c r="BY16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Sheet'!$L$15)&amp;"","")="",ISNUMBER(SEARCH($AS$72:$AZ$72,IFERROR(('Final Calculation Sheet'!$L$15)&amp;"","")))))&gt;0))))</f>
        <v>1</v>
      </c>
      <c r="BZ16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Sheet'!$M$15)&amp;"","")="",ISNUMBER(SEARCH($AS$73:$AZ$73,IFERROR(('Final Calculation Sheet'!$M$15)&amp;"","")))))&gt;0))))</f>
        <v>1</v>
      </c>
      <c r="CA16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Sheet'!$N$15)&amp;"","")="",ISNUMBER(SEARCH($AS$74:$AZ$74,IFERROR(('Final Calculation Sheet'!$N$15)&amp;"","")))))&gt;0))))</f>
        <v>1</v>
      </c>
      <c r="CB16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Sheet'!$O$15)&amp;"","")="",ISNUMBER(SEARCH($AS$75:$AZ$75,IFERROR(('Final Calculation Sheet'!$O$15)&amp;"","")))))&gt;0))))</f>
        <v>1</v>
      </c>
      <c r="CC16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Sheet'!$P$15)&amp;"","")="",ISNUMBER(SEARCH($AS$76:$AZ$76,IFERROR(('Final Calculation Sheet'!$P$15)&amp;"","")))))&gt;0))))</f>
        <v>1</v>
      </c>
      <c r="CD16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Sheet'!$Q$15)&amp;"","")="",ISNUMBER(SEARCH($AS$77:$AZ$77,IFERROR(('Final Calculation Sheet'!$Q$15)&amp;"","")))))&gt;0))))</f>
        <v>1</v>
      </c>
      <c r="CE16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Sheet'!$R$15)&amp;"","")="",ISNUMBER(SEARCH($AS$78:$AZ$78,IFERROR(('Final Calculation Sheet'!$R$15)&amp;"","")))))&gt;0))))</f>
        <v>1</v>
      </c>
      <c r="CF16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Sheet'!$S$15)&amp;"","")="",ISNUMBER(SEARCH($AS$79:$AZ$79,IFERROR(('Final Calculation Sheet'!$S$15)&amp;"","")))))&gt;0))))</f>
        <v>1</v>
      </c>
      <c r="CG16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Sheet'!$T$15)&amp;"","")="",ISNUMBER(SEARCH($AS$80:$AZ$80,IFERROR(('Final Calculation Sheet'!$T$15)&amp;"","")))))&gt;0))))</f>
        <v>1</v>
      </c>
      <c r="CH16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Sheet'!$U$15)&amp;"","")="",ISNUMBER(SEARCH($AS$81:$AZ$81,IFERROR(('Final Calculation Sheet'!$U$15)&amp;"","")))))&gt;0))))</f>
        <v>1</v>
      </c>
      <c r="CI16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Sheet'!$V$15)&amp;"","")="",ISNUMBER(SEARCH($AS$82:$AZ$82,IFERROR(('Final Calculation Sheet'!$V$15)&amp;"","")))))&gt;0))))</f>
        <v>1</v>
      </c>
      <c r="CJ16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Sheet'!$W$15)&amp;"","")="",ISNUMBER(SEARCH($AS$83:$AZ$83,IFERROR(('Final Calculation Sheet'!$W$15)&amp;"","")))))&gt;0))))</f>
        <v>1</v>
      </c>
      <c r="CK16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Sheet'!$X$15)&amp;"","")="",ISNUMBER(SEARCH($AS$84:$AZ$84,IFERROR(('Final Calculation Sheet'!$X$15)&amp;"","")))))&gt;0))))</f>
        <v>1</v>
      </c>
      <c r="CL16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Sheet'!$Y$15)&amp;"","")="",ISNUMBER(SEARCH($AS$85:$AZ$85,IFERROR(('Final Calculation Sheet'!$Y$15)&amp;"","")))))&gt;0))))</f>
        <v>1</v>
      </c>
      <c r="CM16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Sheet'!$Z$15)&amp;"","")="",ISNUMBER(SEARCH($AS$86:$AZ$86,IFERROR(('Final Calculation Sheet'!$Z$15)&amp;"","")))))&gt;0))))</f>
        <v>1</v>
      </c>
      <c r="CN16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Sheet'!$AA$15)&amp;"","")="",ISNUMBER(SEARCH($AS$87:$AZ$87,IFERROR(('Final Calculation Sheet'!$AA$15)&amp;"","")))))&gt;0))))</f>
        <v>1</v>
      </c>
      <c r="CO16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Sheet'!$AB$15)&amp;"","")="",ISNUMBER(SEARCH($AS$88:$AZ$88,IFERROR(('Final Calculation Sheet'!$AB$15)&amp;"","")))))&gt;0))))</f>
        <v>1</v>
      </c>
      <c r="CP16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Sheet'!$AC$15)&amp;"","")="",ISNUMBER(SEARCH($AS$89:$AZ$89,IFERROR(('Final Calculation Sheet'!$AC$15)&amp;"","")))))&gt;0))))</f>
        <v>1</v>
      </c>
      <c r="CQ16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Sheet'!$AD$15)&amp;"","")="",ISNUMBER(SEARCH($AS$90:$AZ$90,IFERROR(('Final Calculation Sheet'!$AD$15)&amp;"","")))))&gt;0))))</f>
        <v>1</v>
      </c>
      <c r="CR16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Sheet'!$AE$15)&amp;"","")="",ISNUMBER(SEARCH($AS$91:$AZ$91,IFERROR(('Final Calculation Sheet'!$AE$15)&amp;"","")))))&gt;0))))</f>
        <v>1</v>
      </c>
      <c r="CS16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Sheet'!$AF$15)&amp;"","")="",ISNUMBER(SEARCH($AS$92:$AZ$92,IFERROR(('Final Calculation Sheet'!$AF$15)&amp;"","")))))&gt;0))))</f>
        <v>1</v>
      </c>
      <c r="CT16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Sheet'!$AG$15)&amp;"","")="",ISNUMBER(SEARCH($AS$93:$AZ$93,IFERROR(('Final Calculation Sheet'!$AG$15)&amp;"","")))))&gt;0))))</f>
        <v>1</v>
      </c>
      <c r="CU16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Sheet'!$AD$15&lt;=0,"SETTLED","OUTSTANDING"))&amp;"","")="",ISNUMBER(SEARCH($AS$94:$AZ$94,IFERROR((IF('Final Calculation Sheet'!$AD$15&lt;=0,"SETTLED","OUTSTANDING"))&amp;"","")))))&gt;0))))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7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Sheet'!$F$16)&amp;"","")="",ISNUMBER(SEARCH($AS$61:$AZ$61,IFERROR(('Final Calculation Sheet'!$F$16)&amp;"","")))))&gt;0))))</f>
        <v>1</v>
      </c>
      <c r="BO17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Sheet'!$G$16)&amp;"","")="",ISNUMBER(SEARCH($AS$62:$AZ$62,IFERROR(('Final Calculation Sheet'!$G$16)&amp;"","")))))&gt;0))))</f>
        <v>1</v>
      </c>
      <c r="BP17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Sheet'!$B$16)&amp;"","")="",ISNUMBER(SEARCH($AS$63:$AZ$63,IFERROR(('Final Calculation Sheet'!$B$16)&amp;"","")))))&gt;0))))</f>
        <v>1</v>
      </c>
      <c r="BQ17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Sheet'!$D$16)&amp;"","")="",ISNUMBER(SEARCH($AS$64:$AZ$64,IFERROR(('Final Calculation Sheet'!$D$16)&amp;"","")))))&gt;0))))</f>
        <v>1</v>
      </c>
      <c r="BR17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Sheet'!$A$16)&amp;"","")="",ISNUMBER(SEARCH($AS$65:$AZ$65,IFERROR(('Final Calculation Sheet'!$A$16)&amp;"","")))))&gt;0))))</f>
        <v>1</v>
      </c>
      <c r="BS17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Sheet'!$E$16)&amp;"","")="",ISNUMBER(SEARCH($AS$66:$AZ$66,IFERROR(('Final Calculation Sheet'!$E$16)&amp;"","")))))&gt;0))))</f>
        <v>1</v>
      </c>
      <c r="BT17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Sheet'!$C$16)&amp;"","")="",ISNUMBER(SEARCH($AS$67:$AZ$67,IFERROR(('Final Calculation Sheet'!$C$16)&amp;"","")))))&gt;0))))</f>
        <v>1</v>
      </c>
      <c r="BU17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Sheet'!$H$16)&amp;"","")="",ISNUMBER(SEARCH($AS$68:$AZ$68,IFERROR(('Final Calculation Sheet'!$H$16)&amp;"","")))))&gt;0))))</f>
        <v>1</v>
      </c>
      <c r="BV17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Sheet'!$I$16)&amp;"","")="",ISNUMBER(SEARCH($AS$69:$AZ$69,IFERROR(('Final Calculation Sheet'!$I$16)&amp;"","")))))&gt;0))))</f>
        <v>1</v>
      </c>
      <c r="BW17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Sheet'!$J$16)&amp;"","")="",ISNUMBER(SEARCH($AS$70:$AZ$70,IFERROR(('Final Calculation Sheet'!$J$16)&amp;"","")))))&gt;0))))</f>
        <v>1</v>
      </c>
      <c r="BX17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Sheet'!$K$16)&amp;"","")="",ISNUMBER(SEARCH($AS$71:$AZ$71,IFERROR(('Final Calculation Sheet'!$K$16)&amp;"","")))))&gt;0))))</f>
        <v>1</v>
      </c>
      <c r="BY17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Sheet'!$L$16)&amp;"","")="",ISNUMBER(SEARCH($AS$72:$AZ$72,IFERROR(('Final Calculation Sheet'!$L$16)&amp;"","")))))&gt;0))))</f>
        <v>1</v>
      </c>
      <c r="BZ17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Sheet'!$M$16)&amp;"","")="",ISNUMBER(SEARCH($AS$73:$AZ$73,IFERROR(('Final Calculation Sheet'!$M$16)&amp;"","")))))&gt;0))))</f>
        <v>1</v>
      </c>
      <c r="CA17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Sheet'!$N$16)&amp;"","")="",ISNUMBER(SEARCH($AS$74:$AZ$74,IFERROR(('Final Calculation Sheet'!$N$16)&amp;"","")))))&gt;0))))</f>
        <v>1</v>
      </c>
      <c r="CB17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Sheet'!$O$16)&amp;"","")="",ISNUMBER(SEARCH($AS$75:$AZ$75,IFERROR(('Final Calculation Sheet'!$O$16)&amp;"","")))))&gt;0))))</f>
        <v>1</v>
      </c>
      <c r="CC17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Sheet'!$P$16)&amp;"","")="",ISNUMBER(SEARCH($AS$76:$AZ$76,IFERROR(('Final Calculation Sheet'!$P$16)&amp;"","")))))&gt;0))))</f>
        <v>1</v>
      </c>
      <c r="CD17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Sheet'!$Q$16)&amp;"","")="",ISNUMBER(SEARCH($AS$77:$AZ$77,IFERROR(('Final Calculation Sheet'!$Q$16)&amp;"","")))))&gt;0))))</f>
        <v>1</v>
      </c>
      <c r="CE17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Sheet'!$R$16)&amp;"","")="",ISNUMBER(SEARCH($AS$78:$AZ$78,IFERROR(('Final Calculation Sheet'!$R$16)&amp;"","")))))&gt;0))))</f>
        <v>1</v>
      </c>
      <c r="CF17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Sheet'!$S$16)&amp;"","")="",ISNUMBER(SEARCH($AS$79:$AZ$79,IFERROR(('Final Calculation Sheet'!$S$16)&amp;"","")))))&gt;0))))</f>
        <v>1</v>
      </c>
      <c r="CG17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Sheet'!$T$16)&amp;"","")="",ISNUMBER(SEARCH($AS$80:$AZ$80,IFERROR(('Final Calculation Sheet'!$T$16)&amp;"","")))))&gt;0))))</f>
        <v>1</v>
      </c>
      <c r="CH17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Sheet'!$U$16)&amp;"","")="",ISNUMBER(SEARCH($AS$81:$AZ$81,IFERROR(('Final Calculation Sheet'!$U$16)&amp;"","")))))&gt;0))))</f>
        <v>1</v>
      </c>
      <c r="CI17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Sheet'!$V$16)&amp;"","")="",ISNUMBER(SEARCH($AS$82:$AZ$82,IFERROR(('Final Calculation Sheet'!$V$16)&amp;"","")))))&gt;0))))</f>
        <v>1</v>
      </c>
      <c r="CJ17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Sheet'!$W$16)&amp;"","")="",ISNUMBER(SEARCH($AS$83:$AZ$83,IFERROR(('Final Calculation Sheet'!$W$16)&amp;"","")))))&gt;0))))</f>
        <v>1</v>
      </c>
      <c r="CK17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Sheet'!$X$16)&amp;"","")="",ISNUMBER(SEARCH($AS$84:$AZ$84,IFERROR(('Final Calculation Sheet'!$X$16)&amp;"","")))))&gt;0))))</f>
        <v>1</v>
      </c>
      <c r="CL17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Sheet'!$Y$16)&amp;"","")="",ISNUMBER(SEARCH($AS$85:$AZ$85,IFERROR(('Final Calculation Sheet'!$Y$16)&amp;"","")))))&gt;0))))</f>
        <v>1</v>
      </c>
      <c r="CM17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Sheet'!$Z$16)&amp;"","")="",ISNUMBER(SEARCH($AS$86:$AZ$86,IFERROR(('Final Calculation Sheet'!$Z$16)&amp;"","")))))&gt;0))))</f>
        <v>1</v>
      </c>
      <c r="CN17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Sheet'!$AA$16)&amp;"","")="",ISNUMBER(SEARCH($AS$87:$AZ$87,IFERROR(('Final Calculation Sheet'!$AA$16)&amp;"","")))))&gt;0))))</f>
        <v>1</v>
      </c>
      <c r="CO17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Sheet'!$AB$16)&amp;"","")="",ISNUMBER(SEARCH($AS$88:$AZ$88,IFERROR(('Final Calculation Sheet'!$AB$16)&amp;"","")))))&gt;0))))</f>
        <v>1</v>
      </c>
      <c r="CP17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Sheet'!$AC$16)&amp;"","")="",ISNUMBER(SEARCH($AS$89:$AZ$89,IFERROR(('Final Calculation Sheet'!$AC$16)&amp;"","")))))&gt;0))))</f>
        <v>1</v>
      </c>
      <c r="CQ17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Sheet'!$AD$16)&amp;"","")="",ISNUMBER(SEARCH($AS$90:$AZ$90,IFERROR(('Final Calculation Sheet'!$AD$16)&amp;"","")))))&gt;0))))</f>
        <v>1</v>
      </c>
      <c r="CR17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Sheet'!$AE$16)&amp;"","")="",ISNUMBER(SEARCH($AS$91:$AZ$91,IFERROR(('Final Calculation Sheet'!$AE$16)&amp;"","")))))&gt;0))))</f>
        <v>1</v>
      </c>
      <c r="CS17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Sheet'!$AF$16)&amp;"","")="",ISNUMBER(SEARCH($AS$92:$AZ$92,IFERROR(('Final Calculation Sheet'!$AF$16)&amp;"","")))))&gt;0))))</f>
        <v>1</v>
      </c>
      <c r="CT17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Sheet'!$AG$16)&amp;"","")="",ISNUMBER(SEARCH($AS$93:$AZ$93,IFERROR(('Final Calculation Sheet'!$AG$16)&amp;"","")))))&gt;0))))</f>
        <v>1</v>
      </c>
      <c r="CU17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Sheet'!$AD$16&lt;=0,"SETTLED","OUTSTANDING"))&amp;"","")="",ISNUMBER(SEARCH($AS$94:$AZ$94,IFERROR((IF('Final Calculation Sheet'!$AD$16&lt;=0,"SETTLED","OUTSTANDING"))&amp;"","")))))&gt;0))))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8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Sheet'!$F$17)&amp;"","")="",ISNUMBER(SEARCH($AS$61:$AZ$61,IFERROR(('Final Calculation Sheet'!$F$17)&amp;"","")))))&gt;0))))</f>
        <v>1</v>
      </c>
      <c r="BO18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Sheet'!$G$17)&amp;"","")="",ISNUMBER(SEARCH($AS$62:$AZ$62,IFERROR(('Final Calculation Sheet'!$G$17)&amp;"","")))))&gt;0))))</f>
        <v>1</v>
      </c>
      <c r="BP18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Sheet'!$B$17)&amp;"","")="",ISNUMBER(SEARCH($AS$63:$AZ$63,IFERROR(('Final Calculation Sheet'!$B$17)&amp;"","")))))&gt;0))))</f>
        <v>1</v>
      </c>
      <c r="BQ18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Sheet'!$D$17)&amp;"","")="",ISNUMBER(SEARCH($AS$64:$AZ$64,IFERROR(('Final Calculation Sheet'!$D$17)&amp;"","")))))&gt;0))))</f>
        <v>1</v>
      </c>
      <c r="BR18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Sheet'!$A$17)&amp;"","")="",ISNUMBER(SEARCH($AS$65:$AZ$65,IFERROR(('Final Calculation Sheet'!$A$17)&amp;"","")))))&gt;0))))</f>
        <v>1</v>
      </c>
      <c r="BS18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Sheet'!$E$17)&amp;"","")="",ISNUMBER(SEARCH($AS$66:$AZ$66,IFERROR(('Final Calculation Sheet'!$E$17)&amp;"","")))))&gt;0))))</f>
        <v>1</v>
      </c>
      <c r="BT18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Sheet'!$C$17)&amp;"","")="",ISNUMBER(SEARCH($AS$67:$AZ$67,IFERROR(('Final Calculation Sheet'!$C$17)&amp;"","")))))&gt;0))))</f>
        <v>1</v>
      </c>
      <c r="BU18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Sheet'!$H$17)&amp;"","")="",ISNUMBER(SEARCH($AS$68:$AZ$68,IFERROR(('Final Calculation Sheet'!$H$17)&amp;"","")))))&gt;0))))</f>
        <v>1</v>
      </c>
      <c r="BV18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Sheet'!$I$17)&amp;"","")="",ISNUMBER(SEARCH($AS$69:$AZ$69,IFERROR(('Final Calculation Sheet'!$I$17)&amp;"","")))))&gt;0))))</f>
        <v>1</v>
      </c>
      <c r="BW18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Sheet'!$J$17)&amp;"","")="",ISNUMBER(SEARCH($AS$70:$AZ$70,IFERROR(('Final Calculation Sheet'!$J$17)&amp;"","")))))&gt;0))))</f>
        <v>1</v>
      </c>
      <c r="BX18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Sheet'!$K$17)&amp;"","")="",ISNUMBER(SEARCH($AS$71:$AZ$71,IFERROR(('Final Calculation Sheet'!$K$17)&amp;"","")))))&gt;0))))</f>
        <v>1</v>
      </c>
      <c r="BY18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Sheet'!$L$17)&amp;"","")="",ISNUMBER(SEARCH($AS$72:$AZ$72,IFERROR(('Final Calculation Sheet'!$L$17)&amp;"","")))))&gt;0))))</f>
        <v>1</v>
      </c>
      <c r="BZ18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Sheet'!$M$17)&amp;"","")="",ISNUMBER(SEARCH($AS$73:$AZ$73,IFERROR(('Final Calculation Sheet'!$M$17)&amp;"","")))))&gt;0))))</f>
        <v>1</v>
      </c>
      <c r="CA18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Sheet'!$N$17)&amp;"","")="",ISNUMBER(SEARCH($AS$74:$AZ$74,IFERROR(('Final Calculation Sheet'!$N$17)&amp;"","")))))&gt;0))))</f>
        <v>1</v>
      </c>
      <c r="CB18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Sheet'!$O$17)&amp;"","")="",ISNUMBER(SEARCH($AS$75:$AZ$75,IFERROR(('Final Calculation Sheet'!$O$17)&amp;"","")))))&gt;0))))</f>
        <v>1</v>
      </c>
      <c r="CC18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Sheet'!$P$17)&amp;"","")="",ISNUMBER(SEARCH($AS$76:$AZ$76,IFERROR(('Final Calculation Sheet'!$P$17)&amp;"","")))))&gt;0))))</f>
        <v>1</v>
      </c>
      <c r="CD18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Sheet'!$Q$17)&amp;"","")="",ISNUMBER(SEARCH($AS$77:$AZ$77,IFERROR(('Final Calculation Sheet'!$Q$17)&amp;"","")))))&gt;0))))</f>
        <v>1</v>
      </c>
      <c r="CE18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Sheet'!$R$17)&amp;"","")="",ISNUMBER(SEARCH($AS$78:$AZ$78,IFERROR(('Final Calculation Sheet'!$R$17)&amp;"","")))))&gt;0))))</f>
        <v>1</v>
      </c>
      <c r="CF18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Sheet'!$S$17)&amp;"","")="",ISNUMBER(SEARCH($AS$79:$AZ$79,IFERROR(('Final Calculation Sheet'!$S$17)&amp;"","")))))&gt;0))))</f>
        <v>1</v>
      </c>
      <c r="CG18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Sheet'!$T$17)&amp;"","")="",ISNUMBER(SEARCH($AS$80:$AZ$80,IFERROR(('Final Calculation Sheet'!$T$17)&amp;"","")))))&gt;0))))</f>
        <v>1</v>
      </c>
      <c r="CH18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Sheet'!$U$17)&amp;"","")="",ISNUMBER(SEARCH($AS$81:$AZ$81,IFERROR(('Final Calculation Sheet'!$U$17)&amp;"","")))))&gt;0))))</f>
        <v>1</v>
      </c>
      <c r="CI18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Sheet'!$V$17)&amp;"","")="",ISNUMBER(SEARCH($AS$82:$AZ$82,IFERROR(('Final Calculation Sheet'!$V$17)&amp;"","")))))&gt;0))))</f>
        <v>1</v>
      </c>
      <c r="CJ18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Sheet'!$W$17)&amp;"","")="",ISNUMBER(SEARCH($AS$83:$AZ$83,IFERROR(('Final Calculation Sheet'!$W$17)&amp;"","")))))&gt;0))))</f>
        <v>1</v>
      </c>
      <c r="CK18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Sheet'!$X$17)&amp;"","")="",ISNUMBER(SEARCH($AS$84:$AZ$84,IFERROR(('Final Calculation Sheet'!$X$17)&amp;"","")))))&gt;0))))</f>
        <v>1</v>
      </c>
      <c r="CL18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Sheet'!$Y$17)&amp;"","")="",ISNUMBER(SEARCH($AS$85:$AZ$85,IFERROR(('Final Calculation Sheet'!$Y$17)&amp;"","")))))&gt;0))))</f>
        <v>1</v>
      </c>
      <c r="CM18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Sheet'!$Z$17)&amp;"","")="",ISNUMBER(SEARCH($AS$86:$AZ$86,IFERROR(('Final Calculation Sheet'!$Z$17)&amp;"","")))))&gt;0))))</f>
        <v>1</v>
      </c>
      <c r="CN18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Sheet'!$AA$17)&amp;"","")="",ISNUMBER(SEARCH($AS$87:$AZ$87,IFERROR(('Final Calculation Sheet'!$AA$17)&amp;"","")))))&gt;0))))</f>
        <v>1</v>
      </c>
      <c r="CO18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Sheet'!$AB$17)&amp;"","")="",ISNUMBER(SEARCH($AS$88:$AZ$88,IFERROR(('Final Calculation Sheet'!$AB$17)&amp;"","")))))&gt;0))))</f>
        <v>1</v>
      </c>
      <c r="CP18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Sheet'!$AC$17)&amp;"","")="",ISNUMBER(SEARCH($AS$89:$AZ$89,IFERROR(('Final Calculation Sheet'!$AC$17)&amp;"","")))))&gt;0))))</f>
        <v>1</v>
      </c>
      <c r="CQ18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Sheet'!$AD$17)&amp;"","")="",ISNUMBER(SEARCH($AS$90:$AZ$90,IFERROR(('Final Calculation Sheet'!$AD$17)&amp;"","")))))&gt;0))))</f>
        <v>1</v>
      </c>
      <c r="CR18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Sheet'!$AE$17)&amp;"","")="",ISNUMBER(SEARCH($AS$91:$AZ$91,IFERROR(('Final Calculation Sheet'!$AE$17)&amp;"","")))))&gt;0))))</f>
        <v>1</v>
      </c>
      <c r="CS18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Sheet'!$AF$17)&amp;"","")="",ISNUMBER(SEARCH($AS$92:$AZ$92,IFERROR(('Final Calculation Sheet'!$AF$17)&amp;"","")))))&gt;0))))</f>
        <v>1</v>
      </c>
      <c r="CT18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Sheet'!$AG$17)&amp;"","")="",ISNUMBER(SEARCH($AS$93:$AZ$93,IFERROR(('Final Calculation Sheet'!$AG$17)&amp;"","")))))&gt;0))))</f>
        <v>1</v>
      </c>
      <c r="CU18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Sheet'!$AD$17&lt;=0,"SETTLED","OUTSTANDING"))&amp;"","")="",ISNUMBER(SEARCH($AS$94:$AZ$94,IFERROR((IF('Final Calculation Sheet'!$AD$17&lt;=0,"SETTLED","OUTSTANDING"))&amp;"","")))))&gt;0))))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19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Sheet'!$F$18)&amp;"","")="",ISNUMBER(SEARCH($AS$61:$AZ$61,IFERROR(('Final Calculation Sheet'!$F$18)&amp;"","")))))&gt;0))))</f>
        <v>1</v>
      </c>
      <c r="BO19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Sheet'!$G$18)&amp;"","")="",ISNUMBER(SEARCH($AS$62:$AZ$62,IFERROR(('Final Calculation Sheet'!$G$18)&amp;"","")))))&gt;0))))</f>
        <v>1</v>
      </c>
      <c r="BP19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Sheet'!$B$18)&amp;"","")="",ISNUMBER(SEARCH($AS$63:$AZ$63,IFERROR(('Final Calculation Sheet'!$B$18)&amp;"","")))))&gt;0))))</f>
        <v>1</v>
      </c>
      <c r="BQ19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Sheet'!$D$18)&amp;"","")="",ISNUMBER(SEARCH($AS$64:$AZ$64,IFERROR(('Final Calculation Sheet'!$D$18)&amp;"","")))))&gt;0))))</f>
        <v>1</v>
      </c>
      <c r="BR19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Sheet'!$A$18)&amp;"","")="",ISNUMBER(SEARCH($AS$65:$AZ$65,IFERROR(('Final Calculation Sheet'!$A$18)&amp;"","")))))&gt;0))))</f>
        <v>1</v>
      </c>
      <c r="BS19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Sheet'!$E$18)&amp;"","")="",ISNUMBER(SEARCH($AS$66:$AZ$66,IFERROR(('Final Calculation Sheet'!$E$18)&amp;"","")))))&gt;0))))</f>
        <v>1</v>
      </c>
      <c r="BT19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Sheet'!$C$18)&amp;"","")="",ISNUMBER(SEARCH($AS$67:$AZ$67,IFERROR(('Final Calculation Sheet'!$C$18)&amp;"","")))))&gt;0))))</f>
        <v>1</v>
      </c>
      <c r="BU19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Sheet'!$H$18)&amp;"","")="",ISNUMBER(SEARCH($AS$68:$AZ$68,IFERROR(('Final Calculation Sheet'!$H$18)&amp;"","")))))&gt;0))))</f>
        <v>1</v>
      </c>
      <c r="BV19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Sheet'!$I$18)&amp;"","")="",ISNUMBER(SEARCH($AS$69:$AZ$69,IFERROR(('Final Calculation Sheet'!$I$18)&amp;"","")))))&gt;0))))</f>
        <v>1</v>
      </c>
      <c r="BW19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Sheet'!$J$18)&amp;"","")="",ISNUMBER(SEARCH($AS$70:$AZ$70,IFERROR(('Final Calculation Sheet'!$J$18)&amp;"","")))))&gt;0))))</f>
        <v>1</v>
      </c>
      <c r="BX19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Sheet'!$K$18)&amp;"","")="",ISNUMBER(SEARCH($AS$71:$AZ$71,IFERROR(('Final Calculation Sheet'!$K$18)&amp;"","")))))&gt;0))))</f>
        <v>1</v>
      </c>
      <c r="BY19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Sheet'!$L$18)&amp;"","")="",ISNUMBER(SEARCH($AS$72:$AZ$72,IFERROR(('Final Calculation Sheet'!$L$18)&amp;"","")))))&gt;0))))</f>
        <v>1</v>
      </c>
      <c r="BZ19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Sheet'!$M$18)&amp;"","")="",ISNUMBER(SEARCH($AS$73:$AZ$73,IFERROR(('Final Calculation Sheet'!$M$18)&amp;"","")))))&gt;0))))</f>
        <v>1</v>
      </c>
      <c r="CA19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Sheet'!$N$18)&amp;"","")="",ISNUMBER(SEARCH($AS$74:$AZ$74,IFERROR(('Final Calculation Sheet'!$N$18)&amp;"","")))))&gt;0))))</f>
        <v>1</v>
      </c>
      <c r="CB19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Sheet'!$O$18)&amp;"","")="",ISNUMBER(SEARCH($AS$75:$AZ$75,IFERROR(('Final Calculation Sheet'!$O$18)&amp;"","")))))&gt;0))))</f>
        <v>1</v>
      </c>
      <c r="CC19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Sheet'!$P$18)&amp;"","")="",ISNUMBER(SEARCH($AS$76:$AZ$76,IFERROR(('Final Calculation Sheet'!$P$18)&amp;"","")))))&gt;0))))</f>
        <v>1</v>
      </c>
      <c r="CD19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Sheet'!$Q$18)&amp;"","")="",ISNUMBER(SEARCH($AS$77:$AZ$77,IFERROR(('Final Calculation Sheet'!$Q$18)&amp;"","")))))&gt;0))))</f>
        <v>1</v>
      </c>
      <c r="CE19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Sheet'!$R$18)&amp;"","")="",ISNUMBER(SEARCH($AS$78:$AZ$78,IFERROR(('Final Calculation Sheet'!$R$18)&amp;"","")))))&gt;0))))</f>
        <v>1</v>
      </c>
      <c r="CF19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Sheet'!$S$18)&amp;"","")="",ISNUMBER(SEARCH($AS$79:$AZ$79,IFERROR(('Final Calculation Sheet'!$S$18)&amp;"","")))))&gt;0))))</f>
        <v>1</v>
      </c>
      <c r="CG19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Sheet'!$T$18)&amp;"","")="",ISNUMBER(SEARCH($AS$80:$AZ$80,IFERROR(('Final Calculation Sheet'!$T$18)&amp;"","")))))&gt;0))))</f>
        <v>1</v>
      </c>
      <c r="CH19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Sheet'!$U$18)&amp;"","")="",ISNUMBER(SEARCH($AS$81:$AZ$81,IFERROR(('Final Calculation Sheet'!$U$18)&amp;"","")))))&gt;0))))</f>
        <v>1</v>
      </c>
      <c r="CI19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Sheet'!$V$18)&amp;"","")="",ISNUMBER(SEARCH($AS$82:$AZ$82,IFERROR(('Final Calculation Sheet'!$V$18)&amp;"","")))))&gt;0))))</f>
        <v>1</v>
      </c>
      <c r="CJ19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Sheet'!$W$18)&amp;"","")="",ISNUMBER(SEARCH($AS$83:$AZ$83,IFERROR(('Final Calculation Sheet'!$W$18)&amp;"","")))))&gt;0))))</f>
        <v>1</v>
      </c>
      <c r="CK19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Sheet'!$X$18)&amp;"","")="",ISNUMBER(SEARCH($AS$84:$AZ$84,IFERROR(('Final Calculation Sheet'!$X$18)&amp;"","")))))&gt;0))))</f>
        <v>1</v>
      </c>
      <c r="CL19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Sheet'!$Y$18)&amp;"","")="",ISNUMBER(SEARCH($AS$85:$AZ$85,IFERROR(('Final Calculation Sheet'!$Y$18)&amp;"","")))))&gt;0))))</f>
        <v>1</v>
      </c>
      <c r="CM19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Sheet'!$Z$18)&amp;"","")="",ISNUMBER(SEARCH($AS$86:$AZ$86,IFERROR(('Final Calculation Sheet'!$Z$18)&amp;"","")))))&gt;0))))</f>
        <v>1</v>
      </c>
      <c r="CN19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Sheet'!$AA$18)&amp;"","")="",ISNUMBER(SEARCH($AS$87:$AZ$87,IFERROR(('Final Calculation Sheet'!$AA$18)&amp;"","")))))&gt;0))))</f>
        <v>1</v>
      </c>
      <c r="CO19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Sheet'!$AB$18)&amp;"","")="",ISNUMBER(SEARCH($AS$88:$AZ$88,IFERROR(('Final Calculation Sheet'!$AB$18)&amp;"","")))))&gt;0))))</f>
        <v>1</v>
      </c>
      <c r="CP19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Sheet'!$AC$18)&amp;"","")="",ISNUMBER(SEARCH($AS$89:$AZ$89,IFERROR(('Final Calculation Sheet'!$AC$18)&amp;"","")))))&gt;0))))</f>
        <v>1</v>
      </c>
      <c r="CQ19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Sheet'!$AD$18)&amp;"","")="",ISNUMBER(SEARCH($AS$90:$AZ$90,IFERROR(('Final Calculation Sheet'!$AD$18)&amp;"","")))))&gt;0))))</f>
        <v>1</v>
      </c>
      <c r="CR19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Sheet'!$AE$18)&amp;"","")="",ISNUMBER(SEARCH($AS$91:$AZ$91,IFERROR(('Final Calculation Sheet'!$AE$18)&amp;"","")))))&gt;0))))</f>
        <v>1</v>
      </c>
      <c r="CS19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Sheet'!$AF$18)&amp;"","")="",ISNUMBER(SEARCH($AS$92:$AZ$92,IFERROR(('Final Calculation Sheet'!$AF$18)&amp;"","")))))&gt;0))))</f>
        <v>1</v>
      </c>
      <c r="CT19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Sheet'!$AG$18)&amp;"","")="",ISNUMBER(SEARCH($AS$93:$AZ$93,IFERROR(('Final Calculation Sheet'!$AG$18)&amp;"","")))))&gt;0))))</f>
        <v>1</v>
      </c>
      <c r="CU19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Sheet'!$AD$18&lt;=0,"SETTLED","OUTSTANDING"))&amp;"","")="",ISNUMBER(SEARCH($AS$94:$AZ$94,IFERROR((IF('Final Calculation Sheet'!$AD$18&lt;=0,"SETTLED","OUTSTANDING"))&amp;"","")))))&gt;0))))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0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Sheet'!$F$19)&amp;"","")="",ISNUMBER(SEARCH($AS$61:$AZ$61,IFERROR(('Final Calculation Sheet'!$F$19)&amp;"","")))))&gt;0))))</f>
        <v>1</v>
      </c>
      <c r="BO20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Sheet'!$G$19)&amp;"","")="",ISNUMBER(SEARCH($AS$62:$AZ$62,IFERROR(('Final Calculation Sheet'!$G$19)&amp;"","")))))&gt;0))))</f>
        <v>1</v>
      </c>
      <c r="BP20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Sheet'!$B$19)&amp;"","")="",ISNUMBER(SEARCH($AS$63:$AZ$63,IFERROR(('Final Calculation Sheet'!$B$19)&amp;"","")))))&gt;0))))</f>
        <v>1</v>
      </c>
      <c r="BQ20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Sheet'!$D$19)&amp;"","")="",ISNUMBER(SEARCH($AS$64:$AZ$64,IFERROR(('Final Calculation Sheet'!$D$19)&amp;"","")))))&gt;0))))</f>
        <v>1</v>
      </c>
      <c r="BR20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Sheet'!$A$19)&amp;"","")="",ISNUMBER(SEARCH($AS$65:$AZ$65,IFERROR(('Final Calculation Sheet'!$A$19)&amp;"","")))))&gt;0))))</f>
        <v>1</v>
      </c>
      <c r="BS20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Sheet'!$E$19)&amp;"","")="",ISNUMBER(SEARCH($AS$66:$AZ$66,IFERROR(('Final Calculation Sheet'!$E$19)&amp;"","")))))&gt;0))))</f>
        <v>1</v>
      </c>
      <c r="BT20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Sheet'!$C$19)&amp;"","")="",ISNUMBER(SEARCH($AS$67:$AZ$67,IFERROR(('Final Calculation Sheet'!$C$19)&amp;"","")))))&gt;0))))</f>
        <v>1</v>
      </c>
      <c r="BU20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Sheet'!$H$19)&amp;"","")="",ISNUMBER(SEARCH($AS$68:$AZ$68,IFERROR(('Final Calculation Sheet'!$H$19)&amp;"","")))))&gt;0))))</f>
        <v>1</v>
      </c>
      <c r="BV20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Sheet'!$I$19)&amp;"","")="",ISNUMBER(SEARCH($AS$69:$AZ$69,IFERROR(('Final Calculation Sheet'!$I$19)&amp;"","")))))&gt;0))))</f>
        <v>1</v>
      </c>
      <c r="BW20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Sheet'!$J$19)&amp;"","")="",ISNUMBER(SEARCH($AS$70:$AZ$70,IFERROR(('Final Calculation Sheet'!$J$19)&amp;"","")))))&gt;0))))</f>
        <v>1</v>
      </c>
      <c r="BX20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Sheet'!$K$19)&amp;"","")="",ISNUMBER(SEARCH($AS$71:$AZ$71,IFERROR(('Final Calculation Sheet'!$K$19)&amp;"","")))))&gt;0))))</f>
        <v>1</v>
      </c>
      <c r="BY20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Sheet'!$L$19)&amp;"","")="",ISNUMBER(SEARCH($AS$72:$AZ$72,IFERROR(('Final Calculation Sheet'!$L$19)&amp;"","")))))&gt;0))))</f>
        <v>1</v>
      </c>
      <c r="BZ20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Sheet'!$M$19)&amp;"","")="",ISNUMBER(SEARCH($AS$73:$AZ$73,IFERROR(('Final Calculation Sheet'!$M$19)&amp;"","")))))&gt;0))))</f>
        <v>1</v>
      </c>
      <c r="CA20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Sheet'!$N$19)&amp;"","")="",ISNUMBER(SEARCH($AS$74:$AZ$74,IFERROR(('Final Calculation Sheet'!$N$19)&amp;"","")))))&gt;0))))</f>
        <v>1</v>
      </c>
      <c r="CB20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Sheet'!$O$19)&amp;"","")="",ISNUMBER(SEARCH($AS$75:$AZ$75,IFERROR(('Final Calculation Sheet'!$O$19)&amp;"","")))))&gt;0))))</f>
        <v>1</v>
      </c>
      <c r="CC20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Sheet'!$P$19)&amp;"","")="",ISNUMBER(SEARCH($AS$76:$AZ$76,IFERROR(('Final Calculation Sheet'!$P$19)&amp;"","")))))&gt;0))))</f>
        <v>1</v>
      </c>
      <c r="CD20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Sheet'!$Q$19)&amp;"","")="",ISNUMBER(SEARCH($AS$77:$AZ$77,IFERROR(('Final Calculation Sheet'!$Q$19)&amp;"","")))))&gt;0))))</f>
        <v>1</v>
      </c>
      <c r="CE20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Sheet'!$R$19)&amp;"","")="",ISNUMBER(SEARCH($AS$78:$AZ$78,IFERROR(('Final Calculation Sheet'!$R$19)&amp;"","")))))&gt;0))))</f>
        <v>1</v>
      </c>
      <c r="CF20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Sheet'!$S$19)&amp;"","")="",ISNUMBER(SEARCH($AS$79:$AZ$79,IFERROR(('Final Calculation Sheet'!$S$19)&amp;"","")))))&gt;0))))</f>
        <v>1</v>
      </c>
      <c r="CG20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Sheet'!$T$19)&amp;"","")="",ISNUMBER(SEARCH($AS$80:$AZ$80,IFERROR(('Final Calculation Sheet'!$T$19)&amp;"","")))))&gt;0))))</f>
        <v>1</v>
      </c>
      <c r="CH20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Sheet'!$U$19)&amp;"","")="",ISNUMBER(SEARCH($AS$81:$AZ$81,IFERROR(('Final Calculation Sheet'!$U$19)&amp;"","")))))&gt;0))))</f>
        <v>1</v>
      </c>
      <c r="CI20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Sheet'!$V$19)&amp;"","")="",ISNUMBER(SEARCH($AS$82:$AZ$82,IFERROR(('Final Calculation Sheet'!$V$19)&amp;"","")))))&gt;0))))</f>
        <v>1</v>
      </c>
      <c r="CJ20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Sheet'!$W$19)&amp;"","")="",ISNUMBER(SEARCH($AS$83:$AZ$83,IFERROR(('Final Calculation Sheet'!$W$19)&amp;"","")))))&gt;0))))</f>
        <v>1</v>
      </c>
      <c r="CK20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Sheet'!$X$19)&amp;"","")="",ISNUMBER(SEARCH($AS$84:$AZ$84,IFERROR(('Final Calculation Sheet'!$X$19)&amp;"","")))))&gt;0))))</f>
        <v>1</v>
      </c>
      <c r="CL20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Sheet'!$Y$19)&amp;"","")="",ISNUMBER(SEARCH($AS$85:$AZ$85,IFERROR(('Final Calculation Sheet'!$Y$19)&amp;"","")))))&gt;0))))</f>
        <v>1</v>
      </c>
      <c r="CM20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Sheet'!$Z$19)&amp;"","")="",ISNUMBER(SEARCH($AS$86:$AZ$86,IFERROR(('Final Calculation Sheet'!$Z$19)&amp;"","")))))&gt;0))))</f>
        <v>1</v>
      </c>
      <c r="CN20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Sheet'!$AA$19)&amp;"","")="",ISNUMBER(SEARCH($AS$87:$AZ$87,IFERROR(('Final Calculation Sheet'!$AA$19)&amp;"","")))))&gt;0))))</f>
        <v>1</v>
      </c>
      <c r="CO20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Sheet'!$AB$19)&amp;"","")="",ISNUMBER(SEARCH($AS$88:$AZ$88,IFERROR(('Final Calculation Sheet'!$AB$19)&amp;"","")))))&gt;0))))</f>
        <v>1</v>
      </c>
      <c r="CP20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Sheet'!$AC$19)&amp;"","")="",ISNUMBER(SEARCH($AS$89:$AZ$89,IFERROR(('Final Calculation Sheet'!$AC$19)&amp;"","")))))&gt;0))))</f>
        <v>1</v>
      </c>
      <c r="CQ20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Sheet'!$AD$19)&amp;"","")="",ISNUMBER(SEARCH($AS$90:$AZ$90,IFERROR(('Final Calculation Sheet'!$AD$19)&amp;"","")))))&gt;0))))</f>
        <v>1</v>
      </c>
      <c r="CR20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Sheet'!$AE$19)&amp;"","")="",ISNUMBER(SEARCH($AS$91:$AZ$91,IFERROR(('Final Calculation Sheet'!$AE$19)&amp;"","")))))&gt;0))))</f>
        <v>1</v>
      </c>
      <c r="CS20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Sheet'!$AF$19)&amp;"","")="",ISNUMBER(SEARCH($AS$92:$AZ$92,IFERROR(('Final Calculation Sheet'!$AF$19)&amp;"","")))))&gt;0))))</f>
        <v>1</v>
      </c>
      <c r="CT20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Sheet'!$AG$19)&amp;"","")="",ISNUMBER(SEARCH($AS$93:$AZ$93,IFERROR(('Final Calculation Sheet'!$AG$19)&amp;"","")))))&gt;0))))</f>
        <v>1</v>
      </c>
      <c r="CU20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Sheet'!$AD$19&lt;=0,"SETTLED","OUTSTANDING"))&amp;"","")="",ISNUMBER(SEARCH($AS$94:$AZ$94,IFERROR((IF('Final Calculation Sheet'!$AD$19&lt;=0,"SETTLED","OUTSTANDING"))&amp;"","")))))&gt;0))))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1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Sheet'!$F$20)&amp;"","")="",ISNUMBER(SEARCH($AS$61:$AZ$61,IFERROR(('Final Calculation Sheet'!$F$20)&amp;"","")))))&gt;0))))</f>
        <v>1</v>
      </c>
      <c r="BO21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Sheet'!$G$20)&amp;"","")="",ISNUMBER(SEARCH($AS$62:$AZ$62,IFERROR(('Final Calculation Sheet'!$G$20)&amp;"","")))))&gt;0))))</f>
        <v>1</v>
      </c>
      <c r="BP21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Sheet'!$B$20)&amp;"","")="",ISNUMBER(SEARCH($AS$63:$AZ$63,IFERROR(('Final Calculation Sheet'!$B$20)&amp;"","")))))&gt;0))))</f>
        <v>1</v>
      </c>
      <c r="BQ21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Sheet'!$D$20)&amp;"","")="",ISNUMBER(SEARCH($AS$64:$AZ$64,IFERROR(('Final Calculation Sheet'!$D$20)&amp;"","")))))&gt;0))))</f>
        <v>1</v>
      </c>
      <c r="BR21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Sheet'!$A$20)&amp;"","")="",ISNUMBER(SEARCH($AS$65:$AZ$65,IFERROR(('Final Calculation Sheet'!$A$20)&amp;"","")))))&gt;0))))</f>
        <v>1</v>
      </c>
      <c r="BS21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Sheet'!$E$20)&amp;"","")="",ISNUMBER(SEARCH($AS$66:$AZ$66,IFERROR(('Final Calculation Sheet'!$E$20)&amp;"","")))))&gt;0))))</f>
        <v>1</v>
      </c>
      <c r="BT21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Sheet'!$C$20)&amp;"","")="",ISNUMBER(SEARCH($AS$67:$AZ$67,IFERROR(('Final Calculation Sheet'!$C$20)&amp;"","")))))&gt;0))))</f>
        <v>1</v>
      </c>
      <c r="BU21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Sheet'!$H$20)&amp;"","")="",ISNUMBER(SEARCH($AS$68:$AZ$68,IFERROR(('Final Calculation Sheet'!$H$20)&amp;"","")))))&gt;0))))</f>
        <v>1</v>
      </c>
      <c r="BV21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Sheet'!$I$20)&amp;"","")="",ISNUMBER(SEARCH($AS$69:$AZ$69,IFERROR(('Final Calculation Sheet'!$I$20)&amp;"","")))))&gt;0))))</f>
        <v>1</v>
      </c>
      <c r="BW21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Sheet'!$J$20)&amp;"","")="",ISNUMBER(SEARCH($AS$70:$AZ$70,IFERROR(('Final Calculation Sheet'!$J$20)&amp;"","")))))&gt;0))))</f>
        <v>1</v>
      </c>
      <c r="BX21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Sheet'!$K$20)&amp;"","")="",ISNUMBER(SEARCH($AS$71:$AZ$71,IFERROR(('Final Calculation Sheet'!$K$20)&amp;"","")))))&gt;0))))</f>
        <v>1</v>
      </c>
      <c r="BY21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Sheet'!$L$20)&amp;"","")="",ISNUMBER(SEARCH($AS$72:$AZ$72,IFERROR(('Final Calculation Sheet'!$L$20)&amp;"","")))))&gt;0))))</f>
        <v>1</v>
      </c>
      <c r="BZ21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Sheet'!$M$20)&amp;"","")="",ISNUMBER(SEARCH($AS$73:$AZ$73,IFERROR(('Final Calculation Sheet'!$M$20)&amp;"","")))))&gt;0))))</f>
        <v>1</v>
      </c>
      <c r="CA21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Sheet'!$N$20)&amp;"","")="",ISNUMBER(SEARCH($AS$74:$AZ$74,IFERROR(('Final Calculation Sheet'!$N$20)&amp;"","")))))&gt;0))))</f>
        <v>1</v>
      </c>
      <c r="CB21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Sheet'!$O$20)&amp;"","")="",ISNUMBER(SEARCH($AS$75:$AZ$75,IFERROR(('Final Calculation Sheet'!$O$20)&amp;"","")))))&gt;0))))</f>
        <v>1</v>
      </c>
      <c r="CC21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Sheet'!$P$20)&amp;"","")="",ISNUMBER(SEARCH($AS$76:$AZ$76,IFERROR(('Final Calculation Sheet'!$P$20)&amp;"","")))))&gt;0))))</f>
        <v>1</v>
      </c>
      <c r="CD21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Sheet'!$Q$20)&amp;"","")="",ISNUMBER(SEARCH($AS$77:$AZ$77,IFERROR(('Final Calculation Sheet'!$Q$20)&amp;"","")))))&gt;0))))</f>
        <v>1</v>
      </c>
      <c r="CE21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Sheet'!$R$20)&amp;"","")="",ISNUMBER(SEARCH($AS$78:$AZ$78,IFERROR(('Final Calculation Sheet'!$R$20)&amp;"","")))))&gt;0))))</f>
        <v>1</v>
      </c>
      <c r="CF21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Sheet'!$S$20)&amp;"","")="",ISNUMBER(SEARCH($AS$79:$AZ$79,IFERROR(('Final Calculation Sheet'!$S$20)&amp;"","")))))&gt;0))))</f>
        <v>1</v>
      </c>
      <c r="CG21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Sheet'!$T$20)&amp;"","")="",ISNUMBER(SEARCH($AS$80:$AZ$80,IFERROR(('Final Calculation Sheet'!$T$20)&amp;"","")))))&gt;0))))</f>
        <v>1</v>
      </c>
      <c r="CH21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Sheet'!$U$20)&amp;"","")="",ISNUMBER(SEARCH($AS$81:$AZ$81,IFERROR(('Final Calculation Sheet'!$U$20)&amp;"","")))))&gt;0))))</f>
        <v>1</v>
      </c>
      <c r="CI21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Sheet'!$V$20)&amp;"","")="",ISNUMBER(SEARCH($AS$82:$AZ$82,IFERROR(('Final Calculation Sheet'!$V$20)&amp;"","")))))&gt;0))))</f>
        <v>1</v>
      </c>
      <c r="CJ21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Sheet'!$W$20)&amp;"","")="",ISNUMBER(SEARCH($AS$83:$AZ$83,IFERROR(('Final Calculation Sheet'!$W$20)&amp;"","")))))&gt;0))))</f>
        <v>1</v>
      </c>
      <c r="CK21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Sheet'!$X$20)&amp;"","")="",ISNUMBER(SEARCH($AS$84:$AZ$84,IFERROR(('Final Calculation Sheet'!$X$20)&amp;"","")))))&gt;0))))</f>
        <v>1</v>
      </c>
      <c r="CL21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Sheet'!$Y$20)&amp;"","")="",ISNUMBER(SEARCH($AS$85:$AZ$85,IFERROR(('Final Calculation Sheet'!$Y$20)&amp;"","")))))&gt;0))))</f>
        <v>1</v>
      </c>
      <c r="CM21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Sheet'!$Z$20)&amp;"","")="",ISNUMBER(SEARCH($AS$86:$AZ$86,IFERROR(('Final Calculation Sheet'!$Z$20)&amp;"","")))))&gt;0))))</f>
        <v>1</v>
      </c>
      <c r="CN21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Sheet'!$AA$20)&amp;"","")="",ISNUMBER(SEARCH($AS$87:$AZ$87,IFERROR(('Final Calculation Sheet'!$AA$20)&amp;"","")))))&gt;0))))</f>
        <v>1</v>
      </c>
      <c r="CO21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Sheet'!$AB$20)&amp;"","")="",ISNUMBER(SEARCH($AS$88:$AZ$88,IFERROR(('Final Calculation Sheet'!$AB$20)&amp;"","")))))&gt;0))))</f>
        <v>1</v>
      </c>
      <c r="CP21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Sheet'!$AC$20)&amp;"","")="",ISNUMBER(SEARCH($AS$89:$AZ$89,IFERROR(('Final Calculation Sheet'!$AC$20)&amp;"","")))))&gt;0))))</f>
        <v>1</v>
      </c>
      <c r="CQ21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Sheet'!$AD$20)&amp;"","")="",ISNUMBER(SEARCH($AS$90:$AZ$90,IFERROR(('Final Calculation Sheet'!$AD$20)&amp;"","")))))&gt;0))))</f>
        <v>1</v>
      </c>
      <c r="CR21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Sheet'!$AE$20)&amp;"","")="",ISNUMBER(SEARCH($AS$91:$AZ$91,IFERROR(('Final Calculation Sheet'!$AE$20)&amp;"","")))))&gt;0))))</f>
        <v>1</v>
      </c>
      <c r="CS21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Sheet'!$AF$20)&amp;"","")="",ISNUMBER(SEARCH($AS$92:$AZ$92,IFERROR(('Final Calculation Sheet'!$AF$20)&amp;"","")))))&gt;0))))</f>
        <v>1</v>
      </c>
      <c r="CT21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Sheet'!$AG$20)&amp;"","")="",ISNUMBER(SEARCH($AS$93:$AZ$93,IFERROR(('Final Calculation Sheet'!$AG$20)&amp;"","")))))&gt;0))))</f>
        <v>1</v>
      </c>
      <c r="CU21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Sheet'!$AD$20&lt;=0,"SETTLED","OUTSTANDING"))&amp;"","")="",ISNUMBER(SEARCH($AS$94:$AZ$94,IFERROR((IF('Final Calculation Sheet'!$AD$20&lt;=0,"SETTLED","OUTSTANDING"))&amp;"","")))))&gt;0))))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2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Sheet'!$F$21)&amp;"","")="",ISNUMBER(SEARCH($AS$61:$AZ$61,IFERROR(('Final Calculation Sheet'!$F$21)&amp;"","")))))&gt;0))))</f>
        <v>1</v>
      </c>
      <c r="BO22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Sheet'!$G$21)&amp;"","")="",ISNUMBER(SEARCH($AS$62:$AZ$62,IFERROR(('Final Calculation Sheet'!$G$21)&amp;"","")))))&gt;0))))</f>
        <v>1</v>
      </c>
      <c r="BP22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Sheet'!$B$21)&amp;"","")="",ISNUMBER(SEARCH($AS$63:$AZ$63,IFERROR(('Final Calculation Sheet'!$B$21)&amp;"","")))))&gt;0))))</f>
        <v>1</v>
      </c>
      <c r="BQ22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Sheet'!$D$21)&amp;"","")="",ISNUMBER(SEARCH($AS$64:$AZ$64,IFERROR(('Final Calculation Sheet'!$D$21)&amp;"","")))))&gt;0))))</f>
        <v>1</v>
      </c>
      <c r="BR22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Sheet'!$A$21)&amp;"","")="",ISNUMBER(SEARCH($AS$65:$AZ$65,IFERROR(('Final Calculation Sheet'!$A$21)&amp;"","")))))&gt;0))))</f>
        <v>1</v>
      </c>
      <c r="BS22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Sheet'!$E$21)&amp;"","")="",ISNUMBER(SEARCH($AS$66:$AZ$66,IFERROR(('Final Calculation Sheet'!$E$21)&amp;"","")))))&gt;0))))</f>
        <v>1</v>
      </c>
      <c r="BT22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Sheet'!$C$21)&amp;"","")="",ISNUMBER(SEARCH($AS$67:$AZ$67,IFERROR(('Final Calculation Sheet'!$C$21)&amp;"","")))))&gt;0))))</f>
        <v>1</v>
      </c>
      <c r="BU22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Sheet'!$H$21)&amp;"","")="",ISNUMBER(SEARCH($AS$68:$AZ$68,IFERROR(('Final Calculation Sheet'!$H$21)&amp;"","")))))&gt;0))))</f>
        <v>1</v>
      </c>
      <c r="BV22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Sheet'!$I$21)&amp;"","")="",ISNUMBER(SEARCH($AS$69:$AZ$69,IFERROR(('Final Calculation Sheet'!$I$21)&amp;"","")))))&gt;0))))</f>
        <v>1</v>
      </c>
      <c r="BW22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Sheet'!$J$21)&amp;"","")="",ISNUMBER(SEARCH($AS$70:$AZ$70,IFERROR(('Final Calculation Sheet'!$J$21)&amp;"","")))))&gt;0))))</f>
        <v>1</v>
      </c>
      <c r="BX22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Sheet'!$K$21)&amp;"","")="",ISNUMBER(SEARCH($AS$71:$AZ$71,IFERROR(('Final Calculation Sheet'!$K$21)&amp;"","")))))&gt;0))))</f>
        <v>1</v>
      </c>
      <c r="BY22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Sheet'!$L$21)&amp;"","")="",ISNUMBER(SEARCH($AS$72:$AZ$72,IFERROR(('Final Calculation Sheet'!$L$21)&amp;"","")))))&gt;0))))</f>
        <v>1</v>
      </c>
      <c r="BZ22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Sheet'!$M$21)&amp;"","")="",ISNUMBER(SEARCH($AS$73:$AZ$73,IFERROR(('Final Calculation Sheet'!$M$21)&amp;"","")))))&gt;0))))</f>
        <v>1</v>
      </c>
      <c r="CA22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Sheet'!$N$21)&amp;"","")="",ISNUMBER(SEARCH($AS$74:$AZ$74,IFERROR(('Final Calculation Sheet'!$N$21)&amp;"","")))))&gt;0))))</f>
        <v>1</v>
      </c>
      <c r="CB22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Sheet'!$O$21)&amp;"","")="",ISNUMBER(SEARCH($AS$75:$AZ$75,IFERROR(('Final Calculation Sheet'!$O$21)&amp;"","")))))&gt;0))))</f>
        <v>1</v>
      </c>
      <c r="CC22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Sheet'!$P$21)&amp;"","")="",ISNUMBER(SEARCH($AS$76:$AZ$76,IFERROR(('Final Calculation Sheet'!$P$21)&amp;"","")))))&gt;0))))</f>
        <v>1</v>
      </c>
      <c r="CD22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Sheet'!$Q$21)&amp;"","")="",ISNUMBER(SEARCH($AS$77:$AZ$77,IFERROR(('Final Calculation Sheet'!$Q$21)&amp;"","")))))&gt;0))))</f>
        <v>1</v>
      </c>
      <c r="CE22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Sheet'!$R$21)&amp;"","")="",ISNUMBER(SEARCH($AS$78:$AZ$78,IFERROR(('Final Calculation Sheet'!$R$21)&amp;"","")))))&gt;0))))</f>
        <v>1</v>
      </c>
      <c r="CF22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Sheet'!$S$21)&amp;"","")="",ISNUMBER(SEARCH($AS$79:$AZ$79,IFERROR(('Final Calculation Sheet'!$S$21)&amp;"","")))))&gt;0))))</f>
        <v>1</v>
      </c>
      <c r="CG22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Sheet'!$T$21)&amp;"","")="",ISNUMBER(SEARCH($AS$80:$AZ$80,IFERROR(('Final Calculation Sheet'!$T$21)&amp;"","")))))&gt;0))))</f>
        <v>1</v>
      </c>
      <c r="CH22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Sheet'!$U$21)&amp;"","")="",ISNUMBER(SEARCH($AS$81:$AZ$81,IFERROR(('Final Calculation Sheet'!$U$21)&amp;"","")))))&gt;0))))</f>
        <v>1</v>
      </c>
      <c r="CI22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Sheet'!$V$21)&amp;"","")="",ISNUMBER(SEARCH($AS$82:$AZ$82,IFERROR(('Final Calculation Sheet'!$V$21)&amp;"","")))))&gt;0))))</f>
        <v>1</v>
      </c>
      <c r="CJ22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Sheet'!$W$21)&amp;"","")="",ISNUMBER(SEARCH($AS$83:$AZ$83,IFERROR(('Final Calculation Sheet'!$W$21)&amp;"","")))))&gt;0))))</f>
        <v>1</v>
      </c>
      <c r="CK22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Sheet'!$X$21)&amp;"","")="",ISNUMBER(SEARCH($AS$84:$AZ$84,IFERROR(('Final Calculation Sheet'!$X$21)&amp;"","")))))&gt;0))))</f>
        <v>1</v>
      </c>
      <c r="CL22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Sheet'!$Y$21)&amp;"","")="",ISNUMBER(SEARCH($AS$85:$AZ$85,IFERROR(('Final Calculation Sheet'!$Y$21)&amp;"","")))))&gt;0))))</f>
        <v>1</v>
      </c>
      <c r="CM22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Sheet'!$Z$21)&amp;"","")="",ISNUMBER(SEARCH($AS$86:$AZ$86,IFERROR(('Final Calculation Sheet'!$Z$21)&amp;"","")))))&gt;0))))</f>
        <v>1</v>
      </c>
      <c r="CN22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Sheet'!$AA$21)&amp;"","")="",ISNUMBER(SEARCH($AS$87:$AZ$87,IFERROR(('Final Calculation Sheet'!$AA$21)&amp;"","")))))&gt;0))))</f>
        <v>1</v>
      </c>
      <c r="CO22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Sheet'!$AB$21)&amp;"","")="",ISNUMBER(SEARCH($AS$88:$AZ$88,IFERROR(('Final Calculation Sheet'!$AB$21)&amp;"","")))))&gt;0))))</f>
        <v>1</v>
      </c>
      <c r="CP22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Sheet'!$AC$21)&amp;"","")="",ISNUMBER(SEARCH($AS$89:$AZ$89,IFERROR(('Final Calculation Sheet'!$AC$21)&amp;"","")))))&gt;0))))</f>
        <v>1</v>
      </c>
      <c r="CQ22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Sheet'!$AD$21)&amp;"","")="",ISNUMBER(SEARCH($AS$90:$AZ$90,IFERROR(('Final Calculation Sheet'!$AD$21)&amp;"","")))))&gt;0))))</f>
        <v>1</v>
      </c>
      <c r="CR22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Sheet'!$AE$21)&amp;"","")="",ISNUMBER(SEARCH($AS$91:$AZ$91,IFERROR(('Final Calculation Sheet'!$AE$21)&amp;"","")))))&gt;0))))</f>
        <v>1</v>
      </c>
      <c r="CS22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Sheet'!$AF$21)&amp;"","")="",ISNUMBER(SEARCH($AS$92:$AZ$92,IFERROR(('Final Calculation Sheet'!$AF$21)&amp;"","")))))&gt;0))))</f>
        <v>1</v>
      </c>
      <c r="CT22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Sheet'!$AG$21)&amp;"","")="",ISNUMBER(SEARCH($AS$93:$AZ$93,IFERROR(('Final Calculation Sheet'!$AG$21)&amp;"","")))))&gt;0))))</f>
        <v>1</v>
      </c>
      <c r="CU22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Sheet'!$AD$21&lt;=0,"SETTLED","OUTSTANDING"))&amp;"","")="",ISNUMBER(SEARCH($AS$94:$AZ$94,IFERROR((IF('Final Calculation Sheet'!$AD$21&lt;=0,"SETTLED","OUTSTANDING"))&amp;"","")))))&gt;0))))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3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Sheet'!$F$22)&amp;"","")="",ISNUMBER(SEARCH($AS$61:$AZ$61,IFERROR(('Final Calculation Sheet'!$F$22)&amp;"","")))))&gt;0))))</f>
        <v>1</v>
      </c>
      <c r="BO23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Sheet'!$G$22)&amp;"","")="",ISNUMBER(SEARCH($AS$62:$AZ$62,IFERROR(('Final Calculation Sheet'!$G$22)&amp;"","")))))&gt;0))))</f>
        <v>1</v>
      </c>
      <c r="BP23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Sheet'!$B$22)&amp;"","")="",ISNUMBER(SEARCH($AS$63:$AZ$63,IFERROR(('Final Calculation Sheet'!$B$22)&amp;"","")))))&gt;0))))</f>
        <v>1</v>
      </c>
      <c r="BQ23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Sheet'!$D$22)&amp;"","")="",ISNUMBER(SEARCH($AS$64:$AZ$64,IFERROR(('Final Calculation Sheet'!$D$22)&amp;"","")))))&gt;0))))</f>
        <v>1</v>
      </c>
      <c r="BR23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Sheet'!$A$22)&amp;"","")="",ISNUMBER(SEARCH($AS$65:$AZ$65,IFERROR(('Final Calculation Sheet'!$A$22)&amp;"","")))))&gt;0))))</f>
        <v>1</v>
      </c>
      <c r="BS23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Sheet'!$E$22)&amp;"","")="",ISNUMBER(SEARCH($AS$66:$AZ$66,IFERROR(('Final Calculation Sheet'!$E$22)&amp;"","")))))&gt;0))))</f>
        <v>1</v>
      </c>
      <c r="BT23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Sheet'!$C$22)&amp;"","")="",ISNUMBER(SEARCH($AS$67:$AZ$67,IFERROR(('Final Calculation Sheet'!$C$22)&amp;"","")))))&gt;0))))</f>
        <v>1</v>
      </c>
      <c r="BU23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Sheet'!$H$22)&amp;"","")="",ISNUMBER(SEARCH($AS$68:$AZ$68,IFERROR(('Final Calculation Sheet'!$H$22)&amp;"","")))))&gt;0))))</f>
        <v>1</v>
      </c>
      <c r="BV23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Sheet'!$I$22)&amp;"","")="",ISNUMBER(SEARCH($AS$69:$AZ$69,IFERROR(('Final Calculation Sheet'!$I$22)&amp;"","")))))&gt;0))))</f>
        <v>1</v>
      </c>
      <c r="BW23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Sheet'!$J$22)&amp;"","")="",ISNUMBER(SEARCH($AS$70:$AZ$70,IFERROR(('Final Calculation Sheet'!$J$22)&amp;"","")))))&gt;0))))</f>
        <v>1</v>
      </c>
      <c r="BX23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Sheet'!$K$22)&amp;"","")="",ISNUMBER(SEARCH($AS$71:$AZ$71,IFERROR(('Final Calculation Sheet'!$K$22)&amp;"","")))))&gt;0))))</f>
        <v>1</v>
      </c>
      <c r="BY23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Sheet'!$L$22)&amp;"","")="",ISNUMBER(SEARCH($AS$72:$AZ$72,IFERROR(('Final Calculation Sheet'!$L$22)&amp;"","")))))&gt;0))))</f>
        <v>1</v>
      </c>
      <c r="BZ23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Sheet'!$M$22)&amp;"","")="",ISNUMBER(SEARCH($AS$73:$AZ$73,IFERROR(('Final Calculation Sheet'!$M$22)&amp;"","")))))&gt;0))))</f>
        <v>1</v>
      </c>
      <c r="CA23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Sheet'!$N$22)&amp;"","")="",ISNUMBER(SEARCH($AS$74:$AZ$74,IFERROR(('Final Calculation Sheet'!$N$22)&amp;"","")))))&gt;0))))</f>
        <v>1</v>
      </c>
      <c r="CB23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Sheet'!$O$22)&amp;"","")="",ISNUMBER(SEARCH($AS$75:$AZ$75,IFERROR(('Final Calculation Sheet'!$O$22)&amp;"","")))))&gt;0))))</f>
        <v>1</v>
      </c>
      <c r="CC23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Sheet'!$P$22)&amp;"","")="",ISNUMBER(SEARCH($AS$76:$AZ$76,IFERROR(('Final Calculation Sheet'!$P$22)&amp;"","")))))&gt;0))))</f>
        <v>1</v>
      </c>
      <c r="CD23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Sheet'!$Q$22)&amp;"","")="",ISNUMBER(SEARCH($AS$77:$AZ$77,IFERROR(('Final Calculation Sheet'!$Q$22)&amp;"","")))))&gt;0))))</f>
        <v>1</v>
      </c>
      <c r="CE23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Sheet'!$R$22)&amp;"","")="",ISNUMBER(SEARCH($AS$78:$AZ$78,IFERROR(('Final Calculation Sheet'!$R$22)&amp;"","")))))&gt;0))))</f>
        <v>1</v>
      </c>
      <c r="CF23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Sheet'!$S$22)&amp;"","")="",ISNUMBER(SEARCH($AS$79:$AZ$79,IFERROR(('Final Calculation Sheet'!$S$22)&amp;"","")))))&gt;0))))</f>
        <v>1</v>
      </c>
      <c r="CG23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Sheet'!$T$22)&amp;"","")="",ISNUMBER(SEARCH($AS$80:$AZ$80,IFERROR(('Final Calculation Sheet'!$T$22)&amp;"","")))))&gt;0))))</f>
        <v>1</v>
      </c>
      <c r="CH23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Sheet'!$U$22)&amp;"","")="",ISNUMBER(SEARCH($AS$81:$AZ$81,IFERROR(('Final Calculation Sheet'!$U$22)&amp;"","")))))&gt;0))))</f>
        <v>1</v>
      </c>
      <c r="CI23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Sheet'!$V$22)&amp;"","")="",ISNUMBER(SEARCH($AS$82:$AZ$82,IFERROR(('Final Calculation Sheet'!$V$22)&amp;"","")))))&gt;0))))</f>
        <v>1</v>
      </c>
      <c r="CJ23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Sheet'!$W$22)&amp;"","")="",ISNUMBER(SEARCH($AS$83:$AZ$83,IFERROR(('Final Calculation Sheet'!$W$22)&amp;"","")))))&gt;0))))</f>
        <v>1</v>
      </c>
      <c r="CK23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Sheet'!$X$22)&amp;"","")="",ISNUMBER(SEARCH($AS$84:$AZ$84,IFERROR(('Final Calculation Sheet'!$X$22)&amp;"","")))))&gt;0))))</f>
        <v>1</v>
      </c>
      <c r="CL23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Sheet'!$Y$22)&amp;"","")="",ISNUMBER(SEARCH($AS$85:$AZ$85,IFERROR(('Final Calculation Sheet'!$Y$22)&amp;"","")))))&gt;0))))</f>
        <v>1</v>
      </c>
      <c r="CM23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Sheet'!$Z$22)&amp;"","")="",ISNUMBER(SEARCH($AS$86:$AZ$86,IFERROR(('Final Calculation Sheet'!$Z$22)&amp;"","")))))&gt;0))))</f>
        <v>1</v>
      </c>
      <c r="CN23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Sheet'!$AA$22)&amp;"","")="",ISNUMBER(SEARCH($AS$87:$AZ$87,IFERROR(('Final Calculation Sheet'!$AA$22)&amp;"","")))))&gt;0))))</f>
        <v>1</v>
      </c>
      <c r="CO23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Sheet'!$AB$22)&amp;"","")="",ISNUMBER(SEARCH($AS$88:$AZ$88,IFERROR(('Final Calculation Sheet'!$AB$22)&amp;"","")))))&gt;0))))</f>
        <v>1</v>
      </c>
      <c r="CP23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Sheet'!$AC$22)&amp;"","")="",ISNUMBER(SEARCH($AS$89:$AZ$89,IFERROR(('Final Calculation Sheet'!$AC$22)&amp;"","")))))&gt;0))))</f>
        <v>1</v>
      </c>
      <c r="CQ23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Sheet'!$AD$22)&amp;"","")="",ISNUMBER(SEARCH($AS$90:$AZ$90,IFERROR(('Final Calculation Sheet'!$AD$22)&amp;"","")))))&gt;0))))</f>
        <v>1</v>
      </c>
      <c r="CR23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Sheet'!$AE$22)&amp;"","")="",ISNUMBER(SEARCH($AS$91:$AZ$91,IFERROR(('Final Calculation Sheet'!$AE$22)&amp;"","")))))&gt;0))))</f>
        <v>1</v>
      </c>
      <c r="CS23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Sheet'!$AF$22)&amp;"","")="",ISNUMBER(SEARCH($AS$92:$AZ$92,IFERROR(('Final Calculation Sheet'!$AF$22)&amp;"","")))))&gt;0))))</f>
        <v>1</v>
      </c>
      <c r="CT23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Sheet'!$AG$22)&amp;"","")="",ISNUMBER(SEARCH($AS$93:$AZ$93,IFERROR(('Final Calculation Sheet'!$AG$22)&amp;"","")))))&gt;0))))</f>
        <v>1</v>
      </c>
      <c r="CU23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Sheet'!$AD$22&lt;=0,"SETTLED","OUTSTANDING"))&amp;"","")="",ISNUMBER(SEARCH($AS$94:$AZ$94,IFERROR((IF('Final Calculation Sheet'!$AD$22&lt;=0,"SETTLED","OUTSTANDING"))&amp;"","")))))&gt;0))))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4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Sheet'!$F$23)&amp;"","")="",ISNUMBER(SEARCH($AS$61:$AZ$61,IFERROR(('Final Calculation Sheet'!$F$23)&amp;"","")))))&gt;0))))</f>
        <v>1</v>
      </c>
      <c r="BO24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Sheet'!$G$23)&amp;"","")="",ISNUMBER(SEARCH($AS$62:$AZ$62,IFERROR(('Final Calculation Sheet'!$G$23)&amp;"","")))))&gt;0))))</f>
        <v>1</v>
      </c>
      <c r="BP24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Sheet'!$B$23)&amp;"","")="",ISNUMBER(SEARCH($AS$63:$AZ$63,IFERROR(('Final Calculation Sheet'!$B$23)&amp;"","")))))&gt;0))))</f>
        <v>1</v>
      </c>
      <c r="BQ24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Sheet'!$D$23)&amp;"","")="",ISNUMBER(SEARCH($AS$64:$AZ$64,IFERROR(('Final Calculation Sheet'!$D$23)&amp;"","")))))&gt;0))))</f>
        <v>1</v>
      </c>
      <c r="BR24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Sheet'!$A$23)&amp;"","")="",ISNUMBER(SEARCH($AS$65:$AZ$65,IFERROR(('Final Calculation Sheet'!$A$23)&amp;"","")))))&gt;0))))</f>
        <v>1</v>
      </c>
      <c r="BS24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Sheet'!$E$23)&amp;"","")="",ISNUMBER(SEARCH($AS$66:$AZ$66,IFERROR(('Final Calculation Sheet'!$E$23)&amp;"","")))))&gt;0))))</f>
        <v>1</v>
      </c>
      <c r="BT24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Sheet'!$C$23)&amp;"","")="",ISNUMBER(SEARCH($AS$67:$AZ$67,IFERROR(('Final Calculation Sheet'!$C$23)&amp;"","")))))&gt;0))))</f>
        <v>1</v>
      </c>
      <c r="BU24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Sheet'!$H$23)&amp;"","")="",ISNUMBER(SEARCH($AS$68:$AZ$68,IFERROR(('Final Calculation Sheet'!$H$23)&amp;"","")))))&gt;0))))</f>
        <v>1</v>
      </c>
      <c r="BV24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Sheet'!$I$23)&amp;"","")="",ISNUMBER(SEARCH($AS$69:$AZ$69,IFERROR(('Final Calculation Sheet'!$I$23)&amp;"","")))))&gt;0))))</f>
        <v>1</v>
      </c>
      <c r="BW24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Sheet'!$J$23)&amp;"","")="",ISNUMBER(SEARCH($AS$70:$AZ$70,IFERROR(('Final Calculation Sheet'!$J$23)&amp;"","")))))&gt;0))))</f>
        <v>1</v>
      </c>
      <c r="BX24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Sheet'!$K$23)&amp;"","")="",ISNUMBER(SEARCH($AS$71:$AZ$71,IFERROR(('Final Calculation Sheet'!$K$23)&amp;"","")))))&gt;0))))</f>
        <v>1</v>
      </c>
      <c r="BY24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Sheet'!$L$23)&amp;"","")="",ISNUMBER(SEARCH($AS$72:$AZ$72,IFERROR(('Final Calculation Sheet'!$L$23)&amp;"","")))))&gt;0))))</f>
        <v>1</v>
      </c>
      <c r="BZ24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Sheet'!$M$23)&amp;"","")="",ISNUMBER(SEARCH($AS$73:$AZ$73,IFERROR(('Final Calculation Sheet'!$M$23)&amp;"","")))))&gt;0))))</f>
        <v>1</v>
      </c>
      <c r="CA24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Sheet'!$N$23)&amp;"","")="",ISNUMBER(SEARCH($AS$74:$AZ$74,IFERROR(('Final Calculation Sheet'!$N$23)&amp;"","")))))&gt;0))))</f>
        <v>1</v>
      </c>
      <c r="CB24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Sheet'!$O$23)&amp;"","")="",ISNUMBER(SEARCH($AS$75:$AZ$75,IFERROR(('Final Calculation Sheet'!$O$23)&amp;"","")))))&gt;0))))</f>
        <v>1</v>
      </c>
      <c r="CC24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Sheet'!$P$23)&amp;"","")="",ISNUMBER(SEARCH($AS$76:$AZ$76,IFERROR(('Final Calculation Sheet'!$P$23)&amp;"","")))))&gt;0))))</f>
        <v>1</v>
      </c>
      <c r="CD24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Sheet'!$Q$23)&amp;"","")="",ISNUMBER(SEARCH($AS$77:$AZ$77,IFERROR(('Final Calculation Sheet'!$Q$23)&amp;"","")))))&gt;0))))</f>
        <v>1</v>
      </c>
      <c r="CE24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Sheet'!$R$23)&amp;"","")="",ISNUMBER(SEARCH($AS$78:$AZ$78,IFERROR(('Final Calculation Sheet'!$R$23)&amp;"","")))))&gt;0))))</f>
        <v>1</v>
      </c>
      <c r="CF24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Sheet'!$S$23)&amp;"","")="",ISNUMBER(SEARCH($AS$79:$AZ$79,IFERROR(('Final Calculation Sheet'!$S$23)&amp;"","")))))&gt;0))))</f>
        <v>1</v>
      </c>
      <c r="CG24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Sheet'!$T$23)&amp;"","")="",ISNUMBER(SEARCH($AS$80:$AZ$80,IFERROR(('Final Calculation Sheet'!$T$23)&amp;"","")))))&gt;0))))</f>
        <v>1</v>
      </c>
      <c r="CH24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Sheet'!$U$23)&amp;"","")="",ISNUMBER(SEARCH($AS$81:$AZ$81,IFERROR(('Final Calculation Sheet'!$U$23)&amp;"","")))))&gt;0))))</f>
        <v>1</v>
      </c>
      <c r="CI24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Sheet'!$V$23)&amp;"","")="",ISNUMBER(SEARCH($AS$82:$AZ$82,IFERROR(('Final Calculation Sheet'!$V$23)&amp;"","")))))&gt;0))))</f>
        <v>1</v>
      </c>
      <c r="CJ24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Sheet'!$W$23)&amp;"","")="",ISNUMBER(SEARCH($AS$83:$AZ$83,IFERROR(('Final Calculation Sheet'!$W$23)&amp;"","")))))&gt;0))))</f>
        <v>1</v>
      </c>
      <c r="CK24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Sheet'!$X$23)&amp;"","")="",ISNUMBER(SEARCH($AS$84:$AZ$84,IFERROR(('Final Calculation Sheet'!$X$23)&amp;"","")))))&gt;0))))</f>
        <v>1</v>
      </c>
      <c r="CL24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Sheet'!$Y$23)&amp;"","")="",ISNUMBER(SEARCH($AS$85:$AZ$85,IFERROR(('Final Calculation Sheet'!$Y$23)&amp;"","")))))&gt;0))))</f>
        <v>1</v>
      </c>
      <c r="CM24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Sheet'!$Z$23)&amp;"","")="",ISNUMBER(SEARCH($AS$86:$AZ$86,IFERROR(('Final Calculation Sheet'!$Z$23)&amp;"","")))))&gt;0))))</f>
        <v>1</v>
      </c>
      <c r="CN24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Sheet'!$AA$23)&amp;"","")="",ISNUMBER(SEARCH($AS$87:$AZ$87,IFERROR(('Final Calculation Sheet'!$AA$23)&amp;"","")))))&gt;0))))</f>
        <v>1</v>
      </c>
      <c r="CO24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Sheet'!$AB$23)&amp;"","")="",ISNUMBER(SEARCH($AS$88:$AZ$88,IFERROR(('Final Calculation Sheet'!$AB$23)&amp;"","")))))&gt;0))))</f>
        <v>1</v>
      </c>
      <c r="CP24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Sheet'!$AC$23)&amp;"","")="",ISNUMBER(SEARCH($AS$89:$AZ$89,IFERROR(('Final Calculation Sheet'!$AC$23)&amp;"","")))))&gt;0))))</f>
        <v>1</v>
      </c>
      <c r="CQ24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Sheet'!$AD$23)&amp;"","")="",ISNUMBER(SEARCH($AS$90:$AZ$90,IFERROR(('Final Calculation Sheet'!$AD$23)&amp;"","")))))&gt;0))))</f>
        <v>1</v>
      </c>
      <c r="CR24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Sheet'!$AE$23)&amp;"","")="",ISNUMBER(SEARCH($AS$91:$AZ$91,IFERROR(('Final Calculation Sheet'!$AE$23)&amp;"","")))))&gt;0))))</f>
        <v>1</v>
      </c>
      <c r="CS24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Sheet'!$AF$23)&amp;"","")="",ISNUMBER(SEARCH($AS$92:$AZ$92,IFERROR(('Final Calculation Sheet'!$AF$23)&amp;"","")))))&gt;0))))</f>
        <v>1</v>
      </c>
      <c r="CT24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Sheet'!$AG$23)&amp;"","")="",ISNUMBER(SEARCH($AS$93:$AZ$93,IFERROR(('Final Calculation Sheet'!$AG$23)&amp;"","")))))&gt;0))))</f>
        <v>1</v>
      </c>
      <c r="CU24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Sheet'!$AD$23&lt;=0,"SETTLED","OUTSTANDING"))&amp;"","")="",ISNUMBER(SEARCH($AS$94:$AZ$94,IFERROR((IF('Final Calculation Sheet'!$AD$23&lt;=0,"SETTLED","OUTSTANDING"))&amp;"","")))))&gt;0))))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5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Sheet'!$F$24)&amp;"","")="",ISNUMBER(SEARCH($AS$61:$AZ$61,IFERROR(('Final Calculation Sheet'!$F$24)&amp;"","")))))&gt;0))))</f>
        <v>1</v>
      </c>
      <c r="BO25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Sheet'!$G$24)&amp;"","")="",ISNUMBER(SEARCH($AS$62:$AZ$62,IFERROR(('Final Calculation Sheet'!$G$24)&amp;"","")))))&gt;0))))</f>
        <v>1</v>
      </c>
      <c r="BP25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Sheet'!$B$24)&amp;"","")="",ISNUMBER(SEARCH($AS$63:$AZ$63,IFERROR(('Final Calculation Sheet'!$B$24)&amp;"","")))))&gt;0))))</f>
        <v>1</v>
      </c>
      <c r="BQ25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Sheet'!$D$24)&amp;"","")="",ISNUMBER(SEARCH($AS$64:$AZ$64,IFERROR(('Final Calculation Sheet'!$D$24)&amp;"","")))))&gt;0))))</f>
        <v>1</v>
      </c>
      <c r="BR25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Sheet'!$A$24)&amp;"","")="",ISNUMBER(SEARCH($AS$65:$AZ$65,IFERROR(('Final Calculation Sheet'!$A$24)&amp;"","")))))&gt;0))))</f>
        <v>1</v>
      </c>
      <c r="BS25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Sheet'!$E$24)&amp;"","")="",ISNUMBER(SEARCH($AS$66:$AZ$66,IFERROR(('Final Calculation Sheet'!$E$24)&amp;"","")))))&gt;0))))</f>
        <v>1</v>
      </c>
      <c r="BT25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Sheet'!$C$24)&amp;"","")="",ISNUMBER(SEARCH($AS$67:$AZ$67,IFERROR(('Final Calculation Sheet'!$C$24)&amp;"","")))))&gt;0))))</f>
        <v>1</v>
      </c>
      <c r="BU25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Sheet'!$H$24)&amp;"","")="",ISNUMBER(SEARCH($AS$68:$AZ$68,IFERROR(('Final Calculation Sheet'!$H$24)&amp;"","")))))&gt;0))))</f>
        <v>1</v>
      </c>
      <c r="BV25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Sheet'!$I$24)&amp;"","")="",ISNUMBER(SEARCH($AS$69:$AZ$69,IFERROR(('Final Calculation Sheet'!$I$24)&amp;"","")))))&gt;0))))</f>
        <v>1</v>
      </c>
      <c r="BW25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Sheet'!$J$24)&amp;"","")="",ISNUMBER(SEARCH($AS$70:$AZ$70,IFERROR(('Final Calculation Sheet'!$J$24)&amp;"","")))))&gt;0))))</f>
        <v>1</v>
      </c>
      <c r="BX25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Sheet'!$K$24)&amp;"","")="",ISNUMBER(SEARCH($AS$71:$AZ$71,IFERROR(('Final Calculation Sheet'!$K$24)&amp;"","")))))&gt;0))))</f>
        <v>1</v>
      </c>
      <c r="BY25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Sheet'!$L$24)&amp;"","")="",ISNUMBER(SEARCH($AS$72:$AZ$72,IFERROR(('Final Calculation Sheet'!$L$24)&amp;"","")))))&gt;0))))</f>
        <v>1</v>
      </c>
      <c r="BZ25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Sheet'!$M$24)&amp;"","")="",ISNUMBER(SEARCH($AS$73:$AZ$73,IFERROR(('Final Calculation Sheet'!$M$24)&amp;"","")))))&gt;0))))</f>
        <v>1</v>
      </c>
      <c r="CA25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Sheet'!$N$24)&amp;"","")="",ISNUMBER(SEARCH($AS$74:$AZ$74,IFERROR(('Final Calculation Sheet'!$N$24)&amp;"","")))))&gt;0))))</f>
        <v>1</v>
      </c>
      <c r="CB25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Sheet'!$O$24)&amp;"","")="",ISNUMBER(SEARCH($AS$75:$AZ$75,IFERROR(('Final Calculation Sheet'!$O$24)&amp;"","")))))&gt;0))))</f>
        <v>1</v>
      </c>
      <c r="CC25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Sheet'!$P$24)&amp;"","")="",ISNUMBER(SEARCH($AS$76:$AZ$76,IFERROR(('Final Calculation Sheet'!$P$24)&amp;"","")))))&gt;0))))</f>
        <v>1</v>
      </c>
      <c r="CD25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Sheet'!$Q$24)&amp;"","")="",ISNUMBER(SEARCH($AS$77:$AZ$77,IFERROR(('Final Calculation Sheet'!$Q$24)&amp;"","")))))&gt;0))))</f>
        <v>1</v>
      </c>
      <c r="CE25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Sheet'!$R$24)&amp;"","")="",ISNUMBER(SEARCH($AS$78:$AZ$78,IFERROR(('Final Calculation Sheet'!$R$24)&amp;"","")))))&gt;0))))</f>
        <v>1</v>
      </c>
      <c r="CF25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Sheet'!$S$24)&amp;"","")="",ISNUMBER(SEARCH($AS$79:$AZ$79,IFERROR(('Final Calculation Sheet'!$S$24)&amp;"","")))))&gt;0))))</f>
        <v>1</v>
      </c>
      <c r="CG25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Sheet'!$T$24)&amp;"","")="",ISNUMBER(SEARCH($AS$80:$AZ$80,IFERROR(('Final Calculation Sheet'!$T$24)&amp;"","")))))&gt;0))))</f>
        <v>1</v>
      </c>
      <c r="CH25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Sheet'!$U$24)&amp;"","")="",ISNUMBER(SEARCH($AS$81:$AZ$81,IFERROR(('Final Calculation Sheet'!$U$24)&amp;"","")))))&gt;0))))</f>
        <v>1</v>
      </c>
      <c r="CI25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Sheet'!$V$24)&amp;"","")="",ISNUMBER(SEARCH($AS$82:$AZ$82,IFERROR(('Final Calculation Sheet'!$V$24)&amp;"","")))))&gt;0))))</f>
        <v>1</v>
      </c>
      <c r="CJ25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Sheet'!$W$24)&amp;"","")="",ISNUMBER(SEARCH($AS$83:$AZ$83,IFERROR(('Final Calculation Sheet'!$W$24)&amp;"","")))))&gt;0))))</f>
        <v>1</v>
      </c>
      <c r="CK25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Sheet'!$X$24)&amp;"","")="",ISNUMBER(SEARCH($AS$84:$AZ$84,IFERROR(('Final Calculation Sheet'!$X$24)&amp;"","")))))&gt;0))))</f>
        <v>1</v>
      </c>
      <c r="CL25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Sheet'!$Y$24)&amp;"","")="",ISNUMBER(SEARCH($AS$85:$AZ$85,IFERROR(('Final Calculation Sheet'!$Y$24)&amp;"","")))))&gt;0))))</f>
        <v>1</v>
      </c>
      <c r="CM25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Sheet'!$Z$24)&amp;"","")="",ISNUMBER(SEARCH($AS$86:$AZ$86,IFERROR(('Final Calculation Sheet'!$Z$24)&amp;"","")))))&gt;0))))</f>
        <v>1</v>
      </c>
      <c r="CN25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Sheet'!$AA$24)&amp;"","")="",ISNUMBER(SEARCH($AS$87:$AZ$87,IFERROR(('Final Calculation Sheet'!$AA$24)&amp;"","")))))&gt;0))))</f>
        <v>1</v>
      </c>
      <c r="CO25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Sheet'!$AB$24)&amp;"","")="",ISNUMBER(SEARCH($AS$88:$AZ$88,IFERROR(('Final Calculation Sheet'!$AB$24)&amp;"","")))))&gt;0))))</f>
        <v>1</v>
      </c>
      <c r="CP25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Sheet'!$AC$24)&amp;"","")="",ISNUMBER(SEARCH($AS$89:$AZ$89,IFERROR(('Final Calculation Sheet'!$AC$24)&amp;"","")))))&gt;0))))</f>
        <v>1</v>
      </c>
      <c r="CQ25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Sheet'!$AD$24)&amp;"","")="",ISNUMBER(SEARCH($AS$90:$AZ$90,IFERROR(('Final Calculation Sheet'!$AD$24)&amp;"","")))))&gt;0))))</f>
        <v>1</v>
      </c>
      <c r="CR25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Sheet'!$AE$24)&amp;"","")="",ISNUMBER(SEARCH($AS$91:$AZ$91,IFERROR(('Final Calculation Sheet'!$AE$24)&amp;"","")))))&gt;0))))</f>
        <v>1</v>
      </c>
      <c r="CS25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Sheet'!$AF$24)&amp;"","")="",ISNUMBER(SEARCH($AS$92:$AZ$92,IFERROR(('Final Calculation Sheet'!$AF$24)&amp;"","")))))&gt;0))))</f>
        <v>1</v>
      </c>
      <c r="CT25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Sheet'!$AG$24)&amp;"","")="",ISNUMBER(SEARCH($AS$93:$AZ$93,IFERROR(('Final Calculation Sheet'!$AG$24)&amp;"","")))))&gt;0))))</f>
        <v>1</v>
      </c>
      <c r="CU25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Sheet'!$AD$24&lt;=0,"SETTLED","OUTSTANDING"))&amp;"","")="",ISNUMBER(SEARCH($AS$94:$AZ$94,IFERROR((IF('Final Calculation Sheet'!$AD$24&lt;=0,"SETTLED","OUTSTANDING"))&amp;"","")))))&gt;0))))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6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Sheet'!$F$25)&amp;"","")="",ISNUMBER(SEARCH($AS$61:$AZ$61,IFERROR(('Final Calculation Sheet'!$F$25)&amp;"","")))))&gt;0))))</f>
        <v>1</v>
      </c>
      <c r="BO26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Sheet'!$G$25)&amp;"","")="",ISNUMBER(SEARCH($AS$62:$AZ$62,IFERROR(('Final Calculation Sheet'!$G$25)&amp;"","")))))&gt;0))))</f>
        <v>1</v>
      </c>
      <c r="BP26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Sheet'!$B$25)&amp;"","")="",ISNUMBER(SEARCH($AS$63:$AZ$63,IFERROR(('Final Calculation Sheet'!$B$25)&amp;"","")))))&gt;0))))</f>
        <v>1</v>
      </c>
      <c r="BQ26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Sheet'!$D$25)&amp;"","")="",ISNUMBER(SEARCH($AS$64:$AZ$64,IFERROR(('Final Calculation Sheet'!$D$25)&amp;"","")))))&gt;0))))</f>
        <v>1</v>
      </c>
      <c r="BR26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Sheet'!$A$25)&amp;"","")="",ISNUMBER(SEARCH($AS$65:$AZ$65,IFERROR(('Final Calculation Sheet'!$A$25)&amp;"","")))))&gt;0))))</f>
        <v>1</v>
      </c>
      <c r="BS26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Sheet'!$E$25)&amp;"","")="",ISNUMBER(SEARCH($AS$66:$AZ$66,IFERROR(('Final Calculation Sheet'!$E$25)&amp;"","")))))&gt;0))))</f>
        <v>1</v>
      </c>
      <c r="BT26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Sheet'!$C$25)&amp;"","")="",ISNUMBER(SEARCH($AS$67:$AZ$67,IFERROR(('Final Calculation Sheet'!$C$25)&amp;"","")))))&gt;0))))</f>
        <v>1</v>
      </c>
      <c r="BU26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Sheet'!$H$25)&amp;"","")="",ISNUMBER(SEARCH($AS$68:$AZ$68,IFERROR(('Final Calculation Sheet'!$H$25)&amp;"","")))))&gt;0))))</f>
        <v>1</v>
      </c>
      <c r="BV26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Sheet'!$I$25)&amp;"","")="",ISNUMBER(SEARCH($AS$69:$AZ$69,IFERROR(('Final Calculation Sheet'!$I$25)&amp;"","")))))&gt;0))))</f>
        <v>1</v>
      </c>
      <c r="BW26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Sheet'!$J$25)&amp;"","")="",ISNUMBER(SEARCH($AS$70:$AZ$70,IFERROR(('Final Calculation Sheet'!$J$25)&amp;"","")))))&gt;0))))</f>
        <v>1</v>
      </c>
      <c r="BX26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Sheet'!$K$25)&amp;"","")="",ISNUMBER(SEARCH($AS$71:$AZ$71,IFERROR(('Final Calculation Sheet'!$K$25)&amp;"","")))))&gt;0))))</f>
        <v>1</v>
      </c>
      <c r="BY26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Sheet'!$L$25)&amp;"","")="",ISNUMBER(SEARCH($AS$72:$AZ$72,IFERROR(('Final Calculation Sheet'!$L$25)&amp;"","")))))&gt;0))))</f>
        <v>1</v>
      </c>
      <c r="BZ26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Sheet'!$M$25)&amp;"","")="",ISNUMBER(SEARCH($AS$73:$AZ$73,IFERROR(('Final Calculation Sheet'!$M$25)&amp;"","")))))&gt;0))))</f>
        <v>1</v>
      </c>
      <c r="CA26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Sheet'!$N$25)&amp;"","")="",ISNUMBER(SEARCH($AS$74:$AZ$74,IFERROR(('Final Calculation Sheet'!$N$25)&amp;"","")))))&gt;0))))</f>
        <v>1</v>
      </c>
      <c r="CB26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Sheet'!$O$25)&amp;"","")="",ISNUMBER(SEARCH($AS$75:$AZ$75,IFERROR(('Final Calculation Sheet'!$O$25)&amp;"","")))))&gt;0))))</f>
        <v>1</v>
      </c>
      <c r="CC26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Sheet'!$P$25)&amp;"","")="",ISNUMBER(SEARCH($AS$76:$AZ$76,IFERROR(('Final Calculation Sheet'!$P$25)&amp;"","")))))&gt;0))))</f>
        <v>1</v>
      </c>
      <c r="CD26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Sheet'!$Q$25)&amp;"","")="",ISNUMBER(SEARCH($AS$77:$AZ$77,IFERROR(('Final Calculation Sheet'!$Q$25)&amp;"","")))))&gt;0))))</f>
        <v>1</v>
      </c>
      <c r="CE26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Sheet'!$R$25)&amp;"","")="",ISNUMBER(SEARCH($AS$78:$AZ$78,IFERROR(('Final Calculation Sheet'!$R$25)&amp;"","")))))&gt;0))))</f>
        <v>1</v>
      </c>
      <c r="CF26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Sheet'!$S$25)&amp;"","")="",ISNUMBER(SEARCH($AS$79:$AZ$79,IFERROR(('Final Calculation Sheet'!$S$25)&amp;"","")))))&gt;0))))</f>
        <v>1</v>
      </c>
      <c r="CG26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Sheet'!$T$25)&amp;"","")="",ISNUMBER(SEARCH($AS$80:$AZ$80,IFERROR(('Final Calculation Sheet'!$T$25)&amp;"","")))))&gt;0))))</f>
        <v>1</v>
      </c>
      <c r="CH26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Sheet'!$U$25)&amp;"","")="",ISNUMBER(SEARCH($AS$81:$AZ$81,IFERROR(('Final Calculation Sheet'!$U$25)&amp;"","")))))&gt;0))))</f>
        <v>1</v>
      </c>
      <c r="CI26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Sheet'!$V$25)&amp;"","")="",ISNUMBER(SEARCH($AS$82:$AZ$82,IFERROR(('Final Calculation Sheet'!$V$25)&amp;"","")))))&gt;0))))</f>
        <v>1</v>
      </c>
      <c r="CJ26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Sheet'!$W$25)&amp;"","")="",ISNUMBER(SEARCH($AS$83:$AZ$83,IFERROR(('Final Calculation Sheet'!$W$25)&amp;"","")))))&gt;0))))</f>
        <v>1</v>
      </c>
      <c r="CK26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Sheet'!$X$25)&amp;"","")="",ISNUMBER(SEARCH($AS$84:$AZ$84,IFERROR(('Final Calculation Sheet'!$X$25)&amp;"","")))))&gt;0))))</f>
        <v>1</v>
      </c>
      <c r="CL26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Sheet'!$Y$25)&amp;"","")="",ISNUMBER(SEARCH($AS$85:$AZ$85,IFERROR(('Final Calculation Sheet'!$Y$25)&amp;"","")))))&gt;0))))</f>
        <v>1</v>
      </c>
      <c r="CM26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Sheet'!$Z$25)&amp;"","")="",ISNUMBER(SEARCH($AS$86:$AZ$86,IFERROR(('Final Calculation Sheet'!$Z$25)&amp;"","")))))&gt;0))))</f>
        <v>1</v>
      </c>
      <c r="CN26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Sheet'!$AA$25)&amp;"","")="",ISNUMBER(SEARCH($AS$87:$AZ$87,IFERROR(('Final Calculation Sheet'!$AA$25)&amp;"","")))))&gt;0))))</f>
        <v>1</v>
      </c>
      <c r="CO26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Sheet'!$AB$25)&amp;"","")="",ISNUMBER(SEARCH($AS$88:$AZ$88,IFERROR(('Final Calculation Sheet'!$AB$25)&amp;"","")))))&gt;0))))</f>
        <v>1</v>
      </c>
      <c r="CP26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Sheet'!$AC$25)&amp;"","")="",ISNUMBER(SEARCH($AS$89:$AZ$89,IFERROR(('Final Calculation Sheet'!$AC$25)&amp;"","")))))&gt;0))))</f>
        <v>1</v>
      </c>
      <c r="CQ26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Sheet'!$AD$25)&amp;"","")="",ISNUMBER(SEARCH($AS$90:$AZ$90,IFERROR(('Final Calculation Sheet'!$AD$25)&amp;"","")))))&gt;0))))</f>
        <v>1</v>
      </c>
      <c r="CR26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Sheet'!$AE$25)&amp;"","")="",ISNUMBER(SEARCH($AS$91:$AZ$91,IFERROR(('Final Calculation Sheet'!$AE$25)&amp;"","")))))&gt;0))))</f>
        <v>1</v>
      </c>
      <c r="CS26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Sheet'!$AF$25)&amp;"","")="",ISNUMBER(SEARCH($AS$92:$AZ$92,IFERROR(('Final Calculation Sheet'!$AF$25)&amp;"","")))))&gt;0))))</f>
        <v>1</v>
      </c>
      <c r="CT26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Sheet'!$AG$25)&amp;"","")="",ISNUMBER(SEARCH($AS$93:$AZ$93,IFERROR(('Final Calculation Sheet'!$AG$25)&amp;"","")))))&gt;0))))</f>
        <v>1</v>
      </c>
      <c r="CU26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Sheet'!$AD$25&lt;=0,"SETTLED","OUTSTANDING"))&amp;"","")="",ISNUMBER(SEARCH($AS$94:$AZ$94,IFERROR((IF('Final Calculation Sheet'!$AD$25&lt;=0,"SETTLED","OUTSTANDING"))&amp;"","")))))&gt;0))))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7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Sheet'!$F$26)&amp;"","")="",ISNUMBER(SEARCH($AS$61:$AZ$61,IFERROR(('Final Calculation Sheet'!$F$26)&amp;"","")))))&gt;0))))</f>
        <v>1</v>
      </c>
      <c r="BO27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Sheet'!$G$26)&amp;"","")="",ISNUMBER(SEARCH($AS$62:$AZ$62,IFERROR(('Final Calculation Sheet'!$G$26)&amp;"","")))))&gt;0))))</f>
        <v>1</v>
      </c>
      <c r="BP27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Sheet'!$B$26)&amp;"","")="",ISNUMBER(SEARCH($AS$63:$AZ$63,IFERROR(('Final Calculation Sheet'!$B$26)&amp;"","")))))&gt;0))))</f>
        <v>1</v>
      </c>
      <c r="BQ27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Sheet'!$D$26)&amp;"","")="",ISNUMBER(SEARCH($AS$64:$AZ$64,IFERROR(('Final Calculation Sheet'!$D$26)&amp;"","")))))&gt;0))))</f>
        <v>1</v>
      </c>
      <c r="BR27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Sheet'!$A$26)&amp;"","")="",ISNUMBER(SEARCH($AS$65:$AZ$65,IFERROR(('Final Calculation Sheet'!$A$26)&amp;"","")))))&gt;0))))</f>
        <v>1</v>
      </c>
      <c r="BS27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Sheet'!$E$26)&amp;"","")="",ISNUMBER(SEARCH($AS$66:$AZ$66,IFERROR(('Final Calculation Sheet'!$E$26)&amp;"","")))))&gt;0))))</f>
        <v>1</v>
      </c>
      <c r="BT27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Sheet'!$C$26)&amp;"","")="",ISNUMBER(SEARCH($AS$67:$AZ$67,IFERROR(('Final Calculation Sheet'!$C$26)&amp;"","")))))&gt;0))))</f>
        <v>1</v>
      </c>
      <c r="BU27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Sheet'!$H$26)&amp;"","")="",ISNUMBER(SEARCH($AS$68:$AZ$68,IFERROR(('Final Calculation Sheet'!$H$26)&amp;"","")))))&gt;0))))</f>
        <v>1</v>
      </c>
      <c r="BV27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Sheet'!$I$26)&amp;"","")="",ISNUMBER(SEARCH($AS$69:$AZ$69,IFERROR(('Final Calculation Sheet'!$I$26)&amp;"","")))))&gt;0))))</f>
        <v>1</v>
      </c>
      <c r="BW27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Sheet'!$J$26)&amp;"","")="",ISNUMBER(SEARCH($AS$70:$AZ$70,IFERROR(('Final Calculation Sheet'!$J$26)&amp;"","")))))&gt;0))))</f>
        <v>1</v>
      </c>
      <c r="BX27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Sheet'!$K$26)&amp;"","")="",ISNUMBER(SEARCH($AS$71:$AZ$71,IFERROR(('Final Calculation Sheet'!$K$26)&amp;"","")))))&gt;0))))</f>
        <v>1</v>
      </c>
      <c r="BY27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Sheet'!$L$26)&amp;"","")="",ISNUMBER(SEARCH($AS$72:$AZ$72,IFERROR(('Final Calculation Sheet'!$L$26)&amp;"","")))))&gt;0))))</f>
        <v>1</v>
      </c>
      <c r="BZ27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Sheet'!$M$26)&amp;"","")="",ISNUMBER(SEARCH($AS$73:$AZ$73,IFERROR(('Final Calculation Sheet'!$M$26)&amp;"","")))))&gt;0))))</f>
        <v>1</v>
      </c>
      <c r="CA27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Sheet'!$N$26)&amp;"","")="",ISNUMBER(SEARCH($AS$74:$AZ$74,IFERROR(('Final Calculation Sheet'!$N$26)&amp;"","")))))&gt;0))))</f>
        <v>1</v>
      </c>
      <c r="CB27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Sheet'!$O$26)&amp;"","")="",ISNUMBER(SEARCH($AS$75:$AZ$75,IFERROR(('Final Calculation Sheet'!$O$26)&amp;"","")))))&gt;0))))</f>
        <v>1</v>
      </c>
      <c r="CC27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Sheet'!$P$26)&amp;"","")="",ISNUMBER(SEARCH($AS$76:$AZ$76,IFERROR(('Final Calculation Sheet'!$P$26)&amp;"","")))))&gt;0))))</f>
        <v>1</v>
      </c>
      <c r="CD27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Sheet'!$Q$26)&amp;"","")="",ISNUMBER(SEARCH($AS$77:$AZ$77,IFERROR(('Final Calculation Sheet'!$Q$26)&amp;"","")))))&gt;0))))</f>
        <v>1</v>
      </c>
      <c r="CE27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Sheet'!$R$26)&amp;"","")="",ISNUMBER(SEARCH($AS$78:$AZ$78,IFERROR(('Final Calculation Sheet'!$R$26)&amp;"","")))))&gt;0))))</f>
        <v>1</v>
      </c>
      <c r="CF27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Sheet'!$S$26)&amp;"","")="",ISNUMBER(SEARCH($AS$79:$AZ$79,IFERROR(('Final Calculation Sheet'!$S$26)&amp;"","")))))&gt;0))))</f>
        <v>1</v>
      </c>
      <c r="CG27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Sheet'!$T$26)&amp;"","")="",ISNUMBER(SEARCH($AS$80:$AZ$80,IFERROR(('Final Calculation Sheet'!$T$26)&amp;"","")))))&gt;0))))</f>
        <v>1</v>
      </c>
      <c r="CH27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Sheet'!$U$26)&amp;"","")="",ISNUMBER(SEARCH($AS$81:$AZ$81,IFERROR(('Final Calculation Sheet'!$U$26)&amp;"","")))))&gt;0))))</f>
        <v>1</v>
      </c>
      <c r="CI27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Sheet'!$V$26)&amp;"","")="",ISNUMBER(SEARCH($AS$82:$AZ$82,IFERROR(('Final Calculation Sheet'!$V$26)&amp;"","")))))&gt;0))))</f>
        <v>1</v>
      </c>
      <c r="CJ27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Sheet'!$W$26)&amp;"","")="",ISNUMBER(SEARCH($AS$83:$AZ$83,IFERROR(('Final Calculation Sheet'!$W$26)&amp;"","")))))&gt;0))))</f>
        <v>1</v>
      </c>
      <c r="CK27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Sheet'!$X$26)&amp;"","")="",ISNUMBER(SEARCH($AS$84:$AZ$84,IFERROR(('Final Calculation Sheet'!$X$26)&amp;"","")))))&gt;0))))</f>
        <v>1</v>
      </c>
      <c r="CL27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Sheet'!$Y$26)&amp;"","")="",ISNUMBER(SEARCH($AS$85:$AZ$85,IFERROR(('Final Calculation Sheet'!$Y$26)&amp;"","")))))&gt;0))))</f>
        <v>1</v>
      </c>
      <c r="CM27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Sheet'!$Z$26)&amp;"","")="",ISNUMBER(SEARCH($AS$86:$AZ$86,IFERROR(('Final Calculation Sheet'!$Z$26)&amp;"","")))))&gt;0))))</f>
        <v>1</v>
      </c>
      <c r="CN27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Sheet'!$AA$26)&amp;"","")="",ISNUMBER(SEARCH($AS$87:$AZ$87,IFERROR(('Final Calculation Sheet'!$AA$26)&amp;"","")))))&gt;0))))</f>
        <v>1</v>
      </c>
      <c r="CO27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Sheet'!$AB$26)&amp;"","")="",ISNUMBER(SEARCH($AS$88:$AZ$88,IFERROR(('Final Calculation Sheet'!$AB$26)&amp;"","")))))&gt;0))))</f>
        <v>1</v>
      </c>
      <c r="CP27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Sheet'!$AC$26)&amp;"","")="",ISNUMBER(SEARCH($AS$89:$AZ$89,IFERROR(('Final Calculation Sheet'!$AC$26)&amp;"","")))))&gt;0))))</f>
        <v>1</v>
      </c>
      <c r="CQ27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Sheet'!$AD$26)&amp;"","")="",ISNUMBER(SEARCH($AS$90:$AZ$90,IFERROR(('Final Calculation Sheet'!$AD$26)&amp;"","")))))&gt;0))))</f>
        <v>1</v>
      </c>
      <c r="CR27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Sheet'!$AE$26)&amp;"","")="",ISNUMBER(SEARCH($AS$91:$AZ$91,IFERROR(('Final Calculation Sheet'!$AE$26)&amp;"","")))))&gt;0))))</f>
        <v>1</v>
      </c>
      <c r="CS27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Sheet'!$AF$26)&amp;"","")="",ISNUMBER(SEARCH($AS$92:$AZ$92,IFERROR(('Final Calculation Sheet'!$AF$26)&amp;"","")))))&gt;0))))</f>
        <v>1</v>
      </c>
      <c r="CT27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Sheet'!$AG$26)&amp;"","")="",ISNUMBER(SEARCH($AS$93:$AZ$93,IFERROR(('Final Calculation Sheet'!$AG$26)&amp;"","")))))&gt;0))))</f>
        <v>1</v>
      </c>
      <c r="CU27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Sheet'!$AD$26&lt;=0,"SETTLED","OUTSTANDING"))&amp;"","")="",ISNUMBER(SEARCH($AS$94:$AZ$94,IFERROR((IF('Final Calculation Sheet'!$AD$26&lt;=0,"SETTLED","OUTSTANDING"))&amp;"","")))))&gt;0))))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8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Sheet'!$F$27)&amp;"","")="",ISNUMBER(SEARCH($AS$61:$AZ$61,IFERROR(('Final Calculation Sheet'!$F$27)&amp;"","")))))&gt;0))))</f>
        <v>1</v>
      </c>
      <c r="BO28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Sheet'!$G$27)&amp;"","")="",ISNUMBER(SEARCH($AS$62:$AZ$62,IFERROR(('Final Calculation Sheet'!$G$27)&amp;"","")))))&gt;0))))</f>
        <v>1</v>
      </c>
      <c r="BP28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Sheet'!$B$27)&amp;"","")="",ISNUMBER(SEARCH($AS$63:$AZ$63,IFERROR(('Final Calculation Sheet'!$B$27)&amp;"","")))))&gt;0))))</f>
        <v>1</v>
      </c>
      <c r="BQ28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Sheet'!$D$27)&amp;"","")="",ISNUMBER(SEARCH($AS$64:$AZ$64,IFERROR(('Final Calculation Sheet'!$D$27)&amp;"","")))))&gt;0))))</f>
        <v>1</v>
      </c>
      <c r="BR28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Sheet'!$A$27)&amp;"","")="",ISNUMBER(SEARCH($AS$65:$AZ$65,IFERROR(('Final Calculation Sheet'!$A$27)&amp;"","")))))&gt;0))))</f>
        <v>1</v>
      </c>
      <c r="BS28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Sheet'!$E$27)&amp;"","")="",ISNUMBER(SEARCH($AS$66:$AZ$66,IFERROR(('Final Calculation Sheet'!$E$27)&amp;"","")))))&gt;0))))</f>
        <v>1</v>
      </c>
      <c r="BT28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Sheet'!$C$27)&amp;"","")="",ISNUMBER(SEARCH($AS$67:$AZ$67,IFERROR(('Final Calculation Sheet'!$C$27)&amp;"","")))))&gt;0))))</f>
        <v>1</v>
      </c>
      <c r="BU28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Sheet'!$H$27)&amp;"","")="",ISNUMBER(SEARCH($AS$68:$AZ$68,IFERROR(('Final Calculation Sheet'!$H$27)&amp;"","")))))&gt;0))))</f>
        <v>1</v>
      </c>
      <c r="BV28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Sheet'!$I$27)&amp;"","")="",ISNUMBER(SEARCH($AS$69:$AZ$69,IFERROR(('Final Calculation Sheet'!$I$27)&amp;"","")))))&gt;0))))</f>
        <v>1</v>
      </c>
      <c r="BW28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Sheet'!$J$27)&amp;"","")="",ISNUMBER(SEARCH($AS$70:$AZ$70,IFERROR(('Final Calculation Sheet'!$J$27)&amp;"","")))))&gt;0))))</f>
        <v>1</v>
      </c>
      <c r="BX28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Sheet'!$K$27)&amp;"","")="",ISNUMBER(SEARCH($AS$71:$AZ$71,IFERROR(('Final Calculation Sheet'!$K$27)&amp;"","")))))&gt;0))))</f>
        <v>1</v>
      </c>
      <c r="BY28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Sheet'!$L$27)&amp;"","")="",ISNUMBER(SEARCH($AS$72:$AZ$72,IFERROR(('Final Calculation Sheet'!$L$27)&amp;"","")))))&gt;0))))</f>
        <v>1</v>
      </c>
      <c r="BZ28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Sheet'!$M$27)&amp;"","")="",ISNUMBER(SEARCH($AS$73:$AZ$73,IFERROR(('Final Calculation Sheet'!$M$27)&amp;"","")))))&gt;0))))</f>
        <v>1</v>
      </c>
      <c r="CA28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Sheet'!$N$27)&amp;"","")="",ISNUMBER(SEARCH($AS$74:$AZ$74,IFERROR(('Final Calculation Sheet'!$N$27)&amp;"","")))))&gt;0))))</f>
        <v>1</v>
      </c>
      <c r="CB28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Sheet'!$O$27)&amp;"","")="",ISNUMBER(SEARCH($AS$75:$AZ$75,IFERROR(('Final Calculation Sheet'!$O$27)&amp;"","")))))&gt;0))))</f>
        <v>1</v>
      </c>
      <c r="CC28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Sheet'!$P$27)&amp;"","")="",ISNUMBER(SEARCH($AS$76:$AZ$76,IFERROR(('Final Calculation Sheet'!$P$27)&amp;"","")))))&gt;0))))</f>
        <v>1</v>
      </c>
      <c r="CD28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Sheet'!$Q$27)&amp;"","")="",ISNUMBER(SEARCH($AS$77:$AZ$77,IFERROR(('Final Calculation Sheet'!$Q$27)&amp;"","")))))&gt;0))))</f>
        <v>1</v>
      </c>
      <c r="CE28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Sheet'!$R$27)&amp;"","")="",ISNUMBER(SEARCH($AS$78:$AZ$78,IFERROR(('Final Calculation Sheet'!$R$27)&amp;"","")))))&gt;0))))</f>
        <v>1</v>
      </c>
      <c r="CF28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Sheet'!$S$27)&amp;"","")="",ISNUMBER(SEARCH($AS$79:$AZ$79,IFERROR(('Final Calculation Sheet'!$S$27)&amp;"","")))))&gt;0))))</f>
        <v>1</v>
      </c>
      <c r="CG28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Sheet'!$T$27)&amp;"","")="",ISNUMBER(SEARCH($AS$80:$AZ$80,IFERROR(('Final Calculation Sheet'!$T$27)&amp;"","")))))&gt;0))))</f>
        <v>1</v>
      </c>
      <c r="CH28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Sheet'!$U$27)&amp;"","")="",ISNUMBER(SEARCH($AS$81:$AZ$81,IFERROR(('Final Calculation Sheet'!$U$27)&amp;"","")))))&gt;0))))</f>
        <v>1</v>
      </c>
      <c r="CI28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Sheet'!$V$27)&amp;"","")="",ISNUMBER(SEARCH($AS$82:$AZ$82,IFERROR(('Final Calculation Sheet'!$V$27)&amp;"","")))))&gt;0))))</f>
        <v>1</v>
      </c>
      <c r="CJ28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Sheet'!$W$27)&amp;"","")="",ISNUMBER(SEARCH($AS$83:$AZ$83,IFERROR(('Final Calculation Sheet'!$W$27)&amp;"","")))))&gt;0))))</f>
        <v>1</v>
      </c>
      <c r="CK28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Sheet'!$X$27)&amp;"","")="",ISNUMBER(SEARCH($AS$84:$AZ$84,IFERROR(('Final Calculation Sheet'!$X$27)&amp;"","")))))&gt;0))))</f>
        <v>1</v>
      </c>
      <c r="CL28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Sheet'!$Y$27)&amp;"","")="",ISNUMBER(SEARCH($AS$85:$AZ$85,IFERROR(('Final Calculation Sheet'!$Y$27)&amp;"","")))))&gt;0))))</f>
        <v>1</v>
      </c>
      <c r="CM28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Sheet'!$Z$27)&amp;"","")="",ISNUMBER(SEARCH($AS$86:$AZ$86,IFERROR(('Final Calculation Sheet'!$Z$27)&amp;"","")))))&gt;0))))</f>
        <v>1</v>
      </c>
      <c r="CN28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Sheet'!$AA$27)&amp;"","")="",ISNUMBER(SEARCH($AS$87:$AZ$87,IFERROR(('Final Calculation Sheet'!$AA$27)&amp;"","")))))&gt;0))))</f>
        <v>1</v>
      </c>
      <c r="CO28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Sheet'!$AB$27)&amp;"","")="",ISNUMBER(SEARCH($AS$88:$AZ$88,IFERROR(('Final Calculation Sheet'!$AB$27)&amp;"","")))))&gt;0))))</f>
        <v>1</v>
      </c>
      <c r="CP28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Sheet'!$AC$27)&amp;"","")="",ISNUMBER(SEARCH($AS$89:$AZ$89,IFERROR(('Final Calculation Sheet'!$AC$27)&amp;"","")))))&gt;0))))</f>
        <v>1</v>
      </c>
      <c r="CQ28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Sheet'!$AD$27)&amp;"","")="",ISNUMBER(SEARCH($AS$90:$AZ$90,IFERROR(('Final Calculation Sheet'!$AD$27)&amp;"","")))))&gt;0))))</f>
        <v>1</v>
      </c>
      <c r="CR28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Sheet'!$AE$27)&amp;"","")="",ISNUMBER(SEARCH($AS$91:$AZ$91,IFERROR(('Final Calculation Sheet'!$AE$27)&amp;"","")))))&gt;0))))</f>
        <v>1</v>
      </c>
      <c r="CS28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Sheet'!$AF$27)&amp;"","")="",ISNUMBER(SEARCH($AS$92:$AZ$92,IFERROR(('Final Calculation Sheet'!$AF$27)&amp;"","")))))&gt;0))))</f>
        <v>1</v>
      </c>
      <c r="CT28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Sheet'!$AG$27)&amp;"","")="",ISNUMBER(SEARCH($AS$93:$AZ$93,IFERROR(('Final Calculation Sheet'!$AG$27)&amp;"","")))))&gt;0))))</f>
        <v>1</v>
      </c>
      <c r="CU28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Sheet'!$AD$27&lt;=0,"SETTLED","OUTSTANDING"))&amp;"","")="",ISNUMBER(SEARCH($AS$94:$AZ$94,IFERROR((IF('Final Calculation Sheet'!$AD$27&lt;=0,"SETTLED","OUTSTANDING"))&amp;"","")))))&gt;0))))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29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Sheet'!$F$28)&amp;"","")="",ISNUMBER(SEARCH($AS$61:$AZ$61,IFERROR(('Final Calculation Sheet'!$F$28)&amp;"","")))))&gt;0))))</f>
        <v>1</v>
      </c>
      <c r="BO29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Sheet'!$G$28)&amp;"","")="",ISNUMBER(SEARCH($AS$62:$AZ$62,IFERROR(('Final Calculation Sheet'!$G$28)&amp;"","")))))&gt;0))))</f>
        <v>1</v>
      </c>
      <c r="BP29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Sheet'!$B$28)&amp;"","")="",ISNUMBER(SEARCH($AS$63:$AZ$63,IFERROR(('Final Calculation Sheet'!$B$28)&amp;"","")))))&gt;0))))</f>
        <v>1</v>
      </c>
      <c r="BQ29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Sheet'!$D$28)&amp;"","")="",ISNUMBER(SEARCH($AS$64:$AZ$64,IFERROR(('Final Calculation Sheet'!$D$28)&amp;"","")))))&gt;0))))</f>
        <v>1</v>
      </c>
      <c r="BR29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Sheet'!$A$28)&amp;"","")="",ISNUMBER(SEARCH($AS$65:$AZ$65,IFERROR(('Final Calculation Sheet'!$A$28)&amp;"","")))))&gt;0))))</f>
        <v>1</v>
      </c>
      <c r="BS29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Sheet'!$E$28)&amp;"","")="",ISNUMBER(SEARCH($AS$66:$AZ$66,IFERROR(('Final Calculation Sheet'!$E$28)&amp;"","")))))&gt;0))))</f>
        <v>1</v>
      </c>
      <c r="BT29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Sheet'!$C$28)&amp;"","")="",ISNUMBER(SEARCH($AS$67:$AZ$67,IFERROR(('Final Calculation Sheet'!$C$28)&amp;"","")))))&gt;0))))</f>
        <v>1</v>
      </c>
      <c r="BU29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Sheet'!$H$28)&amp;"","")="",ISNUMBER(SEARCH($AS$68:$AZ$68,IFERROR(('Final Calculation Sheet'!$H$28)&amp;"","")))))&gt;0))))</f>
        <v>1</v>
      </c>
      <c r="BV29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Sheet'!$I$28)&amp;"","")="",ISNUMBER(SEARCH($AS$69:$AZ$69,IFERROR(('Final Calculation Sheet'!$I$28)&amp;"","")))))&gt;0))))</f>
        <v>1</v>
      </c>
      <c r="BW29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Sheet'!$J$28)&amp;"","")="",ISNUMBER(SEARCH($AS$70:$AZ$70,IFERROR(('Final Calculation Sheet'!$J$28)&amp;"","")))))&gt;0))))</f>
        <v>1</v>
      </c>
      <c r="BX29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Sheet'!$K$28)&amp;"","")="",ISNUMBER(SEARCH($AS$71:$AZ$71,IFERROR(('Final Calculation Sheet'!$K$28)&amp;"","")))))&gt;0))))</f>
        <v>1</v>
      </c>
      <c r="BY29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Sheet'!$L$28)&amp;"","")="",ISNUMBER(SEARCH($AS$72:$AZ$72,IFERROR(('Final Calculation Sheet'!$L$28)&amp;"","")))))&gt;0))))</f>
        <v>1</v>
      </c>
      <c r="BZ29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Sheet'!$M$28)&amp;"","")="",ISNUMBER(SEARCH($AS$73:$AZ$73,IFERROR(('Final Calculation Sheet'!$M$28)&amp;"","")))))&gt;0))))</f>
        <v>1</v>
      </c>
      <c r="CA29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Sheet'!$N$28)&amp;"","")="",ISNUMBER(SEARCH($AS$74:$AZ$74,IFERROR(('Final Calculation Sheet'!$N$28)&amp;"","")))))&gt;0))))</f>
        <v>1</v>
      </c>
      <c r="CB29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Sheet'!$O$28)&amp;"","")="",ISNUMBER(SEARCH($AS$75:$AZ$75,IFERROR(('Final Calculation Sheet'!$O$28)&amp;"","")))))&gt;0))))</f>
        <v>1</v>
      </c>
      <c r="CC29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Sheet'!$P$28)&amp;"","")="",ISNUMBER(SEARCH($AS$76:$AZ$76,IFERROR(('Final Calculation Sheet'!$P$28)&amp;"","")))))&gt;0))))</f>
        <v>1</v>
      </c>
      <c r="CD29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Sheet'!$Q$28)&amp;"","")="",ISNUMBER(SEARCH($AS$77:$AZ$77,IFERROR(('Final Calculation Sheet'!$Q$28)&amp;"","")))))&gt;0))))</f>
        <v>1</v>
      </c>
      <c r="CE29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Sheet'!$R$28)&amp;"","")="",ISNUMBER(SEARCH($AS$78:$AZ$78,IFERROR(('Final Calculation Sheet'!$R$28)&amp;"","")))))&gt;0))))</f>
        <v>1</v>
      </c>
      <c r="CF29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Sheet'!$S$28)&amp;"","")="",ISNUMBER(SEARCH($AS$79:$AZ$79,IFERROR(('Final Calculation Sheet'!$S$28)&amp;"","")))))&gt;0))))</f>
        <v>1</v>
      </c>
      <c r="CG29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Sheet'!$T$28)&amp;"","")="",ISNUMBER(SEARCH($AS$80:$AZ$80,IFERROR(('Final Calculation Sheet'!$T$28)&amp;"","")))))&gt;0))))</f>
        <v>1</v>
      </c>
      <c r="CH29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Sheet'!$U$28)&amp;"","")="",ISNUMBER(SEARCH($AS$81:$AZ$81,IFERROR(('Final Calculation Sheet'!$U$28)&amp;"","")))))&gt;0))))</f>
        <v>1</v>
      </c>
      <c r="CI29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Sheet'!$V$28)&amp;"","")="",ISNUMBER(SEARCH($AS$82:$AZ$82,IFERROR(('Final Calculation Sheet'!$V$28)&amp;"","")))))&gt;0))))</f>
        <v>1</v>
      </c>
      <c r="CJ29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Sheet'!$W$28)&amp;"","")="",ISNUMBER(SEARCH($AS$83:$AZ$83,IFERROR(('Final Calculation Sheet'!$W$28)&amp;"","")))))&gt;0))))</f>
        <v>1</v>
      </c>
      <c r="CK29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Sheet'!$X$28)&amp;"","")="",ISNUMBER(SEARCH($AS$84:$AZ$84,IFERROR(('Final Calculation Sheet'!$X$28)&amp;"","")))))&gt;0))))</f>
        <v>1</v>
      </c>
      <c r="CL29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Sheet'!$Y$28)&amp;"","")="",ISNUMBER(SEARCH($AS$85:$AZ$85,IFERROR(('Final Calculation Sheet'!$Y$28)&amp;"","")))))&gt;0))))</f>
        <v>1</v>
      </c>
      <c r="CM29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Sheet'!$Z$28)&amp;"","")="",ISNUMBER(SEARCH($AS$86:$AZ$86,IFERROR(('Final Calculation Sheet'!$Z$28)&amp;"","")))))&gt;0))))</f>
        <v>1</v>
      </c>
      <c r="CN29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Sheet'!$AA$28)&amp;"","")="",ISNUMBER(SEARCH($AS$87:$AZ$87,IFERROR(('Final Calculation Sheet'!$AA$28)&amp;"","")))))&gt;0))))</f>
        <v>1</v>
      </c>
      <c r="CO29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Sheet'!$AB$28)&amp;"","")="",ISNUMBER(SEARCH($AS$88:$AZ$88,IFERROR(('Final Calculation Sheet'!$AB$28)&amp;"","")))))&gt;0))))</f>
        <v>1</v>
      </c>
      <c r="CP29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Sheet'!$AC$28)&amp;"","")="",ISNUMBER(SEARCH($AS$89:$AZ$89,IFERROR(('Final Calculation Sheet'!$AC$28)&amp;"","")))))&gt;0))))</f>
        <v>1</v>
      </c>
      <c r="CQ29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Sheet'!$AD$28)&amp;"","")="",ISNUMBER(SEARCH($AS$90:$AZ$90,IFERROR(('Final Calculation Sheet'!$AD$28)&amp;"","")))))&gt;0))))</f>
        <v>1</v>
      </c>
      <c r="CR29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Sheet'!$AE$28)&amp;"","")="",ISNUMBER(SEARCH($AS$91:$AZ$91,IFERROR(('Final Calculation Sheet'!$AE$28)&amp;"","")))))&gt;0))))</f>
        <v>1</v>
      </c>
      <c r="CS29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Sheet'!$AF$28)&amp;"","")="",ISNUMBER(SEARCH($AS$92:$AZ$92,IFERROR(('Final Calculation Sheet'!$AF$28)&amp;"","")))))&gt;0))))</f>
        <v>1</v>
      </c>
      <c r="CT29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Sheet'!$AG$28)&amp;"","")="",ISNUMBER(SEARCH($AS$93:$AZ$93,IFERROR(('Final Calculation Sheet'!$AG$28)&amp;"","")))))&gt;0))))</f>
        <v>1</v>
      </c>
      <c r="CU29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Sheet'!$AD$28&lt;=0,"SETTLED","OUTSTANDING"))&amp;"","")="",ISNUMBER(SEARCH($AS$94:$AZ$94,IFERROR((IF('Final Calculation Sheet'!$AD$28&lt;=0,"SETTLED","OUTSTANDING"))&amp;"","")))))&gt;0))))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0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Sheet'!$F$29)&amp;"","")="",ISNUMBER(SEARCH($AS$61:$AZ$61,IFERROR(('Final Calculation Sheet'!$F$29)&amp;"","")))))&gt;0))))</f>
        <v>1</v>
      </c>
      <c r="BO30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Sheet'!$G$29)&amp;"","")="",ISNUMBER(SEARCH($AS$62:$AZ$62,IFERROR(('Final Calculation Sheet'!$G$29)&amp;"","")))))&gt;0))))</f>
        <v>1</v>
      </c>
      <c r="BP30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Sheet'!$B$29)&amp;"","")="",ISNUMBER(SEARCH($AS$63:$AZ$63,IFERROR(('Final Calculation Sheet'!$B$29)&amp;"","")))))&gt;0))))</f>
        <v>1</v>
      </c>
      <c r="BQ30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Sheet'!$D$29)&amp;"","")="",ISNUMBER(SEARCH($AS$64:$AZ$64,IFERROR(('Final Calculation Sheet'!$D$29)&amp;"","")))))&gt;0))))</f>
        <v>1</v>
      </c>
      <c r="BR30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Sheet'!$A$29)&amp;"","")="",ISNUMBER(SEARCH($AS$65:$AZ$65,IFERROR(('Final Calculation Sheet'!$A$29)&amp;"","")))))&gt;0))))</f>
        <v>1</v>
      </c>
      <c r="BS30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Sheet'!$E$29)&amp;"","")="",ISNUMBER(SEARCH($AS$66:$AZ$66,IFERROR(('Final Calculation Sheet'!$E$29)&amp;"","")))))&gt;0))))</f>
        <v>1</v>
      </c>
      <c r="BT30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Sheet'!$C$29)&amp;"","")="",ISNUMBER(SEARCH($AS$67:$AZ$67,IFERROR(('Final Calculation Sheet'!$C$29)&amp;"","")))))&gt;0))))</f>
        <v>1</v>
      </c>
      <c r="BU30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Sheet'!$H$29)&amp;"","")="",ISNUMBER(SEARCH($AS$68:$AZ$68,IFERROR(('Final Calculation Sheet'!$H$29)&amp;"","")))))&gt;0))))</f>
        <v>1</v>
      </c>
      <c r="BV30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Sheet'!$I$29)&amp;"","")="",ISNUMBER(SEARCH($AS$69:$AZ$69,IFERROR(('Final Calculation Sheet'!$I$29)&amp;"","")))))&gt;0))))</f>
        <v>1</v>
      </c>
      <c r="BW30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Sheet'!$J$29)&amp;"","")="",ISNUMBER(SEARCH($AS$70:$AZ$70,IFERROR(('Final Calculation Sheet'!$J$29)&amp;"","")))))&gt;0))))</f>
        <v>1</v>
      </c>
      <c r="BX30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Sheet'!$K$29)&amp;"","")="",ISNUMBER(SEARCH($AS$71:$AZ$71,IFERROR(('Final Calculation Sheet'!$K$29)&amp;"","")))))&gt;0))))</f>
        <v>1</v>
      </c>
      <c r="BY30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Sheet'!$L$29)&amp;"","")="",ISNUMBER(SEARCH($AS$72:$AZ$72,IFERROR(('Final Calculation Sheet'!$L$29)&amp;"","")))))&gt;0))))</f>
        <v>1</v>
      </c>
      <c r="BZ30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Sheet'!$M$29)&amp;"","")="",ISNUMBER(SEARCH($AS$73:$AZ$73,IFERROR(('Final Calculation Sheet'!$M$29)&amp;"","")))))&gt;0))))</f>
        <v>1</v>
      </c>
      <c r="CA30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Sheet'!$N$29)&amp;"","")="",ISNUMBER(SEARCH($AS$74:$AZ$74,IFERROR(('Final Calculation Sheet'!$N$29)&amp;"","")))))&gt;0))))</f>
        <v>1</v>
      </c>
      <c r="CB30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Sheet'!$O$29)&amp;"","")="",ISNUMBER(SEARCH($AS$75:$AZ$75,IFERROR(('Final Calculation Sheet'!$O$29)&amp;"","")))))&gt;0))))</f>
        <v>1</v>
      </c>
      <c r="CC30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Sheet'!$P$29)&amp;"","")="",ISNUMBER(SEARCH($AS$76:$AZ$76,IFERROR(('Final Calculation Sheet'!$P$29)&amp;"","")))))&gt;0))))</f>
        <v>1</v>
      </c>
      <c r="CD30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Sheet'!$Q$29)&amp;"","")="",ISNUMBER(SEARCH($AS$77:$AZ$77,IFERROR(('Final Calculation Sheet'!$Q$29)&amp;"","")))))&gt;0))))</f>
        <v>1</v>
      </c>
      <c r="CE30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Sheet'!$R$29)&amp;"","")="",ISNUMBER(SEARCH($AS$78:$AZ$78,IFERROR(('Final Calculation Sheet'!$R$29)&amp;"","")))))&gt;0))))</f>
        <v>1</v>
      </c>
      <c r="CF30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Sheet'!$S$29)&amp;"","")="",ISNUMBER(SEARCH($AS$79:$AZ$79,IFERROR(('Final Calculation Sheet'!$S$29)&amp;"","")))))&gt;0))))</f>
        <v>1</v>
      </c>
      <c r="CG30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Sheet'!$T$29)&amp;"","")="",ISNUMBER(SEARCH($AS$80:$AZ$80,IFERROR(('Final Calculation Sheet'!$T$29)&amp;"","")))))&gt;0))))</f>
        <v>1</v>
      </c>
      <c r="CH30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Sheet'!$U$29)&amp;"","")="",ISNUMBER(SEARCH($AS$81:$AZ$81,IFERROR(('Final Calculation Sheet'!$U$29)&amp;"","")))))&gt;0))))</f>
        <v>1</v>
      </c>
      <c r="CI30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Sheet'!$V$29)&amp;"","")="",ISNUMBER(SEARCH($AS$82:$AZ$82,IFERROR(('Final Calculation Sheet'!$V$29)&amp;"","")))))&gt;0))))</f>
        <v>1</v>
      </c>
      <c r="CJ30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Sheet'!$W$29)&amp;"","")="",ISNUMBER(SEARCH($AS$83:$AZ$83,IFERROR(('Final Calculation Sheet'!$W$29)&amp;"","")))))&gt;0))))</f>
        <v>1</v>
      </c>
      <c r="CK30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Sheet'!$X$29)&amp;"","")="",ISNUMBER(SEARCH($AS$84:$AZ$84,IFERROR(('Final Calculation Sheet'!$X$29)&amp;"","")))))&gt;0))))</f>
        <v>1</v>
      </c>
      <c r="CL30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Sheet'!$Y$29)&amp;"","")="",ISNUMBER(SEARCH($AS$85:$AZ$85,IFERROR(('Final Calculation Sheet'!$Y$29)&amp;"","")))))&gt;0))))</f>
        <v>1</v>
      </c>
      <c r="CM30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Sheet'!$Z$29)&amp;"","")="",ISNUMBER(SEARCH($AS$86:$AZ$86,IFERROR(('Final Calculation Sheet'!$Z$29)&amp;"","")))))&gt;0))))</f>
        <v>1</v>
      </c>
      <c r="CN30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Sheet'!$AA$29)&amp;"","")="",ISNUMBER(SEARCH($AS$87:$AZ$87,IFERROR(('Final Calculation Sheet'!$AA$29)&amp;"","")))))&gt;0))))</f>
        <v>1</v>
      </c>
      <c r="CO30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Sheet'!$AB$29)&amp;"","")="",ISNUMBER(SEARCH($AS$88:$AZ$88,IFERROR(('Final Calculation Sheet'!$AB$29)&amp;"","")))))&gt;0))))</f>
        <v>1</v>
      </c>
      <c r="CP30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Sheet'!$AC$29)&amp;"","")="",ISNUMBER(SEARCH($AS$89:$AZ$89,IFERROR(('Final Calculation Sheet'!$AC$29)&amp;"","")))))&gt;0))))</f>
        <v>1</v>
      </c>
      <c r="CQ30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Sheet'!$AD$29)&amp;"","")="",ISNUMBER(SEARCH($AS$90:$AZ$90,IFERROR(('Final Calculation Sheet'!$AD$29)&amp;"","")))))&gt;0))))</f>
        <v>1</v>
      </c>
      <c r="CR30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Sheet'!$AE$29)&amp;"","")="",ISNUMBER(SEARCH($AS$91:$AZ$91,IFERROR(('Final Calculation Sheet'!$AE$29)&amp;"","")))))&gt;0))))</f>
        <v>1</v>
      </c>
      <c r="CS30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Sheet'!$AF$29)&amp;"","")="",ISNUMBER(SEARCH($AS$92:$AZ$92,IFERROR(('Final Calculation Sheet'!$AF$29)&amp;"","")))))&gt;0))))</f>
        <v>1</v>
      </c>
      <c r="CT30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Sheet'!$AG$29)&amp;"","")="",ISNUMBER(SEARCH($AS$93:$AZ$93,IFERROR(('Final Calculation Sheet'!$AG$29)&amp;"","")))))&gt;0))))</f>
        <v>1</v>
      </c>
      <c r="CU30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Sheet'!$AD$29&lt;=0,"SETTLED","OUTSTANDING"))&amp;"","")="",ISNUMBER(SEARCH($AS$94:$AZ$94,IFERROR((IF('Final Calculation Sheet'!$AD$29&lt;=0,"SETTLED","OUTSTANDING"))&amp;"","")))))&gt;0))))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1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Sheet'!$F$30)&amp;"","")="",ISNUMBER(SEARCH($AS$61:$AZ$61,IFERROR(('Final Calculation Sheet'!$F$30)&amp;"","")))))&gt;0))))</f>
        <v>1</v>
      </c>
      <c r="BO31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Sheet'!$G$30)&amp;"","")="",ISNUMBER(SEARCH($AS$62:$AZ$62,IFERROR(('Final Calculation Sheet'!$G$30)&amp;"","")))))&gt;0))))</f>
        <v>1</v>
      </c>
      <c r="BP31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Sheet'!$B$30)&amp;"","")="",ISNUMBER(SEARCH($AS$63:$AZ$63,IFERROR(('Final Calculation Sheet'!$B$30)&amp;"","")))))&gt;0))))</f>
        <v>1</v>
      </c>
      <c r="BQ31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Sheet'!$D$30)&amp;"","")="",ISNUMBER(SEARCH($AS$64:$AZ$64,IFERROR(('Final Calculation Sheet'!$D$30)&amp;"","")))))&gt;0))))</f>
        <v>1</v>
      </c>
      <c r="BR31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Sheet'!$A$30)&amp;"","")="",ISNUMBER(SEARCH($AS$65:$AZ$65,IFERROR(('Final Calculation Sheet'!$A$30)&amp;"","")))))&gt;0))))</f>
        <v>1</v>
      </c>
      <c r="BS31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Sheet'!$E$30)&amp;"","")="",ISNUMBER(SEARCH($AS$66:$AZ$66,IFERROR(('Final Calculation Sheet'!$E$30)&amp;"","")))))&gt;0))))</f>
        <v>1</v>
      </c>
      <c r="BT31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Sheet'!$C$30)&amp;"","")="",ISNUMBER(SEARCH($AS$67:$AZ$67,IFERROR(('Final Calculation Sheet'!$C$30)&amp;"","")))))&gt;0))))</f>
        <v>1</v>
      </c>
      <c r="BU31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Sheet'!$H$30)&amp;"","")="",ISNUMBER(SEARCH($AS$68:$AZ$68,IFERROR(('Final Calculation Sheet'!$H$30)&amp;"","")))))&gt;0))))</f>
        <v>1</v>
      </c>
      <c r="BV31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Sheet'!$I$30)&amp;"","")="",ISNUMBER(SEARCH($AS$69:$AZ$69,IFERROR(('Final Calculation Sheet'!$I$30)&amp;"","")))))&gt;0))))</f>
        <v>1</v>
      </c>
      <c r="BW31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Sheet'!$J$30)&amp;"","")="",ISNUMBER(SEARCH($AS$70:$AZ$70,IFERROR(('Final Calculation Sheet'!$J$30)&amp;"","")))))&gt;0))))</f>
        <v>1</v>
      </c>
      <c r="BX31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Sheet'!$K$30)&amp;"","")="",ISNUMBER(SEARCH($AS$71:$AZ$71,IFERROR(('Final Calculation Sheet'!$K$30)&amp;"","")))))&gt;0))))</f>
        <v>1</v>
      </c>
      <c r="BY31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Sheet'!$L$30)&amp;"","")="",ISNUMBER(SEARCH($AS$72:$AZ$72,IFERROR(('Final Calculation Sheet'!$L$30)&amp;"","")))))&gt;0))))</f>
        <v>1</v>
      </c>
      <c r="BZ31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Sheet'!$M$30)&amp;"","")="",ISNUMBER(SEARCH($AS$73:$AZ$73,IFERROR(('Final Calculation Sheet'!$M$30)&amp;"","")))))&gt;0))))</f>
        <v>1</v>
      </c>
      <c r="CA31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Sheet'!$N$30)&amp;"","")="",ISNUMBER(SEARCH($AS$74:$AZ$74,IFERROR(('Final Calculation Sheet'!$N$30)&amp;"","")))))&gt;0))))</f>
        <v>1</v>
      </c>
      <c r="CB31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Sheet'!$O$30)&amp;"","")="",ISNUMBER(SEARCH($AS$75:$AZ$75,IFERROR(('Final Calculation Sheet'!$O$30)&amp;"","")))))&gt;0))))</f>
        <v>1</v>
      </c>
      <c r="CC31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Sheet'!$P$30)&amp;"","")="",ISNUMBER(SEARCH($AS$76:$AZ$76,IFERROR(('Final Calculation Sheet'!$P$30)&amp;"","")))))&gt;0))))</f>
        <v>1</v>
      </c>
      <c r="CD31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Sheet'!$Q$30)&amp;"","")="",ISNUMBER(SEARCH($AS$77:$AZ$77,IFERROR(('Final Calculation Sheet'!$Q$30)&amp;"","")))))&gt;0))))</f>
        <v>1</v>
      </c>
      <c r="CE31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Sheet'!$R$30)&amp;"","")="",ISNUMBER(SEARCH($AS$78:$AZ$78,IFERROR(('Final Calculation Sheet'!$R$30)&amp;"","")))))&gt;0))))</f>
        <v>1</v>
      </c>
      <c r="CF31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Sheet'!$S$30)&amp;"","")="",ISNUMBER(SEARCH($AS$79:$AZ$79,IFERROR(('Final Calculation Sheet'!$S$30)&amp;"","")))))&gt;0))))</f>
        <v>1</v>
      </c>
      <c r="CG31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Sheet'!$T$30)&amp;"","")="",ISNUMBER(SEARCH($AS$80:$AZ$80,IFERROR(('Final Calculation Sheet'!$T$30)&amp;"","")))))&gt;0))))</f>
        <v>1</v>
      </c>
      <c r="CH31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Sheet'!$U$30)&amp;"","")="",ISNUMBER(SEARCH($AS$81:$AZ$81,IFERROR(('Final Calculation Sheet'!$U$30)&amp;"","")))))&gt;0))))</f>
        <v>1</v>
      </c>
      <c r="CI31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Sheet'!$V$30)&amp;"","")="",ISNUMBER(SEARCH($AS$82:$AZ$82,IFERROR(('Final Calculation Sheet'!$V$30)&amp;"","")))))&gt;0))))</f>
        <v>1</v>
      </c>
      <c r="CJ31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Sheet'!$W$30)&amp;"","")="",ISNUMBER(SEARCH($AS$83:$AZ$83,IFERROR(('Final Calculation Sheet'!$W$30)&amp;"","")))))&gt;0))))</f>
        <v>1</v>
      </c>
      <c r="CK31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Sheet'!$X$30)&amp;"","")="",ISNUMBER(SEARCH($AS$84:$AZ$84,IFERROR(('Final Calculation Sheet'!$X$30)&amp;"","")))))&gt;0))))</f>
        <v>1</v>
      </c>
      <c r="CL31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Sheet'!$Y$30)&amp;"","")="",ISNUMBER(SEARCH($AS$85:$AZ$85,IFERROR(('Final Calculation Sheet'!$Y$30)&amp;"","")))))&gt;0))))</f>
        <v>1</v>
      </c>
      <c r="CM31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Sheet'!$Z$30)&amp;"","")="",ISNUMBER(SEARCH($AS$86:$AZ$86,IFERROR(('Final Calculation Sheet'!$Z$30)&amp;"","")))))&gt;0))))</f>
        <v>1</v>
      </c>
      <c r="CN31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Sheet'!$AA$30)&amp;"","")="",ISNUMBER(SEARCH($AS$87:$AZ$87,IFERROR(('Final Calculation Sheet'!$AA$30)&amp;"","")))))&gt;0))))</f>
        <v>1</v>
      </c>
      <c r="CO31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Sheet'!$AB$30)&amp;"","")="",ISNUMBER(SEARCH($AS$88:$AZ$88,IFERROR(('Final Calculation Sheet'!$AB$30)&amp;"","")))))&gt;0))))</f>
        <v>1</v>
      </c>
      <c r="CP31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Sheet'!$AC$30)&amp;"","")="",ISNUMBER(SEARCH($AS$89:$AZ$89,IFERROR(('Final Calculation Sheet'!$AC$30)&amp;"","")))))&gt;0))))</f>
        <v>1</v>
      </c>
      <c r="CQ31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Sheet'!$AD$30)&amp;"","")="",ISNUMBER(SEARCH($AS$90:$AZ$90,IFERROR(('Final Calculation Sheet'!$AD$30)&amp;"","")))))&gt;0))))</f>
        <v>1</v>
      </c>
      <c r="CR31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Sheet'!$AE$30)&amp;"","")="",ISNUMBER(SEARCH($AS$91:$AZ$91,IFERROR(('Final Calculation Sheet'!$AE$30)&amp;"","")))))&gt;0))))</f>
        <v>1</v>
      </c>
      <c r="CS31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Sheet'!$AF$30)&amp;"","")="",ISNUMBER(SEARCH($AS$92:$AZ$92,IFERROR(('Final Calculation Sheet'!$AF$30)&amp;"","")))))&gt;0))))</f>
        <v>1</v>
      </c>
      <c r="CT31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Sheet'!$AG$30)&amp;"","")="",ISNUMBER(SEARCH($AS$93:$AZ$93,IFERROR(('Final Calculation Sheet'!$AG$30)&amp;"","")))))&gt;0))))</f>
        <v>1</v>
      </c>
      <c r="CU31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Sheet'!$AD$30&lt;=0,"SETTLED","OUTSTANDING"))&amp;"","")="",ISNUMBER(SEARCH($AS$94:$AZ$94,IFERROR((IF('Final Calculation Sheet'!$AD$30&lt;=0,"SETTLED","OUTSTANDING"))&amp;"","")))))&gt;0))))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2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Sheet'!$F$31)&amp;"","")="",ISNUMBER(SEARCH($AS$61:$AZ$61,IFERROR(('Final Calculation Sheet'!$F$31)&amp;"","")))))&gt;0))))</f>
        <v>1</v>
      </c>
      <c r="BO32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Sheet'!$G$31)&amp;"","")="",ISNUMBER(SEARCH($AS$62:$AZ$62,IFERROR(('Final Calculation Sheet'!$G$31)&amp;"","")))))&gt;0))))</f>
        <v>1</v>
      </c>
      <c r="BP32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Sheet'!$B$31)&amp;"","")="",ISNUMBER(SEARCH($AS$63:$AZ$63,IFERROR(('Final Calculation Sheet'!$B$31)&amp;"","")))))&gt;0))))</f>
        <v>1</v>
      </c>
      <c r="BQ32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Sheet'!$D$31)&amp;"","")="",ISNUMBER(SEARCH($AS$64:$AZ$64,IFERROR(('Final Calculation Sheet'!$D$31)&amp;"","")))))&gt;0))))</f>
        <v>1</v>
      </c>
      <c r="BR32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Sheet'!$A$31)&amp;"","")="",ISNUMBER(SEARCH($AS$65:$AZ$65,IFERROR(('Final Calculation Sheet'!$A$31)&amp;"","")))))&gt;0))))</f>
        <v>1</v>
      </c>
      <c r="BS32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Sheet'!$E$31)&amp;"","")="",ISNUMBER(SEARCH($AS$66:$AZ$66,IFERROR(('Final Calculation Sheet'!$E$31)&amp;"","")))))&gt;0))))</f>
        <v>1</v>
      </c>
      <c r="BT32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Sheet'!$C$31)&amp;"","")="",ISNUMBER(SEARCH($AS$67:$AZ$67,IFERROR(('Final Calculation Sheet'!$C$31)&amp;"","")))))&gt;0))))</f>
        <v>1</v>
      </c>
      <c r="BU32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Sheet'!$H$31)&amp;"","")="",ISNUMBER(SEARCH($AS$68:$AZ$68,IFERROR(('Final Calculation Sheet'!$H$31)&amp;"","")))))&gt;0))))</f>
        <v>1</v>
      </c>
      <c r="BV32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Sheet'!$I$31)&amp;"","")="",ISNUMBER(SEARCH($AS$69:$AZ$69,IFERROR(('Final Calculation Sheet'!$I$31)&amp;"","")))))&gt;0))))</f>
        <v>1</v>
      </c>
      <c r="BW32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Sheet'!$J$31)&amp;"","")="",ISNUMBER(SEARCH($AS$70:$AZ$70,IFERROR(('Final Calculation Sheet'!$J$31)&amp;"","")))))&gt;0))))</f>
        <v>1</v>
      </c>
      <c r="BX32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Sheet'!$K$31)&amp;"","")="",ISNUMBER(SEARCH($AS$71:$AZ$71,IFERROR(('Final Calculation Sheet'!$K$31)&amp;"","")))))&gt;0))))</f>
        <v>1</v>
      </c>
      <c r="BY32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Sheet'!$L$31)&amp;"","")="",ISNUMBER(SEARCH($AS$72:$AZ$72,IFERROR(('Final Calculation Sheet'!$L$31)&amp;"","")))))&gt;0))))</f>
        <v>1</v>
      </c>
      <c r="BZ32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Sheet'!$M$31)&amp;"","")="",ISNUMBER(SEARCH($AS$73:$AZ$73,IFERROR(('Final Calculation Sheet'!$M$31)&amp;"","")))))&gt;0))))</f>
        <v>1</v>
      </c>
      <c r="CA32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Sheet'!$N$31)&amp;"","")="",ISNUMBER(SEARCH($AS$74:$AZ$74,IFERROR(('Final Calculation Sheet'!$N$31)&amp;"","")))))&gt;0))))</f>
        <v>1</v>
      </c>
      <c r="CB32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Sheet'!$O$31)&amp;"","")="",ISNUMBER(SEARCH($AS$75:$AZ$75,IFERROR(('Final Calculation Sheet'!$O$31)&amp;"","")))))&gt;0))))</f>
        <v>1</v>
      </c>
      <c r="CC32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Sheet'!$P$31)&amp;"","")="",ISNUMBER(SEARCH($AS$76:$AZ$76,IFERROR(('Final Calculation Sheet'!$P$31)&amp;"","")))))&gt;0))))</f>
        <v>1</v>
      </c>
      <c r="CD32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Sheet'!$Q$31)&amp;"","")="",ISNUMBER(SEARCH($AS$77:$AZ$77,IFERROR(('Final Calculation Sheet'!$Q$31)&amp;"","")))))&gt;0))))</f>
        <v>1</v>
      </c>
      <c r="CE32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Sheet'!$R$31)&amp;"","")="",ISNUMBER(SEARCH($AS$78:$AZ$78,IFERROR(('Final Calculation Sheet'!$R$31)&amp;"","")))))&gt;0))))</f>
        <v>1</v>
      </c>
      <c r="CF32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Sheet'!$S$31)&amp;"","")="",ISNUMBER(SEARCH($AS$79:$AZ$79,IFERROR(('Final Calculation Sheet'!$S$31)&amp;"","")))))&gt;0))))</f>
        <v>1</v>
      </c>
      <c r="CG32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Sheet'!$T$31)&amp;"","")="",ISNUMBER(SEARCH($AS$80:$AZ$80,IFERROR(('Final Calculation Sheet'!$T$31)&amp;"","")))))&gt;0))))</f>
        <v>1</v>
      </c>
      <c r="CH32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Sheet'!$U$31)&amp;"","")="",ISNUMBER(SEARCH($AS$81:$AZ$81,IFERROR(('Final Calculation Sheet'!$U$31)&amp;"","")))))&gt;0))))</f>
        <v>1</v>
      </c>
      <c r="CI32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Sheet'!$V$31)&amp;"","")="",ISNUMBER(SEARCH($AS$82:$AZ$82,IFERROR(('Final Calculation Sheet'!$V$31)&amp;"","")))))&gt;0))))</f>
        <v>1</v>
      </c>
      <c r="CJ32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Sheet'!$W$31)&amp;"","")="",ISNUMBER(SEARCH($AS$83:$AZ$83,IFERROR(('Final Calculation Sheet'!$W$31)&amp;"","")))))&gt;0))))</f>
        <v>1</v>
      </c>
      <c r="CK32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Sheet'!$X$31)&amp;"","")="",ISNUMBER(SEARCH($AS$84:$AZ$84,IFERROR(('Final Calculation Sheet'!$X$31)&amp;"","")))))&gt;0))))</f>
        <v>1</v>
      </c>
      <c r="CL32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Sheet'!$Y$31)&amp;"","")="",ISNUMBER(SEARCH($AS$85:$AZ$85,IFERROR(('Final Calculation Sheet'!$Y$31)&amp;"","")))))&gt;0))))</f>
        <v>1</v>
      </c>
      <c r="CM32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Sheet'!$Z$31)&amp;"","")="",ISNUMBER(SEARCH($AS$86:$AZ$86,IFERROR(('Final Calculation Sheet'!$Z$31)&amp;"","")))))&gt;0))))</f>
        <v>1</v>
      </c>
      <c r="CN32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Sheet'!$AA$31)&amp;"","")="",ISNUMBER(SEARCH($AS$87:$AZ$87,IFERROR(('Final Calculation Sheet'!$AA$31)&amp;"","")))))&gt;0))))</f>
        <v>1</v>
      </c>
      <c r="CO32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Sheet'!$AB$31)&amp;"","")="",ISNUMBER(SEARCH($AS$88:$AZ$88,IFERROR(('Final Calculation Sheet'!$AB$31)&amp;"","")))))&gt;0))))</f>
        <v>1</v>
      </c>
      <c r="CP32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Sheet'!$AC$31)&amp;"","")="",ISNUMBER(SEARCH($AS$89:$AZ$89,IFERROR(('Final Calculation Sheet'!$AC$31)&amp;"","")))))&gt;0))))</f>
        <v>1</v>
      </c>
      <c r="CQ32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Sheet'!$AD$31)&amp;"","")="",ISNUMBER(SEARCH($AS$90:$AZ$90,IFERROR(('Final Calculation Sheet'!$AD$31)&amp;"","")))))&gt;0))))</f>
        <v>1</v>
      </c>
      <c r="CR32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Sheet'!$AE$31)&amp;"","")="",ISNUMBER(SEARCH($AS$91:$AZ$91,IFERROR(('Final Calculation Sheet'!$AE$31)&amp;"","")))))&gt;0))))</f>
        <v>1</v>
      </c>
      <c r="CS32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Sheet'!$AF$31)&amp;"","")="",ISNUMBER(SEARCH($AS$92:$AZ$92,IFERROR(('Final Calculation Sheet'!$AF$31)&amp;"","")))))&gt;0))))</f>
        <v>1</v>
      </c>
      <c r="CT32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Sheet'!$AG$31)&amp;"","")="",ISNUMBER(SEARCH($AS$93:$AZ$93,IFERROR(('Final Calculation Sheet'!$AG$31)&amp;"","")))))&gt;0))))</f>
        <v>1</v>
      </c>
      <c r="CU32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Sheet'!$AD$31&lt;=0,"SETTLED","OUTSTANDING"))&amp;"","")="",ISNUMBER(SEARCH($AS$94:$AZ$94,IFERROR((IF('Final Calculation Sheet'!$AD$31&lt;=0,"SETTLED","OUTSTANDING"))&amp;"","")))))&gt;0))))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3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Sheet'!$F$32)&amp;"","")="",ISNUMBER(SEARCH($AS$61:$AZ$61,IFERROR(('Final Calculation Sheet'!$F$32)&amp;"","")))))&gt;0))))</f>
        <v>1</v>
      </c>
      <c r="BO33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Sheet'!$G$32)&amp;"","")="",ISNUMBER(SEARCH($AS$62:$AZ$62,IFERROR(('Final Calculation Sheet'!$G$32)&amp;"","")))))&gt;0))))</f>
        <v>1</v>
      </c>
      <c r="BP33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Sheet'!$B$32)&amp;"","")="",ISNUMBER(SEARCH($AS$63:$AZ$63,IFERROR(('Final Calculation Sheet'!$B$32)&amp;"","")))))&gt;0))))</f>
        <v>1</v>
      </c>
      <c r="BQ33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Sheet'!$D$32)&amp;"","")="",ISNUMBER(SEARCH($AS$64:$AZ$64,IFERROR(('Final Calculation Sheet'!$D$32)&amp;"","")))))&gt;0))))</f>
        <v>1</v>
      </c>
      <c r="BR33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Sheet'!$A$32)&amp;"","")="",ISNUMBER(SEARCH($AS$65:$AZ$65,IFERROR(('Final Calculation Sheet'!$A$32)&amp;"","")))))&gt;0))))</f>
        <v>1</v>
      </c>
      <c r="BS33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Sheet'!$E$32)&amp;"","")="",ISNUMBER(SEARCH($AS$66:$AZ$66,IFERROR(('Final Calculation Sheet'!$E$32)&amp;"","")))))&gt;0))))</f>
        <v>1</v>
      </c>
      <c r="BT33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Sheet'!$C$32)&amp;"","")="",ISNUMBER(SEARCH($AS$67:$AZ$67,IFERROR(('Final Calculation Sheet'!$C$32)&amp;"","")))))&gt;0))))</f>
        <v>1</v>
      </c>
      <c r="BU33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Sheet'!$H$32)&amp;"","")="",ISNUMBER(SEARCH($AS$68:$AZ$68,IFERROR(('Final Calculation Sheet'!$H$32)&amp;"","")))))&gt;0))))</f>
        <v>1</v>
      </c>
      <c r="BV33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Sheet'!$I$32)&amp;"","")="",ISNUMBER(SEARCH($AS$69:$AZ$69,IFERROR(('Final Calculation Sheet'!$I$32)&amp;"","")))))&gt;0))))</f>
        <v>1</v>
      </c>
      <c r="BW33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Sheet'!$J$32)&amp;"","")="",ISNUMBER(SEARCH($AS$70:$AZ$70,IFERROR(('Final Calculation Sheet'!$J$32)&amp;"","")))))&gt;0))))</f>
        <v>1</v>
      </c>
      <c r="BX33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Sheet'!$K$32)&amp;"","")="",ISNUMBER(SEARCH($AS$71:$AZ$71,IFERROR(('Final Calculation Sheet'!$K$32)&amp;"","")))))&gt;0))))</f>
        <v>1</v>
      </c>
      <c r="BY33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Sheet'!$L$32)&amp;"","")="",ISNUMBER(SEARCH($AS$72:$AZ$72,IFERROR(('Final Calculation Sheet'!$L$32)&amp;"","")))))&gt;0))))</f>
        <v>1</v>
      </c>
      <c r="BZ33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Sheet'!$M$32)&amp;"","")="",ISNUMBER(SEARCH($AS$73:$AZ$73,IFERROR(('Final Calculation Sheet'!$M$32)&amp;"","")))))&gt;0))))</f>
        <v>1</v>
      </c>
      <c r="CA33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Sheet'!$N$32)&amp;"","")="",ISNUMBER(SEARCH($AS$74:$AZ$74,IFERROR(('Final Calculation Sheet'!$N$32)&amp;"","")))))&gt;0))))</f>
        <v>1</v>
      </c>
      <c r="CB33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Sheet'!$O$32)&amp;"","")="",ISNUMBER(SEARCH($AS$75:$AZ$75,IFERROR(('Final Calculation Sheet'!$O$32)&amp;"","")))))&gt;0))))</f>
        <v>1</v>
      </c>
      <c r="CC33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Sheet'!$P$32)&amp;"","")="",ISNUMBER(SEARCH($AS$76:$AZ$76,IFERROR(('Final Calculation Sheet'!$P$32)&amp;"","")))))&gt;0))))</f>
        <v>1</v>
      </c>
      <c r="CD33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Sheet'!$Q$32)&amp;"","")="",ISNUMBER(SEARCH($AS$77:$AZ$77,IFERROR(('Final Calculation Sheet'!$Q$32)&amp;"","")))))&gt;0))))</f>
        <v>1</v>
      </c>
      <c r="CE33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Sheet'!$R$32)&amp;"","")="",ISNUMBER(SEARCH($AS$78:$AZ$78,IFERROR(('Final Calculation Sheet'!$R$32)&amp;"","")))))&gt;0))))</f>
        <v>1</v>
      </c>
      <c r="CF33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Sheet'!$S$32)&amp;"","")="",ISNUMBER(SEARCH($AS$79:$AZ$79,IFERROR(('Final Calculation Sheet'!$S$32)&amp;"","")))))&gt;0))))</f>
        <v>1</v>
      </c>
      <c r="CG33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Sheet'!$T$32)&amp;"","")="",ISNUMBER(SEARCH($AS$80:$AZ$80,IFERROR(('Final Calculation Sheet'!$T$32)&amp;"","")))))&gt;0))))</f>
        <v>1</v>
      </c>
      <c r="CH33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Sheet'!$U$32)&amp;"","")="",ISNUMBER(SEARCH($AS$81:$AZ$81,IFERROR(('Final Calculation Sheet'!$U$32)&amp;"","")))))&gt;0))))</f>
        <v>1</v>
      </c>
      <c r="CI33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Sheet'!$V$32)&amp;"","")="",ISNUMBER(SEARCH($AS$82:$AZ$82,IFERROR(('Final Calculation Sheet'!$V$32)&amp;"","")))))&gt;0))))</f>
        <v>1</v>
      </c>
      <c r="CJ33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Sheet'!$W$32)&amp;"","")="",ISNUMBER(SEARCH($AS$83:$AZ$83,IFERROR(('Final Calculation Sheet'!$W$32)&amp;"","")))))&gt;0))))</f>
        <v>1</v>
      </c>
      <c r="CK33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Sheet'!$X$32)&amp;"","")="",ISNUMBER(SEARCH($AS$84:$AZ$84,IFERROR(('Final Calculation Sheet'!$X$32)&amp;"","")))))&gt;0))))</f>
        <v>1</v>
      </c>
      <c r="CL33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Sheet'!$Y$32)&amp;"","")="",ISNUMBER(SEARCH($AS$85:$AZ$85,IFERROR(('Final Calculation Sheet'!$Y$32)&amp;"","")))))&gt;0))))</f>
        <v>1</v>
      </c>
      <c r="CM33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Sheet'!$Z$32)&amp;"","")="",ISNUMBER(SEARCH($AS$86:$AZ$86,IFERROR(('Final Calculation Sheet'!$Z$32)&amp;"","")))))&gt;0))))</f>
        <v>1</v>
      </c>
      <c r="CN33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Sheet'!$AA$32)&amp;"","")="",ISNUMBER(SEARCH($AS$87:$AZ$87,IFERROR(('Final Calculation Sheet'!$AA$32)&amp;"","")))))&gt;0))))</f>
        <v>1</v>
      </c>
      <c r="CO33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Sheet'!$AB$32)&amp;"","")="",ISNUMBER(SEARCH($AS$88:$AZ$88,IFERROR(('Final Calculation Sheet'!$AB$32)&amp;"","")))))&gt;0))))</f>
        <v>1</v>
      </c>
      <c r="CP33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Sheet'!$AC$32)&amp;"","")="",ISNUMBER(SEARCH($AS$89:$AZ$89,IFERROR(('Final Calculation Sheet'!$AC$32)&amp;"","")))))&gt;0))))</f>
        <v>1</v>
      </c>
      <c r="CQ33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Sheet'!$AD$32)&amp;"","")="",ISNUMBER(SEARCH($AS$90:$AZ$90,IFERROR(('Final Calculation Sheet'!$AD$32)&amp;"","")))))&gt;0))))</f>
        <v>1</v>
      </c>
      <c r="CR33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Sheet'!$AE$32)&amp;"","")="",ISNUMBER(SEARCH($AS$91:$AZ$91,IFERROR(('Final Calculation Sheet'!$AE$32)&amp;"","")))))&gt;0))))</f>
        <v>1</v>
      </c>
      <c r="CS33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Sheet'!$AF$32)&amp;"","")="",ISNUMBER(SEARCH($AS$92:$AZ$92,IFERROR(('Final Calculation Sheet'!$AF$32)&amp;"","")))))&gt;0))))</f>
        <v>1</v>
      </c>
      <c r="CT33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Sheet'!$AG$32)&amp;"","")="",ISNUMBER(SEARCH($AS$93:$AZ$93,IFERROR(('Final Calculation Sheet'!$AG$32)&amp;"","")))))&gt;0))))</f>
        <v>1</v>
      </c>
      <c r="CU33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Sheet'!$AD$32&lt;=0,"SETTLED","OUTSTANDING"))&amp;"","")="",ISNUMBER(SEARCH($AS$94:$AZ$94,IFERROR((IF('Final Calculation Sheet'!$AD$32&lt;=0,"SETTLED","OUTSTANDING"))&amp;"","")))))&gt;0))))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4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Sheet'!$F$33)&amp;"","")="",ISNUMBER(SEARCH($AS$61:$AZ$61,IFERROR(('Final Calculation Sheet'!$F$33)&amp;"","")))))&gt;0))))</f>
        <v>1</v>
      </c>
      <c r="BO34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Sheet'!$G$33)&amp;"","")="",ISNUMBER(SEARCH($AS$62:$AZ$62,IFERROR(('Final Calculation Sheet'!$G$33)&amp;"","")))))&gt;0))))</f>
        <v>1</v>
      </c>
      <c r="BP34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Sheet'!$B$33)&amp;"","")="",ISNUMBER(SEARCH($AS$63:$AZ$63,IFERROR(('Final Calculation Sheet'!$B$33)&amp;"","")))))&gt;0))))</f>
        <v>1</v>
      </c>
      <c r="BQ34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Sheet'!$D$33)&amp;"","")="",ISNUMBER(SEARCH($AS$64:$AZ$64,IFERROR(('Final Calculation Sheet'!$D$33)&amp;"","")))))&gt;0))))</f>
        <v>1</v>
      </c>
      <c r="BR34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Sheet'!$A$33)&amp;"","")="",ISNUMBER(SEARCH($AS$65:$AZ$65,IFERROR(('Final Calculation Sheet'!$A$33)&amp;"","")))))&gt;0))))</f>
        <v>1</v>
      </c>
      <c r="BS34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Sheet'!$E$33)&amp;"","")="",ISNUMBER(SEARCH($AS$66:$AZ$66,IFERROR(('Final Calculation Sheet'!$E$33)&amp;"","")))))&gt;0))))</f>
        <v>1</v>
      </c>
      <c r="BT34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Sheet'!$C$33)&amp;"","")="",ISNUMBER(SEARCH($AS$67:$AZ$67,IFERROR(('Final Calculation Sheet'!$C$33)&amp;"","")))))&gt;0))))</f>
        <v>1</v>
      </c>
      <c r="BU34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Sheet'!$H$33)&amp;"","")="",ISNUMBER(SEARCH($AS$68:$AZ$68,IFERROR(('Final Calculation Sheet'!$H$33)&amp;"","")))))&gt;0))))</f>
        <v>1</v>
      </c>
      <c r="BV34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Sheet'!$I$33)&amp;"","")="",ISNUMBER(SEARCH($AS$69:$AZ$69,IFERROR(('Final Calculation Sheet'!$I$33)&amp;"","")))))&gt;0))))</f>
        <v>1</v>
      </c>
      <c r="BW34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Sheet'!$J$33)&amp;"","")="",ISNUMBER(SEARCH($AS$70:$AZ$70,IFERROR(('Final Calculation Sheet'!$J$33)&amp;"","")))))&gt;0))))</f>
        <v>1</v>
      </c>
      <c r="BX34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Sheet'!$K$33)&amp;"","")="",ISNUMBER(SEARCH($AS$71:$AZ$71,IFERROR(('Final Calculation Sheet'!$K$33)&amp;"","")))))&gt;0))))</f>
        <v>1</v>
      </c>
      <c r="BY34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Sheet'!$L$33)&amp;"","")="",ISNUMBER(SEARCH($AS$72:$AZ$72,IFERROR(('Final Calculation Sheet'!$L$33)&amp;"","")))))&gt;0))))</f>
        <v>1</v>
      </c>
      <c r="BZ34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Sheet'!$M$33)&amp;"","")="",ISNUMBER(SEARCH($AS$73:$AZ$73,IFERROR(('Final Calculation Sheet'!$M$33)&amp;"","")))))&gt;0))))</f>
        <v>1</v>
      </c>
      <c r="CA34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Sheet'!$N$33)&amp;"","")="",ISNUMBER(SEARCH($AS$74:$AZ$74,IFERROR(('Final Calculation Sheet'!$N$33)&amp;"","")))))&gt;0))))</f>
        <v>1</v>
      </c>
      <c r="CB34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Sheet'!$O$33)&amp;"","")="",ISNUMBER(SEARCH($AS$75:$AZ$75,IFERROR(('Final Calculation Sheet'!$O$33)&amp;"","")))))&gt;0))))</f>
        <v>1</v>
      </c>
      <c r="CC34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Sheet'!$P$33)&amp;"","")="",ISNUMBER(SEARCH($AS$76:$AZ$76,IFERROR(('Final Calculation Sheet'!$P$33)&amp;"","")))))&gt;0))))</f>
        <v>1</v>
      </c>
      <c r="CD34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Sheet'!$Q$33)&amp;"","")="",ISNUMBER(SEARCH($AS$77:$AZ$77,IFERROR(('Final Calculation Sheet'!$Q$33)&amp;"","")))))&gt;0))))</f>
        <v>1</v>
      </c>
      <c r="CE34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Sheet'!$R$33)&amp;"","")="",ISNUMBER(SEARCH($AS$78:$AZ$78,IFERROR(('Final Calculation Sheet'!$R$33)&amp;"","")))))&gt;0))))</f>
        <v>1</v>
      </c>
      <c r="CF34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Sheet'!$S$33)&amp;"","")="",ISNUMBER(SEARCH($AS$79:$AZ$79,IFERROR(('Final Calculation Sheet'!$S$33)&amp;"","")))))&gt;0))))</f>
        <v>1</v>
      </c>
      <c r="CG34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Sheet'!$T$33)&amp;"","")="",ISNUMBER(SEARCH($AS$80:$AZ$80,IFERROR(('Final Calculation Sheet'!$T$33)&amp;"","")))))&gt;0))))</f>
        <v>1</v>
      </c>
      <c r="CH34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Sheet'!$U$33)&amp;"","")="",ISNUMBER(SEARCH($AS$81:$AZ$81,IFERROR(('Final Calculation Sheet'!$U$33)&amp;"","")))))&gt;0))))</f>
        <v>1</v>
      </c>
      <c r="CI34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Sheet'!$V$33)&amp;"","")="",ISNUMBER(SEARCH($AS$82:$AZ$82,IFERROR(('Final Calculation Sheet'!$V$33)&amp;"","")))))&gt;0))))</f>
        <v>1</v>
      </c>
      <c r="CJ34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Sheet'!$W$33)&amp;"","")="",ISNUMBER(SEARCH($AS$83:$AZ$83,IFERROR(('Final Calculation Sheet'!$W$33)&amp;"","")))))&gt;0))))</f>
        <v>1</v>
      </c>
      <c r="CK34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Sheet'!$X$33)&amp;"","")="",ISNUMBER(SEARCH($AS$84:$AZ$84,IFERROR(('Final Calculation Sheet'!$X$33)&amp;"","")))))&gt;0))))</f>
        <v>1</v>
      </c>
      <c r="CL34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Sheet'!$Y$33)&amp;"","")="",ISNUMBER(SEARCH($AS$85:$AZ$85,IFERROR(('Final Calculation Sheet'!$Y$33)&amp;"","")))))&gt;0))))</f>
        <v>1</v>
      </c>
      <c r="CM34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Sheet'!$Z$33)&amp;"","")="",ISNUMBER(SEARCH($AS$86:$AZ$86,IFERROR(('Final Calculation Sheet'!$Z$33)&amp;"","")))))&gt;0))))</f>
        <v>1</v>
      </c>
      <c r="CN34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Sheet'!$AA$33)&amp;"","")="",ISNUMBER(SEARCH($AS$87:$AZ$87,IFERROR(('Final Calculation Sheet'!$AA$33)&amp;"","")))))&gt;0))))</f>
        <v>1</v>
      </c>
      <c r="CO34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Sheet'!$AB$33)&amp;"","")="",ISNUMBER(SEARCH($AS$88:$AZ$88,IFERROR(('Final Calculation Sheet'!$AB$33)&amp;"","")))))&gt;0))))</f>
        <v>1</v>
      </c>
      <c r="CP34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Sheet'!$AC$33)&amp;"","")="",ISNUMBER(SEARCH($AS$89:$AZ$89,IFERROR(('Final Calculation Sheet'!$AC$33)&amp;"","")))))&gt;0))))</f>
        <v>1</v>
      </c>
      <c r="CQ34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Sheet'!$AD$33)&amp;"","")="",ISNUMBER(SEARCH($AS$90:$AZ$90,IFERROR(('Final Calculation Sheet'!$AD$33)&amp;"","")))))&gt;0))))</f>
        <v>1</v>
      </c>
      <c r="CR34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Sheet'!$AE$33)&amp;"","")="",ISNUMBER(SEARCH($AS$91:$AZ$91,IFERROR(('Final Calculation Sheet'!$AE$33)&amp;"","")))))&gt;0))))</f>
        <v>1</v>
      </c>
      <c r="CS34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Sheet'!$AF$33)&amp;"","")="",ISNUMBER(SEARCH($AS$92:$AZ$92,IFERROR(('Final Calculation Sheet'!$AF$33)&amp;"","")))))&gt;0))))</f>
        <v>1</v>
      </c>
      <c r="CT34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Sheet'!$AG$33)&amp;"","")="",ISNUMBER(SEARCH($AS$93:$AZ$93,IFERROR(('Final Calculation Sheet'!$AG$33)&amp;"","")))))&gt;0))))</f>
        <v>1</v>
      </c>
      <c r="CU34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Sheet'!$AD$33&lt;=0,"SETTLED","OUTSTANDING"))&amp;"","")="",ISNUMBER(SEARCH($AS$94:$AZ$94,IFERROR((IF('Final Calculation Sheet'!$AD$33&lt;=0,"SETTLED","OUTSTANDING"))&amp;"","")))))&gt;0))))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5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Sheet'!$F$34)&amp;"","")="",ISNUMBER(SEARCH($AS$61:$AZ$61,IFERROR(('Final Calculation Sheet'!$F$34)&amp;"","")))))&gt;0))))</f>
        <v>1</v>
      </c>
      <c r="BO35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Sheet'!$G$34)&amp;"","")="",ISNUMBER(SEARCH($AS$62:$AZ$62,IFERROR(('Final Calculation Sheet'!$G$34)&amp;"","")))))&gt;0))))</f>
        <v>1</v>
      </c>
      <c r="BP35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Sheet'!$B$34)&amp;"","")="",ISNUMBER(SEARCH($AS$63:$AZ$63,IFERROR(('Final Calculation Sheet'!$B$34)&amp;"","")))))&gt;0))))</f>
        <v>1</v>
      </c>
      <c r="BQ35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Sheet'!$D$34)&amp;"","")="",ISNUMBER(SEARCH($AS$64:$AZ$64,IFERROR(('Final Calculation Sheet'!$D$34)&amp;"","")))))&gt;0))))</f>
        <v>1</v>
      </c>
      <c r="BR35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Sheet'!$A$34)&amp;"","")="",ISNUMBER(SEARCH($AS$65:$AZ$65,IFERROR(('Final Calculation Sheet'!$A$34)&amp;"","")))))&gt;0))))</f>
        <v>1</v>
      </c>
      <c r="BS35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Sheet'!$E$34)&amp;"","")="",ISNUMBER(SEARCH($AS$66:$AZ$66,IFERROR(('Final Calculation Sheet'!$E$34)&amp;"","")))))&gt;0))))</f>
        <v>1</v>
      </c>
      <c r="BT35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Sheet'!$C$34)&amp;"","")="",ISNUMBER(SEARCH($AS$67:$AZ$67,IFERROR(('Final Calculation Sheet'!$C$34)&amp;"","")))))&gt;0))))</f>
        <v>1</v>
      </c>
      <c r="BU35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Sheet'!$H$34)&amp;"","")="",ISNUMBER(SEARCH($AS$68:$AZ$68,IFERROR(('Final Calculation Sheet'!$H$34)&amp;"","")))))&gt;0))))</f>
        <v>1</v>
      </c>
      <c r="BV35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Sheet'!$I$34)&amp;"","")="",ISNUMBER(SEARCH($AS$69:$AZ$69,IFERROR(('Final Calculation Sheet'!$I$34)&amp;"","")))))&gt;0))))</f>
        <v>1</v>
      </c>
      <c r="BW35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Sheet'!$J$34)&amp;"","")="",ISNUMBER(SEARCH($AS$70:$AZ$70,IFERROR(('Final Calculation Sheet'!$J$34)&amp;"","")))))&gt;0))))</f>
        <v>1</v>
      </c>
      <c r="BX35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Sheet'!$K$34)&amp;"","")="",ISNUMBER(SEARCH($AS$71:$AZ$71,IFERROR(('Final Calculation Sheet'!$K$34)&amp;"","")))))&gt;0))))</f>
        <v>1</v>
      </c>
      <c r="BY35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Sheet'!$L$34)&amp;"","")="",ISNUMBER(SEARCH($AS$72:$AZ$72,IFERROR(('Final Calculation Sheet'!$L$34)&amp;"","")))))&gt;0))))</f>
        <v>1</v>
      </c>
      <c r="BZ35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Sheet'!$M$34)&amp;"","")="",ISNUMBER(SEARCH($AS$73:$AZ$73,IFERROR(('Final Calculation Sheet'!$M$34)&amp;"","")))))&gt;0))))</f>
        <v>1</v>
      </c>
      <c r="CA35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Sheet'!$N$34)&amp;"","")="",ISNUMBER(SEARCH($AS$74:$AZ$74,IFERROR(('Final Calculation Sheet'!$N$34)&amp;"","")))))&gt;0))))</f>
        <v>1</v>
      </c>
      <c r="CB35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Sheet'!$O$34)&amp;"","")="",ISNUMBER(SEARCH($AS$75:$AZ$75,IFERROR(('Final Calculation Sheet'!$O$34)&amp;"","")))))&gt;0))))</f>
        <v>1</v>
      </c>
      <c r="CC35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Sheet'!$P$34)&amp;"","")="",ISNUMBER(SEARCH($AS$76:$AZ$76,IFERROR(('Final Calculation Sheet'!$P$34)&amp;"","")))))&gt;0))))</f>
        <v>1</v>
      </c>
      <c r="CD35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Sheet'!$Q$34)&amp;"","")="",ISNUMBER(SEARCH($AS$77:$AZ$77,IFERROR(('Final Calculation Sheet'!$Q$34)&amp;"","")))))&gt;0))))</f>
        <v>1</v>
      </c>
      <c r="CE35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Sheet'!$R$34)&amp;"","")="",ISNUMBER(SEARCH($AS$78:$AZ$78,IFERROR(('Final Calculation Sheet'!$R$34)&amp;"","")))))&gt;0))))</f>
        <v>1</v>
      </c>
      <c r="CF35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Sheet'!$S$34)&amp;"","")="",ISNUMBER(SEARCH($AS$79:$AZ$79,IFERROR(('Final Calculation Sheet'!$S$34)&amp;"","")))))&gt;0))))</f>
        <v>1</v>
      </c>
      <c r="CG35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Sheet'!$T$34)&amp;"","")="",ISNUMBER(SEARCH($AS$80:$AZ$80,IFERROR(('Final Calculation Sheet'!$T$34)&amp;"","")))))&gt;0))))</f>
        <v>1</v>
      </c>
      <c r="CH35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Sheet'!$U$34)&amp;"","")="",ISNUMBER(SEARCH($AS$81:$AZ$81,IFERROR(('Final Calculation Sheet'!$U$34)&amp;"","")))))&gt;0))))</f>
        <v>1</v>
      </c>
      <c r="CI35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Sheet'!$V$34)&amp;"","")="",ISNUMBER(SEARCH($AS$82:$AZ$82,IFERROR(('Final Calculation Sheet'!$V$34)&amp;"","")))))&gt;0))))</f>
        <v>1</v>
      </c>
      <c r="CJ35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Sheet'!$W$34)&amp;"","")="",ISNUMBER(SEARCH($AS$83:$AZ$83,IFERROR(('Final Calculation Sheet'!$W$34)&amp;"","")))))&gt;0))))</f>
        <v>1</v>
      </c>
      <c r="CK35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Sheet'!$X$34)&amp;"","")="",ISNUMBER(SEARCH($AS$84:$AZ$84,IFERROR(('Final Calculation Sheet'!$X$34)&amp;"","")))))&gt;0))))</f>
        <v>1</v>
      </c>
      <c r="CL35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Sheet'!$Y$34)&amp;"","")="",ISNUMBER(SEARCH($AS$85:$AZ$85,IFERROR(('Final Calculation Sheet'!$Y$34)&amp;"","")))))&gt;0))))</f>
        <v>1</v>
      </c>
      <c r="CM35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Sheet'!$Z$34)&amp;"","")="",ISNUMBER(SEARCH($AS$86:$AZ$86,IFERROR(('Final Calculation Sheet'!$Z$34)&amp;"","")))))&gt;0))))</f>
        <v>1</v>
      </c>
      <c r="CN35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Sheet'!$AA$34)&amp;"","")="",ISNUMBER(SEARCH($AS$87:$AZ$87,IFERROR(('Final Calculation Sheet'!$AA$34)&amp;"","")))))&gt;0))))</f>
        <v>1</v>
      </c>
      <c r="CO35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Sheet'!$AB$34)&amp;"","")="",ISNUMBER(SEARCH($AS$88:$AZ$88,IFERROR(('Final Calculation Sheet'!$AB$34)&amp;"","")))))&gt;0))))</f>
        <v>1</v>
      </c>
      <c r="CP35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Sheet'!$AC$34)&amp;"","")="",ISNUMBER(SEARCH($AS$89:$AZ$89,IFERROR(('Final Calculation Sheet'!$AC$34)&amp;"","")))))&gt;0))))</f>
        <v>1</v>
      </c>
      <c r="CQ35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Sheet'!$AD$34)&amp;"","")="",ISNUMBER(SEARCH($AS$90:$AZ$90,IFERROR(('Final Calculation Sheet'!$AD$34)&amp;"","")))))&gt;0))))</f>
        <v>1</v>
      </c>
      <c r="CR35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Sheet'!$AE$34)&amp;"","")="",ISNUMBER(SEARCH($AS$91:$AZ$91,IFERROR(('Final Calculation Sheet'!$AE$34)&amp;"","")))))&gt;0))))</f>
        <v>1</v>
      </c>
      <c r="CS35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Sheet'!$AF$34)&amp;"","")="",ISNUMBER(SEARCH($AS$92:$AZ$92,IFERROR(('Final Calculation Sheet'!$AF$34)&amp;"","")))))&gt;0))))</f>
        <v>1</v>
      </c>
      <c r="CT35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Sheet'!$AG$34)&amp;"","")="",ISNUMBER(SEARCH($AS$93:$AZ$93,IFERROR(('Final Calculation Sheet'!$AG$34)&amp;"","")))))&gt;0))))</f>
        <v>1</v>
      </c>
      <c r="CU35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Sheet'!$AD$34&lt;=0,"SETTLED","OUTSTANDING"))&amp;"","")="",ISNUMBER(SEARCH($AS$94:$AZ$94,IFERROR((IF('Final Calculation Sheet'!$AD$34&lt;=0,"SETTLED","OUTSTANDING"))&amp;"","")))))&gt;0))))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6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Sheet'!$F$35)&amp;"","")="",ISNUMBER(SEARCH($AS$61:$AZ$61,IFERROR(('Final Calculation Sheet'!$F$35)&amp;"","")))))&gt;0))))</f>
        <v>1</v>
      </c>
      <c r="BO36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Sheet'!$G$35)&amp;"","")="",ISNUMBER(SEARCH($AS$62:$AZ$62,IFERROR(('Final Calculation Sheet'!$G$35)&amp;"","")))))&gt;0))))</f>
        <v>1</v>
      </c>
      <c r="BP36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Sheet'!$B$35)&amp;"","")="",ISNUMBER(SEARCH($AS$63:$AZ$63,IFERROR(('Final Calculation Sheet'!$B$35)&amp;"","")))))&gt;0))))</f>
        <v>1</v>
      </c>
      <c r="BQ36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Sheet'!$D$35)&amp;"","")="",ISNUMBER(SEARCH($AS$64:$AZ$64,IFERROR(('Final Calculation Sheet'!$D$35)&amp;"","")))))&gt;0))))</f>
        <v>1</v>
      </c>
      <c r="BR36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Sheet'!$A$35)&amp;"","")="",ISNUMBER(SEARCH($AS$65:$AZ$65,IFERROR(('Final Calculation Sheet'!$A$35)&amp;"","")))))&gt;0))))</f>
        <v>1</v>
      </c>
      <c r="BS36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Sheet'!$E$35)&amp;"","")="",ISNUMBER(SEARCH($AS$66:$AZ$66,IFERROR(('Final Calculation Sheet'!$E$35)&amp;"","")))))&gt;0))))</f>
        <v>1</v>
      </c>
      <c r="BT36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Sheet'!$C$35)&amp;"","")="",ISNUMBER(SEARCH($AS$67:$AZ$67,IFERROR(('Final Calculation Sheet'!$C$35)&amp;"","")))))&gt;0))))</f>
        <v>1</v>
      </c>
      <c r="BU36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Sheet'!$H$35)&amp;"","")="",ISNUMBER(SEARCH($AS$68:$AZ$68,IFERROR(('Final Calculation Sheet'!$H$35)&amp;"","")))))&gt;0))))</f>
        <v>1</v>
      </c>
      <c r="BV36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Sheet'!$I$35)&amp;"","")="",ISNUMBER(SEARCH($AS$69:$AZ$69,IFERROR(('Final Calculation Sheet'!$I$35)&amp;"","")))))&gt;0))))</f>
        <v>1</v>
      </c>
      <c r="BW36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Sheet'!$J$35)&amp;"","")="",ISNUMBER(SEARCH($AS$70:$AZ$70,IFERROR(('Final Calculation Sheet'!$J$35)&amp;"","")))))&gt;0))))</f>
        <v>1</v>
      </c>
      <c r="BX36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Sheet'!$K$35)&amp;"","")="",ISNUMBER(SEARCH($AS$71:$AZ$71,IFERROR(('Final Calculation Sheet'!$K$35)&amp;"","")))))&gt;0))))</f>
        <v>1</v>
      </c>
      <c r="BY36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Sheet'!$L$35)&amp;"","")="",ISNUMBER(SEARCH($AS$72:$AZ$72,IFERROR(('Final Calculation Sheet'!$L$35)&amp;"","")))))&gt;0))))</f>
        <v>1</v>
      </c>
      <c r="BZ36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Sheet'!$M$35)&amp;"","")="",ISNUMBER(SEARCH($AS$73:$AZ$73,IFERROR(('Final Calculation Sheet'!$M$35)&amp;"","")))))&gt;0))))</f>
        <v>1</v>
      </c>
      <c r="CA36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Sheet'!$N$35)&amp;"","")="",ISNUMBER(SEARCH($AS$74:$AZ$74,IFERROR(('Final Calculation Sheet'!$N$35)&amp;"","")))))&gt;0))))</f>
        <v>1</v>
      </c>
      <c r="CB36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Sheet'!$O$35)&amp;"","")="",ISNUMBER(SEARCH($AS$75:$AZ$75,IFERROR(('Final Calculation Sheet'!$O$35)&amp;"","")))))&gt;0))))</f>
        <v>1</v>
      </c>
      <c r="CC36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Sheet'!$P$35)&amp;"","")="",ISNUMBER(SEARCH($AS$76:$AZ$76,IFERROR(('Final Calculation Sheet'!$P$35)&amp;"","")))))&gt;0))))</f>
        <v>1</v>
      </c>
      <c r="CD36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Sheet'!$Q$35)&amp;"","")="",ISNUMBER(SEARCH($AS$77:$AZ$77,IFERROR(('Final Calculation Sheet'!$Q$35)&amp;"","")))))&gt;0))))</f>
        <v>1</v>
      </c>
      <c r="CE36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Sheet'!$R$35)&amp;"","")="",ISNUMBER(SEARCH($AS$78:$AZ$78,IFERROR(('Final Calculation Sheet'!$R$35)&amp;"","")))))&gt;0))))</f>
        <v>1</v>
      </c>
      <c r="CF36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Sheet'!$S$35)&amp;"","")="",ISNUMBER(SEARCH($AS$79:$AZ$79,IFERROR(('Final Calculation Sheet'!$S$35)&amp;"","")))))&gt;0))))</f>
        <v>1</v>
      </c>
      <c r="CG36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Sheet'!$T$35)&amp;"","")="",ISNUMBER(SEARCH($AS$80:$AZ$80,IFERROR(('Final Calculation Sheet'!$T$35)&amp;"","")))))&gt;0))))</f>
        <v>1</v>
      </c>
      <c r="CH36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Sheet'!$U$35)&amp;"","")="",ISNUMBER(SEARCH($AS$81:$AZ$81,IFERROR(('Final Calculation Sheet'!$U$35)&amp;"","")))))&gt;0))))</f>
        <v>1</v>
      </c>
      <c r="CI36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Sheet'!$V$35)&amp;"","")="",ISNUMBER(SEARCH($AS$82:$AZ$82,IFERROR(('Final Calculation Sheet'!$V$35)&amp;"","")))))&gt;0))))</f>
        <v>1</v>
      </c>
      <c r="CJ36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Sheet'!$W$35)&amp;"","")="",ISNUMBER(SEARCH($AS$83:$AZ$83,IFERROR(('Final Calculation Sheet'!$W$35)&amp;"","")))))&gt;0))))</f>
        <v>1</v>
      </c>
      <c r="CK36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Sheet'!$X$35)&amp;"","")="",ISNUMBER(SEARCH($AS$84:$AZ$84,IFERROR(('Final Calculation Sheet'!$X$35)&amp;"","")))))&gt;0))))</f>
        <v>1</v>
      </c>
      <c r="CL36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Sheet'!$Y$35)&amp;"","")="",ISNUMBER(SEARCH($AS$85:$AZ$85,IFERROR(('Final Calculation Sheet'!$Y$35)&amp;"","")))))&gt;0))))</f>
        <v>1</v>
      </c>
      <c r="CM36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Sheet'!$Z$35)&amp;"","")="",ISNUMBER(SEARCH($AS$86:$AZ$86,IFERROR(('Final Calculation Sheet'!$Z$35)&amp;"","")))))&gt;0))))</f>
        <v>1</v>
      </c>
      <c r="CN36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Sheet'!$AA$35)&amp;"","")="",ISNUMBER(SEARCH($AS$87:$AZ$87,IFERROR(('Final Calculation Sheet'!$AA$35)&amp;"","")))))&gt;0))))</f>
        <v>1</v>
      </c>
      <c r="CO36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Sheet'!$AB$35)&amp;"","")="",ISNUMBER(SEARCH($AS$88:$AZ$88,IFERROR(('Final Calculation Sheet'!$AB$35)&amp;"","")))))&gt;0))))</f>
        <v>1</v>
      </c>
      <c r="CP36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Sheet'!$AC$35)&amp;"","")="",ISNUMBER(SEARCH($AS$89:$AZ$89,IFERROR(('Final Calculation Sheet'!$AC$35)&amp;"","")))))&gt;0))))</f>
        <v>1</v>
      </c>
      <c r="CQ36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Sheet'!$AD$35)&amp;"","")="",ISNUMBER(SEARCH($AS$90:$AZ$90,IFERROR(('Final Calculation Sheet'!$AD$35)&amp;"","")))))&gt;0))))</f>
        <v>1</v>
      </c>
      <c r="CR36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Sheet'!$AE$35)&amp;"","")="",ISNUMBER(SEARCH($AS$91:$AZ$91,IFERROR(('Final Calculation Sheet'!$AE$35)&amp;"","")))))&gt;0))))</f>
        <v>1</v>
      </c>
      <c r="CS36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Sheet'!$AF$35)&amp;"","")="",ISNUMBER(SEARCH($AS$92:$AZ$92,IFERROR(('Final Calculation Sheet'!$AF$35)&amp;"","")))))&gt;0))))</f>
        <v>1</v>
      </c>
      <c r="CT36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Sheet'!$AG$35)&amp;"","")="",ISNUMBER(SEARCH($AS$93:$AZ$93,IFERROR(('Final Calculation Sheet'!$AG$35)&amp;"","")))))&gt;0))))</f>
        <v>1</v>
      </c>
      <c r="CU36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Sheet'!$AD$35&lt;=0,"SETTLED","OUTSTANDING"))&amp;"","")="",ISNUMBER(SEARCH($AS$94:$AZ$94,IFERROR((IF('Final Calculation Sheet'!$AD$35&lt;=0,"SETTLED","OUTSTANDING"))&amp;"","")))))&gt;0))))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7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Sheet'!$F$36)&amp;"","")="",ISNUMBER(SEARCH($AS$61:$AZ$61,IFERROR(('Final Calculation Sheet'!$F$36)&amp;"","")))))&gt;0))))</f>
        <v>1</v>
      </c>
      <c r="BO37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Sheet'!$G$36)&amp;"","")="",ISNUMBER(SEARCH($AS$62:$AZ$62,IFERROR(('Final Calculation Sheet'!$G$36)&amp;"","")))))&gt;0))))</f>
        <v>1</v>
      </c>
      <c r="BP37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Sheet'!$B$36)&amp;"","")="",ISNUMBER(SEARCH($AS$63:$AZ$63,IFERROR(('Final Calculation Sheet'!$B$36)&amp;"","")))))&gt;0))))</f>
        <v>1</v>
      </c>
      <c r="BQ37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Sheet'!$D$36)&amp;"","")="",ISNUMBER(SEARCH($AS$64:$AZ$64,IFERROR(('Final Calculation Sheet'!$D$36)&amp;"","")))))&gt;0))))</f>
        <v>1</v>
      </c>
      <c r="BR37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Sheet'!$A$36)&amp;"","")="",ISNUMBER(SEARCH($AS$65:$AZ$65,IFERROR(('Final Calculation Sheet'!$A$36)&amp;"","")))))&gt;0))))</f>
        <v>1</v>
      </c>
      <c r="BS37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Sheet'!$E$36)&amp;"","")="",ISNUMBER(SEARCH($AS$66:$AZ$66,IFERROR(('Final Calculation Sheet'!$E$36)&amp;"","")))))&gt;0))))</f>
        <v>1</v>
      </c>
      <c r="BT37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Sheet'!$C$36)&amp;"","")="",ISNUMBER(SEARCH($AS$67:$AZ$67,IFERROR(('Final Calculation Sheet'!$C$36)&amp;"","")))))&gt;0))))</f>
        <v>1</v>
      </c>
      <c r="BU37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Sheet'!$H$36)&amp;"","")="",ISNUMBER(SEARCH($AS$68:$AZ$68,IFERROR(('Final Calculation Sheet'!$H$36)&amp;"","")))))&gt;0))))</f>
        <v>1</v>
      </c>
      <c r="BV37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Sheet'!$I$36)&amp;"","")="",ISNUMBER(SEARCH($AS$69:$AZ$69,IFERROR(('Final Calculation Sheet'!$I$36)&amp;"","")))))&gt;0))))</f>
        <v>1</v>
      </c>
      <c r="BW37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Sheet'!$J$36)&amp;"","")="",ISNUMBER(SEARCH($AS$70:$AZ$70,IFERROR(('Final Calculation Sheet'!$J$36)&amp;"","")))))&gt;0))))</f>
        <v>1</v>
      </c>
      <c r="BX37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Sheet'!$K$36)&amp;"","")="",ISNUMBER(SEARCH($AS$71:$AZ$71,IFERROR(('Final Calculation Sheet'!$K$36)&amp;"","")))))&gt;0))))</f>
        <v>1</v>
      </c>
      <c r="BY37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Sheet'!$L$36)&amp;"","")="",ISNUMBER(SEARCH($AS$72:$AZ$72,IFERROR(('Final Calculation Sheet'!$L$36)&amp;"","")))))&gt;0))))</f>
        <v>1</v>
      </c>
      <c r="BZ37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Sheet'!$M$36)&amp;"","")="",ISNUMBER(SEARCH($AS$73:$AZ$73,IFERROR(('Final Calculation Sheet'!$M$36)&amp;"","")))))&gt;0))))</f>
        <v>1</v>
      </c>
      <c r="CA37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Sheet'!$N$36)&amp;"","")="",ISNUMBER(SEARCH($AS$74:$AZ$74,IFERROR(('Final Calculation Sheet'!$N$36)&amp;"","")))))&gt;0))))</f>
        <v>1</v>
      </c>
      <c r="CB37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Sheet'!$O$36)&amp;"","")="",ISNUMBER(SEARCH($AS$75:$AZ$75,IFERROR(('Final Calculation Sheet'!$O$36)&amp;"","")))))&gt;0))))</f>
        <v>1</v>
      </c>
      <c r="CC37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Sheet'!$P$36)&amp;"","")="",ISNUMBER(SEARCH($AS$76:$AZ$76,IFERROR(('Final Calculation Sheet'!$P$36)&amp;"","")))))&gt;0))))</f>
        <v>1</v>
      </c>
      <c r="CD37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Sheet'!$Q$36)&amp;"","")="",ISNUMBER(SEARCH($AS$77:$AZ$77,IFERROR(('Final Calculation Sheet'!$Q$36)&amp;"","")))))&gt;0))))</f>
        <v>1</v>
      </c>
      <c r="CE37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Sheet'!$R$36)&amp;"","")="",ISNUMBER(SEARCH($AS$78:$AZ$78,IFERROR(('Final Calculation Sheet'!$R$36)&amp;"","")))))&gt;0))))</f>
        <v>1</v>
      </c>
      <c r="CF37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Sheet'!$S$36)&amp;"","")="",ISNUMBER(SEARCH($AS$79:$AZ$79,IFERROR(('Final Calculation Sheet'!$S$36)&amp;"","")))))&gt;0))))</f>
        <v>1</v>
      </c>
      <c r="CG37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Sheet'!$T$36)&amp;"","")="",ISNUMBER(SEARCH($AS$80:$AZ$80,IFERROR(('Final Calculation Sheet'!$T$36)&amp;"","")))))&gt;0))))</f>
        <v>1</v>
      </c>
      <c r="CH37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Sheet'!$U$36)&amp;"","")="",ISNUMBER(SEARCH($AS$81:$AZ$81,IFERROR(('Final Calculation Sheet'!$U$36)&amp;"","")))))&gt;0))))</f>
        <v>1</v>
      </c>
      <c r="CI37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Sheet'!$V$36)&amp;"","")="",ISNUMBER(SEARCH($AS$82:$AZ$82,IFERROR(('Final Calculation Sheet'!$V$36)&amp;"","")))))&gt;0))))</f>
        <v>1</v>
      </c>
      <c r="CJ37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Sheet'!$W$36)&amp;"","")="",ISNUMBER(SEARCH($AS$83:$AZ$83,IFERROR(('Final Calculation Sheet'!$W$36)&amp;"","")))))&gt;0))))</f>
        <v>1</v>
      </c>
      <c r="CK37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Sheet'!$X$36)&amp;"","")="",ISNUMBER(SEARCH($AS$84:$AZ$84,IFERROR(('Final Calculation Sheet'!$X$36)&amp;"","")))))&gt;0))))</f>
        <v>1</v>
      </c>
      <c r="CL37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Sheet'!$Y$36)&amp;"","")="",ISNUMBER(SEARCH($AS$85:$AZ$85,IFERROR(('Final Calculation Sheet'!$Y$36)&amp;"","")))))&gt;0))))</f>
        <v>1</v>
      </c>
      <c r="CM37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Sheet'!$Z$36)&amp;"","")="",ISNUMBER(SEARCH($AS$86:$AZ$86,IFERROR(('Final Calculation Sheet'!$Z$36)&amp;"","")))))&gt;0))))</f>
        <v>1</v>
      </c>
      <c r="CN37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Sheet'!$AA$36)&amp;"","")="",ISNUMBER(SEARCH($AS$87:$AZ$87,IFERROR(('Final Calculation Sheet'!$AA$36)&amp;"","")))))&gt;0))))</f>
        <v>1</v>
      </c>
      <c r="CO37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Sheet'!$AB$36)&amp;"","")="",ISNUMBER(SEARCH($AS$88:$AZ$88,IFERROR(('Final Calculation Sheet'!$AB$36)&amp;"","")))))&gt;0))))</f>
        <v>1</v>
      </c>
      <c r="CP37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Sheet'!$AC$36)&amp;"","")="",ISNUMBER(SEARCH($AS$89:$AZ$89,IFERROR(('Final Calculation Sheet'!$AC$36)&amp;"","")))))&gt;0))))</f>
        <v>1</v>
      </c>
      <c r="CQ37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Sheet'!$AD$36)&amp;"","")="",ISNUMBER(SEARCH($AS$90:$AZ$90,IFERROR(('Final Calculation Sheet'!$AD$36)&amp;"","")))))&gt;0))))</f>
        <v>1</v>
      </c>
      <c r="CR37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Sheet'!$AE$36)&amp;"","")="",ISNUMBER(SEARCH($AS$91:$AZ$91,IFERROR(('Final Calculation Sheet'!$AE$36)&amp;"","")))))&gt;0))))</f>
        <v>1</v>
      </c>
      <c r="CS37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Sheet'!$AF$36)&amp;"","")="",ISNUMBER(SEARCH($AS$92:$AZ$92,IFERROR(('Final Calculation Sheet'!$AF$36)&amp;"","")))))&gt;0))))</f>
        <v>1</v>
      </c>
      <c r="CT37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Sheet'!$AG$36)&amp;"","")="",ISNUMBER(SEARCH($AS$93:$AZ$93,IFERROR(('Final Calculation Sheet'!$AG$36)&amp;"","")))))&gt;0))))</f>
        <v>1</v>
      </c>
      <c r="CU37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Sheet'!$AD$36&lt;=0,"SETTLED","OUTSTANDING"))&amp;"","")="",ISNUMBER(SEARCH($AS$94:$AZ$94,IFERROR((IF('Final Calculation Sheet'!$AD$36&lt;=0,"SETTLED","OUTSTANDING"))&amp;"","")))))&gt;0))))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8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Sheet'!$F$37)&amp;"","")="",ISNUMBER(SEARCH($AS$61:$AZ$61,IFERROR(('Final Calculation Sheet'!$F$37)&amp;"","")))))&gt;0))))</f>
        <v>1</v>
      </c>
      <c r="BO38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Sheet'!$G$37)&amp;"","")="",ISNUMBER(SEARCH($AS$62:$AZ$62,IFERROR(('Final Calculation Sheet'!$G$37)&amp;"","")))))&gt;0))))</f>
        <v>1</v>
      </c>
      <c r="BP38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Sheet'!$B$37)&amp;"","")="",ISNUMBER(SEARCH($AS$63:$AZ$63,IFERROR(('Final Calculation Sheet'!$B$37)&amp;"","")))))&gt;0))))</f>
        <v>1</v>
      </c>
      <c r="BQ38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Sheet'!$D$37)&amp;"","")="",ISNUMBER(SEARCH($AS$64:$AZ$64,IFERROR(('Final Calculation Sheet'!$D$37)&amp;"","")))))&gt;0))))</f>
        <v>1</v>
      </c>
      <c r="BR38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Sheet'!$A$37)&amp;"","")="",ISNUMBER(SEARCH($AS$65:$AZ$65,IFERROR(('Final Calculation Sheet'!$A$37)&amp;"","")))))&gt;0))))</f>
        <v>1</v>
      </c>
      <c r="BS38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Sheet'!$E$37)&amp;"","")="",ISNUMBER(SEARCH($AS$66:$AZ$66,IFERROR(('Final Calculation Sheet'!$E$37)&amp;"","")))))&gt;0))))</f>
        <v>1</v>
      </c>
      <c r="BT38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Sheet'!$C$37)&amp;"","")="",ISNUMBER(SEARCH($AS$67:$AZ$67,IFERROR(('Final Calculation Sheet'!$C$37)&amp;"","")))))&gt;0))))</f>
        <v>1</v>
      </c>
      <c r="BU38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Sheet'!$H$37)&amp;"","")="",ISNUMBER(SEARCH($AS$68:$AZ$68,IFERROR(('Final Calculation Sheet'!$H$37)&amp;"","")))))&gt;0))))</f>
        <v>1</v>
      </c>
      <c r="BV38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Sheet'!$I$37)&amp;"","")="",ISNUMBER(SEARCH($AS$69:$AZ$69,IFERROR(('Final Calculation Sheet'!$I$37)&amp;"","")))))&gt;0))))</f>
        <v>1</v>
      </c>
      <c r="BW38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Sheet'!$J$37)&amp;"","")="",ISNUMBER(SEARCH($AS$70:$AZ$70,IFERROR(('Final Calculation Sheet'!$J$37)&amp;"","")))))&gt;0))))</f>
        <v>1</v>
      </c>
      <c r="BX38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Sheet'!$K$37)&amp;"","")="",ISNUMBER(SEARCH($AS$71:$AZ$71,IFERROR(('Final Calculation Sheet'!$K$37)&amp;"","")))))&gt;0))))</f>
        <v>1</v>
      </c>
      <c r="BY38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Sheet'!$L$37)&amp;"","")="",ISNUMBER(SEARCH($AS$72:$AZ$72,IFERROR(('Final Calculation Sheet'!$L$37)&amp;"","")))))&gt;0))))</f>
        <v>1</v>
      </c>
      <c r="BZ38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Sheet'!$M$37)&amp;"","")="",ISNUMBER(SEARCH($AS$73:$AZ$73,IFERROR(('Final Calculation Sheet'!$M$37)&amp;"","")))))&gt;0))))</f>
        <v>1</v>
      </c>
      <c r="CA38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Sheet'!$N$37)&amp;"","")="",ISNUMBER(SEARCH($AS$74:$AZ$74,IFERROR(('Final Calculation Sheet'!$N$37)&amp;"","")))))&gt;0))))</f>
        <v>1</v>
      </c>
      <c r="CB38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Sheet'!$O$37)&amp;"","")="",ISNUMBER(SEARCH($AS$75:$AZ$75,IFERROR(('Final Calculation Sheet'!$O$37)&amp;"","")))))&gt;0))))</f>
        <v>1</v>
      </c>
      <c r="CC38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Sheet'!$P$37)&amp;"","")="",ISNUMBER(SEARCH($AS$76:$AZ$76,IFERROR(('Final Calculation Sheet'!$P$37)&amp;"","")))))&gt;0))))</f>
        <v>1</v>
      </c>
      <c r="CD38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Sheet'!$Q$37)&amp;"","")="",ISNUMBER(SEARCH($AS$77:$AZ$77,IFERROR(('Final Calculation Sheet'!$Q$37)&amp;"","")))))&gt;0))))</f>
        <v>1</v>
      </c>
      <c r="CE38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Sheet'!$R$37)&amp;"","")="",ISNUMBER(SEARCH($AS$78:$AZ$78,IFERROR(('Final Calculation Sheet'!$R$37)&amp;"","")))))&gt;0))))</f>
        <v>1</v>
      </c>
      <c r="CF38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Sheet'!$S$37)&amp;"","")="",ISNUMBER(SEARCH($AS$79:$AZ$79,IFERROR(('Final Calculation Sheet'!$S$37)&amp;"","")))))&gt;0))))</f>
        <v>1</v>
      </c>
      <c r="CG38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Sheet'!$T$37)&amp;"","")="",ISNUMBER(SEARCH($AS$80:$AZ$80,IFERROR(('Final Calculation Sheet'!$T$37)&amp;"","")))))&gt;0))))</f>
        <v>1</v>
      </c>
      <c r="CH38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Sheet'!$U$37)&amp;"","")="",ISNUMBER(SEARCH($AS$81:$AZ$81,IFERROR(('Final Calculation Sheet'!$U$37)&amp;"","")))))&gt;0))))</f>
        <v>1</v>
      </c>
      <c r="CI38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Sheet'!$V$37)&amp;"","")="",ISNUMBER(SEARCH($AS$82:$AZ$82,IFERROR(('Final Calculation Sheet'!$V$37)&amp;"","")))))&gt;0))))</f>
        <v>1</v>
      </c>
      <c r="CJ38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Sheet'!$W$37)&amp;"","")="",ISNUMBER(SEARCH($AS$83:$AZ$83,IFERROR(('Final Calculation Sheet'!$W$37)&amp;"","")))))&gt;0))))</f>
        <v>1</v>
      </c>
      <c r="CK38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Sheet'!$X$37)&amp;"","")="",ISNUMBER(SEARCH($AS$84:$AZ$84,IFERROR(('Final Calculation Sheet'!$X$37)&amp;"","")))))&gt;0))))</f>
        <v>1</v>
      </c>
      <c r="CL38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Sheet'!$Y$37)&amp;"","")="",ISNUMBER(SEARCH($AS$85:$AZ$85,IFERROR(('Final Calculation Sheet'!$Y$37)&amp;"","")))))&gt;0))))</f>
        <v>1</v>
      </c>
      <c r="CM38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Sheet'!$Z$37)&amp;"","")="",ISNUMBER(SEARCH($AS$86:$AZ$86,IFERROR(('Final Calculation Sheet'!$Z$37)&amp;"","")))))&gt;0))))</f>
        <v>1</v>
      </c>
      <c r="CN38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Sheet'!$AA$37)&amp;"","")="",ISNUMBER(SEARCH($AS$87:$AZ$87,IFERROR(('Final Calculation Sheet'!$AA$37)&amp;"","")))))&gt;0))))</f>
        <v>1</v>
      </c>
      <c r="CO38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Sheet'!$AB$37)&amp;"","")="",ISNUMBER(SEARCH($AS$88:$AZ$88,IFERROR(('Final Calculation Sheet'!$AB$37)&amp;"","")))))&gt;0))))</f>
        <v>1</v>
      </c>
      <c r="CP38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Sheet'!$AC$37)&amp;"","")="",ISNUMBER(SEARCH($AS$89:$AZ$89,IFERROR(('Final Calculation Sheet'!$AC$37)&amp;"","")))))&gt;0))))</f>
        <v>1</v>
      </c>
      <c r="CQ38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Sheet'!$AD$37)&amp;"","")="",ISNUMBER(SEARCH($AS$90:$AZ$90,IFERROR(('Final Calculation Sheet'!$AD$37)&amp;"","")))))&gt;0))))</f>
        <v>1</v>
      </c>
      <c r="CR38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Sheet'!$AE$37)&amp;"","")="",ISNUMBER(SEARCH($AS$91:$AZ$91,IFERROR(('Final Calculation Sheet'!$AE$37)&amp;"","")))))&gt;0))))</f>
        <v>1</v>
      </c>
      <c r="CS38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Sheet'!$AF$37)&amp;"","")="",ISNUMBER(SEARCH($AS$92:$AZ$92,IFERROR(('Final Calculation Sheet'!$AF$37)&amp;"","")))))&gt;0))))</f>
        <v>1</v>
      </c>
      <c r="CT38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Sheet'!$AG$37)&amp;"","")="",ISNUMBER(SEARCH($AS$93:$AZ$93,IFERROR(('Final Calculation Sheet'!$AG$37)&amp;"","")))))&gt;0))))</f>
        <v>1</v>
      </c>
      <c r="CU38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Sheet'!$AD$37&lt;=0,"SETTLED","OUTSTANDING"))&amp;"","")="",ISNUMBER(SEARCH($AS$94:$AZ$94,IFERROR((IF('Final Calculation Sheet'!$AD$37&lt;=0,"SETTLED","OUTSTANDING"))&amp;"","")))))&gt;0))))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39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Sheet'!$F$38)&amp;"","")="",ISNUMBER(SEARCH($AS$61:$AZ$61,IFERROR(('Final Calculation Sheet'!$F$38)&amp;"","")))))&gt;0))))</f>
        <v>1</v>
      </c>
      <c r="BO39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Sheet'!$G$38)&amp;"","")="",ISNUMBER(SEARCH($AS$62:$AZ$62,IFERROR(('Final Calculation Sheet'!$G$38)&amp;"","")))))&gt;0))))</f>
        <v>1</v>
      </c>
      <c r="BP39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Sheet'!$B$38)&amp;"","")="",ISNUMBER(SEARCH($AS$63:$AZ$63,IFERROR(('Final Calculation Sheet'!$B$38)&amp;"","")))))&gt;0))))</f>
        <v>1</v>
      </c>
      <c r="BQ39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Sheet'!$D$38)&amp;"","")="",ISNUMBER(SEARCH($AS$64:$AZ$64,IFERROR(('Final Calculation Sheet'!$D$38)&amp;"","")))))&gt;0))))</f>
        <v>1</v>
      </c>
      <c r="BR39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Sheet'!$A$38)&amp;"","")="",ISNUMBER(SEARCH($AS$65:$AZ$65,IFERROR(('Final Calculation Sheet'!$A$38)&amp;"","")))))&gt;0))))</f>
        <v>1</v>
      </c>
      <c r="BS39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Sheet'!$E$38)&amp;"","")="",ISNUMBER(SEARCH($AS$66:$AZ$66,IFERROR(('Final Calculation Sheet'!$E$38)&amp;"","")))))&gt;0))))</f>
        <v>1</v>
      </c>
      <c r="BT39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Sheet'!$C$38)&amp;"","")="",ISNUMBER(SEARCH($AS$67:$AZ$67,IFERROR(('Final Calculation Sheet'!$C$38)&amp;"","")))))&gt;0))))</f>
        <v>1</v>
      </c>
      <c r="BU39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Sheet'!$H$38)&amp;"","")="",ISNUMBER(SEARCH($AS$68:$AZ$68,IFERROR(('Final Calculation Sheet'!$H$38)&amp;"","")))))&gt;0))))</f>
        <v>1</v>
      </c>
      <c r="BV39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Sheet'!$I$38)&amp;"","")="",ISNUMBER(SEARCH($AS$69:$AZ$69,IFERROR(('Final Calculation Sheet'!$I$38)&amp;"","")))))&gt;0))))</f>
        <v>1</v>
      </c>
      <c r="BW39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Sheet'!$J$38)&amp;"","")="",ISNUMBER(SEARCH($AS$70:$AZ$70,IFERROR(('Final Calculation Sheet'!$J$38)&amp;"","")))))&gt;0))))</f>
        <v>1</v>
      </c>
      <c r="BX39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Sheet'!$K$38)&amp;"","")="",ISNUMBER(SEARCH($AS$71:$AZ$71,IFERROR(('Final Calculation Sheet'!$K$38)&amp;"","")))))&gt;0))))</f>
        <v>1</v>
      </c>
      <c r="BY39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Sheet'!$L$38)&amp;"","")="",ISNUMBER(SEARCH($AS$72:$AZ$72,IFERROR(('Final Calculation Sheet'!$L$38)&amp;"","")))))&gt;0))))</f>
        <v>1</v>
      </c>
      <c r="BZ39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Sheet'!$M$38)&amp;"","")="",ISNUMBER(SEARCH($AS$73:$AZ$73,IFERROR(('Final Calculation Sheet'!$M$38)&amp;"","")))))&gt;0))))</f>
        <v>1</v>
      </c>
      <c r="CA39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Sheet'!$N$38)&amp;"","")="",ISNUMBER(SEARCH($AS$74:$AZ$74,IFERROR(('Final Calculation Sheet'!$N$38)&amp;"","")))))&gt;0))))</f>
        <v>1</v>
      </c>
      <c r="CB39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Sheet'!$O$38)&amp;"","")="",ISNUMBER(SEARCH($AS$75:$AZ$75,IFERROR(('Final Calculation Sheet'!$O$38)&amp;"","")))))&gt;0))))</f>
        <v>1</v>
      </c>
      <c r="CC39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Sheet'!$P$38)&amp;"","")="",ISNUMBER(SEARCH($AS$76:$AZ$76,IFERROR(('Final Calculation Sheet'!$P$38)&amp;"","")))))&gt;0))))</f>
        <v>1</v>
      </c>
      <c r="CD39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Sheet'!$Q$38)&amp;"","")="",ISNUMBER(SEARCH($AS$77:$AZ$77,IFERROR(('Final Calculation Sheet'!$Q$38)&amp;"","")))))&gt;0))))</f>
        <v>1</v>
      </c>
      <c r="CE39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Sheet'!$R$38)&amp;"","")="",ISNUMBER(SEARCH($AS$78:$AZ$78,IFERROR(('Final Calculation Sheet'!$R$38)&amp;"","")))))&gt;0))))</f>
        <v>1</v>
      </c>
      <c r="CF39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Sheet'!$S$38)&amp;"","")="",ISNUMBER(SEARCH($AS$79:$AZ$79,IFERROR(('Final Calculation Sheet'!$S$38)&amp;"","")))))&gt;0))))</f>
        <v>1</v>
      </c>
      <c r="CG39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Sheet'!$T$38)&amp;"","")="",ISNUMBER(SEARCH($AS$80:$AZ$80,IFERROR(('Final Calculation Sheet'!$T$38)&amp;"","")))))&gt;0))))</f>
        <v>1</v>
      </c>
      <c r="CH39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Sheet'!$U$38)&amp;"","")="",ISNUMBER(SEARCH($AS$81:$AZ$81,IFERROR(('Final Calculation Sheet'!$U$38)&amp;"","")))))&gt;0))))</f>
        <v>1</v>
      </c>
      <c r="CI39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Sheet'!$V$38)&amp;"","")="",ISNUMBER(SEARCH($AS$82:$AZ$82,IFERROR(('Final Calculation Sheet'!$V$38)&amp;"","")))))&gt;0))))</f>
        <v>1</v>
      </c>
      <c r="CJ39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Sheet'!$W$38)&amp;"","")="",ISNUMBER(SEARCH($AS$83:$AZ$83,IFERROR(('Final Calculation Sheet'!$W$38)&amp;"","")))))&gt;0))))</f>
        <v>1</v>
      </c>
      <c r="CK39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Sheet'!$X$38)&amp;"","")="",ISNUMBER(SEARCH($AS$84:$AZ$84,IFERROR(('Final Calculation Sheet'!$X$38)&amp;"","")))))&gt;0))))</f>
        <v>1</v>
      </c>
      <c r="CL39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Sheet'!$Y$38)&amp;"","")="",ISNUMBER(SEARCH($AS$85:$AZ$85,IFERROR(('Final Calculation Sheet'!$Y$38)&amp;"","")))))&gt;0))))</f>
        <v>1</v>
      </c>
      <c r="CM39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Sheet'!$Z$38)&amp;"","")="",ISNUMBER(SEARCH($AS$86:$AZ$86,IFERROR(('Final Calculation Sheet'!$Z$38)&amp;"","")))))&gt;0))))</f>
        <v>1</v>
      </c>
      <c r="CN39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Sheet'!$AA$38)&amp;"","")="",ISNUMBER(SEARCH($AS$87:$AZ$87,IFERROR(('Final Calculation Sheet'!$AA$38)&amp;"","")))))&gt;0))))</f>
        <v>1</v>
      </c>
      <c r="CO39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Sheet'!$AB$38)&amp;"","")="",ISNUMBER(SEARCH($AS$88:$AZ$88,IFERROR(('Final Calculation Sheet'!$AB$38)&amp;"","")))))&gt;0))))</f>
        <v>1</v>
      </c>
      <c r="CP39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Sheet'!$AC$38)&amp;"","")="",ISNUMBER(SEARCH($AS$89:$AZ$89,IFERROR(('Final Calculation Sheet'!$AC$38)&amp;"","")))))&gt;0))))</f>
        <v>1</v>
      </c>
      <c r="CQ39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Sheet'!$AD$38)&amp;"","")="",ISNUMBER(SEARCH($AS$90:$AZ$90,IFERROR(('Final Calculation Sheet'!$AD$38)&amp;"","")))))&gt;0))))</f>
        <v>1</v>
      </c>
      <c r="CR39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Sheet'!$AE$38)&amp;"","")="",ISNUMBER(SEARCH($AS$91:$AZ$91,IFERROR(('Final Calculation Sheet'!$AE$38)&amp;"","")))))&gt;0))))</f>
        <v>1</v>
      </c>
      <c r="CS39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Sheet'!$AF$38)&amp;"","")="",ISNUMBER(SEARCH($AS$92:$AZ$92,IFERROR(('Final Calculation Sheet'!$AF$38)&amp;"","")))))&gt;0))))</f>
        <v>1</v>
      </c>
      <c r="CT39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Sheet'!$AG$38)&amp;"","")="",ISNUMBER(SEARCH($AS$93:$AZ$93,IFERROR(('Final Calculation Sheet'!$AG$38)&amp;"","")))))&gt;0))))</f>
        <v>1</v>
      </c>
      <c r="CU39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Sheet'!$AD$38&lt;=0,"SETTLED","OUTSTANDING"))&amp;"","")="",ISNUMBER(SEARCH($AS$94:$AZ$94,IFERROR((IF('Final Calculation Sheet'!$AD$38&lt;=0,"SETTLED","OUTSTANDING"))&amp;"","")))))&gt;0))))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40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Sheet'!$F$39)&amp;"","")="",ISNUMBER(SEARCH($AS$61:$AZ$61,IFERROR(('Final Calculation Sheet'!$F$39)&amp;"","")))))&gt;0))))</f>
        <v>1</v>
      </c>
      <c r="BO40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Sheet'!$G$39)&amp;"","")="",ISNUMBER(SEARCH($AS$62:$AZ$62,IFERROR(('Final Calculation Sheet'!$G$39)&amp;"","")))))&gt;0))))</f>
        <v>1</v>
      </c>
      <c r="BP40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Sheet'!$B$39)&amp;"","")="",ISNUMBER(SEARCH($AS$63:$AZ$63,IFERROR(('Final Calculation Sheet'!$B$39)&amp;"","")))))&gt;0))))</f>
        <v>1</v>
      </c>
      <c r="BQ40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Sheet'!$D$39)&amp;"","")="",ISNUMBER(SEARCH($AS$64:$AZ$64,IFERROR(('Final Calculation Sheet'!$D$39)&amp;"","")))))&gt;0))))</f>
        <v>1</v>
      </c>
      <c r="BR40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Sheet'!$A$39)&amp;"","")="",ISNUMBER(SEARCH($AS$65:$AZ$65,IFERROR(('Final Calculation Sheet'!$A$39)&amp;"","")))))&gt;0))))</f>
        <v>1</v>
      </c>
      <c r="BS40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Sheet'!$E$39)&amp;"","")="",ISNUMBER(SEARCH($AS$66:$AZ$66,IFERROR(('Final Calculation Sheet'!$E$39)&amp;"","")))))&gt;0))))</f>
        <v>1</v>
      </c>
      <c r="BT40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Sheet'!$C$39)&amp;"","")="",ISNUMBER(SEARCH($AS$67:$AZ$67,IFERROR(('Final Calculation Sheet'!$C$39)&amp;"","")))))&gt;0))))</f>
        <v>1</v>
      </c>
      <c r="BU40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Sheet'!$H$39)&amp;"","")="",ISNUMBER(SEARCH($AS$68:$AZ$68,IFERROR(('Final Calculation Sheet'!$H$39)&amp;"","")))))&gt;0))))</f>
        <v>1</v>
      </c>
      <c r="BV40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Sheet'!$I$39)&amp;"","")="",ISNUMBER(SEARCH($AS$69:$AZ$69,IFERROR(('Final Calculation Sheet'!$I$39)&amp;"","")))))&gt;0))))</f>
        <v>1</v>
      </c>
      <c r="BW40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Sheet'!$J$39)&amp;"","")="",ISNUMBER(SEARCH($AS$70:$AZ$70,IFERROR(('Final Calculation Sheet'!$J$39)&amp;"","")))))&gt;0))))</f>
        <v>1</v>
      </c>
      <c r="BX40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Sheet'!$K$39)&amp;"","")="",ISNUMBER(SEARCH($AS$71:$AZ$71,IFERROR(('Final Calculation Sheet'!$K$39)&amp;"","")))))&gt;0))))</f>
        <v>1</v>
      </c>
      <c r="BY40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Sheet'!$L$39)&amp;"","")="",ISNUMBER(SEARCH($AS$72:$AZ$72,IFERROR(('Final Calculation Sheet'!$L$39)&amp;"","")))))&gt;0))))</f>
        <v>1</v>
      </c>
      <c r="BZ40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Sheet'!$M$39)&amp;"","")="",ISNUMBER(SEARCH($AS$73:$AZ$73,IFERROR(('Final Calculation Sheet'!$M$39)&amp;"","")))))&gt;0))))</f>
        <v>1</v>
      </c>
      <c r="CA40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Sheet'!$N$39)&amp;"","")="",ISNUMBER(SEARCH($AS$74:$AZ$74,IFERROR(('Final Calculation Sheet'!$N$39)&amp;"","")))))&gt;0))))</f>
        <v>1</v>
      </c>
      <c r="CB40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Sheet'!$O$39)&amp;"","")="",ISNUMBER(SEARCH($AS$75:$AZ$75,IFERROR(('Final Calculation Sheet'!$O$39)&amp;"","")))))&gt;0))))</f>
        <v>1</v>
      </c>
      <c r="CC40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Sheet'!$P$39)&amp;"","")="",ISNUMBER(SEARCH($AS$76:$AZ$76,IFERROR(('Final Calculation Sheet'!$P$39)&amp;"","")))))&gt;0))))</f>
        <v>1</v>
      </c>
      <c r="CD40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Sheet'!$Q$39)&amp;"","")="",ISNUMBER(SEARCH($AS$77:$AZ$77,IFERROR(('Final Calculation Sheet'!$Q$39)&amp;"","")))))&gt;0))))</f>
        <v>1</v>
      </c>
      <c r="CE40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Sheet'!$R$39)&amp;"","")="",ISNUMBER(SEARCH($AS$78:$AZ$78,IFERROR(('Final Calculation Sheet'!$R$39)&amp;"","")))))&gt;0))))</f>
        <v>1</v>
      </c>
      <c r="CF40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Sheet'!$S$39)&amp;"","")="",ISNUMBER(SEARCH($AS$79:$AZ$79,IFERROR(('Final Calculation Sheet'!$S$39)&amp;"","")))))&gt;0))))</f>
        <v>1</v>
      </c>
      <c r="CG40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Sheet'!$T$39)&amp;"","")="",ISNUMBER(SEARCH($AS$80:$AZ$80,IFERROR(('Final Calculation Sheet'!$T$39)&amp;"","")))))&gt;0))))</f>
        <v>1</v>
      </c>
      <c r="CH40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Sheet'!$U$39)&amp;"","")="",ISNUMBER(SEARCH($AS$81:$AZ$81,IFERROR(('Final Calculation Sheet'!$U$39)&amp;"","")))))&gt;0))))</f>
        <v>1</v>
      </c>
      <c r="CI40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Sheet'!$V$39)&amp;"","")="",ISNUMBER(SEARCH($AS$82:$AZ$82,IFERROR(('Final Calculation Sheet'!$V$39)&amp;"","")))))&gt;0))))</f>
        <v>1</v>
      </c>
      <c r="CJ40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Sheet'!$W$39)&amp;"","")="",ISNUMBER(SEARCH($AS$83:$AZ$83,IFERROR(('Final Calculation Sheet'!$W$39)&amp;"","")))))&gt;0))))</f>
        <v>1</v>
      </c>
      <c r="CK40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Sheet'!$X$39)&amp;"","")="",ISNUMBER(SEARCH($AS$84:$AZ$84,IFERROR(('Final Calculation Sheet'!$X$39)&amp;"","")))))&gt;0))))</f>
        <v>1</v>
      </c>
      <c r="CL40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Sheet'!$Y$39)&amp;"","")="",ISNUMBER(SEARCH($AS$85:$AZ$85,IFERROR(('Final Calculation Sheet'!$Y$39)&amp;"","")))))&gt;0))))</f>
        <v>1</v>
      </c>
      <c r="CM40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Sheet'!$Z$39)&amp;"","")="",ISNUMBER(SEARCH($AS$86:$AZ$86,IFERROR(('Final Calculation Sheet'!$Z$39)&amp;"","")))))&gt;0))))</f>
        <v>1</v>
      </c>
      <c r="CN40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Sheet'!$AA$39)&amp;"","")="",ISNUMBER(SEARCH($AS$87:$AZ$87,IFERROR(('Final Calculation Sheet'!$AA$39)&amp;"","")))))&gt;0))))</f>
        <v>1</v>
      </c>
      <c r="CO40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Sheet'!$AB$39)&amp;"","")="",ISNUMBER(SEARCH($AS$88:$AZ$88,IFERROR(('Final Calculation Sheet'!$AB$39)&amp;"","")))))&gt;0))))</f>
        <v>1</v>
      </c>
      <c r="CP40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Sheet'!$AC$39)&amp;"","")="",ISNUMBER(SEARCH($AS$89:$AZ$89,IFERROR(('Final Calculation Sheet'!$AC$39)&amp;"","")))))&gt;0))))</f>
        <v>1</v>
      </c>
      <c r="CQ40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Sheet'!$AD$39)&amp;"","")="",ISNUMBER(SEARCH($AS$90:$AZ$90,IFERROR(('Final Calculation Sheet'!$AD$39)&amp;"","")))))&gt;0))))</f>
        <v>1</v>
      </c>
      <c r="CR40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Sheet'!$AE$39)&amp;"","")="",ISNUMBER(SEARCH($AS$91:$AZ$91,IFERROR(('Final Calculation Sheet'!$AE$39)&amp;"","")))))&gt;0))))</f>
        <v>1</v>
      </c>
      <c r="CS40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Sheet'!$AF$39)&amp;"","")="",ISNUMBER(SEARCH($AS$92:$AZ$92,IFERROR(('Final Calculation Sheet'!$AF$39)&amp;"","")))))&gt;0))))</f>
        <v>1</v>
      </c>
      <c r="CT40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Sheet'!$AG$39)&amp;"","")="",ISNUMBER(SEARCH($AS$93:$AZ$93,IFERROR(('Final Calculation Sheet'!$AG$39)&amp;"","")))))&gt;0))))</f>
        <v>1</v>
      </c>
      <c r="CU40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Sheet'!$AD$39&lt;=0,"SETTLED","OUTSTANDING"))&amp;"","")="",ISNUMBER(SEARCH($AS$94:$AZ$94,IFERROR((IF('Final Calculation Sheet'!$AD$39&lt;=0,"SETTLED","OUTSTANDING"))&amp;"","")))))&gt;0))))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AND(SUMPRODUCT(--($AS$60:$AZ$60&lt;&gt;""))&gt;0,IF(COUNTIF($BI$60:$BP$60,1)=0,TRUE,SUMPRODUCT(($BI$60:$BP$60=1)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$60,2)=0,TRUE,SUMPRODUCT(($BI$60:$BP$60=2)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$60,3)=0,TRUE,SUMPRODUCT(($BI$60:$BP$60=3)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$60,4)=0,TRUE,SUMPRODUCT(($BI$60:$BP$60=4)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$60,5)=0,TRUE,SUMPRODUCT(($BI$60:$BP$60=5)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$60,6)=0,TRUE,SUMPRODUCT(($BI$60:$BP$60=6)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$60,7)=0,TRUE,SUMPRODUCT(($BI$60:$BP$60=7)*($AS$60:$AZ$60&lt;&gt;"")*IF(((UPPER($AS$60:$AZ$60)="BLANK")+(UPPER($AS$60:$AZ$60)="(BLANK)")+(UPPER($AS$60:$AZ$60)="EMPTY")+(UPPER($AS$60:$AZ$60)="(EMPTY)"))&gt;0,IFERROR((ROW()-4)&amp;"","")="",ISNUMBER(SEARCH($AS$60:$AZ$60,IFERROR((ROW()-4)&amp;"","")))))&gt;0),IF(COUNTIF($BI$60:$BP$60,8)=0,TRUE,SUMPRODUCT(($BI$60:$BP$60=8)*($AS$60:$AZ$60&lt;&gt;"")*IF(((UPPER($AS$60:$AZ$60)="BLANK")+(UPPER($AS$60:$AZ$60)="(BLANK)")+(UPPER($AS$60:$AZ$60)="EMPTY")+(UPPER($AS$60:$AZ$60)="(EMPTY)"))&gt;0,IFERROR((ROW()-4)&amp;"","")="",ISNUMBER(SEARCH($AS$60:$AZ$60,IFERROR((ROW()-4)&amp;"","")))))&gt;0))))</f>
        <v>1</v>
      </c>
      <c r="BN41">
        <f>IF($B$4="",1,--(AND(SUMPRODUCT(--($AS$61:$AZ$61&lt;&gt;""))&gt;0,IF(COUNTIF($BI$61:$BP$61,1)=0,TRUE,SUMPRODUCT(($BI$61:$BP$61=1)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Sheet'!$F$40)&amp;"","")))))&gt;0),IF(COUNTIF($BI$61:$BP$61,2)=0,TRUE,SUMPRODUCT(($BI$61:$BP$61=2)*($AS$61:$AZ$61&lt;&gt;"")*IF(((UPPER($AS$61:$AZ$61)="BLANK")+(UPPER($AS$61:$AZ$61)="(BLANK)")+(UPPER($AS$61:$AZ$61)="EMPTY")+(UPPER($AS$61:$AZ$61)="(EMPTY)"))&gt;0,IFERROR(('Final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Sheet'!$F$40)&amp;"","")))))&gt;0),IF(COUNTIF($BI$61:$BP$61,3)=0,TRUE,SUMPRODUCT(($BI$61:$BP$61=3)*($AS$61:$AZ$61&lt;&gt;"")*IF(((UPPER($AS$61:$AZ$61)="BLANK")+(UPPER($AS$61:$AZ$61)="(BLANK)")+(UPPER($AS$61:$AZ$61)="EMPTY")+(UPPER($AS$61:$AZ$61)="(EMPTY)"))&gt;0,IFERROR(('Final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Sheet'!$F$40)&amp;"","")))))&gt;0),IF(COUNTIF($BI$61:$BP$61,4)=0,TRUE,SUMPRODUCT(($BI$61:$BP$61=4)*($AS$61:$AZ$61&lt;&gt;"")*IF(((UPPER($AS$61:$AZ$61)="BLANK")+(UPPER($AS$61:$AZ$61)="(BLANK)")+(UPPER($AS$61:$AZ$61)="EMPTY")+(UPPER($AS$61:$AZ$61)="(EMPTY)"))&gt;0,IFERROR(('Final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Sheet'!$F$40)&amp;"","")))))&gt;0),IF(COUNTIF($BI$61:$BP$61,5)=0,TRUE,SUMPRODUCT(($BI$61:$BP$61=5)*($AS$61:$AZ$61&lt;&gt;"")*IF(((UPPER($AS$61:$AZ$61)="BLANK")+(UPPER($AS$61:$AZ$61)="(BLANK)")+(UPPER($AS$61:$AZ$61)="EMPTY")+(UPPER($AS$61:$AZ$61)="(EMPTY)"))&gt;0,IFERROR(('Final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Sheet'!$F$40)&amp;"","")))))&gt;0),IF(COUNTIF($BI$61:$BP$61,6)=0,TRUE,SUMPRODUCT(($BI$61:$BP$61=6)*($AS$61:$AZ$61&lt;&gt;"")*IF(((UPPER($AS$61:$AZ$61)="BLANK")+(UPPER($AS$61:$AZ$61)="(BLANK)")+(UPPER($AS$61:$AZ$61)="EMPTY")+(UPPER($AS$61:$AZ$61)="(EMPTY)"))&gt;0,IFERROR(('Final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Sheet'!$F$40)&amp;"","")))))&gt;0),IF(COUNTIF($BI$61:$BP$61,7)=0,TRUE,SUMPRODUCT(($BI$61:$BP$61=7)*($AS$61:$AZ$61&lt;&gt;"")*IF(((UPPER($AS$61:$AZ$61)="BLANK")+(UPPER($AS$61:$AZ$61)="(BLANK)")+(UPPER($AS$61:$AZ$61)="EMPTY")+(UPPER($AS$61:$AZ$61)="(EMPTY)"))&gt;0,IFERROR(('Final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Sheet'!$F$40)&amp;"","")))))&gt;0),IF(COUNTIF($BI$61:$BP$61,8)=0,TRUE,SUMPRODUCT(($BI$61:$BP$61=8)*($AS$61:$AZ$61&lt;&gt;"")*IF(((UPPER($AS$61:$AZ$61)="BLANK")+(UPPER($AS$61:$AZ$61)="(BLANK)")+(UPPER($AS$61:$AZ$61)="EMPTY")+(UPPER($AS$61:$AZ$61)="(EMPTY)"))&gt;0,IFERROR(('Final Calculation Sheet'!$F$40)&amp;"","")="",ISNUMBER(SEARCH($AS$61:$AZ$61,IFERROR(('Final Calculation Sheet'!$F$40)&amp;"","")))))&gt;0))))</f>
        <v>1</v>
      </c>
      <c r="BO41">
        <f>IF($C$4="",1,--(AND(SUMPRODUCT(--($AS$62:$AZ$62&lt;&gt;""))&gt;0,IF(COUNTIF($BI$62:$BP$62,1)=0,TRUE,SUMPRODUCT(($BI$62:$BP$62=1)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Sheet'!$G$40)&amp;"","")))))&gt;0),IF(COUNTIF($BI$62:$BP$62,2)=0,TRUE,SUMPRODUCT(($BI$62:$BP$62=2)*($AS$62:$AZ$62&lt;&gt;"")*IF(((UPPER($AS$62:$AZ$62)="BLANK")+(UPPER($AS$62:$AZ$62)="(BLANK)")+(UPPER($AS$62:$AZ$62)="EMPTY")+(UPPER($AS$62:$AZ$62)="(EMPTY)"))&gt;0,IFERROR(('Final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Sheet'!$G$40)&amp;"","")))))&gt;0),IF(COUNTIF($BI$62:$BP$62,3)=0,TRUE,SUMPRODUCT(($BI$62:$BP$62=3)*($AS$62:$AZ$62&lt;&gt;"")*IF(((UPPER($AS$62:$AZ$62)="BLANK")+(UPPER($AS$62:$AZ$62)="(BLANK)")+(UPPER($AS$62:$AZ$62)="EMPTY")+(UPPER($AS$62:$AZ$62)="(EMPTY)"))&gt;0,IFERROR(('Final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Sheet'!$G$40)&amp;"","")))))&gt;0),IF(COUNTIF($BI$62:$BP$62,4)=0,TRUE,SUMPRODUCT(($BI$62:$BP$62=4)*($AS$62:$AZ$62&lt;&gt;"")*IF(((UPPER($AS$62:$AZ$62)="BLANK")+(UPPER($AS$62:$AZ$62)="(BLANK)")+(UPPER($AS$62:$AZ$62)="EMPTY")+(UPPER($AS$62:$AZ$62)="(EMPTY)"))&gt;0,IFERROR(('Final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Sheet'!$G$40)&amp;"","")))))&gt;0),IF(COUNTIF($BI$62:$BP$62,5)=0,TRUE,SUMPRODUCT(($BI$62:$BP$62=5)*($AS$62:$AZ$62&lt;&gt;"")*IF(((UPPER($AS$62:$AZ$62)="BLANK")+(UPPER($AS$62:$AZ$62)="(BLANK)")+(UPPER($AS$62:$AZ$62)="EMPTY")+(UPPER($AS$62:$AZ$62)="(EMPTY)"))&gt;0,IFERROR(('Final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Sheet'!$G$40)&amp;"","")))))&gt;0),IF(COUNTIF($BI$62:$BP$62,6)=0,TRUE,SUMPRODUCT(($BI$62:$BP$62=6)*($AS$62:$AZ$62&lt;&gt;"")*IF(((UPPER($AS$62:$AZ$62)="BLANK")+(UPPER($AS$62:$AZ$62)="(BLANK)")+(UPPER($AS$62:$AZ$62)="EMPTY")+(UPPER($AS$62:$AZ$62)="(EMPTY)"))&gt;0,IFERROR(('Final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Sheet'!$G$40)&amp;"","")))))&gt;0),IF(COUNTIF($BI$62:$BP$62,7)=0,TRUE,SUMPRODUCT(($BI$62:$BP$62=7)*($AS$62:$AZ$62&lt;&gt;"")*IF(((UPPER($AS$62:$AZ$62)="BLANK")+(UPPER($AS$62:$AZ$62)="(BLANK)")+(UPPER($AS$62:$AZ$62)="EMPTY")+(UPPER($AS$62:$AZ$62)="(EMPTY)"))&gt;0,IFERROR(('Final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Sheet'!$G$40)&amp;"","")))))&gt;0),IF(COUNTIF($BI$62:$BP$62,8)=0,TRUE,SUMPRODUCT(($BI$62:$BP$62=8)*($AS$62:$AZ$62&lt;&gt;"")*IF(((UPPER($AS$62:$AZ$62)="BLANK")+(UPPER($AS$62:$AZ$62)="(BLANK)")+(UPPER($AS$62:$AZ$62)="EMPTY")+(UPPER($AS$62:$AZ$62)="(EMPTY)"))&gt;0,IFERROR(('Final Calculation Sheet'!$G$40)&amp;"","")="",ISNUMBER(SEARCH($AS$62:$AZ$62,IFERROR(('Final Calculation Sheet'!$G$40)&amp;"","")))))&gt;0))))</f>
        <v>1</v>
      </c>
      <c r="BP41">
        <f>IF($D$4="",1,--(AND(SUMPRODUCT(--($AS$63:$AZ$63&lt;&gt;""))&gt;0,IF(COUNTIF($BI$63:$BP$63,1)=0,TRUE,SUMPRODUCT(($BI$63:$BP$63=1)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Sheet'!$B$40)&amp;"","")))))&gt;0),IF(COUNTIF($BI$63:$BP$63,2)=0,TRUE,SUMPRODUCT(($BI$63:$BP$63=2)*($AS$63:$AZ$63&lt;&gt;"")*IF(((UPPER($AS$63:$AZ$63)="BLANK")+(UPPER($AS$63:$AZ$63)="(BLANK)")+(UPPER($AS$63:$AZ$63)="EMPTY")+(UPPER($AS$63:$AZ$63)="(EMPTY)"))&gt;0,IFERROR(('Final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Sheet'!$B$40)&amp;"","")))))&gt;0),IF(COUNTIF($BI$63:$BP$63,3)=0,TRUE,SUMPRODUCT(($BI$63:$BP$63=3)*($AS$63:$AZ$63&lt;&gt;"")*IF(((UPPER($AS$63:$AZ$63)="BLANK")+(UPPER($AS$63:$AZ$63)="(BLANK)")+(UPPER($AS$63:$AZ$63)="EMPTY")+(UPPER($AS$63:$AZ$63)="(EMPTY)"))&gt;0,IFERROR(('Final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Sheet'!$B$40)&amp;"","")))))&gt;0),IF(COUNTIF($BI$63:$BP$63,4)=0,TRUE,SUMPRODUCT(($BI$63:$BP$63=4)*($AS$63:$AZ$63&lt;&gt;"")*IF(((UPPER($AS$63:$AZ$63)="BLANK")+(UPPER($AS$63:$AZ$63)="(BLANK)")+(UPPER($AS$63:$AZ$63)="EMPTY")+(UPPER($AS$63:$AZ$63)="(EMPTY)"))&gt;0,IFERROR(('Final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Sheet'!$B$40)&amp;"","")))))&gt;0),IF(COUNTIF($BI$63:$BP$63,5)=0,TRUE,SUMPRODUCT(($BI$63:$BP$63=5)*($AS$63:$AZ$63&lt;&gt;"")*IF(((UPPER($AS$63:$AZ$63)="BLANK")+(UPPER($AS$63:$AZ$63)="(BLANK)")+(UPPER($AS$63:$AZ$63)="EMPTY")+(UPPER($AS$63:$AZ$63)="(EMPTY)"))&gt;0,IFERROR(('Final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Sheet'!$B$40)&amp;"","")))))&gt;0),IF(COUNTIF($BI$63:$BP$63,6)=0,TRUE,SUMPRODUCT(($BI$63:$BP$63=6)*($AS$63:$AZ$63&lt;&gt;"")*IF(((UPPER($AS$63:$AZ$63)="BLANK")+(UPPER($AS$63:$AZ$63)="(BLANK)")+(UPPER($AS$63:$AZ$63)="EMPTY")+(UPPER($AS$63:$AZ$63)="(EMPTY)"))&gt;0,IFERROR(('Final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Sheet'!$B$40)&amp;"","")))))&gt;0),IF(COUNTIF($BI$63:$BP$63,7)=0,TRUE,SUMPRODUCT(($BI$63:$BP$63=7)*($AS$63:$AZ$63&lt;&gt;"")*IF(((UPPER($AS$63:$AZ$63)="BLANK")+(UPPER($AS$63:$AZ$63)="(BLANK)")+(UPPER($AS$63:$AZ$63)="EMPTY")+(UPPER($AS$63:$AZ$63)="(EMPTY)"))&gt;0,IFERROR(('Final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Sheet'!$B$40)&amp;"","")))))&gt;0),IF(COUNTIF($BI$63:$BP$63,8)=0,TRUE,SUMPRODUCT(($BI$63:$BP$63=8)*($AS$63:$AZ$63&lt;&gt;"")*IF(((UPPER($AS$63:$AZ$63)="BLANK")+(UPPER($AS$63:$AZ$63)="(BLANK)")+(UPPER($AS$63:$AZ$63)="EMPTY")+(UPPER($AS$63:$AZ$63)="(EMPTY)"))&gt;0,IFERROR(('Final Calculation Sheet'!$B$40)&amp;"","")="",ISNUMBER(SEARCH($AS$63:$AZ$63,IFERROR(('Final Calculation Sheet'!$B$40)&amp;"","")))))&gt;0))))</f>
        <v>1</v>
      </c>
      <c r="BQ41">
        <f>IF($E$4="",1,--(AND(SUMPRODUCT(--($AS$64:$AZ$64&lt;&gt;""))&gt;0,IF(COUNTIF($BI$64:$BP$64,1)=0,TRUE,SUMPRODUCT(($BI$64:$BP$64=1)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Sheet'!$D$40)&amp;"","")))))&gt;0),IF(COUNTIF($BI$64:$BP$64,2)=0,TRUE,SUMPRODUCT(($BI$64:$BP$64=2)*($AS$64:$AZ$64&lt;&gt;"")*IF(((UPPER($AS$64:$AZ$64)="BLANK")+(UPPER($AS$64:$AZ$64)="(BLANK)")+(UPPER($AS$64:$AZ$64)="EMPTY")+(UPPER($AS$64:$AZ$64)="(EMPTY)"))&gt;0,IFERROR(('Final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Sheet'!$D$40)&amp;"","")))))&gt;0),IF(COUNTIF($BI$64:$BP$64,3)=0,TRUE,SUMPRODUCT(($BI$64:$BP$64=3)*($AS$64:$AZ$64&lt;&gt;"")*IF(((UPPER($AS$64:$AZ$64)="BLANK")+(UPPER($AS$64:$AZ$64)="(BLANK)")+(UPPER($AS$64:$AZ$64)="EMPTY")+(UPPER($AS$64:$AZ$64)="(EMPTY)"))&gt;0,IFERROR(('Final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Sheet'!$D$40)&amp;"","")))))&gt;0),IF(COUNTIF($BI$64:$BP$64,4)=0,TRUE,SUMPRODUCT(($BI$64:$BP$64=4)*($AS$64:$AZ$64&lt;&gt;"")*IF(((UPPER($AS$64:$AZ$64)="BLANK")+(UPPER($AS$64:$AZ$64)="(BLANK)")+(UPPER($AS$64:$AZ$64)="EMPTY")+(UPPER($AS$64:$AZ$64)="(EMPTY)"))&gt;0,IFERROR(('Final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Sheet'!$D$40)&amp;"","")))))&gt;0),IF(COUNTIF($BI$64:$BP$64,5)=0,TRUE,SUMPRODUCT(($BI$64:$BP$64=5)*($AS$64:$AZ$64&lt;&gt;"")*IF(((UPPER($AS$64:$AZ$64)="BLANK")+(UPPER($AS$64:$AZ$64)="(BLANK)")+(UPPER($AS$64:$AZ$64)="EMPTY")+(UPPER($AS$64:$AZ$64)="(EMPTY)"))&gt;0,IFERROR(('Final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Sheet'!$D$40)&amp;"","")))))&gt;0),IF(COUNTIF($BI$64:$BP$64,6)=0,TRUE,SUMPRODUCT(($BI$64:$BP$64=6)*($AS$64:$AZ$64&lt;&gt;"")*IF(((UPPER($AS$64:$AZ$64)="BLANK")+(UPPER($AS$64:$AZ$64)="(BLANK)")+(UPPER($AS$64:$AZ$64)="EMPTY")+(UPPER($AS$64:$AZ$64)="(EMPTY)"))&gt;0,IFERROR(('Final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Sheet'!$D$40)&amp;"","")))))&gt;0),IF(COUNTIF($BI$64:$BP$64,7)=0,TRUE,SUMPRODUCT(($BI$64:$BP$64=7)*($AS$64:$AZ$64&lt;&gt;"")*IF(((UPPER($AS$64:$AZ$64)="BLANK")+(UPPER($AS$64:$AZ$64)="(BLANK)")+(UPPER($AS$64:$AZ$64)="EMPTY")+(UPPER($AS$64:$AZ$64)="(EMPTY)"))&gt;0,IFERROR(('Final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Sheet'!$D$40)&amp;"","")))))&gt;0),IF(COUNTIF($BI$64:$BP$64,8)=0,TRUE,SUMPRODUCT(($BI$64:$BP$64=8)*($AS$64:$AZ$64&lt;&gt;"")*IF(((UPPER($AS$64:$AZ$64)="BLANK")+(UPPER($AS$64:$AZ$64)="(BLANK)")+(UPPER($AS$64:$AZ$64)="EMPTY")+(UPPER($AS$64:$AZ$64)="(EMPTY)"))&gt;0,IFERROR(('Final Calculation Sheet'!$D$40)&amp;"","")="",ISNUMBER(SEARCH($AS$64:$AZ$64,IFERROR(('Final Calculation Sheet'!$D$40)&amp;"","")))))&gt;0))))</f>
        <v>1</v>
      </c>
      <c r="BR41">
        <f>IF($F$4="",1,--(AND(SUMPRODUCT(--($AS$65:$AZ$65&lt;&gt;""))&gt;0,IF(COUNTIF($BI$65:$BP$65,1)=0,TRUE,SUMPRODUCT(($BI$65:$BP$65=1)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Sheet'!$A$40)&amp;"","")))))&gt;0),IF(COUNTIF($BI$65:$BP$65,2)=0,TRUE,SUMPRODUCT(($BI$65:$BP$65=2)*($AS$65:$AZ$65&lt;&gt;"")*IF(((UPPER($AS$65:$AZ$65)="BLANK")+(UPPER($AS$65:$AZ$65)="(BLANK)")+(UPPER($AS$65:$AZ$65)="EMPTY")+(UPPER($AS$65:$AZ$65)="(EMPTY)"))&gt;0,IFERROR(('Final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Sheet'!$A$40)&amp;"","")))))&gt;0),IF(COUNTIF($BI$65:$BP$65,3)=0,TRUE,SUMPRODUCT(($BI$65:$BP$65=3)*($AS$65:$AZ$65&lt;&gt;"")*IF(((UPPER($AS$65:$AZ$65)="BLANK")+(UPPER($AS$65:$AZ$65)="(BLANK)")+(UPPER($AS$65:$AZ$65)="EMPTY")+(UPPER($AS$65:$AZ$65)="(EMPTY)"))&gt;0,IFERROR(('Final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Sheet'!$A$40)&amp;"","")))))&gt;0),IF(COUNTIF($BI$65:$BP$65,4)=0,TRUE,SUMPRODUCT(($BI$65:$BP$65=4)*($AS$65:$AZ$65&lt;&gt;"")*IF(((UPPER($AS$65:$AZ$65)="BLANK")+(UPPER($AS$65:$AZ$65)="(BLANK)")+(UPPER($AS$65:$AZ$65)="EMPTY")+(UPPER($AS$65:$AZ$65)="(EMPTY)"))&gt;0,IFERROR(('Final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Sheet'!$A$40)&amp;"","")))))&gt;0),IF(COUNTIF($BI$65:$BP$65,5)=0,TRUE,SUMPRODUCT(($BI$65:$BP$65=5)*($AS$65:$AZ$65&lt;&gt;"")*IF(((UPPER($AS$65:$AZ$65)="BLANK")+(UPPER($AS$65:$AZ$65)="(BLANK)")+(UPPER($AS$65:$AZ$65)="EMPTY")+(UPPER($AS$65:$AZ$65)="(EMPTY)"))&gt;0,IFERROR(('Final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Sheet'!$A$40)&amp;"","")))))&gt;0),IF(COUNTIF($BI$65:$BP$65,6)=0,TRUE,SUMPRODUCT(($BI$65:$BP$65=6)*($AS$65:$AZ$65&lt;&gt;"")*IF(((UPPER($AS$65:$AZ$65)="BLANK")+(UPPER($AS$65:$AZ$65)="(BLANK)")+(UPPER($AS$65:$AZ$65)="EMPTY")+(UPPER($AS$65:$AZ$65)="(EMPTY)"))&gt;0,IFERROR(('Final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Sheet'!$A$40)&amp;"","")))))&gt;0),IF(COUNTIF($BI$65:$BP$65,7)=0,TRUE,SUMPRODUCT(($BI$65:$BP$65=7)*($AS$65:$AZ$65&lt;&gt;"")*IF(((UPPER($AS$65:$AZ$65)="BLANK")+(UPPER($AS$65:$AZ$65)="(BLANK)")+(UPPER($AS$65:$AZ$65)="EMPTY")+(UPPER($AS$65:$AZ$65)="(EMPTY)"))&gt;0,IFERROR(('Final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Sheet'!$A$40)&amp;"","")))))&gt;0),IF(COUNTIF($BI$65:$BP$65,8)=0,TRUE,SUMPRODUCT(($BI$65:$BP$65=8)*($AS$65:$AZ$65&lt;&gt;"")*IF(((UPPER($AS$65:$AZ$65)="BLANK")+(UPPER($AS$65:$AZ$65)="(BLANK)")+(UPPER($AS$65:$AZ$65)="EMPTY")+(UPPER($AS$65:$AZ$65)="(EMPTY)"))&gt;0,IFERROR(('Final Calculation Sheet'!$A$40)&amp;"","")="",ISNUMBER(SEARCH($AS$65:$AZ$65,IFERROR(('Final Calculation Sheet'!$A$40)&amp;"","")))))&gt;0))))</f>
        <v>1</v>
      </c>
      <c r="BS41">
        <f>IF($G$4="",1,--(AND(SUMPRODUCT(--($AS$66:$AZ$66&lt;&gt;""))&gt;0,IF(COUNTIF($BI$66:$BP$66,1)=0,TRUE,SUMPRODUCT(($BI$66:$BP$66=1)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Sheet'!$E$40)&amp;"","")))))&gt;0),IF(COUNTIF($BI$66:$BP$66,2)=0,TRUE,SUMPRODUCT(($BI$66:$BP$66=2)*($AS$66:$AZ$66&lt;&gt;"")*IF(((UPPER($AS$66:$AZ$66)="BLANK")+(UPPER($AS$66:$AZ$66)="(BLANK)")+(UPPER($AS$66:$AZ$66)="EMPTY")+(UPPER($AS$66:$AZ$66)="(EMPTY)"))&gt;0,IFERROR(('Final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Sheet'!$E$40)&amp;"","")))))&gt;0),IF(COUNTIF($BI$66:$BP$66,3)=0,TRUE,SUMPRODUCT(($BI$66:$BP$66=3)*($AS$66:$AZ$66&lt;&gt;"")*IF(((UPPER($AS$66:$AZ$66)="BLANK")+(UPPER($AS$66:$AZ$66)="(BLANK)")+(UPPER($AS$66:$AZ$66)="EMPTY")+(UPPER($AS$66:$AZ$66)="(EMPTY)"))&gt;0,IFERROR(('Final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Sheet'!$E$40)&amp;"","")))))&gt;0),IF(COUNTIF($BI$66:$BP$66,4)=0,TRUE,SUMPRODUCT(($BI$66:$BP$66=4)*($AS$66:$AZ$66&lt;&gt;"")*IF(((UPPER($AS$66:$AZ$66)="BLANK")+(UPPER($AS$66:$AZ$66)="(BLANK)")+(UPPER($AS$66:$AZ$66)="EMPTY")+(UPPER($AS$66:$AZ$66)="(EMPTY)"))&gt;0,IFERROR(('Final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Sheet'!$E$40)&amp;"","")))))&gt;0),IF(COUNTIF($BI$66:$BP$66,5)=0,TRUE,SUMPRODUCT(($BI$66:$BP$66=5)*($AS$66:$AZ$66&lt;&gt;"")*IF(((UPPER($AS$66:$AZ$66)="BLANK")+(UPPER($AS$66:$AZ$66)="(BLANK)")+(UPPER($AS$66:$AZ$66)="EMPTY")+(UPPER($AS$66:$AZ$66)="(EMPTY)"))&gt;0,IFERROR(('Final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Sheet'!$E$40)&amp;"","")))))&gt;0),IF(COUNTIF($BI$66:$BP$66,6)=0,TRUE,SUMPRODUCT(($BI$66:$BP$66=6)*($AS$66:$AZ$66&lt;&gt;"")*IF(((UPPER($AS$66:$AZ$66)="BLANK")+(UPPER($AS$66:$AZ$66)="(BLANK)")+(UPPER($AS$66:$AZ$66)="EMPTY")+(UPPER($AS$66:$AZ$66)="(EMPTY)"))&gt;0,IFERROR(('Final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Sheet'!$E$40)&amp;"","")))))&gt;0),IF(COUNTIF($BI$66:$BP$66,7)=0,TRUE,SUMPRODUCT(($BI$66:$BP$66=7)*($AS$66:$AZ$66&lt;&gt;"")*IF(((UPPER($AS$66:$AZ$66)="BLANK")+(UPPER($AS$66:$AZ$66)="(BLANK)")+(UPPER($AS$66:$AZ$66)="EMPTY")+(UPPER($AS$66:$AZ$66)="(EMPTY)"))&gt;0,IFERROR(('Final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Sheet'!$E$40)&amp;"","")))))&gt;0),IF(COUNTIF($BI$66:$BP$66,8)=0,TRUE,SUMPRODUCT(($BI$66:$BP$66=8)*($AS$66:$AZ$66&lt;&gt;"")*IF(((UPPER($AS$66:$AZ$66)="BLANK")+(UPPER($AS$66:$AZ$66)="(BLANK)")+(UPPER($AS$66:$AZ$66)="EMPTY")+(UPPER($AS$66:$AZ$66)="(EMPTY)"))&gt;0,IFERROR(('Final Calculation Sheet'!$E$40)&amp;"","")="",ISNUMBER(SEARCH($AS$66:$AZ$66,IFERROR(('Final Calculation Sheet'!$E$40)&amp;"","")))))&gt;0))))</f>
        <v>1</v>
      </c>
      <c r="BT41">
        <f>IF($H$4="",1,--(AND(SUMPRODUCT(--($AS$67:$AZ$67&lt;&gt;""))&gt;0,IF(COUNTIF($BI$67:$BP$67,1)=0,TRUE,SUMPRODUCT(($BI$67:$BP$67=1)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Sheet'!$C$40)&amp;"","")))))&gt;0),IF(COUNTIF($BI$67:$BP$67,2)=0,TRUE,SUMPRODUCT(($BI$67:$BP$67=2)*($AS$67:$AZ$67&lt;&gt;"")*IF(((UPPER($AS$67:$AZ$67)="BLANK")+(UPPER($AS$67:$AZ$67)="(BLANK)")+(UPPER($AS$67:$AZ$67)="EMPTY")+(UPPER($AS$67:$AZ$67)="(EMPTY)"))&gt;0,IFERROR(('Final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Sheet'!$C$40)&amp;"","")))))&gt;0),IF(COUNTIF($BI$67:$BP$67,3)=0,TRUE,SUMPRODUCT(($BI$67:$BP$67=3)*($AS$67:$AZ$67&lt;&gt;"")*IF(((UPPER($AS$67:$AZ$67)="BLANK")+(UPPER($AS$67:$AZ$67)="(BLANK)")+(UPPER($AS$67:$AZ$67)="EMPTY")+(UPPER($AS$67:$AZ$67)="(EMPTY)"))&gt;0,IFERROR(('Final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Sheet'!$C$40)&amp;"","")))))&gt;0),IF(COUNTIF($BI$67:$BP$67,4)=0,TRUE,SUMPRODUCT(($BI$67:$BP$67=4)*($AS$67:$AZ$67&lt;&gt;"")*IF(((UPPER($AS$67:$AZ$67)="BLANK")+(UPPER($AS$67:$AZ$67)="(BLANK)")+(UPPER($AS$67:$AZ$67)="EMPTY")+(UPPER($AS$67:$AZ$67)="(EMPTY)"))&gt;0,IFERROR(('Final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Sheet'!$C$40)&amp;"","")))))&gt;0),IF(COUNTIF($BI$67:$BP$67,5)=0,TRUE,SUMPRODUCT(($BI$67:$BP$67=5)*($AS$67:$AZ$67&lt;&gt;"")*IF(((UPPER($AS$67:$AZ$67)="BLANK")+(UPPER($AS$67:$AZ$67)="(BLANK)")+(UPPER($AS$67:$AZ$67)="EMPTY")+(UPPER($AS$67:$AZ$67)="(EMPTY)"))&gt;0,IFERROR(('Final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Sheet'!$C$40)&amp;"","")))))&gt;0),IF(COUNTIF($BI$67:$BP$67,6)=0,TRUE,SUMPRODUCT(($BI$67:$BP$67=6)*($AS$67:$AZ$67&lt;&gt;"")*IF(((UPPER($AS$67:$AZ$67)="BLANK")+(UPPER($AS$67:$AZ$67)="(BLANK)")+(UPPER($AS$67:$AZ$67)="EMPTY")+(UPPER($AS$67:$AZ$67)="(EMPTY)"))&gt;0,IFERROR(('Final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Sheet'!$C$40)&amp;"","")))))&gt;0),IF(COUNTIF($BI$67:$BP$67,7)=0,TRUE,SUMPRODUCT(($BI$67:$BP$67=7)*($AS$67:$AZ$67&lt;&gt;"")*IF(((UPPER($AS$67:$AZ$67)="BLANK")+(UPPER($AS$67:$AZ$67)="(BLANK)")+(UPPER($AS$67:$AZ$67)="EMPTY")+(UPPER($AS$67:$AZ$67)="(EMPTY)"))&gt;0,IFERROR(('Final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Sheet'!$C$40)&amp;"","")))))&gt;0),IF(COUNTIF($BI$67:$BP$67,8)=0,TRUE,SUMPRODUCT(($BI$67:$BP$67=8)*($AS$67:$AZ$67&lt;&gt;"")*IF(((UPPER($AS$67:$AZ$67)="BLANK")+(UPPER($AS$67:$AZ$67)="(BLANK)")+(UPPER($AS$67:$AZ$67)="EMPTY")+(UPPER($AS$67:$AZ$67)="(EMPTY)"))&gt;0,IFERROR(('Final Calculation Sheet'!$C$40)&amp;"","")="",ISNUMBER(SEARCH($AS$67:$AZ$67,IFERROR(('Final Calculation Sheet'!$C$40)&amp;"","")))))&gt;0))))</f>
        <v>1</v>
      </c>
      <c r="BU41">
        <f>IF($I$4="",1,--(AND(SUMPRODUCT(--($AS$68:$AZ$68&lt;&gt;""))&gt;0,IF(COUNTIF($BI$68:$BP$68,1)=0,TRUE,SUMPRODUCT(($BI$68:$BP$68=1)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Sheet'!$H$40)&amp;"","")))))&gt;0),IF(COUNTIF($BI$68:$BP$68,2)=0,TRUE,SUMPRODUCT(($BI$68:$BP$68=2)*($AS$68:$AZ$68&lt;&gt;"")*IF(((UPPER($AS$68:$AZ$68)="BLANK")+(UPPER($AS$68:$AZ$68)="(BLANK)")+(UPPER($AS$68:$AZ$68)="EMPTY")+(UPPER($AS$68:$AZ$68)="(EMPTY)"))&gt;0,IFERROR(('Final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Sheet'!$H$40)&amp;"","")))))&gt;0),IF(COUNTIF($BI$68:$BP$68,3)=0,TRUE,SUMPRODUCT(($BI$68:$BP$68=3)*($AS$68:$AZ$68&lt;&gt;"")*IF(((UPPER($AS$68:$AZ$68)="BLANK")+(UPPER($AS$68:$AZ$68)="(BLANK)")+(UPPER($AS$68:$AZ$68)="EMPTY")+(UPPER($AS$68:$AZ$68)="(EMPTY)"))&gt;0,IFERROR(('Final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Sheet'!$H$40)&amp;"","")))))&gt;0),IF(COUNTIF($BI$68:$BP$68,4)=0,TRUE,SUMPRODUCT(($BI$68:$BP$68=4)*($AS$68:$AZ$68&lt;&gt;"")*IF(((UPPER($AS$68:$AZ$68)="BLANK")+(UPPER($AS$68:$AZ$68)="(BLANK)")+(UPPER($AS$68:$AZ$68)="EMPTY")+(UPPER($AS$68:$AZ$68)="(EMPTY)"))&gt;0,IFERROR(('Final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Sheet'!$H$40)&amp;"","")))))&gt;0),IF(COUNTIF($BI$68:$BP$68,5)=0,TRUE,SUMPRODUCT(($BI$68:$BP$68=5)*($AS$68:$AZ$68&lt;&gt;"")*IF(((UPPER($AS$68:$AZ$68)="BLANK")+(UPPER($AS$68:$AZ$68)="(BLANK)")+(UPPER($AS$68:$AZ$68)="EMPTY")+(UPPER($AS$68:$AZ$68)="(EMPTY)"))&gt;0,IFERROR(('Final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Sheet'!$H$40)&amp;"","")))))&gt;0),IF(COUNTIF($BI$68:$BP$68,6)=0,TRUE,SUMPRODUCT(($BI$68:$BP$68=6)*($AS$68:$AZ$68&lt;&gt;"")*IF(((UPPER($AS$68:$AZ$68)="BLANK")+(UPPER($AS$68:$AZ$68)="(BLANK)")+(UPPER($AS$68:$AZ$68)="EMPTY")+(UPPER($AS$68:$AZ$68)="(EMPTY)"))&gt;0,IFERROR(('Final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Sheet'!$H$40)&amp;"","")))))&gt;0),IF(COUNTIF($BI$68:$BP$68,7)=0,TRUE,SUMPRODUCT(($BI$68:$BP$68=7)*($AS$68:$AZ$68&lt;&gt;"")*IF(((UPPER($AS$68:$AZ$68)="BLANK")+(UPPER($AS$68:$AZ$68)="(BLANK)")+(UPPER($AS$68:$AZ$68)="EMPTY")+(UPPER($AS$68:$AZ$68)="(EMPTY)"))&gt;0,IFERROR(('Final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Sheet'!$H$40)&amp;"","")))))&gt;0),IF(COUNTIF($BI$68:$BP$68,8)=0,TRUE,SUMPRODUCT(($BI$68:$BP$68=8)*($AS$68:$AZ$68&lt;&gt;"")*IF(((UPPER($AS$68:$AZ$68)="BLANK")+(UPPER($AS$68:$AZ$68)="(BLANK)")+(UPPER($AS$68:$AZ$68)="EMPTY")+(UPPER($AS$68:$AZ$68)="(EMPTY)"))&gt;0,IFERROR(('Final Calculation Sheet'!$H$40)&amp;"","")="",ISNUMBER(SEARCH($AS$68:$AZ$68,IFERROR(('Final Calculation Sheet'!$H$40)&amp;"","")))))&gt;0))))</f>
        <v>1</v>
      </c>
      <c r="BV41">
        <f>IF($J$4="",1,--(AND(SUMPRODUCT(--($AS$69:$AZ$69&lt;&gt;""))&gt;0,IF(COUNTIF($BI$69:$BP$69,1)=0,TRUE,SUMPRODUCT(($BI$69:$BP$69=1)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Sheet'!$I$40)&amp;"","")))))&gt;0),IF(COUNTIF($BI$69:$BP$69,2)=0,TRUE,SUMPRODUCT(($BI$69:$BP$69=2)*($AS$69:$AZ$69&lt;&gt;"")*IF(((UPPER($AS$69:$AZ$69)="BLANK")+(UPPER($AS$69:$AZ$69)="(BLANK)")+(UPPER($AS$69:$AZ$69)="EMPTY")+(UPPER($AS$69:$AZ$69)="(EMPTY)"))&gt;0,IFERROR(('Final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Sheet'!$I$40)&amp;"","")))))&gt;0),IF(COUNTIF($BI$69:$BP$69,3)=0,TRUE,SUMPRODUCT(($BI$69:$BP$69=3)*($AS$69:$AZ$69&lt;&gt;"")*IF(((UPPER($AS$69:$AZ$69)="BLANK")+(UPPER($AS$69:$AZ$69)="(BLANK)")+(UPPER($AS$69:$AZ$69)="EMPTY")+(UPPER($AS$69:$AZ$69)="(EMPTY)"))&gt;0,IFERROR(('Final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Sheet'!$I$40)&amp;"","")))))&gt;0),IF(COUNTIF($BI$69:$BP$69,4)=0,TRUE,SUMPRODUCT(($BI$69:$BP$69=4)*($AS$69:$AZ$69&lt;&gt;"")*IF(((UPPER($AS$69:$AZ$69)="BLANK")+(UPPER($AS$69:$AZ$69)="(BLANK)")+(UPPER($AS$69:$AZ$69)="EMPTY")+(UPPER($AS$69:$AZ$69)="(EMPTY)"))&gt;0,IFERROR(('Final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Sheet'!$I$40)&amp;"","")))))&gt;0),IF(COUNTIF($BI$69:$BP$69,5)=0,TRUE,SUMPRODUCT(($BI$69:$BP$69=5)*($AS$69:$AZ$69&lt;&gt;"")*IF(((UPPER($AS$69:$AZ$69)="BLANK")+(UPPER($AS$69:$AZ$69)="(BLANK)")+(UPPER($AS$69:$AZ$69)="EMPTY")+(UPPER($AS$69:$AZ$69)="(EMPTY)"))&gt;0,IFERROR(('Final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Sheet'!$I$40)&amp;"","")))))&gt;0),IF(COUNTIF($BI$69:$BP$69,6)=0,TRUE,SUMPRODUCT(($BI$69:$BP$69=6)*($AS$69:$AZ$69&lt;&gt;"")*IF(((UPPER($AS$69:$AZ$69)="BLANK")+(UPPER($AS$69:$AZ$69)="(BLANK)")+(UPPER($AS$69:$AZ$69)="EMPTY")+(UPPER($AS$69:$AZ$69)="(EMPTY)"))&gt;0,IFERROR(('Final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Sheet'!$I$40)&amp;"","")))))&gt;0),IF(COUNTIF($BI$69:$BP$69,7)=0,TRUE,SUMPRODUCT(($BI$69:$BP$69=7)*($AS$69:$AZ$69&lt;&gt;"")*IF(((UPPER($AS$69:$AZ$69)="BLANK")+(UPPER($AS$69:$AZ$69)="(BLANK)")+(UPPER($AS$69:$AZ$69)="EMPTY")+(UPPER($AS$69:$AZ$69)="(EMPTY)"))&gt;0,IFERROR(('Final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Sheet'!$I$40)&amp;"","")))))&gt;0),IF(COUNTIF($BI$69:$BP$69,8)=0,TRUE,SUMPRODUCT(($BI$69:$BP$69=8)*($AS$69:$AZ$69&lt;&gt;"")*IF(((UPPER($AS$69:$AZ$69)="BLANK")+(UPPER($AS$69:$AZ$69)="(BLANK)")+(UPPER($AS$69:$AZ$69)="EMPTY")+(UPPER($AS$69:$AZ$69)="(EMPTY)"))&gt;0,IFERROR(('Final Calculation Sheet'!$I$40)&amp;"","")="",ISNUMBER(SEARCH($AS$69:$AZ$69,IFERROR(('Final Calculation Sheet'!$I$40)&amp;"","")))))&gt;0))))</f>
        <v>1</v>
      </c>
      <c r="BW41">
        <f>IF($K$4="",1,--(AND(SUMPRODUCT(--($AS$70:$AZ$70&lt;&gt;""))&gt;0,IF(COUNTIF($BI$70:$BP$70,1)=0,TRUE,SUMPRODUCT(($BI$70:$BP$70=1)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Sheet'!$J$40)&amp;"","")))))&gt;0),IF(COUNTIF($BI$70:$BP$70,2)=0,TRUE,SUMPRODUCT(($BI$70:$BP$70=2)*($AS$70:$AZ$70&lt;&gt;"")*IF(((UPPER($AS$70:$AZ$70)="BLANK")+(UPPER($AS$70:$AZ$70)="(BLANK)")+(UPPER($AS$70:$AZ$70)="EMPTY")+(UPPER($AS$70:$AZ$70)="(EMPTY)"))&gt;0,IFERROR(('Final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Sheet'!$J$40)&amp;"","")))))&gt;0),IF(COUNTIF($BI$70:$BP$70,3)=0,TRUE,SUMPRODUCT(($BI$70:$BP$70=3)*($AS$70:$AZ$70&lt;&gt;"")*IF(((UPPER($AS$70:$AZ$70)="BLANK")+(UPPER($AS$70:$AZ$70)="(BLANK)")+(UPPER($AS$70:$AZ$70)="EMPTY")+(UPPER($AS$70:$AZ$70)="(EMPTY)"))&gt;0,IFERROR(('Final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Sheet'!$J$40)&amp;"","")))))&gt;0),IF(COUNTIF($BI$70:$BP$70,4)=0,TRUE,SUMPRODUCT(($BI$70:$BP$70=4)*($AS$70:$AZ$70&lt;&gt;"")*IF(((UPPER($AS$70:$AZ$70)="BLANK")+(UPPER($AS$70:$AZ$70)="(BLANK)")+(UPPER($AS$70:$AZ$70)="EMPTY")+(UPPER($AS$70:$AZ$70)="(EMPTY)"))&gt;0,IFERROR(('Final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Sheet'!$J$40)&amp;"","")))))&gt;0),IF(COUNTIF($BI$70:$BP$70,5)=0,TRUE,SUMPRODUCT(($BI$70:$BP$70=5)*($AS$70:$AZ$70&lt;&gt;"")*IF(((UPPER($AS$70:$AZ$70)="BLANK")+(UPPER($AS$70:$AZ$70)="(BLANK)")+(UPPER($AS$70:$AZ$70)="EMPTY")+(UPPER($AS$70:$AZ$70)="(EMPTY)"))&gt;0,IFERROR(('Final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Sheet'!$J$40)&amp;"","")))))&gt;0),IF(COUNTIF($BI$70:$BP$70,6)=0,TRUE,SUMPRODUCT(($BI$70:$BP$70=6)*($AS$70:$AZ$70&lt;&gt;"")*IF(((UPPER($AS$70:$AZ$70)="BLANK")+(UPPER($AS$70:$AZ$70)="(BLANK)")+(UPPER($AS$70:$AZ$70)="EMPTY")+(UPPER($AS$70:$AZ$70)="(EMPTY)"))&gt;0,IFERROR(('Final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Sheet'!$J$40)&amp;"","")))))&gt;0),IF(COUNTIF($BI$70:$BP$70,7)=0,TRUE,SUMPRODUCT(($BI$70:$BP$70=7)*($AS$70:$AZ$70&lt;&gt;"")*IF(((UPPER($AS$70:$AZ$70)="BLANK")+(UPPER($AS$70:$AZ$70)="(BLANK)")+(UPPER($AS$70:$AZ$70)="EMPTY")+(UPPER($AS$70:$AZ$70)="(EMPTY)"))&gt;0,IFERROR(('Final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Sheet'!$J$40)&amp;"","")))))&gt;0),IF(COUNTIF($BI$70:$BP$70,8)=0,TRUE,SUMPRODUCT(($BI$70:$BP$70=8)*($AS$70:$AZ$70&lt;&gt;"")*IF(((UPPER($AS$70:$AZ$70)="BLANK")+(UPPER($AS$70:$AZ$70)="(BLANK)")+(UPPER($AS$70:$AZ$70)="EMPTY")+(UPPER($AS$70:$AZ$70)="(EMPTY)"))&gt;0,IFERROR(('Final Calculation Sheet'!$J$40)&amp;"","")="",ISNUMBER(SEARCH($AS$70:$AZ$70,IFERROR(('Final Calculation Sheet'!$J$40)&amp;"","")))))&gt;0))))</f>
        <v>1</v>
      </c>
      <c r="BX41">
        <f>IF($L$4="",1,--(AND(SUMPRODUCT(--($AS$71:$AZ$71&lt;&gt;""))&gt;0,IF(COUNTIF($BI$71:$BP$71,1)=0,TRUE,SUMPRODUCT(($BI$71:$BP$71=1)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Sheet'!$K$40)&amp;"","")))))&gt;0),IF(COUNTIF($BI$71:$BP$71,2)=0,TRUE,SUMPRODUCT(($BI$71:$BP$71=2)*($AS$71:$AZ$71&lt;&gt;"")*IF(((UPPER($AS$71:$AZ$71)="BLANK")+(UPPER($AS$71:$AZ$71)="(BLANK)")+(UPPER($AS$71:$AZ$71)="EMPTY")+(UPPER($AS$71:$AZ$71)="(EMPTY)"))&gt;0,IFERROR(('Final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Sheet'!$K$40)&amp;"","")))))&gt;0),IF(COUNTIF($BI$71:$BP$71,3)=0,TRUE,SUMPRODUCT(($BI$71:$BP$71=3)*($AS$71:$AZ$71&lt;&gt;"")*IF(((UPPER($AS$71:$AZ$71)="BLANK")+(UPPER($AS$71:$AZ$71)="(BLANK)")+(UPPER($AS$71:$AZ$71)="EMPTY")+(UPPER($AS$71:$AZ$71)="(EMPTY)"))&gt;0,IFERROR(('Final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Sheet'!$K$40)&amp;"","")))))&gt;0),IF(COUNTIF($BI$71:$BP$71,4)=0,TRUE,SUMPRODUCT(($BI$71:$BP$71=4)*($AS$71:$AZ$71&lt;&gt;"")*IF(((UPPER($AS$71:$AZ$71)="BLANK")+(UPPER($AS$71:$AZ$71)="(BLANK)")+(UPPER($AS$71:$AZ$71)="EMPTY")+(UPPER($AS$71:$AZ$71)="(EMPTY)"))&gt;0,IFERROR(('Final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Sheet'!$K$40)&amp;"","")))))&gt;0),IF(COUNTIF($BI$71:$BP$71,5)=0,TRUE,SUMPRODUCT(($BI$71:$BP$71=5)*($AS$71:$AZ$71&lt;&gt;"")*IF(((UPPER($AS$71:$AZ$71)="BLANK")+(UPPER($AS$71:$AZ$71)="(BLANK)")+(UPPER($AS$71:$AZ$71)="EMPTY")+(UPPER($AS$71:$AZ$71)="(EMPTY)"))&gt;0,IFERROR(('Final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Sheet'!$K$40)&amp;"","")))))&gt;0),IF(COUNTIF($BI$71:$BP$71,6)=0,TRUE,SUMPRODUCT(($BI$71:$BP$71=6)*($AS$71:$AZ$71&lt;&gt;"")*IF(((UPPER($AS$71:$AZ$71)="BLANK")+(UPPER($AS$71:$AZ$71)="(BLANK)")+(UPPER($AS$71:$AZ$71)="EMPTY")+(UPPER($AS$71:$AZ$71)="(EMPTY)"))&gt;0,IFERROR(('Final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Sheet'!$K$40)&amp;"","")))))&gt;0),IF(COUNTIF($BI$71:$BP$71,7)=0,TRUE,SUMPRODUCT(($BI$71:$BP$71=7)*($AS$71:$AZ$71&lt;&gt;"")*IF(((UPPER($AS$71:$AZ$71)="BLANK")+(UPPER($AS$71:$AZ$71)="(BLANK)")+(UPPER($AS$71:$AZ$71)="EMPTY")+(UPPER($AS$71:$AZ$71)="(EMPTY)"))&gt;0,IFERROR(('Final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Sheet'!$K$40)&amp;"","")))))&gt;0),IF(COUNTIF($BI$71:$BP$71,8)=0,TRUE,SUMPRODUCT(($BI$71:$BP$71=8)*($AS$71:$AZ$71&lt;&gt;"")*IF(((UPPER($AS$71:$AZ$71)="BLANK")+(UPPER($AS$71:$AZ$71)="(BLANK)")+(UPPER($AS$71:$AZ$71)="EMPTY")+(UPPER($AS$71:$AZ$71)="(EMPTY)"))&gt;0,IFERROR(('Final Calculation Sheet'!$K$40)&amp;"","")="",ISNUMBER(SEARCH($AS$71:$AZ$71,IFERROR(('Final Calculation Sheet'!$K$40)&amp;"","")))))&gt;0))))</f>
        <v>1</v>
      </c>
      <c r="BY41">
        <f>IF($M$4="",1,--(AND(SUMPRODUCT(--($AS$72:$AZ$72&lt;&gt;""))&gt;0,IF(COUNTIF($BI$72:$BP$72,1)=0,TRUE,SUMPRODUCT(($BI$72:$BP$72=1)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Sheet'!$L$40)&amp;"","")))))&gt;0),IF(COUNTIF($BI$72:$BP$72,2)=0,TRUE,SUMPRODUCT(($BI$72:$BP$72=2)*($AS$72:$AZ$72&lt;&gt;"")*IF(((UPPER($AS$72:$AZ$72)="BLANK")+(UPPER($AS$72:$AZ$72)="(BLANK)")+(UPPER($AS$72:$AZ$72)="EMPTY")+(UPPER($AS$72:$AZ$72)="(EMPTY)"))&gt;0,IFERROR(('Final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Sheet'!$L$40)&amp;"","")))))&gt;0),IF(COUNTIF($BI$72:$BP$72,3)=0,TRUE,SUMPRODUCT(($BI$72:$BP$72=3)*($AS$72:$AZ$72&lt;&gt;"")*IF(((UPPER($AS$72:$AZ$72)="BLANK")+(UPPER($AS$72:$AZ$72)="(BLANK)")+(UPPER($AS$72:$AZ$72)="EMPTY")+(UPPER($AS$72:$AZ$72)="(EMPTY)"))&gt;0,IFERROR(('Final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Sheet'!$L$40)&amp;"","")))))&gt;0),IF(COUNTIF($BI$72:$BP$72,4)=0,TRUE,SUMPRODUCT(($BI$72:$BP$72=4)*($AS$72:$AZ$72&lt;&gt;"")*IF(((UPPER($AS$72:$AZ$72)="BLANK")+(UPPER($AS$72:$AZ$72)="(BLANK)")+(UPPER($AS$72:$AZ$72)="EMPTY")+(UPPER($AS$72:$AZ$72)="(EMPTY)"))&gt;0,IFERROR(('Final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Sheet'!$L$40)&amp;"","")))))&gt;0),IF(COUNTIF($BI$72:$BP$72,5)=0,TRUE,SUMPRODUCT(($BI$72:$BP$72=5)*($AS$72:$AZ$72&lt;&gt;"")*IF(((UPPER($AS$72:$AZ$72)="BLANK")+(UPPER($AS$72:$AZ$72)="(BLANK)")+(UPPER($AS$72:$AZ$72)="EMPTY")+(UPPER($AS$72:$AZ$72)="(EMPTY)"))&gt;0,IFERROR(('Final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Sheet'!$L$40)&amp;"","")))))&gt;0),IF(COUNTIF($BI$72:$BP$72,6)=0,TRUE,SUMPRODUCT(($BI$72:$BP$72=6)*($AS$72:$AZ$72&lt;&gt;"")*IF(((UPPER($AS$72:$AZ$72)="BLANK")+(UPPER($AS$72:$AZ$72)="(BLANK)")+(UPPER($AS$72:$AZ$72)="EMPTY")+(UPPER($AS$72:$AZ$72)="(EMPTY)"))&gt;0,IFERROR(('Final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Sheet'!$L$40)&amp;"","")))))&gt;0),IF(COUNTIF($BI$72:$BP$72,7)=0,TRUE,SUMPRODUCT(($BI$72:$BP$72=7)*($AS$72:$AZ$72&lt;&gt;"")*IF(((UPPER($AS$72:$AZ$72)="BLANK")+(UPPER($AS$72:$AZ$72)="(BLANK)")+(UPPER($AS$72:$AZ$72)="EMPTY")+(UPPER($AS$72:$AZ$72)="(EMPTY)"))&gt;0,IFERROR(('Final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Sheet'!$L$40)&amp;"","")))))&gt;0),IF(COUNTIF($BI$72:$BP$72,8)=0,TRUE,SUMPRODUCT(($BI$72:$BP$72=8)*($AS$72:$AZ$72&lt;&gt;"")*IF(((UPPER($AS$72:$AZ$72)="BLANK")+(UPPER($AS$72:$AZ$72)="(BLANK)")+(UPPER($AS$72:$AZ$72)="EMPTY")+(UPPER($AS$72:$AZ$72)="(EMPTY)"))&gt;0,IFERROR(('Final Calculation Sheet'!$L$40)&amp;"","")="",ISNUMBER(SEARCH($AS$72:$AZ$72,IFERROR(('Final Calculation Sheet'!$L$40)&amp;"","")))))&gt;0))))</f>
        <v>1</v>
      </c>
      <c r="BZ41">
        <f>IF($N$4="",1,--(AND(SUMPRODUCT(--($AS$73:$AZ$73&lt;&gt;""))&gt;0,IF(COUNTIF($BI$73:$BP$73,1)=0,TRUE,SUMPRODUCT(($BI$73:$BP$73=1)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Sheet'!$M$40)&amp;"","")))))&gt;0),IF(COUNTIF($BI$73:$BP$73,2)=0,TRUE,SUMPRODUCT(($BI$73:$BP$73=2)*($AS$73:$AZ$73&lt;&gt;"")*IF(((UPPER($AS$73:$AZ$73)="BLANK")+(UPPER($AS$73:$AZ$73)="(BLANK)")+(UPPER($AS$73:$AZ$73)="EMPTY")+(UPPER($AS$73:$AZ$73)="(EMPTY)"))&gt;0,IFERROR(('Final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Sheet'!$M$40)&amp;"","")))))&gt;0),IF(COUNTIF($BI$73:$BP$73,3)=0,TRUE,SUMPRODUCT(($BI$73:$BP$73=3)*($AS$73:$AZ$73&lt;&gt;"")*IF(((UPPER($AS$73:$AZ$73)="BLANK")+(UPPER($AS$73:$AZ$73)="(BLANK)")+(UPPER($AS$73:$AZ$73)="EMPTY")+(UPPER($AS$73:$AZ$73)="(EMPTY)"))&gt;0,IFERROR(('Final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Sheet'!$M$40)&amp;"","")))))&gt;0),IF(COUNTIF($BI$73:$BP$73,4)=0,TRUE,SUMPRODUCT(($BI$73:$BP$73=4)*($AS$73:$AZ$73&lt;&gt;"")*IF(((UPPER($AS$73:$AZ$73)="BLANK")+(UPPER($AS$73:$AZ$73)="(BLANK)")+(UPPER($AS$73:$AZ$73)="EMPTY")+(UPPER($AS$73:$AZ$73)="(EMPTY)"))&gt;0,IFERROR(('Final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Sheet'!$M$40)&amp;"","")))))&gt;0),IF(COUNTIF($BI$73:$BP$73,5)=0,TRUE,SUMPRODUCT(($BI$73:$BP$73=5)*($AS$73:$AZ$73&lt;&gt;"")*IF(((UPPER($AS$73:$AZ$73)="BLANK")+(UPPER($AS$73:$AZ$73)="(BLANK)")+(UPPER($AS$73:$AZ$73)="EMPTY")+(UPPER($AS$73:$AZ$73)="(EMPTY)"))&gt;0,IFERROR(('Final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Sheet'!$M$40)&amp;"","")))))&gt;0),IF(COUNTIF($BI$73:$BP$73,6)=0,TRUE,SUMPRODUCT(($BI$73:$BP$73=6)*($AS$73:$AZ$73&lt;&gt;"")*IF(((UPPER($AS$73:$AZ$73)="BLANK")+(UPPER($AS$73:$AZ$73)="(BLANK)")+(UPPER($AS$73:$AZ$73)="EMPTY")+(UPPER($AS$73:$AZ$73)="(EMPTY)"))&gt;0,IFERROR(('Final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Sheet'!$M$40)&amp;"","")))))&gt;0),IF(COUNTIF($BI$73:$BP$73,7)=0,TRUE,SUMPRODUCT(($BI$73:$BP$73=7)*($AS$73:$AZ$73&lt;&gt;"")*IF(((UPPER($AS$73:$AZ$73)="BLANK")+(UPPER($AS$73:$AZ$73)="(BLANK)")+(UPPER($AS$73:$AZ$73)="EMPTY")+(UPPER($AS$73:$AZ$73)="(EMPTY)"))&gt;0,IFERROR(('Final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Sheet'!$M$40)&amp;"","")))))&gt;0),IF(COUNTIF($BI$73:$BP$73,8)=0,TRUE,SUMPRODUCT(($BI$73:$BP$73=8)*($AS$73:$AZ$73&lt;&gt;"")*IF(((UPPER($AS$73:$AZ$73)="BLANK")+(UPPER($AS$73:$AZ$73)="(BLANK)")+(UPPER($AS$73:$AZ$73)="EMPTY")+(UPPER($AS$73:$AZ$73)="(EMPTY)"))&gt;0,IFERROR(('Final Calculation Sheet'!$M$40)&amp;"","")="",ISNUMBER(SEARCH($AS$73:$AZ$73,IFERROR(('Final Calculation Sheet'!$M$40)&amp;"","")))))&gt;0))))</f>
        <v>1</v>
      </c>
      <c r="CA41">
        <f>IF($O$4="",1,--(AND(SUMPRODUCT(--($AS$74:$AZ$74&lt;&gt;""))&gt;0,IF(COUNTIF($BI$74:$BP$74,1)=0,TRUE,SUMPRODUCT(($BI$74:$BP$74=1)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Sheet'!$N$40)&amp;"","")))))&gt;0),IF(COUNTIF($BI$74:$BP$74,2)=0,TRUE,SUMPRODUCT(($BI$74:$BP$74=2)*($AS$74:$AZ$74&lt;&gt;"")*IF(((UPPER($AS$74:$AZ$74)="BLANK")+(UPPER($AS$74:$AZ$74)="(BLANK)")+(UPPER($AS$74:$AZ$74)="EMPTY")+(UPPER($AS$74:$AZ$74)="(EMPTY)"))&gt;0,IFERROR(('Final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Sheet'!$N$40)&amp;"","")))))&gt;0),IF(COUNTIF($BI$74:$BP$74,3)=0,TRUE,SUMPRODUCT(($BI$74:$BP$74=3)*($AS$74:$AZ$74&lt;&gt;"")*IF(((UPPER($AS$74:$AZ$74)="BLANK")+(UPPER($AS$74:$AZ$74)="(BLANK)")+(UPPER($AS$74:$AZ$74)="EMPTY")+(UPPER($AS$74:$AZ$74)="(EMPTY)"))&gt;0,IFERROR(('Final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Sheet'!$N$40)&amp;"","")))))&gt;0),IF(COUNTIF($BI$74:$BP$74,4)=0,TRUE,SUMPRODUCT(($BI$74:$BP$74=4)*($AS$74:$AZ$74&lt;&gt;"")*IF(((UPPER($AS$74:$AZ$74)="BLANK")+(UPPER($AS$74:$AZ$74)="(BLANK)")+(UPPER($AS$74:$AZ$74)="EMPTY")+(UPPER($AS$74:$AZ$74)="(EMPTY)"))&gt;0,IFERROR(('Final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Sheet'!$N$40)&amp;"","")))))&gt;0),IF(COUNTIF($BI$74:$BP$74,5)=0,TRUE,SUMPRODUCT(($BI$74:$BP$74=5)*($AS$74:$AZ$74&lt;&gt;"")*IF(((UPPER($AS$74:$AZ$74)="BLANK")+(UPPER($AS$74:$AZ$74)="(BLANK)")+(UPPER($AS$74:$AZ$74)="EMPTY")+(UPPER($AS$74:$AZ$74)="(EMPTY)"))&gt;0,IFERROR(('Final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Sheet'!$N$40)&amp;"","")))))&gt;0),IF(COUNTIF($BI$74:$BP$74,6)=0,TRUE,SUMPRODUCT(($BI$74:$BP$74=6)*($AS$74:$AZ$74&lt;&gt;"")*IF(((UPPER($AS$74:$AZ$74)="BLANK")+(UPPER($AS$74:$AZ$74)="(BLANK)")+(UPPER($AS$74:$AZ$74)="EMPTY")+(UPPER($AS$74:$AZ$74)="(EMPTY)"))&gt;0,IFERROR(('Final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Sheet'!$N$40)&amp;"","")))))&gt;0),IF(COUNTIF($BI$74:$BP$74,7)=0,TRUE,SUMPRODUCT(($BI$74:$BP$74=7)*($AS$74:$AZ$74&lt;&gt;"")*IF(((UPPER($AS$74:$AZ$74)="BLANK")+(UPPER($AS$74:$AZ$74)="(BLANK)")+(UPPER($AS$74:$AZ$74)="EMPTY")+(UPPER($AS$74:$AZ$74)="(EMPTY)"))&gt;0,IFERROR(('Final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Sheet'!$N$40)&amp;"","")))))&gt;0),IF(COUNTIF($BI$74:$BP$74,8)=0,TRUE,SUMPRODUCT(($BI$74:$BP$74=8)*($AS$74:$AZ$74&lt;&gt;"")*IF(((UPPER($AS$74:$AZ$74)="BLANK")+(UPPER($AS$74:$AZ$74)="(BLANK)")+(UPPER($AS$74:$AZ$74)="EMPTY")+(UPPER($AS$74:$AZ$74)="(EMPTY)"))&gt;0,IFERROR(('Final Calculation Sheet'!$N$40)&amp;"","")="",ISNUMBER(SEARCH($AS$74:$AZ$74,IFERROR(('Final Calculation Sheet'!$N$40)&amp;"","")))))&gt;0))))</f>
        <v>1</v>
      </c>
      <c r="CB41">
        <f>IF($P$4="",1,--(AND(SUMPRODUCT(--($AS$75:$AZ$75&lt;&gt;""))&gt;0,IF(COUNTIF($BI$75:$BP$75,1)=0,TRUE,SUMPRODUCT(($BI$75:$BP$75=1)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Sheet'!$O$40)&amp;"","")))))&gt;0),IF(COUNTIF($BI$75:$BP$75,2)=0,TRUE,SUMPRODUCT(($BI$75:$BP$75=2)*($AS$75:$AZ$75&lt;&gt;"")*IF(((UPPER($AS$75:$AZ$75)="BLANK")+(UPPER($AS$75:$AZ$75)="(BLANK)")+(UPPER($AS$75:$AZ$75)="EMPTY")+(UPPER($AS$75:$AZ$75)="(EMPTY)"))&gt;0,IFERROR(('Final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Sheet'!$O$40)&amp;"","")))))&gt;0),IF(COUNTIF($BI$75:$BP$75,3)=0,TRUE,SUMPRODUCT(($BI$75:$BP$75=3)*($AS$75:$AZ$75&lt;&gt;"")*IF(((UPPER($AS$75:$AZ$75)="BLANK")+(UPPER($AS$75:$AZ$75)="(BLANK)")+(UPPER($AS$75:$AZ$75)="EMPTY")+(UPPER($AS$75:$AZ$75)="(EMPTY)"))&gt;0,IFERROR(('Final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Sheet'!$O$40)&amp;"","")))))&gt;0),IF(COUNTIF($BI$75:$BP$75,4)=0,TRUE,SUMPRODUCT(($BI$75:$BP$75=4)*($AS$75:$AZ$75&lt;&gt;"")*IF(((UPPER($AS$75:$AZ$75)="BLANK")+(UPPER($AS$75:$AZ$75)="(BLANK)")+(UPPER($AS$75:$AZ$75)="EMPTY")+(UPPER($AS$75:$AZ$75)="(EMPTY)"))&gt;0,IFERROR(('Final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Sheet'!$O$40)&amp;"","")))))&gt;0),IF(COUNTIF($BI$75:$BP$75,5)=0,TRUE,SUMPRODUCT(($BI$75:$BP$75=5)*($AS$75:$AZ$75&lt;&gt;"")*IF(((UPPER($AS$75:$AZ$75)="BLANK")+(UPPER($AS$75:$AZ$75)="(BLANK)")+(UPPER($AS$75:$AZ$75)="EMPTY")+(UPPER($AS$75:$AZ$75)="(EMPTY)"))&gt;0,IFERROR(('Final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Sheet'!$O$40)&amp;"","")))))&gt;0),IF(COUNTIF($BI$75:$BP$75,6)=0,TRUE,SUMPRODUCT(($BI$75:$BP$75=6)*($AS$75:$AZ$75&lt;&gt;"")*IF(((UPPER($AS$75:$AZ$75)="BLANK")+(UPPER($AS$75:$AZ$75)="(BLANK)")+(UPPER($AS$75:$AZ$75)="EMPTY")+(UPPER($AS$75:$AZ$75)="(EMPTY)"))&gt;0,IFERROR(('Final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Sheet'!$O$40)&amp;"","")))))&gt;0),IF(COUNTIF($BI$75:$BP$75,7)=0,TRUE,SUMPRODUCT(($BI$75:$BP$75=7)*($AS$75:$AZ$75&lt;&gt;"")*IF(((UPPER($AS$75:$AZ$75)="BLANK")+(UPPER($AS$75:$AZ$75)="(BLANK)")+(UPPER($AS$75:$AZ$75)="EMPTY")+(UPPER($AS$75:$AZ$75)="(EMPTY)"))&gt;0,IFERROR(('Final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Sheet'!$O$40)&amp;"","")))))&gt;0),IF(COUNTIF($BI$75:$BP$75,8)=0,TRUE,SUMPRODUCT(($BI$75:$BP$75=8)*($AS$75:$AZ$75&lt;&gt;"")*IF(((UPPER($AS$75:$AZ$75)="BLANK")+(UPPER($AS$75:$AZ$75)="(BLANK)")+(UPPER($AS$75:$AZ$75)="EMPTY")+(UPPER($AS$75:$AZ$75)="(EMPTY)"))&gt;0,IFERROR(('Final Calculation Sheet'!$O$40)&amp;"","")="",ISNUMBER(SEARCH($AS$75:$AZ$75,IFERROR(('Final Calculation Sheet'!$O$40)&amp;"","")))))&gt;0))))</f>
        <v>1</v>
      </c>
      <c r="CC41">
        <f>IF($Q$4="",1,--(AND(SUMPRODUCT(--($AS$76:$AZ$76&lt;&gt;""))&gt;0,IF(COUNTIF($BI$76:$BP$76,1)=0,TRUE,SUMPRODUCT(($BI$76:$BP$76=1)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Sheet'!$P$40)&amp;"","")))))&gt;0),IF(COUNTIF($BI$76:$BP$76,2)=0,TRUE,SUMPRODUCT(($BI$76:$BP$76=2)*($AS$76:$AZ$76&lt;&gt;"")*IF(((UPPER($AS$76:$AZ$76)="BLANK")+(UPPER($AS$76:$AZ$76)="(BLANK)")+(UPPER($AS$76:$AZ$76)="EMPTY")+(UPPER($AS$76:$AZ$76)="(EMPTY)"))&gt;0,IFERROR(('Final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Sheet'!$P$40)&amp;"","")))))&gt;0),IF(COUNTIF($BI$76:$BP$76,3)=0,TRUE,SUMPRODUCT(($BI$76:$BP$76=3)*($AS$76:$AZ$76&lt;&gt;"")*IF(((UPPER($AS$76:$AZ$76)="BLANK")+(UPPER($AS$76:$AZ$76)="(BLANK)")+(UPPER($AS$76:$AZ$76)="EMPTY")+(UPPER($AS$76:$AZ$76)="(EMPTY)"))&gt;0,IFERROR(('Final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Sheet'!$P$40)&amp;"","")))))&gt;0),IF(COUNTIF($BI$76:$BP$76,4)=0,TRUE,SUMPRODUCT(($BI$76:$BP$76=4)*($AS$76:$AZ$76&lt;&gt;"")*IF(((UPPER($AS$76:$AZ$76)="BLANK")+(UPPER($AS$76:$AZ$76)="(BLANK)")+(UPPER($AS$76:$AZ$76)="EMPTY")+(UPPER($AS$76:$AZ$76)="(EMPTY)"))&gt;0,IFERROR(('Final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Sheet'!$P$40)&amp;"","")))))&gt;0),IF(COUNTIF($BI$76:$BP$76,5)=0,TRUE,SUMPRODUCT(($BI$76:$BP$76=5)*($AS$76:$AZ$76&lt;&gt;"")*IF(((UPPER($AS$76:$AZ$76)="BLANK")+(UPPER($AS$76:$AZ$76)="(BLANK)")+(UPPER($AS$76:$AZ$76)="EMPTY")+(UPPER($AS$76:$AZ$76)="(EMPTY)"))&gt;0,IFERROR(('Final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Sheet'!$P$40)&amp;"","")))))&gt;0),IF(COUNTIF($BI$76:$BP$76,6)=0,TRUE,SUMPRODUCT(($BI$76:$BP$76=6)*($AS$76:$AZ$76&lt;&gt;"")*IF(((UPPER($AS$76:$AZ$76)="BLANK")+(UPPER($AS$76:$AZ$76)="(BLANK)")+(UPPER($AS$76:$AZ$76)="EMPTY")+(UPPER($AS$76:$AZ$76)="(EMPTY)"))&gt;0,IFERROR(('Final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Sheet'!$P$40)&amp;"","")))))&gt;0),IF(COUNTIF($BI$76:$BP$76,7)=0,TRUE,SUMPRODUCT(($BI$76:$BP$76=7)*($AS$76:$AZ$76&lt;&gt;"")*IF(((UPPER($AS$76:$AZ$76)="BLANK")+(UPPER($AS$76:$AZ$76)="(BLANK)")+(UPPER($AS$76:$AZ$76)="EMPTY")+(UPPER($AS$76:$AZ$76)="(EMPTY)"))&gt;0,IFERROR(('Final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Sheet'!$P$40)&amp;"","")))))&gt;0),IF(COUNTIF($BI$76:$BP$76,8)=0,TRUE,SUMPRODUCT(($BI$76:$BP$76=8)*($AS$76:$AZ$76&lt;&gt;"")*IF(((UPPER($AS$76:$AZ$76)="BLANK")+(UPPER($AS$76:$AZ$76)="(BLANK)")+(UPPER($AS$76:$AZ$76)="EMPTY")+(UPPER($AS$76:$AZ$76)="(EMPTY)"))&gt;0,IFERROR(('Final Calculation Sheet'!$P$40)&amp;"","")="",ISNUMBER(SEARCH($AS$76:$AZ$76,IFERROR(('Final Calculation Sheet'!$P$40)&amp;"","")))))&gt;0))))</f>
        <v>1</v>
      </c>
      <c r="CD41">
        <f>IF($R$4="",1,--(AND(SUMPRODUCT(--($AS$77:$AZ$77&lt;&gt;""))&gt;0,IF(COUNTIF($BI$77:$BP$77,1)=0,TRUE,SUMPRODUCT(($BI$77:$BP$77=1)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Sheet'!$Q$40)&amp;"","")))))&gt;0),IF(COUNTIF($BI$77:$BP$77,2)=0,TRUE,SUMPRODUCT(($BI$77:$BP$77=2)*($AS$77:$AZ$77&lt;&gt;"")*IF(((UPPER($AS$77:$AZ$77)="BLANK")+(UPPER($AS$77:$AZ$77)="(BLANK)")+(UPPER($AS$77:$AZ$77)="EMPTY")+(UPPER($AS$77:$AZ$77)="(EMPTY)"))&gt;0,IFERROR(('Final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Sheet'!$Q$40)&amp;"","")))))&gt;0),IF(COUNTIF($BI$77:$BP$77,3)=0,TRUE,SUMPRODUCT(($BI$77:$BP$77=3)*($AS$77:$AZ$77&lt;&gt;"")*IF(((UPPER($AS$77:$AZ$77)="BLANK")+(UPPER($AS$77:$AZ$77)="(BLANK)")+(UPPER($AS$77:$AZ$77)="EMPTY")+(UPPER($AS$77:$AZ$77)="(EMPTY)"))&gt;0,IFERROR(('Final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Sheet'!$Q$40)&amp;"","")))))&gt;0),IF(COUNTIF($BI$77:$BP$77,4)=0,TRUE,SUMPRODUCT(($BI$77:$BP$77=4)*($AS$77:$AZ$77&lt;&gt;"")*IF(((UPPER($AS$77:$AZ$77)="BLANK")+(UPPER($AS$77:$AZ$77)="(BLANK)")+(UPPER($AS$77:$AZ$77)="EMPTY")+(UPPER($AS$77:$AZ$77)="(EMPTY)"))&gt;0,IFERROR(('Final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Sheet'!$Q$40)&amp;"","")))))&gt;0),IF(COUNTIF($BI$77:$BP$77,5)=0,TRUE,SUMPRODUCT(($BI$77:$BP$77=5)*($AS$77:$AZ$77&lt;&gt;"")*IF(((UPPER($AS$77:$AZ$77)="BLANK")+(UPPER($AS$77:$AZ$77)="(BLANK)")+(UPPER($AS$77:$AZ$77)="EMPTY")+(UPPER($AS$77:$AZ$77)="(EMPTY)"))&gt;0,IFERROR(('Final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Sheet'!$Q$40)&amp;"","")))))&gt;0),IF(COUNTIF($BI$77:$BP$77,6)=0,TRUE,SUMPRODUCT(($BI$77:$BP$77=6)*($AS$77:$AZ$77&lt;&gt;"")*IF(((UPPER($AS$77:$AZ$77)="BLANK")+(UPPER($AS$77:$AZ$77)="(BLANK)")+(UPPER($AS$77:$AZ$77)="EMPTY")+(UPPER($AS$77:$AZ$77)="(EMPTY)"))&gt;0,IFERROR(('Final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Sheet'!$Q$40)&amp;"","")))))&gt;0),IF(COUNTIF($BI$77:$BP$77,7)=0,TRUE,SUMPRODUCT(($BI$77:$BP$77=7)*($AS$77:$AZ$77&lt;&gt;"")*IF(((UPPER($AS$77:$AZ$77)="BLANK")+(UPPER($AS$77:$AZ$77)="(BLANK)")+(UPPER($AS$77:$AZ$77)="EMPTY")+(UPPER($AS$77:$AZ$77)="(EMPTY)"))&gt;0,IFERROR(('Final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Sheet'!$Q$40)&amp;"","")))))&gt;0),IF(COUNTIF($BI$77:$BP$77,8)=0,TRUE,SUMPRODUCT(($BI$77:$BP$77=8)*($AS$77:$AZ$77&lt;&gt;"")*IF(((UPPER($AS$77:$AZ$77)="BLANK")+(UPPER($AS$77:$AZ$77)="(BLANK)")+(UPPER($AS$77:$AZ$77)="EMPTY")+(UPPER($AS$77:$AZ$77)="(EMPTY)"))&gt;0,IFERROR(('Final Calculation Sheet'!$Q$40)&amp;"","")="",ISNUMBER(SEARCH($AS$77:$AZ$77,IFERROR(('Final Calculation Sheet'!$Q$40)&amp;"","")))))&gt;0))))</f>
        <v>1</v>
      </c>
      <c r="CE41">
        <f>IF($S$4="",1,--(AND(SUMPRODUCT(--($AS$78:$AZ$78&lt;&gt;""))&gt;0,IF(COUNTIF($BI$78:$BP$78,1)=0,TRUE,SUMPRODUCT(($BI$78:$BP$78=1)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Sheet'!$R$40)&amp;"","")))))&gt;0),IF(COUNTIF($BI$78:$BP$78,2)=0,TRUE,SUMPRODUCT(($BI$78:$BP$78=2)*($AS$78:$AZ$78&lt;&gt;"")*IF(((UPPER($AS$78:$AZ$78)="BLANK")+(UPPER($AS$78:$AZ$78)="(BLANK)")+(UPPER($AS$78:$AZ$78)="EMPTY")+(UPPER($AS$78:$AZ$78)="(EMPTY)"))&gt;0,IFERROR(('Final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Sheet'!$R$40)&amp;"","")))))&gt;0),IF(COUNTIF($BI$78:$BP$78,3)=0,TRUE,SUMPRODUCT(($BI$78:$BP$78=3)*($AS$78:$AZ$78&lt;&gt;"")*IF(((UPPER($AS$78:$AZ$78)="BLANK")+(UPPER($AS$78:$AZ$78)="(BLANK)")+(UPPER($AS$78:$AZ$78)="EMPTY")+(UPPER($AS$78:$AZ$78)="(EMPTY)"))&gt;0,IFERROR(('Final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Sheet'!$R$40)&amp;"","")))))&gt;0),IF(COUNTIF($BI$78:$BP$78,4)=0,TRUE,SUMPRODUCT(($BI$78:$BP$78=4)*($AS$78:$AZ$78&lt;&gt;"")*IF(((UPPER($AS$78:$AZ$78)="BLANK")+(UPPER($AS$78:$AZ$78)="(BLANK)")+(UPPER($AS$78:$AZ$78)="EMPTY")+(UPPER($AS$78:$AZ$78)="(EMPTY)"))&gt;0,IFERROR(('Final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Sheet'!$R$40)&amp;"","")))))&gt;0),IF(COUNTIF($BI$78:$BP$78,5)=0,TRUE,SUMPRODUCT(($BI$78:$BP$78=5)*($AS$78:$AZ$78&lt;&gt;"")*IF(((UPPER($AS$78:$AZ$78)="BLANK")+(UPPER($AS$78:$AZ$78)="(BLANK)")+(UPPER($AS$78:$AZ$78)="EMPTY")+(UPPER($AS$78:$AZ$78)="(EMPTY)"))&gt;0,IFERROR(('Final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Sheet'!$R$40)&amp;"","")))))&gt;0),IF(COUNTIF($BI$78:$BP$78,6)=0,TRUE,SUMPRODUCT(($BI$78:$BP$78=6)*($AS$78:$AZ$78&lt;&gt;"")*IF(((UPPER($AS$78:$AZ$78)="BLANK")+(UPPER($AS$78:$AZ$78)="(BLANK)")+(UPPER($AS$78:$AZ$78)="EMPTY")+(UPPER($AS$78:$AZ$78)="(EMPTY)"))&gt;0,IFERROR(('Final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Sheet'!$R$40)&amp;"","")))))&gt;0),IF(COUNTIF($BI$78:$BP$78,7)=0,TRUE,SUMPRODUCT(($BI$78:$BP$78=7)*($AS$78:$AZ$78&lt;&gt;"")*IF(((UPPER($AS$78:$AZ$78)="BLANK")+(UPPER($AS$78:$AZ$78)="(BLANK)")+(UPPER($AS$78:$AZ$78)="EMPTY")+(UPPER($AS$78:$AZ$78)="(EMPTY)"))&gt;0,IFERROR(('Final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Sheet'!$R$40)&amp;"","")))))&gt;0),IF(COUNTIF($BI$78:$BP$78,8)=0,TRUE,SUMPRODUCT(($BI$78:$BP$78=8)*($AS$78:$AZ$78&lt;&gt;"")*IF(((UPPER($AS$78:$AZ$78)="BLANK")+(UPPER($AS$78:$AZ$78)="(BLANK)")+(UPPER($AS$78:$AZ$78)="EMPTY")+(UPPER($AS$78:$AZ$78)="(EMPTY)"))&gt;0,IFERROR(('Final Calculation Sheet'!$R$40)&amp;"","")="",ISNUMBER(SEARCH($AS$78:$AZ$78,IFERROR(('Final Calculation Sheet'!$R$40)&amp;"","")))))&gt;0))))</f>
        <v>1</v>
      </c>
      <c r="CF41">
        <f>IF($T$4="",1,--(AND(SUMPRODUCT(--($AS$79:$AZ$79&lt;&gt;""))&gt;0,IF(COUNTIF($BI$79:$BP$79,1)=0,TRUE,SUMPRODUCT(($BI$79:$BP$79=1)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Sheet'!$S$40)&amp;"","")))))&gt;0),IF(COUNTIF($BI$79:$BP$79,2)=0,TRUE,SUMPRODUCT(($BI$79:$BP$79=2)*($AS$79:$AZ$79&lt;&gt;"")*IF(((UPPER($AS$79:$AZ$79)="BLANK")+(UPPER($AS$79:$AZ$79)="(BLANK)")+(UPPER($AS$79:$AZ$79)="EMPTY")+(UPPER($AS$79:$AZ$79)="(EMPTY)"))&gt;0,IFERROR(('Final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Sheet'!$S$40)&amp;"","")))))&gt;0),IF(COUNTIF($BI$79:$BP$79,3)=0,TRUE,SUMPRODUCT(($BI$79:$BP$79=3)*($AS$79:$AZ$79&lt;&gt;"")*IF(((UPPER($AS$79:$AZ$79)="BLANK")+(UPPER($AS$79:$AZ$79)="(BLANK)")+(UPPER($AS$79:$AZ$79)="EMPTY")+(UPPER($AS$79:$AZ$79)="(EMPTY)"))&gt;0,IFERROR(('Final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Sheet'!$S$40)&amp;"","")))))&gt;0),IF(COUNTIF($BI$79:$BP$79,4)=0,TRUE,SUMPRODUCT(($BI$79:$BP$79=4)*($AS$79:$AZ$79&lt;&gt;"")*IF(((UPPER($AS$79:$AZ$79)="BLANK")+(UPPER($AS$79:$AZ$79)="(BLANK)")+(UPPER($AS$79:$AZ$79)="EMPTY")+(UPPER($AS$79:$AZ$79)="(EMPTY)"))&gt;0,IFERROR(('Final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Sheet'!$S$40)&amp;"","")))))&gt;0),IF(COUNTIF($BI$79:$BP$79,5)=0,TRUE,SUMPRODUCT(($BI$79:$BP$79=5)*($AS$79:$AZ$79&lt;&gt;"")*IF(((UPPER($AS$79:$AZ$79)="BLANK")+(UPPER($AS$79:$AZ$79)="(BLANK)")+(UPPER($AS$79:$AZ$79)="EMPTY")+(UPPER($AS$79:$AZ$79)="(EMPTY)"))&gt;0,IFERROR(('Final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Sheet'!$S$40)&amp;"","")))))&gt;0),IF(COUNTIF($BI$79:$BP$79,6)=0,TRUE,SUMPRODUCT(($BI$79:$BP$79=6)*($AS$79:$AZ$79&lt;&gt;"")*IF(((UPPER($AS$79:$AZ$79)="BLANK")+(UPPER($AS$79:$AZ$79)="(BLANK)")+(UPPER($AS$79:$AZ$79)="EMPTY")+(UPPER($AS$79:$AZ$79)="(EMPTY)"))&gt;0,IFERROR(('Final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Sheet'!$S$40)&amp;"","")))))&gt;0),IF(COUNTIF($BI$79:$BP$79,7)=0,TRUE,SUMPRODUCT(($BI$79:$BP$79=7)*($AS$79:$AZ$79&lt;&gt;"")*IF(((UPPER($AS$79:$AZ$79)="BLANK")+(UPPER($AS$79:$AZ$79)="(BLANK)")+(UPPER($AS$79:$AZ$79)="EMPTY")+(UPPER($AS$79:$AZ$79)="(EMPTY)"))&gt;0,IFERROR(('Final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Sheet'!$S$40)&amp;"","")))))&gt;0),IF(COUNTIF($BI$79:$BP$79,8)=0,TRUE,SUMPRODUCT(($BI$79:$BP$79=8)*($AS$79:$AZ$79&lt;&gt;"")*IF(((UPPER($AS$79:$AZ$79)="BLANK")+(UPPER($AS$79:$AZ$79)="(BLANK)")+(UPPER($AS$79:$AZ$79)="EMPTY")+(UPPER($AS$79:$AZ$79)="(EMPTY)"))&gt;0,IFERROR(('Final Calculation Sheet'!$S$40)&amp;"","")="",ISNUMBER(SEARCH($AS$79:$AZ$79,IFERROR(('Final Calculation Sheet'!$S$40)&amp;"","")))))&gt;0))))</f>
        <v>1</v>
      </c>
      <c r="CG41">
        <f>IF($U$4="",1,--(AND(SUMPRODUCT(--($AS$80:$AZ$80&lt;&gt;""))&gt;0,IF(COUNTIF($BI$80:$BP$80,1)=0,TRUE,SUMPRODUCT(($BI$80:$BP$80=1)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Sheet'!$T$40)&amp;"","")))))&gt;0),IF(COUNTIF($BI$80:$BP$80,2)=0,TRUE,SUMPRODUCT(($BI$80:$BP$80=2)*($AS$80:$AZ$80&lt;&gt;"")*IF(((UPPER($AS$80:$AZ$80)="BLANK")+(UPPER($AS$80:$AZ$80)="(BLANK)")+(UPPER($AS$80:$AZ$80)="EMPTY")+(UPPER($AS$80:$AZ$80)="(EMPTY)"))&gt;0,IFERROR(('Final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Sheet'!$T$40)&amp;"","")))))&gt;0),IF(COUNTIF($BI$80:$BP$80,3)=0,TRUE,SUMPRODUCT(($BI$80:$BP$80=3)*($AS$80:$AZ$80&lt;&gt;"")*IF(((UPPER($AS$80:$AZ$80)="BLANK")+(UPPER($AS$80:$AZ$80)="(BLANK)")+(UPPER($AS$80:$AZ$80)="EMPTY")+(UPPER($AS$80:$AZ$80)="(EMPTY)"))&gt;0,IFERROR(('Final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Sheet'!$T$40)&amp;"","")))))&gt;0),IF(COUNTIF($BI$80:$BP$80,4)=0,TRUE,SUMPRODUCT(($BI$80:$BP$80=4)*($AS$80:$AZ$80&lt;&gt;"")*IF(((UPPER($AS$80:$AZ$80)="BLANK")+(UPPER($AS$80:$AZ$80)="(BLANK)")+(UPPER($AS$80:$AZ$80)="EMPTY")+(UPPER($AS$80:$AZ$80)="(EMPTY)"))&gt;0,IFERROR(('Final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Sheet'!$T$40)&amp;"","")))))&gt;0),IF(COUNTIF($BI$80:$BP$80,5)=0,TRUE,SUMPRODUCT(($BI$80:$BP$80=5)*($AS$80:$AZ$80&lt;&gt;"")*IF(((UPPER($AS$80:$AZ$80)="BLANK")+(UPPER($AS$80:$AZ$80)="(BLANK)")+(UPPER($AS$80:$AZ$80)="EMPTY")+(UPPER($AS$80:$AZ$80)="(EMPTY)"))&gt;0,IFERROR(('Final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Sheet'!$T$40)&amp;"","")))))&gt;0),IF(COUNTIF($BI$80:$BP$80,6)=0,TRUE,SUMPRODUCT(($BI$80:$BP$80=6)*($AS$80:$AZ$80&lt;&gt;"")*IF(((UPPER($AS$80:$AZ$80)="BLANK")+(UPPER($AS$80:$AZ$80)="(BLANK)")+(UPPER($AS$80:$AZ$80)="EMPTY")+(UPPER($AS$80:$AZ$80)="(EMPTY)"))&gt;0,IFERROR(('Final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Sheet'!$T$40)&amp;"","")))))&gt;0),IF(COUNTIF($BI$80:$BP$80,7)=0,TRUE,SUMPRODUCT(($BI$80:$BP$80=7)*($AS$80:$AZ$80&lt;&gt;"")*IF(((UPPER($AS$80:$AZ$80)="BLANK")+(UPPER($AS$80:$AZ$80)="(BLANK)")+(UPPER($AS$80:$AZ$80)="EMPTY")+(UPPER($AS$80:$AZ$80)="(EMPTY)"))&gt;0,IFERROR(('Final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Sheet'!$T$40)&amp;"","")))))&gt;0),IF(COUNTIF($BI$80:$BP$80,8)=0,TRUE,SUMPRODUCT(($BI$80:$BP$80=8)*($AS$80:$AZ$80&lt;&gt;"")*IF(((UPPER($AS$80:$AZ$80)="BLANK")+(UPPER($AS$80:$AZ$80)="(BLANK)")+(UPPER($AS$80:$AZ$80)="EMPTY")+(UPPER($AS$80:$AZ$80)="(EMPTY)"))&gt;0,IFERROR(('Final Calculation Sheet'!$T$40)&amp;"","")="",ISNUMBER(SEARCH($AS$80:$AZ$80,IFERROR(('Final Calculation Sheet'!$T$40)&amp;"","")))))&gt;0))))</f>
        <v>1</v>
      </c>
      <c r="CH41">
        <f>IF($V$4="",1,--(AND(SUMPRODUCT(--($AS$81:$AZ$81&lt;&gt;""))&gt;0,IF(COUNTIF($BI$81:$BP$81,1)=0,TRUE,SUMPRODUCT(($BI$81:$BP$81=1)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Sheet'!$U$40)&amp;"","")))))&gt;0),IF(COUNTIF($BI$81:$BP$81,2)=0,TRUE,SUMPRODUCT(($BI$81:$BP$81=2)*($AS$81:$AZ$81&lt;&gt;"")*IF(((UPPER($AS$81:$AZ$81)="BLANK")+(UPPER($AS$81:$AZ$81)="(BLANK)")+(UPPER($AS$81:$AZ$81)="EMPTY")+(UPPER($AS$81:$AZ$81)="(EMPTY)"))&gt;0,IFERROR(('Final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Sheet'!$U$40)&amp;"","")))))&gt;0),IF(COUNTIF($BI$81:$BP$81,3)=0,TRUE,SUMPRODUCT(($BI$81:$BP$81=3)*($AS$81:$AZ$81&lt;&gt;"")*IF(((UPPER($AS$81:$AZ$81)="BLANK")+(UPPER($AS$81:$AZ$81)="(BLANK)")+(UPPER($AS$81:$AZ$81)="EMPTY")+(UPPER($AS$81:$AZ$81)="(EMPTY)"))&gt;0,IFERROR(('Final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Sheet'!$U$40)&amp;"","")))))&gt;0),IF(COUNTIF($BI$81:$BP$81,4)=0,TRUE,SUMPRODUCT(($BI$81:$BP$81=4)*($AS$81:$AZ$81&lt;&gt;"")*IF(((UPPER($AS$81:$AZ$81)="BLANK")+(UPPER($AS$81:$AZ$81)="(BLANK)")+(UPPER($AS$81:$AZ$81)="EMPTY")+(UPPER($AS$81:$AZ$81)="(EMPTY)"))&gt;0,IFERROR(('Final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Sheet'!$U$40)&amp;"","")))))&gt;0),IF(COUNTIF($BI$81:$BP$81,5)=0,TRUE,SUMPRODUCT(($BI$81:$BP$81=5)*($AS$81:$AZ$81&lt;&gt;"")*IF(((UPPER($AS$81:$AZ$81)="BLANK")+(UPPER($AS$81:$AZ$81)="(BLANK)")+(UPPER($AS$81:$AZ$81)="EMPTY")+(UPPER($AS$81:$AZ$81)="(EMPTY)"))&gt;0,IFERROR(('Final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Sheet'!$U$40)&amp;"","")))))&gt;0),IF(COUNTIF($BI$81:$BP$81,6)=0,TRUE,SUMPRODUCT(($BI$81:$BP$81=6)*($AS$81:$AZ$81&lt;&gt;"")*IF(((UPPER($AS$81:$AZ$81)="BLANK")+(UPPER($AS$81:$AZ$81)="(BLANK)")+(UPPER($AS$81:$AZ$81)="EMPTY")+(UPPER($AS$81:$AZ$81)="(EMPTY)"))&gt;0,IFERROR(('Final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Sheet'!$U$40)&amp;"","")))))&gt;0),IF(COUNTIF($BI$81:$BP$81,7)=0,TRUE,SUMPRODUCT(($BI$81:$BP$81=7)*($AS$81:$AZ$81&lt;&gt;"")*IF(((UPPER($AS$81:$AZ$81)="BLANK")+(UPPER($AS$81:$AZ$81)="(BLANK)")+(UPPER($AS$81:$AZ$81)="EMPTY")+(UPPER($AS$81:$AZ$81)="(EMPTY)"))&gt;0,IFERROR(('Final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Sheet'!$U$40)&amp;"","")))))&gt;0),IF(COUNTIF($BI$81:$BP$81,8)=0,TRUE,SUMPRODUCT(($BI$81:$BP$81=8)*($AS$81:$AZ$81&lt;&gt;"")*IF(((UPPER($AS$81:$AZ$81)="BLANK")+(UPPER($AS$81:$AZ$81)="(BLANK)")+(UPPER($AS$81:$AZ$81)="EMPTY")+(UPPER($AS$81:$AZ$81)="(EMPTY)"))&gt;0,IFERROR(('Final Calculation Sheet'!$U$40)&amp;"","")="",ISNUMBER(SEARCH($AS$81:$AZ$81,IFERROR(('Final Calculation Sheet'!$U$40)&amp;"","")))))&gt;0))))</f>
        <v>1</v>
      </c>
      <c r="CI41">
        <f>IF($W$4="",1,--(AND(SUMPRODUCT(--($AS$82:$AZ$82&lt;&gt;""))&gt;0,IF(COUNTIF($BI$82:$BP$82,1)=0,TRUE,SUMPRODUCT(($BI$82:$BP$82=1)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Sheet'!$V$40)&amp;"","")))))&gt;0),IF(COUNTIF($BI$82:$BP$82,2)=0,TRUE,SUMPRODUCT(($BI$82:$BP$82=2)*($AS$82:$AZ$82&lt;&gt;"")*IF(((UPPER($AS$82:$AZ$82)="BLANK")+(UPPER($AS$82:$AZ$82)="(BLANK)")+(UPPER($AS$82:$AZ$82)="EMPTY")+(UPPER($AS$82:$AZ$82)="(EMPTY)"))&gt;0,IFERROR(('Final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Sheet'!$V$40)&amp;"","")))))&gt;0),IF(COUNTIF($BI$82:$BP$82,3)=0,TRUE,SUMPRODUCT(($BI$82:$BP$82=3)*($AS$82:$AZ$82&lt;&gt;"")*IF(((UPPER($AS$82:$AZ$82)="BLANK")+(UPPER($AS$82:$AZ$82)="(BLANK)")+(UPPER($AS$82:$AZ$82)="EMPTY")+(UPPER($AS$82:$AZ$82)="(EMPTY)"))&gt;0,IFERROR(('Final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Sheet'!$V$40)&amp;"","")))))&gt;0),IF(COUNTIF($BI$82:$BP$82,4)=0,TRUE,SUMPRODUCT(($BI$82:$BP$82=4)*($AS$82:$AZ$82&lt;&gt;"")*IF(((UPPER($AS$82:$AZ$82)="BLANK")+(UPPER($AS$82:$AZ$82)="(BLANK)")+(UPPER($AS$82:$AZ$82)="EMPTY")+(UPPER($AS$82:$AZ$82)="(EMPTY)"))&gt;0,IFERROR(('Final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Sheet'!$V$40)&amp;"","")))))&gt;0),IF(COUNTIF($BI$82:$BP$82,5)=0,TRUE,SUMPRODUCT(($BI$82:$BP$82=5)*($AS$82:$AZ$82&lt;&gt;"")*IF(((UPPER($AS$82:$AZ$82)="BLANK")+(UPPER($AS$82:$AZ$82)="(BLANK)")+(UPPER($AS$82:$AZ$82)="EMPTY")+(UPPER($AS$82:$AZ$82)="(EMPTY)"))&gt;0,IFERROR(('Final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Sheet'!$V$40)&amp;"","")))))&gt;0),IF(COUNTIF($BI$82:$BP$82,6)=0,TRUE,SUMPRODUCT(($BI$82:$BP$82=6)*($AS$82:$AZ$82&lt;&gt;"")*IF(((UPPER($AS$82:$AZ$82)="BLANK")+(UPPER($AS$82:$AZ$82)="(BLANK)")+(UPPER($AS$82:$AZ$82)="EMPTY")+(UPPER($AS$82:$AZ$82)="(EMPTY)"))&gt;0,IFERROR(('Final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Sheet'!$V$40)&amp;"","")))))&gt;0),IF(COUNTIF($BI$82:$BP$82,7)=0,TRUE,SUMPRODUCT(($BI$82:$BP$82=7)*($AS$82:$AZ$82&lt;&gt;"")*IF(((UPPER($AS$82:$AZ$82)="BLANK")+(UPPER($AS$82:$AZ$82)="(BLANK)")+(UPPER($AS$82:$AZ$82)="EMPTY")+(UPPER($AS$82:$AZ$82)="(EMPTY)"))&gt;0,IFERROR(('Final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Sheet'!$V$40)&amp;"","")))))&gt;0),IF(COUNTIF($BI$82:$BP$82,8)=0,TRUE,SUMPRODUCT(($BI$82:$BP$82=8)*($AS$82:$AZ$82&lt;&gt;"")*IF(((UPPER($AS$82:$AZ$82)="BLANK")+(UPPER($AS$82:$AZ$82)="(BLANK)")+(UPPER($AS$82:$AZ$82)="EMPTY")+(UPPER($AS$82:$AZ$82)="(EMPTY)"))&gt;0,IFERROR(('Final Calculation Sheet'!$V$40)&amp;"","")="",ISNUMBER(SEARCH($AS$82:$AZ$82,IFERROR(('Final Calculation Sheet'!$V$40)&amp;"","")))))&gt;0))))</f>
        <v>1</v>
      </c>
      <c r="CJ41">
        <f>IF($X$4="",1,--(AND(SUMPRODUCT(--($AS$83:$AZ$83&lt;&gt;""))&gt;0,IF(COUNTIF($BI$83:$BP$83,1)=0,TRUE,SUMPRODUCT(($BI$83:$BP$83=1)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Sheet'!$W$40)&amp;"","")))))&gt;0),IF(COUNTIF($BI$83:$BP$83,2)=0,TRUE,SUMPRODUCT(($BI$83:$BP$83=2)*($AS$83:$AZ$83&lt;&gt;"")*IF(((UPPER($AS$83:$AZ$83)="BLANK")+(UPPER($AS$83:$AZ$83)="(BLANK)")+(UPPER($AS$83:$AZ$83)="EMPTY")+(UPPER($AS$83:$AZ$83)="(EMPTY)"))&gt;0,IFERROR(('Final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Sheet'!$W$40)&amp;"","")))))&gt;0),IF(COUNTIF($BI$83:$BP$83,3)=0,TRUE,SUMPRODUCT(($BI$83:$BP$83=3)*($AS$83:$AZ$83&lt;&gt;"")*IF(((UPPER($AS$83:$AZ$83)="BLANK")+(UPPER($AS$83:$AZ$83)="(BLANK)")+(UPPER($AS$83:$AZ$83)="EMPTY")+(UPPER($AS$83:$AZ$83)="(EMPTY)"))&gt;0,IFERROR(('Final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Sheet'!$W$40)&amp;"","")))))&gt;0),IF(COUNTIF($BI$83:$BP$83,4)=0,TRUE,SUMPRODUCT(($BI$83:$BP$83=4)*($AS$83:$AZ$83&lt;&gt;"")*IF(((UPPER($AS$83:$AZ$83)="BLANK")+(UPPER($AS$83:$AZ$83)="(BLANK)")+(UPPER($AS$83:$AZ$83)="EMPTY")+(UPPER($AS$83:$AZ$83)="(EMPTY)"))&gt;0,IFERROR(('Final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Sheet'!$W$40)&amp;"","")))))&gt;0),IF(COUNTIF($BI$83:$BP$83,5)=0,TRUE,SUMPRODUCT(($BI$83:$BP$83=5)*($AS$83:$AZ$83&lt;&gt;"")*IF(((UPPER($AS$83:$AZ$83)="BLANK")+(UPPER($AS$83:$AZ$83)="(BLANK)")+(UPPER($AS$83:$AZ$83)="EMPTY")+(UPPER($AS$83:$AZ$83)="(EMPTY)"))&gt;0,IFERROR(('Final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Sheet'!$W$40)&amp;"","")))))&gt;0),IF(COUNTIF($BI$83:$BP$83,6)=0,TRUE,SUMPRODUCT(($BI$83:$BP$83=6)*($AS$83:$AZ$83&lt;&gt;"")*IF(((UPPER($AS$83:$AZ$83)="BLANK")+(UPPER($AS$83:$AZ$83)="(BLANK)")+(UPPER($AS$83:$AZ$83)="EMPTY")+(UPPER($AS$83:$AZ$83)="(EMPTY)"))&gt;0,IFERROR(('Final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Sheet'!$W$40)&amp;"","")))))&gt;0),IF(COUNTIF($BI$83:$BP$83,7)=0,TRUE,SUMPRODUCT(($BI$83:$BP$83=7)*($AS$83:$AZ$83&lt;&gt;"")*IF(((UPPER($AS$83:$AZ$83)="BLANK")+(UPPER($AS$83:$AZ$83)="(BLANK)")+(UPPER($AS$83:$AZ$83)="EMPTY")+(UPPER($AS$83:$AZ$83)="(EMPTY)"))&gt;0,IFERROR(('Final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Sheet'!$W$40)&amp;"","")))))&gt;0),IF(COUNTIF($BI$83:$BP$83,8)=0,TRUE,SUMPRODUCT(($BI$83:$BP$83=8)*($AS$83:$AZ$83&lt;&gt;"")*IF(((UPPER($AS$83:$AZ$83)="BLANK")+(UPPER($AS$83:$AZ$83)="(BLANK)")+(UPPER($AS$83:$AZ$83)="EMPTY")+(UPPER($AS$83:$AZ$83)="(EMPTY)"))&gt;0,IFERROR(('Final Calculation Sheet'!$W$40)&amp;"","")="",ISNUMBER(SEARCH($AS$83:$AZ$83,IFERROR(('Final Calculation Sheet'!$W$40)&amp;"","")))))&gt;0))))</f>
        <v>1</v>
      </c>
      <c r="CK41">
        <f>IF($Y$4="",1,--(AND(SUMPRODUCT(--($AS$84:$AZ$84&lt;&gt;""))&gt;0,IF(COUNTIF($BI$84:$BP$84,1)=0,TRUE,SUMPRODUCT(($BI$84:$BP$84=1)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Sheet'!$X$40)&amp;"","")))))&gt;0),IF(COUNTIF($BI$84:$BP$84,2)=0,TRUE,SUMPRODUCT(($BI$84:$BP$84=2)*($AS$84:$AZ$84&lt;&gt;"")*IF(((UPPER($AS$84:$AZ$84)="BLANK")+(UPPER($AS$84:$AZ$84)="(BLANK)")+(UPPER($AS$84:$AZ$84)="EMPTY")+(UPPER($AS$84:$AZ$84)="(EMPTY)"))&gt;0,IFERROR(('Final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Sheet'!$X$40)&amp;"","")))))&gt;0),IF(COUNTIF($BI$84:$BP$84,3)=0,TRUE,SUMPRODUCT(($BI$84:$BP$84=3)*($AS$84:$AZ$84&lt;&gt;"")*IF(((UPPER($AS$84:$AZ$84)="BLANK")+(UPPER($AS$84:$AZ$84)="(BLANK)")+(UPPER($AS$84:$AZ$84)="EMPTY")+(UPPER($AS$84:$AZ$84)="(EMPTY)"))&gt;0,IFERROR(('Final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Sheet'!$X$40)&amp;"","")))))&gt;0),IF(COUNTIF($BI$84:$BP$84,4)=0,TRUE,SUMPRODUCT(($BI$84:$BP$84=4)*($AS$84:$AZ$84&lt;&gt;"")*IF(((UPPER($AS$84:$AZ$84)="BLANK")+(UPPER($AS$84:$AZ$84)="(BLANK)")+(UPPER($AS$84:$AZ$84)="EMPTY")+(UPPER($AS$84:$AZ$84)="(EMPTY)"))&gt;0,IFERROR(('Final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Sheet'!$X$40)&amp;"","")))))&gt;0),IF(COUNTIF($BI$84:$BP$84,5)=0,TRUE,SUMPRODUCT(($BI$84:$BP$84=5)*($AS$84:$AZ$84&lt;&gt;"")*IF(((UPPER($AS$84:$AZ$84)="BLANK")+(UPPER($AS$84:$AZ$84)="(BLANK)")+(UPPER($AS$84:$AZ$84)="EMPTY")+(UPPER($AS$84:$AZ$84)="(EMPTY)"))&gt;0,IFERROR(('Final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Sheet'!$X$40)&amp;"","")))))&gt;0),IF(COUNTIF($BI$84:$BP$84,6)=0,TRUE,SUMPRODUCT(($BI$84:$BP$84=6)*($AS$84:$AZ$84&lt;&gt;"")*IF(((UPPER($AS$84:$AZ$84)="BLANK")+(UPPER($AS$84:$AZ$84)="(BLANK)")+(UPPER($AS$84:$AZ$84)="EMPTY")+(UPPER($AS$84:$AZ$84)="(EMPTY)"))&gt;0,IFERROR(('Final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Sheet'!$X$40)&amp;"","")))))&gt;0),IF(COUNTIF($BI$84:$BP$84,7)=0,TRUE,SUMPRODUCT(($BI$84:$BP$84=7)*($AS$84:$AZ$84&lt;&gt;"")*IF(((UPPER($AS$84:$AZ$84)="BLANK")+(UPPER($AS$84:$AZ$84)="(BLANK)")+(UPPER($AS$84:$AZ$84)="EMPTY")+(UPPER($AS$84:$AZ$84)="(EMPTY)"))&gt;0,IFERROR(('Final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Sheet'!$X$40)&amp;"","")))))&gt;0),IF(COUNTIF($BI$84:$BP$84,8)=0,TRUE,SUMPRODUCT(($BI$84:$BP$84=8)*($AS$84:$AZ$84&lt;&gt;"")*IF(((UPPER($AS$84:$AZ$84)="BLANK")+(UPPER($AS$84:$AZ$84)="(BLANK)")+(UPPER($AS$84:$AZ$84)="EMPTY")+(UPPER($AS$84:$AZ$84)="(EMPTY)"))&gt;0,IFERROR(('Final Calculation Sheet'!$X$40)&amp;"","")="",ISNUMBER(SEARCH($AS$84:$AZ$84,IFERROR(('Final Calculation Sheet'!$X$40)&amp;"","")))))&gt;0))))</f>
        <v>1</v>
      </c>
      <c r="CL41">
        <f>IF($Z$4="",1,--(AND(SUMPRODUCT(--($AS$85:$AZ$85&lt;&gt;""))&gt;0,IF(COUNTIF($BI$85:$BP$85,1)=0,TRUE,SUMPRODUCT(($BI$85:$BP$85=1)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Sheet'!$Y$40)&amp;"","")))))&gt;0),IF(COUNTIF($BI$85:$BP$85,2)=0,TRUE,SUMPRODUCT(($BI$85:$BP$85=2)*($AS$85:$AZ$85&lt;&gt;"")*IF(((UPPER($AS$85:$AZ$85)="BLANK")+(UPPER($AS$85:$AZ$85)="(BLANK)")+(UPPER($AS$85:$AZ$85)="EMPTY")+(UPPER($AS$85:$AZ$85)="(EMPTY)"))&gt;0,IFERROR(('Final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Sheet'!$Y$40)&amp;"","")))))&gt;0),IF(COUNTIF($BI$85:$BP$85,3)=0,TRUE,SUMPRODUCT(($BI$85:$BP$85=3)*($AS$85:$AZ$85&lt;&gt;"")*IF(((UPPER($AS$85:$AZ$85)="BLANK")+(UPPER($AS$85:$AZ$85)="(BLANK)")+(UPPER($AS$85:$AZ$85)="EMPTY")+(UPPER($AS$85:$AZ$85)="(EMPTY)"))&gt;0,IFERROR(('Final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Sheet'!$Y$40)&amp;"","")))))&gt;0),IF(COUNTIF($BI$85:$BP$85,4)=0,TRUE,SUMPRODUCT(($BI$85:$BP$85=4)*($AS$85:$AZ$85&lt;&gt;"")*IF(((UPPER($AS$85:$AZ$85)="BLANK")+(UPPER($AS$85:$AZ$85)="(BLANK)")+(UPPER($AS$85:$AZ$85)="EMPTY")+(UPPER($AS$85:$AZ$85)="(EMPTY)"))&gt;0,IFERROR(('Final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Sheet'!$Y$40)&amp;"","")))))&gt;0),IF(COUNTIF($BI$85:$BP$85,5)=0,TRUE,SUMPRODUCT(($BI$85:$BP$85=5)*($AS$85:$AZ$85&lt;&gt;"")*IF(((UPPER($AS$85:$AZ$85)="BLANK")+(UPPER($AS$85:$AZ$85)="(BLANK)")+(UPPER($AS$85:$AZ$85)="EMPTY")+(UPPER($AS$85:$AZ$85)="(EMPTY)"))&gt;0,IFERROR(('Final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Sheet'!$Y$40)&amp;"","")))))&gt;0),IF(COUNTIF($BI$85:$BP$85,6)=0,TRUE,SUMPRODUCT(($BI$85:$BP$85=6)*($AS$85:$AZ$85&lt;&gt;"")*IF(((UPPER($AS$85:$AZ$85)="BLANK")+(UPPER($AS$85:$AZ$85)="(BLANK)")+(UPPER($AS$85:$AZ$85)="EMPTY")+(UPPER($AS$85:$AZ$85)="(EMPTY)"))&gt;0,IFERROR(('Final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Sheet'!$Y$40)&amp;"","")))))&gt;0),IF(COUNTIF($BI$85:$BP$85,7)=0,TRUE,SUMPRODUCT(($BI$85:$BP$85=7)*($AS$85:$AZ$85&lt;&gt;"")*IF(((UPPER($AS$85:$AZ$85)="BLANK")+(UPPER($AS$85:$AZ$85)="(BLANK)")+(UPPER($AS$85:$AZ$85)="EMPTY")+(UPPER($AS$85:$AZ$85)="(EMPTY)"))&gt;0,IFERROR(('Final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Sheet'!$Y$40)&amp;"","")))))&gt;0),IF(COUNTIF($BI$85:$BP$85,8)=0,TRUE,SUMPRODUCT(($BI$85:$BP$85=8)*($AS$85:$AZ$85&lt;&gt;"")*IF(((UPPER($AS$85:$AZ$85)="BLANK")+(UPPER($AS$85:$AZ$85)="(BLANK)")+(UPPER($AS$85:$AZ$85)="EMPTY")+(UPPER($AS$85:$AZ$85)="(EMPTY)"))&gt;0,IFERROR(('Final Calculation Sheet'!$Y$40)&amp;"","")="",ISNUMBER(SEARCH($AS$85:$AZ$85,IFERROR(('Final Calculation Sheet'!$Y$40)&amp;"","")))))&gt;0))))</f>
        <v>1</v>
      </c>
      <c r="CM41">
        <f>IF($AA$4="",1,--(AND(SUMPRODUCT(--($AS$86:$AZ$86&lt;&gt;""))&gt;0,IF(COUNTIF($BI$86:$BP$86,1)=0,TRUE,SUMPRODUCT(($BI$86:$BP$86=1)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Sheet'!$Z$40)&amp;"","")))))&gt;0),IF(COUNTIF($BI$86:$BP$86,2)=0,TRUE,SUMPRODUCT(($BI$86:$BP$86=2)*($AS$86:$AZ$86&lt;&gt;"")*IF(((UPPER($AS$86:$AZ$86)="BLANK")+(UPPER($AS$86:$AZ$86)="(BLANK)")+(UPPER($AS$86:$AZ$86)="EMPTY")+(UPPER($AS$86:$AZ$86)="(EMPTY)"))&gt;0,IFERROR(('Final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Sheet'!$Z$40)&amp;"","")))))&gt;0),IF(COUNTIF($BI$86:$BP$86,3)=0,TRUE,SUMPRODUCT(($BI$86:$BP$86=3)*($AS$86:$AZ$86&lt;&gt;"")*IF(((UPPER($AS$86:$AZ$86)="BLANK")+(UPPER($AS$86:$AZ$86)="(BLANK)")+(UPPER($AS$86:$AZ$86)="EMPTY")+(UPPER($AS$86:$AZ$86)="(EMPTY)"))&gt;0,IFERROR(('Final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Sheet'!$Z$40)&amp;"","")))))&gt;0),IF(COUNTIF($BI$86:$BP$86,4)=0,TRUE,SUMPRODUCT(($BI$86:$BP$86=4)*($AS$86:$AZ$86&lt;&gt;"")*IF(((UPPER($AS$86:$AZ$86)="BLANK")+(UPPER($AS$86:$AZ$86)="(BLANK)")+(UPPER($AS$86:$AZ$86)="EMPTY")+(UPPER($AS$86:$AZ$86)="(EMPTY)"))&gt;0,IFERROR(('Final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Sheet'!$Z$40)&amp;"","")))))&gt;0),IF(COUNTIF($BI$86:$BP$86,5)=0,TRUE,SUMPRODUCT(($BI$86:$BP$86=5)*($AS$86:$AZ$86&lt;&gt;"")*IF(((UPPER($AS$86:$AZ$86)="BLANK")+(UPPER($AS$86:$AZ$86)="(BLANK)")+(UPPER($AS$86:$AZ$86)="EMPTY")+(UPPER($AS$86:$AZ$86)="(EMPTY)"))&gt;0,IFERROR(('Final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Sheet'!$Z$40)&amp;"","")))))&gt;0),IF(COUNTIF($BI$86:$BP$86,6)=0,TRUE,SUMPRODUCT(($BI$86:$BP$86=6)*($AS$86:$AZ$86&lt;&gt;"")*IF(((UPPER($AS$86:$AZ$86)="BLANK")+(UPPER($AS$86:$AZ$86)="(BLANK)")+(UPPER($AS$86:$AZ$86)="EMPTY")+(UPPER($AS$86:$AZ$86)="(EMPTY)"))&gt;0,IFERROR(('Final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Sheet'!$Z$40)&amp;"","")))))&gt;0),IF(COUNTIF($BI$86:$BP$86,7)=0,TRUE,SUMPRODUCT(($BI$86:$BP$86=7)*($AS$86:$AZ$86&lt;&gt;"")*IF(((UPPER($AS$86:$AZ$86)="BLANK")+(UPPER($AS$86:$AZ$86)="(BLANK)")+(UPPER($AS$86:$AZ$86)="EMPTY")+(UPPER($AS$86:$AZ$86)="(EMPTY)"))&gt;0,IFERROR(('Final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Sheet'!$Z$40)&amp;"","")))))&gt;0),IF(COUNTIF($BI$86:$BP$86,8)=0,TRUE,SUMPRODUCT(($BI$86:$BP$86=8)*($AS$86:$AZ$86&lt;&gt;"")*IF(((UPPER($AS$86:$AZ$86)="BLANK")+(UPPER($AS$86:$AZ$86)="(BLANK)")+(UPPER($AS$86:$AZ$86)="EMPTY")+(UPPER($AS$86:$AZ$86)="(EMPTY)"))&gt;0,IFERROR(('Final Calculation Sheet'!$Z$40)&amp;"","")="",ISNUMBER(SEARCH($AS$86:$AZ$86,IFERROR(('Final Calculation Sheet'!$Z$40)&amp;"","")))))&gt;0))))</f>
        <v>1</v>
      </c>
      <c r="CN41">
        <f>IF($AB$4="",1,--(AND(SUMPRODUCT(--($AS$87:$AZ$87&lt;&gt;""))&gt;0,IF(COUNTIF($BI$87:$BP$87,1)=0,TRUE,SUMPRODUCT(($BI$87:$BP$87=1)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Sheet'!$AA$40)&amp;"","")))))&gt;0),IF(COUNTIF($BI$87:$BP$87,2)=0,TRUE,SUMPRODUCT(($BI$87:$BP$87=2)*($AS$87:$AZ$87&lt;&gt;"")*IF(((UPPER($AS$87:$AZ$87)="BLANK")+(UPPER($AS$87:$AZ$87)="(BLANK)")+(UPPER($AS$87:$AZ$87)="EMPTY")+(UPPER($AS$87:$AZ$87)="(EMPTY)"))&gt;0,IFERROR(('Final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Sheet'!$AA$40)&amp;"","")))))&gt;0),IF(COUNTIF($BI$87:$BP$87,3)=0,TRUE,SUMPRODUCT(($BI$87:$BP$87=3)*($AS$87:$AZ$87&lt;&gt;"")*IF(((UPPER($AS$87:$AZ$87)="BLANK")+(UPPER($AS$87:$AZ$87)="(BLANK)")+(UPPER($AS$87:$AZ$87)="EMPTY")+(UPPER($AS$87:$AZ$87)="(EMPTY)"))&gt;0,IFERROR(('Final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Sheet'!$AA$40)&amp;"","")))))&gt;0),IF(COUNTIF($BI$87:$BP$87,4)=0,TRUE,SUMPRODUCT(($BI$87:$BP$87=4)*($AS$87:$AZ$87&lt;&gt;"")*IF(((UPPER($AS$87:$AZ$87)="BLANK")+(UPPER($AS$87:$AZ$87)="(BLANK)")+(UPPER($AS$87:$AZ$87)="EMPTY")+(UPPER($AS$87:$AZ$87)="(EMPTY)"))&gt;0,IFERROR(('Final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Sheet'!$AA$40)&amp;"","")))))&gt;0),IF(COUNTIF($BI$87:$BP$87,5)=0,TRUE,SUMPRODUCT(($BI$87:$BP$87=5)*($AS$87:$AZ$87&lt;&gt;"")*IF(((UPPER($AS$87:$AZ$87)="BLANK")+(UPPER($AS$87:$AZ$87)="(BLANK)")+(UPPER($AS$87:$AZ$87)="EMPTY")+(UPPER($AS$87:$AZ$87)="(EMPTY)"))&gt;0,IFERROR(('Final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Sheet'!$AA$40)&amp;"","")))))&gt;0),IF(COUNTIF($BI$87:$BP$87,6)=0,TRUE,SUMPRODUCT(($BI$87:$BP$87=6)*($AS$87:$AZ$87&lt;&gt;"")*IF(((UPPER($AS$87:$AZ$87)="BLANK")+(UPPER($AS$87:$AZ$87)="(BLANK)")+(UPPER($AS$87:$AZ$87)="EMPTY")+(UPPER($AS$87:$AZ$87)="(EMPTY)"))&gt;0,IFERROR(('Final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Sheet'!$AA$40)&amp;"","")))))&gt;0),IF(COUNTIF($BI$87:$BP$87,7)=0,TRUE,SUMPRODUCT(($BI$87:$BP$87=7)*($AS$87:$AZ$87&lt;&gt;"")*IF(((UPPER($AS$87:$AZ$87)="BLANK")+(UPPER($AS$87:$AZ$87)="(BLANK)")+(UPPER($AS$87:$AZ$87)="EMPTY")+(UPPER($AS$87:$AZ$87)="(EMPTY)"))&gt;0,IFERROR(('Final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Sheet'!$AA$40)&amp;"","")))))&gt;0),IF(COUNTIF($BI$87:$BP$87,8)=0,TRUE,SUMPRODUCT(($BI$87:$BP$87=8)*($AS$87:$AZ$87&lt;&gt;"")*IF(((UPPER($AS$87:$AZ$87)="BLANK")+(UPPER($AS$87:$AZ$87)="(BLANK)")+(UPPER($AS$87:$AZ$87)="EMPTY")+(UPPER($AS$87:$AZ$87)="(EMPTY)"))&gt;0,IFERROR(('Final Calculation Sheet'!$AA$40)&amp;"","")="",ISNUMBER(SEARCH($AS$87:$AZ$87,IFERROR(('Final Calculation Sheet'!$AA$40)&amp;"","")))))&gt;0))))</f>
        <v>1</v>
      </c>
      <c r="CO41">
        <f>IF($AC$4="",1,--(AND(SUMPRODUCT(--($AS$88:$AZ$88&lt;&gt;""))&gt;0,IF(COUNTIF($BI$88:$BP$88,1)=0,TRUE,SUMPRODUCT(($BI$88:$BP$88=1)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Sheet'!$AB$40)&amp;"","")))))&gt;0),IF(COUNTIF($BI$88:$BP$88,2)=0,TRUE,SUMPRODUCT(($BI$88:$BP$88=2)*($AS$88:$AZ$88&lt;&gt;"")*IF(((UPPER($AS$88:$AZ$88)="BLANK")+(UPPER($AS$88:$AZ$88)="(BLANK)")+(UPPER($AS$88:$AZ$88)="EMPTY")+(UPPER($AS$88:$AZ$88)="(EMPTY)"))&gt;0,IFERROR(('Final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Sheet'!$AB$40)&amp;"","")))))&gt;0),IF(COUNTIF($BI$88:$BP$88,3)=0,TRUE,SUMPRODUCT(($BI$88:$BP$88=3)*($AS$88:$AZ$88&lt;&gt;"")*IF(((UPPER($AS$88:$AZ$88)="BLANK")+(UPPER($AS$88:$AZ$88)="(BLANK)")+(UPPER($AS$88:$AZ$88)="EMPTY")+(UPPER($AS$88:$AZ$88)="(EMPTY)"))&gt;0,IFERROR(('Final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Sheet'!$AB$40)&amp;"","")))))&gt;0),IF(COUNTIF($BI$88:$BP$88,4)=0,TRUE,SUMPRODUCT(($BI$88:$BP$88=4)*($AS$88:$AZ$88&lt;&gt;"")*IF(((UPPER($AS$88:$AZ$88)="BLANK")+(UPPER($AS$88:$AZ$88)="(BLANK)")+(UPPER($AS$88:$AZ$88)="EMPTY")+(UPPER($AS$88:$AZ$88)="(EMPTY)"))&gt;0,IFERROR(('Final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Sheet'!$AB$40)&amp;"","")))))&gt;0),IF(COUNTIF($BI$88:$BP$88,5)=0,TRUE,SUMPRODUCT(($BI$88:$BP$88=5)*($AS$88:$AZ$88&lt;&gt;"")*IF(((UPPER($AS$88:$AZ$88)="BLANK")+(UPPER($AS$88:$AZ$88)="(BLANK)")+(UPPER($AS$88:$AZ$88)="EMPTY")+(UPPER($AS$88:$AZ$88)="(EMPTY)"))&gt;0,IFERROR(('Final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Sheet'!$AB$40)&amp;"","")))))&gt;0),IF(COUNTIF($BI$88:$BP$88,6)=0,TRUE,SUMPRODUCT(($BI$88:$BP$88=6)*($AS$88:$AZ$88&lt;&gt;"")*IF(((UPPER($AS$88:$AZ$88)="BLANK")+(UPPER($AS$88:$AZ$88)="(BLANK)")+(UPPER($AS$88:$AZ$88)="EMPTY")+(UPPER($AS$88:$AZ$88)="(EMPTY)"))&gt;0,IFERROR(('Final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Sheet'!$AB$40)&amp;"","")))))&gt;0),IF(COUNTIF($BI$88:$BP$88,7)=0,TRUE,SUMPRODUCT(($BI$88:$BP$88=7)*($AS$88:$AZ$88&lt;&gt;"")*IF(((UPPER($AS$88:$AZ$88)="BLANK")+(UPPER($AS$88:$AZ$88)="(BLANK)")+(UPPER($AS$88:$AZ$88)="EMPTY")+(UPPER($AS$88:$AZ$88)="(EMPTY)"))&gt;0,IFERROR(('Final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Sheet'!$AB$40)&amp;"","")))))&gt;0),IF(COUNTIF($BI$88:$BP$88,8)=0,TRUE,SUMPRODUCT(($BI$88:$BP$88=8)*($AS$88:$AZ$88&lt;&gt;"")*IF(((UPPER($AS$88:$AZ$88)="BLANK")+(UPPER($AS$88:$AZ$88)="(BLANK)")+(UPPER($AS$88:$AZ$88)="EMPTY")+(UPPER($AS$88:$AZ$88)="(EMPTY)"))&gt;0,IFERROR(('Final Calculation Sheet'!$AB$40)&amp;"","")="",ISNUMBER(SEARCH($AS$88:$AZ$88,IFERROR(('Final Calculation Sheet'!$AB$40)&amp;"","")))))&gt;0))))</f>
        <v>1</v>
      </c>
      <c r="CP41">
        <f>IF($AD$4="",1,--(AND(SUMPRODUCT(--($AS$89:$AZ$89&lt;&gt;""))&gt;0,IF(COUNTIF($BI$89:$BP$89,1)=0,TRUE,SUMPRODUCT(($BI$89:$BP$89=1)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Sheet'!$AC$40)&amp;"","")))))&gt;0),IF(COUNTIF($BI$89:$BP$89,2)=0,TRUE,SUMPRODUCT(($BI$89:$BP$89=2)*($AS$89:$AZ$89&lt;&gt;"")*IF(((UPPER($AS$89:$AZ$89)="BLANK")+(UPPER($AS$89:$AZ$89)="(BLANK)")+(UPPER($AS$89:$AZ$89)="EMPTY")+(UPPER($AS$89:$AZ$89)="(EMPTY)"))&gt;0,IFERROR(('Final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Sheet'!$AC$40)&amp;"","")))))&gt;0),IF(COUNTIF($BI$89:$BP$89,3)=0,TRUE,SUMPRODUCT(($BI$89:$BP$89=3)*($AS$89:$AZ$89&lt;&gt;"")*IF(((UPPER($AS$89:$AZ$89)="BLANK")+(UPPER($AS$89:$AZ$89)="(BLANK)")+(UPPER($AS$89:$AZ$89)="EMPTY")+(UPPER($AS$89:$AZ$89)="(EMPTY)"))&gt;0,IFERROR(('Final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Sheet'!$AC$40)&amp;"","")))))&gt;0),IF(COUNTIF($BI$89:$BP$89,4)=0,TRUE,SUMPRODUCT(($BI$89:$BP$89=4)*($AS$89:$AZ$89&lt;&gt;"")*IF(((UPPER($AS$89:$AZ$89)="BLANK")+(UPPER($AS$89:$AZ$89)="(BLANK)")+(UPPER($AS$89:$AZ$89)="EMPTY")+(UPPER($AS$89:$AZ$89)="(EMPTY)"))&gt;0,IFERROR(('Final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Sheet'!$AC$40)&amp;"","")))))&gt;0),IF(COUNTIF($BI$89:$BP$89,5)=0,TRUE,SUMPRODUCT(($BI$89:$BP$89=5)*($AS$89:$AZ$89&lt;&gt;"")*IF(((UPPER($AS$89:$AZ$89)="BLANK")+(UPPER($AS$89:$AZ$89)="(BLANK)")+(UPPER($AS$89:$AZ$89)="EMPTY")+(UPPER($AS$89:$AZ$89)="(EMPTY)"))&gt;0,IFERROR(('Final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Sheet'!$AC$40)&amp;"","")))))&gt;0),IF(COUNTIF($BI$89:$BP$89,6)=0,TRUE,SUMPRODUCT(($BI$89:$BP$89=6)*($AS$89:$AZ$89&lt;&gt;"")*IF(((UPPER($AS$89:$AZ$89)="BLANK")+(UPPER($AS$89:$AZ$89)="(BLANK)")+(UPPER($AS$89:$AZ$89)="EMPTY")+(UPPER($AS$89:$AZ$89)="(EMPTY)"))&gt;0,IFERROR(('Final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Sheet'!$AC$40)&amp;"","")))))&gt;0),IF(COUNTIF($BI$89:$BP$89,7)=0,TRUE,SUMPRODUCT(($BI$89:$BP$89=7)*($AS$89:$AZ$89&lt;&gt;"")*IF(((UPPER($AS$89:$AZ$89)="BLANK")+(UPPER($AS$89:$AZ$89)="(BLANK)")+(UPPER($AS$89:$AZ$89)="EMPTY")+(UPPER($AS$89:$AZ$89)="(EMPTY)"))&gt;0,IFERROR(('Final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Sheet'!$AC$40)&amp;"","")))))&gt;0),IF(COUNTIF($BI$89:$BP$89,8)=0,TRUE,SUMPRODUCT(($BI$89:$BP$89=8)*($AS$89:$AZ$89&lt;&gt;"")*IF(((UPPER($AS$89:$AZ$89)="BLANK")+(UPPER($AS$89:$AZ$89)="(BLANK)")+(UPPER($AS$89:$AZ$89)="EMPTY")+(UPPER($AS$89:$AZ$89)="(EMPTY)"))&gt;0,IFERROR(('Final Calculation Sheet'!$AC$40)&amp;"","")="",ISNUMBER(SEARCH($AS$89:$AZ$89,IFERROR(('Final Calculation Sheet'!$AC$40)&amp;"","")))))&gt;0))))</f>
        <v>1</v>
      </c>
      <c r="CQ41">
        <f>IF($AE$4="",1,--(AND(SUMPRODUCT(--($AS$90:$AZ$90&lt;&gt;""))&gt;0,IF(COUNTIF($BI$90:$BP$90,1)=0,TRUE,SUMPRODUCT(($BI$90:$BP$90=1)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Sheet'!$AD$40)&amp;"","")))))&gt;0),IF(COUNTIF($BI$90:$BP$90,2)=0,TRUE,SUMPRODUCT(($BI$90:$BP$90=2)*($AS$90:$AZ$90&lt;&gt;"")*IF(((UPPER($AS$90:$AZ$90)="BLANK")+(UPPER($AS$90:$AZ$90)="(BLANK)")+(UPPER($AS$90:$AZ$90)="EMPTY")+(UPPER($AS$90:$AZ$90)="(EMPTY)"))&gt;0,IFERROR(('Final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Sheet'!$AD$40)&amp;"","")))))&gt;0),IF(COUNTIF($BI$90:$BP$90,3)=0,TRUE,SUMPRODUCT(($BI$90:$BP$90=3)*($AS$90:$AZ$90&lt;&gt;"")*IF(((UPPER($AS$90:$AZ$90)="BLANK")+(UPPER($AS$90:$AZ$90)="(BLANK)")+(UPPER($AS$90:$AZ$90)="EMPTY")+(UPPER($AS$90:$AZ$90)="(EMPTY)"))&gt;0,IFERROR(('Final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Sheet'!$AD$40)&amp;"","")))))&gt;0),IF(COUNTIF($BI$90:$BP$90,4)=0,TRUE,SUMPRODUCT(($BI$90:$BP$90=4)*($AS$90:$AZ$90&lt;&gt;"")*IF(((UPPER($AS$90:$AZ$90)="BLANK")+(UPPER($AS$90:$AZ$90)="(BLANK)")+(UPPER($AS$90:$AZ$90)="EMPTY")+(UPPER($AS$90:$AZ$90)="(EMPTY)"))&gt;0,IFERROR(('Final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Sheet'!$AD$40)&amp;"","")))))&gt;0),IF(COUNTIF($BI$90:$BP$90,5)=0,TRUE,SUMPRODUCT(($BI$90:$BP$90=5)*($AS$90:$AZ$90&lt;&gt;"")*IF(((UPPER($AS$90:$AZ$90)="BLANK")+(UPPER($AS$90:$AZ$90)="(BLANK)")+(UPPER($AS$90:$AZ$90)="EMPTY")+(UPPER($AS$90:$AZ$90)="(EMPTY)"))&gt;0,IFERROR(('Final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Sheet'!$AD$40)&amp;"","")))))&gt;0),IF(COUNTIF($BI$90:$BP$90,6)=0,TRUE,SUMPRODUCT(($BI$90:$BP$90=6)*($AS$90:$AZ$90&lt;&gt;"")*IF(((UPPER($AS$90:$AZ$90)="BLANK")+(UPPER($AS$90:$AZ$90)="(BLANK)")+(UPPER($AS$90:$AZ$90)="EMPTY")+(UPPER($AS$90:$AZ$90)="(EMPTY)"))&gt;0,IFERROR(('Final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Sheet'!$AD$40)&amp;"","")))))&gt;0),IF(COUNTIF($BI$90:$BP$90,7)=0,TRUE,SUMPRODUCT(($BI$90:$BP$90=7)*($AS$90:$AZ$90&lt;&gt;"")*IF(((UPPER($AS$90:$AZ$90)="BLANK")+(UPPER($AS$90:$AZ$90)="(BLANK)")+(UPPER($AS$90:$AZ$90)="EMPTY")+(UPPER($AS$90:$AZ$90)="(EMPTY)"))&gt;0,IFERROR(('Final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Sheet'!$AD$40)&amp;"","")))))&gt;0),IF(COUNTIF($BI$90:$BP$90,8)=0,TRUE,SUMPRODUCT(($BI$90:$BP$90=8)*($AS$90:$AZ$90&lt;&gt;"")*IF(((UPPER($AS$90:$AZ$90)="BLANK")+(UPPER($AS$90:$AZ$90)="(BLANK)")+(UPPER($AS$90:$AZ$90)="EMPTY")+(UPPER($AS$90:$AZ$90)="(EMPTY)"))&gt;0,IFERROR(('Final Calculation Sheet'!$AD$40)&amp;"","")="",ISNUMBER(SEARCH($AS$90:$AZ$90,IFERROR(('Final Calculation Sheet'!$AD$40)&amp;"","")))))&gt;0))))</f>
        <v>1</v>
      </c>
      <c r="CR41">
        <f>IF($AF$4="",1,--(AND(SUMPRODUCT(--($AS$91:$AZ$91&lt;&gt;""))&gt;0,IF(COUNTIF($BI$91:$BP$91,1)=0,TRUE,SUMPRODUCT(($BI$91:$BP$91=1)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Sheet'!$AE$40)&amp;"","")))))&gt;0),IF(COUNTIF($BI$91:$BP$91,2)=0,TRUE,SUMPRODUCT(($BI$91:$BP$91=2)*($AS$91:$AZ$91&lt;&gt;"")*IF(((UPPER($AS$91:$AZ$91)="BLANK")+(UPPER($AS$91:$AZ$91)="(BLANK)")+(UPPER($AS$91:$AZ$91)="EMPTY")+(UPPER($AS$91:$AZ$91)="(EMPTY)"))&gt;0,IFERROR(('Final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Sheet'!$AE$40)&amp;"","")))))&gt;0),IF(COUNTIF($BI$91:$BP$91,3)=0,TRUE,SUMPRODUCT(($BI$91:$BP$91=3)*($AS$91:$AZ$91&lt;&gt;"")*IF(((UPPER($AS$91:$AZ$91)="BLANK")+(UPPER($AS$91:$AZ$91)="(BLANK)")+(UPPER($AS$91:$AZ$91)="EMPTY")+(UPPER($AS$91:$AZ$91)="(EMPTY)"))&gt;0,IFERROR(('Final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Sheet'!$AE$40)&amp;"","")))))&gt;0),IF(COUNTIF($BI$91:$BP$91,4)=0,TRUE,SUMPRODUCT(($BI$91:$BP$91=4)*($AS$91:$AZ$91&lt;&gt;"")*IF(((UPPER($AS$91:$AZ$91)="BLANK")+(UPPER($AS$91:$AZ$91)="(BLANK)")+(UPPER($AS$91:$AZ$91)="EMPTY")+(UPPER($AS$91:$AZ$91)="(EMPTY)"))&gt;0,IFERROR(('Final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Sheet'!$AE$40)&amp;"","")))))&gt;0),IF(COUNTIF($BI$91:$BP$91,5)=0,TRUE,SUMPRODUCT(($BI$91:$BP$91=5)*($AS$91:$AZ$91&lt;&gt;"")*IF(((UPPER($AS$91:$AZ$91)="BLANK")+(UPPER($AS$91:$AZ$91)="(BLANK)")+(UPPER($AS$91:$AZ$91)="EMPTY")+(UPPER($AS$91:$AZ$91)="(EMPTY)"))&gt;0,IFERROR(('Final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Sheet'!$AE$40)&amp;"","")))))&gt;0),IF(COUNTIF($BI$91:$BP$91,6)=0,TRUE,SUMPRODUCT(($BI$91:$BP$91=6)*($AS$91:$AZ$91&lt;&gt;"")*IF(((UPPER($AS$91:$AZ$91)="BLANK")+(UPPER($AS$91:$AZ$91)="(BLANK)")+(UPPER($AS$91:$AZ$91)="EMPTY")+(UPPER($AS$91:$AZ$91)="(EMPTY)"))&gt;0,IFERROR(('Final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Sheet'!$AE$40)&amp;"","")))))&gt;0),IF(COUNTIF($BI$91:$BP$91,7)=0,TRUE,SUMPRODUCT(($BI$91:$BP$91=7)*($AS$91:$AZ$91&lt;&gt;"")*IF(((UPPER($AS$91:$AZ$91)="BLANK")+(UPPER($AS$91:$AZ$91)="(BLANK)")+(UPPER($AS$91:$AZ$91)="EMPTY")+(UPPER($AS$91:$AZ$91)="(EMPTY)"))&gt;0,IFERROR(('Final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Sheet'!$AE$40)&amp;"","")))))&gt;0),IF(COUNTIF($BI$91:$BP$91,8)=0,TRUE,SUMPRODUCT(($BI$91:$BP$91=8)*($AS$91:$AZ$91&lt;&gt;"")*IF(((UPPER($AS$91:$AZ$91)="BLANK")+(UPPER($AS$91:$AZ$91)="(BLANK)")+(UPPER($AS$91:$AZ$91)="EMPTY")+(UPPER($AS$91:$AZ$91)="(EMPTY)"))&gt;0,IFERROR(('Final Calculation Sheet'!$AE$40)&amp;"","")="",ISNUMBER(SEARCH($AS$91:$AZ$91,IFERROR(('Final Calculation Sheet'!$AE$40)&amp;"","")))))&gt;0))))</f>
        <v>1</v>
      </c>
      <c r="CS41">
        <f>IF($AG$4="",1,--(AND(SUMPRODUCT(--($AS$92:$AZ$92&lt;&gt;""))&gt;0,IF(COUNTIF($BI$92:$BP$92,1)=0,TRUE,SUMPRODUCT(($BI$92:$BP$92=1)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Sheet'!$AF$40)&amp;"","")))))&gt;0),IF(COUNTIF($BI$92:$BP$92,2)=0,TRUE,SUMPRODUCT(($BI$92:$BP$92=2)*($AS$92:$AZ$92&lt;&gt;"")*IF(((UPPER($AS$92:$AZ$92)="BLANK")+(UPPER($AS$92:$AZ$92)="(BLANK)")+(UPPER($AS$92:$AZ$92)="EMPTY")+(UPPER($AS$92:$AZ$92)="(EMPTY)"))&gt;0,IFERROR(('Final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Sheet'!$AF$40)&amp;"","")))))&gt;0),IF(COUNTIF($BI$92:$BP$92,3)=0,TRUE,SUMPRODUCT(($BI$92:$BP$92=3)*($AS$92:$AZ$92&lt;&gt;"")*IF(((UPPER($AS$92:$AZ$92)="BLANK")+(UPPER($AS$92:$AZ$92)="(BLANK)")+(UPPER($AS$92:$AZ$92)="EMPTY")+(UPPER($AS$92:$AZ$92)="(EMPTY)"))&gt;0,IFERROR(('Final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Sheet'!$AF$40)&amp;"","")))))&gt;0),IF(COUNTIF($BI$92:$BP$92,4)=0,TRUE,SUMPRODUCT(($BI$92:$BP$92=4)*($AS$92:$AZ$92&lt;&gt;"")*IF(((UPPER($AS$92:$AZ$92)="BLANK")+(UPPER($AS$92:$AZ$92)="(BLANK)")+(UPPER($AS$92:$AZ$92)="EMPTY")+(UPPER($AS$92:$AZ$92)="(EMPTY)"))&gt;0,IFERROR(('Final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Sheet'!$AF$40)&amp;"","")))))&gt;0),IF(COUNTIF($BI$92:$BP$92,5)=0,TRUE,SUMPRODUCT(($BI$92:$BP$92=5)*($AS$92:$AZ$92&lt;&gt;"")*IF(((UPPER($AS$92:$AZ$92)="BLANK")+(UPPER($AS$92:$AZ$92)="(BLANK)")+(UPPER($AS$92:$AZ$92)="EMPTY")+(UPPER($AS$92:$AZ$92)="(EMPTY)"))&gt;0,IFERROR(('Final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Sheet'!$AF$40)&amp;"","")))))&gt;0),IF(COUNTIF($BI$92:$BP$92,6)=0,TRUE,SUMPRODUCT(($BI$92:$BP$92=6)*($AS$92:$AZ$92&lt;&gt;"")*IF(((UPPER($AS$92:$AZ$92)="BLANK")+(UPPER($AS$92:$AZ$92)="(BLANK)")+(UPPER($AS$92:$AZ$92)="EMPTY")+(UPPER($AS$92:$AZ$92)="(EMPTY)"))&gt;0,IFERROR(('Final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Sheet'!$AF$40)&amp;"","")))))&gt;0),IF(COUNTIF($BI$92:$BP$92,7)=0,TRUE,SUMPRODUCT(($BI$92:$BP$92=7)*($AS$92:$AZ$92&lt;&gt;"")*IF(((UPPER($AS$92:$AZ$92)="BLANK")+(UPPER($AS$92:$AZ$92)="(BLANK)")+(UPPER($AS$92:$AZ$92)="EMPTY")+(UPPER($AS$92:$AZ$92)="(EMPTY)"))&gt;0,IFERROR(('Final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Sheet'!$AF$40)&amp;"","")))))&gt;0),IF(COUNTIF($BI$92:$BP$92,8)=0,TRUE,SUMPRODUCT(($BI$92:$BP$92=8)*($AS$92:$AZ$92&lt;&gt;"")*IF(((UPPER($AS$92:$AZ$92)="BLANK")+(UPPER($AS$92:$AZ$92)="(BLANK)")+(UPPER($AS$92:$AZ$92)="EMPTY")+(UPPER($AS$92:$AZ$92)="(EMPTY)"))&gt;0,IFERROR(('Final Calculation Sheet'!$AF$40)&amp;"","")="",ISNUMBER(SEARCH($AS$92:$AZ$92,IFERROR(('Final Calculation Sheet'!$AF$40)&amp;"","")))))&gt;0))))</f>
        <v>1</v>
      </c>
      <c r="CT41">
        <f>IF($AH$4="",1,--(AND(SUMPRODUCT(--($AS$93:$AZ$93&lt;&gt;""))&gt;0,IF(COUNTIF($BI$93:$BP$93,1)=0,TRUE,SUMPRODUCT(($BI$93:$BP$93=1)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Sheet'!$AG$40)&amp;"","")))))&gt;0),IF(COUNTIF($BI$93:$BP$93,2)=0,TRUE,SUMPRODUCT(($BI$93:$BP$93=2)*($AS$93:$AZ$93&lt;&gt;"")*IF(((UPPER($AS$93:$AZ$93)="BLANK")+(UPPER($AS$93:$AZ$93)="(BLANK)")+(UPPER($AS$93:$AZ$93)="EMPTY")+(UPPER($AS$93:$AZ$93)="(EMPTY)"))&gt;0,IFERROR(('Final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Sheet'!$AG$40)&amp;"","")))))&gt;0),IF(COUNTIF($BI$93:$BP$93,3)=0,TRUE,SUMPRODUCT(($BI$93:$BP$93=3)*($AS$93:$AZ$93&lt;&gt;"")*IF(((UPPER($AS$93:$AZ$93)="BLANK")+(UPPER($AS$93:$AZ$93)="(BLANK)")+(UPPER($AS$93:$AZ$93)="EMPTY")+(UPPER($AS$93:$AZ$93)="(EMPTY)"))&gt;0,IFERROR(('Final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Sheet'!$AG$40)&amp;"","")))))&gt;0),IF(COUNTIF($BI$93:$BP$93,4)=0,TRUE,SUMPRODUCT(($BI$93:$BP$93=4)*($AS$93:$AZ$93&lt;&gt;"")*IF(((UPPER($AS$93:$AZ$93)="BLANK")+(UPPER($AS$93:$AZ$93)="(BLANK)")+(UPPER($AS$93:$AZ$93)="EMPTY")+(UPPER($AS$93:$AZ$93)="(EMPTY)"))&gt;0,IFERROR(('Final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Sheet'!$AG$40)&amp;"","")))))&gt;0),IF(COUNTIF($BI$93:$BP$93,5)=0,TRUE,SUMPRODUCT(($BI$93:$BP$93=5)*($AS$93:$AZ$93&lt;&gt;"")*IF(((UPPER($AS$93:$AZ$93)="BLANK")+(UPPER($AS$93:$AZ$93)="(BLANK)")+(UPPER($AS$93:$AZ$93)="EMPTY")+(UPPER($AS$93:$AZ$93)="(EMPTY)"))&gt;0,IFERROR(('Final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Sheet'!$AG$40)&amp;"","")))))&gt;0),IF(COUNTIF($BI$93:$BP$93,6)=0,TRUE,SUMPRODUCT(($BI$93:$BP$93=6)*($AS$93:$AZ$93&lt;&gt;"")*IF(((UPPER($AS$93:$AZ$93)="BLANK")+(UPPER($AS$93:$AZ$93)="(BLANK)")+(UPPER($AS$93:$AZ$93)="EMPTY")+(UPPER($AS$93:$AZ$93)="(EMPTY)"))&gt;0,IFERROR(('Final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Sheet'!$AG$40)&amp;"","")))))&gt;0),IF(COUNTIF($BI$93:$BP$93,7)=0,TRUE,SUMPRODUCT(($BI$93:$BP$93=7)*($AS$93:$AZ$93&lt;&gt;"")*IF(((UPPER($AS$93:$AZ$93)="BLANK")+(UPPER($AS$93:$AZ$93)="(BLANK)")+(UPPER($AS$93:$AZ$93)="EMPTY")+(UPPER($AS$93:$AZ$93)="(EMPTY)"))&gt;0,IFERROR(('Final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Sheet'!$AG$40)&amp;"","")))))&gt;0),IF(COUNTIF($BI$93:$BP$93,8)=0,TRUE,SUMPRODUCT(($BI$93:$BP$93=8)*($AS$93:$AZ$93&lt;&gt;"")*IF(((UPPER($AS$93:$AZ$93)="BLANK")+(UPPER($AS$93:$AZ$93)="(BLANK)")+(UPPER($AS$93:$AZ$93)="EMPTY")+(UPPER($AS$93:$AZ$93)="(EMPTY)"))&gt;0,IFERROR(('Final Calculation Sheet'!$AG$40)&amp;"","")="",ISNUMBER(SEARCH($AS$93:$AZ$93,IFERROR(('Final Calculation Sheet'!$AG$40)&amp;"","")))))&gt;0))))</f>
        <v>1</v>
      </c>
      <c r="CU41">
        <f>IF($AI$4="",1,--(AND(SUMPRODUCT(--($AS$94:$AZ$94&lt;&gt;""))&gt;0,IF(COUNTIF($BI$94:$BP$94,1)=0,TRUE,SUMPRODUCT(($BI$94:$BP$94=1)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$94,2)=0,TRUE,SUMPRODUCT(($BI$94:$BP$94=2)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$94,3)=0,TRUE,SUMPRODUCT(($BI$94:$BP$94=3)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$94,4)=0,TRUE,SUMPRODUCT(($BI$94:$BP$94=4)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$94,5)=0,TRUE,SUMPRODUCT(($BI$94:$BP$94=5)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$94,6)=0,TRUE,SUMPRODUCT(($BI$94:$BP$94=6)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$94,7)=0,TRUE,SUMPRODUCT(($BI$94:$BP$94=7)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,IF(COUNTIF($BI$94:$BP$94,8)=0,TRUE,SUMPRODUCT(($BI$94:$BP$94=8)*($AS$94:$AZ$94&lt;&gt;"")*IF(((UPPER($AS$94:$AZ$94)="BLANK")+(UPPER($AS$94:$AZ$94)="(BLANK)")+(UPPER($AS$94:$AZ$94)="EMPTY")+(UPPER($AS$94:$AZ$94)="(EMPTY)"))&gt;0,IFERROR((IF('Final Calculation Sheet'!$AD$40&lt;=0,"SETTLED","OUTSTANDING"))&amp;"","")="",ISNUMBER(SEARCH($AS$94:$AZ$94,IFERROR((IF('Final Calculation Sheet'!$AD$40&lt;=0,"SETTLED","OUTSTANDING"))&amp;"","")))))&gt;0))))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  <row r="60" spans="1:99" ht="15" customHeight="1" hidden="1">
      <c r="AK60">
        <f>SUBSTITUTE(SUBSTITUTE($A$4,"&amp;","+"),"/",",")</f>
      </c>
      <c r="AL60">
        <f>IF(OR($AK$60="",MIN(IFERROR(FIND(",",$AK$60),99999),IFERROR(FIND("+",$AK$60),99999))=99999),"",MID($AK$60,MIN(IFERROR(FIND(",",$AK$60),99999),IFERROR(FIND("+",$AK$60),99999))+1,99999))</f>
      </c>
      <c r="AM60">
        <f>IF(OR($AL$60="",MIN(IFERROR(FIND(",",$AL$60),99999),IFERROR(FIND("+",$AL$60),99999))=99999),"",MID($AL$60,MIN(IFERROR(FIND(",",$AL$60),99999),IFERROR(FIND("+",$AL$60),99999))+1,99999))</f>
      </c>
      <c r="AN60">
        <f>IF(OR($AM$60="",MIN(IFERROR(FIND(",",$AM$60),99999),IFERROR(FIND("+",$AM$60),99999))=99999),"",MID($AM$60,MIN(IFERROR(FIND(",",$AM$60),99999),IFERROR(FIND("+",$AM$60),99999))+1,99999))</f>
      </c>
      <c r="AO60">
        <f>IF(OR($AN$60="",MIN(IFERROR(FIND(",",$AN$60),99999),IFERROR(FIND("+",$AN$60),99999))=99999),"",MID($AN$60,MIN(IFERROR(FIND(",",$AN$60),99999),IFERROR(FIND("+",$AN$60),99999))+1,99999))</f>
      </c>
      <c r="AP60">
        <f>IF(OR($AO$60="",MIN(IFERROR(FIND(",",$AO$60),99999),IFERROR(FIND("+",$AO$60),99999))=99999),"",MID($AO$60,MIN(IFERROR(FIND(",",$AO$60),99999),IFERROR(FIND("+",$AO$60),99999))+1,99999))</f>
      </c>
      <c r="AQ60">
        <f>IF(OR($AP$60="",MIN(IFERROR(FIND(",",$AP$60),99999),IFERROR(FIND("+",$AP$60),99999))=99999),"",MID($AP$60,MIN(IFERROR(FIND(",",$AP$60),99999),IFERROR(FIND("+",$AP$60),99999))+1,99999))</f>
      </c>
      <c r="AR60">
        <f>IF(OR($AQ$60="",MIN(IFERROR(FIND(",",$AQ$60),99999),IFERROR(FIND("+",$AQ$60),99999))=99999),"",MID($AQ$60,MIN(IFERROR(FIND(",",$AQ$60),99999),IFERROR(FIND("+",$AQ$60),99999))+1,99999))</f>
      </c>
      <c r="AS60">
        <f>IF($AK$60="","",IF(MIN(IFERROR(FIND(",",$AK$60),99999),IFERROR(FIND("+",$AK$60),99999))=99999,TRIM($AK$60),TRIM(LEFT($AK$60,MIN(IFERROR(FIND(",",$AK$60),99999),IFERROR(FIND("+",$AK$60),99999))-1))))</f>
      </c>
      <c r="AT60">
        <f>IF($AL$60="","",IF(MIN(IFERROR(FIND(",",$AL$60),99999),IFERROR(FIND("+",$AL$60),99999))=99999,TRIM($AL$60),TRIM(LEFT($AL$60,MIN(IFERROR(FIND(",",$AL$60),99999),IFERROR(FIND("+",$AL$60),99999))-1))))</f>
      </c>
      <c r="AU60">
        <f>IF($AM$60="","",IF(MIN(IFERROR(FIND(",",$AM$60),99999),IFERROR(FIND("+",$AM$60),99999))=99999,TRIM($AM$60),TRIM(LEFT($AM$60,MIN(IFERROR(FIND(",",$AM$60),99999),IFERROR(FIND("+",$AM$60),99999))-1))))</f>
      </c>
      <c r="AV60">
        <f>IF($AN$60="","",IF(MIN(IFERROR(FIND(",",$AN$60),99999),IFERROR(FIND("+",$AN$60),99999))=99999,TRIM($AN$60),TRIM(LEFT($AN$60,MIN(IFERROR(FIND(",",$AN$60),99999),IFERROR(FIND("+",$AN$60),99999))-1))))</f>
      </c>
      <c r="AW60">
        <f>IF($AO$60="","",IF(MIN(IFERROR(FIND(",",$AO$60),99999),IFERROR(FIND("+",$AO$60),99999))=99999,TRIM($AO$60),TRIM(LEFT($AO$60,MIN(IFERROR(FIND(",",$AO$60),99999),IFERROR(FIND("+",$AO$60),99999))-1))))</f>
      </c>
      <c r="AX60">
        <f>IF($AP$60="","",IF(MIN(IFERROR(FIND(",",$AP$60),99999),IFERROR(FIND("+",$AP$60),99999))=99999,TRIM($AP$60),TRIM(LEFT($AP$60,MIN(IFERROR(FIND(",",$AP$60),99999),IFERROR(FIND("+",$AP$60),99999))-1))))</f>
      </c>
      <c r="AY60">
        <f>IF($AQ$60="","",IF(MIN(IFERROR(FIND(",",$AQ$60),99999),IFERROR(FIND("+",$AQ$60),99999))=99999,TRIM($AQ$60),TRIM(LEFT($AQ$60,MIN(IFERROR(FIND(",",$AQ$60),99999),IFERROR(FIND("+",$AQ$60),99999))-1))))</f>
      </c>
      <c r="AZ60">
        <f>IF($AR$60="","",IF(MIN(IFERROR(FIND(",",$AR$60),99999),IFERROR(FIND("+",$AR$60),99999))=99999,TRIM($AR$60),TRIM(LEFT($AR$60,MIN(IFERROR(FIND(",",$AR$60),99999),IFERROR(FIND("+",$AR$60),99999))-1))))</f>
      </c>
      <c r="BA60">
        <f>IF($AK$60="",0,1)</f>
      </c>
      <c r="BB60">
        <f>IF($AK$60="",$BA$60,$BA$60+IF(MID($AK$60,MIN(IFERROR(FIND(",",$AK$60),99999),IFERROR(FIND("+",$AK$60),99999)),1)="+",1,0))</f>
      </c>
      <c r="BC60">
        <f>IF($AL$60="",$BB$60,$BB$60+IF(MID($AL$60,MIN(IFERROR(FIND(",",$AL$60),99999),IFERROR(FIND("+",$AL$60),99999)),1)="+",1,0))</f>
      </c>
      <c r="BD60">
        <f>IF($AM$60="",$BC$60,$BC$60+IF(MID($AM$60,MIN(IFERROR(FIND(",",$AM$60),99999),IFERROR(FIND("+",$AM$60),99999)),1)="+",1,0))</f>
      </c>
      <c r="BE60">
        <f>IF($AN$60="",$BD$60,$BD$60+IF(MID($AN$60,MIN(IFERROR(FIND(",",$AN$60),99999),IFERROR(FIND("+",$AN$60),99999)),1)="+",1,0))</f>
      </c>
      <c r="BF60">
        <f>IF($AO$60="",$BE$60,$BE$60+IF(MID($AO$60,MIN(IFERROR(FIND(",",$AO$60),99999),IFERROR(FIND("+",$AO$60),99999)),1)="+",1,0))</f>
      </c>
      <c r="BG60">
        <f>IF($AP$60="",$BF$60,$BF$60+IF(MID($AP$60,MIN(IFERROR(FIND(",",$AP$60),99999),IFERROR(FIND("+",$AP$60),99999)),1)="+",1,0))</f>
      </c>
      <c r="BH60">
        <f>IF($AQ$60="",$BG$60,$BG$60+IF(MID($AQ$60,MIN(IFERROR(FIND(",",$AQ$60),99999),IFERROR(FIND("+",$AQ$60),99999)),1)="+",1,0))</f>
      </c>
      <c r="BI60">
        <f>IF($AS$60="",0,$BA$60)</f>
      </c>
      <c r="BJ60">
        <f>IF($AT$60="",0,$BB$60)</f>
      </c>
      <c r="BK60">
        <f>IF($AU$60="",0,$BC$60)</f>
      </c>
      <c r="BL60">
        <f>IF($AV$60="",0,$BD$60)</f>
      </c>
      <c r="BM60">
        <f>IF($AW$60="",0,$BE$60)</f>
      </c>
      <c r="BN60">
        <f>IF($AX$60="",0,$BF$60)</f>
      </c>
      <c r="BO60">
        <f>IF($AY$60="",0,$BG$60)</f>
      </c>
      <c r="BP60">
        <f>IF($AZ$60="",0,$BH$60)</f>
      </c>
    </row>
    <row r="61" spans="1:99" ht="15" customHeight="1" hidden="1">
      <c r="AK61">
        <f>SUBSTITUTE(SUBSTITUTE($B$4,"&amp;","+"),"/",",")</f>
      </c>
      <c r="AL61">
        <f>IF(OR($AK$61="",MIN(IFERROR(FIND(",",$AK$61),99999),IFERROR(FIND("+",$AK$61),99999))=99999),"",MID($AK$61,MIN(IFERROR(FIND(",",$AK$61),99999),IFERROR(FIND("+",$AK$61),99999))+1,99999))</f>
      </c>
      <c r="AM61">
        <f>IF(OR($AL$61="",MIN(IFERROR(FIND(",",$AL$61),99999),IFERROR(FIND("+",$AL$61),99999))=99999),"",MID($AL$61,MIN(IFERROR(FIND(",",$AL$61),99999),IFERROR(FIND("+",$AL$61),99999))+1,99999))</f>
      </c>
      <c r="AN61">
        <f>IF(OR($AM$61="",MIN(IFERROR(FIND(",",$AM$61),99999),IFERROR(FIND("+",$AM$61),99999))=99999),"",MID($AM$61,MIN(IFERROR(FIND(",",$AM$61),99999),IFERROR(FIND("+",$AM$61),99999))+1,99999))</f>
      </c>
      <c r="AO61">
        <f>IF(OR($AN$61="",MIN(IFERROR(FIND(",",$AN$61),99999),IFERROR(FIND("+",$AN$61),99999))=99999),"",MID($AN$61,MIN(IFERROR(FIND(",",$AN$61),99999),IFERROR(FIND("+",$AN$61),99999))+1,99999))</f>
      </c>
      <c r="AP61">
        <f>IF(OR($AO$61="",MIN(IFERROR(FIND(",",$AO$61),99999),IFERROR(FIND("+",$AO$61),99999))=99999),"",MID($AO$61,MIN(IFERROR(FIND(",",$AO$61),99999),IFERROR(FIND("+",$AO$61),99999))+1,99999))</f>
      </c>
      <c r="AQ61">
        <f>IF(OR($AP$61="",MIN(IFERROR(FIND(",",$AP$61),99999),IFERROR(FIND("+",$AP$61),99999))=99999),"",MID($AP$61,MIN(IFERROR(FIND(",",$AP$61),99999),IFERROR(FIND("+",$AP$61),99999))+1,99999))</f>
      </c>
      <c r="AR61">
        <f>IF(OR($AQ$61="",MIN(IFERROR(FIND(",",$AQ$61),99999),IFERROR(FIND("+",$AQ$61),99999))=99999),"",MID($AQ$61,MIN(IFERROR(FIND(",",$AQ$61),99999),IFERROR(FIND("+",$AQ$61),99999))+1,99999))</f>
      </c>
      <c r="AS61">
        <f>IF($AK$61="","",IF(MIN(IFERROR(FIND(",",$AK$61),99999),IFERROR(FIND("+",$AK$61),99999))=99999,TRIM($AK$61),TRIM(LEFT($AK$61,MIN(IFERROR(FIND(",",$AK$61),99999),IFERROR(FIND("+",$AK$61),99999))-1))))</f>
      </c>
      <c r="AT61">
        <f>IF($AL$61="","",IF(MIN(IFERROR(FIND(",",$AL$61),99999),IFERROR(FIND("+",$AL$61),99999))=99999,TRIM($AL$61),TRIM(LEFT($AL$61,MIN(IFERROR(FIND(",",$AL$61),99999),IFERROR(FIND("+",$AL$61),99999))-1))))</f>
      </c>
      <c r="AU61">
        <f>IF($AM$61="","",IF(MIN(IFERROR(FIND(",",$AM$61),99999),IFERROR(FIND("+",$AM$61),99999))=99999,TRIM($AM$61),TRIM(LEFT($AM$61,MIN(IFERROR(FIND(",",$AM$61),99999),IFERROR(FIND("+",$AM$61),99999))-1))))</f>
      </c>
      <c r="AV61">
        <f>IF($AN$61="","",IF(MIN(IFERROR(FIND(",",$AN$61),99999),IFERROR(FIND("+",$AN$61),99999))=99999,TRIM($AN$61),TRIM(LEFT($AN$61,MIN(IFERROR(FIND(",",$AN$61),99999),IFERROR(FIND("+",$AN$61),99999))-1))))</f>
      </c>
      <c r="AW61">
        <f>IF($AO$61="","",IF(MIN(IFERROR(FIND(",",$AO$61),99999),IFERROR(FIND("+",$AO$61),99999))=99999,TRIM($AO$61),TRIM(LEFT($AO$61,MIN(IFERROR(FIND(",",$AO$61),99999),IFERROR(FIND("+",$AO$61),99999))-1))))</f>
      </c>
      <c r="AX61">
        <f>IF($AP$61="","",IF(MIN(IFERROR(FIND(",",$AP$61),99999),IFERROR(FIND("+",$AP$61),99999))=99999,TRIM($AP$61),TRIM(LEFT($AP$61,MIN(IFERROR(FIND(",",$AP$61),99999),IFERROR(FIND("+",$AP$61),99999))-1))))</f>
      </c>
      <c r="AY61">
        <f>IF($AQ$61="","",IF(MIN(IFERROR(FIND(",",$AQ$61),99999),IFERROR(FIND("+",$AQ$61),99999))=99999,TRIM($AQ$61),TRIM(LEFT($AQ$61,MIN(IFERROR(FIND(",",$AQ$61),99999),IFERROR(FIND("+",$AQ$61),99999))-1))))</f>
      </c>
      <c r="AZ61">
        <f>IF($AR$61="","",IF(MIN(IFERROR(FIND(",",$AR$61),99999),IFERROR(FIND("+",$AR$61),99999))=99999,TRIM($AR$61),TRIM(LEFT($AR$61,MIN(IFERROR(FIND(",",$AR$61),99999),IFERROR(FIND("+",$AR$61),99999))-1))))</f>
      </c>
      <c r="BA61">
        <f>IF($AK$61="",0,1)</f>
      </c>
      <c r="BB61">
        <f>IF($AK$61="",$BA$61,$BA$61+IF(MID($AK$61,MIN(IFERROR(FIND(",",$AK$61),99999),IFERROR(FIND("+",$AK$61),99999)),1)="+",1,0))</f>
      </c>
      <c r="BC61">
        <f>IF($AL$61="",$BB$61,$BB$61+IF(MID($AL$61,MIN(IFERROR(FIND(",",$AL$61),99999),IFERROR(FIND("+",$AL$61),99999)),1)="+",1,0))</f>
      </c>
      <c r="BD61">
        <f>IF($AM$61="",$BC$61,$BC$61+IF(MID($AM$61,MIN(IFERROR(FIND(",",$AM$61),99999),IFERROR(FIND("+",$AM$61),99999)),1)="+",1,0))</f>
      </c>
      <c r="BE61">
        <f>IF($AN$61="",$BD$61,$BD$61+IF(MID($AN$61,MIN(IFERROR(FIND(",",$AN$61),99999),IFERROR(FIND("+",$AN$61),99999)),1)="+",1,0))</f>
      </c>
      <c r="BF61">
        <f>IF($AO$61="",$BE$61,$BE$61+IF(MID($AO$61,MIN(IFERROR(FIND(",",$AO$61),99999),IFERROR(FIND("+",$AO$61),99999)),1)="+",1,0))</f>
      </c>
      <c r="BG61">
        <f>IF($AP$61="",$BF$61,$BF$61+IF(MID($AP$61,MIN(IFERROR(FIND(",",$AP$61),99999),IFERROR(FIND("+",$AP$61),99999)),1)="+",1,0))</f>
      </c>
      <c r="BH61">
        <f>IF($AQ$61="",$BG$61,$BG$61+IF(MID($AQ$61,MIN(IFERROR(FIND(",",$AQ$61),99999),IFERROR(FIND("+",$AQ$61),99999)),1)="+",1,0))</f>
      </c>
      <c r="BI61">
        <f>IF($AS$61="",0,$BA$61)</f>
      </c>
      <c r="BJ61">
        <f>IF($AT$61="",0,$BB$61)</f>
      </c>
      <c r="BK61">
        <f>IF($AU$61="",0,$BC$61)</f>
      </c>
      <c r="BL61">
        <f>IF($AV$61="",0,$BD$61)</f>
      </c>
      <c r="BM61">
        <f>IF($AW$61="",0,$BE$61)</f>
      </c>
      <c r="BN61">
        <f>IF($AX$61="",0,$BF$61)</f>
      </c>
      <c r="BO61">
        <f>IF($AY$61="",0,$BG$61)</f>
      </c>
      <c r="BP61">
        <f>IF($AZ$61="",0,$BH$61)</f>
      </c>
    </row>
    <row r="62" spans="1:99" ht="15" customHeight="1" hidden="1">
      <c r="AK62">
        <f>SUBSTITUTE(SUBSTITUTE($C$4,"&amp;","+"),"/",",")</f>
      </c>
      <c r="AL62">
        <f>IF(OR($AK$62="",MIN(IFERROR(FIND(",",$AK$62),99999),IFERROR(FIND("+",$AK$62),99999))=99999),"",MID($AK$62,MIN(IFERROR(FIND(",",$AK$62),99999),IFERROR(FIND("+",$AK$62),99999))+1,99999))</f>
      </c>
      <c r="AM62">
        <f>IF(OR($AL$62="",MIN(IFERROR(FIND(",",$AL$62),99999),IFERROR(FIND("+",$AL$62),99999))=99999),"",MID($AL$62,MIN(IFERROR(FIND(",",$AL$62),99999),IFERROR(FIND("+",$AL$62),99999))+1,99999))</f>
      </c>
      <c r="AN62">
        <f>IF(OR($AM$62="",MIN(IFERROR(FIND(",",$AM$62),99999),IFERROR(FIND("+",$AM$62),99999))=99999),"",MID($AM$62,MIN(IFERROR(FIND(",",$AM$62),99999),IFERROR(FIND("+",$AM$62),99999))+1,99999))</f>
      </c>
      <c r="AO62">
        <f>IF(OR($AN$62="",MIN(IFERROR(FIND(",",$AN$62),99999),IFERROR(FIND("+",$AN$62),99999))=99999),"",MID($AN$62,MIN(IFERROR(FIND(",",$AN$62),99999),IFERROR(FIND("+",$AN$62),99999))+1,99999))</f>
      </c>
      <c r="AP62">
        <f>IF(OR($AO$62="",MIN(IFERROR(FIND(",",$AO$62),99999),IFERROR(FIND("+",$AO$62),99999))=99999),"",MID($AO$62,MIN(IFERROR(FIND(",",$AO$62),99999),IFERROR(FIND("+",$AO$62),99999))+1,99999))</f>
      </c>
      <c r="AQ62">
        <f>IF(OR($AP$62="",MIN(IFERROR(FIND(",",$AP$62),99999),IFERROR(FIND("+",$AP$62),99999))=99999),"",MID($AP$62,MIN(IFERROR(FIND(",",$AP$62),99999),IFERROR(FIND("+",$AP$62),99999))+1,99999))</f>
      </c>
      <c r="AR62">
        <f>IF(OR($AQ$62="",MIN(IFERROR(FIND(",",$AQ$62),99999),IFERROR(FIND("+",$AQ$62),99999))=99999),"",MID($AQ$62,MIN(IFERROR(FIND(",",$AQ$62),99999),IFERROR(FIND("+",$AQ$62),99999))+1,99999))</f>
      </c>
      <c r="AS62">
        <f>IF($AK$62="","",IF(MIN(IFERROR(FIND(",",$AK$62),99999),IFERROR(FIND("+",$AK$62),99999))=99999,TRIM($AK$62),TRIM(LEFT($AK$62,MIN(IFERROR(FIND(",",$AK$62),99999),IFERROR(FIND("+",$AK$62),99999))-1))))</f>
      </c>
      <c r="AT62">
        <f>IF($AL$62="","",IF(MIN(IFERROR(FIND(",",$AL$62),99999),IFERROR(FIND("+",$AL$62),99999))=99999,TRIM($AL$62),TRIM(LEFT($AL$62,MIN(IFERROR(FIND(",",$AL$62),99999),IFERROR(FIND("+",$AL$62),99999))-1))))</f>
      </c>
      <c r="AU62">
        <f>IF($AM$62="","",IF(MIN(IFERROR(FIND(",",$AM$62),99999),IFERROR(FIND("+",$AM$62),99999))=99999,TRIM($AM$62),TRIM(LEFT($AM$62,MIN(IFERROR(FIND(",",$AM$62),99999),IFERROR(FIND("+",$AM$62),99999))-1))))</f>
      </c>
      <c r="AV62">
        <f>IF($AN$62="","",IF(MIN(IFERROR(FIND(",",$AN$62),99999),IFERROR(FIND("+",$AN$62),99999))=99999,TRIM($AN$62),TRIM(LEFT($AN$62,MIN(IFERROR(FIND(",",$AN$62),99999),IFERROR(FIND("+",$AN$62),99999))-1))))</f>
      </c>
      <c r="AW62">
        <f>IF($AO$62="","",IF(MIN(IFERROR(FIND(",",$AO$62),99999),IFERROR(FIND("+",$AO$62),99999))=99999,TRIM($AO$62),TRIM(LEFT($AO$62,MIN(IFERROR(FIND(",",$AO$62),99999),IFERROR(FIND("+",$AO$62),99999))-1))))</f>
      </c>
      <c r="AX62">
        <f>IF($AP$62="","",IF(MIN(IFERROR(FIND(",",$AP$62),99999),IFERROR(FIND("+",$AP$62),99999))=99999,TRIM($AP$62),TRIM(LEFT($AP$62,MIN(IFERROR(FIND(",",$AP$62),99999),IFERROR(FIND("+",$AP$62),99999))-1))))</f>
      </c>
      <c r="AY62">
        <f>IF($AQ$62="","",IF(MIN(IFERROR(FIND(",",$AQ$62),99999),IFERROR(FIND("+",$AQ$62),99999))=99999,TRIM($AQ$62),TRIM(LEFT($AQ$62,MIN(IFERROR(FIND(",",$AQ$62),99999),IFERROR(FIND("+",$AQ$62),99999))-1))))</f>
      </c>
      <c r="AZ62">
        <f>IF($AR$62="","",IF(MIN(IFERROR(FIND(",",$AR$62),99999),IFERROR(FIND("+",$AR$62),99999))=99999,TRIM($AR$62),TRIM(LEFT($AR$62,MIN(IFERROR(FIND(",",$AR$62),99999),IFERROR(FIND("+",$AR$62),99999))-1))))</f>
      </c>
      <c r="BA62">
        <f>IF($AK$62="",0,1)</f>
      </c>
      <c r="BB62">
        <f>IF($AK$62="",$BA$62,$BA$62+IF(MID($AK$62,MIN(IFERROR(FIND(",",$AK$62),99999),IFERROR(FIND("+",$AK$62),99999)),1)="+",1,0))</f>
      </c>
      <c r="BC62">
        <f>IF($AL$62="",$BB$62,$BB$62+IF(MID($AL$62,MIN(IFERROR(FIND(",",$AL$62),99999),IFERROR(FIND("+",$AL$62),99999)),1)="+",1,0))</f>
      </c>
      <c r="BD62">
        <f>IF($AM$62="",$BC$62,$BC$62+IF(MID($AM$62,MIN(IFERROR(FIND(",",$AM$62),99999),IFERROR(FIND("+",$AM$62),99999)),1)="+",1,0))</f>
      </c>
      <c r="BE62">
        <f>IF($AN$62="",$BD$62,$BD$62+IF(MID($AN$62,MIN(IFERROR(FIND(",",$AN$62),99999),IFERROR(FIND("+",$AN$62),99999)),1)="+",1,0))</f>
      </c>
      <c r="BF62">
        <f>IF($AO$62="",$BE$62,$BE$62+IF(MID($AO$62,MIN(IFERROR(FIND(",",$AO$62),99999),IFERROR(FIND("+",$AO$62),99999)),1)="+",1,0))</f>
      </c>
      <c r="BG62">
        <f>IF($AP$62="",$BF$62,$BF$62+IF(MID($AP$62,MIN(IFERROR(FIND(",",$AP$62),99999),IFERROR(FIND("+",$AP$62),99999)),1)="+",1,0))</f>
      </c>
      <c r="BH62">
        <f>IF($AQ$62="",$BG$62,$BG$62+IF(MID($AQ$62,MIN(IFERROR(FIND(",",$AQ$62),99999),IFERROR(FIND("+",$AQ$62),99999)),1)="+",1,0))</f>
      </c>
      <c r="BI62">
        <f>IF($AS$62="",0,$BA$62)</f>
      </c>
      <c r="BJ62">
        <f>IF($AT$62="",0,$BB$62)</f>
      </c>
      <c r="BK62">
        <f>IF($AU$62="",0,$BC$62)</f>
      </c>
      <c r="BL62">
        <f>IF($AV$62="",0,$BD$62)</f>
      </c>
      <c r="BM62">
        <f>IF($AW$62="",0,$BE$62)</f>
      </c>
      <c r="BN62">
        <f>IF($AX$62="",0,$BF$62)</f>
      </c>
      <c r="BO62">
        <f>IF($AY$62="",0,$BG$62)</f>
      </c>
      <c r="BP62">
        <f>IF($AZ$62="",0,$BH$62)</f>
      </c>
    </row>
    <row r="63" spans="1:99" ht="15" customHeight="1" hidden="1">
      <c r="AK63">
        <f>SUBSTITUTE(SUBSTITUTE($D$4,"&amp;","+"),"/",",")</f>
      </c>
      <c r="AL63">
        <f>IF(OR($AK$63="",MIN(IFERROR(FIND(",",$AK$63),99999),IFERROR(FIND("+",$AK$63),99999))=99999),"",MID($AK$63,MIN(IFERROR(FIND(",",$AK$63),99999),IFERROR(FIND("+",$AK$63),99999))+1,99999))</f>
      </c>
      <c r="AM63">
        <f>IF(OR($AL$63="",MIN(IFERROR(FIND(",",$AL$63),99999),IFERROR(FIND("+",$AL$63),99999))=99999),"",MID($AL$63,MIN(IFERROR(FIND(",",$AL$63),99999),IFERROR(FIND("+",$AL$63),99999))+1,99999))</f>
      </c>
      <c r="AN63">
        <f>IF(OR($AM$63="",MIN(IFERROR(FIND(",",$AM$63),99999),IFERROR(FIND("+",$AM$63),99999))=99999),"",MID($AM$63,MIN(IFERROR(FIND(",",$AM$63),99999),IFERROR(FIND("+",$AM$63),99999))+1,99999))</f>
      </c>
      <c r="AO63">
        <f>IF(OR($AN$63="",MIN(IFERROR(FIND(",",$AN$63),99999),IFERROR(FIND("+",$AN$63),99999))=99999),"",MID($AN$63,MIN(IFERROR(FIND(",",$AN$63),99999),IFERROR(FIND("+",$AN$63),99999))+1,99999))</f>
      </c>
      <c r="AP63">
        <f>IF(OR($AO$63="",MIN(IFERROR(FIND(",",$AO$63),99999),IFERROR(FIND("+",$AO$63),99999))=99999),"",MID($AO$63,MIN(IFERROR(FIND(",",$AO$63),99999),IFERROR(FIND("+",$AO$63),99999))+1,99999))</f>
      </c>
      <c r="AQ63">
        <f>IF(OR($AP$63="",MIN(IFERROR(FIND(",",$AP$63),99999),IFERROR(FIND("+",$AP$63),99999))=99999),"",MID($AP$63,MIN(IFERROR(FIND(",",$AP$63),99999),IFERROR(FIND("+",$AP$63),99999))+1,99999))</f>
      </c>
      <c r="AR63">
        <f>IF(OR($AQ$63="",MIN(IFERROR(FIND(",",$AQ$63),99999),IFERROR(FIND("+",$AQ$63),99999))=99999),"",MID($AQ$63,MIN(IFERROR(FIND(",",$AQ$63),99999),IFERROR(FIND("+",$AQ$63),99999))+1,99999))</f>
      </c>
      <c r="AS63">
        <f>IF($AK$63="","",IF(MIN(IFERROR(FIND(",",$AK$63),99999),IFERROR(FIND("+",$AK$63),99999))=99999,TRIM($AK$63),TRIM(LEFT($AK$63,MIN(IFERROR(FIND(",",$AK$63),99999),IFERROR(FIND("+",$AK$63),99999))-1))))</f>
      </c>
      <c r="AT63">
        <f>IF($AL$63="","",IF(MIN(IFERROR(FIND(",",$AL$63),99999),IFERROR(FIND("+",$AL$63),99999))=99999,TRIM($AL$63),TRIM(LEFT($AL$63,MIN(IFERROR(FIND(",",$AL$63),99999),IFERROR(FIND("+",$AL$63),99999))-1))))</f>
      </c>
      <c r="AU63">
        <f>IF($AM$63="","",IF(MIN(IFERROR(FIND(",",$AM$63),99999),IFERROR(FIND("+",$AM$63),99999))=99999,TRIM($AM$63),TRIM(LEFT($AM$63,MIN(IFERROR(FIND(",",$AM$63),99999),IFERROR(FIND("+",$AM$63),99999))-1))))</f>
      </c>
      <c r="AV63">
        <f>IF($AN$63="","",IF(MIN(IFERROR(FIND(",",$AN$63),99999),IFERROR(FIND("+",$AN$63),99999))=99999,TRIM($AN$63),TRIM(LEFT($AN$63,MIN(IFERROR(FIND(",",$AN$63),99999),IFERROR(FIND("+",$AN$63),99999))-1))))</f>
      </c>
      <c r="AW63">
        <f>IF($AO$63="","",IF(MIN(IFERROR(FIND(",",$AO$63),99999),IFERROR(FIND("+",$AO$63),99999))=99999,TRIM($AO$63),TRIM(LEFT($AO$63,MIN(IFERROR(FIND(",",$AO$63),99999),IFERROR(FIND("+",$AO$63),99999))-1))))</f>
      </c>
      <c r="AX63">
        <f>IF($AP$63="","",IF(MIN(IFERROR(FIND(",",$AP$63),99999),IFERROR(FIND("+",$AP$63),99999))=99999,TRIM($AP$63),TRIM(LEFT($AP$63,MIN(IFERROR(FIND(",",$AP$63),99999),IFERROR(FIND("+",$AP$63),99999))-1))))</f>
      </c>
      <c r="AY63">
        <f>IF($AQ$63="","",IF(MIN(IFERROR(FIND(",",$AQ$63),99999),IFERROR(FIND("+",$AQ$63),99999))=99999,TRIM($AQ$63),TRIM(LEFT($AQ$63,MIN(IFERROR(FIND(",",$AQ$63),99999),IFERROR(FIND("+",$AQ$63),99999))-1))))</f>
      </c>
      <c r="AZ63">
        <f>IF($AR$63="","",IF(MIN(IFERROR(FIND(",",$AR$63),99999),IFERROR(FIND("+",$AR$63),99999))=99999,TRIM($AR$63),TRIM(LEFT($AR$63,MIN(IFERROR(FIND(",",$AR$63),99999),IFERROR(FIND("+",$AR$63),99999))-1))))</f>
      </c>
      <c r="BA63">
        <f>IF($AK$63="",0,1)</f>
      </c>
      <c r="BB63">
        <f>IF($AK$63="",$BA$63,$BA$63+IF(MID($AK$63,MIN(IFERROR(FIND(",",$AK$63),99999),IFERROR(FIND("+",$AK$63),99999)),1)="+",1,0))</f>
      </c>
      <c r="BC63">
        <f>IF($AL$63="",$BB$63,$BB$63+IF(MID($AL$63,MIN(IFERROR(FIND(",",$AL$63),99999),IFERROR(FIND("+",$AL$63),99999)),1)="+",1,0))</f>
      </c>
      <c r="BD63">
        <f>IF($AM$63="",$BC$63,$BC$63+IF(MID($AM$63,MIN(IFERROR(FIND(",",$AM$63),99999),IFERROR(FIND("+",$AM$63),99999)),1)="+",1,0))</f>
      </c>
      <c r="BE63">
        <f>IF($AN$63="",$BD$63,$BD$63+IF(MID($AN$63,MIN(IFERROR(FIND(",",$AN$63),99999),IFERROR(FIND("+",$AN$63),99999)),1)="+",1,0))</f>
      </c>
      <c r="BF63">
        <f>IF($AO$63="",$BE$63,$BE$63+IF(MID($AO$63,MIN(IFERROR(FIND(",",$AO$63),99999),IFERROR(FIND("+",$AO$63),99999)),1)="+",1,0))</f>
      </c>
      <c r="BG63">
        <f>IF($AP$63="",$BF$63,$BF$63+IF(MID($AP$63,MIN(IFERROR(FIND(",",$AP$63),99999),IFERROR(FIND("+",$AP$63),99999)),1)="+",1,0))</f>
      </c>
      <c r="BH63">
        <f>IF($AQ$63="",$BG$63,$BG$63+IF(MID($AQ$63,MIN(IFERROR(FIND(",",$AQ$63),99999),IFERROR(FIND("+",$AQ$63),99999)),1)="+",1,0))</f>
      </c>
      <c r="BI63">
        <f>IF($AS$63="",0,$BA$63)</f>
      </c>
      <c r="BJ63">
        <f>IF($AT$63="",0,$BB$63)</f>
      </c>
      <c r="BK63">
        <f>IF($AU$63="",0,$BC$63)</f>
      </c>
      <c r="BL63">
        <f>IF($AV$63="",0,$BD$63)</f>
      </c>
      <c r="BM63">
        <f>IF($AW$63="",0,$BE$63)</f>
      </c>
      <c r="BN63">
        <f>IF($AX$63="",0,$BF$63)</f>
      </c>
      <c r="BO63">
        <f>IF($AY$63="",0,$BG$63)</f>
      </c>
      <c r="BP63">
        <f>IF($AZ$63="",0,$BH$63)</f>
      </c>
    </row>
    <row r="64" spans="1:99" ht="15" customHeight="1" hidden="1">
      <c r="AK64">
        <f>SUBSTITUTE(SUBSTITUTE($E$4,"&amp;","+"),"/",",")</f>
      </c>
      <c r="AL64">
        <f>IF(OR($AK$64="",MIN(IFERROR(FIND(",",$AK$64),99999),IFERROR(FIND("+",$AK$64),99999))=99999),"",MID($AK$64,MIN(IFERROR(FIND(",",$AK$64),99999),IFERROR(FIND("+",$AK$64),99999))+1,99999))</f>
      </c>
      <c r="AM64">
        <f>IF(OR($AL$64="",MIN(IFERROR(FIND(",",$AL$64),99999),IFERROR(FIND("+",$AL$64),99999))=99999),"",MID($AL$64,MIN(IFERROR(FIND(",",$AL$64),99999),IFERROR(FIND("+",$AL$64),99999))+1,99999))</f>
      </c>
      <c r="AN64">
        <f>IF(OR($AM$64="",MIN(IFERROR(FIND(",",$AM$64),99999),IFERROR(FIND("+",$AM$64),99999))=99999),"",MID($AM$64,MIN(IFERROR(FIND(",",$AM$64),99999),IFERROR(FIND("+",$AM$64),99999))+1,99999))</f>
      </c>
      <c r="AO64">
        <f>IF(OR($AN$64="",MIN(IFERROR(FIND(",",$AN$64),99999),IFERROR(FIND("+",$AN$64),99999))=99999),"",MID($AN$64,MIN(IFERROR(FIND(",",$AN$64),99999),IFERROR(FIND("+",$AN$64),99999))+1,99999))</f>
      </c>
      <c r="AP64">
        <f>IF(OR($AO$64="",MIN(IFERROR(FIND(",",$AO$64),99999),IFERROR(FIND("+",$AO$64),99999))=99999),"",MID($AO$64,MIN(IFERROR(FIND(",",$AO$64),99999),IFERROR(FIND("+",$AO$64),99999))+1,99999))</f>
      </c>
      <c r="AQ64">
        <f>IF(OR($AP$64="",MIN(IFERROR(FIND(",",$AP$64),99999),IFERROR(FIND("+",$AP$64),99999))=99999),"",MID($AP$64,MIN(IFERROR(FIND(",",$AP$64),99999),IFERROR(FIND("+",$AP$64),99999))+1,99999))</f>
      </c>
      <c r="AR64">
        <f>IF(OR($AQ$64="",MIN(IFERROR(FIND(",",$AQ$64),99999),IFERROR(FIND("+",$AQ$64),99999))=99999),"",MID($AQ$64,MIN(IFERROR(FIND(",",$AQ$64),99999),IFERROR(FIND("+",$AQ$64),99999))+1,99999))</f>
      </c>
      <c r="AS64">
        <f>IF($AK$64="","",IF(MIN(IFERROR(FIND(",",$AK$64),99999),IFERROR(FIND("+",$AK$64),99999))=99999,TRIM($AK$64),TRIM(LEFT($AK$64,MIN(IFERROR(FIND(",",$AK$64),99999),IFERROR(FIND("+",$AK$64),99999))-1))))</f>
      </c>
      <c r="AT64">
        <f>IF($AL$64="","",IF(MIN(IFERROR(FIND(",",$AL$64),99999),IFERROR(FIND("+",$AL$64),99999))=99999,TRIM($AL$64),TRIM(LEFT($AL$64,MIN(IFERROR(FIND(",",$AL$64),99999),IFERROR(FIND("+",$AL$64),99999))-1))))</f>
      </c>
      <c r="AU64">
        <f>IF($AM$64="","",IF(MIN(IFERROR(FIND(",",$AM$64),99999),IFERROR(FIND("+",$AM$64),99999))=99999,TRIM($AM$64),TRIM(LEFT($AM$64,MIN(IFERROR(FIND(",",$AM$64),99999),IFERROR(FIND("+",$AM$64),99999))-1))))</f>
      </c>
      <c r="AV64">
        <f>IF($AN$64="","",IF(MIN(IFERROR(FIND(",",$AN$64),99999),IFERROR(FIND("+",$AN$64),99999))=99999,TRIM($AN$64),TRIM(LEFT($AN$64,MIN(IFERROR(FIND(",",$AN$64),99999),IFERROR(FIND("+",$AN$64),99999))-1))))</f>
      </c>
      <c r="AW64">
        <f>IF($AO$64="","",IF(MIN(IFERROR(FIND(",",$AO$64),99999),IFERROR(FIND("+",$AO$64),99999))=99999,TRIM($AO$64),TRIM(LEFT($AO$64,MIN(IFERROR(FIND(",",$AO$64),99999),IFERROR(FIND("+",$AO$64),99999))-1))))</f>
      </c>
      <c r="AX64">
        <f>IF($AP$64="","",IF(MIN(IFERROR(FIND(",",$AP$64),99999),IFERROR(FIND("+",$AP$64),99999))=99999,TRIM($AP$64),TRIM(LEFT($AP$64,MIN(IFERROR(FIND(",",$AP$64),99999),IFERROR(FIND("+",$AP$64),99999))-1))))</f>
      </c>
      <c r="AY64">
        <f>IF($AQ$64="","",IF(MIN(IFERROR(FIND(",",$AQ$64),99999),IFERROR(FIND("+",$AQ$64),99999))=99999,TRIM($AQ$64),TRIM(LEFT($AQ$64,MIN(IFERROR(FIND(",",$AQ$64),99999),IFERROR(FIND("+",$AQ$64),99999))-1))))</f>
      </c>
      <c r="AZ64">
        <f>IF($AR$64="","",IF(MIN(IFERROR(FIND(",",$AR$64),99999),IFERROR(FIND("+",$AR$64),99999))=99999,TRIM($AR$64),TRIM(LEFT($AR$64,MIN(IFERROR(FIND(",",$AR$64),99999),IFERROR(FIND("+",$AR$64),99999))-1))))</f>
      </c>
      <c r="BA64">
        <f>IF($AK$64="",0,1)</f>
      </c>
      <c r="BB64">
        <f>IF($AK$64="",$BA$64,$BA$64+IF(MID($AK$64,MIN(IFERROR(FIND(",",$AK$64),99999),IFERROR(FIND("+",$AK$64),99999)),1)="+",1,0))</f>
      </c>
      <c r="BC64">
        <f>IF($AL$64="",$BB$64,$BB$64+IF(MID($AL$64,MIN(IFERROR(FIND(",",$AL$64),99999),IFERROR(FIND("+",$AL$64),99999)),1)="+",1,0))</f>
      </c>
      <c r="BD64">
        <f>IF($AM$64="",$BC$64,$BC$64+IF(MID($AM$64,MIN(IFERROR(FIND(",",$AM$64),99999),IFERROR(FIND("+",$AM$64),99999)),1)="+",1,0))</f>
      </c>
      <c r="BE64">
        <f>IF($AN$64="",$BD$64,$BD$64+IF(MID($AN$64,MIN(IFERROR(FIND(",",$AN$64),99999),IFERROR(FIND("+",$AN$64),99999)),1)="+",1,0))</f>
      </c>
      <c r="BF64">
        <f>IF($AO$64="",$BE$64,$BE$64+IF(MID($AO$64,MIN(IFERROR(FIND(",",$AO$64),99999),IFERROR(FIND("+",$AO$64),99999)),1)="+",1,0))</f>
      </c>
      <c r="BG64">
        <f>IF($AP$64="",$BF$64,$BF$64+IF(MID($AP$64,MIN(IFERROR(FIND(",",$AP$64),99999),IFERROR(FIND("+",$AP$64),99999)),1)="+",1,0))</f>
      </c>
      <c r="BH64">
        <f>IF($AQ$64="",$BG$64,$BG$64+IF(MID($AQ$64,MIN(IFERROR(FIND(",",$AQ$64),99999),IFERROR(FIND("+",$AQ$64),99999)),1)="+",1,0))</f>
      </c>
      <c r="BI64">
        <f>IF($AS$64="",0,$BA$64)</f>
      </c>
      <c r="BJ64">
        <f>IF($AT$64="",0,$BB$64)</f>
      </c>
      <c r="BK64">
        <f>IF($AU$64="",0,$BC$64)</f>
      </c>
      <c r="BL64">
        <f>IF($AV$64="",0,$BD$64)</f>
      </c>
      <c r="BM64">
        <f>IF($AW$64="",0,$BE$64)</f>
      </c>
      <c r="BN64">
        <f>IF($AX$64="",0,$BF$64)</f>
      </c>
      <c r="BO64">
        <f>IF($AY$64="",0,$BG$64)</f>
      </c>
      <c r="BP64">
        <f>IF($AZ$64="",0,$BH$64)</f>
      </c>
    </row>
    <row r="65" spans="1:99" ht="15" customHeight="1" hidden="1">
      <c r="AK65">
        <f>SUBSTITUTE(SUBSTITUTE($F$4,"&amp;","+"),"/",",")</f>
      </c>
      <c r="AL65">
        <f>IF(OR($AK$65="",MIN(IFERROR(FIND(",",$AK$65),99999),IFERROR(FIND("+",$AK$65),99999))=99999),"",MID($AK$65,MIN(IFERROR(FIND(",",$AK$65),99999),IFERROR(FIND("+",$AK$65),99999))+1,99999))</f>
      </c>
      <c r="AM65">
        <f>IF(OR($AL$65="",MIN(IFERROR(FIND(",",$AL$65),99999),IFERROR(FIND("+",$AL$65),99999))=99999),"",MID($AL$65,MIN(IFERROR(FIND(",",$AL$65),99999),IFERROR(FIND("+",$AL$65),99999))+1,99999))</f>
      </c>
      <c r="AN65">
        <f>IF(OR($AM$65="",MIN(IFERROR(FIND(",",$AM$65),99999),IFERROR(FIND("+",$AM$65),99999))=99999),"",MID($AM$65,MIN(IFERROR(FIND(",",$AM$65),99999),IFERROR(FIND("+",$AM$65),99999))+1,99999))</f>
      </c>
      <c r="AO65">
        <f>IF(OR($AN$65="",MIN(IFERROR(FIND(",",$AN$65),99999),IFERROR(FIND("+",$AN$65),99999))=99999),"",MID($AN$65,MIN(IFERROR(FIND(",",$AN$65),99999),IFERROR(FIND("+",$AN$65),99999))+1,99999))</f>
      </c>
      <c r="AP65">
        <f>IF(OR($AO$65="",MIN(IFERROR(FIND(",",$AO$65),99999),IFERROR(FIND("+",$AO$65),99999))=99999),"",MID($AO$65,MIN(IFERROR(FIND(",",$AO$65),99999),IFERROR(FIND("+",$AO$65),99999))+1,99999))</f>
      </c>
      <c r="AQ65">
        <f>IF(OR($AP$65="",MIN(IFERROR(FIND(",",$AP$65),99999),IFERROR(FIND("+",$AP$65),99999))=99999),"",MID($AP$65,MIN(IFERROR(FIND(",",$AP$65),99999),IFERROR(FIND("+",$AP$65),99999))+1,99999))</f>
      </c>
      <c r="AR65">
        <f>IF(OR($AQ$65="",MIN(IFERROR(FIND(",",$AQ$65),99999),IFERROR(FIND("+",$AQ$65),99999))=99999),"",MID($AQ$65,MIN(IFERROR(FIND(",",$AQ$65),99999),IFERROR(FIND("+",$AQ$65),99999))+1,99999))</f>
      </c>
      <c r="AS65">
        <f>IF($AK$65="","",IF(MIN(IFERROR(FIND(",",$AK$65),99999),IFERROR(FIND("+",$AK$65),99999))=99999,TRIM($AK$65),TRIM(LEFT($AK$65,MIN(IFERROR(FIND(",",$AK$65),99999),IFERROR(FIND("+",$AK$65),99999))-1))))</f>
      </c>
      <c r="AT65">
        <f>IF($AL$65="","",IF(MIN(IFERROR(FIND(",",$AL$65),99999),IFERROR(FIND("+",$AL$65),99999))=99999,TRIM($AL$65),TRIM(LEFT($AL$65,MIN(IFERROR(FIND(",",$AL$65),99999),IFERROR(FIND("+",$AL$65),99999))-1))))</f>
      </c>
      <c r="AU65">
        <f>IF($AM$65="","",IF(MIN(IFERROR(FIND(",",$AM$65),99999),IFERROR(FIND("+",$AM$65),99999))=99999,TRIM($AM$65),TRIM(LEFT($AM$65,MIN(IFERROR(FIND(",",$AM$65),99999),IFERROR(FIND("+",$AM$65),99999))-1))))</f>
      </c>
      <c r="AV65">
        <f>IF($AN$65="","",IF(MIN(IFERROR(FIND(",",$AN$65),99999),IFERROR(FIND("+",$AN$65),99999))=99999,TRIM($AN$65),TRIM(LEFT($AN$65,MIN(IFERROR(FIND(",",$AN$65),99999),IFERROR(FIND("+",$AN$65),99999))-1))))</f>
      </c>
      <c r="AW65">
        <f>IF($AO$65="","",IF(MIN(IFERROR(FIND(",",$AO$65),99999),IFERROR(FIND("+",$AO$65),99999))=99999,TRIM($AO$65),TRIM(LEFT($AO$65,MIN(IFERROR(FIND(",",$AO$65),99999),IFERROR(FIND("+",$AO$65),99999))-1))))</f>
      </c>
      <c r="AX65">
        <f>IF($AP$65="","",IF(MIN(IFERROR(FIND(",",$AP$65),99999),IFERROR(FIND("+",$AP$65),99999))=99999,TRIM($AP$65),TRIM(LEFT($AP$65,MIN(IFERROR(FIND(",",$AP$65),99999),IFERROR(FIND("+",$AP$65),99999))-1))))</f>
      </c>
      <c r="AY65">
        <f>IF($AQ$65="","",IF(MIN(IFERROR(FIND(",",$AQ$65),99999),IFERROR(FIND("+",$AQ$65),99999))=99999,TRIM($AQ$65),TRIM(LEFT($AQ$65,MIN(IFERROR(FIND(",",$AQ$65),99999),IFERROR(FIND("+",$AQ$65),99999))-1))))</f>
      </c>
      <c r="AZ65">
        <f>IF($AR$65="","",IF(MIN(IFERROR(FIND(",",$AR$65),99999),IFERROR(FIND("+",$AR$65),99999))=99999,TRIM($AR$65),TRIM(LEFT($AR$65,MIN(IFERROR(FIND(",",$AR$65),99999),IFERROR(FIND("+",$AR$65),99999))-1))))</f>
      </c>
      <c r="BA65">
        <f>IF($AK$65="",0,1)</f>
      </c>
      <c r="BB65">
        <f>IF($AK$65="",$BA$65,$BA$65+IF(MID($AK$65,MIN(IFERROR(FIND(",",$AK$65),99999),IFERROR(FIND("+",$AK$65),99999)),1)="+",1,0))</f>
      </c>
      <c r="BC65">
        <f>IF($AL$65="",$BB$65,$BB$65+IF(MID($AL$65,MIN(IFERROR(FIND(",",$AL$65),99999),IFERROR(FIND("+",$AL$65),99999)),1)="+",1,0))</f>
      </c>
      <c r="BD65">
        <f>IF($AM$65="",$BC$65,$BC$65+IF(MID($AM$65,MIN(IFERROR(FIND(",",$AM$65),99999),IFERROR(FIND("+",$AM$65),99999)),1)="+",1,0))</f>
      </c>
      <c r="BE65">
        <f>IF($AN$65="",$BD$65,$BD$65+IF(MID($AN$65,MIN(IFERROR(FIND(",",$AN$65),99999),IFERROR(FIND("+",$AN$65),99999)),1)="+",1,0))</f>
      </c>
      <c r="BF65">
        <f>IF($AO$65="",$BE$65,$BE$65+IF(MID($AO$65,MIN(IFERROR(FIND(",",$AO$65),99999),IFERROR(FIND("+",$AO$65),99999)),1)="+",1,0))</f>
      </c>
      <c r="BG65">
        <f>IF($AP$65="",$BF$65,$BF$65+IF(MID($AP$65,MIN(IFERROR(FIND(",",$AP$65),99999),IFERROR(FIND("+",$AP$65),99999)),1)="+",1,0))</f>
      </c>
      <c r="BH65">
        <f>IF($AQ$65="",$BG$65,$BG$65+IF(MID($AQ$65,MIN(IFERROR(FIND(",",$AQ$65),99999),IFERROR(FIND("+",$AQ$65),99999)),1)="+",1,0))</f>
      </c>
      <c r="BI65">
        <f>IF($AS$65="",0,$BA$65)</f>
      </c>
      <c r="BJ65">
        <f>IF($AT$65="",0,$BB$65)</f>
      </c>
      <c r="BK65">
        <f>IF($AU$65="",0,$BC$65)</f>
      </c>
      <c r="BL65">
        <f>IF($AV$65="",0,$BD$65)</f>
      </c>
      <c r="BM65">
        <f>IF($AW$65="",0,$BE$65)</f>
      </c>
      <c r="BN65">
        <f>IF($AX$65="",0,$BF$65)</f>
      </c>
      <c r="BO65">
        <f>IF($AY$65="",0,$BG$65)</f>
      </c>
      <c r="BP65">
        <f>IF($AZ$65="",0,$BH$65)</f>
      </c>
    </row>
    <row r="66" spans="1:99" ht="15" customHeight="1" hidden="1">
      <c r="AK66">
        <f>SUBSTITUTE(SUBSTITUTE($G$4,"&amp;","+"),"/",",")</f>
      </c>
      <c r="AL66">
        <f>IF(OR($AK$66="",MIN(IFERROR(FIND(",",$AK$66),99999),IFERROR(FIND("+",$AK$66),99999))=99999),"",MID($AK$66,MIN(IFERROR(FIND(",",$AK$66),99999),IFERROR(FIND("+",$AK$66),99999))+1,99999))</f>
      </c>
      <c r="AM66">
        <f>IF(OR($AL$66="",MIN(IFERROR(FIND(",",$AL$66),99999),IFERROR(FIND("+",$AL$66),99999))=99999),"",MID($AL$66,MIN(IFERROR(FIND(",",$AL$66),99999),IFERROR(FIND("+",$AL$66),99999))+1,99999))</f>
      </c>
      <c r="AN66">
        <f>IF(OR($AM$66="",MIN(IFERROR(FIND(",",$AM$66),99999),IFERROR(FIND("+",$AM$66),99999))=99999),"",MID($AM$66,MIN(IFERROR(FIND(",",$AM$66),99999),IFERROR(FIND("+",$AM$66),99999))+1,99999))</f>
      </c>
      <c r="AO66">
        <f>IF(OR($AN$66="",MIN(IFERROR(FIND(",",$AN$66),99999),IFERROR(FIND("+",$AN$66),99999))=99999),"",MID($AN$66,MIN(IFERROR(FIND(",",$AN$66),99999),IFERROR(FIND("+",$AN$66),99999))+1,99999))</f>
      </c>
      <c r="AP66">
        <f>IF(OR($AO$66="",MIN(IFERROR(FIND(",",$AO$66),99999),IFERROR(FIND("+",$AO$66),99999))=99999),"",MID($AO$66,MIN(IFERROR(FIND(",",$AO$66),99999),IFERROR(FIND("+",$AO$66),99999))+1,99999))</f>
      </c>
      <c r="AQ66">
        <f>IF(OR($AP$66="",MIN(IFERROR(FIND(",",$AP$66),99999),IFERROR(FIND("+",$AP$66),99999))=99999),"",MID($AP$66,MIN(IFERROR(FIND(",",$AP$66),99999),IFERROR(FIND("+",$AP$66),99999))+1,99999))</f>
      </c>
      <c r="AR66">
        <f>IF(OR($AQ$66="",MIN(IFERROR(FIND(",",$AQ$66),99999),IFERROR(FIND("+",$AQ$66),99999))=99999),"",MID($AQ$66,MIN(IFERROR(FIND(",",$AQ$66),99999),IFERROR(FIND("+",$AQ$66),99999))+1,99999))</f>
      </c>
      <c r="AS66">
        <f>IF($AK$66="","",IF(MIN(IFERROR(FIND(",",$AK$66),99999),IFERROR(FIND("+",$AK$66),99999))=99999,TRIM($AK$66),TRIM(LEFT($AK$66,MIN(IFERROR(FIND(",",$AK$66),99999),IFERROR(FIND("+",$AK$66),99999))-1))))</f>
      </c>
      <c r="AT66">
        <f>IF($AL$66="","",IF(MIN(IFERROR(FIND(",",$AL$66),99999),IFERROR(FIND("+",$AL$66),99999))=99999,TRIM($AL$66),TRIM(LEFT($AL$66,MIN(IFERROR(FIND(",",$AL$66),99999),IFERROR(FIND("+",$AL$66),99999))-1))))</f>
      </c>
      <c r="AU66">
        <f>IF($AM$66="","",IF(MIN(IFERROR(FIND(",",$AM$66),99999),IFERROR(FIND("+",$AM$66),99999))=99999,TRIM($AM$66),TRIM(LEFT($AM$66,MIN(IFERROR(FIND(",",$AM$66),99999),IFERROR(FIND("+",$AM$66),99999))-1))))</f>
      </c>
      <c r="AV66">
        <f>IF($AN$66="","",IF(MIN(IFERROR(FIND(",",$AN$66),99999),IFERROR(FIND("+",$AN$66),99999))=99999,TRIM($AN$66),TRIM(LEFT($AN$66,MIN(IFERROR(FIND(",",$AN$66),99999),IFERROR(FIND("+",$AN$66),99999))-1))))</f>
      </c>
      <c r="AW66">
        <f>IF($AO$66="","",IF(MIN(IFERROR(FIND(",",$AO$66),99999),IFERROR(FIND("+",$AO$66),99999))=99999,TRIM($AO$66),TRIM(LEFT($AO$66,MIN(IFERROR(FIND(",",$AO$66),99999),IFERROR(FIND("+",$AO$66),99999))-1))))</f>
      </c>
      <c r="AX66">
        <f>IF($AP$66="","",IF(MIN(IFERROR(FIND(",",$AP$66),99999),IFERROR(FIND("+",$AP$66),99999))=99999,TRIM($AP$66),TRIM(LEFT($AP$66,MIN(IFERROR(FIND(",",$AP$66),99999),IFERROR(FIND("+",$AP$66),99999))-1))))</f>
      </c>
      <c r="AY66">
        <f>IF($AQ$66="","",IF(MIN(IFERROR(FIND(",",$AQ$66),99999),IFERROR(FIND("+",$AQ$66),99999))=99999,TRIM($AQ$66),TRIM(LEFT($AQ$66,MIN(IFERROR(FIND(",",$AQ$66),99999),IFERROR(FIND("+",$AQ$66),99999))-1))))</f>
      </c>
      <c r="AZ66">
        <f>IF($AR$66="","",IF(MIN(IFERROR(FIND(",",$AR$66),99999),IFERROR(FIND("+",$AR$66),99999))=99999,TRIM($AR$66),TRIM(LEFT($AR$66,MIN(IFERROR(FIND(",",$AR$66),99999),IFERROR(FIND("+",$AR$66),99999))-1))))</f>
      </c>
      <c r="BA66">
        <f>IF($AK$66="",0,1)</f>
      </c>
      <c r="BB66">
        <f>IF($AK$66="",$BA$66,$BA$66+IF(MID($AK$66,MIN(IFERROR(FIND(",",$AK$66),99999),IFERROR(FIND("+",$AK$66),99999)),1)="+",1,0))</f>
      </c>
      <c r="BC66">
        <f>IF($AL$66="",$BB$66,$BB$66+IF(MID($AL$66,MIN(IFERROR(FIND(",",$AL$66),99999),IFERROR(FIND("+",$AL$66),99999)),1)="+",1,0))</f>
      </c>
      <c r="BD66">
        <f>IF($AM$66="",$BC$66,$BC$66+IF(MID($AM$66,MIN(IFERROR(FIND(",",$AM$66),99999),IFERROR(FIND("+",$AM$66),99999)),1)="+",1,0))</f>
      </c>
      <c r="BE66">
        <f>IF($AN$66="",$BD$66,$BD$66+IF(MID($AN$66,MIN(IFERROR(FIND(",",$AN$66),99999),IFERROR(FIND("+",$AN$66),99999)),1)="+",1,0))</f>
      </c>
      <c r="BF66">
        <f>IF($AO$66="",$BE$66,$BE$66+IF(MID($AO$66,MIN(IFERROR(FIND(",",$AO$66),99999),IFERROR(FIND("+",$AO$66),99999)),1)="+",1,0))</f>
      </c>
      <c r="BG66">
        <f>IF($AP$66="",$BF$66,$BF$66+IF(MID($AP$66,MIN(IFERROR(FIND(",",$AP$66),99999),IFERROR(FIND("+",$AP$66),99999)),1)="+",1,0))</f>
      </c>
      <c r="BH66">
        <f>IF($AQ$66="",$BG$66,$BG$66+IF(MID($AQ$66,MIN(IFERROR(FIND(",",$AQ$66),99999),IFERROR(FIND("+",$AQ$66),99999)),1)="+",1,0))</f>
      </c>
      <c r="BI66">
        <f>IF($AS$66="",0,$BA$66)</f>
      </c>
      <c r="BJ66">
        <f>IF($AT$66="",0,$BB$66)</f>
      </c>
      <c r="BK66">
        <f>IF($AU$66="",0,$BC$66)</f>
      </c>
      <c r="BL66">
        <f>IF($AV$66="",0,$BD$66)</f>
      </c>
      <c r="BM66">
        <f>IF($AW$66="",0,$BE$66)</f>
      </c>
      <c r="BN66">
        <f>IF($AX$66="",0,$BF$66)</f>
      </c>
      <c r="BO66">
        <f>IF($AY$66="",0,$BG$66)</f>
      </c>
      <c r="BP66">
        <f>IF($AZ$66="",0,$BH$66)</f>
      </c>
    </row>
    <row r="67" spans="1:99" ht="15" customHeight="1" hidden="1">
      <c r="AK67">
        <f>SUBSTITUTE(SUBSTITUTE($H$4,"&amp;","+"),"/",",")</f>
      </c>
      <c r="AL67">
        <f>IF(OR($AK$67="",MIN(IFERROR(FIND(",",$AK$67),99999),IFERROR(FIND("+",$AK$67),99999))=99999),"",MID($AK$67,MIN(IFERROR(FIND(",",$AK$67),99999),IFERROR(FIND("+",$AK$67),99999))+1,99999))</f>
      </c>
      <c r="AM67">
        <f>IF(OR($AL$67="",MIN(IFERROR(FIND(",",$AL$67),99999),IFERROR(FIND("+",$AL$67),99999))=99999),"",MID($AL$67,MIN(IFERROR(FIND(",",$AL$67),99999),IFERROR(FIND("+",$AL$67),99999))+1,99999))</f>
      </c>
      <c r="AN67">
        <f>IF(OR($AM$67="",MIN(IFERROR(FIND(",",$AM$67),99999),IFERROR(FIND("+",$AM$67),99999))=99999),"",MID($AM$67,MIN(IFERROR(FIND(",",$AM$67),99999),IFERROR(FIND("+",$AM$67),99999))+1,99999))</f>
      </c>
      <c r="AO67">
        <f>IF(OR($AN$67="",MIN(IFERROR(FIND(",",$AN$67),99999),IFERROR(FIND("+",$AN$67),99999))=99999),"",MID($AN$67,MIN(IFERROR(FIND(",",$AN$67),99999),IFERROR(FIND("+",$AN$67),99999))+1,99999))</f>
      </c>
      <c r="AP67">
        <f>IF(OR($AO$67="",MIN(IFERROR(FIND(",",$AO$67),99999),IFERROR(FIND("+",$AO$67),99999))=99999),"",MID($AO$67,MIN(IFERROR(FIND(",",$AO$67),99999),IFERROR(FIND("+",$AO$67),99999))+1,99999))</f>
      </c>
      <c r="AQ67">
        <f>IF(OR($AP$67="",MIN(IFERROR(FIND(",",$AP$67),99999),IFERROR(FIND("+",$AP$67),99999))=99999),"",MID($AP$67,MIN(IFERROR(FIND(",",$AP$67),99999),IFERROR(FIND("+",$AP$67),99999))+1,99999))</f>
      </c>
      <c r="AR67">
        <f>IF(OR($AQ$67="",MIN(IFERROR(FIND(",",$AQ$67),99999),IFERROR(FIND("+",$AQ$67),99999))=99999),"",MID($AQ$67,MIN(IFERROR(FIND(",",$AQ$67),99999),IFERROR(FIND("+",$AQ$67),99999))+1,99999))</f>
      </c>
      <c r="AS67">
        <f>IF($AK$67="","",IF(MIN(IFERROR(FIND(",",$AK$67),99999),IFERROR(FIND("+",$AK$67),99999))=99999,TRIM($AK$67),TRIM(LEFT($AK$67,MIN(IFERROR(FIND(",",$AK$67),99999),IFERROR(FIND("+",$AK$67),99999))-1))))</f>
      </c>
      <c r="AT67">
        <f>IF($AL$67="","",IF(MIN(IFERROR(FIND(",",$AL$67),99999),IFERROR(FIND("+",$AL$67),99999))=99999,TRIM($AL$67),TRIM(LEFT($AL$67,MIN(IFERROR(FIND(",",$AL$67),99999),IFERROR(FIND("+",$AL$67),99999))-1))))</f>
      </c>
      <c r="AU67">
        <f>IF($AM$67="","",IF(MIN(IFERROR(FIND(",",$AM$67),99999),IFERROR(FIND("+",$AM$67),99999))=99999,TRIM($AM$67),TRIM(LEFT($AM$67,MIN(IFERROR(FIND(",",$AM$67),99999),IFERROR(FIND("+",$AM$67),99999))-1))))</f>
      </c>
      <c r="AV67">
        <f>IF($AN$67="","",IF(MIN(IFERROR(FIND(",",$AN$67),99999),IFERROR(FIND("+",$AN$67),99999))=99999,TRIM($AN$67),TRIM(LEFT($AN$67,MIN(IFERROR(FIND(",",$AN$67),99999),IFERROR(FIND("+",$AN$67),99999))-1))))</f>
      </c>
      <c r="AW67">
        <f>IF($AO$67="","",IF(MIN(IFERROR(FIND(",",$AO$67),99999),IFERROR(FIND("+",$AO$67),99999))=99999,TRIM($AO$67),TRIM(LEFT($AO$67,MIN(IFERROR(FIND(",",$AO$67),99999),IFERROR(FIND("+",$AO$67),99999))-1))))</f>
      </c>
      <c r="AX67">
        <f>IF($AP$67="","",IF(MIN(IFERROR(FIND(",",$AP$67),99999),IFERROR(FIND("+",$AP$67),99999))=99999,TRIM($AP$67),TRIM(LEFT($AP$67,MIN(IFERROR(FIND(",",$AP$67),99999),IFERROR(FIND("+",$AP$67),99999))-1))))</f>
      </c>
      <c r="AY67">
        <f>IF($AQ$67="","",IF(MIN(IFERROR(FIND(",",$AQ$67),99999),IFERROR(FIND("+",$AQ$67),99999))=99999,TRIM($AQ$67),TRIM(LEFT($AQ$67,MIN(IFERROR(FIND(",",$AQ$67),99999),IFERROR(FIND("+",$AQ$67),99999))-1))))</f>
      </c>
      <c r="AZ67">
        <f>IF($AR$67="","",IF(MIN(IFERROR(FIND(",",$AR$67),99999),IFERROR(FIND("+",$AR$67),99999))=99999,TRIM($AR$67),TRIM(LEFT($AR$67,MIN(IFERROR(FIND(",",$AR$67),99999),IFERROR(FIND("+",$AR$67),99999))-1))))</f>
      </c>
      <c r="BA67">
        <f>IF($AK$67="",0,1)</f>
      </c>
      <c r="BB67">
        <f>IF($AK$67="",$BA$67,$BA$67+IF(MID($AK$67,MIN(IFERROR(FIND(",",$AK$67),99999),IFERROR(FIND("+",$AK$67),99999)),1)="+",1,0))</f>
      </c>
      <c r="BC67">
        <f>IF($AL$67="",$BB$67,$BB$67+IF(MID($AL$67,MIN(IFERROR(FIND(",",$AL$67),99999),IFERROR(FIND("+",$AL$67),99999)),1)="+",1,0))</f>
      </c>
      <c r="BD67">
        <f>IF($AM$67="",$BC$67,$BC$67+IF(MID($AM$67,MIN(IFERROR(FIND(",",$AM$67),99999),IFERROR(FIND("+",$AM$67),99999)),1)="+",1,0))</f>
      </c>
      <c r="BE67">
        <f>IF($AN$67="",$BD$67,$BD$67+IF(MID($AN$67,MIN(IFERROR(FIND(",",$AN$67),99999),IFERROR(FIND("+",$AN$67),99999)),1)="+",1,0))</f>
      </c>
      <c r="BF67">
        <f>IF($AO$67="",$BE$67,$BE$67+IF(MID($AO$67,MIN(IFERROR(FIND(",",$AO$67),99999),IFERROR(FIND("+",$AO$67),99999)),1)="+",1,0))</f>
      </c>
      <c r="BG67">
        <f>IF($AP$67="",$BF$67,$BF$67+IF(MID($AP$67,MIN(IFERROR(FIND(",",$AP$67),99999),IFERROR(FIND("+",$AP$67),99999)),1)="+",1,0))</f>
      </c>
      <c r="BH67">
        <f>IF($AQ$67="",$BG$67,$BG$67+IF(MID($AQ$67,MIN(IFERROR(FIND(",",$AQ$67),99999),IFERROR(FIND("+",$AQ$67),99999)),1)="+",1,0))</f>
      </c>
      <c r="BI67">
        <f>IF($AS$67="",0,$BA$67)</f>
      </c>
      <c r="BJ67">
        <f>IF($AT$67="",0,$BB$67)</f>
      </c>
      <c r="BK67">
        <f>IF($AU$67="",0,$BC$67)</f>
      </c>
      <c r="BL67">
        <f>IF($AV$67="",0,$BD$67)</f>
      </c>
      <c r="BM67">
        <f>IF($AW$67="",0,$BE$67)</f>
      </c>
      <c r="BN67">
        <f>IF($AX$67="",0,$BF$67)</f>
      </c>
      <c r="BO67">
        <f>IF($AY$67="",0,$BG$67)</f>
      </c>
      <c r="BP67">
        <f>IF($AZ$67="",0,$BH$67)</f>
      </c>
    </row>
    <row r="68" spans="1:99" ht="15" customHeight="1" hidden="1">
      <c r="AK68">
        <f>SUBSTITUTE(SUBSTITUTE($I$4,"&amp;","+"),"/",",")</f>
      </c>
      <c r="AL68">
        <f>IF(OR($AK$68="",MIN(IFERROR(FIND(",",$AK$68),99999),IFERROR(FIND("+",$AK$68),99999))=99999),"",MID($AK$68,MIN(IFERROR(FIND(",",$AK$68),99999),IFERROR(FIND("+",$AK$68),99999))+1,99999))</f>
      </c>
      <c r="AM68">
        <f>IF(OR($AL$68="",MIN(IFERROR(FIND(",",$AL$68),99999),IFERROR(FIND("+",$AL$68),99999))=99999),"",MID($AL$68,MIN(IFERROR(FIND(",",$AL$68),99999),IFERROR(FIND("+",$AL$68),99999))+1,99999))</f>
      </c>
      <c r="AN68">
        <f>IF(OR($AM$68="",MIN(IFERROR(FIND(",",$AM$68),99999),IFERROR(FIND("+",$AM$68),99999))=99999),"",MID($AM$68,MIN(IFERROR(FIND(",",$AM$68),99999),IFERROR(FIND("+",$AM$68),99999))+1,99999))</f>
      </c>
      <c r="AO68">
        <f>IF(OR($AN$68="",MIN(IFERROR(FIND(",",$AN$68),99999),IFERROR(FIND("+",$AN$68),99999))=99999),"",MID($AN$68,MIN(IFERROR(FIND(",",$AN$68),99999),IFERROR(FIND("+",$AN$68),99999))+1,99999))</f>
      </c>
      <c r="AP68">
        <f>IF(OR($AO$68="",MIN(IFERROR(FIND(",",$AO$68),99999),IFERROR(FIND("+",$AO$68),99999))=99999),"",MID($AO$68,MIN(IFERROR(FIND(",",$AO$68),99999),IFERROR(FIND("+",$AO$68),99999))+1,99999))</f>
      </c>
      <c r="AQ68">
        <f>IF(OR($AP$68="",MIN(IFERROR(FIND(",",$AP$68),99999),IFERROR(FIND("+",$AP$68),99999))=99999),"",MID($AP$68,MIN(IFERROR(FIND(",",$AP$68),99999),IFERROR(FIND("+",$AP$68),99999))+1,99999))</f>
      </c>
      <c r="AR68">
        <f>IF(OR($AQ$68="",MIN(IFERROR(FIND(",",$AQ$68),99999),IFERROR(FIND("+",$AQ$68),99999))=99999),"",MID($AQ$68,MIN(IFERROR(FIND(",",$AQ$68),99999),IFERROR(FIND("+",$AQ$68),99999))+1,99999))</f>
      </c>
      <c r="AS68">
        <f>IF($AK$68="","",IF(MIN(IFERROR(FIND(",",$AK$68),99999),IFERROR(FIND("+",$AK$68),99999))=99999,TRIM($AK$68),TRIM(LEFT($AK$68,MIN(IFERROR(FIND(",",$AK$68),99999),IFERROR(FIND("+",$AK$68),99999))-1))))</f>
      </c>
      <c r="AT68">
        <f>IF($AL$68="","",IF(MIN(IFERROR(FIND(",",$AL$68),99999),IFERROR(FIND("+",$AL$68),99999))=99999,TRIM($AL$68),TRIM(LEFT($AL$68,MIN(IFERROR(FIND(",",$AL$68),99999),IFERROR(FIND("+",$AL$68),99999))-1))))</f>
      </c>
      <c r="AU68">
        <f>IF($AM$68="","",IF(MIN(IFERROR(FIND(",",$AM$68),99999),IFERROR(FIND("+",$AM$68),99999))=99999,TRIM($AM$68),TRIM(LEFT($AM$68,MIN(IFERROR(FIND(",",$AM$68),99999),IFERROR(FIND("+",$AM$68),99999))-1))))</f>
      </c>
      <c r="AV68">
        <f>IF($AN$68="","",IF(MIN(IFERROR(FIND(",",$AN$68),99999),IFERROR(FIND("+",$AN$68),99999))=99999,TRIM($AN$68),TRIM(LEFT($AN$68,MIN(IFERROR(FIND(",",$AN$68),99999),IFERROR(FIND("+",$AN$68),99999))-1))))</f>
      </c>
      <c r="AW68">
        <f>IF($AO$68="","",IF(MIN(IFERROR(FIND(",",$AO$68),99999),IFERROR(FIND("+",$AO$68),99999))=99999,TRIM($AO$68),TRIM(LEFT($AO$68,MIN(IFERROR(FIND(",",$AO$68),99999),IFERROR(FIND("+",$AO$68),99999))-1))))</f>
      </c>
      <c r="AX68">
        <f>IF($AP$68="","",IF(MIN(IFERROR(FIND(",",$AP$68),99999),IFERROR(FIND("+",$AP$68),99999))=99999,TRIM($AP$68),TRIM(LEFT($AP$68,MIN(IFERROR(FIND(",",$AP$68),99999),IFERROR(FIND("+",$AP$68),99999))-1))))</f>
      </c>
      <c r="AY68">
        <f>IF($AQ$68="","",IF(MIN(IFERROR(FIND(",",$AQ$68),99999),IFERROR(FIND("+",$AQ$68),99999))=99999,TRIM($AQ$68),TRIM(LEFT($AQ$68,MIN(IFERROR(FIND(",",$AQ$68),99999),IFERROR(FIND("+",$AQ$68),99999))-1))))</f>
      </c>
      <c r="AZ68">
        <f>IF($AR$68="","",IF(MIN(IFERROR(FIND(",",$AR$68),99999),IFERROR(FIND("+",$AR$68),99999))=99999,TRIM($AR$68),TRIM(LEFT($AR$68,MIN(IFERROR(FIND(",",$AR$68),99999),IFERROR(FIND("+",$AR$68),99999))-1))))</f>
      </c>
      <c r="BA68">
        <f>IF($AK$68="",0,1)</f>
      </c>
      <c r="BB68">
        <f>IF($AK$68="",$BA$68,$BA$68+IF(MID($AK$68,MIN(IFERROR(FIND(",",$AK$68),99999),IFERROR(FIND("+",$AK$68),99999)),1)="+",1,0))</f>
      </c>
      <c r="BC68">
        <f>IF($AL$68="",$BB$68,$BB$68+IF(MID($AL$68,MIN(IFERROR(FIND(",",$AL$68),99999),IFERROR(FIND("+",$AL$68),99999)),1)="+",1,0))</f>
      </c>
      <c r="BD68">
        <f>IF($AM$68="",$BC$68,$BC$68+IF(MID($AM$68,MIN(IFERROR(FIND(",",$AM$68),99999),IFERROR(FIND("+",$AM$68),99999)),1)="+",1,0))</f>
      </c>
      <c r="BE68">
        <f>IF($AN$68="",$BD$68,$BD$68+IF(MID($AN$68,MIN(IFERROR(FIND(",",$AN$68),99999),IFERROR(FIND("+",$AN$68),99999)),1)="+",1,0))</f>
      </c>
      <c r="BF68">
        <f>IF($AO$68="",$BE$68,$BE$68+IF(MID($AO$68,MIN(IFERROR(FIND(",",$AO$68),99999),IFERROR(FIND("+",$AO$68),99999)),1)="+",1,0))</f>
      </c>
      <c r="BG68">
        <f>IF($AP$68="",$BF$68,$BF$68+IF(MID($AP$68,MIN(IFERROR(FIND(",",$AP$68),99999),IFERROR(FIND("+",$AP$68),99999)),1)="+",1,0))</f>
      </c>
      <c r="BH68">
        <f>IF($AQ$68="",$BG$68,$BG$68+IF(MID($AQ$68,MIN(IFERROR(FIND(",",$AQ$68),99999),IFERROR(FIND("+",$AQ$68),99999)),1)="+",1,0))</f>
      </c>
      <c r="BI68">
        <f>IF($AS$68="",0,$BA$68)</f>
      </c>
      <c r="BJ68">
        <f>IF($AT$68="",0,$BB$68)</f>
      </c>
      <c r="BK68">
        <f>IF($AU$68="",0,$BC$68)</f>
      </c>
      <c r="BL68">
        <f>IF($AV$68="",0,$BD$68)</f>
      </c>
      <c r="BM68">
        <f>IF($AW$68="",0,$BE$68)</f>
      </c>
      <c r="BN68">
        <f>IF($AX$68="",0,$BF$68)</f>
      </c>
      <c r="BO68">
        <f>IF($AY$68="",0,$BG$68)</f>
      </c>
      <c r="BP68">
        <f>IF($AZ$68="",0,$BH$68)</f>
      </c>
    </row>
    <row r="69" spans="1:99" ht="15" customHeight="1" hidden="1">
      <c r="AK69">
        <f>SUBSTITUTE(SUBSTITUTE($J$4,"&amp;","+"),"/",",")</f>
      </c>
      <c r="AL69">
        <f>IF(OR($AK$69="",MIN(IFERROR(FIND(",",$AK$69),99999),IFERROR(FIND("+",$AK$69),99999))=99999),"",MID($AK$69,MIN(IFERROR(FIND(",",$AK$69),99999),IFERROR(FIND("+",$AK$69),99999))+1,99999))</f>
      </c>
      <c r="AM69">
        <f>IF(OR($AL$69="",MIN(IFERROR(FIND(",",$AL$69),99999),IFERROR(FIND("+",$AL$69),99999))=99999),"",MID($AL$69,MIN(IFERROR(FIND(",",$AL$69),99999),IFERROR(FIND("+",$AL$69),99999))+1,99999))</f>
      </c>
      <c r="AN69">
        <f>IF(OR($AM$69="",MIN(IFERROR(FIND(",",$AM$69),99999),IFERROR(FIND("+",$AM$69),99999))=99999),"",MID($AM$69,MIN(IFERROR(FIND(",",$AM$69),99999),IFERROR(FIND("+",$AM$69),99999))+1,99999))</f>
      </c>
      <c r="AO69">
        <f>IF(OR($AN$69="",MIN(IFERROR(FIND(",",$AN$69),99999),IFERROR(FIND("+",$AN$69),99999))=99999),"",MID($AN$69,MIN(IFERROR(FIND(",",$AN$69),99999),IFERROR(FIND("+",$AN$69),99999))+1,99999))</f>
      </c>
      <c r="AP69">
        <f>IF(OR($AO$69="",MIN(IFERROR(FIND(",",$AO$69),99999),IFERROR(FIND("+",$AO$69),99999))=99999),"",MID($AO$69,MIN(IFERROR(FIND(",",$AO$69),99999),IFERROR(FIND("+",$AO$69),99999))+1,99999))</f>
      </c>
      <c r="AQ69">
        <f>IF(OR($AP$69="",MIN(IFERROR(FIND(",",$AP$69),99999),IFERROR(FIND("+",$AP$69),99999))=99999),"",MID($AP$69,MIN(IFERROR(FIND(",",$AP$69),99999),IFERROR(FIND("+",$AP$69),99999))+1,99999))</f>
      </c>
      <c r="AR69">
        <f>IF(OR($AQ$69="",MIN(IFERROR(FIND(",",$AQ$69),99999),IFERROR(FIND("+",$AQ$69),99999))=99999),"",MID($AQ$69,MIN(IFERROR(FIND(",",$AQ$69),99999),IFERROR(FIND("+",$AQ$69),99999))+1,99999))</f>
      </c>
      <c r="AS69">
        <f>IF($AK$69="","",IF(MIN(IFERROR(FIND(",",$AK$69),99999),IFERROR(FIND("+",$AK$69),99999))=99999,TRIM($AK$69),TRIM(LEFT($AK$69,MIN(IFERROR(FIND(",",$AK$69),99999),IFERROR(FIND("+",$AK$69),99999))-1))))</f>
      </c>
      <c r="AT69">
        <f>IF($AL$69="","",IF(MIN(IFERROR(FIND(",",$AL$69),99999),IFERROR(FIND("+",$AL$69),99999))=99999,TRIM($AL$69),TRIM(LEFT($AL$69,MIN(IFERROR(FIND(",",$AL$69),99999),IFERROR(FIND("+",$AL$69),99999))-1))))</f>
      </c>
      <c r="AU69">
        <f>IF($AM$69="","",IF(MIN(IFERROR(FIND(",",$AM$69),99999),IFERROR(FIND("+",$AM$69),99999))=99999,TRIM($AM$69),TRIM(LEFT($AM$69,MIN(IFERROR(FIND(",",$AM$69),99999),IFERROR(FIND("+",$AM$69),99999))-1))))</f>
      </c>
      <c r="AV69">
        <f>IF($AN$69="","",IF(MIN(IFERROR(FIND(",",$AN$69),99999),IFERROR(FIND("+",$AN$69),99999))=99999,TRIM($AN$69),TRIM(LEFT($AN$69,MIN(IFERROR(FIND(",",$AN$69),99999),IFERROR(FIND("+",$AN$69),99999))-1))))</f>
      </c>
      <c r="AW69">
        <f>IF($AO$69="","",IF(MIN(IFERROR(FIND(",",$AO$69),99999),IFERROR(FIND("+",$AO$69),99999))=99999,TRIM($AO$69),TRIM(LEFT($AO$69,MIN(IFERROR(FIND(",",$AO$69),99999),IFERROR(FIND("+",$AO$69),99999))-1))))</f>
      </c>
      <c r="AX69">
        <f>IF($AP$69="","",IF(MIN(IFERROR(FIND(",",$AP$69),99999),IFERROR(FIND("+",$AP$69),99999))=99999,TRIM($AP$69),TRIM(LEFT($AP$69,MIN(IFERROR(FIND(",",$AP$69),99999),IFERROR(FIND("+",$AP$69),99999))-1))))</f>
      </c>
      <c r="AY69">
        <f>IF($AQ$69="","",IF(MIN(IFERROR(FIND(",",$AQ$69),99999),IFERROR(FIND("+",$AQ$69),99999))=99999,TRIM($AQ$69),TRIM(LEFT($AQ$69,MIN(IFERROR(FIND(",",$AQ$69),99999),IFERROR(FIND("+",$AQ$69),99999))-1))))</f>
      </c>
      <c r="AZ69">
        <f>IF($AR$69="","",IF(MIN(IFERROR(FIND(",",$AR$69),99999),IFERROR(FIND("+",$AR$69),99999))=99999,TRIM($AR$69),TRIM(LEFT($AR$69,MIN(IFERROR(FIND(",",$AR$69),99999),IFERROR(FIND("+",$AR$69),99999))-1))))</f>
      </c>
      <c r="BA69">
        <f>IF($AK$69="",0,1)</f>
      </c>
      <c r="BB69">
        <f>IF($AK$69="",$BA$69,$BA$69+IF(MID($AK$69,MIN(IFERROR(FIND(",",$AK$69),99999),IFERROR(FIND("+",$AK$69),99999)),1)="+",1,0))</f>
      </c>
      <c r="BC69">
        <f>IF($AL$69="",$BB$69,$BB$69+IF(MID($AL$69,MIN(IFERROR(FIND(",",$AL$69),99999),IFERROR(FIND("+",$AL$69),99999)),1)="+",1,0))</f>
      </c>
      <c r="BD69">
        <f>IF($AM$69="",$BC$69,$BC$69+IF(MID($AM$69,MIN(IFERROR(FIND(",",$AM$69),99999),IFERROR(FIND("+",$AM$69),99999)),1)="+",1,0))</f>
      </c>
      <c r="BE69">
        <f>IF($AN$69="",$BD$69,$BD$69+IF(MID($AN$69,MIN(IFERROR(FIND(",",$AN$69),99999),IFERROR(FIND("+",$AN$69),99999)),1)="+",1,0))</f>
      </c>
      <c r="BF69">
        <f>IF($AO$69="",$BE$69,$BE$69+IF(MID($AO$69,MIN(IFERROR(FIND(",",$AO$69),99999),IFERROR(FIND("+",$AO$69),99999)),1)="+",1,0))</f>
      </c>
      <c r="BG69">
        <f>IF($AP$69="",$BF$69,$BF$69+IF(MID($AP$69,MIN(IFERROR(FIND(",",$AP$69),99999),IFERROR(FIND("+",$AP$69),99999)),1)="+",1,0))</f>
      </c>
      <c r="BH69">
        <f>IF($AQ$69="",$BG$69,$BG$69+IF(MID($AQ$69,MIN(IFERROR(FIND(",",$AQ$69),99999),IFERROR(FIND("+",$AQ$69),99999)),1)="+",1,0))</f>
      </c>
      <c r="BI69">
        <f>IF($AS$69="",0,$BA$69)</f>
      </c>
      <c r="BJ69">
        <f>IF($AT$69="",0,$BB$69)</f>
      </c>
      <c r="BK69">
        <f>IF($AU$69="",0,$BC$69)</f>
      </c>
      <c r="BL69">
        <f>IF($AV$69="",0,$BD$69)</f>
      </c>
      <c r="BM69">
        <f>IF($AW$69="",0,$BE$69)</f>
      </c>
      <c r="BN69">
        <f>IF($AX$69="",0,$BF$69)</f>
      </c>
      <c r="BO69">
        <f>IF($AY$69="",0,$BG$69)</f>
      </c>
      <c r="BP69">
        <f>IF($AZ$69="",0,$BH$69)</f>
      </c>
    </row>
    <row r="70" spans="1:99" ht="15" customHeight="1" hidden="1">
      <c r="AK70">
        <f>SUBSTITUTE(SUBSTITUTE($K$4,"&amp;","+"),"/",",")</f>
      </c>
      <c r="AL70">
        <f>IF(OR($AK$70="",MIN(IFERROR(FIND(",",$AK$70),99999),IFERROR(FIND("+",$AK$70),99999))=99999),"",MID($AK$70,MIN(IFERROR(FIND(",",$AK$70),99999),IFERROR(FIND("+",$AK$70),99999))+1,99999))</f>
      </c>
      <c r="AM70">
        <f>IF(OR($AL$70="",MIN(IFERROR(FIND(",",$AL$70),99999),IFERROR(FIND("+",$AL$70),99999))=99999),"",MID($AL$70,MIN(IFERROR(FIND(",",$AL$70),99999),IFERROR(FIND("+",$AL$70),99999))+1,99999))</f>
      </c>
      <c r="AN70">
        <f>IF(OR($AM$70="",MIN(IFERROR(FIND(",",$AM$70),99999),IFERROR(FIND("+",$AM$70),99999))=99999),"",MID($AM$70,MIN(IFERROR(FIND(",",$AM$70),99999),IFERROR(FIND("+",$AM$70),99999))+1,99999))</f>
      </c>
      <c r="AO70">
        <f>IF(OR($AN$70="",MIN(IFERROR(FIND(",",$AN$70),99999),IFERROR(FIND("+",$AN$70),99999))=99999),"",MID($AN$70,MIN(IFERROR(FIND(",",$AN$70),99999),IFERROR(FIND("+",$AN$70),99999))+1,99999))</f>
      </c>
      <c r="AP70">
        <f>IF(OR($AO$70="",MIN(IFERROR(FIND(",",$AO$70),99999),IFERROR(FIND("+",$AO$70),99999))=99999),"",MID($AO$70,MIN(IFERROR(FIND(",",$AO$70),99999),IFERROR(FIND("+",$AO$70),99999))+1,99999))</f>
      </c>
      <c r="AQ70">
        <f>IF(OR($AP$70="",MIN(IFERROR(FIND(",",$AP$70),99999),IFERROR(FIND("+",$AP$70),99999))=99999),"",MID($AP$70,MIN(IFERROR(FIND(",",$AP$70),99999),IFERROR(FIND("+",$AP$70),99999))+1,99999))</f>
      </c>
      <c r="AR70">
        <f>IF(OR($AQ$70="",MIN(IFERROR(FIND(",",$AQ$70),99999),IFERROR(FIND("+",$AQ$70),99999))=99999),"",MID($AQ$70,MIN(IFERROR(FIND(",",$AQ$70),99999),IFERROR(FIND("+",$AQ$70),99999))+1,99999))</f>
      </c>
      <c r="AS70">
        <f>IF($AK$70="","",IF(MIN(IFERROR(FIND(",",$AK$70),99999),IFERROR(FIND("+",$AK$70),99999))=99999,TRIM($AK$70),TRIM(LEFT($AK$70,MIN(IFERROR(FIND(",",$AK$70),99999),IFERROR(FIND("+",$AK$70),99999))-1))))</f>
      </c>
      <c r="AT70">
        <f>IF($AL$70="","",IF(MIN(IFERROR(FIND(",",$AL$70),99999),IFERROR(FIND("+",$AL$70),99999))=99999,TRIM($AL$70),TRIM(LEFT($AL$70,MIN(IFERROR(FIND(",",$AL$70),99999),IFERROR(FIND("+",$AL$70),99999))-1))))</f>
      </c>
      <c r="AU70">
        <f>IF($AM$70="","",IF(MIN(IFERROR(FIND(",",$AM$70),99999),IFERROR(FIND("+",$AM$70),99999))=99999,TRIM($AM$70),TRIM(LEFT($AM$70,MIN(IFERROR(FIND(",",$AM$70),99999),IFERROR(FIND("+",$AM$70),99999))-1))))</f>
      </c>
      <c r="AV70">
        <f>IF($AN$70="","",IF(MIN(IFERROR(FIND(",",$AN$70),99999),IFERROR(FIND("+",$AN$70),99999))=99999,TRIM($AN$70),TRIM(LEFT($AN$70,MIN(IFERROR(FIND(",",$AN$70),99999),IFERROR(FIND("+",$AN$70),99999))-1))))</f>
      </c>
      <c r="AW70">
        <f>IF($AO$70="","",IF(MIN(IFERROR(FIND(",",$AO$70),99999),IFERROR(FIND("+",$AO$70),99999))=99999,TRIM($AO$70),TRIM(LEFT($AO$70,MIN(IFERROR(FIND(",",$AO$70),99999),IFERROR(FIND("+",$AO$70),99999))-1))))</f>
      </c>
      <c r="AX70">
        <f>IF($AP$70="","",IF(MIN(IFERROR(FIND(",",$AP$70),99999),IFERROR(FIND("+",$AP$70),99999))=99999,TRIM($AP$70),TRIM(LEFT($AP$70,MIN(IFERROR(FIND(",",$AP$70),99999),IFERROR(FIND("+",$AP$70),99999))-1))))</f>
      </c>
      <c r="AY70">
        <f>IF($AQ$70="","",IF(MIN(IFERROR(FIND(",",$AQ$70),99999),IFERROR(FIND("+",$AQ$70),99999))=99999,TRIM($AQ$70),TRIM(LEFT($AQ$70,MIN(IFERROR(FIND(",",$AQ$70),99999),IFERROR(FIND("+",$AQ$70),99999))-1))))</f>
      </c>
      <c r="AZ70">
        <f>IF($AR$70="","",IF(MIN(IFERROR(FIND(",",$AR$70),99999),IFERROR(FIND("+",$AR$70),99999))=99999,TRIM($AR$70),TRIM(LEFT($AR$70,MIN(IFERROR(FIND(",",$AR$70),99999),IFERROR(FIND("+",$AR$70),99999))-1))))</f>
      </c>
      <c r="BA70">
        <f>IF($AK$70="",0,1)</f>
      </c>
      <c r="BB70">
        <f>IF($AK$70="",$BA$70,$BA$70+IF(MID($AK$70,MIN(IFERROR(FIND(",",$AK$70),99999),IFERROR(FIND("+",$AK$70),99999)),1)="+",1,0))</f>
      </c>
      <c r="BC70">
        <f>IF($AL$70="",$BB$70,$BB$70+IF(MID($AL$70,MIN(IFERROR(FIND(",",$AL$70),99999),IFERROR(FIND("+",$AL$70),99999)),1)="+",1,0))</f>
      </c>
      <c r="BD70">
        <f>IF($AM$70="",$BC$70,$BC$70+IF(MID($AM$70,MIN(IFERROR(FIND(",",$AM$70),99999),IFERROR(FIND("+",$AM$70),99999)),1)="+",1,0))</f>
      </c>
      <c r="BE70">
        <f>IF($AN$70="",$BD$70,$BD$70+IF(MID($AN$70,MIN(IFERROR(FIND(",",$AN$70),99999),IFERROR(FIND("+",$AN$70),99999)),1)="+",1,0))</f>
      </c>
      <c r="BF70">
        <f>IF($AO$70="",$BE$70,$BE$70+IF(MID($AO$70,MIN(IFERROR(FIND(",",$AO$70),99999),IFERROR(FIND("+",$AO$70),99999)),1)="+",1,0))</f>
      </c>
      <c r="BG70">
        <f>IF($AP$70="",$BF$70,$BF$70+IF(MID($AP$70,MIN(IFERROR(FIND(",",$AP$70),99999),IFERROR(FIND("+",$AP$70),99999)),1)="+",1,0))</f>
      </c>
      <c r="BH70">
        <f>IF($AQ$70="",$BG$70,$BG$70+IF(MID($AQ$70,MIN(IFERROR(FIND(",",$AQ$70),99999),IFERROR(FIND("+",$AQ$70),99999)),1)="+",1,0))</f>
      </c>
      <c r="BI70">
        <f>IF($AS$70="",0,$BA$70)</f>
      </c>
      <c r="BJ70">
        <f>IF($AT$70="",0,$BB$70)</f>
      </c>
      <c r="BK70">
        <f>IF($AU$70="",0,$BC$70)</f>
      </c>
      <c r="BL70">
        <f>IF($AV$70="",0,$BD$70)</f>
      </c>
      <c r="BM70">
        <f>IF($AW$70="",0,$BE$70)</f>
      </c>
      <c r="BN70">
        <f>IF($AX$70="",0,$BF$70)</f>
      </c>
      <c r="BO70">
        <f>IF($AY$70="",0,$BG$70)</f>
      </c>
      <c r="BP70">
        <f>IF($AZ$70="",0,$BH$70)</f>
      </c>
    </row>
    <row r="71" spans="1:99" ht="15" customHeight="1" hidden="1">
      <c r="AK71">
        <f>SUBSTITUTE(SUBSTITUTE($L$4,"&amp;","+"),"/",",")</f>
      </c>
      <c r="AL71">
        <f>IF(OR($AK$71="",MIN(IFERROR(FIND(",",$AK$71),99999),IFERROR(FIND("+",$AK$71),99999))=99999),"",MID($AK$71,MIN(IFERROR(FIND(",",$AK$71),99999),IFERROR(FIND("+",$AK$71),99999))+1,99999))</f>
      </c>
      <c r="AM71">
        <f>IF(OR($AL$71="",MIN(IFERROR(FIND(",",$AL$71),99999),IFERROR(FIND("+",$AL$71),99999))=99999),"",MID($AL$71,MIN(IFERROR(FIND(",",$AL$71),99999),IFERROR(FIND("+",$AL$71),99999))+1,99999))</f>
      </c>
      <c r="AN71">
        <f>IF(OR($AM$71="",MIN(IFERROR(FIND(",",$AM$71),99999),IFERROR(FIND("+",$AM$71),99999))=99999),"",MID($AM$71,MIN(IFERROR(FIND(",",$AM$71),99999),IFERROR(FIND("+",$AM$71),99999))+1,99999))</f>
      </c>
      <c r="AO71">
        <f>IF(OR($AN$71="",MIN(IFERROR(FIND(",",$AN$71),99999),IFERROR(FIND("+",$AN$71),99999))=99999),"",MID($AN$71,MIN(IFERROR(FIND(",",$AN$71),99999),IFERROR(FIND("+",$AN$71),99999))+1,99999))</f>
      </c>
      <c r="AP71">
        <f>IF(OR($AO$71="",MIN(IFERROR(FIND(",",$AO$71),99999),IFERROR(FIND("+",$AO$71),99999))=99999),"",MID($AO$71,MIN(IFERROR(FIND(",",$AO$71),99999),IFERROR(FIND("+",$AO$71),99999))+1,99999))</f>
      </c>
      <c r="AQ71">
        <f>IF(OR($AP$71="",MIN(IFERROR(FIND(",",$AP$71),99999),IFERROR(FIND("+",$AP$71),99999))=99999),"",MID($AP$71,MIN(IFERROR(FIND(",",$AP$71),99999),IFERROR(FIND("+",$AP$71),99999))+1,99999))</f>
      </c>
      <c r="AR71">
        <f>IF(OR($AQ$71="",MIN(IFERROR(FIND(",",$AQ$71),99999),IFERROR(FIND("+",$AQ$71),99999))=99999),"",MID($AQ$71,MIN(IFERROR(FIND(",",$AQ$71),99999),IFERROR(FIND("+",$AQ$71),99999))+1,99999))</f>
      </c>
      <c r="AS71">
        <f>IF($AK$71="","",IF(MIN(IFERROR(FIND(",",$AK$71),99999),IFERROR(FIND("+",$AK$71),99999))=99999,TRIM($AK$71),TRIM(LEFT($AK$71,MIN(IFERROR(FIND(",",$AK$71),99999),IFERROR(FIND("+",$AK$71),99999))-1))))</f>
      </c>
      <c r="AT71">
        <f>IF($AL$71="","",IF(MIN(IFERROR(FIND(",",$AL$71),99999),IFERROR(FIND("+",$AL$71),99999))=99999,TRIM($AL$71),TRIM(LEFT($AL$71,MIN(IFERROR(FIND(",",$AL$71),99999),IFERROR(FIND("+",$AL$71),99999))-1))))</f>
      </c>
      <c r="AU71">
        <f>IF($AM$71="","",IF(MIN(IFERROR(FIND(",",$AM$71),99999),IFERROR(FIND("+",$AM$71),99999))=99999,TRIM($AM$71),TRIM(LEFT($AM$71,MIN(IFERROR(FIND(",",$AM$71),99999),IFERROR(FIND("+",$AM$71),99999))-1))))</f>
      </c>
      <c r="AV71">
        <f>IF($AN$71="","",IF(MIN(IFERROR(FIND(",",$AN$71),99999),IFERROR(FIND("+",$AN$71),99999))=99999,TRIM($AN$71),TRIM(LEFT($AN$71,MIN(IFERROR(FIND(",",$AN$71),99999),IFERROR(FIND("+",$AN$71),99999))-1))))</f>
      </c>
      <c r="AW71">
        <f>IF($AO$71="","",IF(MIN(IFERROR(FIND(",",$AO$71),99999),IFERROR(FIND("+",$AO$71),99999))=99999,TRIM($AO$71),TRIM(LEFT($AO$71,MIN(IFERROR(FIND(",",$AO$71),99999),IFERROR(FIND("+",$AO$71),99999))-1))))</f>
      </c>
      <c r="AX71">
        <f>IF($AP$71="","",IF(MIN(IFERROR(FIND(",",$AP$71),99999),IFERROR(FIND("+",$AP$71),99999))=99999,TRIM($AP$71),TRIM(LEFT($AP$71,MIN(IFERROR(FIND(",",$AP$71),99999),IFERROR(FIND("+",$AP$71),99999))-1))))</f>
      </c>
      <c r="AY71">
        <f>IF($AQ$71="","",IF(MIN(IFERROR(FIND(",",$AQ$71),99999),IFERROR(FIND("+",$AQ$71),99999))=99999,TRIM($AQ$71),TRIM(LEFT($AQ$71,MIN(IFERROR(FIND(",",$AQ$71),99999),IFERROR(FIND("+",$AQ$71),99999))-1))))</f>
      </c>
      <c r="AZ71">
        <f>IF($AR$71="","",IF(MIN(IFERROR(FIND(",",$AR$71),99999),IFERROR(FIND("+",$AR$71),99999))=99999,TRIM($AR$71),TRIM(LEFT($AR$71,MIN(IFERROR(FIND(",",$AR$71),99999),IFERROR(FIND("+",$AR$71),99999))-1))))</f>
      </c>
      <c r="BA71">
        <f>IF($AK$71="",0,1)</f>
      </c>
      <c r="BB71">
        <f>IF($AK$71="",$BA$71,$BA$71+IF(MID($AK$71,MIN(IFERROR(FIND(",",$AK$71),99999),IFERROR(FIND("+",$AK$71),99999)),1)="+",1,0))</f>
      </c>
      <c r="BC71">
        <f>IF($AL$71="",$BB$71,$BB$71+IF(MID($AL$71,MIN(IFERROR(FIND(",",$AL$71),99999),IFERROR(FIND("+",$AL$71),99999)),1)="+",1,0))</f>
      </c>
      <c r="BD71">
        <f>IF($AM$71="",$BC$71,$BC$71+IF(MID($AM$71,MIN(IFERROR(FIND(",",$AM$71),99999),IFERROR(FIND("+",$AM$71),99999)),1)="+",1,0))</f>
      </c>
      <c r="BE71">
        <f>IF($AN$71="",$BD$71,$BD$71+IF(MID($AN$71,MIN(IFERROR(FIND(",",$AN$71),99999),IFERROR(FIND("+",$AN$71),99999)),1)="+",1,0))</f>
      </c>
      <c r="BF71">
        <f>IF($AO$71="",$BE$71,$BE$71+IF(MID($AO$71,MIN(IFERROR(FIND(",",$AO$71),99999),IFERROR(FIND("+",$AO$71),99999)),1)="+",1,0))</f>
      </c>
      <c r="BG71">
        <f>IF($AP$71="",$BF$71,$BF$71+IF(MID($AP$71,MIN(IFERROR(FIND(",",$AP$71),99999),IFERROR(FIND("+",$AP$71),99999)),1)="+",1,0))</f>
      </c>
      <c r="BH71">
        <f>IF($AQ$71="",$BG$71,$BG$71+IF(MID($AQ$71,MIN(IFERROR(FIND(",",$AQ$71),99999),IFERROR(FIND("+",$AQ$71),99999)),1)="+",1,0))</f>
      </c>
      <c r="BI71">
        <f>IF($AS$71="",0,$BA$71)</f>
      </c>
      <c r="BJ71">
        <f>IF($AT$71="",0,$BB$71)</f>
      </c>
      <c r="BK71">
        <f>IF($AU$71="",0,$BC$71)</f>
      </c>
      <c r="BL71">
        <f>IF($AV$71="",0,$BD$71)</f>
      </c>
      <c r="BM71">
        <f>IF($AW$71="",0,$BE$71)</f>
      </c>
      <c r="BN71">
        <f>IF($AX$71="",0,$BF$71)</f>
      </c>
      <c r="BO71">
        <f>IF($AY$71="",0,$BG$71)</f>
      </c>
      <c r="BP71">
        <f>IF($AZ$71="",0,$BH$71)</f>
      </c>
    </row>
    <row r="72" spans="1:99" ht="15" customHeight="1" hidden="1">
      <c r="AK72">
        <f>SUBSTITUTE(SUBSTITUTE($M$4,"&amp;","+"),"/",",")</f>
      </c>
      <c r="AL72">
        <f>IF(OR($AK$72="",MIN(IFERROR(FIND(",",$AK$72),99999),IFERROR(FIND("+",$AK$72),99999))=99999),"",MID($AK$72,MIN(IFERROR(FIND(",",$AK$72),99999),IFERROR(FIND("+",$AK$72),99999))+1,99999))</f>
      </c>
      <c r="AM72">
        <f>IF(OR($AL$72="",MIN(IFERROR(FIND(",",$AL$72),99999),IFERROR(FIND("+",$AL$72),99999))=99999),"",MID($AL$72,MIN(IFERROR(FIND(",",$AL$72),99999),IFERROR(FIND("+",$AL$72),99999))+1,99999))</f>
      </c>
      <c r="AN72">
        <f>IF(OR($AM$72="",MIN(IFERROR(FIND(",",$AM$72),99999),IFERROR(FIND("+",$AM$72),99999))=99999),"",MID($AM$72,MIN(IFERROR(FIND(",",$AM$72),99999),IFERROR(FIND("+",$AM$72),99999))+1,99999))</f>
      </c>
      <c r="AO72">
        <f>IF(OR($AN$72="",MIN(IFERROR(FIND(",",$AN$72),99999),IFERROR(FIND("+",$AN$72),99999))=99999),"",MID($AN$72,MIN(IFERROR(FIND(",",$AN$72),99999),IFERROR(FIND("+",$AN$72),99999))+1,99999))</f>
      </c>
      <c r="AP72">
        <f>IF(OR($AO$72="",MIN(IFERROR(FIND(",",$AO$72),99999),IFERROR(FIND("+",$AO$72),99999))=99999),"",MID($AO$72,MIN(IFERROR(FIND(",",$AO$72),99999),IFERROR(FIND("+",$AO$72),99999))+1,99999))</f>
      </c>
      <c r="AQ72">
        <f>IF(OR($AP$72="",MIN(IFERROR(FIND(",",$AP$72),99999),IFERROR(FIND("+",$AP$72),99999))=99999),"",MID($AP$72,MIN(IFERROR(FIND(",",$AP$72),99999),IFERROR(FIND("+",$AP$72),99999))+1,99999))</f>
      </c>
      <c r="AR72">
        <f>IF(OR($AQ$72="",MIN(IFERROR(FIND(",",$AQ$72),99999),IFERROR(FIND("+",$AQ$72),99999))=99999),"",MID($AQ$72,MIN(IFERROR(FIND(",",$AQ$72),99999),IFERROR(FIND("+",$AQ$72),99999))+1,99999))</f>
      </c>
      <c r="AS72">
        <f>IF($AK$72="","",IF(MIN(IFERROR(FIND(",",$AK$72),99999),IFERROR(FIND("+",$AK$72),99999))=99999,TRIM($AK$72),TRIM(LEFT($AK$72,MIN(IFERROR(FIND(",",$AK$72),99999),IFERROR(FIND("+",$AK$72),99999))-1))))</f>
      </c>
      <c r="AT72">
        <f>IF($AL$72="","",IF(MIN(IFERROR(FIND(",",$AL$72),99999),IFERROR(FIND("+",$AL$72),99999))=99999,TRIM($AL$72),TRIM(LEFT($AL$72,MIN(IFERROR(FIND(",",$AL$72),99999),IFERROR(FIND("+",$AL$72),99999))-1))))</f>
      </c>
      <c r="AU72">
        <f>IF($AM$72="","",IF(MIN(IFERROR(FIND(",",$AM$72),99999),IFERROR(FIND("+",$AM$72),99999))=99999,TRIM($AM$72),TRIM(LEFT($AM$72,MIN(IFERROR(FIND(",",$AM$72),99999),IFERROR(FIND("+",$AM$72),99999))-1))))</f>
      </c>
      <c r="AV72">
        <f>IF($AN$72="","",IF(MIN(IFERROR(FIND(",",$AN$72),99999),IFERROR(FIND("+",$AN$72),99999))=99999,TRIM($AN$72),TRIM(LEFT($AN$72,MIN(IFERROR(FIND(",",$AN$72),99999),IFERROR(FIND("+",$AN$72),99999))-1))))</f>
      </c>
      <c r="AW72">
        <f>IF($AO$72="","",IF(MIN(IFERROR(FIND(",",$AO$72),99999),IFERROR(FIND("+",$AO$72),99999))=99999,TRIM($AO$72),TRIM(LEFT($AO$72,MIN(IFERROR(FIND(",",$AO$72),99999),IFERROR(FIND("+",$AO$72),99999))-1))))</f>
      </c>
      <c r="AX72">
        <f>IF($AP$72="","",IF(MIN(IFERROR(FIND(",",$AP$72),99999),IFERROR(FIND("+",$AP$72),99999))=99999,TRIM($AP$72),TRIM(LEFT($AP$72,MIN(IFERROR(FIND(",",$AP$72),99999),IFERROR(FIND("+",$AP$72),99999))-1))))</f>
      </c>
      <c r="AY72">
        <f>IF($AQ$72="","",IF(MIN(IFERROR(FIND(",",$AQ$72),99999),IFERROR(FIND("+",$AQ$72),99999))=99999,TRIM($AQ$72),TRIM(LEFT($AQ$72,MIN(IFERROR(FIND(",",$AQ$72),99999),IFERROR(FIND("+",$AQ$72),99999))-1))))</f>
      </c>
      <c r="AZ72">
        <f>IF($AR$72="","",IF(MIN(IFERROR(FIND(",",$AR$72),99999),IFERROR(FIND("+",$AR$72),99999))=99999,TRIM($AR$72),TRIM(LEFT($AR$72,MIN(IFERROR(FIND(",",$AR$72),99999),IFERROR(FIND("+",$AR$72),99999))-1))))</f>
      </c>
      <c r="BA72">
        <f>IF($AK$72="",0,1)</f>
      </c>
      <c r="BB72">
        <f>IF($AK$72="",$BA$72,$BA$72+IF(MID($AK$72,MIN(IFERROR(FIND(",",$AK$72),99999),IFERROR(FIND("+",$AK$72),99999)),1)="+",1,0))</f>
      </c>
      <c r="BC72">
        <f>IF($AL$72="",$BB$72,$BB$72+IF(MID($AL$72,MIN(IFERROR(FIND(",",$AL$72),99999),IFERROR(FIND("+",$AL$72),99999)),1)="+",1,0))</f>
      </c>
      <c r="BD72">
        <f>IF($AM$72="",$BC$72,$BC$72+IF(MID($AM$72,MIN(IFERROR(FIND(",",$AM$72),99999),IFERROR(FIND("+",$AM$72),99999)),1)="+",1,0))</f>
      </c>
      <c r="BE72">
        <f>IF($AN$72="",$BD$72,$BD$72+IF(MID($AN$72,MIN(IFERROR(FIND(",",$AN$72),99999),IFERROR(FIND("+",$AN$72),99999)),1)="+",1,0))</f>
      </c>
      <c r="BF72">
        <f>IF($AO$72="",$BE$72,$BE$72+IF(MID($AO$72,MIN(IFERROR(FIND(",",$AO$72),99999),IFERROR(FIND("+",$AO$72),99999)),1)="+",1,0))</f>
      </c>
      <c r="BG72">
        <f>IF($AP$72="",$BF$72,$BF$72+IF(MID($AP$72,MIN(IFERROR(FIND(",",$AP$72),99999),IFERROR(FIND("+",$AP$72),99999)),1)="+",1,0))</f>
      </c>
      <c r="BH72">
        <f>IF($AQ$72="",$BG$72,$BG$72+IF(MID($AQ$72,MIN(IFERROR(FIND(",",$AQ$72),99999),IFERROR(FIND("+",$AQ$72),99999)),1)="+",1,0))</f>
      </c>
      <c r="BI72">
        <f>IF($AS$72="",0,$BA$72)</f>
      </c>
      <c r="BJ72">
        <f>IF($AT$72="",0,$BB$72)</f>
      </c>
      <c r="BK72">
        <f>IF($AU$72="",0,$BC$72)</f>
      </c>
      <c r="BL72">
        <f>IF($AV$72="",0,$BD$72)</f>
      </c>
      <c r="BM72">
        <f>IF($AW$72="",0,$BE$72)</f>
      </c>
      <c r="BN72">
        <f>IF($AX$72="",0,$BF$72)</f>
      </c>
      <c r="BO72">
        <f>IF($AY$72="",0,$BG$72)</f>
      </c>
      <c r="BP72">
        <f>IF($AZ$72="",0,$BH$72)</f>
      </c>
    </row>
    <row r="73" spans="1:99" ht="15" customHeight="1" hidden="1">
      <c r="AK73">
        <f>SUBSTITUTE(SUBSTITUTE($N$4,"&amp;","+"),"/",",")</f>
      </c>
      <c r="AL73">
        <f>IF(OR($AK$73="",MIN(IFERROR(FIND(",",$AK$73),99999),IFERROR(FIND("+",$AK$73),99999))=99999),"",MID($AK$73,MIN(IFERROR(FIND(",",$AK$73),99999),IFERROR(FIND("+",$AK$73),99999))+1,99999))</f>
      </c>
      <c r="AM73">
        <f>IF(OR($AL$73="",MIN(IFERROR(FIND(",",$AL$73),99999),IFERROR(FIND("+",$AL$73),99999))=99999),"",MID($AL$73,MIN(IFERROR(FIND(",",$AL$73),99999),IFERROR(FIND("+",$AL$73),99999))+1,99999))</f>
      </c>
      <c r="AN73">
        <f>IF(OR($AM$73="",MIN(IFERROR(FIND(",",$AM$73),99999),IFERROR(FIND("+",$AM$73),99999))=99999),"",MID($AM$73,MIN(IFERROR(FIND(",",$AM$73),99999),IFERROR(FIND("+",$AM$73),99999))+1,99999))</f>
      </c>
      <c r="AO73">
        <f>IF(OR($AN$73="",MIN(IFERROR(FIND(",",$AN$73),99999),IFERROR(FIND("+",$AN$73),99999))=99999),"",MID($AN$73,MIN(IFERROR(FIND(",",$AN$73),99999),IFERROR(FIND("+",$AN$73),99999))+1,99999))</f>
      </c>
      <c r="AP73">
        <f>IF(OR($AO$73="",MIN(IFERROR(FIND(",",$AO$73),99999),IFERROR(FIND("+",$AO$73),99999))=99999),"",MID($AO$73,MIN(IFERROR(FIND(",",$AO$73),99999),IFERROR(FIND("+",$AO$73),99999))+1,99999))</f>
      </c>
      <c r="AQ73">
        <f>IF(OR($AP$73="",MIN(IFERROR(FIND(",",$AP$73),99999),IFERROR(FIND("+",$AP$73),99999))=99999),"",MID($AP$73,MIN(IFERROR(FIND(",",$AP$73),99999),IFERROR(FIND("+",$AP$73),99999))+1,99999))</f>
      </c>
      <c r="AR73">
        <f>IF(OR($AQ$73="",MIN(IFERROR(FIND(",",$AQ$73),99999),IFERROR(FIND("+",$AQ$73),99999))=99999),"",MID($AQ$73,MIN(IFERROR(FIND(",",$AQ$73),99999),IFERROR(FIND("+",$AQ$73),99999))+1,99999))</f>
      </c>
      <c r="AS73">
        <f>IF($AK$73="","",IF(MIN(IFERROR(FIND(",",$AK$73),99999),IFERROR(FIND("+",$AK$73),99999))=99999,TRIM($AK$73),TRIM(LEFT($AK$73,MIN(IFERROR(FIND(",",$AK$73),99999),IFERROR(FIND("+",$AK$73),99999))-1))))</f>
      </c>
      <c r="AT73">
        <f>IF($AL$73="","",IF(MIN(IFERROR(FIND(",",$AL$73),99999),IFERROR(FIND("+",$AL$73),99999))=99999,TRIM($AL$73),TRIM(LEFT($AL$73,MIN(IFERROR(FIND(",",$AL$73),99999),IFERROR(FIND("+",$AL$73),99999))-1))))</f>
      </c>
      <c r="AU73">
        <f>IF($AM$73="","",IF(MIN(IFERROR(FIND(",",$AM$73),99999),IFERROR(FIND("+",$AM$73),99999))=99999,TRIM($AM$73),TRIM(LEFT($AM$73,MIN(IFERROR(FIND(",",$AM$73),99999),IFERROR(FIND("+",$AM$73),99999))-1))))</f>
      </c>
      <c r="AV73">
        <f>IF($AN$73="","",IF(MIN(IFERROR(FIND(",",$AN$73),99999),IFERROR(FIND("+",$AN$73),99999))=99999,TRIM($AN$73),TRIM(LEFT($AN$73,MIN(IFERROR(FIND(",",$AN$73),99999),IFERROR(FIND("+",$AN$73),99999))-1))))</f>
      </c>
      <c r="AW73">
        <f>IF($AO$73="","",IF(MIN(IFERROR(FIND(",",$AO$73),99999),IFERROR(FIND("+",$AO$73),99999))=99999,TRIM($AO$73),TRIM(LEFT($AO$73,MIN(IFERROR(FIND(",",$AO$73),99999),IFERROR(FIND("+",$AO$73),99999))-1))))</f>
      </c>
      <c r="AX73">
        <f>IF($AP$73="","",IF(MIN(IFERROR(FIND(",",$AP$73),99999),IFERROR(FIND("+",$AP$73),99999))=99999,TRIM($AP$73),TRIM(LEFT($AP$73,MIN(IFERROR(FIND(",",$AP$73),99999),IFERROR(FIND("+",$AP$73),99999))-1))))</f>
      </c>
      <c r="AY73">
        <f>IF($AQ$73="","",IF(MIN(IFERROR(FIND(",",$AQ$73),99999),IFERROR(FIND("+",$AQ$73),99999))=99999,TRIM($AQ$73),TRIM(LEFT($AQ$73,MIN(IFERROR(FIND(",",$AQ$73),99999),IFERROR(FIND("+",$AQ$73),99999))-1))))</f>
      </c>
      <c r="AZ73">
        <f>IF($AR$73="","",IF(MIN(IFERROR(FIND(",",$AR$73),99999),IFERROR(FIND("+",$AR$73),99999))=99999,TRIM($AR$73),TRIM(LEFT($AR$73,MIN(IFERROR(FIND(",",$AR$73),99999),IFERROR(FIND("+",$AR$73),99999))-1))))</f>
      </c>
      <c r="BA73">
        <f>IF($AK$73="",0,1)</f>
      </c>
      <c r="BB73">
        <f>IF($AK$73="",$BA$73,$BA$73+IF(MID($AK$73,MIN(IFERROR(FIND(",",$AK$73),99999),IFERROR(FIND("+",$AK$73),99999)),1)="+",1,0))</f>
      </c>
      <c r="BC73">
        <f>IF($AL$73="",$BB$73,$BB$73+IF(MID($AL$73,MIN(IFERROR(FIND(",",$AL$73),99999),IFERROR(FIND("+",$AL$73),99999)),1)="+",1,0))</f>
      </c>
      <c r="BD73">
        <f>IF($AM$73="",$BC$73,$BC$73+IF(MID($AM$73,MIN(IFERROR(FIND(",",$AM$73),99999),IFERROR(FIND("+",$AM$73),99999)),1)="+",1,0))</f>
      </c>
      <c r="BE73">
        <f>IF($AN$73="",$BD$73,$BD$73+IF(MID($AN$73,MIN(IFERROR(FIND(",",$AN$73),99999),IFERROR(FIND("+",$AN$73),99999)),1)="+",1,0))</f>
      </c>
      <c r="BF73">
        <f>IF($AO$73="",$BE$73,$BE$73+IF(MID($AO$73,MIN(IFERROR(FIND(",",$AO$73),99999),IFERROR(FIND("+",$AO$73),99999)),1)="+",1,0))</f>
      </c>
      <c r="BG73">
        <f>IF($AP$73="",$BF$73,$BF$73+IF(MID($AP$73,MIN(IFERROR(FIND(",",$AP$73),99999),IFERROR(FIND("+",$AP$73),99999)),1)="+",1,0))</f>
      </c>
      <c r="BH73">
        <f>IF($AQ$73="",$BG$73,$BG$73+IF(MID($AQ$73,MIN(IFERROR(FIND(",",$AQ$73),99999),IFERROR(FIND("+",$AQ$73),99999)),1)="+",1,0))</f>
      </c>
      <c r="BI73">
        <f>IF($AS$73="",0,$BA$73)</f>
      </c>
      <c r="BJ73">
        <f>IF($AT$73="",0,$BB$73)</f>
      </c>
      <c r="BK73">
        <f>IF($AU$73="",0,$BC$73)</f>
      </c>
      <c r="BL73">
        <f>IF($AV$73="",0,$BD$73)</f>
      </c>
      <c r="BM73">
        <f>IF($AW$73="",0,$BE$73)</f>
      </c>
      <c r="BN73">
        <f>IF($AX$73="",0,$BF$73)</f>
      </c>
      <c r="BO73">
        <f>IF($AY$73="",0,$BG$73)</f>
      </c>
      <c r="BP73">
        <f>IF($AZ$73="",0,$BH$73)</f>
      </c>
    </row>
    <row r="74" spans="1:99" ht="15" customHeight="1" hidden="1">
      <c r="AK74">
        <f>SUBSTITUTE(SUBSTITUTE($O$4,"&amp;","+"),"/",",")</f>
      </c>
      <c r="AL74">
        <f>IF(OR($AK$74="",MIN(IFERROR(FIND(",",$AK$74),99999),IFERROR(FIND("+",$AK$74),99999))=99999),"",MID($AK$74,MIN(IFERROR(FIND(",",$AK$74),99999),IFERROR(FIND("+",$AK$74),99999))+1,99999))</f>
      </c>
      <c r="AM74">
        <f>IF(OR($AL$74="",MIN(IFERROR(FIND(",",$AL$74),99999),IFERROR(FIND("+",$AL$74),99999))=99999),"",MID($AL$74,MIN(IFERROR(FIND(",",$AL$74),99999),IFERROR(FIND("+",$AL$74),99999))+1,99999))</f>
      </c>
      <c r="AN74">
        <f>IF(OR($AM$74="",MIN(IFERROR(FIND(",",$AM$74),99999),IFERROR(FIND("+",$AM$74),99999))=99999),"",MID($AM$74,MIN(IFERROR(FIND(",",$AM$74),99999),IFERROR(FIND("+",$AM$74),99999))+1,99999))</f>
      </c>
      <c r="AO74">
        <f>IF(OR($AN$74="",MIN(IFERROR(FIND(",",$AN$74),99999),IFERROR(FIND("+",$AN$74),99999))=99999),"",MID($AN$74,MIN(IFERROR(FIND(",",$AN$74),99999),IFERROR(FIND("+",$AN$74),99999))+1,99999))</f>
      </c>
      <c r="AP74">
        <f>IF(OR($AO$74="",MIN(IFERROR(FIND(",",$AO$74),99999),IFERROR(FIND("+",$AO$74),99999))=99999),"",MID($AO$74,MIN(IFERROR(FIND(",",$AO$74),99999),IFERROR(FIND("+",$AO$74),99999))+1,99999))</f>
      </c>
      <c r="AQ74">
        <f>IF(OR($AP$74="",MIN(IFERROR(FIND(",",$AP$74),99999),IFERROR(FIND("+",$AP$74),99999))=99999),"",MID($AP$74,MIN(IFERROR(FIND(",",$AP$74),99999),IFERROR(FIND("+",$AP$74),99999))+1,99999))</f>
      </c>
      <c r="AR74">
        <f>IF(OR($AQ$74="",MIN(IFERROR(FIND(",",$AQ$74),99999),IFERROR(FIND("+",$AQ$74),99999))=99999),"",MID($AQ$74,MIN(IFERROR(FIND(",",$AQ$74),99999),IFERROR(FIND("+",$AQ$74),99999))+1,99999))</f>
      </c>
      <c r="AS74">
        <f>IF($AK$74="","",IF(MIN(IFERROR(FIND(",",$AK$74),99999),IFERROR(FIND("+",$AK$74),99999))=99999,TRIM($AK$74),TRIM(LEFT($AK$74,MIN(IFERROR(FIND(",",$AK$74),99999),IFERROR(FIND("+",$AK$74),99999))-1))))</f>
      </c>
      <c r="AT74">
        <f>IF($AL$74="","",IF(MIN(IFERROR(FIND(",",$AL$74),99999),IFERROR(FIND("+",$AL$74),99999))=99999,TRIM($AL$74),TRIM(LEFT($AL$74,MIN(IFERROR(FIND(",",$AL$74),99999),IFERROR(FIND("+",$AL$74),99999))-1))))</f>
      </c>
      <c r="AU74">
        <f>IF($AM$74="","",IF(MIN(IFERROR(FIND(",",$AM$74),99999),IFERROR(FIND("+",$AM$74),99999))=99999,TRIM($AM$74),TRIM(LEFT($AM$74,MIN(IFERROR(FIND(",",$AM$74),99999),IFERROR(FIND("+",$AM$74),99999))-1))))</f>
      </c>
      <c r="AV74">
        <f>IF($AN$74="","",IF(MIN(IFERROR(FIND(",",$AN$74),99999),IFERROR(FIND("+",$AN$74),99999))=99999,TRIM($AN$74),TRIM(LEFT($AN$74,MIN(IFERROR(FIND(",",$AN$74),99999),IFERROR(FIND("+",$AN$74),99999))-1))))</f>
      </c>
      <c r="AW74">
        <f>IF($AO$74="","",IF(MIN(IFERROR(FIND(",",$AO$74),99999),IFERROR(FIND("+",$AO$74),99999))=99999,TRIM($AO$74),TRIM(LEFT($AO$74,MIN(IFERROR(FIND(",",$AO$74),99999),IFERROR(FIND("+",$AO$74),99999))-1))))</f>
      </c>
      <c r="AX74">
        <f>IF($AP$74="","",IF(MIN(IFERROR(FIND(",",$AP$74),99999),IFERROR(FIND("+",$AP$74),99999))=99999,TRIM($AP$74),TRIM(LEFT($AP$74,MIN(IFERROR(FIND(",",$AP$74),99999),IFERROR(FIND("+",$AP$74),99999))-1))))</f>
      </c>
      <c r="AY74">
        <f>IF($AQ$74="","",IF(MIN(IFERROR(FIND(",",$AQ$74),99999),IFERROR(FIND("+",$AQ$74),99999))=99999,TRIM($AQ$74),TRIM(LEFT($AQ$74,MIN(IFERROR(FIND(",",$AQ$74),99999),IFERROR(FIND("+",$AQ$74),99999))-1))))</f>
      </c>
      <c r="AZ74">
        <f>IF($AR$74="","",IF(MIN(IFERROR(FIND(",",$AR$74),99999),IFERROR(FIND("+",$AR$74),99999))=99999,TRIM($AR$74),TRIM(LEFT($AR$74,MIN(IFERROR(FIND(",",$AR$74),99999),IFERROR(FIND("+",$AR$74),99999))-1))))</f>
      </c>
      <c r="BA74">
        <f>IF($AK$74="",0,1)</f>
      </c>
      <c r="BB74">
        <f>IF($AK$74="",$BA$74,$BA$74+IF(MID($AK$74,MIN(IFERROR(FIND(",",$AK$74),99999),IFERROR(FIND("+",$AK$74),99999)),1)="+",1,0))</f>
      </c>
      <c r="BC74">
        <f>IF($AL$74="",$BB$74,$BB$74+IF(MID($AL$74,MIN(IFERROR(FIND(",",$AL$74),99999),IFERROR(FIND("+",$AL$74),99999)),1)="+",1,0))</f>
      </c>
      <c r="BD74">
        <f>IF($AM$74="",$BC$74,$BC$74+IF(MID($AM$74,MIN(IFERROR(FIND(",",$AM$74),99999),IFERROR(FIND("+",$AM$74),99999)),1)="+",1,0))</f>
      </c>
      <c r="BE74">
        <f>IF($AN$74="",$BD$74,$BD$74+IF(MID($AN$74,MIN(IFERROR(FIND(",",$AN$74),99999),IFERROR(FIND("+",$AN$74),99999)),1)="+",1,0))</f>
      </c>
      <c r="BF74">
        <f>IF($AO$74="",$BE$74,$BE$74+IF(MID($AO$74,MIN(IFERROR(FIND(",",$AO$74),99999),IFERROR(FIND("+",$AO$74),99999)),1)="+",1,0))</f>
      </c>
      <c r="BG74">
        <f>IF($AP$74="",$BF$74,$BF$74+IF(MID($AP$74,MIN(IFERROR(FIND(",",$AP$74),99999),IFERROR(FIND("+",$AP$74),99999)),1)="+",1,0))</f>
      </c>
      <c r="BH74">
        <f>IF($AQ$74="",$BG$74,$BG$74+IF(MID($AQ$74,MIN(IFERROR(FIND(",",$AQ$74),99999),IFERROR(FIND("+",$AQ$74),99999)),1)="+",1,0))</f>
      </c>
      <c r="BI74">
        <f>IF($AS$74="",0,$BA$74)</f>
      </c>
      <c r="BJ74">
        <f>IF($AT$74="",0,$BB$74)</f>
      </c>
      <c r="BK74">
        <f>IF($AU$74="",0,$BC$74)</f>
      </c>
      <c r="BL74">
        <f>IF($AV$74="",0,$BD$74)</f>
      </c>
      <c r="BM74">
        <f>IF($AW$74="",0,$BE$74)</f>
      </c>
      <c r="BN74">
        <f>IF($AX$74="",0,$BF$74)</f>
      </c>
      <c r="BO74">
        <f>IF($AY$74="",0,$BG$74)</f>
      </c>
      <c r="BP74">
        <f>IF($AZ$74="",0,$BH$74)</f>
      </c>
    </row>
    <row r="75" spans="1:99" ht="15" customHeight="1" hidden="1">
      <c r="AK75">
        <f>SUBSTITUTE(SUBSTITUTE($P$4,"&amp;","+"),"/",",")</f>
      </c>
      <c r="AL75">
        <f>IF(OR($AK$75="",MIN(IFERROR(FIND(",",$AK$75),99999),IFERROR(FIND("+",$AK$75),99999))=99999),"",MID($AK$75,MIN(IFERROR(FIND(",",$AK$75),99999),IFERROR(FIND("+",$AK$75),99999))+1,99999))</f>
      </c>
      <c r="AM75">
        <f>IF(OR($AL$75="",MIN(IFERROR(FIND(",",$AL$75),99999),IFERROR(FIND("+",$AL$75),99999))=99999),"",MID($AL$75,MIN(IFERROR(FIND(",",$AL$75),99999),IFERROR(FIND("+",$AL$75),99999))+1,99999))</f>
      </c>
      <c r="AN75">
        <f>IF(OR($AM$75="",MIN(IFERROR(FIND(",",$AM$75),99999),IFERROR(FIND("+",$AM$75),99999))=99999),"",MID($AM$75,MIN(IFERROR(FIND(",",$AM$75),99999),IFERROR(FIND("+",$AM$75),99999))+1,99999))</f>
      </c>
      <c r="AO75">
        <f>IF(OR($AN$75="",MIN(IFERROR(FIND(",",$AN$75),99999),IFERROR(FIND("+",$AN$75),99999))=99999),"",MID($AN$75,MIN(IFERROR(FIND(",",$AN$75),99999),IFERROR(FIND("+",$AN$75),99999))+1,99999))</f>
      </c>
      <c r="AP75">
        <f>IF(OR($AO$75="",MIN(IFERROR(FIND(",",$AO$75),99999),IFERROR(FIND("+",$AO$75),99999))=99999),"",MID($AO$75,MIN(IFERROR(FIND(",",$AO$75),99999),IFERROR(FIND("+",$AO$75),99999))+1,99999))</f>
      </c>
      <c r="AQ75">
        <f>IF(OR($AP$75="",MIN(IFERROR(FIND(",",$AP$75),99999),IFERROR(FIND("+",$AP$75),99999))=99999),"",MID($AP$75,MIN(IFERROR(FIND(",",$AP$75),99999),IFERROR(FIND("+",$AP$75),99999))+1,99999))</f>
      </c>
      <c r="AR75">
        <f>IF(OR($AQ$75="",MIN(IFERROR(FIND(",",$AQ$75),99999),IFERROR(FIND("+",$AQ$75),99999))=99999),"",MID($AQ$75,MIN(IFERROR(FIND(",",$AQ$75),99999),IFERROR(FIND("+",$AQ$75),99999))+1,99999))</f>
      </c>
      <c r="AS75">
        <f>IF($AK$75="","",IF(MIN(IFERROR(FIND(",",$AK$75),99999),IFERROR(FIND("+",$AK$75),99999))=99999,TRIM($AK$75),TRIM(LEFT($AK$75,MIN(IFERROR(FIND(",",$AK$75),99999),IFERROR(FIND("+",$AK$75),99999))-1))))</f>
      </c>
      <c r="AT75">
        <f>IF($AL$75="","",IF(MIN(IFERROR(FIND(",",$AL$75),99999),IFERROR(FIND("+",$AL$75),99999))=99999,TRIM($AL$75),TRIM(LEFT($AL$75,MIN(IFERROR(FIND(",",$AL$75),99999),IFERROR(FIND("+",$AL$75),99999))-1))))</f>
      </c>
      <c r="AU75">
        <f>IF($AM$75="","",IF(MIN(IFERROR(FIND(",",$AM$75),99999),IFERROR(FIND("+",$AM$75),99999))=99999,TRIM($AM$75),TRIM(LEFT($AM$75,MIN(IFERROR(FIND(",",$AM$75),99999),IFERROR(FIND("+",$AM$75),99999))-1))))</f>
      </c>
      <c r="AV75">
        <f>IF($AN$75="","",IF(MIN(IFERROR(FIND(",",$AN$75),99999),IFERROR(FIND("+",$AN$75),99999))=99999,TRIM($AN$75),TRIM(LEFT($AN$75,MIN(IFERROR(FIND(",",$AN$75),99999),IFERROR(FIND("+",$AN$75),99999))-1))))</f>
      </c>
      <c r="AW75">
        <f>IF($AO$75="","",IF(MIN(IFERROR(FIND(",",$AO$75),99999),IFERROR(FIND("+",$AO$75),99999))=99999,TRIM($AO$75),TRIM(LEFT($AO$75,MIN(IFERROR(FIND(",",$AO$75),99999),IFERROR(FIND("+",$AO$75),99999))-1))))</f>
      </c>
      <c r="AX75">
        <f>IF($AP$75="","",IF(MIN(IFERROR(FIND(",",$AP$75),99999),IFERROR(FIND("+",$AP$75),99999))=99999,TRIM($AP$75),TRIM(LEFT($AP$75,MIN(IFERROR(FIND(",",$AP$75),99999),IFERROR(FIND("+",$AP$75),99999))-1))))</f>
      </c>
      <c r="AY75">
        <f>IF($AQ$75="","",IF(MIN(IFERROR(FIND(",",$AQ$75),99999),IFERROR(FIND("+",$AQ$75),99999))=99999,TRIM($AQ$75),TRIM(LEFT($AQ$75,MIN(IFERROR(FIND(",",$AQ$75),99999),IFERROR(FIND("+",$AQ$75),99999))-1))))</f>
      </c>
      <c r="AZ75">
        <f>IF($AR$75="","",IF(MIN(IFERROR(FIND(",",$AR$75),99999),IFERROR(FIND("+",$AR$75),99999))=99999,TRIM($AR$75),TRIM(LEFT($AR$75,MIN(IFERROR(FIND(",",$AR$75),99999),IFERROR(FIND("+",$AR$75),99999))-1))))</f>
      </c>
      <c r="BA75">
        <f>IF($AK$75="",0,1)</f>
      </c>
      <c r="BB75">
        <f>IF($AK$75="",$BA$75,$BA$75+IF(MID($AK$75,MIN(IFERROR(FIND(",",$AK$75),99999),IFERROR(FIND("+",$AK$75),99999)),1)="+",1,0))</f>
      </c>
      <c r="BC75">
        <f>IF($AL$75="",$BB$75,$BB$75+IF(MID($AL$75,MIN(IFERROR(FIND(",",$AL$75),99999),IFERROR(FIND("+",$AL$75),99999)),1)="+",1,0))</f>
      </c>
      <c r="BD75">
        <f>IF($AM$75="",$BC$75,$BC$75+IF(MID($AM$75,MIN(IFERROR(FIND(",",$AM$75),99999),IFERROR(FIND("+",$AM$75),99999)),1)="+",1,0))</f>
      </c>
      <c r="BE75">
        <f>IF($AN$75="",$BD$75,$BD$75+IF(MID($AN$75,MIN(IFERROR(FIND(",",$AN$75),99999),IFERROR(FIND("+",$AN$75),99999)),1)="+",1,0))</f>
      </c>
      <c r="BF75">
        <f>IF($AO$75="",$BE$75,$BE$75+IF(MID($AO$75,MIN(IFERROR(FIND(",",$AO$75),99999),IFERROR(FIND("+",$AO$75),99999)),1)="+",1,0))</f>
      </c>
      <c r="BG75">
        <f>IF($AP$75="",$BF$75,$BF$75+IF(MID($AP$75,MIN(IFERROR(FIND(",",$AP$75),99999),IFERROR(FIND("+",$AP$75),99999)),1)="+",1,0))</f>
      </c>
      <c r="BH75">
        <f>IF($AQ$75="",$BG$75,$BG$75+IF(MID($AQ$75,MIN(IFERROR(FIND(",",$AQ$75),99999),IFERROR(FIND("+",$AQ$75),99999)),1)="+",1,0))</f>
      </c>
      <c r="BI75">
        <f>IF($AS$75="",0,$BA$75)</f>
      </c>
      <c r="BJ75">
        <f>IF($AT$75="",0,$BB$75)</f>
      </c>
      <c r="BK75">
        <f>IF($AU$75="",0,$BC$75)</f>
      </c>
      <c r="BL75">
        <f>IF($AV$75="",0,$BD$75)</f>
      </c>
      <c r="BM75">
        <f>IF($AW$75="",0,$BE$75)</f>
      </c>
      <c r="BN75">
        <f>IF($AX$75="",0,$BF$75)</f>
      </c>
      <c r="BO75">
        <f>IF($AY$75="",0,$BG$75)</f>
      </c>
      <c r="BP75">
        <f>IF($AZ$75="",0,$BH$75)</f>
      </c>
    </row>
    <row r="76" spans="1:99" ht="15" customHeight="1" hidden="1">
      <c r="AK76">
        <f>SUBSTITUTE(SUBSTITUTE($Q$4,"&amp;","+"),"/",",")</f>
      </c>
      <c r="AL76">
        <f>IF(OR($AK$76="",MIN(IFERROR(FIND(",",$AK$76),99999),IFERROR(FIND("+",$AK$76),99999))=99999),"",MID($AK$76,MIN(IFERROR(FIND(",",$AK$76),99999),IFERROR(FIND("+",$AK$76),99999))+1,99999))</f>
      </c>
      <c r="AM76">
        <f>IF(OR($AL$76="",MIN(IFERROR(FIND(",",$AL$76),99999),IFERROR(FIND("+",$AL$76),99999))=99999),"",MID($AL$76,MIN(IFERROR(FIND(",",$AL$76),99999),IFERROR(FIND("+",$AL$76),99999))+1,99999))</f>
      </c>
      <c r="AN76">
        <f>IF(OR($AM$76="",MIN(IFERROR(FIND(",",$AM$76),99999),IFERROR(FIND("+",$AM$76),99999))=99999),"",MID($AM$76,MIN(IFERROR(FIND(",",$AM$76),99999),IFERROR(FIND("+",$AM$76),99999))+1,99999))</f>
      </c>
      <c r="AO76">
        <f>IF(OR($AN$76="",MIN(IFERROR(FIND(",",$AN$76),99999),IFERROR(FIND("+",$AN$76),99999))=99999),"",MID($AN$76,MIN(IFERROR(FIND(",",$AN$76),99999),IFERROR(FIND("+",$AN$76),99999))+1,99999))</f>
      </c>
      <c r="AP76">
        <f>IF(OR($AO$76="",MIN(IFERROR(FIND(",",$AO$76),99999),IFERROR(FIND("+",$AO$76),99999))=99999),"",MID($AO$76,MIN(IFERROR(FIND(",",$AO$76),99999),IFERROR(FIND("+",$AO$76),99999))+1,99999))</f>
      </c>
      <c r="AQ76">
        <f>IF(OR($AP$76="",MIN(IFERROR(FIND(",",$AP$76),99999),IFERROR(FIND("+",$AP$76),99999))=99999),"",MID($AP$76,MIN(IFERROR(FIND(",",$AP$76),99999),IFERROR(FIND("+",$AP$76),99999))+1,99999))</f>
      </c>
      <c r="AR76">
        <f>IF(OR($AQ$76="",MIN(IFERROR(FIND(",",$AQ$76),99999),IFERROR(FIND("+",$AQ$76),99999))=99999),"",MID($AQ$76,MIN(IFERROR(FIND(",",$AQ$76),99999),IFERROR(FIND("+",$AQ$76),99999))+1,99999))</f>
      </c>
      <c r="AS76">
        <f>IF($AK$76="","",IF(MIN(IFERROR(FIND(",",$AK$76),99999),IFERROR(FIND("+",$AK$76),99999))=99999,TRIM($AK$76),TRIM(LEFT($AK$76,MIN(IFERROR(FIND(",",$AK$76),99999),IFERROR(FIND("+",$AK$76),99999))-1))))</f>
      </c>
      <c r="AT76">
        <f>IF($AL$76="","",IF(MIN(IFERROR(FIND(",",$AL$76),99999),IFERROR(FIND("+",$AL$76),99999))=99999,TRIM($AL$76),TRIM(LEFT($AL$76,MIN(IFERROR(FIND(",",$AL$76),99999),IFERROR(FIND("+",$AL$76),99999))-1))))</f>
      </c>
      <c r="AU76">
        <f>IF($AM$76="","",IF(MIN(IFERROR(FIND(",",$AM$76),99999),IFERROR(FIND("+",$AM$76),99999))=99999,TRIM($AM$76),TRIM(LEFT($AM$76,MIN(IFERROR(FIND(",",$AM$76),99999),IFERROR(FIND("+",$AM$76),99999))-1))))</f>
      </c>
      <c r="AV76">
        <f>IF($AN$76="","",IF(MIN(IFERROR(FIND(",",$AN$76),99999),IFERROR(FIND("+",$AN$76),99999))=99999,TRIM($AN$76),TRIM(LEFT($AN$76,MIN(IFERROR(FIND(",",$AN$76),99999),IFERROR(FIND("+",$AN$76),99999))-1))))</f>
      </c>
      <c r="AW76">
        <f>IF($AO$76="","",IF(MIN(IFERROR(FIND(",",$AO$76),99999),IFERROR(FIND("+",$AO$76),99999))=99999,TRIM($AO$76),TRIM(LEFT($AO$76,MIN(IFERROR(FIND(",",$AO$76),99999),IFERROR(FIND("+",$AO$76),99999))-1))))</f>
      </c>
      <c r="AX76">
        <f>IF($AP$76="","",IF(MIN(IFERROR(FIND(",",$AP$76),99999),IFERROR(FIND("+",$AP$76),99999))=99999,TRIM($AP$76),TRIM(LEFT($AP$76,MIN(IFERROR(FIND(",",$AP$76),99999),IFERROR(FIND("+",$AP$76),99999))-1))))</f>
      </c>
      <c r="AY76">
        <f>IF($AQ$76="","",IF(MIN(IFERROR(FIND(",",$AQ$76),99999),IFERROR(FIND("+",$AQ$76),99999))=99999,TRIM($AQ$76),TRIM(LEFT($AQ$76,MIN(IFERROR(FIND(",",$AQ$76),99999),IFERROR(FIND("+",$AQ$76),99999))-1))))</f>
      </c>
      <c r="AZ76">
        <f>IF($AR$76="","",IF(MIN(IFERROR(FIND(",",$AR$76),99999),IFERROR(FIND("+",$AR$76),99999))=99999,TRIM($AR$76),TRIM(LEFT($AR$76,MIN(IFERROR(FIND(",",$AR$76),99999),IFERROR(FIND("+",$AR$76),99999))-1))))</f>
      </c>
      <c r="BA76">
        <f>IF($AK$76="",0,1)</f>
      </c>
      <c r="BB76">
        <f>IF($AK$76="",$BA$76,$BA$76+IF(MID($AK$76,MIN(IFERROR(FIND(",",$AK$76),99999),IFERROR(FIND("+",$AK$76),99999)),1)="+",1,0))</f>
      </c>
      <c r="BC76">
        <f>IF($AL$76="",$BB$76,$BB$76+IF(MID($AL$76,MIN(IFERROR(FIND(",",$AL$76),99999),IFERROR(FIND("+",$AL$76),99999)),1)="+",1,0))</f>
      </c>
      <c r="BD76">
        <f>IF($AM$76="",$BC$76,$BC$76+IF(MID($AM$76,MIN(IFERROR(FIND(",",$AM$76),99999),IFERROR(FIND("+",$AM$76),99999)),1)="+",1,0))</f>
      </c>
      <c r="BE76">
        <f>IF($AN$76="",$BD$76,$BD$76+IF(MID($AN$76,MIN(IFERROR(FIND(",",$AN$76),99999),IFERROR(FIND("+",$AN$76),99999)),1)="+",1,0))</f>
      </c>
      <c r="BF76">
        <f>IF($AO$76="",$BE$76,$BE$76+IF(MID($AO$76,MIN(IFERROR(FIND(",",$AO$76),99999),IFERROR(FIND("+",$AO$76),99999)),1)="+",1,0))</f>
      </c>
      <c r="BG76">
        <f>IF($AP$76="",$BF$76,$BF$76+IF(MID($AP$76,MIN(IFERROR(FIND(",",$AP$76),99999),IFERROR(FIND("+",$AP$76),99999)),1)="+",1,0))</f>
      </c>
      <c r="BH76">
        <f>IF($AQ$76="",$BG$76,$BG$76+IF(MID($AQ$76,MIN(IFERROR(FIND(",",$AQ$76),99999),IFERROR(FIND("+",$AQ$76),99999)),1)="+",1,0))</f>
      </c>
      <c r="BI76">
        <f>IF($AS$76="",0,$BA$76)</f>
      </c>
      <c r="BJ76">
        <f>IF($AT$76="",0,$BB$76)</f>
      </c>
      <c r="BK76">
        <f>IF($AU$76="",0,$BC$76)</f>
      </c>
      <c r="BL76">
        <f>IF($AV$76="",0,$BD$76)</f>
      </c>
      <c r="BM76">
        <f>IF($AW$76="",0,$BE$76)</f>
      </c>
      <c r="BN76">
        <f>IF($AX$76="",0,$BF$76)</f>
      </c>
      <c r="BO76">
        <f>IF($AY$76="",0,$BG$76)</f>
      </c>
      <c r="BP76">
        <f>IF($AZ$76="",0,$BH$76)</f>
      </c>
    </row>
    <row r="77" spans="1:99" ht="15" customHeight="1" hidden="1">
      <c r="AK77">
        <f>SUBSTITUTE(SUBSTITUTE($R$4,"&amp;","+"),"/",",")</f>
      </c>
      <c r="AL77">
        <f>IF(OR($AK$77="",MIN(IFERROR(FIND(",",$AK$77),99999),IFERROR(FIND("+",$AK$77),99999))=99999),"",MID($AK$77,MIN(IFERROR(FIND(",",$AK$77),99999),IFERROR(FIND("+",$AK$77),99999))+1,99999))</f>
      </c>
      <c r="AM77">
        <f>IF(OR($AL$77="",MIN(IFERROR(FIND(",",$AL$77),99999),IFERROR(FIND("+",$AL$77),99999))=99999),"",MID($AL$77,MIN(IFERROR(FIND(",",$AL$77),99999),IFERROR(FIND("+",$AL$77),99999))+1,99999))</f>
      </c>
      <c r="AN77">
        <f>IF(OR($AM$77="",MIN(IFERROR(FIND(",",$AM$77),99999),IFERROR(FIND("+",$AM$77),99999))=99999),"",MID($AM$77,MIN(IFERROR(FIND(",",$AM$77),99999),IFERROR(FIND("+",$AM$77),99999))+1,99999))</f>
      </c>
      <c r="AO77">
        <f>IF(OR($AN$77="",MIN(IFERROR(FIND(",",$AN$77),99999),IFERROR(FIND("+",$AN$77),99999))=99999),"",MID($AN$77,MIN(IFERROR(FIND(",",$AN$77),99999),IFERROR(FIND("+",$AN$77),99999))+1,99999))</f>
      </c>
      <c r="AP77">
        <f>IF(OR($AO$77="",MIN(IFERROR(FIND(",",$AO$77),99999),IFERROR(FIND("+",$AO$77),99999))=99999),"",MID($AO$77,MIN(IFERROR(FIND(",",$AO$77),99999),IFERROR(FIND("+",$AO$77),99999))+1,99999))</f>
      </c>
      <c r="AQ77">
        <f>IF(OR($AP$77="",MIN(IFERROR(FIND(",",$AP$77),99999),IFERROR(FIND("+",$AP$77),99999))=99999),"",MID($AP$77,MIN(IFERROR(FIND(",",$AP$77),99999),IFERROR(FIND("+",$AP$77),99999))+1,99999))</f>
      </c>
      <c r="AR77">
        <f>IF(OR($AQ$77="",MIN(IFERROR(FIND(",",$AQ$77),99999),IFERROR(FIND("+",$AQ$77),99999))=99999),"",MID($AQ$77,MIN(IFERROR(FIND(",",$AQ$77),99999),IFERROR(FIND("+",$AQ$77),99999))+1,99999))</f>
      </c>
      <c r="AS77">
        <f>IF($AK$77="","",IF(MIN(IFERROR(FIND(",",$AK$77),99999),IFERROR(FIND("+",$AK$77),99999))=99999,TRIM($AK$77),TRIM(LEFT($AK$77,MIN(IFERROR(FIND(",",$AK$77),99999),IFERROR(FIND("+",$AK$77),99999))-1))))</f>
      </c>
      <c r="AT77">
        <f>IF($AL$77="","",IF(MIN(IFERROR(FIND(",",$AL$77),99999),IFERROR(FIND("+",$AL$77),99999))=99999,TRIM($AL$77),TRIM(LEFT($AL$77,MIN(IFERROR(FIND(",",$AL$77),99999),IFERROR(FIND("+",$AL$77),99999))-1))))</f>
      </c>
      <c r="AU77">
        <f>IF($AM$77="","",IF(MIN(IFERROR(FIND(",",$AM$77),99999),IFERROR(FIND("+",$AM$77),99999))=99999,TRIM($AM$77),TRIM(LEFT($AM$77,MIN(IFERROR(FIND(",",$AM$77),99999),IFERROR(FIND("+",$AM$77),99999))-1))))</f>
      </c>
      <c r="AV77">
        <f>IF($AN$77="","",IF(MIN(IFERROR(FIND(",",$AN$77),99999),IFERROR(FIND("+",$AN$77),99999))=99999,TRIM($AN$77),TRIM(LEFT($AN$77,MIN(IFERROR(FIND(",",$AN$77),99999),IFERROR(FIND("+",$AN$77),99999))-1))))</f>
      </c>
      <c r="AW77">
        <f>IF($AO$77="","",IF(MIN(IFERROR(FIND(",",$AO$77),99999),IFERROR(FIND("+",$AO$77),99999))=99999,TRIM($AO$77),TRIM(LEFT($AO$77,MIN(IFERROR(FIND(",",$AO$77),99999),IFERROR(FIND("+",$AO$77),99999))-1))))</f>
      </c>
      <c r="AX77">
        <f>IF($AP$77="","",IF(MIN(IFERROR(FIND(",",$AP$77),99999),IFERROR(FIND("+",$AP$77),99999))=99999,TRIM($AP$77),TRIM(LEFT($AP$77,MIN(IFERROR(FIND(",",$AP$77),99999),IFERROR(FIND("+",$AP$77),99999))-1))))</f>
      </c>
      <c r="AY77">
        <f>IF($AQ$77="","",IF(MIN(IFERROR(FIND(",",$AQ$77),99999),IFERROR(FIND("+",$AQ$77),99999))=99999,TRIM($AQ$77),TRIM(LEFT($AQ$77,MIN(IFERROR(FIND(",",$AQ$77),99999),IFERROR(FIND("+",$AQ$77),99999))-1))))</f>
      </c>
      <c r="AZ77">
        <f>IF($AR$77="","",IF(MIN(IFERROR(FIND(",",$AR$77),99999),IFERROR(FIND("+",$AR$77),99999))=99999,TRIM($AR$77),TRIM(LEFT($AR$77,MIN(IFERROR(FIND(",",$AR$77),99999),IFERROR(FIND("+",$AR$77),99999))-1))))</f>
      </c>
      <c r="BA77">
        <f>IF($AK$77="",0,1)</f>
      </c>
      <c r="BB77">
        <f>IF($AK$77="",$BA$77,$BA$77+IF(MID($AK$77,MIN(IFERROR(FIND(",",$AK$77),99999),IFERROR(FIND("+",$AK$77),99999)),1)="+",1,0))</f>
      </c>
      <c r="BC77">
        <f>IF($AL$77="",$BB$77,$BB$77+IF(MID($AL$77,MIN(IFERROR(FIND(",",$AL$77),99999),IFERROR(FIND("+",$AL$77),99999)),1)="+",1,0))</f>
      </c>
      <c r="BD77">
        <f>IF($AM$77="",$BC$77,$BC$77+IF(MID($AM$77,MIN(IFERROR(FIND(",",$AM$77),99999),IFERROR(FIND("+",$AM$77),99999)),1)="+",1,0))</f>
      </c>
      <c r="BE77">
        <f>IF($AN$77="",$BD$77,$BD$77+IF(MID($AN$77,MIN(IFERROR(FIND(",",$AN$77),99999),IFERROR(FIND("+",$AN$77),99999)),1)="+",1,0))</f>
      </c>
      <c r="BF77">
        <f>IF($AO$77="",$BE$77,$BE$77+IF(MID($AO$77,MIN(IFERROR(FIND(",",$AO$77),99999),IFERROR(FIND("+",$AO$77),99999)),1)="+",1,0))</f>
      </c>
      <c r="BG77">
        <f>IF($AP$77="",$BF$77,$BF$77+IF(MID($AP$77,MIN(IFERROR(FIND(",",$AP$77),99999),IFERROR(FIND("+",$AP$77),99999)),1)="+",1,0))</f>
      </c>
      <c r="BH77">
        <f>IF($AQ$77="",$BG$77,$BG$77+IF(MID($AQ$77,MIN(IFERROR(FIND(",",$AQ$77),99999),IFERROR(FIND("+",$AQ$77),99999)),1)="+",1,0))</f>
      </c>
      <c r="BI77">
        <f>IF($AS$77="",0,$BA$77)</f>
      </c>
      <c r="BJ77">
        <f>IF($AT$77="",0,$BB$77)</f>
      </c>
      <c r="BK77">
        <f>IF($AU$77="",0,$BC$77)</f>
      </c>
      <c r="BL77">
        <f>IF($AV$77="",0,$BD$77)</f>
      </c>
      <c r="BM77">
        <f>IF($AW$77="",0,$BE$77)</f>
      </c>
      <c r="BN77">
        <f>IF($AX$77="",0,$BF$77)</f>
      </c>
      <c r="BO77">
        <f>IF($AY$77="",0,$BG$77)</f>
      </c>
      <c r="BP77">
        <f>IF($AZ$77="",0,$BH$77)</f>
      </c>
    </row>
    <row r="78" spans="1:99" ht="15" customHeight="1" hidden="1">
      <c r="AK78">
        <f>SUBSTITUTE(SUBSTITUTE($S$4,"&amp;","+"),"/",",")</f>
      </c>
      <c r="AL78">
        <f>IF(OR($AK$78="",MIN(IFERROR(FIND(",",$AK$78),99999),IFERROR(FIND("+",$AK$78),99999))=99999),"",MID($AK$78,MIN(IFERROR(FIND(",",$AK$78),99999),IFERROR(FIND("+",$AK$78),99999))+1,99999))</f>
      </c>
      <c r="AM78">
        <f>IF(OR($AL$78="",MIN(IFERROR(FIND(",",$AL$78),99999),IFERROR(FIND("+",$AL$78),99999))=99999),"",MID($AL$78,MIN(IFERROR(FIND(",",$AL$78),99999),IFERROR(FIND("+",$AL$78),99999))+1,99999))</f>
      </c>
      <c r="AN78">
        <f>IF(OR($AM$78="",MIN(IFERROR(FIND(",",$AM$78),99999),IFERROR(FIND("+",$AM$78),99999))=99999),"",MID($AM$78,MIN(IFERROR(FIND(",",$AM$78),99999),IFERROR(FIND("+",$AM$78),99999))+1,99999))</f>
      </c>
      <c r="AO78">
        <f>IF(OR($AN$78="",MIN(IFERROR(FIND(",",$AN$78),99999),IFERROR(FIND("+",$AN$78),99999))=99999),"",MID($AN$78,MIN(IFERROR(FIND(",",$AN$78),99999),IFERROR(FIND("+",$AN$78),99999))+1,99999))</f>
      </c>
      <c r="AP78">
        <f>IF(OR($AO$78="",MIN(IFERROR(FIND(",",$AO$78),99999),IFERROR(FIND("+",$AO$78),99999))=99999),"",MID($AO$78,MIN(IFERROR(FIND(",",$AO$78),99999),IFERROR(FIND("+",$AO$78),99999))+1,99999))</f>
      </c>
      <c r="AQ78">
        <f>IF(OR($AP$78="",MIN(IFERROR(FIND(",",$AP$78),99999),IFERROR(FIND("+",$AP$78),99999))=99999),"",MID($AP$78,MIN(IFERROR(FIND(",",$AP$78),99999),IFERROR(FIND("+",$AP$78),99999))+1,99999))</f>
      </c>
      <c r="AR78">
        <f>IF(OR($AQ$78="",MIN(IFERROR(FIND(",",$AQ$78),99999),IFERROR(FIND("+",$AQ$78),99999))=99999),"",MID($AQ$78,MIN(IFERROR(FIND(",",$AQ$78),99999),IFERROR(FIND("+",$AQ$78),99999))+1,99999))</f>
      </c>
      <c r="AS78">
        <f>IF($AK$78="","",IF(MIN(IFERROR(FIND(",",$AK$78),99999),IFERROR(FIND("+",$AK$78),99999))=99999,TRIM($AK$78),TRIM(LEFT($AK$78,MIN(IFERROR(FIND(",",$AK$78),99999),IFERROR(FIND("+",$AK$78),99999))-1))))</f>
      </c>
      <c r="AT78">
        <f>IF($AL$78="","",IF(MIN(IFERROR(FIND(",",$AL$78),99999),IFERROR(FIND("+",$AL$78),99999))=99999,TRIM($AL$78),TRIM(LEFT($AL$78,MIN(IFERROR(FIND(",",$AL$78),99999),IFERROR(FIND("+",$AL$78),99999))-1))))</f>
      </c>
      <c r="AU78">
        <f>IF($AM$78="","",IF(MIN(IFERROR(FIND(",",$AM$78),99999),IFERROR(FIND("+",$AM$78),99999))=99999,TRIM($AM$78),TRIM(LEFT($AM$78,MIN(IFERROR(FIND(",",$AM$78),99999),IFERROR(FIND("+",$AM$78),99999))-1))))</f>
      </c>
      <c r="AV78">
        <f>IF($AN$78="","",IF(MIN(IFERROR(FIND(",",$AN$78),99999),IFERROR(FIND("+",$AN$78),99999))=99999,TRIM($AN$78),TRIM(LEFT($AN$78,MIN(IFERROR(FIND(",",$AN$78),99999),IFERROR(FIND("+",$AN$78),99999))-1))))</f>
      </c>
      <c r="AW78">
        <f>IF($AO$78="","",IF(MIN(IFERROR(FIND(",",$AO$78),99999),IFERROR(FIND("+",$AO$78),99999))=99999,TRIM($AO$78),TRIM(LEFT($AO$78,MIN(IFERROR(FIND(",",$AO$78),99999),IFERROR(FIND("+",$AO$78),99999))-1))))</f>
      </c>
      <c r="AX78">
        <f>IF($AP$78="","",IF(MIN(IFERROR(FIND(",",$AP$78),99999),IFERROR(FIND("+",$AP$78),99999))=99999,TRIM($AP$78),TRIM(LEFT($AP$78,MIN(IFERROR(FIND(",",$AP$78),99999),IFERROR(FIND("+",$AP$78),99999))-1))))</f>
      </c>
      <c r="AY78">
        <f>IF($AQ$78="","",IF(MIN(IFERROR(FIND(",",$AQ$78),99999),IFERROR(FIND("+",$AQ$78),99999))=99999,TRIM($AQ$78),TRIM(LEFT($AQ$78,MIN(IFERROR(FIND(",",$AQ$78),99999),IFERROR(FIND("+",$AQ$78),99999))-1))))</f>
      </c>
      <c r="AZ78">
        <f>IF($AR$78="","",IF(MIN(IFERROR(FIND(",",$AR$78),99999),IFERROR(FIND("+",$AR$78),99999))=99999,TRIM($AR$78),TRIM(LEFT($AR$78,MIN(IFERROR(FIND(",",$AR$78),99999),IFERROR(FIND("+",$AR$78),99999))-1))))</f>
      </c>
      <c r="BA78">
        <f>IF($AK$78="",0,1)</f>
      </c>
      <c r="BB78">
        <f>IF($AK$78="",$BA$78,$BA$78+IF(MID($AK$78,MIN(IFERROR(FIND(",",$AK$78),99999),IFERROR(FIND("+",$AK$78),99999)),1)="+",1,0))</f>
      </c>
      <c r="BC78">
        <f>IF($AL$78="",$BB$78,$BB$78+IF(MID($AL$78,MIN(IFERROR(FIND(",",$AL$78),99999),IFERROR(FIND("+",$AL$78),99999)),1)="+",1,0))</f>
      </c>
      <c r="BD78">
        <f>IF($AM$78="",$BC$78,$BC$78+IF(MID($AM$78,MIN(IFERROR(FIND(",",$AM$78),99999),IFERROR(FIND("+",$AM$78),99999)),1)="+",1,0))</f>
      </c>
      <c r="BE78">
        <f>IF($AN$78="",$BD$78,$BD$78+IF(MID($AN$78,MIN(IFERROR(FIND(",",$AN$78),99999),IFERROR(FIND("+",$AN$78),99999)),1)="+",1,0))</f>
      </c>
      <c r="BF78">
        <f>IF($AO$78="",$BE$78,$BE$78+IF(MID($AO$78,MIN(IFERROR(FIND(",",$AO$78),99999),IFERROR(FIND("+",$AO$78),99999)),1)="+",1,0))</f>
      </c>
      <c r="BG78">
        <f>IF($AP$78="",$BF$78,$BF$78+IF(MID($AP$78,MIN(IFERROR(FIND(",",$AP$78),99999),IFERROR(FIND("+",$AP$78),99999)),1)="+",1,0))</f>
      </c>
      <c r="BH78">
        <f>IF($AQ$78="",$BG$78,$BG$78+IF(MID($AQ$78,MIN(IFERROR(FIND(",",$AQ$78),99999),IFERROR(FIND("+",$AQ$78),99999)),1)="+",1,0))</f>
      </c>
      <c r="BI78">
        <f>IF($AS$78="",0,$BA$78)</f>
      </c>
      <c r="BJ78">
        <f>IF($AT$78="",0,$BB$78)</f>
      </c>
      <c r="BK78">
        <f>IF($AU$78="",0,$BC$78)</f>
      </c>
      <c r="BL78">
        <f>IF($AV$78="",0,$BD$78)</f>
      </c>
      <c r="BM78">
        <f>IF($AW$78="",0,$BE$78)</f>
      </c>
      <c r="BN78">
        <f>IF($AX$78="",0,$BF$78)</f>
      </c>
      <c r="BO78">
        <f>IF($AY$78="",0,$BG$78)</f>
      </c>
      <c r="BP78">
        <f>IF($AZ$78="",0,$BH$78)</f>
      </c>
    </row>
    <row r="79" spans="1:99" ht="15" customHeight="1" hidden="1">
      <c r="AK79">
        <f>SUBSTITUTE(SUBSTITUTE($T$4,"&amp;","+"),"/",",")</f>
      </c>
      <c r="AL79">
        <f>IF(OR($AK$79="",MIN(IFERROR(FIND(",",$AK$79),99999),IFERROR(FIND("+",$AK$79),99999))=99999),"",MID($AK$79,MIN(IFERROR(FIND(",",$AK$79),99999),IFERROR(FIND("+",$AK$79),99999))+1,99999))</f>
      </c>
      <c r="AM79">
        <f>IF(OR($AL$79="",MIN(IFERROR(FIND(",",$AL$79),99999),IFERROR(FIND("+",$AL$79),99999))=99999),"",MID($AL$79,MIN(IFERROR(FIND(",",$AL$79),99999),IFERROR(FIND("+",$AL$79),99999))+1,99999))</f>
      </c>
      <c r="AN79">
        <f>IF(OR($AM$79="",MIN(IFERROR(FIND(",",$AM$79),99999),IFERROR(FIND("+",$AM$79),99999))=99999),"",MID($AM$79,MIN(IFERROR(FIND(",",$AM$79),99999),IFERROR(FIND("+",$AM$79),99999))+1,99999))</f>
      </c>
      <c r="AO79">
        <f>IF(OR($AN$79="",MIN(IFERROR(FIND(",",$AN$79),99999),IFERROR(FIND("+",$AN$79),99999))=99999),"",MID($AN$79,MIN(IFERROR(FIND(",",$AN$79),99999),IFERROR(FIND("+",$AN$79),99999))+1,99999))</f>
      </c>
      <c r="AP79">
        <f>IF(OR($AO$79="",MIN(IFERROR(FIND(",",$AO$79),99999),IFERROR(FIND("+",$AO$79),99999))=99999),"",MID($AO$79,MIN(IFERROR(FIND(",",$AO$79),99999),IFERROR(FIND("+",$AO$79),99999))+1,99999))</f>
      </c>
      <c r="AQ79">
        <f>IF(OR($AP$79="",MIN(IFERROR(FIND(",",$AP$79),99999),IFERROR(FIND("+",$AP$79),99999))=99999),"",MID($AP$79,MIN(IFERROR(FIND(",",$AP$79),99999),IFERROR(FIND("+",$AP$79),99999))+1,99999))</f>
      </c>
      <c r="AR79">
        <f>IF(OR($AQ$79="",MIN(IFERROR(FIND(",",$AQ$79),99999),IFERROR(FIND("+",$AQ$79),99999))=99999),"",MID($AQ$79,MIN(IFERROR(FIND(",",$AQ$79),99999),IFERROR(FIND("+",$AQ$79),99999))+1,99999))</f>
      </c>
      <c r="AS79">
        <f>IF($AK$79="","",IF(MIN(IFERROR(FIND(",",$AK$79),99999),IFERROR(FIND("+",$AK$79),99999))=99999,TRIM($AK$79),TRIM(LEFT($AK$79,MIN(IFERROR(FIND(",",$AK$79),99999),IFERROR(FIND("+",$AK$79),99999))-1))))</f>
      </c>
      <c r="AT79">
        <f>IF($AL$79="","",IF(MIN(IFERROR(FIND(",",$AL$79),99999),IFERROR(FIND("+",$AL$79),99999))=99999,TRIM($AL$79),TRIM(LEFT($AL$79,MIN(IFERROR(FIND(",",$AL$79),99999),IFERROR(FIND("+",$AL$79),99999))-1))))</f>
      </c>
      <c r="AU79">
        <f>IF($AM$79="","",IF(MIN(IFERROR(FIND(",",$AM$79),99999),IFERROR(FIND("+",$AM$79),99999))=99999,TRIM($AM$79),TRIM(LEFT($AM$79,MIN(IFERROR(FIND(",",$AM$79),99999),IFERROR(FIND("+",$AM$79),99999))-1))))</f>
      </c>
      <c r="AV79">
        <f>IF($AN$79="","",IF(MIN(IFERROR(FIND(",",$AN$79),99999),IFERROR(FIND("+",$AN$79),99999))=99999,TRIM($AN$79),TRIM(LEFT($AN$79,MIN(IFERROR(FIND(",",$AN$79),99999),IFERROR(FIND("+",$AN$79),99999))-1))))</f>
      </c>
      <c r="AW79">
        <f>IF($AO$79="","",IF(MIN(IFERROR(FIND(",",$AO$79),99999),IFERROR(FIND("+",$AO$79),99999))=99999,TRIM($AO$79),TRIM(LEFT($AO$79,MIN(IFERROR(FIND(",",$AO$79),99999),IFERROR(FIND("+",$AO$79),99999))-1))))</f>
      </c>
      <c r="AX79">
        <f>IF($AP$79="","",IF(MIN(IFERROR(FIND(",",$AP$79),99999),IFERROR(FIND("+",$AP$79),99999))=99999,TRIM($AP$79),TRIM(LEFT($AP$79,MIN(IFERROR(FIND(",",$AP$79),99999),IFERROR(FIND("+",$AP$79),99999))-1))))</f>
      </c>
      <c r="AY79">
        <f>IF($AQ$79="","",IF(MIN(IFERROR(FIND(",",$AQ$79),99999),IFERROR(FIND("+",$AQ$79),99999))=99999,TRIM($AQ$79),TRIM(LEFT($AQ$79,MIN(IFERROR(FIND(",",$AQ$79),99999),IFERROR(FIND("+",$AQ$79),99999))-1))))</f>
      </c>
      <c r="AZ79">
        <f>IF($AR$79="","",IF(MIN(IFERROR(FIND(",",$AR$79),99999),IFERROR(FIND("+",$AR$79),99999))=99999,TRIM($AR$79),TRIM(LEFT($AR$79,MIN(IFERROR(FIND(",",$AR$79),99999),IFERROR(FIND("+",$AR$79),99999))-1))))</f>
      </c>
      <c r="BA79">
        <f>IF($AK$79="",0,1)</f>
      </c>
      <c r="BB79">
        <f>IF($AK$79="",$BA$79,$BA$79+IF(MID($AK$79,MIN(IFERROR(FIND(",",$AK$79),99999),IFERROR(FIND("+",$AK$79),99999)),1)="+",1,0))</f>
      </c>
      <c r="BC79">
        <f>IF($AL$79="",$BB$79,$BB$79+IF(MID($AL$79,MIN(IFERROR(FIND(",",$AL$79),99999),IFERROR(FIND("+",$AL$79),99999)),1)="+",1,0))</f>
      </c>
      <c r="BD79">
        <f>IF($AM$79="",$BC$79,$BC$79+IF(MID($AM$79,MIN(IFERROR(FIND(",",$AM$79),99999),IFERROR(FIND("+",$AM$79),99999)),1)="+",1,0))</f>
      </c>
      <c r="BE79">
        <f>IF($AN$79="",$BD$79,$BD$79+IF(MID($AN$79,MIN(IFERROR(FIND(",",$AN$79),99999),IFERROR(FIND("+",$AN$79),99999)),1)="+",1,0))</f>
      </c>
      <c r="BF79">
        <f>IF($AO$79="",$BE$79,$BE$79+IF(MID($AO$79,MIN(IFERROR(FIND(",",$AO$79),99999),IFERROR(FIND("+",$AO$79),99999)),1)="+",1,0))</f>
      </c>
      <c r="BG79">
        <f>IF($AP$79="",$BF$79,$BF$79+IF(MID($AP$79,MIN(IFERROR(FIND(",",$AP$79),99999),IFERROR(FIND("+",$AP$79),99999)),1)="+",1,0))</f>
      </c>
      <c r="BH79">
        <f>IF($AQ$79="",$BG$79,$BG$79+IF(MID($AQ$79,MIN(IFERROR(FIND(",",$AQ$79),99999),IFERROR(FIND("+",$AQ$79),99999)),1)="+",1,0))</f>
      </c>
      <c r="BI79">
        <f>IF($AS$79="",0,$BA$79)</f>
      </c>
      <c r="BJ79">
        <f>IF($AT$79="",0,$BB$79)</f>
      </c>
      <c r="BK79">
        <f>IF($AU$79="",0,$BC$79)</f>
      </c>
      <c r="BL79">
        <f>IF($AV$79="",0,$BD$79)</f>
      </c>
      <c r="BM79">
        <f>IF($AW$79="",0,$BE$79)</f>
      </c>
      <c r="BN79">
        <f>IF($AX$79="",0,$BF$79)</f>
      </c>
      <c r="BO79">
        <f>IF($AY$79="",0,$BG$79)</f>
      </c>
      <c r="BP79">
        <f>IF($AZ$79="",0,$BH$79)</f>
      </c>
    </row>
    <row r="80" spans="1:99" ht="15" customHeight="1" hidden="1">
      <c r="AK80">
        <f>SUBSTITUTE(SUBSTITUTE($U$4,"&amp;","+"),"/",",")</f>
      </c>
      <c r="AL80">
        <f>IF(OR($AK$80="",MIN(IFERROR(FIND(",",$AK$80),99999),IFERROR(FIND("+",$AK$80),99999))=99999),"",MID($AK$80,MIN(IFERROR(FIND(",",$AK$80),99999),IFERROR(FIND("+",$AK$80),99999))+1,99999))</f>
      </c>
      <c r="AM80">
        <f>IF(OR($AL$80="",MIN(IFERROR(FIND(",",$AL$80),99999),IFERROR(FIND("+",$AL$80),99999))=99999),"",MID($AL$80,MIN(IFERROR(FIND(",",$AL$80),99999),IFERROR(FIND("+",$AL$80),99999))+1,99999))</f>
      </c>
      <c r="AN80">
        <f>IF(OR($AM$80="",MIN(IFERROR(FIND(",",$AM$80),99999),IFERROR(FIND("+",$AM$80),99999))=99999),"",MID($AM$80,MIN(IFERROR(FIND(",",$AM$80),99999),IFERROR(FIND("+",$AM$80),99999))+1,99999))</f>
      </c>
      <c r="AO80">
        <f>IF(OR($AN$80="",MIN(IFERROR(FIND(",",$AN$80),99999),IFERROR(FIND("+",$AN$80),99999))=99999),"",MID($AN$80,MIN(IFERROR(FIND(",",$AN$80),99999),IFERROR(FIND("+",$AN$80),99999))+1,99999))</f>
      </c>
      <c r="AP80">
        <f>IF(OR($AO$80="",MIN(IFERROR(FIND(",",$AO$80),99999),IFERROR(FIND("+",$AO$80),99999))=99999),"",MID($AO$80,MIN(IFERROR(FIND(",",$AO$80),99999),IFERROR(FIND("+",$AO$80),99999))+1,99999))</f>
      </c>
      <c r="AQ80">
        <f>IF(OR($AP$80="",MIN(IFERROR(FIND(",",$AP$80),99999),IFERROR(FIND("+",$AP$80),99999))=99999),"",MID($AP$80,MIN(IFERROR(FIND(",",$AP$80),99999),IFERROR(FIND("+",$AP$80),99999))+1,99999))</f>
      </c>
      <c r="AR80">
        <f>IF(OR($AQ$80="",MIN(IFERROR(FIND(",",$AQ$80),99999),IFERROR(FIND("+",$AQ$80),99999))=99999),"",MID($AQ$80,MIN(IFERROR(FIND(",",$AQ$80),99999),IFERROR(FIND("+",$AQ$80),99999))+1,99999))</f>
      </c>
      <c r="AS80">
        <f>IF($AK$80="","",IF(MIN(IFERROR(FIND(",",$AK$80),99999),IFERROR(FIND("+",$AK$80),99999))=99999,TRIM($AK$80),TRIM(LEFT($AK$80,MIN(IFERROR(FIND(",",$AK$80),99999),IFERROR(FIND("+",$AK$80),99999))-1))))</f>
      </c>
      <c r="AT80">
        <f>IF($AL$80="","",IF(MIN(IFERROR(FIND(",",$AL$80),99999),IFERROR(FIND("+",$AL$80),99999))=99999,TRIM($AL$80),TRIM(LEFT($AL$80,MIN(IFERROR(FIND(",",$AL$80),99999),IFERROR(FIND("+",$AL$80),99999))-1))))</f>
      </c>
      <c r="AU80">
        <f>IF($AM$80="","",IF(MIN(IFERROR(FIND(",",$AM$80),99999),IFERROR(FIND("+",$AM$80),99999))=99999,TRIM($AM$80),TRIM(LEFT($AM$80,MIN(IFERROR(FIND(",",$AM$80),99999),IFERROR(FIND("+",$AM$80),99999))-1))))</f>
      </c>
      <c r="AV80">
        <f>IF($AN$80="","",IF(MIN(IFERROR(FIND(",",$AN$80),99999),IFERROR(FIND("+",$AN$80),99999))=99999,TRIM($AN$80),TRIM(LEFT($AN$80,MIN(IFERROR(FIND(",",$AN$80),99999),IFERROR(FIND("+",$AN$80),99999))-1))))</f>
      </c>
      <c r="AW80">
        <f>IF($AO$80="","",IF(MIN(IFERROR(FIND(",",$AO$80),99999),IFERROR(FIND("+",$AO$80),99999))=99999,TRIM($AO$80),TRIM(LEFT($AO$80,MIN(IFERROR(FIND(",",$AO$80),99999),IFERROR(FIND("+",$AO$80),99999))-1))))</f>
      </c>
      <c r="AX80">
        <f>IF($AP$80="","",IF(MIN(IFERROR(FIND(",",$AP$80),99999),IFERROR(FIND("+",$AP$80),99999))=99999,TRIM($AP$80),TRIM(LEFT($AP$80,MIN(IFERROR(FIND(",",$AP$80),99999),IFERROR(FIND("+",$AP$80),99999))-1))))</f>
      </c>
      <c r="AY80">
        <f>IF($AQ$80="","",IF(MIN(IFERROR(FIND(",",$AQ$80),99999),IFERROR(FIND("+",$AQ$80),99999))=99999,TRIM($AQ$80),TRIM(LEFT($AQ$80,MIN(IFERROR(FIND(",",$AQ$80),99999),IFERROR(FIND("+",$AQ$80),99999))-1))))</f>
      </c>
      <c r="AZ80">
        <f>IF($AR$80="","",IF(MIN(IFERROR(FIND(",",$AR$80),99999),IFERROR(FIND("+",$AR$80),99999))=99999,TRIM($AR$80),TRIM(LEFT($AR$80,MIN(IFERROR(FIND(",",$AR$80),99999),IFERROR(FIND("+",$AR$80),99999))-1))))</f>
      </c>
      <c r="BA80">
        <f>IF($AK$80="",0,1)</f>
      </c>
      <c r="BB80">
        <f>IF($AK$80="",$BA$80,$BA$80+IF(MID($AK$80,MIN(IFERROR(FIND(",",$AK$80),99999),IFERROR(FIND("+",$AK$80),99999)),1)="+",1,0))</f>
      </c>
      <c r="BC80">
        <f>IF($AL$80="",$BB$80,$BB$80+IF(MID($AL$80,MIN(IFERROR(FIND(",",$AL$80),99999),IFERROR(FIND("+",$AL$80),99999)),1)="+",1,0))</f>
      </c>
      <c r="BD80">
        <f>IF($AM$80="",$BC$80,$BC$80+IF(MID($AM$80,MIN(IFERROR(FIND(",",$AM$80),99999),IFERROR(FIND("+",$AM$80),99999)),1)="+",1,0))</f>
      </c>
      <c r="BE80">
        <f>IF($AN$80="",$BD$80,$BD$80+IF(MID($AN$80,MIN(IFERROR(FIND(",",$AN$80),99999),IFERROR(FIND("+",$AN$80),99999)),1)="+",1,0))</f>
      </c>
      <c r="BF80">
        <f>IF($AO$80="",$BE$80,$BE$80+IF(MID($AO$80,MIN(IFERROR(FIND(",",$AO$80),99999),IFERROR(FIND("+",$AO$80),99999)),1)="+",1,0))</f>
      </c>
      <c r="BG80">
        <f>IF($AP$80="",$BF$80,$BF$80+IF(MID($AP$80,MIN(IFERROR(FIND(",",$AP$80),99999),IFERROR(FIND("+",$AP$80),99999)),1)="+",1,0))</f>
      </c>
      <c r="BH80">
        <f>IF($AQ$80="",$BG$80,$BG$80+IF(MID($AQ$80,MIN(IFERROR(FIND(",",$AQ$80),99999),IFERROR(FIND("+",$AQ$80),99999)),1)="+",1,0))</f>
      </c>
      <c r="BI80">
        <f>IF($AS$80="",0,$BA$80)</f>
      </c>
      <c r="BJ80">
        <f>IF($AT$80="",0,$BB$80)</f>
      </c>
      <c r="BK80">
        <f>IF($AU$80="",0,$BC$80)</f>
      </c>
      <c r="BL80">
        <f>IF($AV$80="",0,$BD$80)</f>
      </c>
      <c r="BM80">
        <f>IF($AW$80="",0,$BE$80)</f>
      </c>
      <c r="BN80">
        <f>IF($AX$80="",0,$BF$80)</f>
      </c>
      <c r="BO80">
        <f>IF($AY$80="",0,$BG$80)</f>
      </c>
      <c r="BP80">
        <f>IF($AZ$80="",0,$BH$80)</f>
      </c>
    </row>
    <row r="81" spans="1:99" ht="15" customHeight="1" hidden="1">
      <c r="AK81">
        <f>SUBSTITUTE(SUBSTITUTE($V$4,"&amp;","+"),"/",",")</f>
      </c>
      <c r="AL81">
        <f>IF(OR($AK$81="",MIN(IFERROR(FIND(",",$AK$81),99999),IFERROR(FIND("+",$AK$81),99999))=99999),"",MID($AK$81,MIN(IFERROR(FIND(",",$AK$81),99999),IFERROR(FIND("+",$AK$81),99999))+1,99999))</f>
      </c>
      <c r="AM81">
        <f>IF(OR($AL$81="",MIN(IFERROR(FIND(",",$AL$81),99999),IFERROR(FIND("+",$AL$81),99999))=99999),"",MID($AL$81,MIN(IFERROR(FIND(",",$AL$81),99999),IFERROR(FIND("+",$AL$81),99999))+1,99999))</f>
      </c>
      <c r="AN81">
        <f>IF(OR($AM$81="",MIN(IFERROR(FIND(",",$AM$81),99999),IFERROR(FIND("+",$AM$81),99999))=99999),"",MID($AM$81,MIN(IFERROR(FIND(",",$AM$81),99999),IFERROR(FIND("+",$AM$81),99999))+1,99999))</f>
      </c>
      <c r="AO81">
        <f>IF(OR($AN$81="",MIN(IFERROR(FIND(",",$AN$81),99999),IFERROR(FIND("+",$AN$81),99999))=99999),"",MID($AN$81,MIN(IFERROR(FIND(",",$AN$81),99999),IFERROR(FIND("+",$AN$81),99999))+1,99999))</f>
      </c>
      <c r="AP81">
        <f>IF(OR($AO$81="",MIN(IFERROR(FIND(",",$AO$81),99999),IFERROR(FIND("+",$AO$81),99999))=99999),"",MID($AO$81,MIN(IFERROR(FIND(",",$AO$81),99999),IFERROR(FIND("+",$AO$81),99999))+1,99999))</f>
      </c>
      <c r="AQ81">
        <f>IF(OR($AP$81="",MIN(IFERROR(FIND(",",$AP$81),99999),IFERROR(FIND("+",$AP$81),99999))=99999),"",MID($AP$81,MIN(IFERROR(FIND(",",$AP$81),99999),IFERROR(FIND("+",$AP$81),99999))+1,99999))</f>
      </c>
      <c r="AR81">
        <f>IF(OR($AQ$81="",MIN(IFERROR(FIND(",",$AQ$81),99999),IFERROR(FIND("+",$AQ$81),99999))=99999),"",MID($AQ$81,MIN(IFERROR(FIND(",",$AQ$81),99999),IFERROR(FIND("+",$AQ$81),99999))+1,99999))</f>
      </c>
      <c r="AS81">
        <f>IF($AK$81="","",IF(MIN(IFERROR(FIND(",",$AK$81),99999),IFERROR(FIND("+",$AK$81),99999))=99999,TRIM($AK$81),TRIM(LEFT($AK$81,MIN(IFERROR(FIND(",",$AK$81),99999),IFERROR(FIND("+",$AK$81),99999))-1))))</f>
      </c>
      <c r="AT81">
        <f>IF($AL$81="","",IF(MIN(IFERROR(FIND(",",$AL$81),99999),IFERROR(FIND("+",$AL$81),99999))=99999,TRIM($AL$81),TRIM(LEFT($AL$81,MIN(IFERROR(FIND(",",$AL$81),99999),IFERROR(FIND("+",$AL$81),99999))-1))))</f>
      </c>
      <c r="AU81">
        <f>IF($AM$81="","",IF(MIN(IFERROR(FIND(",",$AM$81),99999),IFERROR(FIND("+",$AM$81),99999))=99999,TRIM($AM$81),TRIM(LEFT($AM$81,MIN(IFERROR(FIND(",",$AM$81),99999),IFERROR(FIND("+",$AM$81),99999))-1))))</f>
      </c>
      <c r="AV81">
        <f>IF($AN$81="","",IF(MIN(IFERROR(FIND(",",$AN$81),99999),IFERROR(FIND("+",$AN$81),99999))=99999,TRIM($AN$81),TRIM(LEFT($AN$81,MIN(IFERROR(FIND(",",$AN$81),99999),IFERROR(FIND("+",$AN$81),99999))-1))))</f>
      </c>
      <c r="AW81">
        <f>IF($AO$81="","",IF(MIN(IFERROR(FIND(",",$AO$81),99999),IFERROR(FIND("+",$AO$81),99999))=99999,TRIM($AO$81),TRIM(LEFT($AO$81,MIN(IFERROR(FIND(",",$AO$81),99999),IFERROR(FIND("+",$AO$81),99999))-1))))</f>
      </c>
      <c r="AX81">
        <f>IF($AP$81="","",IF(MIN(IFERROR(FIND(",",$AP$81),99999),IFERROR(FIND("+",$AP$81),99999))=99999,TRIM($AP$81),TRIM(LEFT($AP$81,MIN(IFERROR(FIND(",",$AP$81),99999),IFERROR(FIND("+",$AP$81),99999))-1))))</f>
      </c>
      <c r="AY81">
        <f>IF($AQ$81="","",IF(MIN(IFERROR(FIND(",",$AQ$81),99999),IFERROR(FIND("+",$AQ$81),99999))=99999,TRIM($AQ$81),TRIM(LEFT($AQ$81,MIN(IFERROR(FIND(",",$AQ$81),99999),IFERROR(FIND("+",$AQ$81),99999))-1))))</f>
      </c>
      <c r="AZ81">
        <f>IF($AR$81="","",IF(MIN(IFERROR(FIND(",",$AR$81),99999),IFERROR(FIND("+",$AR$81),99999))=99999,TRIM($AR$81),TRIM(LEFT($AR$81,MIN(IFERROR(FIND(",",$AR$81),99999),IFERROR(FIND("+",$AR$81),99999))-1))))</f>
      </c>
      <c r="BA81">
        <f>IF($AK$81="",0,1)</f>
      </c>
      <c r="BB81">
        <f>IF($AK$81="",$BA$81,$BA$81+IF(MID($AK$81,MIN(IFERROR(FIND(",",$AK$81),99999),IFERROR(FIND("+",$AK$81),99999)),1)="+",1,0))</f>
      </c>
      <c r="BC81">
        <f>IF($AL$81="",$BB$81,$BB$81+IF(MID($AL$81,MIN(IFERROR(FIND(",",$AL$81),99999),IFERROR(FIND("+",$AL$81),99999)),1)="+",1,0))</f>
      </c>
      <c r="BD81">
        <f>IF($AM$81="",$BC$81,$BC$81+IF(MID($AM$81,MIN(IFERROR(FIND(",",$AM$81),99999),IFERROR(FIND("+",$AM$81),99999)),1)="+",1,0))</f>
      </c>
      <c r="BE81">
        <f>IF($AN$81="",$BD$81,$BD$81+IF(MID($AN$81,MIN(IFERROR(FIND(",",$AN$81),99999),IFERROR(FIND("+",$AN$81),99999)),1)="+",1,0))</f>
      </c>
      <c r="BF81">
        <f>IF($AO$81="",$BE$81,$BE$81+IF(MID($AO$81,MIN(IFERROR(FIND(",",$AO$81),99999),IFERROR(FIND("+",$AO$81),99999)),1)="+",1,0))</f>
      </c>
      <c r="BG81">
        <f>IF($AP$81="",$BF$81,$BF$81+IF(MID($AP$81,MIN(IFERROR(FIND(",",$AP$81),99999),IFERROR(FIND("+",$AP$81),99999)),1)="+",1,0))</f>
      </c>
      <c r="BH81">
        <f>IF($AQ$81="",$BG$81,$BG$81+IF(MID($AQ$81,MIN(IFERROR(FIND(",",$AQ$81),99999),IFERROR(FIND("+",$AQ$81),99999)),1)="+",1,0))</f>
      </c>
      <c r="BI81">
        <f>IF($AS$81="",0,$BA$81)</f>
      </c>
      <c r="BJ81">
        <f>IF($AT$81="",0,$BB$81)</f>
      </c>
      <c r="BK81">
        <f>IF($AU$81="",0,$BC$81)</f>
      </c>
      <c r="BL81">
        <f>IF($AV$81="",0,$BD$81)</f>
      </c>
      <c r="BM81">
        <f>IF($AW$81="",0,$BE$81)</f>
      </c>
      <c r="BN81">
        <f>IF($AX$81="",0,$BF$81)</f>
      </c>
      <c r="BO81">
        <f>IF($AY$81="",0,$BG$81)</f>
      </c>
      <c r="BP81">
        <f>IF($AZ$81="",0,$BH$81)</f>
      </c>
    </row>
    <row r="82" spans="1:99" ht="15" customHeight="1" hidden="1">
      <c r="AK82">
        <f>SUBSTITUTE(SUBSTITUTE($W$4,"&amp;","+"),"/",",")</f>
      </c>
      <c r="AL82">
        <f>IF(OR($AK$82="",MIN(IFERROR(FIND(",",$AK$82),99999),IFERROR(FIND("+",$AK$82),99999))=99999),"",MID($AK$82,MIN(IFERROR(FIND(",",$AK$82),99999),IFERROR(FIND("+",$AK$82),99999))+1,99999))</f>
      </c>
      <c r="AM82">
        <f>IF(OR($AL$82="",MIN(IFERROR(FIND(",",$AL$82),99999),IFERROR(FIND("+",$AL$82),99999))=99999),"",MID($AL$82,MIN(IFERROR(FIND(",",$AL$82),99999),IFERROR(FIND("+",$AL$82),99999))+1,99999))</f>
      </c>
      <c r="AN82">
        <f>IF(OR($AM$82="",MIN(IFERROR(FIND(",",$AM$82),99999),IFERROR(FIND("+",$AM$82),99999))=99999),"",MID($AM$82,MIN(IFERROR(FIND(",",$AM$82),99999),IFERROR(FIND("+",$AM$82),99999))+1,99999))</f>
      </c>
      <c r="AO82">
        <f>IF(OR($AN$82="",MIN(IFERROR(FIND(",",$AN$82),99999),IFERROR(FIND("+",$AN$82),99999))=99999),"",MID($AN$82,MIN(IFERROR(FIND(",",$AN$82),99999),IFERROR(FIND("+",$AN$82),99999))+1,99999))</f>
      </c>
      <c r="AP82">
        <f>IF(OR($AO$82="",MIN(IFERROR(FIND(",",$AO$82),99999),IFERROR(FIND("+",$AO$82),99999))=99999),"",MID($AO$82,MIN(IFERROR(FIND(",",$AO$82),99999),IFERROR(FIND("+",$AO$82),99999))+1,99999))</f>
      </c>
      <c r="AQ82">
        <f>IF(OR($AP$82="",MIN(IFERROR(FIND(",",$AP$82),99999),IFERROR(FIND("+",$AP$82),99999))=99999),"",MID($AP$82,MIN(IFERROR(FIND(",",$AP$82),99999),IFERROR(FIND("+",$AP$82),99999))+1,99999))</f>
      </c>
      <c r="AR82">
        <f>IF(OR($AQ$82="",MIN(IFERROR(FIND(",",$AQ$82),99999),IFERROR(FIND("+",$AQ$82),99999))=99999),"",MID($AQ$82,MIN(IFERROR(FIND(",",$AQ$82),99999),IFERROR(FIND("+",$AQ$82),99999))+1,99999))</f>
      </c>
      <c r="AS82">
        <f>IF($AK$82="","",IF(MIN(IFERROR(FIND(",",$AK$82),99999),IFERROR(FIND("+",$AK$82),99999))=99999,TRIM($AK$82),TRIM(LEFT($AK$82,MIN(IFERROR(FIND(",",$AK$82),99999),IFERROR(FIND("+",$AK$82),99999))-1))))</f>
      </c>
      <c r="AT82">
        <f>IF($AL$82="","",IF(MIN(IFERROR(FIND(",",$AL$82),99999),IFERROR(FIND("+",$AL$82),99999))=99999,TRIM($AL$82),TRIM(LEFT($AL$82,MIN(IFERROR(FIND(",",$AL$82),99999),IFERROR(FIND("+",$AL$82),99999))-1))))</f>
      </c>
      <c r="AU82">
        <f>IF($AM$82="","",IF(MIN(IFERROR(FIND(",",$AM$82),99999),IFERROR(FIND("+",$AM$82),99999))=99999,TRIM($AM$82),TRIM(LEFT($AM$82,MIN(IFERROR(FIND(",",$AM$82),99999),IFERROR(FIND("+",$AM$82),99999))-1))))</f>
      </c>
      <c r="AV82">
        <f>IF($AN$82="","",IF(MIN(IFERROR(FIND(",",$AN$82),99999),IFERROR(FIND("+",$AN$82),99999))=99999,TRIM($AN$82),TRIM(LEFT($AN$82,MIN(IFERROR(FIND(",",$AN$82),99999),IFERROR(FIND("+",$AN$82),99999))-1))))</f>
      </c>
      <c r="AW82">
        <f>IF($AO$82="","",IF(MIN(IFERROR(FIND(",",$AO$82),99999),IFERROR(FIND("+",$AO$82),99999))=99999,TRIM($AO$82),TRIM(LEFT($AO$82,MIN(IFERROR(FIND(",",$AO$82),99999),IFERROR(FIND("+",$AO$82),99999))-1))))</f>
      </c>
      <c r="AX82">
        <f>IF($AP$82="","",IF(MIN(IFERROR(FIND(",",$AP$82),99999),IFERROR(FIND("+",$AP$82),99999))=99999,TRIM($AP$82),TRIM(LEFT($AP$82,MIN(IFERROR(FIND(",",$AP$82),99999),IFERROR(FIND("+",$AP$82),99999))-1))))</f>
      </c>
      <c r="AY82">
        <f>IF($AQ$82="","",IF(MIN(IFERROR(FIND(",",$AQ$82),99999),IFERROR(FIND("+",$AQ$82),99999))=99999,TRIM($AQ$82),TRIM(LEFT($AQ$82,MIN(IFERROR(FIND(",",$AQ$82),99999),IFERROR(FIND("+",$AQ$82),99999))-1))))</f>
      </c>
      <c r="AZ82">
        <f>IF($AR$82="","",IF(MIN(IFERROR(FIND(",",$AR$82),99999),IFERROR(FIND("+",$AR$82),99999))=99999,TRIM($AR$82),TRIM(LEFT($AR$82,MIN(IFERROR(FIND(",",$AR$82),99999),IFERROR(FIND("+",$AR$82),99999))-1))))</f>
      </c>
      <c r="BA82">
        <f>IF($AK$82="",0,1)</f>
      </c>
      <c r="BB82">
        <f>IF($AK$82="",$BA$82,$BA$82+IF(MID($AK$82,MIN(IFERROR(FIND(",",$AK$82),99999),IFERROR(FIND("+",$AK$82),99999)),1)="+",1,0))</f>
      </c>
      <c r="BC82">
        <f>IF($AL$82="",$BB$82,$BB$82+IF(MID($AL$82,MIN(IFERROR(FIND(",",$AL$82),99999),IFERROR(FIND("+",$AL$82),99999)),1)="+",1,0))</f>
      </c>
      <c r="BD82">
        <f>IF($AM$82="",$BC$82,$BC$82+IF(MID($AM$82,MIN(IFERROR(FIND(",",$AM$82),99999),IFERROR(FIND("+",$AM$82),99999)),1)="+",1,0))</f>
      </c>
      <c r="BE82">
        <f>IF($AN$82="",$BD$82,$BD$82+IF(MID($AN$82,MIN(IFERROR(FIND(",",$AN$82),99999),IFERROR(FIND("+",$AN$82),99999)),1)="+",1,0))</f>
      </c>
      <c r="BF82">
        <f>IF($AO$82="",$BE$82,$BE$82+IF(MID($AO$82,MIN(IFERROR(FIND(",",$AO$82),99999),IFERROR(FIND("+",$AO$82),99999)),1)="+",1,0))</f>
      </c>
      <c r="BG82">
        <f>IF($AP$82="",$BF$82,$BF$82+IF(MID($AP$82,MIN(IFERROR(FIND(",",$AP$82),99999),IFERROR(FIND("+",$AP$82),99999)),1)="+",1,0))</f>
      </c>
      <c r="BH82">
        <f>IF($AQ$82="",$BG$82,$BG$82+IF(MID($AQ$82,MIN(IFERROR(FIND(",",$AQ$82),99999),IFERROR(FIND("+",$AQ$82),99999)),1)="+",1,0))</f>
      </c>
      <c r="BI82">
        <f>IF($AS$82="",0,$BA$82)</f>
      </c>
      <c r="BJ82">
        <f>IF($AT$82="",0,$BB$82)</f>
      </c>
      <c r="BK82">
        <f>IF($AU$82="",0,$BC$82)</f>
      </c>
      <c r="BL82">
        <f>IF($AV$82="",0,$BD$82)</f>
      </c>
      <c r="BM82">
        <f>IF($AW$82="",0,$BE$82)</f>
      </c>
      <c r="BN82">
        <f>IF($AX$82="",0,$BF$82)</f>
      </c>
      <c r="BO82">
        <f>IF($AY$82="",0,$BG$82)</f>
      </c>
      <c r="BP82">
        <f>IF($AZ$82="",0,$BH$82)</f>
      </c>
    </row>
    <row r="83" spans="1:99" ht="15" customHeight="1" hidden="1">
      <c r="AK83">
        <f>SUBSTITUTE(SUBSTITUTE($X$4,"&amp;","+"),"/",",")</f>
      </c>
      <c r="AL83">
        <f>IF(OR($AK$83="",MIN(IFERROR(FIND(",",$AK$83),99999),IFERROR(FIND("+",$AK$83),99999))=99999),"",MID($AK$83,MIN(IFERROR(FIND(",",$AK$83),99999),IFERROR(FIND("+",$AK$83),99999))+1,99999))</f>
      </c>
      <c r="AM83">
        <f>IF(OR($AL$83="",MIN(IFERROR(FIND(",",$AL$83),99999),IFERROR(FIND("+",$AL$83),99999))=99999),"",MID($AL$83,MIN(IFERROR(FIND(",",$AL$83),99999),IFERROR(FIND("+",$AL$83),99999))+1,99999))</f>
      </c>
      <c r="AN83">
        <f>IF(OR($AM$83="",MIN(IFERROR(FIND(",",$AM$83),99999),IFERROR(FIND("+",$AM$83),99999))=99999),"",MID($AM$83,MIN(IFERROR(FIND(",",$AM$83),99999),IFERROR(FIND("+",$AM$83),99999))+1,99999))</f>
      </c>
      <c r="AO83">
        <f>IF(OR($AN$83="",MIN(IFERROR(FIND(",",$AN$83),99999),IFERROR(FIND("+",$AN$83),99999))=99999),"",MID($AN$83,MIN(IFERROR(FIND(",",$AN$83),99999),IFERROR(FIND("+",$AN$83),99999))+1,99999))</f>
      </c>
      <c r="AP83">
        <f>IF(OR($AO$83="",MIN(IFERROR(FIND(",",$AO$83),99999),IFERROR(FIND("+",$AO$83),99999))=99999),"",MID($AO$83,MIN(IFERROR(FIND(",",$AO$83),99999),IFERROR(FIND("+",$AO$83),99999))+1,99999))</f>
      </c>
      <c r="AQ83">
        <f>IF(OR($AP$83="",MIN(IFERROR(FIND(",",$AP$83),99999),IFERROR(FIND("+",$AP$83),99999))=99999),"",MID($AP$83,MIN(IFERROR(FIND(",",$AP$83),99999),IFERROR(FIND("+",$AP$83),99999))+1,99999))</f>
      </c>
      <c r="AR83">
        <f>IF(OR($AQ$83="",MIN(IFERROR(FIND(",",$AQ$83),99999),IFERROR(FIND("+",$AQ$83),99999))=99999),"",MID($AQ$83,MIN(IFERROR(FIND(",",$AQ$83),99999),IFERROR(FIND("+",$AQ$83),99999))+1,99999))</f>
      </c>
      <c r="AS83">
        <f>IF($AK$83="","",IF(MIN(IFERROR(FIND(",",$AK$83),99999),IFERROR(FIND("+",$AK$83),99999))=99999,TRIM($AK$83),TRIM(LEFT($AK$83,MIN(IFERROR(FIND(",",$AK$83),99999),IFERROR(FIND("+",$AK$83),99999))-1))))</f>
      </c>
      <c r="AT83">
        <f>IF($AL$83="","",IF(MIN(IFERROR(FIND(",",$AL$83),99999),IFERROR(FIND("+",$AL$83),99999))=99999,TRIM($AL$83),TRIM(LEFT($AL$83,MIN(IFERROR(FIND(",",$AL$83),99999),IFERROR(FIND("+",$AL$83),99999))-1))))</f>
      </c>
      <c r="AU83">
        <f>IF($AM$83="","",IF(MIN(IFERROR(FIND(",",$AM$83),99999),IFERROR(FIND("+",$AM$83),99999))=99999,TRIM($AM$83),TRIM(LEFT($AM$83,MIN(IFERROR(FIND(",",$AM$83),99999),IFERROR(FIND("+",$AM$83),99999))-1))))</f>
      </c>
      <c r="AV83">
        <f>IF($AN$83="","",IF(MIN(IFERROR(FIND(",",$AN$83),99999),IFERROR(FIND("+",$AN$83),99999))=99999,TRIM($AN$83),TRIM(LEFT($AN$83,MIN(IFERROR(FIND(",",$AN$83),99999),IFERROR(FIND("+",$AN$83),99999))-1))))</f>
      </c>
      <c r="AW83">
        <f>IF($AO$83="","",IF(MIN(IFERROR(FIND(",",$AO$83),99999),IFERROR(FIND("+",$AO$83),99999))=99999,TRIM($AO$83),TRIM(LEFT($AO$83,MIN(IFERROR(FIND(",",$AO$83),99999),IFERROR(FIND("+",$AO$83),99999))-1))))</f>
      </c>
      <c r="AX83">
        <f>IF($AP$83="","",IF(MIN(IFERROR(FIND(",",$AP$83),99999),IFERROR(FIND("+",$AP$83),99999))=99999,TRIM($AP$83),TRIM(LEFT($AP$83,MIN(IFERROR(FIND(",",$AP$83),99999),IFERROR(FIND("+",$AP$83),99999))-1))))</f>
      </c>
      <c r="AY83">
        <f>IF($AQ$83="","",IF(MIN(IFERROR(FIND(",",$AQ$83),99999),IFERROR(FIND("+",$AQ$83),99999))=99999,TRIM($AQ$83),TRIM(LEFT($AQ$83,MIN(IFERROR(FIND(",",$AQ$83),99999),IFERROR(FIND("+",$AQ$83),99999))-1))))</f>
      </c>
      <c r="AZ83">
        <f>IF($AR$83="","",IF(MIN(IFERROR(FIND(",",$AR$83),99999),IFERROR(FIND("+",$AR$83),99999))=99999,TRIM($AR$83),TRIM(LEFT($AR$83,MIN(IFERROR(FIND(",",$AR$83),99999),IFERROR(FIND("+",$AR$83),99999))-1))))</f>
      </c>
      <c r="BA83">
        <f>IF($AK$83="",0,1)</f>
      </c>
      <c r="BB83">
        <f>IF($AK$83="",$BA$83,$BA$83+IF(MID($AK$83,MIN(IFERROR(FIND(",",$AK$83),99999),IFERROR(FIND("+",$AK$83),99999)),1)="+",1,0))</f>
      </c>
      <c r="BC83">
        <f>IF($AL$83="",$BB$83,$BB$83+IF(MID($AL$83,MIN(IFERROR(FIND(",",$AL$83),99999),IFERROR(FIND("+",$AL$83),99999)),1)="+",1,0))</f>
      </c>
      <c r="BD83">
        <f>IF($AM$83="",$BC$83,$BC$83+IF(MID($AM$83,MIN(IFERROR(FIND(",",$AM$83),99999),IFERROR(FIND("+",$AM$83),99999)),1)="+",1,0))</f>
      </c>
      <c r="BE83">
        <f>IF($AN$83="",$BD$83,$BD$83+IF(MID($AN$83,MIN(IFERROR(FIND(",",$AN$83),99999),IFERROR(FIND("+",$AN$83),99999)),1)="+",1,0))</f>
      </c>
      <c r="BF83">
        <f>IF($AO$83="",$BE$83,$BE$83+IF(MID($AO$83,MIN(IFERROR(FIND(",",$AO$83),99999),IFERROR(FIND("+",$AO$83),99999)),1)="+",1,0))</f>
      </c>
      <c r="BG83">
        <f>IF($AP$83="",$BF$83,$BF$83+IF(MID($AP$83,MIN(IFERROR(FIND(",",$AP$83),99999),IFERROR(FIND("+",$AP$83),99999)),1)="+",1,0))</f>
      </c>
      <c r="BH83">
        <f>IF($AQ$83="",$BG$83,$BG$83+IF(MID($AQ$83,MIN(IFERROR(FIND(",",$AQ$83),99999),IFERROR(FIND("+",$AQ$83),99999)),1)="+",1,0))</f>
      </c>
      <c r="BI83">
        <f>IF($AS$83="",0,$BA$83)</f>
      </c>
      <c r="BJ83">
        <f>IF($AT$83="",0,$BB$83)</f>
      </c>
      <c r="BK83">
        <f>IF($AU$83="",0,$BC$83)</f>
      </c>
      <c r="BL83">
        <f>IF($AV$83="",0,$BD$83)</f>
      </c>
      <c r="BM83">
        <f>IF($AW$83="",0,$BE$83)</f>
      </c>
      <c r="BN83">
        <f>IF($AX$83="",0,$BF$83)</f>
      </c>
      <c r="BO83">
        <f>IF($AY$83="",0,$BG$83)</f>
      </c>
      <c r="BP83">
        <f>IF($AZ$83="",0,$BH$83)</f>
      </c>
    </row>
    <row r="84" spans="1:99" ht="15" customHeight="1" hidden="1">
      <c r="AK84">
        <f>SUBSTITUTE(SUBSTITUTE($Y$4,"&amp;","+"),"/",",")</f>
      </c>
      <c r="AL84">
        <f>IF(OR($AK$84="",MIN(IFERROR(FIND(",",$AK$84),99999),IFERROR(FIND("+",$AK$84),99999))=99999),"",MID($AK$84,MIN(IFERROR(FIND(",",$AK$84),99999),IFERROR(FIND("+",$AK$84),99999))+1,99999))</f>
      </c>
      <c r="AM84">
        <f>IF(OR($AL$84="",MIN(IFERROR(FIND(",",$AL$84),99999),IFERROR(FIND("+",$AL$84),99999))=99999),"",MID($AL$84,MIN(IFERROR(FIND(",",$AL$84),99999),IFERROR(FIND("+",$AL$84),99999))+1,99999))</f>
      </c>
      <c r="AN84">
        <f>IF(OR($AM$84="",MIN(IFERROR(FIND(",",$AM$84),99999),IFERROR(FIND("+",$AM$84),99999))=99999),"",MID($AM$84,MIN(IFERROR(FIND(",",$AM$84),99999),IFERROR(FIND("+",$AM$84),99999))+1,99999))</f>
      </c>
      <c r="AO84">
        <f>IF(OR($AN$84="",MIN(IFERROR(FIND(",",$AN$84),99999),IFERROR(FIND("+",$AN$84),99999))=99999),"",MID($AN$84,MIN(IFERROR(FIND(",",$AN$84),99999),IFERROR(FIND("+",$AN$84),99999))+1,99999))</f>
      </c>
      <c r="AP84">
        <f>IF(OR($AO$84="",MIN(IFERROR(FIND(",",$AO$84),99999),IFERROR(FIND("+",$AO$84),99999))=99999),"",MID($AO$84,MIN(IFERROR(FIND(",",$AO$84),99999),IFERROR(FIND("+",$AO$84),99999))+1,99999))</f>
      </c>
      <c r="AQ84">
        <f>IF(OR($AP$84="",MIN(IFERROR(FIND(",",$AP$84),99999),IFERROR(FIND("+",$AP$84),99999))=99999),"",MID($AP$84,MIN(IFERROR(FIND(",",$AP$84),99999),IFERROR(FIND("+",$AP$84),99999))+1,99999))</f>
      </c>
      <c r="AR84">
        <f>IF(OR($AQ$84="",MIN(IFERROR(FIND(",",$AQ$84),99999),IFERROR(FIND("+",$AQ$84),99999))=99999),"",MID($AQ$84,MIN(IFERROR(FIND(",",$AQ$84),99999),IFERROR(FIND("+",$AQ$84),99999))+1,99999))</f>
      </c>
      <c r="AS84">
        <f>IF($AK$84="","",IF(MIN(IFERROR(FIND(",",$AK$84),99999),IFERROR(FIND("+",$AK$84),99999))=99999,TRIM($AK$84),TRIM(LEFT($AK$84,MIN(IFERROR(FIND(",",$AK$84),99999),IFERROR(FIND("+",$AK$84),99999))-1))))</f>
      </c>
      <c r="AT84">
        <f>IF($AL$84="","",IF(MIN(IFERROR(FIND(",",$AL$84),99999),IFERROR(FIND("+",$AL$84),99999))=99999,TRIM($AL$84),TRIM(LEFT($AL$84,MIN(IFERROR(FIND(",",$AL$84),99999),IFERROR(FIND("+",$AL$84),99999))-1))))</f>
      </c>
      <c r="AU84">
        <f>IF($AM$84="","",IF(MIN(IFERROR(FIND(",",$AM$84),99999),IFERROR(FIND("+",$AM$84),99999))=99999,TRIM($AM$84),TRIM(LEFT($AM$84,MIN(IFERROR(FIND(",",$AM$84),99999),IFERROR(FIND("+",$AM$84),99999))-1))))</f>
      </c>
      <c r="AV84">
        <f>IF($AN$84="","",IF(MIN(IFERROR(FIND(",",$AN$84),99999),IFERROR(FIND("+",$AN$84),99999))=99999,TRIM($AN$84),TRIM(LEFT($AN$84,MIN(IFERROR(FIND(",",$AN$84),99999),IFERROR(FIND("+",$AN$84),99999))-1))))</f>
      </c>
      <c r="AW84">
        <f>IF($AO$84="","",IF(MIN(IFERROR(FIND(",",$AO$84),99999),IFERROR(FIND("+",$AO$84),99999))=99999,TRIM($AO$84),TRIM(LEFT($AO$84,MIN(IFERROR(FIND(",",$AO$84),99999),IFERROR(FIND("+",$AO$84),99999))-1))))</f>
      </c>
      <c r="AX84">
        <f>IF($AP$84="","",IF(MIN(IFERROR(FIND(",",$AP$84),99999),IFERROR(FIND("+",$AP$84),99999))=99999,TRIM($AP$84),TRIM(LEFT($AP$84,MIN(IFERROR(FIND(",",$AP$84),99999),IFERROR(FIND("+",$AP$84),99999))-1))))</f>
      </c>
      <c r="AY84">
        <f>IF($AQ$84="","",IF(MIN(IFERROR(FIND(",",$AQ$84),99999),IFERROR(FIND("+",$AQ$84),99999))=99999,TRIM($AQ$84),TRIM(LEFT($AQ$84,MIN(IFERROR(FIND(",",$AQ$84),99999),IFERROR(FIND("+",$AQ$84),99999))-1))))</f>
      </c>
      <c r="AZ84">
        <f>IF($AR$84="","",IF(MIN(IFERROR(FIND(",",$AR$84),99999),IFERROR(FIND("+",$AR$84),99999))=99999,TRIM($AR$84),TRIM(LEFT($AR$84,MIN(IFERROR(FIND(",",$AR$84),99999),IFERROR(FIND("+",$AR$84),99999))-1))))</f>
      </c>
      <c r="BA84">
        <f>IF($AK$84="",0,1)</f>
      </c>
      <c r="BB84">
        <f>IF($AK$84="",$BA$84,$BA$84+IF(MID($AK$84,MIN(IFERROR(FIND(",",$AK$84),99999),IFERROR(FIND("+",$AK$84),99999)),1)="+",1,0))</f>
      </c>
      <c r="BC84">
        <f>IF($AL$84="",$BB$84,$BB$84+IF(MID($AL$84,MIN(IFERROR(FIND(",",$AL$84),99999),IFERROR(FIND("+",$AL$84),99999)),1)="+",1,0))</f>
      </c>
      <c r="BD84">
        <f>IF($AM$84="",$BC$84,$BC$84+IF(MID($AM$84,MIN(IFERROR(FIND(",",$AM$84),99999),IFERROR(FIND("+",$AM$84),99999)),1)="+",1,0))</f>
      </c>
      <c r="BE84">
        <f>IF($AN$84="",$BD$84,$BD$84+IF(MID($AN$84,MIN(IFERROR(FIND(",",$AN$84),99999),IFERROR(FIND("+",$AN$84),99999)),1)="+",1,0))</f>
      </c>
      <c r="BF84">
        <f>IF($AO$84="",$BE$84,$BE$84+IF(MID($AO$84,MIN(IFERROR(FIND(",",$AO$84),99999),IFERROR(FIND("+",$AO$84),99999)),1)="+",1,0))</f>
      </c>
      <c r="BG84">
        <f>IF($AP$84="",$BF$84,$BF$84+IF(MID($AP$84,MIN(IFERROR(FIND(",",$AP$84),99999),IFERROR(FIND("+",$AP$84),99999)),1)="+",1,0))</f>
      </c>
      <c r="BH84">
        <f>IF($AQ$84="",$BG$84,$BG$84+IF(MID($AQ$84,MIN(IFERROR(FIND(",",$AQ$84),99999),IFERROR(FIND("+",$AQ$84),99999)),1)="+",1,0))</f>
      </c>
      <c r="BI84">
        <f>IF($AS$84="",0,$BA$84)</f>
      </c>
      <c r="BJ84">
        <f>IF($AT$84="",0,$BB$84)</f>
      </c>
      <c r="BK84">
        <f>IF($AU$84="",0,$BC$84)</f>
      </c>
      <c r="BL84">
        <f>IF($AV$84="",0,$BD$84)</f>
      </c>
      <c r="BM84">
        <f>IF($AW$84="",0,$BE$84)</f>
      </c>
      <c r="BN84">
        <f>IF($AX$84="",0,$BF$84)</f>
      </c>
      <c r="BO84">
        <f>IF($AY$84="",0,$BG$84)</f>
      </c>
      <c r="BP84">
        <f>IF($AZ$84="",0,$BH$84)</f>
      </c>
    </row>
    <row r="85" spans="1:99" ht="15" customHeight="1" hidden="1">
      <c r="AK85">
        <f>SUBSTITUTE(SUBSTITUTE($Z$4,"&amp;","+"),"/",",")</f>
      </c>
      <c r="AL85">
        <f>IF(OR($AK$85="",MIN(IFERROR(FIND(",",$AK$85),99999),IFERROR(FIND("+",$AK$85),99999))=99999),"",MID($AK$85,MIN(IFERROR(FIND(",",$AK$85),99999),IFERROR(FIND("+",$AK$85),99999))+1,99999))</f>
      </c>
      <c r="AM85">
        <f>IF(OR($AL$85="",MIN(IFERROR(FIND(",",$AL$85),99999),IFERROR(FIND("+",$AL$85),99999))=99999),"",MID($AL$85,MIN(IFERROR(FIND(",",$AL$85),99999),IFERROR(FIND("+",$AL$85),99999))+1,99999))</f>
      </c>
      <c r="AN85">
        <f>IF(OR($AM$85="",MIN(IFERROR(FIND(",",$AM$85),99999),IFERROR(FIND("+",$AM$85),99999))=99999),"",MID($AM$85,MIN(IFERROR(FIND(",",$AM$85),99999),IFERROR(FIND("+",$AM$85),99999))+1,99999))</f>
      </c>
      <c r="AO85">
        <f>IF(OR($AN$85="",MIN(IFERROR(FIND(",",$AN$85),99999),IFERROR(FIND("+",$AN$85),99999))=99999),"",MID($AN$85,MIN(IFERROR(FIND(",",$AN$85),99999),IFERROR(FIND("+",$AN$85),99999))+1,99999))</f>
      </c>
      <c r="AP85">
        <f>IF(OR($AO$85="",MIN(IFERROR(FIND(",",$AO$85),99999),IFERROR(FIND("+",$AO$85),99999))=99999),"",MID($AO$85,MIN(IFERROR(FIND(",",$AO$85),99999),IFERROR(FIND("+",$AO$85),99999))+1,99999))</f>
      </c>
      <c r="AQ85">
        <f>IF(OR($AP$85="",MIN(IFERROR(FIND(",",$AP$85),99999),IFERROR(FIND("+",$AP$85),99999))=99999),"",MID($AP$85,MIN(IFERROR(FIND(",",$AP$85),99999),IFERROR(FIND("+",$AP$85),99999))+1,99999))</f>
      </c>
      <c r="AR85">
        <f>IF(OR($AQ$85="",MIN(IFERROR(FIND(",",$AQ$85),99999),IFERROR(FIND("+",$AQ$85),99999))=99999),"",MID($AQ$85,MIN(IFERROR(FIND(",",$AQ$85),99999),IFERROR(FIND("+",$AQ$85),99999))+1,99999))</f>
      </c>
      <c r="AS85">
        <f>IF($AK$85="","",IF(MIN(IFERROR(FIND(",",$AK$85),99999),IFERROR(FIND("+",$AK$85),99999))=99999,TRIM($AK$85),TRIM(LEFT($AK$85,MIN(IFERROR(FIND(",",$AK$85),99999),IFERROR(FIND("+",$AK$85),99999))-1))))</f>
      </c>
      <c r="AT85">
        <f>IF($AL$85="","",IF(MIN(IFERROR(FIND(",",$AL$85),99999),IFERROR(FIND("+",$AL$85),99999))=99999,TRIM($AL$85),TRIM(LEFT($AL$85,MIN(IFERROR(FIND(",",$AL$85),99999),IFERROR(FIND("+",$AL$85),99999))-1))))</f>
      </c>
      <c r="AU85">
        <f>IF($AM$85="","",IF(MIN(IFERROR(FIND(",",$AM$85),99999),IFERROR(FIND("+",$AM$85),99999))=99999,TRIM($AM$85),TRIM(LEFT($AM$85,MIN(IFERROR(FIND(",",$AM$85),99999),IFERROR(FIND("+",$AM$85),99999))-1))))</f>
      </c>
      <c r="AV85">
        <f>IF($AN$85="","",IF(MIN(IFERROR(FIND(",",$AN$85),99999),IFERROR(FIND("+",$AN$85),99999))=99999,TRIM($AN$85),TRIM(LEFT($AN$85,MIN(IFERROR(FIND(",",$AN$85),99999),IFERROR(FIND("+",$AN$85),99999))-1))))</f>
      </c>
      <c r="AW85">
        <f>IF($AO$85="","",IF(MIN(IFERROR(FIND(",",$AO$85),99999),IFERROR(FIND("+",$AO$85),99999))=99999,TRIM($AO$85),TRIM(LEFT($AO$85,MIN(IFERROR(FIND(",",$AO$85),99999),IFERROR(FIND("+",$AO$85),99999))-1))))</f>
      </c>
      <c r="AX85">
        <f>IF($AP$85="","",IF(MIN(IFERROR(FIND(",",$AP$85),99999),IFERROR(FIND("+",$AP$85),99999))=99999,TRIM($AP$85),TRIM(LEFT($AP$85,MIN(IFERROR(FIND(",",$AP$85),99999),IFERROR(FIND("+",$AP$85),99999))-1))))</f>
      </c>
      <c r="AY85">
        <f>IF($AQ$85="","",IF(MIN(IFERROR(FIND(",",$AQ$85),99999),IFERROR(FIND("+",$AQ$85),99999))=99999,TRIM($AQ$85),TRIM(LEFT($AQ$85,MIN(IFERROR(FIND(",",$AQ$85),99999),IFERROR(FIND("+",$AQ$85),99999))-1))))</f>
      </c>
      <c r="AZ85">
        <f>IF($AR$85="","",IF(MIN(IFERROR(FIND(",",$AR$85),99999),IFERROR(FIND("+",$AR$85),99999))=99999,TRIM($AR$85),TRIM(LEFT($AR$85,MIN(IFERROR(FIND(",",$AR$85),99999),IFERROR(FIND("+",$AR$85),99999))-1))))</f>
      </c>
      <c r="BA85">
        <f>IF($AK$85="",0,1)</f>
      </c>
      <c r="BB85">
        <f>IF($AK$85="",$BA$85,$BA$85+IF(MID($AK$85,MIN(IFERROR(FIND(",",$AK$85),99999),IFERROR(FIND("+",$AK$85),99999)),1)="+",1,0))</f>
      </c>
      <c r="BC85">
        <f>IF($AL$85="",$BB$85,$BB$85+IF(MID($AL$85,MIN(IFERROR(FIND(",",$AL$85),99999),IFERROR(FIND("+",$AL$85),99999)),1)="+",1,0))</f>
      </c>
      <c r="BD85">
        <f>IF($AM$85="",$BC$85,$BC$85+IF(MID($AM$85,MIN(IFERROR(FIND(",",$AM$85),99999),IFERROR(FIND("+",$AM$85),99999)),1)="+",1,0))</f>
      </c>
      <c r="BE85">
        <f>IF($AN$85="",$BD$85,$BD$85+IF(MID($AN$85,MIN(IFERROR(FIND(",",$AN$85),99999),IFERROR(FIND("+",$AN$85),99999)),1)="+",1,0))</f>
      </c>
      <c r="BF85">
        <f>IF($AO$85="",$BE$85,$BE$85+IF(MID($AO$85,MIN(IFERROR(FIND(",",$AO$85),99999),IFERROR(FIND("+",$AO$85),99999)),1)="+",1,0))</f>
      </c>
      <c r="BG85">
        <f>IF($AP$85="",$BF$85,$BF$85+IF(MID($AP$85,MIN(IFERROR(FIND(",",$AP$85),99999),IFERROR(FIND("+",$AP$85),99999)),1)="+",1,0))</f>
      </c>
      <c r="BH85">
        <f>IF($AQ$85="",$BG$85,$BG$85+IF(MID($AQ$85,MIN(IFERROR(FIND(",",$AQ$85),99999),IFERROR(FIND("+",$AQ$85),99999)),1)="+",1,0))</f>
      </c>
      <c r="BI85">
        <f>IF($AS$85="",0,$BA$85)</f>
      </c>
      <c r="BJ85">
        <f>IF($AT$85="",0,$BB$85)</f>
      </c>
      <c r="BK85">
        <f>IF($AU$85="",0,$BC$85)</f>
      </c>
      <c r="BL85">
        <f>IF($AV$85="",0,$BD$85)</f>
      </c>
      <c r="BM85">
        <f>IF($AW$85="",0,$BE$85)</f>
      </c>
      <c r="BN85">
        <f>IF($AX$85="",0,$BF$85)</f>
      </c>
      <c r="BO85">
        <f>IF($AY$85="",0,$BG$85)</f>
      </c>
      <c r="BP85">
        <f>IF($AZ$85="",0,$BH$85)</f>
      </c>
    </row>
    <row r="86" spans="1:99" ht="15" customHeight="1" hidden="1">
      <c r="AK86">
        <f>SUBSTITUTE(SUBSTITUTE($AA$4,"&amp;","+"),"/",",")</f>
      </c>
      <c r="AL86">
        <f>IF(OR($AK$86="",MIN(IFERROR(FIND(",",$AK$86),99999),IFERROR(FIND("+",$AK$86),99999))=99999),"",MID($AK$86,MIN(IFERROR(FIND(",",$AK$86),99999),IFERROR(FIND("+",$AK$86),99999))+1,99999))</f>
      </c>
      <c r="AM86">
        <f>IF(OR($AL$86="",MIN(IFERROR(FIND(",",$AL$86),99999),IFERROR(FIND("+",$AL$86),99999))=99999),"",MID($AL$86,MIN(IFERROR(FIND(",",$AL$86),99999),IFERROR(FIND("+",$AL$86),99999))+1,99999))</f>
      </c>
      <c r="AN86">
        <f>IF(OR($AM$86="",MIN(IFERROR(FIND(",",$AM$86),99999),IFERROR(FIND("+",$AM$86),99999))=99999),"",MID($AM$86,MIN(IFERROR(FIND(",",$AM$86),99999),IFERROR(FIND("+",$AM$86),99999))+1,99999))</f>
      </c>
      <c r="AO86">
        <f>IF(OR($AN$86="",MIN(IFERROR(FIND(",",$AN$86),99999),IFERROR(FIND("+",$AN$86),99999))=99999),"",MID($AN$86,MIN(IFERROR(FIND(",",$AN$86),99999),IFERROR(FIND("+",$AN$86),99999))+1,99999))</f>
      </c>
      <c r="AP86">
        <f>IF(OR($AO$86="",MIN(IFERROR(FIND(",",$AO$86),99999),IFERROR(FIND("+",$AO$86),99999))=99999),"",MID($AO$86,MIN(IFERROR(FIND(",",$AO$86),99999),IFERROR(FIND("+",$AO$86),99999))+1,99999))</f>
      </c>
      <c r="AQ86">
        <f>IF(OR($AP$86="",MIN(IFERROR(FIND(",",$AP$86),99999),IFERROR(FIND("+",$AP$86),99999))=99999),"",MID($AP$86,MIN(IFERROR(FIND(",",$AP$86),99999),IFERROR(FIND("+",$AP$86),99999))+1,99999))</f>
      </c>
      <c r="AR86">
        <f>IF(OR($AQ$86="",MIN(IFERROR(FIND(",",$AQ$86),99999),IFERROR(FIND("+",$AQ$86),99999))=99999),"",MID($AQ$86,MIN(IFERROR(FIND(",",$AQ$86),99999),IFERROR(FIND("+",$AQ$86),99999))+1,99999))</f>
      </c>
      <c r="AS86">
        <f>IF($AK$86="","",IF(MIN(IFERROR(FIND(",",$AK$86),99999),IFERROR(FIND("+",$AK$86),99999))=99999,TRIM($AK$86),TRIM(LEFT($AK$86,MIN(IFERROR(FIND(",",$AK$86),99999),IFERROR(FIND("+",$AK$86),99999))-1))))</f>
      </c>
      <c r="AT86">
        <f>IF($AL$86="","",IF(MIN(IFERROR(FIND(",",$AL$86),99999),IFERROR(FIND("+",$AL$86),99999))=99999,TRIM($AL$86),TRIM(LEFT($AL$86,MIN(IFERROR(FIND(",",$AL$86),99999),IFERROR(FIND("+",$AL$86),99999))-1))))</f>
      </c>
      <c r="AU86">
        <f>IF($AM$86="","",IF(MIN(IFERROR(FIND(",",$AM$86),99999),IFERROR(FIND("+",$AM$86),99999))=99999,TRIM($AM$86),TRIM(LEFT($AM$86,MIN(IFERROR(FIND(",",$AM$86),99999),IFERROR(FIND("+",$AM$86),99999))-1))))</f>
      </c>
      <c r="AV86">
        <f>IF($AN$86="","",IF(MIN(IFERROR(FIND(",",$AN$86),99999),IFERROR(FIND("+",$AN$86),99999))=99999,TRIM($AN$86),TRIM(LEFT($AN$86,MIN(IFERROR(FIND(",",$AN$86),99999),IFERROR(FIND("+",$AN$86),99999))-1))))</f>
      </c>
      <c r="AW86">
        <f>IF($AO$86="","",IF(MIN(IFERROR(FIND(",",$AO$86),99999),IFERROR(FIND("+",$AO$86),99999))=99999,TRIM($AO$86),TRIM(LEFT($AO$86,MIN(IFERROR(FIND(",",$AO$86),99999),IFERROR(FIND("+",$AO$86),99999))-1))))</f>
      </c>
      <c r="AX86">
        <f>IF($AP$86="","",IF(MIN(IFERROR(FIND(",",$AP$86),99999),IFERROR(FIND("+",$AP$86),99999))=99999,TRIM($AP$86),TRIM(LEFT($AP$86,MIN(IFERROR(FIND(",",$AP$86),99999),IFERROR(FIND("+",$AP$86),99999))-1))))</f>
      </c>
      <c r="AY86">
        <f>IF($AQ$86="","",IF(MIN(IFERROR(FIND(",",$AQ$86),99999),IFERROR(FIND("+",$AQ$86),99999))=99999,TRIM($AQ$86),TRIM(LEFT($AQ$86,MIN(IFERROR(FIND(",",$AQ$86),99999),IFERROR(FIND("+",$AQ$86),99999))-1))))</f>
      </c>
      <c r="AZ86">
        <f>IF($AR$86="","",IF(MIN(IFERROR(FIND(",",$AR$86),99999),IFERROR(FIND("+",$AR$86),99999))=99999,TRIM($AR$86),TRIM(LEFT($AR$86,MIN(IFERROR(FIND(",",$AR$86),99999),IFERROR(FIND("+",$AR$86),99999))-1))))</f>
      </c>
      <c r="BA86">
        <f>IF($AK$86="",0,1)</f>
      </c>
      <c r="BB86">
        <f>IF($AK$86="",$BA$86,$BA$86+IF(MID($AK$86,MIN(IFERROR(FIND(",",$AK$86),99999),IFERROR(FIND("+",$AK$86),99999)),1)="+",1,0))</f>
      </c>
      <c r="BC86">
        <f>IF($AL$86="",$BB$86,$BB$86+IF(MID($AL$86,MIN(IFERROR(FIND(",",$AL$86),99999),IFERROR(FIND("+",$AL$86),99999)),1)="+",1,0))</f>
      </c>
      <c r="BD86">
        <f>IF($AM$86="",$BC$86,$BC$86+IF(MID($AM$86,MIN(IFERROR(FIND(",",$AM$86),99999),IFERROR(FIND("+",$AM$86),99999)),1)="+",1,0))</f>
      </c>
      <c r="BE86">
        <f>IF($AN$86="",$BD$86,$BD$86+IF(MID($AN$86,MIN(IFERROR(FIND(",",$AN$86),99999),IFERROR(FIND("+",$AN$86),99999)),1)="+",1,0))</f>
      </c>
      <c r="BF86">
        <f>IF($AO$86="",$BE$86,$BE$86+IF(MID($AO$86,MIN(IFERROR(FIND(",",$AO$86),99999),IFERROR(FIND("+",$AO$86),99999)),1)="+",1,0))</f>
      </c>
      <c r="BG86">
        <f>IF($AP$86="",$BF$86,$BF$86+IF(MID($AP$86,MIN(IFERROR(FIND(",",$AP$86),99999),IFERROR(FIND("+",$AP$86),99999)),1)="+",1,0))</f>
      </c>
      <c r="BH86">
        <f>IF($AQ$86="",$BG$86,$BG$86+IF(MID($AQ$86,MIN(IFERROR(FIND(",",$AQ$86),99999),IFERROR(FIND("+",$AQ$86),99999)),1)="+",1,0))</f>
      </c>
      <c r="BI86">
        <f>IF($AS$86="",0,$BA$86)</f>
      </c>
      <c r="BJ86">
        <f>IF($AT$86="",0,$BB$86)</f>
      </c>
      <c r="BK86">
        <f>IF($AU$86="",0,$BC$86)</f>
      </c>
      <c r="BL86">
        <f>IF($AV$86="",0,$BD$86)</f>
      </c>
      <c r="BM86">
        <f>IF($AW$86="",0,$BE$86)</f>
      </c>
      <c r="BN86">
        <f>IF($AX$86="",0,$BF$86)</f>
      </c>
      <c r="BO86">
        <f>IF($AY$86="",0,$BG$86)</f>
      </c>
      <c r="BP86">
        <f>IF($AZ$86="",0,$BH$86)</f>
      </c>
    </row>
    <row r="87" spans="1:99" ht="15" customHeight="1" hidden="1">
      <c r="AK87">
        <f>SUBSTITUTE(SUBSTITUTE($AB$4,"&amp;","+"),"/",",")</f>
      </c>
      <c r="AL87">
        <f>IF(OR($AK$87="",MIN(IFERROR(FIND(",",$AK$87),99999),IFERROR(FIND("+",$AK$87),99999))=99999),"",MID($AK$87,MIN(IFERROR(FIND(",",$AK$87),99999),IFERROR(FIND("+",$AK$87),99999))+1,99999))</f>
      </c>
      <c r="AM87">
        <f>IF(OR($AL$87="",MIN(IFERROR(FIND(",",$AL$87),99999),IFERROR(FIND("+",$AL$87),99999))=99999),"",MID($AL$87,MIN(IFERROR(FIND(",",$AL$87),99999),IFERROR(FIND("+",$AL$87),99999))+1,99999))</f>
      </c>
      <c r="AN87">
        <f>IF(OR($AM$87="",MIN(IFERROR(FIND(",",$AM$87),99999),IFERROR(FIND("+",$AM$87),99999))=99999),"",MID($AM$87,MIN(IFERROR(FIND(",",$AM$87),99999),IFERROR(FIND("+",$AM$87),99999))+1,99999))</f>
      </c>
      <c r="AO87">
        <f>IF(OR($AN$87="",MIN(IFERROR(FIND(",",$AN$87),99999),IFERROR(FIND("+",$AN$87),99999))=99999),"",MID($AN$87,MIN(IFERROR(FIND(",",$AN$87),99999),IFERROR(FIND("+",$AN$87),99999))+1,99999))</f>
      </c>
      <c r="AP87">
        <f>IF(OR($AO$87="",MIN(IFERROR(FIND(",",$AO$87),99999),IFERROR(FIND("+",$AO$87),99999))=99999),"",MID($AO$87,MIN(IFERROR(FIND(",",$AO$87),99999),IFERROR(FIND("+",$AO$87),99999))+1,99999))</f>
      </c>
      <c r="AQ87">
        <f>IF(OR($AP$87="",MIN(IFERROR(FIND(",",$AP$87),99999),IFERROR(FIND("+",$AP$87),99999))=99999),"",MID($AP$87,MIN(IFERROR(FIND(",",$AP$87),99999),IFERROR(FIND("+",$AP$87),99999))+1,99999))</f>
      </c>
      <c r="AR87">
        <f>IF(OR($AQ$87="",MIN(IFERROR(FIND(",",$AQ$87),99999),IFERROR(FIND("+",$AQ$87),99999))=99999),"",MID($AQ$87,MIN(IFERROR(FIND(",",$AQ$87),99999),IFERROR(FIND("+",$AQ$87),99999))+1,99999))</f>
      </c>
      <c r="AS87">
        <f>IF($AK$87="","",IF(MIN(IFERROR(FIND(",",$AK$87),99999),IFERROR(FIND("+",$AK$87),99999))=99999,TRIM($AK$87),TRIM(LEFT($AK$87,MIN(IFERROR(FIND(",",$AK$87),99999),IFERROR(FIND("+",$AK$87),99999))-1))))</f>
      </c>
      <c r="AT87">
        <f>IF($AL$87="","",IF(MIN(IFERROR(FIND(",",$AL$87),99999),IFERROR(FIND("+",$AL$87),99999))=99999,TRIM($AL$87),TRIM(LEFT($AL$87,MIN(IFERROR(FIND(",",$AL$87),99999),IFERROR(FIND("+",$AL$87),99999))-1))))</f>
      </c>
      <c r="AU87">
        <f>IF($AM$87="","",IF(MIN(IFERROR(FIND(",",$AM$87),99999),IFERROR(FIND("+",$AM$87),99999))=99999,TRIM($AM$87),TRIM(LEFT($AM$87,MIN(IFERROR(FIND(",",$AM$87),99999),IFERROR(FIND("+",$AM$87),99999))-1))))</f>
      </c>
      <c r="AV87">
        <f>IF($AN$87="","",IF(MIN(IFERROR(FIND(",",$AN$87),99999),IFERROR(FIND("+",$AN$87),99999))=99999,TRIM($AN$87),TRIM(LEFT($AN$87,MIN(IFERROR(FIND(",",$AN$87),99999),IFERROR(FIND("+",$AN$87),99999))-1))))</f>
      </c>
      <c r="AW87">
        <f>IF($AO$87="","",IF(MIN(IFERROR(FIND(",",$AO$87),99999),IFERROR(FIND("+",$AO$87),99999))=99999,TRIM($AO$87),TRIM(LEFT($AO$87,MIN(IFERROR(FIND(",",$AO$87),99999),IFERROR(FIND("+",$AO$87),99999))-1))))</f>
      </c>
      <c r="AX87">
        <f>IF($AP$87="","",IF(MIN(IFERROR(FIND(",",$AP$87),99999),IFERROR(FIND("+",$AP$87),99999))=99999,TRIM($AP$87),TRIM(LEFT($AP$87,MIN(IFERROR(FIND(",",$AP$87),99999),IFERROR(FIND("+",$AP$87),99999))-1))))</f>
      </c>
      <c r="AY87">
        <f>IF($AQ$87="","",IF(MIN(IFERROR(FIND(",",$AQ$87),99999),IFERROR(FIND("+",$AQ$87),99999))=99999,TRIM($AQ$87),TRIM(LEFT($AQ$87,MIN(IFERROR(FIND(",",$AQ$87),99999),IFERROR(FIND("+",$AQ$87),99999))-1))))</f>
      </c>
      <c r="AZ87">
        <f>IF($AR$87="","",IF(MIN(IFERROR(FIND(",",$AR$87),99999),IFERROR(FIND("+",$AR$87),99999))=99999,TRIM($AR$87),TRIM(LEFT($AR$87,MIN(IFERROR(FIND(",",$AR$87),99999),IFERROR(FIND("+",$AR$87),99999))-1))))</f>
      </c>
      <c r="BA87">
        <f>IF($AK$87="",0,1)</f>
      </c>
      <c r="BB87">
        <f>IF($AK$87="",$BA$87,$BA$87+IF(MID($AK$87,MIN(IFERROR(FIND(",",$AK$87),99999),IFERROR(FIND("+",$AK$87),99999)),1)="+",1,0))</f>
      </c>
      <c r="BC87">
        <f>IF($AL$87="",$BB$87,$BB$87+IF(MID($AL$87,MIN(IFERROR(FIND(",",$AL$87),99999),IFERROR(FIND("+",$AL$87),99999)),1)="+",1,0))</f>
      </c>
      <c r="BD87">
        <f>IF($AM$87="",$BC$87,$BC$87+IF(MID($AM$87,MIN(IFERROR(FIND(",",$AM$87),99999),IFERROR(FIND("+",$AM$87),99999)),1)="+",1,0))</f>
      </c>
      <c r="BE87">
        <f>IF($AN$87="",$BD$87,$BD$87+IF(MID($AN$87,MIN(IFERROR(FIND(",",$AN$87),99999),IFERROR(FIND("+",$AN$87),99999)),1)="+",1,0))</f>
      </c>
      <c r="BF87">
        <f>IF($AO$87="",$BE$87,$BE$87+IF(MID($AO$87,MIN(IFERROR(FIND(",",$AO$87),99999),IFERROR(FIND("+",$AO$87),99999)),1)="+",1,0))</f>
      </c>
      <c r="BG87">
        <f>IF($AP$87="",$BF$87,$BF$87+IF(MID($AP$87,MIN(IFERROR(FIND(",",$AP$87),99999),IFERROR(FIND("+",$AP$87),99999)),1)="+",1,0))</f>
      </c>
      <c r="BH87">
        <f>IF($AQ$87="",$BG$87,$BG$87+IF(MID($AQ$87,MIN(IFERROR(FIND(",",$AQ$87),99999),IFERROR(FIND("+",$AQ$87),99999)),1)="+",1,0))</f>
      </c>
      <c r="BI87">
        <f>IF($AS$87="",0,$BA$87)</f>
      </c>
      <c r="BJ87">
        <f>IF($AT$87="",0,$BB$87)</f>
      </c>
      <c r="BK87">
        <f>IF($AU$87="",0,$BC$87)</f>
      </c>
      <c r="BL87">
        <f>IF($AV$87="",0,$BD$87)</f>
      </c>
      <c r="BM87">
        <f>IF($AW$87="",0,$BE$87)</f>
      </c>
      <c r="BN87">
        <f>IF($AX$87="",0,$BF$87)</f>
      </c>
      <c r="BO87">
        <f>IF($AY$87="",0,$BG$87)</f>
      </c>
      <c r="BP87">
        <f>IF($AZ$87="",0,$BH$87)</f>
      </c>
    </row>
    <row r="88" spans="1:99" ht="15" customHeight="1" hidden="1">
      <c r="AK88">
        <f>SUBSTITUTE(SUBSTITUTE($AC$4,"&amp;","+"),"/",",")</f>
      </c>
      <c r="AL88">
        <f>IF(OR($AK$88="",MIN(IFERROR(FIND(",",$AK$88),99999),IFERROR(FIND("+",$AK$88),99999))=99999),"",MID($AK$88,MIN(IFERROR(FIND(",",$AK$88),99999),IFERROR(FIND("+",$AK$88),99999))+1,99999))</f>
      </c>
      <c r="AM88">
        <f>IF(OR($AL$88="",MIN(IFERROR(FIND(",",$AL$88),99999),IFERROR(FIND("+",$AL$88),99999))=99999),"",MID($AL$88,MIN(IFERROR(FIND(",",$AL$88),99999),IFERROR(FIND("+",$AL$88),99999))+1,99999))</f>
      </c>
      <c r="AN88">
        <f>IF(OR($AM$88="",MIN(IFERROR(FIND(",",$AM$88),99999),IFERROR(FIND("+",$AM$88),99999))=99999),"",MID($AM$88,MIN(IFERROR(FIND(",",$AM$88),99999),IFERROR(FIND("+",$AM$88),99999))+1,99999))</f>
      </c>
      <c r="AO88">
        <f>IF(OR($AN$88="",MIN(IFERROR(FIND(",",$AN$88),99999),IFERROR(FIND("+",$AN$88),99999))=99999),"",MID($AN$88,MIN(IFERROR(FIND(",",$AN$88),99999),IFERROR(FIND("+",$AN$88),99999))+1,99999))</f>
      </c>
      <c r="AP88">
        <f>IF(OR($AO$88="",MIN(IFERROR(FIND(",",$AO$88),99999),IFERROR(FIND("+",$AO$88),99999))=99999),"",MID($AO$88,MIN(IFERROR(FIND(",",$AO$88),99999),IFERROR(FIND("+",$AO$88),99999))+1,99999))</f>
      </c>
      <c r="AQ88">
        <f>IF(OR($AP$88="",MIN(IFERROR(FIND(",",$AP$88),99999),IFERROR(FIND("+",$AP$88),99999))=99999),"",MID($AP$88,MIN(IFERROR(FIND(",",$AP$88),99999),IFERROR(FIND("+",$AP$88),99999))+1,99999))</f>
      </c>
      <c r="AR88">
        <f>IF(OR($AQ$88="",MIN(IFERROR(FIND(",",$AQ$88),99999),IFERROR(FIND("+",$AQ$88),99999))=99999),"",MID($AQ$88,MIN(IFERROR(FIND(",",$AQ$88),99999),IFERROR(FIND("+",$AQ$88),99999))+1,99999))</f>
      </c>
      <c r="AS88">
        <f>IF($AK$88="","",IF(MIN(IFERROR(FIND(",",$AK$88),99999),IFERROR(FIND("+",$AK$88),99999))=99999,TRIM($AK$88),TRIM(LEFT($AK$88,MIN(IFERROR(FIND(",",$AK$88),99999),IFERROR(FIND("+",$AK$88),99999))-1))))</f>
      </c>
      <c r="AT88">
        <f>IF($AL$88="","",IF(MIN(IFERROR(FIND(",",$AL$88),99999),IFERROR(FIND("+",$AL$88),99999))=99999,TRIM($AL$88),TRIM(LEFT($AL$88,MIN(IFERROR(FIND(",",$AL$88),99999),IFERROR(FIND("+",$AL$88),99999))-1))))</f>
      </c>
      <c r="AU88">
        <f>IF($AM$88="","",IF(MIN(IFERROR(FIND(",",$AM$88),99999),IFERROR(FIND("+",$AM$88),99999))=99999,TRIM($AM$88),TRIM(LEFT($AM$88,MIN(IFERROR(FIND(",",$AM$88),99999),IFERROR(FIND("+",$AM$88),99999))-1))))</f>
      </c>
      <c r="AV88">
        <f>IF($AN$88="","",IF(MIN(IFERROR(FIND(",",$AN$88),99999),IFERROR(FIND("+",$AN$88),99999))=99999,TRIM($AN$88),TRIM(LEFT($AN$88,MIN(IFERROR(FIND(",",$AN$88),99999),IFERROR(FIND("+",$AN$88),99999))-1))))</f>
      </c>
      <c r="AW88">
        <f>IF($AO$88="","",IF(MIN(IFERROR(FIND(",",$AO$88),99999),IFERROR(FIND("+",$AO$88),99999))=99999,TRIM($AO$88),TRIM(LEFT($AO$88,MIN(IFERROR(FIND(",",$AO$88),99999),IFERROR(FIND("+",$AO$88),99999))-1))))</f>
      </c>
      <c r="AX88">
        <f>IF($AP$88="","",IF(MIN(IFERROR(FIND(",",$AP$88),99999),IFERROR(FIND("+",$AP$88),99999))=99999,TRIM($AP$88),TRIM(LEFT($AP$88,MIN(IFERROR(FIND(",",$AP$88),99999),IFERROR(FIND("+",$AP$88),99999))-1))))</f>
      </c>
      <c r="AY88">
        <f>IF($AQ$88="","",IF(MIN(IFERROR(FIND(",",$AQ$88),99999),IFERROR(FIND("+",$AQ$88),99999))=99999,TRIM($AQ$88),TRIM(LEFT($AQ$88,MIN(IFERROR(FIND(",",$AQ$88),99999),IFERROR(FIND("+",$AQ$88),99999))-1))))</f>
      </c>
      <c r="AZ88">
        <f>IF($AR$88="","",IF(MIN(IFERROR(FIND(",",$AR$88),99999),IFERROR(FIND("+",$AR$88),99999))=99999,TRIM($AR$88),TRIM(LEFT($AR$88,MIN(IFERROR(FIND(",",$AR$88),99999),IFERROR(FIND("+",$AR$88),99999))-1))))</f>
      </c>
      <c r="BA88">
        <f>IF($AK$88="",0,1)</f>
      </c>
      <c r="BB88">
        <f>IF($AK$88="",$BA$88,$BA$88+IF(MID($AK$88,MIN(IFERROR(FIND(",",$AK$88),99999),IFERROR(FIND("+",$AK$88),99999)),1)="+",1,0))</f>
      </c>
      <c r="BC88">
        <f>IF($AL$88="",$BB$88,$BB$88+IF(MID($AL$88,MIN(IFERROR(FIND(",",$AL$88),99999),IFERROR(FIND("+",$AL$88),99999)),1)="+",1,0))</f>
      </c>
      <c r="BD88">
        <f>IF($AM$88="",$BC$88,$BC$88+IF(MID($AM$88,MIN(IFERROR(FIND(",",$AM$88),99999),IFERROR(FIND("+",$AM$88),99999)),1)="+",1,0))</f>
      </c>
      <c r="BE88">
        <f>IF($AN$88="",$BD$88,$BD$88+IF(MID($AN$88,MIN(IFERROR(FIND(",",$AN$88),99999),IFERROR(FIND("+",$AN$88),99999)),1)="+",1,0))</f>
      </c>
      <c r="BF88">
        <f>IF($AO$88="",$BE$88,$BE$88+IF(MID($AO$88,MIN(IFERROR(FIND(",",$AO$88),99999),IFERROR(FIND("+",$AO$88),99999)),1)="+",1,0))</f>
      </c>
      <c r="BG88">
        <f>IF($AP$88="",$BF$88,$BF$88+IF(MID($AP$88,MIN(IFERROR(FIND(",",$AP$88),99999),IFERROR(FIND("+",$AP$88),99999)),1)="+",1,0))</f>
      </c>
      <c r="BH88">
        <f>IF($AQ$88="",$BG$88,$BG$88+IF(MID($AQ$88,MIN(IFERROR(FIND(",",$AQ$88),99999),IFERROR(FIND("+",$AQ$88),99999)),1)="+",1,0))</f>
      </c>
      <c r="BI88">
        <f>IF($AS$88="",0,$BA$88)</f>
      </c>
      <c r="BJ88">
        <f>IF($AT$88="",0,$BB$88)</f>
      </c>
      <c r="BK88">
        <f>IF($AU$88="",0,$BC$88)</f>
      </c>
      <c r="BL88">
        <f>IF($AV$88="",0,$BD$88)</f>
      </c>
      <c r="BM88">
        <f>IF($AW$88="",0,$BE$88)</f>
      </c>
      <c r="BN88">
        <f>IF($AX$88="",0,$BF$88)</f>
      </c>
      <c r="BO88">
        <f>IF($AY$88="",0,$BG$88)</f>
      </c>
      <c r="BP88">
        <f>IF($AZ$88="",0,$BH$88)</f>
      </c>
    </row>
    <row r="89" spans="1:99" ht="15" customHeight="1" hidden="1">
      <c r="AK89">
        <f>SUBSTITUTE(SUBSTITUTE($AD$4,"&amp;","+"),"/",",")</f>
      </c>
      <c r="AL89">
        <f>IF(OR($AK$89="",MIN(IFERROR(FIND(",",$AK$89),99999),IFERROR(FIND("+",$AK$89),99999))=99999),"",MID($AK$89,MIN(IFERROR(FIND(",",$AK$89),99999),IFERROR(FIND("+",$AK$89),99999))+1,99999))</f>
      </c>
      <c r="AM89">
        <f>IF(OR($AL$89="",MIN(IFERROR(FIND(",",$AL$89),99999),IFERROR(FIND("+",$AL$89),99999))=99999),"",MID($AL$89,MIN(IFERROR(FIND(",",$AL$89),99999),IFERROR(FIND("+",$AL$89),99999))+1,99999))</f>
      </c>
      <c r="AN89">
        <f>IF(OR($AM$89="",MIN(IFERROR(FIND(",",$AM$89),99999),IFERROR(FIND("+",$AM$89),99999))=99999),"",MID($AM$89,MIN(IFERROR(FIND(",",$AM$89),99999),IFERROR(FIND("+",$AM$89),99999))+1,99999))</f>
      </c>
      <c r="AO89">
        <f>IF(OR($AN$89="",MIN(IFERROR(FIND(",",$AN$89),99999),IFERROR(FIND("+",$AN$89),99999))=99999),"",MID($AN$89,MIN(IFERROR(FIND(",",$AN$89),99999),IFERROR(FIND("+",$AN$89),99999))+1,99999))</f>
      </c>
      <c r="AP89">
        <f>IF(OR($AO$89="",MIN(IFERROR(FIND(",",$AO$89),99999),IFERROR(FIND("+",$AO$89),99999))=99999),"",MID($AO$89,MIN(IFERROR(FIND(",",$AO$89),99999),IFERROR(FIND("+",$AO$89),99999))+1,99999))</f>
      </c>
      <c r="AQ89">
        <f>IF(OR($AP$89="",MIN(IFERROR(FIND(",",$AP$89),99999),IFERROR(FIND("+",$AP$89),99999))=99999),"",MID($AP$89,MIN(IFERROR(FIND(",",$AP$89),99999),IFERROR(FIND("+",$AP$89),99999))+1,99999))</f>
      </c>
      <c r="AR89">
        <f>IF(OR($AQ$89="",MIN(IFERROR(FIND(",",$AQ$89),99999),IFERROR(FIND("+",$AQ$89),99999))=99999),"",MID($AQ$89,MIN(IFERROR(FIND(",",$AQ$89),99999),IFERROR(FIND("+",$AQ$89),99999))+1,99999))</f>
      </c>
      <c r="AS89">
        <f>IF($AK$89="","",IF(MIN(IFERROR(FIND(",",$AK$89),99999),IFERROR(FIND("+",$AK$89),99999))=99999,TRIM($AK$89),TRIM(LEFT($AK$89,MIN(IFERROR(FIND(",",$AK$89),99999),IFERROR(FIND("+",$AK$89),99999))-1))))</f>
      </c>
      <c r="AT89">
        <f>IF($AL$89="","",IF(MIN(IFERROR(FIND(",",$AL$89),99999),IFERROR(FIND("+",$AL$89),99999))=99999,TRIM($AL$89),TRIM(LEFT($AL$89,MIN(IFERROR(FIND(",",$AL$89),99999),IFERROR(FIND("+",$AL$89),99999))-1))))</f>
      </c>
      <c r="AU89">
        <f>IF($AM$89="","",IF(MIN(IFERROR(FIND(",",$AM$89),99999),IFERROR(FIND("+",$AM$89),99999))=99999,TRIM($AM$89),TRIM(LEFT($AM$89,MIN(IFERROR(FIND(",",$AM$89),99999),IFERROR(FIND("+",$AM$89),99999))-1))))</f>
      </c>
      <c r="AV89">
        <f>IF($AN$89="","",IF(MIN(IFERROR(FIND(",",$AN$89),99999),IFERROR(FIND("+",$AN$89),99999))=99999,TRIM($AN$89),TRIM(LEFT($AN$89,MIN(IFERROR(FIND(",",$AN$89),99999),IFERROR(FIND("+",$AN$89),99999))-1))))</f>
      </c>
      <c r="AW89">
        <f>IF($AO$89="","",IF(MIN(IFERROR(FIND(",",$AO$89),99999),IFERROR(FIND("+",$AO$89),99999))=99999,TRIM($AO$89),TRIM(LEFT($AO$89,MIN(IFERROR(FIND(",",$AO$89),99999),IFERROR(FIND("+",$AO$89),99999))-1))))</f>
      </c>
      <c r="AX89">
        <f>IF($AP$89="","",IF(MIN(IFERROR(FIND(",",$AP$89),99999),IFERROR(FIND("+",$AP$89),99999))=99999,TRIM($AP$89),TRIM(LEFT($AP$89,MIN(IFERROR(FIND(",",$AP$89),99999),IFERROR(FIND("+",$AP$89),99999))-1))))</f>
      </c>
      <c r="AY89">
        <f>IF($AQ$89="","",IF(MIN(IFERROR(FIND(",",$AQ$89),99999),IFERROR(FIND("+",$AQ$89),99999))=99999,TRIM($AQ$89),TRIM(LEFT($AQ$89,MIN(IFERROR(FIND(",",$AQ$89),99999),IFERROR(FIND("+",$AQ$89),99999))-1))))</f>
      </c>
      <c r="AZ89">
        <f>IF($AR$89="","",IF(MIN(IFERROR(FIND(",",$AR$89),99999),IFERROR(FIND("+",$AR$89),99999))=99999,TRIM($AR$89),TRIM(LEFT($AR$89,MIN(IFERROR(FIND(",",$AR$89),99999),IFERROR(FIND("+",$AR$89),99999))-1))))</f>
      </c>
      <c r="BA89">
        <f>IF($AK$89="",0,1)</f>
      </c>
      <c r="BB89">
        <f>IF($AK$89="",$BA$89,$BA$89+IF(MID($AK$89,MIN(IFERROR(FIND(",",$AK$89),99999),IFERROR(FIND("+",$AK$89),99999)),1)="+",1,0))</f>
      </c>
      <c r="BC89">
        <f>IF($AL$89="",$BB$89,$BB$89+IF(MID($AL$89,MIN(IFERROR(FIND(",",$AL$89),99999),IFERROR(FIND("+",$AL$89),99999)),1)="+",1,0))</f>
      </c>
      <c r="BD89">
        <f>IF($AM$89="",$BC$89,$BC$89+IF(MID($AM$89,MIN(IFERROR(FIND(",",$AM$89),99999),IFERROR(FIND("+",$AM$89),99999)),1)="+",1,0))</f>
      </c>
      <c r="BE89">
        <f>IF($AN$89="",$BD$89,$BD$89+IF(MID($AN$89,MIN(IFERROR(FIND(",",$AN$89),99999),IFERROR(FIND("+",$AN$89),99999)),1)="+",1,0))</f>
      </c>
      <c r="BF89">
        <f>IF($AO$89="",$BE$89,$BE$89+IF(MID($AO$89,MIN(IFERROR(FIND(",",$AO$89),99999),IFERROR(FIND("+",$AO$89),99999)),1)="+",1,0))</f>
      </c>
      <c r="BG89">
        <f>IF($AP$89="",$BF$89,$BF$89+IF(MID($AP$89,MIN(IFERROR(FIND(",",$AP$89),99999),IFERROR(FIND("+",$AP$89),99999)),1)="+",1,0))</f>
      </c>
      <c r="BH89">
        <f>IF($AQ$89="",$BG$89,$BG$89+IF(MID($AQ$89,MIN(IFERROR(FIND(",",$AQ$89),99999),IFERROR(FIND("+",$AQ$89),99999)),1)="+",1,0))</f>
      </c>
      <c r="BI89">
        <f>IF($AS$89="",0,$BA$89)</f>
      </c>
      <c r="BJ89">
        <f>IF($AT$89="",0,$BB$89)</f>
      </c>
      <c r="BK89">
        <f>IF($AU$89="",0,$BC$89)</f>
      </c>
      <c r="BL89">
        <f>IF($AV$89="",0,$BD$89)</f>
      </c>
      <c r="BM89">
        <f>IF($AW$89="",0,$BE$89)</f>
      </c>
      <c r="BN89">
        <f>IF($AX$89="",0,$BF$89)</f>
      </c>
      <c r="BO89">
        <f>IF($AY$89="",0,$BG$89)</f>
      </c>
      <c r="BP89">
        <f>IF($AZ$89="",0,$BH$89)</f>
      </c>
    </row>
    <row r="90" spans="1:99" ht="15" customHeight="1" hidden="1">
      <c r="AK90">
        <f>SUBSTITUTE(SUBSTITUTE($AE$4,"&amp;","+"),"/",",")</f>
      </c>
      <c r="AL90">
        <f>IF(OR($AK$90="",MIN(IFERROR(FIND(",",$AK$90),99999),IFERROR(FIND("+",$AK$90),99999))=99999),"",MID($AK$90,MIN(IFERROR(FIND(",",$AK$90),99999),IFERROR(FIND("+",$AK$90),99999))+1,99999))</f>
      </c>
      <c r="AM90">
        <f>IF(OR($AL$90="",MIN(IFERROR(FIND(",",$AL$90),99999),IFERROR(FIND("+",$AL$90),99999))=99999),"",MID($AL$90,MIN(IFERROR(FIND(",",$AL$90),99999),IFERROR(FIND("+",$AL$90),99999))+1,99999))</f>
      </c>
      <c r="AN90">
        <f>IF(OR($AM$90="",MIN(IFERROR(FIND(",",$AM$90),99999),IFERROR(FIND("+",$AM$90),99999))=99999),"",MID($AM$90,MIN(IFERROR(FIND(",",$AM$90),99999),IFERROR(FIND("+",$AM$90),99999))+1,99999))</f>
      </c>
      <c r="AO90">
        <f>IF(OR($AN$90="",MIN(IFERROR(FIND(",",$AN$90),99999),IFERROR(FIND("+",$AN$90),99999))=99999),"",MID($AN$90,MIN(IFERROR(FIND(",",$AN$90),99999),IFERROR(FIND("+",$AN$90),99999))+1,99999))</f>
      </c>
      <c r="AP90">
        <f>IF(OR($AO$90="",MIN(IFERROR(FIND(",",$AO$90),99999),IFERROR(FIND("+",$AO$90),99999))=99999),"",MID($AO$90,MIN(IFERROR(FIND(",",$AO$90),99999),IFERROR(FIND("+",$AO$90),99999))+1,99999))</f>
      </c>
      <c r="AQ90">
        <f>IF(OR($AP$90="",MIN(IFERROR(FIND(",",$AP$90),99999),IFERROR(FIND("+",$AP$90),99999))=99999),"",MID($AP$90,MIN(IFERROR(FIND(",",$AP$90),99999),IFERROR(FIND("+",$AP$90),99999))+1,99999))</f>
      </c>
      <c r="AR90">
        <f>IF(OR($AQ$90="",MIN(IFERROR(FIND(",",$AQ$90),99999),IFERROR(FIND("+",$AQ$90),99999))=99999),"",MID($AQ$90,MIN(IFERROR(FIND(",",$AQ$90),99999),IFERROR(FIND("+",$AQ$90),99999))+1,99999))</f>
      </c>
      <c r="AS90">
        <f>IF($AK$90="","",IF(MIN(IFERROR(FIND(",",$AK$90),99999),IFERROR(FIND("+",$AK$90),99999))=99999,TRIM($AK$90),TRIM(LEFT($AK$90,MIN(IFERROR(FIND(",",$AK$90),99999),IFERROR(FIND("+",$AK$90),99999))-1))))</f>
      </c>
      <c r="AT90">
        <f>IF($AL$90="","",IF(MIN(IFERROR(FIND(",",$AL$90),99999),IFERROR(FIND("+",$AL$90),99999))=99999,TRIM($AL$90),TRIM(LEFT($AL$90,MIN(IFERROR(FIND(",",$AL$90),99999),IFERROR(FIND("+",$AL$90),99999))-1))))</f>
      </c>
      <c r="AU90">
        <f>IF($AM$90="","",IF(MIN(IFERROR(FIND(",",$AM$90),99999),IFERROR(FIND("+",$AM$90),99999))=99999,TRIM($AM$90),TRIM(LEFT($AM$90,MIN(IFERROR(FIND(",",$AM$90),99999),IFERROR(FIND("+",$AM$90),99999))-1))))</f>
      </c>
      <c r="AV90">
        <f>IF($AN$90="","",IF(MIN(IFERROR(FIND(",",$AN$90),99999),IFERROR(FIND("+",$AN$90),99999))=99999,TRIM($AN$90),TRIM(LEFT($AN$90,MIN(IFERROR(FIND(",",$AN$90),99999),IFERROR(FIND("+",$AN$90),99999))-1))))</f>
      </c>
      <c r="AW90">
        <f>IF($AO$90="","",IF(MIN(IFERROR(FIND(",",$AO$90),99999),IFERROR(FIND("+",$AO$90),99999))=99999,TRIM($AO$90),TRIM(LEFT($AO$90,MIN(IFERROR(FIND(",",$AO$90),99999),IFERROR(FIND("+",$AO$90),99999))-1))))</f>
      </c>
      <c r="AX90">
        <f>IF($AP$90="","",IF(MIN(IFERROR(FIND(",",$AP$90),99999),IFERROR(FIND("+",$AP$90),99999))=99999,TRIM($AP$90),TRIM(LEFT($AP$90,MIN(IFERROR(FIND(",",$AP$90),99999),IFERROR(FIND("+",$AP$90),99999))-1))))</f>
      </c>
      <c r="AY90">
        <f>IF($AQ$90="","",IF(MIN(IFERROR(FIND(",",$AQ$90),99999),IFERROR(FIND("+",$AQ$90),99999))=99999,TRIM($AQ$90),TRIM(LEFT($AQ$90,MIN(IFERROR(FIND(",",$AQ$90),99999),IFERROR(FIND("+",$AQ$90),99999))-1))))</f>
      </c>
      <c r="AZ90">
        <f>IF($AR$90="","",IF(MIN(IFERROR(FIND(",",$AR$90),99999),IFERROR(FIND("+",$AR$90),99999))=99999,TRIM($AR$90),TRIM(LEFT($AR$90,MIN(IFERROR(FIND(",",$AR$90),99999),IFERROR(FIND("+",$AR$90),99999))-1))))</f>
      </c>
      <c r="BA90">
        <f>IF($AK$90="",0,1)</f>
      </c>
      <c r="BB90">
        <f>IF($AK$90="",$BA$90,$BA$90+IF(MID($AK$90,MIN(IFERROR(FIND(",",$AK$90),99999),IFERROR(FIND("+",$AK$90),99999)),1)="+",1,0))</f>
      </c>
      <c r="BC90">
        <f>IF($AL$90="",$BB$90,$BB$90+IF(MID($AL$90,MIN(IFERROR(FIND(",",$AL$90),99999),IFERROR(FIND("+",$AL$90),99999)),1)="+",1,0))</f>
      </c>
      <c r="BD90">
        <f>IF($AM$90="",$BC$90,$BC$90+IF(MID($AM$90,MIN(IFERROR(FIND(",",$AM$90),99999),IFERROR(FIND("+",$AM$90),99999)),1)="+",1,0))</f>
      </c>
      <c r="BE90">
        <f>IF($AN$90="",$BD$90,$BD$90+IF(MID($AN$90,MIN(IFERROR(FIND(",",$AN$90),99999),IFERROR(FIND("+",$AN$90),99999)),1)="+",1,0))</f>
      </c>
      <c r="BF90">
        <f>IF($AO$90="",$BE$90,$BE$90+IF(MID($AO$90,MIN(IFERROR(FIND(",",$AO$90),99999),IFERROR(FIND("+",$AO$90),99999)),1)="+",1,0))</f>
      </c>
      <c r="BG90">
        <f>IF($AP$90="",$BF$90,$BF$90+IF(MID($AP$90,MIN(IFERROR(FIND(",",$AP$90),99999),IFERROR(FIND("+",$AP$90),99999)),1)="+",1,0))</f>
      </c>
      <c r="BH90">
        <f>IF($AQ$90="",$BG$90,$BG$90+IF(MID($AQ$90,MIN(IFERROR(FIND(",",$AQ$90),99999),IFERROR(FIND("+",$AQ$90),99999)),1)="+",1,0))</f>
      </c>
      <c r="BI90">
        <f>IF($AS$90="",0,$BA$90)</f>
      </c>
      <c r="BJ90">
        <f>IF($AT$90="",0,$BB$90)</f>
      </c>
      <c r="BK90">
        <f>IF($AU$90="",0,$BC$90)</f>
      </c>
      <c r="BL90">
        <f>IF($AV$90="",0,$BD$90)</f>
      </c>
      <c r="BM90">
        <f>IF($AW$90="",0,$BE$90)</f>
      </c>
      <c r="BN90">
        <f>IF($AX$90="",0,$BF$90)</f>
      </c>
      <c r="BO90">
        <f>IF($AY$90="",0,$BG$90)</f>
      </c>
      <c r="BP90">
        <f>IF($AZ$90="",0,$BH$90)</f>
      </c>
    </row>
    <row r="91" spans="1:99" ht="15" customHeight="1" hidden="1">
      <c r="AK91">
        <f>SUBSTITUTE(SUBSTITUTE($AF$4,"&amp;","+"),"/",",")</f>
      </c>
      <c r="AL91">
        <f>IF(OR($AK$91="",MIN(IFERROR(FIND(",",$AK$91),99999),IFERROR(FIND("+",$AK$91),99999))=99999),"",MID($AK$91,MIN(IFERROR(FIND(",",$AK$91),99999),IFERROR(FIND("+",$AK$91),99999))+1,99999))</f>
      </c>
      <c r="AM91">
        <f>IF(OR($AL$91="",MIN(IFERROR(FIND(",",$AL$91),99999),IFERROR(FIND("+",$AL$91),99999))=99999),"",MID($AL$91,MIN(IFERROR(FIND(",",$AL$91),99999),IFERROR(FIND("+",$AL$91),99999))+1,99999))</f>
      </c>
      <c r="AN91">
        <f>IF(OR($AM$91="",MIN(IFERROR(FIND(",",$AM$91),99999),IFERROR(FIND("+",$AM$91),99999))=99999),"",MID($AM$91,MIN(IFERROR(FIND(",",$AM$91),99999),IFERROR(FIND("+",$AM$91),99999))+1,99999))</f>
      </c>
      <c r="AO91">
        <f>IF(OR($AN$91="",MIN(IFERROR(FIND(",",$AN$91),99999),IFERROR(FIND("+",$AN$91),99999))=99999),"",MID($AN$91,MIN(IFERROR(FIND(",",$AN$91),99999),IFERROR(FIND("+",$AN$91),99999))+1,99999))</f>
      </c>
      <c r="AP91">
        <f>IF(OR($AO$91="",MIN(IFERROR(FIND(",",$AO$91),99999),IFERROR(FIND("+",$AO$91),99999))=99999),"",MID($AO$91,MIN(IFERROR(FIND(",",$AO$91),99999),IFERROR(FIND("+",$AO$91),99999))+1,99999))</f>
      </c>
      <c r="AQ91">
        <f>IF(OR($AP$91="",MIN(IFERROR(FIND(",",$AP$91),99999),IFERROR(FIND("+",$AP$91),99999))=99999),"",MID($AP$91,MIN(IFERROR(FIND(",",$AP$91),99999),IFERROR(FIND("+",$AP$91),99999))+1,99999))</f>
      </c>
      <c r="AR91">
        <f>IF(OR($AQ$91="",MIN(IFERROR(FIND(",",$AQ$91),99999),IFERROR(FIND("+",$AQ$91),99999))=99999),"",MID($AQ$91,MIN(IFERROR(FIND(",",$AQ$91),99999),IFERROR(FIND("+",$AQ$91),99999))+1,99999))</f>
      </c>
      <c r="AS91">
        <f>IF($AK$91="","",IF(MIN(IFERROR(FIND(",",$AK$91),99999),IFERROR(FIND("+",$AK$91),99999))=99999,TRIM($AK$91),TRIM(LEFT($AK$91,MIN(IFERROR(FIND(",",$AK$91),99999),IFERROR(FIND("+",$AK$91),99999))-1))))</f>
      </c>
      <c r="AT91">
        <f>IF($AL$91="","",IF(MIN(IFERROR(FIND(",",$AL$91),99999),IFERROR(FIND("+",$AL$91),99999))=99999,TRIM($AL$91),TRIM(LEFT($AL$91,MIN(IFERROR(FIND(",",$AL$91),99999),IFERROR(FIND("+",$AL$91),99999))-1))))</f>
      </c>
      <c r="AU91">
        <f>IF($AM$91="","",IF(MIN(IFERROR(FIND(",",$AM$91),99999),IFERROR(FIND("+",$AM$91),99999))=99999,TRIM($AM$91),TRIM(LEFT($AM$91,MIN(IFERROR(FIND(",",$AM$91),99999),IFERROR(FIND("+",$AM$91),99999))-1))))</f>
      </c>
      <c r="AV91">
        <f>IF($AN$91="","",IF(MIN(IFERROR(FIND(",",$AN$91),99999),IFERROR(FIND("+",$AN$91),99999))=99999,TRIM($AN$91),TRIM(LEFT($AN$91,MIN(IFERROR(FIND(",",$AN$91),99999),IFERROR(FIND("+",$AN$91),99999))-1))))</f>
      </c>
      <c r="AW91">
        <f>IF($AO$91="","",IF(MIN(IFERROR(FIND(",",$AO$91),99999),IFERROR(FIND("+",$AO$91),99999))=99999,TRIM($AO$91),TRIM(LEFT($AO$91,MIN(IFERROR(FIND(",",$AO$91),99999),IFERROR(FIND("+",$AO$91),99999))-1))))</f>
      </c>
      <c r="AX91">
        <f>IF($AP$91="","",IF(MIN(IFERROR(FIND(",",$AP$91),99999),IFERROR(FIND("+",$AP$91),99999))=99999,TRIM($AP$91),TRIM(LEFT($AP$91,MIN(IFERROR(FIND(",",$AP$91),99999),IFERROR(FIND("+",$AP$91),99999))-1))))</f>
      </c>
      <c r="AY91">
        <f>IF($AQ$91="","",IF(MIN(IFERROR(FIND(",",$AQ$91),99999),IFERROR(FIND("+",$AQ$91),99999))=99999,TRIM($AQ$91),TRIM(LEFT($AQ$91,MIN(IFERROR(FIND(",",$AQ$91),99999),IFERROR(FIND("+",$AQ$91),99999))-1))))</f>
      </c>
      <c r="AZ91">
        <f>IF($AR$91="","",IF(MIN(IFERROR(FIND(",",$AR$91),99999),IFERROR(FIND("+",$AR$91),99999))=99999,TRIM($AR$91),TRIM(LEFT($AR$91,MIN(IFERROR(FIND(",",$AR$91),99999),IFERROR(FIND("+",$AR$91),99999))-1))))</f>
      </c>
      <c r="BA91">
        <f>IF($AK$91="",0,1)</f>
      </c>
      <c r="BB91">
        <f>IF($AK$91="",$BA$91,$BA$91+IF(MID($AK$91,MIN(IFERROR(FIND(",",$AK$91),99999),IFERROR(FIND("+",$AK$91),99999)),1)="+",1,0))</f>
      </c>
      <c r="BC91">
        <f>IF($AL$91="",$BB$91,$BB$91+IF(MID($AL$91,MIN(IFERROR(FIND(",",$AL$91),99999),IFERROR(FIND("+",$AL$91),99999)),1)="+",1,0))</f>
      </c>
      <c r="BD91">
        <f>IF($AM$91="",$BC$91,$BC$91+IF(MID($AM$91,MIN(IFERROR(FIND(",",$AM$91),99999),IFERROR(FIND("+",$AM$91),99999)),1)="+",1,0))</f>
      </c>
      <c r="BE91">
        <f>IF($AN$91="",$BD$91,$BD$91+IF(MID($AN$91,MIN(IFERROR(FIND(",",$AN$91),99999),IFERROR(FIND("+",$AN$91),99999)),1)="+",1,0))</f>
      </c>
      <c r="BF91">
        <f>IF($AO$91="",$BE$91,$BE$91+IF(MID($AO$91,MIN(IFERROR(FIND(",",$AO$91),99999),IFERROR(FIND("+",$AO$91),99999)),1)="+",1,0))</f>
      </c>
      <c r="BG91">
        <f>IF($AP$91="",$BF$91,$BF$91+IF(MID($AP$91,MIN(IFERROR(FIND(",",$AP$91),99999),IFERROR(FIND("+",$AP$91),99999)),1)="+",1,0))</f>
      </c>
      <c r="BH91">
        <f>IF($AQ$91="",$BG$91,$BG$91+IF(MID($AQ$91,MIN(IFERROR(FIND(",",$AQ$91),99999),IFERROR(FIND("+",$AQ$91),99999)),1)="+",1,0))</f>
      </c>
      <c r="BI91">
        <f>IF($AS$91="",0,$BA$91)</f>
      </c>
      <c r="BJ91">
        <f>IF($AT$91="",0,$BB$91)</f>
      </c>
      <c r="BK91">
        <f>IF($AU$91="",0,$BC$91)</f>
      </c>
      <c r="BL91">
        <f>IF($AV$91="",0,$BD$91)</f>
      </c>
      <c r="BM91">
        <f>IF($AW$91="",0,$BE$91)</f>
      </c>
      <c r="BN91">
        <f>IF($AX$91="",0,$BF$91)</f>
      </c>
      <c r="BO91">
        <f>IF($AY$91="",0,$BG$91)</f>
      </c>
      <c r="BP91">
        <f>IF($AZ$91="",0,$BH$91)</f>
      </c>
    </row>
    <row r="92" spans="1:99" ht="15" customHeight="1" hidden="1">
      <c r="AK92">
        <f>SUBSTITUTE(SUBSTITUTE($AG$4,"&amp;","+"),"/",",")</f>
      </c>
      <c r="AL92">
        <f>IF(OR($AK$92="",MIN(IFERROR(FIND(",",$AK$92),99999),IFERROR(FIND("+",$AK$92),99999))=99999),"",MID($AK$92,MIN(IFERROR(FIND(",",$AK$92),99999),IFERROR(FIND("+",$AK$92),99999))+1,99999))</f>
      </c>
      <c r="AM92">
        <f>IF(OR($AL$92="",MIN(IFERROR(FIND(",",$AL$92),99999),IFERROR(FIND("+",$AL$92),99999))=99999),"",MID($AL$92,MIN(IFERROR(FIND(",",$AL$92),99999),IFERROR(FIND("+",$AL$92),99999))+1,99999))</f>
      </c>
      <c r="AN92">
        <f>IF(OR($AM$92="",MIN(IFERROR(FIND(",",$AM$92),99999),IFERROR(FIND("+",$AM$92),99999))=99999),"",MID($AM$92,MIN(IFERROR(FIND(",",$AM$92),99999),IFERROR(FIND("+",$AM$92),99999))+1,99999))</f>
      </c>
      <c r="AO92">
        <f>IF(OR($AN$92="",MIN(IFERROR(FIND(",",$AN$92),99999),IFERROR(FIND("+",$AN$92),99999))=99999),"",MID($AN$92,MIN(IFERROR(FIND(",",$AN$92),99999),IFERROR(FIND("+",$AN$92),99999))+1,99999))</f>
      </c>
      <c r="AP92">
        <f>IF(OR($AO$92="",MIN(IFERROR(FIND(",",$AO$92),99999),IFERROR(FIND("+",$AO$92),99999))=99999),"",MID($AO$92,MIN(IFERROR(FIND(",",$AO$92),99999),IFERROR(FIND("+",$AO$92),99999))+1,99999))</f>
      </c>
      <c r="AQ92">
        <f>IF(OR($AP$92="",MIN(IFERROR(FIND(",",$AP$92),99999),IFERROR(FIND("+",$AP$92),99999))=99999),"",MID($AP$92,MIN(IFERROR(FIND(",",$AP$92),99999),IFERROR(FIND("+",$AP$92),99999))+1,99999))</f>
      </c>
      <c r="AR92">
        <f>IF(OR($AQ$92="",MIN(IFERROR(FIND(",",$AQ$92),99999),IFERROR(FIND("+",$AQ$92),99999))=99999),"",MID($AQ$92,MIN(IFERROR(FIND(",",$AQ$92),99999),IFERROR(FIND("+",$AQ$92),99999))+1,99999))</f>
      </c>
      <c r="AS92">
        <f>IF($AK$92="","",IF(MIN(IFERROR(FIND(",",$AK$92),99999),IFERROR(FIND("+",$AK$92),99999))=99999,TRIM($AK$92),TRIM(LEFT($AK$92,MIN(IFERROR(FIND(",",$AK$92),99999),IFERROR(FIND("+",$AK$92),99999))-1))))</f>
      </c>
      <c r="AT92">
        <f>IF($AL$92="","",IF(MIN(IFERROR(FIND(",",$AL$92),99999),IFERROR(FIND("+",$AL$92),99999))=99999,TRIM($AL$92),TRIM(LEFT($AL$92,MIN(IFERROR(FIND(",",$AL$92),99999),IFERROR(FIND("+",$AL$92),99999))-1))))</f>
      </c>
      <c r="AU92">
        <f>IF($AM$92="","",IF(MIN(IFERROR(FIND(",",$AM$92),99999),IFERROR(FIND("+",$AM$92),99999))=99999,TRIM($AM$92),TRIM(LEFT($AM$92,MIN(IFERROR(FIND(",",$AM$92),99999),IFERROR(FIND("+",$AM$92),99999))-1))))</f>
      </c>
      <c r="AV92">
        <f>IF($AN$92="","",IF(MIN(IFERROR(FIND(",",$AN$92),99999),IFERROR(FIND("+",$AN$92),99999))=99999,TRIM($AN$92),TRIM(LEFT($AN$92,MIN(IFERROR(FIND(",",$AN$92),99999),IFERROR(FIND("+",$AN$92),99999))-1))))</f>
      </c>
      <c r="AW92">
        <f>IF($AO$92="","",IF(MIN(IFERROR(FIND(",",$AO$92),99999),IFERROR(FIND("+",$AO$92),99999))=99999,TRIM($AO$92),TRIM(LEFT($AO$92,MIN(IFERROR(FIND(",",$AO$92),99999),IFERROR(FIND("+",$AO$92),99999))-1))))</f>
      </c>
      <c r="AX92">
        <f>IF($AP$92="","",IF(MIN(IFERROR(FIND(",",$AP$92),99999),IFERROR(FIND("+",$AP$92),99999))=99999,TRIM($AP$92),TRIM(LEFT($AP$92,MIN(IFERROR(FIND(",",$AP$92),99999),IFERROR(FIND("+",$AP$92),99999))-1))))</f>
      </c>
      <c r="AY92">
        <f>IF($AQ$92="","",IF(MIN(IFERROR(FIND(",",$AQ$92),99999),IFERROR(FIND("+",$AQ$92),99999))=99999,TRIM($AQ$92),TRIM(LEFT($AQ$92,MIN(IFERROR(FIND(",",$AQ$92),99999),IFERROR(FIND("+",$AQ$92),99999))-1))))</f>
      </c>
      <c r="AZ92">
        <f>IF($AR$92="","",IF(MIN(IFERROR(FIND(",",$AR$92),99999),IFERROR(FIND("+",$AR$92),99999))=99999,TRIM($AR$92),TRIM(LEFT($AR$92,MIN(IFERROR(FIND(",",$AR$92),99999),IFERROR(FIND("+",$AR$92),99999))-1))))</f>
      </c>
      <c r="BA92">
        <f>IF($AK$92="",0,1)</f>
      </c>
      <c r="BB92">
        <f>IF($AK$92="",$BA$92,$BA$92+IF(MID($AK$92,MIN(IFERROR(FIND(",",$AK$92),99999),IFERROR(FIND("+",$AK$92),99999)),1)="+",1,0))</f>
      </c>
      <c r="BC92">
        <f>IF($AL$92="",$BB$92,$BB$92+IF(MID($AL$92,MIN(IFERROR(FIND(",",$AL$92),99999),IFERROR(FIND("+",$AL$92),99999)),1)="+",1,0))</f>
      </c>
      <c r="BD92">
        <f>IF($AM$92="",$BC$92,$BC$92+IF(MID($AM$92,MIN(IFERROR(FIND(",",$AM$92),99999),IFERROR(FIND("+",$AM$92),99999)),1)="+",1,0))</f>
      </c>
      <c r="BE92">
        <f>IF($AN$92="",$BD$92,$BD$92+IF(MID($AN$92,MIN(IFERROR(FIND(",",$AN$92),99999),IFERROR(FIND("+",$AN$92),99999)),1)="+",1,0))</f>
      </c>
      <c r="BF92">
        <f>IF($AO$92="",$BE$92,$BE$92+IF(MID($AO$92,MIN(IFERROR(FIND(",",$AO$92),99999),IFERROR(FIND("+",$AO$92),99999)),1)="+",1,0))</f>
      </c>
      <c r="BG92">
        <f>IF($AP$92="",$BF$92,$BF$92+IF(MID($AP$92,MIN(IFERROR(FIND(",",$AP$92),99999),IFERROR(FIND("+",$AP$92),99999)),1)="+",1,0))</f>
      </c>
      <c r="BH92">
        <f>IF($AQ$92="",$BG$92,$BG$92+IF(MID($AQ$92,MIN(IFERROR(FIND(",",$AQ$92),99999),IFERROR(FIND("+",$AQ$92),99999)),1)="+",1,0))</f>
      </c>
      <c r="BI92">
        <f>IF($AS$92="",0,$BA$92)</f>
      </c>
      <c r="BJ92">
        <f>IF($AT$92="",0,$BB$92)</f>
      </c>
      <c r="BK92">
        <f>IF($AU$92="",0,$BC$92)</f>
      </c>
      <c r="BL92">
        <f>IF($AV$92="",0,$BD$92)</f>
      </c>
      <c r="BM92">
        <f>IF($AW$92="",0,$BE$92)</f>
      </c>
      <c r="BN92">
        <f>IF($AX$92="",0,$BF$92)</f>
      </c>
      <c r="BO92">
        <f>IF($AY$92="",0,$BG$92)</f>
      </c>
      <c r="BP92">
        <f>IF($AZ$92="",0,$BH$92)</f>
      </c>
    </row>
    <row r="93" spans="1:99" ht="15" customHeight="1" hidden="1">
      <c r="AK93">
        <f>SUBSTITUTE(SUBSTITUTE($AH$4,"&amp;","+"),"/",",")</f>
      </c>
      <c r="AL93">
        <f>IF(OR($AK$93="",MIN(IFERROR(FIND(",",$AK$93),99999),IFERROR(FIND("+",$AK$93),99999))=99999),"",MID($AK$93,MIN(IFERROR(FIND(",",$AK$93),99999),IFERROR(FIND("+",$AK$93),99999))+1,99999))</f>
      </c>
      <c r="AM93">
        <f>IF(OR($AL$93="",MIN(IFERROR(FIND(",",$AL$93),99999),IFERROR(FIND("+",$AL$93),99999))=99999),"",MID($AL$93,MIN(IFERROR(FIND(",",$AL$93),99999),IFERROR(FIND("+",$AL$93),99999))+1,99999))</f>
      </c>
      <c r="AN93">
        <f>IF(OR($AM$93="",MIN(IFERROR(FIND(",",$AM$93),99999),IFERROR(FIND("+",$AM$93),99999))=99999),"",MID($AM$93,MIN(IFERROR(FIND(",",$AM$93),99999),IFERROR(FIND("+",$AM$93),99999))+1,99999))</f>
      </c>
      <c r="AO93">
        <f>IF(OR($AN$93="",MIN(IFERROR(FIND(",",$AN$93),99999),IFERROR(FIND("+",$AN$93),99999))=99999),"",MID($AN$93,MIN(IFERROR(FIND(",",$AN$93),99999),IFERROR(FIND("+",$AN$93),99999))+1,99999))</f>
      </c>
      <c r="AP93">
        <f>IF(OR($AO$93="",MIN(IFERROR(FIND(",",$AO$93),99999),IFERROR(FIND("+",$AO$93),99999))=99999),"",MID($AO$93,MIN(IFERROR(FIND(",",$AO$93),99999),IFERROR(FIND("+",$AO$93),99999))+1,99999))</f>
      </c>
      <c r="AQ93">
        <f>IF(OR($AP$93="",MIN(IFERROR(FIND(",",$AP$93),99999),IFERROR(FIND("+",$AP$93),99999))=99999),"",MID($AP$93,MIN(IFERROR(FIND(",",$AP$93),99999),IFERROR(FIND("+",$AP$93),99999))+1,99999))</f>
      </c>
      <c r="AR93">
        <f>IF(OR($AQ$93="",MIN(IFERROR(FIND(",",$AQ$93),99999),IFERROR(FIND("+",$AQ$93),99999))=99999),"",MID($AQ$93,MIN(IFERROR(FIND(",",$AQ$93),99999),IFERROR(FIND("+",$AQ$93),99999))+1,99999))</f>
      </c>
      <c r="AS93">
        <f>IF($AK$93="","",IF(MIN(IFERROR(FIND(",",$AK$93),99999),IFERROR(FIND("+",$AK$93),99999))=99999,TRIM($AK$93),TRIM(LEFT($AK$93,MIN(IFERROR(FIND(",",$AK$93),99999),IFERROR(FIND("+",$AK$93),99999))-1))))</f>
      </c>
      <c r="AT93">
        <f>IF($AL$93="","",IF(MIN(IFERROR(FIND(",",$AL$93),99999),IFERROR(FIND("+",$AL$93),99999))=99999,TRIM($AL$93),TRIM(LEFT($AL$93,MIN(IFERROR(FIND(",",$AL$93),99999),IFERROR(FIND("+",$AL$93),99999))-1))))</f>
      </c>
      <c r="AU93">
        <f>IF($AM$93="","",IF(MIN(IFERROR(FIND(",",$AM$93),99999),IFERROR(FIND("+",$AM$93),99999))=99999,TRIM($AM$93),TRIM(LEFT($AM$93,MIN(IFERROR(FIND(",",$AM$93),99999),IFERROR(FIND("+",$AM$93),99999))-1))))</f>
      </c>
      <c r="AV93">
        <f>IF($AN$93="","",IF(MIN(IFERROR(FIND(",",$AN$93),99999),IFERROR(FIND("+",$AN$93),99999))=99999,TRIM($AN$93),TRIM(LEFT($AN$93,MIN(IFERROR(FIND(",",$AN$93),99999),IFERROR(FIND("+",$AN$93),99999))-1))))</f>
      </c>
      <c r="AW93">
        <f>IF($AO$93="","",IF(MIN(IFERROR(FIND(",",$AO$93),99999),IFERROR(FIND("+",$AO$93),99999))=99999,TRIM($AO$93),TRIM(LEFT($AO$93,MIN(IFERROR(FIND(",",$AO$93),99999),IFERROR(FIND("+",$AO$93),99999))-1))))</f>
      </c>
      <c r="AX93">
        <f>IF($AP$93="","",IF(MIN(IFERROR(FIND(",",$AP$93),99999),IFERROR(FIND("+",$AP$93),99999))=99999,TRIM($AP$93),TRIM(LEFT($AP$93,MIN(IFERROR(FIND(",",$AP$93),99999),IFERROR(FIND("+",$AP$93),99999))-1))))</f>
      </c>
      <c r="AY93">
        <f>IF($AQ$93="","",IF(MIN(IFERROR(FIND(",",$AQ$93),99999),IFERROR(FIND("+",$AQ$93),99999))=99999,TRIM($AQ$93),TRIM(LEFT($AQ$93,MIN(IFERROR(FIND(",",$AQ$93),99999),IFERROR(FIND("+",$AQ$93),99999))-1))))</f>
      </c>
      <c r="AZ93">
        <f>IF($AR$93="","",IF(MIN(IFERROR(FIND(",",$AR$93),99999),IFERROR(FIND("+",$AR$93),99999))=99999,TRIM($AR$93),TRIM(LEFT($AR$93,MIN(IFERROR(FIND(",",$AR$93),99999),IFERROR(FIND("+",$AR$93),99999))-1))))</f>
      </c>
      <c r="BA93">
        <f>IF($AK$93="",0,1)</f>
      </c>
      <c r="BB93">
        <f>IF($AK$93="",$BA$93,$BA$93+IF(MID($AK$93,MIN(IFERROR(FIND(",",$AK$93),99999),IFERROR(FIND("+",$AK$93),99999)),1)="+",1,0))</f>
      </c>
      <c r="BC93">
        <f>IF($AL$93="",$BB$93,$BB$93+IF(MID($AL$93,MIN(IFERROR(FIND(",",$AL$93),99999),IFERROR(FIND("+",$AL$93),99999)),1)="+",1,0))</f>
      </c>
      <c r="BD93">
        <f>IF($AM$93="",$BC$93,$BC$93+IF(MID($AM$93,MIN(IFERROR(FIND(",",$AM$93),99999),IFERROR(FIND("+",$AM$93),99999)),1)="+",1,0))</f>
      </c>
      <c r="BE93">
        <f>IF($AN$93="",$BD$93,$BD$93+IF(MID($AN$93,MIN(IFERROR(FIND(",",$AN$93),99999),IFERROR(FIND("+",$AN$93),99999)),1)="+",1,0))</f>
      </c>
      <c r="BF93">
        <f>IF($AO$93="",$BE$93,$BE$93+IF(MID($AO$93,MIN(IFERROR(FIND(",",$AO$93),99999),IFERROR(FIND("+",$AO$93),99999)),1)="+",1,0))</f>
      </c>
      <c r="BG93">
        <f>IF($AP$93="",$BF$93,$BF$93+IF(MID($AP$93,MIN(IFERROR(FIND(",",$AP$93),99999),IFERROR(FIND("+",$AP$93),99999)),1)="+",1,0))</f>
      </c>
      <c r="BH93">
        <f>IF($AQ$93="",$BG$93,$BG$93+IF(MID($AQ$93,MIN(IFERROR(FIND(",",$AQ$93),99999),IFERROR(FIND("+",$AQ$93),99999)),1)="+",1,0))</f>
      </c>
      <c r="BI93">
        <f>IF($AS$93="",0,$BA$93)</f>
      </c>
      <c r="BJ93">
        <f>IF($AT$93="",0,$BB$93)</f>
      </c>
      <c r="BK93">
        <f>IF($AU$93="",0,$BC$93)</f>
      </c>
      <c r="BL93">
        <f>IF($AV$93="",0,$BD$93)</f>
      </c>
      <c r="BM93">
        <f>IF($AW$93="",0,$BE$93)</f>
      </c>
      <c r="BN93">
        <f>IF($AX$93="",0,$BF$93)</f>
      </c>
      <c r="BO93">
        <f>IF($AY$93="",0,$BG$93)</f>
      </c>
      <c r="BP93">
        <f>IF($AZ$93="",0,$BH$93)</f>
      </c>
    </row>
    <row r="94" spans="1:99" ht="15" customHeight="1" hidden="1">
      <c r="AK94">
        <f>SUBSTITUTE(SUBSTITUTE($AI$4,"&amp;","+"),"/",",")</f>
      </c>
      <c r="AL94">
        <f>IF(OR($AK$94="",MIN(IFERROR(FIND(",",$AK$94),99999),IFERROR(FIND("+",$AK$94),99999))=99999),"",MID($AK$94,MIN(IFERROR(FIND(",",$AK$94),99999),IFERROR(FIND("+",$AK$94),99999))+1,99999))</f>
      </c>
      <c r="AM94">
        <f>IF(OR($AL$94="",MIN(IFERROR(FIND(",",$AL$94),99999),IFERROR(FIND("+",$AL$94),99999))=99999),"",MID($AL$94,MIN(IFERROR(FIND(",",$AL$94),99999),IFERROR(FIND("+",$AL$94),99999))+1,99999))</f>
      </c>
      <c r="AN94">
        <f>IF(OR($AM$94="",MIN(IFERROR(FIND(",",$AM$94),99999),IFERROR(FIND("+",$AM$94),99999))=99999),"",MID($AM$94,MIN(IFERROR(FIND(",",$AM$94),99999),IFERROR(FIND("+",$AM$94),99999))+1,99999))</f>
      </c>
      <c r="AO94">
        <f>IF(OR($AN$94="",MIN(IFERROR(FIND(",",$AN$94),99999),IFERROR(FIND("+",$AN$94),99999))=99999),"",MID($AN$94,MIN(IFERROR(FIND(",",$AN$94),99999),IFERROR(FIND("+",$AN$94),99999))+1,99999))</f>
      </c>
      <c r="AP94">
        <f>IF(OR($AO$94="",MIN(IFERROR(FIND(",",$AO$94),99999),IFERROR(FIND("+",$AO$94),99999))=99999),"",MID($AO$94,MIN(IFERROR(FIND(",",$AO$94),99999),IFERROR(FIND("+",$AO$94),99999))+1,99999))</f>
      </c>
      <c r="AQ94">
        <f>IF(OR($AP$94="",MIN(IFERROR(FIND(",",$AP$94),99999),IFERROR(FIND("+",$AP$94),99999))=99999),"",MID($AP$94,MIN(IFERROR(FIND(",",$AP$94),99999),IFERROR(FIND("+",$AP$94),99999))+1,99999))</f>
      </c>
      <c r="AR94">
        <f>IF(OR($AQ$94="",MIN(IFERROR(FIND(",",$AQ$94),99999),IFERROR(FIND("+",$AQ$94),99999))=99999),"",MID($AQ$94,MIN(IFERROR(FIND(",",$AQ$94),99999),IFERROR(FIND("+",$AQ$94),99999))+1,99999))</f>
      </c>
      <c r="AS94">
        <f>IF($AK$94="","",IF(MIN(IFERROR(FIND(",",$AK$94),99999),IFERROR(FIND("+",$AK$94),99999))=99999,TRIM($AK$94),TRIM(LEFT($AK$94,MIN(IFERROR(FIND(",",$AK$94),99999),IFERROR(FIND("+",$AK$94),99999))-1))))</f>
      </c>
      <c r="AT94">
        <f>IF($AL$94="","",IF(MIN(IFERROR(FIND(",",$AL$94),99999),IFERROR(FIND("+",$AL$94),99999))=99999,TRIM($AL$94),TRIM(LEFT($AL$94,MIN(IFERROR(FIND(",",$AL$94),99999),IFERROR(FIND("+",$AL$94),99999))-1))))</f>
      </c>
      <c r="AU94">
        <f>IF($AM$94="","",IF(MIN(IFERROR(FIND(",",$AM$94),99999),IFERROR(FIND("+",$AM$94),99999))=99999,TRIM($AM$94),TRIM(LEFT($AM$94,MIN(IFERROR(FIND(",",$AM$94),99999),IFERROR(FIND("+",$AM$94),99999))-1))))</f>
      </c>
      <c r="AV94">
        <f>IF($AN$94="","",IF(MIN(IFERROR(FIND(",",$AN$94),99999),IFERROR(FIND("+",$AN$94),99999))=99999,TRIM($AN$94),TRIM(LEFT($AN$94,MIN(IFERROR(FIND(",",$AN$94),99999),IFERROR(FIND("+",$AN$94),99999))-1))))</f>
      </c>
      <c r="AW94">
        <f>IF($AO$94="","",IF(MIN(IFERROR(FIND(",",$AO$94),99999),IFERROR(FIND("+",$AO$94),99999))=99999,TRIM($AO$94),TRIM(LEFT($AO$94,MIN(IFERROR(FIND(",",$AO$94),99999),IFERROR(FIND("+",$AO$94),99999))-1))))</f>
      </c>
      <c r="AX94">
        <f>IF($AP$94="","",IF(MIN(IFERROR(FIND(",",$AP$94),99999),IFERROR(FIND("+",$AP$94),99999))=99999,TRIM($AP$94),TRIM(LEFT($AP$94,MIN(IFERROR(FIND(",",$AP$94),99999),IFERROR(FIND("+",$AP$94),99999))-1))))</f>
      </c>
      <c r="AY94">
        <f>IF($AQ$94="","",IF(MIN(IFERROR(FIND(",",$AQ$94),99999),IFERROR(FIND("+",$AQ$94),99999))=99999,TRIM($AQ$94),TRIM(LEFT($AQ$94,MIN(IFERROR(FIND(",",$AQ$94),99999),IFERROR(FIND("+",$AQ$94),99999))-1))))</f>
      </c>
      <c r="AZ94">
        <f>IF($AR$94="","",IF(MIN(IFERROR(FIND(",",$AR$94),99999),IFERROR(FIND("+",$AR$94),99999))=99999,TRIM($AR$94),TRIM(LEFT($AR$94,MIN(IFERROR(FIND(",",$AR$94),99999),IFERROR(FIND("+",$AR$94),99999))-1))))</f>
      </c>
      <c r="BA94">
        <f>IF($AK$94="",0,1)</f>
      </c>
      <c r="BB94">
        <f>IF($AK$94="",$BA$94,$BA$94+IF(MID($AK$94,MIN(IFERROR(FIND(",",$AK$94),99999),IFERROR(FIND("+",$AK$94),99999)),1)="+",1,0))</f>
      </c>
      <c r="BC94">
        <f>IF($AL$94="",$BB$94,$BB$94+IF(MID($AL$94,MIN(IFERROR(FIND(",",$AL$94),99999),IFERROR(FIND("+",$AL$94),99999)),1)="+",1,0))</f>
      </c>
      <c r="BD94">
        <f>IF($AM$94="",$BC$94,$BC$94+IF(MID($AM$94,MIN(IFERROR(FIND(",",$AM$94),99999),IFERROR(FIND("+",$AM$94),99999)),1)="+",1,0))</f>
      </c>
      <c r="BE94">
        <f>IF($AN$94="",$BD$94,$BD$94+IF(MID($AN$94,MIN(IFERROR(FIND(",",$AN$94),99999),IFERROR(FIND("+",$AN$94),99999)),1)="+",1,0))</f>
      </c>
      <c r="BF94">
        <f>IF($AO$94="",$BE$94,$BE$94+IF(MID($AO$94,MIN(IFERROR(FIND(",",$AO$94),99999),IFERROR(FIND("+",$AO$94),99999)),1)="+",1,0))</f>
      </c>
      <c r="BG94">
        <f>IF($AP$94="",$BF$94,$BF$94+IF(MID($AP$94,MIN(IFERROR(FIND(",",$AP$94),99999),IFERROR(FIND("+",$AP$94),99999)),1)="+",1,0))</f>
      </c>
      <c r="BH94">
        <f>IF($AQ$94="",$BG$94,$BG$94+IF(MID($AQ$94,MIN(IFERROR(FIND(",",$AQ$94),99999),IFERROR(FIND("+",$AQ$94),99999)),1)="+",1,0))</f>
      </c>
      <c r="BI94">
        <f>IF($AS$94="",0,$BA$94)</f>
      </c>
      <c r="BJ94">
        <f>IF($AT$94="",0,$BB$94)</f>
      </c>
      <c r="BK94">
        <f>IF($AU$94="",0,$BC$94)</f>
      </c>
      <c r="BL94">
        <f>IF($AV$94="",0,$BD$94)</f>
      </c>
      <c r="BM94">
        <f>IF($AW$94="",0,$BE$94)</f>
      </c>
      <c r="BN94">
        <f>IF($AX$94="",0,$BF$94)</f>
      </c>
      <c r="BO94">
        <f>IF($AY$94="",0,$BG$94)</f>
      </c>
      <c r="BP94">
        <f>IF($AZ$94="",0,$BH$94)</f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+ or &amp; for ALL facets. Use * or ? wildcards. Use BLANK, (BLANK), EMPTY, or (EMPTY) for empty cells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