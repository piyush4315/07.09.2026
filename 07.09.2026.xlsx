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S.M.C\Downloads\"/>
    </mc:Choice>
  </mc:AlternateContent>
  <xr:revisionPtr revIDLastSave="0" documentId="13_ncr:1_{02D8CAA5-FA05-4AFF-A696-DFAD20822EA2}" xr6:coauthVersionLast="36" xr6:coauthVersionMax="36" xr10:uidLastSave="{00000000-0000-0000-0000-000000000000}"/>
  <bookViews>
    <workbookView xWindow="0" yWindow="0" windowWidth="28800" windowHeight="11385" tabRatio="500" activeTab="1" xr2:uid="{00000000-000D-0000-FFFF-FFFF00000000}"/>
  </bookViews>
  <sheets>
    <sheet name="Final Calculation Sheet" sheetId="1" r:id="rId1"/>
    <sheet name="Live Search" sheetId="2" r:id="rId2"/>
  </sheets>
  <definedNames>
    <definedName name="_xlnm._FilterDatabase" localSheetId="0" hidden="1">'Final Calculation Sheet'!$A$3:$AG$43</definedName>
    <definedName name="_xlnm.Print_Titles" localSheetId="1">'Live Search'!$4:$4</definedName>
  </definedNames>
  <calcPr calcId="191029" iterateDelta="1E-4"/>
</workbook>
</file>

<file path=xl/calcChain.xml><?xml version="1.0" encoding="utf-8"?>
<calcChain xmlns="http://schemas.openxmlformats.org/spreadsheetml/2006/main">
  <c r="AK41" i="2" l="1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K5" i="2"/>
  <c r="AQ4" i="2"/>
  <c r="AR4" i="2" s="1"/>
  <c r="N42" i="1"/>
  <c r="H42" i="1"/>
  <c r="M42" i="1" s="1"/>
  <c r="O42" i="1" s="1"/>
  <c r="AA41" i="1"/>
  <c r="H41" i="1"/>
  <c r="AC40" i="1"/>
  <c r="Z40" i="1"/>
  <c r="T40" i="1"/>
  <c r="R40" i="1"/>
  <c r="N40" i="1"/>
  <c r="M40" i="1"/>
  <c r="O40" i="1" s="1"/>
  <c r="L40" i="1"/>
  <c r="I40" i="1"/>
  <c r="AC39" i="1"/>
  <c r="Z39" i="1"/>
  <c r="W39" i="1"/>
  <c r="T39" i="1"/>
  <c r="S39" i="1"/>
  <c r="R39" i="1"/>
  <c r="N39" i="1"/>
  <c r="M39" i="1"/>
  <c r="L39" i="1"/>
  <c r="J39" i="1"/>
  <c r="I39" i="1"/>
  <c r="AC38" i="1"/>
  <c r="Z38" i="1"/>
  <c r="T38" i="1"/>
  <c r="R38" i="1"/>
  <c r="W38" i="1" s="1"/>
  <c r="O38" i="1"/>
  <c r="N38" i="1"/>
  <c r="M38" i="1"/>
  <c r="L38" i="1"/>
  <c r="K38" i="1"/>
  <c r="I38" i="1"/>
  <c r="Z37" i="1"/>
  <c r="T37" i="1"/>
  <c r="U37" i="1" s="1"/>
  <c r="R37" i="1"/>
  <c r="O37" i="1"/>
  <c r="N37" i="1"/>
  <c r="M37" i="1"/>
  <c r="L37" i="1"/>
  <c r="K37" i="1"/>
  <c r="I37" i="1"/>
  <c r="AC36" i="1"/>
  <c r="Z36" i="1"/>
  <c r="W36" i="1"/>
  <c r="T36" i="1"/>
  <c r="S36" i="1"/>
  <c r="AD36" i="1" s="1"/>
  <c r="R36" i="1"/>
  <c r="N36" i="1"/>
  <c r="M36" i="1"/>
  <c r="L36" i="1"/>
  <c r="K36" i="1"/>
  <c r="J36" i="1"/>
  <c r="I36" i="1"/>
  <c r="AC35" i="1"/>
  <c r="Z35" i="1"/>
  <c r="T35" i="1"/>
  <c r="R35" i="1"/>
  <c r="N35" i="1"/>
  <c r="M35" i="1"/>
  <c r="O35" i="1" s="1"/>
  <c r="L35" i="1"/>
  <c r="I35" i="1"/>
  <c r="K35" i="1" s="1"/>
  <c r="AC34" i="1"/>
  <c r="Z34" i="1"/>
  <c r="W34" i="1"/>
  <c r="T34" i="1"/>
  <c r="S34" i="1"/>
  <c r="R34" i="1"/>
  <c r="N34" i="1"/>
  <c r="M34" i="1"/>
  <c r="L34" i="1"/>
  <c r="J34" i="1"/>
  <c r="I34" i="1"/>
  <c r="Z33" i="1"/>
  <c r="U33" i="1"/>
  <c r="T33" i="1"/>
  <c r="S33" i="1"/>
  <c r="R33" i="1"/>
  <c r="N33" i="1"/>
  <c r="M33" i="1"/>
  <c r="L33" i="1"/>
  <c r="J33" i="1"/>
  <c r="I33" i="1"/>
  <c r="Z32" i="1"/>
  <c r="U32" i="1"/>
  <c r="T32" i="1"/>
  <c r="S32" i="1"/>
  <c r="R32" i="1"/>
  <c r="N32" i="1"/>
  <c r="M32" i="1"/>
  <c r="L32" i="1"/>
  <c r="J32" i="1"/>
  <c r="I32" i="1"/>
  <c r="AC31" i="1"/>
  <c r="Z31" i="1"/>
  <c r="T31" i="1"/>
  <c r="R31" i="1"/>
  <c r="W31" i="1" s="1"/>
  <c r="O31" i="1"/>
  <c r="N31" i="1"/>
  <c r="M31" i="1"/>
  <c r="L31" i="1"/>
  <c r="K31" i="1"/>
  <c r="I31" i="1"/>
  <c r="Z30" i="1"/>
  <c r="T30" i="1"/>
  <c r="U30" i="1" s="1"/>
  <c r="R30" i="1"/>
  <c r="O30" i="1"/>
  <c r="N30" i="1"/>
  <c r="M30" i="1"/>
  <c r="L30" i="1"/>
  <c r="K30" i="1"/>
  <c r="I30" i="1"/>
  <c r="AC29" i="1"/>
  <c r="Z29" i="1"/>
  <c r="W29" i="1"/>
  <c r="T29" i="1"/>
  <c r="S29" i="1"/>
  <c r="R29" i="1"/>
  <c r="N29" i="1"/>
  <c r="O29" i="1" s="1"/>
  <c r="M29" i="1"/>
  <c r="L29" i="1"/>
  <c r="K29" i="1"/>
  <c r="J29" i="1"/>
  <c r="I29" i="1"/>
  <c r="AC28" i="1"/>
  <c r="Z28" i="1"/>
  <c r="T28" i="1"/>
  <c r="R28" i="1"/>
  <c r="N28" i="1"/>
  <c r="M28" i="1"/>
  <c r="L28" i="1"/>
  <c r="I28" i="1"/>
  <c r="J28" i="1" s="1"/>
  <c r="AC27" i="1"/>
  <c r="Z27" i="1"/>
  <c r="W27" i="1"/>
  <c r="T27" i="1"/>
  <c r="S27" i="1"/>
  <c r="R27" i="1"/>
  <c r="N27" i="1"/>
  <c r="M27" i="1"/>
  <c r="L27" i="1"/>
  <c r="J27" i="1"/>
  <c r="I27" i="1"/>
  <c r="Z26" i="1"/>
  <c r="U26" i="1"/>
  <c r="T26" i="1"/>
  <c r="S26" i="1"/>
  <c r="R26" i="1"/>
  <c r="N26" i="1"/>
  <c r="M26" i="1"/>
  <c r="L26" i="1"/>
  <c r="J26" i="1"/>
  <c r="I26" i="1"/>
  <c r="AC25" i="1"/>
  <c r="Z25" i="1"/>
  <c r="T25" i="1"/>
  <c r="R25" i="1"/>
  <c r="W25" i="1" s="1"/>
  <c r="O25" i="1"/>
  <c r="P25" i="1" s="1"/>
  <c r="N25" i="1"/>
  <c r="M25" i="1"/>
  <c r="L25" i="1"/>
  <c r="K25" i="1"/>
  <c r="I25" i="1"/>
  <c r="Z24" i="1"/>
  <c r="T24" i="1"/>
  <c r="U24" i="1" s="1"/>
  <c r="R24" i="1"/>
  <c r="O24" i="1"/>
  <c r="P24" i="1" s="1"/>
  <c r="N24" i="1"/>
  <c r="M24" i="1"/>
  <c r="L24" i="1"/>
  <c r="K24" i="1"/>
  <c r="I24" i="1"/>
  <c r="AC23" i="1"/>
  <c r="Z23" i="1"/>
  <c r="W23" i="1"/>
  <c r="T23" i="1"/>
  <c r="S23" i="1"/>
  <c r="AD23" i="1" s="1"/>
  <c r="R23" i="1"/>
  <c r="N23" i="1"/>
  <c r="M23" i="1"/>
  <c r="L23" i="1"/>
  <c r="K23" i="1"/>
  <c r="J23" i="1"/>
  <c r="I23" i="1"/>
  <c r="Z22" i="1"/>
  <c r="U22" i="1"/>
  <c r="AC22" i="1" s="1"/>
  <c r="T22" i="1"/>
  <c r="S22" i="1"/>
  <c r="R22" i="1"/>
  <c r="N22" i="1"/>
  <c r="O22" i="1" s="1"/>
  <c r="M22" i="1"/>
  <c r="L22" i="1"/>
  <c r="K22" i="1"/>
  <c r="J22" i="1"/>
  <c r="I22" i="1"/>
  <c r="Z21" i="1"/>
  <c r="U21" i="1"/>
  <c r="AC21" i="1" s="1"/>
  <c r="T21" i="1"/>
  <c r="S21" i="1"/>
  <c r="AD21" i="1" s="1"/>
  <c r="R21" i="1"/>
  <c r="N21" i="1"/>
  <c r="O21" i="1" s="1"/>
  <c r="M21" i="1"/>
  <c r="L21" i="1"/>
  <c r="K21" i="1"/>
  <c r="J21" i="1"/>
  <c r="I21" i="1"/>
  <c r="AC20" i="1"/>
  <c r="Z20" i="1"/>
  <c r="T20" i="1"/>
  <c r="R20" i="1"/>
  <c r="N20" i="1"/>
  <c r="M20" i="1"/>
  <c r="L20" i="1"/>
  <c r="I20" i="1"/>
  <c r="Z19" i="1"/>
  <c r="T19" i="1"/>
  <c r="R19" i="1"/>
  <c r="N19" i="1"/>
  <c r="M19" i="1"/>
  <c r="L19" i="1"/>
  <c r="I19" i="1"/>
  <c r="Z18" i="1"/>
  <c r="T18" i="1"/>
  <c r="R18" i="1"/>
  <c r="S18" i="1" s="1"/>
  <c r="N18" i="1"/>
  <c r="M18" i="1"/>
  <c r="O18" i="1" s="1"/>
  <c r="L18" i="1"/>
  <c r="I18" i="1"/>
  <c r="Z17" i="1"/>
  <c r="T17" i="1"/>
  <c r="R17" i="1"/>
  <c r="S17" i="1" s="1"/>
  <c r="N17" i="1"/>
  <c r="M17" i="1"/>
  <c r="L17" i="1"/>
  <c r="I17" i="1"/>
  <c r="AC16" i="1"/>
  <c r="Z16" i="1"/>
  <c r="W16" i="1"/>
  <c r="T16" i="1"/>
  <c r="S16" i="1"/>
  <c r="R16" i="1"/>
  <c r="N16" i="1"/>
  <c r="M16" i="1"/>
  <c r="L16" i="1"/>
  <c r="J16" i="1"/>
  <c r="I16" i="1"/>
  <c r="AC15" i="1"/>
  <c r="Z15" i="1"/>
  <c r="T15" i="1"/>
  <c r="R15" i="1"/>
  <c r="W15" i="1" s="1"/>
  <c r="O15" i="1"/>
  <c r="N15" i="1"/>
  <c r="M15" i="1"/>
  <c r="L15" i="1"/>
  <c r="K15" i="1"/>
  <c r="I15" i="1"/>
  <c r="Z14" i="1"/>
  <c r="T14" i="1"/>
  <c r="R14" i="1"/>
  <c r="O14" i="1"/>
  <c r="N14" i="1"/>
  <c r="M14" i="1"/>
  <c r="L14" i="1"/>
  <c r="K14" i="1"/>
  <c r="I14" i="1"/>
  <c r="AC13" i="1"/>
  <c r="Z13" i="1"/>
  <c r="W13" i="1"/>
  <c r="T13" i="1"/>
  <c r="S13" i="1"/>
  <c r="R13" i="1"/>
  <c r="N13" i="1"/>
  <c r="M13" i="1"/>
  <c r="L13" i="1"/>
  <c r="K13" i="1"/>
  <c r="J13" i="1"/>
  <c r="I13" i="1"/>
  <c r="Z12" i="1"/>
  <c r="U12" i="1"/>
  <c r="AC12" i="1" s="1"/>
  <c r="T12" i="1"/>
  <c r="S12" i="1"/>
  <c r="R12" i="1"/>
  <c r="N12" i="1"/>
  <c r="M12" i="1"/>
  <c r="L12" i="1"/>
  <c r="K12" i="1"/>
  <c r="J12" i="1"/>
  <c r="I12" i="1"/>
  <c r="Z11" i="1"/>
  <c r="U11" i="1"/>
  <c r="AC11" i="1" s="1"/>
  <c r="T11" i="1"/>
  <c r="S11" i="1"/>
  <c r="R11" i="1"/>
  <c r="N11" i="1"/>
  <c r="M11" i="1"/>
  <c r="L11" i="1"/>
  <c r="K11" i="1"/>
  <c r="J11" i="1"/>
  <c r="I11" i="1"/>
  <c r="Z10" i="1"/>
  <c r="U10" i="1"/>
  <c r="AC10" i="1" s="1"/>
  <c r="T10" i="1"/>
  <c r="S10" i="1"/>
  <c r="R10" i="1"/>
  <c r="N10" i="1"/>
  <c r="M10" i="1"/>
  <c r="L10" i="1"/>
  <c r="K10" i="1"/>
  <c r="J10" i="1"/>
  <c r="I10" i="1"/>
  <c r="Z9" i="1"/>
  <c r="U9" i="1"/>
  <c r="AC9" i="1" s="1"/>
  <c r="T9" i="1"/>
  <c r="S9" i="1"/>
  <c r="R9" i="1"/>
  <c r="N9" i="1"/>
  <c r="M9" i="1"/>
  <c r="L9" i="1"/>
  <c r="K9" i="1"/>
  <c r="J9" i="1"/>
  <c r="I9" i="1"/>
  <c r="Z8" i="1"/>
  <c r="U8" i="1"/>
  <c r="AC8" i="1" s="1"/>
  <c r="T8" i="1"/>
  <c r="S8" i="1"/>
  <c r="R8" i="1"/>
  <c r="N8" i="1"/>
  <c r="M8" i="1"/>
  <c r="L8" i="1"/>
  <c r="K8" i="1"/>
  <c r="J8" i="1"/>
  <c r="I8" i="1"/>
  <c r="Z7" i="1"/>
  <c r="W7" i="1"/>
  <c r="T7" i="1"/>
  <c r="S7" i="1"/>
  <c r="R7" i="1"/>
  <c r="N7" i="1"/>
  <c r="M7" i="1"/>
  <c r="L7" i="1"/>
  <c r="K7" i="1"/>
  <c r="J7" i="1"/>
  <c r="I7" i="1"/>
  <c r="Z6" i="1"/>
  <c r="W6" i="1"/>
  <c r="T6" i="1"/>
  <c r="S6" i="1"/>
  <c r="R6" i="1"/>
  <c r="N6" i="1"/>
  <c r="M6" i="1"/>
  <c r="L6" i="1"/>
  <c r="K6" i="1"/>
  <c r="J6" i="1"/>
  <c r="I6" i="1"/>
  <c r="Z5" i="1"/>
  <c r="U5" i="1"/>
  <c r="AC5" i="1" s="1"/>
  <c r="T5" i="1"/>
  <c r="S5" i="1"/>
  <c r="R5" i="1"/>
  <c r="N5" i="1"/>
  <c r="M5" i="1"/>
  <c r="L5" i="1"/>
  <c r="K5" i="1"/>
  <c r="J5" i="1"/>
  <c r="I5" i="1"/>
  <c r="AC4" i="1"/>
  <c r="Z4" i="1"/>
  <c r="T4" i="1"/>
  <c r="R4" i="1"/>
  <c r="N4" i="1"/>
  <c r="M4" i="1"/>
  <c r="L4" i="1"/>
  <c r="I4" i="1"/>
  <c r="AD5" i="1" l="1"/>
  <c r="O7" i="1"/>
  <c r="K4" i="1"/>
  <c r="I41" i="1"/>
  <c r="J4" i="1"/>
  <c r="W4" i="1"/>
  <c r="R41" i="1"/>
  <c r="S4" i="1"/>
  <c r="O6" i="1"/>
  <c r="AD12" i="1"/>
  <c r="O9" i="1"/>
  <c r="AD11" i="1"/>
  <c r="P18" i="1"/>
  <c r="AD9" i="1"/>
  <c r="O11" i="1"/>
  <c r="AD13" i="1"/>
  <c r="U14" i="1"/>
  <c r="P15" i="1"/>
  <c r="P35" i="1"/>
  <c r="AD8" i="1"/>
  <c r="O10" i="1"/>
  <c r="P29" i="1"/>
  <c r="AC37" i="1"/>
  <c r="T41" i="1"/>
  <c r="O5" i="1"/>
  <c r="O13" i="1"/>
  <c r="P14" i="1"/>
  <c r="P22" i="1"/>
  <c r="P40" i="1"/>
  <c r="O4" i="1"/>
  <c r="M41" i="1"/>
  <c r="Z41" i="1"/>
  <c r="O8" i="1"/>
  <c r="AD10" i="1"/>
  <c r="O12" i="1"/>
  <c r="P21" i="1"/>
  <c r="AC24" i="1"/>
  <c r="AC30" i="1"/>
  <c r="W19" i="1"/>
  <c r="J17" i="1"/>
  <c r="J18" i="1"/>
  <c r="J19" i="1"/>
  <c r="S19" i="1"/>
  <c r="J20" i="1"/>
  <c r="S20" i="1"/>
  <c r="O23" i="1"/>
  <c r="W26" i="1"/>
  <c r="S28" i="1"/>
  <c r="AD29" i="1"/>
  <c r="P30" i="1"/>
  <c r="P31" i="1"/>
  <c r="W32" i="1"/>
  <c r="W33" i="1"/>
  <c r="J35" i="1"/>
  <c r="S35" i="1"/>
  <c r="O36" i="1"/>
  <c r="P37" i="1"/>
  <c r="P38" i="1"/>
  <c r="J40" i="1"/>
  <c r="S40" i="1"/>
  <c r="N41" i="1"/>
  <c r="K18" i="1"/>
  <c r="K20" i="1"/>
  <c r="O20" i="1"/>
  <c r="W37" i="1"/>
  <c r="K40" i="1"/>
  <c r="W18" i="1"/>
  <c r="W14" i="1"/>
  <c r="K17" i="1"/>
  <c r="O17" i="1"/>
  <c r="K19" i="1"/>
  <c r="O19" i="1"/>
  <c r="AD22" i="1"/>
  <c r="W24" i="1"/>
  <c r="K28" i="1"/>
  <c r="O28" i="1"/>
  <c r="W30" i="1"/>
  <c r="L42" i="1"/>
  <c r="P42" i="1" s="1"/>
  <c r="AR5" i="2"/>
  <c r="AS4" i="2" s="1"/>
  <c r="W5" i="1"/>
  <c r="X6" i="1"/>
  <c r="X7" i="1"/>
  <c r="W8" i="1"/>
  <c r="W9" i="1"/>
  <c r="W10" i="1"/>
  <c r="W11" i="1"/>
  <c r="W12" i="1"/>
  <c r="J14" i="1"/>
  <c r="S14" i="1"/>
  <c r="J15" i="1"/>
  <c r="S15" i="1"/>
  <c r="K16" i="1"/>
  <c r="O16" i="1"/>
  <c r="AD16" i="1"/>
  <c r="W17" i="1"/>
  <c r="U18" i="1"/>
  <c r="U19" i="1"/>
  <c r="W20" i="1"/>
  <c r="W21" i="1"/>
  <c r="W22" i="1"/>
  <c r="J24" i="1"/>
  <c r="S24" i="1"/>
  <c r="J25" i="1"/>
  <c r="S25" i="1"/>
  <c r="K26" i="1"/>
  <c r="O26" i="1"/>
  <c r="AC26" i="1"/>
  <c r="K27" i="1"/>
  <c r="O27" i="1"/>
  <c r="AD27" i="1"/>
  <c r="W28" i="1"/>
  <c r="J30" i="1"/>
  <c r="S30" i="1"/>
  <c r="J31" i="1"/>
  <c r="S31" i="1"/>
  <c r="K32" i="1"/>
  <c r="O32" i="1"/>
  <c r="AC32" i="1"/>
  <c r="K33" i="1"/>
  <c r="O33" i="1"/>
  <c r="AC33" i="1"/>
  <c r="K34" i="1"/>
  <c r="O34" i="1"/>
  <c r="AD34" i="1"/>
  <c r="W35" i="1"/>
  <c r="J37" i="1"/>
  <c r="S37" i="1"/>
  <c r="J38" i="1"/>
  <c r="S38" i="1"/>
  <c r="K39" i="1"/>
  <c r="O39" i="1"/>
  <c r="AD39" i="1"/>
  <c r="W40" i="1"/>
  <c r="L41" i="1"/>
  <c r="U41" i="1"/>
  <c r="I42" i="1"/>
  <c r="J42" i="1" s="1"/>
  <c r="AR6" i="2" l="1"/>
  <c r="AR9" i="2" s="1"/>
  <c r="AR7" i="2"/>
  <c r="AS8" i="2" s="1"/>
  <c r="AS5" i="2"/>
  <c r="AT4" i="2" s="1"/>
  <c r="AS7" i="2"/>
  <c r="P32" i="1"/>
  <c r="AD30" i="1"/>
  <c r="P27" i="1"/>
  <c r="K42" i="1"/>
  <c r="AD40" i="1"/>
  <c r="P36" i="1"/>
  <c r="P23" i="1"/>
  <c r="P12" i="1"/>
  <c r="P13" i="1"/>
  <c r="AC14" i="1"/>
  <c r="W41" i="1"/>
  <c r="J41" i="1"/>
  <c r="AD25" i="1"/>
  <c r="P39" i="1"/>
  <c r="P26" i="1"/>
  <c r="AC7" i="1"/>
  <c r="P20" i="1"/>
  <c r="AD35" i="1"/>
  <c r="P4" i="1"/>
  <c r="O41" i="1"/>
  <c r="P10" i="1"/>
  <c r="AD24" i="1"/>
  <c r="AD37" i="1"/>
  <c r="AD33" i="1"/>
  <c r="AD32" i="1"/>
  <c r="X17" i="1"/>
  <c r="AD26" i="1"/>
  <c r="AC18" i="1"/>
  <c r="AD15" i="1"/>
  <c r="P19" i="1"/>
  <c r="P17" i="1"/>
  <c r="AD28" i="1"/>
  <c r="P8" i="1"/>
  <c r="P11" i="1"/>
  <c r="AD4" i="1"/>
  <c r="S41" i="1"/>
  <c r="K41" i="1"/>
  <c r="AD38" i="1"/>
  <c r="P34" i="1"/>
  <c r="P33" i="1"/>
  <c r="AD31" i="1"/>
  <c r="AC19" i="1"/>
  <c r="AD19" i="1" s="1"/>
  <c r="P16" i="1"/>
  <c r="X41" i="1"/>
  <c r="AC6" i="1"/>
  <c r="P28" i="1"/>
  <c r="AD20" i="1"/>
  <c r="P5" i="1"/>
  <c r="U42" i="1"/>
  <c r="P9" i="1"/>
  <c r="P6" i="1"/>
  <c r="R42" i="1"/>
  <c r="S42" i="1" s="1"/>
  <c r="P7" i="1"/>
  <c r="AT8" i="2" l="1"/>
  <c r="AS6" i="2"/>
  <c r="AS9" i="2" s="1"/>
  <c r="AT5" i="2"/>
  <c r="AU4" i="2" s="1"/>
  <c r="AD18" i="1"/>
  <c r="P41" i="1"/>
  <c r="AD7" i="1"/>
  <c r="X42" i="1"/>
  <c r="AD6" i="1"/>
  <c r="AD14" i="1"/>
  <c r="AC17" i="1"/>
  <c r="AT6" i="2" l="1"/>
  <c r="AT9" i="2" s="1"/>
  <c r="AT7" i="2"/>
  <c r="AU8" i="2" s="1"/>
  <c r="AU5" i="2"/>
  <c r="AV4" i="2" s="1"/>
  <c r="AD17" i="1"/>
  <c r="AC41" i="1"/>
  <c r="AU7" i="2" l="1"/>
  <c r="AV8" i="2" s="1"/>
  <c r="AU6" i="2"/>
  <c r="AU9" i="2" s="1"/>
  <c r="AV7" i="2"/>
  <c r="AW8" i="2" s="1"/>
  <c r="AV6" i="2"/>
  <c r="AV9" i="2" s="1"/>
  <c r="AV5" i="2"/>
  <c r="AW4" i="2" s="1"/>
  <c r="AD41" i="1"/>
  <c r="AW5" i="2" l="1"/>
  <c r="AW7" i="2"/>
  <c r="AX8" i="2" s="1"/>
  <c r="AW6" i="2"/>
  <c r="AW9" i="2" s="1"/>
  <c r="AX4" i="2"/>
  <c r="AX5" i="2" l="1"/>
  <c r="AY4" i="2" s="1"/>
  <c r="AX7" i="2"/>
  <c r="AY8" i="2" s="1"/>
  <c r="AX6" i="2"/>
  <c r="AX9" i="2" s="1"/>
  <c r="AY7" i="2" l="1"/>
  <c r="AY6" i="2"/>
  <c r="AY9" i="2" s="1"/>
  <c r="AY5" i="2"/>
  <c r="AM27" i="2" l="1"/>
  <c r="AZ27" i="2" s="1"/>
  <c r="AM39" i="2"/>
  <c r="AZ39" i="2" s="1"/>
  <c r="AM17" i="2"/>
  <c r="AZ17" i="2" s="1"/>
  <c r="AM22" i="2"/>
  <c r="AZ22" i="2" s="1"/>
  <c r="AM26" i="2"/>
  <c r="AZ26" i="2" s="1"/>
  <c r="AM6" i="2"/>
  <c r="AZ6" i="2" s="1"/>
  <c r="AM41" i="2"/>
  <c r="AZ41" i="2" s="1"/>
  <c r="AM25" i="2"/>
  <c r="AZ25" i="2" s="1"/>
  <c r="AM34" i="2"/>
  <c r="AZ34" i="2" s="1"/>
  <c r="AM13" i="2"/>
  <c r="AZ13" i="2" s="1"/>
  <c r="AM20" i="2"/>
  <c r="AZ20" i="2" s="1"/>
  <c r="AM5" i="2"/>
  <c r="AM30" i="2"/>
  <c r="AZ30" i="2" s="1"/>
  <c r="AM8" i="2"/>
  <c r="AZ8" i="2" s="1"/>
  <c r="AM7" i="2"/>
  <c r="AZ7" i="2" s="1"/>
  <c r="AM18" i="2"/>
  <c r="AZ18" i="2" s="1"/>
  <c r="AM28" i="2"/>
  <c r="AZ28" i="2" s="1"/>
  <c r="AM32" i="2"/>
  <c r="AZ32" i="2" s="1"/>
  <c r="AM40" i="2"/>
  <c r="AZ40" i="2" s="1"/>
  <c r="AM16" i="2"/>
  <c r="AZ16" i="2" s="1"/>
  <c r="AM37" i="2"/>
  <c r="AZ37" i="2" s="1"/>
  <c r="AM33" i="2"/>
  <c r="AZ33" i="2" s="1"/>
  <c r="AM9" i="2"/>
  <c r="AZ9" i="2" s="1"/>
  <c r="AM11" i="2"/>
  <c r="AZ11" i="2" s="1"/>
  <c r="AM19" i="2"/>
  <c r="AZ19" i="2" s="1"/>
  <c r="AM23" i="2"/>
  <c r="AZ23" i="2" s="1"/>
  <c r="AM10" i="2"/>
  <c r="AZ10" i="2" s="1"/>
  <c r="AM12" i="2"/>
  <c r="AZ12" i="2" s="1"/>
  <c r="AM38" i="2"/>
  <c r="AZ38" i="2" s="1"/>
  <c r="AM29" i="2"/>
  <c r="AZ29" i="2" s="1"/>
  <c r="AM35" i="2"/>
  <c r="AZ35" i="2" s="1"/>
  <c r="AM21" i="2"/>
  <c r="AZ21" i="2" s="1"/>
  <c r="AM14" i="2"/>
  <c r="AZ14" i="2" s="1"/>
  <c r="AM36" i="2"/>
  <c r="AZ36" i="2" s="1"/>
  <c r="AM24" i="2"/>
  <c r="AZ24" i="2" s="1"/>
  <c r="AM15" i="2"/>
  <c r="AZ15" i="2" s="1"/>
  <c r="AM31" i="2"/>
  <c r="AZ31" i="2" s="1"/>
  <c r="H3" i="2" l="1"/>
  <c r="AZ5" i="2"/>
  <c r="BA12" i="2" s="1"/>
  <c r="I3" i="2"/>
  <c r="BA10" i="2"/>
  <c r="BA11" i="2"/>
  <c r="BA18" i="2"/>
  <c r="BA8" i="2"/>
  <c r="BA13" i="2"/>
  <c r="BA14" i="2"/>
  <c r="BA30" i="2"/>
  <c r="BA26" i="2"/>
  <c r="BA9" i="2" l="1"/>
  <c r="BA5" i="2"/>
  <c r="BA7" i="2"/>
  <c r="BA6" i="2"/>
  <c r="BA15" i="2"/>
  <c r="BA27" i="2"/>
  <c r="BD5" i="2"/>
  <c r="BD11" i="2"/>
  <c r="BF11" i="2" s="1"/>
  <c r="BA20" i="2"/>
  <c r="BA33" i="2"/>
  <c r="BA41" i="2"/>
  <c r="BA38" i="2"/>
  <c r="BA17" i="2"/>
  <c r="BA34" i="2"/>
  <c r="BA25" i="2"/>
  <c r="BD10" i="2"/>
  <c r="BF10" i="2" s="1"/>
  <c r="BA32" i="2"/>
  <c r="BD7" i="2"/>
  <c r="BF7" i="2" s="1"/>
  <c r="BD6" i="2"/>
  <c r="BA36" i="2"/>
  <c r="BD8" i="2"/>
  <c r="BF8" i="2" s="1"/>
  <c r="BD12" i="2"/>
  <c r="BA24" i="2"/>
  <c r="BA35" i="2"/>
  <c r="BA21" i="2"/>
  <c r="BA40" i="2"/>
  <c r="BD9" i="2"/>
  <c r="BF9" i="2" s="1"/>
  <c r="BD13" i="2"/>
  <c r="BA28" i="2"/>
  <c r="BA37" i="2"/>
  <c r="BA23" i="2"/>
  <c r="BD4" i="2"/>
  <c r="BA19" i="2"/>
  <c r="BA16" i="2"/>
  <c r="BA39" i="2"/>
  <c r="BA31" i="2"/>
  <c r="BA29" i="2"/>
  <c r="BA22" i="2"/>
  <c r="BF4" i="2" l="1"/>
  <c r="BE5" i="2" s="1"/>
  <c r="BF5" i="2" s="1"/>
  <c r="BE6" i="2" s="1"/>
  <c r="BF6" i="2" l="1"/>
  <c r="BE7" i="2" s="1"/>
  <c r="BE8" i="2" s="1"/>
  <c r="BE9" i="2" s="1"/>
  <c r="BE10" i="2" s="1"/>
  <c r="BE11" i="2" s="1"/>
  <c r="BE12" i="2" s="1"/>
  <c r="BF12" i="2" s="1"/>
  <c r="BG4" i="2" l="1"/>
  <c r="BL53" i="2" s="1"/>
  <c r="BL52" i="2"/>
  <c r="BL48" i="2"/>
  <c r="BL24" i="2"/>
  <c r="BL17" i="2"/>
  <c r="BL25" i="2"/>
  <c r="BL33" i="2"/>
  <c r="BL18" i="2"/>
  <c r="BL5" i="2"/>
  <c r="BL29" i="2"/>
  <c r="BL43" i="2"/>
  <c r="BL8" i="2"/>
  <c r="BL14" i="2"/>
  <c r="BL13" i="2"/>
  <c r="BL34" i="2"/>
  <c r="BL46" i="2"/>
  <c r="BL16" i="2"/>
  <c r="BL11" i="2"/>
  <c r="BL26" i="2"/>
  <c r="BL37" i="2"/>
  <c r="BL38" i="2"/>
  <c r="BL51" i="2"/>
  <c r="BL47" i="2"/>
  <c r="BL20" i="2"/>
  <c r="BL12" i="2"/>
  <c r="BL31" i="2"/>
  <c r="BL15" i="2" l="1"/>
  <c r="BL39" i="2"/>
  <c r="BL30" i="2"/>
  <c r="BL35" i="2"/>
  <c r="BL40" i="2"/>
  <c r="BL32" i="2"/>
  <c r="BL6" i="2"/>
  <c r="BL10" i="2"/>
  <c r="BL42" i="2"/>
  <c r="BL19" i="2"/>
  <c r="BL22" i="2"/>
  <c r="BL23" i="2"/>
  <c r="BL44" i="2"/>
  <c r="BL7" i="2"/>
  <c r="BL50" i="2"/>
  <c r="BL36" i="2"/>
  <c r="BE13" i="2"/>
  <c r="BL27" i="2"/>
  <c r="BL28" i="2"/>
  <c r="BL9" i="2"/>
  <c r="BL41" i="2"/>
  <c r="BL45" i="2"/>
  <c r="BL21" i="2"/>
  <c r="BL49" i="2"/>
  <c r="BF13" i="2"/>
  <c r="BB8" i="2" l="1"/>
  <c r="BH6" i="2"/>
  <c r="BB16" i="2"/>
  <c r="BB24" i="2"/>
  <c r="BB20" i="2"/>
  <c r="BB25" i="2"/>
  <c r="BB33" i="2"/>
  <c r="BB26" i="2"/>
  <c r="BB22" i="2"/>
  <c r="BB35" i="2"/>
  <c r="BB9" i="2"/>
  <c r="BB41" i="2"/>
  <c r="BB11" i="2"/>
  <c r="BB36" i="2"/>
  <c r="BB32" i="2"/>
  <c r="BB13" i="2"/>
  <c r="BB31" i="2"/>
  <c r="BB19" i="2"/>
  <c r="BB30" i="2"/>
  <c r="BB27" i="2"/>
  <c r="BB29" i="2"/>
  <c r="BB37" i="2"/>
  <c r="BB34" i="2"/>
  <c r="BB12" i="2"/>
  <c r="BB10" i="2"/>
  <c r="BB7" i="2"/>
  <c r="BB21" i="2"/>
  <c r="BB18" i="2"/>
  <c r="BB23" i="2"/>
  <c r="BB39" i="2"/>
  <c r="BB14" i="2"/>
  <c r="BB28" i="2"/>
  <c r="BB40" i="2"/>
  <c r="BB17" i="2"/>
  <c r="BB6" i="2"/>
  <c r="BB15" i="2"/>
  <c r="BB38" i="2"/>
  <c r="BB5" i="2"/>
  <c r="BH41" i="2"/>
  <c r="BH27" i="2"/>
  <c r="BH13" i="2"/>
  <c r="BH33" i="2"/>
  <c r="BH32" i="2"/>
  <c r="BH29" i="2"/>
  <c r="BH40" i="2"/>
  <c r="BH23" i="2"/>
  <c r="BH10" i="2"/>
  <c r="BH18" i="2"/>
  <c r="BH39" i="2"/>
  <c r="BH46" i="2"/>
  <c r="BH49" i="2"/>
  <c r="BH26" i="2"/>
  <c r="BH36" i="2"/>
  <c r="BH31" i="2"/>
  <c r="BH21" i="2"/>
  <c r="BH17" i="2"/>
  <c r="BH14" i="2"/>
  <c r="BH45" i="2"/>
  <c r="BH37" i="2"/>
  <c r="BH7" i="2"/>
  <c r="BH38" i="2"/>
  <c r="BH30" i="2"/>
  <c r="BH35" i="2"/>
  <c r="BH19" i="2"/>
  <c r="BH42" i="2"/>
  <c r="BH34" i="2"/>
  <c r="BH28" i="2"/>
  <c r="BH12" i="2"/>
  <c r="BH51" i="2"/>
  <c r="BH53" i="2"/>
  <c r="BH16" i="2"/>
  <c r="BH52" i="2"/>
  <c r="BH24" i="2"/>
  <c r="BH11" i="2"/>
  <c r="BH43" i="2"/>
  <c r="BH9" i="2"/>
  <c r="BH15" i="2"/>
  <c r="BH8" i="2"/>
  <c r="BH25" i="2"/>
  <c r="BH5" i="2"/>
  <c r="BH48" i="2"/>
  <c r="BH22" i="2"/>
  <c r="BH50" i="2"/>
  <c r="BH20" i="2"/>
  <c r="BH44" i="2"/>
  <c r="BH47" i="2"/>
  <c r="BG5" i="2"/>
  <c r="BI51" i="2" l="1"/>
  <c r="BJ51" i="2" s="1"/>
  <c r="BI47" i="2"/>
  <c r="BJ47" i="2" s="1"/>
  <c r="BI43" i="2"/>
  <c r="BJ43" i="2" s="1"/>
  <c r="BI39" i="2"/>
  <c r="BJ39" i="2" s="1"/>
  <c r="AA39" i="2" s="1"/>
  <c r="BI27" i="2"/>
  <c r="BJ27" i="2" s="1"/>
  <c r="BI5" i="2"/>
  <c r="BJ5" i="2" s="1"/>
  <c r="BI38" i="2"/>
  <c r="BJ38" i="2" s="1"/>
  <c r="BI26" i="2"/>
  <c r="BJ26" i="2" s="1"/>
  <c r="BI7" i="2"/>
  <c r="BJ7" i="2" s="1"/>
  <c r="BI29" i="2"/>
  <c r="BJ29" i="2" s="1"/>
  <c r="BI13" i="2"/>
  <c r="BJ13" i="2" s="1"/>
  <c r="BI9" i="2"/>
  <c r="BJ9" i="2" s="1"/>
  <c r="BI49" i="2"/>
  <c r="BJ49" i="2" s="1"/>
  <c r="BI45" i="2"/>
  <c r="BJ45" i="2" s="1"/>
  <c r="BI41" i="2"/>
  <c r="BJ41" i="2" s="1"/>
  <c r="BI33" i="2"/>
  <c r="BJ33" i="2" s="1"/>
  <c r="BI19" i="2"/>
  <c r="BJ19" i="2" s="1"/>
  <c r="BI16" i="2"/>
  <c r="BJ16" i="2" s="1"/>
  <c r="BI18" i="2"/>
  <c r="BJ18" i="2" s="1"/>
  <c r="BI21" i="2"/>
  <c r="BJ21" i="2" s="1"/>
  <c r="BI11" i="2"/>
  <c r="BJ11" i="2" s="1"/>
  <c r="BI52" i="2"/>
  <c r="BJ52" i="2" s="1"/>
  <c r="BI44" i="2"/>
  <c r="BJ44" i="2" s="1"/>
  <c r="BI31" i="2"/>
  <c r="BJ31" i="2" s="1"/>
  <c r="BI40" i="2"/>
  <c r="BJ40" i="2" s="1"/>
  <c r="BI24" i="2"/>
  <c r="BJ24" i="2" s="1"/>
  <c r="BI10" i="2"/>
  <c r="BJ10" i="2" s="1"/>
  <c r="BI50" i="2"/>
  <c r="BJ50" i="2" s="1"/>
  <c r="BI46" i="2"/>
  <c r="BJ46" i="2" s="1"/>
  <c r="BI42" i="2"/>
  <c r="BJ42" i="2" s="1"/>
  <c r="BI35" i="2"/>
  <c r="BJ35" i="2" s="1"/>
  <c r="BI23" i="2"/>
  <c r="BJ23" i="2" s="1"/>
  <c r="BI20" i="2"/>
  <c r="BJ20" i="2" s="1"/>
  <c r="BI36" i="2"/>
  <c r="BJ36" i="2" s="1"/>
  <c r="BI22" i="2"/>
  <c r="BJ22" i="2" s="1"/>
  <c r="BI6" i="2"/>
  <c r="BJ6" i="2" s="1"/>
  <c r="BI25" i="2"/>
  <c r="BJ25" i="2" s="1"/>
  <c r="BI12" i="2"/>
  <c r="BJ12" i="2" s="1"/>
  <c r="BI8" i="2"/>
  <c r="BJ8" i="2" s="1"/>
  <c r="BI32" i="2"/>
  <c r="BJ32" i="2" s="1"/>
  <c r="BI28" i="2"/>
  <c r="BJ28" i="2" s="1"/>
  <c r="BI48" i="2"/>
  <c r="BJ48" i="2" s="1"/>
  <c r="BI37" i="2"/>
  <c r="BJ37" i="2" s="1"/>
  <c r="BI15" i="2"/>
  <c r="BJ15" i="2" s="1"/>
  <c r="BI14" i="2"/>
  <c r="BJ14" i="2" s="1"/>
  <c r="BI17" i="2"/>
  <c r="BJ17" i="2" s="1"/>
  <c r="BI53" i="2"/>
  <c r="BJ53" i="2" s="1"/>
  <c r="BI34" i="2"/>
  <c r="BJ34" i="2" s="1"/>
  <c r="BI30" i="2"/>
  <c r="BJ30" i="2" s="1"/>
  <c r="AD15" i="2" l="1"/>
  <c r="N15" i="2"/>
  <c r="AG15" i="2"/>
  <c r="Q15" i="2"/>
  <c r="A15" i="2"/>
  <c r="W15" i="2"/>
  <c r="G15" i="2"/>
  <c r="AB15" i="2"/>
  <c r="L15" i="2"/>
  <c r="B15" i="2"/>
  <c r="AA15" i="2"/>
  <c r="AF15" i="2"/>
  <c r="Z15" i="2"/>
  <c r="J15" i="2"/>
  <c r="AC15" i="2"/>
  <c r="M15" i="2"/>
  <c r="AI15" i="2"/>
  <c r="S15" i="2"/>
  <c r="C15" i="2"/>
  <c r="X15" i="2"/>
  <c r="H15" i="2"/>
  <c r="R15" i="2"/>
  <c r="E15" i="2"/>
  <c r="K15" i="2"/>
  <c r="V15" i="2"/>
  <c r="F15" i="2"/>
  <c r="Y15" i="2"/>
  <c r="I15" i="2"/>
  <c r="AE15" i="2"/>
  <c r="O15" i="2"/>
  <c r="BK15" i="2"/>
  <c r="T15" i="2"/>
  <c r="D15" i="2"/>
  <c r="AH15" i="2"/>
  <c r="U15" i="2"/>
  <c r="P15" i="2"/>
  <c r="V6" i="2"/>
  <c r="F6" i="2"/>
  <c r="Q6" i="2"/>
  <c r="AC6" i="2"/>
  <c r="AI6" i="2"/>
  <c r="S6" i="2"/>
  <c r="C6" i="2"/>
  <c r="AH6" i="2"/>
  <c r="R6" i="2"/>
  <c r="B6" i="2"/>
  <c r="M6" i="2"/>
  <c r="U6" i="2"/>
  <c r="AE6" i="2"/>
  <c r="O6" i="2"/>
  <c r="AF6" i="2"/>
  <c r="N6" i="2"/>
  <c r="E6" i="2"/>
  <c r="AA6" i="2"/>
  <c r="AB6" i="2"/>
  <c r="L6" i="2"/>
  <c r="J6" i="2"/>
  <c r="BK6" i="2"/>
  <c r="W6" i="2"/>
  <c r="X6" i="2"/>
  <c r="H6" i="2"/>
  <c r="AD6" i="2"/>
  <c r="AG6" i="2"/>
  <c r="I6" i="2"/>
  <c r="K6" i="2"/>
  <c r="T6" i="2"/>
  <c r="D6" i="2"/>
  <c r="Z6" i="2"/>
  <c r="P6" i="2"/>
  <c r="Y6" i="2"/>
  <c r="A6" i="2"/>
  <c r="G6" i="2"/>
  <c r="AC50" i="2"/>
  <c r="M50" i="2"/>
  <c r="AF50" i="2"/>
  <c r="P50" i="2"/>
  <c r="BK50" i="2"/>
  <c r="W50" i="2"/>
  <c r="G50" i="2"/>
  <c r="B50" i="2"/>
  <c r="Z50" i="2"/>
  <c r="Y50" i="2"/>
  <c r="I50" i="2"/>
  <c r="AB50" i="2"/>
  <c r="L50" i="2"/>
  <c r="AI50" i="2"/>
  <c r="S50" i="2"/>
  <c r="C50" i="2"/>
  <c r="F50" i="2"/>
  <c r="J50" i="2"/>
  <c r="U50" i="2"/>
  <c r="E50" i="2"/>
  <c r="X50" i="2"/>
  <c r="H50" i="2"/>
  <c r="AE50" i="2"/>
  <c r="O50" i="2"/>
  <c r="AH50" i="2"/>
  <c r="AD50" i="2"/>
  <c r="V50" i="2"/>
  <c r="T50" i="2"/>
  <c r="R50" i="2"/>
  <c r="AG50" i="2"/>
  <c r="D50" i="2"/>
  <c r="N50" i="2"/>
  <c r="Q50" i="2"/>
  <c r="AA50" i="2"/>
  <c r="K50" i="2"/>
  <c r="A50" i="2"/>
  <c r="AF21" i="2"/>
  <c r="P21" i="2"/>
  <c r="AC21" i="2"/>
  <c r="AI21" i="2"/>
  <c r="S21" i="2"/>
  <c r="C21" i="2"/>
  <c r="V21" i="2"/>
  <c r="F21" i="2"/>
  <c r="Q21" i="2"/>
  <c r="AB21" i="2"/>
  <c r="L21" i="2"/>
  <c r="U21" i="2"/>
  <c r="AE21" i="2"/>
  <c r="O21" i="2"/>
  <c r="AH21" i="2"/>
  <c r="R21" i="2"/>
  <c r="B21" i="2"/>
  <c r="I21" i="2"/>
  <c r="X21" i="2"/>
  <c r="H21" i="2"/>
  <c r="M21" i="2"/>
  <c r="AA21" i="2"/>
  <c r="K21" i="2"/>
  <c r="AD21" i="2"/>
  <c r="N21" i="2"/>
  <c r="AG21" i="2"/>
  <c r="A21" i="2"/>
  <c r="T21" i="2"/>
  <c r="G21" i="2"/>
  <c r="D21" i="2"/>
  <c r="Z21" i="2"/>
  <c r="E21" i="2"/>
  <c r="J21" i="2"/>
  <c r="W21" i="2"/>
  <c r="Y21" i="2"/>
  <c r="BK21" i="2"/>
  <c r="AE9" i="2"/>
  <c r="O9" i="2"/>
  <c r="AF9" i="2"/>
  <c r="AH9" i="2"/>
  <c r="R9" i="2"/>
  <c r="B9" i="2"/>
  <c r="U9" i="2"/>
  <c r="E9" i="2"/>
  <c r="L9" i="2"/>
  <c r="AA9" i="2"/>
  <c r="K9" i="2"/>
  <c r="X9" i="2"/>
  <c r="AD9" i="2"/>
  <c r="N9" i="2"/>
  <c r="AG9" i="2"/>
  <c r="Q9" i="2"/>
  <c r="A9" i="2"/>
  <c r="D9" i="2"/>
  <c r="BK9" i="2"/>
  <c r="W9" i="2"/>
  <c r="G9" i="2"/>
  <c r="P9" i="2"/>
  <c r="Z9" i="2"/>
  <c r="J9" i="2"/>
  <c r="AC9" i="2"/>
  <c r="M9" i="2"/>
  <c r="AB9" i="2"/>
  <c r="H9" i="2"/>
  <c r="I9" i="2"/>
  <c r="AI9" i="2"/>
  <c r="V9" i="2"/>
  <c r="T9" i="2"/>
  <c r="Y9" i="2"/>
  <c r="S9" i="2"/>
  <c r="F9" i="2"/>
  <c r="C9" i="2"/>
  <c r="AB39" i="2"/>
  <c r="L39" i="2"/>
  <c r="AD39" i="2"/>
  <c r="N39" i="2"/>
  <c r="AE39" i="2"/>
  <c r="AC39" i="2"/>
  <c r="AG39" i="2"/>
  <c r="S39" i="2"/>
  <c r="I39" i="2"/>
  <c r="X39" i="2"/>
  <c r="H39" i="2"/>
  <c r="Z39" i="2"/>
  <c r="J39" i="2"/>
  <c r="W39" i="2"/>
  <c r="U39" i="2"/>
  <c r="Q39" i="2"/>
  <c r="K39" i="2"/>
  <c r="A39" i="2"/>
  <c r="BK39" i="2"/>
  <c r="T39" i="2"/>
  <c r="D39" i="2"/>
  <c r="V39" i="2"/>
  <c r="F39" i="2"/>
  <c r="O39" i="2"/>
  <c r="M39" i="2"/>
  <c r="AI39" i="2"/>
  <c r="C39" i="2"/>
  <c r="R39" i="2"/>
  <c r="E39" i="2"/>
  <c r="AF39" i="2"/>
  <c r="B39" i="2"/>
  <c r="Y39" i="2"/>
  <c r="AH39" i="2"/>
  <c r="P39" i="2"/>
  <c r="G39" i="2"/>
  <c r="AD37" i="2"/>
  <c r="N37" i="2"/>
  <c r="BK37" i="2"/>
  <c r="T37" i="2"/>
  <c r="D37" i="2"/>
  <c r="G37" i="2"/>
  <c r="E37" i="2"/>
  <c r="K37" i="2"/>
  <c r="Q37" i="2"/>
  <c r="U37" i="2"/>
  <c r="Z37" i="2"/>
  <c r="J37" i="2"/>
  <c r="AF37" i="2"/>
  <c r="P37" i="2"/>
  <c r="AE37" i="2"/>
  <c r="AC37" i="2"/>
  <c r="AI37" i="2"/>
  <c r="C37" i="2"/>
  <c r="I37" i="2"/>
  <c r="W37" i="2"/>
  <c r="A37" i="2"/>
  <c r="V37" i="2"/>
  <c r="F37" i="2"/>
  <c r="AB37" i="2"/>
  <c r="L37" i="2"/>
  <c r="AA37" i="2"/>
  <c r="AG37" i="2"/>
  <c r="B37" i="2"/>
  <c r="M37" i="2"/>
  <c r="Y37" i="2"/>
  <c r="R37" i="2"/>
  <c r="X37" i="2"/>
  <c r="S37" i="2"/>
  <c r="AH37" i="2"/>
  <c r="O37" i="2"/>
  <c r="H37" i="2"/>
  <c r="AE22" i="2"/>
  <c r="O22" i="2"/>
  <c r="BK22" i="2"/>
  <c r="T22" i="2"/>
  <c r="AH22" i="2"/>
  <c r="R22" i="2"/>
  <c r="B22" i="2"/>
  <c r="U22" i="2"/>
  <c r="E22" i="2"/>
  <c r="AA22" i="2"/>
  <c r="K22" i="2"/>
  <c r="AF22" i="2"/>
  <c r="L22" i="2"/>
  <c r="AD22" i="2"/>
  <c r="N22" i="2"/>
  <c r="AG22" i="2"/>
  <c r="Q22" i="2"/>
  <c r="A22" i="2"/>
  <c r="W22" i="2"/>
  <c r="G22" i="2"/>
  <c r="AB22" i="2"/>
  <c r="H22" i="2"/>
  <c r="Z22" i="2"/>
  <c r="J22" i="2"/>
  <c r="AC22" i="2"/>
  <c r="M22" i="2"/>
  <c r="P22" i="2"/>
  <c r="X22" i="2"/>
  <c r="Y22" i="2"/>
  <c r="AI22" i="2"/>
  <c r="D22" i="2"/>
  <c r="I22" i="2"/>
  <c r="S22" i="2"/>
  <c r="V22" i="2"/>
  <c r="C22" i="2"/>
  <c r="F22" i="2"/>
  <c r="AI10" i="2"/>
  <c r="S10" i="2"/>
  <c r="C10" i="2"/>
  <c r="AD10" i="2"/>
  <c r="N10" i="2"/>
  <c r="AF10" i="2"/>
  <c r="L10" i="2"/>
  <c r="Y10" i="2"/>
  <c r="I10" i="2"/>
  <c r="AE10" i="2"/>
  <c r="O10" i="2"/>
  <c r="X10" i="2"/>
  <c r="Z10" i="2"/>
  <c r="J10" i="2"/>
  <c r="AB10" i="2"/>
  <c r="D10" i="2"/>
  <c r="U10" i="2"/>
  <c r="E10" i="2"/>
  <c r="AA10" i="2"/>
  <c r="K10" i="2"/>
  <c r="H10" i="2"/>
  <c r="V10" i="2"/>
  <c r="F10" i="2"/>
  <c r="T10" i="2"/>
  <c r="AG10" i="2"/>
  <c r="Q10" i="2"/>
  <c r="A10" i="2"/>
  <c r="G10" i="2"/>
  <c r="P10" i="2"/>
  <c r="B10" i="2"/>
  <c r="AH10" i="2"/>
  <c r="AC10" i="2"/>
  <c r="W10" i="2"/>
  <c r="BK10" i="2"/>
  <c r="R10" i="2"/>
  <c r="M10" i="2"/>
  <c r="Z41" i="2"/>
  <c r="J41" i="2"/>
  <c r="AC41" i="2"/>
  <c r="AF41" i="2"/>
  <c r="P41" i="2"/>
  <c r="AA41" i="2"/>
  <c r="W41" i="2"/>
  <c r="AI41" i="2"/>
  <c r="AE41" i="2"/>
  <c r="V41" i="2"/>
  <c r="F41" i="2"/>
  <c r="Y41" i="2"/>
  <c r="AB41" i="2"/>
  <c r="L41" i="2"/>
  <c r="O41" i="2"/>
  <c r="M41" i="2"/>
  <c r="S41" i="2"/>
  <c r="A41" i="2"/>
  <c r="AH41" i="2"/>
  <c r="R41" i="2"/>
  <c r="B41" i="2"/>
  <c r="U41" i="2"/>
  <c r="X41" i="2"/>
  <c r="H41" i="2"/>
  <c r="G41" i="2"/>
  <c r="E41" i="2"/>
  <c r="K41" i="2"/>
  <c r="BK41" i="2"/>
  <c r="I41" i="2"/>
  <c r="AD41" i="2"/>
  <c r="T41" i="2"/>
  <c r="C41" i="2"/>
  <c r="N41" i="2"/>
  <c r="D41" i="2"/>
  <c r="AG41" i="2"/>
  <c r="Q41" i="2"/>
  <c r="Y38" i="2"/>
  <c r="I38" i="2"/>
  <c r="AE38" i="2"/>
  <c r="O38" i="2"/>
  <c r="BK38" i="2"/>
  <c r="F38" i="2"/>
  <c r="D38" i="2"/>
  <c r="J38" i="2"/>
  <c r="P38" i="2"/>
  <c r="U38" i="2"/>
  <c r="E38" i="2"/>
  <c r="AA38" i="2"/>
  <c r="K38" i="2"/>
  <c r="AD38" i="2"/>
  <c r="AB38" i="2"/>
  <c r="AH38" i="2"/>
  <c r="B38" i="2"/>
  <c r="H38" i="2"/>
  <c r="AG38" i="2"/>
  <c r="Q38" i="2"/>
  <c r="A38" i="2"/>
  <c r="W38" i="2"/>
  <c r="G38" i="2"/>
  <c r="V38" i="2"/>
  <c r="T38" i="2"/>
  <c r="Z38" i="2"/>
  <c r="AF38" i="2"/>
  <c r="AI38" i="2"/>
  <c r="L38" i="2"/>
  <c r="M38" i="2"/>
  <c r="S38" i="2"/>
  <c r="R38" i="2"/>
  <c r="AC38" i="2"/>
  <c r="C38" i="2"/>
  <c r="X38" i="2"/>
  <c r="N38" i="2"/>
  <c r="AF17" i="2"/>
  <c r="P17" i="2"/>
  <c r="AG17" i="2"/>
  <c r="Q17" i="2"/>
  <c r="AI17" i="2"/>
  <c r="S17" i="2"/>
  <c r="AB17" i="2"/>
  <c r="L17" i="2"/>
  <c r="AC17" i="2"/>
  <c r="M17" i="2"/>
  <c r="AE17" i="2"/>
  <c r="O17" i="2"/>
  <c r="A17" i="2"/>
  <c r="V17" i="2"/>
  <c r="F17" i="2"/>
  <c r="X17" i="2"/>
  <c r="H17" i="2"/>
  <c r="Y17" i="2"/>
  <c r="I17" i="2"/>
  <c r="AA17" i="2"/>
  <c r="K17" i="2"/>
  <c r="AH17" i="2"/>
  <c r="R17" i="2"/>
  <c r="B17" i="2"/>
  <c r="T17" i="2"/>
  <c r="W17" i="2"/>
  <c r="Z17" i="2"/>
  <c r="AD17" i="2"/>
  <c r="D17" i="2"/>
  <c r="G17" i="2"/>
  <c r="N17" i="2"/>
  <c r="E17" i="2"/>
  <c r="U17" i="2"/>
  <c r="C17" i="2"/>
  <c r="J17" i="2"/>
  <c r="BK17" i="2"/>
  <c r="AC48" i="2"/>
  <c r="M48" i="2"/>
  <c r="AF48" i="2"/>
  <c r="P48" i="2"/>
  <c r="BK48" i="2"/>
  <c r="W48" i="2"/>
  <c r="G48" i="2"/>
  <c r="B48" i="2"/>
  <c r="Z48" i="2"/>
  <c r="E48" i="2"/>
  <c r="H48" i="2"/>
  <c r="AH48" i="2"/>
  <c r="V48" i="2"/>
  <c r="Y48" i="2"/>
  <c r="I48" i="2"/>
  <c r="AB48" i="2"/>
  <c r="L48" i="2"/>
  <c r="AI48" i="2"/>
  <c r="S48" i="2"/>
  <c r="C48" i="2"/>
  <c r="AD48" i="2"/>
  <c r="J48" i="2"/>
  <c r="X48" i="2"/>
  <c r="AE48" i="2"/>
  <c r="N48" i="2"/>
  <c r="U48" i="2"/>
  <c r="O48" i="2"/>
  <c r="AG48" i="2"/>
  <c r="D48" i="2"/>
  <c r="F48" i="2"/>
  <c r="T48" i="2"/>
  <c r="Q48" i="2"/>
  <c r="AA48" i="2"/>
  <c r="A48" i="2"/>
  <c r="R48" i="2"/>
  <c r="K48" i="2"/>
  <c r="AE12" i="2"/>
  <c r="O12" i="2"/>
  <c r="AH12" i="2"/>
  <c r="R12" i="2"/>
  <c r="B12" i="2"/>
  <c r="T12" i="2"/>
  <c r="D12" i="2"/>
  <c r="U12" i="2"/>
  <c r="E12" i="2"/>
  <c r="AA12" i="2"/>
  <c r="K12" i="2"/>
  <c r="AD12" i="2"/>
  <c r="N12" i="2"/>
  <c r="AF12" i="2"/>
  <c r="P12" i="2"/>
  <c r="AG12" i="2"/>
  <c r="Q12" i="2"/>
  <c r="A12" i="2"/>
  <c r="BK12" i="2"/>
  <c r="W12" i="2"/>
  <c r="G12" i="2"/>
  <c r="Z12" i="2"/>
  <c r="J12" i="2"/>
  <c r="AB12" i="2"/>
  <c r="L12" i="2"/>
  <c r="AC12" i="2"/>
  <c r="M12" i="2"/>
  <c r="S12" i="2"/>
  <c r="X12" i="2"/>
  <c r="C12" i="2"/>
  <c r="H12" i="2"/>
  <c r="V12" i="2"/>
  <c r="Y12" i="2"/>
  <c r="I12" i="2"/>
  <c r="AI12" i="2"/>
  <c r="F12" i="2"/>
  <c r="AE36" i="2"/>
  <c r="O36" i="2"/>
  <c r="AG36" i="2"/>
  <c r="Q36" i="2"/>
  <c r="A36" i="2"/>
  <c r="N36" i="2"/>
  <c r="T36" i="2"/>
  <c r="AH36" i="2"/>
  <c r="B36" i="2"/>
  <c r="AA36" i="2"/>
  <c r="K36" i="2"/>
  <c r="AC36" i="2"/>
  <c r="M36" i="2"/>
  <c r="BK36" i="2"/>
  <c r="F36" i="2"/>
  <c r="L36" i="2"/>
  <c r="Z36" i="2"/>
  <c r="P36" i="2"/>
  <c r="W36" i="2"/>
  <c r="G36" i="2"/>
  <c r="Y36" i="2"/>
  <c r="I36" i="2"/>
  <c r="AD36" i="2"/>
  <c r="AF36" i="2"/>
  <c r="D36" i="2"/>
  <c r="R36" i="2"/>
  <c r="H36" i="2"/>
  <c r="C36" i="2"/>
  <c r="AB36" i="2"/>
  <c r="U36" i="2"/>
  <c r="X36" i="2"/>
  <c r="AI36" i="2"/>
  <c r="E36" i="2"/>
  <c r="J36" i="2"/>
  <c r="S36" i="2"/>
  <c r="V36" i="2"/>
  <c r="AC42" i="2"/>
  <c r="M42" i="2"/>
  <c r="AF42" i="2"/>
  <c r="P42" i="2"/>
  <c r="BK42" i="2"/>
  <c r="W42" i="2"/>
  <c r="G42" i="2"/>
  <c r="B42" i="2"/>
  <c r="Z42" i="2"/>
  <c r="Y42" i="2"/>
  <c r="I42" i="2"/>
  <c r="AB42" i="2"/>
  <c r="L42" i="2"/>
  <c r="AI42" i="2"/>
  <c r="S42" i="2"/>
  <c r="C42" i="2"/>
  <c r="AD42" i="2"/>
  <c r="J42" i="2"/>
  <c r="U42" i="2"/>
  <c r="X42" i="2"/>
  <c r="AE42" i="2"/>
  <c r="AH42" i="2"/>
  <c r="V42" i="2"/>
  <c r="Q42" i="2"/>
  <c r="T42" i="2"/>
  <c r="AA42" i="2"/>
  <c r="R42" i="2"/>
  <c r="E42" i="2"/>
  <c r="H42" i="2"/>
  <c r="O42" i="2"/>
  <c r="N42" i="2"/>
  <c r="D42" i="2"/>
  <c r="K42" i="2"/>
  <c r="AG42" i="2"/>
  <c r="F42" i="2"/>
  <c r="A42" i="2"/>
  <c r="Y24" i="2"/>
  <c r="I24" i="2"/>
  <c r="V24" i="2"/>
  <c r="AF24" i="2"/>
  <c r="P24" i="2"/>
  <c r="AH24" i="2"/>
  <c r="U24" i="2"/>
  <c r="E24" i="2"/>
  <c r="N24" i="2"/>
  <c r="AB24" i="2"/>
  <c r="L24" i="2"/>
  <c r="Z24" i="2"/>
  <c r="AC24" i="2"/>
  <c r="AD24" i="2"/>
  <c r="T24" i="2"/>
  <c r="J24" i="2"/>
  <c r="AA24" i="2"/>
  <c r="K24" i="2"/>
  <c r="A24" i="2"/>
  <c r="AE24" i="2"/>
  <c r="Q24" i="2"/>
  <c r="F24" i="2"/>
  <c r="H24" i="2"/>
  <c r="B24" i="2"/>
  <c r="W24" i="2"/>
  <c r="G24" i="2"/>
  <c r="AG24" i="2"/>
  <c r="R24" i="2"/>
  <c r="O24" i="2"/>
  <c r="M24" i="2"/>
  <c r="BK24" i="2"/>
  <c r="D24" i="2"/>
  <c r="AI24" i="2"/>
  <c r="S24" i="2"/>
  <c r="C24" i="2"/>
  <c r="X24" i="2"/>
  <c r="AC52" i="2"/>
  <c r="M52" i="2"/>
  <c r="AF52" i="2"/>
  <c r="P52" i="2"/>
  <c r="BK52" i="2"/>
  <c r="W52" i="2"/>
  <c r="G52" i="2"/>
  <c r="B52" i="2"/>
  <c r="Z52" i="2"/>
  <c r="X52" i="2"/>
  <c r="AE52" i="2"/>
  <c r="AD52" i="2"/>
  <c r="Y52" i="2"/>
  <c r="I52" i="2"/>
  <c r="AB52" i="2"/>
  <c r="L52" i="2"/>
  <c r="AI52" i="2"/>
  <c r="S52" i="2"/>
  <c r="C52" i="2"/>
  <c r="V52" i="2"/>
  <c r="J52" i="2"/>
  <c r="U52" i="2"/>
  <c r="H52" i="2"/>
  <c r="O52" i="2"/>
  <c r="F52" i="2"/>
  <c r="E52" i="2"/>
  <c r="AH52" i="2"/>
  <c r="T52" i="2"/>
  <c r="R52" i="2"/>
  <c r="N52" i="2"/>
  <c r="Q52" i="2"/>
  <c r="A52" i="2"/>
  <c r="AG52" i="2"/>
  <c r="D52" i="2"/>
  <c r="AA52" i="2"/>
  <c r="K52" i="2"/>
  <c r="Y16" i="2"/>
  <c r="I16" i="2"/>
  <c r="AD16" i="2"/>
  <c r="N16" i="2"/>
  <c r="AF16" i="2"/>
  <c r="P16" i="2"/>
  <c r="F16" i="2"/>
  <c r="W16" i="2"/>
  <c r="G16" i="2"/>
  <c r="U16" i="2"/>
  <c r="E16" i="2"/>
  <c r="Z16" i="2"/>
  <c r="J16" i="2"/>
  <c r="AB16" i="2"/>
  <c r="L16" i="2"/>
  <c r="AI16" i="2"/>
  <c r="S16" i="2"/>
  <c r="C16" i="2"/>
  <c r="AG16" i="2"/>
  <c r="Q16" i="2"/>
  <c r="A16" i="2"/>
  <c r="V16" i="2"/>
  <c r="B16" i="2"/>
  <c r="X16" i="2"/>
  <c r="H16" i="2"/>
  <c r="AE16" i="2"/>
  <c r="O16" i="2"/>
  <c r="AC16" i="2"/>
  <c r="BK16" i="2"/>
  <c r="K16" i="2"/>
  <c r="M16" i="2"/>
  <c r="T16" i="2"/>
  <c r="AH16" i="2"/>
  <c r="D16" i="2"/>
  <c r="R16" i="2"/>
  <c r="AA16" i="2"/>
  <c r="AC45" i="2"/>
  <c r="M45" i="2"/>
  <c r="AF45" i="2"/>
  <c r="P45" i="2"/>
  <c r="BK45" i="2"/>
  <c r="W45" i="2"/>
  <c r="G45" i="2"/>
  <c r="AD45" i="2"/>
  <c r="AH45" i="2"/>
  <c r="Y45" i="2"/>
  <c r="I45" i="2"/>
  <c r="AB45" i="2"/>
  <c r="L45" i="2"/>
  <c r="AI45" i="2"/>
  <c r="S45" i="2"/>
  <c r="C45" i="2"/>
  <c r="V45" i="2"/>
  <c r="R45" i="2"/>
  <c r="U45" i="2"/>
  <c r="Q45" i="2"/>
  <c r="T45" i="2"/>
  <c r="AA45" i="2"/>
  <c r="J45" i="2"/>
  <c r="E45" i="2"/>
  <c r="H45" i="2"/>
  <c r="O45" i="2"/>
  <c r="F45" i="2"/>
  <c r="A45" i="2"/>
  <c r="D45" i="2"/>
  <c r="K45" i="2"/>
  <c r="N45" i="2"/>
  <c r="AG45" i="2"/>
  <c r="B45" i="2"/>
  <c r="X45" i="2"/>
  <c r="Z45" i="2"/>
  <c r="AE45" i="2"/>
  <c r="AB29" i="2"/>
  <c r="L29" i="2"/>
  <c r="AE29" i="2"/>
  <c r="O29" i="2"/>
  <c r="AH29" i="2"/>
  <c r="R29" i="2"/>
  <c r="B29" i="2"/>
  <c r="U29" i="2"/>
  <c r="E29" i="2"/>
  <c r="X29" i="2"/>
  <c r="H29" i="2"/>
  <c r="AA29" i="2"/>
  <c r="K29" i="2"/>
  <c r="AD29" i="2"/>
  <c r="N29" i="2"/>
  <c r="AG29" i="2"/>
  <c r="Q29" i="2"/>
  <c r="A29" i="2"/>
  <c r="BK29" i="2"/>
  <c r="T29" i="2"/>
  <c r="D29" i="2"/>
  <c r="W29" i="2"/>
  <c r="G29" i="2"/>
  <c r="Z29" i="2"/>
  <c r="J29" i="2"/>
  <c r="AC29" i="2"/>
  <c r="M29" i="2"/>
  <c r="P29" i="2"/>
  <c r="V29" i="2"/>
  <c r="AF29" i="2"/>
  <c r="AI29" i="2"/>
  <c r="F29" i="2"/>
  <c r="C29" i="2"/>
  <c r="S29" i="2"/>
  <c r="Y29" i="2"/>
  <c r="I29" i="2"/>
  <c r="AA5" i="2"/>
  <c r="K5" i="2"/>
  <c r="Z5" i="2"/>
  <c r="B5" i="2"/>
  <c r="BK5" i="2"/>
  <c r="T5" i="2"/>
  <c r="D5" i="2"/>
  <c r="U5" i="2"/>
  <c r="E5" i="2"/>
  <c r="W5" i="2"/>
  <c r="G5" i="2"/>
  <c r="V5" i="2"/>
  <c r="AD5" i="2"/>
  <c r="AF5" i="2"/>
  <c r="P5" i="2"/>
  <c r="AG5" i="2"/>
  <c r="Q5" i="2"/>
  <c r="A5" i="2"/>
  <c r="AI5" i="2"/>
  <c r="S5" i="2"/>
  <c r="C5" i="2"/>
  <c r="N5" i="2"/>
  <c r="R5" i="2"/>
  <c r="AB5" i="2"/>
  <c r="L5" i="2"/>
  <c r="AC5" i="2"/>
  <c r="M5" i="2"/>
  <c r="O5" i="2"/>
  <c r="X5" i="2"/>
  <c r="F5" i="2"/>
  <c r="AH5" i="2"/>
  <c r="H5" i="2"/>
  <c r="AE5" i="2"/>
  <c r="I5" i="2"/>
  <c r="J5" i="2"/>
  <c r="Y5" i="2"/>
  <c r="Y47" i="2"/>
  <c r="I47" i="2"/>
  <c r="AB47" i="2"/>
  <c r="L47" i="2"/>
  <c r="AI47" i="2"/>
  <c r="S47" i="2"/>
  <c r="C47" i="2"/>
  <c r="V47" i="2"/>
  <c r="B47" i="2"/>
  <c r="U47" i="2"/>
  <c r="E47" i="2"/>
  <c r="X47" i="2"/>
  <c r="H47" i="2"/>
  <c r="AE47" i="2"/>
  <c r="O47" i="2"/>
  <c r="Z47" i="2"/>
  <c r="F47" i="2"/>
  <c r="N47" i="2"/>
  <c r="AG47" i="2"/>
  <c r="Q47" i="2"/>
  <c r="A47" i="2"/>
  <c r="T47" i="2"/>
  <c r="D47" i="2"/>
  <c r="AA47" i="2"/>
  <c r="K47" i="2"/>
  <c r="J47" i="2"/>
  <c r="AH47" i="2"/>
  <c r="M47" i="2"/>
  <c r="W47" i="2"/>
  <c r="AC47" i="2"/>
  <c r="AF47" i="2"/>
  <c r="G47" i="2"/>
  <c r="BK47" i="2"/>
  <c r="P47" i="2"/>
  <c r="AD47" i="2"/>
  <c r="R47" i="2"/>
  <c r="AC34" i="2"/>
  <c r="M34" i="2"/>
  <c r="W34" i="2"/>
  <c r="G34" i="2"/>
  <c r="V34" i="2"/>
  <c r="AB34" i="2"/>
  <c r="A34" i="2"/>
  <c r="Z34" i="2"/>
  <c r="X34" i="2"/>
  <c r="Y34" i="2"/>
  <c r="AI34" i="2"/>
  <c r="S34" i="2"/>
  <c r="C34" i="2"/>
  <c r="N34" i="2"/>
  <c r="T34" i="2"/>
  <c r="AF34" i="2"/>
  <c r="R34" i="2"/>
  <c r="I34" i="2"/>
  <c r="U34" i="2"/>
  <c r="AE34" i="2"/>
  <c r="O34" i="2"/>
  <c r="BK34" i="2"/>
  <c r="H34" i="2"/>
  <c r="L34" i="2"/>
  <c r="P34" i="2"/>
  <c r="J34" i="2"/>
  <c r="D34" i="2"/>
  <c r="AG34" i="2"/>
  <c r="AD34" i="2"/>
  <c r="E34" i="2"/>
  <c r="Q34" i="2"/>
  <c r="B34" i="2"/>
  <c r="AA34" i="2"/>
  <c r="F34" i="2"/>
  <c r="K34" i="2"/>
  <c r="AH34" i="2"/>
  <c r="Y32" i="2"/>
  <c r="I32" i="2"/>
  <c r="AF32" i="2"/>
  <c r="P32" i="2"/>
  <c r="AH32" i="2"/>
  <c r="B32" i="2"/>
  <c r="W32" i="2"/>
  <c r="G32" i="2"/>
  <c r="N32" i="2"/>
  <c r="U32" i="2"/>
  <c r="E32" i="2"/>
  <c r="AB32" i="2"/>
  <c r="L32" i="2"/>
  <c r="AD32" i="2"/>
  <c r="AI32" i="2"/>
  <c r="S32" i="2"/>
  <c r="C32" i="2"/>
  <c r="F32" i="2"/>
  <c r="AG32" i="2"/>
  <c r="Q32" i="2"/>
  <c r="A32" i="2"/>
  <c r="X32" i="2"/>
  <c r="H32" i="2"/>
  <c r="R32" i="2"/>
  <c r="AE32" i="2"/>
  <c r="O32" i="2"/>
  <c r="Z32" i="2"/>
  <c r="BK32" i="2"/>
  <c r="AA32" i="2"/>
  <c r="T32" i="2"/>
  <c r="K32" i="2"/>
  <c r="AC32" i="2"/>
  <c r="D32" i="2"/>
  <c r="V32" i="2"/>
  <c r="J32" i="2"/>
  <c r="M32" i="2"/>
  <c r="AD23" i="2"/>
  <c r="N23" i="2"/>
  <c r="AI23" i="2"/>
  <c r="S23" i="2"/>
  <c r="C23" i="2"/>
  <c r="U23" i="2"/>
  <c r="E23" i="2"/>
  <c r="AB23" i="2"/>
  <c r="L23" i="2"/>
  <c r="Z23" i="2"/>
  <c r="J23" i="2"/>
  <c r="AE23" i="2"/>
  <c r="O23" i="2"/>
  <c r="AG23" i="2"/>
  <c r="Q23" i="2"/>
  <c r="A23" i="2"/>
  <c r="X23" i="2"/>
  <c r="H23" i="2"/>
  <c r="V23" i="2"/>
  <c r="F23" i="2"/>
  <c r="AA23" i="2"/>
  <c r="K23" i="2"/>
  <c r="AC23" i="2"/>
  <c r="M23" i="2"/>
  <c r="BK23" i="2"/>
  <c r="T23" i="2"/>
  <c r="D23" i="2"/>
  <c r="AH23" i="2"/>
  <c r="G23" i="2"/>
  <c r="P23" i="2"/>
  <c r="R23" i="2"/>
  <c r="Y23" i="2"/>
  <c r="B23" i="2"/>
  <c r="I23" i="2"/>
  <c r="W23" i="2"/>
  <c r="AF23" i="2"/>
  <c r="AD31" i="2"/>
  <c r="N31" i="2"/>
  <c r="AG31" i="2"/>
  <c r="Q31" i="2"/>
  <c r="A31" i="2"/>
  <c r="X31" i="2"/>
  <c r="H31" i="2"/>
  <c r="AA31" i="2"/>
  <c r="K31" i="2"/>
  <c r="R31" i="2"/>
  <c r="Z31" i="2"/>
  <c r="J31" i="2"/>
  <c r="AC31" i="2"/>
  <c r="M31" i="2"/>
  <c r="BK31" i="2"/>
  <c r="T31" i="2"/>
  <c r="D31" i="2"/>
  <c r="W31" i="2"/>
  <c r="G31" i="2"/>
  <c r="AH31" i="2"/>
  <c r="U31" i="2"/>
  <c r="V31" i="2"/>
  <c r="F31" i="2"/>
  <c r="Y31" i="2"/>
  <c r="I31" i="2"/>
  <c r="AF31" i="2"/>
  <c r="P31" i="2"/>
  <c r="AI31" i="2"/>
  <c r="S31" i="2"/>
  <c r="C31" i="2"/>
  <c r="B31" i="2"/>
  <c r="AE31" i="2"/>
  <c r="E31" i="2"/>
  <c r="O31" i="2"/>
  <c r="L31" i="2"/>
  <c r="AB31" i="2"/>
  <c r="AF33" i="2"/>
  <c r="P33" i="2"/>
  <c r="AG33" i="2"/>
  <c r="K33" i="2"/>
  <c r="Z33" i="2"/>
  <c r="E33" i="2"/>
  <c r="R33" i="2"/>
  <c r="AD33" i="2"/>
  <c r="I33" i="2"/>
  <c r="AB33" i="2"/>
  <c r="L33" i="2"/>
  <c r="AA33" i="2"/>
  <c r="F33" i="2"/>
  <c r="U33" i="2"/>
  <c r="AH33" i="2"/>
  <c r="M33" i="2"/>
  <c r="Y33" i="2"/>
  <c r="C33" i="2"/>
  <c r="X33" i="2"/>
  <c r="H33" i="2"/>
  <c r="V33" i="2"/>
  <c r="A33" i="2"/>
  <c r="O33" i="2"/>
  <c r="AC33" i="2"/>
  <c r="B33" i="2"/>
  <c r="S33" i="2"/>
  <c r="G33" i="2"/>
  <c r="D33" i="2"/>
  <c r="W33" i="2"/>
  <c r="Q33" i="2"/>
  <c r="AI33" i="2"/>
  <c r="BK33" i="2"/>
  <c r="AE33" i="2"/>
  <c r="N33" i="2"/>
  <c r="J33" i="2"/>
  <c r="T33" i="2"/>
  <c r="AA26" i="2"/>
  <c r="K26" i="2"/>
  <c r="L26" i="2"/>
  <c r="Z26" i="2"/>
  <c r="J26" i="2"/>
  <c r="AB26" i="2"/>
  <c r="H26" i="2"/>
  <c r="U26" i="2"/>
  <c r="E26" i="2"/>
  <c r="W26" i="2"/>
  <c r="G26" i="2"/>
  <c r="D26" i="2"/>
  <c r="V26" i="2"/>
  <c r="F26" i="2"/>
  <c r="X26" i="2"/>
  <c r="AG26" i="2"/>
  <c r="Q26" i="2"/>
  <c r="A26" i="2"/>
  <c r="AI26" i="2"/>
  <c r="S26" i="2"/>
  <c r="C26" i="2"/>
  <c r="AH26" i="2"/>
  <c r="R26" i="2"/>
  <c r="B26" i="2"/>
  <c r="T26" i="2"/>
  <c r="AC26" i="2"/>
  <c r="M26" i="2"/>
  <c r="AD26" i="2"/>
  <c r="Y26" i="2"/>
  <c r="AE26" i="2"/>
  <c r="N26" i="2"/>
  <c r="I26" i="2"/>
  <c r="P26" i="2"/>
  <c r="O26" i="2"/>
  <c r="AF26" i="2"/>
  <c r="BK26" i="2"/>
  <c r="AD53" i="2"/>
  <c r="U53" i="2"/>
  <c r="AI53" i="2"/>
  <c r="Q53" i="2"/>
  <c r="Y53" i="2"/>
  <c r="A53" i="2"/>
  <c r="T53" i="2"/>
  <c r="D53" i="2"/>
  <c r="W53" i="2"/>
  <c r="G53" i="2"/>
  <c r="AE53" i="2"/>
  <c r="B53" i="2"/>
  <c r="M53" i="2"/>
  <c r="AG53" i="2"/>
  <c r="P53" i="2"/>
  <c r="BK53" i="2"/>
  <c r="S53" i="2"/>
  <c r="C53" i="2"/>
  <c r="V53" i="2"/>
  <c r="N53" i="2"/>
  <c r="AH53" i="2"/>
  <c r="I53" i="2"/>
  <c r="AB53" i="2"/>
  <c r="L53" i="2"/>
  <c r="AF53" i="2"/>
  <c r="O53" i="2"/>
  <c r="Z53" i="2"/>
  <c r="F53" i="2"/>
  <c r="H53" i="2"/>
  <c r="R53" i="2"/>
  <c r="J53" i="2"/>
  <c r="AC53" i="2"/>
  <c r="AA53" i="2"/>
  <c r="X53" i="2"/>
  <c r="E53" i="2"/>
  <c r="K53" i="2"/>
  <c r="AD8" i="2"/>
  <c r="N8" i="2"/>
  <c r="AE8" i="2"/>
  <c r="AG8" i="2"/>
  <c r="Q8" i="2"/>
  <c r="A8" i="2"/>
  <c r="T8" i="2"/>
  <c r="D8" i="2"/>
  <c r="K8" i="2"/>
  <c r="Z8" i="2"/>
  <c r="J8" i="2"/>
  <c r="W8" i="2"/>
  <c r="AC8" i="2"/>
  <c r="M8" i="2"/>
  <c r="AF8" i="2"/>
  <c r="P8" i="2"/>
  <c r="AI8" i="2"/>
  <c r="C8" i="2"/>
  <c r="BK8" i="2"/>
  <c r="V8" i="2"/>
  <c r="F8" i="2"/>
  <c r="O8" i="2"/>
  <c r="Y8" i="2"/>
  <c r="I8" i="2"/>
  <c r="AB8" i="2"/>
  <c r="L8" i="2"/>
  <c r="AA8" i="2"/>
  <c r="B8" i="2"/>
  <c r="X8" i="2"/>
  <c r="G8" i="2"/>
  <c r="H8" i="2"/>
  <c r="AH8" i="2"/>
  <c r="U8" i="2"/>
  <c r="S8" i="2"/>
  <c r="R8" i="2"/>
  <c r="E8" i="2"/>
  <c r="AF35" i="2"/>
  <c r="P35" i="2"/>
  <c r="AH35" i="2"/>
  <c r="R35" i="2"/>
  <c r="B35" i="2"/>
  <c r="G35" i="2"/>
  <c r="U35" i="2"/>
  <c r="AI35" i="2"/>
  <c r="C35" i="2"/>
  <c r="AB35" i="2"/>
  <c r="L35" i="2"/>
  <c r="AD35" i="2"/>
  <c r="N35" i="2"/>
  <c r="AE35" i="2"/>
  <c r="AG35" i="2"/>
  <c r="M35" i="2"/>
  <c r="AA35" i="2"/>
  <c r="Y35" i="2"/>
  <c r="X35" i="2"/>
  <c r="H35" i="2"/>
  <c r="Z35" i="2"/>
  <c r="J35" i="2"/>
  <c r="V35" i="2"/>
  <c r="I35" i="2"/>
  <c r="S35" i="2"/>
  <c r="BK35" i="2"/>
  <c r="F35" i="2"/>
  <c r="AC35" i="2"/>
  <c r="K35" i="2"/>
  <c r="T35" i="2"/>
  <c r="W35" i="2"/>
  <c r="E35" i="2"/>
  <c r="A35" i="2"/>
  <c r="O35" i="2"/>
  <c r="Q35" i="2"/>
  <c r="D35" i="2"/>
  <c r="AC44" i="2"/>
  <c r="M44" i="2"/>
  <c r="AF44" i="2"/>
  <c r="P44" i="2"/>
  <c r="BK44" i="2"/>
  <c r="W44" i="2"/>
  <c r="G44" i="2"/>
  <c r="B44" i="2"/>
  <c r="Z44" i="2"/>
  <c r="U44" i="2"/>
  <c r="X44" i="2"/>
  <c r="AE44" i="2"/>
  <c r="AD44" i="2"/>
  <c r="Y44" i="2"/>
  <c r="I44" i="2"/>
  <c r="AB44" i="2"/>
  <c r="L44" i="2"/>
  <c r="AI44" i="2"/>
  <c r="S44" i="2"/>
  <c r="C44" i="2"/>
  <c r="V44" i="2"/>
  <c r="J44" i="2"/>
  <c r="H44" i="2"/>
  <c r="O44" i="2"/>
  <c r="F44" i="2"/>
  <c r="E44" i="2"/>
  <c r="AH44" i="2"/>
  <c r="Q44" i="2"/>
  <c r="AA44" i="2"/>
  <c r="R44" i="2"/>
  <c r="AG44" i="2"/>
  <c r="A44" i="2"/>
  <c r="K44" i="2"/>
  <c r="T44" i="2"/>
  <c r="N44" i="2"/>
  <c r="D44" i="2"/>
  <c r="AA18" i="2"/>
  <c r="K18" i="2"/>
  <c r="AF18" i="2"/>
  <c r="P18" i="2"/>
  <c r="AH18" i="2"/>
  <c r="R18" i="2"/>
  <c r="B18" i="2"/>
  <c r="U18" i="2"/>
  <c r="E18" i="2"/>
  <c r="W18" i="2"/>
  <c r="G18" i="2"/>
  <c r="AB18" i="2"/>
  <c r="L18" i="2"/>
  <c r="AD18" i="2"/>
  <c r="N18" i="2"/>
  <c r="AG18" i="2"/>
  <c r="Q18" i="2"/>
  <c r="A18" i="2"/>
  <c r="AI18" i="2"/>
  <c r="S18" i="2"/>
  <c r="C18" i="2"/>
  <c r="X18" i="2"/>
  <c r="H18" i="2"/>
  <c r="Z18" i="2"/>
  <c r="J18" i="2"/>
  <c r="AC18" i="2"/>
  <c r="M18" i="2"/>
  <c r="O18" i="2"/>
  <c r="V18" i="2"/>
  <c r="BK18" i="2"/>
  <c r="F18" i="2"/>
  <c r="T18" i="2"/>
  <c r="Y18" i="2"/>
  <c r="AE18" i="2"/>
  <c r="D18" i="2"/>
  <c r="I18" i="2"/>
  <c r="AE13" i="2"/>
  <c r="O13" i="2"/>
  <c r="AH13" i="2"/>
  <c r="R13" i="2"/>
  <c r="B13" i="2"/>
  <c r="T13" i="2"/>
  <c r="D13" i="2"/>
  <c r="U13" i="2"/>
  <c r="E13" i="2"/>
  <c r="AA13" i="2"/>
  <c r="K13" i="2"/>
  <c r="AD13" i="2"/>
  <c r="N13" i="2"/>
  <c r="AF13" i="2"/>
  <c r="P13" i="2"/>
  <c r="AG13" i="2"/>
  <c r="Q13" i="2"/>
  <c r="A13" i="2"/>
  <c r="BK13" i="2"/>
  <c r="W13" i="2"/>
  <c r="G13" i="2"/>
  <c r="Z13" i="2"/>
  <c r="J13" i="2"/>
  <c r="AB13" i="2"/>
  <c r="L13" i="2"/>
  <c r="AC13" i="2"/>
  <c r="M13" i="2"/>
  <c r="C13" i="2"/>
  <c r="H13" i="2"/>
  <c r="S13" i="2"/>
  <c r="V13" i="2"/>
  <c r="Y13" i="2"/>
  <c r="AI13" i="2"/>
  <c r="F13" i="2"/>
  <c r="I13" i="2"/>
  <c r="X13" i="2"/>
  <c r="Y43" i="2"/>
  <c r="I43" i="2"/>
  <c r="AB43" i="2"/>
  <c r="L43" i="2"/>
  <c r="AI43" i="2"/>
  <c r="S43" i="2"/>
  <c r="C43" i="2"/>
  <c r="V43" i="2"/>
  <c r="R43" i="2"/>
  <c r="U43" i="2"/>
  <c r="E43" i="2"/>
  <c r="X43" i="2"/>
  <c r="H43" i="2"/>
  <c r="AE43" i="2"/>
  <c r="O43" i="2"/>
  <c r="Z43" i="2"/>
  <c r="F43" i="2"/>
  <c r="B43" i="2"/>
  <c r="AG43" i="2"/>
  <c r="Q43" i="2"/>
  <c r="A43" i="2"/>
  <c r="T43" i="2"/>
  <c r="D43" i="2"/>
  <c r="AA43" i="2"/>
  <c r="K43" i="2"/>
  <c r="J43" i="2"/>
  <c r="N43" i="2"/>
  <c r="AF43" i="2"/>
  <c r="G43" i="2"/>
  <c r="P43" i="2"/>
  <c r="AD43" i="2"/>
  <c r="W43" i="2"/>
  <c r="AC43" i="2"/>
  <c r="BK43" i="2"/>
  <c r="AH43" i="2"/>
  <c r="M43" i="2"/>
  <c r="AE30" i="2"/>
  <c r="O30" i="2"/>
  <c r="AH30" i="2"/>
  <c r="R30" i="2"/>
  <c r="B30" i="2"/>
  <c r="U30" i="2"/>
  <c r="E30" i="2"/>
  <c r="AB30" i="2"/>
  <c r="L30" i="2"/>
  <c r="AI30" i="2"/>
  <c r="V30" i="2"/>
  <c r="I30" i="2"/>
  <c r="AA30" i="2"/>
  <c r="K30" i="2"/>
  <c r="AD30" i="2"/>
  <c r="N30" i="2"/>
  <c r="AG30" i="2"/>
  <c r="Q30" i="2"/>
  <c r="A30" i="2"/>
  <c r="X30" i="2"/>
  <c r="H30" i="2"/>
  <c r="S30" i="2"/>
  <c r="F30" i="2"/>
  <c r="AF30" i="2"/>
  <c r="P30" i="2"/>
  <c r="W30" i="2"/>
  <c r="G30" i="2"/>
  <c r="Z30" i="2"/>
  <c r="J30" i="2"/>
  <c r="AC30" i="2"/>
  <c r="M30" i="2"/>
  <c r="BK30" i="2"/>
  <c r="T30" i="2"/>
  <c r="D30" i="2"/>
  <c r="C30" i="2"/>
  <c r="Y30" i="2"/>
  <c r="AE14" i="2"/>
  <c r="O14" i="2"/>
  <c r="AH14" i="2"/>
  <c r="R14" i="2"/>
  <c r="B14" i="2"/>
  <c r="AG14" i="2"/>
  <c r="Q14" i="2"/>
  <c r="A14" i="2"/>
  <c r="T14" i="2"/>
  <c r="S14" i="2"/>
  <c r="V14" i="2"/>
  <c r="U14" i="2"/>
  <c r="AA14" i="2"/>
  <c r="K14" i="2"/>
  <c r="AD14" i="2"/>
  <c r="N14" i="2"/>
  <c r="BK14" i="2"/>
  <c r="AC14" i="2"/>
  <c r="M14" i="2"/>
  <c r="AF14" i="2"/>
  <c r="L14" i="2"/>
  <c r="C14" i="2"/>
  <c r="D14" i="2"/>
  <c r="X14" i="2"/>
  <c r="W14" i="2"/>
  <c r="G14" i="2"/>
  <c r="Z14" i="2"/>
  <c r="J14" i="2"/>
  <c r="P14" i="2"/>
  <c r="Y14" i="2"/>
  <c r="I14" i="2"/>
  <c r="AB14" i="2"/>
  <c r="H14" i="2"/>
  <c r="AI14" i="2"/>
  <c r="F14" i="2"/>
  <c r="E14" i="2"/>
  <c r="AC28" i="2"/>
  <c r="M28" i="2"/>
  <c r="BK28" i="2"/>
  <c r="T28" i="2"/>
  <c r="D28" i="2"/>
  <c r="W28" i="2"/>
  <c r="G28" i="2"/>
  <c r="Z28" i="2"/>
  <c r="J28" i="2"/>
  <c r="Y28" i="2"/>
  <c r="I28" i="2"/>
  <c r="AF28" i="2"/>
  <c r="P28" i="2"/>
  <c r="AI28" i="2"/>
  <c r="S28" i="2"/>
  <c r="C28" i="2"/>
  <c r="V28" i="2"/>
  <c r="F28" i="2"/>
  <c r="U28" i="2"/>
  <c r="E28" i="2"/>
  <c r="AB28" i="2"/>
  <c r="L28" i="2"/>
  <c r="AE28" i="2"/>
  <c r="O28" i="2"/>
  <c r="AH28" i="2"/>
  <c r="R28" i="2"/>
  <c r="B28" i="2"/>
  <c r="A28" i="2"/>
  <c r="K28" i="2"/>
  <c r="X28" i="2"/>
  <c r="AD28" i="2"/>
  <c r="AG28" i="2"/>
  <c r="H28" i="2"/>
  <c r="N28" i="2"/>
  <c r="Q28" i="2"/>
  <c r="AA28" i="2"/>
  <c r="AB25" i="2"/>
  <c r="L25" i="2"/>
  <c r="Y25" i="2"/>
  <c r="AI25" i="2"/>
  <c r="X25" i="2"/>
  <c r="H25" i="2"/>
  <c r="Q25" i="2"/>
  <c r="AE25" i="2"/>
  <c r="O25" i="2"/>
  <c r="AC25" i="2"/>
  <c r="AH25" i="2"/>
  <c r="R25" i="2"/>
  <c r="B25" i="2"/>
  <c r="BK25" i="2"/>
  <c r="T25" i="2"/>
  <c r="D25" i="2"/>
  <c r="I25" i="2"/>
  <c r="AA25" i="2"/>
  <c r="K25" i="2"/>
  <c r="U25" i="2"/>
  <c r="AD25" i="2"/>
  <c r="N25" i="2"/>
  <c r="AF25" i="2"/>
  <c r="W25" i="2"/>
  <c r="M25" i="2"/>
  <c r="J25" i="2"/>
  <c r="P25" i="2"/>
  <c r="S25" i="2"/>
  <c r="E25" i="2"/>
  <c r="F25" i="2"/>
  <c r="AG25" i="2"/>
  <c r="G25" i="2"/>
  <c r="Z25" i="2"/>
  <c r="A25" i="2"/>
  <c r="C25" i="2"/>
  <c r="V25" i="2"/>
  <c r="AC20" i="2"/>
  <c r="M20" i="2"/>
  <c r="AH20" i="2"/>
  <c r="F20" i="2"/>
  <c r="X20" i="2"/>
  <c r="H20" i="2"/>
  <c r="AA20" i="2"/>
  <c r="K20" i="2"/>
  <c r="R20" i="2"/>
  <c r="Y20" i="2"/>
  <c r="I20" i="2"/>
  <c r="AD20" i="2"/>
  <c r="BK20" i="2"/>
  <c r="T20" i="2"/>
  <c r="D20" i="2"/>
  <c r="W20" i="2"/>
  <c r="G20" i="2"/>
  <c r="J20" i="2"/>
  <c r="U20" i="2"/>
  <c r="E20" i="2"/>
  <c r="V20" i="2"/>
  <c r="AF20" i="2"/>
  <c r="P20" i="2"/>
  <c r="AI20" i="2"/>
  <c r="S20" i="2"/>
  <c r="C20" i="2"/>
  <c r="B20" i="2"/>
  <c r="Q20" i="2"/>
  <c r="L20" i="2"/>
  <c r="A20" i="2"/>
  <c r="AE20" i="2"/>
  <c r="N20" i="2"/>
  <c r="O20" i="2"/>
  <c r="Z20" i="2"/>
  <c r="AG20" i="2"/>
  <c r="AB20" i="2"/>
  <c r="AC46" i="2"/>
  <c r="M46" i="2"/>
  <c r="AF46" i="2"/>
  <c r="P46" i="2"/>
  <c r="BK46" i="2"/>
  <c r="Y46" i="2"/>
  <c r="I46" i="2"/>
  <c r="AB46" i="2"/>
  <c r="L46" i="2"/>
  <c r="AI46" i="2"/>
  <c r="E46" i="2"/>
  <c r="H46" i="2"/>
  <c r="W46" i="2"/>
  <c r="G46" i="2"/>
  <c r="B46" i="2"/>
  <c r="Z46" i="2"/>
  <c r="AG46" i="2"/>
  <c r="A46" i="2"/>
  <c r="D46" i="2"/>
  <c r="S46" i="2"/>
  <c r="C46" i="2"/>
  <c r="AD46" i="2"/>
  <c r="J46" i="2"/>
  <c r="U46" i="2"/>
  <c r="X46" i="2"/>
  <c r="AE46" i="2"/>
  <c r="O46" i="2"/>
  <c r="AH46" i="2"/>
  <c r="N46" i="2"/>
  <c r="F46" i="2"/>
  <c r="T46" i="2"/>
  <c r="V46" i="2"/>
  <c r="AA46" i="2"/>
  <c r="K46" i="2"/>
  <c r="Q46" i="2"/>
  <c r="R46" i="2"/>
  <c r="AE40" i="2"/>
  <c r="O40" i="2"/>
  <c r="AG40" i="2"/>
  <c r="Q40" i="2"/>
  <c r="A40" i="2"/>
  <c r="N40" i="2"/>
  <c r="L40" i="2"/>
  <c r="AH40" i="2"/>
  <c r="B40" i="2"/>
  <c r="AI40" i="2"/>
  <c r="U40" i="2"/>
  <c r="T40" i="2"/>
  <c r="J40" i="2"/>
  <c r="AA40" i="2"/>
  <c r="K40" i="2"/>
  <c r="AC40" i="2"/>
  <c r="M40" i="2"/>
  <c r="BK40" i="2"/>
  <c r="F40" i="2"/>
  <c r="D40" i="2"/>
  <c r="Z40" i="2"/>
  <c r="X40" i="2"/>
  <c r="C40" i="2"/>
  <c r="E40" i="2"/>
  <c r="H40" i="2"/>
  <c r="W40" i="2"/>
  <c r="G40" i="2"/>
  <c r="Y40" i="2"/>
  <c r="I40" i="2"/>
  <c r="AD40" i="2"/>
  <c r="AB40" i="2"/>
  <c r="AF40" i="2"/>
  <c r="R40" i="2"/>
  <c r="P40" i="2"/>
  <c r="S40" i="2"/>
  <c r="V40" i="2"/>
  <c r="AE11" i="2"/>
  <c r="O11" i="2"/>
  <c r="AH11" i="2"/>
  <c r="R11" i="2"/>
  <c r="B11" i="2"/>
  <c r="U11" i="2"/>
  <c r="E11" i="2"/>
  <c r="X11" i="2"/>
  <c r="H11" i="2"/>
  <c r="AA11" i="2"/>
  <c r="K11" i="2"/>
  <c r="AD11" i="2"/>
  <c r="N11" i="2"/>
  <c r="AG11" i="2"/>
  <c r="Q11" i="2"/>
  <c r="A11" i="2"/>
  <c r="T11" i="2"/>
  <c r="D11" i="2"/>
  <c r="BK11" i="2"/>
  <c r="W11" i="2"/>
  <c r="G11" i="2"/>
  <c r="Z11" i="2"/>
  <c r="J11" i="2"/>
  <c r="AC11" i="2"/>
  <c r="M11" i="2"/>
  <c r="AF11" i="2"/>
  <c r="P11" i="2"/>
  <c r="V11" i="2"/>
  <c r="AB11" i="2"/>
  <c r="AI11" i="2"/>
  <c r="F11" i="2"/>
  <c r="L11" i="2"/>
  <c r="S11" i="2"/>
  <c r="Y11" i="2"/>
  <c r="C11" i="2"/>
  <c r="I11" i="2"/>
  <c r="AD19" i="2"/>
  <c r="N19" i="2"/>
  <c r="AI19" i="2"/>
  <c r="S19" i="2"/>
  <c r="C19" i="2"/>
  <c r="U19" i="2"/>
  <c r="E19" i="2"/>
  <c r="AB19" i="2"/>
  <c r="L19" i="2"/>
  <c r="Z19" i="2"/>
  <c r="J19" i="2"/>
  <c r="AE19" i="2"/>
  <c r="O19" i="2"/>
  <c r="AG19" i="2"/>
  <c r="Q19" i="2"/>
  <c r="A19" i="2"/>
  <c r="X19" i="2"/>
  <c r="H19" i="2"/>
  <c r="V19" i="2"/>
  <c r="F19" i="2"/>
  <c r="AA19" i="2"/>
  <c r="K19" i="2"/>
  <c r="AC19" i="2"/>
  <c r="M19" i="2"/>
  <c r="BK19" i="2"/>
  <c r="T19" i="2"/>
  <c r="D19" i="2"/>
  <c r="W19" i="2"/>
  <c r="AF19" i="2"/>
  <c r="AH19" i="2"/>
  <c r="G19" i="2"/>
  <c r="P19" i="2"/>
  <c r="R19" i="2"/>
  <c r="Y19" i="2"/>
  <c r="B19" i="2"/>
  <c r="I19" i="2"/>
  <c r="AC49" i="2"/>
  <c r="M49" i="2"/>
  <c r="AF49" i="2"/>
  <c r="P49" i="2"/>
  <c r="BK49" i="2"/>
  <c r="W49" i="2"/>
  <c r="G49" i="2"/>
  <c r="V49" i="2"/>
  <c r="R49" i="2"/>
  <c r="Y49" i="2"/>
  <c r="I49" i="2"/>
  <c r="AB49" i="2"/>
  <c r="L49" i="2"/>
  <c r="AI49" i="2"/>
  <c r="S49" i="2"/>
  <c r="C49" i="2"/>
  <c r="F49" i="2"/>
  <c r="B49" i="2"/>
  <c r="AG49" i="2"/>
  <c r="A49" i="2"/>
  <c r="D49" i="2"/>
  <c r="K49" i="2"/>
  <c r="AH49" i="2"/>
  <c r="U49" i="2"/>
  <c r="X49" i="2"/>
  <c r="AE49" i="2"/>
  <c r="Z49" i="2"/>
  <c r="AD49" i="2"/>
  <c r="Q49" i="2"/>
  <c r="T49" i="2"/>
  <c r="AA49" i="2"/>
  <c r="J49" i="2"/>
  <c r="N49" i="2"/>
  <c r="E49" i="2"/>
  <c r="H49" i="2"/>
  <c r="O49" i="2"/>
  <c r="Z7" i="2"/>
  <c r="J7" i="2"/>
  <c r="Q7" i="2"/>
  <c r="AI7" i="2"/>
  <c r="S7" i="2"/>
  <c r="AC7" i="2"/>
  <c r="O7" i="2"/>
  <c r="X7" i="2"/>
  <c r="H7" i="2"/>
  <c r="V7" i="2"/>
  <c r="F7" i="2"/>
  <c r="I7" i="2"/>
  <c r="AE7" i="2"/>
  <c r="K7" i="2"/>
  <c r="U7" i="2"/>
  <c r="C7" i="2"/>
  <c r="T7" i="2"/>
  <c r="D7" i="2"/>
  <c r="AH7" i="2"/>
  <c r="R7" i="2"/>
  <c r="B7" i="2"/>
  <c r="A7" i="2"/>
  <c r="AA7" i="2"/>
  <c r="G7" i="2"/>
  <c r="M7" i="2"/>
  <c r="AF7" i="2"/>
  <c r="P7" i="2"/>
  <c r="AD7" i="2"/>
  <c r="W7" i="2"/>
  <c r="L7" i="2"/>
  <c r="AB7" i="2"/>
  <c r="N7" i="2"/>
  <c r="AG7" i="2"/>
  <c r="BK7" i="2"/>
  <c r="Y7" i="2"/>
  <c r="E7" i="2"/>
  <c r="Z27" i="2"/>
  <c r="J27" i="2"/>
  <c r="AE27" i="2"/>
  <c r="O27" i="2"/>
  <c r="AG27" i="2"/>
  <c r="Q27" i="2"/>
  <c r="A27" i="2"/>
  <c r="X27" i="2"/>
  <c r="H27" i="2"/>
  <c r="V27" i="2"/>
  <c r="F27" i="2"/>
  <c r="AA27" i="2"/>
  <c r="K27" i="2"/>
  <c r="AC27" i="2"/>
  <c r="M27" i="2"/>
  <c r="BK27" i="2"/>
  <c r="T27" i="2"/>
  <c r="D27" i="2"/>
  <c r="AH27" i="2"/>
  <c r="R27" i="2"/>
  <c r="B27" i="2"/>
  <c r="W27" i="2"/>
  <c r="G27" i="2"/>
  <c r="Y27" i="2"/>
  <c r="I27" i="2"/>
  <c r="AF27" i="2"/>
  <c r="P27" i="2"/>
  <c r="AD27" i="2"/>
  <c r="C27" i="2"/>
  <c r="L27" i="2"/>
  <c r="AB27" i="2"/>
  <c r="N27" i="2"/>
  <c r="U27" i="2"/>
  <c r="AI27" i="2"/>
  <c r="E27" i="2"/>
  <c r="S27" i="2"/>
  <c r="Y51" i="2"/>
  <c r="I51" i="2"/>
  <c r="AB51" i="2"/>
  <c r="L51" i="2"/>
  <c r="AI51" i="2"/>
  <c r="S51" i="2"/>
  <c r="C51" i="2"/>
  <c r="V51" i="2"/>
  <c r="B51" i="2"/>
  <c r="U51" i="2"/>
  <c r="E51" i="2"/>
  <c r="X51" i="2"/>
  <c r="H51" i="2"/>
  <c r="AE51" i="2"/>
  <c r="O51" i="2"/>
  <c r="Z51" i="2"/>
  <c r="F51" i="2"/>
  <c r="AD51" i="2"/>
  <c r="AG51" i="2"/>
  <c r="Q51" i="2"/>
  <c r="A51" i="2"/>
  <c r="T51" i="2"/>
  <c r="D51" i="2"/>
  <c r="AA51" i="2"/>
  <c r="K51" i="2"/>
  <c r="J51" i="2"/>
  <c r="AH51" i="2"/>
  <c r="AC51" i="2"/>
  <c r="BK51" i="2"/>
  <c r="R51" i="2"/>
  <c r="P51" i="2"/>
  <c r="M51" i="2"/>
  <c r="W51" i="2"/>
  <c r="N51" i="2"/>
  <c r="AF51" i="2"/>
  <c r="G51" i="2"/>
</calcChain>
</file>

<file path=xl/sharedStrings.xml><?xml version="1.0" encoding="utf-8"?>
<sst xmlns="http://schemas.openxmlformats.org/spreadsheetml/2006/main" count="337" uniqueCount="142">
  <si>
    <t>MSTC LIMITED - COMBINED BID SHEET (Auctions 21977, 21978, 21979, 21980)</t>
  </si>
  <si>
    <t>Quantity</t>
  </si>
  <si>
    <t>Lot Name</t>
  </si>
  <si>
    <t>Rate</t>
  </si>
  <si>
    <t>Bid Sheet</t>
  </si>
  <si>
    <t>Unit</t>
  </si>
  <si>
    <t>Lot No.</t>
  </si>
  <si>
    <t>Buyer</t>
  </si>
  <si>
    <t>Mat. Value</t>
  </si>
  <si>
    <t>GST</t>
  </si>
  <si>
    <t>Mat. Value + GST</t>
  </si>
  <si>
    <t>TCS</t>
  </si>
  <si>
    <t>TDS u/s 194(O)</t>
  </si>
  <si>
    <t>Service Charge
to MSTC</t>
  </si>
  <si>
    <t>TDS u/s 194(H)</t>
  </si>
  <si>
    <t>Net Service Charge
(post TDS 194H)</t>
  </si>
  <si>
    <t>Service charge to MSTC</t>
  </si>
  <si>
    <t>GST TDS Rate</t>
  </si>
  <si>
    <t>GST TDS</t>
  </si>
  <si>
    <t>Total Receivables in Cash</t>
  </si>
  <si>
    <t>Security Deposit (Expected)</t>
  </si>
  <si>
    <t>Security Deposit (Received)</t>
  </si>
  <si>
    <t>Date of Receipt</t>
  </si>
  <si>
    <t>Final Payment (Expected)</t>
  </si>
  <si>
    <t>Final Payment (Received)</t>
  </si>
  <si>
    <t>LPP Expected</t>
  </si>
  <si>
    <t>LPP Received</t>
  </si>
  <si>
    <t>Date of Recepit of LPP</t>
  </si>
  <si>
    <t>Total Received</t>
  </si>
  <si>
    <t>Outstanding</t>
  </si>
  <si>
    <t xml:space="preserve">Invoice No. </t>
  </si>
  <si>
    <t>SAP Document</t>
  </si>
  <si>
    <t>Doc./Invoice Date</t>
  </si>
  <si>
    <t>KG</t>
  </si>
  <si>
    <t>AL HAMD TRADE CORPORATION</t>
  </si>
  <si>
    <t>24.08.2026</t>
  </si>
  <si>
    <t>18.08.2026</t>
  </si>
  <si>
    <t>DR2640100029</t>
  </si>
  <si>
    <t>Scrap of Empty oil drum</t>
  </si>
  <si>
    <t>NO</t>
  </si>
  <si>
    <t>NATIONAL ENTERPRISES</t>
  </si>
  <si>
    <t>13.08.2026</t>
  </si>
  <si>
    <t>DR2640100030</t>
  </si>
  <si>
    <t>27.08.2026</t>
  </si>
  <si>
    <t>Scrap of Copper of faulty AC compressor</t>
  </si>
  <si>
    <t>F R KHANS ENTERPRISES</t>
  </si>
  <si>
    <t>11.08.2026</t>
  </si>
  <si>
    <t>20.08.2026</t>
  </si>
  <si>
    <t>DR2640100047</t>
  </si>
  <si>
    <t>Scrap of MS (extracted from equip cage and empty Sf6 gas cylinder)</t>
  </si>
  <si>
    <t>DR2640100048</t>
  </si>
  <si>
    <t>SCRAP ACSR CONDUCTORS (Conductor Pieces)</t>
  </si>
  <si>
    <t>OMKAR STEELS</t>
  </si>
  <si>
    <t>14.08.2026</t>
  </si>
  <si>
    <t>DR2640100045</t>
  </si>
  <si>
    <t>Scrap Power Transformer</t>
  </si>
  <si>
    <t>SHAR JAHAN TRADERS</t>
  </si>
  <si>
    <t>DR2640100023</t>
  </si>
  <si>
    <t>17.08.2026</t>
  </si>
  <si>
    <t>Scrap of 132 KV CT</t>
  </si>
  <si>
    <t>DR2640100031</t>
  </si>
  <si>
    <t>Scrap of 145 KV CB</t>
  </si>
  <si>
    <t>DR2640100032</t>
  </si>
  <si>
    <t>Scrap of 220KV CT</t>
  </si>
  <si>
    <t>DR2640100033</t>
  </si>
  <si>
    <t>Scrap of empty oil drums</t>
  </si>
  <si>
    <t>STERLING ENTERPRISES</t>
  </si>
  <si>
    <t>DR2640100018</t>
  </si>
  <si>
    <t>SCRAP POWER TRANSFORMER</t>
  </si>
  <si>
    <t>DR2640100024</t>
  </si>
  <si>
    <t>Scrap of empty oil Druam</t>
  </si>
  <si>
    <t>HIND TRADERS</t>
  </si>
  <si>
    <t>DR2640100026</t>
  </si>
  <si>
    <t>Scrap of empty oil Barrel</t>
  </si>
  <si>
    <t>DR2640100019</t>
  </si>
  <si>
    <t>Scrap of empty oil Barrels</t>
  </si>
  <si>
    <t>DR2640100020</t>
  </si>
  <si>
    <t>Scrap of 220 KV Circuit Breaker</t>
  </si>
  <si>
    <t>DR2640100034</t>
  </si>
  <si>
    <t>DR2640100035</t>
  </si>
  <si>
    <t>SCRAP 80MM² AAAC EARTHWIRE</t>
  </si>
  <si>
    <t>10.08.2026</t>
  </si>
  <si>
    <t>DR2640100017</t>
  </si>
  <si>
    <t>12.08.2026</t>
  </si>
  <si>
    <t>NATIONAL SCRAP AND BUILDING MATERIAL SUPPLIER</t>
  </si>
  <si>
    <t>21.08.2026</t>
  </si>
  <si>
    <t>DR2640100028</t>
  </si>
  <si>
    <t>DR2640100044</t>
  </si>
  <si>
    <t>DR2640100021</t>
  </si>
  <si>
    <t>DR2640100036</t>
  </si>
  <si>
    <t>Scrap Empty Oil Drum/ Barrel</t>
  </si>
  <si>
    <t>WATAN SCRAP TRADERS</t>
  </si>
  <si>
    <t>DR2640100042</t>
  </si>
  <si>
    <t>Scrap of 132 KV Wave Trap</t>
  </si>
  <si>
    <t>DR2640100037</t>
  </si>
  <si>
    <t>Mix Scrap (Tower angles &amp; 0.2 ACSR Condutor pieces)</t>
  </si>
  <si>
    <t>MT</t>
  </si>
  <si>
    <t>M I SCRAP TRADERS</t>
  </si>
  <si>
    <t>DR2640100043</t>
  </si>
  <si>
    <t>Scrap of 33 KV CT</t>
  </si>
  <si>
    <t>DR2640100038</t>
  </si>
  <si>
    <t>Scrap of AAAC Earth wire</t>
  </si>
  <si>
    <t>SAHARA ENTERPRISES</t>
  </si>
  <si>
    <t>DR2640100041</t>
  </si>
  <si>
    <t>Scrap of 220 KV CT</t>
  </si>
  <si>
    <t>DR2640100039</t>
  </si>
  <si>
    <t>Scrap of 33 KV GCB</t>
  </si>
  <si>
    <t>DR2640100046</t>
  </si>
  <si>
    <t>Scrap of Empty oil Barrels</t>
  </si>
  <si>
    <t>DR2640100022</t>
  </si>
  <si>
    <t>DR2640100027</t>
  </si>
  <si>
    <t>Scrap of 33 KV CB</t>
  </si>
  <si>
    <t>Scrap of 66 KV Isolater</t>
  </si>
  <si>
    <t>DR2640100040</t>
  </si>
  <si>
    <t>KASHYAP TRADING CO</t>
  </si>
  <si>
    <t>DR2640100025</t>
  </si>
  <si>
    <t>19.08.2026</t>
  </si>
  <si>
    <t>Scrap of 66 kv TBC C &amp; R Panel</t>
  </si>
  <si>
    <t>S M ENTERPRISES</t>
  </si>
  <si>
    <t>01.09.2026</t>
  </si>
  <si>
    <t>Bal SD O/s</t>
  </si>
  <si>
    <t>Bal FP O/s</t>
  </si>
  <si>
    <t>MSTC LIMITED  •  LIVE SEARCH   (results grouped by the value you typed, each group totalled, TOTAL MATCHED beneath them, the misses greyed in a REMAINING block, a GRAND TOTAL of both at the foot)</t>
  </si>
  <si>
    <t>HOW TO USE  ▶  click the yellow box B3 and type - a lot number (1874), part of one (187), a buyer (NATIONAL), part of a buyer name, a lot name (COPPER).   •   WILDCARD / MATCH ANY - separate values with a comma or a slash:   1874, 1923, OMKAR   or   1874 / 1923    - and every lot containing ANY of them lights up.   •   FACETED / FILTERED - separate them with + or &amp;:   NATIONAL + COPPER   - and a lot lights up only if it matches EVERY facet.   •   the two mix:   OMKAR, STERLING + COPPER   = (OMKAR or STERLING) and COPPER.   Up to 8 values, empty ones ignored, spaces around a separator are fine.  •   THE RESULT IS GROUPED BY THE VALUE YOU TYPED: every value gets its own block of lots with a shaded ∑ total row beneath it, then a blue TOTAL MATCHED row adds every group up at once - the grand total of the rows your search actually hit, sitting right beneath them.  Under that a greyed REMAINING block holds the lots that did not match, with its own total, and the green GRAND TOTAL of both sits at the foot.  A lot matching two values is counted under the first one only, so TOTAL MATCHED + REMAINING always equals GRAND TOTAL, and with nothing typed the matched row is the whole list.   •   clear the box and all 37 come back in one ALL LOTS block.   •   cell F3 narrows what the text is looked for in (lot no. + buyer + name by default).   •   matching is 'contains', not case sensitive.   •   nothing here is typed in: every figure is a live link to 'Final Calculation Sheet'.   •   columns AK..BL are hidden helpers.</t>
  </si>
  <si>
    <t>🔍  SEARCH  ▸</t>
  </si>
  <si>
    <t>SEARCH IN  ▸</t>
  </si>
  <si>
    <t>Lot No. + Buyer + Name</t>
  </si>
  <si>
    <t>MATCHES  ▸</t>
  </si>
  <si>
    <t>the text this lot is searched in</t>
  </si>
  <si>
    <t>1 = this lot matches the search box</t>
  </si>
  <si>
    <t>the 'search in' list</t>
  </si>
  <si>
    <t>the box with &amp; -&gt; + and / -&gt; ,</t>
  </si>
  <si>
    <t>term 1 - rows 4..9: text left, delimiter pos, the term, delimiter, running facet, facet no.</t>
  </si>
  <si>
    <t>#</t>
  </si>
  <si>
    <t>Service Charge to MSTC</t>
  </si>
  <si>
    <t>Net Service Charge (post TDS 194H)</t>
  </si>
  <si>
    <t>Date of Receipt (col V)</t>
  </si>
  <si>
    <t>Date of Receipt (col Y)</t>
  </si>
  <si>
    <t>Invoice No.</t>
  </si>
  <si>
    <t>Payment Status</t>
  </si>
  <si>
    <t xml:space="preserve">1876, 1923, national e </t>
  </si>
  <si>
    <t>drum, 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</si>
</sst>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_ * #,##0_ ;_ * \-#,##0_ ;_ * \-??_ ;_ @_ "/>
  </numFmts>
  <fonts count="20" x14ac:knownFonts="1">
    <font>
      <sz val="11"/>
      <color theme="1"/>
      <name val="Calibri"/>
      <family val="2"/>
      <charset val="1"/>
    </font>
    <font>
      <b/>
      <sz val="13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/>
      <sz val="15"/>
      <color rgb="FFFFFFFF"/>
      <name val="Calibri"/>
    </font>
    <font>
      <i/>
      <sz val="9"/>
      <color rgb="FF1F3864"/>
      <name val="Calibri"/>
    </font>
    <font>
      <b/>
      <sz val="11"/>
      <color rgb="FFFFFFFF"/>
      <name val="Calibri"/>
    </font>
    <font>
      <b/>
      <sz val="13"/>
      <color rgb="FF1F3864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b/>
      <sz val="12"/>
      <color rgb="FF1F3864"/>
      <name val="Calibri"/>
    </font>
    <font>
      <b/>
      <sz val="9"/>
      <color rgb="FFFFFFFF"/>
      <name val="Calibri"/>
    </font>
    <font>
      <b/>
      <sz val="9"/>
      <color rgb="FF666666"/>
      <name val="Calibri"/>
    </font>
    <font>
      <b/>
      <sz val="10"/>
      <color rgb="FF333333"/>
      <name val="Calibri"/>
    </font>
    <font>
      <sz val="10"/>
      <color rgb="FF333333"/>
      <name val="Calibri"/>
    </font>
    <font>
      <b/>
      <sz val="10"/>
      <name val="Calibri"/>
    </font>
    <font>
      <i/>
      <sz val="8"/>
      <color rgb="FF808080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2" tint="-9.9978637043366805E-2"/>
        <bgColor rgb="FFCCCCFF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404040"/>
        <bgColor rgb="FF404040"/>
      </patternFill>
    </fill>
    <fill>
      <patternFill patternType="solid">
        <fgColor rgb="FFFFE699"/>
        <bgColor rgb="FFFFE699"/>
      </patternFill>
    </fill>
    <fill>
      <patternFill patternType="solid">
        <fgColor rgb="FFDDEBF7"/>
        <bgColor rgb="FFDDEBF7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203864"/>
        <bgColor rgb="FF2038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D0D0D0"/>
      </left>
      <right style="thin">
        <color rgb="FFD0D0D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164" fontId="5" fillId="0" borderId="5" xfId="0" applyNumberFormat="1" applyFont="1" applyBorder="1" applyAlignment="1">
      <alignment horizontal="right" vertical="center"/>
    </xf>
    <xf numFmtId="3" fontId="5" fillId="0" borderId="5" xfId="0" applyNumberFormat="1" applyFont="1" applyBorder="1" applyAlignment="1">
      <alignment horizontal="right" vertical="center"/>
    </xf>
    <xf numFmtId="9" fontId="5" fillId="0" borderId="5" xfId="0" applyNumberFormat="1" applyFont="1" applyBorder="1" applyAlignment="1">
      <alignment horizontal="right" vertical="center"/>
    </xf>
    <xf numFmtId="165" fontId="6" fillId="2" borderId="5" xfId="0" applyNumberFormat="1" applyFont="1" applyFill="1" applyBorder="1" applyAlignment="1">
      <alignment vertical="center"/>
    </xf>
    <xf numFmtId="164" fontId="5" fillId="2" borderId="5" xfId="0" applyNumberFormat="1" applyFont="1" applyFill="1" applyBorder="1" applyAlignment="1">
      <alignment horizontal="right" vertical="center"/>
    </xf>
    <xf numFmtId="164" fontId="5" fillId="2" borderId="6" xfId="0" applyNumberFormat="1" applyFont="1" applyFill="1" applyBorder="1" applyAlignment="1">
      <alignment horizontal="right" vertical="center"/>
    </xf>
    <xf numFmtId="1" fontId="5" fillId="2" borderId="6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righ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right" vertical="center" wrapText="1"/>
    </xf>
    <xf numFmtId="164" fontId="5" fillId="0" borderId="6" xfId="0" applyNumberFormat="1" applyFont="1" applyBorder="1" applyAlignment="1">
      <alignment horizontal="right" vertical="center"/>
    </xf>
    <xf numFmtId="3" fontId="5" fillId="0" borderId="6" xfId="0" applyNumberFormat="1" applyFont="1" applyBorder="1" applyAlignment="1">
      <alignment horizontal="right" vertical="center"/>
    </xf>
    <xf numFmtId="9" fontId="5" fillId="0" borderId="6" xfId="0" applyNumberFormat="1" applyFont="1" applyBorder="1" applyAlignment="1">
      <alignment horizontal="right" vertical="center"/>
    </xf>
    <xf numFmtId="165" fontId="6" fillId="2" borderId="6" xfId="0" applyNumberFormat="1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right" vertical="center" wrapText="1"/>
    </xf>
    <xf numFmtId="164" fontId="5" fillId="0" borderId="10" xfId="0" applyNumberFormat="1" applyFont="1" applyBorder="1" applyAlignment="1">
      <alignment horizontal="right" vertical="center"/>
    </xf>
    <xf numFmtId="3" fontId="5" fillId="0" borderId="10" xfId="0" applyNumberFormat="1" applyFont="1" applyBorder="1" applyAlignment="1">
      <alignment horizontal="right" vertical="center"/>
    </xf>
    <xf numFmtId="9" fontId="5" fillId="0" borderId="10" xfId="0" applyNumberFormat="1" applyFont="1" applyBorder="1" applyAlignment="1">
      <alignment horizontal="right" vertical="center"/>
    </xf>
    <xf numFmtId="165" fontId="6" fillId="2" borderId="10" xfId="0" applyNumberFormat="1" applyFont="1" applyFill="1" applyBorder="1" applyAlignment="1">
      <alignment vertical="center"/>
    </xf>
    <xf numFmtId="0" fontId="0" fillId="0" borderId="11" xfId="0" applyBorder="1"/>
    <xf numFmtId="0" fontId="0" fillId="0" borderId="12" xfId="0" applyBorder="1"/>
    <xf numFmtId="164" fontId="5" fillId="0" borderId="12" xfId="0" applyNumberFormat="1" applyFont="1" applyBorder="1" applyAlignment="1">
      <alignment horizontal="right" vertical="center" wrapText="1"/>
    </xf>
    <xf numFmtId="164" fontId="5" fillId="0" borderId="12" xfId="0" applyNumberFormat="1" applyFont="1" applyBorder="1" applyAlignment="1">
      <alignment horizontal="right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5" fillId="0" borderId="15" xfId="0" applyNumberFormat="1" applyFont="1" applyBorder="1" applyAlignment="1">
      <alignment horizontal="right" vertical="center" wrapText="1"/>
    </xf>
    <xf numFmtId="164" fontId="5" fillId="0" borderId="15" xfId="0" applyNumberFormat="1" applyFont="1" applyBorder="1" applyAlignment="1">
      <alignment horizontal="right" vertical="center"/>
    </xf>
    <xf numFmtId="3" fontId="5" fillId="0" borderId="15" xfId="0" applyNumberFormat="1" applyFont="1" applyBorder="1" applyAlignment="1">
      <alignment horizontal="right" vertical="center"/>
    </xf>
    <xf numFmtId="164" fontId="6" fillId="0" borderId="15" xfId="0" applyNumberFormat="1" applyFont="1" applyBorder="1"/>
    <xf numFmtId="165" fontId="6" fillId="2" borderId="15" xfId="0" applyNumberFormat="1" applyFont="1" applyFill="1" applyBorder="1" applyAlignment="1">
      <alignment horizontal="right" vertical="center"/>
    </xf>
    <xf numFmtId="164" fontId="0" fillId="0" borderId="15" xfId="0" applyNumberFormat="1" applyBorder="1"/>
    <xf numFmtId="0" fontId="0" fillId="0" borderId="16" xfId="0" applyBorder="1"/>
    <xf numFmtId="164" fontId="0" fillId="0" borderId="0" xfId="0" applyNumberFormat="1"/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right"/>
    </xf>
    <xf numFmtId="164" fontId="0" fillId="2" borderId="0" xfId="0" applyNumberFormat="1" applyFill="1"/>
    <xf numFmtId="0" fontId="9" fillId="4" borderId="0" xfId="0" applyFont="1" applyFill="1" applyAlignment="1">
      <alignment horizontal="right" vertical="center"/>
    </xf>
    <xf numFmtId="0" fontId="11" fillId="7" borderId="0" xfId="0" applyFont="1" applyFill="1" applyAlignment="1">
      <alignment horizontal="right" vertical="center"/>
    </xf>
    <xf numFmtId="0" fontId="12" fillId="8" borderId="17" xfId="0" applyFont="1" applyFill="1" applyBorder="1" applyAlignment="1">
      <alignment horizontal="center" vertical="center" wrapText="1"/>
    </xf>
    <xf numFmtId="0" fontId="13" fillId="9" borderId="17" xfId="0" applyFont="1" applyFill="1" applyBorder="1" applyAlignment="1">
      <alignment horizontal="center" vertical="center" wrapText="1"/>
    </xf>
    <xf numFmtId="0" fontId="19" fillId="0" borderId="0" xfId="0" applyFont="1"/>
    <xf numFmtId="0" fontId="14" fillId="10" borderId="18" xfId="0" applyFont="1" applyFill="1" applyBorder="1" applyAlignment="1">
      <alignment horizontal="center" vertical="center" wrapText="1"/>
    </xf>
    <xf numFmtId="0" fontId="14" fillId="11" borderId="18" xfId="0" applyFont="1" applyFill="1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64" fontId="17" fillId="0" borderId="0" xfId="0" applyNumberFormat="1" applyFont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9" fontId="17" fillId="0" borderId="0" xfId="0" applyNumberFormat="1" applyFont="1" applyAlignment="1">
      <alignment horizontal="right" vertical="center"/>
    </xf>
    <xf numFmtId="165" fontId="17" fillId="0" borderId="0" xfId="0" applyNumberFormat="1" applyFont="1" applyAlignment="1">
      <alignment horizontal="right" vertical="center"/>
    </xf>
    <xf numFmtId="1" fontId="17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0" fontId="0" fillId="0" borderId="0" xfId="0"/>
    <xf numFmtId="0" fontId="10" fillId="6" borderId="17" xfId="0" applyFont="1" applyFill="1" applyBorder="1" applyAlignment="1">
      <alignment horizontal="left" vertical="center" indent="1"/>
    </xf>
    <xf numFmtId="0" fontId="0" fillId="0" borderId="17" xfId="0" applyBorder="1"/>
    <xf numFmtId="0" fontId="12" fillId="9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</cellXfs>
  <cellStyles count="1">
    <cellStyle name="Normal" xfId="0" builtinId="0"/>
  </cellStyles>
  <dxfs count="11">
    <dxf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</dxf>
    <dxf>
      <fill>
        <patternFill patternType="solid">
          <fgColor rgb="FFF4F9FD"/>
          <bgColor rgb="FFF4F9FD"/>
        </patternFill>
      </fill>
    </dxf>
    <dxf>
      <fill>
        <patternFill patternType="solid">
          <fgColor rgb="FFE2EFDA"/>
          <bgColor rgb="FFE2EFDA"/>
        </patternFill>
      </fill>
    </dxf>
    <dxf>
      <font>
        <b/>
        <color rgb="FFFFFFFF"/>
      </font>
      <fill>
        <patternFill patternType="solid">
          <fgColor rgb="FF1F3864"/>
          <bgColor rgb="FF1F3864"/>
        </patternFill>
      </fill>
    </dxf>
    <dxf>
      <font>
        <b/>
        <color rgb="FFFFFFFF"/>
      </font>
      <fill>
        <patternFill patternType="solid">
          <fgColor rgb="FF2E75B6"/>
          <bgColor rgb="FF2E75B6"/>
        </patternFill>
      </fill>
    </dxf>
    <dxf>
      <font>
        <b/>
        <color rgb="FFFFFFFF"/>
      </font>
      <fill>
        <patternFill patternType="solid">
          <fgColor rgb="FF375623"/>
          <bgColor rgb="FF375623"/>
        </patternFill>
      </fill>
    </dxf>
    <dxf>
      <font>
        <b/>
        <color rgb="FFFFFFFF"/>
      </font>
      <fill>
        <patternFill patternType="solid">
          <fgColor rgb="FF666666"/>
          <bgColor rgb="FF666666"/>
        </patternFill>
      </fill>
    </dxf>
    <dxf>
      <font>
        <color rgb="FF666666"/>
      </font>
      <fill>
        <patternFill patternType="solid">
          <fgColor rgb="FFEDEDED"/>
          <bgColor rgb="FFEDEDE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6"/>
  <sheetViews>
    <sheetView showGridLines="0" zoomScale="85" zoomScaleNormal="85" workbookViewId="0">
      <pane xSplit="7" ySplit="3" topLeftCell="U19" activePane="bottomRight" state="frozen"/>
      <selection pane="topRight"/>
      <selection pane="bottomLeft"/>
      <selection pane="bottomRight"/>
    </sheetView>
  </sheetViews>
  <sheetFormatPr defaultColWidth="8.7109375" defaultRowHeight="15" x14ac:dyDescent="0.25"/>
  <cols>
    <col min="1" max="1" width="13.7109375" bestFit="1" customWidth="1"/>
    <col min="2" max="2" width="29.42578125" customWidth="1"/>
    <col min="3" max="3" width="9.140625" customWidth="1"/>
    <col min="4" max="4" width="9.42578125" customWidth="1"/>
    <col min="5" max="5" width="10" bestFit="1" customWidth="1"/>
    <col min="6" max="6" width="12.42578125" bestFit="1" customWidth="1"/>
    <col min="7" max="7" width="25" customWidth="1"/>
    <col min="8" max="8" width="15.5703125" bestFit="1" customWidth="1"/>
    <col min="9" max="9" width="9.85546875" bestFit="1" customWidth="1"/>
    <col min="10" max="10" width="17.140625" bestFit="1" customWidth="1"/>
    <col min="11" max="11" width="9.5703125" bestFit="1" customWidth="1"/>
    <col min="12" max="12" width="6.85546875" customWidth="1"/>
    <col min="13" max="13" width="8.28515625" customWidth="1"/>
    <col min="14" max="14" width="6.7109375" customWidth="1"/>
    <col min="15" max="15" width="9.140625" customWidth="1"/>
    <col min="16" max="16" width="8.28515625" style="1" customWidth="1"/>
    <col min="17" max="17" width="8.140625" style="1" customWidth="1"/>
    <col min="18" max="18" width="8.140625" customWidth="1"/>
    <col min="19" max="19" width="11.5703125" customWidth="1"/>
    <col min="20" max="20" width="9.85546875" customWidth="1"/>
    <col min="21" max="21" width="10" style="2" customWidth="1"/>
    <col min="22" max="22" width="10.140625" style="2" customWidth="1"/>
    <col min="23" max="23" width="10.7109375" customWidth="1"/>
    <col min="24" max="24" width="10.5703125" customWidth="1"/>
    <col min="25" max="28" width="10.140625" customWidth="1"/>
    <col min="29" max="29" width="14.140625" bestFit="1" customWidth="1"/>
    <col min="30" max="30" width="11.5703125" customWidth="1"/>
    <col min="31" max="31" width="13.7109375" customWidth="1"/>
    <col min="32" max="32" width="14.140625" customWidth="1"/>
    <col min="33" max="33" width="10.140625" customWidth="1"/>
  </cols>
  <sheetData>
    <row r="1" spans="1:33" ht="15.75" customHeight="1" x14ac:dyDescent="0.25">
      <c r="A1" s="3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4.2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57.75" customHeight="1" x14ac:dyDescent="0.25">
      <c r="A3" s="4" t="s">
        <v>1</v>
      </c>
      <c r="B3" s="5" t="s">
        <v>140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6" t="s">
        <v>10</v>
      </c>
      <c r="K3" s="5" t="s">
        <v>11</v>
      </c>
      <c r="L3" s="6" t="s">
        <v>12</v>
      </c>
      <c r="M3" s="6" t="s">
        <v>13</v>
      </c>
      <c r="N3" s="6" t="s">
        <v>14</v>
      </c>
      <c r="O3" s="7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8" t="s">
        <v>23</v>
      </c>
      <c r="X3" s="6" t="s">
        <v>24</v>
      </c>
      <c r="Y3" s="6" t="s">
        <v>22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9" t="s">
        <v>32</v>
      </c>
    </row>
    <row r="4" spans="1:33" ht="39" customHeight="1" x14ac:dyDescent="0.25">
      <c r="A4" s="10">
        <v>669</v>
      </c>
      <c r="B4" s="11" t="s">
        <v>6</v>
      </c>
      <c r="C4" s="12">
        <v>1181</v>
      </c>
      <c r="D4" s="13">
        <v>21980</v>
      </c>
      <c r="E4" s="13" t="s">
        <v>33</v>
      </c>
      <c r="F4" s="13">
        <v>1763</v>
      </c>
      <c r="G4" s="11" t="s">
        <v>34</v>
      </c>
      <c r="H4" s="14">
        <v>790089</v>
      </c>
      <c r="I4" s="14">
        <f t="shared" ref="I4:I40" si="0">ROUND(H4*18%,0)</f>
        <v>142216</v>
      </c>
      <c r="J4" s="14">
        <f t="shared" ref="J4:J40" si="1">+H4+I4</f>
        <v>932305</v>
      </c>
      <c r="K4" s="14">
        <f t="shared" ref="K4:K40" si="2">ROUND((H4+I4)*2%,0)</f>
        <v>18646</v>
      </c>
      <c r="L4" s="15">
        <f t="shared" ref="L4:L40" si="3">H4*0.1%</f>
        <v>790.08900000000006</v>
      </c>
      <c r="M4" s="15">
        <f t="shared" ref="M4:M40" si="4">H4*2.25%*118%</f>
        <v>20976.862949999999</v>
      </c>
      <c r="N4" s="16">
        <f t="shared" ref="N4:N40" si="5">H4*2.25%*2%</f>
        <v>355.54005000000001</v>
      </c>
      <c r="O4" s="15">
        <f t="shared" ref="O4:O40" si="6">M4-N4</f>
        <v>20621.322899999999</v>
      </c>
      <c r="P4" s="15">
        <f t="shared" ref="P4:P40" si="7">ROUND(O4+L4,0)</f>
        <v>21411</v>
      </c>
      <c r="Q4" s="17">
        <v>0.02</v>
      </c>
      <c r="R4" s="15">
        <f t="shared" ref="R4:R40" si="8">ROUND(H4*Q4,0)</f>
        <v>15802</v>
      </c>
      <c r="S4" s="14">
        <f t="shared" ref="S4:S40" si="9">ROUND(H4*117.65%-R4,0)</f>
        <v>913738</v>
      </c>
      <c r="T4" s="15">
        <f t="shared" ref="T4:T40" si="10">ROUND(H4*25%,0)</f>
        <v>197522</v>
      </c>
      <c r="U4" s="18">
        <v>197522</v>
      </c>
      <c r="V4" s="15" t="s">
        <v>35</v>
      </c>
      <c r="W4" s="15">
        <f t="shared" ref="W4:W40" si="11">ROUND(H4*92.65%-R4,0)</f>
        <v>716215</v>
      </c>
      <c r="X4" s="15">
        <v>716216</v>
      </c>
      <c r="Y4" s="15" t="s">
        <v>36</v>
      </c>
      <c r="Z4" s="15">
        <f t="shared" ref="Z4:Z40" ca="1" si="12">IF(OR(Y4="",Y4=0),H4*0.0118*CEILING((TODAY()-DATE(2026,8,22))/7,1),IF(DATE(VALUE(RIGHT(Y4,4)),VALUE(MID(Y4,4,2)),VALUE(LEFT(Y4,2)))&lt;=DATE(2026,8,24),0,H4*0.0118*CEILING((DATE(VALUE(RIGHT(Y4,4)),VALUE(MID(Y4,4,2)),VALUE(LEFT(Y4,2)))-DATE(2026,8,22))/7,1)))</f>
        <v>0</v>
      </c>
      <c r="AA4" s="15"/>
      <c r="AB4" s="15"/>
      <c r="AC4" s="15">
        <f t="shared" ref="AC4:AC40" si="13">U4+X4+AA4</f>
        <v>913738</v>
      </c>
      <c r="AD4" s="19">
        <f t="shared" ref="AD4:AD40" si="14">S4-AC4</f>
        <v>0</v>
      </c>
      <c r="AE4" s="20" t="s">
        <v>37</v>
      </c>
      <c r="AF4" s="21">
        <v>1800003271</v>
      </c>
      <c r="AG4" s="22" t="s">
        <v>35</v>
      </c>
    </row>
    <row r="5" spans="1:33" ht="14.25" customHeight="1" x14ac:dyDescent="0.25">
      <c r="A5" s="23">
        <v>270</v>
      </c>
      <c r="B5" s="24" t="s">
        <v>38</v>
      </c>
      <c r="C5" s="25">
        <v>580</v>
      </c>
      <c r="D5" s="26">
        <v>21977</v>
      </c>
      <c r="E5" s="26" t="s">
        <v>39</v>
      </c>
      <c r="F5" s="26">
        <v>1874</v>
      </c>
      <c r="G5" s="24" t="s">
        <v>40</v>
      </c>
      <c r="H5" s="27">
        <v>156600</v>
      </c>
      <c r="I5" s="27">
        <f t="shared" si="0"/>
        <v>28188</v>
      </c>
      <c r="J5" s="27">
        <f t="shared" si="1"/>
        <v>184788</v>
      </c>
      <c r="K5" s="27">
        <f t="shared" si="2"/>
        <v>3696</v>
      </c>
      <c r="L5" s="28">
        <f t="shared" si="3"/>
        <v>156.6</v>
      </c>
      <c r="M5" s="28">
        <f t="shared" si="4"/>
        <v>4157.7299999999996</v>
      </c>
      <c r="N5" s="29">
        <f t="shared" si="5"/>
        <v>70.47</v>
      </c>
      <c r="O5" s="28">
        <f t="shared" si="6"/>
        <v>4087.2599999999998</v>
      </c>
      <c r="P5" s="28">
        <f t="shared" si="7"/>
        <v>4244</v>
      </c>
      <c r="Q5" s="30">
        <v>0</v>
      </c>
      <c r="R5" s="28">
        <f t="shared" si="8"/>
        <v>0</v>
      </c>
      <c r="S5" s="27">
        <f t="shared" si="9"/>
        <v>184240</v>
      </c>
      <c r="T5" s="28">
        <f t="shared" si="10"/>
        <v>39150</v>
      </c>
      <c r="U5" s="31">
        <f>+T5</f>
        <v>39150</v>
      </c>
      <c r="V5" s="28" t="s">
        <v>41</v>
      </c>
      <c r="W5" s="28">
        <f t="shared" si="11"/>
        <v>145090</v>
      </c>
      <c r="X5" s="28">
        <v>145090</v>
      </c>
      <c r="Y5" s="28" t="s">
        <v>35</v>
      </c>
      <c r="Z5" s="28">
        <f t="shared" ca="1" si="12"/>
        <v>0</v>
      </c>
      <c r="AA5" s="28"/>
      <c r="AB5" s="28"/>
      <c r="AC5" s="15">
        <f t="shared" si="13"/>
        <v>184240</v>
      </c>
      <c r="AD5" s="19">
        <f t="shared" si="14"/>
        <v>0</v>
      </c>
      <c r="AE5" s="20" t="s">
        <v>42</v>
      </c>
      <c r="AF5" s="21">
        <v>1800003302</v>
      </c>
      <c r="AG5" s="22" t="s">
        <v>43</v>
      </c>
    </row>
    <row r="6" spans="1:33" ht="26.25" customHeight="1" x14ac:dyDescent="0.25">
      <c r="A6" s="23">
        <v>28</v>
      </c>
      <c r="B6" s="24" t="s">
        <v>44</v>
      </c>
      <c r="C6" s="25">
        <v>1456</v>
      </c>
      <c r="D6" s="26">
        <v>21977</v>
      </c>
      <c r="E6" s="26" t="s">
        <v>33</v>
      </c>
      <c r="F6" s="26">
        <v>1875</v>
      </c>
      <c r="G6" s="24" t="s">
        <v>45</v>
      </c>
      <c r="H6" s="27">
        <v>40768</v>
      </c>
      <c r="I6" s="27">
        <f t="shared" si="0"/>
        <v>7338</v>
      </c>
      <c r="J6" s="27">
        <f t="shared" si="1"/>
        <v>48106</v>
      </c>
      <c r="K6" s="27">
        <f t="shared" si="2"/>
        <v>962</v>
      </c>
      <c r="L6" s="28">
        <f t="shared" si="3"/>
        <v>40.768000000000001</v>
      </c>
      <c r="M6" s="28">
        <f t="shared" si="4"/>
        <v>1082.3904</v>
      </c>
      <c r="N6" s="29">
        <f t="shared" si="5"/>
        <v>18.345600000000001</v>
      </c>
      <c r="O6" s="28">
        <f t="shared" si="6"/>
        <v>1064.0447999999999</v>
      </c>
      <c r="P6" s="28">
        <f t="shared" si="7"/>
        <v>1105</v>
      </c>
      <c r="Q6" s="30">
        <v>0</v>
      </c>
      <c r="R6" s="28">
        <f t="shared" si="8"/>
        <v>0</v>
      </c>
      <c r="S6" s="27">
        <f t="shared" si="9"/>
        <v>47964</v>
      </c>
      <c r="T6" s="28">
        <f t="shared" si="10"/>
        <v>10192</v>
      </c>
      <c r="U6" s="31">
        <v>10192</v>
      </c>
      <c r="V6" s="28" t="s">
        <v>46</v>
      </c>
      <c r="W6" s="28">
        <f t="shared" si="11"/>
        <v>37772</v>
      </c>
      <c r="X6" s="28">
        <f>+W6+R6</f>
        <v>37772</v>
      </c>
      <c r="Y6" s="28" t="s">
        <v>47</v>
      </c>
      <c r="Z6" s="28">
        <f t="shared" ca="1" si="12"/>
        <v>0</v>
      </c>
      <c r="AA6" s="28"/>
      <c r="AB6" s="28"/>
      <c r="AC6" s="15">
        <f t="shared" si="13"/>
        <v>47964</v>
      </c>
      <c r="AD6" s="19">
        <f t="shared" si="14"/>
        <v>0</v>
      </c>
      <c r="AE6" s="20" t="s">
        <v>48</v>
      </c>
      <c r="AF6" s="21">
        <v>1800003346</v>
      </c>
      <c r="AG6" s="22" t="s">
        <v>43</v>
      </c>
    </row>
    <row r="7" spans="1:33" ht="39" customHeight="1" x14ac:dyDescent="0.25">
      <c r="A7" s="23">
        <v>3000</v>
      </c>
      <c r="B7" s="24" t="s">
        <v>49</v>
      </c>
      <c r="C7" s="25">
        <v>66</v>
      </c>
      <c r="D7" s="26">
        <v>21977</v>
      </c>
      <c r="E7" s="26" t="s">
        <v>33</v>
      </c>
      <c r="F7" s="26">
        <v>1876</v>
      </c>
      <c r="G7" s="24" t="s">
        <v>45</v>
      </c>
      <c r="H7" s="27">
        <v>198000</v>
      </c>
      <c r="I7" s="27">
        <f t="shared" si="0"/>
        <v>35640</v>
      </c>
      <c r="J7" s="27">
        <f t="shared" si="1"/>
        <v>233640</v>
      </c>
      <c r="K7" s="27">
        <f t="shared" si="2"/>
        <v>4673</v>
      </c>
      <c r="L7" s="28">
        <f t="shared" si="3"/>
        <v>198</v>
      </c>
      <c r="M7" s="28">
        <f t="shared" si="4"/>
        <v>5256.9</v>
      </c>
      <c r="N7" s="29">
        <f t="shared" si="5"/>
        <v>89.100000000000009</v>
      </c>
      <c r="O7" s="28">
        <f t="shared" si="6"/>
        <v>5167.7999999999993</v>
      </c>
      <c r="P7" s="28">
        <f t="shared" si="7"/>
        <v>5366</v>
      </c>
      <c r="Q7" s="30">
        <v>0</v>
      </c>
      <c r="R7" s="28">
        <f t="shared" si="8"/>
        <v>0</v>
      </c>
      <c r="S7" s="27">
        <f t="shared" si="9"/>
        <v>232947</v>
      </c>
      <c r="T7" s="28">
        <f t="shared" si="10"/>
        <v>49500</v>
      </c>
      <c r="U7" s="31">
        <v>49500</v>
      </c>
      <c r="V7" s="28" t="s">
        <v>46</v>
      </c>
      <c r="W7" s="28">
        <f t="shared" si="11"/>
        <v>183447</v>
      </c>
      <c r="X7" s="28">
        <f>+W7+R7-1</f>
        <v>183446</v>
      </c>
      <c r="Y7" s="28" t="s">
        <v>47</v>
      </c>
      <c r="Z7" s="28">
        <f t="shared" ca="1" si="12"/>
        <v>0</v>
      </c>
      <c r="AA7" s="28"/>
      <c r="AB7" s="28"/>
      <c r="AC7" s="15">
        <f t="shared" si="13"/>
        <v>232946</v>
      </c>
      <c r="AD7" s="19">
        <f t="shared" si="14"/>
        <v>1</v>
      </c>
      <c r="AE7" s="20" t="s">
        <v>50</v>
      </c>
      <c r="AF7" s="21">
        <v>1800003347</v>
      </c>
      <c r="AG7" s="22" t="s">
        <v>43</v>
      </c>
    </row>
    <row r="8" spans="1:33" ht="26.25" customHeight="1" x14ac:dyDescent="0.25">
      <c r="A8" s="23">
        <v>7253</v>
      </c>
      <c r="B8" s="24" t="s">
        <v>51</v>
      </c>
      <c r="C8" s="25">
        <v>227</v>
      </c>
      <c r="D8" s="26">
        <v>21980</v>
      </c>
      <c r="E8" s="26" t="s">
        <v>33</v>
      </c>
      <c r="F8" s="26">
        <v>1923</v>
      </c>
      <c r="G8" s="24" t="s">
        <v>52</v>
      </c>
      <c r="H8" s="27">
        <v>1646431</v>
      </c>
      <c r="I8" s="27">
        <f t="shared" si="0"/>
        <v>296358</v>
      </c>
      <c r="J8" s="27">
        <f t="shared" si="1"/>
        <v>1942789</v>
      </c>
      <c r="K8" s="27">
        <f t="shared" si="2"/>
        <v>38856</v>
      </c>
      <c r="L8" s="28">
        <f t="shared" si="3"/>
        <v>1646.431</v>
      </c>
      <c r="M8" s="28">
        <f t="shared" si="4"/>
        <v>43712.743049999997</v>
      </c>
      <c r="N8" s="29">
        <f t="shared" si="5"/>
        <v>740.89395000000002</v>
      </c>
      <c r="O8" s="28">
        <f t="shared" si="6"/>
        <v>42971.849099999999</v>
      </c>
      <c r="P8" s="28">
        <f t="shared" si="7"/>
        <v>44618</v>
      </c>
      <c r="Q8" s="30">
        <v>0.02</v>
      </c>
      <c r="R8" s="28">
        <f t="shared" si="8"/>
        <v>32929</v>
      </c>
      <c r="S8" s="27">
        <f t="shared" si="9"/>
        <v>1904097</v>
      </c>
      <c r="T8" s="28">
        <f t="shared" si="10"/>
        <v>411608</v>
      </c>
      <c r="U8" s="31">
        <f>+T8</f>
        <v>411608</v>
      </c>
      <c r="V8" s="28" t="s">
        <v>53</v>
      </c>
      <c r="W8" s="28">
        <f t="shared" si="11"/>
        <v>1492489</v>
      </c>
      <c r="X8" s="28">
        <v>1492490</v>
      </c>
      <c r="Y8" s="28" t="s">
        <v>35</v>
      </c>
      <c r="Z8" s="28">
        <f t="shared" ca="1" si="12"/>
        <v>0</v>
      </c>
      <c r="AA8" s="28"/>
      <c r="AB8" s="28"/>
      <c r="AC8" s="15">
        <f t="shared" si="13"/>
        <v>1904098</v>
      </c>
      <c r="AD8" s="19">
        <f t="shared" si="14"/>
        <v>-1</v>
      </c>
      <c r="AE8" s="20" t="s">
        <v>54</v>
      </c>
      <c r="AF8" s="21">
        <v>1800003315</v>
      </c>
      <c r="AG8" s="22" t="s">
        <v>43</v>
      </c>
    </row>
    <row r="9" spans="1:33" ht="14.25" customHeight="1" x14ac:dyDescent="0.25">
      <c r="A9" s="23">
        <v>1</v>
      </c>
      <c r="B9" s="24" t="s">
        <v>55</v>
      </c>
      <c r="C9" s="25">
        <v>2787314</v>
      </c>
      <c r="D9" s="26">
        <v>21977</v>
      </c>
      <c r="E9" s="26" t="s">
        <v>39</v>
      </c>
      <c r="F9" s="26">
        <v>1976</v>
      </c>
      <c r="G9" s="24" t="s">
        <v>56</v>
      </c>
      <c r="H9" s="27">
        <v>2787314</v>
      </c>
      <c r="I9" s="27">
        <f t="shared" si="0"/>
        <v>501717</v>
      </c>
      <c r="J9" s="27">
        <f t="shared" si="1"/>
        <v>3289031</v>
      </c>
      <c r="K9" s="27">
        <f t="shared" si="2"/>
        <v>65781</v>
      </c>
      <c r="L9" s="28">
        <f t="shared" si="3"/>
        <v>2787.3139999999999</v>
      </c>
      <c r="M9" s="28">
        <f t="shared" si="4"/>
        <v>74003.186699999991</v>
      </c>
      <c r="N9" s="29">
        <f t="shared" si="5"/>
        <v>1254.2912999999999</v>
      </c>
      <c r="O9" s="28">
        <f t="shared" si="6"/>
        <v>72748.895399999994</v>
      </c>
      <c r="P9" s="28">
        <f t="shared" si="7"/>
        <v>75536</v>
      </c>
      <c r="Q9" s="30">
        <v>0</v>
      </c>
      <c r="R9" s="28">
        <f t="shared" si="8"/>
        <v>0</v>
      </c>
      <c r="S9" s="27">
        <f t="shared" si="9"/>
        <v>3279275</v>
      </c>
      <c r="T9" s="28">
        <f t="shared" si="10"/>
        <v>696829</v>
      </c>
      <c r="U9" s="31">
        <f>+T9</f>
        <v>696829</v>
      </c>
      <c r="V9" s="28" t="s">
        <v>41</v>
      </c>
      <c r="W9" s="28">
        <f t="shared" si="11"/>
        <v>2582446</v>
      </c>
      <c r="X9" s="28">
        <v>2582447.0942916102</v>
      </c>
      <c r="Y9" s="28" t="s">
        <v>41</v>
      </c>
      <c r="Z9" s="28">
        <f t="shared" ca="1" si="12"/>
        <v>0</v>
      </c>
      <c r="AA9" s="28"/>
      <c r="AB9" s="28"/>
      <c r="AC9" s="15">
        <f t="shared" si="13"/>
        <v>3279276.0942916102</v>
      </c>
      <c r="AD9" s="19">
        <f t="shared" si="14"/>
        <v>-1.0942916101776063</v>
      </c>
      <c r="AE9" s="20" t="s">
        <v>57</v>
      </c>
      <c r="AF9" s="21">
        <v>1800003194</v>
      </c>
      <c r="AG9" s="22" t="s">
        <v>58</v>
      </c>
    </row>
    <row r="10" spans="1:33" ht="14.25" customHeight="1" x14ac:dyDescent="0.25">
      <c r="A10" s="23">
        <v>4</v>
      </c>
      <c r="B10" s="24" t="s">
        <v>59</v>
      </c>
      <c r="C10" s="25">
        <v>51511</v>
      </c>
      <c r="D10" s="26">
        <v>21977</v>
      </c>
      <c r="E10" s="26" t="s">
        <v>39</v>
      </c>
      <c r="F10" s="26">
        <v>2002</v>
      </c>
      <c r="G10" s="24" t="s">
        <v>40</v>
      </c>
      <c r="H10" s="27">
        <v>206044</v>
      </c>
      <c r="I10" s="27">
        <f t="shared" si="0"/>
        <v>37088</v>
      </c>
      <c r="J10" s="27">
        <f t="shared" si="1"/>
        <v>243132</v>
      </c>
      <c r="K10" s="27">
        <f t="shared" si="2"/>
        <v>4863</v>
      </c>
      <c r="L10" s="28">
        <f t="shared" si="3"/>
        <v>206.04400000000001</v>
      </c>
      <c r="M10" s="28">
        <f t="shared" si="4"/>
        <v>5470.4681999999993</v>
      </c>
      <c r="N10" s="29">
        <f t="shared" si="5"/>
        <v>92.719799999999992</v>
      </c>
      <c r="O10" s="28">
        <f t="shared" si="6"/>
        <v>5377.7483999999995</v>
      </c>
      <c r="P10" s="28">
        <f t="shared" si="7"/>
        <v>5584</v>
      </c>
      <c r="Q10" s="30">
        <v>0</v>
      </c>
      <c r="R10" s="28">
        <f t="shared" si="8"/>
        <v>0</v>
      </c>
      <c r="S10" s="27">
        <f t="shared" si="9"/>
        <v>242411</v>
      </c>
      <c r="T10" s="28">
        <f t="shared" si="10"/>
        <v>51511</v>
      </c>
      <c r="U10" s="31">
        <f>+T10</f>
        <v>51511</v>
      </c>
      <c r="V10" s="28" t="s">
        <v>41</v>
      </c>
      <c r="W10" s="28">
        <f t="shared" si="11"/>
        <v>190900</v>
      </c>
      <c r="X10" s="28">
        <v>190900</v>
      </c>
      <c r="Y10" s="28" t="s">
        <v>35</v>
      </c>
      <c r="Z10" s="28">
        <f t="shared" ca="1" si="12"/>
        <v>0</v>
      </c>
      <c r="AA10" s="28"/>
      <c r="AB10" s="28"/>
      <c r="AC10" s="15">
        <f t="shared" si="13"/>
        <v>242411</v>
      </c>
      <c r="AD10" s="19">
        <f t="shared" si="14"/>
        <v>0</v>
      </c>
      <c r="AE10" s="20" t="s">
        <v>60</v>
      </c>
      <c r="AF10" s="21">
        <v>1800003303</v>
      </c>
      <c r="AG10" s="22" t="s">
        <v>43</v>
      </c>
    </row>
    <row r="11" spans="1:33" ht="14.25" customHeight="1" x14ac:dyDescent="0.25">
      <c r="A11" s="23">
        <v>1</v>
      </c>
      <c r="B11" s="24" t="s">
        <v>61</v>
      </c>
      <c r="C11" s="25">
        <v>65007</v>
      </c>
      <c r="D11" s="26">
        <v>21977</v>
      </c>
      <c r="E11" s="26" t="s">
        <v>39</v>
      </c>
      <c r="F11" s="26">
        <v>2003</v>
      </c>
      <c r="G11" s="24" t="s">
        <v>40</v>
      </c>
      <c r="H11" s="27">
        <v>65007</v>
      </c>
      <c r="I11" s="27">
        <f t="shared" si="0"/>
        <v>11701</v>
      </c>
      <c r="J11" s="27">
        <f t="shared" si="1"/>
        <v>76708</v>
      </c>
      <c r="K11" s="27">
        <f t="shared" si="2"/>
        <v>1534</v>
      </c>
      <c r="L11" s="28">
        <f t="shared" si="3"/>
        <v>65.007000000000005</v>
      </c>
      <c r="M11" s="28">
        <f t="shared" si="4"/>
        <v>1725.9358499999998</v>
      </c>
      <c r="N11" s="29">
        <f t="shared" si="5"/>
        <v>29.253150000000002</v>
      </c>
      <c r="O11" s="28">
        <f t="shared" si="6"/>
        <v>1696.6826999999998</v>
      </c>
      <c r="P11" s="28">
        <f t="shared" si="7"/>
        <v>1762</v>
      </c>
      <c r="Q11" s="30">
        <v>0</v>
      </c>
      <c r="R11" s="28">
        <f t="shared" si="8"/>
        <v>0</v>
      </c>
      <c r="S11" s="27">
        <f t="shared" si="9"/>
        <v>76481</v>
      </c>
      <c r="T11" s="28">
        <f t="shared" si="10"/>
        <v>16252</v>
      </c>
      <c r="U11" s="31">
        <f>+T11</f>
        <v>16252</v>
      </c>
      <c r="V11" s="28" t="s">
        <v>41</v>
      </c>
      <c r="W11" s="28">
        <f t="shared" si="11"/>
        <v>60229</v>
      </c>
      <c r="X11" s="28">
        <v>60229</v>
      </c>
      <c r="Y11" s="28" t="s">
        <v>35</v>
      </c>
      <c r="Z11" s="28">
        <f t="shared" ca="1" si="12"/>
        <v>0</v>
      </c>
      <c r="AA11" s="28"/>
      <c r="AB11" s="28"/>
      <c r="AC11" s="15">
        <f t="shared" si="13"/>
        <v>76481</v>
      </c>
      <c r="AD11" s="19">
        <f t="shared" si="14"/>
        <v>0</v>
      </c>
      <c r="AE11" s="20" t="s">
        <v>62</v>
      </c>
      <c r="AF11" s="21">
        <v>1800003304</v>
      </c>
      <c r="AG11" s="22" t="s">
        <v>43</v>
      </c>
    </row>
    <row r="12" spans="1:33" ht="14.25" customHeight="1" x14ac:dyDescent="0.25">
      <c r="A12" s="23">
        <v>1</v>
      </c>
      <c r="B12" s="24" t="s">
        <v>63</v>
      </c>
      <c r="C12" s="25">
        <v>70006</v>
      </c>
      <c r="D12" s="26">
        <v>21977</v>
      </c>
      <c r="E12" s="26" t="s">
        <v>39</v>
      </c>
      <c r="F12" s="26">
        <v>2005</v>
      </c>
      <c r="G12" s="24" t="s">
        <v>40</v>
      </c>
      <c r="H12" s="27">
        <v>70006</v>
      </c>
      <c r="I12" s="27">
        <f t="shared" si="0"/>
        <v>12601</v>
      </c>
      <c r="J12" s="27">
        <f t="shared" si="1"/>
        <v>82607</v>
      </c>
      <c r="K12" s="27">
        <f t="shared" si="2"/>
        <v>1652</v>
      </c>
      <c r="L12" s="28">
        <f t="shared" si="3"/>
        <v>70.006</v>
      </c>
      <c r="M12" s="28">
        <f t="shared" si="4"/>
        <v>1858.6592999999998</v>
      </c>
      <c r="N12" s="29">
        <f t="shared" si="5"/>
        <v>31.502700000000001</v>
      </c>
      <c r="O12" s="28">
        <f t="shared" si="6"/>
        <v>1827.1565999999998</v>
      </c>
      <c r="P12" s="28">
        <f t="shared" si="7"/>
        <v>1897</v>
      </c>
      <c r="Q12" s="30">
        <v>0</v>
      </c>
      <c r="R12" s="28">
        <f t="shared" si="8"/>
        <v>0</v>
      </c>
      <c r="S12" s="27">
        <f t="shared" si="9"/>
        <v>82362</v>
      </c>
      <c r="T12" s="28">
        <f t="shared" si="10"/>
        <v>17502</v>
      </c>
      <c r="U12" s="31">
        <f>+T12</f>
        <v>17502</v>
      </c>
      <c r="V12" s="28" t="s">
        <v>41</v>
      </c>
      <c r="W12" s="28">
        <f t="shared" si="11"/>
        <v>64861</v>
      </c>
      <c r="X12" s="28">
        <v>64859</v>
      </c>
      <c r="Y12" s="28" t="s">
        <v>35</v>
      </c>
      <c r="Z12" s="28">
        <f t="shared" ca="1" si="12"/>
        <v>0</v>
      </c>
      <c r="AA12" s="28"/>
      <c r="AB12" s="28"/>
      <c r="AC12" s="15">
        <f t="shared" si="13"/>
        <v>82361</v>
      </c>
      <c r="AD12" s="19">
        <f t="shared" si="14"/>
        <v>1</v>
      </c>
      <c r="AE12" s="20" t="s">
        <v>64</v>
      </c>
      <c r="AF12" s="21">
        <v>1800003305</v>
      </c>
      <c r="AG12" s="22" t="s">
        <v>43</v>
      </c>
    </row>
    <row r="13" spans="1:33" ht="14.25" customHeight="1" x14ac:dyDescent="0.25">
      <c r="A13" s="23">
        <v>25</v>
      </c>
      <c r="B13" s="24" t="s">
        <v>65</v>
      </c>
      <c r="C13" s="25">
        <v>700</v>
      </c>
      <c r="D13" s="26">
        <v>21977</v>
      </c>
      <c r="E13" s="26" t="s">
        <v>39</v>
      </c>
      <c r="F13" s="26">
        <v>2006</v>
      </c>
      <c r="G13" s="24" t="s">
        <v>66</v>
      </c>
      <c r="H13" s="27">
        <v>17500</v>
      </c>
      <c r="I13" s="27">
        <f t="shared" si="0"/>
        <v>3150</v>
      </c>
      <c r="J13" s="27">
        <f t="shared" si="1"/>
        <v>20650</v>
      </c>
      <c r="K13" s="27">
        <f t="shared" si="2"/>
        <v>413</v>
      </c>
      <c r="L13" s="28">
        <f t="shared" si="3"/>
        <v>17.5</v>
      </c>
      <c r="M13" s="28">
        <f t="shared" si="4"/>
        <v>464.625</v>
      </c>
      <c r="N13" s="29">
        <f t="shared" si="5"/>
        <v>7.875</v>
      </c>
      <c r="O13" s="28">
        <f t="shared" si="6"/>
        <v>456.75</v>
      </c>
      <c r="P13" s="28">
        <f t="shared" si="7"/>
        <v>474</v>
      </c>
      <c r="Q13" s="30">
        <v>0</v>
      </c>
      <c r="R13" s="28">
        <f t="shared" si="8"/>
        <v>0</v>
      </c>
      <c r="S13" s="27">
        <f t="shared" si="9"/>
        <v>20589</v>
      </c>
      <c r="T13" s="28">
        <f t="shared" si="10"/>
        <v>4375</v>
      </c>
      <c r="U13" s="31">
        <v>4375</v>
      </c>
      <c r="V13" s="28" t="s">
        <v>46</v>
      </c>
      <c r="W13" s="28">
        <f t="shared" si="11"/>
        <v>16214</v>
      </c>
      <c r="X13" s="28">
        <v>16214</v>
      </c>
      <c r="Y13" s="28" t="s">
        <v>46</v>
      </c>
      <c r="Z13" s="28">
        <f t="shared" ca="1" si="12"/>
        <v>0</v>
      </c>
      <c r="AA13" s="28"/>
      <c r="AB13" s="28"/>
      <c r="AC13" s="15">
        <f t="shared" si="13"/>
        <v>20589</v>
      </c>
      <c r="AD13" s="19">
        <f t="shared" si="14"/>
        <v>0</v>
      </c>
      <c r="AE13" s="20" t="s">
        <v>67</v>
      </c>
      <c r="AF13" s="21">
        <v>1800003156</v>
      </c>
      <c r="AG13" s="22" t="s">
        <v>53</v>
      </c>
    </row>
    <row r="14" spans="1:33" ht="14.25" customHeight="1" x14ac:dyDescent="0.25">
      <c r="A14" s="23">
        <v>1</v>
      </c>
      <c r="B14" s="24" t="s">
        <v>68</v>
      </c>
      <c r="C14" s="25">
        <v>3857116</v>
      </c>
      <c r="D14" s="26">
        <v>21977</v>
      </c>
      <c r="E14" s="26" t="s">
        <v>39</v>
      </c>
      <c r="F14" s="26">
        <v>2007</v>
      </c>
      <c r="G14" s="24" t="s">
        <v>56</v>
      </c>
      <c r="H14" s="27">
        <v>3857116</v>
      </c>
      <c r="I14" s="27">
        <f t="shared" si="0"/>
        <v>694281</v>
      </c>
      <c r="J14" s="27">
        <f t="shared" si="1"/>
        <v>4551397</v>
      </c>
      <c r="K14" s="27">
        <f t="shared" si="2"/>
        <v>91028</v>
      </c>
      <c r="L14" s="28">
        <f t="shared" si="3"/>
        <v>3857.116</v>
      </c>
      <c r="M14" s="28">
        <f t="shared" si="4"/>
        <v>102406.4298</v>
      </c>
      <c r="N14" s="29">
        <f t="shared" si="5"/>
        <v>1735.7021999999999</v>
      </c>
      <c r="O14" s="28">
        <f t="shared" si="6"/>
        <v>100670.7276</v>
      </c>
      <c r="P14" s="28">
        <f t="shared" si="7"/>
        <v>104528</v>
      </c>
      <c r="Q14" s="30">
        <v>0</v>
      </c>
      <c r="R14" s="28">
        <f t="shared" si="8"/>
        <v>0</v>
      </c>
      <c r="S14" s="27">
        <f t="shared" si="9"/>
        <v>4537897</v>
      </c>
      <c r="T14" s="28">
        <f t="shared" si="10"/>
        <v>964279</v>
      </c>
      <c r="U14" s="31">
        <f>+T14</f>
        <v>964279</v>
      </c>
      <c r="V14" s="28" t="s">
        <v>41</v>
      </c>
      <c r="W14" s="28">
        <f t="shared" si="11"/>
        <v>3573618</v>
      </c>
      <c r="X14" s="28">
        <v>3573618.9057083898</v>
      </c>
      <c r="Y14" s="28" t="s">
        <v>41</v>
      </c>
      <c r="Z14" s="28">
        <f t="shared" ca="1" si="12"/>
        <v>0</v>
      </c>
      <c r="AA14" s="28"/>
      <c r="AB14" s="28"/>
      <c r="AC14" s="15">
        <f t="shared" si="13"/>
        <v>4537897.9057083894</v>
      </c>
      <c r="AD14" s="19">
        <f t="shared" si="14"/>
        <v>-0.90570838935673237</v>
      </c>
      <c r="AE14" s="20" t="s">
        <v>69</v>
      </c>
      <c r="AF14" s="21">
        <v>1800003196</v>
      </c>
      <c r="AG14" s="22" t="s">
        <v>58</v>
      </c>
    </row>
    <row r="15" spans="1:33" ht="14.25" customHeight="1" x14ac:dyDescent="0.25">
      <c r="A15" s="23">
        <v>250</v>
      </c>
      <c r="B15" s="24" t="s">
        <v>70</v>
      </c>
      <c r="C15" s="25">
        <v>543</v>
      </c>
      <c r="D15" s="26">
        <v>21977</v>
      </c>
      <c r="E15" s="26" t="s">
        <v>39</v>
      </c>
      <c r="F15" s="26">
        <v>2008</v>
      </c>
      <c r="G15" s="24" t="s">
        <v>71</v>
      </c>
      <c r="H15" s="27">
        <v>135750</v>
      </c>
      <c r="I15" s="27">
        <f t="shared" si="0"/>
        <v>24435</v>
      </c>
      <c r="J15" s="27">
        <f t="shared" si="1"/>
        <v>160185</v>
      </c>
      <c r="K15" s="27">
        <f t="shared" si="2"/>
        <v>3204</v>
      </c>
      <c r="L15" s="28">
        <f t="shared" si="3"/>
        <v>135.75</v>
      </c>
      <c r="M15" s="28">
        <f t="shared" si="4"/>
        <v>3604.1624999999999</v>
      </c>
      <c r="N15" s="29">
        <f t="shared" si="5"/>
        <v>61.087499999999999</v>
      </c>
      <c r="O15" s="28">
        <f t="shared" si="6"/>
        <v>3543.0749999999998</v>
      </c>
      <c r="P15" s="28">
        <f t="shared" si="7"/>
        <v>3679</v>
      </c>
      <c r="Q15" s="30">
        <v>0</v>
      </c>
      <c r="R15" s="28">
        <f t="shared" si="8"/>
        <v>0</v>
      </c>
      <c r="S15" s="27">
        <f t="shared" si="9"/>
        <v>159710</v>
      </c>
      <c r="T15" s="28">
        <f t="shared" si="10"/>
        <v>33938</v>
      </c>
      <c r="U15" s="31">
        <v>33938</v>
      </c>
      <c r="V15" s="28" t="s">
        <v>53</v>
      </c>
      <c r="W15" s="28">
        <f t="shared" si="11"/>
        <v>125772</v>
      </c>
      <c r="X15" s="28">
        <v>125772</v>
      </c>
      <c r="Y15" s="28" t="s">
        <v>36</v>
      </c>
      <c r="Z15" s="28">
        <f t="shared" ca="1" si="12"/>
        <v>0</v>
      </c>
      <c r="AA15" s="28"/>
      <c r="AB15" s="28"/>
      <c r="AC15" s="15">
        <f t="shared" si="13"/>
        <v>159710</v>
      </c>
      <c r="AD15" s="19">
        <f t="shared" si="14"/>
        <v>0</v>
      </c>
      <c r="AE15" s="20" t="s">
        <v>72</v>
      </c>
      <c r="AF15" s="21">
        <v>1800003247</v>
      </c>
      <c r="AG15" s="22" t="s">
        <v>47</v>
      </c>
    </row>
    <row r="16" spans="1:33" ht="14.25" customHeight="1" x14ac:dyDescent="0.25">
      <c r="A16" s="23">
        <v>22</v>
      </c>
      <c r="B16" s="24" t="s">
        <v>73</v>
      </c>
      <c r="C16" s="25">
        <v>700</v>
      </c>
      <c r="D16" s="26">
        <v>21977</v>
      </c>
      <c r="E16" s="26" t="s">
        <v>39</v>
      </c>
      <c r="F16" s="26">
        <v>2011</v>
      </c>
      <c r="G16" s="24" t="s">
        <v>66</v>
      </c>
      <c r="H16" s="27">
        <v>15400</v>
      </c>
      <c r="I16" s="27">
        <f t="shared" si="0"/>
        <v>2772</v>
      </c>
      <c r="J16" s="27">
        <f t="shared" si="1"/>
        <v>18172</v>
      </c>
      <c r="K16" s="27">
        <f t="shared" si="2"/>
        <v>363</v>
      </c>
      <c r="L16" s="28">
        <f t="shared" si="3"/>
        <v>15.4</v>
      </c>
      <c r="M16" s="28">
        <f t="shared" si="4"/>
        <v>408.87</v>
      </c>
      <c r="N16" s="29">
        <f t="shared" si="5"/>
        <v>6.93</v>
      </c>
      <c r="O16" s="28">
        <f t="shared" si="6"/>
        <v>401.94</v>
      </c>
      <c r="P16" s="28">
        <f t="shared" si="7"/>
        <v>417</v>
      </c>
      <c r="Q16" s="30">
        <v>0</v>
      </c>
      <c r="R16" s="28">
        <f t="shared" si="8"/>
        <v>0</v>
      </c>
      <c r="S16" s="27">
        <f t="shared" si="9"/>
        <v>18118</v>
      </c>
      <c r="T16" s="28">
        <f t="shared" si="10"/>
        <v>3850</v>
      </c>
      <c r="U16" s="31">
        <v>3850</v>
      </c>
      <c r="V16" s="28" t="s">
        <v>46</v>
      </c>
      <c r="W16" s="28">
        <f t="shared" si="11"/>
        <v>14268</v>
      </c>
      <c r="X16" s="28">
        <v>14267</v>
      </c>
      <c r="Y16" s="28" t="s">
        <v>46</v>
      </c>
      <c r="Z16" s="28">
        <f t="shared" ca="1" si="12"/>
        <v>0</v>
      </c>
      <c r="AA16" s="28"/>
      <c r="AB16" s="28"/>
      <c r="AC16" s="15">
        <f t="shared" si="13"/>
        <v>18117</v>
      </c>
      <c r="AD16" s="19">
        <f t="shared" si="14"/>
        <v>1</v>
      </c>
      <c r="AE16" s="20" t="s">
        <v>74</v>
      </c>
      <c r="AF16" s="21">
        <v>1800003157</v>
      </c>
      <c r="AG16" s="22" t="s">
        <v>53</v>
      </c>
    </row>
    <row r="17" spans="1:33" ht="14.25" customHeight="1" x14ac:dyDescent="0.25">
      <c r="A17" s="23">
        <v>100</v>
      </c>
      <c r="B17" s="24" t="s">
        <v>75</v>
      </c>
      <c r="C17" s="25">
        <v>710</v>
      </c>
      <c r="D17" s="26">
        <v>21978</v>
      </c>
      <c r="E17" s="26" t="s">
        <v>39</v>
      </c>
      <c r="F17" s="26">
        <v>2015</v>
      </c>
      <c r="G17" s="24" t="s">
        <v>66</v>
      </c>
      <c r="H17" s="27">
        <v>71000</v>
      </c>
      <c r="I17" s="27">
        <f t="shared" si="0"/>
        <v>12780</v>
      </c>
      <c r="J17" s="27">
        <f t="shared" si="1"/>
        <v>83780</v>
      </c>
      <c r="K17" s="27">
        <f t="shared" si="2"/>
        <v>1676</v>
      </c>
      <c r="L17" s="28">
        <f t="shared" si="3"/>
        <v>71</v>
      </c>
      <c r="M17" s="28">
        <f t="shared" si="4"/>
        <v>1885.05</v>
      </c>
      <c r="N17" s="29">
        <f t="shared" si="5"/>
        <v>31.95</v>
      </c>
      <c r="O17" s="28">
        <f t="shared" si="6"/>
        <v>1853.1</v>
      </c>
      <c r="P17" s="28">
        <f t="shared" si="7"/>
        <v>1924</v>
      </c>
      <c r="Q17" s="30">
        <v>0</v>
      </c>
      <c r="R17" s="28">
        <f t="shared" si="8"/>
        <v>0</v>
      </c>
      <c r="S17" s="27">
        <f t="shared" si="9"/>
        <v>83532</v>
      </c>
      <c r="T17" s="28">
        <f t="shared" si="10"/>
        <v>17750</v>
      </c>
      <c r="U17" s="31">
        <v>17750</v>
      </c>
      <c r="V17" s="28" t="s">
        <v>46</v>
      </c>
      <c r="W17" s="28">
        <f t="shared" si="11"/>
        <v>65782</v>
      </c>
      <c r="X17" s="28">
        <f>+W17</f>
        <v>65782</v>
      </c>
      <c r="Y17" s="28" t="s">
        <v>46</v>
      </c>
      <c r="Z17" s="28">
        <f t="shared" ca="1" si="12"/>
        <v>0</v>
      </c>
      <c r="AA17" s="28"/>
      <c r="AB17" s="28"/>
      <c r="AC17" s="15">
        <f t="shared" si="13"/>
        <v>83532</v>
      </c>
      <c r="AD17" s="19">
        <f t="shared" si="14"/>
        <v>0</v>
      </c>
      <c r="AE17" s="20" t="s">
        <v>76</v>
      </c>
      <c r="AF17" s="21">
        <v>1800003158</v>
      </c>
      <c r="AG17" s="22" t="s">
        <v>53</v>
      </c>
    </row>
    <row r="18" spans="1:33" ht="14.25" customHeight="1" x14ac:dyDescent="0.25">
      <c r="A18" s="23">
        <v>1</v>
      </c>
      <c r="B18" s="24" t="s">
        <v>77</v>
      </c>
      <c r="C18" s="25">
        <v>220001</v>
      </c>
      <c r="D18" s="26">
        <v>21978</v>
      </c>
      <c r="E18" s="26" t="s">
        <v>39</v>
      </c>
      <c r="F18" s="26">
        <v>2018</v>
      </c>
      <c r="G18" s="24" t="s">
        <v>40</v>
      </c>
      <c r="H18" s="27">
        <v>220001</v>
      </c>
      <c r="I18" s="27">
        <f t="shared" si="0"/>
        <v>39600</v>
      </c>
      <c r="J18" s="27">
        <f t="shared" si="1"/>
        <v>259601</v>
      </c>
      <c r="K18" s="27">
        <f t="shared" si="2"/>
        <v>5192</v>
      </c>
      <c r="L18" s="28">
        <f t="shared" si="3"/>
        <v>220.001</v>
      </c>
      <c r="M18" s="28">
        <f t="shared" si="4"/>
        <v>5841.0265499999996</v>
      </c>
      <c r="N18" s="29">
        <f t="shared" si="5"/>
        <v>99.000450000000001</v>
      </c>
      <c r="O18" s="28">
        <f t="shared" si="6"/>
        <v>5742.0260999999991</v>
      </c>
      <c r="P18" s="28">
        <f t="shared" si="7"/>
        <v>5962</v>
      </c>
      <c r="Q18" s="30">
        <v>0</v>
      </c>
      <c r="R18" s="28">
        <f t="shared" si="8"/>
        <v>0</v>
      </c>
      <c r="S18" s="27">
        <f t="shared" si="9"/>
        <v>258831</v>
      </c>
      <c r="T18" s="28">
        <f t="shared" si="10"/>
        <v>55000</v>
      </c>
      <c r="U18" s="31">
        <f>+T18</f>
        <v>55000</v>
      </c>
      <c r="V18" s="28" t="s">
        <v>41</v>
      </c>
      <c r="W18" s="28">
        <f t="shared" si="11"/>
        <v>203831</v>
      </c>
      <c r="X18" s="28">
        <v>203831</v>
      </c>
      <c r="Y18" s="28" t="s">
        <v>35</v>
      </c>
      <c r="Z18" s="28">
        <f t="shared" ca="1" si="12"/>
        <v>0</v>
      </c>
      <c r="AA18" s="28"/>
      <c r="AB18" s="28"/>
      <c r="AC18" s="15">
        <f t="shared" si="13"/>
        <v>258831</v>
      </c>
      <c r="AD18" s="19">
        <f t="shared" si="14"/>
        <v>0</v>
      </c>
      <c r="AE18" s="20" t="s">
        <v>78</v>
      </c>
      <c r="AF18" s="21">
        <v>1800003306</v>
      </c>
      <c r="AG18" s="22" t="s">
        <v>43</v>
      </c>
    </row>
    <row r="19" spans="1:33" ht="14.25" customHeight="1" x14ac:dyDescent="0.25">
      <c r="A19" s="23">
        <v>1</v>
      </c>
      <c r="B19" s="24" t="s">
        <v>77</v>
      </c>
      <c r="C19" s="25">
        <v>210001</v>
      </c>
      <c r="D19" s="26">
        <v>21978</v>
      </c>
      <c r="E19" s="26" t="s">
        <v>39</v>
      </c>
      <c r="F19" s="26">
        <v>2019</v>
      </c>
      <c r="G19" s="24" t="s">
        <v>40</v>
      </c>
      <c r="H19" s="27">
        <v>210001</v>
      </c>
      <c r="I19" s="27">
        <f t="shared" si="0"/>
        <v>37800</v>
      </c>
      <c r="J19" s="27">
        <f t="shared" si="1"/>
        <v>247801</v>
      </c>
      <c r="K19" s="27">
        <f t="shared" si="2"/>
        <v>4956</v>
      </c>
      <c r="L19" s="28">
        <f t="shared" si="3"/>
        <v>210.001</v>
      </c>
      <c r="M19" s="28">
        <f t="shared" si="4"/>
        <v>5575.5265499999996</v>
      </c>
      <c r="N19" s="29">
        <f t="shared" si="5"/>
        <v>94.500450000000001</v>
      </c>
      <c r="O19" s="28">
        <f t="shared" si="6"/>
        <v>5481.0260999999991</v>
      </c>
      <c r="P19" s="28">
        <f t="shared" si="7"/>
        <v>5691</v>
      </c>
      <c r="Q19" s="30">
        <v>0</v>
      </c>
      <c r="R19" s="28">
        <f t="shared" si="8"/>
        <v>0</v>
      </c>
      <c r="S19" s="27">
        <f t="shared" si="9"/>
        <v>247066</v>
      </c>
      <c r="T19" s="28">
        <f t="shared" si="10"/>
        <v>52500</v>
      </c>
      <c r="U19" s="31">
        <f>+T19</f>
        <v>52500</v>
      </c>
      <c r="V19" s="28" t="s">
        <v>41</v>
      </c>
      <c r="W19" s="28">
        <f t="shared" si="11"/>
        <v>194566</v>
      </c>
      <c r="X19" s="28">
        <v>194566</v>
      </c>
      <c r="Y19" s="28" t="s">
        <v>35</v>
      </c>
      <c r="Z19" s="28">
        <f t="shared" ca="1" si="12"/>
        <v>0</v>
      </c>
      <c r="AA19" s="28"/>
      <c r="AB19" s="28"/>
      <c r="AC19" s="15">
        <f t="shared" si="13"/>
        <v>247066</v>
      </c>
      <c r="AD19" s="19">
        <f t="shared" si="14"/>
        <v>0</v>
      </c>
      <c r="AE19" s="20" t="s">
        <v>79</v>
      </c>
      <c r="AF19" s="21">
        <v>1800003307</v>
      </c>
      <c r="AG19" s="22" t="s">
        <v>43</v>
      </c>
    </row>
    <row r="20" spans="1:33" ht="26.25" customHeight="1" x14ac:dyDescent="0.25">
      <c r="A20" s="23">
        <v>3500</v>
      </c>
      <c r="B20" s="24" t="s">
        <v>80</v>
      </c>
      <c r="C20" s="25">
        <v>333</v>
      </c>
      <c r="D20" s="26">
        <v>21978</v>
      </c>
      <c r="E20" s="26" t="s">
        <v>33</v>
      </c>
      <c r="F20" s="26">
        <v>2020</v>
      </c>
      <c r="G20" s="24" t="s">
        <v>52</v>
      </c>
      <c r="H20" s="27">
        <v>1165500</v>
      </c>
      <c r="I20" s="27">
        <f t="shared" si="0"/>
        <v>209790</v>
      </c>
      <c r="J20" s="27">
        <f t="shared" si="1"/>
        <v>1375290</v>
      </c>
      <c r="K20" s="27">
        <f t="shared" si="2"/>
        <v>27506</v>
      </c>
      <c r="L20" s="28">
        <f t="shared" si="3"/>
        <v>1165.5</v>
      </c>
      <c r="M20" s="28">
        <f t="shared" si="4"/>
        <v>30944.024999999998</v>
      </c>
      <c r="N20" s="29">
        <f t="shared" si="5"/>
        <v>524.47500000000002</v>
      </c>
      <c r="O20" s="28">
        <f t="shared" si="6"/>
        <v>30419.55</v>
      </c>
      <c r="P20" s="28">
        <f t="shared" si="7"/>
        <v>31585</v>
      </c>
      <c r="Q20" s="30">
        <v>0.02</v>
      </c>
      <c r="R20" s="28">
        <f t="shared" si="8"/>
        <v>23310</v>
      </c>
      <c r="S20" s="27">
        <f t="shared" si="9"/>
        <v>1347901</v>
      </c>
      <c r="T20" s="28">
        <f t="shared" si="10"/>
        <v>291375</v>
      </c>
      <c r="U20" s="31">
        <v>291375</v>
      </c>
      <c r="V20" s="28" t="s">
        <v>81</v>
      </c>
      <c r="W20" s="28">
        <f t="shared" si="11"/>
        <v>1056526</v>
      </c>
      <c r="X20" s="28">
        <v>1056525</v>
      </c>
      <c r="Y20" s="28" t="s">
        <v>81</v>
      </c>
      <c r="Z20" s="28">
        <f t="shared" ca="1" si="12"/>
        <v>0</v>
      </c>
      <c r="AA20" s="28"/>
      <c r="AB20" s="28"/>
      <c r="AC20" s="15">
        <f t="shared" si="13"/>
        <v>1347900</v>
      </c>
      <c r="AD20" s="19">
        <f t="shared" si="14"/>
        <v>1</v>
      </c>
      <c r="AE20" s="20" t="s">
        <v>82</v>
      </c>
      <c r="AF20" s="21">
        <v>1800003065</v>
      </c>
      <c r="AG20" s="22" t="s">
        <v>83</v>
      </c>
    </row>
    <row r="21" spans="1:33" ht="39" customHeight="1" x14ac:dyDescent="0.25">
      <c r="A21" s="23">
        <v>3</v>
      </c>
      <c r="B21" s="24" t="s">
        <v>59</v>
      </c>
      <c r="C21" s="25">
        <v>110200</v>
      </c>
      <c r="D21" s="26">
        <v>21978</v>
      </c>
      <c r="E21" s="26" t="s">
        <v>39</v>
      </c>
      <c r="F21" s="26">
        <v>2022</v>
      </c>
      <c r="G21" s="24" t="s">
        <v>84</v>
      </c>
      <c r="H21" s="27">
        <v>330600</v>
      </c>
      <c r="I21" s="27">
        <f t="shared" si="0"/>
        <v>59508</v>
      </c>
      <c r="J21" s="27">
        <f t="shared" si="1"/>
        <v>390108</v>
      </c>
      <c r="K21" s="27">
        <f t="shared" si="2"/>
        <v>7802</v>
      </c>
      <c r="L21" s="28">
        <f t="shared" si="3"/>
        <v>330.6</v>
      </c>
      <c r="M21" s="28">
        <f t="shared" si="4"/>
        <v>8777.43</v>
      </c>
      <c r="N21" s="29">
        <f t="shared" si="5"/>
        <v>148.77000000000001</v>
      </c>
      <c r="O21" s="28">
        <f t="shared" si="6"/>
        <v>8628.66</v>
      </c>
      <c r="P21" s="28">
        <f t="shared" si="7"/>
        <v>8959</v>
      </c>
      <c r="Q21" s="30">
        <v>0</v>
      </c>
      <c r="R21" s="28">
        <f t="shared" si="8"/>
        <v>0</v>
      </c>
      <c r="S21" s="27">
        <f t="shared" si="9"/>
        <v>388951</v>
      </c>
      <c r="T21" s="28">
        <f t="shared" si="10"/>
        <v>82650</v>
      </c>
      <c r="U21" s="31">
        <f>+T21</f>
        <v>82650</v>
      </c>
      <c r="V21" s="28" t="s">
        <v>53</v>
      </c>
      <c r="W21" s="28">
        <f t="shared" si="11"/>
        <v>306301</v>
      </c>
      <c r="X21" s="28">
        <v>306301</v>
      </c>
      <c r="Y21" s="28" t="s">
        <v>85</v>
      </c>
      <c r="Z21" s="28">
        <f t="shared" ca="1" si="12"/>
        <v>0</v>
      </c>
      <c r="AA21" s="28"/>
      <c r="AB21" s="28"/>
      <c r="AC21" s="15">
        <f t="shared" si="13"/>
        <v>388951</v>
      </c>
      <c r="AD21" s="19">
        <f t="shared" si="14"/>
        <v>0</v>
      </c>
      <c r="AE21" s="20" t="s">
        <v>86</v>
      </c>
      <c r="AF21" s="21">
        <v>1800003269</v>
      </c>
      <c r="AG21" s="22" t="s">
        <v>35</v>
      </c>
    </row>
    <row r="22" spans="1:33" ht="14.25" customHeight="1" x14ac:dyDescent="0.25">
      <c r="A22" s="23">
        <v>3</v>
      </c>
      <c r="B22" s="24" t="s">
        <v>59</v>
      </c>
      <c r="C22" s="25">
        <v>83743</v>
      </c>
      <c r="D22" s="26">
        <v>21978</v>
      </c>
      <c r="E22" s="26" t="s">
        <v>39</v>
      </c>
      <c r="F22" s="26">
        <v>2023</v>
      </c>
      <c r="G22" s="24" t="s">
        <v>40</v>
      </c>
      <c r="H22" s="27">
        <v>251229</v>
      </c>
      <c r="I22" s="27">
        <f t="shared" si="0"/>
        <v>45221</v>
      </c>
      <c r="J22" s="27">
        <f t="shared" si="1"/>
        <v>296450</v>
      </c>
      <c r="K22" s="27">
        <f t="shared" si="2"/>
        <v>5929</v>
      </c>
      <c r="L22" s="28">
        <f t="shared" si="3"/>
        <v>251.22900000000001</v>
      </c>
      <c r="M22" s="28">
        <f t="shared" si="4"/>
        <v>6670.1299499999996</v>
      </c>
      <c r="N22" s="29">
        <f t="shared" si="5"/>
        <v>113.05305</v>
      </c>
      <c r="O22" s="28">
        <f t="shared" si="6"/>
        <v>6557.0768999999991</v>
      </c>
      <c r="P22" s="28">
        <f t="shared" si="7"/>
        <v>6808</v>
      </c>
      <c r="Q22" s="30">
        <v>0</v>
      </c>
      <c r="R22" s="28">
        <f t="shared" si="8"/>
        <v>0</v>
      </c>
      <c r="S22" s="27">
        <f t="shared" si="9"/>
        <v>295571</v>
      </c>
      <c r="T22" s="28">
        <f t="shared" si="10"/>
        <v>62807</v>
      </c>
      <c r="U22" s="31">
        <f>+T22</f>
        <v>62807</v>
      </c>
      <c r="V22" s="28" t="s">
        <v>41</v>
      </c>
      <c r="W22" s="28">
        <f t="shared" si="11"/>
        <v>232764</v>
      </c>
      <c r="X22" s="28">
        <v>232764</v>
      </c>
      <c r="Y22" s="28" t="s">
        <v>35</v>
      </c>
      <c r="Z22" s="28">
        <f t="shared" ca="1" si="12"/>
        <v>0</v>
      </c>
      <c r="AA22" s="28"/>
      <c r="AB22" s="28"/>
      <c r="AC22" s="15">
        <f t="shared" si="13"/>
        <v>295571</v>
      </c>
      <c r="AD22" s="19">
        <f t="shared" si="14"/>
        <v>0</v>
      </c>
      <c r="AE22" s="20" t="s">
        <v>87</v>
      </c>
      <c r="AF22" s="21">
        <v>1800003308</v>
      </c>
      <c r="AG22" s="22" t="s">
        <v>43</v>
      </c>
    </row>
    <row r="23" spans="1:33" ht="14.25" customHeight="1" x14ac:dyDescent="0.25">
      <c r="A23" s="23">
        <v>90</v>
      </c>
      <c r="B23" s="24" t="s">
        <v>75</v>
      </c>
      <c r="C23" s="25">
        <v>700</v>
      </c>
      <c r="D23" s="26">
        <v>21978</v>
      </c>
      <c r="E23" s="26" t="s">
        <v>39</v>
      </c>
      <c r="F23" s="26">
        <v>2025</v>
      </c>
      <c r="G23" s="24" t="s">
        <v>66</v>
      </c>
      <c r="H23" s="27">
        <v>63000</v>
      </c>
      <c r="I23" s="27">
        <f t="shared" si="0"/>
        <v>11340</v>
      </c>
      <c r="J23" s="27">
        <f t="shared" si="1"/>
        <v>74340</v>
      </c>
      <c r="K23" s="27">
        <f t="shared" si="2"/>
        <v>1487</v>
      </c>
      <c r="L23" s="28">
        <f t="shared" si="3"/>
        <v>63</v>
      </c>
      <c r="M23" s="28">
        <f t="shared" si="4"/>
        <v>1672.6499999999999</v>
      </c>
      <c r="N23" s="29">
        <f t="shared" si="5"/>
        <v>28.35</v>
      </c>
      <c r="O23" s="28">
        <f t="shared" si="6"/>
        <v>1644.3</v>
      </c>
      <c r="P23" s="28">
        <f t="shared" si="7"/>
        <v>1707</v>
      </c>
      <c r="Q23" s="30">
        <v>0</v>
      </c>
      <c r="R23" s="28">
        <f t="shared" si="8"/>
        <v>0</v>
      </c>
      <c r="S23" s="27">
        <f t="shared" si="9"/>
        <v>74120</v>
      </c>
      <c r="T23" s="28">
        <f t="shared" si="10"/>
        <v>15750</v>
      </c>
      <c r="U23" s="31">
        <v>15750</v>
      </c>
      <c r="V23" s="28" t="s">
        <v>46</v>
      </c>
      <c r="W23" s="28">
        <f t="shared" si="11"/>
        <v>58370</v>
      </c>
      <c r="X23" s="28">
        <v>58418</v>
      </c>
      <c r="Y23" s="28" t="s">
        <v>46</v>
      </c>
      <c r="Z23" s="28">
        <f t="shared" ca="1" si="12"/>
        <v>0</v>
      </c>
      <c r="AA23" s="28"/>
      <c r="AB23" s="28"/>
      <c r="AC23" s="15">
        <f t="shared" si="13"/>
        <v>74168</v>
      </c>
      <c r="AD23" s="19">
        <f t="shared" si="14"/>
        <v>-48</v>
      </c>
      <c r="AE23" s="20" t="s">
        <v>88</v>
      </c>
      <c r="AF23" s="21">
        <v>1800003160</v>
      </c>
      <c r="AG23" s="22" t="s">
        <v>53</v>
      </c>
    </row>
    <row r="24" spans="1:33" ht="14.25" customHeight="1" x14ac:dyDescent="0.25">
      <c r="A24" s="23">
        <v>1</v>
      </c>
      <c r="B24" s="24" t="s">
        <v>59</v>
      </c>
      <c r="C24" s="25">
        <v>50003</v>
      </c>
      <c r="D24" s="26">
        <v>21978</v>
      </c>
      <c r="E24" s="26" t="s">
        <v>39</v>
      </c>
      <c r="F24" s="26">
        <v>2027</v>
      </c>
      <c r="G24" s="24" t="s">
        <v>40</v>
      </c>
      <c r="H24" s="27">
        <v>50003</v>
      </c>
      <c r="I24" s="27">
        <f t="shared" si="0"/>
        <v>9001</v>
      </c>
      <c r="J24" s="27">
        <f t="shared" si="1"/>
        <v>59004</v>
      </c>
      <c r="K24" s="27">
        <f t="shared" si="2"/>
        <v>1180</v>
      </c>
      <c r="L24" s="28">
        <f t="shared" si="3"/>
        <v>50.003</v>
      </c>
      <c r="M24" s="28">
        <f t="shared" si="4"/>
        <v>1327.5796499999999</v>
      </c>
      <c r="N24" s="29">
        <f t="shared" si="5"/>
        <v>22.501349999999999</v>
      </c>
      <c r="O24" s="28">
        <f t="shared" si="6"/>
        <v>1305.0782999999999</v>
      </c>
      <c r="P24" s="28">
        <f t="shared" si="7"/>
        <v>1355</v>
      </c>
      <c r="Q24" s="30">
        <v>0</v>
      </c>
      <c r="R24" s="28">
        <f t="shared" si="8"/>
        <v>0</v>
      </c>
      <c r="S24" s="27">
        <f t="shared" si="9"/>
        <v>58829</v>
      </c>
      <c r="T24" s="28">
        <f t="shared" si="10"/>
        <v>12501</v>
      </c>
      <c r="U24" s="31">
        <f>+T24</f>
        <v>12501</v>
      </c>
      <c r="V24" s="28" t="s">
        <v>41</v>
      </c>
      <c r="W24" s="28">
        <f t="shared" si="11"/>
        <v>46328</v>
      </c>
      <c r="X24" s="28">
        <v>46328</v>
      </c>
      <c r="Y24" s="28" t="s">
        <v>35</v>
      </c>
      <c r="Z24" s="28">
        <f t="shared" ca="1" si="12"/>
        <v>0</v>
      </c>
      <c r="AA24" s="28"/>
      <c r="AB24" s="28"/>
      <c r="AC24" s="15">
        <f t="shared" si="13"/>
        <v>58829</v>
      </c>
      <c r="AD24" s="19">
        <f t="shared" si="14"/>
        <v>0</v>
      </c>
      <c r="AE24" s="20" t="s">
        <v>89</v>
      </c>
      <c r="AF24" s="21">
        <v>1800003309</v>
      </c>
      <c r="AG24" s="22" t="s">
        <v>43</v>
      </c>
    </row>
    <row r="25" spans="1:33" ht="14.25" customHeight="1" x14ac:dyDescent="0.25">
      <c r="A25" s="23">
        <v>1000</v>
      </c>
      <c r="B25" s="24" t="s">
        <v>90</v>
      </c>
      <c r="C25" s="25">
        <v>517</v>
      </c>
      <c r="D25" s="26">
        <v>21978</v>
      </c>
      <c r="E25" s="26" t="s">
        <v>39</v>
      </c>
      <c r="F25" s="26">
        <v>2033</v>
      </c>
      <c r="G25" s="24" t="s">
        <v>91</v>
      </c>
      <c r="H25" s="27">
        <v>517000</v>
      </c>
      <c r="I25" s="27">
        <f t="shared" si="0"/>
        <v>93060</v>
      </c>
      <c r="J25" s="27">
        <f t="shared" si="1"/>
        <v>610060</v>
      </c>
      <c r="K25" s="27">
        <f t="shared" si="2"/>
        <v>12201</v>
      </c>
      <c r="L25" s="28">
        <f t="shared" si="3"/>
        <v>517</v>
      </c>
      <c r="M25" s="28">
        <f t="shared" si="4"/>
        <v>13726.349999999999</v>
      </c>
      <c r="N25" s="29">
        <f t="shared" si="5"/>
        <v>232.65</v>
      </c>
      <c r="O25" s="28">
        <f t="shared" si="6"/>
        <v>13493.699999999999</v>
      </c>
      <c r="P25" s="28">
        <f t="shared" si="7"/>
        <v>14011</v>
      </c>
      <c r="Q25" s="30">
        <v>0</v>
      </c>
      <c r="R25" s="28">
        <f t="shared" si="8"/>
        <v>0</v>
      </c>
      <c r="S25" s="27">
        <f t="shared" si="9"/>
        <v>608251</v>
      </c>
      <c r="T25" s="28">
        <f t="shared" si="10"/>
        <v>129250</v>
      </c>
      <c r="U25" s="31">
        <v>129250</v>
      </c>
      <c r="V25" s="28" t="s">
        <v>53</v>
      </c>
      <c r="W25" s="28">
        <f t="shared" si="11"/>
        <v>479001</v>
      </c>
      <c r="X25" s="28">
        <v>479001</v>
      </c>
      <c r="Y25" s="28" t="s">
        <v>85</v>
      </c>
      <c r="Z25" s="28">
        <f t="shared" ca="1" si="12"/>
        <v>0</v>
      </c>
      <c r="AA25" s="28"/>
      <c r="AB25" s="28"/>
      <c r="AC25" s="15">
        <f t="shared" si="13"/>
        <v>608251</v>
      </c>
      <c r="AD25" s="19">
        <f t="shared" si="14"/>
        <v>0</v>
      </c>
      <c r="AE25" s="20" t="s">
        <v>92</v>
      </c>
      <c r="AF25" s="21">
        <v>1800003317</v>
      </c>
      <c r="AG25" s="22" t="s">
        <v>43</v>
      </c>
    </row>
    <row r="26" spans="1:33" ht="14.25" customHeight="1" x14ac:dyDescent="0.25">
      <c r="A26" s="23">
        <v>2</v>
      </c>
      <c r="B26" s="24" t="s">
        <v>93</v>
      </c>
      <c r="C26" s="25">
        <v>14001</v>
      </c>
      <c r="D26" s="26">
        <v>21978</v>
      </c>
      <c r="E26" s="26" t="s">
        <v>39</v>
      </c>
      <c r="F26" s="26">
        <v>2035</v>
      </c>
      <c r="G26" s="24" t="s">
        <v>40</v>
      </c>
      <c r="H26" s="27">
        <v>28002</v>
      </c>
      <c r="I26" s="27">
        <f t="shared" si="0"/>
        <v>5040</v>
      </c>
      <c r="J26" s="27">
        <f t="shared" si="1"/>
        <v>33042</v>
      </c>
      <c r="K26" s="27">
        <f t="shared" si="2"/>
        <v>661</v>
      </c>
      <c r="L26" s="28">
        <f t="shared" si="3"/>
        <v>28.001999999999999</v>
      </c>
      <c r="M26" s="28">
        <f t="shared" si="4"/>
        <v>743.45309999999995</v>
      </c>
      <c r="N26" s="29">
        <f t="shared" si="5"/>
        <v>12.600899999999999</v>
      </c>
      <c r="O26" s="28">
        <f t="shared" si="6"/>
        <v>730.85219999999993</v>
      </c>
      <c r="P26" s="28">
        <f t="shared" si="7"/>
        <v>759</v>
      </c>
      <c r="Q26" s="30">
        <v>0</v>
      </c>
      <c r="R26" s="28">
        <f t="shared" si="8"/>
        <v>0</v>
      </c>
      <c r="S26" s="27">
        <f t="shared" si="9"/>
        <v>32944</v>
      </c>
      <c r="T26" s="28">
        <f t="shared" si="10"/>
        <v>7001</v>
      </c>
      <c r="U26" s="31">
        <f>+T26</f>
        <v>7001</v>
      </c>
      <c r="V26" s="28" t="s">
        <v>41</v>
      </c>
      <c r="W26" s="28">
        <f t="shared" si="11"/>
        <v>25944</v>
      </c>
      <c r="X26" s="28">
        <v>25943</v>
      </c>
      <c r="Y26" s="28" t="s">
        <v>35</v>
      </c>
      <c r="Z26" s="28">
        <f t="shared" ca="1" si="12"/>
        <v>0</v>
      </c>
      <c r="AA26" s="28"/>
      <c r="AB26" s="28"/>
      <c r="AC26" s="15">
        <f t="shared" si="13"/>
        <v>32944</v>
      </c>
      <c r="AD26" s="19">
        <f t="shared" si="14"/>
        <v>0</v>
      </c>
      <c r="AE26" s="20" t="s">
        <v>94</v>
      </c>
      <c r="AF26" s="21">
        <v>1800003310</v>
      </c>
      <c r="AG26" s="22" t="s">
        <v>43</v>
      </c>
    </row>
    <row r="27" spans="1:33" ht="26.25" customHeight="1" x14ac:dyDescent="0.25">
      <c r="A27" s="23">
        <v>8.1999999999999993</v>
      </c>
      <c r="B27" s="24" t="s">
        <v>95</v>
      </c>
      <c r="C27" s="25">
        <v>67000</v>
      </c>
      <c r="D27" s="26">
        <v>21978</v>
      </c>
      <c r="E27" s="26" t="s">
        <v>96</v>
      </c>
      <c r="F27" s="26">
        <v>2036</v>
      </c>
      <c r="G27" s="24" t="s">
        <v>97</v>
      </c>
      <c r="H27" s="27">
        <v>549400</v>
      </c>
      <c r="I27" s="27">
        <f t="shared" si="0"/>
        <v>98892</v>
      </c>
      <c r="J27" s="27">
        <f t="shared" si="1"/>
        <v>648292</v>
      </c>
      <c r="K27" s="27">
        <f t="shared" si="2"/>
        <v>12966</v>
      </c>
      <c r="L27" s="28">
        <f t="shared" si="3"/>
        <v>549.4</v>
      </c>
      <c r="M27" s="28">
        <f t="shared" si="4"/>
        <v>14586.57</v>
      </c>
      <c r="N27" s="29">
        <f t="shared" si="5"/>
        <v>247.23000000000002</v>
      </c>
      <c r="O27" s="28">
        <f t="shared" si="6"/>
        <v>14339.34</v>
      </c>
      <c r="P27" s="28">
        <f t="shared" si="7"/>
        <v>14889</v>
      </c>
      <c r="Q27" s="30">
        <v>0.02</v>
      </c>
      <c r="R27" s="28">
        <f t="shared" si="8"/>
        <v>10988</v>
      </c>
      <c r="S27" s="27">
        <f t="shared" si="9"/>
        <v>635381</v>
      </c>
      <c r="T27" s="28">
        <f t="shared" si="10"/>
        <v>137350</v>
      </c>
      <c r="U27" s="31">
        <v>137350</v>
      </c>
      <c r="V27" s="28" t="s">
        <v>53</v>
      </c>
      <c r="W27" s="28">
        <f t="shared" si="11"/>
        <v>498031</v>
      </c>
      <c r="X27" s="28"/>
      <c r="Y27" s="28">
        <v>0</v>
      </c>
      <c r="Z27" s="28">
        <f t="shared" ca="1" si="12"/>
        <v>19448.760000000002</v>
      </c>
      <c r="AA27" s="28"/>
      <c r="AB27" s="28"/>
      <c r="AC27" s="15">
        <f t="shared" si="13"/>
        <v>137350</v>
      </c>
      <c r="AD27" s="19">
        <f t="shared" si="14"/>
        <v>498031</v>
      </c>
      <c r="AE27" s="20"/>
      <c r="AF27" s="21"/>
      <c r="AG27" s="22"/>
    </row>
    <row r="28" spans="1:33" ht="14.25" customHeight="1" x14ac:dyDescent="0.25">
      <c r="A28" s="23">
        <v>50</v>
      </c>
      <c r="B28" s="24" t="s">
        <v>75</v>
      </c>
      <c r="C28" s="25">
        <v>531</v>
      </c>
      <c r="D28" s="26">
        <v>21978</v>
      </c>
      <c r="E28" s="26" t="s">
        <v>39</v>
      </c>
      <c r="F28" s="26">
        <v>2037</v>
      </c>
      <c r="G28" s="24" t="s">
        <v>91</v>
      </c>
      <c r="H28" s="27">
        <v>26550</v>
      </c>
      <c r="I28" s="27">
        <f t="shared" si="0"/>
        <v>4779</v>
      </c>
      <c r="J28" s="27">
        <f t="shared" si="1"/>
        <v>31329</v>
      </c>
      <c r="K28" s="27">
        <f t="shared" si="2"/>
        <v>627</v>
      </c>
      <c r="L28" s="28">
        <f t="shared" si="3"/>
        <v>26.55</v>
      </c>
      <c r="M28" s="28">
        <f t="shared" si="4"/>
        <v>704.90249999999992</v>
      </c>
      <c r="N28" s="29">
        <f t="shared" si="5"/>
        <v>11.9475</v>
      </c>
      <c r="O28" s="28">
        <f t="shared" si="6"/>
        <v>692.95499999999993</v>
      </c>
      <c r="P28" s="28">
        <f t="shared" si="7"/>
        <v>720</v>
      </c>
      <c r="Q28" s="30">
        <v>0</v>
      </c>
      <c r="R28" s="28">
        <f t="shared" si="8"/>
        <v>0</v>
      </c>
      <c r="S28" s="27">
        <f t="shared" si="9"/>
        <v>31236</v>
      </c>
      <c r="T28" s="28">
        <f t="shared" si="10"/>
        <v>6638</v>
      </c>
      <c r="U28" s="31">
        <v>6638</v>
      </c>
      <c r="V28" s="28" t="s">
        <v>53</v>
      </c>
      <c r="W28" s="28">
        <f t="shared" si="11"/>
        <v>24599</v>
      </c>
      <c r="X28" s="28">
        <v>24598</v>
      </c>
      <c r="Y28" s="28" t="s">
        <v>85</v>
      </c>
      <c r="Z28" s="28">
        <f t="shared" ca="1" si="12"/>
        <v>0</v>
      </c>
      <c r="AA28" s="28"/>
      <c r="AB28" s="28"/>
      <c r="AC28" s="15">
        <f t="shared" si="13"/>
        <v>31236</v>
      </c>
      <c r="AD28" s="19">
        <f t="shared" si="14"/>
        <v>0</v>
      </c>
      <c r="AE28" s="20" t="s">
        <v>98</v>
      </c>
      <c r="AF28" s="21">
        <v>1800003318</v>
      </c>
      <c r="AG28" s="22" t="s">
        <v>43</v>
      </c>
    </row>
    <row r="29" spans="1:33" ht="14.25" customHeight="1" x14ac:dyDescent="0.25">
      <c r="A29" s="23">
        <v>3</v>
      </c>
      <c r="B29" s="24" t="s">
        <v>99</v>
      </c>
      <c r="C29" s="25">
        <v>90002</v>
      </c>
      <c r="D29" s="26">
        <v>21978</v>
      </c>
      <c r="E29" s="26" t="s">
        <v>39</v>
      </c>
      <c r="F29" s="26">
        <v>2040</v>
      </c>
      <c r="G29" s="24" t="s">
        <v>66</v>
      </c>
      <c r="H29" s="27">
        <v>270006</v>
      </c>
      <c r="I29" s="27">
        <f t="shared" si="0"/>
        <v>48601</v>
      </c>
      <c r="J29" s="27">
        <f t="shared" si="1"/>
        <v>318607</v>
      </c>
      <c r="K29" s="27">
        <f t="shared" si="2"/>
        <v>6372</v>
      </c>
      <c r="L29" s="28">
        <f t="shared" si="3"/>
        <v>270.00600000000003</v>
      </c>
      <c r="M29" s="28">
        <f t="shared" si="4"/>
        <v>7168.6593000000003</v>
      </c>
      <c r="N29" s="29">
        <f t="shared" si="5"/>
        <v>121.5027</v>
      </c>
      <c r="O29" s="28">
        <f t="shared" si="6"/>
        <v>7047.1566000000003</v>
      </c>
      <c r="P29" s="28">
        <f t="shared" si="7"/>
        <v>7317</v>
      </c>
      <c r="Q29" s="30">
        <v>0</v>
      </c>
      <c r="R29" s="28">
        <f t="shared" si="8"/>
        <v>0</v>
      </c>
      <c r="S29" s="27">
        <f t="shared" si="9"/>
        <v>317662</v>
      </c>
      <c r="T29" s="28">
        <f t="shared" si="10"/>
        <v>67502</v>
      </c>
      <c r="U29" s="31">
        <v>67502</v>
      </c>
      <c r="V29" s="28" t="s">
        <v>46</v>
      </c>
      <c r="W29" s="28">
        <f t="shared" si="11"/>
        <v>250161</v>
      </c>
      <c r="X29" s="28"/>
      <c r="Y29" s="28">
        <v>0</v>
      </c>
      <c r="Z29" s="28">
        <f t="shared" ca="1" si="12"/>
        <v>9558.2124000000003</v>
      </c>
      <c r="AA29" s="28"/>
      <c r="AB29" s="28"/>
      <c r="AC29" s="15">
        <f t="shared" si="13"/>
        <v>67502</v>
      </c>
      <c r="AD29" s="19">
        <f t="shared" si="14"/>
        <v>250160</v>
      </c>
      <c r="AE29" s="20"/>
      <c r="AF29" s="21"/>
      <c r="AG29" s="22"/>
    </row>
    <row r="30" spans="1:33" ht="14.25" customHeight="1" x14ac:dyDescent="0.25">
      <c r="A30" s="23">
        <v>5</v>
      </c>
      <c r="B30" s="24" t="s">
        <v>59</v>
      </c>
      <c r="C30" s="25">
        <v>80000</v>
      </c>
      <c r="D30" s="26">
        <v>21979</v>
      </c>
      <c r="E30" s="26" t="s">
        <v>39</v>
      </c>
      <c r="F30" s="26">
        <v>2043</v>
      </c>
      <c r="G30" s="24" t="s">
        <v>40</v>
      </c>
      <c r="H30" s="27">
        <v>400000</v>
      </c>
      <c r="I30" s="27">
        <f t="shared" si="0"/>
        <v>72000</v>
      </c>
      <c r="J30" s="27">
        <f t="shared" si="1"/>
        <v>472000</v>
      </c>
      <c r="K30" s="27">
        <f t="shared" si="2"/>
        <v>9440</v>
      </c>
      <c r="L30" s="28">
        <f t="shared" si="3"/>
        <v>400</v>
      </c>
      <c r="M30" s="28">
        <f t="shared" si="4"/>
        <v>10620</v>
      </c>
      <c r="N30" s="29">
        <f t="shared" si="5"/>
        <v>180</v>
      </c>
      <c r="O30" s="28">
        <f t="shared" si="6"/>
        <v>10440</v>
      </c>
      <c r="P30" s="28">
        <f t="shared" si="7"/>
        <v>10840</v>
      </c>
      <c r="Q30" s="30">
        <v>0</v>
      </c>
      <c r="R30" s="28">
        <f t="shared" si="8"/>
        <v>0</v>
      </c>
      <c r="S30" s="27">
        <f t="shared" si="9"/>
        <v>470600</v>
      </c>
      <c r="T30" s="28">
        <f t="shared" si="10"/>
        <v>100000</v>
      </c>
      <c r="U30" s="31">
        <f>+T30</f>
        <v>100000</v>
      </c>
      <c r="V30" s="28" t="s">
        <v>41</v>
      </c>
      <c r="W30" s="28">
        <f t="shared" si="11"/>
        <v>370600</v>
      </c>
      <c r="X30" s="28">
        <v>370600</v>
      </c>
      <c r="Y30" s="28" t="s">
        <v>35</v>
      </c>
      <c r="Z30" s="28">
        <f t="shared" ca="1" si="12"/>
        <v>0</v>
      </c>
      <c r="AA30" s="28"/>
      <c r="AB30" s="28"/>
      <c r="AC30" s="15">
        <f t="shared" si="13"/>
        <v>470600</v>
      </c>
      <c r="AD30" s="19">
        <f t="shared" si="14"/>
        <v>0</v>
      </c>
      <c r="AE30" s="20" t="s">
        <v>100</v>
      </c>
      <c r="AF30" s="21">
        <v>1800003311</v>
      </c>
      <c r="AG30" s="22" t="s">
        <v>43</v>
      </c>
    </row>
    <row r="31" spans="1:33" ht="14.25" customHeight="1" x14ac:dyDescent="0.25">
      <c r="A31" s="23">
        <v>670</v>
      </c>
      <c r="B31" s="24" t="s">
        <v>101</v>
      </c>
      <c r="C31" s="25">
        <v>309</v>
      </c>
      <c r="D31" s="26">
        <v>21979</v>
      </c>
      <c r="E31" s="26" t="s">
        <v>33</v>
      </c>
      <c r="F31" s="26">
        <v>2046</v>
      </c>
      <c r="G31" s="24" t="s">
        <v>102</v>
      </c>
      <c r="H31" s="27">
        <v>207030</v>
      </c>
      <c r="I31" s="27">
        <f t="shared" si="0"/>
        <v>37265</v>
      </c>
      <c r="J31" s="27">
        <f t="shared" si="1"/>
        <v>244295</v>
      </c>
      <c r="K31" s="27">
        <f t="shared" si="2"/>
        <v>4886</v>
      </c>
      <c r="L31" s="28">
        <f t="shared" si="3"/>
        <v>207.03</v>
      </c>
      <c r="M31" s="28">
        <f t="shared" si="4"/>
        <v>5496.6464999999998</v>
      </c>
      <c r="N31" s="29">
        <f t="shared" si="5"/>
        <v>93.163499999999999</v>
      </c>
      <c r="O31" s="28">
        <f t="shared" si="6"/>
        <v>5403.4830000000002</v>
      </c>
      <c r="P31" s="28">
        <f t="shared" si="7"/>
        <v>5611</v>
      </c>
      <c r="Q31" s="30">
        <v>0</v>
      </c>
      <c r="R31" s="28">
        <f t="shared" si="8"/>
        <v>0</v>
      </c>
      <c r="S31" s="27">
        <f t="shared" si="9"/>
        <v>243571</v>
      </c>
      <c r="T31" s="28">
        <f t="shared" si="10"/>
        <v>51758</v>
      </c>
      <c r="U31" s="31">
        <v>51758</v>
      </c>
      <c r="V31" s="28" t="s">
        <v>46</v>
      </c>
      <c r="W31" s="28">
        <f t="shared" si="11"/>
        <v>191813</v>
      </c>
      <c r="X31" s="28">
        <v>191812</v>
      </c>
      <c r="Y31" s="28" t="s">
        <v>85</v>
      </c>
      <c r="Z31" s="28">
        <f t="shared" ca="1" si="12"/>
        <v>0</v>
      </c>
      <c r="AA31" s="28"/>
      <c r="AB31" s="28"/>
      <c r="AC31" s="15">
        <f t="shared" si="13"/>
        <v>243570</v>
      </c>
      <c r="AD31" s="19">
        <f t="shared" si="14"/>
        <v>1</v>
      </c>
      <c r="AE31" s="20" t="s">
        <v>103</v>
      </c>
      <c r="AF31" s="21">
        <v>1800003316</v>
      </c>
      <c r="AG31" s="22" t="s">
        <v>43</v>
      </c>
    </row>
    <row r="32" spans="1:33" ht="14.25" customHeight="1" x14ac:dyDescent="0.25">
      <c r="A32" s="23">
        <v>2</v>
      </c>
      <c r="B32" s="24" t="s">
        <v>104</v>
      </c>
      <c r="C32" s="25">
        <v>80006</v>
      </c>
      <c r="D32" s="26">
        <v>21979</v>
      </c>
      <c r="E32" s="26" t="s">
        <v>39</v>
      </c>
      <c r="F32" s="26">
        <v>2055</v>
      </c>
      <c r="G32" s="24" t="s">
        <v>40</v>
      </c>
      <c r="H32" s="27">
        <v>160012</v>
      </c>
      <c r="I32" s="27">
        <f t="shared" si="0"/>
        <v>28802</v>
      </c>
      <c r="J32" s="27">
        <f t="shared" si="1"/>
        <v>188814</v>
      </c>
      <c r="K32" s="27">
        <f t="shared" si="2"/>
        <v>3776</v>
      </c>
      <c r="L32" s="28">
        <f t="shared" si="3"/>
        <v>160.012</v>
      </c>
      <c r="M32" s="28">
        <f t="shared" si="4"/>
        <v>4248.3185999999996</v>
      </c>
      <c r="N32" s="29">
        <f t="shared" si="5"/>
        <v>72.005399999999995</v>
      </c>
      <c r="O32" s="28">
        <f t="shared" si="6"/>
        <v>4176.3131999999996</v>
      </c>
      <c r="P32" s="28">
        <f t="shared" si="7"/>
        <v>4336</v>
      </c>
      <c r="Q32" s="30">
        <v>0</v>
      </c>
      <c r="R32" s="28">
        <f t="shared" si="8"/>
        <v>0</v>
      </c>
      <c r="S32" s="27">
        <f t="shared" si="9"/>
        <v>188254</v>
      </c>
      <c r="T32" s="28">
        <f t="shared" si="10"/>
        <v>40003</v>
      </c>
      <c r="U32" s="31">
        <f>+T32</f>
        <v>40003</v>
      </c>
      <c r="V32" s="28" t="s">
        <v>41</v>
      </c>
      <c r="W32" s="28">
        <f t="shared" si="11"/>
        <v>148251</v>
      </c>
      <c r="X32" s="28">
        <v>148251</v>
      </c>
      <c r="Y32" s="28" t="s">
        <v>35</v>
      </c>
      <c r="Z32" s="28">
        <f t="shared" ca="1" si="12"/>
        <v>0</v>
      </c>
      <c r="AA32" s="28"/>
      <c r="AB32" s="28"/>
      <c r="AC32" s="15">
        <f t="shared" si="13"/>
        <v>188254</v>
      </c>
      <c r="AD32" s="19">
        <f t="shared" si="14"/>
        <v>0</v>
      </c>
      <c r="AE32" s="20" t="s">
        <v>105</v>
      </c>
      <c r="AF32" s="21">
        <v>1800003312</v>
      </c>
      <c r="AG32" s="22" t="s">
        <v>43</v>
      </c>
    </row>
    <row r="33" spans="1:33" ht="14.25" customHeight="1" x14ac:dyDescent="0.25">
      <c r="A33" s="23">
        <v>1</v>
      </c>
      <c r="B33" s="24" t="s">
        <v>106</v>
      </c>
      <c r="C33" s="25">
        <v>29502</v>
      </c>
      <c r="D33" s="26">
        <v>21979</v>
      </c>
      <c r="E33" s="26" t="s">
        <v>39</v>
      </c>
      <c r="F33" s="26">
        <v>2059</v>
      </c>
      <c r="G33" s="24" t="s">
        <v>40</v>
      </c>
      <c r="H33" s="27">
        <v>29502</v>
      </c>
      <c r="I33" s="27">
        <f t="shared" si="0"/>
        <v>5310</v>
      </c>
      <c r="J33" s="27">
        <f t="shared" si="1"/>
        <v>34812</v>
      </c>
      <c r="K33" s="27">
        <f t="shared" si="2"/>
        <v>696</v>
      </c>
      <c r="L33" s="28">
        <f t="shared" si="3"/>
        <v>29.501999999999999</v>
      </c>
      <c r="M33" s="28">
        <f t="shared" si="4"/>
        <v>783.27809999999988</v>
      </c>
      <c r="N33" s="29">
        <f t="shared" si="5"/>
        <v>13.2759</v>
      </c>
      <c r="O33" s="28">
        <f t="shared" si="6"/>
        <v>770.0021999999999</v>
      </c>
      <c r="P33" s="28">
        <f t="shared" si="7"/>
        <v>800</v>
      </c>
      <c r="Q33" s="30">
        <v>0</v>
      </c>
      <c r="R33" s="28">
        <f t="shared" si="8"/>
        <v>0</v>
      </c>
      <c r="S33" s="27">
        <f t="shared" si="9"/>
        <v>34709</v>
      </c>
      <c r="T33" s="28">
        <f t="shared" si="10"/>
        <v>7376</v>
      </c>
      <c r="U33" s="31">
        <f>+T33</f>
        <v>7376</v>
      </c>
      <c r="V33" s="28" t="s">
        <v>41</v>
      </c>
      <c r="W33" s="28">
        <f t="shared" si="11"/>
        <v>27334</v>
      </c>
      <c r="X33" s="28">
        <v>27332</v>
      </c>
      <c r="Y33" s="28" t="s">
        <v>35</v>
      </c>
      <c r="Z33" s="28">
        <f t="shared" ca="1" si="12"/>
        <v>0</v>
      </c>
      <c r="AA33" s="28"/>
      <c r="AB33" s="28"/>
      <c r="AC33" s="15">
        <f t="shared" si="13"/>
        <v>34708</v>
      </c>
      <c r="AD33" s="19">
        <f t="shared" si="14"/>
        <v>1</v>
      </c>
      <c r="AE33" s="20" t="s">
        <v>107</v>
      </c>
      <c r="AF33" s="21">
        <v>1800003313</v>
      </c>
      <c r="AG33" s="22" t="s">
        <v>43</v>
      </c>
    </row>
    <row r="34" spans="1:33" ht="14.25" customHeight="1" x14ac:dyDescent="0.25">
      <c r="A34" s="23">
        <v>30</v>
      </c>
      <c r="B34" s="24" t="s">
        <v>108</v>
      </c>
      <c r="C34" s="25">
        <v>702</v>
      </c>
      <c r="D34" s="26">
        <v>21979</v>
      </c>
      <c r="E34" s="26" t="s">
        <v>39</v>
      </c>
      <c r="F34" s="26">
        <v>2062</v>
      </c>
      <c r="G34" s="24" t="s">
        <v>66</v>
      </c>
      <c r="H34" s="27">
        <v>21060</v>
      </c>
      <c r="I34" s="27">
        <f t="shared" si="0"/>
        <v>3791</v>
      </c>
      <c r="J34" s="27">
        <f t="shared" si="1"/>
        <v>24851</v>
      </c>
      <c r="K34" s="27">
        <f t="shared" si="2"/>
        <v>497</v>
      </c>
      <c r="L34" s="28">
        <f t="shared" si="3"/>
        <v>21.06</v>
      </c>
      <c r="M34" s="28">
        <f t="shared" si="4"/>
        <v>559.14299999999992</v>
      </c>
      <c r="N34" s="29">
        <f t="shared" si="5"/>
        <v>9.4770000000000003</v>
      </c>
      <c r="O34" s="28">
        <f t="shared" si="6"/>
        <v>549.66599999999994</v>
      </c>
      <c r="P34" s="28">
        <f t="shared" si="7"/>
        <v>571</v>
      </c>
      <c r="Q34" s="30">
        <v>0</v>
      </c>
      <c r="R34" s="28">
        <f t="shared" si="8"/>
        <v>0</v>
      </c>
      <c r="S34" s="27">
        <f t="shared" si="9"/>
        <v>24777</v>
      </c>
      <c r="T34" s="28">
        <f t="shared" si="10"/>
        <v>5265</v>
      </c>
      <c r="U34" s="31">
        <v>5265</v>
      </c>
      <c r="V34" s="28" t="s">
        <v>46</v>
      </c>
      <c r="W34" s="28">
        <f t="shared" si="11"/>
        <v>19512</v>
      </c>
      <c r="X34" s="28">
        <v>19512</v>
      </c>
      <c r="Y34" s="28" t="s">
        <v>46</v>
      </c>
      <c r="Z34" s="28">
        <f t="shared" ca="1" si="12"/>
        <v>0</v>
      </c>
      <c r="AA34" s="28"/>
      <c r="AB34" s="28"/>
      <c r="AC34" s="15">
        <f t="shared" si="13"/>
        <v>24777</v>
      </c>
      <c r="AD34" s="19">
        <f t="shared" si="14"/>
        <v>0</v>
      </c>
      <c r="AE34" s="20" t="s">
        <v>109</v>
      </c>
      <c r="AF34" s="21">
        <v>1800003161</v>
      </c>
      <c r="AG34" s="22" t="s">
        <v>53</v>
      </c>
    </row>
    <row r="35" spans="1:33" ht="14.25" customHeight="1" x14ac:dyDescent="0.25">
      <c r="A35" s="23">
        <v>150</v>
      </c>
      <c r="B35" s="24" t="s">
        <v>65</v>
      </c>
      <c r="C35" s="25">
        <v>571</v>
      </c>
      <c r="D35" s="26">
        <v>21980</v>
      </c>
      <c r="E35" s="26" t="s">
        <v>39</v>
      </c>
      <c r="F35" s="26">
        <v>2067</v>
      </c>
      <c r="G35" s="24" t="s">
        <v>91</v>
      </c>
      <c r="H35" s="27">
        <v>85650</v>
      </c>
      <c r="I35" s="27">
        <f t="shared" si="0"/>
        <v>15417</v>
      </c>
      <c r="J35" s="27">
        <f t="shared" si="1"/>
        <v>101067</v>
      </c>
      <c r="K35" s="27">
        <f t="shared" si="2"/>
        <v>2021</v>
      </c>
      <c r="L35" s="28">
        <f t="shared" si="3"/>
        <v>85.65</v>
      </c>
      <c r="M35" s="28">
        <f t="shared" si="4"/>
        <v>2274.0074999999997</v>
      </c>
      <c r="N35" s="29">
        <f t="shared" si="5"/>
        <v>38.542500000000004</v>
      </c>
      <c r="O35" s="28">
        <f t="shared" si="6"/>
        <v>2235.4649999999997</v>
      </c>
      <c r="P35" s="28">
        <f t="shared" si="7"/>
        <v>2321</v>
      </c>
      <c r="Q35" s="30">
        <v>0</v>
      </c>
      <c r="R35" s="28">
        <f t="shared" si="8"/>
        <v>0</v>
      </c>
      <c r="S35" s="27">
        <f t="shared" si="9"/>
        <v>100767</v>
      </c>
      <c r="T35" s="28">
        <f t="shared" si="10"/>
        <v>21413</v>
      </c>
      <c r="U35" s="31">
        <v>21413</v>
      </c>
      <c r="V35" s="28" t="s">
        <v>53</v>
      </c>
      <c r="W35" s="28">
        <f t="shared" si="11"/>
        <v>79355</v>
      </c>
      <c r="X35" s="28">
        <v>79354</v>
      </c>
      <c r="Y35" s="28" t="s">
        <v>47</v>
      </c>
      <c r="Z35" s="28">
        <f t="shared" ca="1" si="12"/>
        <v>0</v>
      </c>
      <c r="AA35" s="28"/>
      <c r="AB35" s="28"/>
      <c r="AC35" s="15">
        <f t="shared" si="13"/>
        <v>100767</v>
      </c>
      <c r="AD35" s="19">
        <f t="shared" si="14"/>
        <v>0</v>
      </c>
      <c r="AE35" s="20" t="s">
        <v>110</v>
      </c>
      <c r="AF35" s="21">
        <v>1800003248</v>
      </c>
      <c r="AG35" s="22" t="s">
        <v>47</v>
      </c>
    </row>
    <row r="36" spans="1:33" ht="14.25" customHeight="1" x14ac:dyDescent="0.25">
      <c r="A36" s="23">
        <v>1</v>
      </c>
      <c r="B36" s="24" t="s">
        <v>111</v>
      </c>
      <c r="C36" s="25">
        <v>54000</v>
      </c>
      <c r="D36" s="26">
        <v>21980</v>
      </c>
      <c r="E36" s="26" t="s">
        <v>39</v>
      </c>
      <c r="F36" s="26">
        <v>2069</v>
      </c>
      <c r="G36" s="24" t="s">
        <v>66</v>
      </c>
      <c r="H36" s="27">
        <v>54000</v>
      </c>
      <c r="I36" s="27">
        <f t="shared" si="0"/>
        <v>9720</v>
      </c>
      <c r="J36" s="27">
        <f t="shared" si="1"/>
        <v>63720</v>
      </c>
      <c r="K36" s="27">
        <f t="shared" si="2"/>
        <v>1274</v>
      </c>
      <c r="L36" s="28">
        <f t="shared" si="3"/>
        <v>54</v>
      </c>
      <c r="M36" s="28">
        <f t="shared" si="4"/>
        <v>1433.6999999999998</v>
      </c>
      <c r="N36" s="29">
        <f t="shared" si="5"/>
        <v>24.3</v>
      </c>
      <c r="O36" s="28">
        <f t="shared" si="6"/>
        <v>1409.3999999999999</v>
      </c>
      <c r="P36" s="28">
        <f t="shared" si="7"/>
        <v>1463</v>
      </c>
      <c r="Q36" s="30">
        <v>0</v>
      </c>
      <c r="R36" s="28">
        <f t="shared" si="8"/>
        <v>0</v>
      </c>
      <c r="S36" s="27">
        <f t="shared" si="9"/>
        <v>63531</v>
      </c>
      <c r="T36" s="28">
        <f t="shared" si="10"/>
        <v>13500</v>
      </c>
      <c r="U36" s="31">
        <v>13500</v>
      </c>
      <c r="V36" s="28" t="s">
        <v>46</v>
      </c>
      <c r="W36" s="28">
        <f t="shared" si="11"/>
        <v>50031</v>
      </c>
      <c r="X36" s="28"/>
      <c r="Y36" s="28">
        <v>0</v>
      </c>
      <c r="Z36" s="28">
        <f t="shared" ca="1" si="12"/>
        <v>1911.6</v>
      </c>
      <c r="AA36" s="28"/>
      <c r="AB36" s="28"/>
      <c r="AC36" s="15">
        <f t="shared" si="13"/>
        <v>13500</v>
      </c>
      <c r="AD36" s="19">
        <f t="shared" si="14"/>
        <v>50031</v>
      </c>
      <c r="AE36" s="20"/>
      <c r="AF36" s="21"/>
      <c r="AG36" s="22"/>
    </row>
    <row r="37" spans="1:33" ht="14.25" customHeight="1" x14ac:dyDescent="0.25">
      <c r="A37" s="23">
        <v>3</v>
      </c>
      <c r="B37" s="24" t="s">
        <v>112</v>
      </c>
      <c r="C37" s="25">
        <v>25001</v>
      </c>
      <c r="D37" s="26">
        <v>21980</v>
      </c>
      <c r="E37" s="26" t="s">
        <v>39</v>
      </c>
      <c r="F37" s="26">
        <v>2071</v>
      </c>
      <c r="G37" s="24" t="s">
        <v>40</v>
      </c>
      <c r="H37" s="27">
        <v>75003</v>
      </c>
      <c r="I37" s="27">
        <f t="shared" si="0"/>
        <v>13501</v>
      </c>
      <c r="J37" s="27">
        <f t="shared" si="1"/>
        <v>88504</v>
      </c>
      <c r="K37" s="27">
        <f t="shared" si="2"/>
        <v>1770</v>
      </c>
      <c r="L37" s="28">
        <f t="shared" si="3"/>
        <v>75.003</v>
      </c>
      <c r="M37" s="28">
        <f t="shared" si="4"/>
        <v>1991.3296499999997</v>
      </c>
      <c r="N37" s="29">
        <f t="shared" si="5"/>
        <v>33.751349999999995</v>
      </c>
      <c r="O37" s="28">
        <f t="shared" si="6"/>
        <v>1957.5782999999997</v>
      </c>
      <c r="P37" s="28">
        <f t="shared" si="7"/>
        <v>2033</v>
      </c>
      <c r="Q37" s="30">
        <v>0</v>
      </c>
      <c r="R37" s="28">
        <f t="shared" si="8"/>
        <v>0</v>
      </c>
      <c r="S37" s="27">
        <f t="shared" si="9"/>
        <v>88241</v>
      </c>
      <c r="T37" s="28">
        <f t="shared" si="10"/>
        <v>18751</v>
      </c>
      <c r="U37" s="31">
        <f>+T37</f>
        <v>18751</v>
      </c>
      <c r="V37" s="28" t="s">
        <v>41</v>
      </c>
      <c r="W37" s="28">
        <f t="shared" si="11"/>
        <v>69490</v>
      </c>
      <c r="X37" s="28">
        <v>69491</v>
      </c>
      <c r="Y37" s="28" t="s">
        <v>35</v>
      </c>
      <c r="Z37" s="28">
        <f t="shared" ca="1" si="12"/>
        <v>0</v>
      </c>
      <c r="AA37" s="28"/>
      <c r="AB37" s="28"/>
      <c r="AC37" s="15">
        <f t="shared" si="13"/>
        <v>88242</v>
      </c>
      <c r="AD37" s="19">
        <f t="shared" si="14"/>
        <v>-1</v>
      </c>
      <c r="AE37" s="20" t="s">
        <v>113</v>
      </c>
      <c r="AF37" s="21">
        <v>1800003314</v>
      </c>
      <c r="AG37" s="22" t="s">
        <v>43</v>
      </c>
    </row>
    <row r="38" spans="1:33" ht="14.25" customHeight="1" x14ac:dyDescent="0.25">
      <c r="A38" s="23">
        <v>3</v>
      </c>
      <c r="B38" s="24" t="s">
        <v>59</v>
      </c>
      <c r="C38" s="25">
        <v>70001</v>
      </c>
      <c r="D38" s="26">
        <v>21980</v>
      </c>
      <c r="E38" s="26" t="s">
        <v>39</v>
      </c>
      <c r="F38" s="26">
        <v>2086</v>
      </c>
      <c r="G38" s="24" t="s">
        <v>114</v>
      </c>
      <c r="H38" s="27">
        <v>210003</v>
      </c>
      <c r="I38" s="27">
        <f t="shared" si="0"/>
        <v>37801</v>
      </c>
      <c r="J38" s="27">
        <f t="shared" si="1"/>
        <v>247804</v>
      </c>
      <c r="K38" s="27">
        <f t="shared" si="2"/>
        <v>4956</v>
      </c>
      <c r="L38" s="28">
        <f t="shared" si="3"/>
        <v>210.00300000000001</v>
      </c>
      <c r="M38" s="28">
        <f t="shared" si="4"/>
        <v>5575.5796499999997</v>
      </c>
      <c r="N38" s="29">
        <f t="shared" si="5"/>
        <v>94.501350000000002</v>
      </c>
      <c r="O38" s="28">
        <f t="shared" si="6"/>
        <v>5481.0782999999992</v>
      </c>
      <c r="P38" s="28">
        <f t="shared" si="7"/>
        <v>5691</v>
      </c>
      <c r="Q38" s="30">
        <v>0</v>
      </c>
      <c r="R38" s="28">
        <f t="shared" si="8"/>
        <v>0</v>
      </c>
      <c r="S38" s="27">
        <f t="shared" si="9"/>
        <v>247069</v>
      </c>
      <c r="T38" s="28">
        <f t="shared" si="10"/>
        <v>52501</v>
      </c>
      <c r="U38" s="31">
        <v>52501</v>
      </c>
      <c r="V38" s="28" t="s">
        <v>58</v>
      </c>
      <c r="W38" s="28">
        <f t="shared" si="11"/>
        <v>194568</v>
      </c>
      <c r="X38" s="28">
        <v>194568</v>
      </c>
      <c r="Y38" s="28" t="s">
        <v>58</v>
      </c>
      <c r="Z38" s="28">
        <f t="shared" ca="1" si="12"/>
        <v>0</v>
      </c>
      <c r="AA38" s="28"/>
      <c r="AB38" s="28"/>
      <c r="AC38" s="15">
        <f t="shared" si="13"/>
        <v>247069</v>
      </c>
      <c r="AD38" s="19">
        <f t="shared" si="14"/>
        <v>0</v>
      </c>
      <c r="AE38" s="20" t="s">
        <v>115</v>
      </c>
      <c r="AF38" s="21">
        <v>1800003226</v>
      </c>
      <c r="AG38" s="22" t="s">
        <v>116</v>
      </c>
    </row>
    <row r="39" spans="1:33" ht="14.25" customHeight="1" x14ac:dyDescent="0.25">
      <c r="A39" s="23">
        <v>2</v>
      </c>
      <c r="B39" s="24" t="s">
        <v>117</v>
      </c>
      <c r="C39" s="25">
        <v>15006</v>
      </c>
      <c r="D39" s="26">
        <v>21980</v>
      </c>
      <c r="E39" s="26" t="s">
        <v>39</v>
      </c>
      <c r="F39" s="26">
        <v>2089</v>
      </c>
      <c r="G39" s="24" t="s">
        <v>118</v>
      </c>
      <c r="H39" s="27">
        <v>30012</v>
      </c>
      <c r="I39" s="27">
        <f t="shared" si="0"/>
        <v>5402</v>
      </c>
      <c r="J39" s="27">
        <f t="shared" si="1"/>
        <v>35414</v>
      </c>
      <c r="K39" s="27">
        <f t="shared" si="2"/>
        <v>708</v>
      </c>
      <c r="L39" s="28">
        <f t="shared" si="3"/>
        <v>30.012</v>
      </c>
      <c r="M39" s="28">
        <f t="shared" si="4"/>
        <v>796.81859999999995</v>
      </c>
      <c r="N39" s="29">
        <f t="shared" si="5"/>
        <v>13.5054</v>
      </c>
      <c r="O39" s="28">
        <f t="shared" si="6"/>
        <v>783.31319999999994</v>
      </c>
      <c r="P39" s="28">
        <f t="shared" si="7"/>
        <v>813</v>
      </c>
      <c r="Q39" s="30">
        <v>0</v>
      </c>
      <c r="R39" s="28">
        <f t="shared" si="8"/>
        <v>0</v>
      </c>
      <c r="S39" s="27">
        <f t="shared" si="9"/>
        <v>35309</v>
      </c>
      <c r="T39" s="28">
        <f t="shared" si="10"/>
        <v>7503</v>
      </c>
      <c r="U39" s="31">
        <v>7503</v>
      </c>
      <c r="V39" s="28" t="s">
        <v>53</v>
      </c>
      <c r="W39" s="28">
        <f t="shared" si="11"/>
        <v>27806</v>
      </c>
      <c r="X39" s="28">
        <v>27806</v>
      </c>
      <c r="Y39" s="28" t="s">
        <v>119</v>
      </c>
      <c r="Z39" s="28">
        <f t="shared" ca="1" si="12"/>
        <v>708.28319999999997</v>
      </c>
      <c r="AA39" s="28">
        <v>708</v>
      </c>
      <c r="AB39" s="28" t="s">
        <v>119</v>
      </c>
      <c r="AC39" s="15">
        <f t="shared" si="13"/>
        <v>36017</v>
      </c>
      <c r="AD39" s="19">
        <f t="shared" si="14"/>
        <v>-708</v>
      </c>
      <c r="AE39" s="20"/>
      <c r="AF39" s="21"/>
      <c r="AG39" s="22"/>
    </row>
    <row r="40" spans="1:33" ht="15" customHeight="1" x14ac:dyDescent="0.25">
      <c r="A40" s="32">
        <v>3</v>
      </c>
      <c r="B40" s="33" t="s">
        <v>59</v>
      </c>
      <c r="C40" s="34">
        <v>40003</v>
      </c>
      <c r="D40" s="35">
        <v>21980</v>
      </c>
      <c r="E40" s="35" t="s">
        <v>39</v>
      </c>
      <c r="F40" s="35">
        <v>2091</v>
      </c>
      <c r="G40" s="33" t="s">
        <v>118</v>
      </c>
      <c r="H40" s="36">
        <v>120009</v>
      </c>
      <c r="I40" s="36">
        <f t="shared" si="0"/>
        <v>21602</v>
      </c>
      <c r="J40" s="36">
        <f t="shared" si="1"/>
        <v>141611</v>
      </c>
      <c r="K40" s="36">
        <f t="shared" si="2"/>
        <v>2832</v>
      </c>
      <c r="L40" s="37">
        <f t="shared" si="3"/>
        <v>120.009</v>
      </c>
      <c r="M40" s="37">
        <f t="shared" si="4"/>
        <v>3186.2389499999995</v>
      </c>
      <c r="N40" s="38">
        <f t="shared" si="5"/>
        <v>54.004049999999999</v>
      </c>
      <c r="O40" s="37">
        <f t="shared" si="6"/>
        <v>3132.2348999999995</v>
      </c>
      <c r="P40" s="37">
        <f t="shared" si="7"/>
        <v>3252</v>
      </c>
      <c r="Q40" s="39">
        <v>0</v>
      </c>
      <c r="R40" s="37">
        <f t="shared" si="8"/>
        <v>0</v>
      </c>
      <c r="S40" s="36">
        <f t="shared" si="9"/>
        <v>141191</v>
      </c>
      <c r="T40" s="37">
        <f t="shared" si="10"/>
        <v>30002</v>
      </c>
      <c r="U40" s="40">
        <v>30002</v>
      </c>
      <c r="V40" s="37" t="s">
        <v>53</v>
      </c>
      <c r="W40" s="37">
        <f t="shared" si="11"/>
        <v>111188</v>
      </c>
      <c r="X40" s="37">
        <v>111189</v>
      </c>
      <c r="Y40" s="37" t="s">
        <v>119</v>
      </c>
      <c r="Z40" s="37">
        <f t="shared" ca="1" si="12"/>
        <v>2832.2123999999999</v>
      </c>
      <c r="AA40" s="37">
        <v>2832</v>
      </c>
      <c r="AB40" s="37" t="s">
        <v>119</v>
      </c>
      <c r="AC40" s="15">
        <f t="shared" si="13"/>
        <v>144023</v>
      </c>
      <c r="AD40" s="19">
        <f t="shared" si="14"/>
        <v>-2832</v>
      </c>
      <c r="AE40" s="20"/>
      <c r="AF40" s="21"/>
      <c r="AG40" s="22"/>
    </row>
    <row r="41" spans="1:33" ht="14.25" customHeight="1" x14ac:dyDescent="0.25">
      <c r="A41" s="41"/>
      <c r="B41" s="42"/>
      <c r="C41" s="42"/>
      <c r="D41" s="42"/>
      <c r="E41" s="42"/>
      <c r="F41" s="42"/>
      <c r="G41" s="42"/>
      <c r="H41" s="43">
        <f t="shared" ref="H41:P41" si="15">SUM(H4:H40)</f>
        <v>15130598</v>
      </c>
      <c r="I41" s="43">
        <f t="shared" si="15"/>
        <v>2723508</v>
      </c>
      <c r="J41" s="43">
        <f t="shared" si="15"/>
        <v>17854106</v>
      </c>
      <c r="K41" s="43">
        <f t="shared" si="15"/>
        <v>357082</v>
      </c>
      <c r="L41" s="43">
        <f t="shared" si="15"/>
        <v>15130.598000000002</v>
      </c>
      <c r="M41" s="43">
        <f t="shared" si="15"/>
        <v>401717.37689999992</v>
      </c>
      <c r="N41" s="43">
        <f t="shared" si="15"/>
        <v>6808.7690999999977</v>
      </c>
      <c r="O41" s="43">
        <f t="shared" si="15"/>
        <v>394908.6078</v>
      </c>
      <c r="P41" s="43">
        <f t="shared" si="15"/>
        <v>410039</v>
      </c>
      <c r="Q41" s="44"/>
      <c r="R41" s="44">
        <f>SUM(R4:R40)</f>
        <v>83029</v>
      </c>
      <c r="S41" s="43">
        <f>SUM(S4:S40)</f>
        <v>17718123</v>
      </c>
      <c r="T41" s="43">
        <f>SUM(T4:T40)</f>
        <v>3782654</v>
      </c>
      <c r="U41" s="43">
        <f>SUM(U4:U40)</f>
        <v>3782654</v>
      </c>
      <c r="V41" s="44"/>
      <c r="W41" s="43">
        <f>SUM(W4:W40)</f>
        <v>13935473</v>
      </c>
      <c r="X41" s="43">
        <f>SUM(X4:X40)</f>
        <v>13137293</v>
      </c>
      <c r="Y41" s="44"/>
      <c r="Z41" s="44">
        <f ca="1">SUM(Z4:Z40)</f>
        <v>34459.067999999999</v>
      </c>
      <c r="AA41" s="44">
        <f>SUM(AA4:AA40)</f>
        <v>3540</v>
      </c>
      <c r="AB41" s="44"/>
      <c r="AC41" s="44">
        <f>SUM(AC4:AC40)</f>
        <v>16923487</v>
      </c>
      <c r="AD41" s="43">
        <f>SUM(AD4:AD40)</f>
        <v>794636.00000000047</v>
      </c>
      <c r="AE41" s="42"/>
      <c r="AF41" s="42"/>
      <c r="AG41" s="45"/>
    </row>
    <row r="42" spans="1:33" ht="15" customHeight="1" x14ac:dyDescent="0.25">
      <c r="A42" s="46"/>
      <c r="B42" s="47"/>
      <c r="C42" s="47"/>
      <c r="D42" s="47"/>
      <c r="E42" s="47"/>
      <c r="F42" s="47"/>
      <c r="G42" s="47"/>
      <c r="H42" s="48">
        <f>+H41</f>
        <v>15130598</v>
      </c>
      <c r="I42" s="48">
        <f>ROUND(H42*18%,0)</f>
        <v>2723508</v>
      </c>
      <c r="J42" s="48">
        <f>+H42+I42</f>
        <v>17854106</v>
      </c>
      <c r="K42" s="48">
        <f>ROUND((H42+I42)*2%,0)</f>
        <v>357082</v>
      </c>
      <c r="L42" s="49">
        <f>ROUND(H42*0.1%,0)</f>
        <v>15131</v>
      </c>
      <c r="M42" s="49">
        <f>ROUND(H42*2.25%*118%,0)</f>
        <v>401717</v>
      </c>
      <c r="N42" s="50">
        <f>ROUND(H42*2.25%*2%,0)</f>
        <v>6809</v>
      </c>
      <c r="O42" s="49">
        <f>ROUND(M42-N42,0)</f>
        <v>394908</v>
      </c>
      <c r="P42" s="49">
        <f>ROUND(O42+L42,0)</f>
        <v>410039</v>
      </c>
      <c r="Q42" s="49"/>
      <c r="R42" s="49">
        <f>+R41</f>
        <v>83029</v>
      </c>
      <c r="S42" s="48">
        <f>H42*117.65%-R42</f>
        <v>17718119.547000002</v>
      </c>
      <c r="T42" s="51"/>
      <c r="U42" s="51">
        <f>+T41-U41</f>
        <v>0</v>
      </c>
      <c r="V42" s="52"/>
      <c r="W42" s="53"/>
      <c r="X42" s="53">
        <f>+W41-X41</f>
        <v>798180</v>
      </c>
      <c r="Y42" s="52"/>
      <c r="Z42" s="52"/>
      <c r="AA42" s="52"/>
      <c r="AB42" s="52"/>
      <c r="AC42" s="52"/>
      <c r="AD42" s="52"/>
      <c r="AE42" s="47"/>
      <c r="AF42" s="47"/>
      <c r="AG42" s="54"/>
    </row>
    <row r="43" spans="1:33" ht="14.25" customHeight="1" x14ac:dyDescent="0.25">
      <c r="I43" s="55"/>
      <c r="J43" s="55"/>
      <c r="U43" s="56" t="s">
        <v>120</v>
      </c>
      <c r="X43" s="57" t="s">
        <v>121</v>
      </c>
    </row>
    <row r="44" spans="1:33" ht="14.25" customHeight="1" x14ac:dyDescent="0.25">
      <c r="U44" s="58"/>
    </row>
    <row r="46" spans="1:33" ht="14.25" customHeight="1" x14ac:dyDescent="0.25">
      <c r="K46" s="55"/>
    </row>
  </sheetData>
  <autoFilter ref="A3:AG43" xr:uid="{00000000-0009-0000-0000-000000000000}">
    <sortState ref="A4:AG43">
      <sortCondition ref="A4:A43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BL53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F21" sqref="F21"/>
    </sheetView>
  </sheetViews>
  <sheetFormatPr defaultRowHeight="15" x14ac:dyDescent="0.25"/>
  <cols>
    <col min="1" max="1" width="14.85546875" bestFit="1" customWidth="1"/>
    <col min="2" max="2" width="10" customWidth="1"/>
    <col min="3" max="3" width="30" customWidth="1"/>
    <col min="4" max="4" width="42" customWidth="1"/>
    <col min="5" max="5" width="11.7109375" bestFit="1" customWidth="1"/>
    <col min="6" max="6" width="12" bestFit="1" customWidth="1"/>
    <col min="7" max="7" width="11" bestFit="1" customWidth="1"/>
    <col min="8" max="8" width="8.85546875" bestFit="1" customWidth="1"/>
    <col min="9" max="9" width="10.28515625" bestFit="1" customWidth="1"/>
    <col min="10" max="10" width="8.85546875" bestFit="1" customWidth="1"/>
    <col min="11" max="34" width="13.42578125" customWidth="1"/>
    <col min="35" max="35" width="13" customWidth="1"/>
    <col min="37" max="64" width="12" hidden="1" customWidth="1"/>
  </cols>
  <sheetData>
    <row r="1" spans="1:64" ht="30" customHeight="1" x14ac:dyDescent="0.25">
      <c r="A1" s="81" t="s">
        <v>122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64" ht="44.1" customHeight="1" x14ac:dyDescent="0.25">
      <c r="A2" s="76" t="s">
        <v>123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</row>
    <row r="3" spans="1:64" ht="30" customHeight="1" x14ac:dyDescent="0.25">
      <c r="A3" s="59" t="s">
        <v>124</v>
      </c>
      <c r="B3" s="78" t="s">
        <v>141</v>
      </c>
      <c r="C3" s="79"/>
      <c r="D3" s="79"/>
      <c r="E3" s="60" t="s">
        <v>125</v>
      </c>
      <c r="F3" s="61" t="s">
        <v>126</v>
      </c>
      <c r="G3" s="60" t="s">
        <v>127</v>
      </c>
      <c r="H3" s="62" t="str">
        <f>SUM($AM$5:$AM$41)&amp;" of 37"</f>
        <v>9 of 37</v>
      </c>
      <c r="I3" s="80" t="str">
        <f>IF($B$3="","◀ type in the yellow box - a lot no., a buyer, a lot name... several values: comma or / = ANY of them,  + or &amp; = ALL of them","matching "&amp;SUM($AM$5:$AM$41)&amp;" of 37 lots   •   search: "&amp;$B$3&amp;"   •   in: "&amp;$F$3&amp;"   •   grouped by the value typed, the misses greyed in REMAINING, TOTAL MATCHED totals the hits")</f>
        <v>matching 9 of 37 lots   •   search: drum, barrel   •   in: Lot No. + Buyer + Name   •   grouped by the value typed, the misses greyed in REMAINING, TOTAL MATCHED totals the hits</v>
      </c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K3" s="63" t="s">
        <v>128</v>
      </c>
      <c r="AM3" s="63" t="s">
        <v>129</v>
      </c>
      <c r="AO3" s="63" t="s">
        <v>130</v>
      </c>
      <c r="AQ3" s="63" t="s">
        <v>131</v>
      </c>
      <c r="AR3" t="s">
        <v>132</v>
      </c>
    </row>
    <row r="4" spans="1:64" ht="44.1" customHeight="1" x14ac:dyDescent="0.25">
      <c r="A4" s="64" t="s">
        <v>133</v>
      </c>
      <c r="B4" s="65" t="s">
        <v>6</v>
      </c>
      <c r="C4" s="65" t="s">
        <v>7</v>
      </c>
      <c r="D4" s="65" t="s">
        <v>2</v>
      </c>
      <c r="E4" s="65" t="s">
        <v>4</v>
      </c>
      <c r="F4" s="65" t="s">
        <v>1</v>
      </c>
      <c r="G4" s="65" t="s">
        <v>5</v>
      </c>
      <c r="H4" s="65" t="s">
        <v>3</v>
      </c>
      <c r="I4" s="65" t="s">
        <v>8</v>
      </c>
      <c r="J4" s="65" t="s">
        <v>9</v>
      </c>
      <c r="K4" s="65" t="s">
        <v>10</v>
      </c>
      <c r="L4" s="65" t="s">
        <v>11</v>
      </c>
      <c r="M4" s="65" t="s">
        <v>12</v>
      </c>
      <c r="N4" s="65" t="s">
        <v>134</v>
      </c>
      <c r="O4" s="65" t="s">
        <v>14</v>
      </c>
      <c r="P4" s="65" t="s">
        <v>135</v>
      </c>
      <c r="Q4" s="65" t="s">
        <v>16</v>
      </c>
      <c r="R4" s="65" t="s">
        <v>17</v>
      </c>
      <c r="S4" s="65" t="s">
        <v>18</v>
      </c>
      <c r="T4" s="65" t="s">
        <v>19</v>
      </c>
      <c r="U4" s="65" t="s">
        <v>20</v>
      </c>
      <c r="V4" s="65" t="s">
        <v>21</v>
      </c>
      <c r="W4" s="65" t="s">
        <v>136</v>
      </c>
      <c r="X4" s="65" t="s">
        <v>23</v>
      </c>
      <c r="Y4" s="65" t="s">
        <v>24</v>
      </c>
      <c r="Z4" s="65" t="s">
        <v>137</v>
      </c>
      <c r="AA4" s="65" t="s">
        <v>25</v>
      </c>
      <c r="AB4" s="65" t="s">
        <v>26</v>
      </c>
      <c r="AC4" s="65" t="s">
        <v>27</v>
      </c>
      <c r="AD4" s="65" t="s">
        <v>28</v>
      </c>
      <c r="AE4" s="65" t="s">
        <v>29</v>
      </c>
      <c r="AF4" s="65" t="s">
        <v>138</v>
      </c>
      <c r="AG4" s="65" t="s">
        <v>31</v>
      </c>
      <c r="AH4" s="65" t="s">
        <v>32</v>
      </c>
      <c r="AI4" s="66" t="s">
        <v>139</v>
      </c>
      <c r="AO4" t="s">
        <v>126</v>
      </c>
      <c r="AQ4" t="str">
        <f>SUBSTITUTE(SUBSTITUTE($B$3,"&amp;","+"),"/",",")</f>
        <v>drum, barrel</v>
      </c>
      <c r="AR4" t="str">
        <f>$AQ$4</f>
        <v>drum, barrel</v>
      </c>
      <c r="AS4" t="str">
        <f>IF(OR($AR$4="",$AR$5=99999),"",MID($AR$4,$AR$5+1,99999))</f>
        <v xml:space="preserve"> barrel</v>
      </c>
      <c r="AT4" t="str">
        <f>IF(OR($AS$4="",$AS$5=99999),"",MID($AS$4,$AS$5+1,99999))</f>
        <v/>
      </c>
      <c r="AU4" t="str">
        <f>IF(OR($AT$4="",$AT$5=99999),"",MID($AT$4,$AT$5+1,99999))</f>
        <v/>
      </c>
      <c r="AV4" t="str">
        <f>IF(OR($AU$4="",$AU$5=99999),"",MID($AU$4,$AU$5+1,99999))</f>
        <v/>
      </c>
      <c r="AW4" t="str">
        <f>IF(OR($AV$4="",$AV$5=99999),"",MID($AV$4,$AV$5+1,99999))</f>
        <v/>
      </c>
      <c r="AX4" t="str">
        <f>IF(OR($AW$4="",$AW$5=99999),"",MID($AW$4,$AW$5+1,99999))</f>
        <v/>
      </c>
      <c r="AY4" t="str">
        <f>IF(OR($AX$4="",$AX$5=99999),"",MID($AX$4,$AX$5+1,99999))</f>
        <v/>
      </c>
      <c r="BD4">
        <f>COUNTIF($AZ$5:$AZ$41,1)</f>
        <v>4</v>
      </c>
      <c r="BE4">
        <v>5</v>
      </c>
      <c r="BF4">
        <f t="shared" ref="BF4:BF13" si="0">IF($BD4=0,0,$BE4+$BD4)</f>
        <v>9</v>
      </c>
      <c r="BG4">
        <f>IF($BD12=0,$BE12,$BF12+1)</f>
        <v>16</v>
      </c>
    </row>
    <row r="5" spans="1:64" ht="15" customHeight="1" x14ac:dyDescent="0.25">
      <c r="A5" s="67">
        <f>IF($BJ5&gt;0,INDEX($BA$5:$BA$41,MATCH(5,$BB$5:$BB$41,0)),IF(OR($BI5=1,$BL5=1,$BH5&gt;0),"∑",""))</f>
        <v>1</v>
      </c>
      <c r="B5" s="68">
        <f>IF($BJ5&gt;0,IF(INDEX('Final Calculation Sheet'!$F$4:$F$40,$BJ5-3)="","",INDEX('Final Calculation Sheet'!$F$4:$F$40,$BJ5-3)),"")</f>
        <v>1874</v>
      </c>
      <c r="C5" s="68" t="str">
        <f>IF($BJ5&gt;0,IF(INDEX('Final Calculation Sheet'!$G$4:$G$40,$BJ5-3)="","",INDEX('Final Calculation Sheet'!$G$4:$G$40,$BJ5-3)),IF(OR($BI5=1,$BL5=1,$BH5&gt;0),IF($BI5=1,37,IF($BL5=1,37-INDEX($BD$4:$BD$13,10),INDEX($BD$4:$BD$13,$BH5)))&amp;" lot(s)",""))</f>
        <v>NATIONAL ENTERPRISES</v>
      </c>
      <c r="D5" s="69" t="str">
        <f>IF($BJ5&gt;0,IF(INDEX('Final Calculation Sheet'!$B$4:$B$40,$BJ5-3)="","",INDEX('Final Calculation Sheet'!$B$4:$B$40,$BJ5-3)),IF(OR($BI5=1,$BL5=1,$BH5&gt;0),IF($BI5=1,"GRAND TOTAL  —  matching + remaining",IF($BL5=1,"TOTAL MATCHED  —  every group together",IF($BH5=10,"REMAINING  —  did not match the search",IF($BH5=9,"ALL LOTS  —  nothing typed in the box","GROUP "&amp;$BH5&amp;" TOTAL  —  lots matching  "&amp;INDEX($AR$6:$AY$6,$BH5))))),""))</f>
        <v>Scrap of Empty oil drum</v>
      </c>
      <c r="E5" s="69">
        <f>IF($BJ5&gt;0,IF(INDEX('Final Calculation Sheet'!$D$4:$D$40,$BJ5-3)="","",INDEX('Final Calculation Sheet'!$D$4:$D$40,$BJ5-3)),IF(OR($BI5=1,$BL5=1,$BH5&gt;0),"–",""))</f>
        <v>21977</v>
      </c>
      <c r="F5" s="69">
        <f>IF($BJ5&gt;0,IF(INDEX('Final Calculation Sheet'!$A$4:$A$40,$BJ5-3)="","",INDEX('Final Calculation Sheet'!$A$4:$A$40,$BJ5-3)),IF(OR($BI5=1,$BL5=1,$BH5&gt;0),IF($BI5=1,SUM('Final Calculation Sheet'!$A$4:$A$40),IF($BL5=1,SUM('Final Calculation Sheet'!$A$4:$A$40)-SUMIFS('Final Calculation Sheet'!$A$4:$A$40,$AZ$5:$AZ$41,10),SUMIFS('Final Calculation Sheet'!$A$4:$A$40,$AZ$5:$AZ$41,$BH5))),""))</f>
        <v>270</v>
      </c>
      <c r="G5" s="69" t="str">
        <f>IF($BJ5&gt;0,IF(INDEX('Final Calculation Sheet'!$E$4:$E$40,$BJ5-3)="","",INDEX('Final Calculation Sheet'!$E$4:$E$40,$BJ5-3)),IF(OR($BI5=1,$BL5=1,$BH5&gt;0),"–",""))</f>
        <v>NO</v>
      </c>
      <c r="H5" s="70">
        <f>IF($BJ5&gt;0,IF(INDEX('Final Calculation Sheet'!$C$4:$C$40,$BJ5-3)="","",INDEX('Final Calculation Sheet'!$C$4:$C$40,$BJ5-3)),IF(OR($BI5=1,$BL5=1,$BH5&gt;0),"–",""))</f>
        <v>580</v>
      </c>
      <c r="I5" s="70">
        <f>IF($BJ5&gt;0,IF(INDEX('Final Calculation Sheet'!$H$4:$H$40,$BJ5-3)="","",INDEX('Final Calculation Sheet'!$H$4:$H$40,$BJ5-3)),IF(OR($BI5=1,$BL5=1,$BH5&gt;0),IF($BI5=1,SUM('Final Calculation Sheet'!$H$4:$H$40),IF($BL5=1,SUM('Final Calculation Sheet'!$H$4:$H$40)-SUMIFS('Final Calculation Sheet'!$H$4:$H$40,$AZ$5:$AZ$41,10),SUMIFS('Final Calculation Sheet'!$H$4:$H$40,$AZ$5:$AZ$41,$BH5))),""))</f>
        <v>156600</v>
      </c>
      <c r="J5" s="70">
        <f>IF($BJ5&gt;0,IF(INDEX('Final Calculation Sheet'!$I$4:$I$40,$BJ5-3)="","",INDEX('Final Calculation Sheet'!$I$4:$I$40,$BJ5-3)),IF(OR($BI5=1,$BL5=1,$BH5&gt;0),IF($BI5=1,SUM('Final Calculation Sheet'!$I$4:$I$40),IF($BL5=1,SUM('Final Calculation Sheet'!$I$4:$I$40)-SUMIFS('Final Calculation Sheet'!$I$4:$I$40,$AZ$5:$AZ$41,10),SUMIFS('Final Calculation Sheet'!$I$4:$I$40,$AZ$5:$AZ$41,$BH5))),""))</f>
        <v>28188</v>
      </c>
      <c r="K5" s="70">
        <f>IF($BJ5&gt;0,IF(INDEX('Final Calculation Sheet'!$J$4:$J$40,$BJ5-3)="","",INDEX('Final Calculation Sheet'!$J$4:$J$40,$BJ5-3)),IF(OR($BI5=1,$BL5=1,$BH5&gt;0),IF($BI5=1,SUM('Final Calculation Sheet'!$J$4:$J$40),IF($BL5=1,SUM('Final Calculation Sheet'!$J$4:$J$40)-SUMIFS('Final Calculation Sheet'!$J$4:$J$40,$AZ$5:$AZ$41,10),SUMIFS('Final Calculation Sheet'!$J$4:$J$40,$AZ$5:$AZ$41,$BH5))),""))</f>
        <v>184788</v>
      </c>
      <c r="L5" s="70">
        <f>IF($BJ5&gt;0,IF(INDEX('Final Calculation Sheet'!$K$4:$K$40,$BJ5-3)="","",INDEX('Final Calculation Sheet'!$K$4:$K$40,$BJ5-3)),IF(OR($BI5=1,$BL5=1,$BH5&gt;0),IF($BI5=1,SUM('Final Calculation Sheet'!$K$4:$K$40),IF($BL5=1,SUM('Final Calculation Sheet'!$K$4:$K$40)-SUMIFS('Final Calculation Sheet'!$K$4:$K$40,$AZ$5:$AZ$41,10),SUMIFS('Final Calculation Sheet'!$K$4:$K$40,$AZ$5:$AZ$41,$BH5))),""))</f>
        <v>3696</v>
      </c>
      <c r="M5" s="70">
        <f>IF($BJ5&gt;0,IF(INDEX('Final Calculation Sheet'!$L$4:$L$40,$BJ5-3)="","",INDEX('Final Calculation Sheet'!$L$4:$L$40,$BJ5-3)),IF(OR($BI5=1,$BL5=1,$BH5&gt;0),IF($BI5=1,SUM('Final Calculation Sheet'!$L$4:$L$40),IF($BL5=1,SUM('Final Calculation Sheet'!$L$4:$L$40)-SUMIFS('Final Calculation Sheet'!$L$4:$L$40,$AZ$5:$AZ$41,10),SUMIFS('Final Calculation Sheet'!$L$4:$L$40,$AZ$5:$AZ$41,$BH5))),""))</f>
        <v>156.6</v>
      </c>
      <c r="N5" s="70">
        <f>IF($BJ5&gt;0,IF(INDEX('Final Calculation Sheet'!$M$4:$M$40,$BJ5-3)="","",INDEX('Final Calculation Sheet'!$M$4:$M$40,$BJ5-3)),IF(OR($BI5=1,$BL5=1,$BH5&gt;0),IF($BI5=1,SUM('Final Calculation Sheet'!$M$4:$M$40),IF($BL5=1,SUM('Final Calculation Sheet'!$M$4:$M$40)-SUMIFS('Final Calculation Sheet'!$M$4:$M$40,$AZ$5:$AZ$41,10),SUMIFS('Final Calculation Sheet'!$M$4:$M$40,$AZ$5:$AZ$41,$BH5))),""))</f>
        <v>4157.7299999999996</v>
      </c>
      <c r="O5" s="71">
        <f>IF($BJ5&gt;0,IF(INDEX('Final Calculation Sheet'!$N$4:$N$40,$BJ5-3)="","",INDEX('Final Calculation Sheet'!$N$4:$N$40,$BJ5-3)),IF(OR($BI5=1,$BL5=1,$BH5&gt;0),IF($BI5=1,SUM('Final Calculation Sheet'!$N$4:$N$40),IF($BL5=1,SUM('Final Calculation Sheet'!$N$4:$N$40)-SUMIFS('Final Calculation Sheet'!$N$4:$N$40,$AZ$5:$AZ$41,10),SUMIFS('Final Calculation Sheet'!$N$4:$N$40,$AZ$5:$AZ$41,$BH5))),""))</f>
        <v>70.47</v>
      </c>
      <c r="P5" s="70">
        <f>IF($BJ5&gt;0,IF(INDEX('Final Calculation Sheet'!$O$4:$O$40,$BJ5-3)="","",INDEX('Final Calculation Sheet'!$O$4:$O$40,$BJ5-3)),IF(OR($BI5=1,$BL5=1,$BH5&gt;0),IF($BI5=1,SUM('Final Calculation Sheet'!$O$4:$O$40),IF($BL5=1,SUM('Final Calculation Sheet'!$O$4:$O$40)-SUMIFS('Final Calculation Sheet'!$O$4:$O$40,$AZ$5:$AZ$41,10),SUMIFS('Final Calculation Sheet'!$O$4:$O$40,$AZ$5:$AZ$41,$BH5))),""))</f>
        <v>4087.2599999999998</v>
      </c>
      <c r="Q5" s="70">
        <f>IF($BJ5&gt;0,IF(INDEX('Final Calculation Sheet'!$P$4:$P$40,$BJ5-3)="","",INDEX('Final Calculation Sheet'!$P$4:$P$40,$BJ5-3)),IF(OR($BI5=1,$BL5=1,$BH5&gt;0),IF($BI5=1,SUM('Final Calculation Sheet'!$P$4:$P$40),IF($BL5=1,SUM('Final Calculation Sheet'!$P$4:$P$40)-SUMIFS('Final Calculation Sheet'!$P$4:$P$40,$AZ$5:$AZ$41,10),SUMIFS('Final Calculation Sheet'!$P$4:$P$40,$AZ$5:$AZ$41,$BH5))),""))</f>
        <v>4244</v>
      </c>
      <c r="R5" s="72">
        <f>IF($BJ5&gt;0,IF(INDEX('Final Calculation Sheet'!$Q$4:$Q$40,$BJ5-3)="","",INDEX('Final Calculation Sheet'!$Q$4:$Q$40,$BJ5-3)),IF(OR($BI5=1,$BL5=1,$BH5&gt;0),"–",""))</f>
        <v>0</v>
      </c>
      <c r="S5" s="70">
        <f>IF($BJ5&gt;0,IF(INDEX('Final Calculation Sheet'!$R$4:$R$40,$BJ5-3)="","",INDEX('Final Calculation Sheet'!$R$4:$R$40,$BJ5-3)),IF(OR($BI5=1,$BL5=1,$BH5&gt;0),IF($BI5=1,SUM('Final Calculation Sheet'!$R$4:$R$40),IF($BL5=1,SUM('Final Calculation Sheet'!$R$4:$R$40)-SUMIFS('Final Calculation Sheet'!$R$4:$R$40,$AZ$5:$AZ$41,10),SUMIFS('Final Calculation Sheet'!$R$4:$R$40,$AZ$5:$AZ$41,$BH5))),""))</f>
        <v>0</v>
      </c>
      <c r="T5" s="70">
        <f>IF($BJ5&gt;0,IF(INDEX('Final Calculation Sheet'!$S$4:$S$40,$BJ5-3)="","",INDEX('Final Calculation Sheet'!$S$4:$S$40,$BJ5-3)),IF(OR($BI5=1,$BL5=1,$BH5&gt;0),IF($BI5=1,SUM('Final Calculation Sheet'!$S$4:$S$40),IF($BL5=1,SUM('Final Calculation Sheet'!$S$4:$S$40)-SUMIFS('Final Calculation Sheet'!$S$4:$S$40,$AZ$5:$AZ$41,10),SUMIFS('Final Calculation Sheet'!$S$4:$S$40,$AZ$5:$AZ$41,$BH5))),""))</f>
        <v>184240</v>
      </c>
      <c r="U5" s="70">
        <f>IF($BJ5&gt;0,IF(INDEX('Final Calculation Sheet'!$T$4:$T$40,$BJ5-3)="","",INDEX('Final Calculation Sheet'!$T$4:$T$40,$BJ5-3)),IF(OR($BI5=1,$BL5=1,$BH5&gt;0),IF($BI5=1,SUM('Final Calculation Sheet'!$T$4:$T$40),IF($BL5=1,SUM('Final Calculation Sheet'!$T$4:$T$40)-SUMIFS('Final Calculation Sheet'!$T$4:$T$40,$AZ$5:$AZ$41,10),SUMIFS('Final Calculation Sheet'!$T$4:$T$40,$AZ$5:$AZ$41,$BH5))),""))</f>
        <v>39150</v>
      </c>
      <c r="V5" s="73">
        <f>IF($BJ5&gt;0,IF(INDEX('Final Calculation Sheet'!$U$4:$U$40,$BJ5-3)="","",INDEX('Final Calculation Sheet'!$U$4:$U$40,$BJ5-3)),IF(OR($BI5=1,$BL5=1,$BH5&gt;0),IF($BI5=1,SUM('Final Calculation Sheet'!$U$4:$U$40),IF($BL5=1,SUM('Final Calculation Sheet'!$U$4:$U$40)-SUMIFS('Final Calculation Sheet'!$U$4:$U$40,$AZ$5:$AZ$41,10),SUMIFS('Final Calculation Sheet'!$U$4:$U$40,$AZ$5:$AZ$41,$BH5))),""))</f>
        <v>39150</v>
      </c>
      <c r="W5" s="70" t="str">
        <f>IF($BJ5&gt;0,IF(INDEX('Final Calculation Sheet'!$V$4:$V$40,$BJ5-3)="","",INDEX('Final Calculation Sheet'!$V$4:$V$40,$BJ5-3)),IF(OR($BI5=1,$BL5=1,$BH5&gt;0),"–",""))</f>
        <v>13.08.2026</v>
      </c>
      <c r="X5" s="70">
        <f>IF($BJ5&gt;0,IF(INDEX('Final Calculation Sheet'!$W$4:$W$40,$BJ5-3)="","",INDEX('Final Calculation Sheet'!$W$4:$W$40,$BJ5-3)),IF(OR($BI5=1,$BL5=1,$BH5&gt;0),IF($BI5=1,SUM('Final Calculation Sheet'!$W$4:$W$40),IF($BL5=1,SUM('Final Calculation Sheet'!$W$4:$W$40)-SUMIFS('Final Calculation Sheet'!$W$4:$W$40,$AZ$5:$AZ$41,10),SUMIFS('Final Calculation Sheet'!$W$4:$W$40,$AZ$5:$AZ$41,$BH5))),""))</f>
        <v>145090</v>
      </c>
      <c r="Y5" s="70">
        <f>IF($BJ5&gt;0,IF(INDEX('Final Calculation Sheet'!$X$4:$X$40,$BJ5-3)="","",INDEX('Final Calculation Sheet'!$X$4:$X$40,$BJ5-3)),IF(OR($BI5=1,$BL5=1,$BH5&gt;0),IF($BI5=1,SUM('Final Calculation Sheet'!$X$4:$X$40),IF($BL5=1,SUM('Final Calculation Sheet'!$X$4:$X$40)-SUMIFS('Final Calculation Sheet'!$X$4:$X$40,$AZ$5:$AZ$41,10),SUMIFS('Final Calculation Sheet'!$X$4:$X$40,$AZ$5:$AZ$41,$BH5))),""))</f>
        <v>145090</v>
      </c>
      <c r="Z5" s="70" t="str">
        <f>IF($BJ5&gt;0,IF(INDEX('Final Calculation Sheet'!$Y$4:$Y$40,$BJ5-3)="","",INDEX('Final Calculation Sheet'!$Y$4:$Y$40,$BJ5-3)),IF(OR($BI5=1,$BL5=1,$BH5&gt;0),"–",""))</f>
        <v>24.08.2026</v>
      </c>
      <c r="AA5" s="70">
        <f ca="1">IF($BJ5&gt;0,IF(INDEX('Final Calculation Sheet'!$Z$4:$Z$40,$BJ5-3)="","",INDEX('Final Calculation Sheet'!$Z$4:$Z$40,$BJ5-3)),IF(OR($BI5=1,$BL5=1,$BH5&gt;0),IF($BI5=1,SUM('Final Calculation Sheet'!$Z$4:$Z$40),IF($BL5=1,SUM('Final Calculation Sheet'!$Z$4:$Z$40)-SUMIFS('Final Calculation Sheet'!$Z$4:$Z$40,$AZ$5:$AZ$41,10),SUMIFS('Final Calculation Sheet'!$Z$4:$Z$40,$AZ$5:$AZ$41,$BH5))),""))</f>
        <v>0</v>
      </c>
      <c r="AB5" s="70" t="str">
        <f>IF($BJ5&gt;0,IF(INDEX('Final Calculation Sheet'!$AA$4:$AA$40,$BJ5-3)="","",INDEX('Final Calculation Sheet'!$AA$4:$AA$40,$BJ5-3)),IF(OR($BI5=1,$BL5=1,$BH5&gt;0),IF($BI5=1,SUM('Final Calculation Sheet'!$AA$4:$AA$40),IF($BL5=1,SUM('Final Calculation Sheet'!$AA$4:$AA$40)-SUMIFS('Final Calculation Sheet'!$AA$4:$AA$40,$AZ$5:$AZ$41,10),SUMIFS('Final Calculation Sheet'!$AA$4:$AA$40,$AZ$5:$AZ$41,$BH5))),""))</f>
        <v/>
      </c>
      <c r="AC5" s="70" t="str">
        <f>IF($BJ5&gt;0,IF(INDEX('Final Calculation Sheet'!$AB$4:$AB$40,$BJ5-3)="","",INDEX('Final Calculation Sheet'!$AB$4:$AB$40,$BJ5-3)),IF(OR($BI5=1,$BL5=1,$BH5&gt;0),"–",""))</f>
        <v/>
      </c>
      <c r="AD5" s="70">
        <f>IF($BJ5&gt;0,IF(INDEX('Final Calculation Sheet'!$AC$4:$AC$40,$BJ5-3)="","",INDEX('Final Calculation Sheet'!$AC$4:$AC$40,$BJ5-3)),IF(OR($BI5=1,$BL5=1,$BH5&gt;0),IF($BI5=1,SUM('Final Calculation Sheet'!$AC$4:$AC$40),IF($BL5=1,SUM('Final Calculation Sheet'!$AC$4:$AC$40)-SUMIFS('Final Calculation Sheet'!$AC$4:$AC$40,$AZ$5:$AZ$41,10),SUMIFS('Final Calculation Sheet'!$AC$4:$AC$40,$AZ$5:$AZ$41,$BH5))),""))</f>
        <v>184240</v>
      </c>
      <c r="AE5" s="70">
        <f>IF($BJ5&gt;0,IF(INDEX('Final Calculation Sheet'!$AD$4:$AD$40,$BJ5-3)="","",INDEX('Final Calculation Sheet'!$AD$4:$AD$40,$BJ5-3)),IF(OR($BI5=1,$BL5=1,$BH5&gt;0),IF($BI5=1,SUM('Final Calculation Sheet'!$AD$4:$AD$40),IF($BL5=1,SUM('Final Calculation Sheet'!$AD$4:$AD$40)-SUMIFS('Final Calculation Sheet'!$AD$4:$AD$40,$AZ$5:$AZ$41,10),SUMIFS('Final Calculation Sheet'!$AD$4:$AD$40,$AZ$5:$AZ$41,$BH5))),""))</f>
        <v>0</v>
      </c>
      <c r="AF5" s="70" t="str">
        <f>IF($BJ5&gt;0,IF(INDEX('Final Calculation Sheet'!$AE$4:$AE$40,$BJ5-3)="","",INDEX('Final Calculation Sheet'!$AE$4:$AE$40,$BJ5-3)),IF(OR($BI5=1,$BL5=1,$BH5&gt;0),"–",""))</f>
        <v>DR2640100030</v>
      </c>
      <c r="AG5" s="74">
        <f>IF($BJ5&gt;0,IF(INDEX('Final Calculation Sheet'!$AF$4:$AF$40,$BJ5-3)="","",INDEX('Final Calculation Sheet'!$AF$4:$AF$40,$BJ5-3)),IF(OR($BI5=1,$BL5=1,$BH5&gt;0),"–",""))</f>
        <v>1800003302</v>
      </c>
      <c r="AH5" s="70" t="str">
        <f>IF($BJ5&gt;0,IF(INDEX('Final Calculation Sheet'!$AG$4:$AG$40,$BJ5-3)="","",INDEX('Final Calculation Sheet'!$AG$4:$AG$40,$BJ5-3)),IF(OR($BI5=1,$BL5=1,$BH5&gt;0),"–",""))</f>
        <v>27.08.2026</v>
      </c>
      <c r="AI5" s="75" t="str">
        <f>IF($BJ5&gt;0,IF(INDEX('Final Calculation Sheet'!$AD$4:$AD$40,$BJ5-3)="","",IF(INDEX('Final Calculation Sheet'!$AD$4:$AD$40,$BJ5-3)&lt;=0,"SETTLED","OUTSTANDING")),IF(OR($BI5=1,$BL5=1,$BH5&gt;0),IF(IF($BI5=1,SUM('Final Calculation Sheet'!$AD$4:$AD$40),IF($BL5=1,SUM('Final Calculation Sheet'!$AD$4:$AD$40)-SUMIFS('Final Calculation Sheet'!$AD$4:$AD$40,$AZ$5:$AZ$41,10),SUMIFS('Final Calculation Sheet'!$AD$4:$AD$40,$AZ$5:$AZ$41,$BH5)))&lt;=0,"ALL SETTLED","OUTSTANDING"),""))</f>
        <v>SETTLED</v>
      </c>
      <c r="AK5" t="str">
        <f>IF($F$3="Lot No.",'Final Calculation Sheet'!$F$4,IF($F$3="Buyer",'Final Calculation Sheet'!$G$4,IF($F$3="Lot Name",'Final Calculation Sheet'!$B$4,IF($F$3="Bid Sheet",'Final Calculation Sheet'!$D$4,IF($F$3="Unit",'Final Calculation Sheet'!$E$4,'Final Calculation Sheet'!$F$4&amp;" "&amp;'Final Calculation Sheet'!$G$4&amp;" "&amp;'Final Calculation Sheet'!$B$4)))))</f>
        <v>1763 AL HAMD TRADE CORPORATION Lot No.</v>
      </c>
      <c r="AM5">
        <f t="shared" ref="AM5:AM41" si="1">IF($B$3="",1,IF(AND(IF(COUNTIF($AR$9:$AY$9,1)=0,TRUE,SUMPRODUCT(($AR$9:$AY$9=1)*($AR$6:$AY$6&lt;&gt;"")*ISNUMBER(SEARCH($AR$6:$AY$6,$AK5)))&gt;0),IF(COUNTIF($AR$9:$AY$9,2)=0,TRUE,SUMPRODUCT(($AR$9:$AY$9=2)*($AR$6:$AY$6&lt;&gt;"")*ISNUMBER(SEARCH($AR$6:$AY$6,$AK5)))&gt;0),IF(COUNTIF($AR$9:$AY$9,3)=0,TRUE,SUMPRODUCT(($AR$9:$AY$9=3)*($AR$6:$AY$6&lt;&gt;"")*ISNUMBER(SEARCH($AR$6:$AY$6,$AK5)))&gt;0),IF(COUNTIF($AR$9:$AY$9,4)=0,TRUE,SUMPRODUCT(($AR$9:$AY$9=4)*($AR$6:$AY$6&lt;&gt;"")*ISNUMBER(SEARCH($AR$6:$AY$6,$AK5)))&gt;0),IF(COUNTIF($AR$9:$AY$9,5)=0,TRUE,SUMPRODUCT(($AR$9:$AY$9=5)*($AR$6:$AY$6&lt;&gt;"")*ISNUMBER(SEARCH($AR$6:$AY$6,$AK5)))&gt;0),IF(COUNTIF($AR$9:$AY$9,6)=0,TRUE,SUMPRODUCT(($AR$9:$AY$9=6)*($AR$6:$AY$6&lt;&gt;"")*ISNUMBER(SEARCH($AR$6:$AY$6,$AK5)))&gt;0),IF(COUNTIF($AR$9:$AY$9,7)=0,TRUE,SUMPRODUCT(($AR$9:$AY$9=7)*($AR$6:$AY$6&lt;&gt;"")*ISNUMBER(SEARCH($AR$6:$AY$6,$AK5)))&gt;0),IF(COUNTIF($AR$9:$AY$9,8)=0,TRUE,SUMPRODUCT(($AR$9:$AY$9=8)*($AR$6:$AY$6&lt;&gt;"")*ISNUMBER(SEARCH($AR$6:$AY$6,$AK5)))&gt;0)),1,0))</f>
        <v>0</v>
      </c>
      <c r="AO5" t="s">
        <v>6</v>
      </c>
      <c r="AR5">
        <f>IF($AR$4="",99999,MIN(IFERROR(FIND(",",$AR$4),99999),IFERROR(FIND("+",$AR$4),99999)))</f>
        <v>5</v>
      </c>
      <c r="AS5">
        <f>IF($AS$4="",99999,MIN(IFERROR(FIND(",",$AS$4),99999),IFERROR(FIND("+",$AS$4),99999)))</f>
        <v>99999</v>
      </c>
      <c r="AT5">
        <f>IF($AT$4="",99999,MIN(IFERROR(FIND(",",$AT$4),99999),IFERROR(FIND("+",$AT$4),99999)))</f>
        <v>99999</v>
      </c>
      <c r="AU5">
        <f>IF($AU$4="",99999,MIN(IFERROR(FIND(",",$AU$4),99999),IFERROR(FIND("+",$AU$4),99999)))</f>
        <v>99999</v>
      </c>
      <c r="AV5">
        <f>IF($AV$4="",99999,MIN(IFERROR(FIND(",",$AV$4),99999),IFERROR(FIND("+",$AV$4),99999)))</f>
        <v>99999</v>
      </c>
      <c r="AW5">
        <f>IF($AW$4="",99999,MIN(IFERROR(FIND(",",$AW$4),99999),IFERROR(FIND("+",$AW$4),99999)))</f>
        <v>99999</v>
      </c>
      <c r="AX5">
        <f>IF($AX$4="",99999,MIN(IFERROR(FIND(",",$AX$4),99999),IFERROR(FIND("+",$AX$4),99999)))</f>
        <v>99999</v>
      </c>
      <c r="AY5">
        <f>IF($AY$4="",99999,MIN(IFERROR(FIND(",",$AY$4),99999),IFERROR(FIND("+",$AY$4),99999)))</f>
        <v>99999</v>
      </c>
      <c r="AZ5">
        <f t="shared" ref="AZ5:AZ41" si="2">IF($B$3="",9,IF($AM5=0,10,IF(AND($AR$6&lt;&gt;"",ISNUMBER(SEARCH($AR$6,$AK5))),1,IF(AND($AS$6&lt;&gt;"",ISNUMBER(SEARCH($AS$6,$AK5))),2,IF(AND($AT$6&lt;&gt;"",ISNUMBER(SEARCH($AT$6,$AK5))),3,IF(AND($AU$6&lt;&gt;"",ISNUMBER(SEARCH($AU$6,$AK5))),4,IF(AND($AV$6&lt;&gt;"",ISNUMBER(SEARCH($AV$6,$AK5))),5,IF(AND($AW$6&lt;&gt;"",ISNUMBER(SEARCH($AW$6,$AK5))),6,IF(AND($AX$6&lt;&gt;"",ISNUMBER(SEARCH($AX$6,$AK5))),7,IF(AND($AY$6&lt;&gt;"",ISNUMBER(SEARCH($AY$6,$AK5))),8,0))))))))))</f>
        <v>10</v>
      </c>
      <c r="BA5">
        <f t="shared" ref="BA5:BA41" si="3">SUMPRODUCT(($AZ$5:$AZ$41=$AZ5)*($BC$5:$BC$41&lt;$BC5))+1</f>
        <v>1</v>
      </c>
      <c r="BB5">
        <f t="shared" ref="BB5:BB41" si="4">IF(INDEX($BF$4:$BF$13,$AZ5)=0,0,INDEX($BE$4:$BE$13,$AZ5)+$BA5-1)</f>
        <v>17</v>
      </c>
      <c r="BC5">
        <v>4</v>
      </c>
      <c r="BD5">
        <f>COUNTIF($AZ$5:$AZ$41,2)</f>
        <v>5</v>
      </c>
      <c r="BE5">
        <f t="shared" ref="BE5:BE12" si="5">IF($BD4=0,$BE4,$BF4+1)</f>
        <v>10</v>
      </c>
      <c r="BF5">
        <f t="shared" si="0"/>
        <v>15</v>
      </c>
      <c r="BG5">
        <f>IF($BD13=0,$BE13,$BF13+1)</f>
        <v>46</v>
      </c>
      <c r="BH5">
        <f>IFERROR(MATCH(5,$BF$4:$BF$13,0),0)</f>
        <v>0</v>
      </c>
      <c r="BI5">
        <f>IF(5=$BG$5,1,0)</f>
        <v>0</v>
      </c>
      <c r="BJ5">
        <f>IF(OR($BH5&gt;0,$BI5=1,$BL5=1),0,IFERROR(INDEX($BC$5:$BC$41,MATCH(5,$BB$5:$BB$41,0)),0))</f>
        <v>5</v>
      </c>
      <c r="BK5">
        <f>IF($BJ5&gt;0,IF(INDEX($AZ$5:$AZ$41,MATCH(5,$BB$5:$BB$41,0))=10,1,0),IF($BH5=10,1,0))</f>
        <v>0</v>
      </c>
      <c r="BL5">
        <f>IF(5=$BG$4,1,0)</f>
        <v>0</v>
      </c>
    </row>
    <row r="6" spans="1:64" ht="15" customHeight="1" x14ac:dyDescent="0.25">
      <c r="A6" s="67">
        <f>IF($BJ6&gt;0,INDEX($BA$5:$BA$41,MATCH(6,$BB$5:$BB$41,0)),IF(OR($BI6=1,$BL6=1,$BH6&gt;0),"∑",""))</f>
        <v>2</v>
      </c>
      <c r="B6" s="68">
        <f>IF($BJ6&gt;0,IF(INDEX('Final Calculation Sheet'!$F$4:$F$40,$BJ6-3)="","",INDEX('Final Calculation Sheet'!$F$4:$F$40,$BJ6-3)),"")</f>
        <v>2006</v>
      </c>
      <c r="C6" s="68" t="str">
        <f>IF($BJ6&gt;0,IF(INDEX('Final Calculation Sheet'!$G$4:$G$40,$BJ6-3)="","",INDEX('Final Calculation Sheet'!$G$4:$G$40,$BJ6-3)),IF(OR($BI6=1,$BL6=1,$BH6&gt;0),IF($BI6=1,37,IF($BL6=1,37-INDEX($BD$4:$BD$13,10),INDEX($BD$4:$BD$13,$BH6)))&amp;" lot(s)",""))</f>
        <v>STERLING ENTERPRISES</v>
      </c>
      <c r="D6" s="69" t="str">
        <f>IF($BJ6&gt;0,IF(INDEX('Final Calculation Sheet'!$B$4:$B$40,$BJ6-3)="","",INDEX('Final Calculation Sheet'!$B$4:$B$40,$BJ6-3)),IF(OR($BI6=1,$BL6=1,$BH6&gt;0),IF($BI6=1,"GRAND TOTAL  —  matching + remaining",IF($BL6=1,"TOTAL MATCHED  —  every group together",IF($BH6=10,"REMAINING  —  did not match the search",IF($BH6=9,"ALL LOTS  —  nothing typed in the box","GROUP "&amp;$BH6&amp;" TOTAL  —  lots matching  "&amp;INDEX($AR$6:$AY$6,$BH6))))),""))</f>
        <v>Scrap of empty oil drums</v>
      </c>
      <c r="E6" s="69">
        <f>IF($BJ6&gt;0,IF(INDEX('Final Calculation Sheet'!$D$4:$D$40,$BJ6-3)="","",INDEX('Final Calculation Sheet'!$D$4:$D$40,$BJ6-3)),IF(OR($BI6=1,$BL6=1,$BH6&gt;0),"–",""))</f>
        <v>21977</v>
      </c>
      <c r="F6" s="69">
        <f>IF($BJ6&gt;0,IF(INDEX('Final Calculation Sheet'!$A$4:$A$40,$BJ6-3)="","",INDEX('Final Calculation Sheet'!$A$4:$A$40,$BJ6-3)),IF(OR($BI6=1,$BL6=1,$BH6&gt;0),IF($BI6=1,SUM('Final Calculation Sheet'!$A$4:$A$40),IF($BL6=1,SUM('Final Calculation Sheet'!$A$4:$A$40)-SUMIFS('Final Calculation Sheet'!$A$4:$A$40,$AZ$5:$AZ$41,10),SUMIFS('Final Calculation Sheet'!$A$4:$A$40,$AZ$5:$AZ$41,$BH6))),""))</f>
        <v>25</v>
      </c>
      <c r="G6" s="69" t="str">
        <f>IF($BJ6&gt;0,IF(INDEX('Final Calculation Sheet'!$E$4:$E$40,$BJ6-3)="","",INDEX('Final Calculation Sheet'!$E$4:$E$40,$BJ6-3)),IF(OR($BI6=1,$BL6=1,$BH6&gt;0),"–",""))</f>
        <v>NO</v>
      </c>
      <c r="H6" s="70">
        <f>IF($BJ6&gt;0,IF(INDEX('Final Calculation Sheet'!$C$4:$C$40,$BJ6-3)="","",INDEX('Final Calculation Sheet'!$C$4:$C$40,$BJ6-3)),IF(OR($BI6=1,$BL6=1,$BH6&gt;0),"–",""))</f>
        <v>700</v>
      </c>
      <c r="I6" s="70">
        <f>IF($BJ6&gt;0,IF(INDEX('Final Calculation Sheet'!$H$4:$H$40,$BJ6-3)="","",INDEX('Final Calculation Sheet'!$H$4:$H$40,$BJ6-3)),IF(OR($BI6=1,$BL6=1,$BH6&gt;0),IF($BI6=1,SUM('Final Calculation Sheet'!$H$4:$H$40),IF($BL6=1,SUM('Final Calculation Sheet'!$H$4:$H$40)-SUMIFS('Final Calculation Sheet'!$H$4:$H$40,$AZ$5:$AZ$41,10),SUMIFS('Final Calculation Sheet'!$H$4:$H$40,$AZ$5:$AZ$41,$BH6))),""))</f>
        <v>17500</v>
      </c>
      <c r="J6" s="70">
        <f>IF($BJ6&gt;0,IF(INDEX('Final Calculation Sheet'!$I$4:$I$40,$BJ6-3)="","",INDEX('Final Calculation Sheet'!$I$4:$I$40,$BJ6-3)),IF(OR($BI6=1,$BL6=1,$BH6&gt;0),IF($BI6=1,SUM('Final Calculation Sheet'!$I$4:$I$40),IF($BL6=1,SUM('Final Calculation Sheet'!$I$4:$I$40)-SUMIFS('Final Calculation Sheet'!$I$4:$I$40,$AZ$5:$AZ$41,10),SUMIFS('Final Calculation Sheet'!$I$4:$I$40,$AZ$5:$AZ$41,$BH6))),""))</f>
        <v>3150</v>
      </c>
      <c r="K6" s="70">
        <f>IF($BJ6&gt;0,IF(INDEX('Final Calculation Sheet'!$J$4:$J$40,$BJ6-3)="","",INDEX('Final Calculation Sheet'!$J$4:$J$40,$BJ6-3)),IF(OR($BI6=1,$BL6=1,$BH6&gt;0),IF($BI6=1,SUM('Final Calculation Sheet'!$J$4:$J$40),IF($BL6=1,SUM('Final Calculation Sheet'!$J$4:$J$40)-SUMIFS('Final Calculation Sheet'!$J$4:$J$40,$AZ$5:$AZ$41,10),SUMIFS('Final Calculation Sheet'!$J$4:$J$40,$AZ$5:$AZ$41,$BH6))),""))</f>
        <v>20650</v>
      </c>
      <c r="L6" s="70">
        <f>IF($BJ6&gt;0,IF(INDEX('Final Calculation Sheet'!$K$4:$K$40,$BJ6-3)="","",INDEX('Final Calculation Sheet'!$K$4:$K$40,$BJ6-3)),IF(OR($BI6=1,$BL6=1,$BH6&gt;0),IF($BI6=1,SUM('Final Calculation Sheet'!$K$4:$K$40),IF($BL6=1,SUM('Final Calculation Sheet'!$K$4:$K$40)-SUMIFS('Final Calculation Sheet'!$K$4:$K$40,$AZ$5:$AZ$41,10),SUMIFS('Final Calculation Sheet'!$K$4:$K$40,$AZ$5:$AZ$41,$BH6))),""))</f>
        <v>413</v>
      </c>
      <c r="M6" s="70">
        <f>IF($BJ6&gt;0,IF(INDEX('Final Calculation Sheet'!$L$4:$L$40,$BJ6-3)="","",INDEX('Final Calculation Sheet'!$L$4:$L$40,$BJ6-3)),IF(OR($BI6=1,$BL6=1,$BH6&gt;0),IF($BI6=1,SUM('Final Calculation Sheet'!$L$4:$L$40),IF($BL6=1,SUM('Final Calculation Sheet'!$L$4:$L$40)-SUMIFS('Final Calculation Sheet'!$L$4:$L$40,$AZ$5:$AZ$41,10),SUMIFS('Final Calculation Sheet'!$L$4:$L$40,$AZ$5:$AZ$41,$BH6))),""))</f>
        <v>17.5</v>
      </c>
      <c r="N6" s="70">
        <f>IF($BJ6&gt;0,IF(INDEX('Final Calculation Sheet'!$M$4:$M$40,$BJ6-3)="","",INDEX('Final Calculation Sheet'!$M$4:$M$40,$BJ6-3)),IF(OR($BI6=1,$BL6=1,$BH6&gt;0),IF($BI6=1,SUM('Final Calculation Sheet'!$M$4:$M$40),IF($BL6=1,SUM('Final Calculation Sheet'!$M$4:$M$40)-SUMIFS('Final Calculation Sheet'!$M$4:$M$40,$AZ$5:$AZ$41,10),SUMIFS('Final Calculation Sheet'!$M$4:$M$40,$AZ$5:$AZ$41,$BH6))),""))</f>
        <v>464.625</v>
      </c>
      <c r="O6" s="71">
        <f>IF($BJ6&gt;0,IF(INDEX('Final Calculation Sheet'!$N$4:$N$40,$BJ6-3)="","",INDEX('Final Calculation Sheet'!$N$4:$N$40,$BJ6-3)),IF(OR($BI6=1,$BL6=1,$BH6&gt;0),IF($BI6=1,SUM('Final Calculation Sheet'!$N$4:$N$40),IF($BL6=1,SUM('Final Calculation Sheet'!$N$4:$N$40)-SUMIFS('Final Calculation Sheet'!$N$4:$N$40,$AZ$5:$AZ$41,10),SUMIFS('Final Calculation Sheet'!$N$4:$N$40,$AZ$5:$AZ$41,$BH6))),""))</f>
        <v>7.875</v>
      </c>
      <c r="P6" s="70">
        <f>IF($BJ6&gt;0,IF(INDEX('Final Calculation Sheet'!$O$4:$O$40,$BJ6-3)="","",INDEX('Final Calculation Sheet'!$O$4:$O$40,$BJ6-3)),IF(OR($BI6=1,$BL6=1,$BH6&gt;0),IF($BI6=1,SUM('Final Calculation Sheet'!$O$4:$O$40),IF($BL6=1,SUM('Final Calculation Sheet'!$O$4:$O$40)-SUMIFS('Final Calculation Sheet'!$O$4:$O$40,$AZ$5:$AZ$41,10),SUMIFS('Final Calculation Sheet'!$O$4:$O$40,$AZ$5:$AZ$41,$BH6))),""))</f>
        <v>456.75</v>
      </c>
      <c r="Q6" s="70">
        <f>IF($BJ6&gt;0,IF(INDEX('Final Calculation Sheet'!$P$4:$P$40,$BJ6-3)="","",INDEX('Final Calculation Sheet'!$P$4:$P$40,$BJ6-3)),IF(OR($BI6=1,$BL6=1,$BH6&gt;0),IF($BI6=1,SUM('Final Calculation Sheet'!$P$4:$P$40),IF($BL6=1,SUM('Final Calculation Sheet'!$P$4:$P$40)-SUMIFS('Final Calculation Sheet'!$P$4:$P$40,$AZ$5:$AZ$41,10),SUMIFS('Final Calculation Sheet'!$P$4:$P$40,$AZ$5:$AZ$41,$BH6))),""))</f>
        <v>474</v>
      </c>
      <c r="R6" s="72">
        <f>IF($BJ6&gt;0,IF(INDEX('Final Calculation Sheet'!$Q$4:$Q$40,$BJ6-3)="","",INDEX('Final Calculation Sheet'!$Q$4:$Q$40,$BJ6-3)),IF(OR($BI6=1,$BL6=1,$BH6&gt;0),"–",""))</f>
        <v>0</v>
      </c>
      <c r="S6" s="70">
        <f>IF($BJ6&gt;0,IF(INDEX('Final Calculation Sheet'!$R$4:$R$40,$BJ6-3)="","",INDEX('Final Calculation Sheet'!$R$4:$R$40,$BJ6-3)),IF(OR($BI6=1,$BL6=1,$BH6&gt;0),IF($BI6=1,SUM('Final Calculation Sheet'!$R$4:$R$40),IF($BL6=1,SUM('Final Calculation Sheet'!$R$4:$R$40)-SUMIFS('Final Calculation Sheet'!$R$4:$R$40,$AZ$5:$AZ$41,10),SUMIFS('Final Calculation Sheet'!$R$4:$R$40,$AZ$5:$AZ$41,$BH6))),""))</f>
        <v>0</v>
      </c>
      <c r="T6" s="70">
        <f>IF($BJ6&gt;0,IF(INDEX('Final Calculation Sheet'!$S$4:$S$40,$BJ6-3)="","",INDEX('Final Calculation Sheet'!$S$4:$S$40,$BJ6-3)),IF(OR($BI6=1,$BL6=1,$BH6&gt;0),IF($BI6=1,SUM('Final Calculation Sheet'!$S$4:$S$40),IF($BL6=1,SUM('Final Calculation Sheet'!$S$4:$S$40)-SUMIFS('Final Calculation Sheet'!$S$4:$S$40,$AZ$5:$AZ$41,10),SUMIFS('Final Calculation Sheet'!$S$4:$S$40,$AZ$5:$AZ$41,$BH6))),""))</f>
        <v>20589</v>
      </c>
      <c r="U6" s="70">
        <f>IF($BJ6&gt;0,IF(INDEX('Final Calculation Sheet'!$T$4:$T$40,$BJ6-3)="","",INDEX('Final Calculation Sheet'!$T$4:$T$40,$BJ6-3)),IF(OR($BI6=1,$BL6=1,$BH6&gt;0),IF($BI6=1,SUM('Final Calculation Sheet'!$T$4:$T$40),IF($BL6=1,SUM('Final Calculation Sheet'!$T$4:$T$40)-SUMIFS('Final Calculation Sheet'!$T$4:$T$40,$AZ$5:$AZ$41,10),SUMIFS('Final Calculation Sheet'!$T$4:$T$40,$AZ$5:$AZ$41,$BH6))),""))</f>
        <v>4375</v>
      </c>
      <c r="V6" s="73">
        <f>IF($BJ6&gt;0,IF(INDEX('Final Calculation Sheet'!$U$4:$U$40,$BJ6-3)="","",INDEX('Final Calculation Sheet'!$U$4:$U$40,$BJ6-3)),IF(OR($BI6=1,$BL6=1,$BH6&gt;0),IF($BI6=1,SUM('Final Calculation Sheet'!$U$4:$U$40),IF($BL6=1,SUM('Final Calculation Sheet'!$U$4:$U$40)-SUMIFS('Final Calculation Sheet'!$U$4:$U$40,$AZ$5:$AZ$41,10),SUMIFS('Final Calculation Sheet'!$U$4:$U$40,$AZ$5:$AZ$41,$BH6))),""))</f>
        <v>4375</v>
      </c>
      <c r="W6" s="70" t="str">
        <f>IF($BJ6&gt;0,IF(INDEX('Final Calculation Sheet'!$V$4:$V$40,$BJ6-3)="","",INDEX('Final Calculation Sheet'!$V$4:$V$40,$BJ6-3)),IF(OR($BI6=1,$BL6=1,$BH6&gt;0),"–",""))</f>
        <v>11.08.2026</v>
      </c>
      <c r="X6" s="70">
        <f>IF($BJ6&gt;0,IF(INDEX('Final Calculation Sheet'!$W$4:$W$40,$BJ6-3)="","",INDEX('Final Calculation Sheet'!$W$4:$W$40,$BJ6-3)),IF(OR($BI6=1,$BL6=1,$BH6&gt;0),IF($BI6=1,SUM('Final Calculation Sheet'!$W$4:$W$40),IF($BL6=1,SUM('Final Calculation Sheet'!$W$4:$W$40)-SUMIFS('Final Calculation Sheet'!$W$4:$W$40,$AZ$5:$AZ$41,10),SUMIFS('Final Calculation Sheet'!$W$4:$W$40,$AZ$5:$AZ$41,$BH6))),""))</f>
        <v>16214</v>
      </c>
      <c r="Y6" s="70">
        <f>IF($BJ6&gt;0,IF(INDEX('Final Calculation Sheet'!$X$4:$X$40,$BJ6-3)="","",INDEX('Final Calculation Sheet'!$X$4:$X$40,$BJ6-3)),IF(OR($BI6=1,$BL6=1,$BH6&gt;0),IF($BI6=1,SUM('Final Calculation Sheet'!$X$4:$X$40),IF($BL6=1,SUM('Final Calculation Sheet'!$X$4:$X$40)-SUMIFS('Final Calculation Sheet'!$X$4:$X$40,$AZ$5:$AZ$41,10),SUMIFS('Final Calculation Sheet'!$X$4:$X$40,$AZ$5:$AZ$41,$BH6))),""))</f>
        <v>16214</v>
      </c>
      <c r="Z6" s="70" t="str">
        <f>IF($BJ6&gt;0,IF(INDEX('Final Calculation Sheet'!$Y$4:$Y$40,$BJ6-3)="","",INDEX('Final Calculation Sheet'!$Y$4:$Y$40,$BJ6-3)),IF(OR($BI6=1,$BL6=1,$BH6&gt;0),"–",""))</f>
        <v>11.08.2026</v>
      </c>
      <c r="AA6" s="70">
        <f ca="1">IF($BJ6&gt;0,IF(INDEX('Final Calculation Sheet'!$Z$4:$Z$40,$BJ6-3)="","",INDEX('Final Calculation Sheet'!$Z$4:$Z$40,$BJ6-3)),IF(OR($BI6=1,$BL6=1,$BH6&gt;0),IF($BI6=1,SUM('Final Calculation Sheet'!$Z$4:$Z$40),IF($BL6=1,SUM('Final Calculation Sheet'!$Z$4:$Z$40)-SUMIFS('Final Calculation Sheet'!$Z$4:$Z$40,$AZ$5:$AZ$41,10),SUMIFS('Final Calculation Sheet'!$Z$4:$Z$40,$AZ$5:$AZ$41,$BH6))),""))</f>
        <v>0</v>
      </c>
      <c r="AB6" s="70" t="str">
        <f>IF($BJ6&gt;0,IF(INDEX('Final Calculation Sheet'!$AA$4:$AA$40,$BJ6-3)="","",INDEX('Final Calculation Sheet'!$AA$4:$AA$40,$BJ6-3)),IF(OR($BI6=1,$BL6=1,$BH6&gt;0),IF($BI6=1,SUM('Final Calculation Sheet'!$AA$4:$AA$40),IF($BL6=1,SUM('Final Calculation Sheet'!$AA$4:$AA$40)-SUMIFS('Final Calculation Sheet'!$AA$4:$AA$40,$AZ$5:$AZ$41,10),SUMIFS('Final Calculation Sheet'!$AA$4:$AA$40,$AZ$5:$AZ$41,$BH6))),""))</f>
        <v/>
      </c>
      <c r="AC6" s="70" t="str">
        <f>IF($BJ6&gt;0,IF(INDEX('Final Calculation Sheet'!$AB$4:$AB$40,$BJ6-3)="","",INDEX('Final Calculation Sheet'!$AB$4:$AB$40,$BJ6-3)),IF(OR($BI6=1,$BL6=1,$BH6&gt;0),"–",""))</f>
        <v/>
      </c>
      <c r="AD6" s="70">
        <f>IF($BJ6&gt;0,IF(INDEX('Final Calculation Sheet'!$AC$4:$AC$40,$BJ6-3)="","",INDEX('Final Calculation Sheet'!$AC$4:$AC$40,$BJ6-3)),IF(OR($BI6=1,$BL6=1,$BH6&gt;0),IF($BI6=1,SUM('Final Calculation Sheet'!$AC$4:$AC$40),IF($BL6=1,SUM('Final Calculation Sheet'!$AC$4:$AC$40)-SUMIFS('Final Calculation Sheet'!$AC$4:$AC$40,$AZ$5:$AZ$41,10),SUMIFS('Final Calculation Sheet'!$AC$4:$AC$40,$AZ$5:$AZ$41,$BH6))),""))</f>
        <v>20589</v>
      </c>
      <c r="AE6" s="70">
        <f>IF($BJ6&gt;0,IF(INDEX('Final Calculation Sheet'!$AD$4:$AD$40,$BJ6-3)="","",INDEX('Final Calculation Sheet'!$AD$4:$AD$40,$BJ6-3)),IF(OR($BI6=1,$BL6=1,$BH6&gt;0),IF($BI6=1,SUM('Final Calculation Sheet'!$AD$4:$AD$40),IF($BL6=1,SUM('Final Calculation Sheet'!$AD$4:$AD$40)-SUMIFS('Final Calculation Sheet'!$AD$4:$AD$40,$AZ$5:$AZ$41,10),SUMIFS('Final Calculation Sheet'!$AD$4:$AD$40,$AZ$5:$AZ$41,$BH6))),""))</f>
        <v>0</v>
      </c>
      <c r="AF6" s="70" t="str">
        <f>IF($BJ6&gt;0,IF(INDEX('Final Calculation Sheet'!$AE$4:$AE$40,$BJ6-3)="","",INDEX('Final Calculation Sheet'!$AE$4:$AE$40,$BJ6-3)),IF(OR($BI6=1,$BL6=1,$BH6&gt;0),"–",""))</f>
        <v>DR2640100018</v>
      </c>
      <c r="AG6" s="74">
        <f>IF($BJ6&gt;0,IF(INDEX('Final Calculation Sheet'!$AF$4:$AF$40,$BJ6-3)="","",INDEX('Final Calculation Sheet'!$AF$4:$AF$40,$BJ6-3)),IF(OR($BI6=1,$BL6=1,$BH6&gt;0),"–",""))</f>
        <v>1800003156</v>
      </c>
      <c r="AH6" s="70" t="str">
        <f>IF($BJ6&gt;0,IF(INDEX('Final Calculation Sheet'!$AG$4:$AG$40,$BJ6-3)="","",INDEX('Final Calculation Sheet'!$AG$4:$AG$40,$BJ6-3)),IF(OR($BI6=1,$BL6=1,$BH6&gt;0),"–",""))</f>
        <v>14.08.2026</v>
      </c>
      <c r="AI6" s="75" t="str">
        <f>IF($BJ6&gt;0,IF(INDEX('Final Calculation Sheet'!$AD$4:$AD$40,$BJ6-3)="","",IF(INDEX('Final Calculation Sheet'!$AD$4:$AD$40,$BJ6-3)&lt;=0,"SETTLED","OUTSTANDING")),IF(OR($BI6=1,$BL6=1,$BH6&gt;0),IF(IF($BI6=1,SUM('Final Calculation Sheet'!$AD$4:$AD$40),IF($BL6=1,SUM('Final Calculation Sheet'!$AD$4:$AD$40)-SUMIFS('Final Calculation Sheet'!$AD$4:$AD$40,$AZ$5:$AZ$41,10),SUMIFS('Final Calculation Sheet'!$AD$4:$AD$40,$AZ$5:$AZ$41,$BH6)))&lt;=0,"ALL SETTLED","OUTSTANDING"),""))</f>
        <v>SETTLED</v>
      </c>
      <c r="AK6" t="str">
        <f>IF($F$3="Lot No.",'Final Calculation Sheet'!$F$5,IF($F$3="Buyer",'Final Calculation Sheet'!$G$5,IF($F$3="Lot Name",'Final Calculation Sheet'!$B$5,IF($F$3="Bid Sheet",'Final Calculation Sheet'!$D$5,IF($F$3="Unit",'Final Calculation Sheet'!$E$5,'Final Calculation Sheet'!$F$5&amp;" "&amp;'Final Calculation Sheet'!$G$5&amp;" "&amp;'Final Calculation Sheet'!$B$5)))))</f>
        <v>1874 NATIONAL ENTERPRISES Scrap of Empty oil drum</v>
      </c>
      <c r="AM6">
        <f t="shared" si="1"/>
        <v>1</v>
      </c>
      <c r="AO6" t="s">
        <v>7</v>
      </c>
      <c r="AR6" t="str">
        <f>IF($AR$4="","",IF($AR$5=99999,TRIM($AR$4),TRIM(LEFT($AR$4,$AR$5-1))))</f>
        <v>drum</v>
      </c>
      <c r="AS6" t="str">
        <f>IF($AS$4="","",IF($AS$5=99999,TRIM($AS$4),TRIM(LEFT($AS$4,$AS$5-1))))</f>
        <v>barrel</v>
      </c>
      <c r="AT6" t="str">
        <f>IF($AT$4="","",IF($AT$5=99999,TRIM($AT$4),TRIM(LEFT($AT$4,$AT$5-1))))</f>
        <v/>
      </c>
      <c r="AU6" t="str">
        <f>IF($AU$4="","",IF($AU$5=99999,TRIM($AU$4),TRIM(LEFT($AU$4,$AU$5-1))))</f>
        <v/>
      </c>
      <c r="AV6" t="str">
        <f>IF($AV$4="","",IF($AV$5=99999,TRIM($AV$4),TRIM(LEFT($AV$4,$AV$5-1))))</f>
        <v/>
      </c>
      <c r="AW6" t="str">
        <f>IF($AW$4="","",IF($AW$5=99999,TRIM($AW$4),TRIM(LEFT($AW$4,$AW$5-1))))</f>
        <v/>
      </c>
      <c r="AX6" t="str">
        <f>IF($AX$4="","",IF($AX$5=99999,TRIM($AX$4),TRIM(LEFT($AX$4,$AX$5-1))))</f>
        <v/>
      </c>
      <c r="AY6" t="str">
        <f>IF($AY$4="","",IF($AY$5=99999,TRIM($AY$4),TRIM(LEFT($AY$4,$AY$5-1))))</f>
        <v/>
      </c>
      <c r="AZ6">
        <f t="shared" si="2"/>
        <v>1</v>
      </c>
      <c r="BA6">
        <f t="shared" si="3"/>
        <v>1</v>
      </c>
      <c r="BB6">
        <f t="shared" si="4"/>
        <v>5</v>
      </c>
      <c r="BC6">
        <v>5</v>
      </c>
      <c r="BD6">
        <f>COUNTIF($AZ$5:$AZ$41,3)</f>
        <v>0</v>
      </c>
      <c r="BE6">
        <f t="shared" si="5"/>
        <v>16</v>
      </c>
      <c r="BF6">
        <f t="shared" si="0"/>
        <v>0</v>
      </c>
      <c r="BH6">
        <f>IFERROR(MATCH(6,$BF$4:$BF$13,0),0)</f>
        <v>0</v>
      </c>
      <c r="BI6">
        <f>IF(6=$BG$5,1,0)</f>
        <v>0</v>
      </c>
      <c r="BJ6">
        <f>IF(OR($BH6&gt;0,$BI6=1,$BL6=1),0,IFERROR(INDEX($BC$5:$BC$41,MATCH(6,$BB$5:$BB$41,0)),0))</f>
        <v>13</v>
      </c>
      <c r="BK6">
        <f>IF($BJ6&gt;0,IF(INDEX($AZ$5:$AZ$41,MATCH(6,$BB$5:$BB$41,0))=10,1,0),IF($BH6=10,1,0))</f>
        <v>0</v>
      </c>
      <c r="BL6">
        <f>IF(6=$BG$4,1,0)</f>
        <v>0</v>
      </c>
    </row>
    <row r="7" spans="1:64" ht="15" customHeight="1" x14ac:dyDescent="0.25">
      <c r="A7" s="67">
        <f>IF($BJ7&gt;0,INDEX($BA$5:$BA$41,MATCH(7,$BB$5:$BB$41,0)),IF(OR($BI7=1,$BL7=1,$BH7&gt;0),"∑",""))</f>
        <v>3</v>
      </c>
      <c r="B7" s="68">
        <f>IF($BJ7&gt;0,IF(INDEX('Final Calculation Sheet'!$F$4:$F$40,$BJ7-3)="","",INDEX('Final Calculation Sheet'!$F$4:$F$40,$BJ7-3)),"")</f>
        <v>2033</v>
      </c>
      <c r="C7" s="68" t="str">
        <f>IF($BJ7&gt;0,IF(INDEX('Final Calculation Sheet'!$G$4:$G$40,$BJ7-3)="","",INDEX('Final Calculation Sheet'!$G$4:$G$40,$BJ7-3)),IF(OR($BI7=1,$BL7=1,$BH7&gt;0),IF($BI7=1,37,IF($BL7=1,37-INDEX($BD$4:$BD$13,10),INDEX($BD$4:$BD$13,$BH7)))&amp;" lot(s)",""))</f>
        <v>WATAN SCRAP TRADERS</v>
      </c>
      <c r="D7" s="69" t="str">
        <f>IF($BJ7&gt;0,IF(INDEX('Final Calculation Sheet'!$B$4:$B$40,$BJ7-3)="","",INDEX('Final Calculation Sheet'!$B$4:$B$40,$BJ7-3)),IF(OR($BI7=1,$BL7=1,$BH7&gt;0),IF($BI7=1,"GRAND TOTAL  —  matching + remaining",IF($BL7=1,"TOTAL MATCHED  —  every group together",IF($BH7=10,"REMAINING  —  did not match the search",IF($BH7=9,"ALL LOTS  —  nothing typed in the box","GROUP "&amp;$BH7&amp;" TOTAL  —  lots matching  "&amp;INDEX($AR$6:$AY$6,$BH7))))),""))</f>
        <v>Scrap Empty Oil Drum/ Barrel</v>
      </c>
      <c r="E7" s="69">
        <f>IF($BJ7&gt;0,IF(INDEX('Final Calculation Sheet'!$D$4:$D$40,$BJ7-3)="","",INDEX('Final Calculation Sheet'!$D$4:$D$40,$BJ7-3)),IF(OR($BI7=1,$BL7=1,$BH7&gt;0),"–",""))</f>
        <v>21978</v>
      </c>
      <c r="F7" s="69">
        <f>IF($BJ7&gt;0,IF(INDEX('Final Calculation Sheet'!$A$4:$A$40,$BJ7-3)="","",INDEX('Final Calculation Sheet'!$A$4:$A$40,$BJ7-3)),IF(OR($BI7=1,$BL7=1,$BH7&gt;0),IF($BI7=1,SUM('Final Calculation Sheet'!$A$4:$A$40),IF($BL7=1,SUM('Final Calculation Sheet'!$A$4:$A$40)-SUMIFS('Final Calculation Sheet'!$A$4:$A$40,$AZ$5:$AZ$41,10),SUMIFS('Final Calculation Sheet'!$A$4:$A$40,$AZ$5:$AZ$41,$BH7))),""))</f>
        <v>1000</v>
      </c>
      <c r="G7" s="69" t="str">
        <f>IF($BJ7&gt;0,IF(INDEX('Final Calculation Sheet'!$E$4:$E$40,$BJ7-3)="","",INDEX('Final Calculation Sheet'!$E$4:$E$40,$BJ7-3)),IF(OR($BI7=1,$BL7=1,$BH7&gt;0),"–",""))</f>
        <v>NO</v>
      </c>
      <c r="H7" s="70">
        <f>IF($BJ7&gt;0,IF(INDEX('Final Calculation Sheet'!$C$4:$C$40,$BJ7-3)="","",INDEX('Final Calculation Sheet'!$C$4:$C$40,$BJ7-3)),IF(OR($BI7=1,$BL7=1,$BH7&gt;0),"–",""))</f>
        <v>517</v>
      </c>
      <c r="I7" s="70">
        <f>IF($BJ7&gt;0,IF(INDEX('Final Calculation Sheet'!$H$4:$H$40,$BJ7-3)="","",INDEX('Final Calculation Sheet'!$H$4:$H$40,$BJ7-3)),IF(OR($BI7=1,$BL7=1,$BH7&gt;0),IF($BI7=1,SUM('Final Calculation Sheet'!$H$4:$H$40),IF($BL7=1,SUM('Final Calculation Sheet'!$H$4:$H$40)-SUMIFS('Final Calculation Sheet'!$H$4:$H$40,$AZ$5:$AZ$41,10),SUMIFS('Final Calculation Sheet'!$H$4:$H$40,$AZ$5:$AZ$41,$BH7))),""))</f>
        <v>517000</v>
      </c>
      <c r="J7" s="70">
        <f>IF($BJ7&gt;0,IF(INDEX('Final Calculation Sheet'!$I$4:$I$40,$BJ7-3)="","",INDEX('Final Calculation Sheet'!$I$4:$I$40,$BJ7-3)),IF(OR($BI7=1,$BL7=1,$BH7&gt;0),IF($BI7=1,SUM('Final Calculation Sheet'!$I$4:$I$40),IF($BL7=1,SUM('Final Calculation Sheet'!$I$4:$I$40)-SUMIFS('Final Calculation Sheet'!$I$4:$I$40,$AZ$5:$AZ$41,10),SUMIFS('Final Calculation Sheet'!$I$4:$I$40,$AZ$5:$AZ$41,$BH7))),""))</f>
        <v>93060</v>
      </c>
      <c r="K7" s="70">
        <f>IF($BJ7&gt;0,IF(INDEX('Final Calculation Sheet'!$J$4:$J$40,$BJ7-3)="","",INDEX('Final Calculation Sheet'!$J$4:$J$40,$BJ7-3)),IF(OR($BI7=1,$BL7=1,$BH7&gt;0),IF($BI7=1,SUM('Final Calculation Sheet'!$J$4:$J$40),IF($BL7=1,SUM('Final Calculation Sheet'!$J$4:$J$40)-SUMIFS('Final Calculation Sheet'!$J$4:$J$40,$AZ$5:$AZ$41,10),SUMIFS('Final Calculation Sheet'!$J$4:$J$40,$AZ$5:$AZ$41,$BH7))),""))</f>
        <v>610060</v>
      </c>
      <c r="L7" s="70">
        <f>IF($BJ7&gt;0,IF(INDEX('Final Calculation Sheet'!$K$4:$K$40,$BJ7-3)="","",INDEX('Final Calculation Sheet'!$K$4:$K$40,$BJ7-3)),IF(OR($BI7=1,$BL7=1,$BH7&gt;0),IF($BI7=1,SUM('Final Calculation Sheet'!$K$4:$K$40),IF($BL7=1,SUM('Final Calculation Sheet'!$K$4:$K$40)-SUMIFS('Final Calculation Sheet'!$K$4:$K$40,$AZ$5:$AZ$41,10),SUMIFS('Final Calculation Sheet'!$K$4:$K$40,$AZ$5:$AZ$41,$BH7))),""))</f>
        <v>12201</v>
      </c>
      <c r="M7" s="70">
        <f>IF($BJ7&gt;0,IF(INDEX('Final Calculation Sheet'!$L$4:$L$40,$BJ7-3)="","",INDEX('Final Calculation Sheet'!$L$4:$L$40,$BJ7-3)),IF(OR($BI7=1,$BL7=1,$BH7&gt;0),IF($BI7=1,SUM('Final Calculation Sheet'!$L$4:$L$40),IF($BL7=1,SUM('Final Calculation Sheet'!$L$4:$L$40)-SUMIFS('Final Calculation Sheet'!$L$4:$L$40,$AZ$5:$AZ$41,10),SUMIFS('Final Calculation Sheet'!$L$4:$L$40,$AZ$5:$AZ$41,$BH7))),""))</f>
        <v>517</v>
      </c>
      <c r="N7" s="70">
        <f>IF($BJ7&gt;0,IF(INDEX('Final Calculation Sheet'!$M$4:$M$40,$BJ7-3)="","",INDEX('Final Calculation Sheet'!$M$4:$M$40,$BJ7-3)),IF(OR($BI7=1,$BL7=1,$BH7&gt;0),IF($BI7=1,SUM('Final Calculation Sheet'!$M$4:$M$40),IF($BL7=1,SUM('Final Calculation Sheet'!$M$4:$M$40)-SUMIFS('Final Calculation Sheet'!$M$4:$M$40,$AZ$5:$AZ$41,10),SUMIFS('Final Calculation Sheet'!$M$4:$M$40,$AZ$5:$AZ$41,$BH7))),""))</f>
        <v>13726.349999999999</v>
      </c>
      <c r="O7" s="71">
        <f>IF($BJ7&gt;0,IF(INDEX('Final Calculation Sheet'!$N$4:$N$40,$BJ7-3)="","",INDEX('Final Calculation Sheet'!$N$4:$N$40,$BJ7-3)),IF(OR($BI7=1,$BL7=1,$BH7&gt;0),IF($BI7=1,SUM('Final Calculation Sheet'!$N$4:$N$40),IF($BL7=1,SUM('Final Calculation Sheet'!$N$4:$N$40)-SUMIFS('Final Calculation Sheet'!$N$4:$N$40,$AZ$5:$AZ$41,10),SUMIFS('Final Calculation Sheet'!$N$4:$N$40,$AZ$5:$AZ$41,$BH7))),""))</f>
        <v>232.65</v>
      </c>
      <c r="P7" s="70">
        <f>IF($BJ7&gt;0,IF(INDEX('Final Calculation Sheet'!$O$4:$O$40,$BJ7-3)="","",INDEX('Final Calculation Sheet'!$O$4:$O$40,$BJ7-3)),IF(OR($BI7=1,$BL7=1,$BH7&gt;0),IF($BI7=1,SUM('Final Calculation Sheet'!$O$4:$O$40),IF($BL7=1,SUM('Final Calculation Sheet'!$O$4:$O$40)-SUMIFS('Final Calculation Sheet'!$O$4:$O$40,$AZ$5:$AZ$41,10),SUMIFS('Final Calculation Sheet'!$O$4:$O$40,$AZ$5:$AZ$41,$BH7))),""))</f>
        <v>13493.699999999999</v>
      </c>
      <c r="Q7" s="70">
        <f>IF($BJ7&gt;0,IF(INDEX('Final Calculation Sheet'!$P$4:$P$40,$BJ7-3)="","",INDEX('Final Calculation Sheet'!$P$4:$P$40,$BJ7-3)),IF(OR($BI7=1,$BL7=1,$BH7&gt;0),IF($BI7=1,SUM('Final Calculation Sheet'!$P$4:$P$40),IF($BL7=1,SUM('Final Calculation Sheet'!$P$4:$P$40)-SUMIFS('Final Calculation Sheet'!$P$4:$P$40,$AZ$5:$AZ$41,10),SUMIFS('Final Calculation Sheet'!$P$4:$P$40,$AZ$5:$AZ$41,$BH7))),""))</f>
        <v>14011</v>
      </c>
      <c r="R7" s="72">
        <f>IF($BJ7&gt;0,IF(INDEX('Final Calculation Sheet'!$Q$4:$Q$40,$BJ7-3)="","",INDEX('Final Calculation Sheet'!$Q$4:$Q$40,$BJ7-3)),IF(OR($BI7=1,$BL7=1,$BH7&gt;0),"–",""))</f>
        <v>0</v>
      </c>
      <c r="S7" s="70">
        <f>IF($BJ7&gt;0,IF(INDEX('Final Calculation Sheet'!$R$4:$R$40,$BJ7-3)="","",INDEX('Final Calculation Sheet'!$R$4:$R$40,$BJ7-3)),IF(OR($BI7=1,$BL7=1,$BH7&gt;0),IF($BI7=1,SUM('Final Calculation Sheet'!$R$4:$R$40),IF($BL7=1,SUM('Final Calculation Sheet'!$R$4:$R$40)-SUMIFS('Final Calculation Sheet'!$R$4:$R$40,$AZ$5:$AZ$41,10),SUMIFS('Final Calculation Sheet'!$R$4:$R$40,$AZ$5:$AZ$41,$BH7))),""))</f>
        <v>0</v>
      </c>
      <c r="T7" s="70">
        <f>IF($BJ7&gt;0,IF(INDEX('Final Calculation Sheet'!$S$4:$S$40,$BJ7-3)="","",INDEX('Final Calculation Sheet'!$S$4:$S$40,$BJ7-3)),IF(OR($BI7=1,$BL7=1,$BH7&gt;0),IF($BI7=1,SUM('Final Calculation Sheet'!$S$4:$S$40),IF($BL7=1,SUM('Final Calculation Sheet'!$S$4:$S$40)-SUMIFS('Final Calculation Sheet'!$S$4:$S$40,$AZ$5:$AZ$41,10),SUMIFS('Final Calculation Sheet'!$S$4:$S$40,$AZ$5:$AZ$41,$BH7))),""))</f>
        <v>608251</v>
      </c>
      <c r="U7" s="70">
        <f>IF($BJ7&gt;0,IF(INDEX('Final Calculation Sheet'!$T$4:$T$40,$BJ7-3)="","",INDEX('Final Calculation Sheet'!$T$4:$T$40,$BJ7-3)),IF(OR($BI7=1,$BL7=1,$BH7&gt;0),IF($BI7=1,SUM('Final Calculation Sheet'!$T$4:$T$40),IF($BL7=1,SUM('Final Calculation Sheet'!$T$4:$T$40)-SUMIFS('Final Calculation Sheet'!$T$4:$T$40,$AZ$5:$AZ$41,10),SUMIFS('Final Calculation Sheet'!$T$4:$T$40,$AZ$5:$AZ$41,$BH7))),""))</f>
        <v>129250</v>
      </c>
      <c r="V7" s="73">
        <f>IF($BJ7&gt;0,IF(INDEX('Final Calculation Sheet'!$U$4:$U$40,$BJ7-3)="","",INDEX('Final Calculation Sheet'!$U$4:$U$40,$BJ7-3)),IF(OR($BI7=1,$BL7=1,$BH7&gt;0),IF($BI7=1,SUM('Final Calculation Sheet'!$U$4:$U$40),IF($BL7=1,SUM('Final Calculation Sheet'!$U$4:$U$40)-SUMIFS('Final Calculation Sheet'!$U$4:$U$40,$AZ$5:$AZ$41,10),SUMIFS('Final Calculation Sheet'!$U$4:$U$40,$AZ$5:$AZ$41,$BH7))),""))</f>
        <v>129250</v>
      </c>
      <c r="W7" s="70" t="str">
        <f>IF($BJ7&gt;0,IF(INDEX('Final Calculation Sheet'!$V$4:$V$40,$BJ7-3)="","",INDEX('Final Calculation Sheet'!$V$4:$V$40,$BJ7-3)),IF(OR($BI7=1,$BL7=1,$BH7&gt;0),"–",""))</f>
        <v>14.08.2026</v>
      </c>
      <c r="X7" s="70">
        <f>IF($BJ7&gt;0,IF(INDEX('Final Calculation Sheet'!$W$4:$W$40,$BJ7-3)="","",INDEX('Final Calculation Sheet'!$W$4:$W$40,$BJ7-3)),IF(OR($BI7=1,$BL7=1,$BH7&gt;0),IF($BI7=1,SUM('Final Calculation Sheet'!$W$4:$W$40),IF($BL7=1,SUM('Final Calculation Sheet'!$W$4:$W$40)-SUMIFS('Final Calculation Sheet'!$W$4:$W$40,$AZ$5:$AZ$41,10),SUMIFS('Final Calculation Sheet'!$W$4:$W$40,$AZ$5:$AZ$41,$BH7))),""))</f>
        <v>479001</v>
      </c>
      <c r="Y7" s="70">
        <f>IF($BJ7&gt;0,IF(INDEX('Final Calculation Sheet'!$X$4:$X$40,$BJ7-3)="","",INDEX('Final Calculation Sheet'!$X$4:$X$40,$BJ7-3)),IF(OR($BI7=1,$BL7=1,$BH7&gt;0),IF($BI7=1,SUM('Final Calculation Sheet'!$X$4:$X$40),IF($BL7=1,SUM('Final Calculation Sheet'!$X$4:$X$40)-SUMIFS('Final Calculation Sheet'!$X$4:$X$40,$AZ$5:$AZ$41,10),SUMIFS('Final Calculation Sheet'!$X$4:$X$40,$AZ$5:$AZ$41,$BH7))),""))</f>
        <v>479001</v>
      </c>
      <c r="Z7" s="70" t="str">
        <f>IF($BJ7&gt;0,IF(INDEX('Final Calculation Sheet'!$Y$4:$Y$40,$BJ7-3)="","",INDEX('Final Calculation Sheet'!$Y$4:$Y$40,$BJ7-3)),IF(OR($BI7=1,$BL7=1,$BH7&gt;0),"–",""))</f>
        <v>21.08.2026</v>
      </c>
      <c r="AA7" s="70">
        <f ca="1">IF($BJ7&gt;0,IF(INDEX('Final Calculation Sheet'!$Z$4:$Z$40,$BJ7-3)="","",INDEX('Final Calculation Sheet'!$Z$4:$Z$40,$BJ7-3)),IF(OR($BI7=1,$BL7=1,$BH7&gt;0),IF($BI7=1,SUM('Final Calculation Sheet'!$Z$4:$Z$40),IF($BL7=1,SUM('Final Calculation Sheet'!$Z$4:$Z$40)-SUMIFS('Final Calculation Sheet'!$Z$4:$Z$40,$AZ$5:$AZ$41,10),SUMIFS('Final Calculation Sheet'!$Z$4:$Z$40,$AZ$5:$AZ$41,$BH7))),""))</f>
        <v>0</v>
      </c>
      <c r="AB7" s="70" t="str">
        <f>IF($BJ7&gt;0,IF(INDEX('Final Calculation Sheet'!$AA$4:$AA$40,$BJ7-3)="","",INDEX('Final Calculation Sheet'!$AA$4:$AA$40,$BJ7-3)),IF(OR($BI7=1,$BL7=1,$BH7&gt;0),IF($BI7=1,SUM('Final Calculation Sheet'!$AA$4:$AA$40),IF($BL7=1,SUM('Final Calculation Sheet'!$AA$4:$AA$40)-SUMIFS('Final Calculation Sheet'!$AA$4:$AA$40,$AZ$5:$AZ$41,10),SUMIFS('Final Calculation Sheet'!$AA$4:$AA$40,$AZ$5:$AZ$41,$BH7))),""))</f>
        <v/>
      </c>
      <c r="AC7" s="70" t="str">
        <f>IF($BJ7&gt;0,IF(INDEX('Final Calculation Sheet'!$AB$4:$AB$40,$BJ7-3)="","",INDEX('Final Calculation Sheet'!$AB$4:$AB$40,$BJ7-3)),IF(OR($BI7=1,$BL7=1,$BH7&gt;0),"–",""))</f>
        <v/>
      </c>
      <c r="AD7" s="70">
        <f>IF($BJ7&gt;0,IF(INDEX('Final Calculation Sheet'!$AC$4:$AC$40,$BJ7-3)="","",INDEX('Final Calculation Sheet'!$AC$4:$AC$40,$BJ7-3)),IF(OR($BI7=1,$BL7=1,$BH7&gt;0),IF($BI7=1,SUM('Final Calculation Sheet'!$AC$4:$AC$40),IF($BL7=1,SUM('Final Calculation Sheet'!$AC$4:$AC$40)-SUMIFS('Final Calculation Sheet'!$AC$4:$AC$40,$AZ$5:$AZ$41,10),SUMIFS('Final Calculation Sheet'!$AC$4:$AC$40,$AZ$5:$AZ$41,$BH7))),""))</f>
        <v>608251</v>
      </c>
      <c r="AE7" s="70">
        <f>IF($BJ7&gt;0,IF(INDEX('Final Calculation Sheet'!$AD$4:$AD$40,$BJ7-3)="","",INDEX('Final Calculation Sheet'!$AD$4:$AD$40,$BJ7-3)),IF(OR($BI7=1,$BL7=1,$BH7&gt;0),IF($BI7=1,SUM('Final Calculation Sheet'!$AD$4:$AD$40),IF($BL7=1,SUM('Final Calculation Sheet'!$AD$4:$AD$40)-SUMIFS('Final Calculation Sheet'!$AD$4:$AD$40,$AZ$5:$AZ$41,10),SUMIFS('Final Calculation Sheet'!$AD$4:$AD$40,$AZ$5:$AZ$41,$BH7))),""))</f>
        <v>0</v>
      </c>
      <c r="AF7" s="70" t="str">
        <f>IF($BJ7&gt;0,IF(INDEX('Final Calculation Sheet'!$AE$4:$AE$40,$BJ7-3)="","",INDEX('Final Calculation Sheet'!$AE$4:$AE$40,$BJ7-3)),IF(OR($BI7=1,$BL7=1,$BH7&gt;0),"–",""))</f>
        <v>DR2640100042</v>
      </c>
      <c r="AG7" s="74">
        <f>IF($BJ7&gt;0,IF(INDEX('Final Calculation Sheet'!$AF$4:$AF$40,$BJ7-3)="","",INDEX('Final Calculation Sheet'!$AF$4:$AF$40,$BJ7-3)),IF(OR($BI7=1,$BL7=1,$BH7&gt;0),"–",""))</f>
        <v>1800003317</v>
      </c>
      <c r="AH7" s="70" t="str">
        <f>IF($BJ7&gt;0,IF(INDEX('Final Calculation Sheet'!$AG$4:$AG$40,$BJ7-3)="","",INDEX('Final Calculation Sheet'!$AG$4:$AG$40,$BJ7-3)),IF(OR($BI7=1,$BL7=1,$BH7&gt;0),"–",""))</f>
        <v>27.08.2026</v>
      </c>
      <c r="AI7" s="75" t="str">
        <f>IF($BJ7&gt;0,IF(INDEX('Final Calculation Sheet'!$AD$4:$AD$40,$BJ7-3)="","",IF(INDEX('Final Calculation Sheet'!$AD$4:$AD$40,$BJ7-3)&lt;=0,"SETTLED","OUTSTANDING")),IF(OR($BI7=1,$BL7=1,$BH7&gt;0),IF(IF($BI7=1,SUM('Final Calculation Sheet'!$AD$4:$AD$40),IF($BL7=1,SUM('Final Calculation Sheet'!$AD$4:$AD$40)-SUMIFS('Final Calculation Sheet'!$AD$4:$AD$40,$AZ$5:$AZ$41,10),SUMIFS('Final Calculation Sheet'!$AD$4:$AD$40,$AZ$5:$AZ$41,$BH7)))&lt;=0,"ALL SETTLED","OUTSTANDING"),""))</f>
        <v>SETTLED</v>
      </c>
      <c r="AK7" t="str">
        <f>IF($F$3="Lot No.",'Final Calculation Sheet'!$F$6,IF($F$3="Buyer",'Final Calculation Sheet'!$G$6,IF($F$3="Lot Name",'Final Calculation Sheet'!$B$6,IF($F$3="Bid Sheet",'Final Calculation Sheet'!$D$6,IF($F$3="Unit",'Final Calculation Sheet'!$E$6,'Final Calculation Sheet'!$F$6&amp;" "&amp;'Final Calculation Sheet'!$G$6&amp;" "&amp;'Final Calculation Sheet'!$B$6)))))</f>
        <v>1875 F R KHANS ENTERPRISES Scrap of Copper of faulty AC compressor</v>
      </c>
      <c r="AM7">
        <f t="shared" si="1"/>
        <v>0</v>
      </c>
      <c r="AO7" t="s">
        <v>2</v>
      </c>
      <c r="AR7" t="str">
        <f>IF($AR$4="","",IF($AR$5=99999,"",MID($AR$4,$AR$5,1)))</f>
        <v>,</v>
      </c>
      <c r="AS7" t="str">
        <f>IF($AS$4="","",IF($AS$5=99999,"",MID($AS$4,$AS$5,1)))</f>
        <v/>
      </c>
      <c r="AT7" t="str">
        <f>IF($AT$4="","",IF($AT$5=99999,"",MID($AT$4,$AT$5,1)))</f>
        <v/>
      </c>
      <c r="AU7" t="str">
        <f>IF($AU$4="","",IF($AU$5=99999,"",MID($AU$4,$AU$5,1)))</f>
        <v/>
      </c>
      <c r="AV7" t="str">
        <f>IF($AV$4="","",IF($AV$5=99999,"",MID($AV$4,$AV$5,1)))</f>
        <v/>
      </c>
      <c r="AW7" t="str">
        <f>IF($AW$4="","",IF($AW$5=99999,"",MID($AW$4,$AW$5,1)))</f>
        <v/>
      </c>
      <c r="AX7" t="str">
        <f>IF($AX$4="","",IF($AX$5=99999,"",MID($AX$4,$AX$5,1)))</f>
        <v/>
      </c>
      <c r="AY7" t="str">
        <f>IF($AY$4="","",IF($AY$5=99999,"",MID($AY$4,$AY$5,1)))</f>
        <v/>
      </c>
      <c r="AZ7">
        <f t="shared" si="2"/>
        <v>10</v>
      </c>
      <c r="BA7">
        <f t="shared" si="3"/>
        <v>2</v>
      </c>
      <c r="BB7">
        <f t="shared" si="4"/>
        <v>18</v>
      </c>
      <c r="BC7">
        <v>6</v>
      </c>
      <c r="BD7">
        <f>COUNTIF($AZ$5:$AZ$41,4)</f>
        <v>0</v>
      </c>
      <c r="BE7">
        <f t="shared" si="5"/>
        <v>16</v>
      </c>
      <c r="BF7">
        <f t="shared" si="0"/>
        <v>0</v>
      </c>
      <c r="BH7">
        <f>IFERROR(MATCH(7,$BF$4:$BF$13,0),0)</f>
        <v>0</v>
      </c>
      <c r="BI7">
        <f>IF(7=$BG$5,1,0)</f>
        <v>0</v>
      </c>
      <c r="BJ7">
        <f>IF(OR($BH7&gt;0,$BI7=1,$BL7=1),0,IFERROR(INDEX($BC$5:$BC$41,MATCH(7,$BB$5:$BB$41,0)),0))</f>
        <v>25</v>
      </c>
      <c r="BK7">
        <f>IF($BJ7&gt;0,IF(INDEX($AZ$5:$AZ$41,MATCH(7,$BB$5:$BB$41,0))=10,1,0),IF($BH7=10,1,0))</f>
        <v>0</v>
      </c>
      <c r="BL7">
        <f>IF(7=$BG$4,1,0)</f>
        <v>0</v>
      </c>
    </row>
    <row r="8" spans="1:64" ht="15" customHeight="1" x14ac:dyDescent="0.25">
      <c r="A8" s="67">
        <f>IF($BJ8&gt;0,INDEX($BA$5:$BA$41,MATCH(8,$BB$5:$BB$41,0)),IF(OR($BI8=1,$BL8=1,$BH8&gt;0),"∑",""))</f>
        <v>4</v>
      </c>
      <c r="B8" s="68">
        <f>IF($BJ8&gt;0,IF(INDEX('Final Calculation Sheet'!$F$4:$F$40,$BJ8-3)="","",INDEX('Final Calculation Sheet'!$F$4:$F$40,$BJ8-3)),"")</f>
        <v>2067</v>
      </c>
      <c r="C8" s="68" t="str">
        <f>IF($BJ8&gt;0,IF(INDEX('Final Calculation Sheet'!$G$4:$G$40,$BJ8-3)="","",INDEX('Final Calculation Sheet'!$G$4:$G$40,$BJ8-3)),IF(OR($BI8=1,$BL8=1,$BH8&gt;0),IF($BI8=1,37,IF($BL8=1,37-INDEX($BD$4:$BD$13,10),INDEX($BD$4:$BD$13,$BH8)))&amp;" lot(s)",""))</f>
        <v>WATAN SCRAP TRADERS</v>
      </c>
      <c r="D8" s="69" t="str">
        <f>IF($BJ8&gt;0,IF(INDEX('Final Calculation Sheet'!$B$4:$B$40,$BJ8-3)="","",INDEX('Final Calculation Sheet'!$B$4:$B$40,$BJ8-3)),IF(OR($BI8=1,$BL8=1,$BH8&gt;0),IF($BI8=1,"GRAND TOTAL  —  matching + remaining",IF($BL8=1,"TOTAL MATCHED  —  every group together",IF($BH8=10,"REMAINING  —  did not match the search",IF($BH8=9,"ALL LOTS  —  nothing typed in the box","GROUP "&amp;$BH8&amp;" TOTAL  —  lots matching  "&amp;INDEX($AR$6:$AY$6,$BH8))))),""))</f>
        <v>Scrap of empty oil drums</v>
      </c>
      <c r="E8" s="69">
        <f>IF($BJ8&gt;0,IF(INDEX('Final Calculation Sheet'!$D$4:$D$40,$BJ8-3)="","",INDEX('Final Calculation Sheet'!$D$4:$D$40,$BJ8-3)),IF(OR($BI8=1,$BL8=1,$BH8&gt;0),"–",""))</f>
        <v>21980</v>
      </c>
      <c r="F8" s="69">
        <f>IF($BJ8&gt;0,IF(INDEX('Final Calculation Sheet'!$A$4:$A$40,$BJ8-3)="","",INDEX('Final Calculation Sheet'!$A$4:$A$40,$BJ8-3)),IF(OR($BI8=1,$BL8=1,$BH8&gt;0),IF($BI8=1,SUM('Final Calculation Sheet'!$A$4:$A$40),IF($BL8=1,SUM('Final Calculation Sheet'!$A$4:$A$40)-SUMIFS('Final Calculation Sheet'!$A$4:$A$40,$AZ$5:$AZ$41,10),SUMIFS('Final Calculation Sheet'!$A$4:$A$40,$AZ$5:$AZ$41,$BH8))),""))</f>
        <v>150</v>
      </c>
      <c r="G8" s="69" t="str">
        <f>IF($BJ8&gt;0,IF(INDEX('Final Calculation Sheet'!$E$4:$E$40,$BJ8-3)="","",INDEX('Final Calculation Sheet'!$E$4:$E$40,$BJ8-3)),IF(OR($BI8=1,$BL8=1,$BH8&gt;0),"–",""))</f>
        <v>NO</v>
      </c>
      <c r="H8" s="70">
        <f>IF($BJ8&gt;0,IF(INDEX('Final Calculation Sheet'!$C$4:$C$40,$BJ8-3)="","",INDEX('Final Calculation Sheet'!$C$4:$C$40,$BJ8-3)),IF(OR($BI8=1,$BL8=1,$BH8&gt;0),"–",""))</f>
        <v>571</v>
      </c>
      <c r="I8" s="70">
        <f>IF($BJ8&gt;0,IF(INDEX('Final Calculation Sheet'!$H$4:$H$40,$BJ8-3)="","",INDEX('Final Calculation Sheet'!$H$4:$H$40,$BJ8-3)),IF(OR($BI8=1,$BL8=1,$BH8&gt;0),IF($BI8=1,SUM('Final Calculation Sheet'!$H$4:$H$40),IF($BL8=1,SUM('Final Calculation Sheet'!$H$4:$H$40)-SUMIFS('Final Calculation Sheet'!$H$4:$H$40,$AZ$5:$AZ$41,10),SUMIFS('Final Calculation Sheet'!$H$4:$H$40,$AZ$5:$AZ$41,$BH8))),""))</f>
        <v>85650</v>
      </c>
      <c r="J8" s="70">
        <f>IF($BJ8&gt;0,IF(INDEX('Final Calculation Sheet'!$I$4:$I$40,$BJ8-3)="","",INDEX('Final Calculation Sheet'!$I$4:$I$40,$BJ8-3)),IF(OR($BI8=1,$BL8=1,$BH8&gt;0),IF($BI8=1,SUM('Final Calculation Sheet'!$I$4:$I$40),IF($BL8=1,SUM('Final Calculation Sheet'!$I$4:$I$40)-SUMIFS('Final Calculation Sheet'!$I$4:$I$40,$AZ$5:$AZ$41,10),SUMIFS('Final Calculation Sheet'!$I$4:$I$40,$AZ$5:$AZ$41,$BH8))),""))</f>
        <v>15417</v>
      </c>
      <c r="K8" s="70">
        <f>IF($BJ8&gt;0,IF(INDEX('Final Calculation Sheet'!$J$4:$J$40,$BJ8-3)="","",INDEX('Final Calculation Sheet'!$J$4:$J$40,$BJ8-3)),IF(OR($BI8=1,$BL8=1,$BH8&gt;0),IF($BI8=1,SUM('Final Calculation Sheet'!$J$4:$J$40),IF($BL8=1,SUM('Final Calculation Sheet'!$J$4:$J$40)-SUMIFS('Final Calculation Sheet'!$J$4:$J$40,$AZ$5:$AZ$41,10),SUMIFS('Final Calculation Sheet'!$J$4:$J$40,$AZ$5:$AZ$41,$BH8))),""))</f>
        <v>101067</v>
      </c>
      <c r="L8" s="70">
        <f>IF($BJ8&gt;0,IF(INDEX('Final Calculation Sheet'!$K$4:$K$40,$BJ8-3)="","",INDEX('Final Calculation Sheet'!$K$4:$K$40,$BJ8-3)),IF(OR($BI8=1,$BL8=1,$BH8&gt;0),IF($BI8=1,SUM('Final Calculation Sheet'!$K$4:$K$40),IF($BL8=1,SUM('Final Calculation Sheet'!$K$4:$K$40)-SUMIFS('Final Calculation Sheet'!$K$4:$K$40,$AZ$5:$AZ$41,10),SUMIFS('Final Calculation Sheet'!$K$4:$K$40,$AZ$5:$AZ$41,$BH8))),""))</f>
        <v>2021</v>
      </c>
      <c r="M8" s="70">
        <f>IF($BJ8&gt;0,IF(INDEX('Final Calculation Sheet'!$L$4:$L$40,$BJ8-3)="","",INDEX('Final Calculation Sheet'!$L$4:$L$40,$BJ8-3)),IF(OR($BI8=1,$BL8=1,$BH8&gt;0),IF($BI8=1,SUM('Final Calculation Sheet'!$L$4:$L$40),IF($BL8=1,SUM('Final Calculation Sheet'!$L$4:$L$40)-SUMIFS('Final Calculation Sheet'!$L$4:$L$40,$AZ$5:$AZ$41,10),SUMIFS('Final Calculation Sheet'!$L$4:$L$40,$AZ$5:$AZ$41,$BH8))),""))</f>
        <v>85.65</v>
      </c>
      <c r="N8" s="70">
        <f>IF($BJ8&gt;0,IF(INDEX('Final Calculation Sheet'!$M$4:$M$40,$BJ8-3)="","",INDEX('Final Calculation Sheet'!$M$4:$M$40,$BJ8-3)),IF(OR($BI8=1,$BL8=1,$BH8&gt;0),IF($BI8=1,SUM('Final Calculation Sheet'!$M$4:$M$40),IF($BL8=1,SUM('Final Calculation Sheet'!$M$4:$M$40)-SUMIFS('Final Calculation Sheet'!$M$4:$M$40,$AZ$5:$AZ$41,10),SUMIFS('Final Calculation Sheet'!$M$4:$M$40,$AZ$5:$AZ$41,$BH8))),""))</f>
        <v>2274.0074999999997</v>
      </c>
      <c r="O8" s="71">
        <f>IF($BJ8&gt;0,IF(INDEX('Final Calculation Sheet'!$N$4:$N$40,$BJ8-3)="","",INDEX('Final Calculation Sheet'!$N$4:$N$40,$BJ8-3)),IF(OR($BI8=1,$BL8=1,$BH8&gt;0),IF($BI8=1,SUM('Final Calculation Sheet'!$N$4:$N$40),IF($BL8=1,SUM('Final Calculation Sheet'!$N$4:$N$40)-SUMIFS('Final Calculation Sheet'!$N$4:$N$40,$AZ$5:$AZ$41,10),SUMIFS('Final Calculation Sheet'!$N$4:$N$40,$AZ$5:$AZ$41,$BH8))),""))</f>
        <v>38.542500000000004</v>
      </c>
      <c r="P8" s="70">
        <f>IF($BJ8&gt;0,IF(INDEX('Final Calculation Sheet'!$O$4:$O$40,$BJ8-3)="","",INDEX('Final Calculation Sheet'!$O$4:$O$40,$BJ8-3)),IF(OR($BI8=1,$BL8=1,$BH8&gt;0),IF($BI8=1,SUM('Final Calculation Sheet'!$O$4:$O$40),IF($BL8=1,SUM('Final Calculation Sheet'!$O$4:$O$40)-SUMIFS('Final Calculation Sheet'!$O$4:$O$40,$AZ$5:$AZ$41,10),SUMIFS('Final Calculation Sheet'!$O$4:$O$40,$AZ$5:$AZ$41,$BH8))),""))</f>
        <v>2235.4649999999997</v>
      </c>
      <c r="Q8" s="70">
        <f>IF($BJ8&gt;0,IF(INDEX('Final Calculation Sheet'!$P$4:$P$40,$BJ8-3)="","",INDEX('Final Calculation Sheet'!$P$4:$P$40,$BJ8-3)),IF(OR($BI8=1,$BL8=1,$BH8&gt;0),IF($BI8=1,SUM('Final Calculation Sheet'!$P$4:$P$40),IF($BL8=1,SUM('Final Calculation Sheet'!$P$4:$P$40)-SUMIFS('Final Calculation Sheet'!$P$4:$P$40,$AZ$5:$AZ$41,10),SUMIFS('Final Calculation Sheet'!$P$4:$P$40,$AZ$5:$AZ$41,$BH8))),""))</f>
        <v>2321</v>
      </c>
      <c r="R8" s="72">
        <f>IF($BJ8&gt;0,IF(INDEX('Final Calculation Sheet'!$Q$4:$Q$40,$BJ8-3)="","",INDEX('Final Calculation Sheet'!$Q$4:$Q$40,$BJ8-3)),IF(OR($BI8=1,$BL8=1,$BH8&gt;0),"–",""))</f>
        <v>0</v>
      </c>
      <c r="S8" s="70">
        <f>IF($BJ8&gt;0,IF(INDEX('Final Calculation Sheet'!$R$4:$R$40,$BJ8-3)="","",INDEX('Final Calculation Sheet'!$R$4:$R$40,$BJ8-3)),IF(OR($BI8=1,$BL8=1,$BH8&gt;0),IF($BI8=1,SUM('Final Calculation Sheet'!$R$4:$R$40),IF($BL8=1,SUM('Final Calculation Sheet'!$R$4:$R$40)-SUMIFS('Final Calculation Sheet'!$R$4:$R$40,$AZ$5:$AZ$41,10),SUMIFS('Final Calculation Sheet'!$R$4:$R$40,$AZ$5:$AZ$41,$BH8))),""))</f>
        <v>0</v>
      </c>
      <c r="T8" s="70">
        <f>IF($BJ8&gt;0,IF(INDEX('Final Calculation Sheet'!$S$4:$S$40,$BJ8-3)="","",INDEX('Final Calculation Sheet'!$S$4:$S$40,$BJ8-3)),IF(OR($BI8=1,$BL8=1,$BH8&gt;0),IF($BI8=1,SUM('Final Calculation Sheet'!$S$4:$S$40),IF($BL8=1,SUM('Final Calculation Sheet'!$S$4:$S$40)-SUMIFS('Final Calculation Sheet'!$S$4:$S$40,$AZ$5:$AZ$41,10),SUMIFS('Final Calculation Sheet'!$S$4:$S$40,$AZ$5:$AZ$41,$BH8))),""))</f>
        <v>100767</v>
      </c>
      <c r="U8" s="70">
        <f>IF($BJ8&gt;0,IF(INDEX('Final Calculation Sheet'!$T$4:$T$40,$BJ8-3)="","",INDEX('Final Calculation Sheet'!$T$4:$T$40,$BJ8-3)),IF(OR($BI8=1,$BL8=1,$BH8&gt;0),IF($BI8=1,SUM('Final Calculation Sheet'!$T$4:$T$40),IF($BL8=1,SUM('Final Calculation Sheet'!$T$4:$T$40)-SUMIFS('Final Calculation Sheet'!$T$4:$T$40,$AZ$5:$AZ$41,10),SUMIFS('Final Calculation Sheet'!$T$4:$T$40,$AZ$5:$AZ$41,$BH8))),""))</f>
        <v>21413</v>
      </c>
      <c r="V8" s="73">
        <f>IF($BJ8&gt;0,IF(INDEX('Final Calculation Sheet'!$U$4:$U$40,$BJ8-3)="","",INDEX('Final Calculation Sheet'!$U$4:$U$40,$BJ8-3)),IF(OR($BI8=1,$BL8=1,$BH8&gt;0),IF($BI8=1,SUM('Final Calculation Sheet'!$U$4:$U$40),IF($BL8=1,SUM('Final Calculation Sheet'!$U$4:$U$40)-SUMIFS('Final Calculation Sheet'!$U$4:$U$40,$AZ$5:$AZ$41,10),SUMIFS('Final Calculation Sheet'!$U$4:$U$40,$AZ$5:$AZ$41,$BH8))),""))</f>
        <v>21413</v>
      </c>
      <c r="W8" s="70" t="str">
        <f>IF($BJ8&gt;0,IF(INDEX('Final Calculation Sheet'!$V$4:$V$40,$BJ8-3)="","",INDEX('Final Calculation Sheet'!$V$4:$V$40,$BJ8-3)),IF(OR($BI8=1,$BL8=1,$BH8&gt;0),"–",""))</f>
        <v>14.08.2026</v>
      </c>
      <c r="X8" s="70">
        <f>IF($BJ8&gt;0,IF(INDEX('Final Calculation Sheet'!$W$4:$W$40,$BJ8-3)="","",INDEX('Final Calculation Sheet'!$W$4:$W$40,$BJ8-3)),IF(OR($BI8=1,$BL8=1,$BH8&gt;0),IF($BI8=1,SUM('Final Calculation Sheet'!$W$4:$W$40),IF($BL8=1,SUM('Final Calculation Sheet'!$W$4:$W$40)-SUMIFS('Final Calculation Sheet'!$W$4:$W$40,$AZ$5:$AZ$41,10),SUMIFS('Final Calculation Sheet'!$W$4:$W$40,$AZ$5:$AZ$41,$BH8))),""))</f>
        <v>79355</v>
      </c>
      <c r="Y8" s="70">
        <f>IF($BJ8&gt;0,IF(INDEX('Final Calculation Sheet'!$X$4:$X$40,$BJ8-3)="","",INDEX('Final Calculation Sheet'!$X$4:$X$40,$BJ8-3)),IF(OR($BI8=1,$BL8=1,$BH8&gt;0),IF($BI8=1,SUM('Final Calculation Sheet'!$X$4:$X$40),IF($BL8=1,SUM('Final Calculation Sheet'!$X$4:$X$40)-SUMIFS('Final Calculation Sheet'!$X$4:$X$40,$AZ$5:$AZ$41,10),SUMIFS('Final Calculation Sheet'!$X$4:$X$40,$AZ$5:$AZ$41,$BH8))),""))</f>
        <v>79354</v>
      </c>
      <c r="Z8" s="70" t="str">
        <f>IF($BJ8&gt;0,IF(INDEX('Final Calculation Sheet'!$Y$4:$Y$40,$BJ8-3)="","",INDEX('Final Calculation Sheet'!$Y$4:$Y$40,$BJ8-3)),IF(OR($BI8=1,$BL8=1,$BH8&gt;0),"–",""))</f>
        <v>20.08.2026</v>
      </c>
      <c r="AA8" s="70">
        <f ca="1">IF($BJ8&gt;0,IF(INDEX('Final Calculation Sheet'!$Z$4:$Z$40,$BJ8-3)="","",INDEX('Final Calculation Sheet'!$Z$4:$Z$40,$BJ8-3)),IF(OR($BI8=1,$BL8=1,$BH8&gt;0),IF($BI8=1,SUM('Final Calculation Sheet'!$Z$4:$Z$40),IF($BL8=1,SUM('Final Calculation Sheet'!$Z$4:$Z$40)-SUMIFS('Final Calculation Sheet'!$Z$4:$Z$40,$AZ$5:$AZ$41,10),SUMIFS('Final Calculation Sheet'!$Z$4:$Z$40,$AZ$5:$AZ$41,$BH8))),""))</f>
        <v>0</v>
      </c>
      <c r="AB8" s="70" t="str">
        <f>IF($BJ8&gt;0,IF(INDEX('Final Calculation Sheet'!$AA$4:$AA$40,$BJ8-3)="","",INDEX('Final Calculation Sheet'!$AA$4:$AA$40,$BJ8-3)),IF(OR($BI8=1,$BL8=1,$BH8&gt;0),IF($BI8=1,SUM('Final Calculation Sheet'!$AA$4:$AA$40),IF($BL8=1,SUM('Final Calculation Sheet'!$AA$4:$AA$40)-SUMIFS('Final Calculation Sheet'!$AA$4:$AA$40,$AZ$5:$AZ$41,10),SUMIFS('Final Calculation Sheet'!$AA$4:$AA$40,$AZ$5:$AZ$41,$BH8))),""))</f>
        <v/>
      </c>
      <c r="AC8" s="70" t="str">
        <f>IF($BJ8&gt;0,IF(INDEX('Final Calculation Sheet'!$AB$4:$AB$40,$BJ8-3)="","",INDEX('Final Calculation Sheet'!$AB$4:$AB$40,$BJ8-3)),IF(OR($BI8=1,$BL8=1,$BH8&gt;0),"–",""))</f>
        <v/>
      </c>
      <c r="AD8" s="70">
        <f>IF($BJ8&gt;0,IF(INDEX('Final Calculation Sheet'!$AC$4:$AC$40,$BJ8-3)="","",INDEX('Final Calculation Sheet'!$AC$4:$AC$40,$BJ8-3)),IF(OR($BI8=1,$BL8=1,$BH8&gt;0),IF($BI8=1,SUM('Final Calculation Sheet'!$AC$4:$AC$40),IF($BL8=1,SUM('Final Calculation Sheet'!$AC$4:$AC$40)-SUMIFS('Final Calculation Sheet'!$AC$4:$AC$40,$AZ$5:$AZ$41,10),SUMIFS('Final Calculation Sheet'!$AC$4:$AC$40,$AZ$5:$AZ$41,$BH8))),""))</f>
        <v>100767</v>
      </c>
      <c r="AE8" s="70">
        <f>IF($BJ8&gt;0,IF(INDEX('Final Calculation Sheet'!$AD$4:$AD$40,$BJ8-3)="","",INDEX('Final Calculation Sheet'!$AD$4:$AD$40,$BJ8-3)),IF(OR($BI8=1,$BL8=1,$BH8&gt;0),IF($BI8=1,SUM('Final Calculation Sheet'!$AD$4:$AD$40),IF($BL8=1,SUM('Final Calculation Sheet'!$AD$4:$AD$40)-SUMIFS('Final Calculation Sheet'!$AD$4:$AD$40,$AZ$5:$AZ$41,10),SUMIFS('Final Calculation Sheet'!$AD$4:$AD$40,$AZ$5:$AZ$41,$BH8))),""))</f>
        <v>0</v>
      </c>
      <c r="AF8" s="70" t="str">
        <f>IF($BJ8&gt;0,IF(INDEX('Final Calculation Sheet'!$AE$4:$AE$40,$BJ8-3)="","",INDEX('Final Calculation Sheet'!$AE$4:$AE$40,$BJ8-3)),IF(OR($BI8=1,$BL8=1,$BH8&gt;0),"–",""))</f>
        <v>DR2640100027</v>
      </c>
      <c r="AG8" s="74">
        <f>IF($BJ8&gt;0,IF(INDEX('Final Calculation Sheet'!$AF$4:$AF$40,$BJ8-3)="","",INDEX('Final Calculation Sheet'!$AF$4:$AF$40,$BJ8-3)),IF(OR($BI8=1,$BL8=1,$BH8&gt;0),"–",""))</f>
        <v>1800003248</v>
      </c>
      <c r="AH8" s="70" t="str">
        <f>IF($BJ8&gt;0,IF(INDEX('Final Calculation Sheet'!$AG$4:$AG$40,$BJ8-3)="","",INDEX('Final Calculation Sheet'!$AG$4:$AG$40,$BJ8-3)),IF(OR($BI8=1,$BL8=1,$BH8&gt;0),"–",""))</f>
        <v>20.08.2026</v>
      </c>
      <c r="AI8" s="75" t="str">
        <f>IF($BJ8&gt;0,IF(INDEX('Final Calculation Sheet'!$AD$4:$AD$40,$BJ8-3)="","",IF(INDEX('Final Calculation Sheet'!$AD$4:$AD$40,$BJ8-3)&lt;=0,"SETTLED","OUTSTANDING")),IF(OR($BI8=1,$BL8=1,$BH8&gt;0),IF(IF($BI8=1,SUM('Final Calculation Sheet'!$AD$4:$AD$40),IF($BL8=1,SUM('Final Calculation Sheet'!$AD$4:$AD$40)-SUMIFS('Final Calculation Sheet'!$AD$4:$AD$40,$AZ$5:$AZ$41,10),SUMIFS('Final Calculation Sheet'!$AD$4:$AD$40,$AZ$5:$AZ$41,$BH8)))&lt;=0,"ALL SETTLED","OUTSTANDING"),""))</f>
        <v>SETTLED</v>
      </c>
      <c r="AK8" t="str">
        <f>IF($F$3="Lot No.",'Final Calculation Sheet'!$F$7,IF($F$3="Buyer",'Final Calculation Sheet'!$G$7,IF($F$3="Lot Name",'Final Calculation Sheet'!$B$7,IF($F$3="Bid Sheet",'Final Calculation Sheet'!$D$7,IF($F$3="Unit",'Final Calculation Sheet'!$E$7,'Final Calculation Sheet'!$F$7&amp;" "&amp;'Final Calculation Sheet'!$G$7&amp;" "&amp;'Final Calculation Sheet'!$B$7)))))</f>
        <v>1876 F R KHANS ENTERPRISES Scrap of MS (extracted from equip cage and empty Sf6 gas cylinder)</v>
      </c>
      <c r="AM8">
        <f t="shared" si="1"/>
        <v>0</v>
      </c>
      <c r="AO8" t="s">
        <v>4</v>
      </c>
      <c r="AR8">
        <v>1</v>
      </c>
      <c r="AS8">
        <f>IF($AR$7="+",$AR$8+1,$AR$8)</f>
        <v>1</v>
      </c>
      <c r="AT8">
        <f>IF($AS$7="+",$AS$8+1,$AS$8)</f>
        <v>1</v>
      </c>
      <c r="AU8">
        <f>IF($AT$7="+",$AT$8+1,$AT$8)</f>
        <v>1</v>
      </c>
      <c r="AV8">
        <f>IF($AU$7="+",$AU$8+1,$AU$8)</f>
        <v>1</v>
      </c>
      <c r="AW8">
        <f>IF($AV$7="+",$AV$8+1,$AV$8)</f>
        <v>1</v>
      </c>
      <c r="AX8">
        <f>IF($AW$7="+",$AW$8+1,$AW$8)</f>
        <v>1</v>
      </c>
      <c r="AY8">
        <f>IF($AX$7="+",$AX$8+1,$AX$8)</f>
        <v>1</v>
      </c>
      <c r="AZ8">
        <f t="shared" si="2"/>
        <v>10</v>
      </c>
      <c r="BA8">
        <f t="shared" si="3"/>
        <v>3</v>
      </c>
      <c r="BB8">
        <f t="shared" si="4"/>
        <v>19</v>
      </c>
      <c r="BC8">
        <v>7</v>
      </c>
      <c r="BD8">
        <f>COUNTIF($AZ$5:$AZ$41,5)</f>
        <v>0</v>
      </c>
      <c r="BE8">
        <f t="shared" si="5"/>
        <v>16</v>
      </c>
      <c r="BF8">
        <f t="shared" si="0"/>
        <v>0</v>
      </c>
      <c r="BH8">
        <f>IFERROR(MATCH(8,$BF$4:$BF$13,0),0)</f>
        <v>0</v>
      </c>
      <c r="BI8">
        <f>IF(8=$BG$5,1,0)</f>
        <v>0</v>
      </c>
      <c r="BJ8">
        <f>IF(OR($BH8&gt;0,$BI8=1,$BL8=1),0,IFERROR(INDEX($BC$5:$BC$41,MATCH(8,$BB$5:$BB$41,0)),0))</f>
        <v>35</v>
      </c>
      <c r="BK8">
        <f>IF($BJ8&gt;0,IF(INDEX($AZ$5:$AZ$41,MATCH(8,$BB$5:$BB$41,0))=10,1,0),IF($BH8=10,1,0))</f>
        <v>0</v>
      </c>
      <c r="BL8">
        <f>IF(8=$BG$4,1,0)</f>
        <v>0</v>
      </c>
    </row>
    <row r="9" spans="1:64" ht="15" customHeight="1" x14ac:dyDescent="0.25">
      <c r="A9" s="67" t="str">
        <f>IF($BJ9&gt;0,INDEX($BA$5:$BA$41,MATCH(9,$BB$5:$BB$41,0)),IF(OR($BI9=1,$BL9=1,$BH9&gt;0),"∑",""))</f>
        <v>∑</v>
      </c>
      <c r="B9" s="68" t="str">
        <f>IF($BJ9&gt;0,IF(INDEX('Final Calculation Sheet'!$F$4:$F$40,$BJ9-3)="","",INDEX('Final Calculation Sheet'!$F$4:$F$40,$BJ9-3)),"")</f>
        <v/>
      </c>
      <c r="C9" s="68" t="str">
        <f>IF($BJ9&gt;0,IF(INDEX('Final Calculation Sheet'!$G$4:$G$40,$BJ9-3)="","",INDEX('Final Calculation Sheet'!$G$4:$G$40,$BJ9-3)),IF(OR($BI9=1,$BL9=1,$BH9&gt;0),IF($BI9=1,37,IF($BL9=1,37-INDEX($BD$4:$BD$13,10),INDEX($BD$4:$BD$13,$BH9)))&amp;" lot(s)",""))</f>
        <v>4 lot(s)</v>
      </c>
      <c r="D9" s="69" t="str">
        <f>IF($BJ9&gt;0,IF(INDEX('Final Calculation Sheet'!$B$4:$B$40,$BJ9-3)="","",INDEX('Final Calculation Sheet'!$B$4:$B$40,$BJ9-3)),IF(OR($BI9=1,$BL9=1,$BH9&gt;0),IF($BI9=1,"GRAND TOTAL  —  matching + remaining",IF($BL9=1,"TOTAL MATCHED  —  every group together",IF($BH9=10,"REMAINING  —  did not match the search",IF($BH9=9,"ALL LOTS  —  nothing typed in the box","GROUP "&amp;$BH9&amp;" TOTAL  —  lots matching  "&amp;INDEX($AR$6:$AY$6,$BH9))))),""))</f>
        <v>GROUP 1 TOTAL  —  lots matching  drum</v>
      </c>
      <c r="E9" s="69" t="str">
        <f>IF($BJ9&gt;0,IF(INDEX('Final Calculation Sheet'!$D$4:$D$40,$BJ9-3)="","",INDEX('Final Calculation Sheet'!$D$4:$D$40,$BJ9-3)),IF(OR($BI9=1,$BL9=1,$BH9&gt;0),"–",""))</f>
        <v>–</v>
      </c>
      <c r="F9" s="69">
        <f>IF($BJ9&gt;0,IF(INDEX('Final Calculation Sheet'!$A$4:$A$40,$BJ9-3)="","",INDEX('Final Calculation Sheet'!$A$4:$A$40,$BJ9-3)),IF(OR($BI9=1,$BL9=1,$BH9&gt;0),IF($BI9=1,SUM('Final Calculation Sheet'!$A$4:$A$40),IF($BL9=1,SUM('Final Calculation Sheet'!$A$4:$A$40)-SUMIFS('Final Calculation Sheet'!$A$4:$A$40,$AZ$5:$AZ$41,10),SUMIFS('Final Calculation Sheet'!$A$4:$A$40,$AZ$5:$AZ$41,$BH9))),""))</f>
        <v>1445</v>
      </c>
      <c r="G9" s="69" t="str">
        <f>IF($BJ9&gt;0,IF(INDEX('Final Calculation Sheet'!$E$4:$E$40,$BJ9-3)="","",INDEX('Final Calculation Sheet'!$E$4:$E$40,$BJ9-3)),IF(OR($BI9=1,$BL9=1,$BH9&gt;0),"–",""))</f>
        <v>–</v>
      </c>
      <c r="H9" s="70" t="str">
        <f>IF($BJ9&gt;0,IF(INDEX('Final Calculation Sheet'!$C$4:$C$40,$BJ9-3)="","",INDEX('Final Calculation Sheet'!$C$4:$C$40,$BJ9-3)),IF(OR($BI9=1,$BL9=1,$BH9&gt;0),"–",""))</f>
        <v>–</v>
      </c>
      <c r="I9" s="70">
        <f>IF($BJ9&gt;0,IF(INDEX('Final Calculation Sheet'!$H$4:$H$40,$BJ9-3)="","",INDEX('Final Calculation Sheet'!$H$4:$H$40,$BJ9-3)),IF(OR($BI9=1,$BL9=1,$BH9&gt;0),IF($BI9=1,SUM('Final Calculation Sheet'!$H$4:$H$40),IF($BL9=1,SUM('Final Calculation Sheet'!$H$4:$H$40)-SUMIFS('Final Calculation Sheet'!$H$4:$H$40,$AZ$5:$AZ$41,10),SUMIFS('Final Calculation Sheet'!$H$4:$H$40,$AZ$5:$AZ$41,$BH9))),""))</f>
        <v>776750</v>
      </c>
      <c r="J9" s="70">
        <f>IF($BJ9&gt;0,IF(INDEX('Final Calculation Sheet'!$I$4:$I$40,$BJ9-3)="","",INDEX('Final Calculation Sheet'!$I$4:$I$40,$BJ9-3)),IF(OR($BI9=1,$BL9=1,$BH9&gt;0),IF($BI9=1,SUM('Final Calculation Sheet'!$I$4:$I$40),IF($BL9=1,SUM('Final Calculation Sheet'!$I$4:$I$40)-SUMIFS('Final Calculation Sheet'!$I$4:$I$40,$AZ$5:$AZ$41,10),SUMIFS('Final Calculation Sheet'!$I$4:$I$40,$AZ$5:$AZ$41,$BH9))),""))</f>
        <v>139815</v>
      </c>
      <c r="K9" s="70">
        <f>IF($BJ9&gt;0,IF(INDEX('Final Calculation Sheet'!$J$4:$J$40,$BJ9-3)="","",INDEX('Final Calculation Sheet'!$J$4:$J$40,$BJ9-3)),IF(OR($BI9=1,$BL9=1,$BH9&gt;0),IF($BI9=1,SUM('Final Calculation Sheet'!$J$4:$J$40),IF($BL9=1,SUM('Final Calculation Sheet'!$J$4:$J$40)-SUMIFS('Final Calculation Sheet'!$J$4:$J$40,$AZ$5:$AZ$41,10),SUMIFS('Final Calculation Sheet'!$J$4:$J$40,$AZ$5:$AZ$41,$BH9))),""))</f>
        <v>916565</v>
      </c>
      <c r="L9" s="70">
        <f>IF($BJ9&gt;0,IF(INDEX('Final Calculation Sheet'!$K$4:$K$40,$BJ9-3)="","",INDEX('Final Calculation Sheet'!$K$4:$K$40,$BJ9-3)),IF(OR($BI9=1,$BL9=1,$BH9&gt;0),IF($BI9=1,SUM('Final Calculation Sheet'!$K$4:$K$40),IF($BL9=1,SUM('Final Calculation Sheet'!$K$4:$K$40)-SUMIFS('Final Calculation Sheet'!$K$4:$K$40,$AZ$5:$AZ$41,10),SUMIFS('Final Calculation Sheet'!$K$4:$K$40,$AZ$5:$AZ$41,$BH9))),""))</f>
        <v>18331</v>
      </c>
      <c r="M9" s="70">
        <f>IF($BJ9&gt;0,IF(INDEX('Final Calculation Sheet'!$L$4:$L$40,$BJ9-3)="","",INDEX('Final Calculation Sheet'!$L$4:$L$40,$BJ9-3)),IF(OR($BI9=1,$BL9=1,$BH9&gt;0),IF($BI9=1,SUM('Final Calculation Sheet'!$L$4:$L$40),IF($BL9=1,SUM('Final Calculation Sheet'!$L$4:$L$40)-SUMIFS('Final Calculation Sheet'!$L$4:$L$40,$AZ$5:$AZ$41,10),SUMIFS('Final Calculation Sheet'!$L$4:$L$40,$AZ$5:$AZ$41,$BH9))),""))</f>
        <v>776.75</v>
      </c>
      <c r="N9" s="70">
        <f>IF($BJ9&gt;0,IF(INDEX('Final Calculation Sheet'!$M$4:$M$40,$BJ9-3)="","",INDEX('Final Calculation Sheet'!$M$4:$M$40,$BJ9-3)),IF(OR($BI9=1,$BL9=1,$BH9&gt;0),IF($BI9=1,SUM('Final Calculation Sheet'!$M$4:$M$40),IF($BL9=1,SUM('Final Calculation Sheet'!$M$4:$M$40)-SUMIFS('Final Calculation Sheet'!$M$4:$M$40,$AZ$5:$AZ$41,10),SUMIFS('Final Calculation Sheet'!$M$4:$M$40,$AZ$5:$AZ$41,$BH9))),""))</f>
        <v>20622.712499999998</v>
      </c>
      <c r="O9" s="71">
        <f>IF($BJ9&gt;0,IF(INDEX('Final Calculation Sheet'!$N$4:$N$40,$BJ9-3)="","",INDEX('Final Calculation Sheet'!$N$4:$N$40,$BJ9-3)),IF(OR($BI9=1,$BL9=1,$BH9&gt;0),IF($BI9=1,SUM('Final Calculation Sheet'!$N$4:$N$40),IF($BL9=1,SUM('Final Calculation Sheet'!$N$4:$N$40)-SUMIFS('Final Calculation Sheet'!$N$4:$N$40,$AZ$5:$AZ$41,10),SUMIFS('Final Calculation Sheet'!$N$4:$N$40,$AZ$5:$AZ$41,$BH9))),""))</f>
        <v>349.53750000000002</v>
      </c>
      <c r="P9" s="70">
        <f>IF($BJ9&gt;0,IF(INDEX('Final Calculation Sheet'!$O$4:$O$40,$BJ9-3)="","",INDEX('Final Calculation Sheet'!$O$4:$O$40,$BJ9-3)),IF(OR($BI9=1,$BL9=1,$BH9&gt;0),IF($BI9=1,SUM('Final Calculation Sheet'!$O$4:$O$40),IF($BL9=1,SUM('Final Calculation Sheet'!$O$4:$O$40)-SUMIFS('Final Calculation Sheet'!$O$4:$O$40,$AZ$5:$AZ$41,10),SUMIFS('Final Calculation Sheet'!$O$4:$O$40,$AZ$5:$AZ$41,$BH9))),""))</f>
        <v>20273.174999999999</v>
      </c>
      <c r="Q9" s="70">
        <f>IF($BJ9&gt;0,IF(INDEX('Final Calculation Sheet'!$P$4:$P$40,$BJ9-3)="","",INDEX('Final Calculation Sheet'!$P$4:$P$40,$BJ9-3)),IF(OR($BI9=1,$BL9=1,$BH9&gt;0),IF($BI9=1,SUM('Final Calculation Sheet'!$P$4:$P$40),IF($BL9=1,SUM('Final Calculation Sheet'!$P$4:$P$40)-SUMIFS('Final Calculation Sheet'!$P$4:$P$40,$AZ$5:$AZ$41,10),SUMIFS('Final Calculation Sheet'!$P$4:$P$40,$AZ$5:$AZ$41,$BH9))),""))</f>
        <v>21050</v>
      </c>
      <c r="R9" s="72" t="str">
        <f>IF($BJ9&gt;0,IF(INDEX('Final Calculation Sheet'!$Q$4:$Q$40,$BJ9-3)="","",INDEX('Final Calculation Sheet'!$Q$4:$Q$40,$BJ9-3)),IF(OR($BI9=1,$BL9=1,$BH9&gt;0),"–",""))</f>
        <v>–</v>
      </c>
      <c r="S9" s="70">
        <f>IF($BJ9&gt;0,IF(INDEX('Final Calculation Sheet'!$R$4:$R$40,$BJ9-3)="","",INDEX('Final Calculation Sheet'!$R$4:$R$40,$BJ9-3)),IF(OR($BI9=1,$BL9=1,$BH9&gt;0),IF($BI9=1,SUM('Final Calculation Sheet'!$R$4:$R$40),IF($BL9=1,SUM('Final Calculation Sheet'!$R$4:$R$40)-SUMIFS('Final Calculation Sheet'!$R$4:$R$40,$AZ$5:$AZ$41,10),SUMIFS('Final Calculation Sheet'!$R$4:$R$40,$AZ$5:$AZ$41,$BH9))),""))</f>
        <v>0</v>
      </c>
      <c r="T9" s="70">
        <f>IF($BJ9&gt;0,IF(INDEX('Final Calculation Sheet'!$S$4:$S$40,$BJ9-3)="","",INDEX('Final Calculation Sheet'!$S$4:$S$40,$BJ9-3)),IF(OR($BI9=1,$BL9=1,$BH9&gt;0),IF($BI9=1,SUM('Final Calculation Sheet'!$S$4:$S$40),IF($BL9=1,SUM('Final Calculation Sheet'!$S$4:$S$40)-SUMIFS('Final Calculation Sheet'!$S$4:$S$40,$AZ$5:$AZ$41,10),SUMIFS('Final Calculation Sheet'!$S$4:$S$40,$AZ$5:$AZ$41,$BH9))),""))</f>
        <v>913847</v>
      </c>
      <c r="U9" s="70">
        <f>IF($BJ9&gt;0,IF(INDEX('Final Calculation Sheet'!$T$4:$T$40,$BJ9-3)="","",INDEX('Final Calculation Sheet'!$T$4:$T$40,$BJ9-3)),IF(OR($BI9=1,$BL9=1,$BH9&gt;0),IF($BI9=1,SUM('Final Calculation Sheet'!$T$4:$T$40),IF($BL9=1,SUM('Final Calculation Sheet'!$T$4:$T$40)-SUMIFS('Final Calculation Sheet'!$T$4:$T$40,$AZ$5:$AZ$41,10),SUMIFS('Final Calculation Sheet'!$T$4:$T$40,$AZ$5:$AZ$41,$BH9))),""))</f>
        <v>194188</v>
      </c>
      <c r="V9" s="73">
        <f>IF($BJ9&gt;0,IF(INDEX('Final Calculation Sheet'!$U$4:$U$40,$BJ9-3)="","",INDEX('Final Calculation Sheet'!$U$4:$U$40,$BJ9-3)),IF(OR($BI9=1,$BL9=1,$BH9&gt;0),IF($BI9=1,SUM('Final Calculation Sheet'!$U$4:$U$40),IF($BL9=1,SUM('Final Calculation Sheet'!$U$4:$U$40)-SUMIFS('Final Calculation Sheet'!$U$4:$U$40,$AZ$5:$AZ$41,10),SUMIFS('Final Calculation Sheet'!$U$4:$U$40,$AZ$5:$AZ$41,$BH9))),""))</f>
        <v>194188</v>
      </c>
      <c r="W9" s="70" t="str">
        <f>IF($BJ9&gt;0,IF(INDEX('Final Calculation Sheet'!$V$4:$V$40,$BJ9-3)="","",INDEX('Final Calculation Sheet'!$V$4:$V$40,$BJ9-3)),IF(OR($BI9=1,$BL9=1,$BH9&gt;0),"–",""))</f>
        <v>–</v>
      </c>
      <c r="X9" s="70">
        <f>IF($BJ9&gt;0,IF(INDEX('Final Calculation Sheet'!$W$4:$W$40,$BJ9-3)="","",INDEX('Final Calculation Sheet'!$W$4:$W$40,$BJ9-3)),IF(OR($BI9=1,$BL9=1,$BH9&gt;0),IF($BI9=1,SUM('Final Calculation Sheet'!$W$4:$W$40),IF($BL9=1,SUM('Final Calculation Sheet'!$W$4:$W$40)-SUMIFS('Final Calculation Sheet'!$W$4:$W$40,$AZ$5:$AZ$41,10),SUMIFS('Final Calculation Sheet'!$W$4:$W$40,$AZ$5:$AZ$41,$BH9))),""))</f>
        <v>719660</v>
      </c>
      <c r="Y9" s="70">
        <f>IF($BJ9&gt;0,IF(INDEX('Final Calculation Sheet'!$X$4:$X$40,$BJ9-3)="","",INDEX('Final Calculation Sheet'!$X$4:$X$40,$BJ9-3)),IF(OR($BI9=1,$BL9=1,$BH9&gt;0),IF($BI9=1,SUM('Final Calculation Sheet'!$X$4:$X$40),IF($BL9=1,SUM('Final Calculation Sheet'!$X$4:$X$40)-SUMIFS('Final Calculation Sheet'!$X$4:$X$40,$AZ$5:$AZ$41,10),SUMIFS('Final Calculation Sheet'!$X$4:$X$40,$AZ$5:$AZ$41,$BH9))),""))</f>
        <v>719659</v>
      </c>
      <c r="Z9" s="70" t="str">
        <f>IF($BJ9&gt;0,IF(INDEX('Final Calculation Sheet'!$Y$4:$Y$40,$BJ9-3)="","",INDEX('Final Calculation Sheet'!$Y$4:$Y$40,$BJ9-3)),IF(OR($BI9=1,$BL9=1,$BH9&gt;0),"–",""))</f>
        <v>–</v>
      </c>
      <c r="AA9" s="70">
        <f ca="1">IF($BJ9&gt;0,IF(INDEX('Final Calculation Sheet'!$Z$4:$Z$40,$BJ9-3)="","",INDEX('Final Calculation Sheet'!$Z$4:$Z$40,$BJ9-3)),IF(OR($BI9=1,$BL9=1,$BH9&gt;0),IF($BI9=1,SUM('Final Calculation Sheet'!$Z$4:$Z$40),IF($BL9=1,SUM('Final Calculation Sheet'!$Z$4:$Z$40)-SUMIFS('Final Calculation Sheet'!$Z$4:$Z$40,$AZ$5:$AZ$41,10),SUMIFS('Final Calculation Sheet'!$Z$4:$Z$40,$AZ$5:$AZ$41,$BH9))),""))</f>
        <v>0</v>
      </c>
      <c r="AB9" s="70">
        <f>IF($BJ9&gt;0,IF(INDEX('Final Calculation Sheet'!$AA$4:$AA$40,$BJ9-3)="","",INDEX('Final Calculation Sheet'!$AA$4:$AA$40,$BJ9-3)),IF(OR($BI9=1,$BL9=1,$BH9&gt;0),IF($BI9=1,SUM('Final Calculation Sheet'!$AA$4:$AA$40),IF($BL9=1,SUM('Final Calculation Sheet'!$AA$4:$AA$40)-SUMIFS('Final Calculation Sheet'!$AA$4:$AA$40,$AZ$5:$AZ$41,10),SUMIFS('Final Calculation Sheet'!$AA$4:$AA$40,$AZ$5:$AZ$41,$BH9))),""))</f>
        <v>0</v>
      </c>
      <c r="AC9" s="70" t="str">
        <f>IF($BJ9&gt;0,IF(INDEX('Final Calculation Sheet'!$AB$4:$AB$40,$BJ9-3)="","",INDEX('Final Calculation Sheet'!$AB$4:$AB$40,$BJ9-3)),IF(OR($BI9=1,$BL9=1,$BH9&gt;0),"–",""))</f>
        <v>–</v>
      </c>
      <c r="AD9" s="70">
        <f>IF($BJ9&gt;0,IF(INDEX('Final Calculation Sheet'!$AC$4:$AC$40,$BJ9-3)="","",INDEX('Final Calculation Sheet'!$AC$4:$AC$40,$BJ9-3)),IF(OR($BI9=1,$BL9=1,$BH9&gt;0),IF($BI9=1,SUM('Final Calculation Sheet'!$AC$4:$AC$40),IF($BL9=1,SUM('Final Calculation Sheet'!$AC$4:$AC$40)-SUMIFS('Final Calculation Sheet'!$AC$4:$AC$40,$AZ$5:$AZ$41,10),SUMIFS('Final Calculation Sheet'!$AC$4:$AC$40,$AZ$5:$AZ$41,$BH9))),""))</f>
        <v>913847</v>
      </c>
      <c r="AE9" s="70">
        <f>IF($BJ9&gt;0,IF(INDEX('Final Calculation Sheet'!$AD$4:$AD$40,$BJ9-3)="","",INDEX('Final Calculation Sheet'!$AD$4:$AD$40,$BJ9-3)),IF(OR($BI9=1,$BL9=1,$BH9&gt;0),IF($BI9=1,SUM('Final Calculation Sheet'!$AD$4:$AD$40),IF($BL9=1,SUM('Final Calculation Sheet'!$AD$4:$AD$40)-SUMIFS('Final Calculation Sheet'!$AD$4:$AD$40,$AZ$5:$AZ$41,10),SUMIFS('Final Calculation Sheet'!$AD$4:$AD$40,$AZ$5:$AZ$41,$BH9))),""))</f>
        <v>0</v>
      </c>
      <c r="AF9" s="70" t="str">
        <f>IF($BJ9&gt;0,IF(INDEX('Final Calculation Sheet'!$AE$4:$AE$40,$BJ9-3)="","",INDEX('Final Calculation Sheet'!$AE$4:$AE$40,$BJ9-3)),IF(OR($BI9=1,$BL9=1,$BH9&gt;0),"–",""))</f>
        <v>–</v>
      </c>
      <c r="AG9" s="74" t="str">
        <f>IF($BJ9&gt;0,IF(INDEX('Final Calculation Sheet'!$AF$4:$AF$40,$BJ9-3)="","",INDEX('Final Calculation Sheet'!$AF$4:$AF$40,$BJ9-3)),IF(OR($BI9=1,$BL9=1,$BH9&gt;0),"–",""))</f>
        <v>–</v>
      </c>
      <c r="AH9" s="70" t="str">
        <f>IF($BJ9&gt;0,IF(INDEX('Final Calculation Sheet'!$AG$4:$AG$40,$BJ9-3)="","",INDEX('Final Calculation Sheet'!$AG$4:$AG$40,$BJ9-3)),IF(OR($BI9=1,$BL9=1,$BH9&gt;0),"–",""))</f>
        <v>–</v>
      </c>
      <c r="AI9" s="75" t="str">
        <f>IF($BJ9&gt;0,IF(INDEX('Final Calculation Sheet'!$AD$4:$AD$40,$BJ9-3)="","",IF(INDEX('Final Calculation Sheet'!$AD$4:$AD$40,$BJ9-3)&lt;=0,"SETTLED","OUTSTANDING")),IF(OR($BI9=1,$BL9=1,$BH9&gt;0),IF(IF($BI9=1,SUM('Final Calculation Sheet'!$AD$4:$AD$40),IF($BL9=1,SUM('Final Calculation Sheet'!$AD$4:$AD$40)-SUMIFS('Final Calculation Sheet'!$AD$4:$AD$40,$AZ$5:$AZ$41,10),SUMIFS('Final Calculation Sheet'!$AD$4:$AD$40,$AZ$5:$AZ$41,$BH9)))&lt;=0,"ALL SETTLED","OUTSTANDING"),""))</f>
        <v>ALL SETTLED</v>
      </c>
      <c r="AK9" t="str">
        <f>IF($F$3="Lot No.",'Final Calculation Sheet'!$F$8,IF($F$3="Buyer",'Final Calculation Sheet'!$G$8,IF($F$3="Lot Name",'Final Calculation Sheet'!$B$8,IF($F$3="Bid Sheet",'Final Calculation Sheet'!$D$8,IF($F$3="Unit",'Final Calculation Sheet'!$E$8,'Final Calculation Sheet'!$F$8&amp;" "&amp;'Final Calculation Sheet'!$G$8&amp;" "&amp;'Final Calculation Sheet'!$B$8)))))</f>
        <v>1923 OMKAR STEELS SCRAP ACSR CONDUCTORS (Conductor Pieces)</v>
      </c>
      <c r="AM9">
        <f t="shared" si="1"/>
        <v>0</v>
      </c>
      <c r="AO9" t="s">
        <v>5</v>
      </c>
      <c r="AR9">
        <f>IF($AR$6="",0,$AR$8)</f>
        <v>1</v>
      </c>
      <c r="AS9">
        <f>IF($AS$6="",0,$AS$8)</f>
        <v>1</v>
      </c>
      <c r="AT9">
        <f>IF($AT$6="",0,$AT$8)</f>
        <v>0</v>
      </c>
      <c r="AU9">
        <f>IF($AU$6="",0,$AU$8)</f>
        <v>0</v>
      </c>
      <c r="AV9">
        <f>IF($AV$6="",0,$AV$8)</f>
        <v>0</v>
      </c>
      <c r="AW9">
        <f>IF($AW$6="",0,$AW$8)</f>
        <v>0</v>
      </c>
      <c r="AX9">
        <f>IF($AX$6="",0,$AX$8)</f>
        <v>0</v>
      </c>
      <c r="AY9">
        <f>IF($AY$6="",0,$AY$8)</f>
        <v>0</v>
      </c>
      <c r="AZ9">
        <f t="shared" si="2"/>
        <v>10</v>
      </c>
      <c r="BA9">
        <f t="shared" si="3"/>
        <v>4</v>
      </c>
      <c r="BB9">
        <f t="shared" si="4"/>
        <v>20</v>
      </c>
      <c r="BC9">
        <v>8</v>
      </c>
      <c r="BD9">
        <f>COUNTIF($AZ$5:$AZ$41,6)</f>
        <v>0</v>
      </c>
      <c r="BE9">
        <f t="shared" si="5"/>
        <v>16</v>
      </c>
      <c r="BF9">
        <f t="shared" si="0"/>
        <v>0</v>
      </c>
      <c r="BH9">
        <f>IFERROR(MATCH(9,$BF$4:$BF$13,0),0)</f>
        <v>1</v>
      </c>
      <c r="BI9">
        <f>IF(9=$BG$5,1,0)</f>
        <v>0</v>
      </c>
      <c r="BJ9">
        <f>IF(OR($BH9&gt;0,$BI9=1,$BL9=1),0,IFERROR(INDEX($BC$5:$BC$41,MATCH(9,$BB$5:$BB$41,0)),0))</f>
        <v>0</v>
      </c>
      <c r="BK9">
        <f>IF($BJ9&gt;0,IF(INDEX($AZ$5:$AZ$41,MATCH(9,$BB$5:$BB$41,0))=10,1,0),IF($BH9=10,1,0))</f>
        <v>0</v>
      </c>
      <c r="BL9">
        <f>IF(9=$BG$4,1,0)</f>
        <v>0</v>
      </c>
    </row>
    <row r="10" spans="1:64" ht="15" customHeight="1" x14ac:dyDescent="0.25">
      <c r="A10" s="67">
        <f>IF($BJ10&gt;0,INDEX($BA$5:$BA$41,MATCH(10,$BB$5:$BB$41,0)),IF(OR($BI10=1,$BL10=1,$BH10&gt;0),"∑",""))</f>
        <v>1</v>
      </c>
      <c r="B10" s="68">
        <f>IF($BJ10&gt;0,IF(INDEX('Final Calculation Sheet'!$F$4:$F$40,$BJ10-3)="","",INDEX('Final Calculation Sheet'!$F$4:$F$40,$BJ10-3)),"")</f>
        <v>2011</v>
      </c>
      <c r="C10" s="68" t="str">
        <f>IF($BJ10&gt;0,IF(INDEX('Final Calculation Sheet'!$G$4:$G$40,$BJ10-3)="","",INDEX('Final Calculation Sheet'!$G$4:$G$40,$BJ10-3)),IF(OR($BI10=1,$BL10=1,$BH10&gt;0),IF($BI10=1,37,IF($BL10=1,37-INDEX($BD$4:$BD$13,10),INDEX($BD$4:$BD$13,$BH10)))&amp;" lot(s)",""))</f>
        <v>STERLING ENTERPRISES</v>
      </c>
      <c r="D10" s="69" t="str">
        <f>IF($BJ10&gt;0,IF(INDEX('Final Calculation Sheet'!$B$4:$B$40,$BJ10-3)="","",INDEX('Final Calculation Sheet'!$B$4:$B$40,$BJ10-3)),IF(OR($BI10=1,$BL10=1,$BH10&gt;0),IF($BI10=1,"GRAND TOTAL  —  matching + remaining",IF($BL10=1,"TOTAL MATCHED  —  every group together",IF($BH10=10,"REMAINING  —  did not match the search",IF($BH10=9,"ALL LOTS  —  nothing typed in the box","GROUP "&amp;$BH10&amp;" TOTAL  —  lots matching  "&amp;INDEX($AR$6:$AY$6,$BH10))))),""))</f>
        <v>Scrap of empty oil Barrel</v>
      </c>
      <c r="E10" s="69">
        <f>IF($BJ10&gt;0,IF(INDEX('Final Calculation Sheet'!$D$4:$D$40,$BJ10-3)="","",INDEX('Final Calculation Sheet'!$D$4:$D$40,$BJ10-3)),IF(OR($BI10=1,$BL10=1,$BH10&gt;0),"–",""))</f>
        <v>21977</v>
      </c>
      <c r="F10" s="69">
        <f>IF($BJ10&gt;0,IF(INDEX('Final Calculation Sheet'!$A$4:$A$40,$BJ10-3)="","",INDEX('Final Calculation Sheet'!$A$4:$A$40,$BJ10-3)),IF(OR($BI10=1,$BL10=1,$BH10&gt;0),IF($BI10=1,SUM('Final Calculation Sheet'!$A$4:$A$40),IF($BL10=1,SUM('Final Calculation Sheet'!$A$4:$A$40)-SUMIFS('Final Calculation Sheet'!$A$4:$A$40,$AZ$5:$AZ$41,10),SUMIFS('Final Calculation Sheet'!$A$4:$A$40,$AZ$5:$AZ$41,$BH10))),""))</f>
        <v>22</v>
      </c>
      <c r="G10" s="69" t="str">
        <f>IF($BJ10&gt;0,IF(INDEX('Final Calculation Sheet'!$E$4:$E$40,$BJ10-3)="","",INDEX('Final Calculation Sheet'!$E$4:$E$40,$BJ10-3)),IF(OR($BI10=1,$BL10=1,$BH10&gt;0),"–",""))</f>
        <v>NO</v>
      </c>
      <c r="H10" s="70">
        <f>IF($BJ10&gt;0,IF(INDEX('Final Calculation Sheet'!$C$4:$C$40,$BJ10-3)="","",INDEX('Final Calculation Sheet'!$C$4:$C$40,$BJ10-3)),IF(OR($BI10=1,$BL10=1,$BH10&gt;0),"–",""))</f>
        <v>700</v>
      </c>
      <c r="I10" s="70">
        <f>IF($BJ10&gt;0,IF(INDEX('Final Calculation Sheet'!$H$4:$H$40,$BJ10-3)="","",INDEX('Final Calculation Sheet'!$H$4:$H$40,$BJ10-3)),IF(OR($BI10=1,$BL10=1,$BH10&gt;0),IF($BI10=1,SUM('Final Calculation Sheet'!$H$4:$H$40),IF($BL10=1,SUM('Final Calculation Sheet'!$H$4:$H$40)-SUMIFS('Final Calculation Sheet'!$H$4:$H$40,$AZ$5:$AZ$41,10),SUMIFS('Final Calculation Sheet'!$H$4:$H$40,$AZ$5:$AZ$41,$BH10))),""))</f>
        <v>15400</v>
      </c>
      <c r="J10" s="70">
        <f>IF($BJ10&gt;0,IF(INDEX('Final Calculation Sheet'!$I$4:$I$40,$BJ10-3)="","",INDEX('Final Calculation Sheet'!$I$4:$I$40,$BJ10-3)),IF(OR($BI10=1,$BL10=1,$BH10&gt;0),IF($BI10=1,SUM('Final Calculation Sheet'!$I$4:$I$40),IF($BL10=1,SUM('Final Calculation Sheet'!$I$4:$I$40)-SUMIFS('Final Calculation Sheet'!$I$4:$I$40,$AZ$5:$AZ$41,10),SUMIFS('Final Calculation Sheet'!$I$4:$I$40,$AZ$5:$AZ$41,$BH10))),""))</f>
        <v>2772</v>
      </c>
      <c r="K10" s="70">
        <f>IF($BJ10&gt;0,IF(INDEX('Final Calculation Sheet'!$J$4:$J$40,$BJ10-3)="","",INDEX('Final Calculation Sheet'!$J$4:$J$40,$BJ10-3)),IF(OR($BI10=1,$BL10=1,$BH10&gt;0),IF($BI10=1,SUM('Final Calculation Sheet'!$J$4:$J$40),IF($BL10=1,SUM('Final Calculation Sheet'!$J$4:$J$40)-SUMIFS('Final Calculation Sheet'!$J$4:$J$40,$AZ$5:$AZ$41,10),SUMIFS('Final Calculation Sheet'!$J$4:$J$40,$AZ$5:$AZ$41,$BH10))),""))</f>
        <v>18172</v>
      </c>
      <c r="L10" s="70">
        <f>IF($BJ10&gt;0,IF(INDEX('Final Calculation Sheet'!$K$4:$K$40,$BJ10-3)="","",INDEX('Final Calculation Sheet'!$K$4:$K$40,$BJ10-3)),IF(OR($BI10=1,$BL10=1,$BH10&gt;0),IF($BI10=1,SUM('Final Calculation Sheet'!$K$4:$K$40),IF($BL10=1,SUM('Final Calculation Sheet'!$K$4:$K$40)-SUMIFS('Final Calculation Sheet'!$K$4:$K$40,$AZ$5:$AZ$41,10),SUMIFS('Final Calculation Sheet'!$K$4:$K$40,$AZ$5:$AZ$41,$BH10))),""))</f>
        <v>363</v>
      </c>
      <c r="M10" s="70">
        <f>IF($BJ10&gt;0,IF(INDEX('Final Calculation Sheet'!$L$4:$L$40,$BJ10-3)="","",INDEX('Final Calculation Sheet'!$L$4:$L$40,$BJ10-3)),IF(OR($BI10=1,$BL10=1,$BH10&gt;0),IF($BI10=1,SUM('Final Calculation Sheet'!$L$4:$L$40),IF($BL10=1,SUM('Final Calculation Sheet'!$L$4:$L$40)-SUMIFS('Final Calculation Sheet'!$L$4:$L$40,$AZ$5:$AZ$41,10),SUMIFS('Final Calculation Sheet'!$L$4:$L$40,$AZ$5:$AZ$41,$BH10))),""))</f>
        <v>15.4</v>
      </c>
      <c r="N10" s="70">
        <f>IF($BJ10&gt;0,IF(INDEX('Final Calculation Sheet'!$M$4:$M$40,$BJ10-3)="","",INDEX('Final Calculation Sheet'!$M$4:$M$40,$BJ10-3)),IF(OR($BI10=1,$BL10=1,$BH10&gt;0),IF($BI10=1,SUM('Final Calculation Sheet'!$M$4:$M$40),IF($BL10=1,SUM('Final Calculation Sheet'!$M$4:$M$40)-SUMIFS('Final Calculation Sheet'!$M$4:$M$40,$AZ$5:$AZ$41,10),SUMIFS('Final Calculation Sheet'!$M$4:$M$40,$AZ$5:$AZ$41,$BH10))),""))</f>
        <v>408.87</v>
      </c>
      <c r="O10" s="71">
        <f>IF($BJ10&gt;0,IF(INDEX('Final Calculation Sheet'!$N$4:$N$40,$BJ10-3)="","",INDEX('Final Calculation Sheet'!$N$4:$N$40,$BJ10-3)),IF(OR($BI10=1,$BL10=1,$BH10&gt;0),IF($BI10=1,SUM('Final Calculation Sheet'!$N$4:$N$40),IF($BL10=1,SUM('Final Calculation Sheet'!$N$4:$N$40)-SUMIFS('Final Calculation Sheet'!$N$4:$N$40,$AZ$5:$AZ$41,10),SUMIFS('Final Calculation Sheet'!$N$4:$N$40,$AZ$5:$AZ$41,$BH10))),""))</f>
        <v>6.93</v>
      </c>
      <c r="P10" s="70">
        <f>IF($BJ10&gt;0,IF(INDEX('Final Calculation Sheet'!$O$4:$O$40,$BJ10-3)="","",INDEX('Final Calculation Sheet'!$O$4:$O$40,$BJ10-3)),IF(OR($BI10=1,$BL10=1,$BH10&gt;0),IF($BI10=1,SUM('Final Calculation Sheet'!$O$4:$O$40),IF($BL10=1,SUM('Final Calculation Sheet'!$O$4:$O$40)-SUMIFS('Final Calculation Sheet'!$O$4:$O$40,$AZ$5:$AZ$41,10),SUMIFS('Final Calculation Sheet'!$O$4:$O$40,$AZ$5:$AZ$41,$BH10))),""))</f>
        <v>401.94</v>
      </c>
      <c r="Q10" s="70">
        <f>IF($BJ10&gt;0,IF(INDEX('Final Calculation Sheet'!$P$4:$P$40,$BJ10-3)="","",INDEX('Final Calculation Sheet'!$P$4:$P$40,$BJ10-3)),IF(OR($BI10=1,$BL10=1,$BH10&gt;0),IF($BI10=1,SUM('Final Calculation Sheet'!$P$4:$P$40),IF($BL10=1,SUM('Final Calculation Sheet'!$P$4:$P$40)-SUMIFS('Final Calculation Sheet'!$P$4:$P$40,$AZ$5:$AZ$41,10),SUMIFS('Final Calculation Sheet'!$P$4:$P$40,$AZ$5:$AZ$41,$BH10))),""))</f>
        <v>417</v>
      </c>
      <c r="R10" s="72">
        <f>IF($BJ10&gt;0,IF(INDEX('Final Calculation Sheet'!$Q$4:$Q$40,$BJ10-3)="","",INDEX('Final Calculation Sheet'!$Q$4:$Q$40,$BJ10-3)),IF(OR($BI10=1,$BL10=1,$BH10&gt;0),"–",""))</f>
        <v>0</v>
      </c>
      <c r="S10" s="70">
        <f>IF($BJ10&gt;0,IF(INDEX('Final Calculation Sheet'!$R$4:$R$40,$BJ10-3)="","",INDEX('Final Calculation Sheet'!$R$4:$R$40,$BJ10-3)),IF(OR($BI10=1,$BL10=1,$BH10&gt;0),IF($BI10=1,SUM('Final Calculation Sheet'!$R$4:$R$40),IF($BL10=1,SUM('Final Calculation Sheet'!$R$4:$R$40)-SUMIFS('Final Calculation Sheet'!$R$4:$R$40,$AZ$5:$AZ$41,10),SUMIFS('Final Calculation Sheet'!$R$4:$R$40,$AZ$5:$AZ$41,$BH10))),""))</f>
        <v>0</v>
      </c>
      <c r="T10" s="70">
        <f>IF($BJ10&gt;0,IF(INDEX('Final Calculation Sheet'!$S$4:$S$40,$BJ10-3)="","",INDEX('Final Calculation Sheet'!$S$4:$S$40,$BJ10-3)),IF(OR($BI10=1,$BL10=1,$BH10&gt;0),IF($BI10=1,SUM('Final Calculation Sheet'!$S$4:$S$40),IF($BL10=1,SUM('Final Calculation Sheet'!$S$4:$S$40)-SUMIFS('Final Calculation Sheet'!$S$4:$S$40,$AZ$5:$AZ$41,10),SUMIFS('Final Calculation Sheet'!$S$4:$S$40,$AZ$5:$AZ$41,$BH10))),""))</f>
        <v>18118</v>
      </c>
      <c r="U10" s="70">
        <f>IF($BJ10&gt;0,IF(INDEX('Final Calculation Sheet'!$T$4:$T$40,$BJ10-3)="","",INDEX('Final Calculation Sheet'!$T$4:$T$40,$BJ10-3)),IF(OR($BI10=1,$BL10=1,$BH10&gt;0),IF($BI10=1,SUM('Final Calculation Sheet'!$T$4:$T$40),IF($BL10=1,SUM('Final Calculation Sheet'!$T$4:$T$40)-SUMIFS('Final Calculation Sheet'!$T$4:$T$40,$AZ$5:$AZ$41,10),SUMIFS('Final Calculation Sheet'!$T$4:$T$40,$AZ$5:$AZ$41,$BH10))),""))</f>
        <v>3850</v>
      </c>
      <c r="V10" s="73">
        <f>IF($BJ10&gt;0,IF(INDEX('Final Calculation Sheet'!$U$4:$U$40,$BJ10-3)="","",INDEX('Final Calculation Sheet'!$U$4:$U$40,$BJ10-3)),IF(OR($BI10=1,$BL10=1,$BH10&gt;0),IF($BI10=1,SUM('Final Calculation Sheet'!$U$4:$U$40),IF($BL10=1,SUM('Final Calculation Sheet'!$U$4:$U$40)-SUMIFS('Final Calculation Sheet'!$U$4:$U$40,$AZ$5:$AZ$41,10),SUMIFS('Final Calculation Sheet'!$U$4:$U$40,$AZ$5:$AZ$41,$BH10))),""))</f>
        <v>3850</v>
      </c>
      <c r="W10" s="70" t="str">
        <f>IF($BJ10&gt;0,IF(INDEX('Final Calculation Sheet'!$V$4:$V$40,$BJ10-3)="","",INDEX('Final Calculation Sheet'!$V$4:$V$40,$BJ10-3)),IF(OR($BI10=1,$BL10=1,$BH10&gt;0),"–",""))</f>
        <v>11.08.2026</v>
      </c>
      <c r="X10" s="70">
        <f>IF($BJ10&gt;0,IF(INDEX('Final Calculation Sheet'!$W$4:$W$40,$BJ10-3)="","",INDEX('Final Calculation Sheet'!$W$4:$W$40,$BJ10-3)),IF(OR($BI10=1,$BL10=1,$BH10&gt;0),IF($BI10=1,SUM('Final Calculation Sheet'!$W$4:$W$40),IF($BL10=1,SUM('Final Calculation Sheet'!$W$4:$W$40)-SUMIFS('Final Calculation Sheet'!$W$4:$W$40,$AZ$5:$AZ$41,10),SUMIFS('Final Calculation Sheet'!$W$4:$W$40,$AZ$5:$AZ$41,$BH10))),""))</f>
        <v>14268</v>
      </c>
      <c r="Y10" s="70">
        <f>IF($BJ10&gt;0,IF(INDEX('Final Calculation Sheet'!$X$4:$X$40,$BJ10-3)="","",INDEX('Final Calculation Sheet'!$X$4:$X$40,$BJ10-3)),IF(OR($BI10=1,$BL10=1,$BH10&gt;0),IF($BI10=1,SUM('Final Calculation Sheet'!$X$4:$X$40),IF($BL10=1,SUM('Final Calculation Sheet'!$X$4:$X$40)-SUMIFS('Final Calculation Sheet'!$X$4:$X$40,$AZ$5:$AZ$41,10),SUMIFS('Final Calculation Sheet'!$X$4:$X$40,$AZ$5:$AZ$41,$BH10))),""))</f>
        <v>14267</v>
      </c>
      <c r="Z10" s="70" t="str">
        <f>IF($BJ10&gt;0,IF(INDEX('Final Calculation Sheet'!$Y$4:$Y$40,$BJ10-3)="","",INDEX('Final Calculation Sheet'!$Y$4:$Y$40,$BJ10-3)),IF(OR($BI10=1,$BL10=1,$BH10&gt;0),"–",""))</f>
        <v>11.08.2026</v>
      </c>
      <c r="AA10" s="70">
        <f ca="1">IF($BJ10&gt;0,IF(INDEX('Final Calculation Sheet'!$Z$4:$Z$40,$BJ10-3)="","",INDEX('Final Calculation Sheet'!$Z$4:$Z$40,$BJ10-3)),IF(OR($BI10=1,$BL10=1,$BH10&gt;0),IF($BI10=1,SUM('Final Calculation Sheet'!$Z$4:$Z$40),IF($BL10=1,SUM('Final Calculation Sheet'!$Z$4:$Z$40)-SUMIFS('Final Calculation Sheet'!$Z$4:$Z$40,$AZ$5:$AZ$41,10),SUMIFS('Final Calculation Sheet'!$Z$4:$Z$40,$AZ$5:$AZ$41,$BH10))),""))</f>
        <v>0</v>
      </c>
      <c r="AB10" s="70" t="str">
        <f>IF($BJ10&gt;0,IF(INDEX('Final Calculation Sheet'!$AA$4:$AA$40,$BJ10-3)="","",INDEX('Final Calculation Sheet'!$AA$4:$AA$40,$BJ10-3)),IF(OR($BI10=1,$BL10=1,$BH10&gt;0),IF($BI10=1,SUM('Final Calculation Sheet'!$AA$4:$AA$40),IF($BL10=1,SUM('Final Calculation Sheet'!$AA$4:$AA$40)-SUMIFS('Final Calculation Sheet'!$AA$4:$AA$40,$AZ$5:$AZ$41,10),SUMIFS('Final Calculation Sheet'!$AA$4:$AA$40,$AZ$5:$AZ$41,$BH10))),""))</f>
        <v/>
      </c>
      <c r="AC10" s="70" t="str">
        <f>IF($BJ10&gt;0,IF(INDEX('Final Calculation Sheet'!$AB$4:$AB$40,$BJ10-3)="","",INDEX('Final Calculation Sheet'!$AB$4:$AB$40,$BJ10-3)),IF(OR($BI10=1,$BL10=1,$BH10&gt;0),"–",""))</f>
        <v/>
      </c>
      <c r="AD10" s="70">
        <f>IF($BJ10&gt;0,IF(INDEX('Final Calculation Sheet'!$AC$4:$AC$40,$BJ10-3)="","",INDEX('Final Calculation Sheet'!$AC$4:$AC$40,$BJ10-3)),IF(OR($BI10=1,$BL10=1,$BH10&gt;0),IF($BI10=1,SUM('Final Calculation Sheet'!$AC$4:$AC$40),IF($BL10=1,SUM('Final Calculation Sheet'!$AC$4:$AC$40)-SUMIFS('Final Calculation Sheet'!$AC$4:$AC$40,$AZ$5:$AZ$41,10),SUMIFS('Final Calculation Sheet'!$AC$4:$AC$40,$AZ$5:$AZ$41,$BH10))),""))</f>
        <v>18117</v>
      </c>
      <c r="AE10" s="70">
        <f>IF($BJ10&gt;0,IF(INDEX('Final Calculation Sheet'!$AD$4:$AD$40,$BJ10-3)="","",INDEX('Final Calculation Sheet'!$AD$4:$AD$40,$BJ10-3)),IF(OR($BI10=1,$BL10=1,$BH10&gt;0),IF($BI10=1,SUM('Final Calculation Sheet'!$AD$4:$AD$40),IF($BL10=1,SUM('Final Calculation Sheet'!$AD$4:$AD$40)-SUMIFS('Final Calculation Sheet'!$AD$4:$AD$40,$AZ$5:$AZ$41,10),SUMIFS('Final Calculation Sheet'!$AD$4:$AD$40,$AZ$5:$AZ$41,$BH10))),""))</f>
        <v>1</v>
      </c>
      <c r="AF10" s="70" t="str">
        <f>IF($BJ10&gt;0,IF(INDEX('Final Calculation Sheet'!$AE$4:$AE$40,$BJ10-3)="","",INDEX('Final Calculation Sheet'!$AE$4:$AE$40,$BJ10-3)),IF(OR($BI10=1,$BL10=1,$BH10&gt;0),"–",""))</f>
        <v>DR2640100019</v>
      </c>
      <c r="AG10" s="74">
        <f>IF($BJ10&gt;0,IF(INDEX('Final Calculation Sheet'!$AF$4:$AF$40,$BJ10-3)="","",INDEX('Final Calculation Sheet'!$AF$4:$AF$40,$BJ10-3)),IF(OR($BI10=1,$BL10=1,$BH10&gt;0),"–",""))</f>
        <v>1800003157</v>
      </c>
      <c r="AH10" s="70" t="str">
        <f>IF($BJ10&gt;0,IF(INDEX('Final Calculation Sheet'!$AG$4:$AG$40,$BJ10-3)="","",INDEX('Final Calculation Sheet'!$AG$4:$AG$40,$BJ10-3)),IF(OR($BI10=1,$BL10=1,$BH10&gt;0),"–",""))</f>
        <v>14.08.2026</v>
      </c>
      <c r="AI10" s="75" t="str">
        <f>IF($BJ10&gt;0,IF(INDEX('Final Calculation Sheet'!$AD$4:$AD$40,$BJ10-3)="","",IF(INDEX('Final Calculation Sheet'!$AD$4:$AD$40,$BJ10-3)&lt;=0,"SETTLED","OUTSTANDING")),IF(OR($BI10=1,$BL10=1,$BH10&gt;0),IF(IF($BI10=1,SUM('Final Calculation Sheet'!$AD$4:$AD$40),IF($BL10=1,SUM('Final Calculation Sheet'!$AD$4:$AD$40)-SUMIFS('Final Calculation Sheet'!$AD$4:$AD$40,$AZ$5:$AZ$41,10),SUMIFS('Final Calculation Sheet'!$AD$4:$AD$40,$AZ$5:$AZ$41,$BH10)))&lt;=0,"ALL SETTLED","OUTSTANDING"),""))</f>
        <v>OUTSTANDING</v>
      </c>
      <c r="AK10" t="str">
        <f>IF($F$3="Lot No.",'Final Calculation Sheet'!$F$9,IF($F$3="Buyer",'Final Calculation Sheet'!$G$9,IF($F$3="Lot Name",'Final Calculation Sheet'!$B$9,IF($F$3="Bid Sheet",'Final Calculation Sheet'!$D$9,IF($F$3="Unit",'Final Calculation Sheet'!$E$9,'Final Calculation Sheet'!$F$9&amp;" "&amp;'Final Calculation Sheet'!$G$9&amp;" "&amp;'Final Calculation Sheet'!$B$9)))))</f>
        <v>1976 SHAR JAHAN TRADERS Scrap Power Transformer</v>
      </c>
      <c r="AM10">
        <f t="shared" si="1"/>
        <v>0</v>
      </c>
      <c r="AZ10">
        <f t="shared" si="2"/>
        <v>10</v>
      </c>
      <c r="BA10">
        <f t="shared" si="3"/>
        <v>5</v>
      </c>
      <c r="BB10">
        <f t="shared" si="4"/>
        <v>21</v>
      </c>
      <c r="BC10">
        <v>9</v>
      </c>
      <c r="BD10">
        <f>COUNTIF($AZ$5:$AZ$41,7)</f>
        <v>0</v>
      </c>
      <c r="BE10">
        <f t="shared" si="5"/>
        <v>16</v>
      </c>
      <c r="BF10">
        <f t="shared" si="0"/>
        <v>0</v>
      </c>
      <c r="BH10">
        <f>IFERROR(MATCH(10,$BF$4:$BF$13,0),0)</f>
        <v>0</v>
      </c>
      <c r="BI10">
        <f>IF(10=$BG$5,1,0)</f>
        <v>0</v>
      </c>
      <c r="BJ10">
        <f>IF(OR($BH10&gt;0,$BI10=1,$BL10=1),0,IFERROR(INDEX($BC$5:$BC$41,MATCH(10,$BB$5:$BB$41,0)),0))</f>
        <v>16</v>
      </c>
      <c r="BK10">
        <f>IF($BJ10&gt;0,IF(INDEX($AZ$5:$AZ$41,MATCH(10,$BB$5:$BB$41,0))=10,1,0),IF($BH10=10,1,0))</f>
        <v>0</v>
      </c>
      <c r="BL10">
        <f>IF(10=$BG$4,1,0)</f>
        <v>0</v>
      </c>
    </row>
    <row r="11" spans="1:64" ht="15" customHeight="1" x14ac:dyDescent="0.25">
      <c r="A11" s="67">
        <f>IF($BJ11&gt;0,INDEX($BA$5:$BA$41,MATCH(11,$BB$5:$BB$41,0)),IF(OR($BI11=1,$BL11=1,$BH11&gt;0),"∑",""))</f>
        <v>2</v>
      </c>
      <c r="B11" s="68">
        <f>IF($BJ11&gt;0,IF(INDEX('Final Calculation Sheet'!$F$4:$F$40,$BJ11-3)="","",INDEX('Final Calculation Sheet'!$F$4:$F$40,$BJ11-3)),"")</f>
        <v>2015</v>
      </c>
      <c r="C11" s="68" t="str">
        <f>IF($BJ11&gt;0,IF(INDEX('Final Calculation Sheet'!$G$4:$G$40,$BJ11-3)="","",INDEX('Final Calculation Sheet'!$G$4:$G$40,$BJ11-3)),IF(OR($BI11=1,$BL11=1,$BH11&gt;0),IF($BI11=1,37,IF($BL11=1,37-INDEX($BD$4:$BD$13,10),INDEX($BD$4:$BD$13,$BH11)))&amp;" lot(s)",""))</f>
        <v>STERLING ENTERPRISES</v>
      </c>
      <c r="D11" s="69" t="str">
        <f>IF($BJ11&gt;0,IF(INDEX('Final Calculation Sheet'!$B$4:$B$40,$BJ11-3)="","",INDEX('Final Calculation Sheet'!$B$4:$B$40,$BJ11-3)),IF(OR($BI11=1,$BL11=1,$BH11&gt;0),IF($BI11=1,"GRAND TOTAL  —  matching + remaining",IF($BL11=1,"TOTAL MATCHED  —  every group together",IF($BH11=10,"REMAINING  —  did not match the search",IF($BH11=9,"ALL LOTS  —  nothing typed in the box","GROUP "&amp;$BH11&amp;" TOTAL  —  lots matching  "&amp;INDEX($AR$6:$AY$6,$BH11))))),""))</f>
        <v>Scrap of empty oil Barrels</v>
      </c>
      <c r="E11" s="69">
        <f>IF($BJ11&gt;0,IF(INDEX('Final Calculation Sheet'!$D$4:$D$40,$BJ11-3)="","",INDEX('Final Calculation Sheet'!$D$4:$D$40,$BJ11-3)),IF(OR($BI11=1,$BL11=1,$BH11&gt;0),"–",""))</f>
        <v>21978</v>
      </c>
      <c r="F11" s="69">
        <f>IF($BJ11&gt;0,IF(INDEX('Final Calculation Sheet'!$A$4:$A$40,$BJ11-3)="","",INDEX('Final Calculation Sheet'!$A$4:$A$40,$BJ11-3)),IF(OR($BI11=1,$BL11=1,$BH11&gt;0),IF($BI11=1,SUM('Final Calculation Sheet'!$A$4:$A$40),IF($BL11=1,SUM('Final Calculation Sheet'!$A$4:$A$40)-SUMIFS('Final Calculation Sheet'!$A$4:$A$40,$AZ$5:$AZ$41,10),SUMIFS('Final Calculation Sheet'!$A$4:$A$40,$AZ$5:$AZ$41,$BH11))),""))</f>
        <v>100</v>
      </c>
      <c r="G11" s="69" t="str">
        <f>IF($BJ11&gt;0,IF(INDEX('Final Calculation Sheet'!$E$4:$E$40,$BJ11-3)="","",INDEX('Final Calculation Sheet'!$E$4:$E$40,$BJ11-3)),IF(OR($BI11=1,$BL11=1,$BH11&gt;0),"–",""))</f>
        <v>NO</v>
      </c>
      <c r="H11" s="70">
        <f>IF($BJ11&gt;0,IF(INDEX('Final Calculation Sheet'!$C$4:$C$40,$BJ11-3)="","",INDEX('Final Calculation Sheet'!$C$4:$C$40,$BJ11-3)),IF(OR($BI11=1,$BL11=1,$BH11&gt;0),"–",""))</f>
        <v>710</v>
      </c>
      <c r="I11" s="70">
        <f>IF($BJ11&gt;0,IF(INDEX('Final Calculation Sheet'!$H$4:$H$40,$BJ11-3)="","",INDEX('Final Calculation Sheet'!$H$4:$H$40,$BJ11-3)),IF(OR($BI11=1,$BL11=1,$BH11&gt;0),IF($BI11=1,SUM('Final Calculation Sheet'!$H$4:$H$40),IF($BL11=1,SUM('Final Calculation Sheet'!$H$4:$H$40)-SUMIFS('Final Calculation Sheet'!$H$4:$H$40,$AZ$5:$AZ$41,10),SUMIFS('Final Calculation Sheet'!$H$4:$H$40,$AZ$5:$AZ$41,$BH11))),""))</f>
        <v>71000</v>
      </c>
      <c r="J11" s="70">
        <f>IF($BJ11&gt;0,IF(INDEX('Final Calculation Sheet'!$I$4:$I$40,$BJ11-3)="","",INDEX('Final Calculation Sheet'!$I$4:$I$40,$BJ11-3)),IF(OR($BI11=1,$BL11=1,$BH11&gt;0),IF($BI11=1,SUM('Final Calculation Sheet'!$I$4:$I$40),IF($BL11=1,SUM('Final Calculation Sheet'!$I$4:$I$40)-SUMIFS('Final Calculation Sheet'!$I$4:$I$40,$AZ$5:$AZ$41,10),SUMIFS('Final Calculation Sheet'!$I$4:$I$40,$AZ$5:$AZ$41,$BH11))),""))</f>
        <v>12780</v>
      </c>
      <c r="K11" s="70">
        <f>IF($BJ11&gt;0,IF(INDEX('Final Calculation Sheet'!$J$4:$J$40,$BJ11-3)="","",INDEX('Final Calculation Sheet'!$J$4:$J$40,$BJ11-3)),IF(OR($BI11=1,$BL11=1,$BH11&gt;0),IF($BI11=1,SUM('Final Calculation Sheet'!$J$4:$J$40),IF($BL11=1,SUM('Final Calculation Sheet'!$J$4:$J$40)-SUMIFS('Final Calculation Sheet'!$J$4:$J$40,$AZ$5:$AZ$41,10),SUMIFS('Final Calculation Sheet'!$J$4:$J$40,$AZ$5:$AZ$41,$BH11))),""))</f>
        <v>83780</v>
      </c>
      <c r="L11" s="70">
        <f>IF($BJ11&gt;0,IF(INDEX('Final Calculation Sheet'!$K$4:$K$40,$BJ11-3)="","",INDEX('Final Calculation Sheet'!$K$4:$K$40,$BJ11-3)),IF(OR($BI11=1,$BL11=1,$BH11&gt;0),IF($BI11=1,SUM('Final Calculation Sheet'!$K$4:$K$40),IF($BL11=1,SUM('Final Calculation Sheet'!$K$4:$K$40)-SUMIFS('Final Calculation Sheet'!$K$4:$K$40,$AZ$5:$AZ$41,10),SUMIFS('Final Calculation Sheet'!$K$4:$K$40,$AZ$5:$AZ$41,$BH11))),""))</f>
        <v>1676</v>
      </c>
      <c r="M11" s="70">
        <f>IF($BJ11&gt;0,IF(INDEX('Final Calculation Sheet'!$L$4:$L$40,$BJ11-3)="","",INDEX('Final Calculation Sheet'!$L$4:$L$40,$BJ11-3)),IF(OR($BI11=1,$BL11=1,$BH11&gt;0),IF($BI11=1,SUM('Final Calculation Sheet'!$L$4:$L$40),IF($BL11=1,SUM('Final Calculation Sheet'!$L$4:$L$40)-SUMIFS('Final Calculation Sheet'!$L$4:$L$40,$AZ$5:$AZ$41,10),SUMIFS('Final Calculation Sheet'!$L$4:$L$40,$AZ$5:$AZ$41,$BH11))),""))</f>
        <v>71</v>
      </c>
      <c r="N11" s="70">
        <f>IF($BJ11&gt;0,IF(INDEX('Final Calculation Sheet'!$M$4:$M$40,$BJ11-3)="","",INDEX('Final Calculation Sheet'!$M$4:$M$40,$BJ11-3)),IF(OR($BI11=1,$BL11=1,$BH11&gt;0),IF($BI11=1,SUM('Final Calculation Sheet'!$M$4:$M$40),IF($BL11=1,SUM('Final Calculation Sheet'!$M$4:$M$40)-SUMIFS('Final Calculation Sheet'!$M$4:$M$40,$AZ$5:$AZ$41,10),SUMIFS('Final Calculation Sheet'!$M$4:$M$40,$AZ$5:$AZ$41,$BH11))),""))</f>
        <v>1885.05</v>
      </c>
      <c r="O11" s="71">
        <f>IF($BJ11&gt;0,IF(INDEX('Final Calculation Sheet'!$N$4:$N$40,$BJ11-3)="","",INDEX('Final Calculation Sheet'!$N$4:$N$40,$BJ11-3)),IF(OR($BI11=1,$BL11=1,$BH11&gt;0),IF($BI11=1,SUM('Final Calculation Sheet'!$N$4:$N$40),IF($BL11=1,SUM('Final Calculation Sheet'!$N$4:$N$40)-SUMIFS('Final Calculation Sheet'!$N$4:$N$40,$AZ$5:$AZ$41,10),SUMIFS('Final Calculation Sheet'!$N$4:$N$40,$AZ$5:$AZ$41,$BH11))),""))</f>
        <v>31.95</v>
      </c>
      <c r="P11" s="70">
        <f>IF($BJ11&gt;0,IF(INDEX('Final Calculation Sheet'!$O$4:$O$40,$BJ11-3)="","",INDEX('Final Calculation Sheet'!$O$4:$O$40,$BJ11-3)),IF(OR($BI11=1,$BL11=1,$BH11&gt;0),IF($BI11=1,SUM('Final Calculation Sheet'!$O$4:$O$40),IF($BL11=1,SUM('Final Calculation Sheet'!$O$4:$O$40)-SUMIFS('Final Calculation Sheet'!$O$4:$O$40,$AZ$5:$AZ$41,10),SUMIFS('Final Calculation Sheet'!$O$4:$O$40,$AZ$5:$AZ$41,$BH11))),""))</f>
        <v>1853.1</v>
      </c>
      <c r="Q11" s="70">
        <f>IF($BJ11&gt;0,IF(INDEX('Final Calculation Sheet'!$P$4:$P$40,$BJ11-3)="","",INDEX('Final Calculation Sheet'!$P$4:$P$40,$BJ11-3)),IF(OR($BI11=1,$BL11=1,$BH11&gt;0),IF($BI11=1,SUM('Final Calculation Sheet'!$P$4:$P$40),IF($BL11=1,SUM('Final Calculation Sheet'!$P$4:$P$40)-SUMIFS('Final Calculation Sheet'!$P$4:$P$40,$AZ$5:$AZ$41,10),SUMIFS('Final Calculation Sheet'!$P$4:$P$40,$AZ$5:$AZ$41,$BH11))),""))</f>
        <v>1924</v>
      </c>
      <c r="R11" s="72">
        <f>IF($BJ11&gt;0,IF(INDEX('Final Calculation Sheet'!$Q$4:$Q$40,$BJ11-3)="","",INDEX('Final Calculation Sheet'!$Q$4:$Q$40,$BJ11-3)),IF(OR($BI11=1,$BL11=1,$BH11&gt;0),"–",""))</f>
        <v>0</v>
      </c>
      <c r="S11" s="70">
        <f>IF($BJ11&gt;0,IF(INDEX('Final Calculation Sheet'!$R$4:$R$40,$BJ11-3)="","",INDEX('Final Calculation Sheet'!$R$4:$R$40,$BJ11-3)),IF(OR($BI11=1,$BL11=1,$BH11&gt;0),IF($BI11=1,SUM('Final Calculation Sheet'!$R$4:$R$40),IF($BL11=1,SUM('Final Calculation Sheet'!$R$4:$R$40)-SUMIFS('Final Calculation Sheet'!$R$4:$R$40,$AZ$5:$AZ$41,10),SUMIFS('Final Calculation Sheet'!$R$4:$R$40,$AZ$5:$AZ$41,$BH11))),""))</f>
        <v>0</v>
      </c>
      <c r="T11" s="70">
        <f>IF($BJ11&gt;0,IF(INDEX('Final Calculation Sheet'!$S$4:$S$40,$BJ11-3)="","",INDEX('Final Calculation Sheet'!$S$4:$S$40,$BJ11-3)),IF(OR($BI11=1,$BL11=1,$BH11&gt;0),IF($BI11=1,SUM('Final Calculation Sheet'!$S$4:$S$40),IF($BL11=1,SUM('Final Calculation Sheet'!$S$4:$S$40)-SUMIFS('Final Calculation Sheet'!$S$4:$S$40,$AZ$5:$AZ$41,10),SUMIFS('Final Calculation Sheet'!$S$4:$S$40,$AZ$5:$AZ$41,$BH11))),""))</f>
        <v>83532</v>
      </c>
      <c r="U11" s="70">
        <f>IF($BJ11&gt;0,IF(INDEX('Final Calculation Sheet'!$T$4:$T$40,$BJ11-3)="","",INDEX('Final Calculation Sheet'!$T$4:$T$40,$BJ11-3)),IF(OR($BI11=1,$BL11=1,$BH11&gt;0),IF($BI11=1,SUM('Final Calculation Sheet'!$T$4:$T$40),IF($BL11=1,SUM('Final Calculation Sheet'!$T$4:$T$40)-SUMIFS('Final Calculation Sheet'!$T$4:$T$40,$AZ$5:$AZ$41,10),SUMIFS('Final Calculation Sheet'!$T$4:$T$40,$AZ$5:$AZ$41,$BH11))),""))</f>
        <v>17750</v>
      </c>
      <c r="V11" s="73">
        <f>IF($BJ11&gt;0,IF(INDEX('Final Calculation Sheet'!$U$4:$U$40,$BJ11-3)="","",INDEX('Final Calculation Sheet'!$U$4:$U$40,$BJ11-3)),IF(OR($BI11=1,$BL11=1,$BH11&gt;0),IF($BI11=1,SUM('Final Calculation Sheet'!$U$4:$U$40),IF($BL11=1,SUM('Final Calculation Sheet'!$U$4:$U$40)-SUMIFS('Final Calculation Sheet'!$U$4:$U$40,$AZ$5:$AZ$41,10),SUMIFS('Final Calculation Sheet'!$U$4:$U$40,$AZ$5:$AZ$41,$BH11))),""))</f>
        <v>17750</v>
      </c>
      <c r="W11" s="70" t="str">
        <f>IF($BJ11&gt;0,IF(INDEX('Final Calculation Sheet'!$V$4:$V$40,$BJ11-3)="","",INDEX('Final Calculation Sheet'!$V$4:$V$40,$BJ11-3)),IF(OR($BI11=1,$BL11=1,$BH11&gt;0),"–",""))</f>
        <v>11.08.2026</v>
      </c>
      <c r="X11" s="70">
        <f>IF($BJ11&gt;0,IF(INDEX('Final Calculation Sheet'!$W$4:$W$40,$BJ11-3)="","",INDEX('Final Calculation Sheet'!$W$4:$W$40,$BJ11-3)),IF(OR($BI11=1,$BL11=1,$BH11&gt;0),IF($BI11=1,SUM('Final Calculation Sheet'!$W$4:$W$40),IF($BL11=1,SUM('Final Calculation Sheet'!$W$4:$W$40)-SUMIFS('Final Calculation Sheet'!$W$4:$W$40,$AZ$5:$AZ$41,10),SUMIFS('Final Calculation Sheet'!$W$4:$W$40,$AZ$5:$AZ$41,$BH11))),""))</f>
        <v>65782</v>
      </c>
      <c r="Y11" s="70">
        <f>IF($BJ11&gt;0,IF(INDEX('Final Calculation Sheet'!$X$4:$X$40,$BJ11-3)="","",INDEX('Final Calculation Sheet'!$X$4:$X$40,$BJ11-3)),IF(OR($BI11=1,$BL11=1,$BH11&gt;0),IF($BI11=1,SUM('Final Calculation Sheet'!$X$4:$X$40),IF($BL11=1,SUM('Final Calculation Sheet'!$X$4:$X$40)-SUMIFS('Final Calculation Sheet'!$X$4:$X$40,$AZ$5:$AZ$41,10),SUMIFS('Final Calculation Sheet'!$X$4:$X$40,$AZ$5:$AZ$41,$BH11))),""))</f>
        <v>65782</v>
      </c>
      <c r="Z11" s="70" t="str">
        <f>IF($BJ11&gt;0,IF(INDEX('Final Calculation Sheet'!$Y$4:$Y$40,$BJ11-3)="","",INDEX('Final Calculation Sheet'!$Y$4:$Y$40,$BJ11-3)),IF(OR($BI11=1,$BL11=1,$BH11&gt;0),"–",""))</f>
        <v>11.08.2026</v>
      </c>
      <c r="AA11" s="70">
        <f ca="1">IF($BJ11&gt;0,IF(INDEX('Final Calculation Sheet'!$Z$4:$Z$40,$BJ11-3)="","",INDEX('Final Calculation Sheet'!$Z$4:$Z$40,$BJ11-3)),IF(OR($BI11=1,$BL11=1,$BH11&gt;0),IF($BI11=1,SUM('Final Calculation Sheet'!$Z$4:$Z$40),IF($BL11=1,SUM('Final Calculation Sheet'!$Z$4:$Z$40)-SUMIFS('Final Calculation Sheet'!$Z$4:$Z$40,$AZ$5:$AZ$41,10),SUMIFS('Final Calculation Sheet'!$Z$4:$Z$40,$AZ$5:$AZ$41,$BH11))),""))</f>
        <v>0</v>
      </c>
      <c r="AB11" s="70" t="str">
        <f>IF($BJ11&gt;0,IF(INDEX('Final Calculation Sheet'!$AA$4:$AA$40,$BJ11-3)="","",INDEX('Final Calculation Sheet'!$AA$4:$AA$40,$BJ11-3)),IF(OR($BI11=1,$BL11=1,$BH11&gt;0),IF($BI11=1,SUM('Final Calculation Sheet'!$AA$4:$AA$40),IF($BL11=1,SUM('Final Calculation Sheet'!$AA$4:$AA$40)-SUMIFS('Final Calculation Sheet'!$AA$4:$AA$40,$AZ$5:$AZ$41,10),SUMIFS('Final Calculation Sheet'!$AA$4:$AA$40,$AZ$5:$AZ$41,$BH11))),""))</f>
        <v/>
      </c>
      <c r="AC11" s="70" t="str">
        <f>IF($BJ11&gt;0,IF(INDEX('Final Calculation Sheet'!$AB$4:$AB$40,$BJ11-3)="","",INDEX('Final Calculation Sheet'!$AB$4:$AB$40,$BJ11-3)),IF(OR($BI11=1,$BL11=1,$BH11&gt;0),"–",""))</f>
        <v/>
      </c>
      <c r="AD11" s="70">
        <f>IF($BJ11&gt;0,IF(INDEX('Final Calculation Sheet'!$AC$4:$AC$40,$BJ11-3)="","",INDEX('Final Calculation Sheet'!$AC$4:$AC$40,$BJ11-3)),IF(OR($BI11=1,$BL11=1,$BH11&gt;0),IF($BI11=1,SUM('Final Calculation Sheet'!$AC$4:$AC$40),IF($BL11=1,SUM('Final Calculation Sheet'!$AC$4:$AC$40)-SUMIFS('Final Calculation Sheet'!$AC$4:$AC$40,$AZ$5:$AZ$41,10),SUMIFS('Final Calculation Sheet'!$AC$4:$AC$40,$AZ$5:$AZ$41,$BH11))),""))</f>
        <v>83532</v>
      </c>
      <c r="AE11" s="70">
        <f>IF($BJ11&gt;0,IF(INDEX('Final Calculation Sheet'!$AD$4:$AD$40,$BJ11-3)="","",INDEX('Final Calculation Sheet'!$AD$4:$AD$40,$BJ11-3)),IF(OR($BI11=1,$BL11=1,$BH11&gt;0),IF($BI11=1,SUM('Final Calculation Sheet'!$AD$4:$AD$40),IF($BL11=1,SUM('Final Calculation Sheet'!$AD$4:$AD$40)-SUMIFS('Final Calculation Sheet'!$AD$4:$AD$40,$AZ$5:$AZ$41,10),SUMIFS('Final Calculation Sheet'!$AD$4:$AD$40,$AZ$5:$AZ$41,$BH11))),""))</f>
        <v>0</v>
      </c>
      <c r="AF11" s="70" t="str">
        <f>IF($BJ11&gt;0,IF(INDEX('Final Calculation Sheet'!$AE$4:$AE$40,$BJ11-3)="","",INDEX('Final Calculation Sheet'!$AE$4:$AE$40,$BJ11-3)),IF(OR($BI11=1,$BL11=1,$BH11&gt;0),"–",""))</f>
        <v>DR2640100020</v>
      </c>
      <c r="AG11" s="74">
        <f>IF($BJ11&gt;0,IF(INDEX('Final Calculation Sheet'!$AF$4:$AF$40,$BJ11-3)="","",INDEX('Final Calculation Sheet'!$AF$4:$AF$40,$BJ11-3)),IF(OR($BI11=1,$BL11=1,$BH11&gt;0),"–",""))</f>
        <v>1800003158</v>
      </c>
      <c r="AH11" s="70" t="str">
        <f>IF($BJ11&gt;0,IF(INDEX('Final Calculation Sheet'!$AG$4:$AG$40,$BJ11-3)="","",INDEX('Final Calculation Sheet'!$AG$4:$AG$40,$BJ11-3)),IF(OR($BI11=1,$BL11=1,$BH11&gt;0),"–",""))</f>
        <v>14.08.2026</v>
      </c>
      <c r="AI11" s="75" t="str">
        <f>IF($BJ11&gt;0,IF(INDEX('Final Calculation Sheet'!$AD$4:$AD$40,$BJ11-3)="","",IF(INDEX('Final Calculation Sheet'!$AD$4:$AD$40,$BJ11-3)&lt;=0,"SETTLED","OUTSTANDING")),IF(OR($BI11=1,$BL11=1,$BH11&gt;0),IF(IF($BI11=1,SUM('Final Calculation Sheet'!$AD$4:$AD$40),IF($BL11=1,SUM('Final Calculation Sheet'!$AD$4:$AD$40)-SUMIFS('Final Calculation Sheet'!$AD$4:$AD$40,$AZ$5:$AZ$41,10),SUMIFS('Final Calculation Sheet'!$AD$4:$AD$40,$AZ$5:$AZ$41,$BH11)))&lt;=0,"ALL SETTLED","OUTSTANDING"),""))</f>
        <v>SETTLED</v>
      </c>
      <c r="AK11" t="str">
        <f>IF($F$3="Lot No.",'Final Calculation Sheet'!$F$10,IF($F$3="Buyer",'Final Calculation Sheet'!$G$10,IF($F$3="Lot Name",'Final Calculation Sheet'!$B$10,IF($F$3="Bid Sheet",'Final Calculation Sheet'!$D$10,IF($F$3="Unit",'Final Calculation Sheet'!$E$10,'Final Calculation Sheet'!$F$10&amp;" "&amp;'Final Calculation Sheet'!$G$10&amp;" "&amp;'Final Calculation Sheet'!$B$10)))))</f>
        <v>2002 NATIONAL ENTERPRISES Scrap of 132 KV CT</v>
      </c>
      <c r="AM11">
        <f t="shared" si="1"/>
        <v>0</v>
      </c>
      <c r="AZ11">
        <f t="shared" si="2"/>
        <v>10</v>
      </c>
      <c r="BA11">
        <f t="shared" si="3"/>
        <v>6</v>
      </c>
      <c r="BB11">
        <f t="shared" si="4"/>
        <v>22</v>
      </c>
      <c r="BC11">
        <v>10</v>
      </c>
      <c r="BD11">
        <f>COUNTIF($AZ$5:$AZ$41,8)</f>
        <v>0</v>
      </c>
      <c r="BE11">
        <f t="shared" si="5"/>
        <v>16</v>
      </c>
      <c r="BF11">
        <f t="shared" si="0"/>
        <v>0</v>
      </c>
      <c r="BH11">
        <f>IFERROR(MATCH(11,$BF$4:$BF$13,0),0)</f>
        <v>0</v>
      </c>
      <c r="BI11">
        <f>IF(11=$BG$5,1,0)</f>
        <v>0</v>
      </c>
      <c r="BJ11">
        <f>IF(OR($BH11&gt;0,$BI11=1,$BL11=1),0,IFERROR(INDEX($BC$5:$BC$41,MATCH(11,$BB$5:$BB$41,0)),0))</f>
        <v>17</v>
      </c>
      <c r="BK11">
        <f>IF($BJ11&gt;0,IF(INDEX($AZ$5:$AZ$41,MATCH(11,$BB$5:$BB$41,0))=10,1,0),IF($BH11=10,1,0))</f>
        <v>0</v>
      </c>
      <c r="BL11">
        <f>IF(11=$BG$4,1,0)</f>
        <v>0</v>
      </c>
    </row>
    <row r="12" spans="1:64" ht="15" customHeight="1" x14ac:dyDescent="0.25">
      <c r="A12" s="67">
        <f>IF($BJ12&gt;0,INDEX($BA$5:$BA$41,MATCH(12,$BB$5:$BB$41,0)),IF(OR($BI12=1,$BL12=1,$BH12&gt;0),"∑",""))</f>
        <v>3</v>
      </c>
      <c r="B12" s="68">
        <f>IF($BJ12&gt;0,IF(INDEX('Final Calculation Sheet'!$F$4:$F$40,$BJ12-3)="","",INDEX('Final Calculation Sheet'!$F$4:$F$40,$BJ12-3)),"")</f>
        <v>2025</v>
      </c>
      <c r="C12" s="68" t="str">
        <f>IF($BJ12&gt;0,IF(INDEX('Final Calculation Sheet'!$G$4:$G$40,$BJ12-3)="","",INDEX('Final Calculation Sheet'!$G$4:$G$40,$BJ12-3)),IF(OR($BI12=1,$BL12=1,$BH12&gt;0),IF($BI12=1,37,IF($BL12=1,37-INDEX($BD$4:$BD$13,10),INDEX($BD$4:$BD$13,$BH12)))&amp;" lot(s)",""))</f>
        <v>STERLING ENTERPRISES</v>
      </c>
      <c r="D12" s="69" t="str">
        <f>IF($BJ12&gt;0,IF(INDEX('Final Calculation Sheet'!$B$4:$B$40,$BJ12-3)="","",INDEX('Final Calculation Sheet'!$B$4:$B$40,$BJ12-3)),IF(OR($BI12=1,$BL12=1,$BH12&gt;0),IF($BI12=1,"GRAND TOTAL  —  matching + remaining",IF($BL12=1,"TOTAL MATCHED  —  every group together",IF($BH12=10,"REMAINING  —  did not match the search",IF($BH12=9,"ALL LOTS  —  nothing typed in the box","GROUP "&amp;$BH12&amp;" TOTAL  —  lots matching  "&amp;INDEX($AR$6:$AY$6,$BH12))))),""))</f>
        <v>Scrap of empty oil Barrels</v>
      </c>
      <c r="E12" s="69">
        <f>IF($BJ12&gt;0,IF(INDEX('Final Calculation Sheet'!$D$4:$D$40,$BJ12-3)="","",INDEX('Final Calculation Sheet'!$D$4:$D$40,$BJ12-3)),IF(OR($BI12=1,$BL12=1,$BH12&gt;0),"–",""))</f>
        <v>21978</v>
      </c>
      <c r="F12" s="69">
        <f>IF($BJ12&gt;0,IF(INDEX('Final Calculation Sheet'!$A$4:$A$40,$BJ12-3)="","",INDEX('Final Calculation Sheet'!$A$4:$A$40,$BJ12-3)),IF(OR($BI12=1,$BL12=1,$BH12&gt;0),IF($BI12=1,SUM('Final Calculation Sheet'!$A$4:$A$40),IF($BL12=1,SUM('Final Calculation Sheet'!$A$4:$A$40)-SUMIFS('Final Calculation Sheet'!$A$4:$A$40,$AZ$5:$AZ$41,10),SUMIFS('Final Calculation Sheet'!$A$4:$A$40,$AZ$5:$AZ$41,$BH12))),""))</f>
        <v>90</v>
      </c>
      <c r="G12" s="69" t="str">
        <f>IF($BJ12&gt;0,IF(INDEX('Final Calculation Sheet'!$E$4:$E$40,$BJ12-3)="","",INDEX('Final Calculation Sheet'!$E$4:$E$40,$BJ12-3)),IF(OR($BI12=1,$BL12=1,$BH12&gt;0),"–",""))</f>
        <v>NO</v>
      </c>
      <c r="H12" s="70">
        <f>IF($BJ12&gt;0,IF(INDEX('Final Calculation Sheet'!$C$4:$C$40,$BJ12-3)="","",INDEX('Final Calculation Sheet'!$C$4:$C$40,$BJ12-3)),IF(OR($BI12=1,$BL12=1,$BH12&gt;0),"–",""))</f>
        <v>700</v>
      </c>
      <c r="I12" s="70">
        <f>IF($BJ12&gt;0,IF(INDEX('Final Calculation Sheet'!$H$4:$H$40,$BJ12-3)="","",INDEX('Final Calculation Sheet'!$H$4:$H$40,$BJ12-3)),IF(OR($BI12=1,$BL12=1,$BH12&gt;0),IF($BI12=1,SUM('Final Calculation Sheet'!$H$4:$H$40),IF($BL12=1,SUM('Final Calculation Sheet'!$H$4:$H$40)-SUMIFS('Final Calculation Sheet'!$H$4:$H$40,$AZ$5:$AZ$41,10),SUMIFS('Final Calculation Sheet'!$H$4:$H$40,$AZ$5:$AZ$41,$BH12))),""))</f>
        <v>63000</v>
      </c>
      <c r="J12" s="70">
        <f>IF($BJ12&gt;0,IF(INDEX('Final Calculation Sheet'!$I$4:$I$40,$BJ12-3)="","",INDEX('Final Calculation Sheet'!$I$4:$I$40,$BJ12-3)),IF(OR($BI12=1,$BL12=1,$BH12&gt;0),IF($BI12=1,SUM('Final Calculation Sheet'!$I$4:$I$40),IF($BL12=1,SUM('Final Calculation Sheet'!$I$4:$I$40)-SUMIFS('Final Calculation Sheet'!$I$4:$I$40,$AZ$5:$AZ$41,10),SUMIFS('Final Calculation Sheet'!$I$4:$I$40,$AZ$5:$AZ$41,$BH12))),""))</f>
        <v>11340</v>
      </c>
      <c r="K12" s="70">
        <f>IF($BJ12&gt;0,IF(INDEX('Final Calculation Sheet'!$J$4:$J$40,$BJ12-3)="","",INDEX('Final Calculation Sheet'!$J$4:$J$40,$BJ12-3)),IF(OR($BI12=1,$BL12=1,$BH12&gt;0),IF($BI12=1,SUM('Final Calculation Sheet'!$J$4:$J$40),IF($BL12=1,SUM('Final Calculation Sheet'!$J$4:$J$40)-SUMIFS('Final Calculation Sheet'!$J$4:$J$40,$AZ$5:$AZ$41,10),SUMIFS('Final Calculation Sheet'!$J$4:$J$40,$AZ$5:$AZ$41,$BH12))),""))</f>
        <v>74340</v>
      </c>
      <c r="L12" s="70">
        <f>IF($BJ12&gt;0,IF(INDEX('Final Calculation Sheet'!$K$4:$K$40,$BJ12-3)="","",INDEX('Final Calculation Sheet'!$K$4:$K$40,$BJ12-3)),IF(OR($BI12=1,$BL12=1,$BH12&gt;0),IF($BI12=1,SUM('Final Calculation Sheet'!$K$4:$K$40),IF($BL12=1,SUM('Final Calculation Sheet'!$K$4:$K$40)-SUMIFS('Final Calculation Sheet'!$K$4:$K$40,$AZ$5:$AZ$41,10),SUMIFS('Final Calculation Sheet'!$K$4:$K$40,$AZ$5:$AZ$41,$BH12))),""))</f>
        <v>1487</v>
      </c>
      <c r="M12" s="70">
        <f>IF($BJ12&gt;0,IF(INDEX('Final Calculation Sheet'!$L$4:$L$40,$BJ12-3)="","",INDEX('Final Calculation Sheet'!$L$4:$L$40,$BJ12-3)),IF(OR($BI12=1,$BL12=1,$BH12&gt;0),IF($BI12=1,SUM('Final Calculation Sheet'!$L$4:$L$40),IF($BL12=1,SUM('Final Calculation Sheet'!$L$4:$L$40)-SUMIFS('Final Calculation Sheet'!$L$4:$L$40,$AZ$5:$AZ$41,10),SUMIFS('Final Calculation Sheet'!$L$4:$L$40,$AZ$5:$AZ$41,$BH12))),""))</f>
        <v>63</v>
      </c>
      <c r="N12" s="70">
        <f>IF($BJ12&gt;0,IF(INDEX('Final Calculation Sheet'!$M$4:$M$40,$BJ12-3)="","",INDEX('Final Calculation Sheet'!$M$4:$M$40,$BJ12-3)),IF(OR($BI12=1,$BL12=1,$BH12&gt;0),IF($BI12=1,SUM('Final Calculation Sheet'!$M$4:$M$40),IF($BL12=1,SUM('Final Calculation Sheet'!$M$4:$M$40)-SUMIFS('Final Calculation Sheet'!$M$4:$M$40,$AZ$5:$AZ$41,10),SUMIFS('Final Calculation Sheet'!$M$4:$M$40,$AZ$5:$AZ$41,$BH12))),""))</f>
        <v>1672.6499999999999</v>
      </c>
      <c r="O12" s="71">
        <f>IF($BJ12&gt;0,IF(INDEX('Final Calculation Sheet'!$N$4:$N$40,$BJ12-3)="","",INDEX('Final Calculation Sheet'!$N$4:$N$40,$BJ12-3)),IF(OR($BI12=1,$BL12=1,$BH12&gt;0),IF($BI12=1,SUM('Final Calculation Sheet'!$N$4:$N$40),IF($BL12=1,SUM('Final Calculation Sheet'!$N$4:$N$40)-SUMIFS('Final Calculation Sheet'!$N$4:$N$40,$AZ$5:$AZ$41,10),SUMIFS('Final Calculation Sheet'!$N$4:$N$40,$AZ$5:$AZ$41,$BH12))),""))</f>
        <v>28.35</v>
      </c>
      <c r="P12" s="70">
        <f>IF($BJ12&gt;0,IF(INDEX('Final Calculation Sheet'!$O$4:$O$40,$BJ12-3)="","",INDEX('Final Calculation Sheet'!$O$4:$O$40,$BJ12-3)),IF(OR($BI12=1,$BL12=1,$BH12&gt;0),IF($BI12=1,SUM('Final Calculation Sheet'!$O$4:$O$40),IF($BL12=1,SUM('Final Calculation Sheet'!$O$4:$O$40)-SUMIFS('Final Calculation Sheet'!$O$4:$O$40,$AZ$5:$AZ$41,10),SUMIFS('Final Calculation Sheet'!$O$4:$O$40,$AZ$5:$AZ$41,$BH12))),""))</f>
        <v>1644.3</v>
      </c>
      <c r="Q12" s="70">
        <f>IF($BJ12&gt;0,IF(INDEX('Final Calculation Sheet'!$P$4:$P$40,$BJ12-3)="","",INDEX('Final Calculation Sheet'!$P$4:$P$40,$BJ12-3)),IF(OR($BI12=1,$BL12=1,$BH12&gt;0),IF($BI12=1,SUM('Final Calculation Sheet'!$P$4:$P$40),IF($BL12=1,SUM('Final Calculation Sheet'!$P$4:$P$40)-SUMIFS('Final Calculation Sheet'!$P$4:$P$40,$AZ$5:$AZ$41,10),SUMIFS('Final Calculation Sheet'!$P$4:$P$40,$AZ$5:$AZ$41,$BH12))),""))</f>
        <v>1707</v>
      </c>
      <c r="R12" s="72">
        <f>IF($BJ12&gt;0,IF(INDEX('Final Calculation Sheet'!$Q$4:$Q$40,$BJ12-3)="","",INDEX('Final Calculation Sheet'!$Q$4:$Q$40,$BJ12-3)),IF(OR($BI12=1,$BL12=1,$BH12&gt;0),"–",""))</f>
        <v>0</v>
      </c>
      <c r="S12" s="70">
        <f>IF($BJ12&gt;0,IF(INDEX('Final Calculation Sheet'!$R$4:$R$40,$BJ12-3)="","",INDEX('Final Calculation Sheet'!$R$4:$R$40,$BJ12-3)),IF(OR($BI12=1,$BL12=1,$BH12&gt;0),IF($BI12=1,SUM('Final Calculation Sheet'!$R$4:$R$40),IF($BL12=1,SUM('Final Calculation Sheet'!$R$4:$R$40)-SUMIFS('Final Calculation Sheet'!$R$4:$R$40,$AZ$5:$AZ$41,10),SUMIFS('Final Calculation Sheet'!$R$4:$R$40,$AZ$5:$AZ$41,$BH12))),""))</f>
        <v>0</v>
      </c>
      <c r="T12" s="70">
        <f>IF($BJ12&gt;0,IF(INDEX('Final Calculation Sheet'!$S$4:$S$40,$BJ12-3)="","",INDEX('Final Calculation Sheet'!$S$4:$S$40,$BJ12-3)),IF(OR($BI12=1,$BL12=1,$BH12&gt;0),IF($BI12=1,SUM('Final Calculation Sheet'!$S$4:$S$40),IF($BL12=1,SUM('Final Calculation Sheet'!$S$4:$S$40)-SUMIFS('Final Calculation Sheet'!$S$4:$S$40,$AZ$5:$AZ$41,10),SUMIFS('Final Calculation Sheet'!$S$4:$S$40,$AZ$5:$AZ$41,$BH12))),""))</f>
        <v>74120</v>
      </c>
      <c r="U12" s="70">
        <f>IF($BJ12&gt;0,IF(INDEX('Final Calculation Sheet'!$T$4:$T$40,$BJ12-3)="","",INDEX('Final Calculation Sheet'!$T$4:$T$40,$BJ12-3)),IF(OR($BI12=1,$BL12=1,$BH12&gt;0),IF($BI12=1,SUM('Final Calculation Sheet'!$T$4:$T$40),IF($BL12=1,SUM('Final Calculation Sheet'!$T$4:$T$40)-SUMIFS('Final Calculation Sheet'!$T$4:$T$40,$AZ$5:$AZ$41,10),SUMIFS('Final Calculation Sheet'!$T$4:$T$40,$AZ$5:$AZ$41,$BH12))),""))</f>
        <v>15750</v>
      </c>
      <c r="V12" s="73">
        <f>IF($BJ12&gt;0,IF(INDEX('Final Calculation Sheet'!$U$4:$U$40,$BJ12-3)="","",INDEX('Final Calculation Sheet'!$U$4:$U$40,$BJ12-3)),IF(OR($BI12=1,$BL12=1,$BH12&gt;0),IF($BI12=1,SUM('Final Calculation Sheet'!$U$4:$U$40),IF($BL12=1,SUM('Final Calculation Sheet'!$U$4:$U$40)-SUMIFS('Final Calculation Sheet'!$U$4:$U$40,$AZ$5:$AZ$41,10),SUMIFS('Final Calculation Sheet'!$U$4:$U$40,$AZ$5:$AZ$41,$BH12))),""))</f>
        <v>15750</v>
      </c>
      <c r="W12" s="70" t="str">
        <f>IF($BJ12&gt;0,IF(INDEX('Final Calculation Sheet'!$V$4:$V$40,$BJ12-3)="","",INDEX('Final Calculation Sheet'!$V$4:$V$40,$BJ12-3)),IF(OR($BI12=1,$BL12=1,$BH12&gt;0),"–",""))</f>
        <v>11.08.2026</v>
      </c>
      <c r="X12" s="70">
        <f>IF($BJ12&gt;0,IF(INDEX('Final Calculation Sheet'!$W$4:$W$40,$BJ12-3)="","",INDEX('Final Calculation Sheet'!$W$4:$W$40,$BJ12-3)),IF(OR($BI12=1,$BL12=1,$BH12&gt;0),IF($BI12=1,SUM('Final Calculation Sheet'!$W$4:$W$40),IF($BL12=1,SUM('Final Calculation Sheet'!$W$4:$W$40)-SUMIFS('Final Calculation Sheet'!$W$4:$W$40,$AZ$5:$AZ$41,10),SUMIFS('Final Calculation Sheet'!$W$4:$W$40,$AZ$5:$AZ$41,$BH12))),""))</f>
        <v>58370</v>
      </c>
      <c r="Y12" s="70">
        <f>IF($BJ12&gt;0,IF(INDEX('Final Calculation Sheet'!$X$4:$X$40,$BJ12-3)="","",INDEX('Final Calculation Sheet'!$X$4:$X$40,$BJ12-3)),IF(OR($BI12=1,$BL12=1,$BH12&gt;0),IF($BI12=1,SUM('Final Calculation Sheet'!$X$4:$X$40),IF($BL12=1,SUM('Final Calculation Sheet'!$X$4:$X$40)-SUMIFS('Final Calculation Sheet'!$X$4:$X$40,$AZ$5:$AZ$41,10),SUMIFS('Final Calculation Sheet'!$X$4:$X$40,$AZ$5:$AZ$41,$BH12))),""))</f>
        <v>58418</v>
      </c>
      <c r="Z12" s="70" t="str">
        <f>IF($BJ12&gt;0,IF(INDEX('Final Calculation Sheet'!$Y$4:$Y$40,$BJ12-3)="","",INDEX('Final Calculation Sheet'!$Y$4:$Y$40,$BJ12-3)),IF(OR($BI12=1,$BL12=1,$BH12&gt;0),"–",""))</f>
        <v>11.08.2026</v>
      </c>
      <c r="AA12" s="70">
        <f ca="1">IF($BJ12&gt;0,IF(INDEX('Final Calculation Sheet'!$Z$4:$Z$40,$BJ12-3)="","",INDEX('Final Calculation Sheet'!$Z$4:$Z$40,$BJ12-3)),IF(OR($BI12=1,$BL12=1,$BH12&gt;0),IF($BI12=1,SUM('Final Calculation Sheet'!$Z$4:$Z$40),IF($BL12=1,SUM('Final Calculation Sheet'!$Z$4:$Z$40)-SUMIFS('Final Calculation Sheet'!$Z$4:$Z$40,$AZ$5:$AZ$41,10),SUMIFS('Final Calculation Sheet'!$Z$4:$Z$40,$AZ$5:$AZ$41,$BH12))),""))</f>
        <v>0</v>
      </c>
      <c r="AB12" s="70" t="str">
        <f>IF($BJ12&gt;0,IF(INDEX('Final Calculation Sheet'!$AA$4:$AA$40,$BJ12-3)="","",INDEX('Final Calculation Sheet'!$AA$4:$AA$40,$BJ12-3)),IF(OR($BI12=1,$BL12=1,$BH12&gt;0),IF($BI12=1,SUM('Final Calculation Sheet'!$AA$4:$AA$40),IF($BL12=1,SUM('Final Calculation Sheet'!$AA$4:$AA$40)-SUMIFS('Final Calculation Sheet'!$AA$4:$AA$40,$AZ$5:$AZ$41,10),SUMIFS('Final Calculation Sheet'!$AA$4:$AA$40,$AZ$5:$AZ$41,$BH12))),""))</f>
        <v/>
      </c>
      <c r="AC12" s="70" t="str">
        <f>IF($BJ12&gt;0,IF(INDEX('Final Calculation Sheet'!$AB$4:$AB$40,$BJ12-3)="","",INDEX('Final Calculation Sheet'!$AB$4:$AB$40,$BJ12-3)),IF(OR($BI12=1,$BL12=1,$BH12&gt;0),"–",""))</f>
        <v/>
      </c>
      <c r="AD12" s="70">
        <f>IF($BJ12&gt;0,IF(INDEX('Final Calculation Sheet'!$AC$4:$AC$40,$BJ12-3)="","",INDEX('Final Calculation Sheet'!$AC$4:$AC$40,$BJ12-3)),IF(OR($BI12=1,$BL12=1,$BH12&gt;0),IF($BI12=1,SUM('Final Calculation Sheet'!$AC$4:$AC$40),IF($BL12=1,SUM('Final Calculation Sheet'!$AC$4:$AC$40)-SUMIFS('Final Calculation Sheet'!$AC$4:$AC$40,$AZ$5:$AZ$41,10),SUMIFS('Final Calculation Sheet'!$AC$4:$AC$40,$AZ$5:$AZ$41,$BH12))),""))</f>
        <v>74168</v>
      </c>
      <c r="AE12" s="70">
        <f>IF($BJ12&gt;0,IF(INDEX('Final Calculation Sheet'!$AD$4:$AD$40,$BJ12-3)="","",INDEX('Final Calculation Sheet'!$AD$4:$AD$40,$BJ12-3)),IF(OR($BI12=1,$BL12=1,$BH12&gt;0),IF($BI12=1,SUM('Final Calculation Sheet'!$AD$4:$AD$40),IF($BL12=1,SUM('Final Calculation Sheet'!$AD$4:$AD$40)-SUMIFS('Final Calculation Sheet'!$AD$4:$AD$40,$AZ$5:$AZ$41,10),SUMIFS('Final Calculation Sheet'!$AD$4:$AD$40,$AZ$5:$AZ$41,$BH12))),""))</f>
        <v>-48</v>
      </c>
      <c r="AF12" s="70" t="str">
        <f>IF($BJ12&gt;0,IF(INDEX('Final Calculation Sheet'!$AE$4:$AE$40,$BJ12-3)="","",INDEX('Final Calculation Sheet'!$AE$4:$AE$40,$BJ12-3)),IF(OR($BI12=1,$BL12=1,$BH12&gt;0),"–",""))</f>
        <v>DR2640100021</v>
      </c>
      <c r="AG12" s="74">
        <f>IF($BJ12&gt;0,IF(INDEX('Final Calculation Sheet'!$AF$4:$AF$40,$BJ12-3)="","",INDEX('Final Calculation Sheet'!$AF$4:$AF$40,$BJ12-3)),IF(OR($BI12=1,$BL12=1,$BH12&gt;0),"–",""))</f>
        <v>1800003160</v>
      </c>
      <c r="AH12" s="70" t="str">
        <f>IF($BJ12&gt;0,IF(INDEX('Final Calculation Sheet'!$AG$4:$AG$40,$BJ12-3)="","",INDEX('Final Calculation Sheet'!$AG$4:$AG$40,$BJ12-3)),IF(OR($BI12=1,$BL12=1,$BH12&gt;0),"–",""))</f>
        <v>14.08.2026</v>
      </c>
      <c r="AI12" s="75" t="str">
        <f>IF($BJ12&gt;0,IF(INDEX('Final Calculation Sheet'!$AD$4:$AD$40,$BJ12-3)="","",IF(INDEX('Final Calculation Sheet'!$AD$4:$AD$40,$BJ12-3)&lt;=0,"SETTLED","OUTSTANDING")),IF(OR($BI12=1,$BL12=1,$BH12&gt;0),IF(IF($BI12=1,SUM('Final Calculation Sheet'!$AD$4:$AD$40),IF($BL12=1,SUM('Final Calculation Sheet'!$AD$4:$AD$40)-SUMIFS('Final Calculation Sheet'!$AD$4:$AD$40,$AZ$5:$AZ$41,10),SUMIFS('Final Calculation Sheet'!$AD$4:$AD$40,$AZ$5:$AZ$41,$BH12)))&lt;=0,"ALL SETTLED","OUTSTANDING"),""))</f>
        <v>SETTLED</v>
      </c>
      <c r="AK12" t="str">
        <f>IF($F$3="Lot No.",'Final Calculation Sheet'!$F$11,IF($F$3="Buyer",'Final Calculation Sheet'!$G$11,IF($F$3="Lot Name",'Final Calculation Sheet'!$B$11,IF($F$3="Bid Sheet",'Final Calculation Sheet'!$D$11,IF($F$3="Unit",'Final Calculation Sheet'!$E$11,'Final Calculation Sheet'!$F$11&amp;" "&amp;'Final Calculation Sheet'!$G$11&amp;" "&amp;'Final Calculation Sheet'!$B$11)))))</f>
        <v>2003 NATIONAL ENTERPRISES Scrap of 145 KV CB</v>
      </c>
      <c r="AM12">
        <f t="shared" si="1"/>
        <v>0</v>
      </c>
      <c r="AZ12">
        <f t="shared" si="2"/>
        <v>10</v>
      </c>
      <c r="BA12">
        <f t="shared" si="3"/>
        <v>7</v>
      </c>
      <c r="BB12">
        <f t="shared" si="4"/>
        <v>23</v>
      </c>
      <c r="BC12">
        <v>11</v>
      </c>
      <c r="BD12">
        <f>COUNTIF($AZ$5:$AZ$41,9)</f>
        <v>0</v>
      </c>
      <c r="BE12">
        <f t="shared" si="5"/>
        <v>16</v>
      </c>
      <c r="BF12">
        <f t="shared" si="0"/>
        <v>0</v>
      </c>
      <c r="BH12">
        <f>IFERROR(MATCH(12,$BF$4:$BF$13,0),0)</f>
        <v>0</v>
      </c>
      <c r="BI12">
        <f>IF(12=$BG$5,1,0)</f>
        <v>0</v>
      </c>
      <c r="BJ12">
        <f>IF(OR($BH12&gt;0,$BI12=1,$BL12=1),0,IFERROR(INDEX($BC$5:$BC$41,MATCH(12,$BB$5:$BB$41,0)),0))</f>
        <v>23</v>
      </c>
      <c r="BK12">
        <f>IF($BJ12&gt;0,IF(INDEX($AZ$5:$AZ$41,MATCH(12,$BB$5:$BB$41,0))=10,1,0),IF($BH12=10,1,0))</f>
        <v>0</v>
      </c>
      <c r="BL12">
        <f>IF(12=$BG$4,1,0)</f>
        <v>0</v>
      </c>
    </row>
    <row r="13" spans="1:64" ht="15" customHeight="1" x14ac:dyDescent="0.25">
      <c r="A13" s="67">
        <f>IF($BJ13&gt;0,INDEX($BA$5:$BA$41,MATCH(13,$BB$5:$BB$41,0)),IF(OR($BI13=1,$BL13=1,$BH13&gt;0),"∑",""))</f>
        <v>4</v>
      </c>
      <c r="B13" s="68">
        <f>IF($BJ13&gt;0,IF(INDEX('Final Calculation Sheet'!$F$4:$F$40,$BJ13-3)="","",INDEX('Final Calculation Sheet'!$F$4:$F$40,$BJ13-3)),"")</f>
        <v>2037</v>
      </c>
      <c r="C13" s="68" t="str">
        <f>IF($BJ13&gt;0,IF(INDEX('Final Calculation Sheet'!$G$4:$G$40,$BJ13-3)="","",INDEX('Final Calculation Sheet'!$G$4:$G$40,$BJ13-3)),IF(OR($BI13=1,$BL13=1,$BH13&gt;0),IF($BI13=1,37,IF($BL13=1,37-INDEX($BD$4:$BD$13,10),INDEX($BD$4:$BD$13,$BH13)))&amp;" lot(s)",""))</f>
        <v>WATAN SCRAP TRADERS</v>
      </c>
      <c r="D13" s="69" t="str">
        <f>IF($BJ13&gt;0,IF(INDEX('Final Calculation Sheet'!$B$4:$B$40,$BJ13-3)="","",INDEX('Final Calculation Sheet'!$B$4:$B$40,$BJ13-3)),IF(OR($BI13=1,$BL13=1,$BH13&gt;0),IF($BI13=1,"GRAND TOTAL  —  matching + remaining",IF($BL13=1,"TOTAL MATCHED  —  every group together",IF($BH13=10,"REMAINING  —  did not match the search",IF($BH13=9,"ALL LOTS  —  nothing typed in the box","GROUP "&amp;$BH13&amp;" TOTAL  —  lots matching  "&amp;INDEX($AR$6:$AY$6,$BH13))))),""))</f>
        <v>Scrap of empty oil Barrels</v>
      </c>
      <c r="E13" s="69">
        <f>IF($BJ13&gt;0,IF(INDEX('Final Calculation Sheet'!$D$4:$D$40,$BJ13-3)="","",INDEX('Final Calculation Sheet'!$D$4:$D$40,$BJ13-3)),IF(OR($BI13=1,$BL13=1,$BH13&gt;0),"–",""))</f>
        <v>21978</v>
      </c>
      <c r="F13" s="69">
        <f>IF($BJ13&gt;0,IF(INDEX('Final Calculation Sheet'!$A$4:$A$40,$BJ13-3)="","",INDEX('Final Calculation Sheet'!$A$4:$A$40,$BJ13-3)),IF(OR($BI13=1,$BL13=1,$BH13&gt;0),IF($BI13=1,SUM('Final Calculation Sheet'!$A$4:$A$40),IF($BL13=1,SUM('Final Calculation Sheet'!$A$4:$A$40)-SUMIFS('Final Calculation Sheet'!$A$4:$A$40,$AZ$5:$AZ$41,10),SUMIFS('Final Calculation Sheet'!$A$4:$A$40,$AZ$5:$AZ$41,$BH13))),""))</f>
        <v>50</v>
      </c>
      <c r="G13" s="69" t="str">
        <f>IF($BJ13&gt;0,IF(INDEX('Final Calculation Sheet'!$E$4:$E$40,$BJ13-3)="","",INDEX('Final Calculation Sheet'!$E$4:$E$40,$BJ13-3)),IF(OR($BI13=1,$BL13=1,$BH13&gt;0),"–",""))</f>
        <v>NO</v>
      </c>
      <c r="H13" s="70">
        <f>IF($BJ13&gt;0,IF(INDEX('Final Calculation Sheet'!$C$4:$C$40,$BJ13-3)="","",INDEX('Final Calculation Sheet'!$C$4:$C$40,$BJ13-3)),IF(OR($BI13=1,$BL13=1,$BH13&gt;0),"–",""))</f>
        <v>531</v>
      </c>
      <c r="I13" s="70">
        <f>IF($BJ13&gt;0,IF(INDEX('Final Calculation Sheet'!$H$4:$H$40,$BJ13-3)="","",INDEX('Final Calculation Sheet'!$H$4:$H$40,$BJ13-3)),IF(OR($BI13=1,$BL13=1,$BH13&gt;0),IF($BI13=1,SUM('Final Calculation Sheet'!$H$4:$H$40),IF($BL13=1,SUM('Final Calculation Sheet'!$H$4:$H$40)-SUMIFS('Final Calculation Sheet'!$H$4:$H$40,$AZ$5:$AZ$41,10),SUMIFS('Final Calculation Sheet'!$H$4:$H$40,$AZ$5:$AZ$41,$BH13))),""))</f>
        <v>26550</v>
      </c>
      <c r="J13" s="70">
        <f>IF($BJ13&gt;0,IF(INDEX('Final Calculation Sheet'!$I$4:$I$40,$BJ13-3)="","",INDEX('Final Calculation Sheet'!$I$4:$I$40,$BJ13-3)),IF(OR($BI13=1,$BL13=1,$BH13&gt;0),IF($BI13=1,SUM('Final Calculation Sheet'!$I$4:$I$40),IF($BL13=1,SUM('Final Calculation Sheet'!$I$4:$I$40)-SUMIFS('Final Calculation Sheet'!$I$4:$I$40,$AZ$5:$AZ$41,10),SUMIFS('Final Calculation Sheet'!$I$4:$I$40,$AZ$5:$AZ$41,$BH13))),""))</f>
        <v>4779</v>
      </c>
      <c r="K13" s="70">
        <f>IF($BJ13&gt;0,IF(INDEX('Final Calculation Sheet'!$J$4:$J$40,$BJ13-3)="","",INDEX('Final Calculation Sheet'!$J$4:$J$40,$BJ13-3)),IF(OR($BI13=1,$BL13=1,$BH13&gt;0),IF($BI13=1,SUM('Final Calculation Sheet'!$J$4:$J$40),IF($BL13=1,SUM('Final Calculation Sheet'!$J$4:$J$40)-SUMIFS('Final Calculation Sheet'!$J$4:$J$40,$AZ$5:$AZ$41,10),SUMIFS('Final Calculation Sheet'!$J$4:$J$40,$AZ$5:$AZ$41,$BH13))),""))</f>
        <v>31329</v>
      </c>
      <c r="L13" s="70">
        <f>IF($BJ13&gt;0,IF(INDEX('Final Calculation Sheet'!$K$4:$K$40,$BJ13-3)="","",INDEX('Final Calculation Sheet'!$K$4:$K$40,$BJ13-3)),IF(OR($BI13=1,$BL13=1,$BH13&gt;0),IF($BI13=1,SUM('Final Calculation Sheet'!$K$4:$K$40),IF($BL13=1,SUM('Final Calculation Sheet'!$K$4:$K$40)-SUMIFS('Final Calculation Sheet'!$K$4:$K$40,$AZ$5:$AZ$41,10),SUMIFS('Final Calculation Sheet'!$K$4:$K$40,$AZ$5:$AZ$41,$BH13))),""))</f>
        <v>627</v>
      </c>
      <c r="M13" s="70">
        <f>IF($BJ13&gt;0,IF(INDEX('Final Calculation Sheet'!$L$4:$L$40,$BJ13-3)="","",INDEX('Final Calculation Sheet'!$L$4:$L$40,$BJ13-3)),IF(OR($BI13=1,$BL13=1,$BH13&gt;0),IF($BI13=1,SUM('Final Calculation Sheet'!$L$4:$L$40),IF($BL13=1,SUM('Final Calculation Sheet'!$L$4:$L$40)-SUMIFS('Final Calculation Sheet'!$L$4:$L$40,$AZ$5:$AZ$41,10),SUMIFS('Final Calculation Sheet'!$L$4:$L$40,$AZ$5:$AZ$41,$BH13))),""))</f>
        <v>26.55</v>
      </c>
      <c r="N13" s="70">
        <f>IF($BJ13&gt;0,IF(INDEX('Final Calculation Sheet'!$M$4:$M$40,$BJ13-3)="","",INDEX('Final Calculation Sheet'!$M$4:$M$40,$BJ13-3)),IF(OR($BI13=1,$BL13=1,$BH13&gt;0),IF($BI13=1,SUM('Final Calculation Sheet'!$M$4:$M$40),IF($BL13=1,SUM('Final Calculation Sheet'!$M$4:$M$40)-SUMIFS('Final Calculation Sheet'!$M$4:$M$40,$AZ$5:$AZ$41,10),SUMIFS('Final Calculation Sheet'!$M$4:$M$40,$AZ$5:$AZ$41,$BH13))),""))</f>
        <v>704.90249999999992</v>
      </c>
      <c r="O13" s="71">
        <f>IF($BJ13&gt;0,IF(INDEX('Final Calculation Sheet'!$N$4:$N$40,$BJ13-3)="","",INDEX('Final Calculation Sheet'!$N$4:$N$40,$BJ13-3)),IF(OR($BI13=1,$BL13=1,$BH13&gt;0),IF($BI13=1,SUM('Final Calculation Sheet'!$N$4:$N$40),IF($BL13=1,SUM('Final Calculation Sheet'!$N$4:$N$40)-SUMIFS('Final Calculation Sheet'!$N$4:$N$40,$AZ$5:$AZ$41,10),SUMIFS('Final Calculation Sheet'!$N$4:$N$40,$AZ$5:$AZ$41,$BH13))),""))</f>
        <v>11.9475</v>
      </c>
      <c r="P13" s="70">
        <f>IF($BJ13&gt;0,IF(INDEX('Final Calculation Sheet'!$O$4:$O$40,$BJ13-3)="","",INDEX('Final Calculation Sheet'!$O$4:$O$40,$BJ13-3)),IF(OR($BI13=1,$BL13=1,$BH13&gt;0),IF($BI13=1,SUM('Final Calculation Sheet'!$O$4:$O$40),IF($BL13=1,SUM('Final Calculation Sheet'!$O$4:$O$40)-SUMIFS('Final Calculation Sheet'!$O$4:$O$40,$AZ$5:$AZ$41,10),SUMIFS('Final Calculation Sheet'!$O$4:$O$40,$AZ$5:$AZ$41,$BH13))),""))</f>
        <v>692.95499999999993</v>
      </c>
      <c r="Q13" s="70">
        <f>IF($BJ13&gt;0,IF(INDEX('Final Calculation Sheet'!$P$4:$P$40,$BJ13-3)="","",INDEX('Final Calculation Sheet'!$P$4:$P$40,$BJ13-3)),IF(OR($BI13=1,$BL13=1,$BH13&gt;0),IF($BI13=1,SUM('Final Calculation Sheet'!$P$4:$P$40),IF($BL13=1,SUM('Final Calculation Sheet'!$P$4:$P$40)-SUMIFS('Final Calculation Sheet'!$P$4:$P$40,$AZ$5:$AZ$41,10),SUMIFS('Final Calculation Sheet'!$P$4:$P$40,$AZ$5:$AZ$41,$BH13))),""))</f>
        <v>720</v>
      </c>
      <c r="R13" s="72">
        <f>IF($BJ13&gt;0,IF(INDEX('Final Calculation Sheet'!$Q$4:$Q$40,$BJ13-3)="","",INDEX('Final Calculation Sheet'!$Q$4:$Q$40,$BJ13-3)),IF(OR($BI13=1,$BL13=1,$BH13&gt;0),"–",""))</f>
        <v>0</v>
      </c>
      <c r="S13" s="70">
        <f>IF($BJ13&gt;0,IF(INDEX('Final Calculation Sheet'!$R$4:$R$40,$BJ13-3)="","",INDEX('Final Calculation Sheet'!$R$4:$R$40,$BJ13-3)),IF(OR($BI13=1,$BL13=1,$BH13&gt;0),IF($BI13=1,SUM('Final Calculation Sheet'!$R$4:$R$40),IF($BL13=1,SUM('Final Calculation Sheet'!$R$4:$R$40)-SUMIFS('Final Calculation Sheet'!$R$4:$R$40,$AZ$5:$AZ$41,10),SUMIFS('Final Calculation Sheet'!$R$4:$R$40,$AZ$5:$AZ$41,$BH13))),""))</f>
        <v>0</v>
      </c>
      <c r="T13" s="70">
        <f>IF($BJ13&gt;0,IF(INDEX('Final Calculation Sheet'!$S$4:$S$40,$BJ13-3)="","",INDEX('Final Calculation Sheet'!$S$4:$S$40,$BJ13-3)),IF(OR($BI13=1,$BL13=1,$BH13&gt;0),IF($BI13=1,SUM('Final Calculation Sheet'!$S$4:$S$40),IF($BL13=1,SUM('Final Calculation Sheet'!$S$4:$S$40)-SUMIFS('Final Calculation Sheet'!$S$4:$S$40,$AZ$5:$AZ$41,10),SUMIFS('Final Calculation Sheet'!$S$4:$S$40,$AZ$5:$AZ$41,$BH13))),""))</f>
        <v>31236</v>
      </c>
      <c r="U13" s="70">
        <f>IF($BJ13&gt;0,IF(INDEX('Final Calculation Sheet'!$T$4:$T$40,$BJ13-3)="","",INDEX('Final Calculation Sheet'!$T$4:$T$40,$BJ13-3)),IF(OR($BI13=1,$BL13=1,$BH13&gt;0),IF($BI13=1,SUM('Final Calculation Sheet'!$T$4:$T$40),IF($BL13=1,SUM('Final Calculation Sheet'!$T$4:$T$40)-SUMIFS('Final Calculation Sheet'!$T$4:$T$40,$AZ$5:$AZ$41,10),SUMIFS('Final Calculation Sheet'!$T$4:$T$40,$AZ$5:$AZ$41,$BH13))),""))</f>
        <v>6638</v>
      </c>
      <c r="V13" s="73">
        <f>IF($BJ13&gt;0,IF(INDEX('Final Calculation Sheet'!$U$4:$U$40,$BJ13-3)="","",INDEX('Final Calculation Sheet'!$U$4:$U$40,$BJ13-3)),IF(OR($BI13=1,$BL13=1,$BH13&gt;0),IF($BI13=1,SUM('Final Calculation Sheet'!$U$4:$U$40),IF($BL13=1,SUM('Final Calculation Sheet'!$U$4:$U$40)-SUMIFS('Final Calculation Sheet'!$U$4:$U$40,$AZ$5:$AZ$41,10),SUMIFS('Final Calculation Sheet'!$U$4:$U$40,$AZ$5:$AZ$41,$BH13))),""))</f>
        <v>6638</v>
      </c>
      <c r="W13" s="70" t="str">
        <f>IF($BJ13&gt;0,IF(INDEX('Final Calculation Sheet'!$V$4:$V$40,$BJ13-3)="","",INDEX('Final Calculation Sheet'!$V$4:$V$40,$BJ13-3)),IF(OR($BI13=1,$BL13=1,$BH13&gt;0),"–",""))</f>
        <v>14.08.2026</v>
      </c>
      <c r="X13" s="70">
        <f>IF($BJ13&gt;0,IF(INDEX('Final Calculation Sheet'!$W$4:$W$40,$BJ13-3)="","",INDEX('Final Calculation Sheet'!$W$4:$W$40,$BJ13-3)),IF(OR($BI13=1,$BL13=1,$BH13&gt;0),IF($BI13=1,SUM('Final Calculation Sheet'!$W$4:$W$40),IF($BL13=1,SUM('Final Calculation Sheet'!$W$4:$W$40)-SUMIFS('Final Calculation Sheet'!$W$4:$W$40,$AZ$5:$AZ$41,10),SUMIFS('Final Calculation Sheet'!$W$4:$W$40,$AZ$5:$AZ$41,$BH13))),""))</f>
        <v>24599</v>
      </c>
      <c r="Y13" s="70">
        <f>IF($BJ13&gt;0,IF(INDEX('Final Calculation Sheet'!$X$4:$X$40,$BJ13-3)="","",INDEX('Final Calculation Sheet'!$X$4:$X$40,$BJ13-3)),IF(OR($BI13=1,$BL13=1,$BH13&gt;0),IF($BI13=1,SUM('Final Calculation Sheet'!$X$4:$X$40),IF($BL13=1,SUM('Final Calculation Sheet'!$X$4:$X$40)-SUMIFS('Final Calculation Sheet'!$X$4:$X$40,$AZ$5:$AZ$41,10),SUMIFS('Final Calculation Sheet'!$X$4:$X$40,$AZ$5:$AZ$41,$BH13))),""))</f>
        <v>24598</v>
      </c>
      <c r="Z13" s="70" t="str">
        <f>IF($BJ13&gt;0,IF(INDEX('Final Calculation Sheet'!$Y$4:$Y$40,$BJ13-3)="","",INDEX('Final Calculation Sheet'!$Y$4:$Y$40,$BJ13-3)),IF(OR($BI13=1,$BL13=1,$BH13&gt;0),"–",""))</f>
        <v>21.08.2026</v>
      </c>
      <c r="AA13" s="70">
        <f ca="1">IF($BJ13&gt;0,IF(INDEX('Final Calculation Sheet'!$Z$4:$Z$40,$BJ13-3)="","",INDEX('Final Calculation Sheet'!$Z$4:$Z$40,$BJ13-3)),IF(OR($BI13=1,$BL13=1,$BH13&gt;0),IF($BI13=1,SUM('Final Calculation Sheet'!$Z$4:$Z$40),IF($BL13=1,SUM('Final Calculation Sheet'!$Z$4:$Z$40)-SUMIFS('Final Calculation Sheet'!$Z$4:$Z$40,$AZ$5:$AZ$41,10),SUMIFS('Final Calculation Sheet'!$Z$4:$Z$40,$AZ$5:$AZ$41,$BH13))),""))</f>
        <v>0</v>
      </c>
      <c r="AB13" s="70" t="str">
        <f>IF($BJ13&gt;0,IF(INDEX('Final Calculation Sheet'!$AA$4:$AA$40,$BJ13-3)="","",INDEX('Final Calculation Sheet'!$AA$4:$AA$40,$BJ13-3)),IF(OR($BI13=1,$BL13=1,$BH13&gt;0),IF($BI13=1,SUM('Final Calculation Sheet'!$AA$4:$AA$40),IF($BL13=1,SUM('Final Calculation Sheet'!$AA$4:$AA$40)-SUMIFS('Final Calculation Sheet'!$AA$4:$AA$40,$AZ$5:$AZ$41,10),SUMIFS('Final Calculation Sheet'!$AA$4:$AA$40,$AZ$5:$AZ$41,$BH13))),""))</f>
        <v/>
      </c>
      <c r="AC13" s="70" t="str">
        <f>IF($BJ13&gt;0,IF(INDEX('Final Calculation Sheet'!$AB$4:$AB$40,$BJ13-3)="","",INDEX('Final Calculation Sheet'!$AB$4:$AB$40,$BJ13-3)),IF(OR($BI13=1,$BL13=1,$BH13&gt;0),"–",""))</f>
        <v/>
      </c>
      <c r="AD13" s="70">
        <f>IF($BJ13&gt;0,IF(INDEX('Final Calculation Sheet'!$AC$4:$AC$40,$BJ13-3)="","",INDEX('Final Calculation Sheet'!$AC$4:$AC$40,$BJ13-3)),IF(OR($BI13=1,$BL13=1,$BH13&gt;0),IF($BI13=1,SUM('Final Calculation Sheet'!$AC$4:$AC$40),IF($BL13=1,SUM('Final Calculation Sheet'!$AC$4:$AC$40)-SUMIFS('Final Calculation Sheet'!$AC$4:$AC$40,$AZ$5:$AZ$41,10),SUMIFS('Final Calculation Sheet'!$AC$4:$AC$40,$AZ$5:$AZ$41,$BH13))),""))</f>
        <v>31236</v>
      </c>
      <c r="AE13" s="70">
        <f>IF($BJ13&gt;0,IF(INDEX('Final Calculation Sheet'!$AD$4:$AD$40,$BJ13-3)="","",INDEX('Final Calculation Sheet'!$AD$4:$AD$40,$BJ13-3)),IF(OR($BI13=1,$BL13=1,$BH13&gt;0),IF($BI13=1,SUM('Final Calculation Sheet'!$AD$4:$AD$40),IF($BL13=1,SUM('Final Calculation Sheet'!$AD$4:$AD$40)-SUMIFS('Final Calculation Sheet'!$AD$4:$AD$40,$AZ$5:$AZ$41,10),SUMIFS('Final Calculation Sheet'!$AD$4:$AD$40,$AZ$5:$AZ$41,$BH13))),""))</f>
        <v>0</v>
      </c>
      <c r="AF13" s="70" t="str">
        <f>IF($BJ13&gt;0,IF(INDEX('Final Calculation Sheet'!$AE$4:$AE$40,$BJ13-3)="","",INDEX('Final Calculation Sheet'!$AE$4:$AE$40,$BJ13-3)),IF(OR($BI13=1,$BL13=1,$BH13&gt;0),"–",""))</f>
        <v>DR2640100043</v>
      </c>
      <c r="AG13" s="74">
        <f>IF($BJ13&gt;0,IF(INDEX('Final Calculation Sheet'!$AF$4:$AF$40,$BJ13-3)="","",INDEX('Final Calculation Sheet'!$AF$4:$AF$40,$BJ13-3)),IF(OR($BI13=1,$BL13=1,$BH13&gt;0),"–",""))</f>
        <v>1800003318</v>
      </c>
      <c r="AH13" s="70" t="str">
        <f>IF($BJ13&gt;0,IF(INDEX('Final Calculation Sheet'!$AG$4:$AG$40,$BJ13-3)="","",INDEX('Final Calculation Sheet'!$AG$4:$AG$40,$BJ13-3)),IF(OR($BI13=1,$BL13=1,$BH13&gt;0),"–",""))</f>
        <v>27.08.2026</v>
      </c>
      <c r="AI13" s="75" t="str">
        <f>IF($BJ13&gt;0,IF(INDEX('Final Calculation Sheet'!$AD$4:$AD$40,$BJ13-3)="","",IF(INDEX('Final Calculation Sheet'!$AD$4:$AD$40,$BJ13-3)&lt;=0,"SETTLED","OUTSTANDING")),IF(OR($BI13=1,$BL13=1,$BH13&gt;0),IF(IF($BI13=1,SUM('Final Calculation Sheet'!$AD$4:$AD$40),IF($BL13=1,SUM('Final Calculation Sheet'!$AD$4:$AD$40)-SUMIFS('Final Calculation Sheet'!$AD$4:$AD$40,$AZ$5:$AZ$41,10),SUMIFS('Final Calculation Sheet'!$AD$4:$AD$40,$AZ$5:$AZ$41,$BH13)))&lt;=0,"ALL SETTLED","OUTSTANDING"),""))</f>
        <v>SETTLED</v>
      </c>
      <c r="AK13" t="str">
        <f>IF($F$3="Lot No.",'Final Calculation Sheet'!$F$12,IF($F$3="Buyer",'Final Calculation Sheet'!$G$12,IF($F$3="Lot Name",'Final Calculation Sheet'!$B$12,IF($F$3="Bid Sheet",'Final Calculation Sheet'!$D$12,IF($F$3="Unit",'Final Calculation Sheet'!$E$12,'Final Calculation Sheet'!$F$12&amp;" "&amp;'Final Calculation Sheet'!$G$12&amp;" "&amp;'Final Calculation Sheet'!$B$12)))))</f>
        <v>2005 NATIONAL ENTERPRISES Scrap of 220KV CT</v>
      </c>
      <c r="AM13">
        <f t="shared" si="1"/>
        <v>0</v>
      </c>
      <c r="AZ13">
        <f t="shared" si="2"/>
        <v>10</v>
      </c>
      <c r="BA13">
        <f t="shared" si="3"/>
        <v>8</v>
      </c>
      <c r="BB13">
        <f t="shared" si="4"/>
        <v>24</v>
      </c>
      <c r="BC13">
        <v>12</v>
      </c>
      <c r="BD13">
        <f>COUNTIF($AZ$5:$AZ$41,10)</f>
        <v>28</v>
      </c>
      <c r="BE13">
        <f>$BG$4+1</f>
        <v>17</v>
      </c>
      <c r="BF13">
        <f t="shared" si="0"/>
        <v>45</v>
      </c>
      <c r="BH13">
        <f>IFERROR(MATCH(13,$BF$4:$BF$13,0),0)</f>
        <v>0</v>
      </c>
      <c r="BI13">
        <f>IF(13=$BG$5,1,0)</f>
        <v>0</v>
      </c>
      <c r="BJ13">
        <f>IF(OR($BH13&gt;0,$BI13=1,$BL13=1),0,IFERROR(INDEX($BC$5:$BC$41,MATCH(13,$BB$5:$BB$41,0)),0))</f>
        <v>28</v>
      </c>
      <c r="BK13">
        <f>IF($BJ13&gt;0,IF(INDEX($AZ$5:$AZ$41,MATCH(13,$BB$5:$BB$41,0))=10,1,0),IF($BH13=10,1,0))</f>
        <v>0</v>
      </c>
      <c r="BL13">
        <f>IF(13=$BG$4,1,0)</f>
        <v>0</v>
      </c>
    </row>
    <row r="14" spans="1:64" ht="15" customHeight="1" x14ac:dyDescent="0.25">
      <c r="A14" s="67">
        <f>IF($BJ14&gt;0,INDEX($BA$5:$BA$41,MATCH(14,$BB$5:$BB$41,0)),IF(OR($BI14=1,$BL14=1,$BH14&gt;0),"∑",""))</f>
        <v>5</v>
      </c>
      <c r="B14" s="68">
        <f>IF($BJ14&gt;0,IF(INDEX('Final Calculation Sheet'!$F$4:$F$40,$BJ14-3)="","",INDEX('Final Calculation Sheet'!$F$4:$F$40,$BJ14-3)),"")</f>
        <v>2062</v>
      </c>
      <c r="C14" s="68" t="str">
        <f>IF($BJ14&gt;0,IF(INDEX('Final Calculation Sheet'!$G$4:$G$40,$BJ14-3)="","",INDEX('Final Calculation Sheet'!$G$4:$G$40,$BJ14-3)),IF(OR($BI14=1,$BL14=1,$BH14&gt;0),IF($BI14=1,37,IF($BL14=1,37-INDEX($BD$4:$BD$13,10),INDEX($BD$4:$BD$13,$BH14)))&amp;" lot(s)",""))</f>
        <v>STERLING ENTERPRISES</v>
      </c>
      <c r="D14" s="69" t="str">
        <f>IF($BJ14&gt;0,IF(INDEX('Final Calculation Sheet'!$B$4:$B$40,$BJ14-3)="","",INDEX('Final Calculation Sheet'!$B$4:$B$40,$BJ14-3)),IF(OR($BI14=1,$BL14=1,$BH14&gt;0),IF($BI14=1,"GRAND TOTAL  —  matching + remaining",IF($BL14=1,"TOTAL MATCHED  —  every group together",IF($BH14=10,"REMAINING  —  did not match the search",IF($BH14=9,"ALL LOTS  —  nothing typed in the box","GROUP "&amp;$BH14&amp;" TOTAL  —  lots matching  "&amp;INDEX($AR$6:$AY$6,$BH14))))),""))</f>
        <v>Scrap of Empty oil Barrels</v>
      </c>
      <c r="E14" s="69">
        <f>IF($BJ14&gt;0,IF(INDEX('Final Calculation Sheet'!$D$4:$D$40,$BJ14-3)="","",INDEX('Final Calculation Sheet'!$D$4:$D$40,$BJ14-3)),IF(OR($BI14=1,$BL14=1,$BH14&gt;0),"–",""))</f>
        <v>21979</v>
      </c>
      <c r="F14" s="69">
        <f>IF($BJ14&gt;0,IF(INDEX('Final Calculation Sheet'!$A$4:$A$40,$BJ14-3)="","",INDEX('Final Calculation Sheet'!$A$4:$A$40,$BJ14-3)),IF(OR($BI14=1,$BL14=1,$BH14&gt;0),IF($BI14=1,SUM('Final Calculation Sheet'!$A$4:$A$40),IF($BL14=1,SUM('Final Calculation Sheet'!$A$4:$A$40)-SUMIFS('Final Calculation Sheet'!$A$4:$A$40,$AZ$5:$AZ$41,10),SUMIFS('Final Calculation Sheet'!$A$4:$A$40,$AZ$5:$AZ$41,$BH14))),""))</f>
        <v>30</v>
      </c>
      <c r="G14" s="69" t="str">
        <f>IF($BJ14&gt;0,IF(INDEX('Final Calculation Sheet'!$E$4:$E$40,$BJ14-3)="","",INDEX('Final Calculation Sheet'!$E$4:$E$40,$BJ14-3)),IF(OR($BI14=1,$BL14=1,$BH14&gt;0),"–",""))</f>
        <v>NO</v>
      </c>
      <c r="H14" s="70">
        <f>IF($BJ14&gt;0,IF(INDEX('Final Calculation Sheet'!$C$4:$C$40,$BJ14-3)="","",INDEX('Final Calculation Sheet'!$C$4:$C$40,$BJ14-3)),IF(OR($BI14=1,$BL14=1,$BH14&gt;0),"–",""))</f>
        <v>702</v>
      </c>
      <c r="I14" s="70">
        <f>IF($BJ14&gt;0,IF(INDEX('Final Calculation Sheet'!$H$4:$H$40,$BJ14-3)="","",INDEX('Final Calculation Sheet'!$H$4:$H$40,$BJ14-3)),IF(OR($BI14=1,$BL14=1,$BH14&gt;0),IF($BI14=1,SUM('Final Calculation Sheet'!$H$4:$H$40),IF($BL14=1,SUM('Final Calculation Sheet'!$H$4:$H$40)-SUMIFS('Final Calculation Sheet'!$H$4:$H$40,$AZ$5:$AZ$41,10),SUMIFS('Final Calculation Sheet'!$H$4:$H$40,$AZ$5:$AZ$41,$BH14))),""))</f>
        <v>21060</v>
      </c>
      <c r="J14" s="70">
        <f>IF($BJ14&gt;0,IF(INDEX('Final Calculation Sheet'!$I$4:$I$40,$BJ14-3)="","",INDEX('Final Calculation Sheet'!$I$4:$I$40,$BJ14-3)),IF(OR($BI14=1,$BL14=1,$BH14&gt;0),IF($BI14=1,SUM('Final Calculation Sheet'!$I$4:$I$40),IF($BL14=1,SUM('Final Calculation Sheet'!$I$4:$I$40)-SUMIFS('Final Calculation Sheet'!$I$4:$I$40,$AZ$5:$AZ$41,10),SUMIFS('Final Calculation Sheet'!$I$4:$I$40,$AZ$5:$AZ$41,$BH14))),""))</f>
        <v>3791</v>
      </c>
      <c r="K14" s="70">
        <f>IF($BJ14&gt;0,IF(INDEX('Final Calculation Sheet'!$J$4:$J$40,$BJ14-3)="","",INDEX('Final Calculation Sheet'!$J$4:$J$40,$BJ14-3)),IF(OR($BI14=1,$BL14=1,$BH14&gt;0),IF($BI14=1,SUM('Final Calculation Sheet'!$J$4:$J$40),IF($BL14=1,SUM('Final Calculation Sheet'!$J$4:$J$40)-SUMIFS('Final Calculation Sheet'!$J$4:$J$40,$AZ$5:$AZ$41,10),SUMIFS('Final Calculation Sheet'!$J$4:$J$40,$AZ$5:$AZ$41,$BH14))),""))</f>
        <v>24851</v>
      </c>
      <c r="L14" s="70">
        <f>IF($BJ14&gt;0,IF(INDEX('Final Calculation Sheet'!$K$4:$K$40,$BJ14-3)="","",INDEX('Final Calculation Sheet'!$K$4:$K$40,$BJ14-3)),IF(OR($BI14=1,$BL14=1,$BH14&gt;0),IF($BI14=1,SUM('Final Calculation Sheet'!$K$4:$K$40),IF($BL14=1,SUM('Final Calculation Sheet'!$K$4:$K$40)-SUMIFS('Final Calculation Sheet'!$K$4:$K$40,$AZ$5:$AZ$41,10),SUMIFS('Final Calculation Sheet'!$K$4:$K$40,$AZ$5:$AZ$41,$BH14))),""))</f>
        <v>497</v>
      </c>
      <c r="M14" s="70">
        <f>IF($BJ14&gt;0,IF(INDEX('Final Calculation Sheet'!$L$4:$L$40,$BJ14-3)="","",INDEX('Final Calculation Sheet'!$L$4:$L$40,$BJ14-3)),IF(OR($BI14=1,$BL14=1,$BH14&gt;0),IF($BI14=1,SUM('Final Calculation Sheet'!$L$4:$L$40),IF($BL14=1,SUM('Final Calculation Sheet'!$L$4:$L$40)-SUMIFS('Final Calculation Sheet'!$L$4:$L$40,$AZ$5:$AZ$41,10),SUMIFS('Final Calculation Sheet'!$L$4:$L$40,$AZ$5:$AZ$41,$BH14))),""))</f>
        <v>21.06</v>
      </c>
      <c r="N14" s="70">
        <f>IF($BJ14&gt;0,IF(INDEX('Final Calculation Sheet'!$M$4:$M$40,$BJ14-3)="","",INDEX('Final Calculation Sheet'!$M$4:$M$40,$BJ14-3)),IF(OR($BI14=1,$BL14=1,$BH14&gt;0),IF($BI14=1,SUM('Final Calculation Sheet'!$M$4:$M$40),IF($BL14=1,SUM('Final Calculation Sheet'!$M$4:$M$40)-SUMIFS('Final Calculation Sheet'!$M$4:$M$40,$AZ$5:$AZ$41,10),SUMIFS('Final Calculation Sheet'!$M$4:$M$40,$AZ$5:$AZ$41,$BH14))),""))</f>
        <v>559.14299999999992</v>
      </c>
      <c r="O14" s="71">
        <f>IF($BJ14&gt;0,IF(INDEX('Final Calculation Sheet'!$N$4:$N$40,$BJ14-3)="","",INDEX('Final Calculation Sheet'!$N$4:$N$40,$BJ14-3)),IF(OR($BI14=1,$BL14=1,$BH14&gt;0),IF($BI14=1,SUM('Final Calculation Sheet'!$N$4:$N$40),IF($BL14=1,SUM('Final Calculation Sheet'!$N$4:$N$40)-SUMIFS('Final Calculation Sheet'!$N$4:$N$40,$AZ$5:$AZ$41,10),SUMIFS('Final Calculation Sheet'!$N$4:$N$40,$AZ$5:$AZ$41,$BH14))),""))</f>
        <v>9.4770000000000003</v>
      </c>
      <c r="P14" s="70">
        <f>IF($BJ14&gt;0,IF(INDEX('Final Calculation Sheet'!$O$4:$O$40,$BJ14-3)="","",INDEX('Final Calculation Sheet'!$O$4:$O$40,$BJ14-3)),IF(OR($BI14=1,$BL14=1,$BH14&gt;0),IF($BI14=1,SUM('Final Calculation Sheet'!$O$4:$O$40),IF($BL14=1,SUM('Final Calculation Sheet'!$O$4:$O$40)-SUMIFS('Final Calculation Sheet'!$O$4:$O$40,$AZ$5:$AZ$41,10),SUMIFS('Final Calculation Sheet'!$O$4:$O$40,$AZ$5:$AZ$41,$BH14))),""))</f>
        <v>549.66599999999994</v>
      </c>
      <c r="Q14" s="70">
        <f>IF($BJ14&gt;0,IF(INDEX('Final Calculation Sheet'!$P$4:$P$40,$BJ14-3)="","",INDEX('Final Calculation Sheet'!$P$4:$P$40,$BJ14-3)),IF(OR($BI14=1,$BL14=1,$BH14&gt;0),IF($BI14=1,SUM('Final Calculation Sheet'!$P$4:$P$40),IF($BL14=1,SUM('Final Calculation Sheet'!$P$4:$P$40)-SUMIFS('Final Calculation Sheet'!$P$4:$P$40,$AZ$5:$AZ$41,10),SUMIFS('Final Calculation Sheet'!$P$4:$P$40,$AZ$5:$AZ$41,$BH14))),""))</f>
        <v>571</v>
      </c>
      <c r="R14" s="72">
        <f>IF($BJ14&gt;0,IF(INDEX('Final Calculation Sheet'!$Q$4:$Q$40,$BJ14-3)="","",INDEX('Final Calculation Sheet'!$Q$4:$Q$40,$BJ14-3)),IF(OR($BI14=1,$BL14=1,$BH14&gt;0),"–",""))</f>
        <v>0</v>
      </c>
      <c r="S14" s="70">
        <f>IF($BJ14&gt;0,IF(INDEX('Final Calculation Sheet'!$R$4:$R$40,$BJ14-3)="","",INDEX('Final Calculation Sheet'!$R$4:$R$40,$BJ14-3)),IF(OR($BI14=1,$BL14=1,$BH14&gt;0),IF($BI14=1,SUM('Final Calculation Sheet'!$R$4:$R$40),IF($BL14=1,SUM('Final Calculation Sheet'!$R$4:$R$40)-SUMIFS('Final Calculation Sheet'!$R$4:$R$40,$AZ$5:$AZ$41,10),SUMIFS('Final Calculation Sheet'!$R$4:$R$40,$AZ$5:$AZ$41,$BH14))),""))</f>
        <v>0</v>
      </c>
      <c r="T14" s="70">
        <f>IF($BJ14&gt;0,IF(INDEX('Final Calculation Sheet'!$S$4:$S$40,$BJ14-3)="","",INDEX('Final Calculation Sheet'!$S$4:$S$40,$BJ14-3)),IF(OR($BI14=1,$BL14=1,$BH14&gt;0),IF($BI14=1,SUM('Final Calculation Sheet'!$S$4:$S$40),IF($BL14=1,SUM('Final Calculation Sheet'!$S$4:$S$40)-SUMIFS('Final Calculation Sheet'!$S$4:$S$40,$AZ$5:$AZ$41,10),SUMIFS('Final Calculation Sheet'!$S$4:$S$40,$AZ$5:$AZ$41,$BH14))),""))</f>
        <v>24777</v>
      </c>
      <c r="U14" s="70">
        <f>IF($BJ14&gt;0,IF(INDEX('Final Calculation Sheet'!$T$4:$T$40,$BJ14-3)="","",INDEX('Final Calculation Sheet'!$T$4:$T$40,$BJ14-3)),IF(OR($BI14=1,$BL14=1,$BH14&gt;0),IF($BI14=1,SUM('Final Calculation Sheet'!$T$4:$T$40),IF($BL14=1,SUM('Final Calculation Sheet'!$T$4:$T$40)-SUMIFS('Final Calculation Sheet'!$T$4:$T$40,$AZ$5:$AZ$41,10),SUMIFS('Final Calculation Sheet'!$T$4:$T$40,$AZ$5:$AZ$41,$BH14))),""))</f>
        <v>5265</v>
      </c>
      <c r="V14" s="73">
        <f>IF($BJ14&gt;0,IF(INDEX('Final Calculation Sheet'!$U$4:$U$40,$BJ14-3)="","",INDEX('Final Calculation Sheet'!$U$4:$U$40,$BJ14-3)),IF(OR($BI14=1,$BL14=1,$BH14&gt;0),IF($BI14=1,SUM('Final Calculation Sheet'!$U$4:$U$40),IF($BL14=1,SUM('Final Calculation Sheet'!$U$4:$U$40)-SUMIFS('Final Calculation Sheet'!$U$4:$U$40,$AZ$5:$AZ$41,10),SUMIFS('Final Calculation Sheet'!$U$4:$U$40,$AZ$5:$AZ$41,$BH14))),""))</f>
        <v>5265</v>
      </c>
      <c r="W14" s="70" t="str">
        <f>IF($BJ14&gt;0,IF(INDEX('Final Calculation Sheet'!$V$4:$V$40,$BJ14-3)="","",INDEX('Final Calculation Sheet'!$V$4:$V$40,$BJ14-3)),IF(OR($BI14=1,$BL14=1,$BH14&gt;0),"–",""))</f>
        <v>11.08.2026</v>
      </c>
      <c r="X14" s="70">
        <f>IF($BJ14&gt;0,IF(INDEX('Final Calculation Sheet'!$W$4:$W$40,$BJ14-3)="","",INDEX('Final Calculation Sheet'!$W$4:$W$40,$BJ14-3)),IF(OR($BI14=1,$BL14=1,$BH14&gt;0),IF($BI14=1,SUM('Final Calculation Sheet'!$W$4:$W$40),IF($BL14=1,SUM('Final Calculation Sheet'!$W$4:$W$40)-SUMIFS('Final Calculation Sheet'!$W$4:$W$40,$AZ$5:$AZ$41,10),SUMIFS('Final Calculation Sheet'!$W$4:$W$40,$AZ$5:$AZ$41,$BH14))),""))</f>
        <v>19512</v>
      </c>
      <c r="Y14" s="70">
        <f>IF($BJ14&gt;0,IF(INDEX('Final Calculation Sheet'!$X$4:$X$40,$BJ14-3)="","",INDEX('Final Calculation Sheet'!$X$4:$X$40,$BJ14-3)),IF(OR($BI14=1,$BL14=1,$BH14&gt;0),IF($BI14=1,SUM('Final Calculation Sheet'!$X$4:$X$40),IF($BL14=1,SUM('Final Calculation Sheet'!$X$4:$X$40)-SUMIFS('Final Calculation Sheet'!$X$4:$X$40,$AZ$5:$AZ$41,10),SUMIFS('Final Calculation Sheet'!$X$4:$X$40,$AZ$5:$AZ$41,$BH14))),""))</f>
        <v>19512</v>
      </c>
      <c r="Z14" s="70" t="str">
        <f>IF($BJ14&gt;0,IF(INDEX('Final Calculation Sheet'!$Y$4:$Y$40,$BJ14-3)="","",INDEX('Final Calculation Sheet'!$Y$4:$Y$40,$BJ14-3)),IF(OR($BI14=1,$BL14=1,$BH14&gt;0),"–",""))</f>
        <v>11.08.2026</v>
      </c>
      <c r="AA14" s="70">
        <f ca="1">IF($BJ14&gt;0,IF(INDEX('Final Calculation Sheet'!$Z$4:$Z$40,$BJ14-3)="","",INDEX('Final Calculation Sheet'!$Z$4:$Z$40,$BJ14-3)),IF(OR($BI14=1,$BL14=1,$BH14&gt;0),IF($BI14=1,SUM('Final Calculation Sheet'!$Z$4:$Z$40),IF($BL14=1,SUM('Final Calculation Sheet'!$Z$4:$Z$40)-SUMIFS('Final Calculation Sheet'!$Z$4:$Z$40,$AZ$5:$AZ$41,10),SUMIFS('Final Calculation Sheet'!$Z$4:$Z$40,$AZ$5:$AZ$41,$BH14))),""))</f>
        <v>0</v>
      </c>
      <c r="AB14" s="70" t="str">
        <f>IF($BJ14&gt;0,IF(INDEX('Final Calculation Sheet'!$AA$4:$AA$40,$BJ14-3)="","",INDEX('Final Calculation Sheet'!$AA$4:$AA$40,$BJ14-3)),IF(OR($BI14=1,$BL14=1,$BH14&gt;0),IF($BI14=1,SUM('Final Calculation Sheet'!$AA$4:$AA$40),IF($BL14=1,SUM('Final Calculation Sheet'!$AA$4:$AA$40)-SUMIFS('Final Calculation Sheet'!$AA$4:$AA$40,$AZ$5:$AZ$41,10),SUMIFS('Final Calculation Sheet'!$AA$4:$AA$40,$AZ$5:$AZ$41,$BH14))),""))</f>
        <v/>
      </c>
      <c r="AC14" s="70" t="str">
        <f>IF($BJ14&gt;0,IF(INDEX('Final Calculation Sheet'!$AB$4:$AB$40,$BJ14-3)="","",INDEX('Final Calculation Sheet'!$AB$4:$AB$40,$BJ14-3)),IF(OR($BI14=1,$BL14=1,$BH14&gt;0),"–",""))</f>
        <v/>
      </c>
      <c r="AD14" s="70">
        <f>IF($BJ14&gt;0,IF(INDEX('Final Calculation Sheet'!$AC$4:$AC$40,$BJ14-3)="","",INDEX('Final Calculation Sheet'!$AC$4:$AC$40,$BJ14-3)),IF(OR($BI14=1,$BL14=1,$BH14&gt;0),IF($BI14=1,SUM('Final Calculation Sheet'!$AC$4:$AC$40),IF($BL14=1,SUM('Final Calculation Sheet'!$AC$4:$AC$40)-SUMIFS('Final Calculation Sheet'!$AC$4:$AC$40,$AZ$5:$AZ$41,10),SUMIFS('Final Calculation Sheet'!$AC$4:$AC$40,$AZ$5:$AZ$41,$BH14))),""))</f>
        <v>24777</v>
      </c>
      <c r="AE14" s="70">
        <f>IF($BJ14&gt;0,IF(INDEX('Final Calculation Sheet'!$AD$4:$AD$40,$BJ14-3)="","",INDEX('Final Calculation Sheet'!$AD$4:$AD$40,$BJ14-3)),IF(OR($BI14=1,$BL14=1,$BH14&gt;0),IF($BI14=1,SUM('Final Calculation Sheet'!$AD$4:$AD$40),IF($BL14=1,SUM('Final Calculation Sheet'!$AD$4:$AD$40)-SUMIFS('Final Calculation Sheet'!$AD$4:$AD$40,$AZ$5:$AZ$41,10),SUMIFS('Final Calculation Sheet'!$AD$4:$AD$40,$AZ$5:$AZ$41,$BH14))),""))</f>
        <v>0</v>
      </c>
      <c r="AF14" s="70" t="str">
        <f>IF($BJ14&gt;0,IF(INDEX('Final Calculation Sheet'!$AE$4:$AE$40,$BJ14-3)="","",INDEX('Final Calculation Sheet'!$AE$4:$AE$40,$BJ14-3)),IF(OR($BI14=1,$BL14=1,$BH14&gt;0),"–",""))</f>
        <v>DR2640100022</v>
      </c>
      <c r="AG14" s="74">
        <f>IF($BJ14&gt;0,IF(INDEX('Final Calculation Sheet'!$AF$4:$AF$40,$BJ14-3)="","",INDEX('Final Calculation Sheet'!$AF$4:$AF$40,$BJ14-3)),IF(OR($BI14=1,$BL14=1,$BH14&gt;0),"–",""))</f>
        <v>1800003161</v>
      </c>
      <c r="AH14" s="70" t="str">
        <f>IF($BJ14&gt;0,IF(INDEX('Final Calculation Sheet'!$AG$4:$AG$40,$BJ14-3)="","",INDEX('Final Calculation Sheet'!$AG$4:$AG$40,$BJ14-3)),IF(OR($BI14=1,$BL14=1,$BH14&gt;0),"–",""))</f>
        <v>14.08.2026</v>
      </c>
      <c r="AI14" s="75" t="str">
        <f>IF($BJ14&gt;0,IF(INDEX('Final Calculation Sheet'!$AD$4:$AD$40,$BJ14-3)="","",IF(INDEX('Final Calculation Sheet'!$AD$4:$AD$40,$BJ14-3)&lt;=0,"SETTLED","OUTSTANDING")),IF(OR($BI14=1,$BL14=1,$BH14&gt;0),IF(IF($BI14=1,SUM('Final Calculation Sheet'!$AD$4:$AD$40),IF($BL14=1,SUM('Final Calculation Sheet'!$AD$4:$AD$40)-SUMIFS('Final Calculation Sheet'!$AD$4:$AD$40,$AZ$5:$AZ$41,10),SUMIFS('Final Calculation Sheet'!$AD$4:$AD$40,$AZ$5:$AZ$41,$BH14)))&lt;=0,"ALL SETTLED","OUTSTANDING"),""))</f>
        <v>SETTLED</v>
      </c>
      <c r="AK14" t="str">
        <f>IF($F$3="Lot No.",'Final Calculation Sheet'!$F$13,IF($F$3="Buyer",'Final Calculation Sheet'!$G$13,IF($F$3="Lot Name",'Final Calculation Sheet'!$B$13,IF($F$3="Bid Sheet",'Final Calculation Sheet'!$D$13,IF($F$3="Unit",'Final Calculation Sheet'!$E$13,'Final Calculation Sheet'!$F$13&amp;" "&amp;'Final Calculation Sheet'!$G$13&amp;" "&amp;'Final Calculation Sheet'!$B$13)))))</f>
        <v>2006 STERLING ENTERPRISES Scrap of empty oil drums</v>
      </c>
      <c r="AM14">
        <f t="shared" si="1"/>
        <v>1</v>
      </c>
      <c r="AZ14">
        <f t="shared" si="2"/>
        <v>1</v>
      </c>
      <c r="BA14">
        <f t="shared" si="3"/>
        <v>2</v>
      </c>
      <c r="BB14">
        <f t="shared" si="4"/>
        <v>6</v>
      </c>
      <c r="BC14">
        <v>13</v>
      </c>
      <c r="BH14">
        <f>IFERROR(MATCH(14,$BF$4:$BF$13,0),0)</f>
        <v>0</v>
      </c>
      <c r="BI14">
        <f>IF(14=$BG$5,1,0)</f>
        <v>0</v>
      </c>
      <c r="BJ14">
        <f>IF(OR($BH14&gt;0,$BI14=1,$BL14=1),0,IFERROR(INDEX($BC$5:$BC$41,MATCH(14,$BB$5:$BB$41,0)),0))</f>
        <v>34</v>
      </c>
      <c r="BK14">
        <f>IF($BJ14&gt;0,IF(INDEX($AZ$5:$AZ$41,MATCH(14,$BB$5:$BB$41,0))=10,1,0),IF($BH14=10,1,0))</f>
        <v>0</v>
      </c>
      <c r="BL14">
        <f>IF(14=$BG$4,1,0)</f>
        <v>0</v>
      </c>
    </row>
    <row r="15" spans="1:64" ht="15" customHeight="1" x14ac:dyDescent="0.25">
      <c r="A15" s="67" t="str">
        <f>IF($BJ15&gt;0,INDEX($BA$5:$BA$41,MATCH(15,$BB$5:$BB$41,0)),IF(OR($BI15=1,$BL15=1,$BH15&gt;0),"∑",""))</f>
        <v>∑</v>
      </c>
      <c r="B15" s="68" t="str">
        <f>IF($BJ15&gt;0,IF(INDEX('Final Calculation Sheet'!$F$4:$F$40,$BJ15-3)="","",INDEX('Final Calculation Sheet'!$F$4:$F$40,$BJ15-3)),"")</f>
        <v/>
      </c>
      <c r="C15" s="68" t="str">
        <f>IF($BJ15&gt;0,IF(INDEX('Final Calculation Sheet'!$G$4:$G$40,$BJ15-3)="","",INDEX('Final Calculation Sheet'!$G$4:$G$40,$BJ15-3)),IF(OR($BI15=1,$BL15=1,$BH15&gt;0),IF($BI15=1,37,IF($BL15=1,37-INDEX($BD$4:$BD$13,10),INDEX($BD$4:$BD$13,$BH15)))&amp;" lot(s)",""))</f>
        <v>5 lot(s)</v>
      </c>
      <c r="D15" s="69" t="str">
        <f>IF($BJ15&gt;0,IF(INDEX('Final Calculation Sheet'!$B$4:$B$40,$BJ15-3)="","",INDEX('Final Calculation Sheet'!$B$4:$B$40,$BJ15-3)),IF(OR($BI15=1,$BL15=1,$BH15&gt;0),IF($BI15=1,"GRAND TOTAL  —  matching + remaining",IF($BL15=1,"TOTAL MATCHED  —  every group together",IF($BH15=10,"REMAINING  —  did not match the search",IF($BH15=9,"ALL LOTS  —  nothing typed in the box","GROUP "&amp;$BH15&amp;" TOTAL  —  lots matching  "&amp;INDEX($AR$6:$AY$6,$BH15))))),""))</f>
        <v>GROUP 2 TOTAL  —  lots matching  barrel</v>
      </c>
      <c r="E15" s="69" t="str">
        <f>IF($BJ15&gt;0,IF(INDEX('Final Calculation Sheet'!$D$4:$D$40,$BJ15-3)="","",INDEX('Final Calculation Sheet'!$D$4:$D$40,$BJ15-3)),IF(OR($BI15=1,$BL15=1,$BH15&gt;0),"–",""))</f>
        <v>–</v>
      </c>
      <c r="F15" s="69">
        <f>IF($BJ15&gt;0,IF(INDEX('Final Calculation Sheet'!$A$4:$A$40,$BJ15-3)="","",INDEX('Final Calculation Sheet'!$A$4:$A$40,$BJ15-3)),IF(OR($BI15=1,$BL15=1,$BH15&gt;0),IF($BI15=1,SUM('Final Calculation Sheet'!$A$4:$A$40),IF($BL15=1,SUM('Final Calculation Sheet'!$A$4:$A$40)-SUMIFS('Final Calculation Sheet'!$A$4:$A$40,$AZ$5:$AZ$41,10),SUMIFS('Final Calculation Sheet'!$A$4:$A$40,$AZ$5:$AZ$41,$BH15))),""))</f>
        <v>292</v>
      </c>
      <c r="G15" s="69" t="str">
        <f>IF($BJ15&gt;0,IF(INDEX('Final Calculation Sheet'!$E$4:$E$40,$BJ15-3)="","",INDEX('Final Calculation Sheet'!$E$4:$E$40,$BJ15-3)),IF(OR($BI15=1,$BL15=1,$BH15&gt;0),"–",""))</f>
        <v>–</v>
      </c>
      <c r="H15" s="70" t="str">
        <f>IF($BJ15&gt;0,IF(INDEX('Final Calculation Sheet'!$C$4:$C$40,$BJ15-3)="","",INDEX('Final Calculation Sheet'!$C$4:$C$40,$BJ15-3)),IF(OR($BI15=1,$BL15=1,$BH15&gt;0),"–",""))</f>
        <v>–</v>
      </c>
      <c r="I15" s="70">
        <f>IF($BJ15&gt;0,IF(INDEX('Final Calculation Sheet'!$H$4:$H$40,$BJ15-3)="","",INDEX('Final Calculation Sheet'!$H$4:$H$40,$BJ15-3)),IF(OR($BI15=1,$BL15=1,$BH15&gt;0),IF($BI15=1,SUM('Final Calculation Sheet'!$H$4:$H$40),IF($BL15=1,SUM('Final Calculation Sheet'!$H$4:$H$40)-SUMIFS('Final Calculation Sheet'!$H$4:$H$40,$AZ$5:$AZ$41,10),SUMIFS('Final Calculation Sheet'!$H$4:$H$40,$AZ$5:$AZ$41,$BH15))),""))</f>
        <v>197010</v>
      </c>
      <c r="J15" s="70">
        <f>IF($BJ15&gt;0,IF(INDEX('Final Calculation Sheet'!$I$4:$I$40,$BJ15-3)="","",INDEX('Final Calculation Sheet'!$I$4:$I$40,$BJ15-3)),IF(OR($BI15=1,$BL15=1,$BH15&gt;0),IF($BI15=1,SUM('Final Calculation Sheet'!$I$4:$I$40),IF($BL15=1,SUM('Final Calculation Sheet'!$I$4:$I$40)-SUMIFS('Final Calculation Sheet'!$I$4:$I$40,$AZ$5:$AZ$41,10),SUMIFS('Final Calculation Sheet'!$I$4:$I$40,$AZ$5:$AZ$41,$BH15))),""))</f>
        <v>35462</v>
      </c>
      <c r="K15" s="70">
        <f>IF($BJ15&gt;0,IF(INDEX('Final Calculation Sheet'!$J$4:$J$40,$BJ15-3)="","",INDEX('Final Calculation Sheet'!$J$4:$J$40,$BJ15-3)),IF(OR($BI15=1,$BL15=1,$BH15&gt;0),IF($BI15=1,SUM('Final Calculation Sheet'!$J$4:$J$40),IF($BL15=1,SUM('Final Calculation Sheet'!$J$4:$J$40)-SUMIFS('Final Calculation Sheet'!$J$4:$J$40,$AZ$5:$AZ$41,10),SUMIFS('Final Calculation Sheet'!$J$4:$J$40,$AZ$5:$AZ$41,$BH15))),""))</f>
        <v>232472</v>
      </c>
      <c r="L15" s="70">
        <f>IF($BJ15&gt;0,IF(INDEX('Final Calculation Sheet'!$K$4:$K$40,$BJ15-3)="","",INDEX('Final Calculation Sheet'!$K$4:$K$40,$BJ15-3)),IF(OR($BI15=1,$BL15=1,$BH15&gt;0),IF($BI15=1,SUM('Final Calculation Sheet'!$K$4:$K$40),IF($BL15=1,SUM('Final Calculation Sheet'!$K$4:$K$40)-SUMIFS('Final Calculation Sheet'!$K$4:$K$40,$AZ$5:$AZ$41,10),SUMIFS('Final Calculation Sheet'!$K$4:$K$40,$AZ$5:$AZ$41,$BH15))),""))</f>
        <v>4650</v>
      </c>
      <c r="M15" s="70">
        <f>IF($BJ15&gt;0,IF(INDEX('Final Calculation Sheet'!$L$4:$L$40,$BJ15-3)="","",INDEX('Final Calculation Sheet'!$L$4:$L$40,$BJ15-3)),IF(OR($BI15=1,$BL15=1,$BH15&gt;0),IF($BI15=1,SUM('Final Calculation Sheet'!$L$4:$L$40),IF($BL15=1,SUM('Final Calculation Sheet'!$L$4:$L$40)-SUMIFS('Final Calculation Sheet'!$L$4:$L$40,$AZ$5:$AZ$41,10),SUMIFS('Final Calculation Sheet'!$L$4:$L$40,$AZ$5:$AZ$41,$BH15))),""))</f>
        <v>197.01000000000002</v>
      </c>
      <c r="N15" s="70">
        <f>IF($BJ15&gt;0,IF(INDEX('Final Calculation Sheet'!$M$4:$M$40,$BJ15-3)="","",INDEX('Final Calculation Sheet'!$M$4:$M$40,$BJ15-3)),IF(OR($BI15=1,$BL15=1,$BH15&gt;0),IF($BI15=1,SUM('Final Calculation Sheet'!$M$4:$M$40),IF($BL15=1,SUM('Final Calculation Sheet'!$M$4:$M$40)-SUMIFS('Final Calculation Sheet'!$M$4:$M$40,$AZ$5:$AZ$41,10),SUMIFS('Final Calculation Sheet'!$M$4:$M$40,$AZ$5:$AZ$41,$BH15))),""))</f>
        <v>5230.6154999999999</v>
      </c>
      <c r="O15" s="71">
        <f>IF($BJ15&gt;0,IF(INDEX('Final Calculation Sheet'!$N$4:$N$40,$BJ15-3)="","",INDEX('Final Calculation Sheet'!$N$4:$N$40,$BJ15-3)),IF(OR($BI15=1,$BL15=1,$BH15&gt;0),IF($BI15=1,SUM('Final Calculation Sheet'!$N$4:$N$40),IF($BL15=1,SUM('Final Calculation Sheet'!$N$4:$N$40)-SUMIFS('Final Calculation Sheet'!$N$4:$N$40,$AZ$5:$AZ$41,10),SUMIFS('Final Calculation Sheet'!$N$4:$N$40,$AZ$5:$AZ$41,$BH15))),""))</f>
        <v>88.654499999999999</v>
      </c>
      <c r="P15" s="70">
        <f>IF($BJ15&gt;0,IF(INDEX('Final Calculation Sheet'!$O$4:$O$40,$BJ15-3)="","",INDEX('Final Calculation Sheet'!$O$4:$O$40,$BJ15-3)),IF(OR($BI15=1,$BL15=1,$BH15&gt;0),IF($BI15=1,SUM('Final Calculation Sheet'!$O$4:$O$40),IF($BL15=1,SUM('Final Calculation Sheet'!$O$4:$O$40)-SUMIFS('Final Calculation Sheet'!$O$4:$O$40,$AZ$5:$AZ$41,10),SUMIFS('Final Calculation Sheet'!$O$4:$O$40,$AZ$5:$AZ$41,$BH15))),""))</f>
        <v>5141.9610000000002</v>
      </c>
      <c r="Q15" s="70">
        <f>IF($BJ15&gt;0,IF(INDEX('Final Calculation Sheet'!$P$4:$P$40,$BJ15-3)="","",INDEX('Final Calculation Sheet'!$P$4:$P$40,$BJ15-3)),IF(OR($BI15=1,$BL15=1,$BH15&gt;0),IF($BI15=1,SUM('Final Calculation Sheet'!$P$4:$P$40),IF($BL15=1,SUM('Final Calculation Sheet'!$P$4:$P$40)-SUMIFS('Final Calculation Sheet'!$P$4:$P$40,$AZ$5:$AZ$41,10),SUMIFS('Final Calculation Sheet'!$P$4:$P$40,$AZ$5:$AZ$41,$BH15))),""))</f>
        <v>5339</v>
      </c>
      <c r="R15" s="72" t="str">
        <f>IF($BJ15&gt;0,IF(INDEX('Final Calculation Sheet'!$Q$4:$Q$40,$BJ15-3)="","",INDEX('Final Calculation Sheet'!$Q$4:$Q$40,$BJ15-3)),IF(OR($BI15=1,$BL15=1,$BH15&gt;0),"–",""))</f>
        <v>–</v>
      </c>
      <c r="S15" s="70">
        <f>IF($BJ15&gt;0,IF(INDEX('Final Calculation Sheet'!$R$4:$R$40,$BJ15-3)="","",INDEX('Final Calculation Sheet'!$R$4:$R$40,$BJ15-3)),IF(OR($BI15=1,$BL15=1,$BH15&gt;0),IF($BI15=1,SUM('Final Calculation Sheet'!$R$4:$R$40),IF($BL15=1,SUM('Final Calculation Sheet'!$R$4:$R$40)-SUMIFS('Final Calculation Sheet'!$R$4:$R$40,$AZ$5:$AZ$41,10),SUMIFS('Final Calculation Sheet'!$R$4:$R$40,$AZ$5:$AZ$41,$BH15))),""))</f>
        <v>0</v>
      </c>
      <c r="T15" s="70">
        <f>IF($BJ15&gt;0,IF(INDEX('Final Calculation Sheet'!$S$4:$S$40,$BJ15-3)="","",INDEX('Final Calculation Sheet'!$S$4:$S$40,$BJ15-3)),IF(OR($BI15=1,$BL15=1,$BH15&gt;0),IF($BI15=1,SUM('Final Calculation Sheet'!$S$4:$S$40),IF($BL15=1,SUM('Final Calculation Sheet'!$S$4:$S$40)-SUMIFS('Final Calculation Sheet'!$S$4:$S$40,$AZ$5:$AZ$41,10),SUMIFS('Final Calculation Sheet'!$S$4:$S$40,$AZ$5:$AZ$41,$BH15))),""))</f>
        <v>231783</v>
      </c>
      <c r="U15" s="70">
        <f>IF($BJ15&gt;0,IF(INDEX('Final Calculation Sheet'!$T$4:$T$40,$BJ15-3)="","",INDEX('Final Calculation Sheet'!$T$4:$T$40,$BJ15-3)),IF(OR($BI15=1,$BL15=1,$BH15&gt;0),IF($BI15=1,SUM('Final Calculation Sheet'!$T$4:$T$40),IF($BL15=1,SUM('Final Calculation Sheet'!$T$4:$T$40)-SUMIFS('Final Calculation Sheet'!$T$4:$T$40,$AZ$5:$AZ$41,10),SUMIFS('Final Calculation Sheet'!$T$4:$T$40,$AZ$5:$AZ$41,$BH15))),""))</f>
        <v>49253</v>
      </c>
      <c r="V15" s="73">
        <f>IF($BJ15&gt;0,IF(INDEX('Final Calculation Sheet'!$U$4:$U$40,$BJ15-3)="","",INDEX('Final Calculation Sheet'!$U$4:$U$40,$BJ15-3)),IF(OR($BI15=1,$BL15=1,$BH15&gt;0),IF($BI15=1,SUM('Final Calculation Sheet'!$U$4:$U$40),IF($BL15=1,SUM('Final Calculation Sheet'!$U$4:$U$40)-SUMIFS('Final Calculation Sheet'!$U$4:$U$40,$AZ$5:$AZ$41,10),SUMIFS('Final Calculation Sheet'!$U$4:$U$40,$AZ$5:$AZ$41,$BH15))),""))</f>
        <v>49253</v>
      </c>
      <c r="W15" s="70" t="str">
        <f>IF($BJ15&gt;0,IF(INDEX('Final Calculation Sheet'!$V$4:$V$40,$BJ15-3)="","",INDEX('Final Calculation Sheet'!$V$4:$V$40,$BJ15-3)),IF(OR($BI15=1,$BL15=1,$BH15&gt;0),"–",""))</f>
        <v>–</v>
      </c>
      <c r="X15" s="70">
        <f>IF($BJ15&gt;0,IF(INDEX('Final Calculation Sheet'!$W$4:$W$40,$BJ15-3)="","",INDEX('Final Calculation Sheet'!$W$4:$W$40,$BJ15-3)),IF(OR($BI15=1,$BL15=1,$BH15&gt;0),IF($BI15=1,SUM('Final Calculation Sheet'!$W$4:$W$40),IF($BL15=1,SUM('Final Calculation Sheet'!$W$4:$W$40)-SUMIFS('Final Calculation Sheet'!$W$4:$W$40,$AZ$5:$AZ$41,10),SUMIFS('Final Calculation Sheet'!$W$4:$W$40,$AZ$5:$AZ$41,$BH15))),""))</f>
        <v>182531</v>
      </c>
      <c r="Y15" s="70">
        <f>IF($BJ15&gt;0,IF(INDEX('Final Calculation Sheet'!$X$4:$X$40,$BJ15-3)="","",INDEX('Final Calculation Sheet'!$X$4:$X$40,$BJ15-3)),IF(OR($BI15=1,$BL15=1,$BH15&gt;0),IF($BI15=1,SUM('Final Calculation Sheet'!$X$4:$X$40),IF($BL15=1,SUM('Final Calculation Sheet'!$X$4:$X$40)-SUMIFS('Final Calculation Sheet'!$X$4:$X$40,$AZ$5:$AZ$41,10),SUMIFS('Final Calculation Sheet'!$X$4:$X$40,$AZ$5:$AZ$41,$BH15))),""))</f>
        <v>182577</v>
      </c>
      <c r="Z15" s="70" t="str">
        <f>IF($BJ15&gt;0,IF(INDEX('Final Calculation Sheet'!$Y$4:$Y$40,$BJ15-3)="","",INDEX('Final Calculation Sheet'!$Y$4:$Y$40,$BJ15-3)),IF(OR($BI15=1,$BL15=1,$BH15&gt;0),"–",""))</f>
        <v>–</v>
      </c>
      <c r="AA15" s="70">
        <f ca="1">IF($BJ15&gt;0,IF(INDEX('Final Calculation Sheet'!$Z$4:$Z$40,$BJ15-3)="","",INDEX('Final Calculation Sheet'!$Z$4:$Z$40,$BJ15-3)),IF(OR($BI15=1,$BL15=1,$BH15&gt;0),IF($BI15=1,SUM('Final Calculation Sheet'!$Z$4:$Z$40),IF($BL15=1,SUM('Final Calculation Sheet'!$Z$4:$Z$40)-SUMIFS('Final Calculation Sheet'!$Z$4:$Z$40,$AZ$5:$AZ$41,10),SUMIFS('Final Calculation Sheet'!$Z$4:$Z$40,$AZ$5:$AZ$41,$BH15))),""))</f>
        <v>0</v>
      </c>
      <c r="AB15" s="70">
        <f>IF($BJ15&gt;0,IF(INDEX('Final Calculation Sheet'!$AA$4:$AA$40,$BJ15-3)="","",INDEX('Final Calculation Sheet'!$AA$4:$AA$40,$BJ15-3)),IF(OR($BI15=1,$BL15=1,$BH15&gt;0),IF($BI15=1,SUM('Final Calculation Sheet'!$AA$4:$AA$40),IF($BL15=1,SUM('Final Calculation Sheet'!$AA$4:$AA$40)-SUMIFS('Final Calculation Sheet'!$AA$4:$AA$40,$AZ$5:$AZ$41,10),SUMIFS('Final Calculation Sheet'!$AA$4:$AA$40,$AZ$5:$AZ$41,$BH15))),""))</f>
        <v>0</v>
      </c>
      <c r="AC15" s="70" t="str">
        <f>IF($BJ15&gt;0,IF(INDEX('Final Calculation Sheet'!$AB$4:$AB$40,$BJ15-3)="","",INDEX('Final Calculation Sheet'!$AB$4:$AB$40,$BJ15-3)),IF(OR($BI15=1,$BL15=1,$BH15&gt;0),"–",""))</f>
        <v>–</v>
      </c>
      <c r="AD15" s="70">
        <f>IF($BJ15&gt;0,IF(INDEX('Final Calculation Sheet'!$AC$4:$AC$40,$BJ15-3)="","",INDEX('Final Calculation Sheet'!$AC$4:$AC$40,$BJ15-3)),IF(OR($BI15=1,$BL15=1,$BH15&gt;0),IF($BI15=1,SUM('Final Calculation Sheet'!$AC$4:$AC$40),IF($BL15=1,SUM('Final Calculation Sheet'!$AC$4:$AC$40)-SUMIFS('Final Calculation Sheet'!$AC$4:$AC$40,$AZ$5:$AZ$41,10),SUMIFS('Final Calculation Sheet'!$AC$4:$AC$40,$AZ$5:$AZ$41,$BH15))),""))</f>
        <v>231830</v>
      </c>
      <c r="AE15" s="70">
        <f>IF($BJ15&gt;0,IF(INDEX('Final Calculation Sheet'!$AD$4:$AD$40,$BJ15-3)="","",INDEX('Final Calculation Sheet'!$AD$4:$AD$40,$BJ15-3)),IF(OR($BI15=1,$BL15=1,$BH15&gt;0),IF($BI15=1,SUM('Final Calculation Sheet'!$AD$4:$AD$40),IF($BL15=1,SUM('Final Calculation Sheet'!$AD$4:$AD$40)-SUMIFS('Final Calculation Sheet'!$AD$4:$AD$40,$AZ$5:$AZ$41,10),SUMIFS('Final Calculation Sheet'!$AD$4:$AD$40,$AZ$5:$AZ$41,$BH15))),""))</f>
        <v>-47</v>
      </c>
      <c r="AF15" s="70" t="str">
        <f>IF($BJ15&gt;0,IF(INDEX('Final Calculation Sheet'!$AE$4:$AE$40,$BJ15-3)="","",INDEX('Final Calculation Sheet'!$AE$4:$AE$40,$BJ15-3)),IF(OR($BI15=1,$BL15=1,$BH15&gt;0),"–",""))</f>
        <v>–</v>
      </c>
      <c r="AG15" s="74" t="str">
        <f>IF($BJ15&gt;0,IF(INDEX('Final Calculation Sheet'!$AF$4:$AF$40,$BJ15-3)="","",INDEX('Final Calculation Sheet'!$AF$4:$AF$40,$BJ15-3)),IF(OR($BI15=1,$BL15=1,$BH15&gt;0),"–",""))</f>
        <v>–</v>
      </c>
      <c r="AH15" s="70" t="str">
        <f>IF($BJ15&gt;0,IF(INDEX('Final Calculation Sheet'!$AG$4:$AG$40,$BJ15-3)="","",INDEX('Final Calculation Sheet'!$AG$4:$AG$40,$BJ15-3)),IF(OR($BI15=1,$BL15=1,$BH15&gt;0),"–",""))</f>
        <v>–</v>
      </c>
      <c r="AI15" s="75" t="str">
        <f>IF($BJ15&gt;0,IF(INDEX('Final Calculation Sheet'!$AD$4:$AD$40,$BJ15-3)="","",IF(INDEX('Final Calculation Sheet'!$AD$4:$AD$40,$BJ15-3)&lt;=0,"SETTLED","OUTSTANDING")),IF(OR($BI15=1,$BL15=1,$BH15&gt;0),IF(IF($BI15=1,SUM('Final Calculation Sheet'!$AD$4:$AD$40),IF($BL15=1,SUM('Final Calculation Sheet'!$AD$4:$AD$40)-SUMIFS('Final Calculation Sheet'!$AD$4:$AD$40,$AZ$5:$AZ$41,10),SUMIFS('Final Calculation Sheet'!$AD$4:$AD$40,$AZ$5:$AZ$41,$BH15)))&lt;=0,"ALL SETTLED","OUTSTANDING"),""))</f>
        <v>ALL SETTLED</v>
      </c>
      <c r="AK15" t="str">
        <f>IF($F$3="Lot No.",'Final Calculation Sheet'!$F$14,IF($F$3="Buyer",'Final Calculation Sheet'!$G$14,IF($F$3="Lot Name",'Final Calculation Sheet'!$B$14,IF($F$3="Bid Sheet",'Final Calculation Sheet'!$D$14,IF($F$3="Unit",'Final Calculation Sheet'!$E$14,'Final Calculation Sheet'!$F$14&amp;" "&amp;'Final Calculation Sheet'!$G$14&amp;" "&amp;'Final Calculation Sheet'!$B$14)))))</f>
        <v>2007 SHAR JAHAN TRADERS SCRAP POWER TRANSFORMER</v>
      </c>
      <c r="AM15">
        <f t="shared" si="1"/>
        <v>0</v>
      </c>
      <c r="AZ15">
        <f t="shared" si="2"/>
        <v>10</v>
      </c>
      <c r="BA15">
        <f t="shared" si="3"/>
        <v>9</v>
      </c>
      <c r="BB15">
        <f t="shared" si="4"/>
        <v>25</v>
      </c>
      <c r="BC15">
        <v>14</v>
      </c>
      <c r="BH15">
        <f>IFERROR(MATCH(15,$BF$4:$BF$13,0),0)</f>
        <v>2</v>
      </c>
      <c r="BI15">
        <f>IF(15=$BG$5,1,0)</f>
        <v>0</v>
      </c>
      <c r="BJ15">
        <f>IF(OR($BH15&gt;0,$BI15=1,$BL15=1),0,IFERROR(INDEX($BC$5:$BC$41,MATCH(15,$BB$5:$BB$41,0)),0))</f>
        <v>0</v>
      </c>
      <c r="BK15">
        <f>IF($BJ15&gt;0,IF(INDEX($AZ$5:$AZ$41,MATCH(15,$BB$5:$BB$41,0))=10,1,0),IF($BH15=10,1,0))</f>
        <v>0</v>
      </c>
      <c r="BL15">
        <f>IF(15=$BG$4,1,0)</f>
        <v>0</v>
      </c>
    </row>
    <row r="16" spans="1:64" ht="15" customHeight="1" x14ac:dyDescent="0.25">
      <c r="A16" s="67" t="str">
        <f>IF($BJ16&gt;0,INDEX($BA$5:$BA$41,MATCH(16,$BB$5:$BB$41,0)),IF(OR($BI16=1,$BL16=1,$BH16&gt;0),"∑",""))</f>
        <v>∑</v>
      </c>
      <c r="B16" s="68" t="str">
        <f>IF($BJ16&gt;0,IF(INDEX('Final Calculation Sheet'!$F$4:$F$40,$BJ16-3)="","",INDEX('Final Calculation Sheet'!$F$4:$F$40,$BJ16-3)),"")</f>
        <v/>
      </c>
      <c r="C16" s="68" t="str">
        <f>IF($BJ16&gt;0,IF(INDEX('Final Calculation Sheet'!$G$4:$G$40,$BJ16-3)="","",INDEX('Final Calculation Sheet'!$G$4:$G$40,$BJ16-3)),IF(OR($BI16=1,$BL16=1,$BH16&gt;0),IF($BI16=1,37,IF($BL16=1,37-INDEX($BD$4:$BD$13,10),INDEX($BD$4:$BD$13,$BH16)))&amp;" lot(s)",""))</f>
        <v>9 lot(s)</v>
      </c>
      <c r="D16" s="69" t="str">
        <f>IF($BJ16&gt;0,IF(INDEX('Final Calculation Sheet'!$B$4:$B$40,$BJ16-3)="","",INDEX('Final Calculation Sheet'!$B$4:$B$40,$BJ16-3)),IF(OR($BI16=1,$BL16=1,$BH16&gt;0),IF($BI16=1,"GRAND TOTAL  —  matching + remaining",IF($BL16=1,"TOTAL MATCHED  —  every group together",IF($BH16=10,"REMAINING  —  did not match the search",IF($BH16=9,"ALL LOTS  —  nothing typed in the box","GROUP "&amp;$BH16&amp;" TOTAL  —  lots matching  "&amp;INDEX($AR$6:$AY$6,$BH16))))),""))</f>
        <v>TOTAL MATCHED  —  every group together</v>
      </c>
      <c r="E16" s="69" t="str">
        <f>IF($BJ16&gt;0,IF(INDEX('Final Calculation Sheet'!$D$4:$D$40,$BJ16-3)="","",INDEX('Final Calculation Sheet'!$D$4:$D$40,$BJ16-3)),IF(OR($BI16=1,$BL16=1,$BH16&gt;0),"–",""))</f>
        <v>–</v>
      </c>
      <c r="F16" s="69">
        <f>IF($BJ16&gt;0,IF(INDEX('Final Calculation Sheet'!$A$4:$A$40,$BJ16-3)="","",INDEX('Final Calculation Sheet'!$A$4:$A$40,$BJ16-3)),IF(OR($BI16=1,$BL16=1,$BH16&gt;0),IF($BI16=1,SUM('Final Calculation Sheet'!$A$4:$A$40),IF($BL16=1,SUM('Final Calculation Sheet'!$A$4:$A$40)-SUMIFS('Final Calculation Sheet'!$A$4:$A$40,$AZ$5:$AZ$41,10),SUMIFS('Final Calculation Sheet'!$A$4:$A$40,$AZ$5:$AZ$41,$BH16))),""))</f>
        <v>1737</v>
      </c>
      <c r="G16" s="69" t="str">
        <f>IF($BJ16&gt;0,IF(INDEX('Final Calculation Sheet'!$E$4:$E$40,$BJ16-3)="","",INDEX('Final Calculation Sheet'!$E$4:$E$40,$BJ16-3)),IF(OR($BI16=1,$BL16=1,$BH16&gt;0),"–",""))</f>
        <v>–</v>
      </c>
      <c r="H16" s="70" t="str">
        <f>IF($BJ16&gt;0,IF(INDEX('Final Calculation Sheet'!$C$4:$C$40,$BJ16-3)="","",INDEX('Final Calculation Sheet'!$C$4:$C$40,$BJ16-3)),IF(OR($BI16=1,$BL16=1,$BH16&gt;0),"–",""))</f>
        <v>–</v>
      </c>
      <c r="I16" s="70">
        <f>IF($BJ16&gt;0,IF(INDEX('Final Calculation Sheet'!$H$4:$H$40,$BJ16-3)="","",INDEX('Final Calculation Sheet'!$H$4:$H$40,$BJ16-3)),IF(OR($BI16=1,$BL16=1,$BH16&gt;0),IF($BI16=1,SUM('Final Calculation Sheet'!$H$4:$H$40),IF($BL16=1,SUM('Final Calculation Sheet'!$H$4:$H$40)-SUMIFS('Final Calculation Sheet'!$H$4:$H$40,$AZ$5:$AZ$41,10),SUMIFS('Final Calculation Sheet'!$H$4:$H$40,$AZ$5:$AZ$41,$BH16))),""))</f>
        <v>973760</v>
      </c>
      <c r="J16" s="70">
        <f>IF($BJ16&gt;0,IF(INDEX('Final Calculation Sheet'!$I$4:$I$40,$BJ16-3)="","",INDEX('Final Calculation Sheet'!$I$4:$I$40,$BJ16-3)),IF(OR($BI16=1,$BL16=1,$BH16&gt;0),IF($BI16=1,SUM('Final Calculation Sheet'!$I$4:$I$40),IF($BL16=1,SUM('Final Calculation Sheet'!$I$4:$I$40)-SUMIFS('Final Calculation Sheet'!$I$4:$I$40,$AZ$5:$AZ$41,10),SUMIFS('Final Calculation Sheet'!$I$4:$I$40,$AZ$5:$AZ$41,$BH16))),""))</f>
        <v>175277</v>
      </c>
      <c r="K16" s="70">
        <f>IF($BJ16&gt;0,IF(INDEX('Final Calculation Sheet'!$J$4:$J$40,$BJ16-3)="","",INDEX('Final Calculation Sheet'!$J$4:$J$40,$BJ16-3)),IF(OR($BI16=1,$BL16=1,$BH16&gt;0),IF($BI16=1,SUM('Final Calculation Sheet'!$J$4:$J$40),IF($BL16=1,SUM('Final Calculation Sheet'!$J$4:$J$40)-SUMIFS('Final Calculation Sheet'!$J$4:$J$40,$AZ$5:$AZ$41,10),SUMIFS('Final Calculation Sheet'!$J$4:$J$40,$AZ$5:$AZ$41,$BH16))),""))</f>
        <v>1149037</v>
      </c>
      <c r="L16" s="70">
        <f>IF($BJ16&gt;0,IF(INDEX('Final Calculation Sheet'!$K$4:$K$40,$BJ16-3)="","",INDEX('Final Calculation Sheet'!$K$4:$K$40,$BJ16-3)),IF(OR($BI16=1,$BL16=1,$BH16&gt;0),IF($BI16=1,SUM('Final Calculation Sheet'!$K$4:$K$40),IF($BL16=1,SUM('Final Calculation Sheet'!$K$4:$K$40)-SUMIFS('Final Calculation Sheet'!$K$4:$K$40,$AZ$5:$AZ$41,10),SUMIFS('Final Calculation Sheet'!$K$4:$K$40,$AZ$5:$AZ$41,$BH16))),""))</f>
        <v>22981</v>
      </c>
      <c r="M16" s="70">
        <f>IF($BJ16&gt;0,IF(INDEX('Final Calculation Sheet'!$L$4:$L$40,$BJ16-3)="","",INDEX('Final Calculation Sheet'!$L$4:$L$40,$BJ16-3)),IF(OR($BI16=1,$BL16=1,$BH16&gt;0),IF($BI16=1,SUM('Final Calculation Sheet'!$L$4:$L$40),IF($BL16=1,SUM('Final Calculation Sheet'!$L$4:$L$40)-SUMIFS('Final Calculation Sheet'!$L$4:$L$40,$AZ$5:$AZ$41,10),SUMIFS('Final Calculation Sheet'!$L$4:$L$40,$AZ$5:$AZ$41,$BH16))),""))</f>
        <v>973.7599999999984</v>
      </c>
      <c r="N16" s="70">
        <f>IF($BJ16&gt;0,IF(INDEX('Final Calculation Sheet'!$M$4:$M$40,$BJ16-3)="","",INDEX('Final Calculation Sheet'!$M$4:$M$40,$BJ16-3)),IF(OR($BI16=1,$BL16=1,$BH16&gt;0),IF($BI16=1,SUM('Final Calculation Sheet'!$M$4:$M$40),IF($BL16=1,SUM('Final Calculation Sheet'!$M$4:$M$40)-SUMIFS('Final Calculation Sheet'!$M$4:$M$40,$AZ$5:$AZ$41,10),SUMIFS('Final Calculation Sheet'!$M$4:$M$40,$AZ$5:$AZ$41,$BH16))),""))</f>
        <v>25853.32799999998</v>
      </c>
      <c r="O16" s="71">
        <f>IF($BJ16&gt;0,IF(INDEX('Final Calculation Sheet'!$N$4:$N$40,$BJ16-3)="","",INDEX('Final Calculation Sheet'!$N$4:$N$40,$BJ16-3)),IF(OR($BI16=1,$BL16=1,$BH16&gt;0),IF($BI16=1,SUM('Final Calculation Sheet'!$N$4:$N$40),IF($BL16=1,SUM('Final Calculation Sheet'!$N$4:$N$40)-SUMIFS('Final Calculation Sheet'!$N$4:$N$40,$AZ$5:$AZ$41,10),SUMIFS('Final Calculation Sheet'!$N$4:$N$40,$AZ$5:$AZ$41,$BH16))),""))</f>
        <v>438.1919999999991</v>
      </c>
      <c r="P16" s="70">
        <f>IF($BJ16&gt;0,IF(INDEX('Final Calculation Sheet'!$O$4:$O$40,$BJ16-3)="","",INDEX('Final Calculation Sheet'!$O$4:$O$40,$BJ16-3)),IF(OR($BI16=1,$BL16=1,$BH16&gt;0),IF($BI16=1,SUM('Final Calculation Sheet'!$O$4:$O$40),IF($BL16=1,SUM('Final Calculation Sheet'!$O$4:$O$40)-SUMIFS('Final Calculation Sheet'!$O$4:$O$40,$AZ$5:$AZ$41,10),SUMIFS('Final Calculation Sheet'!$O$4:$O$40,$AZ$5:$AZ$41,$BH16))),""))</f>
        <v>25415.136000000115</v>
      </c>
      <c r="Q16" s="70">
        <f>IF($BJ16&gt;0,IF(INDEX('Final Calculation Sheet'!$P$4:$P$40,$BJ16-3)="","",INDEX('Final Calculation Sheet'!$P$4:$P$40,$BJ16-3)),IF(OR($BI16=1,$BL16=1,$BH16&gt;0),IF($BI16=1,SUM('Final Calculation Sheet'!$P$4:$P$40),IF($BL16=1,SUM('Final Calculation Sheet'!$P$4:$P$40)-SUMIFS('Final Calculation Sheet'!$P$4:$P$40,$AZ$5:$AZ$41,10),SUMIFS('Final Calculation Sheet'!$P$4:$P$40,$AZ$5:$AZ$41,$BH16))),""))</f>
        <v>26389</v>
      </c>
      <c r="R16" s="72" t="str">
        <f>IF($BJ16&gt;0,IF(INDEX('Final Calculation Sheet'!$Q$4:$Q$40,$BJ16-3)="","",INDEX('Final Calculation Sheet'!$Q$4:$Q$40,$BJ16-3)),IF(OR($BI16=1,$BL16=1,$BH16&gt;0),"–",""))</f>
        <v>–</v>
      </c>
      <c r="S16" s="70">
        <f>IF($BJ16&gt;0,IF(INDEX('Final Calculation Sheet'!$R$4:$R$40,$BJ16-3)="","",INDEX('Final Calculation Sheet'!$R$4:$R$40,$BJ16-3)),IF(OR($BI16=1,$BL16=1,$BH16&gt;0),IF($BI16=1,SUM('Final Calculation Sheet'!$R$4:$R$40),IF($BL16=1,SUM('Final Calculation Sheet'!$R$4:$R$40)-SUMIFS('Final Calculation Sheet'!$R$4:$R$40,$AZ$5:$AZ$41,10),SUMIFS('Final Calculation Sheet'!$R$4:$R$40,$AZ$5:$AZ$41,$BH16))),""))</f>
        <v>0</v>
      </c>
      <c r="T16" s="70">
        <f>IF($BJ16&gt;0,IF(INDEX('Final Calculation Sheet'!$S$4:$S$40,$BJ16-3)="","",INDEX('Final Calculation Sheet'!$S$4:$S$40,$BJ16-3)),IF(OR($BI16=1,$BL16=1,$BH16&gt;0),IF($BI16=1,SUM('Final Calculation Sheet'!$S$4:$S$40),IF($BL16=1,SUM('Final Calculation Sheet'!$S$4:$S$40)-SUMIFS('Final Calculation Sheet'!$S$4:$S$40,$AZ$5:$AZ$41,10),SUMIFS('Final Calculation Sheet'!$S$4:$S$40,$AZ$5:$AZ$41,$BH16))),""))</f>
        <v>1145630</v>
      </c>
      <c r="U16" s="70">
        <f>IF($BJ16&gt;0,IF(INDEX('Final Calculation Sheet'!$T$4:$T$40,$BJ16-3)="","",INDEX('Final Calculation Sheet'!$T$4:$T$40,$BJ16-3)),IF(OR($BI16=1,$BL16=1,$BH16&gt;0),IF($BI16=1,SUM('Final Calculation Sheet'!$T$4:$T$40),IF($BL16=1,SUM('Final Calculation Sheet'!$T$4:$T$40)-SUMIFS('Final Calculation Sheet'!$T$4:$T$40,$AZ$5:$AZ$41,10),SUMIFS('Final Calculation Sheet'!$T$4:$T$40,$AZ$5:$AZ$41,$BH16))),""))</f>
        <v>243441</v>
      </c>
      <c r="V16" s="73">
        <f>IF($BJ16&gt;0,IF(INDEX('Final Calculation Sheet'!$U$4:$U$40,$BJ16-3)="","",INDEX('Final Calculation Sheet'!$U$4:$U$40,$BJ16-3)),IF(OR($BI16=1,$BL16=1,$BH16&gt;0),IF($BI16=1,SUM('Final Calculation Sheet'!$U$4:$U$40),IF($BL16=1,SUM('Final Calculation Sheet'!$U$4:$U$40)-SUMIFS('Final Calculation Sheet'!$U$4:$U$40,$AZ$5:$AZ$41,10),SUMIFS('Final Calculation Sheet'!$U$4:$U$40,$AZ$5:$AZ$41,$BH16))),""))</f>
        <v>243441</v>
      </c>
      <c r="W16" s="70" t="str">
        <f>IF($BJ16&gt;0,IF(INDEX('Final Calculation Sheet'!$V$4:$V$40,$BJ16-3)="","",INDEX('Final Calculation Sheet'!$V$4:$V$40,$BJ16-3)),IF(OR($BI16=1,$BL16=1,$BH16&gt;0),"–",""))</f>
        <v>–</v>
      </c>
      <c r="X16" s="70">
        <f>IF($BJ16&gt;0,IF(INDEX('Final Calculation Sheet'!$W$4:$W$40,$BJ16-3)="","",INDEX('Final Calculation Sheet'!$W$4:$W$40,$BJ16-3)),IF(OR($BI16=1,$BL16=1,$BH16&gt;0),IF($BI16=1,SUM('Final Calculation Sheet'!$W$4:$W$40),IF($BL16=1,SUM('Final Calculation Sheet'!$W$4:$W$40)-SUMIFS('Final Calculation Sheet'!$W$4:$W$40,$AZ$5:$AZ$41,10),SUMIFS('Final Calculation Sheet'!$W$4:$W$40,$AZ$5:$AZ$41,$BH16))),""))</f>
        <v>902191</v>
      </c>
      <c r="Y16" s="70">
        <f>IF($BJ16&gt;0,IF(INDEX('Final Calculation Sheet'!$X$4:$X$40,$BJ16-3)="","",INDEX('Final Calculation Sheet'!$X$4:$X$40,$BJ16-3)),IF(OR($BI16=1,$BL16=1,$BH16&gt;0),IF($BI16=1,SUM('Final Calculation Sheet'!$X$4:$X$40),IF($BL16=1,SUM('Final Calculation Sheet'!$X$4:$X$40)-SUMIFS('Final Calculation Sheet'!$X$4:$X$40,$AZ$5:$AZ$41,10),SUMIFS('Final Calculation Sheet'!$X$4:$X$40,$AZ$5:$AZ$41,$BH16))),""))</f>
        <v>902236</v>
      </c>
      <c r="Z16" s="70" t="str">
        <f>IF($BJ16&gt;0,IF(INDEX('Final Calculation Sheet'!$Y$4:$Y$40,$BJ16-3)="","",INDEX('Final Calculation Sheet'!$Y$4:$Y$40,$BJ16-3)),IF(OR($BI16=1,$BL16=1,$BH16&gt;0),"–",""))</f>
        <v>–</v>
      </c>
      <c r="AA16" s="70">
        <f ca="1">IF($BJ16&gt;0,IF(INDEX('Final Calculation Sheet'!$Z$4:$Z$40,$BJ16-3)="","",INDEX('Final Calculation Sheet'!$Z$4:$Z$40,$BJ16-3)),IF(OR($BI16=1,$BL16=1,$BH16&gt;0),IF($BI16=1,SUM('Final Calculation Sheet'!$Z$4:$Z$40),IF($BL16=1,SUM('Final Calculation Sheet'!$Z$4:$Z$40)-SUMIFS('Final Calculation Sheet'!$Z$4:$Z$40,$AZ$5:$AZ$41,10),SUMIFS('Final Calculation Sheet'!$Z$4:$Z$40,$AZ$5:$AZ$41,$BH16))),""))</f>
        <v>0</v>
      </c>
      <c r="AB16" s="70">
        <f>IF($BJ16&gt;0,IF(INDEX('Final Calculation Sheet'!$AA$4:$AA$40,$BJ16-3)="","",INDEX('Final Calculation Sheet'!$AA$4:$AA$40,$BJ16-3)),IF(OR($BI16=1,$BL16=1,$BH16&gt;0),IF($BI16=1,SUM('Final Calculation Sheet'!$AA$4:$AA$40),IF($BL16=1,SUM('Final Calculation Sheet'!$AA$4:$AA$40)-SUMIFS('Final Calculation Sheet'!$AA$4:$AA$40,$AZ$5:$AZ$41,10),SUMIFS('Final Calculation Sheet'!$AA$4:$AA$40,$AZ$5:$AZ$41,$BH16))),""))</f>
        <v>0</v>
      </c>
      <c r="AC16" s="70" t="str">
        <f>IF($BJ16&gt;0,IF(INDEX('Final Calculation Sheet'!$AB$4:$AB$40,$BJ16-3)="","",INDEX('Final Calculation Sheet'!$AB$4:$AB$40,$BJ16-3)),IF(OR($BI16=1,$BL16=1,$BH16&gt;0),"–",""))</f>
        <v>–</v>
      </c>
      <c r="AD16" s="70">
        <f>IF($BJ16&gt;0,IF(INDEX('Final Calculation Sheet'!$AC$4:$AC$40,$BJ16-3)="","",INDEX('Final Calculation Sheet'!$AC$4:$AC$40,$BJ16-3)),IF(OR($BI16=1,$BL16=1,$BH16&gt;0),IF($BI16=1,SUM('Final Calculation Sheet'!$AC$4:$AC$40),IF($BL16=1,SUM('Final Calculation Sheet'!$AC$4:$AC$40)-SUMIFS('Final Calculation Sheet'!$AC$4:$AC$40,$AZ$5:$AZ$41,10),SUMIFS('Final Calculation Sheet'!$AC$4:$AC$40,$AZ$5:$AZ$41,$BH16))),""))</f>
        <v>1145677</v>
      </c>
      <c r="AE16" s="70">
        <f>IF($BJ16&gt;0,IF(INDEX('Final Calculation Sheet'!$AD$4:$AD$40,$BJ16-3)="","",INDEX('Final Calculation Sheet'!$AD$4:$AD$40,$BJ16-3)),IF(OR($BI16=1,$BL16=1,$BH16&gt;0),IF($BI16=1,SUM('Final Calculation Sheet'!$AD$4:$AD$40),IF($BL16=1,SUM('Final Calculation Sheet'!$AD$4:$AD$40)-SUMIFS('Final Calculation Sheet'!$AD$4:$AD$40,$AZ$5:$AZ$41,10),SUMIFS('Final Calculation Sheet'!$AD$4:$AD$40,$AZ$5:$AZ$41,$BH16))),""))</f>
        <v>-47</v>
      </c>
      <c r="AF16" s="70" t="str">
        <f>IF($BJ16&gt;0,IF(INDEX('Final Calculation Sheet'!$AE$4:$AE$40,$BJ16-3)="","",INDEX('Final Calculation Sheet'!$AE$4:$AE$40,$BJ16-3)),IF(OR($BI16=1,$BL16=1,$BH16&gt;0),"–",""))</f>
        <v>–</v>
      </c>
      <c r="AG16" s="74" t="str">
        <f>IF($BJ16&gt;0,IF(INDEX('Final Calculation Sheet'!$AF$4:$AF$40,$BJ16-3)="","",INDEX('Final Calculation Sheet'!$AF$4:$AF$40,$BJ16-3)),IF(OR($BI16=1,$BL16=1,$BH16&gt;0),"–",""))</f>
        <v>–</v>
      </c>
      <c r="AH16" s="70" t="str">
        <f>IF($BJ16&gt;0,IF(INDEX('Final Calculation Sheet'!$AG$4:$AG$40,$BJ16-3)="","",INDEX('Final Calculation Sheet'!$AG$4:$AG$40,$BJ16-3)),IF(OR($BI16=1,$BL16=1,$BH16&gt;0),"–",""))</f>
        <v>–</v>
      </c>
      <c r="AI16" s="75" t="str">
        <f>IF($BJ16&gt;0,IF(INDEX('Final Calculation Sheet'!$AD$4:$AD$40,$BJ16-3)="","",IF(INDEX('Final Calculation Sheet'!$AD$4:$AD$40,$BJ16-3)&lt;=0,"SETTLED","OUTSTANDING")),IF(OR($BI16=1,$BL16=1,$BH16&gt;0),IF(IF($BI16=1,SUM('Final Calculation Sheet'!$AD$4:$AD$40),IF($BL16=1,SUM('Final Calculation Sheet'!$AD$4:$AD$40)-SUMIFS('Final Calculation Sheet'!$AD$4:$AD$40,$AZ$5:$AZ$41,10),SUMIFS('Final Calculation Sheet'!$AD$4:$AD$40,$AZ$5:$AZ$41,$BH16)))&lt;=0,"ALL SETTLED","OUTSTANDING"),""))</f>
        <v>ALL SETTLED</v>
      </c>
      <c r="AK16" t="str">
        <f>IF($F$3="Lot No.",'Final Calculation Sheet'!$F$15,IF($F$3="Buyer",'Final Calculation Sheet'!$G$15,IF($F$3="Lot Name",'Final Calculation Sheet'!$B$15,IF($F$3="Bid Sheet",'Final Calculation Sheet'!$D$15,IF($F$3="Unit",'Final Calculation Sheet'!$E$15,'Final Calculation Sheet'!$F$15&amp;" "&amp;'Final Calculation Sheet'!$G$15&amp;" "&amp;'Final Calculation Sheet'!$B$15)))))</f>
        <v>2008 HIND TRADERS Scrap of empty oil Druam</v>
      </c>
      <c r="AM16">
        <f t="shared" si="1"/>
        <v>0</v>
      </c>
      <c r="AZ16">
        <f t="shared" si="2"/>
        <v>10</v>
      </c>
      <c r="BA16">
        <f t="shared" si="3"/>
        <v>10</v>
      </c>
      <c r="BB16">
        <f t="shared" si="4"/>
        <v>26</v>
      </c>
      <c r="BC16">
        <v>15</v>
      </c>
      <c r="BH16">
        <f>IFERROR(MATCH(16,$BF$4:$BF$13,0),0)</f>
        <v>0</v>
      </c>
      <c r="BI16">
        <f>IF(16=$BG$5,1,0)</f>
        <v>0</v>
      </c>
      <c r="BJ16">
        <f>IF(OR($BH16&gt;0,$BI16=1,$BL16=1),0,IFERROR(INDEX($BC$5:$BC$41,MATCH(16,$BB$5:$BB$41,0)),0))</f>
        <v>0</v>
      </c>
      <c r="BK16">
        <f>IF($BJ16&gt;0,IF(INDEX($AZ$5:$AZ$41,MATCH(16,$BB$5:$BB$41,0))=10,1,0),IF($BH16=10,1,0))</f>
        <v>0</v>
      </c>
      <c r="BL16">
        <f>IF(16=$BG$4,1,0)</f>
        <v>1</v>
      </c>
    </row>
    <row r="17" spans="1:64" ht="15" customHeight="1" x14ac:dyDescent="0.25">
      <c r="A17" s="67">
        <f>IF($BJ17&gt;0,INDEX($BA$5:$BA$41,MATCH(17,$BB$5:$BB$41,0)),IF(OR($BI17=1,$BL17=1,$BH17&gt;0),"∑",""))</f>
        <v>1</v>
      </c>
      <c r="B17" s="68">
        <f>IF($BJ17&gt;0,IF(INDEX('Final Calculation Sheet'!$F$4:$F$40,$BJ17-3)="","",INDEX('Final Calculation Sheet'!$F$4:$F$40,$BJ17-3)),"")</f>
        <v>1763</v>
      </c>
      <c r="C17" s="68" t="str">
        <f>IF($BJ17&gt;0,IF(INDEX('Final Calculation Sheet'!$G$4:$G$40,$BJ17-3)="","",INDEX('Final Calculation Sheet'!$G$4:$G$40,$BJ17-3)),IF(OR($BI17=1,$BL17=1,$BH17&gt;0),IF($BI17=1,37,IF($BL17=1,37-INDEX($BD$4:$BD$13,10),INDEX($BD$4:$BD$13,$BH17)))&amp;" lot(s)",""))</f>
        <v>AL HAMD TRADE CORPORATION</v>
      </c>
      <c r="D17" s="69" t="str">
        <f>IF($BJ17&gt;0,IF(INDEX('Final Calculation Sheet'!$B$4:$B$40,$BJ17-3)="","",INDEX('Final Calculation Sheet'!$B$4:$B$40,$BJ17-3)),IF(OR($BI17=1,$BL17=1,$BH17&gt;0),IF($BI17=1,"GRAND TOTAL  —  matching + remaining",IF($BL17=1,"TOTAL MATCHED  —  every group together",IF($BH17=10,"REMAINING  —  did not match the search",IF($BH17=9,"ALL LOTS  —  nothing typed in the box","GROUP "&amp;$BH17&amp;" TOTAL  —  lots matching  "&amp;INDEX($AR$6:$AY$6,$BH17))))),""))</f>
        <v>Lot No.</v>
      </c>
      <c r="E17" s="69">
        <f>IF($BJ17&gt;0,IF(INDEX('Final Calculation Sheet'!$D$4:$D$40,$BJ17-3)="","",INDEX('Final Calculation Sheet'!$D$4:$D$40,$BJ17-3)),IF(OR($BI17=1,$BL17=1,$BH17&gt;0),"–",""))</f>
        <v>21980</v>
      </c>
      <c r="F17" s="69">
        <f>IF($BJ17&gt;0,IF(INDEX('Final Calculation Sheet'!$A$4:$A$40,$BJ17-3)="","",INDEX('Final Calculation Sheet'!$A$4:$A$40,$BJ17-3)),IF(OR($BI17=1,$BL17=1,$BH17&gt;0),IF($BI17=1,SUM('Final Calculation Sheet'!$A$4:$A$40),IF($BL17=1,SUM('Final Calculation Sheet'!$A$4:$A$40)-SUMIFS('Final Calculation Sheet'!$A$4:$A$40,$AZ$5:$AZ$41,10),SUMIFS('Final Calculation Sheet'!$A$4:$A$40,$AZ$5:$AZ$41,$BH17))),""))</f>
        <v>669</v>
      </c>
      <c r="G17" s="69" t="str">
        <f>IF($BJ17&gt;0,IF(INDEX('Final Calculation Sheet'!$E$4:$E$40,$BJ17-3)="","",INDEX('Final Calculation Sheet'!$E$4:$E$40,$BJ17-3)),IF(OR($BI17=1,$BL17=1,$BH17&gt;0),"–",""))</f>
        <v>KG</v>
      </c>
      <c r="H17" s="70">
        <f>IF($BJ17&gt;0,IF(INDEX('Final Calculation Sheet'!$C$4:$C$40,$BJ17-3)="","",INDEX('Final Calculation Sheet'!$C$4:$C$40,$BJ17-3)),IF(OR($BI17=1,$BL17=1,$BH17&gt;0),"–",""))</f>
        <v>1181</v>
      </c>
      <c r="I17" s="70">
        <f>IF($BJ17&gt;0,IF(INDEX('Final Calculation Sheet'!$H$4:$H$40,$BJ17-3)="","",INDEX('Final Calculation Sheet'!$H$4:$H$40,$BJ17-3)),IF(OR($BI17=1,$BL17=1,$BH17&gt;0),IF($BI17=1,SUM('Final Calculation Sheet'!$H$4:$H$40),IF($BL17=1,SUM('Final Calculation Sheet'!$H$4:$H$40)-SUMIFS('Final Calculation Sheet'!$H$4:$H$40,$AZ$5:$AZ$41,10),SUMIFS('Final Calculation Sheet'!$H$4:$H$40,$AZ$5:$AZ$41,$BH17))),""))</f>
        <v>790089</v>
      </c>
      <c r="J17" s="70">
        <f>IF($BJ17&gt;0,IF(INDEX('Final Calculation Sheet'!$I$4:$I$40,$BJ17-3)="","",INDEX('Final Calculation Sheet'!$I$4:$I$40,$BJ17-3)),IF(OR($BI17=1,$BL17=1,$BH17&gt;0),IF($BI17=1,SUM('Final Calculation Sheet'!$I$4:$I$40),IF($BL17=1,SUM('Final Calculation Sheet'!$I$4:$I$40)-SUMIFS('Final Calculation Sheet'!$I$4:$I$40,$AZ$5:$AZ$41,10),SUMIFS('Final Calculation Sheet'!$I$4:$I$40,$AZ$5:$AZ$41,$BH17))),""))</f>
        <v>142216</v>
      </c>
      <c r="K17" s="70">
        <f>IF($BJ17&gt;0,IF(INDEX('Final Calculation Sheet'!$J$4:$J$40,$BJ17-3)="","",INDEX('Final Calculation Sheet'!$J$4:$J$40,$BJ17-3)),IF(OR($BI17=1,$BL17=1,$BH17&gt;0),IF($BI17=1,SUM('Final Calculation Sheet'!$J$4:$J$40),IF($BL17=1,SUM('Final Calculation Sheet'!$J$4:$J$40)-SUMIFS('Final Calculation Sheet'!$J$4:$J$40,$AZ$5:$AZ$41,10),SUMIFS('Final Calculation Sheet'!$J$4:$J$40,$AZ$5:$AZ$41,$BH17))),""))</f>
        <v>932305</v>
      </c>
      <c r="L17" s="70">
        <f>IF($BJ17&gt;0,IF(INDEX('Final Calculation Sheet'!$K$4:$K$40,$BJ17-3)="","",INDEX('Final Calculation Sheet'!$K$4:$K$40,$BJ17-3)),IF(OR($BI17=1,$BL17=1,$BH17&gt;0),IF($BI17=1,SUM('Final Calculation Sheet'!$K$4:$K$40),IF($BL17=1,SUM('Final Calculation Sheet'!$K$4:$K$40)-SUMIFS('Final Calculation Sheet'!$K$4:$K$40,$AZ$5:$AZ$41,10),SUMIFS('Final Calculation Sheet'!$K$4:$K$40,$AZ$5:$AZ$41,$BH17))),""))</f>
        <v>18646</v>
      </c>
      <c r="M17" s="70">
        <f>IF($BJ17&gt;0,IF(INDEX('Final Calculation Sheet'!$L$4:$L$40,$BJ17-3)="","",INDEX('Final Calculation Sheet'!$L$4:$L$40,$BJ17-3)),IF(OR($BI17=1,$BL17=1,$BH17&gt;0),IF($BI17=1,SUM('Final Calculation Sheet'!$L$4:$L$40),IF($BL17=1,SUM('Final Calculation Sheet'!$L$4:$L$40)-SUMIFS('Final Calculation Sheet'!$L$4:$L$40,$AZ$5:$AZ$41,10),SUMIFS('Final Calculation Sheet'!$L$4:$L$40,$AZ$5:$AZ$41,$BH17))),""))</f>
        <v>790.08900000000006</v>
      </c>
      <c r="N17" s="70">
        <f>IF($BJ17&gt;0,IF(INDEX('Final Calculation Sheet'!$M$4:$M$40,$BJ17-3)="","",INDEX('Final Calculation Sheet'!$M$4:$M$40,$BJ17-3)),IF(OR($BI17=1,$BL17=1,$BH17&gt;0),IF($BI17=1,SUM('Final Calculation Sheet'!$M$4:$M$40),IF($BL17=1,SUM('Final Calculation Sheet'!$M$4:$M$40)-SUMIFS('Final Calculation Sheet'!$M$4:$M$40,$AZ$5:$AZ$41,10),SUMIFS('Final Calculation Sheet'!$M$4:$M$40,$AZ$5:$AZ$41,$BH17))),""))</f>
        <v>20976.862949999999</v>
      </c>
      <c r="O17" s="71">
        <f>IF($BJ17&gt;0,IF(INDEX('Final Calculation Sheet'!$N$4:$N$40,$BJ17-3)="","",INDEX('Final Calculation Sheet'!$N$4:$N$40,$BJ17-3)),IF(OR($BI17=1,$BL17=1,$BH17&gt;0),IF($BI17=1,SUM('Final Calculation Sheet'!$N$4:$N$40),IF($BL17=1,SUM('Final Calculation Sheet'!$N$4:$N$40)-SUMIFS('Final Calculation Sheet'!$N$4:$N$40,$AZ$5:$AZ$41,10),SUMIFS('Final Calculation Sheet'!$N$4:$N$40,$AZ$5:$AZ$41,$BH17))),""))</f>
        <v>355.54005000000001</v>
      </c>
      <c r="P17" s="70">
        <f>IF($BJ17&gt;0,IF(INDEX('Final Calculation Sheet'!$O$4:$O$40,$BJ17-3)="","",INDEX('Final Calculation Sheet'!$O$4:$O$40,$BJ17-3)),IF(OR($BI17=1,$BL17=1,$BH17&gt;0),IF($BI17=1,SUM('Final Calculation Sheet'!$O$4:$O$40),IF($BL17=1,SUM('Final Calculation Sheet'!$O$4:$O$40)-SUMIFS('Final Calculation Sheet'!$O$4:$O$40,$AZ$5:$AZ$41,10),SUMIFS('Final Calculation Sheet'!$O$4:$O$40,$AZ$5:$AZ$41,$BH17))),""))</f>
        <v>20621.322899999999</v>
      </c>
      <c r="Q17" s="70">
        <f>IF($BJ17&gt;0,IF(INDEX('Final Calculation Sheet'!$P$4:$P$40,$BJ17-3)="","",INDEX('Final Calculation Sheet'!$P$4:$P$40,$BJ17-3)),IF(OR($BI17=1,$BL17=1,$BH17&gt;0),IF($BI17=1,SUM('Final Calculation Sheet'!$P$4:$P$40),IF($BL17=1,SUM('Final Calculation Sheet'!$P$4:$P$40)-SUMIFS('Final Calculation Sheet'!$P$4:$P$40,$AZ$5:$AZ$41,10),SUMIFS('Final Calculation Sheet'!$P$4:$P$40,$AZ$5:$AZ$41,$BH17))),""))</f>
        <v>21411</v>
      </c>
      <c r="R17" s="72">
        <f>IF($BJ17&gt;0,IF(INDEX('Final Calculation Sheet'!$Q$4:$Q$40,$BJ17-3)="","",INDEX('Final Calculation Sheet'!$Q$4:$Q$40,$BJ17-3)),IF(OR($BI17=1,$BL17=1,$BH17&gt;0),"–",""))</f>
        <v>0.02</v>
      </c>
      <c r="S17" s="70">
        <f>IF($BJ17&gt;0,IF(INDEX('Final Calculation Sheet'!$R$4:$R$40,$BJ17-3)="","",INDEX('Final Calculation Sheet'!$R$4:$R$40,$BJ17-3)),IF(OR($BI17=1,$BL17=1,$BH17&gt;0),IF($BI17=1,SUM('Final Calculation Sheet'!$R$4:$R$40),IF($BL17=1,SUM('Final Calculation Sheet'!$R$4:$R$40)-SUMIFS('Final Calculation Sheet'!$R$4:$R$40,$AZ$5:$AZ$41,10),SUMIFS('Final Calculation Sheet'!$R$4:$R$40,$AZ$5:$AZ$41,$BH17))),""))</f>
        <v>15802</v>
      </c>
      <c r="T17" s="70">
        <f>IF($BJ17&gt;0,IF(INDEX('Final Calculation Sheet'!$S$4:$S$40,$BJ17-3)="","",INDEX('Final Calculation Sheet'!$S$4:$S$40,$BJ17-3)),IF(OR($BI17=1,$BL17=1,$BH17&gt;0),IF($BI17=1,SUM('Final Calculation Sheet'!$S$4:$S$40),IF($BL17=1,SUM('Final Calculation Sheet'!$S$4:$S$40)-SUMIFS('Final Calculation Sheet'!$S$4:$S$40,$AZ$5:$AZ$41,10),SUMIFS('Final Calculation Sheet'!$S$4:$S$40,$AZ$5:$AZ$41,$BH17))),""))</f>
        <v>913738</v>
      </c>
      <c r="U17" s="70">
        <f>IF($BJ17&gt;0,IF(INDEX('Final Calculation Sheet'!$T$4:$T$40,$BJ17-3)="","",INDEX('Final Calculation Sheet'!$T$4:$T$40,$BJ17-3)),IF(OR($BI17=1,$BL17=1,$BH17&gt;0),IF($BI17=1,SUM('Final Calculation Sheet'!$T$4:$T$40),IF($BL17=1,SUM('Final Calculation Sheet'!$T$4:$T$40)-SUMIFS('Final Calculation Sheet'!$T$4:$T$40,$AZ$5:$AZ$41,10),SUMIFS('Final Calculation Sheet'!$T$4:$T$40,$AZ$5:$AZ$41,$BH17))),""))</f>
        <v>197522</v>
      </c>
      <c r="V17" s="73">
        <f>IF($BJ17&gt;0,IF(INDEX('Final Calculation Sheet'!$U$4:$U$40,$BJ17-3)="","",INDEX('Final Calculation Sheet'!$U$4:$U$40,$BJ17-3)),IF(OR($BI17=1,$BL17=1,$BH17&gt;0),IF($BI17=1,SUM('Final Calculation Sheet'!$U$4:$U$40),IF($BL17=1,SUM('Final Calculation Sheet'!$U$4:$U$40)-SUMIFS('Final Calculation Sheet'!$U$4:$U$40,$AZ$5:$AZ$41,10),SUMIFS('Final Calculation Sheet'!$U$4:$U$40,$AZ$5:$AZ$41,$BH17))),""))</f>
        <v>197522</v>
      </c>
      <c r="W17" s="70" t="str">
        <f>IF($BJ17&gt;0,IF(INDEX('Final Calculation Sheet'!$V$4:$V$40,$BJ17-3)="","",INDEX('Final Calculation Sheet'!$V$4:$V$40,$BJ17-3)),IF(OR($BI17=1,$BL17=1,$BH17&gt;0),"–",""))</f>
        <v>24.08.2026</v>
      </c>
      <c r="X17" s="70">
        <f>IF($BJ17&gt;0,IF(INDEX('Final Calculation Sheet'!$W$4:$W$40,$BJ17-3)="","",INDEX('Final Calculation Sheet'!$W$4:$W$40,$BJ17-3)),IF(OR($BI17=1,$BL17=1,$BH17&gt;0),IF($BI17=1,SUM('Final Calculation Sheet'!$W$4:$W$40),IF($BL17=1,SUM('Final Calculation Sheet'!$W$4:$W$40)-SUMIFS('Final Calculation Sheet'!$W$4:$W$40,$AZ$5:$AZ$41,10),SUMIFS('Final Calculation Sheet'!$W$4:$W$40,$AZ$5:$AZ$41,$BH17))),""))</f>
        <v>716215</v>
      </c>
      <c r="Y17" s="70">
        <f>IF($BJ17&gt;0,IF(INDEX('Final Calculation Sheet'!$X$4:$X$40,$BJ17-3)="","",INDEX('Final Calculation Sheet'!$X$4:$X$40,$BJ17-3)),IF(OR($BI17=1,$BL17=1,$BH17&gt;0),IF($BI17=1,SUM('Final Calculation Sheet'!$X$4:$X$40),IF($BL17=1,SUM('Final Calculation Sheet'!$X$4:$X$40)-SUMIFS('Final Calculation Sheet'!$X$4:$X$40,$AZ$5:$AZ$41,10),SUMIFS('Final Calculation Sheet'!$X$4:$X$40,$AZ$5:$AZ$41,$BH17))),""))</f>
        <v>716216</v>
      </c>
      <c r="Z17" s="70" t="str">
        <f>IF($BJ17&gt;0,IF(INDEX('Final Calculation Sheet'!$Y$4:$Y$40,$BJ17-3)="","",INDEX('Final Calculation Sheet'!$Y$4:$Y$40,$BJ17-3)),IF(OR($BI17=1,$BL17=1,$BH17&gt;0),"–",""))</f>
        <v>18.08.2026</v>
      </c>
      <c r="AA17" s="70">
        <f ca="1">IF($BJ17&gt;0,IF(INDEX('Final Calculation Sheet'!$Z$4:$Z$40,$BJ17-3)="","",INDEX('Final Calculation Sheet'!$Z$4:$Z$40,$BJ17-3)),IF(OR($BI17=1,$BL17=1,$BH17&gt;0),IF($BI17=1,SUM('Final Calculation Sheet'!$Z$4:$Z$40),IF($BL17=1,SUM('Final Calculation Sheet'!$Z$4:$Z$40)-SUMIFS('Final Calculation Sheet'!$Z$4:$Z$40,$AZ$5:$AZ$41,10),SUMIFS('Final Calculation Sheet'!$Z$4:$Z$40,$AZ$5:$AZ$41,$BH17))),""))</f>
        <v>0</v>
      </c>
      <c r="AB17" s="70" t="str">
        <f>IF($BJ17&gt;0,IF(INDEX('Final Calculation Sheet'!$AA$4:$AA$40,$BJ17-3)="","",INDEX('Final Calculation Sheet'!$AA$4:$AA$40,$BJ17-3)),IF(OR($BI17=1,$BL17=1,$BH17&gt;0),IF($BI17=1,SUM('Final Calculation Sheet'!$AA$4:$AA$40),IF($BL17=1,SUM('Final Calculation Sheet'!$AA$4:$AA$40)-SUMIFS('Final Calculation Sheet'!$AA$4:$AA$40,$AZ$5:$AZ$41,10),SUMIFS('Final Calculation Sheet'!$AA$4:$AA$40,$AZ$5:$AZ$41,$BH17))),""))</f>
        <v/>
      </c>
      <c r="AC17" s="70" t="str">
        <f>IF($BJ17&gt;0,IF(INDEX('Final Calculation Sheet'!$AB$4:$AB$40,$BJ17-3)="","",INDEX('Final Calculation Sheet'!$AB$4:$AB$40,$BJ17-3)),IF(OR($BI17=1,$BL17=1,$BH17&gt;0),"–",""))</f>
        <v/>
      </c>
      <c r="AD17" s="70">
        <f>IF($BJ17&gt;0,IF(INDEX('Final Calculation Sheet'!$AC$4:$AC$40,$BJ17-3)="","",INDEX('Final Calculation Sheet'!$AC$4:$AC$40,$BJ17-3)),IF(OR($BI17=1,$BL17=1,$BH17&gt;0),IF($BI17=1,SUM('Final Calculation Sheet'!$AC$4:$AC$40),IF($BL17=1,SUM('Final Calculation Sheet'!$AC$4:$AC$40)-SUMIFS('Final Calculation Sheet'!$AC$4:$AC$40,$AZ$5:$AZ$41,10),SUMIFS('Final Calculation Sheet'!$AC$4:$AC$40,$AZ$5:$AZ$41,$BH17))),""))</f>
        <v>913738</v>
      </c>
      <c r="AE17" s="70">
        <f>IF($BJ17&gt;0,IF(INDEX('Final Calculation Sheet'!$AD$4:$AD$40,$BJ17-3)="","",INDEX('Final Calculation Sheet'!$AD$4:$AD$40,$BJ17-3)),IF(OR($BI17=1,$BL17=1,$BH17&gt;0),IF($BI17=1,SUM('Final Calculation Sheet'!$AD$4:$AD$40),IF($BL17=1,SUM('Final Calculation Sheet'!$AD$4:$AD$40)-SUMIFS('Final Calculation Sheet'!$AD$4:$AD$40,$AZ$5:$AZ$41,10),SUMIFS('Final Calculation Sheet'!$AD$4:$AD$40,$AZ$5:$AZ$41,$BH17))),""))</f>
        <v>0</v>
      </c>
      <c r="AF17" s="70" t="str">
        <f>IF($BJ17&gt;0,IF(INDEX('Final Calculation Sheet'!$AE$4:$AE$40,$BJ17-3)="","",INDEX('Final Calculation Sheet'!$AE$4:$AE$40,$BJ17-3)),IF(OR($BI17=1,$BL17=1,$BH17&gt;0),"–",""))</f>
        <v>DR2640100029</v>
      </c>
      <c r="AG17" s="74">
        <f>IF($BJ17&gt;0,IF(INDEX('Final Calculation Sheet'!$AF$4:$AF$40,$BJ17-3)="","",INDEX('Final Calculation Sheet'!$AF$4:$AF$40,$BJ17-3)),IF(OR($BI17=1,$BL17=1,$BH17&gt;0),"–",""))</f>
        <v>1800003271</v>
      </c>
      <c r="AH17" s="70" t="str">
        <f>IF($BJ17&gt;0,IF(INDEX('Final Calculation Sheet'!$AG$4:$AG$40,$BJ17-3)="","",INDEX('Final Calculation Sheet'!$AG$4:$AG$40,$BJ17-3)),IF(OR($BI17=1,$BL17=1,$BH17&gt;0),"–",""))</f>
        <v>24.08.2026</v>
      </c>
      <c r="AI17" s="75" t="str">
        <f>IF($BJ17&gt;0,IF(INDEX('Final Calculation Sheet'!$AD$4:$AD$40,$BJ17-3)="","",IF(INDEX('Final Calculation Sheet'!$AD$4:$AD$40,$BJ17-3)&lt;=0,"SETTLED","OUTSTANDING")),IF(OR($BI17=1,$BL17=1,$BH17&gt;0),IF(IF($BI17=1,SUM('Final Calculation Sheet'!$AD$4:$AD$40),IF($BL17=1,SUM('Final Calculation Sheet'!$AD$4:$AD$40)-SUMIFS('Final Calculation Sheet'!$AD$4:$AD$40,$AZ$5:$AZ$41,10),SUMIFS('Final Calculation Sheet'!$AD$4:$AD$40,$AZ$5:$AZ$41,$BH17)))&lt;=0,"ALL SETTLED","OUTSTANDING"),""))</f>
        <v>SETTLED</v>
      </c>
      <c r="AK17" t="str">
        <f>IF($F$3="Lot No.",'Final Calculation Sheet'!$F$16,IF($F$3="Buyer",'Final Calculation Sheet'!$G$16,IF($F$3="Lot Name",'Final Calculation Sheet'!$B$16,IF($F$3="Bid Sheet",'Final Calculation Sheet'!$D$16,IF($F$3="Unit",'Final Calculation Sheet'!$E$16,'Final Calculation Sheet'!$F$16&amp;" "&amp;'Final Calculation Sheet'!$G$16&amp;" "&amp;'Final Calculation Sheet'!$B$16)))))</f>
        <v>2011 STERLING ENTERPRISES Scrap of empty oil Barrel</v>
      </c>
      <c r="AM17">
        <f t="shared" si="1"/>
        <v>1</v>
      </c>
      <c r="AZ17">
        <f t="shared" si="2"/>
        <v>2</v>
      </c>
      <c r="BA17">
        <f t="shared" si="3"/>
        <v>1</v>
      </c>
      <c r="BB17">
        <f t="shared" si="4"/>
        <v>10</v>
      </c>
      <c r="BC17">
        <v>16</v>
      </c>
      <c r="BH17">
        <f>IFERROR(MATCH(17,$BF$4:$BF$13,0),0)</f>
        <v>0</v>
      </c>
      <c r="BI17">
        <f>IF(17=$BG$5,1,0)</f>
        <v>0</v>
      </c>
      <c r="BJ17">
        <f>IF(OR($BH17&gt;0,$BI17=1,$BL17=1),0,IFERROR(INDEX($BC$5:$BC$41,MATCH(17,$BB$5:$BB$41,0)),0))</f>
        <v>4</v>
      </c>
      <c r="BK17">
        <f>IF($BJ17&gt;0,IF(INDEX($AZ$5:$AZ$41,MATCH(17,$BB$5:$BB$41,0))=10,1,0),IF($BH17=10,1,0))</f>
        <v>1</v>
      </c>
      <c r="BL17">
        <f>IF(17=$BG$4,1,0)</f>
        <v>0</v>
      </c>
    </row>
    <row r="18" spans="1:64" ht="15" customHeight="1" x14ac:dyDescent="0.25">
      <c r="A18" s="67">
        <f>IF($BJ18&gt;0,INDEX($BA$5:$BA$41,MATCH(18,$BB$5:$BB$41,0)),IF(OR($BI18=1,$BL18=1,$BH18&gt;0),"∑",""))</f>
        <v>2</v>
      </c>
      <c r="B18" s="68">
        <f>IF($BJ18&gt;0,IF(INDEX('Final Calculation Sheet'!$F$4:$F$40,$BJ18-3)="","",INDEX('Final Calculation Sheet'!$F$4:$F$40,$BJ18-3)),"")</f>
        <v>1875</v>
      </c>
      <c r="C18" s="68" t="str">
        <f>IF($BJ18&gt;0,IF(INDEX('Final Calculation Sheet'!$G$4:$G$40,$BJ18-3)="","",INDEX('Final Calculation Sheet'!$G$4:$G$40,$BJ18-3)),IF(OR($BI18=1,$BL18=1,$BH18&gt;0),IF($BI18=1,37,IF($BL18=1,37-INDEX($BD$4:$BD$13,10),INDEX($BD$4:$BD$13,$BH18)))&amp;" lot(s)",""))</f>
        <v>F R KHANS ENTERPRISES</v>
      </c>
      <c r="D18" s="69" t="str">
        <f>IF($BJ18&gt;0,IF(INDEX('Final Calculation Sheet'!$B$4:$B$40,$BJ18-3)="","",INDEX('Final Calculation Sheet'!$B$4:$B$40,$BJ18-3)),IF(OR($BI18=1,$BL18=1,$BH18&gt;0),IF($BI18=1,"GRAND TOTAL  —  matching + remaining",IF($BL18=1,"TOTAL MATCHED  —  every group together",IF($BH18=10,"REMAINING  —  did not match the search",IF($BH18=9,"ALL LOTS  —  nothing typed in the box","GROUP "&amp;$BH18&amp;" TOTAL  —  lots matching  "&amp;INDEX($AR$6:$AY$6,$BH18))))),""))</f>
        <v>Scrap of Copper of faulty AC compressor</v>
      </c>
      <c r="E18" s="69">
        <f>IF($BJ18&gt;0,IF(INDEX('Final Calculation Sheet'!$D$4:$D$40,$BJ18-3)="","",INDEX('Final Calculation Sheet'!$D$4:$D$40,$BJ18-3)),IF(OR($BI18=1,$BL18=1,$BH18&gt;0),"–",""))</f>
        <v>21977</v>
      </c>
      <c r="F18" s="69">
        <f>IF($BJ18&gt;0,IF(INDEX('Final Calculation Sheet'!$A$4:$A$40,$BJ18-3)="","",INDEX('Final Calculation Sheet'!$A$4:$A$40,$BJ18-3)),IF(OR($BI18=1,$BL18=1,$BH18&gt;0),IF($BI18=1,SUM('Final Calculation Sheet'!$A$4:$A$40),IF($BL18=1,SUM('Final Calculation Sheet'!$A$4:$A$40)-SUMIFS('Final Calculation Sheet'!$A$4:$A$40,$AZ$5:$AZ$41,10),SUMIFS('Final Calculation Sheet'!$A$4:$A$40,$AZ$5:$AZ$41,$BH18))),""))</f>
        <v>28</v>
      </c>
      <c r="G18" s="69" t="str">
        <f>IF($BJ18&gt;0,IF(INDEX('Final Calculation Sheet'!$E$4:$E$40,$BJ18-3)="","",INDEX('Final Calculation Sheet'!$E$4:$E$40,$BJ18-3)),IF(OR($BI18=1,$BL18=1,$BH18&gt;0),"–",""))</f>
        <v>KG</v>
      </c>
      <c r="H18" s="70">
        <f>IF($BJ18&gt;0,IF(INDEX('Final Calculation Sheet'!$C$4:$C$40,$BJ18-3)="","",INDEX('Final Calculation Sheet'!$C$4:$C$40,$BJ18-3)),IF(OR($BI18=1,$BL18=1,$BH18&gt;0),"–",""))</f>
        <v>1456</v>
      </c>
      <c r="I18" s="70">
        <f>IF($BJ18&gt;0,IF(INDEX('Final Calculation Sheet'!$H$4:$H$40,$BJ18-3)="","",INDEX('Final Calculation Sheet'!$H$4:$H$40,$BJ18-3)),IF(OR($BI18=1,$BL18=1,$BH18&gt;0),IF($BI18=1,SUM('Final Calculation Sheet'!$H$4:$H$40),IF($BL18=1,SUM('Final Calculation Sheet'!$H$4:$H$40)-SUMIFS('Final Calculation Sheet'!$H$4:$H$40,$AZ$5:$AZ$41,10),SUMIFS('Final Calculation Sheet'!$H$4:$H$40,$AZ$5:$AZ$41,$BH18))),""))</f>
        <v>40768</v>
      </c>
      <c r="J18" s="70">
        <f>IF($BJ18&gt;0,IF(INDEX('Final Calculation Sheet'!$I$4:$I$40,$BJ18-3)="","",INDEX('Final Calculation Sheet'!$I$4:$I$40,$BJ18-3)),IF(OR($BI18=1,$BL18=1,$BH18&gt;0),IF($BI18=1,SUM('Final Calculation Sheet'!$I$4:$I$40),IF($BL18=1,SUM('Final Calculation Sheet'!$I$4:$I$40)-SUMIFS('Final Calculation Sheet'!$I$4:$I$40,$AZ$5:$AZ$41,10),SUMIFS('Final Calculation Sheet'!$I$4:$I$40,$AZ$5:$AZ$41,$BH18))),""))</f>
        <v>7338</v>
      </c>
      <c r="K18" s="70">
        <f>IF($BJ18&gt;0,IF(INDEX('Final Calculation Sheet'!$J$4:$J$40,$BJ18-3)="","",INDEX('Final Calculation Sheet'!$J$4:$J$40,$BJ18-3)),IF(OR($BI18=1,$BL18=1,$BH18&gt;0),IF($BI18=1,SUM('Final Calculation Sheet'!$J$4:$J$40),IF($BL18=1,SUM('Final Calculation Sheet'!$J$4:$J$40)-SUMIFS('Final Calculation Sheet'!$J$4:$J$40,$AZ$5:$AZ$41,10),SUMIFS('Final Calculation Sheet'!$J$4:$J$40,$AZ$5:$AZ$41,$BH18))),""))</f>
        <v>48106</v>
      </c>
      <c r="L18" s="70">
        <f>IF($BJ18&gt;0,IF(INDEX('Final Calculation Sheet'!$K$4:$K$40,$BJ18-3)="","",INDEX('Final Calculation Sheet'!$K$4:$K$40,$BJ18-3)),IF(OR($BI18=1,$BL18=1,$BH18&gt;0),IF($BI18=1,SUM('Final Calculation Sheet'!$K$4:$K$40),IF($BL18=1,SUM('Final Calculation Sheet'!$K$4:$K$40)-SUMIFS('Final Calculation Sheet'!$K$4:$K$40,$AZ$5:$AZ$41,10),SUMIFS('Final Calculation Sheet'!$K$4:$K$40,$AZ$5:$AZ$41,$BH18))),""))</f>
        <v>962</v>
      </c>
      <c r="M18" s="70">
        <f>IF($BJ18&gt;0,IF(INDEX('Final Calculation Sheet'!$L$4:$L$40,$BJ18-3)="","",INDEX('Final Calculation Sheet'!$L$4:$L$40,$BJ18-3)),IF(OR($BI18=1,$BL18=1,$BH18&gt;0),IF($BI18=1,SUM('Final Calculation Sheet'!$L$4:$L$40),IF($BL18=1,SUM('Final Calculation Sheet'!$L$4:$L$40)-SUMIFS('Final Calculation Sheet'!$L$4:$L$40,$AZ$5:$AZ$41,10),SUMIFS('Final Calculation Sheet'!$L$4:$L$40,$AZ$5:$AZ$41,$BH18))),""))</f>
        <v>40.768000000000001</v>
      </c>
      <c r="N18" s="70">
        <f>IF($BJ18&gt;0,IF(INDEX('Final Calculation Sheet'!$M$4:$M$40,$BJ18-3)="","",INDEX('Final Calculation Sheet'!$M$4:$M$40,$BJ18-3)),IF(OR($BI18=1,$BL18=1,$BH18&gt;0),IF($BI18=1,SUM('Final Calculation Sheet'!$M$4:$M$40),IF($BL18=1,SUM('Final Calculation Sheet'!$M$4:$M$40)-SUMIFS('Final Calculation Sheet'!$M$4:$M$40,$AZ$5:$AZ$41,10),SUMIFS('Final Calculation Sheet'!$M$4:$M$40,$AZ$5:$AZ$41,$BH18))),""))</f>
        <v>1082.3904</v>
      </c>
      <c r="O18" s="71">
        <f>IF($BJ18&gt;0,IF(INDEX('Final Calculation Sheet'!$N$4:$N$40,$BJ18-3)="","",INDEX('Final Calculation Sheet'!$N$4:$N$40,$BJ18-3)),IF(OR($BI18=1,$BL18=1,$BH18&gt;0),IF($BI18=1,SUM('Final Calculation Sheet'!$N$4:$N$40),IF($BL18=1,SUM('Final Calculation Sheet'!$N$4:$N$40)-SUMIFS('Final Calculation Sheet'!$N$4:$N$40,$AZ$5:$AZ$41,10),SUMIFS('Final Calculation Sheet'!$N$4:$N$40,$AZ$5:$AZ$41,$BH18))),""))</f>
        <v>18.345600000000001</v>
      </c>
      <c r="P18" s="70">
        <f>IF($BJ18&gt;0,IF(INDEX('Final Calculation Sheet'!$O$4:$O$40,$BJ18-3)="","",INDEX('Final Calculation Sheet'!$O$4:$O$40,$BJ18-3)),IF(OR($BI18=1,$BL18=1,$BH18&gt;0),IF($BI18=1,SUM('Final Calculation Sheet'!$O$4:$O$40),IF($BL18=1,SUM('Final Calculation Sheet'!$O$4:$O$40)-SUMIFS('Final Calculation Sheet'!$O$4:$O$40,$AZ$5:$AZ$41,10),SUMIFS('Final Calculation Sheet'!$O$4:$O$40,$AZ$5:$AZ$41,$BH18))),""))</f>
        <v>1064.0447999999999</v>
      </c>
      <c r="Q18" s="70">
        <f>IF($BJ18&gt;0,IF(INDEX('Final Calculation Sheet'!$P$4:$P$40,$BJ18-3)="","",INDEX('Final Calculation Sheet'!$P$4:$P$40,$BJ18-3)),IF(OR($BI18=1,$BL18=1,$BH18&gt;0),IF($BI18=1,SUM('Final Calculation Sheet'!$P$4:$P$40),IF($BL18=1,SUM('Final Calculation Sheet'!$P$4:$P$40)-SUMIFS('Final Calculation Sheet'!$P$4:$P$40,$AZ$5:$AZ$41,10),SUMIFS('Final Calculation Sheet'!$P$4:$P$40,$AZ$5:$AZ$41,$BH18))),""))</f>
        <v>1105</v>
      </c>
      <c r="R18" s="72">
        <f>IF($BJ18&gt;0,IF(INDEX('Final Calculation Sheet'!$Q$4:$Q$40,$BJ18-3)="","",INDEX('Final Calculation Sheet'!$Q$4:$Q$40,$BJ18-3)),IF(OR($BI18=1,$BL18=1,$BH18&gt;0),"–",""))</f>
        <v>0</v>
      </c>
      <c r="S18" s="70">
        <f>IF($BJ18&gt;0,IF(INDEX('Final Calculation Sheet'!$R$4:$R$40,$BJ18-3)="","",INDEX('Final Calculation Sheet'!$R$4:$R$40,$BJ18-3)),IF(OR($BI18=1,$BL18=1,$BH18&gt;0),IF($BI18=1,SUM('Final Calculation Sheet'!$R$4:$R$40),IF($BL18=1,SUM('Final Calculation Sheet'!$R$4:$R$40)-SUMIFS('Final Calculation Sheet'!$R$4:$R$40,$AZ$5:$AZ$41,10),SUMIFS('Final Calculation Sheet'!$R$4:$R$40,$AZ$5:$AZ$41,$BH18))),""))</f>
        <v>0</v>
      </c>
      <c r="T18" s="70">
        <f>IF($BJ18&gt;0,IF(INDEX('Final Calculation Sheet'!$S$4:$S$40,$BJ18-3)="","",INDEX('Final Calculation Sheet'!$S$4:$S$40,$BJ18-3)),IF(OR($BI18=1,$BL18=1,$BH18&gt;0),IF($BI18=1,SUM('Final Calculation Sheet'!$S$4:$S$40),IF($BL18=1,SUM('Final Calculation Sheet'!$S$4:$S$40)-SUMIFS('Final Calculation Sheet'!$S$4:$S$40,$AZ$5:$AZ$41,10),SUMIFS('Final Calculation Sheet'!$S$4:$S$40,$AZ$5:$AZ$41,$BH18))),""))</f>
        <v>47964</v>
      </c>
      <c r="U18" s="70">
        <f>IF($BJ18&gt;0,IF(INDEX('Final Calculation Sheet'!$T$4:$T$40,$BJ18-3)="","",INDEX('Final Calculation Sheet'!$T$4:$T$40,$BJ18-3)),IF(OR($BI18=1,$BL18=1,$BH18&gt;0),IF($BI18=1,SUM('Final Calculation Sheet'!$T$4:$T$40),IF($BL18=1,SUM('Final Calculation Sheet'!$T$4:$T$40)-SUMIFS('Final Calculation Sheet'!$T$4:$T$40,$AZ$5:$AZ$41,10),SUMIFS('Final Calculation Sheet'!$T$4:$T$40,$AZ$5:$AZ$41,$BH18))),""))</f>
        <v>10192</v>
      </c>
      <c r="V18" s="73">
        <f>IF($BJ18&gt;0,IF(INDEX('Final Calculation Sheet'!$U$4:$U$40,$BJ18-3)="","",INDEX('Final Calculation Sheet'!$U$4:$U$40,$BJ18-3)),IF(OR($BI18=1,$BL18=1,$BH18&gt;0),IF($BI18=1,SUM('Final Calculation Sheet'!$U$4:$U$40),IF($BL18=1,SUM('Final Calculation Sheet'!$U$4:$U$40)-SUMIFS('Final Calculation Sheet'!$U$4:$U$40,$AZ$5:$AZ$41,10),SUMIFS('Final Calculation Sheet'!$U$4:$U$40,$AZ$5:$AZ$41,$BH18))),""))</f>
        <v>10192</v>
      </c>
      <c r="W18" s="70" t="str">
        <f>IF($BJ18&gt;0,IF(INDEX('Final Calculation Sheet'!$V$4:$V$40,$BJ18-3)="","",INDEX('Final Calculation Sheet'!$V$4:$V$40,$BJ18-3)),IF(OR($BI18=1,$BL18=1,$BH18&gt;0),"–",""))</f>
        <v>11.08.2026</v>
      </c>
      <c r="X18" s="70">
        <f>IF($BJ18&gt;0,IF(INDEX('Final Calculation Sheet'!$W$4:$W$40,$BJ18-3)="","",INDEX('Final Calculation Sheet'!$W$4:$W$40,$BJ18-3)),IF(OR($BI18=1,$BL18=1,$BH18&gt;0),IF($BI18=1,SUM('Final Calculation Sheet'!$W$4:$W$40),IF($BL18=1,SUM('Final Calculation Sheet'!$W$4:$W$40)-SUMIFS('Final Calculation Sheet'!$W$4:$W$40,$AZ$5:$AZ$41,10),SUMIFS('Final Calculation Sheet'!$W$4:$W$40,$AZ$5:$AZ$41,$BH18))),""))</f>
        <v>37772</v>
      </c>
      <c r="Y18" s="70">
        <f>IF($BJ18&gt;0,IF(INDEX('Final Calculation Sheet'!$X$4:$X$40,$BJ18-3)="","",INDEX('Final Calculation Sheet'!$X$4:$X$40,$BJ18-3)),IF(OR($BI18=1,$BL18=1,$BH18&gt;0),IF($BI18=1,SUM('Final Calculation Sheet'!$X$4:$X$40),IF($BL18=1,SUM('Final Calculation Sheet'!$X$4:$X$40)-SUMIFS('Final Calculation Sheet'!$X$4:$X$40,$AZ$5:$AZ$41,10),SUMIFS('Final Calculation Sheet'!$X$4:$X$40,$AZ$5:$AZ$41,$BH18))),""))</f>
        <v>37772</v>
      </c>
      <c r="Z18" s="70" t="str">
        <f>IF($BJ18&gt;0,IF(INDEX('Final Calculation Sheet'!$Y$4:$Y$40,$BJ18-3)="","",INDEX('Final Calculation Sheet'!$Y$4:$Y$40,$BJ18-3)),IF(OR($BI18=1,$BL18=1,$BH18&gt;0),"–",""))</f>
        <v>20.08.2026</v>
      </c>
      <c r="AA18" s="70">
        <f ca="1">IF($BJ18&gt;0,IF(INDEX('Final Calculation Sheet'!$Z$4:$Z$40,$BJ18-3)="","",INDEX('Final Calculation Sheet'!$Z$4:$Z$40,$BJ18-3)),IF(OR($BI18=1,$BL18=1,$BH18&gt;0),IF($BI18=1,SUM('Final Calculation Sheet'!$Z$4:$Z$40),IF($BL18=1,SUM('Final Calculation Sheet'!$Z$4:$Z$40)-SUMIFS('Final Calculation Sheet'!$Z$4:$Z$40,$AZ$5:$AZ$41,10),SUMIFS('Final Calculation Sheet'!$Z$4:$Z$40,$AZ$5:$AZ$41,$BH18))),""))</f>
        <v>0</v>
      </c>
      <c r="AB18" s="70" t="str">
        <f>IF($BJ18&gt;0,IF(INDEX('Final Calculation Sheet'!$AA$4:$AA$40,$BJ18-3)="","",INDEX('Final Calculation Sheet'!$AA$4:$AA$40,$BJ18-3)),IF(OR($BI18=1,$BL18=1,$BH18&gt;0),IF($BI18=1,SUM('Final Calculation Sheet'!$AA$4:$AA$40),IF($BL18=1,SUM('Final Calculation Sheet'!$AA$4:$AA$40)-SUMIFS('Final Calculation Sheet'!$AA$4:$AA$40,$AZ$5:$AZ$41,10),SUMIFS('Final Calculation Sheet'!$AA$4:$AA$40,$AZ$5:$AZ$41,$BH18))),""))</f>
        <v/>
      </c>
      <c r="AC18" s="70" t="str">
        <f>IF($BJ18&gt;0,IF(INDEX('Final Calculation Sheet'!$AB$4:$AB$40,$BJ18-3)="","",INDEX('Final Calculation Sheet'!$AB$4:$AB$40,$BJ18-3)),IF(OR($BI18=1,$BL18=1,$BH18&gt;0),"–",""))</f>
        <v/>
      </c>
      <c r="AD18" s="70">
        <f>IF($BJ18&gt;0,IF(INDEX('Final Calculation Sheet'!$AC$4:$AC$40,$BJ18-3)="","",INDEX('Final Calculation Sheet'!$AC$4:$AC$40,$BJ18-3)),IF(OR($BI18=1,$BL18=1,$BH18&gt;0),IF($BI18=1,SUM('Final Calculation Sheet'!$AC$4:$AC$40),IF($BL18=1,SUM('Final Calculation Sheet'!$AC$4:$AC$40)-SUMIFS('Final Calculation Sheet'!$AC$4:$AC$40,$AZ$5:$AZ$41,10),SUMIFS('Final Calculation Sheet'!$AC$4:$AC$40,$AZ$5:$AZ$41,$BH18))),""))</f>
        <v>47964</v>
      </c>
      <c r="AE18" s="70">
        <f>IF($BJ18&gt;0,IF(INDEX('Final Calculation Sheet'!$AD$4:$AD$40,$BJ18-3)="","",INDEX('Final Calculation Sheet'!$AD$4:$AD$40,$BJ18-3)),IF(OR($BI18=1,$BL18=1,$BH18&gt;0),IF($BI18=1,SUM('Final Calculation Sheet'!$AD$4:$AD$40),IF($BL18=1,SUM('Final Calculation Sheet'!$AD$4:$AD$40)-SUMIFS('Final Calculation Sheet'!$AD$4:$AD$40,$AZ$5:$AZ$41,10),SUMIFS('Final Calculation Sheet'!$AD$4:$AD$40,$AZ$5:$AZ$41,$BH18))),""))</f>
        <v>0</v>
      </c>
      <c r="AF18" s="70" t="str">
        <f>IF($BJ18&gt;0,IF(INDEX('Final Calculation Sheet'!$AE$4:$AE$40,$BJ18-3)="","",INDEX('Final Calculation Sheet'!$AE$4:$AE$40,$BJ18-3)),IF(OR($BI18=1,$BL18=1,$BH18&gt;0),"–",""))</f>
        <v>DR2640100047</v>
      </c>
      <c r="AG18" s="74">
        <f>IF($BJ18&gt;0,IF(INDEX('Final Calculation Sheet'!$AF$4:$AF$40,$BJ18-3)="","",INDEX('Final Calculation Sheet'!$AF$4:$AF$40,$BJ18-3)),IF(OR($BI18=1,$BL18=1,$BH18&gt;0),"–",""))</f>
        <v>1800003346</v>
      </c>
      <c r="AH18" s="70" t="str">
        <f>IF($BJ18&gt;0,IF(INDEX('Final Calculation Sheet'!$AG$4:$AG$40,$BJ18-3)="","",INDEX('Final Calculation Sheet'!$AG$4:$AG$40,$BJ18-3)),IF(OR($BI18=1,$BL18=1,$BH18&gt;0),"–",""))</f>
        <v>27.08.2026</v>
      </c>
      <c r="AI18" s="75" t="str">
        <f>IF($BJ18&gt;0,IF(INDEX('Final Calculation Sheet'!$AD$4:$AD$40,$BJ18-3)="","",IF(INDEX('Final Calculation Sheet'!$AD$4:$AD$40,$BJ18-3)&lt;=0,"SETTLED","OUTSTANDING")),IF(OR($BI18=1,$BL18=1,$BH18&gt;0),IF(IF($BI18=1,SUM('Final Calculation Sheet'!$AD$4:$AD$40),IF($BL18=1,SUM('Final Calculation Sheet'!$AD$4:$AD$40)-SUMIFS('Final Calculation Sheet'!$AD$4:$AD$40,$AZ$5:$AZ$41,10),SUMIFS('Final Calculation Sheet'!$AD$4:$AD$40,$AZ$5:$AZ$41,$BH18)))&lt;=0,"ALL SETTLED","OUTSTANDING"),""))</f>
        <v>SETTLED</v>
      </c>
      <c r="AK18" t="str">
        <f>IF($F$3="Lot No.",'Final Calculation Sheet'!$F$17,IF($F$3="Buyer",'Final Calculation Sheet'!$G$17,IF($F$3="Lot Name",'Final Calculation Sheet'!$B$17,IF($F$3="Bid Sheet",'Final Calculation Sheet'!$D$17,IF($F$3="Unit",'Final Calculation Sheet'!$E$17,'Final Calculation Sheet'!$F$17&amp;" "&amp;'Final Calculation Sheet'!$G$17&amp;" "&amp;'Final Calculation Sheet'!$B$17)))))</f>
        <v>2015 STERLING ENTERPRISES Scrap of empty oil Barrels</v>
      </c>
      <c r="AM18">
        <f t="shared" si="1"/>
        <v>1</v>
      </c>
      <c r="AZ18">
        <f t="shared" si="2"/>
        <v>2</v>
      </c>
      <c r="BA18">
        <f t="shared" si="3"/>
        <v>2</v>
      </c>
      <c r="BB18">
        <f t="shared" si="4"/>
        <v>11</v>
      </c>
      <c r="BC18">
        <v>17</v>
      </c>
      <c r="BH18">
        <f>IFERROR(MATCH(18,$BF$4:$BF$13,0),0)</f>
        <v>0</v>
      </c>
      <c r="BI18">
        <f>IF(18=$BG$5,1,0)</f>
        <v>0</v>
      </c>
      <c r="BJ18">
        <f>IF(OR($BH18&gt;0,$BI18=1,$BL18=1),0,IFERROR(INDEX($BC$5:$BC$41,MATCH(18,$BB$5:$BB$41,0)),0))</f>
        <v>6</v>
      </c>
      <c r="BK18">
        <f>IF($BJ18&gt;0,IF(INDEX($AZ$5:$AZ$41,MATCH(18,$BB$5:$BB$41,0))=10,1,0),IF($BH18=10,1,0))</f>
        <v>1</v>
      </c>
      <c r="BL18">
        <f>IF(18=$BG$4,1,0)</f>
        <v>0</v>
      </c>
    </row>
    <row r="19" spans="1:64" ht="15" customHeight="1" x14ac:dyDescent="0.25">
      <c r="A19" s="67">
        <f>IF($BJ19&gt;0,INDEX($BA$5:$BA$41,MATCH(19,$BB$5:$BB$41,0)),IF(OR($BI19=1,$BL19=1,$BH19&gt;0),"∑",""))</f>
        <v>3</v>
      </c>
      <c r="B19" s="68">
        <f>IF($BJ19&gt;0,IF(INDEX('Final Calculation Sheet'!$F$4:$F$40,$BJ19-3)="","",INDEX('Final Calculation Sheet'!$F$4:$F$40,$BJ19-3)),"")</f>
        <v>1876</v>
      </c>
      <c r="C19" s="68" t="str">
        <f>IF($BJ19&gt;0,IF(INDEX('Final Calculation Sheet'!$G$4:$G$40,$BJ19-3)="","",INDEX('Final Calculation Sheet'!$G$4:$G$40,$BJ19-3)),IF(OR($BI19=1,$BL19=1,$BH19&gt;0),IF($BI19=1,37,IF($BL19=1,37-INDEX($BD$4:$BD$13,10),INDEX($BD$4:$BD$13,$BH19)))&amp;" lot(s)",""))</f>
        <v>F R KHANS ENTERPRISES</v>
      </c>
      <c r="D19" s="69" t="str">
        <f>IF($BJ19&gt;0,IF(INDEX('Final Calculation Sheet'!$B$4:$B$40,$BJ19-3)="","",INDEX('Final Calculation Sheet'!$B$4:$B$40,$BJ19-3)),IF(OR($BI19=1,$BL19=1,$BH19&gt;0),IF($BI19=1,"GRAND TOTAL  —  matching + remaining",IF($BL19=1,"TOTAL MATCHED  —  every group together",IF($BH19=10,"REMAINING  —  did not match the search",IF($BH19=9,"ALL LOTS  —  nothing typed in the box","GROUP "&amp;$BH19&amp;" TOTAL  —  lots matching  "&amp;INDEX($AR$6:$AY$6,$BH19))))),""))</f>
        <v>Scrap of MS (extracted from equip cage and empty Sf6 gas cylinder)</v>
      </c>
      <c r="E19" s="69">
        <f>IF($BJ19&gt;0,IF(INDEX('Final Calculation Sheet'!$D$4:$D$40,$BJ19-3)="","",INDEX('Final Calculation Sheet'!$D$4:$D$40,$BJ19-3)),IF(OR($BI19=1,$BL19=1,$BH19&gt;0),"–",""))</f>
        <v>21977</v>
      </c>
      <c r="F19" s="69">
        <f>IF($BJ19&gt;0,IF(INDEX('Final Calculation Sheet'!$A$4:$A$40,$BJ19-3)="","",INDEX('Final Calculation Sheet'!$A$4:$A$40,$BJ19-3)),IF(OR($BI19=1,$BL19=1,$BH19&gt;0),IF($BI19=1,SUM('Final Calculation Sheet'!$A$4:$A$40),IF($BL19=1,SUM('Final Calculation Sheet'!$A$4:$A$40)-SUMIFS('Final Calculation Sheet'!$A$4:$A$40,$AZ$5:$AZ$41,10),SUMIFS('Final Calculation Sheet'!$A$4:$A$40,$AZ$5:$AZ$41,$BH19))),""))</f>
        <v>3000</v>
      </c>
      <c r="G19" s="69" t="str">
        <f>IF($BJ19&gt;0,IF(INDEX('Final Calculation Sheet'!$E$4:$E$40,$BJ19-3)="","",INDEX('Final Calculation Sheet'!$E$4:$E$40,$BJ19-3)),IF(OR($BI19=1,$BL19=1,$BH19&gt;0),"–",""))</f>
        <v>KG</v>
      </c>
      <c r="H19" s="70">
        <f>IF($BJ19&gt;0,IF(INDEX('Final Calculation Sheet'!$C$4:$C$40,$BJ19-3)="","",INDEX('Final Calculation Sheet'!$C$4:$C$40,$BJ19-3)),IF(OR($BI19=1,$BL19=1,$BH19&gt;0),"–",""))</f>
        <v>66</v>
      </c>
      <c r="I19" s="70">
        <f>IF($BJ19&gt;0,IF(INDEX('Final Calculation Sheet'!$H$4:$H$40,$BJ19-3)="","",INDEX('Final Calculation Sheet'!$H$4:$H$40,$BJ19-3)),IF(OR($BI19=1,$BL19=1,$BH19&gt;0),IF($BI19=1,SUM('Final Calculation Sheet'!$H$4:$H$40),IF($BL19=1,SUM('Final Calculation Sheet'!$H$4:$H$40)-SUMIFS('Final Calculation Sheet'!$H$4:$H$40,$AZ$5:$AZ$41,10),SUMIFS('Final Calculation Sheet'!$H$4:$H$40,$AZ$5:$AZ$41,$BH19))),""))</f>
        <v>198000</v>
      </c>
      <c r="J19" s="70">
        <f>IF($BJ19&gt;0,IF(INDEX('Final Calculation Sheet'!$I$4:$I$40,$BJ19-3)="","",INDEX('Final Calculation Sheet'!$I$4:$I$40,$BJ19-3)),IF(OR($BI19=1,$BL19=1,$BH19&gt;0),IF($BI19=1,SUM('Final Calculation Sheet'!$I$4:$I$40),IF($BL19=1,SUM('Final Calculation Sheet'!$I$4:$I$40)-SUMIFS('Final Calculation Sheet'!$I$4:$I$40,$AZ$5:$AZ$41,10),SUMIFS('Final Calculation Sheet'!$I$4:$I$40,$AZ$5:$AZ$41,$BH19))),""))</f>
        <v>35640</v>
      </c>
      <c r="K19" s="70">
        <f>IF($BJ19&gt;0,IF(INDEX('Final Calculation Sheet'!$J$4:$J$40,$BJ19-3)="","",INDEX('Final Calculation Sheet'!$J$4:$J$40,$BJ19-3)),IF(OR($BI19=1,$BL19=1,$BH19&gt;0),IF($BI19=1,SUM('Final Calculation Sheet'!$J$4:$J$40),IF($BL19=1,SUM('Final Calculation Sheet'!$J$4:$J$40)-SUMIFS('Final Calculation Sheet'!$J$4:$J$40,$AZ$5:$AZ$41,10),SUMIFS('Final Calculation Sheet'!$J$4:$J$40,$AZ$5:$AZ$41,$BH19))),""))</f>
        <v>233640</v>
      </c>
      <c r="L19" s="70">
        <f>IF($BJ19&gt;0,IF(INDEX('Final Calculation Sheet'!$K$4:$K$40,$BJ19-3)="","",INDEX('Final Calculation Sheet'!$K$4:$K$40,$BJ19-3)),IF(OR($BI19=1,$BL19=1,$BH19&gt;0),IF($BI19=1,SUM('Final Calculation Sheet'!$K$4:$K$40),IF($BL19=1,SUM('Final Calculation Sheet'!$K$4:$K$40)-SUMIFS('Final Calculation Sheet'!$K$4:$K$40,$AZ$5:$AZ$41,10),SUMIFS('Final Calculation Sheet'!$K$4:$K$40,$AZ$5:$AZ$41,$BH19))),""))</f>
        <v>4673</v>
      </c>
      <c r="M19" s="70">
        <f>IF($BJ19&gt;0,IF(INDEX('Final Calculation Sheet'!$L$4:$L$40,$BJ19-3)="","",INDEX('Final Calculation Sheet'!$L$4:$L$40,$BJ19-3)),IF(OR($BI19=1,$BL19=1,$BH19&gt;0),IF($BI19=1,SUM('Final Calculation Sheet'!$L$4:$L$40),IF($BL19=1,SUM('Final Calculation Sheet'!$L$4:$L$40)-SUMIFS('Final Calculation Sheet'!$L$4:$L$40,$AZ$5:$AZ$41,10),SUMIFS('Final Calculation Sheet'!$L$4:$L$40,$AZ$5:$AZ$41,$BH19))),""))</f>
        <v>198</v>
      </c>
      <c r="N19" s="70">
        <f>IF($BJ19&gt;0,IF(INDEX('Final Calculation Sheet'!$M$4:$M$40,$BJ19-3)="","",INDEX('Final Calculation Sheet'!$M$4:$M$40,$BJ19-3)),IF(OR($BI19=1,$BL19=1,$BH19&gt;0),IF($BI19=1,SUM('Final Calculation Sheet'!$M$4:$M$40),IF($BL19=1,SUM('Final Calculation Sheet'!$M$4:$M$40)-SUMIFS('Final Calculation Sheet'!$M$4:$M$40,$AZ$5:$AZ$41,10),SUMIFS('Final Calculation Sheet'!$M$4:$M$40,$AZ$5:$AZ$41,$BH19))),""))</f>
        <v>5256.9</v>
      </c>
      <c r="O19" s="71">
        <f>IF($BJ19&gt;0,IF(INDEX('Final Calculation Sheet'!$N$4:$N$40,$BJ19-3)="","",INDEX('Final Calculation Sheet'!$N$4:$N$40,$BJ19-3)),IF(OR($BI19=1,$BL19=1,$BH19&gt;0),IF($BI19=1,SUM('Final Calculation Sheet'!$N$4:$N$40),IF($BL19=1,SUM('Final Calculation Sheet'!$N$4:$N$40)-SUMIFS('Final Calculation Sheet'!$N$4:$N$40,$AZ$5:$AZ$41,10),SUMIFS('Final Calculation Sheet'!$N$4:$N$40,$AZ$5:$AZ$41,$BH19))),""))</f>
        <v>89.100000000000009</v>
      </c>
      <c r="P19" s="70">
        <f>IF($BJ19&gt;0,IF(INDEX('Final Calculation Sheet'!$O$4:$O$40,$BJ19-3)="","",INDEX('Final Calculation Sheet'!$O$4:$O$40,$BJ19-3)),IF(OR($BI19=1,$BL19=1,$BH19&gt;0),IF($BI19=1,SUM('Final Calculation Sheet'!$O$4:$O$40),IF($BL19=1,SUM('Final Calculation Sheet'!$O$4:$O$40)-SUMIFS('Final Calculation Sheet'!$O$4:$O$40,$AZ$5:$AZ$41,10),SUMIFS('Final Calculation Sheet'!$O$4:$O$40,$AZ$5:$AZ$41,$BH19))),""))</f>
        <v>5167.7999999999993</v>
      </c>
      <c r="Q19" s="70">
        <f>IF($BJ19&gt;0,IF(INDEX('Final Calculation Sheet'!$P$4:$P$40,$BJ19-3)="","",INDEX('Final Calculation Sheet'!$P$4:$P$40,$BJ19-3)),IF(OR($BI19=1,$BL19=1,$BH19&gt;0),IF($BI19=1,SUM('Final Calculation Sheet'!$P$4:$P$40),IF($BL19=1,SUM('Final Calculation Sheet'!$P$4:$P$40)-SUMIFS('Final Calculation Sheet'!$P$4:$P$40,$AZ$5:$AZ$41,10),SUMIFS('Final Calculation Sheet'!$P$4:$P$40,$AZ$5:$AZ$41,$BH19))),""))</f>
        <v>5366</v>
      </c>
      <c r="R19" s="72">
        <f>IF($BJ19&gt;0,IF(INDEX('Final Calculation Sheet'!$Q$4:$Q$40,$BJ19-3)="","",INDEX('Final Calculation Sheet'!$Q$4:$Q$40,$BJ19-3)),IF(OR($BI19=1,$BL19=1,$BH19&gt;0),"–",""))</f>
        <v>0</v>
      </c>
      <c r="S19" s="70">
        <f>IF($BJ19&gt;0,IF(INDEX('Final Calculation Sheet'!$R$4:$R$40,$BJ19-3)="","",INDEX('Final Calculation Sheet'!$R$4:$R$40,$BJ19-3)),IF(OR($BI19=1,$BL19=1,$BH19&gt;0),IF($BI19=1,SUM('Final Calculation Sheet'!$R$4:$R$40),IF($BL19=1,SUM('Final Calculation Sheet'!$R$4:$R$40)-SUMIFS('Final Calculation Sheet'!$R$4:$R$40,$AZ$5:$AZ$41,10),SUMIFS('Final Calculation Sheet'!$R$4:$R$40,$AZ$5:$AZ$41,$BH19))),""))</f>
        <v>0</v>
      </c>
      <c r="T19" s="70">
        <f>IF($BJ19&gt;0,IF(INDEX('Final Calculation Sheet'!$S$4:$S$40,$BJ19-3)="","",INDEX('Final Calculation Sheet'!$S$4:$S$40,$BJ19-3)),IF(OR($BI19=1,$BL19=1,$BH19&gt;0),IF($BI19=1,SUM('Final Calculation Sheet'!$S$4:$S$40),IF($BL19=1,SUM('Final Calculation Sheet'!$S$4:$S$40)-SUMIFS('Final Calculation Sheet'!$S$4:$S$40,$AZ$5:$AZ$41,10),SUMIFS('Final Calculation Sheet'!$S$4:$S$40,$AZ$5:$AZ$41,$BH19))),""))</f>
        <v>232947</v>
      </c>
      <c r="U19" s="70">
        <f>IF($BJ19&gt;0,IF(INDEX('Final Calculation Sheet'!$T$4:$T$40,$BJ19-3)="","",INDEX('Final Calculation Sheet'!$T$4:$T$40,$BJ19-3)),IF(OR($BI19=1,$BL19=1,$BH19&gt;0),IF($BI19=1,SUM('Final Calculation Sheet'!$T$4:$T$40),IF($BL19=1,SUM('Final Calculation Sheet'!$T$4:$T$40)-SUMIFS('Final Calculation Sheet'!$T$4:$T$40,$AZ$5:$AZ$41,10),SUMIFS('Final Calculation Sheet'!$T$4:$T$40,$AZ$5:$AZ$41,$BH19))),""))</f>
        <v>49500</v>
      </c>
      <c r="V19" s="73">
        <f>IF($BJ19&gt;0,IF(INDEX('Final Calculation Sheet'!$U$4:$U$40,$BJ19-3)="","",INDEX('Final Calculation Sheet'!$U$4:$U$40,$BJ19-3)),IF(OR($BI19=1,$BL19=1,$BH19&gt;0),IF($BI19=1,SUM('Final Calculation Sheet'!$U$4:$U$40),IF($BL19=1,SUM('Final Calculation Sheet'!$U$4:$U$40)-SUMIFS('Final Calculation Sheet'!$U$4:$U$40,$AZ$5:$AZ$41,10),SUMIFS('Final Calculation Sheet'!$U$4:$U$40,$AZ$5:$AZ$41,$BH19))),""))</f>
        <v>49500</v>
      </c>
      <c r="W19" s="70" t="str">
        <f>IF($BJ19&gt;0,IF(INDEX('Final Calculation Sheet'!$V$4:$V$40,$BJ19-3)="","",INDEX('Final Calculation Sheet'!$V$4:$V$40,$BJ19-3)),IF(OR($BI19=1,$BL19=1,$BH19&gt;0),"–",""))</f>
        <v>11.08.2026</v>
      </c>
      <c r="X19" s="70">
        <f>IF($BJ19&gt;0,IF(INDEX('Final Calculation Sheet'!$W$4:$W$40,$BJ19-3)="","",INDEX('Final Calculation Sheet'!$W$4:$W$40,$BJ19-3)),IF(OR($BI19=1,$BL19=1,$BH19&gt;0),IF($BI19=1,SUM('Final Calculation Sheet'!$W$4:$W$40),IF($BL19=1,SUM('Final Calculation Sheet'!$W$4:$W$40)-SUMIFS('Final Calculation Sheet'!$W$4:$W$40,$AZ$5:$AZ$41,10),SUMIFS('Final Calculation Sheet'!$W$4:$W$40,$AZ$5:$AZ$41,$BH19))),""))</f>
        <v>183447</v>
      </c>
      <c r="Y19" s="70">
        <f>IF($BJ19&gt;0,IF(INDEX('Final Calculation Sheet'!$X$4:$X$40,$BJ19-3)="","",INDEX('Final Calculation Sheet'!$X$4:$X$40,$BJ19-3)),IF(OR($BI19=1,$BL19=1,$BH19&gt;0),IF($BI19=1,SUM('Final Calculation Sheet'!$X$4:$X$40),IF($BL19=1,SUM('Final Calculation Sheet'!$X$4:$X$40)-SUMIFS('Final Calculation Sheet'!$X$4:$X$40,$AZ$5:$AZ$41,10),SUMIFS('Final Calculation Sheet'!$X$4:$X$40,$AZ$5:$AZ$41,$BH19))),""))</f>
        <v>183446</v>
      </c>
      <c r="Z19" s="70" t="str">
        <f>IF($BJ19&gt;0,IF(INDEX('Final Calculation Sheet'!$Y$4:$Y$40,$BJ19-3)="","",INDEX('Final Calculation Sheet'!$Y$4:$Y$40,$BJ19-3)),IF(OR($BI19=1,$BL19=1,$BH19&gt;0),"–",""))</f>
        <v>20.08.2026</v>
      </c>
      <c r="AA19" s="70">
        <f ca="1">IF($BJ19&gt;0,IF(INDEX('Final Calculation Sheet'!$Z$4:$Z$40,$BJ19-3)="","",INDEX('Final Calculation Sheet'!$Z$4:$Z$40,$BJ19-3)),IF(OR($BI19=1,$BL19=1,$BH19&gt;0),IF($BI19=1,SUM('Final Calculation Sheet'!$Z$4:$Z$40),IF($BL19=1,SUM('Final Calculation Sheet'!$Z$4:$Z$40)-SUMIFS('Final Calculation Sheet'!$Z$4:$Z$40,$AZ$5:$AZ$41,10),SUMIFS('Final Calculation Sheet'!$Z$4:$Z$40,$AZ$5:$AZ$41,$BH19))),""))</f>
        <v>0</v>
      </c>
      <c r="AB19" s="70" t="str">
        <f>IF($BJ19&gt;0,IF(INDEX('Final Calculation Sheet'!$AA$4:$AA$40,$BJ19-3)="","",INDEX('Final Calculation Sheet'!$AA$4:$AA$40,$BJ19-3)),IF(OR($BI19=1,$BL19=1,$BH19&gt;0),IF($BI19=1,SUM('Final Calculation Sheet'!$AA$4:$AA$40),IF($BL19=1,SUM('Final Calculation Sheet'!$AA$4:$AA$40)-SUMIFS('Final Calculation Sheet'!$AA$4:$AA$40,$AZ$5:$AZ$41,10),SUMIFS('Final Calculation Sheet'!$AA$4:$AA$40,$AZ$5:$AZ$41,$BH19))),""))</f>
        <v/>
      </c>
      <c r="AC19" s="70" t="str">
        <f>IF($BJ19&gt;0,IF(INDEX('Final Calculation Sheet'!$AB$4:$AB$40,$BJ19-3)="","",INDEX('Final Calculation Sheet'!$AB$4:$AB$40,$BJ19-3)),IF(OR($BI19=1,$BL19=1,$BH19&gt;0),"–",""))</f>
        <v/>
      </c>
      <c r="AD19" s="70">
        <f>IF($BJ19&gt;0,IF(INDEX('Final Calculation Sheet'!$AC$4:$AC$40,$BJ19-3)="","",INDEX('Final Calculation Sheet'!$AC$4:$AC$40,$BJ19-3)),IF(OR($BI19=1,$BL19=1,$BH19&gt;0),IF($BI19=1,SUM('Final Calculation Sheet'!$AC$4:$AC$40),IF($BL19=1,SUM('Final Calculation Sheet'!$AC$4:$AC$40)-SUMIFS('Final Calculation Sheet'!$AC$4:$AC$40,$AZ$5:$AZ$41,10),SUMIFS('Final Calculation Sheet'!$AC$4:$AC$40,$AZ$5:$AZ$41,$BH19))),""))</f>
        <v>232946</v>
      </c>
      <c r="AE19" s="70">
        <f>IF($BJ19&gt;0,IF(INDEX('Final Calculation Sheet'!$AD$4:$AD$40,$BJ19-3)="","",INDEX('Final Calculation Sheet'!$AD$4:$AD$40,$BJ19-3)),IF(OR($BI19=1,$BL19=1,$BH19&gt;0),IF($BI19=1,SUM('Final Calculation Sheet'!$AD$4:$AD$40),IF($BL19=1,SUM('Final Calculation Sheet'!$AD$4:$AD$40)-SUMIFS('Final Calculation Sheet'!$AD$4:$AD$40,$AZ$5:$AZ$41,10),SUMIFS('Final Calculation Sheet'!$AD$4:$AD$40,$AZ$5:$AZ$41,$BH19))),""))</f>
        <v>1</v>
      </c>
      <c r="AF19" s="70" t="str">
        <f>IF($BJ19&gt;0,IF(INDEX('Final Calculation Sheet'!$AE$4:$AE$40,$BJ19-3)="","",INDEX('Final Calculation Sheet'!$AE$4:$AE$40,$BJ19-3)),IF(OR($BI19=1,$BL19=1,$BH19&gt;0),"–",""))</f>
        <v>DR2640100048</v>
      </c>
      <c r="AG19" s="74">
        <f>IF($BJ19&gt;0,IF(INDEX('Final Calculation Sheet'!$AF$4:$AF$40,$BJ19-3)="","",INDEX('Final Calculation Sheet'!$AF$4:$AF$40,$BJ19-3)),IF(OR($BI19=1,$BL19=1,$BH19&gt;0),"–",""))</f>
        <v>1800003347</v>
      </c>
      <c r="AH19" s="70" t="str">
        <f>IF($BJ19&gt;0,IF(INDEX('Final Calculation Sheet'!$AG$4:$AG$40,$BJ19-3)="","",INDEX('Final Calculation Sheet'!$AG$4:$AG$40,$BJ19-3)),IF(OR($BI19=1,$BL19=1,$BH19&gt;0),"–",""))</f>
        <v>27.08.2026</v>
      </c>
      <c r="AI19" s="75" t="str">
        <f>IF($BJ19&gt;0,IF(INDEX('Final Calculation Sheet'!$AD$4:$AD$40,$BJ19-3)="","",IF(INDEX('Final Calculation Sheet'!$AD$4:$AD$40,$BJ19-3)&lt;=0,"SETTLED","OUTSTANDING")),IF(OR($BI19=1,$BL19=1,$BH19&gt;0),IF(IF($BI19=1,SUM('Final Calculation Sheet'!$AD$4:$AD$40),IF($BL19=1,SUM('Final Calculation Sheet'!$AD$4:$AD$40)-SUMIFS('Final Calculation Sheet'!$AD$4:$AD$40,$AZ$5:$AZ$41,10),SUMIFS('Final Calculation Sheet'!$AD$4:$AD$40,$AZ$5:$AZ$41,$BH19)))&lt;=0,"ALL SETTLED","OUTSTANDING"),""))</f>
        <v>OUTSTANDING</v>
      </c>
      <c r="AK19" t="str">
        <f>IF($F$3="Lot No.",'Final Calculation Sheet'!$F$18,IF($F$3="Buyer",'Final Calculation Sheet'!$G$18,IF($F$3="Lot Name",'Final Calculation Sheet'!$B$18,IF($F$3="Bid Sheet",'Final Calculation Sheet'!$D$18,IF($F$3="Unit",'Final Calculation Sheet'!$E$18,'Final Calculation Sheet'!$F$18&amp;" "&amp;'Final Calculation Sheet'!$G$18&amp;" "&amp;'Final Calculation Sheet'!$B$18)))))</f>
        <v>2018 NATIONAL ENTERPRISES Scrap of 220 KV Circuit Breaker</v>
      </c>
      <c r="AM19">
        <f t="shared" si="1"/>
        <v>0</v>
      </c>
      <c r="AZ19">
        <f t="shared" si="2"/>
        <v>10</v>
      </c>
      <c r="BA19">
        <f t="shared" si="3"/>
        <v>11</v>
      </c>
      <c r="BB19">
        <f t="shared" si="4"/>
        <v>27</v>
      </c>
      <c r="BC19">
        <v>18</v>
      </c>
      <c r="BH19">
        <f>IFERROR(MATCH(19,$BF$4:$BF$13,0),0)</f>
        <v>0</v>
      </c>
      <c r="BI19">
        <f>IF(19=$BG$5,1,0)</f>
        <v>0</v>
      </c>
      <c r="BJ19">
        <f>IF(OR($BH19&gt;0,$BI19=1,$BL19=1),0,IFERROR(INDEX($BC$5:$BC$41,MATCH(19,$BB$5:$BB$41,0)),0))</f>
        <v>7</v>
      </c>
      <c r="BK19">
        <f>IF($BJ19&gt;0,IF(INDEX($AZ$5:$AZ$41,MATCH(19,$BB$5:$BB$41,0))=10,1,0),IF($BH19=10,1,0))</f>
        <v>1</v>
      </c>
      <c r="BL19">
        <f>IF(19=$BG$4,1,0)</f>
        <v>0</v>
      </c>
    </row>
    <row r="20" spans="1:64" ht="15" customHeight="1" x14ac:dyDescent="0.25">
      <c r="A20" s="67">
        <f>IF($BJ20&gt;0,INDEX($BA$5:$BA$41,MATCH(20,$BB$5:$BB$41,0)),IF(OR($BI20=1,$BL20=1,$BH20&gt;0),"∑",""))</f>
        <v>4</v>
      </c>
      <c r="B20" s="68">
        <f>IF($BJ20&gt;0,IF(INDEX('Final Calculation Sheet'!$F$4:$F$40,$BJ20-3)="","",INDEX('Final Calculation Sheet'!$F$4:$F$40,$BJ20-3)),"")</f>
        <v>1923</v>
      </c>
      <c r="C20" s="68" t="str">
        <f>IF($BJ20&gt;0,IF(INDEX('Final Calculation Sheet'!$G$4:$G$40,$BJ20-3)="","",INDEX('Final Calculation Sheet'!$G$4:$G$40,$BJ20-3)),IF(OR($BI20=1,$BL20=1,$BH20&gt;0),IF($BI20=1,37,IF($BL20=1,37-INDEX($BD$4:$BD$13,10),INDEX($BD$4:$BD$13,$BH20)))&amp;" lot(s)",""))</f>
        <v>OMKAR STEELS</v>
      </c>
      <c r="D20" s="69" t="str">
        <f>IF($BJ20&gt;0,IF(INDEX('Final Calculation Sheet'!$B$4:$B$40,$BJ20-3)="","",INDEX('Final Calculation Sheet'!$B$4:$B$40,$BJ20-3)),IF(OR($BI20=1,$BL20=1,$BH20&gt;0),IF($BI20=1,"GRAND TOTAL  —  matching + remaining",IF($BL20=1,"TOTAL MATCHED  —  every group together",IF($BH20=10,"REMAINING  —  did not match the search",IF($BH20=9,"ALL LOTS  —  nothing typed in the box","GROUP "&amp;$BH20&amp;" TOTAL  —  lots matching  "&amp;INDEX($AR$6:$AY$6,$BH20))))),""))</f>
        <v>SCRAP ACSR CONDUCTORS (Conductor Pieces)</v>
      </c>
      <c r="E20" s="69">
        <f>IF($BJ20&gt;0,IF(INDEX('Final Calculation Sheet'!$D$4:$D$40,$BJ20-3)="","",INDEX('Final Calculation Sheet'!$D$4:$D$40,$BJ20-3)),IF(OR($BI20=1,$BL20=1,$BH20&gt;0),"–",""))</f>
        <v>21980</v>
      </c>
      <c r="F20" s="69">
        <f>IF($BJ20&gt;0,IF(INDEX('Final Calculation Sheet'!$A$4:$A$40,$BJ20-3)="","",INDEX('Final Calculation Sheet'!$A$4:$A$40,$BJ20-3)),IF(OR($BI20=1,$BL20=1,$BH20&gt;0),IF($BI20=1,SUM('Final Calculation Sheet'!$A$4:$A$40),IF($BL20=1,SUM('Final Calculation Sheet'!$A$4:$A$40)-SUMIFS('Final Calculation Sheet'!$A$4:$A$40,$AZ$5:$AZ$41,10),SUMIFS('Final Calculation Sheet'!$A$4:$A$40,$AZ$5:$AZ$41,$BH20))),""))</f>
        <v>7253</v>
      </c>
      <c r="G20" s="69" t="str">
        <f>IF($BJ20&gt;0,IF(INDEX('Final Calculation Sheet'!$E$4:$E$40,$BJ20-3)="","",INDEX('Final Calculation Sheet'!$E$4:$E$40,$BJ20-3)),IF(OR($BI20=1,$BL20=1,$BH20&gt;0),"–",""))</f>
        <v>KG</v>
      </c>
      <c r="H20" s="70">
        <f>IF($BJ20&gt;0,IF(INDEX('Final Calculation Sheet'!$C$4:$C$40,$BJ20-3)="","",INDEX('Final Calculation Sheet'!$C$4:$C$40,$BJ20-3)),IF(OR($BI20=1,$BL20=1,$BH20&gt;0),"–",""))</f>
        <v>227</v>
      </c>
      <c r="I20" s="70">
        <f>IF($BJ20&gt;0,IF(INDEX('Final Calculation Sheet'!$H$4:$H$40,$BJ20-3)="","",INDEX('Final Calculation Sheet'!$H$4:$H$40,$BJ20-3)),IF(OR($BI20=1,$BL20=1,$BH20&gt;0),IF($BI20=1,SUM('Final Calculation Sheet'!$H$4:$H$40),IF($BL20=1,SUM('Final Calculation Sheet'!$H$4:$H$40)-SUMIFS('Final Calculation Sheet'!$H$4:$H$40,$AZ$5:$AZ$41,10),SUMIFS('Final Calculation Sheet'!$H$4:$H$40,$AZ$5:$AZ$41,$BH20))),""))</f>
        <v>1646431</v>
      </c>
      <c r="J20" s="70">
        <f>IF($BJ20&gt;0,IF(INDEX('Final Calculation Sheet'!$I$4:$I$40,$BJ20-3)="","",INDEX('Final Calculation Sheet'!$I$4:$I$40,$BJ20-3)),IF(OR($BI20=1,$BL20=1,$BH20&gt;0),IF($BI20=1,SUM('Final Calculation Sheet'!$I$4:$I$40),IF($BL20=1,SUM('Final Calculation Sheet'!$I$4:$I$40)-SUMIFS('Final Calculation Sheet'!$I$4:$I$40,$AZ$5:$AZ$41,10),SUMIFS('Final Calculation Sheet'!$I$4:$I$40,$AZ$5:$AZ$41,$BH20))),""))</f>
        <v>296358</v>
      </c>
      <c r="K20" s="70">
        <f>IF($BJ20&gt;0,IF(INDEX('Final Calculation Sheet'!$J$4:$J$40,$BJ20-3)="","",INDEX('Final Calculation Sheet'!$J$4:$J$40,$BJ20-3)),IF(OR($BI20=1,$BL20=1,$BH20&gt;0),IF($BI20=1,SUM('Final Calculation Sheet'!$J$4:$J$40),IF($BL20=1,SUM('Final Calculation Sheet'!$J$4:$J$40)-SUMIFS('Final Calculation Sheet'!$J$4:$J$40,$AZ$5:$AZ$41,10),SUMIFS('Final Calculation Sheet'!$J$4:$J$40,$AZ$5:$AZ$41,$BH20))),""))</f>
        <v>1942789</v>
      </c>
      <c r="L20" s="70">
        <f>IF($BJ20&gt;0,IF(INDEX('Final Calculation Sheet'!$K$4:$K$40,$BJ20-3)="","",INDEX('Final Calculation Sheet'!$K$4:$K$40,$BJ20-3)),IF(OR($BI20=1,$BL20=1,$BH20&gt;0),IF($BI20=1,SUM('Final Calculation Sheet'!$K$4:$K$40),IF($BL20=1,SUM('Final Calculation Sheet'!$K$4:$K$40)-SUMIFS('Final Calculation Sheet'!$K$4:$K$40,$AZ$5:$AZ$41,10),SUMIFS('Final Calculation Sheet'!$K$4:$K$40,$AZ$5:$AZ$41,$BH20))),""))</f>
        <v>38856</v>
      </c>
      <c r="M20" s="70">
        <f>IF($BJ20&gt;0,IF(INDEX('Final Calculation Sheet'!$L$4:$L$40,$BJ20-3)="","",INDEX('Final Calculation Sheet'!$L$4:$L$40,$BJ20-3)),IF(OR($BI20=1,$BL20=1,$BH20&gt;0),IF($BI20=1,SUM('Final Calculation Sheet'!$L$4:$L$40),IF($BL20=1,SUM('Final Calculation Sheet'!$L$4:$L$40)-SUMIFS('Final Calculation Sheet'!$L$4:$L$40,$AZ$5:$AZ$41,10),SUMIFS('Final Calculation Sheet'!$L$4:$L$40,$AZ$5:$AZ$41,$BH20))),""))</f>
        <v>1646.431</v>
      </c>
      <c r="N20" s="70">
        <f>IF($BJ20&gt;0,IF(INDEX('Final Calculation Sheet'!$M$4:$M$40,$BJ20-3)="","",INDEX('Final Calculation Sheet'!$M$4:$M$40,$BJ20-3)),IF(OR($BI20=1,$BL20=1,$BH20&gt;0),IF($BI20=1,SUM('Final Calculation Sheet'!$M$4:$M$40),IF($BL20=1,SUM('Final Calculation Sheet'!$M$4:$M$40)-SUMIFS('Final Calculation Sheet'!$M$4:$M$40,$AZ$5:$AZ$41,10),SUMIFS('Final Calculation Sheet'!$M$4:$M$40,$AZ$5:$AZ$41,$BH20))),""))</f>
        <v>43712.743049999997</v>
      </c>
      <c r="O20" s="71">
        <f>IF($BJ20&gt;0,IF(INDEX('Final Calculation Sheet'!$N$4:$N$40,$BJ20-3)="","",INDEX('Final Calculation Sheet'!$N$4:$N$40,$BJ20-3)),IF(OR($BI20=1,$BL20=1,$BH20&gt;0),IF($BI20=1,SUM('Final Calculation Sheet'!$N$4:$N$40),IF($BL20=1,SUM('Final Calculation Sheet'!$N$4:$N$40)-SUMIFS('Final Calculation Sheet'!$N$4:$N$40,$AZ$5:$AZ$41,10),SUMIFS('Final Calculation Sheet'!$N$4:$N$40,$AZ$5:$AZ$41,$BH20))),""))</f>
        <v>740.89395000000002</v>
      </c>
      <c r="P20" s="70">
        <f>IF($BJ20&gt;0,IF(INDEX('Final Calculation Sheet'!$O$4:$O$40,$BJ20-3)="","",INDEX('Final Calculation Sheet'!$O$4:$O$40,$BJ20-3)),IF(OR($BI20=1,$BL20=1,$BH20&gt;0),IF($BI20=1,SUM('Final Calculation Sheet'!$O$4:$O$40),IF($BL20=1,SUM('Final Calculation Sheet'!$O$4:$O$40)-SUMIFS('Final Calculation Sheet'!$O$4:$O$40,$AZ$5:$AZ$41,10),SUMIFS('Final Calculation Sheet'!$O$4:$O$40,$AZ$5:$AZ$41,$BH20))),""))</f>
        <v>42971.849099999999</v>
      </c>
      <c r="Q20" s="70">
        <f>IF($BJ20&gt;0,IF(INDEX('Final Calculation Sheet'!$P$4:$P$40,$BJ20-3)="","",INDEX('Final Calculation Sheet'!$P$4:$P$40,$BJ20-3)),IF(OR($BI20=1,$BL20=1,$BH20&gt;0),IF($BI20=1,SUM('Final Calculation Sheet'!$P$4:$P$40),IF($BL20=1,SUM('Final Calculation Sheet'!$P$4:$P$40)-SUMIFS('Final Calculation Sheet'!$P$4:$P$40,$AZ$5:$AZ$41,10),SUMIFS('Final Calculation Sheet'!$P$4:$P$40,$AZ$5:$AZ$41,$BH20))),""))</f>
        <v>44618</v>
      </c>
      <c r="R20" s="72">
        <f>IF($BJ20&gt;0,IF(INDEX('Final Calculation Sheet'!$Q$4:$Q$40,$BJ20-3)="","",INDEX('Final Calculation Sheet'!$Q$4:$Q$40,$BJ20-3)),IF(OR($BI20=1,$BL20=1,$BH20&gt;0),"–",""))</f>
        <v>0.02</v>
      </c>
      <c r="S20" s="70">
        <f>IF($BJ20&gt;0,IF(INDEX('Final Calculation Sheet'!$R$4:$R$40,$BJ20-3)="","",INDEX('Final Calculation Sheet'!$R$4:$R$40,$BJ20-3)),IF(OR($BI20=1,$BL20=1,$BH20&gt;0),IF($BI20=1,SUM('Final Calculation Sheet'!$R$4:$R$40),IF($BL20=1,SUM('Final Calculation Sheet'!$R$4:$R$40)-SUMIFS('Final Calculation Sheet'!$R$4:$R$40,$AZ$5:$AZ$41,10),SUMIFS('Final Calculation Sheet'!$R$4:$R$40,$AZ$5:$AZ$41,$BH20))),""))</f>
        <v>32929</v>
      </c>
      <c r="T20" s="70">
        <f>IF($BJ20&gt;0,IF(INDEX('Final Calculation Sheet'!$S$4:$S$40,$BJ20-3)="","",INDEX('Final Calculation Sheet'!$S$4:$S$40,$BJ20-3)),IF(OR($BI20=1,$BL20=1,$BH20&gt;0),IF($BI20=1,SUM('Final Calculation Sheet'!$S$4:$S$40),IF($BL20=1,SUM('Final Calculation Sheet'!$S$4:$S$40)-SUMIFS('Final Calculation Sheet'!$S$4:$S$40,$AZ$5:$AZ$41,10),SUMIFS('Final Calculation Sheet'!$S$4:$S$40,$AZ$5:$AZ$41,$BH20))),""))</f>
        <v>1904097</v>
      </c>
      <c r="U20" s="70">
        <f>IF($BJ20&gt;0,IF(INDEX('Final Calculation Sheet'!$T$4:$T$40,$BJ20-3)="","",INDEX('Final Calculation Sheet'!$T$4:$T$40,$BJ20-3)),IF(OR($BI20=1,$BL20=1,$BH20&gt;0),IF($BI20=1,SUM('Final Calculation Sheet'!$T$4:$T$40),IF($BL20=1,SUM('Final Calculation Sheet'!$T$4:$T$40)-SUMIFS('Final Calculation Sheet'!$T$4:$T$40,$AZ$5:$AZ$41,10),SUMIFS('Final Calculation Sheet'!$T$4:$T$40,$AZ$5:$AZ$41,$BH20))),""))</f>
        <v>411608</v>
      </c>
      <c r="V20" s="73">
        <f>IF($BJ20&gt;0,IF(INDEX('Final Calculation Sheet'!$U$4:$U$40,$BJ20-3)="","",INDEX('Final Calculation Sheet'!$U$4:$U$40,$BJ20-3)),IF(OR($BI20=1,$BL20=1,$BH20&gt;0),IF($BI20=1,SUM('Final Calculation Sheet'!$U$4:$U$40),IF($BL20=1,SUM('Final Calculation Sheet'!$U$4:$U$40)-SUMIFS('Final Calculation Sheet'!$U$4:$U$40,$AZ$5:$AZ$41,10),SUMIFS('Final Calculation Sheet'!$U$4:$U$40,$AZ$5:$AZ$41,$BH20))),""))</f>
        <v>411608</v>
      </c>
      <c r="W20" s="70" t="str">
        <f>IF($BJ20&gt;0,IF(INDEX('Final Calculation Sheet'!$V$4:$V$40,$BJ20-3)="","",INDEX('Final Calculation Sheet'!$V$4:$V$40,$BJ20-3)),IF(OR($BI20=1,$BL20=1,$BH20&gt;0),"–",""))</f>
        <v>14.08.2026</v>
      </c>
      <c r="X20" s="70">
        <f>IF($BJ20&gt;0,IF(INDEX('Final Calculation Sheet'!$W$4:$W$40,$BJ20-3)="","",INDEX('Final Calculation Sheet'!$W$4:$W$40,$BJ20-3)),IF(OR($BI20=1,$BL20=1,$BH20&gt;0),IF($BI20=1,SUM('Final Calculation Sheet'!$W$4:$W$40),IF($BL20=1,SUM('Final Calculation Sheet'!$W$4:$W$40)-SUMIFS('Final Calculation Sheet'!$W$4:$W$40,$AZ$5:$AZ$41,10),SUMIFS('Final Calculation Sheet'!$W$4:$W$40,$AZ$5:$AZ$41,$BH20))),""))</f>
        <v>1492489</v>
      </c>
      <c r="Y20" s="70">
        <f>IF($BJ20&gt;0,IF(INDEX('Final Calculation Sheet'!$X$4:$X$40,$BJ20-3)="","",INDEX('Final Calculation Sheet'!$X$4:$X$40,$BJ20-3)),IF(OR($BI20=1,$BL20=1,$BH20&gt;0),IF($BI20=1,SUM('Final Calculation Sheet'!$X$4:$X$40),IF($BL20=1,SUM('Final Calculation Sheet'!$X$4:$X$40)-SUMIFS('Final Calculation Sheet'!$X$4:$X$40,$AZ$5:$AZ$41,10),SUMIFS('Final Calculation Sheet'!$X$4:$X$40,$AZ$5:$AZ$41,$BH20))),""))</f>
        <v>1492490</v>
      </c>
      <c r="Z20" s="70" t="str">
        <f>IF($BJ20&gt;0,IF(INDEX('Final Calculation Sheet'!$Y$4:$Y$40,$BJ20-3)="","",INDEX('Final Calculation Sheet'!$Y$4:$Y$40,$BJ20-3)),IF(OR($BI20=1,$BL20=1,$BH20&gt;0),"–",""))</f>
        <v>24.08.2026</v>
      </c>
      <c r="AA20" s="70">
        <f ca="1">IF($BJ20&gt;0,IF(INDEX('Final Calculation Sheet'!$Z$4:$Z$40,$BJ20-3)="","",INDEX('Final Calculation Sheet'!$Z$4:$Z$40,$BJ20-3)),IF(OR($BI20=1,$BL20=1,$BH20&gt;0),IF($BI20=1,SUM('Final Calculation Sheet'!$Z$4:$Z$40),IF($BL20=1,SUM('Final Calculation Sheet'!$Z$4:$Z$40)-SUMIFS('Final Calculation Sheet'!$Z$4:$Z$40,$AZ$5:$AZ$41,10),SUMIFS('Final Calculation Sheet'!$Z$4:$Z$40,$AZ$5:$AZ$41,$BH20))),""))</f>
        <v>0</v>
      </c>
      <c r="AB20" s="70" t="str">
        <f>IF($BJ20&gt;0,IF(INDEX('Final Calculation Sheet'!$AA$4:$AA$40,$BJ20-3)="","",INDEX('Final Calculation Sheet'!$AA$4:$AA$40,$BJ20-3)),IF(OR($BI20=1,$BL20=1,$BH20&gt;0),IF($BI20=1,SUM('Final Calculation Sheet'!$AA$4:$AA$40),IF($BL20=1,SUM('Final Calculation Sheet'!$AA$4:$AA$40)-SUMIFS('Final Calculation Sheet'!$AA$4:$AA$40,$AZ$5:$AZ$41,10),SUMIFS('Final Calculation Sheet'!$AA$4:$AA$40,$AZ$5:$AZ$41,$BH20))),""))</f>
        <v/>
      </c>
      <c r="AC20" s="70" t="str">
        <f>IF($BJ20&gt;0,IF(INDEX('Final Calculation Sheet'!$AB$4:$AB$40,$BJ20-3)="","",INDEX('Final Calculation Sheet'!$AB$4:$AB$40,$BJ20-3)),IF(OR($BI20=1,$BL20=1,$BH20&gt;0),"–",""))</f>
        <v/>
      </c>
      <c r="AD20" s="70">
        <f>IF($BJ20&gt;0,IF(INDEX('Final Calculation Sheet'!$AC$4:$AC$40,$BJ20-3)="","",INDEX('Final Calculation Sheet'!$AC$4:$AC$40,$BJ20-3)),IF(OR($BI20=1,$BL20=1,$BH20&gt;0),IF($BI20=1,SUM('Final Calculation Sheet'!$AC$4:$AC$40),IF($BL20=1,SUM('Final Calculation Sheet'!$AC$4:$AC$40)-SUMIFS('Final Calculation Sheet'!$AC$4:$AC$40,$AZ$5:$AZ$41,10),SUMIFS('Final Calculation Sheet'!$AC$4:$AC$40,$AZ$5:$AZ$41,$BH20))),""))</f>
        <v>1904098</v>
      </c>
      <c r="AE20" s="70">
        <f>IF($BJ20&gt;0,IF(INDEX('Final Calculation Sheet'!$AD$4:$AD$40,$BJ20-3)="","",INDEX('Final Calculation Sheet'!$AD$4:$AD$40,$BJ20-3)),IF(OR($BI20=1,$BL20=1,$BH20&gt;0),IF($BI20=1,SUM('Final Calculation Sheet'!$AD$4:$AD$40),IF($BL20=1,SUM('Final Calculation Sheet'!$AD$4:$AD$40)-SUMIFS('Final Calculation Sheet'!$AD$4:$AD$40,$AZ$5:$AZ$41,10),SUMIFS('Final Calculation Sheet'!$AD$4:$AD$40,$AZ$5:$AZ$41,$BH20))),""))</f>
        <v>-1</v>
      </c>
      <c r="AF20" s="70" t="str">
        <f>IF($BJ20&gt;0,IF(INDEX('Final Calculation Sheet'!$AE$4:$AE$40,$BJ20-3)="","",INDEX('Final Calculation Sheet'!$AE$4:$AE$40,$BJ20-3)),IF(OR($BI20=1,$BL20=1,$BH20&gt;0),"–",""))</f>
        <v>DR2640100045</v>
      </c>
      <c r="AG20" s="74">
        <f>IF($BJ20&gt;0,IF(INDEX('Final Calculation Sheet'!$AF$4:$AF$40,$BJ20-3)="","",INDEX('Final Calculation Sheet'!$AF$4:$AF$40,$BJ20-3)),IF(OR($BI20=1,$BL20=1,$BH20&gt;0),"–",""))</f>
        <v>1800003315</v>
      </c>
      <c r="AH20" s="70" t="str">
        <f>IF($BJ20&gt;0,IF(INDEX('Final Calculation Sheet'!$AG$4:$AG$40,$BJ20-3)="","",INDEX('Final Calculation Sheet'!$AG$4:$AG$40,$BJ20-3)),IF(OR($BI20=1,$BL20=1,$BH20&gt;0),"–",""))</f>
        <v>27.08.2026</v>
      </c>
      <c r="AI20" s="75" t="str">
        <f>IF($BJ20&gt;0,IF(INDEX('Final Calculation Sheet'!$AD$4:$AD$40,$BJ20-3)="","",IF(INDEX('Final Calculation Sheet'!$AD$4:$AD$40,$BJ20-3)&lt;=0,"SETTLED","OUTSTANDING")),IF(OR($BI20=1,$BL20=1,$BH20&gt;0),IF(IF($BI20=1,SUM('Final Calculation Sheet'!$AD$4:$AD$40),IF($BL20=1,SUM('Final Calculation Sheet'!$AD$4:$AD$40)-SUMIFS('Final Calculation Sheet'!$AD$4:$AD$40,$AZ$5:$AZ$41,10),SUMIFS('Final Calculation Sheet'!$AD$4:$AD$40,$AZ$5:$AZ$41,$BH20)))&lt;=0,"ALL SETTLED","OUTSTANDING"),""))</f>
        <v>SETTLED</v>
      </c>
      <c r="AK20" t="str">
        <f>IF($F$3="Lot No.",'Final Calculation Sheet'!$F$19,IF($F$3="Buyer",'Final Calculation Sheet'!$G$19,IF($F$3="Lot Name",'Final Calculation Sheet'!$B$19,IF($F$3="Bid Sheet",'Final Calculation Sheet'!$D$19,IF($F$3="Unit",'Final Calculation Sheet'!$E$19,'Final Calculation Sheet'!$F$19&amp;" "&amp;'Final Calculation Sheet'!$G$19&amp;" "&amp;'Final Calculation Sheet'!$B$19)))))</f>
        <v>2019 NATIONAL ENTERPRISES Scrap of 220 KV Circuit Breaker</v>
      </c>
      <c r="AM20">
        <f t="shared" si="1"/>
        <v>0</v>
      </c>
      <c r="AZ20">
        <f t="shared" si="2"/>
        <v>10</v>
      </c>
      <c r="BA20">
        <f t="shared" si="3"/>
        <v>12</v>
      </c>
      <c r="BB20">
        <f t="shared" si="4"/>
        <v>28</v>
      </c>
      <c r="BC20">
        <v>19</v>
      </c>
      <c r="BH20">
        <f>IFERROR(MATCH(20,$BF$4:$BF$13,0),0)</f>
        <v>0</v>
      </c>
      <c r="BI20">
        <f>IF(20=$BG$5,1,0)</f>
        <v>0</v>
      </c>
      <c r="BJ20">
        <f>IF(OR($BH20&gt;0,$BI20=1,$BL20=1),0,IFERROR(INDEX($BC$5:$BC$41,MATCH(20,$BB$5:$BB$41,0)),0))</f>
        <v>8</v>
      </c>
      <c r="BK20">
        <f>IF($BJ20&gt;0,IF(INDEX($AZ$5:$AZ$41,MATCH(20,$BB$5:$BB$41,0))=10,1,0),IF($BH20=10,1,0))</f>
        <v>1</v>
      </c>
      <c r="BL20">
        <f>IF(20=$BG$4,1,0)</f>
        <v>0</v>
      </c>
    </row>
    <row r="21" spans="1:64" ht="15" customHeight="1" x14ac:dyDescent="0.25">
      <c r="A21" s="67">
        <f>IF($BJ21&gt;0,INDEX($BA$5:$BA$41,MATCH(21,$BB$5:$BB$41,0)),IF(OR($BI21=1,$BL21=1,$BH21&gt;0),"∑",""))</f>
        <v>5</v>
      </c>
      <c r="B21" s="68">
        <f>IF($BJ21&gt;0,IF(INDEX('Final Calculation Sheet'!$F$4:$F$40,$BJ21-3)="","",INDEX('Final Calculation Sheet'!$F$4:$F$40,$BJ21-3)),"")</f>
        <v>1976</v>
      </c>
      <c r="C21" s="68" t="str">
        <f>IF($BJ21&gt;0,IF(INDEX('Final Calculation Sheet'!$G$4:$G$40,$BJ21-3)="","",INDEX('Final Calculation Sheet'!$G$4:$G$40,$BJ21-3)),IF(OR($BI21=1,$BL21=1,$BH21&gt;0),IF($BI21=1,37,IF($BL21=1,37-INDEX($BD$4:$BD$13,10),INDEX($BD$4:$BD$13,$BH21)))&amp;" lot(s)",""))</f>
        <v>SHAR JAHAN TRADERS</v>
      </c>
      <c r="D21" s="69" t="str">
        <f>IF($BJ21&gt;0,IF(INDEX('Final Calculation Sheet'!$B$4:$B$40,$BJ21-3)="","",INDEX('Final Calculation Sheet'!$B$4:$B$40,$BJ21-3)),IF(OR($BI21=1,$BL21=1,$BH21&gt;0),IF($BI21=1,"GRAND TOTAL  —  matching + remaining",IF($BL21=1,"TOTAL MATCHED  —  every group together",IF($BH21=10,"REMAINING  —  did not match the search",IF($BH21=9,"ALL LOTS  —  nothing typed in the box","GROUP "&amp;$BH21&amp;" TOTAL  —  lots matching  "&amp;INDEX($AR$6:$AY$6,$BH21))))),""))</f>
        <v>Scrap Power Transformer</v>
      </c>
      <c r="E21" s="69">
        <f>IF($BJ21&gt;0,IF(INDEX('Final Calculation Sheet'!$D$4:$D$40,$BJ21-3)="","",INDEX('Final Calculation Sheet'!$D$4:$D$40,$BJ21-3)),IF(OR($BI21=1,$BL21=1,$BH21&gt;0),"–",""))</f>
        <v>21977</v>
      </c>
      <c r="F21" s="69">
        <f>IF($BJ21&gt;0,IF(INDEX('Final Calculation Sheet'!$A$4:$A$40,$BJ21-3)="","",INDEX('Final Calculation Sheet'!$A$4:$A$40,$BJ21-3)),IF(OR($BI21=1,$BL21=1,$BH21&gt;0),IF($BI21=1,SUM('Final Calculation Sheet'!$A$4:$A$40),IF($BL21=1,SUM('Final Calculation Sheet'!$A$4:$A$40)-SUMIFS('Final Calculation Sheet'!$A$4:$A$40,$AZ$5:$AZ$41,10),SUMIFS('Final Calculation Sheet'!$A$4:$A$40,$AZ$5:$AZ$41,$BH21))),""))</f>
        <v>1</v>
      </c>
      <c r="G21" s="69" t="str">
        <f>IF($BJ21&gt;0,IF(INDEX('Final Calculation Sheet'!$E$4:$E$40,$BJ21-3)="","",INDEX('Final Calculation Sheet'!$E$4:$E$40,$BJ21-3)),IF(OR($BI21=1,$BL21=1,$BH21&gt;0),"–",""))</f>
        <v>NO</v>
      </c>
      <c r="H21" s="70">
        <f>IF($BJ21&gt;0,IF(INDEX('Final Calculation Sheet'!$C$4:$C$40,$BJ21-3)="","",INDEX('Final Calculation Sheet'!$C$4:$C$40,$BJ21-3)),IF(OR($BI21=1,$BL21=1,$BH21&gt;0),"–",""))</f>
        <v>2787314</v>
      </c>
      <c r="I21" s="70">
        <f>IF($BJ21&gt;0,IF(INDEX('Final Calculation Sheet'!$H$4:$H$40,$BJ21-3)="","",INDEX('Final Calculation Sheet'!$H$4:$H$40,$BJ21-3)),IF(OR($BI21=1,$BL21=1,$BH21&gt;0),IF($BI21=1,SUM('Final Calculation Sheet'!$H$4:$H$40),IF($BL21=1,SUM('Final Calculation Sheet'!$H$4:$H$40)-SUMIFS('Final Calculation Sheet'!$H$4:$H$40,$AZ$5:$AZ$41,10),SUMIFS('Final Calculation Sheet'!$H$4:$H$40,$AZ$5:$AZ$41,$BH21))),""))</f>
        <v>2787314</v>
      </c>
      <c r="J21" s="70">
        <f>IF($BJ21&gt;0,IF(INDEX('Final Calculation Sheet'!$I$4:$I$40,$BJ21-3)="","",INDEX('Final Calculation Sheet'!$I$4:$I$40,$BJ21-3)),IF(OR($BI21=1,$BL21=1,$BH21&gt;0),IF($BI21=1,SUM('Final Calculation Sheet'!$I$4:$I$40),IF($BL21=1,SUM('Final Calculation Sheet'!$I$4:$I$40)-SUMIFS('Final Calculation Sheet'!$I$4:$I$40,$AZ$5:$AZ$41,10),SUMIFS('Final Calculation Sheet'!$I$4:$I$40,$AZ$5:$AZ$41,$BH21))),""))</f>
        <v>501717</v>
      </c>
      <c r="K21" s="70">
        <f>IF($BJ21&gt;0,IF(INDEX('Final Calculation Sheet'!$J$4:$J$40,$BJ21-3)="","",INDEX('Final Calculation Sheet'!$J$4:$J$40,$BJ21-3)),IF(OR($BI21=1,$BL21=1,$BH21&gt;0),IF($BI21=1,SUM('Final Calculation Sheet'!$J$4:$J$40),IF($BL21=1,SUM('Final Calculation Sheet'!$J$4:$J$40)-SUMIFS('Final Calculation Sheet'!$J$4:$J$40,$AZ$5:$AZ$41,10),SUMIFS('Final Calculation Sheet'!$J$4:$J$40,$AZ$5:$AZ$41,$BH21))),""))</f>
        <v>3289031</v>
      </c>
      <c r="L21" s="70">
        <f>IF($BJ21&gt;0,IF(INDEX('Final Calculation Sheet'!$K$4:$K$40,$BJ21-3)="","",INDEX('Final Calculation Sheet'!$K$4:$K$40,$BJ21-3)),IF(OR($BI21=1,$BL21=1,$BH21&gt;0),IF($BI21=1,SUM('Final Calculation Sheet'!$K$4:$K$40),IF($BL21=1,SUM('Final Calculation Sheet'!$K$4:$K$40)-SUMIFS('Final Calculation Sheet'!$K$4:$K$40,$AZ$5:$AZ$41,10),SUMIFS('Final Calculation Sheet'!$K$4:$K$40,$AZ$5:$AZ$41,$BH21))),""))</f>
        <v>65781</v>
      </c>
      <c r="M21" s="70">
        <f>IF($BJ21&gt;0,IF(INDEX('Final Calculation Sheet'!$L$4:$L$40,$BJ21-3)="","",INDEX('Final Calculation Sheet'!$L$4:$L$40,$BJ21-3)),IF(OR($BI21=1,$BL21=1,$BH21&gt;0),IF($BI21=1,SUM('Final Calculation Sheet'!$L$4:$L$40),IF($BL21=1,SUM('Final Calculation Sheet'!$L$4:$L$40)-SUMIFS('Final Calculation Sheet'!$L$4:$L$40,$AZ$5:$AZ$41,10),SUMIFS('Final Calculation Sheet'!$L$4:$L$40,$AZ$5:$AZ$41,$BH21))),""))</f>
        <v>2787.3139999999999</v>
      </c>
      <c r="N21" s="70">
        <f>IF($BJ21&gt;0,IF(INDEX('Final Calculation Sheet'!$M$4:$M$40,$BJ21-3)="","",INDEX('Final Calculation Sheet'!$M$4:$M$40,$BJ21-3)),IF(OR($BI21=1,$BL21=1,$BH21&gt;0),IF($BI21=1,SUM('Final Calculation Sheet'!$M$4:$M$40),IF($BL21=1,SUM('Final Calculation Sheet'!$M$4:$M$40)-SUMIFS('Final Calculation Sheet'!$M$4:$M$40,$AZ$5:$AZ$41,10),SUMIFS('Final Calculation Sheet'!$M$4:$M$40,$AZ$5:$AZ$41,$BH21))),""))</f>
        <v>74003.186699999991</v>
      </c>
      <c r="O21" s="71">
        <f>IF($BJ21&gt;0,IF(INDEX('Final Calculation Sheet'!$N$4:$N$40,$BJ21-3)="","",INDEX('Final Calculation Sheet'!$N$4:$N$40,$BJ21-3)),IF(OR($BI21=1,$BL21=1,$BH21&gt;0),IF($BI21=1,SUM('Final Calculation Sheet'!$N$4:$N$40),IF($BL21=1,SUM('Final Calculation Sheet'!$N$4:$N$40)-SUMIFS('Final Calculation Sheet'!$N$4:$N$40,$AZ$5:$AZ$41,10),SUMIFS('Final Calculation Sheet'!$N$4:$N$40,$AZ$5:$AZ$41,$BH21))),""))</f>
        <v>1254.2912999999999</v>
      </c>
      <c r="P21" s="70">
        <f>IF($BJ21&gt;0,IF(INDEX('Final Calculation Sheet'!$O$4:$O$40,$BJ21-3)="","",INDEX('Final Calculation Sheet'!$O$4:$O$40,$BJ21-3)),IF(OR($BI21=1,$BL21=1,$BH21&gt;0),IF($BI21=1,SUM('Final Calculation Sheet'!$O$4:$O$40),IF($BL21=1,SUM('Final Calculation Sheet'!$O$4:$O$40)-SUMIFS('Final Calculation Sheet'!$O$4:$O$40,$AZ$5:$AZ$41,10),SUMIFS('Final Calculation Sheet'!$O$4:$O$40,$AZ$5:$AZ$41,$BH21))),""))</f>
        <v>72748.895399999994</v>
      </c>
      <c r="Q21" s="70">
        <f>IF($BJ21&gt;0,IF(INDEX('Final Calculation Sheet'!$P$4:$P$40,$BJ21-3)="","",INDEX('Final Calculation Sheet'!$P$4:$P$40,$BJ21-3)),IF(OR($BI21=1,$BL21=1,$BH21&gt;0),IF($BI21=1,SUM('Final Calculation Sheet'!$P$4:$P$40),IF($BL21=1,SUM('Final Calculation Sheet'!$P$4:$P$40)-SUMIFS('Final Calculation Sheet'!$P$4:$P$40,$AZ$5:$AZ$41,10),SUMIFS('Final Calculation Sheet'!$P$4:$P$40,$AZ$5:$AZ$41,$BH21))),""))</f>
        <v>75536</v>
      </c>
      <c r="R21" s="72">
        <f>IF($BJ21&gt;0,IF(INDEX('Final Calculation Sheet'!$Q$4:$Q$40,$BJ21-3)="","",INDEX('Final Calculation Sheet'!$Q$4:$Q$40,$BJ21-3)),IF(OR($BI21=1,$BL21=1,$BH21&gt;0),"–",""))</f>
        <v>0</v>
      </c>
      <c r="S21" s="70">
        <f>IF($BJ21&gt;0,IF(INDEX('Final Calculation Sheet'!$R$4:$R$40,$BJ21-3)="","",INDEX('Final Calculation Sheet'!$R$4:$R$40,$BJ21-3)),IF(OR($BI21=1,$BL21=1,$BH21&gt;0),IF($BI21=1,SUM('Final Calculation Sheet'!$R$4:$R$40),IF($BL21=1,SUM('Final Calculation Sheet'!$R$4:$R$40)-SUMIFS('Final Calculation Sheet'!$R$4:$R$40,$AZ$5:$AZ$41,10),SUMIFS('Final Calculation Sheet'!$R$4:$R$40,$AZ$5:$AZ$41,$BH21))),""))</f>
        <v>0</v>
      </c>
      <c r="T21" s="70">
        <f>IF($BJ21&gt;0,IF(INDEX('Final Calculation Sheet'!$S$4:$S$40,$BJ21-3)="","",INDEX('Final Calculation Sheet'!$S$4:$S$40,$BJ21-3)),IF(OR($BI21=1,$BL21=1,$BH21&gt;0),IF($BI21=1,SUM('Final Calculation Sheet'!$S$4:$S$40),IF($BL21=1,SUM('Final Calculation Sheet'!$S$4:$S$40)-SUMIFS('Final Calculation Sheet'!$S$4:$S$40,$AZ$5:$AZ$41,10),SUMIFS('Final Calculation Sheet'!$S$4:$S$40,$AZ$5:$AZ$41,$BH21))),""))</f>
        <v>3279275</v>
      </c>
      <c r="U21" s="70">
        <f>IF($BJ21&gt;0,IF(INDEX('Final Calculation Sheet'!$T$4:$T$40,$BJ21-3)="","",INDEX('Final Calculation Sheet'!$T$4:$T$40,$BJ21-3)),IF(OR($BI21=1,$BL21=1,$BH21&gt;0),IF($BI21=1,SUM('Final Calculation Sheet'!$T$4:$T$40),IF($BL21=1,SUM('Final Calculation Sheet'!$T$4:$T$40)-SUMIFS('Final Calculation Sheet'!$T$4:$T$40,$AZ$5:$AZ$41,10),SUMIFS('Final Calculation Sheet'!$T$4:$T$40,$AZ$5:$AZ$41,$BH21))),""))</f>
        <v>696829</v>
      </c>
      <c r="V21" s="73">
        <f>IF($BJ21&gt;0,IF(INDEX('Final Calculation Sheet'!$U$4:$U$40,$BJ21-3)="","",INDEX('Final Calculation Sheet'!$U$4:$U$40,$BJ21-3)),IF(OR($BI21=1,$BL21=1,$BH21&gt;0),IF($BI21=1,SUM('Final Calculation Sheet'!$U$4:$U$40),IF($BL21=1,SUM('Final Calculation Sheet'!$U$4:$U$40)-SUMIFS('Final Calculation Sheet'!$U$4:$U$40,$AZ$5:$AZ$41,10),SUMIFS('Final Calculation Sheet'!$U$4:$U$40,$AZ$5:$AZ$41,$BH21))),""))</f>
        <v>696829</v>
      </c>
      <c r="W21" s="70" t="str">
        <f>IF($BJ21&gt;0,IF(INDEX('Final Calculation Sheet'!$V$4:$V$40,$BJ21-3)="","",INDEX('Final Calculation Sheet'!$V$4:$V$40,$BJ21-3)),IF(OR($BI21=1,$BL21=1,$BH21&gt;0),"–",""))</f>
        <v>13.08.2026</v>
      </c>
      <c r="X21" s="70">
        <f>IF($BJ21&gt;0,IF(INDEX('Final Calculation Sheet'!$W$4:$W$40,$BJ21-3)="","",INDEX('Final Calculation Sheet'!$W$4:$W$40,$BJ21-3)),IF(OR($BI21=1,$BL21=1,$BH21&gt;0),IF($BI21=1,SUM('Final Calculation Sheet'!$W$4:$W$40),IF($BL21=1,SUM('Final Calculation Sheet'!$W$4:$W$40)-SUMIFS('Final Calculation Sheet'!$W$4:$W$40,$AZ$5:$AZ$41,10),SUMIFS('Final Calculation Sheet'!$W$4:$W$40,$AZ$5:$AZ$41,$BH21))),""))</f>
        <v>2582446</v>
      </c>
      <c r="Y21" s="70">
        <f>IF($BJ21&gt;0,IF(INDEX('Final Calculation Sheet'!$X$4:$X$40,$BJ21-3)="","",INDEX('Final Calculation Sheet'!$X$4:$X$40,$BJ21-3)),IF(OR($BI21=1,$BL21=1,$BH21&gt;0),IF($BI21=1,SUM('Final Calculation Sheet'!$X$4:$X$40),IF($BL21=1,SUM('Final Calculation Sheet'!$X$4:$X$40)-SUMIFS('Final Calculation Sheet'!$X$4:$X$40,$AZ$5:$AZ$41,10),SUMIFS('Final Calculation Sheet'!$X$4:$X$40,$AZ$5:$AZ$41,$BH21))),""))</f>
        <v>2582447.0942916102</v>
      </c>
      <c r="Z21" s="70" t="str">
        <f>IF($BJ21&gt;0,IF(INDEX('Final Calculation Sheet'!$Y$4:$Y$40,$BJ21-3)="","",INDEX('Final Calculation Sheet'!$Y$4:$Y$40,$BJ21-3)),IF(OR($BI21=1,$BL21=1,$BH21&gt;0),"–",""))</f>
        <v>13.08.2026</v>
      </c>
      <c r="AA21" s="70">
        <f ca="1">IF($BJ21&gt;0,IF(INDEX('Final Calculation Sheet'!$Z$4:$Z$40,$BJ21-3)="","",INDEX('Final Calculation Sheet'!$Z$4:$Z$40,$BJ21-3)),IF(OR($BI21=1,$BL21=1,$BH21&gt;0),IF($BI21=1,SUM('Final Calculation Sheet'!$Z$4:$Z$40),IF($BL21=1,SUM('Final Calculation Sheet'!$Z$4:$Z$40)-SUMIFS('Final Calculation Sheet'!$Z$4:$Z$40,$AZ$5:$AZ$41,10),SUMIFS('Final Calculation Sheet'!$Z$4:$Z$40,$AZ$5:$AZ$41,$BH21))),""))</f>
        <v>0</v>
      </c>
      <c r="AB21" s="70" t="str">
        <f>IF($BJ21&gt;0,IF(INDEX('Final Calculation Sheet'!$AA$4:$AA$40,$BJ21-3)="","",INDEX('Final Calculation Sheet'!$AA$4:$AA$40,$BJ21-3)),IF(OR($BI21=1,$BL21=1,$BH21&gt;0),IF($BI21=1,SUM('Final Calculation Sheet'!$AA$4:$AA$40),IF($BL21=1,SUM('Final Calculation Sheet'!$AA$4:$AA$40)-SUMIFS('Final Calculation Sheet'!$AA$4:$AA$40,$AZ$5:$AZ$41,10),SUMIFS('Final Calculation Sheet'!$AA$4:$AA$40,$AZ$5:$AZ$41,$BH21))),""))</f>
        <v/>
      </c>
      <c r="AC21" s="70" t="str">
        <f>IF($BJ21&gt;0,IF(INDEX('Final Calculation Sheet'!$AB$4:$AB$40,$BJ21-3)="","",INDEX('Final Calculation Sheet'!$AB$4:$AB$40,$BJ21-3)),IF(OR($BI21=1,$BL21=1,$BH21&gt;0),"–",""))</f>
        <v/>
      </c>
      <c r="AD21" s="70">
        <f>IF($BJ21&gt;0,IF(INDEX('Final Calculation Sheet'!$AC$4:$AC$40,$BJ21-3)="","",INDEX('Final Calculation Sheet'!$AC$4:$AC$40,$BJ21-3)),IF(OR($BI21=1,$BL21=1,$BH21&gt;0),IF($BI21=1,SUM('Final Calculation Sheet'!$AC$4:$AC$40),IF($BL21=1,SUM('Final Calculation Sheet'!$AC$4:$AC$40)-SUMIFS('Final Calculation Sheet'!$AC$4:$AC$40,$AZ$5:$AZ$41,10),SUMIFS('Final Calculation Sheet'!$AC$4:$AC$40,$AZ$5:$AZ$41,$BH21))),""))</f>
        <v>3279276.0942916102</v>
      </c>
      <c r="AE21" s="70">
        <f>IF($BJ21&gt;0,IF(INDEX('Final Calculation Sheet'!$AD$4:$AD$40,$BJ21-3)="","",INDEX('Final Calculation Sheet'!$AD$4:$AD$40,$BJ21-3)),IF(OR($BI21=1,$BL21=1,$BH21&gt;0),IF($BI21=1,SUM('Final Calculation Sheet'!$AD$4:$AD$40),IF($BL21=1,SUM('Final Calculation Sheet'!$AD$4:$AD$40)-SUMIFS('Final Calculation Sheet'!$AD$4:$AD$40,$AZ$5:$AZ$41,10),SUMIFS('Final Calculation Sheet'!$AD$4:$AD$40,$AZ$5:$AZ$41,$BH21))),""))</f>
        <v>-1.0942916101776063</v>
      </c>
      <c r="AF21" s="70" t="str">
        <f>IF($BJ21&gt;0,IF(INDEX('Final Calculation Sheet'!$AE$4:$AE$40,$BJ21-3)="","",INDEX('Final Calculation Sheet'!$AE$4:$AE$40,$BJ21-3)),IF(OR($BI21=1,$BL21=1,$BH21&gt;0),"–",""))</f>
        <v>DR2640100023</v>
      </c>
      <c r="AG21" s="74">
        <f>IF($BJ21&gt;0,IF(INDEX('Final Calculation Sheet'!$AF$4:$AF$40,$BJ21-3)="","",INDEX('Final Calculation Sheet'!$AF$4:$AF$40,$BJ21-3)),IF(OR($BI21=1,$BL21=1,$BH21&gt;0),"–",""))</f>
        <v>1800003194</v>
      </c>
      <c r="AH21" s="70" t="str">
        <f>IF($BJ21&gt;0,IF(INDEX('Final Calculation Sheet'!$AG$4:$AG$40,$BJ21-3)="","",INDEX('Final Calculation Sheet'!$AG$4:$AG$40,$BJ21-3)),IF(OR($BI21=1,$BL21=1,$BH21&gt;0),"–",""))</f>
        <v>17.08.2026</v>
      </c>
      <c r="AI21" s="75" t="str">
        <f>IF($BJ21&gt;0,IF(INDEX('Final Calculation Sheet'!$AD$4:$AD$40,$BJ21-3)="","",IF(INDEX('Final Calculation Sheet'!$AD$4:$AD$40,$BJ21-3)&lt;=0,"SETTLED","OUTSTANDING")),IF(OR($BI21=1,$BL21=1,$BH21&gt;0),IF(IF($BI21=1,SUM('Final Calculation Sheet'!$AD$4:$AD$40),IF($BL21=1,SUM('Final Calculation Sheet'!$AD$4:$AD$40)-SUMIFS('Final Calculation Sheet'!$AD$4:$AD$40,$AZ$5:$AZ$41,10),SUMIFS('Final Calculation Sheet'!$AD$4:$AD$40,$AZ$5:$AZ$41,$BH21)))&lt;=0,"ALL SETTLED","OUTSTANDING"),""))</f>
        <v>SETTLED</v>
      </c>
      <c r="AK21" t="str">
        <f>IF($F$3="Lot No.",'Final Calculation Sheet'!$F$20,IF($F$3="Buyer",'Final Calculation Sheet'!$G$20,IF($F$3="Lot Name",'Final Calculation Sheet'!$B$20,IF($F$3="Bid Sheet",'Final Calculation Sheet'!$D$20,IF($F$3="Unit",'Final Calculation Sheet'!$E$20,'Final Calculation Sheet'!$F$20&amp;" "&amp;'Final Calculation Sheet'!$G$20&amp;" "&amp;'Final Calculation Sheet'!$B$20)))))</f>
        <v>2020 OMKAR STEELS SCRAP 80MM² AAAC EARTHWIRE</v>
      </c>
      <c r="AM21">
        <f t="shared" si="1"/>
        <v>0</v>
      </c>
      <c r="AZ21">
        <f t="shared" si="2"/>
        <v>10</v>
      </c>
      <c r="BA21">
        <f t="shared" si="3"/>
        <v>13</v>
      </c>
      <c r="BB21">
        <f t="shared" si="4"/>
        <v>29</v>
      </c>
      <c r="BC21">
        <v>20</v>
      </c>
      <c r="BH21">
        <f>IFERROR(MATCH(21,$BF$4:$BF$13,0),0)</f>
        <v>0</v>
      </c>
      <c r="BI21">
        <f>IF(21=$BG$5,1,0)</f>
        <v>0</v>
      </c>
      <c r="BJ21">
        <f>IF(OR($BH21&gt;0,$BI21=1,$BL21=1),0,IFERROR(INDEX($BC$5:$BC$41,MATCH(21,$BB$5:$BB$41,0)),0))</f>
        <v>9</v>
      </c>
      <c r="BK21">
        <f>IF($BJ21&gt;0,IF(INDEX($AZ$5:$AZ$41,MATCH(21,$BB$5:$BB$41,0))=10,1,0),IF($BH21=10,1,0))</f>
        <v>1</v>
      </c>
      <c r="BL21">
        <f>IF(21=$BG$4,1,0)</f>
        <v>0</v>
      </c>
    </row>
    <row r="22" spans="1:64" ht="15" customHeight="1" x14ac:dyDescent="0.25">
      <c r="A22" s="67">
        <f>IF($BJ22&gt;0,INDEX($BA$5:$BA$41,MATCH(22,$BB$5:$BB$41,0)),IF(OR($BI22=1,$BL22=1,$BH22&gt;0),"∑",""))</f>
        <v>6</v>
      </c>
      <c r="B22" s="68">
        <f>IF($BJ22&gt;0,IF(INDEX('Final Calculation Sheet'!$F$4:$F$40,$BJ22-3)="","",INDEX('Final Calculation Sheet'!$F$4:$F$40,$BJ22-3)),"")</f>
        <v>2002</v>
      </c>
      <c r="C22" s="68" t="str">
        <f>IF($BJ22&gt;0,IF(INDEX('Final Calculation Sheet'!$G$4:$G$40,$BJ22-3)="","",INDEX('Final Calculation Sheet'!$G$4:$G$40,$BJ22-3)),IF(OR($BI22=1,$BL22=1,$BH22&gt;0),IF($BI22=1,37,IF($BL22=1,37-INDEX($BD$4:$BD$13,10),INDEX($BD$4:$BD$13,$BH22)))&amp;" lot(s)",""))</f>
        <v>NATIONAL ENTERPRISES</v>
      </c>
      <c r="D22" s="69" t="str">
        <f>IF($BJ22&gt;0,IF(INDEX('Final Calculation Sheet'!$B$4:$B$40,$BJ22-3)="","",INDEX('Final Calculation Sheet'!$B$4:$B$40,$BJ22-3)),IF(OR($BI22=1,$BL22=1,$BH22&gt;0),IF($BI22=1,"GRAND TOTAL  —  matching + remaining",IF($BL22=1,"TOTAL MATCHED  —  every group together",IF($BH22=10,"REMAINING  —  did not match the search",IF($BH22=9,"ALL LOTS  —  nothing typed in the box","GROUP "&amp;$BH22&amp;" TOTAL  —  lots matching  "&amp;INDEX($AR$6:$AY$6,$BH22))))),""))</f>
        <v>Scrap of 132 KV CT</v>
      </c>
      <c r="E22" s="69">
        <f>IF($BJ22&gt;0,IF(INDEX('Final Calculation Sheet'!$D$4:$D$40,$BJ22-3)="","",INDEX('Final Calculation Sheet'!$D$4:$D$40,$BJ22-3)),IF(OR($BI22=1,$BL22=1,$BH22&gt;0),"–",""))</f>
        <v>21977</v>
      </c>
      <c r="F22" s="69">
        <f>IF($BJ22&gt;0,IF(INDEX('Final Calculation Sheet'!$A$4:$A$40,$BJ22-3)="","",INDEX('Final Calculation Sheet'!$A$4:$A$40,$BJ22-3)),IF(OR($BI22=1,$BL22=1,$BH22&gt;0),IF($BI22=1,SUM('Final Calculation Sheet'!$A$4:$A$40),IF($BL22=1,SUM('Final Calculation Sheet'!$A$4:$A$40)-SUMIFS('Final Calculation Sheet'!$A$4:$A$40,$AZ$5:$AZ$41,10),SUMIFS('Final Calculation Sheet'!$A$4:$A$40,$AZ$5:$AZ$41,$BH22))),""))</f>
        <v>4</v>
      </c>
      <c r="G22" s="69" t="str">
        <f>IF($BJ22&gt;0,IF(INDEX('Final Calculation Sheet'!$E$4:$E$40,$BJ22-3)="","",INDEX('Final Calculation Sheet'!$E$4:$E$40,$BJ22-3)),IF(OR($BI22=1,$BL22=1,$BH22&gt;0),"–",""))</f>
        <v>NO</v>
      </c>
      <c r="H22" s="70">
        <f>IF($BJ22&gt;0,IF(INDEX('Final Calculation Sheet'!$C$4:$C$40,$BJ22-3)="","",INDEX('Final Calculation Sheet'!$C$4:$C$40,$BJ22-3)),IF(OR($BI22=1,$BL22=1,$BH22&gt;0),"–",""))</f>
        <v>51511</v>
      </c>
      <c r="I22" s="70">
        <f>IF($BJ22&gt;0,IF(INDEX('Final Calculation Sheet'!$H$4:$H$40,$BJ22-3)="","",INDEX('Final Calculation Sheet'!$H$4:$H$40,$BJ22-3)),IF(OR($BI22=1,$BL22=1,$BH22&gt;0),IF($BI22=1,SUM('Final Calculation Sheet'!$H$4:$H$40),IF($BL22=1,SUM('Final Calculation Sheet'!$H$4:$H$40)-SUMIFS('Final Calculation Sheet'!$H$4:$H$40,$AZ$5:$AZ$41,10),SUMIFS('Final Calculation Sheet'!$H$4:$H$40,$AZ$5:$AZ$41,$BH22))),""))</f>
        <v>206044</v>
      </c>
      <c r="J22" s="70">
        <f>IF($BJ22&gt;0,IF(INDEX('Final Calculation Sheet'!$I$4:$I$40,$BJ22-3)="","",INDEX('Final Calculation Sheet'!$I$4:$I$40,$BJ22-3)),IF(OR($BI22=1,$BL22=1,$BH22&gt;0),IF($BI22=1,SUM('Final Calculation Sheet'!$I$4:$I$40),IF($BL22=1,SUM('Final Calculation Sheet'!$I$4:$I$40)-SUMIFS('Final Calculation Sheet'!$I$4:$I$40,$AZ$5:$AZ$41,10),SUMIFS('Final Calculation Sheet'!$I$4:$I$40,$AZ$5:$AZ$41,$BH22))),""))</f>
        <v>37088</v>
      </c>
      <c r="K22" s="70">
        <f>IF($BJ22&gt;0,IF(INDEX('Final Calculation Sheet'!$J$4:$J$40,$BJ22-3)="","",INDEX('Final Calculation Sheet'!$J$4:$J$40,$BJ22-3)),IF(OR($BI22=1,$BL22=1,$BH22&gt;0),IF($BI22=1,SUM('Final Calculation Sheet'!$J$4:$J$40),IF($BL22=1,SUM('Final Calculation Sheet'!$J$4:$J$40)-SUMIFS('Final Calculation Sheet'!$J$4:$J$40,$AZ$5:$AZ$41,10),SUMIFS('Final Calculation Sheet'!$J$4:$J$40,$AZ$5:$AZ$41,$BH22))),""))</f>
        <v>243132</v>
      </c>
      <c r="L22" s="70">
        <f>IF($BJ22&gt;0,IF(INDEX('Final Calculation Sheet'!$K$4:$K$40,$BJ22-3)="","",INDEX('Final Calculation Sheet'!$K$4:$K$40,$BJ22-3)),IF(OR($BI22=1,$BL22=1,$BH22&gt;0),IF($BI22=1,SUM('Final Calculation Sheet'!$K$4:$K$40),IF($BL22=1,SUM('Final Calculation Sheet'!$K$4:$K$40)-SUMIFS('Final Calculation Sheet'!$K$4:$K$40,$AZ$5:$AZ$41,10),SUMIFS('Final Calculation Sheet'!$K$4:$K$40,$AZ$5:$AZ$41,$BH22))),""))</f>
        <v>4863</v>
      </c>
      <c r="M22" s="70">
        <f>IF($BJ22&gt;0,IF(INDEX('Final Calculation Sheet'!$L$4:$L$40,$BJ22-3)="","",INDEX('Final Calculation Sheet'!$L$4:$L$40,$BJ22-3)),IF(OR($BI22=1,$BL22=1,$BH22&gt;0),IF($BI22=1,SUM('Final Calculation Sheet'!$L$4:$L$40),IF($BL22=1,SUM('Final Calculation Sheet'!$L$4:$L$40)-SUMIFS('Final Calculation Sheet'!$L$4:$L$40,$AZ$5:$AZ$41,10),SUMIFS('Final Calculation Sheet'!$L$4:$L$40,$AZ$5:$AZ$41,$BH22))),""))</f>
        <v>206.04400000000001</v>
      </c>
      <c r="N22" s="70">
        <f>IF($BJ22&gt;0,IF(INDEX('Final Calculation Sheet'!$M$4:$M$40,$BJ22-3)="","",INDEX('Final Calculation Sheet'!$M$4:$M$40,$BJ22-3)),IF(OR($BI22=1,$BL22=1,$BH22&gt;0),IF($BI22=1,SUM('Final Calculation Sheet'!$M$4:$M$40),IF($BL22=1,SUM('Final Calculation Sheet'!$M$4:$M$40)-SUMIFS('Final Calculation Sheet'!$M$4:$M$40,$AZ$5:$AZ$41,10),SUMIFS('Final Calculation Sheet'!$M$4:$M$40,$AZ$5:$AZ$41,$BH22))),""))</f>
        <v>5470.4681999999993</v>
      </c>
      <c r="O22" s="71">
        <f>IF($BJ22&gt;0,IF(INDEX('Final Calculation Sheet'!$N$4:$N$40,$BJ22-3)="","",INDEX('Final Calculation Sheet'!$N$4:$N$40,$BJ22-3)),IF(OR($BI22=1,$BL22=1,$BH22&gt;0),IF($BI22=1,SUM('Final Calculation Sheet'!$N$4:$N$40),IF($BL22=1,SUM('Final Calculation Sheet'!$N$4:$N$40)-SUMIFS('Final Calculation Sheet'!$N$4:$N$40,$AZ$5:$AZ$41,10),SUMIFS('Final Calculation Sheet'!$N$4:$N$40,$AZ$5:$AZ$41,$BH22))),""))</f>
        <v>92.719799999999992</v>
      </c>
      <c r="P22" s="70">
        <f>IF($BJ22&gt;0,IF(INDEX('Final Calculation Sheet'!$O$4:$O$40,$BJ22-3)="","",INDEX('Final Calculation Sheet'!$O$4:$O$40,$BJ22-3)),IF(OR($BI22=1,$BL22=1,$BH22&gt;0),IF($BI22=1,SUM('Final Calculation Sheet'!$O$4:$O$40),IF($BL22=1,SUM('Final Calculation Sheet'!$O$4:$O$40)-SUMIFS('Final Calculation Sheet'!$O$4:$O$40,$AZ$5:$AZ$41,10),SUMIFS('Final Calculation Sheet'!$O$4:$O$40,$AZ$5:$AZ$41,$BH22))),""))</f>
        <v>5377.7483999999995</v>
      </c>
      <c r="Q22" s="70">
        <f>IF($BJ22&gt;0,IF(INDEX('Final Calculation Sheet'!$P$4:$P$40,$BJ22-3)="","",INDEX('Final Calculation Sheet'!$P$4:$P$40,$BJ22-3)),IF(OR($BI22=1,$BL22=1,$BH22&gt;0),IF($BI22=1,SUM('Final Calculation Sheet'!$P$4:$P$40),IF($BL22=1,SUM('Final Calculation Sheet'!$P$4:$P$40)-SUMIFS('Final Calculation Sheet'!$P$4:$P$40,$AZ$5:$AZ$41,10),SUMIFS('Final Calculation Sheet'!$P$4:$P$40,$AZ$5:$AZ$41,$BH22))),""))</f>
        <v>5584</v>
      </c>
      <c r="R22" s="72">
        <f>IF($BJ22&gt;0,IF(INDEX('Final Calculation Sheet'!$Q$4:$Q$40,$BJ22-3)="","",INDEX('Final Calculation Sheet'!$Q$4:$Q$40,$BJ22-3)),IF(OR($BI22=1,$BL22=1,$BH22&gt;0),"–",""))</f>
        <v>0</v>
      </c>
      <c r="S22" s="70">
        <f>IF($BJ22&gt;0,IF(INDEX('Final Calculation Sheet'!$R$4:$R$40,$BJ22-3)="","",INDEX('Final Calculation Sheet'!$R$4:$R$40,$BJ22-3)),IF(OR($BI22=1,$BL22=1,$BH22&gt;0),IF($BI22=1,SUM('Final Calculation Sheet'!$R$4:$R$40),IF($BL22=1,SUM('Final Calculation Sheet'!$R$4:$R$40)-SUMIFS('Final Calculation Sheet'!$R$4:$R$40,$AZ$5:$AZ$41,10),SUMIFS('Final Calculation Sheet'!$R$4:$R$40,$AZ$5:$AZ$41,$BH22))),""))</f>
        <v>0</v>
      </c>
      <c r="T22" s="70">
        <f>IF($BJ22&gt;0,IF(INDEX('Final Calculation Sheet'!$S$4:$S$40,$BJ22-3)="","",INDEX('Final Calculation Sheet'!$S$4:$S$40,$BJ22-3)),IF(OR($BI22=1,$BL22=1,$BH22&gt;0),IF($BI22=1,SUM('Final Calculation Sheet'!$S$4:$S$40),IF($BL22=1,SUM('Final Calculation Sheet'!$S$4:$S$40)-SUMIFS('Final Calculation Sheet'!$S$4:$S$40,$AZ$5:$AZ$41,10),SUMIFS('Final Calculation Sheet'!$S$4:$S$40,$AZ$5:$AZ$41,$BH22))),""))</f>
        <v>242411</v>
      </c>
      <c r="U22" s="70">
        <f>IF($BJ22&gt;0,IF(INDEX('Final Calculation Sheet'!$T$4:$T$40,$BJ22-3)="","",INDEX('Final Calculation Sheet'!$T$4:$T$40,$BJ22-3)),IF(OR($BI22=1,$BL22=1,$BH22&gt;0),IF($BI22=1,SUM('Final Calculation Sheet'!$T$4:$T$40),IF($BL22=1,SUM('Final Calculation Sheet'!$T$4:$T$40)-SUMIFS('Final Calculation Sheet'!$T$4:$T$40,$AZ$5:$AZ$41,10),SUMIFS('Final Calculation Sheet'!$T$4:$T$40,$AZ$5:$AZ$41,$BH22))),""))</f>
        <v>51511</v>
      </c>
      <c r="V22" s="73">
        <f>IF($BJ22&gt;0,IF(INDEX('Final Calculation Sheet'!$U$4:$U$40,$BJ22-3)="","",INDEX('Final Calculation Sheet'!$U$4:$U$40,$BJ22-3)),IF(OR($BI22=1,$BL22=1,$BH22&gt;0),IF($BI22=1,SUM('Final Calculation Sheet'!$U$4:$U$40),IF($BL22=1,SUM('Final Calculation Sheet'!$U$4:$U$40)-SUMIFS('Final Calculation Sheet'!$U$4:$U$40,$AZ$5:$AZ$41,10),SUMIFS('Final Calculation Sheet'!$U$4:$U$40,$AZ$5:$AZ$41,$BH22))),""))</f>
        <v>51511</v>
      </c>
      <c r="W22" s="70" t="str">
        <f>IF($BJ22&gt;0,IF(INDEX('Final Calculation Sheet'!$V$4:$V$40,$BJ22-3)="","",INDEX('Final Calculation Sheet'!$V$4:$V$40,$BJ22-3)),IF(OR($BI22=1,$BL22=1,$BH22&gt;0),"–",""))</f>
        <v>13.08.2026</v>
      </c>
      <c r="X22" s="70">
        <f>IF($BJ22&gt;0,IF(INDEX('Final Calculation Sheet'!$W$4:$W$40,$BJ22-3)="","",INDEX('Final Calculation Sheet'!$W$4:$W$40,$BJ22-3)),IF(OR($BI22=1,$BL22=1,$BH22&gt;0),IF($BI22=1,SUM('Final Calculation Sheet'!$W$4:$W$40),IF($BL22=1,SUM('Final Calculation Sheet'!$W$4:$W$40)-SUMIFS('Final Calculation Sheet'!$W$4:$W$40,$AZ$5:$AZ$41,10),SUMIFS('Final Calculation Sheet'!$W$4:$W$40,$AZ$5:$AZ$41,$BH22))),""))</f>
        <v>190900</v>
      </c>
      <c r="Y22" s="70">
        <f>IF($BJ22&gt;0,IF(INDEX('Final Calculation Sheet'!$X$4:$X$40,$BJ22-3)="","",INDEX('Final Calculation Sheet'!$X$4:$X$40,$BJ22-3)),IF(OR($BI22=1,$BL22=1,$BH22&gt;0),IF($BI22=1,SUM('Final Calculation Sheet'!$X$4:$X$40),IF($BL22=1,SUM('Final Calculation Sheet'!$X$4:$X$40)-SUMIFS('Final Calculation Sheet'!$X$4:$X$40,$AZ$5:$AZ$41,10),SUMIFS('Final Calculation Sheet'!$X$4:$X$40,$AZ$5:$AZ$41,$BH22))),""))</f>
        <v>190900</v>
      </c>
      <c r="Z22" s="70" t="str">
        <f>IF($BJ22&gt;0,IF(INDEX('Final Calculation Sheet'!$Y$4:$Y$40,$BJ22-3)="","",INDEX('Final Calculation Sheet'!$Y$4:$Y$40,$BJ22-3)),IF(OR($BI22=1,$BL22=1,$BH22&gt;0),"–",""))</f>
        <v>24.08.2026</v>
      </c>
      <c r="AA22" s="70">
        <f ca="1">IF($BJ22&gt;0,IF(INDEX('Final Calculation Sheet'!$Z$4:$Z$40,$BJ22-3)="","",INDEX('Final Calculation Sheet'!$Z$4:$Z$40,$BJ22-3)),IF(OR($BI22=1,$BL22=1,$BH22&gt;0),IF($BI22=1,SUM('Final Calculation Sheet'!$Z$4:$Z$40),IF($BL22=1,SUM('Final Calculation Sheet'!$Z$4:$Z$40)-SUMIFS('Final Calculation Sheet'!$Z$4:$Z$40,$AZ$5:$AZ$41,10),SUMIFS('Final Calculation Sheet'!$Z$4:$Z$40,$AZ$5:$AZ$41,$BH22))),""))</f>
        <v>0</v>
      </c>
      <c r="AB22" s="70" t="str">
        <f>IF($BJ22&gt;0,IF(INDEX('Final Calculation Sheet'!$AA$4:$AA$40,$BJ22-3)="","",INDEX('Final Calculation Sheet'!$AA$4:$AA$40,$BJ22-3)),IF(OR($BI22=1,$BL22=1,$BH22&gt;0),IF($BI22=1,SUM('Final Calculation Sheet'!$AA$4:$AA$40),IF($BL22=1,SUM('Final Calculation Sheet'!$AA$4:$AA$40)-SUMIFS('Final Calculation Sheet'!$AA$4:$AA$40,$AZ$5:$AZ$41,10),SUMIFS('Final Calculation Sheet'!$AA$4:$AA$40,$AZ$5:$AZ$41,$BH22))),""))</f>
        <v/>
      </c>
      <c r="AC22" s="70" t="str">
        <f>IF($BJ22&gt;0,IF(INDEX('Final Calculation Sheet'!$AB$4:$AB$40,$BJ22-3)="","",INDEX('Final Calculation Sheet'!$AB$4:$AB$40,$BJ22-3)),IF(OR($BI22=1,$BL22=1,$BH22&gt;0),"–",""))</f>
        <v/>
      </c>
      <c r="AD22" s="70">
        <f>IF($BJ22&gt;0,IF(INDEX('Final Calculation Sheet'!$AC$4:$AC$40,$BJ22-3)="","",INDEX('Final Calculation Sheet'!$AC$4:$AC$40,$BJ22-3)),IF(OR($BI22=1,$BL22=1,$BH22&gt;0),IF($BI22=1,SUM('Final Calculation Sheet'!$AC$4:$AC$40),IF($BL22=1,SUM('Final Calculation Sheet'!$AC$4:$AC$40)-SUMIFS('Final Calculation Sheet'!$AC$4:$AC$40,$AZ$5:$AZ$41,10),SUMIFS('Final Calculation Sheet'!$AC$4:$AC$40,$AZ$5:$AZ$41,$BH22))),""))</f>
        <v>242411</v>
      </c>
      <c r="AE22" s="70">
        <f>IF($BJ22&gt;0,IF(INDEX('Final Calculation Sheet'!$AD$4:$AD$40,$BJ22-3)="","",INDEX('Final Calculation Sheet'!$AD$4:$AD$40,$BJ22-3)),IF(OR($BI22=1,$BL22=1,$BH22&gt;0),IF($BI22=1,SUM('Final Calculation Sheet'!$AD$4:$AD$40),IF($BL22=1,SUM('Final Calculation Sheet'!$AD$4:$AD$40)-SUMIFS('Final Calculation Sheet'!$AD$4:$AD$40,$AZ$5:$AZ$41,10),SUMIFS('Final Calculation Sheet'!$AD$4:$AD$40,$AZ$5:$AZ$41,$BH22))),""))</f>
        <v>0</v>
      </c>
      <c r="AF22" s="70" t="str">
        <f>IF($BJ22&gt;0,IF(INDEX('Final Calculation Sheet'!$AE$4:$AE$40,$BJ22-3)="","",INDEX('Final Calculation Sheet'!$AE$4:$AE$40,$BJ22-3)),IF(OR($BI22=1,$BL22=1,$BH22&gt;0),"–",""))</f>
        <v>DR2640100031</v>
      </c>
      <c r="AG22" s="74">
        <f>IF($BJ22&gt;0,IF(INDEX('Final Calculation Sheet'!$AF$4:$AF$40,$BJ22-3)="","",INDEX('Final Calculation Sheet'!$AF$4:$AF$40,$BJ22-3)),IF(OR($BI22=1,$BL22=1,$BH22&gt;0),"–",""))</f>
        <v>1800003303</v>
      </c>
      <c r="AH22" s="70" t="str">
        <f>IF($BJ22&gt;0,IF(INDEX('Final Calculation Sheet'!$AG$4:$AG$40,$BJ22-3)="","",INDEX('Final Calculation Sheet'!$AG$4:$AG$40,$BJ22-3)),IF(OR($BI22=1,$BL22=1,$BH22&gt;0),"–",""))</f>
        <v>27.08.2026</v>
      </c>
      <c r="AI22" s="75" t="str">
        <f>IF($BJ22&gt;0,IF(INDEX('Final Calculation Sheet'!$AD$4:$AD$40,$BJ22-3)="","",IF(INDEX('Final Calculation Sheet'!$AD$4:$AD$40,$BJ22-3)&lt;=0,"SETTLED","OUTSTANDING")),IF(OR($BI22=1,$BL22=1,$BH22&gt;0),IF(IF($BI22=1,SUM('Final Calculation Sheet'!$AD$4:$AD$40),IF($BL22=1,SUM('Final Calculation Sheet'!$AD$4:$AD$40)-SUMIFS('Final Calculation Sheet'!$AD$4:$AD$40,$AZ$5:$AZ$41,10),SUMIFS('Final Calculation Sheet'!$AD$4:$AD$40,$AZ$5:$AZ$41,$BH22)))&lt;=0,"ALL SETTLED","OUTSTANDING"),""))</f>
        <v>SETTLED</v>
      </c>
      <c r="AK22" t="str">
        <f>IF($F$3="Lot No.",'Final Calculation Sheet'!$F$21,IF($F$3="Buyer",'Final Calculation Sheet'!$G$21,IF($F$3="Lot Name",'Final Calculation Sheet'!$B$21,IF($F$3="Bid Sheet",'Final Calculation Sheet'!$D$21,IF($F$3="Unit",'Final Calculation Sheet'!$E$21,'Final Calculation Sheet'!$F$21&amp;" "&amp;'Final Calculation Sheet'!$G$21&amp;" "&amp;'Final Calculation Sheet'!$B$21)))))</f>
        <v>2022 NATIONAL SCRAP AND BUILDING MATERIAL SUPPLIER Scrap of 132 KV CT</v>
      </c>
      <c r="AM22">
        <f t="shared" si="1"/>
        <v>0</v>
      </c>
      <c r="AZ22">
        <f t="shared" si="2"/>
        <v>10</v>
      </c>
      <c r="BA22">
        <f t="shared" si="3"/>
        <v>14</v>
      </c>
      <c r="BB22">
        <f t="shared" si="4"/>
        <v>30</v>
      </c>
      <c r="BC22">
        <v>21</v>
      </c>
      <c r="BH22">
        <f>IFERROR(MATCH(22,$BF$4:$BF$13,0),0)</f>
        <v>0</v>
      </c>
      <c r="BI22">
        <f>IF(22=$BG$5,1,0)</f>
        <v>0</v>
      </c>
      <c r="BJ22">
        <f>IF(OR($BH22&gt;0,$BI22=1,$BL22=1),0,IFERROR(INDEX($BC$5:$BC$41,MATCH(22,$BB$5:$BB$41,0)),0))</f>
        <v>10</v>
      </c>
      <c r="BK22">
        <f>IF($BJ22&gt;0,IF(INDEX($AZ$5:$AZ$41,MATCH(22,$BB$5:$BB$41,0))=10,1,0),IF($BH22=10,1,0))</f>
        <v>1</v>
      </c>
      <c r="BL22">
        <f>IF(22=$BG$4,1,0)</f>
        <v>0</v>
      </c>
    </row>
    <row r="23" spans="1:64" ht="15" customHeight="1" x14ac:dyDescent="0.25">
      <c r="A23" s="67">
        <f>IF($BJ23&gt;0,INDEX($BA$5:$BA$41,MATCH(23,$BB$5:$BB$41,0)),IF(OR($BI23=1,$BL23=1,$BH23&gt;0),"∑",""))</f>
        <v>7</v>
      </c>
      <c r="B23" s="68">
        <f>IF($BJ23&gt;0,IF(INDEX('Final Calculation Sheet'!$F$4:$F$40,$BJ23-3)="","",INDEX('Final Calculation Sheet'!$F$4:$F$40,$BJ23-3)),"")</f>
        <v>2003</v>
      </c>
      <c r="C23" s="68" t="str">
        <f>IF($BJ23&gt;0,IF(INDEX('Final Calculation Sheet'!$G$4:$G$40,$BJ23-3)="","",INDEX('Final Calculation Sheet'!$G$4:$G$40,$BJ23-3)),IF(OR($BI23=1,$BL23=1,$BH23&gt;0),IF($BI23=1,37,IF($BL23=1,37-INDEX($BD$4:$BD$13,10),INDEX($BD$4:$BD$13,$BH23)))&amp;" lot(s)",""))</f>
        <v>NATIONAL ENTERPRISES</v>
      </c>
      <c r="D23" s="69" t="str">
        <f>IF($BJ23&gt;0,IF(INDEX('Final Calculation Sheet'!$B$4:$B$40,$BJ23-3)="","",INDEX('Final Calculation Sheet'!$B$4:$B$40,$BJ23-3)),IF(OR($BI23=1,$BL23=1,$BH23&gt;0),IF($BI23=1,"GRAND TOTAL  —  matching + remaining",IF($BL23=1,"TOTAL MATCHED  —  every group together",IF($BH23=10,"REMAINING  —  did not match the search",IF($BH23=9,"ALL LOTS  —  nothing typed in the box","GROUP "&amp;$BH23&amp;" TOTAL  —  lots matching  "&amp;INDEX($AR$6:$AY$6,$BH23))))),""))</f>
        <v>Scrap of 145 KV CB</v>
      </c>
      <c r="E23" s="69">
        <f>IF($BJ23&gt;0,IF(INDEX('Final Calculation Sheet'!$D$4:$D$40,$BJ23-3)="","",INDEX('Final Calculation Sheet'!$D$4:$D$40,$BJ23-3)),IF(OR($BI23=1,$BL23=1,$BH23&gt;0),"–",""))</f>
        <v>21977</v>
      </c>
      <c r="F23" s="69">
        <f>IF($BJ23&gt;0,IF(INDEX('Final Calculation Sheet'!$A$4:$A$40,$BJ23-3)="","",INDEX('Final Calculation Sheet'!$A$4:$A$40,$BJ23-3)),IF(OR($BI23=1,$BL23=1,$BH23&gt;0),IF($BI23=1,SUM('Final Calculation Sheet'!$A$4:$A$40),IF($BL23=1,SUM('Final Calculation Sheet'!$A$4:$A$40)-SUMIFS('Final Calculation Sheet'!$A$4:$A$40,$AZ$5:$AZ$41,10),SUMIFS('Final Calculation Sheet'!$A$4:$A$40,$AZ$5:$AZ$41,$BH23))),""))</f>
        <v>1</v>
      </c>
      <c r="G23" s="69" t="str">
        <f>IF($BJ23&gt;0,IF(INDEX('Final Calculation Sheet'!$E$4:$E$40,$BJ23-3)="","",INDEX('Final Calculation Sheet'!$E$4:$E$40,$BJ23-3)),IF(OR($BI23=1,$BL23=1,$BH23&gt;0),"–",""))</f>
        <v>NO</v>
      </c>
      <c r="H23" s="70">
        <f>IF($BJ23&gt;0,IF(INDEX('Final Calculation Sheet'!$C$4:$C$40,$BJ23-3)="","",INDEX('Final Calculation Sheet'!$C$4:$C$40,$BJ23-3)),IF(OR($BI23=1,$BL23=1,$BH23&gt;0),"–",""))</f>
        <v>65007</v>
      </c>
      <c r="I23" s="70">
        <f>IF($BJ23&gt;0,IF(INDEX('Final Calculation Sheet'!$H$4:$H$40,$BJ23-3)="","",INDEX('Final Calculation Sheet'!$H$4:$H$40,$BJ23-3)),IF(OR($BI23=1,$BL23=1,$BH23&gt;0),IF($BI23=1,SUM('Final Calculation Sheet'!$H$4:$H$40),IF($BL23=1,SUM('Final Calculation Sheet'!$H$4:$H$40)-SUMIFS('Final Calculation Sheet'!$H$4:$H$40,$AZ$5:$AZ$41,10),SUMIFS('Final Calculation Sheet'!$H$4:$H$40,$AZ$5:$AZ$41,$BH23))),""))</f>
        <v>65007</v>
      </c>
      <c r="J23" s="70">
        <f>IF($BJ23&gt;0,IF(INDEX('Final Calculation Sheet'!$I$4:$I$40,$BJ23-3)="","",INDEX('Final Calculation Sheet'!$I$4:$I$40,$BJ23-3)),IF(OR($BI23=1,$BL23=1,$BH23&gt;0),IF($BI23=1,SUM('Final Calculation Sheet'!$I$4:$I$40),IF($BL23=1,SUM('Final Calculation Sheet'!$I$4:$I$40)-SUMIFS('Final Calculation Sheet'!$I$4:$I$40,$AZ$5:$AZ$41,10),SUMIFS('Final Calculation Sheet'!$I$4:$I$40,$AZ$5:$AZ$41,$BH23))),""))</f>
        <v>11701</v>
      </c>
      <c r="K23" s="70">
        <f>IF($BJ23&gt;0,IF(INDEX('Final Calculation Sheet'!$J$4:$J$40,$BJ23-3)="","",INDEX('Final Calculation Sheet'!$J$4:$J$40,$BJ23-3)),IF(OR($BI23=1,$BL23=1,$BH23&gt;0),IF($BI23=1,SUM('Final Calculation Sheet'!$J$4:$J$40),IF($BL23=1,SUM('Final Calculation Sheet'!$J$4:$J$40)-SUMIFS('Final Calculation Sheet'!$J$4:$J$40,$AZ$5:$AZ$41,10),SUMIFS('Final Calculation Sheet'!$J$4:$J$40,$AZ$5:$AZ$41,$BH23))),""))</f>
        <v>76708</v>
      </c>
      <c r="L23" s="70">
        <f>IF($BJ23&gt;0,IF(INDEX('Final Calculation Sheet'!$K$4:$K$40,$BJ23-3)="","",INDEX('Final Calculation Sheet'!$K$4:$K$40,$BJ23-3)),IF(OR($BI23=1,$BL23=1,$BH23&gt;0),IF($BI23=1,SUM('Final Calculation Sheet'!$K$4:$K$40),IF($BL23=1,SUM('Final Calculation Sheet'!$K$4:$K$40)-SUMIFS('Final Calculation Sheet'!$K$4:$K$40,$AZ$5:$AZ$41,10),SUMIFS('Final Calculation Sheet'!$K$4:$K$40,$AZ$5:$AZ$41,$BH23))),""))</f>
        <v>1534</v>
      </c>
      <c r="M23" s="70">
        <f>IF($BJ23&gt;0,IF(INDEX('Final Calculation Sheet'!$L$4:$L$40,$BJ23-3)="","",INDEX('Final Calculation Sheet'!$L$4:$L$40,$BJ23-3)),IF(OR($BI23=1,$BL23=1,$BH23&gt;0),IF($BI23=1,SUM('Final Calculation Sheet'!$L$4:$L$40),IF($BL23=1,SUM('Final Calculation Sheet'!$L$4:$L$40)-SUMIFS('Final Calculation Sheet'!$L$4:$L$40,$AZ$5:$AZ$41,10),SUMIFS('Final Calculation Sheet'!$L$4:$L$40,$AZ$5:$AZ$41,$BH23))),""))</f>
        <v>65.007000000000005</v>
      </c>
      <c r="N23" s="70">
        <f>IF($BJ23&gt;0,IF(INDEX('Final Calculation Sheet'!$M$4:$M$40,$BJ23-3)="","",INDEX('Final Calculation Sheet'!$M$4:$M$40,$BJ23-3)),IF(OR($BI23=1,$BL23=1,$BH23&gt;0),IF($BI23=1,SUM('Final Calculation Sheet'!$M$4:$M$40),IF($BL23=1,SUM('Final Calculation Sheet'!$M$4:$M$40)-SUMIFS('Final Calculation Sheet'!$M$4:$M$40,$AZ$5:$AZ$41,10),SUMIFS('Final Calculation Sheet'!$M$4:$M$40,$AZ$5:$AZ$41,$BH23))),""))</f>
        <v>1725.9358499999998</v>
      </c>
      <c r="O23" s="71">
        <f>IF($BJ23&gt;0,IF(INDEX('Final Calculation Sheet'!$N$4:$N$40,$BJ23-3)="","",INDEX('Final Calculation Sheet'!$N$4:$N$40,$BJ23-3)),IF(OR($BI23=1,$BL23=1,$BH23&gt;0),IF($BI23=1,SUM('Final Calculation Sheet'!$N$4:$N$40),IF($BL23=1,SUM('Final Calculation Sheet'!$N$4:$N$40)-SUMIFS('Final Calculation Sheet'!$N$4:$N$40,$AZ$5:$AZ$41,10),SUMIFS('Final Calculation Sheet'!$N$4:$N$40,$AZ$5:$AZ$41,$BH23))),""))</f>
        <v>29.253150000000002</v>
      </c>
      <c r="P23" s="70">
        <f>IF($BJ23&gt;0,IF(INDEX('Final Calculation Sheet'!$O$4:$O$40,$BJ23-3)="","",INDEX('Final Calculation Sheet'!$O$4:$O$40,$BJ23-3)),IF(OR($BI23=1,$BL23=1,$BH23&gt;0),IF($BI23=1,SUM('Final Calculation Sheet'!$O$4:$O$40),IF($BL23=1,SUM('Final Calculation Sheet'!$O$4:$O$40)-SUMIFS('Final Calculation Sheet'!$O$4:$O$40,$AZ$5:$AZ$41,10),SUMIFS('Final Calculation Sheet'!$O$4:$O$40,$AZ$5:$AZ$41,$BH23))),""))</f>
        <v>1696.6826999999998</v>
      </c>
      <c r="Q23" s="70">
        <f>IF($BJ23&gt;0,IF(INDEX('Final Calculation Sheet'!$P$4:$P$40,$BJ23-3)="","",INDEX('Final Calculation Sheet'!$P$4:$P$40,$BJ23-3)),IF(OR($BI23=1,$BL23=1,$BH23&gt;0),IF($BI23=1,SUM('Final Calculation Sheet'!$P$4:$P$40),IF($BL23=1,SUM('Final Calculation Sheet'!$P$4:$P$40)-SUMIFS('Final Calculation Sheet'!$P$4:$P$40,$AZ$5:$AZ$41,10),SUMIFS('Final Calculation Sheet'!$P$4:$P$40,$AZ$5:$AZ$41,$BH23))),""))</f>
        <v>1762</v>
      </c>
      <c r="R23" s="72">
        <f>IF($BJ23&gt;0,IF(INDEX('Final Calculation Sheet'!$Q$4:$Q$40,$BJ23-3)="","",INDEX('Final Calculation Sheet'!$Q$4:$Q$40,$BJ23-3)),IF(OR($BI23=1,$BL23=1,$BH23&gt;0),"–",""))</f>
        <v>0</v>
      </c>
      <c r="S23" s="70">
        <f>IF($BJ23&gt;0,IF(INDEX('Final Calculation Sheet'!$R$4:$R$40,$BJ23-3)="","",INDEX('Final Calculation Sheet'!$R$4:$R$40,$BJ23-3)),IF(OR($BI23=1,$BL23=1,$BH23&gt;0),IF($BI23=1,SUM('Final Calculation Sheet'!$R$4:$R$40),IF($BL23=1,SUM('Final Calculation Sheet'!$R$4:$R$40)-SUMIFS('Final Calculation Sheet'!$R$4:$R$40,$AZ$5:$AZ$41,10),SUMIFS('Final Calculation Sheet'!$R$4:$R$40,$AZ$5:$AZ$41,$BH23))),""))</f>
        <v>0</v>
      </c>
      <c r="T23" s="70">
        <f>IF($BJ23&gt;0,IF(INDEX('Final Calculation Sheet'!$S$4:$S$40,$BJ23-3)="","",INDEX('Final Calculation Sheet'!$S$4:$S$40,$BJ23-3)),IF(OR($BI23=1,$BL23=1,$BH23&gt;0),IF($BI23=1,SUM('Final Calculation Sheet'!$S$4:$S$40),IF($BL23=1,SUM('Final Calculation Sheet'!$S$4:$S$40)-SUMIFS('Final Calculation Sheet'!$S$4:$S$40,$AZ$5:$AZ$41,10),SUMIFS('Final Calculation Sheet'!$S$4:$S$40,$AZ$5:$AZ$41,$BH23))),""))</f>
        <v>76481</v>
      </c>
      <c r="U23" s="70">
        <f>IF($BJ23&gt;0,IF(INDEX('Final Calculation Sheet'!$T$4:$T$40,$BJ23-3)="","",INDEX('Final Calculation Sheet'!$T$4:$T$40,$BJ23-3)),IF(OR($BI23=1,$BL23=1,$BH23&gt;0),IF($BI23=1,SUM('Final Calculation Sheet'!$T$4:$T$40),IF($BL23=1,SUM('Final Calculation Sheet'!$T$4:$T$40)-SUMIFS('Final Calculation Sheet'!$T$4:$T$40,$AZ$5:$AZ$41,10),SUMIFS('Final Calculation Sheet'!$T$4:$T$40,$AZ$5:$AZ$41,$BH23))),""))</f>
        <v>16252</v>
      </c>
      <c r="V23" s="73">
        <f>IF($BJ23&gt;0,IF(INDEX('Final Calculation Sheet'!$U$4:$U$40,$BJ23-3)="","",INDEX('Final Calculation Sheet'!$U$4:$U$40,$BJ23-3)),IF(OR($BI23=1,$BL23=1,$BH23&gt;0),IF($BI23=1,SUM('Final Calculation Sheet'!$U$4:$U$40),IF($BL23=1,SUM('Final Calculation Sheet'!$U$4:$U$40)-SUMIFS('Final Calculation Sheet'!$U$4:$U$40,$AZ$5:$AZ$41,10),SUMIFS('Final Calculation Sheet'!$U$4:$U$40,$AZ$5:$AZ$41,$BH23))),""))</f>
        <v>16252</v>
      </c>
      <c r="W23" s="70" t="str">
        <f>IF($BJ23&gt;0,IF(INDEX('Final Calculation Sheet'!$V$4:$V$40,$BJ23-3)="","",INDEX('Final Calculation Sheet'!$V$4:$V$40,$BJ23-3)),IF(OR($BI23=1,$BL23=1,$BH23&gt;0),"–",""))</f>
        <v>13.08.2026</v>
      </c>
      <c r="X23" s="70">
        <f>IF($BJ23&gt;0,IF(INDEX('Final Calculation Sheet'!$W$4:$W$40,$BJ23-3)="","",INDEX('Final Calculation Sheet'!$W$4:$W$40,$BJ23-3)),IF(OR($BI23=1,$BL23=1,$BH23&gt;0),IF($BI23=1,SUM('Final Calculation Sheet'!$W$4:$W$40),IF($BL23=1,SUM('Final Calculation Sheet'!$W$4:$W$40)-SUMIFS('Final Calculation Sheet'!$W$4:$W$40,$AZ$5:$AZ$41,10),SUMIFS('Final Calculation Sheet'!$W$4:$W$40,$AZ$5:$AZ$41,$BH23))),""))</f>
        <v>60229</v>
      </c>
      <c r="Y23" s="70">
        <f>IF($BJ23&gt;0,IF(INDEX('Final Calculation Sheet'!$X$4:$X$40,$BJ23-3)="","",INDEX('Final Calculation Sheet'!$X$4:$X$40,$BJ23-3)),IF(OR($BI23=1,$BL23=1,$BH23&gt;0),IF($BI23=1,SUM('Final Calculation Sheet'!$X$4:$X$40),IF($BL23=1,SUM('Final Calculation Sheet'!$X$4:$X$40)-SUMIFS('Final Calculation Sheet'!$X$4:$X$40,$AZ$5:$AZ$41,10),SUMIFS('Final Calculation Sheet'!$X$4:$X$40,$AZ$5:$AZ$41,$BH23))),""))</f>
        <v>60229</v>
      </c>
      <c r="Z23" s="70" t="str">
        <f>IF($BJ23&gt;0,IF(INDEX('Final Calculation Sheet'!$Y$4:$Y$40,$BJ23-3)="","",INDEX('Final Calculation Sheet'!$Y$4:$Y$40,$BJ23-3)),IF(OR($BI23=1,$BL23=1,$BH23&gt;0),"–",""))</f>
        <v>24.08.2026</v>
      </c>
      <c r="AA23" s="70">
        <f ca="1">IF($BJ23&gt;0,IF(INDEX('Final Calculation Sheet'!$Z$4:$Z$40,$BJ23-3)="","",INDEX('Final Calculation Sheet'!$Z$4:$Z$40,$BJ23-3)),IF(OR($BI23=1,$BL23=1,$BH23&gt;0),IF($BI23=1,SUM('Final Calculation Sheet'!$Z$4:$Z$40),IF($BL23=1,SUM('Final Calculation Sheet'!$Z$4:$Z$40)-SUMIFS('Final Calculation Sheet'!$Z$4:$Z$40,$AZ$5:$AZ$41,10),SUMIFS('Final Calculation Sheet'!$Z$4:$Z$40,$AZ$5:$AZ$41,$BH23))),""))</f>
        <v>0</v>
      </c>
      <c r="AB23" s="70" t="str">
        <f>IF($BJ23&gt;0,IF(INDEX('Final Calculation Sheet'!$AA$4:$AA$40,$BJ23-3)="","",INDEX('Final Calculation Sheet'!$AA$4:$AA$40,$BJ23-3)),IF(OR($BI23=1,$BL23=1,$BH23&gt;0),IF($BI23=1,SUM('Final Calculation Sheet'!$AA$4:$AA$40),IF($BL23=1,SUM('Final Calculation Sheet'!$AA$4:$AA$40)-SUMIFS('Final Calculation Sheet'!$AA$4:$AA$40,$AZ$5:$AZ$41,10),SUMIFS('Final Calculation Sheet'!$AA$4:$AA$40,$AZ$5:$AZ$41,$BH23))),""))</f>
        <v/>
      </c>
      <c r="AC23" s="70" t="str">
        <f>IF($BJ23&gt;0,IF(INDEX('Final Calculation Sheet'!$AB$4:$AB$40,$BJ23-3)="","",INDEX('Final Calculation Sheet'!$AB$4:$AB$40,$BJ23-3)),IF(OR($BI23=1,$BL23=1,$BH23&gt;0),"–",""))</f>
        <v/>
      </c>
      <c r="AD23" s="70">
        <f>IF($BJ23&gt;0,IF(INDEX('Final Calculation Sheet'!$AC$4:$AC$40,$BJ23-3)="","",INDEX('Final Calculation Sheet'!$AC$4:$AC$40,$BJ23-3)),IF(OR($BI23=1,$BL23=1,$BH23&gt;0),IF($BI23=1,SUM('Final Calculation Sheet'!$AC$4:$AC$40),IF($BL23=1,SUM('Final Calculation Sheet'!$AC$4:$AC$40)-SUMIFS('Final Calculation Sheet'!$AC$4:$AC$40,$AZ$5:$AZ$41,10),SUMIFS('Final Calculation Sheet'!$AC$4:$AC$40,$AZ$5:$AZ$41,$BH23))),""))</f>
        <v>76481</v>
      </c>
      <c r="AE23" s="70">
        <f>IF($BJ23&gt;0,IF(INDEX('Final Calculation Sheet'!$AD$4:$AD$40,$BJ23-3)="","",INDEX('Final Calculation Sheet'!$AD$4:$AD$40,$BJ23-3)),IF(OR($BI23=1,$BL23=1,$BH23&gt;0),IF($BI23=1,SUM('Final Calculation Sheet'!$AD$4:$AD$40),IF($BL23=1,SUM('Final Calculation Sheet'!$AD$4:$AD$40)-SUMIFS('Final Calculation Sheet'!$AD$4:$AD$40,$AZ$5:$AZ$41,10),SUMIFS('Final Calculation Sheet'!$AD$4:$AD$40,$AZ$5:$AZ$41,$BH23))),""))</f>
        <v>0</v>
      </c>
      <c r="AF23" s="70" t="str">
        <f>IF($BJ23&gt;0,IF(INDEX('Final Calculation Sheet'!$AE$4:$AE$40,$BJ23-3)="","",INDEX('Final Calculation Sheet'!$AE$4:$AE$40,$BJ23-3)),IF(OR($BI23=1,$BL23=1,$BH23&gt;0),"–",""))</f>
        <v>DR2640100032</v>
      </c>
      <c r="AG23" s="74">
        <f>IF($BJ23&gt;0,IF(INDEX('Final Calculation Sheet'!$AF$4:$AF$40,$BJ23-3)="","",INDEX('Final Calculation Sheet'!$AF$4:$AF$40,$BJ23-3)),IF(OR($BI23=1,$BL23=1,$BH23&gt;0),"–",""))</f>
        <v>1800003304</v>
      </c>
      <c r="AH23" s="70" t="str">
        <f>IF($BJ23&gt;0,IF(INDEX('Final Calculation Sheet'!$AG$4:$AG$40,$BJ23-3)="","",INDEX('Final Calculation Sheet'!$AG$4:$AG$40,$BJ23-3)),IF(OR($BI23=1,$BL23=1,$BH23&gt;0),"–",""))</f>
        <v>27.08.2026</v>
      </c>
      <c r="AI23" s="75" t="str">
        <f>IF($BJ23&gt;0,IF(INDEX('Final Calculation Sheet'!$AD$4:$AD$40,$BJ23-3)="","",IF(INDEX('Final Calculation Sheet'!$AD$4:$AD$40,$BJ23-3)&lt;=0,"SETTLED","OUTSTANDING")),IF(OR($BI23=1,$BL23=1,$BH23&gt;0),IF(IF($BI23=1,SUM('Final Calculation Sheet'!$AD$4:$AD$40),IF($BL23=1,SUM('Final Calculation Sheet'!$AD$4:$AD$40)-SUMIFS('Final Calculation Sheet'!$AD$4:$AD$40,$AZ$5:$AZ$41,10),SUMIFS('Final Calculation Sheet'!$AD$4:$AD$40,$AZ$5:$AZ$41,$BH23)))&lt;=0,"ALL SETTLED","OUTSTANDING"),""))</f>
        <v>SETTLED</v>
      </c>
      <c r="AK23" t="str">
        <f>IF($F$3="Lot No.",'Final Calculation Sheet'!$F$22,IF($F$3="Buyer",'Final Calculation Sheet'!$G$22,IF($F$3="Lot Name",'Final Calculation Sheet'!$B$22,IF($F$3="Bid Sheet",'Final Calculation Sheet'!$D$22,IF($F$3="Unit",'Final Calculation Sheet'!$E$22,'Final Calculation Sheet'!$F$22&amp;" "&amp;'Final Calculation Sheet'!$G$22&amp;" "&amp;'Final Calculation Sheet'!$B$22)))))</f>
        <v>2023 NATIONAL ENTERPRISES Scrap of 132 KV CT</v>
      </c>
      <c r="AM23">
        <f t="shared" si="1"/>
        <v>0</v>
      </c>
      <c r="AZ23">
        <f t="shared" si="2"/>
        <v>10</v>
      </c>
      <c r="BA23">
        <f t="shared" si="3"/>
        <v>15</v>
      </c>
      <c r="BB23">
        <f t="shared" si="4"/>
        <v>31</v>
      </c>
      <c r="BC23">
        <v>22</v>
      </c>
      <c r="BH23">
        <f>IFERROR(MATCH(23,$BF$4:$BF$13,0),0)</f>
        <v>0</v>
      </c>
      <c r="BI23">
        <f>IF(23=$BG$5,1,0)</f>
        <v>0</v>
      </c>
      <c r="BJ23">
        <f>IF(OR($BH23&gt;0,$BI23=1,$BL23=1),0,IFERROR(INDEX($BC$5:$BC$41,MATCH(23,$BB$5:$BB$41,0)),0))</f>
        <v>11</v>
      </c>
      <c r="BK23">
        <f>IF($BJ23&gt;0,IF(INDEX($AZ$5:$AZ$41,MATCH(23,$BB$5:$BB$41,0))=10,1,0),IF($BH23=10,1,0))</f>
        <v>1</v>
      </c>
      <c r="BL23">
        <f>IF(23=$BG$4,1,0)</f>
        <v>0</v>
      </c>
    </row>
    <row r="24" spans="1:64" ht="15" customHeight="1" x14ac:dyDescent="0.25">
      <c r="A24" s="67">
        <f>IF($BJ24&gt;0,INDEX($BA$5:$BA$41,MATCH(24,$BB$5:$BB$41,0)),IF(OR($BI24=1,$BL24=1,$BH24&gt;0),"∑",""))</f>
        <v>8</v>
      </c>
      <c r="B24" s="68">
        <f>IF($BJ24&gt;0,IF(INDEX('Final Calculation Sheet'!$F$4:$F$40,$BJ24-3)="","",INDEX('Final Calculation Sheet'!$F$4:$F$40,$BJ24-3)),"")</f>
        <v>2005</v>
      </c>
      <c r="C24" s="68" t="str">
        <f>IF($BJ24&gt;0,IF(INDEX('Final Calculation Sheet'!$G$4:$G$40,$BJ24-3)="","",INDEX('Final Calculation Sheet'!$G$4:$G$40,$BJ24-3)),IF(OR($BI24=1,$BL24=1,$BH24&gt;0),IF($BI24=1,37,IF($BL24=1,37-INDEX($BD$4:$BD$13,10),INDEX($BD$4:$BD$13,$BH24)))&amp;" lot(s)",""))</f>
        <v>NATIONAL ENTERPRISES</v>
      </c>
      <c r="D24" s="69" t="str">
        <f>IF($BJ24&gt;0,IF(INDEX('Final Calculation Sheet'!$B$4:$B$40,$BJ24-3)="","",INDEX('Final Calculation Sheet'!$B$4:$B$40,$BJ24-3)),IF(OR($BI24=1,$BL24=1,$BH24&gt;0),IF($BI24=1,"GRAND TOTAL  —  matching + remaining",IF($BL24=1,"TOTAL MATCHED  —  every group together",IF($BH24=10,"REMAINING  —  did not match the search",IF($BH24=9,"ALL LOTS  —  nothing typed in the box","GROUP "&amp;$BH24&amp;" TOTAL  —  lots matching  "&amp;INDEX($AR$6:$AY$6,$BH24))))),""))</f>
        <v>Scrap of 220KV CT</v>
      </c>
      <c r="E24" s="69">
        <f>IF($BJ24&gt;0,IF(INDEX('Final Calculation Sheet'!$D$4:$D$40,$BJ24-3)="","",INDEX('Final Calculation Sheet'!$D$4:$D$40,$BJ24-3)),IF(OR($BI24=1,$BL24=1,$BH24&gt;0),"–",""))</f>
        <v>21977</v>
      </c>
      <c r="F24" s="69">
        <f>IF($BJ24&gt;0,IF(INDEX('Final Calculation Sheet'!$A$4:$A$40,$BJ24-3)="","",INDEX('Final Calculation Sheet'!$A$4:$A$40,$BJ24-3)),IF(OR($BI24=1,$BL24=1,$BH24&gt;0),IF($BI24=1,SUM('Final Calculation Sheet'!$A$4:$A$40),IF($BL24=1,SUM('Final Calculation Sheet'!$A$4:$A$40)-SUMIFS('Final Calculation Sheet'!$A$4:$A$40,$AZ$5:$AZ$41,10),SUMIFS('Final Calculation Sheet'!$A$4:$A$40,$AZ$5:$AZ$41,$BH24))),""))</f>
        <v>1</v>
      </c>
      <c r="G24" s="69" t="str">
        <f>IF($BJ24&gt;0,IF(INDEX('Final Calculation Sheet'!$E$4:$E$40,$BJ24-3)="","",INDEX('Final Calculation Sheet'!$E$4:$E$40,$BJ24-3)),IF(OR($BI24=1,$BL24=1,$BH24&gt;0),"–",""))</f>
        <v>NO</v>
      </c>
      <c r="H24" s="70">
        <f>IF($BJ24&gt;0,IF(INDEX('Final Calculation Sheet'!$C$4:$C$40,$BJ24-3)="","",INDEX('Final Calculation Sheet'!$C$4:$C$40,$BJ24-3)),IF(OR($BI24=1,$BL24=1,$BH24&gt;0),"–",""))</f>
        <v>70006</v>
      </c>
      <c r="I24" s="70">
        <f>IF($BJ24&gt;0,IF(INDEX('Final Calculation Sheet'!$H$4:$H$40,$BJ24-3)="","",INDEX('Final Calculation Sheet'!$H$4:$H$40,$BJ24-3)),IF(OR($BI24=1,$BL24=1,$BH24&gt;0),IF($BI24=1,SUM('Final Calculation Sheet'!$H$4:$H$40),IF($BL24=1,SUM('Final Calculation Sheet'!$H$4:$H$40)-SUMIFS('Final Calculation Sheet'!$H$4:$H$40,$AZ$5:$AZ$41,10),SUMIFS('Final Calculation Sheet'!$H$4:$H$40,$AZ$5:$AZ$41,$BH24))),""))</f>
        <v>70006</v>
      </c>
      <c r="J24" s="70">
        <f>IF($BJ24&gt;0,IF(INDEX('Final Calculation Sheet'!$I$4:$I$40,$BJ24-3)="","",INDEX('Final Calculation Sheet'!$I$4:$I$40,$BJ24-3)),IF(OR($BI24=1,$BL24=1,$BH24&gt;0),IF($BI24=1,SUM('Final Calculation Sheet'!$I$4:$I$40),IF($BL24=1,SUM('Final Calculation Sheet'!$I$4:$I$40)-SUMIFS('Final Calculation Sheet'!$I$4:$I$40,$AZ$5:$AZ$41,10),SUMIFS('Final Calculation Sheet'!$I$4:$I$40,$AZ$5:$AZ$41,$BH24))),""))</f>
        <v>12601</v>
      </c>
      <c r="K24" s="70">
        <f>IF($BJ24&gt;0,IF(INDEX('Final Calculation Sheet'!$J$4:$J$40,$BJ24-3)="","",INDEX('Final Calculation Sheet'!$J$4:$J$40,$BJ24-3)),IF(OR($BI24=1,$BL24=1,$BH24&gt;0),IF($BI24=1,SUM('Final Calculation Sheet'!$J$4:$J$40),IF($BL24=1,SUM('Final Calculation Sheet'!$J$4:$J$40)-SUMIFS('Final Calculation Sheet'!$J$4:$J$40,$AZ$5:$AZ$41,10),SUMIFS('Final Calculation Sheet'!$J$4:$J$40,$AZ$5:$AZ$41,$BH24))),""))</f>
        <v>82607</v>
      </c>
      <c r="L24" s="70">
        <f>IF($BJ24&gt;0,IF(INDEX('Final Calculation Sheet'!$K$4:$K$40,$BJ24-3)="","",INDEX('Final Calculation Sheet'!$K$4:$K$40,$BJ24-3)),IF(OR($BI24=1,$BL24=1,$BH24&gt;0),IF($BI24=1,SUM('Final Calculation Sheet'!$K$4:$K$40),IF($BL24=1,SUM('Final Calculation Sheet'!$K$4:$K$40)-SUMIFS('Final Calculation Sheet'!$K$4:$K$40,$AZ$5:$AZ$41,10),SUMIFS('Final Calculation Sheet'!$K$4:$K$40,$AZ$5:$AZ$41,$BH24))),""))</f>
        <v>1652</v>
      </c>
      <c r="M24" s="70">
        <f>IF($BJ24&gt;0,IF(INDEX('Final Calculation Sheet'!$L$4:$L$40,$BJ24-3)="","",INDEX('Final Calculation Sheet'!$L$4:$L$40,$BJ24-3)),IF(OR($BI24=1,$BL24=1,$BH24&gt;0),IF($BI24=1,SUM('Final Calculation Sheet'!$L$4:$L$40),IF($BL24=1,SUM('Final Calculation Sheet'!$L$4:$L$40)-SUMIFS('Final Calculation Sheet'!$L$4:$L$40,$AZ$5:$AZ$41,10),SUMIFS('Final Calculation Sheet'!$L$4:$L$40,$AZ$5:$AZ$41,$BH24))),""))</f>
        <v>70.006</v>
      </c>
      <c r="N24" s="70">
        <f>IF($BJ24&gt;0,IF(INDEX('Final Calculation Sheet'!$M$4:$M$40,$BJ24-3)="","",INDEX('Final Calculation Sheet'!$M$4:$M$40,$BJ24-3)),IF(OR($BI24=1,$BL24=1,$BH24&gt;0),IF($BI24=1,SUM('Final Calculation Sheet'!$M$4:$M$40),IF($BL24=1,SUM('Final Calculation Sheet'!$M$4:$M$40)-SUMIFS('Final Calculation Sheet'!$M$4:$M$40,$AZ$5:$AZ$41,10),SUMIFS('Final Calculation Sheet'!$M$4:$M$40,$AZ$5:$AZ$41,$BH24))),""))</f>
        <v>1858.6592999999998</v>
      </c>
      <c r="O24" s="71">
        <f>IF($BJ24&gt;0,IF(INDEX('Final Calculation Sheet'!$N$4:$N$40,$BJ24-3)="","",INDEX('Final Calculation Sheet'!$N$4:$N$40,$BJ24-3)),IF(OR($BI24=1,$BL24=1,$BH24&gt;0),IF($BI24=1,SUM('Final Calculation Sheet'!$N$4:$N$40),IF($BL24=1,SUM('Final Calculation Sheet'!$N$4:$N$40)-SUMIFS('Final Calculation Sheet'!$N$4:$N$40,$AZ$5:$AZ$41,10),SUMIFS('Final Calculation Sheet'!$N$4:$N$40,$AZ$5:$AZ$41,$BH24))),""))</f>
        <v>31.502700000000001</v>
      </c>
      <c r="P24" s="70">
        <f>IF($BJ24&gt;0,IF(INDEX('Final Calculation Sheet'!$O$4:$O$40,$BJ24-3)="","",INDEX('Final Calculation Sheet'!$O$4:$O$40,$BJ24-3)),IF(OR($BI24=1,$BL24=1,$BH24&gt;0),IF($BI24=1,SUM('Final Calculation Sheet'!$O$4:$O$40),IF($BL24=1,SUM('Final Calculation Sheet'!$O$4:$O$40)-SUMIFS('Final Calculation Sheet'!$O$4:$O$40,$AZ$5:$AZ$41,10),SUMIFS('Final Calculation Sheet'!$O$4:$O$40,$AZ$5:$AZ$41,$BH24))),""))</f>
        <v>1827.1565999999998</v>
      </c>
      <c r="Q24" s="70">
        <f>IF($BJ24&gt;0,IF(INDEX('Final Calculation Sheet'!$P$4:$P$40,$BJ24-3)="","",INDEX('Final Calculation Sheet'!$P$4:$P$40,$BJ24-3)),IF(OR($BI24=1,$BL24=1,$BH24&gt;0),IF($BI24=1,SUM('Final Calculation Sheet'!$P$4:$P$40),IF($BL24=1,SUM('Final Calculation Sheet'!$P$4:$P$40)-SUMIFS('Final Calculation Sheet'!$P$4:$P$40,$AZ$5:$AZ$41,10),SUMIFS('Final Calculation Sheet'!$P$4:$P$40,$AZ$5:$AZ$41,$BH24))),""))</f>
        <v>1897</v>
      </c>
      <c r="R24" s="72">
        <f>IF($BJ24&gt;0,IF(INDEX('Final Calculation Sheet'!$Q$4:$Q$40,$BJ24-3)="","",INDEX('Final Calculation Sheet'!$Q$4:$Q$40,$BJ24-3)),IF(OR($BI24=1,$BL24=1,$BH24&gt;0),"–",""))</f>
        <v>0</v>
      </c>
      <c r="S24" s="70">
        <f>IF($BJ24&gt;0,IF(INDEX('Final Calculation Sheet'!$R$4:$R$40,$BJ24-3)="","",INDEX('Final Calculation Sheet'!$R$4:$R$40,$BJ24-3)),IF(OR($BI24=1,$BL24=1,$BH24&gt;0),IF($BI24=1,SUM('Final Calculation Sheet'!$R$4:$R$40),IF($BL24=1,SUM('Final Calculation Sheet'!$R$4:$R$40)-SUMIFS('Final Calculation Sheet'!$R$4:$R$40,$AZ$5:$AZ$41,10),SUMIFS('Final Calculation Sheet'!$R$4:$R$40,$AZ$5:$AZ$41,$BH24))),""))</f>
        <v>0</v>
      </c>
      <c r="T24" s="70">
        <f>IF($BJ24&gt;0,IF(INDEX('Final Calculation Sheet'!$S$4:$S$40,$BJ24-3)="","",INDEX('Final Calculation Sheet'!$S$4:$S$40,$BJ24-3)),IF(OR($BI24=1,$BL24=1,$BH24&gt;0),IF($BI24=1,SUM('Final Calculation Sheet'!$S$4:$S$40),IF($BL24=1,SUM('Final Calculation Sheet'!$S$4:$S$40)-SUMIFS('Final Calculation Sheet'!$S$4:$S$40,$AZ$5:$AZ$41,10),SUMIFS('Final Calculation Sheet'!$S$4:$S$40,$AZ$5:$AZ$41,$BH24))),""))</f>
        <v>82362</v>
      </c>
      <c r="U24" s="70">
        <f>IF($BJ24&gt;0,IF(INDEX('Final Calculation Sheet'!$T$4:$T$40,$BJ24-3)="","",INDEX('Final Calculation Sheet'!$T$4:$T$40,$BJ24-3)),IF(OR($BI24=1,$BL24=1,$BH24&gt;0),IF($BI24=1,SUM('Final Calculation Sheet'!$T$4:$T$40),IF($BL24=1,SUM('Final Calculation Sheet'!$T$4:$T$40)-SUMIFS('Final Calculation Sheet'!$T$4:$T$40,$AZ$5:$AZ$41,10),SUMIFS('Final Calculation Sheet'!$T$4:$T$40,$AZ$5:$AZ$41,$BH24))),""))</f>
        <v>17502</v>
      </c>
      <c r="V24" s="73">
        <f>IF($BJ24&gt;0,IF(INDEX('Final Calculation Sheet'!$U$4:$U$40,$BJ24-3)="","",INDEX('Final Calculation Sheet'!$U$4:$U$40,$BJ24-3)),IF(OR($BI24=1,$BL24=1,$BH24&gt;0),IF($BI24=1,SUM('Final Calculation Sheet'!$U$4:$U$40),IF($BL24=1,SUM('Final Calculation Sheet'!$U$4:$U$40)-SUMIFS('Final Calculation Sheet'!$U$4:$U$40,$AZ$5:$AZ$41,10),SUMIFS('Final Calculation Sheet'!$U$4:$U$40,$AZ$5:$AZ$41,$BH24))),""))</f>
        <v>17502</v>
      </c>
      <c r="W24" s="70" t="str">
        <f>IF($BJ24&gt;0,IF(INDEX('Final Calculation Sheet'!$V$4:$V$40,$BJ24-3)="","",INDEX('Final Calculation Sheet'!$V$4:$V$40,$BJ24-3)),IF(OR($BI24=1,$BL24=1,$BH24&gt;0),"–",""))</f>
        <v>13.08.2026</v>
      </c>
      <c r="X24" s="70">
        <f>IF($BJ24&gt;0,IF(INDEX('Final Calculation Sheet'!$W$4:$W$40,$BJ24-3)="","",INDEX('Final Calculation Sheet'!$W$4:$W$40,$BJ24-3)),IF(OR($BI24=1,$BL24=1,$BH24&gt;0),IF($BI24=1,SUM('Final Calculation Sheet'!$W$4:$W$40),IF($BL24=1,SUM('Final Calculation Sheet'!$W$4:$W$40)-SUMIFS('Final Calculation Sheet'!$W$4:$W$40,$AZ$5:$AZ$41,10),SUMIFS('Final Calculation Sheet'!$W$4:$W$40,$AZ$5:$AZ$41,$BH24))),""))</f>
        <v>64861</v>
      </c>
      <c r="Y24" s="70">
        <f>IF($BJ24&gt;0,IF(INDEX('Final Calculation Sheet'!$X$4:$X$40,$BJ24-3)="","",INDEX('Final Calculation Sheet'!$X$4:$X$40,$BJ24-3)),IF(OR($BI24=1,$BL24=1,$BH24&gt;0),IF($BI24=1,SUM('Final Calculation Sheet'!$X$4:$X$40),IF($BL24=1,SUM('Final Calculation Sheet'!$X$4:$X$40)-SUMIFS('Final Calculation Sheet'!$X$4:$X$40,$AZ$5:$AZ$41,10),SUMIFS('Final Calculation Sheet'!$X$4:$X$40,$AZ$5:$AZ$41,$BH24))),""))</f>
        <v>64859</v>
      </c>
      <c r="Z24" s="70" t="str">
        <f>IF($BJ24&gt;0,IF(INDEX('Final Calculation Sheet'!$Y$4:$Y$40,$BJ24-3)="","",INDEX('Final Calculation Sheet'!$Y$4:$Y$40,$BJ24-3)),IF(OR($BI24=1,$BL24=1,$BH24&gt;0),"–",""))</f>
        <v>24.08.2026</v>
      </c>
      <c r="AA24" s="70">
        <f ca="1">IF($BJ24&gt;0,IF(INDEX('Final Calculation Sheet'!$Z$4:$Z$40,$BJ24-3)="","",INDEX('Final Calculation Sheet'!$Z$4:$Z$40,$BJ24-3)),IF(OR($BI24=1,$BL24=1,$BH24&gt;0),IF($BI24=1,SUM('Final Calculation Sheet'!$Z$4:$Z$40),IF($BL24=1,SUM('Final Calculation Sheet'!$Z$4:$Z$40)-SUMIFS('Final Calculation Sheet'!$Z$4:$Z$40,$AZ$5:$AZ$41,10),SUMIFS('Final Calculation Sheet'!$Z$4:$Z$40,$AZ$5:$AZ$41,$BH24))),""))</f>
        <v>0</v>
      </c>
      <c r="AB24" s="70" t="str">
        <f>IF($BJ24&gt;0,IF(INDEX('Final Calculation Sheet'!$AA$4:$AA$40,$BJ24-3)="","",INDEX('Final Calculation Sheet'!$AA$4:$AA$40,$BJ24-3)),IF(OR($BI24=1,$BL24=1,$BH24&gt;0),IF($BI24=1,SUM('Final Calculation Sheet'!$AA$4:$AA$40),IF($BL24=1,SUM('Final Calculation Sheet'!$AA$4:$AA$40)-SUMIFS('Final Calculation Sheet'!$AA$4:$AA$40,$AZ$5:$AZ$41,10),SUMIFS('Final Calculation Sheet'!$AA$4:$AA$40,$AZ$5:$AZ$41,$BH24))),""))</f>
        <v/>
      </c>
      <c r="AC24" s="70" t="str">
        <f>IF($BJ24&gt;0,IF(INDEX('Final Calculation Sheet'!$AB$4:$AB$40,$BJ24-3)="","",INDEX('Final Calculation Sheet'!$AB$4:$AB$40,$BJ24-3)),IF(OR($BI24=1,$BL24=1,$BH24&gt;0),"–",""))</f>
        <v/>
      </c>
      <c r="AD24" s="70">
        <f>IF($BJ24&gt;0,IF(INDEX('Final Calculation Sheet'!$AC$4:$AC$40,$BJ24-3)="","",INDEX('Final Calculation Sheet'!$AC$4:$AC$40,$BJ24-3)),IF(OR($BI24=1,$BL24=1,$BH24&gt;0),IF($BI24=1,SUM('Final Calculation Sheet'!$AC$4:$AC$40),IF($BL24=1,SUM('Final Calculation Sheet'!$AC$4:$AC$40)-SUMIFS('Final Calculation Sheet'!$AC$4:$AC$40,$AZ$5:$AZ$41,10),SUMIFS('Final Calculation Sheet'!$AC$4:$AC$40,$AZ$5:$AZ$41,$BH24))),""))</f>
        <v>82361</v>
      </c>
      <c r="AE24" s="70">
        <f>IF($BJ24&gt;0,IF(INDEX('Final Calculation Sheet'!$AD$4:$AD$40,$BJ24-3)="","",INDEX('Final Calculation Sheet'!$AD$4:$AD$40,$BJ24-3)),IF(OR($BI24=1,$BL24=1,$BH24&gt;0),IF($BI24=1,SUM('Final Calculation Sheet'!$AD$4:$AD$40),IF($BL24=1,SUM('Final Calculation Sheet'!$AD$4:$AD$40)-SUMIFS('Final Calculation Sheet'!$AD$4:$AD$40,$AZ$5:$AZ$41,10),SUMIFS('Final Calculation Sheet'!$AD$4:$AD$40,$AZ$5:$AZ$41,$BH24))),""))</f>
        <v>1</v>
      </c>
      <c r="AF24" s="70" t="str">
        <f>IF($BJ24&gt;0,IF(INDEX('Final Calculation Sheet'!$AE$4:$AE$40,$BJ24-3)="","",INDEX('Final Calculation Sheet'!$AE$4:$AE$40,$BJ24-3)),IF(OR($BI24=1,$BL24=1,$BH24&gt;0),"–",""))</f>
        <v>DR2640100033</v>
      </c>
      <c r="AG24" s="74">
        <f>IF($BJ24&gt;0,IF(INDEX('Final Calculation Sheet'!$AF$4:$AF$40,$BJ24-3)="","",INDEX('Final Calculation Sheet'!$AF$4:$AF$40,$BJ24-3)),IF(OR($BI24=1,$BL24=1,$BH24&gt;0),"–",""))</f>
        <v>1800003305</v>
      </c>
      <c r="AH24" s="70" t="str">
        <f>IF($BJ24&gt;0,IF(INDEX('Final Calculation Sheet'!$AG$4:$AG$40,$BJ24-3)="","",INDEX('Final Calculation Sheet'!$AG$4:$AG$40,$BJ24-3)),IF(OR($BI24=1,$BL24=1,$BH24&gt;0),"–",""))</f>
        <v>27.08.2026</v>
      </c>
      <c r="AI24" s="75" t="str">
        <f>IF($BJ24&gt;0,IF(INDEX('Final Calculation Sheet'!$AD$4:$AD$40,$BJ24-3)="","",IF(INDEX('Final Calculation Sheet'!$AD$4:$AD$40,$BJ24-3)&lt;=0,"SETTLED","OUTSTANDING")),IF(OR($BI24=1,$BL24=1,$BH24&gt;0),IF(IF($BI24=1,SUM('Final Calculation Sheet'!$AD$4:$AD$40),IF($BL24=1,SUM('Final Calculation Sheet'!$AD$4:$AD$40)-SUMIFS('Final Calculation Sheet'!$AD$4:$AD$40,$AZ$5:$AZ$41,10),SUMIFS('Final Calculation Sheet'!$AD$4:$AD$40,$AZ$5:$AZ$41,$BH24)))&lt;=0,"ALL SETTLED","OUTSTANDING"),""))</f>
        <v>OUTSTANDING</v>
      </c>
      <c r="AK24" t="str">
        <f>IF($F$3="Lot No.",'Final Calculation Sheet'!$F$23,IF($F$3="Buyer",'Final Calculation Sheet'!$G$23,IF($F$3="Lot Name",'Final Calculation Sheet'!$B$23,IF($F$3="Bid Sheet",'Final Calculation Sheet'!$D$23,IF($F$3="Unit",'Final Calculation Sheet'!$E$23,'Final Calculation Sheet'!$F$23&amp;" "&amp;'Final Calculation Sheet'!$G$23&amp;" "&amp;'Final Calculation Sheet'!$B$23)))))</f>
        <v>2025 STERLING ENTERPRISES Scrap of empty oil Barrels</v>
      </c>
      <c r="AM24">
        <f t="shared" si="1"/>
        <v>1</v>
      </c>
      <c r="AZ24">
        <f t="shared" si="2"/>
        <v>2</v>
      </c>
      <c r="BA24">
        <f t="shared" si="3"/>
        <v>3</v>
      </c>
      <c r="BB24">
        <f t="shared" si="4"/>
        <v>12</v>
      </c>
      <c r="BC24">
        <v>23</v>
      </c>
      <c r="BH24">
        <f>IFERROR(MATCH(24,$BF$4:$BF$13,0),0)</f>
        <v>0</v>
      </c>
      <c r="BI24">
        <f>IF(24=$BG$5,1,0)</f>
        <v>0</v>
      </c>
      <c r="BJ24">
        <f>IF(OR($BH24&gt;0,$BI24=1,$BL24=1),0,IFERROR(INDEX($BC$5:$BC$41,MATCH(24,$BB$5:$BB$41,0)),0))</f>
        <v>12</v>
      </c>
      <c r="BK24">
        <f>IF($BJ24&gt;0,IF(INDEX($AZ$5:$AZ$41,MATCH(24,$BB$5:$BB$41,0))=10,1,0),IF($BH24=10,1,0))</f>
        <v>1</v>
      </c>
      <c r="BL24">
        <f>IF(24=$BG$4,1,0)</f>
        <v>0</v>
      </c>
    </row>
    <row r="25" spans="1:64" ht="15" customHeight="1" x14ac:dyDescent="0.25">
      <c r="A25" s="67">
        <f>IF($BJ25&gt;0,INDEX($BA$5:$BA$41,MATCH(25,$BB$5:$BB$41,0)),IF(OR($BI25=1,$BL25=1,$BH25&gt;0),"∑",""))</f>
        <v>9</v>
      </c>
      <c r="B25" s="68">
        <f>IF($BJ25&gt;0,IF(INDEX('Final Calculation Sheet'!$F$4:$F$40,$BJ25-3)="","",INDEX('Final Calculation Sheet'!$F$4:$F$40,$BJ25-3)),"")</f>
        <v>2007</v>
      </c>
      <c r="C25" s="68" t="str">
        <f>IF($BJ25&gt;0,IF(INDEX('Final Calculation Sheet'!$G$4:$G$40,$BJ25-3)="","",INDEX('Final Calculation Sheet'!$G$4:$G$40,$BJ25-3)),IF(OR($BI25=1,$BL25=1,$BH25&gt;0),IF($BI25=1,37,IF($BL25=1,37-INDEX($BD$4:$BD$13,10),INDEX($BD$4:$BD$13,$BH25)))&amp;" lot(s)",""))</f>
        <v>SHAR JAHAN TRADERS</v>
      </c>
      <c r="D25" s="69" t="str">
        <f>IF($BJ25&gt;0,IF(INDEX('Final Calculation Sheet'!$B$4:$B$40,$BJ25-3)="","",INDEX('Final Calculation Sheet'!$B$4:$B$40,$BJ25-3)),IF(OR($BI25=1,$BL25=1,$BH25&gt;0),IF($BI25=1,"GRAND TOTAL  —  matching + remaining",IF($BL25=1,"TOTAL MATCHED  —  every group together",IF($BH25=10,"REMAINING  —  did not match the search",IF($BH25=9,"ALL LOTS  —  nothing typed in the box","GROUP "&amp;$BH25&amp;" TOTAL  —  lots matching  "&amp;INDEX($AR$6:$AY$6,$BH25))))),""))</f>
        <v>SCRAP POWER TRANSFORMER</v>
      </c>
      <c r="E25" s="69">
        <f>IF($BJ25&gt;0,IF(INDEX('Final Calculation Sheet'!$D$4:$D$40,$BJ25-3)="","",INDEX('Final Calculation Sheet'!$D$4:$D$40,$BJ25-3)),IF(OR($BI25=1,$BL25=1,$BH25&gt;0),"–",""))</f>
        <v>21977</v>
      </c>
      <c r="F25" s="69">
        <f>IF($BJ25&gt;0,IF(INDEX('Final Calculation Sheet'!$A$4:$A$40,$BJ25-3)="","",INDEX('Final Calculation Sheet'!$A$4:$A$40,$BJ25-3)),IF(OR($BI25=1,$BL25=1,$BH25&gt;0),IF($BI25=1,SUM('Final Calculation Sheet'!$A$4:$A$40),IF($BL25=1,SUM('Final Calculation Sheet'!$A$4:$A$40)-SUMIFS('Final Calculation Sheet'!$A$4:$A$40,$AZ$5:$AZ$41,10),SUMIFS('Final Calculation Sheet'!$A$4:$A$40,$AZ$5:$AZ$41,$BH25))),""))</f>
        <v>1</v>
      </c>
      <c r="G25" s="69" t="str">
        <f>IF($BJ25&gt;0,IF(INDEX('Final Calculation Sheet'!$E$4:$E$40,$BJ25-3)="","",INDEX('Final Calculation Sheet'!$E$4:$E$40,$BJ25-3)),IF(OR($BI25=1,$BL25=1,$BH25&gt;0),"–",""))</f>
        <v>NO</v>
      </c>
      <c r="H25" s="70">
        <f>IF($BJ25&gt;0,IF(INDEX('Final Calculation Sheet'!$C$4:$C$40,$BJ25-3)="","",INDEX('Final Calculation Sheet'!$C$4:$C$40,$BJ25-3)),IF(OR($BI25=1,$BL25=1,$BH25&gt;0),"–",""))</f>
        <v>3857116</v>
      </c>
      <c r="I25" s="70">
        <f>IF($BJ25&gt;0,IF(INDEX('Final Calculation Sheet'!$H$4:$H$40,$BJ25-3)="","",INDEX('Final Calculation Sheet'!$H$4:$H$40,$BJ25-3)),IF(OR($BI25=1,$BL25=1,$BH25&gt;0),IF($BI25=1,SUM('Final Calculation Sheet'!$H$4:$H$40),IF($BL25=1,SUM('Final Calculation Sheet'!$H$4:$H$40)-SUMIFS('Final Calculation Sheet'!$H$4:$H$40,$AZ$5:$AZ$41,10),SUMIFS('Final Calculation Sheet'!$H$4:$H$40,$AZ$5:$AZ$41,$BH25))),""))</f>
        <v>3857116</v>
      </c>
      <c r="J25" s="70">
        <f>IF($BJ25&gt;0,IF(INDEX('Final Calculation Sheet'!$I$4:$I$40,$BJ25-3)="","",INDEX('Final Calculation Sheet'!$I$4:$I$40,$BJ25-3)),IF(OR($BI25=1,$BL25=1,$BH25&gt;0),IF($BI25=1,SUM('Final Calculation Sheet'!$I$4:$I$40),IF($BL25=1,SUM('Final Calculation Sheet'!$I$4:$I$40)-SUMIFS('Final Calculation Sheet'!$I$4:$I$40,$AZ$5:$AZ$41,10),SUMIFS('Final Calculation Sheet'!$I$4:$I$40,$AZ$5:$AZ$41,$BH25))),""))</f>
        <v>694281</v>
      </c>
      <c r="K25" s="70">
        <f>IF($BJ25&gt;0,IF(INDEX('Final Calculation Sheet'!$J$4:$J$40,$BJ25-3)="","",INDEX('Final Calculation Sheet'!$J$4:$J$40,$BJ25-3)),IF(OR($BI25=1,$BL25=1,$BH25&gt;0),IF($BI25=1,SUM('Final Calculation Sheet'!$J$4:$J$40),IF($BL25=1,SUM('Final Calculation Sheet'!$J$4:$J$40)-SUMIFS('Final Calculation Sheet'!$J$4:$J$40,$AZ$5:$AZ$41,10),SUMIFS('Final Calculation Sheet'!$J$4:$J$40,$AZ$5:$AZ$41,$BH25))),""))</f>
        <v>4551397</v>
      </c>
      <c r="L25" s="70">
        <f>IF($BJ25&gt;0,IF(INDEX('Final Calculation Sheet'!$K$4:$K$40,$BJ25-3)="","",INDEX('Final Calculation Sheet'!$K$4:$K$40,$BJ25-3)),IF(OR($BI25=1,$BL25=1,$BH25&gt;0),IF($BI25=1,SUM('Final Calculation Sheet'!$K$4:$K$40),IF($BL25=1,SUM('Final Calculation Sheet'!$K$4:$K$40)-SUMIFS('Final Calculation Sheet'!$K$4:$K$40,$AZ$5:$AZ$41,10),SUMIFS('Final Calculation Sheet'!$K$4:$K$40,$AZ$5:$AZ$41,$BH25))),""))</f>
        <v>91028</v>
      </c>
      <c r="M25" s="70">
        <f>IF($BJ25&gt;0,IF(INDEX('Final Calculation Sheet'!$L$4:$L$40,$BJ25-3)="","",INDEX('Final Calculation Sheet'!$L$4:$L$40,$BJ25-3)),IF(OR($BI25=1,$BL25=1,$BH25&gt;0),IF($BI25=1,SUM('Final Calculation Sheet'!$L$4:$L$40),IF($BL25=1,SUM('Final Calculation Sheet'!$L$4:$L$40)-SUMIFS('Final Calculation Sheet'!$L$4:$L$40,$AZ$5:$AZ$41,10),SUMIFS('Final Calculation Sheet'!$L$4:$L$40,$AZ$5:$AZ$41,$BH25))),""))</f>
        <v>3857.116</v>
      </c>
      <c r="N25" s="70">
        <f>IF($BJ25&gt;0,IF(INDEX('Final Calculation Sheet'!$M$4:$M$40,$BJ25-3)="","",INDEX('Final Calculation Sheet'!$M$4:$M$40,$BJ25-3)),IF(OR($BI25=1,$BL25=1,$BH25&gt;0),IF($BI25=1,SUM('Final Calculation Sheet'!$M$4:$M$40),IF($BL25=1,SUM('Final Calculation Sheet'!$M$4:$M$40)-SUMIFS('Final Calculation Sheet'!$M$4:$M$40,$AZ$5:$AZ$41,10),SUMIFS('Final Calculation Sheet'!$M$4:$M$40,$AZ$5:$AZ$41,$BH25))),""))</f>
        <v>102406.4298</v>
      </c>
      <c r="O25" s="71">
        <f>IF($BJ25&gt;0,IF(INDEX('Final Calculation Sheet'!$N$4:$N$40,$BJ25-3)="","",INDEX('Final Calculation Sheet'!$N$4:$N$40,$BJ25-3)),IF(OR($BI25=1,$BL25=1,$BH25&gt;0),IF($BI25=1,SUM('Final Calculation Sheet'!$N$4:$N$40),IF($BL25=1,SUM('Final Calculation Sheet'!$N$4:$N$40)-SUMIFS('Final Calculation Sheet'!$N$4:$N$40,$AZ$5:$AZ$41,10),SUMIFS('Final Calculation Sheet'!$N$4:$N$40,$AZ$5:$AZ$41,$BH25))),""))</f>
        <v>1735.7021999999999</v>
      </c>
      <c r="P25" s="70">
        <f>IF($BJ25&gt;0,IF(INDEX('Final Calculation Sheet'!$O$4:$O$40,$BJ25-3)="","",INDEX('Final Calculation Sheet'!$O$4:$O$40,$BJ25-3)),IF(OR($BI25=1,$BL25=1,$BH25&gt;0),IF($BI25=1,SUM('Final Calculation Sheet'!$O$4:$O$40),IF($BL25=1,SUM('Final Calculation Sheet'!$O$4:$O$40)-SUMIFS('Final Calculation Sheet'!$O$4:$O$40,$AZ$5:$AZ$41,10),SUMIFS('Final Calculation Sheet'!$O$4:$O$40,$AZ$5:$AZ$41,$BH25))),""))</f>
        <v>100670.7276</v>
      </c>
      <c r="Q25" s="70">
        <f>IF($BJ25&gt;0,IF(INDEX('Final Calculation Sheet'!$P$4:$P$40,$BJ25-3)="","",INDEX('Final Calculation Sheet'!$P$4:$P$40,$BJ25-3)),IF(OR($BI25=1,$BL25=1,$BH25&gt;0),IF($BI25=1,SUM('Final Calculation Sheet'!$P$4:$P$40),IF($BL25=1,SUM('Final Calculation Sheet'!$P$4:$P$40)-SUMIFS('Final Calculation Sheet'!$P$4:$P$40,$AZ$5:$AZ$41,10),SUMIFS('Final Calculation Sheet'!$P$4:$P$40,$AZ$5:$AZ$41,$BH25))),""))</f>
        <v>104528</v>
      </c>
      <c r="R25" s="72">
        <f>IF($BJ25&gt;0,IF(INDEX('Final Calculation Sheet'!$Q$4:$Q$40,$BJ25-3)="","",INDEX('Final Calculation Sheet'!$Q$4:$Q$40,$BJ25-3)),IF(OR($BI25=1,$BL25=1,$BH25&gt;0),"–",""))</f>
        <v>0</v>
      </c>
      <c r="S25" s="70">
        <f>IF($BJ25&gt;0,IF(INDEX('Final Calculation Sheet'!$R$4:$R$40,$BJ25-3)="","",INDEX('Final Calculation Sheet'!$R$4:$R$40,$BJ25-3)),IF(OR($BI25=1,$BL25=1,$BH25&gt;0),IF($BI25=1,SUM('Final Calculation Sheet'!$R$4:$R$40),IF($BL25=1,SUM('Final Calculation Sheet'!$R$4:$R$40)-SUMIFS('Final Calculation Sheet'!$R$4:$R$40,$AZ$5:$AZ$41,10),SUMIFS('Final Calculation Sheet'!$R$4:$R$40,$AZ$5:$AZ$41,$BH25))),""))</f>
        <v>0</v>
      </c>
      <c r="T25" s="70">
        <f>IF($BJ25&gt;0,IF(INDEX('Final Calculation Sheet'!$S$4:$S$40,$BJ25-3)="","",INDEX('Final Calculation Sheet'!$S$4:$S$40,$BJ25-3)),IF(OR($BI25=1,$BL25=1,$BH25&gt;0),IF($BI25=1,SUM('Final Calculation Sheet'!$S$4:$S$40),IF($BL25=1,SUM('Final Calculation Sheet'!$S$4:$S$40)-SUMIFS('Final Calculation Sheet'!$S$4:$S$40,$AZ$5:$AZ$41,10),SUMIFS('Final Calculation Sheet'!$S$4:$S$40,$AZ$5:$AZ$41,$BH25))),""))</f>
        <v>4537897</v>
      </c>
      <c r="U25" s="70">
        <f>IF($BJ25&gt;0,IF(INDEX('Final Calculation Sheet'!$T$4:$T$40,$BJ25-3)="","",INDEX('Final Calculation Sheet'!$T$4:$T$40,$BJ25-3)),IF(OR($BI25=1,$BL25=1,$BH25&gt;0),IF($BI25=1,SUM('Final Calculation Sheet'!$T$4:$T$40),IF($BL25=1,SUM('Final Calculation Sheet'!$T$4:$T$40)-SUMIFS('Final Calculation Sheet'!$T$4:$T$40,$AZ$5:$AZ$41,10),SUMIFS('Final Calculation Sheet'!$T$4:$T$40,$AZ$5:$AZ$41,$BH25))),""))</f>
        <v>964279</v>
      </c>
      <c r="V25" s="73">
        <f>IF($BJ25&gt;0,IF(INDEX('Final Calculation Sheet'!$U$4:$U$40,$BJ25-3)="","",INDEX('Final Calculation Sheet'!$U$4:$U$40,$BJ25-3)),IF(OR($BI25=1,$BL25=1,$BH25&gt;0),IF($BI25=1,SUM('Final Calculation Sheet'!$U$4:$U$40),IF($BL25=1,SUM('Final Calculation Sheet'!$U$4:$U$40)-SUMIFS('Final Calculation Sheet'!$U$4:$U$40,$AZ$5:$AZ$41,10),SUMIFS('Final Calculation Sheet'!$U$4:$U$40,$AZ$5:$AZ$41,$BH25))),""))</f>
        <v>964279</v>
      </c>
      <c r="W25" s="70" t="str">
        <f>IF($BJ25&gt;0,IF(INDEX('Final Calculation Sheet'!$V$4:$V$40,$BJ25-3)="","",INDEX('Final Calculation Sheet'!$V$4:$V$40,$BJ25-3)),IF(OR($BI25=1,$BL25=1,$BH25&gt;0),"–",""))</f>
        <v>13.08.2026</v>
      </c>
      <c r="X25" s="70">
        <f>IF($BJ25&gt;0,IF(INDEX('Final Calculation Sheet'!$W$4:$W$40,$BJ25-3)="","",INDEX('Final Calculation Sheet'!$W$4:$W$40,$BJ25-3)),IF(OR($BI25=1,$BL25=1,$BH25&gt;0),IF($BI25=1,SUM('Final Calculation Sheet'!$W$4:$W$40),IF($BL25=1,SUM('Final Calculation Sheet'!$W$4:$W$40)-SUMIFS('Final Calculation Sheet'!$W$4:$W$40,$AZ$5:$AZ$41,10),SUMIFS('Final Calculation Sheet'!$W$4:$W$40,$AZ$5:$AZ$41,$BH25))),""))</f>
        <v>3573618</v>
      </c>
      <c r="Y25" s="70">
        <f>IF($BJ25&gt;0,IF(INDEX('Final Calculation Sheet'!$X$4:$X$40,$BJ25-3)="","",INDEX('Final Calculation Sheet'!$X$4:$X$40,$BJ25-3)),IF(OR($BI25=1,$BL25=1,$BH25&gt;0),IF($BI25=1,SUM('Final Calculation Sheet'!$X$4:$X$40),IF($BL25=1,SUM('Final Calculation Sheet'!$X$4:$X$40)-SUMIFS('Final Calculation Sheet'!$X$4:$X$40,$AZ$5:$AZ$41,10),SUMIFS('Final Calculation Sheet'!$X$4:$X$40,$AZ$5:$AZ$41,$BH25))),""))</f>
        <v>3573618.9057083898</v>
      </c>
      <c r="Z25" s="70" t="str">
        <f>IF($BJ25&gt;0,IF(INDEX('Final Calculation Sheet'!$Y$4:$Y$40,$BJ25-3)="","",INDEX('Final Calculation Sheet'!$Y$4:$Y$40,$BJ25-3)),IF(OR($BI25=1,$BL25=1,$BH25&gt;0),"–",""))</f>
        <v>13.08.2026</v>
      </c>
      <c r="AA25" s="70">
        <f ca="1">IF($BJ25&gt;0,IF(INDEX('Final Calculation Sheet'!$Z$4:$Z$40,$BJ25-3)="","",INDEX('Final Calculation Sheet'!$Z$4:$Z$40,$BJ25-3)),IF(OR($BI25=1,$BL25=1,$BH25&gt;0),IF($BI25=1,SUM('Final Calculation Sheet'!$Z$4:$Z$40),IF($BL25=1,SUM('Final Calculation Sheet'!$Z$4:$Z$40)-SUMIFS('Final Calculation Sheet'!$Z$4:$Z$40,$AZ$5:$AZ$41,10),SUMIFS('Final Calculation Sheet'!$Z$4:$Z$40,$AZ$5:$AZ$41,$BH25))),""))</f>
        <v>0</v>
      </c>
      <c r="AB25" s="70" t="str">
        <f>IF($BJ25&gt;0,IF(INDEX('Final Calculation Sheet'!$AA$4:$AA$40,$BJ25-3)="","",INDEX('Final Calculation Sheet'!$AA$4:$AA$40,$BJ25-3)),IF(OR($BI25=1,$BL25=1,$BH25&gt;0),IF($BI25=1,SUM('Final Calculation Sheet'!$AA$4:$AA$40),IF($BL25=1,SUM('Final Calculation Sheet'!$AA$4:$AA$40)-SUMIFS('Final Calculation Sheet'!$AA$4:$AA$40,$AZ$5:$AZ$41,10),SUMIFS('Final Calculation Sheet'!$AA$4:$AA$40,$AZ$5:$AZ$41,$BH25))),""))</f>
        <v/>
      </c>
      <c r="AC25" s="70" t="str">
        <f>IF($BJ25&gt;0,IF(INDEX('Final Calculation Sheet'!$AB$4:$AB$40,$BJ25-3)="","",INDEX('Final Calculation Sheet'!$AB$4:$AB$40,$BJ25-3)),IF(OR($BI25=1,$BL25=1,$BH25&gt;0),"–",""))</f>
        <v/>
      </c>
      <c r="AD25" s="70">
        <f>IF($BJ25&gt;0,IF(INDEX('Final Calculation Sheet'!$AC$4:$AC$40,$BJ25-3)="","",INDEX('Final Calculation Sheet'!$AC$4:$AC$40,$BJ25-3)),IF(OR($BI25=1,$BL25=1,$BH25&gt;0),IF($BI25=1,SUM('Final Calculation Sheet'!$AC$4:$AC$40),IF($BL25=1,SUM('Final Calculation Sheet'!$AC$4:$AC$40)-SUMIFS('Final Calculation Sheet'!$AC$4:$AC$40,$AZ$5:$AZ$41,10),SUMIFS('Final Calculation Sheet'!$AC$4:$AC$40,$AZ$5:$AZ$41,$BH25))),""))</f>
        <v>4537897.9057083894</v>
      </c>
      <c r="AE25" s="70">
        <f>IF($BJ25&gt;0,IF(INDEX('Final Calculation Sheet'!$AD$4:$AD$40,$BJ25-3)="","",INDEX('Final Calculation Sheet'!$AD$4:$AD$40,$BJ25-3)),IF(OR($BI25=1,$BL25=1,$BH25&gt;0),IF($BI25=1,SUM('Final Calculation Sheet'!$AD$4:$AD$40),IF($BL25=1,SUM('Final Calculation Sheet'!$AD$4:$AD$40)-SUMIFS('Final Calculation Sheet'!$AD$4:$AD$40,$AZ$5:$AZ$41,10),SUMIFS('Final Calculation Sheet'!$AD$4:$AD$40,$AZ$5:$AZ$41,$BH25))),""))</f>
        <v>-0.90570838935673237</v>
      </c>
      <c r="AF25" s="70" t="str">
        <f>IF($BJ25&gt;0,IF(INDEX('Final Calculation Sheet'!$AE$4:$AE$40,$BJ25-3)="","",INDEX('Final Calculation Sheet'!$AE$4:$AE$40,$BJ25-3)),IF(OR($BI25=1,$BL25=1,$BH25&gt;0),"–",""))</f>
        <v>DR2640100024</v>
      </c>
      <c r="AG25" s="74">
        <f>IF($BJ25&gt;0,IF(INDEX('Final Calculation Sheet'!$AF$4:$AF$40,$BJ25-3)="","",INDEX('Final Calculation Sheet'!$AF$4:$AF$40,$BJ25-3)),IF(OR($BI25=1,$BL25=1,$BH25&gt;0),"–",""))</f>
        <v>1800003196</v>
      </c>
      <c r="AH25" s="70" t="str">
        <f>IF($BJ25&gt;0,IF(INDEX('Final Calculation Sheet'!$AG$4:$AG$40,$BJ25-3)="","",INDEX('Final Calculation Sheet'!$AG$4:$AG$40,$BJ25-3)),IF(OR($BI25=1,$BL25=1,$BH25&gt;0),"–",""))</f>
        <v>17.08.2026</v>
      </c>
      <c r="AI25" s="75" t="str">
        <f>IF($BJ25&gt;0,IF(INDEX('Final Calculation Sheet'!$AD$4:$AD$40,$BJ25-3)="","",IF(INDEX('Final Calculation Sheet'!$AD$4:$AD$40,$BJ25-3)&lt;=0,"SETTLED","OUTSTANDING")),IF(OR($BI25=1,$BL25=1,$BH25&gt;0),IF(IF($BI25=1,SUM('Final Calculation Sheet'!$AD$4:$AD$40),IF($BL25=1,SUM('Final Calculation Sheet'!$AD$4:$AD$40)-SUMIFS('Final Calculation Sheet'!$AD$4:$AD$40,$AZ$5:$AZ$41,10),SUMIFS('Final Calculation Sheet'!$AD$4:$AD$40,$AZ$5:$AZ$41,$BH25)))&lt;=0,"ALL SETTLED","OUTSTANDING"),""))</f>
        <v>SETTLED</v>
      </c>
      <c r="AK25" t="str">
        <f>IF($F$3="Lot No.",'Final Calculation Sheet'!$F$24,IF($F$3="Buyer",'Final Calculation Sheet'!$G$24,IF($F$3="Lot Name",'Final Calculation Sheet'!$B$24,IF($F$3="Bid Sheet",'Final Calculation Sheet'!$D$24,IF($F$3="Unit",'Final Calculation Sheet'!$E$24,'Final Calculation Sheet'!$F$24&amp;" "&amp;'Final Calculation Sheet'!$G$24&amp;" "&amp;'Final Calculation Sheet'!$B$24)))))</f>
        <v>2027 NATIONAL ENTERPRISES Scrap of 132 KV CT</v>
      </c>
      <c r="AM25">
        <f t="shared" si="1"/>
        <v>0</v>
      </c>
      <c r="AZ25">
        <f t="shared" si="2"/>
        <v>10</v>
      </c>
      <c r="BA25">
        <f t="shared" si="3"/>
        <v>16</v>
      </c>
      <c r="BB25">
        <f t="shared" si="4"/>
        <v>32</v>
      </c>
      <c r="BC25">
        <v>24</v>
      </c>
      <c r="BH25">
        <f>IFERROR(MATCH(25,$BF$4:$BF$13,0),0)</f>
        <v>0</v>
      </c>
      <c r="BI25">
        <f>IF(25=$BG$5,1,0)</f>
        <v>0</v>
      </c>
      <c r="BJ25">
        <f>IF(OR($BH25&gt;0,$BI25=1,$BL25=1),0,IFERROR(INDEX($BC$5:$BC$41,MATCH(25,$BB$5:$BB$41,0)),0))</f>
        <v>14</v>
      </c>
      <c r="BK25">
        <f>IF($BJ25&gt;0,IF(INDEX($AZ$5:$AZ$41,MATCH(25,$BB$5:$BB$41,0))=10,1,0),IF($BH25=10,1,0))</f>
        <v>1</v>
      </c>
      <c r="BL25">
        <f>IF(25=$BG$4,1,0)</f>
        <v>0</v>
      </c>
    </row>
    <row r="26" spans="1:64" ht="15" customHeight="1" x14ac:dyDescent="0.25">
      <c r="A26" s="67">
        <f>IF($BJ26&gt;0,INDEX($BA$5:$BA$41,MATCH(26,$BB$5:$BB$41,0)),IF(OR($BI26=1,$BL26=1,$BH26&gt;0),"∑",""))</f>
        <v>10</v>
      </c>
      <c r="B26" s="68">
        <f>IF($BJ26&gt;0,IF(INDEX('Final Calculation Sheet'!$F$4:$F$40,$BJ26-3)="","",INDEX('Final Calculation Sheet'!$F$4:$F$40,$BJ26-3)),"")</f>
        <v>2008</v>
      </c>
      <c r="C26" s="68" t="str">
        <f>IF($BJ26&gt;0,IF(INDEX('Final Calculation Sheet'!$G$4:$G$40,$BJ26-3)="","",INDEX('Final Calculation Sheet'!$G$4:$G$40,$BJ26-3)),IF(OR($BI26=1,$BL26=1,$BH26&gt;0),IF($BI26=1,37,IF($BL26=1,37-INDEX($BD$4:$BD$13,10),INDEX($BD$4:$BD$13,$BH26)))&amp;" lot(s)",""))</f>
        <v>HIND TRADERS</v>
      </c>
      <c r="D26" s="69" t="str">
        <f>IF($BJ26&gt;0,IF(INDEX('Final Calculation Sheet'!$B$4:$B$40,$BJ26-3)="","",INDEX('Final Calculation Sheet'!$B$4:$B$40,$BJ26-3)),IF(OR($BI26=1,$BL26=1,$BH26&gt;0),IF($BI26=1,"GRAND TOTAL  —  matching + remaining",IF($BL26=1,"TOTAL MATCHED  —  every group together",IF($BH26=10,"REMAINING  —  did not match the search",IF($BH26=9,"ALL LOTS  —  nothing typed in the box","GROUP "&amp;$BH26&amp;" TOTAL  —  lots matching  "&amp;INDEX($AR$6:$AY$6,$BH26))))),""))</f>
        <v>Scrap of empty oil Druam</v>
      </c>
      <c r="E26" s="69">
        <f>IF($BJ26&gt;0,IF(INDEX('Final Calculation Sheet'!$D$4:$D$40,$BJ26-3)="","",INDEX('Final Calculation Sheet'!$D$4:$D$40,$BJ26-3)),IF(OR($BI26=1,$BL26=1,$BH26&gt;0),"–",""))</f>
        <v>21977</v>
      </c>
      <c r="F26" s="69">
        <f>IF($BJ26&gt;0,IF(INDEX('Final Calculation Sheet'!$A$4:$A$40,$BJ26-3)="","",INDEX('Final Calculation Sheet'!$A$4:$A$40,$BJ26-3)),IF(OR($BI26=1,$BL26=1,$BH26&gt;0),IF($BI26=1,SUM('Final Calculation Sheet'!$A$4:$A$40),IF($BL26=1,SUM('Final Calculation Sheet'!$A$4:$A$40)-SUMIFS('Final Calculation Sheet'!$A$4:$A$40,$AZ$5:$AZ$41,10),SUMIFS('Final Calculation Sheet'!$A$4:$A$40,$AZ$5:$AZ$41,$BH26))),""))</f>
        <v>250</v>
      </c>
      <c r="G26" s="69" t="str">
        <f>IF($BJ26&gt;0,IF(INDEX('Final Calculation Sheet'!$E$4:$E$40,$BJ26-3)="","",INDEX('Final Calculation Sheet'!$E$4:$E$40,$BJ26-3)),IF(OR($BI26=1,$BL26=1,$BH26&gt;0),"–",""))</f>
        <v>NO</v>
      </c>
      <c r="H26" s="70">
        <f>IF($BJ26&gt;0,IF(INDEX('Final Calculation Sheet'!$C$4:$C$40,$BJ26-3)="","",INDEX('Final Calculation Sheet'!$C$4:$C$40,$BJ26-3)),IF(OR($BI26=1,$BL26=1,$BH26&gt;0),"–",""))</f>
        <v>543</v>
      </c>
      <c r="I26" s="70">
        <f>IF($BJ26&gt;0,IF(INDEX('Final Calculation Sheet'!$H$4:$H$40,$BJ26-3)="","",INDEX('Final Calculation Sheet'!$H$4:$H$40,$BJ26-3)),IF(OR($BI26=1,$BL26=1,$BH26&gt;0),IF($BI26=1,SUM('Final Calculation Sheet'!$H$4:$H$40),IF($BL26=1,SUM('Final Calculation Sheet'!$H$4:$H$40)-SUMIFS('Final Calculation Sheet'!$H$4:$H$40,$AZ$5:$AZ$41,10),SUMIFS('Final Calculation Sheet'!$H$4:$H$40,$AZ$5:$AZ$41,$BH26))),""))</f>
        <v>135750</v>
      </c>
      <c r="J26" s="70">
        <f>IF($BJ26&gt;0,IF(INDEX('Final Calculation Sheet'!$I$4:$I$40,$BJ26-3)="","",INDEX('Final Calculation Sheet'!$I$4:$I$40,$BJ26-3)),IF(OR($BI26=1,$BL26=1,$BH26&gt;0),IF($BI26=1,SUM('Final Calculation Sheet'!$I$4:$I$40),IF($BL26=1,SUM('Final Calculation Sheet'!$I$4:$I$40)-SUMIFS('Final Calculation Sheet'!$I$4:$I$40,$AZ$5:$AZ$41,10),SUMIFS('Final Calculation Sheet'!$I$4:$I$40,$AZ$5:$AZ$41,$BH26))),""))</f>
        <v>24435</v>
      </c>
      <c r="K26" s="70">
        <f>IF($BJ26&gt;0,IF(INDEX('Final Calculation Sheet'!$J$4:$J$40,$BJ26-3)="","",INDEX('Final Calculation Sheet'!$J$4:$J$40,$BJ26-3)),IF(OR($BI26=1,$BL26=1,$BH26&gt;0),IF($BI26=1,SUM('Final Calculation Sheet'!$J$4:$J$40),IF($BL26=1,SUM('Final Calculation Sheet'!$J$4:$J$40)-SUMIFS('Final Calculation Sheet'!$J$4:$J$40,$AZ$5:$AZ$41,10),SUMIFS('Final Calculation Sheet'!$J$4:$J$40,$AZ$5:$AZ$41,$BH26))),""))</f>
        <v>160185</v>
      </c>
      <c r="L26" s="70">
        <f>IF($BJ26&gt;0,IF(INDEX('Final Calculation Sheet'!$K$4:$K$40,$BJ26-3)="","",INDEX('Final Calculation Sheet'!$K$4:$K$40,$BJ26-3)),IF(OR($BI26=1,$BL26=1,$BH26&gt;0),IF($BI26=1,SUM('Final Calculation Sheet'!$K$4:$K$40),IF($BL26=1,SUM('Final Calculation Sheet'!$K$4:$K$40)-SUMIFS('Final Calculation Sheet'!$K$4:$K$40,$AZ$5:$AZ$41,10),SUMIFS('Final Calculation Sheet'!$K$4:$K$40,$AZ$5:$AZ$41,$BH26))),""))</f>
        <v>3204</v>
      </c>
      <c r="M26" s="70">
        <f>IF($BJ26&gt;0,IF(INDEX('Final Calculation Sheet'!$L$4:$L$40,$BJ26-3)="","",INDEX('Final Calculation Sheet'!$L$4:$L$40,$BJ26-3)),IF(OR($BI26=1,$BL26=1,$BH26&gt;0),IF($BI26=1,SUM('Final Calculation Sheet'!$L$4:$L$40),IF($BL26=1,SUM('Final Calculation Sheet'!$L$4:$L$40)-SUMIFS('Final Calculation Sheet'!$L$4:$L$40,$AZ$5:$AZ$41,10),SUMIFS('Final Calculation Sheet'!$L$4:$L$40,$AZ$5:$AZ$41,$BH26))),""))</f>
        <v>135.75</v>
      </c>
      <c r="N26" s="70">
        <f>IF($BJ26&gt;0,IF(INDEX('Final Calculation Sheet'!$M$4:$M$40,$BJ26-3)="","",INDEX('Final Calculation Sheet'!$M$4:$M$40,$BJ26-3)),IF(OR($BI26=1,$BL26=1,$BH26&gt;0),IF($BI26=1,SUM('Final Calculation Sheet'!$M$4:$M$40),IF($BL26=1,SUM('Final Calculation Sheet'!$M$4:$M$40)-SUMIFS('Final Calculation Sheet'!$M$4:$M$40,$AZ$5:$AZ$41,10),SUMIFS('Final Calculation Sheet'!$M$4:$M$40,$AZ$5:$AZ$41,$BH26))),""))</f>
        <v>3604.1624999999999</v>
      </c>
      <c r="O26" s="71">
        <f>IF($BJ26&gt;0,IF(INDEX('Final Calculation Sheet'!$N$4:$N$40,$BJ26-3)="","",INDEX('Final Calculation Sheet'!$N$4:$N$40,$BJ26-3)),IF(OR($BI26=1,$BL26=1,$BH26&gt;0),IF($BI26=1,SUM('Final Calculation Sheet'!$N$4:$N$40),IF($BL26=1,SUM('Final Calculation Sheet'!$N$4:$N$40)-SUMIFS('Final Calculation Sheet'!$N$4:$N$40,$AZ$5:$AZ$41,10),SUMIFS('Final Calculation Sheet'!$N$4:$N$40,$AZ$5:$AZ$41,$BH26))),""))</f>
        <v>61.087499999999999</v>
      </c>
      <c r="P26" s="70">
        <f>IF($BJ26&gt;0,IF(INDEX('Final Calculation Sheet'!$O$4:$O$40,$BJ26-3)="","",INDEX('Final Calculation Sheet'!$O$4:$O$40,$BJ26-3)),IF(OR($BI26=1,$BL26=1,$BH26&gt;0),IF($BI26=1,SUM('Final Calculation Sheet'!$O$4:$O$40),IF($BL26=1,SUM('Final Calculation Sheet'!$O$4:$O$40)-SUMIFS('Final Calculation Sheet'!$O$4:$O$40,$AZ$5:$AZ$41,10),SUMIFS('Final Calculation Sheet'!$O$4:$O$40,$AZ$5:$AZ$41,$BH26))),""))</f>
        <v>3543.0749999999998</v>
      </c>
      <c r="Q26" s="70">
        <f>IF($BJ26&gt;0,IF(INDEX('Final Calculation Sheet'!$P$4:$P$40,$BJ26-3)="","",INDEX('Final Calculation Sheet'!$P$4:$P$40,$BJ26-3)),IF(OR($BI26=1,$BL26=1,$BH26&gt;0),IF($BI26=1,SUM('Final Calculation Sheet'!$P$4:$P$40),IF($BL26=1,SUM('Final Calculation Sheet'!$P$4:$P$40)-SUMIFS('Final Calculation Sheet'!$P$4:$P$40,$AZ$5:$AZ$41,10),SUMIFS('Final Calculation Sheet'!$P$4:$P$40,$AZ$5:$AZ$41,$BH26))),""))</f>
        <v>3679</v>
      </c>
      <c r="R26" s="72">
        <f>IF($BJ26&gt;0,IF(INDEX('Final Calculation Sheet'!$Q$4:$Q$40,$BJ26-3)="","",INDEX('Final Calculation Sheet'!$Q$4:$Q$40,$BJ26-3)),IF(OR($BI26=1,$BL26=1,$BH26&gt;0),"–",""))</f>
        <v>0</v>
      </c>
      <c r="S26" s="70">
        <f>IF($BJ26&gt;0,IF(INDEX('Final Calculation Sheet'!$R$4:$R$40,$BJ26-3)="","",INDEX('Final Calculation Sheet'!$R$4:$R$40,$BJ26-3)),IF(OR($BI26=1,$BL26=1,$BH26&gt;0),IF($BI26=1,SUM('Final Calculation Sheet'!$R$4:$R$40),IF($BL26=1,SUM('Final Calculation Sheet'!$R$4:$R$40)-SUMIFS('Final Calculation Sheet'!$R$4:$R$40,$AZ$5:$AZ$41,10),SUMIFS('Final Calculation Sheet'!$R$4:$R$40,$AZ$5:$AZ$41,$BH26))),""))</f>
        <v>0</v>
      </c>
      <c r="T26" s="70">
        <f>IF($BJ26&gt;0,IF(INDEX('Final Calculation Sheet'!$S$4:$S$40,$BJ26-3)="","",INDEX('Final Calculation Sheet'!$S$4:$S$40,$BJ26-3)),IF(OR($BI26=1,$BL26=1,$BH26&gt;0),IF($BI26=1,SUM('Final Calculation Sheet'!$S$4:$S$40),IF($BL26=1,SUM('Final Calculation Sheet'!$S$4:$S$40)-SUMIFS('Final Calculation Sheet'!$S$4:$S$40,$AZ$5:$AZ$41,10),SUMIFS('Final Calculation Sheet'!$S$4:$S$40,$AZ$5:$AZ$41,$BH26))),""))</f>
        <v>159710</v>
      </c>
      <c r="U26" s="70">
        <f>IF($BJ26&gt;0,IF(INDEX('Final Calculation Sheet'!$T$4:$T$40,$BJ26-3)="","",INDEX('Final Calculation Sheet'!$T$4:$T$40,$BJ26-3)),IF(OR($BI26=1,$BL26=1,$BH26&gt;0),IF($BI26=1,SUM('Final Calculation Sheet'!$T$4:$T$40),IF($BL26=1,SUM('Final Calculation Sheet'!$T$4:$T$40)-SUMIFS('Final Calculation Sheet'!$T$4:$T$40,$AZ$5:$AZ$41,10),SUMIFS('Final Calculation Sheet'!$T$4:$T$40,$AZ$5:$AZ$41,$BH26))),""))</f>
        <v>33938</v>
      </c>
      <c r="V26" s="73">
        <f>IF($BJ26&gt;0,IF(INDEX('Final Calculation Sheet'!$U$4:$U$40,$BJ26-3)="","",INDEX('Final Calculation Sheet'!$U$4:$U$40,$BJ26-3)),IF(OR($BI26=1,$BL26=1,$BH26&gt;0),IF($BI26=1,SUM('Final Calculation Sheet'!$U$4:$U$40),IF($BL26=1,SUM('Final Calculation Sheet'!$U$4:$U$40)-SUMIFS('Final Calculation Sheet'!$U$4:$U$40,$AZ$5:$AZ$41,10),SUMIFS('Final Calculation Sheet'!$U$4:$U$40,$AZ$5:$AZ$41,$BH26))),""))</f>
        <v>33938</v>
      </c>
      <c r="W26" s="70" t="str">
        <f>IF($BJ26&gt;0,IF(INDEX('Final Calculation Sheet'!$V$4:$V$40,$BJ26-3)="","",INDEX('Final Calculation Sheet'!$V$4:$V$40,$BJ26-3)),IF(OR($BI26=1,$BL26=1,$BH26&gt;0),"–",""))</f>
        <v>14.08.2026</v>
      </c>
      <c r="X26" s="70">
        <f>IF($BJ26&gt;0,IF(INDEX('Final Calculation Sheet'!$W$4:$W$40,$BJ26-3)="","",INDEX('Final Calculation Sheet'!$W$4:$W$40,$BJ26-3)),IF(OR($BI26=1,$BL26=1,$BH26&gt;0),IF($BI26=1,SUM('Final Calculation Sheet'!$W$4:$W$40),IF($BL26=1,SUM('Final Calculation Sheet'!$W$4:$W$40)-SUMIFS('Final Calculation Sheet'!$W$4:$W$40,$AZ$5:$AZ$41,10),SUMIFS('Final Calculation Sheet'!$W$4:$W$40,$AZ$5:$AZ$41,$BH26))),""))</f>
        <v>125772</v>
      </c>
      <c r="Y26" s="70">
        <f>IF($BJ26&gt;0,IF(INDEX('Final Calculation Sheet'!$X$4:$X$40,$BJ26-3)="","",INDEX('Final Calculation Sheet'!$X$4:$X$40,$BJ26-3)),IF(OR($BI26=1,$BL26=1,$BH26&gt;0),IF($BI26=1,SUM('Final Calculation Sheet'!$X$4:$X$40),IF($BL26=1,SUM('Final Calculation Sheet'!$X$4:$X$40)-SUMIFS('Final Calculation Sheet'!$X$4:$X$40,$AZ$5:$AZ$41,10),SUMIFS('Final Calculation Sheet'!$X$4:$X$40,$AZ$5:$AZ$41,$BH26))),""))</f>
        <v>125772</v>
      </c>
      <c r="Z26" s="70" t="str">
        <f>IF($BJ26&gt;0,IF(INDEX('Final Calculation Sheet'!$Y$4:$Y$40,$BJ26-3)="","",INDEX('Final Calculation Sheet'!$Y$4:$Y$40,$BJ26-3)),IF(OR($BI26=1,$BL26=1,$BH26&gt;0),"–",""))</f>
        <v>18.08.2026</v>
      </c>
      <c r="AA26" s="70">
        <f ca="1">IF($BJ26&gt;0,IF(INDEX('Final Calculation Sheet'!$Z$4:$Z$40,$BJ26-3)="","",INDEX('Final Calculation Sheet'!$Z$4:$Z$40,$BJ26-3)),IF(OR($BI26=1,$BL26=1,$BH26&gt;0),IF($BI26=1,SUM('Final Calculation Sheet'!$Z$4:$Z$40),IF($BL26=1,SUM('Final Calculation Sheet'!$Z$4:$Z$40)-SUMIFS('Final Calculation Sheet'!$Z$4:$Z$40,$AZ$5:$AZ$41,10),SUMIFS('Final Calculation Sheet'!$Z$4:$Z$40,$AZ$5:$AZ$41,$BH26))),""))</f>
        <v>0</v>
      </c>
      <c r="AB26" s="70" t="str">
        <f>IF($BJ26&gt;0,IF(INDEX('Final Calculation Sheet'!$AA$4:$AA$40,$BJ26-3)="","",INDEX('Final Calculation Sheet'!$AA$4:$AA$40,$BJ26-3)),IF(OR($BI26=1,$BL26=1,$BH26&gt;0),IF($BI26=1,SUM('Final Calculation Sheet'!$AA$4:$AA$40),IF($BL26=1,SUM('Final Calculation Sheet'!$AA$4:$AA$40)-SUMIFS('Final Calculation Sheet'!$AA$4:$AA$40,$AZ$5:$AZ$41,10),SUMIFS('Final Calculation Sheet'!$AA$4:$AA$40,$AZ$5:$AZ$41,$BH26))),""))</f>
        <v/>
      </c>
      <c r="AC26" s="70" t="str">
        <f>IF($BJ26&gt;0,IF(INDEX('Final Calculation Sheet'!$AB$4:$AB$40,$BJ26-3)="","",INDEX('Final Calculation Sheet'!$AB$4:$AB$40,$BJ26-3)),IF(OR($BI26=1,$BL26=1,$BH26&gt;0),"–",""))</f>
        <v/>
      </c>
      <c r="AD26" s="70">
        <f>IF($BJ26&gt;0,IF(INDEX('Final Calculation Sheet'!$AC$4:$AC$40,$BJ26-3)="","",INDEX('Final Calculation Sheet'!$AC$4:$AC$40,$BJ26-3)),IF(OR($BI26=1,$BL26=1,$BH26&gt;0),IF($BI26=1,SUM('Final Calculation Sheet'!$AC$4:$AC$40),IF($BL26=1,SUM('Final Calculation Sheet'!$AC$4:$AC$40)-SUMIFS('Final Calculation Sheet'!$AC$4:$AC$40,$AZ$5:$AZ$41,10),SUMIFS('Final Calculation Sheet'!$AC$4:$AC$40,$AZ$5:$AZ$41,$BH26))),""))</f>
        <v>159710</v>
      </c>
      <c r="AE26" s="70">
        <f>IF($BJ26&gt;0,IF(INDEX('Final Calculation Sheet'!$AD$4:$AD$40,$BJ26-3)="","",INDEX('Final Calculation Sheet'!$AD$4:$AD$40,$BJ26-3)),IF(OR($BI26=1,$BL26=1,$BH26&gt;0),IF($BI26=1,SUM('Final Calculation Sheet'!$AD$4:$AD$40),IF($BL26=1,SUM('Final Calculation Sheet'!$AD$4:$AD$40)-SUMIFS('Final Calculation Sheet'!$AD$4:$AD$40,$AZ$5:$AZ$41,10),SUMIFS('Final Calculation Sheet'!$AD$4:$AD$40,$AZ$5:$AZ$41,$BH26))),""))</f>
        <v>0</v>
      </c>
      <c r="AF26" s="70" t="str">
        <f>IF($BJ26&gt;0,IF(INDEX('Final Calculation Sheet'!$AE$4:$AE$40,$BJ26-3)="","",INDEX('Final Calculation Sheet'!$AE$4:$AE$40,$BJ26-3)),IF(OR($BI26=1,$BL26=1,$BH26&gt;0),"–",""))</f>
        <v>DR2640100026</v>
      </c>
      <c r="AG26" s="74">
        <f>IF($BJ26&gt;0,IF(INDEX('Final Calculation Sheet'!$AF$4:$AF$40,$BJ26-3)="","",INDEX('Final Calculation Sheet'!$AF$4:$AF$40,$BJ26-3)),IF(OR($BI26=1,$BL26=1,$BH26&gt;0),"–",""))</f>
        <v>1800003247</v>
      </c>
      <c r="AH26" s="70" t="str">
        <f>IF($BJ26&gt;0,IF(INDEX('Final Calculation Sheet'!$AG$4:$AG$40,$BJ26-3)="","",INDEX('Final Calculation Sheet'!$AG$4:$AG$40,$BJ26-3)),IF(OR($BI26=1,$BL26=1,$BH26&gt;0),"–",""))</f>
        <v>20.08.2026</v>
      </c>
      <c r="AI26" s="75" t="str">
        <f>IF($BJ26&gt;0,IF(INDEX('Final Calculation Sheet'!$AD$4:$AD$40,$BJ26-3)="","",IF(INDEX('Final Calculation Sheet'!$AD$4:$AD$40,$BJ26-3)&lt;=0,"SETTLED","OUTSTANDING")),IF(OR($BI26=1,$BL26=1,$BH26&gt;0),IF(IF($BI26=1,SUM('Final Calculation Sheet'!$AD$4:$AD$40),IF($BL26=1,SUM('Final Calculation Sheet'!$AD$4:$AD$40)-SUMIFS('Final Calculation Sheet'!$AD$4:$AD$40,$AZ$5:$AZ$41,10),SUMIFS('Final Calculation Sheet'!$AD$4:$AD$40,$AZ$5:$AZ$41,$BH26)))&lt;=0,"ALL SETTLED","OUTSTANDING"),""))</f>
        <v>SETTLED</v>
      </c>
      <c r="AK26" t="str">
        <f>IF($F$3="Lot No.",'Final Calculation Sheet'!$F$25,IF($F$3="Buyer",'Final Calculation Sheet'!$G$25,IF($F$3="Lot Name",'Final Calculation Sheet'!$B$25,IF($F$3="Bid Sheet",'Final Calculation Sheet'!$D$25,IF($F$3="Unit",'Final Calculation Sheet'!$E$25,'Final Calculation Sheet'!$F$25&amp;" "&amp;'Final Calculation Sheet'!$G$25&amp;" "&amp;'Final Calculation Sheet'!$B$25)))))</f>
        <v>2033 WATAN SCRAP TRADERS Scrap Empty Oil Drum/ Barrel</v>
      </c>
      <c r="AM26">
        <f t="shared" si="1"/>
        <v>1</v>
      </c>
      <c r="AZ26">
        <f t="shared" si="2"/>
        <v>1</v>
      </c>
      <c r="BA26">
        <f t="shared" si="3"/>
        <v>3</v>
      </c>
      <c r="BB26">
        <f t="shared" si="4"/>
        <v>7</v>
      </c>
      <c r="BC26">
        <v>25</v>
      </c>
      <c r="BH26">
        <f>IFERROR(MATCH(26,$BF$4:$BF$13,0),0)</f>
        <v>0</v>
      </c>
      <c r="BI26">
        <f>IF(26=$BG$5,1,0)</f>
        <v>0</v>
      </c>
      <c r="BJ26">
        <f>IF(OR($BH26&gt;0,$BI26=1,$BL26=1),0,IFERROR(INDEX($BC$5:$BC$41,MATCH(26,$BB$5:$BB$41,0)),0))</f>
        <v>15</v>
      </c>
      <c r="BK26">
        <f>IF($BJ26&gt;0,IF(INDEX($AZ$5:$AZ$41,MATCH(26,$BB$5:$BB$41,0))=10,1,0),IF($BH26=10,1,0))</f>
        <v>1</v>
      </c>
      <c r="BL26">
        <f>IF(26=$BG$4,1,0)</f>
        <v>0</v>
      </c>
    </row>
    <row r="27" spans="1:64" ht="15" customHeight="1" x14ac:dyDescent="0.25">
      <c r="A27" s="67">
        <f>IF($BJ27&gt;0,INDEX($BA$5:$BA$41,MATCH(27,$BB$5:$BB$41,0)),IF(OR($BI27=1,$BL27=1,$BH27&gt;0),"∑",""))</f>
        <v>11</v>
      </c>
      <c r="B27" s="68">
        <f>IF($BJ27&gt;0,IF(INDEX('Final Calculation Sheet'!$F$4:$F$40,$BJ27-3)="","",INDEX('Final Calculation Sheet'!$F$4:$F$40,$BJ27-3)),"")</f>
        <v>2018</v>
      </c>
      <c r="C27" s="68" t="str">
        <f>IF($BJ27&gt;0,IF(INDEX('Final Calculation Sheet'!$G$4:$G$40,$BJ27-3)="","",INDEX('Final Calculation Sheet'!$G$4:$G$40,$BJ27-3)),IF(OR($BI27=1,$BL27=1,$BH27&gt;0),IF($BI27=1,37,IF($BL27=1,37-INDEX($BD$4:$BD$13,10),INDEX($BD$4:$BD$13,$BH27)))&amp;" lot(s)",""))</f>
        <v>NATIONAL ENTERPRISES</v>
      </c>
      <c r="D27" s="69" t="str">
        <f>IF($BJ27&gt;0,IF(INDEX('Final Calculation Sheet'!$B$4:$B$40,$BJ27-3)="","",INDEX('Final Calculation Sheet'!$B$4:$B$40,$BJ27-3)),IF(OR($BI27=1,$BL27=1,$BH27&gt;0),IF($BI27=1,"GRAND TOTAL  —  matching + remaining",IF($BL27=1,"TOTAL MATCHED  —  every group together",IF($BH27=10,"REMAINING  —  did not match the search",IF($BH27=9,"ALL LOTS  —  nothing typed in the box","GROUP "&amp;$BH27&amp;" TOTAL  —  lots matching  "&amp;INDEX($AR$6:$AY$6,$BH27))))),""))</f>
        <v>Scrap of 220 KV Circuit Breaker</v>
      </c>
      <c r="E27" s="69">
        <f>IF($BJ27&gt;0,IF(INDEX('Final Calculation Sheet'!$D$4:$D$40,$BJ27-3)="","",INDEX('Final Calculation Sheet'!$D$4:$D$40,$BJ27-3)),IF(OR($BI27=1,$BL27=1,$BH27&gt;0),"–",""))</f>
        <v>21978</v>
      </c>
      <c r="F27" s="69">
        <f>IF($BJ27&gt;0,IF(INDEX('Final Calculation Sheet'!$A$4:$A$40,$BJ27-3)="","",INDEX('Final Calculation Sheet'!$A$4:$A$40,$BJ27-3)),IF(OR($BI27=1,$BL27=1,$BH27&gt;0),IF($BI27=1,SUM('Final Calculation Sheet'!$A$4:$A$40),IF($BL27=1,SUM('Final Calculation Sheet'!$A$4:$A$40)-SUMIFS('Final Calculation Sheet'!$A$4:$A$40,$AZ$5:$AZ$41,10),SUMIFS('Final Calculation Sheet'!$A$4:$A$40,$AZ$5:$AZ$41,$BH27))),""))</f>
        <v>1</v>
      </c>
      <c r="G27" s="69" t="str">
        <f>IF($BJ27&gt;0,IF(INDEX('Final Calculation Sheet'!$E$4:$E$40,$BJ27-3)="","",INDEX('Final Calculation Sheet'!$E$4:$E$40,$BJ27-3)),IF(OR($BI27=1,$BL27=1,$BH27&gt;0),"–",""))</f>
        <v>NO</v>
      </c>
      <c r="H27" s="70">
        <f>IF($BJ27&gt;0,IF(INDEX('Final Calculation Sheet'!$C$4:$C$40,$BJ27-3)="","",INDEX('Final Calculation Sheet'!$C$4:$C$40,$BJ27-3)),IF(OR($BI27=1,$BL27=1,$BH27&gt;0),"–",""))</f>
        <v>220001</v>
      </c>
      <c r="I27" s="70">
        <f>IF($BJ27&gt;0,IF(INDEX('Final Calculation Sheet'!$H$4:$H$40,$BJ27-3)="","",INDEX('Final Calculation Sheet'!$H$4:$H$40,$BJ27-3)),IF(OR($BI27=1,$BL27=1,$BH27&gt;0),IF($BI27=1,SUM('Final Calculation Sheet'!$H$4:$H$40),IF($BL27=1,SUM('Final Calculation Sheet'!$H$4:$H$40)-SUMIFS('Final Calculation Sheet'!$H$4:$H$40,$AZ$5:$AZ$41,10),SUMIFS('Final Calculation Sheet'!$H$4:$H$40,$AZ$5:$AZ$41,$BH27))),""))</f>
        <v>220001</v>
      </c>
      <c r="J27" s="70">
        <f>IF($BJ27&gt;0,IF(INDEX('Final Calculation Sheet'!$I$4:$I$40,$BJ27-3)="","",INDEX('Final Calculation Sheet'!$I$4:$I$40,$BJ27-3)),IF(OR($BI27=1,$BL27=1,$BH27&gt;0),IF($BI27=1,SUM('Final Calculation Sheet'!$I$4:$I$40),IF($BL27=1,SUM('Final Calculation Sheet'!$I$4:$I$40)-SUMIFS('Final Calculation Sheet'!$I$4:$I$40,$AZ$5:$AZ$41,10),SUMIFS('Final Calculation Sheet'!$I$4:$I$40,$AZ$5:$AZ$41,$BH27))),""))</f>
        <v>39600</v>
      </c>
      <c r="K27" s="70">
        <f>IF($BJ27&gt;0,IF(INDEX('Final Calculation Sheet'!$J$4:$J$40,$BJ27-3)="","",INDEX('Final Calculation Sheet'!$J$4:$J$40,$BJ27-3)),IF(OR($BI27=1,$BL27=1,$BH27&gt;0),IF($BI27=1,SUM('Final Calculation Sheet'!$J$4:$J$40),IF($BL27=1,SUM('Final Calculation Sheet'!$J$4:$J$40)-SUMIFS('Final Calculation Sheet'!$J$4:$J$40,$AZ$5:$AZ$41,10),SUMIFS('Final Calculation Sheet'!$J$4:$J$40,$AZ$5:$AZ$41,$BH27))),""))</f>
        <v>259601</v>
      </c>
      <c r="L27" s="70">
        <f>IF($BJ27&gt;0,IF(INDEX('Final Calculation Sheet'!$K$4:$K$40,$BJ27-3)="","",INDEX('Final Calculation Sheet'!$K$4:$K$40,$BJ27-3)),IF(OR($BI27=1,$BL27=1,$BH27&gt;0),IF($BI27=1,SUM('Final Calculation Sheet'!$K$4:$K$40),IF($BL27=1,SUM('Final Calculation Sheet'!$K$4:$K$40)-SUMIFS('Final Calculation Sheet'!$K$4:$K$40,$AZ$5:$AZ$41,10),SUMIFS('Final Calculation Sheet'!$K$4:$K$40,$AZ$5:$AZ$41,$BH27))),""))</f>
        <v>5192</v>
      </c>
      <c r="M27" s="70">
        <f>IF($BJ27&gt;0,IF(INDEX('Final Calculation Sheet'!$L$4:$L$40,$BJ27-3)="","",INDEX('Final Calculation Sheet'!$L$4:$L$40,$BJ27-3)),IF(OR($BI27=1,$BL27=1,$BH27&gt;0),IF($BI27=1,SUM('Final Calculation Sheet'!$L$4:$L$40),IF($BL27=1,SUM('Final Calculation Sheet'!$L$4:$L$40)-SUMIFS('Final Calculation Sheet'!$L$4:$L$40,$AZ$5:$AZ$41,10),SUMIFS('Final Calculation Sheet'!$L$4:$L$40,$AZ$5:$AZ$41,$BH27))),""))</f>
        <v>220.001</v>
      </c>
      <c r="N27" s="70">
        <f>IF($BJ27&gt;0,IF(INDEX('Final Calculation Sheet'!$M$4:$M$40,$BJ27-3)="","",INDEX('Final Calculation Sheet'!$M$4:$M$40,$BJ27-3)),IF(OR($BI27=1,$BL27=1,$BH27&gt;0),IF($BI27=1,SUM('Final Calculation Sheet'!$M$4:$M$40),IF($BL27=1,SUM('Final Calculation Sheet'!$M$4:$M$40)-SUMIFS('Final Calculation Sheet'!$M$4:$M$40,$AZ$5:$AZ$41,10),SUMIFS('Final Calculation Sheet'!$M$4:$M$40,$AZ$5:$AZ$41,$BH27))),""))</f>
        <v>5841.0265499999996</v>
      </c>
      <c r="O27" s="71">
        <f>IF($BJ27&gt;0,IF(INDEX('Final Calculation Sheet'!$N$4:$N$40,$BJ27-3)="","",INDEX('Final Calculation Sheet'!$N$4:$N$40,$BJ27-3)),IF(OR($BI27=1,$BL27=1,$BH27&gt;0),IF($BI27=1,SUM('Final Calculation Sheet'!$N$4:$N$40),IF($BL27=1,SUM('Final Calculation Sheet'!$N$4:$N$40)-SUMIFS('Final Calculation Sheet'!$N$4:$N$40,$AZ$5:$AZ$41,10),SUMIFS('Final Calculation Sheet'!$N$4:$N$40,$AZ$5:$AZ$41,$BH27))),""))</f>
        <v>99.000450000000001</v>
      </c>
      <c r="P27" s="70">
        <f>IF($BJ27&gt;0,IF(INDEX('Final Calculation Sheet'!$O$4:$O$40,$BJ27-3)="","",INDEX('Final Calculation Sheet'!$O$4:$O$40,$BJ27-3)),IF(OR($BI27=1,$BL27=1,$BH27&gt;0),IF($BI27=1,SUM('Final Calculation Sheet'!$O$4:$O$40),IF($BL27=1,SUM('Final Calculation Sheet'!$O$4:$O$40)-SUMIFS('Final Calculation Sheet'!$O$4:$O$40,$AZ$5:$AZ$41,10),SUMIFS('Final Calculation Sheet'!$O$4:$O$40,$AZ$5:$AZ$41,$BH27))),""))</f>
        <v>5742.0260999999991</v>
      </c>
      <c r="Q27" s="70">
        <f>IF($BJ27&gt;0,IF(INDEX('Final Calculation Sheet'!$P$4:$P$40,$BJ27-3)="","",INDEX('Final Calculation Sheet'!$P$4:$P$40,$BJ27-3)),IF(OR($BI27=1,$BL27=1,$BH27&gt;0),IF($BI27=1,SUM('Final Calculation Sheet'!$P$4:$P$40),IF($BL27=1,SUM('Final Calculation Sheet'!$P$4:$P$40)-SUMIFS('Final Calculation Sheet'!$P$4:$P$40,$AZ$5:$AZ$41,10),SUMIFS('Final Calculation Sheet'!$P$4:$P$40,$AZ$5:$AZ$41,$BH27))),""))</f>
        <v>5962</v>
      </c>
      <c r="R27" s="72">
        <f>IF($BJ27&gt;0,IF(INDEX('Final Calculation Sheet'!$Q$4:$Q$40,$BJ27-3)="","",INDEX('Final Calculation Sheet'!$Q$4:$Q$40,$BJ27-3)),IF(OR($BI27=1,$BL27=1,$BH27&gt;0),"–",""))</f>
        <v>0</v>
      </c>
      <c r="S27" s="70">
        <f>IF($BJ27&gt;0,IF(INDEX('Final Calculation Sheet'!$R$4:$R$40,$BJ27-3)="","",INDEX('Final Calculation Sheet'!$R$4:$R$40,$BJ27-3)),IF(OR($BI27=1,$BL27=1,$BH27&gt;0),IF($BI27=1,SUM('Final Calculation Sheet'!$R$4:$R$40),IF($BL27=1,SUM('Final Calculation Sheet'!$R$4:$R$40)-SUMIFS('Final Calculation Sheet'!$R$4:$R$40,$AZ$5:$AZ$41,10),SUMIFS('Final Calculation Sheet'!$R$4:$R$40,$AZ$5:$AZ$41,$BH27))),""))</f>
        <v>0</v>
      </c>
      <c r="T27" s="70">
        <f>IF($BJ27&gt;0,IF(INDEX('Final Calculation Sheet'!$S$4:$S$40,$BJ27-3)="","",INDEX('Final Calculation Sheet'!$S$4:$S$40,$BJ27-3)),IF(OR($BI27=1,$BL27=1,$BH27&gt;0),IF($BI27=1,SUM('Final Calculation Sheet'!$S$4:$S$40),IF($BL27=1,SUM('Final Calculation Sheet'!$S$4:$S$40)-SUMIFS('Final Calculation Sheet'!$S$4:$S$40,$AZ$5:$AZ$41,10),SUMIFS('Final Calculation Sheet'!$S$4:$S$40,$AZ$5:$AZ$41,$BH27))),""))</f>
        <v>258831</v>
      </c>
      <c r="U27" s="70">
        <f>IF($BJ27&gt;0,IF(INDEX('Final Calculation Sheet'!$T$4:$T$40,$BJ27-3)="","",INDEX('Final Calculation Sheet'!$T$4:$T$40,$BJ27-3)),IF(OR($BI27=1,$BL27=1,$BH27&gt;0),IF($BI27=1,SUM('Final Calculation Sheet'!$T$4:$T$40),IF($BL27=1,SUM('Final Calculation Sheet'!$T$4:$T$40)-SUMIFS('Final Calculation Sheet'!$T$4:$T$40,$AZ$5:$AZ$41,10),SUMIFS('Final Calculation Sheet'!$T$4:$T$40,$AZ$5:$AZ$41,$BH27))),""))</f>
        <v>55000</v>
      </c>
      <c r="V27" s="73">
        <f>IF($BJ27&gt;0,IF(INDEX('Final Calculation Sheet'!$U$4:$U$40,$BJ27-3)="","",INDEX('Final Calculation Sheet'!$U$4:$U$40,$BJ27-3)),IF(OR($BI27=1,$BL27=1,$BH27&gt;0),IF($BI27=1,SUM('Final Calculation Sheet'!$U$4:$U$40),IF($BL27=1,SUM('Final Calculation Sheet'!$U$4:$U$40)-SUMIFS('Final Calculation Sheet'!$U$4:$U$40,$AZ$5:$AZ$41,10),SUMIFS('Final Calculation Sheet'!$U$4:$U$40,$AZ$5:$AZ$41,$BH27))),""))</f>
        <v>55000</v>
      </c>
      <c r="W27" s="70" t="str">
        <f>IF($BJ27&gt;0,IF(INDEX('Final Calculation Sheet'!$V$4:$V$40,$BJ27-3)="","",INDEX('Final Calculation Sheet'!$V$4:$V$40,$BJ27-3)),IF(OR($BI27=1,$BL27=1,$BH27&gt;0),"–",""))</f>
        <v>13.08.2026</v>
      </c>
      <c r="X27" s="70">
        <f>IF($BJ27&gt;0,IF(INDEX('Final Calculation Sheet'!$W$4:$W$40,$BJ27-3)="","",INDEX('Final Calculation Sheet'!$W$4:$W$40,$BJ27-3)),IF(OR($BI27=1,$BL27=1,$BH27&gt;0),IF($BI27=1,SUM('Final Calculation Sheet'!$W$4:$W$40),IF($BL27=1,SUM('Final Calculation Sheet'!$W$4:$W$40)-SUMIFS('Final Calculation Sheet'!$W$4:$W$40,$AZ$5:$AZ$41,10),SUMIFS('Final Calculation Sheet'!$W$4:$W$40,$AZ$5:$AZ$41,$BH27))),""))</f>
        <v>203831</v>
      </c>
      <c r="Y27" s="70">
        <f>IF($BJ27&gt;0,IF(INDEX('Final Calculation Sheet'!$X$4:$X$40,$BJ27-3)="","",INDEX('Final Calculation Sheet'!$X$4:$X$40,$BJ27-3)),IF(OR($BI27=1,$BL27=1,$BH27&gt;0),IF($BI27=1,SUM('Final Calculation Sheet'!$X$4:$X$40),IF($BL27=1,SUM('Final Calculation Sheet'!$X$4:$X$40)-SUMIFS('Final Calculation Sheet'!$X$4:$X$40,$AZ$5:$AZ$41,10),SUMIFS('Final Calculation Sheet'!$X$4:$X$40,$AZ$5:$AZ$41,$BH27))),""))</f>
        <v>203831</v>
      </c>
      <c r="Z27" s="70" t="str">
        <f>IF($BJ27&gt;0,IF(INDEX('Final Calculation Sheet'!$Y$4:$Y$40,$BJ27-3)="","",INDEX('Final Calculation Sheet'!$Y$4:$Y$40,$BJ27-3)),IF(OR($BI27=1,$BL27=1,$BH27&gt;0),"–",""))</f>
        <v>24.08.2026</v>
      </c>
      <c r="AA27" s="70">
        <f ca="1">IF($BJ27&gt;0,IF(INDEX('Final Calculation Sheet'!$Z$4:$Z$40,$BJ27-3)="","",INDEX('Final Calculation Sheet'!$Z$4:$Z$40,$BJ27-3)),IF(OR($BI27=1,$BL27=1,$BH27&gt;0),IF($BI27=1,SUM('Final Calculation Sheet'!$Z$4:$Z$40),IF($BL27=1,SUM('Final Calculation Sheet'!$Z$4:$Z$40)-SUMIFS('Final Calculation Sheet'!$Z$4:$Z$40,$AZ$5:$AZ$41,10),SUMIFS('Final Calculation Sheet'!$Z$4:$Z$40,$AZ$5:$AZ$41,$BH27))),""))</f>
        <v>0</v>
      </c>
      <c r="AB27" s="70" t="str">
        <f>IF($BJ27&gt;0,IF(INDEX('Final Calculation Sheet'!$AA$4:$AA$40,$BJ27-3)="","",INDEX('Final Calculation Sheet'!$AA$4:$AA$40,$BJ27-3)),IF(OR($BI27=1,$BL27=1,$BH27&gt;0),IF($BI27=1,SUM('Final Calculation Sheet'!$AA$4:$AA$40),IF($BL27=1,SUM('Final Calculation Sheet'!$AA$4:$AA$40)-SUMIFS('Final Calculation Sheet'!$AA$4:$AA$40,$AZ$5:$AZ$41,10),SUMIFS('Final Calculation Sheet'!$AA$4:$AA$40,$AZ$5:$AZ$41,$BH27))),""))</f>
        <v/>
      </c>
      <c r="AC27" s="70" t="str">
        <f>IF($BJ27&gt;0,IF(INDEX('Final Calculation Sheet'!$AB$4:$AB$40,$BJ27-3)="","",INDEX('Final Calculation Sheet'!$AB$4:$AB$40,$BJ27-3)),IF(OR($BI27=1,$BL27=1,$BH27&gt;0),"–",""))</f>
        <v/>
      </c>
      <c r="AD27" s="70">
        <f>IF($BJ27&gt;0,IF(INDEX('Final Calculation Sheet'!$AC$4:$AC$40,$BJ27-3)="","",INDEX('Final Calculation Sheet'!$AC$4:$AC$40,$BJ27-3)),IF(OR($BI27=1,$BL27=1,$BH27&gt;0),IF($BI27=1,SUM('Final Calculation Sheet'!$AC$4:$AC$40),IF($BL27=1,SUM('Final Calculation Sheet'!$AC$4:$AC$40)-SUMIFS('Final Calculation Sheet'!$AC$4:$AC$40,$AZ$5:$AZ$41,10),SUMIFS('Final Calculation Sheet'!$AC$4:$AC$40,$AZ$5:$AZ$41,$BH27))),""))</f>
        <v>258831</v>
      </c>
      <c r="AE27" s="70">
        <f>IF($BJ27&gt;0,IF(INDEX('Final Calculation Sheet'!$AD$4:$AD$40,$BJ27-3)="","",INDEX('Final Calculation Sheet'!$AD$4:$AD$40,$BJ27-3)),IF(OR($BI27=1,$BL27=1,$BH27&gt;0),IF($BI27=1,SUM('Final Calculation Sheet'!$AD$4:$AD$40),IF($BL27=1,SUM('Final Calculation Sheet'!$AD$4:$AD$40)-SUMIFS('Final Calculation Sheet'!$AD$4:$AD$40,$AZ$5:$AZ$41,10),SUMIFS('Final Calculation Sheet'!$AD$4:$AD$40,$AZ$5:$AZ$41,$BH27))),""))</f>
        <v>0</v>
      </c>
      <c r="AF27" s="70" t="str">
        <f>IF($BJ27&gt;0,IF(INDEX('Final Calculation Sheet'!$AE$4:$AE$40,$BJ27-3)="","",INDEX('Final Calculation Sheet'!$AE$4:$AE$40,$BJ27-3)),IF(OR($BI27=1,$BL27=1,$BH27&gt;0),"–",""))</f>
        <v>DR2640100034</v>
      </c>
      <c r="AG27" s="74">
        <f>IF($BJ27&gt;0,IF(INDEX('Final Calculation Sheet'!$AF$4:$AF$40,$BJ27-3)="","",INDEX('Final Calculation Sheet'!$AF$4:$AF$40,$BJ27-3)),IF(OR($BI27=1,$BL27=1,$BH27&gt;0),"–",""))</f>
        <v>1800003306</v>
      </c>
      <c r="AH27" s="70" t="str">
        <f>IF($BJ27&gt;0,IF(INDEX('Final Calculation Sheet'!$AG$4:$AG$40,$BJ27-3)="","",INDEX('Final Calculation Sheet'!$AG$4:$AG$40,$BJ27-3)),IF(OR($BI27=1,$BL27=1,$BH27&gt;0),"–",""))</f>
        <v>27.08.2026</v>
      </c>
      <c r="AI27" s="75" t="str">
        <f>IF($BJ27&gt;0,IF(INDEX('Final Calculation Sheet'!$AD$4:$AD$40,$BJ27-3)="","",IF(INDEX('Final Calculation Sheet'!$AD$4:$AD$40,$BJ27-3)&lt;=0,"SETTLED","OUTSTANDING")),IF(OR($BI27=1,$BL27=1,$BH27&gt;0),IF(IF($BI27=1,SUM('Final Calculation Sheet'!$AD$4:$AD$40),IF($BL27=1,SUM('Final Calculation Sheet'!$AD$4:$AD$40)-SUMIFS('Final Calculation Sheet'!$AD$4:$AD$40,$AZ$5:$AZ$41,10),SUMIFS('Final Calculation Sheet'!$AD$4:$AD$40,$AZ$5:$AZ$41,$BH27)))&lt;=0,"ALL SETTLED","OUTSTANDING"),""))</f>
        <v>SETTLED</v>
      </c>
      <c r="AK27" t="str">
        <f>IF($F$3="Lot No.",'Final Calculation Sheet'!$F$26,IF($F$3="Buyer",'Final Calculation Sheet'!$G$26,IF($F$3="Lot Name",'Final Calculation Sheet'!$B$26,IF($F$3="Bid Sheet",'Final Calculation Sheet'!$D$26,IF($F$3="Unit",'Final Calculation Sheet'!$E$26,'Final Calculation Sheet'!$F$26&amp;" "&amp;'Final Calculation Sheet'!$G$26&amp;" "&amp;'Final Calculation Sheet'!$B$26)))))</f>
        <v>2035 NATIONAL ENTERPRISES Scrap of 132 KV Wave Trap</v>
      </c>
      <c r="AM27">
        <f t="shared" si="1"/>
        <v>0</v>
      </c>
      <c r="AZ27">
        <f t="shared" si="2"/>
        <v>10</v>
      </c>
      <c r="BA27">
        <f t="shared" si="3"/>
        <v>17</v>
      </c>
      <c r="BB27">
        <f t="shared" si="4"/>
        <v>33</v>
      </c>
      <c r="BC27">
        <v>26</v>
      </c>
      <c r="BH27">
        <f>IFERROR(MATCH(27,$BF$4:$BF$13,0),0)</f>
        <v>0</v>
      </c>
      <c r="BI27">
        <f>IF(27=$BG$5,1,0)</f>
        <v>0</v>
      </c>
      <c r="BJ27">
        <f>IF(OR($BH27&gt;0,$BI27=1,$BL27=1),0,IFERROR(INDEX($BC$5:$BC$41,MATCH(27,$BB$5:$BB$41,0)),0))</f>
        <v>18</v>
      </c>
      <c r="BK27">
        <f>IF($BJ27&gt;0,IF(INDEX($AZ$5:$AZ$41,MATCH(27,$BB$5:$BB$41,0))=10,1,0),IF($BH27=10,1,0))</f>
        <v>1</v>
      </c>
      <c r="BL27">
        <f>IF(27=$BG$4,1,0)</f>
        <v>0</v>
      </c>
    </row>
    <row r="28" spans="1:64" ht="15" customHeight="1" x14ac:dyDescent="0.25">
      <c r="A28" s="67">
        <f>IF($BJ28&gt;0,INDEX($BA$5:$BA$41,MATCH(28,$BB$5:$BB$41,0)),IF(OR($BI28=1,$BL28=1,$BH28&gt;0),"∑",""))</f>
        <v>12</v>
      </c>
      <c r="B28" s="68">
        <f>IF($BJ28&gt;0,IF(INDEX('Final Calculation Sheet'!$F$4:$F$40,$BJ28-3)="","",INDEX('Final Calculation Sheet'!$F$4:$F$40,$BJ28-3)),"")</f>
        <v>2019</v>
      </c>
      <c r="C28" s="68" t="str">
        <f>IF($BJ28&gt;0,IF(INDEX('Final Calculation Sheet'!$G$4:$G$40,$BJ28-3)="","",INDEX('Final Calculation Sheet'!$G$4:$G$40,$BJ28-3)),IF(OR($BI28=1,$BL28=1,$BH28&gt;0),IF($BI28=1,37,IF($BL28=1,37-INDEX($BD$4:$BD$13,10),INDEX($BD$4:$BD$13,$BH28)))&amp;" lot(s)",""))</f>
        <v>NATIONAL ENTERPRISES</v>
      </c>
      <c r="D28" s="69" t="str">
        <f>IF($BJ28&gt;0,IF(INDEX('Final Calculation Sheet'!$B$4:$B$40,$BJ28-3)="","",INDEX('Final Calculation Sheet'!$B$4:$B$40,$BJ28-3)),IF(OR($BI28=1,$BL28=1,$BH28&gt;0),IF($BI28=1,"GRAND TOTAL  —  matching + remaining",IF($BL28=1,"TOTAL MATCHED  —  every group together",IF($BH28=10,"REMAINING  —  did not match the search",IF($BH28=9,"ALL LOTS  —  nothing typed in the box","GROUP "&amp;$BH28&amp;" TOTAL  —  lots matching  "&amp;INDEX($AR$6:$AY$6,$BH28))))),""))</f>
        <v>Scrap of 220 KV Circuit Breaker</v>
      </c>
      <c r="E28" s="69">
        <f>IF($BJ28&gt;0,IF(INDEX('Final Calculation Sheet'!$D$4:$D$40,$BJ28-3)="","",INDEX('Final Calculation Sheet'!$D$4:$D$40,$BJ28-3)),IF(OR($BI28=1,$BL28=1,$BH28&gt;0),"–",""))</f>
        <v>21978</v>
      </c>
      <c r="F28" s="69">
        <f>IF($BJ28&gt;0,IF(INDEX('Final Calculation Sheet'!$A$4:$A$40,$BJ28-3)="","",INDEX('Final Calculation Sheet'!$A$4:$A$40,$BJ28-3)),IF(OR($BI28=1,$BL28=1,$BH28&gt;0),IF($BI28=1,SUM('Final Calculation Sheet'!$A$4:$A$40),IF($BL28=1,SUM('Final Calculation Sheet'!$A$4:$A$40)-SUMIFS('Final Calculation Sheet'!$A$4:$A$40,$AZ$5:$AZ$41,10),SUMIFS('Final Calculation Sheet'!$A$4:$A$40,$AZ$5:$AZ$41,$BH28))),""))</f>
        <v>1</v>
      </c>
      <c r="G28" s="69" t="str">
        <f>IF($BJ28&gt;0,IF(INDEX('Final Calculation Sheet'!$E$4:$E$40,$BJ28-3)="","",INDEX('Final Calculation Sheet'!$E$4:$E$40,$BJ28-3)),IF(OR($BI28=1,$BL28=1,$BH28&gt;0),"–",""))</f>
        <v>NO</v>
      </c>
      <c r="H28" s="70">
        <f>IF($BJ28&gt;0,IF(INDEX('Final Calculation Sheet'!$C$4:$C$40,$BJ28-3)="","",INDEX('Final Calculation Sheet'!$C$4:$C$40,$BJ28-3)),IF(OR($BI28=1,$BL28=1,$BH28&gt;0),"–",""))</f>
        <v>210001</v>
      </c>
      <c r="I28" s="70">
        <f>IF($BJ28&gt;0,IF(INDEX('Final Calculation Sheet'!$H$4:$H$40,$BJ28-3)="","",INDEX('Final Calculation Sheet'!$H$4:$H$40,$BJ28-3)),IF(OR($BI28=1,$BL28=1,$BH28&gt;0),IF($BI28=1,SUM('Final Calculation Sheet'!$H$4:$H$40),IF($BL28=1,SUM('Final Calculation Sheet'!$H$4:$H$40)-SUMIFS('Final Calculation Sheet'!$H$4:$H$40,$AZ$5:$AZ$41,10),SUMIFS('Final Calculation Sheet'!$H$4:$H$40,$AZ$5:$AZ$41,$BH28))),""))</f>
        <v>210001</v>
      </c>
      <c r="J28" s="70">
        <f>IF($BJ28&gt;0,IF(INDEX('Final Calculation Sheet'!$I$4:$I$40,$BJ28-3)="","",INDEX('Final Calculation Sheet'!$I$4:$I$40,$BJ28-3)),IF(OR($BI28=1,$BL28=1,$BH28&gt;0),IF($BI28=1,SUM('Final Calculation Sheet'!$I$4:$I$40),IF($BL28=1,SUM('Final Calculation Sheet'!$I$4:$I$40)-SUMIFS('Final Calculation Sheet'!$I$4:$I$40,$AZ$5:$AZ$41,10),SUMIFS('Final Calculation Sheet'!$I$4:$I$40,$AZ$5:$AZ$41,$BH28))),""))</f>
        <v>37800</v>
      </c>
      <c r="K28" s="70">
        <f>IF($BJ28&gt;0,IF(INDEX('Final Calculation Sheet'!$J$4:$J$40,$BJ28-3)="","",INDEX('Final Calculation Sheet'!$J$4:$J$40,$BJ28-3)),IF(OR($BI28=1,$BL28=1,$BH28&gt;0),IF($BI28=1,SUM('Final Calculation Sheet'!$J$4:$J$40),IF($BL28=1,SUM('Final Calculation Sheet'!$J$4:$J$40)-SUMIFS('Final Calculation Sheet'!$J$4:$J$40,$AZ$5:$AZ$41,10),SUMIFS('Final Calculation Sheet'!$J$4:$J$40,$AZ$5:$AZ$41,$BH28))),""))</f>
        <v>247801</v>
      </c>
      <c r="L28" s="70">
        <f>IF($BJ28&gt;0,IF(INDEX('Final Calculation Sheet'!$K$4:$K$40,$BJ28-3)="","",INDEX('Final Calculation Sheet'!$K$4:$K$40,$BJ28-3)),IF(OR($BI28=1,$BL28=1,$BH28&gt;0),IF($BI28=1,SUM('Final Calculation Sheet'!$K$4:$K$40),IF($BL28=1,SUM('Final Calculation Sheet'!$K$4:$K$40)-SUMIFS('Final Calculation Sheet'!$K$4:$K$40,$AZ$5:$AZ$41,10),SUMIFS('Final Calculation Sheet'!$K$4:$K$40,$AZ$5:$AZ$41,$BH28))),""))</f>
        <v>4956</v>
      </c>
      <c r="M28" s="70">
        <f>IF($BJ28&gt;0,IF(INDEX('Final Calculation Sheet'!$L$4:$L$40,$BJ28-3)="","",INDEX('Final Calculation Sheet'!$L$4:$L$40,$BJ28-3)),IF(OR($BI28=1,$BL28=1,$BH28&gt;0),IF($BI28=1,SUM('Final Calculation Sheet'!$L$4:$L$40),IF($BL28=1,SUM('Final Calculation Sheet'!$L$4:$L$40)-SUMIFS('Final Calculation Sheet'!$L$4:$L$40,$AZ$5:$AZ$41,10),SUMIFS('Final Calculation Sheet'!$L$4:$L$40,$AZ$5:$AZ$41,$BH28))),""))</f>
        <v>210.001</v>
      </c>
      <c r="N28" s="70">
        <f>IF($BJ28&gt;0,IF(INDEX('Final Calculation Sheet'!$M$4:$M$40,$BJ28-3)="","",INDEX('Final Calculation Sheet'!$M$4:$M$40,$BJ28-3)),IF(OR($BI28=1,$BL28=1,$BH28&gt;0),IF($BI28=1,SUM('Final Calculation Sheet'!$M$4:$M$40),IF($BL28=1,SUM('Final Calculation Sheet'!$M$4:$M$40)-SUMIFS('Final Calculation Sheet'!$M$4:$M$40,$AZ$5:$AZ$41,10),SUMIFS('Final Calculation Sheet'!$M$4:$M$40,$AZ$5:$AZ$41,$BH28))),""))</f>
        <v>5575.5265499999996</v>
      </c>
      <c r="O28" s="71">
        <f>IF($BJ28&gt;0,IF(INDEX('Final Calculation Sheet'!$N$4:$N$40,$BJ28-3)="","",INDEX('Final Calculation Sheet'!$N$4:$N$40,$BJ28-3)),IF(OR($BI28=1,$BL28=1,$BH28&gt;0),IF($BI28=1,SUM('Final Calculation Sheet'!$N$4:$N$40),IF($BL28=1,SUM('Final Calculation Sheet'!$N$4:$N$40)-SUMIFS('Final Calculation Sheet'!$N$4:$N$40,$AZ$5:$AZ$41,10),SUMIFS('Final Calculation Sheet'!$N$4:$N$40,$AZ$5:$AZ$41,$BH28))),""))</f>
        <v>94.500450000000001</v>
      </c>
      <c r="P28" s="70">
        <f>IF($BJ28&gt;0,IF(INDEX('Final Calculation Sheet'!$O$4:$O$40,$BJ28-3)="","",INDEX('Final Calculation Sheet'!$O$4:$O$40,$BJ28-3)),IF(OR($BI28=1,$BL28=1,$BH28&gt;0),IF($BI28=1,SUM('Final Calculation Sheet'!$O$4:$O$40),IF($BL28=1,SUM('Final Calculation Sheet'!$O$4:$O$40)-SUMIFS('Final Calculation Sheet'!$O$4:$O$40,$AZ$5:$AZ$41,10),SUMIFS('Final Calculation Sheet'!$O$4:$O$40,$AZ$5:$AZ$41,$BH28))),""))</f>
        <v>5481.0260999999991</v>
      </c>
      <c r="Q28" s="70">
        <f>IF($BJ28&gt;0,IF(INDEX('Final Calculation Sheet'!$P$4:$P$40,$BJ28-3)="","",INDEX('Final Calculation Sheet'!$P$4:$P$40,$BJ28-3)),IF(OR($BI28=1,$BL28=1,$BH28&gt;0),IF($BI28=1,SUM('Final Calculation Sheet'!$P$4:$P$40),IF($BL28=1,SUM('Final Calculation Sheet'!$P$4:$P$40)-SUMIFS('Final Calculation Sheet'!$P$4:$P$40,$AZ$5:$AZ$41,10),SUMIFS('Final Calculation Sheet'!$P$4:$P$40,$AZ$5:$AZ$41,$BH28))),""))</f>
        <v>5691</v>
      </c>
      <c r="R28" s="72">
        <f>IF($BJ28&gt;0,IF(INDEX('Final Calculation Sheet'!$Q$4:$Q$40,$BJ28-3)="","",INDEX('Final Calculation Sheet'!$Q$4:$Q$40,$BJ28-3)),IF(OR($BI28=1,$BL28=1,$BH28&gt;0),"–",""))</f>
        <v>0</v>
      </c>
      <c r="S28" s="70">
        <f>IF($BJ28&gt;0,IF(INDEX('Final Calculation Sheet'!$R$4:$R$40,$BJ28-3)="","",INDEX('Final Calculation Sheet'!$R$4:$R$40,$BJ28-3)),IF(OR($BI28=1,$BL28=1,$BH28&gt;0),IF($BI28=1,SUM('Final Calculation Sheet'!$R$4:$R$40),IF($BL28=1,SUM('Final Calculation Sheet'!$R$4:$R$40)-SUMIFS('Final Calculation Sheet'!$R$4:$R$40,$AZ$5:$AZ$41,10),SUMIFS('Final Calculation Sheet'!$R$4:$R$40,$AZ$5:$AZ$41,$BH28))),""))</f>
        <v>0</v>
      </c>
      <c r="T28" s="70">
        <f>IF($BJ28&gt;0,IF(INDEX('Final Calculation Sheet'!$S$4:$S$40,$BJ28-3)="","",INDEX('Final Calculation Sheet'!$S$4:$S$40,$BJ28-3)),IF(OR($BI28=1,$BL28=1,$BH28&gt;0),IF($BI28=1,SUM('Final Calculation Sheet'!$S$4:$S$40),IF($BL28=1,SUM('Final Calculation Sheet'!$S$4:$S$40)-SUMIFS('Final Calculation Sheet'!$S$4:$S$40,$AZ$5:$AZ$41,10),SUMIFS('Final Calculation Sheet'!$S$4:$S$40,$AZ$5:$AZ$41,$BH28))),""))</f>
        <v>247066</v>
      </c>
      <c r="U28" s="70">
        <f>IF($BJ28&gt;0,IF(INDEX('Final Calculation Sheet'!$T$4:$T$40,$BJ28-3)="","",INDEX('Final Calculation Sheet'!$T$4:$T$40,$BJ28-3)),IF(OR($BI28=1,$BL28=1,$BH28&gt;0),IF($BI28=1,SUM('Final Calculation Sheet'!$T$4:$T$40),IF($BL28=1,SUM('Final Calculation Sheet'!$T$4:$T$40)-SUMIFS('Final Calculation Sheet'!$T$4:$T$40,$AZ$5:$AZ$41,10),SUMIFS('Final Calculation Sheet'!$T$4:$T$40,$AZ$5:$AZ$41,$BH28))),""))</f>
        <v>52500</v>
      </c>
      <c r="V28" s="73">
        <f>IF($BJ28&gt;0,IF(INDEX('Final Calculation Sheet'!$U$4:$U$40,$BJ28-3)="","",INDEX('Final Calculation Sheet'!$U$4:$U$40,$BJ28-3)),IF(OR($BI28=1,$BL28=1,$BH28&gt;0),IF($BI28=1,SUM('Final Calculation Sheet'!$U$4:$U$40),IF($BL28=1,SUM('Final Calculation Sheet'!$U$4:$U$40)-SUMIFS('Final Calculation Sheet'!$U$4:$U$40,$AZ$5:$AZ$41,10),SUMIFS('Final Calculation Sheet'!$U$4:$U$40,$AZ$5:$AZ$41,$BH28))),""))</f>
        <v>52500</v>
      </c>
      <c r="W28" s="70" t="str">
        <f>IF($BJ28&gt;0,IF(INDEX('Final Calculation Sheet'!$V$4:$V$40,$BJ28-3)="","",INDEX('Final Calculation Sheet'!$V$4:$V$40,$BJ28-3)),IF(OR($BI28=1,$BL28=1,$BH28&gt;0),"–",""))</f>
        <v>13.08.2026</v>
      </c>
      <c r="X28" s="70">
        <f>IF($BJ28&gt;0,IF(INDEX('Final Calculation Sheet'!$W$4:$W$40,$BJ28-3)="","",INDEX('Final Calculation Sheet'!$W$4:$W$40,$BJ28-3)),IF(OR($BI28=1,$BL28=1,$BH28&gt;0),IF($BI28=1,SUM('Final Calculation Sheet'!$W$4:$W$40),IF($BL28=1,SUM('Final Calculation Sheet'!$W$4:$W$40)-SUMIFS('Final Calculation Sheet'!$W$4:$W$40,$AZ$5:$AZ$41,10),SUMIFS('Final Calculation Sheet'!$W$4:$W$40,$AZ$5:$AZ$41,$BH28))),""))</f>
        <v>194566</v>
      </c>
      <c r="Y28" s="70">
        <f>IF($BJ28&gt;0,IF(INDEX('Final Calculation Sheet'!$X$4:$X$40,$BJ28-3)="","",INDEX('Final Calculation Sheet'!$X$4:$X$40,$BJ28-3)),IF(OR($BI28=1,$BL28=1,$BH28&gt;0),IF($BI28=1,SUM('Final Calculation Sheet'!$X$4:$X$40),IF($BL28=1,SUM('Final Calculation Sheet'!$X$4:$X$40)-SUMIFS('Final Calculation Sheet'!$X$4:$X$40,$AZ$5:$AZ$41,10),SUMIFS('Final Calculation Sheet'!$X$4:$X$40,$AZ$5:$AZ$41,$BH28))),""))</f>
        <v>194566</v>
      </c>
      <c r="Z28" s="70" t="str">
        <f>IF($BJ28&gt;0,IF(INDEX('Final Calculation Sheet'!$Y$4:$Y$40,$BJ28-3)="","",INDEX('Final Calculation Sheet'!$Y$4:$Y$40,$BJ28-3)),IF(OR($BI28=1,$BL28=1,$BH28&gt;0),"–",""))</f>
        <v>24.08.2026</v>
      </c>
      <c r="AA28" s="70">
        <f ca="1">IF($BJ28&gt;0,IF(INDEX('Final Calculation Sheet'!$Z$4:$Z$40,$BJ28-3)="","",INDEX('Final Calculation Sheet'!$Z$4:$Z$40,$BJ28-3)),IF(OR($BI28=1,$BL28=1,$BH28&gt;0),IF($BI28=1,SUM('Final Calculation Sheet'!$Z$4:$Z$40),IF($BL28=1,SUM('Final Calculation Sheet'!$Z$4:$Z$40)-SUMIFS('Final Calculation Sheet'!$Z$4:$Z$40,$AZ$5:$AZ$41,10),SUMIFS('Final Calculation Sheet'!$Z$4:$Z$40,$AZ$5:$AZ$41,$BH28))),""))</f>
        <v>0</v>
      </c>
      <c r="AB28" s="70" t="str">
        <f>IF($BJ28&gt;0,IF(INDEX('Final Calculation Sheet'!$AA$4:$AA$40,$BJ28-3)="","",INDEX('Final Calculation Sheet'!$AA$4:$AA$40,$BJ28-3)),IF(OR($BI28=1,$BL28=1,$BH28&gt;0),IF($BI28=1,SUM('Final Calculation Sheet'!$AA$4:$AA$40),IF($BL28=1,SUM('Final Calculation Sheet'!$AA$4:$AA$40)-SUMIFS('Final Calculation Sheet'!$AA$4:$AA$40,$AZ$5:$AZ$41,10),SUMIFS('Final Calculation Sheet'!$AA$4:$AA$40,$AZ$5:$AZ$41,$BH28))),""))</f>
        <v/>
      </c>
      <c r="AC28" s="70" t="str">
        <f>IF($BJ28&gt;0,IF(INDEX('Final Calculation Sheet'!$AB$4:$AB$40,$BJ28-3)="","",INDEX('Final Calculation Sheet'!$AB$4:$AB$40,$BJ28-3)),IF(OR($BI28=1,$BL28=1,$BH28&gt;0),"–",""))</f>
        <v/>
      </c>
      <c r="AD28" s="70">
        <f>IF($BJ28&gt;0,IF(INDEX('Final Calculation Sheet'!$AC$4:$AC$40,$BJ28-3)="","",INDEX('Final Calculation Sheet'!$AC$4:$AC$40,$BJ28-3)),IF(OR($BI28=1,$BL28=1,$BH28&gt;0),IF($BI28=1,SUM('Final Calculation Sheet'!$AC$4:$AC$40),IF($BL28=1,SUM('Final Calculation Sheet'!$AC$4:$AC$40)-SUMIFS('Final Calculation Sheet'!$AC$4:$AC$40,$AZ$5:$AZ$41,10),SUMIFS('Final Calculation Sheet'!$AC$4:$AC$40,$AZ$5:$AZ$41,$BH28))),""))</f>
        <v>247066</v>
      </c>
      <c r="AE28" s="70">
        <f>IF($BJ28&gt;0,IF(INDEX('Final Calculation Sheet'!$AD$4:$AD$40,$BJ28-3)="","",INDEX('Final Calculation Sheet'!$AD$4:$AD$40,$BJ28-3)),IF(OR($BI28=1,$BL28=1,$BH28&gt;0),IF($BI28=1,SUM('Final Calculation Sheet'!$AD$4:$AD$40),IF($BL28=1,SUM('Final Calculation Sheet'!$AD$4:$AD$40)-SUMIFS('Final Calculation Sheet'!$AD$4:$AD$40,$AZ$5:$AZ$41,10),SUMIFS('Final Calculation Sheet'!$AD$4:$AD$40,$AZ$5:$AZ$41,$BH28))),""))</f>
        <v>0</v>
      </c>
      <c r="AF28" s="70" t="str">
        <f>IF($BJ28&gt;0,IF(INDEX('Final Calculation Sheet'!$AE$4:$AE$40,$BJ28-3)="","",INDEX('Final Calculation Sheet'!$AE$4:$AE$40,$BJ28-3)),IF(OR($BI28=1,$BL28=1,$BH28&gt;0),"–",""))</f>
        <v>DR2640100035</v>
      </c>
      <c r="AG28" s="74">
        <f>IF($BJ28&gt;0,IF(INDEX('Final Calculation Sheet'!$AF$4:$AF$40,$BJ28-3)="","",INDEX('Final Calculation Sheet'!$AF$4:$AF$40,$BJ28-3)),IF(OR($BI28=1,$BL28=1,$BH28&gt;0),"–",""))</f>
        <v>1800003307</v>
      </c>
      <c r="AH28" s="70" t="str">
        <f>IF($BJ28&gt;0,IF(INDEX('Final Calculation Sheet'!$AG$4:$AG$40,$BJ28-3)="","",INDEX('Final Calculation Sheet'!$AG$4:$AG$40,$BJ28-3)),IF(OR($BI28=1,$BL28=1,$BH28&gt;0),"–",""))</f>
        <v>27.08.2026</v>
      </c>
      <c r="AI28" s="75" t="str">
        <f>IF($BJ28&gt;0,IF(INDEX('Final Calculation Sheet'!$AD$4:$AD$40,$BJ28-3)="","",IF(INDEX('Final Calculation Sheet'!$AD$4:$AD$40,$BJ28-3)&lt;=0,"SETTLED","OUTSTANDING")),IF(OR($BI28=1,$BL28=1,$BH28&gt;0),IF(IF($BI28=1,SUM('Final Calculation Sheet'!$AD$4:$AD$40),IF($BL28=1,SUM('Final Calculation Sheet'!$AD$4:$AD$40)-SUMIFS('Final Calculation Sheet'!$AD$4:$AD$40,$AZ$5:$AZ$41,10),SUMIFS('Final Calculation Sheet'!$AD$4:$AD$40,$AZ$5:$AZ$41,$BH28)))&lt;=0,"ALL SETTLED","OUTSTANDING"),""))</f>
        <v>SETTLED</v>
      </c>
      <c r="AK28" t="str">
        <f>IF($F$3="Lot No.",'Final Calculation Sheet'!$F$27,IF($F$3="Buyer",'Final Calculation Sheet'!$G$27,IF($F$3="Lot Name",'Final Calculation Sheet'!$B$27,IF($F$3="Bid Sheet",'Final Calculation Sheet'!$D$27,IF($F$3="Unit",'Final Calculation Sheet'!$E$27,'Final Calculation Sheet'!$F$27&amp;" "&amp;'Final Calculation Sheet'!$G$27&amp;" "&amp;'Final Calculation Sheet'!$B$27)))))</f>
        <v>2036 M I SCRAP TRADERS Mix Scrap (Tower angles &amp; 0.2 ACSR Condutor pieces)</v>
      </c>
      <c r="AM28">
        <f t="shared" si="1"/>
        <v>0</v>
      </c>
      <c r="AZ28">
        <f t="shared" si="2"/>
        <v>10</v>
      </c>
      <c r="BA28">
        <f t="shared" si="3"/>
        <v>18</v>
      </c>
      <c r="BB28">
        <f t="shared" si="4"/>
        <v>34</v>
      </c>
      <c r="BC28">
        <v>27</v>
      </c>
      <c r="BH28">
        <f>IFERROR(MATCH(28,$BF$4:$BF$13,0),0)</f>
        <v>0</v>
      </c>
      <c r="BI28">
        <f>IF(28=$BG$5,1,0)</f>
        <v>0</v>
      </c>
      <c r="BJ28">
        <f>IF(OR($BH28&gt;0,$BI28=1,$BL28=1),0,IFERROR(INDEX($BC$5:$BC$41,MATCH(28,$BB$5:$BB$41,0)),0))</f>
        <v>19</v>
      </c>
      <c r="BK28">
        <f>IF($BJ28&gt;0,IF(INDEX($AZ$5:$AZ$41,MATCH(28,$BB$5:$BB$41,0))=10,1,0),IF($BH28=10,1,0))</f>
        <v>1</v>
      </c>
      <c r="BL28">
        <f>IF(28=$BG$4,1,0)</f>
        <v>0</v>
      </c>
    </row>
    <row r="29" spans="1:64" ht="15" customHeight="1" x14ac:dyDescent="0.25">
      <c r="A29" s="67">
        <f>IF($BJ29&gt;0,INDEX($BA$5:$BA$41,MATCH(29,$BB$5:$BB$41,0)),IF(OR($BI29=1,$BL29=1,$BH29&gt;0),"∑",""))</f>
        <v>13</v>
      </c>
      <c r="B29" s="68">
        <f>IF($BJ29&gt;0,IF(INDEX('Final Calculation Sheet'!$F$4:$F$40,$BJ29-3)="","",INDEX('Final Calculation Sheet'!$F$4:$F$40,$BJ29-3)),"")</f>
        <v>2020</v>
      </c>
      <c r="C29" s="68" t="str">
        <f>IF($BJ29&gt;0,IF(INDEX('Final Calculation Sheet'!$G$4:$G$40,$BJ29-3)="","",INDEX('Final Calculation Sheet'!$G$4:$G$40,$BJ29-3)),IF(OR($BI29=1,$BL29=1,$BH29&gt;0),IF($BI29=1,37,IF($BL29=1,37-INDEX($BD$4:$BD$13,10),INDEX($BD$4:$BD$13,$BH29)))&amp;" lot(s)",""))</f>
        <v>OMKAR STEELS</v>
      </c>
      <c r="D29" s="69" t="str">
        <f>IF($BJ29&gt;0,IF(INDEX('Final Calculation Sheet'!$B$4:$B$40,$BJ29-3)="","",INDEX('Final Calculation Sheet'!$B$4:$B$40,$BJ29-3)),IF(OR($BI29=1,$BL29=1,$BH29&gt;0),IF($BI29=1,"GRAND TOTAL  —  matching + remaining",IF($BL29=1,"TOTAL MATCHED  —  every group together",IF($BH29=10,"REMAINING  —  did not match the search",IF($BH29=9,"ALL LOTS  —  nothing typed in the box","GROUP "&amp;$BH29&amp;" TOTAL  —  lots matching  "&amp;INDEX($AR$6:$AY$6,$BH29))))),""))</f>
        <v>SCRAP 80MM² AAAC EARTHWIRE</v>
      </c>
      <c r="E29" s="69">
        <f>IF($BJ29&gt;0,IF(INDEX('Final Calculation Sheet'!$D$4:$D$40,$BJ29-3)="","",INDEX('Final Calculation Sheet'!$D$4:$D$40,$BJ29-3)),IF(OR($BI29=1,$BL29=1,$BH29&gt;0),"–",""))</f>
        <v>21978</v>
      </c>
      <c r="F29" s="69">
        <f>IF($BJ29&gt;0,IF(INDEX('Final Calculation Sheet'!$A$4:$A$40,$BJ29-3)="","",INDEX('Final Calculation Sheet'!$A$4:$A$40,$BJ29-3)),IF(OR($BI29=1,$BL29=1,$BH29&gt;0),IF($BI29=1,SUM('Final Calculation Sheet'!$A$4:$A$40),IF($BL29=1,SUM('Final Calculation Sheet'!$A$4:$A$40)-SUMIFS('Final Calculation Sheet'!$A$4:$A$40,$AZ$5:$AZ$41,10),SUMIFS('Final Calculation Sheet'!$A$4:$A$40,$AZ$5:$AZ$41,$BH29))),""))</f>
        <v>3500</v>
      </c>
      <c r="G29" s="69" t="str">
        <f>IF($BJ29&gt;0,IF(INDEX('Final Calculation Sheet'!$E$4:$E$40,$BJ29-3)="","",INDEX('Final Calculation Sheet'!$E$4:$E$40,$BJ29-3)),IF(OR($BI29=1,$BL29=1,$BH29&gt;0),"–",""))</f>
        <v>KG</v>
      </c>
      <c r="H29" s="70">
        <f>IF($BJ29&gt;0,IF(INDEX('Final Calculation Sheet'!$C$4:$C$40,$BJ29-3)="","",INDEX('Final Calculation Sheet'!$C$4:$C$40,$BJ29-3)),IF(OR($BI29=1,$BL29=1,$BH29&gt;0),"–",""))</f>
        <v>333</v>
      </c>
      <c r="I29" s="70">
        <f>IF($BJ29&gt;0,IF(INDEX('Final Calculation Sheet'!$H$4:$H$40,$BJ29-3)="","",INDEX('Final Calculation Sheet'!$H$4:$H$40,$BJ29-3)),IF(OR($BI29=1,$BL29=1,$BH29&gt;0),IF($BI29=1,SUM('Final Calculation Sheet'!$H$4:$H$40),IF($BL29=1,SUM('Final Calculation Sheet'!$H$4:$H$40)-SUMIFS('Final Calculation Sheet'!$H$4:$H$40,$AZ$5:$AZ$41,10),SUMIFS('Final Calculation Sheet'!$H$4:$H$40,$AZ$5:$AZ$41,$BH29))),""))</f>
        <v>1165500</v>
      </c>
      <c r="J29" s="70">
        <f>IF($BJ29&gt;0,IF(INDEX('Final Calculation Sheet'!$I$4:$I$40,$BJ29-3)="","",INDEX('Final Calculation Sheet'!$I$4:$I$40,$BJ29-3)),IF(OR($BI29=1,$BL29=1,$BH29&gt;0),IF($BI29=1,SUM('Final Calculation Sheet'!$I$4:$I$40),IF($BL29=1,SUM('Final Calculation Sheet'!$I$4:$I$40)-SUMIFS('Final Calculation Sheet'!$I$4:$I$40,$AZ$5:$AZ$41,10),SUMIFS('Final Calculation Sheet'!$I$4:$I$40,$AZ$5:$AZ$41,$BH29))),""))</f>
        <v>209790</v>
      </c>
      <c r="K29" s="70">
        <f>IF($BJ29&gt;0,IF(INDEX('Final Calculation Sheet'!$J$4:$J$40,$BJ29-3)="","",INDEX('Final Calculation Sheet'!$J$4:$J$40,$BJ29-3)),IF(OR($BI29=1,$BL29=1,$BH29&gt;0),IF($BI29=1,SUM('Final Calculation Sheet'!$J$4:$J$40),IF($BL29=1,SUM('Final Calculation Sheet'!$J$4:$J$40)-SUMIFS('Final Calculation Sheet'!$J$4:$J$40,$AZ$5:$AZ$41,10),SUMIFS('Final Calculation Sheet'!$J$4:$J$40,$AZ$5:$AZ$41,$BH29))),""))</f>
        <v>1375290</v>
      </c>
      <c r="L29" s="70">
        <f>IF($BJ29&gt;0,IF(INDEX('Final Calculation Sheet'!$K$4:$K$40,$BJ29-3)="","",INDEX('Final Calculation Sheet'!$K$4:$K$40,$BJ29-3)),IF(OR($BI29=1,$BL29=1,$BH29&gt;0),IF($BI29=1,SUM('Final Calculation Sheet'!$K$4:$K$40),IF($BL29=1,SUM('Final Calculation Sheet'!$K$4:$K$40)-SUMIFS('Final Calculation Sheet'!$K$4:$K$40,$AZ$5:$AZ$41,10),SUMIFS('Final Calculation Sheet'!$K$4:$K$40,$AZ$5:$AZ$41,$BH29))),""))</f>
        <v>27506</v>
      </c>
      <c r="M29" s="70">
        <f>IF($BJ29&gt;0,IF(INDEX('Final Calculation Sheet'!$L$4:$L$40,$BJ29-3)="","",INDEX('Final Calculation Sheet'!$L$4:$L$40,$BJ29-3)),IF(OR($BI29=1,$BL29=1,$BH29&gt;0),IF($BI29=1,SUM('Final Calculation Sheet'!$L$4:$L$40),IF($BL29=1,SUM('Final Calculation Sheet'!$L$4:$L$40)-SUMIFS('Final Calculation Sheet'!$L$4:$L$40,$AZ$5:$AZ$41,10),SUMIFS('Final Calculation Sheet'!$L$4:$L$40,$AZ$5:$AZ$41,$BH29))),""))</f>
        <v>1165.5</v>
      </c>
      <c r="N29" s="70">
        <f>IF($BJ29&gt;0,IF(INDEX('Final Calculation Sheet'!$M$4:$M$40,$BJ29-3)="","",INDEX('Final Calculation Sheet'!$M$4:$M$40,$BJ29-3)),IF(OR($BI29=1,$BL29=1,$BH29&gt;0),IF($BI29=1,SUM('Final Calculation Sheet'!$M$4:$M$40),IF($BL29=1,SUM('Final Calculation Sheet'!$M$4:$M$40)-SUMIFS('Final Calculation Sheet'!$M$4:$M$40,$AZ$5:$AZ$41,10),SUMIFS('Final Calculation Sheet'!$M$4:$M$40,$AZ$5:$AZ$41,$BH29))),""))</f>
        <v>30944.024999999998</v>
      </c>
      <c r="O29" s="71">
        <f>IF($BJ29&gt;0,IF(INDEX('Final Calculation Sheet'!$N$4:$N$40,$BJ29-3)="","",INDEX('Final Calculation Sheet'!$N$4:$N$40,$BJ29-3)),IF(OR($BI29=1,$BL29=1,$BH29&gt;0),IF($BI29=1,SUM('Final Calculation Sheet'!$N$4:$N$40),IF($BL29=1,SUM('Final Calculation Sheet'!$N$4:$N$40)-SUMIFS('Final Calculation Sheet'!$N$4:$N$40,$AZ$5:$AZ$41,10),SUMIFS('Final Calculation Sheet'!$N$4:$N$40,$AZ$5:$AZ$41,$BH29))),""))</f>
        <v>524.47500000000002</v>
      </c>
      <c r="P29" s="70">
        <f>IF($BJ29&gt;0,IF(INDEX('Final Calculation Sheet'!$O$4:$O$40,$BJ29-3)="","",INDEX('Final Calculation Sheet'!$O$4:$O$40,$BJ29-3)),IF(OR($BI29=1,$BL29=1,$BH29&gt;0),IF($BI29=1,SUM('Final Calculation Sheet'!$O$4:$O$40),IF($BL29=1,SUM('Final Calculation Sheet'!$O$4:$O$40)-SUMIFS('Final Calculation Sheet'!$O$4:$O$40,$AZ$5:$AZ$41,10),SUMIFS('Final Calculation Sheet'!$O$4:$O$40,$AZ$5:$AZ$41,$BH29))),""))</f>
        <v>30419.55</v>
      </c>
      <c r="Q29" s="70">
        <f>IF($BJ29&gt;0,IF(INDEX('Final Calculation Sheet'!$P$4:$P$40,$BJ29-3)="","",INDEX('Final Calculation Sheet'!$P$4:$P$40,$BJ29-3)),IF(OR($BI29=1,$BL29=1,$BH29&gt;0),IF($BI29=1,SUM('Final Calculation Sheet'!$P$4:$P$40),IF($BL29=1,SUM('Final Calculation Sheet'!$P$4:$P$40)-SUMIFS('Final Calculation Sheet'!$P$4:$P$40,$AZ$5:$AZ$41,10),SUMIFS('Final Calculation Sheet'!$P$4:$P$40,$AZ$5:$AZ$41,$BH29))),""))</f>
        <v>31585</v>
      </c>
      <c r="R29" s="72">
        <f>IF($BJ29&gt;0,IF(INDEX('Final Calculation Sheet'!$Q$4:$Q$40,$BJ29-3)="","",INDEX('Final Calculation Sheet'!$Q$4:$Q$40,$BJ29-3)),IF(OR($BI29=1,$BL29=1,$BH29&gt;0),"–",""))</f>
        <v>0.02</v>
      </c>
      <c r="S29" s="70">
        <f>IF($BJ29&gt;0,IF(INDEX('Final Calculation Sheet'!$R$4:$R$40,$BJ29-3)="","",INDEX('Final Calculation Sheet'!$R$4:$R$40,$BJ29-3)),IF(OR($BI29=1,$BL29=1,$BH29&gt;0),IF($BI29=1,SUM('Final Calculation Sheet'!$R$4:$R$40),IF($BL29=1,SUM('Final Calculation Sheet'!$R$4:$R$40)-SUMIFS('Final Calculation Sheet'!$R$4:$R$40,$AZ$5:$AZ$41,10),SUMIFS('Final Calculation Sheet'!$R$4:$R$40,$AZ$5:$AZ$41,$BH29))),""))</f>
        <v>23310</v>
      </c>
      <c r="T29" s="70">
        <f>IF($BJ29&gt;0,IF(INDEX('Final Calculation Sheet'!$S$4:$S$40,$BJ29-3)="","",INDEX('Final Calculation Sheet'!$S$4:$S$40,$BJ29-3)),IF(OR($BI29=1,$BL29=1,$BH29&gt;0),IF($BI29=1,SUM('Final Calculation Sheet'!$S$4:$S$40),IF($BL29=1,SUM('Final Calculation Sheet'!$S$4:$S$40)-SUMIFS('Final Calculation Sheet'!$S$4:$S$40,$AZ$5:$AZ$41,10),SUMIFS('Final Calculation Sheet'!$S$4:$S$40,$AZ$5:$AZ$41,$BH29))),""))</f>
        <v>1347901</v>
      </c>
      <c r="U29" s="70">
        <f>IF($BJ29&gt;0,IF(INDEX('Final Calculation Sheet'!$T$4:$T$40,$BJ29-3)="","",INDEX('Final Calculation Sheet'!$T$4:$T$40,$BJ29-3)),IF(OR($BI29=1,$BL29=1,$BH29&gt;0),IF($BI29=1,SUM('Final Calculation Sheet'!$T$4:$T$40),IF($BL29=1,SUM('Final Calculation Sheet'!$T$4:$T$40)-SUMIFS('Final Calculation Sheet'!$T$4:$T$40,$AZ$5:$AZ$41,10),SUMIFS('Final Calculation Sheet'!$T$4:$T$40,$AZ$5:$AZ$41,$BH29))),""))</f>
        <v>291375</v>
      </c>
      <c r="V29" s="73">
        <f>IF($BJ29&gt;0,IF(INDEX('Final Calculation Sheet'!$U$4:$U$40,$BJ29-3)="","",INDEX('Final Calculation Sheet'!$U$4:$U$40,$BJ29-3)),IF(OR($BI29=1,$BL29=1,$BH29&gt;0),IF($BI29=1,SUM('Final Calculation Sheet'!$U$4:$U$40),IF($BL29=1,SUM('Final Calculation Sheet'!$U$4:$U$40)-SUMIFS('Final Calculation Sheet'!$U$4:$U$40,$AZ$5:$AZ$41,10),SUMIFS('Final Calculation Sheet'!$U$4:$U$40,$AZ$5:$AZ$41,$BH29))),""))</f>
        <v>291375</v>
      </c>
      <c r="W29" s="70" t="str">
        <f>IF($BJ29&gt;0,IF(INDEX('Final Calculation Sheet'!$V$4:$V$40,$BJ29-3)="","",INDEX('Final Calculation Sheet'!$V$4:$V$40,$BJ29-3)),IF(OR($BI29=1,$BL29=1,$BH29&gt;0),"–",""))</f>
        <v>10.08.2026</v>
      </c>
      <c r="X29" s="70">
        <f>IF($BJ29&gt;0,IF(INDEX('Final Calculation Sheet'!$W$4:$W$40,$BJ29-3)="","",INDEX('Final Calculation Sheet'!$W$4:$W$40,$BJ29-3)),IF(OR($BI29=1,$BL29=1,$BH29&gt;0),IF($BI29=1,SUM('Final Calculation Sheet'!$W$4:$W$40),IF($BL29=1,SUM('Final Calculation Sheet'!$W$4:$W$40)-SUMIFS('Final Calculation Sheet'!$W$4:$W$40,$AZ$5:$AZ$41,10),SUMIFS('Final Calculation Sheet'!$W$4:$W$40,$AZ$5:$AZ$41,$BH29))),""))</f>
        <v>1056526</v>
      </c>
      <c r="Y29" s="70">
        <f>IF($BJ29&gt;0,IF(INDEX('Final Calculation Sheet'!$X$4:$X$40,$BJ29-3)="","",INDEX('Final Calculation Sheet'!$X$4:$X$40,$BJ29-3)),IF(OR($BI29=1,$BL29=1,$BH29&gt;0),IF($BI29=1,SUM('Final Calculation Sheet'!$X$4:$X$40),IF($BL29=1,SUM('Final Calculation Sheet'!$X$4:$X$40)-SUMIFS('Final Calculation Sheet'!$X$4:$X$40,$AZ$5:$AZ$41,10),SUMIFS('Final Calculation Sheet'!$X$4:$X$40,$AZ$5:$AZ$41,$BH29))),""))</f>
        <v>1056525</v>
      </c>
      <c r="Z29" s="70" t="str">
        <f>IF($BJ29&gt;0,IF(INDEX('Final Calculation Sheet'!$Y$4:$Y$40,$BJ29-3)="","",INDEX('Final Calculation Sheet'!$Y$4:$Y$40,$BJ29-3)),IF(OR($BI29=1,$BL29=1,$BH29&gt;0),"–",""))</f>
        <v>10.08.2026</v>
      </c>
      <c r="AA29" s="70">
        <f ca="1">IF($BJ29&gt;0,IF(INDEX('Final Calculation Sheet'!$Z$4:$Z$40,$BJ29-3)="","",INDEX('Final Calculation Sheet'!$Z$4:$Z$40,$BJ29-3)),IF(OR($BI29=1,$BL29=1,$BH29&gt;0),IF($BI29=1,SUM('Final Calculation Sheet'!$Z$4:$Z$40),IF($BL29=1,SUM('Final Calculation Sheet'!$Z$4:$Z$40)-SUMIFS('Final Calculation Sheet'!$Z$4:$Z$40,$AZ$5:$AZ$41,10),SUMIFS('Final Calculation Sheet'!$Z$4:$Z$40,$AZ$5:$AZ$41,$BH29))),""))</f>
        <v>0</v>
      </c>
      <c r="AB29" s="70" t="str">
        <f>IF($BJ29&gt;0,IF(INDEX('Final Calculation Sheet'!$AA$4:$AA$40,$BJ29-3)="","",INDEX('Final Calculation Sheet'!$AA$4:$AA$40,$BJ29-3)),IF(OR($BI29=1,$BL29=1,$BH29&gt;0),IF($BI29=1,SUM('Final Calculation Sheet'!$AA$4:$AA$40),IF($BL29=1,SUM('Final Calculation Sheet'!$AA$4:$AA$40)-SUMIFS('Final Calculation Sheet'!$AA$4:$AA$40,$AZ$5:$AZ$41,10),SUMIFS('Final Calculation Sheet'!$AA$4:$AA$40,$AZ$5:$AZ$41,$BH29))),""))</f>
        <v/>
      </c>
      <c r="AC29" s="70" t="str">
        <f>IF($BJ29&gt;0,IF(INDEX('Final Calculation Sheet'!$AB$4:$AB$40,$BJ29-3)="","",INDEX('Final Calculation Sheet'!$AB$4:$AB$40,$BJ29-3)),IF(OR($BI29=1,$BL29=1,$BH29&gt;0),"–",""))</f>
        <v/>
      </c>
      <c r="AD29" s="70">
        <f>IF($BJ29&gt;0,IF(INDEX('Final Calculation Sheet'!$AC$4:$AC$40,$BJ29-3)="","",INDEX('Final Calculation Sheet'!$AC$4:$AC$40,$BJ29-3)),IF(OR($BI29=1,$BL29=1,$BH29&gt;0),IF($BI29=1,SUM('Final Calculation Sheet'!$AC$4:$AC$40),IF($BL29=1,SUM('Final Calculation Sheet'!$AC$4:$AC$40)-SUMIFS('Final Calculation Sheet'!$AC$4:$AC$40,$AZ$5:$AZ$41,10),SUMIFS('Final Calculation Sheet'!$AC$4:$AC$40,$AZ$5:$AZ$41,$BH29))),""))</f>
        <v>1347900</v>
      </c>
      <c r="AE29" s="70">
        <f>IF($BJ29&gt;0,IF(INDEX('Final Calculation Sheet'!$AD$4:$AD$40,$BJ29-3)="","",INDEX('Final Calculation Sheet'!$AD$4:$AD$40,$BJ29-3)),IF(OR($BI29=1,$BL29=1,$BH29&gt;0),IF($BI29=1,SUM('Final Calculation Sheet'!$AD$4:$AD$40),IF($BL29=1,SUM('Final Calculation Sheet'!$AD$4:$AD$40)-SUMIFS('Final Calculation Sheet'!$AD$4:$AD$40,$AZ$5:$AZ$41,10),SUMIFS('Final Calculation Sheet'!$AD$4:$AD$40,$AZ$5:$AZ$41,$BH29))),""))</f>
        <v>1</v>
      </c>
      <c r="AF29" s="70" t="str">
        <f>IF($BJ29&gt;0,IF(INDEX('Final Calculation Sheet'!$AE$4:$AE$40,$BJ29-3)="","",INDEX('Final Calculation Sheet'!$AE$4:$AE$40,$BJ29-3)),IF(OR($BI29=1,$BL29=1,$BH29&gt;0),"–",""))</f>
        <v>DR2640100017</v>
      </c>
      <c r="AG29" s="74">
        <f>IF($BJ29&gt;0,IF(INDEX('Final Calculation Sheet'!$AF$4:$AF$40,$BJ29-3)="","",INDEX('Final Calculation Sheet'!$AF$4:$AF$40,$BJ29-3)),IF(OR($BI29=1,$BL29=1,$BH29&gt;0),"–",""))</f>
        <v>1800003065</v>
      </c>
      <c r="AH29" s="70" t="str">
        <f>IF($BJ29&gt;0,IF(INDEX('Final Calculation Sheet'!$AG$4:$AG$40,$BJ29-3)="","",INDEX('Final Calculation Sheet'!$AG$4:$AG$40,$BJ29-3)),IF(OR($BI29=1,$BL29=1,$BH29&gt;0),"–",""))</f>
        <v>12.08.2026</v>
      </c>
      <c r="AI29" s="75" t="str">
        <f>IF($BJ29&gt;0,IF(INDEX('Final Calculation Sheet'!$AD$4:$AD$40,$BJ29-3)="","",IF(INDEX('Final Calculation Sheet'!$AD$4:$AD$40,$BJ29-3)&lt;=0,"SETTLED","OUTSTANDING")),IF(OR($BI29=1,$BL29=1,$BH29&gt;0),IF(IF($BI29=1,SUM('Final Calculation Sheet'!$AD$4:$AD$40),IF($BL29=1,SUM('Final Calculation Sheet'!$AD$4:$AD$40)-SUMIFS('Final Calculation Sheet'!$AD$4:$AD$40,$AZ$5:$AZ$41,10),SUMIFS('Final Calculation Sheet'!$AD$4:$AD$40,$AZ$5:$AZ$41,$BH29)))&lt;=0,"ALL SETTLED","OUTSTANDING"),""))</f>
        <v>OUTSTANDING</v>
      </c>
      <c r="AK29" t="str">
        <f>IF($F$3="Lot No.",'Final Calculation Sheet'!$F$28,IF($F$3="Buyer",'Final Calculation Sheet'!$G$28,IF($F$3="Lot Name",'Final Calculation Sheet'!$B$28,IF($F$3="Bid Sheet",'Final Calculation Sheet'!$D$28,IF($F$3="Unit",'Final Calculation Sheet'!$E$28,'Final Calculation Sheet'!$F$28&amp;" "&amp;'Final Calculation Sheet'!$G$28&amp;" "&amp;'Final Calculation Sheet'!$B$28)))))</f>
        <v>2037 WATAN SCRAP TRADERS Scrap of empty oil Barrels</v>
      </c>
      <c r="AM29">
        <f t="shared" si="1"/>
        <v>1</v>
      </c>
      <c r="AZ29">
        <f t="shared" si="2"/>
        <v>2</v>
      </c>
      <c r="BA29">
        <f t="shared" si="3"/>
        <v>4</v>
      </c>
      <c r="BB29">
        <f t="shared" si="4"/>
        <v>13</v>
      </c>
      <c r="BC29">
        <v>28</v>
      </c>
      <c r="BH29">
        <f>IFERROR(MATCH(29,$BF$4:$BF$13,0),0)</f>
        <v>0</v>
      </c>
      <c r="BI29">
        <f>IF(29=$BG$5,1,0)</f>
        <v>0</v>
      </c>
      <c r="BJ29">
        <f>IF(OR($BH29&gt;0,$BI29=1,$BL29=1),0,IFERROR(INDEX($BC$5:$BC$41,MATCH(29,$BB$5:$BB$41,0)),0))</f>
        <v>20</v>
      </c>
      <c r="BK29">
        <f>IF($BJ29&gt;0,IF(INDEX($AZ$5:$AZ$41,MATCH(29,$BB$5:$BB$41,0))=10,1,0),IF($BH29=10,1,0))</f>
        <v>1</v>
      </c>
      <c r="BL29">
        <f>IF(29=$BG$4,1,0)</f>
        <v>0</v>
      </c>
    </row>
    <row r="30" spans="1:64" ht="15" customHeight="1" x14ac:dyDescent="0.25">
      <c r="A30" s="67">
        <f>IF($BJ30&gt;0,INDEX($BA$5:$BA$41,MATCH(30,$BB$5:$BB$41,0)),IF(OR($BI30=1,$BL30=1,$BH30&gt;0),"∑",""))</f>
        <v>14</v>
      </c>
      <c r="B30" s="68">
        <f>IF($BJ30&gt;0,IF(INDEX('Final Calculation Sheet'!$F$4:$F$40,$BJ30-3)="","",INDEX('Final Calculation Sheet'!$F$4:$F$40,$BJ30-3)),"")</f>
        <v>2022</v>
      </c>
      <c r="C30" s="68" t="str">
        <f>IF($BJ30&gt;0,IF(INDEX('Final Calculation Sheet'!$G$4:$G$40,$BJ30-3)="","",INDEX('Final Calculation Sheet'!$G$4:$G$40,$BJ30-3)),IF(OR($BI30=1,$BL30=1,$BH30&gt;0),IF($BI30=1,37,IF($BL30=1,37-INDEX($BD$4:$BD$13,10),INDEX($BD$4:$BD$13,$BH30)))&amp;" lot(s)",""))</f>
        <v>NATIONAL SCRAP AND BUILDING MATERIAL SUPPLIER</v>
      </c>
      <c r="D30" s="69" t="str">
        <f>IF($BJ30&gt;0,IF(INDEX('Final Calculation Sheet'!$B$4:$B$40,$BJ30-3)="","",INDEX('Final Calculation Sheet'!$B$4:$B$40,$BJ30-3)),IF(OR($BI30=1,$BL30=1,$BH30&gt;0),IF($BI30=1,"GRAND TOTAL  —  matching + remaining",IF($BL30=1,"TOTAL MATCHED  —  every group together",IF($BH30=10,"REMAINING  —  did not match the search",IF($BH30=9,"ALL LOTS  —  nothing typed in the box","GROUP "&amp;$BH30&amp;" TOTAL  —  lots matching  "&amp;INDEX($AR$6:$AY$6,$BH30))))),""))</f>
        <v>Scrap of 132 KV CT</v>
      </c>
      <c r="E30" s="69">
        <f>IF($BJ30&gt;0,IF(INDEX('Final Calculation Sheet'!$D$4:$D$40,$BJ30-3)="","",INDEX('Final Calculation Sheet'!$D$4:$D$40,$BJ30-3)),IF(OR($BI30=1,$BL30=1,$BH30&gt;0),"–",""))</f>
        <v>21978</v>
      </c>
      <c r="F30" s="69">
        <f>IF($BJ30&gt;0,IF(INDEX('Final Calculation Sheet'!$A$4:$A$40,$BJ30-3)="","",INDEX('Final Calculation Sheet'!$A$4:$A$40,$BJ30-3)),IF(OR($BI30=1,$BL30=1,$BH30&gt;0),IF($BI30=1,SUM('Final Calculation Sheet'!$A$4:$A$40),IF($BL30=1,SUM('Final Calculation Sheet'!$A$4:$A$40)-SUMIFS('Final Calculation Sheet'!$A$4:$A$40,$AZ$5:$AZ$41,10),SUMIFS('Final Calculation Sheet'!$A$4:$A$40,$AZ$5:$AZ$41,$BH30))),""))</f>
        <v>3</v>
      </c>
      <c r="G30" s="69" t="str">
        <f>IF($BJ30&gt;0,IF(INDEX('Final Calculation Sheet'!$E$4:$E$40,$BJ30-3)="","",INDEX('Final Calculation Sheet'!$E$4:$E$40,$BJ30-3)),IF(OR($BI30=1,$BL30=1,$BH30&gt;0),"–",""))</f>
        <v>NO</v>
      </c>
      <c r="H30" s="70">
        <f>IF($BJ30&gt;0,IF(INDEX('Final Calculation Sheet'!$C$4:$C$40,$BJ30-3)="","",INDEX('Final Calculation Sheet'!$C$4:$C$40,$BJ30-3)),IF(OR($BI30=1,$BL30=1,$BH30&gt;0),"–",""))</f>
        <v>110200</v>
      </c>
      <c r="I30" s="70">
        <f>IF($BJ30&gt;0,IF(INDEX('Final Calculation Sheet'!$H$4:$H$40,$BJ30-3)="","",INDEX('Final Calculation Sheet'!$H$4:$H$40,$BJ30-3)),IF(OR($BI30=1,$BL30=1,$BH30&gt;0),IF($BI30=1,SUM('Final Calculation Sheet'!$H$4:$H$40),IF($BL30=1,SUM('Final Calculation Sheet'!$H$4:$H$40)-SUMIFS('Final Calculation Sheet'!$H$4:$H$40,$AZ$5:$AZ$41,10),SUMIFS('Final Calculation Sheet'!$H$4:$H$40,$AZ$5:$AZ$41,$BH30))),""))</f>
        <v>330600</v>
      </c>
      <c r="J30" s="70">
        <f>IF($BJ30&gt;0,IF(INDEX('Final Calculation Sheet'!$I$4:$I$40,$BJ30-3)="","",INDEX('Final Calculation Sheet'!$I$4:$I$40,$BJ30-3)),IF(OR($BI30=1,$BL30=1,$BH30&gt;0),IF($BI30=1,SUM('Final Calculation Sheet'!$I$4:$I$40),IF($BL30=1,SUM('Final Calculation Sheet'!$I$4:$I$40)-SUMIFS('Final Calculation Sheet'!$I$4:$I$40,$AZ$5:$AZ$41,10),SUMIFS('Final Calculation Sheet'!$I$4:$I$40,$AZ$5:$AZ$41,$BH30))),""))</f>
        <v>59508</v>
      </c>
      <c r="K30" s="70">
        <f>IF($BJ30&gt;0,IF(INDEX('Final Calculation Sheet'!$J$4:$J$40,$BJ30-3)="","",INDEX('Final Calculation Sheet'!$J$4:$J$40,$BJ30-3)),IF(OR($BI30=1,$BL30=1,$BH30&gt;0),IF($BI30=1,SUM('Final Calculation Sheet'!$J$4:$J$40),IF($BL30=1,SUM('Final Calculation Sheet'!$J$4:$J$40)-SUMIFS('Final Calculation Sheet'!$J$4:$J$40,$AZ$5:$AZ$41,10),SUMIFS('Final Calculation Sheet'!$J$4:$J$40,$AZ$5:$AZ$41,$BH30))),""))</f>
        <v>390108</v>
      </c>
      <c r="L30" s="70">
        <f>IF($BJ30&gt;0,IF(INDEX('Final Calculation Sheet'!$K$4:$K$40,$BJ30-3)="","",INDEX('Final Calculation Sheet'!$K$4:$K$40,$BJ30-3)),IF(OR($BI30=1,$BL30=1,$BH30&gt;0),IF($BI30=1,SUM('Final Calculation Sheet'!$K$4:$K$40),IF($BL30=1,SUM('Final Calculation Sheet'!$K$4:$K$40)-SUMIFS('Final Calculation Sheet'!$K$4:$K$40,$AZ$5:$AZ$41,10),SUMIFS('Final Calculation Sheet'!$K$4:$K$40,$AZ$5:$AZ$41,$BH30))),""))</f>
        <v>7802</v>
      </c>
      <c r="M30" s="70">
        <f>IF($BJ30&gt;0,IF(INDEX('Final Calculation Sheet'!$L$4:$L$40,$BJ30-3)="","",INDEX('Final Calculation Sheet'!$L$4:$L$40,$BJ30-3)),IF(OR($BI30=1,$BL30=1,$BH30&gt;0),IF($BI30=1,SUM('Final Calculation Sheet'!$L$4:$L$40),IF($BL30=1,SUM('Final Calculation Sheet'!$L$4:$L$40)-SUMIFS('Final Calculation Sheet'!$L$4:$L$40,$AZ$5:$AZ$41,10),SUMIFS('Final Calculation Sheet'!$L$4:$L$40,$AZ$5:$AZ$41,$BH30))),""))</f>
        <v>330.6</v>
      </c>
      <c r="N30" s="70">
        <f>IF($BJ30&gt;0,IF(INDEX('Final Calculation Sheet'!$M$4:$M$40,$BJ30-3)="","",INDEX('Final Calculation Sheet'!$M$4:$M$40,$BJ30-3)),IF(OR($BI30=1,$BL30=1,$BH30&gt;0),IF($BI30=1,SUM('Final Calculation Sheet'!$M$4:$M$40),IF($BL30=1,SUM('Final Calculation Sheet'!$M$4:$M$40)-SUMIFS('Final Calculation Sheet'!$M$4:$M$40,$AZ$5:$AZ$41,10),SUMIFS('Final Calculation Sheet'!$M$4:$M$40,$AZ$5:$AZ$41,$BH30))),""))</f>
        <v>8777.43</v>
      </c>
      <c r="O30" s="71">
        <f>IF($BJ30&gt;0,IF(INDEX('Final Calculation Sheet'!$N$4:$N$40,$BJ30-3)="","",INDEX('Final Calculation Sheet'!$N$4:$N$40,$BJ30-3)),IF(OR($BI30=1,$BL30=1,$BH30&gt;0),IF($BI30=1,SUM('Final Calculation Sheet'!$N$4:$N$40),IF($BL30=1,SUM('Final Calculation Sheet'!$N$4:$N$40)-SUMIFS('Final Calculation Sheet'!$N$4:$N$40,$AZ$5:$AZ$41,10),SUMIFS('Final Calculation Sheet'!$N$4:$N$40,$AZ$5:$AZ$41,$BH30))),""))</f>
        <v>148.77000000000001</v>
      </c>
      <c r="P30" s="70">
        <f>IF($BJ30&gt;0,IF(INDEX('Final Calculation Sheet'!$O$4:$O$40,$BJ30-3)="","",INDEX('Final Calculation Sheet'!$O$4:$O$40,$BJ30-3)),IF(OR($BI30=1,$BL30=1,$BH30&gt;0),IF($BI30=1,SUM('Final Calculation Sheet'!$O$4:$O$40),IF($BL30=1,SUM('Final Calculation Sheet'!$O$4:$O$40)-SUMIFS('Final Calculation Sheet'!$O$4:$O$40,$AZ$5:$AZ$41,10),SUMIFS('Final Calculation Sheet'!$O$4:$O$40,$AZ$5:$AZ$41,$BH30))),""))</f>
        <v>8628.66</v>
      </c>
      <c r="Q30" s="70">
        <f>IF($BJ30&gt;0,IF(INDEX('Final Calculation Sheet'!$P$4:$P$40,$BJ30-3)="","",INDEX('Final Calculation Sheet'!$P$4:$P$40,$BJ30-3)),IF(OR($BI30=1,$BL30=1,$BH30&gt;0),IF($BI30=1,SUM('Final Calculation Sheet'!$P$4:$P$40),IF($BL30=1,SUM('Final Calculation Sheet'!$P$4:$P$40)-SUMIFS('Final Calculation Sheet'!$P$4:$P$40,$AZ$5:$AZ$41,10),SUMIFS('Final Calculation Sheet'!$P$4:$P$40,$AZ$5:$AZ$41,$BH30))),""))</f>
        <v>8959</v>
      </c>
      <c r="R30" s="72">
        <f>IF($BJ30&gt;0,IF(INDEX('Final Calculation Sheet'!$Q$4:$Q$40,$BJ30-3)="","",INDEX('Final Calculation Sheet'!$Q$4:$Q$40,$BJ30-3)),IF(OR($BI30=1,$BL30=1,$BH30&gt;0),"–",""))</f>
        <v>0</v>
      </c>
      <c r="S30" s="70">
        <f>IF($BJ30&gt;0,IF(INDEX('Final Calculation Sheet'!$R$4:$R$40,$BJ30-3)="","",INDEX('Final Calculation Sheet'!$R$4:$R$40,$BJ30-3)),IF(OR($BI30=1,$BL30=1,$BH30&gt;0),IF($BI30=1,SUM('Final Calculation Sheet'!$R$4:$R$40),IF($BL30=1,SUM('Final Calculation Sheet'!$R$4:$R$40)-SUMIFS('Final Calculation Sheet'!$R$4:$R$40,$AZ$5:$AZ$41,10),SUMIFS('Final Calculation Sheet'!$R$4:$R$40,$AZ$5:$AZ$41,$BH30))),""))</f>
        <v>0</v>
      </c>
      <c r="T30" s="70">
        <f>IF($BJ30&gt;0,IF(INDEX('Final Calculation Sheet'!$S$4:$S$40,$BJ30-3)="","",INDEX('Final Calculation Sheet'!$S$4:$S$40,$BJ30-3)),IF(OR($BI30=1,$BL30=1,$BH30&gt;0),IF($BI30=1,SUM('Final Calculation Sheet'!$S$4:$S$40),IF($BL30=1,SUM('Final Calculation Sheet'!$S$4:$S$40)-SUMIFS('Final Calculation Sheet'!$S$4:$S$40,$AZ$5:$AZ$41,10),SUMIFS('Final Calculation Sheet'!$S$4:$S$40,$AZ$5:$AZ$41,$BH30))),""))</f>
        <v>388951</v>
      </c>
      <c r="U30" s="70">
        <f>IF($BJ30&gt;0,IF(INDEX('Final Calculation Sheet'!$T$4:$T$40,$BJ30-3)="","",INDEX('Final Calculation Sheet'!$T$4:$T$40,$BJ30-3)),IF(OR($BI30=1,$BL30=1,$BH30&gt;0),IF($BI30=1,SUM('Final Calculation Sheet'!$T$4:$T$40),IF($BL30=1,SUM('Final Calculation Sheet'!$T$4:$T$40)-SUMIFS('Final Calculation Sheet'!$T$4:$T$40,$AZ$5:$AZ$41,10),SUMIFS('Final Calculation Sheet'!$T$4:$T$40,$AZ$5:$AZ$41,$BH30))),""))</f>
        <v>82650</v>
      </c>
      <c r="V30" s="73">
        <f>IF($BJ30&gt;0,IF(INDEX('Final Calculation Sheet'!$U$4:$U$40,$BJ30-3)="","",INDEX('Final Calculation Sheet'!$U$4:$U$40,$BJ30-3)),IF(OR($BI30=1,$BL30=1,$BH30&gt;0),IF($BI30=1,SUM('Final Calculation Sheet'!$U$4:$U$40),IF($BL30=1,SUM('Final Calculation Sheet'!$U$4:$U$40)-SUMIFS('Final Calculation Sheet'!$U$4:$U$40,$AZ$5:$AZ$41,10),SUMIFS('Final Calculation Sheet'!$U$4:$U$40,$AZ$5:$AZ$41,$BH30))),""))</f>
        <v>82650</v>
      </c>
      <c r="W30" s="70" t="str">
        <f>IF($BJ30&gt;0,IF(INDEX('Final Calculation Sheet'!$V$4:$V$40,$BJ30-3)="","",INDEX('Final Calculation Sheet'!$V$4:$V$40,$BJ30-3)),IF(OR($BI30=1,$BL30=1,$BH30&gt;0),"–",""))</f>
        <v>14.08.2026</v>
      </c>
      <c r="X30" s="70">
        <f>IF($BJ30&gt;0,IF(INDEX('Final Calculation Sheet'!$W$4:$W$40,$BJ30-3)="","",INDEX('Final Calculation Sheet'!$W$4:$W$40,$BJ30-3)),IF(OR($BI30=1,$BL30=1,$BH30&gt;0),IF($BI30=1,SUM('Final Calculation Sheet'!$W$4:$W$40),IF($BL30=1,SUM('Final Calculation Sheet'!$W$4:$W$40)-SUMIFS('Final Calculation Sheet'!$W$4:$W$40,$AZ$5:$AZ$41,10),SUMIFS('Final Calculation Sheet'!$W$4:$W$40,$AZ$5:$AZ$41,$BH30))),""))</f>
        <v>306301</v>
      </c>
      <c r="Y30" s="70">
        <f>IF($BJ30&gt;0,IF(INDEX('Final Calculation Sheet'!$X$4:$X$40,$BJ30-3)="","",INDEX('Final Calculation Sheet'!$X$4:$X$40,$BJ30-3)),IF(OR($BI30=1,$BL30=1,$BH30&gt;0),IF($BI30=1,SUM('Final Calculation Sheet'!$X$4:$X$40),IF($BL30=1,SUM('Final Calculation Sheet'!$X$4:$X$40)-SUMIFS('Final Calculation Sheet'!$X$4:$X$40,$AZ$5:$AZ$41,10),SUMIFS('Final Calculation Sheet'!$X$4:$X$40,$AZ$5:$AZ$41,$BH30))),""))</f>
        <v>306301</v>
      </c>
      <c r="Z30" s="70" t="str">
        <f>IF($BJ30&gt;0,IF(INDEX('Final Calculation Sheet'!$Y$4:$Y$40,$BJ30-3)="","",INDEX('Final Calculation Sheet'!$Y$4:$Y$40,$BJ30-3)),IF(OR($BI30=1,$BL30=1,$BH30&gt;0),"–",""))</f>
        <v>21.08.2026</v>
      </c>
      <c r="AA30" s="70">
        <f ca="1">IF($BJ30&gt;0,IF(INDEX('Final Calculation Sheet'!$Z$4:$Z$40,$BJ30-3)="","",INDEX('Final Calculation Sheet'!$Z$4:$Z$40,$BJ30-3)),IF(OR($BI30=1,$BL30=1,$BH30&gt;0),IF($BI30=1,SUM('Final Calculation Sheet'!$Z$4:$Z$40),IF($BL30=1,SUM('Final Calculation Sheet'!$Z$4:$Z$40)-SUMIFS('Final Calculation Sheet'!$Z$4:$Z$40,$AZ$5:$AZ$41,10),SUMIFS('Final Calculation Sheet'!$Z$4:$Z$40,$AZ$5:$AZ$41,$BH30))),""))</f>
        <v>0</v>
      </c>
      <c r="AB30" s="70" t="str">
        <f>IF($BJ30&gt;0,IF(INDEX('Final Calculation Sheet'!$AA$4:$AA$40,$BJ30-3)="","",INDEX('Final Calculation Sheet'!$AA$4:$AA$40,$BJ30-3)),IF(OR($BI30=1,$BL30=1,$BH30&gt;0),IF($BI30=1,SUM('Final Calculation Sheet'!$AA$4:$AA$40),IF($BL30=1,SUM('Final Calculation Sheet'!$AA$4:$AA$40)-SUMIFS('Final Calculation Sheet'!$AA$4:$AA$40,$AZ$5:$AZ$41,10),SUMIFS('Final Calculation Sheet'!$AA$4:$AA$40,$AZ$5:$AZ$41,$BH30))),""))</f>
        <v/>
      </c>
      <c r="AC30" s="70" t="str">
        <f>IF($BJ30&gt;0,IF(INDEX('Final Calculation Sheet'!$AB$4:$AB$40,$BJ30-3)="","",INDEX('Final Calculation Sheet'!$AB$4:$AB$40,$BJ30-3)),IF(OR($BI30=1,$BL30=1,$BH30&gt;0),"–",""))</f>
        <v/>
      </c>
      <c r="AD30" s="70">
        <f>IF($BJ30&gt;0,IF(INDEX('Final Calculation Sheet'!$AC$4:$AC$40,$BJ30-3)="","",INDEX('Final Calculation Sheet'!$AC$4:$AC$40,$BJ30-3)),IF(OR($BI30=1,$BL30=1,$BH30&gt;0),IF($BI30=1,SUM('Final Calculation Sheet'!$AC$4:$AC$40),IF($BL30=1,SUM('Final Calculation Sheet'!$AC$4:$AC$40)-SUMIFS('Final Calculation Sheet'!$AC$4:$AC$40,$AZ$5:$AZ$41,10),SUMIFS('Final Calculation Sheet'!$AC$4:$AC$40,$AZ$5:$AZ$41,$BH30))),""))</f>
        <v>388951</v>
      </c>
      <c r="AE30" s="70">
        <f>IF($BJ30&gt;0,IF(INDEX('Final Calculation Sheet'!$AD$4:$AD$40,$BJ30-3)="","",INDEX('Final Calculation Sheet'!$AD$4:$AD$40,$BJ30-3)),IF(OR($BI30=1,$BL30=1,$BH30&gt;0),IF($BI30=1,SUM('Final Calculation Sheet'!$AD$4:$AD$40),IF($BL30=1,SUM('Final Calculation Sheet'!$AD$4:$AD$40)-SUMIFS('Final Calculation Sheet'!$AD$4:$AD$40,$AZ$5:$AZ$41,10),SUMIFS('Final Calculation Sheet'!$AD$4:$AD$40,$AZ$5:$AZ$41,$BH30))),""))</f>
        <v>0</v>
      </c>
      <c r="AF30" s="70" t="str">
        <f>IF($BJ30&gt;0,IF(INDEX('Final Calculation Sheet'!$AE$4:$AE$40,$BJ30-3)="","",INDEX('Final Calculation Sheet'!$AE$4:$AE$40,$BJ30-3)),IF(OR($BI30=1,$BL30=1,$BH30&gt;0),"–",""))</f>
        <v>DR2640100028</v>
      </c>
      <c r="AG30" s="74">
        <f>IF($BJ30&gt;0,IF(INDEX('Final Calculation Sheet'!$AF$4:$AF$40,$BJ30-3)="","",INDEX('Final Calculation Sheet'!$AF$4:$AF$40,$BJ30-3)),IF(OR($BI30=1,$BL30=1,$BH30&gt;0),"–",""))</f>
        <v>1800003269</v>
      </c>
      <c r="AH30" s="70" t="str">
        <f>IF($BJ30&gt;0,IF(INDEX('Final Calculation Sheet'!$AG$4:$AG$40,$BJ30-3)="","",INDEX('Final Calculation Sheet'!$AG$4:$AG$40,$BJ30-3)),IF(OR($BI30=1,$BL30=1,$BH30&gt;0),"–",""))</f>
        <v>24.08.2026</v>
      </c>
      <c r="AI30" s="75" t="str">
        <f>IF($BJ30&gt;0,IF(INDEX('Final Calculation Sheet'!$AD$4:$AD$40,$BJ30-3)="","",IF(INDEX('Final Calculation Sheet'!$AD$4:$AD$40,$BJ30-3)&lt;=0,"SETTLED","OUTSTANDING")),IF(OR($BI30=1,$BL30=1,$BH30&gt;0),IF(IF($BI30=1,SUM('Final Calculation Sheet'!$AD$4:$AD$40),IF($BL30=1,SUM('Final Calculation Sheet'!$AD$4:$AD$40)-SUMIFS('Final Calculation Sheet'!$AD$4:$AD$40,$AZ$5:$AZ$41,10),SUMIFS('Final Calculation Sheet'!$AD$4:$AD$40,$AZ$5:$AZ$41,$BH30)))&lt;=0,"ALL SETTLED","OUTSTANDING"),""))</f>
        <v>SETTLED</v>
      </c>
      <c r="AK30" t="str">
        <f>IF($F$3="Lot No.",'Final Calculation Sheet'!$F$29,IF($F$3="Buyer",'Final Calculation Sheet'!$G$29,IF($F$3="Lot Name",'Final Calculation Sheet'!$B$29,IF($F$3="Bid Sheet",'Final Calculation Sheet'!$D$29,IF($F$3="Unit",'Final Calculation Sheet'!$E$29,'Final Calculation Sheet'!$F$29&amp;" "&amp;'Final Calculation Sheet'!$G$29&amp;" "&amp;'Final Calculation Sheet'!$B$29)))))</f>
        <v>2040 STERLING ENTERPRISES Scrap of 33 KV CT</v>
      </c>
      <c r="AM30">
        <f t="shared" si="1"/>
        <v>0</v>
      </c>
      <c r="AZ30">
        <f t="shared" si="2"/>
        <v>10</v>
      </c>
      <c r="BA30">
        <f t="shared" si="3"/>
        <v>19</v>
      </c>
      <c r="BB30">
        <f t="shared" si="4"/>
        <v>35</v>
      </c>
      <c r="BC30">
        <v>29</v>
      </c>
      <c r="BH30">
        <f>IFERROR(MATCH(30,$BF$4:$BF$13,0),0)</f>
        <v>0</v>
      </c>
      <c r="BI30">
        <f>IF(30=$BG$5,1,0)</f>
        <v>0</v>
      </c>
      <c r="BJ30">
        <f>IF(OR($BH30&gt;0,$BI30=1,$BL30=1),0,IFERROR(INDEX($BC$5:$BC$41,MATCH(30,$BB$5:$BB$41,0)),0))</f>
        <v>21</v>
      </c>
      <c r="BK30">
        <f>IF($BJ30&gt;0,IF(INDEX($AZ$5:$AZ$41,MATCH(30,$BB$5:$BB$41,0))=10,1,0),IF($BH30=10,1,0))</f>
        <v>1</v>
      </c>
      <c r="BL30">
        <f>IF(30=$BG$4,1,0)</f>
        <v>0</v>
      </c>
    </row>
    <row r="31" spans="1:64" ht="15" customHeight="1" x14ac:dyDescent="0.25">
      <c r="A31" s="67">
        <f>IF($BJ31&gt;0,INDEX($BA$5:$BA$41,MATCH(31,$BB$5:$BB$41,0)),IF(OR($BI31=1,$BL31=1,$BH31&gt;0),"∑",""))</f>
        <v>15</v>
      </c>
      <c r="B31" s="68">
        <f>IF($BJ31&gt;0,IF(INDEX('Final Calculation Sheet'!$F$4:$F$40,$BJ31-3)="","",INDEX('Final Calculation Sheet'!$F$4:$F$40,$BJ31-3)),"")</f>
        <v>2023</v>
      </c>
      <c r="C31" s="68" t="str">
        <f>IF($BJ31&gt;0,IF(INDEX('Final Calculation Sheet'!$G$4:$G$40,$BJ31-3)="","",INDEX('Final Calculation Sheet'!$G$4:$G$40,$BJ31-3)),IF(OR($BI31=1,$BL31=1,$BH31&gt;0),IF($BI31=1,37,IF($BL31=1,37-INDEX($BD$4:$BD$13,10),INDEX($BD$4:$BD$13,$BH31)))&amp;" lot(s)",""))</f>
        <v>NATIONAL ENTERPRISES</v>
      </c>
      <c r="D31" s="69" t="str">
        <f>IF($BJ31&gt;0,IF(INDEX('Final Calculation Sheet'!$B$4:$B$40,$BJ31-3)="","",INDEX('Final Calculation Sheet'!$B$4:$B$40,$BJ31-3)),IF(OR($BI31=1,$BL31=1,$BH31&gt;0),IF($BI31=1,"GRAND TOTAL  —  matching + remaining",IF($BL31=1,"TOTAL MATCHED  —  every group together",IF($BH31=10,"REMAINING  —  did not match the search",IF($BH31=9,"ALL LOTS  —  nothing typed in the box","GROUP "&amp;$BH31&amp;" TOTAL  —  lots matching  "&amp;INDEX($AR$6:$AY$6,$BH31))))),""))</f>
        <v>Scrap of 132 KV CT</v>
      </c>
      <c r="E31" s="69">
        <f>IF($BJ31&gt;0,IF(INDEX('Final Calculation Sheet'!$D$4:$D$40,$BJ31-3)="","",INDEX('Final Calculation Sheet'!$D$4:$D$40,$BJ31-3)),IF(OR($BI31=1,$BL31=1,$BH31&gt;0),"–",""))</f>
        <v>21978</v>
      </c>
      <c r="F31" s="69">
        <f>IF($BJ31&gt;0,IF(INDEX('Final Calculation Sheet'!$A$4:$A$40,$BJ31-3)="","",INDEX('Final Calculation Sheet'!$A$4:$A$40,$BJ31-3)),IF(OR($BI31=1,$BL31=1,$BH31&gt;0),IF($BI31=1,SUM('Final Calculation Sheet'!$A$4:$A$40),IF($BL31=1,SUM('Final Calculation Sheet'!$A$4:$A$40)-SUMIFS('Final Calculation Sheet'!$A$4:$A$40,$AZ$5:$AZ$41,10),SUMIFS('Final Calculation Sheet'!$A$4:$A$40,$AZ$5:$AZ$41,$BH31))),""))</f>
        <v>3</v>
      </c>
      <c r="G31" s="69" t="str">
        <f>IF($BJ31&gt;0,IF(INDEX('Final Calculation Sheet'!$E$4:$E$40,$BJ31-3)="","",INDEX('Final Calculation Sheet'!$E$4:$E$40,$BJ31-3)),IF(OR($BI31=1,$BL31=1,$BH31&gt;0),"–",""))</f>
        <v>NO</v>
      </c>
      <c r="H31" s="70">
        <f>IF($BJ31&gt;0,IF(INDEX('Final Calculation Sheet'!$C$4:$C$40,$BJ31-3)="","",INDEX('Final Calculation Sheet'!$C$4:$C$40,$BJ31-3)),IF(OR($BI31=1,$BL31=1,$BH31&gt;0),"–",""))</f>
        <v>83743</v>
      </c>
      <c r="I31" s="70">
        <f>IF($BJ31&gt;0,IF(INDEX('Final Calculation Sheet'!$H$4:$H$40,$BJ31-3)="","",INDEX('Final Calculation Sheet'!$H$4:$H$40,$BJ31-3)),IF(OR($BI31=1,$BL31=1,$BH31&gt;0),IF($BI31=1,SUM('Final Calculation Sheet'!$H$4:$H$40),IF($BL31=1,SUM('Final Calculation Sheet'!$H$4:$H$40)-SUMIFS('Final Calculation Sheet'!$H$4:$H$40,$AZ$5:$AZ$41,10),SUMIFS('Final Calculation Sheet'!$H$4:$H$40,$AZ$5:$AZ$41,$BH31))),""))</f>
        <v>251229</v>
      </c>
      <c r="J31" s="70">
        <f>IF($BJ31&gt;0,IF(INDEX('Final Calculation Sheet'!$I$4:$I$40,$BJ31-3)="","",INDEX('Final Calculation Sheet'!$I$4:$I$40,$BJ31-3)),IF(OR($BI31=1,$BL31=1,$BH31&gt;0),IF($BI31=1,SUM('Final Calculation Sheet'!$I$4:$I$40),IF($BL31=1,SUM('Final Calculation Sheet'!$I$4:$I$40)-SUMIFS('Final Calculation Sheet'!$I$4:$I$40,$AZ$5:$AZ$41,10),SUMIFS('Final Calculation Sheet'!$I$4:$I$40,$AZ$5:$AZ$41,$BH31))),""))</f>
        <v>45221</v>
      </c>
      <c r="K31" s="70">
        <f>IF($BJ31&gt;0,IF(INDEX('Final Calculation Sheet'!$J$4:$J$40,$BJ31-3)="","",INDEX('Final Calculation Sheet'!$J$4:$J$40,$BJ31-3)),IF(OR($BI31=1,$BL31=1,$BH31&gt;0),IF($BI31=1,SUM('Final Calculation Sheet'!$J$4:$J$40),IF($BL31=1,SUM('Final Calculation Sheet'!$J$4:$J$40)-SUMIFS('Final Calculation Sheet'!$J$4:$J$40,$AZ$5:$AZ$41,10),SUMIFS('Final Calculation Sheet'!$J$4:$J$40,$AZ$5:$AZ$41,$BH31))),""))</f>
        <v>296450</v>
      </c>
      <c r="L31" s="70">
        <f>IF($BJ31&gt;0,IF(INDEX('Final Calculation Sheet'!$K$4:$K$40,$BJ31-3)="","",INDEX('Final Calculation Sheet'!$K$4:$K$40,$BJ31-3)),IF(OR($BI31=1,$BL31=1,$BH31&gt;0),IF($BI31=1,SUM('Final Calculation Sheet'!$K$4:$K$40),IF($BL31=1,SUM('Final Calculation Sheet'!$K$4:$K$40)-SUMIFS('Final Calculation Sheet'!$K$4:$K$40,$AZ$5:$AZ$41,10),SUMIFS('Final Calculation Sheet'!$K$4:$K$40,$AZ$5:$AZ$41,$BH31))),""))</f>
        <v>5929</v>
      </c>
      <c r="M31" s="70">
        <f>IF($BJ31&gt;0,IF(INDEX('Final Calculation Sheet'!$L$4:$L$40,$BJ31-3)="","",INDEX('Final Calculation Sheet'!$L$4:$L$40,$BJ31-3)),IF(OR($BI31=1,$BL31=1,$BH31&gt;0),IF($BI31=1,SUM('Final Calculation Sheet'!$L$4:$L$40),IF($BL31=1,SUM('Final Calculation Sheet'!$L$4:$L$40)-SUMIFS('Final Calculation Sheet'!$L$4:$L$40,$AZ$5:$AZ$41,10),SUMIFS('Final Calculation Sheet'!$L$4:$L$40,$AZ$5:$AZ$41,$BH31))),""))</f>
        <v>251.22900000000001</v>
      </c>
      <c r="N31" s="70">
        <f>IF($BJ31&gt;0,IF(INDEX('Final Calculation Sheet'!$M$4:$M$40,$BJ31-3)="","",INDEX('Final Calculation Sheet'!$M$4:$M$40,$BJ31-3)),IF(OR($BI31=1,$BL31=1,$BH31&gt;0),IF($BI31=1,SUM('Final Calculation Sheet'!$M$4:$M$40),IF($BL31=1,SUM('Final Calculation Sheet'!$M$4:$M$40)-SUMIFS('Final Calculation Sheet'!$M$4:$M$40,$AZ$5:$AZ$41,10),SUMIFS('Final Calculation Sheet'!$M$4:$M$40,$AZ$5:$AZ$41,$BH31))),""))</f>
        <v>6670.1299499999996</v>
      </c>
      <c r="O31" s="71">
        <f>IF($BJ31&gt;0,IF(INDEX('Final Calculation Sheet'!$N$4:$N$40,$BJ31-3)="","",INDEX('Final Calculation Sheet'!$N$4:$N$40,$BJ31-3)),IF(OR($BI31=1,$BL31=1,$BH31&gt;0),IF($BI31=1,SUM('Final Calculation Sheet'!$N$4:$N$40),IF($BL31=1,SUM('Final Calculation Sheet'!$N$4:$N$40)-SUMIFS('Final Calculation Sheet'!$N$4:$N$40,$AZ$5:$AZ$41,10),SUMIFS('Final Calculation Sheet'!$N$4:$N$40,$AZ$5:$AZ$41,$BH31))),""))</f>
        <v>113.05305</v>
      </c>
      <c r="P31" s="70">
        <f>IF($BJ31&gt;0,IF(INDEX('Final Calculation Sheet'!$O$4:$O$40,$BJ31-3)="","",INDEX('Final Calculation Sheet'!$O$4:$O$40,$BJ31-3)),IF(OR($BI31=1,$BL31=1,$BH31&gt;0),IF($BI31=1,SUM('Final Calculation Sheet'!$O$4:$O$40),IF($BL31=1,SUM('Final Calculation Sheet'!$O$4:$O$40)-SUMIFS('Final Calculation Sheet'!$O$4:$O$40,$AZ$5:$AZ$41,10),SUMIFS('Final Calculation Sheet'!$O$4:$O$40,$AZ$5:$AZ$41,$BH31))),""))</f>
        <v>6557.0768999999991</v>
      </c>
      <c r="Q31" s="70">
        <f>IF($BJ31&gt;0,IF(INDEX('Final Calculation Sheet'!$P$4:$P$40,$BJ31-3)="","",INDEX('Final Calculation Sheet'!$P$4:$P$40,$BJ31-3)),IF(OR($BI31=1,$BL31=1,$BH31&gt;0),IF($BI31=1,SUM('Final Calculation Sheet'!$P$4:$P$40),IF($BL31=1,SUM('Final Calculation Sheet'!$P$4:$P$40)-SUMIFS('Final Calculation Sheet'!$P$4:$P$40,$AZ$5:$AZ$41,10),SUMIFS('Final Calculation Sheet'!$P$4:$P$40,$AZ$5:$AZ$41,$BH31))),""))</f>
        <v>6808</v>
      </c>
      <c r="R31" s="72">
        <f>IF($BJ31&gt;0,IF(INDEX('Final Calculation Sheet'!$Q$4:$Q$40,$BJ31-3)="","",INDEX('Final Calculation Sheet'!$Q$4:$Q$40,$BJ31-3)),IF(OR($BI31=1,$BL31=1,$BH31&gt;0),"–",""))</f>
        <v>0</v>
      </c>
      <c r="S31" s="70">
        <f>IF($BJ31&gt;0,IF(INDEX('Final Calculation Sheet'!$R$4:$R$40,$BJ31-3)="","",INDEX('Final Calculation Sheet'!$R$4:$R$40,$BJ31-3)),IF(OR($BI31=1,$BL31=1,$BH31&gt;0),IF($BI31=1,SUM('Final Calculation Sheet'!$R$4:$R$40),IF($BL31=1,SUM('Final Calculation Sheet'!$R$4:$R$40)-SUMIFS('Final Calculation Sheet'!$R$4:$R$40,$AZ$5:$AZ$41,10),SUMIFS('Final Calculation Sheet'!$R$4:$R$40,$AZ$5:$AZ$41,$BH31))),""))</f>
        <v>0</v>
      </c>
      <c r="T31" s="70">
        <f>IF($BJ31&gt;0,IF(INDEX('Final Calculation Sheet'!$S$4:$S$40,$BJ31-3)="","",INDEX('Final Calculation Sheet'!$S$4:$S$40,$BJ31-3)),IF(OR($BI31=1,$BL31=1,$BH31&gt;0),IF($BI31=1,SUM('Final Calculation Sheet'!$S$4:$S$40),IF($BL31=1,SUM('Final Calculation Sheet'!$S$4:$S$40)-SUMIFS('Final Calculation Sheet'!$S$4:$S$40,$AZ$5:$AZ$41,10),SUMIFS('Final Calculation Sheet'!$S$4:$S$40,$AZ$5:$AZ$41,$BH31))),""))</f>
        <v>295571</v>
      </c>
      <c r="U31" s="70">
        <f>IF($BJ31&gt;0,IF(INDEX('Final Calculation Sheet'!$T$4:$T$40,$BJ31-3)="","",INDEX('Final Calculation Sheet'!$T$4:$T$40,$BJ31-3)),IF(OR($BI31=1,$BL31=1,$BH31&gt;0),IF($BI31=1,SUM('Final Calculation Sheet'!$T$4:$T$40),IF($BL31=1,SUM('Final Calculation Sheet'!$T$4:$T$40)-SUMIFS('Final Calculation Sheet'!$T$4:$T$40,$AZ$5:$AZ$41,10),SUMIFS('Final Calculation Sheet'!$T$4:$T$40,$AZ$5:$AZ$41,$BH31))),""))</f>
        <v>62807</v>
      </c>
      <c r="V31" s="73">
        <f>IF($BJ31&gt;0,IF(INDEX('Final Calculation Sheet'!$U$4:$U$40,$BJ31-3)="","",INDEX('Final Calculation Sheet'!$U$4:$U$40,$BJ31-3)),IF(OR($BI31=1,$BL31=1,$BH31&gt;0),IF($BI31=1,SUM('Final Calculation Sheet'!$U$4:$U$40),IF($BL31=1,SUM('Final Calculation Sheet'!$U$4:$U$40)-SUMIFS('Final Calculation Sheet'!$U$4:$U$40,$AZ$5:$AZ$41,10),SUMIFS('Final Calculation Sheet'!$U$4:$U$40,$AZ$5:$AZ$41,$BH31))),""))</f>
        <v>62807</v>
      </c>
      <c r="W31" s="70" t="str">
        <f>IF($BJ31&gt;0,IF(INDEX('Final Calculation Sheet'!$V$4:$V$40,$BJ31-3)="","",INDEX('Final Calculation Sheet'!$V$4:$V$40,$BJ31-3)),IF(OR($BI31=1,$BL31=1,$BH31&gt;0),"–",""))</f>
        <v>13.08.2026</v>
      </c>
      <c r="X31" s="70">
        <f>IF($BJ31&gt;0,IF(INDEX('Final Calculation Sheet'!$W$4:$W$40,$BJ31-3)="","",INDEX('Final Calculation Sheet'!$W$4:$W$40,$BJ31-3)),IF(OR($BI31=1,$BL31=1,$BH31&gt;0),IF($BI31=1,SUM('Final Calculation Sheet'!$W$4:$W$40),IF($BL31=1,SUM('Final Calculation Sheet'!$W$4:$W$40)-SUMIFS('Final Calculation Sheet'!$W$4:$W$40,$AZ$5:$AZ$41,10),SUMIFS('Final Calculation Sheet'!$W$4:$W$40,$AZ$5:$AZ$41,$BH31))),""))</f>
        <v>232764</v>
      </c>
      <c r="Y31" s="70">
        <f>IF($BJ31&gt;0,IF(INDEX('Final Calculation Sheet'!$X$4:$X$40,$BJ31-3)="","",INDEX('Final Calculation Sheet'!$X$4:$X$40,$BJ31-3)),IF(OR($BI31=1,$BL31=1,$BH31&gt;0),IF($BI31=1,SUM('Final Calculation Sheet'!$X$4:$X$40),IF($BL31=1,SUM('Final Calculation Sheet'!$X$4:$X$40)-SUMIFS('Final Calculation Sheet'!$X$4:$X$40,$AZ$5:$AZ$41,10),SUMIFS('Final Calculation Sheet'!$X$4:$X$40,$AZ$5:$AZ$41,$BH31))),""))</f>
        <v>232764</v>
      </c>
      <c r="Z31" s="70" t="str">
        <f>IF($BJ31&gt;0,IF(INDEX('Final Calculation Sheet'!$Y$4:$Y$40,$BJ31-3)="","",INDEX('Final Calculation Sheet'!$Y$4:$Y$40,$BJ31-3)),IF(OR($BI31=1,$BL31=1,$BH31&gt;0),"–",""))</f>
        <v>24.08.2026</v>
      </c>
      <c r="AA31" s="70">
        <f ca="1">IF($BJ31&gt;0,IF(INDEX('Final Calculation Sheet'!$Z$4:$Z$40,$BJ31-3)="","",INDEX('Final Calculation Sheet'!$Z$4:$Z$40,$BJ31-3)),IF(OR($BI31=1,$BL31=1,$BH31&gt;0),IF($BI31=1,SUM('Final Calculation Sheet'!$Z$4:$Z$40),IF($BL31=1,SUM('Final Calculation Sheet'!$Z$4:$Z$40)-SUMIFS('Final Calculation Sheet'!$Z$4:$Z$40,$AZ$5:$AZ$41,10),SUMIFS('Final Calculation Sheet'!$Z$4:$Z$40,$AZ$5:$AZ$41,$BH31))),""))</f>
        <v>0</v>
      </c>
      <c r="AB31" s="70" t="str">
        <f>IF($BJ31&gt;0,IF(INDEX('Final Calculation Sheet'!$AA$4:$AA$40,$BJ31-3)="","",INDEX('Final Calculation Sheet'!$AA$4:$AA$40,$BJ31-3)),IF(OR($BI31=1,$BL31=1,$BH31&gt;0),IF($BI31=1,SUM('Final Calculation Sheet'!$AA$4:$AA$40),IF($BL31=1,SUM('Final Calculation Sheet'!$AA$4:$AA$40)-SUMIFS('Final Calculation Sheet'!$AA$4:$AA$40,$AZ$5:$AZ$41,10),SUMIFS('Final Calculation Sheet'!$AA$4:$AA$40,$AZ$5:$AZ$41,$BH31))),""))</f>
        <v/>
      </c>
      <c r="AC31" s="70" t="str">
        <f>IF($BJ31&gt;0,IF(INDEX('Final Calculation Sheet'!$AB$4:$AB$40,$BJ31-3)="","",INDEX('Final Calculation Sheet'!$AB$4:$AB$40,$BJ31-3)),IF(OR($BI31=1,$BL31=1,$BH31&gt;0),"–",""))</f>
        <v/>
      </c>
      <c r="AD31" s="70">
        <f>IF($BJ31&gt;0,IF(INDEX('Final Calculation Sheet'!$AC$4:$AC$40,$BJ31-3)="","",INDEX('Final Calculation Sheet'!$AC$4:$AC$40,$BJ31-3)),IF(OR($BI31=1,$BL31=1,$BH31&gt;0),IF($BI31=1,SUM('Final Calculation Sheet'!$AC$4:$AC$40),IF($BL31=1,SUM('Final Calculation Sheet'!$AC$4:$AC$40)-SUMIFS('Final Calculation Sheet'!$AC$4:$AC$40,$AZ$5:$AZ$41,10),SUMIFS('Final Calculation Sheet'!$AC$4:$AC$40,$AZ$5:$AZ$41,$BH31))),""))</f>
        <v>295571</v>
      </c>
      <c r="AE31" s="70">
        <f>IF($BJ31&gt;0,IF(INDEX('Final Calculation Sheet'!$AD$4:$AD$40,$BJ31-3)="","",INDEX('Final Calculation Sheet'!$AD$4:$AD$40,$BJ31-3)),IF(OR($BI31=1,$BL31=1,$BH31&gt;0),IF($BI31=1,SUM('Final Calculation Sheet'!$AD$4:$AD$40),IF($BL31=1,SUM('Final Calculation Sheet'!$AD$4:$AD$40)-SUMIFS('Final Calculation Sheet'!$AD$4:$AD$40,$AZ$5:$AZ$41,10),SUMIFS('Final Calculation Sheet'!$AD$4:$AD$40,$AZ$5:$AZ$41,$BH31))),""))</f>
        <v>0</v>
      </c>
      <c r="AF31" s="70" t="str">
        <f>IF($BJ31&gt;0,IF(INDEX('Final Calculation Sheet'!$AE$4:$AE$40,$BJ31-3)="","",INDEX('Final Calculation Sheet'!$AE$4:$AE$40,$BJ31-3)),IF(OR($BI31=1,$BL31=1,$BH31&gt;0),"–",""))</f>
        <v>DR2640100044</v>
      </c>
      <c r="AG31" s="74">
        <f>IF($BJ31&gt;0,IF(INDEX('Final Calculation Sheet'!$AF$4:$AF$40,$BJ31-3)="","",INDEX('Final Calculation Sheet'!$AF$4:$AF$40,$BJ31-3)),IF(OR($BI31=1,$BL31=1,$BH31&gt;0),"–",""))</f>
        <v>1800003308</v>
      </c>
      <c r="AH31" s="70" t="str">
        <f>IF($BJ31&gt;0,IF(INDEX('Final Calculation Sheet'!$AG$4:$AG$40,$BJ31-3)="","",INDEX('Final Calculation Sheet'!$AG$4:$AG$40,$BJ31-3)),IF(OR($BI31=1,$BL31=1,$BH31&gt;0),"–",""))</f>
        <v>27.08.2026</v>
      </c>
      <c r="AI31" s="75" t="str">
        <f>IF($BJ31&gt;0,IF(INDEX('Final Calculation Sheet'!$AD$4:$AD$40,$BJ31-3)="","",IF(INDEX('Final Calculation Sheet'!$AD$4:$AD$40,$BJ31-3)&lt;=0,"SETTLED","OUTSTANDING")),IF(OR($BI31=1,$BL31=1,$BH31&gt;0),IF(IF($BI31=1,SUM('Final Calculation Sheet'!$AD$4:$AD$40),IF($BL31=1,SUM('Final Calculation Sheet'!$AD$4:$AD$40)-SUMIFS('Final Calculation Sheet'!$AD$4:$AD$40,$AZ$5:$AZ$41,10),SUMIFS('Final Calculation Sheet'!$AD$4:$AD$40,$AZ$5:$AZ$41,$BH31)))&lt;=0,"ALL SETTLED","OUTSTANDING"),""))</f>
        <v>SETTLED</v>
      </c>
      <c r="AK31" t="str">
        <f>IF($F$3="Lot No.",'Final Calculation Sheet'!$F$30,IF($F$3="Buyer",'Final Calculation Sheet'!$G$30,IF($F$3="Lot Name",'Final Calculation Sheet'!$B$30,IF($F$3="Bid Sheet",'Final Calculation Sheet'!$D$30,IF($F$3="Unit",'Final Calculation Sheet'!$E$30,'Final Calculation Sheet'!$F$30&amp;" "&amp;'Final Calculation Sheet'!$G$30&amp;" "&amp;'Final Calculation Sheet'!$B$30)))))</f>
        <v>2043 NATIONAL ENTERPRISES Scrap of 132 KV CT</v>
      </c>
      <c r="AM31">
        <f t="shared" si="1"/>
        <v>0</v>
      </c>
      <c r="AZ31">
        <f t="shared" si="2"/>
        <v>10</v>
      </c>
      <c r="BA31">
        <f t="shared" si="3"/>
        <v>20</v>
      </c>
      <c r="BB31">
        <f t="shared" si="4"/>
        <v>36</v>
      </c>
      <c r="BC31">
        <v>30</v>
      </c>
      <c r="BH31">
        <f>IFERROR(MATCH(31,$BF$4:$BF$13,0),0)</f>
        <v>0</v>
      </c>
      <c r="BI31">
        <f>IF(31=$BG$5,1,0)</f>
        <v>0</v>
      </c>
      <c r="BJ31">
        <f>IF(OR($BH31&gt;0,$BI31=1,$BL31=1),0,IFERROR(INDEX($BC$5:$BC$41,MATCH(31,$BB$5:$BB$41,0)),0))</f>
        <v>22</v>
      </c>
      <c r="BK31">
        <f>IF($BJ31&gt;0,IF(INDEX($AZ$5:$AZ$41,MATCH(31,$BB$5:$BB$41,0))=10,1,0),IF($BH31=10,1,0))</f>
        <v>1</v>
      </c>
      <c r="BL31">
        <f>IF(31=$BG$4,1,0)</f>
        <v>0</v>
      </c>
    </row>
    <row r="32" spans="1:64" ht="15" customHeight="1" x14ac:dyDescent="0.25">
      <c r="A32" s="67">
        <f>IF($BJ32&gt;0,INDEX($BA$5:$BA$41,MATCH(32,$BB$5:$BB$41,0)),IF(OR($BI32=1,$BL32=1,$BH32&gt;0),"∑",""))</f>
        <v>16</v>
      </c>
      <c r="B32" s="68">
        <f>IF($BJ32&gt;0,IF(INDEX('Final Calculation Sheet'!$F$4:$F$40,$BJ32-3)="","",INDEX('Final Calculation Sheet'!$F$4:$F$40,$BJ32-3)),"")</f>
        <v>2027</v>
      </c>
      <c r="C32" s="68" t="str">
        <f>IF($BJ32&gt;0,IF(INDEX('Final Calculation Sheet'!$G$4:$G$40,$BJ32-3)="","",INDEX('Final Calculation Sheet'!$G$4:$G$40,$BJ32-3)),IF(OR($BI32=1,$BL32=1,$BH32&gt;0),IF($BI32=1,37,IF($BL32=1,37-INDEX($BD$4:$BD$13,10),INDEX($BD$4:$BD$13,$BH32)))&amp;" lot(s)",""))</f>
        <v>NATIONAL ENTERPRISES</v>
      </c>
      <c r="D32" s="69" t="str">
        <f>IF($BJ32&gt;0,IF(INDEX('Final Calculation Sheet'!$B$4:$B$40,$BJ32-3)="","",INDEX('Final Calculation Sheet'!$B$4:$B$40,$BJ32-3)),IF(OR($BI32=1,$BL32=1,$BH32&gt;0),IF($BI32=1,"GRAND TOTAL  —  matching + remaining",IF($BL32=1,"TOTAL MATCHED  —  every group together",IF($BH32=10,"REMAINING  —  did not match the search",IF($BH32=9,"ALL LOTS  —  nothing typed in the box","GROUP "&amp;$BH32&amp;" TOTAL  —  lots matching  "&amp;INDEX($AR$6:$AY$6,$BH32))))),""))</f>
        <v>Scrap of 132 KV CT</v>
      </c>
      <c r="E32" s="69">
        <f>IF($BJ32&gt;0,IF(INDEX('Final Calculation Sheet'!$D$4:$D$40,$BJ32-3)="","",INDEX('Final Calculation Sheet'!$D$4:$D$40,$BJ32-3)),IF(OR($BI32=1,$BL32=1,$BH32&gt;0),"–",""))</f>
        <v>21978</v>
      </c>
      <c r="F32" s="69">
        <f>IF($BJ32&gt;0,IF(INDEX('Final Calculation Sheet'!$A$4:$A$40,$BJ32-3)="","",INDEX('Final Calculation Sheet'!$A$4:$A$40,$BJ32-3)),IF(OR($BI32=1,$BL32=1,$BH32&gt;0),IF($BI32=1,SUM('Final Calculation Sheet'!$A$4:$A$40),IF($BL32=1,SUM('Final Calculation Sheet'!$A$4:$A$40)-SUMIFS('Final Calculation Sheet'!$A$4:$A$40,$AZ$5:$AZ$41,10),SUMIFS('Final Calculation Sheet'!$A$4:$A$40,$AZ$5:$AZ$41,$BH32))),""))</f>
        <v>1</v>
      </c>
      <c r="G32" s="69" t="str">
        <f>IF($BJ32&gt;0,IF(INDEX('Final Calculation Sheet'!$E$4:$E$40,$BJ32-3)="","",INDEX('Final Calculation Sheet'!$E$4:$E$40,$BJ32-3)),IF(OR($BI32=1,$BL32=1,$BH32&gt;0),"–",""))</f>
        <v>NO</v>
      </c>
      <c r="H32" s="70">
        <f>IF($BJ32&gt;0,IF(INDEX('Final Calculation Sheet'!$C$4:$C$40,$BJ32-3)="","",INDEX('Final Calculation Sheet'!$C$4:$C$40,$BJ32-3)),IF(OR($BI32=1,$BL32=1,$BH32&gt;0),"–",""))</f>
        <v>50003</v>
      </c>
      <c r="I32" s="70">
        <f>IF($BJ32&gt;0,IF(INDEX('Final Calculation Sheet'!$H$4:$H$40,$BJ32-3)="","",INDEX('Final Calculation Sheet'!$H$4:$H$40,$BJ32-3)),IF(OR($BI32=1,$BL32=1,$BH32&gt;0),IF($BI32=1,SUM('Final Calculation Sheet'!$H$4:$H$40),IF($BL32=1,SUM('Final Calculation Sheet'!$H$4:$H$40)-SUMIFS('Final Calculation Sheet'!$H$4:$H$40,$AZ$5:$AZ$41,10),SUMIFS('Final Calculation Sheet'!$H$4:$H$40,$AZ$5:$AZ$41,$BH32))),""))</f>
        <v>50003</v>
      </c>
      <c r="J32" s="70">
        <f>IF($BJ32&gt;0,IF(INDEX('Final Calculation Sheet'!$I$4:$I$40,$BJ32-3)="","",INDEX('Final Calculation Sheet'!$I$4:$I$40,$BJ32-3)),IF(OR($BI32=1,$BL32=1,$BH32&gt;0),IF($BI32=1,SUM('Final Calculation Sheet'!$I$4:$I$40),IF($BL32=1,SUM('Final Calculation Sheet'!$I$4:$I$40)-SUMIFS('Final Calculation Sheet'!$I$4:$I$40,$AZ$5:$AZ$41,10),SUMIFS('Final Calculation Sheet'!$I$4:$I$40,$AZ$5:$AZ$41,$BH32))),""))</f>
        <v>9001</v>
      </c>
      <c r="K32" s="70">
        <f>IF($BJ32&gt;0,IF(INDEX('Final Calculation Sheet'!$J$4:$J$40,$BJ32-3)="","",INDEX('Final Calculation Sheet'!$J$4:$J$40,$BJ32-3)),IF(OR($BI32=1,$BL32=1,$BH32&gt;0),IF($BI32=1,SUM('Final Calculation Sheet'!$J$4:$J$40),IF($BL32=1,SUM('Final Calculation Sheet'!$J$4:$J$40)-SUMIFS('Final Calculation Sheet'!$J$4:$J$40,$AZ$5:$AZ$41,10),SUMIFS('Final Calculation Sheet'!$J$4:$J$40,$AZ$5:$AZ$41,$BH32))),""))</f>
        <v>59004</v>
      </c>
      <c r="L32" s="70">
        <f>IF($BJ32&gt;0,IF(INDEX('Final Calculation Sheet'!$K$4:$K$40,$BJ32-3)="","",INDEX('Final Calculation Sheet'!$K$4:$K$40,$BJ32-3)),IF(OR($BI32=1,$BL32=1,$BH32&gt;0),IF($BI32=1,SUM('Final Calculation Sheet'!$K$4:$K$40),IF($BL32=1,SUM('Final Calculation Sheet'!$K$4:$K$40)-SUMIFS('Final Calculation Sheet'!$K$4:$K$40,$AZ$5:$AZ$41,10),SUMIFS('Final Calculation Sheet'!$K$4:$K$40,$AZ$5:$AZ$41,$BH32))),""))</f>
        <v>1180</v>
      </c>
      <c r="M32" s="70">
        <f>IF($BJ32&gt;0,IF(INDEX('Final Calculation Sheet'!$L$4:$L$40,$BJ32-3)="","",INDEX('Final Calculation Sheet'!$L$4:$L$40,$BJ32-3)),IF(OR($BI32=1,$BL32=1,$BH32&gt;0),IF($BI32=1,SUM('Final Calculation Sheet'!$L$4:$L$40),IF($BL32=1,SUM('Final Calculation Sheet'!$L$4:$L$40)-SUMIFS('Final Calculation Sheet'!$L$4:$L$40,$AZ$5:$AZ$41,10),SUMIFS('Final Calculation Sheet'!$L$4:$L$40,$AZ$5:$AZ$41,$BH32))),""))</f>
        <v>50.003</v>
      </c>
      <c r="N32" s="70">
        <f>IF($BJ32&gt;0,IF(INDEX('Final Calculation Sheet'!$M$4:$M$40,$BJ32-3)="","",INDEX('Final Calculation Sheet'!$M$4:$M$40,$BJ32-3)),IF(OR($BI32=1,$BL32=1,$BH32&gt;0),IF($BI32=1,SUM('Final Calculation Sheet'!$M$4:$M$40),IF($BL32=1,SUM('Final Calculation Sheet'!$M$4:$M$40)-SUMIFS('Final Calculation Sheet'!$M$4:$M$40,$AZ$5:$AZ$41,10),SUMIFS('Final Calculation Sheet'!$M$4:$M$40,$AZ$5:$AZ$41,$BH32))),""))</f>
        <v>1327.5796499999999</v>
      </c>
      <c r="O32" s="71">
        <f>IF($BJ32&gt;0,IF(INDEX('Final Calculation Sheet'!$N$4:$N$40,$BJ32-3)="","",INDEX('Final Calculation Sheet'!$N$4:$N$40,$BJ32-3)),IF(OR($BI32=1,$BL32=1,$BH32&gt;0),IF($BI32=1,SUM('Final Calculation Sheet'!$N$4:$N$40),IF($BL32=1,SUM('Final Calculation Sheet'!$N$4:$N$40)-SUMIFS('Final Calculation Sheet'!$N$4:$N$40,$AZ$5:$AZ$41,10),SUMIFS('Final Calculation Sheet'!$N$4:$N$40,$AZ$5:$AZ$41,$BH32))),""))</f>
        <v>22.501349999999999</v>
      </c>
      <c r="P32" s="70">
        <f>IF($BJ32&gt;0,IF(INDEX('Final Calculation Sheet'!$O$4:$O$40,$BJ32-3)="","",INDEX('Final Calculation Sheet'!$O$4:$O$40,$BJ32-3)),IF(OR($BI32=1,$BL32=1,$BH32&gt;0),IF($BI32=1,SUM('Final Calculation Sheet'!$O$4:$O$40),IF($BL32=1,SUM('Final Calculation Sheet'!$O$4:$O$40)-SUMIFS('Final Calculation Sheet'!$O$4:$O$40,$AZ$5:$AZ$41,10),SUMIFS('Final Calculation Sheet'!$O$4:$O$40,$AZ$5:$AZ$41,$BH32))),""))</f>
        <v>1305.0782999999999</v>
      </c>
      <c r="Q32" s="70">
        <f>IF($BJ32&gt;0,IF(INDEX('Final Calculation Sheet'!$P$4:$P$40,$BJ32-3)="","",INDEX('Final Calculation Sheet'!$P$4:$P$40,$BJ32-3)),IF(OR($BI32=1,$BL32=1,$BH32&gt;0),IF($BI32=1,SUM('Final Calculation Sheet'!$P$4:$P$40),IF($BL32=1,SUM('Final Calculation Sheet'!$P$4:$P$40)-SUMIFS('Final Calculation Sheet'!$P$4:$P$40,$AZ$5:$AZ$41,10),SUMIFS('Final Calculation Sheet'!$P$4:$P$40,$AZ$5:$AZ$41,$BH32))),""))</f>
        <v>1355</v>
      </c>
      <c r="R32" s="72">
        <f>IF($BJ32&gt;0,IF(INDEX('Final Calculation Sheet'!$Q$4:$Q$40,$BJ32-3)="","",INDEX('Final Calculation Sheet'!$Q$4:$Q$40,$BJ32-3)),IF(OR($BI32=1,$BL32=1,$BH32&gt;0),"–",""))</f>
        <v>0</v>
      </c>
      <c r="S32" s="70">
        <f>IF($BJ32&gt;0,IF(INDEX('Final Calculation Sheet'!$R$4:$R$40,$BJ32-3)="","",INDEX('Final Calculation Sheet'!$R$4:$R$40,$BJ32-3)),IF(OR($BI32=1,$BL32=1,$BH32&gt;0),IF($BI32=1,SUM('Final Calculation Sheet'!$R$4:$R$40),IF($BL32=1,SUM('Final Calculation Sheet'!$R$4:$R$40)-SUMIFS('Final Calculation Sheet'!$R$4:$R$40,$AZ$5:$AZ$41,10),SUMIFS('Final Calculation Sheet'!$R$4:$R$40,$AZ$5:$AZ$41,$BH32))),""))</f>
        <v>0</v>
      </c>
      <c r="T32" s="70">
        <f>IF($BJ32&gt;0,IF(INDEX('Final Calculation Sheet'!$S$4:$S$40,$BJ32-3)="","",INDEX('Final Calculation Sheet'!$S$4:$S$40,$BJ32-3)),IF(OR($BI32=1,$BL32=1,$BH32&gt;0),IF($BI32=1,SUM('Final Calculation Sheet'!$S$4:$S$40),IF($BL32=1,SUM('Final Calculation Sheet'!$S$4:$S$40)-SUMIFS('Final Calculation Sheet'!$S$4:$S$40,$AZ$5:$AZ$41,10),SUMIFS('Final Calculation Sheet'!$S$4:$S$40,$AZ$5:$AZ$41,$BH32))),""))</f>
        <v>58829</v>
      </c>
      <c r="U32" s="70">
        <f>IF($BJ32&gt;0,IF(INDEX('Final Calculation Sheet'!$T$4:$T$40,$BJ32-3)="","",INDEX('Final Calculation Sheet'!$T$4:$T$40,$BJ32-3)),IF(OR($BI32=1,$BL32=1,$BH32&gt;0),IF($BI32=1,SUM('Final Calculation Sheet'!$T$4:$T$40),IF($BL32=1,SUM('Final Calculation Sheet'!$T$4:$T$40)-SUMIFS('Final Calculation Sheet'!$T$4:$T$40,$AZ$5:$AZ$41,10),SUMIFS('Final Calculation Sheet'!$T$4:$T$40,$AZ$5:$AZ$41,$BH32))),""))</f>
        <v>12501</v>
      </c>
      <c r="V32" s="73">
        <f>IF($BJ32&gt;0,IF(INDEX('Final Calculation Sheet'!$U$4:$U$40,$BJ32-3)="","",INDEX('Final Calculation Sheet'!$U$4:$U$40,$BJ32-3)),IF(OR($BI32=1,$BL32=1,$BH32&gt;0),IF($BI32=1,SUM('Final Calculation Sheet'!$U$4:$U$40),IF($BL32=1,SUM('Final Calculation Sheet'!$U$4:$U$40)-SUMIFS('Final Calculation Sheet'!$U$4:$U$40,$AZ$5:$AZ$41,10),SUMIFS('Final Calculation Sheet'!$U$4:$U$40,$AZ$5:$AZ$41,$BH32))),""))</f>
        <v>12501</v>
      </c>
      <c r="W32" s="70" t="str">
        <f>IF($BJ32&gt;0,IF(INDEX('Final Calculation Sheet'!$V$4:$V$40,$BJ32-3)="","",INDEX('Final Calculation Sheet'!$V$4:$V$40,$BJ32-3)),IF(OR($BI32=1,$BL32=1,$BH32&gt;0),"–",""))</f>
        <v>13.08.2026</v>
      </c>
      <c r="X32" s="70">
        <f>IF($BJ32&gt;0,IF(INDEX('Final Calculation Sheet'!$W$4:$W$40,$BJ32-3)="","",INDEX('Final Calculation Sheet'!$W$4:$W$40,$BJ32-3)),IF(OR($BI32=1,$BL32=1,$BH32&gt;0),IF($BI32=1,SUM('Final Calculation Sheet'!$W$4:$W$40),IF($BL32=1,SUM('Final Calculation Sheet'!$W$4:$W$40)-SUMIFS('Final Calculation Sheet'!$W$4:$W$40,$AZ$5:$AZ$41,10),SUMIFS('Final Calculation Sheet'!$W$4:$W$40,$AZ$5:$AZ$41,$BH32))),""))</f>
        <v>46328</v>
      </c>
      <c r="Y32" s="70">
        <f>IF($BJ32&gt;0,IF(INDEX('Final Calculation Sheet'!$X$4:$X$40,$BJ32-3)="","",INDEX('Final Calculation Sheet'!$X$4:$X$40,$BJ32-3)),IF(OR($BI32=1,$BL32=1,$BH32&gt;0),IF($BI32=1,SUM('Final Calculation Sheet'!$X$4:$X$40),IF($BL32=1,SUM('Final Calculation Sheet'!$X$4:$X$40)-SUMIFS('Final Calculation Sheet'!$X$4:$X$40,$AZ$5:$AZ$41,10),SUMIFS('Final Calculation Sheet'!$X$4:$X$40,$AZ$5:$AZ$41,$BH32))),""))</f>
        <v>46328</v>
      </c>
      <c r="Z32" s="70" t="str">
        <f>IF($BJ32&gt;0,IF(INDEX('Final Calculation Sheet'!$Y$4:$Y$40,$BJ32-3)="","",INDEX('Final Calculation Sheet'!$Y$4:$Y$40,$BJ32-3)),IF(OR($BI32=1,$BL32=1,$BH32&gt;0),"–",""))</f>
        <v>24.08.2026</v>
      </c>
      <c r="AA32" s="70">
        <f ca="1">IF($BJ32&gt;0,IF(INDEX('Final Calculation Sheet'!$Z$4:$Z$40,$BJ32-3)="","",INDEX('Final Calculation Sheet'!$Z$4:$Z$40,$BJ32-3)),IF(OR($BI32=1,$BL32=1,$BH32&gt;0),IF($BI32=1,SUM('Final Calculation Sheet'!$Z$4:$Z$40),IF($BL32=1,SUM('Final Calculation Sheet'!$Z$4:$Z$40)-SUMIFS('Final Calculation Sheet'!$Z$4:$Z$40,$AZ$5:$AZ$41,10),SUMIFS('Final Calculation Sheet'!$Z$4:$Z$40,$AZ$5:$AZ$41,$BH32))),""))</f>
        <v>0</v>
      </c>
      <c r="AB32" s="70" t="str">
        <f>IF($BJ32&gt;0,IF(INDEX('Final Calculation Sheet'!$AA$4:$AA$40,$BJ32-3)="","",INDEX('Final Calculation Sheet'!$AA$4:$AA$40,$BJ32-3)),IF(OR($BI32=1,$BL32=1,$BH32&gt;0),IF($BI32=1,SUM('Final Calculation Sheet'!$AA$4:$AA$40),IF($BL32=1,SUM('Final Calculation Sheet'!$AA$4:$AA$40)-SUMIFS('Final Calculation Sheet'!$AA$4:$AA$40,$AZ$5:$AZ$41,10),SUMIFS('Final Calculation Sheet'!$AA$4:$AA$40,$AZ$5:$AZ$41,$BH32))),""))</f>
        <v/>
      </c>
      <c r="AC32" s="70" t="str">
        <f>IF($BJ32&gt;0,IF(INDEX('Final Calculation Sheet'!$AB$4:$AB$40,$BJ32-3)="","",INDEX('Final Calculation Sheet'!$AB$4:$AB$40,$BJ32-3)),IF(OR($BI32=1,$BL32=1,$BH32&gt;0),"–",""))</f>
        <v/>
      </c>
      <c r="AD32" s="70">
        <f>IF($BJ32&gt;0,IF(INDEX('Final Calculation Sheet'!$AC$4:$AC$40,$BJ32-3)="","",INDEX('Final Calculation Sheet'!$AC$4:$AC$40,$BJ32-3)),IF(OR($BI32=1,$BL32=1,$BH32&gt;0),IF($BI32=1,SUM('Final Calculation Sheet'!$AC$4:$AC$40),IF($BL32=1,SUM('Final Calculation Sheet'!$AC$4:$AC$40)-SUMIFS('Final Calculation Sheet'!$AC$4:$AC$40,$AZ$5:$AZ$41,10),SUMIFS('Final Calculation Sheet'!$AC$4:$AC$40,$AZ$5:$AZ$41,$BH32))),""))</f>
        <v>58829</v>
      </c>
      <c r="AE32" s="70">
        <f>IF($BJ32&gt;0,IF(INDEX('Final Calculation Sheet'!$AD$4:$AD$40,$BJ32-3)="","",INDEX('Final Calculation Sheet'!$AD$4:$AD$40,$BJ32-3)),IF(OR($BI32=1,$BL32=1,$BH32&gt;0),IF($BI32=1,SUM('Final Calculation Sheet'!$AD$4:$AD$40),IF($BL32=1,SUM('Final Calculation Sheet'!$AD$4:$AD$40)-SUMIFS('Final Calculation Sheet'!$AD$4:$AD$40,$AZ$5:$AZ$41,10),SUMIFS('Final Calculation Sheet'!$AD$4:$AD$40,$AZ$5:$AZ$41,$BH32))),""))</f>
        <v>0</v>
      </c>
      <c r="AF32" s="70" t="str">
        <f>IF($BJ32&gt;0,IF(INDEX('Final Calculation Sheet'!$AE$4:$AE$40,$BJ32-3)="","",INDEX('Final Calculation Sheet'!$AE$4:$AE$40,$BJ32-3)),IF(OR($BI32=1,$BL32=1,$BH32&gt;0),"–",""))</f>
        <v>DR2640100036</v>
      </c>
      <c r="AG32" s="74">
        <f>IF($BJ32&gt;0,IF(INDEX('Final Calculation Sheet'!$AF$4:$AF$40,$BJ32-3)="","",INDEX('Final Calculation Sheet'!$AF$4:$AF$40,$BJ32-3)),IF(OR($BI32=1,$BL32=1,$BH32&gt;0),"–",""))</f>
        <v>1800003309</v>
      </c>
      <c r="AH32" s="70" t="str">
        <f>IF($BJ32&gt;0,IF(INDEX('Final Calculation Sheet'!$AG$4:$AG$40,$BJ32-3)="","",INDEX('Final Calculation Sheet'!$AG$4:$AG$40,$BJ32-3)),IF(OR($BI32=1,$BL32=1,$BH32&gt;0),"–",""))</f>
        <v>27.08.2026</v>
      </c>
      <c r="AI32" s="75" t="str">
        <f>IF($BJ32&gt;0,IF(INDEX('Final Calculation Sheet'!$AD$4:$AD$40,$BJ32-3)="","",IF(INDEX('Final Calculation Sheet'!$AD$4:$AD$40,$BJ32-3)&lt;=0,"SETTLED","OUTSTANDING")),IF(OR($BI32=1,$BL32=1,$BH32&gt;0),IF(IF($BI32=1,SUM('Final Calculation Sheet'!$AD$4:$AD$40),IF($BL32=1,SUM('Final Calculation Sheet'!$AD$4:$AD$40)-SUMIFS('Final Calculation Sheet'!$AD$4:$AD$40,$AZ$5:$AZ$41,10),SUMIFS('Final Calculation Sheet'!$AD$4:$AD$40,$AZ$5:$AZ$41,$BH32)))&lt;=0,"ALL SETTLED","OUTSTANDING"),""))</f>
        <v>SETTLED</v>
      </c>
      <c r="AK32" t="str">
        <f>IF($F$3="Lot No.",'Final Calculation Sheet'!$F$31,IF($F$3="Buyer",'Final Calculation Sheet'!$G$31,IF($F$3="Lot Name",'Final Calculation Sheet'!$B$31,IF($F$3="Bid Sheet",'Final Calculation Sheet'!$D$31,IF($F$3="Unit",'Final Calculation Sheet'!$E$31,'Final Calculation Sheet'!$F$31&amp;" "&amp;'Final Calculation Sheet'!$G$31&amp;" "&amp;'Final Calculation Sheet'!$B$31)))))</f>
        <v>2046 SAHARA ENTERPRISES Scrap of AAAC Earth wire</v>
      </c>
      <c r="AM32">
        <f t="shared" si="1"/>
        <v>0</v>
      </c>
      <c r="AZ32">
        <f t="shared" si="2"/>
        <v>10</v>
      </c>
      <c r="BA32">
        <f t="shared" si="3"/>
        <v>21</v>
      </c>
      <c r="BB32">
        <f t="shared" si="4"/>
        <v>37</v>
      </c>
      <c r="BC32">
        <v>31</v>
      </c>
      <c r="BH32">
        <f>IFERROR(MATCH(32,$BF$4:$BF$13,0),0)</f>
        <v>0</v>
      </c>
      <c r="BI32">
        <f>IF(32=$BG$5,1,0)</f>
        <v>0</v>
      </c>
      <c r="BJ32">
        <f>IF(OR($BH32&gt;0,$BI32=1,$BL32=1),0,IFERROR(INDEX($BC$5:$BC$41,MATCH(32,$BB$5:$BB$41,0)),0))</f>
        <v>24</v>
      </c>
      <c r="BK32">
        <f>IF($BJ32&gt;0,IF(INDEX($AZ$5:$AZ$41,MATCH(32,$BB$5:$BB$41,0))=10,1,0),IF($BH32=10,1,0))</f>
        <v>1</v>
      </c>
      <c r="BL32">
        <f>IF(32=$BG$4,1,0)</f>
        <v>0</v>
      </c>
    </row>
    <row r="33" spans="1:64" ht="15" customHeight="1" x14ac:dyDescent="0.25">
      <c r="A33" s="67">
        <f>IF($BJ33&gt;0,INDEX($BA$5:$BA$41,MATCH(33,$BB$5:$BB$41,0)),IF(OR($BI33=1,$BL33=1,$BH33&gt;0),"∑",""))</f>
        <v>17</v>
      </c>
      <c r="B33" s="68">
        <f>IF($BJ33&gt;0,IF(INDEX('Final Calculation Sheet'!$F$4:$F$40,$BJ33-3)="","",INDEX('Final Calculation Sheet'!$F$4:$F$40,$BJ33-3)),"")</f>
        <v>2035</v>
      </c>
      <c r="C33" s="68" t="str">
        <f>IF($BJ33&gt;0,IF(INDEX('Final Calculation Sheet'!$G$4:$G$40,$BJ33-3)="","",INDEX('Final Calculation Sheet'!$G$4:$G$40,$BJ33-3)),IF(OR($BI33=1,$BL33=1,$BH33&gt;0),IF($BI33=1,37,IF($BL33=1,37-INDEX($BD$4:$BD$13,10),INDEX($BD$4:$BD$13,$BH33)))&amp;" lot(s)",""))</f>
        <v>NATIONAL ENTERPRISES</v>
      </c>
      <c r="D33" s="69" t="str">
        <f>IF($BJ33&gt;0,IF(INDEX('Final Calculation Sheet'!$B$4:$B$40,$BJ33-3)="","",INDEX('Final Calculation Sheet'!$B$4:$B$40,$BJ33-3)),IF(OR($BI33=1,$BL33=1,$BH33&gt;0),IF($BI33=1,"GRAND TOTAL  —  matching + remaining",IF($BL33=1,"TOTAL MATCHED  —  every group together",IF($BH33=10,"REMAINING  —  did not match the search",IF($BH33=9,"ALL LOTS  —  nothing typed in the box","GROUP "&amp;$BH33&amp;" TOTAL  —  lots matching  "&amp;INDEX($AR$6:$AY$6,$BH33))))),""))</f>
        <v>Scrap of 132 KV Wave Trap</v>
      </c>
      <c r="E33" s="69">
        <f>IF($BJ33&gt;0,IF(INDEX('Final Calculation Sheet'!$D$4:$D$40,$BJ33-3)="","",INDEX('Final Calculation Sheet'!$D$4:$D$40,$BJ33-3)),IF(OR($BI33=1,$BL33=1,$BH33&gt;0),"–",""))</f>
        <v>21978</v>
      </c>
      <c r="F33" s="69">
        <f>IF($BJ33&gt;0,IF(INDEX('Final Calculation Sheet'!$A$4:$A$40,$BJ33-3)="","",INDEX('Final Calculation Sheet'!$A$4:$A$40,$BJ33-3)),IF(OR($BI33=1,$BL33=1,$BH33&gt;0),IF($BI33=1,SUM('Final Calculation Sheet'!$A$4:$A$40),IF($BL33=1,SUM('Final Calculation Sheet'!$A$4:$A$40)-SUMIFS('Final Calculation Sheet'!$A$4:$A$40,$AZ$5:$AZ$41,10),SUMIFS('Final Calculation Sheet'!$A$4:$A$40,$AZ$5:$AZ$41,$BH33))),""))</f>
        <v>2</v>
      </c>
      <c r="G33" s="69" t="str">
        <f>IF($BJ33&gt;0,IF(INDEX('Final Calculation Sheet'!$E$4:$E$40,$BJ33-3)="","",INDEX('Final Calculation Sheet'!$E$4:$E$40,$BJ33-3)),IF(OR($BI33=1,$BL33=1,$BH33&gt;0),"–",""))</f>
        <v>NO</v>
      </c>
      <c r="H33" s="70">
        <f>IF($BJ33&gt;0,IF(INDEX('Final Calculation Sheet'!$C$4:$C$40,$BJ33-3)="","",INDEX('Final Calculation Sheet'!$C$4:$C$40,$BJ33-3)),IF(OR($BI33=1,$BL33=1,$BH33&gt;0),"–",""))</f>
        <v>14001</v>
      </c>
      <c r="I33" s="70">
        <f>IF($BJ33&gt;0,IF(INDEX('Final Calculation Sheet'!$H$4:$H$40,$BJ33-3)="","",INDEX('Final Calculation Sheet'!$H$4:$H$40,$BJ33-3)),IF(OR($BI33=1,$BL33=1,$BH33&gt;0),IF($BI33=1,SUM('Final Calculation Sheet'!$H$4:$H$40),IF($BL33=1,SUM('Final Calculation Sheet'!$H$4:$H$40)-SUMIFS('Final Calculation Sheet'!$H$4:$H$40,$AZ$5:$AZ$41,10),SUMIFS('Final Calculation Sheet'!$H$4:$H$40,$AZ$5:$AZ$41,$BH33))),""))</f>
        <v>28002</v>
      </c>
      <c r="J33" s="70">
        <f>IF($BJ33&gt;0,IF(INDEX('Final Calculation Sheet'!$I$4:$I$40,$BJ33-3)="","",INDEX('Final Calculation Sheet'!$I$4:$I$40,$BJ33-3)),IF(OR($BI33=1,$BL33=1,$BH33&gt;0),IF($BI33=1,SUM('Final Calculation Sheet'!$I$4:$I$40),IF($BL33=1,SUM('Final Calculation Sheet'!$I$4:$I$40)-SUMIFS('Final Calculation Sheet'!$I$4:$I$40,$AZ$5:$AZ$41,10),SUMIFS('Final Calculation Sheet'!$I$4:$I$40,$AZ$5:$AZ$41,$BH33))),""))</f>
        <v>5040</v>
      </c>
      <c r="K33" s="70">
        <f>IF($BJ33&gt;0,IF(INDEX('Final Calculation Sheet'!$J$4:$J$40,$BJ33-3)="","",INDEX('Final Calculation Sheet'!$J$4:$J$40,$BJ33-3)),IF(OR($BI33=1,$BL33=1,$BH33&gt;0),IF($BI33=1,SUM('Final Calculation Sheet'!$J$4:$J$40),IF($BL33=1,SUM('Final Calculation Sheet'!$J$4:$J$40)-SUMIFS('Final Calculation Sheet'!$J$4:$J$40,$AZ$5:$AZ$41,10),SUMIFS('Final Calculation Sheet'!$J$4:$J$40,$AZ$5:$AZ$41,$BH33))),""))</f>
        <v>33042</v>
      </c>
      <c r="L33" s="70">
        <f>IF($BJ33&gt;0,IF(INDEX('Final Calculation Sheet'!$K$4:$K$40,$BJ33-3)="","",INDEX('Final Calculation Sheet'!$K$4:$K$40,$BJ33-3)),IF(OR($BI33=1,$BL33=1,$BH33&gt;0),IF($BI33=1,SUM('Final Calculation Sheet'!$K$4:$K$40),IF($BL33=1,SUM('Final Calculation Sheet'!$K$4:$K$40)-SUMIFS('Final Calculation Sheet'!$K$4:$K$40,$AZ$5:$AZ$41,10),SUMIFS('Final Calculation Sheet'!$K$4:$K$40,$AZ$5:$AZ$41,$BH33))),""))</f>
        <v>661</v>
      </c>
      <c r="M33" s="70">
        <f>IF($BJ33&gt;0,IF(INDEX('Final Calculation Sheet'!$L$4:$L$40,$BJ33-3)="","",INDEX('Final Calculation Sheet'!$L$4:$L$40,$BJ33-3)),IF(OR($BI33=1,$BL33=1,$BH33&gt;0),IF($BI33=1,SUM('Final Calculation Sheet'!$L$4:$L$40),IF($BL33=1,SUM('Final Calculation Sheet'!$L$4:$L$40)-SUMIFS('Final Calculation Sheet'!$L$4:$L$40,$AZ$5:$AZ$41,10),SUMIFS('Final Calculation Sheet'!$L$4:$L$40,$AZ$5:$AZ$41,$BH33))),""))</f>
        <v>28.001999999999999</v>
      </c>
      <c r="N33" s="70">
        <f>IF($BJ33&gt;0,IF(INDEX('Final Calculation Sheet'!$M$4:$M$40,$BJ33-3)="","",INDEX('Final Calculation Sheet'!$M$4:$M$40,$BJ33-3)),IF(OR($BI33=1,$BL33=1,$BH33&gt;0),IF($BI33=1,SUM('Final Calculation Sheet'!$M$4:$M$40),IF($BL33=1,SUM('Final Calculation Sheet'!$M$4:$M$40)-SUMIFS('Final Calculation Sheet'!$M$4:$M$40,$AZ$5:$AZ$41,10),SUMIFS('Final Calculation Sheet'!$M$4:$M$40,$AZ$5:$AZ$41,$BH33))),""))</f>
        <v>743.45309999999995</v>
      </c>
      <c r="O33" s="71">
        <f>IF($BJ33&gt;0,IF(INDEX('Final Calculation Sheet'!$N$4:$N$40,$BJ33-3)="","",INDEX('Final Calculation Sheet'!$N$4:$N$40,$BJ33-3)),IF(OR($BI33=1,$BL33=1,$BH33&gt;0),IF($BI33=1,SUM('Final Calculation Sheet'!$N$4:$N$40),IF($BL33=1,SUM('Final Calculation Sheet'!$N$4:$N$40)-SUMIFS('Final Calculation Sheet'!$N$4:$N$40,$AZ$5:$AZ$41,10),SUMIFS('Final Calculation Sheet'!$N$4:$N$40,$AZ$5:$AZ$41,$BH33))),""))</f>
        <v>12.600899999999999</v>
      </c>
      <c r="P33" s="70">
        <f>IF($BJ33&gt;0,IF(INDEX('Final Calculation Sheet'!$O$4:$O$40,$BJ33-3)="","",INDEX('Final Calculation Sheet'!$O$4:$O$40,$BJ33-3)),IF(OR($BI33=1,$BL33=1,$BH33&gt;0),IF($BI33=1,SUM('Final Calculation Sheet'!$O$4:$O$40),IF($BL33=1,SUM('Final Calculation Sheet'!$O$4:$O$40)-SUMIFS('Final Calculation Sheet'!$O$4:$O$40,$AZ$5:$AZ$41,10),SUMIFS('Final Calculation Sheet'!$O$4:$O$40,$AZ$5:$AZ$41,$BH33))),""))</f>
        <v>730.85219999999993</v>
      </c>
      <c r="Q33" s="70">
        <f>IF($BJ33&gt;0,IF(INDEX('Final Calculation Sheet'!$P$4:$P$40,$BJ33-3)="","",INDEX('Final Calculation Sheet'!$P$4:$P$40,$BJ33-3)),IF(OR($BI33=1,$BL33=1,$BH33&gt;0),IF($BI33=1,SUM('Final Calculation Sheet'!$P$4:$P$40),IF($BL33=1,SUM('Final Calculation Sheet'!$P$4:$P$40)-SUMIFS('Final Calculation Sheet'!$P$4:$P$40,$AZ$5:$AZ$41,10),SUMIFS('Final Calculation Sheet'!$P$4:$P$40,$AZ$5:$AZ$41,$BH33))),""))</f>
        <v>759</v>
      </c>
      <c r="R33" s="72">
        <f>IF($BJ33&gt;0,IF(INDEX('Final Calculation Sheet'!$Q$4:$Q$40,$BJ33-3)="","",INDEX('Final Calculation Sheet'!$Q$4:$Q$40,$BJ33-3)),IF(OR($BI33=1,$BL33=1,$BH33&gt;0),"–",""))</f>
        <v>0</v>
      </c>
      <c r="S33" s="70">
        <f>IF($BJ33&gt;0,IF(INDEX('Final Calculation Sheet'!$R$4:$R$40,$BJ33-3)="","",INDEX('Final Calculation Sheet'!$R$4:$R$40,$BJ33-3)),IF(OR($BI33=1,$BL33=1,$BH33&gt;0),IF($BI33=1,SUM('Final Calculation Sheet'!$R$4:$R$40),IF($BL33=1,SUM('Final Calculation Sheet'!$R$4:$R$40)-SUMIFS('Final Calculation Sheet'!$R$4:$R$40,$AZ$5:$AZ$41,10),SUMIFS('Final Calculation Sheet'!$R$4:$R$40,$AZ$5:$AZ$41,$BH33))),""))</f>
        <v>0</v>
      </c>
      <c r="T33" s="70">
        <f>IF($BJ33&gt;0,IF(INDEX('Final Calculation Sheet'!$S$4:$S$40,$BJ33-3)="","",INDEX('Final Calculation Sheet'!$S$4:$S$40,$BJ33-3)),IF(OR($BI33=1,$BL33=1,$BH33&gt;0),IF($BI33=1,SUM('Final Calculation Sheet'!$S$4:$S$40),IF($BL33=1,SUM('Final Calculation Sheet'!$S$4:$S$40)-SUMIFS('Final Calculation Sheet'!$S$4:$S$40,$AZ$5:$AZ$41,10),SUMIFS('Final Calculation Sheet'!$S$4:$S$40,$AZ$5:$AZ$41,$BH33))),""))</f>
        <v>32944</v>
      </c>
      <c r="U33" s="70">
        <f>IF($BJ33&gt;0,IF(INDEX('Final Calculation Sheet'!$T$4:$T$40,$BJ33-3)="","",INDEX('Final Calculation Sheet'!$T$4:$T$40,$BJ33-3)),IF(OR($BI33=1,$BL33=1,$BH33&gt;0),IF($BI33=1,SUM('Final Calculation Sheet'!$T$4:$T$40),IF($BL33=1,SUM('Final Calculation Sheet'!$T$4:$T$40)-SUMIFS('Final Calculation Sheet'!$T$4:$T$40,$AZ$5:$AZ$41,10),SUMIFS('Final Calculation Sheet'!$T$4:$T$40,$AZ$5:$AZ$41,$BH33))),""))</f>
        <v>7001</v>
      </c>
      <c r="V33" s="73">
        <f>IF($BJ33&gt;0,IF(INDEX('Final Calculation Sheet'!$U$4:$U$40,$BJ33-3)="","",INDEX('Final Calculation Sheet'!$U$4:$U$40,$BJ33-3)),IF(OR($BI33=1,$BL33=1,$BH33&gt;0),IF($BI33=1,SUM('Final Calculation Sheet'!$U$4:$U$40),IF($BL33=1,SUM('Final Calculation Sheet'!$U$4:$U$40)-SUMIFS('Final Calculation Sheet'!$U$4:$U$40,$AZ$5:$AZ$41,10),SUMIFS('Final Calculation Sheet'!$U$4:$U$40,$AZ$5:$AZ$41,$BH33))),""))</f>
        <v>7001</v>
      </c>
      <c r="W33" s="70" t="str">
        <f>IF($BJ33&gt;0,IF(INDEX('Final Calculation Sheet'!$V$4:$V$40,$BJ33-3)="","",INDEX('Final Calculation Sheet'!$V$4:$V$40,$BJ33-3)),IF(OR($BI33=1,$BL33=1,$BH33&gt;0),"–",""))</f>
        <v>13.08.2026</v>
      </c>
      <c r="X33" s="70">
        <f>IF($BJ33&gt;0,IF(INDEX('Final Calculation Sheet'!$W$4:$W$40,$BJ33-3)="","",INDEX('Final Calculation Sheet'!$W$4:$W$40,$BJ33-3)),IF(OR($BI33=1,$BL33=1,$BH33&gt;0),IF($BI33=1,SUM('Final Calculation Sheet'!$W$4:$W$40),IF($BL33=1,SUM('Final Calculation Sheet'!$W$4:$W$40)-SUMIFS('Final Calculation Sheet'!$W$4:$W$40,$AZ$5:$AZ$41,10),SUMIFS('Final Calculation Sheet'!$W$4:$W$40,$AZ$5:$AZ$41,$BH33))),""))</f>
        <v>25944</v>
      </c>
      <c r="Y33" s="70">
        <f>IF($BJ33&gt;0,IF(INDEX('Final Calculation Sheet'!$X$4:$X$40,$BJ33-3)="","",INDEX('Final Calculation Sheet'!$X$4:$X$40,$BJ33-3)),IF(OR($BI33=1,$BL33=1,$BH33&gt;0),IF($BI33=1,SUM('Final Calculation Sheet'!$X$4:$X$40),IF($BL33=1,SUM('Final Calculation Sheet'!$X$4:$X$40)-SUMIFS('Final Calculation Sheet'!$X$4:$X$40,$AZ$5:$AZ$41,10),SUMIFS('Final Calculation Sheet'!$X$4:$X$40,$AZ$5:$AZ$41,$BH33))),""))</f>
        <v>25943</v>
      </c>
      <c r="Z33" s="70" t="str">
        <f>IF($BJ33&gt;0,IF(INDEX('Final Calculation Sheet'!$Y$4:$Y$40,$BJ33-3)="","",INDEX('Final Calculation Sheet'!$Y$4:$Y$40,$BJ33-3)),IF(OR($BI33=1,$BL33=1,$BH33&gt;0),"–",""))</f>
        <v>24.08.2026</v>
      </c>
      <c r="AA33" s="70">
        <f ca="1">IF($BJ33&gt;0,IF(INDEX('Final Calculation Sheet'!$Z$4:$Z$40,$BJ33-3)="","",INDEX('Final Calculation Sheet'!$Z$4:$Z$40,$BJ33-3)),IF(OR($BI33=1,$BL33=1,$BH33&gt;0),IF($BI33=1,SUM('Final Calculation Sheet'!$Z$4:$Z$40),IF($BL33=1,SUM('Final Calculation Sheet'!$Z$4:$Z$40)-SUMIFS('Final Calculation Sheet'!$Z$4:$Z$40,$AZ$5:$AZ$41,10),SUMIFS('Final Calculation Sheet'!$Z$4:$Z$40,$AZ$5:$AZ$41,$BH33))),""))</f>
        <v>0</v>
      </c>
      <c r="AB33" s="70" t="str">
        <f>IF($BJ33&gt;0,IF(INDEX('Final Calculation Sheet'!$AA$4:$AA$40,$BJ33-3)="","",INDEX('Final Calculation Sheet'!$AA$4:$AA$40,$BJ33-3)),IF(OR($BI33=1,$BL33=1,$BH33&gt;0),IF($BI33=1,SUM('Final Calculation Sheet'!$AA$4:$AA$40),IF($BL33=1,SUM('Final Calculation Sheet'!$AA$4:$AA$40)-SUMIFS('Final Calculation Sheet'!$AA$4:$AA$40,$AZ$5:$AZ$41,10),SUMIFS('Final Calculation Sheet'!$AA$4:$AA$40,$AZ$5:$AZ$41,$BH33))),""))</f>
        <v/>
      </c>
      <c r="AC33" s="70" t="str">
        <f>IF($BJ33&gt;0,IF(INDEX('Final Calculation Sheet'!$AB$4:$AB$40,$BJ33-3)="","",INDEX('Final Calculation Sheet'!$AB$4:$AB$40,$BJ33-3)),IF(OR($BI33=1,$BL33=1,$BH33&gt;0),"–",""))</f>
        <v/>
      </c>
      <c r="AD33" s="70">
        <f>IF($BJ33&gt;0,IF(INDEX('Final Calculation Sheet'!$AC$4:$AC$40,$BJ33-3)="","",INDEX('Final Calculation Sheet'!$AC$4:$AC$40,$BJ33-3)),IF(OR($BI33=1,$BL33=1,$BH33&gt;0),IF($BI33=1,SUM('Final Calculation Sheet'!$AC$4:$AC$40),IF($BL33=1,SUM('Final Calculation Sheet'!$AC$4:$AC$40)-SUMIFS('Final Calculation Sheet'!$AC$4:$AC$40,$AZ$5:$AZ$41,10),SUMIFS('Final Calculation Sheet'!$AC$4:$AC$40,$AZ$5:$AZ$41,$BH33))),""))</f>
        <v>32944</v>
      </c>
      <c r="AE33" s="70">
        <f>IF($BJ33&gt;0,IF(INDEX('Final Calculation Sheet'!$AD$4:$AD$40,$BJ33-3)="","",INDEX('Final Calculation Sheet'!$AD$4:$AD$40,$BJ33-3)),IF(OR($BI33=1,$BL33=1,$BH33&gt;0),IF($BI33=1,SUM('Final Calculation Sheet'!$AD$4:$AD$40),IF($BL33=1,SUM('Final Calculation Sheet'!$AD$4:$AD$40)-SUMIFS('Final Calculation Sheet'!$AD$4:$AD$40,$AZ$5:$AZ$41,10),SUMIFS('Final Calculation Sheet'!$AD$4:$AD$40,$AZ$5:$AZ$41,$BH33))),""))</f>
        <v>0</v>
      </c>
      <c r="AF33" s="70" t="str">
        <f>IF($BJ33&gt;0,IF(INDEX('Final Calculation Sheet'!$AE$4:$AE$40,$BJ33-3)="","",INDEX('Final Calculation Sheet'!$AE$4:$AE$40,$BJ33-3)),IF(OR($BI33=1,$BL33=1,$BH33&gt;0),"–",""))</f>
        <v>DR2640100037</v>
      </c>
      <c r="AG33" s="74">
        <f>IF($BJ33&gt;0,IF(INDEX('Final Calculation Sheet'!$AF$4:$AF$40,$BJ33-3)="","",INDEX('Final Calculation Sheet'!$AF$4:$AF$40,$BJ33-3)),IF(OR($BI33=1,$BL33=1,$BH33&gt;0),"–",""))</f>
        <v>1800003310</v>
      </c>
      <c r="AH33" s="70" t="str">
        <f>IF($BJ33&gt;0,IF(INDEX('Final Calculation Sheet'!$AG$4:$AG$40,$BJ33-3)="","",INDEX('Final Calculation Sheet'!$AG$4:$AG$40,$BJ33-3)),IF(OR($BI33=1,$BL33=1,$BH33&gt;0),"–",""))</f>
        <v>27.08.2026</v>
      </c>
      <c r="AI33" s="75" t="str">
        <f>IF($BJ33&gt;0,IF(INDEX('Final Calculation Sheet'!$AD$4:$AD$40,$BJ33-3)="","",IF(INDEX('Final Calculation Sheet'!$AD$4:$AD$40,$BJ33-3)&lt;=0,"SETTLED","OUTSTANDING")),IF(OR($BI33=1,$BL33=1,$BH33&gt;0),IF(IF($BI33=1,SUM('Final Calculation Sheet'!$AD$4:$AD$40),IF($BL33=1,SUM('Final Calculation Sheet'!$AD$4:$AD$40)-SUMIFS('Final Calculation Sheet'!$AD$4:$AD$40,$AZ$5:$AZ$41,10),SUMIFS('Final Calculation Sheet'!$AD$4:$AD$40,$AZ$5:$AZ$41,$BH33)))&lt;=0,"ALL SETTLED","OUTSTANDING"),""))</f>
        <v>SETTLED</v>
      </c>
      <c r="AK33" t="str">
        <f>IF($F$3="Lot No.",'Final Calculation Sheet'!$F$32,IF($F$3="Buyer",'Final Calculation Sheet'!$G$32,IF($F$3="Lot Name",'Final Calculation Sheet'!$B$32,IF($F$3="Bid Sheet",'Final Calculation Sheet'!$D$32,IF($F$3="Unit",'Final Calculation Sheet'!$E$32,'Final Calculation Sheet'!$F$32&amp;" "&amp;'Final Calculation Sheet'!$G$32&amp;" "&amp;'Final Calculation Sheet'!$B$32)))))</f>
        <v>2055 NATIONAL ENTERPRISES Scrap of 220 KV CT</v>
      </c>
      <c r="AM33">
        <f t="shared" si="1"/>
        <v>0</v>
      </c>
      <c r="AZ33">
        <f t="shared" si="2"/>
        <v>10</v>
      </c>
      <c r="BA33">
        <f t="shared" si="3"/>
        <v>22</v>
      </c>
      <c r="BB33">
        <f t="shared" si="4"/>
        <v>38</v>
      </c>
      <c r="BC33">
        <v>32</v>
      </c>
      <c r="BH33">
        <f>IFERROR(MATCH(33,$BF$4:$BF$13,0),0)</f>
        <v>0</v>
      </c>
      <c r="BI33">
        <f>IF(33=$BG$5,1,0)</f>
        <v>0</v>
      </c>
      <c r="BJ33">
        <f>IF(OR($BH33&gt;0,$BI33=1,$BL33=1),0,IFERROR(INDEX($BC$5:$BC$41,MATCH(33,$BB$5:$BB$41,0)),0))</f>
        <v>26</v>
      </c>
      <c r="BK33">
        <f>IF($BJ33&gt;0,IF(INDEX($AZ$5:$AZ$41,MATCH(33,$BB$5:$BB$41,0))=10,1,0),IF($BH33=10,1,0))</f>
        <v>1</v>
      </c>
      <c r="BL33">
        <f>IF(33=$BG$4,1,0)</f>
        <v>0</v>
      </c>
    </row>
    <row r="34" spans="1:64" ht="15" customHeight="1" x14ac:dyDescent="0.25">
      <c r="A34" s="67">
        <f>IF($BJ34&gt;0,INDEX($BA$5:$BA$41,MATCH(34,$BB$5:$BB$41,0)),IF(OR($BI34=1,$BL34=1,$BH34&gt;0),"∑",""))</f>
        <v>18</v>
      </c>
      <c r="B34" s="68">
        <f>IF($BJ34&gt;0,IF(INDEX('Final Calculation Sheet'!$F$4:$F$40,$BJ34-3)="","",INDEX('Final Calculation Sheet'!$F$4:$F$40,$BJ34-3)),"")</f>
        <v>2036</v>
      </c>
      <c r="C34" s="68" t="str">
        <f>IF($BJ34&gt;0,IF(INDEX('Final Calculation Sheet'!$G$4:$G$40,$BJ34-3)="","",INDEX('Final Calculation Sheet'!$G$4:$G$40,$BJ34-3)),IF(OR($BI34=1,$BL34=1,$BH34&gt;0),IF($BI34=1,37,IF($BL34=1,37-INDEX($BD$4:$BD$13,10),INDEX($BD$4:$BD$13,$BH34)))&amp;" lot(s)",""))</f>
        <v>M I SCRAP TRADERS</v>
      </c>
      <c r="D34" s="69" t="str">
        <f>IF($BJ34&gt;0,IF(INDEX('Final Calculation Sheet'!$B$4:$B$40,$BJ34-3)="","",INDEX('Final Calculation Sheet'!$B$4:$B$40,$BJ34-3)),IF(OR($BI34=1,$BL34=1,$BH34&gt;0),IF($BI34=1,"GRAND TOTAL  —  matching + remaining",IF($BL34=1,"TOTAL MATCHED  —  every group together",IF($BH34=10,"REMAINING  —  did not match the search",IF($BH34=9,"ALL LOTS  —  nothing typed in the box","GROUP "&amp;$BH34&amp;" TOTAL  —  lots matching  "&amp;INDEX($AR$6:$AY$6,$BH34))))),""))</f>
        <v>Mix Scrap (Tower angles &amp; 0.2 ACSR Condutor pieces)</v>
      </c>
      <c r="E34" s="69">
        <f>IF($BJ34&gt;0,IF(INDEX('Final Calculation Sheet'!$D$4:$D$40,$BJ34-3)="","",INDEX('Final Calculation Sheet'!$D$4:$D$40,$BJ34-3)),IF(OR($BI34=1,$BL34=1,$BH34&gt;0),"–",""))</f>
        <v>21978</v>
      </c>
      <c r="F34" s="69">
        <f>IF($BJ34&gt;0,IF(INDEX('Final Calculation Sheet'!$A$4:$A$40,$BJ34-3)="","",INDEX('Final Calculation Sheet'!$A$4:$A$40,$BJ34-3)),IF(OR($BI34=1,$BL34=1,$BH34&gt;0),IF($BI34=1,SUM('Final Calculation Sheet'!$A$4:$A$40),IF($BL34=1,SUM('Final Calculation Sheet'!$A$4:$A$40)-SUMIFS('Final Calculation Sheet'!$A$4:$A$40,$AZ$5:$AZ$41,10),SUMIFS('Final Calculation Sheet'!$A$4:$A$40,$AZ$5:$AZ$41,$BH34))),""))</f>
        <v>8.1999999999999993</v>
      </c>
      <c r="G34" s="69" t="str">
        <f>IF($BJ34&gt;0,IF(INDEX('Final Calculation Sheet'!$E$4:$E$40,$BJ34-3)="","",INDEX('Final Calculation Sheet'!$E$4:$E$40,$BJ34-3)),IF(OR($BI34=1,$BL34=1,$BH34&gt;0),"–",""))</f>
        <v>MT</v>
      </c>
      <c r="H34" s="70">
        <f>IF($BJ34&gt;0,IF(INDEX('Final Calculation Sheet'!$C$4:$C$40,$BJ34-3)="","",INDEX('Final Calculation Sheet'!$C$4:$C$40,$BJ34-3)),IF(OR($BI34=1,$BL34=1,$BH34&gt;0),"–",""))</f>
        <v>67000</v>
      </c>
      <c r="I34" s="70">
        <f>IF($BJ34&gt;0,IF(INDEX('Final Calculation Sheet'!$H$4:$H$40,$BJ34-3)="","",INDEX('Final Calculation Sheet'!$H$4:$H$40,$BJ34-3)),IF(OR($BI34=1,$BL34=1,$BH34&gt;0),IF($BI34=1,SUM('Final Calculation Sheet'!$H$4:$H$40),IF($BL34=1,SUM('Final Calculation Sheet'!$H$4:$H$40)-SUMIFS('Final Calculation Sheet'!$H$4:$H$40,$AZ$5:$AZ$41,10),SUMIFS('Final Calculation Sheet'!$H$4:$H$40,$AZ$5:$AZ$41,$BH34))),""))</f>
        <v>549400</v>
      </c>
      <c r="J34" s="70">
        <f>IF($BJ34&gt;0,IF(INDEX('Final Calculation Sheet'!$I$4:$I$40,$BJ34-3)="","",INDEX('Final Calculation Sheet'!$I$4:$I$40,$BJ34-3)),IF(OR($BI34=1,$BL34=1,$BH34&gt;0),IF($BI34=1,SUM('Final Calculation Sheet'!$I$4:$I$40),IF($BL34=1,SUM('Final Calculation Sheet'!$I$4:$I$40)-SUMIFS('Final Calculation Sheet'!$I$4:$I$40,$AZ$5:$AZ$41,10),SUMIFS('Final Calculation Sheet'!$I$4:$I$40,$AZ$5:$AZ$41,$BH34))),""))</f>
        <v>98892</v>
      </c>
      <c r="K34" s="70">
        <f>IF($BJ34&gt;0,IF(INDEX('Final Calculation Sheet'!$J$4:$J$40,$BJ34-3)="","",INDEX('Final Calculation Sheet'!$J$4:$J$40,$BJ34-3)),IF(OR($BI34=1,$BL34=1,$BH34&gt;0),IF($BI34=1,SUM('Final Calculation Sheet'!$J$4:$J$40),IF($BL34=1,SUM('Final Calculation Sheet'!$J$4:$J$40)-SUMIFS('Final Calculation Sheet'!$J$4:$J$40,$AZ$5:$AZ$41,10),SUMIFS('Final Calculation Sheet'!$J$4:$J$40,$AZ$5:$AZ$41,$BH34))),""))</f>
        <v>648292</v>
      </c>
      <c r="L34" s="70">
        <f>IF($BJ34&gt;0,IF(INDEX('Final Calculation Sheet'!$K$4:$K$40,$BJ34-3)="","",INDEX('Final Calculation Sheet'!$K$4:$K$40,$BJ34-3)),IF(OR($BI34=1,$BL34=1,$BH34&gt;0),IF($BI34=1,SUM('Final Calculation Sheet'!$K$4:$K$40),IF($BL34=1,SUM('Final Calculation Sheet'!$K$4:$K$40)-SUMIFS('Final Calculation Sheet'!$K$4:$K$40,$AZ$5:$AZ$41,10),SUMIFS('Final Calculation Sheet'!$K$4:$K$40,$AZ$5:$AZ$41,$BH34))),""))</f>
        <v>12966</v>
      </c>
      <c r="M34" s="70">
        <f>IF($BJ34&gt;0,IF(INDEX('Final Calculation Sheet'!$L$4:$L$40,$BJ34-3)="","",INDEX('Final Calculation Sheet'!$L$4:$L$40,$BJ34-3)),IF(OR($BI34=1,$BL34=1,$BH34&gt;0),IF($BI34=1,SUM('Final Calculation Sheet'!$L$4:$L$40),IF($BL34=1,SUM('Final Calculation Sheet'!$L$4:$L$40)-SUMIFS('Final Calculation Sheet'!$L$4:$L$40,$AZ$5:$AZ$41,10),SUMIFS('Final Calculation Sheet'!$L$4:$L$40,$AZ$5:$AZ$41,$BH34))),""))</f>
        <v>549.4</v>
      </c>
      <c r="N34" s="70">
        <f>IF($BJ34&gt;0,IF(INDEX('Final Calculation Sheet'!$M$4:$M$40,$BJ34-3)="","",INDEX('Final Calculation Sheet'!$M$4:$M$40,$BJ34-3)),IF(OR($BI34=1,$BL34=1,$BH34&gt;0),IF($BI34=1,SUM('Final Calculation Sheet'!$M$4:$M$40),IF($BL34=1,SUM('Final Calculation Sheet'!$M$4:$M$40)-SUMIFS('Final Calculation Sheet'!$M$4:$M$40,$AZ$5:$AZ$41,10),SUMIFS('Final Calculation Sheet'!$M$4:$M$40,$AZ$5:$AZ$41,$BH34))),""))</f>
        <v>14586.57</v>
      </c>
      <c r="O34" s="71">
        <f>IF($BJ34&gt;0,IF(INDEX('Final Calculation Sheet'!$N$4:$N$40,$BJ34-3)="","",INDEX('Final Calculation Sheet'!$N$4:$N$40,$BJ34-3)),IF(OR($BI34=1,$BL34=1,$BH34&gt;0),IF($BI34=1,SUM('Final Calculation Sheet'!$N$4:$N$40),IF($BL34=1,SUM('Final Calculation Sheet'!$N$4:$N$40)-SUMIFS('Final Calculation Sheet'!$N$4:$N$40,$AZ$5:$AZ$41,10),SUMIFS('Final Calculation Sheet'!$N$4:$N$40,$AZ$5:$AZ$41,$BH34))),""))</f>
        <v>247.23000000000002</v>
      </c>
      <c r="P34" s="70">
        <f>IF($BJ34&gt;0,IF(INDEX('Final Calculation Sheet'!$O$4:$O$40,$BJ34-3)="","",INDEX('Final Calculation Sheet'!$O$4:$O$40,$BJ34-3)),IF(OR($BI34=1,$BL34=1,$BH34&gt;0),IF($BI34=1,SUM('Final Calculation Sheet'!$O$4:$O$40),IF($BL34=1,SUM('Final Calculation Sheet'!$O$4:$O$40)-SUMIFS('Final Calculation Sheet'!$O$4:$O$40,$AZ$5:$AZ$41,10),SUMIFS('Final Calculation Sheet'!$O$4:$O$40,$AZ$5:$AZ$41,$BH34))),""))</f>
        <v>14339.34</v>
      </c>
      <c r="Q34" s="70">
        <f>IF($BJ34&gt;0,IF(INDEX('Final Calculation Sheet'!$P$4:$P$40,$BJ34-3)="","",INDEX('Final Calculation Sheet'!$P$4:$P$40,$BJ34-3)),IF(OR($BI34=1,$BL34=1,$BH34&gt;0),IF($BI34=1,SUM('Final Calculation Sheet'!$P$4:$P$40),IF($BL34=1,SUM('Final Calculation Sheet'!$P$4:$P$40)-SUMIFS('Final Calculation Sheet'!$P$4:$P$40,$AZ$5:$AZ$41,10),SUMIFS('Final Calculation Sheet'!$P$4:$P$40,$AZ$5:$AZ$41,$BH34))),""))</f>
        <v>14889</v>
      </c>
      <c r="R34" s="72">
        <f>IF($BJ34&gt;0,IF(INDEX('Final Calculation Sheet'!$Q$4:$Q$40,$BJ34-3)="","",INDEX('Final Calculation Sheet'!$Q$4:$Q$40,$BJ34-3)),IF(OR($BI34=1,$BL34=1,$BH34&gt;0),"–",""))</f>
        <v>0.02</v>
      </c>
      <c r="S34" s="70">
        <f>IF($BJ34&gt;0,IF(INDEX('Final Calculation Sheet'!$R$4:$R$40,$BJ34-3)="","",INDEX('Final Calculation Sheet'!$R$4:$R$40,$BJ34-3)),IF(OR($BI34=1,$BL34=1,$BH34&gt;0),IF($BI34=1,SUM('Final Calculation Sheet'!$R$4:$R$40),IF($BL34=1,SUM('Final Calculation Sheet'!$R$4:$R$40)-SUMIFS('Final Calculation Sheet'!$R$4:$R$40,$AZ$5:$AZ$41,10),SUMIFS('Final Calculation Sheet'!$R$4:$R$40,$AZ$5:$AZ$41,$BH34))),""))</f>
        <v>10988</v>
      </c>
      <c r="T34" s="70">
        <f>IF($BJ34&gt;0,IF(INDEX('Final Calculation Sheet'!$S$4:$S$40,$BJ34-3)="","",INDEX('Final Calculation Sheet'!$S$4:$S$40,$BJ34-3)),IF(OR($BI34=1,$BL34=1,$BH34&gt;0),IF($BI34=1,SUM('Final Calculation Sheet'!$S$4:$S$40),IF($BL34=1,SUM('Final Calculation Sheet'!$S$4:$S$40)-SUMIFS('Final Calculation Sheet'!$S$4:$S$40,$AZ$5:$AZ$41,10),SUMIFS('Final Calculation Sheet'!$S$4:$S$40,$AZ$5:$AZ$41,$BH34))),""))</f>
        <v>635381</v>
      </c>
      <c r="U34" s="70">
        <f>IF($BJ34&gt;0,IF(INDEX('Final Calculation Sheet'!$T$4:$T$40,$BJ34-3)="","",INDEX('Final Calculation Sheet'!$T$4:$T$40,$BJ34-3)),IF(OR($BI34=1,$BL34=1,$BH34&gt;0),IF($BI34=1,SUM('Final Calculation Sheet'!$T$4:$T$40),IF($BL34=1,SUM('Final Calculation Sheet'!$T$4:$T$40)-SUMIFS('Final Calculation Sheet'!$T$4:$T$40,$AZ$5:$AZ$41,10),SUMIFS('Final Calculation Sheet'!$T$4:$T$40,$AZ$5:$AZ$41,$BH34))),""))</f>
        <v>137350</v>
      </c>
      <c r="V34" s="73">
        <f>IF($BJ34&gt;0,IF(INDEX('Final Calculation Sheet'!$U$4:$U$40,$BJ34-3)="","",INDEX('Final Calculation Sheet'!$U$4:$U$40,$BJ34-3)),IF(OR($BI34=1,$BL34=1,$BH34&gt;0),IF($BI34=1,SUM('Final Calculation Sheet'!$U$4:$U$40),IF($BL34=1,SUM('Final Calculation Sheet'!$U$4:$U$40)-SUMIFS('Final Calculation Sheet'!$U$4:$U$40,$AZ$5:$AZ$41,10),SUMIFS('Final Calculation Sheet'!$U$4:$U$40,$AZ$5:$AZ$41,$BH34))),""))</f>
        <v>137350</v>
      </c>
      <c r="W34" s="70" t="str">
        <f>IF($BJ34&gt;0,IF(INDEX('Final Calculation Sheet'!$V$4:$V$40,$BJ34-3)="","",INDEX('Final Calculation Sheet'!$V$4:$V$40,$BJ34-3)),IF(OR($BI34=1,$BL34=1,$BH34&gt;0),"–",""))</f>
        <v>14.08.2026</v>
      </c>
      <c r="X34" s="70">
        <f>IF($BJ34&gt;0,IF(INDEX('Final Calculation Sheet'!$W$4:$W$40,$BJ34-3)="","",INDEX('Final Calculation Sheet'!$W$4:$W$40,$BJ34-3)),IF(OR($BI34=1,$BL34=1,$BH34&gt;0),IF($BI34=1,SUM('Final Calculation Sheet'!$W$4:$W$40),IF($BL34=1,SUM('Final Calculation Sheet'!$W$4:$W$40)-SUMIFS('Final Calculation Sheet'!$W$4:$W$40,$AZ$5:$AZ$41,10),SUMIFS('Final Calculation Sheet'!$W$4:$W$40,$AZ$5:$AZ$41,$BH34))),""))</f>
        <v>498031</v>
      </c>
      <c r="Y34" s="70" t="str">
        <f>IF($BJ34&gt;0,IF(INDEX('Final Calculation Sheet'!$X$4:$X$40,$BJ34-3)="","",INDEX('Final Calculation Sheet'!$X$4:$X$40,$BJ34-3)),IF(OR($BI34=1,$BL34=1,$BH34&gt;0),IF($BI34=1,SUM('Final Calculation Sheet'!$X$4:$X$40),IF($BL34=1,SUM('Final Calculation Sheet'!$X$4:$X$40)-SUMIFS('Final Calculation Sheet'!$X$4:$X$40,$AZ$5:$AZ$41,10),SUMIFS('Final Calculation Sheet'!$X$4:$X$40,$AZ$5:$AZ$41,$BH34))),""))</f>
        <v/>
      </c>
      <c r="Z34" s="70">
        <f>IF($BJ34&gt;0,IF(INDEX('Final Calculation Sheet'!$Y$4:$Y$40,$BJ34-3)="","",INDEX('Final Calculation Sheet'!$Y$4:$Y$40,$BJ34-3)),IF(OR($BI34=1,$BL34=1,$BH34&gt;0),"–",""))</f>
        <v>0</v>
      </c>
      <c r="AA34" s="70">
        <f ca="1">IF($BJ34&gt;0,IF(INDEX('Final Calculation Sheet'!$Z$4:$Z$40,$BJ34-3)="","",INDEX('Final Calculation Sheet'!$Z$4:$Z$40,$BJ34-3)),IF(OR($BI34=1,$BL34=1,$BH34&gt;0),IF($BI34=1,SUM('Final Calculation Sheet'!$Z$4:$Z$40),IF($BL34=1,SUM('Final Calculation Sheet'!$Z$4:$Z$40)-SUMIFS('Final Calculation Sheet'!$Z$4:$Z$40,$AZ$5:$AZ$41,10),SUMIFS('Final Calculation Sheet'!$Z$4:$Z$40,$AZ$5:$AZ$41,$BH34))),""))</f>
        <v>19448.760000000002</v>
      </c>
      <c r="AB34" s="70" t="str">
        <f>IF($BJ34&gt;0,IF(INDEX('Final Calculation Sheet'!$AA$4:$AA$40,$BJ34-3)="","",INDEX('Final Calculation Sheet'!$AA$4:$AA$40,$BJ34-3)),IF(OR($BI34=1,$BL34=1,$BH34&gt;0),IF($BI34=1,SUM('Final Calculation Sheet'!$AA$4:$AA$40),IF($BL34=1,SUM('Final Calculation Sheet'!$AA$4:$AA$40)-SUMIFS('Final Calculation Sheet'!$AA$4:$AA$40,$AZ$5:$AZ$41,10),SUMIFS('Final Calculation Sheet'!$AA$4:$AA$40,$AZ$5:$AZ$41,$BH34))),""))</f>
        <v/>
      </c>
      <c r="AC34" s="70" t="str">
        <f>IF($BJ34&gt;0,IF(INDEX('Final Calculation Sheet'!$AB$4:$AB$40,$BJ34-3)="","",INDEX('Final Calculation Sheet'!$AB$4:$AB$40,$BJ34-3)),IF(OR($BI34=1,$BL34=1,$BH34&gt;0),"–",""))</f>
        <v/>
      </c>
      <c r="AD34" s="70">
        <f>IF($BJ34&gt;0,IF(INDEX('Final Calculation Sheet'!$AC$4:$AC$40,$BJ34-3)="","",INDEX('Final Calculation Sheet'!$AC$4:$AC$40,$BJ34-3)),IF(OR($BI34=1,$BL34=1,$BH34&gt;0),IF($BI34=1,SUM('Final Calculation Sheet'!$AC$4:$AC$40),IF($BL34=1,SUM('Final Calculation Sheet'!$AC$4:$AC$40)-SUMIFS('Final Calculation Sheet'!$AC$4:$AC$40,$AZ$5:$AZ$41,10),SUMIFS('Final Calculation Sheet'!$AC$4:$AC$40,$AZ$5:$AZ$41,$BH34))),""))</f>
        <v>137350</v>
      </c>
      <c r="AE34" s="70">
        <f>IF($BJ34&gt;0,IF(INDEX('Final Calculation Sheet'!$AD$4:$AD$40,$BJ34-3)="","",INDEX('Final Calculation Sheet'!$AD$4:$AD$40,$BJ34-3)),IF(OR($BI34=1,$BL34=1,$BH34&gt;0),IF($BI34=1,SUM('Final Calculation Sheet'!$AD$4:$AD$40),IF($BL34=1,SUM('Final Calculation Sheet'!$AD$4:$AD$40)-SUMIFS('Final Calculation Sheet'!$AD$4:$AD$40,$AZ$5:$AZ$41,10),SUMIFS('Final Calculation Sheet'!$AD$4:$AD$40,$AZ$5:$AZ$41,$BH34))),""))</f>
        <v>498031</v>
      </c>
      <c r="AF34" s="70" t="str">
        <f>IF($BJ34&gt;0,IF(INDEX('Final Calculation Sheet'!$AE$4:$AE$40,$BJ34-3)="","",INDEX('Final Calculation Sheet'!$AE$4:$AE$40,$BJ34-3)),IF(OR($BI34=1,$BL34=1,$BH34&gt;0),"–",""))</f>
        <v/>
      </c>
      <c r="AG34" s="74" t="str">
        <f>IF($BJ34&gt;0,IF(INDEX('Final Calculation Sheet'!$AF$4:$AF$40,$BJ34-3)="","",INDEX('Final Calculation Sheet'!$AF$4:$AF$40,$BJ34-3)),IF(OR($BI34=1,$BL34=1,$BH34&gt;0),"–",""))</f>
        <v/>
      </c>
      <c r="AH34" s="70" t="str">
        <f>IF($BJ34&gt;0,IF(INDEX('Final Calculation Sheet'!$AG$4:$AG$40,$BJ34-3)="","",INDEX('Final Calculation Sheet'!$AG$4:$AG$40,$BJ34-3)),IF(OR($BI34=1,$BL34=1,$BH34&gt;0),"–",""))</f>
        <v/>
      </c>
      <c r="AI34" s="75" t="str">
        <f>IF($BJ34&gt;0,IF(INDEX('Final Calculation Sheet'!$AD$4:$AD$40,$BJ34-3)="","",IF(INDEX('Final Calculation Sheet'!$AD$4:$AD$40,$BJ34-3)&lt;=0,"SETTLED","OUTSTANDING")),IF(OR($BI34=1,$BL34=1,$BH34&gt;0),IF(IF($BI34=1,SUM('Final Calculation Sheet'!$AD$4:$AD$40),IF($BL34=1,SUM('Final Calculation Sheet'!$AD$4:$AD$40)-SUMIFS('Final Calculation Sheet'!$AD$4:$AD$40,$AZ$5:$AZ$41,10),SUMIFS('Final Calculation Sheet'!$AD$4:$AD$40,$AZ$5:$AZ$41,$BH34)))&lt;=0,"ALL SETTLED","OUTSTANDING"),""))</f>
        <v>OUTSTANDING</v>
      </c>
      <c r="AK34" t="str">
        <f>IF($F$3="Lot No.",'Final Calculation Sheet'!$F$33,IF($F$3="Buyer",'Final Calculation Sheet'!$G$33,IF($F$3="Lot Name",'Final Calculation Sheet'!$B$33,IF($F$3="Bid Sheet",'Final Calculation Sheet'!$D$33,IF($F$3="Unit",'Final Calculation Sheet'!$E$33,'Final Calculation Sheet'!$F$33&amp;" "&amp;'Final Calculation Sheet'!$G$33&amp;" "&amp;'Final Calculation Sheet'!$B$33)))))</f>
        <v>2059 NATIONAL ENTERPRISES Scrap of 33 KV GCB</v>
      </c>
      <c r="AM34">
        <f t="shared" si="1"/>
        <v>0</v>
      </c>
      <c r="AZ34">
        <f t="shared" si="2"/>
        <v>10</v>
      </c>
      <c r="BA34">
        <f t="shared" si="3"/>
        <v>23</v>
      </c>
      <c r="BB34">
        <f t="shared" si="4"/>
        <v>39</v>
      </c>
      <c r="BC34">
        <v>33</v>
      </c>
      <c r="BH34">
        <f>IFERROR(MATCH(34,$BF$4:$BF$13,0),0)</f>
        <v>0</v>
      </c>
      <c r="BI34">
        <f>IF(34=$BG$5,1,0)</f>
        <v>0</v>
      </c>
      <c r="BJ34">
        <f>IF(OR($BH34&gt;0,$BI34=1,$BL34=1),0,IFERROR(INDEX($BC$5:$BC$41,MATCH(34,$BB$5:$BB$41,0)),0))</f>
        <v>27</v>
      </c>
      <c r="BK34">
        <f>IF($BJ34&gt;0,IF(INDEX($AZ$5:$AZ$41,MATCH(34,$BB$5:$BB$41,0))=10,1,0),IF($BH34=10,1,0))</f>
        <v>1</v>
      </c>
      <c r="BL34">
        <f>IF(34=$BG$4,1,0)</f>
        <v>0</v>
      </c>
    </row>
    <row r="35" spans="1:64" ht="15" customHeight="1" x14ac:dyDescent="0.25">
      <c r="A35" s="67">
        <f>IF($BJ35&gt;0,INDEX($BA$5:$BA$41,MATCH(35,$BB$5:$BB$41,0)),IF(OR($BI35=1,$BL35=1,$BH35&gt;0),"∑",""))</f>
        <v>19</v>
      </c>
      <c r="B35" s="68">
        <f>IF($BJ35&gt;0,IF(INDEX('Final Calculation Sheet'!$F$4:$F$40,$BJ35-3)="","",INDEX('Final Calculation Sheet'!$F$4:$F$40,$BJ35-3)),"")</f>
        <v>2040</v>
      </c>
      <c r="C35" s="68" t="str">
        <f>IF($BJ35&gt;0,IF(INDEX('Final Calculation Sheet'!$G$4:$G$40,$BJ35-3)="","",INDEX('Final Calculation Sheet'!$G$4:$G$40,$BJ35-3)),IF(OR($BI35=1,$BL35=1,$BH35&gt;0),IF($BI35=1,37,IF($BL35=1,37-INDEX($BD$4:$BD$13,10),INDEX($BD$4:$BD$13,$BH35)))&amp;" lot(s)",""))</f>
        <v>STERLING ENTERPRISES</v>
      </c>
      <c r="D35" s="69" t="str">
        <f>IF($BJ35&gt;0,IF(INDEX('Final Calculation Sheet'!$B$4:$B$40,$BJ35-3)="","",INDEX('Final Calculation Sheet'!$B$4:$B$40,$BJ35-3)),IF(OR($BI35=1,$BL35=1,$BH35&gt;0),IF($BI35=1,"GRAND TOTAL  —  matching + remaining",IF($BL35=1,"TOTAL MATCHED  —  every group together",IF($BH35=10,"REMAINING  —  did not match the search",IF($BH35=9,"ALL LOTS  —  nothing typed in the box","GROUP "&amp;$BH35&amp;" TOTAL  —  lots matching  "&amp;INDEX($AR$6:$AY$6,$BH35))))),""))</f>
        <v>Scrap of 33 KV CT</v>
      </c>
      <c r="E35" s="69">
        <f>IF($BJ35&gt;0,IF(INDEX('Final Calculation Sheet'!$D$4:$D$40,$BJ35-3)="","",INDEX('Final Calculation Sheet'!$D$4:$D$40,$BJ35-3)),IF(OR($BI35=1,$BL35=1,$BH35&gt;0),"–",""))</f>
        <v>21978</v>
      </c>
      <c r="F35" s="69">
        <f>IF($BJ35&gt;0,IF(INDEX('Final Calculation Sheet'!$A$4:$A$40,$BJ35-3)="","",INDEX('Final Calculation Sheet'!$A$4:$A$40,$BJ35-3)),IF(OR($BI35=1,$BL35=1,$BH35&gt;0),IF($BI35=1,SUM('Final Calculation Sheet'!$A$4:$A$40),IF($BL35=1,SUM('Final Calculation Sheet'!$A$4:$A$40)-SUMIFS('Final Calculation Sheet'!$A$4:$A$40,$AZ$5:$AZ$41,10),SUMIFS('Final Calculation Sheet'!$A$4:$A$40,$AZ$5:$AZ$41,$BH35))),""))</f>
        <v>3</v>
      </c>
      <c r="G35" s="69" t="str">
        <f>IF($BJ35&gt;0,IF(INDEX('Final Calculation Sheet'!$E$4:$E$40,$BJ35-3)="","",INDEX('Final Calculation Sheet'!$E$4:$E$40,$BJ35-3)),IF(OR($BI35=1,$BL35=1,$BH35&gt;0),"–",""))</f>
        <v>NO</v>
      </c>
      <c r="H35" s="70">
        <f>IF($BJ35&gt;0,IF(INDEX('Final Calculation Sheet'!$C$4:$C$40,$BJ35-3)="","",INDEX('Final Calculation Sheet'!$C$4:$C$40,$BJ35-3)),IF(OR($BI35=1,$BL35=1,$BH35&gt;0),"–",""))</f>
        <v>90002</v>
      </c>
      <c r="I35" s="70">
        <f>IF($BJ35&gt;0,IF(INDEX('Final Calculation Sheet'!$H$4:$H$40,$BJ35-3)="","",INDEX('Final Calculation Sheet'!$H$4:$H$40,$BJ35-3)),IF(OR($BI35=1,$BL35=1,$BH35&gt;0),IF($BI35=1,SUM('Final Calculation Sheet'!$H$4:$H$40),IF($BL35=1,SUM('Final Calculation Sheet'!$H$4:$H$40)-SUMIFS('Final Calculation Sheet'!$H$4:$H$40,$AZ$5:$AZ$41,10),SUMIFS('Final Calculation Sheet'!$H$4:$H$40,$AZ$5:$AZ$41,$BH35))),""))</f>
        <v>270006</v>
      </c>
      <c r="J35" s="70">
        <f>IF($BJ35&gt;0,IF(INDEX('Final Calculation Sheet'!$I$4:$I$40,$BJ35-3)="","",INDEX('Final Calculation Sheet'!$I$4:$I$40,$BJ35-3)),IF(OR($BI35=1,$BL35=1,$BH35&gt;0),IF($BI35=1,SUM('Final Calculation Sheet'!$I$4:$I$40),IF($BL35=1,SUM('Final Calculation Sheet'!$I$4:$I$40)-SUMIFS('Final Calculation Sheet'!$I$4:$I$40,$AZ$5:$AZ$41,10),SUMIFS('Final Calculation Sheet'!$I$4:$I$40,$AZ$5:$AZ$41,$BH35))),""))</f>
        <v>48601</v>
      </c>
      <c r="K35" s="70">
        <f>IF($BJ35&gt;0,IF(INDEX('Final Calculation Sheet'!$J$4:$J$40,$BJ35-3)="","",INDEX('Final Calculation Sheet'!$J$4:$J$40,$BJ35-3)),IF(OR($BI35=1,$BL35=1,$BH35&gt;0),IF($BI35=1,SUM('Final Calculation Sheet'!$J$4:$J$40),IF($BL35=1,SUM('Final Calculation Sheet'!$J$4:$J$40)-SUMIFS('Final Calculation Sheet'!$J$4:$J$40,$AZ$5:$AZ$41,10),SUMIFS('Final Calculation Sheet'!$J$4:$J$40,$AZ$5:$AZ$41,$BH35))),""))</f>
        <v>318607</v>
      </c>
      <c r="L35" s="70">
        <f>IF($BJ35&gt;0,IF(INDEX('Final Calculation Sheet'!$K$4:$K$40,$BJ35-3)="","",INDEX('Final Calculation Sheet'!$K$4:$K$40,$BJ35-3)),IF(OR($BI35=1,$BL35=1,$BH35&gt;0),IF($BI35=1,SUM('Final Calculation Sheet'!$K$4:$K$40),IF($BL35=1,SUM('Final Calculation Sheet'!$K$4:$K$40)-SUMIFS('Final Calculation Sheet'!$K$4:$K$40,$AZ$5:$AZ$41,10),SUMIFS('Final Calculation Sheet'!$K$4:$K$40,$AZ$5:$AZ$41,$BH35))),""))</f>
        <v>6372</v>
      </c>
      <c r="M35" s="70">
        <f>IF($BJ35&gt;0,IF(INDEX('Final Calculation Sheet'!$L$4:$L$40,$BJ35-3)="","",INDEX('Final Calculation Sheet'!$L$4:$L$40,$BJ35-3)),IF(OR($BI35=1,$BL35=1,$BH35&gt;0),IF($BI35=1,SUM('Final Calculation Sheet'!$L$4:$L$40),IF($BL35=1,SUM('Final Calculation Sheet'!$L$4:$L$40)-SUMIFS('Final Calculation Sheet'!$L$4:$L$40,$AZ$5:$AZ$41,10),SUMIFS('Final Calculation Sheet'!$L$4:$L$40,$AZ$5:$AZ$41,$BH35))),""))</f>
        <v>270.00600000000003</v>
      </c>
      <c r="N35" s="70">
        <f>IF($BJ35&gt;0,IF(INDEX('Final Calculation Sheet'!$M$4:$M$40,$BJ35-3)="","",INDEX('Final Calculation Sheet'!$M$4:$M$40,$BJ35-3)),IF(OR($BI35=1,$BL35=1,$BH35&gt;0),IF($BI35=1,SUM('Final Calculation Sheet'!$M$4:$M$40),IF($BL35=1,SUM('Final Calculation Sheet'!$M$4:$M$40)-SUMIFS('Final Calculation Sheet'!$M$4:$M$40,$AZ$5:$AZ$41,10),SUMIFS('Final Calculation Sheet'!$M$4:$M$40,$AZ$5:$AZ$41,$BH35))),""))</f>
        <v>7168.6593000000003</v>
      </c>
      <c r="O35" s="71">
        <f>IF($BJ35&gt;0,IF(INDEX('Final Calculation Sheet'!$N$4:$N$40,$BJ35-3)="","",INDEX('Final Calculation Sheet'!$N$4:$N$40,$BJ35-3)),IF(OR($BI35=1,$BL35=1,$BH35&gt;0),IF($BI35=1,SUM('Final Calculation Sheet'!$N$4:$N$40),IF($BL35=1,SUM('Final Calculation Sheet'!$N$4:$N$40)-SUMIFS('Final Calculation Sheet'!$N$4:$N$40,$AZ$5:$AZ$41,10),SUMIFS('Final Calculation Sheet'!$N$4:$N$40,$AZ$5:$AZ$41,$BH35))),""))</f>
        <v>121.5027</v>
      </c>
      <c r="P35" s="70">
        <f>IF($BJ35&gt;0,IF(INDEX('Final Calculation Sheet'!$O$4:$O$40,$BJ35-3)="","",INDEX('Final Calculation Sheet'!$O$4:$O$40,$BJ35-3)),IF(OR($BI35=1,$BL35=1,$BH35&gt;0),IF($BI35=1,SUM('Final Calculation Sheet'!$O$4:$O$40),IF($BL35=1,SUM('Final Calculation Sheet'!$O$4:$O$40)-SUMIFS('Final Calculation Sheet'!$O$4:$O$40,$AZ$5:$AZ$41,10),SUMIFS('Final Calculation Sheet'!$O$4:$O$40,$AZ$5:$AZ$41,$BH35))),""))</f>
        <v>7047.1566000000003</v>
      </c>
      <c r="Q35" s="70">
        <f>IF($BJ35&gt;0,IF(INDEX('Final Calculation Sheet'!$P$4:$P$40,$BJ35-3)="","",INDEX('Final Calculation Sheet'!$P$4:$P$40,$BJ35-3)),IF(OR($BI35=1,$BL35=1,$BH35&gt;0),IF($BI35=1,SUM('Final Calculation Sheet'!$P$4:$P$40),IF($BL35=1,SUM('Final Calculation Sheet'!$P$4:$P$40)-SUMIFS('Final Calculation Sheet'!$P$4:$P$40,$AZ$5:$AZ$41,10),SUMIFS('Final Calculation Sheet'!$P$4:$P$40,$AZ$5:$AZ$41,$BH35))),""))</f>
        <v>7317</v>
      </c>
      <c r="R35" s="72">
        <f>IF($BJ35&gt;0,IF(INDEX('Final Calculation Sheet'!$Q$4:$Q$40,$BJ35-3)="","",INDEX('Final Calculation Sheet'!$Q$4:$Q$40,$BJ35-3)),IF(OR($BI35=1,$BL35=1,$BH35&gt;0),"–",""))</f>
        <v>0</v>
      </c>
      <c r="S35" s="70">
        <f>IF($BJ35&gt;0,IF(INDEX('Final Calculation Sheet'!$R$4:$R$40,$BJ35-3)="","",INDEX('Final Calculation Sheet'!$R$4:$R$40,$BJ35-3)),IF(OR($BI35=1,$BL35=1,$BH35&gt;0),IF($BI35=1,SUM('Final Calculation Sheet'!$R$4:$R$40),IF($BL35=1,SUM('Final Calculation Sheet'!$R$4:$R$40)-SUMIFS('Final Calculation Sheet'!$R$4:$R$40,$AZ$5:$AZ$41,10),SUMIFS('Final Calculation Sheet'!$R$4:$R$40,$AZ$5:$AZ$41,$BH35))),""))</f>
        <v>0</v>
      </c>
      <c r="T35" s="70">
        <f>IF($BJ35&gt;0,IF(INDEX('Final Calculation Sheet'!$S$4:$S$40,$BJ35-3)="","",INDEX('Final Calculation Sheet'!$S$4:$S$40,$BJ35-3)),IF(OR($BI35=1,$BL35=1,$BH35&gt;0),IF($BI35=1,SUM('Final Calculation Sheet'!$S$4:$S$40),IF($BL35=1,SUM('Final Calculation Sheet'!$S$4:$S$40)-SUMIFS('Final Calculation Sheet'!$S$4:$S$40,$AZ$5:$AZ$41,10),SUMIFS('Final Calculation Sheet'!$S$4:$S$40,$AZ$5:$AZ$41,$BH35))),""))</f>
        <v>317662</v>
      </c>
      <c r="U35" s="70">
        <f>IF($BJ35&gt;0,IF(INDEX('Final Calculation Sheet'!$T$4:$T$40,$BJ35-3)="","",INDEX('Final Calculation Sheet'!$T$4:$T$40,$BJ35-3)),IF(OR($BI35=1,$BL35=1,$BH35&gt;0),IF($BI35=1,SUM('Final Calculation Sheet'!$T$4:$T$40),IF($BL35=1,SUM('Final Calculation Sheet'!$T$4:$T$40)-SUMIFS('Final Calculation Sheet'!$T$4:$T$40,$AZ$5:$AZ$41,10),SUMIFS('Final Calculation Sheet'!$T$4:$T$40,$AZ$5:$AZ$41,$BH35))),""))</f>
        <v>67502</v>
      </c>
      <c r="V35" s="73">
        <f>IF($BJ35&gt;0,IF(INDEX('Final Calculation Sheet'!$U$4:$U$40,$BJ35-3)="","",INDEX('Final Calculation Sheet'!$U$4:$U$40,$BJ35-3)),IF(OR($BI35=1,$BL35=1,$BH35&gt;0),IF($BI35=1,SUM('Final Calculation Sheet'!$U$4:$U$40),IF($BL35=1,SUM('Final Calculation Sheet'!$U$4:$U$40)-SUMIFS('Final Calculation Sheet'!$U$4:$U$40,$AZ$5:$AZ$41,10),SUMIFS('Final Calculation Sheet'!$U$4:$U$40,$AZ$5:$AZ$41,$BH35))),""))</f>
        <v>67502</v>
      </c>
      <c r="W35" s="70" t="str">
        <f>IF($BJ35&gt;0,IF(INDEX('Final Calculation Sheet'!$V$4:$V$40,$BJ35-3)="","",INDEX('Final Calculation Sheet'!$V$4:$V$40,$BJ35-3)),IF(OR($BI35=1,$BL35=1,$BH35&gt;0),"–",""))</f>
        <v>11.08.2026</v>
      </c>
      <c r="X35" s="70">
        <f>IF($BJ35&gt;0,IF(INDEX('Final Calculation Sheet'!$W$4:$W$40,$BJ35-3)="","",INDEX('Final Calculation Sheet'!$W$4:$W$40,$BJ35-3)),IF(OR($BI35=1,$BL35=1,$BH35&gt;0),IF($BI35=1,SUM('Final Calculation Sheet'!$W$4:$W$40),IF($BL35=1,SUM('Final Calculation Sheet'!$W$4:$W$40)-SUMIFS('Final Calculation Sheet'!$W$4:$W$40,$AZ$5:$AZ$41,10),SUMIFS('Final Calculation Sheet'!$W$4:$W$40,$AZ$5:$AZ$41,$BH35))),""))</f>
        <v>250161</v>
      </c>
      <c r="Y35" s="70" t="str">
        <f>IF($BJ35&gt;0,IF(INDEX('Final Calculation Sheet'!$X$4:$X$40,$BJ35-3)="","",INDEX('Final Calculation Sheet'!$X$4:$X$40,$BJ35-3)),IF(OR($BI35=1,$BL35=1,$BH35&gt;0),IF($BI35=1,SUM('Final Calculation Sheet'!$X$4:$X$40),IF($BL35=1,SUM('Final Calculation Sheet'!$X$4:$X$40)-SUMIFS('Final Calculation Sheet'!$X$4:$X$40,$AZ$5:$AZ$41,10),SUMIFS('Final Calculation Sheet'!$X$4:$X$40,$AZ$5:$AZ$41,$BH35))),""))</f>
        <v/>
      </c>
      <c r="Z35" s="70">
        <f>IF($BJ35&gt;0,IF(INDEX('Final Calculation Sheet'!$Y$4:$Y$40,$BJ35-3)="","",INDEX('Final Calculation Sheet'!$Y$4:$Y$40,$BJ35-3)),IF(OR($BI35=1,$BL35=1,$BH35&gt;0),"–",""))</f>
        <v>0</v>
      </c>
      <c r="AA35" s="70">
        <f ca="1">IF($BJ35&gt;0,IF(INDEX('Final Calculation Sheet'!$Z$4:$Z$40,$BJ35-3)="","",INDEX('Final Calculation Sheet'!$Z$4:$Z$40,$BJ35-3)),IF(OR($BI35=1,$BL35=1,$BH35&gt;0),IF($BI35=1,SUM('Final Calculation Sheet'!$Z$4:$Z$40),IF($BL35=1,SUM('Final Calculation Sheet'!$Z$4:$Z$40)-SUMIFS('Final Calculation Sheet'!$Z$4:$Z$40,$AZ$5:$AZ$41,10),SUMIFS('Final Calculation Sheet'!$Z$4:$Z$40,$AZ$5:$AZ$41,$BH35))),""))</f>
        <v>9558.2124000000003</v>
      </c>
      <c r="AB35" s="70" t="str">
        <f>IF($BJ35&gt;0,IF(INDEX('Final Calculation Sheet'!$AA$4:$AA$40,$BJ35-3)="","",INDEX('Final Calculation Sheet'!$AA$4:$AA$40,$BJ35-3)),IF(OR($BI35=1,$BL35=1,$BH35&gt;0),IF($BI35=1,SUM('Final Calculation Sheet'!$AA$4:$AA$40),IF($BL35=1,SUM('Final Calculation Sheet'!$AA$4:$AA$40)-SUMIFS('Final Calculation Sheet'!$AA$4:$AA$40,$AZ$5:$AZ$41,10),SUMIFS('Final Calculation Sheet'!$AA$4:$AA$40,$AZ$5:$AZ$41,$BH35))),""))</f>
        <v/>
      </c>
      <c r="AC35" s="70" t="str">
        <f>IF($BJ35&gt;0,IF(INDEX('Final Calculation Sheet'!$AB$4:$AB$40,$BJ35-3)="","",INDEX('Final Calculation Sheet'!$AB$4:$AB$40,$BJ35-3)),IF(OR($BI35=1,$BL35=1,$BH35&gt;0),"–",""))</f>
        <v/>
      </c>
      <c r="AD35" s="70">
        <f>IF($BJ35&gt;0,IF(INDEX('Final Calculation Sheet'!$AC$4:$AC$40,$BJ35-3)="","",INDEX('Final Calculation Sheet'!$AC$4:$AC$40,$BJ35-3)),IF(OR($BI35=1,$BL35=1,$BH35&gt;0),IF($BI35=1,SUM('Final Calculation Sheet'!$AC$4:$AC$40),IF($BL35=1,SUM('Final Calculation Sheet'!$AC$4:$AC$40)-SUMIFS('Final Calculation Sheet'!$AC$4:$AC$40,$AZ$5:$AZ$41,10),SUMIFS('Final Calculation Sheet'!$AC$4:$AC$40,$AZ$5:$AZ$41,$BH35))),""))</f>
        <v>67502</v>
      </c>
      <c r="AE35" s="70">
        <f>IF($BJ35&gt;0,IF(INDEX('Final Calculation Sheet'!$AD$4:$AD$40,$BJ35-3)="","",INDEX('Final Calculation Sheet'!$AD$4:$AD$40,$BJ35-3)),IF(OR($BI35=1,$BL35=1,$BH35&gt;0),IF($BI35=1,SUM('Final Calculation Sheet'!$AD$4:$AD$40),IF($BL35=1,SUM('Final Calculation Sheet'!$AD$4:$AD$40)-SUMIFS('Final Calculation Sheet'!$AD$4:$AD$40,$AZ$5:$AZ$41,10),SUMIFS('Final Calculation Sheet'!$AD$4:$AD$40,$AZ$5:$AZ$41,$BH35))),""))</f>
        <v>250160</v>
      </c>
      <c r="AF35" s="70" t="str">
        <f>IF($BJ35&gt;0,IF(INDEX('Final Calculation Sheet'!$AE$4:$AE$40,$BJ35-3)="","",INDEX('Final Calculation Sheet'!$AE$4:$AE$40,$BJ35-3)),IF(OR($BI35=1,$BL35=1,$BH35&gt;0),"–",""))</f>
        <v/>
      </c>
      <c r="AG35" s="74" t="str">
        <f>IF($BJ35&gt;0,IF(INDEX('Final Calculation Sheet'!$AF$4:$AF$40,$BJ35-3)="","",INDEX('Final Calculation Sheet'!$AF$4:$AF$40,$BJ35-3)),IF(OR($BI35=1,$BL35=1,$BH35&gt;0),"–",""))</f>
        <v/>
      </c>
      <c r="AH35" s="70" t="str">
        <f>IF($BJ35&gt;0,IF(INDEX('Final Calculation Sheet'!$AG$4:$AG$40,$BJ35-3)="","",INDEX('Final Calculation Sheet'!$AG$4:$AG$40,$BJ35-3)),IF(OR($BI35=1,$BL35=1,$BH35&gt;0),"–",""))</f>
        <v/>
      </c>
      <c r="AI35" s="75" t="str">
        <f>IF($BJ35&gt;0,IF(INDEX('Final Calculation Sheet'!$AD$4:$AD$40,$BJ35-3)="","",IF(INDEX('Final Calculation Sheet'!$AD$4:$AD$40,$BJ35-3)&lt;=0,"SETTLED","OUTSTANDING")),IF(OR($BI35=1,$BL35=1,$BH35&gt;0),IF(IF($BI35=1,SUM('Final Calculation Sheet'!$AD$4:$AD$40),IF($BL35=1,SUM('Final Calculation Sheet'!$AD$4:$AD$40)-SUMIFS('Final Calculation Sheet'!$AD$4:$AD$40,$AZ$5:$AZ$41,10),SUMIFS('Final Calculation Sheet'!$AD$4:$AD$40,$AZ$5:$AZ$41,$BH35)))&lt;=0,"ALL SETTLED","OUTSTANDING"),""))</f>
        <v>OUTSTANDING</v>
      </c>
      <c r="AK35" t="str">
        <f>IF($F$3="Lot No.",'Final Calculation Sheet'!$F$34,IF($F$3="Buyer",'Final Calculation Sheet'!$G$34,IF($F$3="Lot Name",'Final Calculation Sheet'!$B$34,IF($F$3="Bid Sheet",'Final Calculation Sheet'!$D$34,IF($F$3="Unit",'Final Calculation Sheet'!$E$34,'Final Calculation Sheet'!$F$34&amp;" "&amp;'Final Calculation Sheet'!$G$34&amp;" "&amp;'Final Calculation Sheet'!$B$34)))))</f>
        <v>2062 STERLING ENTERPRISES Scrap of Empty oil Barrels</v>
      </c>
      <c r="AM35">
        <f t="shared" si="1"/>
        <v>1</v>
      </c>
      <c r="AZ35">
        <f t="shared" si="2"/>
        <v>2</v>
      </c>
      <c r="BA35">
        <f t="shared" si="3"/>
        <v>5</v>
      </c>
      <c r="BB35">
        <f t="shared" si="4"/>
        <v>14</v>
      </c>
      <c r="BC35">
        <v>34</v>
      </c>
      <c r="BH35">
        <f>IFERROR(MATCH(35,$BF$4:$BF$13,0),0)</f>
        <v>0</v>
      </c>
      <c r="BI35">
        <f>IF(35=$BG$5,1,0)</f>
        <v>0</v>
      </c>
      <c r="BJ35">
        <f>IF(OR($BH35&gt;0,$BI35=1,$BL35=1),0,IFERROR(INDEX($BC$5:$BC$41,MATCH(35,$BB$5:$BB$41,0)),0))</f>
        <v>29</v>
      </c>
      <c r="BK35">
        <f>IF($BJ35&gt;0,IF(INDEX($AZ$5:$AZ$41,MATCH(35,$BB$5:$BB$41,0))=10,1,0),IF($BH35=10,1,0))</f>
        <v>1</v>
      </c>
      <c r="BL35">
        <f>IF(35=$BG$4,1,0)</f>
        <v>0</v>
      </c>
    </row>
    <row r="36" spans="1:64" ht="15" customHeight="1" x14ac:dyDescent="0.25">
      <c r="A36" s="67">
        <f>IF($BJ36&gt;0,INDEX($BA$5:$BA$41,MATCH(36,$BB$5:$BB$41,0)),IF(OR($BI36=1,$BL36=1,$BH36&gt;0),"∑",""))</f>
        <v>20</v>
      </c>
      <c r="B36" s="68">
        <f>IF($BJ36&gt;0,IF(INDEX('Final Calculation Sheet'!$F$4:$F$40,$BJ36-3)="","",INDEX('Final Calculation Sheet'!$F$4:$F$40,$BJ36-3)),"")</f>
        <v>2043</v>
      </c>
      <c r="C36" s="68" t="str">
        <f>IF($BJ36&gt;0,IF(INDEX('Final Calculation Sheet'!$G$4:$G$40,$BJ36-3)="","",INDEX('Final Calculation Sheet'!$G$4:$G$40,$BJ36-3)),IF(OR($BI36=1,$BL36=1,$BH36&gt;0),IF($BI36=1,37,IF($BL36=1,37-INDEX($BD$4:$BD$13,10),INDEX($BD$4:$BD$13,$BH36)))&amp;" lot(s)",""))</f>
        <v>NATIONAL ENTERPRISES</v>
      </c>
      <c r="D36" s="69" t="str">
        <f>IF($BJ36&gt;0,IF(INDEX('Final Calculation Sheet'!$B$4:$B$40,$BJ36-3)="","",INDEX('Final Calculation Sheet'!$B$4:$B$40,$BJ36-3)),IF(OR($BI36=1,$BL36=1,$BH36&gt;0),IF($BI36=1,"GRAND TOTAL  —  matching + remaining",IF($BL36=1,"TOTAL MATCHED  —  every group together",IF($BH36=10,"REMAINING  —  did not match the search",IF($BH36=9,"ALL LOTS  —  nothing typed in the box","GROUP "&amp;$BH36&amp;" TOTAL  —  lots matching  "&amp;INDEX($AR$6:$AY$6,$BH36))))),""))</f>
        <v>Scrap of 132 KV CT</v>
      </c>
      <c r="E36" s="69">
        <f>IF($BJ36&gt;0,IF(INDEX('Final Calculation Sheet'!$D$4:$D$40,$BJ36-3)="","",INDEX('Final Calculation Sheet'!$D$4:$D$40,$BJ36-3)),IF(OR($BI36=1,$BL36=1,$BH36&gt;0),"–",""))</f>
        <v>21979</v>
      </c>
      <c r="F36" s="69">
        <f>IF($BJ36&gt;0,IF(INDEX('Final Calculation Sheet'!$A$4:$A$40,$BJ36-3)="","",INDEX('Final Calculation Sheet'!$A$4:$A$40,$BJ36-3)),IF(OR($BI36=1,$BL36=1,$BH36&gt;0),IF($BI36=1,SUM('Final Calculation Sheet'!$A$4:$A$40),IF($BL36=1,SUM('Final Calculation Sheet'!$A$4:$A$40)-SUMIFS('Final Calculation Sheet'!$A$4:$A$40,$AZ$5:$AZ$41,10),SUMIFS('Final Calculation Sheet'!$A$4:$A$40,$AZ$5:$AZ$41,$BH36))),""))</f>
        <v>5</v>
      </c>
      <c r="G36" s="69" t="str">
        <f>IF($BJ36&gt;0,IF(INDEX('Final Calculation Sheet'!$E$4:$E$40,$BJ36-3)="","",INDEX('Final Calculation Sheet'!$E$4:$E$40,$BJ36-3)),IF(OR($BI36=1,$BL36=1,$BH36&gt;0),"–",""))</f>
        <v>NO</v>
      </c>
      <c r="H36" s="70">
        <f>IF($BJ36&gt;0,IF(INDEX('Final Calculation Sheet'!$C$4:$C$40,$BJ36-3)="","",INDEX('Final Calculation Sheet'!$C$4:$C$40,$BJ36-3)),IF(OR($BI36=1,$BL36=1,$BH36&gt;0),"–",""))</f>
        <v>80000</v>
      </c>
      <c r="I36" s="70">
        <f>IF($BJ36&gt;0,IF(INDEX('Final Calculation Sheet'!$H$4:$H$40,$BJ36-3)="","",INDEX('Final Calculation Sheet'!$H$4:$H$40,$BJ36-3)),IF(OR($BI36=1,$BL36=1,$BH36&gt;0),IF($BI36=1,SUM('Final Calculation Sheet'!$H$4:$H$40),IF($BL36=1,SUM('Final Calculation Sheet'!$H$4:$H$40)-SUMIFS('Final Calculation Sheet'!$H$4:$H$40,$AZ$5:$AZ$41,10),SUMIFS('Final Calculation Sheet'!$H$4:$H$40,$AZ$5:$AZ$41,$BH36))),""))</f>
        <v>400000</v>
      </c>
      <c r="J36" s="70">
        <f>IF($BJ36&gt;0,IF(INDEX('Final Calculation Sheet'!$I$4:$I$40,$BJ36-3)="","",INDEX('Final Calculation Sheet'!$I$4:$I$40,$BJ36-3)),IF(OR($BI36=1,$BL36=1,$BH36&gt;0),IF($BI36=1,SUM('Final Calculation Sheet'!$I$4:$I$40),IF($BL36=1,SUM('Final Calculation Sheet'!$I$4:$I$40)-SUMIFS('Final Calculation Sheet'!$I$4:$I$40,$AZ$5:$AZ$41,10),SUMIFS('Final Calculation Sheet'!$I$4:$I$40,$AZ$5:$AZ$41,$BH36))),""))</f>
        <v>72000</v>
      </c>
      <c r="K36" s="70">
        <f>IF($BJ36&gt;0,IF(INDEX('Final Calculation Sheet'!$J$4:$J$40,$BJ36-3)="","",INDEX('Final Calculation Sheet'!$J$4:$J$40,$BJ36-3)),IF(OR($BI36=1,$BL36=1,$BH36&gt;0),IF($BI36=1,SUM('Final Calculation Sheet'!$J$4:$J$40),IF($BL36=1,SUM('Final Calculation Sheet'!$J$4:$J$40)-SUMIFS('Final Calculation Sheet'!$J$4:$J$40,$AZ$5:$AZ$41,10),SUMIFS('Final Calculation Sheet'!$J$4:$J$40,$AZ$5:$AZ$41,$BH36))),""))</f>
        <v>472000</v>
      </c>
      <c r="L36" s="70">
        <f>IF($BJ36&gt;0,IF(INDEX('Final Calculation Sheet'!$K$4:$K$40,$BJ36-3)="","",INDEX('Final Calculation Sheet'!$K$4:$K$40,$BJ36-3)),IF(OR($BI36=1,$BL36=1,$BH36&gt;0),IF($BI36=1,SUM('Final Calculation Sheet'!$K$4:$K$40),IF($BL36=1,SUM('Final Calculation Sheet'!$K$4:$K$40)-SUMIFS('Final Calculation Sheet'!$K$4:$K$40,$AZ$5:$AZ$41,10),SUMIFS('Final Calculation Sheet'!$K$4:$K$40,$AZ$5:$AZ$41,$BH36))),""))</f>
        <v>9440</v>
      </c>
      <c r="M36" s="70">
        <f>IF($BJ36&gt;0,IF(INDEX('Final Calculation Sheet'!$L$4:$L$40,$BJ36-3)="","",INDEX('Final Calculation Sheet'!$L$4:$L$40,$BJ36-3)),IF(OR($BI36=1,$BL36=1,$BH36&gt;0),IF($BI36=1,SUM('Final Calculation Sheet'!$L$4:$L$40),IF($BL36=1,SUM('Final Calculation Sheet'!$L$4:$L$40)-SUMIFS('Final Calculation Sheet'!$L$4:$L$40,$AZ$5:$AZ$41,10),SUMIFS('Final Calculation Sheet'!$L$4:$L$40,$AZ$5:$AZ$41,$BH36))),""))</f>
        <v>400</v>
      </c>
      <c r="N36" s="70">
        <f>IF($BJ36&gt;0,IF(INDEX('Final Calculation Sheet'!$M$4:$M$40,$BJ36-3)="","",INDEX('Final Calculation Sheet'!$M$4:$M$40,$BJ36-3)),IF(OR($BI36=1,$BL36=1,$BH36&gt;0),IF($BI36=1,SUM('Final Calculation Sheet'!$M$4:$M$40),IF($BL36=1,SUM('Final Calculation Sheet'!$M$4:$M$40)-SUMIFS('Final Calculation Sheet'!$M$4:$M$40,$AZ$5:$AZ$41,10),SUMIFS('Final Calculation Sheet'!$M$4:$M$40,$AZ$5:$AZ$41,$BH36))),""))</f>
        <v>10620</v>
      </c>
      <c r="O36" s="71">
        <f>IF($BJ36&gt;0,IF(INDEX('Final Calculation Sheet'!$N$4:$N$40,$BJ36-3)="","",INDEX('Final Calculation Sheet'!$N$4:$N$40,$BJ36-3)),IF(OR($BI36=1,$BL36=1,$BH36&gt;0),IF($BI36=1,SUM('Final Calculation Sheet'!$N$4:$N$40),IF($BL36=1,SUM('Final Calculation Sheet'!$N$4:$N$40)-SUMIFS('Final Calculation Sheet'!$N$4:$N$40,$AZ$5:$AZ$41,10),SUMIFS('Final Calculation Sheet'!$N$4:$N$40,$AZ$5:$AZ$41,$BH36))),""))</f>
        <v>180</v>
      </c>
      <c r="P36" s="70">
        <f>IF($BJ36&gt;0,IF(INDEX('Final Calculation Sheet'!$O$4:$O$40,$BJ36-3)="","",INDEX('Final Calculation Sheet'!$O$4:$O$40,$BJ36-3)),IF(OR($BI36=1,$BL36=1,$BH36&gt;0),IF($BI36=1,SUM('Final Calculation Sheet'!$O$4:$O$40),IF($BL36=1,SUM('Final Calculation Sheet'!$O$4:$O$40)-SUMIFS('Final Calculation Sheet'!$O$4:$O$40,$AZ$5:$AZ$41,10),SUMIFS('Final Calculation Sheet'!$O$4:$O$40,$AZ$5:$AZ$41,$BH36))),""))</f>
        <v>10440</v>
      </c>
      <c r="Q36" s="70">
        <f>IF($BJ36&gt;0,IF(INDEX('Final Calculation Sheet'!$P$4:$P$40,$BJ36-3)="","",INDEX('Final Calculation Sheet'!$P$4:$P$40,$BJ36-3)),IF(OR($BI36=1,$BL36=1,$BH36&gt;0),IF($BI36=1,SUM('Final Calculation Sheet'!$P$4:$P$40),IF($BL36=1,SUM('Final Calculation Sheet'!$P$4:$P$40)-SUMIFS('Final Calculation Sheet'!$P$4:$P$40,$AZ$5:$AZ$41,10),SUMIFS('Final Calculation Sheet'!$P$4:$P$40,$AZ$5:$AZ$41,$BH36))),""))</f>
        <v>10840</v>
      </c>
      <c r="R36" s="72">
        <f>IF($BJ36&gt;0,IF(INDEX('Final Calculation Sheet'!$Q$4:$Q$40,$BJ36-3)="","",INDEX('Final Calculation Sheet'!$Q$4:$Q$40,$BJ36-3)),IF(OR($BI36=1,$BL36=1,$BH36&gt;0),"–",""))</f>
        <v>0</v>
      </c>
      <c r="S36" s="70">
        <f>IF($BJ36&gt;0,IF(INDEX('Final Calculation Sheet'!$R$4:$R$40,$BJ36-3)="","",INDEX('Final Calculation Sheet'!$R$4:$R$40,$BJ36-3)),IF(OR($BI36=1,$BL36=1,$BH36&gt;0),IF($BI36=1,SUM('Final Calculation Sheet'!$R$4:$R$40),IF($BL36=1,SUM('Final Calculation Sheet'!$R$4:$R$40)-SUMIFS('Final Calculation Sheet'!$R$4:$R$40,$AZ$5:$AZ$41,10),SUMIFS('Final Calculation Sheet'!$R$4:$R$40,$AZ$5:$AZ$41,$BH36))),""))</f>
        <v>0</v>
      </c>
      <c r="T36" s="70">
        <f>IF($BJ36&gt;0,IF(INDEX('Final Calculation Sheet'!$S$4:$S$40,$BJ36-3)="","",INDEX('Final Calculation Sheet'!$S$4:$S$40,$BJ36-3)),IF(OR($BI36=1,$BL36=1,$BH36&gt;0),IF($BI36=1,SUM('Final Calculation Sheet'!$S$4:$S$40),IF($BL36=1,SUM('Final Calculation Sheet'!$S$4:$S$40)-SUMIFS('Final Calculation Sheet'!$S$4:$S$40,$AZ$5:$AZ$41,10),SUMIFS('Final Calculation Sheet'!$S$4:$S$40,$AZ$5:$AZ$41,$BH36))),""))</f>
        <v>470600</v>
      </c>
      <c r="U36" s="70">
        <f>IF($BJ36&gt;0,IF(INDEX('Final Calculation Sheet'!$T$4:$T$40,$BJ36-3)="","",INDEX('Final Calculation Sheet'!$T$4:$T$40,$BJ36-3)),IF(OR($BI36=1,$BL36=1,$BH36&gt;0),IF($BI36=1,SUM('Final Calculation Sheet'!$T$4:$T$40),IF($BL36=1,SUM('Final Calculation Sheet'!$T$4:$T$40)-SUMIFS('Final Calculation Sheet'!$T$4:$T$40,$AZ$5:$AZ$41,10),SUMIFS('Final Calculation Sheet'!$T$4:$T$40,$AZ$5:$AZ$41,$BH36))),""))</f>
        <v>100000</v>
      </c>
      <c r="V36" s="73">
        <f>IF($BJ36&gt;0,IF(INDEX('Final Calculation Sheet'!$U$4:$U$40,$BJ36-3)="","",INDEX('Final Calculation Sheet'!$U$4:$U$40,$BJ36-3)),IF(OR($BI36=1,$BL36=1,$BH36&gt;0),IF($BI36=1,SUM('Final Calculation Sheet'!$U$4:$U$40),IF($BL36=1,SUM('Final Calculation Sheet'!$U$4:$U$40)-SUMIFS('Final Calculation Sheet'!$U$4:$U$40,$AZ$5:$AZ$41,10),SUMIFS('Final Calculation Sheet'!$U$4:$U$40,$AZ$5:$AZ$41,$BH36))),""))</f>
        <v>100000</v>
      </c>
      <c r="W36" s="70" t="str">
        <f>IF($BJ36&gt;0,IF(INDEX('Final Calculation Sheet'!$V$4:$V$40,$BJ36-3)="","",INDEX('Final Calculation Sheet'!$V$4:$V$40,$BJ36-3)),IF(OR($BI36=1,$BL36=1,$BH36&gt;0),"–",""))</f>
        <v>13.08.2026</v>
      </c>
      <c r="X36" s="70">
        <f>IF($BJ36&gt;0,IF(INDEX('Final Calculation Sheet'!$W$4:$W$40,$BJ36-3)="","",INDEX('Final Calculation Sheet'!$W$4:$W$40,$BJ36-3)),IF(OR($BI36=1,$BL36=1,$BH36&gt;0),IF($BI36=1,SUM('Final Calculation Sheet'!$W$4:$W$40),IF($BL36=1,SUM('Final Calculation Sheet'!$W$4:$W$40)-SUMIFS('Final Calculation Sheet'!$W$4:$W$40,$AZ$5:$AZ$41,10),SUMIFS('Final Calculation Sheet'!$W$4:$W$40,$AZ$5:$AZ$41,$BH36))),""))</f>
        <v>370600</v>
      </c>
      <c r="Y36" s="70">
        <f>IF($BJ36&gt;0,IF(INDEX('Final Calculation Sheet'!$X$4:$X$40,$BJ36-3)="","",INDEX('Final Calculation Sheet'!$X$4:$X$40,$BJ36-3)),IF(OR($BI36=1,$BL36=1,$BH36&gt;0),IF($BI36=1,SUM('Final Calculation Sheet'!$X$4:$X$40),IF($BL36=1,SUM('Final Calculation Sheet'!$X$4:$X$40)-SUMIFS('Final Calculation Sheet'!$X$4:$X$40,$AZ$5:$AZ$41,10),SUMIFS('Final Calculation Sheet'!$X$4:$X$40,$AZ$5:$AZ$41,$BH36))),""))</f>
        <v>370600</v>
      </c>
      <c r="Z36" s="70" t="str">
        <f>IF($BJ36&gt;0,IF(INDEX('Final Calculation Sheet'!$Y$4:$Y$40,$BJ36-3)="","",INDEX('Final Calculation Sheet'!$Y$4:$Y$40,$BJ36-3)),IF(OR($BI36=1,$BL36=1,$BH36&gt;0),"–",""))</f>
        <v>24.08.2026</v>
      </c>
      <c r="AA36" s="70">
        <f ca="1">IF($BJ36&gt;0,IF(INDEX('Final Calculation Sheet'!$Z$4:$Z$40,$BJ36-3)="","",INDEX('Final Calculation Sheet'!$Z$4:$Z$40,$BJ36-3)),IF(OR($BI36=1,$BL36=1,$BH36&gt;0),IF($BI36=1,SUM('Final Calculation Sheet'!$Z$4:$Z$40),IF($BL36=1,SUM('Final Calculation Sheet'!$Z$4:$Z$40)-SUMIFS('Final Calculation Sheet'!$Z$4:$Z$40,$AZ$5:$AZ$41,10),SUMIFS('Final Calculation Sheet'!$Z$4:$Z$40,$AZ$5:$AZ$41,$BH36))),""))</f>
        <v>0</v>
      </c>
      <c r="AB36" s="70" t="str">
        <f>IF($BJ36&gt;0,IF(INDEX('Final Calculation Sheet'!$AA$4:$AA$40,$BJ36-3)="","",INDEX('Final Calculation Sheet'!$AA$4:$AA$40,$BJ36-3)),IF(OR($BI36=1,$BL36=1,$BH36&gt;0),IF($BI36=1,SUM('Final Calculation Sheet'!$AA$4:$AA$40),IF($BL36=1,SUM('Final Calculation Sheet'!$AA$4:$AA$40)-SUMIFS('Final Calculation Sheet'!$AA$4:$AA$40,$AZ$5:$AZ$41,10),SUMIFS('Final Calculation Sheet'!$AA$4:$AA$40,$AZ$5:$AZ$41,$BH36))),""))</f>
        <v/>
      </c>
      <c r="AC36" s="70" t="str">
        <f>IF($BJ36&gt;0,IF(INDEX('Final Calculation Sheet'!$AB$4:$AB$40,$BJ36-3)="","",INDEX('Final Calculation Sheet'!$AB$4:$AB$40,$BJ36-3)),IF(OR($BI36=1,$BL36=1,$BH36&gt;0),"–",""))</f>
        <v/>
      </c>
      <c r="AD36" s="70">
        <f>IF($BJ36&gt;0,IF(INDEX('Final Calculation Sheet'!$AC$4:$AC$40,$BJ36-3)="","",INDEX('Final Calculation Sheet'!$AC$4:$AC$40,$BJ36-3)),IF(OR($BI36=1,$BL36=1,$BH36&gt;0),IF($BI36=1,SUM('Final Calculation Sheet'!$AC$4:$AC$40),IF($BL36=1,SUM('Final Calculation Sheet'!$AC$4:$AC$40)-SUMIFS('Final Calculation Sheet'!$AC$4:$AC$40,$AZ$5:$AZ$41,10),SUMIFS('Final Calculation Sheet'!$AC$4:$AC$40,$AZ$5:$AZ$41,$BH36))),""))</f>
        <v>470600</v>
      </c>
      <c r="AE36" s="70">
        <f>IF($BJ36&gt;0,IF(INDEX('Final Calculation Sheet'!$AD$4:$AD$40,$BJ36-3)="","",INDEX('Final Calculation Sheet'!$AD$4:$AD$40,$BJ36-3)),IF(OR($BI36=1,$BL36=1,$BH36&gt;0),IF($BI36=1,SUM('Final Calculation Sheet'!$AD$4:$AD$40),IF($BL36=1,SUM('Final Calculation Sheet'!$AD$4:$AD$40)-SUMIFS('Final Calculation Sheet'!$AD$4:$AD$40,$AZ$5:$AZ$41,10),SUMIFS('Final Calculation Sheet'!$AD$4:$AD$40,$AZ$5:$AZ$41,$BH36))),""))</f>
        <v>0</v>
      </c>
      <c r="AF36" s="70" t="str">
        <f>IF($BJ36&gt;0,IF(INDEX('Final Calculation Sheet'!$AE$4:$AE$40,$BJ36-3)="","",INDEX('Final Calculation Sheet'!$AE$4:$AE$40,$BJ36-3)),IF(OR($BI36=1,$BL36=1,$BH36&gt;0),"–",""))</f>
        <v>DR2640100038</v>
      </c>
      <c r="AG36" s="74">
        <f>IF($BJ36&gt;0,IF(INDEX('Final Calculation Sheet'!$AF$4:$AF$40,$BJ36-3)="","",INDEX('Final Calculation Sheet'!$AF$4:$AF$40,$BJ36-3)),IF(OR($BI36=1,$BL36=1,$BH36&gt;0),"–",""))</f>
        <v>1800003311</v>
      </c>
      <c r="AH36" s="70" t="str">
        <f>IF($BJ36&gt;0,IF(INDEX('Final Calculation Sheet'!$AG$4:$AG$40,$BJ36-3)="","",INDEX('Final Calculation Sheet'!$AG$4:$AG$40,$BJ36-3)),IF(OR($BI36=1,$BL36=1,$BH36&gt;0),"–",""))</f>
        <v>27.08.2026</v>
      </c>
      <c r="AI36" s="75" t="str">
        <f>IF($BJ36&gt;0,IF(INDEX('Final Calculation Sheet'!$AD$4:$AD$40,$BJ36-3)="","",IF(INDEX('Final Calculation Sheet'!$AD$4:$AD$40,$BJ36-3)&lt;=0,"SETTLED","OUTSTANDING")),IF(OR($BI36=1,$BL36=1,$BH36&gt;0),IF(IF($BI36=1,SUM('Final Calculation Sheet'!$AD$4:$AD$40),IF($BL36=1,SUM('Final Calculation Sheet'!$AD$4:$AD$40)-SUMIFS('Final Calculation Sheet'!$AD$4:$AD$40,$AZ$5:$AZ$41,10),SUMIFS('Final Calculation Sheet'!$AD$4:$AD$40,$AZ$5:$AZ$41,$BH36)))&lt;=0,"ALL SETTLED","OUTSTANDING"),""))</f>
        <v>SETTLED</v>
      </c>
      <c r="AK36" t="str">
        <f>IF($F$3="Lot No.",'Final Calculation Sheet'!$F$35,IF($F$3="Buyer",'Final Calculation Sheet'!$G$35,IF($F$3="Lot Name",'Final Calculation Sheet'!$B$35,IF($F$3="Bid Sheet",'Final Calculation Sheet'!$D$35,IF($F$3="Unit",'Final Calculation Sheet'!$E$35,'Final Calculation Sheet'!$F$35&amp;" "&amp;'Final Calculation Sheet'!$G$35&amp;" "&amp;'Final Calculation Sheet'!$B$35)))))</f>
        <v>2067 WATAN SCRAP TRADERS Scrap of empty oil drums</v>
      </c>
      <c r="AM36">
        <f t="shared" si="1"/>
        <v>1</v>
      </c>
      <c r="AZ36">
        <f t="shared" si="2"/>
        <v>1</v>
      </c>
      <c r="BA36">
        <f t="shared" si="3"/>
        <v>4</v>
      </c>
      <c r="BB36">
        <f t="shared" si="4"/>
        <v>8</v>
      </c>
      <c r="BC36">
        <v>35</v>
      </c>
      <c r="BH36">
        <f>IFERROR(MATCH(36,$BF$4:$BF$13,0),0)</f>
        <v>0</v>
      </c>
      <c r="BI36">
        <f>IF(36=$BG$5,1,0)</f>
        <v>0</v>
      </c>
      <c r="BJ36">
        <f>IF(OR($BH36&gt;0,$BI36=1,$BL36=1),0,IFERROR(INDEX($BC$5:$BC$41,MATCH(36,$BB$5:$BB$41,0)),0))</f>
        <v>30</v>
      </c>
      <c r="BK36">
        <f>IF($BJ36&gt;0,IF(INDEX($AZ$5:$AZ$41,MATCH(36,$BB$5:$BB$41,0))=10,1,0),IF($BH36=10,1,0))</f>
        <v>1</v>
      </c>
      <c r="BL36">
        <f>IF(36=$BG$4,1,0)</f>
        <v>0</v>
      </c>
    </row>
    <row r="37" spans="1:64" ht="15" customHeight="1" x14ac:dyDescent="0.25">
      <c r="A37" s="67">
        <f>IF($BJ37&gt;0,INDEX($BA$5:$BA$41,MATCH(37,$BB$5:$BB$41,0)),IF(OR($BI37=1,$BL37=1,$BH37&gt;0),"∑",""))</f>
        <v>21</v>
      </c>
      <c r="B37" s="68">
        <f>IF($BJ37&gt;0,IF(INDEX('Final Calculation Sheet'!$F$4:$F$40,$BJ37-3)="","",INDEX('Final Calculation Sheet'!$F$4:$F$40,$BJ37-3)),"")</f>
        <v>2046</v>
      </c>
      <c r="C37" s="68" t="str">
        <f>IF($BJ37&gt;0,IF(INDEX('Final Calculation Sheet'!$G$4:$G$40,$BJ37-3)="","",INDEX('Final Calculation Sheet'!$G$4:$G$40,$BJ37-3)),IF(OR($BI37=1,$BL37=1,$BH37&gt;0),IF($BI37=1,37,IF($BL37=1,37-INDEX($BD$4:$BD$13,10),INDEX($BD$4:$BD$13,$BH37)))&amp;" lot(s)",""))</f>
        <v>SAHARA ENTERPRISES</v>
      </c>
      <c r="D37" s="69" t="str">
        <f>IF($BJ37&gt;0,IF(INDEX('Final Calculation Sheet'!$B$4:$B$40,$BJ37-3)="","",INDEX('Final Calculation Sheet'!$B$4:$B$40,$BJ37-3)),IF(OR($BI37=1,$BL37=1,$BH37&gt;0),IF($BI37=1,"GRAND TOTAL  —  matching + remaining",IF($BL37=1,"TOTAL MATCHED  —  every group together",IF($BH37=10,"REMAINING  —  did not match the search",IF($BH37=9,"ALL LOTS  —  nothing typed in the box","GROUP "&amp;$BH37&amp;" TOTAL  —  lots matching  "&amp;INDEX($AR$6:$AY$6,$BH37))))),""))</f>
        <v>Scrap of AAAC Earth wire</v>
      </c>
      <c r="E37" s="69">
        <f>IF($BJ37&gt;0,IF(INDEX('Final Calculation Sheet'!$D$4:$D$40,$BJ37-3)="","",INDEX('Final Calculation Sheet'!$D$4:$D$40,$BJ37-3)),IF(OR($BI37=1,$BL37=1,$BH37&gt;0),"–",""))</f>
        <v>21979</v>
      </c>
      <c r="F37" s="69">
        <f>IF($BJ37&gt;0,IF(INDEX('Final Calculation Sheet'!$A$4:$A$40,$BJ37-3)="","",INDEX('Final Calculation Sheet'!$A$4:$A$40,$BJ37-3)),IF(OR($BI37=1,$BL37=1,$BH37&gt;0),IF($BI37=1,SUM('Final Calculation Sheet'!$A$4:$A$40),IF($BL37=1,SUM('Final Calculation Sheet'!$A$4:$A$40)-SUMIFS('Final Calculation Sheet'!$A$4:$A$40,$AZ$5:$AZ$41,10),SUMIFS('Final Calculation Sheet'!$A$4:$A$40,$AZ$5:$AZ$41,$BH37))),""))</f>
        <v>670</v>
      </c>
      <c r="G37" s="69" t="str">
        <f>IF($BJ37&gt;0,IF(INDEX('Final Calculation Sheet'!$E$4:$E$40,$BJ37-3)="","",INDEX('Final Calculation Sheet'!$E$4:$E$40,$BJ37-3)),IF(OR($BI37=1,$BL37=1,$BH37&gt;0),"–",""))</f>
        <v>KG</v>
      </c>
      <c r="H37" s="70">
        <f>IF($BJ37&gt;0,IF(INDEX('Final Calculation Sheet'!$C$4:$C$40,$BJ37-3)="","",INDEX('Final Calculation Sheet'!$C$4:$C$40,$BJ37-3)),IF(OR($BI37=1,$BL37=1,$BH37&gt;0),"–",""))</f>
        <v>309</v>
      </c>
      <c r="I37" s="70">
        <f>IF($BJ37&gt;0,IF(INDEX('Final Calculation Sheet'!$H$4:$H$40,$BJ37-3)="","",INDEX('Final Calculation Sheet'!$H$4:$H$40,$BJ37-3)),IF(OR($BI37=1,$BL37=1,$BH37&gt;0),IF($BI37=1,SUM('Final Calculation Sheet'!$H$4:$H$40),IF($BL37=1,SUM('Final Calculation Sheet'!$H$4:$H$40)-SUMIFS('Final Calculation Sheet'!$H$4:$H$40,$AZ$5:$AZ$41,10),SUMIFS('Final Calculation Sheet'!$H$4:$H$40,$AZ$5:$AZ$41,$BH37))),""))</f>
        <v>207030</v>
      </c>
      <c r="J37" s="70">
        <f>IF($BJ37&gt;0,IF(INDEX('Final Calculation Sheet'!$I$4:$I$40,$BJ37-3)="","",INDEX('Final Calculation Sheet'!$I$4:$I$40,$BJ37-3)),IF(OR($BI37=1,$BL37=1,$BH37&gt;0),IF($BI37=1,SUM('Final Calculation Sheet'!$I$4:$I$40),IF($BL37=1,SUM('Final Calculation Sheet'!$I$4:$I$40)-SUMIFS('Final Calculation Sheet'!$I$4:$I$40,$AZ$5:$AZ$41,10),SUMIFS('Final Calculation Sheet'!$I$4:$I$40,$AZ$5:$AZ$41,$BH37))),""))</f>
        <v>37265</v>
      </c>
      <c r="K37" s="70">
        <f>IF($BJ37&gt;0,IF(INDEX('Final Calculation Sheet'!$J$4:$J$40,$BJ37-3)="","",INDEX('Final Calculation Sheet'!$J$4:$J$40,$BJ37-3)),IF(OR($BI37=1,$BL37=1,$BH37&gt;0),IF($BI37=1,SUM('Final Calculation Sheet'!$J$4:$J$40),IF($BL37=1,SUM('Final Calculation Sheet'!$J$4:$J$40)-SUMIFS('Final Calculation Sheet'!$J$4:$J$40,$AZ$5:$AZ$41,10),SUMIFS('Final Calculation Sheet'!$J$4:$J$40,$AZ$5:$AZ$41,$BH37))),""))</f>
        <v>244295</v>
      </c>
      <c r="L37" s="70">
        <f>IF($BJ37&gt;0,IF(INDEX('Final Calculation Sheet'!$K$4:$K$40,$BJ37-3)="","",INDEX('Final Calculation Sheet'!$K$4:$K$40,$BJ37-3)),IF(OR($BI37=1,$BL37=1,$BH37&gt;0),IF($BI37=1,SUM('Final Calculation Sheet'!$K$4:$K$40),IF($BL37=1,SUM('Final Calculation Sheet'!$K$4:$K$40)-SUMIFS('Final Calculation Sheet'!$K$4:$K$40,$AZ$5:$AZ$41,10),SUMIFS('Final Calculation Sheet'!$K$4:$K$40,$AZ$5:$AZ$41,$BH37))),""))</f>
        <v>4886</v>
      </c>
      <c r="M37" s="70">
        <f>IF($BJ37&gt;0,IF(INDEX('Final Calculation Sheet'!$L$4:$L$40,$BJ37-3)="","",INDEX('Final Calculation Sheet'!$L$4:$L$40,$BJ37-3)),IF(OR($BI37=1,$BL37=1,$BH37&gt;0),IF($BI37=1,SUM('Final Calculation Sheet'!$L$4:$L$40),IF($BL37=1,SUM('Final Calculation Sheet'!$L$4:$L$40)-SUMIFS('Final Calculation Sheet'!$L$4:$L$40,$AZ$5:$AZ$41,10),SUMIFS('Final Calculation Sheet'!$L$4:$L$40,$AZ$5:$AZ$41,$BH37))),""))</f>
        <v>207.03</v>
      </c>
      <c r="N37" s="70">
        <f>IF($BJ37&gt;0,IF(INDEX('Final Calculation Sheet'!$M$4:$M$40,$BJ37-3)="","",INDEX('Final Calculation Sheet'!$M$4:$M$40,$BJ37-3)),IF(OR($BI37=1,$BL37=1,$BH37&gt;0),IF($BI37=1,SUM('Final Calculation Sheet'!$M$4:$M$40),IF($BL37=1,SUM('Final Calculation Sheet'!$M$4:$M$40)-SUMIFS('Final Calculation Sheet'!$M$4:$M$40,$AZ$5:$AZ$41,10),SUMIFS('Final Calculation Sheet'!$M$4:$M$40,$AZ$5:$AZ$41,$BH37))),""))</f>
        <v>5496.6464999999998</v>
      </c>
      <c r="O37" s="71">
        <f>IF($BJ37&gt;0,IF(INDEX('Final Calculation Sheet'!$N$4:$N$40,$BJ37-3)="","",INDEX('Final Calculation Sheet'!$N$4:$N$40,$BJ37-3)),IF(OR($BI37=1,$BL37=1,$BH37&gt;0),IF($BI37=1,SUM('Final Calculation Sheet'!$N$4:$N$40),IF($BL37=1,SUM('Final Calculation Sheet'!$N$4:$N$40)-SUMIFS('Final Calculation Sheet'!$N$4:$N$40,$AZ$5:$AZ$41,10),SUMIFS('Final Calculation Sheet'!$N$4:$N$40,$AZ$5:$AZ$41,$BH37))),""))</f>
        <v>93.163499999999999</v>
      </c>
      <c r="P37" s="70">
        <f>IF($BJ37&gt;0,IF(INDEX('Final Calculation Sheet'!$O$4:$O$40,$BJ37-3)="","",INDEX('Final Calculation Sheet'!$O$4:$O$40,$BJ37-3)),IF(OR($BI37=1,$BL37=1,$BH37&gt;0),IF($BI37=1,SUM('Final Calculation Sheet'!$O$4:$O$40),IF($BL37=1,SUM('Final Calculation Sheet'!$O$4:$O$40)-SUMIFS('Final Calculation Sheet'!$O$4:$O$40,$AZ$5:$AZ$41,10),SUMIFS('Final Calculation Sheet'!$O$4:$O$40,$AZ$5:$AZ$41,$BH37))),""))</f>
        <v>5403.4830000000002</v>
      </c>
      <c r="Q37" s="70">
        <f>IF($BJ37&gt;0,IF(INDEX('Final Calculation Sheet'!$P$4:$P$40,$BJ37-3)="","",INDEX('Final Calculation Sheet'!$P$4:$P$40,$BJ37-3)),IF(OR($BI37=1,$BL37=1,$BH37&gt;0),IF($BI37=1,SUM('Final Calculation Sheet'!$P$4:$P$40),IF($BL37=1,SUM('Final Calculation Sheet'!$P$4:$P$40)-SUMIFS('Final Calculation Sheet'!$P$4:$P$40,$AZ$5:$AZ$41,10),SUMIFS('Final Calculation Sheet'!$P$4:$P$40,$AZ$5:$AZ$41,$BH37))),""))</f>
        <v>5611</v>
      </c>
      <c r="R37" s="72">
        <f>IF($BJ37&gt;0,IF(INDEX('Final Calculation Sheet'!$Q$4:$Q$40,$BJ37-3)="","",INDEX('Final Calculation Sheet'!$Q$4:$Q$40,$BJ37-3)),IF(OR($BI37=1,$BL37=1,$BH37&gt;0),"–",""))</f>
        <v>0</v>
      </c>
      <c r="S37" s="70">
        <f>IF($BJ37&gt;0,IF(INDEX('Final Calculation Sheet'!$R$4:$R$40,$BJ37-3)="","",INDEX('Final Calculation Sheet'!$R$4:$R$40,$BJ37-3)),IF(OR($BI37=1,$BL37=1,$BH37&gt;0),IF($BI37=1,SUM('Final Calculation Sheet'!$R$4:$R$40),IF($BL37=1,SUM('Final Calculation Sheet'!$R$4:$R$40)-SUMIFS('Final Calculation Sheet'!$R$4:$R$40,$AZ$5:$AZ$41,10),SUMIFS('Final Calculation Sheet'!$R$4:$R$40,$AZ$5:$AZ$41,$BH37))),""))</f>
        <v>0</v>
      </c>
      <c r="T37" s="70">
        <f>IF($BJ37&gt;0,IF(INDEX('Final Calculation Sheet'!$S$4:$S$40,$BJ37-3)="","",INDEX('Final Calculation Sheet'!$S$4:$S$40,$BJ37-3)),IF(OR($BI37=1,$BL37=1,$BH37&gt;0),IF($BI37=1,SUM('Final Calculation Sheet'!$S$4:$S$40),IF($BL37=1,SUM('Final Calculation Sheet'!$S$4:$S$40)-SUMIFS('Final Calculation Sheet'!$S$4:$S$40,$AZ$5:$AZ$41,10),SUMIFS('Final Calculation Sheet'!$S$4:$S$40,$AZ$5:$AZ$41,$BH37))),""))</f>
        <v>243571</v>
      </c>
      <c r="U37" s="70">
        <f>IF($BJ37&gt;0,IF(INDEX('Final Calculation Sheet'!$T$4:$T$40,$BJ37-3)="","",INDEX('Final Calculation Sheet'!$T$4:$T$40,$BJ37-3)),IF(OR($BI37=1,$BL37=1,$BH37&gt;0),IF($BI37=1,SUM('Final Calculation Sheet'!$T$4:$T$40),IF($BL37=1,SUM('Final Calculation Sheet'!$T$4:$T$40)-SUMIFS('Final Calculation Sheet'!$T$4:$T$40,$AZ$5:$AZ$41,10),SUMIFS('Final Calculation Sheet'!$T$4:$T$40,$AZ$5:$AZ$41,$BH37))),""))</f>
        <v>51758</v>
      </c>
      <c r="V37" s="73">
        <f>IF($BJ37&gt;0,IF(INDEX('Final Calculation Sheet'!$U$4:$U$40,$BJ37-3)="","",INDEX('Final Calculation Sheet'!$U$4:$U$40,$BJ37-3)),IF(OR($BI37=1,$BL37=1,$BH37&gt;0),IF($BI37=1,SUM('Final Calculation Sheet'!$U$4:$U$40),IF($BL37=1,SUM('Final Calculation Sheet'!$U$4:$U$40)-SUMIFS('Final Calculation Sheet'!$U$4:$U$40,$AZ$5:$AZ$41,10),SUMIFS('Final Calculation Sheet'!$U$4:$U$40,$AZ$5:$AZ$41,$BH37))),""))</f>
        <v>51758</v>
      </c>
      <c r="W37" s="70" t="str">
        <f>IF($BJ37&gt;0,IF(INDEX('Final Calculation Sheet'!$V$4:$V$40,$BJ37-3)="","",INDEX('Final Calculation Sheet'!$V$4:$V$40,$BJ37-3)),IF(OR($BI37=1,$BL37=1,$BH37&gt;0),"–",""))</f>
        <v>11.08.2026</v>
      </c>
      <c r="X37" s="70">
        <f>IF($BJ37&gt;0,IF(INDEX('Final Calculation Sheet'!$W$4:$W$40,$BJ37-3)="","",INDEX('Final Calculation Sheet'!$W$4:$W$40,$BJ37-3)),IF(OR($BI37=1,$BL37=1,$BH37&gt;0),IF($BI37=1,SUM('Final Calculation Sheet'!$W$4:$W$40),IF($BL37=1,SUM('Final Calculation Sheet'!$W$4:$W$40)-SUMIFS('Final Calculation Sheet'!$W$4:$W$40,$AZ$5:$AZ$41,10),SUMIFS('Final Calculation Sheet'!$W$4:$W$40,$AZ$5:$AZ$41,$BH37))),""))</f>
        <v>191813</v>
      </c>
      <c r="Y37" s="70">
        <f>IF($BJ37&gt;0,IF(INDEX('Final Calculation Sheet'!$X$4:$X$40,$BJ37-3)="","",INDEX('Final Calculation Sheet'!$X$4:$X$40,$BJ37-3)),IF(OR($BI37=1,$BL37=1,$BH37&gt;0),IF($BI37=1,SUM('Final Calculation Sheet'!$X$4:$X$40),IF($BL37=1,SUM('Final Calculation Sheet'!$X$4:$X$40)-SUMIFS('Final Calculation Sheet'!$X$4:$X$40,$AZ$5:$AZ$41,10),SUMIFS('Final Calculation Sheet'!$X$4:$X$40,$AZ$5:$AZ$41,$BH37))),""))</f>
        <v>191812</v>
      </c>
      <c r="Z37" s="70" t="str">
        <f>IF($BJ37&gt;0,IF(INDEX('Final Calculation Sheet'!$Y$4:$Y$40,$BJ37-3)="","",INDEX('Final Calculation Sheet'!$Y$4:$Y$40,$BJ37-3)),IF(OR($BI37=1,$BL37=1,$BH37&gt;0),"–",""))</f>
        <v>21.08.2026</v>
      </c>
      <c r="AA37" s="70">
        <f ca="1">IF($BJ37&gt;0,IF(INDEX('Final Calculation Sheet'!$Z$4:$Z$40,$BJ37-3)="","",INDEX('Final Calculation Sheet'!$Z$4:$Z$40,$BJ37-3)),IF(OR($BI37=1,$BL37=1,$BH37&gt;0),IF($BI37=1,SUM('Final Calculation Sheet'!$Z$4:$Z$40),IF($BL37=1,SUM('Final Calculation Sheet'!$Z$4:$Z$40)-SUMIFS('Final Calculation Sheet'!$Z$4:$Z$40,$AZ$5:$AZ$41,10),SUMIFS('Final Calculation Sheet'!$Z$4:$Z$40,$AZ$5:$AZ$41,$BH37))),""))</f>
        <v>0</v>
      </c>
      <c r="AB37" s="70" t="str">
        <f>IF($BJ37&gt;0,IF(INDEX('Final Calculation Sheet'!$AA$4:$AA$40,$BJ37-3)="","",INDEX('Final Calculation Sheet'!$AA$4:$AA$40,$BJ37-3)),IF(OR($BI37=1,$BL37=1,$BH37&gt;0),IF($BI37=1,SUM('Final Calculation Sheet'!$AA$4:$AA$40),IF($BL37=1,SUM('Final Calculation Sheet'!$AA$4:$AA$40)-SUMIFS('Final Calculation Sheet'!$AA$4:$AA$40,$AZ$5:$AZ$41,10),SUMIFS('Final Calculation Sheet'!$AA$4:$AA$40,$AZ$5:$AZ$41,$BH37))),""))</f>
        <v/>
      </c>
      <c r="AC37" s="70" t="str">
        <f>IF($BJ37&gt;0,IF(INDEX('Final Calculation Sheet'!$AB$4:$AB$40,$BJ37-3)="","",INDEX('Final Calculation Sheet'!$AB$4:$AB$40,$BJ37-3)),IF(OR($BI37=1,$BL37=1,$BH37&gt;0),"–",""))</f>
        <v/>
      </c>
      <c r="AD37" s="70">
        <f>IF($BJ37&gt;0,IF(INDEX('Final Calculation Sheet'!$AC$4:$AC$40,$BJ37-3)="","",INDEX('Final Calculation Sheet'!$AC$4:$AC$40,$BJ37-3)),IF(OR($BI37=1,$BL37=1,$BH37&gt;0),IF($BI37=1,SUM('Final Calculation Sheet'!$AC$4:$AC$40),IF($BL37=1,SUM('Final Calculation Sheet'!$AC$4:$AC$40)-SUMIFS('Final Calculation Sheet'!$AC$4:$AC$40,$AZ$5:$AZ$41,10),SUMIFS('Final Calculation Sheet'!$AC$4:$AC$40,$AZ$5:$AZ$41,$BH37))),""))</f>
        <v>243570</v>
      </c>
      <c r="AE37" s="70">
        <f>IF($BJ37&gt;0,IF(INDEX('Final Calculation Sheet'!$AD$4:$AD$40,$BJ37-3)="","",INDEX('Final Calculation Sheet'!$AD$4:$AD$40,$BJ37-3)),IF(OR($BI37=1,$BL37=1,$BH37&gt;0),IF($BI37=1,SUM('Final Calculation Sheet'!$AD$4:$AD$40),IF($BL37=1,SUM('Final Calculation Sheet'!$AD$4:$AD$40)-SUMIFS('Final Calculation Sheet'!$AD$4:$AD$40,$AZ$5:$AZ$41,10),SUMIFS('Final Calculation Sheet'!$AD$4:$AD$40,$AZ$5:$AZ$41,$BH37))),""))</f>
        <v>1</v>
      </c>
      <c r="AF37" s="70" t="str">
        <f>IF($BJ37&gt;0,IF(INDEX('Final Calculation Sheet'!$AE$4:$AE$40,$BJ37-3)="","",INDEX('Final Calculation Sheet'!$AE$4:$AE$40,$BJ37-3)),IF(OR($BI37=1,$BL37=1,$BH37&gt;0),"–",""))</f>
        <v>DR2640100041</v>
      </c>
      <c r="AG37" s="74">
        <f>IF($BJ37&gt;0,IF(INDEX('Final Calculation Sheet'!$AF$4:$AF$40,$BJ37-3)="","",INDEX('Final Calculation Sheet'!$AF$4:$AF$40,$BJ37-3)),IF(OR($BI37=1,$BL37=1,$BH37&gt;0),"–",""))</f>
        <v>1800003316</v>
      </c>
      <c r="AH37" s="70" t="str">
        <f>IF($BJ37&gt;0,IF(INDEX('Final Calculation Sheet'!$AG$4:$AG$40,$BJ37-3)="","",INDEX('Final Calculation Sheet'!$AG$4:$AG$40,$BJ37-3)),IF(OR($BI37=1,$BL37=1,$BH37&gt;0),"–",""))</f>
        <v>27.08.2026</v>
      </c>
      <c r="AI37" s="75" t="str">
        <f>IF($BJ37&gt;0,IF(INDEX('Final Calculation Sheet'!$AD$4:$AD$40,$BJ37-3)="","",IF(INDEX('Final Calculation Sheet'!$AD$4:$AD$40,$BJ37-3)&lt;=0,"SETTLED","OUTSTANDING")),IF(OR($BI37=1,$BL37=1,$BH37&gt;0),IF(IF($BI37=1,SUM('Final Calculation Sheet'!$AD$4:$AD$40),IF($BL37=1,SUM('Final Calculation Sheet'!$AD$4:$AD$40)-SUMIFS('Final Calculation Sheet'!$AD$4:$AD$40,$AZ$5:$AZ$41,10),SUMIFS('Final Calculation Sheet'!$AD$4:$AD$40,$AZ$5:$AZ$41,$BH37)))&lt;=0,"ALL SETTLED","OUTSTANDING"),""))</f>
        <v>OUTSTANDING</v>
      </c>
      <c r="AK37" t="str">
        <f>IF($F$3="Lot No.",'Final Calculation Sheet'!$F$36,IF($F$3="Buyer",'Final Calculation Sheet'!$G$36,IF($F$3="Lot Name",'Final Calculation Sheet'!$B$36,IF($F$3="Bid Sheet",'Final Calculation Sheet'!$D$36,IF($F$3="Unit",'Final Calculation Sheet'!$E$36,'Final Calculation Sheet'!$F$36&amp;" "&amp;'Final Calculation Sheet'!$G$36&amp;" "&amp;'Final Calculation Sheet'!$B$36)))))</f>
        <v>2069 STERLING ENTERPRISES Scrap of 33 KV CB</v>
      </c>
      <c r="AM37">
        <f t="shared" si="1"/>
        <v>0</v>
      </c>
      <c r="AZ37">
        <f t="shared" si="2"/>
        <v>10</v>
      </c>
      <c r="BA37">
        <f t="shared" si="3"/>
        <v>24</v>
      </c>
      <c r="BB37">
        <f t="shared" si="4"/>
        <v>40</v>
      </c>
      <c r="BC37">
        <v>36</v>
      </c>
      <c r="BH37">
        <f>IFERROR(MATCH(37,$BF$4:$BF$13,0),0)</f>
        <v>0</v>
      </c>
      <c r="BI37">
        <f>IF(37=$BG$5,1,0)</f>
        <v>0</v>
      </c>
      <c r="BJ37">
        <f>IF(OR($BH37&gt;0,$BI37=1,$BL37=1),0,IFERROR(INDEX($BC$5:$BC$41,MATCH(37,$BB$5:$BB$41,0)),0))</f>
        <v>31</v>
      </c>
      <c r="BK37">
        <f>IF($BJ37&gt;0,IF(INDEX($AZ$5:$AZ$41,MATCH(37,$BB$5:$BB$41,0))=10,1,0),IF($BH37=10,1,0))</f>
        <v>1</v>
      </c>
      <c r="BL37">
        <f>IF(37=$BG$4,1,0)</f>
        <v>0</v>
      </c>
    </row>
    <row r="38" spans="1:64" ht="15" customHeight="1" x14ac:dyDescent="0.25">
      <c r="A38" s="67">
        <f>IF($BJ38&gt;0,INDEX($BA$5:$BA$41,MATCH(38,$BB$5:$BB$41,0)),IF(OR($BI38=1,$BL38=1,$BH38&gt;0),"∑",""))</f>
        <v>22</v>
      </c>
      <c r="B38" s="68">
        <f>IF($BJ38&gt;0,IF(INDEX('Final Calculation Sheet'!$F$4:$F$40,$BJ38-3)="","",INDEX('Final Calculation Sheet'!$F$4:$F$40,$BJ38-3)),"")</f>
        <v>2055</v>
      </c>
      <c r="C38" s="68" t="str">
        <f>IF($BJ38&gt;0,IF(INDEX('Final Calculation Sheet'!$G$4:$G$40,$BJ38-3)="","",INDEX('Final Calculation Sheet'!$G$4:$G$40,$BJ38-3)),IF(OR($BI38=1,$BL38=1,$BH38&gt;0),IF($BI38=1,37,IF($BL38=1,37-INDEX($BD$4:$BD$13,10),INDEX($BD$4:$BD$13,$BH38)))&amp;" lot(s)",""))</f>
        <v>NATIONAL ENTERPRISES</v>
      </c>
      <c r="D38" s="69" t="str">
        <f>IF($BJ38&gt;0,IF(INDEX('Final Calculation Sheet'!$B$4:$B$40,$BJ38-3)="","",INDEX('Final Calculation Sheet'!$B$4:$B$40,$BJ38-3)),IF(OR($BI38=1,$BL38=1,$BH38&gt;0),IF($BI38=1,"GRAND TOTAL  —  matching + remaining",IF($BL38=1,"TOTAL MATCHED  —  every group together",IF($BH38=10,"REMAINING  —  did not match the search",IF($BH38=9,"ALL LOTS  —  nothing typed in the box","GROUP "&amp;$BH38&amp;" TOTAL  —  lots matching  "&amp;INDEX($AR$6:$AY$6,$BH38))))),""))</f>
        <v>Scrap of 220 KV CT</v>
      </c>
      <c r="E38" s="69">
        <f>IF($BJ38&gt;0,IF(INDEX('Final Calculation Sheet'!$D$4:$D$40,$BJ38-3)="","",INDEX('Final Calculation Sheet'!$D$4:$D$40,$BJ38-3)),IF(OR($BI38=1,$BL38=1,$BH38&gt;0),"–",""))</f>
        <v>21979</v>
      </c>
      <c r="F38" s="69">
        <f>IF($BJ38&gt;0,IF(INDEX('Final Calculation Sheet'!$A$4:$A$40,$BJ38-3)="","",INDEX('Final Calculation Sheet'!$A$4:$A$40,$BJ38-3)),IF(OR($BI38=1,$BL38=1,$BH38&gt;0),IF($BI38=1,SUM('Final Calculation Sheet'!$A$4:$A$40),IF($BL38=1,SUM('Final Calculation Sheet'!$A$4:$A$40)-SUMIFS('Final Calculation Sheet'!$A$4:$A$40,$AZ$5:$AZ$41,10),SUMIFS('Final Calculation Sheet'!$A$4:$A$40,$AZ$5:$AZ$41,$BH38))),""))</f>
        <v>2</v>
      </c>
      <c r="G38" s="69" t="str">
        <f>IF($BJ38&gt;0,IF(INDEX('Final Calculation Sheet'!$E$4:$E$40,$BJ38-3)="","",INDEX('Final Calculation Sheet'!$E$4:$E$40,$BJ38-3)),IF(OR($BI38=1,$BL38=1,$BH38&gt;0),"–",""))</f>
        <v>NO</v>
      </c>
      <c r="H38" s="70">
        <f>IF($BJ38&gt;0,IF(INDEX('Final Calculation Sheet'!$C$4:$C$40,$BJ38-3)="","",INDEX('Final Calculation Sheet'!$C$4:$C$40,$BJ38-3)),IF(OR($BI38=1,$BL38=1,$BH38&gt;0),"–",""))</f>
        <v>80006</v>
      </c>
      <c r="I38" s="70">
        <f>IF($BJ38&gt;0,IF(INDEX('Final Calculation Sheet'!$H$4:$H$40,$BJ38-3)="","",INDEX('Final Calculation Sheet'!$H$4:$H$40,$BJ38-3)),IF(OR($BI38=1,$BL38=1,$BH38&gt;0),IF($BI38=1,SUM('Final Calculation Sheet'!$H$4:$H$40),IF($BL38=1,SUM('Final Calculation Sheet'!$H$4:$H$40)-SUMIFS('Final Calculation Sheet'!$H$4:$H$40,$AZ$5:$AZ$41,10),SUMIFS('Final Calculation Sheet'!$H$4:$H$40,$AZ$5:$AZ$41,$BH38))),""))</f>
        <v>160012</v>
      </c>
      <c r="J38" s="70">
        <f>IF($BJ38&gt;0,IF(INDEX('Final Calculation Sheet'!$I$4:$I$40,$BJ38-3)="","",INDEX('Final Calculation Sheet'!$I$4:$I$40,$BJ38-3)),IF(OR($BI38=1,$BL38=1,$BH38&gt;0),IF($BI38=1,SUM('Final Calculation Sheet'!$I$4:$I$40),IF($BL38=1,SUM('Final Calculation Sheet'!$I$4:$I$40)-SUMIFS('Final Calculation Sheet'!$I$4:$I$40,$AZ$5:$AZ$41,10),SUMIFS('Final Calculation Sheet'!$I$4:$I$40,$AZ$5:$AZ$41,$BH38))),""))</f>
        <v>28802</v>
      </c>
      <c r="K38" s="70">
        <f>IF($BJ38&gt;0,IF(INDEX('Final Calculation Sheet'!$J$4:$J$40,$BJ38-3)="","",INDEX('Final Calculation Sheet'!$J$4:$J$40,$BJ38-3)),IF(OR($BI38=1,$BL38=1,$BH38&gt;0),IF($BI38=1,SUM('Final Calculation Sheet'!$J$4:$J$40),IF($BL38=1,SUM('Final Calculation Sheet'!$J$4:$J$40)-SUMIFS('Final Calculation Sheet'!$J$4:$J$40,$AZ$5:$AZ$41,10),SUMIFS('Final Calculation Sheet'!$J$4:$J$40,$AZ$5:$AZ$41,$BH38))),""))</f>
        <v>188814</v>
      </c>
      <c r="L38" s="70">
        <f>IF($BJ38&gt;0,IF(INDEX('Final Calculation Sheet'!$K$4:$K$40,$BJ38-3)="","",INDEX('Final Calculation Sheet'!$K$4:$K$40,$BJ38-3)),IF(OR($BI38=1,$BL38=1,$BH38&gt;0),IF($BI38=1,SUM('Final Calculation Sheet'!$K$4:$K$40),IF($BL38=1,SUM('Final Calculation Sheet'!$K$4:$K$40)-SUMIFS('Final Calculation Sheet'!$K$4:$K$40,$AZ$5:$AZ$41,10),SUMIFS('Final Calculation Sheet'!$K$4:$K$40,$AZ$5:$AZ$41,$BH38))),""))</f>
        <v>3776</v>
      </c>
      <c r="M38" s="70">
        <f>IF($BJ38&gt;0,IF(INDEX('Final Calculation Sheet'!$L$4:$L$40,$BJ38-3)="","",INDEX('Final Calculation Sheet'!$L$4:$L$40,$BJ38-3)),IF(OR($BI38=1,$BL38=1,$BH38&gt;0),IF($BI38=1,SUM('Final Calculation Sheet'!$L$4:$L$40),IF($BL38=1,SUM('Final Calculation Sheet'!$L$4:$L$40)-SUMIFS('Final Calculation Sheet'!$L$4:$L$40,$AZ$5:$AZ$41,10),SUMIFS('Final Calculation Sheet'!$L$4:$L$40,$AZ$5:$AZ$41,$BH38))),""))</f>
        <v>160.012</v>
      </c>
      <c r="N38" s="70">
        <f>IF($BJ38&gt;0,IF(INDEX('Final Calculation Sheet'!$M$4:$M$40,$BJ38-3)="","",INDEX('Final Calculation Sheet'!$M$4:$M$40,$BJ38-3)),IF(OR($BI38=1,$BL38=1,$BH38&gt;0),IF($BI38=1,SUM('Final Calculation Sheet'!$M$4:$M$40),IF($BL38=1,SUM('Final Calculation Sheet'!$M$4:$M$40)-SUMIFS('Final Calculation Sheet'!$M$4:$M$40,$AZ$5:$AZ$41,10),SUMIFS('Final Calculation Sheet'!$M$4:$M$40,$AZ$5:$AZ$41,$BH38))),""))</f>
        <v>4248.3185999999996</v>
      </c>
      <c r="O38" s="71">
        <f>IF($BJ38&gt;0,IF(INDEX('Final Calculation Sheet'!$N$4:$N$40,$BJ38-3)="","",INDEX('Final Calculation Sheet'!$N$4:$N$40,$BJ38-3)),IF(OR($BI38=1,$BL38=1,$BH38&gt;0),IF($BI38=1,SUM('Final Calculation Sheet'!$N$4:$N$40),IF($BL38=1,SUM('Final Calculation Sheet'!$N$4:$N$40)-SUMIFS('Final Calculation Sheet'!$N$4:$N$40,$AZ$5:$AZ$41,10),SUMIFS('Final Calculation Sheet'!$N$4:$N$40,$AZ$5:$AZ$41,$BH38))),""))</f>
        <v>72.005399999999995</v>
      </c>
      <c r="P38" s="70">
        <f>IF($BJ38&gt;0,IF(INDEX('Final Calculation Sheet'!$O$4:$O$40,$BJ38-3)="","",INDEX('Final Calculation Sheet'!$O$4:$O$40,$BJ38-3)),IF(OR($BI38=1,$BL38=1,$BH38&gt;0),IF($BI38=1,SUM('Final Calculation Sheet'!$O$4:$O$40),IF($BL38=1,SUM('Final Calculation Sheet'!$O$4:$O$40)-SUMIFS('Final Calculation Sheet'!$O$4:$O$40,$AZ$5:$AZ$41,10),SUMIFS('Final Calculation Sheet'!$O$4:$O$40,$AZ$5:$AZ$41,$BH38))),""))</f>
        <v>4176.3131999999996</v>
      </c>
      <c r="Q38" s="70">
        <f>IF($BJ38&gt;0,IF(INDEX('Final Calculation Sheet'!$P$4:$P$40,$BJ38-3)="","",INDEX('Final Calculation Sheet'!$P$4:$P$40,$BJ38-3)),IF(OR($BI38=1,$BL38=1,$BH38&gt;0),IF($BI38=1,SUM('Final Calculation Sheet'!$P$4:$P$40),IF($BL38=1,SUM('Final Calculation Sheet'!$P$4:$P$40)-SUMIFS('Final Calculation Sheet'!$P$4:$P$40,$AZ$5:$AZ$41,10),SUMIFS('Final Calculation Sheet'!$P$4:$P$40,$AZ$5:$AZ$41,$BH38))),""))</f>
        <v>4336</v>
      </c>
      <c r="R38" s="72">
        <f>IF($BJ38&gt;0,IF(INDEX('Final Calculation Sheet'!$Q$4:$Q$40,$BJ38-3)="","",INDEX('Final Calculation Sheet'!$Q$4:$Q$40,$BJ38-3)),IF(OR($BI38=1,$BL38=1,$BH38&gt;0),"–",""))</f>
        <v>0</v>
      </c>
      <c r="S38" s="70">
        <f>IF($BJ38&gt;0,IF(INDEX('Final Calculation Sheet'!$R$4:$R$40,$BJ38-3)="","",INDEX('Final Calculation Sheet'!$R$4:$R$40,$BJ38-3)),IF(OR($BI38=1,$BL38=1,$BH38&gt;0),IF($BI38=1,SUM('Final Calculation Sheet'!$R$4:$R$40),IF($BL38=1,SUM('Final Calculation Sheet'!$R$4:$R$40)-SUMIFS('Final Calculation Sheet'!$R$4:$R$40,$AZ$5:$AZ$41,10),SUMIFS('Final Calculation Sheet'!$R$4:$R$40,$AZ$5:$AZ$41,$BH38))),""))</f>
        <v>0</v>
      </c>
      <c r="T38" s="70">
        <f>IF($BJ38&gt;0,IF(INDEX('Final Calculation Sheet'!$S$4:$S$40,$BJ38-3)="","",INDEX('Final Calculation Sheet'!$S$4:$S$40,$BJ38-3)),IF(OR($BI38=1,$BL38=1,$BH38&gt;0),IF($BI38=1,SUM('Final Calculation Sheet'!$S$4:$S$40),IF($BL38=1,SUM('Final Calculation Sheet'!$S$4:$S$40)-SUMIFS('Final Calculation Sheet'!$S$4:$S$40,$AZ$5:$AZ$41,10),SUMIFS('Final Calculation Sheet'!$S$4:$S$40,$AZ$5:$AZ$41,$BH38))),""))</f>
        <v>188254</v>
      </c>
      <c r="U38" s="70">
        <f>IF($BJ38&gt;0,IF(INDEX('Final Calculation Sheet'!$T$4:$T$40,$BJ38-3)="","",INDEX('Final Calculation Sheet'!$T$4:$T$40,$BJ38-3)),IF(OR($BI38=1,$BL38=1,$BH38&gt;0),IF($BI38=1,SUM('Final Calculation Sheet'!$T$4:$T$40),IF($BL38=1,SUM('Final Calculation Sheet'!$T$4:$T$40)-SUMIFS('Final Calculation Sheet'!$T$4:$T$40,$AZ$5:$AZ$41,10),SUMIFS('Final Calculation Sheet'!$T$4:$T$40,$AZ$5:$AZ$41,$BH38))),""))</f>
        <v>40003</v>
      </c>
      <c r="V38" s="73">
        <f>IF($BJ38&gt;0,IF(INDEX('Final Calculation Sheet'!$U$4:$U$40,$BJ38-3)="","",INDEX('Final Calculation Sheet'!$U$4:$U$40,$BJ38-3)),IF(OR($BI38=1,$BL38=1,$BH38&gt;0),IF($BI38=1,SUM('Final Calculation Sheet'!$U$4:$U$40),IF($BL38=1,SUM('Final Calculation Sheet'!$U$4:$U$40)-SUMIFS('Final Calculation Sheet'!$U$4:$U$40,$AZ$5:$AZ$41,10),SUMIFS('Final Calculation Sheet'!$U$4:$U$40,$AZ$5:$AZ$41,$BH38))),""))</f>
        <v>40003</v>
      </c>
      <c r="W38" s="70" t="str">
        <f>IF($BJ38&gt;0,IF(INDEX('Final Calculation Sheet'!$V$4:$V$40,$BJ38-3)="","",INDEX('Final Calculation Sheet'!$V$4:$V$40,$BJ38-3)),IF(OR($BI38=1,$BL38=1,$BH38&gt;0),"–",""))</f>
        <v>13.08.2026</v>
      </c>
      <c r="X38" s="70">
        <f>IF($BJ38&gt;0,IF(INDEX('Final Calculation Sheet'!$W$4:$W$40,$BJ38-3)="","",INDEX('Final Calculation Sheet'!$W$4:$W$40,$BJ38-3)),IF(OR($BI38=1,$BL38=1,$BH38&gt;0),IF($BI38=1,SUM('Final Calculation Sheet'!$W$4:$W$40),IF($BL38=1,SUM('Final Calculation Sheet'!$W$4:$W$40)-SUMIFS('Final Calculation Sheet'!$W$4:$W$40,$AZ$5:$AZ$41,10),SUMIFS('Final Calculation Sheet'!$W$4:$W$40,$AZ$5:$AZ$41,$BH38))),""))</f>
        <v>148251</v>
      </c>
      <c r="Y38" s="70">
        <f>IF($BJ38&gt;0,IF(INDEX('Final Calculation Sheet'!$X$4:$X$40,$BJ38-3)="","",INDEX('Final Calculation Sheet'!$X$4:$X$40,$BJ38-3)),IF(OR($BI38=1,$BL38=1,$BH38&gt;0),IF($BI38=1,SUM('Final Calculation Sheet'!$X$4:$X$40),IF($BL38=1,SUM('Final Calculation Sheet'!$X$4:$X$40)-SUMIFS('Final Calculation Sheet'!$X$4:$X$40,$AZ$5:$AZ$41,10),SUMIFS('Final Calculation Sheet'!$X$4:$X$40,$AZ$5:$AZ$41,$BH38))),""))</f>
        <v>148251</v>
      </c>
      <c r="Z38" s="70" t="str">
        <f>IF($BJ38&gt;0,IF(INDEX('Final Calculation Sheet'!$Y$4:$Y$40,$BJ38-3)="","",INDEX('Final Calculation Sheet'!$Y$4:$Y$40,$BJ38-3)),IF(OR($BI38=1,$BL38=1,$BH38&gt;0),"–",""))</f>
        <v>24.08.2026</v>
      </c>
      <c r="AA38" s="70">
        <f ca="1">IF($BJ38&gt;0,IF(INDEX('Final Calculation Sheet'!$Z$4:$Z$40,$BJ38-3)="","",INDEX('Final Calculation Sheet'!$Z$4:$Z$40,$BJ38-3)),IF(OR($BI38=1,$BL38=1,$BH38&gt;0),IF($BI38=1,SUM('Final Calculation Sheet'!$Z$4:$Z$40),IF($BL38=1,SUM('Final Calculation Sheet'!$Z$4:$Z$40)-SUMIFS('Final Calculation Sheet'!$Z$4:$Z$40,$AZ$5:$AZ$41,10),SUMIFS('Final Calculation Sheet'!$Z$4:$Z$40,$AZ$5:$AZ$41,$BH38))),""))</f>
        <v>0</v>
      </c>
      <c r="AB38" s="70" t="str">
        <f>IF($BJ38&gt;0,IF(INDEX('Final Calculation Sheet'!$AA$4:$AA$40,$BJ38-3)="","",INDEX('Final Calculation Sheet'!$AA$4:$AA$40,$BJ38-3)),IF(OR($BI38=1,$BL38=1,$BH38&gt;0),IF($BI38=1,SUM('Final Calculation Sheet'!$AA$4:$AA$40),IF($BL38=1,SUM('Final Calculation Sheet'!$AA$4:$AA$40)-SUMIFS('Final Calculation Sheet'!$AA$4:$AA$40,$AZ$5:$AZ$41,10),SUMIFS('Final Calculation Sheet'!$AA$4:$AA$40,$AZ$5:$AZ$41,$BH38))),""))</f>
        <v/>
      </c>
      <c r="AC38" s="70" t="str">
        <f>IF($BJ38&gt;0,IF(INDEX('Final Calculation Sheet'!$AB$4:$AB$40,$BJ38-3)="","",INDEX('Final Calculation Sheet'!$AB$4:$AB$40,$BJ38-3)),IF(OR($BI38=1,$BL38=1,$BH38&gt;0),"–",""))</f>
        <v/>
      </c>
      <c r="AD38" s="70">
        <f>IF($BJ38&gt;0,IF(INDEX('Final Calculation Sheet'!$AC$4:$AC$40,$BJ38-3)="","",INDEX('Final Calculation Sheet'!$AC$4:$AC$40,$BJ38-3)),IF(OR($BI38=1,$BL38=1,$BH38&gt;0),IF($BI38=1,SUM('Final Calculation Sheet'!$AC$4:$AC$40),IF($BL38=1,SUM('Final Calculation Sheet'!$AC$4:$AC$40)-SUMIFS('Final Calculation Sheet'!$AC$4:$AC$40,$AZ$5:$AZ$41,10),SUMIFS('Final Calculation Sheet'!$AC$4:$AC$40,$AZ$5:$AZ$41,$BH38))),""))</f>
        <v>188254</v>
      </c>
      <c r="AE38" s="70">
        <f>IF($BJ38&gt;0,IF(INDEX('Final Calculation Sheet'!$AD$4:$AD$40,$BJ38-3)="","",INDEX('Final Calculation Sheet'!$AD$4:$AD$40,$BJ38-3)),IF(OR($BI38=1,$BL38=1,$BH38&gt;0),IF($BI38=1,SUM('Final Calculation Sheet'!$AD$4:$AD$40),IF($BL38=1,SUM('Final Calculation Sheet'!$AD$4:$AD$40)-SUMIFS('Final Calculation Sheet'!$AD$4:$AD$40,$AZ$5:$AZ$41,10),SUMIFS('Final Calculation Sheet'!$AD$4:$AD$40,$AZ$5:$AZ$41,$BH38))),""))</f>
        <v>0</v>
      </c>
      <c r="AF38" s="70" t="str">
        <f>IF($BJ38&gt;0,IF(INDEX('Final Calculation Sheet'!$AE$4:$AE$40,$BJ38-3)="","",INDEX('Final Calculation Sheet'!$AE$4:$AE$40,$BJ38-3)),IF(OR($BI38=1,$BL38=1,$BH38&gt;0),"–",""))</f>
        <v>DR2640100039</v>
      </c>
      <c r="AG38" s="74">
        <f>IF($BJ38&gt;0,IF(INDEX('Final Calculation Sheet'!$AF$4:$AF$40,$BJ38-3)="","",INDEX('Final Calculation Sheet'!$AF$4:$AF$40,$BJ38-3)),IF(OR($BI38=1,$BL38=1,$BH38&gt;0),"–",""))</f>
        <v>1800003312</v>
      </c>
      <c r="AH38" s="70" t="str">
        <f>IF($BJ38&gt;0,IF(INDEX('Final Calculation Sheet'!$AG$4:$AG$40,$BJ38-3)="","",INDEX('Final Calculation Sheet'!$AG$4:$AG$40,$BJ38-3)),IF(OR($BI38=1,$BL38=1,$BH38&gt;0),"–",""))</f>
        <v>27.08.2026</v>
      </c>
      <c r="AI38" s="75" t="str">
        <f>IF($BJ38&gt;0,IF(INDEX('Final Calculation Sheet'!$AD$4:$AD$40,$BJ38-3)="","",IF(INDEX('Final Calculation Sheet'!$AD$4:$AD$40,$BJ38-3)&lt;=0,"SETTLED","OUTSTANDING")),IF(OR($BI38=1,$BL38=1,$BH38&gt;0),IF(IF($BI38=1,SUM('Final Calculation Sheet'!$AD$4:$AD$40),IF($BL38=1,SUM('Final Calculation Sheet'!$AD$4:$AD$40)-SUMIFS('Final Calculation Sheet'!$AD$4:$AD$40,$AZ$5:$AZ$41,10),SUMIFS('Final Calculation Sheet'!$AD$4:$AD$40,$AZ$5:$AZ$41,$BH38)))&lt;=0,"ALL SETTLED","OUTSTANDING"),""))</f>
        <v>SETTLED</v>
      </c>
      <c r="AK38" t="str">
        <f>IF($F$3="Lot No.",'Final Calculation Sheet'!$F$37,IF($F$3="Buyer",'Final Calculation Sheet'!$G$37,IF($F$3="Lot Name",'Final Calculation Sheet'!$B$37,IF($F$3="Bid Sheet",'Final Calculation Sheet'!$D$37,IF($F$3="Unit",'Final Calculation Sheet'!$E$37,'Final Calculation Sheet'!$F$37&amp;" "&amp;'Final Calculation Sheet'!$G$37&amp;" "&amp;'Final Calculation Sheet'!$B$37)))))</f>
        <v>2071 NATIONAL ENTERPRISES Scrap of 66 KV Isolater</v>
      </c>
      <c r="AM38">
        <f t="shared" si="1"/>
        <v>0</v>
      </c>
      <c r="AZ38">
        <f t="shared" si="2"/>
        <v>10</v>
      </c>
      <c r="BA38">
        <f t="shared" si="3"/>
        <v>25</v>
      </c>
      <c r="BB38">
        <f t="shared" si="4"/>
        <v>41</v>
      </c>
      <c r="BC38">
        <v>37</v>
      </c>
      <c r="BH38">
        <f>IFERROR(MATCH(38,$BF$4:$BF$13,0),0)</f>
        <v>0</v>
      </c>
      <c r="BI38">
        <f>IF(38=$BG$5,1,0)</f>
        <v>0</v>
      </c>
      <c r="BJ38">
        <f>IF(OR($BH38&gt;0,$BI38=1,$BL38=1),0,IFERROR(INDEX($BC$5:$BC$41,MATCH(38,$BB$5:$BB$41,0)),0))</f>
        <v>32</v>
      </c>
      <c r="BK38">
        <f>IF($BJ38&gt;0,IF(INDEX($AZ$5:$AZ$41,MATCH(38,$BB$5:$BB$41,0))=10,1,0),IF($BH38=10,1,0))</f>
        <v>1</v>
      </c>
      <c r="BL38">
        <f>IF(38=$BG$4,1,0)</f>
        <v>0</v>
      </c>
    </row>
    <row r="39" spans="1:64" ht="15" customHeight="1" x14ac:dyDescent="0.25">
      <c r="A39" s="67">
        <f>IF($BJ39&gt;0,INDEX($BA$5:$BA$41,MATCH(39,$BB$5:$BB$41,0)),IF(OR($BI39=1,$BL39=1,$BH39&gt;0),"∑",""))</f>
        <v>23</v>
      </c>
      <c r="B39" s="68">
        <f>IF($BJ39&gt;0,IF(INDEX('Final Calculation Sheet'!$F$4:$F$40,$BJ39-3)="","",INDEX('Final Calculation Sheet'!$F$4:$F$40,$BJ39-3)),"")</f>
        <v>2059</v>
      </c>
      <c r="C39" s="68" t="str">
        <f>IF($BJ39&gt;0,IF(INDEX('Final Calculation Sheet'!$G$4:$G$40,$BJ39-3)="","",INDEX('Final Calculation Sheet'!$G$4:$G$40,$BJ39-3)),IF(OR($BI39=1,$BL39=1,$BH39&gt;0),IF($BI39=1,37,IF($BL39=1,37-INDEX($BD$4:$BD$13,10),INDEX($BD$4:$BD$13,$BH39)))&amp;" lot(s)",""))</f>
        <v>NATIONAL ENTERPRISES</v>
      </c>
      <c r="D39" s="69" t="str">
        <f>IF($BJ39&gt;0,IF(INDEX('Final Calculation Sheet'!$B$4:$B$40,$BJ39-3)="","",INDEX('Final Calculation Sheet'!$B$4:$B$40,$BJ39-3)),IF(OR($BI39=1,$BL39=1,$BH39&gt;0),IF($BI39=1,"GRAND TOTAL  —  matching + remaining",IF($BL39=1,"TOTAL MATCHED  —  every group together",IF($BH39=10,"REMAINING  —  did not match the search",IF($BH39=9,"ALL LOTS  —  nothing typed in the box","GROUP "&amp;$BH39&amp;" TOTAL  —  lots matching  "&amp;INDEX($AR$6:$AY$6,$BH39))))),""))</f>
        <v>Scrap of 33 KV GCB</v>
      </c>
      <c r="E39" s="69">
        <f>IF($BJ39&gt;0,IF(INDEX('Final Calculation Sheet'!$D$4:$D$40,$BJ39-3)="","",INDEX('Final Calculation Sheet'!$D$4:$D$40,$BJ39-3)),IF(OR($BI39=1,$BL39=1,$BH39&gt;0),"–",""))</f>
        <v>21979</v>
      </c>
      <c r="F39" s="69">
        <f>IF($BJ39&gt;0,IF(INDEX('Final Calculation Sheet'!$A$4:$A$40,$BJ39-3)="","",INDEX('Final Calculation Sheet'!$A$4:$A$40,$BJ39-3)),IF(OR($BI39=1,$BL39=1,$BH39&gt;0),IF($BI39=1,SUM('Final Calculation Sheet'!$A$4:$A$40),IF($BL39=1,SUM('Final Calculation Sheet'!$A$4:$A$40)-SUMIFS('Final Calculation Sheet'!$A$4:$A$40,$AZ$5:$AZ$41,10),SUMIFS('Final Calculation Sheet'!$A$4:$A$40,$AZ$5:$AZ$41,$BH39))),""))</f>
        <v>1</v>
      </c>
      <c r="G39" s="69" t="str">
        <f>IF($BJ39&gt;0,IF(INDEX('Final Calculation Sheet'!$E$4:$E$40,$BJ39-3)="","",INDEX('Final Calculation Sheet'!$E$4:$E$40,$BJ39-3)),IF(OR($BI39=1,$BL39=1,$BH39&gt;0),"–",""))</f>
        <v>NO</v>
      </c>
      <c r="H39" s="70">
        <f>IF($BJ39&gt;0,IF(INDEX('Final Calculation Sheet'!$C$4:$C$40,$BJ39-3)="","",INDEX('Final Calculation Sheet'!$C$4:$C$40,$BJ39-3)),IF(OR($BI39=1,$BL39=1,$BH39&gt;0),"–",""))</f>
        <v>29502</v>
      </c>
      <c r="I39" s="70">
        <f>IF($BJ39&gt;0,IF(INDEX('Final Calculation Sheet'!$H$4:$H$40,$BJ39-3)="","",INDEX('Final Calculation Sheet'!$H$4:$H$40,$BJ39-3)),IF(OR($BI39=1,$BL39=1,$BH39&gt;0),IF($BI39=1,SUM('Final Calculation Sheet'!$H$4:$H$40),IF($BL39=1,SUM('Final Calculation Sheet'!$H$4:$H$40)-SUMIFS('Final Calculation Sheet'!$H$4:$H$40,$AZ$5:$AZ$41,10),SUMIFS('Final Calculation Sheet'!$H$4:$H$40,$AZ$5:$AZ$41,$BH39))),""))</f>
        <v>29502</v>
      </c>
      <c r="J39" s="70">
        <f>IF($BJ39&gt;0,IF(INDEX('Final Calculation Sheet'!$I$4:$I$40,$BJ39-3)="","",INDEX('Final Calculation Sheet'!$I$4:$I$40,$BJ39-3)),IF(OR($BI39=1,$BL39=1,$BH39&gt;0),IF($BI39=1,SUM('Final Calculation Sheet'!$I$4:$I$40),IF($BL39=1,SUM('Final Calculation Sheet'!$I$4:$I$40)-SUMIFS('Final Calculation Sheet'!$I$4:$I$40,$AZ$5:$AZ$41,10),SUMIFS('Final Calculation Sheet'!$I$4:$I$40,$AZ$5:$AZ$41,$BH39))),""))</f>
        <v>5310</v>
      </c>
      <c r="K39" s="70">
        <f>IF($BJ39&gt;0,IF(INDEX('Final Calculation Sheet'!$J$4:$J$40,$BJ39-3)="","",INDEX('Final Calculation Sheet'!$J$4:$J$40,$BJ39-3)),IF(OR($BI39=1,$BL39=1,$BH39&gt;0),IF($BI39=1,SUM('Final Calculation Sheet'!$J$4:$J$40),IF($BL39=1,SUM('Final Calculation Sheet'!$J$4:$J$40)-SUMIFS('Final Calculation Sheet'!$J$4:$J$40,$AZ$5:$AZ$41,10),SUMIFS('Final Calculation Sheet'!$J$4:$J$40,$AZ$5:$AZ$41,$BH39))),""))</f>
        <v>34812</v>
      </c>
      <c r="L39" s="70">
        <f>IF($BJ39&gt;0,IF(INDEX('Final Calculation Sheet'!$K$4:$K$40,$BJ39-3)="","",INDEX('Final Calculation Sheet'!$K$4:$K$40,$BJ39-3)),IF(OR($BI39=1,$BL39=1,$BH39&gt;0),IF($BI39=1,SUM('Final Calculation Sheet'!$K$4:$K$40),IF($BL39=1,SUM('Final Calculation Sheet'!$K$4:$K$40)-SUMIFS('Final Calculation Sheet'!$K$4:$K$40,$AZ$5:$AZ$41,10),SUMIFS('Final Calculation Sheet'!$K$4:$K$40,$AZ$5:$AZ$41,$BH39))),""))</f>
        <v>696</v>
      </c>
      <c r="M39" s="70">
        <f>IF($BJ39&gt;0,IF(INDEX('Final Calculation Sheet'!$L$4:$L$40,$BJ39-3)="","",INDEX('Final Calculation Sheet'!$L$4:$L$40,$BJ39-3)),IF(OR($BI39=1,$BL39=1,$BH39&gt;0),IF($BI39=1,SUM('Final Calculation Sheet'!$L$4:$L$40),IF($BL39=1,SUM('Final Calculation Sheet'!$L$4:$L$40)-SUMIFS('Final Calculation Sheet'!$L$4:$L$40,$AZ$5:$AZ$41,10),SUMIFS('Final Calculation Sheet'!$L$4:$L$40,$AZ$5:$AZ$41,$BH39))),""))</f>
        <v>29.501999999999999</v>
      </c>
      <c r="N39" s="70">
        <f>IF($BJ39&gt;0,IF(INDEX('Final Calculation Sheet'!$M$4:$M$40,$BJ39-3)="","",INDEX('Final Calculation Sheet'!$M$4:$M$40,$BJ39-3)),IF(OR($BI39=1,$BL39=1,$BH39&gt;0),IF($BI39=1,SUM('Final Calculation Sheet'!$M$4:$M$40),IF($BL39=1,SUM('Final Calculation Sheet'!$M$4:$M$40)-SUMIFS('Final Calculation Sheet'!$M$4:$M$40,$AZ$5:$AZ$41,10),SUMIFS('Final Calculation Sheet'!$M$4:$M$40,$AZ$5:$AZ$41,$BH39))),""))</f>
        <v>783.27809999999988</v>
      </c>
      <c r="O39" s="71">
        <f>IF($BJ39&gt;0,IF(INDEX('Final Calculation Sheet'!$N$4:$N$40,$BJ39-3)="","",INDEX('Final Calculation Sheet'!$N$4:$N$40,$BJ39-3)),IF(OR($BI39=1,$BL39=1,$BH39&gt;0),IF($BI39=1,SUM('Final Calculation Sheet'!$N$4:$N$40),IF($BL39=1,SUM('Final Calculation Sheet'!$N$4:$N$40)-SUMIFS('Final Calculation Sheet'!$N$4:$N$40,$AZ$5:$AZ$41,10),SUMIFS('Final Calculation Sheet'!$N$4:$N$40,$AZ$5:$AZ$41,$BH39))),""))</f>
        <v>13.2759</v>
      </c>
      <c r="P39" s="70">
        <f>IF($BJ39&gt;0,IF(INDEX('Final Calculation Sheet'!$O$4:$O$40,$BJ39-3)="","",INDEX('Final Calculation Sheet'!$O$4:$O$40,$BJ39-3)),IF(OR($BI39=1,$BL39=1,$BH39&gt;0),IF($BI39=1,SUM('Final Calculation Sheet'!$O$4:$O$40),IF($BL39=1,SUM('Final Calculation Sheet'!$O$4:$O$40)-SUMIFS('Final Calculation Sheet'!$O$4:$O$40,$AZ$5:$AZ$41,10),SUMIFS('Final Calculation Sheet'!$O$4:$O$40,$AZ$5:$AZ$41,$BH39))),""))</f>
        <v>770.0021999999999</v>
      </c>
      <c r="Q39" s="70">
        <f>IF($BJ39&gt;0,IF(INDEX('Final Calculation Sheet'!$P$4:$P$40,$BJ39-3)="","",INDEX('Final Calculation Sheet'!$P$4:$P$40,$BJ39-3)),IF(OR($BI39=1,$BL39=1,$BH39&gt;0),IF($BI39=1,SUM('Final Calculation Sheet'!$P$4:$P$40),IF($BL39=1,SUM('Final Calculation Sheet'!$P$4:$P$40)-SUMIFS('Final Calculation Sheet'!$P$4:$P$40,$AZ$5:$AZ$41,10),SUMIFS('Final Calculation Sheet'!$P$4:$P$40,$AZ$5:$AZ$41,$BH39))),""))</f>
        <v>800</v>
      </c>
      <c r="R39" s="72">
        <f>IF($BJ39&gt;0,IF(INDEX('Final Calculation Sheet'!$Q$4:$Q$40,$BJ39-3)="","",INDEX('Final Calculation Sheet'!$Q$4:$Q$40,$BJ39-3)),IF(OR($BI39=1,$BL39=1,$BH39&gt;0),"–",""))</f>
        <v>0</v>
      </c>
      <c r="S39" s="70">
        <f>IF($BJ39&gt;0,IF(INDEX('Final Calculation Sheet'!$R$4:$R$40,$BJ39-3)="","",INDEX('Final Calculation Sheet'!$R$4:$R$40,$BJ39-3)),IF(OR($BI39=1,$BL39=1,$BH39&gt;0),IF($BI39=1,SUM('Final Calculation Sheet'!$R$4:$R$40),IF($BL39=1,SUM('Final Calculation Sheet'!$R$4:$R$40)-SUMIFS('Final Calculation Sheet'!$R$4:$R$40,$AZ$5:$AZ$41,10),SUMIFS('Final Calculation Sheet'!$R$4:$R$40,$AZ$5:$AZ$41,$BH39))),""))</f>
        <v>0</v>
      </c>
      <c r="T39" s="70">
        <f>IF($BJ39&gt;0,IF(INDEX('Final Calculation Sheet'!$S$4:$S$40,$BJ39-3)="","",INDEX('Final Calculation Sheet'!$S$4:$S$40,$BJ39-3)),IF(OR($BI39=1,$BL39=1,$BH39&gt;0),IF($BI39=1,SUM('Final Calculation Sheet'!$S$4:$S$40),IF($BL39=1,SUM('Final Calculation Sheet'!$S$4:$S$40)-SUMIFS('Final Calculation Sheet'!$S$4:$S$40,$AZ$5:$AZ$41,10),SUMIFS('Final Calculation Sheet'!$S$4:$S$40,$AZ$5:$AZ$41,$BH39))),""))</f>
        <v>34709</v>
      </c>
      <c r="U39" s="70">
        <f>IF($BJ39&gt;0,IF(INDEX('Final Calculation Sheet'!$T$4:$T$40,$BJ39-3)="","",INDEX('Final Calculation Sheet'!$T$4:$T$40,$BJ39-3)),IF(OR($BI39=1,$BL39=1,$BH39&gt;0),IF($BI39=1,SUM('Final Calculation Sheet'!$T$4:$T$40),IF($BL39=1,SUM('Final Calculation Sheet'!$T$4:$T$40)-SUMIFS('Final Calculation Sheet'!$T$4:$T$40,$AZ$5:$AZ$41,10),SUMIFS('Final Calculation Sheet'!$T$4:$T$40,$AZ$5:$AZ$41,$BH39))),""))</f>
        <v>7376</v>
      </c>
      <c r="V39" s="73">
        <f>IF($BJ39&gt;0,IF(INDEX('Final Calculation Sheet'!$U$4:$U$40,$BJ39-3)="","",INDEX('Final Calculation Sheet'!$U$4:$U$40,$BJ39-3)),IF(OR($BI39=1,$BL39=1,$BH39&gt;0),IF($BI39=1,SUM('Final Calculation Sheet'!$U$4:$U$40),IF($BL39=1,SUM('Final Calculation Sheet'!$U$4:$U$40)-SUMIFS('Final Calculation Sheet'!$U$4:$U$40,$AZ$5:$AZ$41,10),SUMIFS('Final Calculation Sheet'!$U$4:$U$40,$AZ$5:$AZ$41,$BH39))),""))</f>
        <v>7376</v>
      </c>
      <c r="W39" s="70" t="str">
        <f>IF($BJ39&gt;0,IF(INDEX('Final Calculation Sheet'!$V$4:$V$40,$BJ39-3)="","",INDEX('Final Calculation Sheet'!$V$4:$V$40,$BJ39-3)),IF(OR($BI39=1,$BL39=1,$BH39&gt;0),"–",""))</f>
        <v>13.08.2026</v>
      </c>
      <c r="X39" s="70">
        <f>IF($BJ39&gt;0,IF(INDEX('Final Calculation Sheet'!$W$4:$W$40,$BJ39-3)="","",INDEX('Final Calculation Sheet'!$W$4:$W$40,$BJ39-3)),IF(OR($BI39=1,$BL39=1,$BH39&gt;0),IF($BI39=1,SUM('Final Calculation Sheet'!$W$4:$W$40),IF($BL39=1,SUM('Final Calculation Sheet'!$W$4:$W$40)-SUMIFS('Final Calculation Sheet'!$W$4:$W$40,$AZ$5:$AZ$41,10),SUMIFS('Final Calculation Sheet'!$W$4:$W$40,$AZ$5:$AZ$41,$BH39))),""))</f>
        <v>27334</v>
      </c>
      <c r="Y39" s="70">
        <f>IF($BJ39&gt;0,IF(INDEX('Final Calculation Sheet'!$X$4:$X$40,$BJ39-3)="","",INDEX('Final Calculation Sheet'!$X$4:$X$40,$BJ39-3)),IF(OR($BI39=1,$BL39=1,$BH39&gt;0),IF($BI39=1,SUM('Final Calculation Sheet'!$X$4:$X$40),IF($BL39=1,SUM('Final Calculation Sheet'!$X$4:$X$40)-SUMIFS('Final Calculation Sheet'!$X$4:$X$40,$AZ$5:$AZ$41,10),SUMIFS('Final Calculation Sheet'!$X$4:$X$40,$AZ$5:$AZ$41,$BH39))),""))</f>
        <v>27332</v>
      </c>
      <c r="Z39" s="70" t="str">
        <f>IF($BJ39&gt;0,IF(INDEX('Final Calculation Sheet'!$Y$4:$Y$40,$BJ39-3)="","",INDEX('Final Calculation Sheet'!$Y$4:$Y$40,$BJ39-3)),IF(OR($BI39=1,$BL39=1,$BH39&gt;0),"–",""))</f>
        <v>24.08.2026</v>
      </c>
      <c r="AA39" s="70">
        <f ca="1">IF($BJ39&gt;0,IF(INDEX('Final Calculation Sheet'!$Z$4:$Z$40,$BJ39-3)="","",INDEX('Final Calculation Sheet'!$Z$4:$Z$40,$BJ39-3)),IF(OR($BI39=1,$BL39=1,$BH39&gt;0),IF($BI39=1,SUM('Final Calculation Sheet'!$Z$4:$Z$40),IF($BL39=1,SUM('Final Calculation Sheet'!$Z$4:$Z$40)-SUMIFS('Final Calculation Sheet'!$Z$4:$Z$40,$AZ$5:$AZ$41,10),SUMIFS('Final Calculation Sheet'!$Z$4:$Z$40,$AZ$5:$AZ$41,$BH39))),""))</f>
        <v>0</v>
      </c>
      <c r="AB39" s="70" t="str">
        <f>IF($BJ39&gt;0,IF(INDEX('Final Calculation Sheet'!$AA$4:$AA$40,$BJ39-3)="","",INDEX('Final Calculation Sheet'!$AA$4:$AA$40,$BJ39-3)),IF(OR($BI39=1,$BL39=1,$BH39&gt;0),IF($BI39=1,SUM('Final Calculation Sheet'!$AA$4:$AA$40),IF($BL39=1,SUM('Final Calculation Sheet'!$AA$4:$AA$40)-SUMIFS('Final Calculation Sheet'!$AA$4:$AA$40,$AZ$5:$AZ$41,10),SUMIFS('Final Calculation Sheet'!$AA$4:$AA$40,$AZ$5:$AZ$41,$BH39))),""))</f>
        <v/>
      </c>
      <c r="AC39" s="70" t="str">
        <f>IF($BJ39&gt;0,IF(INDEX('Final Calculation Sheet'!$AB$4:$AB$40,$BJ39-3)="","",INDEX('Final Calculation Sheet'!$AB$4:$AB$40,$BJ39-3)),IF(OR($BI39=1,$BL39=1,$BH39&gt;0),"–",""))</f>
        <v/>
      </c>
      <c r="AD39" s="70">
        <f>IF($BJ39&gt;0,IF(INDEX('Final Calculation Sheet'!$AC$4:$AC$40,$BJ39-3)="","",INDEX('Final Calculation Sheet'!$AC$4:$AC$40,$BJ39-3)),IF(OR($BI39=1,$BL39=1,$BH39&gt;0),IF($BI39=1,SUM('Final Calculation Sheet'!$AC$4:$AC$40),IF($BL39=1,SUM('Final Calculation Sheet'!$AC$4:$AC$40)-SUMIFS('Final Calculation Sheet'!$AC$4:$AC$40,$AZ$5:$AZ$41,10),SUMIFS('Final Calculation Sheet'!$AC$4:$AC$40,$AZ$5:$AZ$41,$BH39))),""))</f>
        <v>34708</v>
      </c>
      <c r="AE39" s="70">
        <f>IF($BJ39&gt;0,IF(INDEX('Final Calculation Sheet'!$AD$4:$AD$40,$BJ39-3)="","",INDEX('Final Calculation Sheet'!$AD$4:$AD$40,$BJ39-3)),IF(OR($BI39=1,$BL39=1,$BH39&gt;0),IF($BI39=1,SUM('Final Calculation Sheet'!$AD$4:$AD$40),IF($BL39=1,SUM('Final Calculation Sheet'!$AD$4:$AD$40)-SUMIFS('Final Calculation Sheet'!$AD$4:$AD$40,$AZ$5:$AZ$41,10),SUMIFS('Final Calculation Sheet'!$AD$4:$AD$40,$AZ$5:$AZ$41,$BH39))),""))</f>
        <v>1</v>
      </c>
      <c r="AF39" s="70" t="str">
        <f>IF($BJ39&gt;0,IF(INDEX('Final Calculation Sheet'!$AE$4:$AE$40,$BJ39-3)="","",INDEX('Final Calculation Sheet'!$AE$4:$AE$40,$BJ39-3)),IF(OR($BI39=1,$BL39=1,$BH39&gt;0),"–",""))</f>
        <v>DR2640100046</v>
      </c>
      <c r="AG39" s="74">
        <f>IF($BJ39&gt;0,IF(INDEX('Final Calculation Sheet'!$AF$4:$AF$40,$BJ39-3)="","",INDEX('Final Calculation Sheet'!$AF$4:$AF$40,$BJ39-3)),IF(OR($BI39=1,$BL39=1,$BH39&gt;0),"–",""))</f>
        <v>1800003313</v>
      </c>
      <c r="AH39" s="70" t="str">
        <f>IF($BJ39&gt;0,IF(INDEX('Final Calculation Sheet'!$AG$4:$AG$40,$BJ39-3)="","",INDEX('Final Calculation Sheet'!$AG$4:$AG$40,$BJ39-3)),IF(OR($BI39=1,$BL39=1,$BH39&gt;0),"–",""))</f>
        <v>27.08.2026</v>
      </c>
      <c r="AI39" s="75" t="str">
        <f>IF($BJ39&gt;0,IF(INDEX('Final Calculation Sheet'!$AD$4:$AD$40,$BJ39-3)="","",IF(INDEX('Final Calculation Sheet'!$AD$4:$AD$40,$BJ39-3)&lt;=0,"SETTLED","OUTSTANDING")),IF(OR($BI39=1,$BL39=1,$BH39&gt;0),IF(IF($BI39=1,SUM('Final Calculation Sheet'!$AD$4:$AD$40),IF($BL39=1,SUM('Final Calculation Sheet'!$AD$4:$AD$40)-SUMIFS('Final Calculation Sheet'!$AD$4:$AD$40,$AZ$5:$AZ$41,10),SUMIFS('Final Calculation Sheet'!$AD$4:$AD$40,$AZ$5:$AZ$41,$BH39)))&lt;=0,"ALL SETTLED","OUTSTANDING"),""))</f>
        <v>OUTSTANDING</v>
      </c>
      <c r="AK39" t="str">
        <f>IF($F$3="Lot No.",'Final Calculation Sheet'!$F$38,IF($F$3="Buyer",'Final Calculation Sheet'!$G$38,IF($F$3="Lot Name",'Final Calculation Sheet'!$B$38,IF($F$3="Bid Sheet",'Final Calculation Sheet'!$D$38,IF($F$3="Unit",'Final Calculation Sheet'!$E$38,'Final Calculation Sheet'!$F$38&amp;" "&amp;'Final Calculation Sheet'!$G$38&amp;" "&amp;'Final Calculation Sheet'!$B$38)))))</f>
        <v>2086 KASHYAP TRADING CO Scrap of 132 KV CT</v>
      </c>
      <c r="AM39">
        <f t="shared" si="1"/>
        <v>0</v>
      </c>
      <c r="AZ39">
        <f t="shared" si="2"/>
        <v>10</v>
      </c>
      <c r="BA39">
        <f t="shared" si="3"/>
        <v>26</v>
      </c>
      <c r="BB39">
        <f t="shared" si="4"/>
        <v>42</v>
      </c>
      <c r="BC39">
        <v>38</v>
      </c>
      <c r="BH39">
        <f>IFERROR(MATCH(39,$BF$4:$BF$13,0),0)</f>
        <v>0</v>
      </c>
      <c r="BI39">
        <f>IF(39=$BG$5,1,0)</f>
        <v>0</v>
      </c>
      <c r="BJ39">
        <f>IF(OR($BH39&gt;0,$BI39=1,$BL39=1),0,IFERROR(INDEX($BC$5:$BC$41,MATCH(39,$BB$5:$BB$41,0)),0))</f>
        <v>33</v>
      </c>
      <c r="BK39">
        <f>IF($BJ39&gt;0,IF(INDEX($AZ$5:$AZ$41,MATCH(39,$BB$5:$BB$41,0))=10,1,0),IF($BH39=10,1,0))</f>
        <v>1</v>
      </c>
      <c r="BL39">
        <f>IF(39=$BG$4,1,0)</f>
        <v>0</v>
      </c>
    </row>
    <row r="40" spans="1:64" ht="15" customHeight="1" x14ac:dyDescent="0.25">
      <c r="A40" s="67">
        <f>IF($BJ40&gt;0,INDEX($BA$5:$BA$41,MATCH(40,$BB$5:$BB$41,0)),IF(OR($BI40=1,$BL40=1,$BH40&gt;0),"∑",""))</f>
        <v>24</v>
      </c>
      <c r="B40" s="68">
        <f>IF($BJ40&gt;0,IF(INDEX('Final Calculation Sheet'!$F$4:$F$40,$BJ40-3)="","",INDEX('Final Calculation Sheet'!$F$4:$F$40,$BJ40-3)),"")</f>
        <v>2069</v>
      </c>
      <c r="C40" s="68" t="str">
        <f>IF($BJ40&gt;0,IF(INDEX('Final Calculation Sheet'!$G$4:$G$40,$BJ40-3)="","",INDEX('Final Calculation Sheet'!$G$4:$G$40,$BJ40-3)),IF(OR($BI40=1,$BL40=1,$BH40&gt;0),IF($BI40=1,37,IF($BL40=1,37-INDEX($BD$4:$BD$13,10),INDEX($BD$4:$BD$13,$BH40)))&amp;" lot(s)",""))</f>
        <v>STERLING ENTERPRISES</v>
      </c>
      <c r="D40" s="69" t="str">
        <f>IF($BJ40&gt;0,IF(INDEX('Final Calculation Sheet'!$B$4:$B$40,$BJ40-3)="","",INDEX('Final Calculation Sheet'!$B$4:$B$40,$BJ40-3)),IF(OR($BI40=1,$BL40=1,$BH40&gt;0),IF($BI40=1,"GRAND TOTAL  —  matching + remaining",IF($BL40=1,"TOTAL MATCHED  —  every group together",IF($BH40=10,"REMAINING  —  did not match the search",IF($BH40=9,"ALL LOTS  —  nothing typed in the box","GROUP "&amp;$BH40&amp;" TOTAL  —  lots matching  "&amp;INDEX($AR$6:$AY$6,$BH40))))),""))</f>
        <v>Scrap of 33 KV CB</v>
      </c>
      <c r="E40" s="69">
        <f>IF($BJ40&gt;0,IF(INDEX('Final Calculation Sheet'!$D$4:$D$40,$BJ40-3)="","",INDEX('Final Calculation Sheet'!$D$4:$D$40,$BJ40-3)),IF(OR($BI40=1,$BL40=1,$BH40&gt;0),"–",""))</f>
        <v>21980</v>
      </c>
      <c r="F40" s="69">
        <f>IF($BJ40&gt;0,IF(INDEX('Final Calculation Sheet'!$A$4:$A$40,$BJ40-3)="","",INDEX('Final Calculation Sheet'!$A$4:$A$40,$BJ40-3)),IF(OR($BI40=1,$BL40=1,$BH40&gt;0),IF($BI40=1,SUM('Final Calculation Sheet'!$A$4:$A$40),IF($BL40=1,SUM('Final Calculation Sheet'!$A$4:$A$40)-SUMIFS('Final Calculation Sheet'!$A$4:$A$40,$AZ$5:$AZ$41,10),SUMIFS('Final Calculation Sheet'!$A$4:$A$40,$AZ$5:$AZ$41,$BH40))),""))</f>
        <v>1</v>
      </c>
      <c r="G40" s="69" t="str">
        <f>IF($BJ40&gt;0,IF(INDEX('Final Calculation Sheet'!$E$4:$E$40,$BJ40-3)="","",INDEX('Final Calculation Sheet'!$E$4:$E$40,$BJ40-3)),IF(OR($BI40=1,$BL40=1,$BH40&gt;0),"–",""))</f>
        <v>NO</v>
      </c>
      <c r="H40" s="70">
        <f>IF($BJ40&gt;0,IF(INDEX('Final Calculation Sheet'!$C$4:$C$40,$BJ40-3)="","",INDEX('Final Calculation Sheet'!$C$4:$C$40,$BJ40-3)),IF(OR($BI40=1,$BL40=1,$BH40&gt;0),"–",""))</f>
        <v>54000</v>
      </c>
      <c r="I40" s="70">
        <f>IF($BJ40&gt;0,IF(INDEX('Final Calculation Sheet'!$H$4:$H$40,$BJ40-3)="","",INDEX('Final Calculation Sheet'!$H$4:$H$40,$BJ40-3)),IF(OR($BI40=1,$BL40=1,$BH40&gt;0),IF($BI40=1,SUM('Final Calculation Sheet'!$H$4:$H$40),IF($BL40=1,SUM('Final Calculation Sheet'!$H$4:$H$40)-SUMIFS('Final Calculation Sheet'!$H$4:$H$40,$AZ$5:$AZ$41,10),SUMIFS('Final Calculation Sheet'!$H$4:$H$40,$AZ$5:$AZ$41,$BH40))),""))</f>
        <v>54000</v>
      </c>
      <c r="J40" s="70">
        <f>IF($BJ40&gt;0,IF(INDEX('Final Calculation Sheet'!$I$4:$I$40,$BJ40-3)="","",INDEX('Final Calculation Sheet'!$I$4:$I$40,$BJ40-3)),IF(OR($BI40=1,$BL40=1,$BH40&gt;0),IF($BI40=1,SUM('Final Calculation Sheet'!$I$4:$I$40),IF($BL40=1,SUM('Final Calculation Sheet'!$I$4:$I$40)-SUMIFS('Final Calculation Sheet'!$I$4:$I$40,$AZ$5:$AZ$41,10),SUMIFS('Final Calculation Sheet'!$I$4:$I$40,$AZ$5:$AZ$41,$BH40))),""))</f>
        <v>9720</v>
      </c>
      <c r="K40" s="70">
        <f>IF($BJ40&gt;0,IF(INDEX('Final Calculation Sheet'!$J$4:$J$40,$BJ40-3)="","",INDEX('Final Calculation Sheet'!$J$4:$J$40,$BJ40-3)),IF(OR($BI40=1,$BL40=1,$BH40&gt;0),IF($BI40=1,SUM('Final Calculation Sheet'!$J$4:$J$40),IF($BL40=1,SUM('Final Calculation Sheet'!$J$4:$J$40)-SUMIFS('Final Calculation Sheet'!$J$4:$J$40,$AZ$5:$AZ$41,10),SUMIFS('Final Calculation Sheet'!$J$4:$J$40,$AZ$5:$AZ$41,$BH40))),""))</f>
        <v>63720</v>
      </c>
      <c r="L40" s="70">
        <f>IF($BJ40&gt;0,IF(INDEX('Final Calculation Sheet'!$K$4:$K$40,$BJ40-3)="","",INDEX('Final Calculation Sheet'!$K$4:$K$40,$BJ40-3)),IF(OR($BI40=1,$BL40=1,$BH40&gt;0),IF($BI40=1,SUM('Final Calculation Sheet'!$K$4:$K$40),IF($BL40=1,SUM('Final Calculation Sheet'!$K$4:$K$40)-SUMIFS('Final Calculation Sheet'!$K$4:$K$40,$AZ$5:$AZ$41,10),SUMIFS('Final Calculation Sheet'!$K$4:$K$40,$AZ$5:$AZ$41,$BH40))),""))</f>
        <v>1274</v>
      </c>
      <c r="M40" s="70">
        <f>IF($BJ40&gt;0,IF(INDEX('Final Calculation Sheet'!$L$4:$L$40,$BJ40-3)="","",INDEX('Final Calculation Sheet'!$L$4:$L$40,$BJ40-3)),IF(OR($BI40=1,$BL40=1,$BH40&gt;0),IF($BI40=1,SUM('Final Calculation Sheet'!$L$4:$L$40),IF($BL40=1,SUM('Final Calculation Sheet'!$L$4:$L$40)-SUMIFS('Final Calculation Sheet'!$L$4:$L$40,$AZ$5:$AZ$41,10),SUMIFS('Final Calculation Sheet'!$L$4:$L$40,$AZ$5:$AZ$41,$BH40))),""))</f>
        <v>54</v>
      </c>
      <c r="N40" s="70">
        <f>IF($BJ40&gt;0,IF(INDEX('Final Calculation Sheet'!$M$4:$M$40,$BJ40-3)="","",INDEX('Final Calculation Sheet'!$M$4:$M$40,$BJ40-3)),IF(OR($BI40=1,$BL40=1,$BH40&gt;0),IF($BI40=1,SUM('Final Calculation Sheet'!$M$4:$M$40),IF($BL40=1,SUM('Final Calculation Sheet'!$M$4:$M$40)-SUMIFS('Final Calculation Sheet'!$M$4:$M$40,$AZ$5:$AZ$41,10),SUMIFS('Final Calculation Sheet'!$M$4:$M$40,$AZ$5:$AZ$41,$BH40))),""))</f>
        <v>1433.6999999999998</v>
      </c>
      <c r="O40" s="71">
        <f>IF($BJ40&gt;0,IF(INDEX('Final Calculation Sheet'!$N$4:$N$40,$BJ40-3)="","",INDEX('Final Calculation Sheet'!$N$4:$N$40,$BJ40-3)),IF(OR($BI40=1,$BL40=1,$BH40&gt;0),IF($BI40=1,SUM('Final Calculation Sheet'!$N$4:$N$40),IF($BL40=1,SUM('Final Calculation Sheet'!$N$4:$N$40)-SUMIFS('Final Calculation Sheet'!$N$4:$N$40,$AZ$5:$AZ$41,10),SUMIFS('Final Calculation Sheet'!$N$4:$N$40,$AZ$5:$AZ$41,$BH40))),""))</f>
        <v>24.3</v>
      </c>
      <c r="P40" s="70">
        <f>IF($BJ40&gt;0,IF(INDEX('Final Calculation Sheet'!$O$4:$O$40,$BJ40-3)="","",INDEX('Final Calculation Sheet'!$O$4:$O$40,$BJ40-3)),IF(OR($BI40=1,$BL40=1,$BH40&gt;0),IF($BI40=1,SUM('Final Calculation Sheet'!$O$4:$O$40),IF($BL40=1,SUM('Final Calculation Sheet'!$O$4:$O$40)-SUMIFS('Final Calculation Sheet'!$O$4:$O$40,$AZ$5:$AZ$41,10),SUMIFS('Final Calculation Sheet'!$O$4:$O$40,$AZ$5:$AZ$41,$BH40))),""))</f>
        <v>1409.3999999999999</v>
      </c>
      <c r="Q40" s="70">
        <f>IF($BJ40&gt;0,IF(INDEX('Final Calculation Sheet'!$P$4:$P$40,$BJ40-3)="","",INDEX('Final Calculation Sheet'!$P$4:$P$40,$BJ40-3)),IF(OR($BI40=1,$BL40=1,$BH40&gt;0),IF($BI40=1,SUM('Final Calculation Sheet'!$P$4:$P$40),IF($BL40=1,SUM('Final Calculation Sheet'!$P$4:$P$40)-SUMIFS('Final Calculation Sheet'!$P$4:$P$40,$AZ$5:$AZ$41,10),SUMIFS('Final Calculation Sheet'!$P$4:$P$40,$AZ$5:$AZ$41,$BH40))),""))</f>
        <v>1463</v>
      </c>
      <c r="R40" s="72">
        <f>IF($BJ40&gt;0,IF(INDEX('Final Calculation Sheet'!$Q$4:$Q$40,$BJ40-3)="","",INDEX('Final Calculation Sheet'!$Q$4:$Q$40,$BJ40-3)),IF(OR($BI40=1,$BL40=1,$BH40&gt;0),"–",""))</f>
        <v>0</v>
      </c>
      <c r="S40" s="70">
        <f>IF($BJ40&gt;0,IF(INDEX('Final Calculation Sheet'!$R$4:$R$40,$BJ40-3)="","",INDEX('Final Calculation Sheet'!$R$4:$R$40,$BJ40-3)),IF(OR($BI40=1,$BL40=1,$BH40&gt;0),IF($BI40=1,SUM('Final Calculation Sheet'!$R$4:$R$40),IF($BL40=1,SUM('Final Calculation Sheet'!$R$4:$R$40)-SUMIFS('Final Calculation Sheet'!$R$4:$R$40,$AZ$5:$AZ$41,10),SUMIFS('Final Calculation Sheet'!$R$4:$R$40,$AZ$5:$AZ$41,$BH40))),""))</f>
        <v>0</v>
      </c>
      <c r="T40" s="70">
        <f>IF($BJ40&gt;0,IF(INDEX('Final Calculation Sheet'!$S$4:$S$40,$BJ40-3)="","",INDEX('Final Calculation Sheet'!$S$4:$S$40,$BJ40-3)),IF(OR($BI40=1,$BL40=1,$BH40&gt;0),IF($BI40=1,SUM('Final Calculation Sheet'!$S$4:$S$40),IF($BL40=1,SUM('Final Calculation Sheet'!$S$4:$S$40)-SUMIFS('Final Calculation Sheet'!$S$4:$S$40,$AZ$5:$AZ$41,10),SUMIFS('Final Calculation Sheet'!$S$4:$S$40,$AZ$5:$AZ$41,$BH40))),""))</f>
        <v>63531</v>
      </c>
      <c r="U40" s="70">
        <f>IF($BJ40&gt;0,IF(INDEX('Final Calculation Sheet'!$T$4:$T$40,$BJ40-3)="","",INDEX('Final Calculation Sheet'!$T$4:$T$40,$BJ40-3)),IF(OR($BI40=1,$BL40=1,$BH40&gt;0),IF($BI40=1,SUM('Final Calculation Sheet'!$T$4:$T$40),IF($BL40=1,SUM('Final Calculation Sheet'!$T$4:$T$40)-SUMIFS('Final Calculation Sheet'!$T$4:$T$40,$AZ$5:$AZ$41,10),SUMIFS('Final Calculation Sheet'!$T$4:$T$40,$AZ$5:$AZ$41,$BH40))),""))</f>
        <v>13500</v>
      </c>
      <c r="V40" s="73">
        <f>IF($BJ40&gt;0,IF(INDEX('Final Calculation Sheet'!$U$4:$U$40,$BJ40-3)="","",INDEX('Final Calculation Sheet'!$U$4:$U$40,$BJ40-3)),IF(OR($BI40=1,$BL40=1,$BH40&gt;0),IF($BI40=1,SUM('Final Calculation Sheet'!$U$4:$U$40),IF($BL40=1,SUM('Final Calculation Sheet'!$U$4:$U$40)-SUMIFS('Final Calculation Sheet'!$U$4:$U$40,$AZ$5:$AZ$41,10),SUMIFS('Final Calculation Sheet'!$U$4:$U$40,$AZ$5:$AZ$41,$BH40))),""))</f>
        <v>13500</v>
      </c>
      <c r="W40" s="70" t="str">
        <f>IF($BJ40&gt;0,IF(INDEX('Final Calculation Sheet'!$V$4:$V$40,$BJ40-3)="","",INDEX('Final Calculation Sheet'!$V$4:$V$40,$BJ40-3)),IF(OR($BI40=1,$BL40=1,$BH40&gt;0),"–",""))</f>
        <v>11.08.2026</v>
      </c>
      <c r="X40" s="70">
        <f>IF($BJ40&gt;0,IF(INDEX('Final Calculation Sheet'!$W$4:$W$40,$BJ40-3)="","",INDEX('Final Calculation Sheet'!$W$4:$W$40,$BJ40-3)),IF(OR($BI40=1,$BL40=1,$BH40&gt;0),IF($BI40=1,SUM('Final Calculation Sheet'!$W$4:$W$40),IF($BL40=1,SUM('Final Calculation Sheet'!$W$4:$W$40)-SUMIFS('Final Calculation Sheet'!$W$4:$W$40,$AZ$5:$AZ$41,10),SUMIFS('Final Calculation Sheet'!$W$4:$W$40,$AZ$5:$AZ$41,$BH40))),""))</f>
        <v>50031</v>
      </c>
      <c r="Y40" s="70" t="str">
        <f>IF($BJ40&gt;0,IF(INDEX('Final Calculation Sheet'!$X$4:$X$40,$BJ40-3)="","",INDEX('Final Calculation Sheet'!$X$4:$X$40,$BJ40-3)),IF(OR($BI40=1,$BL40=1,$BH40&gt;0),IF($BI40=1,SUM('Final Calculation Sheet'!$X$4:$X$40),IF($BL40=1,SUM('Final Calculation Sheet'!$X$4:$X$40)-SUMIFS('Final Calculation Sheet'!$X$4:$X$40,$AZ$5:$AZ$41,10),SUMIFS('Final Calculation Sheet'!$X$4:$X$40,$AZ$5:$AZ$41,$BH40))),""))</f>
        <v/>
      </c>
      <c r="Z40" s="70">
        <f>IF($BJ40&gt;0,IF(INDEX('Final Calculation Sheet'!$Y$4:$Y$40,$BJ40-3)="","",INDEX('Final Calculation Sheet'!$Y$4:$Y$40,$BJ40-3)),IF(OR($BI40=1,$BL40=1,$BH40&gt;0),"–",""))</f>
        <v>0</v>
      </c>
      <c r="AA40" s="70">
        <f ca="1">IF($BJ40&gt;0,IF(INDEX('Final Calculation Sheet'!$Z$4:$Z$40,$BJ40-3)="","",INDEX('Final Calculation Sheet'!$Z$4:$Z$40,$BJ40-3)),IF(OR($BI40=1,$BL40=1,$BH40&gt;0),IF($BI40=1,SUM('Final Calculation Sheet'!$Z$4:$Z$40),IF($BL40=1,SUM('Final Calculation Sheet'!$Z$4:$Z$40)-SUMIFS('Final Calculation Sheet'!$Z$4:$Z$40,$AZ$5:$AZ$41,10),SUMIFS('Final Calculation Sheet'!$Z$4:$Z$40,$AZ$5:$AZ$41,$BH40))),""))</f>
        <v>1911.6</v>
      </c>
      <c r="AB40" s="70" t="str">
        <f>IF($BJ40&gt;0,IF(INDEX('Final Calculation Sheet'!$AA$4:$AA$40,$BJ40-3)="","",INDEX('Final Calculation Sheet'!$AA$4:$AA$40,$BJ40-3)),IF(OR($BI40=1,$BL40=1,$BH40&gt;0),IF($BI40=1,SUM('Final Calculation Sheet'!$AA$4:$AA$40),IF($BL40=1,SUM('Final Calculation Sheet'!$AA$4:$AA$40)-SUMIFS('Final Calculation Sheet'!$AA$4:$AA$40,$AZ$5:$AZ$41,10),SUMIFS('Final Calculation Sheet'!$AA$4:$AA$40,$AZ$5:$AZ$41,$BH40))),""))</f>
        <v/>
      </c>
      <c r="AC40" s="70" t="str">
        <f>IF($BJ40&gt;0,IF(INDEX('Final Calculation Sheet'!$AB$4:$AB$40,$BJ40-3)="","",INDEX('Final Calculation Sheet'!$AB$4:$AB$40,$BJ40-3)),IF(OR($BI40=1,$BL40=1,$BH40&gt;0),"–",""))</f>
        <v/>
      </c>
      <c r="AD40" s="70">
        <f>IF($BJ40&gt;0,IF(INDEX('Final Calculation Sheet'!$AC$4:$AC$40,$BJ40-3)="","",INDEX('Final Calculation Sheet'!$AC$4:$AC$40,$BJ40-3)),IF(OR($BI40=1,$BL40=1,$BH40&gt;0),IF($BI40=1,SUM('Final Calculation Sheet'!$AC$4:$AC$40),IF($BL40=1,SUM('Final Calculation Sheet'!$AC$4:$AC$40)-SUMIFS('Final Calculation Sheet'!$AC$4:$AC$40,$AZ$5:$AZ$41,10),SUMIFS('Final Calculation Sheet'!$AC$4:$AC$40,$AZ$5:$AZ$41,$BH40))),""))</f>
        <v>13500</v>
      </c>
      <c r="AE40" s="70">
        <f>IF($BJ40&gt;0,IF(INDEX('Final Calculation Sheet'!$AD$4:$AD$40,$BJ40-3)="","",INDEX('Final Calculation Sheet'!$AD$4:$AD$40,$BJ40-3)),IF(OR($BI40=1,$BL40=1,$BH40&gt;0),IF($BI40=1,SUM('Final Calculation Sheet'!$AD$4:$AD$40),IF($BL40=1,SUM('Final Calculation Sheet'!$AD$4:$AD$40)-SUMIFS('Final Calculation Sheet'!$AD$4:$AD$40,$AZ$5:$AZ$41,10),SUMIFS('Final Calculation Sheet'!$AD$4:$AD$40,$AZ$5:$AZ$41,$BH40))),""))</f>
        <v>50031</v>
      </c>
      <c r="AF40" s="70" t="str">
        <f>IF($BJ40&gt;0,IF(INDEX('Final Calculation Sheet'!$AE$4:$AE$40,$BJ40-3)="","",INDEX('Final Calculation Sheet'!$AE$4:$AE$40,$BJ40-3)),IF(OR($BI40=1,$BL40=1,$BH40&gt;0),"–",""))</f>
        <v/>
      </c>
      <c r="AG40" s="74" t="str">
        <f>IF($BJ40&gt;0,IF(INDEX('Final Calculation Sheet'!$AF$4:$AF$40,$BJ40-3)="","",INDEX('Final Calculation Sheet'!$AF$4:$AF$40,$BJ40-3)),IF(OR($BI40=1,$BL40=1,$BH40&gt;0),"–",""))</f>
        <v/>
      </c>
      <c r="AH40" s="70" t="str">
        <f>IF($BJ40&gt;0,IF(INDEX('Final Calculation Sheet'!$AG$4:$AG$40,$BJ40-3)="","",INDEX('Final Calculation Sheet'!$AG$4:$AG$40,$BJ40-3)),IF(OR($BI40=1,$BL40=1,$BH40&gt;0),"–",""))</f>
        <v/>
      </c>
      <c r="AI40" s="75" t="str">
        <f>IF($BJ40&gt;0,IF(INDEX('Final Calculation Sheet'!$AD$4:$AD$40,$BJ40-3)="","",IF(INDEX('Final Calculation Sheet'!$AD$4:$AD$40,$BJ40-3)&lt;=0,"SETTLED","OUTSTANDING")),IF(OR($BI40=1,$BL40=1,$BH40&gt;0),IF(IF($BI40=1,SUM('Final Calculation Sheet'!$AD$4:$AD$40),IF($BL40=1,SUM('Final Calculation Sheet'!$AD$4:$AD$40)-SUMIFS('Final Calculation Sheet'!$AD$4:$AD$40,$AZ$5:$AZ$41,10),SUMIFS('Final Calculation Sheet'!$AD$4:$AD$40,$AZ$5:$AZ$41,$BH40)))&lt;=0,"ALL SETTLED","OUTSTANDING"),""))</f>
        <v>OUTSTANDING</v>
      </c>
      <c r="AK40" t="str">
        <f>IF($F$3="Lot No.",'Final Calculation Sheet'!$F$39,IF($F$3="Buyer",'Final Calculation Sheet'!$G$39,IF($F$3="Lot Name",'Final Calculation Sheet'!$B$39,IF($F$3="Bid Sheet",'Final Calculation Sheet'!$D$39,IF($F$3="Unit",'Final Calculation Sheet'!$E$39,'Final Calculation Sheet'!$F$39&amp;" "&amp;'Final Calculation Sheet'!$G$39&amp;" "&amp;'Final Calculation Sheet'!$B$39)))))</f>
        <v>2089 S M ENTERPRISES Scrap of 66 kv TBC C &amp; R Panel</v>
      </c>
      <c r="AM40">
        <f t="shared" si="1"/>
        <v>0</v>
      </c>
      <c r="AZ40">
        <f t="shared" si="2"/>
        <v>10</v>
      </c>
      <c r="BA40">
        <f t="shared" si="3"/>
        <v>27</v>
      </c>
      <c r="BB40">
        <f t="shared" si="4"/>
        <v>43</v>
      </c>
      <c r="BC40">
        <v>39</v>
      </c>
      <c r="BH40">
        <f>IFERROR(MATCH(40,$BF$4:$BF$13,0),0)</f>
        <v>0</v>
      </c>
      <c r="BI40">
        <f>IF(40=$BG$5,1,0)</f>
        <v>0</v>
      </c>
      <c r="BJ40">
        <f>IF(OR($BH40&gt;0,$BI40=1,$BL40=1),0,IFERROR(INDEX($BC$5:$BC$41,MATCH(40,$BB$5:$BB$41,0)),0))</f>
        <v>36</v>
      </c>
      <c r="BK40">
        <f>IF($BJ40&gt;0,IF(INDEX($AZ$5:$AZ$41,MATCH(40,$BB$5:$BB$41,0))=10,1,0),IF($BH40=10,1,0))</f>
        <v>1</v>
      </c>
      <c r="BL40">
        <f>IF(40=$BG$4,1,0)</f>
        <v>0</v>
      </c>
    </row>
    <row r="41" spans="1:64" ht="15" customHeight="1" x14ac:dyDescent="0.25">
      <c r="A41" s="67">
        <f>IF($BJ41&gt;0,INDEX($BA$5:$BA$41,MATCH(41,$BB$5:$BB$41,0)),IF(OR($BI41=1,$BL41=1,$BH41&gt;0),"∑",""))</f>
        <v>25</v>
      </c>
      <c r="B41" s="68">
        <f>IF($BJ41&gt;0,IF(INDEX('Final Calculation Sheet'!$F$4:$F$40,$BJ41-3)="","",INDEX('Final Calculation Sheet'!$F$4:$F$40,$BJ41-3)),"")</f>
        <v>2071</v>
      </c>
      <c r="C41" s="68" t="str">
        <f>IF($BJ41&gt;0,IF(INDEX('Final Calculation Sheet'!$G$4:$G$40,$BJ41-3)="","",INDEX('Final Calculation Sheet'!$G$4:$G$40,$BJ41-3)),IF(OR($BI41=1,$BL41=1,$BH41&gt;0),IF($BI41=1,37,IF($BL41=1,37-INDEX($BD$4:$BD$13,10),INDEX($BD$4:$BD$13,$BH41)))&amp;" lot(s)",""))</f>
        <v>NATIONAL ENTERPRISES</v>
      </c>
      <c r="D41" s="69" t="str">
        <f>IF($BJ41&gt;0,IF(INDEX('Final Calculation Sheet'!$B$4:$B$40,$BJ41-3)="","",INDEX('Final Calculation Sheet'!$B$4:$B$40,$BJ41-3)),IF(OR($BI41=1,$BL41=1,$BH41&gt;0),IF($BI41=1,"GRAND TOTAL  —  matching + remaining",IF($BL41=1,"TOTAL MATCHED  —  every group together",IF($BH41=10,"REMAINING  —  did not match the search",IF($BH41=9,"ALL LOTS  —  nothing typed in the box","GROUP "&amp;$BH41&amp;" TOTAL  —  lots matching  "&amp;INDEX($AR$6:$AY$6,$BH41))))),""))</f>
        <v>Scrap of 66 KV Isolater</v>
      </c>
      <c r="E41" s="69">
        <f>IF($BJ41&gt;0,IF(INDEX('Final Calculation Sheet'!$D$4:$D$40,$BJ41-3)="","",INDEX('Final Calculation Sheet'!$D$4:$D$40,$BJ41-3)),IF(OR($BI41=1,$BL41=1,$BH41&gt;0),"–",""))</f>
        <v>21980</v>
      </c>
      <c r="F41" s="69">
        <f>IF($BJ41&gt;0,IF(INDEX('Final Calculation Sheet'!$A$4:$A$40,$BJ41-3)="","",INDEX('Final Calculation Sheet'!$A$4:$A$40,$BJ41-3)),IF(OR($BI41=1,$BL41=1,$BH41&gt;0),IF($BI41=1,SUM('Final Calculation Sheet'!$A$4:$A$40),IF($BL41=1,SUM('Final Calculation Sheet'!$A$4:$A$40)-SUMIFS('Final Calculation Sheet'!$A$4:$A$40,$AZ$5:$AZ$41,10),SUMIFS('Final Calculation Sheet'!$A$4:$A$40,$AZ$5:$AZ$41,$BH41))),""))</f>
        <v>3</v>
      </c>
      <c r="G41" s="69" t="str">
        <f>IF($BJ41&gt;0,IF(INDEX('Final Calculation Sheet'!$E$4:$E$40,$BJ41-3)="","",INDEX('Final Calculation Sheet'!$E$4:$E$40,$BJ41-3)),IF(OR($BI41=1,$BL41=1,$BH41&gt;0),"–",""))</f>
        <v>NO</v>
      </c>
      <c r="H41" s="70">
        <f>IF($BJ41&gt;0,IF(INDEX('Final Calculation Sheet'!$C$4:$C$40,$BJ41-3)="","",INDEX('Final Calculation Sheet'!$C$4:$C$40,$BJ41-3)),IF(OR($BI41=1,$BL41=1,$BH41&gt;0),"–",""))</f>
        <v>25001</v>
      </c>
      <c r="I41" s="70">
        <f>IF($BJ41&gt;0,IF(INDEX('Final Calculation Sheet'!$H$4:$H$40,$BJ41-3)="","",INDEX('Final Calculation Sheet'!$H$4:$H$40,$BJ41-3)),IF(OR($BI41=1,$BL41=1,$BH41&gt;0),IF($BI41=1,SUM('Final Calculation Sheet'!$H$4:$H$40),IF($BL41=1,SUM('Final Calculation Sheet'!$H$4:$H$40)-SUMIFS('Final Calculation Sheet'!$H$4:$H$40,$AZ$5:$AZ$41,10),SUMIFS('Final Calculation Sheet'!$H$4:$H$40,$AZ$5:$AZ$41,$BH41))),""))</f>
        <v>75003</v>
      </c>
      <c r="J41" s="70">
        <f>IF($BJ41&gt;0,IF(INDEX('Final Calculation Sheet'!$I$4:$I$40,$BJ41-3)="","",INDEX('Final Calculation Sheet'!$I$4:$I$40,$BJ41-3)),IF(OR($BI41=1,$BL41=1,$BH41&gt;0),IF($BI41=1,SUM('Final Calculation Sheet'!$I$4:$I$40),IF($BL41=1,SUM('Final Calculation Sheet'!$I$4:$I$40)-SUMIFS('Final Calculation Sheet'!$I$4:$I$40,$AZ$5:$AZ$41,10),SUMIFS('Final Calculation Sheet'!$I$4:$I$40,$AZ$5:$AZ$41,$BH41))),""))</f>
        <v>13501</v>
      </c>
      <c r="K41" s="70">
        <f>IF($BJ41&gt;0,IF(INDEX('Final Calculation Sheet'!$J$4:$J$40,$BJ41-3)="","",INDEX('Final Calculation Sheet'!$J$4:$J$40,$BJ41-3)),IF(OR($BI41=1,$BL41=1,$BH41&gt;0),IF($BI41=1,SUM('Final Calculation Sheet'!$J$4:$J$40),IF($BL41=1,SUM('Final Calculation Sheet'!$J$4:$J$40)-SUMIFS('Final Calculation Sheet'!$J$4:$J$40,$AZ$5:$AZ$41,10),SUMIFS('Final Calculation Sheet'!$J$4:$J$40,$AZ$5:$AZ$41,$BH41))),""))</f>
        <v>88504</v>
      </c>
      <c r="L41" s="70">
        <f>IF($BJ41&gt;0,IF(INDEX('Final Calculation Sheet'!$K$4:$K$40,$BJ41-3)="","",INDEX('Final Calculation Sheet'!$K$4:$K$40,$BJ41-3)),IF(OR($BI41=1,$BL41=1,$BH41&gt;0),IF($BI41=1,SUM('Final Calculation Sheet'!$K$4:$K$40),IF($BL41=1,SUM('Final Calculation Sheet'!$K$4:$K$40)-SUMIFS('Final Calculation Sheet'!$K$4:$K$40,$AZ$5:$AZ$41,10),SUMIFS('Final Calculation Sheet'!$K$4:$K$40,$AZ$5:$AZ$41,$BH41))),""))</f>
        <v>1770</v>
      </c>
      <c r="M41" s="70">
        <f>IF($BJ41&gt;0,IF(INDEX('Final Calculation Sheet'!$L$4:$L$40,$BJ41-3)="","",INDEX('Final Calculation Sheet'!$L$4:$L$40,$BJ41-3)),IF(OR($BI41=1,$BL41=1,$BH41&gt;0),IF($BI41=1,SUM('Final Calculation Sheet'!$L$4:$L$40),IF($BL41=1,SUM('Final Calculation Sheet'!$L$4:$L$40)-SUMIFS('Final Calculation Sheet'!$L$4:$L$40,$AZ$5:$AZ$41,10),SUMIFS('Final Calculation Sheet'!$L$4:$L$40,$AZ$5:$AZ$41,$BH41))),""))</f>
        <v>75.003</v>
      </c>
      <c r="N41" s="70">
        <f>IF($BJ41&gt;0,IF(INDEX('Final Calculation Sheet'!$M$4:$M$40,$BJ41-3)="","",INDEX('Final Calculation Sheet'!$M$4:$M$40,$BJ41-3)),IF(OR($BI41=1,$BL41=1,$BH41&gt;0),IF($BI41=1,SUM('Final Calculation Sheet'!$M$4:$M$40),IF($BL41=1,SUM('Final Calculation Sheet'!$M$4:$M$40)-SUMIFS('Final Calculation Sheet'!$M$4:$M$40,$AZ$5:$AZ$41,10),SUMIFS('Final Calculation Sheet'!$M$4:$M$40,$AZ$5:$AZ$41,$BH41))),""))</f>
        <v>1991.3296499999997</v>
      </c>
      <c r="O41" s="71">
        <f>IF($BJ41&gt;0,IF(INDEX('Final Calculation Sheet'!$N$4:$N$40,$BJ41-3)="","",INDEX('Final Calculation Sheet'!$N$4:$N$40,$BJ41-3)),IF(OR($BI41=1,$BL41=1,$BH41&gt;0),IF($BI41=1,SUM('Final Calculation Sheet'!$N$4:$N$40),IF($BL41=1,SUM('Final Calculation Sheet'!$N$4:$N$40)-SUMIFS('Final Calculation Sheet'!$N$4:$N$40,$AZ$5:$AZ$41,10),SUMIFS('Final Calculation Sheet'!$N$4:$N$40,$AZ$5:$AZ$41,$BH41))),""))</f>
        <v>33.751349999999995</v>
      </c>
      <c r="P41" s="70">
        <f>IF($BJ41&gt;0,IF(INDEX('Final Calculation Sheet'!$O$4:$O$40,$BJ41-3)="","",INDEX('Final Calculation Sheet'!$O$4:$O$40,$BJ41-3)),IF(OR($BI41=1,$BL41=1,$BH41&gt;0),IF($BI41=1,SUM('Final Calculation Sheet'!$O$4:$O$40),IF($BL41=1,SUM('Final Calculation Sheet'!$O$4:$O$40)-SUMIFS('Final Calculation Sheet'!$O$4:$O$40,$AZ$5:$AZ$41,10),SUMIFS('Final Calculation Sheet'!$O$4:$O$40,$AZ$5:$AZ$41,$BH41))),""))</f>
        <v>1957.5782999999997</v>
      </c>
      <c r="Q41" s="70">
        <f>IF($BJ41&gt;0,IF(INDEX('Final Calculation Sheet'!$P$4:$P$40,$BJ41-3)="","",INDEX('Final Calculation Sheet'!$P$4:$P$40,$BJ41-3)),IF(OR($BI41=1,$BL41=1,$BH41&gt;0),IF($BI41=1,SUM('Final Calculation Sheet'!$P$4:$P$40),IF($BL41=1,SUM('Final Calculation Sheet'!$P$4:$P$40)-SUMIFS('Final Calculation Sheet'!$P$4:$P$40,$AZ$5:$AZ$41,10),SUMIFS('Final Calculation Sheet'!$P$4:$P$40,$AZ$5:$AZ$41,$BH41))),""))</f>
        <v>2033</v>
      </c>
      <c r="R41" s="72">
        <f>IF($BJ41&gt;0,IF(INDEX('Final Calculation Sheet'!$Q$4:$Q$40,$BJ41-3)="","",INDEX('Final Calculation Sheet'!$Q$4:$Q$40,$BJ41-3)),IF(OR($BI41=1,$BL41=1,$BH41&gt;0),"–",""))</f>
        <v>0</v>
      </c>
      <c r="S41" s="70">
        <f>IF($BJ41&gt;0,IF(INDEX('Final Calculation Sheet'!$R$4:$R$40,$BJ41-3)="","",INDEX('Final Calculation Sheet'!$R$4:$R$40,$BJ41-3)),IF(OR($BI41=1,$BL41=1,$BH41&gt;0),IF($BI41=1,SUM('Final Calculation Sheet'!$R$4:$R$40),IF($BL41=1,SUM('Final Calculation Sheet'!$R$4:$R$40)-SUMIFS('Final Calculation Sheet'!$R$4:$R$40,$AZ$5:$AZ$41,10),SUMIFS('Final Calculation Sheet'!$R$4:$R$40,$AZ$5:$AZ$41,$BH41))),""))</f>
        <v>0</v>
      </c>
      <c r="T41" s="70">
        <f>IF($BJ41&gt;0,IF(INDEX('Final Calculation Sheet'!$S$4:$S$40,$BJ41-3)="","",INDEX('Final Calculation Sheet'!$S$4:$S$40,$BJ41-3)),IF(OR($BI41=1,$BL41=1,$BH41&gt;0),IF($BI41=1,SUM('Final Calculation Sheet'!$S$4:$S$40),IF($BL41=1,SUM('Final Calculation Sheet'!$S$4:$S$40)-SUMIFS('Final Calculation Sheet'!$S$4:$S$40,$AZ$5:$AZ$41,10),SUMIFS('Final Calculation Sheet'!$S$4:$S$40,$AZ$5:$AZ$41,$BH41))),""))</f>
        <v>88241</v>
      </c>
      <c r="U41" s="70">
        <f>IF($BJ41&gt;0,IF(INDEX('Final Calculation Sheet'!$T$4:$T$40,$BJ41-3)="","",INDEX('Final Calculation Sheet'!$T$4:$T$40,$BJ41-3)),IF(OR($BI41=1,$BL41=1,$BH41&gt;0),IF($BI41=1,SUM('Final Calculation Sheet'!$T$4:$T$40),IF($BL41=1,SUM('Final Calculation Sheet'!$T$4:$T$40)-SUMIFS('Final Calculation Sheet'!$T$4:$T$40,$AZ$5:$AZ$41,10),SUMIFS('Final Calculation Sheet'!$T$4:$T$40,$AZ$5:$AZ$41,$BH41))),""))</f>
        <v>18751</v>
      </c>
      <c r="V41" s="73">
        <f>IF($BJ41&gt;0,IF(INDEX('Final Calculation Sheet'!$U$4:$U$40,$BJ41-3)="","",INDEX('Final Calculation Sheet'!$U$4:$U$40,$BJ41-3)),IF(OR($BI41=1,$BL41=1,$BH41&gt;0),IF($BI41=1,SUM('Final Calculation Sheet'!$U$4:$U$40),IF($BL41=1,SUM('Final Calculation Sheet'!$U$4:$U$40)-SUMIFS('Final Calculation Sheet'!$U$4:$U$40,$AZ$5:$AZ$41,10),SUMIFS('Final Calculation Sheet'!$U$4:$U$40,$AZ$5:$AZ$41,$BH41))),""))</f>
        <v>18751</v>
      </c>
      <c r="W41" s="70" t="str">
        <f>IF($BJ41&gt;0,IF(INDEX('Final Calculation Sheet'!$V$4:$V$40,$BJ41-3)="","",INDEX('Final Calculation Sheet'!$V$4:$V$40,$BJ41-3)),IF(OR($BI41=1,$BL41=1,$BH41&gt;0),"–",""))</f>
        <v>13.08.2026</v>
      </c>
      <c r="X41" s="70">
        <f>IF($BJ41&gt;0,IF(INDEX('Final Calculation Sheet'!$W$4:$W$40,$BJ41-3)="","",INDEX('Final Calculation Sheet'!$W$4:$W$40,$BJ41-3)),IF(OR($BI41=1,$BL41=1,$BH41&gt;0),IF($BI41=1,SUM('Final Calculation Sheet'!$W$4:$W$40),IF($BL41=1,SUM('Final Calculation Sheet'!$W$4:$W$40)-SUMIFS('Final Calculation Sheet'!$W$4:$W$40,$AZ$5:$AZ$41,10),SUMIFS('Final Calculation Sheet'!$W$4:$W$40,$AZ$5:$AZ$41,$BH41))),""))</f>
        <v>69490</v>
      </c>
      <c r="Y41" s="70">
        <f>IF($BJ41&gt;0,IF(INDEX('Final Calculation Sheet'!$X$4:$X$40,$BJ41-3)="","",INDEX('Final Calculation Sheet'!$X$4:$X$40,$BJ41-3)),IF(OR($BI41=1,$BL41=1,$BH41&gt;0),IF($BI41=1,SUM('Final Calculation Sheet'!$X$4:$X$40),IF($BL41=1,SUM('Final Calculation Sheet'!$X$4:$X$40)-SUMIFS('Final Calculation Sheet'!$X$4:$X$40,$AZ$5:$AZ$41,10),SUMIFS('Final Calculation Sheet'!$X$4:$X$40,$AZ$5:$AZ$41,$BH41))),""))</f>
        <v>69491</v>
      </c>
      <c r="Z41" s="70" t="str">
        <f>IF($BJ41&gt;0,IF(INDEX('Final Calculation Sheet'!$Y$4:$Y$40,$BJ41-3)="","",INDEX('Final Calculation Sheet'!$Y$4:$Y$40,$BJ41-3)),IF(OR($BI41=1,$BL41=1,$BH41&gt;0),"–",""))</f>
        <v>24.08.2026</v>
      </c>
      <c r="AA41" s="70">
        <f ca="1">IF($BJ41&gt;0,IF(INDEX('Final Calculation Sheet'!$Z$4:$Z$40,$BJ41-3)="","",INDEX('Final Calculation Sheet'!$Z$4:$Z$40,$BJ41-3)),IF(OR($BI41=1,$BL41=1,$BH41&gt;0),IF($BI41=1,SUM('Final Calculation Sheet'!$Z$4:$Z$40),IF($BL41=1,SUM('Final Calculation Sheet'!$Z$4:$Z$40)-SUMIFS('Final Calculation Sheet'!$Z$4:$Z$40,$AZ$5:$AZ$41,10),SUMIFS('Final Calculation Sheet'!$Z$4:$Z$40,$AZ$5:$AZ$41,$BH41))),""))</f>
        <v>0</v>
      </c>
      <c r="AB41" s="70" t="str">
        <f>IF($BJ41&gt;0,IF(INDEX('Final Calculation Sheet'!$AA$4:$AA$40,$BJ41-3)="","",INDEX('Final Calculation Sheet'!$AA$4:$AA$40,$BJ41-3)),IF(OR($BI41=1,$BL41=1,$BH41&gt;0),IF($BI41=1,SUM('Final Calculation Sheet'!$AA$4:$AA$40),IF($BL41=1,SUM('Final Calculation Sheet'!$AA$4:$AA$40)-SUMIFS('Final Calculation Sheet'!$AA$4:$AA$40,$AZ$5:$AZ$41,10),SUMIFS('Final Calculation Sheet'!$AA$4:$AA$40,$AZ$5:$AZ$41,$BH41))),""))</f>
        <v/>
      </c>
      <c r="AC41" s="70" t="str">
        <f>IF($BJ41&gt;0,IF(INDEX('Final Calculation Sheet'!$AB$4:$AB$40,$BJ41-3)="","",INDEX('Final Calculation Sheet'!$AB$4:$AB$40,$BJ41-3)),IF(OR($BI41=1,$BL41=1,$BH41&gt;0),"–",""))</f>
        <v/>
      </c>
      <c r="AD41" s="70">
        <f>IF($BJ41&gt;0,IF(INDEX('Final Calculation Sheet'!$AC$4:$AC$40,$BJ41-3)="","",INDEX('Final Calculation Sheet'!$AC$4:$AC$40,$BJ41-3)),IF(OR($BI41=1,$BL41=1,$BH41&gt;0),IF($BI41=1,SUM('Final Calculation Sheet'!$AC$4:$AC$40),IF($BL41=1,SUM('Final Calculation Sheet'!$AC$4:$AC$40)-SUMIFS('Final Calculation Sheet'!$AC$4:$AC$40,$AZ$5:$AZ$41,10),SUMIFS('Final Calculation Sheet'!$AC$4:$AC$40,$AZ$5:$AZ$41,$BH41))),""))</f>
        <v>88242</v>
      </c>
      <c r="AE41" s="70">
        <f>IF($BJ41&gt;0,IF(INDEX('Final Calculation Sheet'!$AD$4:$AD$40,$BJ41-3)="","",INDEX('Final Calculation Sheet'!$AD$4:$AD$40,$BJ41-3)),IF(OR($BI41=1,$BL41=1,$BH41&gt;0),IF($BI41=1,SUM('Final Calculation Sheet'!$AD$4:$AD$40),IF($BL41=1,SUM('Final Calculation Sheet'!$AD$4:$AD$40)-SUMIFS('Final Calculation Sheet'!$AD$4:$AD$40,$AZ$5:$AZ$41,10),SUMIFS('Final Calculation Sheet'!$AD$4:$AD$40,$AZ$5:$AZ$41,$BH41))),""))</f>
        <v>-1</v>
      </c>
      <c r="AF41" s="70" t="str">
        <f>IF($BJ41&gt;0,IF(INDEX('Final Calculation Sheet'!$AE$4:$AE$40,$BJ41-3)="","",INDEX('Final Calculation Sheet'!$AE$4:$AE$40,$BJ41-3)),IF(OR($BI41=1,$BL41=1,$BH41&gt;0),"–",""))</f>
        <v>DR2640100040</v>
      </c>
      <c r="AG41" s="74">
        <f>IF($BJ41&gt;0,IF(INDEX('Final Calculation Sheet'!$AF$4:$AF$40,$BJ41-3)="","",INDEX('Final Calculation Sheet'!$AF$4:$AF$40,$BJ41-3)),IF(OR($BI41=1,$BL41=1,$BH41&gt;0),"–",""))</f>
        <v>1800003314</v>
      </c>
      <c r="AH41" s="70" t="str">
        <f>IF($BJ41&gt;0,IF(INDEX('Final Calculation Sheet'!$AG$4:$AG$40,$BJ41-3)="","",INDEX('Final Calculation Sheet'!$AG$4:$AG$40,$BJ41-3)),IF(OR($BI41=1,$BL41=1,$BH41&gt;0),"–",""))</f>
        <v>27.08.2026</v>
      </c>
      <c r="AI41" s="75" t="str">
        <f>IF($BJ41&gt;0,IF(INDEX('Final Calculation Sheet'!$AD$4:$AD$40,$BJ41-3)="","",IF(INDEX('Final Calculation Sheet'!$AD$4:$AD$40,$BJ41-3)&lt;=0,"SETTLED","OUTSTANDING")),IF(OR($BI41=1,$BL41=1,$BH41&gt;0),IF(IF($BI41=1,SUM('Final Calculation Sheet'!$AD$4:$AD$40),IF($BL41=1,SUM('Final Calculation Sheet'!$AD$4:$AD$40)-SUMIFS('Final Calculation Sheet'!$AD$4:$AD$40,$AZ$5:$AZ$41,10),SUMIFS('Final Calculation Sheet'!$AD$4:$AD$40,$AZ$5:$AZ$41,$BH41)))&lt;=0,"ALL SETTLED","OUTSTANDING"),""))</f>
        <v>SETTLED</v>
      </c>
      <c r="AK41" t="str">
        <f>IF($F$3="Lot No.",'Final Calculation Sheet'!$F$40,IF($F$3="Buyer",'Final Calculation Sheet'!$G$40,IF($F$3="Lot Name",'Final Calculation Sheet'!$B$40,IF($F$3="Bid Sheet",'Final Calculation Sheet'!$D$40,IF($F$3="Unit",'Final Calculation Sheet'!$E$40,'Final Calculation Sheet'!$F$40&amp;" "&amp;'Final Calculation Sheet'!$G$40&amp;" "&amp;'Final Calculation Sheet'!$B$40)))))</f>
        <v>2091 S M ENTERPRISES Scrap of 132 KV CT</v>
      </c>
      <c r="AM41">
        <f t="shared" si="1"/>
        <v>0</v>
      </c>
      <c r="AZ41">
        <f t="shared" si="2"/>
        <v>10</v>
      </c>
      <c r="BA41">
        <f t="shared" si="3"/>
        <v>28</v>
      </c>
      <c r="BB41">
        <f t="shared" si="4"/>
        <v>44</v>
      </c>
      <c r="BC41">
        <v>40</v>
      </c>
      <c r="BH41">
        <f>IFERROR(MATCH(41,$BF$4:$BF$13,0),0)</f>
        <v>0</v>
      </c>
      <c r="BI41">
        <f>IF(41=$BG$5,1,0)</f>
        <v>0</v>
      </c>
      <c r="BJ41">
        <f>IF(OR($BH41&gt;0,$BI41=1,$BL41=1),0,IFERROR(INDEX($BC$5:$BC$41,MATCH(41,$BB$5:$BB$41,0)),0))</f>
        <v>37</v>
      </c>
      <c r="BK41">
        <f>IF($BJ41&gt;0,IF(INDEX($AZ$5:$AZ$41,MATCH(41,$BB$5:$BB$41,0))=10,1,0),IF($BH41=10,1,0))</f>
        <v>1</v>
      </c>
      <c r="BL41">
        <f>IF(41=$BG$4,1,0)</f>
        <v>0</v>
      </c>
    </row>
    <row r="42" spans="1:64" ht="15" customHeight="1" x14ac:dyDescent="0.25">
      <c r="A42" s="67">
        <f>IF($BJ42&gt;0,INDEX($BA$5:$BA$41,MATCH(42,$BB$5:$BB$41,0)),IF(OR($BI42=1,$BL42=1,$BH42&gt;0),"∑",""))</f>
        <v>26</v>
      </c>
      <c r="B42" s="68">
        <f>IF($BJ42&gt;0,IF(INDEX('Final Calculation Sheet'!$F$4:$F$40,$BJ42-3)="","",INDEX('Final Calculation Sheet'!$F$4:$F$40,$BJ42-3)),"")</f>
        <v>2086</v>
      </c>
      <c r="C42" s="68" t="str">
        <f>IF($BJ42&gt;0,IF(INDEX('Final Calculation Sheet'!$G$4:$G$40,$BJ42-3)="","",INDEX('Final Calculation Sheet'!$G$4:$G$40,$BJ42-3)),IF(OR($BI42=1,$BL42=1,$BH42&gt;0),IF($BI42=1,37,IF($BL42=1,37-INDEX($BD$4:$BD$13,10),INDEX($BD$4:$BD$13,$BH42)))&amp;" lot(s)",""))</f>
        <v>KASHYAP TRADING CO</v>
      </c>
      <c r="D42" s="69" t="str">
        <f>IF($BJ42&gt;0,IF(INDEX('Final Calculation Sheet'!$B$4:$B$40,$BJ42-3)="","",INDEX('Final Calculation Sheet'!$B$4:$B$40,$BJ42-3)),IF(OR($BI42=1,$BL42=1,$BH42&gt;0),IF($BI42=1,"GRAND TOTAL  —  matching + remaining",IF($BL42=1,"TOTAL MATCHED  —  every group together",IF($BH42=10,"REMAINING  —  did not match the search",IF($BH42=9,"ALL LOTS  —  nothing typed in the box","GROUP "&amp;$BH42&amp;" TOTAL  —  lots matching  "&amp;INDEX($AR$6:$AY$6,$BH42))))),""))</f>
        <v>Scrap of 132 KV CT</v>
      </c>
      <c r="E42" s="69">
        <f>IF($BJ42&gt;0,IF(INDEX('Final Calculation Sheet'!$D$4:$D$40,$BJ42-3)="","",INDEX('Final Calculation Sheet'!$D$4:$D$40,$BJ42-3)),IF(OR($BI42=1,$BL42=1,$BH42&gt;0),"–",""))</f>
        <v>21980</v>
      </c>
      <c r="F42" s="69">
        <f>IF($BJ42&gt;0,IF(INDEX('Final Calculation Sheet'!$A$4:$A$40,$BJ42-3)="","",INDEX('Final Calculation Sheet'!$A$4:$A$40,$BJ42-3)),IF(OR($BI42=1,$BL42=1,$BH42&gt;0),IF($BI42=1,SUM('Final Calculation Sheet'!$A$4:$A$40),IF($BL42=1,SUM('Final Calculation Sheet'!$A$4:$A$40)-SUMIFS('Final Calculation Sheet'!$A$4:$A$40,$AZ$5:$AZ$41,10),SUMIFS('Final Calculation Sheet'!$A$4:$A$40,$AZ$5:$AZ$41,$BH42))),""))</f>
        <v>3</v>
      </c>
      <c r="G42" s="69" t="str">
        <f>IF($BJ42&gt;0,IF(INDEX('Final Calculation Sheet'!$E$4:$E$40,$BJ42-3)="","",INDEX('Final Calculation Sheet'!$E$4:$E$40,$BJ42-3)),IF(OR($BI42=1,$BL42=1,$BH42&gt;0),"–",""))</f>
        <v>NO</v>
      </c>
      <c r="H42" s="70">
        <f>IF($BJ42&gt;0,IF(INDEX('Final Calculation Sheet'!$C$4:$C$40,$BJ42-3)="","",INDEX('Final Calculation Sheet'!$C$4:$C$40,$BJ42-3)),IF(OR($BI42=1,$BL42=1,$BH42&gt;0),"–",""))</f>
        <v>70001</v>
      </c>
      <c r="I42" s="70">
        <f>IF($BJ42&gt;0,IF(INDEX('Final Calculation Sheet'!$H$4:$H$40,$BJ42-3)="","",INDEX('Final Calculation Sheet'!$H$4:$H$40,$BJ42-3)),IF(OR($BI42=1,$BL42=1,$BH42&gt;0),IF($BI42=1,SUM('Final Calculation Sheet'!$H$4:$H$40),IF($BL42=1,SUM('Final Calculation Sheet'!$H$4:$H$40)-SUMIFS('Final Calculation Sheet'!$H$4:$H$40,$AZ$5:$AZ$41,10),SUMIFS('Final Calculation Sheet'!$H$4:$H$40,$AZ$5:$AZ$41,$BH42))),""))</f>
        <v>210003</v>
      </c>
      <c r="J42" s="70">
        <f>IF($BJ42&gt;0,IF(INDEX('Final Calculation Sheet'!$I$4:$I$40,$BJ42-3)="","",INDEX('Final Calculation Sheet'!$I$4:$I$40,$BJ42-3)),IF(OR($BI42=1,$BL42=1,$BH42&gt;0),IF($BI42=1,SUM('Final Calculation Sheet'!$I$4:$I$40),IF($BL42=1,SUM('Final Calculation Sheet'!$I$4:$I$40)-SUMIFS('Final Calculation Sheet'!$I$4:$I$40,$AZ$5:$AZ$41,10),SUMIFS('Final Calculation Sheet'!$I$4:$I$40,$AZ$5:$AZ$41,$BH42))),""))</f>
        <v>37801</v>
      </c>
      <c r="K42" s="70">
        <f>IF($BJ42&gt;0,IF(INDEX('Final Calculation Sheet'!$J$4:$J$40,$BJ42-3)="","",INDEX('Final Calculation Sheet'!$J$4:$J$40,$BJ42-3)),IF(OR($BI42=1,$BL42=1,$BH42&gt;0),IF($BI42=1,SUM('Final Calculation Sheet'!$J$4:$J$40),IF($BL42=1,SUM('Final Calculation Sheet'!$J$4:$J$40)-SUMIFS('Final Calculation Sheet'!$J$4:$J$40,$AZ$5:$AZ$41,10),SUMIFS('Final Calculation Sheet'!$J$4:$J$40,$AZ$5:$AZ$41,$BH42))),""))</f>
        <v>247804</v>
      </c>
      <c r="L42" s="70">
        <f>IF($BJ42&gt;0,IF(INDEX('Final Calculation Sheet'!$K$4:$K$40,$BJ42-3)="","",INDEX('Final Calculation Sheet'!$K$4:$K$40,$BJ42-3)),IF(OR($BI42=1,$BL42=1,$BH42&gt;0),IF($BI42=1,SUM('Final Calculation Sheet'!$K$4:$K$40),IF($BL42=1,SUM('Final Calculation Sheet'!$K$4:$K$40)-SUMIFS('Final Calculation Sheet'!$K$4:$K$40,$AZ$5:$AZ$41,10),SUMIFS('Final Calculation Sheet'!$K$4:$K$40,$AZ$5:$AZ$41,$BH42))),""))</f>
        <v>4956</v>
      </c>
      <c r="M42" s="70">
        <f>IF($BJ42&gt;0,IF(INDEX('Final Calculation Sheet'!$L$4:$L$40,$BJ42-3)="","",INDEX('Final Calculation Sheet'!$L$4:$L$40,$BJ42-3)),IF(OR($BI42=1,$BL42=1,$BH42&gt;0),IF($BI42=1,SUM('Final Calculation Sheet'!$L$4:$L$40),IF($BL42=1,SUM('Final Calculation Sheet'!$L$4:$L$40)-SUMIFS('Final Calculation Sheet'!$L$4:$L$40,$AZ$5:$AZ$41,10),SUMIFS('Final Calculation Sheet'!$L$4:$L$40,$AZ$5:$AZ$41,$BH42))),""))</f>
        <v>210.00300000000001</v>
      </c>
      <c r="N42" s="70">
        <f>IF($BJ42&gt;0,IF(INDEX('Final Calculation Sheet'!$M$4:$M$40,$BJ42-3)="","",INDEX('Final Calculation Sheet'!$M$4:$M$40,$BJ42-3)),IF(OR($BI42=1,$BL42=1,$BH42&gt;0),IF($BI42=1,SUM('Final Calculation Sheet'!$M$4:$M$40),IF($BL42=1,SUM('Final Calculation Sheet'!$M$4:$M$40)-SUMIFS('Final Calculation Sheet'!$M$4:$M$40,$AZ$5:$AZ$41,10),SUMIFS('Final Calculation Sheet'!$M$4:$M$40,$AZ$5:$AZ$41,$BH42))),""))</f>
        <v>5575.5796499999997</v>
      </c>
      <c r="O42" s="71">
        <f>IF($BJ42&gt;0,IF(INDEX('Final Calculation Sheet'!$N$4:$N$40,$BJ42-3)="","",INDEX('Final Calculation Sheet'!$N$4:$N$40,$BJ42-3)),IF(OR($BI42=1,$BL42=1,$BH42&gt;0),IF($BI42=1,SUM('Final Calculation Sheet'!$N$4:$N$40),IF($BL42=1,SUM('Final Calculation Sheet'!$N$4:$N$40)-SUMIFS('Final Calculation Sheet'!$N$4:$N$40,$AZ$5:$AZ$41,10),SUMIFS('Final Calculation Sheet'!$N$4:$N$40,$AZ$5:$AZ$41,$BH42))),""))</f>
        <v>94.501350000000002</v>
      </c>
      <c r="P42" s="70">
        <f>IF($BJ42&gt;0,IF(INDEX('Final Calculation Sheet'!$O$4:$O$40,$BJ42-3)="","",INDEX('Final Calculation Sheet'!$O$4:$O$40,$BJ42-3)),IF(OR($BI42=1,$BL42=1,$BH42&gt;0),IF($BI42=1,SUM('Final Calculation Sheet'!$O$4:$O$40),IF($BL42=1,SUM('Final Calculation Sheet'!$O$4:$O$40)-SUMIFS('Final Calculation Sheet'!$O$4:$O$40,$AZ$5:$AZ$41,10),SUMIFS('Final Calculation Sheet'!$O$4:$O$40,$AZ$5:$AZ$41,$BH42))),""))</f>
        <v>5481.0782999999992</v>
      </c>
      <c r="Q42" s="70">
        <f>IF($BJ42&gt;0,IF(INDEX('Final Calculation Sheet'!$P$4:$P$40,$BJ42-3)="","",INDEX('Final Calculation Sheet'!$P$4:$P$40,$BJ42-3)),IF(OR($BI42=1,$BL42=1,$BH42&gt;0),IF($BI42=1,SUM('Final Calculation Sheet'!$P$4:$P$40),IF($BL42=1,SUM('Final Calculation Sheet'!$P$4:$P$40)-SUMIFS('Final Calculation Sheet'!$P$4:$P$40,$AZ$5:$AZ$41,10),SUMIFS('Final Calculation Sheet'!$P$4:$P$40,$AZ$5:$AZ$41,$BH42))),""))</f>
        <v>5691</v>
      </c>
      <c r="R42" s="72">
        <f>IF($BJ42&gt;0,IF(INDEX('Final Calculation Sheet'!$Q$4:$Q$40,$BJ42-3)="","",INDEX('Final Calculation Sheet'!$Q$4:$Q$40,$BJ42-3)),IF(OR($BI42=1,$BL42=1,$BH42&gt;0),"–",""))</f>
        <v>0</v>
      </c>
      <c r="S42" s="70">
        <f>IF($BJ42&gt;0,IF(INDEX('Final Calculation Sheet'!$R$4:$R$40,$BJ42-3)="","",INDEX('Final Calculation Sheet'!$R$4:$R$40,$BJ42-3)),IF(OR($BI42=1,$BL42=1,$BH42&gt;0),IF($BI42=1,SUM('Final Calculation Sheet'!$R$4:$R$40),IF($BL42=1,SUM('Final Calculation Sheet'!$R$4:$R$40)-SUMIFS('Final Calculation Sheet'!$R$4:$R$40,$AZ$5:$AZ$41,10),SUMIFS('Final Calculation Sheet'!$R$4:$R$40,$AZ$5:$AZ$41,$BH42))),""))</f>
        <v>0</v>
      </c>
      <c r="T42" s="70">
        <f>IF($BJ42&gt;0,IF(INDEX('Final Calculation Sheet'!$S$4:$S$40,$BJ42-3)="","",INDEX('Final Calculation Sheet'!$S$4:$S$40,$BJ42-3)),IF(OR($BI42=1,$BL42=1,$BH42&gt;0),IF($BI42=1,SUM('Final Calculation Sheet'!$S$4:$S$40),IF($BL42=1,SUM('Final Calculation Sheet'!$S$4:$S$40)-SUMIFS('Final Calculation Sheet'!$S$4:$S$40,$AZ$5:$AZ$41,10),SUMIFS('Final Calculation Sheet'!$S$4:$S$40,$AZ$5:$AZ$41,$BH42))),""))</f>
        <v>247069</v>
      </c>
      <c r="U42" s="70">
        <f>IF($BJ42&gt;0,IF(INDEX('Final Calculation Sheet'!$T$4:$T$40,$BJ42-3)="","",INDEX('Final Calculation Sheet'!$T$4:$T$40,$BJ42-3)),IF(OR($BI42=1,$BL42=1,$BH42&gt;0),IF($BI42=1,SUM('Final Calculation Sheet'!$T$4:$T$40),IF($BL42=1,SUM('Final Calculation Sheet'!$T$4:$T$40)-SUMIFS('Final Calculation Sheet'!$T$4:$T$40,$AZ$5:$AZ$41,10),SUMIFS('Final Calculation Sheet'!$T$4:$T$40,$AZ$5:$AZ$41,$BH42))),""))</f>
        <v>52501</v>
      </c>
      <c r="V42" s="73">
        <f>IF($BJ42&gt;0,IF(INDEX('Final Calculation Sheet'!$U$4:$U$40,$BJ42-3)="","",INDEX('Final Calculation Sheet'!$U$4:$U$40,$BJ42-3)),IF(OR($BI42=1,$BL42=1,$BH42&gt;0),IF($BI42=1,SUM('Final Calculation Sheet'!$U$4:$U$40),IF($BL42=1,SUM('Final Calculation Sheet'!$U$4:$U$40)-SUMIFS('Final Calculation Sheet'!$U$4:$U$40,$AZ$5:$AZ$41,10),SUMIFS('Final Calculation Sheet'!$U$4:$U$40,$AZ$5:$AZ$41,$BH42))),""))</f>
        <v>52501</v>
      </c>
      <c r="W42" s="70" t="str">
        <f>IF($BJ42&gt;0,IF(INDEX('Final Calculation Sheet'!$V$4:$V$40,$BJ42-3)="","",INDEX('Final Calculation Sheet'!$V$4:$V$40,$BJ42-3)),IF(OR($BI42=1,$BL42=1,$BH42&gt;0),"–",""))</f>
        <v>17.08.2026</v>
      </c>
      <c r="X42" s="70">
        <f>IF($BJ42&gt;0,IF(INDEX('Final Calculation Sheet'!$W$4:$W$40,$BJ42-3)="","",INDEX('Final Calculation Sheet'!$W$4:$W$40,$BJ42-3)),IF(OR($BI42=1,$BL42=1,$BH42&gt;0),IF($BI42=1,SUM('Final Calculation Sheet'!$W$4:$W$40),IF($BL42=1,SUM('Final Calculation Sheet'!$W$4:$W$40)-SUMIFS('Final Calculation Sheet'!$W$4:$W$40,$AZ$5:$AZ$41,10),SUMIFS('Final Calculation Sheet'!$W$4:$W$40,$AZ$5:$AZ$41,$BH42))),""))</f>
        <v>194568</v>
      </c>
      <c r="Y42" s="70">
        <f>IF($BJ42&gt;0,IF(INDEX('Final Calculation Sheet'!$X$4:$X$40,$BJ42-3)="","",INDEX('Final Calculation Sheet'!$X$4:$X$40,$BJ42-3)),IF(OR($BI42=1,$BL42=1,$BH42&gt;0),IF($BI42=1,SUM('Final Calculation Sheet'!$X$4:$X$40),IF($BL42=1,SUM('Final Calculation Sheet'!$X$4:$X$40)-SUMIFS('Final Calculation Sheet'!$X$4:$X$40,$AZ$5:$AZ$41,10),SUMIFS('Final Calculation Sheet'!$X$4:$X$40,$AZ$5:$AZ$41,$BH42))),""))</f>
        <v>194568</v>
      </c>
      <c r="Z42" s="70" t="str">
        <f>IF($BJ42&gt;0,IF(INDEX('Final Calculation Sheet'!$Y$4:$Y$40,$BJ42-3)="","",INDEX('Final Calculation Sheet'!$Y$4:$Y$40,$BJ42-3)),IF(OR($BI42=1,$BL42=1,$BH42&gt;0),"–",""))</f>
        <v>17.08.2026</v>
      </c>
      <c r="AA42" s="70">
        <f ca="1">IF($BJ42&gt;0,IF(INDEX('Final Calculation Sheet'!$Z$4:$Z$40,$BJ42-3)="","",INDEX('Final Calculation Sheet'!$Z$4:$Z$40,$BJ42-3)),IF(OR($BI42=1,$BL42=1,$BH42&gt;0),IF($BI42=1,SUM('Final Calculation Sheet'!$Z$4:$Z$40),IF($BL42=1,SUM('Final Calculation Sheet'!$Z$4:$Z$40)-SUMIFS('Final Calculation Sheet'!$Z$4:$Z$40,$AZ$5:$AZ$41,10),SUMIFS('Final Calculation Sheet'!$Z$4:$Z$40,$AZ$5:$AZ$41,$BH42))),""))</f>
        <v>0</v>
      </c>
      <c r="AB42" s="70" t="str">
        <f>IF($BJ42&gt;0,IF(INDEX('Final Calculation Sheet'!$AA$4:$AA$40,$BJ42-3)="","",INDEX('Final Calculation Sheet'!$AA$4:$AA$40,$BJ42-3)),IF(OR($BI42=1,$BL42=1,$BH42&gt;0),IF($BI42=1,SUM('Final Calculation Sheet'!$AA$4:$AA$40),IF($BL42=1,SUM('Final Calculation Sheet'!$AA$4:$AA$40)-SUMIFS('Final Calculation Sheet'!$AA$4:$AA$40,$AZ$5:$AZ$41,10),SUMIFS('Final Calculation Sheet'!$AA$4:$AA$40,$AZ$5:$AZ$41,$BH42))),""))</f>
        <v/>
      </c>
      <c r="AC42" s="70" t="str">
        <f>IF($BJ42&gt;0,IF(INDEX('Final Calculation Sheet'!$AB$4:$AB$40,$BJ42-3)="","",INDEX('Final Calculation Sheet'!$AB$4:$AB$40,$BJ42-3)),IF(OR($BI42=1,$BL42=1,$BH42&gt;0),"–",""))</f>
        <v/>
      </c>
      <c r="AD42" s="70">
        <f>IF($BJ42&gt;0,IF(INDEX('Final Calculation Sheet'!$AC$4:$AC$40,$BJ42-3)="","",INDEX('Final Calculation Sheet'!$AC$4:$AC$40,$BJ42-3)),IF(OR($BI42=1,$BL42=1,$BH42&gt;0),IF($BI42=1,SUM('Final Calculation Sheet'!$AC$4:$AC$40),IF($BL42=1,SUM('Final Calculation Sheet'!$AC$4:$AC$40)-SUMIFS('Final Calculation Sheet'!$AC$4:$AC$40,$AZ$5:$AZ$41,10),SUMIFS('Final Calculation Sheet'!$AC$4:$AC$40,$AZ$5:$AZ$41,$BH42))),""))</f>
        <v>247069</v>
      </c>
      <c r="AE42" s="70">
        <f>IF($BJ42&gt;0,IF(INDEX('Final Calculation Sheet'!$AD$4:$AD$40,$BJ42-3)="","",INDEX('Final Calculation Sheet'!$AD$4:$AD$40,$BJ42-3)),IF(OR($BI42=1,$BL42=1,$BH42&gt;0),IF($BI42=1,SUM('Final Calculation Sheet'!$AD$4:$AD$40),IF($BL42=1,SUM('Final Calculation Sheet'!$AD$4:$AD$40)-SUMIFS('Final Calculation Sheet'!$AD$4:$AD$40,$AZ$5:$AZ$41,10),SUMIFS('Final Calculation Sheet'!$AD$4:$AD$40,$AZ$5:$AZ$41,$BH42))),""))</f>
        <v>0</v>
      </c>
      <c r="AF42" s="70" t="str">
        <f>IF($BJ42&gt;0,IF(INDEX('Final Calculation Sheet'!$AE$4:$AE$40,$BJ42-3)="","",INDEX('Final Calculation Sheet'!$AE$4:$AE$40,$BJ42-3)),IF(OR($BI42=1,$BL42=1,$BH42&gt;0),"–",""))</f>
        <v>DR2640100025</v>
      </c>
      <c r="AG42" s="74">
        <f>IF($BJ42&gt;0,IF(INDEX('Final Calculation Sheet'!$AF$4:$AF$40,$BJ42-3)="","",INDEX('Final Calculation Sheet'!$AF$4:$AF$40,$BJ42-3)),IF(OR($BI42=1,$BL42=1,$BH42&gt;0),"–",""))</f>
        <v>1800003226</v>
      </c>
      <c r="AH42" s="70" t="str">
        <f>IF($BJ42&gt;0,IF(INDEX('Final Calculation Sheet'!$AG$4:$AG$40,$BJ42-3)="","",INDEX('Final Calculation Sheet'!$AG$4:$AG$40,$BJ42-3)),IF(OR($BI42=1,$BL42=1,$BH42&gt;0),"–",""))</f>
        <v>19.08.2026</v>
      </c>
      <c r="AI42" s="75" t="str">
        <f>IF($BJ42&gt;0,IF(INDEX('Final Calculation Sheet'!$AD$4:$AD$40,$BJ42-3)="","",IF(INDEX('Final Calculation Sheet'!$AD$4:$AD$40,$BJ42-3)&lt;=0,"SETTLED","OUTSTANDING")),IF(OR($BI42=1,$BL42=1,$BH42&gt;0),IF(IF($BI42=1,SUM('Final Calculation Sheet'!$AD$4:$AD$40),IF($BL42=1,SUM('Final Calculation Sheet'!$AD$4:$AD$40)-SUMIFS('Final Calculation Sheet'!$AD$4:$AD$40,$AZ$5:$AZ$41,10),SUMIFS('Final Calculation Sheet'!$AD$4:$AD$40,$AZ$5:$AZ$41,$BH42)))&lt;=0,"ALL SETTLED","OUTSTANDING"),""))</f>
        <v>SETTLED</v>
      </c>
      <c r="BH42">
        <f>IFERROR(MATCH(42,$BF$4:$BF$13,0),0)</f>
        <v>0</v>
      </c>
      <c r="BI42">
        <f>IF(42=$BG$5,1,0)</f>
        <v>0</v>
      </c>
      <c r="BJ42">
        <f>IF(OR($BH42&gt;0,$BI42=1,$BL42=1),0,IFERROR(INDEX($BC$5:$BC$41,MATCH(42,$BB$5:$BB$41,0)),0))</f>
        <v>38</v>
      </c>
      <c r="BK42">
        <f>IF($BJ42&gt;0,IF(INDEX($AZ$5:$AZ$41,MATCH(42,$BB$5:$BB$41,0))=10,1,0),IF($BH42=10,1,0))</f>
        <v>1</v>
      </c>
      <c r="BL42">
        <f>IF(42=$BG$4,1,0)</f>
        <v>0</v>
      </c>
    </row>
    <row r="43" spans="1:64" ht="15" customHeight="1" x14ac:dyDescent="0.25">
      <c r="A43" s="67">
        <f>IF($BJ43&gt;0,INDEX($BA$5:$BA$41,MATCH(43,$BB$5:$BB$41,0)),IF(OR($BI43=1,$BL43=1,$BH43&gt;0),"∑",""))</f>
        <v>27</v>
      </c>
      <c r="B43" s="68">
        <f>IF($BJ43&gt;0,IF(INDEX('Final Calculation Sheet'!$F$4:$F$40,$BJ43-3)="","",INDEX('Final Calculation Sheet'!$F$4:$F$40,$BJ43-3)),"")</f>
        <v>2089</v>
      </c>
      <c r="C43" s="68" t="str">
        <f>IF($BJ43&gt;0,IF(INDEX('Final Calculation Sheet'!$G$4:$G$40,$BJ43-3)="","",INDEX('Final Calculation Sheet'!$G$4:$G$40,$BJ43-3)),IF(OR($BI43=1,$BL43=1,$BH43&gt;0),IF($BI43=1,37,IF($BL43=1,37-INDEX($BD$4:$BD$13,10),INDEX($BD$4:$BD$13,$BH43)))&amp;" lot(s)",""))</f>
        <v>S M ENTERPRISES</v>
      </c>
      <c r="D43" s="69" t="str">
        <f>IF($BJ43&gt;0,IF(INDEX('Final Calculation Sheet'!$B$4:$B$40,$BJ43-3)="","",INDEX('Final Calculation Sheet'!$B$4:$B$40,$BJ43-3)),IF(OR($BI43=1,$BL43=1,$BH43&gt;0),IF($BI43=1,"GRAND TOTAL  —  matching + remaining",IF($BL43=1,"TOTAL MATCHED  —  every group together",IF($BH43=10,"REMAINING  —  did not match the search",IF($BH43=9,"ALL LOTS  —  nothing typed in the box","GROUP "&amp;$BH43&amp;" TOTAL  —  lots matching  "&amp;INDEX($AR$6:$AY$6,$BH43))))),""))</f>
        <v>Scrap of 66 kv TBC C &amp; R Panel</v>
      </c>
      <c r="E43" s="69">
        <f>IF($BJ43&gt;0,IF(INDEX('Final Calculation Sheet'!$D$4:$D$40,$BJ43-3)="","",INDEX('Final Calculation Sheet'!$D$4:$D$40,$BJ43-3)),IF(OR($BI43=1,$BL43=1,$BH43&gt;0),"–",""))</f>
        <v>21980</v>
      </c>
      <c r="F43" s="69">
        <f>IF($BJ43&gt;0,IF(INDEX('Final Calculation Sheet'!$A$4:$A$40,$BJ43-3)="","",INDEX('Final Calculation Sheet'!$A$4:$A$40,$BJ43-3)),IF(OR($BI43=1,$BL43=1,$BH43&gt;0),IF($BI43=1,SUM('Final Calculation Sheet'!$A$4:$A$40),IF($BL43=1,SUM('Final Calculation Sheet'!$A$4:$A$40)-SUMIFS('Final Calculation Sheet'!$A$4:$A$40,$AZ$5:$AZ$41,10),SUMIFS('Final Calculation Sheet'!$A$4:$A$40,$AZ$5:$AZ$41,$BH43))),""))</f>
        <v>2</v>
      </c>
      <c r="G43" s="69" t="str">
        <f>IF($BJ43&gt;0,IF(INDEX('Final Calculation Sheet'!$E$4:$E$40,$BJ43-3)="","",INDEX('Final Calculation Sheet'!$E$4:$E$40,$BJ43-3)),IF(OR($BI43=1,$BL43=1,$BH43&gt;0),"–",""))</f>
        <v>NO</v>
      </c>
      <c r="H43" s="70">
        <f>IF($BJ43&gt;0,IF(INDEX('Final Calculation Sheet'!$C$4:$C$40,$BJ43-3)="","",INDEX('Final Calculation Sheet'!$C$4:$C$40,$BJ43-3)),IF(OR($BI43=1,$BL43=1,$BH43&gt;0),"–",""))</f>
        <v>15006</v>
      </c>
      <c r="I43" s="70">
        <f>IF($BJ43&gt;0,IF(INDEX('Final Calculation Sheet'!$H$4:$H$40,$BJ43-3)="","",INDEX('Final Calculation Sheet'!$H$4:$H$40,$BJ43-3)),IF(OR($BI43=1,$BL43=1,$BH43&gt;0),IF($BI43=1,SUM('Final Calculation Sheet'!$H$4:$H$40),IF($BL43=1,SUM('Final Calculation Sheet'!$H$4:$H$40)-SUMIFS('Final Calculation Sheet'!$H$4:$H$40,$AZ$5:$AZ$41,10),SUMIFS('Final Calculation Sheet'!$H$4:$H$40,$AZ$5:$AZ$41,$BH43))),""))</f>
        <v>30012</v>
      </c>
      <c r="J43" s="70">
        <f>IF($BJ43&gt;0,IF(INDEX('Final Calculation Sheet'!$I$4:$I$40,$BJ43-3)="","",INDEX('Final Calculation Sheet'!$I$4:$I$40,$BJ43-3)),IF(OR($BI43=1,$BL43=1,$BH43&gt;0),IF($BI43=1,SUM('Final Calculation Sheet'!$I$4:$I$40),IF($BL43=1,SUM('Final Calculation Sheet'!$I$4:$I$40)-SUMIFS('Final Calculation Sheet'!$I$4:$I$40,$AZ$5:$AZ$41,10),SUMIFS('Final Calculation Sheet'!$I$4:$I$40,$AZ$5:$AZ$41,$BH43))),""))</f>
        <v>5402</v>
      </c>
      <c r="K43" s="70">
        <f>IF($BJ43&gt;0,IF(INDEX('Final Calculation Sheet'!$J$4:$J$40,$BJ43-3)="","",INDEX('Final Calculation Sheet'!$J$4:$J$40,$BJ43-3)),IF(OR($BI43=1,$BL43=1,$BH43&gt;0),IF($BI43=1,SUM('Final Calculation Sheet'!$J$4:$J$40),IF($BL43=1,SUM('Final Calculation Sheet'!$J$4:$J$40)-SUMIFS('Final Calculation Sheet'!$J$4:$J$40,$AZ$5:$AZ$41,10),SUMIFS('Final Calculation Sheet'!$J$4:$J$40,$AZ$5:$AZ$41,$BH43))),""))</f>
        <v>35414</v>
      </c>
      <c r="L43" s="70">
        <f>IF($BJ43&gt;0,IF(INDEX('Final Calculation Sheet'!$K$4:$K$40,$BJ43-3)="","",INDEX('Final Calculation Sheet'!$K$4:$K$40,$BJ43-3)),IF(OR($BI43=1,$BL43=1,$BH43&gt;0),IF($BI43=1,SUM('Final Calculation Sheet'!$K$4:$K$40),IF($BL43=1,SUM('Final Calculation Sheet'!$K$4:$K$40)-SUMIFS('Final Calculation Sheet'!$K$4:$K$40,$AZ$5:$AZ$41,10),SUMIFS('Final Calculation Sheet'!$K$4:$K$40,$AZ$5:$AZ$41,$BH43))),""))</f>
        <v>708</v>
      </c>
      <c r="M43" s="70">
        <f>IF($BJ43&gt;0,IF(INDEX('Final Calculation Sheet'!$L$4:$L$40,$BJ43-3)="","",INDEX('Final Calculation Sheet'!$L$4:$L$40,$BJ43-3)),IF(OR($BI43=1,$BL43=1,$BH43&gt;0),IF($BI43=1,SUM('Final Calculation Sheet'!$L$4:$L$40),IF($BL43=1,SUM('Final Calculation Sheet'!$L$4:$L$40)-SUMIFS('Final Calculation Sheet'!$L$4:$L$40,$AZ$5:$AZ$41,10),SUMIFS('Final Calculation Sheet'!$L$4:$L$40,$AZ$5:$AZ$41,$BH43))),""))</f>
        <v>30.012</v>
      </c>
      <c r="N43" s="70">
        <f>IF($BJ43&gt;0,IF(INDEX('Final Calculation Sheet'!$M$4:$M$40,$BJ43-3)="","",INDEX('Final Calculation Sheet'!$M$4:$M$40,$BJ43-3)),IF(OR($BI43=1,$BL43=1,$BH43&gt;0),IF($BI43=1,SUM('Final Calculation Sheet'!$M$4:$M$40),IF($BL43=1,SUM('Final Calculation Sheet'!$M$4:$M$40)-SUMIFS('Final Calculation Sheet'!$M$4:$M$40,$AZ$5:$AZ$41,10),SUMIFS('Final Calculation Sheet'!$M$4:$M$40,$AZ$5:$AZ$41,$BH43))),""))</f>
        <v>796.81859999999995</v>
      </c>
      <c r="O43" s="71">
        <f>IF($BJ43&gt;0,IF(INDEX('Final Calculation Sheet'!$N$4:$N$40,$BJ43-3)="","",INDEX('Final Calculation Sheet'!$N$4:$N$40,$BJ43-3)),IF(OR($BI43=1,$BL43=1,$BH43&gt;0),IF($BI43=1,SUM('Final Calculation Sheet'!$N$4:$N$40),IF($BL43=1,SUM('Final Calculation Sheet'!$N$4:$N$40)-SUMIFS('Final Calculation Sheet'!$N$4:$N$40,$AZ$5:$AZ$41,10),SUMIFS('Final Calculation Sheet'!$N$4:$N$40,$AZ$5:$AZ$41,$BH43))),""))</f>
        <v>13.5054</v>
      </c>
      <c r="P43" s="70">
        <f>IF($BJ43&gt;0,IF(INDEX('Final Calculation Sheet'!$O$4:$O$40,$BJ43-3)="","",INDEX('Final Calculation Sheet'!$O$4:$O$40,$BJ43-3)),IF(OR($BI43=1,$BL43=1,$BH43&gt;0),IF($BI43=1,SUM('Final Calculation Sheet'!$O$4:$O$40),IF($BL43=1,SUM('Final Calculation Sheet'!$O$4:$O$40)-SUMIFS('Final Calculation Sheet'!$O$4:$O$40,$AZ$5:$AZ$41,10),SUMIFS('Final Calculation Sheet'!$O$4:$O$40,$AZ$5:$AZ$41,$BH43))),""))</f>
        <v>783.31319999999994</v>
      </c>
      <c r="Q43" s="70">
        <f>IF($BJ43&gt;0,IF(INDEX('Final Calculation Sheet'!$P$4:$P$40,$BJ43-3)="","",INDEX('Final Calculation Sheet'!$P$4:$P$40,$BJ43-3)),IF(OR($BI43=1,$BL43=1,$BH43&gt;0),IF($BI43=1,SUM('Final Calculation Sheet'!$P$4:$P$40),IF($BL43=1,SUM('Final Calculation Sheet'!$P$4:$P$40)-SUMIFS('Final Calculation Sheet'!$P$4:$P$40,$AZ$5:$AZ$41,10),SUMIFS('Final Calculation Sheet'!$P$4:$P$40,$AZ$5:$AZ$41,$BH43))),""))</f>
        <v>813</v>
      </c>
      <c r="R43" s="72">
        <f>IF($BJ43&gt;0,IF(INDEX('Final Calculation Sheet'!$Q$4:$Q$40,$BJ43-3)="","",INDEX('Final Calculation Sheet'!$Q$4:$Q$40,$BJ43-3)),IF(OR($BI43=1,$BL43=1,$BH43&gt;0),"–",""))</f>
        <v>0</v>
      </c>
      <c r="S43" s="70">
        <f>IF($BJ43&gt;0,IF(INDEX('Final Calculation Sheet'!$R$4:$R$40,$BJ43-3)="","",INDEX('Final Calculation Sheet'!$R$4:$R$40,$BJ43-3)),IF(OR($BI43=1,$BL43=1,$BH43&gt;0),IF($BI43=1,SUM('Final Calculation Sheet'!$R$4:$R$40),IF($BL43=1,SUM('Final Calculation Sheet'!$R$4:$R$40)-SUMIFS('Final Calculation Sheet'!$R$4:$R$40,$AZ$5:$AZ$41,10),SUMIFS('Final Calculation Sheet'!$R$4:$R$40,$AZ$5:$AZ$41,$BH43))),""))</f>
        <v>0</v>
      </c>
      <c r="T43" s="70">
        <f>IF($BJ43&gt;0,IF(INDEX('Final Calculation Sheet'!$S$4:$S$40,$BJ43-3)="","",INDEX('Final Calculation Sheet'!$S$4:$S$40,$BJ43-3)),IF(OR($BI43=1,$BL43=1,$BH43&gt;0),IF($BI43=1,SUM('Final Calculation Sheet'!$S$4:$S$40),IF($BL43=1,SUM('Final Calculation Sheet'!$S$4:$S$40)-SUMIFS('Final Calculation Sheet'!$S$4:$S$40,$AZ$5:$AZ$41,10),SUMIFS('Final Calculation Sheet'!$S$4:$S$40,$AZ$5:$AZ$41,$BH43))),""))</f>
        <v>35309</v>
      </c>
      <c r="U43" s="70">
        <f>IF($BJ43&gt;0,IF(INDEX('Final Calculation Sheet'!$T$4:$T$40,$BJ43-3)="","",INDEX('Final Calculation Sheet'!$T$4:$T$40,$BJ43-3)),IF(OR($BI43=1,$BL43=1,$BH43&gt;0),IF($BI43=1,SUM('Final Calculation Sheet'!$T$4:$T$40),IF($BL43=1,SUM('Final Calculation Sheet'!$T$4:$T$40)-SUMIFS('Final Calculation Sheet'!$T$4:$T$40,$AZ$5:$AZ$41,10),SUMIFS('Final Calculation Sheet'!$T$4:$T$40,$AZ$5:$AZ$41,$BH43))),""))</f>
        <v>7503</v>
      </c>
      <c r="V43" s="73">
        <f>IF($BJ43&gt;0,IF(INDEX('Final Calculation Sheet'!$U$4:$U$40,$BJ43-3)="","",INDEX('Final Calculation Sheet'!$U$4:$U$40,$BJ43-3)),IF(OR($BI43=1,$BL43=1,$BH43&gt;0),IF($BI43=1,SUM('Final Calculation Sheet'!$U$4:$U$40),IF($BL43=1,SUM('Final Calculation Sheet'!$U$4:$U$40)-SUMIFS('Final Calculation Sheet'!$U$4:$U$40,$AZ$5:$AZ$41,10),SUMIFS('Final Calculation Sheet'!$U$4:$U$40,$AZ$5:$AZ$41,$BH43))),""))</f>
        <v>7503</v>
      </c>
      <c r="W43" s="70" t="str">
        <f>IF($BJ43&gt;0,IF(INDEX('Final Calculation Sheet'!$V$4:$V$40,$BJ43-3)="","",INDEX('Final Calculation Sheet'!$V$4:$V$40,$BJ43-3)),IF(OR($BI43=1,$BL43=1,$BH43&gt;0),"–",""))</f>
        <v>14.08.2026</v>
      </c>
      <c r="X43" s="70">
        <f>IF($BJ43&gt;0,IF(INDEX('Final Calculation Sheet'!$W$4:$W$40,$BJ43-3)="","",INDEX('Final Calculation Sheet'!$W$4:$W$40,$BJ43-3)),IF(OR($BI43=1,$BL43=1,$BH43&gt;0),IF($BI43=1,SUM('Final Calculation Sheet'!$W$4:$W$40),IF($BL43=1,SUM('Final Calculation Sheet'!$W$4:$W$40)-SUMIFS('Final Calculation Sheet'!$W$4:$W$40,$AZ$5:$AZ$41,10),SUMIFS('Final Calculation Sheet'!$W$4:$W$40,$AZ$5:$AZ$41,$BH43))),""))</f>
        <v>27806</v>
      </c>
      <c r="Y43" s="70">
        <f>IF($BJ43&gt;0,IF(INDEX('Final Calculation Sheet'!$X$4:$X$40,$BJ43-3)="","",INDEX('Final Calculation Sheet'!$X$4:$X$40,$BJ43-3)),IF(OR($BI43=1,$BL43=1,$BH43&gt;0),IF($BI43=1,SUM('Final Calculation Sheet'!$X$4:$X$40),IF($BL43=1,SUM('Final Calculation Sheet'!$X$4:$X$40)-SUMIFS('Final Calculation Sheet'!$X$4:$X$40,$AZ$5:$AZ$41,10),SUMIFS('Final Calculation Sheet'!$X$4:$X$40,$AZ$5:$AZ$41,$BH43))),""))</f>
        <v>27806</v>
      </c>
      <c r="Z43" s="70" t="str">
        <f>IF($BJ43&gt;0,IF(INDEX('Final Calculation Sheet'!$Y$4:$Y$40,$BJ43-3)="","",INDEX('Final Calculation Sheet'!$Y$4:$Y$40,$BJ43-3)),IF(OR($BI43=1,$BL43=1,$BH43&gt;0),"–",""))</f>
        <v>01.09.2026</v>
      </c>
      <c r="AA43" s="70">
        <f ca="1">IF($BJ43&gt;0,IF(INDEX('Final Calculation Sheet'!$Z$4:$Z$40,$BJ43-3)="","",INDEX('Final Calculation Sheet'!$Z$4:$Z$40,$BJ43-3)),IF(OR($BI43=1,$BL43=1,$BH43&gt;0),IF($BI43=1,SUM('Final Calculation Sheet'!$Z$4:$Z$40),IF($BL43=1,SUM('Final Calculation Sheet'!$Z$4:$Z$40)-SUMIFS('Final Calculation Sheet'!$Z$4:$Z$40,$AZ$5:$AZ$41,10),SUMIFS('Final Calculation Sheet'!$Z$4:$Z$40,$AZ$5:$AZ$41,$BH43))),""))</f>
        <v>708.28319999999997</v>
      </c>
      <c r="AB43" s="70">
        <f>IF($BJ43&gt;0,IF(INDEX('Final Calculation Sheet'!$AA$4:$AA$40,$BJ43-3)="","",INDEX('Final Calculation Sheet'!$AA$4:$AA$40,$BJ43-3)),IF(OR($BI43=1,$BL43=1,$BH43&gt;0),IF($BI43=1,SUM('Final Calculation Sheet'!$AA$4:$AA$40),IF($BL43=1,SUM('Final Calculation Sheet'!$AA$4:$AA$40)-SUMIFS('Final Calculation Sheet'!$AA$4:$AA$40,$AZ$5:$AZ$41,10),SUMIFS('Final Calculation Sheet'!$AA$4:$AA$40,$AZ$5:$AZ$41,$BH43))),""))</f>
        <v>708</v>
      </c>
      <c r="AC43" s="70" t="str">
        <f>IF($BJ43&gt;0,IF(INDEX('Final Calculation Sheet'!$AB$4:$AB$40,$BJ43-3)="","",INDEX('Final Calculation Sheet'!$AB$4:$AB$40,$BJ43-3)),IF(OR($BI43=1,$BL43=1,$BH43&gt;0),"–",""))</f>
        <v>01.09.2026</v>
      </c>
      <c r="AD43" s="70">
        <f>IF($BJ43&gt;0,IF(INDEX('Final Calculation Sheet'!$AC$4:$AC$40,$BJ43-3)="","",INDEX('Final Calculation Sheet'!$AC$4:$AC$40,$BJ43-3)),IF(OR($BI43=1,$BL43=1,$BH43&gt;0),IF($BI43=1,SUM('Final Calculation Sheet'!$AC$4:$AC$40),IF($BL43=1,SUM('Final Calculation Sheet'!$AC$4:$AC$40)-SUMIFS('Final Calculation Sheet'!$AC$4:$AC$40,$AZ$5:$AZ$41,10),SUMIFS('Final Calculation Sheet'!$AC$4:$AC$40,$AZ$5:$AZ$41,$BH43))),""))</f>
        <v>36017</v>
      </c>
      <c r="AE43" s="70">
        <f>IF($BJ43&gt;0,IF(INDEX('Final Calculation Sheet'!$AD$4:$AD$40,$BJ43-3)="","",INDEX('Final Calculation Sheet'!$AD$4:$AD$40,$BJ43-3)),IF(OR($BI43=1,$BL43=1,$BH43&gt;0),IF($BI43=1,SUM('Final Calculation Sheet'!$AD$4:$AD$40),IF($BL43=1,SUM('Final Calculation Sheet'!$AD$4:$AD$40)-SUMIFS('Final Calculation Sheet'!$AD$4:$AD$40,$AZ$5:$AZ$41,10),SUMIFS('Final Calculation Sheet'!$AD$4:$AD$40,$AZ$5:$AZ$41,$BH43))),""))</f>
        <v>-708</v>
      </c>
      <c r="AF43" s="70" t="str">
        <f>IF($BJ43&gt;0,IF(INDEX('Final Calculation Sheet'!$AE$4:$AE$40,$BJ43-3)="","",INDEX('Final Calculation Sheet'!$AE$4:$AE$40,$BJ43-3)),IF(OR($BI43=1,$BL43=1,$BH43&gt;0),"–",""))</f>
        <v/>
      </c>
      <c r="AG43" s="74" t="str">
        <f>IF($BJ43&gt;0,IF(INDEX('Final Calculation Sheet'!$AF$4:$AF$40,$BJ43-3)="","",INDEX('Final Calculation Sheet'!$AF$4:$AF$40,$BJ43-3)),IF(OR($BI43=1,$BL43=1,$BH43&gt;0),"–",""))</f>
        <v/>
      </c>
      <c r="AH43" s="70" t="str">
        <f>IF($BJ43&gt;0,IF(INDEX('Final Calculation Sheet'!$AG$4:$AG$40,$BJ43-3)="","",INDEX('Final Calculation Sheet'!$AG$4:$AG$40,$BJ43-3)),IF(OR($BI43=1,$BL43=1,$BH43&gt;0),"–",""))</f>
        <v/>
      </c>
      <c r="AI43" s="75" t="str">
        <f>IF($BJ43&gt;0,IF(INDEX('Final Calculation Sheet'!$AD$4:$AD$40,$BJ43-3)="","",IF(INDEX('Final Calculation Sheet'!$AD$4:$AD$40,$BJ43-3)&lt;=0,"SETTLED","OUTSTANDING")),IF(OR($BI43=1,$BL43=1,$BH43&gt;0),IF(IF($BI43=1,SUM('Final Calculation Sheet'!$AD$4:$AD$40),IF($BL43=1,SUM('Final Calculation Sheet'!$AD$4:$AD$40)-SUMIFS('Final Calculation Sheet'!$AD$4:$AD$40,$AZ$5:$AZ$41,10),SUMIFS('Final Calculation Sheet'!$AD$4:$AD$40,$AZ$5:$AZ$41,$BH43)))&lt;=0,"ALL SETTLED","OUTSTANDING"),""))</f>
        <v>SETTLED</v>
      </c>
      <c r="BH43">
        <f>IFERROR(MATCH(43,$BF$4:$BF$13,0),0)</f>
        <v>0</v>
      </c>
      <c r="BI43">
        <f>IF(43=$BG$5,1,0)</f>
        <v>0</v>
      </c>
      <c r="BJ43">
        <f>IF(OR($BH43&gt;0,$BI43=1,$BL43=1),0,IFERROR(INDEX($BC$5:$BC$41,MATCH(43,$BB$5:$BB$41,0)),0))</f>
        <v>39</v>
      </c>
      <c r="BK43">
        <f>IF($BJ43&gt;0,IF(INDEX($AZ$5:$AZ$41,MATCH(43,$BB$5:$BB$41,0))=10,1,0),IF($BH43=10,1,0))</f>
        <v>1</v>
      </c>
      <c r="BL43">
        <f>IF(43=$BG$4,1,0)</f>
        <v>0</v>
      </c>
    </row>
    <row r="44" spans="1:64" ht="15" customHeight="1" x14ac:dyDescent="0.25">
      <c r="A44" s="67">
        <f>IF($BJ44&gt;0,INDEX($BA$5:$BA$41,MATCH(44,$BB$5:$BB$41,0)),IF(OR($BI44=1,$BL44=1,$BH44&gt;0),"∑",""))</f>
        <v>28</v>
      </c>
      <c r="B44" s="68">
        <f>IF($BJ44&gt;0,IF(INDEX('Final Calculation Sheet'!$F$4:$F$40,$BJ44-3)="","",INDEX('Final Calculation Sheet'!$F$4:$F$40,$BJ44-3)),"")</f>
        <v>2091</v>
      </c>
      <c r="C44" s="68" t="str">
        <f>IF($BJ44&gt;0,IF(INDEX('Final Calculation Sheet'!$G$4:$G$40,$BJ44-3)="","",INDEX('Final Calculation Sheet'!$G$4:$G$40,$BJ44-3)),IF(OR($BI44=1,$BL44=1,$BH44&gt;0),IF($BI44=1,37,IF($BL44=1,37-INDEX($BD$4:$BD$13,10),INDEX($BD$4:$BD$13,$BH44)))&amp;" lot(s)",""))</f>
        <v>S M ENTERPRISES</v>
      </c>
      <c r="D44" s="69" t="str">
        <f>IF($BJ44&gt;0,IF(INDEX('Final Calculation Sheet'!$B$4:$B$40,$BJ44-3)="","",INDEX('Final Calculation Sheet'!$B$4:$B$40,$BJ44-3)),IF(OR($BI44=1,$BL44=1,$BH44&gt;0),IF($BI44=1,"GRAND TOTAL  —  matching + remaining",IF($BL44=1,"TOTAL MATCHED  —  every group together",IF($BH44=10,"REMAINING  —  did not match the search",IF($BH44=9,"ALL LOTS  —  nothing typed in the box","GROUP "&amp;$BH44&amp;" TOTAL  —  lots matching  "&amp;INDEX($AR$6:$AY$6,$BH44))))),""))</f>
        <v>Scrap of 132 KV CT</v>
      </c>
      <c r="E44" s="69">
        <f>IF($BJ44&gt;0,IF(INDEX('Final Calculation Sheet'!$D$4:$D$40,$BJ44-3)="","",INDEX('Final Calculation Sheet'!$D$4:$D$40,$BJ44-3)),IF(OR($BI44=1,$BL44=1,$BH44&gt;0),"–",""))</f>
        <v>21980</v>
      </c>
      <c r="F44" s="69">
        <f>IF($BJ44&gt;0,IF(INDEX('Final Calculation Sheet'!$A$4:$A$40,$BJ44-3)="","",INDEX('Final Calculation Sheet'!$A$4:$A$40,$BJ44-3)),IF(OR($BI44=1,$BL44=1,$BH44&gt;0),IF($BI44=1,SUM('Final Calculation Sheet'!$A$4:$A$40),IF($BL44=1,SUM('Final Calculation Sheet'!$A$4:$A$40)-SUMIFS('Final Calculation Sheet'!$A$4:$A$40,$AZ$5:$AZ$41,10),SUMIFS('Final Calculation Sheet'!$A$4:$A$40,$AZ$5:$AZ$41,$BH44))),""))</f>
        <v>3</v>
      </c>
      <c r="G44" s="69" t="str">
        <f>IF($BJ44&gt;0,IF(INDEX('Final Calculation Sheet'!$E$4:$E$40,$BJ44-3)="","",INDEX('Final Calculation Sheet'!$E$4:$E$40,$BJ44-3)),IF(OR($BI44=1,$BL44=1,$BH44&gt;0),"–",""))</f>
        <v>NO</v>
      </c>
      <c r="H44" s="70">
        <f>IF($BJ44&gt;0,IF(INDEX('Final Calculation Sheet'!$C$4:$C$40,$BJ44-3)="","",INDEX('Final Calculation Sheet'!$C$4:$C$40,$BJ44-3)),IF(OR($BI44=1,$BL44=1,$BH44&gt;0),"–",""))</f>
        <v>40003</v>
      </c>
      <c r="I44" s="70">
        <f>IF($BJ44&gt;0,IF(INDEX('Final Calculation Sheet'!$H$4:$H$40,$BJ44-3)="","",INDEX('Final Calculation Sheet'!$H$4:$H$40,$BJ44-3)),IF(OR($BI44=1,$BL44=1,$BH44&gt;0),IF($BI44=1,SUM('Final Calculation Sheet'!$H$4:$H$40),IF($BL44=1,SUM('Final Calculation Sheet'!$H$4:$H$40)-SUMIFS('Final Calculation Sheet'!$H$4:$H$40,$AZ$5:$AZ$41,10),SUMIFS('Final Calculation Sheet'!$H$4:$H$40,$AZ$5:$AZ$41,$BH44))),""))</f>
        <v>120009</v>
      </c>
      <c r="J44" s="70">
        <f>IF($BJ44&gt;0,IF(INDEX('Final Calculation Sheet'!$I$4:$I$40,$BJ44-3)="","",INDEX('Final Calculation Sheet'!$I$4:$I$40,$BJ44-3)),IF(OR($BI44=1,$BL44=1,$BH44&gt;0),IF($BI44=1,SUM('Final Calculation Sheet'!$I$4:$I$40),IF($BL44=1,SUM('Final Calculation Sheet'!$I$4:$I$40)-SUMIFS('Final Calculation Sheet'!$I$4:$I$40,$AZ$5:$AZ$41,10),SUMIFS('Final Calculation Sheet'!$I$4:$I$40,$AZ$5:$AZ$41,$BH44))),""))</f>
        <v>21602</v>
      </c>
      <c r="K44" s="70">
        <f>IF($BJ44&gt;0,IF(INDEX('Final Calculation Sheet'!$J$4:$J$40,$BJ44-3)="","",INDEX('Final Calculation Sheet'!$J$4:$J$40,$BJ44-3)),IF(OR($BI44=1,$BL44=1,$BH44&gt;0),IF($BI44=1,SUM('Final Calculation Sheet'!$J$4:$J$40),IF($BL44=1,SUM('Final Calculation Sheet'!$J$4:$J$40)-SUMIFS('Final Calculation Sheet'!$J$4:$J$40,$AZ$5:$AZ$41,10),SUMIFS('Final Calculation Sheet'!$J$4:$J$40,$AZ$5:$AZ$41,$BH44))),""))</f>
        <v>141611</v>
      </c>
      <c r="L44" s="70">
        <f>IF($BJ44&gt;0,IF(INDEX('Final Calculation Sheet'!$K$4:$K$40,$BJ44-3)="","",INDEX('Final Calculation Sheet'!$K$4:$K$40,$BJ44-3)),IF(OR($BI44=1,$BL44=1,$BH44&gt;0),IF($BI44=1,SUM('Final Calculation Sheet'!$K$4:$K$40),IF($BL44=1,SUM('Final Calculation Sheet'!$K$4:$K$40)-SUMIFS('Final Calculation Sheet'!$K$4:$K$40,$AZ$5:$AZ$41,10),SUMIFS('Final Calculation Sheet'!$K$4:$K$40,$AZ$5:$AZ$41,$BH44))),""))</f>
        <v>2832</v>
      </c>
      <c r="M44" s="70">
        <f>IF($BJ44&gt;0,IF(INDEX('Final Calculation Sheet'!$L$4:$L$40,$BJ44-3)="","",INDEX('Final Calculation Sheet'!$L$4:$L$40,$BJ44-3)),IF(OR($BI44=1,$BL44=1,$BH44&gt;0),IF($BI44=1,SUM('Final Calculation Sheet'!$L$4:$L$40),IF($BL44=1,SUM('Final Calculation Sheet'!$L$4:$L$40)-SUMIFS('Final Calculation Sheet'!$L$4:$L$40,$AZ$5:$AZ$41,10),SUMIFS('Final Calculation Sheet'!$L$4:$L$40,$AZ$5:$AZ$41,$BH44))),""))</f>
        <v>120.009</v>
      </c>
      <c r="N44" s="70">
        <f>IF($BJ44&gt;0,IF(INDEX('Final Calculation Sheet'!$M$4:$M$40,$BJ44-3)="","",INDEX('Final Calculation Sheet'!$M$4:$M$40,$BJ44-3)),IF(OR($BI44=1,$BL44=1,$BH44&gt;0),IF($BI44=1,SUM('Final Calculation Sheet'!$M$4:$M$40),IF($BL44=1,SUM('Final Calculation Sheet'!$M$4:$M$40)-SUMIFS('Final Calculation Sheet'!$M$4:$M$40,$AZ$5:$AZ$41,10),SUMIFS('Final Calculation Sheet'!$M$4:$M$40,$AZ$5:$AZ$41,$BH44))),""))</f>
        <v>3186.2389499999995</v>
      </c>
      <c r="O44" s="71">
        <f>IF($BJ44&gt;0,IF(INDEX('Final Calculation Sheet'!$N$4:$N$40,$BJ44-3)="","",INDEX('Final Calculation Sheet'!$N$4:$N$40,$BJ44-3)),IF(OR($BI44=1,$BL44=1,$BH44&gt;0),IF($BI44=1,SUM('Final Calculation Sheet'!$N$4:$N$40),IF($BL44=1,SUM('Final Calculation Sheet'!$N$4:$N$40)-SUMIFS('Final Calculation Sheet'!$N$4:$N$40,$AZ$5:$AZ$41,10),SUMIFS('Final Calculation Sheet'!$N$4:$N$40,$AZ$5:$AZ$41,$BH44))),""))</f>
        <v>54.004049999999999</v>
      </c>
      <c r="P44" s="70">
        <f>IF($BJ44&gt;0,IF(INDEX('Final Calculation Sheet'!$O$4:$O$40,$BJ44-3)="","",INDEX('Final Calculation Sheet'!$O$4:$O$40,$BJ44-3)),IF(OR($BI44=1,$BL44=1,$BH44&gt;0),IF($BI44=1,SUM('Final Calculation Sheet'!$O$4:$O$40),IF($BL44=1,SUM('Final Calculation Sheet'!$O$4:$O$40)-SUMIFS('Final Calculation Sheet'!$O$4:$O$40,$AZ$5:$AZ$41,10),SUMIFS('Final Calculation Sheet'!$O$4:$O$40,$AZ$5:$AZ$41,$BH44))),""))</f>
        <v>3132.2348999999995</v>
      </c>
      <c r="Q44" s="70">
        <f>IF($BJ44&gt;0,IF(INDEX('Final Calculation Sheet'!$P$4:$P$40,$BJ44-3)="","",INDEX('Final Calculation Sheet'!$P$4:$P$40,$BJ44-3)),IF(OR($BI44=1,$BL44=1,$BH44&gt;0),IF($BI44=1,SUM('Final Calculation Sheet'!$P$4:$P$40),IF($BL44=1,SUM('Final Calculation Sheet'!$P$4:$P$40)-SUMIFS('Final Calculation Sheet'!$P$4:$P$40,$AZ$5:$AZ$41,10),SUMIFS('Final Calculation Sheet'!$P$4:$P$40,$AZ$5:$AZ$41,$BH44))),""))</f>
        <v>3252</v>
      </c>
      <c r="R44" s="72">
        <f>IF($BJ44&gt;0,IF(INDEX('Final Calculation Sheet'!$Q$4:$Q$40,$BJ44-3)="","",INDEX('Final Calculation Sheet'!$Q$4:$Q$40,$BJ44-3)),IF(OR($BI44=1,$BL44=1,$BH44&gt;0),"–",""))</f>
        <v>0</v>
      </c>
      <c r="S44" s="70">
        <f>IF($BJ44&gt;0,IF(INDEX('Final Calculation Sheet'!$R$4:$R$40,$BJ44-3)="","",INDEX('Final Calculation Sheet'!$R$4:$R$40,$BJ44-3)),IF(OR($BI44=1,$BL44=1,$BH44&gt;0),IF($BI44=1,SUM('Final Calculation Sheet'!$R$4:$R$40),IF($BL44=1,SUM('Final Calculation Sheet'!$R$4:$R$40)-SUMIFS('Final Calculation Sheet'!$R$4:$R$40,$AZ$5:$AZ$41,10),SUMIFS('Final Calculation Sheet'!$R$4:$R$40,$AZ$5:$AZ$41,$BH44))),""))</f>
        <v>0</v>
      </c>
      <c r="T44" s="70">
        <f>IF($BJ44&gt;0,IF(INDEX('Final Calculation Sheet'!$S$4:$S$40,$BJ44-3)="","",INDEX('Final Calculation Sheet'!$S$4:$S$40,$BJ44-3)),IF(OR($BI44=1,$BL44=1,$BH44&gt;0),IF($BI44=1,SUM('Final Calculation Sheet'!$S$4:$S$40),IF($BL44=1,SUM('Final Calculation Sheet'!$S$4:$S$40)-SUMIFS('Final Calculation Sheet'!$S$4:$S$40,$AZ$5:$AZ$41,10),SUMIFS('Final Calculation Sheet'!$S$4:$S$40,$AZ$5:$AZ$41,$BH44))),""))</f>
        <v>141191</v>
      </c>
      <c r="U44" s="70">
        <f>IF($BJ44&gt;0,IF(INDEX('Final Calculation Sheet'!$T$4:$T$40,$BJ44-3)="","",INDEX('Final Calculation Sheet'!$T$4:$T$40,$BJ44-3)),IF(OR($BI44=1,$BL44=1,$BH44&gt;0),IF($BI44=1,SUM('Final Calculation Sheet'!$T$4:$T$40),IF($BL44=1,SUM('Final Calculation Sheet'!$T$4:$T$40)-SUMIFS('Final Calculation Sheet'!$T$4:$T$40,$AZ$5:$AZ$41,10),SUMIFS('Final Calculation Sheet'!$T$4:$T$40,$AZ$5:$AZ$41,$BH44))),""))</f>
        <v>30002</v>
      </c>
      <c r="V44" s="73">
        <f>IF($BJ44&gt;0,IF(INDEX('Final Calculation Sheet'!$U$4:$U$40,$BJ44-3)="","",INDEX('Final Calculation Sheet'!$U$4:$U$40,$BJ44-3)),IF(OR($BI44=1,$BL44=1,$BH44&gt;0),IF($BI44=1,SUM('Final Calculation Sheet'!$U$4:$U$40),IF($BL44=1,SUM('Final Calculation Sheet'!$U$4:$U$40)-SUMIFS('Final Calculation Sheet'!$U$4:$U$40,$AZ$5:$AZ$41,10),SUMIFS('Final Calculation Sheet'!$U$4:$U$40,$AZ$5:$AZ$41,$BH44))),""))</f>
        <v>30002</v>
      </c>
      <c r="W44" s="70" t="str">
        <f>IF($BJ44&gt;0,IF(INDEX('Final Calculation Sheet'!$V$4:$V$40,$BJ44-3)="","",INDEX('Final Calculation Sheet'!$V$4:$V$40,$BJ44-3)),IF(OR($BI44=1,$BL44=1,$BH44&gt;0),"–",""))</f>
        <v>14.08.2026</v>
      </c>
      <c r="X44" s="70">
        <f>IF($BJ44&gt;0,IF(INDEX('Final Calculation Sheet'!$W$4:$W$40,$BJ44-3)="","",INDEX('Final Calculation Sheet'!$W$4:$W$40,$BJ44-3)),IF(OR($BI44=1,$BL44=1,$BH44&gt;0),IF($BI44=1,SUM('Final Calculation Sheet'!$W$4:$W$40),IF($BL44=1,SUM('Final Calculation Sheet'!$W$4:$W$40)-SUMIFS('Final Calculation Sheet'!$W$4:$W$40,$AZ$5:$AZ$41,10),SUMIFS('Final Calculation Sheet'!$W$4:$W$40,$AZ$5:$AZ$41,$BH44))),""))</f>
        <v>111188</v>
      </c>
      <c r="Y44" s="70">
        <f>IF($BJ44&gt;0,IF(INDEX('Final Calculation Sheet'!$X$4:$X$40,$BJ44-3)="","",INDEX('Final Calculation Sheet'!$X$4:$X$40,$BJ44-3)),IF(OR($BI44=1,$BL44=1,$BH44&gt;0),IF($BI44=1,SUM('Final Calculation Sheet'!$X$4:$X$40),IF($BL44=1,SUM('Final Calculation Sheet'!$X$4:$X$40)-SUMIFS('Final Calculation Sheet'!$X$4:$X$40,$AZ$5:$AZ$41,10),SUMIFS('Final Calculation Sheet'!$X$4:$X$40,$AZ$5:$AZ$41,$BH44))),""))</f>
        <v>111189</v>
      </c>
      <c r="Z44" s="70" t="str">
        <f>IF($BJ44&gt;0,IF(INDEX('Final Calculation Sheet'!$Y$4:$Y$40,$BJ44-3)="","",INDEX('Final Calculation Sheet'!$Y$4:$Y$40,$BJ44-3)),IF(OR($BI44=1,$BL44=1,$BH44&gt;0),"–",""))</f>
        <v>01.09.2026</v>
      </c>
      <c r="AA44" s="70">
        <f ca="1">IF($BJ44&gt;0,IF(INDEX('Final Calculation Sheet'!$Z$4:$Z$40,$BJ44-3)="","",INDEX('Final Calculation Sheet'!$Z$4:$Z$40,$BJ44-3)),IF(OR($BI44=1,$BL44=1,$BH44&gt;0),IF($BI44=1,SUM('Final Calculation Sheet'!$Z$4:$Z$40),IF($BL44=1,SUM('Final Calculation Sheet'!$Z$4:$Z$40)-SUMIFS('Final Calculation Sheet'!$Z$4:$Z$40,$AZ$5:$AZ$41,10),SUMIFS('Final Calculation Sheet'!$Z$4:$Z$40,$AZ$5:$AZ$41,$BH44))),""))</f>
        <v>2832.2123999999999</v>
      </c>
      <c r="AB44" s="70">
        <f>IF($BJ44&gt;0,IF(INDEX('Final Calculation Sheet'!$AA$4:$AA$40,$BJ44-3)="","",INDEX('Final Calculation Sheet'!$AA$4:$AA$40,$BJ44-3)),IF(OR($BI44=1,$BL44=1,$BH44&gt;0),IF($BI44=1,SUM('Final Calculation Sheet'!$AA$4:$AA$40),IF($BL44=1,SUM('Final Calculation Sheet'!$AA$4:$AA$40)-SUMIFS('Final Calculation Sheet'!$AA$4:$AA$40,$AZ$5:$AZ$41,10),SUMIFS('Final Calculation Sheet'!$AA$4:$AA$40,$AZ$5:$AZ$41,$BH44))),""))</f>
        <v>2832</v>
      </c>
      <c r="AC44" s="70" t="str">
        <f>IF($BJ44&gt;0,IF(INDEX('Final Calculation Sheet'!$AB$4:$AB$40,$BJ44-3)="","",INDEX('Final Calculation Sheet'!$AB$4:$AB$40,$BJ44-3)),IF(OR($BI44=1,$BL44=1,$BH44&gt;0),"–",""))</f>
        <v>01.09.2026</v>
      </c>
      <c r="AD44" s="70">
        <f>IF($BJ44&gt;0,IF(INDEX('Final Calculation Sheet'!$AC$4:$AC$40,$BJ44-3)="","",INDEX('Final Calculation Sheet'!$AC$4:$AC$40,$BJ44-3)),IF(OR($BI44=1,$BL44=1,$BH44&gt;0),IF($BI44=1,SUM('Final Calculation Sheet'!$AC$4:$AC$40),IF($BL44=1,SUM('Final Calculation Sheet'!$AC$4:$AC$40)-SUMIFS('Final Calculation Sheet'!$AC$4:$AC$40,$AZ$5:$AZ$41,10),SUMIFS('Final Calculation Sheet'!$AC$4:$AC$40,$AZ$5:$AZ$41,$BH44))),""))</f>
        <v>144023</v>
      </c>
      <c r="AE44" s="70">
        <f>IF($BJ44&gt;0,IF(INDEX('Final Calculation Sheet'!$AD$4:$AD$40,$BJ44-3)="","",INDEX('Final Calculation Sheet'!$AD$4:$AD$40,$BJ44-3)),IF(OR($BI44=1,$BL44=1,$BH44&gt;0),IF($BI44=1,SUM('Final Calculation Sheet'!$AD$4:$AD$40),IF($BL44=1,SUM('Final Calculation Sheet'!$AD$4:$AD$40)-SUMIFS('Final Calculation Sheet'!$AD$4:$AD$40,$AZ$5:$AZ$41,10),SUMIFS('Final Calculation Sheet'!$AD$4:$AD$40,$AZ$5:$AZ$41,$BH44))),""))</f>
        <v>-2832</v>
      </c>
      <c r="AF44" s="70" t="str">
        <f>IF($BJ44&gt;0,IF(INDEX('Final Calculation Sheet'!$AE$4:$AE$40,$BJ44-3)="","",INDEX('Final Calculation Sheet'!$AE$4:$AE$40,$BJ44-3)),IF(OR($BI44=1,$BL44=1,$BH44&gt;0),"–",""))</f>
        <v/>
      </c>
      <c r="AG44" s="74" t="str">
        <f>IF($BJ44&gt;0,IF(INDEX('Final Calculation Sheet'!$AF$4:$AF$40,$BJ44-3)="","",INDEX('Final Calculation Sheet'!$AF$4:$AF$40,$BJ44-3)),IF(OR($BI44=1,$BL44=1,$BH44&gt;0),"–",""))</f>
        <v/>
      </c>
      <c r="AH44" s="70" t="str">
        <f>IF($BJ44&gt;0,IF(INDEX('Final Calculation Sheet'!$AG$4:$AG$40,$BJ44-3)="","",INDEX('Final Calculation Sheet'!$AG$4:$AG$40,$BJ44-3)),IF(OR($BI44=1,$BL44=1,$BH44&gt;0),"–",""))</f>
        <v/>
      </c>
      <c r="AI44" s="75" t="str">
        <f>IF($BJ44&gt;0,IF(INDEX('Final Calculation Sheet'!$AD$4:$AD$40,$BJ44-3)="","",IF(INDEX('Final Calculation Sheet'!$AD$4:$AD$40,$BJ44-3)&lt;=0,"SETTLED","OUTSTANDING")),IF(OR($BI44=1,$BL44=1,$BH44&gt;0),IF(IF($BI44=1,SUM('Final Calculation Sheet'!$AD$4:$AD$40),IF($BL44=1,SUM('Final Calculation Sheet'!$AD$4:$AD$40)-SUMIFS('Final Calculation Sheet'!$AD$4:$AD$40,$AZ$5:$AZ$41,10),SUMIFS('Final Calculation Sheet'!$AD$4:$AD$40,$AZ$5:$AZ$41,$BH44)))&lt;=0,"ALL SETTLED","OUTSTANDING"),""))</f>
        <v>SETTLED</v>
      </c>
      <c r="BH44">
        <f>IFERROR(MATCH(44,$BF$4:$BF$13,0),0)</f>
        <v>0</v>
      </c>
      <c r="BI44">
        <f>IF(44=$BG$5,1,0)</f>
        <v>0</v>
      </c>
      <c r="BJ44">
        <f>IF(OR($BH44&gt;0,$BI44=1,$BL44=1),0,IFERROR(INDEX($BC$5:$BC$41,MATCH(44,$BB$5:$BB$41,0)),0))</f>
        <v>40</v>
      </c>
      <c r="BK44">
        <f>IF($BJ44&gt;0,IF(INDEX($AZ$5:$AZ$41,MATCH(44,$BB$5:$BB$41,0))=10,1,0),IF($BH44=10,1,0))</f>
        <v>1</v>
      </c>
      <c r="BL44">
        <f>IF(44=$BG$4,1,0)</f>
        <v>0</v>
      </c>
    </row>
    <row r="45" spans="1:64" ht="15" customHeight="1" x14ac:dyDescent="0.25">
      <c r="A45" s="67" t="str">
        <f>IF($BJ45&gt;0,INDEX($BA$5:$BA$41,MATCH(45,$BB$5:$BB$41,0)),IF(OR($BI45=1,$BL45=1,$BH45&gt;0),"∑",""))</f>
        <v>∑</v>
      </c>
      <c r="B45" s="68" t="str">
        <f>IF($BJ45&gt;0,IF(INDEX('Final Calculation Sheet'!$F$4:$F$40,$BJ45-3)="","",INDEX('Final Calculation Sheet'!$F$4:$F$40,$BJ45-3)),"")</f>
        <v/>
      </c>
      <c r="C45" s="68" t="str">
        <f>IF($BJ45&gt;0,IF(INDEX('Final Calculation Sheet'!$G$4:$G$40,$BJ45-3)="","",INDEX('Final Calculation Sheet'!$G$4:$G$40,$BJ45-3)),IF(OR($BI45=1,$BL45=1,$BH45&gt;0),IF($BI45=1,37,IF($BL45=1,37-INDEX($BD$4:$BD$13,10),INDEX($BD$4:$BD$13,$BH45)))&amp;" lot(s)",""))</f>
        <v>28 lot(s)</v>
      </c>
      <c r="D45" s="69" t="str">
        <f>IF($BJ45&gt;0,IF(INDEX('Final Calculation Sheet'!$B$4:$B$40,$BJ45-3)="","",INDEX('Final Calculation Sheet'!$B$4:$B$40,$BJ45-3)),IF(OR($BI45=1,$BL45=1,$BH45&gt;0),IF($BI45=1,"GRAND TOTAL  —  matching + remaining",IF($BL45=1,"TOTAL MATCHED  —  every group together",IF($BH45=10,"REMAINING  —  did not match the search",IF($BH45=9,"ALL LOTS  —  nothing typed in the box","GROUP "&amp;$BH45&amp;" TOTAL  —  lots matching  "&amp;INDEX($AR$6:$AY$6,$BH45))))),""))</f>
        <v>REMAINING  —  did not match the search</v>
      </c>
      <c r="E45" s="69" t="str">
        <f>IF($BJ45&gt;0,IF(INDEX('Final Calculation Sheet'!$D$4:$D$40,$BJ45-3)="","",INDEX('Final Calculation Sheet'!$D$4:$D$40,$BJ45-3)),IF(OR($BI45=1,$BL45=1,$BH45&gt;0),"–",""))</f>
        <v>–</v>
      </c>
      <c r="F45" s="69">
        <f>IF($BJ45&gt;0,IF(INDEX('Final Calculation Sheet'!$A$4:$A$40,$BJ45-3)="","",INDEX('Final Calculation Sheet'!$A$4:$A$40,$BJ45-3)),IF(OR($BI45=1,$BL45=1,$BH45&gt;0),IF($BI45=1,SUM('Final Calculation Sheet'!$A$4:$A$40),IF($BL45=1,SUM('Final Calculation Sheet'!$A$4:$A$40)-SUMIFS('Final Calculation Sheet'!$A$4:$A$40,$AZ$5:$AZ$41,10),SUMIFS('Final Calculation Sheet'!$A$4:$A$40,$AZ$5:$AZ$41,$BH45))),""))</f>
        <v>15420.2</v>
      </c>
      <c r="G45" s="69" t="str">
        <f>IF($BJ45&gt;0,IF(INDEX('Final Calculation Sheet'!$E$4:$E$40,$BJ45-3)="","",INDEX('Final Calculation Sheet'!$E$4:$E$40,$BJ45-3)),IF(OR($BI45=1,$BL45=1,$BH45&gt;0),"–",""))</f>
        <v>–</v>
      </c>
      <c r="H45" s="70" t="str">
        <f>IF($BJ45&gt;0,IF(INDEX('Final Calculation Sheet'!$C$4:$C$40,$BJ45-3)="","",INDEX('Final Calculation Sheet'!$C$4:$C$40,$BJ45-3)),IF(OR($BI45=1,$BL45=1,$BH45&gt;0),"–",""))</f>
        <v>–</v>
      </c>
      <c r="I45" s="70">
        <f>IF($BJ45&gt;0,IF(INDEX('Final Calculation Sheet'!$H$4:$H$40,$BJ45-3)="","",INDEX('Final Calculation Sheet'!$H$4:$H$40,$BJ45-3)),IF(OR($BI45=1,$BL45=1,$BH45&gt;0),IF($BI45=1,SUM('Final Calculation Sheet'!$H$4:$H$40),IF($BL45=1,SUM('Final Calculation Sheet'!$H$4:$H$40)-SUMIFS('Final Calculation Sheet'!$H$4:$H$40,$AZ$5:$AZ$41,10),SUMIFS('Final Calculation Sheet'!$H$4:$H$40,$AZ$5:$AZ$41,$BH45))),""))</f>
        <v>14156838</v>
      </c>
      <c r="J45" s="70">
        <f>IF($BJ45&gt;0,IF(INDEX('Final Calculation Sheet'!$I$4:$I$40,$BJ45-3)="","",INDEX('Final Calculation Sheet'!$I$4:$I$40,$BJ45-3)),IF(OR($BI45=1,$BL45=1,$BH45&gt;0),IF($BI45=1,SUM('Final Calculation Sheet'!$I$4:$I$40),IF($BL45=1,SUM('Final Calculation Sheet'!$I$4:$I$40)-SUMIFS('Final Calculation Sheet'!$I$4:$I$40,$AZ$5:$AZ$41,10),SUMIFS('Final Calculation Sheet'!$I$4:$I$40,$AZ$5:$AZ$41,$BH45))),""))</f>
        <v>2548231</v>
      </c>
      <c r="K45" s="70">
        <f>IF($BJ45&gt;0,IF(INDEX('Final Calculation Sheet'!$J$4:$J$40,$BJ45-3)="","",INDEX('Final Calculation Sheet'!$J$4:$J$40,$BJ45-3)),IF(OR($BI45=1,$BL45=1,$BH45&gt;0),IF($BI45=1,SUM('Final Calculation Sheet'!$J$4:$J$40),IF($BL45=1,SUM('Final Calculation Sheet'!$J$4:$J$40)-SUMIFS('Final Calculation Sheet'!$J$4:$J$40,$AZ$5:$AZ$41,10),SUMIFS('Final Calculation Sheet'!$J$4:$J$40,$AZ$5:$AZ$41,$BH45))),""))</f>
        <v>16705069</v>
      </c>
      <c r="L45" s="70">
        <f>IF($BJ45&gt;0,IF(INDEX('Final Calculation Sheet'!$K$4:$K$40,$BJ45-3)="","",INDEX('Final Calculation Sheet'!$K$4:$K$40,$BJ45-3)),IF(OR($BI45=1,$BL45=1,$BH45&gt;0),IF($BI45=1,SUM('Final Calculation Sheet'!$K$4:$K$40),IF($BL45=1,SUM('Final Calculation Sheet'!$K$4:$K$40)-SUMIFS('Final Calculation Sheet'!$K$4:$K$40,$AZ$5:$AZ$41,10),SUMIFS('Final Calculation Sheet'!$K$4:$K$40,$AZ$5:$AZ$41,$BH45))),""))</f>
        <v>334101</v>
      </c>
      <c r="M45" s="70">
        <f>IF($BJ45&gt;0,IF(INDEX('Final Calculation Sheet'!$L$4:$L$40,$BJ45-3)="","",INDEX('Final Calculation Sheet'!$L$4:$L$40,$BJ45-3)),IF(OR($BI45=1,$BL45=1,$BH45&gt;0),IF($BI45=1,SUM('Final Calculation Sheet'!$L$4:$L$40),IF($BL45=1,SUM('Final Calculation Sheet'!$L$4:$L$40)-SUMIFS('Final Calculation Sheet'!$L$4:$L$40,$AZ$5:$AZ$41,10),SUMIFS('Final Calculation Sheet'!$L$4:$L$40,$AZ$5:$AZ$41,$BH45))),""))</f>
        <v>14156.838000000003</v>
      </c>
      <c r="N45" s="70">
        <f>IF($BJ45&gt;0,IF(INDEX('Final Calculation Sheet'!$M$4:$M$40,$BJ45-3)="","",INDEX('Final Calculation Sheet'!$M$4:$M$40,$BJ45-3)),IF(OR($BI45=1,$BL45=1,$BH45&gt;0),IF($BI45=1,SUM('Final Calculation Sheet'!$M$4:$M$40),IF($BL45=1,SUM('Final Calculation Sheet'!$M$4:$M$40)-SUMIFS('Final Calculation Sheet'!$M$4:$M$40,$AZ$5:$AZ$41,10),SUMIFS('Final Calculation Sheet'!$M$4:$M$40,$AZ$5:$AZ$41,$BH45))),""))</f>
        <v>375864.04889999994</v>
      </c>
      <c r="O45" s="71">
        <f>IF($BJ45&gt;0,IF(INDEX('Final Calculation Sheet'!$N$4:$N$40,$BJ45-3)="","",INDEX('Final Calculation Sheet'!$N$4:$N$40,$BJ45-3)),IF(OR($BI45=1,$BL45=1,$BH45&gt;0),IF($BI45=1,SUM('Final Calculation Sheet'!$N$4:$N$40),IF($BL45=1,SUM('Final Calculation Sheet'!$N$4:$N$40)-SUMIFS('Final Calculation Sheet'!$N$4:$N$40,$AZ$5:$AZ$41,10),SUMIFS('Final Calculation Sheet'!$N$4:$N$40,$AZ$5:$AZ$41,$BH45))),""))</f>
        <v>6370.5770999999986</v>
      </c>
      <c r="P45" s="70">
        <f>IF($BJ45&gt;0,IF(INDEX('Final Calculation Sheet'!$O$4:$O$40,$BJ45-3)="","",INDEX('Final Calculation Sheet'!$O$4:$O$40,$BJ45-3)),IF(OR($BI45=1,$BL45=1,$BH45&gt;0),IF($BI45=1,SUM('Final Calculation Sheet'!$O$4:$O$40),IF($BL45=1,SUM('Final Calculation Sheet'!$O$4:$O$40)-SUMIFS('Final Calculation Sheet'!$O$4:$O$40,$AZ$5:$AZ$41,10),SUMIFS('Final Calculation Sheet'!$O$4:$O$40,$AZ$5:$AZ$41,$BH45))),""))</f>
        <v>369493.47179999988</v>
      </c>
      <c r="Q45" s="70">
        <f>IF($BJ45&gt;0,IF(INDEX('Final Calculation Sheet'!$P$4:$P$40,$BJ45-3)="","",INDEX('Final Calculation Sheet'!$P$4:$P$40,$BJ45-3)),IF(OR($BI45=1,$BL45=1,$BH45&gt;0),IF($BI45=1,SUM('Final Calculation Sheet'!$P$4:$P$40),IF($BL45=1,SUM('Final Calculation Sheet'!$P$4:$P$40)-SUMIFS('Final Calculation Sheet'!$P$4:$P$40,$AZ$5:$AZ$41,10),SUMIFS('Final Calculation Sheet'!$P$4:$P$40,$AZ$5:$AZ$41,$BH45))),""))</f>
        <v>383650</v>
      </c>
      <c r="R45" s="72" t="str">
        <f>IF($BJ45&gt;0,IF(INDEX('Final Calculation Sheet'!$Q$4:$Q$40,$BJ45-3)="","",INDEX('Final Calculation Sheet'!$Q$4:$Q$40,$BJ45-3)),IF(OR($BI45=1,$BL45=1,$BH45&gt;0),"–",""))</f>
        <v>–</v>
      </c>
      <c r="S45" s="70">
        <f>IF($BJ45&gt;0,IF(INDEX('Final Calculation Sheet'!$R$4:$R$40,$BJ45-3)="","",INDEX('Final Calculation Sheet'!$R$4:$R$40,$BJ45-3)),IF(OR($BI45=1,$BL45=1,$BH45&gt;0),IF($BI45=1,SUM('Final Calculation Sheet'!$R$4:$R$40),IF($BL45=1,SUM('Final Calculation Sheet'!$R$4:$R$40)-SUMIFS('Final Calculation Sheet'!$R$4:$R$40,$AZ$5:$AZ$41,10),SUMIFS('Final Calculation Sheet'!$R$4:$R$40,$AZ$5:$AZ$41,$BH45))),""))</f>
        <v>83029</v>
      </c>
      <c r="T45" s="70">
        <f>IF($BJ45&gt;0,IF(INDEX('Final Calculation Sheet'!$S$4:$S$40,$BJ45-3)="","",INDEX('Final Calculation Sheet'!$S$4:$S$40,$BJ45-3)),IF(OR($BI45=1,$BL45=1,$BH45&gt;0),IF($BI45=1,SUM('Final Calculation Sheet'!$S$4:$S$40),IF($BL45=1,SUM('Final Calculation Sheet'!$S$4:$S$40)-SUMIFS('Final Calculation Sheet'!$S$4:$S$40,$AZ$5:$AZ$41,10),SUMIFS('Final Calculation Sheet'!$S$4:$S$40,$AZ$5:$AZ$41,$BH45))),""))</f>
        <v>16572493</v>
      </c>
      <c r="U45" s="70">
        <f>IF($BJ45&gt;0,IF(INDEX('Final Calculation Sheet'!$T$4:$T$40,$BJ45-3)="","",INDEX('Final Calculation Sheet'!$T$4:$T$40,$BJ45-3)),IF(OR($BI45=1,$BL45=1,$BH45&gt;0),IF($BI45=1,SUM('Final Calculation Sheet'!$T$4:$T$40),IF($BL45=1,SUM('Final Calculation Sheet'!$T$4:$T$40)-SUMIFS('Final Calculation Sheet'!$T$4:$T$40,$AZ$5:$AZ$41,10),SUMIFS('Final Calculation Sheet'!$T$4:$T$40,$AZ$5:$AZ$41,$BH45))),""))</f>
        <v>3539213</v>
      </c>
      <c r="V45" s="73">
        <f>IF($BJ45&gt;0,IF(INDEX('Final Calculation Sheet'!$U$4:$U$40,$BJ45-3)="","",INDEX('Final Calculation Sheet'!$U$4:$U$40,$BJ45-3)),IF(OR($BI45=1,$BL45=1,$BH45&gt;0),IF($BI45=1,SUM('Final Calculation Sheet'!$U$4:$U$40),IF($BL45=1,SUM('Final Calculation Sheet'!$U$4:$U$40)-SUMIFS('Final Calculation Sheet'!$U$4:$U$40,$AZ$5:$AZ$41,10),SUMIFS('Final Calculation Sheet'!$U$4:$U$40,$AZ$5:$AZ$41,$BH45))),""))</f>
        <v>3539213</v>
      </c>
      <c r="W45" s="70" t="str">
        <f>IF($BJ45&gt;0,IF(INDEX('Final Calculation Sheet'!$V$4:$V$40,$BJ45-3)="","",INDEX('Final Calculation Sheet'!$V$4:$V$40,$BJ45-3)),IF(OR($BI45=1,$BL45=1,$BH45&gt;0),"–",""))</f>
        <v>–</v>
      </c>
      <c r="X45" s="70">
        <f>IF($BJ45&gt;0,IF(INDEX('Final Calculation Sheet'!$W$4:$W$40,$BJ45-3)="","",INDEX('Final Calculation Sheet'!$W$4:$W$40,$BJ45-3)),IF(OR($BI45=1,$BL45=1,$BH45&gt;0),IF($BI45=1,SUM('Final Calculation Sheet'!$W$4:$W$40),IF($BL45=1,SUM('Final Calculation Sheet'!$W$4:$W$40)-SUMIFS('Final Calculation Sheet'!$W$4:$W$40,$AZ$5:$AZ$41,10),SUMIFS('Final Calculation Sheet'!$W$4:$W$40,$AZ$5:$AZ$41,$BH45))),""))</f>
        <v>13033282</v>
      </c>
      <c r="Y45" s="70">
        <f>IF($BJ45&gt;0,IF(INDEX('Final Calculation Sheet'!$X$4:$X$40,$BJ45-3)="","",INDEX('Final Calculation Sheet'!$X$4:$X$40,$BJ45-3)),IF(OR($BI45=1,$BL45=1,$BH45&gt;0),IF($BI45=1,SUM('Final Calculation Sheet'!$X$4:$X$40),IF($BL45=1,SUM('Final Calculation Sheet'!$X$4:$X$40)-SUMIFS('Final Calculation Sheet'!$X$4:$X$40,$AZ$5:$AZ$41,10),SUMIFS('Final Calculation Sheet'!$X$4:$X$40,$AZ$5:$AZ$41,$BH45))),""))</f>
        <v>12235057</v>
      </c>
      <c r="Z45" s="70" t="str">
        <f>IF($BJ45&gt;0,IF(INDEX('Final Calculation Sheet'!$Y$4:$Y$40,$BJ45-3)="","",INDEX('Final Calculation Sheet'!$Y$4:$Y$40,$BJ45-3)),IF(OR($BI45=1,$BL45=1,$BH45&gt;0),"–",""))</f>
        <v>–</v>
      </c>
      <c r="AA45" s="70">
        <f ca="1">IF($BJ45&gt;0,IF(INDEX('Final Calculation Sheet'!$Z$4:$Z$40,$BJ45-3)="","",INDEX('Final Calculation Sheet'!$Z$4:$Z$40,$BJ45-3)),IF(OR($BI45=1,$BL45=1,$BH45&gt;0),IF($BI45=1,SUM('Final Calculation Sheet'!$Z$4:$Z$40),IF($BL45=1,SUM('Final Calculation Sheet'!$Z$4:$Z$40)-SUMIFS('Final Calculation Sheet'!$Z$4:$Z$40,$AZ$5:$AZ$41,10),SUMIFS('Final Calculation Sheet'!$Z$4:$Z$40,$AZ$5:$AZ$41,$BH45))),""))</f>
        <v>34459.067999999999</v>
      </c>
      <c r="AB45" s="70">
        <f>IF($BJ45&gt;0,IF(INDEX('Final Calculation Sheet'!$AA$4:$AA$40,$BJ45-3)="","",INDEX('Final Calculation Sheet'!$AA$4:$AA$40,$BJ45-3)),IF(OR($BI45=1,$BL45=1,$BH45&gt;0),IF($BI45=1,SUM('Final Calculation Sheet'!$AA$4:$AA$40),IF($BL45=1,SUM('Final Calculation Sheet'!$AA$4:$AA$40)-SUMIFS('Final Calculation Sheet'!$AA$4:$AA$40,$AZ$5:$AZ$41,10),SUMIFS('Final Calculation Sheet'!$AA$4:$AA$40,$AZ$5:$AZ$41,$BH45))),""))</f>
        <v>3540</v>
      </c>
      <c r="AC45" s="70" t="str">
        <f>IF($BJ45&gt;0,IF(INDEX('Final Calculation Sheet'!$AB$4:$AB$40,$BJ45-3)="","",INDEX('Final Calculation Sheet'!$AB$4:$AB$40,$BJ45-3)),IF(OR($BI45=1,$BL45=1,$BH45&gt;0),"–",""))</f>
        <v>–</v>
      </c>
      <c r="AD45" s="70">
        <f>IF($BJ45&gt;0,IF(INDEX('Final Calculation Sheet'!$AC$4:$AC$40,$BJ45-3)="","",INDEX('Final Calculation Sheet'!$AC$4:$AC$40,$BJ45-3)),IF(OR($BI45=1,$BL45=1,$BH45&gt;0),IF($BI45=1,SUM('Final Calculation Sheet'!$AC$4:$AC$40),IF($BL45=1,SUM('Final Calculation Sheet'!$AC$4:$AC$40)-SUMIFS('Final Calculation Sheet'!$AC$4:$AC$40,$AZ$5:$AZ$41,10),SUMIFS('Final Calculation Sheet'!$AC$4:$AC$40,$AZ$5:$AZ$41,$BH45))),""))</f>
        <v>15777810</v>
      </c>
      <c r="AE45" s="70">
        <f>IF($BJ45&gt;0,IF(INDEX('Final Calculation Sheet'!$AD$4:$AD$40,$BJ45-3)="","",INDEX('Final Calculation Sheet'!$AD$4:$AD$40,$BJ45-3)),IF(OR($BI45=1,$BL45=1,$BH45&gt;0),IF($BI45=1,SUM('Final Calculation Sheet'!$AD$4:$AD$40),IF($BL45=1,SUM('Final Calculation Sheet'!$AD$4:$AD$40)-SUMIFS('Final Calculation Sheet'!$AD$4:$AD$40,$AZ$5:$AZ$41,10),SUMIFS('Final Calculation Sheet'!$AD$4:$AD$40,$AZ$5:$AZ$41,$BH45))),""))</f>
        <v>794683.00000000047</v>
      </c>
      <c r="AF45" s="70" t="str">
        <f>IF($BJ45&gt;0,IF(INDEX('Final Calculation Sheet'!$AE$4:$AE$40,$BJ45-3)="","",INDEX('Final Calculation Sheet'!$AE$4:$AE$40,$BJ45-3)),IF(OR($BI45=1,$BL45=1,$BH45&gt;0),"–",""))</f>
        <v>–</v>
      </c>
      <c r="AG45" s="74" t="str">
        <f>IF($BJ45&gt;0,IF(INDEX('Final Calculation Sheet'!$AF$4:$AF$40,$BJ45-3)="","",INDEX('Final Calculation Sheet'!$AF$4:$AF$40,$BJ45-3)),IF(OR($BI45=1,$BL45=1,$BH45&gt;0),"–",""))</f>
        <v>–</v>
      </c>
      <c r="AH45" s="70" t="str">
        <f>IF($BJ45&gt;0,IF(INDEX('Final Calculation Sheet'!$AG$4:$AG$40,$BJ45-3)="","",INDEX('Final Calculation Sheet'!$AG$4:$AG$40,$BJ45-3)),IF(OR($BI45=1,$BL45=1,$BH45&gt;0),"–",""))</f>
        <v>–</v>
      </c>
      <c r="AI45" s="75" t="str">
        <f>IF($BJ45&gt;0,IF(INDEX('Final Calculation Sheet'!$AD$4:$AD$40,$BJ45-3)="","",IF(INDEX('Final Calculation Sheet'!$AD$4:$AD$40,$BJ45-3)&lt;=0,"SETTLED","OUTSTANDING")),IF(OR($BI45=1,$BL45=1,$BH45&gt;0),IF(IF($BI45=1,SUM('Final Calculation Sheet'!$AD$4:$AD$40),IF($BL45=1,SUM('Final Calculation Sheet'!$AD$4:$AD$40)-SUMIFS('Final Calculation Sheet'!$AD$4:$AD$40,$AZ$5:$AZ$41,10),SUMIFS('Final Calculation Sheet'!$AD$4:$AD$40,$AZ$5:$AZ$41,$BH45)))&lt;=0,"ALL SETTLED","OUTSTANDING"),""))</f>
        <v>OUTSTANDING</v>
      </c>
      <c r="BH45">
        <f>IFERROR(MATCH(45,$BF$4:$BF$13,0),0)</f>
        <v>10</v>
      </c>
      <c r="BI45">
        <f>IF(45=$BG$5,1,0)</f>
        <v>0</v>
      </c>
      <c r="BJ45">
        <f>IF(OR($BH45&gt;0,$BI45=1,$BL45=1),0,IFERROR(INDEX($BC$5:$BC$41,MATCH(45,$BB$5:$BB$41,0)),0))</f>
        <v>0</v>
      </c>
      <c r="BK45">
        <f>IF($BJ45&gt;0,IF(INDEX($AZ$5:$AZ$41,MATCH(45,$BB$5:$BB$41,0))=10,1,0),IF($BH45=10,1,0))</f>
        <v>1</v>
      </c>
      <c r="BL45">
        <f>IF(45=$BG$4,1,0)</f>
        <v>0</v>
      </c>
    </row>
    <row r="46" spans="1:64" ht="15" customHeight="1" x14ac:dyDescent="0.25">
      <c r="A46" s="67" t="str">
        <f>IF($BJ46&gt;0,INDEX($BA$5:$BA$41,MATCH(46,$BB$5:$BB$41,0)),IF(OR($BI46=1,$BL46=1,$BH46&gt;0),"∑",""))</f>
        <v>∑</v>
      </c>
      <c r="B46" s="68" t="str">
        <f>IF($BJ46&gt;0,IF(INDEX('Final Calculation Sheet'!$F$4:$F$40,$BJ46-3)="","",INDEX('Final Calculation Sheet'!$F$4:$F$40,$BJ46-3)),"")</f>
        <v/>
      </c>
      <c r="C46" s="68" t="str">
        <f>IF($BJ46&gt;0,IF(INDEX('Final Calculation Sheet'!$G$4:$G$40,$BJ46-3)="","",INDEX('Final Calculation Sheet'!$G$4:$G$40,$BJ46-3)),IF(OR($BI46=1,$BL46=1,$BH46&gt;0),IF($BI46=1,37,IF($BL46=1,37-INDEX($BD$4:$BD$13,10),INDEX($BD$4:$BD$13,$BH46)))&amp;" lot(s)",""))</f>
        <v>37 lot(s)</v>
      </c>
      <c r="D46" s="69" t="str">
        <f>IF($BJ46&gt;0,IF(INDEX('Final Calculation Sheet'!$B$4:$B$40,$BJ46-3)="","",INDEX('Final Calculation Sheet'!$B$4:$B$40,$BJ46-3)),IF(OR($BI46=1,$BL46=1,$BH46&gt;0),IF($BI46=1,"GRAND TOTAL  —  matching + remaining",IF($BL46=1,"TOTAL MATCHED  —  every group together",IF($BH46=10,"REMAINING  —  did not match the search",IF($BH46=9,"ALL LOTS  —  nothing typed in the box","GROUP "&amp;$BH46&amp;" TOTAL  —  lots matching  "&amp;INDEX($AR$6:$AY$6,$BH46))))),""))</f>
        <v>GRAND TOTAL  —  matching + remaining</v>
      </c>
      <c r="E46" s="69" t="str">
        <f>IF($BJ46&gt;0,IF(INDEX('Final Calculation Sheet'!$D$4:$D$40,$BJ46-3)="","",INDEX('Final Calculation Sheet'!$D$4:$D$40,$BJ46-3)),IF(OR($BI46=1,$BL46=1,$BH46&gt;0),"–",""))</f>
        <v>–</v>
      </c>
      <c r="F46" s="69">
        <f>IF($BJ46&gt;0,IF(INDEX('Final Calculation Sheet'!$A$4:$A$40,$BJ46-3)="","",INDEX('Final Calculation Sheet'!$A$4:$A$40,$BJ46-3)),IF(OR($BI46=1,$BL46=1,$BH46&gt;0),IF($BI46=1,SUM('Final Calculation Sheet'!$A$4:$A$40),IF($BL46=1,SUM('Final Calculation Sheet'!$A$4:$A$40)-SUMIFS('Final Calculation Sheet'!$A$4:$A$40,$AZ$5:$AZ$41,10),SUMIFS('Final Calculation Sheet'!$A$4:$A$40,$AZ$5:$AZ$41,$BH46))),""))</f>
        <v>17157.2</v>
      </c>
      <c r="G46" s="69" t="str">
        <f>IF($BJ46&gt;0,IF(INDEX('Final Calculation Sheet'!$E$4:$E$40,$BJ46-3)="","",INDEX('Final Calculation Sheet'!$E$4:$E$40,$BJ46-3)),IF(OR($BI46=1,$BL46=1,$BH46&gt;0),"–",""))</f>
        <v>–</v>
      </c>
      <c r="H46" s="70" t="str">
        <f>IF($BJ46&gt;0,IF(INDEX('Final Calculation Sheet'!$C$4:$C$40,$BJ46-3)="","",INDEX('Final Calculation Sheet'!$C$4:$C$40,$BJ46-3)),IF(OR($BI46=1,$BL46=1,$BH46&gt;0),"–",""))</f>
        <v>–</v>
      </c>
      <c r="I46" s="70">
        <f>IF($BJ46&gt;0,IF(INDEX('Final Calculation Sheet'!$H$4:$H$40,$BJ46-3)="","",INDEX('Final Calculation Sheet'!$H$4:$H$40,$BJ46-3)),IF(OR($BI46=1,$BL46=1,$BH46&gt;0),IF($BI46=1,SUM('Final Calculation Sheet'!$H$4:$H$40),IF($BL46=1,SUM('Final Calculation Sheet'!$H$4:$H$40)-SUMIFS('Final Calculation Sheet'!$H$4:$H$40,$AZ$5:$AZ$41,10),SUMIFS('Final Calculation Sheet'!$H$4:$H$40,$AZ$5:$AZ$41,$BH46))),""))</f>
        <v>15130598</v>
      </c>
      <c r="J46" s="70">
        <f>IF($BJ46&gt;0,IF(INDEX('Final Calculation Sheet'!$I$4:$I$40,$BJ46-3)="","",INDEX('Final Calculation Sheet'!$I$4:$I$40,$BJ46-3)),IF(OR($BI46=1,$BL46=1,$BH46&gt;0),IF($BI46=1,SUM('Final Calculation Sheet'!$I$4:$I$40),IF($BL46=1,SUM('Final Calculation Sheet'!$I$4:$I$40)-SUMIFS('Final Calculation Sheet'!$I$4:$I$40,$AZ$5:$AZ$41,10),SUMIFS('Final Calculation Sheet'!$I$4:$I$40,$AZ$5:$AZ$41,$BH46))),""))</f>
        <v>2723508</v>
      </c>
      <c r="K46" s="70">
        <f>IF($BJ46&gt;0,IF(INDEX('Final Calculation Sheet'!$J$4:$J$40,$BJ46-3)="","",INDEX('Final Calculation Sheet'!$J$4:$J$40,$BJ46-3)),IF(OR($BI46=1,$BL46=1,$BH46&gt;0),IF($BI46=1,SUM('Final Calculation Sheet'!$J$4:$J$40),IF($BL46=1,SUM('Final Calculation Sheet'!$J$4:$J$40)-SUMIFS('Final Calculation Sheet'!$J$4:$J$40,$AZ$5:$AZ$41,10),SUMIFS('Final Calculation Sheet'!$J$4:$J$40,$AZ$5:$AZ$41,$BH46))),""))</f>
        <v>17854106</v>
      </c>
      <c r="L46" s="70">
        <f>IF($BJ46&gt;0,IF(INDEX('Final Calculation Sheet'!$K$4:$K$40,$BJ46-3)="","",INDEX('Final Calculation Sheet'!$K$4:$K$40,$BJ46-3)),IF(OR($BI46=1,$BL46=1,$BH46&gt;0),IF($BI46=1,SUM('Final Calculation Sheet'!$K$4:$K$40),IF($BL46=1,SUM('Final Calculation Sheet'!$K$4:$K$40)-SUMIFS('Final Calculation Sheet'!$K$4:$K$40,$AZ$5:$AZ$41,10),SUMIFS('Final Calculation Sheet'!$K$4:$K$40,$AZ$5:$AZ$41,$BH46))),""))</f>
        <v>357082</v>
      </c>
      <c r="M46" s="70">
        <f>IF($BJ46&gt;0,IF(INDEX('Final Calculation Sheet'!$L$4:$L$40,$BJ46-3)="","",INDEX('Final Calculation Sheet'!$L$4:$L$40,$BJ46-3)),IF(OR($BI46=1,$BL46=1,$BH46&gt;0),IF($BI46=1,SUM('Final Calculation Sheet'!$L$4:$L$40),IF($BL46=1,SUM('Final Calculation Sheet'!$L$4:$L$40)-SUMIFS('Final Calculation Sheet'!$L$4:$L$40,$AZ$5:$AZ$41,10),SUMIFS('Final Calculation Sheet'!$L$4:$L$40,$AZ$5:$AZ$41,$BH46))),""))</f>
        <v>15130.598000000002</v>
      </c>
      <c r="N46" s="70">
        <f>IF($BJ46&gt;0,IF(INDEX('Final Calculation Sheet'!$M$4:$M$40,$BJ46-3)="","",INDEX('Final Calculation Sheet'!$M$4:$M$40,$BJ46-3)),IF(OR($BI46=1,$BL46=1,$BH46&gt;0),IF($BI46=1,SUM('Final Calculation Sheet'!$M$4:$M$40),IF($BL46=1,SUM('Final Calculation Sheet'!$M$4:$M$40)-SUMIFS('Final Calculation Sheet'!$M$4:$M$40,$AZ$5:$AZ$41,10),SUMIFS('Final Calculation Sheet'!$M$4:$M$40,$AZ$5:$AZ$41,$BH46))),""))</f>
        <v>401717.37689999992</v>
      </c>
      <c r="O46" s="71">
        <f>IF($BJ46&gt;0,IF(INDEX('Final Calculation Sheet'!$N$4:$N$40,$BJ46-3)="","",INDEX('Final Calculation Sheet'!$N$4:$N$40,$BJ46-3)),IF(OR($BI46=1,$BL46=1,$BH46&gt;0),IF($BI46=1,SUM('Final Calculation Sheet'!$N$4:$N$40),IF($BL46=1,SUM('Final Calculation Sheet'!$N$4:$N$40)-SUMIFS('Final Calculation Sheet'!$N$4:$N$40,$AZ$5:$AZ$41,10),SUMIFS('Final Calculation Sheet'!$N$4:$N$40,$AZ$5:$AZ$41,$BH46))),""))</f>
        <v>6808.7690999999977</v>
      </c>
      <c r="P46" s="70">
        <f>IF($BJ46&gt;0,IF(INDEX('Final Calculation Sheet'!$O$4:$O$40,$BJ46-3)="","",INDEX('Final Calculation Sheet'!$O$4:$O$40,$BJ46-3)),IF(OR($BI46=1,$BL46=1,$BH46&gt;0),IF($BI46=1,SUM('Final Calculation Sheet'!$O$4:$O$40),IF($BL46=1,SUM('Final Calculation Sheet'!$O$4:$O$40)-SUMIFS('Final Calculation Sheet'!$O$4:$O$40,$AZ$5:$AZ$41,10),SUMIFS('Final Calculation Sheet'!$O$4:$O$40,$AZ$5:$AZ$41,$BH46))),""))</f>
        <v>394908.6078</v>
      </c>
      <c r="Q46" s="70">
        <f>IF($BJ46&gt;0,IF(INDEX('Final Calculation Sheet'!$P$4:$P$40,$BJ46-3)="","",INDEX('Final Calculation Sheet'!$P$4:$P$40,$BJ46-3)),IF(OR($BI46=1,$BL46=1,$BH46&gt;0),IF($BI46=1,SUM('Final Calculation Sheet'!$P$4:$P$40),IF($BL46=1,SUM('Final Calculation Sheet'!$P$4:$P$40)-SUMIFS('Final Calculation Sheet'!$P$4:$P$40,$AZ$5:$AZ$41,10),SUMIFS('Final Calculation Sheet'!$P$4:$P$40,$AZ$5:$AZ$41,$BH46))),""))</f>
        <v>410039</v>
      </c>
      <c r="R46" s="72" t="str">
        <f>IF($BJ46&gt;0,IF(INDEX('Final Calculation Sheet'!$Q$4:$Q$40,$BJ46-3)="","",INDEX('Final Calculation Sheet'!$Q$4:$Q$40,$BJ46-3)),IF(OR($BI46=1,$BL46=1,$BH46&gt;0),"–",""))</f>
        <v>–</v>
      </c>
      <c r="S46" s="70">
        <f>IF($BJ46&gt;0,IF(INDEX('Final Calculation Sheet'!$R$4:$R$40,$BJ46-3)="","",INDEX('Final Calculation Sheet'!$R$4:$R$40,$BJ46-3)),IF(OR($BI46=1,$BL46=1,$BH46&gt;0),IF($BI46=1,SUM('Final Calculation Sheet'!$R$4:$R$40),IF($BL46=1,SUM('Final Calculation Sheet'!$R$4:$R$40)-SUMIFS('Final Calculation Sheet'!$R$4:$R$40,$AZ$5:$AZ$41,10),SUMIFS('Final Calculation Sheet'!$R$4:$R$40,$AZ$5:$AZ$41,$BH46))),""))</f>
        <v>83029</v>
      </c>
      <c r="T46" s="70">
        <f>IF($BJ46&gt;0,IF(INDEX('Final Calculation Sheet'!$S$4:$S$40,$BJ46-3)="","",INDEX('Final Calculation Sheet'!$S$4:$S$40,$BJ46-3)),IF(OR($BI46=1,$BL46=1,$BH46&gt;0),IF($BI46=1,SUM('Final Calculation Sheet'!$S$4:$S$40),IF($BL46=1,SUM('Final Calculation Sheet'!$S$4:$S$40)-SUMIFS('Final Calculation Sheet'!$S$4:$S$40,$AZ$5:$AZ$41,10),SUMIFS('Final Calculation Sheet'!$S$4:$S$40,$AZ$5:$AZ$41,$BH46))),""))</f>
        <v>17718123</v>
      </c>
      <c r="U46" s="70">
        <f>IF($BJ46&gt;0,IF(INDEX('Final Calculation Sheet'!$T$4:$T$40,$BJ46-3)="","",INDEX('Final Calculation Sheet'!$T$4:$T$40,$BJ46-3)),IF(OR($BI46=1,$BL46=1,$BH46&gt;0),IF($BI46=1,SUM('Final Calculation Sheet'!$T$4:$T$40),IF($BL46=1,SUM('Final Calculation Sheet'!$T$4:$T$40)-SUMIFS('Final Calculation Sheet'!$T$4:$T$40,$AZ$5:$AZ$41,10),SUMIFS('Final Calculation Sheet'!$T$4:$T$40,$AZ$5:$AZ$41,$BH46))),""))</f>
        <v>3782654</v>
      </c>
      <c r="V46" s="73">
        <f>IF($BJ46&gt;0,IF(INDEX('Final Calculation Sheet'!$U$4:$U$40,$BJ46-3)="","",INDEX('Final Calculation Sheet'!$U$4:$U$40,$BJ46-3)),IF(OR($BI46=1,$BL46=1,$BH46&gt;0),IF($BI46=1,SUM('Final Calculation Sheet'!$U$4:$U$40),IF($BL46=1,SUM('Final Calculation Sheet'!$U$4:$U$40)-SUMIFS('Final Calculation Sheet'!$U$4:$U$40,$AZ$5:$AZ$41,10),SUMIFS('Final Calculation Sheet'!$U$4:$U$40,$AZ$5:$AZ$41,$BH46))),""))</f>
        <v>3782654</v>
      </c>
      <c r="W46" s="70" t="str">
        <f>IF($BJ46&gt;0,IF(INDEX('Final Calculation Sheet'!$V$4:$V$40,$BJ46-3)="","",INDEX('Final Calculation Sheet'!$V$4:$V$40,$BJ46-3)),IF(OR($BI46=1,$BL46=1,$BH46&gt;0),"–",""))</f>
        <v>–</v>
      </c>
      <c r="X46" s="70">
        <f>IF($BJ46&gt;0,IF(INDEX('Final Calculation Sheet'!$W$4:$W$40,$BJ46-3)="","",INDEX('Final Calculation Sheet'!$W$4:$W$40,$BJ46-3)),IF(OR($BI46=1,$BL46=1,$BH46&gt;0),IF($BI46=1,SUM('Final Calculation Sheet'!$W$4:$W$40),IF($BL46=1,SUM('Final Calculation Sheet'!$W$4:$W$40)-SUMIFS('Final Calculation Sheet'!$W$4:$W$40,$AZ$5:$AZ$41,10),SUMIFS('Final Calculation Sheet'!$W$4:$W$40,$AZ$5:$AZ$41,$BH46))),""))</f>
        <v>13935473</v>
      </c>
      <c r="Y46" s="70">
        <f>IF($BJ46&gt;0,IF(INDEX('Final Calculation Sheet'!$X$4:$X$40,$BJ46-3)="","",INDEX('Final Calculation Sheet'!$X$4:$X$40,$BJ46-3)),IF(OR($BI46=1,$BL46=1,$BH46&gt;0),IF($BI46=1,SUM('Final Calculation Sheet'!$X$4:$X$40),IF($BL46=1,SUM('Final Calculation Sheet'!$X$4:$X$40)-SUMIFS('Final Calculation Sheet'!$X$4:$X$40,$AZ$5:$AZ$41,10),SUMIFS('Final Calculation Sheet'!$X$4:$X$40,$AZ$5:$AZ$41,$BH46))),""))</f>
        <v>13137293</v>
      </c>
      <c r="Z46" s="70" t="str">
        <f>IF($BJ46&gt;0,IF(INDEX('Final Calculation Sheet'!$Y$4:$Y$40,$BJ46-3)="","",INDEX('Final Calculation Sheet'!$Y$4:$Y$40,$BJ46-3)),IF(OR($BI46=1,$BL46=1,$BH46&gt;0),"–",""))</f>
        <v>–</v>
      </c>
      <c r="AA46" s="70">
        <f ca="1">IF($BJ46&gt;0,IF(INDEX('Final Calculation Sheet'!$Z$4:$Z$40,$BJ46-3)="","",INDEX('Final Calculation Sheet'!$Z$4:$Z$40,$BJ46-3)),IF(OR($BI46=1,$BL46=1,$BH46&gt;0),IF($BI46=1,SUM('Final Calculation Sheet'!$Z$4:$Z$40),IF($BL46=1,SUM('Final Calculation Sheet'!$Z$4:$Z$40)-SUMIFS('Final Calculation Sheet'!$Z$4:$Z$40,$AZ$5:$AZ$41,10),SUMIFS('Final Calculation Sheet'!$Z$4:$Z$40,$AZ$5:$AZ$41,$BH46))),""))</f>
        <v>34459.067999999999</v>
      </c>
      <c r="AB46" s="70">
        <f>IF($BJ46&gt;0,IF(INDEX('Final Calculation Sheet'!$AA$4:$AA$40,$BJ46-3)="","",INDEX('Final Calculation Sheet'!$AA$4:$AA$40,$BJ46-3)),IF(OR($BI46=1,$BL46=1,$BH46&gt;0),IF($BI46=1,SUM('Final Calculation Sheet'!$AA$4:$AA$40),IF($BL46=1,SUM('Final Calculation Sheet'!$AA$4:$AA$40)-SUMIFS('Final Calculation Sheet'!$AA$4:$AA$40,$AZ$5:$AZ$41,10),SUMIFS('Final Calculation Sheet'!$AA$4:$AA$40,$AZ$5:$AZ$41,$BH46))),""))</f>
        <v>3540</v>
      </c>
      <c r="AC46" s="70" t="str">
        <f>IF($BJ46&gt;0,IF(INDEX('Final Calculation Sheet'!$AB$4:$AB$40,$BJ46-3)="","",INDEX('Final Calculation Sheet'!$AB$4:$AB$40,$BJ46-3)),IF(OR($BI46=1,$BL46=1,$BH46&gt;0),"–",""))</f>
        <v>–</v>
      </c>
      <c r="AD46" s="70">
        <f>IF($BJ46&gt;0,IF(INDEX('Final Calculation Sheet'!$AC$4:$AC$40,$BJ46-3)="","",INDEX('Final Calculation Sheet'!$AC$4:$AC$40,$BJ46-3)),IF(OR($BI46=1,$BL46=1,$BH46&gt;0),IF($BI46=1,SUM('Final Calculation Sheet'!$AC$4:$AC$40),IF($BL46=1,SUM('Final Calculation Sheet'!$AC$4:$AC$40)-SUMIFS('Final Calculation Sheet'!$AC$4:$AC$40,$AZ$5:$AZ$41,10),SUMIFS('Final Calculation Sheet'!$AC$4:$AC$40,$AZ$5:$AZ$41,$BH46))),""))</f>
        <v>16923487</v>
      </c>
      <c r="AE46" s="70">
        <f>IF($BJ46&gt;0,IF(INDEX('Final Calculation Sheet'!$AD$4:$AD$40,$BJ46-3)="","",INDEX('Final Calculation Sheet'!$AD$4:$AD$40,$BJ46-3)),IF(OR($BI46=1,$BL46=1,$BH46&gt;0),IF($BI46=1,SUM('Final Calculation Sheet'!$AD$4:$AD$40),IF($BL46=1,SUM('Final Calculation Sheet'!$AD$4:$AD$40)-SUMIFS('Final Calculation Sheet'!$AD$4:$AD$40,$AZ$5:$AZ$41,10),SUMIFS('Final Calculation Sheet'!$AD$4:$AD$40,$AZ$5:$AZ$41,$BH46))),""))</f>
        <v>794636.00000000047</v>
      </c>
      <c r="AF46" s="70" t="str">
        <f>IF($BJ46&gt;0,IF(INDEX('Final Calculation Sheet'!$AE$4:$AE$40,$BJ46-3)="","",INDEX('Final Calculation Sheet'!$AE$4:$AE$40,$BJ46-3)),IF(OR($BI46=1,$BL46=1,$BH46&gt;0),"–",""))</f>
        <v>–</v>
      </c>
      <c r="AG46" s="74" t="str">
        <f>IF($BJ46&gt;0,IF(INDEX('Final Calculation Sheet'!$AF$4:$AF$40,$BJ46-3)="","",INDEX('Final Calculation Sheet'!$AF$4:$AF$40,$BJ46-3)),IF(OR($BI46=1,$BL46=1,$BH46&gt;0),"–",""))</f>
        <v>–</v>
      </c>
      <c r="AH46" s="70" t="str">
        <f>IF($BJ46&gt;0,IF(INDEX('Final Calculation Sheet'!$AG$4:$AG$40,$BJ46-3)="","",INDEX('Final Calculation Sheet'!$AG$4:$AG$40,$BJ46-3)),IF(OR($BI46=1,$BL46=1,$BH46&gt;0),"–",""))</f>
        <v>–</v>
      </c>
      <c r="AI46" s="75" t="str">
        <f>IF($BJ46&gt;0,IF(INDEX('Final Calculation Sheet'!$AD$4:$AD$40,$BJ46-3)="","",IF(INDEX('Final Calculation Sheet'!$AD$4:$AD$40,$BJ46-3)&lt;=0,"SETTLED","OUTSTANDING")),IF(OR($BI46=1,$BL46=1,$BH46&gt;0),IF(IF($BI46=1,SUM('Final Calculation Sheet'!$AD$4:$AD$40),IF($BL46=1,SUM('Final Calculation Sheet'!$AD$4:$AD$40)-SUMIFS('Final Calculation Sheet'!$AD$4:$AD$40,$AZ$5:$AZ$41,10),SUMIFS('Final Calculation Sheet'!$AD$4:$AD$40,$AZ$5:$AZ$41,$BH46)))&lt;=0,"ALL SETTLED","OUTSTANDING"),""))</f>
        <v>OUTSTANDING</v>
      </c>
      <c r="BH46">
        <f>IFERROR(MATCH(46,$BF$4:$BF$13,0),0)</f>
        <v>0</v>
      </c>
      <c r="BI46">
        <f>IF(46=$BG$5,1,0)</f>
        <v>1</v>
      </c>
      <c r="BJ46">
        <f>IF(OR($BH46&gt;0,$BI46=1,$BL46=1),0,IFERROR(INDEX($BC$5:$BC$41,MATCH(46,$BB$5:$BB$41,0)),0))</f>
        <v>0</v>
      </c>
      <c r="BK46">
        <f>IF($BJ46&gt;0,IF(INDEX($AZ$5:$AZ$41,MATCH(46,$BB$5:$BB$41,0))=10,1,0),IF($BH46=10,1,0))</f>
        <v>0</v>
      </c>
      <c r="BL46">
        <f>IF(46=$BG$4,1,0)</f>
        <v>0</v>
      </c>
    </row>
    <row r="47" spans="1:64" ht="15" customHeight="1" x14ac:dyDescent="0.25">
      <c r="A47" s="67" t="str">
        <f>IF($BJ47&gt;0,INDEX($BA$5:$BA$41,MATCH(47,$BB$5:$BB$41,0)),IF(OR($BI47=1,$BL47=1,$BH47&gt;0),"∑",""))</f>
        <v/>
      </c>
      <c r="B47" s="68" t="str">
        <f>IF($BJ47&gt;0,IF(INDEX('Final Calculation Sheet'!$F$4:$F$40,$BJ47-3)="","",INDEX('Final Calculation Sheet'!$F$4:$F$40,$BJ47-3)),"")</f>
        <v/>
      </c>
      <c r="C47" s="68" t="str">
        <f>IF($BJ47&gt;0,IF(INDEX('Final Calculation Sheet'!$G$4:$G$40,$BJ47-3)="","",INDEX('Final Calculation Sheet'!$G$4:$G$40,$BJ47-3)),IF(OR($BI47=1,$BL47=1,$BH47&gt;0),IF($BI47=1,37,IF($BL47=1,37-INDEX($BD$4:$BD$13,10),INDEX($BD$4:$BD$13,$BH47)))&amp;" lot(s)",""))</f>
        <v/>
      </c>
      <c r="D47" s="69" t="str">
        <f>IF($BJ47&gt;0,IF(INDEX('Final Calculation Sheet'!$B$4:$B$40,$BJ47-3)="","",INDEX('Final Calculation Sheet'!$B$4:$B$40,$BJ47-3)),IF(OR($BI47=1,$BL47=1,$BH47&gt;0),IF($BI47=1,"GRAND TOTAL  —  matching + remaining",IF($BL47=1,"TOTAL MATCHED  —  every group together",IF($BH47=10,"REMAINING  —  did not match the search",IF($BH47=9,"ALL LOTS  —  nothing typed in the box","GROUP "&amp;$BH47&amp;" TOTAL  —  lots matching  "&amp;INDEX($AR$6:$AY$6,$BH47))))),""))</f>
        <v/>
      </c>
      <c r="E47" s="69" t="str">
        <f>IF($BJ47&gt;0,IF(INDEX('Final Calculation Sheet'!$D$4:$D$40,$BJ47-3)="","",INDEX('Final Calculation Sheet'!$D$4:$D$40,$BJ47-3)),IF(OR($BI47=1,$BL47=1,$BH47&gt;0),"–",""))</f>
        <v/>
      </c>
      <c r="F47" s="69" t="str">
        <f>IF($BJ47&gt;0,IF(INDEX('Final Calculation Sheet'!$A$4:$A$40,$BJ47-3)="","",INDEX('Final Calculation Sheet'!$A$4:$A$40,$BJ47-3)),IF(OR($BI47=1,$BL47=1,$BH47&gt;0),IF($BI47=1,SUM('Final Calculation Sheet'!$A$4:$A$40),IF($BL47=1,SUM('Final Calculation Sheet'!$A$4:$A$40)-SUMIFS('Final Calculation Sheet'!$A$4:$A$40,$AZ$5:$AZ$41,10),SUMIFS('Final Calculation Sheet'!$A$4:$A$40,$AZ$5:$AZ$41,$BH47))),""))</f>
        <v/>
      </c>
      <c r="G47" s="69" t="str">
        <f>IF($BJ47&gt;0,IF(INDEX('Final Calculation Sheet'!$E$4:$E$40,$BJ47-3)="","",INDEX('Final Calculation Sheet'!$E$4:$E$40,$BJ47-3)),IF(OR($BI47=1,$BL47=1,$BH47&gt;0),"–",""))</f>
        <v/>
      </c>
      <c r="H47" s="70" t="str">
        <f>IF($BJ47&gt;0,IF(INDEX('Final Calculation Sheet'!$C$4:$C$40,$BJ47-3)="","",INDEX('Final Calculation Sheet'!$C$4:$C$40,$BJ47-3)),IF(OR($BI47=1,$BL47=1,$BH47&gt;0),"–",""))</f>
        <v/>
      </c>
      <c r="I47" s="70" t="str">
        <f>IF($BJ47&gt;0,IF(INDEX('Final Calculation Sheet'!$H$4:$H$40,$BJ47-3)="","",INDEX('Final Calculation Sheet'!$H$4:$H$40,$BJ47-3)),IF(OR($BI47=1,$BL47=1,$BH47&gt;0),IF($BI47=1,SUM('Final Calculation Sheet'!$H$4:$H$40),IF($BL47=1,SUM('Final Calculation Sheet'!$H$4:$H$40)-SUMIFS('Final Calculation Sheet'!$H$4:$H$40,$AZ$5:$AZ$41,10),SUMIFS('Final Calculation Sheet'!$H$4:$H$40,$AZ$5:$AZ$41,$BH47))),""))</f>
        <v/>
      </c>
      <c r="J47" s="70" t="str">
        <f>IF($BJ47&gt;0,IF(INDEX('Final Calculation Sheet'!$I$4:$I$40,$BJ47-3)="","",INDEX('Final Calculation Sheet'!$I$4:$I$40,$BJ47-3)),IF(OR($BI47=1,$BL47=1,$BH47&gt;0),IF($BI47=1,SUM('Final Calculation Sheet'!$I$4:$I$40),IF($BL47=1,SUM('Final Calculation Sheet'!$I$4:$I$40)-SUMIFS('Final Calculation Sheet'!$I$4:$I$40,$AZ$5:$AZ$41,10),SUMIFS('Final Calculation Sheet'!$I$4:$I$40,$AZ$5:$AZ$41,$BH47))),""))</f>
        <v/>
      </c>
      <c r="K47" s="70" t="str">
        <f>IF($BJ47&gt;0,IF(INDEX('Final Calculation Sheet'!$J$4:$J$40,$BJ47-3)="","",INDEX('Final Calculation Sheet'!$J$4:$J$40,$BJ47-3)),IF(OR($BI47=1,$BL47=1,$BH47&gt;0),IF($BI47=1,SUM('Final Calculation Sheet'!$J$4:$J$40),IF($BL47=1,SUM('Final Calculation Sheet'!$J$4:$J$40)-SUMIFS('Final Calculation Sheet'!$J$4:$J$40,$AZ$5:$AZ$41,10),SUMIFS('Final Calculation Sheet'!$J$4:$J$40,$AZ$5:$AZ$41,$BH47))),""))</f>
        <v/>
      </c>
      <c r="L47" s="70" t="str">
        <f>IF($BJ47&gt;0,IF(INDEX('Final Calculation Sheet'!$K$4:$K$40,$BJ47-3)="","",INDEX('Final Calculation Sheet'!$K$4:$K$40,$BJ47-3)),IF(OR($BI47=1,$BL47=1,$BH47&gt;0),IF($BI47=1,SUM('Final Calculation Sheet'!$K$4:$K$40),IF($BL47=1,SUM('Final Calculation Sheet'!$K$4:$K$40)-SUMIFS('Final Calculation Sheet'!$K$4:$K$40,$AZ$5:$AZ$41,10),SUMIFS('Final Calculation Sheet'!$K$4:$K$40,$AZ$5:$AZ$41,$BH47))),""))</f>
        <v/>
      </c>
      <c r="M47" s="70" t="str">
        <f>IF($BJ47&gt;0,IF(INDEX('Final Calculation Sheet'!$L$4:$L$40,$BJ47-3)="","",INDEX('Final Calculation Sheet'!$L$4:$L$40,$BJ47-3)),IF(OR($BI47=1,$BL47=1,$BH47&gt;0),IF($BI47=1,SUM('Final Calculation Sheet'!$L$4:$L$40),IF($BL47=1,SUM('Final Calculation Sheet'!$L$4:$L$40)-SUMIFS('Final Calculation Sheet'!$L$4:$L$40,$AZ$5:$AZ$41,10),SUMIFS('Final Calculation Sheet'!$L$4:$L$40,$AZ$5:$AZ$41,$BH47))),""))</f>
        <v/>
      </c>
      <c r="N47" s="70" t="str">
        <f>IF($BJ47&gt;0,IF(INDEX('Final Calculation Sheet'!$M$4:$M$40,$BJ47-3)="","",INDEX('Final Calculation Sheet'!$M$4:$M$40,$BJ47-3)),IF(OR($BI47=1,$BL47=1,$BH47&gt;0),IF($BI47=1,SUM('Final Calculation Sheet'!$M$4:$M$40),IF($BL47=1,SUM('Final Calculation Sheet'!$M$4:$M$40)-SUMIFS('Final Calculation Sheet'!$M$4:$M$40,$AZ$5:$AZ$41,10),SUMIFS('Final Calculation Sheet'!$M$4:$M$40,$AZ$5:$AZ$41,$BH47))),""))</f>
        <v/>
      </c>
      <c r="O47" s="71" t="str">
        <f>IF($BJ47&gt;0,IF(INDEX('Final Calculation Sheet'!$N$4:$N$40,$BJ47-3)="","",INDEX('Final Calculation Sheet'!$N$4:$N$40,$BJ47-3)),IF(OR($BI47=1,$BL47=1,$BH47&gt;0),IF($BI47=1,SUM('Final Calculation Sheet'!$N$4:$N$40),IF($BL47=1,SUM('Final Calculation Sheet'!$N$4:$N$40)-SUMIFS('Final Calculation Sheet'!$N$4:$N$40,$AZ$5:$AZ$41,10),SUMIFS('Final Calculation Sheet'!$N$4:$N$40,$AZ$5:$AZ$41,$BH47))),""))</f>
        <v/>
      </c>
      <c r="P47" s="70" t="str">
        <f>IF($BJ47&gt;0,IF(INDEX('Final Calculation Sheet'!$O$4:$O$40,$BJ47-3)="","",INDEX('Final Calculation Sheet'!$O$4:$O$40,$BJ47-3)),IF(OR($BI47=1,$BL47=1,$BH47&gt;0),IF($BI47=1,SUM('Final Calculation Sheet'!$O$4:$O$40),IF($BL47=1,SUM('Final Calculation Sheet'!$O$4:$O$40)-SUMIFS('Final Calculation Sheet'!$O$4:$O$40,$AZ$5:$AZ$41,10),SUMIFS('Final Calculation Sheet'!$O$4:$O$40,$AZ$5:$AZ$41,$BH47))),""))</f>
        <v/>
      </c>
      <c r="Q47" s="70" t="str">
        <f>IF($BJ47&gt;0,IF(INDEX('Final Calculation Sheet'!$P$4:$P$40,$BJ47-3)="","",INDEX('Final Calculation Sheet'!$P$4:$P$40,$BJ47-3)),IF(OR($BI47=1,$BL47=1,$BH47&gt;0),IF($BI47=1,SUM('Final Calculation Sheet'!$P$4:$P$40),IF($BL47=1,SUM('Final Calculation Sheet'!$P$4:$P$40)-SUMIFS('Final Calculation Sheet'!$P$4:$P$40,$AZ$5:$AZ$41,10),SUMIFS('Final Calculation Sheet'!$P$4:$P$40,$AZ$5:$AZ$41,$BH47))),""))</f>
        <v/>
      </c>
      <c r="R47" s="72" t="str">
        <f>IF($BJ47&gt;0,IF(INDEX('Final Calculation Sheet'!$Q$4:$Q$40,$BJ47-3)="","",INDEX('Final Calculation Sheet'!$Q$4:$Q$40,$BJ47-3)),IF(OR($BI47=1,$BL47=1,$BH47&gt;0),"–",""))</f>
        <v/>
      </c>
      <c r="S47" s="70" t="str">
        <f>IF($BJ47&gt;0,IF(INDEX('Final Calculation Sheet'!$R$4:$R$40,$BJ47-3)="","",INDEX('Final Calculation Sheet'!$R$4:$R$40,$BJ47-3)),IF(OR($BI47=1,$BL47=1,$BH47&gt;0),IF($BI47=1,SUM('Final Calculation Sheet'!$R$4:$R$40),IF($BL47=1,SUM('Final Calculation Sheet'!$R$4:$R$40)-SUMIFS('Final Calculation Sheet'!$R$4:$R$40,$AZ$5:$AZ$41,10),SUMIFS('Final Calculation Sheet'!$R$4:$R$40,$AZ$5:$AZ$41,$BH47))),""))</f>
        <v/>
      </c>
      <c r="T47" s="70" t="str">
        <f>IF($BJ47&gt;0,IF(INDEX('Final Calculation Sheet'!$S$4:$S$40,$BJ47-3)="","",INDEX('Final Calculation Sheet'!$S$4:$S$40,$BJ47-3)),IF(OR($BI47=1,$BL47=1,$BH47&gt;0),IF($BI47=1,SUM('Final Calculation Sheet'!$S$4:$S$40),IF($BL47=1,SUM('Final Calculation Sheet'!$S$4:$S$40)-SUMIFS('Final Calculation Sheet'!$S$4:$S$40,$AZ$5:$AZ$41,10),SUMIFS('Final Calculation Sheet'!$S$4:$S$40,$AZ$5:$AZ$41,$BH47))),""))</f>
        <v/>
      </c>
      <c r="U47" s="70" t="str">
        <f>IF($BJ47&gt;0,IF(INDEX('Final Calculation Sheet'!$T$4:$T$40,$BJ47-3)="","",INDEX('Final Calculation Sheet'!$T$4:$T$40,$BJ47-3)),IF(OR($BI47=1,$BL47=1,$BH47&gt;0),IF($BI47=1,SUM('Final Calculation Sheet'!$T$4:$T$40),IF($BL47=1,SUM('Final Calculation Sheet'!$T$4:$T$40)-SUMIFS('Final Calculation Sheet'!$T$4:$T$40,$AZ$5:$AZ$41,10),SUMIFS('Final Calculation Sheet'!$T$4:$T$40,$AZ$5:$AZ$41,$BH47))),""))</f>
        <v/>
      </c>
      <c r="V47" s="73" t="str">
        <f>IF($BJ47&gt;0,IF(INDEX('Final Calculation Sheet'!$U$4:$U$40,$BJ47-3)="","",INDEX('Final Calculation Sheet'!$U$4:$U$40,$BJ47-3)),IF(OR($BI47=1,$BL47=1,$BH47&gt;0),IF($BI47=1,SUM('Final Calculation Sheet'!$U$4:$U$40),IF($BL47=1,SUM('Final Calculation Sheet'!$U$4:$U$40)-SUMIFS('Final Calculation Sheet'!$U$4:$U$40,$AZ$5:$AZ$41,10),SUMIFS('Final Calculation Sheet'!$U$4:$U$40,$AZ$5:$AZ$41,$BH47))),""))</f>
        <v/>
      </c>
      <c r="W47" s="70" t="str">
        <f>IF($BJ47&gt;0,IF(INDEX('Final Calculation Sheet'!$V$4:$V$40,$BJ47-3)="","",INDEX('Final Calculation Sheet'!$V$4:$V$40,$BJ47-3)),IF(OR($BI47=1,$BL47=1,$BH47&gt;0),"–",""))</f>
        <v/>
      </c>
      <c r="X47" s="70" t="str">
        <f>IF($BJ47&gt;0,IF(INDEX('Final Calculation Sheet'!$W$4:$W$40,$BJ47-3)="","",INDEX('Final Calculation Sheet'!$W$4:$W$40,$BJ47-3)),IF(OR($BI47=1,$BL47=1,$BH47&gt;0),IF($BI47=1,SUM('Final Calculation Sheet'!$W$4:$W$40),IF($BL47=1,SUM('Final Calculation Sheet'!$W$4:$W$40)-SUMIFS('Final Calculation Sheet'!$W$4:$W$40,$AZ$5:$AZ$41,10),SUMIFS('Final Calculation Sheet'!$W$4:$W$40,$AZ$5:$AZ$41,$BH47))),""))</f>
        <v/>
      </c>
      <c r="Y47" s="70" t="str">
        <f>IF($BJ47&gt;0,IF(INDEX('Final Calculation Sheet'!$X$4:$X$40,$BJ47-3)="","",INDEX('Final Calculation Sheet'!$X$4:$X$40,$BJ47-3)),IF(OR($BI47=1,$BL47=1,$BH47&gt;0),IF($BI47=1,SUM('Final Calculation Sheet'!$X$4:$X$40),IF($BL47=1,SUM('Final Calculation Sheet'!$X$4:$X$40)-SUMIFS('Final Calculation Sheet'!$X$4:$X$40,$AZ$5:$AZ$41,10),SUMIFS('Final Calculation Sheet'!$X$4:$X$40,$AZ$5:$AZ$41,$BH47))),""))</f>
        <v/>
      </c>
      <c r="Z47" s="70" t="str">
        <f>IF($BJ47&gt;0,IF(INDEX('Final Calculation Sheet'!$Y$4:$Y$40,$BJ47-3)="","",INDEX('Final Calculation Sheet'!$Y$4:$Y$40,$BJ47-3)),IF(OR($BI47=1,$BL47=1,$BH47&gt;0),"–",""))</f>
        <v/>
      </c>
      <c r="AA47" s="70" t="str">
        <f>IF($BJ47&gt;0,IF(INDEX('Final Calculation Sheet'!$Z$4:$Z$40,$BJ47-3)="","",INDEX('Final Calculation Sheet'!$Z$4:$Z$40,$BJ47-3)),IF(OR($BI47=1,$BL47=1,$BH47&gt;0),IF($BI47=1,SUM('Final Calculation Sheet'!$Z$4:$Z$40),IF($BL47=1,SUM('Final Calculation Sheet'!$Z$4:$Z$40)-SUMIFS('Final Calculation Sheet'!$Z$4:$Z$40,$AZ$5:$AZ$41,10),SUMIFS('Final Calculation Sheet'!$Z$4:$Z$40,$AZ$5:$AZ$41,$BH47))),""))</f>
        <v/>
      </c>
      <c r="AB47" s="70" t="str">
        <f>IF($BJ47&gt;0,IF(INDEX('Final Calculation Sheet'!$AA$4:$AA$40,$BJ47-3)="","",INDEX('Final Calculation Sheet'!$AA$4:$AA$40,$BJ47-3)),IF(OR($BI47=1,$BL47=1,$BH47&gt;0),IF($BI47=1,SUM('Final Calculation Sheet'!$AA$4:$AA$40),IF($BL47=1,SUM('Final Calculation Sheet'!$AA$4:$AA$40)-SUMIFS('Final Calculation Sheet'!$AA$4:$AA$40,$AZ$5:$AZ$41,10),SUMIFS('Final Calculation Sheet'!$AA$4:$AA$40,$AZ$5:$AZ$41,$BH47))),""))</f>
        <v/>
      </c>
      <c r="AC47" s="70" t="str">
        <f>IF($BJ47&gt;0,IF(INDEX('Final Calculation Sheet'!$AB$4:$AB$40,$BJ47-3)="","",INDEX('Final Calculation Sheet'!$AB$4:$AB$40,$BJ47-3)),IF(OR($BI47=1,$BL47=1,$BH47&gt;0),"–",""))</f>
        <v/>
      </c>
      <c r="AD47" s="70" t="str">
        <f>IF($BJ47&gt;0,IF(INDEX('Final Calculation Sheet'!$AC$4:$AC$40,$BJ47-3)="","",INDEX('Final Calculation Sheet'!$AC$4:$AC$40,$BJ47-3)),IF(OR($BI47=1,$BL47=1,$BH47&gt;0),IF($BI47=1,SUM('Final Calculation Sheet'!$AC$4:$AC$40),IF($BL47=1,SUM('Final Calculation Sheet'!$AC$4:$AC$40)-SUMIFS('Final Calculation Sheet'!$AC$4:$AC$40,$AZ$5:$AZ$41,10),SUMIFS('Final Calculation Sheet'!$AC$4:$AC$40,$AZ$5:$AZ$41,$BH47))),""))</f>
        <v/>
      </c>
      <c r="AE47" s="70" t="str">
        <f>IF($BJ47&gt;0,IF(INDEX('Final Calculation Sheet'!$AD$4:$AD$40,$BJ47-3)="","",INDEX('Final Calculation Sheet'!$AD$4:$AD$40,$BJ47-3)),IF(OR($BI47=1,$BL47=1,$BH47&gt;0),IF($BI47=1,SUM('Final Calculation Sheet'!$AD$4:$AD$40),IF($BL47=1,SUM('Final Calculation Sheet'!$AD$4:$AD$40)-SUMIFS('Final Calculation Sheet'!$AD$4:$AD$40,$AZ$5:$AZ$41,10),SUMIFS('Final Calculation Sheet'!$AD$4:$AD$40,$AZ$5:$AZ$41,$BH47))),""))</f>
        <v/>
      </c>
      <c r="AF47" s="70" t="str">
        <f>IF($BJ47&gt;0,IF(INDEX('Final Calculation Sheet'!$AE$4:$AE$40,$BJ47-3)="","",INDEX('Final Calculation Sheet'!$AE$4:$AE$40,$BJ47-3)),IF(OR($BI47=1,$BL47=1,$BH47&gt;0),"–",""))</f>
        <v/>
      </c>
      <c r="AG47" s="74" t="str">
        <f>IF($BJ47&gt;0,IF(INDEX('Final Calculation Sheet'!$AF$4:$AF$40,$BJ47-3)="","",INDEX('Final Calculation Sheet'!$AF$4:$AF$40,$BJ47-3)),IF(OR($BI47=1,$BL47=1,$BH47&gt;0),"–",""))</f>
        <v/>
      </c>
      <c r="AH47" s="70" t="str">
        <f>IF($BJ47&gt;0,IF(INDEX('Final Calculation Sheet'!$AG$4:$AG$40,$BJ47-3)="","",INDEX('Final Calculation Sheet'!$AG$4:$AG$40,$BJ47-3)),IF(OR($BI47=1,$BL47=1,$BH47&gt;0),"–",""))</f>
        <v/>
      </c>
      <c r="AI47" s="75" t="str">
        <f>IF($BJ47&gt;0,IF(INDEX('Final Calculation Sheet'!$AD$4:$AD$40,$BJ47-3)="","",IF(INDEX('Final Calculation Sheet'!$AD$4:$AD$40,$BJ47-3)&lt;=0,"SETTLED","OUTSTANDING")),IF(OR($BI47=1,$BL47=1,$BH47&gt;0),IF(IF($BI47=1,SUM('Final Calculation Sheet'!$AD$4:$AD$40),IF($BL47=1,SUM('Final Calculation Sheet'!$AD$4:$AD$40)-SUMIFS('Final Calculation Sheet'!$AD$4:$AD$40,$AZ$5:$AZ$41,10),SUMIFS('Final Calculation Sheet'!$AD$4:$AD$40,$AZ$5:$AZ$41,$BH47)))&lt;=0,"ALL SETTLED","OUTSTANDING"),""))</f>
        <v/>
      </c>
      <c r="BH47">
        <f>IFERROR(MATCH(47,$BF$4:$BF$13,0),0)</f>
        <v>0</v>
      </c>
      <c r="BI47">
        <f>IF(47=$BG$5,1,0)</f>
        <v>0</v>
      </c>
      <c r="BJ47">
        <f>IF(OR($BH47&gt;0,$BI47=1,$BL47=1),0,IFERROR(INDEX($BC$5:$BC$41,MATCH(47,$BB$5:$BB$41,0)),0))</f>
        <v>0</v>
      </c>
      <c r="BK47">
        <f>IF($BJ47&gt;0,IF(INDEX($AZ$5:$AZ$41,MATCH(47,$BB$5:$BB$41,0))=10,1,0),IF($BH47=10,1,0))</f>
        <v>0</v>
      </c>
      <c r="BL47">
        <f>IF(47=$BG$4,1,0)</f>
        <v>0</v>
      </c>
    </row>
    <row r="48" spans="1:64" ht="15" customHeight="1" x14ac:dyDescent="0.25">
      <c r="A48" s="67" t="str">
        <f>IF($BJ48&gt;0,INDEX($BA$5:$BA$41,MATCH(48,$BB$5:$BB$41,0)),IF(OR($BI48=1,$BL48=1,$BH48&gt;0),"∑",""))</f>
        <v/>
      </c>
      <c r="B48" s="68" t="str">
        <f>IF($BJ48&gt;0,IF(INDEX('Final Calculation Sheet'!$F$4:$F$40,$BJ48-3)="","",INDEX('Final Calculation Sheet'!$F$4:$F$40,$BJ48-3)),"")</f>
        <v/>
      </c>
      <c r="C48" s="68" t="str">
        <f>IF($BJ48&gt;0,IF(INDEX('Final Calculation Sheet'!$G$4:$G$40,$BJ48-3)="","",INDEX('Final Calculation Sheet'!$G$4:$G$40,$BJ48-3)),IF(OR($BI48=1,$BL48=1,$BH48&gt;0),IF($BI48=1,37,IF($BL48=1,37-INDEX($BD$4:$BD$13,10),INDEX($BD$4:$BD$13,$BH48)))&amp;" lot(s)",""))</f>
        <v/>
      </c>
      <c r="D48" s="69" t="str">
        <f>IF($BJ48&gt;0,IF(INDEX('Final Calculation Sheet'!$B$4:$B$40,$BJ48-3)="","",INDEX('Final Calculation Sheet'!$B$4:$B$40,$BJ48-3)),IF(OR($BI48=1,$BL48=1,$BH48&gt;0),IF($BI48=1,"GRAND TOTAL  —  matching + remaining",IF($BL48=1,"TOTAL MATCHED  —  every group together",IF($BH48=10,"REMAINING  —  did not match the search",IF($BH48=9,"ALL LOTS  —  nothing typed in the box","GROUP "&amp;$BH48&amp;" TOTAL  —  lots matching  "&amp;INDEX($AR$6:$AY$6,$BH48))))),""))</f>
        <v/>
      </c>
      <c r="E48" s="69" t="str">
        <f>IF($BJ48&gt;0,IF(INDEX('Final Calculation Sheet'!$D$4:$D$40,$BJ48-3)="","",INDEX('Final Calculation Sheet'!$D$4:$D$40,$BJ48-3)),IF(OR($BI48=1,$BL48=1,$BH48&gt;0),"–",""))</f>
        <v/>
      </c>
      <c r="F48" s="69" t="str">
        <f>IF($BJ48&gt;0,IF(INDEX('Final Calculation Sheet'!$A$4:$A$40,$BJ48-3)="","",INDEX('Final Calculation Sheet'!$A$4:$A$40,$BJ48-3)),IF(OR($BI48=1,$BL48=1,$BH48&gt;0),IF($BI48=1,SUM('Final Calculation Sheet'!$A$4:$A$40),IF($BL48=1,SUM('Final Calculation Sheet'!$A$4:$A$40)-SUMIFS('Final Calculation Sheet'!$A$4:$A$40,$AZ$5:$AZ$41,10),SUMIFS('Final Calculation Sheet'!$A$4:$A$40,$AZ$5:$AZ$41,$BH48))),""))</f>
        <v/>
      </c>
      <c r="G48" s="69" t="str">
        <f>IF($BJ48&gt;0,IF(INDEX('Final Calculation Sheet'!$E$4:$E$40,$BJ48-3)="","",INDEX('Final Calculation Sheet'!$E$4:$E$40,$BJ48-3)),IF(OR($BI48=1,$BL48=1,$BH48&gt;0),"–",""))</f>
        <v/>
      </c>
      <c r="H48" s="70" t="str">
        <f>IF($BJ48&gt;0,IF(INDEX('Final Calculation Sheet'!$C$4:$C$40,$BJ48-3)="","",INDEX('Final Calculation Sheet'!$C$4:$C$40,$BJ48-3)),IF(OR($BI48=1,$BL48=1,$BH48&gt;0),"–",""))</f>
        <v/>
      </c>
      <c r="I48" s="70" t="str">
        <f>IF($BJ48&gt;0,IF(INDEX('Final Calculation Sheet'!$H$4:$H$40,$BJ48-3)="","",INDEX('Final Calculation Sheet'!$H$4:$H$40,$BJ48-3)),IF(OR($BI48=1,$BL48=1,$BH48&gt;0),IF($BI48=1,SUM('Final Calculation Sheet'!$H$4:$H$40),IF($BL48=1,SUM('Final Calculation Sheet'!$H$4:$H$40)-SUMIFS('Final Calculation Sheet'!$H$4:$H$40,$AZ$5:$AZ$41,10),SUMIFS('Final Calculation Sheet'!$H$4:$H$40,$AZ$5:$AZ$41,$BH48))),""))</f>
        <v/>
      </c>
      <c r="J48" s="70" t="str">
        <f>IF($BJ48&gt;0,IF(INDEX('Final Calculation Sheet'!$I$4:$I$40,$BJ48-3)="","",INDEX('Final Calculation Sheet'!$I$4:$I$40,$BJ48-3)),IF(OR($BI48=1,$BL48=1,$BH48&gt;0),IF($BI48=1,SUM('Final Calculation Sheet'!$I$4:$I$40),IF($BL48=1,SUM('Final Calculation Sheet'!$I$4:$I$40)-SUMIFS('Final Calculation Sheet'!$I$4:$I$40,$AZ$5:$AZ$41,10),SUMIFS('Final Calculation Sheet'!$I$4:$I$40,$AZ$5:$AZ$41,$BH48))),""))</f>
        <v/>
      </c>
      <c r="K48" s="70" t="str">
        <f>IF($BJ48&gt;0,IF(INDEX('Final Calculation Sheet'!$J$4:$J$40,$BJ48-3)="","",INDEX('Final Calculation Sheet'!$J$4:$J$40,$BJ48-3)),IF(OR($BI48=1,$BL48=1,$BH48&gt;0),IF($BI48=1,SUM('Final Calculation Sheet'!$J$4:$J$40),IF($BL48=1,SUM('Final Calculation Sheet'!$J$4:$J$40)-SUMIFS('Final Calculation Sheet'!$J$4:$J$40,$AZ$5:$AZ$41,10),SUMIFS('Final Calculation Sheet'!$J$4:$J$40,$AZ$5:$AZ$41,$BH48))),""))</f>
        <v/>
      </c>
      <c r="L48" s="70" t="str">
        <f>IF($BJ48&gt;0,IF(INDEX('Final Calculation Sheet'!$K$4:$K$40,$BJ48-3)="","",INDEX('Final Calculation Sheet'!$K$4:$K$40,$BJ48-3)),IF(OR($BI48=1,$BL48=1,$BH48&gt;0),IF($BI48=1,SUM('Final Calculation Sheet'!$K$4:$K$40),IF($BL48=1,SUM('Final Calculation Sheet'!$K$4:$K$40)-SUMIFS('Final Calculation Sheet'!$K$4:$K$40,$AZ$5:$AZ$41,10),SUMIFS('Final Calculation Sheet'!$K$4:$K$40,$AZ$5:$AZ$41,$BH48))),""))</f>
        <v/>
      </c>
      <c r="M48" s="70" t="str">
        <f>IF($BJ48&gt;0,IF(INDEX('Final Calculation Sheet'!$L$4:$L$40,$BJ48-3)="","",INDEX('Final Calculation Sheet'!$L$4:$L$40,$BJ48-3)),IF(OR($BI48=1,$BL48=1,$BH48&gt;0),IF($BI48=1,SUM('Final Calculation Sheet'!$L$4:$L$40),IF($BL48=1,SUM('Final Calculation Sheet'!$L$4:$L$40)-SUMIFS('Final Calculation Sheet'!$L$4:$L$40,$AZ$5:$AZ$41,10),SUMIFS('Final Calculation Sheet'!$L$4:$L$40,$AZ$5:$AZ$41,$BH48))),""))</f>
        <v/>
      </c>
      <c r="N48" s="70" t="str">
        <f>IF($BJ48&gt;0,IF(INDEX('Final Calculation Sheet'!$M$4:$M$40,$BJ48-3)="","",INDEX('Final Calculation Sheet'!$M$4:$M$40,$BJ48-3)),IF(OR($BI48=1,$BL48=1,$BH48&gt;0),IF($BI48=1,SUM('Final Calculation Sheet'!$M$4:$M$40),IF($BL48=1,SUM('Final Calculation Sheet'!$M$4:$M$40)-SUMIFS('Final Calculation Sheet'!$M$4:$M$40,$AZ$5:$AZ$41,10),SUMIFS('Final Calculation Sheet'!$M$4:$M$40,$AZ$5:$AZ$41,$BH48))),""))</f>
        <v/>
      </c>
      <c r="O48" s="71" t="str">
        <f>IF($BJ48&gt;0,IF(INDEX('Final Calculation Sheet'!$N$4:$N$40,$BJ48-3)="","",INDEX('Final Calculation Sheet'!$N$4:$N$40,$BJ48-3)),IF(OR($BI48=1,$BL48=1,$BH48&gt;0),IF($BI48=1,SUM('Final Calculation Sheet'!$N$4:$N$40),IF($BL48=1,SUM('Final Calculation Sheet'!$N$4:$N$40)-SUMIFS('Final Calculation Sheet'!$N$4:$N$40,$AZ$5:$AZ$41,10),SUMIFS('Final Calculation Sheet'!$N$4:$N$40,$AZ$5:$AZ$41,$BH48))),""))</f>
        <v/>
      </c>
      <c r="P48" s="70" t="str">
        <f>IF($BJ48&gt;0,IF(INDEX('Final Calculation Sheet'!$O$4:$O$40,$BJ48-3)="","",INDEX('Final Calculation Sheet'!$O$4:$O$40,$BJ48-3)),IF(OR($BI48=1,$BL48=1,$BH48&gt;0),IF($BI48=1,SUM('Final Calculation Sheet'!$O$4:$O$40),IF($BL48=1,SUM('Final Calculation Sheet'!$O$4:$O$40)-SUMIFS('Final Calculation Sheet'!$O$4:$O$40,$AZ$5:$AZ$41,10),SUMIFS('Final Calculation Sheet'!$O$4:$O$40,$AZ$5:$AZ$41,$BH48))),""))</f>
        <v/>
      </c>
      <c r="Q48" s="70" t="str">
        <f>IF($BJ48&gt;0,IF(INDEX('Final Calculation Sheet'!$P$4:$P$40,$BJ48-3)="","",INDEX('Final Calculation Sheet'!$P$4:$P$40,$BJ48-3)),IF(OR($BI48=1,$BL48=1,$BH48&gt;0),IF($BI48=1,SUM('Final Calculation Sheet'!$P$4:$P$40),IF($BL48=1,SUM('Final Calculation Sheet'!$P$4:$P$40)-SUMIFS('Final Calculation Sheet'!$P$4:$P$40,$AZ$5:$AZ$41,10),SUMIFS('Final Calculation Sheet'!$P$4:$P$40,$AZ$5:$AZ$41,$BH48))),""))</f>
        <v/>
      </c>
      <c r="R48" s="72" t="str">
        <f>IF($BJ48&gt;0,IF(INDEX('Final Calculation Sheet'!$Q$4:$Q$40,$BJ48-3)="","",INDEX('Final Calculation Sheet'!$Q$4:$Q$40,$BJ48-3)),IF(OR($BI48=1,$BL48=1,$BH48&gt;0),"–",""))</f>
        <v/>
      </c>
      <c r="S48" s="70" t="str">
        <f>IF($BJ48&gt;0,IF(INDEX('Final Calculation Sheet'!$R$4:$R$40,$BJ48-3)="","",INDEX('Final Calculation Sheet'!$R$4:$R$40,$BJ48-3)),IF(OR($BI48=1,$BL48=1,$BH48&gt;0),IF($BI48=1,SUM('Final Calculation Sheet'!$R$4:$R$40),IF($BL48=1,SUM('Final Calculation Sheet'!$R$4:$R$40)-SUMIFS('Final Calculation Sheet'!$R$4:$R$40,$AZ$5:$AZ$41,10),SUMIFS('Final Calculation Sheet'!$R$4:$R$40,$AZ$5:$AZ$41,$BH48))),""))</f>
        <v/>
      </c>
      <c r="T48" s="70" t="str">
        <f>IF($BJ48&gt;0,IF(INDEX('Final Calculation Sheet'!$S$4:$S$40,$BJ48-3)="","",INDEX('Final Calculation Sheet'!$S$4:$S$40,$BJ48-3)),IF(OR($BI48=1,$BL48=1,$BH48&gt;0),IF($BI48=1,SUM('Final Calculation Sheet'!$S$4:$S$40),IF($BL48=1,SUM('Final Calculation Sheet'!$S$4:$S$40)-SUMIFS('Final Calculation Sheet'!$S$4:$S$40,$AZ$5:$AZ$41,10),SUMIFS('Final Calculation Sheet'!$S$4:$S$40,$AZ$5:$AZ$41,$BH48))),""))</f>
        <v/>
      </c>
      <c r="U48" s="70" t="str">
        <f>IF($BJ48&gt;0,IF(INDEX('Final Calculation Sheet'!$T$4:$T$40,$BJ48-3)="","",INDEX('Final Calculation Sheet'!$T$4:$T$40,$BJ48-3)),IF(OR($BI48=1,$BL48=1,$BH48&gt;0),IF($BI48=1,SUM('Final Calculation Sheet'!$T$4:$T$40),IF($BL48=1,SUM('Final Calculation Sheet'!$T$4:$T$40)-SUMIFS('Final Calculation Sheet'!$T$4:$T$40,$AZ$5:$AZ$41,10),SUMIFS('Final Calculation Sheet'!$T$4:$T$40,$AZ$5:$AZ$41,$BH48))),""))</f>
        <v/>
      </c>
      <c r="V48" s="73" t="str">
        <f>IF($BJ48&gt;0,IF(INDEX('Final Calculation Sheet'!$U$4:$U$40,$BJ48-3)="","",INDEX('Final Calculation Sheet'!$U$4:$U$40,$BJ48-3)),IF(OR($BI48=1,$BL48=1,$BH48&gt;0),IF($BI48=1,SUM('Final Calculation Sheet'!$U$4:$U$40),IF($BL48=1,SUM('Final Calculation Sheet'!$U$4:$U$40)-SUMIFS('Final Calculation Sheet'!$U$4:$U$40,$AZ$5:$AZ$41,10),SUMIFS('Final Calculation Sheet'!$U$4:$U$40,$AZ$5:$AZ$41,$BH48))),""))</f>
        <v/>
      </c>
      <c r="W48" s="70" t="str">
        <f>IF($BJ48&gt;0,IF(INDEX('Final Calculation Sheet'!$V$4:$V$40,$BJ48-3)="","",INDEX('Final Calculation Sheet'!$V$4:$V$40,$BJ48-3)),IF(OR($BI48=1,$BL48=1,$BH48&gt;0),"–",""))</f>
        <v/>
      </c>
      <c r="X48" s="70" t="str">
        <f>IF($BJ48&gt;0,IF(INDEX('Final Calculation Sheet'!$W$4:$W$40,$BJ48-3)="","",INDEX('Final Calculation Sheet'!$W$4:$W$40,$BJ48-3)),IF(OR($BI48=1,$BL48=1,$BH48&gt;0),IF($BI48=1,SUM('Final Calculation Sheet'!$W$4:$W$40),IF($BL48=1,SUM('Final Calculation Sheet'!$W$4:$W$40)-SUMIFS('Final Calculation Sheet'!$W$4:$W$40,$AZ$5:$AZ$41,10),SUMIFS('Final Calculation Sheet'!$W$4:$W$40,$AZ$5:$AZ$41,$BH48))),""))</f>
        <v/>
      </c>
      <c r="Y48" s="70" t="str">
        <f>IF($BJ48&gt;0,IF(INDEX('Final Calculation Sheet'!$X$4:$X$40,$BJ48-3)="","",INDEX('Final Calculation Sheet'!$X$4:$X$40,$BJ48-3)),IF(OR($BI48=1,$BL48=1,$BH48&gt;0),IF($BI48=1,SUM('Final Calculation Sheet'!$X$4:$X$40),IF($BL48=1,SUM('Final Calculation Sheet'!$X$4:$X$40)-SUMIFS('Final Calculation Sheet'!$X$4:$X$40,$AZ$5:$AZ$41,10),SUMIFS('Final Calculation Sheet'!$X$4:$X$40,$AZ$5:$AZ$41,$BH48))),""))</f>
        <v/>
      </c>
      <c r="Z48" s="70" t="str">
        <f>IF($BJ48&gt;0,IF(INDEX('Final Calculation Sheet'!$Y$4:$Y$40,$BJ48-3)="","",INDEX('Final Calculation Sheet'!$Y$4:$Y$40,$BJ48-3)),IF(OR($BI48=1,$BL48=1,$BH48&gt;0),"–",""))</f>
        <v/>
      </c>
      <c r="AA48" s="70" t="str">
        <f>IF($BJ48&gt;0,IF(INDEX('Final Calculation Sheet'!$Z$4:$Z$40,$BJ48-3)="","",INDEX('Final Calculation Sheet'!$Z$4:$Z$40,$BJ48-3)),IF(OR($BI48=1,$BL48=1,$BH48&gt;0),IF($BI48=1,SUM('Final Calculation Sheet'!$Z$4:$Z$40),IF($BL48=1,SUM('Final Calculation Sheet'!$Z$4:$Z$40)-SUMIFS('Final Calculation Sheet'!$Z$4:$Z$40,$AZ$5:$AZ$41,10),SUMIFS('Final Calculation Sheet'!$Z$4:$Z$40,$AZ$5:$AZ$41,$BH48))),""))</f>
        <v/>
      </c>
      <c r="AB48" s="70" t="str">
        <f>IF($BJ48&gt;0,IF(INDEX('Final Calculation Sheet'!$AA$4:$AA$40,$BJ48-3)="","",INDEX('Final Calculation Sheet'!$AA$4:$AA$40,$BJ48-3)),IF(OR($BI48=1,$BL48=1,$BH48&gt;0),IF($BI48=1,SUM('Final Calculation Sheet'!$AA$4:$AA$40),IF($BL48=1,SUM('Final Calculation Sheet'!$AA$4:$AA$40)-SUMIFS('Final Calculation Sheet'!$AA$4:$AA$40,$AZ$5:$AZ$41,10),SUMIFS('Final Calculation Sheet'!$AA$4:$AA$40,$AZ$5:$AZ$41,$BH48))),""))</f>
        <v/>
      </c>
      <c r="AC48" s="70" t="str">
        <f>IF($BJ48&gt;0,IF(INDEX('Final Calculation Sheet'!$AB$4:$AB$40,$BJ48-3)="","",INDEX('Final Calculation Sheet'!$AB$4:$AB$40,$BJ48-3)),IF(OR($BI48=1,$BL48=1,$BH48&gt;0),"–",""))</f>
        <v/>
      </c>
      <c r="AD48" s="70" t="str">
        <f>IF($BJ48&gt;0,IF(INDEX('Final Calculation Sheet'!$AC$4:$AC$40,$BJ48-3)="","",INDEX('Final Calculation Sheet'!$AC$4:$AC$40,$BJ48-3)),IF(OR($BI48=1,$BL48=1,$BH48&gt;0),IF($BI48=1,SUM('Final Calculation Sheet'!$AC$4:$AC$40),IF($BL48=1,SUM('Final Calculation Sheet'!$AC$4:$AC$40)-SUMIFS('Final Calculation Sheet'!$AC$4:$AC$40,$AZ$5:$AZ$41,10),SUMIFS('Final Calculation Sheet'!$AC$4:$AC$40,$AZ$5:$AZ$41,$BH48))),""))</f>
        <v/>
      </c>
      <c r="AE48" s="70" t="str">
        <f>IF($BJ48&gt;0,IF(INDEX('Final Calculation Sheet'!$AD$4:$AD$40,$BJ48-3)="","",INDEX('Final Calculation Sheet'!$AD$4:$AD$40,$BJ48-3)),IF(OR($BI48=1,$BL48=1,$BH48&gt;0),IF($BI48=1,SUM('Final Calculation Sheet'!$AD$4:$AD$40),IF($BL48=1,SUM('Final Calculation Sheet'!$AD$4:$AD$40)-SUMIFS('Final Calculation Sheet'!$AD$4:$AD$40,$AZ$5:$AZ$41,10),SUMIFS('Final Calculation Sheet'!$AD$4:$AD$40,$AZ$5:$AZ$41,$BH48))),""))</f>
        <v/>
      </c>
      <c r="AF48" s="70" t="str">
        <f>IF($BJ48&gt;0,IF(INDEX('Final Calculation Sheet'!$AE$4:$AE$40,$BJ48-3)="","",INDEX('Final Calculation Sheet'!$AE$4:$AE$40,$BJ48-3)),IF(OR($BI48=1,$BL48=1,$BH48&gt;0),"–",""))</f>
        <v/>
      </c>
      <c r="AG48" s="74" t="str">
        <f>IF($BJ48&gt;0,IF(INDEX('Final Calculation Sheet'!$AF$4:$AF$40,$BJ48-3)="","",INDEX('Final Calculation Sheet'!$AF$4:$AF$40,$BJ48-3)),IF(OR($BI48=1,$BL48=1,$BH48&gt;0),"–",""))</f>
        <v/>
      </c>
      <c r="AH48" s="70" t="str">
        <f>IF($BJ48&gt;0,IF(INDEX('Final Calculation Sheet'!$AG$4:$AG$40,$BJ48-3)="","",INDEX('Final Calculation Sheet'!$AG$4:$AG$40,$BJ48-3)),IF(OR($BI48=1,$BL48=1,$BH48&gt;0),"–",""))</f>
        <v/>
      </c>
      <c r="AI48" s="75" t="str">
        <f>IF($BJ48&gt;0,IF(INDEX('Final Calculation Sheet'!$AD$4:$AD$40,$BJ48-3)="","",IF(INDEX('Final Calculation Sheet'!$AD$4:$AD$40,$BJ48-3)&lt;=0,"SETTLED","OUTSTANDING")),IF(OR($BI48=1,$BL48=1,$BH48&gt;0),IF(IF($BI48=1,SUM('Final Calculation Sheet'!$AD$4:$AD$40),IF($BL48=1,SUM('Final Calculation Sheet'!$AD$4:$AD$40)-SUMIFS('Final Calculation Sheet'!$AD$4:$AD$40,$AZ$5:$AZ$41,10),SUMIFS('Final Calculation Sheet'!$AD$4:$AD$40,$AZ$5:$AZ$41,$BH48)))&lt;=0,"ALL SETTLED","OUTSTANDING"),""))</f>
        <v/>
      </c>
      <c r="BH48">
        <f>IFERROR(MATCH(48,$BF$4:$BF$13,0),0)</f>
        <v>0</v>
      </c>
      <c r="BI48">
        <f>IF(48=$BG$5,1,0)</f>
        <v>0</v>
      </c>
      <c r="BJ48">
        <f>IF(OR($BH48&gt;0,$BI48=1,$BL48=1),0,IFERROR(INDEX($BC$5:$BC$41,MATCH(48,$BB$5:$BB$41,0)),0))</f>
        <v>0</v>
      </c>
      <c r="BK48">
        <f>IF($BJ48&gt;0,IF(INDEX($AZ$5:$AZ$41,MATCH(48,$BB$5:$BB$41,0))=10,1,0),IF($BH48=10,1,0))</f>
        <v>0</v>
      </c>
      <c r="BL48">
        <f>IF(48=$BG$4,1,0)</f>
        <v>0</v>
      </c>
    </row>
    <row r="49" spans="1:64" ht="15" customHeight="1" x14ac:dyDescent="0.25">
      <c r="A49" s="67" t="str">
        <f>IF($BJ49&gt;0,INDEX($BA$5:$BA$41,MATCH(49,$BB$5:$BB$41,0)),IF(OR($BI49=1,$BL49=1,$BH49&gt;0),"∑",""))</f>
        <v/>
      </c>
      <c r="B49" s="68" t="str">
        <f>IF($BJ49&gt;0,IF(INDEX('Final Calculation Sheet'!$F$4:$F$40,$BJ49-3)="","",INDEX('Final Calculation Sheet'!$F$4:$F$40,$BJ49-3)),"")</f>
        <v/>
      </c>
      <c r="C49" s="68" t="str">
        <f>IF($BJ49&gt;0,IF(INDEX('Final Calculation Sheet'!$G$4:$G$40,$BJ49-3)="","",INDEX('Final Calculation Sheet'!$G$4:$G$40,$BJ49-3)),IF(OR($BI49=1,$BL49=1,$BH49&gt;0),IF($BI49=1,37,IF($BL49=1,37-INDEX($BD$4:$BD$13,10),INDEX($BD$4:$BD$13,$BH49)))&amp;" lot(s)",""))</f>
        <v/>
      </c>
      <c r="D49" s="69" t="str">
        <f>IF($BJ49&gt;0,IF(INDEX('Final Calculation Sheet'!$B$4:$B$40,$BJ49-3)="","",INDEX('Final Calculation Sheet'!$B$4:$B$40,$BJ49-3)),IF(OR($BI49=1,$BL49=1,$BH49&gt;0),IF($BI49=1,"GRAND TOTAL  —  matching + remaining",IF($BL49=1,"TOTAL MATCHED  —  every group together",IF($BH49=10,"REMAINING  —  did not match the search",IF($BH49=9,"ALL LOTS  —  nothing typed in the box","GROUP "&amp;$BH49&amp;" TOTAL  —  lots matching  "&amp;INDEX($AR$6:$AY$6,$BH49))))),""))</f>
        <v/>
      </c>
      <c r="E49" s="69" t="str">
        <f>IF($BJ49&gt;0,IF(INDEX('Final Calculation Sheet'!$D$4:$D$40,$BJ49-3)="","",INDEX('Final Calculation Sheet'!$D$4:$D$40,$BJ49-3)),IF(OR($BI49=1,$BL49=1,$BH49&gt;0),"–",""))</f>
        <v/>
      </c>
      <c r="F49" s="69" t="str">
        <f>IF($BJ49&gt;0,IF(INDEX('Final Calculation Sheet'!$A$4:$A$40,$BJ49-3)="","",INDEX('Final Calculation Sheet'!$A$4:$A$40,$BJ49-3)),IF(OR($BI49=1,$BL49=1,$BH49&gt;0),IF($BI49=1,SUM('Final Calculation Sheet'!$A$4:$A$40),IF($BL49=1,SUM('Final Calculation Sheet'!$A$4:$A$40)-SUMIFS('Final Calculation Sheet'!$A$4:$A$40,$AZ$5:$AZ$41,10),SUMIFS('Final Calculation Sheet'!$A$4:$A$40,$AZ$5:$AZ$41,$BH49))),""))</f>
        <v/>
      </c>
      <c r="G49" s="69" t="str">
        <f>IF($BJ49&gt;0,IF(INDEX('Final Calculation Sheet'!$E$4:$E$40,$BJ49-3)="","",INDEX('Final Calculation Sheet'!$E$4:$E$40,$BJ49-3)),IF(OR($BI49=1,$BL49=1,$BH49&gt;0),"–",""))</f>
        <v/>
      </c>
      <c r="H49" s="70" t="str">
        <f>IF($BJ49&gt;0,IF(INDEX('Final Calculation Sheet'!$C$4:$C$40,$BJ49-3)="","",INDEX('Final Calculation Sheet'!$C$4:$C$40,$BJ49-3)),IF(OR($BI49=1,$BL49=1,$BH49&gt;0),"–",""))</f>
        <v/>
      </c>
      <c r="I49" s="70" t="str">
        <f>IF($BJ49&gt;0,IF(INDEX('Final Calculation Sheet'!$H$4:$H$40,$BJ49-3)="","",INDEX('Final Calculation Sheet'!$H$4:$H$40,$BJ49-3)),IF(OR($BI49=1,$BL49=1,$BH49&gt;0),IF($BI49=1,SUM('Final Calculation Sheet'!$H$4:$H$40),IF($BL49=1,SUM('Final Calculation Sheet'!$H$4:$H$40)-SUMIFS('Final Calculation Sheet'!$H$4:$H$40,$AZ$5:$AZ$41,10),SUMIFS('Final Calculation Sheet'!$H$4:$H$40,$AZ$5:$AZ$41,$BH49))),""))</f>
        <v/>
      </c>
      <c r="J49" s="70" t="str">
        <f>IF($BJ49&gt;0,IF(INDEX('Final Calculation Sheet'!$I$4:$I$40,$BJ49-3)="","",INDEX('Final Calculation Sheet'!$I$4:$I$40,$BJ49-3)),IF(OR($BI49=1,$BL49=1,$BH49&gt;0),IF($BI49=1,SUM('Final Calculation Sheet'!$I$4:$I$40),IF($BL49=1,SUM('Final Calculation Sheet'!$I$4:$I$40)-SUMIFS('Final Calculation Sheet'!$I$4:$I$40,$AZ$5:$AZ$41,10),SUMIFS('Final Calculation Sheet'!$I$4:$I$40,$AZ$5:$AZ$41,$BH49))),""))</f>
        <v/>
      </c>
      <c r="K49" s="70" t="str">
        <f>IF($BJ49&gt;0,IF(INDEX('Final Calculation Sheet'!$J$4:$J$40,$BJ49-3)="","",INDEX('Final Calculation Sheet'!$J$4:$J$40,$BJ49-3)),IF(OR($BI49=1,$BL49=1,$BH49&gt;0),IF($BI49=1,SUM('Final Calculation Sheet'!$J$4:$J$40),IF($BL49=1,SUM('Final Calculation Sheet'!$J$4:$J$40)-SUMIFS('Final Calculation Sheet'!$J$4:$J$40,$AZ$5:$AZ$41,10),SUMIFS('Final Calculation Sheet'!$J$4:$J$40,$AZ$5:$AZ$41,$BH49))),""))</f>
        <v/>
      </c>
      <c r="L49" s="70" t="str">
        <f>IF($BJ49&gt;0,IF(INDEX('Final Calculation Sheet'!$K$4:$K$40,$BJ49-3)="","",INDEX('Final Calculation Sheet'!$K$4:$K$40,$BJ49-3)),IF(OR($BI49=1,$BL49=1,$BH49&gt;0),IF($BI49=1,SUM('Final Calculation Sheet'!$K$4:$K$40),IF($BL49=1,SUM('Final Calculation Sheet'!$K$4:$K$40)-SUMIFS('Final Calculation Sheet'!$K$4:$K$40,$AZ$5:$AZ$41,10),SUMIFS('Final Calculation Sheet'!$K$4:$K$40,$AZ$5:$AZ$41,$BH49))),""))</f>
        <v/>
      </c>
      <c r="M49" s="70" t="str">
        <f>IF($BJ49&gt;0,IF(INDEX('Final Calculation Sheet'!$L$4:$L$40,$BJ49-3)="","",INDEX('Final Calculation Sheet'!$L$4:$L$40,$BJ49-3)),IF(OR($BI49=1,$BL49=1,$BH49&gt;0),IF($BI49=1,SUM('Final Calculation Sheet'!$L$4:$L$40),IF($BL49=1,SUM('Final Calculation Sheet'!$L$4:$L$40)-SUMIFS('Final Calculation Sheet'!$L$4:$L$40,$AZ$5:$AZ$41,10),SUMIFS('Final Calculation Sheet'!$L$4:$L$40,$AZ$5:$AZ$41,$BH49))),""))</f>
        <v/>
      </c>
      <c r="N49" s="70" t="str">
        <f>IF($BJ49&gt;0,IF(INDEX('Final Calculation Sheet'!$M$4:$M$40,$BJ49-3)="","",INDEX('Final Calculation Sheet'!$M$4:$M$40,$BJ49-3)),IF(OR($BI49=1,$BL49=1,$BH49&gt;0),IF($BI49=1,SUM('Final Calculation Sheet'!$M$4:$M$40),IF($BL49=1,SUM('Final Calculation Sheet'!$M$4:$M$40)-SUMIFS('Final Calculation Sheet'!$M$4:$M$40,$AZ$5:$AZ$41,10),SUMIFS('Final Calculation Sheet'!$M$4:$M$40,$AZ$5:$AZ$41,$BH49))),""))</f>
        <v/>
      </c>
      <c r="O49" s="71" t="str">
        <f>IF($BJ49&gt;0,IF(INDEX('Final Calculation Sheet'!$N$4:$N$40,$BJ49-3)="","",INDEX('Final Calculation Sheet'!$N$4:$N$40,$BJ49-3)),IF(OR($BI49=1,$BL49=1,$BH49&gt;0),IF($BI49=1,SUM('Final Calculation Sheet'!$N$4:$N$40),IF($BL49=1,SUM('Final Calculation Sheet'!$N$4:$N$40)-SUMIFS('Final Calculation Sheet'!$N$4:$N$40,$AZ$5:$AZ$41,10),SUMIFS('Final Calculation Sheet'!$N$4:$N$40,$AZ$5:$AZ$41,$BH49))),""))</f>
        <v/>
      </c>
      <c r="P49" s="70" t="str">
        <f>IF($BJ49&gt;0,IF(INDEX('Final Calculation Sheet'!$O$4:$O$40,$BJ49-3)="","",INDEX('Final Calculation Sheet'!$O$4:$O$40,$BJ49-3)),IF(OR($BI49=1,$BL49=1,$BH49&gt;0),IF($BI49=1,SUM('Final Calculation Sheet'!$O$4:$O$40),IF($BL49=1,SUM('Final Calculation Sheet'!$O$4:$O$40)-SUMIFS('Final Calculation Sheet'!$O$4:$O$40,$AZ$5:$AZ$41,10),SUMIFS('Final Calculation Sheet'!$O$4:$O$40,$AZ$5:$AZ$41,$BH49))),""))</f>
        <v/>
      </c>
      <c r="Q49" s="70" t="str">
        <f>IF($BJ49&gt;0,IF(INDEX('Final Calculation Sheet'!$P$4:$P$40,$BJ49-3)="","",INDEX('Final Calculation Sheet'!$P$4:$P$40,$BJ49-3)),IF(OR($BI49=1,$BL49=1,$BH49&gt;0),IF($BI49=1,SUM('Final Calculation Sheet'!$P$4:$P$40),IF($BL49=1,SUM('Final Calculation Sheet'!$P$4:$P$40)-SUMIFS('Final Calculation Sheet'!$P$4:$P$40,$AZ$5:$AZ$41,10),SUMIFS('Final Calculation Sheet'!$P$4:$P$40,$AZ$5:$AZ$41,$BH49))),""))</f>
        <v/>
      </c>
      <c r="R49" s="72" t="str">
        <f>IF($BJ49&gt;0,IF(INDEX('Final Calculation Sheet'!$Q$4:$Q$40,$BJ49-3)="","",INDEX('Final Calculation Sheet'!$Q$4:$Q$40,$BJ49-3)),IF(OR($BI49=1,$BL49=1,$BH49&gt;0),"–",""))</f>
        <v/>
      </c>
      <c r="S49" s="70" t="str">
        <f>IF($BJ49&gt;0,IF(INDEX('Final Calculation Sheet'!$R$4:$R$40,$BJ49-3)="","",INDEX('Final Calculation Sheet'!$R$4:$R$40,$BJ49-3)),IF(OR($BI49=1,$BL49=1,$BH49&gt;0),IF($BI49=1,SUM('Final Calculation Sheet'!$R$4:$R$40),IF($BL49=1,SUM('Final Calculation Sheet'!$R$4:$R$40)-SUMIFS('Final Calculation Sheet'!$R$4:$R$40,$AZ$5:$AZ$41,10),SUMIFS('Final Calculation Sheet'!$R$4:$R$40,$AZ$5:$AZ$41,$BH49))),""))</f>
        <v/>
      </c>
      <c r="T49" s="70" t="str">
        <f>IF($BJ49&gt;0,IF(INDEX('Final Calculation Sheet'!$S$4:$S$40,$BJ49-3)="","",INDEX('Final Calculation Sheet'!$S$4:$S$40,$BJ49-3)),IF(OR($BI49=1,$BL49=1,$BH49&gt;0),IF($BI49=1,SUM('Final Calculation Sheet'!$S$4:$S$40),IF($BL49=1,SUM('Final Calculation Sheet'!$S$4:$S$40)-SUMIFS('Final Calculation Sheet'!$S$4:$S$40,$AZ$5:$AZ$41,10),SUMIFS('Final Calculation Sheet'!$S$4:$S$40,$AZ$5:$AZ$41,$BH49))),""))</f>
        <v/>
      </c>
      <c r="U49" s="70" t="str">
        <f>IF($BJ49&gt;0,IF(INDEX('Final Calculation Sheet'!$T$4:$T$40,$BJ49-3)="","",INDEX('Final Calculation Sheet'!$T$4:$T$40,$BJ49-3)),IF(OR($BI49=1,$BL49=1,$BH49&gt;0),IF($BI49=1,SUM('Final Calculation Sheet'!$T$4:$T$40),IF($BL49=1,SUM('Final Calculation Sheet'!$T$4:$T$40)-SUMIFS('Final Calculation Sheet'!$T$4:$T$40,$AZ$5:$AZ$41,10),SUMIFS('Final Calculation Sheet'!$T$4:$T$40,$AZ$5:$AZ$41,$BH49))),""))</f>
        <v/>
      </c>
      <c r="V49" s="73" t="str">
        <f>IF($BJ49&gt;0,IF(INDEX('Final Calculation Sheet'!$U$4:$U$40,$BJ49-3)="","",INDEX('Final Calculation Sheet'!$U$4:$U$40,$BJ49-3)),IF(OR($BI49=1,$BL49=1,$BH49&gt;0),IF($BI49=1,SUM('Final Calculation Sheet'!$U$4:$U$40),IF($BL49=1,SUM('Final Calculation Sheet'!$U$4:$U$40)-SUMIFS('Final Calculation Sheet'!$U$4:$U$40,$AZ$5:$AZ$41,10),SUMIFS('Final Calculation Sheet'!$U$4:$U$40,$AZ$5:$AZ$41,$BH49))),""))</f>
        <v/>
      </c>
      <c r="W49" s="70" t="str">
        <f>IF($BJ49&gt;0,IF(INDEX('Final Calculation Sheet'!$V$4:$V$40,$BJ49-3)="","",INDEX('Final Calculation Sheet'!$V$4:$V$40,$BJ49-3)),IF(OR($BI49=1,$BL49=1,$BH49&gt;0),"–",""))</f>
        <v/>
      </c>
      <c r="X49" s="70" t="str">
        <f>IF($BJ49&gt;0,IF(INDEX('Final Calculation Sheet'!$W$4:$W$40,$BJ49-3)="","",INDEX('Final Calculation Sheet'!$W$4:$W$40,$BJ49-3)),IF(OR($BI49=1,$BL49=1,$BH49&gt;0),IF($BI49=1,SUM('Final Calculation Sheet'!$W$4:$W$40),IF($BL49=1,SUM('Final Calculation Sheet'!$W$4:$W$40)-SUMIFS('Final Calculation Sheet'!$W$4:$W$40,$AZ$5:$AZ$41,10),SUMIFS('Final Calculation Sheet'!$W$4:$W$40,$AZ$5:$AZ$41,$BH49))),""))</f>
        <v/>
      </c>
      <c r="Y49" s="70" t="str">
        <f>IF($BJ49&gt;0,IF(INDEX('Final Calculation Sheet'!$X$4:$X$40,$BJ49-3)="","",INDEX('Final Calculation Sheet'!$X$4:$X$40,$BJ49-3)),IF(OR($BI49=1,$BL49=1,$BH49&gt;0),IF($BI49=1,SUM('Final Calculation Sheet'!$X$4:$X$40),IF($BL49=1,SUM('Final Calculation Sheet'!$X$4:$X$40)-SUMIFS('Final Calculation Sheet'!$X$4:$X$40,$AZ$5:$AZ$41,10),SUMIFS('Final Calculation Sheet'!$X$4:$X$40,$AZ$5:$AZ$41,$BH49))),""))</f>
        <v/>
      </c>
      <c r="Z49" s="70" t="str">
        <f>IF($BJ49&gt;0,IF(INDEX('Final Calculation Sheet'!$Y$4:$Y$40,$BJ49-3)="","",INDEX('Final Calculation Sheet'!$Y$4:$Y$40,$BJ49-3)),IF(OR($BI49=1,$BL49=1,$BH49&gt;0),"–",""))</f>
        <v/>
      </c>
      <c r="AA49" s="70" t="str">
        <f>IF($BJ49&gt;0,IF(INDEX('Final Calculation Sheet'!$Z$4:$Z$40,$BJ49-3)="","",INDEX('Final Calculation Sheet'!$Z$4:$Z$40,$BJ49-3)),IF(OR($BI49=1,$BL49=1,$BH49&gt;0),IF($BI49=1,SUM('Final Calculation Sheet'!$Z$4:$Z$40),IF($BL49=1,SUM('Final Calculation Sheet'!$Z$4:$Z$40)-SUMIFS('Final Calculation Sheet'!$Z$4:$Z$40,$AZ$5:$AZ$41,10),SUMIFS('Final Calculation Sheet'!$Z$4:$Z$40,$AZ$5:$AZ$41,$BH49))),""))</f>
        <v/>
      </c>
      <c r="AB49" s="70" t="str">
        <f>IF($BJ49&gt;0,IF(INDEX('Final Calculation Sheet'!$AA$4:$AA$40,$BJ49-3)="","",INDEX('Final Calculation Sheet'!$AA$4:$AA$40,$BJ49-3)),IF(OR($BI49=1,$BL49=1,$BH49&gt;0),IF($BI49=1,SUM('Final Calculation Sheet'!$AA$4:$AA$40),IF($BL49=1,SUM('Final Calculation Sheet'!$AA$4:$AA$40)-SUMIFS('Final Calculation Sheet'!$AA$4:$AA$40,$AZ$5:$AZ$41,10),SUMIFS('Final Calculation Sheet'!$AA$4:$AA$40,$AZ$5:$AZ$41,$BH49))),""))</f>
        <v/>
      </c>
      <c r="AC49" s="70" t="str">
        <f>IF($BJ49&gt;0,IF(INDEX('Final Calculation Sheet'!$AB$4:$AB$40,$BJ49-3)="","",INDEX('Final Calculation Sheet'!$AB$4:$AB$40,$BJ49-3)),IF(OR($BI49=1,$BL49=1,$BH49&gt;0),"–",""))</f>
        <v/>
      </c>
      <c r="AD49" s="70" t="str">
        <f>IF($BJ49&gt;0,IF(INDEX('Final Calculation Sheet'!$AC$4:$AC$40,$BJ49-3)="","",INDEX('Final Calculation Sheet'!$AC$4:$AC$40,$BJ49-3)),IF(OR($BI49=1,$BL49=1,$BH49&gt;0),IF($BI49=1,SUM('Final Calculation Sheet'!$AC$4:$AC$40),IF($BL49=1,SUM('Final Calculation Sheet'!$AC$4:$AC$40)-SUMIFS('Final Calculation Sheet'!$AC$4:$AC$40,$AZ$5:$AZ$41,10),SUMIFS('Final Calculation Sheet'!$AC$4:$AC$40,$AZ$5:$AZ$41,$BH49))),""))</f>
        <v/>
      </c>
      <c r="AE49" s="70" t="str">
        <f>IF($BJ49&gt;0,IF(INDEX('Final Calculation Sheet'!$AD$4:$AD$40,$BJ49-3)="","",INDEX('Final Calculation Sheet'!$AD$4:$AD$40,$BJ49-3)),IF(OR($BI49=1,$BL49=1,$BH49&gt;0),IF($BI49=1,SUM('Final Calculation Sheet'!$AD$4:$AD$40),IF($BL49=1,SUM('Final Calculation Sheet'!$AD$4:$AD$40)-SUMIFS('Final Calculation Sheet'!$AD$4:$AD$40,$AZ$5:$AZ$41,10),SUMIFS('Final Calculation Sheet'!$AD$4:$AD$40,$AZ$5:$AZ$41,$BH49))),""))</f>
        <v/>
      </c>
      <c r="AF49" s="70" t="str">
        <f>IF($BJ49&gt;0,IF(INDEX('Final Calculation Sheet'!$AE$4:$AE$40,$BJ49-3)="","",INDEX('Final Calculation Sheet'!$AE$4:$AE$40,$BJ49-3)),IF(OR($BI49=1,$BL49=1,$BH49&gt;0),"–",""))</f>
        <v/>
      </c>
      <c r="AG49" s="74" t="str">
        <f>IF($BJ49&gt;0,IF(INDEX('Final Calculation Sheet'!$AF$4:$AF$40,$BJ49-3)="","",INDEX('Final Calculation Sheet'!$AF$4:$AF$40,$BJ49-3)),IF(OR($BI49=1,$BL49=1,$BH49&gt;0),"–",""))</f>
        <v/>
      </c>
      <c r="AH49" s="70" t="str">
        <f>IF($BJ49&gt;0,IF(INDEX('Final Calculation Sheet'!$AG$4:$AG$40,$BJ49-3)="","",INDEX('Final Calculation Sheet'!$AG$4:$AG$40,$BJ49-3)),IF(OR($BI49=1,$BL49=1,$BH49&gt;0),"–",""))</f>
        <v/>
      </c>
      <c r="AI49" s="75" t="str">
        <f>IF($BJ49&gt;0,IF(INDEX('Final Calculation Sheet'!$AD$4:$AD$40,$BJ49-3)="","",IF(INDEX('Final Calculation Sheet'!$AD$4:$AD$40,$BJ49-3)&lt;=0,"SETTLED","OUTSTANDING")),IF(OR($BI49=1,$BL49=1,$BH49&gt;0),IF(IF($BI49=1,SUM('Final Calculation Sheet'!$AD$4:$AD$40),IF($BL49=1,SUM('Final Calculation Sheet'!$AD$4:$AD$40)-SUMIFS('Final Calculation Sheet'!$AD$4:$AD$40,$AZ$5:$AZ$41,10),SUMIFS('Final Calculation Sheet'!$AD$4:$AD$40,$AZ$5:$AZ$41,$BH49)))&lt;=0,"ALL SETTLED","OUTSTANDING"),""))</f>
        <v/>
      </c>
      <c r="BH49">
        <f>IFERROR(MATCH(49,$BF$4:$BF$13,0),0)</f>
        <v>0</v>
      </c>
      <c r="BI49">
        <f>IF(49=$BG$5,1,0)</f>
        <v>0</v>
      </c>
      <c r="BJ49">
        <f>IF(OR($BH49&gt;0,$BI49=1,$BL49=1),0,IFERROR(INDEX($BC$5:$BC$41,MATCH(49,$BB$5:$BB$41,0)),0))</f>
        <v>0</v>
      </c>
      <c r="BK49">
        <f>IF($BJ49&gt;0,IF(INDEX($AZ$5:$AZ$41,MATCH(49,$BB$5:$BB$41,0))=10,1,0),IF($BH49=10,1,0))</f>
        <v>0</v>
      </c>
      <c r="BL49">
        <f>IF(49=$BG$4,1,0)</f>
        <v>0</v>
      </c>
    </row>
    <row r="50" spans="1:64" ht="15" customHeight="1" x14ac:dyDescent="0.25">
      <c r="A50" s="67" t="str">
        <f>IF($BJ50&gt;0,INDEX($BA$5:$BA$41,MATCH(50,$BB$5:$BB$41,0)),IF(OR($BI50=1,$BL50=1,$BH50&gt;0),"∑",""))</f>
        <v/>
      </c>
      <c r="B50" s="68" t="str">
        <f>IF($BJ50&gt;0,IF(INDEX('Final Calculation Sheet'!$F$4:$F$40,$BJ50-3)="","",INDEX('Final Calculation Sheet'!$F$4:$F$40,$BJ50-3)),"")</f>
        <v/>
      </c>
      <c r="C50" s="68" t="str">
        <f>IF($BJ50&gt;0,IF(INDEX('Final Calculation Sheet'!$G$4:$G$40,$BJ50-3)="","",INDEX('Final Calculation Sheet'!$G$4:$G$40,$BJ50-3)),IF(OR($BI50=1,$BL50=1,$BH50&gt;0),IF($BI50=1,37,IF($BL50=1,37-INDEX($BD$4:$BD$13,10),INDEX($BD$4:$BD$13,$BH50)))&amp;" lot(s)",""))</f>
        <v/>
      </c>
      <c r="D50" s="69" t="str">
        <f>IF($BJ50&gt;0,IF(INDEX('Final Calculation Sheet'!$B$4:$B$40,$BJ50-3)="","",INDEX('Final Calculation Sheet'!$B$4:$B$40,$BJ50-3)),IF(OR($BI50=1,$BL50=1,$BH50&gt;0),IF($BI50=1,"GRAND TOTAL  —  matching + remaining",IF($BL50=1,"TOTAL MATCHED  —  every group together",IF($BH50=10,"REMAINING  —  did not match the search",IF($BH50=9,"ALL LOTS  —  nothing typed in the box","GROUP "&amp;$BH50&amp;" TOTAL  —  lots matching  "&amp;INDEX($AR$6:$AY$6,$BH50))))),""))</f>
        <v/>
      </c>
      <c r="E50" s="69" t="str">
        <f>IF($BJ50&gt;0,IF(INDEX('Final Calculation Sheet'!$D$4:$D$40,$BJ50-3)="","",INDEX('Final Calculation Sheet'!$D$4:$D$40,$BJ50-3)),IF(OR($BI50=1,$BL50=1,$BH50&gt;0),"–",""))</f>
        <v/>
      </c>
      <c r="F50" s="69" t="str">
        <f>IF($BJ50&gt;0,IF(INDEX('Final Calculation Sheet'!$A$4:$A$40,$BJ50-3)="","",INDEX('Final Calculation Sheet'!$A$4:$A$40,$BJ50-3)),IF(OR($BI50=1,$BL50=1,$BH50&gt;0),IF($BI50=1,SUM('Final Calculation Sheet'!$A$4:$A$40),IF($BL50=1,SUM('Final Calculation Sheet'!$A$4:$A$40)-SUMIFS('Final Calculation Sheet'!$A$4:$A$40,$AZ$5:$AZ$41,10),SUMIFS('Final Calculation Sheet'!$A$4:$A$40,$AZ$5:$AZ$41,$BH50))),""))</f>
        <v/>
      </c>
      <c r="G50" s="69" t="str">
        <f>IF($BJ50&gt;0,IF(INDEX('Final Calculation Sheet'!$E$4:$E$40,$BJ50-3)="","",INDEX('Final Calculation Sheet'!$E$4:$E$40,$BJ50-3)),IF(OR($BI50=1,$BL50=1,$BH50&gt;0),"–",""))</f>
        <v/>
      </c>
      <c r="H50" s="70" t="str">
        <f>IF($BJ50&gt;0,IF(INDEX('Final Calculation Sheet'!$C$4:$C$40,$BJ50-3)="","",INDEX('Final Calculation Sheet'!$C$4:$C$40,$BJ50-3)),IF(OR($BI50=1,$BL50=1,$BH50&gt;0),"–",""))</f>
        <v/>
      </c>
      <c r="I50" s="70" t="str">
        <f>IF($BJ50&gt;0,IF(INDEX('Final Calculation Sheet'!$H$4:$H$40,$BJ50-3)="","",INDEX('Final Calculation Sheet'!$H$4:$H$40,$BJ50-3)),IF(OR($BI50=1,$BL50=1,$BH50&gt;0),IF($BI50=1,SUM('Final Calculation Sheet'!$H$4:$H$40),IF($BL50=1,SUM('Final Calculation Sheet'!$H$4:$H$40)-SUMIFS('Final Calculation Sheet'!$H$4:$H$40,$AZ$5:$AZ$41,10),SUMIFS('Final Calculation Sheet'!$H$4:$H$40,$AZ$5:$AZ$41,$BH50))),""))</f>
        <v/>
      </c>
      <c r="J50" s="70" t="str">
        <f>IF($BJ50&gt;0,IF(INDEX('Final Calculation Sheet'!$I$4:$I$40,$BJ50-3)="","",INDEX('Final Calculation Sheet'!$I$4:$I$40,$BJ50-3)),IF(OR($BI50=1,$BL50=1,$BH50&gt;0),IF($BI50=1,SUM('Final Calculation Sheet'!$I$4:$I$40),IF($BL50=1,SUM('Final Calculation Sheet'!$I$4:$I$40)-SUMIFS('Final Calculation Sheet'!$I$4:$I$40,$AZ$5:$AZ$41,10),SUMIFS('Final Calculation Sheet'!$I$4:$I$40,$AZ$5:$AZ$41,$BH50))),""))</f>
        <v/>
      </c>
      <c r="K50" s="70" t="str">
        <f>IF($BJ50&gt;0,IF(INDEX('Final Calculation Sheet'!$J$4:$J$40,$BJ50-3)="","",INDEX('Final Calculation Sheet'!$J$4:$J$40,$BJ50-3)),IF(OR($BI50=1,$BL50=1,$BH50&gt;0),IF($BI50=1,SUM('Final Calculation Sheet'!$J$4:$J$40),IF($BL50=1,SUM('Final Calculation Sheet'!$J$4:$J$40)-SUMIFS('Final Calculation Sheet'!$J$4:$J$40,$AZ$5:$AZ$41,10),SUMIFS('Final Calculation Sheet'!$J$4:$J$40,$AZ$5:$AZ$41,$BH50))),""))</f>
        <v/>
      </c>
      <c r="L50" s="70" t="str">
        <f>IF($BJ50&gt;0,IF(INDEX('Final Calculation Sheet'!$K$4:$K$40,$BJ50-3)="","",INDEX('Final Calculation Sheet'!$K$4:$K$40,$BJ50-3)),IF(OR($BI50=1,$BL50=1,$BH50&gt;0),IF($BI50=1,SUM('Final Calculation Sheet'!$K$4:$K$40),IF($BL50=1,SUM('Final Calculation Sheet'!$K$4:$K$40)-SUMIFS('Final Calculation Sheet'!$K$4:$K$40,$AZ$5:$AZ$41,10),SUMIFS('Final Calculation Sheet'!$K$4:$K$40,$AZ$5:$AZ$41,$BH50))),""))</f>
        <v/>
      </c>
      <c r="M50" s="70" t="str">
        <f>IF($BJ50&gt;0,IF(INDEX('Final Calculation Sheet'!$L$4:$L$40,$BJ50-3)="","",INDEX('Final Calculation Sheet'!$L$4:$L$40,$BJ50-3)),IF(OR($BI50=1,$BL50=1,$BH50&gt;0),IF($BI50=1,SUM('Final Calculation Sheet'!$L$4:$L$40),IF($BL50=1,SUM('Final Calculation Sheet'!$L$4:$L$40)-SUMIFS('Final Calculation Sheet'!$L$4:$L$40,$AZ$5:$AZ$41,10),SUMIFS('Final Calculation Sheet'!$L$4:$L$40,$AZ$5:$AZ$41,$BH50))),""))</f>
        <v/>
      </c>
      <c r="N50" s="70" t="str">
        <f>IF($BJ50&gt;0,IF(INDEX('Final Calculation Sheet'!$M$4:$M$40,$BJ50-3)="","",INDEX('Final Calculation Sheet'!$M$4:$M$40,$BJ50-3)),IF(OR($BI50=1,$BL50=1,$BH50&gt;0),IF($BI50=1,SUM('Final Calculation Sheet'!$M$4:$M$40),IF($BL50=1,SUM('Final Calculation Sheet'!$M$4:$M$40)-SUMIFS('Final Calculation Sheet'!$M$4:$M$40,$AZ$5:$AZ$41,10),SUMIFS('Final Calculation Sheet'!$M$4:$M$40,$AZ$5:$AZ$41,$BH50))),""))</f>
        <v/>
      </c>
      <c r="O50" s="71" t="str">
        <f>IF($BJ50&gt;0,IF(INDEX('Final Calculation Sheet'!$N$4:$N$40,$BJ50-3)="","",INDEX('Final Calculation Sheet'!$N$4:$N$40,$BJ50-3)),IF(OR($BI50=1,$BL50=1,$BH50&gt;0),IF($BI50=1,SUM('Final Calculation Sheet'!$N$4:$N$40),IF($BL50=1,SUM('Final Calculation Sheet'!$N$4:$N$40)-SUMIFS('Final Calculation Sheet'!$N$4:$N$40,$AZ$5:$AZ$41,10),SUMIFS('Final Calculation Sheet'!$N$4:$N$40,$AZ$5:$AZ$41,$BH50))),""))</f>
        <v/>
      </c>
      <c r="P50" s="70" t="str">
        <f>IF($BJ50&gt;0,IF(INDEX('Final Calculation Sheet'!$O$4:$O$40,$BJ50-3)="","",INDEX('Final Calculation Sheet'!$O$4:$O$40,$BJ50-3)),IF(OR($BI50=1,$BL50=1,$BH50&gt;0),IF($BI50=1,SUM('Final Calculation Sheet'!$O$4:$O$40),IF($BL50=1,SUM('Final Calculation Sheet'!$O$4:$O$40)-SUMIFS('Final Calculation Sheet'!$O$4:$O$40,$AZ$5:$AZ$41,10),SUMIFS('Final Calculation Sheet'!$O$4:$O$40,$AZ$5:$AZ$41,$BH50))),""))</f>
        <v/>
      </c>
      <c r="Q50" s="70" t="str">
        <f>IF($BJ50&gt;0,IF(INDEX('Final Calculation Sheet'!$P$4:$P$40,$BJ50-3)="","",INDEX('Final Calculation Sheet'!$P$4:$P$40,$BJ50-3)),IF(OR($BI50=1,$BL50=1,$BH50&gt;0),IF($BI50=1,SUM('Final Calculation Sheet'!$P$4:$P$40),IF($BL50=1,SUM('Final Calculation Sheet'!$P$4:$P$40)-SUMIFS('Final Calculation Sheet'!$P$4:$P$40,$AZ$5:$AZ$41,10),SUMIFS('Final Calculation Sheet'!$P$4:$P$40,$AZ$5:$AZ$41,$BH50))),""))</f>
        <v/>
      </c>
      <c r="R50" s="72" t="str">
        <f>IF($BJ50&gt;0,IF(INDEX('Final Calculation Sheet'!$Q$4:$Q$40,$BJ50-3)="","",INDEX('Final Calculation Sheet'!$Q$4:$Q$40,$BJ50-3)),IF(OR($BI50=1,$BL50=1,$BH50&gt;0),"–",""))</f>
        <v/>
      </c>
      <c r="S50" s="70" t="str">
        <f>IF($BJ50&gt;0,IF(INDEX('Final Calculation Sheet'!$R$4:$R$40,$BJ50-3)="","",INDEX('Final Calculation Sheet'!$R$4:$R$40,$BJ50-3)),IF(OR($BI50=1,$BL50=1,$BH50&gt;0),IF($BI50=1,SUM('Final Calculation Sheet'!$R$4:$R$40),IF($BL50=1,SUM('Final Calculation Sheet'!$R$4:$R$40)-SUMIFS('Final Calculation Sheet'!$R$4:$R$40,$AZ$5:$AZ$41,10),SUMIFS('Final Calculation Sheet'!$R$4:$R$40,$AZ$5:$AZ$41,$BH50))),""))</f>
        <v/>
      </c>
      <c r="T50" s="70" t="str">
        <f>IF($BJ50&gt;0,IF(INDEX('Final Calculation Sheet'!$S$4:$S$40,$BJ50-3)="","",INDEX('Final Calculation Sheet'!$S$4:$S$40,$BJ50-3)),IF(OR($BI50=1,$BL50=1,$BH50&gt;0),IF($BI50=1,SUM('Final Calculation Sheet'!$S$4:$S$40),IF($BL50=1,SUM('Final Calculation Sheet'!$S$4:$S$40)-SUMIFS('Final Calculation Sheet'!$S$4:$S$40,$AZ$5:$AZ$41,10),SUMIFS('Final Calculation Sheet'!$S$4:$S$40,$AZ$5:$AZ$41,$BH50))),""))</f>
        <v/>
      </c>
      <c r="U50" s="70" t="str">
        <f>IF($BJ50&gt;0,IF(INDEX('Final Calculation Sheet'!$T$4:$T$40,$BJ50-3)="","",INDEX('Final Calculation Sheet'!$T$4:$T$40,$BJ50-3)),IF(OR($BI50=1,$BL50=1,$BH50&gt;0),IF($BI50=1,SUM('Final Calculation Sheet'!$T$4:$T$40),IF($BL50=1,SUM('Final Calculation Sheet'!$T$4:$T$40)-SUMIFS('Final Calculation Sheet'!$T$4:$T$40,$AZ$5:$AZ$41,10),SUMIFS('Final Calculation Sheet'!$T$4:$T$40,$AZ$5:$AZ$41,$BH50))),""))</f>
        <v/>
      </c>
      <c r="V50" s="73" t="str">
        <f>IF($BJ50&gt;0,IF(INDEX('Final Calculation Sheet'!$U$4:$U$40,$BJ50-3)="","",INDEX('Final Calculation Sheet'!$U$4:$U$40,$BJ50-3)),IF(OR($BI50=1,$BL50=1,$BH50&gt;0),IF($BI50=1,SUM('Final Calculation Sheet'!$U$4:$U$40),IF($BL50=1,SUM('Final Calculation Sheet'!$U$4:$U$40)-SUMIFS('Final Calculation Sheet'!$U$4:$U$40,$AZ$5:$AZ$41,10),SUMIFS('Final Calculation Sheet'!$U$4:$U$40,$AZ$5:$AZ$41,$BH50))),""))</f>
        <v/>
      </c>
      <c r="W50" s="70" t="str">
        <f>IF($BJ50&gt;0,IF(INDEX('Final Calculation Sheet'!$V$4:$V$40,$BJ50-3)="","",INDEX('Final Calculation Sheet'!$V$4:$V$40,$BJ50-3)),IF(OR($BI50=1,$BL50=1,$BH50&gt;0),"–",""))</f>
        <v/>
      </c>
      <c r="X50" s="70" t="str">
        <f>IF($BJ50&gt;0,IF(INDEX('Final Calculation Sheet'!$W$4:$W$40,$BJ50-3)="","",INDEX('Final Calculation Sheet'!$W$4:$W$40,$BJ50-3)),IF(OR($BI50=1,$BL50=1,$BH50&gt;0),IF($BI50=1,SUM('Final Calculation Sheet'!$W$4:$W$40),IF($BL50=1,SUM('Final Calculation Sheet'!$W$4:$W$40)-SUMIFS('Final Calculation Sheet'!$W$4:$W$40,$AZ$5:$AZ$41,10),SUMIFS('Final Calculation Sheet'!$W$4:$W$40,$AZ$5:$AZ$41,$BH50))),""))</f>
        <v/>
      </c>
      <c r="Y50" s="70" t="str">
        <f>IF($BJ50&gt;0,IF(INDEX('Final Calculation Sheet'!$X$4:$X$40,$BJ50-3)="","",INDEX('Final Calculation Sheet'!$X$4:$X$40,$BJ50-3)),IF(OR($BI50=1,$BL50=1,$BH50&gt;0),IF($BI50=1,SUM('Final Calculation Sheet'!$X$4:$X$40),IF($BL50=1,SUM('Final Calculation Sheet'!$X$4:$X$40)-SUMIFS('Final Calculation Sheet'!$X$4:$X$40,$AZ$5:$AZ$41,10),SUMIFS('Final Calculation Sheet'!$X$4:$X$40,$AZ$5:$AZ$41,$BH50))),""))</f>
        <v/>
      </c>
      <c r="Z50" s="70" t="str">
        <f>IF($BJ50&gt;0,IF(INDEX('Final Calculation Sheet'!$Y$4:$Y$40,$BJ50-3)="","",INDEX('Final Calculation Sheet'!$Y$4:$Y$40,$BJ50-3)),IF(OR($BI50=1,$BL50=1,$BH50&gt;0),"–",""))</f>
        <v/>
      </c>
      <c r="AA50" s="70" t="str">
        <f>IF($BJ50&gt;0,IF(INDEX('Final Calculation Sheet'!$Z$4:$Z$40,$BJ50-3)="","",INDEX('Final Calculation Sheet'!$Z$4:$Z$40,$BJ50-3)),IF(OR($BI50=1,$BL50=1,$BH50&gt;0),IF($BI50=1,SUM('Final Calculation Sheet'!$Z$4:$Z$40),IF($BL50=1,SUM('Final Calculation Sheet'!$Z$4:$Z$40)-SUMIFS('Final Calculation Sheet'!$Z$4:$Z$40,$AZ$5:$AZ$41,10),SUMIFS('Final Calculation Sheet'!$Z$4:$Z$40,$AZ$5:$AZ$41,$BH50))),""))</f>
        <v/>
      </c>
      <c r="AB50" s="70" t="str">
        <f>IF($BJ50&gt;0,IF(INDEX('Final Calculation Sheet'!$AA$4:$AA$40,$BJ50-3)="","",INDEX('Final Calculation Sheet'!$AA$4:$AA$40,$BJ50-3)),IF(OR($BI50=1,$BL50=1,$BH50&gt;0),IF($BI50=1,SUM('Final Calculation Sheet'!$AA$4:$AA$40),IF($BL50=1,SUM('Final Calculation Sheet'!$AA$4:$AA$40)-SUMIFS('Final Calculation Sheet'!$AA$4:$AA$40,$AZ$5:$AZ$41,10),SUMIFS('Final Calculation Sheet'!$AA$4:$AA$40,$AZ$5:$AZ$41,$BH50))),""))</f>
        <v/>
      </c>
      <c r="AC50" s="70" t="str">
        <f>IF($BJ50&gt;0,IF(INDEX('Final Calculation Sheet'!$AB$4:$AB$40,$BJ50-3)="","",INDEX('Final Calculation Sheet'!$AB$4:$AB$40,$BJ50-3)),IF(OR($BI50=1,$BL50=1,$BH50&gt;0),"–",""))</f>
        <v/>
      </c>
      <c r="AD50" s="70" t="str">
        <f>IF($BJ50&gt;0,IF(INDEX('Final Calculation Sheet'!$AC$4:$AC$40,$BJ50-3)="","",INDEX('Final Calculation Sheet'!$AC$4:$AC$40,$BJ50-3)),IF(OR($BI50=1,$BL50=1,$BH50&gt;0),IF($BI50=1,SUM('Final Calculation Sheet'!$AC$4:$AC$40),IF($BL50=1,SUM('Final Calculation Sheet'!$AC$4:$AC$40)-SUMIFS('Final Calculation Sheet'!$AC$4:$AC$40,$AZ$5:$AZ$41,10),SUMIFS('Final Calculation Sheet'!$AC$4:$AC$40,$AZ$5:$AZ$41,$BH50))),""))</f>
        <v/>
      </c>
      <c r="AE50" s="70" t="str">
        <f>IF($BJ50&gt;0,IF(INDEX('Final Calculation Sheet'!$AD$4:$AD$40,$BJ50-3)="","",INDEX('Final Calculation Sheet'!$AD$4:$AD$40,$BJ50-3)),IF(OR($BI50=1,$BL50=1,$BH50&gt;0),IF($BI50=1,SUM('Final Calculation Sheet'!$AD$4:$AD$40),IF($BL50=1,SUM('Final Calculation Sheet'!$AD$4:$AD$40)-SUMIFS('Final Calculation Sheet'!$AD$4:$AD$40,$AZ$5:$AZ$41,10),SUMIFS('Final Calculation Sheet'!$AD$4:$AD$40,$AZ$5:$AZ$41,$BH50))),""))</f>
        <v/>
      </c>
      <c r="AF50" s="70" t="str">
        <f>IF($BJ50&gt;0,IF(INDEX('Final Calculation Sheet'!$AE$4:$AE$40,$BJ50-3)="","",INDEX('Final Calculation Sheet'!$AE$4:$AE$40,$BJ50-3)),IF(OR($BI50=1,$BL50=1,$BH50&gt;0),"–",""))</f>
        <v/>
      </c>
      <c r="AG50" s="74" t="str">
        <f>IF($BJ50&gt;0,IF(INDEX('Final Calculation Sheet'!$AF$4:$AF$40,$BJ50-3)="","",INDEX('Final Calculation Sheet'!$AF$4:$AF$40,$BJ50-3)),IF(OR($BI50=1,$BL50=1,$BH50&gt;0),"–",""))</f>
        <v/>
      </c>
      <c r="AH50" s="70" t="str">
        <f>IF($BJ50&gt;0,IF(INDEX('Final Calculation Sheet'!$AG$4:$AG$40,$BJ50-3)="","",INDEX('Final Calculation Sheet'!$AG$4:$AG$40,$BJ50-3)),IF(OR($BI50=1,$BL50=1,$BH50&gt;0),"–",""))</f>
        <v/>
      </c>
      <c r="AI50" s="75" t="str">
        <f>IF($BJ50&gt;0,IF(INDEX('Final Calculation Sheet'!$AD$4:$AD$40,$BJ50-3)="","",IF(INDEX('Final Calculation Sheet'!$AD$4:$AD$40,$BJ50-3)&lt;=0,"SETTLED","OUTSTANDING")),IF(OR($BI50=1,$BL50=1,$BH50&gt;0),IF(IF($BI50=1,SUM('Final Calculation Sheet'!$AD$4:$AD$40),IF($BL50=1,SUM('Final Calculation Sheet'!$AD$4:$AD$40)-SUMIFS('Final Calculation Sheet'!$AD$4:$AD$40,$AZ$5:$AZ$41,10),SUMIFS('Final Calculation Sheet'!$AD$4:$AD$40,$AZ$5:$AZ$41,$BH50)))&lt;=0,"ALL SETTLED","OUTSTANDING"),""))</f>
        <v/>
      </c>
      <c r="BH50">
        <f>IFERROR(MATCH(50,$BF$4:$BF$13,0),0)</f>
        <v>0</v>
      </c>
      <c r="BI50">
        <f>IF(50=$BG$5,1,0)</f>
        <v>0</v>
      </c>
      <c r="BJ50">
        <f>IF(OR($BH50&gt;0,$BI50=1,$BL50=1),0,IFERROR(INDEX($BC$5:$BC$41,MATCH(50,$BB$5:$BB$41,0)),0))</f>
        <v>0</v>
      </c>
      <c r="BK50">
        <f>IF($BJ50&gt;0,IF(INDEX($AZ$5:$AZ$41,MATCH(50,$BB$5:$BB$41,0))=10,1,0),IF($BH50=10,1,0))</f>
        <v>0</v>
      </c>
      <c r="BL50">
        <f>IF(50=$BG$4,1,0)</f>
        <v>0</v>
      </c>
    </row>
    <row r="51" spans="1:64" ht="15" customHeight="1" x14ac:dyDescent="0.25">
      <c r="A51" s="67" t="str">
        <f>IF($BJ51&gt;0,INDEX($BA$5:$BA$41,MATCH(51,$BB$5:$BB$41,0)),IF(OR($BI51=1,$BL51=1,$BH51&gt;0),"∑",""))</f>
        <v/>
      </c>
      <c r="B51" s="68" t="str">
        <f>IF($BJ51&gt;0,IF(INDEX('Final Calculation Sheet'!$F$4:$F$40,$BJ51-3)="","",INDEX('Final Calculation Sheet'!$F$4:$F$40,$BJ51-3)),"")</f>
        <v/>
      </c>
      <c r="C51" s="68" t="str">
        <f>IF($BJ51&gt;0,IF(INDEX('Final Calculation Sheet'!$G$4:$G$40,$BJ51-3)="","",INDEX('Final Calculation Sheet'!$G$4:$G$40,$BJ51-3)),IF(OR($BI51=1,$BL51=1,$BH51&gt;0),IF($BI51=1,37,IF($BL51=1,37-INDEX($BD$4:$BD$13,10),INDEX($BD$4:$BD$13,$BH51)))&amp;" lot(s)",""))</f>
        <v/>
      </c>
      <c r="D51" s="69" t="str">
        <f>IF($BJ51&gt;0,IF(INDEX('Final Calculation Sheet'!$B$4:$B$40,$BJ51-3)="","",INDEX('Final Calculation Sheet'!$B$4:$B$40,$BJ51-3)),IF(OR($BI51=1,$BL51=1,$BH51&gt;0),IF($BI51=1,"GRAND TOTAL  —  matching + remaining",IF($BL51=1,"TOTAL MATCHED  —  every group together",IF($BH51=10,"REMAINING  —  did not match the search",IF($BH51=9,"ALL LOTS  —  nothing typed in the box","GROUP "&amp;$BH51&amp;" TOTAL  —  lots matching  "&amp;INDEX($AR$6:$AY$6,$BH51))))),""))</f>
        <v/>
      </c>
      <c r="E51" s="69" t="str">
        <f>IF($BJ51&gt;0,IF(INDEX('Final Calculation Sheet'!$D$4:$D$40,$BJ51-3)="","",INDEX('Final Calculation Sheet'!$D$4:$D$40,$BJ51-3)),IF(OR($BI51=1,$BL51=1,$BH51&gt;0),"–",""))</f>
        <v/>
      </c>
      <c r="F51" s="69" t="str">
        <f>IF($BJ51&gt;0,IF(INDEX('Final Calculation Sheet'!$A$4:$A$40,$BJ51-3)="","",INDEX('Final Calculation Sheet'!$A$4:$A$40,$BJ51-3)),IF(OR($BI51=1,$BL51=1,$BH51&gt;0),IF($BI51=1,SUM('Final Calculation Sheet'!$A$4:$A$40),IF($BL51=1,SUM('Final Calculation Sheet'!$A$4:$A$40)-SUMIFS('Final Calculation Sheet'!$A$4:$A$40,$AZ$5:$AZ$41,10),SUMIFS('Final Calculation Sheet'!$A$4:$A$40,$AZ$5:$AZ$41,$BH51))),""))</f>
        <v/>
      </c>
      <c r="G51" s="69" t="str">
        <f>IF($BJ51&gt;0,IF(INDEX('Final Calculation Sheet'!$E$4:$E$40,$BJ51-3)="","",INDEX('Final Calculation Sheet'!$E$4:$E$40,$BJ51-3)),IF(OR($BI51=1,$BL51=1,$BH51&gt;0),"–",""))</f>
        <v/>
      </c>
      <c r="H51" s="70" t="str">
        <f>IF($BJ51&gt;0,IF(INDEX('Final Calculation Sheet'!$C$4:$C$40,$BJ51-3)="","",INDEX('Final Calculation Sheet'!$C$4:$C$40,$BJ51-3)),IF(OR($BI51=1,$BL51=1,$BH51&gt;0),"–",""))</f>
        <v/>
      </c>
      <c r="I51" s="70" t="str">
        <f>IF($BJ51&gt;0,IF(INDEX('Final Calculation Sheet'!$H$4:$H$40,$BJ51-3)="","",INDEX('Final Calculation Sheet'!$H$4:$H$40,$BJ51-3)),IF(OR($BI51=1,$BL51=1,$BH51&gt;0),IF($BI51=1,SUM('Final Calculation Sheet'!$H$4:$H$40),IF($BL51=1,SUM('Final Calculation Sheet'!$H$4:$H$40)-SUMIFS('Final Calculation Sheet'!$H$4:$H$40,$AZ$5:$AZ$41,10),SUMIFS('Final Calculation Sheet'!$H$4:$H$40,$AZ$5:$AZ$41,$BH51))),""))</f>
        <v/>
      </c>
      <c r="J51" s="70" t="str">
        <f>IF($BJ51&gt;0,IF(INDEX('Final Calculation Sheet'!$I$4:$I$40,$BJ51-3)="","",INDEX('Final Calculation Sheet'!$I$4:$I$40,$BJ51-3)),IF(OR($BI51=1,$BL51=1,$BH51&gt;0),IF($BI51=1,SUM('Final Calculation Sheet'!$I$4:$I$40),IF($BL51=1,SUM('Final Calculation Sheet'!$I$4:$I$40)-SUMIFS('Final Calculation Sheet'!$I$4:$I$40,$AZ$5:$AZ$41,10),SUMIFS('Final Calculation Sheet'!$I$4:$I$40,$AZ$5:$AZ$41,$BH51))),""))</f>
        <v/>
      </c>
      <c r="K51" s="70" t="str">
        <f>IF($BJ51&gt;0,IF(INDEX('Final Calculation Sheet'!$J$4:$J$40,$BJ51-3)="","",INDEX('Final Calculation Sheet'!$J$4:$J$40,$BJ51-3)),IF(OR($BI51=1,$BL51=1,$BH51&gt;0),IF($BI51=1,SUM('Final Calculation Sheet'!$J$4:$J$40),IF($BL51=1,SUM('Final Calculation Sheet'!$J$4:$J$40)-SUMIFS('Final Calculation Sheet'!$J$4:$J$40,$AZ$5:$AZ$41,10),SUMIFS('Final Calculation Sheet'!$J$4:$J$40,$AZ$5:$AZ$41,$BH51))),""))</f>
        <v/>
      </c>
      <c r="L51" s="70" t="str">
        <f>IF($BJ51&gt;0,IF(INDEX('Final Calculation Sheet'!$K$4:$K$40,$BJ51-3)="","",INDEX('Final Calculation Sheet'!$K$4:$K$40,$BJ51-3)),IF(OR($BI51=1,$BL51=1,$BH51&gt;0),IF($BI51=1,SUM('Final Calculation Sheet'!$K$4:$K$40),IF($BL51=1,SUM('Final Calculation Sheet'!$K$4:$K$40)-SUMIFS('Final Calculation Sheet'!$K$4:$K$40,$AZ$5:$AZ$41,10),SUMIFS('Final Calculation Sheet'!$K$4:$K$40,$AZ$5:$AZ$41,$BH51))),""))</f>
        <v/>
      </c>
      <c r="M51" s="70" t="str">
        <f>IF($BJ51&gt;0,IF(INDEX('Final Calculation Sheet'!$L$4:$L$40,$BJ51-3)="","",INDEX('Final Calculation Sheet'!$L$4:$L$40,$BJ51-3)),IF(OR($BI51=1,$BL51=1,$BH51&gt;0),IF($BI51=1,SUM('Final Calculation Sheet'!$L$4:$L$40),IF($BL51=1,SUM('Final Calculation Sheet'!$L$4:$L$40)-SUMIFS('Final Calculation Sheet'!$L$4:$L$40,$AZ$5:$AZ$41,10),SUMIFS('Final Calculation Sheet'!$L$4:$L$40,$AZ$5:$AZ$41,$BH51))),""))</f>
        <v/>
      </c>
      <c r="N51" s="70" t="str">
        <f>IF($BJ51&gt;0,IF(INDEX('Final Calculation Sheet'!$M$4:$M$40,$BJ51-3)="","",INDEX('Final Calculation Sheet'!$M$4:$M$40,$BJ51-3)),IF(OR($BI51=1,$BL51=1,$BH51&gt;0),IF($BI51=1,SUM('Final Calculation Sheet'!$M$4:$M$40),IF($BL51=1,SUM('Final Calculation Sheet'!$M$4:$M$40)-SUMIFS('Final Calculation Sheet'!$M$4:$M$40,$AZ$5:$AZ$41,10),SUMIFS('Final Calculation Sheet'!$M$4:$M$40,$AZ$5:$AZ$41,$BH51))),""))</f>
        <v/>
      </c>
      <c r="O51" s="71" t="str">
        <f>IF($BJ51&gt;0,IF(INDEX('Final Calculation Sheet'!$N$4:$N$40,$BJ51-3)="","",INDEX('Final Calculation Sheet'!$N$4:$N$40,$BJ51-3)),IF(OR($BI51=1,$BL51=1,$BH51&gt;0),IF($BI51=1,SUM('Final Calculation Sheet'!$N$4:$N$40),IF($BL51=1,SUM('Final Calculation Sheet'!$N$4:$N$40)-SUMIFS('Final Calculation Sheet'!$N$4:$N$40,$AZ$5:$AZ$41,10),SUMIFS('Final Calculation Sheet'!$N$4:$N$40,$AZ$5:$AZ$41,$BH51))),""))</f>
        <v/>
      </c>
      <c r="P51" s="70" t="str">
        <f>IF($BJ51&gt;0,IF(INDEX('Final Calculation Sheet'!$O$4:$O$40,$BJ51-3)="","",INDEX('Final Calculation Sheet'!$O$4:$O$40,$BJ51-3)),IF(OR($BI51=1,$BL51=1,$BH51&gt;0),IF($BI51=1,SUM('Final Calculation Sheet'!$O$4:$O$40),IF($BL51=1,SUM('Final Calculation Sheet'!$O$4:$O$40)-SUMIFS('Final Calculation Sheet'!$O$4:$O$40,$AZ$5:$AZ$41,10),SUMIFS('Final Calculation Sheet'!$O$4:$O$40,$AZ$5:$AZ$41,$BH51))),""))</f>
        <v/>
      </c>
      <c r="Q51" s="70" t="str">
        <f>IF($BJ51&gt;0,IF(INDEX('Final Calculation Sheet'!$P$4:$P$40,$BJ51-3)="","",INDEX('Final Calculation Sheet'!$P$4:$P$40,$BJ51-3)),IF(OR($BI51=1,$BL51=1,$BH51&gt;0),IF($BI51=1,SUM('Final Calculation Sheet'!$P$4:$P$40),IF($BL51=1,SUM('Final Calculation Sheet'!$P$4:$P$40)-SUMIFS('Final Calculation Sheet'!$P$4:$P$40,$AZ$5:$AZ$41,10),SUMIFS('Final Calculation Sheet'!$P$4:$P$40,$AZ$5:$AZ$41,$BH51))),""))</f>
        <v/>
      </c>
      <c r="R51" s="72" t="str">
        <f>IF($BJ51&gt;0,IF(INDEX('Final Calculation Sheet'!$Q$4:$Q$40,$BJ51-3)="","",INDEX('Final Calculation Sheet'!$Q$4:$Q$40,$BJ51-3)),IF(OR($BI51=1,$BL51=1,$BH51&gt;0),"–",""))</f>
        <v/>
      </c>
      <c r="S51" s="70" t="str">
        <f>IF($BJ51&gt;0,IF(INDEX('Final Calculation Sheet'!$R$4:$R$40,$BJ51-3)="","",INDEX('Final Calculation Sheet'!$R$4:$R$40,$BJ51-3)),IF(OR($BI51=1,$BL51=1,$BH51&gt;0),IF($BI51=1,SUM('Final Calculation Sheet'!$R$4:$R$40),IF($BL51=1,SUM('Final Calculation Sheet'!$R$4:$R$40)-SUMIFS('Final Calculation Sheet'!$R$4:$R$40,$AZ$5:$AZ$41,10),SUMIFS('Final Calculation Sheet'!$R$4:$R$40,$AZ$5:$AZ$41,$BH51))),""))</f>
        <v/>
      </c>
      <c r="T51" s="70" t="str">
        <f>IF($BJ51&gt;0,IF(INDEX('Final Calculation Sheet'!$S$4:$S$40,$BJ51-3)="","",INDEX('Final Calculation Sheet'!$S$4:$S$40,$BJ51-3)),IF(OR($BI51=1,$BL51=1,$BH51&gt;0),IF($BI51=1,SUM('Final Calculation Sheet'!$S$4:$S$40),IF($BL51=1,SUM('Final Calculation Sheet'!$S$4:$S$40)-SUMIFS('Final Calculation Sheet'!$S$4:$S$40,$AZ$5:$AZ$41,10),SUMIFS('Final Calculation Sheet'!$S$4:$S$40,$AZ$5:$AZ$41,$BH51))),""))</f>
        <v/>
      </c>
      <c r="U51" s="70" t="str">
        <f>IF($BJ51&gt;0,IF(INDEX('Final Calculation Sheet'!$T$4:$T$40,$BJ51-3)="","",INDEX('Final Calculation Sheet'!$T$4:$T$40,$BJ51-3)),IF(OR($BI51=1,$BL51=1,$BH51&gt;0),IF($BI51=1,SUM('Final Calculation Sheet'!$T$4:$T$40),IF($BL51=1,SUM('Final Calculation Sheet'!$T$4:$T$40)-SUMIFS('Final Calculation Sheet'!$T$4:$T$40,$AZ$5:$AZ$41,10),SUMIFS('Final Calculation Sheet'!$T$4:$T$40,$AZ$5:$AZ$41,$BH51))),""))</f>
        <v/>
      </c>
      <c r="V51" s="73" t="str">
        <f>IF($BJ51&gt;0,IF(INDEX('Final Calculation Sheet'!$U$4:$U$40,$BJ51-3)="","",INDEX('Final Calculation Sheet'!$U$4:$U$40,$BJ51-3)),IF(OR($BI51=1,$BL51=1,$BH51&gt;0),IF($BI51=1,SUM('Final Calculation Sheet'!$U$4:$U$40),IF($BL51=1,SUM('Final Calculation Sheet'!$U$4:$U$40)-SUMIFS('Final Calculation Sheet'!$U$4:$U$40,$AZ$5:$AZ$41,10),SUMIFS('Final Calculation Sheet'!$U$4:$U$40,$AZ$5:$AZ$41,$BH51))),""))</f>
        <v/>
      </c>
      <c r="W51" s="70" t="str">
        <f>IF($BJ51&gt;0,IF(INDEX('Final Calculation Sheet'!$V$4:$V$40,$BJ51-3)="","",INDEX('Final Calculation Sheet'!$V$4:$V$40,$BJ51-3)),IF(OR($BI51=1,$BL51=1,$BH51&gt;0),"–",""))</f>
        <v/>
      </c>
      <c r="X51" s="70" t="str">
        <f>IF($BJ51&gt;0,IF(INDEX('Final Calculation Sheet'!$W$4:$W$40,$BJ51-3)="","",INDEX('Final Calculation Sheet'!$W$4:$W$40,$BJ51-3)),IF(OR($BI51=1,$BL51=1,$BH51&gt;0),IF($BI51=1,SUM('Final Calculation Sheet'!$W$4:$W$40),IF($BL51=1,SUM('Final Calculation Sheet'!$W$4:$W$40)-SUMIFS('Final Calculation Sheet'!$W$4:$W$40,$AZ$5:$AZ$41,10),SUMIFS('Final Calculation Sheet'!$W$4:$W$40,$AZ$5:$AZ$41,$BH51))),""))</f>
        <v/>
      </c>
      <c r="Y51" s="70" t="str">
        <f>IF($BJ51&gt;0,IF(INDEX('Final Calculation Sheet'!$X$4:$X$40,$BJ51-3)="","",INDEX('Final Calculation Sheet'!$X$4:$X$40,$BJ51-3)),IF(OR($BI51=1,$BL51=1,$BH51&gt;0),IF($BI51=1,SUM('Final Calculation Sheet'!$X$4:$X$40),IF($BL51=1,SUM('Final Calculation Sheet'!$X$4:$X$40)-SUMIFS('Final Calculation Sheet'!$X$4:$X$40,$AZ$5:$AZ$41,10),SUMIFS('Final Calculation Sheet'!$X$4:$X$40,$AZ$5:$AZ$41,$BH51))),""))</f>
        <v/>
      </c>
      <c r="Z51" s="70" t="str">
        <f>IF($BJ51&gt;0,IF(INDEX('Final Calculation Sheet'!$Y$4:$Y$40,$BJ51-3)="","",INDEX('Final Calculation Sheet'!$Y$4:$Y$40,$BJ51-3)),IF(OR($BI51=1,$BL51=1,$BH51&gt;0),"–",""))</f>
        <v/>
      </c>
      <c r="AA51" s="70" t="str">
        <f>IF($BJ51&gt;0,IF(INDEX('Final Calculation Sheet'!$Z$4:$Z$40,$BJ51-3)="","",INDEX('Final Calculation Sheet'!$Z$4:$Z$40,$BJ51-3)),IF(OR($BI51=1,$BL51=1,$BH51&gt;0),IF($BI51=1,SUM('Final Calculation Sheet'!$Z$4:$Z$40),IF($BL51=1,SUM('Final Calculation Sheet'!$Z$4:$Z$40)-SUMIFS('Final Calculation Sheet'!$Z$4:$Z$40,$AZ$5:$AZ$41,10),SUMIFS('Final Calculation Sheet'!$Z$4:$Z$40,$AZ$5:$AZ$41,$BH51))),""))</f>
        <v/>
      </c>
      <c r="AB51" s="70" t="str">
        <f>IF($BJ51&gt;0,IF(INDEX('Final Calculation Sheet'!$AA$4:$AA$40,$BJ51-3)="","",INDEX('Final Calculation Sheet'!$AA$4:$AA$40,$BJ51-3)),IF(OR($BI51=1,$BL51=1,$BH51&gt;0),IF($BI51=1,SUM('Final Calculation Sheet'!$AA$4:$AA$40),IF($BL51=1,SUM('Final Calculation Sheet'!$AA$4:$AA$40)-SUMIFS('Final Calculation Sheet'!$AA$4:$AA$40,$AZ$5:$AZ$41,10),SUMIFS('Final Calculation Sheet'!$AA$4:$AA$40,$AZ$5:$AZ$41,$BH51))),""))</f>
        <v/>
      </c>
      <c r="AC51" s="70" t="str">
        <f>IF($BJ51&gt;0,IF(INDEX('Final Calculation Sheet'!$AB$4:$AB$40,$BJ51-3)="","",INDEX('Final Calculation Sheet'!$AB$4:$AB$40,$BJ51-3)),IF(OR($BI51=1,$BL51=1,$BH51&gt;0),"–",""))</f>
        <v/>
      </c>
      <c r="AD51" s="70" t="str">
        <f>IF($BJ51&gt;0,IF(INDEX('Final Calculation Sheet'!$AC$4:$AC$40,$BJ51-3)="","",INDEX('Final Calculation Sheet'!$AC$4:$AC$40,$BJ51-3)),IF(OR($BI51=1,$BL51=1,$BH51&gt;0),IF($BI51=1,SUM('Final Calculation Sheet'!$AC$4:$AC$40),IF($BL51=1,SUM('Final Calculation Sheet'!$AC$4:$AC$40)-SUMIFS('Final Calculation Sheet'!$AC$4:$AC$40,$AZ$5:$AZ$41,10),SUMIFS('Final Calculation Sheet'!$AC$4:$AC$40,$AZ$5:$AZ$41,$BH51))),""))</f>
        <v/>
      </c>
      <c r="AE51" s="70" t="str">
        <f>IF($BJ51&gt;0,IF(INDEX('Final Calculation Sheet'!$AD$4:$AD$40,$BJ51-3)="","",INDEX('Final Calculation Sheet'!$AD$4:$AD$40,$BJ51-3)),IF(OR($BI51=1,$BL51=1,$BH51&gt;0),IF($BI51=1,SUM('Final Calculation Sheet'!$AD$4:$AD$40),IF($BL51=1,SUM('Final Calculation Sheet'!$AD$4:$AD$40)-SUMIFS('Final Calculation Sheet'!$AD$4:$AD$40,$AZ$5:$AZ$41,10),SUMIFS('Final Calculation Sheet'!$AD$4:$AD$40,$AZ$5:$AZ$41,$BH51))),""))</f>
        <v/>
      </c>
      <c r="AF51" s="70" t="str">
        <f>IF($BJ51&gt;0,IF(INDEX('Final Calculation Sheet'!$AE$4:$AE$40,$BJ51-3)="","",INDEX('Final Calculation Sheet'!$AE$4:$AE$40,$BJ51-3)),IF(OR($BI51=1,$BL51=1,$BH51&gt;0),"–",""))</f>
        <v/>
      </c>
      <c r="AG51" s="74" t="str">
        <f>IF($BJ51&gt;0,IF(INDEX('Final Calculation Sheet'!$AF$4:$AF$40,$BJ51-3)="","",INDEX('Final Calculation Sheet'!$AF$4:$AF$40,$BJ51-3)),IF(OR($BI51=1,$BL51=1,$BH51&gt;0),"–",""))</f>
        <v/>
      </c>
      <c r="AH51" s="70" t="str">
        <f>IF($BJ51&gt;0,IF(INDEX('Final Calculation Sheet'!$AG$4:$AG$40,$BJ51-3)="","",INDEX('Final Calculation Sheet'!$AG$4:$AG$40,$BJ51-3)),IF(OR($BI51=1,$BL51=1,$BH51&gt;0),"–",""))</f>
        <v/>
      </c>
      <c r="AI51" s="75" t="str">
        <f>IF($BJ51&gt;0,IF(INDEX('Final Calculation Sheet'!$AD$4:$AD$40,$BJ51-3)="","",IF(INDEX('Final Calculation Sheet'!$AD$4:$AD$40,$BJ51-3)&lt;=0,"SETTLED","OUTSTANDING")),IF(OR($BI51=1,$BL51=1,$BH51&gt;0),IF(IF($BI51=1,SUM('Final Calculation Sheet'!$AD$4:$AD$40),IF($BL51=1,SUM('Final Calculation Sheet'!$AD$4:$AD$40)-SUMIFS('Final Calculation Sheet'!$AD$4:$AD$40,$AZ$5:$AZ$41,10),SUMIFS('Final Calculation Sheet'!$AD$4:$AD$40,$AZ$5:$AZ$41,$BH51)))&lt;=0,"ALL SETTLED","OUTSTANDING"),""))</f>
        <v/>
      </c>
      <c r="BH51">
        <f>IFERROR(MATCH(51,$BF$4:$BF$13,0),0)</f>
        <v>0</v>
      </c>
      <c r="BI51">
        <f>IF(51=$BG$5,1,0)</f>
        <v>0</v>
      </c>
      <c r="BJ51">
        <f>IF(OR($BH51&gt;0,$BI51=1,$BL51=1),0,IFERROR(INDEX($BC$5:$BC$41,MATCH(51,$BB$5:$BB$41,0)),0))</f>
        <v>0</v>
      </c>
      <c r="BK51">
        <f>IF($BJ51&gt;0,IF(INDEX($AZ$5:$AZ$41,MATCH(51,$BB$5:$BB$41,0))=10,1,0),IF($BH51=10,1,0))</f>
        <v>0</v>
      </c>
      <c r="BL51">
        <f>IF(51=$BG$4,1,0)</f>
        <v>0</v>
      </c>
    </row>
    <row r="52" spans="1:64" ht="15" customHeight="1" x14ac:dyDescent="0.25">
      <c r="A52" s="67" t="str">
        <f>IF($BJ52&gt;0,INDEX($BA$5:$BA$41,MATCH(52,$BB$5:$BB$41,0)),IF(OR($BI52=1,$BL52=1,$BH52&gt;0),"∑",""))</f>
        <v/>
      </c>
      <c r="B52" s="68" t="str">
        <f>IF($BJ52&gt;0,IF(INDEX('Final Calculation Sheet'!$F$4:$F$40,$BJ52-3)="","",INDEX('Final Calculation Sheet'!$F$4:$F$40,$BJ52-3)),"")</f>
        <v/>
      </c>
      <c r="C52" s="68" t="str">
        <f>IF($BJ52&gt;0,IF(INDEX('Final Calculation Sheet'!$G$4:$G$40,$BJ52-3)="","",INDEX('Final Calculation Sheet'!$G$4:$G$40,$BJ52-3)),IF(OR($BI52=1,$BL52=1,$BH52&gt;0),IF($BI52=1,37,IF($BL52=1,37-INDEX($BD$4:$BD$13,10),INDEX($BD$4:$BD$13,$BH52)))&amp;" lot(s)",""))</f>
        <v/>
      </c>
      <c r="D52" s="69" t="str">
        <f>IF($BJ52&gt;0,IF(INDEX('Final Calculation Sheet'!$B$4:$B$40,$BJ52-3)="","",INDEX('Final Calculation Sheet'!$B$4:$B$40,$BJ52-3)),IF(OR($BI52=1,$BL52=1,$BH52&gt;0),IF($BI52=1,"GRAND TOTAL  —  matching + remaining",IF($BL52=1,"TOTAL MATCHED  —  every group together",IF($BH52=10,"REMAINING  —  did not match the search",IF($BH52=9,"ALL LOTS  —  nothing typed in the box","GROUP "&amp;$BH52&amp;" TOTAL  —  lots matching  "&amp;INDEX($AR$6:$AY$6,$BH52))))),""))</f>
        <v/>
      </c>
      <c r="E52" s="69" t="str">
        <f>IF($BJ52&gt;0,IF(INDEX('Final Calculation Sheet'!$D$4:$D$40,$BJ52-3)="","",INDEX('Final Calculation Sheet'!$D$4:$D$40,$BJ52-3)),IF(OR($BI52=1,$BL52=1,$BH52&gt;0),"–",""))</f>
        <v/>
      </c>
      <c r="F52" s="69" t="str">
        <f>IF($BJ52&gt;0,IF(INDEX('Final Calculation Sheet'!$A$4:$A$40,$BJ52-3)="","",INDEX('Final Calculation Sheet'!$A$4:$A$40,$BJ52-3)),IF(OR($BI52=1,$BL52=1,$BH52&gt;0),IF($BI52=1,SUM('Final Calculation Sheet'!$A$4:$A$40),IF($BL52=1,SUM('Final Calculation Sheet'!$A$4:$A$40)-SUMIFS('Final Calculation Sheet'!$A$4:$A$40,$AZ$5:$AZ$41,10),SUMIFS('Final Calculation Sheet'!$A$4:$A$40,$AZ$5:$AZ$41,$BH52))),""))</f>
        <v/>
      </c>
      <c r="G52" s="69" t="str">
        <f>IF($BJ52&gt;0,IF(INDEX('Final Calculation Sheet'!$E$4:$E$40,$BJ52-3)="","",INDEX('Final Calculation Sheet'!$E$4:$E$40,$BJ52-3)),IF(OR($BI52=1,$BL52=1,$BH52&gt;0),"–",""))</f>
        <v/>
      </c>
      <c r="H52" s="70" t="str">
        <f>IF($BJ52&gt;0,IF(INDEX('Final Calculation Sheet'!$C$4:$C$40,$BJ52-3)="","",INDEX('Final Calculation Sheet'!$C$4:$C$40,$BJ52-3)),IF(OR($BI52=1,$BL52=1,$BH52&gt;0),"–",""))</f>
        <v/>
      </c>
      <c r="I52" s="70" t="str">
        <f>IF($BJ52&gt;0,IF(INDEX('Final Calculation Sheet'!$H$4:$H$40,$BJ52-3)="","",INDEX('Final Calculation Sheet'!$H$4:$H$40,$BJ52-3)),IF(OR($BI52=1,$BL52=1,$BH52&gt;0),IF($BI52=1,SUM('Final Calculation Sheet'!$H$4:$H$40),IF($BL52=1,SUM('Final Calculation Sheet'!$H$4:$H$40)-SUMIFS('Final Calculation Sheet'!$H$4:$H$40,$AZ$5:$AZ$41,10),SUMIFS('Final Calculation Sheet'!$H$4:$H$40,$AZ$5:$AZ$41,$BH52))),""))</f>
        <v/>
      </c>
      <c r="J52" s="70" t="str">
        <f>IF($BJ52&gt;0,IF(INDEX('Final Calculation Sheet'!$I$4:$I$40,$BJ52-3)="","",INDEX('Final Calculation Sheet'!$I$4:$I$40,$BJ52-3)),IF(OR($BI52=1,$BL52=1,$BH52&gt;0),IF($BI52=1,SUM('Final Calculation Sheet'!$I$4:$I$40),IF($BL52=1,SUM('Final Calculation Sheet'!$I$4:$I$40)-SUMIFS('Final Calculation Sheet'!$I$4:$I$40,$AZ$5:$AZ$41,10),SUMIFS('Final Calculation Sheet'!$I$4:$I$40,$AZ$5:$AZ$41,$BH52))),""))</f>
        <v/>
      </c>
      <c r="K52" s="70" t="str">
        <f>IF($BJ52&gt;0,IF(INDEX('Final Calculation Sheet'!$J$4:$J$40,$BJ52-3)="","",INDEX('Final Calculation Sheet'!$J$4:$J$40,$BJ52-3)),IF(OR($BI52=1,$BL52=1,$BH52&gt;0),IF($BI52=1,SUM('Final Calculation Sheet'!$J$4:$J$40),IF($BL52=1,SUM('Final Calculation Sheet'!$J$4:$J$40)-SUMIFS('Final Calculation Sheet'!$J$4:$J$40,$AZ$5:$AZ$41,10),SUMIFS('Final Calculation Sheet'!$J$4:$J$40,$AZ$5:$AZ$41,$BH52))),""))</f>
        <v/>
      </c>
      <c r="L52" s="70" t="str">
        <f>IF($BJ52&gt;0,IF(INDEX('Final Calculation Sheet'!$K$4:$K$40,$BJ52-3)="","",INDEX('Final Calculation Sheet'!$K$4:$K$40,$BJ52-3)),IF(OR($BI52=1,$BL52=1,$BH52&gt;0),IF($BI52=1,SUM('Final Calculation Sheet'!$K$4:$K$40),IF($BL52=1,SUM('Final Calculation Sheet'!$K$4:$K$40)-SUMIFS('Final Calculation Sheet'!$K$4:$K$40,$AZ$5:$AZ$41,10),SUMIFS('Final Calculation Sheet'!$K$4:$K$40,$AZ$5:$AZ$41,$BH52))),""))</f>
        <v/>
      </c>
      <c r="M52" s="70" t="str">
        <f>IF($BJ52&gt;0,IF(INDEX('Final Calculation Sheet'!$L$4:$L$40,$BJ52-3)="","",INDEX('Final Calculation Sheet'!$L$4:$L$40,$BJ52-3)),IF(OR($BI52=1,$BL52=1,$BH52&gt;0),IF($BI52=1,SUM('Final Calculation Sheet'!$L$4:$L$40),IF($BL52=1,SUM('Final Calculation Sheet'!$L$4:$L$40)-SUMIFS('Final Calculation Sheet'!$L$4:$L$40,$AZ$5:$AZ$41,10),SUMIFS('Final Calculation Sheet'!$L$4:$L$40,$AZ$5:$AZ$41,$BH52))),""))</f>
        <v/>
      </c>
      <c r="N52" s="70" t="str">
        <f>IF($BJ52&gt;0,IF(INDEX('Final Calculation Sheet'!$M$4:$M$40,$BJ52-3)="","",INDEX('Final Calculation Sheet'!$M$4:$M$40,$BJ52-3)),IF(OR($BI52=1,$BL52=1,$BH52&gt;0),IF($BI52=1,SUM('Final Calculation Sheet'!$M$4:$M$40),IF($BL52=1,SUM('Final Calculation Sheet'!$M$4:$M$40)-SUMIFS('Final Calculation Sheet'!$M$4:$M$40,$AZ$5:$AZ$41,10),SUMIFS('Final Calculation Sheet'!$M$4:$M$40,$AZ$5:$AZ$41,$BH52))),""))</f>
        <v/>
      </c>
      <c r="O52" s="71" t="str">
        <f>IF($BJ52&gt;0,IF(INDEX('Final Calculation Sheet'!$N$4:$N$40,$BJ52-3)="","",INDEX('Final Calculation Sheet'!$N$4:$N$40,$BJ52-3)),IF(OR($BI52=1,$BL52=1,$BH52&gt;0),IF($BI52=1,SUM('Final Calculation Sheet'!$N$4:$N$40),IF($BL52=1,SUM('Final Calculation Sheet'!$N$4:$N$40)-SUMIFS('Final Calculation Sheet'!$N$4:$N$40,$AZ$5:$AZ$41,10),SUMIFS('Final Calculation Sheet'!$N$4:$N$40,$AZ$5:$AZ$41,$BH52))),""))</f>
        <v/>
      </c>
      <c r="P52" s="70" t="str">
        <f>IF($BJ52&gt;0,IF(INDEX('Final Calculation Sheet'!$O$4:$O$40,$BJ52-3)="","",INDEX('Final Calculation Sheet'!$O$4:$O$40,$BJ52-3)),IF(OR($BI52=1,$BL52=1,$BH52&gt;0),IF($BI52=1,SUM('Final Calculation Sheet'!$O$4:$O$40),IF($BL52=1,SUM('Final Calculation Sheet'!$O$4:$O$40)-SUMIFS('Final Calculation Sheet'!$O$4:$O$40,$AZ$5:$AZ$41,10),SUMIFS('Final Calculation Sheet'!$O$4:$O$40,$AZ$5:$AZ$41,$BH52))),""))</f>
        <v/>
      </c>
      <c r="Q52" s="70" t="str">
        <f>IF($BJ52&gt;0,IF(INDEX('Final Calculation Sheet'!$P$4:$P$40,$BJ52-3)="","",INDEX('Final Calculation Sheet'!$P$4:$P$40,$BJ52-3)),IF(OR($BI52=1,$BL52=1,$BH52&gt;0),IF($BI52=1,SUM('Final Calculation Sheet'!$P$4:$P$40),IF($BL52=1,SUM('Final Calculation Sheet'!$P$4:$P$40)-SUMIFS('Final Calculation Sheet'!$P$4:$P$40,$AZ$5:$AZ$41,10),SUMIFS('Final Calculation Sheet'!$P$4:$P$40,$AZ$5:$AZ$41,$BH52))),""))</f>
        <v/>
      </c>
      <c r="R52" s="72" t="str">
        <f>IF($BJ52&gt;0,IF(INDEX('Final Calculation Sheet'!$Q$4:$Q$40,$BJ52-3)="","",INDEX('Final Calculation Sheet'!$Q$4:$Q$40,$BJ52-3)),IF(OR($BI52=1,$BL52=1,$BH52&gt;0),"–",""))</f>
        <v/>
      </c>
      <c r="S52" s="70" t="str">
        <f>IF($BJ52&gt;0,IF(INDEX('Final Calculation Sheet'!$R$4:$R$40,$BJ52-3)="","",INDEX('Final Calculation Sheet'!$R$4:$R$40,$BJ52-3)),IF(OR($BI52=1,$BL52=1,$BH52&gt;0),IF($BI52=1,SUM('Final Calculation Sheet'!$R$4:$R$40),IF($BL52=1,SUM('Final Calculation Sheet'!$R$4:$R$40)-SUMIFS('Final Calculation Sheet'!$R$4:$R$40,$AZ$5:$AZ$41,10),SUMIFS('Final Calculation Sheet'!$R$4:$R$40,$AZ$5:$AZ$41,$BH52))),""))</f>
        <v/>
      </c>
      <c r="T52" s="70" t="str">
        <f>IF($BJ52&gt;0,IF(INDEX('Final Calculation Sheet'!$S$4:$S$40,$BJ52-3)="","",INDEX('Final Calculation Sheet'!$S$4:$S$40,$BJ52-3)),IF(OR($BI52=1,$BL52=1,$BH52&gt;0),IF($BI52=1,SUM('Final Calculation Sheet'!$S$4:$S$40),IF($BL52=1,SUM('Final Calculation Sheet'!$S$4:$S$40)-SUMIFS('Final Calculation Sheet'!$S$4:$S$40,$AZ$5:$AZ$41,10),SUMIFS('Final Calculation Sheet'!$S$4:$S$40,$AZ$5:$AZ$41,$BH52))),""))</f>
        <v/>
      </c>
      <c r="U52" s="70" t="str">
        <f>IF($BJ52&gt;0,IF(INDEX('Final Calculation Sheet'!$T$4:$T$40,$BJ52-3)="","",INDEX('Final Calculation Sheet'!$T$4:$T$40,$BJ52-3)),IF(OR($BI52=1,$BL52=1,$BH52&gt;0),IF($BI52=1,SUM('Final Calculation Sheet'!$T$4:$T$40),IF($BL52=1,SUM('Final Calculation Sheet'!$T$4:$T$40)-SUMIFS('Final Calculation Sheet'!$T$4:$T$40,$AZ$5:$AZ$41,10),SUMIFS('Final Calculation Sheet'!$T$4:$T$40,$AZ$5:$AZ$41,$BH52))),""))</f>
        <v/>
      </c>
      <c r="V52" s="73" t="str">
        <f>IF($BJ52&gt;0,IF(INDEX('Final Calculation Sheet'!$U$4:$U$40,$BJ52-3)="","",INDEX('Final Calculation Sheet'!$U$4:$U$40,$BJ52-3)),IF(OR($BI52=1,$BL52=1,$BH52&gt;0),IF($BI52=1,SUM('Final Calculation Sheet'!$U$4:$U$40),IF($BL52=1,SUM('Final Calculation Sheet'!$U$4:$U$40)-SUMIFS('Final Calculation Sheet'!$U$4:$U$40,$AZ$5:$AZ$41,10),SUMIFS('Final Calculation Sheet'!$U$4:$U$40,$AZ$5:$AZ$41,$BH52))),""))</f>
        <v/>
      </c>
      <c r="W52" s="70" t="str">
        <f>IF($BJ52&gt;0,IF(INDEX('Final Calculation Sheet'!$V$4:$V$40,$BJ52-3)="","",INDEX('Final Calculation Sheet'!$V$4:$V$40,$BJ52-3)),IF(OR($BI52=1,$BL52=1,$BH52&gt;0),"–",""))</f>
        <v/>
      </c>
      <c r="X52" s="70" t="str">
        <f>IF($BJ52&gt;0,IF(INDEX('Final Calculation Sheet'!$W$4:$W$40,$BJ52-3)="","",INDEX('Final Calculation Sheet'!$W$4:$W$40,$BJ52-3)),IF(OR($BI52=1,$BL52=1,$BH52&gt;0),IF($BI52=1,SUM('Final Calculation Sheet'!$W$4:$W$40),IF($BL52=1,SUM('Final Calculation Sheet'!$W$4:$W$40)-SUMIFS('Final Calculation Sheet'!$W$4:$W$40,$AZ$5:$AZ$41,10),SUMIFS('Final Calculation Sheet'!$W$4:$W$40,$AZ$5:$AZ$41,$BH52))),""))</f>
        <v/>
      </c>
      <c r="Y52" s="70" t="str">
        <f>IF($BJ52&gt;0,IF(INDEX('Final Calculation Sheet'!$X$4:$X$40,$BJ52-3)="","",INDEX('Final Calculation Sheet'!$X$4:$X$40,$BJ52-3)),IF(OR($BI52=1,$BL52=1,$BH52&gt;0),IF($BI52=1,SUM('Final Calculation Sheet'!$X$4:$X$40),IF($BL52=1,SUM('Final Calculation Sheet'!$X$4:$X$40)-SUMIFS('Final Calculation Sheet'!$X$4:$X$40,$AZ$5:$AZ$41,10),SUMIFS('Final Calculation Sheet'!$X$4:$X$40,$AZ$5:$AZ$41,$BH52))),""))</f>
        <v/>
      </c>
      <c r="Z52" s="70" t="str">
        <f>IF($BJ52&gt;0,IF(INDEX('Final Calculation Sheet'!$Y$4:$Y$40,$BJ52-3)="","",INDEX('Final Calculation Sheet'!$Y$4:$Y$40,$BJ52-3)),IF(OR($BI52=1,$BL52=1,$BH52&gt;0),"–",""))</f>
        <v/>
      </c>
      <c r="AA52" s="70" t="str">
        <f>IF($BJ52&gt;0,IF(INDEX('Final Calculation Sheet'!$Z$4:$Z$40,$BJ52-3)="","",INDEX('Final Calculation Sheet'!$Z$4:$Z$40,$BJ52-3)),IF(OR($BI52=1,$BL52=1,$BH52&gt;0),IF($BI52=1,SUM('Final Calculation Sheet'!$Z$4:$Z$40),IF($BL52=1,SUM('Final Calculation Sheet'!$Z$4:$Z$40)-SUMIFS('Final Calculation Sheet'!$Z$4:$Z$40,$AZ$5:$AZ$41,10),SUMIFS('Final Calculation Sheet'!$Z$4:$Z$40,$AZ$5:$AZ$41,$BH52))),""))</f>
        <v/>
      </c>
      <c r="AB52" s="70" t="str">
        <f>IF($BJ52&gt;0,IF(INDEX('Final Calculation Sheet'!$AA$4:$AA$40,$BJ52-3)="","",INDEX('Final Calculation Sheet'!$AA$4:$AA$40,$BJ52-3)),IF(OR($BI52=1,$BL52=1,$BH52&gt;0),IF($BI52=1,SUM('Final Calculation Sheet'!$AA$4:$AA$40),IF($BL52=1,SUM('Final Calculation Sheet'!$AA$4:$AA$40)-SUMIFS('Final Calculation Sheet'!$AA$4:$AA$40,$AZ$5:$AZ$41,10),SUMIFS('Final Calculation Sheet'!$AA$4:$AA$40,$AZ$5:$AZ$41,$BH52))),""))</f>
        <v/>
      </c>
      <c r="AC52" s="70" t="str">
        <f>IF($BJ52&gt;0,IF(INDEX('Final Calculation Sheet'!$AB$4:$AB$40,$BJ52-3)="","",INDEX('Final Calculation Sheet'!$AB$4:$AB$40,$BJ52-3)),IF(OR($BI52=1,$BL52=1,$BH52&gt;0),"–",""))</f>
        <v/>
      </c>
      <c r="AD52" s="70" t="str">
        <f>IF($BJ52&gt;0,IF(INDEX('Final Calculation Sheet'!$AC$4:$AC$40,$BJ52-3)="","",INDEX('Final Calculation Sheet'!$AC$4:$AC$40,$BJ52-3)),IF(OR($BI52=1,$BL52=1,$BH52&gt;0),IF($BI52=1,SUM('Final Calculation Sheet'!$AC$4:$AC$40),IF($BL52=1,SUM('Final Calculation Sheet'!$AC$4:$AC$40)-SUMIFS('Final Calculation Sheet'!$AC$4:$AC$40,$AZ$5:$AZ$41,10),SUMIFS('Final Calculation Sheet'!$AC$4:$AC$40,$AZ$5:$AZ$41,$BH52))),""))</f>
        <v/>
      </c>
      <c r="AE52" s="70" t="str">
        <f>IF($BJ52&gt;0,IF(INDEX('Final Calculation Sheet'!$AD$4:$AD$40,$BJ52-3)="","",INDEX('Final Calculation Sheet'!$AD$4:$AD$40,$BJ52-3)),IF(OR($BI52=1,$BL52=1,$BH52&gt;0),IF($BI52=1,SUM('Final Calculation Sheet'!$AD$4:$AD$40),IF($BL52=1,SUM('Final Calculation Sheet'!$AD$4:$AD$40)-SUMIFS('Final Calculation Sheet'!$AD$4:$AD$40,$AZ$5:$AZ$41,10),SUMIFS('Final Calculation Sheet'!$AD$4:$AD$40,$AZ$5:$AZ$41,$BH52))),""))</f>
        <v/>
      </c>
      <c r="AF52" s="70" t="str">
        <f>IF($BJ52&gt;0,IF(INDEX('Final Calculation Sheet'!$AE$4:$AE$40,$BJ52-3)="","",INDEX('Final Calculation Sheet'!$AE$4:$AE$40,$BJ52-3)),IF(OR($BI52=1,$BL52=1,$BH52&gt;0),"–",""))</f>
        <v/>
      </c>
      <c r="AG52" s="74" t="str">
        <f>IF($BJ52&gt;0,IF(INDEX('Final Calculation Sheet'!$AF$4:$AF$40,$BJ52-3)="","",INDEX('Final Calculation Sheet'!$AF$4:$AF$40,$BJ52-3)),IF(OR($BI52=1,$BL52=1,$BH52&gt;0),"–",""))</f>
        <v/>
      </c>
      <c r="AH52" s="70" t="str">
        <f>IF($BJ52&gt;0,IF(INDEX('Final Calculation Sheet'!$AG$4:$AG$40,$BJ52-3)="","",INDEX('Final Calculation Sheet'!$AG$4:$AG$40,$BJ52-3)),IF(OR($BI52=1,$BL52=1,$BH52&gt;0),"–",""))</f>
        <v/>
      </c>
      <c r="AI52" s="75" t="str">
        <f>IF($BJ52&gt;0,IF(INDEX('Final Calculation Sheet'!$AD$4:$AD$40,$BJ52-3)="","",IF(INDEX('Final Calculation Sheet'!$AD$4:$AD$40,$BJ52-3)&lt;=0,"SETTLED","OUTSTANDING")),IF(OR($BI52=1,$BL52=1,$BH52&gt;0),IF(IF($BI52=1,SUM('Final Calculation Sheet'!$AD$4:$AD$40),IF($BL52=1,SUM('Final Calculation Sheet'!$AD$4:$AD$40)-SUMIFS('Final Calculation Sheet'!$AD$4:$AD$40,$AZ$5:$AZ$41,10),SUMIFS('Final Calculation Sheet'!$AD$4:$AD$40,$AZ$5:$AZ$41,$BH52)))&lt;=0,"ALL SETTLED","OUTSTANDING"),""))</f>
        <v/>
      </c>
      <c r="BH52">
        <f>IFERROR(MATCH(52,$BF$4:$BF$13,0),0)</f>
        <v>0</v>
      </c>
      <c r="BI52">
        <f>IF(52=$BG$5,1,0)</f>
        <v>0</v>
      </c>
      <c r="BJ52">
        <f>IF(OR($BH52&gt;0,$BI52=1,$BL52=1),0,IFERROR(INDEX($BC$5:$BC$41,MATCH(52,$BB$5:$BB$41,0)),0))</f>
        <v>0</v>
      </c>
      <c r="BK52">
        <f>IF($BJ52&gt;0,IF(INDEX($AZ$5:$AZ$41,MATCH(52,$BB$5:$BB$41,0))=10,1,0),IF($BH52=10,1,0))</f>
        <v>0</v>
      </c>
      <c r="BL52">
        <f>IF(52=$BG$4,1,0)</f>
        <v>0</v>
      </c>
    </row>
    <row r="53" spans="1:64" ht="15" customHeight="1" x14ac:dyDescent="0.25">
      <c r="A53" s="67" t="str">
        <f>IF($BJ53&gt;0,INDEX($BA$5:$BA$41,MATCH(53,$BB$5:$BB$41,0)),IF(OR($BI53=1,$BL53=1,$BH53&gt;0),"∑",""))</f>
        <v/>
      </c>
      <c r="B53" s="68" t="str">
        <f>IF($BJ53&gt;0,IF(INDEX('Final Calculation Sheet'!$F$4:$F$40,$BJ53-3)="","",INDEX('Final Calculation Sheet'!$F$4:$F$40,$BJ53-3)),"")</f>
        <v/>
      </c>
      <c r="C53" s="68" t="str">
        <f>IF($BJ53&gt;0,IF(INDEX('Final Calculation Sheet'!$G$4:$G$40,$BJ53-3)="","",INDEX('Final Calculation Sheet'!$G$4:$G$40,$BJ53-3)),IF(OR($BI53=1,$BL53=1,$BH53&gt;0),IF($BI53=1,37,IF($BL53=1,37-INDEX($BD$4:$BD$13,10),INDEX($BD$4:$BD$13,$BH53)))&amp;" lot(s)",""))</f>
        <v/>
      </c>
      <c r="D53" s="69" t="str">
        <f>IF($BJ53&gt;0,IF(INDEX('Final Calculation Sheet'!$B$4:$B$40,$BJ53-3)="","",INDEX('Final Calculation Sheet'!$B$4:$B$40,$BJ53-3)),IF(OR($BI53=1,$BL53=1,$BH53&gt;0),IF($BI53=1,"GRAND TOTAL  —  matching + remaining",IF($BL53=1,"TOTAL MATCHED  —  every group together",IF($BH53=10,"REMAINING  —  did not match the search",IF($BH53=9,"ALL LOTS  —  nothing typed in the box","GROUP "&amp;$BH53&amp;" TOTAL  —  lots matching  "&amp;INDEX($AR$6:$AY$6,$BH53))))),""))</f>
        <v/>
      </c>
      <c r="E53" s="69" t="str">
        <f>IF($BJ53&gt;0,IF(INDEX('Final Calculation Sheet'!$D$4:$D$40,$BJ53-3)="","",INDEX('Final Calculation Sheet'!$D$4:$D$40,$BJ53-3)),IF(OR($BI53=1,$BL53=1,$BH53&gt;0),"–",""))</f>
        <v/>
      </c>
      <c r="F53" s="69" t="str">
        <f>IF($BJ53&gt;0,IF(INDEX('Final Calculation Sheet'!$A$4:$A$40,$BJ53-3)="","",INDEX('Final Calculation Sheet'!$A$4:$A$40,$BJ53-3)),IF(OR($BI53=1,$BL53=1,$BH53&gt;0),IF($BI53=1,SUM('Final Calculation Sheet'!$A$4:$A$40),IF($BL53=1,SUM('Final Calculation Sheet'!$A$4:$A$40)-SUMIFS('Final Calculation Sheet'!$A$4:$A$40,$AZ$5:$AZ$41,10),SUMIFS('Final Calculation Sheet'!$A$4:$A$40,$AZ$5:$AZ$41,$BH53))),""))</f>
        <v/>
      </c>
      <c r="G53" s="69" t="str">
        <f>IF($BJ53&gt;0,IF(INDEX('Final Calculation Sheet'!$E$4:$E$40,$BJ53-3)="","",INDEX('Final Calculation Sheet'!$E$4:$E$40,$BJ53-3)),IF(OR($BI53=1,$BL53=1,$BH53&gt;0),"–",""))</f>
        <v/>
      </c>
      <c r="H53" s="70" t="str">
        <f>IF($BJ53&gt;0,IF(INDEX('Final Calculation Sheet'!$C$4:$C$40,$BJ53-3)="","",INDEX('Final Calculation Sheet'!$C$4:$C$40,$BJ53-3)),IF(OR($BI53=1,$BL53=1,$BH53&gt;0),"–",""))</f>
        <v/>
      </c>
      <c r="I53" s="70" t="str">
        <f>IF($BJ53&gt;0,IF(INDEX('Final Calculation Sheet'!$H$4:$H$40,$BJ53-3)="","",INDEX('Final Calculation Sheet'!$H$4:$H$40,$BJ53-3)),IF(OR($BI53=1,$BL53=1,$BH53&gt;0),IF($BI53=1,SUM('Final Calculation Sheet'!$H$4:$H$40),IF($BL53=1,SUM('Final Calculation Sheet'!$H$4:$H$40)-SUMIFS('Final Calculation Sheet'!$H$4:$H$40,$AZ$5:$AZ$41,10),SUMIFS('Final Calculation Sheet'!$H$4:$H$40,$AZ$5:$AZ$41,$BH53))),""))</f>
        <v/>
      </c>
      <c r="J53" s="70" t="str">
        <f>IF($BJ53&gt;0,IF(INDEX('Final Calculation Sheet'!$I$4:$I$40,$BJ53-3)="","",INDEX('Final Calculation Sheet'!$I$4:$I$40,$BJ53-3)),IF(OR($BI53=1,$BL53=1,$BH53&gt;0),IF($BI53=1,SUM('Final Calculation Sheet'!$I$4:$I$40),IF($BL53=1,SUM('Final Calculation Sheet'!$I$4:$I$40)-SUMIFS('Final Calculation Sheet'!$I$4:$I$40,$AZ$5:$AZ$41,10),SUMIFS('Final Calculation Sheet'!$I$4:$I$40,$AZ$5:$AZ$41,$BH53))),""))</f>
        <v/>
      </c>
      <c r="K53" s="70" t="str">
        <f>IF($BJ53&gt;0,IF(INDEX('Final Calculation Sheet'!$J$4:$J$40,$BJ53-3)="","",INDEX('Final Calculation Sheet'!$J$4:$J$40,$BJ53-3)),IF(OR($BI53=1,$BL53=1,$BH53&gt;0),IF($BI53=1,SUM('Final Calculation Sheet'!$J$4:$J$40),IF($BL53=1,SUM('Final Calculation Sheet'!$J$4:$J$40)-SUMIFS('Final Calculation Sheet'!$J$4:$J$40,$AZ$5:$AZ$41,10),SUMIFS('Final Calculation Sheet'!$J$4:$J$40,$AZ$5:$AZ$41,$BH53))),""))</f>
        <v/>
      </c>
      <c r="L53" s="70" t="str">
        <f>IF($BJ53&gt;0,IF(INDEX('Final Calculation Sheet'!$K$4:$K$40,$BJ53-3)="","",INDEX('Final Calculation Sheet'!$K$4:$K$40,$BJ53-3)),IF(OR($BI53=1,$BL53=1,$BH53&gt;0),IF($BI53=1,SUM('Final Calculation Sheet'!$K$4:$K$40),IF($BL53=1,SUM('Final Calculation Sheet'!$K$4:$K$40)-SUMIFS('Final Calculation Sheet'!$K$4:$K$40,$AZ$5:$AZ$41,10),SUMIFS('Final Calculation Sheet'!$K$4:$K$40,$AZ$5:$AZ$41,$BH53))),""))</f>
        <v/>
      </c>
      <c r="M53" s="70" t="str">
        <f>IF($BJ53&gt;0,IF(INDEX('Final Calculation Sheet'!$L$4:$L$40,$BJ53-3)="","",INDEX('Final Calculation Sheet'!$L$4:$L$40,$BJ53-3)),IF(OR($BI53=1,$BL53=1,$BH53&gt;0),IF($BI53=1,SUM('Final Calculation Sheet'!$L$4:$L$40),IF($BL53=1,SUM('Final Calculation Sheet'!$L$4:$L$40)-SUMIFS('Final Calculation Sheet'!$L$4:$L$40,$AZ$5:$AZ$41,10),SUMIFS('Final Calculation Sheet'!$L$4:$L$40,$AZ$5:$AZ$41,$BH53))),""))</f>
        <v/>
      </c>
      <c r="N53" s="70" t="str">
        <f>IF($BJ53&gt;0,IF(INDEX('Final Calculation Sheet'!$M$4:$M$40,$BJ53-3)="","",INDEX('Final Calculation Sheet'!$M$4:$M$40,$BJ53-3)),IF(OR($BI53=1,$BL53=1,$BH53&gt;0),IF($BI53=1,SUM('Final Calculation Sheet'!$M$4:$M$40),IF($BL53=1,SUM('Final Calculation Sheet'!$M$4:$M$40)-SUMIFS('Final Calculation Sheet'!$M$4:$M$40,$AZ$5:$AZ$41,10),SUMIFS('Final Calculation Sheet'!$M$4:$M$40,$AZ$5:$AZ$41,$BH53))),""))</f>
        <v/>
      </c>
      <c r="O53" s="71" t="str">
        <f>IF($BJ53&gt;0,IF(INDEX('Final Calculation Sheet'!$N$4:$N$40,$BJ53-3)="","",INDEX('Final Calculation Sheet'!$N$4:$N$40,$BJ53-3)),IF(OR($BI53=1,$BL53=1,$BH53&gt;0),IF($BI53=1,SUM('Final Calculation Sheet'!$N$4:$N$40),IF($BL53=1,SUM('Final Calculation Sheet'!$N$4:$N$40)-SUMIFS('Final Calculation Sheet'!$N$4:$N$40,$AZ$5:$AZ$41,10),SUMIFS('Final Calculation Sheet'!$N$4:$N$40,$AZ$5:$AZ$41,$BH53))),""))</f>
        <v/>
      </c>
      <c r="P53" s="70" t="str">
        <f>IF($BJ53&gt;0,IF(INDEX('Final Calculation Sheet'!$O$4:$O$40,$BJ53-3)="","",INDEX('Final Calculation Sheet'!$O$4:$O$40,$BJ53-3)),IF(OR($BI53=1,$BL53=1,$BH53&gt;0),IF($BI53=1,SUM('Final Calculation Sheet'!$O$4:$O$40),IF($BL53=1,SUM('Final Calculation Sheet'!$O$4:$O$40)-SUMIFS('Final Calculation Sheet'!$O$4:$O$40,$AZ$5:$AZ$41,10),SUMIFS('Final Calculation Sheet'!$O$4:$O$40,$AZ$5:$AZ$41,$BH53))),""))</f>
        <v/>
      </c>
      <c r="Q53" s="70" t="str">
        <f>IF($BJ53&gt;0,IF(INDEX('Final Calculation Sheet'!$P$4:$P$40,$BJ53-3)="","",INDEX('Final Calculation Sheet'!$P$4:$P$40,$BJ53-3)),IF(OR($BI53=1,$BL53=1,$BH53&gt;0),IF($BI53=1,SUM('Final Calculation Sheet'!$P$4:$P$40),IF($BL53=1,SUM('Final Calculation Sheet'!$P$4:$P$40)-SUMIFS('Final Calculation Sheet'!$P$4:$P$40,$AZ$5:$AZ$41,10),SUMIFS('Final Calculation Sheet'!$P$4:$P$40,$AZ$5:$AZ$41,$BH53))),""))</f>
        <v/>
      </c>
      <c r="R53" s="72" t="str">
        <f>IF($BJ53&gt;0,IF(INDEX('Final Calculation Sheet'!$Q$4:$Q$40,$BJ53-3)="","",INDEX('Final Calculation Sheet'!$Q$4:$Q$40,$BJ53-3)),IF(OR($BI53=1,$BL53=1,$BH53&gt;0),"–",""))</f>
        <v/>
      </c>
      <c r="S53" s="70" t="str">
        <f>IF($BJ53&gt;0,IF(INDEX('Final Calculation Sheet'!$R$4:$R$40,$BJ53-3)="","",INDEX('Final Calculation Sheet'!$R$4:$R$40,$BJ53-3)),IF(OR($BI53=1,$BL53=1,$BH53&gt;0),IF($BI53=1,SUM('Final Calculation Sheet'!$R$4:$R$40),IF($BL53=1,SUM('Final Calculation Sheet'!$R$4:$R$40)-SUMIFS('Final Calculation Sheet'!$R$4:$R$40,$AZ$5:$AZ$41,10),SUMIFS('Final Calculation Sheet'!$R$4:$R$40,$AZ$5:$AZ$41,$BH53))),""))</f>
        <v/>
      </c>
      <c r="T53" s="70" t="str">
        <f>IF($BJ53&gt;0,IF(INDEX('Final Calculation Sheet'!$S$4:$S$40,$BJ53-3)="","",INDEX('Final Calculation Sheet'!$S$4:$S$40,$BJ53-3)),IF(OR($BI53=1,$BL53=1,$BH53&gt;0),IF($BI53=1,SUM('Final Calculation Sheet'!$S$4:$S$40),IF($BL53=1,SUM('Final Calculation Sheet'!$S$4:$S$40)-SUMIFS('Final Calculation Sheet'!$S$4:$S$40,$AZ$5:$AZ$41,10),SUMIFS('Final Calculation Sheet'!$S$4:$S$40,$AZ$5:$AZ$41,$BH53))),""))</f>
        <v/>
      </c>
      <c r="U53" s="70" t="str">
        <f>IF($BJ53&gt;0,IF(INDEX('Final Calculation Sheet'!$T$4:$T$40,$BJ53-3)="","",INDEX('Final Calculation Sheet'!$T$4:$T$40,$BJ53-3)),IF(OR($BI53=1,$BL53=1,$BH53&gt;0),IF($BI53=1,SUM('Final Calculation Sheet'!$T$4:$T$40),IF($BL53=1,SUM('Final Calculation Sheet'!$T$4:$T$40)-SUMIFS('Final Calculation Sheet'!$T$4:$T$40,$AZ$5:$AZ$41,10),SUMIFS('Final Calculation Sheet'!$T$4:$T$40,$AZ$5:$AZ$41,$BH53))),""))</f>
        <v/>
      </c>
      <c r="V53" s="73" t="str">
        <f>IF($BJ53&gt;0,IF(INDEX('Final Calculation Sheet'!$U$4:$U$40,$BJ53-3)="","",INDEX('Final Calculation Sheet'!$U$4:$U$40,$BJ53-3)),IF(OR($BI53=1,$BL53=1,$BH53&gt;0),IF($BI53=1,SUM('Final Calculation Sheet'!$U$4:$U$40),IF($BL53=1,SUM('Final Calculation Sheet'!$U$4:$U$40)-SUMIFS('Final Calculation Sheet'!$U$4:$U$40,$AZ$5:$AZ$41,10),SUMIFS('Final Calculation Sheet'!$U$4:$U$40,$AZ$5:$AZ$41,$BH53))),""))</f>
        <v/>
      </c>
      <c r="W53" s="70" t="str">
        <f>IF($BJ53&gt;0,IF(INDEX('Final Calculation Sheet'!$V$4:$V$40,$BJ53-3)="","",INDEX('Final Calculation Sheet'!$V$4:$V$40,$BJ53-3)),IF(OR($BI53=1,$BL53=1,$BH53&gt;0),"–",""))</f>
        <v/>
      </c>
      <c r="X53" s="70" t="str">
        <f>IF($BJ53&gt;0,IF(INDEX('Final Calculation Sheet'!$W$4:$W$40,$BJ53-3)="","",INDEX('Final Calculation Sheet'!$W$4:$W$40,$BJ53-3)),IF(OR($BI53=1,$BL53=1,$BH53&gt;0),IF($BI53=1,SUM('Final Calculation Sheet'!$W$4:$W$40),IF($BL53=1,SUM('Final Calculation Sheet'!$W$4:$W$40)-SUMIFS('Final Calculation Sheet'!$W$4:$W$40,$AZ$5:$AZ$41,10),SUMIFS('Final Calculation Sheet'!$W$4:$W$40,$AZ$5:$AZ$41,$BH53))),""))</f>
        <v/>
      </c>
      <c r="Y53" s="70" t="str">
        <f>IF($BJ53&gt;0,IF(INDEX('Final Calculation Sheet'!$X$4:$X$40,$BJ53-3)="","",INDEX('Final Calculation Sheet'!$X$4:$X$40,$BJ53-3)),IF(OR($BI53=1,$BL53=1,$BH53&gt;0),IF($BI53=1,SUM('Final Calculation Sheet'!$X$4:$X$40),IF($BL53=1,SUM('Final Calculation Sheet'!$X$4:$X$40)-SUMIFS('Final Calculation Sheet'!$X$4:$X$40,$AZ$5:$AZ$41,10),SUMIFS('Final Calculation Sheet'!$X$4:$X$40,$AZ$5:$AZ$41,$BH53))),""))</f>
        <v/>
      </c>
      <c r="Z53" s="70" t="str">
        <f>IF($BJ53&gt;0,IF(INDEX('Final Calculation Sheet'!$Y$4:$Y$40,$BJ53-3)="","",INDEX('Final Calculation Sheet'!$Y$4:$Y$40,$BJ53-3)),IF(OR($BI53=1,$BL53=1,$BH53&gt;0),"–",""))</f>
        <v/>
      </c>
      <c r="AA53" s="70" t="str">
        <f>IF($BJ53&gt;0,IF(INDEX('Final Calculation Sheet'!$Z$4:$Z$40,$BJ53-3)="","",INDEX('Final Calculation Sheet'!$Z$4:$Z$40,$BJ53-3)),IF(OR($BI53=1,$BL53=1,$BH53&gt;0),IF($BI53=1,SUM('Final Calculation Sheet'!$Z$4:$Z$40),IF($BL53=1,SUM('Final Calculation Sheet'!$Z$4:$Z$40)-SUMIFS('Final Calculation Sheet'!$Z$4:$Z$40,$AZ$5:$AZ$41,10),SUMIFS('Final Calculation Sheet'!$Z$4:$Z$40,$AZ$5:$AZ$41,$BH53))),""))</f>
        <v/>
      </c>
      <c r="AB53" s="70" t="str">
        <f>IF($BJ53&gt;0,IF(INDEX('Final Calculation Sheet'!$AA$4:$AA$40,$BJ53-3)="","",INDEX('Final Calculation Sheet'!$AA$4:$AA$40,$BJ53-3)),IF(OR($BI53=1,$BL53=1,$BH53&gt;0),IF($BI53=1,SUM('Final Calculation Sheet'!$AA$4:$AA$40),IF($BL53=1,SUM('Final Calculation Sheet'!$AA$4:$AA$40)-SUMIFS('Final Calculation Sheet'!$AA$4:$AA$40,$AZ$5:$AZ$41,10),SUMIFS('Final Calculation Sheet'!$AA$4:$AA$40,$AZ$5:$AZ$41,$BH53))),""))</f>
        <v/>
      </c>
      <c r="AC53" s="70" t="str">
        <f>IF($BJ53&gt;0,IF(INDEX('Final Calculation Sheet'!$AB$4:$AB$40,$BJ53-3)="","",INDEX('Final Calculation Sheet'!$AB$4:$AB$40,$BJ53-3)),IF(OR($BI53=1,$BL53=1,$BH53&gt;0),"–",""))</f>
        <v/>
      </c>
      <c r="AD53" s="70" t="str">
        <f>IF($BJ53&gt;0,IF(INDEX('Final Calculation Sheet'!$AC$4:$AC$40,$BJ53-3)="","",INDEX('Final Calculation Sheet'!$AC$4:$AC$40,$BJ53-3)),IF(OR($BI53=1,$BL53=1,$BH53&gt;0),IF($BI53=1,SUM('Final Calculation Sheet'!$AC$4:$AC$40),IF($BL53=1,SUM('Final Calculation Sheet'!$AC$4:$AC$40)-SUMIFS('Final Calculation Sheet'!$AC$4:$AC$40,$AZ$5:$AZ$41,10),SUMIFS('Final Calculation Sheet'!$AC$4:$AC$40,$AZ$5:$AZ$41,$BH53))),""))</f>
        <v/>
      </c>
      <c r="AE53" s="70" t="str">
        <f>IF($BJ53&gt;0,IF(INDEX('Final Calculation Sheet'!$AD$4:$AD$40,$BJ53-3)="","",INDEX('Final Calculation Sheet'!$AD$4:$AD$40,$BJ53-3)),IF(OR($BI53=1,$BL53=1,$BH53&gt;0),IF($BI53=1,SUM('Final Calculation Sheet'!$AD$4:$AD$40),IF($BL53=1,SUM('Final Calculation Sheet'!$AD$4:$AD$40)-SUMIFS('Final Calculation Sheet'!$AD$4:$AD$40,$AZ$5:$AZ$41,10),SUMIFS('Final Calculation Sheet'!$AD$4:$AD$40,$AZ$5:$AZ$41,$BH53))),""))</f>
        <v/>
      </c>
      <c r="AF53" s="70" t="str">
        <f>IF($BJ53&gt;0,IF(INDEX('Final Calculation Sheet'!$AE$4:$AE$40,$BJ53-3)="","",INDEX('Final Calculation Sheet'!$AE$4:$AE$40,$BJ53-3)),IF(OR($BI53=1,$BL53=1,$BH53&gt;0),"–",""))</f>
        <v/>
      </c>
      <c r="AG53" s="74" t="str">
        <f>IF($BJ53&gt;0,IF(INDEX('Final Calculation Sheet'!$AF$4:$AF$40,$BJ53-3)="","",INDEX('Final Calculation Sheet'!$AF$4:$AF$40,$BJ53-3)),IF(OR($BI53=1,$BL53=1,$BH53&gt;0),"–",""))</f>
        <v/>
      </c>
      <c r="AH53" s="70" t="str">
        <f>IF($BJ53&gt;0,IF(INDEX('Final Calculation Sheet'!$AG$4:$AG$40,$BJ53-3)="","",INDEX('Final Calculation Sheet'!$AG$4:$AG$40,$BJ53-3)),IF(OR($BI53=1,$BL53=1,$BH53&gt;0),"–",""))</f>
        <v/>
      </c>
      <c r="AI53" s="75" t="str">
        <f>IF($BJ53&gt;0,IF(INDEX('Final Calculation Sheet'!$AD$4:$AD$40,$BJ53-3)="","",IF(INDEX('Final Calculation Sheet'!$AD$4:$AD$40,$BJ53-3)&lt;=0,"SETTLED","OUTSTANDING")),IF(OR($BI53=1,$BL53=1,$BH53&gt;0),IF(IF($BI53=1,SUM('Final Calculation Sheet'!$AD$4:$AD$40),IF($BL53=1,SUM('Final Calculation Sheet'!$AD$4:$AD$40)-SUMIFS('Final Calculation Sheet'!$AD$4:$AD$40,$AZ$5:$AZ$41,10),SUMIFS('Final Calculation Sheet'!$AD$4:$AD$40,$AZ$5:$AZ$41,$BH53)))&lt;=0,"ALL SETTLED","OUTSTANDING"),""))</f>
        <v/>
      </c>
      <c r="BH53">
        <f>IFERROR(MATCH(53,$BF$4:$BF$13,0),0)</f>
        <v>0</v>
      </c>
      <c r="BI53">
        <f>IF(53=$BG$5,1,0)</f>
        <v>0</v>
      </c>
      <c r="BJ53">
        <f>IF(OR($BH53&gt;0,$BI53=1,$BL53=1),0,IFERROR(INDEX($BC$5:$BC$41,MATCH(53,$BB$5:$BB$41,0)),0))</f>
        <v>0</v>
      </c>
      <c r="BK53">
        <f>IF($BJ53&gt;0,IF(INDEX($AZ$5:$AZ$41,MATCH(53,$BB$5:$BB$41,0))=10,1,0),IF($BH53=10,1,0))</f>
        <v>0</v>
      </c>
      <c r="BL53">
        <f>IF(53=$BG$4,1,0)</f>
        <v>0</v>
      </c>
    </row>
  </sheetData>
  <mergeCells count="4">
    <mergeCell ref="A2:AI2"/>
    <mergeCell ref="B3:D3"/>
    <mergeCell ref="I3:AI3"/>
    <mergeCell ref="A1:AI1"/>
  </mergeCells>
  <conditionalFormatting sqref="A5:AH53">
    <cfRule type="expression" dxfId="10" priority="1">
      <formula>AND($B$3&lt;&gt;"",$BK5=1,$BH5=0,$BI5=0)</formula>
    </cfRule>
    <cfRule type="expression" dxfId="9" priority="2">
      <formula>$BH5=10</formula>
    </cfRule>
    <cfRule type="expression" dxfId="8" priority="3">
      <formula>$BI5=1</formula>
    </cfRule>
    <cfRule type="expression" dxfId="7" priority="4">
      <formula>$BL5=1</formula>
    </cfRule>
    <cfRule type="expression" dxfId="6" priority="5">
      <formula>$BH5&gt;0</formula>
    </cfRule>
    <cfRule type="expression" dxfId="5" priority="6">
      <formula>AND($B$3&lt;&gt;"",$BJ5&gt;0,$BK5=0)</formula>
    </cfRule>
    <cfRule type="expression" dxfId="4" priority="7">
      <formula>AND($BJ5&gt;0,MOD($BJ5,2)=0)</formula>
    </cfRule>
  </conditionalFormatting>
  <conditionalFormatting sqref="AE5:AE53">
    <cfRule type="cellIs" dxfId="3" priority="8" operator="greaterThan">
      <formula>0</formula>
    </cfRule>
  </conditionalFormatting>
  <conditionalFormatting sqref="AI5:AI53">
    <cfRule type="cellIs" dxfId="2" priority="9" operator="equal">
      <formula>"SETTLED"</formula>
    </cfRule>
    <cfRule type="cellIs" dxfId="1" priority="10" operator="equal">
      <formula>"OUTSTANDING"</formula>
    </cfRule>
  </conditionalFormatting>
  <conditionalFormatting sqref="A5:AI53">
    <cfRule type="expression" dxfId="0" priority="11">
      <formula>OR($BJ5&gt;0,$BH5&gt;0,$BI5=1,$BL5=1)</formula>
    </cfRule>
  </conditionalFormatting>
  <dataValidations count="1">
    <dataValidation type="list" sqref="F3" xr:uid="{00000000-0002-0000-0100-000000000000}">
      <formula1>$AO$4:$AO$9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Final Calculation Sheet</vt:lpstr>
      <vt:lpstr>Live Search</vt:lpstr>
      <vt:lpstr>'Live Search'!Print_Titles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S.M.C</dc:creator>
  <cp:lastModifiedBy>S.M.C</cp:lastModifiedBy>
  <cp:revision>0</cp:revision>
  <dcterms:created xsi:type="dcterms:W3CDTF">2026-09-02T06:08:07Z</dcterms:created>
  <dcterms:modified xsi:type="dcterms:W3CDTF">2026-09-08T11:34:55Z</dcterms:modified>
  <dc:language>en-US</dc:language>
</cp:coreProperties>
</file>